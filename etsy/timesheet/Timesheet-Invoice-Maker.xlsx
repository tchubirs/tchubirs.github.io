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imesheet" sheetId="2" state="visible" r:id="rId2"/>
    <sheet name="Invoices" sheetId="3" state="visible" r:id="rId3"/>
    <sheet name="Invoice" sheetId="4" state="visible" r:id="rId4"/>
    <sheet name="Hours report" sheetId="5" state="visible" r:id="rId5"/>
    <sheet name="Clients" sheetId="6" state="visible" r:id="rId6"/>
    <sheet name="Projects" sheetId="7" state="visible" r:id="rId7"/>
    <sheet name="Settings" sheetId="8" state="visible" r:id="rId8"/>
    <sheet name="Start Here" sheetId="9" state="visible" r:id="rId9"/>
  </sheets>
  <definedNames>
    <definedName name="_xlnm.Print_Area" localSheetId="3">'Invoice'!$A$1:$H$38</definedName>
    <definedName name="_xlnm.Print_Area" localSheetId="4">'Hours report'!$A$1:$I$55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0.0;[Red]-0.0"/>
    <numFmt numFmtId="166" formatCode="yyyy-mm-dd"/>
    <numFmt numFmtId="167" formatCode="DD MMM YYYY"/>
    <numFmt numFmtId="168" formatCode="hh:mm"/>
    <numFmt numFmtId="169" formatCode="0.0#"/>
    <numFmt numFmtId="170" formatCode="d mmm"/>
    <numFmt numFmtId="171" formatCode="0.0;;"/>
    <numFmt numFmtId="172" formatCode="#,##0.00;;"/>
  </numFmts>
  <fonts count="2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b val="1"/>
      <color rgb="0015525A"/>
      <sz val="20"/>
    </font>
    <font>
      <name val="Arial"/>
      <color rgb="006B7B80"/>
      <sz val="10"/>
    </font>
    <font>
      <name val="Arial"/>
      <b val="1"/>
      <color rgb="001F6F78"/>
      <sz val="24"/>
    </font>
    <font>
      <name val="Arial"/>
      <b val="1"/>
      <color rgb="006B7B80"/>
      <sz val="10"/>
    </font>
    <font>
      <name val="Arial"/>
      <b val="1"/>
      <color rgb="001E2A2F"/>
      <sz val="10"/>
    </font>
    <font>
      <name val="Arial"/>
      <color rgb="001E2A2F"/>
      <sz val="10"/>
    </font>
    <font>
      <name val="Arial"/>
      <b val="1"/>
      <color rgb="00B4541F"/>
      <sz val="10"/>
    </font>
    <font>
      <name val="Arial"/>
      <b val="1"/>
      <color rgb="0015525A"/>
      <sz val="12"/>
    </font>
    <font>
      <name val="Arial"/>
      <b val="1"/>
      <color rgb="001E2A2F"/>
      <sz val="12"/>
    </font>
    <font>
      <name val="Arial"/>
      <color rgb="006B7B80"/>
      <sz val="11"/>
    </font>
    <font>
      <name val="Arial"/>
      <color rgb="001E2A2F"/>
      <sz val="9"/>
    </font>
    <font>
      <name val="Arial"/>
      <i val="1"/>
      <color rgb="00B4541F"/>
      <sz val="9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b val="1"/>
      <color rgb="00B4541F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8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bottom style="thin">
        <color rgb="00C9D3D2"/>
      </bottom>
    </border>
    <border>
      <top style="medium">
        <color rgb="001F6F78"/>
      </top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0" fillId="2" borderId="1" pivotButton="0" quotePrefix="0" xfId="0"/>
    <xf numFmtId="164" fontId="19" fillId="2" borderId="1" applyAlignment="1" pivotButton="0" quotePrefix="0" xfId="0">
      <alignment horizontal="right"/>
    </xf>
    <xf numFmtId="4" fontId="19" fillId="2" borderId="1" applyAlignment="1" pivotButton="0" quotePrefix="0" xfId="0">
      <alignment horizontal="right"/>
    </xf>
    <xf numFmtId="4" fontId="20" fillId="2" borderId="1" applyAlignment="1" pivotButton="0" quotePrefix="0" xfId="0">
      <alignment horizontal="right"/>
    </xf>
    <xf numFmtId="4" fontId="21" fillId="2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71" fontId="4" fillId="2" borderId="1" applyAlignment="1" pivotButton="0" quotePrefix="0" xfId="0">
      <alignment horizontal="center" vertical="center"/>
    </xf>
    <xf numFmtId="172" fontId="4" fillId="2" borderId="1" pivotButton="0" quotePrefix="0" xfId="0"/>
    <xf numFmtId="0" fontId="4" fillId="2" borderId="1" pivotButton="0" quotePrefix="0" xfId="0"/>
    <xf numFmtId="4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167" fontId="4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168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4" fillId="3" borderId="1" pivotButton="0" quotePrefix="0" xfId="0"/>
    <xf numFmtId="2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" fontId="3" fillId="2" borderId="1" pivotButton="0" quotePrefix="0" xfId="0"/>
    <xf numFmtId="167" fontId="4" fillId="2" borderId="1" applyAlignment="1" pivotButton="0" quotePrefix="0" xfId="0">
      <alignment horizontal="center" vertical="center"/>
    </xf>
    <xf numFmtId="0" fontId="7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0" pivotButton="0" quotePrefix="0" xfId="0"/>
    <xf numFmtId="0" fontId="10" fillId="2" borderId="0" applyAlignment="1" pivotButton="0" quotePrefix="0" xfId="0">
      <alignment horizontal="right"/>
    </xf>
    <xf numFmtId="0" fontId="11" fillId="2" borderId="0" applyAlignment="1" pivotButton="0" quotePrefix="0" xfId="0">
      <alignment horizontal="right"/>
    </xf>
    <xf numFmtId="167" fontId="11" fillId="2" borderId="0" applyAlignment="1" pivotButton="0" quotePrefix="0" xfId="0">
      <alignment horizontal="right"/>
    </xf>
    <xf numFmtId="0" fontId="10" fillId="2" borderId="0" pivotButton="0" quotePrefix="0" xfId="0"/>
    <xf numFmtId="0" fontId="3" fillId="2" borderId="0" pivotButton="0" quotePrefix="0" xfId="0"/>
    <xf numFmtId="0" fontId="12" fillId="2" borderId="0" pivotButton="0" quotePrefix="0" xfId="0"/>
    <xf numFmtId="0" fontId="6" fillId="4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2" fillId="2" borderId="6" pivotButton="0" quotePrefix="0" xfId="0"/>
    <xf numFmtId="0" fontId="0" fillId="2" borderId="6" pivotButton="0" quotePrefix="0" xfId="0"/>
    <xf numFmtId="2" fontId="12" fillId="2" borderId="6" applyAlignment="1" pivotButton="0" quotePrefix="0" xfId="0">
      <alignment horizontal="center"/>
    </xf>
    <xf numFmtId="4" fontId="12" fillId="2" borderId="6" applyAlignment="1" pivotButton="0" quotePrefix="0" xfId="0">
      <alignment horizontal="right"/>
    </xf>
    <xf numFmtId="0" fontId="13" fillId="2" borderId="0" pivotButton="0" quotePrefix="0" xfId="0"/>
    <xf numFmtId="2" fontId="11" fillId="2" borderId="0" applyAlignment="1" pivotButton="0" quotePrefix="0" xfId="0">
      <alignment horizontal="center"/>
    </xf>
    <xf numFmtId="4" fontId="12" fillId="2" borderId="0" applyAlignment="1" pivotButton="0" quotePrefix="0" xfId="0">
      <alignment horizontal="right"/>
    </xf>
    <xf numFmtId="0" fontId="14" fillId="2" borderId="7" applyAlignment="1" pivotButton="0" quotePrefix="0" xfId="0">
      <alignment horizontal="right"/>
    </xf>
    <xf numFmtId="4" fontId="15" fillId="2" borderId="7" applyAlignment="1" pivotButton="0" quotePrefix="0" xfId="0">
      <alignment horizontal="right"/>
    </xf>
    <xf numFmtId="0" fontId="5" fillId="2" borderId="0" pivotButton="0" quotePrefix="0" xfId="0"/>
    <xf numFmtId="0" fontId="16" fillId="2" borderId="0" pivotButton="0" quotePrefix="0" xfId="0"/>
    <xf numFmtId="170" fontId="17" fillId="2" borderId="6" applyAlignment="1" pivotButton="0" quotePrefix="0" xfId="0">
      <alignment horizontal="left"/>
    </xf>
    <xf numFmtId="0" fontId="17" fillId="2" borderId="6" applyAlignment="1" pivotButton="0" quotePrefix="0" xfId="0">
      <alignment horizontal="left"/>
    </xf>
    <xf numFmtId="168" fontId="17" fillId="2" borderId="6" applyAlignment="1" pivotButton="0" quotePrefix="0" xfId="0">
      <alignment horizontal="center"/>
    </xf>
    <xf numFmtId="2" fontId="17" fillId="2" borderId="6" applyAlignment="1" pivotButton="0" quotePrefix="0" xfId="0">
      <alignment horizontal="center"/>
    </xf>
    <xf numFmtId="4" fontId="17" fillId="2" borderId="6" applyAlignment="1" pivotButton="0" quotePrefix="0" xfId="0">
      <alignment horizontal="right"/>
    </xf>
    <xf numFmtId="0" fontId="10" fillId="2" borderId="7" applyAlignment="1" pivotButton="0" quotePrefix="0" xfId="0">
      <alignment horizontal="right"/>
    </xf>
    <xf numFmtId="2" fontId="11" fillId="2" borderId="7" applyAlignment="1" pivotButton="0" quotePrefix="0" xfId="0">
      <alignment horizontal="center"/>
    </xf>
    <xf numFmtId="4" fontId="11" fillId="2" borderId="7" applyAlignment="1" pivotButton="0" quotePrefix="0" xfId="0">
      <alignment horizontal="right"/>
    </xf>
    <xf numFmtId="0" fontId="18" fillId="2" borderId="0" pivotButton="0" quotePrefix="0" xfId="0"/>
    <xf numFmtId="165" fontId="4" fillId="2" borderId="1" applyAlignment="1" pivotButton="0" quotePrefix="0" xfId="0">
      <alignment horizontal="center" vertical="center"/>
    </xf>
    <xf numFmtId="9" fontId="4" fillId="3" borderId="1" pivotButton="0" quotePrefix="0" xfId="0"/>
    <xf numFmtId="1" fontId="4" fillId="3" borderId="1" pivotButton="0" quotePrefix="0" xfId="0"/>
    <xf numFmtId="0" fontId="22" fillId="2" borderId="0" pivotButton="0" quotePrefix="0" xfId="0"/>
    <xf numFmtId="0" fontId="23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3E8FF"/>
          <bgColor rgb="00E3E8FF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i val="1"/>
        <color rgb="006B7B80"/>
      </font>
    </dxf>
    <dxf>
      <font>
        <name val="Arial"/>
        <b val="1"/>
        <color rgb="00B454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'Dashboard'!$B$20:$B$25</f>
            </numRef>
          </cat>
          <val>
            <numRef>
              <f>'Dashboard'!$D$20:$D$25</f>
            </numRef>
          </val>
        </ser>
        <ser>
          <idx val="1"/>
          <order val="1"/>
          <tx>
            <strRef>
              <f>'Dashboard'!E19</f>
            </strRef>
          </tx>
          <spPr>
            <a:solidFill>
              <a:srgbClr val="F2A65A"/>
            </a:solidFill>
            <a:ln>
              <a:prstDash val="solid"/>
            </a:ln>
          </spPr>
          <cat>
            <numRef>
              <f>'Dashboard'!$B$20:$B$25</f>
            </numRef>
          </cat>
          <val>
            <numRef>
              <f>'Dashboard'!$E$20:$E$25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864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5" customWidth="1" min="3" max="3"/>
    <col width="15" customWidth="1" min="4" max="4"/>
    <col width="15" customWidth="1" min="5" max="5"/>
    <col width="3" customWidth="1" min="6" max="6"/>
    <col width="17" customWidth="1" min="7" max="7"/>
    <col width="16" customWidth="1" min="8" max="8"/>
    <col width="15" customWidth="1" min="9" max="9"/>
    <col width="15" customWidth="1" min="10" max="10"/>
    <col width="3" customWidth="1" min="11" max="11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Hours and invoices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The work on the left, the money on the right.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Hours this week</t>
        </is>
      </c>
      <c r="C4" s="4" t="inlineStr">
        <is>
          <t>Hours this month</t>
        </is>
      </c>
      <c r="D4" s="4" t="inlineStr">
        <is>
          <t>Worth this month</t>
        </is>
      </c>
      <c r="E4" s="4" t="inlineStr">
        <is>
          <t>Worth this year</t>
        </is>
      </c>
      <c r="F4" s="1" t="n"/>
      <c r="G4" s="4" t="inlineStr">
        <is>
          <t>To invoice</t>
        </is>
      </c>
      <c r="H4" s="4" t="inlineStr">
        <is>
          <t>Waiting</t>
        </is>
      </c>
      <c r="I4" s="4" t="inlineStr">
        <is>
          <t>Overdue</t>
        </is>
      </c>
      <c r="J4" s="4" t="inlineStr">
        <is>
          <t>Paid this year</t>
        </is>
      </c>
      <c r="K4" s="1" t="n"/>
      <c r="L4" s="1" t="n"/>
    </row>
    <row r="5" ht="34" customHeight="1">
      <c r="A5" s="1" t="n"/>
      <c r="B5" s="5">
        <f>SUMIFS(Timesheet!$M$6:$M$2005,Timesheet!$B$6:$B$2005,"&gt;="&amp;TODAY()-WEEKDAY(TODAY(),3),Timesheet!$B$6:$B$2005,"&lt;="&amp;TODAY()-WEEKDAY(TODAY(),3)+6)</f>
        <v/>
      </c>
      <c r="C5" s="5">
        <f>SUMIFS(Timesheet!$M$6:$M$2005,Timesheet!$B$6:$B$2005,"&gt;="&amp;DATE(YEAR(TODAY()),MONTH(TODAY()),1),Timesheet!$B$6:$B$2005,"&lt;="&amp;EOMONTH(TODAY(),0))</f>
        <v/>
      </c>
      <c r="D5" s="6">
        <f>SUMIFS(Timesheet!$O$6:$O$2005,Timesheet!$B$6:$B$2005,"&gt;="&amp;DATE(YEAR(TODAY()),MONTH(TODAY()),1),Timesheet!$B$6:$B$2005,"&lt;="&amp;EOMONTH(TODAY(),0))</f>
        <v/>
      </c>
      <c r="E5" s="6">
        <f>SUMIFS(Timesheet!$O$6:$O$2005,Timesheet!$B$6:$B$2005,"&gt;="&amp;DATE(YEAR(TODAY()),1,1),Timesheet!$B$6:$B$2005,"&lt;="&amp;DATE(YEAR(TODAY()),12,31))</f>
        <v/>
      </c>
      <c r="F5" s="1" t="n"/>
      <c r="G5" s="7">
        <f>SUMIFS(Timesheet!$O$6:$O$2005,Timesheet!$Q$6:$Q$2005,"To invoice")+SUMIFS(Timesheet!$O$6:$O$2005,Timesheet!$Q$6:$Q$2005,"Draft")</f>
        <v/>
      </c>
      <c r="H5" s="7">
        <f>SUMIFS(Invoices!$J$6:$J$305,Invoices!$M$6:$M$305,"Waiting")</f>
        <v/>
      </c>
      <c r="I5" s="8">
        <f>SUMIFS(Invoices!$J$6:$J$305,Invoices!$M$6:$M$305,"Overdue*")</f>
        <v/>
      </c>
      <c r="J5" s="6">
        <f>SUMIFS(Invoices!$J$6:$J$305,Invoices!$L$6:$L$305,"&gt;="&amp;DATE(YEAR(TODAY()),1,1),Invoices!$L$6:$L$305,"&lt;="&amp;DATE(YEAR(TODAY()),12,31))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9" t="inlineStr">
        <is>
          <t>This week</t>
        </is>
      </c>
      <c r="C8" s="9" t="inlineStr">
        <is>
          <t>Hours</t>
        </is>
      </c>
      <c r="D8" s="9" t="inlineStr">
        <is>
          <t>Billable</t>
        </is>
      </c>
      <c r="E8" s="9" t="inlineStr">
        <is>
          <t>Worth</t>
        </is>
      </c>
      <c r="F8" s="1" t="n"/>
      <c r="G8" s="9" t="inlineStr">
        <is>
          <t>Client</t>
        </is>
      </c>
      <c r="H8" s="9" t="inlineStr">
        <is>
          <t>Hours this month</t>
        </is>
      </c>
      <c r="I8" s="9" t="inlineStr">
        <is>
          <t>To invoice</t>
        </is>
      </c>
      <c r="J8" s="9" t="inlineStr">
        <is>
          <t>Not paid</t>
        </is>
      </c>
      <c r="K8" s="1" t="n"/>
      <c r="L8" s="1" t="n"/>
    </row>
    <row r="9">
      <c r="A9" s="1" t="n"/>
      <c r="B9" s="10">
        <f>"Monday "&amp;DAY((TODAY()-WEEKDAY(TODAY(),3)+0))&amp;" "&amp;CHOOSE(MONTH((TODAY()-WEEKDAY(TODAY(),3)+0)),"Jan","Feb","Mar","Apr","May","Jun","Jul","Aug","Sep","Oct","Nov","Dec")</f>
        <v/>
      </c>
      <c r="C9" s="11">
        <f>SUMIFS(Timesheet!$M$6:$M$2005,Timesheet!$B$6:$B$2005,(TODAY()-WEEKDAY(TODAY(),3)+0))</f>
        <v/>
      </c>
      <c r="D9" s="11">
        <f>SUMIFS(Timesheet!$U$6:$U$2005,Timesheet!$B$6:$B$2005,(TODAY()-WEEKDAY(TODAY(),3)+0))</f>
        <v/>
      </c>
      <c r="E9" s="12">
        <f>SUMIFS(Timesheet!$O$6:$O$2005,Timesheet!$B$6:$B$2005,(TODAY()-WEEKDAY(TODAY(),3)+0))</f>
        <v/>
      </c>
      <c r="F9" s="1" t="n"/>
      <c r="G9" s="10">
        <f>IF(O9="","No work this month yet",INDEX(Clients!$B$6:$B$45,O9-5))</f>
        <v/>
      </c>
      <c r="H9" s="11">
        <f>IF(O9="","",SUMIFS(Timesheet!$M$6:$M$2005,Timesheet!$C$6:$C$2005,G9,Timesheet!$B$6:$B$2005,"&gt;="&amp;DATE(YEAR(TODAY()),MONTH(TODAY()),1),Timesheet!$B$6:$B$2005,"&lt;="&amp;EOMONTH(TODAY(),0)))</f>
        <v/>
      </c>
      <c r="I9" s="12">
        <f>IF(O9="","",SUMIFS(Timesheet!$O$6:$O$2005,Timesheet!$C$6:$C$2005,G9,Timesheet!$Q$6:$Q$2005,"To invoice")+SUMIFS(Timesheet!$O$6:$O$2005,Timesheet!$C$6:$C$2005,G9,Timesheet!$Q$6:$Q$2005,"Draft"))</f>
        <v/>
      </c>
      <c r="J9" s="12">
        <f>IF(O9="","",SUMIFS(Invoices!$J$6:$J$305,Invoices!$C$6:$C$305,G9,Invoices!$M$6:$M$305,"Waiting")+SUMIFS(Invoices!$J$6:$J$305,Invoices!$C$6:$C$305,G9,Invoices!$M$6:$M$305,"Overdue*"))</f>
        <v/>
      </c>
      <c r="K9" s="1" t="n"/>
      <c r="L9" s="1" t="n"/>
      <c r="O9">
        <f>IFERROR(SMALL(Clients!$J$6:$J$45,1),"")</f>
        <v/>
      </c>
    </row>
    <row r="10">
      <c r="A10" s="1" t="n"/>
      <c r="B10" s="10">
        <f>"Tuesday "&amp;DAY((TODAY()-WEEKDAY(TODAY(),3)+1))&amp;" "&amp;CHOOSE(MONTH((TODAY()-WEEKDAY(TODAY(),3)+1)),"Jan","Feb","Mar","Apr","May","Jun","Jul","Aug","Sep","Oct","Nov","Dec")</f>
        <v/>
      </c>
      <c r="C10" s="11">
        <f>SUMIFS(Timesheet!$M$6:$M$2005,Timesheet!$B$6:$B$2005,(TODAY()-WEEKDAY(TODAY(),3)+1))</f>
        <v/>
      </c>
      <c r="D10" s="11">
        <f>SUMIFS(Timesheet!$U$6:$U$2005,Timesheet!$B$6:$B$2005,(TODAY()-WEEKDAY(TODAY(),3)+1))</f>
        <v/>
      </c>
      <c r="E10" s="12">
        <f>SUMIFS(Timesheet!$O$6:$O$2005,Timesheet!$B$6:$B$2005,(TODAY()-WEEKDAY(TODAY(),3)+1))</f>
        <v/>
      </c>
      <c r="F10" s="1" t="n"/>
      <c r="G10" s="10">
        <f>IF(O10="","",INDEX(Clients!$B$6:$B$45,O10-5))</f>
        <v/>
      </c>
      <c r="H10" s="11">
        <f>IF(O10="","",SUMIFS(Timesheet!$M$6:$M$2005,Timesheet!$C$6:$C$2005,G10,Timesheet!$B$6:$B$2005,"&gt;="&amp;DATE(YEAR(TODAY()),MONTH(TODAY()),1),Timesheet!$B$6:$B$2005,"&lt;="&amp;EOMONTH(TODAY(),0)))</f>
        <v/>
      </c>
      <c r="I10" s="12">
        <f>IF(O10="","",SUMIFS(Timesheet!$O$6:$O$2005,Timesheet!$C$6:$C$2005,G10,Timesheet!$Q$6:$Q$2005,"To invoice")+SUMIFS(Timesheet!$O$6:$O$2005,Timesheet!$C$6:$C$2005,G10,Timesheet!$Q$6:$Q$2005,"Draft"))</f>
        <v/>
      </c>
      <c r="J10" s="12">
        <f>IF(O10="","",SUMIFS(Invoices!$J$6:$J$305,Invoices!$C$6:$C$305,G10,Invoices!$M$6:$M$305,"Waiting")+SUMIFS(Invoices!$J$6:$J$305,Invoices!$C$6:$C$305,G10,Invoices!$M$6:$M$305,"Overdue*"))</f>
        <v/>
      </c>
      <c r="K10" s="1" t="n"/>
      <c r="L10" s="1" t="n"/>
      <c r="O10">
        <f>IFERROR(SMALL(Clients!$J$6:$J$45,2),"")</f>
        <v/>
      </c>
    </row>
    <row r="11">
      <c r="A11" s="1" t="n"/>
      <c r="B11" s="10">
        <f>"Wednesday "&amp;DAY((TODAY()-WEEKDAY(TODAY(),3)+2))&amp;" "&amp;CHOOSE(MONTH((TODAY()-WEEKDAY(TODAY(),3)+2)),"Jan","Feb","Mar","Apr","May","Jun","Jul","Aug","Sep","Oct","Nov","Dec")</f>
        <v/>
      </c>
      <c r="C11" s="11">
        <f>SUMIFS(Timesheet!$M$6:$M$2005,Timesheet!$B$6:$B$2005,(TODAY()-WEEKDAY(TODAY(),3)+2))</f>
        <v/>
      </c>
      <c r="D11" s="11">
        <f>SUMIFS(Timesheet!$U$6:$U$2005,Timesheet!$B$6:$B$2005,(TODAY()-WEEKDAY(TODAY(),3)+2))</f>
        <v/>
      </c>
      <c r="E11" s="12">
        <f>SUMIFS(Timesheet!$O$6:$O$2005,Timesheet!$B$6:$B$2005,(TODAY()-WEEKDAY(TODAY(),3)+2))</f>
        <v/>
      </c>
      <c r="F11" s="1" t="n"/>
      <c r="G11" s="10">
        <f>IF(O11="","",INDEX(Clients!$B$6:$B$45,O11-5))</f>
        <v/>
      </c>
      <c r="H11" s="11">
        <f>IF(O11="","",SUMIFS(Timesheet!$M$6:$M$2005,Timesheet!$C$6:$C$2005,G11,Timesheet!$B$6:$B$2005,"&gt;="&amp;DATE(YEAR(TODAY()),MONTH(TODAY()),1),Timesheet!$B$6:$B$2005,"&lt;="&amp;EOMONTH(TODAY(),0)))</f>
        <v/>
      </c>
      <c r="I11" s="12">
        <f>IF(O11="","",SUMIFS(Timesheet!$O$6:$O$2005,Timesheet!$C$6:$C$2005,G11,Timesheet!$Q$6:$Q$2005,"To invoice")+SUMIFS(Timesheet!$O$6:$O$2005,Timesheet!$C$6:$C$2005,G11,Timesheet!$Q$6:$Q$2005,"Draft"))</f>
        <v/>
      </c>
      <c r="J11" s="12">
        <f>IF(O11="","",SUMIFS(Invoices!$J$6:$J$305,Invoices!$C$6:$C$305,G11,Invoices!$M$6:$M$305,"Waiting")+SUMIFS(Invoices!$J$6:$J$305,Invoices!$C$6:$C$305,G11,Invoices!$M$6:$M$305,"Overdue*"))</f>
        <v/>
      </c>
      <c r="K11" s="1" t="n"/>
      <c r="L11" s="1" t="n"/>
      <c r="O11">
        <f>IFERROR(SMALL(Clients!$J$6:$J$45,3),"")</f>
        <v/>
      </c>
    </row>
    <row r="12">
      <c r="A12" s="1" t="n"/>
      <c r="B12" s="10">
        <f>"Thursday "&amp;DAY((TODAY()-WEEKDAY(TODAY(),3)+3))&amp;" "&amp;CHOOSE(MONTH((TODAY()-WEEKDAY(TODAY(),3)+3)),"Jan","Feb","Mar","Apr","May","Jun","Jul","Aug","Sep","Oct","Nov","Dec")</f>
        <v/>
      </c>
      <c r="C12" s="11">
        <f>SUMIFS(Timesheet!$M$6:$M$2005,Timesheet!$B$6:$B$2005,(TODAY()-WEEKDAY(TODAY(),3)+3))</f>
        <v/>
      </c>
      <c r="D12" s="11">
        <f>SUMIFS(Timesheet!$U$6:$U$2005,Timesheet!$B$6:$B$2005,(TODAY()-WEEKDAY(TODAY(),3)+3))</f>
        <v/>
      </c>
      <c r="E12" s="12">
        <f>SUMIFS(Timesheet!$O$6:$O$2005,Timesheet!$B$6:$B$2005,(TODAY()-WEEKDAY(TODAY(),3)+3))</f>
        <v/>
      </c>
      <c r="F12" s="1" t="n"/>
      <c r="G12" s="10">
        <f>IF(O12="","",INDEX(Clients!$B$6:$B$45,O12-5))</f>
        <v/>
      </c>
      <c r="H12" s="11">
        <f>IF(O12="","",SUMIFS(Timesheet!$M$6:$M$2005,Timesheet!$C$6:$C$2005,G12,Timesheet!$B$6:$B$2005,"&gt;="&amp;DATE(YEAR(TODAY()),MONTH(TODAY()),1),Timesheet!$B$6:$B$2005,"&lt;="&amp;EOMONTH(TODAY(),0)))</f>
        <v/>
      </c>
      <c r="I12" s="12">
        <f>IF(O12="","",SUMIFS(Timesheet!$O$6:$O$2005,Timesheet!$C$6:$C$2005,G12,Timesheet!$Q$6:$Q$2005,"To invoice")+SUMIFS(Timesheet!$O$6:$O$2005,Timesheet!$C$6:$C$2005,G12,Timesheet!$Q$6:$Q$2005,"Draft"))</f>
        <v/>
      </c>
      <c r="J12" s="12">
        <f>IF(O12="","",SUMIFS(Invoices!$J$6:$J$305,Invoices!$C$6:$C$305,G12,Invoices!$M$6:$M$305,"Waiting")+SUMIFS(Invoices!$J$6:$J$305,Invoices!$C$6:$C$305,G12,Invoices!$M$6:$M$305,"Overdue*"))</f>
        <v/>
      </c>
      <c r="K12" s="1" t="n"/>
      <c r="L12" s="1" t="n"/>
      <c r="O12">
        <f>IFERROR(SMALL(Clients!$J$6:$J$45,4),"")</f>
        <v/>
      </c>
    </row>
    <row r="13">
      <c r="A13" s="1" t="n"/>
      <c r="B13" s="10">
        <f>"Friday "&amp;DAY((TODAY()-WEEKDAY(TODAY(),3)+4))&amp;" "&amp;CHOOSE(MONTH((TODAY()-WEEKDAY(TODAY(),3)+4)),"Jan","Feb","Mar","Apr","May","Jun","Jul","Aug","Sep","Oct","Nov","Dec")</f>
        <v/>
      </c>
      <c r="C13" s="11">
        <f>SUMIFS(Timesheet!$M$6:$M$2005,Timesheet!$B$6:$B$2005,(TODAY()-WEEKDAY(TODAY(),3)+4))</f>
        <v/>
      </c>
      <c r="D13" s="11">
        <f>SUMIFS(Timesheet!$U$6:$U$2005,Timesheet!$B$6:$B$2005,(TODAY()-WEEKDAY(TODAY(),3)+4))</f>
        <v/>
      </c>
      <c r="E13" s="12">
        <f>SUMIFS(Timesheet!$O$6:$O$2005,Timesheet!$B$6:$B$2005,(TODAY()-WEEKDAY(TODAY(),3)+4))</f>
        <v/>
      </c>
      <c r="F13" s="1" t="n"/>
      <c r="G13" s="10">
        <f>IF(O13="","",INDEX(Clients!$B$6:$B$45,O13-5))</f>
        <v/>
      </c>
      <c r="H13" s="11">
        <f>IF(O13="","",SUMIFS(Timesheet!$M$6:$M$2005,Timesheet!$C$6:$C$2005,G13,Timesheet!$B$6:$B$2005,"&gt;="&amp;DATE(YEAR(TODAY()),MONTH(TODAY()),1),Timesheet!$B$6:$B$2005,"&lt;="&amp;EOMONTH(TODAY(),0)))</f>
        <v/>
      </c>
      <c r="I13" s="12">
        <f>IF(O13="","",SUMIFS(Timesheet!$O$6:$O$2005,Timesheet!$C$6:$C$2005,G13,Timesheet!$Q$6:$Q$2005,"To invoice")+SUMIFS(Timesheet!$O$6:$O$2005,Timesheet!$C$6:$C$2005,G13,Timesheet!$Q$6:$Q$2005,"Draft"))</f>
        <v/>
      </c>
      <c r="J13" s="12">
        <f>IF(O13="","",SUMIFS(Invoices!$J$6:$J$305,Invoices!$C$6:$C$305,G13,Invoices!$M$6:$M$305,"Waiting")+SUMIFS(Invoices!$J$6:$J$305,Invoices!$C$6:$C$305,G13,Invoices!$M$6:$M$305,"Overdue*"))</f>
        <v/>
      </c>
      <c r="K13" s="1" t="n"/>
      <c r="L13" s="1" t="n"/>
      <c r="O13">
        <f>IFERROR(SMALL(Clients!$J$6:$J$45,5),"")</f>
        <v/>
      </c>
    </row>
    <row r="14">
      <c r="A14" s="1" t="n"/>
      <c r="B14" s="10">
        <f>"Saturday "&amp;DAY((TODAY()-WEEKDAY(TODAY(),3)+5))&amp;" "&amp;CHOOSE(MONTH((TODAY()-WEEKDAY(TODAY(),3)+5)),"Jan","Feb","Mar","Apr","May","Jun","Jul","Aug","Sep","Oct","Nov","Dec")</f>
        <v/>
      </c>
      <c r="C14" s="11">
        <f>SUMIFS(Timesheet!$M$6:$M$2005,Timesheet!$B$6:$B$2005,(TODAY()-WEEKDAY(TODAY(),3)+5))</f>
        <v/>
      </c>
      <c r="D14" s="11">
        <f>SUMIFS(Timesheet!$U$6:$U$2005,Timesheet!$B$6:$B$2005,(TODAY()-WEEKDAY(TODAY(),3)+5))</f>
        <v/>
      </c>
      <c r="E14" s="12">
        <f>SUMIFS(Timesheet!$O$6:$O$2005,Timesheet!$B$6:$B$2005,(TODAY()-WEEKDAY(TODAY(),3)+5))</f>
        <v/>
      </c>
      <c r="F14" s="1" t="n"/>
      <c r="G14" s="10">
        <f>IF(O14="","",INDEX(Clients!$B$6:$B$45,O14-5))</f>
        <v/>
      </c>
      <c r="H14" s="11">
        <f>IF(O14="","",SUMIFS(Timesheet!$M$6:$M$2005,Timesheet!$C$6:$C$2005,G14,Timesheet!$B$6:$B$2005,"&gt;="&amp;DATE(YEAR(TODAY()),MONTH(TODAY()),1),Timesheet!$B$6:$B$2005,"&lt;="&amp;EOMONTH(TODAY(),0)))</f>
        <v/>
      </c>
      <c r="I14" s="12">
        <f>IF(O14="","",SUMIFS(Timesheet!$O$6:$O$2005,Timesheet!$C$6:$C$2005,G14,Timesheet!$Q$6:$Q$2005,"To invoice")+SUMIFS(Timesheet!$O$6:$O$2005,Timesheet!$C$6:$C$2005,G14,Timesheet!$Q$6:$Q$2005,"Draft"))</f>
        <v/>
      </c>
      <c r="J14" s="12">
        <f>IF(O14="","",SUMIFS(Invoices!$J$6:$J$305,Invoices!$C$6:$C$305,G14,Invoices!$M$6:$M$305,"Waiting")+SUMIFS(Invoices!$J$6:$J$305,Invoices!$C$6:$C$305,G14,Invoices!$M$6:$M$305,"Overdue*"))</f>
        <v/>
      </c>
      <c r="K14" s="1" t="n"/>
      <c r="L14" s="1" t="n"/>
      <c r="O14">
        <f>IFERROR(SMALL(Clients!$J$6:$J$45,6),"")</f>
        <v/>
      </c>
    </row>
    <row r="15">
      <c r="A15" s="1" t="n"/>
      <c r="B15" s="10">
        <f>"Sunday "&amp;DAY((TODAY()-WEEKDAY(TODAY(),3)+6))&amp;" "&amp;CHOOSE(MONTH((TODAY()-WEEKDAY(TODAY(),3)+6)),"Jan","Feb","Mar","Apr","May","Jun","Jul","Aug","Sep","Oct","Nov","Dec")</f>
        <v/>
      </c>
      <c r="C15" s="11">
        <f>SUMIFS(Timesheet!$M$6:$M$2005,Timesheet!$B$6:$B$2005,(TODAY()-WEEKDAY(TODAY(),3)+6))</f>
        <v/>
      </c>
      <c r="D15" s="11">
        <f>SUMIFS(Timesheet!$U$6:$U$2005,Timesheet!$B$6:$B$2005,(TODAY()-WEEKDAY(TODAY(),3)+6))</f>
        <v/>
      </c>
      <c r="E15" s="12">
        <f>SUMIFS(Timesheet!$O$6:$O$2005,Timesheet!$B$6:$B$2005,(TODAY()-WEEKDAY(TODAY(),3)+6))</f>
        <v/>
      </c>
      <c r="F15" s="1" t="n"/>
      <c r="G15" s="10">
        <f>IF(O15="","",INDEX(Clients!$B$6:$B$45,O15-5))</f>
        <v/>
      </c>
      <c r="H15" s="11">
        <f>IF(O15="","",SUMIFS(Timesheet!$M$6:$M$2005,Timesheet!$C$6:$C$2005,G15,Timesheet!$B$6:$B$2005,"&gt;="&amp;DATE(YEAR(TODAY()),MONTH(TODAY()),1),Timesheet!$B$6:$B$2005,"&lt;="&amp;EOMONTH(TODAY(),0)))</f>
        <v/>
      </c>
      <c r="I15" s="12">
        <f>IF(O15="","",SUMIFS(Timesheet!$O$6:$O$2005,Timesheet!$C$6:$C$2005,G15,Timesheet!$Q$6:$Q$2005,"To invoice")+SUMIFS(Timesheet!$O$6:$O$2005,Timesheet!$C$6:$C$2005,G15,Timesheet!$Q$6:$Q$2005,"Draft"))</f>
        <v/>
      </c>
      <c r="J15" s="12">
        <f>IF(O15="","",SUMIFS(Invoices!$J$6:$J$305,Invoices!$C$6:$C$305,G15,Invoices!$M$6:$M$305,"Waiting")+SUMIFS(Invoices!$J$6:$J$305,Invoices!$C$6:$C$305,G15,Invoices!$M$6:$M$305,"Overdue*"))</f>
        <v/>
      </c>
      <c r="K15" s="1" t="n"/>
      <c r="L15" s="1" t="n"/>
      <c r="O15">
        <f>IFERROR(SMALL(Clients!$J$6:$J$45,7),"")</f>
        <v/>
      </c>
    </row>
    <row r="16">
      <c r="A16" s="1" t="n"/>
      <c r="B16" s="1" t="n"/>
      <c r="C16" s="1" t="n"/>
      <c r="D16" s="1" t="n"/>
      <c r="E16" s="1" t="n"/>
      <c r="F16" s="1" t="n"/>
      <c r="G16" s="10">
        <f>IF(O16="","",INDEX(Clients!$B$6:$B$45,O16-5))</f>
        <v/>
      </c>
      <c r="H16" s="11">
        <f>IF(O16="","",SUMIFS(Timesheet!$M$6:$M$2005,Timesheet!$C$6:$C$2005,G16,Timesheet!$B$6:$B$2005,"&gt;="&amp;DATE(YEAR(TODAY()),MONTH(TODAY()),1),Timesheet!$B$6:$B$2005,"&lt;="&amp;EOMONTH(TODAY(),0)))</f>
        <v/>
      </c>
      <c r="I16" s="12">
        <f>IF(O16="","",SUMIFS(Timesheet!$O$6:$O$2005,Timesheet!$C$6:$C$2005,G16,Timesheet!$Q$6:$Q$2005,"To invoice")+SUMIFS(Timesheet!$O$6:$O$2005,Timesheet!$C$6:$C$2005,G16,Timesheet!$Q$6:$Q$2005,"Draft"))</f>
        <v/>
      </c>
      <c r="J16" s="12">
        <f>IF(O16="","",SUMIFS(Invoices!$J$6:$J$305,Invoices!$C$6:$C$305,G16,Invoices!$M$6:$M$305,"Waiting")+SUMIFS(Invoices!$J$6:$J$305,Invoices!$C$6:$C$305,G16,Invoices!$M$6:$M$305,"Overdue*"))</f>
        <v/>
      </c>
      <c r="K16" s="1" t="n"/>
      <c r="L16" s="1" t="n"/>
      <c r="O16">
        <f>IFERROR(SMALL(Clients!$J$6:$J$45,8),"")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30" customHeight="1">
      <c r="A19" s="1" t="n"/>
      <c r="B19" s="9" t="inlineStr">
        <is>
          <t>Month</t>
        </is>
      </c>
      <c r="C19" s="9" t="inlineStr">
        <is>
          <t>Hours</t>
        </is>
      </c>
      <c r="D19" s="9" t="inlineStr">
        <is>
          <t>Worth</t>
        </is>
      </c>
      <c r="E19" s="9" t="inlineStr">
        <is>
          <t>Paid in</t>
        </is>
      </c>
      <c r="F19" s="1" t="n"/>
      <c r="G19" s="9" t="inlineStr">
        <is>
          <t>Not paid yet</t>
        </is>
      </c>
      <c r="H19" s="9" t="inlineStr">
        <is>
          <t>Client</t>
        </is>
      </c>
      <c r="I19" s="9" t="inlineStr">
        <is>
          <t>Total</t>
        </is>
      </c>
      <c r="J19" s="9" t="inlineStr">
        <is>
          <t>Status</t>
        </is>
      </c>
      <c r="K19" s="1" t="n"/>
      <c r="L19" s="1" t="n"/>
    </row>
    <row r="20">
      <c r="A20" s="1" t="n"/>
      <c r="B20" s="10">
        <f>CHOOSE(MONTH(DATE(YEAR(TODAY()),MONTH(TODAY())-5,1)),"Jan","Feb","Mar","Apr","May","Jun","Jul","Aug","Sep","Oct","Nov","Dec")&amp;" "&amp;YEAR(DATE(YEAR(TODAY()),MONTH(TODAY())-5,1))</f>
        <v/>
      </c>
      <c r="C20" s="11">
        <f>SUMIFS(Timesheet!$M$6:$M$2005,Timesheet!$B$6:$B$2005,"&gt;="&amp;DATE(YEAR(TODAY()),MONTH(TODAY())-5,1),Timesheet!$B$6:$B$2005,"&lt;="&amp;EOMONTH(DATE(YEAR(TODAY()),MONTH(TODAY())-5,1),0))</f>
        <v/>
      </c>
      <c r="D20" s="12">
        <f>SUMIFS(Timesheet!$O$6:$O$2005,Timesheet!$B$6:$B$2005,"&gt;="&amp;DATE(YEAR(TODAY()),MONTH(TODAY())-5,1),Timesheet!$B$6:$B$2005,"&lt;="&amp;EOMONTH(DATE(YEAR(TODAY()),MONTH(TODAY())-5,1),0))</f>
        <v/>
      </c>
      <c r="E20" s="12">
        <f>SUMIFS(Invoices!$J$6:$J$305,Invoices!$L$6:$L$305,"&gt;="&amp;DATE(YEAR(TODAY()),MONTH(TODAY())-5,1),Invoices!$L$6:$L$305,"&lt;="&amp;EOMONTH(DATE(YEAR(TODAY()),MONTH(TODAY())-5,1),0))</f>
        <v/>
      </c>
      <c r="F20" s="1" t="n"/>
      <c r="G20" s="10">
        <f>IF(P20="","Every invoice is paid",INDEX(Invoices!$B$6:$B$305,MATCH(P20,Invoices!$P$6:$P$305,0)))</f>
        <v/>
      </c>
      <c r="H20" s="13">
        <f>IF(P20="","",INDEX(Invoices!$C$6:$C$305,MATCH(P20,Invoices!$P$6:$P$305,0)))</f>
        <v/>
      </c>
      <c r="I20" s="14">
        <f>IF(P20="","",INDEX(Invoices!$J$6:$J$305,MATCH(P20,Invoices!$P$6:$P$305,0)))</f>
        <v/>
      </c>
      <c r="J20" s="15">
        <f>IF(P20="","",IF(INDEX(Invoices!$M$6:$M$305,MATCH(P20,Invoices!$P$6:$P$305,0))="Waiting","Due "&amp;DAY(INT(P20))&amp;" "&amp;CHOOSE(MONTH(INT(P20)),"Jan","Feb","Mar","Apr","May","Jun","Jul","Aug","Sep","Oct","Nov","Dec"),INDEX(Invoices!$M$6:$M$305,MATCH(P20,Invoices!$P$6:$P$305,0))))</f>
        <v/>
      </c>
      <c r="K20" s="1" t="n"/>
      <c r="L20" s="1" t="n"/>
      <c r="P20">
        <f>IFERROR(SMALL(Invoices!$P$6:$P$305,1),"")</f>
        <v/>
      </c>
    </row>
    <row r="21">
      <c r="A21" s="1" t="n"/>
      <c r="B21" s="10">
        <f>CHOOSE(MONTH(DATE(YEAR(TODAY()),MONTH(TODAY())-4,1)),"Jan","Feb","Mar","Apr","May","Jun","Jul","Aug","Sep","Oct","Nov","Dec")&amp;" "&amp;YEAR(DATE(YEAR(TODAY()),MONTH(TODAY())-4,1))</f>
        <v/>
      </c>
      <c r="C21" s="11">
        <f>SUMIFS(Timesheet!$M$6:$M$2005,Timesheet!$B$6:$B$2005,"&gt;="&amp;DATE(YEAR(TODAY()),MONTH(TODAY())-4,1),Timesheet!$B$6:$B$2005,"&lt;="&amp;EOMONTH(DATE(YEAR(TODAY()),MONTH(TODAY())-4,1),0))</f>
        <v/>
      </c>
      <c r="D21" s="12">
        <f>SUMIFS(Timesheet!$O$6:$O$2005,Timesheet!$B$6:$B$2005,"&gt;="&amp;DATE(YEAR(TODAY()),MONTH(TODAY())-4,1),Timesheet!$B$6:$B$2005,"&lt;="&amp;EOMONTH(DATE(YEAR(TODAY()),MONTH(TODAY())-4,1),0))</f>
        <v/>
      </c>
      <c r="E21" s="12">
        <f>SUMIFS(Invoices!$J$6:$J$305,Invoices!$L$6:$L$305,"&gt;="&amp;DATE(YEAR(TODAY()),MONTH(TODAY())-4,1),Invoices!$L$6:$L$305,"&lt;="&amp;EOMONTH(DATE(YEAR(TODAY()),MONTH(TODAY())-4,1),0))</f>
        <v/>
      </c>
      <c r="F21" s="1" t="n"/>
      <c r="G21" s="10">
        <f>IF(P21="","",INDEX(Invoices!$B$6:$B$305,MATCH(P21,Invoices!$P$6:$P$305,0)))</f>
        <v/>
      </c>
      <c r="H21" s="13">
        <f>IF(P21="","",INDEX(Invoices!$C$6:$C$305,MATCH(P21,Invoices!$P$6:$P$305,0)))</f>
        <v/>
      </c>
      <c r="I21" s="14">
        <f>IF(P21="","",INDEX(Invoices!$J$6:$J$305,MATCH(P21,Invoices!$P$6:$P$305,0)))</f>
        <v/>
      </c>
      <c r="J21" s="15">
        <f>IF(P21="","",IF(INDEX(Invoices!$M$6:$M$305,MATCH(P21,Invoices!$P$6:$P$305,0))="Waiting","Due "&amp;DAY(INT(P21))&amp;" "&amp;CHOOSE(MONTH(INT(P21)),"Jan","Feb","Mar","Apr","May","Jun","Jul","Aug","Sep","Oct","Nov","Dec"),INDEX(Invoices!$M$6:$M$305,MATCH(P21,Invoices!$P$6:$P$305,0))))</f>
        <v/>
      </c>
      <c r="K21" s="1" t="n"/>
      <c r="L21" s="1" t="n"/>
      <c r="P21">
        <f>IFERROR(SMALL(Invoices!$P$6:$P$305,2),"")</f>
        <v/>
      </c>
    </row>
    <row r="22">
      <c r="A22" s="1" t="n"/>
      <c r="B22" s="10">
        <f>CHOOSE(MONTH(DATE(YEAR(TODAY()),MONTH(TODAY())-3,1)),"Jan","Feb","Mar","Apr","May","Jun","Jul","Aug","Sep","Oct","Nov","Dec")&amp;" "&amp;YEAR(DATE(YEAR(TODAY()),MONTH(TODAY())-3,1))</f>
        <v/>
      </c>
      <c r="C22" s="11">
        <f>SUMIFS(Timesheet!$M$6:$M$2005,Timesheet!$B$6:$B$2005,"&gt;="&amp;DATE(YEAR(TODAY()),MONTH(TODAY())-3,1),Timesheet!$B$6:$B$2005,"&lt;="&amp;EOMONTH(DATE(YEAR(TODAY()),MONTH(TODAY())-3,1),0))</f>
        <v/>
      </c>
      <c r="D22" s="12">
        <f>SUMIFS(Timesheet!$O$6:$O$2005,Timesheet!$B$6:$B$2005,"&gt;="&amp;DATE(YEAR(TODAY()),MONTH(TODAY())-3,1),Timesheet!$B$6:$B$2005,"&lt;="&amp;EOMONTH(DATE(YEAR(TODAY()),MONTH(TODAY())-3,1),0))</f>
        <v/>
      </c>
      <c r="E22" s="12">
        <f>SUMIFS(Invoices!$J$6:$J$305,Invoices!$L$6:$L$305,"&gt;="&amp;DATE(YEAR(TODAY()),MONTH(TODAY())-3,1),Invoices!$L$6:$L$305,"&lt;="&amp;EOMONTH(DATE(YEAR(TODAY()),MONTH(TODAY())-3,1),0))</f>
        <v/>
      </c>
      <c r="F22" s="1" t="n"/>
      <c r="G22" s="10">
        <f>IF(P22="","",INDEX(Invoices!$B$6:$B$305,MATCH(P22,Invoices!$P$6:$P$305,0)))</f>
        <v/>
      </c>
      <c r="H22" s="13">
        <f>IF(P22="","",INDEX(Invoices!$C$6:$C$305,MATCH(P22,Invoices!$P$6:$P$305,0)))</f>
        <v/>
      </c>
      <c r="I22" s="14">
        <f>IF(P22="","",INDEX(Invoices!$J$6:$J$305,MATCH(P22,Invoices!$P$6:$P$305,0)))</f>
        <v/>
      </c>
      <c r="J22" s="15">
        <f>IF(P22="","",IF(INDEX(Invoices!$M$6:$M$305,MATCH(P22,Invoices!$P$6:$P$305,0))="Waiting","Due "&amp;DAY(INT(P22))&amp;" "&amp;CHOOSE(MONTH(INT(P22)),"Jan","Feb","Mar","Apr","May","Jun","Jul","Aug","Sep","Oct","Nov","Dec"),INDEX(Invoices!$M$6:$M$305,MATCH(P22,Invoices!$P$6:$P$305,0))))</f>
        <v/>
      </c>
      <c r="K22" s="1" t="n"/>
      <c r="L22" s="1" t="n"/>
      <c r="P22">
        <f>IFERROR(SMALL(Invoices!$P$6:$P$305,3),"")</f>
        <v/>
      </c>
    </row>
    <row r="23">
      <c r="A23" s="1" t="n"/>
      <c r="B23" s="10">
        <f>CHOOSE(MONTH(DATE(YEAR(TODAY()),MONTH(TODAY())-2,1)),"Jan","Feb","Mar","Apr","May","Jun","Jul","Aug","Sep","Oct","Nov","Dec")&amp;" "&amp;YEAR(DATE(YEAR(TODAY()),MONTH(TODAY())-2,1))</f>
        <v/>
      </c>
      <c r="C23" s="11">
        <f>SUMIFS(Timesheet!$M$6:$M$2005,Timesheet!$B$6:$B$2005,"&gt;="&amp;DATE(YEAR(TODAY()),MONTH(TODAY())-2,1),Timesheet!$B$6:$B$2005,"&lt;="&amp;EOMONTH(DATE(YEAR(TODAY()),MONTH(TODAY())-2,1),0))</f>
        <v/>
      </c>
      <c r="D23" s="12">
        <f>SUMIFS(Timesheet!$O$6:$O$2005,Timesheet!$B$6:$B$2005,"&gt;="&amp;DATE(YEAR(TODAY()),MONTH(TODAY())-2,1),Timesheet!$B$6:$B$2005,"&lt;="&amp;EOMONTH(DATE(YEAR(TODAY()),MONTH(TODAY())-2,1),0))</f>
        <v/>
      </c>
      <c r="E23" s="12">
        <f>SUMIFS(Invoices!$J$6:$J$305,Invoices!$L$6:$L$305,"&gt;="&amp;DATE(YEAR(TODAY()),MONTH(TODAY())-2,1),Invoices!$L$6:$L$305,"&lt;="&amp;EOMONTH(DATE(YEAR(TODAY()),MONTH(TODAY())-2,1),0))</f>
        <v/>
      </c>
      <c r="F23" s="1" t="n"/>
      <c r="G23" s="10">
        <f>IF(P23="","",INDEX(Invoices!$B$6:$B$305,MATCH(P23,Invoices!$P$6:$P$305,0)))</f>
        <v/>
      </c>
      <c r="H23" s="13">
        <f>IF(P23="","",INDEX(Invoices!$C$6:$C$305,MATCH(P23,Invoices!$P$6:$P$305,0)))</f>
        <v/>
      </c>
      <c r="I23" s="14">
        <f>IF(P23="","",INDEX(Invoices!$J$6:$J$305,MATCH(P23,Invoices!$P$6:$P$305,0)))</f>
        <v/>
      </c>
      <c r="J23" s="15">
        <f>IF(P23="","",IF(INDEX(Invoices!$M$6:$M$305,MATCH(P23,Invoices!$P$6:$P$305,0))="Waiting","Due "&amp;DAY(INT(P23))&amp;" "&amp;CHOOSE(MONTH(INT(P23)),"Jan","Feb","Mar","Apr","May","Jun","Jul","Aug","Sep","Oct","Nov","Dec"),INDEX(Invoices!$M$6:$M$305,MATCH(P23,Invoices!$P$6:$P$305,0))))</f>
        <v/>
      </c>
      <c r="K23" s="1" t="n"/>
      <c r="L23" s="1" t="n"/>
      <c r="P23">
        <f>IFERROR(SMALL(Invoices!$P$6:$P$305,4),"")</f>
        <v/>
      </c>
    </row>
    <row r="24">
      <c r="A24" s="1" t="n"/>
      <c r="B24" s="10">
        <f>CHOOSE(MONTH(DATE(YEAR(TODAY()),MONTH(TODAY())-1,1)),"Jan","Feb","Mar","Apr","May","Jun","Jul","Aug","Sep","Oct","Nov","Dec")&amp;" "&amp;YEAR(DATE(YEAR(TODAY()),MONTH(TODAY())-1,1))</f>
        <v/>
      </c>
      <c r="C24" s="11">
        <f>SUMIFS(Timesheet!$M$6:$M$2005,Timesheet!$B$6:$B$2005,"&gt;="&amp;DATE(YEAR(TODAY()),MONTH(TODAY())-1,1),Timesheet!$B$6:$B$2005,"&lt;="&amp;EOMONTH(DATE(YEAR(TODAY()),MONTH(TODAY())-1,1),0))</f>
        <v/>
      </c>
      <c r="D24" s="12">
        <f>SUMIFS(Timesheet!$O$6:$O$2005,Timesheet!$B$6:$B$2005,"&gt;="&amp;DATE(YEAR(TODAY()),MONTH(TODAY())-1,1),Timesheet!$B$6:$B$2005,"&lt;="&amp;EOMONTH(DATE(YEAR(TODAY()),MONTH(TODAY())-1,1),0))</f>
        <v/>
      </c>
      <c r="E24" s="12">
        <f>SUMIFS(Invoices!$J$6:$J$305,Invoices!$L$6:$L$305,"&gt;="&amp;DATE(YEAR(TODAY()),MONTH(TODAY())-1,1),Invoices!$L$6:$L$305,"&lt;="&amp;EOMONTH(DATE(YEAR(TODAY()),MONTH(TODAY())-1,1),0))</f>
        <v/>
      </c>
      <c r="F24" s="1" t="n"/>
      <c r="G24" s="10">
        <f>IF(P24="","",INDEX(Invoices!$B$6:$B$305,MATCH(P24,Invoices!$P$6:$P$305,0)))</f>
        <v/>
      </c>
      <c r="H24" s="13">
        <f>IF(P24="","",INDEX(Invoices!$C$6:$C$305,MATCH(P24,Invoices!$P$6:$P$305,0)))</f>
        <v/>
      </c>
      <c r="I24" s="14">
        <f>IF(P24="","",INDEX(Invoices!$J$6:$J$305,MATCH(P24,Invoices!$P$6:$P$305,0)))</f>
        <v/>
      </c>
      <c r="J24" s="15">
        <f>IF(P24="","",IF(INDEX(Invoices!$M$6:$M$305,MATCH(P24,Invoices!$P$6:$P$305,0))="Waiting","Due "&amp;DAY(INT(P24))&amp;" "&amp;CHOOSE(MONTH(INT(P24)),"Jan","Feb","Mar","Apr","May","Jun","Jul","Aug","Sep","Oct","Nov","Dec"),INDEX(Invoices!$M$6:$M$305,MATCH(P24,Invoices!$P$6:$P$305,0))))</f>
        <v/>
      </c>
      <c r="K24" s="1" t="n"/>
      <c r="L24" s="1" t="n"/>
      <c r="P24">
        <f>IFERROR(SMALL(Invoices!$P$6:$P$305,5),"")</f>
        <v/>
      </c>
    </row>
    <row r="25">
      <c r="A25" s="1" t="n"/>
      <c r="B25" s="10">
        <f>CHOOSE(MONTH(DATE(YEAR(TODAY()),MONTH(TODAY())-0,1)),"Jan","Feb","Mar","Apr","May","Jun","Jul","Aug","Sep","Oct","Nov","Dec")&amp;" "&amp;YEAR(DATE(YEAR(TODAY()),MONTH(TODAY())-0,1))</f>
        <v/>
      </c>
      <c r="C25" s="11">
        <f>SUMIFS(Timesheet!$M$6:$M$2005,Timesheet!$B$6:$B$2005,"&gt;="&amp;DATE(YEAR(TODAY()),MONTH(TODAY())-0,1),Timesheet!$B$6:$B$2005,"&lt;="&amp;EOMONTH(DATE(YEAR(TODAY()),MONTH(TODAY())-0,1),0))</f>
        <v/>
      </c>
      <c r="D25" s="12">
        <f>SUMIFS(Timesheet!$O$6:$O$2005,Timesheet!$B$6:$B$2005,"&gt;="&amp;DATE(YEAR(TODAY()),MONTH(TODAY())-0,1),Timesheet!$B$6:$B$2005,"&lt;="&amp;EOMONTH(DATE(YEAR(TODAY()),MONTH(TODAY())-0,1),0))</f>
        <v/>
      </c>
      <c r="E25" s="12">
        <f>SUMIFS(Invoices!$J$6:$J$305,Invoices!$L$6:$L$305,"&gt;="&amp;DATE(YEAR(TODAY()),MONTH(TODAY())-0,1),Invoices!$L$6:$L$305,"&lt;="&amp;EOMONTH(DATE(YEAR(TODAY()),MONTH(TODAY())-0,1),0))</f>
        <v/>
      </c>
      <c r="F25" s="1" t="n"/>
      <c r="G25" s="10">
        <f>IF(P25="","",INDEX(Invoices!$B$6:$B$305,MATCH(P25,Invoices!$P$6:$P$305,0)))</f>
        <v/>
      </c>
      <c r="H25" s="13">
        <f>IF(P25="","",INDEX(Invoices!$C$6:$C$305,MATCH(P25,Invoices!$P$6:$P$305,0)))</f>
        <v/>
      </c>
      <c r="I25" s="14">
        <f>IF(P25="","",INDEX(Invoices!$J$6:$J$305,MATCH(P25,Invoices!$P$6:$P$305,0)))</f>
        <v/>
      </c>
      <c r="J25" s="15">
        <f>IF(P25="","",IF(INDEX(Invoices!$M$6:$M$305,MATCH(P25,Invoices!$P$6:$P$305,0))="Waiting","Due "&amp;DAY(INT(P25))&amp;" "&amp;CHOOSE(MONTH(INT(P25)),"Jan","Feb","Mar","Apr","May","Jun","Jul","Aug","Sep","Oct","Nov","Dec"),INDEX(Invoices!$M$6:$M$305,MATCH(P25,Invoices!$P$6:$P$305,0))))</f>
        <v/>
      </c>
      <c r="K25" s="1" t="n"/>
      <c r="L25" s="1" t="n"/>
      <c r="P25">
        <f>IFERROR(SMALL(Invoices!$P$6:$P$305,6),"")</f>
        <v/>
      </c>
    </row>
    <row r="26">
      <c r="A26" s="1" t="n"/>
      <c r="B26" s="1" t="n"/>
      <c r="C26" s="1" t="n"/>
      <c r="D26" s="1" t="n"/>
      <c r="E26" s="1" t="n"/>
      <c r="F26" s="1" t="n"/>
      <c r="G26" s="10">
        <f>IF(P26="","",INDEX(Invoices!$B$6:$B$305,MATCH(P26,Invoices!$P$6:$P$305,0)))</f>
        <v/>
      </c>
      <c r="H26" s="13">
        <f>IF(P26="","",INDEX(Invoices!$C$6:$C$305,MATCH(P26,Invoices!$P$6:$P$305,0)))</f>
        <v/>
      </c>
      <c r="I26" s="14">
        <f>IF(P26="","",INDEX(Invoices!$J$6:$J$305,MATCH(P26,Invoices!$P$6:$P$305,0)))</f>
        <v/>
      </c>
      <c r="J26" s="15">
        <f>IF(P26="","",IF(INDEX(Invoices!$M$6:$M$305,MATCH(P26,Invoices!$P$6:$P$305,0))="Waiting","Due "&amp;DAY(INT(P26))&amp;" "&amp;CHOOSE(MONTH(INT(P26)),"Jan","Feb","Mar","Apr","May","Jun","Jul","Aug","Sep","Oct","Nov","Dec"),INDEX(Invoices!$M$6:$M$305,MATCH(P26,Invoices!$P$6:$P$305,0))))</f>
        <v/>
      </c>
      <c r="K26" s="1" t="n"/>
      <c r="L26" s="1" t="n"/>
      <c r="P26">
        <f>IFERROR(SMALL(Invoices!$P$6:$P$305,7),"")</f>
        <v/>
      </c>
    </row>
    <row r="27">
      <c r="A27" s="1" t="n"/>
      <c r="B27" s="1" t="n"/>
      <c r="C27" s="1" t="n"/>
      <c r="D27" s="1" t="n"/>
      <c r="E27" s="1" t="n"/>
      <c r="F27" s="1" t="n"/>
      <c r="G27" s="10">
        <f>IF(P27="","",INDEX(Invoices!$B$6:$B$305,MATCH(P27,Invoices!$P$6:$P$305,0)))</f>
        <v/>
      </c>
      <c r="H27" s="13">
        <f>IF(P27="","",INDEX(Invoices!$C$6:$C$305,MATCH(P27,Invoices!$P$6:$P$305,0)))</f>
        <v/>
      </c>
      <c r="I27" s="14">
        <f>IF(P27="","",INDEX(Invoices!$J$6:$J$305,MATCH(P27,Invoices!$P$6:$P$305,0)))</f>
        <v/>
      </c>
      <c r="J27" s="15">
        <f>IF(P27="","",IF(INDEX(Invoices!$M$6:$M$305,MATCH(P27,Invoices!$P$6:$P$305,0))="Waiting","Due "&amp;DAY(INT(P27))&amp;" "&amp;CHOOSE(MONTH(INT(P27)),"Jan","Feb","Mar","Apr","May","Jun","Jul","Aug","Sep","Oct","Nov","Dec"),INDEX(Invoices!$M$6:$M$305,MATCH(P27,Invoices!$P$6:$P$305,0))))</f>
        <v/>
      </c>
      <c r="K27" s="1" t="n"/>
      <c r="L27" s="1" t="n"/>
      <c r="P27">
        <f>IFERROR(SMALL(Invoices!$P$6:$P$305,8),"")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</sheetData>
  <conditionalFormatting sqref="B9:E15">
    <cfRule type="expression" priority="1" dxfId="0">
      <formula>ROW()-9=WEEKDAY(TODAY(),3)</formula>
    </cfRule>
  </conditionalFormatting>
  <conditionalFormatting sqref="J20:J27">
    <cfRule type="expression" priority="2" dxfId="1">
      <formula>LEFT(J20,7)="Overdue"</formula>
    </cfRule>
    <cfRule type="expression" priority="3" dxfId="2">
      <formula>LEFT(J20,3)="Due"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7" customWidth="1" min="3" max="3"/>
    <col width="20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14" customWidth="1" min="12" max="12"/>
    <col width="7" customWidth="1" min="13" max="13"/>
    <col width="8" customWidth="1" min="14" max="14"/>
    <col width="10" customWidth="1" min="15" max="15"/>
    <col width="14" customWidth="1" min="16" max="16"/>
    <col width="12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2" customHeight="1">
      <c r="A2" s="1" t="n"/>
      <c r="B2" s="2" t="inlineStr">
        <is>
          <t>Timesheet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One line per piece of work: start and end times, or the hours typed in. Each line goes on the invoice for its client and dates by itself.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30" customHeight="1">
      <c r="A5" s="1" t="n"/>
      <c r="B5" s="9" t="inlineStr">
        <is>
          <t>Date</t>
        </is>
      </c>
      <c r="C5" s="9" t="inlineStr">
        <is>
          <t>Client</t>
        </is>
      </c>
      <c r="D5" s="9" t="inlineStr">
        <is>
          <t>Project</t>
        </is>
      </c>
      <c r="E5" s="9" t="inlineStr">
        <is>
          <t>What</t>
        </is>
      </c>
      <c r="F5" s="9" t="inlineStr">
        <is>
          <t>Start</t>
        </is>
      </c>
      <c r="G5" s="9" t="inlineStr">
        <is>
          <t>End</t>
        </is>
      </c>
      <c r="H5" s="9" t="inlineStr">
        <is>
          <t>Break (min)</t>
        </is>
      </c>
      <c r="I5" s="9" t="inlineStr">
        <is>
          <t>Hours typed</t>
        </is>
      </c>
      <c r="J5" s="9" t="inlineStr">
        <is>
          <t>Not billable</t>
        </is>
      </c>
      <c r="K5" s="9" t="inlineStr">
        <is>
          <t>Own rate</t>
        </is>
      </c>
      <c r="L5" s="9" t="inlineStr">
        <is>
          <t>Put on invoice</t>
        </is>
      </c>
      <c r="M5" s="9" t="inlineStr">
        <is>
          <t>Hours</t>
        </is>
      </c>
      <c r="N5" s="9" t="inlineStr">
        <is>
          <t>Rate</t>
        </is>
      </c>
      <c r="O5" s="9" t="inlineStr">
        <is>
          <t>Amount</t>
        </is>
      </c>
      <c r="P5" s="9" t="inlineStr">
        <is>
          <t>Invoice</t>
        </is>
      </c>
      <c r="Q5" s="9" t="inlineStr">
        <is>
          <t>Status</t>
        </is>
      </c>
      <c r="R5" s="1" t="n"/>
    </row>
    <row r="6">
      <c r="A6" s="1" t="n"/>
      <c r="B6" s="16" t="n">
        <v>46113</v>
      </c>
      <c r="C6" s="17" t="inlineStr">
        <is>
          <t>Harbour Books</t>
        </is>
      </c>
      <c r="D6" s="18" t="inlineStr">
        <is>
          <t>Spring catalogue</t>
        </is>
      </c>
      <c r="E6" s="18" t="inlineStr">
        <is>
          <t>Cover design</t>
        </is>
      </c>
      <c r="F6" s="19" t="n">
        <v>0.3958333333333333</v>
      </c>
      <c r="G6" s="19" t="n">
        <v>0.5520833333333334</v>
      </c>
      <c r="H6" s="20" t="n">
        <v>15</v>
      </c>
      <c r="I6" s="21" t="n"/>
      <c r="J6" s="22" t="n"/>
      <c r="K6" s="23" t="n"/>
      <c r="L6" s="18" t="n"/>
      <c r="M6" s="24">
        <f>IF(B6="","",IF(AND(F6&lt;&gt;"",G6&lt;&gt;""),MAX(0,ROUND(MOD(G6-F6,1)*24-N(H6)/60,2)),N(I6)))</f>
        <v/>
      </c>
      <c r="N6" s="14">
        <f>IF(B6="","",IF(K6&lt;&gt;"",K6,IF(N(IFERROR(INDEX(Projects!$D$6:$D$65,MATCH(D6,Projects!$B$6:$B$65,0)),""))&gt;0,IFERROR(INDEX(Projects!$D$6:$D$65,MATCH(D6,Projects!$B$6:$B$65,0)),""),IFERROR(INDEX(Clients!$G$6:$G$45,MATCH(C6,Clients!$B$6:$B$45,0)),0))))</f>
        <v/>
      </c>
      <c r="O6" s="14">
        <f>IF(B6="","",IF(J6&lt;&gt;"",0,ROUND(M6*N6,2)))</f>
        <v/>
      </c>
      <c r="P6" s="15">
        <f>IF(OR(B6="",J6&lt;&gt;""),"",IF(L6&lt;&gt;"",L6,IF(COUNTIFS(Invoices!$C$6:$C$305,C6,Invoices!$E$6:$E$305,"&lt;="&amp;B6,Invoices!$F$6:$F$305,"&gt;="&amp;B6)=1,INDEX(Invoices!$B$6:$B$305,SUMIFS(Invoices!$O$6:$O$305,Invoices!$C$6:$C$305,C6,Invoices!$E$6:$E$305,"&lt;="&amp;B6,Invoices!$F$6:$F$305,"&gt;="&amp;B6)),IF(COUNTIFS(Invoices!$C$6:$C$305,C6,Invoices!$E$6:$E$305,"&lt;="&amp;B6,Invoices!$F$6:$F$305,"&gt;="&amp;B6)&gt;1,"Two invoices",""))))</f>
        <v/>
      </c>
      <c r="Q6" s="15">
        <f>IF(B6="","",IF(J6&lt;&gt;"","Not billable",IF(P6="","To invoice",IF(P6="Two invoices","Check dates",IF(ISNA(MATCH(P6,Invoices!$B$6:$B$305,0)),"Check number",IF(INDEX(Invoices!$M$6:$M$305,MATCH(P6,Invoices!$B$6:$B$305,0))="Paid","Paid",IF(INDEX(Invoices!$M$6:$M$305,MATCH(P6,Invoices!$B$6:$B$305,0))="Draft","Draft","Invoiced")))))))</f>
        <v/>
      </c>
      <c r="R6" s="1">
        <f>IF(AND(B6&lt;&gt;"",P6&lt;&gt;"",P6=Invoice!$G$4),B6+MOD(N(F6),1)+ROW()/10000000,"")</f>
        <v/>
      </c>
      <c r="S6">
        <f>IF(R6="","",IF(D6="","Other work",D6)&amp;IF(AND(K6&lt;&gt;"",E6&lt;&gt;""),", "&amp;E6,""))</f>
        <v/>
      </c>
      <c r="T6">
        <f>IF(R6="","",R6)</f>
        <v/>
      </c>
      <c r="U6">
        <f>IF(B6="","",IF(J6&lt;&gt;"",0,M6))</f>
        <v/>
      </c>
    </row>
    <row r="7">
      <c r="A7" s="1" t="n"/>
      <c r="B7" s="16" t="n">
        <v>46114</v>
      </c>
      <c r="C7" s="17" t="inlineStr">
        <is>
          <t>Harbour Books</t>
        </is>
      </c>
      <c r="D7" s="18" t="inlineStr">
        <is>
          <t>Spring catalogue</t>
        </is>
      </c>
      <c r="E7" s="18" t="inlineStr">
        <is>
          <t>Cover design</t>
        </is>
      </c>
      <c r="F7" s="19" t="n"/>
      <c r="G7" s="19" t="n"/>
      <c r="H7" s="20" t="n"/>
      <c r="I7" s="21" t="n">
        <v>2.5</v>
      </c>
      <c r="J7" s="22" t="n"/>
      <c r="K7" s="23" t="n"/>
      <c r="L7" s="18" t="n"/>
      <c r="M7" s="24">
        <f>IF(B7="","",IF(AND(F7&lt;&gt;"",G7&lt;&gt;""),MAX(0,ROUND(MOD(G7-F7,1)*24-N(H7)/60,2)),N(I7)))</f>
        <v/>
      </c>
      <c r="N7" s="14">
        <f>IF(B7="","",IF(K7&lt;&gt;"",K7,IF(N(IFERROR(INDEX(Projects!$D$6:$D$65,MATCH(D7,Projects!$B$6:$B$65,0)),""))&gt;0,IFERROR(INDEX(Projects!$D$6:$D$65,MATCH(D7,Projects!$B$6:$B$65,0)),""),IFERROR(INDEX(Clients!$G$6:$G$45,MATCH(C7,Clients!$B$6:$B$45,0)),0))))</f>
        <v/>
      </c>
      <c r="O7" s="14">
        <f>IF(B7="","",IF(J7&lt;&gt;"",0,ROUND(M7*N7,2)))</f>
        <v/>
      </c>
      <c r="P7" s="15">
        <f>IF(OR(B7="",J7&lt;&gt;""),"",IF(L7&lt;&gt;"",L7,IF(COUNTIFS(Invoices!$C$6:$C$305,C7,Invoices!$E$6:$E$305,"&lt;="&amp;B7,Invoices!$F$6:$F$305,"&gt;="&amp;B7)=1,INDEX(Invoices!$B$6:$B$305,SUMIFS(Invoices!$O$6:$O$305,Invoices!$C$6:$C$305,C7,Invoices!$E$6:$E$305,"&lt;="&amp;B7,Invoices!$F$6:$F$305,"&gt;="&amp;B7)),IF(COUNTIFS(Invoices!$C$6:$C$305,C7,Invoices!$E$6:$E$305,"&lt;="&amp;B7,Invoices!$F$6:$F$305,"&gt;="&amp;B7)&gt;1,"Two invoices",""))))</f>
        <v/>
      </c>
      <c r="Q7" s="15">
        <f>IF(B7="","",IF(J7&lt;&gt;"","Not billable",IF(P7="","To invoice",IF(P7="Two invoices","Check dates",IF(ISNA(MATCH(P7,Invoices!$B$6:$B$305,0)),"Check number",IF(INDEX(Invoices!$M$6:$M$305,MATCH(P7,Invoices!$B$6:$B$305,0))="Paid","Paid",IF(INDEX(Invoices!$M$6:$M$305,MATCH(P7,Invoices!$B$6:$B$305,0))="Draft","Draft","Invoiced")))))))</f>
        <v/>
      </c>
      <c r="R7" s="1">
        <f>IF(AND(B7&lt;&gt;"",P7&lt;&gt;"",P7=Invoice!$G$4),B7+MOD(N(F7),1)+ROW()/10000000,"")</f>
        <v/>
      </c>
      <c r="S7">
        <f>IF(R7="","",IF(D7="","Other work",D7)&amp;IF(AND(K7&lt;&gt;"",E7&lt;&gt;""),", "&amp;E7,""))</f>
        <v/>
      </c>
      <c r="T7">
        <f>IF(R7="","",IF(COUNTIFS(R$6:R6,"&gt;0",S$6:S6,S7,N$6:N6,N7)=0,R7,""))</f>
        <v/>
      </c>
      <c r="U7">
        <f>IF(B7="","",IF(J7&lt;&gt;"",0,M7))</f>
        <v/>
      </c>
    </row>
    <row r="8">
      <c r="A8" s="1" t="n"/>
      <c r="B8" s="16" t="n">
        <v>46115</v>
      </c>
      <c r="C8" s="17" t="inlineStr">
        <is>
          <t>Greenleaf Studio</t>
        </is>
      </c>
      <c r="D8" s="18" t="inlineStr">
        <is>
          <t>Monthly social posts</t>
        </is>
      </c>
      <c r="E8" s="18" t="inlineStr">
        <is>
          <t>Captions and scheduling</t>
        </is>
      </c>
      <c r="F8" s="19" t="n">
        <v>0.375</v>
      </c>
      <c r="G8" s="19" t="n">
        <v>0.5104166666666666</v>
      </c>
      <c r="H8" s="20" t="n">
        <v>15</v>
      </c>
      <c r="I8" s="21" t="n"/>
      <c r="J8" s="22" t="n"/>
      <c r="K8" s="23" t="n"/>
      <c r="L8" s="18" t="n"/>
      <c r="M8" s="24">
        <f>IF(B8="","",IF(AND(F8&lt;&gt;"",G8&lt;&gt;""),MAX(0,ROUND(MOD(G8-F8,1)*24-N(H8)/60,2)),N(I8)))</f>
        <v/>
      </c>
      <c r="N8" s="14">
        <f>IF(B8="","",IF(K8&lt;&gt;"",K8,IF(N(IFERROR(INDEX(Projects!$D$6:$D$65,MATCH(D8,Projects!$B$6:$B$65,0)),""))&gt;0,IFERROR(INDEX(Projects!$D$6:$D$65,MATCH(D8,Projects!$B$6:$B$65,0)),""),IFERROR(INDEX(Clients!$G$6:$G$45,MATCH(C8,Clients!$B$6:$B$45,0)),0))))</f>
        <v/>
      </c>
      <c r="O8" s="14">
        <f>IF(B8="","",IF(J8&lt;&gt;"",0,ROUND(M8*N8,2)))</f>
        <v/>
      </c>
      <c r="P8" s="15">
        <f>IF(OR(B8="",J8&lt;&gt;""),"",IF(L8&lt;&gt;"",L8,IF(COUNTIFS(Invoices!$C$6:$C$305,C8,Invoices!$E$6:$E$305,"&lt;="&amp;B8,Invoices!$F$6:$F$305,"&gt;="&amp;B8)=1,INDEX(Invoices!$B$6:$B$305,SUMIFS(Invoices!$O$6:$O$305,Invoices!$C$6:$C$305,C8,Invoices!$E$6:$E$305,"&lt;="&amp;B8,Invoices!$F$6:$F$305,"&gt;="&amp;B8)),IF(COUNTIFS(Invoices!$C$6:$C$305,C8,Invoices!$E$6:$E$305,"&lt;="&amp;B8,Invoices!$F$6:$F$305,"&gt;="&amp;B8)&gt;1,"Two invoices",""))))</f>
        <v/>
      </c>
      <c r="Q8" s="15">
        <f>IF(B8="","",IF(J8&lt;&gt;"","Not billable",IF(P8="","To invoice",IF(P8="Two invoices","Check dates",IF(ISNA(MATCH(P8,Invoices!$B$6:$B$305,0)),"Check number",IF(INDEX(Invoices!$M$6:$M$305,MATCH(P8,Invoices!$B$6:$B$305,0))="Paid","Paid",IF(INDEX(Invoices!$M$6:$M$305,MATCH(P8,Invoices!$B$6:$B$305,0))="Draft","Draft","Invoiced")))))))</f>
        <v/>
      </c>
      <c r="R8" s="1">
        <f>IF(AND(B8&lt;&gt;"",P8&lt;&gt;"",P8=Invoice!$G$4),B8+MOD(N(F8),1)+ROW()/10000000,"")</f>
        <v/>
      </c>
      <c r="S8">
        <f>IF(R8="","",IF(D8="","Other work",D8)&amp;IF(AND(K8&lt;&gt;"",E8&lt;&gt;""),", "&amp;E8,""))</f>
        <v/>
      </c>
      <c r="T8">
        <f>IF(R8="","",IF(COUNTIFS(R$6:R7,"&gt;0",S$6:S7,S8,N$6:N7,N8)=0,R8,""))</f>
        <v/>
      </c>
      <c r="U8">
        <f>IF(B8="","",IF(J8&lt;&gt;"",0,M8))</f>
        <v/>
      </c>
    </row>
    <row r="9">
      <c r="A9" s="1" t="n"/>
      <c r="B9" s="16" t="n">
        <v>46115</v>
      </c>
      <c r="C9" s="17" t="inlineStr">
        <is>
          <t>Harbour Books</t>
        </is>
      </c>
      <c r="D9" s="18" t="inlineStr">
        <is>
          <t>Spring catalogue</t>
        </is>
      </c>
      <c r="E9" s="18" t="inlineStr">
        <is>
          <t>Product pages</t>
        </is>
      </c>
      <c r="F9" s="19" t="n">
        <v>0.5208333333333334</v>
      </c>
      <c r="G9" s="19" t="n">
        <v>0.625</v>
      </c>
      <c r="H9" s="20" t="n"/>
      <c r="I9" s="21" t="n"/>
      <c r="J9" s="22" t="n"/>
      <c r="K9" s="23" t="n"/>
      <c r="L9" s="18" t="n"/>
      <c r="M9" s="24">
        <f>IF(B9="","",IF(AND(F9&lt;&gt;"",G9&lt;&gt;""),MAX(0,ROUND(MOD(G9-F9,1)*24-N(H9)/60,2)),N(I9)))</f>
        <v/>
      </c>
      <c r="N9" s="14">
        <f>IF(B9="","",IF(K9&lt;&gt;"",K9,IF(N(IFERROR(INDEX(Projects!$D$6:$D$65,MATCH(D9,Projects!$B$6:$B$65,0)),""))&gt;0,IFERROR(INDEX(Projects!$D$6:$D$65,MATCH(D9,Projects!$B$6:$B$65,0)),""),IFERROR(INDEX(Clients!$G$6:$G$45,MATCH(C9,Clients!$B$6:$B$45,0)),0))))</f>
        <v/>
      </c>
      <c r="O9" s="14">
        <f>IF(B9="","",IF(J9&lt;&gt;"",0,ROUND(M9*N9,2)))</f>
        <v/>
      </c>
      <c r="P9" s="15">
        <f>IF(OR(B9="",J9&lt;&gt;""),"",IF(L9&lt;&gt;"",L9,IF(COUNTIFS(Invoices!$C$6:$C$305,C9,Invoices!$E$6:$E$305,"&lt;="&amp;B9,Invoices!$F$6:$F$305,"&gt;="&amp;B9)=1,INDEX(Invoices!$B$6:$B$305,SUMIFS(Invoices!$O$6:$O$305,Invoices!$C$6:$C$305,C9,Invoices!$E$6:$E$305,"&lt;="&amp;B9,Invoices!$F$6:$F$305,"&gt;="&amp;B9)),IF(COUNTIFS(Invoices!$C$6:$C$305,C9,Invoices!$E$6:$E$305,"&lt;="&amp;B9,Invoices!$F$6:$F$305,"&gt;="&amp;B9)&gt;1,"Two invoices",""))))</f>
        <v/>
      </c>
      <c r="Q9" s="15">
        <f>IF(B9="","",IF(J9&lt;&gt;"","Not billable",IF(P9="","To invoice",IF(P9="Two invoices","Check dates",IF(ISNA(MATCH(P9,Invoices!$B$6:$B$305,0)),"Check number",IF(INDEX(Invoices!$M$6:$M$305,MATCH(P9,Invoices!$B$6:$B$305,0))="Paid","Paid",IF(INDEX(Invoices!$M$6:$M$305,MATCH(P9,Invoices!$B$6:$B$305,0))="Draft","Draft","Invoiced")))))))</f>
        <v/>
      </c>
      <c r="R9" s="1">
        <f>IF(AND(B9&lt;&gt;"",P9&lt;&gt;"",P9=Invoice!$G$4),B9+MOD(N(F9),1)+ROW()/10000000,"")</f>
        <v/>
      </c>
      <c r="S9">
        <f>IF(R9="","",IF(D9="","Other work",D9)&amp;IF(AND(K9&lt;&gt;"",E9&lt;&gt;""),", "&amp;E9,""))</f>
        <v/>
      </c>
      <c r="T9">
        <f>IF(R9="","",IF(COUNTIFS(R$6:R8,"&gt;0",S$6:S8,S9,N$6:N8,N9)=0,R9,""))</f>
        <v/>
      </c>
      <c r="U9">
        <f>IF(B9="","",IF(J9&lt;&gt;"",0,M9))</f>
        <v/>
      </c>
    </row>
    <row r="10">
      <c r="A10" s="1" t="n"/>
      <c r="B10" s="16" t="n">
        <v>46115</v>
      </c>
      <c r="C10" s="17" t="inlineStr">
        <is>
          <t>Harbour Books</t>
        </is>
      </c>
      <c r="D10" s="18" t="inlineStr">
        <is>
          <t>Spring catalogue</t>
        </is>
      </c>
      <c r="E10" s="18" t="inlineStr">
        <is>
          <t>Catalogue layout</t>
        </is>
      </c>
      <c r="F10" s="19" t="n">
        <v>0.6354166666666666</v>
      </c>
      <c r="G10" s="19" t="n">
        <v>0.7604166666666666</v>
      </c>
      <c r="H10" s="20" t="n"/>
      <c r="I10" s="21" t="n"/>
      <c r="J10" s="22" t="n"/>
      <c r="K10" s="23" t="n"/>
      <c r="L10" s="18" t="n"/>
      <c r="M10" s="24">
        <f>IF(B10="","",IF(AND(F10&lt;&gt;"",G10&lt;&gt;""),MAX(0,ROUND(MOD(G10-F10,1)*24-N(H10)/60,2)),N(I10)))</f>
        <v/>
      </c>
      <c r="N10" s="14">
        <f>IF(B10="","",IF(K10&lt;&gt;"",K10,IF(N(IFERROR(INDEX(Projects!$D$6:$D$65,MATCH(D10,Projects!$B$6:$B$65,0)),""))&gt;0,IFERROR(INDEX(Projects!$D$6:$D$65,MATCH(D10,Projects!$B$6:$B$65,0)),""),IFERROR(INDEX(Clients!$G$6:$G$45,MATCH(C10,Clients!$B$6:$B$45,0)),0))))</f>
        <v/>
      </c>
      <c r="O10" s="14">
        <f>IF(B10="","",IF(J10&lt;&gt;"",0,ROUND(M10*N10,2)))</f>
        <v/>
      </c>
      <c r="P10" s="15">
        <f>IF(OR(B10="",J10&lt;&gt;""),"",IF(L10&lt;&gt;"",L10,IF(COUNTIFS(Invoices!$C$6:$C$305,C10,Invoices!$E$6:$E$305,"&lt;="&amp;B10,Invoices!$F$6:$F$305,"&gt;="&amp;B10)=1,INDEX(Invoices!$B$6:$B$305,SUMIFS(Invoices!$O$6:$O$305,Invoices!$C$6:$C$305,C10,Invoices!$E$6:$E$305,"&lt;="&amp;B10,Invoices!$F$6:$F$305,"&gt;="&amp;B10)),IF(COUNTIFS(Invoices!$C$6:$C$305,C10,Invoices!$E$6:$E$305,"&lt;="&amp;B10,Invoices!$F$6:$F$305,"&gt;="&amp;B10)&gt;1,"Two invoices",""))))</f>
        <v/>
      </c>
      <c r="Q10" s="15">
        <f>IF(B10="","",IF(J10&lt;&gt;"","Not billable",IF(P10="","To invoice",IF(P10="Two invoices","Check dates",IF(ISNA(MATCH(P10,Invoices!$B$6:$B$305,0)),"Check number",IF(INDEX(Invoices!$M$6:$M$305,MATCH(P10,Invoices!$B$6:$B$305,0))="Paid","Paid",IF(INDEX(Invoices!$M$6:$M$305,MATCH(P10,Invoices!$B$6:$B$305,0))="Draft","Draft","Invoiced")))))))</f>
        <v/>
      </c>
      <c r="R10" s="1">
        <f>IF(AND(B10&lt;&gt;"",P10&lt;&gt;"",P10=Invoice!$G$4),B10+MOD(N(F10),1)+ROW()/10000000,"")</f>
        <v/>
      </c>
      <c r="S10">
        <f>IF(R10="","",IF(D10="","Other work",D10)&amp;IF(AND(K10&lt;&gt;"",E10&lt;&gt;""),", "&amp;E10,""))</f>
        <v/>
      </c>
      <c r="T10">
        <f>IF(R10="","",IF(COUNTIFS(R$6:R9,"&gt;0",S$6:S9,S10,N$6:N9,N10)=0,R10,""))</f>
        <v/>
      </c>
      <c r="U10">
        <f>IF(B10="","",IF(J10&lt;&gt;"",0,M10))</f>
        <v/>
      </c>
    </row>
    <row r="11">
      <c r="A11" s="1" t="n"/>
      <c r="B11" s="16" t="n">
        <v>46118</v>
      </c>
      <c r="C11" s="17" t="inlineStr">
        <is>
          <t>Harbour Books</t>
        </is>
      </c>
      <c r="D11" s="18" t="inlineStr">
        <is>
          <t>Spring catalogue</t>
        </is>
      </c>
      <c r="E11" s="18" t="inlineStr">
        <is>
          <t>Cover design</t>
        </is>
      </c>
      <c r="F11" s="19" t="n">
        <v>0.3958333333333333</v>
      </c>
      <c r="G11" s="19" t="n">
        <v>0.4375</v>
      </c>
      <c r="H11" s="20" t="n"/>
      <c r="I11" s="21" t="n"/>
      <c r="J11" s="22" t="n"/>
      <c r="K11" s="23" t="n"/>
      <c r="L11" s="18" t="n"/>
      <c r="M11" s="24">
        <f>IF(B11="","",IF(AND(F11&lt;&gt;"",G11&lt;&gt;""),MAX(0,ROUND(MOD(G11-F11,1)*24-N(H11)/60,2)),N(I11)))</f>
        <v/>
      </c>
      <c r="N11" s="14">
        <f>IF(B11="","",IF(K11&lt;&gt;"",K11,IF(N(IFERROR(INDEX(Projects!$D$6:$D$65,MATCH(D11,Projects!$B$6:$B$65,0)),""))&gt;0,IFERROR(INDEX(Projects!$D$6:$D$65,MATCH(D11,Projects!$B$6:$B$65,0)),""),IFERROR(INDEX(Clients!$G$6:$G$45,MATCH(C11,Clients!$B$6:$B$45,0)),0))))</f>
        <v/>
      </c>
      <c r="O11" s="14">
        <f>IF(B11="","",IF(J11&lt;&gt;"",0,ROUND(M11*N11,2)))</f>
        <v/>
      </c>
      <c r="P11" s="15">
        <f>IF(OR(B11="",J11&lt;&gt;""),"",IF(L11&lt;&gt;"",L11,IF(COUNTIFS(Invoices!$C$6:$C$305,C11,Invoices!$E$6:$E$305,"&lt;="&amp;B11,Invoices!$F$6:$F$305,"&gt;="&amp;B11)=1,INDEX(Invoices!$B$6:$B$305,SUMIFS(Invoices!$O$6:$O$305,Invoices!$C$6:$C$305,C11,Invoices!$E$6:$E$305,"&lt;="&amp;B11,Invoices!$F$6:$F$305,"&gt;="&amp;B11)),IF(COUNTIFS(Invoices!$C$6:$C$305,C11,Invoices!$E$6:$E$305,"&lt;="&amp;B11,Invoices!$F$6:$F$305,"&gt;="&amp;B11)&gt;1,"Two invoices",""))))</f>
        <v/>
      </c>
      <c r="Q11" s="15">
        <f>IF(B11="","",IF(J11&lt;&gt;"","Not billable",IF(P11="","To invoice",IF(P11="Two invoices","Check dates",IF(ISNA(MATCH(P11,Invoices!$B$6:$B$305,0)),"Check number",IF(INDEX(Invoices!$M$6:$M$305,MATCH(P11,Invoices!$B$6:$B$305,0))="Paid","Paid",IF(INDEX(Invoices!$M$6:$M$305,MATCH(P11,Invoices!$B$6:$B$305,0))="Draft","Draft","Invoiced")))))))</f>
        <v/>
      </c>
      <c r="R11" s="1">
        <f>IF(AND(B11&lt;&gt;"",P11&lt;&gt;"",P11=Invoice!$G$4),B11+MOD(N(F11),1)+ROW()/10000000,"")</f>
        <v/>
      </c>
      <c r="S11">
        <f>IF(R11="","",IF(D11="","Other work",D11)&amp;IF(AND(K11&lt;&gt;"",E11&lt;&gt;""),", "&amp;E11,""))</f>
        <v/>
      </c>
      <c r="T11">
        <f>IF(R11="","",IF(COUNTIFS(R$6:R10,"&gt;0",S$6:S10,S11,N$6:N10,N11)=0,R11,""))</f>
        <v/>
      </c>
      <c r="U11">
        <f>IF(B11="","",IF(J11&lt;&gt;"",0,M11))</f>
        <v/>
      </c>
    </row>
    <row r="12">
      <c r="A12" s="1" t="n"/>
      <c r="B12" s="16" t="n">
        <v>46118</v>
      </c>
      <c r="C12" s="17" t="inlineStr">
        <is>
          <t>Harbour Books</t>
        </is>
      </c>
      <c r="D12" s="18" t="inlineStr">
        <is>
          <t>Spring catalogue</t>
        </is>
      </c>
      <c r="E12" s="18" t="inlineStr">
        <is>
          <t>Proof corrections</t>
        </is>
      </c>
      <c r="F12" s="19" t="n">
        <v>0.46875</v>
      </c>
      <c r="G12" s="19" t="n">
        <v>0.5104166666666666</v>
      </c>
      <c r="H12" s="20" t="n"/>
      <c r="I12" s="21" t="n"/>
      <c r="J12" s="22" t="n"/>
      <c r="K12" s="23" t="n"/>
      <c r="L12" s="18" t="n"/>
      <c r="M12" s="24">
        <f>IF(B12="","",IF(AND(F12&lt;&gt;"",G12&lt;&gt;""),MAX(0,ROUND(MOD(G12-F12,1)*24-N(H12)/60,2)),N(I12)))</f>
        <v/>
      </c>
      <c r="N12" s="14">
        <f>IF(B12="","",IF(K12&lt;&gt;"",K12,IF(N(IFERROR(INDEX(Projects!$D$6:$D$65,MATCH(D12,Projects!$B$6:$B$65,0)),""))&gt;0,IFERROR(INDEX(Projects!$D$6:$D$65,MATCH(D12,Projects!$B$6:$B$65,0)),""),IFERROR(INDEX(Clients!$G$6:$G$45,MATCH(C12,Clients!$B$6:$B$45,0)),0))))</f>
        <v/>
      </c>
      <c r="O12" s="14">
        <f>IF(B12="","",IF(J12&lt;&gt;"",0,ROUND(M12*N12,2)))</f>
        <v/>
      </c>
      <c r="P12" s="15">
        <f>IF(OR(B12="",J12&lt;&gt;""),"",IF(L12&lt;&gt;"",L12,IF(COUNTIFS(Invoices!$C$6:$C$305,C12,Invoices!$E$6:$E$305,"&lt;="&amp;B12,Invoices!$F$6:$F$305,"&gt;="&amp;B12)=1,INDEX(Invoices!$B$6:$B$305,SUMIFS(Invoices!$O$6:$O$305,Invoices!$C$6:$C$305,C12,Invoices!$E$6:$E$305,"&lt;="&amp;B12,Invoices!$F$6:$F$305,"&gt;="&amp;B12)),IF(COUNTIFS(Invoices!$C$6:$C$305,C12,Invoices!$E$6:$E$305,"&lt;="&amp;B12,Invoices!$F$6:$F$305,"&gt;="&amp;B12)&gt;1,"Two invoices",""))))</f>
        <v/>
      </c>
      <c r="Q12" s="15">
        <f>IF(B12="","",IF(J12&lt;&gt;"","Not billable",IF(P12="","To invoice",IF(P12="Two invoices","Check dates",IF(ISNA(MATCH(P12,Invoices!$B$6:$B$305,0)),"Check number",IF(INDEX(Invoices!$M$6:$M$305,MATCH(P12,Invoices!$B$6:$B$305,0))="Paid","Paid",IF(INDEX(Invoices!$M$6:$M$305,MATCH(P12,Invoices!$B$6:$B$305,0))="Draft","Draft","Invoiced")))))))</f>
        <v/>
      </c>
      <c r="R12" s="1">
        <f>IF(AND(B12&lt;&gt;"",P12&lt;&gt;"",P12=Invoice!$G$4),B12+MOD(N(F12),1)+ROW()/10000000,"")</f>
        <v/>
      </c>
      <c r="S12">
        <f>IF(R12="","",IF(D12="","Other work",D12)&amp;IF(AND(K12&lt;&gt;"",E12&lt;&gt;""),", "&amp;E12,""))</f>
        <v/>
      </c>
      <c r="T12">
        <f>IF(R12="","",IF(COUNTIFS(R$6:R11,"&gt;0",S$6:S11,S12,N$6:N11,N12)=0,R12,""))</f>
        <v/>
      </c>
      <c r="U12">
        <f>IF(B12="","",IF(J12&lt;&gt;"",0,M12))</f>
        <v/>
      </c>
    </row>
    <row r="13">
      <c r="A13" s="1" t="n"/>
      <c r="B13" s="16" t="n">
        <v>46119</v>
      </c>
      <c r="C13" s="17" t="inlineStr">
        <is>
          <t>Harbour Books</t>
        </is>
      </c>
      <c r="D13" s="18" t="inlineStr">
        <is>
          <t>Spring catalogue</t>
        </is>
      </c>
      <c r="E13" s="18" t="inlineStr">
        <is>
          <t>Proof corrections</t>
        </is>
      </c>
      <c r="F13" s="19" t="n">
        <v>0.375</v>
      </c>
      <c r="G13" s="19" t="n">
        <v>0.4583333333333333</v>
      </c>
      <c r="H13" s="20" t="n"/>
      <c r="I13" s="21" t="n"/>
      <c r="J13" s="22" t="n"/>
      <c r="K13" s="23" t="n"/>
      <c r="L13" s="18" t="n"/>
      <c r="M13" s="24">
        <f>IF(B13="","",IF(AND(F13&lt;&gt;"",G13&lt;&gt;""),MAX(0,ROUND(MOD(G13-F13,1)*24-N(H13)/60,2)),N(I13)))</f>
        <v/>
      </c>
      <c r="N13" s="14">
        <f>IF(B13="","",IF(K13&lt;&gt;"",K13,IF(N(IFERROR(INDEX(Projects!$D$6:$D$65,MATCH(D13,Projects!$B$6:$B$65,0)),""))&gt;0,IFERROR(INDEX(Projects!$D$6:$D$65,MATCH(D13,Projects!$B$6:$B$65,0)),""),IFERROR(INDEX(Clients!$G$6:$G$45,MATCH(C13,Clients!$B$6:$B$45,0)),0))))</f>
        <v/>
      </c>
      <c r="O13" s="14">
        <f>IF(B13="","",IF(J13&lt;&gt;"",0,ROUND(M13*N13,2)))</f>
        <v/>
      </c>
      <c r="P13" s="15">
        <f>IF(OR(B13="",J13&lt;&gt;""),"",IF(L13&lt;&gt;"",L13,IF(COUNTIFS(Invoices!$C$6:$C$305,C13,Invoices!$E$6:$E$305,"&lt;="&amp;B13,Invoices!$F$6:$F$305,"&gt;="&amp;B13)=1,INDEX(Invoices!$B$6:$B$305,SUMIFS(Invoices!$O$6:$O$305,Invoices!$C$6:$C$305,C13,Invoices!$E$6:$E$305,"&lt;="&amp;B13,Invoices!$F$6:$F$305,"&gt;="&amp;B13)),IF(COUNTIFS(Invoices!$C$6:$C$305,C13,Invoices!$E$6:$E$305,"&lt;="&amp;B13,Invoices!$F$6:$F$305,"&gt;="&amp;B13)&gt;1,"Two invoices",""))))</f>
        <v/>
      </c>
      <c r="Q13" s="15">
        <f>IF(B13="","",IF(J13&lt;&gt;"","Not billable",IF(P13="","To invoice",IF(P13="Two invoices","Check dates",IF(ISNA(MATCH(P13,Invoices!$B$6:$B$305,0)),"Check number",IF(INDEX(Invoices!$M$6:$M$305,MATCH(P13,Invoices!$B$6:$B$305,0))="Paid","Paid",IF(INDEX(Invoices!$M$6:$M$305,MATCH(P13,Invoices!$B$6:$B$305,0))="Draft","Draft","Invoiced")))))))</f>
        <v/>
      </c>
      <c r="R13" s="1">
        <f>IF(AND(B13&lt;&gt;"",P13&lt;&gt;"",P13=Invoice!$G$4),B13+MOD(N(F13),1)+ROW()/10000000,"")</f>
        <v/>
      </c>
      <c r="S13">
        <f>IF(R13="","",IF(D13="","Other work",D13)&amp;IF(AND(K13&lt;&gt;"",E13&lt;&gt;""),", "&amp;E13,""))</f>
        <v/>
      </c>
      <c r="T13">
        <f>IF(R13="","",IF(COUNTIFS(R$6:R12,"&gt;0",S$6:S12,S13,N$6:N12,N13)=0,R13,""))</f>
        <v/>
      </c>
      <c r="U13">
        <f>IF(B13="","",IF(J13&lt;&gt;"",0,M13))</f>
        <v/>
      </c>
    </row>
    <row r="14">
      <c r="A14" s="1" t="n"/>
      <c r="B14" s="16" t="n">
        <v>46119</v>
      </c>
      <c r="C14" s="17" t="inlineStr">
        <is>
          <t>Harbour Books</t>
        </is>
      </c>
      <c r="D14" s="18" t="inlineStr">
        <is>
          <t>Spring catalogue</t>
        </is>
      </c>
      <c r="E14" s="18" t="inlineStr">
        <is>
          <t>Catalogue layout</t>
        </is>
      </c>
      <c r="F14" s="19" t="n">
        <v>0.4895833333333333</v>
      </c>
      <c r="G14" s="19" t="n">
        <v>0.53125</v>
      </c>
      <c r="H14" s="20" t="n"/>
      <c r="I14" s="21" t="n"/>
      <c r="J14" s="22" t="n"/>
      <c r="K14" s="23" t="n"/>
      <c r="L14" s="18" t="n"/>
      <c r="M14" s="24">
        <f>IF(B14="","",IF(AND(F14&lt;&gt;"",G14&lt;&gt;""),MAX(0,ROUND(MOD(G14-F14,1)*24-N(H14)/60,2)),N(I14)))</f>
        <v/>
      </c>
      <c r="N14" s="14">
        <f>IF(B14="","",IF(K14&lt;&gt;"",K14,IF(N(IFERROR(INDEX(Projects!$D$6:$D$65,MATCH(D14,Projects!$B$6:$B$65,0)),""))&gt;0,IFERROR(INDEX(Projects!$D$6:$D$65,MATCH(D14,Projects!$B$6:$B$65,0)),""),IFERROR(INDEX(Clients!$G$6:$G$45,MATCH(C14,Clients!$B$6:$B$45,0)),0))))</f>
        <v/>
      </c>
      <c r="O14" s="14">
        <f>IF(B14="","",IF(J14&lt;&gt;"",0,ROUND(M14*N14,2)))</f>
        <v/>
      </c>
      <c r="P14" s="15">
        <f>IF(OR(B14="",J14&lt;&gt;""),"",IF(L14&lt;&gt;"",L14,IF(COUNTIFS(Invoices!$C$6:$C$305,C14,Invoices!$E$6:$E$305,"&lt;="&amp;B14,Invoices!$F$6:$F$305,"&gt;="&amp;B14)=1,INDEX(Invoices!$B$6:$B$305,SUMIFS(Invoices!$O$6:$O$305,Invoices!$C$6:$C$305,C14,Invoices!$E$6:$E$305,"&lt;="&amp;B14,Invoices!$F$6:$F$305,"&gt;="&amp;B14)),IF(COUNTIFS(Invoices!$C$6:$C$305,C14,Invoices!$E$6:$E$305,"&lt;="&amp;B14,Invoices!$F$6:$F$305,"&gt;="&amp;B14)&gt;1,"Two invoices",""))))</f>
        <v/>
      </c>
      <c r="Q14" s="15">
        <f>IF(B14="","",IF(J14&lt;&gt;"","Not billable",IF(P14="","To invoice",IF(P14="Two invoices","Check dates",IF(ISNA(MATCH(P14,Invoices!$B$6:$B$305,0)),"Check number",IF(INDEX(Invoices!$M$6:$M$305,MATCH(P14,Invoices!$B$6:$B$305,0))="Paid","Paid",IF(INDEX(Invoices!$M$6:$M$305,MATCH(P14,Invoices!$B$6:$B$305,0))="Draft","Draft","Invoiced")))))))</f>
        <v/>
      </c>
      <c r="R14" s="1">
        <f>IF(AND(B14&lt;&gt;"",P14&lt;&gt;"",P14=Invoice!$G$4),B14+MOD(N(F14),1)+ROW()/10000000,"")</f>
        <v/>
      </c>
      <c r="S14">
        <f>IF(R14="","",IF(D14="","Other work",D14)&amp;IF(AND(K14&lt;&gt;"",E14&lt;&gt;""),", "&amp;E14,""))</f>
        <v/>
      </c>
      <c r="T14">
        <f>IF(R14="","",IF(COUNTIFS(R$6:R13,"&gt;0",S$6:S13,S14,N$6:N13,N14)=0,R14,""))</f>
        <v/>
      </c>
      <c r="U14">
        <f>IF(B14="","",IF(J14&lt;&gt;"",0,M14))</f>
        <v/>
      </c>
    </row>
    <row r="15">
      <c r="A15" s="1" t="n"/>
      <c r="B15" s="16" t="n">
        <v>46120</v>
      </c>
      <c r="C15" s="17" t="inlineStr">
        <is>
          <t>Harbour Books</t>
        </is>
      </c>
      <c r="D15" s="18" t="inlineStr">
        <is>
          <t>Spring catalogue</t>
        </is>
      </c>
      <c r="E15" s="18" t="inlineStr">
        <is>
          <t>Product pages</t>
        </is>
      </c>
      <c r="F15" s="19" t="n">
        <v>0.3958333333333333</v>
      </c>
      <c r="G15" s="19" t="n">
        <v>0.4791666666666667</v>
      </c>
      <c r="H15" s="20" t="n"/>
      <c r="I15" s="21" t="n"/>
      <c r="J15" s="22" t="n"/>
      <c r="K15" s="23" t="n"/>
      <c r="L15" s="18" t="n"/>
      <c r="M15" s="24">
        <f>IF(B15="","",IF(AND(F15&lt;&gt;"",G15&lt;&gt;""),MAX(0,ROUND(MOD(G15-F15,1)*24-N(H15)/60,2)),N(I15)))</f>
        <v/>
      </c>
      <c r="N15" s="14">
        <f>IF(B15="","",IF(K15&lt;&gt;"",K15,IF(N(IFERROR(INDEX(Projects!$D$6:$D$65,MATCH(D15,Projects!$B$6:$B$65,0)),""))&gt;0,IFERROR(INDEX(Projects!$D$6:$D$65,MATCH(D15,Projects!$B$6:$B$65,0)),""),IFERROR(INDEX(Clients!$G$6:$G$45,MATCH(C15,Clients!$B$6:$B$45,0)),0))))</f>
        <v/>
      </c>
      <c r="O15" s="14">
        <f>IF(B15="","",IF(J15&lt;&gt;"",0,ROUND(M15*N15,2)))</f>
        <v/>
      </c>
      <c r="P15" s="15">
        <f>IF(OR(B15="",J15&lt;&gt;""),"",IF(L15&lt;&gt;"",L15,IF(COUNTIFS(Invoices!$C$6:$C$305,C15,Invoices!$E$6:$E$305,"&lt;="&amp;B15,Invoices!$F$6:$F$305,"&gt;="&amp;B15)=1,INDEX(Invoices!$B$6:$B$305,SUMIFS(Invoices!$O$6:$O$305,Invoices!$C$6:$C$305,C15,Invoices!$E$6:$E$305,"&lt;="&amp;B15,Invoices!$F$6:$F$305,"&gt;="&amp;B15)),IF(COUNTIFS(Invoices!$C$6:$C$305,C15,Invoices!$E$6:$E$305,"&lt;="&amp;B15,Invoices!$F$6:$F$305,"&gt;="&amp;B15)&gt;1,"Two invoices",""))))</f>
        <v/>
      </c>
      <c r="Q15" s="15">
        <f>IF(B15="","",IF(J15&lt;&gt;"","Not billable",IF(P15="","To invoice",IF(P15="Two invoices","Check dates",IF(ISNA(MATCH(P15,Invoices!$B$6:$B$305,0)),"Check number",IF(INDEX(Invoices!$M$6:$M$305,MATCH(P15,Invoices!$B$6:$B$305,0))="Paid","Paid",IF(INDEX(Invoices!$M$6:$M$305,MATCH(P15,Invoices!$B$6:$B$305,0))="Draft","Draft","Invoiced")))))))</f>
        <v/>
      </c>
      <c r="R15" s="1">
        <f>IF(AND(B15&lt;&gt;"",P15&lt;&gt;"",P15=Invoice!$G$4),B15+MOD(N(F15),1)+ROW()/10000000,"")</f>
        <v/>
      </c>
      <c r="S15">
        <f>IF(R15="","",IF(D15="","Other work",D15)&amp;IF(AND(K15&lt;&gt;"",E15&lt;&gt;""),", "&amp;E15,""))</f>
        <v/>
      </c>
      <c r="T15">
        <f>IF(R15="","",IF(COUNTIFS(R$6:R14,"&gt;0",S$6:S14,S15,N$6:N14,N15)=0,R15,""))</f>
        <v/>
      </c>
      <c r="U15">
        <f>IF(B15="","",IF(J15&lt;&gt;"",0,M15))</f>
        <v/>
      </c>
    </row>
    <row r="16">
      <c r="A16" s="1" t="n"/>
      <c r="B16" s="16" t="n">
        <v>46120</v>
      </c>
      <c r="C16" s="17" t="inlineStr">
        <is>
          <t>Harbour Books</t>
        </is>
      </c>
      <c r="D16" s="18" t="inlineStr">
        <is>
          <t>Spring catalogue</t>
        </is>
      </c>
      <c r="E16" s="18" t="inlineStr">
        <is>
          <t>Cover design</t>
        </is>
      </c>
      <c r="F16" s="19" t="n">
        <v>0.5</v>
      </c>
      <c r="G16" s="19" t="n">
        <v>0.6458333333333334</v>
      </c>
      <c r="H16" s="20" t="n"/>
      <c r="I16" s="21" t="n"/>
      <c r="J16" s="22" t="n"/>
      <c r="K16" s="23" t="n"/>
      <c r="L16" s="18" t="n"/>
      <c r="M16" s="24">
        <f>IF(B16="","",IF(AND(F16&lt;&gt;"",G16&lt;&gt;""),MAX(0,ROUND(MOD(G16-F16,1)*24-N(H16)/60,2)),N(I16)))</f>
        <v/>
      </c>
      <c r="N16" s="14">
        <f>IF(B16="","",IF(K16&lt;&gt;"",K16,IF(N(IFERROR(INDEX(Projects!$D$6:$D$65,MATCH(D16,Projects!$B$6:$B$65,0)),""))&gt;0,IFERROR(INDEX(Projects!$D$6:$D$65,MATCH(D16,Projects!$B$6:$B$65,0)),""),IFERROR(INDEX(Clients!$G$6:$G$45,MATCH(C16,Clients!$B$6:$B$45,0)),0))))</f>
        <v/>
      </c>
      <c r="O16" s="14">
        <f>IF(B16="","",IF(J16&lt;&gt;"",0,ROUND(M16*N16,2)))</f>
        <v/>
      </c>
      <c r="P16" s="15">
        <f>IF(OR(B16="",J16&lt;&gt;""),"",IF(L16&lt;&gt;"",L16,IF(COUNTIFS(Invoices!$C$6:$C$305,C16,Invoices!$E$6:$E$305,"&lt;="&amp;B16,Invoices!$F$6:$F$305,"&gt;="&amp;B16)=1,INDEX(Invoices!$B$6:$B$305,SUMIFS(Invoices!$O$6:$O$305,Invoices!$C$6:$C$305,C16,Invoices!$E$6:$E$305,"&lt;="&amp;B16,Invoices!$F$6:$F$305,"&gt;="&amp;B16)),IF(COUNTIFS(Invoices!$C$6:$C$305,C16,Invoices!$E$6:$E$305,"&lt;="&amp;B16,Invoices!$F$6:$F$305,"&gt;="&amp;B16)&gt;1,"Two invoices",""))))</f>
        <v/>
      </c>
      <c r="Q16" s="15">
        <f>IF(B16="","",IF(J16&lt;&gt;"","Not billable",IF(P16="","To invoice",IF(P16="Two invoices","Check dates",IF(ISNA(MATCH(P16,Invoices!$B$6:$B$305,0)),"Check number",IF(INDEX(Invoices!$M$6:$M$305,MATCH(P16,Invoices!$B$6:$B$305,0))="Paid","Paid",IF(INDEX(Invoices!$M$6:$M$305,MATCH(P16,Invoices!$B$6:$B$305,0))="Draft","Draft","Invoiced")))))))</f>
        <v/>
      </c>
      <c r="R16" s="1">
        <f>IF(AND(B16&lt;&gt;"",P16&lt;&gt;"",P16=Invoice!$G$4),B16+MOD(N(F16),1)+ROW()/10000000,"")</f>
        <v/>
      </c>
      <c r="S16">
        <f>IF(R16="","",IF(D16="","Other work",D16)&amp;IF(AND(K16&lt;&gt;"",E16&lt;&gt;""),", "&amp;E16,""))</f>
        <v/>
      </c>
      <c r="T16">
        <f>IF(R16="","",IF(COUNTIFS(R$6:R15,"&gt;0",S$6:S15,S16,N$6:N15,N16)=0,R16,""))</f>
        <v/>
      </c>
      <c r="U16">
        <f>IF(B16="","",IF(J16&lt;&gt;"",0,M16))</f>
        <v/>
      </c>
    </row>
    <row r="17">
      <c r="A17" s="1" t="n"/>
      <c r="B17" s="16" t="n">
        <v>46120</v>
      </c>
      <c r="C17" s="17" t="inlineStr">
        <is>
          <t>Greenleaf Studio</t>
        </is>
      </c>
      <c r="D17" s="18" t="inlineStr">
        <is>
          <t>Monthly social posts</t>
        </is>
      </c>
      <c r="E17" s="18" t="inlineStr">
        <is>
          <t>Captions and scheduling</t>
        </is>
      </c>
      <c r="F17" s="19" t="n">
        <v>0.6666666666666666</v>
      </c>
      <c r="G17" s="19" t="n">
        <v>0.75</v>
      </c>
      <c r="H17" s="20" t="n"/>
      <c r="I17" s="21" t="n"/>
      <c r="J17" s="22" t="n"/>
      <c r="K17" s="23" t="n"/>
      <c r="L17" s="18" t="n"/>
      <c r="M17" s="24">
        <f>IF(B17="","",IF(AND(F17&lt;&gt;"",G17&lt;&gt;""),MAX(0,ROUND(MOD(G17-F17,1)*24-N(H17)/60,2)),N(I17)))</f>
        <v/>
      </c>
      <c r="N17" s="14">
        <f>IF(B17="","",IF(K17&lt;&gt;"",K17,IF(N(IFERROR(INDEX(Projects!$D$6:$D$65,MATCH(D17,Projects!$B$6:$B$65,0)),""))&gt;0,IFERROR(INDEX(Projects!$D$6:$D$65,MATCH(D17,Projects!$B$6:$B$65,0)),""),IFERROR(INDEX(Clients!$G$6:$G$45,MATCH(C17,Clients!$B$6:$B$45,0)),0))))</f>
        <v/>
      </c>
      <c r="O17" s="14">
        <f>IF(B17="","",IF(J17&lt;&gt;"",0,ROUND(M17*N17,2)))</f>
        <v/>
      </c>
      <c r="P17" s="15">
        <f>IF(OR(B17="",J17&lt;&gt;""),"",IF(L17&lt;&gt;"",L17,IF(COUNTIFS(Invoices!$C$6:$C$305,C17,Invoices!$E$6:$E$305,"&lt;="&amp;B17,Invoices!$F$6:$F$305,"&gt;="&amp;B17)=1,INDEX(Invoices!$B$6:$B$305,SUMIFS(Invoices!$O$6:$O$305,Invoices!$C$6:$C$305,C17,Invoices!$E$6:$E$305,"&lt;="&amp;B17,Invoices!$F$6:$F$305,"&gt;="&amp;B17)),IF(COUNTIFS(Invoices!$C$6:$C$305,C17,Invoices!$E$6:$E$305,"&lt;="&amp;B17,Invoices!$F$6:$F$305,"&gt;="&amp;B17)&gt;1,"Two invoices",""))))</f>
        <v/>
      </c>
      <c r="Q17" s="15">
        <f>IF(B17="","",IF(J17&lt;&gt;"","Not billable",IF(P17="","To invoice",IF(P17="Two invoices","Check dates",IF(ISNA(MATCH(P17,Invoices!$B$6:$B$305,0)),"Check number",IF(INDEX(Invoices!$M$6:$M$305,MATCH(P17,Invoices!$B$6:$B$305,0))="Paid","Paid",IF(INDEX(Invoices!$M$6:$M$305,MATCH(P17,Invoices!$B$6:$B$305,0))="Draft","Draft","Invoiced")))))))</f>
        <v/>
      </c>
      <c r="R17" s="1">
        <f>IF(AND(B17&lt;&gt;"",P17&lt;&gt;"",P17=Invoice!$G$4),B17+MOD(N(F17),1)+ROW()/10000000,"")</f>
        <v/>
      </c>
      <c r="S17">
        <f>IF(R17="","",IF(D17="","Other work",D17)&amp;IF(AND(K17&lt;&gt;"",E17&lt;&gt;""),", "&amp;E17,""))</f>
        <v/>
      </c>
      <c r="T17">
        <f>IF(R17="","",IF(COUNTIFS(R$6:R16,"&gt;0",S$6:S16,S17,N$6:N16,N17)=0,R17,""))</f>
        <v/>
      </c>
      <c r="U17">
        <f>IF(B17="","",IF(J17&lt;&gt;"",0,M17))</f>
        <v/>
      </c>
    </row>
    <row r="18">
      <c r="A18" s="1" t="n"/>
      <c r="B18" s="16" t="n">
        <v>46121</v>
      </c>
      <c r="C18" s="17" t="inlineStr">
        <is>
          <t>Greenleaf Studio</t>
        </is>
      </c>
      <c r="D18" s="18" t="inlineStr">
        <is>
          <t>Monthly social posts</t>
        </is>
      </c>
      <c r="E18" s="18" t="inlineStr">
        <is>
          <t>Captions and scheduling</t>
        </is>
      </c>
      <c r="F18" s="19" t="n"/>
      <c r="G18" s="19" t="n"/>
      <c r="H18" s="20" t="n"/>
      <c r="I18" s="21" t="n">
        <v>2.5</v>
      </c>
      <c r="J18" s="22" t="n"/>
      <c r="K18" s="23" t="n"/>
      <c r="L18" s="18" t="n"/>
      <c r="M18" s="24">
        <f>IF(B18="","",IF(AND(F18&lt;&gt;"",G18&lt;&gt;""),MAX(0,ROUND(MOD(G18-F18,1)*24-N(H18)/60,2)),N(I18)))</f>
        <v/>
      </c>
      <c r="N18" s="14">
        <f>IF(B18="","",IF(K18&lt;&gt;"",K18,IF(N(IFERROR(INDEX(Projects!$D$6:$D$65,MATCH(D18,Projects!$B$6:$B$65,0)),""))&gt;0,IFERROR(INDEX(Projects!$D$6:$D$65,MATCH(D18,Projects!$B$6:$B$65,0)),""),IFERROR(INDEX(Clients!$G$6:$G$45,MATCH(C18,Clients!$B$6:$B$45,0)),0))))</f>
        <v/>
      </c>
      <c r="O18" s="14">
        <f>IF(B18="","",IF(J18&lt;&gt;"",0,ROUND(M18*N18,2)))</f>
        <v/>
      </c>
      <c r="P18" s="15">
        <f>IF(OR(B18="",J18&lt;&gt;""),"",IF(L18&lt;&gt;"",L18,IF(COUNTIFS(Invoices!$C$6:$C$305,C18,Invoices!$E$6:$E$305,"&lt;="&amp;B18,Invoices!$F$6:$F$305,"&gt;="&amp;B18)=1,INDEX(Invoices!$B$6:$B$305,SUMIFS(Invoices!$O$6:$O$305,Invoices!$C$6:$C$305,C18,Invoices!$E$6:$E$305,"&lt;="&amp;B18,Invoices!$F$6:$F$305,"&gt;="&amp;B18)),IF(COUNTIFS(Invoices!$C$6:$C$305,C18,Invoices!$E$6:$E$305,"&lt;="&amp;B18,Invoices!$F$6:$F$305,"&gt;="&amp;B18)&gt;1,"Two invoices",""))))</f>
        <v/>
      </c>
      <c r="Q18" s="15">
        <f>IF(B18="","",IF(J18&lt;&gt;"","Not billable",IF(P18="","To invoice",IF(P18="Two invoices","Check dates",IF(ISNA(MATCH(P18,Invoices!$B$6:$B$305,0)),"Check number",IF(INDEX(Invoices!$M$6:$M$305,MATCH(P18,Invoices!$B$6:$B$305,0))="Paid","Paid",IF(INDEX(Invoices!$M$6:$M$305,MATCH(P18,Invoices!$B$6:$B$305,0))="Draft","Draft","Invoiced")))))))</f>
        <v/>
      </c>
      <c r="R18" s="1">
        <f>IF(AND(B18&lt;&gt;"",P18&lt;&gt;"",P18=Invoice!$G$4),B18+MOD(N(F18),1)+ROW()/10000000,"")</f>
        <v/>
      </c>
      <c r="S18">
        <f>IF(R18="","",IF(D18="","Other work",D18)&amp;IF(AND(K18&lt;&gt;"",E18&lt;&gt;""),", "&amp;E18,""))</f>
        <v/>
      </c>
      <c r="T18">
        <f>IF(R18="","",IF(COUNTIFS(R$6:R17,"&gt;0",S$6:S17,S18,N$6:N17,N18)=0,R18,""))</f>
        <v/>
      </c>
      <c r="U18">
        <f>IF(B18="","",IF(J18&lt;&gt;"",0,M18))</f>
        <v/>
      </c>
    </row>
    <row r="19">
      <c r="A19" s="1" t="n"/>
      <c r="B19" s="16" t="n">
        <v>46121</v>
      </c>
      <c r="C19" s="17" t="inlineStr">
        <is>
          <t>Harbour Books</t>
        </is>
      </c>
      <c r="D19" s="18" t="inlineStr">
        <is>
          <t>Spring catalogue</t>
        </is>
      </c>
      <c r="E19" s="18" t="inlineStr">
        <is>
          <t>Proof corrections</t>
        </is>
      </c>
      <c r="F19" s="19" t="n">
        <v>0.3958333333333333</v>
      </c>
      <c r="G19" s="19" t="n">
        <v>0.5416666666666666</v>
      </c>
      <c r="H19" s="20" t="n"/>
      <c r="I19" s="21" t="n"/>
      <c r="J19" s="22" t="n"/>
      <c r="K19" s="23" t="n"/>
      <c r="L19" s="18" t="n"/>
      <c r="M19" s="24">
        <f>IF(B19="","",IF(AND(F19&lt;&gt;"",G19&lt;&gt;""),MAX(0,ROUND(MOD(G19-F19,1)*24-N(H19)/60,2)),N(I19)))</f>
        <v/>
      </c>
      <c r="N19" s="14">
        <f>IF(B19="","",IF(K19&lt;&gt;"",K19,IF(N(IFERROR(INDEX(Projects!$D$6:$D$65,MATCH(D19,Projects!$B$6:$B$65,0)),""))&gt;0,IFERROR(INDEX(Projects!$D$6:$D$65,MATCH(D19,Projects!$B$6:$B$65,0)),""),IFERROR(INDEX(Clients!$G$6:$G$45,MATCH(C19,Clients!$B$6:$B$45,0)),0))))</f>
        <v/>
      </c>
      <c r="O19" s="14">
        <f>IF(B19="","",IF(J19&lt;&gt;"",0,ROUND(M19*N19,2)))</f>
        <v/>
      </c>
      <c r="P19" s="15">
        <f>IF(OR(B19="",J19&lt;&gt;""),"",IF(L19&lt;&gt;"",L19,IF(COUNTIFS(Invoices!$C$6:$C$305,C19,Invoices!$E$6:$E$305,"&lt;="&amp;B19,Invoices!$F$6:$F$305,"&gt;="&amp;B19)=1,INDEX(Invoices!$B$6:$B$305,SUMIFS(Invoices!$O$6:$O$305,Invoices!$C$6:$C$305,C19,Invoices!$E$6:$E$305,"&lt;="&amp;B19,Invoices!$F$6:$F$305,"&gt;="&amp;B19)),IF(COUNTIFS(Invoices!$C$6:$C$305,C19,Invoices!$E$6:$E$305,"&lt;="&amp;B19,Invoices!$F$6:$F$305,"&gt;="&amp;B19)&gt;1,"Two invoices",""))))</f>
        <v/>
      </c>
      <c r="Q19" s="15">
        <f>IF(B19="","",IF(J19&lt;&gt;"","Not billable",IF(P19="","To invoice",IF(P19="Two invoices","Check dates",IF(ISNA(MATCH(P19,Invoices!$B$6:$B$305,0)),"Check number",IF(INDEX(Invoices!$M$6:$M$305,MATCH(P19,Invoices!$B$6:$B$305,0))="Paid","Paid",IF(INDEX(Invoices!$M$6:$M$305,MATCH(P19,Invoices!$B$6:$B$305,0))="Draft","Draft","Invoiced")))))))</f>
        <v/>
      </c>
      <c r="R19" s="1">
        <f>IF(AND(B19&lt;&gt;"",P19&lt;&gt;"",P19=Invoice!$G$4),B19+MOD(N(F19),1)+ROW()/10000000,"")</f>
        <v/>
      </c>
      <c r="S19">
        <f>IF(R19="","",IF(D19="","Other work",D19)&amp;IF(AND(K19&lt;&gt;"",E19&lt;&gt;""),", "&amp;E19,""))</f>
        <v/>
      </c>
      <c r="T19">
        <f>IF(R19="","",IF(COUNTIFS(R$6:R18,"&gt;0",S$6:S18,S19,N$6:N18,N19)=0,R19,""))</f>
        <v/>
      </c>
      <c r="U19">
        <f>IF(B19="","",IF(J19&lt;&gt;"",0,M19))</f>
        <v/>
      </c>
    </row>
    <row r="20">
      <c r="A20" s="1" t="n"/>
      <c r="B20" s="16" t="n">
        <v>46121</v>
      </c>
      <c r="C20" s="17" t="inlineStr">
        <is>
          <t>Harbour Books</t>
        </is>
      </c>
      <c r="D20" s="18" t="inlineStr">
        <is>
          <t>Spring catalogue</t>
        </is>
      </c>
      <c r="E20" s="18" t="inlineStr">
        <is>
          <t>Product pages</t>
        </is>
      </c>
      <c r="F20" s="19" t="n">
        <v>0.5625</v>
      </c>
      <c r="G20" s="19" t="n">
        <v>0.7083333333333334</v>
      </c>
      <c r="H20" s="20" t="n"/>
      <c r="I20" s="21" t="n"/>
      <c r="J20" s="22" t="n"/>
      <c r="K20" s="23" t="n"/>
      <c r="L20" s="18" t="n"/>
      <c r="M20" s="24">
        <f>IF(B20="","",IF(AND(F20&lt;&gt;"",G20&lt;&gt;""),MAX(0,ROUND(MOD(G20-F20,1)*24-N(H20)/60,2)),N(I20)))</f>
        <v/>
      </c>
      <c r="N20" s="14">
        <f>IF(B20="","",IF(K20&lt;&gt;"",K20,IF(N(IFERROR(INDEX(Projects!$D$6:$D$65,MATCH(D20,Projects!$B$6:$B$65,0)),""))&gt;0,IFERROR(INDEX(Projects!$D$6:$D$65,MATCH(D20,Projects!$B$6:$B$65,0)),""),IFERROR(INDEX(Clients!$G$6:$G$45,MATCH(C20,Clients!$B$6:$B$45,0)),0))))</f>
        <v/>
      </c>
      <c r="O20" s="14">
        <f>IF(B20="","",IF(J20&lt;&gt;"",0,ROUND(M20*N20,2)))</f>
        <v/>
      </c>
      <c r="P20" s="15">
        <f>IF(OR(B20="",J20&lt;&gt;""),"",IF(L20&lt;&gt;"",L20,IF(COUNTIFS(Invoices!$C$6:$C$305,C20,Invoices!$E$6:$E$305,"&lt;="&amp;B20,Invoices!$F$6:$F$305,"&gt;="&amp;B20)=1,INDEX(Invoices!$B$6:$B$305,SUMIFS(Invoices!$O$6:$O$305,Invoices!$C$6:$C$305,C20,Invoices!$E$6:$E$305,"&lt;="&amp;B20,Invoices!$F$6:$F$305,"&gt;="&amp;B20)),IF(COUNTIFS(Invoices!$C$6:$C$305,C20,Invoices!$E$6:$E$305,"&lt;="&amp;B20,Invoices!$F$6:$F$305,"&gt;="&amp;B20)&gt;1,"Two invoices",""))))</f>
        <v/>
      </c>
      <c r="Q20" s="15">
        <f>IF(B20="","",IF(J20&lt;&gt;"","Not billable",IF(P20="","To invoice",IF(P20="Two invoices","Check dates",IF(ISNA(MATCH(P20,Invoices!$B$6:$B$305,0)),"Check number",IF(INDEX(Invoices!$M$6:$M$305,MATCH(P20,Invoices!$B$6:$B$305,0))="Paid","Paid",IF(INDEX(Invoices!$M$6:$M$305,MATCH(P20,Invoices!$B$6:$B$305,0))="Draft","Draft","Invoiced")))))))</f>
        <v/>
      </c>
      <c r="R20" s="1">
        <f>IF(AND(B20&lt;&gt;"",P20&lt;&gt;"",P20=Invoice!$G$4),B20+MOD(N(F20),1)+ROW()/10000000,"")</f>
        <v/>
      </c>
      <c r="S20">
        <f>IF(R20="","",IF(D20="","Other work",D20)&amp;IF(AND(K20&lt;&gt;"",E20&lt;&gt;""),", "&amp;E20,""))</f>
        <v/>
      </c>
      <c r="T20">
        <f>IF(R20="","",IF(COUNTIFS(R$6:R19,"&gt;0",S$6:S19,S20,N$6:N19,N20)=0,R20,""))</f>
        <v/>
      </c>
      <c r="U20">
        <f>IF(B20="","",IF(J20&lt;&gt;"",0,M20))</f>
        <v/>
      </c>
    </row>
    <row r="21">
      <c r="A21" s="1" t="n"/>
      <c r="B21" s="16" t="n">
        <v>46122</v>
      </c>
      <c r="C21" s="17" t="inlineStr">
        <is>
          <t>Greenleaf Studio</t>
        </is>
      </c>
      <c r="D21" s="18" t="inlineStr">
        <is>
          <t>Monthly social posts</t>
        </is>
      </c>
      <c r="E21" s="18" t="inlineStr">
        <is>
          <t>Post designs</t>
        </is>
      </c>
      <c r="F21" s="19" t="n"/>
      <c r="G21" s="19" t="n"/>
      <c r="H21" s="20" t="n"/>
      <c r="I21" s="21" t="n">
        <v>3</v>
      </c>
      <c r="J21" s="22" t="n"/>
      <c r="K21" s="23" t="n"/>
      <c r="L21" s="18" t="n"/>
      <c r="M21" s="24">
        <f>IF(B21="","",IF(AND(F21&lt;&gt;"",G21&lt;&gt;""),MAX(0,ROUND(MOD(G21-F21,1)*24-N(H21)/60,2)),N(I21)))</f>
        <v/>
      </c>
      <c r="N21" s="14">
        <f>IF(B21="","",IF(K21&lt;&gt;"",K21,IF(N(IFERROR(INDEX(Projects!$D$6:$D$65,MATCH(D21,Projects!$B$6:$B$65,0)),""))&gt;0,IFERROR(INDEX(Projects!$D$6:$D$65,MATCH(D21,Projects!$B$6:$B$65,0)),""),IFERROR(INDEX(Clients!$G$6:$G$45,MATCH(C21,Clients!$B$6:$B$45,0)),0))))</f>
        <v/>
      </c>
      <c r="O21" s="14">
        <f>IF(B21="","",IF(J21&lt;&gt;"",0,ROUND(M21*N21,2)))</f>
        <v/>
      </c>
      <c r="P21" s="15">
        <f>IF(OR(B21="",J21&lt;&gt;""),"",IF(L21&lt;&gt;"",L21,IF(COUNTIFS(Invoices!$C$6:$C$305,C21,Invoices!$E$6:$E$305,"&lt;="&amp;B21,Invoices!$F$6:$F$305,"&gt;="&amp;B21)=1,INDEX(Invoices!$B$6:$B$305,SUMIFS(Invoices!$O$6:$O$305,Invoices!$C$6:$C$305,C21,Invoices!$E$6:$E$305,"&lt;="&amp;B21,Invoices!$F$6:$F$305,"&gt;="&amp;B21)),IF(COUNTIFS(Invoices!$C$6:$C$305,C21,Invoices!$E$6:$E$305,"&lt;="&amp;B21,Invoices!$F$6:$F$305,"&gt;="&amp;B21)&gt;1,"Two invoices",""))))</f>
        <v/>
      </c>
      <c r="Q21" s="15">
        <f>IF(B21="","",IF(J21&lt;&gt;"","Not billable",IF(P21="","To invoice",IF(P21="Two invoices","Check dates",IF(ISNA(MATCH(P21,Invoices!$B$6:$B$305,0)),"Check number",IF(INDEX(Invoices!$M$6:$M$305,MATCH(P21,Invoices!$B$6:$B$305,0))="Paid","Paid",IF(INDEX(Invoices!$M$6:$M$305,MATCH(P21,Invoices!$B$6:$B$305,0))="Draft","Draft","Invoiced")))))))</f>
        <v/>
      </c>
      <c r="R21" s="1">
        <f>IF(AND(B21&lt;&gt;"",P21&lt;&gt;"",P21=Invoice!$G$4),B21+MOD(N(F21),1)+ROW()/10000000,"")</f>
        <v/>
      </c>
      <c r="S21">
        <f>IF(R21="","",IF(D21="","Other work",D21)&amp;IF(AND(K21&lt;&gt;"",E21&lt;&gt;""),", "&amp;E21,""))</f>
        <v/>
      </c>
      <c r="T21">
        <f>IF(R21="","",IF(COUNTIFS(R$6:R20,"&gt;0",S$6:S20,S21,N$6:N20,N21)=0,R21,""))</f>
        <v/>
      </c>
      <c r="U21">
        <f>IF(B21="","",IF(J21&lt;&gt;"",0,M21))</f>
        <v/>
      </c>
    </row>
    <row r="22">
      <c r="A22" s="1" t="n"/>
      <c r="B22" s="16" t="n">
        <v>46125</v>
      </c>
      <c r="C22" s="17" t="inlineStr">
        <is>
          <t>Harbour Books</t>
        </is>
      </c>
      <c r="D22" s="18" t="inlineStr">
        <is>
          <t>Spring catalogue</t>
        </is>
      </c>
      <c r="E22" s="18" t="inlineStr">
        <is>
          <t>Cover design</t>
        </is>
      </c>
      <c r="F22" s="19" t="n"/>
      <c r="G22" s="19" t="n"/>
      <c r="H22" s="20" t="n"/>
      <c r="I22" s="21" t="n">
        <v>3.5</v>
      </c>
      <c r="J22" s="22" t="n"/>
      <c r="K22" s="23" t="n"/>
      <c r="L22" s="18" t="n"/>
      <c r="M22" s="24">
        <f>IF(B22="","",IF(AND(F22&lt;&gt;"",G22&lt;&gt;""),MAX(0,ROUND(MOD(G22-F22,1)*24-N(H22)/60,2)),N(I22)))</f>
        <v/>
      </c>
      <c r="N22" s="14">
        <f>IF(B22="","",IF(K22&lt;&gt;"",K22,IF(N(IFERROR(INDEX(Projects!$D$6:$D$65,MATCH(D22,Projects!$B$6:$B$65,0)),""))&gt;0,IFERROR(INDEX(Projects!$D$6:$D$65,MATCH(D22,Projects!$B$6:$B$65,0)),""),IFERROR(INDEX(Clients!$G$6:$G$45,MATCH(C22,Clients!$B$6:$B$45,0)),0))))</f>
        <v/>
      </c>
      <c r="O22" s="14">
        <f>IF(B22="","",IF(J22&lt;&gt;"",0,ROUND(M22*N22,2)))</f>
        <v/>
      </c>
      <c r="P22" s="15">
        <f>IF(OR(B22="",J22&lt;&gt;""),"",IF(L22&lt;&gt;"",L22,IF(COUNTIFS(Invoices!$C$6:$C$305,C22,Invoices!$E$6:$E$305,"&lt;="&amp;B22,Invoices!$F$6:$F$305,"&gt;="&amp;B22)=1,INDEX(Invoices!$B$6:$B$305,SUMIFS(Invoices!$O$6:$O$305,Invoices!$C$6:$C$305,C22,Invoices!$E$6:$E$305,"&lt;="&amp;B22,Invoices!$F$6:$F$305,"&gt;="&amp;B22)),IF(COUNTIFS(Invoices!$C$6:$C$305,C22,Invoices!$E$6:$E$305,"&lt;="&amp;B22,Invoices!$F$6:$F$305,"&gt;="&amp;B22)&gt;1,"Two invoices",""))))</f>
        <v/>
      </c>
      <c r="Q22" s="15">
        <f>IF(B22="","",IF(J22&lt;&gt;"","Not billable",IF(P22="","To invoice",IF(P22="Two invoices","Check dates",IF(ISNA(MATCH(P22,Invoices!$B$6:$B$305,0)),"Check number",IF(INDEX(Invoices!$M$6:$M$305,MATCH(P22,Invoices!$B$6:$B$305,0))="Paid","Paid",IF(INDEX(Invoices!$M$6:$M$305,MATCH(P22,Invoices!$B$6:$B$305,0))="Draft","Draft","Invoiced")))))))</f>
        <v/>
      </c>
      <c r="R22" s="1">
        <f>IF(AND(B22&lt;&gt;"",P22&lt;&gt;"",P22=Invoice!$G$4),B22+MOD(N(F22),1)+ROW()/10000000,"")</f>
        <v/>
      </c>
      <c r="S22">
        <f>IF(R22="","",IF(D22="","Other work",D22)&amp;IF(AND(K22&lt;&gt;"",E22&lt;&gt;""),", "&amp;E22,""))</f>
        <v/>
      </c>
      <c r="T22">
        <f>IF(R22="","",IF(COUNTIFS(R$6:R21,"&gt;0",S$6:S21,S22,N$6:N21,N22)=0,R22,""))</f>
        <v/>
      </c>
      <c r="U22">
        <f>IF(B22="","",IF(J22&lt;&gt;"",0,M22))</f>
        <v/>
      </c>
    </row>
    <row r="23">
      <c r="A23" s="1" t="n"/>
      <c r="B23" s="16" t="n">
        <v>46125</v>
      </c>
      <c r="C23" s="17" t="inlineStr">
        <is>
          <t>Greenleaf Studio</t>
        </is>
      </c>
      <c r="D23" s="18" t="inlineStr">
        <is>
          <t>Monthly social posts</t>
        </is>
      </c>
      <c r="E23" s="18" t="inlineStr">
        <is>
          <t>Post designs</t>
        </is>
      </c>
      <c r="F23" s="19" t="n">
        <v>0.3958333333333333</v>
      </c>
      <c r="G23" s="19" t="n">
        <v>0.5</v>
      </c>
      <c r="H23" s="20" t="n"/>
      <c r="I23" s="21" t="n"/>
      <c r="J23" s="22" t="n"/>
      <c r="K23" s="23" t="n"/>
      <c r="L23" s="18" t="n"/>
      <c r="M23" s="24">
        <f>IF(B23="","",IF(AND(F23&lt;&gt;"",G23&lt;&gt;""),MAX(0,ROUND(MOD(G23-F23,1)*24-N(H23)/60,2)),N(I23)))</f>
        <v/>
      </c>
      <c r="N23" s="14">
        <f>IF(B23="","",IF(K23&lt;&gt;"",K23,IF(N(IFERROR(INDEX(Projects!$D$6:$D$65,MATCH(D23,Projects!$B$6:$B$65,0)),""))&gt;0,IFERROR(INDEX(Projects!$D$6:$D$65,MATCH(D23,Projects!$B$6:$B$65,0)),""),IFERROR(INDEX(Clients!$G$6:$G$45,MATCH(C23,Clients!$B$6:$B$45,0)),0))))</f>
        <v/>
      </c>
      <c r="O23" s="14">
        <f>IF(B23="","",IF(J23&lt;&gt;"",0,ROUND(M23*N23,2)))</f>
        <v/>
      </c>
      <c r="P23" s="15">
        <f>IF(OR(B23="",J23&lt;&gt;""),"",IF(L23&lt;&gt;"",L23,IF(COUNTIFS(Invoices!$C$6:$C$305,C23,Invoices!$E$6:$E$305,"&lt;="&amp;B23,Invoices!$F$6:$F$305,"&gt;="&amp;B23)=1,INDEX(Invoices!$B$6:$B$305,SUMIFS(Invoices!$O$6:$O$305,Invoices!$C$6:$C$305,C23,Invoices!$E$6:$E$305,"&lt;="&amp;B23,Invoices!$F$6:$F$305,"&gt;="&amp;B23)),IF(COUNTIFS(Invoices!$C$6:$C$305,C23,Invoices!$E$6:$E$305,"&lt;="&amp;B23,Invoices!$F$6:$F$305,"&gt;="&amp;B23)&gt;1,"Two invoices",""))))</f>
        <v/>
      </c>
      <c r="Q23" s="15">
        <f>IF(B23="","",IF(J23&lt;&gt;"","Not billable",IF(P23="","To invoice",IF(P23="Two invoices","Check dates",IF(ISNA(MATCH(P23,Invoices!$B$6:$B$305,0)),"Check number",IF(INDEX(Invoices!$M$6:$M$305,MATCH(P23,Invoices!$B$6:$B$305,0))="Paid","Paid",IF(INDEX(Invoices!$M$6:$M$305,MATCH(P23,Invoices!$B$6:$B$305,0))="Draft","Draft","Invoiced")))))))</f>
        <v/>
      </c>
      <c r="R23" s="1">
        <f>IF(AND(B23&lt;&gt;"",P23&lt;&gt;"",P23=Invoice!$G$4),B23+MOD(N(F23),1)+ROW()/10000000,"")</f>
        <v/>
      </c>
      <c r="S23">
        <f>IF(R23="","",IF(D23="","Other work",D23)&amp;IF(AND(K23&lt;&gt;"",E23&lt;&gt;""),", "&amp;E23,""))</f>
        <v/>
      </c>
      <c r="T23">
        <f>IF(R23="","",IF(COUNTIFS(R$6:R22,"&gt;0",S$6:S22,S23,N$6:N22,N23)=0,R23,""))</f>
        <v/>
      </c>
      <c r="U23">
        <f>IF(B23="","",IF(J23&lt;&gt;"",0,M23))</f>
        <v/>
      </c>
    </row>
    <row r="24">
      <c r="A24" s="1" t="n"/>
      <c r="B24" s="16" t="n">
        <v>46126</v>
      </c>
      <c r="C24" s="17" t="inlineStr">
        <is>
          <t>Harbour Books</t>
        </is>
      </c>
      <c r="D24" s="18" t="inlineStr">
        <is>
          <t>Spring catalogue</t>
        </is>
      </c>
      <c r="E24" s="18" t="inlineStr">
        <is>
          <t>Catalogue layout</t>
        </is>
      </c>
      <c r="F24" s="19" t="n"/>
      <c r="G24" s="19" t="n"/>
      <c r="H24" s="20" t="n"/>
      <c r="I24" s="21" t="n">
        <v>2</v>
      </c>
      <c r="J24" s="22" t="n"/>
      <c r="K24" s="23" t="n"/>
      <c r="L24" s="18" t="n"/>
      <c r="M24" s="24">
        <f>IF(B24="","",IF(AND(F24&lt;&gt;"",G24&lt;&gt;""),MAX(0,ROUND(MOD(G24-F24,1)*24-N(H24)/60,2)),N(I24)))</f>
        <v/>
      </c>
      <c r="N24" s="14">
        <f>IF(B24="","",IF(K24&lt;&gt;"",K24,IF(N(IFERROR(INDEX(Projects!$D$6:$D$65,MATCH(D24,Projects!$B$6:$B$65,0)),""))&gt;0,IFERROR(INDEX(Projects!$D$6:$D$65,MATCH(D24,Projects!$B$6:$B$65,0)),""),IFERROR(INDEX(Clients!$G$6:$G$45,MATCH(C24,Clients!$B$6:$B$45,0)),0))))</f>
        <v/>
      </c>
      <c r="O24" s="14">
        <f>IF(B24="","",IF(J24&lt;&gt;"",0,ROUND(M24*N24,2)))</f>
        <v/>
      </c>
      <c r="P24" s="15">
        <f>IF(OR(B24="",J24&lt;&gt;""),"",IF(L24&lt;&gt;"",L24,IF(COUNTIFS(Invoices!$C$6:$C$305,C24,Invoices!$E$6:$E$305,"&lt;="&amp;B24,Invoices!$F$6:$F$305,"&gt;="&amp;B24)=1,INDEX(Invoices!$B$6:$B$305,SUMIFS(Invoices!$O$6:$O$305,Invoices!$C$6:$C$305,C24,Invoices!$E$6:$E$305,"&lt;="&amp;B24,Invoices!$F$6:$F$305,"&gt;="&amp;B24)),IF(COUNTIFS(Invoices!$C$6:$C$305,C24,Invoices!$E$6:$E$305,"&lt;="&amp;B24,Invoices!$F$6:$F$305,"&gt;="&amp;B24)&gt;1,"Two invoices",""))))</f>
        <v/>
      </c>
      <c r="Q24" s="15">
        <f>IF(B24="","",IF(J24&lt;&gt;"","Not billable",IF(P24="","To invoice",IF(P24="Two invoices","Check dates",IF(ISNA(MATCH(P24,Invoices!$B$6:$B$305,0)),"Check number",IF(INDEX(Invoices!$M$6:$M$305,MATCH(P24,Invoices!$B$6:$B$305,0))="Paid","Paid",IF(INDEX(Invoices!$M$6:$M$305,MATCH(P24,Invoices!$B$6:$B$305,0))="Draft","Draft","Invoiced")))))))</f>
        <v/>
      </c>
      <c r="R24" s="1">
        <f>IF(AND(B24&lt;&gt;"",P24&lt;&gt;"",P24=Invoice!$G$4),B24+MOD(N(F24),1)+ROW()/10000000,"")</f>
        <v/>
      </c>
      <c r="S24">
        <f>IF(R24="","",IF(D24="","Other work",D24)&amp;IF(AND(K24&lt;&gt;"",E24&lt;&gt;""),", "&amp;E24,""))</f>
        <v/>
      </c>
      <c r="T24">
        <f>IF(R24="","",IF(COUNTIFS(R$6:R23,"&gt;0",S$6:S23,S24,N$6:N23,N24)=0,R24,""))</f>
        <v/>
      </c>
      <c r="U24">
        <f>IF(B24="","",IF(J24&lt;&gt;"",0,M24))</f>
        <v/>
      </c>
    </row>
    <row r="25">
      <c r="A25" s="1" t="n"/>
      <c r="B25" s="16" t="n">
        <v>46126</v>
      </c>
      <c r="C25" s="17" t="inlineStr">
        <is>
          <t>Harbour Books</t>
        </is>
      </c>
      <c r="D25" s="18" t="inlineStr">
        <is>
          <t>Spring catalogue</t>
        </is>
      </c>
      <c r="E25" s="18" t="inlineStr">
        <is>
          <t>Proof corrections</t>
        </is>
      </c>
      <c r="F25" s="19" t="n">
        <v>0.375</v>
      </c>
      <c r="G25" s="19" t="n">
        <v>0.4166666666666667</v>
      </c>
      <c r="H25" s="20" t="n"/>
      <c r="I25" s="21" t="n"/>
      <c r="J25" s="22" t="n"/>
      <c r="K25" s="23" t="n"/>
      <c r="L25" s="18" t="n"/>
      <c r="M25" s="24">
        <f>IF(B25="","",IF(AND(F25&lt;&gt;"",G25&lt;&gt;""),MAX(0,ROUND(MOD(G25-F25,1)*24-N(H25)/60,2)),N(I25)))</f>
        <v/>
      </c>
      <c r="N25" s="14">
        <f>IF(B25="","",IF(K25&lt;&gt;"",K25,IF(N(IFERROR(INDEX(Projects!$D$6:$D$65,MATCH(D25,Projects!$B$6:$B$65,0)),""))&gt;0,IFERROR(INDEX(Projects!$D$6:$D$65,MATCH(D25,Projects!$B$6:$B$65,0)),""),IFERROR(INDEX(Clients!$G$6:$G$45,MATCH(C25,Clients!$B$6:$B$45,0)),0))))</f>
        <v/>
      </c>
      <c r="O25" s="14">
        <f>IF(B25="","",IF(J25&lt;&gt;"",0,ROUND(M25*N25,2)))</f>
        <v/>
      </c>
      <c r="P25" s="15">
        <f>IF(OR(B25="",J25&lt;&gt;""),"",IF(L25&lt;&gt;"",L25,IF(COUNTIFS(Invoices!$C$6:$C$305,C25,Invoices!$E$6:$E$305,"&lt;="&amp;B25,Invoices!$F$6:$F$305,"&gt;="&amp;B25)=1,INDEX(Invoices!$B$6:$B$305,SUMIFS(Invoices!$O$6:$O$305,Invoices!$C$6:$C$305,C25,Invoices!$E$6:$E$305,"&lt;="&amp;B25,Invoices!$F$6:$F$305,"&gt;="&amp;B25)),IF(COUNTIFS(Invoices!$C$6:$C$305,C25,Invoices!$E$6:$E$305,"&lt;="&amp;B25,Invoices!$F$6:$F$305,"&gt;="&amp;B25)&gt;1,"Two invoices",""))))</f>
        <v/>
      </c>
      <c r="Q25" s="15">
        <f>IF(B25="","",IF(J25&lt;&gt;"","Not billable",IF(P25="","To invoice",IF(P25="Two invoices","Check dates",IF(ISNA(MATCH(P25,Invoices!$B$6:$B$305,0)),"Check number",IF(INDEX(Invoices!$M$6:$M$305,MATCH(P25,Invoices!$B$6:$B$305,0))="Paid","Paid",IF(INDEX(Invoices!$M$6:$M$305,MATCH(P25,Invoices!$B$6:$B$305,0))="Draft","Draft","Invoiced")))))))</f>
        <v/>
      </c>
      <c r="R25" s="1">
        <f>IF(AND(B25&lt;&gt;"",P25&lt;&gt;"",P25=Invoice!$G$4),B25+MOD(N(F25),1)+ROW()/10000000,"")</f>
        <v/>
      </c>
      <c r="S25">
        <f>IF(R25="","",IF(D25="","Other work",D25)&amp;IF(AND(K25&lt;&gt;"",E25&lt;&gt;""),", "&amp;E25,""))</f>
        <v/>
      </c>
      <c r="T25">
        <f>IF(R25="","",IF(COUNTIFS(R$6:R24,"&gt;0",S$6:S24,S25,N$6:N24,N25)=0,R25,""))</f>
        <v/>
      </c>
      <c r="U25">
        <f>IF(B25="","",IF(J25&lt;&gt;"",0,M25))</f>
        <v/>
      </c>
    </row>
    <row r="26">
      <c r="A26" s="1" t="n"/>
      <c r="B26" s="16" t="n">
        <v>46127</v>
      </c>
      <c r="C26" s="17" t="inlineStr">
        <is>
          <t>Greenleaf Studio</t>
        </is>
      </c>
      <c r="D26" s="18" t="inlineStr">
        <is>
          <t>Monthly social posts</t>
        </is>
      </c>
      <c r="E26" s="18" t="inlineStr">
        <is>
          <t>Post designs</t>
        </is>
      </c>
      <c r="F26" s="19" t="n">
        <v>0.3958333333333333</v>
      </c>
      <c r="G26" s="19" t="n">
        <v>0.4791666666666667</v>
      </c>
      <c r="H26" s="20" t="n"/>
      <c r="I26" s="21" t="n"/>
      <c r="J26" s="22" t="n"/>
      <c r="K26" s="23" t="n"/>
      <c r="L26" s="18" t="n"/>
      <c r="M26" s="24">
        <f>IF(B26="","",IF(AND(F26&lt;&gt;"",G26&lt;&gt;""),MAX(0,ROUND(MOD(G26-F26,1)*24-N(H26)/60,2)),N(I26)))</f>
        <v/>
      </c>
      <c r="N26" s="14">
        <f>IF(B26="","",IF(K26&lt;&gt;"",K26,IF(N(IFERROR(INDEX(Projects!$D$6:$D$65,MATCH(D26,Projects!$B$6:$B$65,0)),""))&gt;0,IFERROR(INDEX(Projects!$D$6:$D$65,MATCH(D26,Projects!$B$6:$B$65,0)),""),IFERROR(INDEX(Clients!$G$6:$G$45,MATCH(C26,Clients!$B$6:$B$45,0)),0))))</f>
        <v/>
      </c>
      <c r="O26" s="14">
        <f>IF(B26="","",IF(J26&lt;&gt;"",0,ROUND(M26*N26,2)))</f>
        <v/>
      </c>
      <c r="P26" s="15">
        <f>IF(OR(B26="",J26&lt;&gt;""),"",IF(L26&lt;&gt;"",L26,IF(COUNTIFS(Invoices!$C$6:$C$305,C26,Invoices!$E$6:$E$305,"&lt;="&amp;B26,Invoices!$F$6:$F$305,"&gt;="&amp;B26)=1,INDEX(Invoices!$B$6:$B$305,SUMIFS(Invoices!$O$6:$O$305,Invoices!$C$6:$C$305,C26,Invoices!$E$6:$E$305,"&lt;="&amp;B26,Invoices!$F$6:$F$305,"&gt;="&amp;B26)),IF(COUNTIFS(Invoices!$C$6:$C$305,C26,Invoices!$E$6:$E$305,"&lt;="&amp;B26,Invoices!$F$6:$F$305,"&gt;="&amp;B26)&gt;1,"Two invoices",""))))</f>
        <v/>
      </c>
      <c r="Q26" s="15">
        <f>IF(B26="","",IF(J26&lt;&gt;"","Not billable",IF(P26="","To invoice",IF(P26="Two invoices","Check dates",IF(ISNA(MATCH(P26,Invoices!$B$6:$B$305,0)),"Check number",IF(INDEX(Invoices!$M$6:$M$305,MATCH(P26,Invoices!$B$6:$B$305,0))="Paid","Paid",IF(INDEX(Invoices!$M$6:$M$305,MATCH(P26,Invoices!$B$6:$B$305,0))="Draft","Draft","Invoiced")))))))</f>
        <v/>
      </c>
      <c r="R26" s="1">
        <f>IF(AND(B26&lt;&gt;"",P26&lt;&gt;"",P26=Invoice!$G$4),B26+MOD(N(F26),1)+ROW()/10000000,"")</f>
        <v/>
      </c>
      <c r="S26">
        <f>IF(R26="","",IF(D26="","Other work",D26)&amp;IF(AND(K26&lt;&gt;"",E26&lt;&gt;""),", "&amp;E26,""))</f>
        <v/>
      </c>
      <c r="T26">
        <f>IF(R26="","",IF(COUNTIFS(R$6:R25,"&gt;0",S$6:S25,S26,N$6:N25,N26)=0,R26,""))</f>
        <v/>
      </c>
      <c r="U26">
        <f>IF(B26="","",IF(J26&lt;&gt;"",0,M26))</f>
        <v/>
      </c>
    </row>
    <row r="27">
      <c r="A27" s="1" t="n"/>
      <c r="B27" s="16" t="n">
        <v>46128</v>
      </c>
      <c r="C27" s="17" t="inlineStr">
        <is>
          <t>Harbour Books</t>
        </is>
      </c>
      <c r="D27" s="18" t="inlineStr">
        <is>
          <t>Spring catalogue</t>
        </is>
      </c>
      <c r="E27" s="18" t="inlineStr">
        <is>
          <t>Catalogue layout</t>
        </is>
      </c>
      <c r="F27" s="19" t="n"/>
      <c r="G27" s="19" t="n"/>
      <c r="H27" s="20" t="n"/>
      <c r="I27" s="21" t="n">
        <v>2</v>
      </c>
      <c r="J27" s="22" t="n"/>
      <c r="K27" s="23" t="n"/>
      <c r="L27" s="18" t="n"/>
      <c r="M27" s="24">
        <f>IF(B27="","",IF(AND(F27&lt;&gt;"",G27&lt;&gt;""),MAX(0,ROUND(MOD(G27-F27,1)*24-N(H27)/60,2)),N(I27)))</f>
        <v/>
      </c>
      <c r="N27" s="14">
        <f>IF(B27="","",IF(K27&lt;&gt;"",K27,IF(N(IFERROR(INDEX(Projects!$D$6:$D$65,MATCH(D27,Projects!$B$6:$B$65,0)),""))&gt;0,IFERROR(INDEX(Projects!$D$6:$D$65,MATCH(D27,Projects!$B$6:$B$65,0)),""),IFERROR(INDEX(Clients!$G$6:$G$45,MATCH(C27,Clients!$B$6:$B$45,0)),0))))</f>
        <v/>
      </c>
      <c r="O27" s="14">
        <f>IF(B27="","",IF(J27&lt;&gt;"",0,ROUND(M27*N27,2)))</f>
        <v/>
      </c>
      <c r="P27" s="15">
        <f>IF(OR(B27="",J27&lt;&gt;""),"",IF(L27&lt;&gt;"",L27,IF(COUNTIFS(Invoices!$C$6:$C$305,C27,Invoices!$E$6:$E$305,"&lt;="&amp;B27,Invoices!$F$6:$F$305,"&gt;="&amp;B27)=1,INDEX(Invoices!$B$6:$B$305,SUMIFS(Invoices!$O$6:$O$305,Invoices!$C$6:$C$305,C27,Invoices!$E$6:$E$305,"&lt;="&amp;B27,Invoices!$F$6:$F$305,"&gt;="&amp;B27)),IF(COUNTIFS(Invoices!$C$6:$C$305,C27,Invoices!$E$6:$E$305,"&lt;="&amp;B27,Invoices!$F$6:$F$305,"&gt;="&amp;B27)&gt;1,"Two invoices",""))))</f>
        <v/>
      </c>
      <c r="Q27" s="15">
        <f>IF(B27="","",IF(J27&lt;&gt;"","Not billable",IF(P27="","To invoice",IF(P27="Two invoices","Check dates",IF(ISNA(MATCH(P27,Invoices!$B$6:$B$305,0)),"Check number",IF(INDEX(Invoices!$M$6:$M$305,MATCH(P27,Invoices!$B$6:$B$305,0))="Paid","Paid",IF(INDEX(Invoices!$M$6:$M$305,MATCH(P27,Invoices!$B$6:$B$305,0))="Draft","Draft","Invoiced")))))))</f>
        <v/>
      </c>
      <c r="R27" s="1">
        <f>IF(AND(B27&lt;&gt;"",P27&lt;&gt;"",P27=Invoice!$G$4),B27+MOD(N(F27),1)+ROW()/10000000,"")</f>
        <v/>
      </c>
      <c r="S27">
        <f>IF(R27="","",IF(D27="","Other work",D27)&amp;IF(AND(K27&lt;&gt;"",E27&lt;&gt;""),", "&amp;E27,""))</f>
        <v/>
      </c>
      <c r="T27">
        <f>IF(R27="","",IF(COUNTIFS(R$6:R26,"&gt;0",S$6:S26,S27,N$6:N26,N27)=0,R27,""))</f>
        <v/>
      </c>
      <c r="U27">
        <f>IF(B27="","",IF(J27&lt;&gt;"",0,M27))</f>
        <v/>
      </c>
    </row>
    <row r="28">
      <c r="A28" s="1" t="n"/>
      <c r="B28" s="16" t="n">
        <v>46128</v>
      </c>
      <c r="C28" s="17" t="inlineStr">
        <is>
          <t>Harbour Books</t>
        </is>
      </c>
      <c r="D28" s="18" t="inlineStr">
        <is>
          <t>Spring catalogue</t>
        </is>
      </c>
      <c r="E28" s="18" t="inlineStr">
        <is>
          <t>Proof corrections</t>
        </is>
      </c>
      <c r="F28" s="19" t="n">
        <v>0.375</v>
      </c>
      <c r="G28" s="19" t="n">
        <v>0.53125</v>
      </c>
      <c r="H28" s="20" t="n">
        <v>15</v>
      </c>
      <c r="I28" s="21" t="n"/>
      <c r="J28" s="22" t="n"/>
      <c r="K28" s="23" t="n"/>
      <c r="L28" s="18" t="n"/>
      <c r="M28" s="24">
        <f>IF(B28="","",IF(AND(F28&lt;&gt;"",G28&lt;&gt;""),MAX(0,ROUND(MOD(G28-F28,1)*24-N(H28)/60,2)),N(I28)))</f>
        <v/>
      </c>
      <c r="N28" s="14">
        <f>IF(B28="","",IF(K28&lt;&gt;"",K28,IF(N(IFERROR(INDEX(Projects!$D$6:$D$65,MATCH(D28,Projects!$B$6:$B$65,0)),""))&gt;0,IFERROR(INDEX(Projects!$D$6:$D$65,MATCH(D28,Projects!$B$6:$B$65,0)),""),IFERROR(INDEX(Clients!$G$6:$G$45,MATCH(C28,Clients!$B$6:$B$45,0)),0))))</f>
        <v/>
      </c>
      <c r="O28" s="14">
        <f>IF(B28="","",IF(J28&lt;&gt;"",0,ROUND(M28*N28,2)))</f>
        <v/>
      </c>
      <c r="P28" s="15">
        <f>IF(OR(B28="",J28&lt;&gt;""),"",IF(L28&lt;&gt;"",L28,IF(COUNTIFS(Invoices!$C$6:$C$305,C28,Invoices!$E$6:$E$305,"&lt;="&amp;B28,Invoices!$F$6:$F$305,"&gt;="&amp;B28)=1,INDEX(Invoices!$B$6:$B$305,SUMIFS(Invoices!$O$6:$O$305,Invoices!$C$6:$C$305,C28,Invoices!$E$6:$E$305,"&lt;="&amp;B28,Invoices!$F$6:$F$305,"&gt;="&amp;B28)),IF(COUNTIFS(Invoices!$C$6:$C$305,C28,Invoices!$E$6:$E$305,"&lt;="&amp;B28,Invoices!$F$6:$F$305,"&gt;="&amp;B28)&gt;1,"Two invoices",""))))</f>
        <v/>
      </c>
      <c r="Q28" s="15">
        <f>IF(B28="","",IF(J28&lt;&gt;"","Not billable",IF(P28="","To invoice",IF(P28="Two invoices","Check dates",IF(ISNA(MATCH(P28,Invoices!$B$6:$B$305,0)),"Check number",IF(INDEX(Invoices!$M$6:$M$305,MATCH(P28,Invoices!$B$6:$B$305,0))="Paid","Paid",IF(INDEX(Invoices!$M$6:$M$305,MATCH(P28,Invoices!$B$6:$B$305,0))="Draft","Draft","Invoiced")))))))</f>
        <v/>
      </c>
      <c r="R28" s="1">
        <f>IF(AND(B28&lt;&gt;"",P28&lt;&gt;"",P28=Invoice!$G$4),B28+MOD(N(F28),1)+ROW()/10000000,"")</f>
        <v/>
      </c>
      <c r="S28">
        <f>IF(R28="","",IF(D28="","Other work",D28)&amp;IF(AND(K28&lt;&gt;"",E28&lt;&gt;""),", "&amp;E28,""))</f>
        <v/>
      </c>
      <c r="T28">
        <f>IF(R28="","",IF(COUNTIFS(R$6:R27,"&gt;0",S$6:S27,S28,N$6:N27,N28)=0,R28,""))</f>
        <v/>
      </c>
      <c r="U28">
        <f>IF(B28="","",IF(J28&lt;&gt;"",0,M28))</f>
        <v/>
      </c>
    </row>
    <row r="29">
      <c r="A29" s="1" t="n"/>
      <c r="B29" s="16" t="n">
        <v>46129</v>
      </c>
      <c r="C29" s="17" t="inlineStr">
        <is>
          <t>Harbour Books</t>
        </is>
      </c>
      <c r="D29" s="18" t="inlineStr">
        <is>
          <t>Spring catalogue</t>
        </is>
      </c>
      <c r="E29" s="18" t="inlineStr">
        <is>
          <t>Cover design</t>
        </is>
      </c>
      <c r="F29" s="19" t="n"/>
      <c r="G29" s="19" t="n"/>
      <c r="H29" s="20" t="n"/>
      <c r="I29" s="21" t="n">
        <v>1</v>
      </c>
      <c r="J29" s="22" t="n"/>
      <c r="K29" s="23" t="n"/>
      <c r="L29" s="18" t="n"/>
      <c r="M29" s="24">
        <f>IF(B29="","",IF(AND(F29&lt;&gt;"",G29&lt;&gt;""),MAX(0,ROUND(MOD(G29-F29,1)*24-N(H29)/60,2)),N(I29)))</f>
        <v/>
      </c>
      <c r="N29" s="14">
        <f>IF(B29="","",IF(K29&lt;&gt;"",K29,IF(N(IFERROR(INDEX(Projects!$D$6:$D$65,MATCH(D29,Projects!$B$6:$B$65,0)),""))&gt;0,IFERROR(INDEX(Projects!$D$6:$D$65,MATCH(D29,Projects!$B$6:$B$65,0)),""),IFERROR(INDEX(Clients!$G$6:$G$45,MATCH(C29,Clients!$B$6:$B$45,0)),0))))</f>
        <v/>
      </c>
      <c r="O29" s="14">
        <f>IF(B29="","",IF(J29&lt;&gt;"",0,ROUND(M29*N29,2)))</f>
        <v/>
      </c>
      <c r="P29" s="15">
        <f>IF(OR(B29="",J29&lt;&gt;""),"",IF(L29&lt;&gt;"",L29,IF(COUNTIFS(Invoices!$C$6:$C$305,C29,Invoices!$E$6:$E$305,"&lt;="&amp;B29,Invoices!$F$6:$F$305,"&gt;="&amp;B29)=1,INDEX(Invoices!$B$6:$B$305,SUMIFS(Invoices!$O$6:$O$305,Invoices!$C$6:$C$305,C29,Invoices!$E$6:$E$305,"&lt;="&amp;B29,Invoices!$F$6:$F$305,"&gt;="&amp;B29)),IF(COUNTIFS(Invoices!$C$6:$C$305,C29,Invoices!$E$6:$E$305,"&lt;="&amp;B29,Invoices!$F$6:$F$305,"&gt;="&amp;B29)&gt;1,"Two invoices",""))))</f>
        <v/>
      </c>
      <c r="Q29" s="15">
        <f>IF(B29="","",IF(J29&lt;&gt;"","Not billable",IF(P29="","To invoice",IF(P29="Two invoices","Check dates",IF(ISNA(MATCH(P29,Invoices!$B$6:$B$305,0)),"Check number",IF(INDEX(Invoices!$M$6:$M$305,MATCH(P29,Invoices!$B$6:$B$305,0))="Paid","Paid",IF(INDEX(Invoices!$M$6:$M$305,MATCH(P29,Invoices!$B$6:$B$305,0))="Draft","Draft","Invoiced")))))))</f>
        <v/>
      </c>
      <c r="R29" s="1">
        <f>IF(AND(B29&lt;&gt;"",P29&lt;&gt;"",P29=Invoice!$G$4),B29+MOD(N(F29),1)+ROW()/10000000,"")</f>
        <v/>
      </c>
      <c r="S29">
        <f>IF(R29="","",IF(D29="","Other work",D29)&amp;IF(AND(K29&lt;&gt;"",E29&lt;&gt;""),", "&amp;E29,""))</f>
        <v/>
      </c>
      <c r="T29">
        <f>IF(R29="","",IF(COUNTIFS(R$6:R28,"&gt;0",S$6:S28,S29,N$6:N28,N29)=0,R29,""))</f>
        <v/>
      </c>
      <c r="U29">
        <f>IF(B29="","",IF(J29&lt;&gt;"",0,M29))</f>
        <v/>
      </c>
    </row>
    <row r="30">
      <c r="A30" s="1" t="n"/>
      <c r="B30" s="16" t="n">
        <v>46132</v>
      </c>
      <c r="C30" s="17" t="inlineStr">
        <is>
          <t>Greenleaf Studio</t>
        </is>
      </c>
      <c r="D30" s="18" t="inlineStr">
        <is>
          <t>Monthly social posts</t>
        </is>
      </c>
      <c r="E30" s="18" t="inlineStr">
        <is>
          <t>Monthly report</t>
        </is>
      </c>
      <c r="F30" s="19" t="n"/>
      <c r="G30" s="19" t="n"/>
      <c r="H30" s="20" t="n"/>
      <c r="I30" s="21" t="n">
        <v>3</v>
      </c>
      <c r="J30" s="22" t="n"/>
      <c r="K30" s="23" t="n"/>
      <c r="L30" s="18" t="n"/>
      <c r="M30" s="24">
        <f>IF(B30="","",IF(AND(F30&lt;&gt;"",G30&lt;&gt;""),MAX(0,ROUND(MOD(G30-F30,1)*24-N(H30)/60,2)),N(I30)))</f>
        <v/>
      </c>
      <c r="N30" s="14">
        <f>IF(B30="","",IF(K30&lt;&gt;"",K30,IF(N(IFERROR(INDEX(Projects!$D$6:$D$65,MATCH(D30,Projects!$B$6:$B$65,0)),""))&gt;0,IFERROR(INDEX(Projects!$D$6:$D$65,MATCH(D30,Projects!$B$6:$B$65,0)),""),IFERROR(INDEX(Clients!$G$6:$G$45,MATCH(C30,Clients!$B$6:$B$45,0)),0))))</f>
        <v/>
      </c>
      <c r="O30" s="14">
        <f>IF(B30="","",IF(J30&lt;&gt;"",0,ROUND(M30*N30,2)))</f>
        <v/>
      </c>
      <c r="P30" s="15">
        <f>IF(OR(B30="",J30&lt;&gt;""),"",IF(L30&lt;&gt;"",L30,IF(COUNTIFS(Invoices!$C$6:$C$305,C30,Invoices!$E$6:$E$305,"&lt;="&amp;B30,Invoices!$F$6:$F$305,"&gt;="&amp;B30)=1,INDEX(Invoices!$B$6:$B$305,SUMIFS(Invoices!$O$6:$O$305,Invoices!$C$6:$C$305,C30,Invoices!$E$6:$E$305,"&lt;="&amp;B30,Invoices!$F$6:$F$305,"&gt;="&amp;B30)),IF(COUNTIFS(Invoices!$C$6:$C$305,C30,Invoices!$E$6:$E$305,"&lt;="&amp;B30,Invoices!$F$6:$F$305,"&gt;="&amp;B30)&gt;1,"Two invoices",""))))</f>
        <v/>
      </c>
      <c r="Q30" s="15">
        <f>IF(B30="","",IF(J30&lt;&gt;"","Not billable",IF(P30="","To invoice",IF(P30="Two invoices","Check dates",IF(ISNA(MATCH(P30,Invoices!$B$6:$B$305,0)),"Check number",IF(INDEX(Invoices!$M$6:$M$305,MATCH(P30,Invoices!$B$6:$B$305,0))="Paid","Paid",IF(INDEX(Invoices!$M$6:$M$305,MATCH(P30,Invoices!$B$6:$B$305,0))="Draft","Draft","Invoiced")))))))</f>
        <v/>
      </c>
      <c r="R30" s="1">
        <f>IF(AND(B30&lt;&gt;"",P30&lt;&gt;"",P30=Invoice!$G$4),B30+MOD(N(F30),1)+ROW()/10000000,"")</f>
        <v/>
      </c>
      <c r="S30">
        <f>IF(R30="","",IF(D30="","Other work",D30)&amp;IF(AND(K30&lt;&gt;"",E30&lt;&gt;""),", "&amp;E30,""))</f>
        <v/>
      </c>
      <c r="T30">
        <f>IF(R30="","",IF(COUNTIFS(R$6:R29,"&gt;0",S$6:S29,S30,N$6:N29,N30)=0,R30,""))</f>
        <v/>
      </c>
      <c r="U30">
        <f>IF(B30="","",IF(J30&lt;&gt;"",0,M30))</f>
        <v/>
      </c>
    </row>
    <row r="31">
      <c r="A31" s="1" t="n"/>
      <c r="B31" s="16" t="n">
        <v>46133</v>
      </c>
      <c r="C31" s="17" t="inlineStr">
        <is>
          <t>Greenleaf Studio</t>
        </is>
      </c>
      <c r="D31" s="18" t="inlineStr">
        <is>
          <t>Monthly social posts</t>
        </is>
      </c>
      <c r="E31" s="18" t="inlineStr">
        <is>
          <t>Post designs</t>
        </is>
      </c>
      <c r="F31" s="19" t="n"/>
      <c r="G31" s="19" t="n"/>
      <c r="H31" s="20" t="n"/>
      <c r="I31" s="21" t="n">
        <v>2.5</v>
      </c>
      <c r="J31" s="22" t="n"/>
      <c r="K31" s="23" t="n"/>
      <c r="L31" s="18" t="n"/>
      <c r="M31" s="24">
        <f>IF(B31="","",IF(AND(F31&lt;&gt;"",G31&lt;&gt;""),MAX(0,ROUND(MOD(G31-F31,1)*24-N(H31)/60,2)),N(I31)))</f>
        <v/>
      </c>
      <c r="N31" s="14">
        <f>IF(B31="","",IF(K31&lt;&gt;"",K31,IF(N(IFERROR(INDEX(Projects!$D$6:$D$65,MATCH(D31,Projects!$B$6:$B$65,0)),""))&gt;0,IFERROR(INDEX(Projects!$D$6:$D$65,MATCH(D31,Projects!$B$6:$B$65,0)),""),IFERROR(INDEX(Clients!$G$6:$G$45,MATCH(C31,Clients!$B$6:$B$45,0)),0))))</f>
        <v/>
      </c>
      <c r="O31" s="14">
        <f>IF(B31="","",IF(J31&lt;&gt;"",0,ROUND(M31*N31,2)))</f>
        <v/>
      </c>
      <c r="P31" s="15">
        <f>IF(OR(B31="",J31&lt;&gt;""),"",IF(L31&lt;&gt;"",L31,IF(COUNTIFS(Invoices!$C$6:$C$305,C31,Invoices!$E$6:$E$305,"&lt;="&amp;B31,Invoices!$F$6:$F$305,"&gt;="&amp;B31)=1,INDEX(Invoices!$B$6:$B$305,SUMIFS(Invoices!$O$6:$O$305,Invoices!$C$6:$C$305,C31,Invoices!$E$6:$E$305,"&lt;="&amp;B31,Invoices!$F$6:$F$305,"&gt;="&amp;B31)),IF(COUNTIFS(Invoices!$C$6:$C$305,C31,Invoices!$E$6:$E$305,"&lt;="&amp;B31,Invoices!$F$6:$F$305,"&gt;="&amp;B31)&gt;1,"Two invoices",""))))</f>
        <v/>
      </c>
      <c r="Q31" s="15">
        <f>IF(B31="","",IF(J31&lt;&gt;"","Not billable",IF(P31="","To invoice",IF(P31="Two invoices","Check dates",IF(ISNA(MATCH(P31,Invoices!$B$6:$B$305,0)),"Check number",IF(INDEX(Invoices!$M$6:$M$305,MATCH(P31,Invoices!$B$6:$B$305,0))="Paid","Paid",IF(INDEX(Invoices!$M$6:$M$305,MATCH(P31,Invoices!$B$6:$B$305,0))="Draft","Draft","Invoiced")))))))</f>
        <v/>
      </c>
      <c r="R31" s="1">
        <f>IF(AND(B31&lt;&gt;"",P31&lt;&gt;"",P31=Invoice!$G$4),B31+MOD(N(F31),1)+ROW()/10000000,"")</f>
        <v/>
      </c>
      <c r="S31">
        <f>IF(R31="","",IF(D31="","Other work",D31)&amp;IF(AND(K31&lt;&gt;"",E31&lt;&gt;""),", "&amp;E31,""))</f>
        <v/>
      </c>
      <c r="T31">
        <f>IF(R31="","",IF(COUNTIFS(R$6:R30,"&gt;0",S$6:S30,S31,N$6:N30,N31)=0,R31,""))</f>
        <v/>
      </c>
      <c r="U31">
        <f>IF(B31="","",IF(J31&lt;&gt;"",0,M31))</f>
        <v/>
      </c>
    </row>
    <row r="32">
      <c r="A32" s="1" t="n"/>
      <c r="B32" s="16" t="n">
        <v>46133</v>
      </c>
      <c r="C32" s="17" t="inlineStr">
        <is>
          <t>Harbour Books</t>
        </is>
      </c>
      <c r="D32" s="18" t="inlineStr">
        <is>
          <t>Spring catalogue</t>
        </is>
      </c>
      <c r="E32" s="18" t="inlineStr">
        <is>
          <t>Cover design</t>
        </is>
      </c>
      <c r="F32" s="19" t="n">
        <v>0.3958333333333333</v>
      </c>
      <c r="G32" s="19" t="n">
        <v>0.4791666666666667</v>
      </c>
      <c r="H32" s="20" t="n"/>
      <c r="I32" s="21" t="n"/>
      <c r="J32" s="22" t="n"/>
      <c r="K32" s="23" t="n"/>
      <c r="L32" s="18" t="n"/>
      <c r="M32" s="24">
        <f>IF(B32="","",IF(AND(F32&lt;&gt;"",G32&lt;&gt;""),MAX(0,ROUND(MOD(G32-F32,1)*24-N(H32)/60,2)),N(I32)))</f>
        <v/>
      </c>
      <c r="N32" s="14">
        <f>IF(B32="","",IF(K32&lt;&gt;"",K32,IF(N(IFERROR(INDEX(Projects!$D$6:$D$65,MATCH(D32,Projects!$B$6:$B$65,0)),""))&gt;0,IFERROR(INDEX(Projects!$D$6:$D$65,MATCH(D32,Projects!$B$6:$B$65,0)),""),IFERROR(INDEX(Clients!$G$6:$G$45,MATCH(C32,Clients!$B$6:$B$45,0)),0))))</f>
        <v/>
      </c>
      <c r="O32" s="14">
        <f>IF(B32="","",IF(J32&lt;&gt;"",0,ROUND(M32*N32,2)))</f>
        <v/>
      </c>
      <c r="P32" s="15">
        <f>IF(OR(B32="",J32&lt;&gt;""),"",IF(L32&lt;&gt;"",L32,IF(COUNTIFS(Invoices!$C$6:$C$305,C32,Invoices!$E$6:$E$305,"&lt;="&amp;B32,Invoices!$F$6:$F$305,"&gt;="&amp;B32)=1,INDEX(Invoices!$B$6:$B$305,SUMIFS(Invoices!$O$6:$O$305,Invoices!$C$6:$C$305,C32,Invoices!$E$6:$E$305,"&lt;="&amp;B32,Invoices!$F$6:$F$305,"&gt;="&amp;B32)),IF(COUNTIFS(Invoices!$C$6:$C$305,C32,Invoices!$E$6:$E$305,"&lt;="&amp;B32,Invoices!$F$6:$F$305,"&gt;="&amp;B32)&gt;1,"Two invoices",""))))</f>
        <v/>
      </c>
      <c r="Q32" s="15">
        <f>IF(B32="","",IF(J32&lt;&gt;"","Not billable",IF(P32="","To invoice",IF(P32="Two invoices","Check dates",IF(ISNA(MATCH(P32,Invoices!$B$6:$B$305,0)),"Check number",IF(INDEX(Invoices!$M$6:$M$305,MATCH(P32,Invoices!$B$6:$B$305,0))="Paid","Paid",IF(INDEX(Invoices!$M$6:$M$305,MATCH(P32,Invoices!$B$6:$B$305,0))="Draft","Draft","Invoiced")))))))</f>
        <v/>
      </c>
      <c r="R32" s="1">
        <f>IF(AND(B32&lt;&gt;"",P32&lt;&gt;"",P32=Invoice!$G$4),B32+MOD(N(F32),1)+ROW()/10000000,"")</f>
        <v/>
      </c>
      <c r="S32">
        <f>IF(R32="","",IF(D32="","Other work",D32)&amp;IF(AND(K32&lt;&gt;"",E32&lt;&gt;""),", "&amp;E32,""))</f>
        <v/>
      </c>
      <c r="T32">
        <f>IF(R32="","",IF(COUNTIFS(R$6:R31,"&gt;0",S$6:S31,S32,N$6:N31,N32)=0,R32,""))</f>
        <v/>
      </c>
      <c r="U32">
        <f>IF(B32="","",IF(J32&lt;&gt;"",0,M32))</f>
        <v/>
      </c>
    </row>
    <row r="33">
      <c r="A33" s="1" t="n"/>
      <c r="B33" s="16" t="n">
        <v>46134</v>
      </c>
      <c r="C33" s="17" t="inlineStr">
        <is>
          <t>Harbour Books</t>
        </is>
      </c>
      <c r="D33" s="18" t="inlineStr">
        <is>
          <t>Spring catalogue</t>
        </is>
      </c>
      <c r="E33" s="18" t="inlineStr">
        <is>
          <t>Cover design</t>
        </is>
      </c>
      <c r="F33" s="19" t="n"/>
      <c r="G33" s="19" t="n"/>
      <c r="H33" s="20" t="n"/>
      <c r="I33" s="21" t="n">
        <v>2.5</v>
      </c>
      <c r="J33" s="22" t="n"/>
      <c r="K33" s="23" t="n"/>
      <c r="L33" s="18" t="n"/>
      <c r="M33" s="24">
        <f>IF(B33="","",IF(AND(F33&lt;&gt;"",G33&lt;&gt;""),MAX(0,ROUND(MOD(G33-F33,1)*24-N(H33)/60,2)),N(I33)))</f>
        <v/>
      </c>
      <c r="N33" s="14">
        <f>IF(B33="","",IF(K33&lt;&gt;"",K33,IF(N(IFERROR(INDEX(Projects!$D$6:$D$65,MATCH(D33,Projects!$B$6:$B$65,0)),""))&gt;0,IFERROR(INDEX(Projects!$D$6:$D$65,MATCH(D33,Projects!$B$6:$B$65,0)),""),IFERROR(INDEX(Clients!$G$6:$G$45,MATCH(C33,Clients!$B$6:$B$45,0)),0))))</f>
        <v/>
      </c>
      <c r="O33" s="14">
        <f>IF(B33="","",IF(J33&lt;&gt;"",0,ROUND(M33*N33,2)))</f>
        <v/>
      </c>
      <c r="P33" s="15">
        <f>IF(OR(B33="",J33&lt;&gt;""),"",IF(L33&lt;&gt;"",L33,IF(COUNTIFS(Invoices!$C$6:$C$305,C33,Invoices!$E$6:$E$305,"&lt;="&amp;B33,Invoices!$F$6:$F$305,"&gt;="&amp;B33)=1,INDEX(Invoices!$B$6:$B$305,SUMIFS(Invoices!$O$6:$O$305,Invoices!$C$6:$C$305,C33,Invoices!$E$6:$E$305,"&lt;="&amp;B33,Invoices!$F$6:$F$305,"&gt;="&amp;B33)),IF(COUNTIFS(Invoices!$C$6:$C$305,C33,Invoices!$E$6:$E$305,"&lt;="&amp;B33,Invoices!$F$6:$F$305,"&gt;="&amp;B33)&gt;1,"Two invoices",""))))</f>
        <v/>
      </c>
      <c r="Q33" s="15">
        <f>IF(B33="","",IF(J33&lt;&gt;"","Not billable",IF(P33="","To invoice",IF(P33="Two invoices","Check dates",IF(ISNA(MATCH(P33,Invoices!$B$6:$B$305,0)),"Check number",IF(INDEX(Invoices!$M$6:$M$305,MATCH(P33,Invoices!$B$6:$B$305,0))="Paid","Paid",IF(INDEX(Invoices!$M$6:$M$305,MATCH(P33,Invoices!$B$6:$B$305,0))="Draft","Draft","Invoiced")))))))</f>
        <v/>
      </c>
      <c r="R33" s="1">
        <f>IF(AND(B33&lt;&gt;"",P33&lt;&gt;"",P33=Invoice!$G$4),B33+MOD(N(F33),1)+ROW()/10000000,"")</f>
        <v/>
      </c>
      <c r="S33">
        <f>IF(R33="","",IF(D33="","Other work",D33)&amp;IF(AND(K33&lt;&gt;"",E33&lt;&gt;""),", "&amp;E33,""))</f>
        <v/>
      </c>
      <c r="T33">
        <f>IF(R33="","",IF(COUNTIFS(R$6:R32,"&gt;0",S$6:S32,S33,N$6:N32,N33)=0,R33,""))</f>
        <v/>
      </c>
      <c r="U33">
        <f>IF(B33="","",IF(J33&lt;&gt;"",0,M33))</f>
        <v/>
      </c>
    </row>
    <row r="34">
      <c r="A34" s="1" t="n"/>
      <c r="B34" s="16" t="n">
        <v>46134</v>
      </c>
      <c r="C34" s="17" t="inlineStr">
        <is>
          <t>Harbour Books</t>
        </is>
      </c>
      <c r="D34" s="18" t="inlineStr">
        <is>
          <t>Spring catalogue</t>
        </is>
      </c>
      <c r="E34" s="18" t="inlineStr">
        <is>
          <t>Product pages</t>
        </is>
      </c>
      <c r="F34" s="19" t="n"/>
      <c r="G34" s="19" t="n"/>
      <c r="H34" s="20" t="n"/>
      <c r="I34" s="21" t="n">
        <v>1.5</v>
      </c>
      <c r="J34" s="22" t="n"/>
      <c r="K34" s="23" t="n"/>
      <c r="L34" s="18" t="n"/>
      <c r="M34" s="24">
        <f>IF(B34="","",IF(AND(F34&lt;&gt;"",G34&lt;&gt;""),MAX(0,ROUND(MOD(G34-F34,1)*24-N(H34)/60,2)),N(I34)))</f>
        <v/>
      </c>
      <c r="N34" s="14">
        <f>IF(B34="","",IF(K34&lt;&gt;"",K34,IF(N(IFERROR(INDEX(Projects!$D$6:$D$65,MATCH(D34,Projects!$B$6:$B$65,0)),""))&gt;0,IFERROR(INDEX(Projects!$D$6:$D$65,MATCH(D34,Projects!$B$6:$B$65,0)),""),IFERROR(INDEX(Clients!$G$6:$G$45,MATCH(C34,Clients!$B$6:$B$45,0)),0))))</f>
        <v/>
      </c>
      <c r="O34" s="14">
        <f>IF(B34="","",IF(J34&lt;&gt;"",0,ROUND(M34*N34,2)))</f>
        <v/>
      </c>
      <c r="P34" s="15">
        <f>IF(OR(B34="",J34&lt;&gt;""),"",IF(L34&lt;&gt;"",L34,IF(COUNTIFS(Invoices!$C$6:$C$305,C34,Invoices!$E$6:$E$305,"&lt;="&amp;B34,Invoices!$F$6:$F$305,"&gt;="&amp;B34)=1,INDEX(Invoices!$B$6:$B$305,SUMIFS(Invoices!$O$6:$O$305,Invoices!$C$6:$C$305,C34,Invoices!$E$6:$E$305,"&lt;="&amp;B34,Invoices!$F$6:$F$305,"&gt;="&amp;B34)),IF(COUNTIFS(Invoices!$C$6:$C$305,C34,Invoices!$E$6:$E$305,"&lt;="&amp;B34,Invoices!$F$6:$F$305,"&gt;="&amp;B34)&gt;1,"Two invoices",""))))</f>
        <v/>
      </c>
      <c r="Q34" s="15">
        <f>IF(B34="","",IF(J34&lt;&gt;"","Not billable",IF(P34="","To invoice",IF(P34="Two invoices","Check dates",IF(ISNA(MATCH(P34,Invoices!$B$6:$B$305,0)),"Check number",IF(INDEX(Invoices!$M$6:$M$305,MATCH(P34,Invoices!$B$6:$B$305,0))="Paid","Paid",IF(INDEX(Invoices!$M$6:$M$305,MATCH(P34,Invoices!$B$6:$B$305,0))="Draft","Draft","Invoiced")))))))</f>
        <v/>
      </c>
      <c r="R34" s="1">
        <f>IF(AND(B34&lt;&gt;"",P34&lt;&gt;"",P34=Invoice!$G$4),B34+MOD(N(F34),1)+ROW()/10000000,"")</f>
        <v/>
      </c>
      <c r="S34">
        <f>IF(R34="","",IF(D34="","Other work",D34)&amp;IF(AND(K34&lt;&gt;"",E34&lt;&gt;""),", "&amp;E34,""))</f>
        <v/>
      </c>
      <c r="T34">
        <f>IF(R34="","",IF(COUNTIFS(R$6:R33,"&gt;0",S$6:S33,S34,N$6:N33,N34)=0,R34,""))</f>
        <v/>
      </c>
      <c r="U34">
        <f>IF(B34="","",IF(J34&lt;&gt;"",0,M34))</f>
        <v/>
      </c>
    </row>
    <row r="35">
      <c r="A35" s="1" t="n"/>
      <c r="B35" s="16" t="n">
        <v>46135</v>
      </c>
      <c r="C35" s="17" t="inlineStr">
        <is>
          <t>Harbour Books</t>
        </is>
      </c>
      <c r="D35" s="18" t="inlineStr">
        <is>
          <t>Spring catalogue</t>
        </is>
      </c>
      <c r="E35" s="18" t="inlineStr">
        <is>
          <t>Product pages</t>
        </is>
      </c>
      <c r="F35" s="19" t="n">
        <v>0.3958333333333333</v>
      </c>
      <c r="G35" s="19" t="n">
        <v>0.4791666666666667</v>
      </c>
      <c r="H35" s="20" t="n"/>
      <c r="I35" s="21" t="n"/>
      <c r="J35" s="22" t="n"/>
      <c r="K35" s="23" t="n"/>
      <c r="L35" s="18" t="n"/>
      <c r="M35" s="24">
        <f>IF(B35="","",IF(AND(F35&lt;&gt;"",G35&lt;&gt;""),MAX(0,ROUND(MOD(G35-F35,1)*24-N(H35)/60,2)),N(I35)))</f>
        <v/>
      </c>
      <c r="N35" s="14">
        <f>IF(B35="","",IF(K35&lt;&gt;"",K35,IF(N(IFERROR(INDEX(Projects!$D$6:$D$65,MATCH(D35,Projects!$B$6:$B$65,0)),""))&gt;0,IFERROR(INDEX(Projects!$D$6:$D$65,MATCH(D35,Projects!$B$6:$B$65,0)),""),IFERROR(INDEX(Clients!$G$6:$G$45,MATCH(C35,Clients!$B$6:$B$45,0)),0))))</f>
        <v/>
      </c>
      <c r="O35" s="14">
        <f>IF(B35="","",IF(J35&lt;&gt;"",0,ROUND(M35*N35,2)))</f>
        <v/>
      </c>
      <c r="P35" s="15">
        <f>IF(OR(B35="",J35&lt;&gt;""),"",IF(L35&lt;&gt;"",L35,IF(COUNTIFS(Invoices!$C$6:$C$305,C35,Invoices!$E$6:$E$305,"&lt;="&amp;B35,Invoices!$F$6:$F$305,"&gt;="&amp;B35)=1,INDEX(Invoices!$B$6:$B$305,SUMIFS(Invoices!$O$6:$O$305,Invoices!$C$6:$C$305,C35,Invoices!$E$6:$E$305,"&lt;="&amp;B35,Invoices!$F$6:$F$305,"&gt;="&amp;B35)),IF(COUNTIFS(Invoices!$C$6:$C$305,C35,Invoices!$E$6:$E$305,"&lt;="&amp;B35,Invoices!$F$6:$F$305,"&gt;="&amp;B35)&gt;1,"Two invoices",""))))</f>
        <v/>
      </c>
      <c r="Q35" s="15">
        <f>IF(B35="","",IF(J35&lt;&gt;"","Not billable",IF(P35="","To invoice",IF(P35="Two invoices","Check dates",IF(ISNA(MATCH(P35,Invoices!$B$6:$B$305,0)),"Check number",IF(INDEX(Invoices!$M$6:$M$305,MATCH(P35,Invoices!$B$6:$B$305,0))="Paid","Paid",IF(INDEX(Invoices!$M$6:$M$305,MATCH(P35,Invoices!$B$6:$B$305,0))="Draft","Draft","Invoiced")))))))</f>
        <v/>
      </c>
      <c r="R35" s="1">
        <f>IF(AND(B35&lt;&gt;"",P35&lt;&gt;"",P35=Invoice!$G$4),B35+MOD(N(F35),1)+ROW()/10000000,"")</f>
        <v/>
      </c>
      <c r="S35">
        <f>IF(R35="","",IF(D35="","Other work",D35)&amp;IF(AND(K35&lt;&gt;"",E35&lt;&gt;""),", "&amp;E35,""))</f>
        <v/>
      </c>
      <c r="T35">
        <f>IF(R35="","",IF(COUNTIFS(R$6:R34,"&gt;0",S$6:S34,S35,N$6:N34,N35)=0,R35,""))</f>
        <v/>
      </c>
      <c r="U35">
        <f>IF(B35="","",IF(J35&lt;&gt;"",0,M35))</f>
        <v/>
      </c>
    </row>
    <row r="36">
      <c r="A36" s="1" t="n"/>
      <c r="B36" s="16" t="n">
        <v>46135</v>
      </c>
      <c r="C36" s="17" t="inlineStr">
        <is>
          <t>Harbour Books</t>
        </is>
      </c>
      <c r="D36" s="18" t="inlineStr">
        <is>
          <t>Spring catalogue</t>
        </is>
      </c>
      <c r="E36" s="18" t="inlineStr">
        <is>
          <t>Proof corrections</t>
        </is>
      </c>
      <c r="F36" s="19" t="n">
        <v>0.4895833333333333</v>
      </c>
      <c r="G36" s="19" t="n">
        <v>0.53125</v>
      </c>
      <c r="H36" s="20" t="n"/>
      <c r="I36" s="21" t="n"/>
      <c r="J36" s="22" t="n"/>
      <c r="K36" s="23" t="n"/>
      <c r="L36" s="18" t="n"/>
      <c r="M36" s="24">
        <f>IF(B36="","",IF(AND(F36&lt;&gt;"",G36&lt;&gt;""),MAX(0,ROUND(MOD(G36-F36,1)*24-N(H36)/60,2)),N(I36)))</f>
        <v/>
      </c>
      <c r="N36" s="14">
        <f>IF(B36="","",IF(K36&lt;&gt;"",K36,IF(N(IFERROR(INDEX(Projects!$D$6:$D$65,MATCH(D36,Projects!$B$6:$B$65,0)),""))&gt;0,IFERROR(INDEX(Projects!$D$6:$D$65,MATCH(D36,Projects!$B$6:$B$65,0)),""),IFERROR(INDEX(Clients!$G$6:$G$45,MATCH(C36,Clients!$B$6:$B$45,0)),0))))</f>
        <v/>
      </c>
      <c r="O36" s="14">
        <f>IF(B36="","",IF(J36&lt;&gt;"",0,ROUND(M36*N36,2)))</f>
        <v/>
      </c>
      <c r="P36" s="15">
        <f>IF(OR(B36="",J36&lt;&gt;""),"",IF(L36&lt;&gt;"",L36,IF(COUNTIFS(Invoices!$C$6:$C$305,C36,Invoices!$E$6:$E$305,"&lt;="&amp;B36,Invoices!$F$6:$F$305,"&gt;="&amp;B36)=1,INDEX(Invoices!$B$6:$B$305,SUMIFS(Invoices!$O$6:$O$305,Invoices!$C$6:$C$305,C36,Invoices!$E$6:$E$305,"&lt;="&amp;B36,Invoices!$F$6:$F$305,"&gt;="&amp;B36)),IF(COUNTIFS(Invoices!$C$6:$C$305,C36,Invoices!$E$6:$E$305,"&lt;="&amp;B36,Invoices!$F$6:$F$305,"&gt;="&amp;B36)&gt;1,"Two invoices",""))))</f>
        <v/>
      </c>
      <c r="Q36" s="15">
        <f>IF(B36="","",IF(J36&lt;&gt;"","Not billable",IF(P36="","To invoice",IF(P36="Two invoices","Check dates",IF(ISNA(MATCH(P36,Invoices!$B$6:$B$305,0)),"Check number",IF(INDEX(Invoices!$M$6:$M$305,MATCH(P36,Invoices!$B$6:$B$305,0))="Paid","Paid",IF(INDEX(Invoices!$M$6:$M$305,MATCH(P36,Invoices!$B$6:$B$305,0))="Draft","Draft","Invoiced")))))))</f>
        <v/>
      </c>
      <c r="R36" s="1">
        <f>IF(AND(B36&lt;&gt;"",P36&lt;&gt;"",P36=Invoice!$G$4),B36+MOD(N(F36),1)+ROW()/10000000,"")</f>
        <v/>
      </c>
      <c r="S36">
        <f>IF(R36="","",IF(D36="","Other work",D36)&amp;IF(AND(K36&lt;&gt;"",E36&lt;&gt;""),", "&amp;E36,""))</f>
        <v/>
      </c>
      <c r="T36">
        <f>IF(R36="","",IF(COUNTIFS(R$6:R35,"&gt;0",S$6:S35,S36,N$6:N35,N36)=0,R36,""))</f>
        <v/>
      </c>
      <c r="U36">
        <f>IF(B36="","",IF(J36&lt;&gt;"",0,M36))</f>
        <v/>
      </c>
    </row>
    <row r="37">
      <c r="A37" s="1" t="n"/>
      <c r="B37" s="16" t="n">
        <v>46136</v>
      </c>
      <c r="C37" s="17" t="inlineStr">
        <is>
          <t>Greenleaf Studio</t>
        </is>
      </c>
      <c r="D37" s="18" t="inlineStr">
        <is>
          <t>Monthly social posts</t>
        </is>
      </c>
      <c r="E37" s="18" t="inlineStr">
        <is>
          <t>Post designs</t>
        </is>
      </c>
      <c r="F37" s="19" t="n"/>
      <c r="G37" s="19" t="n"/>
      <c r="H37" s="20" t="n"/>
      <c r="I37" s="21" t="n">
        <v>1</v>
      </c>
      <c r="J37" s="22" t="n"/>
      <c r="K37" s="23" t="n"/>
      <c r="L37" s="18" t="n"/>
      <c r="M37" s="24">
        <f>IF(B37="","",IF(AND(F37&lt;&gt;"",G37&lt;&gt;""),MAX(0,ROUND(MOD(G37-F37,1)*24-N(H37)/60,2)),N(I37)))</f>
        <v/>
      </c>
      <c r="N37" s="14">
        <f>IF(B37="","",IF(K37&lt;&gt;"",K37,IF(N(IFERROR(INDEX(Projects!$D$6:$D$65,MATCH(D37,Projects!$B$6:$B$65,0)),""))&gt;0,IFERROR(INDEX(Projects!$D$6:$D$65,MATCH(D37,Projects!$B$6:$B$65,0)),""),IFERROR(INDEX(Clients!$G$6:$G$45,MATCH(C37,Clients!$B$6:$B$45,0)),0))))</f>
        <v/>
      </c>
      <c r="O37" s="14">
        <f>IF(B37="","",IF(J37&lt;&gt;"",0,ROUND(M37*N37,2)))</f>
        <v/>
      </c>
      <c r="P37" s="15">
        <f>IF(OR(B37="",J37&lt;&gt;""),"",IF(L37&lt;&gt;"",L37,IF(COUNTIFS(Invoices!$C$6:$C$305,C37,Invoices!$E$6:$E$305,"&lt;="&amp;B37,Invoices!$F$6:$F$305,"&gt;="&amp;B37)=1,INDEX(Invoices!$B$6:$B$305,SUMIFS(Invoices!$O$6:$O$305,Invoices!$C$6:$C$305,C37,Invoices!$E$6:$E$305,"&lt;="&amp;B37,Invoices!$F$6:$F$305,"&gt;="&amp;B37)),IF(COUNTIFS(Invoices!$C$6:$C$305,C37,Invoices!$E$6:$E$305,"&lt;="&amp;B37,Invoices!$F$6:$F$305,"&gt;="&amp;B37)&gt;1,"Two invoices",""))))</f>
        <v/>
      </c>
      <c r="Q37" s="15">
        <f>IF(B37="","",IF(J37&lt;&gt;"","Not billable",IF(P37="","To invoice",IF(P37="Two invoices","Check dates",IF(ISNA(MATCH(P37,Invoices!$B$6:$B$305,0)),"Check number",IF(INDEX(Invoices!$M$6:$M$305,MATCH(P37,Invoices!$B$6:$B$305,0))="Paid","Paid",IF(INDEX(Invoices!$M$6:$M$305,MATCH(P37,Invoices!$B$6:$B$305,0))="Draft","Draft","Invoiced")))))))</f>
        <v/>
      </c>
      <c r="R37" s="1">
        <f>IF(AND(B37&lt;&gt;"",P37&lt;&gt;"",P37=Invoice!$G$4),B37+MOD(N(F37),1)+ROW()/10000000,"")</f>
        <v/>
      </c>
      <c r="S37">
        <f>IF(R37="","",IF(D37="","Other work",D37)&amp;IF(AND(K37&lt;&gt;"",E37&lt;&gt;""),", "&amp;E37,""))</f>
        <v/>
      </c>
      <c r="T37">
        <f>IF(R37="","",IF(COUNTIFS(R$6:R36,"&gt;0",S$6:S36,S37,N$6:N36,N37)=0,R37,""))</f>
        <v/>
      </c>
      <c r="U37">
        <f>IF(B37="","",IF(J37&lt;&gt;"",0,M37))</f>
        <v/>
      </c>
    </row>
    <row r="38">
      <c r="A38" s="1" t="n"/>
      <c r="B38" s="16" t="n">
        <v>46136</v>
      </c>
      <c r="C38" s="17" t="inlineStr">
        <is>
          <t>Harbour Books</t>
        </is>
      </c>
      <c r="D38" s="18" t="inlineStr">
        <is>
          <t>Spring catalogue</t>
        </is>
      </c>
      <c r="E38" s="18" t="inlineStr">
        <is>
          <t>Product pages</t>
        </is>
      </c>
      <c r="F38" s="19" t="n"/>
      <c r="G38" s="19" t="n"/>
      <c r="H38" s="20" t="n"/>
      <c r="I38" s="21" t="n">
        <v>2</v>
      </c>
      <c r="J38" s="22" t="n"/>
      <c r="K38" s="23" t="n"/>
      <c r="L38" s="18" t="n"/>
      <c r="M38" s="24">
        <f>IF(B38="","",IF(AND(F38&lt;&gt;"",G38&lt;&gt;""),MAX(0,ROUND(MOD(G38-F38,1)*24-N(H38)/60,2)),N(I38)))</f>
        <v/>
      </c>
      <c r="N38" s="14">
        <f>IF(B38="","",IF(K38&lt;&gt;"",K38,IF(N(IFERROR(INDEX(Projects!$D$6:$D$65,MATCH(D38,Projects!$B$6:$B$65,0)),""))&gt;0,IFERROR(INDEX(Projects!$D$6:$D$65,MATCH(D38,Projects!$B$6:$B$65,0)),""),IFERROR(INDEX(Clients!$G$6:$G$45,MATCH(C38,Clients!$B$6:$B$45,0)),0))))</f>
        <v/>
      </c>
      <c r="O38" s="14">
        <f>IF(B38="","",IF(J38&lt;&gt;"",0,ROUND(M38*N38,2)))</f>
        <v/>
      </c>
      <c r="P38" s="15">
        <f>IF(OR(B38="",J38&lt;&gt;""),"",IF(L38&lt;&gt;"",L38,IF(COUNTIFS(Invoices!$C$6:$C$305,C38,Invoices!$E$6:$E$305,"&lt;="&amp;B38,Invoices!$F$6:$F$305,"&gt;="&amp;B38)=1,INDEX(Invoices!$B$6:$B$305,SUMIFS(Invoices!$O$6:$O$305,Invoices!$C$6:$C$305,C38,Invoices!$E$6:$E$305,"&lt;="&amp;B38,Invoices!$F$6:$F$305,"&gt;="&amp;B38)),IF(COUNTIFS(Invoices!$C$6:$C$305,C38,Invoices!$E$6:$E$305,"&lt;="&amp;B38,Invoices!$F$6:$F$305,"&gt;="&amp;B38)&gt;1,"Two invoices",""))))</f>
        <v/>
      </c>
      <c r="Q38" s="15">
        <f>IF(B38="","",IF(J38&lt;&gt;"","Not billable",IF(P38="","To invoice",IF(P38="Two invoices","Check dates",IF(ISNA(MATCH(P38,Invoices!$B$6:$B$305,0)),"Check number",IF(INDEX(Invoices!$M$6:$M$305,MATCH(P38,Invoices!$B$6:$B$305,0))="Paid","Paid",IF(INDEX(Invoices!$M$6:$M$305,MATCH(P38,Invoices!$B$6:$B$305,0))="Draft","Draft","Invoiced")))))))</f>
        <v/>
      </c>
      <c r="R38" s="1">
        <f>IF(AND(B38&lt;&gt;"",P38&lt;&gt;"",P38=Invoice!$G$4),B38+MOD(N(F38),1)+ROW()/10000000,"")</f>
        <v/>
      </c>
      <c r="S38">
        <f>IF(R38="","",IF(D38="","Other work",D38)&amp;IF(AND(K38&lt;&gt;"",E38&lt;&gt;""),", "&amp;E38,""))</f>
        <v/>
      </c>
      <c r="T38">
        <f>IF(R38="","",IF(COUNTIFS(R$6:R37,"&gt;0",S$6:S37,S38,N$6:N37,N38)=0,R38,""))</f>
        <v/>
      </c>
      <c r="U38">
        <f>IF(B38="","",IF(J38&lt;&gt;"",0,M38))</f>
        <v/>
      </c>
    </row>
    <row r="39">
      <c r="A39" s="1" t="n"/>
      <c r="B39" s="16" t="n">
        <v>46136</v>
      </c>
      <c r="C39" s="17" t="inlineStr">
        <is>
          <t>Greenleaf Studio</t>
        </is>
      </c>
      <c r="D39" s="18" t="inlineStr">
        <is>
          <t>Monthly social posts</t>
        </is>
      </c>
      <c r="E39" s="18" t="inlineStr">
        <is>
          <t>Monthly report</t>
        </is>
      </c>
      <c r="F39" s="19" t="n">
        <v>0.375</v>
      </c>
      <c r="G39" s="19" t="n">
        <v>0.4583333333333333</v>
      </c>
      <c r="H39" s="20" t="n"/>
      <c r="I39" s="21" t="n"/>
      <c r="J39" s="22" t="n"/>
      <c r="K39" s="23" t="n"/>
      <c r="L39" s="18" t="n"/>
      <c r="M39" s="24">
        <f>IF(B39="","",IF(AND(F39&lt;&gt;"",G39&lt;&gt;""),MAX(0,ROUND(MOD(G39-F39,1)*24-N(H39)/60,2)),N(I39)))</f>
        <v/>
      </c>
      <c r="N39" s="14">
        <f>IF(B39="","",IF(K39&lt;&gt;"",K39,IF(N(IFERROR(INDEX(Projects!$D$6:$D$65,MATCH(D39,Projects!$B$6:$B$65,0)),""))&gt;0,IFERROR(INDEX(Projects!$D$6:$D$65,MATCH(D39,Projects!$B$6:$B$65,0)),""),IFERROR(INDEX(Clients!$G$6:$G$45,MATCH(C39,Clients!$B$6:$B$45,0)),0))))</f>
        <v/>
      </c>
      <c r="O39" s="14">
        <f>IF(B39="","",IF(J39&lt;&gt;"",0,ROUND(M39*N39,2)))</f>
        <v/>
      </c>
      <c r="P39" s="15">
        <f>IF(OR(B39="",J39&lt;&gt;""),"",IF(L39&lt;&gt;"",L39,IF(COUNTIFS(Invoices!$C$6:$C$305,C39,Invoices!$E$6:$E$305,"&lt;="&amp;B39,Invoices!$F$6:$F$305,"&gt;="&amp;B39)=1,INDEX(Invoices!$B$6:$B$305,SUMIFS(Invoices!$O$6:$O$305,Invoices!$C$6:$C$305,C39,Invoices!$E$6:$E$305,"&lt;="&amp;B39,Invoices!$F$6:$F$305,"&gt;="&amp;B39)),IF(COUNTIFS(Invoices!$C$6:$C$305,C39,Invoices!$E$6:$E$305,"&lt;="&amp;B39,Invoices!$F$6:$F$305,"&gt;="&amp;B39)&gt;1,"Two invoices",""))))</f>
        <v/>
      </c>
      <c r="Q39" s="15">
        <f>IF(B39="","",IF(J39&lt;&gt;"","Not billable",IF(P39="","To invoice",IF(P39="Two invoices","Check dates",IF(ISNA(MATCH(P39,Invoices!$B$6:$B$305,0)),"Check number",IF(INDEX(Invoices!$M$6:$M$305,MATCH(P39,Invoices!$B$6:$B$305,0))="Paid","Paid",IF(INDEX(Invoices!$M$6:$M$305,MATCH(P39,Invoices!$B$6:$B$305,0))="Draft","Draft","Invoiced")))))))</f>
        <v/>
      </c>
      <c r="R39" s="1">
        <f>IF(AND(B39&lt;&gt;"",P39&lt;&gt;"",P39=Invoice!$G$4),B39+MOD(N(F39),1)+ROW()/10000000,"")</f>
        <v/>
      </c>
      <c r="S39">
        <f>IF(R39="","",IF(D39="","Other work",D39)&amp;IF(AND(K39&lt;&gt;"",E39&lt;&gt;""),", "&amp;E39,""))</f>
        <v/>
      </c>
      <c r="T39">
        <f>IF(R39="","",IF(COUNTIFS(R$6:R38,"&gt;0",S$6:S38,S39,N$6:N38,N39)=0,R39,""))</f>
        <v/>
      </c>
      <c r="U39">
        <f>IF(B39="","",IF(J39&lt;&gt;"",0,M39))</f>
        <v/>
      </c>
    </row>
    <row r="40">
      <c r="A40" s="1" t="n"/>
      <c r="B40" s="16" t="n">
        <v>46139</v>
      </c>
      <c r="C40" s="17" t="inlineStr">
        <is>
          <t>Harbour Books</t>
        </is>
      </c>
      <c r="D40" s="18" t="inlineStr">
        <is>
          <t>Spring catalogue</t>
        </is>
      </c>
      <c r="E40" s="18" t="inlineStr">
        <is>
          <t>Catalogue layout</t>
        </is>
      </c>
      <c r="F40" s="19" t="n"/>
      <c r="G40" s="19" t="n"/>
      <c r="H40" s="20" t="n"/>
      <c r="I40" s="21" t="n">
        <v>2</v>
      </c>
      <c r="J40" s="22" t="n"/>
      <c r="K40" s="23" t="n"/>
      <c r="L40" s="18" t="n"/>
      <c r="M40" s="24">
        <f>IF(B40="","",IF(AND(F40&lt;&gt;"",G40&lt;&gt;""),MAX(0,ROUND(MOD(G40-F40,1)*24-N(H40)/60,2)),N(I40)))</f>
        <v/>
      </c>
      <c r="N40" s="14">
        <f>IF(B40="","",IF(K40&lt;&gt;"",K40,IF(N(IFERROR(INDEX(Projects!$D$6:$D$65,MATCH(D40,Projects!$B$6:$B$65,0)),""))&gt;0,IFERROR(INDEX(Projects!$D$6:$D$65,MATCH(D40,Projects!$B$6:$B$65,0)),""),IFERROR(INDEX(Clients!$G$6:$G$45,MATCH(C40,Clients!$B$6:$B$45,0)),0))))</f>
        <v/>
      </c>
      <c r="O40" s="14">
        <f>IF(B40="","",IF(J40&lt;&gt;"",0,ROUND(M40*N40,2)))</f>
        <v/>
      </c>
      <c r="P40" s="15">
        <f>IF(OR(B40="",J40&lt;&gt;""),"",IF(L40&lt;&gt;"",L40,IF(COUNTIFS(Invoices!$C$6:$C$305,C40,Invoices!$E$6:$E$305,"&lt;="&amp;B40,Invoices!$F$6:$F$305,"&gt;="&amp;B40)=1,INDEX(Invoices!$B$6:$B$305,SUMIFS(Invoices!$O$6:$O$305,Invoices!$C$6:$C$305,C40,Invoices!$E$6:$E$305,"&lt;="&amp;B40,Invoices!$F$6:$F$305,"&gt;="&amp;B40)),IF(COUNTIFS(Invoices!$C$6:$C$305,C40,Invoices!$E$6:$E$305,"&lt;="&amp;B40,Invoices!$F$6:$F$305,"&gt;="&amp;B40)&gt;1,"Two invoices",""))))</f>
        <v/>
      </c>
      <c r="Q40" s="15">
        <f>IF(B40="","",IF(J40&lt;&gt;"","Not billable",IF(P40="","To invoice",IF(P40="Two invoices","Check dates",IF(ISNA(MATCH(P40,Invoices!$B$6:$B$305,0)),"Check number",IF(INDEX(Invoices!$M$6:$M$305,MATCH(P40,Invoices!$B$6:$B$305,0))="Paid","Paid",IF(INDEX(Invoices!$M$6:$M$305,MATCH(P40,Invoices!$B$6:$B$305,0))="Draft","Draft","Invoiced")))))))</f>
        <v/>
      </c>
      <c r="R40" s="1">
        <f>IF(AND(B40&lt;&gt;"",P40&lt;&gt;"",P40=Invoice!$G$4),B40+MOD(N(F40),1)+ROW()/10000000,"")</f>
        <v/>
      </c>
      <c r="S40">
        <f>IF(R40="","",IF(D40="","Other work",D40)&amp;IF(AND(K40&lt;&gt;"",E40&lt;&gt;""),", "&amp;E40,""))</f>
        <v/>
      </c>
      <c r="T40">
        <f>IF(R40="","",IF(COUNTIFS(R$6:R39,"&gt;0",S$6:S39,S40,N$6:N39,N40)=0,R40,""))</f>
        <v/>
      </c>
      <c r="U40">
        <f>IF(B40="","",IF(J40&lt;&gt;"",0,M40))</f>
        <v/>
      </c>
    </row>
    <row r="41">
      <c r="A41" s="1" t="n"/>
      <c r="B41" s="16" t="n">
        <v>46139</v>
      </c>
      <c r="C41" s="17" t="inlineStr">
        <is>
          <t>Harbour Books</t>
        </is>
      </c>
      <c r="D41" s="18" t="inlineStr">
        <is>
          <t>Spring catalogue</t>
        </is>
      </c>
      <c r="E41" s="18" t="inlineStr">
        <is>
          <t>Product pages</t>
        </is>
      </c>
      <c r="F41" s="19" t="n">
        <v>0.375</v>
      </c>
      <c r="G41" s="19" t="n">
        <v>0.4583333333333333</v>
      </c>
      <c r="H41" s="20" t="n"/>
      <c r="I41" s="21" t="n"/>
      <c r="J41" s="22" t="n"/>
      <c r="K41" s="23" t="n"/>
      <c r="L41" s="18" t="n"/>
      <c r="M41" s="24">
        <f>IF(B41="","",IF(AND(F41&lt;&gt;"",G41&lt;&gt;""),MAX(0,ROUND(MOD(G41-F41,1)*24-N(H41)/60,2)),N(I41)))</f>
        <v/>
      </c>
      <c r="N41" s="14">
        <f>IF(B41="","",IF(K41&lt;&gt;"",K41,IF(N(IFERROR(INDEX(Projects!$D$6:$D$65,MATCH(D41,Projects!$B$6:$B$65,0)),""))&gt;0,IFERROR(INDEX(Projects!$D$6:$D$65,MATCH(D41,Projects!$B$6:$B$65,0)),""),IFERROR(INDEX(Clients!$G$6:$G$45,MATCH(C41,Clients!$B$6:$B$45,0)),0))))</f>
        <v/>
      </c>
      <c r="O41" s="14">
        <f>IF(B41="","",IF(J41&lt;&gt;"",0,ROUND(M41*N41,2)))</f>
        <v/>
      </c>
      <c r="P41" s="15">
        <f>IF(OR(B41="",J41&lt;&gt;""),"",IF(L41&lt;&gt;"",L41,IF(COUNTIFS(Invoices!$C$6:$C$305,C41,Invoices!$E$6:$E$305,"&lt;="&amp;B41,Invoices!$F$6:$F$305,"&gt;="&amp;B41)=1,INDEX(Invoices!$B$6:$B$305,SUMIFS(Invoices!$O$6:$O$305,Invoices!$C$6:$C$305,C41,Invoices!$E$6:$E$305,"&lt;="&amp;B41,Invoices!$F$6:$F$305,"&gt;="&amp;B41)),IF(COUNTIFS(Invoices!$C$6:$C$305,C41,Invoices!$E$6:$E$305,"&lt;="&amp;B41,Invoices!$F$6:$F$305,"&gt;="&amp;B41)&gt;1,"Two invoices",""))))</f>
        <v/>
      </c>
      <c r="Q41" s="15">
        <f>IF(B41="","",IF(J41&lt;&gt;"","Not billable",IF(P41="","To invoice",IF(P41="Two invoices","Check dates",IF(ISNA(MATCH(P41,Invoices!$B$6:$B$305,0)),"Check number",IF(INDEX(Invoices!$M$6:$M$305,MATCH(P41,Invoices!$B$6:$B$305,0))="Paid","Paid",IF(INDEX(Invoices!$M$6:$M$305,MATCH(P41,Invoices!$B$6:$B$305,0))="Draft","Draft","Invoiced")))))))</f>
        <v/>
      </c>
      <c r="R41" s="1">
        <f>IF(AND(B41&lt;&gt;"",P41&lt;&gt;"",P41=Invoice!$G$4),B41+MOD(N(F41),1)+ROW()/10000000,"")</f>
        <v/>
      </c>
      <c r="S41">
        <f>IF(R41="","",IF(D41="","Other work",D41)&amp;IF(AND(K41&lt;&gt;"",E41&lt;&gt;""),", "&amp;E41,""))</f>
        <v/>
      </c>
      <c r="T41">
        <f>IF(R41="","",IF(COUNTIFS(R$6:R40,"&gt;0",S$6:S40,S41,N$6:N40,N41)=0,R41,""))</f>
        <v/>
      </c>
      <c r="U41">
        <f>IF(B41="","",IF(J41&lt;&gt;"",0,M41))</f>
        <v/>
      </c>
    </row>
    <row r="42">
      <c r="A42" s="1" t="n"/>
      <c r="B42" s="16" t="n">
        <v>46140</v>
      </c>
      <c r="C42" s="17" t="inlineStr">
        <is>
          <t>Harbour Books</t>
        </is>
      </c>
      <c r="D42" s="18" t="inlineStr">
        <is>
          <t>Spring catalogue</t>
        </is>
      </c>
      <c r="E42" s="18" t="inlineStr">
        <is>
          <t>Catalogue layout</t>
        </is>
      </c>
      <c r="F42" s="19" t="n"/>
      <c r="G42" s="19" t="n"/>
      <c r="H42" s="20" t="n"/>
      <c r="I42" s="21" t="n">
        <v>2.5</v>
      </c>
      <c r="J42" s="22" t="n"/>
      <c r="K42" s="23" t="n"/>
      <c r="L42" s="18" t="n"/>
      <c r="M42" s="24">
        <f>IF(B42="","",IF(AND(F42&lt;&gt;"",G42&lt;&gt;""),MAX(0,ROUND(MOD(G42-F42,1)*24-N(H42)/60,2)),N(I42)))</f>
        <v/>
      </c>
      <c r="N42" s="14">
        <f>IF(B42="","",IF(K42&lt;&gt;"",K42,IF(N(IFERROR(INDEX(Projects!$D$6:$D$65,MATCH(D42,Projects!$B$6:$B$65,0)),""))&gt;0,IFERROR(INDEX(Projects!$D$6:$D$65,MATCH(D42,Projects!$B$6:$B$65,0)),""),IFERROR(INDEX(Clients!$G$6:$G$45,MATCH(C42,Clients!$B$6:$B$45,0)),0))))</f>
        <v/>
      </c>
      <c r="O42" s="14">
        <f>IF(B42="","",IF(J42&lt;&gt;"",0,ROUND(M42*N42,2)))</f>
        <v/>
      </c>
      <c r="P42" s="15">
        <f>IF(OR(B42="",J42&lt;&gt;""),"",IF(L42&lt;&gt;"",L42,IF(COUNTIFS(Invoices!$C$6:$C$305,C42,Invoices!$E$6:$E$305,"&lt;="&amp;B42,Invoices!$F$6:$F$305,"&gt;="&amp;B42)=1,INDEX(Invoices!$B$6:$B$305,SUMIFS(Invoices!$O$6:$O$305,Invoices!$C$6:$C$305,C42,Invoices!$E$6:$E$305,"&lt;="&amp;B42,Invoices!$F$6:$F$305,"&gt;="&amp;B42)),IF(COUNTIFS(Invoices!$C$6:$C$305,C42,Invoices!$E$6:$E$305,"&lt;="&amp;B42,Invoices!$F$6:$F$305,"&gt;="&amp;B42)&gt;1,"Two invoices",""))))</f>
        <v/>
      </c>
      <c r="Q42" s="15">
        <f>IF(B42="","",IF(J42&lt;&gt;"","Not billable",IF(P42="","To invoice",IF(P42="Two invoices","Check dates",IF(ISNA(MATCH(P42,Invoices!$B$6:$B$305,0)),"Check number",IF(INDEX(Invoices!$M$6:$M$305,MATCH(P42,Invoices!$B$6:$B$305,0))="Paid","Paid",IF(INDEX(Invoices!$M$6:$M$305,MATCH(P42,Invoices!$B$6:$B$305,0))="Draft","Draft","Invoiced")))))))</f>
        <v/>
      </c>
      <c r="R42" s="1">
        <f>IF(AND(B42&lt;&gt;"",P42&lt;&gt;"",P42=Invoice!$G$4),B42+MOD(N(F42),1)+ROW()/10000000,"")</f>
        <v/>
      </c>
      <c r="S42">
        <f>IF(R42="","",IF(D42="","Other work",D42)&amp;IF(AND(K42&lt;&gt;"",E42&lt;&gt;""),", "&amp;E42,""))</f>
        <v/>
      </c>
      <c r="T42">
        <f>IF(R42="","",IF(COUNTIFS(R$6:R41,"&gt;0",S$6:S41,S42,N$6:N41,N42)=0,R42,""))</f>
        <v/>
      </c>
      <c r="U42">
        <f>IF(B42="","",IF(J42&lt;&gt;"",0,M42))</f>
        <v/>
      </c>
    </row>
    <row r="43">
      <c r="A43" s="1" t="n"/>
      <c r="B43" s="16" t="n">
        <v>46140</v>
      </c>
      <c r="C43" s="17" t="inlineStr">
        <is>
          <t>Harbour Books</t>
        </is>
      </c>
      <c r="D43" s="18" t="inlineStr">
        <is>
          <t>Spring catalogue</t>
        </is>
      </c>
      <c r="E43" s="18" t="inlineStr">
        <is>
          <t>Product pages</t>
        </is>
      </c>
      <c r="F43" s="19" t="n"/>
      <c r="G43" s="19" t="n"/>
      <c r="H43" s="20" t="n"/>
      <c r="I43" s="21" t="n">
        <v>1.5</v>
      </c>
      <c r="J43" s="22" t="n"/>
      <c r="K43" s="23" t="n"/>
      <c r="L43" s="18" t="n"/>
      <c r="M43" s="24">
        <f>IF(B43="","",IF(AND(F43&lt;&gt;"",G43&lt;&gt;""),MAX(0,ROUND(MOD(G43-F43,1)*24-N(H43)/60,2)),N(I43)))</f>
        <v/>
      </c>
      <c r="N43" s="14">
        <f>IF(B43="","",IF(K43&lt;&gt;"",K43,IF(N(IFERROR(INDEX(Projects!$D$6:$D$65,MATCH(D43,Projects!$B$6:$B$65,0)),""))&gt;0,IFERROR(INDEX(Projects!$D$6:$D$65,MATCH(D43,Projects!$B$6:$B$65,0)),""),IFERROR(INDEX(Clients!$G$6:$G$45,MATCH(C43,Clients!$B$6:$B$45,0)),0))))</f>
        <v/>
      </c>
      <c r="O43" s="14">
        <f>IF(B43="","",IF(J43&lt;&gt;"",0,ROUND(M43*N43,2)))</f>
        <v/>
      </c>
      <c r="P43" s="15">
        <f>IF(OR(B43="",J43&lt;&gt;""),"",IF(L43&lt;&gt;"",L43,IF(COUNTIFS(Invoices!$C$6:$C$305,C43,Invoices!$E$6:$E$305,"&lt;="&amp;B43,Invoices!$F$6:$F$305,"&gt;="&amp;B43)=1,INDEX(Invoices!$B$6:$B$305,SUMIFS(Invoices!$O$6:$O$305,Invoices!$C$6:$C$305,C43,Invoices!$E$6:$E$305,"&lt;="&amp;B43,Invoices!$F$6:$F$305,"&gt;="&amp;B43)),IF(COUNTIFS(Invoices!$C$6:$C$305,C43,Invoices!$E$6:$E$305,"&lt;="&amp;B43,Invoices!$F$6:$F$305,"&gt;="&amp;B43)&gt;1,"Two invoices",""))))</f>
        <v/>
      </c>
      <c r="Q43" s="15">
        <f>IF(B43="","",IF(J43&lt;&gt;"","Not billable",IF(P43="","To invoice",IF(P43="Two invoices","Check dates",IF(ISNA(MATCH(P43,Invoices!$B$6:$B$305,0)),"Check number",IF(INDEX(Invoices!$M$6:$M$305,MATCH(P43,Invoices!$B$6:$B$305,0))="Paid","Paid",IF(INDEX(Invoices!$M$6:$M$305,MATCH(P43,Invoices!$B$6:$B$305,0))="Draft","Draft","Invoiced")))))))</f>
        <v/>
      </c>
      <c r="R43" s="1">
        <f>IF(AND(B43&lt;&gt;"",P43&lt;&gt;"",P43=Invoice!$G$4),B43+MOD(N(F43),1)+ROW()/10000000,"")</f>
        <v/>
      </c>
      <c r="S43">
        <f>IF(R43="","",IF(D43="","Other work",D43)&amp;IF(AND(K43&lt;&gt;"",E43&lt;&gt;""),", "&amp;E43,""))</f>
        <v/>
      </c>
      <c r="T43">
        <f>IF(R43="","",IF(COUNTIFS(R$6:R42,"&gt;0",S$6:S42,S43,N$6:N42,N43)=0,R43,""))</f>
        <v/>
      </c>
      <c r="U43">
        <f>IF(B43="","",IF(J43&lt;&gt;"",0,M43))</f>
        <v/>
      </c>
    </row>
    <row r="44">
      <c r="A44" s="1" t="n"/>
      <c r="B44" s="16" t="n">
        <v>46141</v>
      </c>
      <c r="C44" s="17" t="inlineStr">
        <is>
          <t>Harbour Books</t>
        </is>
      </c>
      <c r="D44" s="18" t="inlineStr">
        <is>
          <t>Spring catalogue</t>
        </is>
      </c>
      <c r="E44" s="18" t="inlineStr">
        <is>
          <t>Cover design</t>
        </is>
      </c>
      <c r="F44" s="19" t="n"/>
      <c r="G44" s="19" t="n"/>
      <c r="H44" s="20" t="n"/>
      <c r="I44" s="21" t="n">
        <v>2</v>
      </c>
      <c r="J44" s="22" t="n"/>
      <c r="K44" s="23" t="n"/>
      <c r="L44" s="18" t="n"/>
      <c r="M44" s="24">
        <f>IF(B44="","",IF(AND(F44&lt;&gt;"",G44&lt;&gt;""),MAX(0,ROUND(MOD(G44-F44,1)*24-N(H44)/60,2)),N(I44)))</f>
        <v/>
      </c>
      <c r="N44" s="14">
        <f>IF(B44="","",IF(K44&lt;&gt;"",K44,IF(N(IFERROR(INDEX(Projects!$D$6:$D$65,MATCH(D44,Projects!$B$6:$B$65,0)),""))&gt;0,IFERROR(INDEX(Projects!$D$6:$D$65,MATCH(D44,Projects!$B$6:$B$65,0)),""),IFERROR(INDEX(Clients!$G$6:$G$45,MATCH(C44,Clients!$B$6:$B$45,0)),0))))</f>
        <v/>
      </c>
      <c r="O44" s="14">
        <f>IF(B44="","",IF(J44&lt;&gt;"",0,ROUND(M44*N44,2)))</f>
        <v/>
      </c>
      <c r="P44" s="15">
        <f>IF(OR(B44="",J44&lt;&gt;""),"",IF(L44&lt;&gt;"",L44,IF(COUNTIFS(Invoices!$C$6:$C$305,C44,Invoices!$E$6:$E$305,"&lt;="&amp;B44,Invoices!$F$6:$F$305,"&gt;="&amp;B44)=1,INDEX(Invoices!$B$6:$B$305,SUMIFS(Invoices!$O$6:$O$305,Invoices!$C$6:$C$305,C44,Invoices!$E$6:$E$305,"&lt;="&amp;B44,Invoices!$F$6:$F$305,"&gt;="&amp;B44)),IF(COUNTIFS(Invoices!$C$6:$C$305,C44,Invoices!$E$6:$E$305,"&lt;="&amp;B44,Invoices!$F$6:$F$305,"&gt;="&amp;B44)&gt;1,"Two invoices",""))))</f>
        <v/>
      </c>
      <c r="Q44" s="15">
        <f>IF(B44="","",IF(J44&lt;&gt;"","Not billable",IF(P44="","To invoice",IF(P44="Two invoices","Check dates",IF(ISNA(MATCH(P44,Invoices!$B$6:$B$305,0)),"Check number",IF(INDEX(Invoices!$M$6:$M$305,MATCH(P44,Invoices!$B$6:$B$305,0))="Paid","Paid",IF(INDEX(Invoices!$M$6:$M$305,MATCH(P44,Invoices!$B$6:$B$305,0))="Draft","Draft","Invoiced")))))))</f>
        <v/>
      </c>
      <c r="R44" s="1">
        <f>IF(AND(B44&lt;&gt;"",P44&lt;&gt;"",P44=Invoice!$G$4),B44+MOD(N(F44),1)+ROW()/10000000,"")</f>
        <v/>
      </c>
      <c r="S44">
        <f>IF(R44="","",IF(D44="","Other work",D44)&amp;IF(AND(K44&lt;&gt;"",E44&lt;&gt;""),", "&amp;E44,""))</f>
        <v/>
      </c>
      <c r="T44">
        <f>IF(R44="","",IF(COUNTIFS(R$6:R43,"&gt;0",S$6:S43,S44,N$6:N43,N44)=0,R44,""))</f>
        <v/>
      </c>
      <c r="U44">
        <f>IF(B44="","",IF(J44&lt;&gt;"",0,M44))</f>
        <v/>
      </c>
    </row>
    <row r="45">
      <c r="A45" s="1" t="n"/>
      <c r="B45" s="16" t="n">
        <v>46141</v>
      </c>
      <c r="C45" s="17" t="inlineStr">
        <is>
          <t>Greenleaf Studio</t>
        </is>
      </c>
      <c r="D45" s="18" t="inlineStr">
        <is>
          <t>Monthly social posts</t>
        </is>
      </c>
      <c r="E45" s="18" t="inlineStr">
        <is>
          <t>Post designs</t>
        </is>
      </c>
      <c r="F45" s="19" t="n">
        <v>0.3958333333333333</v>
      </c>
      <c r="G45" s="19" t="n">
        <v>0.5</v>
      </c>
      <c r="H45" s="20" t="n"/>
      <c r="I45" s="21" t="n"/>
      <c r="J45" s="22" t="n"/>
      <c r="K45" s="23" t="n"/>
      <c r="L45" s="18" t="n"/>
      <c r="M45" s="24">
        <f>IF(B45="","",IF(AND(F45&lt;&gt;"",G45&lt;&gt;""),MAX(0,ROUND(MOD(G45-F45,1)*24-N(H45)/60,2)),N(I45)))</f>
        <v/>
      </c>
      <c r="N45" s="14">
        <f>IF(B45="","",IF(K45&lt;&gt;"",K45,IF(N(IFERROR(INDEX(Projects!$D$6:$D$65,MATCH(D45,Projects!$B$6:$B$65,0)),""))&gt;0,IFERROR(INDEX(Projects!$D$6:$D$65,MATCH(D45,Projects!$B$6:$B$65,0)),""),IFERROR(INDEX(Clients!$G$6:$G$45,MATCH(C45,Clients!$B$6:$B$45,0)),0))))</f>
        <v/>
      </c>
      <c r="O45" s="14">
        <f>IF(B45="","",IF(J45&lt;&gt;"",0,ROUND(M45*N45,2)))</f>
        <v/>
      </c>
      <c r="P45" s="15">
        <f>IF(OR(B45="",J45&lt;&gt;""),"",IF(L45&lt;&gt;"",L45,IF(COUNTIFS(Invoices!$C$6:$C$305,C45,Invoices!$E$6:$E$305,"&lt;="&amp;B45,Invoices!$F$6:$F$305,"&gt;="&amp;B45)=1,INDEX(Invoices!$B$6:$B$305,SUMIFS(Invoices!$O$6:$O$305,Invoices!$C$6:$C$305,C45,Invoices!$E$6:$E$305,"&lt;="&amp;B45,Invoices!$F$6:$F$305,"&gt;="&amp;B45)),IF(COUNTIFS(Invoices!$C$6:$C$305,C45,Invoices!$E$6:$E$305,"&lt;="&amp;B45,Invoices!$F$6:$F$305,"&gt;="&amp;B45)&gt;1,"Two invoices",""))))</f>
        <v/>
      </c>
      <c r="Q45" s="15">
        <f>IF(B45="","",IF(J45&lt;&gt;"","Not billable",IF(P45="","To invoice",IF(P45="Two invoices","Check dates",IF(ISNA(MATCH(P45,Invoices!$B$6:$B$305,0)),"Check number",IF(INDEX(Invoices!$M$6:$M$305,MATCH(P45,Invoices!$B$6:$B$305,0))="Paid","Paid",IF(INDEX(Invoices!$M$6:$M$305,MATCH(P45,Invoices!$B$6:$B$305,0))="Draft","Draft","Invoiced")))))))</f>
        <v/>
      </c>
      <c r="R45" s="1">
        <f>IF(AND(B45&lt;&gt;"",P45&lt;&gt;"",P45=Invoice!$G$4),B45+MOD(N(F45),1)+ROW()/10000000,"")</f>
        <v/>
      </c>
      <c r="S45">
        <f>IF(R45="","",IF(D45="","Other work",D45)&amp;IF(AND(K45&lt;&gt;"",E45&lt;&gt;""),", "&amp;E45,""))</f>
        <v/>
      </c>
      <c r="T45">
        <f>IF(R45="","",IF(COUNTIFS(R$6:R44,"&gt;0",S$6:S44,S45,N$6:N44,N45)=0,R45,""))</f>
        <v/>
      </c>
      <c r="U45">
        <f>IF(B45="","",IF(J45&lt;&gt;"",0,M45))</f>
        <v/>
      </c>
    </row>
    <row r="46">
      <c r="A46" s="1" t="n"/>
      <c r="B46" s="16" t="n">
        <v>46142</v>
      </c>
      <c r="C46" s="17" t="inlineStr">
        <is>
          <t>Harbour Books</t>
        </is>
      </c>
      <c r="D46" s="18" t="inlineStr">
        <is>
          <t>Spring catalogue</t>
        </is>
      </c>
      <c r="E46" s="18" t="inlineStr">
        <is>
          <t>Proof corrections</t>
        </is>
      </c>
      <c r="F46" s="19" t="n"/>
      <c r="G46" s="19" t="n"/>
      <c r="H46" s="20" t="n"/>
      <c r="I46" s="21" t="n">
        <v>1</v>
      </c>
      <c r="J46" s="22" t="n"/>
      <c r="K46" s="23" t="n"/>
      <c r="L46" s="18" t="n"/>
      <c r="M46" s="24">
        <f>IF(B46="","",IF(AND(F46&lt;&gt;"",G46&lt;&gt;""),MAX(0,ROUND(MOD(G46-F46,1)*24-N(H46)/60,2)),N(I46)))</f>
        <v/>
      </c>
      <c r="N46" s="14">
        <f>IF(B46="","",IF(K46&lt;&gt;"",K46,IF(N(IFERROR(INDEX(Projects!$D$6:$D$65,MATCH(D46,Projects!$B$6:$B$65,0)),""))&gt;0,IFERROR(INDEX(Projects!$D$6:$D$65,MATCH(D46,Projects!$B$6:$B$65,0)),""),IFERROR(INDEX(Clients!$G$6:$G$45,MATCH(C46,Clients!$B$6:$B$45,0)),0))))</f>
        <v/>
      </c>
      <c r="O46" s="14">
        <f>IF(B46="","",IF(J46&lt;&gt;"",0,ROUND(M46*N46,2)))</f>
        <v/>
      </c>
      <c r="P46" s="15">
        <f>IF(OR(B46="",J46&lt;&gt;""),"",IF(L46&lt;&gt;"",L46,IF(COUNTIFS(Invoices!$C$6:$C$305,C46,Invoices!$E$6:$E$305,"&lt;="&amp;B46,Invoices!$F$6:$F$305,"&gt;="&amp;B46)=1,INDEX(Invoices!$B$6:$B$305,SUMIFS(Invoices!$O$6:$O$305,Invoices!$C$6:$C$305,C46,Invoices!$E$6:$E$305,"&lt;="&amp;B46,Invoices!$F$6:$F$305,"&gt;="&amp;B46)),IF(COUNTIFS(Invoices!$C$6:$C$305,C46,Invoices!$E$6:$E$305,"&lt;="&amp;B46,Invoices!$F$6:$F$305,"&gt;="&amp;B46)&gt;1,"Two invoices",""))))</f>
        <v/>
      </c>
      <c r="Q46" s="15">
        <f>IF(B46="","",IF(J46&lt;&gt;"","Not billable",IF(P46="","To invoice",IF(P46="Two invoices","Check dates",IF(ISNA(MATCH(P46,Invoices!$B$6:$B$305,0)),"Check number",IF(INDEX(Invoices!$M$6:$M$305,MATCH(P46,Invoices!$B$6:$B$305,0))="Paid","Paid",IF(INDEX(Invoices!$M$6:$M$305,MATCH(P46,Invoices!$B$6:$B$305,0))="Draft","Draft","Invoiced")))))))</f>
        <v/>
      </c>
      <c r="R46" s="1">
        <f>IF(AND(B46&lt;&gt;"",P46&lt;&gt;"",P46=Invoice!$G$4),B46+MOD(N(F46),1)+ROW()/10000000,"")</f>
        <v/>
      </c>
      <c r="S46">
        <f>IF(R46="","",IF(D46="","Other work",D46)&amp;IF(AND(K46&lt;&gt;"",E46&lt;&gt;""),", "&amp;E46,""))</f>
        <v/>
      </c>
      <c r="T46">
        <f>IF(R46="","",IF(COUNTIFS(R$6:R45,"&gt;0",S$6:S45,S46,N$6:N45,N46)=0,R46,""))</f>
        <v/>
      </c>
      <c r="U46">
        <f>IF(B46="","",IF(J46&lt;&gt;"",0,M46))</f>
        <v/>
      </c>
    </row>
    <row r="47">
      <c r="A47" s="1" t="n"/>
      <c r="B47" s="16" t="n">
        <v>46142</v>
      </c>
      <c r="C47" s="17" t="inlineStr">
        <is>
          <t>Harbour Books</t>
        </is>
      </c>
      <c r="D47" s="18" t="inlineStr">
        <is>
          <t>Spring catalogue</t>
        </is>
      </c>
      <c r="E47" s="18" t="inlineStr">
        <is>
          <t>Proof corrections</t>
        </is>
      </c>
      <c r="F47" s="19" t="n">
        <v>0.3958333333333333</v>
      </c>
      <c r="G47" s="19" t="n">
        <v>0.53125</v>
      </c>
      <c r="H47" s="20" t="n">
        <v>15</v>
      </c>
      <c r="I47" s="21" t="n"/>
      <c r="J47" s="22" t="n"/>
      <c r="K47" s="23" t="n"/>
      <c r="L47" s="18" t="n"/>
      <c r="M47" s="24">
        <f>IF(B47="","",IF(AND(F47&lt;&gt;"",G47&lt;&gt;""),MAX(0,ROUND(MOD(G47-F47,1)*24-N(H47)/60,2)),N(I47)))</f>
        <v/>
      </c>
      <c r="N47" s="14">
        <f>IF(B47="","",IF(K47&lt;&gt;"",K47,IF(N(IFERROR(INDEX(Projects!$D$6:$D$65,MATCH(D47,Projects!$B$6:$B$65,0)),""))&gt;0,IFERROR(INDEX(Projects!$D$6:$D$65,MATCH(D47,Projects!$B$6:$B$65,0)),""),IFERROR(INDEX(Clients!$G$6:$G$45,MATCH(C47,Clients!$B$6:$B$45,0)),0))))</f>
        <v/>
      </c>
      <c r="O47" s="14">
        <f>IF(B47="","",IF(J47&lt;&gt;"",0,ROUND(M47*N47,2)))</f>
        <v/>
      </c>
      <c r="P47" s="15">
        <f>IF(OR(B47="",J47&lt;&gt;""),"",IF(L47&lt;&gt;"",L47,IF(COUNTIFS(Invoices!$C$6:$C$305,C47,Invoices!$E$6:$E$305,"&lt;="&amp;B47,Invoices!$F$6:$F$305,"&gt;="&amp;B47)=1,INDEX(Invoices!$B$6:$B$305,SUMIFS(Invoices!$O$6:$O$305,Invoices!$C$6:$C$305,C47,Invoices!$E$6:$E$305,"&lt;="&amp;B47,Invoices!$F$6:$F$305,"&gt;="&amp;B47)),IF(COUNTIFS(Invoices!$C$6:$C$305,C47,Invoices!$E$6:$E$305,"&lt;="&amp;B47,Invoices!$F$6:$F$305,"&gt;="&amp;B47)&gt;1,"Two invoices",""))))</f>
        <v/>
      </c>
      <c r="Q47" s="15">
        <f>IF(B47="","",IF(J47&lt;&gt;"","Not billable",IF(P47="","To invoice",IF(P47="Two invoices","Check dates",IF(ISNA(MATCH(P47,Invoices!$B$6:$B$305,0)),"Check number",IF(INDEX(Invoices!$M$6:$M$305,MATCH(P47,Invoices!$B$6:$B$305,0))="Paid","Paid",IF(INDEX(Invoices!$M$6:$M$305,MATCH(P47,Invoices!$B$6:$B$305,0))="Draft","Draft","Invoiced")))))))</f>
        <v/>
      </c>
      <c r="R47" s="1">
        <f>IF(AND(B47&lt;&gt;"",P47&lt;&gt;"",P47=Invoice!$G$4),B47+MOD(N(F47),1)+ROW()/10000000,"")</f>
        <v/>
      </c>
      <c r="S47">
        <f>IF(R47="","",IF(D47="","Other work",D47)&amp;IF(AND(K47&lt;&gt;"",E47&lt;&gt;""),", "&amp;E47,""))</f>
        <v/>
      </c>
      <c r="T47">
        <f>IF(R47="","",IF(COUNTIFS(R$6:R46,"&gt;0",S$6:S46,S47,N$6:N46,N47)=0,R47,""))</f>
        <v/>
      </c>
      <c r="U47">
        <f>IF(B47="","",IF(J47&lt;&gt;"",0,M47))</f>
        <v/>
      </c>
    </row>
    <row r="48">
      <c r="A48" s="1" t="n"/>
      <c r="B48" s="16" t="n">
        <v>46143</v>
      </c>
      <c r="C48" s="17" t="inlineStr">
        <is>
          <t>Harbour Books</t>
        </is>
      </c>
      <c r="D48" s="18" t="inlineStr">
        <is>
          <t>Spring catalogue</t>
        </is>
      </c>
      <c r="E48" s="18" t="inlineStr">
        <is>
          <t>Cover design</t>
        </is>
      </c>
      <c r="F48" s="19" t="n">
        <v>0.3958333333333333</v>
      </c>
      <c r="G48" s="19" t="n">
        <v>0.5</v>
      </c>
      <c r="H48" s="20" t="n"/>
      <c r="I48" s="21" t="n"/>
      <c r="J48" s="22" t="n"/>
      <c r="K48" s="23" t="n"/>
      <c r="L48" s="18" t="n"/>
      <c r="M48" s="24">
        <f>IF(B48="","",IF(AND(F48&lt;&gt;"",G48&lt;&gt;""),MAX(0,ROUND(MOD(G48-F48,1)*24-N(H48)/60,2)),N(I48)))</f>
        <v/>
      </c>
      <c r="N48" s="14">
        <f>IF(B48="","",IF(K48&lt;&gt;"",K48,IF(N(IFERROR(INDEX(Projects!$D$6:$D$65,MATCH(D48,Projects!$B$6:$B$65,0)),""))&gt;0,IFERROR(INDEX(Projects!$D$6:$D$65,MATCH(D48,Projects!$B$6:$B$65,0)),""),IFERROR(INDEX(Clients!$G$6:$G$45,MATCH(C48,Clients!$B$6:$B$45,0)),0))))</f>
        <v/>
      </c>
      <c r="O48" s="14">
        <f>IF(B48="","",IF(J48&lt;&gt;"",0,ROUND(M48*N48,2)))</f>
        <v/>
      </c>
      <c r="P48" s="15">
        <f>IF(OR(B48="",J48&lt;&gt;""),"",IF(L48&lt;&gt;"",L48,IF(COUNTIFS(Invoices!$C$6:$C$305,C48,Invoices!$E$6:$E$305,"&lt;="&amp;B48,Invoices!$F$6:$F$305,"&gt;="&amp;B48)=1,INDEX(Invoices!$B$6:$B$305,SUMIFS(Invoices!$O$6:$O$305,Invoices!$C$6:$C$305,C48,Invoices!$E$6:$E$305,"&lt;="&amp;B48,Invoices!$F$6:$F$305,"&gt;="&amp;B48)),IF(COUNTIFS(Invoices!$C$6:$C$305,C48,Invoices!$E$6:$E$305,"&lt;="&amp;B48,Invoices!$F$6:$F$305,"&gt;="&amp;B48)&gt;1,"Two invoices",""))))</f>
        <v/>
      </c>
      <c r="Q48" s="15">
        <f>IF(B48="","",IF(J48&lt;&gt;"","Not billable",IF(P48="","To invoice",IF(P48="Two invoices","Check dates",IF(ISNA(MATCH(P48,Invoices!$B$6:$B$305,0)),"Check number",IF(INDEX(Invoices!$M$6:$M$305,MATCH(P48,Invoices!$B$6:$B$305,0))="Paid","Paid",IF(INDEX(Invoices!$M$6:$M$305,MATCH(P48,Invoices!$B$6:$B$305,0))="Draft","Draft","Invoiced")))))))</f>
        <v/>
      </c>
      <c r="R48" s="1">
        <f>IF(AND(B48&lt;&gt;"",P48&lt;&gt;"",P48=Invoice!$G$4),B48+MOD(N(F48),1)+ROW()/10000000,"")</f>
        <v/>
      </c>
      <c r="S48">
        <f>IF(R48="","",IF(D48="","Other work",D48)&amp;IF(AND(K48&lt;&gt;"",E48&lt;&gt;""),", "&amp;E48,""))</f>
        <v/>
      </c>
      <c r="T48">
        <f>IF(R48="","",IF(COUNTIFS(R$6:R47,"&gt;0",S$6:S47,S48,N$6:N47,N48)=0,R48,""))</f>
        <v/>
      </c>
      <c r="U48">
        <f>IF(B48="","",IF(J48&lt;&gt;"",0,M48))</f>
        <v/>
      </c>
    </row>
    <row r="49">
      <c r="A49" s="1" t="n"/>
      <c r="B49" s="16" t="n">
        <v>46143</v>
      </c>
      <c r="C49" s="17" t="inlineStr">
        <is>
          <t>Harbour Books</t>
        </is>
      </c>
      <c r="D49" s="18" t="inlineStr">
        <is>
          <t>Spring catalogue</t>
        </is>
      </c>
      <c r="E49" s="18" t="inlineStr">
        <is>
          <t>Product pages</t>
        </is>
      </c>
      <c r="F49" s="19" t="n">
        <v>0.53125</v>
      </c>
      <c r="G49" s="19" t="n">
        <v>0.65625</v>
      </c>
      <c r="H49" s="20" t="n"/>
      <c r="I49" s="21" t="n"/>
      <c r="J49" s="22" t="n"/>
      <c r="K49" s="23" t="n"/>
      <c r="L49" s="18" t="n"/>
      <c r="M49" s="24">
        <f>IF(B49="","",IF(AND(F49&lt;&gt;"",G49&lt;&gt;""),MAX(0,ROUND(MOD(G49-F49,1)*24-N(H49)/60,2)),N(I49)))</f>
        <v/>
      </c>
      <c r="N49" s="14">
        <f>IF(B49="","",IF(K49&lt;&gt;"",K49,IF(N(IFERROR(INDEX(Projects!$D$6:$D$65,MATCH(D49,Projects!$B$6:$B$65,0)),""))&gt;0,IFERROR(INDEX(Projects!$D$6:$D$65,MATCH(D49,Projects!$B$6:$B$65,0)),""),IFERROR(INDEX(Clients!$G$6:$G$45,MATCH(C49,Clients!$B$6:$B$45,0)),0))))</f>
        <v/>
      </c>
      <c r="O49" s="14">
        <f>IF(B49="","",IF(J49&lt;&gt;"",0,ROUND(M49*N49,2)))</f>
        <v/>
      </c>
      <c r="P49" s="15">
        <f>IF(OR(B49="",J49&lt;&gt;""),"",IF(L49&lt;&gt;"",L49,IF(COUNTIFS(Invoices!$C$6:$C$305,C49,Invoices!$E$6:$E$305,"&lt;="&amp;B49,Invoices!$F$6:$F$305,"&gt;="&amp;B49)=1,INDEX(Invoices!$B$6:$B$305,SUMIFS(Invoices!$O$6:$O$305,Invoices!$C$6:$C$305,C49,Invoices!$E$6:$E$305,"&lt;="&amp;B49,Invoices!$F$6:$F$305,"&gt;="&amp;B49)),IF(COUNTIFS(Invoices!$C$6:$C$305,C49,Invoices!$E$6:$E$305,"&lt;="&amp;B49,Invoices!$F$6:$F$305,"&gt;="&amp;B49)&gt;1,"Two invoices",""))))</f>
        <v/>
      </c>
      <c r="Q49" s="15">
        <f>IF(B49="","",IF(J49&lt;&gt;"","Not billable",IF(P49="","To invoice",IF(P49="Two invoices","Check dates",IF(ISNA(MATCH(P49,Invoices!$B$6:$B$305,0)),"Check number",IF(INDEX(Invoices!$M$6:$M$305,MATCH(P49,Invoices!$B$6:$B$305,0))="Paid","Paid",IF(INDEX(Invoices!$M$6:$M$305,MATCH(P49,Invoices!$B$6:$B$305,0))="Draft","Draft","Invoiced")))))))</f>
        <v/>
      </c>
      <c r="R49" s="1">
        <f>IF(AND(B49&lt;&gt;"",P49&lt;&gt;"",P49=Invoice!$G$4),B49+MOD(N(F49),1)+ROW()/10000000,"")</f>
        <v/>
      </c>
      <c r="S49">
        <f>IF(R49="","",IF(D49="","Other work",D49)&amp;IF(AND(K49&lt;&gt;"",E49&lt;&gt;""),", "&amp;E49,""))</f>
        <v/>
      </c>
      <c r="T49">
        <f>IF(R49="","",IF(COUNTIFS(R$6:R48,"&gt;0",S$6:S48,S49,N$6:N48,N49)=0,R49,""))</f>
        <v/>
      </c>
      <c r="U49">
        <f>IF(B49="","",IF(J49&lt;&gt;"",0,M49))</f>
        <v/>
      </c>
    </row>
    <row r="50">
      <c r="A50" s="1" t="n"/>
      <c r="B50" s="16" t="n">
        <v>46143</v>
      </c>
      <c r="C50" s="17" t="inlineStr">
        <is>
          <t>Greenleaf Studio</t>
        </is>
      </c>
      <c r="D50" s="18" t="inlineStr">
        <is>
          <t>Monthly social posts</t>
        </is>
      </c>
      <c r="E50" s="18" t="inlineStr">
        <is>
          <t>Monthly report</t>
        </is>
      </c>
      <c r="F50" s="19" t="n">
        <v>0.6770833333333334</v>
      </c>
      <c r="G50" s="19" t="n">
        <v>0.7604166666666666</v>
      </c>
      <c r="H50" s="20" t="n"/>
      <c r="I50" s="21" t="n"/>
      <c r="J50" s="22" t="n"/>
      <c r="K50" s="23" t="n"/>
      <c r="L50" s="18" t="n"/>
      <c r="M50" s="24">
        <f>IF(B50="","",IF(AND(F50&lt;&gt;"",G50&lt;&gt;""),MAX(0,ROUND(MOD(G50-F50,1)*24-N(H50)/60,2)),N(I50)))</f>
        <v/>
      </c>
      <c r="N50" s="14">
        <f>IF(B50="","",IF(K50&lt;&gt;"",K50,IF(N(IFERROR(INDEX(Projects!$D$6:$D$65,MATCH(D50,Projects!$B$6:$B$65,0)),""))&gt;0,IFERROR(INDEX(Projects!$D$6:$D$65,MATCH(D50,Projects!$B$6:$B$65,0)),""),IFERROR(INDEX(Clients!$G$6:$G$45,MATCH(C50,Clients!$B$6:$B$45,0)),0))))</f>
        <v/>
      </c>
      <c r="O50" s="14">
        <f>IF(B50="","",IF(J50&lt;&gt;"",0,ROUND(M50*N50,2)))</f>
        <v/>
      </c>
      <c r="P50" s="15">
        <f>IF(OR(B50="",J50&lt;&gt;""),"",IF(L50&lt;&gt;"",L50,IF(COUNTIFS(Invoices!$C$6:$C$305,C50,Invoices!$E$6:$E$305,"&lt;="&amp;B50,Invoices!$F$6:$F$305,"&gt;="&amp;B50)=1,INDEX(Invoices!$B$6:$B$305,SUMIFS(Invoices!$O$6:$O$305,Invoices!$C$6:$C$305,C50,Invoices!$E$6:$E$305,"&lt;="&amp;B50,Invoices!$F$6:$F$305,"&gt;="&amp;B50)),IF(COUNTIFS(Invoices!$C$6:$C$305,C50,Invoices!$E$6:$E$305,"&lt;="&amp;B50,Invoices!$F$6:$F$305,"&gt;="&amp;B50)&gt;1,"Two invoices",""))))</f>
        <v/>
      </c>
      <c r="Q50" s="15">
        <f>IF(B50="","",IF(J50&lt;&gt;"","Not billable",IF(P50="","To invoice",IF(P50="Two invoices","Check dates",IF(ISNA(MATCH(P50,Invoices!$B$6:$B$305,0)),"Check number",IF(INDEX(Invoices!$M$6:$M$305,MATCH(P50,Invoices!$B$6:$B$305,0))="Paid","Paid",IF(INDEX(Invoices!$M$6:$M$305,MATCH(P50,Invoices!$B$6:$B$305,0))="Draft","Draft","Invoiced")))))))</f>
        <v/>
      </c>
      <c r="R50" s="1">
        <f>IF(AND(B50&lt;&gt;"",P50&lt;&gt;"",P50=Invoice!$G$4),B50+MOD(N(F50),1)+ROW()/10000000,"")</f>
        <v/>
      </c>
      <c r="S50">
        <f>IF(R50="","",IF(D50="","Other work",D50)&amp;IF(AND(K50&lt;&gt;"",E50&lt;&gt;""),", "&amp;E50,""))</f>
        <v/>
      </c>
      <c r="T50">
        <f>IF(R50="","",IF(COUNTIFS(R$6:R49,"&gt;0",S$6:S49,S50,N$6:N49,N50)=0,R50,""))</f>
        <v/>
      </c>
      <c r="U50">
        <f>IF(B50="","",IF(J50&lt;&gt;"",0,M50))</f>
        <v/>
      </c>
    </row>
    <row r="51">
      <c r="A51" s="1" t="n"/>
      <c r="B51" s="16" t="n">
        <v>46146</v>
      </c>
      <c r="C51" s="17" t="inlineStr">
        <is>
          <t>Harbour Books</t>
        </is>
      </c>
      <c r="D51" s="18" t="inlineStr">
        <is>
          <t>Spring catalogue</t>
        </is>
      </c>
      <c r="E51" s="18" t="inlineStr">
        <is>
          <t>Cover design</t>
        </is>
      </c>
      <c r="F51" s="19" t="n"/>
      <c r="G51" s="19" t="n"/>
      <c r="H51" s="20" t="n"/>
      <c r="I51" s="21" t="n">
        <v>1</v>
      </c>
      <c r="J51" s="22" t="n"/>
      <c r="K51" s="23" t="n"/>
      <c r="L51" s="18" t="n"/>
      <c r="M51" s="24">
        <f>IF(B51="","",IF(AND(F51&lt;&gt;"",G51&lt;&gt;""),MAX(0,ROUND(MOD(G51-F51,1)*24-N(H51)/60,2)),N(I51)))</f>
        <v/>
      </c>
      <c r="N51" s="14">
        <f>IF(B51="","",IF(K51&lt;&gt;"",K51,IF(N(IFERROR(INDEX(Projects!$D$6:$D$65,MATCH(D51,Projects!$B$6:$B$65,0)),""))&gt;0,IFERROR(INDEX(Projects!$D$6:$D$65,MATCH(D51,Projects!$B$6:$B$65,0)),""),IFERROR(INDEX(Clients!$G$6:$G$45,MATCH(C51,Clients!$B$6:$B$45,0)),0))))</f>
        <v/>
      </c>
      <c r="O51" s="14">
        <f>IF(B51="","",IF(J51&lt;&gt;"",0,ROUND(M51*N51,2)))</f>
        <v/>
      </c>
      <c r="P51" s="15">
        <f>IF(OR(B51="",J51&lt;&gt;""),"",IF(L51&lt;&gt;"",L51,IF(COUNTIFS(Invoices!$C$6:$C$305,C51,Invoices!$E$6:$E$305,"&lt;="&amp;B51,Invoices!$F$6:$F$305,"&gt;="&amp;B51)=1,INDEX(Invoices!$B$6:$B$305,SUMIFS(Invoices!$O$6:$O$305,Invoices!$C$6:$C$305,C51,Invoices!$E$6:$E$305,"&lt;="&amp;B51,Invoices!$F$6:$F$305,"&gt;="&amp;B51)),IF(COUNTIFS(Invoices!$C$6:$C$305,C51,Invoices!$E$6:$E$305,"&lt;="&amp;B51,Invoices!$F$6:$F$305,"&gt;="&amp;B51)&gt;1,"Two invoices",""))))</f>
        <v/>
      </c>
      <c r="Q51" s="15">
        <f>IF(B51="","",IF(J51&lt;&gt;"","Not billable",IF(P51="","To invoice",IF(P51="Two invoices","Check dates",IF(ISNA(MATCH(P51,Invoices!$B$6:$B$305,0)),"Check number",IF(INDEX(Invoices!$M$6:$M$305,MATCH(P51,Invoices!$B$6:$B$305,0))="Paid","Paid",IF(INDEX(Invoices!$M$6:$M$305,MATCH(P51,Invoices!$B$6:$B$305,0))="Draft","Draft","Invoiced")))))))</f>
        <v/>
      </c>
      <c r="R51" s="1">
        <f>IF(AND(B51&lt;&gt;"",P51&lt;&gt;"",P51=Invoice!$G$4),B51+MOD(N(F51),1)+ROW()/10000000,"")</f>
        <v/>
      </c>
      <c r="S51">
        <f>IF(R51="","",IF(D51="","Other work",D51)&amp;IF(AND(K51&lt;&gt;"",E51&lt;&gt;""),", "&amp;E51,""))</f>
        <v/>
      </c>
      <c r="T51">
        <f>IF(R51="","",IF(COUNTIFS(R$6:R50,"&gt;0",S$6:S50,S51,N$6:N50,N51)=0,R51,""))</f>
        <v/>
      </c>
      <c r="U51">
        <f>IF(B51="","",IF(J51&lt;&gt;"",0,M51))</f>
        <v/>
      </c>
    </row>
    <row r="52">
      <c r="A52" s="1" t="n"/>
      <c r="B52" s="16" t="n">
        <v>46147</v>
      </c>
      <c r="C52" s="17" t="inlineStr">
        <is>
          <t>Greenleaf Studio</t>
        </is>
      </c>
      <c r="D52" s="18" t="inlineStr">
        <is>
          <t>Monthly social posts</t>
        </is>
      </c>
      <c r="E52" s="18" t="inlineStr">
        <is>
          <t>Monthly report</t>
        </is>
      </c>
      <c r="F52" s="19" t="n"/>
      <c r="G52" s="19" t="n"/>
      <c r="H52" s="20" t="n"/>
      <c r="I52" s="21" t="n">
        <v>3</v>
      </c>
      <c r="J52" s="22" t="n"/>
      <c r="K52" s="23" t="n"/>
      <c r="L52" s="18" t="n"/>
      <c r="M52" s="24">
        <f>IF(B52="","",IF(AND(F52&lt;&gt;"",G52&lt;&gt;""),MAX(0,ROUND(MOD(G52-F52,1)*24-N(H52)/60,2)),N(I52)))</f>
        <v/>
      </c>
      <c r="N52" s="14">
        <f>IF(B52="","",IF(K52&lt;&gt;"",K52,IF(N(IFERROR(INDEX(Projects!$D$6:$D$65,MATCH(D52,Projects!$B$6:$B$65,0)),""))&gt;0,IFERROR(INDEX(Projects!$D$6:$D$65,MATCH(D52,Projects!$B$6:$B$65,0)),""),IFERROR(INDEX(Clients!$G$6:$G$45,MATCH(C52,Clients!$B$6:$B$45,0)),0))))</f>
        <v/>
      </c>
      <c r="O52" s="14">
        <f>IF(B52="","",IF(J52&lt;&gt;"",0,ROUND(M52*N52,2)))</f>
        <v/>
      </c>
      <c r="P52" s="15">
        <f>IF(OR(B52="",J52&lt;&gt;""),"",IF(L52&lt;&gt;"",L52,IF(COUNTIFS(Invoices!$C$6:$C$305,C52,Invoices!$E$6:$E$305,"&lt;="&amp;B52,Invoices!$F$6:$F$305,"&gt;="&amp;B52)=1,INDEX(Invoices!$B$6:$B$305,SUMIFS(Invoices!$O$6:$O$305,Invoices!$C$6:$C$305,C52,Invoices!$E$6:$E$305,"&lt;="&amp;B52,Invoices!$F$6:$F$305,"&gt;="&amp;B52)),IF(COUNTIFS(Invoices!$C$6:$C$305,C52,Invoices!$E$6:$E$305,"&lt;="&amp;B52,Invoices!$F$6:$F$305,"&gt;="&amp;B52)&gt;1,"Two invoices",""))))</f>
        <v/>
      </c>
      <c r="Q52" s="15">
        <f>IF(B52="","",IF(J52&lt;&gt;"","Not billable",IF(P52="","To invoice",IF(P52="Two invoices","Check dates",IF(ISNA(MATCH(P52,Invoices!$B$6:$B$305,0)),"Check number",IF(INDEX(Invoices!$M$6:$M$305,MATCH(P52,Invoices!$B$6:$B$305,0))="Paid","Paid",IF(INDEX(Invoices!$M$6:$M$305,MATCH(P52,Invoices!$B$6:$B$305,0))="Draft","Draft","Invoiced")))))))</f>
        <v/>
      </c>
      <c r="R52" s="1">
        <f>IF(AND(B52&lt;&gt;"",P52&lt;&gt;"",P52=Invoice!$G$4),B52+MOD(N(F52),1)+ROW()/10000000,"")</f>
        <v/>
      </c>
      <c r="S52">
        <f>IF(R52="","",IF(D52="","Other work",D52)&amp;IF(AND(K52&lt;&gt;"",E52&lt;&gt;""),", "&amp;E52,""))</f>
        <v/>
      </c>
      <c r="T52">
        <f>IF(R52="","",IF(COUNTIFS(R$6:R51,"&gt;0",S$6:S51,S52,N$6:N51,N52)=0,R52,""))</f>
        <v/>
      </c>
      <c r="U52">
        <f>IF(B52="","",IF(J52&lt;&gt;"",0,M52))</f>
        <v/>
      </c>
    </row>
    <row r="53">
      <c r="A53" s="1" t="n"/>
      <c r="B53" s="16" t="n">
        <v>46147</v>
      </c>
      <c r="C53" s="17" t="inlineStr">
        <is>
          <t>Harbour Books</t>
        </is>
      </c>
      <c r="D53" s="18" t="inlineStr">
        <is>
          <t>Spring catalogue</t>
        </is>
      </c>
      <c r="E53" s="18" t="inlineStr">
        <is>
          <t>Cover design</t>
        </is>
      </c>
      <c r="F53" s="19" t="n"/>
      <c r="G53" s="19" t="n"/>
      <c r="H53" s="20" t="n"/>
      <c r="I53" s="21" t="n">
        <v>3.5</v>
      </c>
      <c r="J53" s="22" t="n"/>
      <c r="K53" s="23" t="n"/>
      <c r="L53" s="18" t="n"/>
      <c r="M53" s="24">
        <f>IF(B53="","",IF(AND(F53&lt;&gt;"",G53&lt;&gt;""),MAX(0,ROUND(MOD(G53-F53,1)*24-N(H53)/60,2)),N(I53)))</f>
        <v/>
      </c>
      <c r="N53" s="14">
        <f>IF(B53="","",IF(K53&lt;&gt;"",K53,IF(N(IFERROR(INDEX(Projects!$D$6:$D$65,MATCH(D53,Projects!$B$6:$B$65,0)),""))&gt;0,IFERROR(INDEX(Projects!$D$6:$D$65,MATCH(D53,Projects!$B$6:$B$65,0)),""),IFERROR(INDEX(Clients!$G$6:$G$45,MATCH(C53,Clients!$B$6:$B$45,0)),0))))</f>
        <v/>
      </c>
      <c r="O53" s="14">
        <f>IF(B53="","",IF(J53&lt;&gt;"",0,ROUND(M53*N53,2)))</f>
        <v/>
      </c>
      <c r="P53" s="15">
        <f>IF(OR(B53="",J53&lt;&gt;""),"",IF(L53&lt;&gt;"",L53,IF(COUNTIFS(Invoices!$C$6:$C$305,C53,Invoices!$E$6:$E$305,"&lt;="&amp;B53,Invoices!$F$6:$F$305,"&gt;="&amp;B53)=1,INDEX(Invoices!$B$6:$B$305,SUMIFS(Invoices!$O$6:$O$305,Invoices!$C$6:$C$305,C53,Invoices!$E$6:$E$305,"&lt;="&amp;B53,Invoices!$F$6:$F$305,"&gt;="&amp;B53)),IF(COUNTIFS(Invoices!$C$6:$C$305,C53,Invoices!$E$6:$E$305,"&lt;="&amp;B53,Invoices!$F$6:$F$305,"&gt;="&amp;B53)&gt;1,"Two invoices",""))))</f>
        <v/>
      </c>
      <c r="Q53" s="15">
        <f>IF(B53="","",IF(J53&lt;&gt;"","Not billable",IF(P53="","To invoice",IF(P53="Two invoices","Check dates",IF(ISNA(MATCH(P53,Invoices!$B$6:$B$305,0)),"Check number",IF(INDEX(Invoices!$M$6:$M$305,MATCH(P53,Invoices!$B$6:$B$305,0))="Paid","Paid",IF(INDEX(Invoices!$M$6:$M$305,MATCH(P53,Invoices!$B$6:$B$305,0))="Draft","Draft","Invoiced")))))))</f>
        <v/>
      </c>
      <c r="R53" s="1">
        <f>IF(AND(B53&lt;&gt;"",P53&lt;&gt;"",P53=Invoice!$G$4),B53+MOD(N(F53),1)+ROW()/10000000,"")</f>
        <v/>
      </c>
      <c r="S53">
        <f>IF(R53="","",IF(D53="","Other work",D53)&amp;IF(AND(K53&lt;&gt;"",E53&lt;&gt;""),", "&amp;E53,""))</f>
        <v/>
      </c>
      <c r="T53">
        <f>IF(R53="","",IF(COUNTIFS(R$6:R52,"&gt;0",S$6:S52,S53,N$6:N52,N53)=0,R53,""))</f>
        <v/>
      </c>
      <c r="U53">
        <f>IF(B53="","",IF(J53&lt;&gt;"",0,M53))</f>
        <v/>
      </c>
    </row>
    <row r="54">
      <c r="A54" s="1" t="n"/>
      <c r="B54" s="16" t="n">
        <v>46147</v>
      </c>
      <c r="C54" s="17" t="inlineStr">
        <is>
          <t>Harbour Books</t>
        </is>
      </c>
      <c r="D54" s="18" t="inlineStr">
        <is>
          <t>Spring catalogue</t>
        </is>
      </c>
      <c r="E54" s="18" t="inlineStr">
        <is>
          <t>Cover design</t>
        </is>
      </c>
      <c r="F54" s="19" t="n">
        <v>0.3958333333333333</v>
      </c>
      <c r="G54" s="19" t="n">
        <v>0.5416666666666666</v>
      </c>
      <c r="H54" s="20" t="n"/>
      <c r="I54" s="21" t="n"/>
      <c r="J54" s="22" t="n"/>
      <c r="K54" s="23" t="n"/>
      <c r="L54" s="18" t="n"/>
      <c r="M54" s="24">
        <f>IF(B54="","",IF(AND(F54&lt;&gt;"",G54&lt;&gt;""),MAX(0,ROUND(MOD(G54-F54,1)*24-N(H54)/60,2)),N(I54)))</f>
        <v/>
      </c>
      <c r="N54" s="14">
        <f>IF(B54="","",IF(K54&lt;&gt;"",K54,IF(N(IFERROR(INDEX(Projects!$D$6:$D$65,MATCH(D54,Projects!$B$6:$B$65,0)),""))&gt;0,IFERROR(INDEX(Projects!$D$6:$D$65,MATCH(D54,Projects!$B$6:$B$65,0)),""),IFERROR(INDEX(Clients!$G$6:$G$45,MATCH(C54,Clients!$B$6:$B$45,0)),0))))</f>
        <v/>
      </c>
      <c r="O54" s="14">
        <f>IF(B54="","",IF(J54&lt;&gt;"",0,ROUND(M54*N54,2)))</f>
        <v/>
      </c>
      <c r="P54" s="15">
        <f>IF(OR(B54="",J54&lt;&gt;""),"",IF(L54&lt;&gt;"",L54,IF(COUNTIFS(Invoices!$C$6:$C$305,C54,Invoices!$E$6:$E$305,"&lt;="&amp;B54,Invoices!$F$6:$F$305,"&gt;="&amp;B54)=1,INDEX(Invoices!$B$6:$B$305,SUMIFS(Invoices!$O$6:$O$305,Invoices!$C$6:$C$305,C54,Invoices!$E$6:$E$305,"&lt;="&amp;B54,Invoices!$F$6:$F$305,"&gt;="&amp;B54)),IF(COUNTIFS(Invoices!$C$6:$C$305,C54,Invoices!$E$6:$E$305,"&lt;="&amp;B54,Invoices!$F$6:$F$305,"&gt;="&amp;B54)&gt;1,"Two invoices",""))))</f>
        <v/>
      </c>
      <c r="Q54" s="15">
        <f>IF(B54="","",IF(J54&lt;&gt;"","Not billable",IF(P54="","To invoice",IF(P54="Two invoices","Check dates",IF(ISNA(MATCH(P54,Invoices!$B$6:$B$305,0)),"Check number",IF(INDEX(Invoices!$M$6:$M$305,MATCH(P54,Invoices!$B$6:$B$305,0))="Paid","Paid",IF(INDEX(Invoices!$M$6:$M$305,MATCH(P54,Invoices!$B$6:$B$305,0))="Draft","Draft","Invoiced")))))))</f>
        <v/>
      </c>
      <c r="R54" s="1">
        <f>IF(AND(B54&lt;&gt;"",P54&lt;&gt;"",P54=Invoice!$G$4),B54+MOD(N(F54),1)+ROW()/10000000,"")</f>
        <v/>
      </c>
      <c r="S54">
        <f>IF(R54="","",IF(D54="","Other work",D54)&amp;IF(AND(K54&lt;&gt;"",E54&lt;&gt;""),", "&amp;E54,""))</f>
        <v/>
      </c>
      <c r="T54">
        <f>IF(R54="","",IF(COUNTIFS(R$6:R53,"&gt;0",S$6:S53,S54,N$6:N53,N54)=0,R54,""))</f>
        <v/>
      </c>
      <c r="U54">
        <f>IF(B54="","",IF(J54&lt;&gt;"",0,M54))</f>
        <v/>
      </c>
    </row>
    <row r="55">
      <c r="A55" s="1" t="n"/>
      <c r="B55" s="16" t="n">
        <v>46148</v>
      </c>
      <c r="C55" s="17" t="inlineStr">
        <is>
          <t>Harbour Books</t>
        </is>
      </c>
      <c r="D55" s="18" t="inlineStr">
        <is>
          <t>Spring catalogue</t>
        </is>
      </c>
      <c r="E55" s="18" t="inlineStr">
        <is>
          <t>Cover design</t>
        </is>
      </c>
      <c r="F55" s="19" t="n">
        <v>0.375</v>
      </c>
      <c r="G55" s="19" t="n">
        <v>0.4166666666666667</v>
      </c>
      <c r="H55" s="20" t="n"/>
      <c r="I55" s="21" t="n"/>
      <c r="J55" s="22" t="n"/>
      <c r="K55" s="23" t="n"/>
      <c r="L55" s="18" t="n"/>
      <c r="M55" s="24">
        <f>IF(B55="","",IF(AND(F55&lt;&gt;"",G55&lt;&gt;""),MAX(0,ROUND(MOD(G55-F55,1)*24-N(H55)/60,2)),N(I55)))</f>
        <v/>
      </c>
      <c r="N55" s="14">
        <f>IF(B55="","",IF(K55&lt;&gt;"",K55,IF(N(IFERROR(INDEX(Projects!$D$6:$D$65,MATCH(D55,Projects!$B$6:$B$65,0)),""))&gt;0,IFERROR(INDEX(Projects!$D$6:$D$65,MATCH(D55,Projects!$B$6:$B$65,0)),""),IFERROR(INDEX(Clients!$G$6:$G$45,MATCH(C55,Clients!$B$6:$B$45,0)),0))))</f>
        <v/>
      </c>
      <c r="O55" s="14">
        <f>IF(B55="","",IF(J55&lt;&gt;"",0,ROUND(M55*N55,2)))</f>
        <v/>
      </c>
      <c r="P55" s="15">
        <f>IF(OR(B55="",J55&lt;&gt;""),"",IF(L55&lt;&gt;"",L55,IF(COUNTIFS(Invoices!$C$6:$C$305,C55,Invoices!$E$6:$E$305,"&lt;="&amp;B55,Invoices!$F$6:$F$305,"&gt;="&amp;B55)=1,INDEX(Invoices!$B$6:$B$305,SUMIFS(Invoices!$O$6:$O$305,Invoices!$C$6:$C$305,C55,Invoices!$E$6:$E$305,"&lt;="&amp;B55,Invoices!$F$6:$F$305,"&gt;="&amp;B55)),IF(COUNTIFS(Invoices!$C$6:$C$305,C55,Invoices!$E$6:$E$305,"&lt;="&amp;B55,Invoices!$F$6:$F$305,"&gt;="&amp;B55)&gt;1,"Two invoices",""))))</f>
        <v/>
      </c>
      <c r="Q55" s="15">
        <f>IF(B55="","",IF(J55&lt;&gt;"","Not billable",IF(P55="","To invoice",IF(P55="Two invoices","Check dates",IF(ISNA(MATCH(P55,Invoices!$B$6:$B$305,0)),"Check number",IF(INDEX(Invoices!$M$6:$M$305,MATCH(P55,Invoices!$B$6:$B$305,0))="Paid","Paid",IF(INDEX(Invoices!$M$6:$M$305,MATCH(P55,Invoices!$B$6:$B$305,0))="Draft","Draft","Invoiced")))))))</f>
        <v/>
      </c>
      <c r="R55" s="1">
        <f>IF(AND(B55&lt;&gt;"",P55&lt;&gt;"",P55=Invoice!$G$4),B55+MOD(N(F55),1)+ROW()/10000000,"")</f>
        <v/>
      </c>
      <c r="S55">
        <f>IF(R55="","",IF(D55="","Other work",D55)&amp;IF(AND(K55&lt;&gt;"",E55&lt;&gt;""),", "&amp;E55,""))</f>
        <v/>
      </c>
      <c r="T55">
        <f>IF(R55="","",IF(COUNTIFS(R$6:R54,"&gt;0",S$6:S54,S55,N$6:N54,N55)=0,R55,""))</f>
        <v/>
      </c>
      <c r="U55">
        <f>IF(B55="","",IF(J55&lt;&gt;"",0,M55))</f>
        <v/>
      </c>
    </row>
    <row r="56">
      <c r="A56" s="1" t="n"/>
      <c r="B56" s="16" t="n">
        <v>46148</v>
      </c>
      <c r="C56" s="17" t="inlineStr">
        <is>
          <t>Greenleaf Studio</t>
        </is>
      </c>
      <c r="D56" s="18" t="inlineStr">
        <is>
          <t>Monthly social posts</t>
        </is>
      </c>
      <c r="E56" s="18" t="inlineStr">
        <is>
          <t>Captions and scheduling</t>
        </is>
      </c>
      <c r="F56" s="19" t="n">
        <v>0.4375</v>
      </c>
      <c r="G56" s="19" t="n">
        <v>0.5833333333333334</v>
      </c>
      <c r="H56" s="20" t="n"/>
      <c r="I56" s="21" t="n"/>
      <c r="J56" s="22" t="n"/>
      <c r="K56" s="23" t="n"/>
      <c r="L56" s="18" t="n"/>
      <c r="M56" s="24">
        <f>IF(B56="","",IF(AND(F56&lt;&gt;"",G56&lt;&gt;""),MAX(0,ROUND(MOD(G56-F56,1)*24-N(H56)/60,2)),N(I56)))</f>
        <v/>
      </c>
      <c r="N56" s="14">
        <f>IF(B56="","",IF(K56&lt;&gt;"",K56,IF(N(IFERROR(INDEX(Projects!$D$6:$D$65,MATCH(D56,Projects!$B$6:$B$65,0)),""))&gt;0,IFERROR(INDEX(Projects!$D$6:$D$65,MATCH(D56,Projects!$B$6:$B$65,0)),""),IFERROR(INDEX(Clients!$G$6:$G$45,MATCH(C56,Clients!$B$6:$B$45,0)),0))))</f>
        <v/>
      </c>
      <c r="O56" s="14">
        <f>IF(B56="","",IF(J56&lt;&gt;"",0,ROUND(M56*N56,2)))</f>
        <v/>
      </c>
      <c r="P56" s="15">
        <f>IF(OR(B56="",J56&lt;&gt;""),"",IF(L56&lt;&gt;"",L56,IF(COUNTIFS(Invoices!$C$6:$C$305,C56,Invoices!$E$6:$E$305,"&lt;="&amp;B56,Invoices!$F$6:$F$305,"&gt;="&amp;B56)=1,INDEX(Invoices!$B$6:$B$305,SUMIFS(Invoices!$O$6:$O$305,Invoices!$C$6:$C$305,C56,Invoices!$E$6:$E$305,"&lt;="&amp;B56,Invoices!$F$6:$F$305,"&gt;="&amp;B56)),IF(COUNTIFS(Invoices!$C$6:$C$305,C56,Invoices!$E$6:$E$305,"&lt;="&amp;B56,Invoices!$F$6:$F$305,"&gt;="&amp;B56)&gt;1,"Two invoices",""))))</f>
        <v/>
      </c>
      <c r="Q56" s="15">
        <f>IF(B56="","",IF(J56&lt;&gt;"","Not billable",IF(P56="","To invoice",IF(P56="Two invoices","Check dates",IF(ISNA(MATCH(P56,Invoices!$B$6:$B$305,0)),"Check number",IF(INDEX(Invoices!$M$6:$M$305,MATCH(P56,Invoices!$B$6:$B$305,0))="Paid","Paid",IF(INDEX(Invoices!$M$6:$M$305,MATCH(P56,Invoices!$B$6:$B$305,0))="Draft","Draft","Invoiced")))))))</f>
        <v/>
      </c>
      <c r="R56" s="1">
        <f>IF(AND(B56&lt;&gt;"",P56&lt;&gt;"",P56=Invoice!$G$4),B56+MOD(N(F56),1)+ROW()/10000000,"")</f>
        <v/>
      </c>
      <c r="S56">
        <f>IF(R56="","",IF(D56="","Other work",D56)&amp;IF(AND(K56&lt;&gt;"",E56&lt;&gt;""),", "&amp;E56,""))</f>
        <v/>
      </c>
      <c r="T56">
        <f>IF(R56="","",IF(COUNTIFS(R$6:R55,"&gt;0",S$6:S55,S56,N$6:N55,N56)=0,R56,""))</f>
        <v/>
      </c>
      <c r="U56">
        <f>IF(B56="","",IF(J56&lt;&gt;"",0,M56))</f>
        <v/>
      </c>
    </row>
    <row r="57">
      <c r="A57" s="1" t="n"/>
      <c r="B57" s="16" t="n">
        <v>46149</v>
      </c>
      <c r="C57" s="17" t="inlineStr">
        <is>
          <t>Greenleaf Studio</t>
        </is>
      </c>
      <c r="D57" s="18" t="inlineStr">
        <is>
          <t>Monthly social posts</t>
        </is>
      </c>
      <c r="E57" s="18" t="inlineStr">
        <is>
          <t>Captions and scheduling</t>
        </is>
      </c>
      <c r="F57" s="19" t="n">
        <v>0.375</v>
      </c>
      <c r="G57" s="19" t="n">
        <v>0.4583333333333333</v>
      </c>
      <c r="H57" s="20" t="n"/>
      <c r="I57" s="21" t="n"/>
      <c r="J57" s="22" t="n"/>
      <c r="K57" s="23" t="n"/>
      <c r="L57" s="18" t="n"/>
      <c r="M57" s="24">
        <f>IF(B57="","",IF(AND(F57&lt;&gt;"",G57&lt;&gt;""),MAX(0,ROUND(MOD(G57-F57,1)*24-N(H57)/60,2)),N(I57)))</f>
        <v/>
      </c>
      <c r="N57" s="14">
        <f>IF(B57="","",IF(K57&lt;&gt;"",K57,IF(N(IFERROR(INDEX(Projects!$D$6:$D$65,MATCH(D57,Projects!$B$6:$B$65,0)),""))&gt;0,IFERROR(INDEX(Projects!$D$6:$D$65,MATCH(D57,Projects!$B$6:$B$65,0)),""),IFERROR(INDEX(Clients!$G$6:$G$45,MATCH(C57,Clients!$B$6:$B$45,0)),0))))</f>
        <v/>
      </c>
      <c r="O57" s="14">
        <f>IF(B57="","",IF(J57&lt;&gt;"",0,ROUND(M57*N57,2)))</f>
        <v/>
      </c>
      <c r="P57" s="15">
        <f>IF(OR(B57="",J57&lt;&gt;""),"",IF(L57&lt;&gt;"",L57,IF(COUNTIFS(Invoices!$C$6:$C$305,C57,Invoices!$E$6:$E$305,"&lt;="&amp;B57,Invoices!$F$6:$F$305,"&gt;="&amp;B57)=1,INDEX(Invoices!$B$6:$B$305,SUMIFS(Invoices!$O$6:$O$305,Invoices!$C$6:$C$305,C57,Invoices!$E$6:$E$305,"&lt;="&amp;B57,Invoices!$F$6:$F$305,"&gt;="&amp;B57)),IF(COUNTIFS(Invoices!$C$6:$C$305,C57,Invoices!$E$6:$E$305,"&lt;="&amp;B57,Invoices!$F$6:$F$305,"&gt;="&amp;B57)&gt;1,"Two invoices",""))))</f>
        <v/>
      </c>
      <c r="Q57" s="15">
        <f>IF(B57="","",IF(J57&lt;&gt;"","Not billable",IF(P57="","To invoice",IF(P57="Two invoices","Check dates",IF(ISNA(MATCH(P57,Invoices!$B$6:$B$305,0)),"Check number",IF(INDEX(Invoices!$M$6:$M$305,MATCH(P57,Invoices!$B$6:$B$305,0))="Paid","Paid",IF(INDEX(Invoices!$M$6:$M$305,MATCH(P57,Invoices!$B$6:$B$305,0))="Draft","Draft","Invoiced")))))))</f>
        <v/>
      </c>
      <c r="R57" s="1">
        <f>IF(AND(B57&lt;&gt;"",P57&lt;&gt;"",P57=Invoice!$G$4),B57+MOD(N(F57),1)+ROW()/10000000,"")</f>
        <v/>
      </c>
      <c r="S57">
        <f>IF(R57="","",IF(D57="","Other work",D57)&amp;IF(AND(K57&lt;&gt;"",E57&lt;&gt;""),", "&amp;E57,""))</f>
        <v/>
      </c>
      <c r="T57">
        <f>IF(R57="","",IF(COUNTIFS(R$6:R56,"&gt;0",S$6:S56,S57,N$6:N56,N57)=0,R57,""))</f>
        <v/>
      </c>
      <c r="U57">
        <f>IF(B57="","",IF(J57&lt;&gt;"",0,M57))</f>
        <v/>
      </c>
    </row>
    <row r="58">
      <c r="A58" s="1" t="n"/>
      <c r="B58" s="16" t="n">
        <v>46150</v>
      </c>
      <c r="C58" s="17" t="inlineStr">
        <is>
          <t>Greenleaf Studio</t>
        </is>
      </c>
      <c r="D58" s="18" t="inlineStr">
        <is>
          <t>Monthly social posts</t>
        </is>
      </c>
      <c r="E58" s="18" t="inlineStr">
        <is>
          <t>Post designs</t>
        </is>
      </c>
      <c r="F58" s="19" t="n">
        <v>0.375</v>
      </c>
      <c r="G58" s="19" t="n">
        <v>0.4791666666666667</v>
      </c>
      <c r="H58" s="20" t="n"/>
      <c r="I58" s="21" t="n"/>
      <c r="J58" s="22" t="n"/>
      <c r="K58" s="23" t="n"/>
      <c r="L58" s="18" t="n"/>
      <c r="M58" s="24">
        <f>IF(B58="","",IF(AND(F58&lt;&gt;"",G58&lt;&gt;""),MAX(0,ROUND(MOD(G58-F58,1)*24-N(H58)/60,2)),N(I58)))</f>
        <v/>
      </c>
      <c r="N58" s="14">
        <f>IF(B58="","",IF(K58&lt;&gt;"",K58,IF(N(IFERROR(INDEX(Projects!$D$6:$D$65,MATCH(D58,Projects!$B$6:$B$65,0)),""))&gt;0,IFERROR(INDEX(Projects!$D$6:$D$65,MATCH(D58,Projects!$B$6:$B$65,0)),""),IFERROR(INDEX(Clients!$G$6:$G$45,MATCH(C58,Clients!$B$6:$B$45,0)),0))))</f>
        <v/>
      </c>
      <c r="O58" s="14">
        <f>IF(B58="","",IF(J58&lt;&gt;"",0,ROUND(M58*N58,2)))</f>
        <v/>
      </c>
      <c r="P58" s="15">
        <f>IF(OR(B58="",J58&lt;&gt;""),"",IF(L58&lt;&gt;"",L58,IF(COUNTIFS(Invoices!$C$6:$C$305,C58,Invoices!$E$6:$E$305,"&lt;="&amp;B58,Invoices!$F$6:$F$305,"&gt;="&amp;B58)=1,INDEX(Invoices!$B$6:$B$305,SUMIFS(Invoices!$O$6:$O$305,Invoices!$C$6:$C$305,C58,Invoices!$E$6:$E$305,"&lt;="&amp;B58,Invoices!$F$6:$F$305,"&gt;="&amp;B58)),IF(COUNTIFS(Invoices!$C$6:$C$305,C58,Invoices!$E$6:$E$305,"&lt;="&amp;B58,Invoices!$F$6:$F$305,"&gt;="&amp;B58)&gt;1,"Two invoices",""))))</f>
        <v/>
      </c>
      <c r="Q58" s="15">
        <f>IF(B58="","",IF(J58&lt;&gt;"","Not billable",IF(P58="","To invoice",IF(P58="Two invoices","Check dates",IF(ISNA(MATCH(P58,Invoices!$B$6:$B$305,0)),"Check number",IF(INDEX(Invoices!$M$6:$M$305,MATCH(P58,Invoices!$B$6:$B$305,0))="Paid","Paid",IF(INDEX(Invoices!$M$6:$M$305,MATCH(P58,Invoices!$B$6:$B$305,0))="Draft","Draft","Invoiced")))))))</f>
        <v/>
      </c>
      <c r="R58" s="1">
        <f>IF(AND(B58&lt;&gt;"",P58&lt;&gt;"",P58=Invoice!$G$4),B58+MOD(N(F58),1)+ROW()/10000000,"")</f>
        <v/>
      </c>
      <c r="S58">
        <f>IF(R58="","",IF(D58="","Other work",D58)&amp;IF(AND(K58&lt;&gt;"",E58&lt;&gt;""),", "&amp;E58,""))</f>
        <v/>
      </c>
      <c r="T58">
        <f>IF(R58="","",IF(COUNTIFS(R$6:R57,"&gt;0",S$6:S57,S58,N$6:N57,N58)=0,R58,""))</f>
        <v/>
      </c>
      <c r="U58">
        <f>IF(B58="","",IF(J58&lt;&gt;"",0,M58))</f>
        <v/>
      </c>
    </row>
    <row r="59">
      <c r="A59" s="1" t="n"/>
      <c r="B59" s="16" t="n">
        <v>46150</v>
      </c>
      <c r="C59" s="17" t="inlineStr">
        <is>
          <t>Harbour Books</t>
        </is>
      </c>
      <c r="D59" s="18" t="inlineStr">
        <is>
          <t>Spring catalogue</t>
        </is>
      </c>
      <c r="E59" s="18" t="inlineStr">
        <is>
          <t>Cover design</t>
        </is>
      </c>
      <c r="F59" s="19" t="n">
        <v>0.5104166666666666</v>
      </c>
      <c r="G59" s="19" t="n">
        <v>0.6145833333333334</v>
      </c>
      <c r="H59" s="20" t="n"/>
      <c r="I59" s="21" t="n"/>
      <c r="J59" s="22" t="n"/>
      <c r="K59" s="23" t="n"/>
      <c r="L59" s="18" t="n"/>
      <c r="M59" s="24">
        <f>IF(B59="","",IF(AND(F59&lt;&gt;"",G59&lt;&gt;""),MAX(0,ROUND(MOD(G59-F59,1)*24-N(H59)/60,2)),N(I59)))</f>
        <v/>
      </c>
      <c r="N59" s="14">
        <f>IF(B59="","",IF(K59&lt;&gt;"",K59,IF(N(IFERROR(INDEX(Projects!$D$6:$D$65,MATCH(D59,Projects!$B$6:$B$65,0)),""))&gt;0,IFERROR(INDEX(Projects!$D$6:$D$65,MATCH(D59,Projects!$B$6:$B$65,0)),""),IFERROR(INDEX(Clients!$G$6:$G$45,MATCH(C59,Clients!$B$6:$B$45,0)),0))))</f>
        <v/>
      </c>
      <c r="O59" s="14">
        <f>IF(B59="","",IF(J59&lt;&gt;"",0,ROUND(M59*N59,2)))</f>
        <v/>
      </c>
      <c r="P59" s="15">
        <f>IF(OR(B59="",J59&lt;&gt;""),"",IF(L59&lt;&gt;"",L59,IF(COUNTIFS(Invoices!$C$6:$C$305,C59,Invoices!$E$6:$E$305,"&lt;="&amp;B59,Invoices!$F$6:$F$305,"&gt;="&amp;B59)=1,INDEX(Invoices!$B$6:$B$305,SUMIFS(Invoices!$O$6:$O$305,Invoices!$C$6:$C$305,C59,Invoices!$E$6:$E$305,"&lt;="&amp;B59,Invoices!$F$6:$F$305,"&gt;="&amp;B59)),IF(COUNTIFS(Invoices!$C$6:$C$305,C59,Invoices!$E$6:$E$305,"&lt;="&amp;B59,Invoices!$F$6:$F$305,"&gt;="&amp;B59)&gt;1,"Two invoices",""))))</f>
        <v/>
      </c>
      <c r="Q59" s="15">
        <f>IF(B59="","",IF(J59&lt;&gt;"","Not billable",IF(P59="","To invoice",IF(P59="Two invoices","Check dates",IF(ISNA(MATCH(P59,Invoices!$B$6:$B$305,0)),"Check number",IF(INDEX(Invoices!$M$6:$M$305,MATCH(P59,Invoices!$B$6:$B$305,0))="Paid","Paid",IF(INDEX(Invoices!$M$6:$M$305,MATCH(P59,Invoices!$B$6:$B$305,0))="Draft","Draft","Invoiced")))))))</f>
        <v/>
      </c>
      <c r="R59" s="1">
        <f>IF(AND(B59&lt;&gt;"",P59&lt;&gt;"",P59=Invoice!$G$4),B59+MOD(N(F59),1)+ROW()/10000000,"")</f>
        <v/>
      </c>
      <c r="S59">
        <f>IF(R59="","",IF(D59="","Other work",D59)&amp;IF(AND(K59&lt;&gt;"",E59&lt;&gt;""),", "&amp;E59,""))</f>
        <v/>
      </c>
      <c r="T59">
        <f>IF(R59="","",IF(COUNTIFS(R$6:R58,"&gt;0",S$6:S58,S59,N$6:N58,N59)=0,R59,""))</f>
        <v/>
      </c>
      <c r="U59">
        <f>IF(B59="","",IF(J59&lt;&gt;"",0,M59))</f>
        <v/>
      </c>
    </row>
    <row r="60">
      <c r="A60" s="1" t="n"/>
      <c r="B60" s="16" t="n">
        <v>46153</v>
      </c>
      <c r="C60" s="17" t="inlineStr">
        <is>
          <t>Greenleaf Studio</t>
        </is>
      </c>
      <c r="D60" s="18" t="inlineStr">
        <is>
          <t>Monthly social posts</t>
        </is>
      </c>
      <c r="E60" s="18" t="inlineStr">
        <is>
          <t>Monthly report</t>
        </is>
      </c>
      <c r="F60" s="19" t="n"/>
      <c r="G60" s="19" t="n"/>
      <c r="H60" s="20" t="n"/>
      <c r="I60" s="21" t="n">
        <v>3</v>
      </c>
      <c r="J60" s="22" t="n"/>
      <c r="K60" s="23" t="n"/>
      <c r="L60" s="18" t="n"/>
      <c r="M60" s="24">
        <f>IF(B60="","",IF(AND(F60&lt;&gt;"",G60&lt;&gt;""),MAX(0,ROUND(MOD(G60-F60,1)*24-N(H60)/60,2)),N(I60)))</f>
        <v/>
      </c>
      <c r="N60" s="14">
        <f>IF(B60="","",IF(K60&lt;&gt;"",K60,IF(N(IFERROR(INDEX(Projects!$D$6:$D$65,MATCH(D60,Projects!$B$6:$B$65,0)),""))&gt;0,IFERROR(INDEX(Projects!$D$6:$D$65,MATCH(D60,Projects!$B$6:$B$65,0)),""),IFERROR(INDEX(Clients!$G$6:$G$45,MATCH(C60,Clients!$B$6:$B$45,0)),0))))</f>
        <v/>
      </c>
      <c r="O60" s="14">
        <f>IF(B60="","",IF(J60&lt;&gt;"",0,ROUND(M60*N60,2)))</f>
        <v/>
      </c>
      <c r="P60" s="15">
        <f>IF(OR(B60="",J60&lt;&gt;""),"",IF(L60&lt;&gt;"",L60,IF(COUNTIFS(Invoices!$C$6:$C$305,C60,Invoices!$E$6:$E$305,"&lt;="&amp;B60,Invoices!$F$6:$F$305,"&gt;="&amp;B60)=1,INDEX(Invoices!$B$6:$B$305,SUMIFS(Invoices!$O$6:$O$305,Invoices!$C$6:$C$305,C60,Invoices!$E$6:$E$305,"&lt;="&amp;B60,Invoices!$F$6:$F$305,"&gt;="&amp;B60)),IF(COUNTIFS(Invoices!$C$6:$C$305,C60,Invoices!$E$6:$E$305,"&lt;="&amp;B60,Invoices!$F$6:$F$305,"&gt;="&amp;B60)&gt;1,"Two invoices",""))))</f>
        <v/>
      </c>
      <c r="Q60" s="15">
        <f>IF(B60="","",IF(J60&lt;&gt;"","Not billable",IF(P60="","To invoice",IF(P60="Two invoices","Check dates",IF(ISNA(MATCH(P60,Invoices!$B$6:$B$305,0)),"Check number",IF(INDEX(Invoices!$M$6:$M$305,MATCH(P60,Invoices!$B$6:$B$305,0))="Paid","Paid",IF(INDEX(Invoices!$M$6:$M$305,MATCH(P60,Invoices!$B$6:$B$305,0))="Draft","Draft","Invoiced")))))))</f>
        <v/>
      </c>
      <c r="R60" s="1">
        <f>IF(AND(B60&lt;&gt;"",P60&lt;&gt;"",P60=Invoice!$G$4),B60+MOD(N(F60),1)+ROW()/10000000,"")</f>
        <v/>
      </c>
      <c r="S60">
        <f>IF(R60="","",IF(D60="","Other work",D60)&amp;IF(AND(K60&lt;&gt;"",E60&lt;&gt;""),", "&amp;E60,""))</f>
        <v/>
      </c>
      <c r="T60">
        <f>IF(R60="","",IF(COUNTIFS(R$6:R59,"&gt;0",S$6:S59,S60,N$6:N59,N60)=0,R60,""))</f>
        <v/>
      </c>
      <c r="U60">
        <f>IF(B60="","",IF(J60&lt;&gt;"",0,M60))</f>
        <v/>
      </c>
    </row>
    <row r="61">
      <c r="A61" s="1" t="n"/>
      <c r="B61" s="16" t="n">
        <v>46153</v>
      </c>
      <c r="C61" s="17" t="inlineStr">
        <is>
          <t>Greenleaf Studio</t>
        </is>
      </c>
      <c r="D61" s="18" t="inlineStr">
        <is>
          <t>Monthly social posts</t>
        </is>
      </c>
      <c r="E61" s="18" t="inlineStr">
        <is>
          <t>Captions and scheduling</t>
        </is>
      </c>
      <c r="F61" s="19" t="n">
        <v>0.375</v>
      </c>
      <c r="G61" s="19" t="n">
        <v>0.4791666666666667</v>
      </c>
      <c r="H61" s="20" t="n"/>
      <c r="I61" s="21" t="n"/>
      <c r="J61" s="22" t="n"/>
      <c r="K61" s="23" t="n"/>
      <c r="L61" s="18" t="n"/>
      <c r="M61" s="24">
        <f>IF(B61="","",IF(AND(F61&lt;&gt;"",G61&lt;&gt;""),MAX(0,ROUND(MOD(G61-F61,1)*24-N(H61)/60,2)),N(I61)))</f>
        <v/>
      </c>
      <c r="N61" s="14">
        <f>IF(B61="","",IF(K61&lt;&gt;"",K61,IF(N(IFERROR(INDEX(Projects!$D$6:$D$65,MATCH(D61,Projects!$B$6:$B$65,0)),""))&gt;0,IFERROR(INDEX(Projects!$D$6:$D$65,MATCH(D61,Projects!$B$6:$B$65,0)),""),IFERROR(INDEX(Clients!$G$6:$G$45,MATCH(C61,Clients!$B$6:$B$45,0)),0))))</f>
        <v/>
      </c>
      <c r="O61" s="14">
        <f>IF(B61="","",IF(J61&lt;&gt;"",0,ROUND(M61*N61,2)))</f>
        <v/>
      </c>
      <c r="P61" s="15">
        <f>IF(OR(B61="",J61&lt;&gt;""),"",IF(L61&lt;&gt;"",L61,IF(COUNTIFS(Invoices!$C$6:$C$305,C61,Invoices!$E$6:$E$305,"&lt;="&amp;B61,Invoices!$F$6:$F$305,"&gt;="&amp;B61)=1,INDEX(Invoices!$B$6:$B$305,SUMIFS(Invoices!$O$6:$O$305,Invoices!$C$6:$C$305,C61,Invoices!$E$6:$E$305,"&lt;="&amp;B61,Invoices!$F$6:$F$305,"&gt;="&amp;B61)),IF(COUNTIFS(Invoices!$C$6:$C$305,C61,Invoices!$E$6:$E$305,"&lt;="&amp;B61,Invoices!$F$6:$F$305,"&gt;="&amp;B61)&gt;1,"Two invoices",""))))</f>
        <v/>
      </c>
      <c r="Q61" s="15">
        <f>IF(B61="","",IF(J61&lt;&gt;"","Not billable",IF(P61="","To invoice",IF(P61="Two invoices","Check dates",IF(ISNA(MATCH(P61,Invoices!$B$6:$B$305,0)),"Check number",IF(INDEX(Invoices!$M$6:$M$305,MATCH(P61,Invoices!$B$6:$B$305,0))="Paid","Paid",IF(INDEX(Invoices!$M$6:$M$305,MATCH(P61,Invoices!$B$6:$B$305,0))="Draft","Draft","Invoiced")))))))</f>
        <v/>
      </c>
      <c r="R61" s="1">
        <f>IF(AND(B61&lt;&gt;"",P61&lt;&gt;"",P61=Invoice!$G$4),B61+MOD(N(F61),1)+ROW()/10000000,"")</f>
        <v/>
      </c>
      <c r="S61">
        <f>IF(R61="","",IF(D61="","Other work",D61)&amp;IF(AND(K61&lt;&gt;"",E61&lt;&gt;""),", "&amp;E61,""))</f>
        <v/>
      </c>
      <c r="T61">
        <f>IF(R61="","",IF(COUNTIFS(R$6:R60,"&gt;0",S$6:S60,S61,N$6:N60,N61)=0,R61,""))</f>
        <v/>
      </c>
      <c r="U61">
        <f>IF(B61="","",IF(J61&lt;&gt;"",0,M61))</f>
        <v/>
      </c>
    </row>
    <row r="62">
      <c r="A62" s="1" t="n"/>
      <c r="B62" s="16" t="n">
        <v>46153</v>
      </c>
      <c r="C62" s="17" t="inlineStr">
        <is>
          <t>Harbour Books</t>
        </is>
      </c>
      <c r="D62" s="18" t="inlineStr">
        <is>
          <t>Spring catalogue</t>
        </is>
      </c>
      <c r="E62" s="18" t="inlineStr">
        <is>
          <t>Proof corrections</t>
        </is>
      </c>
      <c r="F62" s="19" t="n">
        <v>0.5208333333333334</v>
      </c>
      <c r="G62" s="19" t="n">
        <v>0.5833333333333334</v>
      </c>
      <c r="H62" s="20" t="n"/>
      <c r="I62" s="21" t="n"/>
      <c r="J62" s="22" t="n"/>
      <c r="K62" s="23" t="n"/>
      <c r="L62" s="18" t="n"/>
      <c r="M62" s="24">
        <f>IF(B62="","",IF(AND(F62&lt;&gt;"",G62&lt;&gt;""),MAX(0,ROUND(MOD(G62-F62,1)*24-N(H62)/60,2)),N(I62)))</f>
        <v/>
      </c>
      <c r="N62" s="14">
        <f>IF(B62="","",IF(K62&lt;&gt;"",K62,IF(N(IFERROR(INDEX(Projects!$D$6:$D$65,MATCH(D62,Projects!$B$6:$B$65,0)),""))&gt;0,IFERROR(INDEX(Projects!$D$6:$D$65,MATCH(D62,Projects!$B$6:$B$65,0)),""),IFERROR(INDEX(Clients!$G$6:$G$45,MATCH(C62,Clients!$B$6:$B$45,0)),0))))</f>
        <v/>
      </c>
      <c r="O62" s="14">
        <f>IF(B62="","",IF(J62&lt;&gt;"",0,ROUND(M62*N62,2)))</f>
        <v/>
      </c>
      <c r="P62" s="15">
        <f>IF(OR(B62="",J62&lt;&gt;""),"",IF(L62&lt;&gt;"",L62,IF(COUNTIFS(Invoices!$C$6:$C$305,C62,Invoices!$E$6:$E$305,"&lt;="&amp;B62,Invoices!$F$6:$F$305,"&gt;="&amp;B62)=1,INDEX(Invoices!$B$6:$B$305,SUMIFS(Invoices!$O$6:$O$305,Invoices!$C$6:$C$305,C62,Invoices!$E$6:$E$305,"&lt;="&amp;B62,Invoices!$F$6:$F$305,"&gt;="&amp;B62)),IF(COUNTIFS(Invoices!$C$6:$C$305,C62,Invoices!$E$6:$E$305,"&lt;="&amp;B62,Invoices!$F$6:$F$305,"&gt;="&amp;B62)&gt;1,"Two invoices",""))))</f>
        <v/>
      </c>
      <c r="Q62" s="15">
        <f>IF(B62="","",IF(J62&lt;&gt;"","Not billable",IF(P62="","To invoice",IF(P62="Two invoices","Check dates",IF(ISNA(MATCH(P62,Invoices!$B$6:$B$305,0)),"Check number",IF(INDEX(Invoices!$M$6:$M$305,MATCH(P62,Invoices!$B$6:$B$305,0))="Paid","Paid",IF(INDEX(Invoices!$M$6:$M$305,MATCH(P62,Invoices!$B$6:$B$305,0))="Draft","Draft","Invoiced")))))))</f>
        <v/>
      </c>
      <c r="R62" s="1">
        <f>IF(AND(B62&lt;&gt;"",P62&lt;&gt;"",P62=Invoice!$G$4),B62+MOD(N(F62),1)+ROW()/10000000,"")</f>
        <v/>
      </c>
      <c r="S62">
        <f>IF(R62="","",IF(D62="","Other work",D62)&amp;IF(AND(K62&lt;&gt;"",E62&lt;&gt;""),", "&amp;E62,""))</f>
        <v/>
      </c>
      <c r="T62">
        <f>IF(R62="","",IF(COUNTIFS(R$6:R61,"&gt;0",S$6:S61,S62,N$6:N61,N62)=0,R62,""))</f>
        <v/>
      </c>
      <c r="U62">
        <f>IF(B62="","",IF(J62&lt;&gt;"",0,M62))</f>
        <v/>
      </c>
    </row>
    <row r="63">
      <c r="A63" s="1" t="n"/>
      <c r="B63" s="16" t="n">
        <v>46154</v>
      </c>
      <c r="C63" s="17" t="inlineStr">
        <is>
          <t>Harbour Books</t>
        </is>
      </c>
      <c r="D63" s="18" t="inlineStr">
        <is>
          <t>Spring catalogue</t>
        </is>
      </c>
      <c r="E63" s="18" t="inlineStr">
        <is>
          <t>Proof corrections</t>
        </is>
      </c>
      <c r="F63" s="19" t="n"/>
      <c r="G63" s="19" t="n"/>
      <c r="H63" s="20" t="n"/>
      <c r="I63" s="21" t="n">
        <v>3</v>
      </c>
      <c r="J63" s="22" t="n"/>
      <c r="K63" s="23" t="n"/>
      <c r="L63" s="18" t="n"/>
      <c r="M63" s="24">
        <f>IF(B63="","",IF(AND(F63&lt;&gt;"",G63&lt;&gt;""),MAX(0,ROUND(MOD(G63-F63,1)*24-N(H63)/60,2)),N(I63)))</f>
        <v/>
      </c>
      <c r="N63" s="14">
        <f>IF(B63="","",IF(K63&lt;&gt;"",K63,IF(N(IFERROR(INDEX(Projects!$D$6:$D$65,MATCH(D63,Projects!$B$6:$B$65,0)),""))&gt;0,IFERROR(INDEX(Projects!$D$6:$D$65,MATCH(D63,Projects!$B$6:$B$65,0)),""),IFERROR(INDEX(Clients!$G$6:$G$45,MATCH(C63,Clients!$B$6:$B$45,0)),0))))</f>
        <v/>
      </c>
      <c r="O63" s="14">
        <f>IF(B63="","",IF(J63&lt;&gt;"",0,ROUND(M63*N63,2)))</f>
        <v/>
      </c>
      <c r="P63" s="15">
        <f>IF(OR(B63="",J63&lt;&gt;""),"",IF(L63&lt;&gt;"",L63,IF(COUNTIFS(Invoices!$C$6:$C$305,C63,Invoices!$E$6:$E$305,"&lt;="&amp;B63,Invoices!$F$6:$F$305,"&gt;="&amp;B63)=1,INDEX(Invoices!$B$6:$B$305,SUMIFS(Invoices!$O$6:$O$305,Invoices!$C$6:$C$305,C63,Invoices!$E$6:$E$305,"&lt;="&amp;B63,Invoices!$F$6:$F$305,"&gt;="&amp;B63)),IF(COUNTIFS(Invoices!$C$6:$C$305,C63,Invoices!$E$6:$E$305,"&lt;="&amp;B63,Invoices!$F$6:$F$305,"&gt;="&amp;B63)&gt;1,"Two invoices",""))))</f>
        <v/>
      </c>
      <c r="Q63" s="15">
        <f>IF(B63="","",IF(J63&lt;&gt;"","Not billable",IF(P63="","To invoice",IF(P63="Two invoices","Check dates",IF(ISNA(MATCH(P63,Invoices!$B$6:$B$305,0)),"Check number",IF(INDEX(Invoices!$M$6:$M$305,MATCH(P63,Invoices!$B$6:$B$305,0))="Paid","Paid",IF(INDEX(Invoices!$M$6:$M$305,MATCH(P63,Invoices!$B$6:$B$305,0))="Draft","Draft","Invoiced")))))))</f>
        <v/>
      </c>
      <c r="R63" s="1">
        <f>IF(AND(B63&lt;&gt;"",P63&lt;&gt;"",P63=Invoice!$G$4),B63+MOD(N(F63),1)+ROW()/10000000,"")</f>
        <v/>
      </c>
      <c r="S63">
        <f>IF(R63="","",IF(D63="","Other work",D63)&amp;IF(AND(K63&lt;&gt;"",E63&lt;&gt;""),", "&amp;E63,""))</f>
        <v/>
      </c>
      <c r="T63">
        <f>IF(R63="","",IF(COUNTIFS(R$6:R62,"&gt;0",S$6:S62,S63,N$6:N62,N63)=0,R63,""))</f>
        <v/>
      </c>
      <c r="U63">
        <f>IF(B63="","",IF(J63&lt;&gt;"",0,M63))</f>
        <v/>
      </c>
    </row>
    <row r="64">
      <c r="A64" s="1" t="n"/>
      <c r="B64" s="16" t="n">
        <v>46155</v>
      </c>
      <c r="C64" s="17" t="inlineStr">
        <is>
          <t>Harbour Books</t>
        </is>
      </c>
      <c r="D64" s="18" t="inlineStr">
        <is>
          <t>Spring catalogue</t>
        </is>
      </c>
      <c r="E64" s="18" t="inlineStr">
        <is>
          <t>Proof corrections</t>
        </is>
      </c>
      <c r="F64" s="19" t="n">
        <v>0.375</v>
      </c>
      <c r="G64" s="19" t="n">
        <v>0.4583333333333333</v>
      </c>
      <c r="H64" s="20" t="n"/>
      <c r="I64" s="21" t="n"/>
      <c r="J64" s="22" t="n"/>
      <c r="K64" s="23" t="n"/>
      <c r="L64" s="18" t="n"/>
      <c r="M64" s="24">
        <f>IF(B64="","",IF(AND(F64&lt;&gt;"",G64&lt;&gt;""),MAX(0,ROUND(MOD(G64-F64,1)*24-N(H64)/60,2)),N(I64)))</f>
        <v/>
      </c>
      <c r="N64" s="14">
        <f>IF(B64="","",IF(K64&lt;&gt;"",K64,IF(N(IFERROR(INDEX(Projects!$D$6:$D$65,MATCH(D64,Projects!$B$6:$B$65,0)),""))&gt;0,IFERROR(INDEX(Projects!$D$6:$D$65,MATCH(D64,Projects!$B$6:$B$65,0)),""),IFERROR(INDEX(Clients!$G$6:$G$45,MATCH(C64,Clients!$B$6:$B$45,0)),0))))</f>
        <v/>
      </c>
      <c r="O64" s="14">
        <f>IF(B64="","",IF(J64&lt;&gt;"",0,ROUND(M64*N64,2)))</f>
        <v/>
      </c>
      <c r="P64" s="15">
        <f>IF(OR(B64="",J64&lt;&gt;""),"",IF(L64&lt;&gt;"",L64,IF(COUNTIFS(Invoices!$C$6:$C$305,C64,Invoices!$E$6:$E$305,"&lt;="&amp;B64,Invoices!$F$6:$F$305,"&gt;="&amp;B64)=1,INDEX(Invoices!$B$6:$B$305,SUMIFS(Invoices!$O$6:$O$305,Invoices!$C$6:$C$305,C64,Invoices!$E$6:$E$305,"&lt;="&amp;B64,Invoices!$F$6:$F$305,"&gt;="&amp;B64)),IF(COUNTIFS(Invoices!$C$6:$C$305,C64,Invoices!$E$6:$E$305,"&lt;="&amp;B64,Invoices!$F$6:$F$305,"&gt;="&amp;B64)&gt;1,"Two invoices",""))))</f>
        <v/>
      </c>
      <c r="Q64" s="15">
        <f>IF(B64="","",IF(J64&lt;&gt;"","Not billable",IF(P64="","To invoice",IF(P64="Two invoices","Check dates",IF(ISNA(MATCH(P64,Invoices!$B$6:$B$305,0)),"Check number",IF(INDEX(Invoices!$M$6:$M$305,MATCH(P64,Invoices!$B$6:$B$305,0))="Paid","Paid",IF(INDEX(Invoices!$M$6:$M$305,MATCH(P64,Invoices!$B$6:$B$305,0))="Draft","Draft","Invoiced")))))))</f>
        <v/>
      </c>
      <c r="R64" s="1">
        <f>IF(AND(B64&lt;&gt;"",P64&lt;&gt;"",P64=Invoice!$G$4),B64+MOD(N(F64),1)+ROW()/10000000,"")</f>
        <v/>
      </c>
      <c r="S64">
        <f>IF(R64="","",IF(D64="","Other work",D64)&amp;IF(AND(K64&lt;&gt;"",E64&lt;&gt;""),", "&amp;E64,""))</f>
        <v/>
      </c>
      <c r="T64">
        <f>IF(R64="","",IF(COUNTIFS(R$6:R63,"&gt;0",S$6:S63,S64,N$6:N63,N64)=0,R64,""))</f>
        <v/>
      </c>
      <c r="U64">
        <f>IF(B64="","",IF(J64&lt;&gt;"",0,M64))</f>
        <v/>
      </c>
    </row>
    <row r="65">
      <c r="A65" s="1" t="n"/>
      <c r="B65" s="16" t="n">
        <v>46156</v>
      </c>
      <c r="C65" s="17" t="inlineStr">
        <is>
          <t>Harbour Books</t>
        </is>
      </c>
      <c r="D65" s="18" t="inlineStr">
        <is>
          <t>Spring catalogue</t>
        </is>
      </c>
      <c r="E65" s="18" t="inlineStr">
        <is>
          <t>Proof corrections</t>
        </is>
      </c>
      <c r="F65" s="19" t="n"/>
      <c r="G65" s="19" t="n"/>
      <c r="H65" s="20" t="n"/>
      <c r="I65" s="21" t="n">
        <v>1</v>
      </c>
      <c r="J65" s="22" t="n"/>
      <c r="K65" s="23" t="n"/>
      <c r="L65" s="18" t="n"/>
      <c r="M65" s="24">
        <f>IF(B65="","",IF(AND(F65&lt;&gt;"",G65&lt;&gt;""),MAX(0,ROUND(MOD(G65-F65,1)*24-N(H65)/60,2)),N(I65)))</f>
        <v/>
      </c>
      <c r="N65" s="14">
        <f>IF(B65="","",IF(K65&lt;&gt;"",K65,IF(N(IFERROR(INDEX(Projects!$D$6:$D$65,MATCH(D65,Projects!$B$6:$B$65,0)),""))&gt;0,IFERROR(INDEX(Projects!$D$6:$D$65,MATCH(D65,Projects!$B$6:$B$65,0)),""),IFERROR(INDEX(Clients!$G$6:$G$45,MATCH(C65,Clients!$B$6:$B$45,0)),0))))</f>
        <v/>
      </c>
      <c r="O65" s="14">
        <f>IF(B65="","",IF(J65&lt;&gt;"",0,ROUND(M65*N65,2)))</f>
        <v/>
      </c>
      <c r="P65" s="15">
        <f>IF(OR(B65="",J65&lt;&gt;""),"",IF(L65&lt;&gt;"",L65,IF(COUNTIFS(Invoices!$C$6:$C$305,C65,Invoices!$E$6:$E$305,"&lt;="&amp;B65,Invoices!$F$6:$F$305,"&gt;="&amp;B65)=1,INDEX(Invoices!$B$6:$B$305,SUMIFS(Invoices!$O$6:$O$305,Invoices!$C$6:$C$305,C65,Invoices!$E$6:$E$305,"&lt;="&amp;B65,Invoices!$F$6:$F$305,"&gt;="&amp;B65)),IF(COUNTIFS(Invoices!$C$6:$C$305,C65,Invoices!$E$6:$E$305,"&lt;="&amp;B65,Invoices!$F$6:$F$305,"&gt;="&amp;B65)&gt;1,"Two invoices",""))))</f>
        <v/>
      </c>
      <c r="Q65" s="15">
        <f>IF(B65="","",IF(J65&lt;&gt;"","Not billable",IF(P65="","To invoice",IF(P65="Two invoices","Check dates",IF(ISNA(MATCH(P65,Invoices!$B$6:$B$305,0)),"Check number",IF(INDEX(Invoices!$M$6:$M$305,MATCH(P65,Invoices!$B$6:$B$305,0))="Paid","Paid",IF(INDEX(Invoices!$M$6:$M$305,MATCH(P65,Invoices!$B$6:$B$305,0))="Draft","Draft","Invoiced")))))))</f>
        <v/>
      </c>
      <c r="R65" s="1">
        <f>IF(AND(B65&lt;&gt;"",P65&lt;&gt;"",P65=Invoice!$G$4),B65+MOD(N(F65),1)+ROW()/10000000,"")</f>
        <v/>
      </c>
      <c r="S65">
        <f>IF(R65="","",IF(D65="","Other work",D65)&amp;IF(AND(K65&lt;&gt;"",E65&lt;&gt;""),", "&amp;E65,""))</f>
        <v/>
      </c>
      <c r="T65">
        <f>IF(R65="","",IF(COUNTIFS(R$6:R64,"&gt;0",S$6:S64,S65,N$6:N64,N65)=0,R65,""))</f>
        <v/>
      </c>
      <c r="U65">
        <f>IF(B65="","",IF(J65&lt;&gt;"",0,M65))</f>
        <v/>
      </c>
    </row>
    <row r="66">
      <c r="A66" s="1" t="n"/>
      <c r="B66" s="16" t="n">
        <v>46156</v>
      </c>
      <c r="C66" s="17" t="inlineStr">
        <is>
          <t>Harbour Books</t>
        </is>
      </c>
      <c r="D66" s="18" t="inlineStr">
        <is>
          <t>Spring catalogue</t>
        </is>
      </c>
      <c r="E66" s="18" t="inlineStr">
        <is>
          <t>Product pages</t>
        </is>
      </c>
      <c r="F66" s="19" t="n">
        <v>0.375</v>
      </c>
      <c r="G66" s="19" t="n">
        <v>0.4791666666666667</v>
      </c>
      <c r="H66" s="20" t="n"/>
      <c r="I66" s="21" t="n"/>
      <c r="J66" s="22" t="n"/>
      <c r="K66" s="23" t="n"/>
      <c r="L66" s="18" t="n"/>
      <c r="M66" s="24">
        <f>IF(B66="","",IF(AND(F66&lt;&gt;"",G66&lt;&gt;""),MAX(0,ROUND(MOD(G66-F66,1)*24-N(H66)/60,2)),N(I66)))</f>
        <v/>
      </c>
      <c r="N66" s="14">
        <f>IF(B66="","",IF(K66&lt;&gt;"",K66,IF(N(IFERROR(INDEX(Projects!$D$6:$D$65,MATCH(D66,Projects!$B$6:$B$65,0)),""))&gt;0,IFERROR(INDEX(Projects!$D$6:$D$65,MATCH(D66,Projects!$B$6:$B$65,0)),""),IFERROR(INDEX(Clients!$G$6:$G$45,MATCH(C66,Clients!$B$6:$B$45,0)),0))))</f>
        <v/>
      </c>
      <c r="O66" s="14">
        <f>IF(B66="","",IF(J66&lt;&gt;"",0,ROUND(M66*N66,2)))</f>
        <v/>
      </c>
      <c r="P66" s="15">
        <f>IF(OR(B66="",J66&lt;&gt;""),"",IF(L66&lt;&gt;"",L66,IF(COUNTIFS(Invoices!$C$6:$C$305,C66,Invoices!$E$6:$E$305,"&lt;="&amp;B66,Invoices!$F$6:$F$305,"&gt;="&amp;B66)=1,INDEX(Invoices!$B$6:$B$305,SUMIFS(Invoices!$O$6:$O$305,Invoices!$C$6:$C$305,C66,Invoices!$E$6:$E$305,"&lt;="&amp;B66,Invoices!$F$6:$F$305,"&gt;="&amp;B66)),IF(COUNTIFS(Invoices!$C$6:$C$305,C66,Invoices!$E$6:$E$305,"&lt;="&amp;B66,Invoices!$F$6:$F$305,"&gt;="&amp;B66)&gt;1,"Two invoices",""))))</f>
        <v/>
      </c>
      <c r="Q66" s="15">
        <f>IF(B66="","",IF(J66&lt;&gt;"","Not billable",IF(P66="","To invoice",IF(P66="Two invoices","Check dates",IF(ISNA(MATCH(P66,Invoices!$B$6:$B$305,0)),"Check number",IF(INDEX(Invoices!$M$6:$M$305,MATCH(P66,Invoices!$B$6:$B$305,0))="Paid","Paid",IF(INDEX(Invoices!$M$6:$M$305,MATCH(P66,Invoices!$B$6:$B$305,0))="Draft","Draft","Invoiced")))))))</f>
        <v/>
      </c>
      <c r="R66" s="1">
        <f>IF(AND(B66&lt;&gt;"",P66&lt;&gt;"",P66=Invoice!$G$4),B66+MOD(N(F66),1)+ROW()/10000000,"")</f>
        <v/>
      </c>
      <c r="S66">
        <f>IF(R66="","",IF(D66="","Other work",D66)&amp;IF(AND(K66&lt;&gt;"",E66&lt;&gt;""),", "&amp;E66,""))</f>
        <v/>
      </c>
      <c r="T66">
        <f>IF(R66="","",IF(COUNTIFS(R$6:R65,"&gt;0",S$6:S65,S66,N$6:N65,N66)=0,R66,""))</f>
        <v/>
      </c>
      <c r="U66">
        <f>IF(B66="","",IF(J66&lt;&gt;"",0,M66))</f>
        <v/>
      </c>
    </row>
    <row r="67">
      <c r="A67" s="1" t="n"/>
      <c r="B67" s="16" t="n">
        <v>46157</v>
      </c>
      <c r="C67" s="17" t="inlineStr">
        <is>
          <t>Harbour Books</t>
        </is>
      </c>
      <c r="D67" s="18" t="inlineStr">
        <is>
          <t>Spring catalogue</t>
        </is>
      </c>
      <c r="E67" s="18" t="inlineStr">
        <is>
          <t>Product pages</t>
        </is>
      </c>
      <c r="F67" s="19" t="n"/>
      <c r="G67" s="19" t="n"/>
      <c r="H67" s="20" t="n"/>
      <c r="I67" s="21" t="n">
        <v>2</v>
      </c>
      <c r="J67" s="22" t="n"/>
      <c r="K67" s="23" t="n"/>
      <c r="L67" s="18" t="n"/>
      <c r="M67" s="24">
        <f>IF(B67="","",IF(AND(F67&lt;&gt;"",G67&lt;&gt;""),MAX(0,ROUND(MOD(G67-F67,1)*24-N(H67)/60,2)),N(I67)))</f>
        <v/>
      </c>
      <c r="N67" s="14">
        <f>IF(B67="","",IF(K67&lt;&gt;"",K67,IF(N(IFERROR(INDEX(Projects!$D$6:$D$65,MATCH(D67,Projects!$B$6:$B$65,0)),""))&gt;0,IFERROR(INDEX(Projects!$D$6:$D$65,MATCH(D67,Projects!$B$6:$B$65,0)),""),IFERROR(INDEX(Clients!$G$6:$G$45,MATCH(C67,Clients!$B$6:$B$45,0)),0))))</f>
        <v/>
      </c>
      <c r="O67" s="14">
        <f>IF(B67="","",IF(J67&lt;&gt;"",0,ROUND(M67*N67,2)))</f>
        <v/>
      </c>
      <c r="P67" s="15">
        <f>IF(OR(B67="",J67&lt;&gt;""),"",IF(L67&lt;&gt;"",L67,IF(COUNTIFS(Invoices!$C$6:$C$305,C67,Invoices!$E$6:$E$305,"&lt;="&amp;B67,Invoices!$F$6:$F$305,"&gt;="&amp;B67)=1,INDEX(Invoices!$B$6:$B$305,SUMIFS(Invoices!$O$6:$O$305,Invoices!$C$6:$C$305,C67,Invoices!$E$6:$E$305,"&lt;="&amp;B67,Invoices!$F$6:$F$305,"&gt;="&amp;B67)),IF(COUNTIFS(Invoices!$C$6:$C$305,C67,Invoices!$E$6:$E$305,"&lt;="&amp;B67,Invoices!$F$6:$F$305,"&gt;="&amp;B67)&gt;1,"Two invoices",""))))</f>
        <v/>
      </c>
      <c r="Q67" s="15">
        <f>IF(B67="","",IF(J67&lt;&gt;"","Not billable",IF(P67="","To invoice",IF(P67="Two invoices","Check dates",IF(ISNA(MATCH(P67,Invoices!$B$6:$B$305,0)),"Check number",IF(INDEX(Invoices!$M$6:$M$305,MATCH(P67,Invoices!$B$6:$B$305,0))="Paid","Paid",IF(INDEX(Invoices!$M$6:$M$305,MATCH(P67,Invoices!$B$6:$B$305,0))="Draft","Draft","Invoiced")))))))</f>
        <v/>
      </c>
      <c r="R67" s="1">
        <f>IF(AND(B67&lt;&gt;"",P67&lt;&gt;"",P67=Invoice!$G$4),B67+MOD(N(F67),1)+ROW()/10000000,"")</f>
        <v/>
      </c>
      <c r="S67">
        <f>IF(R67="","",IF(D67="","Other work",D67)&amp;IF(AND(K67&lt;&gt;"",E67&lt;&gt;""),", "&amp;E67,""))</f>
        <v/>
      </c>
      <c r="T67">
        <f>IF(R67="","",IF(COUNTIFS(R$6:R66,"&gt;0",S$6:S66,S67,N$6:N66,N67)=0,R67,""))</f>
        <v/>
      </c>
      <c r="U67">
        <f>IF(B67="","",IF(J67&lt;&gt;"",0,M67))</f>
        <v/>
      </c>
    </row>
    <row r="68">
      <c r="A68" s="1" t="n"/>
      <c r="B68" s="16" t="n">
        <v>46157</v>
      </c>
      <c r="C68" s="17" t="inlineStr">
        <is>
          <t>Greenleaf Studio</t>
        </is>
      </c>
      <c r="D68" s="18" t="inlineStr">
        <is>
          <t>Monthly social posts</t>
        </is>
      </c>
      <c r="E68" s="18" t="inlineStr">
        <is>
          <t>Captions and scheduling</t>
        </is>
      </c>
      <c r="F68" s="19" t="n">
        <v>0.375</v>
      </c>
      <c r="G68" s="19" t="n">
        <v>0.4375</v>
      </c>
      <c r="H68" s="20" t="n"/>
      <c r="I68" s="21" t="n"/>
      <c r="J68" s="22" t="n"/>
      <c r="K68" s="23" t="n"/>
      <c r="L68" s="18" t="n"/>
      <c r="M68" s="24">
        <f>IF(B68="","",IF(AND(F68&lt;&gt;"",G68&lt;&gt;""),MAX(0,ROUND(MOD(G68-F68,1)*24-N(H68)/60,2)),N(I68)))</f>
        <v/>
      </c>
      <c r="N68" s="14">
        <f>IF(B68="","",IF(K68&lt;&gt;"",K68,IF(N(IFERROR(INDEX(Projects!$D$6:$D$65,MATCH(D68,Projects!$B$6:$B$65,0)),""))&gt;0,IFERROR(INDEX(Projects!$D$6:$D$65,MATCH(D68,Projects!$B$6:$B$65,0)),""),IFERROR(INDEX(Clients!$G$6:$G$45,MATCH(C68,Clients!$B$6:$B$45,0)),0))))</f>
        <v/>
      </c>
      <c r="O68" s="14">
        <f>IF(B68="","",IF(J68&lt;&gt;"",0,ROUND(M68*N68,2)))</f>
        <v/>
      </c>
      <c r="P68" s="15">
        <f>IF(OR(B68="",J68&lt;&gt;""),"",IF(L68&lt;&gt;"",L68,IF(COUNTIFS(Invoices!$C$6:$C$305,C68,Invoices!$E$6:$E$305,"&lt;="&amp;B68,Invoices!$F$6:$F$305,"&gt;="&amp;B68)=1,INDEX(Invoices!$B$6:$B$305,SUMIFS(Invoices!$O$6:$O$305,Invoices!$C$6:$C$305,C68,Invoices!$E$6:$E$305,"&lt;="&amp;B68,Invoices!$F$6:$F$305,"&gt;="&amp;B68)),IF(COUNTIFS(Invoices!$C$6:$C$305,C68,Invoices!$E$6:$E$305,"&lt;="&amp;B68,Invoices!$F$6:$F$305,"&gt;="&amp;B68)&gt;1,"Two invoices",""))))</f>
        <v/>
      </c>
      <c r="Q68" s="15">
        <f>IF(B68="","",IF(J68&lt;&gt;"","Not billable",IF(P68="","To invoice",IF(P68="Two invoices","Check dates",IF(ISNA(MATCH(P68,Invoices!$B$6:$B$305,0)),"Check number",IF(INDEX(Invoices!$M$6:$M$305,MATCH(P68,Invoices!$B$6:$B$305,0))="Paid","Paid",IF(INDEX(Invoices!$M$6:$M$305,MATCH(P68,Invoices!$B$6:$B$305,0))="Draft","Draft","Invoiced")))))))</f>
        <v/>
      </c>
      <c r="R68" s="1">
        <f>IF(AND(B68&lt;&gt;"",P68&lt;&gt;"",P68=Invoice!$G$4),B68+MOD(N(F68),1)+ROW()/10000000,"")</f>
        <v/>
      </c>
      <c r="S68">
        <f>IF(R68="","",IF(D68="","Other work",D68)&amp;IF(AND(K68&lt;&gt;"",E68&lt;&gt;""),", "&amp;E68,""))</f>
        <v/>
      </c>
      <c r="T68">
        <f>IF(R68="","",IF(COUNTIFS(R$6:R67,"&gt;0",S$6:S67,S68,N$6:N67,N68)=0,R68,""))</f>
        <v/>
      </c>
      <c r="U68">
        <f>IF(B68="","",IF(J68&lt;&gt;"",0,M68))</f>
        <v/>
      </c>
    </row>
    <row r="69">
      <c r="A69" s="1" t="n"/>
      <c r="B69" s="16" t="n">
        <v>46157</v>
      </c>
      <c r="C69" s="17" t="inlineStr">
        <is>
          <t>Harbour Books</t>
        </is>
      </c>
      <c r="D69" s="18" t="inlineStr">
        <is>
          <t>Spring catalogue</t>
        </is>
      </c>
      <c r="E69" s="18" t="inlineStr">
        <is>
          <t>Proof corrections</t>
        </is>
      </c>
      <c r="F69" s="19" t="n">
        <v>0.46875</v>
      </c>
      <c r="G69" s="19" t="n">
        <v>0.6145833333333334</v>
      </c>
      <c r="H69" s="20" t="n"/>
      <c r="I69" s="21" t="n"/>
      <c r="J69" s="22" t="n"/>
      <c r="K69" s="23" t="n"/>
      <c r="L69" s="18" t="n"/>
      <c r="M69" s="24">
        <f>IF(B69="","",IF(AND(F69&lt;&gt;"",G69&lt;&gt;""),MAX(0,ROUND(MOD(G69-F69,1)*24-N(H69)/60,2)),N(I69)))</f>
        <v/>
      </c>
      <c r="N69" s="14">
        <f>IF(B69="","",IF(K69&lt;&gt;"",K69,IF(N(IFERROR(INDEX(Projects!$D$6:$D$65,MATCH(D69,Projects!$B$6:$B$65,0)),""))&gt;0,IFERROR(INDEX(Projects!$D$6:$D$65,MATCH(D69,Projects!$B$6:$B$65,0)),""),IFERROR(INDEX(Clients!$G$6:$G$45,MATCH(C69,Clients!$B$6:$B$45,0)),0))))</f>
        <v/>
      </c>
      <c r="O69" s="14">
        <f>IF(B69="","",IF(J69&lt;&gt;"",0,ROUND(M69*N69,2)))</f>
        <v/>
      </c>
      <c r="P69" s="15">
        <f>IF(OR(B69="",J69&lt;&gt;""),"",IF(L69&lt;&gt;"",L69,IF(COUNTIFS(Invoices!$C$6:$C$305,C69,Invoices!$E$6:$E$305,"&lt;="&amp;B69,Invoices!$F$6:$F$305,"&gt;="&amp;B69)=1,INDEX(Invoices!$B$6:$B$305,SUMIFS(Invoices!$O$6:$O$305,Invoices!$C$6:$C$305,C69,Invoices!$E$6:$E$305,"&lt;="&amp;B69,Invoices!$F$6:$F$305,"&gt;="&amp;B69)),IF(COUNTIFS(Invoices!$C$6:$C$305,C69,Invoices!$E$6:$E$305,"&lt;="&amp;B69,Invoices!$F$6:$F$305,"&gt;="&amp;B69)&gt;1,"Two invoices",""))))</f>
        <v/>
      </c>
      <c r="Q69" s="15">
        <f>IF(B69="","",IF(J69&lt;&gt;"","Not billable",IF(P69="","To invoice",IF(P69="Two invoices","Check dates",IF(ISNA(MATCH(P69,Invoices!$B$6:$B$305,0)),"Check number",IF(INDEX(Invoices!$M$6:$M$305,MATCH(P69,Invoices!$B$6:$B$305,0))="Paid","Paid",IF(INDEX(Invoices!$M$6:$M$305,MATCH(P69,Invoices!$B$6:$B$305,0))="Draft","Draft","Invoiced")))))))</f>
        <v/>
      </c>
      <c r="R69" s="1">
        <f>IF(AND(B69&lt;&gt;"",P69&lt;&gt;"",P69=Invoice!$G$4),B69+MOD(N(F69),1)+ROW()/10000000,"")</f>
        <v/>
      </c>
      <c r="S69">
        <f>IF(R69="","",IF(D69="","Other work",D69)&amp;IF(AND(K69&lt;&gt;"",E69&lt;&gt;""),", "&amp;E69,""))</f>
        <v/>
      </c>
      <c r="T69">
        <f>IF(R69="","",IF(COUNTIFS(R$6:R68,"&gt;0",S$6:S68,S69,N$6:N68,N69)=0,R69,""))</f>
        <v/>
      </c>
      <c r="U69">
        <f>IF(B69="","",IF(J69&lt;&gt;"",0,M69))</f>
        <v/>
      </c>
    </row>
    <row r="70">
      <c r="A70" s="1" t="n"/>
      <c r="B70" s="16" t="n">
        <v>46160</v>
      </c>
      <c r="C70" s="17" t="inlineStr">
        <is>
          <t>Greenleaf Studio</t>
        </is>
      </c>
      <c r="D70" s="18" t="inlineStr">
        <is>
          <t>Monthly social posts</t>
        </is>
      </c>
      <c r="E70" s="18" t="inlineStr">
        <is>
          <t>Captions and scheduling</t>
        </is>
      </c>
      <c r="F70" s="19" t="n">
        <v>0.375</v>
      </c>
      <c r="G70" s="19" t="n">
        <v>0.5</v>
      </c>
      <c r="H70" s="20" t="n"/>
      <c r="I70" s="21" t="n"/>
      <c r="J70" s="22" t="n"/>
      <c r="K70" s="23" t="n"/>
      <c r="L70" s="18" t="n"/>
      <c r="M70" s="24">
        <f>IF(B70="","",IF(AND(F70&lt;&gt;"",G70&lt;&gt;""),MAX(0,ROUND(MOD(G70-F70,1)*24-N(H70)/60,2)),N(I70)))</f>
        <v/>
      </c>
      <c r="N70" s="14">
        <f>IF(B70="","",IF(K70&lt;&gt;"",K70,IF(N(IFERROR(INDEX(Projects!$D$6:$D$65,MATCH(D70,Projects!$B$6:$B$65,0)),""))&gt;0,IFERROR(INDEX(Projects!$D$6:$D$65,MATCH(D70,Projects!$B$6:$B$65,0)),""),IFERROR(INDEX(Clients!$G$6:$G$45,MATCH(C70,Clients!$B$6:$B$45,0)),0))))</f>
        <v/>
      </c>
      <c r="O70" s="14">
        <f>IF(B70="","",IF(J70&lt;&gt;"",0,ROUND(M70*N70,2)))</f>
        <v/>
      </c>
      <c r="P70" s="15">
        <f>IF(OR(B70="",J70&lt;&gt;""),"",IF(L70&lt;&gt;"",L70,IF(COUNTIFS(Invoices!$C$6:$C$305,C70,Invoices!$E$6:$E$305,"&lt;="&amp;B70,Invoices!$F$6:$F$305,"&gt;="&amp;B70)=1,INDEX(Invoices!$B$6:$B$305,SUMIFS(Invoices!$O$6:$O$305,Invoices!$C$6:$C$305,C70,Invoices!$E$6:$E$305,"&lt;="&amp;B70,Invoices!$F$6:$F$305,"&gt;="&amp;B70)),IF(COUNTIFS(Invoices!$C$6:$C$305,C70,Invoices!$E$6:$E$305,"&lt;="&amp;B70,Invoices!$F$6:$F$305,"&gt;="&amp;B70)&gt;1,"Two invoices",""))))</f>
        <v/>
      </c>
      <c r="Q70" s="15">
        <f>IF(B70="","",IF(J70&lt;&gt;"","Not billable",IF(P70="","To invoice",IF(P70="Two invoices","Check dates",IF(ISNA(MATCH(P70,Invoices!$B$6:$B$305,0)),"Check number",IF(INDEX(Invoices!$M$6:$M$305,MATCH(P70,Invoices!$B$6:$B$305,0))="Paid","Paid",IF(INDEX(Invoices!$M$6:$M$305,MATCH(P70,Invoices!$B$6:$B$305,0))="Draft","Draft","Invoiced")))))))</f>
        <v/>
      </c>
      <c r="R70" s="1">
        <f>IF(AND(B70&lt;&gt;"",P70&lt;&gt;"",P70=Invoice!$G$4),B70+MOD(N(F70),1)+ROW()/10000000,"")</f>
        <v/>
      </c>
      <c r="S70">
        <f>IF(R70="","",IF(D70="","Other work",D70)&amp;IF(AND(K70&lt;&gt;"",E70&lt;&gt;""),", "&amp;E70,""))</f>
        <v/>
      </c>
      <c r="T70">
        <f>IF(R70="","",IF(COUNTIFS(R$6:R69,"&gt;0",S$6:S69,S70,N$6:N69,N70)=0,R70,""))</f>
        <v/>
      </c>
      <c r="U70">
        <f>IF(B70="","",IF(J70&lt;&gt;"",0,M70))</f>
        <v/>
      </c>
    </row>
    <row r="71">
      <c r="A71" s="1" t="n"/>
      <c r="B71" s="16" t="n">
        <v>46160</v>
      </c>
      <c r="C71" s="17" t="inlineStr">
        <is>
          <t>Harbour Books</t>
        </is>
      </c>
      <c r="D71" s="18" t="inlineStr">
        <is>
          <t>Spring catalogue</t>
        </is>
      </c>
      <c r="E71" s="18" t="inlineStr">
        <is>
          <t>Catalogue layout</t>
        </is>
      </c>
      <c r="F71" s="19" t="n">
        <v>0.5208333333333334</v>
      </c>
      <c r="G71" s="19" t="n">
        <v>0.6041666666666666</v>
      </c>
      <c r="H71" s="20" t="n"/>
      <c r="I71" s="21" t="n"/>
      <c r="J71" s="22" t="n"/>
      <c r="K71" s="23" t="n"/>
      <c r="L71" s="18" t="n"/>
      <c r="M71" s="24">
        <f>IF(B71="","",IF(AND(F71&lt;&gt;"",G71&lt;&gt;""),MAX(0,ROUND(MOD(G71-F71,1)*24-N(H71)/60,2)),N(I71)))</f>
        <v/>
      </c>
      <c r="N71" s="14">
        <f>IF(B71="","",IF(K71&lt;&gt;"",K71,IF(N(IFERROR(INDEX(Projects!$D$6:$D$65,MATCH(D71,Projects!$B$6:$B$65,0)),""))&gt;0,IFERROR(INDEX(Projects!$D$6:$D$65,MATCH(D71,Projects!$B$6:$B$65,0)),""),IFERROR(INDEX(Clients!$G$6:$G$45,MATCH(C71,Clients!$B$6:$B$45,0)),0))))</f>
        <v/>
      </c>
      <c r="O71" s="14">
        <f>IF(B71="","",IF(J71&lt;&gt;"",0,ROUND(M71*N71,2)))</f>
        <v/>
      </c>
      <c r="P71" s="15">
        <f>IF(OR(B71="",J71&lt;&gt;""),"",IF(L71&lt;&gt;"",L71,IF(COUNTIFS(Invoices!$C$6:$C$305,C71,Invoices!$E$6:$E$305,"&lt;="&amp;B71,Invoices!$F$6:$F$305,"&gt;="&amp;B71)=1,INDEX(Invoices!$B$6:$B$305,SUMIFS(Invoices!$O$6:$O$305,Invoices!$C$6:$C$305,C71,Invoices!$E$6:$E$305,"&lt;="&amp;B71,Invoices!$F$6:$F$305,"&gt;="&amp;B71)),IF(COUNTIFS(Invoices!$C$6:$C$305,C71,Invoices!$E$6:$E$305,"&lt;="&amp;B71,Invoices!$F$6:$F$305,"&gt;="&amp;B71)&gt;1,"Two invoices",""))))</f>
        <v/>
      </c>
      <c r="Q71" s="15">
        <f>IF(B71="","",IF(J71&lt;&gt;"","Not billable",IF(P71="","To invoice",IF(P71="Two invoices","Check dates",IF(ISNA(MATCH(P71,Invoices!$B$6:$B$305,0)),"Check number",IF(INDEX(Invoices!$M$6:$M$305,MATCH(P71,Invoices!$B$6:$B$305,0))="Paid","Paid",IF(INDEX(Invoices!$M$6:$M$305,MATCH(P71,Invoices!$B$6:$B$305,0))="Draft","Draft","Invoiced")))))))</f>
        <v/>
      </c>
      <c r="R71" s="1">
        <f>IF(AND(B71&lt;&gt;"",P71&lt;&gt;"",P71=Invoice!$G$4),B71+MOD(N(F71),1)+ROW()/10000000,"")</f>
        <v/>
      </c>
      <c r="S71">
        <f>IF(R71="","",IF(D71="","Other work",D71)&amp;IF(AND(K71&lt;&gt;"",E71&lt;&gt;""),", "&amp;E71,""))</f>
        <v/>
      </c>
      <c r="T71">
        <f>IF(R71="","",IF(COUNTIFS(R$6:R70,"&gt;0",S$6:S70,S71,N$6:N70,N71)=0,R71,""))</f>
        <v/>
      </c>
      <c r="U71">
        <f>IF(B71="","",IF(J71&lt;&gt;"",0,M71))</f>
        <v/>
      </c>
    </row>
    <row r="72">
      <c r="A72" s="1" t="n"/>
      <c r="B72" s="16" t="n">
        <v>46160</v>
      </c>
      <c r="C72" s="17" t="inlineStr">
        <is>
          <t>Harbour Books</t>
        </is>
      </c>
      <c r="D72" s="18" t="inlineStr">
        <is>
          <t>Spring catalogue</t>
        </is>
      </c>
      <c r="E72" s="18" t="inlineStr">
        <is>
          <t>Proof corrections</t>
        </is>
      </c>
      <c r="F72" s="19" t="n">
        <v>0.6458333333333334</v>
      </c>
      <c r="G72" s="19" t="n">
        <v>0.7291666666666666</v>
      </c>
      <c r="H72" s="20" t="n"/>
      <c r="I72" s="21" t="n"/>
      <c r="J72" s="22" t="n"/>
      <c r="K72" s="23" t="n"/>
      <c r="L72" s="18" t="n"/>
      <c r="M72" s="24">
        <f>IF(B72="","",IF(AND(F72&lt;&gt;"",G72&lt;&gt;""),MAX(0,ROUND(MOD(G72-F72,1)*24-N(H72)/60,2)),N(I72)))</f>
        <v/>
      </c>
      <c r="N72" s="14">
        <f>IF(B72="","",IF(K72&lt;&gt;"",K72,IF(N(IFERROR(INDEX(Projects!$D$6:$D$65,MATCH(D72,Projects!$B$6:$B$65,0)),""))&gt;0,IFERROR(INDEX(Projects!$D$6:$D$65,MATCH(D72,Projects!$B$6:$B$65,0)),""),IFERROR(INDEX(Clients!$G$6:$G$45,MATCH(C72,Clients!$B$6:$B$45,0)),0))))</f>
        <v/>
      </c>
      <c r="O72" s="14">
        <f>IF(B72="","",IF(J72&lt;&gt;"",0,ROUND(M72*N72,2)))</f>
        <v/>
      </c>
      <c r="P72" s="15">
        <f>IF(OR(B72="",J72&lt;&gt;""),"",IF(L72&lt;&gt;"",L72,IF(COUNTIFS(Invoices!$C$6:$C$305,C72,Invoices!$E$6:$E$305,"&lt;="&amp;B72,Invoices!$F$6:$F$305,"&gt;="&amp;B72)=1,INDEX(Invoices!$B$6:$B$305,SUMIFS(Invoices!$O$6:$O$305,Invoices!$C$6:$C$305,C72,Invoices!$E$6:$E$305,"&lt;="&amp;B72,Invoices!$F$6:$F$305,"&gt;="&amp;B72)),IF(COUNTIFS(Invoices!$C$6:$C$305,C72,Invoices!$E$6:$E$305,"&lt;="&amp;B72,Invoices!$F$6:$F$305,"&gt;="&amp;B72)&gt;1,"Two invoices",""))))</f>
        <v/>
      </c>
      <c r="Q72" s="15">
        <f>IF(B72="","",IF(J72&lt;&gt;"","Not billable",IF(P72="","To invoice",IF(P72="Two invoices","Check dates",IF(ISNA(MATCH(P72,Invoices!$B$6:$B$305,0)),"Check number",IF(INDEX(Invoices!$M$6:$M$305,MATCH(P72,Invoices!$B$6:$B$305,0))="Paid","Paid",IF(INDEX(Invoices!$M$6:$M$305,MATCH(P72,Invoices!$B$6:$B$305,0))="Draft","Draft","Invoiced")))))))</f>
        <v/>
      </c>
      <c r="R72" s="1">
        <f>IF(AND(B72&lt;&gt;"",P72&lt;&gt;"",P72=Invoice!$G$4),B72+MOD(N(F72),1)+ROW()/10000000,"")</f>
        <v/>
      </c>
      <c r="S72">
        <f>IF(R72="","",IF(D72="","Other work",D72)&amp;IF(AND(K72&lt;&gt;"",E72&lt;&gt;""),", "&amp;E72,""))</f>
        <v/>
      </c>
      <c r="T72">
        <f>IF(R72="","",IF(COUNTIFS(R$6:R71,"&gt;0",S$6:S71,S72,N$6:N71,N72)=0,R72,""))</f>
        <v/>
      </c>
      <c r="U72">
        <f>IF(B72="","",IF(J72&lt;&gt;"",0,M72))</f>
        <v/>
      </c>
    </row>
    <row r="73">
      <c r="A73" s="1" t="n"/>
      <c r="B73" s="16" t="n">
        <v>46161</v>
      </c>
      <c r="C73" s="17" t="inlineStr">
        <is>
          <t>Greenleaf Studio</t>
        </is>
      </c>
      <c r="D73" s="18" t="inlineStr">
        <is>
          <t>Monthly social posts</t>
        </is>
      </c>
      <c r="E73" s="18" t="inlineStr">
        <is>
          <t>Captions and scheduling</t>
        </is>
      </c>
      <c r="F73" s="19" t="n">
        <v>0.3958333333333333</v>
      </c>
      <c r="G73" s="19" t="n">
        <v>0.4791666666666667</v>
      </c>
      <c r="H73" s="20" t="n"/>
      <c r="I73" s="21" t="n"/>
      <c r="J73" s="22" t="n"/>
      <c r="K73" s="23" t="n"/>
      <c r="L73" s="18" t="n"/>
      <c r="M73" s="24">
        <f>IF(B73="","",IF(AND(F73&lt;&gt;"",G73&lt;&gt;""),MAX(0,ROUND(MOD(G73-F73,1)*24-N(H73)/60,2)),N(I73)))</f>
        <v/>
      </c>
      <c r="N73" s="14">
        <f>IF(B73="","",IF(K73&lt;&gt;"",K73,IF(N(IFERROR(INDEX(Projects!$D$6:$D$65,MATCH(D73,Projects!$B$6:$B$65,0)),""))&gt;0,IFERROR(INDEX(Projects!$D$6:$D$65,MATCH(D73,Projects!$B$6:$B$65,0)),""),IFERROR(INDEX(Clients!$G$6:$G$45,MATCH(C73,Clients!$B$6:$B$45,0)),0))))</f>
        <v/>
      </c>
      <c r="O73" s="14">
        <f>IF(B73="","",IF(J73&lt;&gt;"",0,ROUND(M73*N73,2)))</f>
        <v/>
      </c>
      <c r="P73" s="15">
        <f>IF(OR(B73="",J73&lt;&gt;""),"",IF(L73&lt;&gt;"",L73,IF(COUNTIFS(Invoices!$C$6:$C$305,C73,Invoices!$E$6:$E$305,"&lt;="&amp;B73,Invoices!$F$6:$F$305,"&gt;="&amp;B73)=1,INDEX(Invoices!$B$6:$B$305,SUMIFS(Invoices!$O$6:$O$305,Invoices!$C$6:$C$305,C73,Invoices!$E$6:$E$305,"&lt;="&amp;B73,Invoices!$F$6:$F$305,"&gt;="&amp;B73)),IF(COUNTIFS(Invoices!$C$6:$C$305,C73,Invoices!$E$6:$E$305,"&lt;="&amp;B73,Invoices!$F$6:$F$305,"&gt;="&amp;B73)&gt;1,"Two invoices",""))))</f>
        <v/>
      </c>
      <c r="Q73" s="15">
        <f>IF(B73="","",IF(J73&lt;&gt;"","Not billable",IF(P73="","To invoice",IF(P73="Two invoices","Check dates",IF(ISNA(MATCH(P73,Invoices!$B$6:$B$305,0)),"Check number",IF(INDEX(Invoices!$M$6:$M$305,MATCH(P73,Invoices!$B$6:$B$305,0))="Paid","Paid",IF(INDEX(Invoices!$M$6:$M$305,MATCH(P73,Invoices!$B$6:$B$305,0))="Draft","Draft","Invoiced")))))))</f>
        <v/>
      </c>
      <c r="R73" s="1">
        <f>IF(AND(B73&lt;&gt;"",P73&lt;&gt;"",P73=Invoice!$G$4),B73+MOD(N(F73),1)+ROW()/10000000,"")</f>
        <v/>
      </c>
      <c r="S73">
        <f>IF(R73="","",IF(D73="","Other work",D73)&amp;IF(AND(K73&lt;&gt;"",E73&lt;&gt;""),", "&amp;E73,""))</f>
        <v/>
      </c>
      <c r="T73">
        <f>IF(R73="","",IF(COUNTIFS(R$6:R72,"&gt;0",S$6:S72,S73,N$6:N72,N73)=0,R73,""))</f>
        <v/>
      </c>
      <c r="U73">
        <f>IF(B73="","",IF(J73&lt;&gt;"",0,M73))</f>
        <v/>
      </c>
    </row>
    <row r="74">
      <c r="A74" s="1" t="n"/>
      <c r="B74" s="16" t="n">
        <v>46161</v>
      </c>
      <c r="C74" s="17" t="inlineStr">
        <is>
          <t>Harbour Books</t>
        </is>
      </c>
      <c r="D74" s="18" t="inlineStr">
        <is>
          <t>Spring catalogue</t>
        </is>
      </c>
      <c r="E74" s="18" t="inlineStr">
        <is>
          <t>Proof corrections</t>
        </is>
      </c>
      <c r="F74" s="19" t="n">
        <v>0.4895833333333333</v>
      </c>
      <c r="G74" s="19" t="n">
        <v>0.6458333333333334</v>
      </c>
      <c r="H74" s="20" t="n">
        <v>15</v>
      </c>
      <c r="I74" s="21" t="n"/>
      <c r="J74" s="22" t="n"/>
      <c r="K74" s="23" t="n"/>
      <c r="L74" s="18" t="n"/>
      <c r="M74" s="24">
        <f>IF(B74="","",IF(AND(F74&lt;&gt;"",G74&lt;&gt;""),MAX(0,ROUND(MOD(G74-F74,1)*24-N(H74)/60,2)),N(I74)))</f>
        <v/>
      </c>
      <c r="N74" s="14">
        <f>IF(B74="","",IF(K74&lt;&gt;"",K74,IF(N(IFERROR(INDEX(Projects!$D$6:$D$65,MATCH(D74,Projects!$B$6:$B$65,0)),""))&gt;0,IFERROR(INDEX(Projects!$D$6:$D$65,MATCH(D74,Projects!$B$6:$B$65,0)),""),IFERROR(INDEX(Clients!$G$6:$G$45,MATCH(C74,Clients!$B$6:$B$45,0)),0))))</f>
        <v/>
      </c>
      <c r="O74" s="14">
        <f>IF(B74="","",IF(J74&lt;&gt;"",0,ROUND(M74*N74,2)))</f>
        <v/>
      </c>
      <c r="P74" s="15">
        <f>IF(OR(B74="",J74&lt;&gt;""),"",IF(L74&lt;&gt;"",L74,IF(COUNTIFS(Invoices!$C$6:$C$305,C74,Invoices!$E$6:$E$305,"&lt;="&amp;B74,Invoices!$F$6:$F$305,"&gt;="&amp;B74)=1,INDEX(Invoices!$B$6:$B$305,SUMIFS(Invoices!$O$6:$O$305,Invoices!$C$6:$C$305,C74,Invoices!$E$6:$E$305,"&lt;="&amp;B74,Invoices!$F$6:$F$305,"&gt;="&amp;B74)),IF(COUNTIFS(Invoices!$C$6:$C$305,C74,Invoices!$E$6:$E$305,"&lt;="&amp;B74,Invoices!$F$6:$F$305,"&gt;="&amp;B74)&gt;1,"Two invoices",""))))</f>
        <v/>
      </c>
      <c r="Q74" s="15">
        <f>IF(B74="","",IF(J74&lt;&gt;"","Not billable",IF(P74="","To invoice",IF(P74="Two invoices","Check dates",IF(ISNA(MATCH(P74,Invoices!$B$6:$B$305,0)),"Check number",IF(INDEX(Invoices!$M$6:$M$305,MATCH(P74,Invoices!$B$6:$B$305,0))="Paid","Paid",IF(INDEX(Invoices!$M$6:$M$305,MATCH(P74,Invoices!$B$6:$B$305,0))="Draft","Draft","Invoiced")))))))</f>
        <v/>
      </c>
      <c r="R74" s="1">
        <f>IF(AND(B74&lt;&gt;"",P74&lt;&gt;"",P74=Invoice!$G$4),B74+MOD(N(F74),1)+ROW()/10000000,"")</f>
        <v/>
      </c>
      <c r="S74">
        <f>IF(R74="","",IF(D74="","Other work",D74)&amp;IF(AND(K74&lt;&gt;"",E74&lt;&gt;""),", "&amp;E74,""))</f>
        <v/>
      </c>
      <c r="T74">
        <f>IF(R74="","",IF(COUNTIFS(R$6:R73,"&gt;0",S$6:S73,S74,N$6:N73,N74)=0,R74,""))</f>
        <v/>
      </c>
      <c r="U74">
        <f>IF(B74="","",IF(J74&lt;&gt;"",0,M74))</f>
        <v/>
      </c>
    </row>
    <row r="75">
      <c r="A75" s="1" t="n"/>
      <c r="B75" s="16" t="n">
        <v>46162</v>
      </c>
      <c r="C75" s="17" t="inlineStr">
        <is>
          <t>Harbour Books</t>
        </is>
      </c>
      <c r="D75" s="18" t="inlineStr">
        <is>
          <t>Spring catalogue</t>
        </is>
      </c>
      <c r="E75" s="18" t="inlineStr">
        <is>
          <t>Catalogue layout</t>
        </is>
      </c>
      <c r="F75" s="19" t="n">
        <v>0.3958333333333333</v>
      </c>
      <c r="G75" s="19" t="n">
        <v>0.4583333333333333</v>
      </c>
      <c r="H75" s="20" t="n"/>
      <c r="I75" s="21" t="n"/>
      <c r="J75" s="22" t="n"/>
      <c r="K75" s="23" t="n"/>
      <c r="L75" s="18" t="n"/>
      <c r="M75" s="24">
        <f>IF(B75="","",IF(AND(F75&lt;&gt;"",G75&lt;&gt;""),MAX(0,ROUND(MOD(G75-F75,1)*24-N(H75)/60,2)),N(I75)))</f>
        <v/>
      </c>
      <c r="N75" s="14">
        <f>IF(B75="","",IF(K75&lt;&gt;"",K75,IF(N(IFERROR(INDEX(Projects!$D$6:$D$65,MATCH(D75,Projects!$B$6:$B$65,0)),""))&gt;0,IFERROR(INDEX(Projects!$D$6:$D$65,MATCH(D75,Projects!$B$6:$B$65,0)),""),IFERROR(INDEX(Clients!$G$6:$G$45,MATCH(C75,Clients!$B$6:$B$45,0)),0))))</f>
        <v/>
      </c>
      <c r="O75" s="14">
        <f>IF(B75="","",IF(J75&lt;&gt;"",0,ROUND(M75*N75,2)))</f>
        <v/>
      </c>
      <c r="P75" s="15">
        <f>IF(OR(B75="",J75&lt;&gt;""),"",IF(L75&lt;&gt;"",L75,IF(COUNTIFS(Invoices!$C$6:$C$305,C75,Invoices!$E$6:$E$305,"&lt;="&amp;B75,Invoices!$F$6:$F$305,"&gt;="&amp;B75)=1,INDEX(Invoices!$B$6:$B$305,SUMIFS(Invoices!$O$6:$O$305,Invoices!$C$6:$C$305,C75,Invoices!$E$6:$E$305,"&lt;="&amp;B75,Invoices!$F$6:$F$305,"&gt;="&amp;B75)),IF(COUNTIFS(Invoices!$C$6:$C$305,C75,Invoices!$E$6:$E$305,"&lt;="&amp;B75,Invoices!$F$6:$F$305,"&gt;="&amp;B75)&gt;1,"Two invoices",""))))</f>
        <v/>
      </c>
      <c r="Q75" s="15">
        <f>IF(B75="","",IF(J75&lt;&gt;"","Not billable",IF(P75="","To invoice",IF(P75="Two invoices","Check dates",IF(ISNA(MATCH(P75,Invoices!$B$6:$B$305,0)),"Check number",IF(INDEX(Invoices!$M$6:$M$305,MATCH(P75,Invoices!$B$6:$B$305,0))="Paid","Paid",IF(INDEX(Invoices!$M$6:$M$305,MATCH(P75,Invoices!$B$6:$B$305,0))="Draft","Draft","Invoiced")))))))</f>
        <v/>
      </c>
      <c r="R75" s="1">
        <f>IF(AND(B75&lt;&gt;"",P75&lt;&gt;"",P75=Invoice!$G$4),B75+MOD(N(F75),1)+ROW()/10000000,"")</f>
        <v/>
      </c>
      <c r="S75">
        <f>IF(R75="","",IF(D75="","Other work",D75)&amp;IF(AND(K75&lt;&gt;"",E75&lt;&gt;""),", "&amp;E75,""))</f>
        <v/>
      </c>
      <c r="T75">
        <f>IF(R75="","",IF(COUNTIFS(R$6:R74,"&gt;0",S$6:S74,S75,N$6:N74,N75)=0,R75,""))</f>
        <v/>
      </c>
      <c r="U75">
        <f>IF(B75="","",IF(J75&lt;&gt;"",0,M75))</f>
        <v/>
      </c>
    </row>
    <row r="76">
      <c r="A76" s="1" t="n"/>
      <c r="B76" s="16" t="n">
        <v>46163</v>
      </c>
      <c r="C76" s="17" t="inlineStr">
        <is>
          <t>Greenleaf Studio</t>
        </is>
      </c>
      <c r="D76" s="18" t="inlineStr">
        <is>
          <t>Monthly social posts</t>
        </is>
      </c>
      <c r="E76" s="18" t="inlineStr">
        <is>
          <t>Captions and scheduling</t>
        </is>
      </c>
      <c r="F76" s="19" t="n">
        <v>0.375</v>
      </c>
      <c r="G76" s="19" t="n">
        <v>0.5208333333333334</v>
      </c>
      <c r="H76" s="20" t="n"/>
      <c r="I76" s="21" t="n"/>
      <c r="J76" s="22" t="n"/>
      <c r="K76" s="23" t="n"/>
      <c r="L76" s="18" t="n"/>
      <c r="M76" s="24">
        <f>IF(B76="","",IF(AND(F76&lt;&gt;"",G76&lt;&gt;""),MAX(0,ROUND(MOD(G76-F76,1)*24-N(H76)/60,2)),N(I76)))</f>
        <v/>
      </c>
      <c r="N76" s="14">
        <f>IF(B76="","",IF(K76&lt;&gt;"",K76,IF(N(IFERROR(INDEX(Projects!$D$6:$D$65,MATCH(D76,Projects!$B$6:$B$65,0)),""))&gt;0,IFERROR(INDEX(Projects!$D$6:$D$65,MATCH(D76,Projects!$B$6:$B$65,0)),""),IFERROR(INDEX(Clients!$G$6:$G$45,MATCH(C76,Clients!$B$6:$B$45,0)),0))))</f>
        <v/>
      </c>
      <c r="O76" s="14">
        <f>IF(B76="","",IF(J76&lt;&gt;"",0,ROUND(M76*N76,2)))</f>
        <v/>
      </c>
      <c r="P76" s="15">
        <f>IF(OR(B76="",J76&lt;&gt;""),"",IF(L76&lt;&gt;"",L76,IF(COUNTIFS(Invoices!$C$6:$C$305,C76,Invoices!$E$6:$E$305,"&lt;="&amp;B76,Invoices!$F$6:$F$305,"&gt;="&amp;B76)=1,INDEX(Invoices!$B$6:$B$305,SUMIFS(Invoices!$O$6:$O$305,Invoices!$C$6:$C$305,C76,Invoices!$E$6:$E$305,"&lt;="&amp;B76,Invoices!$F$6:$F$305,"&gt;="&amp;B76)),IF(COUNTIFS(Invoices!$C$6:$C$305,C76,Invoices!$E$6:$E$305,"&lt;="&amp;B76,Invoices!$F$6:$F$305,"&gt;="&amp;B76)&gt;1,"Two invoices",""))))</f>
        <v/>
      </c>
      <c r="Q76" s="15">
        <f>IF(B76="","",IF(J76&lt;&gt;"","Not billable",IF(P76="","To invoice",IF(P76="Two invoices","Check dates",IF(ISNA(MATCH(P76,Invoices!$B$6:$B$305,0)),"Check number",IF(INDEX(Invoices!$M$6:$M$305,MATCH(P76,Invoices!$B$6:$B$305,0))="Paid","Paid",IF(INDEX(Invoices!$M$6:$M$305,MATCH(P76,Invoices!$B$6:$B$305,0))="Draft","Draft","Invoiced")))))))</f>
        <v/>
      </c>
      <c r="R76" s="1">
        <f>IF(AND(B76&lt;&gt;"",P76&lt;&gt;"",P76=Invoice!$G$4),B76+MOD(N(F76),1)+ROW()/10000000,"")</f>
        <v/>
      </c>
      <c r="S76">
        <f>IF(R76="","",IF(D76="","Other work",D76)&amp;IF(AND(K76&lt;&gt;"",E76&lt;&gt;""),", "&amp;E76,""))</f>
        <v/>
      </c>
      <c r="T76">
        <f>IF(R76="","",IF(COUNTIFS(R$6:R75,"&gt;0",S$6:S75,S76,N$6:N75,N76)=0,R76,""))</f>
        <v/>
      </c>
      <c r="U76">
        <f>IF(B76="","",IF(J76&lt;&gt;"",0,M76))</f>
        <v/>
      </c>
    </row>
    <row r="77">
      <c r="A77" s="1" t="n"/>
      <c r="B77" s="16" t="n">
        <v>46164</v>
      </c>
      <c r="C77" s="17" t="inlineStr">
        <is>
          <t>Harbour Books</t>
        </is>
      </c>
      <c r="D77" s="18" t="inlineStr">
        <is>
          <t>Spring catalogue</t>
        </is>
      </c>
      <c r="E77" s="18" t="inlineStr">
        <is>
          <t>Proof corrections</t>
        </is>
      </c>
      <c r="F77" s="19" t="n">
        <v>0.3958333333333333</v>
      </c>
      <c r="G77" s="19" t="n">
        <v>0.4791666666666667</v>
      </c>
      <c r="H77" s="20" t="n"/>
      <c r="I77" s="21" t="n"/>
      <c r="J77" s="22" t="n"/>
      <c r="K77" s="23" t="n"/>
      <c r="L77" s="18" t="n"/>
      <c r="M77" s="24">
        <f>IF(B77="","",IF(AND(F77&lt;&gt;"",G77&lt;&gt;""),MAX(0,ROUND(MOD(G77-F77,1)*24-N(H77)/60,2)),N(I77)))</f>
        <v/>
      </c>
      <c r="N77" s="14">
        <f>IF(B77="","",IF(K77&lt;&gt;"",K77,IF(N(IFERROR(INDEX(Projects!$D$6:$D$65,MATCH(D77,Projects!$B$6:$B$65,0)),""))&gt;0,IFERROR(INDEX(Projects!$D$6:$D$65,MATCH(D77,Projects!$B$6:$B$65,0)),""),IFERROR(INDEX(Clients!$G$6:$G$45,MATCH(C77,Clients!$B$6:$B$45,0)),0))))</f>
        <v/>
      </c>
      <c r="O77" s="14">
        <f>IF(B77="","",IF(J77&lt;&gt;"",0,ROUND(M77*N77,2)))</f>
        <v/>
      </c>
      <c r="P77" s="15">
        <f>IF(OR(B77="",J77&lt;&gt;""),"",IF(L77&lt;&gt;"",L77,IF(COUNTIFS(Invoices!$C$6:$C$305,C77,Invoices!$E$6:$E$305,"&lt;="&amp;B77,Invoices!$F$6:$F$305,"&gt;="&amp;B77)=1,INDEX(Invoices!$B$6:$B$305,SUMIFS(Invoices!$O$6:$O$305,Invoices!$C$6:$C$305,C77,Invoices!$E$6:$E$305,"&lt;="&amp;B77,Invoices!$F$6:$F$305,"&gt;="&amp;B77)),IF(COUNTIFS(Invoices!$C$6:$C$305,C77,Invoices!$E$6:$E$305,"&lt;="&amp;B77,Invoices!$F$6:$F$305,"&gt;="&amp;B77)&gt;1,"Two invoices",""))))</f>
        <v/>
      </c>
      <c r="Q77" s="15">
        <f>IF(B77="","",IF(J77&lt;&gt;"","Not billable",IF(P77="","To invoice",IF(P77="Two invoices","Check dates",IF(ISNA(MATCH(P77,Invoices!$B$6:$B$305,0)),"Check number",IF(INDEX(Invoices!$M$6:$M$305,MATCH(P77,Invoices!$B$6:$B$305,0))="Paid","Paid",IF(INDEX(Invoices!$M$6:$M$305,MATCH(P77,Invoices!$B$6:$B$305,0))="Draft","Draft","Invoiced")))))))</f>
        <v/>
      </c>
      <c r="R77" s="1">
        <f>IF(AND(B77&lt;&gt;"",P77&lt;&gt;"",P77=Invoice!$G$4),B77+MOD(N(F77),1)+ROW()/10000000,"")</f>
        <v/>
      </c>
      <c r="S77">
        <f>IF(R77="","",IF(D77="","Other work",D77)&amp;IF(AND(K77&lt;&gt;"",E77&lt;&gt;""),", "&amp;E77,""))</f>
        <v/>
      </c>
      <c r="T77">
        <f>IF(R77="","",IF(COUNTIFS(R$6:R76,"&gt;0",S$6:S76,S77,N$6:N76,N77)=0,R77,""))</f>
        <v/>
      </c>
      <c r="U77">
        <f>IF(B77="","",IF(J77&lt;&gt;"",0,M77))</f>
        <v/>
      </c>
    </row>
    <row r="78">
      <c r="A78" s="1" t="n"/>
      <c r="B78" s="16" t="n">
        <v>46164</v>
      </c>
      <c r="C78" s="17" t="inlineStr">
        <is>
          <t>Harbour Books</t>
        </is>
      </c>
      <c r="D78" s="18" t="inlineStr">
        <is>
          <t>Spring catalogue</t>
        </is>
      </c>
      <c r="E78" s="18" t="inlineStr">
        <is>
          <t>Catalogue layout</t>
        </is>
      </c>
      <c r="F78" s="19" t="n">
        <v>0.5208333333333334</v>
      </c>
      <c r="G78" s="19" t="n">
        <v>0.5833333333333334</v>
      </c>
      <c r="H78" s="20" t="n"/>
      <c r="I78" s="21" t="n"/>
      <c r="J78" s="22" t="n"/>
      <c r="K78" s="23" t="n"/>
      <c r="L78" s="18" t="n"/>
      <c r="M78" s="24">
        <f>IF(B78="","",IF(AND(F78&lt;&gt;"",G78&lt;&gt;""),MAX(0,ROUND(MOD(G78-F78,1)*24-N(H78)/60,2)),N(I78)))</f>
        <v/>
      </c>
      <c r="N78" s="14">
        <f>IF(B78="","",IF(K78&lt;&gt;"",K78,IF(N(IFERROR(INDEX(Projects!$D$6:$D$65,MATCH(D78,Projects!$B$6:$B$65,0)),""))&gt;0,IFERROR(INDEX(Projects!$D$6:$D$65,MATCH(D78,Projects!$B$6:$B$65,0)),""),IFERROR(INDEX(Clients!$G$6:$G$45,MATCH(C78,Clients!$B$6:$B$45,0)),0))))</f>
        <v/>
      </c>
      <c r="O78" s="14">
        <f>IF(B78="","",IF(J78&lt;&gt;"",0,ROUND(M78*N78,2)))</f>
        <v/>
      </c>
      <c r="P78" s="15">
        <f>IF(OR(B78="",J78&lt;&gt;""),"",IF(L78&lt;&gt;"",L78,IF(COUNTIFS(Invoices!$C$6:$C$305,C78,Invoices!$E$6:$E$305,"&lt;="&amp;B78,Invoices!$F$6:$F$305,"&gt;="&amp;B78)=1,INDEX(Invoices!$B$6:$B$305,SUMIFS(Invoices!$O$6:$O$305,Invoices!$C$6:$C$305,C78,Invoices!$E$6:$E$305,"&lt;="&amp;B78,Invoices!$F$6:$F$305,"&gt;="&amp;B78)),IF(COUNTIFS(Invoices!$C$6:$C$305,C78,Invoices!$E$6:$E$305,"&lt;="&amp;B78,Invoices!$F$6:$F$305,"&gt;="&amp;B78)&gt;1,"Two invoices",""))))</f>
        <v/>
      </c>
      <c r="Q78" s="15">
        <f>IF(B78="","",IF(J78&lt;&gt;"","Not billable",IF(P78="","To invoice",IF(P78="Two invoices","Check dates",IF(ISNA(MATCH(P78,Invoices!$B$6:$B$305,0)),"Check number",IF(INDEX(Invoices!$M$6:$M$305,MATCH(P78,Invoices!$B$6:$B$305,0))="Paid","Paid",IF(INDEX(Invoices!$M$6:$M$305,MATCH(P78,Invoices!$B$6:$B$305,0))="Draft","Draft","Invoiced")))))))</f>
        <v/>
      </c>
      <c r="R78" s="1">
        <f>IF(AND(B78&lt;&gt;"",P78&lt;&gt;"",P78=Invoice!$G$4),B78+MOD(N(F78),1)+ROW()/10000000,"")</f>
        <v/>
      </c>
      <c r="S78">
        <f>IF(R78="","",IF(D78="","Other work",D78)&amp;IF(AND(K78&lt;&gt;"",E78&lt;&gt;""),", "&amp;E78,""))</f>
        <v/>
      </c>
      <c r="T78">
        <f>IF(R78="","",IF(COUNTIFS(R$6:R77,"&gt;0",S$6:S77,S78,N$6:N77,N78)=0,R78,""))</f>
        <v/>
      </c>
      <c r="U78">
        <f>IF(B78="","",IF(J78&lt;&gt;"",0,M78))</f>
        <v/>
      </c>
    </row>
    <row r="79">
      <c r="A79" s="1" t="n"/>
      <c r="B79" s="16" t="n">
        <v>46164</v>
      </c>
      <c r="C79" s="17" t="inlineStr">
        <is>
          <t>Greenleaf Studio</t>
        </is>
      </c>
      <c r="D79" s="18" t="inlineStr">
        <is>
          <t>Monthly social posts</t>
        </is>
      </c>
      <c r="E79" s="18" t="inlineStr">
        <is>
          <t>Post designs</t>
        </is>
      </c>
      <c r="F79" s="19" t="n">
        <v>0.59375</v>
      </c>
      <c r="G79" s="19" t="n">
        <v>0.6354166666666666</v>
      </c>
      <c r="H79" s="20" t="n"/>
      <c r="I79" s="21" t="n"/>
      <c r="J79" s="22" t="n"/>
      <c r="K79" s="23" t="n"/>
      <c r="L79" s="18" t="n"/>
      <c r="M79" s="24">
        <f>IF(B79="","",IF(AND(F79&lt;&gt;"",G79&lt;&gt;""),MAX(0,ROUND(MOD(G79-F79,1)*24-N(H79)/60,2)),N(I79)))</f>
        <v/>
      </c>
      <c r="N79" s="14">
        <f>IF(B79="","",IF(K79&lt;&gt;"",K79,IF(N(IFERROR(INDEX(Projects!$D$6:$D$65,MATCH(D79,Projects!$B$6:$B$65,0)),""))&gt;0,IFERROR(INDEX(Projects!$D$6:$D$65,MATCH(D79,Projects!$B$6:$B$65,0)),""),IFERROR(INDEX(Clients!$G$6:$G$45,MATCH(C79,Clients!$B$6:$B$45,0)),0))))</f>
        <v/>
      </c>
      <c r="O79" s="14">
        <f>IF(B79="","",IF(J79&lt;&gt;"",0,ROUND(M79*N79,2)))</f>
        <v/>
      </c>
      <c r="P79" s="15">
        <f>IF(OR(B79="",J79&lt;&gt;""),"",IF(L79&lt;&gt;"",L79,IF(COUNTIFS(Invoices!$C$6:$C$305,C79,Invoices!$E$6:$E$305,"&lt;="&amp;B79,Invoices!$F$6:$F$305,"&gt;="&amp;B79)=1,INDEX(Invoices!$B$6:$B$305,SUMIFS(Invoices!$O$6:$O$305,Invoices!$C$6:$C$305,C79,Invoices!$E$6:$E$305,"&lt;="&amp;B79,Invoices!$F$6:$F$305,"&gt;="&amp;B79)),IF(COUNTIFS(Invoices!$C$6:$C$305,C79,Invoices!$E$6:$E$305,"&lt;="&amp;B79,Invoices!$F$6:$F$305,"&gt;="&amp;B79)&gt;1,"Two invoices",""))))</f>
        <v/>
      </c>
      <c r="Q79" s="15">
        <f>IF(B79="","",IF(J79&lt;&gt;"","Not billable",IF(P79="","To invoice",IF(P79="Two invoices","Check dates",IF(ISNA(MATCH(P79,Invoices!$B$6:$B$305,0)),"Check number",IF(INDEX(Invoices!$M$6:$M$305,MATCH(P79,Invoices!$B$6:$B$305,0))="Paid","Paid",IF(INDEX(Invoices!$M$6:$M$305,MATCH(P79,Invoices!$B$6:$B$305,0))="Draft","Draft","Invoiced")))))))</f>
        <v/>
      </c>
      <c r="R79" s="1">
        <f>IF(AND(B79&lt;&gt;"",P79&lt;&gt;"",P79=Invoice!$G$4),B79+MOD(N(F79),1)+ROW()/10000000,"")</f>
        <v/>
      </c>
      <c r="S79">
        <f>IF(R79="","",IF(D79="","Other work",D79)&amp;IF(AND(K79&lt;&gt;"",E79&lt;&gt;""),", "&amp;E79,""))</f>
        <v/>
      </c>
      <c r="T79">
        <f>IF(R79="","",IF(COUNTIFS(R$6:R78,"&gt;0",S$6:S78,S79,N$6:N78,N79)=0,R79,""))</f>
        <v/>
      </c>
      <c r="U79">
        <f>IF(B79="","",IF(J79&lt;&gt;"",0,M79))</f>
        <v/>
      </c>
    </row>
    <row r="80">
      <c r="A80" s="1" t="n"/>
      <c r="B80" s="16" t="n">
        <v>46167</v>
      </c>
      <c r="C80" s="17" t="inlineStr">
        <is>
          <t>Greenleaf Studio</t>
        </is>
      </c>
      <c r="D80" s="18" t="inlineStr">
        <is>
          <t>Monthly social posts</t>
        </is>
      </c>
      <c r="E80" s="18" t="inlineStr">
        <is>
          <t>Monthly report</t>
        </is>
      </c>
      <c r="F80" s="19" t="n">
        <v>0.375</v>
      </c>
      <c r="G80" s="19" t="n">
        <v>0.4583333333333333</v>
      </c>
      <c r="H80" s="20" t="n"/>
      <c r="I80" s="21" t="n"/>
      <c r="J80" s="22" t="n"/>
      <c r="K80" s="23" t="n"/>
      <c r="L80" s="18" t="n"/>
      <c r="M80" s="24">
        <f>IF(B80="","",IF(AND(F80&lt;&gt;"",G80&lt;&gt;""),MAX(0,ROUND(MOD(G80-F80,1)*24-N(H80)/60,2)),N(I80)))</f>
        <v/>
      </c>
      <c r="N80" s="14">
        <f>IF(B80="","",IF(K80&lt;&gt;"",K80,IF(N(IFERROR(INDEX(Projects!$D$6:$D$65,MATCH(D80,Projects!$B$6:$B$65,0)),""))&gt;0,IFERROR(INDEX(Projects!$D$6:$D$65,MATCH(D80,Projects!$B$6:$B$65,0)),""),IFERROR(INDEX(Clients!$G$6:$G$45,MATCH(C80,Clients!$B$6:$B$45,0)),0))))</f>
        <v/>
      </c>
      <c r="O80" s="14">
        <f>IF(B80="","",IF(J80&lt;&gt;"",0,ROUND(M80*N80,2)))</f>
        <v/>
      </c>
      <c r="P80" s="15">
        <f>IF(OR(B80="",J80&lt;&gt;""),"",IF(L80&lt;&gt;"",L80,IF(COUNTIFS(Invoices!$C$6:$C$305,C80,Invoices!$E$6:$E$305,"&lt;="&amp;B80,Invoices!$F$6:$F$305,"&gt;="&amp;B80)=1,INDEX(Invoices!$B$6:$B$305,SUMIFS(Invoices!$O$6:$O$305,Invoices!$C$6:$C$305,C80,Invoices!$E$6:$E$305,"&lt;="&amp;B80,Invoices!$F$6:$F$305,"&gt;="&amp;B80)),IF(COUNTIFS(Invoices!$C$6:$C$305,C80,Invoices!$E$6:$E$305,"&lt;="&amp;B80,Invoices!$F$6:$F$305,"&gt;="&amp;B80)&gt;1,"Two invoices",""))))</f>
        <v/>
      </c>
      <c r="Q80" s="15">
        <f>IF(B80="","",IF(J80&lt;&gt;"","Not billable",IF(P80="","To invoice",IF(P80="Two invoices","Check dates",IF(ISNA(MATCH(P80,Invoices!$B$6:$B$305,0)),"Check number",IF(INDEX(Invoices!$M$6:$M$305,MATCH(P80,Invoices!$B$6:$B$305,0))="Paid","Paid",IF(INDEX(Invoices!$M$6:$M$305,MATCH(P80,Invoices!$B$6:$B$305,0))="Draft","Draft","Invoiced")))))))</f>
        <v/>
      </c>
      <c r="R80" s="1">
        <f>IF(AND(B80&lt;&gt;"",P80&lt;&gt;"",P80=Invoice!$G$4),B80+MOD(N(F80),1)+ROW()/10000000,"")</f>
        <v/>
      </c>
      <c r="S80">
        <f>IF(R80="","",IF(D80="","Other work",D80)&amp;IF(AND(K80&lt;&gt;"",E80&lt;&gt;""),", "&amp;E80,""))</f>
        <v/>
      </c>
      <c r="T80">
        <f>IF(R80="","",IF(COUNTIFS(R$6:R79,"&gt;0",S$6:S79,S80,N$6:N79,N80)=0,R80,""))</f>
        <v/>
      </c>
      <c r="U80">
        <f>IF(B80="","",IF(J80&lt;&gt;"",0,M80))</f>
        <v/>
      </c>
    </row>
    <row r="81">
      <c r="A81" s="1" t="n"/>
      <c r="B81" s="16" t="n">
        <v>46167</v>
      </c>
      <c r="C81" s="17" t="inlineStr">
        <is>
          <t>Greenleaf Studio</t>
        </is>
      </c>
      <c r="D81" s="18" t="inlineStr">
        <is>
          <t>Monthly social posts</t>
        </is>
      </c>
      <c r="E81" s="18" t="inlineStr">
        <is>
          <t>Post designs</t>
        </is>
      </c>
      <c r="F81" s="19" t="n">
        <v>0.4791666666666667</v>
      </c>
      <c r="G81" s="19" t="n">
        <v>0.625</v>
      </c>
      <c r="H81" s="20" t="n"/>
      <c r="I81" s="21" t="n"/>
      <c r="J81" s="22" t="n"/>
      <c r="K81" s="23" t="n"/>
      <c r="L81" s="18" t="n"/>
      <c r="M81" s="24">
        <f>IF(B81="","",IF(AND(F81&lt;&gt;"",G81&lt;&gt;""),MAX(0,ROUND(MOD(G81-F81,1)*24-N(H81)/60,2)),N(I81)))</f>
        <v/>
      </c>
      <c r="N81" s="14">
        <f>IF(B81="","",IF(K81&lt;&gt;"",K81,IF(N(IFERROR(INDEX(Projects!$D$6:$D$65,MATCH(D81,Projects!$B$6:$B$65,0)),""))&gt;0,IFERROR(INDEX(Projects!$D$6:$D$65,MATCH(D81,Projects!$B$6:$B$65,0)),""),IFERROR(INDEX(Clients!$G$6:$G$45,MATCH(C81,Clients!$B$6:$B$45,0)),0))))</f>
        <v/>
      </c>
      <c r="O81" s="14">
        <f>IF(B81="","",IF(J81&lt;&gt;"",0,ROUND(M81*N81,2)))</f>
        <v/>
      </c>
      <c r="P81" s="15">
        <f>IF(OR(B81="",J81&lt;&gt;""),"",IF(L81&lt;&gt;"",L81,IF(COUNTIFS(Invoices!$C$6:$C$305,C81,Invoices!$E$6:$E$305,"&lt;="&amp;B81,Invoices!$F$6:$F$305,"&gt;="&amp;B81)=1,INDEX(Invoices!$B$6:$B$305,SUMIFS(Invoices!$O$6:$O$305,Invoices!$C$6:$C$305,C81,Invoices!$E$6:$E$305,"&lt;="&amp;B81,Invoices!$F$6:$F$305,"&gt;="&amp;B81)),IF(COUNTIFS(Invoices!$C$6:$C$305,C81,Invoices!$E$6:$E$305,"&lt;="&amp;B81,Invoices!$F$6:$F$305,"&gt;="&amp;B81)&gt;1,"Two invoices",""))))</f>
        <v/>
      </c>
      <c r="Q81" s="15">
        <f>IF(B81="","",IF(J81&lt;&gt;"","Not billable",IF(P81="","To invoice",IF(P81="Two invoices","Check dates",IF(ISNA(MATCH(P81,Invoices!$B$6:$B$305,0)),"Check number",IF(INDEX(Invoices!$M$6:$M$305,MATCH(P81,Invoices!$B$6:$B$305,0))="Paid","Paid",IF(INDEX(Invoices!$M$6:$M$305,MATCH(P81,Invoices!$B$6:$B$305,0))="Draft","Draft","Invoiced")))))))</f>
        <v/>
      </c>
      <c r="R81" s="1">
        <f>IF(AND(B81&lt;&gt;"",P81&lt;&gt;"",P81=Invoice!$G$4),B81+MOD(N(F81),1)+ROW()/10000000,"")</f>
        <v/>
      </c>
      <c r="S81">
        <f>IF(R81="","",IF(D81="","Other work",D81)&amp;IF(AND(K81&lt;&gt;"",E81&lt;&gt;""),", "&amp;E81,""))</f>
        <v/>
      </c>
      <c r="T81">
        <f>IF(R81="","",IF(COUNTIFS(R$6:R80,"&gt;0",S$6:S80,S81,N$6:N80,N81)=0,R81,""))</f>
        <v/>
      </c>
      <c r="U81">
        <f>IF(B81="","",IF(J81&lt;&gt;"",0,M81))</f>
        <v/>
      </c>
    </row>
    <row r="82">
      <c r="A82" s="1" t="n"/>
      <c r="B82" s="16" t="n">
        <v>46167</v>
      </c>
      <c r="C82" s="17" t="inlineStr">
        <is>
          <t>Greenleaf Studio</t>
        </is>
      </c>
      <c r="D82" s="18" t="inlineStr">
        <is>
          <t>Monthly social posts</t>
        </is>
      </c>
      <c r="E82" s="18" t="inlineStr">
        <is>
          <t>Captions and scheduling</t>
        </is>
      </c>
      <c r="F82" s="19" t="n">
        <v>0.6354166666666666</v>
      </c>
      <c r="G82" s="19" t="n">
        <v>0.78125</v>
      </c>
      <c r="H82" s="20" t="n"/>
      <c r="I82" s="21" t="n"/>
      <c r="J82" s="22" t="n"/>
      <c r="K82" s="23" t="n"/>
      <c r="L82" s="18" t="n"/>
      <c r="M82" s="24">
        <f>IF(B82="","",IF(AND(F82&lt;&gt;"",G82&lt;&gt;""),MAX(0,ROUND(MOD(G82-F82,1)*24-N(H82)/60,2)),N(I82)))</f>
        <v/>
      </c>
      <c r="N82" s="14">
        <f>IF(B82="","",IF(K82&lt;&gt;"",K82,IF(N(IFERROR(INDEX(Projects!$D$6:$D$65,MATCH(D82,Projects!$B$6:$B$65,0)),""))&gt;0,IFERROR(INDEX(Projects!$D$6:$D$65,MATCH(D82,Projects!$B$6:$B$65,0)),""),IFERROR(INDEX(Clients!$G$6:$G$45,MATCH(C82,Clients!$B$6:$B$45,0)),0))))</f>
        <v/>
      </c>
      <c r="O82" s="14">
        <f>IF(B82="","",IF(J82&lt;&gt;"",0,ROUND(M82*N82,2)))</f>
        <v/>
      </c>
      <c r="P82" s="15">
        <f>IF(OR(B82="",J82&lt;&gt;""),"",IF(L82&lt;&gt;"",L82,IF(COUNTIFS(Invoices!$C$6:$C$305,C82,Invoices!$E$6:$E$305,"&lt;="&amp;B82,Invoices!$F$6:$F$305,"&gt;="&amp;B82)=1,INDEX(Invoices!$B$6:$B$305,SUMIFS(Invoices!$O$6:$O$305,Invoices!$C$6:$C$305,C82,Invoices!$E$6:$E$305,"&lt;="&amp;B82,Invoices!$F$6:$F$305,"&gt;="&amp;B82)),IF(COUNTIFS(Invoices!$C$6:$C$305,C82,Invoices!$E$6:$E$305,"&lt;="&amp;B82,Invoices!$F$6:$F$305,"&gt;="&amp;B82)&gt;1,"Two invoices",""))))</f>
        <v/>
      </c>
      <c r="Q82" s="15">
        <f>IF(B82="","",IF(J82&lt;&gt;"","Not billable",IF(P82="","To invoice",IF(P82="Two invoices","Check dates",IF(ISNA(MATCH(P82,Invoices!$B$6:$B$305,0)),"Check number",IF(INDEX(Invoices!$M$6:$M$305,MATCH(P82,Invoices!$B$6:$B$305,0))="Paid","Paid",IF(INDEX(Invoices!$M$6:$M$305,MATCH(P82,Invoices!$B$6:$B$305,0))="Draft","Draft","Invoiced")))))))</f>
        <v/>
      </c>
      <c r="R82" s="1">
        <f>IF(AND(B82&lt;&gt;"",P82&lt;&gt;"",P82=Invoice!$G$4),B82+MOD(N(F82),1)+ROW()/10000000,"")</f>
        <v/>
      </c>
      <c r="S82">
        <f>IF(R82="","",IF(D82="","Other work",D82)&amp;IF(AND(K82&lt;&gt;"",E82&lt;&gt;""),", "&amp;E82,""))</f>
        <v/>
      </c>
      <c r="T82">
        <f>IF(R82="","",IF(COUNTIFS(R$6:R81,"&gt;0",S$6:S81,S82,N$6:N81,N82)=0,R82,""))</f>
        <v/>
      </c>
      <c r="U82">
        <f>IF(B82="","",IF(J82&lt;&gt;"",0,M82))</f>
        <v/>
      </c>
    </row>
    <row r="83">
      <c r="A83" s="1" t="n"/>
      <c r="B83" s="16" t="n">
        <v>46168</v>
      </c>
      <c r="C83" s="17" t="inlineStr">
        <is>
          <t>Harbour Books</t>
        </is>
      </c>
      <c r="D83" s="18" t="inlineStr">
        <is>
          <t>Spring catalogue</t>
        </is>
      </c>
      <c r="E83" s="18" t="inlineStr">
        <is>
          <t>Product pages</t>
        </is>
      </c>
      <c r="F83" s="19" t="n"/>
      <c r="G83" s="19" t="n"/>
      <c r="H83" s="20" t="n"/>
      <c r="I83" s="21" t="n">
        <v>3.5</v>
      </c>
      <c r="J83" s="22" t="n"/>
      <c r="K83" s="23" t="n"/>
      <c r="L83" s="18" t="n"/>
      <c r="M83" s="24">
        <f>IF(B83="","",IF(AND(F83&lt;&gt;"",G83&lt;&gt;""),MAX(0,ROUND(MOD(G83-F83,1)*24-N(H83)/60,2)),N(I83)))</f>
        <v/>
      </c>
      <c r="N83" s="14">
        <f>IF(B83="","",IF(K83&lt;&gt;"",K83,IF(N(IFERROR(INDEX(Projects!$D$6:$D$65,MATCH(D83,Projects!$B$6:$B$65,0)),""))&gt;0,IFERROR(INDEX(Projects!$D$6:$D$65,MATCH(D83,Projects!$B$6:$B$65,0)),""),IFERROR(INDEX(Clients!$G$6:$G$45,MATCH(C83,Clients!$B$6:$B$45,0)),0))))</f>
        <v/>
      </c>
      <c r="O83" s="14">
        <f>IF(B83="","",IF(J83&lt;&gt;"",0,ROUND(M83*N83,2)))</f>
        <v/>
      </c>
      <c r="P83" s="15">
        <f>IF(OR(B83="",J83&lt;&gt;""),"",IF(L83&lt;&gt;"",L83,IF(COUNTIFS(Invoices!$C$6:$C$305,C83,Invoices!$E$6:$E$305,"&lt;="&amp;B83,Invoices!$F$6:$F$305,"&gt;="&amp;B83)=1,INDEX(Invoices!$B$6:$B$305,SUMIFS(Invoices!$O$6:$O$305,Invoices!$C$6:$C$305,C83,Invoices!$E$6:$E$305,"&lt;="&amp;B83,Invoices!$F$6:$F$305,"&gt;="&amp;B83)),IF(COUNTIFS(Invoices!$C$6:$C$305,C83,Invoices!$E$6:$E$305,"&lt;="&amp;B83,Invoices!$F$6:$F$305,"&gt;="&amp;B83)&gt;1,"Two invoices",""))))</f>
        <v/>
      </c>
      <c r="Q83" s="15">
        <f>IF(B83="","",IF(J83&lt;&gt;"","Not billable",IF(P83="","To invoice",IF(P83="Two invoices","Check dates",IF(ISNA(MATCH(P83,Invoices!$B$6:$B$305,0)),"Check number",IF(INDEX(Invoices!$M$6:$M$305,MATCH(P83,Invoices!$B$6:$B$305,0))="Paid","Paid",IF(INDEX(Invoices!$M$6:$M$305,MATCH(P83,Invoices!$B$6:$B$305,0))="Draft","Draft","Invoiced")))))))</f>
        <v/>
      </c>
      <c r="R83" s="1">
        <f>IF(AND(B83&lt;&gt;"",P83&lt;&gt;"",P83=Invoice!$G$4),B83+MOD(N(F83),1)+ROW()/10000000,"")</f>
        <v/>
      </c>
      <c r="S83">
        <f>IF(R83="","",IF(D83="","Other work",D83)&amp;IF(AND(K83&lt;&gt;"",E83&lt;&gt;""),", "&amp;E83,""))</f>
        <v/>
      </c>
      <c r="T83">
        <f>IF(R83="","",IF(COUNTIFS(R$6:R82,"&gt;0",S$6:S82,S83,N$6:N82,N83)=0,R83,""))</f>
        <v/>
      </c>
      <c r="U83">
        <f>IF(B83="","",IF(J83&lt;&gt;"",0,M83))</f>
        <v/>
      </c>
    </row>
    <row r="84">
      <c r="A84" s="1" t="n"/>
      <c r="B84" s="16" t="n">
        <v>46168</v>
      </c>
      <c r="C84" s="17" t="inlineStr">
        <is>
          <t>Greenleaf Studio</t>
        </is>
      </c>
      <c r="D84" s="18" t="inlineStr">
        <is>
          <t>Monthly social posts</t>
        </is>
      </c>
      <c r="E84" s="18" t="inlineStr">
        <is>
          <t>Captions and scheduling</t>
        </is>
      </c>
      <c r="F84" s="19" t="n"/>
      <c r="G84" s="19" t="n"/>
      <c r="H84" s="20" t="n"/>
      <c r="I84" s="21" t="n">
        <v>2</v>
      </c>
      <c r="J84" s="22" t="n"/>
      <c r="K84" s="23" t="n"/>
      <c r="L84" s="18" t="n"/>
      <c r="M84" s="24">
        <f>IF(B84="","",IF(AND(F84&lt;&gt;"",G84&lt;&gt;""),MAX(0,ROUND(MOD(G84-F84,1)*24-N(H84)/60,2)),N(I84)))</f>
        <v/>
      </c>
      <c r="N84" s="14">
        <f>IF(B84="","",IF(K84&lt;&gt;"",K84,IF(N(IFERROR(INDEX(Projects!$D$6:$D$65,MATCH(D84,Projects!$B$6:$B$65,0)),""))&gt;0,IFERROR(INDEX(Projects!$D$6:$D$65,MATCH(D84,Projects!$B$6:$B$65,0)),""),IFERROR(INDEX(Clients!$G$6:$G$45,MATCH(C84,Clients!$B$6:$B$45,0)),0))))</f>
        <v/>
      </c>
      <c r="O84" s="14">
        <f>IF(B84="","",IF(J84&lt;&gt;"",0,ROUND(M84*N84,2)))</f>
        <v/>
      </c>
      <c r="P84" s="15">
        <f>IF(OR(B84="",J84&lt;&gt;""),"",IF(L84&lt;&gt;"",L84,IF(COUNTIFS(Invoices!$C$6:$C$305,C84,Invoices!$E$6:$E$305,"&lt;="&amp;B84,Invoices!$F$6:$F$305,"&gt;="&amp;B84)=1,INDEX(Invoices!$B$6:$B$305,SUMIFS(Invoices!$O$6:$O$305,Invoices!$C$6:$C$305,C84,Invoices!$E$6:$E$305,"&lt;="&amp;B84,Invoices!$F$6:$F$305,"&gt;="&amp;B84)),IF(COUNTIFS(Invoices!$C$6:$C$305,C84,Invoices!$E$6:$E$305,"&lt;="&amp;B84,Invoices!$F$6:$F$305,"&gt;="&amp;B84)&gt;1,"Two invoices",""))))</f>
        <v/>
      </c>
      <c r="Q84" s="15">
        <f>IF(B84="","",IF(J84&lt;&gt;"","Not billable",IF(P84="","To invoice",IF(P84="Two invoices","Check dates",IF(ISNA(MATCH(P84,Invoices!$B$6:$B$305,0)),"Check number",IF(INDEX(Invoices!$M$6:$M$305,MATCH(P84,Invoices!$B$6:$B$305,0))="Paid","Paid",IF(INDEX(Invoices!$M$6:$M$305,MATCH(P84,Invoices!$B$6:$B$305,0))="Draft","Draft","Invoiced")))))))</f>
        <v/>
      </c>
      <c r="R84" s="1">
        <f>IF(AND(B84&lt;&gt;"",P84&lt;&gt;"",P84=Invoice!$G$4),B84+MOD(N(F84),1)+ROW()/10000000,"")</f>
        <v/>
      </c>
      <c r="S84">
        <f>IF(R84="","",IF(D84="","Other work",D84)&amp;IF(AND(K84&lt;&gt;"",E84&lt;&gt;""),", "&amp;E84,""))</f>
        <v/>
      </c>
      <c r="T84">
        <f>IF(R84="","",IF(COUNTIFS(R$6:R83,"&gt;0",S$6:S83,S84,N$6:N83,N84)=0,R84,""))</f>
        <v/>
      </c>
      <c r="U84">
        <f>IF(B84="","",IF(J84&lt;&gt;"",0,M84))</f>
        <v/>
      </c>
    </row>
    <row r="85">
      <c r="A85" s="1" t="n"/>
      <c r="B85" s="16" t="n">
        <v>46168</v>
      </c>
      <c r="C85" s="17" t="inlineStr">
        <is>
          <t>Greenleaf Studio</t>
        </is>
      </c>
      <c r="D85" s="18" t="inlineStr">
        <is>
          <t>Monthly social posts</t>
        </is>
      </c>
      <c r="E85" s="18" t="inlineStr">
        <is>
          <t>Post designs</t>
        </is>
      </c>
      <c r="F85" s="19" t="n">
        <v>0.375</v>
      </c>
      <c r="G85" s="19" t="n">
        <v>0.4583333333333333</v>
      </c>
      <c r="H85" s="20" t="n"/>
      <c r="I85" s="21" t="n"/>
      <c r="J85" s="22" t="n"/>
      <c r="K85" s="23" t="n"/>
      <c r="L85" s="18" t="n"/>
      <c r="M85" s="24">
        <f>IF(B85="","",IF(AND(F85&lt;&gt;"",G85&lt;&gt;""),MAX(0,ROUND(MOD(G85-F85,1)*24-N(H85)/60,2)),N(I85)))</f>
        <v/>
      </c>
      <c r="N85" s="14">
        <f>IF(B85="","",IF(K85&lt;&gt;"",K85,IF(N(IFERROR(INDEX(Projects!$D$6:$D$65,MATCH(D85,Projects!$B$6:$B$65,0)),""))&gt;0,IFERROR(INDEX(Projects!$D$6:$D$65,MATCH(D85,Projects!$B$6:$B$65,0)),""),IFERROR(INDEX(Clients!$G$6:$G$45,MATCH(C85,Clients!$B$6:$B$45,0)),0))))</f>
        <v/>
      </c>
      <c r="O85" s="14">
        <f>IF(B85="","",IF(J85&lt;&gt;"",0,ROUND(M85*N85,2)))</f>
        <v/>
      </c>
      <c r="P85" s="15">
        <f>IF(OR(B85="",J85&lt;&gt;""),"",IF(L85&lt;&gt;"",L85,IF(COUNTIFS(Invoices!$C$6:$C$305,C85,Invoices!$E$6:$E$305,"&lt;="&amp;B85,Invoices!$F$6:$F$305,"&gt;="&amp;B85)=1,INDEX(Invoices!$B$6:$B$305,SUMIFS(Invoices!$O$6:$O$305,Invoices!$C$6:$C$305,C85,Invoices!$E$6:$E$305,"&lt;="&amp;B85,Invoices!$F$6:$F$305,"&gt;="&amp;B85)),IF(COUNTIFS(Invoices!$C$6:$C$305,C85,Invoices!$E$6:$E$305,"&lt;="&amp;B85,Invoices!$F$6:$F$305,"&gt;="&amp;B85)&gt;1,"Two invoices",""))))</f>
        <v/>
      </c>
      <c r="Q85" s="15">
        <f>IF(B85="","",IF(J85&lt;&gt;"","Not billable",IF(P85="","To invoice",IF(P85="Two invoices","Check dates",IF(ISNA(MATCH(P85,Invoices!$B$6:$B$305,0)),"Check number",IF(INDEX(Invoices!$M$6:$M$305,MATCH(P85,Invoices!$B$6:$B$305,0))="Paid","Paid",IF(INDEX(Invoices!$M$6:$M$305,MATCH(P85,Invoices!$B$6:$B$305,0))="Draft","Draft","Invoiced")))))))</f>
        <v/>
      </c>
      <c r="R85" s="1">
        <f>IF(AND(B85&lt;&gt;"",P85&lt;&gt;"",P85=Invoice!$G$4),B85+MOD(N(F85),1)+ROW()/10000000,"")</f>
        <v/>
      </c>
      <c r="S85">
        <f>IF(R85="","",IF(D85="","Other work",D85)&amp;IF(AND(K85&lt;&gt;"",E85&lt;&gt;""),", "&amp;E85,""))</f>
        <v/>
      </c>
      <c r="T85">
        <f>IF(R85="","",IF(COUNTIFS(R$6:R84,"&gt;0",S$6:S84,S85,N$6:N84,N85)=0,R85,""))</f>
        <v/>
      </c>
      <c r="U85">
        <f>IF(B85="","",IF(J85&lt;&gt;"",0,M85))</f>
        <v/>
      </c>
    </row>
    <row r="86">
      <c r="A86" s="1" t="n"/>
      <c r="B86" s="16" t="n">
        <v>46169</v>
      </c>
      <c r="C86" s="17" t="inlineStr">
        <is>
          <t>Greenleaf Studio</t>
        </is>
      </c>
      <c r="D86" s="18" t="inlineStr">
        <is>
          <t>Monthly social posts</t>
        </is>
      </c>
      <c r="E86" s="18" t="inlineStr">
        <is>
          <t>Captions and scheduling</t>
        </is>
      </c>
      <c r="F86" s="19" t="n"/>
      <c r="G86" s="19" t="n"/>
      <c r="H86" s="20" t="n"/>
      <c r="I86" s="21" t="n">
        <v>2.5</v>
      </c>
      <c r="J86" s="22" t="n"/>
      <c r="K86" s="23" t="n"/>
      <c r="L86" s="18" t="n"/>
      <c r="M86" s="24">
        <f>IF(B86="","",IF(AND(F86&lt;&gt;"",G86&lt;&gt;""),MAX(0,ROUND(MOD(G86-F86,1)*24-N(H86)/60,2)),N(I86)))</f>
        <v/>
      </c>
      <c r="N86" s="14">
        <f>IF(B86="","",IF(K86&lt;&gt;"",K86,IF(N(IFERROR(INDEX(Projects!$D$6:$D$65,MATCH(D86,Projects!$B$6:$B$65,0)),""))&gt;0,IFERROR(INDEX(Projects!$D$6:$D$65,MATCH(D86,Projects!$B$6:$B$65,0)),""),IFERROR(INDEX(Clients!$G$6:$G$45,MATCH(C86,Clients!$B$6:$B$45,0)),0))))</f>
        <v/>
      </c>
      <c r="O86" s="14">
        <f>IF(B86="","",IF(J86&lt;&gt;"",0,ROUND(M86*N86,2)))</f>
        <v/>
      </c>
      <c r="P86" s="15">
        <f>IF(OR(B86="",J86&lt;&gt;""),"",IF(L86&lt;&gt;"",L86,IF(COUNTIFS(Invoices!$C$6:$C$305,C86,Invoices!$E$6:$E$305,"&lt;="&amp;B86,Invoices!$F$6:$F$305,"&gt;="&amp;B86)=1,INDEX(Invoices!$B$6:$B$305,SUMIFS(Invoices!$O$6:$O$305,Invoices!$C$6:$C$305,C86,Invoices!$E$6:$E$305,"&lt;="&amp;B86,Invoices!$F$6:$F$305,"&gt;="&amp;B86)),IF(COUNTIFS(Invoices!$C$6:$C$305,C86,Invoices!$E$6:$E$305,"&lt;="&amp;B86,Invoices!$F$6:$F$305,"&gt;="&amp;B86)&gt;1,"Two invoices",""))))</f>
        <v/>
      </c>
      <c r="Q86" s="15">
        <f>IF(B86="","",IF(J86&lt;&gt;"","Not billable",IF(P86="","To invoice",IF(P86="Two invoices","Check dates",IF(ISNA(MATCH(P86,Invoices!$B$6:$B$305,0)),"Check number",IF(INDEX(Invoices!$M$6:$M$305,MATCH(P86,Invoices!$B$6:$B$305,0))="Paid","Paid",IF(INDEX(Invoices!$M$6:$M$305,MATCH(P86,Invoices!$B$6:$B$305,0))="Draft","Draft","Invoiced")))))))</f>
        <v/>
      </c>
      <c r="R86" s="1">
        <f>IF(AND(B86&lt;&gt;"",P86&lt;&gt;"",P86=Invoice!$G$4),B86+MOD(N(F86),1)+ROW()/10000000,"")</f>
        <v/>
      </c>
      <c r="S86">
        <f>IF(R86="","",IF(D86="","Other work",D86)&amp;IF(AND(K86&lt;&gt;"",E86&lt;&gt;""),", "&amp;E86,""))</f>
        <v/>
      </c>
      <c r="T86">
        <f>IF(R86="","",IF(COUNTIFS(R$6:R85,"&gt;0",S$6:S85,S86,N$6:N85,N86)=0,R86,""))</f>
        <v/>
      </c>
      <c r="U86">
        <f>IF(B86="","",IF(J86&lt;&gt;"",0,M86))</f>
        <v/>
      </c>
    </row>
    <row r="87">
      <c r="A87" s="1" t="n"/>
      <c r="B87" s="16" t="n">
        <v>46169</v>
      </c>
      <c r="C87" s="17" t="inlineStr">
        <is>
          <t>Greenleaf Studio</t>
        </is>
      </c>
      <c r="D87" s="18" t="inlineStr">
        <is>
          <t>Monthly social posts</t>
        </is>
      </c>
      <c r="E87" s="18" t="inlineStr">
        <is>
          <t>Captions and scheduling</t>
        </is>
      </c>
      <c r="F87" s="19" t="n">
        <v>0.375</v>
      </c>
      <c r="G87" s="19" t="n">
        <v>0.4166666666666667</v>
      </c>
      <c r="H87" s="20" t="n"/>
      <c r="I87" s="21" t="n"/>
      <c r="J87" s="22" t="n"/>
      <c r="K87" s="23" t="n"/>
      <c r="L87" s="18" t="n"/>
      <c r="M87" s="24">
        <f>IF(B87="","",IF(AND(F87&lt;&gt;"",G87&lt;&gt;""),MAX(0,ROUND(MOD(G87-F87,1)*24-N(H87)/60,2)),N(I87)))</f>
        <v/>
      </c>
      <c r="N87" s="14">
        <f>IF(B87="","",IF(K87&lt;&gt;"",K87,IF(N(IFERROR(INDEX(Projects!$D$6:$D$65,MATCH(D87,Projects!$B$6:$B$65,0)),""))&gt;0,IFERROR(INDEX(Projects!$D$6:$D$65,MATCH(D87,Projects!$B$6:$B$65,0)),""),IFERROR(INDEX(Clients!$G$6:$G$45,MATCH(C87,Clients!$B$6:$B$45,0)),0))))</f>
        <v/>
      </c>
      <c r="O87" s="14">
        <f>IF(B87="","",IF(J87&lt;&gt;"",0,ROUND(M87*N87,2)))</f>
        <v/>
      </c>
      <c r="P87" s="15">
        <f>IF(OR(B87="",J87&lt;&gt;""),"",IF(L87&lt;&gt;"",L87,IF(COUNTIFS(Invoices!$C$6:$C$305,C87,Invoices!$E$6:$E$305,"&lt;="&amp;B87,Invoices!$F$6:$F$305,"&gt;="&amp;B87)=1,INDEX(Invoices!$B$6:$B$305,SUMIFS(Invoices!$O$6:$O$305,Invoices!$C$6:$C$305,C87,Invoices!$E$6:$E$305,"&lt;="&amp;B87,Invoices!$F$6:$F$305,"&gt;="&amp;B87)),IF(COUNTIFS(Invoices!$C$6:$C$305,C87,Invoices!$E$6:$E$305,"&lt;="&amp;B87,Invoices!$F$6:$F$305,"&gt;="&amp;B87)&gt;1,"Two invoices",""))))</f>
        <v/>
      </c>
      <c r="Q87" s="15">
        <f>IF(B87="","",IF(J87&lt;&gt;"","Not billable",IF(P87="","To invoice",IF(P87="Two invoices","Check dates",IF(ISNA(MATCH(P87,Invoices!$B$6:$B$305,0)),"Check number",IF(INDEX(Invoices!$M$6:$M$305,MATCH(P87,Invoices!$B$6:$B$305,0))="Paid","Paid",IF(INDEX(Invoices!$M$6:$M$305,MATCH(P87,Invoices!$B$6:$B$305,0))="Draft","Draft","Invoiced")))))))</f>
        <v/>
      </c>
      <c r="R87" s="1">
        <f>IF(AND(B87&lt;&gt;"",P87&lt;&gt;"",P87=Invoice!$G$4),B87+MOD(N(F87),1)+ROW()/10000000,"")</f>
        <v/>
      </c>
      <c r="S87">
        <f>IF(R87="","",IF(D87="","Other work",D87)&amp;IF(AND(K87&lt;&gt;"",E87&lt;&gt;""),", "&amp;E87,""))</f>
        <v/>
      </c>
      <c r="T87">
        <f>IF(R87="","",IF(COUNTIFS(R$6:R86,"&gt;0",S$6:S86,S87,N$6:N86,N87)=0,R87,""))</f>
        <v/>
      </c>
      <c r="U87">
        <f>IF(B87="","",IF(J87&lt;&gt;"",0,M87))</f>
        <v/>
      </c>
    </row>
    <row r="88">
      <c r="A88" s="1" t="n"/>
      <c r="B88" s="16" t="n">
        <v>46170</v>
      </c>
      <c r="C88" s="17" t="inlineStr">
        <is>
          <t>Greenleaf Studio</t>
        </is>
      </c>
      <c r="D88" s="18" t="inlineStr">
        <is>
          <t>Monthly social posts</t>
        </is>
      </c>
      <c r="E88" s="18" t="inlineStr">
        <is>
          <t>Post designs</t>
        </is>
      </c>
      <c r="F88" s="19" t="n">
        <v>0.3958333333333333</v>
      </c>
      <c r="G88" s="19" t="n">
        <v>0.5208333333333334</v>
      </c>
      <c r="H88" s="20" t="n"/>
      <c r="I88" s="21" t="n"/>
      <c r="J88" s="22" t="n"/>
      <c r="K88" s="23" t="n"/>
      <c r="L88" s="18" t="n"/>
      <c r="M88" s="24">
        <f>IF(B88="","",IF(AND(F88&lt;&gt;"",G88&lt;&gt;""),MAX(0,ROUND(MOD(G88-F88,1)*24-N(H88)/60,2)),N(I88)))</f>
        <v/>
      </c>
      <c r="N88" s="14">
        <f>IF(B88="","",IF(K88&lt;&gt;"",K88,IF(N(IFERROR(INDEX(Projects!$D$6:$D$65,MATCH(D88,Projects!$B$6:$B$65,0)),""))&gt;0,IFERROR(INDEX(Projects!$D$6:$D$65,MATCH(D88,Projects!$B$6:$B$65,0)),""),IFERROR(INDEX(Clients!$G$6:$G$45,MATCH(C88,Clients!$B$6:$B$45,0)),0))))</f>
        <v/>
      </c>
      <c r="O88" s="14">
        <f>IF(B88="","",IF(J88&lt;&gt;"",0,ROUND(M88*N88,2)))</f>
        <v/>
      </c>
      <c r="P88" s="15">
        <f>IF(OR(B88="",J88&lt;&gt;""),"",IF(L88&lt;&gt;"",L88,IF(COUNTIFS(Invoices!$C$6:$C$305,C88,Invoices!$E$6:$E$305,"&lt;="&amp;B88,Invoices!$F$6:$F$305,"&gt;="&amp;B88)=1,INDEX(Invoices!$B$6:$B$305,SUMIFS(Invoices!$O$6:$O$305,Invoices!$C$6:$C$305,C88,Invoices!$E$6:$E$305,"&lt;="&amp;B88,Invoices!$F$6:$F$305,"&gt;="&amp;B88)),IF(COUNTIFS(Invoices!$C$6:$C$305,C88,Invoices!$E$6:$E$305,"&lt;="&amp;B88,Invoices!$F$6:$F$305,"&gt;="&amp;B88)&gt;1,"Two invoices",""))))</f>
        <v/>
      </c>
      <c r="Q88" s="15">
        <f>IF(B88="","",IF(J88&lt;&gt;"","Not billable",IF(P88="","To invoice",IF(P88="Two invoices","Check dates",IF(ISNA(MATCH(P88,Invoices!$B$6:$B$305,0)),"Check number",IF(INDEX(Invoices!$M$6:$M$305,MATCH(P88,Invoices!$B$6:$B$305,0))="Paid","Paid",IF(INDEX(Invoices!$M$6:$M$305,MATCH(P88,Invoices!$B$6:$B$305,0))="Draft","Draft","Invoiced")))))))</f>
        <v/>
      </c>
      <c r="R88" s="1">
        <f>IF(AND(B88&lt;&gt;"",P88&lt;&gt;"",P88=Invoice!$G$4),B88+MOD(N(F88),1)+ROW()/10000000,"")</f>
        <v/>
      </c>
      <c r="S88">
        <f>IF(R88="","",IF(D88="","Other work",D88)&amp;IF(AND(K88&lt;&gt;"",E88&lt;&gt;""),", "&amp;E88,""))</f>
        <v/>
      </c>
      <c r="T88">
        <f>IF(R88="","",IF(COUNTIFS(R$6:R87,"&gt;0",S$6:S87,S88,N$6:N87,N88)=0,R88,""))</f>
        <v/>
      </c>
      <c r="U88">
        <f>IF(B88="","",IF(J88&lt;&gt;"",0,M88))</f>
        <v/>
      </c>
    </row>
    <row r="89">
      <c r="A89" s="1" t="n"/>
      <c r="B89" s="16" t="n">
        <v>46171</v>
      </c>
      <c r="C89" s="17" t="inlineStr">
        <is>
          <t>Harbour Books</t>
        </is>
      </c>
      <c r="D89" s="18" t="inlineStr">
        <is>
          <t>Spring catalogue</t>
        </is>
      </c>
      <c r="E89" s="18" t="inlineStr">
        <is>
          <t>Catalogue layout</t>
        </is>
      </c>
      <c r="F89" s="19" t="n">
        <v>0.3958333333333333</v>
      </c>
      <c r="G89" s="19" t="n">
        <v>0.53125</v>
      </c>
      <c r="H89" s="20" t="n">
        <v>15</v>
      </c>
      <c r="I89" s="21" t="n"/>
      <c r="J89" s="22" t="n"/>
      <c r="K89" s="23" t="n"/>
      <c r="L89" s="18" t="n"/>
      <c r="M89" s="24">
        <f>IF(B89="","",IF(AND(F89&lt;&gt;"",G89&lt;&gt;""),MAX(0,ROUND(MOD(G89-F89,1)*24-N(H89)/60,2)),N(I89)))</f>
        <v/>
      </c>
      <c r="N89" s="14">
        <f>IF(B89="","",IF(K89&lt;&gt;"",K89,IF(N(IFERROR(INDEX(Projects!$D$6:$D$65,MATCH(D89,Projects!$B$6:$B$65,0)),""))&gt;0,IFERROR(INDEX(Projects!$D$6:$D$65,MATCH(D89,Projects!$B$6:$B$65,0)),""),IFERROR(INDEX(Clients!$G$6:$G$45,MATCH(C89,Clients!$B$6:$B$45,0)),0))))</f>
        <v/>
      </c>
      <c r="O89" s="14">
        <f>IF(B89="","",IF(J89&lt;&gt;"",0,ROUND(M89*N89,2)))</f>
        <v/>
      </c>
      <c r="P89" s="15">
        <f>IF(OR(B89="",J89&lt;&gt;""),"",IF(L89&lt;&gt;"",L89,IF(COUNTIFS(Invoices!$C$6:$C$305,C89,Invoices!$E$6:$E$305,"&lt;="&amp;B89,Invoices!$F$6:$F$305,"&gt;="&amp;B89)=1,INDEX(Invoices!$B$6:$B$305,SUMIFS(Invoices!$O$6:$O$305,Invoices!$C$6:$C$305,C89,Invoices!$E$6:$E$305,"&lt;="&amp;B89,Invoices!$F$6:$F$305,"&gt;="&amp;B89)),IF(COUNTIFS(Invoices!$C$6:$C$305,C89,Invoices!$E$6:$E$305,"&lt;="&amp;B89,Invoices!$F$6:$F$305,"&gt;="&amp;B89)&gt;1,"Two invoices",""))))</f>
        <v/>
      </c>
      <c r="Q89" s="15">
        <f>IF(B89="","",IF(J89&lt;&gt;"","Not billable",IF(P89="","To invoice",IF(P89="Two invoices","Check dates",IF(ISNA(MATCH(P89,Invoices!$B$6:$B$305,0)),"Check number",IF(INDEX(Invoices!$M$6:$M$305,MATCH(P89,Invoices!$B$6:$B$305,0))="Paid","Paid",IF(INDEX(Invoices!$M$6:$M$305,MATCH(P89,Invoices!$B$6:$B$305,0))="Draft","Draft","Invoiced")))))))</f>
        <v/>
      </c>
      <c r="R89" s="1">
        <f>IF(AND(B89&lt;&gt;"",P89&lt;&gt;"",P89=Invoice!$G$4),B89+MOD(N(F89),1)+ROW()/10000000,"")</f>
        <v/>
      </c>
      <c r="S89">
        <f>IF(R89="","",IF(D89="","Other work",D89)&amp;IF(AND(K89&lt;&gt;"",E89&lt;&gt;""),", "&amp;E89,""))</f>
        <v/>
      </c>
      <c r="T89">
        <f>IF(R89="","",IF(COUNTIFS(R$6:R88,"&gt;0",S$6:S88,S89,N$6:N88,N89)=0,R89,""))</f>
        <v/>
      </c>
      <c r="U89">
        <f>IF(B89="","",IF(J89&lt;&gt;"",0,M89))</f>
        <v/>
      </c>
    </row>
    <row r="90">
      <c r="A90" s="1" t="n"/>
      <c r="B90" s="16" t="n">
        <v>46171</v>
      </c>
      <c r="C90" s="17" t="inlineStr">
        <is>
          <t>Greenleaf Studio</t>
        </is>
      </c>
      <c r="D90" s="18" t="inlineStr">
        <is>
          <t>Monthly social posts</t>
        </is>
      </c>
      <c r="E90" s="18" t="inlineStr">
        <is>
          <t>Captions and scheduling</t>
        </is>
      </c>
      <c r="F90" s="19" t="n">
        <v>0.5729166666666666</v>
      </c>
      <c r="G90" s="19" t="n">
        <v>0.65625</v>
      </c>
      <c r="H90" s="20" t="n"/>
      <c r="I90" s="21" t="n"/>
      <c r="J90" s="22" t="n"/>
      <c r="K90" s="23" t="n"/>
      <c r="L90" s="18" t="n"/>
      <c r="M90" s="24">
        <f>IF(B90="","",IF(AND(F90&lt;&gt;"",G90&lt;&gt;""),MAX(0,ROUND(MOD(G90-F90,1)*24-N(H90)/60,2)),N(I90)))</f>
        <v/>
      </c>
      <c r="N90" s="14">
        <f>IF(B90="","",IF(K90&lt;&gt;"",K90,IF(N(IFERROR(INDEX(Projects!$D$6:$D$65,MATCH(D90,Projects!$B$6:$B$65,0)),""))&gt;0,IFERROR(INDEX(Projects!$D$6:$D$65,MATCH(D90,Projects!$B$6:$B$65,0)),""),IFERROR(INDEX(Clients!$G$6:$G$45,MATCH(C90,Clients!$B$6:$B$45,0)),0))))</f>
        <v/>
      </c>
      <c r="O90" s="14">
        <f>IF(B90="","",IF(J90&lt;&gt;"",0,ROUND(M90*N90,2)))</f>
        <v/>
      </c>
      <c r="P90" s="15">
        <f>IF(OR(B90="",J90&lt;&gt;""),"",IF(L90&lt;&gt;"",L90,IF(COUNTIFS(Invoices!$C$6:$C$305,C90,Invoices!$E$6:$E$305,"&lt;="&amp;B90,Invoices!$F$6:$F$305,"&gt;="&amp;B90)=1,INDEX(Invoices!$B$6:$B$305,SUMIFS(Invoices!$O$6:$O$305,Invoices!$C$6:$C$305,C90,Invoices!$E$6:$E$305,"&lt;="&amp;B90,Invoices!$F$6:$F$305,"&gt;="&amp;B90)),IF(COUNTIFS(Invoices!$C$6:$C$305,C90,Invoices!$E$6:$E$305,"&lt;="&amp;B90,Invoices!$F$6:$F$305,"&gt;="&amp;B90)&gt;1,"Two invoices",""))))</f>
        <v/>
      </c>
      <c r="Q90" s="15">
        <f>IF(B90="","",IF(J90&lt;&gt;"","Not billable",IF(P90="","To invoice",IF(P90="Two invoices","Check dates",IF(ISNA(MATCH(P90,Invoices!$B$6:$B$305,0)),"Check number",IF(INDEX(Invoices!$M$6:$M$305,MATCH(P90,Invoices!$B$6:$B$305,0))="Paid","Paid",IF(INDEX(Invoices!$M$6:$M$305,MATCH(P90,Invoices!$B$6:$B$305,0))="Draft","Draft","Invoiced")))))))</f>
        <v/>
      </c>
      <c r="R90" s="1">
        <f>IF(AND(B90&lt;&gt;"",P90&lt;&gt;"",P90=Invoice!$G$4),B90+MOD(N(F90),1)+ROW()/10000000,"")</f>
        <v/>
      </c>
      <c r="S90">
        <f>IF(R90="","",IF(D90="","Other work",D90)&amp;IF(AND(K90&lt;&gt;"",E90&lt;&gt;""),", "&amp;E90,""))</f>
        <v/>
      </c>
      <c r="T90">
        <f>IF(R90="","",IF(COUNTIFS(R$6:R89,"&gt;0",S$6:S89,S90,N$6:N89,N90)=0,R90,""))</f>
        <v/>
      </c>
      <c r="U90">
        <f>IF(B90="","",IF(J90&lt;&gt;"",0,M90))</f>
        <v/>
      </c>
    </row>
    <row r="91">
      <c r="A91" s="1" t="n"/>
      <c r="B91" s="16" t="n">
        <v>46171</v>
      </c>
      <c r="C91" s="17" t="inlineStr">
        <is>
          <t>Harbour Books</t>
        </is>
      </c>
      <c r="D91" s="18" t="inlineStr">
        <is>
          <t>Spring catalogue</t>
        </is>
      </c>
      <c r="E91" s="18" t="inlineStr">
        <is>
          <t>Proof corrections</t>
        </is>
      </c>
      <c r="F91" s="19" t="n">
        <v>0.6979166666666666</v>
      </c>
      <c r="G91" s="19" t="n">
        <v>0.78125</v>
      </c>
      <c r="H91" s="20" t="n"/>
      <c r="I91" s="21" t="n"/>
      <c r="J91" s="22" t="n"/>
      <c r="K91" s="23" t="n"/>
      <c r="L91" s="18" t="n"/>
      <c r="M91" s="24">
        <f>IF(B91="","",IF(AND(F91&lt;&gt;"",G91&lt;&gt;""),MAX(0,ROUND(MOD(G91-F91,1)*24-N(H91)/60,2)),N(I91)))</f>
        <v/>
      </c>
      <c r="N91" s="14">
        <f>IF(B91="","",IF(K91&lt;&gt;"",K91,IF(N(IFERROR(INDEX(Projects!$D$6:$D$65,MATCH(D91,Projects!$B$6:$B$65,0)),""))&gt;0,IFERROR(INDEX(Projects!$D$6:$D$65,MATCH(D91,Projects!$B$6:$B$65,0)),""),IFERROR(INDEX(Clients!$G$6:$G$45,MATCH(C91,Clients!$B$6:$B$45,0)),0))))</f>
        <v/>
      </c>
      <c r="O91" s="14">
        <f>IF(B91="","",IF(J91&lt;&gt;"",0,ROUND(M91*N91,2)))</f>
        <v/>
      </c>
      <c r="P91" s="15">
        <f>IF(OR(B91="",J91&lt;&gt;""),"",IF(L91&lt;&gt;"",L91,IF(COUNTIFS(Invoices!$C$6:$C$305,C91,Invoices!$E$6:$E$305,"&lt;="&amp;B91,Invoices!$F$6:$F$305,"&gt;="&amp;B91)=1,INDEX(Invoices!$B$6:$B$305,SUMIFS(Invoices!$O$6:$O$305,Invoices!$C$6:$C$305,C91,Invoices!$E$6:$E$305,"&lt;="&amp;B91,Invoices!$F$6:$F$305,"&gt;="&amp;B91)),IF(COUNTIFS(Invoices!$C$6:$C$305,C91,Invoices!$E$6:$E$305,"&lt;="&amp;B91,Invoices!$F$6:$F$305,"&gt;="&amp;B91)&gt;1,"Two invoices",""))))</f>
        <v/>
      </c>
      <c r="Q91" s="15">
        <f>IF(B91="","",IF(J91&lt;&gt;"","Not billable",IF(P91="","To invoice",IF(P91="Two invoices","Check dates",IF(ISNA(MATCH(P91,Invoices!$B$6:$B$305,0)),"Check number",IF(INDEX(Invoices!$M$6:$M$305,MATCH(P91,Invoices!$B$6:$B$305,0))="Paid","Paid",IF(INDEX(Invoices!$M$6:$M$305,MATCH(P91,Invoices!$B$6:$B$305,0))="Draft","Draft","Invoiced")))))))</f>
        <v/>
      </c>
      <c r="R91" s="1">
        <f>IF(AND(B91&lt;&gt;"",P91&lt;&gt;"",P91=Invoice!$G$4),B91+MOD(N(F91),1)+ROW()/10000000,"")</f>
        <v/>
      </c>
      <c r="S91">
        <f>IF(R91="","",IF(D91="","Other work",D91)&amp;IF(AND(K91&lt;&gt;"",E91&lt;&gt;""),", "&amp;E91,""))</f>
        <v/>
      </c>
      <c r="T91">
        <f>IF(R91="","",IF(COUNTIFS(R$6:R90,"&gt;0",S$6:S90,S91,N$6:N90,N91)=0,R91,""))</f>
        <v/>
      </c>
      <c r="U91">
        <f>IF(B91="","",IF(J91&lt;&gt;"",0,M91))</f>
        <v/>
      </c>
    </row>
    <row r="92">
      <c r="A92" s="1" t="n"/>
      <c r="B92" s="16" t="n">
        <v>46174</v>
      </c>
      <c r="C92" s="17" t="inlineStr">
        <is>
          <t>Harbour Books</t>
        </is>
      </c>
      <c r="D92" s="18" t="inlineStr">
        <is>
          <t>Website redesign</t>
        </is>
      </c>
      <c r="E92" s="18" t="inlineStr">
        <is>
          <t>Page layouts</t>
        </is>
      </c>
      <c r="F92" s="19" t="n">
        <v>0.375</v>
      </c>
      <c r="G92" s="19" t="n">
        <v>0.4583333333333333</v>
      </c>
      <c r="H92" s="20" t="n"/>
      <c r="I92" s="21" t="n"/>
      <c r="J92" s="22" t="n"/>
      <c r="K92" s="23" t="n"/>
      <c r="L92" s="18" t="n"/>
      <c r="M92" s="24">
        <f>IF(B92="","",IF(AND(F92&lt;&gt;"",G92&lt;&gt;""),MAX(0,ROUND(MOD(G92-F92,1)*24-N(H92)/60,2)),N(I92)))</f>
        <v/>
      </c>
      <c r="N92" s="14">
        <f>IF(B92="","",IF(K92&lt;&gt;"",K92,IF(N(IFERROR(INDEX(Projects!$D$6:$D$65,MATCH(D92,Projects!$B$6:$B$65,0)),""))&gt;0,IFERROR(INDEX(Projects!$D$6:$D$65,MATCH(D92,Projects!$B$6:$B$65,0)),""),IFERROR(INDEX(Clients!$G$6:$G$45,MATCH(C92,Clients!$B$6:$B$45,0)),0))))</f>
        <v/>
      </c>
      <c r="O92" s="14">
        <f>IF(B92="","",IF(J92&lt;&gt;"",0,ROUND(M92*N92,2)))</f>
        <v/>
      </c>
      <c r="P92" s="15">
        <f>IF(OR(B92="",J92&lt;&gt;""),"",IF(L92&lt;&gt;"",L92,IF(COUNTIFS(Invoices!$C$6:$C$305,C92,Invoices!$E$6:$E$305,"&lt;="&amp;B92,Invoices!$F$6:$F$305,"&gt;="&amp;B92)=1,INDEX(Invoices!$B$6:$B$305,SUMIFS(Invoices!$O$6:$O$305,Invoices!$C$6:$C$305,C92,Invoices!$E$6:$E$305,"&lt;="&amp;B92,Invoices!$F$6:$F$305,"&gt;="&amp;B92)),IF(COUNTIFS(Invoices!$C$6:$C$305,C92,Invoices!$E$6:$E$305,"&lt;="&amp;B92,Invoices!$F$6:$F$305,"&gt;="&amp;B92)&gt;1,"Two invoices",""))))</f>
        <v/>
      </c>
      <c r="Q92" s="15">
        <f>IF(B92="","",IF(J92&lt;&gt;"","Not billable",IF(P92="","To invoice",IF(P92="Two invoices","Check dates",IF(ISNA(MATCH(P92,Invoices!$B$6:$B$305,0)),"Check number",IF(INDEX(Invoices!$M$6:$M$305,MATCH(P92,Invoices!$B$6:$B$305,0))="Paid","Paid",IF(INDEX(Invoices!$M$6:$M$305,MATCH(P92,Invoices!$B$6:$B$305,0))="Draft","Draft","Invoiced")))))))</f>
        <v/>
      </c>
      <c r="R92" s="1">
        <f>IF(AND(B92&lt;&gt;"",P92&lt;&gt;"",P92=Invoice!$G$4),B92+MOD(N(F92),1)+ROW()/10000000,"")</f>
        <v/>
      </c>
      <c r="S92">
        <f>IF(R92="","",IF(D92="","Other work",D92)&amp;IF(AND(K92&lt;&gt;"",E92&lt;&gt;""),", "&amp;E92,""))</f>
        <v/>
      </c>
      <c r="T92">
        <f>IF(R92="","",IF(COUNTIFS(R$6:R91,"&gt;0",S$6:S91,S92,N$6:N91,N92)=0,R92,""))</f>
        <v/>
      </c>
      <c r="U92">
        <f>IF(B92="","",IF(J92&lt;&gt;"",0,M92))</f>
        <v/>
      </c>
    </row>
    <row r="93">
      <c r="A93" s="1" t="n"/>
      <c r="B93" s="16" t="n">
        <v>46174</v>
      </c>
      <c r="C93" s="17" t="inlineStr">
        <is>
          <t>Harbour Books</t>
        </is>
      </c>
      <c r="D93" s="18" t="inlineStr">
        <is>
          <t>Website redesign</t>
        </is>
      </c>
      <c r="E93" s="18" t="inlineStr">
        <is>
          <t>Client call</t>
        </is>
      </c>
      <c r="F93" s="19" t="n">
        <v>0.5</v>
      </c>
      <c r="G93" s="19" t="n">
        <v>0.5833333333333334</v>
      </c>
      <c r="H93" s="20" t="n"/>
      <c r="I93" s="21" t="n"/>
      <c r="J93" s="22" t="n"/>
      <c r="K93" s="23" t="n"/>
      <c r="L93" s="18" t="n"/>
      <c r="M93" s="24">
        <f>IF(B93="","",IF(AND(F93&lt;&gt;"",G93&lt;&gt;""),MAX(0,ROUND(MOD(G93-F93,1)*24-N(H93)/60,2)),N(I93)))</f>
        <v/>
      </c>
      <c r="N93" s="14">
        <f>IF(B93="","",IF(K93&lt;&gt;"",K93,IF(N(IFERROR(INDEX(Projects!$D$6:$D$65,MATCH(D93,Projects!$B$6:$B$65,0)),""))&gt;0,IFERROR(INDEX(Projects!$D$6:$D$65,MATCH(D93,Projects!$B$6:$B$65,0)),""),IFERROR(INDEX(Clients!$G$6:$G$45,MATCH(C93,Clients!$B$6:$B$45,0)),0))))</f>
        <v/>
      </c>
      <c r="O93" s="14">
        <f>IF(B93="","",IF(J93&lt;&gt;"",0,ROUND(M93*N93,2)))</f>
        <v/>
      </c>
      <c r="P93" s="15">
        <f>IF(OR(B93="",J93&lt;&gt;""),"",IF(L93&lt;&gt;"",L93,IF(COUNTIFS(Invoices!$C$6:$C$305,C93,Invoices!$E$6:$E$305,"&lt;="&amp;B93,Invoices!$F$6:$F$305,"&gt;="&amp;B93)=1,INDEX(Invoices!$B$6:$B$305,SUMIFS(Invoices!$O$6:$O$305,Invoices!$C$6:$C$305,C93,Invoices!$E$6:$E$305,"&lt;="&amp;B93,Invoices!$F$6:$F$305,"&gt;="&amp;B93)),IF(COUNTIFS(Invoices!$C$6:$C$305,C93,Invoices!$E$6:$E$305,"&lt;="&amp;B93,Invoices!$F$6:$F$305,"&gt;="&amp;B93)&gt;1,"Two invoices",""))))</f>
        <v/>
      </c>
      <c r="Q93" s="15">
        <f>IF(B93="","",IF(J93&lt;&gt;"","Not billable",IF(P93="","To invoice",IF(P93="Two invoices","Check dates",IF(ISNA(MATCH(P93,Invoices!$B$6:$B$305,0)),"Check number",IF(INDEX(Invoices!$M$6:$M$305,MATCH(P93,Invoices!$B$6:$B$305,0))="Paid","Paid",IF(INDEX(Invoices!$M$6:$M$305,MATCH(P93,Invoices!$B$6:$B$305,0))="Draft","Draft","Invoiced")))))))</f>
        <v/>
      </c>
      <c r="R93" s="1">
        <f>IF(AND(B93&lt;&gt;"",P93&lt;&gt;"",P93=Invoice!$G$4),B93+MOD(N(F93),1)+ROW()/10000000,"")</f>
        <v/>
      </c>
      <c r="S93">
        <f>IF(R93="","",IF(D93="","Other work",D93)&amp;IF(AND(K93&lt;&gt;"",E93&lt;&gt;""),", "&amp;E93,""))</f>
        <v/>
      </c>
      <c r="T93">
        <f>IF(R93="","",IF(COUNTIFS(R$6:R92,"&gt;0",S$6:S92,S93,N$6:N92,N93)=0,R93,""))</f>
        <v/>
      </c>
      <c r="U93">
        <f>IF(B93="","",IF(J93&lt;&gt;"",0,M93))</f>
        <v/>
      </c>
    </row>
    <row r="94">
      <c r="A94" s="1" t="n"/>
      <c r="B94" s="16" t="n">
        <v>46174</v>
      </c>
      <c r="C94" s="17" t="inlineStr">
        <is>
          <t>Harbour Books</t>
        </is>
      </c>
      <c r="D94" s="18" t="inlineStr">
        <is>
          <t>Website redesign</t>
        </is>
      </c>
      <c r="E94" s="18" t="inlineStr">
        <is>
          <t>Style guide</t>
        </is>
      </c>
      <c r="F94" s="19" t="n">
        <v>0.6145833333333334</v>
      </c>
      <c r="G94" s="19" t="n">
        <v>0.6770833333333334</v>
      </c>
      <c r="H94" s="20" t="n"/>
      <c r="I94" s="21" t="n"/>
      <c r="J94" s="22" t="n"/>
      <c r="K94" s="23" t="n"/>
      <c r="L94" s="18" t="n"/>
      <c r="M94" s="24">
        <f>IF(B94="","",IF(AND(F94&lt;&gt;"",G94&lt;&gt;""),MAX(0,ROUND(MOD(G94-F94,1)*24-N(H94)/60,2)),N(I94)))</f>
        <v/>
      </c>
      <c r="N94" s="14">
        <f>IF(B94="","",IF(K94&lt;&gt;"",K94,IF(N(IFERROR(INDEX(Projects!$D$6:$D$65,MATCH(D94,Projects!$B$6:$B$65,0)),""))&gt;0,IFERROR(INDEX(Projects!$D$6:$D$65,MATCH(D94,Projects!$B$6:$B$65,0)),""),IFERROR(INDEX(Clients!$G$6:$G$45,MATCH(C94,Clients!$B$6:$B$45,0)),0))))</f>
        <v/>
      </c>
      <c r="O94" s="14">
        <f>IF(B94="","",IF(J94&lt;&gt;"",0,ROUND(M94*N94,2)))</f>
        <v/>
      </c>
      <c r="P94" s="15">
        <f>IF(OR(B94="",J94&lt;&gt;""),"",IF(L94&lt;&gt;"",L94,IF(COUNTIFS(Invoices!$C$6:$C$305,C94,Invoices!$E$6:$E$305,"&lt;="&amp;B94,Invoices!$F$6:$F$305,"&gt;="&amp;B94)=1,INDEX(Invoices!$B$6:$B$305,SUMIFS(Invoices!$O$6:$O$305,Invoices!$C$6:$C$305,C94,Invoices!$E$6:$E$305,"&lt;="&amp;B94,Invoices!$F$6:$F$305,"&gt;="&amp;B94)),IF(COUNTIFS(Invoices!$C$6:$C$305,C94,Invoices!$E$6:$E$305,"&lt;="&amp;B94,Invoices!$F$6:$F$305,"&gt;="&amp;B94)&gt;1,"Two invoices",""))))</f>
        <v/>
      </c>
      <c r="Q94" s="15">
        <f>IF(B94="","",IF(J94&lt;&gt;"","Not billable",IF(P94="","To invoice",IF(P94="Two invoices","Check dates",IF(ISNA(MATCH(P94,Invoices!$B$6:$B$305,0)),"Check number",IF(INDEX(Invoices!$M$6:$M$305,MATCH(P94,Invoices!$B$6:$B$305,0))="Paid","Paid",IF(INDEX(Invoices!$M$6:$M$305,MATCH(P94,Invoices!$B$6:$B$305,0))="Draft","Draft","Invoiced")))))))</f>
        <v/>
      </c>
      <c r="R94" s="1">
        <f>IF(AND(B94&lt;&gt;"",P94&lt;&gt;"",P94=Invoice!$G$4),B94+MOD(N(F94),1)+ROW()/10000000,"")</f>
        <v/>
      </c>
      <c r="S94">
        <f>IF(R94="","",IF(D94="","Other work",D94)&amp;IF(AND(K94&lt;&gt;"",E94&lt;&gt;""),", "&amp;E94,""))</f>
        <v/>
      </c>
      <c r="T94">
        <f>IF(R94="","",IF(COUNTIFS(R$6:R93,"&gt;0",S$6:S93,S94,N$6:N93,N94)=0,R94,""))</f>
        <v/>
      </c>
      <c r="U94">
        <f>IF(B94="","",IF(J94&lt;&gt;"",0,M94))</f>
        <v/>
      </c>
    </row>
    <row r="95">
      <c r="A95" s="1" t="n"/>
      <c r="B95" s="16" t="n">
        <v>46175</v>
      </c>
      <c r="C95" s="17" t="inlineStr">
        <is>
          <t>Harbour Books</t>
        </is>
      </c>
      <c r="D95" s="18" t="inlineStr">
        <is>
          <t>Website redesign</t>
        </is>
      </c>
      <c r="E95" s="18" t="inlineStr">
        <is>
          <t>Client call</t>
        </is>
      </c>
      <c r="F95" s="19" t="n"/>
      <c r="G95" s="19" t="n"/>
      <c r="H95" s="20" t="n"/>
      <c r="I95" s="21" t="n">
        <v>2</v>
      </c>
      <c r="J95" s="22" t="n"/>
      <c r="K95" s="23" t="n"/>
      <c r="L95" s="18" t="n"/>
      <c r="M95" s="24">
        <f>IF(B95="","",IF(AND(F95&lt;&gt;"",G95&lt;&gt;""),MAX(0,ROUND(MOD(G95-F95,1)*24-N(H95)/60,2)),N(I95)))</f>
        <v/>
      </c>
      <c r="N95" s="14">
        <f>IF(B95="","",IF(K95&lt;&gt;"",K95,IF(N(IFERROR(INDEX(Projects!$D$6:$D$65,MATCH(D95,Projects!$B$6:$B$65,0)),""))&gt;0,IFERROR(INDEX(Projects!$D$6:$D$65,MATCH(D95,Projects!$B$6:$B$65,0)),""),IFERROR(INDEX(Clients!$G$6:$G$45,MATCH(C95,Clients!$B$6:$B$45,0)),0))))</f>
        <v/>
      </c>
      <c r="O95" s="14">
        <f>IF(B95="","",IF(J95&lt;&gt;"",0,ROUND(M95*N95,2)))</f>
        <v/>
      </c>
      <c r="P95" s="15">
        <f>IF(OR(B95="",J95&lt;&gt;""),"",IF(L95&lt;&gt;"",L95,IF(COUNTIFS(Invoices!$C$6:$C$305,C95,Invoices!$E$6:$E$305,"&lt;="&amp;B95,Invoices!$F$6:$F$305,"&gt;="&amp;B95)=1,INDEX(Invoices!$B$6:$B$305,SUMIFS(Invoices!$O$6:$O$305,Invoices!$C$6:$C$305,C95,Invoices!$E$6:$E$305,"&lt;="&amp;B95,Invoices!$F$6:$F$305,"&gt;="&amp;B95)),IF(COUNTIFS(Invoices!$C$6:$C$305,C95,Invoices!$E$6:$E$305,"&lt;="&amp;B95,Invoices!$F$6:$F$305,"&gt;="&amp;B95)&gt;1,"Two invoices",""))))</f>
        <v/>
      </c>
      <c r="Q95" s="15">
        <f>IF(B95="","",IF(J95&lt;&gt;"","Not billable",IF(P95="","To invoice",IF(P95="Two invoices","Check dates",IF(ISNA(MATCH(P95,Invoices!$B$6:$B$305,0)),"Check number",IF(INDEX(Invoices!$M$6:$M$305,MATCH(P95,Invoices!$B$6:$B$305,0))="Paid","Paid",IF(INDEX(Invoices!$M$6:$M$305,MATCH(P95,Invoices!$B$6:$B$305,0))="Draft","Draft","Invoiced")))))))</f>
        <v/>
      </c>
      <c r="R95" s="1">
        <f>IF(AND(B95&lt;&gt;"",P95&lt;&gt;"",P95=Invoice!$G$4),B95+MOD(N(F95),1)+ROW()/10000000,"")</f>
        <v/>
      </c>
      <c r="S95">
        <f>IF(R95="","",IF(D95="","Other work",D95)&amp;IF(AND(K95&lt;&gt;"",E95&lt;&gt;""),", "&amp;E95,""))</f>
        <v/>
      </c>
      <c r="T95">
        <f>IF(R95="","",IF(COUNTIFS(R$6:R94,"&gt;0",S$6:S94,S95,N$6:N94,N95)=0,R95,""))</f>
        <v/>
      </c>
      <c r="U95">
        <f>IF(B95="","",IF(J95&lt;&gt;"",0,M95))</f>
        <v/>
      </c>
    </row>
    <row r="96">
      <c r="A96" s="1" t="n"/>
      <c r="B96" s="16" t="n">
        <v>46175</v>
      </c>
      <c r="C96" s="17" t="inlineStr">
        <is>
          <t>Harbour Books</t>
        </is>
      </c>
      <c r="D96" s="18" t="inlineStr">
        <is>
          <t>Website redesign</t>
        </is>
      </c>
      <c r="E96" s="18" t="inlineStr">
        <is>
          <t>Style guide</t>
        </is>
      </c>
      <c r="F96" s="19" t="n">
        <v>0.375</v>
      </c>
      <c r="G96" s="19" t="n">
        <v>0.5</v>
      </c>
      <c r="H96" s="20" t="n"/>
      <c r="I96" s="21" t="n"/>
      <c r="J96" s="22" t="n"/>
      <c r="K96" s="23" t="n"/>
      <c r="L96" s="18" t="n"/>
      <c r="M96" s="24">
        <f>IF(B96="","",IF(AND(F96&lt;&gt;"",G96&lt;&gt;""),MAX(0,ROUND(MOD(G96-F96,1)*24-N(H96)/60,2)),N(I96)))</f>
        <v/>
      </c>
      <c r="N96" s="14">
        <f>IF(B96="","",IF(K96&lt;&gt;"",K96,IF(N(IFERROR(INDEX(Projects!$D$6:$D$65,MATCH(D96,Projects!$B$6:$B$65,0)),""))&gt;0,IFERROR(INDEX(Projects!$D$6:$D$65,MATCH(D96,Projects!$B$6:$B$65,0)),""),IFERROR(INDEX(Clients!$G$6:$G$45,MATCH(C96,Clients!$B$6:$B$45,0)),0))))</f>
        <v/>
      </c>
      <c r="O96" s="14">
        <f>IF(B96="","",IF(J96&lt;&gt;"",0,ROUND(M96*N96,2)))</f>
        <v/>
      </c>
      <c r="P96" s="15">
        <f>IF(OR(B96="",J96&lt;&gt;""),"",IF(L96&lt;&gt;"",L96,IF(COUNTIFS(Invoices!$C$6:$C$305,C96,Invoices!$E$6:$E$305,"&lt;="&amp;B96,Invoices!$F$6:$F$305,"&gt;="&amp;B96)=1,INDEX(Invoices!$B$6:$B$305,SUMIFS(Invoices!$O$6:$O$305,Invoices!$C$6:$C$305,C96,Invoices!$E$6:$E$305,"&lt;="&amp;B96,Invoices!$F$6:$F$305,"&gt;="&amp;B96)),IF(COUNTIFS(Invoices!$C$6:$C$305,C96,Invoices!$E$6:$E$305,"&lt;="&amp;B96,Invoices!$F$6:$F$305,"&gt;="&amp;B96)&gt;1,"Two invoices",""))))</f>
        <v/>
      </c>
      <c r="Q96" s="15">
        <f>IF(B96="","",IF(J96&lt;&gt;"","Not billable",IF(P96="","To invoice",IF(P96="Two invoices","Check dates",IF(ISNA(MATCH(P96,Invoices!$B$6:$B$305,0)),"Check number",IF(INDEX(Invoices!$M$6:$M$305,MATCH(P96,Invoices!$B$6:$B$305,0))="Paid","Paid",IF(INDEX(Invoices!$M$6:$M$305,MATCH(P96,Invoices!$B$6:$B$305,0))="Draft","Draft","Invoiced")))))))</f>
        <v/>
      </c>
      <c r="R96" s="1">
        <f>IF(AND(B96&lt;&gt;"",P96&lt;&gt;"",P96=Invoice!$G$4),B96+MOD(N(F96),1)+ROW()/10000000,"")</f>
        <v/>
      </c>
      <c r="S96">
        <f>IF(R96="","",IF(D96="","Other work",D96)&amp;IF(AND(K96&lt;&gt;"",E96&lt;&gt;""),", "&amp;E96,""))</f>
        <v/>
      </c>
      <c r="T96">
        <f>IF(R96="","",IF(COUNTIFS(R$6:R95,"&gt;0",S$6:S95,S96,N$6:N95,N96)=0,R96,""))</f>
        <v/>
      </c>
      <c r="U96">
        <f>IF(B96="","",IF(J96&lt;&gt;"",0,M96))</f>
        <v/>
      </c>
    </row>
    <row r="97">
      <c r="A97" s="1" t="n"/>
      <c r="B97" s="16" t="n">
        <v>46175</v>
      </c>
      <c r="C97" s="17" t="inlineStr">
        <is>
          <t>Greenleaf Studio</t>
        </is>
      </c>
      <c r="D97" s="18" t="inlineStr">
        <is>
          <t>Monthly social posts</t>
        </is>
      </c>
      <c r="E97" s="18" t="inlineStr">
        <is>
          <t>Post designs</t>
        </is>
      </c>
      <c r="F97" s="19" t="n">
        <v>0.5208333333333334</v>
      </c>
      <c r="G97" s="19" t="n">
        <v>0.6770833333333334</v>
      </c>
      <c r="H97" s="20" t="n">
        <v>15</v>
      </c>
      <c r="I97" s="21" t="n"/>
      <c r="J97" s="22" t="n"/>
      <c r="K97" s="23" t="n"/>
      <c r="L97" s="18" t="n"/>
      <c r="M97" s="24">
        <f>IF(B97="","",IF(AND(F97&lt;&gt;"",G97&lt;&gt;""),MAX(0,ROUND(MOD(G97-F97,1)*24-N(H97)/60,2)),N(I97)))</f>
        <v/>
      </c>
      <c r="N97" s="14">
        <f>IF(B97="","",IF(K97&lt;&gt;"",K97,IF(N(IFERROR(INDEX(Projects!$D$6:$D$65,MATCH(D97,Projects!$B$6:$B$65,0)),""))&gt;0,IFERROR(INDEX(Projects!$D$6:$D$65,MATCH(D97,Projects!$B$6:$B$65,0)),""),IFERROR(INDEX(Clients!$G$6:$G$45,MATCH(C97,Clients!$B$6:$B$45,0)),0))))</f>
        <v/>
      </c>
      <c r="O97" s="14">
        <f>IF(B97="","",IF(J97&lt;&gt;"",0,ROUND(M97*N97,2)))</f>
        <v/>
      </c>
      <c r="P97" s="15">
        <f>IF(OR(B97="",J97&lt;&gt;""),"",IF(L97&lt;&gt;"",L97,IF(COUNTIFS(Invoices!$C$6:$C$305,C97,Invoices!$E$6:$E$305,"&lt;="&amp;B97,Invoices!$F$6:$F$305,"&gt;="&amp;B97)=1,INDEX(Invoices!$B$6:$B$305,SUMIFS(Invoices!$O$6:$O$305,Invoices!$C$6:$C$305,C97,Invoices!$E$6:$E$305,"&lt;="&amp;B97,Invoices!$F$6:$F$305,"&gt;="&amp;B97)),IF(COUNTIFS(Invoices!$C$6:$C$305,C97,Invoices!$E$6:$E$305,"&lt;="&amp;B97,Invoices!$F$6:$F$305,"&gt;="&amp;B97)&gt;1,"Two invoices",""))))</f>
        <v/>
      </c>
      <c r="Q97" s="15">
        <f>IF(B97="","",IF(J97&lt;&gt;"","Not billable",IF(P97="","To invoice",IF(P97="Two invoices","Check dates",IF(ISNA(MATCH(P97,Invoices!$B$6:$B$305,0)),"Check number",IF(INDEX(Invoices!$M$6:$M$305,MATCH(P97,Invoices!$B$6:$B$305,0))="Paid","Paid",IF(INDEX(Invoices!$M$6:$M$305,MATCH(P97,Invoices!$B$6:$B$305,0))="Draft","Draft","Invoiced")))))))</f>
        <v/>
      </c>
      <c r="R97" s="1">
        <f>IF(AND(B97&lt;&gt;"",P97&lt;&gt;"",P97=Invoice!$G$4),B97+MOD(N(F97),1)+ROW()/10000000,"")</f>
        <v/>
      </c>
      <c r="S97">
        <f>IF(R97="","",IF(D97="","Other work",D97)&amp;IF(AND(K97&lt;&gt;"",E97&lt;&gt;""),", "&amp;E97,""))</f>
        <v/>
      </c>
      <c r="T97">
        <f>IF(R97="","",IF(COUNTIFS(R$6:R96,"&gt;0",S$6:S96,S97,N$6:N96,N97)=0,R97,""))</f>
        <v/>
      </c>
      <c r="U97">
        <f>IF(B97="","",IF(J97&lt;&gt;"",0,M97))</f>
        <v/>
      </c>
    </row>
    <row r="98">
      <c r="A98" s="1" t="n"/>
      <c r="B98" s="16" t="n">
        <v>46176</v>
      </c>
      <c r="C98" s="17" t="inlineStr">
        <is>
          <t>Harbour Books</t>
        </is>
      </c>
      <c r="D98" s="18" t="inlineStr">
        <is>
          <t>Website redesign</t>
        </is>
      </c>
      <c r="E98" s="18" t="inlineStr">
        <is>
          <t>Page layouts</t>
        </is>
      </c>
      <c r="F98" s="19" t="n">
        <v>0.3958333333333333</v>
      </c>
      <c r="G98" s="19" t="n">
        <v>0.4791666666666667</v>
      </c>
      <c r="H98" s="20" t="n"/>
      <c r="I98" s="21" t="n"/>
      <c r="J98" s="22" t="n"/>
      <c r="K98" s="23" t="n"/>
      <c r="L98" s="18" t="n"/>
      <c r="M98" s="24">
        <f>IF(B98="","",IF(AND(F98&lt;&gt;"",G98&lt;&gt;""),MAX(0,ROUND(MOD(G98-F98,1)*24-N(H98)/60,2)),N(I98)))</f>
        <v/>
      </c>
      <c r="N98" s="14">
        <f>IF(B98="","",IF(K98&lt;&gt;"",K98,IF(N(IFERROR(INDEX(Projects!$D$6:$D$65,MATCH(D98,Projects!$B$6:$B$65,0)),""))&gt;0,IFERROR(INDEX(Projects!$D$6:$D$65,MATCH(D98,Projects!$B$6:$B$65,0)),""),IFERROR(INDEX(Clients!$G$6:$G$45,MATCH(C98,Clients!$B$6:$B$45,0)),0))))</f>
        <v/>
      </c>
      <c r="O98" s="14">
        <f>IF(B98="","",IF(J98&lt;&gt;"",0,ROUND(M98*N98,2)))</f>
        <v/>
      </c>
      <c r="P98" s="15">
        <f>IF(OR(B98="",J98&lt;&gt;""),"",IF(L98&lt;&gt;"",L98,IF(COUNTIFS(Invoices!$C$6:$C$305,C98,Invoices!$E$6:$E$305,"&lt;="&amp;B98,Invoices!$F$6:$F$305,"&gt;="&amp;B98)=1,INDEX(Invoices!$B$6:$B$305,SUMIFS(Invoices!$O$6:$O$305,Invoices!$C$6:$C$305,C98,Invoices!$E$6:$E$305,"&lt;="&amp;B98,Invoices!$F$6:$F$305,"&gt;="&amp;B98)),IF(COUNTIFS(Invoices!$C$6:$C$305,C98,Invoices!$E$6:$E$305,"&lt;="&amp;B98,Invoices!$F$6:$F$305,"&gt;="&amp;B98)&gt;1,"Two invoices",""))))</f>
        <v/>
      </c>
      <c r="Q98" s="15">
        <f>IF(B98="","",IF(J98&lt;&gt;"","Not billable",IF(P98="","To invoice",IF(P98="Two invoices","Check dates",IF(ISNA(MATCH(P98,Invoices!$B$6:$B$305,0)),"Check number",IF(INDEX(Invoices!$M$6:$M$305,MATCH(P98,Invoices!$B$6:$B$305,0))="Paid","Paid",IF(INDEX(Invoices!$M$6:$M$305,MATCH(P98,Invoices!$B$6:$B$305,0))="Draft","Draft","Invoiced")))))))</f>
        <v/>
      </c>
      <c r="R98" s="1">
        <f>IF(AND(B98&lt;&gt;"",P98&lt;&gt;"",P98=Invoice!$G$4),B98+MOD(N(F98),1)+ROW()/10000000,"")</f>
        <v/>
      </c>
      <c r="S98">
        <f>IF(R98="","",IF(D98="","Other work",D98)&amp;IF(AND(K98&lt;&gt;"",E98&lt;&gt;""),", "&amp;E98,""))</f>
        <v/>
      </c>
      <c r="T98">
        <f>IF(R98="","",IF(COUNTIFS(R$6:R97,"&gt;0",S$6:S97,S98,N$6:N97,N98)=0,R98,""))</f>
        <v/>
      </c>
      <c r="U98">
        <f>IF(B98="","",IF(J98&lt;&gt;"",0,M98))</f>
        <v/>
      </c>
    </row>
    <row r="99">
      <c r="A99" s="1" t="n"/>
      <c r="B99" s="16" t="n">
        <v>46176</v>
      </c>
      <c r="C99" s="17" t="inlineStr">
        <is>
          <t>Harbour Books</t>
        </is>
      </c>
      <c r="D99" s="18" t="inlineStr">
        <is>
          <t>Website redesign</t>
        </is>
      </c>
      <c r="E99" s="18" t="inlineStr">
        <is>
          <t>Style guide</t>
        </is>
      </c>
      <c r="F99" s="19" t="n">
        <v>0.5</v>
      </c>
      <c r="G99" s="19" t="n">
        <v>0.625</v>
      </c>
      <c r="H99" s="20" t="n"/>
      <c r="I99" s="21" t="n"/>
      <c r="J99" s="22" t="n"/>
      <c r="K99" s="23" t="n"/>
      <c r="L99" s="18" t="n"/>
      <c r="M99" s="24">
        <f>IF(B99="","",IF(AND(F99&lt;&gt;"",G99&lt;&gt;""),MAX(0,ROUND(MOD(G99-F99,1)*24-N(H99)/60,2)),N(I99)))</f>
        <v/>
      </c>
      <c r="N99" s="14">
        <f>IF(B99="","",IF(K99&lt;&gt;"",K99,IF(N(IFERROR(INDEX(Projects!$D$6:$D$65,MATCH(D99,Projects!$B$6:$B$65,0)),""))&gt;0,IFERROR(INDEX(Projects!$D$6:$D$65,MATCH(D99,Projects!$B$6:$B$65,0)),""),IFERROR(INDEX(Clients!$G$6:$G$45,MATCH(C99,Clients!$B$6:$B$45,0)),0))))</f>
        <v/>
      </c>
      <c r="O99" s="14">
        <f>IF(B99="","",IF(J99&lt;&gt;"",0,ROUND(M99*N99,2)))</f>
        <v/>
      </c>
      <c r="P99" s="15">
        <f>IF(OR(B99="",J99&lt;&gt;""),"",IF(L99&lt;&gt;"",L99,IF(COUNTIFS(Invoices!$C$6:$C$305,C99,Invoices!$E$6:$E$305,"&lt;="&amp;B99,Invoices!$F$6:$F$305,"&gt;="&amp;B99)=1,INDEX(Invoices!$B$6:$B$305,SUMIFS(Invoices!$O$6:$O$305,Invoices!$C$6:$C$305,C99,Invoices!$E$6:$E$305,"&lt;="&amp;B99,Invoices!$F$6:$F$305,"&gt;="&amp;B99)),IF(COUNTIFS(Invoices!$C$6:$C$305,C99,Invoices!$E$6:$E$305,"&lt;="&amp;B99,Invoices!$F$6:$F$305,"&gt;="&amp;B99)&gt;1,"Two invoices",""))))</f>
        <v/>
      </c>
      <c r="Q99" s="15">
        <f>IF(B99="","",IF(J99&lt;&gt;"","Not billable",IF(P99="","To invoice",IF(P99="Two invoices","Check dates",IF(ISNA(MATCH(P99,Invoices!$B$6:$B$305,0)),"Check number",IF(INDEX(Invoices!$M$6:$M$305,MATCH(P99,Invoices!$B$6:$B$305,0))="Paid","Paid",IF(INDEX(Invoices!$M$6:$M$305,MATCH(P99,Invoices!$B$6:$B$305,0))="Draft","Draft","Invoiced")))))))</f>
        <v/>
      </c>
      <c r="R99" s="1">
        <f>IF(AND(B99&lt;&gt;"",P99&lt;&gt;"",P99=Invoice!$G$4),B99+MOD(N(F99),1)+ROW()/10000000,"")</f>
        <v/>
      </c>
      <c r="S99">
        <f>IF(R99="","",IF(D99="","Other work",D99)&amp;IF(AND(K99&lt;&gt;"",E99&lt;&gt;""),", "&amp;E99,""))</f>
        <v/>
      </c>
      <c r="T99">
        <f>IF(R99="","",IF(COUNTIFS(R$6:R98,"&gt;0",S$6:S98,S99,N$6:N98,N99)=0,R99,""))</f>
        <v/>
      </c>
      <c r="U99">
        <f>IF(B99="","",IF(J99&lt;&gt;"",0,M99))</f>
        <v/>
      </c>
    </row>
    <row r="100">
      <c r="A100" s="1" t="n"/>
      <c r="B100" s="16" t="n">
        <v>46177</v>
      </c>
      <c r="C100" s="17" t="inlineStr">
        <is>
          <t>Harbour Books</t>
        </is>
      </c>
      <c r="D100" s="18" t="inlineStr">
        <is>
          <t>Website redesign</t>
        </is>
      </c>
      <c r="E100" s="18" t="inlineStr">
        <is>
          <t>Style guide</t>
        </is>
      </c>
      <c r="F100" s="19" t="n"/>
      <c r="G100" s="19" t="n"/>
      <c r="H100" s="20" t="n"/>
      <c r="I100" s="21" t="n">
        <v>2.5</v>
      </c>
      <c r="J100" s="22" t="n"/>
      <c r="K100" s="23" t="n"/>
      <c r="L100" s="18" t="n"/>
      <c r="M100" s="24">
        <f>IF(B100="","",IF(AND(F100&lt;&gt;"",G100&lt;&gt;""),MAX(0,ROUND(MOD(G100-F100,1)*24-N(H100)/60,2)),N(I100)))</f>
        <v/>
      </c>
      <c r="N100" s="14">
        <f>IF(B100="","",IF(K100&lt;&gt;"",K100,IF(N(IFERROR(INDEX(Projects!$D$6:$D$65,MATCH(D100,Projects!$B$6:$B$65,0)),""))&gt;0,IFERROR(INDEX(Projects!$D$6:$D$65,MATCH(D100,Projects!$B$6:$B$65,0)),""),IFERROR(INDEX(Clients!$G$6:$G$45,MATCH(C100,Clients!$B$6:$B$45,0)),0))))</f>
        <v/>
      </c>
      <c r="O100" s="14">
        <f>IF(B100="","",IF(J100&lt;&gt;"",0,ROUND(M100*N100,2)))</f>
        <v/>
      </c>
      <c r="P100" s="15">
        <f>IF(OR(B100="",J100&lt;&gt;""),"",IF(L100&lt;&gt;"",L100,IF(COUNTIFS(Invoices!$C$6:$C$305,C100,Invoices!$E$6:$E$305,"&lt;="&amp;B100,Invoices!$F$6:$F$305,"&gt;="&amp;B100)=1,INDEX(Invoices!$B$6:$B$305,SUMIFS(Invoices!$O$6:$O$305,Invoices!$C$6:$C$305,C100,Invoices!$E$6:$E$305,"&lt;="&amp;B100,Invoices!$F$6:$F$305,"&gt;="&amp;B100)),IF(COUNTIFS(Invoices!$C$6:$C$305,C100,Invoices!$E$6:$E$305,"&lt;="&amp;B100,Invoices!$F$6:$F$305,"&gt;="&amp;B100)&gt;1,"Two invoices",""))))</f>
        <v/>
      </c>
      <c r="Q100" s="15">
        <f>IF(B100="","",IF(J100&lt;&gt;"","Not billable",IF(P100="","To invoice",IF(P100="Two invoices","Check dates",IF(ISNA(MATCH(P100,Invoices!$B$6:$B$305,0)),"Check number",IF(INDEX(Invoices!$M$6:$M$305,MATCH(P100,Invoices!$B$6:$B$305,0))="Paid","Paid",IF(INDEX(Invoices!$M$6:$M$305,MATCH(P100,Invoices!$B$6:$B$305,0))="Draft","Draft","Invoiced")))))))</f>
        <v/>
      </c>
      <c r="R100" s="1">
        <f>IF(AND(B100&lt;&gt;"",P100&lt;&gt;"",P100=Invoice!$G$4),B100+MOD(N(F100),1)+ROW()/10000000,"")</f>
        <v/>
      </c>
      <c r="S100">
        <f>IF(R100="","",IF(D100="","Other work",D100)&amp;IF(AND(K100&lt;&gt;"",E100&lt;&gt;""),", "&amp;E100,""))</f>
        <v/>
      </c>
      <c r="T100">
        <f>IF(R100="","",IF(COUNTIFS(R$6:R99,"&gt;0",S$6:S99,S100,N$6:N99,N100)=0,R100,""))</f>
        <v/>
      </c>
      <c r="U100">
        <f>IF(B100="","",IF(J100&lt;&gt;"",0,M100))</f>
        <v/>
      </c>
    </row>
    <row r="101">
      <c r="A101" s="1" t="n"/>
      <c r="B101" s="16" t="n">
        <v>46177</v>
      </c>
      <c r="C101" s="17" t="inlineStr">
        <is>
          <t>Harbour Books</t>
        </is>
      </c>
      <c r="D101" s="18" t="inlineStr">
        <is>
          <t>Website redesign</t>
        </is>
      </c>
      <c r="E101" s="18" t="inlineStr">
        <is>
          <t>Revisions after feedback</t>
        </is>
      </c>
      <c r="F101" s="19" t="n">
        <v>0.3958333333333333</v>
      </c>
      <c r="G101" s="19" t="n">
        <v>0.4791666666666667</v>
      </c>
      <c r="H101" s="20" t="n"/>
      <c r="I101" s="21" t="n"/>
      <c r="J101" s="22" t="n"/>
      <c r="K101" s="23" t="n"/>
      <c r="L101" s="18" t="n"/>
      <c r="M101" s="24">
        <f>IF(B101="","",IF(AND(F101&lt;&gt;"",G101&lt;&gt;""),MAX(0,ROUND(MOD(G101-F101,1)*24-N(H101)/60,2)),N(I101)))</f>
        <v/>
      </c>
      <c r="N101" s="14">
        <f>IF(B101="","",IF(K101&lt;&gt;"",K101,IF(N(IFERROR(INDEX(Projects!$D$6:$D$65,MATCH(D101,Projects!$B$6:$B$65,0)),""))&gt;0,IFERROR(INDEX(Projects!$D$6:$D$65,MATCH(D101,Projects!$B$6:$B$65,0)),""),IFERROR(INDEX(Clients!$G$6:$G$45,MATCH(C101,Clients!$B$6:$B$45,0)),0))))</f>
        <v/>
      </c>
      <c r="O101" s="14">
        <f>IF(B101="","",IF(J101&lt;&gt;"",0,ROUND(M101*N101,2)))</f>
        <v/>
      </c>
      <c r="P101" s="15">
        <f>IF(OR(B101="",J101&lt;&gt;""),"",IF(L101&lt;&gt;"",L101,IF(COUNTIFS(Invoices!$C$6:$C$305,C101,Invoices!$E$6:$E$305,"&lt;="&amp;B101,Invoices!$F$6:$F$305,"&gt;="&amp;B101)=1,INDEX(Invoices!$B$6:$B$305,SUMIFS(Invoices!$O$6:$O$305,Invoices!$C$6:$C$305,C101,Invoices!$E$6:$E$305,"&lt;="&amp;B101,Invoices!$F$6:$F$305,"&gt;="&amp;B101)),IF(COUNTIFS(Invoices!$C$6:$C$305,C101,Invoices!$E$6:$E$305,"&lt;="&amp;B101,Invoices!$F$6:$F$305,"&gt;="&amp;B101)&gt;1,"Two invoices",""))))</f>
        <v/>
      </c>
      <c r="Q101" s="15">
        <f>IF(B101="","",IF(J101&lt;&gt;"","Not billable",IF(P101="","To invoice",IF(P101="Two invoices","Check dates",IF(ISNA(MATCH(P101,Invoices!$B$6:$B$305,0)),"Check number",IF(INDEX(Invoices!$M$6:$M$305,MATCH(P101,Invoices!$B$6:$B$305,0))="Paid","Paid",IF(INDEX(Invoices!$M$6:$M$305,MATCH(P101,Invoices!$B$6:$B$305,0))="Draft","Draft","Invoiced")))))))</f>
        <v/>
      </c>
      <c r="R101" s="1">
        <f>IF(AND(B101&lt;&gt;"",P101&lt;&gt;"",P101=Invoice!$G$4),B101+MOD(N(F101),1)+ROW()/10000000,"")</f>
        <v/>
      </c>
      <c r="S101">
        <f>IF(R101="","",IF(D101="","Other work",D101)&amp;IF(AND(K101&lt;&gt;"",E101&lt;&gt;""),", "&amp;E101,""))</f>
        <v/>
      </c>
      <c r="T101">
        <f>IF(R101="","",IF(COUNTIFS(R$6:R100,"&gt;0",S$6:S100,S101,N$6:N100,N101)=0,R101,""))</f>
        <v/>
      </c>
      <c r="U101">
        <f>IF(B101="","",IF(J101&lt;&gt;"",0,M101))</f>
        <v/>
      </c>
    </row>
    <row r="102">
      <c r="A102" s="1" t="n"/>
      <c r="B102" s="16" t="n">
        <v>46178</v>
      </c>
      <c r="C102" s="17" t="inlineStr">
        <is>
          <t>Harbour Books</t>
        </is>
      </c>
      <c r="D102" s="18" t="inlineStr">
        <is>
          <t>Website redesign</t>
        </is>
      </c>
      <c r="E102" s="18" t="inlineStr">
        <is>
          <t>Client call</t>
        </is>
      </c>
      <c r="F102" s="19" t="n">
        <v>0.375</v>
      </c>
      <c r="G102" s="19" t="n">
        <v>0.5208333333333334</v>
      </c>
      <c r="H102" s="20" t="n"/>
      <c r="I102" s="21" t="n"/>
      <c r="J102" s="22" t="n"/>
      <c r="K102" s="23" t="n"/>
      <c r="L102" s="18" t="n"/>
      <c r="M102" s="24">
        <f>IF(B102="","",IF(AND(F102&lt;&gt;"",G102&lt;&gt;""),MAX(0,ROUND(MOD(G102-F102,1)*24-N(H102)/60,2)),N(I102)))</f>
        <v/>
      </c>
      <c r="N102" s="14">
        <f>IF(B102="","",IF(K102&lt;&gt;"",K102,IF(N(IFERROR(INDEX(Projects!$D$6:$D$65,MATCH(D102,Projects!$B$6:$B$65,0)),""))&gt;0,IFERROR(INDEX(Projects!$D$6:$D$65,MATCH(D102,Projects!$B$6:$B$65,0)),""),IFERROR(INDEX(Clients!$G$6:$G$45,MATCH(C102,Clients!$B$6:$B$45,0)),0))))</f>
        <v/>
      </c>
      <c r="O102" s="14">
        <f>IF(B102="","",IF(J102&lt;&gt;"",0,ROUND(M102*N102,2)))</f>
        <v/>
      </c>
      <c r="P102" s="15">
        <f>IF(OR(B102="",J102&lt;&gt;""),"",IF(L102&lt;&gt;"",L102,IF(COUNTIFS(Invoices!$C$6:$C$305,C102,Invoices!$E$6:$E$305,"&lt;="&amp;B102,Invoices!$F$6:$F$305,"&gt;="&amp;B102)=1,INDEX(Invoices!$B$6:$B$305,SUMIFS(Invoices!$O$6:$O$305,Invoices!$C$6:$C$305,C102,Invoices!$E$6:$E$305,"&lt;="&amp;B102,Invoices!$F$6:$F$305,"&gt;="&amp;B102)),IF(COUNTIFS(Invoices!$C$6:$C$305,C102,Invoices!$E$6:$E$305,"&lt;="&amp;B102,Invoices!$F$6:$F$305,"&gt;="&amp;B102)&gt;1,"Two invoices",""))))</f>
        <v/>
      </c>
      <c r="Q102" s="15">
        <f>IF(B102="","",IF(J102&lt;&gt;"","Not billable",IF(P102="","To invoice",IF(P102="Two invoices","Check dates",IF(ISNA(MATCH(P102,Invoices!$B$6:$B$305,0)),"Check number",IF(INDEX(Invoices!$M$6:$M$305,MATCH(P102,Invoices!$B$6:$B$305,0))="Paid","Paid",IF(INDEX(Invoices!$M$6:$M$305,MATCH(P102,Invoices!$B$6:$B$305,0))="Draft","Draft","Invoiced")))))))</f>
        <v/>
      </c>
      <c r="R102" s="1">
        <f>IF(AND(B102&lt;&gt;"",P102&lt;&gt;"",P102=Invoice!$G$4),B102+MOD(N(F102),1)+ROW()/10000000,"")</f>
        <v/>
      </c>
      <c r="S102">
        <f>IF(R102="","",IF(D102="","Other work",D102)&amp;IF(AND(K102&lt;&gt;"",E102&lt;&gt;""),", "&amp;E102,""))</f>
        <v/>
      </c>
      <c r="T102">
        <f>IF(R102="","",IF(COUNTIFS(R$6:R101,"&gt;0",S$6:S101,S102,N$6:N101,N102)=0,R102,""))</f>
        <v/>
      </c>
      <c r="U102">
        <f>IF(B102="","",IF(J102&lt;&gt;"",0,M102))</f>
        <v/>
      </c>
    </row>
    <row r="103">
      <c r="A103" s="1" t="n"/>
      <c r="B103" s="16" t="n">
        <v>46181</v>
      </c>
      <c r="C103" s="17" t="inlineStr">
        <is>
          <t>Harbour Books</t>
        </is>
      </c>
      <c r="D103" s="18" t="inlineStr">
        <is>
          <t>Website redesign</t>
        </is>
      </c>
      <c r="E103" s="18" t="inlineStr">
        <is>
          <t>Style guide</t>
        </is>
      </c>
      <c r="F103" s="19" t="n">
        <v>0.3958333333333333</v>
      </c>
      <c r="G103" s="19" t="n">
        <v>0.4583333333333333</v>
      </c>
      <c r="H103" s="20" t="n"/>
      <c r="I103" s="21" t="n"/>
      <c r="J103" s="22" t="n"/>
      <c r="K103" s="23" t="n"/>
      <c r="L103" s="18" t="n"/>
      <c r="M103" s="24">
        <f>IF(B103="","",IF(AND(F103&lt;&gt;"",G103&lt;&gt;""),MAX(0,ROUND(MOD(G103-F103,1)*24-N(H103)/60,2)),N(I103)))</f>
        <v/>
      </c>
      <c r="N103" s="14">
        <f>IF(B103="","",IF(K103&lt;&gt;"",K103,IF(N(IFERROR(INDEX(Projects!$D$6:$D$65,MATCH(D103,Projects!$B$6:$B$65,0)),""))&gt;0,IFERROR(INDEX(Projects!$D$6:$D$65,MATCH(D103,Projects!$B$6:$B$65,0)),""),IFERROR(INDEX(Clients!$G$6:$G$45,MATCH(C103,Clients!$B$6:$B$45,0)),0))))</f>
        <v/>
      </c>
      <c r="O103" s="14">
        <f>IF(B103="","",IF(J103&lt;&gt;"",0,ROUND(M103*N103,2)))</f>
        <v/>
      </c>
      <c r="P103" s="15">
        <f>IF(OR(B103="",J103&lt;&gt;""),"",IF(L103&lt;&gt;"",L103,IF(COUNTIFS(Invoices!$C$6:$C$305,C103,Invoices!$E$6:$E$305,"&lt;="&amp;B103,Invoices!$F$6:$F$305,"&gt;="&amp;B103)=1,INDEX(Invoices!$B$6:$B$305,SUMIFS(Invoices!$O$6:$O$305,Invoices!$C$6:$C$305,C103,Invoices!$E$6:$E$305,"&lt;="&amp;B103,Invoices!$F$6:$F$305,"&gt;="&amp;B103)),IF(COUNTIFS(Invoices!$C$6:$C$305,C103,Invoices!$E$6:$E$305,"&lt;="&amp;B103,Invoices!$F$6:$F$305,"&gt;="&amp;B103)&gt;1,"Two invoices",""))))</f>
        <v/>
      </c>
      <c r="Q103" s="15">
        <f>IF(B103="","",IF(J103&lt;&gt;"","Not billable",IF(P103="","To invoice",IF(P103="Two invoices","Check dates",IF(ISNA(MATCH(P103,Invoices!$B$6:$B$305,0)),"Check number",IF(INDEX(Invoices!$M$6:$M$305,MATCH(P103,Invoices!$B$6:$B$305,0))="Paid","Paid",IF(INDEX(Invoices!$M$6:$M$305,MATCH(P103,Invoices!$B$6:$B$305,0))="Draft","Draft","Invoiced")))))))</f>
        <v/>
      </c>
      <c r="R103" s="1">
        <f>IF(AND(B103&lt;&gt;"",P103&lt;&gt;"",P103=Invoice!$G$4),B103+MOD(N(F103),1)+ROW()/10000000,"")</f>
        <v/>
      </c>
      <c r="S103">
        <f>IF(R103="","",IF(D103="","Other work",D103)&amp;IF(AND(K103&lt;&gt;"",E103&lt;&gt;""),", "&amp;E103,""))</f>
        <v/>
      </c>
      <c r="T103">
        <f>IF(R103="","",IF(COUNTIFS(R$6:R102,"&gt;0",S$6:S102,S103,N$6:N102,N103)=0,R103,""))</f>
        <v/>
      </c>
      <c r="U103">
        <f>IF(B103="","",IF(J103&lt;&gt;"",0,M103))</f>
        <v/>
      </c>
    </row>
    <row r="104">
      <c r="A104" s="1" t="n"/>
      <c r="B104" s="16" t="n">
        <v>46182</v>
      </c>
      <c r="C104" s="17" t="inlineStr">
        <is>
          <t>Greenleaf Studio</t>
        </is>
      </c>
      <c r="D104" s="18" t="inlineStr">
        <is>
          <t>Monthly social posts</t>
        </is>
      </c>
      <c r="E104" s="18" t="inlineStr">
        <is>
          <t>Post designs</t>
        </is>
      </c>
      <c r="F104" s="19" t="n">
        <v>0.3958333333333333</v>
      </c>
      <c r="G104" s="19" t="n">
        <v>0.4791666666666667</v>
      </c>
      <c r="H104" s="20" t="n"/>
      <c r="I104" s="21" t="n"/>
      <c r="J104" s="22" t="n"/>
      <c r="K104" s="23" t="n"/>
      <c r="L104" s="18" t="n"/>
      <c r="M104" s="24">
        <f>IF(B104="","",IF(AND(F104&lt;&gt;"",G104&lt;&gt;""),MAX(0,ROUND(MOD(G104-F104,1)*24-N(H104)/60,2)),N(I104)))</f>
        <v/>
      </c>
      <c r="N104" s="14">
        <f>IF(B104="","",IF(K104&lt;&gt;"",K104,IF(N(IFERROR(INDEX(Projects!$D$6:$D$65,MATCH(D104,Projects!$B$6:$B$65,0)),""))&gt;0,IFERROR(INDEX(Projects!$D$6:$D$65,MATCH(D104,Projects!$B$6:$B$65,0)),""),IFERROR(INDEX(Clients!$G$6:$G$45,MATCH(C104,Clients!$B$6:$B$45,0)),0))))</f>
        <v/>
      </c>
      <c r="O104" s="14">
        <f>IF(B104="","",IF(J104&lt;&gt;"",0,ROUND(M104*N104,2)))</f>
        <v/>
      </c>
      <c r="P104" s="15">
        <f>IF(OR(B104="",J104&lt;&gt;""),"",IF(L104&lt;&gt;"",L104,IF(COUNTIFS(Invoices!$C$6:$C$305,C104,Invoices!$E$6:$E$305,"&lt;="&amp;B104,Invoices!$F$6:$F$305,"&gt;="&amp;B104)=1,INDEX(Invoices!$B$6:$B$305,SUMIFS(Invoices!$O$6:$O$305,Invoices!$C$6:$C$305,C104,Invoices!$E$6:$E$305,"&lt;="&amp;B104,Invoices!$F$6:$F$305,"&gt;="&amp;B104)),IF(COUNTIFS(Invoices!$C$6:$C$305,C104,Invoices!$E$6:$E$305,"&lt;="&amp;B104,Invoices!$F$6:$F$305,"&gt;="&amp;B104)&gt;1,"Two invoices",""))))</f>
        <v/>
      </c>
      <c r="Q104" s="15">
        <f>IF(B104="","",IF(J104&lt;&gt;"","Not billable",IF(P104="","To invoice",IF(P104="Two invoices","Check dates",IF(ISNA(MATCH(P104,Invoices!$B$6:$B$305,0)),"Check number",IF(INDEX(Invoices!$M$6:$M$305,MATCH(P104,Invoices!$B$6:$B$305,0))="Paid","Paid",IF(INDEX(Invoices!$M$6:$M$305,MATCH(P104,Invoices!$B$6:$B$305,0))="Draft","Draft","Invoiced")))))))</f>
        <v/>
      </c>
      <c r="R104" s="1">
        <f>IF(AND(B104&lt;&gt;"",P104&lt;&gt;"",P104=Invoice!$G$4),B104+MOD(N(F104),1)+ROW()/10000000,"")</f>
        <v/>
      </c>
      <c r="S104">
        <f>IF(R104="","",IF(D104="","Other work",D104)&amp;IF(AND(K104&lt;&gt;"",E104&lt;&gt;""),", "&amp;E104,""))</f>
        <v/>
      </c>
      <c r="T104">
        <f>IF(R104="","",IF(COUNTIFS(R$6:R103,"&gt;0",S$6:S103,S104,N$6:N103,N104)=0,R104,""))</f>
        <v/>
      </c>
      <c r="U104">
        <f>IF(B104="","",IF(J104&lt;&gt;"",0,M104))</f>
        <v/>
      </c>
    </row>
    <row r="105">
      <c r="A105" s="1" t="n"/>
      <c r="B105" s="16" t="n">
        <v>46183</v>
      </c>
      <c r="C105" s="17" t="inlineStr">
        <is>
          <t>Harbour Books</t>
        </is>
      </c>
      <c r="D105" s="18" t="inlineStr">
        <is>
          <t>Website redesign</t>
        </is>
      </c>
      <c r="E105" s="18" t="inlineStr">
        <is>
          <t>Page layouts</t>
        </is>
      </c>
      <c r="F105" s="19" t="n"/>
      <c r="G105" s="19" t="n"/>
      <c r="H105" s="20" t="n"/>
      <c r="I105" s="21" t="n">
        <v>3.5</v>
      </c>
      <c r="J105" s="22" t="n"/>
      <c r="K105" s="23" t="n"/>
      <c r="L105" s="18" t="n"/>
      <c r="M105" s="24">
        <f>IF(B105="","",IF(AND(F105&lt;&gt;"",G105&lt;&gt;""),MAX(0,ROUND(MOD(G105-F105,1)*24-N(H105)/60,2)),N(I105)))</f>
        <v/>
      </c>
      <c r="N105" s="14">
        <f>IF(B105="","",IF(K105&lt;&gt;"",K105,IF(N(IFERROR(INDEX(Projects!$D$6:$D$65,MATCH(D105,Projects!$B$6:$B$65,0)),""))&gt;0,IFERROR(INDEX(Projects!$D$6:$D$65,MATCH(D105,Projects!$B$6:$B$65,0)),""),IFERROR(INDEX(Clients!$G$6:$G$45,MATCH(C105,Clients!$B$6:$B$45,0)),0))))</f>
        <v/>
      </c>
      <c r="O105" s="14">
        <f>IF(B105="","",IF(J105&lt;&gt;"",0,ROUND(M105*N105,2)))</f>
        <v/>
      </c>
      <c r="P105" s="15">
        <f>IF(OR(B105="",J105&lt;&gt;""),"",IF(L105&lt;&gt;"",L105,IF(COUNTIFS(Invoices!$C$6:$C$305,C105,Invoices!$E$6:$E$305,"&lt;="&amp;B105,Invoices!$F$6:$F$305,"&gt;="&amp;B105)=1,INDEX(Invoices!$B$6:$B$305,SUMIFS(Invoices!$O$6:$O$305,Invoices!$C$6:$C$305,C105,Invoices!$E$6:$E$305,"&lt;="&amp;B105,Invoices!$F$6:$F$305,"&gt;="&amp;B105)),IF(COUNTIFS(Invoices!$C$6:$C$305,C105,Invoices!$E$6:$E$305,"&lt;="&amp;B105,Invoices!$F$6:$F$305,"&gt;="&amp;B105)&gt;1,"Two invoices",""))))</f>
        <v/>
      </c>
      <c r="Q105" s="15">
        <f>IF(B105="","",IF(J105&lt;&gt;"","Not billable",IF(P105="","To invoice",IF(P105="Two invoices","Check dates",IF(ISNA(MATCH(P105,Invoices!$B$6:$B$305,0)),"Check number",IF(INDEX(Invoices!$M$6:$M$305,MATCH(P105,Invoices!$B$6:$B$305,0))="Paid","Paid",IF(INDEX(Invoices!$M$6:$M$305,MATCH(P105,Invoices!$B$6:$B$305,0))="Draft","Draft","Invoiced")))))))</f>
        <v/>
      </c>
      <c r="R105" s="1">
        <f>IF(AND(B105&lt;&gt;"",P105&lt;&gt;"",P105=Invoice!$G$4),B105+MOD(N(F105),1)+ROW()/10000000,"")</f>
        <v/>
      </c>
      <c r="S105">
        <f>IF(R105="","",IF(D105="","Other work",D105)&amp;IF(AND(K105&lt;&gt;"",E105&lt;&gt;""),", "&amp;E105,""))</f>
        <v/>
      </c>
      <c r="T105">
        <f>IF(R105="","",IF(COUNTIFS(R$6:R104,"&gt;0",S$6:S104,S105,N$6:N104,N105)=0,R105,""))</f>
        <v/>
      </c>
      <c r="U105">
        <f>IF(B105="","",IF(J105&lt;&gt;"",0,M105))</f>
        <v/>
      </c>
    </row>
    <row r="106">
      <c r="A106" s="1" t="n"/>
      <c r="B106" s="16" t="n">
        <v>46183</v>
      </c>
      <c r="C106" s="17" t="inlineStr">
        <is>
          <t>Harbour Books</t>
        </is>
      </c>
      <c r="D106" s="18" t="inlineStr">
        <is>
          <t>Website redesign</t>
        </is>
      </c>
      <c r="E106" s="18" t="inlineStr">
        <is>
          <t>Home page design</t>
        </is>
      </c>
      <c r="F106" s="19" t="n">
        <v>0.375</v>
      </c>
      <c r="G106" s="19" t="n">
        <v>0.4375</v>
      </c>
      <c r="H106" s="20" t="n"/>
      <c r="I106" s="21" t="n"/>
      <c r="J106" s="22" t="n"/>
      <c r="K106" s="23" t="n"/>
      <c r="L106" s="18" t="n"/>
      <c r="M106" s="24">
        <f>IF(B106="","",IF(AND(F106&lt;&gt;"",G106&lt;&gt;""),MAX(0,ROUND(MOD(G106-F106,1)*24-N(H106)/60,2)),N(I106)))</f>
        <v/>
      </c>
      <c r="N106" s="14">
        <f>IF(B106="","",IF(K106&lt;&gt;"",K106,IF(N(IFERROR(INDEX(Projects!$D$6:$D$65,MATCH(D106,Projects!$B$6:$B$65,0)),""))&gt;0,IFERROR(INDEX(Projects!$D$6:$D$65,MATCH(D106,Projects!$B$6:$B$65,0)),""),IFERROR(INDEX(Clients!$G$6:$G$45,MATCH(C106,Clients!$B$6:$B$45,0)),0))))</f>
        <v/>
      </c>
      <c r="O106" s="14">
        <f>IF(B106="","",IF(J106&lt;&gt;"",0,ROUND(M106*N106,2)))</f>
        <v/>
      </c>
      <c r="P106" s="15">
        <f>IF(OR(B106="",J106&lt;&gt;""),"",IF(L106&lt;&gt;"",L106,IF(COUNTIFS(Invoices!$C$6:$C$305,C106,Invoices!$E$6:$E$305,"&lt;="&amp;B106,Invoices!$F$6:$F$305,"&gt;="&amp;B106)=1,INDEX(Invoices!$B$6:$B$305,SUMIFS(Invoices!$O$6:$O$305,Invoices!$C$6:$C$305,C106,Invoices!$E$6:$E$305,"&lt;="&amp;B106,Invoices!$F$6:$F$305,"&gt;="&amp;B106)),IF(COUNTIFS(Invoices!$C$6:$C$305,C106,Invoices!$E$6:$E$305,"&lt;="&amp;B106,Invoices!$F$6:$F$305,"&gt;="&amp;B106)&gt;1,"Two invoices",""))))</f>
        <v/>
      </c>
      <c r="Q106" s="15">
        <f>IF(B106="","",IF(J106&lt;&gt;"","Not billable",IF(P106="","To invoice",IF(P106="Two invoices","Check dates",IF(ISNA(MATCH(P106,Invoices!$B$6:$B$305,0)),"Check number",IF(INDEX(Invoices!$M$6:$M$305,MATCH(P106,Invoices!$B$6:$B$305,0))="Paid","Paid",IF(INDEX(Invoices!$M$6:$M$305,MATCH(P106,Invoices!$B$6:$B$305,0))="Draft","Draft","Invoiced")))))))</f>
        <v/>
      </c>
      <c r="R106" s="1">
        <f>IF(AND(B106&lt;&gt;"",P106&lt;&gt;"",P106=Invoice!$G$4),B106+MOD(N(F106),1)+ROW()/10000000,"")</f>
        <v/>
      </c>
      <c r="S106">
        <f>IF(R106="","",IF(D106="","Other work",D106)&amp;IF(AND(K106&lt;&gt;"",E106&lt;&gt;""),", "&amp;E106,""))</f>
        <v/>
      </c>
      <c r="T106">
        <f>IF(R106="","",IF(COUNTIFS(R$6:R105,"&gt;0",S$6:S105,S106,N$6:N105,N106)=0,R106,""))</f>
        <v/>
      </c>
      <c r="U106">
        <f>IF(B106="","",IF(J106&lt;&gt;"",0,M106))</f>
        <v/>
      </c>
    </row>
    <row r="107">
      <c r="A107" s="1" t="n"/>
      <c r="B107" s="16" t="n">
        <v>46184</v>
      </c>
      <c r="C107" s="17" t="inlineStr">
        <is>
          <t>Greenleaf Studio</t>
        </is>
      </c>
      <c r="D107" s="18" t="inlineStr">
        <is>
          <t>Monthly social posts</t>
        </is>
      </c>
      <c r="E107" s="18" t="inlineStr">
        <is>
          <t>Post designs</t>
        </is>
      </c>
      <c r="F107" s="19" t="n">
        <v>0.3958333333333333</v>
      </c>
      <c r="G107" s="19" t="n">
        <v>0.53125</v>
      </c>
      <c r="H107" s="20" t="n">
        <v>15</v>
      </c>
      <c r="I107" s="21" t="n"/>
      <c r="J107" s="22" t="n"/>
      <c r="K107" s="23" t="n"/>
      <c r="L107" s="18" t="n"/>
      <c r="M107" s="24">
        <f>IF(B107="","",IF(AND(F107&lt;&gt;"",G107&lt;&gt;""),MAX(0,ROUND(MOD(G107-F107,1)*24-N(H107)/60,2)),N(I107)))</f>
        <v/>
      </c>
      <c r="N107" s="14">
        <f>IF(B107="","",IF(K107&lt;&gt;"",K107,IF(N(IFERROR(INDEX(Projects!$D$6:$D$65,MATCH(D107,Projects!$B$6:$B$65,0)),""))&gt;0,IFERROR(INDEX(Projects!$D$6:$D$65,MATCH(D107,Projects!$B$6:$B$65,0)),""),IFERROR(INDEX(Clients!$G$6:$G$45,MATCH(C107,Clients!$B$6:$B$45,0)),0))))</f>
        <v/>
      </c>
      <c r="O107" s="14">
        <f>IF(B107="","",IF(J107&lt;&gt;"",0,ROUND(M107*N107,2)))</f>
        <v/>
      </c>
      <c r="P107" s="15">
        <f>IF(OR(B107="",J107&lt;&gt;""),"",IF(L107&lt;&gt;"",L107,IF(COUNTIFS(Invoices!$C$6:$C$305,C107,Invoices!$E$6:$E$305,"&lt;="&amp;B107,Invoices!$F$6:$F$305,"&gt;="&amp;B107)=1,INDEX(Invoices!$B$6:$B$305,SUMIFS(Invoices!$O$6:$O$305,Invoices!$C$6:$C$305,C107,Invoices!$E$6:$E$305,"&lt;="&amp;B107,Invoices!$F$6:$F$305,"&gt;="&amp;B107)),IF(COUNTIFS(Invoices!$C$6:$C$305,C107,Invoices!$E$6:$E$305,"&lt;="&amp;B107,Invoices!$F$6:$F$305,"&gt;="&amp;B107)&gt;1,"Two invoices",""))))</f>
        <v/>
      </c>
      <c r="Q107" s="15">
        <f>IF(B107="","",IF(J107&lt;&gt;"","Not billable",IF(P107="","To invoice",IF(P107="Two invoices","Check dates",IF(ISNA(MATCH(P107,Invoices!$B$6:$B$305,0)),"Check number",IF(INDEX(Invoices!$M$6:$M$305,MATCH(P107,Invoices!$B$6:$B$305,0))="Paid","Paid",IF(INDEX(Invoices!$M$6:$M$305,MATCH(P107,Invoices!$B$6:$B$305,0))="Draft","Draft","Invoiced")))))))</f>
        <v/>
      </c>
      <c r="R107" s="1">
        <f>IF(AND(B107&lt;&gt;"",P107&lt;&gt;"",P107=Invoice!$G$4),B107+MOD(N(F107),1)+ROW()/10000000,"")</f>
        <v/>
      </c>
      <c r="S107">
        <f>IF(R107="","",IF(D107="","Other work",D107)&amp;IF(AND(K107&lt;&gt;"",E107&lt;&gt;""),", "&amp;E107,""))</f>
        <v/>
      </c>
      <c r="T107">
        <f>IF(R107="","",IF(COUNTIFS(R$6:R106,"&gt;0",S$6:S106,S107,N$6:N106,N107)=0,R107,""))</f>
        <v/>
      </c>
      <c r="U107">
        <f>IF(B107="","",IF(J107&lt;&gt;"",0,M107))</f>
        <v/>
      </c>
    </row>
    <row r="108">
      <c r="A108" s="1" t="n"/>
      <c r="B108" s="16" t="n">
        <v>46185</v>
      </c>
      <c r="C108" s="17" t="inlineStr">
        <is>
          <t>Harbour Books</t>
        </is>
      </c>
      <c r="D108" s="18" t="inlineStr">
        <is>
          <t>Website redesign</t>
        </is>
      </c>
      <c r="E108" s="18" t="inlineStr">
        <is>
          <t>Client call</t>
        </is>
      </c>
      <c r="F108" s="19" t="n">
        <v>0.3958333333333333</v>
      </c>
      <c r="G108" s="19" t="n">
        <v>0.5416666666666666</v>
      </c>
      <c r="H108" s="20" t="n"/>
      <c r="I108" s="21" t="n"/>
      <c r="J108" s="22" t="n"/>
      <c r="K108" s="23" t="n"/>
      <c r="L108" s="18" t="n"/>
      <c r="M108" s="24">
        <f>IF(B108="","",IF(AND(F108&lt;&gt;"",G108&lt;&gt;""),MAX(0,ROUND(MOD(G108-F108,1)*24-N(H108)/60,2)),N(I108)))</f>
        <v/>
      </c>
      <c r="N108" s="14">
        <f>IF(B108="","",IF(K108&lt;&gt;"",K108,IF(N(IFERROR(INDEX(Projects!$D$6:$D$65,MATCH(D108,Projects!$B$6:$B$65,0)),""))&gt;0,IFERROR(INDEX(Projects!$D$6:$D$65,MATCH(D108,Projects!$B$6:$B$65,0)),""),IFERROR(INDEX(Clients!$G$6:$G$45,MATCH(C108,Clients!$B$6:$B$45,0)),0))))</f>
        <v/>
      </c>
      <c r="O108" s="14">
        <f>IF(B108="","",IF(J108&lt;&gt;"",0,ROUND(M108*N108,2)))</f>
        <v/>
      </c>
      <c r="P108" s="15">
        <f>IF(OR(B108="",J108&lt;&gt;""),"",IF(L108&lt;&gt;"",L108,IF(COUNTIFS(Invoices!$C$6:$C$305,C108,Invoices!$E$6:$E$305,"&lt;="&amp;B108,Invoices!$F$6:$F$305,"&gt;="&amp;B108)=1,INDEX(Invoices!$B$6:$B$305,SUMIFS(Invoices!$O$6:$O$305,Invoices!$C$6:$C$305,C108,Invoices!$E$6:$E$305,"&lt;="&amp;B108,Invoices!$F$6:$F$305,"&gt;="&amp;B108)),IF(COUNTIFS(Invoices!$C$6:$C$305,C108,Invoices!$E$6:$E$305,"&lt;="&amp;B108,Invoices!$F$6:$F$305,"&gt;="&amp;B108)&gt;1,"Two invoices",""))))</f>
        <v/>
      </c>
      <c r="Q108" s="15">
        <f>IF(B108="","",IF(J108&lt;&gt;"","Not billable",IF(P108="","To invoice",IF(P108="Two invoices","Check dates",IF(ISNA(MATCH(P108,Invoices!$B$6:$B$305,0)),"Check number",IF(INDEX(Invoices!$M$6:$M$305,MATCH(P108,Invoices!$B$6:$B$305,0))="Paid","Paid",IF(INDEX(Invoices!$M$6:$M$305,MATCH(P108,Invoices!$B$6:$B$305,0))="Draft","Draft","Invoiced")))))))</f>
        <v/>
      </c>
      <c r="R108" s="1">
        <f>IF(AND(B108&lt;&gt;"",P108&lt;&gt;"",P108=Invoice!$G$4),B108+MOD(N(F108),1)+ROW()/10000000,"")</f>
        <v/>
      </c>
      <c r="S108">
        <f>IF(R108="","",IF(D108="","Other work",D108)&amp;IF(AND(K108&lt;&gt;"",E108&lt;&gt;""),", "&amp;E108,""))</f>
        <v/>
      </c>
      <c r="T108">
        <f>IF(R108="","",IF(COUNTIFS(R$6:R107,"&gt;0",S$6:S107,S108,N$6:N107,N108)=0,R108,""))</f>
        <v/>
      </c>
      <c r="U108">
        <f>IF(B108="","",IF(J108&lt;&gt;"",0,M108))</f>
        <v/>
      </c>
    </row>
    <row r="109">
      <c r="A109" s="1" t="n"/>
      <c r="B109" s="16" t="n">
        <v>46188</v>
      </c>
      <c r="C109" s="17" t="inlineStr">
        <is>
          <t>Harbour Books</t>
        </is>
      </c>
      <c r="D109" s="18" t="inlineStr">
        <is>
          <t>Website redesign</t>
        </is>
      </c>
      <c r="E109" s="18" t="inlineStr">
        <is>
          <t>Client call</t>
        </is>
      </c>
      <c r="F109" s="19" t="n"/>
      <c r="G109" s="19" t="n"/>
      <c r="H109" s="20" t="n"/>
      <c r="I109" s="21" t="n">
        <v>1.5</v>
      </c>
      <c r="J109" s="22" t="n"/>
      <c r="K109" s="23" t="n"/>
      <c r="L109" s="18" t="n"/>
      <c r="M109" s="24">
        <f>IF(B109="","",IF(AND(F109&lt;&gt;"",G109&lt;&gt;""),MAX(0,ROUND(MOD(G109-F109,1)*24-N(H109)/60,2)),N(I109)))</f>
        <v/>
      </c>
      <c r="N109" s="14">
        <f>IF(B109="","",IF(K109&lt;&gt;"",K109,IF(N(IFERROR(INDEX(Projects!$D$6:$D$65,MATCH(D109,Projects!$B$6:$B$65,0)),""))&gt;0,IFERROR(INDEX(Projects!$D$6:$D$65,MATCH(D109,Projects!$B$6:$B$65,0)),""),IFERROR(INDEX(Clients!$G$6:$G$45,MATCH(C109,Clients!$B$6:$B$45,0)),0))))</f>
        <v/>
      </c>
      <c r="O109" s="14">
        <f>IF(B109="","",IF(J109&lt;&gt;"",0,ROUND(M109*N109,2)))</f>
        <v/>
      </c>
      <c r="P109" s="15">
        <f>IF(OR(B109="",J109&lt;&gt;""),"",IF(L109&lt;&gt;"",L109,IF(COUNTIFS(Invoices!$C$6:$C$305,C109,Invoices!$E$6:$E$305,"&lt;="&amp;B109,Invoices!$F$6:$F$305,"&gt;="&amp;B109)=1,INDEX(Invoices!$B$6:$B$305,SUMIFS(Invoices!$O$6:$O$305,Invoices!$C$6:$C$305,C109,Invoices!$E$6:$E$305,"&lt;="&amp;B109,Invoices!$F$6:$F$305,"&gt;="&amp;B109)),IF(COUNTIFS(Invoices!$C$6:$C$305,C109,Invoices!$E$6:$E$305,"&lt;="&amp;B109,Invoices!$F$6:$F$305,"&gt;="&amp;B109)&gt;1,"Two invoices",""))))</f>
        <v/>
      </c>
      <c r="Q109" s="15">
        <f>IF(B109="","",IF(J109&lt;&gt;"","Not billable",IF(P109="","To invoice",IF(P109="Two invoices","Check dates",IF(ISNA(MATCH(P109,Invoices!$B$6:$B$305,0)),"Check number",IF(INDEX(Invoices!$M$6:$M$305,MATCH(P109,Invoices!$B$6:$B$305,0))="Paid","Paid",IF(INDEX(Invoices!$M$6:$M$305,MATCH(P109,Invoices!$B$6:$B$305,0))="Draft","Draft","Invoiced")))))))</f>
        <v/>
      </c>
      <c r="R109" s="1">
        <f>IF(AND(B109&lt;&gt;"",P109&lt;&gt;"",P109=Invoice!$G$4),B109+MOD(N(F109),1)+ROW()/10000000,"")</f>
        <v/>
      </c>
      <c r="S109">
        <f>IF(R109="","",IF(D109="","Other work",D109)&amp;IF(AND(K109&lt;&gt;"",E109&lt;&gt;""),", "&amp;E109,""))</f>
        <v/>
      </c>
      <c r="T109">
        <f>IF(R109="","",IF(COUNTIFS(R$6:R108,"&gt;0",S$6:S108,S109,N$6:N108,N109)=0,R109,""))</f>
        <v/>
      </c>
      <c r="U109">
        <f>IF(B109="","",IF(J109&lt;&gt;"",0,M109))</f>
        <v/>
      </c>
    </row>
    <row r="110">
      <c r="A110" s="1" t="n"/>
      <c r="B110" s="16" t="n">
        <v>46188</v>
      </c>
      <c r="C110" s="17" t="inlineStr">
        <is>
          <t>Greenleaf Studio</t>
        </is>
      </c>
      <c r="D110" s="18" t="inlineStr">
        <is>
          <t>Monthly social posts</t>
        </is>
      </c>
      <c r="E110" s="18" t="inlineStr">
        <is>
          <t>Post designs</t>
        </is>
      </c>
      <c r="F110" s="19" t="n"/>
      <c r="G110" s="19" t="n"/>
      <c r="H110" s="20" t="n"/>
      <c r="I110" s="21" t="n">
        <v>2</v>
      </c>
      <c r="J110" s="22" t="n"/>
      <c r="K110" s="23" t="n"/>
      <c r="L110" s="18" t="n"/>
      <c r="M110" s="24">
        <f>IF(B110="","",IF(AND(F110&lt;&gt;"",G110&lt;&gt;""),MAX(0,ROUND(MOD(G110-F110,1)*24-N(H110)/60,2)),N(I110)))</f>
        <v/>
      </c>
      <c r="N110" s="14">
        <f>IF(B110="","",IF(K110&lt;&gt;"",K110,IF(N(IFERROR(INDEX(Projects!$D$6:$D$65,MATCH(D110,Projects!$B$6:$B$65,0)),""))&gt;0,IFERROR(INDEX(Projects!$D$6:$D$65,MATCH(D110,Projects!$B$6:$B$65,0)),""),IFERROR(INDEX(Clients!$G$6:$G$45,MATCH(C110,Clients!$B$6:$B$45,0)),0))))</f>
        <v/>
      </c>
      <c r="O110" s="14">
        <f>IF(B110="","",IF(J110&lt;&gt;"",0,ROUND(M110*N110,2)))</f>
        <v/>
      </c>
      <c r="P110" s="15">
        <f>IF(OR(B110="",J110&lt;&gt;""),"",IF(L110&lt;&gt;"",L110,IF(COUNTIFS(Invoices!$C$6:$C$305,C110,Invoices!$E$6:$E$305,"&lt;="&amp;B110,Invoices!$F$6:$F$305,"&gt;="&amp;B110)=1,INDEX(Invoices!$B$6:$B$305,SUMIFS(Invoices!$O$6:$O$305,Invoices!$C$6:$C$305,C110,Invoices!$E$6:$E$305,"&lt;="&amp;B110,Invoices!$F$6:$F$305,"&gt;="&amp;B110)),IF(COUNTIFS(Invoices!$C$6:$C$305,C110,Invoices!$E$6:$E$305,"&lt;="&amp;B110,Invoices!$F$6:$F$305,"&gt;="&amp;B110)&gt;1,"Two invoices",""))))</f>
        <v/>
      </c>
      <c r="Q110" s="15">
        <f>IF(B110="","",IF(J110&lt;&gt;"","Not billable",IF(P110="","To invoice",IF(P110="Two invoices","Check dates",IF(ISNA(MATCH(P110,Invoices!$B$6:$B$305,0)),"Check number",IF(INDEX(Invoices!$M$6:$M$305,MATCH(P110,Invoices!$B$6:$B$305,0))="Paid","Paid",IF(INDEX(Invoices!$M$6:$M$305,MATCH(P110,Invoices!$B$6:$B$305,0))="Draft","Draft","Invoiced")))))))</f>
        <v/>
      </c>
      <c r="R110" s="1">
        <f>IF(AND(B110&lt;&gt;"",P110&lt;&gt;"",P110=Invoice!$G$4),B110+MOD(N(F110),1)+ROW()/10000000,"")</f>
        <v/>
      </c>
      <c r="S110">
        <f>IF(R110="","",IF(D110="","Other work",D110)&amp;IF(AND(K110&lt;&gt;"",E110&lt;&gt;""),", "&amp;E110,""))</f>
        <v/>
      </c>
      <c r="T110">
        <f>IF(R110="","",IF(COUNTIFS(R$6:R109,"&gt;0",S$6:S109,S110,N$6:N109,N110)=0,R110,""))</f>
        <v/>
      </c>
      <c r="U110">
        <f>IF(B110="","",IF(J110&lt;&gt;"",0,M110))</f>
        <v/>
      </c>
    </row>
    <row r="111">
      <c r="A111" s="1" t="n"/>
      <c r="B111" s="16" t="n">
        <v>46188</v>
      </c>
      <c r="C111" s="17" t="inlineStr">
        <is>
          <t>Harbour Books</t>
        </is>
      </c>
      <c r="D111" s="18" t="inlineStr">
        <is>
          <t>Website redesign</t>
        </is>
      </c>
      <c r="E111" s="18" t="inlineStr">
        <is>
          <t>Style guide</t>
        </is>
      </c>
      <c r="F111" s="19" t="n">
        <v>0.3958333333333333</v>
      </c>
      <c r="G111" s="19" t="n">
        <v>0.4791666666666667</v>
      </c>
      <c r="H111" s="20" t="n"/>
      <c r="I111" s="21" t="n"/>
      <c r="J111" s="22" t="n"/>
      <c r="K111" s="23" t="n"/>
      <c r="L111" s="18" t="n"/>
      <c r="M111" s="24">
        <f>IF(B111="","",IF(AND(F111&lt;&gt;"",G111&lt;&gt;""),MAX(0,ROUND(MOD(G111-F111,1)*24-N(H111)/60,2)),N(I111)))</f>
        <v/>
      </c>
      <c r="N111" s="14">
        <f>IF(B111="","",IF(K111&lt;&gt;"",K111,IF(N(IFERROR(INDEX(Projects!$D$6:$D$65,MATCH(D111,Projects!$B$6:$B$65,0)),""))&gt;0,IFERROR(INDEX(Projects!$D$6:$D$65,MATCH(D111,Projects!$B$6:$B$65,0)),""),IFERROR(INDEX(Clients!$G$6:$G$45,MATCH(C111,Clients!$B$6:$B$45,0)),0))))</f>
        <v/>
      </c>
      <c r="O111" s="14">
        <f>IF(B111="","",IF(J111&lt;&gt;"",0,ROUND(M111*N111,2)))</f>
        <v/>
      </c>
      <c r="P111" s="15">
        <f>IF(OR(B111="",J111&lt;&gt;""),"",IF(L111&lt;&gt;"",L111,IF(COUNTIFS(Invoices!$C$6:$C$305,C111,Invoices!$E$6:$E$305,"&lt;="&amp;B111,Invoices!$F$6:$F$305,"&gt;="&amp;B111)=1,INDEX(Invoices!$B$6:$B$305,SUMIFS(Invoices!$O$6:$O$305,Invoices!$C$6:$C$305,C111,Invoices!$E$6:$E$305,"&lt;="&amp;B111,Invoices!$F$6:$F$305,"&gt;="&amp;B111)),IF(COUNTIFS(Invoices!$C$6:$C$305,C111,Invoices!$E$6:$E$305,"&lt;="&amp;B111,Invoices!$F$6:$F$305,"&gt;="&amp;B111)&gt;1,"Two invoices",""))))</f>
        <v/>
      </c>
      <c r="Q111" s="15">
        <f>IF(B111="","",IF(J111&lt;&gt;"","Not billable",IF(P111="","To invoice",IF(P111="Two invoices","Check dates",IF(ISNA(MATCH(P111,Invoices!$B$6:$B$305,0)),"Check number",IF(INDEX(Invoices!$M$6:$M$305,MATCH(P111,Invoices!$B$6:$B$305,0))="Paid","Paid",IF(INDEX(Invoices!$M$6:$M$305,MATCH(P111,Invoices!$B$6:$B$305,0))="Draft","Draft","Invoiced")))))))</f>
        <v/>
      </c>
      <c r="R111" s="1">
        <f>IF(AND(B111&lt;&gt;"",P111&lt;&gt;"",P111=Invoice!$G$4),B111+MOD(N(F111),1)+ROW()/10000000,"")</f>
        <v/>
      </c>
      <c r="S111">
        <f>IF(R111="","",IF(D111="","Other work",D111)&amp;IF(AND(K111&lt;&gt;"",E111&lt;&gt;""),", "&amp;E111,""))</f>
        <v/>
      </c>
      <c r="T111">
        <f>IF(R111="","",IF(COUNTIFS(R$6:R110,"&gt;0",S$6:S110,S111,N$6:N110,N111)=0,R111,""))</f>
        <v/>
      </c>
      <c r="U111">
        <f>IF(B111="","",IF(J111&lt;&gt;"",0,M111))</f>
        <v/>
      </c>
    </row>
    <row r="112">
      <c r="A112" s="1" t="n"/>
      <c r="B112" s="16" t="n">
        <v>46189</v>
      </c>
      <c r="C112" s="17" t="inlineStr">
        <is>
          <t>Greenleaf Studio</t>
        </is>
      </c>
      <c r="D112" s="18" t="inlineStr">
        <is>
          <t>Monthly social posts</t>
        </is>
      </c>
      <c r="E112" s="18" t="inlineStr">
        <is>
          <t>Monthly report</t>
        </is>
      </c>
      <c r="F112" s="19" t="n"/>
      <c r="G112" s="19" t="n"/>
      <c r="H112" s="20" t="n"/>
      <c r="I112" s="21" t="n">
        <v>2</v>
      </c>
      <c r="J112" s="22" t="n"/>
      <c r="K112" s="23" t="n"/>
      <c r="L112" s="18" t="n"/>
      <c r="M112" s="24">
        <f>IF(B112="","",IF(AND(F112&lt;&gt;"",G112&lt;&gt;""),MAX(0,ROUND(MOD(G112-F112,1)*24-N(H112)/60,2)),N(I112)))</f>
        <v/>
      </c>
      <c r="N112" s="14">
        <f>IF(B112="","",IF(K112&lt;&gt;"",K112,IF(N(IFERROR(INDEX(Projects!$D$6:$D$65,MATCH(D112,Projects!$B$6:$B$65,0)),""))&gt;0,IFERROR(INDEX(Projects!$D$6:$D$65,MATCH(D112,Projects!$B$6:$B$65,0)),""),IFERROR(INDEX(Clients!$G$6:$G$45,MATCH(C112,Clients!$B$6:$B$45,0)),0))))</f>
        <v/>
      </c>
      <c r="O112" s="14">
        <f>IF(B112="","",IF(J112&lt;&gt;"",0,ROUND(M112*N112,2)))</f>
        <v/>
      </c>
      <c r="P112" s="15">
        <f>IF(OR(B112="",J112&lt;&gt;""),"",IF(L112&lt;&gt;"",L112,IF(COUNTIFS(Invoices!$C$6:$C$305,C112,Invoices!$E$6:$E$305,"&lt;="&amp;B112,Invoices!$F$6:$F$305,"&gt;="&amp;B112)=1,INDEX(Invoices!$B$6:$B$305,SUMIFS(Invoices!$O$6:$O$305,Invoices!$C$6:$C$305,C112,Invoices!$E$6:$E$305,"&lt;="&amp;B112,Invoices!$F$6:$F$305,"&gt;="&amp;B112)),IF(COUNTIFS(Invoices!$C$6:$C$305,C112,Invoices!$E$6:$E$305,"&lt;="&amp;B112,Invoices!$F$6:$F$305,"&gt;="&amp;B112)&gt;1,"Two invoices",""))))</f>
        <v/>
      </c>
      <c r="Q112" s="15">
        <f>IF(B112="","",IF(J112&lt;&gt;"","Not billable",IF(P112="","To invoice",IF(P112="Two invoices","Check dates",IF(ISNA(MATCH(P112,Invoices!$B$6:$B$305,0)),"Check number",IF(INDEX(Invoices!$M$6:$M$305,MATCH(P112,Invoices!$B$6:$B$305,0))="Paid","Paid",IF(INDEX(Invoices!$M$6:$M$305,MATCH(P112,Invoices!$B$6:$B$305,0))="Draft","Draft","Invoiced")))))))</f>
        <v/>
      </c>
      <c r="R112" s="1">
        <f>IF(AND(B112&lt;&gt;"",P112&lt;&gt;"",P112=Invoice!$G$4),B112+MOD(N(F112),1)+ROW()/10000000,"")</f>
        <v/>
      </c>
      <c r="S112">
        <f>IF(R112="","",IF(D112="","Other work",D112)&amp;IF(AND(K112&lt;&gt;"",E112&lt;&gt;""),", "&amp;E112,""))</f>
        <v/>
      </c>
      <c r="T112">
        <f>IF(R112="","",IF(COUNTIFS(R$6:R111,"&gt;0",S$6:S111,S112,N$6:N111,N112)=0,R112,""))</f>
        <v/>
      </c>
      <c r="U112">
        <f>IF(B112="","",IF(J112&lt;&gt;"",0,M112))</f>
        <v/>
      </c>
    </row>
    <row r="113">
      <c r="A113" s="1" t="n"/>
      <c r="B113" s="16" t="n">
        <v>46189</v>
      </c>
      <c r="C113" s="17" t="inlineStr">
        <is>
          <t>Harbour Books</t>
        </is>
      </c>
      <c r="D113" s="18" t="inlineStr">
        <is>
          <t>Website redesign</t>
        </is>
      </c>
      <c r="E113" s="18" t="inlineStr">
        <is>
          <t>Revisions after feedback</t>
        </is>
      </c>
      <c r="F113" s="19" t="n">
        <v>0.375</v>
      </c>
      <c r="G113" s="19" t="n">
        <v>0.53125</v>
      </c>
      <c r="H113" s="20" t="n">
        <v>15</v>
      </c>
      <c r="I113" s="21" t="n"/>
      <c r="J113" s="22" t="n"/>
      <c r="K113" s="23" t="n"/>
      <c r="L113" s="18" t="n"/>
      <c r="M113" s="24">
        <f>IF(B113="","",IF(AND(F113&lt;&gt;"",G113&lt;&gt;""),MAX(0,ROUND(MOD(G113-F113,1)*24-N(H113)/60,2)),N(I113)))</f>
        <v/>
      </c>
      <c r="N113" s="14">
        <f>IF(B113="","",IF(K113&lt;&gt;"",K113,IF(N(IFERROR(INDEX(Projects!$D$6:$D$65,MATCH(D113,Projects!$B$6:$B$65,0)),""))&gt;0,IFERROR(INDEX(Projects!$D$6:$D$65,MATCH(D113,Projects!$B$6:$B$65,0)),""),IFERROR(INDEX(Clients!$G$6:$G$45,MATCH(C113,Clients!$B$6:$B$45,0)),0))))</f>
        <v/>
      </c>
      <c r="O113" s="14">
        <f>IF(B113="","",IF(J113&lt;&gt;"",0,ROUND(M113*N113,2)))</f>
        <v/>
      </c>
      <c r="P113" s="15">
        <f>IF(OR(B113="",J113&lt;&gt;""),"",IF(L113&lt;&gt;"",L113,IF(COUNTIFS(Invoices!$C$6:$C$305,C113,Invoices!$E$6:$E$305,"&lt;="&amp;B113,Invoices!$F$6:$F$305,"&gt;="&amp;B113)=1,INDEX(Invoices!$B$6:$B$305,SUMIFS(Invoices!$O$6:$O$305,Invoices!$C$6:$C$305,C113,Invoices!$E$6:$E$305,"&lt;="&amp;B113,Invoices!$F$6:$F$305,"&gt;="&amp;B113)),IF(COUNTIFS(Invoices!$C$6:$C$305,C113,Invoices!$E$6:$E$305,"&lt;="&amp;B113,Invoices!$F$6:$F$305,"&gt;="&amp;B113)&gt;1,"Two invoices",""))))</f>
        <v/>
      </c>
      <c r="Q113" s="15">
        <f>IF(B113="","",IF(J113&lt;&gt;"","Not billable",IF(P113="","To invoice",IF(P113="Two invoices","Check dates",IF(ISNA(MATCH(P113,Invoices!$B$6:$B$305,0)),"Check number",IF(INDEX(Invoices!$M$6:$M$305,MATCH(P113,Invoices!$B$6:$B$305,0))="Paid","Paid",IF(INDEX(Invoices!$M$6:$M$305,MATCH(P113,Invoices!$B$6:$B$305,0))="Draft","Draft","Invoiced")))))))</f>
        <v/>
      </c>
      <c r="R113" s="1">
        <f>IF(AND(B113&lt;&gt;"",P113&lt;&gt;"",P113=Invoice!$G$4),B113+MOD(N(F113),1)+ROW()/10000000,"")</f>
        <v/>
      </c>
      <c r="S113">
        <f>IF(R113="","",IF(D113="","Other work",D113)&amp;IF(AND(K113&lt;&gt;"",E113&lt;&gt;""),", "&amp;E113,""))</f>
        <v/>
      </c>
      <c r="T113">
        <f>IF(R113="","",IF(COUNTIFS(R$6:R112,"&gt;0",S$6:S112,S113,N$6:N112,N113)=0,R113,""))</f>
        <v/>
      </c>
      <c r="U113">
        <f>IF(B113="","",IF(J113&lt;&gt;"",0,M113))</f>
        <v/>
      </c>
    </row>
    <row r="114">
      <c r="A114" s="1" t="n"/>
      <c r="B114" s="16" t="n">
        <v>46190</v>
      </c>
      <c r="C114" s="17" t="inlineStr">
        <is>
          <t>Harbour Books</t>
        </is>
      </c>
      <c r="D114" s="18" t="inlineStr">
        <is>
          <t>Website redesign</t>
        </is>
      </c>
      <c r="E114" s="18" t="inlineStr">
        <is>
          <t>Mobile layouts</t>
        </is>
      </c>
      <c r="F114" s="19" t="n">
        <v>0.3958333333333333</v>
      </c>
      <c r="G114" s="19" t="n">
        <v>0.5520833333333334</v>
      </c>
      <c r="H114" s="20" t="n">
        <v>15</v>
      </c>
      <c r="I114" s="21" t="n"/>
      <c r="J114" s="22" t="n"/>
      <c r="K114" s="23" t="n"/>
      <c r="L114" s="18" t="n"/>
      <c r="M114" s="24">
        <f>IF(B114="","",IF(AND(F114&lt;&gt;"",G114&lt;&gt;""),MAX(0,ROUND(MOD(G114-F114,1)*24-N(H114)/60,2)),N(I114)))</f>
        <v/>
      </c>
      <c r="N114" s="14">
        <f>IF(B114="","",IF(K114&lt;&gt;"",K114,IF(N(IFERROR(INDEX(Projects!$D$6:$D$65,MATCH(D114,Projects!$B$6:$B$65,0)),""))&gt;0,IFERROR(INDEX(Projects!$D$6:$D$65,MATCH(D114,Projects!$B$6:$B$65,0)),""),IFERROR(INDEX(Clients!$G$6:$G$45,MATCH(C114,Clients!$B$6:$B$45,0)),0))))</f>
        <v/>
      </c>
      <c r="O114" s="14">
        <f>IF(B114="","",IF(J114&lt;&gt;"",0,ROUND(M114*N114,2)))</f>
        <v/>
      </c>
      <c r="P114" s="15">
        <f>IF(OR(B114="",J114&lt;&gt;""),"",IF(L114&lt;&gt;"",L114,IF(COUNTIFS(Invoices!$C$6:$C$305,C114,Invoices!$E$6:$E$305,"&lt;="&amp;B114,Invoices!$F$6:$F$305,"&gt;="&amp;B114)=1,INDEX(Invoices!$B$6:$B$305,SUMIFS(Invoices!$O$6:$O$305,Invoices!$C$6:$C$305,C114,Invoices!$E$6:$E$305,"&lt;="&amp;B114,Invoices!$F$6:$F$305,"&gt;="&amp;B114)),IF(COUNTIFS(Invoices!$C$6:$C$305,C114,Invoices!$E$6:$E$305,"&lt;="&amp;B114,Invoices!$F$6:$F$305,"&gt;="&amp;B114)&gt;1,"Two invoices",""))))</f>
        <v/>
      </c>
      <c r="Q114" s="15">
        <f>IF(B114="","",IF(J114&lt;&gt;"","Not billable",IF(P114="","To invoice",IF(P114="Two invoices","Check dates",IF(ISNA(MATCH(P114,Invoices!$B$6:$B$305,0)),"Check number",IF(INDEX(Invoices!$M$6:$M$305,MATCH(P114,Invoices!$B$6:$B$305,0))="Paid","Paid",IF(INDEX(Invoices!$M$6:$M$305,MATCH(P114,Invoices!$B$6:$B$305,0))="Draft","Draft","Invoiced")))))))</f>
        <v/>
      </c>
      <c r="R114" s="1">
        <f>IF(AND(B114&lt;&gt;"",P114&lt;&gt;"",P114=Invoice!$G$4),B114+MOD(N(F114),1)+ROW()/10000000,"")</f>
        <v/>
      </c>
      <c r="S114">
        <f>IF(R114="","",IF(D114="","Other work",D114)&amp;IF(AND(K114&lt;&gt;"",E114&lt;&gt;""),", "&amp;E114,""))</f>
        <v/>
      </c>
      <c r="T114">
        <f>IF(R114="","",IF(COUNTIFS(R$6:R113,"&gt;0",S$6:S113,S114,N$6:N113,N114)=0,R114,""))</f>
        <v/>
      </c>
      <c r="U114">
        <f>IF(B114="","",IF(J114&lt;&gt;"",0,M114))</f>
        <v/>
      </c>
    </row>
    <row r="115">
      <c r="A115" s="1" t="n"/>
      <c r="B115" s="16" t="n">
        <v>46190</v>
      </c>
      <c r="C115" s="17" t="inlineStr">
        <is>
          <t>Greenleaf Studio</t>
        </is>
      </c>
      <c r="D115" s="18" t="inlineStr">
        <is>
          <t>Monthly social posts</t>
        </is>
      </c>
      <c r="E115" s="18" t="inlineStr">
        <is>
          <t>Monthly report</t>
        </is>
      </c>
      <c r="F115" s="19" t="n">
        <v>0.5729166666666666</v>
      </c>
      <c r="G115" s="19" t="n">
        <v>0.65625</v>
      </c>
      <c r="H115" s="20" t="n"/>
      <c r="I115" s="21" t="n"/>
      <c r="J115" s="22" t="n"/>
      <c r="K115" s="23" t="n"/>
      <c r="L115" s="18" t="n"/>
      <c r="M115" s="24">
        <f>IF(B115="","",IF(AND(F115&lt;&gt;"",G115&lt;&gt;""),MAX(0,ROUND(MOD(G115-F115,1)*24-N(H115)/60,2)),N(I115)))</f>
        <v/>
      </c>
      <c r="N115" s="14">
        <f>IF(B115="","",IF(K115&lt;&gt;"",K115,IF(N(IFERROR(INDEX(Projects!$D$6:$D$65,MATCH(D115,Projects!$B$6:$B$65,0)),""))&gt;0,IFERROR(INDEX(Projects!$D$6:$D$65,MATCH(D115,Projects!$B$6:$B$65,0)),""),IFERROR(INDEX(Clients!$G$6:$G$45,MATCH(C115,Clients!$B$6:$B$45,0)),0))))</f>
        <v/>
      </c>
      <c r="O115" s="14">
        <f>IF(B115="","",IF(J115&lt;&gt;"",0,ROUND(M115*N115,2)))</f>
        <v/>
      </c>
      <c r="P115" s="15">
        <f>IF(OR(B115="",J115&lt;&gt;""),"",IF(L115&lt;&gt;"",L115,IF(COUNTIFS(Invoices!$C$6:$C$305,C115,Invoices!$E$6:$E$305,"&lt;="&amp;B115,Invoices!$F$6:$F$305,"&gt;="&amp;B115)=1,INDEX(Invoices!$B$6:$B$305,SUMIFS(Invoices!$O$6:$O$305,Invoices!$C$6:$C$305,C115,Invoices!$E$6:$E$305,"&lt;="&amp;B115,Invoices!$F$6:$F$305,"&gt;="&amp;B115)),IF(COUNTIFS(Invoices!$C$6:$C$305,C115,Invoices!$E$6:$E$305,"&lt;="&amp;B115,Invoices!$F$6:$F$305,"&gt;="&amp;B115)&gt;1,"Two invoices",""))))</f>
        <v/>
      </c>
      <c r="Q115" s="15">
        <f>IF(B115="","",IF(J115&lt;&gt;"","Not billable",IF(P115="","To invoice",IF(P115="Two invoices","Check dates",IF(ISNA(MATCH(P115,Invoices!$B$6:$B$305,0)),"Check number",IF(INDEX(Invoices!$M$6:$M$305,MATCH(P115,Invoices!$B$6:$B$305,0))="Paid","Paid",IF(INDEX(Invoices!$M$6:$M$305,MATCH(P115,Invoices!$B$6:$B$305,0))="Draft","Draft","Invoiced")))))))</f>
        <v/>
      </c>
      <c r="R115" s="1">
        <f>IF(AND(B115&lt;&gt;"",P115&lt;&gt;"",P115=Invoice!$G$4),B115+MOD(N(F115),1)+ROW()/10000000,"")</f>
        <v/>
      </c>
      <c r="S115">
        <f>IF(R115="","",IF(D115="","Other work",D115)&amp;IF(AND(K115&lt;&gt;"",E115&lt;&gt;""),", "&amp;E115,""))</f>
        <v/>
      </c>
      <c r="T115">
        <f>IF(R115="","",IF(COUNTIFS(R$6:R114,"&gt;0",S$6:S114,S115,N$6:N114,N115)=0,R115,""))</f>
        <v/>
      </c>
      <c r="U115">
        <f>IF(B115="","",IF(J115&lt;&gt;"",0,M115))</f>
        <v/>
      </c>
    </row>
    <row r="116">
      <c r="A116" s="1" t="n"/>
      <c r="B116" s="16" t="n">
        <v>46191</v>
      </c>
      <c r="C116" s="17" t="inlineStr">
        <is>
          <t>Harbour Books</t>
        </is>
      </c>
      <c r="D116" s="18" t="inlineStr">
        <is>
          <t>Website redesign</t>
        </is>
      </c>
      <c r="E116" s="18" t="inlineStr">
        <is>
          <t>Home page design</t>
        </is>
      </c>
      <c r="F116" s="19" t="n">
        <v>0.3958333333333333</v>
      </c>
      <c r="G116" s="19" t="n">
        <v>0.5</v>
      </c>
      <c r="H116" s="20" t="n"/>
      <c r="I116" s="21" t="n"/>
      <c r="J116" s="22" t="n"/>
      <c r="K116" s="23" t="n"/>
      <c r="L116" s="18" t="n"/>
      <c r="M116" s="24">
        <f>IF(B116="","",IF(AND(F116&lt;&gt;"",G116&lt;&gt;""),MAX(0,ROUND(MOD(G116-F116,1)*24-N(H116)/60,2)),N(I116)))</f>
        <v/>
      </c>
      <c r="N116" s="14">
        <f>IF(B116="","",IF(K116&lt;&gt;"",K116,IF(N(IFERROR(INDEX(Projects!$D$6:$D$65,MATCH(D116,Projects!$B$6:$B$65,0)),""))&gt;0,IFERROR(INDEX(Projects!$D$6:$D$65,MATCH(D116,Projects!$B$6:$B$65,0)),""),IFERROR(INDEX(Clients!$G$6:$G$45,MATCH(C116,Clients!$B$6:$B$45,0)),0))))</f>
        <v/>
      </c>
      <c r="O116" s="14">
        <f>IF(B116="","",IF(J116&lt;&gt;"",0,ROUND(M116*N116,2)))</f>
        <v/>
      </c>
      <c r="P116" s="15">
        <f>IF(OR(B116="",J116&lt;&gt;""),"",IF(L116&lt;&gt;"",L116,IF(COUNTIFS(Invoices!$C$6:$C$305,C116,Invoices!$E$6:$E$305,"&lt;="&amp;B116,Invoices!$F$6:$F$305,"&gt;="&amp;B116)=1,INDEX(Invoices!$B$6:$B$305,SUMIFS(Invoices!$O$6:$O$305,Invoices!$C$6:$C$305,C116,Invoices!$E$6:$E$305,"&lt;="&amp;B116,Invoices!$F$6:$F$305,"&gt;="&amp;B116)),IF(COUNTIFS(Invoices!$C$6:$C$305,C116,Invoices!$E$6:$E$305,"&lt;="&amp;B116,Invoices!$F$6:$F$305,"&gt;="&amp;B116)&gt;1,"Two invoices",""))))</f>
        <v/>
      </c>
      <c r="Q116" s="15">
        <f>IF(B116="","",IF(J116&lt;&gt;"","Not billable",IF(P116="","To invoice",IF(P116="Two invoices","Check dates",IF(ISNA(MATCH(P116,Invoices!$B$6:$B$305,0)),"Check number",IF(INDEX(Invoices!$M$6:$M$305,MATCH(P116,Invoices!$B$6:$B$305,0))="Paid","Paid",IF(INDEX(Invoices!$M$6:$M$305,MATCH(P116,Invoices!$B$6:$B$305,0))="Draft","Draft","Invoiced")))))))</f>
        <v/>
      </c>
      <c r="R116" s="1">
        <f>IF(AND(B116&lt;&gt;"",P116&lt;&gt;"",P116=Invoice!$G$4),B116+MOD(N(F116),1)+ROW()/10000000,"")</f>
        <v/>
      </c>
      <c r="S116">
        <f>IF(R116="","",IF(D116="","Other work",D116)&amp;IF(AND(K116&lt;&gt;"",E116&lt;&gt;""),", "&amp;E116,""))</f>
        <v/>
      </c>
      <c r="T116">
        <f>IF(R116="","",IF(COUNTIFS(R$6:R115,"&gt;0",S$6:S115,S116,N$6:N115,N116)=0,R116,""))</f>
        <v/>
      </c>
      <c r="U116">
        <f>IF(B116="","",IF(J116&lt;&gt;"",0,M116))</f>
        <v/>
      </c>
    </row>
    <row r="117">
      <c r="A117" s="1" t="n"/>
      <c r="B117" s="16" t="n">
        <v>46192</v>
      </c>
      <c r="C117" s="17" t="inlineStr">
        <is>
          <t>Greenleaf Studio</t>
        </is>
      </c>
      <c r="D117" s="18" t="inlineStr">
        <is>
          <t>Monthly social posts</t>
        </is>
      </c>
      <c r="E117" s="18" t="inlineStr">
        <is>
          <t>Captions and scheduling</t>
        </is>
      </c>
      <c r="F117" s="19" t="n"/>
      <c r="G117" s="19" t="n"/>
      <c r="H117" s="20" t="n"/>
      <c r="I117" s="21" t="n">
        <v>3.5</v>
      </c>
      <c r="J117" s="22" t="n"/>
      <c r="K117" s="23" t="n"/>
      <c r="L117" s="18" t="n"/>
      <c r="M117" s="24">
        <f>IF(B117="","",IF(AND(F117&lt;&gt;"",G117&lt;&gt;""),MAX(0,ROUND(MOD(G117-F117,1)*24-N(H117)/60,2)),N(I117)))</f>
        <v/>
      </c>
      <c r="N117" s="14">
        <f>IF(B117="","",IF(K117&lt;&gt;"",K117,IF(N(IFERROR(INDEX(Projects!$D$6:$D$65,MATCH(D117,Projects!$B$6:$B$65,0)),""))&gt;0,IFERROR(INDEX(Projects!$D$6:$D$65,MATCH(D117,Projects!$B$6:$B$65,0)),""),IFERROR(INDEX(Clients!$G$6:$G$45,MATCH(C117,Clients!$B$6:$B$45,0)),0))))</f>
        <v/>
      </c>
      <c r="O117" s="14">
        <f>IF(B117="","",IF(J117&lt;&gt;"",0,ROUND(M117*N117,2)))</f>
        <v/>
      </c>
      <c r="P117" s="15">
        <f>IF(OR(B117="",J117&lt;&gt;""),"",IF(L117&lt;&gt;"",L117,IF(COUNTIFS(Invoices!$C$6:$C$305,C117,Invoices!$E$6:$E$305,"&lt;="&amp;B117,Invoices!$F$6:$F$305,"&gt;="&amp;B117)=1,INDEX(Invoices!$B$6:$B$305,SUMIFS(Invoices!$O$6:$O$305,Invoices!$C$6:$C$305,C117,Invoices!$E$6:$E$305,"&lt;="&amp;B117,Invoices!$F$6:$F$305,"&gt;="&amp;B117)),IF(COUNTIFS(Invoices!$C$6:$C$305,C117,Invoices!$E$6:$E$305,"&lt;="&amp;B117,Invoices!$F$6:$F$305,"&gt;="&amp;B117)&gt;1,"Two invoices",""))))</f>
        <v/>
      </c>
      <c r="Q117" s="15">
        <f>IF(B117="","",IF(J117&lt;&gt;"","Not billable",IF(P117="","To invoice",IF(P117="Two invoices","Check dates",IF(ISNA(MATCH(P117,Invoices!$B$6:$B$305,0)),"Check number",IF(INDEX(Invoices!$M$6:$M$305,MATCH(P117,Invoices!$B$6:$B$305,0))="Paid","Paid",IF(INDEX(Invoices!$M$6:$M$305,MATCH(P117,Invoices!$B$6:$B$305,0))="Draft","Draft","Invoiced")))))))</f>
        <v/>
      </c>
      <c r="R117" s="1">
        <f>IF(AND(B117&lt;&gt;"",P117&lt;&gt;"",P117=Invoice!$G$4),B117+MOD(N(F117),1)+ROW()/10000000,"")</f>
        <v/>
      </c>
      <c r="S117">
        <f>IF(R117="","",IF(D117="","Other work",D117)&amp;IF(AND(K117&lt;&gt;"",E117&lt;&gt;""),", "&amp;E117,""))</f>
        <v/>
      </c>
      <c r="T117">
        <f>IF(R117="","",IF(COUNTIFS(R$6:R116,"&gt;0",S$6:S116,S117,N$6:N116,N117)=0,R117,""))</f>
        <v/>
      </c>
      <c r="U117">
        <f>IF(B117="","",IF(J117&lt;&gt;"",0,M117))</f>
        <v/>
      </c>
    </row>
    <row r="118">
      <c r="A118" s="1" t="n"/>
      <c r="B118" s="16" t="n">
        <v>46192</v>
      </c>
      <c r="C118" s="17" t="inlineStr">
        <is>
          <t>Harbour Books</t>
        </is>
      </c>
      <c r="D118" s="18" t="inlineStr">
        <is>
          <t>Website redesign</t>
        </is>
      </c>
      <c r="E118" s="18" t="inlineStr">
        <is>
          <t>Page layouts</t>
        </is>
      </c>
      <c r="F118" s="19" t="n">
        <v>0.375</v>
      </c>
      <c r="G118" s="19" t="n">
        <v>0.5</v>
      </c>
      <c r="H118" s="20" t="n"/>
      <c r="I118" s="21" t="n"/>
      <c r="J118" s="22" t="n"/>
      <c r="K118" s="23" t="n"/>
      <c r="L118" s="18" t="n"/>
      <c r="M118" s="24">
        <f>IF(B118="","",IF(AND(F118&lt;&gt;"",G118&lt;&gt;""),MAX(0,ROUND(MOD(G118-F118,1)*24-N(H118)/60,2)),N(I118)))</f>
        <v/>
      </c>
      <c r="N118" s="14">
        <f>IF(B118="","",IF(K118&lt;&gt;"",K118,IF(N(IFERROR(INDEX(Projects!$D$6:$D$65,MATCH(D118,Projects!$B$6:$B$65,0)),""))&gt;0,IFERROR(INDEX(Projects!$D$6:$D$65,MATCH(D118,Projects!$B$6:$B$65,0)),""),IFERROR(INDEX(Clients!$G$6:$G$45,MATCH(C118,Clients!$B$6:$B$45,0)),0))))</f>
        <v/>
      </c>
      <c r="O118" s="14">
        <f>IF(B118="","",IF(J118&lt;&gt;"",0,ROUND(M118*N118,2)))</f>
        <v/>
      </c>
      <c r="P118" s="15">
        <f>IF(OR(B118="",J118&lt;&gt;""),"",IF(L118&lt;&gt;"",L118,IF(COUNTIFS(Invoices!$C$6:$C$305,C118,Invoices!$E$6:$E$305,"&lt;="&amp;B118,Invoices!$F$6:$F$305,"&gt;="&amp;B118)=1,INDEX(Invoices!$B$6:$B$305,SUMIFS(Invoices!$O$6:$O$305,Invoices!$C$6:$C$305,C118,Invoices!$E$6:$E$305,"&lt;="&amp;B118,Invoices!$F$6:$F$305,"&gt;="&amp;B118)),IF(COUNTIFS(Invoices!$C$6:$C$305,C118,Invoices!$E$6:$E$305,"&lt;="&amp;B118,Invoices!$F$6:$F$305,"&gt;="&amp;B118)&gt;1,"Two invoices",""))))</f>
        <v/>
      </c>
      <c r="Q118" s="15">
        <f>IF(B118="","",IF(J118&lt;&gt;"","Not billable",IF(P118="","To invoice",IF(P118="Two invoices","Check dates",IF(ISNA(MATCH(P118,Invoices!$B$6:$B$305,0)),"Check number",IF(INDEX(Invoices!$M$6:$M$305,MATCH(P118,Invoices!$B$6:$B$305,0))="Paid","Paid",IF(INDEX(Invoices!$M$6:$M$305,MATCH(P118,Invoices!$B$6:$B$305,0))="Draft","Draft","Invoiced")))))))</f>
        <v/>
      </c>
      <c r="R118" s="1">
        <f>IF(AND(B118&lt;&gt;"",P118&lt;&gt;"",P118=Invoice!$G$4),B118+MOD(N(F118),1)+ROW()/10000000,"")</f>
        <v/>
      </c>
      <c r="S118">
        <f>IF(R118="","",IF(D118="","Other work",D118)&amp;IF(AND(K118&lt;&gt;"",E118&lt;&gt;""),", "&amp;E118,""))</f>
        <v/>
      </c>
      <c r="T118">
        <f>IF(R118="","",IF(COUNTIFS(R$6:R117,"&gt;0",S$6:S117,S118,N$6:N117,N118)=0,R118,""))</f>
        <v/>
      </c>
      <c r="U118">
        <f>IF(B118="","",IF(J118&lt;&gt;"",0,M118))</f>
        <v/>
      </c>
    </row>
    <row r="119">
      <c r="A119" s="1" t="n"/>
      <c r="B119" s="16" t="n">
        <v>46195</v>
      </c>
      <c r="C119" s="17" t="inlineStr">
        <is>
          <t>Harbour Books</t>
        </is>
      </c>
      <c r="D119" s="18" t="inlineStr">
        <is>
          <t>Website redesign</t>
        </is>
      </c>
      <c r="E119" s="18" t="inlineStr">
        <is>
          <t>Home page design</t>
        </is>
      </c>
      <c r="F119" s="19" t="n">
        <v>0.375</v>
      </c>
      <c r="G119" s="19" t="n">
        <v>0.5</v>
      </c>
      <c r="H119" s="20" t="n"/>
      <c r="I119" s="21" t="n"/>
      <c r="J119" s="22" t="n"/>
      <c r="K119" s="23" t="n"/>
      <c r="L119" s="18" t="n"/>
      <c r="M119" s="24">
        <f>IF(B119="","",IF(AND(F119&lt;&gt;"",G119&lt;&gt;""),MAX(0,ROUND(MOD(G119-F119,1)*24-N(H119)/60,2)),N(I119)))</f>
        <v/>
      </c>
      <c r="N119" s="14">
        <f>IF(B119="","",IF(K119&lt;&gt;"",K119,IF(N(IFERROR(INDEX(Projects!$D$6:$D$65,MATCH(D119,Projects!$B$6:$B$65,0)),""))&gt;0,IFERROR(INDEX(Projects!$D$6:$D$65,MATCH(D119,Projects!$B$6:$B$65,0)),""),IFERROR(INDEX(Clients!$G$6:$G$45,MATCH(C119,Clients!$B$6:$B$45,0)),0))))</f>
        <v/>
      </c>
      <c r="O119" s="14">
        <f>IF(B119="","",IF(J119&lt;&gt;"",0,ROUND(M119*N119,2)))</f>
        <v/>
      </c>
      <c r="P119" s="15">
        <f>IF(OR(B119="",J119&lt;&gt;""),"",IF(L119&lt;&gt;"",L119,IF(COUNTIFS(Invoices!$C$6:$C$305,C119,Invoices!$E$6:$E$305,"&lt;="&amp;B119,Invoices!$F$6:$F$305,"&gt;="&amp;B119)=1,INDEX(Invoices!$B$6:$B$305,SUMIFS(Invoices!$O$6:$O$305,Invoices!$C$6:$C$305,C119,Invoices!$E$6:$E$305,"&lt;="&amp;B119,Invoices!$F$6:$F$305,"&gt;="&amp;B119)),IF(COUNTIFS(Invoices!$C$6:$C$305,C119,Invoices!$E$6:$E$305,"&lt;="&amp;B119,Invoices!$F$6:$F$305,"&gt;="&amp;B119)&gt;1,"Two invoices",""))))</f>
        <v/>
      </c>
      <c r="Q119" s="15">
        <f>IF(B119="","",IF(J119&lt;&gt;"","Not billable",IF(P119="","To invoice",IF(P119="Two invoices","Check dates",IF(ISNA(MATCH(P119,Invoices!$B$6:$B$305,0)),"Check number",IF(INDEX(Invoices!$M$6:$M$305,MATCH(P119,Invoices!$B$6:$B$305,0))="Paid","Paid",IF(INDEX(Invoices!$M$6:$M$305,MATCH(P119,Invoices!$B$6:$B$305,0))="Draft","Draft","Invoiced")))))))</f>
        <v/>
      </c>
      <c r="R119" s="1">
        <f>IF(AND(B119&lt;&gt;"",P119&lt;&gt;"",P119=Invoice!$G$4),B119+MOD(N(F119),1)+ROW()/10000000,"")</f>
        <v/>
      </c>
      <c r="S119">
        <f>IF(R119="","",IF(D119="","Other work",D119)&amp;IF(AND(K119&lt;&gt;"",E119&lt;&gt;""),", "&amp;E119,""))</f>
        <v/>
      </c>
      <c r="T119">
        <f>IF(R119="","",IF(COUNTIFS(R$6:R118,"&gt;0",S$6:S118,S119,N$6:N118,N119)=0,R119,""))</f>
        <v/>
      </c>
      <c r="U119">
        <f>IF(B119="","",IF(J119&lt;&gt;"",0,M119))</f>
        <v/>
      </c>
    </row>
    <row r="120">
      <c r="A120" s="1" t="n"/>
      <c r="B120" s="16" t="n">
        <v>46196</v>
      </c>
      <c r="C120" s="17" t="inlineStr">
        <is>
          <t>Harbour Books</t>
        </is>
      </c>
      <c r="D120" s="18" t="inlineStr">
        <is>
          <t>Website redesign</t>
        </is>
      </c>
      <c r="E120" s="18" t="inlineStr">
        <is>
          <t>Mobile layouts</t>
        </is>
      </c>
      <c r="F120" s="19" t="n">
        <v>0.3958333333333333</v>
      </c>
      <c r="G120" s="19" t="n">
        <v>0.53125</v>
      </c>
      <c r="H120" s="20" t="n">
        <v>15</v>
      </c>
      <c r="I120" s="21" t="n"/>
      <c r="J120" s="22" t="n"/>
      <c r="K120" s="23" t="n"/>
      <c r="L120" s="18" t="n"/>
      <c r="M120" s="24">
        <f>IF(B120="","",IF(AND(F120&lt;&gt;"",G120&lt;&gt;""),MAX(0,ROUND(MOD(G120-F120,1)*24-N(H120)/60,2)),N(I120)))</f>
        <v/>
      </c>
      <c r="N120" s="14">
        <f>IF(B120="","",IF(K120&lt;&gt;"",K120,IF(N(IFERROR(INDEX(Projects!$D$6:$D$65,MATCH(D120,Projects!$B$6:$B$65,0)),""))&gt;0,IFERROR(INDEX(Projects!$D$6:$D$65,MATCH(D120,Projects!$B$6:$B$65,0)),""),IFERROR(INDEX(Clients!$G$6:$G$45,MATCH(C120,Clients!$B$6:$B$45,0)),0))))</f>
        <v/>
      </c>
      <c r="O120" s="14">
        <f>IF(B120="","",IF(J120&lt;&gt;"",0,ROUND(M120*N120,2)))</f>
        <v/>
      </c>
      <c r="P120" s="15">
        <f>IF(OR(B120="",J120&lt;&gt;""),"",IF(L120&lt;&gt;"",L120,IF(COUNTIFS(Invoices!$C$6:$C$305,C120,Invoices!$E$6:$E$305,"&lt;="&amp;B120,Invoices!$F$6:$F$305,"&gt;="&amp;B120)=1,INDEX(Invoices!$B$6:$B$305,SUMIFS(Invoices!$O$6:$O$305,Invoices!$C$6:$C$305,C120,Invoices!$E$6:$E$305,"&lt;="&amp;B120,Invoices!$F$6:$F$305,"&gt;="&amp;B120)),IF(COUNTIFS(Invoices!$C$6:$C$305,C120,Invoices!$E$6:$E$305,"&lt;="&amp;B120,Invoices!$F$6:$F$305,"&gt;="&amp;B120)&gt;1,"Two invoices",""))))</f>
        <v/>
      </c>
      <c r="Q120" s="15">
        <f>IF(B120="","",IF(J120&lt;&gt;"","Not billable",IF(P120="","To invoice",IF(P120="Two invoices","Check dates",IF(ISNA(MATCH(P120,Invoices!$B$6:$B$305,0)),"Check number",IF(INDEX(Invoices!$M$6:$M$305,MATCH(P120,Invoices!$B$6:$B$305,0))="Paid","Paid",IF(INDEX(Invoices!$M$6:$M$305,MATCH(P120,Invoices!$B$6:$B$305,0))="Draft","Draft","Invoiced")))))))</f>
        <v/>
      </c>
      <c r="R120" s="1">
        <f>IF(AND(B120&lt;&gt;"",P120&lt;&gt;"",P120=Invoice!$G$4),B120+MOD(N(F120),1)+ROW()/10000000,"")</f>
        <v/>
      </c>
      <c r="S120">
        <f>IF(R120="","",IF(D120="","Other work",D120)&amp;IF(AND(K120&lt;&gt;"",E120&lt;&gt;""),", "&amp;E120,""))</f>
        <v/>
      </c>
      <c r="T120">
        <f>IF(R120="","",IF(COUNTIFS(R$6:R119,"&gt;0",S$6:S119,S120,N$6:N119,N120)=0,R120,""))</f>
        <v/>
      </c>
      <c r="U120">
        <f>IF(B120="","",IF(J120&lt;&gt;"",0,M120))</f>
        <v/>
      </c>
    </row>
    <row r="121">
      <c r="A121" s="1" t="n"/>
      <c r="B121" s="16" t="n">
        <v>46196</v>
      </c>
      <c r="C121" s="17" t="inlineStr">
        <is>
          <t>Greenleaf Studio</t>
        </is>
      </c>
      <c r="D121" s="18" t="inlineStr">
        <is>
          <t>Monthly social posts</t>
        </is>
      </c>
      <c r="E121" s="18" t="inlineStr">
        <is>
          <t>Captions and scheduling</t>
        </is>
      </c>
      <c r="F121" s="19" t="n">
        <v>0.5416666666666666</v>
      </c>
      <c r="G121" s="19" t="n">
        <v>0.6666666666666666</v>
      </c>
      <c r="H121" s="20" t="n"/>
      <c r="I121" s="21" t="n"/>
      <c r="J121" s="22" t="n"/>
      <c r="K121" s="23" t="n"/>
      <c r="L121" s="18" t="n"/>
      <c r="M121" s="24">
        <f>IF(B121="","",IF(AND(F121&lt;&gt;"",G121&lt;&gt;""),MAX(0,ROUND(MOD(G121-F121,1)*24-N(H121)/60,2)),N(I121)))</f>
        <v/>
      </c>
      <c r="N121" s="14">
        <f>IF(B121="","",IF(K121&lt;&gt;"",K121,IF(N(IFERROR(INDEX(Projects!$D$6:$D$65,MATCH(D121,Projects!$B$6:$B$65,0)),""))&gt;0,IFERROR(INDEX(Projects!$D$6:$D$65,MATCH(D121,Projects!$B$6:$B$65,0)),""),IFERROR(INDEX(Clients!$G$6:$G$45,MATCH(C121,Clients!$B$6:$B$45,0)),0))))</f>
        <v/>
      </c>
      <c r="O121" s="14">
        <f>IF(B121="","",IF(J121&lt;&gt;"",0,ROUND(M121*N121,2)))</f>
        <v/>
      </c>
      <c r="P121" s="15">
        <f>IF(OR(B121="",J121&lt;&gt;""),"",IF(L121&lt;&gt;"",L121,IF(COUNTIFS(Invoices!$C$6:$C$305,C121,Invoices!$E$6:$E$305,"&lt;="&amp;B121,Invoices!$F$6:$F$305,"&gt;="&amp;B121)=1,INDEX(Invoices!$B$6:$B$305,SUMIFS(Invoices!$O$6:$O$305,Invoices!$C$6:$C$305,C121,Invoices!$E$6:$E$305,"&lt;="&amp;B121,Invoices!$F$6:$F$305,"&gt;="&amp;B121)),IF(COUNTIFS(Invoices!$C$6:$C$305,C121,Invoices!$E$6:$E$305,"&lt;="&amp;B121,Invoices!$F$6:$F$305,"&gt;="&amp;B121)&gt;1,"Two invoices",""))))</f>
        <v/>
      </c>
      <c r="Q121" s="15">
        <f>IF(B121="","",IF(J121&lt;&gt;"","Not billable",IF(P121="","To invoice",IF(P121="Two invoices","Check dates",IF(ISNA(MATCH(P121,Invoices!$B$6:$B$305,0)),"Check number",IF(INDEX(Invoices!$M$6:$M$305,MATCH(P121,Invoices!$B$6:$B$305,0))="Paid","Paid",IF(INDEX(Invoices!$M$6:$M$305,MATCH(P121,Invoices!$B$6:$B$305,0))="Draft","Draft","Invoiced")))))))</f>
        <v/>
      </c>
      <c r="R121" s="1">
        <f>IF(AND(B121&lt;&gt;"",P121&lt;&gt;"",P121=Invoice!$G$4),B121+MOD(N(F121),1)+ROW()/10000000,"")</f>
        <v/>
      </c>
      <c r="S121">
        <f>IF(R121="","",IF(D121="","Other work",D121)&amp;IF(AND(K121&lt;&gt;"",E121&lt;&gt;""),", "&amp;E121,""))</f>
        <v/>
      </c>
      <c r="T121">
        <f>IF(R121="","",IF(COUNTIFS(R$6:R120,"&gt;0",S$6:S120,S121,N$6:N120,N121)=0,R121,""))</f>
        <v/>
      </c>
      <c r="U121">
        <f>IF(B121="","",IF(J121&lt;&gt;"",0,M121))</f>
        <v/>
      </c>
    </row>
    <row r="122">
      <c r="A122" s="1" t="n"/>
      <c r="B122" s="16" t="n">
        <v>46197</v>
      </c>
      <c r="C122" s="17" t="inlineStr">
        <is>
          <t>Harbour Books</t>
        </is>
      </c>
      <c r="D122" s="18" t="inlineStr">
        <is>
          <t>Website redesign</t>
        </is>
      </c>
      <c r="E122" s="18" t="inlineStr">
        <is>
          <t>Page layouts</t>
        </is>
      </c>
      <c r="F122" s="19" t="n">
        <v>0.375</v>
      </c>
      <c r="G122" s="19" t="n">
        <v>0.4583333333333333</v>
      </c>
      <c r="H122" s="20" t="n"/>
      <c r="I122" s="21" t="n"/>
      <c r="J122" s="22" t="n"/>
      <c r="K122" s="23" t="n"/>
      <c r="L122" s="18" t="n"/>
      <c r="M122" s="24">
        <f>IF(B122="","",IF(AND(F122&lt;&gt;"",G122&lt;&gt;""),MAX(0,ROUND(MOD(G122-F122,1)*24-N(H122)/60,2)),N(I122)))</f>
        <v/>
      </c>
      <c r="N122" s="14">
        <f>IF(B122="","",IF(K122&lt;&gt;"",K122,IF(N(IFERROR(INDEX(Projects!$D$6:$D$65,MATCH(D122,Projects!$B$6:$B$65,0)),""))&gt;0,IFERROR(INDEX(Projects!$D$6:$D$65,MATCH(D122,Projects!$B$6:$B$65,0)),""),IFERROR(INDEX(Clients!$G$6:$G$45,MATCH(C122,Clients!$B$6:$B$45,0)),0))))</f>
        <v/>
      </c>
      <c r="O122" s="14">
        <f>IF(B122="","",IF(J122&lt;&gt;"",0,ROUND(M122*N122,2)))</f>
        <v/>
      </c>
      <c r="P122" s="15">
        <f>IF(OR(B122="",J122&lt;&gt;""),"",IF(L122&lt;&gt;"",L122,IF(COUNTIFS(Invoices!$C$6:$C$305,C122,Invoices!$E$6:$E$305,"&lt;="&amp;B122,Invoices!$F$6:$F$305,"&gt;="&amp;B122)=1,INDEX(Invoices!$B$6:$B$305,SUMIFS(Invoices!$O$6:$O$305,Invoices!$C$6:$C$305,C122,Invoices!$E$6:$E$305,"&lt;="&amp;B122,Invoices!$F$6:$F$305,"&gt;="&amp;B122)),IF(COUNTIFS(Invoices!$C$6:$C$305,C122,Invoices!$E$6:$E$305,"&lt;="&amp;B122,Invoices!$F$6:$F$305,"&gt;="&amp;B122)&gt;1,"Two invoices",""))))</f>
        <v/>
      </c>
      <c r="Q122" s="15">
        <f>IF(B122="","",IF(J122&lt;&gt;"","Not billable",IF(P122="","To invoice",IF(P122="Two invoices","Check dates",IF(ISNA(MATCH(P122,Invoices!$B$6:$B$305,0)),"Check number",IF(INDEX(Invoices!$M$6:$M$305,MATCH(P122,Invoices!$B$6:$B$305,0))="Paid","Paid",IF(INDEX(Invoices!$M$6:$M$305,MATCH(P122,Invoices!$B$6:$B$305,0))="Draft","Draft","Invoiced")))))))</f>
        <v/>
      </c>
      <c r="R122" s="1">
        <f>IF(AND(B122&lt;&gt;"",P122&lt;&gt;"",P122=Invoice!$G$4),B122+MOD(N(F122),1)+ROW()/10000000,"")</f>
        <v/>
      </c>
      <c r="S122">
        <f>IF(R122="","",IF(D122="","Other work",D122)&amp;IF(AND(K122&lt;&gt;"",E122&lt;&gt;""),", "&amp;E122,""))</f>
        <v/>
      </c>
      <c r="T122">
        <f>IF(R122="","",IF(COUNTIFS(R$6:R121,"&gt;0",S$6:S121,S122,N$6:N121,N122)=0,R122,""))</f>
        <v/>
      </c>
      <c r="U122">
        <f>IF(B122="","",IF(J122&lt;&gt;"",0,M122))</f>
        <v/>
      </c>
    </row>
    <row r="123">
      <c r="A123" s="1" t="n"/>
      <c r="B123" s="16" t="n">
        <v>46197</v>
      </c>
      <c r="C123" s="17" t="inlineStr">
        <is>
          <t>Harbour Books</t>
        </is>
      </c>
      <c r="D123" s="18" t="inlineStr">
        <is>
          <t>Website redesign</t>
        </is>
      </c>
      <c r="E123" s="18" t="inlineStr">
        <is>
          <t>Client call</t>
        </is>
      </c>
      <c r="F123" s="19" t="n">
        <v>0.5</v>
      </c>
      <c r="G123" s="19" t="n">
        <v>0.5833333333333334</v>
      </c>
      <c r="H123" s="20" t="n"/>
      <c r="I123" s="21" t="n"/>
      <c r="J123" s="22" t="n"/>
      <c r="K123" s="23" t="n"/>
      <c r="L123" s="18" t="n"/>
      <c r="M123" s="24">
        <f>IF(B123="","",IF(AND(F123&lt;&gt;"",G123&lt;&gt;""),MAX(0,ROUND(MOD(G123-F123,1)*24-N(H123)/60,2)),N(I123)))</f>
        <v/>
      </c>
      <c r="N123" s="14">
        <f>IF(B123="","",IF(K123&lt;&gt;"",K123,IF(N(IFERROR(INDEX(Projects!$D$6:$D$65,MATCH(D123,Projects!$B$6:$B$65,0)),""))&gt;0,IFERROR(INDEX(Projects!$D$6:$D$65,MATCH(D123,Projects!$B$6:$B$65,0)),""),IFERROR(INDEX(Clients!$G$6:$G$45,MATCH(C123,Clients!$B$6:$B$45,0)),0))))</f>
        <v/>
      </c>
      <c r="O123" s="14">
        <f>IF(B123="","",IF(J123&lt;&gt;"",0,ROUND(M123*N123,2)))</f>
        <v/>
      </c>
      <c r="P123" s="15">
        <f>IF(OR(B123="",J123&lt;&gt;""),"",IF(L123&lt;&gt;"",L123,IF(COUNTIFS(Invoices!$C$6:$C$305,C123,Invoices!$E$6:$E$305,"&lt;="&amp;B123,Invoices!$F$6:$F$305,"&gt;="&amp;B123)=1,INDEX(Invoices!$B$6:$B$305,SUMIFS(Invoices!$O$6:$O$305,Invoices!$C$6:$C$305,C123,Invoices!$E$6:$E$305,"&lt;="&amp;B123,Invoices!$F$6:$F$305,"&gt;="&amp;B123)),IF(COUNTIFS(Invoices!$C$6:$C$305,C123,Invoices!$E$6:$E$305,"&lt;="&amp;B123,Invoices!$F$6:$F$305,"&gt;="&amp;B123)&gt;1,"Two invoices",""))))</f>
        <v/>
      </c>
      <c r="Q123" s="15">
        <f>IF(B123="","",IF(J123&lt;&gt;"","Not billable",IF(P123="","To invoice",IF(P123="Two invoices","Check dates",IF(ISNA(MATCH(P123,Invoices!$B$6:$B$305,0)),"Check number",IF(INDEX(Invoices!$M$6:$M$305,MATCH(P123,Invoices!$B$6:$B$305,0))="Paid","Paid",IF(INDEX(Invoices!$M$6:$M$305,MATCH(P123,Invoices!$B$6:$B$305,0))="Draft","Draft","Invoiced")))))))</f>
        <v/>
      </c>
      <c r="R123" s="1">
        <f>IF(AND(B123&lt;&gt;"",P123&lt;&gt;"",P123=Invoice!$G$4),B123+MOD(N(F123),1)+ROW()/10000000,"")</f>
        <v/>
      </c>
      <c r="S123">
        <f>IF(R123="","",IF(D123="","Other work",D123)&amp;IF(AND(K123&lt;&gt;"",E123&lt;&gt;""),", "&amp;E123,""))</f>
        <v/>
      </c>
      <c r="T123">
        <f>IF(R123="","",IF(COUNTIFS(R$6:R122,"&gt;0",S$6:S122,S123,N$6:N122,N123)=0,R123,""))</f>
        <v/>
      </c>
      <c r="U123">
        <f>IF(B123="","",IF(J123&lt;&gt;"",0,M123))</f>
        <v/>
      </c>
    </row>
    <row r="124">
      <c r="A124" s="1" t="n"/>
      <c r="B124" s="16" t="n">
        <v>46198</v>
      </c>
      <c r="C124" s="17" t="inlineStr">
        <is>
          <t>Harbour Books</t>
        </is>
      </c>
      <c r="D124" s="18" t="inlineStr">
        <is>
          <t>Website redesign</t>
        </is>
      </c>
      <c r="E124" s="18" t="inlineStr">
        <is>
          <t>Home page design</t>
        </is>
      </c>
      <c r="F124" s="19" t="n"/>
      <c r="G124" s="19" t="n"/>
      <c r="H124" s="20" t="n"/>
      <c r="I124" s="21" t="n">
        <v>2</v>
      </c>
      <c r="J124" s="22" t="n"/>
      <c r="K124" s="23" t="n"/>
      <c r="L124" s="18" t="n"/>
      <c r="M124" s="24">
        <f>IF(B124="","",IF(AND(F124&lt;&gt;"",G124&lt;&gt;""),MAX(0,ROUND(MOD(G124-F124,1)*24-N(H124)/60,2)),N(I124)))</f>
        <v/>
      </c>
      <c r="N124" s="14">
        <f>IF(B124="","",IF(K124&lt;&gt;"",K124,IF(N(IFERROR(INDEX(Projects!$D$6:$D$65,MATCH(D124,Projects!$B$6:$B$65,0)),""))&gt;0,IFERROR(INDEX(Projects!$D$6:$D$65,MATCH(D124,Projects!$B$6:$B$65,0)),""),IFERROR(INDEX(Clients!$G$6:$G$45,MATCH(C124,Clients!$B$6:$B$45,0)),0))))</f>
        <v/>
      </c>
      <c r="O124" s="14">
        <f>IF(B124="","",IF(J124&lt;&gt;"",0,ROUND(M124*N124,2)))</f>
        <v/>
      </c>
      <c r="P124" s="15">
        <f>IF(OR(B124="",J124&lt;&gt;""),"",IF(L124&lt;&gt;"",L124,IF(COUNTIFS(Invoices!$C$6:$C$305,C124,Invoices!$E$6:$E$305,"&lt;="&amp;B124,Invoices!$F$6:$F$305,"&gt;="&amp;B124)=1,INDEX(Invoices!$B$6:$B$305,SUMIFS(Invoices!$O$6:$O$305,Invoices!$C$6:$C$305,C124,Invoices!$E$6:$E$305,"&lt;="&amp;B124,Invoices!$F$6:$F$305,"&gt;="&amp;B124)),IF(COUNTIFS(Invoices!$C$6:$C$305,C124,Invoices!$E$6:$E$305,"&lt;="&amp;B124,Invoices!$F$6:$F$305,"&gt;="&amp;B124)&gt;1,"Two invoices",""))))</f>
        <v/>
      </c>
      <c r="Q124" s="15">
        <f>IF(B124="","",IF(J124&lt;&gt;"","Not billable",IF(P124="","To invoice",IF(P124="Two invoices","Check dates",IF(ISNA(MATCH(P124,Invoices!$B$6:$B$305,0)),"Check number",IF(INDEX(Invoices!$M$6:$M$305,MATCH(P124,Invoices!$B$6:$B$305,0))="Paid","Paid",IF(INDEX(Invoices!$M$6:$M$305,MATCH(P124,Invoices!$B$6:$B$305,0))="Draft","Draft","Invoiced")))))))</f>
        <v/>
      </c>
      <c r="R124" s="1">
        <f>IF(AND(B124&lt;&gt;"",P124&lt;&gt;"",P124=Invoice!$G$4),B124+MOD(N(F124),1)+ROW()/10000000,"")</f>
        <v/>
      </c>
      <c r="S124">
        <f>IF(R124="","",IF(D124="","Other work",D124)&amp;IF(AND(K124&lt;&gt;"",E124&lt;&gt;""),", "&amp;E124,""))</f>
        <v/>
      </c>
      <c r="T124">
        <f>IF(R124="","",IF(COUNTIFS(R$6:R123,"&gt;0",S$6:S123,S124,N$6:N123,N124)=0,R124,""))</f>
        <v/>
      </c>
      <c r="U124">
        <f>IF(B124="","",IF(J124&lt;&gt;"",0,M124))</f>
        <v/>
      </c>
    </row>
    <row r="125">
      <c r="A125" s="1" t="n"/>
      <c r="B125" s="16" t="n">
        <v>46198</v>
      </c>
      <c r="C125" s="17" t="inlineStr">
        <is>
          <t>Harbour Books</t>
        </is>
      </c>
      <c r="D125" s="18" t="inlineStr">
        <is>
          <t>Website redesign</t>
        </is>
      </c>
      <c r="E125" s="18" t="inlineStr">
        <is>
          <t>Client call</t>
        </is>
      </c>
      <c r="F125" s="19" t="n"/>
      <c r="G125" s="19" t="n"/>
      <c r="H125" s="20" t="n"/>
      <c r="I125" s="21" t="n">
        <v>2</v>
      </c>
      <c r="J125" s="22" t="n"/>
      <c r="K125" s="23" t="n"/>
      <c r="L125" s="18" t="n"/>
      <c r="M125" s="24">
        <f>IF(B125="","",IF(AND(F125&lt;&gt;"",G125&lt;&gt;""),MAX(0,ROUND(MOD(G125-F125,1)*24-N(H125)/60,2)),N(I125)))</f>
        <v/>
      </c>
      <c r="N125" s="14">
        <f>IF(B125="","",IF(K125&lt;&gt;"",K125,IF(N(IFERROR(INDEX(Projects!$D$6:$D$65,MATCH(D125,Projects!$B$6:$B$65,0)),""))&gt;0,IFERROR(INDEX(Projects!$D$6:$D$65,MATCH(D125,Projects!$B$6:$B$65,0)),""),IFERROR(INDEX(Clients!$G$6:$G$45,MATCH(C125,Clients!$B$6:$B$45,0)),0))))</f>
        <v/>
      </c>
      <c r="O125" s="14">
        <f>IF(B125="","",IF(J125&lt;&gt;"",0,ROUND(M125*N125,2)))</f>
        <v/>
      </c>
      <c r="P125" s="15">
        <f>IF(OR(B125="",J125&lt;&gt;""),"",IF(L125&lt;&gt;"",L125,IF(COUNTIFS(Invoices!$C$6:$C$305,C125,Invoices!$E$6:$E$305,"&lt;="&amp;B125,Invoices!$F$6:$F$305,"&gt;="&amp;B125)=1,INDEX(Invoices!$B$6:$B$305,SUMIFS(Invoices!$O$6:$O$305,Invoices!$C$6:$C$305,C125,Invoices!$E$6:$E$305,"&lt;="&amp;B125,Invoices!$F$6:$F$305,"&gt;="&amp;B125)),IF(COUNTIFS(Invoices!$C$6:$C$305,C125,Invoices!$E$6:$E$305,"&lt;="&amp;B125,Invoices!$F$6:$F$305,"&gt;="&amp;B125)&gt;1,"Two invoices",""))))</f>
        <v/>
      </c>
      <c r="Q125" s="15">
        <f>IF(B125="","",IF(J125&lt;&gt;"","Not billable",IF(P125="","To invoice",IF(P125="Two invoices","Check dates",IF(ISNA(MATCH(P125,Invoices!$B$6:$B$305,0)),"Check number",IF(INDEX(Invoices!$M$6:$M$305,MATCH(P125,Invoices!$B$6:$B$305,0))="Paid","Paid",IF(INDEX(Invoices!$M$6:$M$305,MATCH(P125,Invoices!$B$6:$B$305,0))="Draft","Draft","Invoiced")))))))</f>
        <v/>
      </c>
      <c r="R125" s="1">
        <f>IF(AND(B125&lt;&gt;"",P125&lt;&gt;"",P125=Invoice!$G$4),B125+MOD(N(F125),1)+ROW()/10000000,"")</f>
        <v/>
      </c>
      <c r="S125">
        <f>IF(R125="","",IF(D125="","Other work",D125)&amp;IF(AND(K125&lt;&gt;"",E125&lt;&gt;""),", "&amp;E125,""))</f>
        <v/>
      </c>
      <c r="T125">
        <f>IF(R125="","",IF(COUNTIFS(R$6:R124,"&gt;0",S$6:S124,S125,N$6:N124,N125)=0,R125,""))</f>
        <v/>
      </c>
      <c r="U125">
        <f>IF(B125="","",IF(J125&lt;&gt;"",0,M125))</f>
        <v/>
      </c>
    </row>
    <row r="126">
      <c r="A126" s="1" t="n"/>
      <c r="B126" s="16" t="n">
        <v>46198</v>
      </c>
      <c r="C126" s="17" t="inlineStr">
        <is>
          <t>Harbour Books</t>
        </is>
      </c>
      <c r="D126" s="18" t="inlineStr">
        <is>
          <t>Website redesign</t>
        </is>
      </c>
      <c r="E126" s="18" t="inlineStr">
        <is>
          <t>Style guide</t>
        </is>
      </c>
      <c r="F126" s="19" t="n">
        <v>0.3958333333333333</v>
      </c>
      <c r="G126" s="19" t="n">
        <v>0.5520833333333334</v>
      </c>
      <c r="H126" s="20" t="n">
        <v>15</v>
      </c>
      <c r="I126" s="21" t="n"/>
      <c r="J126" s="22" t="n"/>
      <c r="K126" s="23" t="n"/>
      <c r="L126" s="18" t="n"/>
      <c r="M126" s="24">
        <f>IF(B126="","",IF(AND(F126&lt;&gt;"",G126&lt;&gt;""),MAX(0,ROUND(MOD(G126-F126,1)*24-N(H126)/60,2)),N(I126)))</f>
        <v/>
      </c>
      <c r="N126" s="14">
        <f>IF(B126="","",IF(K126&lt;&gt;"",K126,IF(N(IFERROR(INDEX(Projects!$D$6:$D$65,MATCH(D126,Projects!$B$6:$B$65,0)),""))&gt;0,IFERROR(INDEX(Projects!$D$6:$D$65,MATCH(D126,Projects!$B$6:$B$65,0)),""),IFERROR(INDEX(Clients!$G$6:$G$45,MATCH(C126,Clients!$B$6:$B$45,0)),0))))</f>
        <v/>
      </c>
      <c r="O126" s="14">
        <f>IF(B126="","",IF(J126&lt;&gt;"",0,ROUND(M126*N126,2)))</f>
        <v/>
      </c>
      <c r="P126" s="15">
        <f>IF(OR(B126="",J126&lt;&gt;""),"",IF(L126&lt;&gt;"",L126,IF(COUNTIFS(Invoices!$C$6:$C$305,C126,Invoices!$E$6:$E$305,"&lt;="&amp;B126,Invoices!$F$6:$F$305,"&gt;="&amp;B126)=1,INDEX(Invoices!$B$6:$B$305,SUMIFS(Invoices!$O$6:$O$305,Invoices!$C$6:$C$305,C126,Invoices!$E$6:$E$305,"&lt;="&amp;B126,Invoices!$F$6:$F$305,"&gt;="&amp;B126)),IF(COUNTIFS(Invoices!$C$6:$C$305,C126,Invoices!$E$6:$E$305,"&lt;="&amp;B126,Invoices!$F$6:$F$305,"&gt;="&amp;B126)&gt;1,"Two invoices",""))))</f>
        <v/>
      </c>
      <c r="Q126" s="15">
        <f>IF(B126="","",IF(J126&lt;&gt;"","Not billable",IF(P126="","To invoice",IF(P126="Two invoices","Check dates",IF(ISNA(MATCH(P126,Invoices!$B$6:$B$305,0)),"Check number",IF(INDEX(Invoices!$M$6:$M$305,MATCH(P126,Invoices!$B$6:$B$305,0))="Paid","Paid",IF(INDEX(Invoices!$M$6:$M$305,MATCH(P126,Invoices!$B$6:$B$305,0))="Draft","Draft","Invoiced")))))))</f>
        <v/>
      </c>
      <c r="R126" s="1">
        <f>IF(AND(B126&lt;&gt;"",P126&lt;&gt;"",P126=Invoice!$G$4),B126+MOD(N(F126),1)+ROW()/10000000,"")</f>
        <v/>
      </c>
      <c r="S126">
        <f>IF(R126="","",IF(D126="","Other work",D126)&amp;IF(AND(K126&lt;&gt;"",E126&lt;&gt;""),", "&amp;E126,""))</f>
        <v/>
      </c>
      <c r="T126">
        <f>IF(R126="","",IF(COUNTIFS(R$6:R125,"&gt;0",S$6:S125,S126,N$6:N125,N126)=0,R126,""))</f>
        <v/>
      </c>
      <c r="U126">
        <f>IF(B126="","",IF(J126&lt;&gt;"",0,M126))</f>
        <v/>
      </c>
    </row>
    <row r="127">
      <c r="A127" s="1" t="n"/>
      <c r="B127" s="16" t="n">
        <v>46199</v>
      </c>
      <c r="C127" s="17" t="inlineStr">
        <is>
          <t>Harbour Books</t>
        </is>
      </c>
      <c r="D127" s="18" t="inlineStr">
        <is>
          <t>Website redesign</t>
        </is>
      </c>
      <c r="E127" s="18" t="inlineStr">
        <is>
          <t>Mobile layouts</t>
        </is>
      </c>
      <c r="F127" s="19" t="n">
        <v>0.3958333333333333</v>
      </c>
      <c r="G127" s="19" t="n">
        <v>0.4375</v>
      </c>
      <c r="H127" s="20" t="n"/>
      <c r="I127" s="21" t="n"/>
      <c r="J127" s="22" t="n"/>
      <c r="K127" s="23" t="n"/>
      <c r="L127" s="18" t="n"/>
      <c r="M127" s="24">
        <f>IF(B127="","",IF(AND(F127&lt;&gt;"",G127&lt;&gt;""),MAX(0,ROUND(MOD(G127-F127,1)*24-N(H127)/60,2)),N(I127)))</f>
        <v/>
      </c>
      <c r="N127" s="14">
        <f>IF(B127="","",IF(K127&lt;&gt;"",K127,IF(N(IFERROR(INDEX(Projects!$D$6:$D$65,MATCH(D127,Projects!$B$6:$B$65,0)),""))&gt;0,IFERROR(INDEX(Projects!$D$6:$D$65,MATCH(D127,Projects!$B$6:$B$65,0)),""),IFERROR(INDEX(Clients!$G$6:$G$45,MATCH(C127,Clients!$B$6:$B$45,0)),0))))</f>
        <v/>
      </c>
      <c r="O127" s="14">
        <f>IF(B127="","",IF(J127&lt;&gt;"",0,ROUND(M127*N127,2)))</f>
        <v/>
      </c>
      <c r="P127" s="15">
        <f>IF(OR(B127="",J127&lt;&gt;""),"",IF(L127&lt;&gt;"",L127,IF(COUNTIFS(Invoices!$C$6:$C$305,C127,Invoices!$E$6:$E$305,"&lt;="&amp;B127,Invoices!$F$6:$F$305,"&gt;="&amp;B127)=1,INDEX(Invoices!$B$6:$B$305,SUMIFS(Invoices!$O$6:$O$305,Invoices!$C$6:$C$305,C127,Invoices!$E$6:$E$305,"&lt;="&amp;B127,Invoices!$F$6:$F$305,"&gt;="&amp;B127)),IF(COUNTIFS(Invoices!$C$6:$C$305,C127,Invoices!$E$6:$E$305,"&lt;="&amp;B127,Invoices!$F$6:$F$305,"&gt;="&amp;B127)&gt;1,"Two invoices",""))))</f>
        <v/>
      </c>
      <c r="Q127" s="15">
        <f>IF(B127="","",IF(J127&lt;&gt;"","Not billable",IF(P127="","To invoice",IF(P127="Two invoices","Check dates",IF(ISNA(MATCH(P127,Invoices!$B$6:$B$305,0)),"Check number",IF(INDEX(Invoices!$M$6:$M$305,MATCH(P127,Invoices!$B$6:$B$305,0))="Paid","Paid",IF(INDEX(Invoices!$M$6:$M$305,MATCH(P127,Invoices!$B$6:$B$305,0))="Draft","Draft","Invoiced")))))))</f>
        <v/>
      </c>
      <c r="R127" s="1">
        <f>IF(AND(B127&lt;&gt;"",P127&lt;&gt;"",P127=Invoice!$G$4),B127+MOD(N(F127),1)+ROW()/10000000,"")</f>
        <v/>
      </c>
      <c r="S127">
        <f>IF(R127="","",IF(D127="","Other work",D127)&amp;IF(AND(K127&lt;&gt;"",E127&lt;&gt;""),", "&amp;E127,""))</f>
        <v/>
      </c>
      <c r="T127">
        <f>IF(R127="","",IF(COUNTIFS(R$6:R126,"&gt;0",S$6:S126,S127,N$6:N126,N127)=0,R127,""))</f>
        <v/>
      </c>
      <c r="U127">
        <f>IF(B127="","",IF(J127&lt;&gt;"",0,M127))</f>
        <v/>
      </c>
    </row>
    <row r="128">
      <c r="A128" s="1" t="n"/>
      <c r="B128" s="16" t="n">
        <v>46199</v>
      </c>
      <c r="C128" s="17" t="inlineStr">
        <is>
          <t>Harbour Books</t>
        </is>
      </c>
      <c r="D128" s="18" t="inlineStr">
        <is>
          <t>Website redesign</t>
        </is>
      </c>
      <c r="E128" s="18" t="inlineStr">
        <is>
          <t>Revisions after feedback</t>
        </is>
      </c>
      <c r="F128" s="19" t="n">
        <v>0.46875</v>
      </c>
      <c r="G128" s="19" t="n">
        <v>0.5520833333333334</v>
      </c>
      <c r="H128" s="20" t="n"/>
      <c r="I128" s="21" t="n"/>
      <c r="J128" s="22" t="n"/>
      <c r="K128" s="23" t="n"/>
      <c r="L128" s="18" t="n"/>
      <c r="M128" s="24">
        <f>IF(B128="","",IF(AND(F128&lt;&gt;"",G128&lt;&gt;""),MAX(0,ROUND(MOD(G128-F128,1)*24-N(H128)/60,2)),N(I128)))</f>
        <v/>
      </c>
      <c r="N128" s="14">
        <f>IF(B128="","",IF(K128&lt;&gt;"",K128,IF(N(IFERROR(INDEX(Projects!$D$6:$D$65,MATCH(D128,Projects!$B$6:$B$65,0)),""))&gt;0,IFERROR(INDEX(Projects!$D$6:$D$65,MATCH(D128,Projects!$B$6:$B$65,0)),""),IFERROR(INDEX(Clients!$G$6:$G$45,MATCH(C128,Clients!$B$6:$B$45,0)),0))))</f>
        <v/>
      </c>
      <c r="O128" s="14">
        <f>IF(B128="","",IF(J128&lt;&gt;"",0,ROUND(M128*N128,2)))</f>
        <v/>
      </c>
      <c r="P128" s="15">
        <f>IF(OR(B128="",J128&lt;&gt;""),"",IF(L128&lt;&gt;"",L128,IF(COUNTIFS(Invoices!$C$6:$C$305,C128,Invoices!$E$6:$E$305,"&lt;="&amp;B128,Invoices!$F$6:$F$305,"&gt;="&amp;B128)=1,INDEX(Invoices!$B$6:$B$305,SUMIFS(Invoices!$O$6:$O$305,Invoices!$C$6:$C$305,C128,Invoices!$E$6:$E$305,"&lt;="&amp;B128,Invoices!$F$6:$F$305,"&gt;="&amp;B128)),IF(COUNTIFS(Invoices!$C$6:$C$305,C128,Invoices!$E$6:$E$305,"&lt;="&amp;B128,Invoices!$F$6:$F$305,"&gt;="&amp;B128)&gt;1,"Two invoices",""))))</f>
        <v/>
      </c>
      <c r="Q128" s="15">
        <f>IF(B128="","",IF(J128&lt;&gt;"","Not billable",IF(P128="","To invoice",IF(P128="Two invoices","Check dates",IF(ISNA(MATCH(P128,Invoices!$B$6:$B$305,0)),"Check number",IF(INDEX(Invoices!$M$6:$M$305,MATCH(P128,Invoices!$B$6:$B$305,0))="Paid","Paid",IF(INDEX(Invoices!$M$6:$M$305,MATCH(P128,Invoices!$B$6:$B$305,0))="Draft","Draft","Invoiced")))))))</f>
        <v/>
      </c>
      <c r="R128" s="1">
        <f>IF(AND(B128&lt;&gt;"",P128&lt;&gt;"",P128=Invoice!$G$4),B128+MOD(N(F128),1)+ROW()/10000000,"")</f>
        <v/>
      </c>
      <c r="S128">
        <f>IF(R128="","",IF(D128="","Other work",D128)&amp;IF(AND(K128&lt;&gt;"",E128&lt;&gt;""),", "&amp;E128,""))</f>
        <v/>
      </c>
      <c r="T128">
        <f>IF(R128="","",IF(COUNTIFS(R$6:R127,"&gt;0",S$6:S127,S128,N$6:N127,N128)=0,R128,""))</f>
        <v/>
      </c>
      <c r="U128">
        <f>IF(B128="","",IF(J128&lt;&gt;"",0,M128))</f>
        <v/>
      </c>
    </row>
    <row r="129">
      <c r="A129" s="1" t="n"/>
      <c r="B129" s="16" t="n">
        <v>46199</v>
      </c>
      <c r="C129" s="17" t="inlineStr">
        <is>
          <t>Harbour Books</t>
        </is>
      </c>
      <c r="D129" s="18" t="inlineStr">
        <is>
          <t>Website redesign</t>
        </is>
      </c>
      <c r="E129" s="18" t="inlineStr">
        <is>
          <t>Style guide</t>
        </is>
      </c>
      <c r="F129" s="19" t="n">
        <v>0.5729166666666666</v>
      </c>
      <c r="G129" s="19" t="n">
        <v>0.65625</v>
      </c>
      <c r="H129" s="20" t="n"/>
      <c r="I129" s="21" t="n"/>
      <c r="J129" s="22" t="n"/>
      <c r="K129" s="23" t="n"/>
      <c r="L129" s="18" t="n"/>
      <c r="M129" s="24">
        <f>IF(B129="","",IF(AND(F129&lt;&gt;"",G129&lt;&gt;""),MAX(0,ROUND(MOD(G129-F129,1)*24-N(H129)/60,2)),N(I129)))</f>
        <v/>
      </c>
      <c r="N129" s="14">
        <f>IF(B129="","",IF(K129&lt;&gt;"",K129,IF(N(IFERROR(INDEX(Projects!$D$6:$D$65,MATCH(D129,Projects!$B$6:$B$65,0)),""))&gt;0,IFERROR(INDEX(Projects!$D$6:$D$65,MATCH(D129,Projects!$B$6:$B$65,0)),""),IFERROR(INDEX(Clients!$G$6:$G$45,MATCH(C129,Clients!$B$6:$B$45,0)),0))))</f>
        <v/>
      </c>
      <c r="O129" s="14">
        <f>IF(B129="","",IF(J129&lt;&gt;"",0,ROUND(M129*N129,2)))</f>
        <v/>
      </c>
      <c r="P129" s="15">
        <f>IF(OR(B129="",J129&lt;&gt;""),"",IF(L129&lt;&gt;"",L129,IF(COUNTIFS(Invoices!$C$6:$C$305,C129,Invoices!$E$6:$E$305,"&lt;="&amp;B129,Invoices!$F$6:$F$305,"&gt;="&amp;B129)=1,INDEX(Invoices!$B$6:$B$305,SUMIFS(Invoices!$O$6:$O$305,Invoices!$C$6:$C$305,C129,Invoices!$E$6:$E$305,"&lt;="&amp;B129,Invoices!$F$6:$F$305,"&gt;="&amp;B129)),IF(COUNTIFS(Invoices!$C$6:$C$305,C129,Invoices!$E$6:$E$305,"&lt;="&amp;B129,Invoices!$F$6:$F$305,"&gt;="&amp;B129)&gt;1,"Two invoices",""))))</f>
        <v/>
      </c>
      <c r="Q129" s="15">
        <f>IF(B129="","",IF(J129&lt;&gt;"","Not billable",IF(P129="","To invoice",IF(P129="Two invoices","Check dates",IF(ISNA(MATCH(P129,Invoices!$B$6:$B$305,0)),"Check number",IF(INDEX(Invoices!$M$6:$M$305,MATCH(P129,Invoices!$B$6:$B$305,0))="Paid","Paid",IF(INDEX(Invoices!$M$6:$M$305,MATCH(P129,Invoices!$B$6:$B$305,0))="Draft","Draft","Invoiced")))))))</f>
        <v/>
      </c>
      <c r="R129" s="1">
        <f>IF(AND(B129&lt;&gt;"",P129&lt;&gt;"",P129=Invoice!$G$4),B129+MOD(N(F129),1)+ROW()/10000000,"")</f>
        <v/>
      </c>
      <c r="S129">
        <f>IF(R129="","",IF(D129="","Other work",D129)&amp;IF(AND(K129&lt;&gt;"",E129&lt;&gt;""),", "&amp;E129,""))</f>
        <v/>
      </c>
      <c r="T129">
        <f>IF(R129="","",IF(COUNTIFS(R$6:R128,"&gt;0",S$6:S128,S129,N$6:N128,N129)=0,R129,""))</f>
        <v/>
      </c>
      <c r="U129">
        <f>IF(B129="","",IF(J129&lt;&gt;"",0,M129))</f>
        <v/>
      </c>
    </row>
    <row r="130">
      <c r="A130" s="1" t="n"/>
      <c r="B130" s="16" t="n">
        <v>46202</v>
      </c>
      <c r="C130" s="17" t="inlineStr">
        <is>
          <t>Harbour Books</t>
        </is>
      </c>
      <c r="D130" s="18" t="inlineStr">
        <is>
          <t>Website redesign</t>
        </is>
      </c>
      <c r="E130" s="18" t="inlineStr">
        <is>
          <t>Page layouts</t>
        </is>
      </c>
      <c r="F130" s="19" t="n"/>
      <c r="G130" s="19" t="n"/>
      <c r="H130" s="20" t="n"/>
      <c r="I130" s="21" t="n">
        <v>2</v>
      </c>
      <c r="J130" s="22" t="n"/>
      <c r="K130" s="23" t="n"/>
      <c r="L130" s="18" t="n"/>
      <c r="M130" s="24">
        <f>IF(B130="","",IF(AND(F130&lt;&gt;"",G130&lt;&gt;""),MAX(0,ROUND(MOD(G130-F130,1)*24-N(H130)/60,2)),N(I130)))</f>
        <v/>
      </c>
      <c r="N130" s="14">
        <f>IF(B130="","",IF(K130&lt;&gt;"",K130,IF(N(IFERROR(INDEX(Projects!$D$6:$D$65,MATCH(D130,Projects!$B$6:$B$65,0)),""))&gt;0,IFERROR(INDEX(Projects!$D$6:$D$65,MATCH(D130,Projects!$B$6:$B$65,0)),""),IFERROR(INDEX(Clients!$G$6:$G$45,MATCH(C130,Clients!$B$6:$B$45,0)),0))))</f>
        <v/>
      </c>
      <c r="O130" s="14">
        <f>IF(B130="","",IF(J130&lt;&gt;"",0,ROUND(M130*N130,2)))</f>
        <v/>
      </c>
      <c r="P130" s="15">
        <f>IF(OR(B130="",J130&lt;&gt;""),"",IF(L130&lt;&gt;"",L130,IF(COUNTIFS(Invoices!$C$6:$C$305,C130,Invoices!$E$6:$E$305,"&lt;="&amp;B130,Invoices!$F$6:$F$305,"&gt;="&amp;B130)=1,INDEX(Invoices!$B$6:$B$305,SUMIFS(Invoices!$O$6:$O$305,Invoices!$C$6:$C$305,C130,Invoices!$E$6:$E$305,"&lt;="&amp;B130,Invoices!$F$6:$F$305,"&gt;="&amp;B130)),IF(COUNTIFS(Invoices!$C$6:$C$305,C130,Invoices!$E$6:$E$305,"&lt;="&amp;B130,Invoices!$F$6:$F$305,"&gt;="&amp;B130)&gt;1,"Two invoices",""))))</f>
        <v/>
      </c>
      <c r="Q130" s="15">
        <f>IF(B130="","",IF(J130&lt;&gt;"","Not billable",IF(P130="","To invoice",IF(P130="Two invoices","Check dates",IF(ISNA(MATCH(P130,Invoices!$B$6:$B$305,0)),"Check number",IF(INDEX(Invoices!$M$6:$M$305,MATCH(P130,Invoices!$B$6:$B$305,0))="Paid","Paid",IF(INDEX(Invoices!$M$6:$M$305,MATCH(P130,Invoices!$B$6:$B$305,0))="Draft","Draft","Invoiced")))))))</f>
        <v/>
      </c>
      <c r="R130" s="1">
        <f>IF(AND(B130&lt;&gt;"",P130&lt;&gt;"",P130=Invoice!$G$4),B130+MOD(N(F130),1)+ROW()/10000000,"")</f>
        <v/>
      </c>
      <c r="S130">
        <f>IF(R130="","",IF(D130="","Other work",D130)&amp;IF(AND(K130&lt;&gt;"",E130&lt;&gt;""),", "&amp;E130,""))</f>
        <v/>
      </c>
      <c r="T130">
        <f>IF(R130="","",IF(COUNTIFS(R$6:R129,"&gt;0",S$6:S129,S130,N$6:N129,N130)=0,R130,""))</f>
        <v/>
      </c>
      <c r="U130">
        <f>IF(B130="","",IF(J130&lt;&gt;"",0,M130))</f>
        <v/>
      </c>
    </row>
    <row r="131">
      <c r="A131" s="1" t="n"/>
      <c r="B131" s="16" t="n">
        <v>46202</v>
      </c>
      <c r="C131" s="17" t="inlineStr">
        <is>
          <t>Greenleaf Studio</t>
        </is>
      </c>
      <c r="D131" s="18" t="inlineStr">
        <is>
          <t>Monthly social posts</t>
        </is>
      </c>
      <c r="E131" s="18" t="inlineStr">
        <is>
          <t>Captions and scheduling</t>
        </is>
      </c>
      <c r="F131" s="19" t="n">
        <v>0.375</v>
      </c>
      <c r="G131" s="19" t="n">
        <v>0.4791666666666667</v>
      </c>
      <c r="H131" s="20" t="n"/>
      <c r="I131" s="21" t="n"/>
      <c r="J131" s="22" t="n"/>
      <c r="K131" s="23" t="n"/>
      <c r="L131" s="18" t="n"/>
      <c r="M131" s="24">
        <f>IF(B131="","",IF(AND(F131&lt;&gt;"",G131&lt;&gt;""),MAX(0,ROUND(MOD(G131-F131,1)*24-N(H131)/60,2)),N(I131)))</f>
        <v/>
      </c>
      <c r="N131" s="14">
        <f>IF(B131="","",IF(K131&lt;&gt;"",K131,IF(N(IFERROR(INDEX(Projects!$D$6:$D$65,MATCH(D131,Projects!$B$6:$B$65,0)),""))&gt;0,IFERROR(INDEX(Projects!$D$6:$D$65,MATCH(D131,Projects!$B$6:$B$65,0)),""),IFERROR(INDEX(Clients!$G$6:$G$45,MATCH(C131,Clients!$B$6:$B$45,0)),0))))</f>
        <v/>
      </c>
      <c r="O131" s="14">
        <f>IF(B131="","",IF(J131&lt;&gt;"",0,ROUND(M131*N131,2)))</f>
        <v/>
      </c>
      <c r="P131" s="15">
        <f>IF(OR(B131="",J131&lt;&gt;""),"",IF(L131&lt;&gt;"",L131,IF(COUNTIFS(Invoices!$C$6:$C$305,C131,Invoices!$E$6:$E$305,"&lt;="&amp;B131,Invoices!$F$6:$F$305,"&gt;="&amp;B131)=1,INDEX(Invoices!$B$6:$B$305,SUMIFS(Invoices!$O$6:$O$305,Invoices!$C$6:$C$305,C131,Invoices!$E$6:$E$305,"&lt;="&amp;B131,Invoices!$F$6:$F$305,"&gt;="&amp;B131)),IF(COUNTIFS(Invoices!$C$6:$C$305,C131,Invoices!$E$6:$E$305,"&lt;="&amp;B131,Invoices!$F$6:$F$305,"&gt;="&amp;B131)&gt;1,"Two invoices",""))))</f>
        <v/>
      </c>
      <c r="Q131" s="15">
        <f>IF(B131="","",IF(J131&lt;&gt;"","Not billable",IF(P131="","To invoice",IF(P131="Two invoices","Check dates",IF(ISNA(MATCH(P131,Invoices!$B$6:$B$305,0)),"Check number",IF(INDEX(Invoices!$M$6:$M$305,MATCH(P131,Invoices!$B$6:$B$305,0))="Paid","Paid",IF(INDEX(Invoices!$M$6:$M$305,MATCH(P131,Invoices!$B$6:$B$305,0))="Draft","Draft","Invoiced")))))))</f>
        <v/>
      </c>
      <c r="R131" s="1">
        <f>IF(AND(B131&lt;&gt;"",P131&lt;&gt;"",P131=Invoice!$G$4),B131+MOD(N(F131),1)+ROW()/10000000,"")</f>
        <v/>
      </c>
      <c r="S131">
        <f>IF(R131="","",IF(D131="","Other work",D131)&amp;IF(AND(K131&lt;&gt;"",E131&lt;&gt;""),", "&amp;E131,""))</f>
        <v/>
      </c>
      <c r="T131">
        <f>IF(R131="","",IF(COUNTIFS(R$6:R130,"&gt;0",S$6:S130,S131,N$6:N130,N131)=0,R131,""))</f>
        <v/>
      </c>
      <c r="U131">
        <f>IF(B131="","",IF(J131&lt;&gt;"",0,M131))</f>
        <v/>
      </c>
    </row>
    <row r="132">
      <c r="A132" s="1" t="n"/>
      <c r="B132" s="16" t="n">
        <v>46202</v>
      </c>
      <c r="C132" s="17" t="inlineStr">
        <is>
          <t>Harbour Books</t>
        </is>
      </c>
      <c r="D132" s="18" t="inlineStr">
        <is>
          <t>Website redesign</t>
        </is>
      </c>
      <c r="E132" s="18" t="inlineStr">
        <is>
          <t>Mobile layouts</t>
        </is>
      </c>
      <c r="F132" s="19" t="n">
        <v>0.5208333333333334</v>
      </c>
      <c r="G132" s="19" t="n">
        <v>0.625</v>
      </c>
      <c r="H132" s="20" t="n"/>
      <c r="I132" s="21" t="n"/>
      <c r="J132" s="22" t="n"/>
      <c r="K132" s="23" t="n"/>
      <c r="L132" s="18" t="n"/>
      <c r="M132" s="24">
        <f>IF(B132="","",IF(AND(F132&lt;&gt;"",G132&lt;&gt;""),MAX(0,ROUND(MOD(G132-F132,1)*24-N(H132)/60,2)),N(I132)))</f>
        <v/>
      </c>
      <c r="N132" s="14">
        <f>IF(B132="","",IF(K132&lt;&gt;"",K132,IF(N(IFERROR(INDEX(Projects!$D$6:$D$65,MATCH(D132,Projects!$B$6:$B$65,0)),""))&gt;0,IFERROR(INDEX(Projects!$D$6:$D$65,MATCH(D132,Projects!$B$6:$B$65,0)),""),IFERROR(INDEX(Clients!$G$6:$G$45,MATCH(C132,Clients!$B$6:$B$45,0)),0))))</f>
        <v/>
      </c>
      <c r="O132" s="14">
        <f>IF(B132="","",IF(J132&lt;&gt;"",0,ROUND(M132*N132,2)))</f>
        <v/>
      </c>
      <c r="P132" s="15">
        <f>IF(OR(B132="",J132&lt;&gt;""),"",IF(L132&lt;&gt;"",L132,IF(COUNTIFS(Invoices!$C$6:$C$305,C132,Invoices!$E$6:$E$305,"&lt;="&amp;B132,Invoices!$F$6:$F$305,"&gt;="&amp;B132)=1,INDEX(Invoices!$B$6:$B$305,SUMIFS(Invoices!$O$6:$O$305,Invoices!$C$6:$C$305,C132,Invoices!$E$6:$E$305,"&lt;="&amp;B132,Invoices!$F$6:$F$305,"&gt;="&amp;B132)),IF(COUNTIFS(Invoices!$C$6:$C$305,C132,Invoices!$E$6:$E$305,"&lt;="&amp;B132,Invoices!$F$6:$F$305,"&gt;="&amp;B132)&gt;1,"Two invoices",""))))</f>
        <v/>
      </c>
      <c r="Q132" s="15">
        <f>IF(B132="","",IF(J132&lt;&gt;"","Not billable",IF(P132="","To invoice",IF(P132="Two invoices","Check dates",IF(ISNA(MATCH(P132,Invoices!$B$6:$B$305,0)),"Check number",IF(INDEX(Invoices!$M$6:$M$305,MATCH(P132,Invoices!$B$6:$B$305,0))="Paid","Paid",IF(INDEX(Invoices!$M$6:$M$305,MATCH(P132,Invoices!$B$6:$B$305,0))="Draft","Draft","Invoiced")))))))</f>
        <v/>
      </c>
      <c r="R132" s="1">
        <f>IF(AND(B132&lt;&gt;"",P132&lt;&gt;"",P132=Invoice!$G$4),B132+MOD(N(F132),1)+ROW()/10000000,"")</f>
        <v/>
      </c>
      <c r="S132">
        <f>IF(R132="","",IF(D132="","Other work",D132)&amp;IF(AND(K132&lt;&gt;"",E132&lt;&gt;""),", "&amp;E132,""))</f>
        <v/>
      </c>
      <c r="T132">
        <f>IF(R132="","",IF(COUNTIFS(R$6:R131,"&gt;0",S$6:S131,S132,N$6:N131,N132)=0,R132,""))</f>
        <v/>
      </c>
      <c r="U132">
        <f>IF(B132="","",IF(J132&lt;&gt;"",0,M132))</f>
        <v/>
      </c>
    </row>
    <row r="133">
      <c r="A133" s="1" t="n"/>
      <c r="B133" s="16" t="n">
        <v>46203</v>
      </c>
      <c r="C133" s="17" t="inlineStr">
        <is>
          <t>Harbour Books</t>
        </is>
      </c>
      <c r="D133" s="18" t="inlineStr">
        <is>
          <t>Website redesign</t>
        </is>
      </c>
      <c r="E133" s="18" t="inlineStr">
        <is>
          <t>Home page design</t>
        </is>
      </c>
      <c r="F133" s="19" t="n"/>
      <c r="G133" s="19" t="n"/>
      <c r="H133" s="20" t="n"/>
      <c r="I133" s="21" t="n">
        <v>3</v>
      </c>
      <c r="J133" s="22" t="n"/>
      <c r="K133" s="23" t="n"/>
      <c r="L133" s="18" t="n"/>
      <c r="M133" s="24">
        <f>IF(B133="","",IF(AND(F133&lt;&gt;"",G133&lt;&gt;""),MAX(0,ROUND(MOD(G133-F133,1)*24-N(H133)/60,2)),N(I133)))</f>
        <v/>
      </c>
      <c r="N133" s="14">
        <f>IF(B133="","",IF(K133&lt;&gt;"",K133,IF(N(IFERROR(INDEX(Projects!$D$6:$D$65,MATCH(D133,Projects!$B$6:$B$65,0)),""))&gt;0,IFERROR(INDEX(Projects!$D$6:$D$65,MATCH(D133,Projects!$B$6:$B$65,0)),""),IFERROR(INDEX(Clients!$G$6:$G$45,MATCH(C133,Clients!$B$6:$B$45,0)),0))))</f>
        <v/>
      </c>
      <c r="O133" s="14">
        <f>IF(B133="","",IF(J133&lt;&gt;"",0,ROUND(M133*N133,2)))</f>
        <v/>
      </c>
      <c r="P133" s="15">
        <f>IF(OR(B133="",J133&lt;&gt;""),"",IF(L133&lt;&gt;"",L133,IF(COUNTIFS(Invoices!$C$6:$C$305,C133,Invoices!$E$6:$E$305,"&lt;="&amp;B133,Invoices!$F$6:$F$305,"&gt;="&amp;B133)=1,INDEX(Invoices!$B$6:$B$305,SUMIFS(Invoices!$O$6:$O$305,Invoices!$C$6:$C$305,C133,Invoices!$E$6:$E$305,"&lt;="&amp;B133,Invoices!$F$6:$F$305,"&gt;="&amp;B133)),IF(COUNTIFS(Invoices!$C$6:$C$305,C133,Invoices!$E$6:$E$305,"&lt;="&amp;B133,Invoices!$F$6:$F$305,"&gt;="&amp;B133)&gt;1,"Two invoices",""))))</f>
        <v/>
      </c>
      <c r="Q133" s="15">
        <f>IF(B133="","",IF(J133&lt;&gt;"","Not billable",IF(P133="","To invoice",IF(P133="Two invoices","Check dates",IF(ISNA(MATCH(P133,Invoices!$B$6:$B$305,0)),"Check number",IF(INDEX(Invoices!$M$6:$M$305,MATCH(P133,Invoices!$B$6:$B$305,0))="Paid","Paid",IF(INDEX(Invoices!$M$6:$M$305,MATCH(P133,Invoices!$B$6:$B$305,0))="Draft","Draft","Invoiced")))))))</f>
        <v/>
      </c>
      <c r="R133" s="1">
        <f>IF(AND(B133&lt;&gt;"",P133&lt;&gt;"",P133=Invoice!$G$4),B133+MOD(N(F133),1)+ROW()/10000000,"")</f>
        <v/>
      </c>
      <c r="S133">
        <f>IF(R133="","",IF(D133="","Other work",D133)&amp;IF(AND(K133&lt;&gt;"",E133&lt;&gt;""),", "&amp;E133,""))</f>
        <v/>
      </c>
      <c r="T133">
        <f>IF(R133="","",IF(COUNTIFS(R$6:R132,"&gt;0",S$6:S132,S133,N$6:N132,N133)=0,R133,""))</f>
        <v/>
      </c>
      <c r="U133">
        <f>IF(B133="","",IF(J133&lt;&gt;"",0,M133))</f>
        <v/>
      </c>
    </row>
    <row r="134">
      <c r="A134" s="1" t="n"/>
      <c r="B134" s="16" t="n">
        <v>46203</v>
      </c>
      <c r="C134" s="17" t="inlineStr">
        <is>
          <t>Greenleaf Studio</t>
        </is>
      </c>
      <c r="D134" s="18" t="inlineStr">
        <is>
          <t>Monthly social posts</t>
        </is>
      </c>
      <c r="E134" s="18" t="inlineStr">
        <is>
          <t>Captions and scheduling</t>
        </is>
      </c>
      <c r="F134" s="19" t="n">
        <v>0.3958333333333333</v>
      </c>
      <c r="G134" s="19" t="n">
        <v>0.5416666666666666</v>
      </c>
      <c r="H134" s="20" t="n"/>
      <c r="I134" s="21" t="n"/>
      <c r="J134" s="22" t="n"/>
      <c r="K134" s="23" t="n"/>
      <c r="L134" s="18" t="n"/>
      <c r="M134" s="24">
        <f>IF(B134="","",IF(AND(F134&lt;&gt;"",G134&lt;&gt;""),MAX(0,ROUND(MOD(G134-F134,1)*24-N(H134)/60,2)),N(I134)))</f>
        <v/>
      </c>
      <c r="N134" s="14">
        <f>IF(B134="","",IF(K134&lt;&gt;"",K134,IF(N(IFERROR(INDEX(Projects!$D$6:$D$65,MATCH(D134,Projects!$B$6:$B$65,0)),""))&gt;0,IFERROR(INDEX(Projects!$D$6:$D$65,MATCH(D134,Projects!$B$6:$B$65,0)),""),IFERROR(INDEX(Clients!$G$6:$G$45,MATCH(C134,Clients!$B$6:$B$45,0)),0))))</f>
        <v/>
      </c>
      <c r="O134" s="14">
        <f>IF(B134="","",IF(J134&lt;&gt;"",0,ROUND(M134*N134,2)))</f>
        <v/>
      </c>
      <c r="P134" s="15">
        <f>IF(OR(B134="",J134&lt;&gt;""),"",IF(L134&lt;&gt;"",L134,IF(COUNTIFS(Invoices!$C$6:$C$305,C134,Invoices!$E$6:$E$305,"&lt;="&amp;B134,Invoices!$F$6:$F$305,"&gt;="&amp;B134)=1,INDEX(Invoices!$B$6:$B$305,SUMIFS(Invoices!$O$6:$O$305,Invoices!$C$6:$C$305,C134,Invoices!$E$6:$E$305,"&lt;="&amp;B134,Invoices!$F$6:$F$305,"&gt;="&amp;B134)),IF(COUNTIFS(Invoices!$C$6:$C$305,C134,Invoices!$E$6:$E$305,"&lt;="&amp;B134,Invoices!$F$6:$F$305,"&gt;="&amp;B134)&gt;1,"Two invoices",""))))</f>
        <v/>
      </c>
      <c r="Q134" s="15">
        <f>IF(B134="","",IF(J134&lt;&gt;"","Not billable",IF(P134="","To invoice",IF(P134="Two invoices","Check dates",IF(ISNA(MATCH(P134,Invoices!$B$6:$B$305,0)),"Check number",IF(INDEX(Invoices!$M$6:$M$305,MATCH(P134,Invoices!$B$6:$B$305,0))="Paid","Paid",IF(INDEX(Invoices!$M$6:$M$305,MATCH(P134,Invoices!$B$6:$B$305,0))="Draft","Draft","Invoiced")))))))</f>
        <v/>
      </c>
      <c r="R134" s="1">
        <f>IF(AND(B134&lt;&gt;"",P134&lt;&gt;"",P134=Invoice!$G$4),B134+MOD(N(F134),1)+ROW()/10000000,"")</f>
        <v/>
      </c>
      <c r="S134">
        <f>IF(R134="","",IF(D134="","Other work",D134)&amp;IF(AND(K134&lt;&gt;"",E134&lt;&gt;""),", "&amp;E134,""))</f>
        <v/>
      </c>
      <c r="T134">
        <f>IF(R134="","",IF(COUNTIFS(R$6:R133,"&gt;0",S$6:S133,S134,N$6:N133,N134)=0,R134,""))</f>
        <v/>
      </c>
      <c r="U134">
        <f>IF(B134="","",IF(J134&lt;&gt;"",0,M134))</f>
        <v/>
      </c>
    </row>
    <row r="135">
      <c r="A135" s="1" t="n"/>
      <c r="B135" s="16" t="n">
        <v>46203</v>
      </c>
      <c r="C135" s="17" t="inlineStr">
        <is>
          <t>Harbour Books</t>
        </is>
      </c>
      <c r="D135" s="18" t="inlineStr">
        <is>
          <t>Website redesign</t>
        </is>
      </c>
      <c r="E135" s="18" t="inlineStr">
        <is>
          <t>Revisions after feedback</t>
        </is>
      </c>
      <c r="F135" s="19" t="n">
        <v>0.5625</v>
      </c>
      <c r="G135" s="19" t="n">
        <v>0.6875</v>
      </c>
      <c r="H135" s="20" t="n"/>
      <c r="I135" s="21" t="n"/>
      <c r="J135" s="22" t="n"/>
      <c r="K135" s="23" t="n"/>
      <c r="L135" s="18" t="n"/>
      <c r="M135" s="24">
        <f>IF(B135="","",IF(AND(F135&lt;&gt;"",G135&lt;&gt;""),MAX(0,ROUND(MOD(G135-F135,1)*24-N(H135)/60,2)),N(I135)))</f>
        <v/>
      </c>
      <c r="N135" s="14">
        <f>IF(B135="","",IF(K135&lt;&gt;"",K135,IF(N(IFERROR(INDEX(Projects!$D$6:$D$65,MATCH(D135,Projects!$B$6:$B$65,0)),""))&gt;0,IFERROR(INDEX(Projects!$D$6:$D$65,MATCH(D135,Projects!$B$6:$B$65,0)),""),IFERROR(INDEX(Clients!$G$6:$G$45,MATCH(C135,Clients!$B$6:$B$45,0)),0))))</f>
        <v/>
      </c>
      <c r="O135" s="14">
        <f>IF(B135="","",IF(J135&lt;&gt;"",0,ROUND(M135*N135,2)))</f>
        <v/>
      </c>
      <c r="P135" s="15">
        <f>IF(OR(B135="",J135&lt;&gt;""),"",IF(L135&lt;&gt;"",L135,IF(COUNTIFS(Invoices!$C$6:$C$305,C135,Invoices!$E$6:$E$305,"&lt;="&amp;B135,Invoices!$F$6:$F$305,"&gt;="&amp;B135)=1,INDEX(Invoices!$B$6:$B$305,SUMIFS(Invoices!$O$6:$O$305,Invoices!$C$6:$C$305,C135,Invoices!$E$6:$E$305,"&lt;="&amp;B135,Invoices!$F$6:$F$305,"&gt;="&amp;B135)),IF(COUNTIFS(Invoices!$C$6:$C$305,C135,Invoices!$E$6:$E$305,"&lt;="&amp;B135,Invoices!$F$6:$F$305,"&gt;="&amp;B135)&gt;1,"Two invoices",""))))</f>
        <v/>
      </c>
      <c r="Q135" s="15">
        <f>IF(B135="","",IF(J135&lt;&gt;"","Not billable",IF(P135="","To invoice",IF(P135="Two invoices","Check dates",IF(ISNA(MATCH(P135,Invoices!$B$6:$B$305,0)),"Check number",IF(INDEX(Invoices!$M$6:$M$305,MATCH(P135,Invoices!$B$6:$B$305,0))="Paid","Paid",IF(INDEX(Invoices!$M$6:$M$305,MATCH(P135,Invoices!$B$6:$B$305,0))="Draft","Draft","Invoiced")))))))</f>
        <v/>
      </c>
      <c r="R135" s="1">
        <f>IF(AND(B135&lt;&gt;"",P135&lt;&gt;"",P135=Invoice!$G$4),B135+MOD(N(F135),1)+ROW()/10000000,"")</f>
        <v/>
      </c>
      <c r="S135">
        <f>IF(R135="","",IF(D135="","Other work",D135)&amp;IF(AND(K135&lt;&gt;"",E135&lt;&gt;""),", "&amp;E135,""))</f>
        <v/>
      </c>
      <c r="T135">
        <f>IF(R135="","",IF(COUNTIFS(R$6:R134,"&gt;0",S$6:S134,S135,N$6:N134,N135)=0,R135,""))</f>
        <v/>
      </c>
      <c r="U135">
        <f>IF(B135="","",IF(J135&lt;&gt;"",0,M135))</f>
        <v/>
      </c>
    </row>
    <row r="136">
      <c r="A136" s="1" t="n"/>
      <c r="B136" s="16" t="n">
        <v>46204</v>
      </c>
      <c r="C136" s="17" t="inlineStr">
        <is>
          <t>Harbour Books</t>
        </is>
      </c>
      <c r="D136" s="18" t="inlineStr">
        <is>
          <t>Website redesign</t>
        </is>
      </c>
      <c r="E136" s="18" t="inlineStr">
        <is>
          <t>Page layouts</t>
        </is>
      </c>
      <c r="F136" s="19" t="n"/>
      <c r="G136" s="19" t="n"/>
      <c r="H136" s="20" t="n"/>
      <c r="I136" s="21" t="n">
        <v>1</v>
      </c>
      <c r="J136" s="22" t="n"/>
      <c r="K136" s="23" t="n"/>
      <c r="L136" s="18" t="n"/>
      <c r="M136" s="24">
        <f>IF(B136="","",IF(AND(F136&lt;&gt;"",G136&lt;&gt;""),MAX(0,ROUND(MOD(G136-F136,1)*24-N(H136)/60,2)),N(I136)))</f>
        <v/>
      </c>
      <c r="N136" s="14">
        <f>IF(B136="","",IF(K136&lt;&gt;"",K136,IF(N(IFERROR(INDEX(Projects!$D$6:$D$65,MATCH(D136,Projects!$B$6:$B$65,0)),""))&gt;0,IFERROR(INDEX(Projects!$D$6:$D$65,MATCH(D136,Projects!$B$6:$B$65,0)),""),IFERROR(INDEX(Clients!$G$6:$G$45,MATCH(C136,Clients!$B$6:$B$45,0)),0))))</f>
        <v/>
      </c>
      <c r="O136" s="14">
        <f>IF(B136="","",IF(J136&lt;&gt;"",0,ROUND(M136*N136,2)))</f>
        <v/>
      </c>
      <c r="P136" s="15">
        <f>IF(OR(B136="",J136&lt;&gt;""),"",IF(L136&lt;&gt;"",L136,IF(COUNTIFS(Invoices!$C$6:$C$305,C136,Invoices!$E$6:$E$305,"&lt;="&amp;B136,Invoices!$F$6:$F$305,"&gt;="&amp;B136)=1,INDEX(Invoices!$B$6:$B$305,SUMIFS(Invoices!$O$6:$O$305,Invoices!$C$6:$C$305,C136,Invoices!$E$6:$E$305,"&lt;="&amp;B136,Invoices!$F$6:$F$305,"&gt;="&amp;B136)),IF(COUNTIFS(Invoices!$C$6:$C$305,C136,Invoices!$E$6:$E$305,"&lt;="&amp;B136,Invoices!$F$6:$F$305,"&gt;="&amp;B136)&gt;1,"Two invoices",""))))</f>
        <v/>
      </c>
      <c r="Q136" s="15">
        <f>IF(B136="","",IF(J136&lt;&gt;"","Not billable",IF(P136="","To invoice",IF(P136="Two invoices","Check dates",IF(ISNA(MATCH(P136,Invoices!$B$6:$B$305,0)),"Check number",IF(INDEX(Invoices!$M$6:$M$305,MATCH(P136,Invoices!$B$6:$B$305,0))="Paid","Paid",IF(INDEX(Invoices!$M$6:$M$305,MATCH(P136,Invoices!$B$6:$B$305,0))="Draft","Draft","Invoiced")))))))</f>
        <v/>
      </c>
      <c r="R136" s="1">
        <f>IF(AND(B136&lt;&gt;"",P136&lt;&gt;"",P136=Invoice!$G$4),B136+MOD(N(F136),1)+ROW()/10000000,"")</f>
        <v/>
      </c>
      <c r="S136">
        <f>IF(R136="","",IF(D136="","Other work",D136)&amp;IF(AND(K136&lt;&gt;"",E136&lt;&gt;""),", "&amp;E136,""))</f>
        <v/>
      </c>
      <c r="T136">
        <f>IF(R136="","",IF(COUNTIFS(R$6:R135,"&gt;0",S$6:S135,S136,N$6:N135,N136)=0,R136,""))</f>
        <v/>
      </c>
      <c r="U136">
        <f>IF(B136="","",IF(J136&lt;&gt;"",0,M136))</f>
        <v/>
      </c>
    </row>
    <row r="137">
      <c r="A137" s="1" t="n"/>
      <c r="B137" s="16" t="n">
        <v>46204</v>
      </c>
      <c r="C137" s="17" t="inlineStr">
        <is>
          <t>Harbour Books</t>
        </is>
      </c>
      <c r="D137" s="18" t="inlineStr">
        <is>
          <t>Website redesign</t>
        </is>
      </c>
      <c r="E137" s="18" t="inlineStr">
        <is>
          <t>Revisions after feedback</t>
        </is>
      </c>
      <c r="F137" s="19" t="n"/>
      <c r="G137" s="19" t="n"/>
      <c r="H137" s="20" t="n"/>
      <c r="I137" s="21" t="n">
        <v>2</v>
      </c>
      <c r="J137" s="22" t="n"/>
      <c r="K137" s="23" t="n"/>
      <c r="L137" s="18" t="n"/>
      <c r="M137" s="24">
        <f>IF(B137="","",IF(AND(F137&lt;&gt;"",G137&lt;&gt;""),MAX(0,ROUND(MOD(G137-F137,1)*24-N(H137)/60,2)),N(I137)))</f>
        <v/>
      </c>
      <c r="N137" s="14">
        <f>IF(B137="","",IF(K137&lt;&gt;"",K137,IF(N(IFERROR(INDEX(Projects!$D$6:$D$65,MATCH(D137,Projects!$B$6:$B$65,0)),""))&gt;0,IFERROR(INDEX(Projects!$D$6:$D$65,MATCH(D137,Projects!$B$6:$B$65,0)),""),IFERROR(INDEX(Clients!$G$6:$G$45,MATCH(C137,Clients!$B$6:$B$45,0)),0))))</f>
        <v/>
      </c>
      <c r="O137" s="14">
        <f>IF(B137="","",IF(J137&lt;&gt;"",0,ROUND(M137*N137,2)))</f>
        <v/>
      </c>
      <c r="P137" s="15">
        <f>IF(OR(B137="",J137&lt;&gt;""),"",IF(L137&lt;&gt;"",L137,IF(COUNTIFS(Invoices!$C$6:$C$305,C137,Invoices!$E$6:$E$305,"&lt;="&amp;B137,Invoices!$F$6:$F$305,"&gt;="&amp;B137)=1,INDEX(Invoices!$B$6:$B$305,SUMIFS(Invoices!$O$6:$O$305,Invoices!$C$6:$C$305,C137,Invoices!$E$6:$E$305,"&lt;="&amp;B137,Invoices!$F$6:$F$305,"&gt;="&amp;B137)),IF(COUNTIFS(Invoices!$C$6:$C$305,C137,Invoices!$E$6:$E$305,"&lt;="&amp;B137,Invoices!$F$6:$F$305,"&gt;="&amp;B137)&gt;1,"Two invoices",""))))</f>
        <v/>
      </c>
      <c r="Q137" s="15">
        <f>IF(B137="","",IF(J137&lt;&gt;"","Not billable",IF(P137="","To invoice",IF(P137="Two invoices","Check dates",IF(ISNA(MATCH(P137,Invoices!$B$6:$B$305,0)),"Check number",IF(INDEX(Invoices!$M$6:$M$305,MATCH(P137,Invoices!$B$6:$B$305,0))="Paid","Paid",IF(INDEX(Invoices!$M$6:$M$305,MATCH(P137,Invoices!$B$6:$B$305,0))="Draft","Draft","Invoiced")))))))</f>
        <v/>
      </c>
      <c r="R137" s="1">
        <f>IF(AND(B137&lt;&gt;"",P137&lt;&gt;"",P137=Invoice!$G$4),B137+MOD(N(F137),1)+ROW()/10000000,"")</f>
        <v/>
      </c>
      <c r="S137">
        <f>IF(R137="","",IF(D137="","Other work",D137)&amp;IF(AND(K137&lt;&gt;"",E137&lt;&gt;""),", "&amp;E137,""))</f>
        <v/>
      </c>
      <c r="T137">
        <f>IF(R137="","",IF(COUNTIFS(R$6:R136,"&gt;0",S$6:S136,S137,N$6:N136,N137)=0,R137,""))</f>
        <v/>
      </c>
      <c r="U137">
        <f>IF(B137="","",IF(J137&lt;&gt;"",0,M137))</f>
        <v/>
      </c>
    </row>
    <row r="138">
      <c r="A138" s="1" t="n"/>
      <c r="B138" s="16" t="n">
        <v>46205</v>
      </c>
      <c r="C138" s="17" t="inlineStr">
        <is>
          <t>Harbour Books</t>
        </is>
      </c>
      <c r="D138" s="18" t="inlineStr">
        <is>
          <t>Website redesign</t>
        </is>
      </c>
      <c r="E138" s="18" t="inlineStr">
        <is>
          <t>Revisions after feedback</t>
        </is>
      </c>
      <c r="F138" s="19" t="n"/>
      <c r="G138" s="19" t="n"/>
      <c r="H138" s="20" t="n"/>
      <c r="I138" s="21" t="n">
        <v>1</v>
      </c>
      <c r="J138" s="22" t="n"/>
      <c r="K138" s="23" t="n"/>
      <c r="L138" s="18" t="n"/>
      <c r="M138" s="24">
        <f>IF(B138="","",IF(AND(F138&lt;&gt;"",G138&lt;&gt;""),MAX(0,ROUND(MOD(G138-F138,1)*24-N(H138)/60,2)),N(I138)))</f>
        <v/>
      </c>
      <c r="N138" s="14">
        <f>IF(B138="","",IF(K138&lt;&gt;"",K138,IF(N(IFERROR(INDEX(Projects!$D$6:$D$65,MATCH(D138,Projects!$B$6:$B$65,0)),""))&gt;0,IFERROR(INDEX(Projects!$D$6:$D$65,MATCH(D138,Projects!$B$6:$B$65,0)),""),IFERROR(INDEX(Clients!$G$6:$G$45,MATCH(C138,Clients!$B$6:$B$45,0)),0))))</f>
        <v/>
      </c>
      <c r="O138" s="14">
        <f>IF(B138="","",IF(J138&lt;&gt;"",0,ROUND(M138*N138,2)))</f>
        <v/>
      </c>
      <c r="P138" s="15">
        <f>IF(OR(B138="",J138&lt;&gt;""),"",IF(L138&lt;&gt;"",L138,IF(COUNTIFS(Invoices!$C$6:$C$305,C138,Invoices!$E$6:$E$305,"&lt;="&amp;B138,Invoices!$F$6:$F$305,"&gt;="&amp;B138)=1,INDEX(Invoices!$B$6:$B$305,SUMIFS(Invoices!$O$6:$O$305,Invoices!$C$6:$C$305,C138,Invoices!$E$6:$E$305,"&lt;="&amp;B138,Invoices!$F$6:$F$305,"&gt;="&amp;B138)),IF(COUNTIFS(Invoices!$C$6:$C$305,C138,Invoices!$E$6:$E$305,"&lt;="&amp;B138,Invoices!$F$6:$F$305,"&gt;="&amp;B138)&gt;1,"Two invoices",""))))</f>
        <v/>
      </c>
      <c r="Q138" s="15">
        <f>IF(B138="","",IF(J138&lt;&gt;"","Not billable",IF(P138="","To invoice",IF(P138="Two invoices","Check dates",IF(ISNA(MATCH(P138,Invoices!$B$6:$B$305,0)),"Check number",IF(INDEX(Invoices!$M$6:$M$305,MATCH(P138,Invoices!$B$6:$B$305,0))="Paid","Paid",IF(INDEX(Invoices!$M$6:$M$305,MATCH(P138,Invoices!$B$6:$B$305,0))="Draft","Draft","Invoiced")))))))</f>
        <v/>
      </c>
      <c r="R138" s="1">
        <f>IF(AND(B138&lt;&gt;"",P138&lt;&gt;"",P138=Invoice!$G$4),B138+MOD(N(F138),1)+ROW()/10000000,"")</f>
        <v/>
      </c>
      <c r="S138">
        <f>IF(R138="","",IF(D138="","Other work",D138)&amp;IF(AND(K138&lt;&gt;"",E138&lt;&gt;""),", "&amp;E138,""))</f>
        <v/>
      </c>
      <c r="T138">
        <f>IF(R138="","",IF(COUNTIFS(R$6:R137,"&gt;0",S$6:S137,S138,N$6:N137,N138)=0,R138,""))</f>
        <v/>
      </c>
      <c r="U138">
        <f>IF(B138="","",IF(J138&lt;&gt;"",0,M138))</f>
        <v/>
      </c>
    </row>
    <row r="139">
      <c r="A139" s="1" t="n"/>
      <c r="B139" s="16" t="n">
        <v>46205</v>
      </c>
      <c r="C139" s="17" t="inlineStr">
        <is>
          <t>Harbour Books</t>
        </is>
      </c>
      <c r="D139" s="18" t="inlineStr">
        <is>
          <t>Website redesign</t>
        </is>
      </c>
      <c r="E139" s="18" t="inlineStr">
        <is>
          <t>Mobile layouts</t>
        </is>
      </c>
      <c r="F139" s="19" t="n">
        <v>0.375</v>
      </c>
      <c r="G139" s="19" t="n">
        <v>0.4583333333333333</v>
      </c>
      <c r="H139" s="20" t="n"/>
      <c r="I139" s="21" t="n"/>
      <c r="J139" s="22" t="n"/>
      <c r="K139" s="23" t="n"/>
      <c r="L139" s="18" t="n"/>
      <c r="M139" s="24">
        <f>IF(B139="","",IF(AND(F139&lt;&gt;"",G139&lt;&gt;""),MAX(0,ROUND(MOD(G139-F139,1)*24-N(H139)/60,2)),N(I139)))</f>
        <v/>
      </c>
      <c r="N139" s="14">
        <f>IF(B139="","",IF(K139&lt;&gt;"",K139,IF(N(IFERROR(INDEX(Projects!$D$6:$D$65,MATCH(D139,Projects!$B$6:$B$65,0)),""))&gt;0,IFERROR(INDEX(Projects!$D$6:$D$65,MATCH(D139,Projects!$B$6:$B$65,0)),""),IFERROR(INDEX(Clients!$G$6:$G$45,MATCH(C139,Clients!$B$6:$B$45,0)),0))))</f>
        <v/>
      </c>
      <c r="O139" s="14">
        <f>IF(B139="","",IF(J139&lt;&gt;"",0,ROUND(M139*N139,2)))</f>
        <v/>
      </c>
      <c r="P139" s="15">
        <f>IF(OR(B139="",J139&lt;&gt;""),"",IF(L139&lt;&gt;"",L139,IF(COUNTIFS(Invoices!$C$6:$C$305,C139,Invoices!$E$6:$E$305,"&lt;="&amp;B139,Invoices!$F$6:$F$305,"&gt;="&amp;B139)=1,INDEX(Invoices!$B$6:$B$305,SUMIFS(Invoices!$O$6:$O$305,Invoices!$C$6:$C$305,C139,Invoices!$E$6:$E$305,"&lt;="&amp;B139,Invoices!$F$6:$F$305,"&gt;="&amp;B139)),IF(COUNTIFS(Invoices!$C$6:$C$305,C139,Invoices!$E$6:$E$305,"&lt;="&amp;B139,Invoices!$F$6:$F$305,"&gt;="&amp;B139)&gt;1,"Two invoices",""))))</f>
        <v/>
      </c>
      <c r="Q139" s="15">
        <f>IF(B139="","",IF(J139&lt;&gt;"","Not billable",IF(P139="","To invoice",IF(P139="Two invoices","Check dates",IF(ISNA(MATCH(P139,Invoices!$B$6:$B$305,0)),"Check number",IF(INDEX(Invoices!$M$6:$M$305,MATCH(P139,Invoices!$B$6:$B$305,0))="Paid","Paid",IF(INDEX(Invoices!$M$6:$M$305,MATCH(P139,Invoices!$B$6:$B$305,0))="Draft","Draft","Invoiced")))))))</f>
        <v/>
      </c>
      <c r="R139" s="1">
        <f>IF(AND(B139&lt;&gt;"",P139&lt;&gt;"",P139=Invoice!$G$4),B139+MOD(N(F139),1)+ROW()/10000000,"")</f>
        <v/>
      </c>
      <c r="S139">
        <f>IF(R139="","",IF(D139="","Other work",D139)&amp;IF(AND(K139&lt;&gt;"",E139&lt;&gt;""),", "&amp;E139,""))</f>
        <v/>
      </c>
      <c r="T139">
        <f>IF(R139="","",IF(COUNTIFS(R$6:R138,"&gt;0",S$6:S138,S139,N$6:N138,N139)=0,R139,""))</f>
        <v/>
      </c>
      <c r="U139">
        <f>IF(B139="","",IF(J139&lt;&gt;"",0,M139))</f>
        <v/>
      </c>
    </row>
    <row r="140">
      <c r="A140" s="1" t="n"/>
      <c r="B140" s="16" t="n">
        <v>46206</v>
      </c>
      <c r="C140" s="17" t="inlineStr">
        <is>
          <t>Harbour Books</t>
        </is>
      </c>
      <c r="D140" s="18" t="inlineStr">
        <is>
          <t>Website redesign</t>
        </is>
      </c>
      <c r="E140" s="18" t="inlineStr">
        <is>
          <t>Home page design</t>
        </is>
      </c>
      <c r="F140" s="19" t="n"/>
      <c r="G140" s="19" t="n"/>
      <c r="H140" s="20" t="n"/>
      <c r="I140" s="21" t="n">
        <v>1.5</v>
      </c>
      <c r="J140" s="22" t="n"/>
      <c r="K140" s="23" t="n"/>
      <c r="L140" s="18" t="n"/>
      <c r="M140" s="24">
        <f>IF(B140="","",IF(AND(F140&lt;&gt;"",G140&lt;&gt;""),MAX(0,ROUND(MOD(G140-F140,1)*24-N(H140)/60,2)),N(I140)))</f>
        <v/>
      </c>
      <c r="N140" s="14">
        <f>IF(B140="","",IF(K140&lt;&gt;"",K140,IF(N(IFERROR(INDEX(Projects!$D$6:$D$65,MATCH(D140,Projects!$B$6:$B$65,0)),""))&gt;0,IFERROR(INDEX(Projects!$D$6:$D$65,MATCH(D140,Projects!$B$6:$B$65,0)),""),IFERROR(INDEX(Clients!$G$6:$G$45,MATCH(C140,Clients!$B$6:$B$45,0)),0))))</f>
        <v/>
      </c>
      <c r="O140" s="14">
        <f>IF(B140="","",IF(J140&lt;&gt;"",0,ROUND(M140*N140,2)))</f>
        <v/>
      </c>
      <c r="P140" s="15">
        <f>IF(OR(B140="",J140&lt;&gt;""),"",IF(L140&lt;&gt;"",L140,IF(COUNTIFS(Invoices!$C$6:$C$305,C140,Invoices!$E$6:$E$305,"&lt;="&amp;B140,Invoices!$F$6:$F$305,"&gt;="&amp;B140)=1,INDEX(Invoices!$B$6:$B$305,SUMIFS(Invoices!$O$6:$O$305,Invoices!$C$6:$C$305,C140,Invoices!$E$6:$E$305,"&lt;="&amp;B140,Invoices!$F$6:$F$305,"&gt;="&amp;B140)),IF(COUNTIFS(Invoices!$C$6:$C$305,C140,Invoices!$E$6:$E$305,"&lt;="&amp;B140,Invoices!$F$6:$F$305,"&gt;="&amp;B140)&gt;1,"Two invoices",""))))</f>
        <v/>
      </c>
      <c r="Q140" s="15">
        <f>IF(B140="","",IF(J140&lt;&gt;"","Not billable",IF(P140="","To invoice",IF(P140="Two invoices","Check dates",IF(ISNA(MATCH(P140,Invoices!$B$6:$B$305,0)),"Check number",IF(INDEX(Invoices!$M$6:$M$305,MATCH(P140,Invoices!$B$6:$B$305,0))="Paid","Paid",IF(INDEX(Invoices!$M$6:$M$305,MATCH(P140,Invoices!$B$6:$B$305,0))="Draft","Draft","Invoiced")))))))</f>
        <v/>
      </c>
      <c r="R140" s="1">
        <f>IF(AND(B140&lt;&gt;"",P140&lt;&gt;"",P140=Invoice!$G$4),B140+MOD(N(F140),1)+ROW()/10000000,"")</f>
        <v/>
      </c>
      <c r="S140">
        <f>IF(R140="","",IF(D140="","Other work",D140)&amp;IF(AND(K140&lt;&gt;"",E140&lt;&gt;""),", "&amp;E140,""))</f>
        <v/>
      </c>
      <c r="T140">
        <f>IF(R140="","",IF(COUNTIFS(R$6:R139,"&gt;0",S$6:S139,S140,N$6:N139,N140)=0,R140,""))</f>
        <v/>
      </c>
      <c r="U140">
        <f>IF(B140="","",IF(J140&lt;&gt;"",0,M140))</f>
        <v/>
      </c>
    </row>
    <row r="141">
      <c r="A141" s="1" t="n"/>
      <c r="B141" s="16" t="n">
        <v>46206</v>
      </c>
      <c r="C141" s="17" t="inlineStr">
        <is>
          <t>Harbour Books</t>
        </is>
      </c>
      <c r="D141" s="18" t="inlineStr">
        <is>
          <t>Website redesign</t>
        </is>
      </c>
      <c r="E141" s="18" t="inlineStr">
        <is>
          <t>Page layouts</t>
        </is>
      </c>
      <c r="F141" s="19" t="n">
        <v>0.3958333333333333</v>
      </c>
      <c r="G141" s="19" t="n">
        <v>0.5416666666666666</v>
      </c>
      <c r="H141" s="20" t="n"/>
      <c r="I141" s="21" t="n"/>
      <c r="J141" s="22" t="n"/>
      <c r="K141" s="23" t="n"/>
      <c r="L141" s="18" t="n"/>
      <c r="M141" s="24">
        <f>IF(B141="","",IF(AND(F141&lt;&gt;"",G141&lt;&gt;""),MAX(0,ROUND(MOD(G141-F141,1)*24-N(H141)/60,2)),N(I141)))</f>
        <v/>
      </c>
      <c r="N141" s="14">
        <f>IF(B141="","",IF(K141&lt;&gt;"",K141,IF(N(IFERROR(INDEX(Projects!$D$6:$D$65,MATCH(D141,Projects!$B$6:$B$65,0)),""))&gt;0,IFERROR(INDEX(Projects!$D$6:$D$65,MATCH(D141,Projects!$B$6:$B$65,0)),""),IFERROR(INDEX(Clients!$G$6:$G$45,MATCH(C141,Clients!$B$6:$B$45,0)),0))))</f>
        <v/>
      </c>
      <c r="O141" s="14">
        <f>IF(B141="","",IF(J141&lt;&gt;"",0,ROUND(M141*N141,2)))</f>
        <v/>
      </c>
      <c r="P141" s="15">
        <f>IF(OR(B141="",J141&lt;&gt;""),"",IF(L141&lt;&gt;"",L141,IF(COUNTIFS(Invoices!$C$6:$C$305,C141,Invoices!$E$6:$E$305,"&lt;="&amp;B141,Invoices!$F$6:$F$305,"&gt;="&amp;B141)=1,INDEX(Invoices!$B$6:$B$305,SUMIFS(Invoices!$O$6:$O$305,Invoices!$C$6:$C$305,C141,Invoices!$E$6:$E$305,"&lt;="&amp;B141,Invoices!$F$6:$F$305,"&gt;="&amp;B141)),IF(COUNTIFS(Invoices!$C$6:$C$305,C141,Invoices!$E$6:$E$305,"&lt;="&amp;B141,Invoices!$F$6:$F$305,"&gt;="&amp;B141)&gt;1,"Two invoices",""))))</f>
        <v/>
      </c>
      <c r="Q141" s="15">
        <f>IF(B141="","",IF(J141&lt;&gt;"","Not billable",IF(P141="","To invoice",IF(P141="Two invoices","Check dates",IF(ISNA(MATCH(P141,Invoices!$B$6:$B$305,0)),"Check number",IF(INDEX(Invoices!$M$6:$M$305,MATCH(P141,Invoices!$B$6:$B$305,0))="Paid","Paid",IF(INDEX(Invoices!$M$6:$M$305,MATCH(P141,Invoices!$B$6:$B$305,0))="Draft","Draft","Invoiced")))))))</f>
        <v/>
      </c>
      <c r="R141" s="1">
        <f>IF(AND(B141&lt;&gt;"",P141&lt;&gt;"",P141=Invoice!$G$4),B141+MOD(N(F141),1)+ROW()/10000000,"")</f>
        <v/>
      </c>
      <c r="S141">
        <f>IF(R141="","",IF(D141="","Other work",D141)&amp;IF(AND(K141&lt;&gt;"",E141&lt;&gt;""),", "&amp;E141,""))</f>
        <v/>
      </c>
      <c r="T141">
        <f>IF(R141="","",IF(COUNTIFS(R$6:R140,"&gt;0",S$6:S140,S141,N$6:N140,N141)=0,R141,""))</f>
        <v/>
      </c>
      <c r="U141">
        <f>IF(B141="","",IF(J141&lt;&gt;"",0,M141))</f>
        <v/>
      </c>
    </row>
    <row r="142">
      <c r="A142" s="1" t="n"/>
      <c r="B142" s="16" t="n">
        <v>46209</v>
      </c>
      <c r="C142" s="17" t="inlineStr">
        <is>
          <t>Greenleaf Studio</t>
        </is>
      </c>
      <c r="D142" s="18" t="inlineStr">
        <is>
          <t>Monthly social posts</t>
        </is>
      </c>
      <c r="E142" s="18" t="inlineStr">
        <is>
          <t>Captions and scheduling</t>
        </is>
      </c>
      <c r="F142" s="19" t="n">
        <v>0.375</v>
      </c>
      <c r="G142" s="19" t="n">
        <v>0.4583333333333333</v>
      </c>
      <c r="H142" s="20" t="n"/>
      <c r="I142" s="21" t="n"/>
      <c r="J142" s="22" t="n"/>
      <c r="K142" s="23" t="n"/>
      <c r="L142" s="18" t="n"/>
      <c r="M142" s="24">
        <f>IF(B142="","",IF(AND(F142&lt;&gt;"",G142&lt;&gt;""),MAX(0,ROUND(MOD(G142-F142,1)*24-N(H142)/60,2)),N(I142)))</f>
        <v/>
      </c>
      <c r="N142" s="14">
        <f>IF(B142="","",IF(K142&lt;&gt;"",K142,IF(N(IFERROR(INDEX(Projects!$D$6:$D$65,MATCH(D142,Projects!$B$6:$B$65,0)),""))&gt;0,IFERROR(INDEX(Projects!$D$6:$D$65,MATCH(D142,Projects!$B$6:$B$65,0)),""),IFERROR(INDEX(Clients!$G$6:$G$45,MATCH(C142,Clients!$B$6:$B$45,0)),0))))</f>
        <v/>
      </c>
      <c r="O142" s="14">
        <f>IF(B142="","",IF(J142&lt;&gt;"",0,ROUND(M142*N142,2)))</f>
        <v/>
      </c>
      <c r="P142" s="15">
        <f>IF(OR(B142="",J142&lt;&gt;""),"",IF(L142&lt;&gt;"",L142,IF(COUNTIFS(Invoices!$C$6:$C$305,C142,Invoices!$E$6:$E$305,"&lt;="&amp;B142,Invoices!$F$6:$F$305,"&gt;="&amp;B142)=1,INDEX(Invoices!$B$6:$B$305,SUMIFS(Invoices!$O$6:$O$305,Invoices!$C$6:$C$305,C142,Invoices!$E$6:$E$305,"&lt;="&amp;B142,Invoices!$F$6:$F$305,"&gt;="&amp;B142)),IF(COUNTIFS(Invoices!$C$6:$C$305,C142,Invoices!$E$6:$E$305,"&lt;="&amp;B142,Invoices!$F$6:$F$305,"&gt;="&amp;B142)&gt;1,"Two invoices",""))))</f>
        <v/>
      </c>
      <c r="Q142" s="15">
        <f>IF(B142="","",IF(J142&lt;&gt;"","Not billable",IF(P142="","To invoice",IF(P142="Two invoices","Check dates",IF(ISNA(MATCH(P142,Invoices!$B$6:$B$305,0)),"Check number",IF(INDEX(Invoices!$M$6:$M$305,MATCH(P142,Invoices!$B$6:$B$305,0))="Paid","Paid",IF(INDEX(Invoices!$M$6:$M$305,MATCH(P142,Invoices!$B$6:$B$305,0))="Draft","Draft","Invoiced")))))))</f>
        <v/>
      </c>
      <c r="R142" s="1">
        <f>IF(AND(B142&lt;&gt;"",P142&lt;&gt;"",P142=Invoice!$G$4),B142+MOD(N(F142),1)+ROW()/10000000,"")</f>
        <v/>
      </c>
      <c r="S142">
        <f>IF(R142="","",IF(D142="","Other work",D142)&amp;IF(AND(K142&lt;&gt;"",E142&lt;&gt;""),", "&amp;E142,""))</f>
        <v/>
      </c>
      <c r="T142">
        <f>IF(R142="","",IF(COUNTIFS(R$6:R141,"&gt;0",S$6:S141,S142,N$6:N141,N142)=0,R142,""))</f>
        <v/>
      </c>
      <c r="U142">
        <f>IF(B142="","",IF(J142&lt;&gt;"",0,M142))</f>
        <v/>
      </c>
    </row>
    <row r="143">
      <c r="A143" s="1" t="n"/>
      <c r="B143" s="16" t="n">
        <v>46209</v>
      </c>
      <c r="C143" s="17" t="inlineStr">
        <is>
          <t>Harbour Books</t>
        </is>
      </c>
      <c r="D143" s="18" t="inlineStr">
        <is>
          <t>Website redesign</t>
        </is>
      </c>
      <c r="E143" s="18" t="inlineStr">
        <is>
          <t>Client call</t>
        </is>
      </c>
      <c r="F143" s="19" t="n">
        <v>0.4895833333333333</v>
      </c>
      <c r="G143" s="19" t="n">
        <v>0.53125</v>
      </c>
      <c r="H143" s="20" t="n"/>
      <c r="I143" s="21" t="n"/>
      <c r="J143" s="22" t="n"/>
      <c r="K143" s="23" t="n"/>
      <c r="L143" s="18" t="n"/>
      <c r="M143" s="24">
        <f>IF(B143="","",IF(AND(F143&lt;&gt;"",G143&lt;&gt;""),MAX(0,ROUND(MOD(G143-F143,1)*24-N(H143)/60,2)),N(I143)))</f>
        <v/>
      </c>
      <c r="N143" s="14">
        <f>IF(B143="","",IF(K143&lt;&gt;"",K143,IF(N(IFERROR(INDEX(Projects!$D$6:$D$65,MATCH(D143,Projects!$B$6:$B$65,0)),""))&gt;0,IFERROR(INDEX(Projects!$D$6:$D$65,MATCH(D143,Projects!$B$6:$B$65,0)),""),IFERROR(INDEX(Clients!$G$6:$G$45,MATCH(C143,Clients!$B$6:$B$45,0)),0))))</f>
        <v/>
      </c>
      <c r="O143" s="14">
        <f>IF(B143="","",IF(J143&lt;&gt;"",0,ROUND(M143*N143,2)))</f>
        <v/>
      </c>
      <c r="P143" s="15">
        <f>IF(OR(B143="",J143&lt;&gt;""),"",IF(L143&lt;&gt;"",L143,IF(COUNTIFS(Invoices!$C$6:$C$305,C143,Invoices!$E$6:$E$305,"&lt;="&amp;B143,Invoices!$F$6:$F$305,"&gt;="&amp;B143)=1,INDEX(Invoices!$B$6:$B$305,SUMIFS(Invoices!$O$6:$O$305,Invoices!$C$6:$C$305,C143,Invoices!$E$6:$E$305,"&lt;="&amp;B143,Invoices!$F$6:$F$305,"&gt;="&amp;B143)),IF(COUNTIFS(Invoices!$C$6:$C$305,C143,Invoices!$E$6:$E$305,"&lt;="&amp;B143,Invoices!$F$6:$F$305,"&gt;="&amp;B143)&gt;1,"Two invoices",""))))</f>
        <v/>
      </c>
      <c r="Q143" s="15">
        <f>IF(B143="","",IF(J143&lt;&gt;"","Not billable",IF(P143="","To invoice",IF(P143="Two invoices","Check dates",IF(ISNA(MATCH(P143,Invoices!$B$6:$B$305,0)),"Check number",IF(INDEX(Invoices!$M$6:$M$305,MATCH(P143,Invoices!$B$6:$B$305,0))="Paid","Paid",IF(INDEX(Invoices!$M$6:$M$305,MATCH(P143,Invoices!$B$6:$B$305,0))="Draft","Draft","Invoiced")))))))</f>
        <v/>
      </c>
      <c r="R143" s="1">
        <f>IF(AND(B143&lt;&gt;"",P143&lt;&gt;"",P143=Invoice!$G$4),B143+MOD(N(F143),1)+ROW()/10000000,"")</f>
        <v/>
      </c>
      <c r="S143">
        <f>IF(R143="","",IF(D143="","Other work",D143)&amp;IF(AND(K143&lt;&gt;"",E143&lt;&gt;""),", "&amp;E143,""))</f>
        <v/>
      </c>
      <c r="T143">
        <f>IF(R143="","",IF(COUNTIFS(R$6:R142,"&gt;0",S$6:S142,S143,N$6:N142,N143)=0,R143,""))</f>
        <v/>
      </c>
      <c r="U143">
        <f>IF(B143="","",IF(J143&lt;&gt;"",0,M143))</f>
        <v/>
      </c>
    </row>
    <row r="144">
      <c r="A144" s="1" t="n"/>
      <c r="B144" s="16" t="n">
        <v>46210</v>
      </c>
      <c r="C144" s="17" t="inlineStr">
        <is>
          <t>Greenleaf Studio</t>
        </is>
      </c>
      <c r="D144" s="18" t="inlineStr">
        <is>
          <t>Monthly social posts</t>
        </is>
      </c>
      <c r="E144" s="18" t="inlineStr">
        <is>
          <t>Post designs</t>
        </is>
      </c>
      <c r="F144" s="19" t="n">
        <v>0.3958333333333333</v>
      </c>
      <c r="G144" s="19" t="n">
        <v>0.4375</v>
      </c>
      <c r="H144" s="20" t="n"/>
      <c r="I144" s="21" t="n"/>
      <c r="J144" s="22" t="n"/>
      <c r="K144" s="23" t="n"/>
      <c r="L144" s="18" t="n"/>
      <c r="M144" s="24">
        <f>IF(B144="","",IF(AND(F144&lt;&gt;"",G144&lt;&gt;""),MAX(0,ROUND(MOD(G144-F144,1)*24-N(H144)/60,2)),N(I144)))</f>
        <v/>
      </c>
      <c r="N144" s="14">
        <f>IF(B144="","",IF(K144&lt;&gt;"",K144,IF(N(IFERROR(INDEX(Projects!$D$6:$D$65,MATCH(D144,Projects!$B$6:$B$65,0)),""))&gt;0,IFERROR(INDEX(Projects!$D$6:$D$65,MATCH(D144,Projects!$B$6:$B$65,0)),""),IFERROR(INDEX(Clients!$G$6:$G$45,MATCH(C144,Clients!$B$6:$B$45,0)),0))))</f>
        <v/>
      </c>
      <c r="O144" s="14">
        <f>IF(B144="","",IF(J144&lt;&gt;"",0,ROUND(M144*N144,2)))</f>
        <v/>
      </c>
      <c r="P144" s="15">
        <f>IF(OR(B144="",J144&lt;&gt;""),"",IF(L144&lt;&gt;"",L144,IF(COUNTIFS(Invoices!$C$6:$C$305,C144,Invoices!$E$6:$E$305,"&lt;="&amp;B144,Invoices!$F$6:$F$305,"&gt;="&amp;B144)=1,INDEX(Invoices!$B$6:$B$305,SUMIFS(Invoices!$O$6:$O$305,Invoices!$C$6:$C$305,C144,Invoices!$E$6:$E$305,"&lt;="&amp;B144,Invoices!$F$6:$F$305,"&gt;="&amp;B144)),IF(COUNTIFS(Invoices!$C$6:$C$305,C144,Invoices!$E$6:$E$305,"&lt;="&amp;B144,Invoices!$F$6:$F$305,"&gt;="&amp;B144)&gt;1,"Two invoices",""))))</f>
        <v/>
      </c>
      <c r="Q144" s="15">
        <f>IF(B144="","",IF(J144&lt;&gt;"","Not billable",IF(P144="","To invoice",IF(P144="Two invoices","Check dates",IF(ISNA(MATCH(P144,Invoices!$B$6:$B$305,0)),"Check number",IF(INDEX(Invoices!$M$6:$M$305,MATCH(P144,Invoices!$B$6:$B$305,0))="Paid","Paid",IF(INDEX(Invoices!$M$6:$M$305,MATCH(P144,Invoices!$B$6:$B$305,0))="Draft","Draft","Invoiced")))))))</f>
        <v/>
      </c>
      <c r="R144" s="1">
        <f>IF(AND(B144&lt;&gt;"",P144&lt;&gt;"",P144=Invoice!$G$4),B144+MOD(N(F144),1)+ROW()/10000000,"")</f>
        <v/>
      </c>
      <c r="S144">
        <f>IF(R144="","",IF(D144="","Other work",D144)&amp;IF(AND(K144&lt;&gt;"",E144&lt;&gt;""),", "&amp;E144,""))</f>
        <v/>
      </c>
      <c r="T144">
        <f>IF(R144="","",IF(COUNTIFS(R$6:R143,"&gt;0",S$6:S143,S144,N$6:N143,N144)=0,R144,""))</f>
        <v/>
      </c>
      <c r="U144">
        <f>IF(B144="","",IF(J144&lt;&gt;"",0,M144))</f>
        <v/>
      </c>
    </row>
    <row r="145">
      <c r="A145" s="1" t="n"/>
      <c r="B145" s="16" t="n">
        <v>46211</v>
      </c>
      <c r="C145" s="17" t="inlineStr">
        <is>
          <t>Greenleaf Studio</t>
        </is>
      </c>
      <c r="D145" s="18" t="inlineStr">
        <is>
          <t>Monthly social posts</t>
        </is>
      </c>
      <c r="E145" s="18" t="inlineStr">
        <is>
          <t>Monthly report</t>
        </is>
      </c>
      <c r="F145" s="19" t="n"/>
      <c r="G145" s="19" t="n"/>
      <c r="H145" s="20" t="n"/>
      <c r="I145" s="21" t="n">
        <v>3.5</v>
      </c>
      <c r="J145" s="22" t="n"/>
      <c r="K145" s="23" t="n"/>
      <c r="L145" s="18" t="n"/>
      <c r="M145" s="24">
        <f>IF(B145="","",IF(AND(F145&lt;&gt;"",G145&lt;&gt;""),MAX(0,ROUND(MOD(G145-F145,1)*24-N(H145)/60,2)),N(I145)))</f>
        <v/>
      </c>
      <c r="N145" s="14">
        <f>IF(B145="","",IF(K145&lt;&gt;"",K145,IF(N(IFERROR(INDEX(Projects!$D$6:$D$65,MATCH(D145,Projects!$B$6:$B$65,0)),""))&gt;0,IFERROR(INDEX(Projects!$D$6:$D$65,MATCH(D145,Projects!$B$6:$B$65,0)),""),IFERROR(INDEX(Clients!$G$6:$G$45,MATCH(C145,Clients!$B$6:$B$45,0)),0))))</f>
        <v/>
      </c>
      <c r="O145" s="14">
        <f>IF(B145="","",IF(J145&lt;&gt;"",0,ROUND(M145*N145,2)))</f>
        <v/>
      </c>
      <c r="P145" s="15">
        <f>IF(OR(B145="",J145&lt;&gt;""),"",IF(L145&lt;&gt;"",L145,IF(COUNTIFS(Invoices!$C$6:$C$305,C145,Invoices!$E$6:$E$305,"&lt;="&amp;B145,Invoices!$F$6:$F$305,"&gt;="&amp;B145)=1,INDEX(Invoices!$B$6:$B$305,SUMIFS(Invoices!$O$6:$O$305,Invoices!$C$6:$C$305,C145,Invoices!$E$6:$E$305,"&lt;="&amp;B145,Invoices!$F$6:$F$305,"&gt;="&amp;B145)),IF(COUNTIFS(Invoices!$C$6:$C$305,C145,Invoices!$E$6:$E$305,"&lt;="&amp;B145,Invoices!$F$6:$F$305,"&gt;="&amp;B145)&gt;1,"Two invoices",""))))</f>
        <v/>
      </c>
      <c r="Q145" s="15">
        <f>IF(B145="","",IF(J145&lt;&gt;"","Not billable",IF(P145="","To invoice",IF(P145="Two invoices","Check dates",IF(ISNA(MATCH(P145,Invoices!$B$6:$B$305,0)),"Check number",IF(INDEX(Invoices!$M$6:$M$305,MATCH(P145,Invoices!$B$6:$B$305,0))="Paid","Paid",IF(INDEX(Invoices!$M$6:$M$305,MATCH(P145,Invoices!$B$6:$B$305,0))="Draft","Draft","Invoiced")))))))</f>
        <v/>
      </c>
      <c r="R145" s="1">
        <f>IF(AND(B145&lt;&gt;"",P145&lt;&gt;"",P145=Invoice!$G$4),B145+MOD(N(F145),1)+ROW()/10000000,"")</f>
        <v/>
      </c>
      <c r="S145">
        <f>IF(R145="","",IF(D145="","Other work",D145)&amp;IF(AND(K145&lt;&gt;"",E145&lt;&gt;""),", "&amp;E145,""))</f>
        <v/>
      </c>
      <c r="T145">
        <f>IF(R145="","",IF(COUNTIFS(R$6:R144,"&gt;0",S$6:S144,S145,N$6:N144,N145)=0,R145,""))</f>
        <v/>
      </c>
      <c r="U145">
        <f>IF(B145="","",IF(J145&lt;&gt;"",0,M145))</f>
        <v/>
      </c>
    </row>
    <row r="146">
      <c r="A146" s="1" t="n"/>
      <c r="B146" s="16" t="n">
        <v>46211</v>
      </c>
      <c r="C146" s="17" t="inlineStr">
        <is>
          <t>Greenleaf Studio</t>
        </is>
      </c>
      <c r="D146" s="18" t="inlineStr">
        <is>
          <t>Monthly social posts</t>
        </is>
      </c>
      <c r="E146" s="18" t="inlineStr">
        <is>
          <t>Captions and scheduling</t>
        </is>
      </c>
      <c r="F146" s="19" t="n"/>
      <c r="G146" s="19" t="n"/>
      <c r="H146" s="20" t="n"/>
      <c r="I146" s="21" t="n">
        <v>3.5</v>
      </c>
      <c r="J146" s="22" t="n"/>
      <c r="K146" s="23" t="n"/>
      <c r="L146" s="18" t="n"/>
      <c r="M146" s="24">
        <f>IF(B146="","",IF(AND(F146&lt;&gt;"",G146&lt;&gt;""),MAX(0,ROUND(MOD(G146-F146,1)*24-N(H146)/60,2)),N(I146)))</f>
        <v/>
      </c>
      <c r="N146" s="14">
        <f>IF(B146="","",IF(K146&lt;&gt;"",K146,IF(N(IFERROR(INDEX(Projects!$D$6:$D$65,MATCH(D146,Projects!$B$6:$B$65,0)),""))&gt;0,IFERROR(INDEX(Projects!$D$6:$D$65,MATCH(D146,Projects!$B$6:$B$65,0)),""),IFERROR(INDEX(Clients!$G$6:$G$45,MATCH(C146,Clients!$B$6:$B$45,0)),0))))</f>
        <v/>
      </c>
      <c r="O146" s="14">
        <f>IF(B146="","",IF(J146&lt;&gt;"",0,ROUND(M146*N146,2)))</f>
        <v/>
      </c>
      <c r="P146" s="15">
        <f>IF(OR(B146="",J146&lt;&gt;""),"",IF(L146&lt;&gt;"",L146,IF(COUNTIFS(Invoices!$C$6:$C$305,C146,Invoices!$E$6:$E$305,"&lt;="&amp;B146,Invoices!$F$6:$F$305,"&gt;="&amp;B146)=1,INDEX(Invoices!$B$6:$B$305,SUMIFS(Invoices!$O$6:$O$305,Invoices!$C$6:$C$305,C146,Invoices!$E$6:$E$305,"&lt;="&amp;B146,Invoices!$F$6:$F$305,"&gt;="&amp;B146)),IF(COUNTIFS(Invoices!$C$6:$C$305,C146,Invoices!$E$6:$E$305,"&lt;="&amp;B146,Invoices!$F$6:$F$305,"&gt;="&amp;B146)&gt;1,"Two invoices",""))))</f>
        <v/>
      </c>
      <c r="Q146" s="15">
        <f>IF(B146="","",IF(J146&lt;&gt;"","Not billable",IF(P146="","To invoice",IF(P146="Two invoices","Check dates",IF(ISNA(MATCH(P146,Invoices!$B$6:$B$305,0)),"Check number",IF(INDEX(Invoices!$M$6:$M$305,MATCH(P146,Invoices!$B$6:$B$305,0))="Paid","Paid",IF(INDEX(Invoices!$M$6:$M$305,MATCH(P146,Invoices!$B$6:$B$305,0))="Draft","Draft","Invoiced")))))))</f>
        <v/>
      </c>
      <c r="R146" s="1">
        <f>IF(AND(B146&lt;&gt;"",P146&lt;&gt;"",P146=Invoice!$G$4),B146+MOD(N(F146),1)+ROW()/10000000,"")</f>
        <v/>
      </c>
      <c r="S146">
        <f>IF(R146="","",IF(D146="","Other work",D146)&amp;IF(AND(K146&lt;&gt;"",E146&lt;&gt;""),", "&amp;E146,""))</f>
        <v/>
      </c>
      <c r="T146">
        <f>IF(R146="","",IF(COUNTIFS(R$6:R145,"&gt;0",S$6:S145,S146,N$6:N145,N146)=0,R146,""))</f>
        <v/>
      </c>
      <c r="U146">
        <f>IF(B146="","",IF(J146&lt;&gt;"",0,M146))</f>
        <v/>
      </c>
    </row>
    <row r="147">
      <c r="A147" s="1" t="n"/>
      <c r="B147" s="16" t="n">
        <v>46212</v>
      </c>
      <c r="C147" s="17" t="inlineStr">
        <is>
          <t>Greenleaf Studio</t>
        </is>
      </c>
      <c r="D147" s="18" t="inlineStr">
        <is>
          <t>Monthly social posts</t>
        </is>
      </c>
      <c r="E147" s="18" t="inlineStr">
        <is>
          <t>Captions and scheduling</t>
        </is>
      </c>
      <c r="F147" s="19" t="n">
        <v>0.375</v>
      </c>
      <c r="G147" s="19" t="n">
        <v>0.4583333333333333</v>
      </c>
      <c r="H147" s="20" t="n"/>
      <c r="I147" s="21" t="n"/>
      <c r="J147" s="22" t="n"/>
      <c r="K147" s="23" t="n"/>
      <c r="L147" s="18" t="n"/>
      <c r="M147" s="24">
        <f>IF(B147="","",IF(AND(F147&lt;&gt;"",G147&lt;&gt;""),MAX(0,ROUND(MOD(G147-F147,1)*24-N(H147)/60,2)),N(I147)))</f>
        <v/>
      </c>
      <c r="N147" s="14">
        <f>IF(B147="","",IF(K147&lt;&gt;"",K147,IF(N(IFERROR(INDEX(Projects!$D$6:$D$65,MATCH(D147,Projects!$B$6:$B$65,0)),""))&gt;0,IFERROR(INDEX(Projects!$D$6:$D$65,MATCH(D147,Projects!$B$6:$B$65,0)),""),IFERROR(INDEX(Clients!$G$6:$G$45,MATCH(C147,Clients!$B$6:$B$45,0)),0))))</f>
        <v/>
      </c>
      <c r="O147" s="14">
        <f>IF(B147="","",IF(J147&lt;&gt;"",0,ROUND(M147*N147,2)))</f>
        <v/>
      </c>
      <c r="P147" s="15">
        <f>IF(OR(B147="",J147&lt;&gt;""),"",IF(L147&lt;&gt;"",L147,IF(COUNTIFS(Invoices!$C$6:$C$305,C147,Invoices!$E$6:$E$305,"&lt;="&amp;B147,Invoices!$F$6:$F$305,"&gt;="&amp;B147)=1,INDEX(Invoices!$B$6:$B$305,SUMIFS(Invoices!$O$6:$O$305,Invoices!$C$6:$C$305,C147,Invoices!$E$6:$E$305,"&lt;="&amp;B147,Invoices!$F$6:$F$305,"&gt;="&amp;B147)),IF(COUNTIFS(Invoices!$C$6:$C$305,C147,Invoices!$E$6:$E$305,"&lt;="&amp;B147,Invoices!$F$6:$F$305,"&gt;="&amp;B147)&gt;1,"Two invoices",""))))</f>
        <v/>
      </c>
      <c r="Q147" s="15">
        <f>IF(B147="","",IF(J147&lt;&gt;"","Not billable",IF(P147="","To invoice",IF(P147="Two invoices","Check dates",IF(ISNA(MATCH(P147,Invoices!$B$6:$B$305,0)),"Check number",IF(INDEX(Invoices!$M$6:$M$305,MATCH(P147,Invoices!$B$6:$B$305,0))="Paid","Paid",IF(INDEX(Invoices!$M$6:$M$305,MATCH(P147,Invoices!$B$6:$B$305,0))="Draft","Draft","Invoiced")))))))</f>
        <v/>
      </c>
      <c r="R147" s="1">
        <f>IF(AND(B147&lt;&gt;"",P147&lt;&gt;"",P147=Invoice!$G$4),B147+MOD(N(F147),1)+ROW()/10000000,"")</f>
        <v/>
      </c>
      <c r="S147">
        <f>IF(R147="","",IF(D147="","Other work",D147)&amp;IF(AND(K147&lt;&gt;"",E147&lt;&gt;""),", "&amp;E147,""))</f>
        <v/>
      </c>
      <c r="T147">
        <f>IF(R147="","",IF(COUNTIFS(R$6:R146,"&gt;0",S$6:S146,S147,N$6:N146,N147)=0,R147,""))</f>
        <v/>
      </c>
      <c r="U147">
        <f>IF(B147="","",IF(J147&lt;&gt;"",0,M147))</f>
        <v/>
      </c>
    </row>
    <row r="148">
      <c r="A148" s="1" t="n"/>
      <c r="B148" s="16" t="n">
        <v>46212</v>
      </c>
      <c r="C148" s="17" t="inlineStr">
        <is>
          <t>Greenleaf Studio</t>
        </is>
      </c>
      <c r="D148" s="18" t="inlineStr">
        <is>
          <t>Monthly social posts</t>
        </is>
      </c>
      <c r="E148" s="18" t="inlineStr">
        <is>
          <t>Monthly report</t>
        </is>
      </c>
      <c r="F148" s="19" t="n">
        <v>0.4791666666666667</v>
      </c>
      <c r="G148" s="19" t="n">
        <v>0.5625</v>
      </c>
      <c r="H148" s="20" t="n"/>
      <c r="I148" s="21" t="n"/>
      <c r="J148" s="22" t="n"/>
      <c r="K148" s="23" t="n"/>
      <c r="L148" s="18" t="n"/>
      <c r="M148" s="24">
        <f>IF(B148="","",IF(AND(F148&lt;&gt;"",G148&lt;&gt;""),MAX(0,ROUND(MOD(G148-F148,1)*24-N(H148)/60,2)),N(I148)))</f>
        <v/>
      </c>
      <c r="N148" s="14">
        <f>IF(B148="","",IF(K148&lt;&gt;"",K148,IF(N(IFERROR(INDEX(Projects!$D$6:$D$65,MATCH(D148,Projects!$B$6:$B$65,0)),""))&gt;0,IFERROR(INDEX(Projects!$D$6:$D$65,MATCH(D148,Projects!$B$6:$B$65,0)),""),IFERROR(INDEX(Clients!$G$6:$G$45,MATCH(C148,Clients!$B$6:$B$45,0)),0))))</f>
        <v/>
      </c>
      <c r="O148" s="14">
        <f>IF(B148="","",IF(J148&lt;&gt;"",0,ROUND(M148*N148,2)))</f>
        <v/>
      </c>
      <c r="P148" s="15">
        <f>IF(OR(B148="",J148&lt;&gt;""),"",IF(L148&lt;&gt;"",L148,IF(COUNTIFS(Invoices!$C$6:$C$305,C148,Invoices!$E$6:$E$305,"&lt;="&amp;B148,Invoices!$F$6:$F$305,"&gt;="&amp;B148)=1,INDEX(Invoices!$B$6:$B$305,SUMIFS(Invoices!$O$6:$O$305,Invoices!$C$6:$C$305,C148,Invoices!$E$6:$E$305,"&lt;="&amp;B148,Invoices!$F$6:$F$305,"&gt;="&amp;B148)),IF(COUNTIFS(Invoices!$C$6:$C$305,C148,Invoices!$E$6:$E$305,"&lt;="&amp;B148,Invoices!$F$6:$F$305,"&gt;="&amp;B148)&gt;1,"Two invoices",""))))</f>
        <v/>
      </c>
      <c r="Q148" s="15">
        <f>IF(B148="","",IF(J148&lt;&gt;"","Not billable",IF(P148="","To invoice",IF(P148="Two invoices","Check dates",IF(ISNA(MATCH(P148,Invoices!$B$6:$B$305,0)),"Check number",IF(INDEX(Invoices!$M$6:$M$305,MATCH(P148,Invoices!$B$6:$B$305,0))="Paid","Paid",IF(INDEX(Invoices!$M$6:$M$305,MATCH(P148,Invoices!$B$6:$B$305,0))="Draft","Draft","Invoiced")))))))</f>
        <v/>
      </c>
      <c r="R148" s="1">
        <f>IF(AND(B148&lt;&gt;"",P148&lt;&gt;"",P148=Invoice!$G$4),B148+MOD(N(F148),1)+ROW()/10000000,"")</f>
        <v/>
      </c>
      <c r="S148">
        <f>IF(R148="","",IF(D148="","Other work",D148)&amp;IF(AND(K148&lt;&gt;"",E148&lt;&gt;""),", "&amp;E148,""))</f>
        <v/>
      </c>
      <c r="T148">
        <f>IF(R148="","",IF(COUNTIFS(R$6:R147,"&gt;0",S$6:S147,S148,N$6:N147,N148)=0,R148,""))</f>
        <v/>
      </c>
      <c r="U148">
        <f>IF(B148="","",IF(J148&lt;&gt;"",0,M148))</f>
        <v/>
      </c>
    </row>
    <row r="149">
      <c r="A149" s="1" t="n"/>
      <c r="B149" s="16" t="n">
        <v>46212</v>
      </c>
      <c r="C149" s="17" t="inlineStr">
        <is>
          <t>Harbour Books</t>
        </is>
      </c>
      <c r="D149" s="18" t="inlineStr">
        <is>
          <t>Website redesign</t>
        </is>
      </c>
      <c r="E149" s="18" t="inlineStr">
        <is>
          <t>Client call</t>
        </is>
      </c>
      <c r="F149" s="19" t="n">
        <v>0.6041666666666666</v>
      </c>
      <c r="G149" s="19" t="n">
        <v>0.6666666666666666</v>
      </c>
      <c r="H149" s="20" t="n"/>
      <c r="I149" s="21" t="n"/>
      <c r="J149" s="22" t="n"/>
      <c r="K149" s="23" t="n"/>
      <c r="L149" s="18" t="n"/>
      <c r="M149" s="24">
        <f>IF(B149="","",IF(AND(F149&lt;&gt;"",G149&lt;&gt;""),MAX(0,ROUND(MOD(G149-F149,1)*24-N(H149)/60,2)),N(I149)))</f>
        <v/>
      </c>
      <c r="N149" s="14">
        <f>IF(B149="","",IF(K149&lt;&gt;"",K149,IF(N(IFERROR(INDEX(Projects!$D$6:$D$65,MATCH(D149,Projects!$B$6:$B$65,0)),""))&gt;0,IFERROR(INDEX(Projects!$D$6:$D$65,MATCH(D149,Projects!$B$6:$B$65,0)),""),IFERROR(INDEX(Clients!$G$6:$G$45,MATCH(C149,Clients!$B$6:$B$45,0)),0))))</f>
        <v/>
      </c>
      <c r="O149" s="14">
        <f>IF(B149="","",IF(J149&lt;&gt;"",0,ROUND(M149*N149,2)))</f>
        <v/>
      </c>
      <c r="P149" s="15">
        <f>IF(OR(B149="",J149&lt;&gt;""),"",IF(L149&lt;&gt;"",L149,IF(COUNTIFS(Invoices!$C$6:$C$305,C149,Invoices!$E$6:$E$305,"&lt;="&amp;B149,Invoices!$F$6:$F$305,"&gt;="&amp;B149)=1,INDEX(Invoices!$B$6:$B$305,SUMIFS(Invoices!$O$6:$O$305,Invoices!$C$6:$C$305,C149,Invoices!$E$6:$E$305,"&lt;="&amp;B149,Invoices!$F$6:$F$305,"&gt;="&amp;B149)),IF(COUNTIFS(Invoices!$C$6:$C$305,C149,Invoices!$E$6:$E$305,"&lt;="&amp;B149,Invoices!$F$6:$F$305,"&gt;="&amp;B149)&gt;1,"Two invoices",""))))</f>
        <v/>
      </c>
      <c r="Q149" s="15">
        <f>IF(B149="","",IF(J149&lt;&gt;"","Not billable",IF(P149="","To invoice",IF(P149="Two invoices","Check dates",IF(ISNA(MATCH(P149,Invoices!$B$6:$B$305,0)),"Check number",IF(INDEX(Invoices!$M$6:$M$305,MATCH(P149,Invoices!$B$6:$B$305,0))="Paid","Paid",IF(INDEX(Invoices!$M$6:$M$305,MATCH(P149,Invoices!$B$6:$B$305,0))="Draft","Draft","Invoiced")))))))</f>
        <v/>
      </c>
      <c r="R149" s="1">
        <f>IF(AND(B149&lt;&gt;"",P149&lt;&gt;"",P149=Invoice!$G$4),B149+MOD(N(F149),1)+ROW()/10000000,"")</f>
        <v/>
      </c>
      <c r="S149">
        <f>IF(R149="","",IF(D149="","Other work",D149)&amp;IF(AND(K149&lt;&gt;"",E149&lt;&gt;""),", "&amp;E149,""))</f>
        <v/>
      </c>
      <c r="T149">
        <f>IF(R149="","",IF(COUNTIFS(R$6:R148,"&gt;0",S$6:S148,S149,N$6:N148,N149)=0,R149,""))</f>
        <v/>
      </c>
      <c r="U149">
        <f>IF(B149="","",IF(J149&lt;&gt;"",0,M149))</f>
        <v/>
      </c>
    </row>
    <row r="150">
      <c r="A150" s="1" t="n"/>
      <c r="B150" s="16" t="n">
        <v>46213</v>
      </c>
      <c r="C150" s="17" t="inlineStr">
        <is>
          <t>Harbour Books</t>
        </is>
      </c>
      <c r="D150" s="18" t="inlineStr">
        <is>
          <t>Website redesign</t>
        </is>
      </c>
      <c r="E150" s="18" t="inlineStr">
        <is>
          <t>Page layouts</t>
        </is>
      </c>
      <c r="F150" s="19" t="n">
        <v>0.375</v>
      </c>
      <c r="G150" s="19" t="n">
        <v>0.4583333333333333</v>
      </c>
      <c r="H150" s="20" t="n"/>
      <c r="I150" s="21" t="n"/>
      <c r="J150" s="22" t="n"/>
      <c r="K150" s="23" t="n"/>
      <c r="L150" s="18" t="n"/>
      <c r="M150" s="24">
        <f>IF(B150="","",IF(AND(F150&lt;&gt;"",G150&lt;&gt;""),MAX(0,ROUND(MOD(G150-F150,1)*24-N(H150)/60,2)),N(I150)))</f>
        <v/>
      </c>
      <c r="N150" s="14">
        <f>IF(B150="","",IF(K150&lt;&gt;"",K150,IF(N(IFERROR(INDEX(Projects!$D$6:$D$65,MATCH(D150,Projects!$B$6:$B$65,0)),""))&gt;0,IFERROR(INDEX(Projects!$D$6:$D$65,MATCH(D150,Projects!$B$6:$B$65,0)),""),IFERROR(INDEX(Clients!$G$6:$G$45,MATCH(C150,Clients!$B$6:$B$45,0)),0))))</f>
        <v/>
      </c>
      <c r="O150" s="14">
        <f>IF(B150="","",IF(J150&lt;&gt;"",0,ROUND(M150*N150,2)))</f>
        <v/>
      </c>
      <c r="P150" s="15">
        <f>IF(OR(B150="",J150&lt;&gt;""),"",IF(L150&lt;&gt;"",L150,IF(COUNTIFS(Invoices!$C$6:$C$305,C150,Invoices!$E$6:$E$305,"&lt;="&amp;B150,Invoices!$F$6:$F$305,"&gt;="&amp;B150)=1,INDEX(Invoices!$B$6:$B$305,SUMIFS(Invoices!$O$6:$O$305,Invoices!$C$6:$C$305,C150,Invoices!$E$6:$E$305,"&lt;="&amp;B150,Invoices!$F$6:$F$305,"&gt;="&amp;B150)),IF(COUNTIFS(Invoices!$C$6:$C$305,C150,Invoices!$E$6:$E$305,"&lt;="&amp;B150,Invoices!$F$6:$F$305,"&gt;="&amp;B150)&gt;1,"Two invoices",""))))</f>
        <v/>
      </c>
      <c r="Q150" s="15">
        <f>IF(B150="","",IF(J150&lt;&gt;"","Not billable",IF(P150="","To invoice",IF(P150="Two invoices","Check dates",IF(ISNA(MATCH(P150,Invoices!$B$6:$B$305,0)),"Check number",IF(INDEX(Invoices!$M$6:$M$305,MATCH(P150,Invoices!$B$6:$B$305,0))="Paid","Paid",IF(INDEX(Invoices!$M$6:$M$305,MATCH(P150,Invoices!$B$6:$B$305,0))="Draft","Draft","Invoiced")))))))</f>
        <v/>
      </c>
      <c r="R150" s="1">
        <f>IF(AND(B150&lt;&gt;"",P150&lt;&gt;"",P150=Invoice!$G$4),B150+MOD(N(F150),1)+ROW()/10000000,"")</f>
        <v/>
      </c>
      <c r="S150">
        <f>IF(R150="","",IF(D150="","Other work",D150)&amp;IF(AND(K150&lt;&gt;"",E150&lt;&gt;""),", "&amp;E150,""))</f>
        <v/>
      </c>
      <c r="T150">
        <f>IF(R150="","",IF(COUNTIFS(R$6:R149,"&gt;0",S$6:S149,S150,N$6:N149,N150)=0,R150,""))</f>
        <v/>
      </c>
      <c r="U150">
        <f>IF(B150="","",IF(J150&lt;&gt;"",0,M150))</f>
        <v/>
      </c>
    </row>
    <row r="151">
      <c r="A151" s="1" t="n"/>
      <c r="B151" s="16" t="n">
        <v>46213</v>
      </c>
      <c r="C151" s="17" t="inlineStr">
        <is>
          <t>Greenleaf Studio</t>
        </is>
      </c>
      <c r="D151" s="18" t="inlineStr">
        <is>
          <t>Monthly social posts</t>
        </is>
      </c>
      <c r="E151" s="18" t="inlineStr">
        <is>
          <t>Monthly report</t>
        </is>
      </c>
      <c r="F151" s="19" t="n">
        <v>0.5</v>
      </c>
      <c r="G151" s="19" t="n">
        <v>0.5625</v>
      </c>
      <c r="H151" s="20" t="n"/>
      <c r="I151" s="21" t="n"/>
      <c r="J151" s="22" t="n"/>
      <c r="K151" s="23" t="n"/>
      <c r="L151" s="18" t="n"/>
      <c r="M151" s="24">
        <f>IF(B151="","",IF(AND(F151&lt;&gt;"",G151&lt;&gt;""),MAX(0,ROUND(MOD(G151-F151,1)*24-N(H151)/60,2)),N(I151)))</f>
        <v/>
      </c>
      <c r="N151" s="14">
        <f>IF(B151="","",IF(K151&lt;&gt;"",K151,IF(N(IFERROR(INDEX(Projects!$D$6:$D$65,MATCH(D151,Projects!$B$6:$B$65,0)),""))&gt;0,IFERROR(INDEX(Projects!$D$6:$D$65,MATCH(D151,Projects!$B$6:$B$65,0)),""),IFERROR(INDEX(Clients!$G$6:$G$45,MATCH(C151,Clients!$B$6:$B$45,0)),0))))</f>
        <v/>
      </c>
      <c r="O151" s="14">
        <f>IF(B151="","",IF(J151&lt;&gt;"",0,ROUND(M151*N151,2)))</f>
        <v/>
      </c>
      <c r="P151" s="15">
        <f>IF(OR(B151="",J151&lt;&gt;""),"",IF(L151&lt;&gt;"",L151,IF(COUNTIFS(Invoices!$C$6:$C$305,C151,Invoices!$E$6:$E$305,"&lt;="&amp;B151,Invoices!$F$6:$F$305,"&gt;="&amp;B151)=1,INDEX(Invoices!$B$6:$B$305,SUMIFS(Invoices!$O$6:$O$305,Invoices!$C$6:$C$305,C151,Invoices!$E$6:$E$305,"&lt;="&amp;B151,Invoices!$F$6:$F$305,"&gt;="&amp;B151)),IF(COUNTIFS(Invoices!$C$6:$C$305,C151,Invoices!$E$6:$E$305,"&lt;="&amp;B151,Invoices!$F$6:$F$305,"&gt;="&amp;B151)&gt;1,"Two invoices",""))))</f>
        <v/>
      </c>
      <c r="Q151" s="15">
        <f>IF(B151="","",IF(J151&lt;&gt;"","Not billable",IF(P151="","To invoice",IF(P151="Two invoices","Check dates",IF(ISNA(MATCH(P151,Invoices!$B$6:$B$305,0)),"Check number",IF(INDEX(Invoices!$M$6:$M$305,MATCH(P151,Invoices!$B$6:$B$305,0))="Paid","Paid",IF(INDEX(Invoices!$M$6:$M$305,MATCH(P151,Invoices!$B$6:$B$305,0))="Draft","Draft","Invoiced")))))))</f>
        <v/>
      </c>
      <c r="R151" s="1">
        <f>IF(AND(B151&lt;&gt;"",P151&lt;&gt;"",P151=Invoice!$G$4),B151+MOD(N(F151),1)+ROW()/10000000,"")</f>
        <v/>
      </c>
      <c r="S151">
        <f>IF(R151="","",IF(D151="","Other work",D151)&amp;IF(AND(K151&lt;&gt;"",E151&lt;&gt;""),", "&amp;E151,""))</f>
        <v/>
      </c>
      <c r="T151">
        <f>IF(R151="","",IF(COUNTIFS(R$6:R150,"&gt;0",S$6:S150,S151,N$6:N150,N151)=0,R151,""))</f>
        <v/>
      </c>
      <c r="U151">
        <f>IF(B151="","",IF(J151&lt;&gt;"",0,M151))</f>
        <v/>
      </c>
    </row>
    <row r="152">
      <c r="A152" s="1" t="n"/>
      <c r="B152" s="16" t="n">
        <v>46216</v>
      </c>
      <c r="C152" s="17" t="inlineStr">
        <is>
          <t>Harbour Books</t>
        </is>
      </c>
      <c r="D152" s="18" t="inlineStr">
        <is>
          <t>Website redesign</t>
        </is>
      </c>
      <c r="E152" s="18" t="inlineStr">
        <is>
          <t>Style guide</t>
        </is>
      </c>
      <c r="F152" s="19" t="n"/>
      <c r="G152" s="19" t="n"/>
      <c r="H152" s="20" t="n"/>
      <c r="I152" s="21" t="n">
        <v>1.5</v>
      </c>
      <c r="J152" s="22" t="n"/>
      <c r="K152" s="23" t="n"/>
      <c r="L152" s="18" t="n"/>
      <c r="M152" s="24">
        <f>IF(B152="","",IF(AND(F152&lt;&gt;"",G152&lt;&gt;""),MAX(0,ROUND(MOD(G152-F152,1)*24-N(H152)/60,2)),N(I152)))</f>
        <v/>
      </c>
      <c r="N152" s="14">
        <f>IF(B152="","",IF(K152&lt;&gt;"",K152,IF(N(IFERROR(INDEX(Projects!$D$6:$D$65,MATCH(D152,Projects!$B$6:$B$65,0)),""))&gt;0,IFERROR(INDEX(Projects!$D$6:$D$65,MATCH(D152,Projects!$B$6:$B$65,0)),""),IFERROR(INDEX(Clients!$G$6:$G$45,MATCH(C152,Clients!$B$6:$B$45,0)),0))))</f>
        <v/>
      </c>
      <c r="O152" s="14">
        <f>IF(B152="","",IF(J152&lt;&gt;"",0,ROUND(M152*N152,2)))</f>
        <v/>
      </c>
      <c r="P152" s="15">
        <f>IF(OR(B152="",J152&lt;&gt;""),"",IF(L152&lt;&gt;"",L152,IF(COUNTIFS(Invoices!$C$6:$C$305,C152,Invoices!$E$6:$E$305,"&lt;="&amp;B152,Invoices!$F$6:$F$305,"&gt;="&amp;B152)=1,INDEX(Invoices!$B$6:$B$305,SUMIFS(Invoices!$O$6:$O$305,Invoices!$C$6:$C$305,C152,Invoices!$E$6:$E$305,"&lt;="&amp;B152,Invoices!$F$6:$F$305,"&gt;="&amp;B152)),IF(COUNTIFS(Invoices!$C$6:$C$305,C152,Invoices!$E$6:$E$305,"&lt;="&amp;B152,Invoices!$F$6:$F$305,"&gt;="&amp;B152)&gt;1,"Two invoices",""))))</f>
        <v/>
      </c>
      <c r="Q152" s="15">
        <f>IF(B152="","",IF(J152&lt;&gt;"","Not billable",IF(P152="","To invoice",IF(P152="Two invoices","Check dates",IF(ISNA(MATCH(P152,Invoices!$B$6:$B$305,0)),"Check number",IF(INDEX(Invoices!$M$6:$M$305,MATCH(P152,Invoices!$B$6:$B$305,0))="Paid","Paid",IF(INDEX(Invoices!$M$6:$M$305,MATCH(P152,Invoices!$B$6:$B$305,0))="Draft","Draft","Invoiced")))))))</f>
        <v/>
      </c>
      <c r="R152" s="1">
        <f>IF(AND(B152&lt;&gt;"",P152&lt;&gt;"",P152=Invoice!$G$4),B152+MOD(N(F152),1)+ROW()/10000000,"")</f>
        <v/>
      </c>
      <c r="S152">
        <f>IF(R152="","",IF(D152="","Other work",D152)&amp;IF(AND(K152&lt;&gt;"",E152&lt;&gt;""),", "&amp;E152,""))</f>
        <v/>
      </c>
      <c r="T152">
        <f>IF(R152="","",IF(COUNTIFS(R$6:R151,"&gt;0",S$6:S151,S152,N$6:N151,N152)=0,R152,""))</f>
        <v/>
      </c>
      <c r="U152">
        <f>IF(B152="","",IF(J152&lt;&gt;"",0,M152))</f>
        <v/>
      </c>
    </row>
    <row r="153">
      <c r="A153" s="1" t="n"/>
      <c r="B153" s="16" t="n">
        <v>46216</v>
      </c>
      <c r="C153" s="17" t="inlineStr">
        <is>
          <t>Harbour Books</t>
        </is>
      </c>
      <c r="D153" s="18" t="inlineStr">
        <is>
          <t>Website redesign</t>
        </is>
      </c>
      <c r="E153" s="18" t="inlineStr">
        <is>
          <t>Client call</t>
        </is>
      </c>
      <c r="F153" s="19" t="n"/>
      <c r="G153" s="19" t="n"/>
      <c r="H153" s="20" t="n"/>
      <c r="I153" s="21" t="n">
        <v>1.5</v>
      </c>
      <c r="J153" s="22" t="n"/>
      <c r="K153" s="23" t="n"/>
      <c r="L153" s="18" t="n"/>
      <c r="M153" s="24">
        <f>IF(B153="","",IF(AND(F153&lt;&gt;"",G153&lt;&gt;""),MAX(0,ROUND(MOD(G153-F153,1)*24-N(H153)/60,2)),N(I153)))</f>
        <v/>
      </c>
      <c r="N153" s="14">
        <f>IF(B153="","",IF(K153&lt;&gt;"",K153,IF(N(IFERROR(INDEX(Projects!$D$6:$D$65,MATCH(D153,Projects!$B$6:$B$65,0)),""))&gt;0,IFERROR(INDEX(Projects!$D$6:$D$65,MATCH(D153,Projects!$B$6:$B$65,0)),""),IFERROR(INDEX(Clients!$G$6:$G$45,MATCH(C153,Clients!$B$6:$B$45,0)),0))))</f>
        <v/>
      </c>
      <c r="O153" s="14">
        <f>IF(B153="","",IF(J153&lt;&gt;"",0,ROUND(M153*N153,2)))</f>
        <v/>
      </c>
      <c r="P153" s="15">
        <f>IF(OR(B153="",J153&lt;&gt;""),"",IF(L153&lt;&gt;"",L153,IF(COUNTIFS(Invoices!$C$6:$C$305,C153,Invoices!$E$6:$E$305,"&lt;="&amp;B153,Invoices!$F$6:$F$305,"&gt;="&amp;B153)=1,INDEX(Invoices!$B$6:$B$305,SUMIFS(Invoices!$O$6:$O$305,Invoices!$C$6:$C$305,C153,Invoices!$E$6:$E$305,"&lt;="&amp;B153,Invoices!$F$6:$F$305,"&gt;="&amp;B153)),IF(COUNTIFS(Invoices!$C$6:$C$305,C153,Invoices!$E$6:$E$305,"&lt;="&amp;B153,Invoices!$F$6:$F$305,"&gt;="&amp;B153)&gt;1,"Two invoices",""))))</f>
        <v/>
      </c>
      <c r="Q153" s="15">
        <f>IF(B153="","",IF(J153&lt;&gt;"","Not billable",IF(P153="","To invoice",IF(P153="Two invoices","Check dates",IF(ISNA(MATCH(P153,Invoices!$B$6:$B$305,0)),"Check number",IF(INDEX(Invoices!$M$6:$M$305,MATCH(P153,Invoices!$B$6:$B$305,0))="Paid","Paid",IF(INDEX(Invoices!$M$6:$M$305,MATCH(P153,Invoices!$B$6:$B$305,0))="Draft","Draft","Invoiced")))))))</f>
        <v/>
      </c>
      <c r="R153" s="1">
        <f>IF(AND(B153&lt;&gt;"",P153&lt;&gt;"",P153=Invoice!$G$4),B153+MOD(N(F153),1)+ROW()/10000000,"")</f>
        <v/>
      </c>
      <c r="S153">
        <f>IF(R153="","",IF(D153="","Other work",D153)&amp;IF(AND(K153&lt;&gt;"",E153&lt;&gt;""),", "&amp;E153,""))</f>
        <v/>
      </c>
      <c r="T153">
        <f>IF(R153="","",IF(COUNTIFS(R$6:R152,"&gt;0",S$6:S152,S153,N$6:N152,N153)=0,R153,""))</f>
        <v/>
      </c>
      <c r="U153">
        <f>IF(B153="","",IF(J153&lt;&gt;"",0,M153))</f>
        <v/>
      </c>
    </row>
    <row r="154">
      <c r="A154" s="1" t="n"/>
      <c r="B154" s="16" t="n">
        <v>46217</v>
      </c>
      <c r="C154" s="17" t="inlineStr">
        <is>
          <t>Harbour Books</t>
        </is>
      </c>
      <c r="D154" s="18" t="inlineStr">
        <is>
          <t>Website redesign</t>
        </is>
      </c>
      <c r="E154" s="18" t="inlineStr">
        <is>
          <t>Mobile layouts</t>
        </is>
      </c>
      <c r="F154" s="19" t="n"/>
      <c r="G154" s="19" t="n"/>
      <c r="H154" s="20" t="n"/>
      <c r="I154" s="21" t="n">
        <v>1.5</v>
      </c>
      <c r="J154" s="22" t="n"/>
      <c r="K154" s="23" t="n"/>
      <c r="L154" s="18" t="n"/>
      <c r="M154" s="24">
        <f>IF(B154="","",IF(AND(F154&lt;&gt;"",G154&lt;&gt;""),MAX(0,ROUND(MOD(G154-F154,1)*24-N(H154)/60,2)),N(I154)))</f>
        <v/>
      </c>
      <c r="N154" s="14">
        <f>IF(B154="","",IF(K154&lt;&gt;"",K154,IF(N(IFERROR(INDEX(Projects!$D$6:$D$65,MATCH(D154,Projects!$B$6:$B$65,0)),""))&gt;0,IFERROR(INDEX(Projects!$D$6:$D$65,MATCH(D154,Projects!$B$6:$B$65,0)),""),IFERROR(INDEX(Clients!$G$6:$G$45,MATCH(C154,Clients!$B$6:$B$45,0)),0))))</f>
        <v/>
      </c>
      <c r="O154" s="14">
        <f>IF(B154="","",IF(J154&lt;&gt;"",0,ROUND(M154*N154,2)))</f>
        <v/>
      </c>
      <c r="P154" s="15">
        <f>IF(OR(B154="",J154&lt;&gt;""),"",IF(L154&lt;&gt;"",L154,IF(COUNTIFS(Invoices!$C$6:$C$305,C154,Invoices!$E$6:$E$305,"&lt;="&amp;B154,Invoices!$F$6:$F$305,"&gt;="&amp;B154)=1,INDEX(Invoices!$B$6:$B$305,SUMIFS(Invoices!$O$6:$O$305,Invoices!$C$6:$C$305,C154,Invoices!$E$6:$E$305,"&lt;="&amp;B154,Invoices!$F$6:$F$305,"&gt;="&amp;B154)),IF(COUNTIFS(Invoices!$C$6:$C$305,C154,Invoices!$E$6:$E$305,"&lt;="&amp;B154,Invoices!$F$6:$F$305,"&gt;="&amp;B154)&gt;1,"Two invoices",""))))</f>
        <v/>
      </c>
      <c r="Q154" s="15">
        <f>IF(B154="","",IF(J154&lt;&gt;"","Not billable",IF(P154="","To invoice",IF(P154="Two invoices","Check dates",IF(ISNA(MATCH(P154,Invoices!$B$6:$B$305,0)),"Check number",IF(INDEX(Invoices!$M$6:$M$305,MATCH(P154,Invoices!$B$6:$B$305,0))="Paid","Paid",IF(INDEX(Invoices!$M$6:$M$305,MATCH(P154,Invoices!$B$6:$B$305,0))="Draft","Draft","Invoiced")))))))</f>
        <v/>
      </c>
      <c r="R154" s="1">
        <f>IF(AND(B154&lt;&gt;"",P154&lt;&gt;"",P154=Invoice!$G$4),B154+MOD(N(F154),1)+ROW()/10000000,"")</f>
        <v/>
      </c>
      <c r="S154">
        <f>IF(R154="","",IF(D154="","Other work",D154)&amp;IF(AND(K154&lt;&gt;"",E154&lt;&gt;""),", "&amp;E154,""))</f>
        <v/>
      </c>
      <c r="T154">
        <f>IF(R154="","",IF(COUNTIFS(R$6:R153,"&gt;0",S$6:S153,S154,N$6:N153,N154)=0,R154,""))</f>
        <v/>
      </c>
      <c r="U154">
        <f>IF(B154="","",IF(J154&lt;&gt;"",0,M154))</f>
        <v/>
      </c>
    </row>
    <row r="155">
      <c r="A155" s="1" t="n"/>
      <c r="B155" s="16" t="n">
        <v>46217</v>
      </c>
      <c r="C155" s="17" t="inlineStr">
        <is>
          <t>Harbour Books</t>
        </is>
      </c>
      <c r="D155" s="18" t="inlineStr">
        <is>
          <t>Website redesign</t>
        </is>
      </c>
      <c r="E155" s="18" t="inlineStr">
        <is>
          <t>Client call</t>
        </is>
      </c>
      <c r="F155" s="19" t="n"/>
      <c r="G155" s="19" t="n"/>
      <c r="H155" s="20" t="n"/>
      <c r="I155" s="21" t="n">
        <v>2.5</v>
      </c>
      <c r="J155" s="22" t="n"/>
      <c r="K155" s="23" t="n"/>
      <c r="L155" s="18" t="n"/>
      <c r="M155" s="24">
        <f>IF(B155="","",IF(AND(F155&lt;&gt;"",G155&lt;&gt;""),MAX(0,ROUND(MOD(G155-F155,1)*24-N(H155)/60,2)),N(I155)))</f>
        <v/>
      </c>
      <c r="N155" s="14">
        <f>IF(B155="","",IF(K155&lt;&gt;"",K155,IF(N(IFERROR(INDEX(Projects!$D$6:$D$65,MATCH(D155,Projects!$B$6:$B$65,0)),""))&gt;0,IFERROR(INDEX(Projects!$D$6:$D$65,MATCH(D155,Projects!$B$6:$B$65,0)),""),IFERROR(INDEX(Clients!$G$6:$G$45,MATCH(C155,Clients!$B$6:$B$45,0)),0))))</f>
        <v/>
      </c>
      <c r="O155" s="14">
        <f>IF(B155="","",IF(J155&lt;&gt;"",0,ROUND(M155*N155,2)))</f>
        <v/>
      </c>
      <c r="P155" s="15">
        <f>IF(OR(B155="",J155&lt;&gt;""),"",IF(L155&lt;&gt;"",L155,IF(COUNTIFS(Invoices!$C$6:$C$305,C155,Invoices!$E$6:$E$305,"&lt;="&amp;B155,Invoices!$F$6:$F$305,"&gt;="&amp;B155)=1,INDEX(Invoices!$B$6:$B$305,SUMIFS(Invoices!$O$6:$O$305,Invoices!$C$6:$C$305,C155,Invoices!$E$6:$E$305,"&lt;="&amp;B155,Invoices!$F$6:$F$305,"&gt;="&amp;B155)),IF(COUNTIFS(Invoices!$C$6:$C$305,C155,Invoices!$E$6:$E$305,"&lt;="&amp;B155,Invoices!$F$6:$F$305,"&gt;="&amp;B155)&gt;1,"Two invoices",""))))</f>
        <v/>
      </c>
      <c r="Q155" s="15">
        <f>IF(B155="","",IF(J155&lt;&gt;"","Not billable",IF(P155="","To invoice",IF(P155="Two invoices","Check dates",IF(ISNA(MATCH(P155,Invoices!$B$6:$B$305,0)),"Check number",IF(INDEX(Invoices!$M$6:$M$305,MATCH(P155,Invoices!$B$6:$B$305,0))="Paid","Paid",IF(INDEX(Invoices!$M$6:$M$305,MATCH(P155,Invoices!$B$6:$B$305,0))="Draft","Draft","Invoiced")))))))</f>
        <v/>
      </c>
      <c r="R155" s="1">
        <f>IF(AND(B155&lt;&gt;"",P155&lt;&gt;"",P155=Invoice!$G$4),B155+MOD(N(F155),1)+ROW()/10000000,"")</f>
        <v/>
      </c>
      <c r="S155">
        <f>IF(R155="","",IF(D155="","Other work",D155)&amp;IF(AND(K155&lt;&gt;"",E155&lt;&gt;""),", "&amp;E155,""))</f>
        <v/>
      </c>
      <c r="T155">
        <f>IF(R155="","",IF(COUNTIFS(R$6:R154,"&gt;0",S$6:S154,S155,N$6:N154,N155)=0,R155,""))</f>
        <v/>
      </c>
      <c r="U155">
        <f>IF(B155="","",IF(J155&lt;&gt;"",0,M155))</f>
        <v/>
      </c>
    </row>
    <row r="156">
      <c r="A156" s="1" t="n"/>
      <c r="B156" s="16" t="n">
        <v>46217</v>
      </c>
      <c r="C156" s="17" t="inlineStr">
        <is>
          <t>Greenleaf Studio</t>
        </is>
      </c>
      <c r="D156" s="18" t="inlineStr">
        <is>
          <t>Monthly social posts</t>
        </is>
      </c>
      <c r="E156" s="18" t="inlineStr">
        <is>
          <t>Captions and scheduling</t>
        </is>
      </c>
      <c r="F156" s="19" t="n">
        <v>0.3958333333333333</v>
      </c>
      <c r="G156" s="19" t="n">
        <v>0.5520833333333334</v>
      </c>
      <c r="H156" s="20" t="n">
        <v>15</v>
      </c>
      <c r="I156" s="21" t="n"/>
      <c r="J156" s="22" t="n"/>
      <c r="K156" s="23" t="n"/>
      <c r="L156" s="18" t="n"/>
      <c r="M156" s="24">
        <f>IF(B156="","",IF(AND(F156&lt;&gt;"",G156&lt;&gt;""),MAX(0,ROUND(MOD(G156-F156,1)*24-N(H156)/60,2)),N(I156)))</f>
        <v/>
      </c>
      <c r="N156" s="14">
        <f>IF(B156="","",IF(K156&lt;&gt;"",K156,IF(N(IFERROR(INDEX(Projects!$D$6:$D$65,MATCH(D156,Projects!$B$6:$B$65,0)),""))&gt;0,IFERROR(INDEX(Projects!$D$6:$D$65,MATCH(D156,Projects!$B$6:$B$65,0)),""),IFERROR(INDEX(Clients!$G$6:$G$45,MATCH(C156,Clients!$B$6:$B$45,0)),0))))</f>
        <v/>
      </c>
      <c r="O156" s="14">
        <f>IF(B156="","",IF(J156&lt;&gt;"",0,ROUND(M156*N156,2)))</f>
        <v/>
      </c>
      <c r="P156" s="15">
        <f>IF(OR(B156="",J156&lt;&gt;""),"",IF(L156&lt;&gt;"",L156,IF(COUNTIFS(Invoices!$C$6:$C$305,C156,Invoices!$E$6:$E$305,"&lt;="&amp;B156,Invoices!$F$6:$F$305,"&gt;="&amp;B156)=1,INDEX(Invoices!$B$6:$B$305,SUMIFS(Invoices!$O$6:$O$305,Invoices!$C$6:$C$305,C156,Invoices!$E$6:$E$305,"&lt;="&amp;B156,Invoices!$F$6:$F$305,"&gt;="&amp;B156)),IF(COUNTIFS(Invoices!$C$6:$C$305,C156,Invoices!$E$6:$E$305,"&lt;="&amp;B156,Invoices!$F$6:$F$305,"&gt;="&amp;B156)&gt;1,"Two invoices",""))))</f>
        <v/>
      </c>
      <c r="Q156" s="15">
        <f>IF(B156="","",IF(J156&lt;&gt;"","Not billable",IF(P156="","To invoice",IF(P156="Two invoices","Check dates",IF(ISNA(MATCH(P156,Invoices!$B$6:$B$305,0)),"Check number",IF(INDEX(Invoices!$M$6:$M$305,MATCH(P156,Invoices!$B$6:$B$305,0))="Paid","Paid",IF(INDEX(Invoices!$M$6:$M$305,MATCH(P156,Invoices!$B$6:$B$305,0))="Draft","Draft","Invoiced")))))))</f>
        <v/>
      </c>
      <c r="R156" s="1">
        <f>IF(AND(B156&lt;&gt;"",P156&lt;&gt;"",P156=Invoice!$G$4),B156+MOD(N(F156),1)+ROW()/10000000,"")</f>
        <v/>
      </c>
      <c r="S156">
        <f>IF(R156="","",IF(D156="","Other work",D156)&amp;IF(AND(K156&lt;&gt;"",E156&lt;&gt;""),", "&amp;E156,""))</f>
        <v/>
      </c>
      <c r="T156">
        <f>IF(R156="","",IF(COUNTIFS(R$6:R155,"&gt;0",S$6:S155,S156,N$6:N155,N156)=0,R156,""))</f>
        <v/>
      </c>
      <c r="U156">
        <f>IF(B156="","",IF(J156&lt;&gt;"",0,M156))</f>
        <v/>
      </c>
    </row>
    <row r="157">
      <c r="A157" s="1" t="n"/>
      <c r="B157" s="16" t="n">
        <v>46218</v>
      </c>
      <c r="C157" s="17" t="inlineStr">
        <is>
          <t>Harbour Books</t>
        </is>
      </c>
      <c r="D157" s="18" t="inlineStr">
        <is>
          <t>Website redesign</t>
        </is>
      </c>
      <c r="E157" s="18" t="inlineStr">
        <is>
          <t>Home page design</t>
        </is>
      </c>
      <c r="F157" s="19" t="n"/>
      <c r="G157" s="19" t="n"/>
      <c r="H157" s="20" t="n"/>
      <c r="I157" s="21" t="n">
        <v>1.5</v>
      </c>
      <c r="J157" s="22" t="n"/>
      <c r="K157" s="23" t="n"/>
      <c r="L157" s="18" t="n"/>
      <c r="M157" s="24">
        <f>IF(B157="","",IF(AND(F157&lt;&gt;"",G157&lt;&gt;""),MAX(0,ROUND(MOD(G157-F157,1)*24-N(H157)/60,2)),N(I157)))</f>
        <v/>
      </c>
      <c r="N157" s="14">
        <f>IF(B157="","",IF(K157&lt;&gt;"",K157,IF(N(IFERROR(INDEX(Projects!$D$6:$D$65,MATCH(D157,Projects!$B$6:$B$65,0)),""))&gt;0,IFERROR(INDEX(Projects!$D$6:$D$65,MATCH(D157,Projects!$B$6:$B$65,0)),""),IFERROR(INDEX(Clients!$G$6:$G$45,MATCH(C157,Clients!$B$6:$B$45,0)),0))))</f>
        <v/>
      </c>
      <c r="O157" s="14">
        <f>IF(B157="","",IF(J157&lt;&gt;"",0,ROUND(M157*N157,2)))</f>
        <v/>
      </c>
      <c r="P157" s="15">
        <f>IF(OR(B157="",J157&lt;&gt;""),"",IF(L157&lt;&gt;"",L157,IF(COUNTIFS(Invoices!$C$6:$C$305,C157,Invoices!$E$6:$E$305,"&lt;="&amp;B157,Invoices!$F$6:$F$305,"&gt;="&amp;B157)=1,INDEX(Invoices!$B$6:$B$305,SUMIFS(Invoices!$O$6:$O$305,Invoices!$C$6:$C$305,C157,Invoices!$E$6:$E$305,"&lt;="&amp;B157,Invoices!$F$6:$F$305,"&gt;="&amp;B157)),IF(COUNTIFS(Invoices!$C$6:$C$305,C157,Invoices!$E$6:$E$305,"&lt;="&amp;B157,Invoices!$F$6:$F$305,"&gt;="&amp;B157)&gt;1,"Two invoices",""))))</f>
        <v/>
      </c>
      <c r="Q157" s="15">
        <f>IF(B157="","",IF(J157&lt;&gt;"","Not billable",IF(P157="","To invoice",IF(P157="Two invoices","Check dates",IF(ISNA(MATCH(P157,Invoices!$B$6:$B$305,0)),"Check number",IF(INDEX(Invoices!$M$6:$M$305,MATCH(P157,Invoices!$B$6:$B$305,0))="Paid","Paid",IF(INDEX(Invoices!$M$6:$M$305,MATCH(P157,Invoices!$B$6:$B$305,0))="Draft","Draft","Invoiced")))))))</f>
        <v/>
      </c>
      <c r="R157" s="1">
        <f>IF(AND(B157&lt;&gt;"",P157&lt;&gt;"",P157=Invoice!$G$4),B157+MOD(N(F157),1)+ROW()/10000000,"")</f>
        <v/>
      </c>
      <c r="S157">
        <f>IF(R157="","",IF(D157="","Other work",D157)&amp;IF(AND(K157&lt;&gt;"",E157&lt;&gt;""),", "&amp;E157,""))</f>
        <v/>
      </c>
      <c r="T157">
        <f>IF(R157="","",IF(COUNTIFS(R$6:R156,"&gt;0",S$6:S156,S157,N$6:N156,N157)=0,R157,""))</f>
        <v/>
      </c>
      <c r="U157">
        <f>IF(B157="","",IF(J157&lt;&gt;"",0,M157))</f>
        <v/>
      </c>
    </row>
    <row r="158">
      <c r="A158" s="1" t="n"/>
      <c r="B158" s="16" t="n">
        <v>46218</v>
      </c>
      <c r="C158" s="17" t="inlineStr">
        <is>
          <t>Greenleaf Studio</t>
        </is>
      </c>
      <c r="D158" s="18" t="inlineStr">
        <is>
          <t>Monthly social posts</t>
        </is>
      </c>
      <c r="E158" s="18" t="inlineStr">
        <is>
          <t>Captions and scheduling</t>
        </is>
      </c>
      <c r="F158" s="19" t="n"/>
      <c r="G158" s="19" t="n"/>
      <c r="H158" s="20" t="n"/>
      <c r="I158" s="21" t="n">
        <v>2</v>
      </c>
      <c r="J158" s="22" t="n"/>
      <c r="K158" s="23" t="n"/>
      <c r="L158" s="18" t="n"/>
      <c r="M158" s="24">
        <f>IF(B158="","",IF(AND(F158&lt;&gt;"",G158&lt;&gt;""),MAX(0,ROUND(MOD(G158-F158,1)*24-N(H158)/60,2)),N(I158)))</f>
        <v/>
      </c>
      <c r="N158" s="14">
        <f>IF(B158="","",IF(K158&lt;&gt;"",K158,IF(N(IFERROR(INDEX(Projects!$D$6:$D$65,MATCH(D158,Projects!$B$6:$B$65,0)),""))&gt;0,IFERROR(INDEX(Projects!$D$6:$D$65,MATCH(D158,Projects!$B$6:$B$65,0)),""),IFERROR(INDEX(Clients!$G$6:$G$45,MATCH(C158,Clients!$B$6:$B$45,0)),0))))</f>
        <v/>
      </c>
      <c r="O158" s="14">
        <f>IF(B158="","",IF(J158&lt;&gt;"",0,ROUND(M158*N158,2)))</f>
        <v/>
      </c>
      <c r="P158" s="15">
        <f>IF(OR(B158="",J158&lt;&gt;""),"",IF(L158&lt;&gt;"",L158,IF(COUNTIFS(Invoices!$C$6:$C$305,C158,Invoices!$E$6:$E$305,"&lt;="&amp;B158,Invoices!$F$6:$F$305,"&gt;="&amp;B158)=1,INDEX(Invoices!$B$6:$B$305,SUMIFS(Invoices!$O$6:$O$305,Invoices!$C$6:$C$305,C158,Invoices!$E$6:$E$305,"&lt;="&amp;B158,Invoices!$F$6:$F$305,"&gt;="&amp;B158)),IF(COUNTIFS(Invoices!$C$6:$C$305,C158,Invoices!$E$6:$E$305,"&lt;="&amp;B158,Invoices!$F$6:$F$305,"&gt;="&amp;B158)&gt;1,"Two invoices",""))))</f>
        <v/>
      </c>
      <c r="Q158" s="15">
        <f>IF(B158="","",IF(J158&lt;&gt;"","Not billable",IF(P158="","To invoice",IF(P158="Two invoices","Check dates",IF(ISNA(MATCH(P158,Invoices!$B$6:$B$305,0)),"Check number",IF(INDEX(Invoices!$M$6:$M$305,MATCH(P158,Invoices!$B$6:$B$305,0))="Paid","Paid",IF(INDEX(Invoices!$M$6:$M$305,MATCH(P158,Invoices!$B$6:$B$305,0))="Draft","Draft","Invoiced")))))))</f>
        <v/>
      </c>
      <c r="R158" s="1">
        <f>IF(AND(B158&lt;&gt;"",P158&lt;&gt;"",P158=Invoice!$G$4),B158+MOD(N(F158),1)+ROW()/10000000,"")</f>
        <v/>
      </c>
      <c r="S158">
        <f>IF(R158="","",IF(D158="","Other work",D158)&amp;IF(AND(K158&lt;&gt;"",E158&lt;&gt;""),", "&amp;E158,""))</f>
        <v/>
      </c>
      <c r="T158">
        <f>IF(R158="","",IF(COUNTIFS(R$6:R157,"&gt;0",S$6:S157,S158,N$6:N157,N158)=0,R158,""))</f>
        <v/>
      </c>
      <c r="U158">
        <f>IF(B158="","",IF(J158&lt;&gt;"",0,M158))</f>
        <v/>
      </c>
    </row>
    <row r="159">
      <c r="A159" s="1" t="n"/>
      <c r="B159" s="16" t="n">
        <v>46218</v>
      </c>
      <c r="C159" s="17" t="inlineStr">
        <is>
          <t>Harbour Books</t>
        </is>
      </c>
      <c r="D159" s="18" t="inlineStr">
        <is>
          <t>Website redesign</t>
        </is>
      </c>
      <c r="E159" s="18" t="inlineStr">
        <is>
          <t>Mobile layouts</t>
        </is>
      </c>
      <c r="F159" s="19" t="n">
        <v>0.3958333333333333</v>
      </c>
      <c r="G159" s="19" t="n">
        <v>0.5416666666666666</v>
      </c>
      <c r="H159" s="20" t="n"/>
      <c r="I159" s="21" t="n"/>
      <c r="J159" s="22" t="n"/>
      <c r="K159" s="23" t="n"/>
      <c r="L159" s="18" t="n"/>
      <c r="M159" s="24">
        <f>IF(B159="","",IF(AND(F159&lt;&gt;"",G159&lt;&gt;""),MAX(0,ROUND(MOD(G159-F159,1)*24-N(H159)/60,2)),N(I159)))</f>
        <v/>
      </c>
      <c r="N159" s="14">
        <f>IF(B159="","",IF(K159&lt;&gt;"",K159,IF(N(IFERROR(INDEX(Projects!$D$6:$D$65,MATCH(D159,Projects!$B$6:$B$65,0)),""))&gt;0,IFERROR(INDEX(Projects!$D$6:$D$65,MATCH(D159,Projects!$B$6:$B$65,0)),""),IFERROR(INDEX(Clients!$G$6:$G$45,MATCH(C159,Clients!$B$6:$B$45,0)),0))))</f>
        <v/>
      </c>
      <c r="O159" s="14">
        <f>IF(B159="","",IF(J159&lt;&gt;"",0,ROUND(M159*N159,2)))</f>
        <v/>
      </c>
      <c r="P159" s="15">
        <f>IF(OR(B159="",J159&lt;&gt;""),"",IF(L159&lt;&gt;"",L159,IF(COUNTIFS(Invoices!$C$6:$C$305,C159,Invoices!$E$6:$E$305,"&lt;="&amp;B159,Invoices!$F$6:$F$305,"&gt;="&amp;B159)=1,INDEX(Invoices!$B$6:$B$305,SUMIFS(Invoices!$O$6:$O$305,Invoices!$C$6:$C$305,C159,Invoices!$E$6:$E$305,"&lt;="&amp;B159,Invoices!$F$6:$F$305,"&gt;="&amp;B159)),IF(COUNTIFS(Invoices!$C$6:$C$305,C159,Invoices!$E$6:$E$305,"&lt;="&amp;B159,Invoices!$F$6:$F$305,"&gt;="&amp;B159)&gt;1,"Two invoices",""))))</f>
        <v/>
      </c>
      <c r="Q159" s="15">
        <f>IF(B159="","",IF(J159&lt;&gt;"","Not billable",IF(P159="","To invoice",IF(P159="Two invoices","Check dates",IF(ISNA(MATCH(P159,Invoices!$B$6:$B$305,0)),"Check number",IF(INDEX(Invoices!$M$6:$M$305,MATCH(P159,Invoices!$B$6:$B$305,0))="Paid","Paid",IF(INDEX(Invoices!$M$6:$M$305,MATCH(P159,Invoices!$B$6:$B$305,0))="Draft","Draft","Invoiced")))))))</f>
        <v/>
      </c>
      <c r="R159" s="1">
        <f>IF(AND(B159&lt;&gt;"",P159&lt;&gt;"",P159=Invoice!$G$4),B159+MOD(N(F159),1)+ROW()/10000000,"")</f>
        <v/>
      </c>
      <c r="S159">
        <f>IF(R159="","",IF(D159="","Other work",D159)&amp;IF(AND(K159&lt;&gt;"",E159&lt;&gt;""),", "&amp;E159,""))</f>
        <v/>
      </c>
      <c r="T159">
        <f>IF(R159="","",IF(COUNTIFS(R$6:R158,"&gt;0",S$6:S158,S159,N$6:N158,N159)=0,R159,""))</f>
        <v/>
      </c>
      <c r="U159">
        <f>IF(B159="","",IF(J159&lt;&gt;"",0,M159))</f>
        <v/>
      </c>
    </row>
    <row r="160">
      <c r="A160" s="1" t="n"/>
      <c r="B160" s="16" t="n">
        <v>46219</v>
      </c>
      <c r="C160" s="17" t="inlineStr">
        <is>
          <t>Harbour Books</t>
        </is>
      </c>
      <c r="D160" s="18" t="inlineStr">
        <is>
          <t>Website redesign</t>
        </is>
      </c>
      <c r="E160" s="18" t="inlineStr">
        <is>
          <t>Revisions after feedback</t>
        </is>
      </c>
      <c r="F160" s="19" t="n"/>
      <c r="G160" s="19" t="n"/>
      <c r="H160" s="20" t="n"/>
      <c r="I160" s="21" t="n">
        <v>3</v>
      </c>
      <c r="J160" s="22" t="n"/>
      <c r="K160" s="23" t="n"/>
      <c r="L160" s="18" t="n"/>
      <c r="M160" s="24">
        <f>IF(B160="","",IF(AND(F160&lt;&gt;"",G160&lt;&gt;""),MAX(0,ROUND(MOD(G160-F160,1)*24-N(H160)/60,2)),N(I160)))</f>
        <v/>
      </c>
      <c r="N160" s="14">
        <f>IF(B160="","",IF(K160&lt;&gt;"",K160,IF(N(IFERROR(INDEX(Projects!$D$6:$D$65,MATCH(D160,Projects!$B$6:$B$65,0)),""))&gt;0,IFERROR(INDEX(Projects!$D$6:$D$65,MATCH(D160,Projects!$B$6:$B$65,0)),""),IFERROR(INDEX(Clients!$G$6:$G$45,MATCH(C160,Clients!$B$6:$B$45,0)),0))))</f>
        <v/>
      </c>
      <c r="O160" s="14">
        <f>IF(B160="","",IF(J160&lt;&gt;"",0,ROUND(M160*N160,2)))</f>
        <v/>
      </c>
      <c r="P160" s="15">
        <f>IF(OR(B160="",J160&lt;&gt;""),"",IF(L160&lt;&gt;"",L160,IF(COUNTIFS(Invoices!$C$6:$C$305,C160,Invoices!$E$6:$E$305,"&lt;="&amp;B160,Invoices!$F$6:$F$305,"&gt;="&amp;B160)=1,INDEX(Invoices!$B$6:$B$305,SUMIFS(Invoices!$O$6:$O$305,Invoices!$C$6:$C$305,C160,Invoices!$E$6:$E$305,"&lt;="&amp;B160,Invoices!$F$6:$F$305,"&gt;="&amp;B160)),IF(COUNTIFS(Invoices!$C$6:$C$305,C160,Invoices!$E$6:$E$305,"&lt;="&amp;B160,Invoices!$F$6:$F$305,"&gt;="&amp;B160)&gt;1,"Two invoices",""))))</f>
        <v/>
      </c>
      <c r="Q160" s="15">
        <f>IF(B160="","",IF(J160&lt;&gt;"","Not billable",IF(P160="","To invoice",IF(P160="Two invoices","Check dates",IF(ISNA(MATCH(P160,Invoices!$B$6:$B$305,0)),"Check number",IF(INDEX(Invoices!$M$6:$M$305,MATCH(P160,Invoices!$B$6:$B$305,0))="Paid","Paid",IF(INDEX(Invoices!$M$6:$M$305,MATCH(P160,Invoices!$B$6:$B$305,0))="Draft","Draft","Invoiced")))))))</f>
        <v/>
      </c>
      <c r="R160" s="1">
        <f>IF(AND(B160&lt;&gt;"",P160&lt;&gt;"",P160=Invoice!$G$4),B160+MOD(N(F160),1)+ROW()/10000000,"")</f>
        <v/>
      </c>
      <c r="S160">
        <f>IF(R160="","",IF(D160="","Other work",D160)&amp;IF(AND(K160&lt;&gt;"",E160&lt;&gt;""),", "&amp;E160,""))</f>
        <v/>
      </c>
      <c r="T160">
        <f>IF(R160="","",IF(COUNTIFS(R$6:R159,"&gt;0",S$6:S159,S160,N$6:N159,N160)=0,R160,""))</f>
        <v/>
      </c>
      <c r="U160">
        <f>IF(B160="","",IF(J160&lt;&gt;"",0,M160))</f>
        <v/>
      </c>
    </row>
    <row r="161">
      <c r="A161" s="1" t="n"/>
      <c r="B161" s="16" t="n">
        <v>46219</v>
      </c>
      <c r="C161" s="17" t="inlineStr">
        <is>
          <t>Greenleaf Studio</t>
        </is>
      </c>
      <c r="D161" s="18" t="inlineStr">
        <is>
          <t>Monthly social posts</t>
        </is>
      </c>
      <c r="E161" s="18" t="inlineStr">
        <is>
          <t>Captions and scheduling</t>
        </is>
      </c>
      <c r="F161" s="19" t="n">
        <v>0.375</v>
      </c>
      <c r="G161" s="19" t="n">
        <v>0.5</v>
      </c>
      <c r="H161" s="20" t="n"/>
      <c r="I161" s="21" t="n"/>
      <c r="J161" s="22" t="n"/>
      <c r="K161" s="23" t="n"/>
      <c r="L161" s="18" t="n"/>
      <c r="M161" s="24">
        <f>IF(B161="","",IF(AND(F161&lt;&gt;"",G161&lt;&gt;""),MAX(0,ROUND(MOD(G161-F161,1)*24-N(H161)/60,2)),N(I161)))</f>
        <v/>
      </c>
      <c r="N161" s="14">
        <f>IF(B161="","",IF(K161&lt;&gt;"",K161,IF(N(IFERROR(INDEX(Projects!$D$6:$D$65,MATCH(D161,Projects!$B$6:$B$65,0)),""))&gt;0,IFERROR(INDEX(Projects!$D$6:$D$65,MATCH(D161,Projects!$B$6:$B$65,0)),""),IFERROR(INDEX(Clients!$G$6:$G$45,MATCH(C161,Clients!$B$6:$B$45,0)),0))))</f>
        <v/>
      </c>
      <c r="O161" s="14">
        <f>IF(B161="","",IF(J161&lt;&gt;"",0,ROUND(M161*N161,2)))</f>
        <v/>
      </c>
      <c r="P161" s="15">
        <f>IF(OR(B161="",J161&lt;&gt;""),"",IF(L161&lt;&gt;"",L161,IF(COUNTIFS(Invoices!$C$6:$C$305,C161,Invoices!$E$6:$E$305,"&lt;="&amp;B161,Invoices!$F$6:$F$305,"&gt;="&amp;B161)=1,INDEX(Invoices!$B$6:$B$305,SUMIFS(Invoices!$O$6:$O$305,Invoices!$C$6:$C$305,C161,Invoices!$E$6:$E$305,"&lt;="&amp;B161,Invoices!$F$6:$F$305,"&gt;="&amp;B161)),IF(COUNTIFS(Invoices!$C$6:$C$305,C161,Invoices!$E$6:$E$305,"&lt;="&amp;B161,Invoices!$F$6:$F$305,"&gt;="&amp;B161)&gt;1,"Two invoices",""))))</f>
        <v/>
      </c>
      <c r="Q161" s="15">
        <f>IF(B161="","",IF(J161&lt;&gt;"","Not billable",IF(P161="","To invoice",IF(P161="Two invoices","Check dates",IF(ISNA(MATCH(P161,Invoices!$B$6:$B$305,0)),"Check number",IF(INDEX(Invoices!$M$6:$M$305,MATCH(P161,Invoices!$B$6:$B$305,0))="Paid","Paid",IF(INDEX(Invoices!$M$6:$M$305,MATCH(P161,Invoices!$B$6:$B$305,0))="Draft","Draft","Invoiced")))))))</f>
        <v/>
      </c>
      <c r="R161" s="1">
        <f>IF(AND(B161&lt;&gt;"",P161&lt;&gt;"",P161=Invoice!$G$4),B161+MOD(N(F161),1)+ROW()/10000000,"")</f>
        <v/>
      </c>
      <c r="S161">
        <f>IF(R161="","",IF(D161="","Other work",D161)&amp;IF(AND(K161&lt;&gt;"",E161&lt;&gt;""),", "&amp;E161,""))</f>
        <v/>
      </c>
      <c r="T161">
        <f>IF(R161="","",IF(COUNTIFS(R$6:R160,"&gt;0",S$6:S160,S161,N$6:N160,N161)=0,R161,""))</f>
        <v/>
      </c>
      <c r="U161">
        <f>IF(B161="","",IF(J161&lt;&gt;"",0,M161))</f>
        <v/>
      </c>
    </row>
    <row r="162">
      <c r="A162" s="1" t="n"/>
      <c r="B162" s="16" t="n">
        <v>46220</v>
      </c>
      <c r="C162" s="17" t="inlineStr">
        <is>
          <t>Harbour Books</t>
        </is>
      </c>
      <c r="D162" s="18" t="inlineStr">
        <is>
          <t>Website redesign</t>
        </is>
      </c>
      <c r="E162" s="18" t="inlineStr">
        <is>
          <t>Revisions after feedback</t>
        </is>
      </c>
      <c r="F162" s="19" t="n">
        <v>0.3958333333333333</v>
      </c>
      <c r="G162" s="19" t="n">
        <v>0.5</v>
      </c>
      <c r="H162" s="20" t="n"/>
      <c r="I162" s="21" t="n"/>
      <c r="J162" s="22" t="n"/>
      <c r="K162" s="23" t="n"/>
      <c r="L162" s="18" t="n"/>
      <c r="M162" s="24">
        <f>IF(B162="","",IF(AND(F162&lt;&gt;"",G162&lt;&gt;""),MAX(0,ROUND(MOD(G162-F162,1)*24-N(H162)/60,2)),N(I162)))</f>
        <v/>
      </c>
      <c r="N162" s="14">
        <f>IF(B162="","",IF(K162&lt;&gt;"",K162,IF(N(IFERROR(INDEX(Projects!$D$6:$D$65,MATCH(D162,Projects!$B$6:$B$65,0)),""))&gt;0,IFERROR(INDEX(Projects!$D$6:$D$65,MATCH(D162,Projects!$B$6:$B$65,0)),""),IFERROR(INDEX(Clients!$G$6:$G$45,MATCH(C162,Clients!$B$6:$B$45,0)),0))))</f>
        <v/>
      </c>
      <c r="O162" s="14">
        <f>IF(B162="","",IF(J162&lt;&gt;"",0,ROUND(M162*N162,2)))</f>
        <v/>
      </c>
      <c r="P162" s="15">
        <f>IF(OR(B162="",J162&lt;&gt;""),"",IF(L162&lt;&gt;"",L162,IF(COUNTIFS(Invoices!$C$6:$C$305,C162,Invoices!$E$6:$E$305,"&lt;="&amp;B162,Invoices!$F$6:$F$305,"&gt;="&amp;B162)=1,INDEX(Invoices!$B$6:$B$305,SUMIFS(Invoices!$O$6:$O$305,Invoices!$C$6:$C$305,C162,Invoices!$E$6:$E$305,"&lt;="&amp;B162,Invoices!$F$6:$F$305,"&gt;="&amp;B162)),IF(COUNTIFS(Invoices!$C$6:$C$305,C162,Invoices!$E$6:$E$305,"&lt;="&amp;B162,Invoices!$F$6:$F$305,"&gt;="&amp;B162)&gt;1,"Two invoices",""))))</f>
        <v/>
      </c>
      <c r="Q162" s="15">
        <f>IF(B162="","",IF(J162&lt;&gt;"","Not billable",IF(P162="","To invoice",IF(P162="Two invoices","Check dates",IF(ISNA(MATCH(P162,Invoices!$B$6:$B$305,0)),"Check number",IF(INDEX(Invoices!$M$6:$M$305,MATCH(P162,Invoices!$B$6:$B$305,0))="Paid","Paid",IF(INDEX(Invoices!$M$6:$M$305,MATCH(P162,Invoices!$B$6:$B$305,0))="Draft","Draft","Invoiced")))))))</f>
        <v/>
      </c>
      <c r="R162" s="1">
        <f>IF(AND(B162&lt;&gt;"",P162&lt;&gt;"",P162=Invoice!$G$4),B162+MOD(N(F162),1)+ROW()/10000000,"")</f>
        <v/>
      </c>
      <c r="S162">
        <f>IF(R162="","",IF(D162="","Other work",D162)&amp;IF(AND(K162&lt;&gt;"",E162&lt;&gt;""),", "&amp;E162,""))</f>
        <v/>
      </c>
      <c r="T162">
        <f>IF(R162="","",IF(COUNTIFS(R$6:R161,"&gt;0",S$6:S161,S162,N$6:N161,N162)=0,R162,""))</f>
        <v/>
      </c>
      <c r="U162">
        <f>IF(B162="","",IF(J162&lt;&gt;"",0,M162))</f>
        <v/>
      </c>
    </row>
    <row r="163">
      <c r="A163" s="1" t="n"/>
      <c r="B163" s="16" t="n">
        <v>46220</v>
      </c>
      <c r="C163" s="17" t="inlineStr">
        <is>
          <t>Harbour Books</t>
        </is>
      </c>
      <c r="D163" s="18" t="inlineStr">
        <is>
          <t>Website redesign</t>
        </is>
      </c>
      <c r="E163" s="18" t="inlineStr">
        <is>
          <t>Client call</t>
        </is>
      </c>
      <c r="F163" s="19" t="n">
        <v>0.5416666666666666</v>
      </c>
      <c r="G163" s="19" t="n">
        <v>0.6041666666666666</v>
      </c>
      <c r="H163" s="20" t="n"/>
      <c r="I163" s="21" t="n"/>
      <c r="J163" s="22" t="n"/>
      <c r="K163" s="23" t="n"/>
      <c r="L163" s="18" t="n"/>
      <c r="M163" s="24">
        <f>IF(B163="","",IF(AND(F163&lt;&gt;"",G163&lt;&gt;""),MAX(0,ROUND(MOD(G163-F163,1)*24-N(H163)/60,2)),N(I163)))</f>
        <v/>
      </c>
      <c r="N163" s="14">
        <f>IF(B163="","",IF(K163&lt;&gt;"",K163,IF(N(IFERROR(INDEX(Projects!$D$6:$D$65,MATCH(D163,Projects!$B$6:$B$65,0)),""))&gt;0,IFERROR(INDEX(Projects!$D$6:$D$65,MATCH(D163,Projects!$B$6:$B$65,0)),""),IFERROR(INDEX(Clients!$G$6:$G$45,MATCH(C163,Clients!$B$6:$B$45,0)),0))))</f>
        <v/>
      </c>
      <c r="O163" s="14">
        <f>IF(B163="","",IF(J163&lt;&gt;"",0,ROUND(M163*N163,2)))</f>
        <v/>
      </c>
      <c r="P163" s="15">
        <f>IF(OR(B163="",J163&lt;&gt;""),"",IF(L163&lt;&gt;"",L163,IF(COUNTIFS(Invoices!$C$6:$C$305,C163,Invoices!$E$6:$E$305,"&lt;="&amp;B163,Invoices!$F$6:$F$305,"&gt;="&amp;B163)=1,INDEX(Invoices!$B$6:$B$305,SUMIFS(Invoices!$O$6:$O$305,Invoices!$C$6:$C$305,C163,Invoices!$E$6:$E$305,"&lt;="&amp;B163,Invoices!$F$6:$F$305,"&gt;="&amp;B163)),IF(COUNTIFS(Invoices!$C$6:$C$305,C163,Invoices!$E$6:$E$305,"&lt;="&amp;B163,Invoices!$F$6:$F$305,"&gt;="&amp;B163)&gt;1,"Two invoices",""))))</f>
        <v/>
      </c>
      <c r="Q163" s="15">
        <f>IF(B163="","",IF(J163&lt;&gt;"","Not billable",IF(P163="","To invoice",IF(P163="Two invoices","Check dates",IF(ISNA(MATCH(P163,Invoices!$B$6:$B$305,0)),"Check number",IF(INDEX(Invoices!$M$6:$M$305,MATCH(P163,Invoices!$B$6:$B$305,0))="Paid","Paid",IF(INDEX(Invoices!$M$6:$M$305,MATCH(P163,Invoices!$B$6:$B$305,0))="Draft","Draft","Invoiced")))))))</f>
        <v/>
      </c>
      <c r="R163" s="1">
        <f>IF(AND(B163&lt;&gt;"",P163&lt;&gt;"",P163=Invoice!$G$4),B163+MOD(N(F163),1)+ROW()/10000000,"")</f>
        <v/>
      </c>
      <c r="S163">
        <f>IF(R163="","",IF(D163="","Other work",D163)&amp;IF(AND(K163&lt;&gt;"",E163&lt;&gt;""),", "&amp;E163,""))</f>
        <v/>
      </c>
      <c r="T163">
        <f>IF(R163="","",IF(COUNTIFS(R$6:R162,"&gt;0",S$6:S162,S163,N$6:N162,N163)=0,R163,""))</f>
        <v/>
      </c>
      <c r="U163">
        <f>IF(B163="","",IF(J163&lt;&gt;"",0,M163))</f>
        <v/>
      </c>
    </row>
    <row r="164">
      <c r="A164" s="1" t="n"/>
      <c r="B164" s="16" t="n">
        <v>46223</v>
      </c>
      <c r="C164" s="17" t="inlineStr">
        <is>
          <t>Harbour Books</t>
        </is>
      </c>
      <c r="D164" s="18" t="inlineStr">
        <is>
          <t>Website redesign</t>
        </is>
      </c>
      <c r="E164" s="18" t="inlineStr">
        <is>
          <t>Page layouts</t>
        </is>
      </c>
      <c r="F164" s="19" t="n"/>
      <c r="G164" s="19" t="n"/>
      <c r="H164" s="20" t="n"/>
      <c r="I164" s="21" t="n">
        <v>3.5</v>
      </c>
      <c r="J164" s="22" t="n"/>
      <c r="K164" s="23" t="n"/>
      <c r="L164" s="18" t="n"/>
      <c r="M164" s="24">
        <f>IF(B164="","",IF(AND(F164&lt;&gt;"",G164&lt;&gt;""),MAX(0,ROUND(MOD(G164-F164,1)*24-N(H164)/60,2)),N(I164)))</f>
        <v/>
      </c>
      <c r="N164" s="14">
        <f>IF(B164="","",IF(K164&lt;&gt;"",K164,IF(N(IFERROR(INDEX(Projects!$D$6:$D$65,MATCH(D164,Projects!$B$6:$B$65,0)),""))&gt;0,IFERROR(INDEX(Projects!$D$6:$D$65,MATCH(D164,Projects!$B$6:$B$65,0)),""),IFERROR(INDEX(Clients!$G$6:$G$45,MATCH(C164,Clients!$B$6:$B$45,0)),0))))</f>
        <v/>
      </c>
      <c r="O164" s="14">
        <f>IF(B164="","",IF(J164&lt;&gt;"",0,ROUND(M164*N164,2)))</f>
        <v/>
      </c>
      <c r="P164" s="15">
        <f>IF(OR(B164="",J164&lt;&gt;""),"",IF(L164&lt;&gt;"",L164,IF(COUNTIFS(Invoices!$C$6:$C$305,C164,Invoices!$E$6:$E$305,"&lt;="&amp;B164,Invoices!$F$6:$F$305,"&gt;="&amp;B164)=1,INDEX(Invoices!$B$6:$B$305,SUMIFS(Invoices!$O$6:$O$305,Invoices!$C$6:$C$305,C164,Invoices!$E$6:$E$305,"&lt;="&amp;B164,Invoices!$F$6:$F$305,"&gt;="&amp;B164)),IF(COUNTIFS(Invoices!$C$6:$C$305,C164,Invoices!$E$6:$E$305,"&lt;="&amp;B164,Invoices!$F$6:$F$305,"&gt;="&amp;B164)&gt;1,"Two invoices",""))))</f>
        <v/>
      </c>
      <c r="Q164" s="15">
        <f>IF(B164="","",IF(J164&lt;&gt;"","Not billable",IF(P164="","To invoice",IF(P164="Two invoices","Check dates",IF(ISNA(MATCH(P164,Invoices!$B$6:$B$305,0)),"Check number",IF(INDEX(Invoices!$M$6:$M$305,MATCH(P164,Invoices!$B$6:$B$305,0))="Paid","Paid",IF(INDEX(Invoices!$M$6:$M$305,MATCH(P164,Invoices!$B$6:$B$305,0))="Draft","Draft","Invoiced")))))))</f>
        <v/>
      </c>
      <c r="R164" s="1">
        <f>IF(AND(B164&lt;&gt;"",P164&lt;&gt;"",P164=Invoice!$G$4),B164+MOD(N(F164),1)+ROW()/10000000,"")</f>
        <v/>
      </c>
      <c r="S164">
        <f>IF(R164="","",IF(D164="","Other work",D164)&amp;IF(AND(K164&lt;&gt;"",E164&lt;&gt;""),", "&amp;E164,""))</f>
        <v/>
      </c>
      <c r="T164">
        <f>IF(R164="","",IF(COUNTIFS(R$6:R163,"&gt;0",S$6:S163,S164,N$6:N163,N164)=0,R164,""))</f>
        <v/>
      </c>
      <c r="U164">
        <f>IF(B164="","",IF(J164&lt;&gt;"",0,M164))</f>
        <v/>
      </c>
    </row>
    <row r="165">
      <c r="A165" s="1" t="n"/>
      <c r="B165" s="16" t="n">
        <v>46223</v>
      </c>
      <c r="C165" s="17" t="inlineStr">
        <is>
          <t>Harbour Books</t>
        </is>
      </c>
      <c r="D165" s="18" t="inlineStr">
        <is>
          <t>Website redesign</t>
        </is>
      </c>
      <c r="E165" s="18" t="inlineStr">
        <is>
          <t>Mobile layouts</t>
        </is>
      </c>
      <c r="F165" s="19" t="n">
        <v>0.375</v>
      </c>
      <c r="G165" s="19" t="n">
        <v>0.4375</v>
      </c>
      <c r="H165" s="20" t="n"/>
      <c r="I165" s="21" t="n"/>
      <c r="J165" s="22" t="n"/>
      <c r="K165" s="23" t="n"/>
      <c r="L165" s="18" t="n"/>
      <c r="M165" s="24">
        <f>IF(B165="","",IF(AND(F165&lt;&gt;"",G165&lt;&gt;""),MAX(0,ROUND(MOD(G165-F165,1)*24-N(H165)/60,2)),N(I165)))</f>
        <v/>
      </c>
      <c r="N165" s="14">
        <f>IF(B165="","",IF(K165&lt;&gt;"",K165,IF(N(IFERROR(INDEX(Projects!$D$6:$D$65,MATCH(D165,Projects!$B$6:$B$65,0)),""))&gt;0,IFERROR(INDEX(Projects!$D$6:$D$65,MATCH(D165,Projects!$B$6:$B$65,0)),""),IFERROR(INDEX(Clients!$G$6:$G$45,MATCH(C165,Clients!$B$6:$B$45,0)),0))))</f>
        <v/>
      </c>
      <c r="O165" s="14">
        <f>IF(B165="","",IF(J165&lt;&gt;"",0,ROUND(M165*N165,2)))</f>
        <v/>
      </c>
      <c r="P165" s="15">
        <f>IF(OR(B165="",J165&lt;&gt;""),"",IF(L165&lt;&gt;"",L165,IF(COUNTIFS(Invoices!$C$6:$C$305,C165,Invoices!$E$6:$E$305,"&lt;="&amp;B165,Invoices!$F$6:$F$305,"&gt;="&amp;B165)=1,INDEX(Invoices!$B$6:$B$305,SUMIFS(Invoices!$O$6:$O$305,Invoices!$C$6:$C$305,C165,Invoices!$E$6:$E$305,"&lt;="&amp;B165,Invoices!$F$6:$F$305,"&gt;="&amp;B165)),IF(COUNTIFS(Invoices!$C$6:$C$305,C165,Invoices!$E$6:$E$305,"&lt;="&amp;B165,Invoices!$F$6:$F$305,"&gt;="&amp;B165)&gt;1,"Two invoices",""))))</f>
        <v/>
      </c>
      <c r="Q165" s="15">
        <f>IF(B165="","",IF(J165&lt;&gt;"","Not billable",IF(P165="","To invoice",IF(P165="Two invoices","Check dates",IF(ISNA(MATCH(P165,Invoices!$B$6:$B$305,0)),"Check number",IF(INDEX(Invoices!$M$6:$M$305,MATCH(P165,Invoices!$B$6:$B$305,0))="Paid","Paid",IF(INDEX(Invoices!$M$6:$M$305,MATCH(P165,Invoices!$B$6:$B$305,0))="Draft","Draft","Invoiced")))))))</f>
        <v/>
      </c>
      <c r="R165" s="1">
        <f>IF(AND(B165&lt;&gt;"",P165&lt;&gt;"",P165=Invoice!$G$4),B165+MOD(N(F165),1)+ROW()/10000000,"")</f>
        <v/>
      </c>
      <c r="S165">
        <f>IF(R165="","",IF(D165="","Other work",D165)&amp;IF(AND(K165&lt;&gt;"",E165&lt;&gt;""),", "&amp;E165,""))</f>
        <v/>
      </c>
      <c r="T165">
        <f>IF(R165="","",IF(COUNTIFS(R$6:R164,"&gt;0",S$6:S164,S165,N$6:N164,N165)=0,R165,""))</f>
        <v/>
      </c>
      <c r="U165">
        <f>IF(B165="","",IF(J165&lt;&gt;"",0,M165))</f>
        <v/>
      </c>
    </row>
    <row r="166">
      <c r="A166" s="1" t="n"/>
      <c r="B166" s="16" t="n">
        <v>46224</v>
      </c>
      <c r="C166" s="17" t="inlineStr">
        <is>
          <t>Greenleaf Studio</t>
        </is>
      </c>
      <c r="D166" s="18" t="inlineStr">
        <is>
          <t>Monthly social posts</t>
        </is>
      </c>
      <c r="E166" s="18" t="inlineStr">
        <is>
          <t>Monthly report</t>
        </is>
      </c>
      <c r="F166" s="19" t="n"/>
      <c r="G166" s="19" t="n"/>
      <c r="H166" s="20" t="n"/>
      <c r="I166" s="21" t="n">
        <v>3</v>
      </c>
      <c r="J166" s="22" t="n"/>
      <c r="K166" s="23" t="n"/>
      <c r="L166" s="18" t="n"/>
      <c r="M166" s="24">
        <f>IF(B166="","",IF(AND(F166&lt;&gt;"",G166&lt;&gt;""),MAX(0,ROUND(MOD(G166-F166,1)*24-N(H166)/60,2)),N(I166)))</f>
        <v/>
      </c>
      <c r="N166" s="14">
        <f>IF(B166="","",IF(K166&lt;&gt;"",K166,IF(N(IFERROR(INDEX(Projects!$D$6:$D$65,MATCH(D166,Projects!$B$6:$B$65,0)),""))&gt;0,IFERROR(INDEX(Projects!$D$6:$D$65,MATCH(D166,Projects!$B$6:$B$65,0)),""),IFERROR(INDEX(Clients!$G$6:$G$45,MATCH(C166,Clients!$B$6:$B$45,0)),0))))</f>
        <v/>
      </c>
      <c r="O166" s="14">
        <f>IF(B166="","",IF(J166&lt;&gt;"",0,ROUND(M166*N166,2)))</f>
        <v/>
      </c>
      <c r="P166" s="15">
        <f>IF(OR(B166="",J166&lt;&gt;""),"",IF(L166&lt;&gt;"",L166,IF(COUNTIFS(Invoices!$C$6:$C$305,C166,Invoices!$E$6:$E$305,"&lt;="&amp;B166,Invoices!$F$6:$F$305,"&gt;="&amp;B166)=1,INDEX(Invoices!$B$6:$B$305,SUMIFS(Invoices!$O$6:$O$305,Invoices!$C$6:$C$305,C166,Invoices!$E$6:$E$305,"&lt;="&amp;B166,Invoices!$F$6:$F$305,"&gt;="&amp;B166)),IF(COUNTIFS(Invoices!$C$6:$C$305,C166,Invoices!$E$6:$E$305,"&lt;="&amp;B166,Invoices!$F$6:$F$305,"&gt;="&amp;B166)&gt;1,"Two invoices",""))))</f>
        <v/>
      </c>
      <c r="Q166" s="15">
        <f>IF(B166="","",IF(J166&lt;&gt;"","Not billable",IF(P166="","To invoice",IF(P166="Two invoices","Check dates",IF(ISNA(MATCH(P166,Invoices!$B$6:$B$305,0)),"Check number",IF(INDEX(Invoices!$M$6:$M$305,MATCH(P166,Invoices!$B$6:$B$305,0))="Paid","Paid",IF(INDEX(Invoices!$M$6:$M$305,MATCH(P166,Invoices!$B$6:$B$305,0))="Draft","Draft","Invoiced")))))))</f>
        <v/>
      </c>
      <c r="R166" s="1">
        <f>IF(AND(B166&lt;&gt;"",P166&lt;&gt;"",P166=Invoice!$G$4),B166+MOD(N(F166),1)+ROW()/10000000,"")</f>
        <v/>
      </c>
      <c r="S166">
        <f>IF(R166="","",IF(D166="","Other work",D166)&amp;IF(AND(K166&lt;&gt;"",E166&lt;&gt;""),", "&amp;E166,""))</f>
        <v/>
      </c>
      <c r="T166">
        <f>IF(R166="","",IF(COUNTIFS(R$6:R165,"&gt;0",S$6:S165,S166,N$6:N165,N166)=0,R166,""))</f>
        <v/>
      </c>
      <c r="U166">
        <f>IF(B166="","",IF(J166&lt;&gt;"",0,M166))</f>
        <v/>
      </c>
    </row>
    <row r="167">
      <c r="A167" s="1" t="n"/>
      <c r="B167" s="16" t="n">
        <v>46224</v>
      </c>
      <c r="C167" s="17" t="inlineStr">
        <is>
          <t>Greenleaf Studio</t>
        </is>
      </c>
      <c r="D167" s="18" t="inlineStr">
        <is>
          <t>Monthly social posts</t>
        </is>
      </c>
      <c r="E167" s="18" t="inlineStr">
        <is>
          <t>Monthly report</t>
        </is>
      </c>
      <c r="F167" s="19" t="n">
        <v>0.375</v>
      </c>
      <c r="G167" s="19" t="n">
        <v>0.4166666666666667</v>
      </c>
      <c r="H167" s="20" t="n"/>
      <c r="I167" s="21" t="n"/>
      <c r="J167" s="22" t="n"/>
      <c r="K167" s="23" t="n"/>
      <c r="L167" s="18" t="n"/>
      <c r="M167" s="24">
        <f>IF(B167="","",IF(AND(F167&lt;&gt;"",G167&lt;&gt;""),MAX(0,ROUND(MOD(G167-F167,1)*24-N(H167)/60,2)),N(I167)))</f>
        <v/>
      </c>
      <c r="N167" s="14">
        <f>IF(B167="","",IF(K167&lt;&gt;"",K167,IF(N(IFERROR(INDEX(Projects!$D$6:$D$65,MATCH(D167,Projects!$B$6:$B$65,0)),""))&gt;0,IFERROR(INDEX(Projects!$D$6:$D$65,MATCH(D167,Projects!$B$6:$B$65,0)),""),IFERROR(INDEX(Clients!$G$6:$G$45,MATCH(C167,Clients!$B$6:$B$45,0)),0))))</f>
        <v/>
      </c>
      <c r="O167" s="14">
        <f>IF(B167="","",IF(J167&lt;&gt;"",0,ROUND(M167*N167,2)))</f>
        <v/>
      </c>
      <c r="P167" s="15">
        <f>IF(OR(B167="",J167&lt;&gt;""),"",IF(L167&lt;&gt;"",L167,IF(COUNTIFS(Invoices!$C$6:$C$305,C167,Invoices!$E$6:$E$305,"&lt;="&amp;B167,Invoices!$F$6:$F$305,"&gt;="&amp;B167)=1,INDEX(Invoices!$B$6:$B$305,SUMIFS(Invoices!$O$6:$O$305,Invoices!$C$6:$C$305,C167,Invoices!$E$6:$E$305,"&lt;="&amp;B167,Invoices!$F$6:$F$305,"&gt;="&amp;B167)),IF(COUNTIFS(Invoices!$C$6:$C$305,C167,Invoices!$E$6:$E$305,"&lt;="&amp;B167,Invoices!$F$6:$F$305,"&gt;="&amp;B167)&gt;1,"Two invoices",""))))</f>
        <v/>
      </c>
      <c r="Q167" s="15">
        <f>IF(B167="","",IF(J167&lt;&gt;"","Not billable",IF(P167="","To invoice",IF(P167="Two invoices","Check dates",IF(ISNA(MATCH(P167,Invoices!$B$6:$B$305,0)),"Check number",IF(INDEX(Invoices!$M$6:$M$305,MATCH(P167,Invoices!$B$6:$B$305,0))="Paid","Paid",IF(INDEX(Invoices!$M$6:$M$305,MATCH(P167,Invoices!$B$6:$B$305,0))="Draft","Draft","Invoiced")))))))</f>
        <v/>
      </c>
      <c r="R167" s="1">
        <f>IF(AND(B167&lt;&gt;"",P167&lt;&gt;"",P167=Invoice!$G$4),B167+MOD(N(F167),1)+ROW()/10000000,"")</f>
        <v/>
      </c>
      <c r="S167">
        <f>IF(R167="","",IF(D167="","Other work",D167)&amp;IF(AND(K167&lt;&gt;"",E167&lt;&gt;""),", "&amp;E167,""))</f>
        <v/>
      </c>
      <c r="T167">
        <f>IF(R167="","",IF(COUNTIFS(R$6:R166,"&gt;0",S$6:S166,S167,N$6:N166,N167)=0,R167,""))</f>
        <v/>
      </c>
      <c r="U167">
        <f>IF(B167="","",IF(J167&lt;&gt;"",0,M167))</f>
        <v/>
      </c>
    </row>
    <row r="168">
      <c r="A168" s="1" t="n"/>
      <c r="B168" s="16" t="n">
        <v>46224</v>
      </c>
      <c r="C168" s="17" t="inlineStr">
        <is>
          <t>Harbour Books</t>
        </is>
      </c>
      <c r="D168" s="18" t="inlineStr">
        <is>
          <t>Website redesign</t>
        </is>
      </c>
      <c r="E168" s="18" t="inlineStr">
        <is>
          <t>Revisions after feedback</t>
        </is>
      </c>
      <c r="F168" s="19" t="n">
        <v>0.4583333333333333</v>
      </c>
      <c r="G168" s="19" t="n">
        <v>0.5625</v>
      </c>
      <c r="H168" s="20" t="n"/>
      <c r="I168" s="21" t="n"/>
      <c r="J168" s="22" t="n"/>
      <c r="K168" s="23" t="n"/>
      <c r="L168" s="18" t="n"/>
      <c r="M168" s="24">
        <f>IF(B168="","",IF(AND(F168&lt;&gt;"",G168&lt;&gt;""),MAX(0,ROUND(MOD(G168-F168,1)*24-N(H168)/60,2)),N(I168)))</f>
        <v/>
      </c>
      <c r="N168" s="14">
        <f>IF(B168="","",IF(K168&lt;&gt;"",K168,IF(N(IFERROR(INDEX(Projects!$D$6:$D$65,MATCH(D168,Projects!$B$6:$B$65,0)),""))&gt;0,IFERROR(INDEX(Projects!$D$6:$D$65,MATCH(D168,Projects!$B$6:$B$65,0)),""),IFERROR(INDEX(Clients!$G$6:$G$45,MATCH(C168,Clients!$B$6:$B$45,0)),0))))</f>
        <v/>
      </c>
      <c r="O168" s="14">
        <f>IF(B168="","",IF(J168&lt;&gt;"",0,ROUND(M168*N168,2)))</f>
        <v/>
      </c>
      <c r="P168" s="15">
        <f>IF(OR(B168="",J168&lt;&gt;""),"",IF(L168&lt;&gt;"",L168,IF(COUNTIFS(Invoices!$C$6:$C$305,C168,Invoices!$E$6:$E$305,"&lt;="&amp;B168,Invoices!$F$6:$F$305,"&gt;="&amp;B168)=1,INDEX(Invoices!$B$6:$B$305,SUMIFS(Invoices!$O$6:$O$305,Invoices!$C$6:$C$305,C168,Invoices!$E$6:$E$305,"&lt;="&amp;B168,Invoices!$F$6:$F$305,"&gt;="&amp;B168)),IF(COUNTIFS(Invoices!$C$6:$C$305,C168,Invoices!$E$6:$E$305,"&lt;="&amp;B168,Invoices!$F$6:$F$305,"&gt;="&amp;B168)&gt;1,"Two invoices",""))))</f>
        <v/>
      </c>
      <c r="Q168" s="15">
        <f>IF(B168="","",IF(J168&lt;&gt;"","Not billable",IF(P168="","To invoice",IF(P168="Two invoices","Check dates",IF(ISNA(MATCH(P168,Invoices!$B$6:$B$305,0)),"Check number",IF(INDEX(Invoices!$M$6:$M$305,MATCH(P168,Invoices!$B$6:$B$305,0))="Paid","Paid",IF(INDEX(Invoices!$M$6:$M$305,MATCH(P168,Invoices!$B$6:$B$305,0))="Draft","Draft","Invoiced")))))))</f>
        <v/>
      </c>
      <c r="R168" s="1">
        <f>IF(AND(B168&lt;&gt;"",P168&lt;&gt;"",P168=Invoice!$G$4),B168+MOD(N(F168),1)+ROW()/10000000,"")</f>
        <v/>
      </c>
      <c r="S168">
        <f>IF(R168="","",IF(D168="","Other work",D168)&amp;IF(AND(K168&lt;&gt;"",E168&lt;&gt;""),", "&amp;E168,""))</f>
        <v/>
      </c>
      <c r="T168">
        <f>IF(R168="","",IF(COUNTIFS(R$6:R167,"&gt;0",S$6:S167,S168,N$6:N167,N168)=0,R168,""))</f>
        <v/>
      </c>
      <c r="U168">
        <f>IF(B168="","",IF(J168&lt;&gt;"",0,M168))</f>
        <v/>
      </c>
    </row>
    <row r="169">
      <c r="A169" s="1" t="n"/>
      <c r="B169" s="16" t="n">
        <v>46225</v>
      </c>
      <c r="C169" s="17" t="inlineStr">
        <is>
          <t>Harbour Books</t>
        </is>
      </c>
      <c r="D169" s="18" t="inlineStr">
        <is>
          <t>Website redesign</t>
        </is>
      </c>
      <c r="E169" s="18" t="inlineStr">
        <is>
          <t>Style guide</t>
        </is>
      </c>
      <c r="F169" s="19" t="n">
        <v>0.3958333333333333</v>
      </c>
      <c r="G169" s="19" t="n">
        <v>0.4791666666666667</v>
      </c>
      <c r="H169" s="20" t="n"/>
      <c r="I169" s="21" t="n"/>
      <c r="J169" s="22" t="n"/>
      <c r="K169" s="23" t="n"/>
      <c r="L169" s="18" t="n"/>
      <c r="M169" s="24">
        <f>IF(B169="","",IF(AND(F169&lt;&gt;"",G169&lt;&gt;""),MAX(0,ROUND(MOD(G169-F169,1)*24-N(H169)/60,2)),N(I169)))</f>
        <v/>
      </c>
      <c r="N169" s="14">
        <f>IF(B169="","",IF(K169&lt;&gt;"",K169,IF(N(IFERROR(INDEX(Projects!$D$6:$D$65,MATCH(D169,Projects!$B$6:$B$65,0)),""))&gt;0,IFERROR(INDEX(Projects!$D$6:$D$65,MATCH(D169,Projects!$B$6:$B$65,0)),""),IFERROR(INDEX(Clients!$G$6:$G$45,MATCH(C169,Clients!$B$6:$B$45,0)),0))))</f>
        <v/>
      </c>
      <c r="O169" s="14">
        <f>IF(B169="","",IF(J169&lt;&gt;"",0,ROUND(M169*N169,2)))</f>
        <v/>
      </c>
      <c r="P169" s="15">
        <f>IF(OR(B169="",J169&lt;&gt;""),"",IF(L169&lt;&gt;"",L169,IF(COUNTIFS(Invoices!$C$6:$C$305,C169,Invoices!$E$6:$E$305,"&lt;="&amp;B169,Invoices!$F$6:$F$305,"&gt;="&amp;B169)=1,INDEX(Invoices!$B$6:$B$305,SUMIFS(Invoices!$O$6:$O$305,Invoices!$C$6:$C$305,C169,Invoices!$E$6:$E$305,"&lt;="&amp;B169,Invoices!$F$6:$F$305,"&gt;="&amp;B169)),IF(COUNTIFS(Invoices!$C$6:$C$305,C169,Invoices!$E$6:$E$305,"&lt;="&amp;B169,Invoices!$F$6:$F$305,"&gt;="&amp;B169)&gt;1,"Two invoices",""))))</f>
        <v/>
      </c>
      <c r="Q169" s="15">
        <f>IF(B169="","",IF(J169&lt;&gt;"","Not billable",IF(P169="","To invoice",IF(P169="Two invoices","Check dates",IF(ISNA(MATCH(P169,Invoices!$B$6:$B$305,0)),"Check number",IF(INDEX(Invoices!$M$6:$M$305,MATCH(P169,Invoices!$B$6:$B$305,0))="Paid","Paid",IF(INDEX(Invoices!$M$6:$M$305,MATCH(P169,Invoices!$B$6:$B$305,0))="Draft","Draft","Invoiced")))))))</f>
        <v/>
      </c>
      <c r="R169" s="1">
        <f>IF(AND(B169&lt;&gt;"",P169&lt;&gt;"",P169=Invoice!$G$4),B169+MOD(N(F169),1)+ROW()/10000000,"")</f>
        <v/>
      </c>
      <c r="S169">
        <f>IF(R169="","",IF(D169="","Other work",D169)&amp;IF(AND(K169&lt;&gt;"",E169&lt;&gt;""),", "&amp;E169,""))</f>
        <v/>
      </c>
      <c r="T169">
        <f>IF(R169="","",IF(COUNTIFS(R$6:R168,"&gt;0",S$6:S168,S169,N$6:N168,N169)=0,R169,""))</f>
        <v/>
      </c>
      <c r="U169">
        <f>IF(B169="","",IF(J169&lt;&gt;"",0,M169))</f>
        <v/>
      </c>
    </row>
    <row r="170">
      <c r="A170" s="1" t="n"/>
      <c r="B170" s="16" t="n">
        <v>46225</v>
      </c>
      <c r="C170" s="17" t="inlineStr">
        <is>
          <t>Greenleaf Studio</t>
        </is>
      </c>
      <c r="D170" s="18" t="inlineStr">
        <is>
          <t>Monthly social posts</t>
        </is>
      </c>
      <c r="E170" s="18" t="inlineStr">
        <is>
          <t>Captions and scheduling</t>
        </is>
      </c>
      <c r="F170" s="19" t="n">
        <v>0.5104166666666666</v>
      </c>
      <c r="G170" s="19" t="n">
        <v>0.6666666666666666</v>
      </c>
      <c r="H170" s="20" t="n">
        <v>15</v>
      </c>
      <c r="I170" s="21" t="n"/>
      <c r="J170" s="22" t="n"/>
      <c r="K170" s="23" t="n"/>
      <c r="L170" s="18" t="n"/>
      <c r="M170" s="24">
        <f>IF(B170="","",IF(AND(F170&lt;&gt;"",G170&lt;&gt;""),MAX(0,ROUND(MOD(G170-F170,1)*24-N(H170)/60,2)),N(I170)))</f>
        <v/>
      </c>
      <c r="N170" s="14">
        <f>IF(B170="","",IF(K170&lt;&gt;"",K170,IF(N(IFERROR(INDEX(Projects!$D$6:$D$65,MATCH(D170,Projects!$B$6:$B$65,0)),""))&gt;0,IFERROR(INDEX(Projects!$D$6:$D$65,MATCH(D170,Projects!$B$6:$B$65,0)),""),IFERROR(INDEX(Clients!$G$6:$G$45,MATCH(C170,Clients!$B$6:$B$45,0)),0))))</f>
        <v/>
      </c>
      <c r="O170" s="14">
        <f>IF(B170="","",IF(J170&lt;&gt;"",0,ROUND(M170*N170,2)))</f>
        <v/>
      </c>
      <c r="P170" s="15">
        <f>IF(OR(B170="",J170&lt;&gt;""),"",IF(L170&lt;&gt;"",L170,IF(COUNTIFS(Invoices!$C$6:$C$305,C170,Invoices!$E$6:$E$305,"&lt;="&amp;B170,Invoices!$F$6:$F$305,"&gt;="&amp;B170)=1,INDEX(Invoices!$B$6:$B$305,SUMIFS(Invoices!$O$6:$O$305,Invoices!$C$6:$C$305,C170,Invoices!$E$6:$E$305,"&lt;="&amp;B170,Invoices!$F$6:$F$305,"&gt;="&amp;B170)),IF(COUNTIFS(Invoices!$C$6:$C$305,C170,Invoices!$E$6:$E$305,"&lt;="&amp;B170,Invoices!$F$6:$F$305,"&gt;="&amp;B170)&gt;1,"Two invoices",""))))</f>
        <v/>
      </c>
      <c r="Q170" s="15">
        <f>IF(B170="","",IF(J170&lt;&gt;"","Not billable",IF(P170="","To invoice",IF(P170="Two invoices","Check dates",IF(ISNA(MATCH(P170,Invoices!$B$6:$B$305,0)),"Check number",IF(INDEX(Invoices!$M$6:$M$305,MATCH(P170,Invoices!$B$6:$B$305,0))="Paid","Paid",IF(INDEX(Invoices!$M$6:$M$305,MATCH(P170,Invoices!$B$6:$B$305,0))="Draft","Draft","Invoiced")))))))</f>
        <v/>
      </c>
      <c r="R170" s="1">
        <f>IF(AND(B170&lt;&gt;"",P170&lt;&gt;"",P170=Invoice!$G$4),B170+MOD(N(F170),1)+ROW()/10000000,"")</f>
        <v/>
      </c>
      <c r="S170">
        <f>IF(R170="","",IF(D170="","Other work",D170)&amp;IF(AND(K170&lt;&gt;"",E170&lt;&gt;""),", "&amp;E170,""))</f>
        <v/>
      </c>
      <c r="T170">
        <f>IF(R170="","",IF(COUNTIFS(R$6:R169,"&gt;0",S$6:S169,S170,N$6:N169,N170)=0,R170,""))</f>
        <v/>
      </c>
      <c r="U170">
        <f>IF(B170="","",IF(J170&lt;&gt;"",0,M170))</f>
        <v/>
      </c>
    </row>
    <row r="171">
      <c r="A171" s="1" t="n"/>
      <c r="B171" s="16" t="n">
        <v>46225</v>
      </c>
      <c r="C171" s="17" t="inlineStr">
        <is>
          <t>Harbour Books</t>
        </is>
      </c>
      <c r="D171" s="18" t="inlineStr">
        <is>
          <t>Website redesign</t>
        </is>
      </c>
      <c r="E171" s="18" t="inlineStr">
        <is>
          <t>Client call</t>
        </is>
      </c>
      <c r="F171" s="19" t="n">
        <v>0.6875</v>
      </c>
      <c r="G171" s="19" t="n">
        <v>0.84375</v>
      </c>
      <c r="H171" s="20" t="n">
        <v>15</v>
      </c>
      <c r="I171" s="21" t="n"/>
      <c r="J171" s="22" t="n"/>
      <c r="K171" s="23" t="n"/>
      <c r="L171" s="18" t="n"/>
      <c r="M171" s="24">
        <f>IF(B171="","",IF(AND(F171&lt;&gt;"",G171&lt;&gt;""),MAX(0,ROUND(MOD(G171-F171,1)*24-N(H171)/60,2)),N(I171)))</f>
        <v/>
      </c>
      <c r="N171" s="14">
        <f>IF(B171="","",IF(K171&lt;&gt;"",K171,IF(N(IFERROR(INDEX(Projects!$D$6:$D$65,MATCH(D171,Projects!$B$6:$B$65,0)),""))&gt;0,IFERROR(INDEX(Projects!$D$6:$D$65,MATCH(D171,Projects!$B$6:$B$65,0)),""),IFERROR(INDEX(Clients!$G$6:$G$45,MATCH(C171,Clients!$B$6:$B$45,0)),0))))</f>
        <v/>
      </c>
      <c r="O171" s="14">
        <f>IF(B171="","",IF(J171&lt;&gt;"",0,ROUND(M171*N171,2)))</f>
        <v/>
      </c>
      <c r="P171" s="15">
        <f>IF(OR(B171="",J171&lt;&gt;""),"",IF(L171&lt;&gt;"",L171,IF(COUNTIFS(Invoices!$C$6:$C$305,C171,Invoices!$E$6:$E$305,"&lt;="&amp;B171,Invoices!$F$6:$F$305,"&gt;="&amp;B171)=1,INDEX(Invoices!$B$6:$B$305,SUMIFS(Invoices!$O$6:$O$305,Invoices!$C$6:$C$305,C171,Invoices!$E$6:$E$305,"&lt;="&amp;B171,Invoices!$F$6:$F$305,"&gt;="&amp;B171)),IF(COUNTIFS(Invoices!$C$6:$C$305,C171,Invoices!$E$6:$E$305,"&lt;="&amp;B171,Invoices!$F$6:$F$305,"&gt;="&amp;B171)&gt;1,"Two invoices",""))))</f>
        <v/>
      </c>
      <c r="Q171" s="15">
        <f>IF(B171="","",IF(J171&lt;&gt;"","Not billable",IF(P171="","To invoice",IF(P171="Two invoices","Check dates",IF(ISNA(MATCH(P171,Invoices!$B$6:$B$305,0)),"Check number",IF(INDEX(Invoices!$M$6:$M$305,MATCH(P171,Invoices!$B$6:$B$305,0))="Paid","Paid",IF(INDEX(Invoices!$M$6:$M$305,MATCH(P171,Invoices!$B$6:$B$305,0))="Draft","Draft","Invoiced")))))))</f>
        <v/>
      </c>
      <c r="R171" s="1">
        <f>IF(AND(B171&lt;&gt;"",P171&lt;&gt;"",P171=Invoice!$G$4),B171+MOD(N(F171),1)+ROW()/10000000,"")</f>
        <v/>
      </c>
      <c r="S171">
        <f>IF(R171="","",IF(D171="","Other work",D171)&amp;IF(AND(K171&lt;&gt;"",E171&lt;&gt;""),", "&amp;E171,""))</f>
        <v/>
      </c>
      <c r="T171">
        <f>IF(R171="","",IF(COUNTIFS(R$6:R170,"&gt;0",S$6:S170,S171,N$6:N170,N171)=0,R171,""))</f>
        <v/>
      </c>
      <c r="U171">
        <f>IF(B171="","",IF(J171&lt;&gt;"",0,M171))</f>
        <v/>
      </c>
    </row>
    <row r="172">
      <c r="A172" s="1" t="n"/>
      <c r="B172" s="16" t="n">
        <v>46226</v>
      </c>
      <c r="C172" s="17" t="inlineStr">
        <is>
          <t>Harbour Books</t>
        </is>
      </c>
      <c r="D172" s="18" t="inlineStr">
        <is>
          <t>Website redesign</t>
        </is>
      </c>
      <c r="E172" s="18" t="inlineStr">
        <is>
          <t>Home page design</t>
        </is>
      </c>
      <c r="F172" s="19" t="n">
        <v>0.375</v>
      </c>
      <c r="G172" s="19" t="n">
        <v>0.4583333333333333</v>
      </c>
      <c r="H172" s="20" t="n"/>
      <c r="I172" s="21" t="n"/>
      <c r="J172" s="22" t="n"/>
      <c r="K172" s="23" t="n"/>
      <c r="L172" s="18" t="n"/>
      <c r="M172" s="24">
        <f>IF(B172="","",IF(AND(F172&lt;&gt;"",G172&lt;&gt;""),MAX(0,ROUND(MOD(G172-F172,1)*24-N(H172)/60,2)),N(I172)))</f>
        <v/>
      </c>
      <c r="N172" s="14">
        <f>IF(B172="","",IF(K172&lt;&gt;"",K172,IF(N(IFERROR(INDEX(Projects!$D$6:$D$65,MATCH(D172,Projects!$B$6:$B$65,0)),""))&gt;0,IFERROR(INDEX(Projects!$D$6:$D$65,MATCH(D172,Projects!$B$6:$B$65,0)),""),IFERROR(INDEX(Clients!$G$6:$G$45,MATCH(C172,Clients!$B$6:$B$45,0)),0))))</f>
        <v/>
      </c>
      <c r="O172" s="14">
        <f>IF(B172="","",IF(J172&lt;&gt;"",0,ROUND(M172*N172,2)))</f>
        <v/>
      </c>
      <c r="P172" s="15">
        <f>IF(OR(B172="",J172&lt;&gt;""),"",IF(L172&lt;&gt;"",L172,IF(COUNTIFS(Invoices!$C$6:$C$305,C172,Invoices!$E$6:$E$305,"&lt;="&amp;B172,Invoices!$F$6:$F$305,"&gt;="&amp;B172)=1,INDEX(Invoices!$B$6:$B$305,SUMIFS(Invoices!$O$6:$O$305,Invoices!$C$6:$C$305,C172,Invoices!$E$6:$E$305,"&lt;="&amp;B172,Invoices!$F$6:$F$305,"&gt;="&amp;B172)),IF(COUNTIFS(Invoices!$C$6:$C$305,C172,Invoices!$E$6:$E$305,"&lt;="&amp;B172,Invoices!$F$6:$F$305,"&gt;="&amp;B172)&gt;1,"Two invoices",""))))</f>
        <v/>
      </c>
      <c r="Q172" s="15">
        <f>IF(B172="","",IF(J172&lt;&gt;"","Not billable",IF(P172="","To invoice",IF(P172="Two invoices","Check dates",IF(ISNA(MATCH(P172,Invoices!$B$6:$B$305,0)),"Check number",IF(INDEX(Invoices!$M$6:$M$305,MATCH(P172,Invoices!$B$6:$B$305,0))="Paid","Paid",IF(INDEX(Invoices!$M$6:$M$305,MATCH(P172,Invoices!$B$6:$B$305,0))="Draft","Draft","Invoiced")))))))</f>
        <v/>
      </c>
      <c r="R172" s="1">
        <f>IF(AND(B172&lt;&gt;"",P172&lt;&gt;"",P172=Invoice!$G$4),B172+MOD(N(F172),1)+ROW()/10000000,"")</f>
        <v/>
      </c>
      <c r="S172">
        <f>IF(R172="","",IF(D172="","Other work",D172)&amp;IF(AND(K172&lt;&gt;"",E172&lt;&gt;""),", "&amp;E172,""))</f>
        <v/>
      </c>
      <c r="T172">
        <f>IF(R172="","",IF(COUNTIFS(R$6:R171,"&gt;0",S$6:S171,S172,N$6:N171,N172)=0,R172,""))</f>
        <v/>
      </c>
      <c r="U172">
        <f>IF(B172="","",IF(J172&lt;&gt;"",0,M172))</f>
        <v/>
      </c>
    </row>
    <row r="173">
      <c r="A173" s="1" t="n"/>
      <c r="B173" s="16" t="n">
        <v>46226</v>
      </c>
      <c r="C173" s="17" t="inlineStr">
        <is>
          <t>Harbour Books</t>
        </is>
      </c>
      <c r="D173" s="18" t="inlineStr">
        <is>
          <t>Website redesign</t>
        </is>
      </c>
      <c r="E173" s="18" t="inlineStr">
        <is>
          <t>Style guide</t>
        </is>
      </c>
      <c r="F173" s="19" t="n">
        <v>0.5</v>
      </c>
      <c r="G173" s="19" t="n">
        <v>0.5416666666666666</v>
      </c>
      <c r="H173" s="20" t="n"/>
      <c r="I173" s="21" t="n"/>
      <c r="J173" s="22" t="n"/>
      <c r="K173" s="23" t="n"/>
      <c r="L173" s="18" t="n"/>
      <c r="M173" s="24">
        <f>IF(B173="","",IF(AND(F173&lt;&gt;"",G173&lt;&gt;""),MAX(0,ROUND(MOD(G173-F173,1)*24-N(H173)/60,2)),N(I173)))</f>
        <v/>
      </c>
      <c r="N173" s="14">
        <f>IF(B173="","",IF(K173&lt;&gt;"",K173,IF(N(IFERROR(INDEX(Projects!$D$6:$D$65,MATCH(D173,Projects!$B$6:$B$65,0)),""))&gt;0,IFERROR(INDEX(Projects!$D$6:$D$65,MATCH(D173,Projects!$B$6:$B$65,0)),""),IFERROR(INDEX(Clients!$G$6:$G$45,MATCH(C173,Clients!$B$6:$B$45,0)),0))))</f>
        <v/>
      </c>
      <c r="O173" s="14">
        <f>IF(B173="","",IF(J173&lt;&gt;"",0,ROUND(M173*N173,2)))</f>
        <v/>
      </c>
      <c r="P173" s="15">
        <f>IF(OR(B173="",J173&lt;&gt;""),"",IF(L173&lt;&gt;"",L173,IF(COUNTIFS(Invoices!$C$6:$C$305,C173,Invoices!$E$6:$E$305,"&lt;="&amp;B173,Invoices!$F$6:$F$305,"&gt;="&amp;B173)=1,INDEX(Invoices!$B$6:$B$305,SUMIFS(Invoices!$O$6:$O$305,Invoices!$C$6:$C$305,C173,Invoices!$E$6:$E$305,"&lt;="&amp;B173,Invoices!$F$6:$F$305,"&gt;="&amp;B173)),IF(COUNTIFS(Invoices!$C$6:$C$305,C173,Invoices!$E$6:$E$305,"&lt;="&amp;B173,Invoices!$F$6:$F$305,"&gt;="&amp;B173)&gt;1,"Two invoices",""))))</f>
        <v/>
      </c>
      <c r="Q173" s="15">
        <f>IF(B173="","",IF(J173&lt;&gt;"","Not billable",IF(P173="","To invoice",IF(P173="Two invoices","Check dates",IF(ISNA(MATCH(P173,Invoices!$B$6:$B$305,0)),"Check number",IF(INDEX(Invoices!$M$6:$M$305,MATCH(P173,Invoices!$B$6:$B$305,0))="Paid","Paid",IF(INDEX(Invoices!$M$6:$M$305,MATCH(P173,Invoices!$B$6:$B$305,0))="Draft","Draft","Invoiced")))))))</f>
        <v/>
      </c>
      <c r="R173" s="1">
        <f>IF(AND(B173&lt;&gt;"",P173&lt;&gt;"",P173=Invoice!$G$4),B173+MOD(N(F173),1)+ROW()/10000000,"")</f>
        <v/>
      </c>
      <c r="S173">
        <f>IF(R173="","",IF(D173="","Other work",D173)&amp;IF(AND(K173&lt;&gt;"",E173&lt;&gt;""),", "&amp;E173,""))</f>
        <v/>
      </c>
      <c r="T173">
        <f>IF(R173="","",IF(COUNTIFS(R$6:R172,"&gt;0",S$6:S172,S173,N$6:N172,N173)=0,R173,""))</f>
        <v/>
      </c>
      <c r="U173">
        <f>IF(B173="","",IF(J173&lt;&gt;"",0,M173))</f>
        <v/>
      </c>
    </row>
    <row r="174">
      <c r="A174" s="1" t="n"/>
      <c r="B174" s="16" t="n">
        <v>46227</v>
      </c>
      <c r="C174" s="17" t="inlineStr">
        <is>
          <t>Harbour Books</t>
        </is>
      </c>
      <c r="D174" s="18" t="inlineStr">
        <is>
          <t>Website redesign</t>
        </is>
      </c>
      <c r="E174" s="18" t="inlineStr">
        <is>
          <t>Client call</t>
        </is>
      </c>
      <c r="F174" s="19" t="n">
        <v>0.3958333333333333</v>
      </c>
      <c r="G174" s="19" t="n">
        <v>0.5</v>
      </c>
      <c r="H174" s="20" t="n"/>
      <c r="I174" s="21" t="n"/>
      <c r="J174" s="22" t="n"/>
      <c r="K174" s="23" t="n"/>
      <c r="L174" s="18" t="n"/>
      <c r="M174" s="24">
        <f>IF(B174="","",IF(AND(F174&lt;&gt;"",G174&lt;&gt;""),MAX(0,ROUND(MOD(G174-F174,1)*24-N(H174)/60,2)),N(I174)))</f>
        <v/>
      </c>
      <c r="N174" s="14">
        <f>IF(B174="","",IF(K174&lt;&gt;"",K174,IF(N(IFERROR(INDEX(Projects!$D$6:$D$65,MATCH(D174,Projects!$B$6:$B$65,0)),""))&gt;0,IFERROR(INDEX(Projects!$D$6:$D$65,MATCH(D174,Projects!$B$6:$B$65,0)),""),IFERROR(INDEX(Clients!$G$6:$G$45,MATCH(C174,Clients!$B$6:$B$45,0)),0))))</f>
        <v/>
      </c>
      <c r="O174" s="14">
        <f>IF(B174="","",IF(J174&lt;&gt;"",0,ROUND(M174*N174,2)))</f>
        <v/>
      </c>
      <c r="P174" s="15">
        <f>IF(OR(B174="",J174&lt;&gt;""),"",IF(L174&lt;&gt;"",L174,IF(COUNTIFS(Invoices!$C$6:$C$305,C174,Invoices!$E$6:$E$305,"&lt;="&amp;B174,Invoices!$F$6:$F$305,"&gt;="&amp;B174)=1,INDEX(Invoices!$B$6:$B$305,SUMIFS(Invoices!$O$6:$O$305,Invoices!$C$6:$C$305,C174,Invoices!$E$6:$E$305,"&lt;="&amp;B174,Invoices!$F$6:$F$305,"&gt;="&amp;B174)),IF(COUNTIFS(Invoices!$C$6:$C$305,C174,Invoices!$E$6:$E$305,"&lt;="&amp;B174,Invoices!$F$6:$F$305,"&gt;="&amp;B174)&gt;1,"Two invoices",""))))</f>
        <v/>
      </c>
      <c r="Q174" s="15">
        <f>IF(B174="","",IF(J174&lt;&gt;"","Not billable",IF(P174="","To invoice",IF(P174="Two invoices","Check dates",IF(ISNA(MATCH(P174,Invoices!$B$6:$B$305,0)),"Check number",IF(INDEX(Invoices!$M$6:$M$305,MATCH(P174,Invoices!$B$6:$B$305,0))="Paid","Paid",IF(INDEX(Invoices!$M$6:$M$305,MATCH(P174,Invoices!$B$6:$B$305,0))="Draft","Draft","Invoiced")))))))</f>
        <v/>
      </c>
      <c r="R174" s="1">
        <f>IF(AND(B174&lt;&gt;"",P174&lt;&gt;"",P174=Invoice!$G$4),B174+MOD(N(F174),1)+ROW()/10000000,"")</f>
        <v/>
      </c>
      <c r="S174">
        <f>IF(R174="","",IF(D174="","Other work",D174)&amp;IF(AND(K174&lt;&gt;"",E174&lt;&gt;""),", "&amp;E174,""))</f>
        <v/>
      </c>
      <c r="T174">
        <f>IF(R174="","",IF(COUNTIFS(R$6:R173,"&gt;0",S$6:S173,S174,N$6:N173,N174)=0,R174,""))</f>
        <v/>
      </c>
      <c r="U174">
        <f>IF(B174="","",IF(J174&lt;&gt;"",0,M174))</f>
        <v/>
      </c>
    </row>
    <row r="175">
      <c r="A175" s="1" t="n"/>
      <c r="B175" s="16" t="n">
        <v>46230</v>
      </c>
      <c r="C175" s="17" t="inlineStr">
        <is>
          <t>Greenleaf Studio</t>
        </is>
      </c>
      <c r="D175" s="18" t="inlineStr">
        <is>
          <t>Monthly social posts</t>
        </is>
      </c>
      <c r="E175" s="18" t="inlineStr">
        <is>
          <t>Post designs</t>
        </is>
      </c>
      <c r="F175" s="19" t="n">
        <v>0.375</v>
      </c>
      <c r="G175" s="19" t="n">
        <v>0.5208333333333334</v>
      </c>
      <c r="H175" s="20" t="n"/>
      <c r="I175" s="21" t="n"/>
      <c r="J175" s="22" t="n"/>
      <c r="K175" s="23" t="n"/>
      <c r="L175" s="18" t="n"/>
      <c r="M175" s="24">
        <f>IF(B175="","",IF(AND(F175&lt;&gt;"",G175&lt;&gt;""),MAX(0,ROUND(MOD(G175-F175,1)*24-N(H175)/60,2)),N(I175)))</f>
        <v/>
      </c>
      <c r="N175" s="14">
        <f>IF(B175="","",IF(K175&lt;&gt;"",K175,IF(N(IFERROR(INDEX(Projects!$D$6:$D$65,MATCH(D175,Projects!$B$6:$B$65,0)),""))&gt;0,IFERROR(INDEX(Projects!$D$6:$D$65,MATCH(D175,Projects!$B$6:$B$65,0)),""),IFERROR(INDEX(Clients!$G$6:$G$45,MATCH(C175,Clients!$B$6:$B$45,0)),0))))</f>
        <v/>
      </c>
      <c r="O175" s="14">
        <f>IF(B175="","",IF(J175&lt;&gt;"",0,ROUND(M175*N175,2)))</f>
        <v/>
      </c>
      <c r="P175" s="15">
        <f>IF(OR(B175="",J175&lt;&gt;""),"",IF(L175&lt;&gt;"",L175,IF(COUNTIFS(Invoices!$C$6:$C$305,C175,Invoices!$E$6:$E$305,"&lt;="&amp;B175,Invoices!$F$6:$F$305,"&gt;="&amp;B175)=1,INDEX(Invoices!$B$6:$B$305,SUMIFS(Invoices!$O$6:$O$305,Invoices!$C$6:$C$305,C175,Invoices!$E$6:$E$305,"&lt;="&amp;B175,Invoices!$F$6:$F$305,"&gt;="&amp;B175)),IF(COUNTIFS(Invoices!$C$6:$C$305,C175,Invoices!$E$6:$E$305,"&lt;="&amp;B175,Invoices!$F$6:$F$305,"&gt;="&amp;B175)&gt;1,"Two invoices",""))))</f>
        <v/>
      </c>
      <c r="Q175" s="15">
        <f>IF(B175="","",IF(J175&lt;&gt;"","Not billable",IF(P175="","To invoice",IF(P175="Two invoices","Check dates",IF(ISNA(MATCH(P175,Invoices!$B$6:$B$305,0)),"Check number",IF(INDEX(Invoices!$M$6:$M$305,MATCH(P175,Invoices!$B$6:$B$305,0))="Paid","Paid",IF(INDEX(Invoices!$M$6:$M$305,MATCH(P175,Invoices!$B$6:$B$305,0))="Draft","Draft","Invoiced")))))))</f>
        <v/>
      </c>
      <c r="R175" s="1">
        <f>IF(AND(B175&lt;&gt;"",P175&lt;&gt;"",P175=Invoice!$G$4),B175+MOD(N(F175),1)+ROW()/10000000,"")</f>
        <v/>
      </c>
      <c r="S175">
        <f>IF(R175="","",IF(D175="","Other work",D175)&amp;IF(AND(K175&lt;&gt;"",E175&lt;&gt;""),", "&amp;E175,""))</f>
        <v/>
      </c>
      <c r="T175">
        <f>IF(R175="","",IF(COUNTIFS(R$6:R174,"&gt;0",S$6:S174,S175,N$6:N174,N175)=0,R175,""))</f>
        <v/>
      </c>
      <c r="U175">
        <f>IF(B175="","",IF(J175&lt;&gt;"",0,M175))</f>
        <v/>
      </c>
    </row>
    <row r="176">
      <c r="A176" s="1" t="n"/>
      <c r="B176" s="16" t="n">
        <v>46230</v>
      </c>
      <c r="C176" s="17" t="inlineStr">
        <is>
          <t>Harbour Books</t>
        </is>
      </c>
      <c r="D176" s="18" t="inlineStr">
        <is>
          <t>Website redesign</t>
        </is>
      </c>
      <c r="E176" s="18" t="inlineStr">
        <is>
          <t>Style guide</t>
        </is>
      </c>
      <c r="F176" s="19" t="n">
        <v>0.53125</v>
      </c>
      <c r="G176" s="19" t="n">
        <v>0.6145833333333334</v>
      </c>
      <c r="H176" s="20" t="n"/>
      <c r="I176" s="21" t="n"/>
      <c r="J176" s="22" t="n"/>
      <c r="K176" s="23" t="n"/>
      <c r="L176" s="18" t="n"/>
      <c r="M176" s="24">
        <f>IF(B176="","",IF(AND(F176&lt;&gt;"",G176&lt;&gt;""),MAX(0,ROUND(MOD(G176-F176,1)*24-N(H176)/60,2)),N(I176)))</f>
        <v/>
      </c>
      <c r="N176" s="14">
        <f>IF(B176="","",IF(K176&lt;&gt;"",K176,IF(N(IFERROR(INDEX(Projects!$D$6:$D$65,MATCH(D176,Projects!$B$6:$B$65,0)),""))&gt;0,IFERROR(INDEX(Projects!$D$6:$D$65,MATCH(D176,Projects!$B$6:$B$65,0)),""),IFERROR(INDEX(Clients!$G$6:$G$45,MATCH(C176,Clients!$B$6:$B$45,0)),0))))</f>
        <v/>
      </c>
      <c r="O176" s="14">
        <f>IF(B176="","",IF(J176&lt;&gt;"",0,ROUND(M176*N176,2)))</f>
        <v/>
      </c>
      <c r="P176" s="15">
        <f>IF(OR(B176="",J176&lt;&gt;""),"",IF(L176&lt;&gt;"",L176,IF(COUNTIFS(Invoices!$C$6:$C$305,C176,Invoices!$E$6:$E$305,"&lt;="&amp;B176,Invoices!$F$6:$F$305,"&gt;="&amp;B176)=1,INDEX(Invoices!$B$6:$B$305,SUMIFS(Invoices!$O$6:$O$305,Invoices!$C$6:$C$305,C176,Invoices!$E$6:$E$305,"&lt;="&amp;B176,Invoices!$F$6:$F$305,"&gt;="&amp;B176)),IF(COUNTIFS(Invoices!$C$6:$C$305,C176,Invoices!$E$6:$E$305,"&lt;="&amp;B176,Invoices!$F$6:$F$305,"&gt;="&amp;B176)&gt;1,"Two invoices",""))))</f>
        <v/>
      </c>
      <c r="Q176" s="15">
        <f>IF(B176="","",IF(J176&lt;&gt;"","Not billable",IF(P176="","To invoice",IF(P176="Two invoices","Check dates",IF(ISNA(MATCH(P176,Invoices!$B$6:$B$305,0)),"Check number",IF(INDEX(Invoices!$M$6:$M$305,MATCH(P176,Invoices!$B$6:$B$305,0))="Paid","Paid",IF(INDEX(Invoices!$M$6:$M$305,MATCH(P176,Invoices!$B$6:$B$305,0))="Draft","Draft","Invoiced")))))))</f>
        <v/>
      </c>
      <c r="R176" s="1">
        <f>IF(AND(B176&lt;&gt;"",P176&lt;&gt;"",P176=Invoice!$G$4),B176+MOD(N(F176),1)+ROW()/10000000,"")</f>
        <v/>
      </c>
      <c r="S176">
        <f>IF(R176="","",IF(D176="","Other work",D176)&amp;IF(AND(K176&lt;&gt;"",E176&lt;&gt;""),", "&amp;E176,""))</f>
        <v/>
      </c>
      <c r="T176">
        <f>IF(R176="","",IF(COUNTIFS(R$6:R175,"&gt;0",S$6:S175,S176,N$6:N175,N176)=0,R176,""))</f>
        <v/>
      </c>
      <c r="U176">
        <f>IF(B176="","",IF(J176&lt;&gt;"",0,M176))</f>
        <v/>
      </c>
    </row>
    <row r="177">
      <c r="A177" s="1" t="n"/>
      <c r="B177" s="16" t="n">
        <v>46231</v>
      </c>
      <c r="C177" s="17" t="inlineStr">
        <is>
          <t>Harbour Books</t>
        </is>
      </c>
      <c r="D177" s="18" t="inlineStr">
        <is>
          <t>Website redesign</t>
        </is>
      </c>
      <c r="E177" s="18" t="inlineStr">
        <is>
          <t>Client call</t>
        </is>
      </c>
      <c r="F177" s="19" t="n">
        <v>0.375</v>
      </c>
      <c r="G177" s="19" t="n">
        <v>0.4583333333333333</v>
      </c>
      <c r="H177" s="20" t="n"/>
      <c r="I177" s="21" t="n"/>
      <c r="J177" s="22" t="n"/>
      <c r="K177" s="23" t="n"/>
      <c r="L177" s="18" t="n"/>
      <c r="M177" s="24">
        <f>IF(B177="","",IF(AND(F177&lt;&gt;"",G177&lt;&gt;""),MAX(0,ROUND(MOD(G177-F177,1)*24-N(H177)/60,2)),N(I177)))</f>
        <v/>
      </c>
      <c r="N177" s="14">
        <f>IF(B177="","",IF(K177&lt;&gt;"",K177,IF(N(IFERROR(INDEX(Projects!$D$6:$D$65,MATCH(D177,Projects!$B$6:$B$65,0)),""))&gt;0,IFERROR(INDEX(Projects!$D$6:$D$65,MATCH(D177,Projects!$B$6:$B$65,0)),""),IFERROR(INDEX(Clients!$G$6:$G$45,MATCH(C177,Clients!$B$6:$B$45,0)),0))))</f>
        <v/>
      </c>
      <c r="O177" s="14">
        <f>IF(B177="","",IF(J177&lt;&gt;"",0,ROUND(M177*N177,2)))</f>
        <v/>
      </c>
      <c r="P177" s="15">
        <f>IF(OR(B177="",J177&lt;&gt;""),"",IF(L177&lt;&gt;"",L177,IF(COUNTIFS(Invoices!$C$6:$C$305,C177,Invoices!$E$6:$E$305,"&lt;="&amp;B177,Invoices!$F$6:$F$305,"&gt;="&amp;B177)=1,INDEX(Invoices!$B$6:$B$305,SUMIFS(Invoices!$O$6:$O$305,Invoices!$C$6:$C$305,C177,Invoices!$E$6:$E$305,"&lt;="&amp;B177,Invoices!$F$6:$F$305,"&gt;="&amp;B177)),IF(COUNTIFS(Invoices!$C$6:$C$305,C177,Invoices!$E$6:$E$305,"&lt;="&amp;B177,Invoices!$F$6:$F$305,"&gt;="&amp;B177)&gt;1,"Two invoices",""))))</f>
        <v/>
      </c>
      <c r="Q177" s="15">
        <f>IF(B177="","",IF(J177&lt;&gt;"","Not billable",IF(P177="","To invoice",IF(P177="Two invoices","Check dates",IF(ISNA(MATCH(P177,Invoices!$B$6:$B$305,0)),"Check number",IF(INDEX(Invoices!$M$6:$M$305,MATCH(P177,Invoices!$B$6:$B$305,0))="Paid","Paid",IF(INDEX(Invoices!$M$6:$M$305,MATCH(P177,Invoices!$B$6:$B$305,0))="Draft","Draft","Invoiced")))))))</f>
        <v/>
      </c>
      <c r="R177" s="1">
        <f>IF(AND(B177&lt;&gt;"",P177&lt;&gt;"",P177=Invoice!$G$4),B177+MOD(N(F177),1)+ROW()/10000000,"")</f>
        <v/>
      </c>
      <c r="S177">
        <f>IF(R177="","",IF(D177="","Other work",D177)&amp;IF(AND(K177&lt;&gt;"",E177&lt;&gt;""),", "&amp;E177,""))</f>
        <v/>
      </c>
      <c r="T177">
        <f>IF(R177="","",IF(COUNTIFS(R$6:R176,"&gt;0",S$6:S176,S177,N$6:N176,N177)=0,R177,""))</f>
        <v/>
      </c>
      <c r="U177">
        <f>IF(B177="","",IF(J177&lt;&gt;"",0,M177))</f>
        <v/>
      </c>
    </row>
    <row r="178">
      <c r="A178" s="1" t="n"/>
      <c r="B178" s="16" t="n">
        <v>46231</v>
      </c>
      <c r="C178" s="17" t="inlineStr">
        <is>
          <t>Greenleaf Studio</t>
        </is>
      </c>
      <c r="D178" s="18" t="inlineStr">
        <is>
          <t>Monthly social posts</t>
        </is>
      </c>
      <c r="E178" s="18" t="inlineStr">
        <is>
          <t>Post designs</t>
        </is>
      </c>
      <c r="F178" s="19" t="n">
        <v>0.46875</v>
      </c>
      <c r="G178" s="19" t="n">
        <v>0.5520833333333334</v>
      </c>
      <c r="H178" s="20" t="n"/>
      <c r="I178" s="21" t="n"/>
      <c r="J178" s="22" t="n"/>
      <c r="K178" s="23" t="n"/>
      <c r="L178" s="18" t="n"/>
      <c r="M178" s="24">
        <f>IF(B178="","",IF(AND(F178&lt;&gt;"",G178&lt;&gt;""),MAX(0,ROUND(MOD(G178-F178,1)*24-N(H178)/60,2)),N(I178)))</f>
        <v/>
      </c>
      <c r="N178" s="14">
        <f>IF(B178="","",IF(K178&lt;&gt;"",K178,IF(N(IFERROR(INDEX(Projects!$D$6:$D$65,MATCH(D178,Projects!$B$6:$B$65,0)),""))&gt;0,IFERROR(INDEX(Projects!$D$6:$D$65,MATCH(D178,Projects!$B$6:$B$65,0)),""),IFERROR(INDEX(Clients!$G$6:$G$45,MATCH(C178,Clients!$B$6:$B$45,0)),0))))</f>
        <v/>
      </c>
      <c r="O178" s="14">
        <f>IF(B178="","",IF(J178&lt;&gt;"",0,ROUND(M178*N178,2)))</f>
        <v/>
      </c>
      <c r="P178" s="15">
        <f>IF(OR(B178="",J178&lt;&gt;""),"",IF(L178&lt;&gt;"",L178,IF(COUNTIFS(Invoices!$C$6:$C$305,C178,Invoices!$E$6:$E$305,"&lt;="&amp;B178,Invoices!$F$6:$F$305,"&gt;="&amp;B178)=1,INDEX(Invoices!$B$6:$B$305,SUMIFS(Invoices!$O$6:$O$305,Invoices!$C$6:$C$305,C178,Invoices!$E$6:$E$305,"&lt;="&amp;B178,Invoices!$F$6:$F$305,"&gt;="&amp;B178)),IF(COUNTIFS(Invoices!$C$6:$C$305,C178,Invoices!$E$6:$E$305,"&lt;="&amp;B178,Invoices!$F$6:$F$305,"&gt;="&amp;B178)&gt;1,"Two invoices",""))))</f>
        <v/>
      </c>
      <c r="Q178" s="15">
        <f>IF(B178="","",IF(J178&lt;&gt;"","Not billable",IF(P178="","To invoice",IF(P178="Two invoices","Check dates",IF(ISNA(MATCH(P178,Invoices!$B$6:$B$305,0)),"Check number",IF(INDEX(Invoices!$M$6:$M$305,MATCH(P178,Invoices!$B$6:$B$305,0))="Paid","Paid",IF(INDEX(Invoices!$M$6:$M$305,MATCH(P178,Invoices!$B$6:$B$305,0))="Draft","Draft","Invoiced")))))))</f>
        <v/>
      </c>
      <c r="R178" s="1">
        <f>IF(AND(B178&lt;&gt;"",P178&lt;&gt;"",P178=Invoice!$G$4),B178+MOD(N(F178),1)+ROW()/10000000,"")</f>
        <v/>
      </c>
      <c r="S178">
        <f>IF(R178="","",IF(D178="","Other work",D178)&amp;IF(AND(K178&lt;&gt;"",E178&lt;&gt;""),", "&amp;E178,""))</f>
        <v/>
      </c>
      <c r="T178">
        <f>IF(R178="","",IF(COUNTIFS(R$6:R177,"&gt;0",S$6:S177,S178,N$6:N177,N178)=0,R178,""))</f>
        <v/>
      </c>
      <c r="U178">
        <f>IF(B178="","",IF(J178&lt;&gt;"",0,M178))</f>
        <v/>
      </c>
    </row>
    <row r="179">
      <c r="A179" s="1" t="n"/>
      <c r="B179" s="16" t="n">
        <v>46232</v>
      </c>
      <c r="C179" s="17" t="inlineStr">
        <is>
          <t>Harbour Books</t>
        </is>
      </c>
      <c r="D179" s="18" t="inlineStr">
        <is>
          <t>Website redesign</t>
        </is>
      </c>
      <c r="E179" s="18" t="inlineStr">
        <is>
          <t>Page layouts</t>
        </is>
      </c>
      <c r="F179" s="19" t="n">
        <v>0.3958333333333333</v>
      </c>
      <c r="G179" s="19" t="n">
        <v>0.4791666666666667</v>
      </c>
      <c r="H179" s="20" t="n"/>
      <c r="I179" s="21" t="n"/>
      <c r="J179" s="22" t="n"/>
      <c r="K179" s="23" t="n"/>
      <c r="L179" s="18" t="n"/>
      <c r="M179" s="24">
        <f>IF(B179="","",IF(AND(F179&lt;&gt;"",G179&lt;&gt;""),MAX(0,ROUND(MOD(G179-F179,1)*24-N(H179)/60,2)),N(I179)))</f>
        <v/>
      </c>
      <c r="N179" s="14">
        <f>IF(B179="","",IF(K179&lt;&gt;"",K179,IF(N(IFERROR(INDEX(Projects!$D$6:$D$65,MATCH(D179,Projects!$B$6:$B$65,0)),""))&gt;0,IFERROR(INDEX(Projects!$D$6:$D$65,MATCH(D179,Projects!$B$6:$B$65,0)),""),IFERROR(INDEX(Clients!$G$6:$G$45,MATCH(C179,Clients!$B$6:$B$45,0)),0))))</f>
        <v/>
      </c>
      <c r="O179" s="14">
        <f>IF(B179="","",IF(J179&lt;&gt;"",0,ROUND(M179*N179,2)))</f>
        <v/>
      </c>
      <c r="P179" s="15">
        <f>IF(OR(B179="",J179&lt;&gt;""),"",IF(L179&lt;&gt;"",L179,IF(COUNTIFS(Invoices!$C$6:$C$305,C179,Invoices!$E$6:$E$305,"&lt;="&amp;B179,Invoices!$F$6:$F$305,"&gt;="&amp;B179)=1,INDEX(Invoices!$B$6:$B$305,SUMIFS(Invoices!$O$6:$O$305,Invoices!$C$6:$C$305,C179,Invoices!$E$6:$E$305,"&lt;="&amp;B179,Invoices!$F$6:$F$305,"&gt;="&amp;B179)),IF(COUNTIFS(Invoices!$C$6:$C$305,C179,Invoices!$E$6:$E$305,"&lt;="&amp;B179,Invoices!$F$6:$F$305,"&gt;="&amp;B179)&gt;1,"Two invoices",""))))</f>
        <v/>
      </c>
      <c r="Q179" s="15">
        <f>IF(B179="","",IF(J179&lt;&gt;"","Not billable",IF(P179="","To invoice",IF(P179="Two invoices","Check dates",IF(ISNA(MATCH(P179,Invoices!$B$6:$B$305,0)),"Check number",IF(INDEX(Invoices!$M$6:$M$305,MATCH(P179,Invoices!$B$6:$B$305,0))="Paid","Paid",IF(INDEX(Invoices!$M$6:$M$305,MATCH(P179,Invoices!$B$6:$B$305,0))="Draft","Draft","Invoiced")))))))</f>
        <v/>
      </c>
      <c r="R179" s="1">
        <f>IF(AND(B179&lt;&gt;"",P179&lt;&gt;"",P179=Invoice!$G$4),B179+MOD(N(F179),1)+ROW()/10000000,"")</f>
        <v/>
      </c>
      <c r="S179">
        <f>IF(R179="","",IF(D179="","Other work",D179)&amp;IF(AND(K179&lt;&gt;"",E179&lt;&gt;""),", "&amp;E179,""))</f>
        <v/>
      </c>
      <c r="T179">
        <f>IF(R179="","",IF(COUNTIFS(R$6:R178,"&gt;0",S$6:S178,S179,N$6:N178,N179)=0,R179,""))</f>
        <v/>
      </c>
      <c r="U179">
        <f>IF(B179="","",IF(J179&lt;&gt;"",0,M179))</f>
        <v/>
      </c>
    </row>
    <row r="180">
      <c r="A180" s="1" t="n"/>
      <c r="B180" s="16" t="n">
        <v>46233</v>
      </c>
      <c r="C180" s="17" t="inlineStr">
        <is>
          <t>Harbour Books</t>
        </is>
      </c>
      <c r="D180" s="18" t="inlineStr">
        <is>
          <t>Website redesign</t>
        </is>
      </c>
      <c r="E180" s="18" t="inlineStr">
        <is>
          <t>Client call</t>
        </is>
      </c>
      <c r="F180" s="19" t="n">
        <v>0.375</v>
      </c>
      <c r="G180" s="19" t="n">
        <v>0.4166666666666667</v>
      </c>
      <c r="H180" s="20" t="n"/>
      <c r="I180" s="21" t="n"/>
      <c r="J180" s="22" t="n"/>
      <c r="K180" s="23" t="n"/>
      <c r="L180" s="18" t="n"/>
      <c r="M180" s="24">
        <f>IF(B180="","",IF(AND(F180&lt;&gt;"",G180&lt;&gt;""),MAX(0,ROUND(MOD(G180-F180,1)*24-N(H180)/60,2)),N(I180)))</f>
        <v/>
      </c>
      <c r="N180" s="14">
        <f>IF(B180="","",IF(K180&lt;&gt;"",K180,IF(N(IFERROR(INDEX(Projects!$D$6:$D$65,MATCH(D180,Projects!$B$6:$B$65,0)),""))&gt;0,IFERROR(INDEX(Projects!$D$6:$D$65,MATCH(D180,Projects!$B$6:$B$65,0)),""),IFERROR(INDEX(Clients!$G$6:$G$45,MATCH(C180,Clients!$B$6:$B$45,0)),0))))</f>
        <v/>
      </c>
      <c r="O180" s="14">
        <f>IF(B180="","",IF(J180&lt;&gt;"",0,ROUND(M180*N180,2)))</f>
        <v/>
      </c>
      <c r="P180" s="15">
        <f>IF(OR(B180="",J180&lt;&gt;""),"",IF(L180&lt;&gt;"",L180,IF(COUNTIFS(Invoices!$C$6:$C$305,C180,Invoices!$E$6:$E$305,"&lt;="&amp;B180,Invoices!$F$6:$F$305,"&gt;="&amp;B180)=1,INDEX(Invoices!$B$6:$B$305,SUMIFS(Invoices!$O$6:$O$305,Invoices!$C$6:$C$305,C180,Invoices!$E$6:$E$305,"&lt;="&amp;B180,Invoices!$F$6:$F$305,"&gt;="&amp;B180)),IF(COUNTIFS(Invoices!$C$6:$C$305,C180,Invoices!$E$6:$E$305,"&lt;="&amp;B180,Invoices!$F$6:$F$305,"&gt;="&amp;B180)&gt;1,"Two invoices",""))))</f>
        <v/>
      </c>
      <c r="Q180" s="15">
        <f>IF(B180="","",IF(J180&lt;&gt;"","Not billable",IF(P180="","To invoice",IF(P180="Two invoices","Check dates",IF(ISNA(MATCH(P180,Invoices!$B$6:$B$305,0)),"Check number",IF(INDEX(Invoices!$M$6:$M$305,MATCH(P180,Invoices!$B$6:$B$305,0))="Paid","Paid",IF(INDEX(Invoices!$M$6:$M$305,MATCH(P180,Invoices!$B$6:$B$305,0))="Draft","Draft","Invoiced")))))))</f>
        <v/>
      </c>
      <c r="R180" s="1">
        <f>IF(AND(B180&lt;&gt;"",P180&lt;&gt;"",P180=Invoice!$G$4),B180+MOD(N(F180),1)+ROW()/10000000,"")</f>
        <v/>
      </c>
      <c r="S180">
        <f>IF(R180="","",IF(D180="","Other work",D180)&amp;IF(AND(K180&lt;&gt;"",E180&lt;&gt;""),", "&amp;E180,""))</f>
        <v/>
      </c>
      <c r="T180">
        <f>IF(R180="","",IF(COUNTIFS(R$6:R179,"&gt;0",S$6:S179,S180,N$6:N179,N180)=0,R180,""))</f>
        <v/>
      </c>
      <c r="U180">
        <f>IF(B180="","",IF(J180&lt;&gt;"",0,M180))</f>
        <v/>
      </c>
    </row>
    <row r="181">
      <c r="A181" s="1" t="n"/>
      <c r="B181" s="16" t="n">
        <v>46233</v>
      </c>
      <c r="C181" s="17" t="inlineStr">
        <is>
          <t>Greenleaf Studio</t>
        </is>
      </c>
      <c r="D181" s="18" t="inlineStr">
        <is>
          <t>Monthly social posts</t>
        </is>
      </c>
      <c r="E181" s="18" t="inlineStr">
        <is>
          <t>Monthly report</t>
        </is>
      </c>
      <c r="F181" s="19" t="n">
        <v>0.4479166666666667</v>
      </c>
      <c r="G181" s="19" t="n">
        <v>0.53125</v>
      </c>
      <c r="H181" s="20" t="n"/>
      <c r="I181" s="21" t="n"/>
      <c r="J181" s="22" t="n"/>
      <c r="K181" s="23" t="n"/>
      <c r="L181" s="18" t="n"/>
      <c r="M181" s="24">
        <f>IF(B181="","",IF(AND(F181&lt;&gt;"",G181&lt;&gt;""),MAX(0,ROUND(MOD(G181-F181,1)*24-N(H181)/60,2)),N(I181)))</f>
        <v/>
      </c>
      <c r="N181" s="14">
        <f>IF(B181="","",IF(K181&lt;&gt;"",K181,IF(N(IFERROR(INDEX(Projects!$D$6:$D$65,MATCH(D181,Projects!$B$6:$B$65,0)),""))&gt;0,IFERROR(INDEX(Projects!$D$6:$D$65,MATCH(D181,Projects!$B$6:$B$65,0)),""),IFERROR(INDEX(Clients!$G$6:$G$45,MATCH(C181,Clients!$B$6:$B$45,0)),0))))</f>
        <v/>
      </c>
      <c r="O181" s="14">
        <f>IF(B181="","",IF(J181&lt;&gt;"",0,ROUND(M181*N181,2)))</f>
        <v/>
      </c>
      <c r="P181" s="15">
        <f>IF(OR(B181="",J181&lt;&gt;""),"",IF(L181&lt;&gt;"",L181,IF(COUNTIFS(Invoices!$C$6:$C$305,C181,Invoices!$E$6:$E$305,"&lt;="&amp;B181,Invoices!$F$6:$F$305,"&gt;="&amp;B181)=1,INDEX(Invoices!$B$6:$B$305,SUMIFS(Invoices!$O$6:$O$305,Invoices!$C$6:$C$305,C181,Invoices!$E$6:$E$305,"&lt;="&amp;B181,Invoices!$F$6:$F$305,"&gt;="&amp;B181)),IF(COUNTIFS(Invoices!$C$6:$C$305,C181,Invoices!$E$6:$E$305,"&lt;="&amp;B181,Invoices!$F$6:$F$305,"&gt;="&amp;B181)&gt;1,"Two invoices",""))))</f>
        <v/>
      </c>
      <c r="Q181" s="15">
        <f>IF(B181="","",IF(J181&lt;&gt;"","Not billable",IF(P181="","To invoice",IF(P181="Two invoices","Check dates",IF(ISNA(MATCH(P181,Invoices!$B$6:$B$305,0)),"Check number",IF(INDEX(Invoices!$M$6:$M$305,MATCH(P181,Invoices!$B$6:$B$305,0))="Paid","Paid",IF(INDEX(Invoices!$M$6:$M$305,MATCH(P181,Invoices!$B$6:$B$305,0))="Draft","Draft","Invoiced")))))))</f>
        <v/>
      </c>
      <c r="R181" s="1">
        <f>IF(AND(B181&lt;&gt;"",P181&lt;&gt;"",P181=Invoice!$G$4),B181+MOD(N(F181),1)+ROW()/10000000,"")</f>
        <v/>
      </c>
      <c r="S181">
        <f>IF(R181="","",IF(D181="","Other work",D181)&amp;IF(AND(K181&lt;&gt;"",E181&lt;&gt;""),", "&amp;E181,""))</f>
        <v/>
      </c>
      <c r="T181">
        <f>IF(R181="","",IF(COUNTIFS(R$6:R180,"&gt;0",S$6:S180,S181,N$6:N180,N181)=0,R181,""))</f>
        <v/>
      </c>
      <c r="U181">
        <f>IF(B181="","",IF(J181&lt;&gt;"",0,M181))</f>
        <v/>
      </c>
    </row>
    <row r="182">
      <c r="A182" s="1" t="n"/>
      <c r="B182" s="16" t="n">
        <v>46234</v>
      </c>
      <c r="C182" s="17" t="inlineStr">
        <is>
          <t>Greenleaf Studio</t>
        </is>
      </c>
      <c r="D182" s="18" t="inlineStr">
        <is>
          <t>Monthly social posts</t>
        </is>
      </c>
      <c r="E182" s="18" t="inlineStr">
        <is>
          <t>Post designs</t>
        </is>
      </c>
      <c r="F182" s="19" t="n"/>
      <c r="G182" s="19" t="n"/>
      <c r="H182" s="20" t="n"/>
      <c r="I182" s="21" t="n">
        <v>3.5</v>
      </c>
      <c r="J182" s="22" t="n"/>
      <c r="K182" s="23" t="n"/>
      <c r="L182" s="18" t="n"/>
      <c r="M182" s="24">
        <f>IF(B182="","",IF(AND(F182&lt;&gt;"",G182&lt;&gt;""),MAX(0,ROUND(MOD(G182-F182,1)*24-N(H182)/60,2)),N(I182)))</f>
        <v/>
      </c>
      <c r="N182" s="14">
        <f>IF(B182="","",IF(K182&lt;&gt;"",K182,IF(N(IFERROR(INDEX(Projects!$D$6:$D$65,MATCH(D182,Projects!$B$6:$B$65,0)),""))&gt;0,IFERROR(INDEX(Projects!$D$6:$D$65,MATCH(D182,Projects!$B$6:$B$65,0)),""),IFERROR(INDEX(Clients!$G$6:$G$45,MATCH(C182,Clients!$B$6:$B$45,0)),0))))</f>
        <v/>
      </c>
      <c r="O182" s="14">
        <f>IF(B182="","",IF(J182&lt;&gt;"",0,ROUND(M182*N182,2)))</f>
        <v/>
      </c>
      <c r="P182" s="15">
        <f>IF(OR(B182="",J182&lt;&gt;""),"",IF(L182&lt;&gt;"",L182,IF(COUNTIFS(Invoices!$C$6:$C$305,C182,Invoices!$E$6:$E$305,"&lt;="&amp;B182,Invoices!$F$6:$F$305,"&gt;="&amp;B182)=1,INDEX(Invoices!$B$6:$B$305,SUMIFS(Invoices!$O$6:$O$305,Invoices!$C$6:$C$305,C182,Invoices!$E$6:$E$305,"&lt;="&amp;B182,Invoices!$F$6:$F$305,"&gt;="&amp;B182)),IF(COUNTIFS(Invoices!$C$6:$C$305,C182,Invoices!$E$6:$E$305,"&lt;="&amp;B182,Invoices!$F$6:$F$305,"&gt;="&amp;B182)&gt;1,"Two invoices",""))))</f>
        <v/>
      </c>
      <c r="Q182" s="15">
        <f>IF(B182="","",IF(J182&lt;&gt;"","Not billable",IF(P182="","To invoice",IF(P182="Two invoices","Check dates",IF(ISNA(MATCH(P182,Invoices!$B$6:$B$305,0)),"Check number",IF(INDEX(Invoices!$M$6:$M$305,MATCH(P182,Invoices!$B$6:$B$305,0))="Paid","Paid",IF(INDEX(Invoices!$M$6:$M$305,MATCH(P182,Invoices!$B$6:$B$305,0))="Draft","Draft","Invoiced")))))))</f>
        <v/>
      </c>
      <c r="R182" s="1">
        <f>IF(AND(B182&lt;&gt;"",P182&lt;&gt;"",P182=Invoice!$G$4),B182+MOD(N(F182),1)+ROW()/10000000,"")</f>
        <v/>
      </c>
      <c r="S182">
        <f>IF(R182="","",IF(D182="","Other work",D182)&amp;IF(AND(K182&lt;&gt;"",E182&lt;&gt;""),", "&amp;E182,""))</f>
        <v/>
      </c>
      <c r="T182">
        <f>IF(R182="","",IF(COUNTIFS(R$6:R181,"&gt;0",S$6:S181,S182,N$6:N181,N182)=0,R182,""))</f>
        <v/>
      </c>
      <c r="U182">
        <f>IF(B182="","",IF(J182&lt;&gt;"",0,M182))</f>
        <v/>
      </c>
    </row>
    <row r="183">
      <c r="A183" s="1" t="n"/>
      <c r="B183" s="16" t="n">
        <v>46234</v>
      </c>
      <c r="C183" s="17" t="inlineStr">
        <is>
          <t>Harbour Books</t>
        </is>
      </c>
      <c r="D183" s="18" t="inlineStr">
        <is>
          <t>Website redesign</t>
        </is>
      </c>
      <c r="E183" s="18" t="inlineStr">
        <is>
          <t>Revisions after feedback</t>
        </is>
      </c>
      <c r="F183" s="19" t="n">
        <v>0.3958333333333333</v>
      </c>
      <c r="G183" s="19" t="n">
        <v>0.4791666666666667</v>
      </c>
      <c r="H183" s="20" t="n"/>
      <c r="I183" s="21" t="n"/>
      <c r="J183" s="22" t="n"/>
      <c r="K183" s="23" t="n"/>
      <c r="L183" s="18" t="n"/>
      <c r="M183" s="24">
        <f>IF(B183="","",IF(AND(F183&lt;&gt;"",G183&lt;&gt;""),MAX(0,ROUND(MOD(G183-F183,1)*24-N(H183)/60,2)),N(I183)))</f>
        <v/>
      </c>
      <c r="N183" s="14">
        <f>IF(B183="","",IF(K183&lt;&gt;"",K183,IF(N(IFERROR(INDEX(Projects!$D$6:$D$65,MATCH(D183,Projects!$B$6:$B$65,0)),""))&gt;0,IFERROR(INDEX(Projects!$D$6:$D$65,MATCH(D183,Projects!$B$6:$B$65,0)),""),IFERROR(INDEX(Clients!$G$6:$G$45,MATCH(C183,Clients!$B$6:$B$45,0)),0))))</f>
        <v/>
      </c>
      <c r="O183" s="14">
        <f>IF(B183="","",IF(J183&lt;&gt;"",0,ROUND(M183*N183,2)))</f>
        <v/>
      </c>
      <c r="P183" s="15">
        <f>IF(OR(B183="",J183&lt;&gt;""),"",IF(L183&lt;&gt;"",L183,IF(COUNTIFS(Invoices!$C$6:$C$305,C183,Invoices!$E$6:$E$305,"&lt;="&amp;B183,Invoices!$F$6:$F$305,"&gt;="&amp;B183)=1,INDEX(Invoices!$B$6:$B$305,SUMIFS(Invoices!$O$6:$O$305,Invoices!$C$6:$C$305,C183,Invoices!$E$6:$E$305,"&lt;="&amp;B183,Invoices!$F$6:$F$305,"&gt;="&amp;B183)),IF(COUNTIFS(Invoices!$C$6:$C$305,C183,Invoices!$E$6:$E$305,"&lt;="&amp;B183,Invoices!$F$6:$F$305,"&gt;="&amp;B183)&gt;1,"Two invoices",""))))</f>
        <v/>
      </c>
      <c r="Q183" s="15">
        <f>IF(B183="","",IF(J183&lt;&gt;"","Not billable",IF(P183="","To invoice",IF(P183="Two invoices","Check dates",IF(ISNA(MATCH(P183,Invoices!$B$6:$B$305,0)),"Check number",IF(INDEX(Invoices!$M$6:$M$305,MATCH(P183,Invoices!$B$6:$B$305,0))="Paid","Paid",IF(INDEX(Invoices!$M$6:$M$305,MATCH(P183,Invoices!$B$6:$B$305,0))="Draft","Draft","Invoiced")))))))</f>
        <v/>
      </c>
      <c r="R183" s="1">
        <f>IF(AND(B183&lt;&gt;"",P183&lt;&gt;"",P183=Invoice!$G$4),B183+MOD(N(F183),1)+ROW()/10000000,"")</f>
        <v/>
      </c>
      <c r="S183">
        <f>IF(R183="","",IF(D183="","Other work",D183)&amp;IF(AND(K183&lt;&gt;"",E183&lt;&gt;""),", "&amp;E183,""))</f>
        <v/>
      </c>
      <c r="T183">
        <f>IF(R183="","",IF(COUNTIFS(R$6:R182,"&gt;0",S$6:S182,S183,N$6:N182,N183)=0,R183,""))</f>
        <v/>
      </c>
      <c r="U183">
        <f>IF(B183="","",IF(J183&lt;&gt;"",0,M183))</f>
        <v/>
      </c>
    </row>
    <row r="184">
      <c r="A184" s="1" t="n"/>
      <c r="B184" s="16" t="n">
        <v>46234</v>
      </c>
      <c r="C184" s="17" t="inlineStr">
        <is>
          <t>Harbour Books</t>
        </is>
      </c>
      <c r="D184" s="18" t="inlineStr">
        <is>
          <t>Website redesign</t>
        </is>
      </c>
      <c r="E184" s="18" t="inlineStr">
        <is>
          <t>Client call</t>
        </is>
      </c>
      <c r="F184" s="19" t="n">
        <v>0.5104166666666666</v>
      </c>
      <c r="G184" s="19" t="n">
        <v>0.6145833333333334</v>
      </c>
      <c r="H184" s="20" t="n"/>
      <c r="I184" s="21" t="n"/>
      <c r="J184" s="22" t="n"/>
      <c r="K184" s="23" t="n"/>
      <c r="L184" s="18" t="n"/>
      <c r="M184" s="24">
        <f>IF(B184="","",IF(AND(F184&lt;&gt;"",G184&lt;&gt;""),MAX(0,ROUND(MOD(G184-F184,1)*24-N(H184)/60,2)),N(I184)))</f>
        <v/>
      </c>
      <c r="N184" s="14">
        <f>IF(B184="","",IF(K184&lt;&gt;"",K184,IF(N(IFERROR(INDEX(Projects!$D$6:$D$65,MATCH(D184,Projects!$B$6:$B$65,0)),""))&gt;0,IFERROR(INDEX(Projects!$D$6:$D$65,MATCH(D184,Projects!$B$6:$B$65,0)),""),IFERROR(INDEX(Clients!$G$6:$G$45,MATCH(C184,Clients!$B$6:$B$45,0)),0))))</f>
        <v/>
      </c>
      <c r="O184" s="14">
        <f>IF(B184="","",IF(J184&lt;&gt;"",0,ROUND(M184*N184,2)))</f>
        <v/>
      </c>
      <c r="P184" s="15">
        <f>IF(OR(B184="",J184&lt;&gt;""),"",IF(L184&lt;&gt;"",L184,IF(COUNTIFS(Invoices!$C$6:$C$305,C184,Invoices!$E$6:$E$305,"&lt;="&amp;B184,Invoices!$F$6:$F$305,"&gt;="&amp;B184)=1,INDEX(Invoices!$B$6:$B$305,SUMIFS(Invoices!$O$6:$O$305,Invoices!$C$6:$C$305,C184,Invoices!$E$6:$E$305,"&lt;="&amp;B184,Invoices!$F$6:$F$305,"&gt;="&amp;B184)),IF(COUNTIFS(Invoices!$C$6:$C$305,C184,Invoices!$E$6:$E$305,"&lt;="&amp;B184,Invoices!$F$6:$F$305,"&gt;="&amp;B184)&gt;1,"Two invoices",""))))</f>
        <v/>
      </c>
      <c r="Q184" s="15">
        <f>IF(B184="","",IF(J184&lt;&gt;"","Not billable",IF(P184="","To invoice",IF(P184="Two invoices","Check dates",IF(ISNA(MATCH(P184,Invoices!$B$6:$B$305,0)),"Check number",IF(INDEX(Invoices!$M$6:$M$305,MATCH(P184,Invoices!$B$6:$B$305,0))="Paid","Paid",IF(INDEX(Invoices!$M$6:$M$305,MATCH(P184,Invoices!$B$6:$B$305,0))="Draft","Draft","Invoiced")))))))</f>
        <v/>
      </c>
      <c r="R184" s="1">
        <f>IF(AND(B184&lt;&gt;"",P184&lt;&gt;"",P184=Invoice!$G$4),B184+MOD(N(F184),1)+ROW()/10000000,"")</f>
        <v/>
      </c>
      <c r="S184">
        <f>IF(R184="","",IF(D184="","Other work",D184)&amp;IF(AND(K184&lt;&gt;"",E184&lt;&gt;""),", "&amp;E184,""))</f>
        <v/>
      </c>
      <c r="T184">
        <f>IF(R184="","",IF(COUNTIFS(R$6:R183,"&gt;0",S$6:S183,S184,N$6:N183,N184)=0,R184,""))</f>
        <v/>
      </c>
      <c r="U184">
        <f>IF(B184="","",IF(J184&lt;&gt;"",0,M184))</f>
        <v/>
      </c>
    </row>
    <row r="185">
      <c r="A185" s="1" t="n"/>
      <c r="B185" s="16" t="n">
        <v>46237</v>
      </c>
      <c r="C185" s="17" t="inlineStr">
        <is>
          <t>Harbour Books</t>
        </is>
      </c>
      <c r="D185" s="18" t="inlineStr">
        <is>
          <t>Website redesign</t>
        </is>
      </c>
      <c r="E185" s="18" t="inlineStr">
        <is>
          <t>Style guide</t>
        </is>
      </c>
      <c r="F185" s="19" t="n"/>
      <c r="G185" s="19" t="n"/>
      <c r="H185" s="20" t="n"/>
      <c r="I185" s="21" t="n">
        <v>3</v>
      </c>
      <c r="J185" s="22" t="n"/>
      <c r="K185" s="23" t="n"/>
      <c r="L185" s="18" t="n"/>
      <c r="M185" s="24">
        <f>IF(B185="","",IF(AND(F185&lt;&gt;"",G185&lt;&gt;""),MAX(0,ROUND(MOD(G185-F185,1)*24-N(H185)/60,2)),N(I185)))</f>
        <v/>
      </c>
      <c r="N185" s="14">
        <f>IF(B185="","",IF(K185&lt;&gt;"",K185,IF(N(IFERROR(INDEX(Projects!$D$6:$D$65,MATCH(D185,Projects!$B$6:$B$65,0)),""))&gt;0,IFERROR(INDEX(Projects!$D$6:$D$65,MATCH(D185,Projects!$B$6:$B$65,0)),""),IFERROR(INDEX(Clients!$G$6:$G$45,MATCH(C185,Clients!$B$6:$B$45,0)),0))))</f>
        <v/>
      </c>
      <c r="O185" s="14">
        <f>IF(B185="","",IF(J185&lt;&gt;"",0,ROUND(M185*N185,2)))</f>
        <v/>
      </c>
      <c r="P185" s="15">
        <f>IF(OR(B185="",J185&lt;&gt;""),"",IF(L185&lt;&gt;"",L185,IF(COUNTIFS(Invoices!$C$6:$C$305,C185,Invoices!$E$6:$E$305,"&lt;="&amp;B185,Invoices!$F$6:$F$305,"&gt;="&amp;B185)=1,INDEX(Invoices!$B$6:$B$305,SUMIFS(Invoices!$O$6:$O$305,Invoices!$C$6:$C$305,C185,Invoices!$E$6:$E$305,"&lt;="&amp;B185,Invoices!$F$6:$F$305,"&gt;="&amp;B185)),IF(COUNTIFS(Invoices!$C$6:$C$305,C185,Invoices!$E$6:$E$305,"&lt;="&amp;B185,Invoices!$F$6:$F$305,"&gt;="&amp;B185)&gt;1,"Two invoices",""))))</f>
        <v/>
      </c>
      <c r="Q185" s="15">
        <f>IF(B185="","",IF(J185&lt;&gt;"","Not billable",IF(P185="","To invoice",IF(P185="Two invoices","Check dates",IF(ISNA(MATCH(P185,Invoices!$B$6:$B$305,0)),"Check number",IF(INDEX(Invoices!$M$6:$M$305,MATCH(P185,Invoices!$B$6:$B$305,0))="Paid","Paid",IF(INDEX(Invoices!$M$6:$M$305,MATCH(P185,Invoices!$B$6:$B$305,0))="Draft","Draft","Invoiced")))))))</f>
        <v/>
      </c>
      <c r="R185" s="1">
        <f>IF(AND(B185&lt;&gt;"",P185&lt;&gt;"",P185=Invoice!$G$4),B185+MOD(N(F185),1)+ROW()/10000000,"")</f>
        <v/>
      </c>
      <c r="S185">
        <f>IF(R185="","",IF(D185="","Other work",D185)&amp;IF(AND(K185&lt;&gt;"",E185&lt;&gt;""),", "&amp;E185,""))</f>
        <v/>
      </c>
      <c r="T185">
        <f>IF(R185="","",IF(COUNTIFS(R$6:R184,"&gt;0",S$6:S184,S185,N$6:N184,N185)=0,R185,""))</f>
        <v/>
      </c>
      <c r="U185">
        <f>IF(B185="","",IF(J185&lt;&gt;"",0,M185))</f>
        <v/>
      </c>
    </row>
    <row r="186">
      <c r="A186" s="1" t="n"/>
      <c r="B186" s="16" t="n">
        <v>46237</v>
      </c>
      <c r="C186" s="17" t="inlineStr">
        <is>
          <t>Harbour Books</t>
        </is>
      </c>
      <c r="D186" s="18" t="inlineStr">
        <is>
          <t>Book launch posters</t>
        </is>
      </c>
      <c r="E186" s="18" t="inlineStr">
        <is>
          <t>Print files</t>
        </is>
      </c>
      <c r="F186" s="19" t="n">
        <v>0.375</v>
      </c>
      <c r="G186" s="19" t="n">
        <v>0.5208333333333334</v>
      </c>
      <c r="H186" s="20" t="n"/>
      <c r="I186" s="21" t="n"/>
      <c r="J186" s="22" t="n"/>
      <c r="K186" s="23" t="n"/>
      <c r="L186" s="18" t="n"/>
      <c r="M186" s="24">
        <f>IF(B186="","",IF(AND(F186&lt;&gt;"",G186&lt;&gt;""),MAX(0,ROUND(MOD(G186-F186,1)*24-N(H186)/60,2)),N(I186)))</f>
        <v/>
      </c>
      <c r="N186" s="14">
        <f>IF(B186="","",IF(K186&lt;&gt;"",K186,IF(N(IFERROR(INDEX(Projects!$D$6:$D$65,MATCH(D186,Projects!$B$6:$B$65,0)),""))&gt;0,IFERROR(INDEX(Projects!$D$6:$D$65,MATCH(D186,Projects!$B$6:$B$65,0)),""),IFERROR(INDEX(Clients!$G$6:$G$45,MATCH(C186,Clients!$B$6:$B$45,0)),0))))</f>
        <v/>
      </c>
      <c r="O186" s="14">
        <f>IF(B186="","",IF(J186&lt;&gt;"",0,ROUND(M186*N186,2)))</f>
        <v/>
      </c>
      <c r="P186" s="15">
        <f>IF(OR(B186="",J186&lt;&gt;""),"",IF(L186&lt;&gt;"",L186,IF(COUNTIFS(Invoices!$C$6:$C$305,C186,Invoices!$E$6:$E$305,"&lt;="&amp;B186,Invoices!$F$6:$F$305,"&gt;="&amp;B186)=1,INDEX(Invoices!$B$6:$B$305,SUMIFS(Invoices!$O$6:$O$305,Invoices!$C$6:$C$305,C186,Invoices!$E$6:$E$305,"&lt;="&amp;B186,Invoices!$F$6:$F$305,"&gt;="&amp;B186)),IF(COUNTIFS(Invoices!$C$6:$C$305,C186,Invoices!$E$6:$E$305,"&lt;="&amp;B186,Invoices!$F$6:$F$305,"&gt;="&amp;B186)&gt;1,"Two invoices",""))))</f>
        <v/>
      </c>
      <c r="Q186" s="15">
        <f>IF(B186="","",IF(J186&lt;&gt;"","Not billable",IF(P186="","To invoice",IF(P186="Two invoices","Check dates",IF(ISNA(MATCH(P186,Invoices!$B$6:$B$305,0)),"Check number",IF(INDEX(Invoices!$M$6:$M$305,MATCH(P186,Invoices!$B$6:$B$305,0))="Paid","Paid",IF(INDEX(Invoices!$M$6:$M$305,MATCH(P186,Invoices!$B$6:$B$305,0))="Draft","Draft","Invoiced")))))))</f>
        <v/>
      </c>
      <c r="R186" s="1">
        <f>IF(AND(B186&lt;&gt;"",P186&lt;&gt;"",P186=Invoice!$G$4),B186+MOD(N(F186),1)+ROW()/10000000,"")</f>
        <v/>
      </c>
      <c r="S186">
        <f>IF(R186="","",IF(D186="","Other work",D186)&amp;IF(AND(K186&lt;&gt;"",E186&lt;&gt;""),", "&amp;E186,""))</f>
        <v/>
      </c>
      <c r="T186">
        <f>IF(R186="","",IF(COUNTIFS(R$6:R185,"&gt;0",S$6:S185,S186,N$6:N185,N186)=0,R186,""))</f>
        <v/>
      </c>
      <c r="U186">
        <f>IF(B186="","",IF(J186&lt;&gt;"",0,M186))</f>
        <v/>
      </c>
    </row>
    <row r="187">
      <c r="A187" s="1" t="n"/>
      <c r="B187" s="16" t="n">
        <v>46238</v>
      </c>
      <c r="C187" s="17" t="inlineStr">
        <is>
          <t>Harbour Books</t>
        </is>
      </c>
      <c r="D187" s="18" t="inlineStr">
        <is>
          <t>Website redesign</t>
        </is>
      </c>
      <c r="E187" s="18" t="inlineStr">
        <is>
          <t>Revisions after feedback</t>
        </is>
      </c>
      <c r="F187" s="19" t="n"/>
      <c r="G187" s="19" t="n"/>
      <c r="H187" s="20" t="n"/>
      <c r="I187" s="21" t="n">
        <v>1</v>
      </c>
      <c r="J187" s="22" t="n"/>
      <c r="K187" s="23" t="n"/>
      <c r="L187" s="18" t="n"/>
      <c r="M187" s="24">
        <f>IF(B187="","",IF(AND(F187&lt;&gt;"",G187&lt;&gt;""),MAX(0,ROUND(MOD(G187-F187,1)*24-N(H187)/60,2)),N(I187)))</f>
        <v/>
      </c>
      <c r="N187" s="14">
        <f>IF(B187="","",IF(K187&lt;&gt;"",K187,IF(N(IFERROR(INDEX(Projects!$D$6:$D$65,MATCH(D187,Projects!$B$6:$B$65,0)),""))&gt;0,IFERROR(INDEX(Projects!$D$6:$D$65,MATCH(D187,Projects!$B$6:$B$65,0)),""),IFERROR(INDEX(Clients!$G$6:$G$45,MATCH(C187,Clients!$B$6:$B$45,0)),0))))</f>
        <v/>
      </c>
      <c r="O187" s="14">
        <f>IF(B187="","",IF(J187&lt;&gt;"",0,ROUND(M187*N187,2)))</f>
        <v/>
      </c>
      <c r="P187" s="15">
        <f>IF(OR(B187="",J187&lt;&gt;""),"",IF(L187&lt;&gt;"",L187,IF(COUNTIFS(Invoices!$C$6:$C$305,C187,Invoices!$E$6:$E$305,"&lt;="&amp;B187,Invoices!$F$6:$F$305,"&gt;="&amp;B187)=1,INDEX(Invoices!$B$6:$B$305,SUMIFS(Invoices!$O$6:$O$305,Invoices!$C$6:$C$305,C187,Invoices!$E$6:$E$305,"&lt;="&amp;B187,Invoices!$F$6:$F$305,"&gt;="&amp;B187)),IF(COUNTIFS(Invoices!$C$6:$C$305,C187,Invoices!$E$6:$E$305,"&lt;="&amp;B187,Invoices!$F$6:$F$305,"&gt;="&amp;B187)&gt;1,"Two invoices",""))))</f>
        <v/>
      </c>
      <c r="Q187" s="15">
        <f>IF(B187="","",IF(J187&lt;&gt;"","Not billable",IF(P187="","To invoice",IF(P187="Two invoices","Check dates",IF(ISNA(MATCH(P187,Invoices!$B$6:$B$305,0)),"Check number",IF(INDEX(Invoices!$M$6:$M$305,MATCH(P187,Invoices!$B$6:$B$305,0))="Paid","Paid",IF(INDEX(Invoices!$M$6:$M$305,MATCH(P187,Invoices!$B$6:$B$305,0))="Draft","Draft","Invoiced")))))))</f>
        <v/>
      </c>
      <c r="R187" s="1">
        <f>IF(AND(B187&lt;&gt;"",P187&lt;&gt;"",P187=Invoice!$G$4),B187+MOD(N(F187),1)+ROW()/10000000,"")</f>
        <v/>
      </c>
      <c r="S187">
        <f>IF(R187="","",IF(D187="","Other work",D187)&amp;IF(AND(K187&lt;&gt;"",E187&lt;&gt;""),", "&amp;E187,""))</f>
        <v/>
      </c>
      <c r="T187">
        <f>IF(R187="","",IF(COUNTIFS(R$6:R186,"&gt;0",S$6:S186,S187,N$6:N186,N187)=0,R187,""))</f>
        <v/>
      </c>
      <c r="U187">
        <f>IF(B187="","",IF(J187&lt;&gt;"",0,M187))</f>
        <v/>
      </c>
    </row>
    <row r="188">
      <c r="A188" s="1" t="n"/>
      <c r="B188" s="16" t="n">
        <v>46239</v>
      </c>
      <c r="C188" s="17" t="inlineStr">
        <is>
          <t>Harbour Books</t>
        </is>
      </c>
      <c r="D188" s="18" t="inlineStr">
        <is>
          <t>Website redesign</t>
        </is>
      </c>
      <c r="E188" s="18" t="inlineStr">
        <is>
          <t>Home page design</t>
        </is>
      </c>
      <c r="F188" s="19" t="n">
        <v>0.375</v>
      </c>
      <c r="G188" s="19" t="n">
        <v>0.4166666666666667</v>
      </c>
      <c r="H188" s="20" t="n"/>
      <c r="I188" s="21" t="n"/>
      <c r="J188" s="22" t="n"/>
      <c r="K188" s="23" t="n"/>
      <c r="L188" s="18" t="n"/>
      <c r="M188" s="24">
        <f>IF(B188="","",IF(AND(F188&lt;&gt;"",G188&lt;&gt;""),MAX(0,ROUND(MOD(G188-F188,1)*24-N(H188)/60,2)),N(I188)))</f>
        <v/>
      </c>
      <c r="N188" s="14">
        <f>IF(B188="","",IF(K188&lt;&gt;"",K188,IF(N(IFERROR(INDEX(Projects!$D$6:$D$65,MATCH(D188,Projects!$B$6:$B$65,0)),""))&gt;0,IFERROR(INDEX(Projects!$D$6:$D$65,MATCH(D188,Projects!$B$6:$B$65,0)),""),IFERROR(INDEX(Clients!$G$6:$G$45,MATCH(C188,Clients!$B$6:$B$45,0)),0))))</f>
        <v/>
      </c>
      <c r="O188" s="14">
        <f>IF(B188="","",IF(J188&lt;&gt;"",0,ROUND(M188*N188,2)))</f>
        <v/>
      </c>
      <c r="P188" s="15">
        <f>IF(OR(B188="",J188&lt;&gt;""),"",IF(L188&lt;&gt;"",L188,IF(COUNTIFS(Invoices!$C$6:$C$305,C188,Invoices!$E$6:$E$305,"&lt;="&amp;B188,Invoices!$F$6:$F$305,"&gt;="&amp;B188)=1,INDEX(Invoices!$B$6:$B$305,SUMIFS(Invoices!$O$6:$O$305,Invoices!$C$6:$C$305,C188,Invoices!$E$6:$E$305,"&lt;="&amp;B188,Invoices!$F$6:$F$305,"&gt;="&amp;B188)),IF(COUNTIFS(Invoices!$C$6:$C$305,C188,Invoices!$E$6:$E$305,"&lt;="&amp;B188,Invoices!$F$6:$F$305,"&gt;="&amp;B188)&gt;1,"Two invoices",""))))</f>
        <v/>
      </c>
      <c r="Q188" s="15">
        <f>IF(B188="","",IF(J188&lt;&gt;"","Not billable",IF(P188="","To invoice",IF(P188="Two invoices","Check dates",IF(ISNA(MATCH(P188,Invoices!$B$6:$B$305,0)),"Check number",IF(INDEX(Invoices!$M$6:$M$305,MATCH(P188,Invoices!$B$6:$B$305,0))="Paid","Paid",IF(INDEX(Invoices!$M$6:$M$305,MATCH(P188,Invoices!$B$6:$B$305,0))="Draft","Draft","Invoiced")))))))</f>
        <v/>
      </c>
      <c r="R188" s="1">
        <f>IF(AND(B188&lt;&gt;"",P188&lt;&gt;"",P188=Invoice!$G$4),B188+MOD(N(F188),1)+ROW()/10000000,"")</f>
        <v/>
      </c>
      <c r="S188">
        <f>IF(R188="","",IF(D188="","Other work",D188)&amp;IF(AND(K188&lt;&gt;"",E188&lt;&gt;""),", "&amp;E188,""))</f>
        <v/>
      </c>
      <c r="T188">
        <f>IF(R188="","",IF(COUNTIFS(R$6:R187,"&gt;0",S$6:S187,S188,N$6:N187,N188)=0,R188,""))</f>
        <v/>
      </c>
      <c r="U188">
        <f>IF(B188="","",IF(J188&lt;&gt;"",0,M188))</f>
        <v/>
      </c>
    </row>
    <row r="189">
      <c r="A189" s="1" t="n"/>
      <c r="B189" s="16" t="n">
        <v>46239</v>
      </c>
      <c r="C189" s="17" t="inlineStr">
        <is>
          <t>Greenleaf Studio</t>
        </is>
      </c>
      <c r="D189" s="18" t="inlineStr">
        <is>
          <t>Monthly social posts</t>
        </is>
      </c>
      <c r="E189" s="18" t="inlineStr">
        <is>
          <t>Captions and scheduling</t>
        </is>
      </c>
      <c r="F189" s="19" t="n">
        <v>0.4583333333333333</v>
      </c>
      <c r="G189" s="19" t="n">
        <v>0.5</v>
      </c>
      <c r="H189" s="20" t="n"/>
      <c r="I189" s="21" t="n"/>
      <c r="J189" s="22" t="n"/>
      <c r="K189" s="23" t="n"/>
      <c r="L189" s="18" t="n"/>
      <c r="M189" s="24">
        <f>IF(B189="","",IF(AND(F189&lt;&gt;"",G189&lt;&gt;""),MAX(0,ROUND(MOD(G189-F189,1)*24-N(H189)/60,2)),N(I189)))</f>
        <v/>
      </c>
      <c r="N189" s="14">
        <f>IF(B189="","",IF(K189&lt;&gt;"",K189,IF(N(IFERROR(INDEX(Projects!$D$6:$D$65,MATCH(D189,Projects!$B$6:$B$65,0)),""))&gt;0,IFERROR(INDEX(Projects!$D$6:$D$65,MATCH(D189,Projects!$B$6:$B$65,0)),""),IFERROR(INDEX(Clients!$G$6:$G$45,MATCH(C189,Clients!$B$6:$B$45,0)),0))))</f>
        <v/>
      </c>
      <c r="O189" s="14">
        <f>IF(B189="","",IF(J189&lt;&gt;"",0,ROUND(M189*N189,2)))</f>
        <v/>
      </c>
      <c r="P189" s="15">
        <f>IF(OR(B189="",J189&lt;&gt;""),"",IF(L189&lt;&gt;"",L189,IF(COUNTIFS(Invoices!$C$6:$C$305,C189,Invoices!$E$6:$E$305,"&lt;="&amp;B189,Invoices!$F$6:$F$305,"&gt;="&amp;B189)=1,INDEX(Invoices!$B$6:$B$305,SUMIFS(Invoices!$O$6:$O$305,Invoices!$C$6:$C$305,C189,Invoices!$E$6:$E$305,"&lt;="&amp;B189,Invoices!$F$6:$F$305,"&gt;="&amp;B189)),IF(COUNTIFS(Invoices!$C$6:$C$305,C189,Invoices!$E$6:$E$305,"&lt;="&amp;B189,Invoices!$F$6:$F$305,"&gt;="&amp;B189)&gt;1,"Two invoices",""))))</f>
        <v/>
      </c>
      <c r="Q189" s="15">
        <f>IF(B189="","",IF(J189&lt;&gt;"","Not billable",IF(P189="","To invoice",IF(P189="Two invoices","Check dates",IF(ISNA(MATCH(P189,Invoices!$B$6:$B$305,0)),"Check number",IF(INDEX(Invoices!$M$6:$M$305,MATCH(P189,Invoices!$B$6:$B$305,0))="Paid","Paid",IF(INDEX(Invoices!$M$6:$M$305,MATCH(P189,Invoices!$B$6:$B$305,0))="Draft","Draft","Invoiced")))))))</f>
        <v/>
      </c>
      <c r="R189" s="1">
        <f>IF(AND(B189&lt;&gt;"",P189&lt;&gt;"",P189=Invoice!$G$4),B189+MOD(N(F189),1)+ROW()/10000000,"")</f>
        <v/>
      </c>
      <c r="S189">
        <f>IF(R189="","",IF(D189="","Other work",D189)&amp;IF(AND(K189&lt;&gt;"",E189&lt;&gt;""),", "&amp;E189,""))</f>
        <v/>
      </c>
      <c r="T189">
        <f>IF(R189="","",IF(COUNTIFS(R$6:R188,"&gt;0",S$6:S188,S189,N$6:N188,N189)=0,R189,""))</f>
        <v/>
      </c>
      <c r="U189">
        <f>IF(B189="","",IF(J189&lt;&gt;"",0,M189))</f>
        <v/>
      </c>
    </row>
    <row r="190">
      <c r="A190" s="1" t="n"/>
      <c r="B190" s="16" t="n">
        <v>46240</v>
      </c>
      <c r="C190" s="17" t="inlineStr">
        <is>
          <t>Harbour Books</t>
        </is>
      </c>
      <c r="D190" s="18" t="inlineStr">
        <is>
          <t>Book launch posters</t>
        </is>
      </c>
      <c r="E190" s="18" t="inlineStr">
        <is>
          <t>Poster concepts</t>
        </is>
      </c>
      <c r="F190" s="19" t="n"/>
      <c r="G190" s="19" t="n"/>
      <c r="H190" s="20" t="n"/>
      <c r="I190" s="21" t="n">
        <v>3.5</v>
      </c>
      <c r="J190" s="22" t="n"/>
      <c r="K190" s="23" t="n"/>
      <c r="L190" s="18" t="n"/>
      <c r="M190" s="24">
        <f>IF(B190="","",IF(AND(F190&lt;&gt;"",G190&lt;&gt;""),MAX(0,ROUND(MOD(G190-F190,1)*24-N(H190)/60,2)),N(I190)))</f>
        <v/>
      </c>
      <c r="N190" s="14">
        <f>IF(B190="","",IF(K190&lt;&gt;"",K190,IF(N(IFERROR(INDEX(Projects!$D$6:$D$65,MATCH(D190,Projects!$B$6:$B$65,0)),""))&gt;0,IFERROR(INDEX(Projects!$D$6:$D$65,MATCH(D190,Projects!$B$6:$B$65,0)),""),IFERROR(INDEX(Clients!$G$6:$G$45,MATCH(C190,Clients!$B$6:$B$45,0)),0))))</f>
        <v/>
      </c>
      <c r="O190" s="14">
        <f>IF(B190="","",IF(J190&lt;&gt;"",0,ROUND(M190*N190,2)))</f>
        <v/>
      </c>
      <c r="P190" s="15">
        <f>IF(OR(B190="",J190&lt;&gt;""),"",IF(L190&lt;&gt;"",L190,IF(COUNTIFS(Invoices!$C$6:$C$305,C190,Invoices!$E$6:$E$305,"&lt;="&amp;B190,Invoices!$F$6:$F$305,"&gt;="&amp;B190)=1,INDEX(Invoices!$B$6:$B$305,SUMIFS(Invoices!$O$6:$O$305,Invoices!$C$6:$C$305,C190,Invoices!$E$6:$E$305,"&lt;="&amp;B190,Invoices!$F$6:$F$305,"&gt;="&amp;B190)),IF(COUNTIFS(Invoices!$C$6:$C$305,C190,Invoices!$E$6:$E$305,"&lt;="&amp;B190,Invoices!$F$6:$F$305,"&gt;="&amp;B190)&gt;1,"Two invoices",""))))</f>
        <v/>
      </c>
      <c r="Q190" s="15">
        <f>IF(B190="","",IF(J190&lt;&gt;"","Not billable",IF(P190="","To invoice",IF(P190="Two invoices","Check dates",IF(ISNA(MATCH(P190,Invoices!$B$6:$B$305,0)),"Check number",IF(INDEX(Invoices!$M$6:$M$305,MATCH(P190,Invoices!$B$6:$B$305,0))="Paid","Paid",IF(INDEX(Invoices!$M$6:$M$305,MATCH(P190,Invoices!$B$6:$B$305,0))="Draft","Draft","Invoiced")))))))</f>
        <v/>
      </c>
      <c r="R190" s="1">
        <f>IF(AND(B190&lt;&gt;"",P190&lt;&gt;"",P190=Invoice!$G$4),B190+MOD(N(F190),1)+ROW()/10000000,"")</f>
        <v/>
      </c>
      <c r="S190">
        <f>IF(R190="","",IF(D190="","Other work",D190)&amp;IF(AND(K190&lt;&gt;"",E190&lt;&gt;""),", "&amp;E190,""))</f>
        <v/>
      </c>
      <c r="T190">
        <f>IF(R190="","",IF(COUNTIFS(R$6:R189,"&gt;0",S$6:S189,S190,N$6:N189,N190)=0,R190,""))</f>
        <v/>
      </c>
      <c r="U190">
        <f>IF(B190="","",IF(J190&lt;&gt;"",0,M190))</f>
        <v/>
      </c>
    </row>
    <row r="191">
      <c r="A191" s="1" t="n"/>
      <c r="B191" s="16" t="n">
        <v>46240</v>
      </c>
      <c r="C191" s="17" t="inlineStr">
        <is>
          <t>Harbour Books</t>
        </is>
      </c>
      <c r="D191" s="18" t="inlineStr">
        <is>
          <t>Book launch posters</t>
        </is>
      </c>
      <c r="E191" s="18" t="inlineStr">
        <is>
          <t>Print files</t>
        </is>
      </c>
      <c r="F191" s="19" t="n">
        <v>0.3958333333333333</v>
      </c>
      <c r="G191" s="19" t="n">
        <v>0.4791666666666667</v>
      </c>
      <c r="H191" s="20" t="n"/>
      <c r="I191" s="21" t="n"/>
      <c r="J191" s="22" t="n"/>
      <c r="K191" s="23" t="n"/>
      <c r="L191" s="18" t="n"/>
      <c r="M191" s="24">
        <f>IF(B191="","",IF(AND(F191&lt;&gt;"",G191&lt;&gt;""),MAX(0,ROUND(MOD(G191-F191,1)*24-N(H191)/60,2)),N(I191)))</f>
        <v/>
      </c>
      <c r="N191" s="14">
        <f>IF(B191="","",IF(K191&lt;&gt;"",K191,IF(N(IFERROR(INDEX(Projects!$D$6:$D$65,MATCH(D191,Projects!$B$6:$B$65,0)),""))&gt;0,IFERROR(INDEX(Projects!$D$6:$D$65,MATCH(D191,Projects!$B$6:$B$65,0)),""),IFERROR(INDEX(Clients!$G$6:$G$45,MATCH(C191,Clients!$B$6:$B$45,0)),0))))</f>
        <v/>
      </c>
      <c r="O191" s="14">
        <f>IF(B191="","",IF(J191&lt;&gt;"",0,ROUND(M191*N191,2)))</f>
        <v/>
      </c>
      <c r="P191" s="15">
        <f>IF(OR(B191="",J191&lt;&gt;""),"",IF(L191&lt;&gt;"",L191,IF(COUNTIFS(Invoices!$C$6:$C$305,C191,Invoices!$E$6:$E$305,"&lt;="&amp;B191,Invoices!$F$6:$F$305,"&gt;="&amp;B191)=1,INDEX(Invoices!$B$6:$B$305,SUMIFS(Invoices!$O$6:$O$305,Invoices!$C$6:$C$305,C191,Invoices!$E$6:$E$305,"&lt;="&amp;B191,Invoices!$F$6:$F$305,"&gt;="&amp;B191)),IF(COUNTIFS(Invoices!$C$6:$C$305,C191,Invoices!$E$6:$E$305,"&lt;="&amp;B191,Invoices!$F$6:$F$305,"&gt;="&amp;B191)&gt;1,"Two invoices",""))))</f>
        <v/>
      </c>
      <c r="Q191" s="15">
        <f>IF(B191="","",IF(J191&lt;&gt;"","Not billable",IF(P191="","To invoice",IF(P191="Two invoices","Check dates",IF(ISNA(MATCH(P191,Invoices!$B$6:$B$305,0)),"Check number",IF(INDEX(Invoices!$M$6:$M$305,MATCH(P191,Invoices!$B$6:$B$305,0))="Paid","Paid",IF(INDEX(Invoices!$M$6:$M$305,MATCH(P191,Invoices!$B$6:$B$305,0))="Draft","Draft","Invoiced")))))))</f>
        <v/>
      </c>
      <c r="R191" s="1">
        <f>IF(AND(B191&lt;&gt;"",P191&lt;&gt;"",P191=Invoice!$G$4),B191+MOD(N(F191),1)+ROW()/10000000,"")</f>
        <v/>
      </c>
      <c r="S191">
        <f>IF(R191="","",IF(D191="","Other work",D191)&amp;IF(AND(K191&lt;&gt;"",E191&lt;&gt;""),", "&amp;E191,""))</f>
        <v/>
      </c>
      <c r="T191">
        <f>IF(R191="","",IF(COUNTIFS(R$6:R190,"&gt;0",S$6:S190,S191,N$6:N190,N191)=0,R191,""))</f>
        <v/>
      </c>
      <c r="U191">
        <f>IF(B191="","",IF(J191&lt;&gt;"",0,M191))</f>
        <v/>
      </c>
    </row>
    <row r="192">
      <c r="A192" s="1" t="n"/>
      <c r="B192" s="16" t="n">
        <v>46241</v>
      </c>
      <c r="C192" s="17" t="inlineStr">
        <is>
          <t>Harbour Books</t>
        </is>
      </c>
      <c r="D192" s="18" t="inlineStr">
        <is>
          <t>Website redesign</t>
        </is>
      </c>
      <c r="E192" s="18" t="inlineStr">
        <is>
          <t>Mobile layouts</t>
        </is>
      </c>
      <c r="F192" s="19" t="n"/>
      <c r="G192" s="19" t="n"/>
      <c r="H192" s="20" t="n"/>
      <c r="I192" s="21" t="n">
        <v>1.5</v>
      </c>
      <c r="J192" s="22" t="n"/>
      <c r="K192" s="23" t="n"/>
      <c r="L192" s="18" t="n"/>
      <c r="M192" s="24">
        <f>IF(B192="","",IF(AND(F192&lt;&gt;"",G192&lt;&gt;""),MAX(0,ROUND(MOD(G192-F192,1)*24-N(H192)/60,2)),N(I192)))</f>
        <v/>
      </c>
      <c r="N192" s="14">
        <f>IF(B192="","",IF(K192&lt;&gt;"",K192,IF(N(IFERROR(INDEX(Projects!$D$6:$D$65,MATCH(D192,Projects!$B$6:$B$65,0)),""))&gt;0,IFERROR(INDEX(Projects!$D$6:$D$65,MATCH(D192,Projects!$B$6:$B$65,0)),""),IFERROR(INDEX(Clients!$G$6:$G$45,MATCH(C192,Clients!$B$6:$B$45,0)),0))))</f>
        <v/>
      </c>
      <c r="O192" s="14">
        <f>IF(B192="","",IF(J192&lt;&gt;"",0,ROUND(M192*N192,2)))</f>
        <v/>
      </c>
      <c r="P192" s="15">
        <f>IF(OR(B192="",J192&lt;&gt;""),"",IF(L192&lt;&gt;"",L192,IF(COUNTIFS(Invoices!$C$6:$C$305,C192,Invoices!$E$6:$E$305,"&lt;="&amp;B192,Invoices!$F$6:$F$305,"&gt;="&amp;B192)=1,INDEX(Invoices!$B$6:$B$305,SUMIFS(Invoices!$O$6:$O$305,Invoices!$C$6:$C$305,C192,Invoices!$E$6:$E$305,"&lt;="&amp;B192,Invoices!$F$6:$F$305,"&gt;="&amp;B192)),IF(COUNTIFS(Invoices!$C$6:$C$305,C192,Invoices!$E$6:$E$305,"&lt;="&amp;B192,Invoices!$F$6:$F$305,"&gt;="&amp;B192)&gt;1,"Two invoices",""))))</f>
        <v/>
      </c>
      <c r="Q192" s="15">
        <f>IF(B192="","",IF(J192&lt;&gt;"","Not billable",IF(P192="","To invoice",IF(P192="Two invoices","Check dates",IF(ISNA(MATCH(P192,Invoices!$B$6:$B$305,0)),"Check number",IF(INDEX(Invoices!$M$6:$M$305,MATCH(P192,Invoices!$B$6:$B$305,0))="Paid","Paid",IF(INDEX(Invoices!$M$6:$M$305,MATCH(P192,Invoices!$B$6:$B$305,0))="Draft","Draft","Invoiced")))))))</f>
        <v/>
      </c>
      <c r="R192" s="1">
        <f>IF(AND(B192&lt;&gt;"",P192&lt;&gt;"",P192=Invoice!$G$4),B192+MOD(N(F192),1)+ROW()/10000000,"")</f>
        <v/>
      </c>
      <c r="S192">
        <f>IF(R192="","",IF(D192="","Other work",D192)&amp;IF(AND(K192&lt;&gt;"",E192&lt;&gt;""),", "&amp;E192,""))</f>
        <v/>
      </c>
      <c r="T192">
        <f>IF(R192="","",IF(COUNTIFS(R$6:R191,"&gt;0",S$6:S191,S192,N$6:N191,N192)=0,R192,""))</f>
        <v/>
      </c>
      <c r="U192">
        <f>IF(B192="","",IF(J192&lt;&gt;"",0,M192))</f>
        <v/>
      </c>
    </row>
    <row r="193">
      <c r="A193" s="1" t="n"/>
      <c r="B193" s="16" t="n">
        <v>46241</v>
      </c>
      <c r="C193" s="17" t="inlineStr">
        <is>
          <t>Harbour Books</t>
        </is>
      </c>
      <c r="D193" s="18" t="inlineStr">
        <is>
          <t>Website redesign</t>
        </is>
      </c>
      <c r="E193" s="18" t="inlineStr">
        <is>
          <t>Home page design</t>
        </is>
      </c>
      <c r="F193" s="19" t="n">
        <v>0.3958333333333333</v>
      </c>
      <c r="G193" s="19" t="n">
        <v>0.4791666666666667</v>
      </c>
      <c r="H193" s="20" t="n"/>
      <c r="I193" s="21" t="n"/>
      <c r="J193" s="22" t="n"/>
      <c r="K193" s="23" t="n"/>
      <c r="L193" s="18" t="n"/>
      <c r="M193" s="24">
        <f>IF(B193="","",IF(AND(F193&lt;&gt;"",G193&lt;&gt;""),MAX(0,ROUND(MOD(G193-F193,1)*24-N(H193)/60,2)),N(I193)))</f>
        <v/>
      </c>
      <c r="N193" s="14">
        <f>IF(B193="","",IF(K193&lt;&gt;"",K193,IF(N(IFERROR(INDEX(Projects!$D$6:$D$65,MATCH(D193,Projects!$B$6:$B$65,0)),""))&gt;0,IFERROR(INDEX(Projects!$D$6:$D$65,MATCH(D193,Projects!$B$6:$B$65,0)),""),IFERROR(INDEX(Clients!$G$6:$G$45,MATCH(C193,Clients!$B$6:$B$45,0)),0))))</f>
        <v/>
      </c>
      <c r="O193" s="14">
        <f>IF(B193="","",IF(J193&lt;&gt;"",0,ROUND(M193*N193,2)))</f>
        <v/>
      </c>
      <c r="P193" s="15">
        <f>IF(OR(B193="",J193&lt;&gt;""),"",IF(L193&lt;&gt;"",L193,IF(COUNTIFS(Invoices!$C$6:$C$305,C193,Invoices!$E$6:$E$305,"&lt;="&amp;B193,Invoices!$F$6:$F$305,"&gt;="&amp;B193)=1,INDEX(Invoices!$B$6:$B$305,SUMIFS(Invoices!$O$6:$O$305,Invoices!$C$6:$C$305,C193,Invoices!$E$6:$E$305,"&lt;="&amp;B193,Invoices!$F$6:$F$305,"&gt;="&amp;B193)),IF(COUNTIFS(Invoices!$C$6:$C$305,C193,Invoices!$E$6:$E$305,"&lt;="&amp;B193,Invoices!$F$6:$F$305,"&gt;="&amp;B193)&gt;1,"Two invoices",""))))</f>
        <v/>
      </c>
      <c r="Q193" s="15">
        <f>IF(B193="","",IF(J193&lt;&gt;"","Not billable",IF(P193="","To invoice",IF(P193="Two invoices","Check dates",IF(ISNA(MATCH(P193,Invoices!$B$6:$B$305,0)),"Check number",IF(INDEX(Invoices!$M$6:$M$305,MATCH(P193,Invoices!$B$6:$B$305,0))="Paid","Paid",IF(INDEX(Invoices!$M$6:$M$305,MATCH(P193,Invoices!$B$6:$B$305,0))="Draft","Draft","Invoiced")))))))</f>
        <v/>
      </c>
      <c r="R193" s="1">
        <f>IF(AND(B193&lt;&gt;"",P193&lt;&gt;"",P193=Invoice!$G$4),B193+MOD(N(F193),1)+ROW()/10000000,"")</f>
        <v/>
      </c>
      <c r="S193">
        <f>IF(R193="","",IF(D193="","Other work",D193)&amp;IF(AND(K193&lt;&gt;"",E193&lt;&gt;""),", "&amp;E193,""))</f>
        <v/>
      </c>
      <c r="T193">
        <f>IF(R193="","",IF(COUNTIFS(R$6:R192,"&gt;0",S$6:S192,S193,N$6:N192,N193)=0,R193,""))</f>
        <v/>
      </c>
      <c r="U193">
        <f>IF(B193="","",IF(J193&lt;&gt;"",0,M193))</f>
        <v/>
      </c>
    </row>
    <row r="194">
      <c r="A194" s="1" t="n"/>
      <c r="B194" s="16" t="n">
        <v>46244</v>
      </c>
      <c r="C194" s="17" t="inlineStr">
        <is>
          <t>Harbour Books</t>
        </is>
      </c>
      <c r="D194" s="18" t="inlineStr">
        <is>
          <t>Website redesign</t>
        </is>
      </c>
      <c r="E194" s="18" t="inlineStr">
        <is>
          <t>Client call</t>
        </is>
      </c>
      <c r="F194" s="19" t="n"/>
      <c r="G194" s="19" t="n"/>
      <c r="H194" s="20" t="n"/>
      <c r="I194" s="21" t="n">
        <v>1.5</v>
      </c>
      <c r="J194" s="22" t="n"/>
      <c r="K194" s="23" t="n"/>
      <c r="L194" s="18" t="n"/>
      <c r="M194" s="24">
        <f>IF(B194="","",IF(AND(F194&lt;&gt;"",G194&lt;&gt;""),MAX(0,ROUND(MOD(G194-F194,1)*24-N(H194)/60,2)),N(I194)))</f>
        <v/>
      </c>
      <c r="N194" s="14">
        <f>IF(B194="","",IF(K194&lt;&gt;"",K194,IF(N(IFERROR(INDEX(Projects!$D$6:$D$65,MATCH(D194,Projects!$B$6:$B$65,0)),""))&gt;0,IFERROR(INDEX(Projects!$D$6:$D$65,MATCH(D194,Projects!$B$6:$B$65,0)),""),IFERROR(INDEX(Clients!$G$6:$G$45,MATCH(C194,Clients!$B$6:$B$45,0)),0))))</f>
        <v/>
      </c>
      <c r="O194" s="14">
        <f>IF(B194="","",IF(J194&lt;&gt;"",0,ROUND(M194*N194,2)))</f>
        <v/>
      </c>
      <c r="P194" s="15">
        <f>IF(OR(B194="",J194&lt;&gt;""),"",IF(L194&lt;&gt;"",L194,IF(COUNTIFS(Invoices!$C$6:$C$305,C194,Invoices!$E$6:$E$305,"&lt;="&amp;B194,Invoices!$F$6:$F$305,"&gt;="&amp;B194)=1,INDEX(Invoices!$B$6:$B$305,SUMIFS(Invoices!$O$6:$O$305,Invoices!$C$6:$C$305,C194,Invoices!$E$6:$E$305,"&lt;="&amp;B194,Invoices!$F$6:$F$305,"&gt;="&amp;B194)),IF(COUNTIFS(Invoices!$C$6:$C$305,C194,Invoices!$E$6:$E$305,"&lt;="&amp;B194,Invoices!$F$6:$F$305,"&gt;="&amp;B194)&gt;1,"Two invoices",""))))</f>
        <v/>
      </c>
      <c r="Q194" s="15">
        <f>IF(B194="","",IF(J194&lt;&gt;"","Not billable",IF(P194="","To invoice",IF(P194="Two invoices","Check dates",IF(ISNA(MATCH(P194,Invoices!$B$6:$B$305,0)),"Check number",IF(INDEX(Invoices!$M$6:$M$305,MATCH(P194,Invoices!$B$6:$B$305,0))="Paid","Paid",IF(INDEX(Invoices!$M$6:$M$305,MATCH(P194,Invoices!$B$6:$B$305,0))="Draft","Draft","Invoiced")))))))</f>
        <v/>
      </c>
      <c r="R194" s="1">
        <f>IF(AND(B194&lt;&gt;"",P194&lt;&gt;"",P194=Invoice!$G$4),B194+MOD(N(F194),1)+ROW()/10000000,"")</f>
        <v/>
      </c>
      <c r="S194">
        <f>IF(R194="","",IF(D194="","Other work",D194)&amp;IF(AND(K194&lt;&gt;"",E194&lt;&gt;""),", "&amp;E194,""))</f>
        <v/>
      </c>
      <c r="T194">
        <f>IF(R194="","",IF(COUNTIFS(R$6:R193,"&gt;0",S$6:S193,S194,N$6:N193,N194)=0,R194,""))</f>
        <v/>
      </c>
      <c r="U194">
        <f>IF(B194="","",IF(J194&lt;&gt;"",0,M194))</f>
        <v/>
      </c>
    </row>
    <row r="195">
      <c r="A195" s="1" t="n"/>
      <c r="B195" s="16" t="n">
        <v>46244</v>
      </c>
      <c r="C195" s="17" t="inlineStr">
        <is>
          <t>Greenleaf Studio</t>
        </is>
      </c>
      <c r="D195" s="18" t="inlineStr">
        <is>
          <t>Monthly social posts</t>
        </is>
      </c>
      <c r="E195" s="18" t="inlineStr">
        <is>
          <t>Monthly report</t>
        </is>
      </c>
      <c r="F195" s="19" t="n">
        <v>0.3958333333333333</v>
      </c>
      <c r="G195" s="19" t="n">
        <v>0.4375</v>
      </c>
      <c r="H195" s="20" t="n"/>
      <c r="I195" s="21" t="n"/>
      <c r="J195" s="22" t="n"/>
      <c r="K195" s="23" t="n"/>
      <c r="L195" s="18" t="n"/>
      <c r="M195" s="24">
        <f>IF(B195="","",IF(AND(F195&lt;&gt;"",G195&lt;&gt;""),MAX(0,ROUND(MOD(G195-F195,1)*24-N(H195)/60,2)),N(I195)))</f>
        <v/>
      </c>
      <c r="N195" s="14">
        <f>IF(B195="","",IF(K195&lt;&gt;"",K195,IF(N(IFERROR(INDEX(Projects!$D$6:$D$65,MATCH(D195,Projects!$B$6:$B$65,0)),""))&gt;0,IFERROR(INDEX(Projects!$D$6:$D$65,MATCH(D195,Projects!$B$6:$B$65,0)),""),IFERROR(INDEX(Clients!$G$6:$G$45,MATCH(C195,Clients!$B$6:$B$45,0)),0))))</f>
        <v/>
      </c>
      <c r="O195" s="14">
        <f>IF(B195="","",IF(J195&lt;&gt;"",0,ROUND(M195*N195,2)))</f>
        <v/>
      </c>
      <c r="P195" s="15">
        <f>IF(OR(B195="",J195&lt;&gt;""),"",IF(L195&lt;&gt;"",L195,IF(COUNTIFS(Invoices!$C$6:$C$305,C195,Invoices!$E$6:$E$305,"&lt;="&amp;B195,Invoices!$F$6:$F$305,"&gt;="&amp;B195)=1,INDEX(Invoices!$B$6:$B$305,SUMIFS(Invoices!$O$6:$O$305,Invoices!$C$6:$C$305,C195,Invoices!$E$6:$E$305,"&lt;="&amp;B195,Invoices!$F$6:$F$305,"&gt;="&amp;B195)),IF(COUNTIFS(Invoices!$C$6:$C$305,C195,Invoices!$E$6:$E$305,"&lt;="&amp;B195,Invoices!$F$6:$F$305,"&gt;="&amp;B195)&gt;1,"Two invoices",""))))</f>
        <v/>
      </c>
      <c r="Q195" s="15">
        <f>IF(B195="","",IF(J195&lt;&gt;"","Not billable",IF(P195="","To invoice",IF(P195="Two invoices","Check dates",IF(ISNA(MATCH(P195,Invoices!$B$6:$B$305,0)),"Check number",IF(INDEX(Invoices!$M$6:$M$305,MATCH(P195,Invoices!$B$6:$B$305,0))="Paid","Paid",IF(INDEX(Invoices!$M$6:$M$305,MATCH(P195,Invoices!$B$6:$B$305,0))="Draft","Draft","Invoiced")))))))</f>
        <v/>
      </c>
      <c r="R195" s="1">
        <f>IF(AND(B195&lt;&gt;"",P195&lt;&gt;"",P195=Invoice!$G$4),B195+MOD(N(F195),1)+ROW()/10000000,"")</f>
        <v/>
      </c>
      <c r="S195">
        <f>IF(R195="","",IF(D195="","Other work",D195)&amp;IF(AND(K195&lt;&gt;"",E195&lt;&gt;""),", "&amp;E195,""))</f>
        <v/>
      </c>
      <c r="T195">
        <f>IF(R195="","",IF(COUNTIFS(R$6:R194,"&gt;0",S$6:S194,S195,N$6:N194,N195)=0,R195,""))</f>
        <v/>
      </c>
      <c r="U195">
        <f>IF(B195="","",IF(J195&lt;&gt;"",0,M195))</f>
        <v/>
      </c>
    </row>
    <row r="196">
      <c r="A196" s="1" t="n"/>
      <c r="B196" s="16" t="n">
        <v>46244</v>
      </c>
      <c r="C196" s="17" t="inlineStr">
        <is>
          <t>Harbour Books</t>
        </is>
      </c>
      <c r="D196" s="18" t="inlineStr">
        <is>
          <t>Book launch posters</t>
        </is>
      </c>
      <c r="E196" s="18" t="inlineStr">
        <is>
          <t>Poster concepts</t>
        </is>
      </c>
      <c r="F196" s="19" t="n">
        <v>0.4479166666666667</v>
      </c>
      <c r="G196" s="19" t="n">
        <v>0.5520833333333334</v>
      </c>
      <c r="H196" s="20" t="n"/>
      <c r="I196" s="21" t="n"/>
      <c r="J196" s="22" t="n"/>
      <c r="K196" s="23" t="n"/>
      <c r="L196" s="18" t="n"/>
      <c r="M196" s="24">
        <f>IF(B196="","",IF(AND(F196&lt;&gt;"",G196&lt;&gt;""),MAX(0,ROUND(MOD(G196-F196,1)*24-N(H196)/60,2)),N(I196)))</f>
        <v/>
      </c>
      <c r="N196" s="14">
        <f>IF(B196="","",IF(K196&lt;&gt;"",K196,IF(N(IFERROR(INDEX(Projects!$D$6:$D$65,MATCH(D196,Projects!$B$6:$B$65,0)),""))&gt;0,IFERROR(INDEX(Projects!$D$6:$D$65,MATCH(D196,Projects!$B$6:$B$65,0)),""),IFERROR(INDEX(Clients!$G$6:$G$45,MATCH(C196,Clients!$B$6:$B$45,0)),0))))</f>
        <v/>
      </c>
      <c r="O196" s="14">
        <f>IF(B196="","",IF(J196&lt;&gt;"",0,ROUND(M196*N196,2)))</f>
        <v/>
      </c>
      <c r="P196" s="15">
        <f>IF(OR(B196="",J196&lt;&gt;""),"",IF(L196&lt;&gt;"",L196,IF(COUNTIFS(Invoices!$C$6:$C$305,C196,Invoices!$E$6:$E$305,"&lt;="&amp;B196,Invoices!$F$6:$F$305,"&gt;="&amp;B196)=1,INDEX(Invoices!$B$6:$B$305,SUMIFS(Invoices!$O$6:$O$305,Invoices!$C$6:$C$305,C196,Invoices!$E$6:$E$305,"&lt;="&amp;B196,Invoices!$F$6:$F$305,"&gt;="&amp;B196)),IF(COUNTIFS(Invoices!$C$6:$C$305,C196,Invoices!$E$6:$E$305,"&lt;="&amp;B196,Invoices!$F$6:$F$305,"&gt;="&amp;B196)&gt;1,"Two invoices",""))))</f>
        <v/>
      </c>
      <c r="Q196" s="15">
        <f>IF(B196="","",IF(J196&lt;&gt;"","Not billable",IF(P196="","To invoice",IF(P196="Two invoices","Check dates",IF(ISNA(MATCH(P196,Invoices!$B$6:$B$305,0)),"Check number",IF(INDEX(Invoices!$M$6:$M$305,MATCH(P196,Invoices!$B$6:$B$305,0))="Paid","Paid",IF(INDEX(Invoices!$M$6:$M$305,MATCH(P196,Invoices!$B$6:$B$305,0))="Draft","Draft","Invoiced")))))))</f>
        <v/>
      </c>
      <c r="R196" s="1">
        <f>IF(AND(B196&lt;&gt;"",P196&lt;&gt;"",P196=Invoice!$G$4),B196+MOD(N(F196),1)+ROW()/10000000,"")</f>
        <v/>
      </c>
      <c r="S196">
        <f>IF(R196="","",IF(D196="","Other work",D196)&amp;IF(AND(K196&lt;&gt;"",E196&lt;&gt;""),", "&amp;E196,""))</f>
        <v/>
      </c>
      <c r="T196">
        <f>IF(R196="","",IF(COUNTIFS(R$6:R195,"&gt;0",S$6:S195,S196,N$6:N195,N196)=0,R196,""))</f>
        <v/>
      </c>
      <c r="U196">
        <f>IF(B196="","",IF(J196&lt;&gt;"",0,M196))</f>
        <v/>
      </c>
    </row>
    <row r="197">
      <c r="A197" s="1" t="n"/>
      <c r="B197" s="16" t="n">
        <v>46245</v>
      </c>
      <c r="C197" s="17" t="inlineStr">
        <is>
          <t>Harbour Books</t>
        </is>
      </c>
      <c r="D197" s="18" t="inlineStr">
        <is>
          <t>Book launch posters</t>
        </is>
      </c>
      <c r="E197" s="18" t="inlineStr">
        <is>
          <t>Final artwork</t>
        </is>
      </c>
      <c r="F197" s="19" t="n">
        <v>0.375</v>
      </c>
      <c r="G197" s="19" t="n">
        <v>0.4583333333333333</v>
      </c>
      <c r="H197" s="20" t="n"/>
      <c r="I197" s="21" t="n"/>
      <c r="J197" s="22" t="n"/>
      <c r="K197" s="23" t="n"/>
      <c r="L197" s="18" t="n"/>
      <c r="M197" s="24">
        <f>IF(B197="","",IF(AND(F197&lt;&gt;"",G197&lt;&gt;""),MAX(0,ROUND(MOD(G197-F197,1)*24-N(H197)/60,2)),N(I197)))</f>
        <v/>
      </c>
      <c r="N197" s="14">
        <f>IF(B197="","",IF(K197&lt;&gt;"",K197,IF(N(IFERROR(INDEX(Projects!$D$6:$D$65,MATCH(D197,Projects!$B$6:$B$65,0)),""))&gt;0,IFERROR(INDEX(Projects!$D$6:$D$65,MATCH(D197,Projects!$B$6:$B$65,0)),""),IFERROR(INDEX(Clients!$G$6:$G$45,MATCH(C197,Clients!$B$6:$B$45,0)),0))))</f>
        <v/>
      </c>
      <c r="O197" s="14">
        <f>IF(B197="","",IF(J197&lt;&gt;"",0,ROUND(M197*N197,2)))</f>
        <v/>
      </c>
      <c r="P197" s="15">
        <f>IF(OR(B197="",J197&lt;&gt;""),"",IF(L197&lt;&gt;"",L197,IF(COUNTIFS(Invoices!$C$6:$C$305,C197,Invoices!$E$6:$E$305,"&lt;="&amp;B197,Invoices!$F$6:$F$305,"&gt;="&amp;B197)=1,INDEX(Invoices!$B$6:$B$305,SUMIFS(Invoices!$O$6:$O$305,Invoices!$C$6:$C$305,C197,Invoices!$E$6:$E$305,"&lt;="&amp;B197,Invoices!$F$6:$F$305,"&gt;="&amp;B197)),IF(COUNTIFS(Invoices!$C$6:$C$305,C197,Invoices!$E$6:$E$305,"&lt;="&amp;B197,Invoices!$F$6:$F$305,"&gt;="&amp;B197)&gt;1,"Two invoices",""))))</f>
        <v/>
      </c>
      <c r="Q197" s="15">
        <f>IF(B197="","",IF(J197&lt;&gt;"","Not billable",IF(P197="","To invoice",IF(P197="Two invoices","Check dates",IF(ISNA(MATCH(P197,Invoices!$B$6:$B$305,0)),"Check number",IF(INDEX(Invoices!$M$6:$M$305,MATCH(P197,Invoices!$B$6:$B$305,0))="Paid","Paid",IF(INDEX(Invoices!$M$6:$M$305,MATCH(P197,Invoices!$B$6:$B$305,0))="Draft","Draft","Invoiced")))))))</f>
        <v/>
      </c>
      <c r="R197" s="1">
        <f>IF(AND(B197&lt;&gt;"",P197&lt;&gt;"",P197=Invoice!$G$4),B197+MOD(N(F197),1)+ROW()/10000000,"")</f>
        <v/>
      </c>
      <c r="S197">
        <f>IF(R197="","",IF(D197="","Other work",D197)&amp;IF(AND(K197&lt;&gt;"",E197&lt;&gt;""),", "&amp;E197,""))</f>
        <v/>
      </c>
      <c r="T197">
        <f>IF(R197="","",IF(COUNTIFS(R$6:R196,"&gt;0",S$6:S196,S197,N$6:N196,N197)=0,R197,""))</f>
        <v/>
      </c>
      <c r="U197">
        <f>IF(B197="","",IF(J197&lt;&gt;"",0,M197))</f>
        <v/>
      </c>
    </row>
    <row r="198">
      <c r="A198" s="1" t="n"/>
      <c r="B198" s="16" t="n">
        <v>46245</v>
      </c>
      <c r="C198" s="17" t="inlineStr">
        <is>
          <t>Harbour Books</t>
        </is>
      </c>
      <c r="D198" s="18" t="inlineStr">
        <is>
          <t>Book launch posters</t>
        </is>
      </c>
      <c r="E198" s="18" t="inlineStr">
        <is>
          <t>Final artwork</t>
        </is>
      </c>
      <c r="F198" s="19" t="n">
        <v>0.4791666666666667</v>
      </c>
      <c r="G198" s="19" t="n">
        <v>0.5416666666666666</v>
      </c>
      <c r="H198" s="20" t="n"/>
      <c r="I198" s="21" t="n"/>
      <c r="J198" s="22" t="n"/>
      <c r="K198" s="23" t="n"/>
      <c r="L198" s="18" t="n"/>
      <c r="M198" s="24">
        <f>IF(B198="","",IF(AND(F198&lt;&gt;"",G198&lt;&gt;""),MAX(0,ROUND(MOD(G198-F198,1)*24-N(H198)/60,2)),N(I198)))</f>
        <v/>
      </c>
      <c r="N198" s="14">
        <f>IF(B198="","",IF(K198&lt;&gt;"",K198,IF(N(IFERROR(INDEX(Projects!$D$6:$D$65,MATCH(D198,Projects!$B$6:$B$65,0)),""))&gt;0,IFERROR(INDEX(Projects!$D$6:$D$65,MATCH(D198,Projects!$B$6:$B$65,0)),""),IFERROR(INDEX(Clients!$G$6:$G$45,MATCH(C198,Clients!$B$6:$B$45,0)),0))))</f>
        <v/>
      </c>
      <c r="O198" s="14">
        <f>IF(B198="","",IF(J198&lt;&gt;"",0,ROUND(M198*N198,2)))</f>
        <v/>
      </c>
      <c r="P198" s="15">
        <f>IF(OR(B198="",J198&lt;&gt;""),"",IF(L198&lt;&gt;"",L198,IF(COUNTIFS(Invoices!$C$6:$C$305,C198,Invoices!$E$6:$E$305,"&lt;="&amp;B198,Invoices!$F$6:$F$305,"&gt;="&amp;B198)=1,INDEX(Invoices!$B$6:$B$305,SUMIFS(Invoices!$O$6:$O$305,Invoices!$C$6:$C$305,C198,Invoices!$E$6:$E$305,"&lt;="&amp;B198,Invoices!$F$6:$F$305,"&gt;="&amp;B198)),IF(COUNTIFS(Invoices!$C$6:$C$305,C198,Invoices!$E$6:$E$305,"&lt;="&amp;B198,Invoices!$F$6:$F$305,"&gt;="&amp;B198)&gt;1,"Two invoices",""))))</f>
        <v/>
      </c>
      <c r="Q198" s="15">
        <f>IF(B198="","",IF(J198&lt;&gt;"","Not billable",IF(P198="","To invoice",IF(P198="Two invoices","Check dates",IF(ISNA(MATCH(P198,Invoices!$B$6:$B$305,0)),"Check number",IF(INDEX(Invoices!$M$6:$M$305,MATCH(P198,Invoices!$B$6:$B$305,0))="Paid","Paid",IF(INDEX(Invoices!$M$6:$M$305,MATCH(P198,Invoices!$B$6:$B$305,0))="Draft","Draft","Invoiced")))))))</f>
        <v/>
      </c>
      <c r="R198" s="1">
        <f>IF(AND(B198&lt;&gt;"",P198&lt;&gt;"",P198=Invoice!$G$4),B198+MOD(N(F198),1)+ROW()/10000000,"")</f>
        <v/>
      </c>
      <c r="S198">
        <f>IF(R198="","",IF(D198="","Other work",D198)&amp;IF(AND(K198&lt;&gt;"",E198&lt;&gt;""),", "&amp;E198,""))</f>
        <v/>
      </c>
      <c r="T198">
        <f>IF(R198="","",IF(COUNTIFS(R$6:R197,"&gt;0",S$6:S197,S198,N$6:N197,N198)=0,R198,""))</f>
        <v/>
      </c>
      <c r="U198">
        <f>IF(B198="","",IF(J198&lt;&gt;"",0,M198))</f>
        <v/>
      </c>
    </row>
    <row r="199">
      <c r="A199" s="1" t="n"/>
      <c r="B199" s="16" t="n">
        <v>46245</v>
      </c>
      <c r="C199" s="17" t="inlineStr">
        <is>
          <t>Greenleaf Studio</t>
        </is>
      </c>
      <c r="D199" s="18" t="inlineStr">
        <is>
          <t>Monthly social posts</t>
        </is>
      </c>
      <c r="E199" s="18" t="inlineStr">
        <is>
          <t>Captions and scheduling</t>
        </is>
      </c>
      <c r="F199" s="19" t="n">
        <v>0.5520833333333334</v>
      </c>
      <c r="G199" s="19" t="n">
        <v>0.6979166666666666</v>
      </c>
      <c r="H199" s="20" t="n"/>
      <c r="I199" s="21" t="n"/>
      <c r="J199" s="22" t="n"/>
      <c r="K199" s="23" t="n"/>
      <c r="L199" s="18" t="n"/>
      <c r="M199" s="24">
        <f>IF(B199="","",IF(AND(F199&lt;&gt;"",G199&lt;&gt;""),MAX(0,ROUND(MOD(G199-F199,1)*24-N(H199)/60,2)),N(I199)))</f>
        <v/>
      </c>
      <c r="N199" s="14">
        <f>IF(B199="","",IF(K199&lt;&gt;"",K199,IF(N(IFERROR(INDEX(Projects!$D$6:$D$65,MATCH(D199,Projects!$B$6:$B$65,0)),""))&gt;0,IFERROR(INDEX(Projects!$D$6:$D$65,MATCH(D199,Projects!$B$6:$B$65,0)),""),IFERROR(INDEX(Clients!$G$6:$G$45,MATCH(C199,Clients!$B$6:$B$45,0)),0))))</f>
        <v/>
      </c>
      <c r="O199" s="14">
        <f>IF(B199="","",IF(J199&lt;&gt;"",0,ROUND(M199*N199,2)))</f>
        <v/>
      </c>
      <c r="P199" s="15">
        <f>IF(OR(B199="",J199&lt;&gt;""),"",IF(L199&lt;&gt;"",L199,IF(COUNTIFS(Invoices!$C$6:$C$305,C199,Invoices!$E$6:$E$305,"&lt;="&amp;B199,Invoices!$F$6:$F$305,"&gt;="&amp;B199)=1,INDEX(Invoices!$B$6:$B$305,SUMIFS(Invoices!$O$6:$O$305,Invoices!$C$6:$C$305,C199,Invoices!$E$6:$E$305,"&lt;="&amp;B199,Invoices!$F$6:$F$305,"&gt;="&amp;B199)),IF(COUNTIFS(Invoices!$C$6:$C$305,C199,Invoices!$E$6:$E$305,"&lt;="&amp;B199,Invoices!$F$6:$F$305,"&gt;="&amp;B199)&gt;1,"Two invoices",""))))</f>
        <v/>
      </c>
      <c r="Q199" s="15">
        <f>IF(B199="","",IF(J199&lt;&gt;"","Not billable",IF(P199="","To invoice",IF(P199="Two invoices","Check dates",IF(ISNA(MATCH(P199,Invoices!$B$6:$B$305,0)),"Check number",IF(INDEX(Invoices!$M$6:$M$305,MATCH(P199,Invoices!$B$6:$B$305,0))="Paid","Paid",IF(INDEX(Invoices!$M$6:$M$305,MATCH(P199,Invoices!$B$6:$B$305,0))="Draft","Draft","Invoiced")))))))</f>
        <v/>
      </c>
      <c r="R199" s="1">
        <f>IF(AND(B199&lt;&gt;"",P199&lt;&gt;"",P199=Invoice!$G$4),B199+MOD(N(F199),1)+ROW()/10000000,"")</f>
        <v/>
      </c>
      <c r="S199">
        <f>IF(R199="","",IF(D199="","Other work",D199)&amp;IF(AND(K199&lt;&gt;"",E199&lt;&gt;""),", "&amp;E199,""))</f>
        <v/>
      </c>
      <c r="T199">
        <f>IF(R199="","",IF(COUNTIFS(R$6:R198,"&gt;0",S$6:S198,S199,N$6:N198,N199)=0,R199,""))</f>
        <v/>
      </c>
      <c r="U199">
        <f>IF(B199="","",IF(J199&lt;&gt;"",0,M199))</f>
        <v/>
      </c>
    </row>
    <row r="200">
      <c r="A200" s="1" t="n"/>
      <c r="B200" s="16" t="n">
        <v>46246</v>
      </c>
      <c r="C200" s="17" t="inlineStr">
        <is>
          <t>Harbour Books</t>
        </is>
      </c>
      <c r="D200" s="18" t="inlineStr">
        <is>
          <t>Website redesign</t>
        </is>
      </c>
      <c r="E200" s="18" t="inlineStr">
        <is>
          <t>Style guide</t>
        </is>
      </c>
      <c r="F200" s="19" t="n"/>
      <c r="G200" s="19" t="n"/>
      <c r="H200" s="20" t="n"/>
      <c r="I200" s="21" t="n">
        <v>2.5</v>
      </c>
      <c r="J200" s="22" t="n"/>
      <c r="K200" s="23" t="n"/>
      <c r="L200" s="18" t="n"/>
      <c r="M200" s="24">
        <f>IF(B200="","",IF(AND(F200&lt;&gt;"",G200&lt;&gt;""),MAX(0,ROUND(MOD(G200-F200,1)*24-N(H200)/60,2)),N(I200)))</f>
        <v/>
      </c>
      <c r="N200" s="14">
        <f>IF(B200="","",IF(K200&lt;&gt;"",K200,IF(N(IFERROR(INDEX(Projects!$D$6:$D$65,MATCH(D200,Projects!$B$6:$B$65,0)),""))&gt;0,IFERROR(INDEX(Projects!$D$6:$D$65,MATCH(D200,Projects!$B$6:$B$65,0)),""),IFERROR(INDEX(Clients!$G$6:$G$45,MATCH(C200,Clients!$B$6:$B$45,0)),0))))</f>
        <v/>
      </c>
      <c r="O200" s="14">
        <f>IF(B200="","",IF(J200&lt;&gt;"",0,ROUND(M200*N200,2)))</f>
        <v/>
      </c>
      <c r="P200" s="15">
        <f>IF(OR(B200="",J200&lt;&gt;""),"",IF(L200&lt;&gt;"",L200,IF(COUNTIFS(Invoices!$C$6:$C$305,C200,Invoices!$E$6:$E$305,"&lt;="&amp;B200,Invoices!$F$6:$F$305,"&gt;="&amp;B200)=1,INDEX(Invoices!$B$6:$B$305,SUMIFS(Invoices!$O$6:$O$305,Invoices!$C$6:$C$305,C200,Invoices!$E$6:$E$305,"&lt;="&amp;B200,Invoices!$F$6:$F$305,"&gt;="&amp;B200)),IF(COUNTIFS(Invoices!$C$6:$C$305,C200,Invoices!$E$6:$E$305,"&lt;="&amp;B200,Invoices!$F$6:$F$305,"&gt;="&amp;B200)&gt;1,"Two invoices",""))))</f>
        <v/>
      </c>
      <c r="Q200" s="15">
        <f>IF(B200="","",IF(J200&lt;&gt;"","Not billable",IF(P200="","To invoice",IF(P200="Two invoices","Check dates",IF(ISNA(MATCH(P200,Invoices!$B$6:$B$305,0)),"Check number",IF(INDEX(Invoices!$M$6:$M$305,MATCH(P200,Invoices!$B$6:$B$305,0))="Paid","Paid",IF(INDEX(Invoices!$M$6:$M$305,MATCH(P200,Invoices!$B$6:$B$305,0))="Draft","Draft","Invoiced")))))))</f>
        <v/>
      </c>
      <c r="R200" s="1">
        <f>IF(AND(B200&lt;&gt;"",P200&lt;&gt;"",P200=Invoice!$G$4),B200+MOD(N(F200),1)+ROW()/10000000,"")</f>
        <v/>
      </c>
      <c r="S200">
        <f>IF(R200="","",IF(D200="","Other work",D200)&amp;IF(AND(K200&lt;&gt;"",E200&lt;&gt;""),", "&amp;E200,""))</f>
        <v/>
      </c>
      <c r="T200">
        <f>IF(R200="","",IF(COUNTIFS(R$6:R199,"&gt;0",S$6:S199,S200,N$6:N199,N200)=0,R200,""))</f>
        <v/>
      </c>
      <c r="U200">
        <f>IF(B200="","",IF(J200&lt;&gt;"",0,M200))</f>
        <v/>
      </c>
    </row>
    <row r="201">
      <c r="A201" s="1" t="n"/>
      <c r="B201" s="16" t="n">
        <v>46247</v>
      </c>
      <c r="C201" s="17" t="inlineStr">
        <is>
          <t>Atlas Fitness</t>
        </is>
      </c>
      <c r="D201" s="18" t="inlineStr">
        <is>
          <t>Brand refresh</t>
        </is>
      </c>
      <c r="E201" s="18" t="inlineStr">
        <is>
          <t>Colour and type</t>
        </is>
      </c>
      <c r="F201" s="19" t="n"/>
      <c r="G201" s="19" t="n"/>
      <c r="H201" s="20" t="n"/>
      <c r="I201" s="21" t="n">
        <v>2</v>
      </c>
      <c r="J201" s="22" t="n"/>
      <c r="K201" s="23" t="n"/>
      <c r="L201" s="18" t="n"/>
      <c r="M201" s="24">
        <f>IF(B201="","",IF(AND(F201&lt;&gt;"",G201&lt;&gt;""),MAX(0,ROUND(MOD(G201-F201,1)*24-N(H201)/60,2)),N(I201)))</f>
        <v/>
      </c>
      <c r="N201" s="14">
        <f>IF(B201="","",IF(K201&lt;&gt;"",K201,IF(N(IFERROR(INDEX(Projects!$D$6:$D$65,MATCH(D201,Projects!$B$6:$B$65,0)),""))&gt;0,IFERROR(INDEX(Projects!$D$6:$D$65,MATCH(D201,Projects!$B$6:$B$65,0)),""),IFERROR(INDEX(Clients!$G$6:$G$45,MATCH(C201,Clients!$B$6:$B$45,0)),0))))</f>
        <v/>
      </c>
      <c r="O201" s="14">
        <f>IF(B201="","",IF(J201&lt;&gt;"",0,ROUND(M201*N201,2)))</f>
        <v/>
      </c>
      <c r="P201" s="15">
        <f>IF(OR(B201="",J201&lt;&gt;""),"",IF(L201&lt;&gt;"",L201,IF(COUNTIFS(Invoices!$C$6:$C$305,C201,Invoices!$E$6:$E$305,"&lt;="&amp;B201,Invoices!$F$6:$F$305,"&gt;="&amp;B201)=1,INDEX(Invoices!$B$6:$B$305,SUMIFS(Invoices!$O$6:$O$305,Invoices!$C$6:$C$305,C201,Invoices!$E$6:$E$305,"&lt;="&amp;B201,Invoices!$F$6:$F$305,"&gt;="&amp;B201)),IF(COUNTIFS(Invoices!$C$6:$C$305,C201,Invoices!$E$6:$E$305,"&lt;="&amp;B201,Invoices!$F$6:$F$305,"&gt;="&amp;B201)&gt;1,"Two invoices",""))))</f>
        <v/>
      </c>
      <c r="Q201" s="15">
        <f>IF(B201="","",IF(J201&lt;&gt;"","Not billable",IF(P201="","To invoice",IF(P201="Two invoices","Check dates",IF(ISNA(MATCH(P201,Invoices!$B$6:$B$305,0)),"Check number",IF(INDEX(Invoices!$M$6:$M$305,MATCH(P201,Invoices!$B$6:$B$305,0))="Paid","Paid",IF(INDEX(Invoices!$M$6:$M$305,MATCH(P201,Invoices!$B$6:$B$305,0))="Draft","Draft","Invoiced")))))))</f>
        <v/>
      </c>
      <c r="R201" s="1">
        <f>IF(AND(B201&lt;&gt;"",P201&lt;&gt;"",P201=Invoice!$G$4),B201+MOD(N(F201),1)+ROW()/10000000,"")</f>
        <v/>
      </c>
      <c r="S201">
        <f>IF(R201="","",IF(D201="","Other work",D201)&amp;IF(AND(K201&lt;&gt;"",E201&lt;&gt;""),", "&amp;E201,""))</f>
        <v/>
      </c>
      <c r="T201">
        <f>IF(R201="","",IF(COUNTIFS(R$6:R200,"&gt;0",S$6:S200,S201,N$6:N200,N201)=0,R201,""))</f>
        <v/>
      </c>
      <c r="U201">
        <f>IF(B201="","",IF(J201&lt;&gt;"",0,M201))</f>
        <v/>
      </c>
    </row>
    <row r="202">
      <c r="A202" s="1" t="n"/>
      <c r="B202" s="16" t="n">
        <v>46247</v>
      </c>
      <c r="C202" s="17" t="inlineStr">
        <is>
          <t>Harbour Books</t>
        </is>
      </c>
      <c r="D202" s="18" t="inlineStr">
        <is>
          <t>Website redesign</t>
        </is>
      </c>
      <c r="E202" s="18" t="inlineStr">
        <is>
          <t>Home page design</t>
        </is>
      </c>
      <c r="F202" s="19" t="n">
        <v>0.3958333333333333</v>
      </c>
      <c r="G202" s="19" t="n">
        <v>0.4583333333333333</v>
      </c>
      <c r="H202" s="20" t="n"/>
      <c r="I202" s="21" t="n"/>
      <c r="J202" s="22" t="n"/>
      <c r="K202" s="23" t="n"/>
      <c r="L202" s="18" t="n"/>
      <c r="M202" s="24">
        <f>IF(B202="","",IF(AND(F202&lt;&gt;"",G202&lt;&gt;""),MAX(0,ROUND(MOD(G202-F202,1)*24-N(H202)/60,2)),N(I202)))</f>
        <v/>
      </c>
      <c r="N202" s="14">
        <f>IF(B202="","",IF(K202&lt;&gt;"",K202,IF(N(IFERROR(INDEX(Projects!$D$6:$D$65,MATCH(D202,Projects!$B$6:$B$65,0)),""))&gt;0,IFERROR(INDEX(Projects!$D$6:$D$65,MATCH(D202,Projects!$B$6:$B$65,0)),""),IFERROR(INDEX(Clients!$G$6:$G$45,MATCH(C202,Clients!$B$6:$B$45,0)),0))))</f>
        <v/>
      </c>
      <c r="O202" s="14">
        <f>IF(B202="","",IF(J202&lt;&gt;"",0,ROUND(M202*N202,2)))</f>
        <v/>
      </c>
      <c r="P202" s="15">
        <f>IF(OR(B202="",J202&lt;&gt;""),"",IF(L202&lt;&gt;"",L202,IF(COUNTIFS(Invoices!$C$6:$C$305,C202,Invoices!$E$6:$E$305,"&lt;="&amp;B202,Invoices!$F$6:$F$305,"&gt;="&amp;B202)=1,INDEX(Invoices!$B$6:$B$305,SUMIFS(Invoices!$O$6:$O$305,Invoices!$C$6:$C$305,C202,Invoices!$E$6:$E$305,"&lt;="&amp;B202,Invoices!$F$6:$F$305,"&gt;="&amp;B202)),IF(COUNTIFS(Invoices!$C$6:$C$305,C202,Invoices!$E$6:$E$305,"&lt;="&amp;B202,Invoices!$F$6:$F$305,"&gt;="&amp;B202)&gt;1,"Two invoices",""))))</f>
        <v/>
      </c>
      <c r="Q202" s="15">
        <f>IF(B202="","",IF(J202&lt;&gt;"","Not billable",IF(P202="","To invoice",IF(P202="Two invoices","Check dates",IF(ISNA(MATCH(P202,Invoices!$B$6:$B$305,0)),"Check number",IF(INDEX(Invoices!$M$6:$M$305,MATCH(P202,Invoices!$B$6:$B$305,0))="Paid","Paid",IF(INDEX(Invoices!$M$6:$M$305,MATCH(P202,Invoices!$B$6:$B$305,0))="Draft","Draft","Invoiced")))))))</f>
        <v/>
      </c>
      <c r="R202" s="1">
        <f>IF(AND(B202&lt;&gt;"",P202&lt;&gt;"",P202=Invoice!$G$4),B202+MOD(N(F202),1)+ROW()/10000000,"")</f>
        <v/>
      </c>
      <c r="S202">
        <f>IF(R202="","",IF(D202="","Other work",D202)&amp;IF(AND(K202&lt;&gt;"",E202&lt;&gt;""),", "&amp;E202,""))</f>
        <v/>
      </c>
      <c r="T202">
        <f>IF(R202="","",IF(COUNTIFS(R$6:R201,"&gt;0",S$6:S201,S202,N$6:N201,N202)=0,R202,""))</f>
        <v/>
      </c>
      <c r="U202">
        <f>IF(B202="","",IF(J202&lt;&gt;"",0,M202))</f>
        <v/>
      </c>
    </row>
    <row r="203">
      <c r="A203" s="1" t="n"/>
      <c r="B203" s="16" t="n">
        <v>46248</v>
      </c>
      <c r="C203" s="17" t="inlineStr">
        <is>
          <t>Harbour Books</t>
        </is>
      </c>
      <c r="D203" s="18" t="inlineStr">
        <is>
          <t>Website redesign</t>
        </is>
      </c>
      <c r="E203" s="18" t="inlineStr">
        <is>
          <t>Style guide</t>
        </is>
      </c>
      <c r="F203" s="19" t="n">
        <v>0.375</v>
      </c>
      <c r="G203" s="19" t="n">
        <v>0.4583333333333333</v>
      </c>
      <c r="H203" s="20" t="n"/>
      <c r="I203" s="21" t="n"/>
      <c r="J203" s="22" t="n"/>
      <c r="K203" s="23" t="n"/>
      <c r="L203" s="18" t="n"/>
      <c r="M203" s="24">
        <f>IF(B203="","",IF(AND(F203&lt;&gt;"",G203&lt;&gt;""),MAX(0,ROUND(MOD(G203-F203,1)*24-N(H203)/60,2)),N(I203)))</f>
        <v/>
      </c>
      <c r="N203" s="14">
        <f>IF(B203="","",IF(K203&lt;&gt;"",K203,IF(N(IFERROR(INDEX(Projects!$D$6:$D$65,MATCH(D203,Projects!$B$6:$B$65,0)),""))&gt;0,IFERROR(INDEX(Projects!$D$6:$D$65,MATCH(D203,Projects!$B$6:$B$65,0)),""),IFERROR(INDEX(Clients!$G$6:$G$45,MATCH(C203,Clients!$B$6:$B$45,0)),0))))</f>
        <v/>
      </c>
      <c r="O203" s="14">
        <f>IF(B203="","",IF(J203&lt;&gt;"",0,ROUND(M203*N203,2)))</f>
        <v/>
      </c>
      <c r="P203" s="15">
        <f>IF(OR(B203="",J203&lt;&gt;""),"",IF(L203&lt;&gt;"",L203,IF(COUNTIFS(Invoices!$C$6:$C$305,C203,Invoices!$E$6:$E$305,"&lt;="&amp;B203,Invoices!$F$6:$F$305,"&gt;="&amp;B203)=1,INDEX(Invoices!$B$6:$B$305,SUMIFS(Invoices!$O$6:$O$305,Invoices!$C$6:$C$305,C203,Invoices!$E$6:$E$305,"&lt;="&amp;B203,Invoices!$F$6:$F$305,"&gt;="&amp;B203)),IF(COUNTIFS(Invoices!$C$6:$C$305,C203,Invoices!$E$6:$E$305,"&lt;="&amp;B203,Invoices!$F$6:$F$305,"&gt;="&amp;B203)&gt;1,"Two invoices",""))))</f>
        <v/>
      </c>
      <c r="Q203" s="15">
        <f>IF(B203="","",IF(J203&lt;&gt;"","Not billable",IF(P203="","To invoice",IF(P203="Two invoices","Check dates",IF(ISNA(MATCH(P203,Invoices!$B$6:$B$305,0)),"Check number",IF(INDEX(Invoices!$M$6:$M$305,MATCH(P203,Invoices!$B$6:$B$305,0))="Paid","Paid",IF(INDEX(Invoices!$M$6:$M$305,MATCH(P203,Invoices!$B$6:$B$305,0))="Draft","Draft","Invoiced")))))))</f>
        <v/>
      </c>
      <c r="R203" s="1">
        <f>IF(AND(B203&lt;&gt;"",P203&lt;&gt;"",P203=Invoice!$G$4),B203+MOD(N(F203),1)+ROW()/10000000,"")</f>
        <v/>
      </c>
      <c r="S203">
        <f>IF(R203="","",IF(D203="","Other work",D203)&amp;IF(AND(K203&lt;&gt;"",E203&lt;&gt;""),", "&amp;E203,""))</f>
        <v/>
      </c>
      <c r="T203">
        <f>IF(R203="","",IF(COUNTIFS(R$6:R202,"&gt;0",S$6:S202,S203,N$6:N202,N203)=0,R203,""))</f>
        <v/>
      </c>
      <c r="U203">
        <f>IF(B203="","",IF(J203&lt;&gt;"",0,M203))</f>
        <v/>
      </c>
    </row>
    <row r="204">
      <c r="A204" s="1" t="n"/>
      <c r="B204" s="16" t="n">
        <v>46248</v>
      </c>
      <c r="C204" s="17" t="inlineStr">
        <is>
          <t>Atlas Fitness</t>
        </is>
      </c>
      <c r="D204" s="18" t="inlineStr">
        <is>
          <t>Brand refresh</t>
        </is>
      </c>
      <c r="E204" s="18" t="inlineStr">
        <is>
          <t>Logo sketches</t>
        </is>
      </c>
      <c r="F204" s="19" t="n">
        <v>0.4895833333333333</v>
      </c>
      <c r="G204" s="19" t="n">
        <v>0.6145833333333334</v>
      </c>
      <c r="H204" s="20" t="n"/>
      <c r="I204" s="21" t="n"/>
      <c r="J204" s="22" t="n"/>
      <c r="K204" s="23" t="n"/>
      <c r="L204" s="18" t="n"/>
      <c r="M204" s="24">
        <f>IF(B204="","",IF(AND(F204&lt;&gt;"",G204&lt;&gt;""),MAX(0,ROUND(MOD(G204-F204,1)*24-N(H204)/60,2)),N(I204)))</f>
        <v/>
      </c>
      <c r="N204" s="14">
        <f>IF(B204="","",IF(K204&lt;&gt;"",K204,IF(N(IFERROR(INDEX(Projects!$D$6:$D$65,MATCH(D204,Projects!$B$6:$B$65,0)),""))&gt;0,IFERROR(INDEX(Projects!$D$6:$D$65,MATCH(D204,Projects!$B$6:$B$65,0)),""),IFERROR(INDEX(Clients!$G$6:$G$45,MATCH(C204,Clients!$B$6:$B$45,0)),0))))</f>
        <v/>
      </c>
      <c r="O204" s="14">
        <f>IF(B204="","",IF(J204&lt;&gt;"",0,ROUND(M204*N204,2)))</f>
        <v/>
      </c>
      <c r="P204" s="15">
        <f>IF(OR(B204="",J204&lt;&gt;""),"",IF(L204&lt;&gt;"",L204,IF(COUNTIFS(Invoices!$C$6:$C$305,C204,Invoices!$E$6:$E$305,"&lt;="&amp;B204,Invoices!$F$6:$F$305,"&gt;="&amp;B204)=1,INDEX(Invoices!$B$6:$B$305,SUMIFS(Invoices!$O$6:$O$305,Invoices!$C$6:$C$305,C204,Invoices!$E$6:$E$305,"&lt;="&amp;B204,Invoices!$F$6:$F$305,"&gt;="&amp;B204)),IF(COUNTIFS(Invoices!$C$6:$C$305,C204,Invoices!$E$6:$E$305,"&lt;="&amp;B204,Invoices!$F$6:$F$305,"&gt;="&amp;B204)&gt;1,"Two invoices",""))))</f>
        <v/>
      </c>
      <c r="Q204" s="15">
        <f>IF(B204="","",IF(J204&lt;&gt;"","Not billable",IF(P204="","To invoice",IF(P204="Two invoices","Check dates",IF(ISNA(MATCH(P204,Invoices!$B$6:$B$305,0)),"Check number",IF(INDEX(Invoices!$M$6:$M$305,MATCH(P204,Invoices!$B$6:$B$305,0))="Paid","Paid",IF(INDEX(Invoices!$M$6:$M$305,MATCH(P204,Invoices!$B$6:$B$305,0))="Draft","Draft","Invoiced")))))))</f>
        <v/>
      </c>
      <c r="R204" s="1">
        <f>IF(AND(B204&lt;&gt;"",P204&lt;&gt;"",P204=Invoice!$G$4),B204+MOD(N(F204),1)+ROW()/10000000,"")</f>
        <v/>
      </c>
      <c r="S204">
        <f>IF(R204="","",IF(D204="","Other work",D204)&amp;IF(AND(K204&lt;&gt;"",E204&lt;&gt;""),", "&amp;E204,""))</f>
        <v/>
      </c>
      <c r="T204">
        <f>IF(R204="","",IF(COUNTIFS(R$6:R203,"&gt;0",S$6:S203,S204,N$6:N203,N204)=0,R204,""))</f>
        <v/>
      </c>
      <c r="U204">
        <f>IF(B204="","",IF(J204&lt;&gt;"",0,M204))</f>
        <v/>
      </c>
    </row>
    <row r="205">
      <c r="A205" s="1" t="n"/>
      <c r="B205" s="16" t="n">
        <v>46249</v>
      </c>
      <c r="C205" s="17" t="inlineStr">
        <is>
          <t>Atlas Fitness</t>
        </is>
      </c>
      <c r="D205" s="18" t="inlineStr">
        <is>
          <t>Brand refresh</t>
        </is>
      </c>
      <c r="E205" s="18" t="inlineStr">
        <is>
          <t>Weekend print check</t>
        </is>
      </c>
      <c r="F205" s="19" t="n"/>
      <c r="G205" s="19" t="n"/>
      <c r="H205" s="20" t="n"/>
      <c r="I205" s="21" t="n">
        <v>1.5</v>
      </c>
      <c r="J205" s="22" t="n"/>
      <c r="K205" s="23" t="n">
        <v>100</v>
      </c>
      <c r="L205" s="18" t="n"/>
      <c r="M205" s="24">
        <f>IF(B205="","",IF(AND(F205&lt;&gt;"",G205&lt;&gt;""),MAX(0,ROUND(MOD(G205-F205,1)*24-N(H205)/60,2)),N(I205)))</f>
        <v/>
      </c>
      <c r="N205" s="14">
        <f>IF(B205="","",IF(K205&lt;&gt;"",K205,IF(N(IFERROR(INDEX(Projects!$D$6:$D$65,MATCH(D205,Projects!$B$6:$B$65,0)),""))&gt;0,IFERROR(INDEX(Projects!$D$6:$D$65,MATCH(D205,Projects!$B$6:$B$65,0)),""),IFERROR(INDEX(Clients!$G$6:$G$45,MATCH(C205,Clients!$B$6:$B$45,0)),0))))</f>
        <v/>
      </c>
      <c r="O205" s="14">
        <f>IF(B205="","",IF(J205&lt;&gt;"",0,ROUND(M205*N205,2)))</f>
        <v/>
      </c>
      <c r="P205" s="15">
        <f>IF(OR(B205="",J205&lt;&gt;""),"",IF(L205&lt;&gt;"",L205,IF(COUNTIFS(Invoices!$C$6:$C$305,C205,Invoices!$E$6:$E$305,"&lt;="&amp;B205,Invoices!$F$6:$F$305,"&gt;="&amp;B205)=1,INDEX(Invoices!$B$6:$B$305,SUMIFS(Invoices!$O$6:$O$305,Invoices!$C$6:$C$305,C205,Invoices!$E$6:$E$305,"&lt;="&amp;B205,Invoices!$F$6:$F$305,"&gt;="&amp;B205)),IF(COUNTIFS(Invoices!$C$6:$C$305,C205,Invoices!$E$6:$E$305,"&lt;="&amp;B205,Invoices!$F$6:$F$305,"&gt;="&amp;B205)&gt;1,"Two invoices",""))))</f>
        <v/>
      </c>
      <c r="Q205" s="15">
        <f>IF(B205="","",IF(J205&lt;&gt;"","Not billable",IF(P205="","To invoice",IF(P205="Two invoices","Check dates",IF(ISNA(MATCH(P205,Invoices!$B$6:$B$305,0)),"Check number",IF(INDEX(Invoices!$M$6:$M$305,MATCH(P205,Invoices!$B$6:$B$305,0))="Paid","Paid",IF(INDEX(Invoices!$M$6:$M$305,MATCH(P205,Invoices!$B$6:$B$305,0))="Draft","Draft","Invoiced")))))))</f>
        <v/>
      </c>
      <c r="R205" s="1">
        <f>IF(AND(B205&lt;&gt;"",P205&lt;&gt;"",P205=Invoice!$G$4),B205+MOD(N(F205),1)+ROW()/10000000,"")</f>
        <v/>
      </c>
      <c r="S205">
        <f>IF(R205="","",IF(D205="","Other work",D205)&amp;IF(AND(K205&lt;&gt;"",E205&lt;&gt;""),", "&amp;E205,""))</f>
        <v/>
      </c>
      <c r="T205">
        <f>IF(R205="","",IF(COUNTIFS(R$6:R204,"&gt;0",S$6:S204,S205,N$6:N204,N205)=0,R205,""))</f>
        <v/>
      </c>
      <c r="U205">
        <f>IF(B205="","",IF(J205&lt;&gt;"",0,M205))</f>
        <v/>
      </c>
    </row>
    <row r="206">
      <c r="A206" s="1" t="n"/>
      <c r="B206" s="16" t="n">
        <v>46251</v>
      </c>
      <c r="C206" s="17" t="inlineStr">
        <is>
          <t>Atlas Fitness</t>
        </is>
      </c>
      <c r="D206" s="18" t="inlineStr">
        <is>
          <t>Brand refresh</t>
        </is>
      </c>
      <c r="E206" s="18" t="inlineStr">
        <is>
          <t>Brand guidelines</t>
        </is>
      </c>
      <c r="F206" s="19" t="n">
        <v>0.375</v>
      </c>
      <c r="G206" s="19" t="n">
        <v>0.4791666666666667</v>
      </c>
      <c r="H206" s="20" t="n"/>
      <c r="I206" s="21" t="n"/>
      <c r="J206" s="22" t="n"/>
      <c r="K206" s="23" t="n"/>
      <c r="L206" s="18" t="n"/>
      <c r="M206" s="24">
        <f>IF(B206="","",IF(AND(F206&lt;&gt;"",G206&lt;&gt;""),MAX(0,ROUND(MOD(G206-F206,1)*24-N(H206)/60,2)),N(I206)))</f>
        <v/>
      </c>
      <c r="N206" s="14">
        <f>IF(B206="","",IF(K206&lt;&gt;"",K206,IF(N(IFERROR(INDEX(Projects!$D$6:$D$65,MATCH(D206,Projects!$B$6:$B$65,0)),""))&gt;0,IFERROR(INDEX(Projects!$D$6:$D$65,MATCH(D206,Projects!$B$6:$B$65,0)),""),IFERROR(INDEX(Clients!$G$6:$G$45,MATCH(C206,Clients!$B$6:$B$45,0)),0))))</f>
        <v/>
      </c>
      <c r="O206" s="14">
        <f>IF(B206="","",IF(J206&lt;&gt;"",0,ROUND(M206*N206,2)))</f>
        <v/>
      </c>
      <c r="P206" s="15">
        <f>IF(OR(B206="",J206&lt;&gt;""),"",IF(L206&lt;&gt;"",L206,IF(COUNTIFS(Invoices!$C$6:$C$305,C206,Invoices!$E$6:$E$305,"&lt;="&amp;B206,Invoices!$F$6:$F$305,"&gt;="&amp;B206)=1,INDEX(Invoices!$B$6:$B$305,SUMIFS(Invoices!$O$6:$O$305,Invoices!$C$6:$C$305,C206,Invoices!$E$6:$E$305,"&lt;="&amp;B206,Invoices!$F$6:$F$305,"&gt;="&amp;B206)),IF(COUNTIFS(Invoices!$C$6:$C$305,C206,Invoices!$E$6:$E$305,"&lt;="&amp;B206,Invoices!$F$6:$F$305,"&gt;="&amp;B206)&gt;1,"Two invoices",""))))</f>
        <v/>
      </c>
      <c r="Q206" s="15">
        <f>IF(B206="","",IF(J206&lt;&gt;"","Not billable",IF(P206="","To invoice",IF(P206="Two invoices","Check dates",IF(ISNA(MATCH(P206,Invoices!$B$6:$B$305,0)),"Check number",IF(INDEX(Invoices!$M$6:$M$305,MATCH(P206,Invoices!$B$6:$B$305,0))="Paid","Paid",IF(INDEX(Invoices!$M$6:$M$305,MATCH(P206,Invoices!$B$6:$B$305,0))="Draft","Draft","Invoiced")))))))</f>
        <v/>
      </c>
      <c r="R206" s="1">
        <f>IF(AND(B206&lt;&gt;"",P206&lt;&gt;"",P206=Invoice!$G$4),B206+MOD(N(F206),1)+ROW()/10000000,"")</f>
        <v/>
      </c>
      <c r="S206">
        <f>IF(R206="","",IF(D206="","Other work",D206)&amp;IF(AND(K206&lt;&gt;"",E206&lt;&gt;""),", "&amp;E206,""))</f>
        <v/>
      </c>
      <c r="T206">
        <f>IF(R206="","",IF(COUNTIFS(R$6:R205,"&gt;0",S$6:S205,S206,N$6:N205,N206)=0,R206,""))</f>
        <v/>
      </c>
      <c r="U206">
        <f>IF(B206="","",IF(J206&lt;&gt;"",0,M206))</f>
        <v/>
      </c>
    </row>
    <row r="207">
      <c r="A207" s="1" t="n"/>
      <c r="B207" s="16" t="n">
        <v>46252</v>
      </c>
      <c r="C207" s="17" t="inlineStr">
        <is>
          <t>Atlas Fitness</t>
        </is>
      </c>
      <c r="D207" s="18" t="inlineStr">
        <is>
          <t>Brand refresh</t>
        </is>
      </c>
      <c r="E207" s="18" t="inlineStr">
        <is>
          <t>Brand guidelines</t>
        </is>
      </c>
      <c r="F207" s="19" t="n">
        <v>0.3958333333333333</v>
      </c>
      <c r="G207" s="19" t="n">
        <v>0.5416666666666666</v>
      </c>
      <c r="H207" s="20" t="n"/>
      <c r="I207" s="21" t="n"/>
      <c r="J207" s="22" t="n"/>
      <c r="K207" s="23" t="n"/>
      <c r="L207" s="18" t="n"/>
      <c r="M207" s="24">
        <f>IF(B207="","",IF(AND(F207&lt;&gt;"",G207&lt;&gt;""),MAX(0,ROUND(MOD(G207-F207,1)*24-N(H207)/60,2)),N(I207)))</f>
        <v/>
      </c>
      <c r="N207" s="14">
        <f>IF(B207="","",IF(K207&lt;&gt;"",K207,IF(N(IFERROR(INDEX(Projects!$D$6:$D$65,MATCH(D207,Projects!$B$6:$B$65,0)),""))&gt;0,IFERROR(INDEX(Projects!$D$6:$D$65,MATCH(D207,Projects!$B$6:$B$65,0)),""),IFERROR(INDEX(Clients!$G$6:$G$45,MATCH(C207,Clients!$B$6:$B$45,0)),0))))</f>
        <v/>
      </c>
      <c r="O207" s="14">
        <f>IF(B207="","",IF(J207&lt;&gt;"",0,ROUND(M207*N207,2)))</f>
        <v/>
      </c>
      <c r="P207" s="15">
        <f>IF(OR(B207="",J207&lt;&gt;""),"",IF(L207&lt;&gt;"",L207,IF(COUNTIFS(Invoices!$C$6:$C$305,C207,Invoices!$E$6:$E$305,"&lt;="&amp;B207,Invoices!$F$6:$F$305,"&gt;="&amp;B207)=1,INDEX(Invoices!$B$6:$B$305,SUMIFS(Invoices!$O$6:$O$305,Invoices!$C$6:$C$305,C207,Invoices!$E$6:$E$305,"&lt;="&amp;B207,Invoices!$F$6:$F$305,"&gt;="&amp;B207)),IF(COUNTIFS(Invoices!$C$6:$C$305,C207,Invoices!$E$6:$E$305,"&lt;="&amp;B207,Invoices!$F$6:$F$305,"&gt;="&amp;B207)&gt;1,"Two invoices",""))))</f>
        <v/>
      </c>
      <c r="Q207" s="15">
        <f>IF(B207="","",IF(J207&lt;&gt;"","Not billable",IF(P207="","To invoice",IF(P207="Two invoices","Check dates",IF(ISNA(MATCH(P207,Invoices!$B$6:$B$305,0)),"Check number",IF(INDEX(Invoices!$M$6:$M$305,MATCH(P207,Invoices!$B$6:$B$305,0))="Paid","Paid",IF(INDEX(Invoices!$M$6:$M$305,MATCH(P207,Invoices!$B$6:$B$305,0))="Draft","Draft","Invoiced")))))))</f>
        <v/>
      </c>
      <c r="R207" s="1">
        <f>IF(AND(B207&lt;&gt;"",P207&lt;&gt;"",P207=Invoice!$G$4),B207+MOD(N(F207),1)+ROW()/10000000,"")</f>
        <v/>
      </c>
      <c r="S207">
        <f>IF(R207="","",IF(D207="","Other work",D207)&amp;IF(AND(K207&lt;&gt;"",E207&lt;&gt;""),", "&amp;E207,""))</f>
        <v/>
      </c>
      <c r="T207">
        <f>IF(R207="","",IF(COUNTIFS(R$6:R206,"&gt;0",S$6:S206,S207,N$6:N206,N207)=0,R207,""))</f>
        <v/>
      </c>
      <c r="U207">
        <f>IF(B207="","",IF(J207&lt;&gt;"",0,M207))</f>
        <v/>
      </c>
    </row>
    <row r="208">
      <c r="A208" s="1" t="n"/>
      <c r="B208" s="16" t="n">
        <v>46252</v>
      </c>
      <c r="C208" s="17" t="inlineStr">
        <is>
          <t>Harbour Books</t>
        </is>
      </c>
      <c r="D208" s="18" t="inlineStr">
        <is>
          <t>Website redesign</t>
        </is>
      </c>
      <c r="E208" s="18" t="inlineStr">
        <is>
          <t>Rush fixes before launch</t>
        </is>
      </c>
      <c r="F208" s="19" t="n">
        <v>0.75</v>
      </c>
      <c r="G208" s="19" t="n">
        <v>0.8541666666666666</v>
      </c>
      <c r="H208" s="20" t="n"/>
      <c r="I208" s="21" t="n"/>
      <c r="J208" s="22" t="n"/>
      <c r="K208" s="23" t="n">
        <v>95</v>
      </c>
      <c r="L208" s="18" t="n"/>
      <c r="M208" s="24">
        <f>IF(B208="","",IF(AND(F208&lt;&gt;"",G208&lt;&gt;""),MAX(0,ROUND(MOD(G208-F208,1)*24-N(H208)/60,2)),N(I208)))</f>
        <v/>
      </c>
      <c r="N208" s="14">
        <f>IF(B208="","",IF(K208&lt;&gt;"",K208,IF(N(IFERROR(INDEX(Projects!$D$6:$D$65,MATCH(D208,Projects!$B$6:$B$65,0)),""))&gt;0,IFERROR(INDEX(Projects!$D$6:$D$65,MATCH(D208,Projects!$B$6:$B$65,0)),""),IFERROR(INDEX(Clients!$G$6:$G$45,MATCH(C208,Clients!$B$6:$B$45,0)),0))))</f>
        <v/>
      </c>
      <c r="O208" s="14">
        <f>IF(B208="","",IF(J208&lt;&gt;"",0,ROUND(M208*N208,2)))</f>
        <v/>
      </c>
      <c r="P208" s="15">
        <f>IF(OR(B208="",J208&lt;&gt;""),"",IF(L208&lt;&gt;"",L208,IF(COUNTIFS(Invoices!$C$6:$C$305,C208,Invoices!$E$6:$E$305,"&lt;="&amp;B208,Invoices!$F$6:$F$305,"&gt;="&amp;B208)=1,INDEX(Invoices!$B$6:$B$305,SUMIFS(Invoices!$O$6:$O$305,Invoices!$C$6:$C$305,C208,Invoices!$E$6:$E$305,"&lt;="&amp;B208,Invoices!$F$6:$F$305,"&gt;="&amp;B208)),IF(COUNTIFS(Invoices!$C$6:$C$305,C208,Invoices!$E$6:$E$305,"&lt;="&amp;B208,Invoices!$F$6:$F$305,"&gt;="&amp;B208)&gt;1,"Two invoices",""))))</f>
        <v/>
      </c>
      <c r="Q208" s="15">
        <f>IF(B208="","",IF(J208&lt;&gt;"","Not billable",IF(P208="","To invoice",IF(P208="Two invoices","Check dates",IF(ISNA(MATCH(P208,Invoices!$B$6:$B$305,0)),"Check number",IF(INDEX(Invoices!$M$6:$M$305,MATCH(P208,Invoices!$B$6:$B$305,0))="Paid","Paid",IF(INDEX(Invoices!$M$6:$M$305,MATCH(P208,Invoices!$B$6:$B$305,0))="Draft","Draft","Invoiced")))))))</f>
        <v/>
      </c>
      <c r="R208" s="1">
        <f>IF(AND(B208&lt;&gt;"",P208&lt;&gt;"",P208=Invoice!$G$4),B208+MOD(N(F208),1)+ROW()/10000000,"")</f>
        <v/>
      </c>
      <c r="S208">
        <f>IF(R208="","",IF(D208="","Other work",D208)&amp;IF(AND(K208&lt;&gt;"",E208&lt;&gt;""),", "&amp;E208,""))</f>
        <v/>
      </c>
      <c r="T208">
        <f>IF(R208="","",IF(COUNTIFS(R$6:R207,"&gt;0",S$6:S207,S208,N$6:N207,N208)=0,R208,""))</f>
        <v/>
      </c>
      <c r="U208">
        <f>IF(B208="","",IF(J208&lt;&gt;"",0,M208))</f>
        <v/>
      </c>
    </row>
    <row r="209">
      <c r="A209" s="1" t="n"/>
      <c r="B209" s="16" t="n">
        <v>46253</v>
      </c>
      <c r="C209" s="17" t="inlineStr">
        <is>
          <t>Harbour Books</t>
        </is>
      </c>
      <c r="D209" s="18" t="inlineStr">
        <is>
          <t>Website redesign</t>
        </is>
      </c>
      <c r="E209" s="18" t="inlineStr">
        <is>
          <t>Mobile layouts</t>
        </is>
      </c>
      <c r="F209" s="19" t="n"/>
      <c r="G209" s="19" t="n"/>
      <c r="H209" s="20" t="n"/>
      <c r="I209" s="21" t="n">
        <v>2</v>
      </c>
      <c r="J209" s="22" t="n"/>
      <c r="K209" s="23" t="n"/>
      <c r="L209" s="18" t="n"/>
      <c r="M209" s="24">
        <f>IF(B209="","",IF(AND(F209&lt;&gt;"",G209&lt;&gt;""),MAX(0,ROUND(MOD(G209-F209,1)*24-N(H209)/60,2)),N(I209)))</f>
        <v/>
      </c>
      <c r="N209" s="14">
        <f>IF(B209="","",IF(K209&lt;&gt;"",K209,IF(N(IFERROR(INDEX(Projects!$D$6:$D$65,MATCH(D209,Projects!$B$6:$B$65,0)),""))&gt;0,IFERROR(INDEX(Projects!$D$6:$D$65,MATCH(D209,Projects!$B$6:$B$65,0)),""),IFERROR(INDEX(Clients!$G$6:$G$45,MATCH(C209,Clients!$B$6:$B$45,0)),0))))</f>
        <v/>
      </c>
      <c r="O209" s="14">
        <f>IF(B209="","",IF(J209&lt;&gt;"",0,ROUND(M209*N209,2)))</f>
        <v/>
      </c>
      <c r="P209" s="15">
        <f>IF(OR(B209="",J209&lt;&gt;""),"",IF(L209&lt;&gt;"",L209,IF(COUNTIFS(Invoices!$C$6:$C$305,C209,Invoices!$E$6:$E$305,"&lt;="&amp;B209,Invoices!$F$6:$F$305,"&gt;="&amp;B209)=1,INDEX(Invoices!$B$6:$B$305,SUMIFS(Invoices!$O$6:$O$305,Invoices!$C$6:$C$305,C209,Invoices!$E$6:$E$305,"&lt;="&amp;B209,Invoices!$F$6:$F$305,"&gt;="&amp;B209)),IF(COUNTIFS(Invoices!$C$6:$C$305,C209,Invoices!$E$6:$E$305,"&lt;="&amp;B209,Invoices!$F$6:$F$305,"&gt;="&amp;B209)&gt;1,"Two invoices",""))))</f>
        <v/>
      </c>
      <c r="Q209" s="15">
        <f>IF(B209="","",IF(J209&lt;&gt;"","Not billable",IF(P209="","To invoice",IF(P209="Two invoices","Check dates",IF(ISNA(MATCH(P209,Invoices!$B$6:$B$305,0)),"Check number",IF(INDEX(Invoices!$M$6:$M$305,MATCH(P209,Invoices!$B$6:$B$305,0))="Paid","Paid",IF(INDEX(Invoices!$M$6:$M$305,MATCH(P209,Invoices!$B$6:$B$305,0))="Draft","Draft","Invoiced")))))))</f>
        <v/>
      </c>
      <c r="R209" s="1">
        <f>IF(AND(B209&lt;&gt;"",P209&lt;&gt;"",P209=Invoice!$G$4),B209+MOD(N(F209),1)+ROW()/10000000,"")</f>
        <v/>
      </c>
      <c r="S209">
        <f>IF(R209="","",IF(D209="","Other work",D209)&amp;IF(AND(K209&lt;&gt;"",E209&lt;&gt;""),", "&amp;E209,""))</f>
        <v/>
      </c>
      <c r="T209">
        <f>IF(R209="","",IF(COUNTIFS(R$6:R208,"&gt;0",S$6:S208,S209,N$6:N208,N209)=0,R209,""))</f>
        <v/>
      </c>
      <c r="U209">
        <f>IF(B209="","",IF(J209&lt;&gt;"",0,M209))</f>
        <v/>
      </c>
    </row>
    <row r="210">
      <c r="A210" s="1" t="n"/>
      <c r="B210" s="16" t="n">
        <v>46254</v>
      </c>
      <c r="C210" s="17" t="inlineStr">
        <is>
          <t>Atlas Fitness</t>
        </is>
      </c>
      <c r="D210" s="18" t="inlineStr">
        <is>
          <t>Brand refresh</t>
        </is>
      </c>
      <c r="E210" s="18" t="inlineStr">
        <is>
          <t>Colour and type</t>
        </is>
      </c>
      <c r="F210" s="19" t="n"/>
      <c r="G210" s="19" t="n"/>
      <c r="H210" s="20" t="n"/>
      <c r="I210" s="21" t="n">
        <v>3</v>
      </c>
      <c r="J210" s="22" t="n"/>
      <c r="K210" s="23" t="n"/>
      <c r="L210" s="18" t="n"/>
      <c r="M210" s="24">
        <f>IF(B210="","",IF(AND(F210&lt;&gt;"",G210&lt;&gt;""),MAX(0,ROUND(MOD(G210-F210,1)*24-N(H210)/60,2)),N(I210)))</f>
        <v/>
      </c>
      <c r="N210" s="14">
        <f>IF(B210="","",IF(K210&lt;&gt;"",K210,IF(N(IFERROR(INDEX(Projects!$D$6:$D$65,MATCH(D210,Projects!$B$6:$B$65,0)),""))&gt;0,IFERROR(INDEX(Projects!$D$6:$D$65,MATCH(D210,Projects!$B$6:$B$65,0)),""),IFERROR(INDEX(Clients!$G$6:$G$45,MATCH(C210,Clients!$B$6:$B$45,0)),0))))</f>
        <v/>
      </c>
      <c r="O210" s="14">
        <f>IF(B210="","",IF(J210&lt;&gt;"",0,ROUND(M210*N210,2)))</f>
        <v/>
      </c>
      <c r="P210" s="15">
        <f>IF(OR(B210="",J210&lt;&gt;""),"",IF(L210&lt;&gt;"",L210,IF(COUNTIFS(Invoices!$C$6:$C$305,C210,Invoices!$E$6:$E$305,"&lt;="&amp;B210,Invoices!$F$6:$F$305,"&gt;="&amp;B210)=1,INDEX(Invoices!$B$6:$B$305,SUMIFS(Invoices!$O$6:$O$305,Invoices!$C$6:$C$305,C210,Invoices!$E$6:$E$305,"&lt;="&amp;B210,Invoices!$F$6:$F$305,"&gt;="&amp;B210)),IF(COUNTIFS(Invoices!$C$6:$C$305,C210,Invoices!$E$6:$E$305,"&lt;="&amp;B210,Invoices!$F$6:$F$305,"&gt;="&amp;B210)&gt;1,"Two invoices",""))))</f>
        <v/>
      </c>
      <c r="Q210" s="15">
        <f>IF(B210="","",IF(J210&lt;&gt;"","Not billable",IF(P210="","To invoice",IF(P210="Two invoices","Check dates",IF(ISNA(MATCH(P210,Invoices!$B$6:$B$305,0)),"Check number",IF(INDEX(Invoices!$M$6:$M$305,MATCH(P210,Invoices!$B$6:$B$305,0))="Paid","Paid",IF(INDEX(Invoices!$M$6:$M$305,MATCH(P210,Invoices!$B$6:$B$305,0))="Draft","Draft","Invoiced")))))))</f>
        <v/>
      </c>
      <c r="R210" s="1">
        <f>IF(AND(B210&lt;&gt;"",P210&lt;&gt;"",P210=Invoice!$G$4),B210+MOD(N(F210),1)+ROW()/10000000,"")</f>
        <v/>
      </c>
      <c r="S210">
        <f>IF(R210="","",IF(D210="","Other work",D210)&amp;IF(AND(K210&lt;&gt;"",E210&lt;&gt;""),", "&amp;E210,""))</f>
        <v/>
      </c>
      <c r="T210">
        <f>IF(R210="","",IF(COUNTIFS(R$6:R209,"&gt;0",S$6:S209,S210,N$6:N209,N210)=0,R210,""))</f>
        <v/>
      </c>
      <c r="U210">
        <f>IF(B210="","",IF(J210&lt;&gt;"",0,M210))</f>
        <v/>
      </c>
    </row>
    <row r="211">
      <c r="A211" s="1" t="n"/>
      <c r="B211" s="16" t="n">
        <v>46254</v>
      </c>
      <c r="C211" s="17" t="inlineStr">
        <is>
          <t>Atlas Fitness</t>
        </is>
      </c>
      <c r="D211" s="18" t="inlineStr">
        <is>
          <t>Brand refresh</t>
        </is>
      </c>
      <c r="E211" s="18" t="inlineStr">
        <is>
          <t>Logo sketches</t>
        </is>
      </c>
      <c r="F211" s="19" t="n">
        <v>0.3958333333333333</v>
      </c>
      <c r="G211" s="19" t="n">
        <v>0.4791666666666667</v>
      </c>
      <c r="H211" s="20" t="n"/>
      <c r="I211" s="21" t="n"/>
      <c r="J211" s="22" t="n"/>
      <c r="K211" s="23" t="n"/>
      <c r="L211" s="18" t="n"/>
      <c r="M211" s="24">
        <f>IF(B211="","",IF(AND(F211&lt;&gt;"",G211&lt;&gt;""),MAX(0,ROUND(MOD(G211-F211,1)*24-N(H211)/60,2)),N(I211)))</f>
        <v/>
      </c>
      <c r="N211" s="14">
        <f>IF(B211="","",IF(K211&lt;&gt;"",K211,IF(N(IFERROR(INDEX(Projects!$D$6:$D$65,MATCH(D211,Projects!$B$6:$B$65,0)),""))&gt;0,IFERROR(INDEX(Projects!$D$6:$D$65,MATCH(D211,Projects!$B$6:$B$65,0)),""),IFERROR(INDEX(Clients!$G$6:$G$45,MATCH(C211,Clients!$B$6:$B$45,0)),0))))</f>
        <v/>
      </c>
      <c r="O211" s="14">
        <f>IF(B211="","",IF(J211&lt;&gt;"",0,ROUND(M211*N211,2)))</f>
        <v/>
      </c>
      <c r="P211" s="15">
        <f>IF(OR(B211="",J211&lt;&gt;""),"",IF(L211&lt;&gt;"",L211,IF(COUNTIFS(Invoices!$C$6:$C$305,C211,Invoices!$E$6:$E$305,"&lt;="&amp;B211,Invoices!$F$6:$F$305,"&gt;="&amp;B211)=1,INDEX(Invoices!$B$6:$B$305,SUMIFS(Invoices!$O$6:$O$305,Invoices!$C$6:$C$305,C211,Invoices!$E$6:$E$305,"&lt;="&amp;B211,Invoices!$F$6:$F$305,"&gt;="&amp;B211)),IF(COUNTIFS(Invoices!$C$6:$C$305,C211,Invoices!$E$6:$E$305,"&lt;="&amp;B211,Invoices!$F$6:$F$305,"&gt;="&amp;B211)&gt;1,"Two invoices",""))))</f>
        <v/>
      </c>
      <c r="Q211" s="15">
        <f>IF(B211="","",IF(J211&lt;&gt;"","Not billable",IF(P211="","To invoice",IF(P211="Two invoices","Check dates",IF(ISNA(MATCH(P211,Invoices!$B$6:$B$305,0)),"Check number",IF(INDEX(Invoices!$M$6:$M$305,MATCH(P211,Invoices!$B$6:$B$305,0))="Paid","Paid",IF(INDEX(Invoices!$M$6:$M$305,MATCH(P211,Invoices!$B$6:$B$305,0))="Draft","Draft","Invoiced")))))))</f>
        <v/>
      </c>
      <c r="R211" s="1">
        <f>IF(AND(B211&lt;&gt;"",P211&lt;&gt;"",P211=Invoice!$G$4),B211+MOD(N(F211),1)+ROW()/10000000,"")</f>
        <v/>
      </c>
      <c r="S211">
        <f>IF(R211="","",IF(D211="","Other work",D211)&amp;IF(AND(K211&lt;&gt;"",E211&lt;&gt;""),", "&amp;E211,""))</f>
        <v/>
      </c>
      <c r="T211">
        <f>IF(R211="","",IF(COUNTIFS(R$6:R210,"&gt;0",S$6:S210,S211,N$6:N210,N211)=0,R211,""))</f>
        <v/>
      </c>
      <c r="U211">
        <f>IF(B211="","",IF(J211&lt;&gt;"",0,M211))</f>
        <v/>
      </c>
    </row>
    <row r="212">
      <c r="A212" s="1" t="n"/>
      <c r="B212" s="16" t="n">
        <v>46255</v>
      </c>
      <c r="C212" s="17" t="inlineStr">
        <is>
          <t>Atlas Fitness</t>
        </is>
      </c>
      <c r="D212" s="18" t="inlineStr">
        <is>
          <t>Brand refresh</t>
        </is>
      </c>
      <c r="E212" s="18" t="inlineStr">
        <is>
          <t>Colour and type</t>
        </is>
      </c>
      <c r="F212" s="19" t="n">
        <v>0.3958333333333333</v>
      </c>
      <c r="G212" s="19" t="n">
        <v>0.4583333333333333</v>
      </c>
      <c r="H212" s="20" t="n"/>
      <c r="I212" s="21" t="n"/>
      <c r="J212" s="22" t="n"/>
      <c r="K212" s="23" t="n"/>
      <c r="L212" s="18" t="n"/>
      <c r="M212" s="24">
        <f>IF(B212="","",IF(AND(F212&lt;&gt;"",G212&lt;&gt;""),MAX(0,ROUND(MOD(G212-F212,1)*24-N(H212)/60,2)),N(I212)))</f>
        <v/>
      </c>
      <c r="N212" s="14">
        <f>IF(B212="","",IF(K212&lt;&gt;"",K212,IF(N(IFERROR(INDEX(Projects!$D$6:$D$65,MATCH(D212,Projects!$B$6:$B$65,0)),""))&gt;0,IFERROR(INDEX(Projects!$D$6:$D$65,MATCH(D212,Projects!$B$6:$B$65,0)),""),IFERROR(INDEX(Clients!$G$6:$G$45,MATCH(C212,Clients!$B$6:$B$45,0)),0))))</f>
        <v/>
      </c>
      <c r="O212" s="14">
        <f>IF(B212="","",IF(J212&lt;&gt;"",0,ROUND(M212*N212,2)))</f>
        <v/>
      </c>
      <c r="P212" s="15">
        <f>IF(OR(B212="",J212&lt;&gt;""),"",IF(L212&lt;&gt;"",L212,IF(COUNTIFS(Invoices!$C$6:$C$305,C212,Invoices!$E$6:$E$305,"&lt;="&amp;B212,Invoices!$F$6:$F$305,"&gt;="&amp;B212)=1,INDEX(Invoices!$B$6:$B$305,SUMIFS(Invoices!$O$6:$O$305,Invoices!$C$6:$C$305,C212,Invoices!$E$6:$E$305,"&lt;="&amp;B212,Invoices!$F$6:$F$305,"&gt;="&amp;B212)),IF(COUNTIFS(Invoices!$C$6:$C$305,C212,Invoices!$E$6:$E$305,"&lt;="&amp;B212,Invoices!$F$6:$F$305,"&gt;="&amp;B212)&gt;1,"Two invoices",""))))</f>
        <v/>
      </c>
      <c r="Q212" s="15">
        <f>IF(B212="","",IF(J212&lt;&gt;"","Not billable",IF(P212="","To invoice",IF(P212="Two invoices","Check dates",IF(ISNA(MATCH(P212,Invoices!$B$6:$B$305,0)),"Check number",IF(INDEX(Invoices!$M$6:$M$305,MATCH(P212,Invoices!$B$6:$B$305,0))="Paid","Paid",IF(INDEX(Invoices!$M$6:$M$305,MATCH(P212,Invoices!$B$6:$B$305,0))="Draft","Draft","Invoiced")))))))</f>
        <v/>
      </c>
      <c r="R212" s="1">
        <f>IF(AND(B212&lt;&gt;"",P212&lt;&gt;"",P212=Invoice!$G$4),B212+MOD(N(F212),1)+ROW()/10000000,"")</f>
        <v/>
      </c>
      <c r="S212">
        <f>IF(R212="","",IF(D212="","Other work",D212)&amp;IF(AND(K212&lt;&gt;"",E212&lt;&gt;""),", "&amp;E212,""))</f>
        <v/>
      </c>
      <c r="T212">
        <f>IF(R212="","",IF(COUNTIFS(R$6:R211,"&gt;0",S$6:S211,S212,N$6:N211,N212)=0,R212,""))</f>
        <v/>
      </c>
      <c r="U212">
        <f>IF(B212="","",IF(J212&lt;&gt;"",0,M212))</f>
        <v/>
      </c>
    </row>
    <row r="213">
      <c r="A213" s="1" t="n"/>
      <c r="B213" s="16" t="n">
        <v>46258</v>
      </c>
      <c r="C213" s="17" t="inlineStr">
        <is>
          <t>Harbour Books</t>
        </is>
      </c>
      <c r="D213" s="18" t="inlineStr">
        <is>
          <t>Book launch posters</t>
        </is>
      </c>
      <c r="E213" s="18" t="inlineStr">
        <is>
          <t>Print files</t>
        </is>
      </c>
      <c r="F213" s="19" t="n"/>
      <c r="G213" s="19" t="n"/>
      <c r="H213" s="20" t="n"/>
      <c r="I213" s="21" t="n">
        <v>2</v>
      </c>
      <c r="J213" s="22" t="n"/>
      <c r="K213" s="23" t="n"/>
      <c r="L213" s="18" t="n"/>
      <c r="M213" s="24">
        <f>IF(B213="","",IF(AND(F213&lt;&gt;"",G213&lt;&gt;""),MAX(0,ROUND(MOD(G213-F213,1)*24-N(H213)/60,2)),N(I213)))</f>
        <v/>
      </c>
      <c r="N213" s="14">
        <f>IF(B213="","",IF(K213&lt;&gt;"",K213,IF(N(IFERROR(INDEX(Projects!$D$6:$D$65,MATCH(D213,Projects!$B$6:$B$65,0)),""))&gt;0,IFERROR(INDEX(Projects!$D$6:$D$65,MATCH(D213,Projects!$B$6:$B$65,0)),""),IFERROR(INDEX(Clients!$G$6:$G$45,MATCH(C213,Clients!$B$6:$B$45,0)),0))))</f>
        <v/>
      </c>
      <c r="O213" s="14">
        <f>IF(B213="","",IF(J213&lt;&gt;"",0,ROUND(M213*N213,2)))</f>
        <v/>
      </c>
      <c r="P213" s="15">
        <f>IF(OR(B213="",J213&lt;&gt;""),"",IF(L213&lt;&gt;"",L213,IF(COUNTIFS(Invoices!$C$6:$C$305,C213,Invoices!$E$6:$E$305,"&lt;="&amp;B213,Invoices!$F$6:$F$305,"&gt;="&amp;B213)=1,INDEX(Invoices!$B$6:$B$305,SUMIFS(Invoices!$O$6:$O$305,Invoices!$C$6:$C$305,C213,Invoices!$E$6:$E$305,"&lt;="&amp;B213,Invoices!$F$6:$F$305,"&gt;="&amp;B213)),IF(COUNTIFS(Invoices!$C$6:$C$305,C213,Invoices!$E$6:$E$305,"&lt;="&amp;B213,Invoices!$F$6:$F$305,"&gt;="&amp;B213)&gt;1,"Two invoices",""))))</f>
        <v/>
      </c>
      <c r="Q213" s="15">
        <f>IF(B213="","",IF(J213&lt;&gt;"","Not billable",IF(P213="","To invoice",IF(P213="Two invoices","Check dates",IF(ISNA(MATCH(P213,Invoices!$B$6:$B$305,0)),"Check number",IF(INDEX(Invoices!$M$6:$M$305,MATCH(P213,Invoices!$B$6:$B$305,0))="Paid","Paid",IF(INDEX(Invoices!$M$6:$M$305,MATCH(P213,Invoices!$B$6:$B$305,0))="Draft","Draft","Invoiced")))))))</f>
        <v/>
      </c>
      <c r="R213" s="1">
        <f>IF(AND(B213&lt;&gt;"",P213&lt;&gt;"",P213=Invoice!$G$4),B213+MOD(N(F213),1)+ROW()/10000000,"")</f>
        <v/>
      </c>
      <c r="S213">
        <f>IF(R213="","",IF(D213="","Other work",D213)&amp;IF(AND(K213&lt;&gt;"",E213&lt;&gt;""),", "&amp;E213,""))</f>
        <v/>
      </c>
      <c r="T213">
        <f>IF(R213="","",IF(COUNTIFS(R$6:R212,"&gt;0",S$6:S212,S213,N$6:N212,N213)=0,R213,""))</f>
        <v/>
      </c>
      <c r="U213">
        <f>IF(B213="","",IF(J213&lt;&gt;"",0,M213))</f>
        <v/>
      </c>
    </row>
    <row r="214">
      <c r="A214" s="1" t="n"/>
      <c r="B214" s="16" t="n">
        <v>46258</v>
      </c>
      <c r="C214" s="17" t="inlineStr">
        <is>
          <t>Atlas Fitness</t>
        </is>
      </c>
      <c r="D214" s="18" t="inlineStr">
        <is>
          <t>Brand refresh</t>
        </is>
      </c>
      <c r="E214" s="18" t="inlineStr">
        <is>
          <t>Workshop with the team</t>
        </is>
      </c>
      <c r="F214" s="19" t="n">
        <v>0.375</v>
      </c>
      <c r="G214" s="19" t="n">
        <v>0.5208333333333334</v>
      </c>
      <c r="H214" s="20" t="n"/>
      <c r="I214" s="21" t="n"/>
      <c r="J214" s="22" t="n"/>
      <c r="K214" s="23" t="n"/>
      <c r="L214" s="18" t="n"/>
      <c r="M214" s="24">
        <f>IF(B214="","",IF(AND(F214&lt;&gt;"",G214&lt;&gt;""),MAX(0,ROUND(MOD(G214-F214,1)*24-N(H214)/60,2)),N(I214)))</f>
        <v/>
      </c>
      <c r="N214" s="14">
        <f>IF(B214="","",IF(K214&lt;&gt;"",K214,IF(N(IFERROR(INDEX(Projects!$D$6:$D$65,MATCH(D214,Projects!$B$6:$B$65,0)),""))&gt;0,IFERROR(INDEX(Projects!$D$6:$D$65,MATCH(D214,Projects!$B$6:$B$65,0)),""),IFERROR(INDEX(Clients!$G$6:$G$45,MATCH(C214,Clients!$B$6:$B$45,0)),0))))</f>
        <v/>
      </c>
      <c r="O214" s="14">
        <f>IF(B214="","",IF(J214&lt;&gt;"",0,ROUND(M214*N214,2)))</f>
        <v/>
      </c>
      <c r="P214" s="15">
        <f>IF(OR(B214="",J214&lt;&gt;""),"",IF(L214&lt;&gt;"",L214,IF(COUNTIFS(Invoices!$C$6:$C$305,C214,Invoices!$E$6:$E$305,"&lt;="&amp;B214,Invoices!$F$6:$F$305,"&gt;="&amp;B214)=1,INDEX(Invoices!$B$6:$B$305,SUMIFS(Invoices!$O$6:$O$305,Invoices!$C$6:$C$305,C214,Invoices!$E$6:$E$305,"&lt;="&amp;B214,Invoices!$F$6:$F$305,"&gt;="&amp;B214)),IF(COUNTIFS(Invoices!$C$6:$C$305,C214,Invoices!$E$6:$E$305,"&lt;="&amp;B214,Invoices!$F$6:$F$305,"&gt;="&amp;B214)&gt;1,"Two invoices",""))))</f>
        <v/>
      </c>
      <c r="Q214" s="15">
        <f>IF(B214="","",IF(J214&lt;&gt;"","Not billable",IF(P214="","To invoice",IF(P214="Two invoices","Check dates",IF(ISNA(MATCH(P214,Invoices!$B$6:$B$305,0)),"Check number",IF(INDEX(Invoices!$M$6:$M$305,MATCH(P214,Invoices!$B$6:$B$305,0))="Paid","Paid",IF(INDEX(Invoices!$M$6:$M$305,MATCH(P214,Invoices!$B$6:$B$305,0))="Draft","Draft","Invoiced")))))))</f>
        <v/>
      </c>
      <c r="R214" s="1">
        <f>IF(AND(B214&lt;&gt;"",P214&lt;&gt;"",P214=Invoice!$G$4),B214+MOD(N(F214),1)+ROW()/10000000,"")</f>
        <v/>
      </c>
      <c r="S214">
        <f>IF(R214="","",IF(D214="","Other work",D214)&amp;IF(AND(K214&lt;&gt;"",E214&lt;&gt;""),", "&amp;E214,""))</f>
        <v/>
      </c>
      <c r="T214">
        <f>IF(R214="","",IF(COUNTIFS(R$6:R213,"&gt;0",S$6:S213,S214,N$6:N213,N214)=0,R214,""))</f>
        <v/>
      </c>
      <c r="U214">
        <f>IF(B214="","",IF(J214&lt;&gt;"",0,M214))</f>
        <v/>
      </c>
    </row>
    <row r="215">
      <c r="A215" s="1" t="n"/>
      <c r="B215" s="16" t="n">
        <v>46258</v>
      </c>
      <c r="C215" s="17" t="inlineStr">
        <is>
          <t>Atlas Fitness</t>
        </is>
      </c>
      <c r="D215" s="18" t="inlineStr">
        <is>
          <t>Brand refresh</t>
        </is>
      </c>
      <c r="E215" s="18" t="inlineStr">
        <is>
          <t>Workshop with the team</t>
        </is>
      </c>
      <c r="F215" s="19" t="n">
        <v>0.5520833333333334</v>
      </c>
      <c r="G215" s="19" t="n">
        <v>0.6770833333333334</v>
      </c>
      <c r="H215" s="20" t="n"/>
      <c r="I215" s="21" t="n"/>
      <c r="J215" s="22" t="n"/>
      <c r="K215" s="23" t="n"/>
      <c r="L215" s="18" t="n"/>
      <c r="M215" s="24">
        <f>IF(B215="","",IF(AND(F215&lt;&gt;"",G215&lt;&gt;""),MAX(0,ROUND(MOD(G215-F215,1)*24-N(H215)/60,2)),N(I215)))</f>
        <v/>
      </c>
      <c r="N215" s="14">
        <f>IF(B215="","",IF(K215&lt;&gt;"",K215,IF(N(IFERROR(INDEX(Projects!$D$6:$D$65,MATCH(D215,Projects!$B$6:$B$65,0)),""))&gt;0,IFERROR(INDEX(Projects!$D$6:$D$65,MATCH(D215,Projects!$B$6:$B$65,0)),""),IFERROR(INDEX(Clients!$G$6:$G$45,MATCH(C215,Clients!$B$6:$B$45,0)),0))))</f>
        <v/>
      </c>
      <c r="O215" s="14">
        <f>IF(B215="","",IF(J215&lt;&gt;"",0,ROUND(M215*N215,2)))</f>
        <v/>
      </c>
      <c r="P215" s="15">
        <f>IF(OR(B215="",J215&lt;&gt;""),"",IF(L215&lt;&gt;"",L215,IF(COUNTIFS(Invoices!$C$6:$C$305,C215,Invoices!$E$6:$E$305,"&lt;="&amp;B215,Invoices!$F$6:$F$305,"&gt;="&amp;B215)=1,INDEX(Invoices!$B$6:$B$305,SUMIFS(Invoices!$O$6:$O$305,Invoices!$C$6:$C$305,C215,Invoices!$E$6:$E$305,"&lt;="&amp;B215,Invoices!$F$6:$F$305,"&gt;="&amp;B215)),IF(COUNTIFS(Invoices!$C$6:$C$305,C215,Invoices!$E$6:$E$305,"&lt;="&amp;B215,Invoices!$F$6:$F$305,"&gt;="&amp;B215)&gt;1,"Two invoices",""))))</f>
        <v/>
      </c>
      <c r="Q215" s="15">
        <f>IF(B215="","",IF(J215&lt;&gt;"","Not billable",IF(P215="","To invoice",IF(P215="Two invoices","Check dates",IF(ISNA(MATCH(P215,Invoices!$B$6:$B$305,0)),"Check number",IF(INDEX(Invoices!$M$6:$M$305,MATCH(P215,Invoices!$B$6:$B$305,0))="Paid","Paid",IF(INDEX(Invoices!$M$6:$M$305,MATCH(P215,Invoices!$B$6:$B$305,0))="Draft","Draft","Invoiced")))))))</f>
        <v/>
      </c>
      <c r="R215" s="1">
        <f>IF(AND(B215&lt;&gt;"",P215&lt;&gt;"",P215=Invoice!$G$4),B215+MOD(N(F215),1)+ROW()/10000000,"")</f>
        <v/>
      </c>
      <c r="S215">
        <f>IF(R215="","",IF(D215="","Other work",D215)&amp;IF(AND(K215&lt;&gt;"",E215&lt;&gt;""),", "&amp;E215,""))</f>
        <v/>
      </c>
      <c r="T215">
        <f>IF(R215="","",IF(COUNTIFS(R$6:R214,"&gt;0",S$6:S214,S215,N$6:N214,N215)=0,R215,""))</f>
        <v/>
      </c>
      <c r="U215">
        <f>IF(B215="","",IF(J215&lt;&gt;"",0,M215))</f>
        <v/>
      </c>
    </row>
    <row r="216">
      <c r="A216" s="1" t="n"/>
      <c r="B216" s="16" t="n">
        <v>46259</v>
      </c>
      <c r="C216" s="17" t="inlineStr">
        <is>
          <t>Harbour Books</t>
        </is>
      </c>
      <c r="D216" s="18" t="inlineStr">
        <is>
          <t>Book launch posters</t>
        </is>
      </c>
      <c r="E216" s="18" t="inlineStr">
        <is>
          <t>Poster concepts</t>
        </is>
      </c>
      <c r="F216" s="19" t="n">
        <v>0.375</v>
      </c>
      <c r="G216" s="19" t="n">
        <v>0.53125</v>
      </c>
      <c r="H216" s="20" t="n">
        <v>15</v>
      </c>
      <c r="I216" s="21" t="n"/>
      <c r="J216" s="22" t="n"/>
      <c r="K216" s="23" t="n"/>
      <c r="L216" s="18" t="n"/>
      <c r="M216" s="24">
        <f>IF(B216="","",IF(AND(F216&lt;&gt;"",G216&lt;&gt;""),MAX(0,ROUND(MOD(G216-F216,1)*24-N(H216)/60,2)),N(I216)))</f>
        <v/>
      </c>
      <c r="N216" s="14">
        <f>IF(B216="","",IF(K216&lt;&gt;"",K216,IF(N(IFERROR(INDEX(Projects!$D$6:$D$65,MATCH(D216,Projects!$B$6:$B$65,0)),""))&gt;0,IFERROR(INDEX(Projects!$D$6:$D$65,MATCH(D216,Projects!$B$6:$B$65,0)),""),IFERROR(INDEX(Clients!$G$6:$G$45,MATCH(C216,Clients!$B$6:$B$45,0)),0))))</f>
        <v/>
      </c>
      <c r="O216" s="14">
        <f>IF(B216="","",IF(J216&lt;&gt;"",0,ROUND(M216*N216,2)))</f>
        <v/>
      </c>
      <c r="P216" s="15">
        <f>IF(OR(B216="",J216&lt;&gt;""),"",IF(L216&lt;&gt;"",L216,IF(COUNTIFS(Invoices!$C$6:$C$305,C216,Invoices!$E$6:$E$305,"&lt;="&amp;B216,Invoices!$F$6:$F$305,"&gt;="&amp;B216)=1,INDEX(Invoices!$B$6:$B$305,SUMIFS(Invoices!$O$6:$O$305,Invoices!$C$6:$C$305,C216,Invoices!$E$6:$E$305,"&lt;="&amp;B216,Invoices!$F$6:$F$305,"&gt;="&amp;B216)),IF(COUNTIFS(Invoices!$C$6:$C$305,C216,Invoices!$E$6:$E$305,"&lt;="&amp;B216,Invoices!$F$6:$F$305,"&gt;="&amp;B216)&gt;1,"Two invoices",""))))</f>
        <v/>
      </c>
      <c r="Q216" s="15">
        <f>IF(B216="","",IF(J216&lt;&gt;"","Not billable",IF(P216="","To invoice",IF(P216="Two invoices","Check dates",IF(ISNA(MATCH(P216,Invoices!$B$6:$B$305,0)),"Check number",IF(INDEX(Invoices!$M$6:$M$305,MATCH(P216,Invoices!$B$6:$B$305,0))="Paid","Paid",IF(INDEX(Invoices!$M$6:$M$305,MATCH(P216,Invoices!$B$6:$B$305,0))="Draft","Draft","Invoiced")))))))</f>
        <v/>
      </c>
      <c r="R216" s="1">
        <f>IF(AND(B216&lt;&gt;"",P216&lt;&gt;"",P216=Invoice!$G$4),B216+MOD(N(F216),1)+ROW()/10000000,"")</f>
        <v/>
      </c>
      <c r="S216">
        <f>IF(R216="","",IF(D216="","Other work",D216)&amp;IF(AND(K216&lt;&gt;"",E216&lt;&gt;""),", "&amp;E216,""))</f>
        <v/>
      </c>
      <c r="T216">
        <f>IF(R216="","",IF(COUNTIFS(R$6:R215,"&gt;0",S$6:S215,S216,N$6:N215,N216)=0,R216,""))</f>
        <v/>
      </c>
      <c r="U216">
        <f>IF(B216="","",IF(J216&lt;&gt;"",0,M216))</f>
        <v/>
      </c>
    </row>
    <row r="217">
      <c r="A217" s="1" t="n"/>
      <c r="B217" s="16" t="n">
        <v>46259</v>
      </c>
      <c r="C217" s="17" t="inlineStr">
        <is>
          <t>Harbour Books</t>
        </is>
      </c>
      <c r="D217" s="18" t="inlineStr">
        <is>
          <t>Website redesign</t>
        </is>
      </c>
      <c r="E217" s="18" t="inlineStr">
        <is>
          <t>Mobile layouts</t>
        </is>
      </c>
      <c r="F217" s="19" t="n">
        <v>0.5520833333333334</v>
      </c>
      <c r="G217" s="19" t="n">
        <v>0.65625</v>
      </c>
      <c r="H217" s="20" t="n"/>
      <c r="I217" s="21" t="n"/>
      <c r="J217" s="22" t="n"/>
      <c r="K217" s="23" t="n"/>
      <c r="L217" s="18" t="n"/>
      <c r="M217" s="24">
        <f>IF(B217="","",IF(AND(F217&lt;&gt;"",G217&lt;&gt;""),MAX(0,ROUND(MOD(G217-F217,1)*24-N(H217)/60,2)),N(I217)))</f>
        <v/>
      </c>
      <c r="N217" s="14">
        <f>IF(B217="","",IF(K217&lt;&gt;"",K217,IF(N(IFERROR(INDEX(Projects!$D$6:$D$65,MATCH(D217,Projects!$B$6:$B$65,0)),""))&gt;0,IFERROR(INDEX(Projects!$D$6:$D$65,MATCH(D217,Projects!$B$6:$B$65,0)),""),IFERROR(INDEX(Clients!$G$6:$G$45,MATCH(C217,Clients!$B$6:$B$45,0)),0))))</f>
        <v/>
      </c>
      <c r="O217" s="14">
        <f>IF(B217="","",IF(J217&lt;&gt;"",0,ROUND(M217*N217,2)))</f>
        <v/>
      </c>
      <c r="P217" s="15">
        <f>IF(OR(B217="",J217&lt;&gt;""),"",IF(L217&lt;&gt;"",L217,IF(COUNTIFS(Invoices!$C$6:$C$305,C217,Invoices!$E$6:$E$305,"&lt;="&amp;B217,Invoices!$F$6:$F$305,"&gt;="&amp;B217)=1,INDEX(Invoices!$B$6:$B$305,SUMIFS(Invoices!$O$6:$O$305,Invoices!$C$6:$C$305,C217,Invoices!$E$6:$E$305,"&lt;="&amp;B217,Invoices!$F$6:$F$305,"&gt;="&amp;B217)),IF(COUNTIFS(Invoices!$C$6:$C$305,C217,Invoices!$E$6:$E$305,"&lt;="&amp;B217,Invoices!$F$6:$F$305,"&gt;="&amp;B217)&gt;1,"Two invoices",""))))</f>
        <v/>
      </c>
      <c r="Q217" s="15">
        <f>IF(B217="","",IF(J217&lt;&gt;"","Not billable",IF(P217="","To invoice",IF(P217="Two invoices","Check dates",IF(ISNA(MATCH(P217,Invoices!$B$6:$B$305,0)),"Check number",IF(INDEX(Invoices!$M$6:$M$305,MATCH(P217,Invoices!$B$6:$B$305,0))="Paid","Paid",IF(INDEX(Invoices!$M$6:$M$305,MATCH(P217,Invoices!$B$6:$B$305,0))="Draft","Draft","Invoiced")))))))</f>
        <v/>
      </c>
      <c r="R217" s="1">
        <f>IF(AND(B217&lt;&gt;"",P217&lt;&gt;"",P217=Invoice!$G$4),B217+MOD(N(F217),1)+ROW()/10000000,"")</f>
        <v/>
      </c>
      <c r="S217">
        <f>IF(R217="","",IF(D217="","Other work",D217)&amp;IF(AND(K217&lt;&gt;"",E217&lt;&gt;""),", "&amp;E217,""))</f>
        <v/>
      </c>
      <c r="T217">
        <f>IF(R217="","",IF(COUNTIFS(R$6:R216,"&gt;0",S$6:S216,S217,N$6:N216,N217)=0,R217,""))</f>
        <v/>
      </c>
      <c r="U217">
        <f>IF(B217="","",IF(J217&lt;&gt;"",0,M217))</f>
        <v/>
      </c>
    </row>
    <row r="218">
      <c r="A218" s="1" t="n"/>
      <c r="B218" s="16" t="n">
        <v>46260</v>
      </c>
      <c r="C218" s="17" t="inlineStr">
        <is>
          <t>Greenleaf Studio</t>
        </is>
      </c>
      <c r="D218" s="18" t="inlineStr">
        <is>
          <t>Monthly social posts</t>
        </is>
      </c>
      <c r="E218" s="18" t="inlineStr">
        <is>
          <t>Monthly report</t>
        </is>
      </c>
      <c r="F218" s="19" t="n"/>
      <c r="G218" s="19" t="n"/>
      <c r="H218" s="20" t="n"/>
      <c r="I218" s="21" t="n">
        <v>2</v>
      </c>
      <c r="J218" s="22" t="n"/>
      <c r="K218" s="23" t="n"/>
      <c r="L218" s="18" t="n"/>
      <c r="M218" s="24">
        <f>IF(B218="","",IF(AND(F218&lt;&gt;"",G218&lt;&gt;""),MAX(0,ROUND(MOD(G218-F218,1)*24-N(H218)/60,2)),N(I218)))</f>
        <v/>
      </c>
      <c r="N218" s="14">
        <f>IF(B218="","",IF(K218&lt;&gt;"",K218,IF(N(IFERROR(INDEX(Projects!$D$6:$D$65,MATCH(D218,Projects!$B$6:$B$65,0)),""))&gt;0,IFERROR(INDEX(Projects!$D$6:$D$65,MATCH(D218,Projects!$B$6:$B$65,0)),""),IFERROR(INDEX(Clients!$G$6:$G$45,MATCH(C218,Clients!$B$6:$B$45,0)),0))))</f>
        <v/>
      </c>
      <c r="O218" s="14">
        <f>IF(B218="","",IF(J218&lt;&gt;"",0,ROUND(M218*N218,2)))</f>
        <v/>
      </c>
      <c r="P218" s="15">
        <f>IF(OR(B218="",J218&lt;&gt;""),"",IF(L218&lt;&gt;"",L218,IF(COUNTIFS(Invoices!$C$6:$C$305,C218,Invoices!$E$6:$E$305,"&lt;="&amp;B218,Invoices!$F$6:$F$305,"&gt;="&amp;B218)=1,INDEX(Invoices!$B$6:$B$305,SUMIFS(Invoices!$O$6:$O$305,Invoices!$C$6:$C$305,C218,Invoices!$E$6:$E$305,"&lt;="&amp;B218,Invoices!$F$6:$F$305,"&gt;="&amp;B218)),IF(COUNTIFS(Invoices!$C$6:$C$305,C218,Invoices!$E$6:$E$305,"&lt;="&amp;B218,Invoices!$F$6:$F$305,"&gt;="&amp;B218)&gt;1,"Two invoices",""))))</f>
        <v/>
      </c>
      <c r="Q218" s="15">
        <f>IF(B218="","",IF(J218&lt;&gt;"","Not billable",IF(P218="","To invoice",IF(P218="Two invoices","Check dates",IF(ISNA(MATCH(P218,Invoices!$B$6:$B$305,0)),"Check number",IF(INDEX(Invoices!$M$6:$M$305,MATCH(P218,Invoices!$B$6:$B$305,0))="Paid","Paid",IF(INDEX(Invoices!$M$6:$M$305,MATCH(P218,Invoices!$B$6:$B$305,0))="Draft","Draft","Invoiced")))))))</f>
        <v/>
      </c>
      <c r="R218" s="1">
        <f>IF(AND(B218&lt;&gt;"",P218&lt;&gt;"",P218=Invoice!$G$4),B218+MOD(N(F218),1)+ROW()/10000000,"")</f>
        <v/>
      </c>
      <c r="S218">
        <f>IF(R218="","",IF(D218="","Other work",D218)&amp;IF(AND(K218&lt;&gt;"",E218&lt;&gt;""),", "&amp;E218,""))</f>
        <v/>
      </c>
      <c r="T218">
        <f>IF(R218="","",IF(COUNTIFS(R$6:R217,"&gt;0",S$6:S217,S218,N$6:N217,N218)=0,R218,""))</f>
        <v/>
      </c>
      <c r="U218">
        <f>IF(B218="","",IF(J218&lt;&gt;"",0,M218))</f>
        <v/>
      </c>
    </row>
    <row r="219">
      <c r="A219" s="1" t="n"/>
      <c r="B219" s="16" t="n">
        <v>46260</v>
      </c>
      <c r="C219" s="17" t="inlineStr">
        <is>
          <t>Harbour Books</t>
        </is>
      </c>
      <c r="D219" s="18" t="inlineStr">
        <is>
          <t>Website redesign</t>
        </is>
      </c>
      <c r="E219" s="18" t="inlineStr">
        <is>
          <t>Client call</t>
        </is>
      </c>
      <c r="F219" s="19" t="n">
        <v>0.3958333333333333</v>
      </c>
      <c r="G219" s="19" t="n">
        <v>0.4791666666666667</v>
      </c>
      <c r="H219" s="20" t="n"/>
      <c r="I219" s="21" t="n"/>
      <c r="J219" s="22" t="n"/>
      <c r="K219" s="23" t="n"/>
      <c r="L219" s="18" t="n"/>
      <c r="M219" s="24">
        <f>IF(B219="","",IF(AND(F219&lt;&gt;"",G219&lt;&gt;""),MAX(0,ROUND(MOD(G219-F219,1)*24-N(H219)/60,2)),N(I219)))</f>
        <v/>
      </c>
      <c r="N219" s="14">
        <f>IF(B219="","",IF(K219&lt;&gt;"",K219,IF(N(IFERROR(INDEX(Projects!$D$6:$D$65,MATCH(D219,Projects!$B$6:$B$65,0)),""))&gt;0,IFERROR(INDEX(Projects!$D$6:$D$65,MATCH(D219,Projects!$B$6:$B$65,0)),""),IFERROR(INDEX(Clients!$G$6:$G$45,MATCH(C219,Clients!$B$6:$B$45,0)),0))))</f>
        <v/>
      </c>
      <c r="O219" s="14">
        <f>IF(B219="","",IF(J219&lt;&gt;"",0,ROUND(M219*N219,2)))</f>
        <v/>
      </c>
      <c r="P219" s="15">
        <f>IF(OR(B219="",J219&lt;&gt;""),"",IF(L219&lt;&gt;"",L219,IF(COUNTIFS(Invoices!$C$6:$C$305,C219,Invoices!$E$6:$E$305,"&lt;="&amp;B219,Invoices!$F$6:$F$305,"&gt;="&amp;B219)=1,INDEX(Invoices!$B$6:$B$305,SUMIFS(Invoices!$O$6:$O$305,Invoices!$C$6:$C$305,C219,Invoices!$E$6:$E$305,"&lt;="&amp;B219,Invoices!$F$6:$F$305,"&gt;="&amp;B219)),IF(COUNTIFS(Invoices!$C$6:$C$305,C219,Invoices!$E$6:$E$305,"&lt;="&amp;B219,Invoices!$F$6:$F$305,"&gt;="&amp;B219)&gt;1,"Two invoices",""))))</f>
        <v/>
      </c>
      <c r="Q219" s="15">
        <f>IF(B219="","",IF(J219&lt;&gt;"","Not billable",IF(P219="","To invoice",IF(P219="Two invoices","Check dates",IF(ISNA(MATCH(P219,Invoices!$B$6:$B$305,0)),"Check number",IF(INDEX(Invoices!$M$6:$M$305,MATCH(P219,Invoices!$B$6:$B$305,0))="Paid","Paid",IF(INDEX(Invoices!$M$6:$M$305,MATCH(P219,Invoices!$B$6:$B$305,0))="Draft","Draft","Invoiced")))))))</f>
        <v/>
      </c>
      <c r="R219" s="1">
        <f>IF(AND(B219&lt;&gt;"",P219&lt;&gt;"",P219=Invoice!$G$4),B219+MOD(N(F219),1)+ROW()/10000000,"")</f>
        <v/>
      </c>
      <c r="S219">
        <f>IF(R219="","",IF(D219="","Other work",D219)&amp;IF(AND(K219&lt;&gt;"",E219&lt;&gt;""),", "&amp;E219,""))</f>
        <v/>
      </c>
      <c r="T219">
        <f>IF(R219="","",IF(COUNTIFS(R$6:R218,"&gt;0",S$6:S218,S219,N$6:N218,N219)=0,R219,""))</f>
        <v/>
      </c>
      <c r="U219">
        <f>IF(B219="","",IF(J219&lt;&gt;"",0,M219))</f>
        <v/>
      </c>
    </row>
    <row r="220">
      <c r="A220" s="1" t="n"/>
      <c r="B220" s="16" t="n">
        <v>46261</v>
      </c>
      <c r="C220" s="17" t="inlineStr">
        <is>
          <t>Greenleaf Studio</t>
        </is>
      </c>
      <c r="D220" s="18" t="inlineStr">
        <is>
          <t>Monthly social posts</t>
        </is>
      </c>
      <c r="E220" s="18" t="inlineStr">
        <is>
          <t>Captions and scheduling</t>
        </is>
      </c>
      <c r="F220" s="19" t="n">
        <v>0.3958333333333333</v>
      </c>
      <c r="G220" s="19" t="n">
        <v>0.4375</v>
      </c>
      <c r="H220" s="20" t="n"/>
      <c r="I220" s="21" t="n"/>
      <c r="J220" s="22" t="n"/>
      <c r="K220" s="23" t="n"/>
      <c r="L220" s="18" t="n"/>
      <c r="M220" s="24">
        <f>IF(B220="","",IF(AND(F220&lt;&gt;"",G220&lt;&gt;""),MAX(0,ROUND(MOD(G220-F220,1)*24-N(H220)/60,2)),N(I220)))</f>
        <v/>
      </c>
      <c r="N220" s="14">
        <f>IF(B220="","",IF(K220&lt;&gt;"",K220,IF(N(IFERROR(INDEX(Projects!$D$6:$D$65,MATCH(D220,Projects!$B$6:$B$65,0)),""))&gt;0,IFERROR(INDEX(Projects!$D$6:$D$65,MATCH(D220,Projects!$B$6:$B$65,0)),""),IFERROR(INDEX(Clients!$G$6:$G$45,MATCH(C220,Clients!$B$6:$B$45,0)),0))))</f>
        <v/>
      </c>
      <c r="O220" s="14">
        <f>IF(B220="","",IF(J220&lt;&gt;"",0,ROUND(M220*N220,2)))</f>
        <v/>
      </c>
      <c r="P220" s="15">
        <f>IF(OR(B220="",J220&lt;&gt;""),"",IF(L220&lt;&gt;"",L220,IF(COUNTIFS(Invoices!$C$6:$C$305,C220,Invoices!$E$6:$E$305,"&lt;="&amp;B220,Invoices!$F$6:$F$305,"&gt;="&amp;B220)=1,INDEX(Invoices!$B$6:$B$305,SUMIFS(Invoices!$O$6:$O$305,Invoices!$C$6:$C$305,C220,Invoices!$E$6:$E$305,"&lt;="&amp;B220,Invoices!$F$6:$F$305,"&gt;="&amp;B220)),IF(COUNTIFS(Invoices!$C$6:$C$305,C220,Invoices!$E$6:$E$305,"&lt;="&amp;B220,Invoices!$F$6:$F$305,"&gt;="&amp;B220)&gt;1,"Two invoices",""))))</f>
        <v/>
      </c>
      <c r="Q220" s="15">
        <f>IF(B220="","",IF(J220&lt;&gt;"","Not billable",IF(P220="","To invoice",IF(P220="Two invoices","Check dates",IF(ISNA(MATCH(P220,Invoices!$B$6:$B$305,0)),"Check number",IF(INDEX(Invoices!$M$6:$M$305,MATCH(P220,Invoices!$B$6:$B$305,0))="Paid","Paid",IF(INDEX(Invoices!$M$6:$M$305,MATCH(P220,Invoices!$B$6:$B$305,0))="Draft","Draft","Invoiced")))))))</f>
        <v/>
      </c>
      <c r="R220" s="1">
        <f>IF(AND(B220&lt;&gt;"",P220&lt;&gt;"",P220=Invoice!$G$4),B220+MOD(N(F220),1)+ROW()/10000000,"")</f>
        <v/>
      </c>
      <c r="S220">
        <f>IF(R220="","",IF(D220="","Other work",D220)&amp;IF(AND(K220&lt;&gt;"",E220&lt;&gt;""),", "&amp;E220,""))</f>
        <v/>
      </c>
      <c r="T220">
        <f>IF(R220="","",IF(COUNTIFS(R$6:R219,"&gt;0",S$6:S219,S220,N$6:N219,N220)=0,R220,""))</f>
        <v/>
      </c>
      <c r="U220">
        <f>IF(B220="","",IF(J220&lt;&gt;"",0,M220))</f>
        <v/>
      </c>
    </row>
    <row r="221">
      <c r="A221" s="1" t="n"/>
      <c r="B221" s="16" t="n">
        <v>46261</v>
      </c>
      <c r="C221" s="17" t="inlineStr">
        <is>
          <t>Greenleaf Studio</t>
        </is>
      </c>
      <c r="D221" s="18" t="inlineStr">
        <is>
          <t>Monthly social posts</t>
        </is>
      </c>
      <c r="E221" s="18" t="inlineStr">
        <is>
          <t>Monthly report</t>
        </is>
      </c>
      <c r="F221" s="19" t="n">
        <v>0.46875</v>
      </c>
      <c r="G221" s="19" t="n">
        <v>0.59375</v>
      </c>
      <c r="H221" s="20" t="n"/>
      <c r="I221" s="21" t="n"/>
      <c r="J221" s="22" t="n"/>
      <c r="K221" s="23" t="n"/>
      <c r="L221" s="18" t="n"/>
      <c r="M221" s="24">
        <f>IF(B221="","",IF(AND(F221&lt;&gt;"",G221&lt;&gt;""),MAX(0,ROUND(MOD(G221-F221,1)*24-N(H221)/60,2)),N(I221)))</f>
        <v/>
      </c>
      <c r="N221" s="14">
        <f>IF(B221="","",IF(K221&lt;&gt;"",K221,IF(N(IFERROR(INDEX(Projects!$D$6:$D$65,MATCH(D221,Projects!$B$6:$B$65,0)),""))&gt;0,IFERROR(INDEX(Projects!$D$6:$D$65,MATCH(D221,Projects!$B$6:$B$65,0)),""),IFERROR(INDEX(Clients!$G$6:$G$45,MATCH(C221,Clients!$B$6:$B$45,0)),0))))</f>
        <v/>
      </c>
      <c r="O221" s="14">
        <f>IF(B221="","",IF(J221&lt;&gt;"",0,ROUND(M221*N221,2)))</f>
        <v/>
      </c>
      <c r="P221" s="15">
        <f>IF(OR(B221="",J221&lt;&gt;""),"",IF(L221&lt;&gt;"",L221,IF(COUNTIFS(Invoices!$C$6:$C$305,C221,Invoices!$E$6:$E$305,"&lt;="&amp;B221,Invoices!$F$6:$F$305,"&gt;="&amp;B221)=1,INDEX(Invoices!$B$6:$B$305,SUMIFS(Invoices!$O$6:$O$305,Invoices!$C$6:$C$305,C221,Invoices!$E$6:$E$305,"&lt;="&amp;B221,Invoices!$F$6:$F$305,"&gt;="&amp;B221)),IF(COUNTIFS(Invoices!$C$6:$C$305,C221,Invoices!$E$6:$E$305,"&lt;="&amp;B221,Invoices!$F$6:$F$305,"&gt;="&amp;B221)&gt;1,"Two invoices",""))))</f>
        <v/>
      </c>
      <c r="Q221" s="15">
        <f>IF(B221="","",IF(J221&lt;&gt;"","Not billable",IF(P221="","To invoice",IF(P221="Two invoices","Check dates",IF(ISNA(MATCH(P221,Invoices!$B$6:$B$305,0)),"Check number",IF(INDEX(Invoices!$M$6:$M$305,MATCH(P221,Invoices!$B$6:$B$305,0))="Paid","Paid",IF(INDEX(Invoices!$M$6:$M$305,MATCH(P221,Invoices!$B$6:$B$305,0))="Draft","Draft","Invoiced")))))))</f>
        <v/>
      </c>
      <c r="R221" s="1">
        <f>IF(AND(B221&lt;&gt;"",P221&lt;&gt;"",P221=Invoice!$G$4),B221+MOD(N(F221),1)+ROW()/10000000,"")</f>
        <v/>
      </c>
      <c r="S221">
        <f>IF(R221="","",IF(D221="","Other work",D221)&amp;IF(AND(K221&lt;&gt;"",E221&lt;&gt;""),", "&amp;E221,""))</f>
        <v/>
      </c>
      <c r="T221">
        <f>IF(R221="","",IF(COUNTIFS(R$6:R220,"&gt;0",S$6:S220,S221,N$6:N220,N221)=0,R221,""))</f>
        <v/>
      </c>
      <c r="U221">
        <f>IF(B221="","",IF(J221&lt;&gt;"",0,M221))</f>
        <v/>
      </c>
    </row>
    <row r="222">
      <c r="A222" s="1" t="n"/>
      <c r="B222" s="16" t="n">
        <v>46262</v>
      </c>
      <c r="C222" s="17" t="inlineStr">
        <is>
          <t>Harbour Books</t>
        </is>
      </c>
      <c r="D222" s="18" t="inlineStr">
        <is>
          <t>Website redesign</t>
        </is>
      </c>
      <c r="E222" s="18" t="inlineStr">
        <is>
          <t>Client call</t>
        </is>
      </c>
      <c r="F222" s="19" t="n">
        <v>0.3958333333333333</v>
      </c>
      <c r="G222" s="19" t="n">
        <v>0.4375</v>
      </c>
      <c r="H222" s="20" t="n"/>
      <c r="I222" s="21" t="n"/>
      <c r="J222" s="22" t="n"/>
      <c r="K222" s="23" t="n"/>
      <c r="L222" s="18" t="n"/>
      <c r="M222" s="24">
        <f>IF(B222="","",IF(AND(F222&lt;&gt;"",G222&lt;&gt;""),MAX(0,ROUND(MOD(G222-F222,1)*24-N(H222)/60,2)),N(I222)))</f>
        <v/>
      </c>
      <c r="N222" s="14">
        <f>IF(B222="","",IF(K222&lt;&gt;"",K222,IF(N(IFERROR(INDEX(Projects!$D$6:$D$65,MATCH(D222,Projects!$B$6:$B$65,0)),""))&gt;0,IFERROR(INDEX(Projects!$D$6:$D$65,MATCH(D222,Projects!$B$6:$B$65,0)),""),IFERROR(INDEX(Clients!$G$6:$G$45,MATCH(C222,Clients!$B$6:$B$45,0)),0))))</f>
        <v/>
      </c>
      <c r="O222" s="14">
        <f>IF(B222="","",IF(J222&lt;&gt;"",0,ROUND(M222*N222,2)))</f>
        <v/>
      </c>
      <c r="P222" s="15">
        <f>IF(OR(B222="",J222&lt;&gt;""),"",IF(L222&lt;&gt;"",L222,IF(COUNTIFS(Invoices!$C$6:$C$305,C222,Invoices!$E$6:$E$305,"&lt;="&amp;B222,Invoices!$F$6:$F$305,"&gt;="&amp;B222)=1,INDEX(Invoices!$B$6:$B$305,SUMIFS(Invoices!$O$6:$O$305,Invoices!$C$6:$C$305,C222,Invoices!$E$6:$E$305,"&lt;="&amp;B222,Invoices!$F$6:$F$305,"&gt;="&amp;B222)),IF(COUNTIFS(Invoices!$C$6:$C$305,C222,Invoices!$E$6:$E$305,"&lt;="&amp;B222,Invoices!$F$6:$F$305,"&gt;="&amp;B222)&gt;1,"Two invoices",""))))</f>
        <v/>
      </c>
      <c r="Q222" s="15">
        <f>IF(B222="","",IF(J222&lt;&gt;"","Not billable",IF(P222="","To invoice",IF(P222="Two invoices","Check dates",IF(ISNA(MATCH(P222,Invoices!$B$6:$B$305,0)),"Check number",IF(INDEX(Invoices!$M$6:$M$305,MATCH(P222,Invoices!$B$6:$B$305,0))="Paid","Paid",IF(INDEX(Invoices!$M$6:$M$305,MATCH(P222,Invoices!$B$6:$B$305,0))="Draft","Draft","Invoiced")))))))</f>
        <v/>
      </c>
      <c r="R222" s="1">
        <f>IF(AND(B222&lt;&gt;"",P222&lt;&gt;"",P222=Invoice!$G$4),B222+MOD(N(F222),1)+ROW()/10000000,"")</f>
        <v/>
      </c>
      <c r="S222">
        <f>IF(R222="","",IF(D222="","Other work",D222)&amp;IF(AND(K222&lt;&gt;"",E222&lt;&gt;""),", "&amp;E222,""))</f>
        <v/>
      </c>
      <c r="T222">
        <f>IF(R222="","",IF(COUNTIFS(R$6:R221,"&gt;0",S$6:S221,S222,N$6:N221,N222)=0,R222,""))</f>
        <v/>
      </c>
      <c r="U222">
        <f>IF(B222="","",IF(J222&lt;&gt;"",0,M222))</f>
        <v/>
      </c>
    </row>
    <row r="223">
      <c r="A223" s="1" t="n"/>
      <c r="B223" s="16" t="n">
        <v>46262</v>
      </c>
      <c r="C223" s="17" t="inlineStr">
        <is>
          <t>Atlas Fitness</t>
        </is>
      </c>
      <c r="D223" s="18" t="inlineStr">
        <is>
          <t>Brand refresh</t>
        </is>
      </c>
      <c r="E223" s="18" t="inlineStr">
        <is>
          <t>Logo sketches</t>
        </is>
      </c>
      <c r="F223" s="19" t="n">
        <v>0.46875</v>
      </c>
      <c r="G223" s="19" t="n">
        <v>0.53125</v>
      </c>
      <c r="H223" s="20" t="n"/>
      <c r="I223" s="21" t="n"/>
      <c r="J223" s="22" t="n"/>
      <c r="K223" s="23" t="n"/>
      <c r="L223" s="18" t="n"/>
      <c r="M223" s="24">
        <f>IF(B223="","",IF(AND(F223&lt;&gt;"",G223&lt;&gt;""),MAX(0,ROUND(MOD(G223-F223,1)*24-N(H223)/60,2)),N(I223)))</f>
        <v/>
      </c>
      <c r="N223" s="14">
        <f>IF(B223="","",IF(K223&lt;&gt;"",K223,IF(N(IFERROR(INDEX(Projects!$D$6:$D$65,MATCH(D223,Projects!$B$6:$B$65,0)),""))&gt;0,IFERROR(INDEX(Projects!$D$6:$D$65,MATCH(D223,Projects!$B$6:$B$65,0)),""),IFERROR(INDEX(Clients!$G$6:$G$45,MATCH(C223,Clients!$B$6:$B$45,0)),0))))</f>
        <v/>
      </c>
      <c r="O223" s="14">
        <f>IF(B223="","",IF(J223&lt;&gt;"",0,ROUND(M223*N223,2)))</f>
        <v/>
      </c>
      <c r="P223" s="15">
        <f>IF(OR(B223="",J223&lt;&gt;""),"",IF(L223&lt;&gt;"",L223,IF(COUNTIFS(Invoices!$C$6:$C$305,C223,Invoices!$E$6:$E$305,"&lt;="&amp;B223,Invoices!$F$6:$F$305,"&gt;="&amp;B223)=1,INDEX(Invoices!$B$6:$B$305,SUMIFS(Invoices!$O$6:$O$305,Invoices!$C$6:$C$305,C223,Invoices!$E$6:$E$305,"&lt;="&amp;B223,Invoices!$F$6:$F$305,"&gt;="&amp;B223)),IF(COUNTIFS(Invoices!$C$6:$C$305,C223,Invoices!$E$6:$E$305,"&lt;="&amp;B223,Invoices!$F$6:$F$305,"&gt;="&amp;B223)&gt;1,"Two invoices",""))))</f>
        <v/>
      </c>
      <c r="Q223" s="15">
        <f>IF(B223="","",IF(J223&lt;&gt;"","Not billable",IF(P223="","To invoice",IF(P223="Two invoices","Check dates",IF(ISNA(MATCH(P223,Invoices!$B$6:$B$305,0)),"Check number",IF(INDEX(Invoices!$M$6:$M$305,MATCH(P223,Invoices!$B$6:$B$305,0))="Paid","Paid",IF(INDEX(Invoices!$M$6:$M$305,MATCH(P223,Invoices!$B$6:$B$305,0))="Draft","Draft","Invoiced")))))))</f>
        <v/>
      </c>
      <c r="R223" s="1">
        <f>IF(AND(B223&lt;&gt;"",P223&lt;&gt;"",P223=Invoice!$G$4),B223+MOD(N(F223),1)+ROW()/10000000,"")</f>
        <v/>
      </c>
      <c r="S223">
        <f>IF(R223="","",IF(D223="","Other work",D223)&amp;IF(AND(K223&lt;&gt;"",E223&lt;&gt;""),", "&amp;E223,""))</f>
        <v/>
      </c>
      <c r="T223">
        <f>IF(R223="","",IF(COUNTIFS(R$6:R222,"&gt;0",S$6:S222,S223,N$6:N222,N223)=0,R223,""))</f>
        <v/>
      </c>
      <c r="U223">
        <f>IF(B223="","",IF(J223&lt;&gt;"",0,M223))</f>
        <v/>
      </c>
    </row>
    <row r="224">
      <c r="A224" s="1" t="n"/>
      <c r="B224" s="16" t="n">
        <v>46265</v>
      </c>
      <c r="C224" s="17" t="inlineStr">
        <is>
          <t>Harbour Books</t>
        </is>
      </c>
      <c r="D224" s="18" t="inlineStr">
        <is>
          <t>Website redesign</t>
        </is>
      </c>
      <c r="E224" s="18" t="inlineStr">
        <is>
          <t>Client call</t>
        </is>
      </c>
      <c r="F224" s="19" t="n">
        <v>0.375</v>
      </c>
      <c r="G224" s="19" t="n">
        <v>0.4583333333333333</v>
      </c>
      <c r="H224" s="20" t="n"/>
      <c r="I224" s="21" t="n"/>
      <c r="J224" s="22" t="n"/>
      <c r="K224" s="23" t="n"/>
      <c r="L224" s="18" t="n"/>
      <c r="M224" s="24">
        <f>IF(B224="","",IF(AND(F224&lt;&gt;"",G224&lt;&gt;""),MAX(0,ROUND(MOD(G224-F224,1)*24-N(H224)/60,2)),N(I224)))</f>
        <v/>
      </c>
      <c r="N224" s="14">
        <f>IF(B224="","",IF(K224&lt;&gt;"",K224,IF(N(IFERROR(INDEX(Projects!$D$6:$D$65,MATCH(D224,Projects!$B$6:$B$65,0)),""))&gt;0,IFERROR(INDEX(Projects!$D$6:$D$65,MATCH(D224,Projects!$B$6:$B$65,0)),""),IFERROR(INDEX(Clients!$G$6:$G$45,MATCH(C224,Clients!$B$6:$B$45,0)),0))))</f>
        <v/>
      </c>
      <c r="O224" s="14">
        <f>IF(B224="","",IF(J224&lt;&gt;"",0,ROUND(M224*N224,2)))</f>
        <v/>
      </c>
      <c r="P224" s="15">
        <f>IF(OR(B224="",J224&lt;&gt;""),"",IF(L224&lt;&gt;"",L224,IF(COUNTIFS(Invoices!$C$6:$C$305,C224,Invoices!$E$6:$E$305,"&lt;="&amp;B224,Invoices!$F$6:$F$305,"&gt;="&amp;B224)=1,INDEX(Invoices!$B$6:$B$305,SUMIFS(Invoices!$O$6:$O$305,Invoices!$C$6:$C$305,C224,Invoices!$E$6:$E$305,"&lt;="&amp;B224,Invoices!$F$6:$F$305,"&gt;="&amp;B224)),IF(COUNTIFS(Invoices!$C$6:$C$305,C224,Invoices!$E$6:$E$305,"&lt;="&amp;B224,Invoices!$F$6:$F$305,"&gt;="&amp;B224)&gt;1,"Two invoices",""))))</f>
        <v/>
      </c>
      <c r="Q224" s="15">
        <f>IF(B224="","",IF(J224&lt;&gt;"","Not billable",IF(P224="","To invoice",IF(P224="Two invoices","Check dates",IF(ISNA(MATCH(P224,Invoices!$B$6:$B$305,0)),"Check number",IF(INDEX(Invoices!$M$6:$M$305,MATCH(P224,Invoices!$B$6:$B$305,0))="Paid","Paid",IF(INDEX(Invoices!$M$6:$M$305,MATCH(P224,Invoices!$B$6:$B$305,0))="Draft","Draft","Invoiced")))))))</f>
        <v/>
      </c>
      <c r="R224" s="1">
        <f>IF(AND(B224&lt;&gt;"",P224&lt;&gt;"",P224=Invoice!$G$4),B224+MOD(N(F224),1)+ROW()/10000000,"")</f>
        <v/>
      </c>
      <c r="S224">
        <f>IF(R224="","",IF(D224="","Other work",D224)&amp;IF(AND(K224&lt;&gt;"",E224&lt;&gt;""),", "&amp;E224,""))</f>
        <v/>
      </c>
      <c r="T224">
        <f>IF(R224="","",IF(COUNTIFS(R$6:R223,"&gt;0",S$6:S223,S224,N$6:N223,N224)=0,R224,""))</f>
        <v/>
      </c>
      <c r="U224">
        <f>IF(B224="","",IF(J224&lt;&gt;"",0,M224))</f>
        <v/>
      </c>
    </row>
    <row r="225">
      <c r="A225" s="1" t="n"/>
      <c r="B225" s="16" t="n">
        <v>46265</v>
      </c>
      <c r="C225" s="17" t="inlineStr">
        <is>
          <t>Greenleaf Studio</t>
        </is>
      </c>
      <c r="D225" s="18" t="inlineStr">
        <is>
          <t>Monthly social posts</t>
        </is>
      </c>
      <c r="E225" s="18" t="inlineStr">
        <is>
          <t>Post designs</t>
        </is>
      </c>
      <c r="F225" s="19" t="n">
        <v>0.5</v>
      </c>
      <c r="G225" s="19" t="n">
        <v>0.5416666666666666</v>
      </c>
      <c r="H225" s="20" t="n"/>
      <c r="I225" s="21" t="n"/>
      <c r="J225" s="22" t="n"/>
      <c r="K225" s="23" t="n"/>
      <c r="L225" s="18" t="n"/>
      <c r="M225" s="24">
        <f>IF(B225="","",IF(AND(F225&lt;&gt;"",G225&lt;&gt;""),MAX(0,ROUND(MOD(G225-F225,1)*24-N(H225)/60,2)),N(I225)))</f>
        <v/>
      </c>
      <c r="N225" s="14">
        <f>IF(B225="","",IF(K225&lt;&gt;"",K225,IF(N(IFERROR(INDEX(Projects!$D$6:$D$65,MATCH(D225,Projects!$B$6:$B$65,0)),""))&gt;0,IFERROR(INDEX(Projects!$D$6:$D$65,MATCH(D225,Projects!$B$6:$B$65,0)),""),IFERROR(INDEX(Clients!$G$6:$G$45,MATCH(C225,Clients!$B$6:$B$45,0)),0))))</f>
        <v/>
      </c>
      <c r="O225" s="14">
        <f>IF(B225="","",IF(J225&lt;&gt;"",0,ROUND(M225*N225,2)))</f>
        <v/>
      </c>
      <c r="P225" s="15">
        <f>IF(OR(B225="",J225&lt;&gt;""),"",IF(L225&lt;&gt;"",L225,IF(COUNTIFS(Invoices!$C$6:$C$305,C225,Invoices!$E$6:$E$305,"&lt;="&amp;B225,Invoices!$F$6:$F$305,"&gt;="&amp;B225)=1,INDEX(Invoices!$B$6:$B$305,SUMIFS(Invoices!$O$6:$O$305,Invoices!$C$6:$C$305,C225,Invoices!$E$6:$E$305,"&lt;="&amp;B225,Invoices!$F$6:$F$305,"&gt;="&amp;B225)),IF(COUNTIFS(Invoices!$C$6:$C$305,C225,Invoices!$E$6:$E$305,"&lt;="&amp;B225,Invoices!$F$6:$F$305,"&gt;="&amp;B225)&gt;1,"Two invoices",""))))</f>
        <v/>
      </c>
      <c r="Q225" s="15">
        <f>IF(B225="","",IF(J225&lt;&gt;"","Not billable",IF(P225="","To invoice",IF(P225="Two invoices","Check dates",IF(ISNA(MATCH(P225,Invoices!$B$6:$B$305,0)),"Check number",IF(INDEX(Invoices!$M$6:$M$305,MATCH(P225,Invoices!$B$6:$B$305,0))="Paid","Paid",IF(INDEX(Invoices!$M$6:$M$305,MATCH(P225,Invoices!$B$6:$B$305,0))="Draft","Draft","Invoiced")))))))</f>
        <v/>
      </c>
      <c r="R225" s="1">
        <f>IF(AND(B225&lt;&gt;"",P225&lt;&gt;"",P225=Invoice!$G$4),B225+MOD(N(F225),1)+ROW()/10000000,"")</f>
        <v/>
      </c>
      <c r="S225">
        <f>IF(R225="","",IF(D225="","Other work",D225)&amp;IF(AND(K225&lt;&gt;"",E225&lt;&gt;""),", "&amp;E225,""))</f>
        <v/>
      </c>
      <c r="T225">
        <f>IF(R225="","",IF(COUNTIFS(R$6:R224,"&gt;0",S$6:S224,S225,N$6:N224,N225)=0,R225,""))</f>
        <v/>
      </c>
      <c r="U225">
        <f>IF(B225="","",IF(J225&lt;&gt;"",0,M225))</f>
        <v/>
      </c>
    </row>
    <row r="226">
      <c r="A226" s="1" t="n"/>
      <c r="B226" s="16" t="n">
        <v>46265</v>
      </c>
      <c r="C226" s="17" t="inlineStr">
        <is>
          <t>Atlas Fitness</t>
        </is>
      </c>
      <c r="D226" s="18" t="inlineStr">
        <is>
          <t>Brand refresh</t>
        </is>
      </c>
      <c r="E226" s="18" t="inlineStr">
        <is>
          <t>Colour and type</t>
        </is>
      </c>
      <c r="F226" s="19" t="n">
        <v>0.5520833333333334</v>
      </c>
      <c r="G226" s="19" t="n">
        <v>0.6354166666666666</v>
      </c>
      <c r="H226" s="20" t="n"/>
      <c r="I226" s="21" t="n"/>
      <c r="J226" s="22" t="n"/>
      <c r="K226" s="23" t="n"/>
      <c r="L226" s="18" t="n"/>
      <c r="M226" s="24">
        <f>IF(B226="","",IF(AND(F226&lt;&gt;"",G226&lt;&gt;""),MAX(0,ROUND(MOD(G226-F226,1)*24-N(H226)/60,2)),N(I226)))</f>
        <v/>
      </c>
      <c r="N226" s="14">
        <f>IF(B226="","",IF(K226&lt;&gt;"",K226,IF(N(IFERROR(INDEX(Projects!$D$6:$D$65,MATCH(D226,Projects!$B$6:$B$65,0)),""))&gt;0,IFERROR(INDEX(Projects!$D$6:$D$65,MATCH(D226,Projects!$B$6:$B$65,0)),""),IFERROR(INDEX(Clients!$G$6:$G$45,MATCH(C226,Clients!$B$6:$B$45,0)),0))))</f>
        <v/>
      </c>
      <c r="O226" s="14">
        <f>IF(B226="","",IF(J226&lt;&gt;"",0,ROUND(M226*N226,2)))</f>
        <v/>
      </c>
      <c r="P226" s="15">
        <f>IF(OR(B226="",J226&lt;&gt;""),"",IF(L226&lt;&gt;"",L226,IF(COUNTIFS(Invoices!$C$6:$C$305,C226,Invoices!$E$6:$E$305,"&lt;="&amp;B226,Invoices!$F$6:$F$305,"&gt;="&amp;B226)=1,INDEX(Invoices!$B$6:$B$305,SUMIFS(Invoices!$O$6:$O$305,Invoices!$C$6:$C$305,C226,Invoices!$E$6:$E$305,"&lt;="&amp;B226,Invoices!$F$6:$F$305,"&gt;="&amp;B226)),IF(COUNTIFS(Invoices!$C$6:$C$305,C226,Invoices!$E$6:$E$305,"&lt;="&amp;B226,Invoices!$F$6:$F$305,"&gt;="&amp;B226)&gt;1,"Two invoices",""))))</f>
        <v/>
      </c>
      <c r="Q226" s="15">
        <f>IF(B226="","",IF(J226&lt;&gt;"","Not billable",IF(P226="","To invoice",IF(P226="Two invoices","Check dates",IF(ISNA(MATCH(P226,Invoices!$B$6:$B$305,0)),"Check number",IF(INDEX(Invoices!$M$6:$M$305,MATCH(P226,Invoices!$B$6:$B$305,0))="Paid","Paid",IF(INDEX(Invoices!$M$6:$M$305,MATCH(P226,Invoices!$B$6:$B$305,0))="Draft","Draft","Invoiced")))))))</f>
        <v/>
      </c>
      <c r="R226" s="1">
        <f>IF(AND(B226&lt;&gt;"",P226&lt;&gt;"",P226=Invoice!$G$4),B226+MOD(N(F226),1)+ROW()/10000000,"")</f>
        <v/>
      </c>
      <c r="S226">
        <f>IF(R226="","",IF(D226="","Other work",D226)&amp;IF(AND(K226&lt;&gt;"",E226&lt;&gt;""),", "&amp;E226,""))</f>
        <v/>
      </c>
      <c r="T226">
        <f>IF(R226="","",IF(COUNTIFS(R$6:R225,"&gt;0",S$6:S225,S226,N$6:N225,N226)=0,R226,""))</f>
        <v/>
      </c>
      <c r="U226">
        <f>IF(B226="","",IF(J226&lt;&gt;"",0,M226))</f>
        <v/>
      </c>
    </row>
    <row r="227">
      <c r="A227" s="1" t="n"/>
      <c r="B227" s="16" t="n">
        <v>46266</v>
      </c>
      <c r="C227" s="17" t="inlineStr">
        <is>
          <t>Harbour Books</t>
        </is>
      </c>
      <c r="D227" s="18" t="inlineStr">
        <is>
          <t>Website redesign</t>
        </is>
      </c>
      <c r="E227" s="18" t="inlineStr">
        <is>
          <t>Revisions after feedback</t>
        </is>
      </c>
      <c r="F227" s="19" t="n"/>
      <c r="G227" s="19" t="n"/>
      <c r="H227" s="20" t="n"/>
      <c r="I227" s="21" t="n">
        <v>2</v>
      </c>
      <c r="J227" s="22" t="n"/>
      <c r="K227" s="23" t="n"/>
      <c r="L227" s="18" t="n"/>
      <c r="M227" s="24">
        <f>IF(B227="","",IF(AND(F227&lt;&gt;"",G227&lt;&gt;""),MAX(0,ROUND(MOD(G227-F227,1)*24-N(H227)/60,2)),N(I227)))</f>
        <v/>
      </c>
      <c r="N227" s="14">
        <f>IF(B227="","",IF(K227&lt;&gt;"",K227,IF(N(IFERROR(INDEX(Projects!$D$6:$D$65,MATCH(D227,Projects!$B$6:$B$65,0)),""))&gt;0,IFERROR(INDEX(Projects!$D$6:$D$65,MATCH(D227,Projects!$B$6:$B$65,0)),""),IFERROR(INDEX(Clients!$G$6:$G$45,MATCH(C227,Clients!$B$6:$B$45,0)),0))))</f>
        <v/>
      </c>
      <c r="O227" s="14">
        <f>IF(B227="","",IF(J227&lt;&gt;"",0,ROUND(M227*N227,2)))</f>
        <v/>
      </c>
      <c r="P227" s="15">
        <f>IF(OR(B227="",J227&lt;&gt;""),"",IF(L227&lt;&gt;"",L227,IF(COUNTIFS(Invoices!$C$6:$C$305,C227,Invoices!$E$6:$E$305,"&lt;="&amp;B227,Invoices!$F$6:$F$305,"&gt;="&amp;B227)=1,INDEX(Invoices!$B$6:$B$305,SUMIFS(Invoices!$O$6:$O$305,Invoices!$C$6:$C$305,C227,Invoices!$E$6:$E$305,"&lt;="&amp;B227,Invoices!$F$6:$F$305,"&gt;="&amp;B227)),IF(COUNTIFS(Invoices!$C$6:$C$305,C227,Invoices!$E$6:$E$305,"&lt;="&amp;B227,Invoices!$F$6:$F$305,"&gt;="&amp;B227)&gt;1,"Two invoices",""))))</f>
        <v/>
      </c>
      <c r="Q227" s="15">
        <f>IF(B227="","",IF(J227&lt;&gt;"","Not billable",IF(P227="","To invoice",IF(P227="Two invoices","Check dates",IF(ISNA(MATCH(P227,Invoices!$B$6:$B$305,0)),"Check number",IF(INDEX(Invoices!$M$6:$M$305,MATCH(P227,Invoices!$B$6:$B$305,0))="Paid","Paid",IF(INDEX(Invoices!$M$6:$M$305,MATCH(P227,Invoices!$B$6:$B$305,0))="Draft","Draft","Invoiced")))))))</f>
        <v/>
      </c>
      <c r="R227" s="1">
        <f>IF(AND(B227&lt;&gt;"",P227&lt;&gt;"",P227=Invoice!$G$4),B227+MOD(N(F227),1)+ROW()/10000000,"")</f>
        <v/>
      </c>
      <c r="S227">
        <f>IF(R227="","",IF(D227="","Other work",D227)&amp;IF(AND(K227&lt;&gt;"",E227&lt;&gt;""),", "&amp;E227,""))</f>
        <v/>
      </c>
      <c r="T227">
        <f>IF(R227="","",IF(COUNTIFS(R$6:R226,"&gt;0",S$6:S226,S227,N$6:N226,N227)=0,R227,""))</f>
        <v/>
      </c>
      <c r="U227">
        <f>IF(B227="","",IF(J227&lt;&gt;"",0,M227))</f>
        <v/>
      </c>
    </row>
    <row r="228">
      <c r="A228" s="1" t="n"/>
      <c r="B228" s="16" t="n">
        <v>46266</v>
      </c>
      <c r="C228" s="17" t="inlineStr">
        <is>
          <t>Harbour Books</t>
        </is>
      </c>
      <c r="D228" s="18" t="inlineStr">
        <is>
          <t>Website redesign</t>
        </is>
      </c>
      <c r="E228" s="18" t="inlineStr">
        <is>
          <t>Mobile layouts</t>
        </is>
      </c>
      <c r="F228" s="19" t="n"/>
      <c r="G228" s="19" t="n"/>
      <c r="H228" s="20" t="n"/>
      <c r="I228" s="21" t="n">
        <v>2</v>
      </c>
      <c r="J228" s="22" t="n"/>
      <c r="K228" s="23" t="n"/>
      <c r="L228" s="18" t="n"/>
      <c r="M228" s="24">
        <f>IF(B228="","",IF(AND(F228&lt;&gt;"",G228&lt;&gt;""),MAX(0,ROUND(MOD(G228-F228,1)*24-N(H228)/60,2)),N(I228)))</f>
        <v/>
      </c>
      <c r="N228" s="14">
        <f>IF(B228="","",IF(K228&lt;&gt;"",K228,IF(N(IFERROR(INDEX(Projects!$D$6:$D$65,MATCH(D228,Projects!$B$6:$B$65,0)),""))&gt;0,IFERROR(INDEX(Projects!$D$6:$D$65,MATCH(D228,Projects!$B$6:$B$65,0)),""),IFERROR(INDEX(Clients!$G$6:$G$45,MATCH(C228,Clients!$B$6:$B$45,0)),0))))</f>
        <v/>
      </c>
      <c r="O228" s="14">
        <f>IF(B228="","",IF(J228&lt;&gt;"",0,ROUND(M228*N228,2)))</f>
        <v/>
      </c>
      <c r="P228" s="15">
        <f>IF(OR(B228="",J228&lt;&gt;""),"",IF(L228&lt;&gt;"",L228,IF(COUNTIFS(Invoices!$C$6:$C$305,C228,Invoices!$E$6:$E$305,"&lt;="&amp;B228,Invoices!$F$6:$F$305,"&gt;="&amp;B228)=1,INDEX(Invoices!$B$6:$B$305,SUMIFS(Invoices!$O$6:$O$305,Invoices!$C$6:$C$305,C228,Invoices!$E$6:$E$305,"&lt;="&amp;B228,Invoices!$F$6:$F$305,"&gt;="&amp;B228)),IF(COUNTIFS(Invoices!$C$6:$C$305,C228,Invoices!$E$6:$E$305,"&lt;="&amp;B228,Invoices!$F$6:$F$305,"&gt;="&amp;B228)&gt;1,"Two invoices",""))))</f>
        <v/>
      </c>
      <c r="Q228" s="15">
        <f>IF(B228="","",IF(J228&lt;&gt;"","Not billable",IF(P228="","To invoice",IF(P228="Two invoices","Check dates",IF(ISNA(MATCH(P228,Invoices!$B$6:$B$305,0)),"Check number",IF(INDEX(Invoices!$M$6:$M$305,MATCH(P228,Invoices!$B$6:$B$305,0))="Paid","Paid",IF(INDEX(Invoices!$M$6:$M$305,MATCH(P228,Invoices!$B$6:$B$305,0))="Draft","Draft","Invoiced")))))))</f>
        <v/>
      </c>
      <c r="R228" s="1">
        <f>IF(AND(B228&lt;&gt;"",P228&lt;&gt;"",P228=Invoice!$G$4),B228+MOD(N(F228),1)+ROW()/10000000,"")</f>
        <v/>
      </c>
      <c r="S228">
        <f>IF(R228="","",IF(D228="","Other work",D228)&amp;IF(AND(K228&lt;&gt;"",E228&lt;&gt;""),", "&amp;E228,""))</f>
        <v/>
      </c>
      <c r="T228">
        <f>IF(R228="","",IF(COUNTIFS(R$6:R227,"&gt;0",S$6:S227,S228,N$6:N227,N228)=0,R228,""))</f>
        <v/>
      </c>
      <c r="U228">
        <f>IF(B228="","",IF(J228&lt;&gt;"",0,M228))</f>
        <v/>
      </c>
    </row>
    <row r="229">
      <c r="A229" s="1" t="n"/>
      <c r="B229" s="16" t="n">
        <v>46267</v>
      </c>
      <c r="C229" s="17" t="inlineStr">
        <is>
          <t>Harbour Books</t>
        </is>
      </c>
      <c r="D229" s="18" t="inlineStr">
        <is>
          <t>Website redesign</t>
        </is>
      </c>
      <c r="E229" s="18" t="inlineStr">
        <is>
          <t>Mobile layouts</t>
        </is>
      </c>
      <c r="F229" s="19" t="n">
        <v>0.3958333333333333</v>
      </c>
      <c r="G229" s="19" t="n">
        <v>0.4375</v>
      </c>
      <c r="H229" s="20" t="n"/>
      <c r="I229" s="21" t="n"/>
      <c r="J229" s="22" t="n"/>
      <c r="K229" s="23" t="n"/>
      <c r="L229" s="18" t="n"/>
      <c r="M229" s="24">
        <f>IF(B229="","",IF(AND(F229&lt;&gt;"",G229&lt;&gt;""),MAX(0,ROUND(MOD(G229-F229,1)*24-N(H229)/60,2)),N(I229)))</f>
        <v/>
      </c>
      <c r="N229" s="14">
        <f>IF(B229="","",IF(K229&lt;&gt;"",K229,IF(N(IFERROR(INDEX(Projects!$D$6:$D$65,MATCH(D229,Projects!$B$6:$B$65,0)),""))&gt;0,IFERROR(INDEX(Projects!$D$6:$D$65,MATCH(D229,Projects!$B$6:$B$65,0)),""),IFERROR(INDEX(Clients!$G$6:$G$45,MATCH(C229,Clients!$B$6:$B$45,0)),0))))</f>
        <v/>
      </c>
      <c r="O229" s="14">
        <f>IF(B229="","",IF(J229&lt;&gt;"",0,ROUND(M229*N229,2)))</f>
        <v/>
      </c>
      <c r="P229" s="15">
        <f>IF(OR(B229="",J229&lt;&gt;""),"",IF(L229&lt;&gt;"",L229,IF(COUNTIFS(Invoices!$C$6:$C$305,C229,Invoices!$E$6:$E$305,"&lt;="&amp;B229,Invoices!$F$6:$F$305,"&gt;="&amp;B229)=1,INDEX(Invoices!$B$6:$B$305,SUMIFS(Invoices!$O$6:$O$305,Invoices!$C$6:$C$305,C229,Invoices!$E$6:$E$305,"&lt;="&amp;B229,Invoices!$F$6:$F$305,"&gt;="&amp;B229)),IF(COUNTIFS(Invoices!$C$6:$C$305,C229,Invoices!$E$6:$E$305,"&lt;="&amp;B229,Invoices!$F$6:$F$305,"&gt;="&amp;B229)&gt;1,"Two invoices",""))))</f>
        <v/>
      </c>
      <c r="Q229" s="15">
        <f>IF(B229="","",IF(J229&lt;&gt;"","Not billable",IF(P229="","To invoice",IF(P229="Two invoices","Check dates",IF(ISNA(MATCH(P229,Invoices!$B$6:$B$305,0)),"Check number",IF(INDEX(Invoices!$M$6:$M$305,MATCH(P229,Invoices!$B$6:$B$305,0))="Paid","Paid",IF(INDEX(Invoices!$M$6:$M$305,MATCH(P229,Invoices!$B$6:$B$305,0))="Draft","Draft","Invoiced")))))))</f>
        <v/>
      </c>
      <c r="R229" s="1">
        <f>IF(AND(B229&lt;&gt;"",P229&lt;&gt;"",P229=Invoice!$G$4),B229+MOD(N(F229),1)+ROW()/10000000,"")</f>
        <v/>
      </c>
      <c r="S229">
        <f>IF(R229="","",IF(D229="","Other work",D229)&amp;IF(AND(K229&lt;&gt;"",E229&lt;&gt;""),", "&amp;E229,""))</f>
        <v/>
      </c>
      <c r="T229">
        <f>IF(R229="","",IF(COUNTIFS(R$6:R228,"&gt;0",S$6:S228,S229,N$6:N228,N229)=0,R229,""))</f>
        <v/>
      </c>
      <c r="U229">
        <f>IF(B229="","",IF(J229&lt;&gt;"",0,M229))</f>
        <v/>
      </c>
    </row>
    <row r="230">
      <c r="A230" s="1" t="n"/>
      <c r="B230" s="16" t="n">
        <v>46267</v>
      </c>
      <c r="C230" s="17" t="inlineStr">
        <is>
          <t>Atlas Fitness</t>
        </is>
      </c>
      <c r="D230" s="18" t="inlineStr">
        <is>
          <t>Brand refresh</t>
        </is>
      </c>
      <c r="E230" s="18" t="inlineStr">
        <is>
          <t>Workshop with the team</t>
        </is>
      </c>
      <c r="F230" s="19" t="n">
        <v>0.4583333333333333</v>
      </c>
      <c r="G230" s="19" t="n">
        <v>0.5</v>
      </c>
      <c r="H230" s="20" t="n"/>
      <c r="I230" s="21" t="n"/>
      <c r="J230" s="22" t="n"/>
      <c r="K230" s="23" t="n"/>
      <c r="L230" s="18" t="n"/>
      <c r="M230" s="24">
        <f>IF(B230="","",IF(AND(F230&lt;&gt;"",G230&lt;&gt;""),MAX(0,ROUND(MOD(G230-F230,1)*24-N(H230)/60,2)),N(I230)))</f>
        <v/>
      </c>
      <c r="N230" s="14">
        <f>IF(B230="","",IF(K230&lt;&gt;"",K230,IF(N(IFERROR(INDEX(Projects!$D$6:$D$65,MATCH(D230,Projects!$B$6:$B$65,0)),""))&gt;0,IFERROR(INDEX(Projects!$D$6:$D$65,MATCH(D230,Projects!$B$6:$B$65,0)),""),IFERROR(INDEX(Clients!$G$6:$G$45,MATCH(C230,Clients!$B$6:$B$45,0)),0))))</f>
        <v/>
      </c>
      <c r="O230" s="14">
        <f>IF(B230="","",IF(J230&lt;&gt;"",0,ROUND(M230*N230,2)))</f>
        <v/>
      </c>
      <c r="P230" s="15">
        <f>IF(OR(B230="",J230&lt;&gt;""),"",IF(L230&lt;&gt;"",L230,IF(COUNTIFS(Invoices!$C$6:$C$305,C230,Invoices!$E$6:$E$305,"&lt;="&amp;B230,Invoices!$F$6:$F$305,"&gt;="&amp;B230)=1,INDEX(Invoices!$B$6:$B$305,SUMIFS(Invoices!$O$6:$O$305,Invoices!$C$6:$C$305,C230,Invoices!$E$6:$E$305,"&lt;="&amp;B230,Invoices!$F$6:$F$305,"&gt;="&amp;B230)),IF(COUNTIFS(Invoices!$C$6:$C$305,C230,Invoices!$E$6:$E$305,"&lt;="&amp;B230,Invoices!$F$6:$F$305,"&gt;="&amp;B230)&gt;1,"Two invoices",""))))</f>
        <v/>
      </c>
      <c r="Q230" s="15">
        <f>IF(B230="","",IF(J230&lt;&gt;"","Not billable",IF(P230="","To invoice",IF(P230="Two invoices","Check dates",IF(ISNA(MATCH(P230,Invoices!$B$6:$B$305,0)),"Check number",IF(INDEX(Invoices!$M$6:$M$305,MATCH(P230,Invoices!$B$6:$B$305,0))="Paid","Paid",IF(INDEX(Invoices!$M$6:$M$305,MATCH(P230,Invoices!$B$6:$B$305,0))="Draft","Draft","Invoiced")))))))</f>
        <v/>
      </c>
      <c r="R230" s="1">
        <f>IF(AND(B230&lt;&gt;"",P230&lt;&gt;"",P230=Invoice!$G$4),B230+MOD(N(F230),1)+ROW()/10000000,"")</f>
        <v/>
      </c>
      <c r="S230">
        <f>IF(R230="","",IF(D230="","Other work",D230)&amp;IF(AND(K230&lt;&gt;"",E230&lt;&gt;""),", "&amp;E230,""))</f>
        <v/>
      </c>
      <c r="T230">
        <f>IF(R230="","",IF(COUNTIFS(R$6:R229,"&gt;0",S$6:S229,S230,N$6:N229,N230)=0,R230,""))</f>
        <v/>
      </c>
      <c r="U230">
        <f>IF(B230="","",IF(J230&lt;&gt;"",0,M230))</f>
        <v/>
      </c>
    </row>
    <row r="231">
      <c r="A231" s="1" t="n"/>
      <c r="B231" s="16" t="n">
        <v>46267</v>
      </c>
      <c r="C231" s="17" t="inlineStr">
        <is>
          <t>Greenleaf Studio</t>
        </is>
      </c>
      <c r="D231" s="18" t="inlineStr">
        <is>
          <t>Monthly social posts</t>
        </is>
      </c>
      <c r="E231" s="18" t="inlineStr">
        <is>
          <t>Post designs</t>
        </is>
      </c>
      <c r="F231" s="19" t="n">
        <v>0.5416666666666666</v>
      </c>
      <c r="G231" s="19" t="n">
        <v>0.5833333333333334</v>
      </c>
      <c r="H231" s="20" t="n"/>
      <c r="I231" s="21" t="n"/>
      <c r="J231" s="22" t="n"/>
      <c r="K231" s="23" t="n"/>
      <c r="L231" s="18" t="n"/>
      <c r="M231" s="24">
        <f>IF(B231="","",IF(AND(F231&lt;&gt;"",G231&lt;&gt;""),MAX(0,ROUND(MOD(G231-F231,1)*24-N(H231)/60,2)),N(I231)))</f>
        <v/>
      </c>
      <c r="N231" s="14">
        <f>IF(B231="","",IF(K231&lt;&gt;"",K231,IF(N(IFERROR(INDEX(Projects!$D$6:$D$65,MATCH(D231,Projects!$B$6:$B$65,0)),""))&gt;0,IFERROR(INDEX(Projects!$D$6:$D$65,MATCH(D231,Projects!$B$6:$B$65,0)),""),IFERROR(INDEX(Clients!$G$6:$G$45,MATCH(C231,Clients!$B$6:$B$45,0)),0))))</f>
        <v/>
      </c>
      <c r="O231" s="14">
        <f>IF(B231="","",IF(J231&lt;&gt;"",0,ROUND(M231*N231,2)))</f>
        <v/>
      </c>
      <c r="P231" s="15">
        <f>IF(OR(B231="",J231&lt;&gt;""),"",IF(L231&lt;&gt;"",L231,IF(COUNTIFS(Invoices!$C$6:$C$305,C231,Invoices!$E$6:$E$305,"&lt;="&amp;B231,Invoices!$F$6:$F$305,"&gt;="&amp;B231)=1,INDEX(Invoices!$B$6:$B$305,SUMIFS(Invoices!$O$6:$O$305,Invoices!$C$6:$C$305,C231,Invoices!$E$6:$E$305,"&lt;="&amp;B231,Invoices!$F$6:$F$305,"&gt;="&amp;B231)),IF(COUNTIFS(Invoices!$C$6:$C$305,C231,Invoices!$E$6:$E$305,"&lt;="&amp;B231,Invoices!$F$6:$F$305,"&gt;="&amp;B231)&gt;1,"Two invoices",""))))</f>
        <v/>
      </c>
      <c r="Q231" s="15">
        <f>IF(B231="","",IF(J231&lt;&gt;"","Not billable",IF(P231="","To invoice",IF(P231="Two invoices","Check dates",IF(ISNA(MATCH(P231,Invoices!$B$6:$B$305,0)),"Check number",IF(INDEX(Invoices!$M$6:$M$305,MATCH(P231,Invoices!$B$6:$B$305,0))="Paid","Paid",IF(INDEX(Invoices!$M$6:$M$305,MATCH(P231,Invoices!$B$6:$B$305,0))="Draft","Draft","Invoiced")))))))</f>
        <v/>
      </c>
      <c r="R231" s="1">
        <f>IF(AND(B231&lt;&gt;"",P231&lt;&gt;"",P231=Invoice!$G$4),B231+MOD(N(F231),1)+ROW()/10000000,"")</f>
        <v/>
      </c>
      <c r="S231">
        <f>IF(R231="","",IF(D231="","Other work",D231)&amp;IF(AND(K231&lt;&gt;"",E231&lt;&gt;""),", "&amp;E231,""))</f>
        <v/>
      </c>
      <c r="T231">
        <f>IF(R231="","",IF(COUNTIFS(R$6:R230,"&gt;0",S$6:S230,S231,N$6:N230,N231)=0,R231,""))</f>
        <v/>
      </c>
      <c r="U231">
        <f>IF(B231="","",IF(J231&lt;&gt;"",0,M231))</f>
        <v/>
      </c>
    </row>
    <row r="232">
      <c r="A232" s="1" t="n"/>
      <c r="B232" s="16" t="n">
        <v>46268</v>
      </c>
      <c r="C232" s="17" t="inlineStr">
        <is>
          <t>Harbour Books</t>
        </is>
      </c>
      <c r="D232" s="18" t="inlineStr">
        <is>
          <t>Website redesign</t>
        </is>
      </c>
      <c r="E232" s="18" t="inlineStr">
        <is>
          <t>Page layouts</t>
        </is>
      </c>
      <c r="F232" s="19" t="n"/>
      <c r="G232" s="19" t="n"/>
      <c r="H232" s="20" t="n"/>
      <c r="I232" s="21" t="n">
        <v>2</v>
      </c>
      <c r="J232" s="22" t="n"/>
      <c r="K232" s="23" t="n"/>
      <c r="L232" s="18" t="n"/>
      <c r="M232" s="24">
        <f>IF(B232="","",IF(AND(F232&lt;&gt;"",G232&lt;&gt;""),MAX(0,ROUND(MOD(G232-F232,1)*24-N(H232)/60,2)),N(I232)))</f>
        <v/>
      </c>
      <c r="N232" s="14">
        <f>IF(B232="","",IF(K232&lt;&gt;"",K232,IF(N(IFERROR(INDEX(Projects!$D$6:$D$65,MATCH(D232,Projects!$B$6:$B$65,0)),""))&gt;0,IFERROR(INDEX(Projects!$D$6:$D$65,MATCH(D232,Projects!$B$6:$B$65,0)),""),IFERROR(INDEX(Clients!$G$6:$G$45,MATCH(C232,Clients!$B$6:$B$45,0)),0))))</f>
        <v/>
      </c>
      <c r="O232" s="14">
        <f>IF(B232="","",IF(J232&lt;&gt;"",0,ROUND(M232*N232,2)))</f>
        <v/>
      </c>
      <c r="P232" s="15">
        <f>IF(OR(B232="",J232&lt;&gt;""),"",IF(L232&lt;&gt;"",L232,IF(COUNTIFS(Invoices!$C$6:$C$305,C232,Invoices!$E$6:$E$305,"&lt;="&amp;B232,Invoices!$F$6:$F$305,"&gt;="&amp;B232)=1,INDEX(Invoices!$B$6:$B$305,SUMIFS(Invoices!$O$6:$O$305,Invoices!$C$6:$C$305,C232,Invoices!$E$6:$E$305,"&lt;="&amp;B232,Invoices!$F$6:$F$305,"&gt;="&amp;B232)),IF(COUNTIFS(Invoices!$C$6:$C$305,C232,Invoices!$E$6:$E$305,"&lt;="&amp;B232,Invoices!$F$6:$F$305,"&gt;="&amp;B232)&gt;1,"Two invoices",""))))</f>
        <v/>
      </c>
      <c r="Q232" s="15">
        <f>IF(B232="","",IF(J232&lt;&gt;"","Not billable",IF(P232="","To invoice",IF(P232="Two invoices","Check dates",IF(ISNA(MATCH(P232,Invoices!$B$6:$B$305,0)),"Check number",IF(INDEX(Invoices!$M$6:$M$305,MATCH(P232,Invoices!$B$6:$B$305,0))="Paid","Paid",IF(INDEX(Invoices!$M$6:$M$305,MATCH(P232,Invoices!$B$6:$B$305,0))="Draft","Draft","Invoiced")))))))</f>
        <v/>
      </c>
      <c r="R232" s="1">
        <f>IF(AND(B232&lt;&gt;"",P232&lt;&gt;"",P232=Invoice!$G$4),B232+MOD(N(F232),1)+ROW()/10000000,"")</f>
        <v/>
      </c>
      <c r="S232">
        <f>IF(R232="","",IF(D232="","Other work",D232)&amp;IF(AND(K232&lt;&gt;"",E232&lt;&gt;""),", "&amp;E232,""))</f>
        <v/>
      </c>
      <c r="T232">
        <f>IF(R232="","",IF(COUNTIFS(R$6:R231,"&gt;0",S$6:S231,S232,N$6:N231,N232)=0,R232,""))</f>
        <v/>
      </c>
      <c r="U232">
        <f>IF(B232="","",IF(J232&lt;&gt;"",0,M232))</f>
        <v/>
      </c>
    </row>
    <row r="233">
      <c r="A233" s="1" t="n"/>
      <c r="B233" s="16" t="n">
        <v>46268</v>
      </c>
      <c r="C233" s="17" t="inlineStr">
        <is>
          <t>Harbour Books</t>
        </is>
      </c>
      <c r="D233" s="18" t="inlineStr">
        <is>
          <t>Website redesign</t>
        </is>
      </c>
      <c r="E233" s="18" t="inlineStr">
        <is>
          <t>Home page design</t>
        </is>
      </c>
      <c r="F233" s="19" t="n">
        <v>0.3958333333333333</v>
      </c>
      <c r="G233" s="19" t="n">
        <v>0.4583333333333333</v>
      </c>
      <c r="H233" s="20" t="n"/>
      <c r="I233" s="21" t="n"/>
      <c r="J233" s="22" t="n"/>
      <c r="K233" s="23" t="n"/>
      <c r="L233" s="18" t="n"/>
      <c r="M233" s="24">
        <f>IF(B233="","",IF(AND(F233&lt;&gt;"",G233&lt;&gt;""),MAX(0,ROUND(MOD(G233-F233,1)*24-N(H233)/60,2)),N(I233)))</f>
        <v/>
      </c>
      <c r="N233" s="14">
        <f>IF(B233="","",IF(K233&lt;&gt;"",K233,IF(N(IFERROR(INDEX(Projects!$D$6:$D$65,MATCH(D233,Projects!$B$6:$B$65,0)),""))&gt;0,IFERROR(INDEX(Projects!$D$6:$D$65,MATCH(D233,Projects!$B$6:$B$65,0)),""),IFERROR(INDEX(Clients!$G$6:$G$45,MATCH(C233,Clients!$B$6:$B$45,0)),0))))</f>
        <v/>
      </c>
      <c r="O233" s="14">
        <f>IF(B233="","",IF(J233&lt;&gt;"",0,ROUND(M233*N233,2)))</f>
        <v/>
      </c>
      <c r="P233" s="15">
        <f>IF(OR(B233="",J233&lt;&gt;""),"",IF(L233&lt;&gt;"",L233,IF(COUNTIFS(Invoices!$C$6:$C$305,C233,Invoices!$E$6:$E$305,"&lt;="&amp;B233,Invoices!$F$6:$F$305,"&gt;="&amp;B233)=1,INDEX(Invoices!$B$6:$B$305,SUMIFS(Invoices!$O$6:$O$305,Invoices!$C$6:$C$305,C233,Invoices!$E$6:$E$305,"&lt;="&amp;B233,Invoices!$F$6:$F$305,"&gt;="&amp;B233)),IF(COUNTIFS(Invoices!$C$6:$C$305,C233,Invoices!$E$6:$E$305,"&lt;="&amp;B233,Invoices!$F$6:$F$305,"&gt;="&amp;B233)&gt;1,"Two invoices",""))))</f>
        <v/>
      </c>
      <c r="Q233" s="15">
        <f>IF(B233="","",IF(J233&lt;&gt;"","Not billable",IF(P233="","To invoice",IF(P233="Two invoices","Check dates",IF(ISNA(MATCH(P233,Invoices!$B$6:$B$305,0)),"Check number",IF(INDEX(Invoices!$M$6:$M$305,MATCH(P233,Invoices!$B$6:$B$305,0))="Paid","Paid",IF(INDEX(Invoices!$M$6:$M$305,MATCH(P233,Invoices!$B$6:$B$305,0))="Draft","Draft","Invoiced")))))))</f>
        <v/>
      </c>
      <c r="R233" s="1">
        <f>IF(AND(B233&lt;&gt;"",P233&lt;&gt;"",P233=Invoice!$G$4),B233+MOD(N(F233),1)+ROW()/10000000,"")</f>
        <v/>
      </c>
      <c r="S233">
        <f>IF(R233="","",IF(D233="","Other work",D233)&amp;IF(AND(K233&lt;&gt;"",E233&lt;&gt;""),", "&amp;E233,""))</f>
        <v/>
      </c>
      <c r="T233">
        <f>IF(R233="","",IF(COUNTIFS(R$6:R232,"&gt;0",S$6:S232,S233,N$6:N232,N233)=0,R233,""))</f>
        <v/>
      </c>
      <c r="U233">
        <f>IF(B233="","",IF(J233&lt;&gt;"",0,M233))</f>
        <v/>
      </c>
    </row>
    <row r="234">
      <c r="A234" s="1" t="n"/>
      <c r="B234" s="16" t="n">
        <v>46269</v>
      </c>
      <c r="C234" s="17" t="inlineStr">
        <is>
          <t>Harbour Books</t>
        </is>
      </c>
      <c r="D234" s="18" t="inlineStr">
        <is>
          <t>Website redesign</t>
        </is>
      </c>
      <c r="E234" s="18" t="inlineStr">
        <is>
          <t>Revisions after feedback</t>
        </is>
      </c>
      <c r="F234" s="19" t="n">
        <v>0.3958333333333333</v>
      </c>
      <c r="G234" s="19" t="n">
        <v>0.5416666666666666</v>
      </c>
      <c r="H234" s="20" t="n"/>
      <c r="I234" s="21" t="n"/>
      <c r="J234" s="22" t="n"/>
      <c r="K234" s="23" t="n"/>
      <c r="L234" s="18" t="n"/>
      <c r="M234" s="24">
        <f>IF(B234="","",IF(AND(F234&lt;&gt;"",G234&lt;&gt;""),MAX(0,ROUND(MOD(G234-F234,1)*24-N(H234)/60,2)),N(I234)))</f>
        <v/>
      </c>
      <c r="N234" s="14">
        <f>IF(B234="","",IF(K234&lt;&gt;"",K234,IF(N(IFERROR(INDEX(Projects!$D$6:$D$65,MATCH(D234,Projects!$B$6:$B$65,0)),""))&gt;0,IFERROR(INDEX(Projects!$D$6:$D$65,MATCH(D234,Projects!$B$6:$B$65,0)),""),IFERROR(INDEX(Clients!$G$6:$G$45,MATCH(C234,Clients!$B$6:$B$45,0)),0))))</f>
        <v/>
      </c>
      <c r="O234" s="14">
        <f>IF(B234="","",IF(J234&lt;&gt;"",0,ROUND(M234*N234,2)))</f>
        <v/>
      </c>
      <c r="P234" s="15">
        <f>IF(OR(B234="",J234&lt;&gt;""),"",IF(L234&lt;&gt;"",L234,IF(COUNTIFS(Invoices!$C$6:$C$305,C234,Invoices!$E$6:$E$305,"&lt;="&amp;B234,Invoices!$F$6:$F$305,"&gt;="&amp;B234)=1,INDEX(Invoices!$B$6:$B$305,SUMIFS(Invoices!$O$6:$O$305,Invoices!$C$6:$C$305,C234,Invoices!$E$6:$E$305,"&lt;="&amp;B234,Invoices!$F$6:$F$305,"&gt;="&amp;B234)),IF(COUNTIFS(Invoices!$C$6:$C$305,C234,Invoices!$E$6:$E$305,"&lt;="&amp;B234,Invoices!$F$6:$F$305,"&gt;="&amp;B234)&gt;1,"Two invoices",""))))</f>
        <v/>
      </c>
      <c r="Q234" s="15">
        <f>IF(B234="","",IF(J234&lt;&gt;"","Not billable",IF(P234="","To invoice",IF(P234="Two invoices","Check dates",IF(ISNA(MATCH(P234,Invoices!$B$6:$B$305,0)),"Check number",IF(INDEX(Invoices!$M$6:$M$305,MATCH(P234,Invoices!$B$6:$B$305,0))="Paid","Paid",IF(INDEX(Invoices!$M$6:$M$305,MATCH(P234,Invoices!$B$6:$B$305,0))="Draft","Draft","Invoiced")))))))</f>
        <v/>
      </c>
      <c r="R234" s="1">
        <f>IF(AND(B234&lt;&gt;"",P234&lt;&gt;"",P234=Invoice!$G$4),B234+MOD(N(F234),1)+ROW()/10000000,"")</f>
        <v/>
      </c>
      <c r="S234">
        <f>IF(R234="","",IF(D234="","Other work",D234)&amp;IF(AND(K234&lt;&gt;"",E234&lt;&gt;""),", "&amp;E234,""))</f>
        <v/>
      </c>
      <c r="T234">
        <f>IF(R234="","",IF(COUNTIFS(R$6:R233,"&gt;0",S$6:S233,S234,N$6:N233,N234)=0,R234,""))</f>
        <v/>
      </c>
      <c r="U234">
        <f>IF(B234="","",IF(J234&lt;&gt;"",0,M234))</f>
        <v/>
      </c>
    </row>
    <row r="235">
      <c r="A235" s="1" t="n"/>
      <c r="B235" s="16" t="n">
        <v>46269</v>
      </c>
      <c r="C235" s="17" t="inlineStr">
        <is>
          <t>Greenleaf Studio</t>
        </is>
      </c>
      <c r="D235" s="18" t="inlineStr">
        <is>
          <t>Monthly social posts</t>
        </is>
      </c>
      <c r="E235" s="18" t="inlineStr">
        <is>
          <t>Captions and scheduling</t>
        </is>
      </c>
      <c r="F235" s="19" t="n">
        <v>0.5625</v>
      </c>
      <c r="G235" s="19" t="n">
        <v>0.6458333333333334</v>
      </c>
      <c r="H235" s="20" t="n"/>
      <c r="I235" s="21" t="n"/>
      <c r="J235" s="22" t="n"/>
      <c r="K235" s="23" t="n"/>
      <c r="L235" s="18" t="n"/>
      <c r="M235" s="24">
        <f>IF(B235="","",IF(AND(F235&lt;&gt;"",G235&lt;&gt;""),MAX(0,ROUND(MOD(G235-F235,1)*24-N(H235)/60,2)),N(I235)))</f>
        <v/>
      </c>
      <c r="N235" s="14">
        <f>IF(B235="","",IF(K235&lt;&gt;"",K235,IF(N(IFERROR(INDEX(Projects!$D$6:$D$65,MATCH(D235,Projects!$B$6:$B$65,0)),""))&gt;0,IFERROR(INDEX(Projects!$D$6:$D$65,MATCH(D235,Projects!$B$6:$B$65,0)),""),IFERROR(INDEX(Clients!$G$6:$G$45,MATCH(C235,Clients!$B$6:$B$45,0)),0))))</f>
        <v/>
      </c>
      <c r="O235" s="14">
        <f>IF(B235="","",IF(J235&lt;&gt;"",0,ROUND(M235*N235,2)))</f>
        <v/>
      </c>
      <c r="P235" s="15">
        <f>IF(OR(B235="",J235&lt;&gt;""),"",IF(L235&lt;&gt;"",L235,IF(COUNTIFS(Invoices!$C$6:$C$305,C235,Invoices!$E$6:$E$305,"&lt;="&amp;B235,Invoices!$F$6:$F$305,"&gt;="&amp;B235)=1,INDEX(Invoices!$B$6:$B$305,SUMIFS(Invoices!$O$6:$O$305,Invoices!$C$6:$C$305,C235,Invoices!$E$6:$E$305,"&lt;="&amp;B235,Invoices!$F$6:$F$305,"&gt;="&amp;B235)),IF(COUNTIFS(Invoices!$C$6:$C$305,C235,Invoices!$E$6:$E$305,"&lt;="&amp;B235,Invoices!$F$6:$F$305,"&gt;="&amp;B235)&gt;1,"Two invoices",""))))</f>
        <v/>
      </c>
      <c r="Q235" s="15">
        <f>IF(B235="","",IF(J235&lt;&gt;"","Not billable",IF(P235="","To invoice",IF(P235="Two invoices","Check dates",IF(ISNA(MATCH(P235,Invoices!$B$6:$B$305,0)),"Check number",IF(INDEX(Invoices!$M$6:$M$305,MATCH(P235,Invoices!$B$6:$B$305,0))="Paid","Paid",IF(INDEX(Invoices!$M$6:$M$305,MATCH(P235,Invoices!$B$6:$B$305,0))="Draft","Draft","Invoiced")))))))</f>
        <v/>
      </c>
      <c r="R235" s="1">
        <f>IF(AND(B235&lt;&gt;"",P235&lt;&gt;"",P235=Invoice!$G$4),B235+MOD(N(F235),1)+ROW()/10000000,"")</f>
        <v/>
      </c>
      <c r="S235">
        <f>IF(R235="","",IF(D235="","Other work",D235)&amp;IF(AND(K235&lt;&gt;"",E235&lt;&gt;""),", "&amp;E235,""))</f>
        <v/>
      </c>
      <c r="T235">
        <f>IF(R235="","",IF(COUNTIFS(R$6:R234,"&gt;0",S$6:S234,S235,N$6:N234,N235)=0,R235,""))</f>
        <v/>
      </c>
      <c r="U235">
        <f>IF(B235="","",IF(J235&lt;&gt;"",0,M235))</f>
        <v/>
      </c>
    </row>
    <row r="236">
      <c r="A236" s="1" t="n"/>
      <c r="B236" s="16" t="n">
        <v>46272</v>
      </c>
      <c r="C236" s="17" t="inlineStr">
        <is>
          <t>Harbour Books</t>
        </is>
      </c>
      <c r="D236" s="18" t="inlineStr">
        <is>
          <t>Website redesign</t>
        </is>
      </c>
      <c r="E236" s="18" t="inlineStr">
        <is>
          <t>Mobile layouts</t>
        </is>
      </c>
      <c r="F236" s="19" t="n"/>
      <c r="G236" s="19" t="n"/>
      <c r="H236" s="20" t="n"/>
      <c r="I236" s="21" t="n">
        <v>3</v>
      </c>
      <c r="J236" s="22" t="n"/>
      <c r="K236" s="23" t="n"/>
      <c r="L236" s="18" t="n"/>
      <c r="M236" s="24">
        <f>IF(B236="","",IF(AND(F236&lt;&gt;"",G236&lt;&gt;""),MAX(0,ROUND(MOD(G236-F236,1)*24-N(H236)/60,2)),N(I236)))</f>
        <v/>
      </c>
      <c r="N236" s="14">
        <f>IF(B236="","",IF(K236&lt;&gt;"",K236,IF(N(IFERROR(INDEX(Projects!$D$6:$D$65,MATCH(D236,Projects!$B$6:$B$65,0)),""))&gt;0,IFERROR(INDEX(Projects!$D$6:$D$65,MATCH(D236,Projects!$B$6:$B$65,0)),""),IFERROR(INDEX(Clients!$G$6:$G$45,MATCH(C236,Clients!$B$6:$B$45,0)),0))))</f>
        <v/>
      </c>
      <c r="O236" s="14">
        <f>IF(B236="","",IF(J236&lt;&gt;"",0,ROUND(M236*N236,2)))</f>
        <v/>
      </c>
      <c r="P236" s="15">
        <f>IF(OR(B236="",J236&lt;&gt;""),"",IF(L236&lt;&gt;"",L236,IF(COUNTIFS(Invoices!$C$6:$C$305,C236,Invoices!$E$6:$E$305,"&lt;="&amp;B236,Invoices!$F$6:$F$305,"&gt;="&amp;B236)=1,INDEX(Invoices!$B$6:$B$305,SUMIFS(Invoices!$O$6:$O$305,Invoices!$C$6:$C$305,C236,Invoices!$E$6:$E$305,"&lt;="&amp;B236,Invoices!$F$6:$F$305,"&gt;="&amp;B236)),IF(COUNTIFS(Invoices!$C$6:$C$305,C236,Invoices!$E$6:$E$305,"&lt;="&amp;B236,Invoices!$F$6:$F$305,"&gt;="&amp;B236)&gt;1,"Two invoices",""))))</f>
        <v/>
      </c>
      <c r="Q236" s="15">
        <f>IF(B236="","",IF(J236&lt;&gt;"","Not billable",IF(P236="","To invoice",IF(P236="Two invoices","Check dates",IF(ISNA(MATCH(P236,Invoices!$B$6:$B$305,0)),"Check number",IF(INDEX(Invoices!$M$6:$M$305,MATCH(P236,Invoices!$B$6:$B$305,0))="Paid","Paid",IF(INDEX(Invoices!$M$6:$M$305,MATCH(P236,Invoices!$B$6:$B$305,0))="Draft","Draft","Invoiced")))))))</f>
        <v/>
      </c>
      <c r="R236" s="1">
        <f>IF(AND(B236&lt;&gt;"",P236&lt;&gt;"",P236=Invoice!$G$4),B236+MOD(N(F236),1)+ROW()/10000000,"")</f>
        <v/>
      </c>
      <c r="S236">
        <f>IF(R236="","",IF(D236="","Other work",D236)&amp;IF(AND(K236&lt;&gt;"",E236&lt;&gt;""),", "&amp;E236,""))</f>
        <v/>
      </c>
      <c r="T236">
        <f>IF(R236="","",IF(COUNTIFS(R$6:R235,"&gt;0",S$6:S235,S236,N$6:N235,N236)=0,R236,""))</f>
        <v/>
      </c>
      <c r="U236">
        <f>IF(B236="","",IF(J236&lt;&gt;"",0,M236))</f>
        <v/>
      </c>
    </row>
    <row r="237">
      <c r="A237" s="1" t="n"/>
      <c r="B237" s="16" t="n">
        <v>46272</v>
      </c>
      <c r="C237" s="17" t="inlineStr">
        <is>
          <t>Harbour Books</t>
        </is>
      </c>
      <c r="D237" s="18" t="inlineStr">
        <is>
          <t>Website redesign</t>
        </is>
      </c>
      <c r="E237" s="18" t="inlineStr">
        <is>
          <t>Style guide</t>
        </is>
      </c>
      <c r="F237" s="19" t="n">
        <v>0.375</v>
      </c>
      <c r="G237" s="19" t="n">
        <v>0.4583333333333333</v>
      </c>
      <c r="H237" s="20" t="n"/>
      <c r="I237" s="21" t="n"/>
      <c r="J237" s="22" t="n"/>
      <c r="K237" s="23" t="n"/>
      <c r="L237" s="18" t="n"/>
      <c r="M237" s="24">
        <f>IF(B237="","",IF(AND(F237&lt;&gt;"",G237&lt;&gt;""),MAX(0,ROUND(MOD(G237-F237,1)*24-N(H237)/60,2)),N(I237)))</f>
        <v/>
      </c>
      <c r="N237" s="14">
        <f>IF(B237="","",IF(K237&lt;&gt;"",K237,IF(N(IFERROR(INDEX(Projects!$D$6:$D$65,MATCH(D237,Projects!$B$6:$B$65,0)),""))&gt;0,IFERROR(INDEX(Projects!$D$6:$D$65,MATCH(D237,Projects!$B$6:$B$65,0)),""),IFERROR(INDEX(Clients!$G$6:$G$45,MATCH(C237,Clients!$B$6:$B$45,0)),0))))</f>
        <v/>
      </c>
      <c r="O237" s="14">
        <f>IF(B237="","",IF(J237&lt;&gt;"",0,ROUND(M237*N237,2)))</f>
        <v/>
      </c>
      <c r="P237" s="15">
        <f>IF(OR(B237="",J237&lt;&gt;""),"",IF(L237&lt;&gt;"",L237,IF(COUNTIFS(Invoices!$C$6:$C$305,C237,Invoices!$E$6:$E$305,"&lt;="&amp;B237,Invoices!$F$6:$F$305,"&gt;="&amp;B237)=1,INDEX(Invoices!$B$6:$B$305,SUMIFS(Invoices!$O$6:$O$305,Invoices!$C$6:$C$305,C237,Invoices!$E$6:$E$305,"&lt;="&amp;B237,Invoices!$F$6:$F$305,"&gt;="&amp;B237)),IF(COUNTIFS(Invoices!$C$6:$C$305,C237,Invoices!$E$6:$E$305,"&lt;="&amp;B237,Invoices!$F$6:$F$305,"&gt;="&amp;B237)&gt;1,"Two invoices",""))))</f>
        <v/>
      </c>
      <c r="Q237" s="15">
        <f>IF(B237="","",IF(J237&lt;&gt;"","Not billable",IF(P237="","To invoice",IF(P237="Two invoices","Check dates",IF(ISNA(MATCH(P237,Invoices!$B$6:$B$305,0)),"Check number",IF(INDEX(Invoices!$M$6:$M$305,MATCH(P237,Invoices!$B$6:$B$305,0))="Paid","Paid",IF(INDEX(Invoices!$M$6:$M$305,MATCH(P237,Invoices!$B$6:$B$305,0))="Draft","Draft","Invoiced")))))))</f>
        <v/>
      </c>
      <c r="R237" s="1">
        <f>IF(AND(B237&lt;&gt;"",P237&lt;&gt;"",P237=Invoice!$G$4),B237+MOD(N(F237),1)+ROW()/10000000,"")</f>
        <v/>
      </c>
      <c r="S237">
        <f>IF(R237="","",IF(D237="","Other work",D237)&amp;IF(AND(K237&lt;&gt;"",E237&lt;&gt;""),", "&amp;E237,""))</f>
        <v/>
      </c>
      <c r="T237">
        <f>IF(R237="","",IF(COUNTIFS(R$6:R236,"&gt;0",S$6:S236,S237,N$6:N236,N237)=0,R237,""))</f>
        <v/>
      </c>
      <c r="U237">
        <f>IF(B237="","",IF(J237&lt;&gt;"",0,M237))</f>
        <v/>
      </c>
    </row>
    <row r="238">
      <c r="A238" s="1" t="n"/>
      <c r="B238" s="16" t="n">
        <v>46272</v>
      </c>
      <c r="C238" s="17" t="inlineStr">
        <is>
          <t>Harbour Books</t>
        </is>
      </c>
      <c r="D238" s="18" t="inlineStr">
        <is>
          <t>Website redesign</t>
        </is>
      </c>
      <c r="E238" s="18" t="inlineStr">
        <is>
          <t>Page layouts</t>
        </is>
      </c>
      <c r="F238" s="19" t="n">
        <v>0.4791666666666667</v>
      </c>
      <c r="G238" s="19" t="n">
        <v>0.6145833333333334</v>
      </c>
      <c r="H238" s="20" t="n">
        <v>15</v>
      </c>
      <c r="I238" s="21" t="n"/>
      <c r="J238" s="22" t="n"/>
      <c r="K238" s="23" t="n"/>
      <c r="L238" s="18" t="n"/>
      <c r="M238" s="24">
        <f>IF(B238="","",IF(AND(F238&lt;&gt;"",G238&lt;&gt;""),MAX(0,ROUND(MOD(G238-F238,1)*24-N(H238)/60,2)),N(I238)))</f>
        <v/>
      </c>
      <c r="N238" s="14">
        <f>IF(B238="","",IF(K238&lt;&gt;"",K238,IF(N(IFERROR(INDEX(Projects!$D$6:$D$65,MATCH(D238,Projects!$B$6:$B$65,0)),""))&gt;0,IFERROR(INDEX(Projects!$D$6:$D$65,MATCH(D238,Projects!$B$6:$B$65,0)),""),IFERROR(INDEX(Clients!$G$6:$G$45,MATCH(C238,Clients!$B$6:$B$45,0)),0))))</f>
        <v/>
      </c>
      <c r="O238" s="14">
        <f>IF(B238="","",IF(J238&lt;&gt;"",0,ROUND(M238*N238,2)))</f>
        <v/>
      </c>
      <c r="P238" s="15">
        <f>IF(OR(B238="",J238&lt;&gt;""),"",IF(L238&lt;&gt;"",L238,IF(COUNTIFS(Invoices!$C$6:$C$305,C238,Invoices!$E$6:$E$305,"&lt;="&amp;B238,Invoices!$F$6:$F$305,"&gt;="&amp;B238)=1,INDEX(Invoices!$B$6:$B$305,SUMIFS(Invoices!$O$6:$O$305,Invoices!$C$6:$C$305,C238,Invoices!$E$6:$E$305,"&lt;="&amp;B238,Invoices!$F$6:$F$305,"&gt;="&amp;B238)),IF(COUNTIFS(Invoices!$C$6:$C$305,C238,Invoices!$E$6:$E$305,"&lt;="&amp;B238,Invoices!$F$6:$F$305,"&gt;="&amp;B238)&gt;1,"Two invoices",""))))</f>
        <v/>
      </c>
      <c r="Q238" s="15">
        <f>IF(B238="","",IF(J238&lt;&gt;"","Not billable",IF(P238="","To invoice",IF(P238="Two invoices","Check dates",IF(ISNA(MATCH(P238,Invoices!$B$6:$B$305,0)),"Check number",IF(INDEX(Invoices!$M$6:$M$305,MATCH(P238,Invoices!$B$6:$B$305,0))="Paid","Paid",IF(INDEX(Invoices!$M$6:$M$305,MATCH(P238,Invoices!$B$6:$B$305,0))="Draft","Draft","Invoiced")))))))</f>
        <v/>
      </c>
      <c r="R238" s="1">
        <f>IF(AND(B238&lt;&gt;"",P238&lt;&gt;"",P238=Invoice!$G$4),B238+MOD(N(F238),1)+ROW()/10000000,"")</f>
        <v/>
      </c>
      <c r="S238">
        <f>IF(R238="","",IF(D238="","Other work",D238)&amp;IF(AND(K238&lt;&gt;"",E238&lt;&gt;""),", "&amp;E238,""))</f>
        <v/>
      </c>
      <c r="T238">
        <f>IF(R238="","",IF(COUNTIFS(R$6:R237,"&gt;0",S$6:S237,S238,N$6:N237,N238)=0,R238,""))</f>
        <v/>
      </c>
      <c r="U238">
        <f>IF(B238="","",IF(J238&lt;&gt;"",0,M238))</f>
        <v/>
      </c>
    </row>
    <row r="239">
      <c r="A239" s="1" t="n"/>
      <c r="B239" s="16" t="n">
        <v>46273</v>
      </c>
      <c r="C239" s="17" t="inlineStr">
        <is>
          <t>Harbour Books</t>
        </is>
      </c>
      <c r="D239" s="18" t="inlineStr">
        <is>
          <t>Website redesign</t>
        </is>
      </c>
      <c r="E239" s="18" t="inlineStr">
        <is>
          <t>Client call</t>
        </is>
      </c>
      <c r="F239" s="19" t="n"/>
      <c r="G239" s="19" t="n"/>
      <c r="H239" s="20" t="n"/>
      <c r="I239" s="21" t="n">
        <v>2.5</v>
      </c>
      <c r="J239" s="22" t="n"/>
      <c r="K239" s="23" t="n"/>
      <c r="L239" s="18" t="n"/>
      <c r="M239" s="24">
        <f>IF(B239="","",IF(AND(F239&lt;&gt;"",G239&lt;&gt;""),MAX(0,ROUND(MOD(G239-F239,1)*24-N(H239)/60,2)),N(I239)))</f>
        <v/>
      </c>
      <c r="N239" s="14">
        <f>IF(B239="","",IF(K239&lt;&gt;"",K239,IF(N(IFERROR(INDEX(Projects!$D$6:$D$65,MATCH(D239,Projects!$B$6:$B$65,0)),""))&gt;0,IFERROR(INDEX(Projects!$D$6:$D$65,MATCH(D239,Projects!$B$6:$B$65,0)),""),IFERROR(INDEX(Clients!$G$6:$G$45,MATCH(C239,Clients!$B$6:$B$45,0)),0))))</f>
        <v/>
      </c>
      <c r="O239" s="14">
        <f>IF(B239="","",IF(J239&lt;&gt;"",0,ROUND(M239*N239,2)))</f>
        <v/>
      </c>
      <c r="P239" s="15">
        <f>IF(OR(B239="",J239&lt;&gt;""),"",IF(L239&lt;&gt;"",L239,IF(COUNTIFS(Invoices!$C$6:$C$305,C239,Invoices!$E$6:$E$305,"&lt;="&amp;B239,Invoices!$F$6:$F$305,"&gt;="&amp;B239)=1,INDEX(Invoices!$B$6:$B$305,SUMIFS(Invoices!$O$6:$O$305,Invoices!$C$6:$C$305,C239,Invoices!$E$6:$E$305,"&lt;="&amp;B239,Invoices!$F$6:$F$305,"&gt;="&amp;B239)),IF(COUNTIFS(Invoices!$C$6:$C$305,C239,Invoices!$E$6:$E$305,"&lt;="&amp;B239,Invoices!$F$6:$F$305,"&gt;="&amp;B239)&gt;1,"Two invoices",""))))</f>
        <v/>
      </c>
      <c r="Q239" s="15">
        <f>IF(B239="","",IF(J239&lt;&gt;"","Not billable",IF(P239="","To invoice",IF(P239="Two invoices","Check dates",IF(ISNA(MATCH(P239,Invoices!$B$6:$B$305,0)),"Check number",IF(INDEX(Invoices!$M$6:$M$305,MATCH(P239,Invoices!$B$6:$B$305,0))="Paid","Paid",IF(INDEX(Invoices!$M$6:$M$305,MATCH(P239,Invoices!$B$6:$B$305,0))="Draft","Draft","Invoiced")))))))</f>
        <v/>
      </c>
      <c r="R239" s="1">
        <f>IF(AND(B239&lt;&gt;"",P239&lt;&gt;"",P239=Invoice!$G$4),B239+MOD(N(F239),1)+ROW()/10000000,"")</f>
        <v/>
      </c>
      <c r="S239">
        <f>IF(R239="","",IF(D239="","Other work",D239)&amp;IF(AND(K239&lt;&gt;"",E239&lt;&gt;""),", "&amp;E239,""))</f>
        <v/>
      </c>
      <c r="T239">
        <f>IF(R239="","",IF(COUNTIFS(R$6:R238,"&gt;0",S$6:S238,S239,N$6:N238,N239)=0,R239,""))</f>
        <v/>
      </c>
      <c r="U239">
        <f>IF(B239="","",IF(J239&lt;&gt;"",0,M239))</f>
        <v/>
      </c>
    </row>
    <row r="240">
      <c r="A240" s="1" t="n"/>
      <c r="B240" s="16" t="n">
        <v>46273</v>
      </c>
      <c r="C240" s="17" t="inlineStr">
        <is>
          <t>Atlas Fitness</t>
        </is>
      </c>
      <c r="D240" s="18" t="inlineStr">
        <is>
          <t>Brand refresh</t>
        </is>
      </c>
      <c r="E240" s="18" t="inlineStr">
        <is>
          <t>Brand guidelines</t>
        </is>
      </c>
      <c r="F240" s="19" t="n">
        <v>0.375</v>
      </c>
      <c r="G240" s="19" t="n">
        <v>0.4375</v>
      </c>
      <c r="H240" s="20" t="n"/>
      <c r="I240" s="21" t="n"/>
      <c r="J240" s="22" t="n"/>
      <c r="K240" s="23" t="n"/>
      <c r="L240" s="18" t="n"/>
      <c r="M240" s="24">
        <f>IF(B240="","",IF(AND(F240&lt;&gt;"",G240&lt;&gt;""),MAX(0,ROUND(MOD(G240-F240,1)*24-N(H240)/60,2)),N(I240)))</f>
        <v/>
      </c>
      <c r="N240" s="14">
        <f>IF(B240="","",IF(K240&lt;&gt;"",K240,IF(N(IFERROR(INDEX(Projects!$D$6:$D$65,MATCH(D240,Projects!$B$6:$B$65,0)),""))&gt;0,IFERROR(INDEX(Projects!$D$6:$D$65,MATCH(D240,Projects!$B$6:$B$65,0)),""),IFERROR(INDEX(Clients!$G$6:$G$45,MATCH(C240,Clients!$B$6:$B$45,0)),0))))</f>
        <v/>
      </c>
      <c r="O240" s="14">
        <f>IF(B240="","",IF(J240&lt;&gt;"",0,ROUND(M240*N240,2)))</f>
        <v/>
      </c>
      <c r="P240" s="15">
        <f>IF(OR(B240="",J240&lt;&gt;""),"",IF(L240&lt;&gt;"",L240,IF(COUNTIFS(Invoices!$C$6:$C$305,C240,Invoices!$E$6:$E$305,"&lt;="&amp;B240,Invoices!$F$6:$F$305,"&gt;="&amp;B240)=1,INDEX(Invoices!$B$6:$B$305,SUMIFS(Invoices!$O$6:$O$305,Invoices!$C$6:$C$305,C240,Invoices!$E$6:$E$305,"&lt;="&amp;B240,Invoices!$F$6:$F$305,"&gt;="&amp;B240)),IF(COUNTIFS(Invoices!$C$6:$C$305,C240,Invoices!$E$6:$E$305,"&lt;="&amp;B240,Invoices!$F$6:$F$305,"&gt;="&amp;B240)&gt;1,"Two invoices",""))))</f>
        <v/>
      </c>
      <c r="Q240" s="15">
        <f>IF(B240="","",IF(J240&lt;&gt;"","Not billable",IF(P240="","To invoice",IF(P240="Two invoices","Check dates",IF(ISNA(MATCH(P240,Invoices!$B$6:$B$305,0)),"Check number",IF(INDEX(Invoices!$M$6:$M$305,MATCH(P240,Invoices!$B$6:$B$305,0))="Paid","Paid",IF(INDEX(Invoices!$M$6:$M$305,MATCH(P240,Invoices!$B$6:$B$305,0))="Draft","Draft","Invoiced")))))))</f>
        <v/>
      </c>
      <c r="R240" s="1">
        <f>IF(AND(B240&lt;&gt;"",P240&lt;&gt;"",P240=Invoice!$G$4),B240+MOD(N(F240),1)+ROW()/10000000,"")</f>
        <v/>
      </c>
      <c r="S240">
        <f>IF(R240="","",IF(D240="","Other work",D240)&amp;IF(AND(K240&lt;&gt;"",E240&lt;&gt;""),", "&amp;E240,""))</f>
        <v/>
      </c>
      <c r="T240">
        <f>IF(R240="","",IF(COUNTIFS(R$6:R239,"&gt;0",S$6:S239,S240,N$6:N239,N240)=0,R240,""))</f>
        <v/>
      </c>
      <c r="U240">
        <f>IF(B240="","",IF(J240&lt;&gt;"",0,M240))</f>
        <v/>
      </c>
    </row>
    <row r="241">
      <c r="A241" s="1" t="n"/>
      <c r="B241" s="16" t="n">
        <v>46274</v>
      </c>
      <c r="C241" s="17" t="inlineStr">
        <is>
          <t>Greenleaf Studio</t>
        </is>
      </c>
      <c r="D241" s="18" t="inlineStr">
        <is>
          <t>Monthly social posts</t>
        </is>
      </c>
      <c r="E241" s="18" t="inlineStr">
        <is>
          <t>Captions and scheduling</t>
        </is>
      </c>
      <c r="F241" s="19" t="n">
        <v>0.3958333333333333</v>
      </c>
      <c r="G241" s="19" t="n">
        <v>0.5520833333333334</v>
      </c>
      <c r="H241" s="20" t="n">
        <v>15</v>
      </c>
      <c r="I241" s="21" t="n"/>
      <c r="J241" s="22" t="n"/>
      <c r="K241" s="23" t="n"/>
      <c r="L241" s="18" t="n"/>
      <c r="M241" s="24">
        <f>IF(B241="","",IF(AND(F241&lt;&gt;"",G241&lt;&gt;""),MAX(0,ROUND(MOD(G241-F241,1)*24-N(H241)/60,2)),N(I241)))</f>
        <v/>
      </c>
      <c r="N241" s="14">
        <f>IF(B241="","",IF(K241&lt;&gt;"",K241,IF(N(IFERROR(INDEX(Projects!$D$6:$D$65,MATCH(D241,Projects!$B$6:$B$65,0)),""))&gt;0,IFERROR(INDEX(Projects!$D$6:$D$65,MATCH(D241,Projects!$B$6:$B$65,0)),""),IFERROR(INDEX(Clients!$G$6:$G$45,MATCH(C241,Clients!$B$6:$B$45,0)),0))))</f>
        <v/>
      </c>
      <c r="O241" s="14">
        <f>IF(B241="","",IF(J241&lt;&gt;"",0,ROUND(M241*N241,2)))</f>
        <v/>
      </c>
      <c r="P241" s="15">
        <f>IF(OR(B241="",J241&lt;&gt;""),"",IF(L241&lt;&gt;"",L241,IF(COUNTIFS(Invoices!$C$6:$C$305,C241,Invoices!$E$6:$E$305,"&lt;="&amp;B241,Invoices!$F$6:$F$305,"&gt;="&amp;B241)=1,INDEX(Invoices!$B$6:$B$305,SUMIFS(Invoices!$O$6:$O$305,Invoices!$C$6:$C$305,C241,Invoices!$E$6:$E$305,"&lt;="&amp;B241,Invoices!$F$6:$F$305,"&gt;="&amp;B241)),IF(COUNTIFS(Invoices!$C$6:$C$305,C241,Invoices!$E$6:$E$305,"&lt;="&amp;B241,Invoices!$F$6:$F$305,"&gt;="&amp;B241)&gt;1,"Two invoices",""))))</f>
        <v/>
      </c>
      <c r="Q241" s="15">
        <f>IF(B241="","",IF(J241&lt;&gt;"","Not billable",IF(P241="","To invoice",IF(P241="Two invoices","Check dates",IF(ISNA(MATCH(P241,Invoices!$B$6:$B$305,0)),"Check number",IF(INDEX(Invoices!$M$6:$M$305,MATCH(P241,Invoices!$B$6:$B$305,0))="Paid","Paid",IF(INDEX(Invoices!$M$6:$M$305,MATCH(P241,Invoices!$B$6:$B$305,0))="Draft","Draft","Invoiced")))))))</f>
        <v/>
      </c>
      <c r="R241" s="1">
        <f>IF(AND(B241&lt;&gt;"",P241&lt;&gt;"",P241=Invoice!$G$4),B241+MOD(N(F241),1)+ROW()/10000000,"")</f>
        <v/>
      </c>
      <c r="S241">
        <f>IF(R241="","",IF(D241="","Other work",D241)&amp;IF(AND(K241&lt;&gt;"",E241&lt;&gt;""),", "&amp;E241,""))</f>
        <v/>
      </c>
      <c r="T241">
        <f>IF(R241="","",IF(COUNTIFS(R$6:R240,"&gt;0",S$6:S240,S241,N$6:N240,N241)=0,R241,""))</f>
        <v/>
      </c>
      <c r="U241">
        <f>IF(B241="","",IF(J241&lt;&gt;"",0,M241))</f>
        <v/>
      </c>
    </row>
    <row r="242">
      <c r="A242" s="1" t="n"/>
      <c r="B242" s="16" t="n">
        <v>46275</v>
      </c>
      <c r="C242" s="17" t="inlineStr">
        <is>
          <t>Harbour Books</t>
        </is>
      </c>
      <c r="D242" s="18" t="inlineStr">
        <is>
          <t>Website redesign</t>
        </is>
      </c>
      <c r="E242" s="18" t="inlineStr">
        <is>
          <t>Home page design</t>
        </is>
      </c>
      <c r="F242" s="19" t="n">
        <v>0.3958333333333333</v>
      </c>
      <c r="G242" s="19" t="n">
        <v>0.5416666666666666</v>
      </c>
      <c r="H242" s="20" t="n"/>
      <c r="I242" s="21" t="n"/>
      <c r="J242" s="22" t="n"/>
      <c r="K242" s="23" t="n"/>
      <c r="L242" s="18" t="n"/>
      <c r="M242" s="24">
        <f>IF(B242="","",IF(AND(F242&lt;&gt;"",G242&lt;&gt;""),MAX(0,ROUND(MOD(G242-F242,1)*24-N(H242)/60,2)),N(I242)))</f>
        <v/>
      </c>
      <c r="N242" s="14">
        <f>IF(B242="","",IF(K242&lt;&gt;"",K242,IF(N(IFERROR(INDEX(Projects!$D$6:$D$65,MATCH(D242,Projects!$B$6:$B$65,0)),""))&gt;0,IFERROR(INDEX(Projects!$D$6:$D$65,MATCH(D242,Projects!$B$6:$B$65,0)),""),IFERROR(INDEX(Clients!$G$6:$G$45,MATCH(C242,Clients!$B$6:$B$45,0)),0))))</f>
        <v/>
      </c>
      <c r="O242" s="14">
        <f>IF(B242="","",IF(J242&lt;&gt;"",0,ROUND(M242*N242,2)))</f>
        <v/>
      </c>
      <c r="P242" s="15">
        <f>IF(OR(B242="",J242&lt;&gt;""),"",IF(L242&lt;&gt;"",L242,IF(COUNTIFS(Invoices!$C$6:$C$305,C242,Invoices!$E$6:$E$305,"&lt;="&amp;B242,Invoices!$F$6:$F$305,"&gt;="&amp;B242)=1,INDEX(Invoices!$B$6:$B$305,SUMIFS(Invoices!$O$6:$O$305,Invoices!$C$6:$C$305,C242,Invoices!$E$6:$E$305,"&lt;="&amp;B242,Invoices!$F$6:$F$305,"&gt;="&amp;B242)),IF(COUNTIFS(Invoices!$C$6:$C$305,C242,Invoices!$E$6:$E$305,"&lt;="&amp;B242,Invoices!$F$6:$F$305,"&gt;="&amp;B242)&gt;1,"Two invoices",""))))</f>
        <v/>
      </c>
      <c r="Q242" s="15">
        <f>IF(B242="","",IF(J242&lt;&gt;"","Not billable",IF(P242="","To invoice",IF(P242="Two invoices","Check dates",IF(ISNA(MATCH(P242,Invoices!$B$6:$B$305,0)),"Check number",IF(INDEX(Invoices!$M$6:$M$305,MATCH(P242,Invoices!$B$6:$B$305,0))="Paid","Paid",IF(INDEX(Invoices!$M$6:$M$305,MATCH(P242,Invoices!$B$6:$B$305,0))="Draft","Draft","Invoiced")))))))</f>
        <v/>
      </c>
      <c r="R242" s="1">
        <f>IF(AND(B242&lt;&gt;"",P242&lt;&gt;"",P242=Invoice!$G$4),B242+MOD(N(F242),1)+ROW()/10000000,"")</f>
        <v/>
      </c>
      <c r="S242">
        <f>IF(R242="","",IF(D242="","Other work",D242)&amp;IF(AND(K242&lt;&gt;"",E242&lt;&gt;""),", "&amp;E242,""))</f>
        <v/>
      </c>
      <c r="T242">
        <f>IF(R242="","",IF(COUNTIFS(R$6:R241,"&gt;0",S$6:S241,S242,N$6:N241,N242)=0,R242,""))</f>
        <v/>
      </c>
      <c r="U242">
        <f>IF(B242="","",IF(J242&lt;&gt;"",0,M242))</f>
        <v/>
      </c>
    </row>
    <row r="243">
      <c r="A243" s="1" t="n"/>
      <c r="B243" s="16" t="n">
        <v>46276</v>
      </c>
      <c r="C243" s="17" t="inlineStr">
        <is>
          <t>Harbour Books</t>
        </is>
      </c>
      <c r="D243" s="18" t="inlineStr">
        <is>
          <t>Website redesign</t>
        </is>
      </c>
      <c r="E243" s="18" t="inlineStr">
        <is>
          <t>Style guide</t>
        </is>
      </c>
      <c r="F243" s="19" t="n">
        <v>0.375</v>
      </c>
      <c r="G243" s="19" t="n">
        <v>0.4375</v>
      </c>
      <c r="H243" s="20" t="n"/>
      <c r="I243" s="21" t="n"/>
      <c r="J243" s="22" t="n"/>
      <c r="K243" s="23" t="n"/>
      <c r="L243" s="18" t="n"/>
      <c r="M243" s="24">
        <f>IF(B243="","",IF(AND(F243&lt;&gt;"",G243&lt;&gt;""),MAX(0,ROUND(MOD(G243-F243,1)*24-N(H243)/60,2)),N(I243)))</f>
        <v/>
      </c>
      <c r="N243" s="14">
        <f>IF(B243="","",IF(K243&lt;&gt;"",K243,IF(N(IFERROR(INDEX(Projects!$D$6:$D$65,MATCH(D243,Projects!$B$6:$B$65,0)),""))&gt;0,IFERROR(INDEX(Projects!$D$6:$D$65,MATCH(D243,Projects!$B$6:$B$65,0)),""),IFERROR(INDEX(Clients!$G$6:$G$45,MATCH(C243,Clients!$B$6:$B$45,0)),0))))</f>
        <v/>
      </c>
      <c r="O243" s="14">
        <f>IF(B243="","",IF(J243&lt;&gt;"",0,ROUND(M243*N243,2)))</f>
        <v/>
      </c>
      <c r="P243" s="15">
        <f>IF(OR(B243="",J243&lt;&gt;""),"",IF(L243&lt;&gt;"",L243,IF(COUNTIFS(Invoices!$C$6:$C$305,C243,Invoices!$E$6:$E$305,"&lt;="&amp;B243,Invoices!$F$6:$F$305,"&gt;="&amp;B243)=1,INDEX(Invoices!$B$6:$B$305,SUMIFS(Invoices!$O$6:$O$305,Invoices!$C$6:$C$305,C243,Invoices!$E$6:$E$305,"&lt;="&amp;B243,Invoices!$F$6:$F$305,"&gt;="&amp;B243)),IF(COUNTIFS(Invoices!$C$6:$C$305,C243,Invoices!$E$6:$E$305,"&lt;="&amp;B243,Invoices!$F$6:$F$305,"&gt;="&amp;B243)&gt;1,"Two invoices",""))))</f>
        <v/>
      </c>
      <c r="Q243" s="15">
        <f>IF(B243="","",IF(J243&lt;&gt;"","Not billable",IF(P243="","To invoice",IF(P243="Two invoices","Check dates",IF(ISNA(MATCH(P243,Invoices!$B$6:$B$305,0)),"Check number",IF(INDEX(Invoices!$M$6:$M$305,MATCH(P243,Invoices!$B$6:$B$305,0))="Paid","Paid",IF(INDEX(Invoices!$M$6:$M$305,MATCH(P243,Invoices!$B$6:$B$305,0))="Draft","Draft","Invoiced")))))))</f>
        <v/>
      </c>
      <c r="R243" s="1">
        <f>IF(AND(B243&lt;&gt;"",P243&lt;&gt;"",P243=Invoice!$G$4),B243+MOD(N(F243),1)+ROW()/10000000,"")</f>
        <v/>
      </c>
      <c r="S243">
        <f>IF(R243="","",IF(D243="","Other work",D243)&amp;IF(AND(K243&lt;&gt;"",E243&lt;&gt;""),", "&amp;E243,""))</f>
        <v/>
      </c>
      <c r="T243">
        <f>IF(R243="","",IF(COUNTIFS(R$6:R242,"&gt;0",S$6:S242,S243,N$6:N242,N243)=0,R243,""))</f>
        <v/>
      </c>
      <c r="U243">
        <f>IF(B243="","",IF(J243&lt;&gt;"",0,M243))</f>
        <v/>
      </c>
    </row>
    <row r="244">
      <c r="A244" s="1" t="n"/>
      <c r="B244" s="16" t="n">
        <v>46276</v>
      </c>
      <c r="C244" s="17" t="inlineStr">
        <is>
          <t>Harbour Books</t>
        </is>
      </c>
      <c r="D244" s="18" t="inlineStr">
        <is>
          <t>Website redesign</t>
        </is>
      </c>
      <c r="E244" s="18" t="inlineStr">
        <is>
          <t>Style guide</t>
        </is>
      </c>
      <c r="F244" s="19" t="n">
        <v>0.46875</v>
      </c>
      <c r="G244" s="19" t="n">
        <v>0.53125</v>
      </c>
      <c r="H244" s="20" t="n"/>
      <c r="I244" s="21" t="n"/>
      <c r="J244" s="22" t="n"/>
      <c r="K244" s="23" t="n"/>
      <c r="L244" s="18" t="n"/>
      <c r="M244" s="24">
        <f>IF(B244="","",IF(AND(F244&lt;&gt;"",G244&lt;&gt;""),MAX(0,ROUND(MOD(G244-F244,1)*24-N(H244)/60,2)),N(I244)))</f>
        <v/>
      </c>
      <c r="N244" s="14">
        <f>IF(B244="","",IF(K244&lt;&gt;"",K244,IF(N(IFERROR(INDEX(Projects!$D$6:$D$65,MATCH(D244,Projects!$B$6:$B$65,0)),""))&gt;0,IFERROR(INDEX(Projects!$D$6:$D$65,MATCH(D244,Projects!$B$6:$B$65,0)),""),IFERROR(INDEX(Clients!$G$6:$G$45,MATCH(C244,Clients!$B$6:$B$45,0)),0))))</f>
        <v/>
      </c>
      <c r="O244" s="14">
        <f>IF(B244="","",IF(J244&lt;&gt;"",0,ROUND(M244*N244,2)))</f>
        <v/>
      </c>
      <c r="P244" s="15">
        <f>IF(OR(B244="",J244&lt;&gt;""),"",IF(L244&lt;&gt;"",L244,IF(COUNTIFS(Invoices!$C$6:$C$305,C244,Invoices!$E$6:$E$305,"&lt;="&amp;B244,Invoices!$F$6:$F$305,"&gt;="&amp;B244)=1,INDEX(Invoices!$B$6:$B$305,SUMIFS(Invoices!$O$6:$O$305,Invoices!$C$6:$C$305,C244,Invoices!$E$6:$E$305,"&lt;="&amp;B244,Invoices!$F$6:$F$305,"&gt;="&amp;B244)),IF(COUNTIFS(Invoices!$C$6:$C$305,C244,Invoices!$E$6:$E$305,"&lt;="&amp;B244,Invoices!$F$6:$F$305,"&gt;="&amp;B244)&gt;1,"Two invoices",""))))</f>
        <v/>
      </c>
      <c r="Q244" s="15">
        <f>IF(B244="","",IF(J244&lt;&gt;"","Not billable",IF(P244="","To invoice",IF(P244="Two invoices","Check dates",IF(ISNA(MATCH(P244,Invoices!$B$6:$B$305,0)),"Check number",IF(INDEX(Invoices!$M$6:$M$305,MATCH(P244,Invoices!$B$6:$B$305,0))="Paid","Paid",IF(INDEX(Invoices!$M$6:$M$305,MATCH(P244,Invoices!$B$6:$B$305,0))="Draft","Draft","Invoiced")))))))</f>
        <v/>
      </c>
      <c r="R244" s="1">
        <f>IF(AND(B244&lt;&gt;"",P244&lt;&gt;"",P244=Invoice!$G$4),B244+MOD(N(F244),1)+ROW()/10000000,"")</f>
        <v/>
      </c>
      <c r="S244">
        <f>IF(R244="","",IF(D244="","Other work",D244)&amp;IF(AND(K244&lt;&gt;"",E244&lt;&gt;""),", "&amp;E244,""))</f>
        <v/>
      </c>
      <c r="T244">
        <f>IF(R244="","",IF(COUNTIFS(R$6:R243,"&gt;0",S$6:S243,S244,N$6:N243,N244)=0,R244,""))</f>
        <v/>
      </c>
      <c r="U244">
        <f>IF(B244="","",IF(J244&lt;&gt;"",0,M244))</f>
        <v/>
      </c>
    </row>
    <row r="245">
      <c r="A245" s="1" t="n"/>
      <c r="B245" s="16" t="n">
        <v>46279</v>
      </c>
      <c r="C245" s="17" t="inlineStr">
        <is>
          <t>Greenleaf Studio</t>
        </is>
      </c>
      <c r="D245" s="18" t="inlineStr">
        <is>
          <t>Monthly social posts</t>
        </is>
      </c>
      <c r="E245" s="18" t="inlineStr">
        <is>
          <t>Captions and scheduling</t>
        </is>
      </c>
      <c r="F245" s="19" t="n">
        <v>0.375</v>
      </c>
      <c r="G245" s="19" t="n">
        <v>0.4375</v>
      </c>
      <c r="H245" s="20" t="n"/>
      <c r="I245" s="21" t="n"/>
      <c r="J245" s="22" t="n"/>
      <c r="K245" s="23" t="n"/>
      <c r="L245" s="18" t="n"/>
      <c r="M245" s="24">
        <f>IF(B245="","",IF(AND(F245&lt;&gt;"",G245&lt;&gt;""),MAX(0,ROUND(MOD(G245-F245,1)*24-N(H245)/60,2)),N(I245)))</f>
        <v/>
      </c>
      <c r="N245" s="14">
        <f>IF(B245="","",IF(K245&lt;&gt;"",K245,IF(N(IFERROR(INDEX(Projects!$D$6:$D$65,MATCH(D245,Projects!$B$6:$B$65,0)),""))&gt;0,IFERROR(INDEX(Projects!$D$6:$D$65,MATCH(D245,Projects!$B$6:$B$65,0)),""),IFERROR(INDEX(Clients!$G$6:$G$45,MATCH(C245,Clients!$B$6:$B$45,0)),0))))</f>
        <v/>
      </c>
      <c r="O245" s="14">
        <f>IF(B245="","",IF(J245&lt;&gt;"",0,ROUND(M245*N245,2)))</f>
        <v/>
      </c>
      <c r="P245" s="15">
        <f>IF(OR(B245="",J245&lt;&gt;""),"",IF(L245&lt;&gt;"",L245,IF(COUNTIFS(Invoices!$C$6:$C$305,C245,Invoices!$E$6:$E$305,"&lt;="&amp;B245,Invoices!$F$6:$F$305,"&gt;="&amp;B245)=1,INDEX(Invoices!$B$6:$B$305,SUMIFS(Invoices!$O$6:$O$305,Invoices!$C$6:$C$305,C245,Invoices!$E$6:$E$305,"&lt;="&amp;B245,Invoices!$F$6:$F$305,"&gt;="&amp;B245)),IF(COUNTIFS(Invoices!$C$6:$C$305,C245,Invoices!$E$6:$E$305,"&lt;="&amp;B245,Invoices!$F$6:$F$305,"&gt;="&amp;B245)&gt;1,"Two invoices",""))))</f>
        <v/>
      </c>
      <c r="Q245" s="15">
        <f>IF(B245="","",IF(J245&lt;&gt;"","Not billable",IF(P245="","To invoice",IF(P245="Two invoices","Check dates",IF(ISNA(MATCH(P245,Invoices!$B$6:$B$305,0)),"Check number",IF(INDEX(Invoices!$M$6:$M$305,MATCH(P245,Invoices!$B$6:$B$305,0))="Paid","Paid",IF(INDEX(Invoices!$M$6:$M$305,MATCH(P245,Invoices!$B$6:$B$305,0))="Draft","Draft","Invoiced")))))))</f>
        <v/>
      </c>
      <c r="R245" s="1">
        <f>IF(AND(B245&lt;&gt;"",P245&lt;&gt;"",P245=Invoice!$G$4),B245+MOD(N(F245),1)+ROW()/10000000,"")</f>
        <v/>
      </c>
      <c r="S245">
        <f>IF(R245="","",IF(D245="","Other work",D245)&amp;IF(AND(K245&lt;&gt;"",E245&lt;&gt;""),", "&amp;E245,""))</f>
        <v/>
      </c>
      <c r="T245">
        <f>IF(R245="","",IF(COUNTIFS(R$6:R244,"&gt;0",S$6:S244,S245,N$6:N244,N245)=0,R245,""))</f>
        <v/>
      </c>
      <c r="U245">
        <f>IF(B245="","",IF(J245&lt;&gt;"",0,M245))</f>
        <v/>
      </c>
    </row>
    <row r="246">
      <c r="A246" s="1" t="n"/>
      <c r="B246" s="16" t="n">
        <v>46280</v>
      </c>
      <c r="C246" s="17" t="inlineStr">
        <is>
          <t>Atlas Fitness</t>
        </is>
      </c>
      <c r="D246" s="18" t="inlineStr">
        <is>
          <t>Brand refresh</t>
        </is>
      </c>
      <c r="E246" s="18" t="inlineStr">
        <is>
          <t>Workshop with the team</t>
        </is>
      </c>
      <c r="F246" s="19" t="n">
        <v>0.375</v>
      </c>
      <c r="G246" s="19" t="n">
        <v>0.4583333333333333</v>
      </c>
      <c r="H246" s="20" t="n"/>
      <c r="I246" s="21" t="n"/>
      <c r="J246" s="22" t="n"/>
      <c r="K246" s="23" t="n"/>
      <c r="L246" s="18" t="n"/>
      <c r="M246" s="24">
        <f>IF(B246="","",IF(AND(F246&lt;&gt;"",G246&lt;&gt;""),MAX(0,ROUND(MOD(G246-F246,1)*24-N(H246)/60,2)),N(I246)))</f>
        <v/>
      </c>
      <c r="N246" s="14">
        <f>IF(B246="","",IF(K246&lt;&gt;"",K246,IF(N(IFERROR(INDEX(Projects!$D$6:$D$65,MATCH(D246,Projects!$B$6:$B$65,0)),""))&gt;0,IFERROR(INDEX(Projects!$D$6:$D$65,MATCH(D246,Projects!$B$6:$B$65,0)),""),IFERROR(INDEX(Clients!$G$6:$G$45,MATCH(C246,Clients!$B$6:$B$45,0)),0))))</f>
        <v/>
      </c>
      <c r="O246" s="14">
        <f>IF(B246="","",IF(J246&lt;&gt;"",0,ROUND(M246*N246,2)))</f>
        <v/>
      </c>
      <c r="P246" s="15">
        <f>IF(OR(B246="",J246&lt;&gt;""),"",IF(L246&lt;&gt;"",L246,IF(COUNTIFS(Invoices!$C$6:$C$305,C246,Invoices!$E$6:$E$305,"&lt;="&amp;B246,Invoices!$F$6:$F$305,"&gt;="&amp;B246)=1,INDEX(Invoices!$B$6:$B$305,SUMIFS(Invoices!$O$6:$O$305,Invoices!$C$6:$C$305,C246,Invoices!$E$6:$E$305,"&lt;="&amp;B246,Invoices!$F$6:$F$305,"&gt;="&amp;B246)),IF(COUNTIFS(Invoices!$C$6:$C$305,C246,Invoices!$E$6:$E$305,"&lt;="&amp;B246,Invoices!$F$6:$F$305,"&gt;="&amp;B246)&gt;1,"Two invoices",""))))</f>
        <v/>
      </c>
      <c r="Q246" s="15">
        <f>IF(B246="","",IF(J246&lt;&gt;"","Not billable",IF(P246="","To invoice",IF(P246="Two invoices","Check dates",IF(ISNA(MATCH(P246,Invoices!$B$6:$B$305,0)),"Check number",IF(INDEX(Invoices!$M$6:$M$305,MATCH(P246,Invoices!$B$6:$B$305,0))="Paid","Paid",IF(INDEX(Invoices!$M$6:$M$305,MATCH(P246,Invoices!$B$6:$B$305,0))="Draft","Draft","Invoiced")))))))</f>
        <v/>
      </c>
      <c r="R246" s="1">
        <f>IF(AND(B246&lt;&gt;"",P246&lt;&gt;"",P246=Invoice!$G$4),B246+MOD(N(F246),1)+ROW()/10000000,"")</f>
        <v/>
      </c>
      <c r="S246">
        <f>IF(R246="","",IF(D246="","Other work",D246)&amp;IF(AND(K246&lt;&gt;"",E246&lt;&gt;""),", "&amp;E246,""))</f>
        <v/>
      </c>
      <c r="T246">
        <f>IF(R246="","",IF(COUNTIFS(R$6:R245,"&gt;0",S$6:S245,S246,N$6:N245,N246)=0,R246,""))</f>
        <v/>
      </c>
      <c r="U246">
        <f>IF(B246="","",IF(J246&lt;&gt;"",0,M246))</f>
        <v/>
      </c>
    </row>
    <row r="247">
      <c r="A247" s="1" t="n"/>
      <c r="B247" s="16" t="n">
        <v>46281</v>
      </c>
      <c r="C247" s="17" t="inlineStr">
        <is>
          <t>Harbour Books</t>
        </is>
      </c>
      <c r="D247" s="18" t="inlineStr">
        <is>
          <t>Website redesign</t>
        </is>
      </c>
      <c r="E247" s="18" t="inlineStr">
        <is>
          <t>Page layouts</t>
        </is>
      </c>
      <c r="F247" s="19" t="n">
        <v>0.375</v>
      </c>
      <c r="G247" s="19" t="n">
        <v>0.5208333333333334</v>
      </c>
      <c r="H247" s="20" t="n"/>
      <c r="I247" s="21" t="n"/>
      <c r="J247" s="22" t="n"/>
      <c r="K247" s="23" t="n"/>
      <c r="L247" s="18" t="n"/>
      <c r="M247" s="24">
        <f>IF(B247="","",IF(AND(F247&lt;&gt;"",G247&lt;&gt;""),MAX(0,ROUND(MOD(G247-F247,1)*24-N(H247)/60,2)),N(I247)))</f>
        <v/>
      </c>
      <c r="N247" s="14">
        <f>IF(B247="","",IF(K247&lt;&gt;"",K247,IF(N(IFERROR(INDEX(Projects!$D$6:$D$65,MATCH(D247,Projects!$B$6:$B$65,0)),""))&gt;0,IFERROR(INDEX(Projects!$D$6:$D$65,MATCH(D247,Projects!$B$6:$B$65,0)),""),IFERROR(INDEX(Clients!$G$6:$G$45,MATCH(C247,Clients!$B$6:$B$45,0)),0))))</f>
        <v/>
      </c>
      <c r="O247" s="14">
        <f>IF(B247="","",IF(J247&lt;&gt;"",0,ROUND(M247*N247,2)))</f>
        <v/>
      </c>
      <c r="P247" s="15">
        <f>IF(OR(B247="",J247&lt;&gt;""),"",IF(L247&lt;&gt;"",L247,IF(COUNTIFS(Invoices!$C$6:$C$305,C247,Invoices!$E$6:$E$305,"&lt;="&amp;B247,Invoices!$F$6:$F$305,"&gt;="&amp;B247)=1,INDEX(Invoices!$B$6:$B$305,SUMIFS(Invoices!$O$6:$O$305,Invoices!$C$6:$C$305,C247,Invoices!$E$6:$E$305,"&lt;="&amp;B247,Invoices!$F$6:$F$305,"&gt;="&amp;B247)),IF(COUNTIFS(Invoices!$C$6:$C$305,C247,Invoices!$E$6:$E$305,"&lt;="&amp;B247,Invoices!$F$6:$F$305,"&gt;="&amp;B247)&gt;1,"Two invoices",""))))</f>
        <v/>
      </c>
      <c r="Q247" s="15">
        <f>IF(B247="","",IF(J247&lt;&gt;"","Not billable",IF(P247="","To invoice",IF(P247="Two invoices","Check dates",IF(ISNA(MATCH(P247,Invoices!$B$6:$B$305,0)),"Check number",IF(INDEX(Invoices!$M$6:$M$305,MATCH(P247,Invoices!$B$6:$B$305,0))="Paid","Paid",IF(INDEX(Invoices!$M$6:$M$305,MATCH(P247,Invoices!$B$6:$B$305,0))="Draft","Draft","Invoiced")))))))</f>
        <v/>
      </c>
      <c r="R247" s="1">
        <f>IF(AND(B247&lt;&gt;"",P247&lt;&gt;"",P247=Invoice!$G$4),B247+MOD(N(F247),1)+ROW()/10000000,"")</f>
        <v/>
      </c>
      <c r="S247">
        <f>IF(R247="","",IF(D247="","Other work",D247)&amp;IF(AND(K247&lt;&gt;"",E247&lt;&gt;""),", "&amp;E247,""))</f>
        <v/>
      </c>
      <c r="T247">
        <f>IF(R247="","",IF(COUNTIFS(R$6:R246,"&gt;0",S$6:S246,S247,N$6:N246,N247)=0,R247,""))</f>
        <v/>
      </c>
      <c r="U247">
        <f>IF(B247="","",IF(J247&lt;&gt;"",0,M247))</f>
        <v/>
      </c>
    </row>
    <row r="248">
      <c r="A248" s="1" t="n"/>
      <c r="B248" s="16" t="n">
        <v>46282</v>
      </c>
      <c r="C248" s="17" t="inlineStr">
        <is>
          <t>Harbour Books</t>
        </is>
      </c>
      <c r="D248" s="18" t="inlineStr">
        <is>
          <t>Website redesign</t>
        </is>
      </c>
      <c r="E248" s="18" t="inlineStr">
        <is>
          <t>Client call</t>
        </is>
      </c>
      <c r="F248" s="19" t="n"/>
      <c r="G248" s="19" t="n"/>
      <c r="H248" s="20" t="n"/>
      <c r="I248" s="21" t="n">
        <v>3</v>
      </c>
      <c r="J248" s="22" t="n"/>
      <c r="K248" s="23" t="n"/>
      <c r="L248" s="18" t="n"/>
      <c r="M248" s="24">
        <f>IF(B248="","",IF(AND(F248&lt;&gt;"",G248&lt;&gt;""),MAX(0,ROUND(MOD(G248-F248,1)*24-N(H248)/60,2)),N(I248)))</f>
        <v/>
      </c>
      <c r="N248" s="14">
        <f>IF(B248="","",IF(K248&lt;&gt;"",K248,IF(N(IFERROR(INDEX(Projects!$D$6:$D$65,MATCH(D248,Projects!$B$6:$B$65,0)),""))&gt;0,IFERROR(INDEX(Projects!$D$6:$D$65,MATCH(D248,Projects!$B$6:$B$65,0)),""),IFERROR(INDEX(Clients!$G$6:$G$45,MATCH(C248,Clients!$B$6:$B$45,0)),0))))</f>
        <v/>
      </c>
      <c r="O248" s="14">
        <f>IF(B248="","",IF(J248&lt;&gt;"",0,ROUND(M248*N248,2)))</f>
        <v/>
      </c>
      <c r="P248" s="15">
        <f>IF(OR(B248="",J248&lt;&gt;""),"",IF(L248&lt;&gt;"",L248,IF(COUNTIFS(Invoices!$C$6:$C$305,C248,Invoices!$E$6:$E$305,"&lt;="&amp;B248,Invoices!$F$6:$F$305,"&gt;="&amp;B248)=1,INDEX(Invoices!$B$6:$B$305,SUMIFS(Invoices!$O$6:$O$305,Invoices!$C$6:$C$305,C248,Invoices!$E$6:$E$305,"&lt;="&amp;B248,Invoices!$F$6:$F$305,"&gt;="&amp;B248)),IF(COUNTIFS(Invoices!$C$6:$C$305,C248,Invoices!$E$6:$E$305,"&lt;="&amp;B248,Invoices!$F$6:$F$305,"&gt;="&amp;B248)&gt;1,"Two invoices",""))))</f>
        <v/>
      </c>
      <c r="Q248" s="15">
        <f>IF(B248="","",IF(J248&lt;&gt;"","Not billable",IF(P248="","To invoice",IF(P248="Two invoices","Check dates",IF(ISNA(MATCH(P248,Invoices!$B$6:$B$305,0)),"Check number",IF(INDEX(Invoices!$M$6:$M$305,MATCH(P248,Invoices!$B$6:$B$305,0))="Paid","Paid",IF(INDEX(Invoices!$M$6:$M$305,MATCH(P248,Invoices!$B$6:$B$305,0))="Draft","Draft","Invoiced")))))))</f>
        <v/>
      </c>
      <c r="R248" s="1">
        <f>IF(AND(B248&lt;&gt;"",P248&lt;&gt;"",P248=Invoice!$G$4),B248+MOD(N(F248),1)+ROW()/10000000,"")</f>
        <v/>
      </c>
      <c r="S248">
        <f>IF(R248="","",IF(D248="","Other work",D248)&amp;IF(AND(K248&lt;&gt;"",E248&lt;&gt;""),", "&amp;E248,""))</f>
        <v/>
      </c>
      <c r="T248">
        <f>IF(R248="","",IF(COUNTIFS(R$6:R247,"&gt;0",S$6:S247,S248,N$6:N247,N248)=0,R248,""))</f>
        <v/>
      </c>
      <c r="U248">
        <f>IF(B248="","",IF(J248&lt;&gt;"",0,M248))</f>
        <v/>
      </c>
    </row>
    <row r="249">
      <c r="A249" s="1" t="n"/>
      <c r="B249" s="16" t="n">
        <v>46282</v>
      </c>
      <c r="C249" s="17" t="inlineStr">
        <is>
          <t>Harbour Books</t>
        </is>
      </c>
      <c r="D249" s="18" t="inlineStr">
        <is>
          <t>Website redesign</t>
        </is>
      </c>
      <c r="E249" s="18" t="inlineStr">
        <is>
          <t>Mobile layouts</t>
        </is>
      </c>
      <c r="F249" s="19" t="n">
        <v>0.375</v>
      </c>
      <c r="G249" s="19" t="n">
        <v>0.4166666666666667</v>
      </c>
      <c r="H249" s="20" t="n"/>
      <c r="I249" s="21" t="n"/>
      <c r="J249" s="22" t="n"/>
      <c r="K249" s="23" t="n"/>
      <c r="L249" s="18" t="n"/>
      <c r="M249" s="24">
        <f>IF(B249="","",IF(AND(F249&lt;&gt;"",G249&lt;&gt;""),MAX(0,ROUND(MOD(G249-F249,1)*24-N(H249)/60,2)),N(I249)))</f>
        <v/>
      </c>
      <c r="N249" s="14">
        <f>IF(B249="","",IF(K249&lt;&gt;"",K249,IF(N(IFERROR(INDEX(Projects!$D$6:$D$65,MATCH(D249,Projects!$B$6:$B$65,0)),""))&gt;0,IFERROR(INDEX(Projects!$D$6:$D$65,MATCH(D249,Projects!$B$6:$B$65,0)),""),IFERROR(INDEX(Clients!$G$6:$G$45,MATCH(C249,Clients!$B$6:$B$45,0)),0))))</f>
        <v/>
      </c>
      <c r="O249" s="14">
        <f>IF(B249="","",IF(J249&lt;&gt;"",0,ROUND(M249*N249,2)))</f>
        <v/>
      </c>
      <c r="P249" s="15">
        <f>IF(OR(B249="",J249&lt;&gt;""),"",IF(L249&lt;&gt;"",L249,IF(COUNTIFS(Invoices!$C$6:$C$305,C249,Invoices!$E$6:$E$305,"&lt;="&amp;B249,Invoices!$F$6:$F$305,"&gt;="&amp;B249)=1,INDEX(Invoices!$B$6:$B$305,SUMIFS(Invoices!$O$6:$O$305,Invoices!$C$6:$C$305,C249,Invoices!$E$6:$E$305,"&lt;="&amp;B249,Invoices!$F$6:$F$305,"&gt;="&amp;B249)),IF(COUNTIFS(Invoices!$C$6:$C$305,C249,Invoices!$E$6:$E$305,"&lt;="&amp;B249,Invoices!$F$6:$F$305,"&gt;="&amp;B249)&gt;1,"Two invoices",""))))</f>
        <v/>
      </c>
      <c r="Q249" s="15">
        <f>IF(B249="","",IF(J249&lt;&gt;"","Not billable",IF(P249="","To invoice",IF(P249="Two invoices","Check dates",IF(ISNA(MATCH(P249,Invoices!$B$6:$B$305,0)),"Check number",IF(INDEX(Invoices!$M$6:$M$305,MATCH(P249,Invoices!$B$6:$B$305,0))="Paid","Paid",IF(INDEX(Invoices!$M$6:$M$305,MATCH(P249,Invoices!$B$6:$B$305,0))="Draft","Draft","Invoiced")))))))</f>
        <v/>
      </c>
      <c r="R249" s="1">
        <f>IF(AND(B249&lt;&gt;"",P249&lt;&gt;"",P249=Invoice!$G$4),B249+MOD(N(F249),1)+ROW()/10000000,"")</f>
        <v/>
      </c>
      <c r="S249">
        <f>IF(R249="","",IF(D249="","Other work",D249)&amp;IF(AND(K249&lt;&gt;"",E249&lt;&gt;""),", "&amp;E249,""))</f>
        <v/>
      </c>
      <c r="T249">
        <f>IF(R249="","",IF(COUNTIFS(R$6:R248,"&gt;0",S$6:S248,S249,N$6:N248,N249)=0,R249,""))</f>
        <v/>
      </c>
      <c r="U249">
        <f>IF(B249="","",IF(J249&lt;&gt;"",0,M249))</f>
        <v/>
      </c>
    </row>
    <row r="250">
      <c r="A250" s="1" t="n"/>
      <c r="B250" s="16" t="n">
        <v>46282</v>
      </c>
      <c r="C250" s="17" t="inlineStr">
        <is>
          <t>Harbour Books</t>
        </is>
      </c>
      <c r="D250" s="18" t="inlineStr">
        <is>
          <t>Website redesign</t>
        </is>
      </c>
      <c r="E250" s="18" t="inlineStr">
        <is>
          <t>Home page design</t>
        </is>
      </c>
      <c r="F250" s="19" t="n">
        <v>0.4375</v>
      </c>
      <c r="G250" s="19" t="n">
        <v>0.5208333333333334</v>
      </c>
      <c r="H250" s="20" t="n"/>
      <c r="I250" s="21" t="n"/>
      <c r="J250" s="22" t="n"/>
      <c r="K250" s="23" t="n"/>
      <c r="L250" s="18" t="n"/>
      <c r="M250" s="24">
        <f>IF(B250="","",IF(AND(F250&lt;&gt;"",G250&lt;&gt;""),MAX(0,ROUND(MOD(G250-F250,1)*24-N(H250)/60,2)),N(I250)))</f>
        <v/>
      </c>
      <c r="N250" s="14">
        <f>IF(B250="","",IF(K250&lt;&gt;"",K250,IF(N(IFERROR(INDEX(Projects!$D$6:$D$65,MATCH(D250,Projects!$B$6:$B$65,0)),""))&gt;0,IFERROR(INDEX(Projects!$D$6:$D$65,MATCH(D250,Projects!$B$6:$B$65,0)),""),IFERROR(INDEX(Clients!$G$6:$G$45,MATCH(C250,Clients!$B$6:$B$45,0)),0))))</f>
        <v/>
      </c>
      <c r="O250" s="14">
        <f>IF(B250="","",IF(J250&lt;&gt;"",0,ROUND(M250*N250,2)))</f>
        <v/>
      </c>
      <c r="P250" s="15">
        <f>IF(OR(B250="",J250&lt;&gt;""),"",IF(L250&lt;&gt;"",L250,IF(COUNTIFS(Invoices!$C$6:$C$305,C250,Invoices!$E$6:$E$305,"&lt;="&amp;B250,Invoices!$F$6:$F$305,"&gt;="&amp;B250)=1,INDEX(Invoices!$B$6:$B$305,SUMIFS(Invoices!$O$6:$O$305,Invoices!$C$6:$C$305,C250,Invoices!$E$6:$E$305,"&lt;="&amp;B250,Invoices!$F$6:$F$305,"&gt;="&amp;B250)),IF(COUNTIFS(Invoices!$C$6:$C$305,C250,Invoices!$E$6:$E$305,"&lt;="&amp;B250,Invoices!$F$6:$F$305,"&gt;="&amp;B250)&gt;1,"Two invoices",""))))</f>
        <v/>
      </c>
      <c r="Q250" s="15">
        <f>IF(B250="","",IF(J250&lt;&gt;"","Not billable",IF(P250="","To invoice",IF(P250="Two invoices","Check dates",IF(ISNA(MATCH(P250,Invoices!$B$6:$B$305,0)),"Check number",IF(INDEX(Invoices!$M$6:$M$305,MATCH(P250,Invoices!$B$6:$B$305,0))="Paid","Paid",IF(INDEX(Invoices!$M$6:$M$305,MATCH(P250,Invoices!$B$6:$B$305,0))="Draft","Draft","Invoiced")))))))</f>
        <v/>
      </c>
      <c r="R250" s="1">
        <f>IF(AND(B250&lt;&gt;"",P250&lt;&gt;"",P250=Invoice!$G$4),B250+MOD(N(F250),1)+ROW()/10000000,"")</f>
        <v/>
      </c>
      <c r="S250">
        <f>IF(R250="","",IF(D250="","Other work",D250)&amp;IF(AND(K250&lt;&gt;"",E250&lt;&gt;""),", "&amp;E250,""))</f>
        <v/>
      </c>
      <c r="T250">
        <f>IF(R250="","",IF(COUNTIFS(R$6:R249,"&gt;0",S$6:S249,S250,N$6:N249,N250)=0,R250,""))</f>
        <v/>
      </c>
      <c r="U250">
        <f>IF(B250="","",IF(J250&lt;&gt;"",0,M250))</f>
        <v/>
      </c>
    </row>
    <row r="251">
      <c r="A251" s="1" t="n"/>
      <c r="B251" s="16" t="n">
        <v>46283</v>
      </c>
      <c r="C251" s="17" t="inlineStr">
        <is>
          <t>Greenleaf Studio</t>
        </is>
      </c>
      <c r="D251" s="18" t="inlineStr">
        <is>
          <t>Monthly social posts</t>
        </is>
      </c>
      <c r="E251" s="18" t="inlineStr">
        <is>
          <t>Monthly report</t>
        </is>
      </c>
      <c r="F251" s="19" t="n"/>
      <c r="G251" s="19" t="n"/>
      <c r="H251" s="20" t="n"/>
      <c r="I251" s="21" t="n">
        <v>3</v>
      </c>
      <c r="J251" s="22" t="n"/>
      <c r="K251" s="23" t="n"/>
      <c r="L251" s="18" t="n"/>
      <c r="M251" s="24">
        <f>IF(B251="","",IF(AND(F251&lt;&gt;"",G251&lt;&gt;""),MAX(0,ROUND(MOD(G251-F251,1)*24-N(H251)/60,2)),N(I251)))</f>
        <v/>
      </c>
      <c r="N251" s="14">
        <f>IF(B251="","",IF(K251&lt;&gt;"",K251,IF(N(IFERROR(INDEX(Projects!$D$6:$D$65,MATCH(D251,Projects!$B$6:$B$65,0)),""))&gt;0,IFERROR(INDEX(Projects!$D$6:$D$65,MATCH(D251,Projects!$B$6:$B$65,0)),""),IFERROR(INDEX(Clients!$G$6:$G$45,MATCH(C251,Clients!$B$6:$B$45,0)),0))))</f>
        <v/>
      </c>
      <c r="O251" s="14">
        <f>IF(B251="","",IF(J251&lt;&gt;"",0,ROUND(M251*N251,2)))</f>
        <v/>
      </c>
      <c r="P251" s="15">
        <f>IF(OR(B251="",J251&lt;&gt;""),"",IF(L251&lt;&gt;"",L251,IF(COUNTIFS(Invoices!$C$6:$C$305,C251,Invoices!$E$6:$E$305,"&lt;="&amp;B251,Invoices!$F$6:$F$305,"&gt;="&amp;B251)=1,INDEX(Invoices!$B$6:$B$305,SUMIFS(Invoices!$O$6:$O$305,Invoices!$C$6:$C$305,C251,Invoices!$E$6:$E$305,"&lt;="&amp;B251,Invoices!$F$6:$F$305,"&gt;="&amp;B251)),IF(COUNTIFS(Invoices!$C$6:$C$305,C251,Invoices!$E$6:$E$305,"&lt;="&amp;B251,Invoices!$F$6:$F$305,"&gt;="&amp;B251)&gt;1,"Two invoices",""))))</f>
        <v/>
      </c>
      <c r="Q251" s="15">
        <f>IF(B251="","",IF(J251&lt;&gt;"","Not billable",IF(P251="","To invoice",IF(P251="Two invoices","Check dates",IF(ISNA(MATCH(P251,Invoices!$B$6:$B$305,0)),"Check number",IF(INDEX(Invoices!$M$6:$M$305,MATCH(P251,Invoices!$B$6:$B$305,0))="Paid","Paid",IF(INDEX(Invoices!$M$6:$M$305,MATCH(P251,Invoices!$B$6:$B$305,0))="Draft","Draft","Invoiced")))))))</f>
        <v/>
      </c>
      <c r="R251" s="1">
        <f>IF(AND(B251&lt;&gt;"",P251&lt;&gt;"",P251=Invoice!$G$4),B251+MOD(N(F251),1)+ROW()/10000000,"")</f>
        <v/>
      </c>
      <c r="S251">
        <f>IF(R251="","",IF(D251="","Other work",D251)&amp;IF(AND(K251&lt;&gt;"",E251&lt;&gt;""),", "&amp;E251,""))</f>
        <v/>
      </c>
      <c r="T251">
        <f>IF(R251="","",IF(COUNTIFS(R$6:R250,"&gt;0",S$6:S250,S251,N$6:N250,N251)=0,R251,""))</f>
        <v/>
      </c>
      <c r="U251">
        <f>IF(B251="","",IF(J251&lt;&gt;"",0,M251))</f>
        <v/>
      </c>
    </row>
    <row r="252">
      <c r="A252" s="1" t="n"/>
      <c r="B252" s="16" t="n">
        <v>46283</v>
      </c>
      <c r="C252" s="17" t="inlineStr">
        <is>
          <t>Atlas Fitness</t>
        </is>
      </c>
      <c r="D252" s="18" t="inlineStr">
        <is>
          <t>Brand refresh</t>
        </is>
      </c>
      <c r="E252" s="18" t="inlineStr">
        <is>
          <t>Logo sketches</t>
        </is>
      </c>
      <c r="F252" s="19" t="n">
        <v>0.3958333333333333</v>
      </c>
      <c r="G252" s="19" t="n">
        <v>0.5</v>
      </c>
      <c r="H252" s="20" t="n"/>
      <c r="I252" s="21" t="n"/>
      <c r="J252" s="22" t="n"/>
      <c r="K252" s="23" t="n"/>
      <c r="L252" s="18" t="n"/>
      <c r="M252" s="24">
        <f>IF(B252="","",IF(AND(F252&lt;&gt;"",G252&lt;&gt;""),MAX(0,ROUND(MOD(G252-F252,1)*24-N(H252)/60,2)),N(I252)))</f>
        <v/>
      </c>
      <c r="N252" s="14">
        <f>IF(B252="","",IF(K252&lt;&gt;"",K252,IF(N(IFERROR(INDEX(Projects!$D$6:$D$65,MATCH(D252,Projects!$B$6:$B$65,0)),""))&gt;0,IFERROR(INDEX(Projects!$D$6:$D$65,MATCH(D252,Projects!$B$6:$B$65,0)),""),IFERROR(INDEX(Clients!$G$6:$G$45,MATCH(C252,Clients!$B$6:$B$45,0)),0))))</f>
        <v/>
      </c>
      <c r="O252" s="14">
        <f>IF(B252="","",IF(J252&lt;&gt;"",0,ROUND(M252*N252,2)))</f>
        <v/>
      </c>
      <c r="P252" s="15">
        <f>IF(OR(B252="",J252&lt;&gt;""),"",IF(L252&lt;&gt;"",L252,IF(COUNTIFS(Invoices!$C$6:$C$305,C252,Invoices!$E$6:$E$305,"&lt;="&amp;B252,Invoices!$F$6:$F$305,"&gt;="&amp;B252)=1,INDEX(Invoices!$B$6:$B$305,SUMIFS(Invoices!$O$6:$O$305,Invoices!$C$6:$C$305,C252,Invoices!$E$6:$E$305,"&lt;="&amp;B252,Invoices!$F$6:$F$305,"&gt;="&amp;B252)),IF(COUNTIFS(Invoices!$C$6:$C$305,C252,Invoices!$E$6:$E$305,"&lt;="&amp;B252,Invoices!$F$6:$F$305,"&gt;="&amp;B252)&gt;1,"Two invoices",""))))</f>
        <v/>
      </c>
      <c r="Q252" s="15">
        <f>IF(B252="","",IF(J252&lt;&gt;"","Not billable",IF(P252="","To invoice",IF(P252="Two invoices","Check dates",IF(ISNA(MATCH(P252,Invoices!$B$6:$B$305,0)),"Check number",IF(INDEX(Invoices!$M$6:$M$305,MATCH(P252,Invoices!$B$6:$B$305,0))="Paid","Paid",IF(INDEX(Invoices!$M$6:$M$305,MATCH(P252,Invoices!$B$6:$B$305,0))="Draft","Draft","Invoiced")))))))</f>
        <v/>
      </c>
      <c r="R252" s="1">
        <f>IF(AND(B252&lt;&gt;"",P252&lt;&gt;"",P252=Invoice!$G$4),B252+MOD(N(F252),1)+ROW()/10000000,"")</f>
        <v/>
      </c>
      <c r="S252">
        <f>IF(R252="","",IF(D252="","Other work",D252)&amp;IF(AND(K252&lt;&gt;"",E252&lt;&gt;""),", "&amp;E252,""))</f>
        <v/>
      </c>
      <c r="T252">
        <f>IF(R252="","",IF(COUNTIFS(R$6:R251,"&gt;0",S$6:S251,S252,N$6:N251,N252)=0,R252,""))</f>
        <v/>
      </c>
      <c r="U252">
        <f>IF(B252="","",IF(J252&lt;&gt;"",0,M252))</f>
        <v/>
      </c>
    </row>
    <row r="253">
      <c r="A253" s="1" t="n"/>
      <c r="B253" s="16" t="n">
        <v>46286</v>
      </c>
      <c r="C253" s="17" t="inlineStr">
        <is>
          <t>Harbour Books</t>
        </is>
      </c>
      <c r="D253" s="18" t="inlineStr">
        <is>
          <t>Website redesign</t>
        </is>
      </c>
      <c r="E253" s="18" t="inlineStr">
        <is>
          <t>Style guide</t>
        </is>
      </c>
      <c r="F253" s="19" t="n"/>
      <c r="G253" s="19" t="n"/>
      <c r="H253" s="20" t="n"/>
      <c r="I253" s="21" t="n">
        <v>1</v>
      </c>
      <c r="J253" s="22" t="n"/>
      <c r="K253" s="23" t="n"/>
      <c r="L253" s="18" t="n"/>
      <c r="M253" s="24">
        <f>IF(B253="","",IF(AND(F253&lt;&gt;"",G253&lt;&gt;""),MAX(0,ROUND(MOD(G253-F253,1)*24-N(H253)/60,2)),N(I253)))</f>
        <v/>
      </c>
      <c r="N253" s="14">
        <f>IF(B253="","",IF(K253&lt;&gt;"",K253,IF(N(IFERROR(INDEX(Projects!$D$6:$D$65,MATCH(D253,Projects!$B$6:$B$65,0)),""))&gt;0,IFERROR(INDEX(Projects!$D$6:$D$65,MATCH(D253,Projects!$B$6:$B$65,0)),""),IFERROR(INDEX(Clients!$G$6:$G$45,MATCH(C253,Clients!$B$6:$B$45,0)),0))))</f>
        <v/>
      </c>
      <c r="O253" s="14">
        <f>IF(B253="","",IF(J253&lt;&gt;"",0,ROUND(M253*N253,2)))</f>
        <v/>
      </c>
      <c r="P253" s="15">
        <f>IF(OR(B253="",J253&lt;&gt;""),"",IF(L253&lt;&gt;"",L253,IF(COUNTIFS(Invoices!$C$6:$C$305,C253,Invoices!$E$6:$E$305,"&lt;="&amp;B253,Invoices!$F$6:$F$305,"&gt;="&amp;B253)=1,INDEX(Invoices!$B$6:$B$305,SUMIFS(Invoices!$O$6:$O$305,Invoices!$C$6:$C$305,C253,Invoices!$E$6:$E$305,"&lt;="&amp;B253,Invoices!$F$6:$F$305,"&gt;="&amp;B253)),IF(COUNTIFS(Invoices!$C$6:$C$305,C253,Invoices!$E$6:$E$305,"&lt;="&amp;B253,Invoices!$F$6:$F$305,"&gt;="&amp;B253)&gt;1,"Two invoices",""))))</f>
        <v/>
      </c>
      <c r="Q253" s="15">
        <f>IF(B253="","",IF(J253&lt;&gt;"","Not billable",IF(P253="","To invoice",IF(P253="Two invoices","Check dates",IF(ISNA(MATCH(P253,Invoices!$B$6:$B$305,0)),"Check number",IF(INDEX(Invoices!$M$6:$M$305,MATCH(P253,Invoices!$B$6:$B$305,0))="Paid","Paid",IF(INDEX(Invoices!$M$6:$M$305,MATCH(P253,Invoices!$B$6:$B$305,0))="Draft","Draft","Invoiced")))))))</f>
        <v/>
      </c>
      <c r="R253" s="1">
        <f>IF(AND(B253&lt;&gt;"",P253&lt;&gt;"",P253=Invoice!$G$4),B253+MOD(N(F253),1)+ROW()/10000000,"")</f>
        <v/>
      </c>
      <c r="S253">
        <f>IF(R253="","",IF(D253="","Other work",D253)&amp;IF(AND(K253&lt;&gt;"",E253&lt;&gt;""),", "&amp;E253,""))</f>
        <v/>
      </c>
      <c r="T253">
        <f>IF(R253="","",IF(COUNTIFS(R$6:R252,"&gt;0",S$6:S252,S253,N$6:N252,N253)=0,R253,""))</f>
        <v/>
      </c>
      <c r="U253">
        <f>IF(B253="","",IF(J253&lt;&gt;"",0,M253))</f>
        <v/>
      </c>
    </row>
    <row r="254">
      <c r="A254" s="1" t="n"/>
      <c r="B254" s="16" t="n">
        <v>46286</v>
      </c>
      <c r="C254" s="17" t="inlineStr">
        <is>
          <t>Greenleaf Studio</t>
        </is>
      </c>
      <c r="D254" s="18" t="inlineStr">
        <is>
          <t>Monthly social posts</t>
        </is>
      </c>
      <c r="E254" s="18" t="inlineStr">
        <is>
          <t>Captions and scheduling</t>
        </is>
      </c>
      <c r="F254" s="19" t="n">
        <v>0.3958333333333333</v>
      </c>
      <c r="G254" s="19" t="n">
        <v>0.5520833333333334</v>
      </c>
      <c r="H254" s="20" t="n">
        <v>15</v>
      </c>
      <c r="I254" s="21" t="n"/>
      <c r="J254" s="22" t="n"/>
      <c r="K254" s="23" t="n"/>
      <c r="L254" s="18" t="n"/>
      <c r="M254" s="24">
        <f>IF(B254="","",IF(AND(F254&lt;&gt;"",G254&lt;&gt;""),MAX(0,ROUND(MOD(G254-F254,1)*24-N(H254)/60,2)),N(I254)))</f>
        <v/>
      </c>
      <c r="N254" s="14">
        <f>IF(B254="","",IF(K254&lt;&gt;"",K254,IF(N(IFERROR(INDEX(Projects!$D$6:$D$65,MATCH(D254,Projects!$B$6:$B$65,0)),""))&gt;0,IFERROR(INDEX(Projects!$D$6:$D$65,MATCH(D254,Projects!$B$6:$B$65,0)),""),IFERROR(INDEX(Clients!$G$6:$G$45,MATCH(C254,Clients!$B$6:$B$45,0)),0))))</f>
        <v/>
      </c>
      <c r="O254" s="14">
        <f>IF(B254="","",IF(J254&lt;&gt;"",0,ROUND(M254*N254,2)))</f>
        <v/>
      </c>
      <c r="P254" s="15">
        <f>IF(OR(B254="",J254&lt;&gt;""),"",IF(L254&lt;&gt;"",L254,IF(COUNTIFS(Invoices!$C$6:$C$305,C254,Invoices!$E$6:$E$305,"&lt;="&amp;B254,Invoices!$F$6:$F$305,"&gt;="&amp;B254)=1,INDEX(Invoices!$B$6:$B$305,SUMIFS(Invoices!$O$6:$O$305,Invoices!$C$6:$C$305,C254,Invoices!$E$6:$E$305,"&lt;="&amp;B254,Invoices!$F$6:$F$305,"&gt;="&amp;B254)),IF(COUNTIFS(Invoices!$C$6:$C$305,C254,Invoices!$E$6:$E$305,"&lt;="&amp;B254,Invoices!$F$6:$F$305,"&gt;="&amp;B254)&gt;1,"Two invoices",""))))</f>
        <v/>
      </c>
      <c r="Q254" s="15">
        <f>IF(B254="","",IF(J254&lt;&gt;"","Not billable",IF(P254="","To invoice",IF(P254="Two invoices","Check dates",IF(ISNA(MATCH(P254,Invoices!$B$6:$B$305,0)),"Check number",IF(INDEX(Invoices!$M$6:$M$305,MATCH(P254,Invoices!$B$6:$B$305,0))="Paid","Paid",IF(INDEX(Invoices!$M$6:$M$305,MATCH(P254,Invoices!$B$6:$B$305,0))="Draft","Draft","Invoiced")))))))</f>
        <v/>
      </c>
      <c r="R254" s="1">
        <f>IF(AND(B254&lt;&gt;"",P254&lt;&gt;"",P254=Invoice!$G$4),B254+MOD(N(F254),1)+ROW()/10000000,"")</f>
        <v/>
      </c>
      <c r="S254">
        <f>IF(R254="","",IF(D254="","Other work",D254)&amp;IF(AND(K254&lt;&gt;"",E254&lt;&gt;""),", "&amp;E254,""))</f>
        <v/>
      </c>
      <c r="T254">
        <f>IF(R254="","",IF(COUNTIFS(R$6:R253,"&gt;0",S$6:S253,S254,N$6:N253,N254)=0,R254,""))</f>
        <v/>
      </c>
      <c r="U254">
        <f>IF(B254="","",IF(J254&lt;&gt;"",0,M254))</f>
        <v/>
      </c>
    </row>
    <row r="255">
      <c r="A255" s="1" t="n"/>
      <c r="B255" s="16" t="n">
        <v>46287</v>
      </c>
      <c r="C255" s="17" t="inlineStr">
        <is>
          <t>Atlas Fitness</t>
        </is>
      </c>
      <c r="D255" s="18" t="inlineStr">
        <is>
          <t>Brand refresh</t>
        </is>
      </c>
      <c r="E255" s="18" t="inlineStr">
        <is>
          <t>Brand guidelines</t>
        </is>
      </c>
      <c r="F255" s="19" t="n"/>
      <c r="G255" s="19" t="n"/>
      <c r="H255" s="20" t="n"/>
      <c r="I255" s="21" t="n">
        <v>1</v>
      </c>
      <c r="J255" s="22" t="n"/>
      <c r="K255" s="23" t="n"/>
      <c r="L255" s="18" t="n"/>
      <c r="M255" s="24">
        <f>IF(B255="","",IF(AND(F255&lt;&gt;"",G255&lt;&gt;""),MAX(0,ROUND(MOD(G255-F255,1)*24-N(H255)/60,2)),N(I255)))</f>
        <v/>
      </c>
      <c r="N255" s="14">
        <f>IF(B255="","",IF(K255&lt;&gt;"",K255,IF(N(IFERROR(INDEX(Projects!$D$6:$D$65,MATCH(D255,Projects!$B$6:$B$65,0)),""))&gt;0,IFERROR(INDEX(Projects!$D$6:$D$65,MATCH(D255,Projects!$B$6:$B$65,0)),""),IFERROR(INDEX(Clients!$G$6:$G$45,MATCH(C255,Clients!$B$6:$B$45,0)),0))))</f>
        <v/>
      </c>
      <c r="O255" s="14">
        <f>IF(B255="","",IF(J255&lt;&gt;"",0,ROUND(M255*N255,2)))</f>
        <v/>
      </c>
      <c r="P255" s="15">
        <f>IF(OR(B255="",J255&lt;&gt;""),"",IF(L255&lt;&gt;"",L255,IF(COUNTIFS(Invoices!$C$6:$C$305,C255,Invoices!$E$6:$E$305,"&lt;="&amp;B255,Invoices!$F$6:$F$305,"&gt;="&amp;B255)=1,INDEX(Invoices!$B$6:$B$305,SUMIFS(Invoices!$O$6:$O$305,Invoices!$C$6:$C$305,C255,Invoices!$E$6:$E$305,"&lt;="&amp;B255,Invoices!$F$6:$F$305,"&gt;="&amp;B255)),IF(COUNTIFS(Invoices!$C$6:$C$305,C255,Invoices!$E$6:$E$305,"&lt;="&amp;B255,Invoices!$F$6:$F$305,"&gt;="&amp;B255)&gt;1,"Two invoices",""))))</f>
        <v/>
      </c>
      <c r="Q255" s="15">
        <f>IF(B255="","",IF(J255&lt;&gt;"","Not billable",IF(P255="","To invoice",IF(P255="Two invoices","Check dates",IF(ISNA(MATCH(P255,Invoices!$B$6:$B$305,0)),"Check number",IF(INDEX(Invoices!$M$6:$M$305,MATCH(P255,Invoices!$B$6:$B$305,0))="Paid","Paid",IF(INDEX(Invoices!$M$6:$M$305,MATCH(P255,Invoices!$B$6:$B$305,0))="Draft","Draft","Invoiced")))))))</f>
        <v/>
      </c>
      <c r="R255" s="1">
        <f>IF(AND(B255&lt;&gt;"",P255&lt;&gt;"",P255=Invoice!$G$4),B255+MOD(N(F255),1)+ROW()/10000000,"")</f>
        <v/>
      </c>
      <c r="S255">
        <f>IF(R255="","",IF(D255="","Other work",D255)&amp;IF(AND(K255&lt;&gt;"",E255&lt;&gt;""),", "&amp;E255,""))</f>
        <v/>
      </c>
      <c r="T255">
        <f>IF(R255="","",IF(COUNTIFS(R$6:R254,"&gt;0",S$6:S254,S255,N$6:N254,N255)=0,R255,""))</f>
        <v/>
      </c>
      <c r="U255">
        <f>IF(B255="","",IF(J255&lt;&gt;"",0,M255))</f>
        <v/>
      </c>
    </row>
    <row r="256">
      <c r="A256" s="1" t="n"/>
      <c r="B256" s="16" t="n">
        <v>46287</v>
      </c>
      <c r="C256" s="17" t="inlineStr">
        <is>
          <t>Greenleaf Studio</t>
        </is>
      </c>
      <c r="D256" s="18" t="n"/>
      <c r="E256" s="18" t="inlineStr">
        <is>
          <t>Quote for a new logo</t>
        </is>
      </c>
      <c r="F256" s="19" t="n"/>
      <c r="G256" s="19" t="n"/>
      <c r="H256" s="20" t="n"/>
      <c r="I256" s="21" t="n">
        <v>0.5</v>
      </c>
      <c r="J256" s="22" t="inlineStr">
        <is>
          <t>x</t>
        </is>
      </c>
      <c r="K256" s="23" t="n"/>
      <c r="L256" s="18" t="n"/>
      <c r="M256" s="24">
        <f>IF(B256="","",IF(AND(F256&lt;&gt;"",G256&lt;&gt;""),MAX(0,ROUND(MOD(G256-F256,1)*24-N(H256)/60,2)),N(I256)))</f>
        <v/>
      </c>
      <c r="N256" s="14">
        <f>IF(B256="","",IF(K256&lt;&gt;"",K256,IF(N(IFERROR(INDEX(Projects!$D$6:$D$65,MATCH(D256,Projects!$B$6:$B$65,0)),""))&gt;0,IFERROR(INDEX(Projects!$D$6:$D$65,MATCH(D256,Projects!$B$6:$B$65,0)),""),IFERROR(INDEX(Clients!$G$6:$G$45,MATCH(C256,Clients!$B$6:$B$45,0)),0))))</f>
        <v/>
      </c>
      <c r="O256" s="14">
        <f>IF(B256="","",IF(J256&lt;&gt;"",0,ROUND(M256*N256,2)))</f>
        <v/>
      </c>
      <c r="P256" s="15">
        <f>IF(OR(B256="",J256&lt;&gt;""),"",IF(L256&lt;&gt;"",L256,IF(COUNTIFS(Invoices!$C$6:$C$305,C256,Invoices!$E$6:$E$305,"&lt;="&amp;B256,Invoices!$F$6:$F$305,"&gt;="&amp;B256)=1,INDEX(Invoices!$B$6:$B$305,SUMIFS(Invoices!$O$6:$O$305,Invoices!$C$6:$C$305,C256,Invoices!$E$6:$E$305,"&lt;="&amp;B256,Invoices!$F$6:$F$305,"&gt;="&amp;B256)),IF(COUNTIFS(Invoices!$C$6:$C$305,C256,Invoices!$E$6:$E$305,"&lt;="&amp;B256,Invoices!$F$6:$F$305,"&gt;="&amp;B256)&gt;1,"Two invoices",""))))</f>
        <v/>
      </c>
      <c r="Q256" s="15">
        <f>IF(B256="","",IF(J256&lt;&gt;"","Not billable",IF(P256="","To invoice",IF(P256="Two invoices","Check dates",IF(ISNA(MATCH(P256,Invoices!$B$6:$B$305,0)),"Check number",IF(INDEX(Invoices!$M$6:$M$305,MATCH(P256,Invoices!$B$6:$B$305,0))="Paid","Paid",IF(INDEX(Invoices!$M$6:$M$305,MATCH(P256,Invoices!$B$6:$B$305,0))="Draft","Draft","Invoiced")))))))</f>
        <v/>
      </c>
      <c r="R256" s="1">
        <f>IF(AND(B256&lt;&gt;"",P256&lt;&gt;"",P256=Invoice!$G$4),B256+MOD(N(F256),1)+ROW()/10000000,"")</f>
        <v/>
      </c>
      <c r="S256">
        <f>IF(R256="","",IF(D256="","Other work",D256)&amp;IF(AND(K256&lt;&gt;"",E256&lt;&gt;""),", "&amp;E256,""))</f>
        <v/>
      </c>
      <c r="T256">
        <f>IF(R256="","",IF(COUNTIFS(R$6:R255,"&gt;0",S$6:S255,S256,N$6:N255,N256)=0,R256,""))</f>
        <v/>
      </c>
      <c r="U256">
        <f>IF(B256="","",IF(J256&lt;&gt;"",0,M256))</f>
        <v/>
      </c>
    </row>
    <row r="257">
      <c r="A257" s="1" t="n"/>
      <c r="B257" s="16" t="n">
        <v>46287</v>
      </c>
      <c r="C257" s="17" t="inlineStr">
        <is>
          <t>Atlas Fitness</t>
        </is>
      </c>
      <c r="D257" s="18" t="inlineStr">
        <is>
          <t>Brand refresh</t>
        </is>
      </c>
      <c r="E257" s="18" t="inlineStr">
        <is>
          <t>Colour and type</t>
        </is>
      </c>
      <c r="F257" s="19" t="n">
        <v>0.375</v>
      </c>
      <c r="G257" s="19" t="n">
        <v>0.5208333333333334</v>
      </c>
      <c r="H257" s="20" t="n"/>
      <c r="I257" s="21" t="n"/>
      <c r="J257" s="22" t="n"/>
      <c r="K257" s="23" t="n"/>
      <c r="L257" s="18" t="n"/>
      <c r="M257" s="24">
        <f>IF(B257="","",IF(AND(F257&lt;&gt;"",G257&lt;&gt;""),MAX(0,ROUND(MOD(G257-F257,1)*24-N(H257)/60,2)),N(I257)))</f>
        <v/>
      </c>
      <c r="N257" s="14">
        <f>IF(B257="","",IF(K257&lt;&gt;"",K257,IF(N(IFERROR(INDEX(Projects!$D$6:$D$65,MATCH(D257,Projects!$B$6:$B$65,0)),""))&gt;0,IFERROR(INDEX(Projects!$D$6:$D$65,MATCH(D257,Projects!$B$6:$B$65,0)),""),IFERROR(INDEX(Clients!$G$6:$G$45,MATCH(C257,Clients!$B$6:$B$45,0)),0))))</f>
        <v/>
      </c>
      <c r="O257" s="14">
        <f>IF(B257="","",IF(J257&lt;&gt;"",0,ROUND(M257*N257,2)))</f>
        <v/>
      </c>
      <c r="P257" s="15">
        <f>IF(OR(B257="",J257&lt;&gt;""),"",IF(L257&lt;&gt;"",L257,IF(COUNTIFS(Invoices!$C$6:$C$305,C257,Invoices!$E$6:$E$305,"&lt;="&amp;B257,Invoices!$F$6:$F$305,"&gt;="&amp;B257)=1,INDEX(Invoices!$B$6:$B$305,SUMIFS(Invoices!$O$6:$O$305,Invoices!$C$6:$C$305,C257,Invoices!$E$6:$E$305,"&lt;="&amp;B257,Invoices!$F$6:$F$305,"&gt;="&amp;B257)),IF(COUNTIFS(Invoices!$C$6:$C$305,C257,Invoices!$E$6:$E$305,"&lt;="&amp;B257,Invoices!$F$6:$F$305,"&gt;="&amp;B257)&gt;1,"Two invoices",""))))</f>
        <v/>
      </c>
      <c r="Q257" s="15">
        <f>IF(B257="","",IF(J257&lt;&gt;"","Not billable",IF(P257="","To invoice",IF(P257="Two invoices","Check dates",IF(ISNA(MATCH(P257,Invoices!$B$6:$B$305,0)),"Check number",IF(INDEX(Invoices!$M$6:$M$305,MATCH(P257,Invoices!$B$6:$B$305,0))="Paid","Paid",IF(INDEX(Invoices!$M$6:$M$305,MATCH(P257,Invoices!$B$6:$B$305,0))="Draft","Draft","Invoiced")))))))</f>
        <v/>
      </c>
      <c r="R257" s="1">
        <f>IF(AND(B257&lt;&gt;"",P257&lt;&gt;"",P257=Invoice!$G$4),B257+MOD(N(F257),1)+ROW()/10000000,"")</f>
        <v/>
      </c>
      <c r="S257">
        <f>IF(R257="","",IF(D257="","Other work",D257)&amp;IF(AND(K257&lt;&gt;"",E257&lt;&gt;""),", "&amp;E257,""))</f>
        <v/>
      </c>
      <c r="T257">
        <f>IF(R257="","",IF(COUNTIFS(R$6:R256,"&gt;0",S$6:S256,S257,N$6:N256,N257)=0,R257,""))</f>
        <v/>
      </c>
      <c r="U257">
        <f>IF(B257="","",IF(J257&lt;&gt;"",0,M257))</f>
        <v/>
      </c>
    </row>
    <row r="258">
      <c r="A258" s="1" t="n"/>
      <c r="B258" s="16" t="n">
        <v>46288</v>
      </c>
      <c r="C258" s="17" t="inlineStr">
        <is>
          <t>Atlas Fitness</t>
        </is>
      </c>
      <c r="D258" s="18" t="inlineStr">
        <is>
          <t>Brand refresh</t>
        </is>
      </c>
      <c r="E258" s="18" t="inlineStr">
        <is>
          <t>Workshop with the team</t>
        </is>
      </c>
      <c r="F258" s="19" t="n">
        <v>0.375</v>
      </c>
      <c r="G258" s="19" t="n">
        <v>0.5</v>
      </c>
      <c r="H258" s="20" t="n"/>
      <c r="I258" s="21" t="n"/>
      <c r="J258" s="22" t="n"/>
      <c r="K258" s="23" t="n"/>
      <c r="L258" s="18" t="n"/>
      <c r="M258" s="24">
        <f>IF(B258="","",IF(AND(F258&lt;&gt;"",G258&lt;&gt;""),MAX(0,ROUND(MOD(G258-F258,1)*24-N(H258)/60,2)),N(I258)))</f>
        <v/>
      </c>
      <c r="N258" s="14">
        <f>IF(B258="","",IF(K258&lt;&gt;"",K258,IF(N(IFERROR(INDEX(Projects!$D$6:$D$65,MATCH(D258,Projects!$B$6:$B$65,0)),""))&gt;0,IFERROR(INDEX(Projects!$D$6:$D$65,MATCH(D258,Projects!$B$6:$B$65,0)),""),IFERROR(INDEX(Clients!$G$6:$G$45,MATCH(C258,Clients!$B$6:$B$45,0)),0))))</f>
        <v/>
      </c>
      <c r="O258" s="14">
        <f>IF(B258="","",IF(J258&lt;&gt;"",0,ROUND(M258*N258,2)))</f>
        <v/>
      </c>
      <c r="P258" s="15">
        <f>IF(OR(B258="",J258&lt;&gt;""),"",IF(L258&lt;&gt;"",L258,IF(COUNTIFS(Invoices!$C$6:$C$305,C258,Invoices!$E$6:$E$305,"&lt;="&amp;B258,Invoices!$F$6:$F$305,"&gt;="&amp;B258)=1,INDEX(Invoices!$B$6:$B$305,SUMIFS(Invoices!$O$6:$O$305,Invoices!$C$6:$C$305,C258,Invoices!$E$6:$E$305,"&lt;="&amp;B258,Invoices!$F$6:$F$305,"&gt;="&amp;B258)),IF(COUNTIFS(Invoices!$C$6:$C$305,C258,Invoices!$E$6:$E$305,"&lt;="&amp;B258,Invoices!$F$6:$F$305,"&gt;="&amp;B258)&gt;1,"Two invoices",""))))</f>
        <v/>
      </c>
      <c r="Q258" s="15">
        <f>IF(B258="","",IF(J258&lt;&gt;"","Not billable",IF(P258="","To invoice",IF(P258="Two invoices","Check dates",IF(ISNA(MATCH(P258,Invoices!$B$6:$B$305,0)),"Check number",IF(INDEX(Invoices!$M$6:$M$305,MATCH(P258,Invoices!$B$6:$B$305,0))="Paid","Paid",IF(INDEX(Invoices!$M$6:$M$305,MATCH(P258,Invoices!$B$6:$B$305,0))="Draft","Draft","Invoiced")))))))</f>
        <v/>
      </c>
      <c r="R258" s="1">
        <f>IF(AND(B258&lt;&gt;"",P258&lt;&gt;"",P258=Invoice!$G$4),B258+MOD(N(F258),1)+ROW()/10000000,"")</f>
        <v/>
      </c>
      <c r="S258">
        <f>IF(R258="","",IF(D258="","Other work",D258)&amp;IF(AND(K258&lt;&gt;"",E258&lt;&gt;""),", "&amp;E258,""))</f>
        <v/>
      </c>
      <c r="T258">
        <f>IF(R258="","",IF(COUNTIFS(R$6:R257,"&gt;0",S$6:S257,S258,N$6:N257,N258)=0,R258,""))</f>
        <v/>
      </c>
      <c r="U258">
        <f>IF(B258="","",IF(J258&lt;&gt;"",0,M258))</f>
        <v/>
      </c>
    </row>
    <row r="259">
      <c r="A259" s="1" t="n"/>
      <c r="B259" s="16" t="n">
        <v>46288</v>
      </c>
      <c r="C259" s="17" t="inlineStr">
        <is>
          <t>Atlas Fitness</t>
        </is>
      </c>
      <c r="D259" s="18" t="inlineStr">
        <is>
          <t>Brand refresh</t>
        </is>
      </c>
      <c r="E259" s="18" t="inlineStr">
        <is>
          <t>Colour and type</t>
        </is>
      </c>
      <c r="F259" s="19" t="n">
        <v>0.5104166666666666</v>
      </c>
      <c r="G259" s="19" t="n">
        <v>0.5729166666666666</v>
      </c>
      <c r="H259" s="20" t="n"/>
      <c r="I259" s="21" t="n"/>
      <c r="J259" s="22" t="n"/>
      <c r="K259" s="23" t="n"/>
      <c r="L259" s="18" t="n"/>
      <c r="M259" s="24">
        <f>IF(B259="","",IF(AND(F259&lt;&gt;"",G259&lt;&gt;""),MAX(0,ROUND(MOD(G259-F259,1)*24-N(H259)/60,2)),N(I259)))</f>
        <v/>
      </c>
      <c r="N259" s="14">
        <f>IF(B259="","",IF(K259&lt;&gt;"",K259,IF(N(IFERROR(INDEX(Projects!$D$6:$D$65,MATCH(D259,Projects!$B$6:$B$65,0)),""))&gt;0,IFERROR(INDEX(Projects!$D$6:$D$65,MATCH(D259,Projects!$B$6:$B$65,0)),""),IFERROR(INDEX(Clients!$G$6:$G$45,MATCH(C259,Clients!$B$6:$B$45,0)),0))))</f>
        <v/>
      </c>
      <c r="O259" s="14">
        <f>IF(B259="","",IF(J259&lt;&gt;"",0,ROUND(M259*N259,2)))</f>
        <v/>
      </c>
      <c r="P259" s="15">
        <f>IF(OR(B259="",J259&lt;&gt;""),"",IF(L259&lt;&gt;"",L259,IF(COUNTIFS(Invoices!$C$6:$C$305,C259,Invoices!$E$6:$E$305,"&lt;="&amp;B259,Invoices!$F$6:$F$305,"&gt;="&amp;B259)=1,INDEX(Invoices!$B$6:$B$305,SUMIFS(Invoices!$O$6:$O$305,Invoices!$C$6:$C$305,C259,Invoices!$E$6:$E$305,"&lt;="&amp;B259,Invoices!$F$6:$F$305,"&gt;="&amp;B259)),IF(COUNTIFS(Invoices!$C$6:$C$305,C259,Invoices!$E$6:$E$305,"&lt;="&amp;B259,Invoices!$F$6:$F$305,"&gt;="&amp;B259)&gt;1,"Two invoices",""))))</f>
        <v/>
      </c>
      <c r="Q259" s="15">
        <f>IF(B259="","",IF(J259&lt;&gt;"","Not billable",IF(P259="","To invoice",IF(P259="Two invoices","Check dates",IF(ISNA(MATCH(P259,Invoices!$B$6:$B$305,0)),"Check number",IF(INDEX(Invoices!$M$6:$M$305,MATCH(P259,Invoices!$B$6:$B$305,0))="Paid","Paid",IF(INDEX(Invoices!$M$6:$M$305,MATCH(P259,Invoices!$B$6:$B$305,0))="Draft","Draft","Invoiced")))))))</f>
        <v/>
      </c>
      <c r="R259" s="1">
        <f>IF(AND(B259&lt;&gt;"",P259&lt;&gt;"",P259=Invoice!$G$4),B259+MOD(N(F259),1)+ROW()/10000000,"")</f>
        <v/>
      </c>
      <c r="S259">
        <f>IF(R259="","",IF(D259="","Other work",D259)&amp;IF(AND(K259&lt;&gt;"",E259&lt;&gt;""),", "&amp;E259,""))</f>
        <v/>
      </c>
      <c r="T259">
        <f>IF(R259="","",IF(COUNTIFS(R$6:R258,"&gt;0",S$6:S258,S259,N$6:N258,N259)=0,R259,""))</f>
        <v/>
      </c>
      <c r="U259">
        <f>IF(B259="","",IF(J259&lt;&gt;"",0,M259))</f>
        <v/>
      </c>
    </row>
    <row r="260">
      <c r="A260" s="1" t="n"/>
      <c r="B260" s="16" t="n">
        <v>46289</v>
      </c>
      <c r="C260" s="17" t="inlineStr">
        <is>
          <t>Atlas Fitness</t>
        </is>
      </c>
      <c r="D260" s="18" t="inlineStr">
        <is>
          <t>Brand refresh</t>
        </is>
      </c>
      <c r="E260" s="18" t="inlineStr">
        <is>
          <t>Workshop with the team</t>
        </is>
      </c>
      <c r="F260" s="19" t="n">
        <v>0.3958333333333333</v>
      </c>
      <c r="G260" s="19" t="n">
        <v>0.5416666666666666</v>
      </c>
      <c r="H260" s="20" t="n"/>
      <c r="I260" s="21" t="n"/>
      <c r="J260" s="22" t="n"/>
      <c r="K260" s="23" t="n"/>
      <c r="L260" s="18" t="n"/>
      <c r="M260" s="24">
        <f>IF(B260="","",IF(AND(F260&lt;&gt;"",G260&lt;&gt;""),MAX(0,ROUND(MOD(G260-F260,1)*24-N(H260)/60,2)),N(I260)))</f>
        <v/>
      </c>
      <c r="N260" s="14">
        <f>IF(B260="","",IF(K260&lt;&gt;"",K260,IF(N(IFERROR(INDEX(Projects!$D$6:$D$65,MATCH(D260,Projects!$B$6:$B$65,0)),""))&gt;0,IFERROR(INDEX(Projects!$D$6:$D$65,MATCH(D260,Projects!$B$6:$B$65,0)),""),IFERROR(INDEX(Clients!$G$6:$G$45,MATCH(C260,Clients!$B$6:$B$45,0)),0))))</f>
        <v/>
      </c>
      <c r="O260" s="14">
        <f>IF(B260="","",IF(J260&lt;&gt;"",0,ROUND(M260*N260,2)))</f>
        <v/>
      </c>
      <c r="P260" s="15">
        <f>IF(OR(B260="",J260&lt;&gt;""),"",IF(L260&lt;&gt;"",L260,IF(COUNTIFS(Invoices!$C$6:$C$305,C260,Invoices!$E$6:$E$305,"&lt;="&amp;B260,Invoices!$F$6:$F$305,"&gt;="&amp;B260)=1,INDEX(Invoices!$B$6:$B$305,SUMIFS(Invoices!$O$6:$O$305,Invoices!$C$6:$C$305,C260,Invoices!$E$6:$E$305,"&lt;="&amp;B260,Invoices!$F$6:$F$305,"&gt;="&amp;B260)),IF(COUNTIFS(Invoices!$C$6:$C$305,C260,Invoices!$E$6:$E$305,"&lt;="&amp;B260,Invoices!$F$6:$F$305,"&gt;="&amp;B260)&gt;1,"Two invoices",""))))</f>
        <v/>
      </c>
      <c r="Q260" s="15">
        <f>IF(B260="","",IF(J260&lt;&gt;"","Not billable",IF(P260="","To invoice",IF(P260="Two invoices","Check dates",IF(ISNA(MATCH(P260,Invoices!$B$6:$B$305,0)),"Check number",IF(INDEX(Invoices!$M$6:$M$305,MATCH(P260,Invoices!$B$6:$B$305,0))="Paid","Paid",IF(INDEX(Invoices!$M$6:$M$305,MATCH(P260,Invoices!$B$6:$B$305,0))="Draft","Draft","Invoiced")))))))</f>
        <v/>
      </c>
      <c r="R260" s="1">
        <f>IF(AND(B260&lt;&gt;"",P260&lt;&gt;"",P260=Invoice!$G$4),B260+MOD(N(F260),1)+ROW()/10000000,"")</f>
        <v/>
      </c>
      <c r="S260">
        <f>IF(R260="","",IF(D260="","Other work",D260)&amp;IF(AND(K260&lt;&gt;"",E260&lt;&gt;""),", "&amp;E260,""))</f>
        <v/>
      </c>
      <c r="T260">
        <f>IF(R260="","",IF(COUNTIFS(R$6:R259,"&gt;0",S$6:S259,S260,N$6:N259,N260)=0,R260,""))</f>
        <v/>
      </c>
      <c r="U260">
        <f>IF(B260="","",IF(J260&lt;&gt;"",0,M260))</f>
        <v/>
      </c>
    </row>
    <row r="261">
      <c r="A261" s="1" t="n"/>
      <c r="B261" s="16" t="n">
        <v>46289</v>
      </c>
      <c r="C261" s="17" t="inlineStr">
        <is>
          <t>Harbour Books</t>
        </is>
      </c>
      <c r="D261" s="18" t="inlineStr">
        <is>
          <t>Website redesign</t>
        </is>
      </c>
      <c r="E261" s="18" t="inlineStr">
        <is>
          <t>Mobile layouts</t>
        </is>
      </c>
      <c r="F261" s="19" t="n">
        <v>0.5520833333333334</v>
      </c>
      <c r="G261" s="19" t="n">
        <v>0.6354166666666666</v>
      </c>
      <c r="H261" s="20" t="n"/>
      <c r="I261" s="21" t="n"/>
      <c r="J261" s="22" t="n"/>
      <c r="K261" s="23" t="n"/>
      <c r="L261" s="18" t="n"/>
      <c r="M261" s="24">
        <f>IF(B261="","",IF(AND(F261&lt;&gt;"",G261&lt;&gt;""),MAX(0,ROUND(MOD(G261-F261,1)*24-N(H261)/60,2)),N(I261)))</f>
        <v/>
      </c>
      <c r="N261" s="14">
        <f>IF(B261="","",IF(K261&lt;&gt;"",K261,IF(N(IFERROR(INDEX(Projects!$D$6:$D$65,MATCH(D261,Projects!$B$6:$B$65,0)),""))&gt;0,IFERROR(INDEX(Projects!$D$6:$D$65,MATCH(D261,Projects!$B$6:$B$65,0)),""),IFERROR(INDEX(Clients!$G$6:$G$45,MATCH(C261,Clients!$B$6:$B$45,0)),0))))</f>
        <v/>
      </c>
      <c r="O261" s="14">
        <f>IF(B261="","",IF(J261&lt;&gt;"",0,ROUND(M261*N261,2)))</f>
        <v/>
      </c>
      <c r="P261" s="15">
        <f>IF(OR(B261="",J261&lt;&gt;""),"",IF(L261&lt;&gt;"",L261,IF(COUNTIFS(Invoices!$C$6:$C$305,C261,Invoices!$E$6:$E$305,"&lt;="&amp;B261,Invoices!$F$6:$F$305,"&gt;="&amp;B261)=1,INDEX(Invoices!$B$6:$B$305,SUMIFS(Invoices!$O$6:$O$305,Invoices!$C$6:$C$305,C261,Invoices!$E$6:$E$305,"&lt;="&amp;B261,Invoices!$F$6:$F$305,"&gt;="&amp;B261)),IF(COUNTIFS(Invoices!$C$6:$C$305,C261,Invoices!$E$6:$E$305,"&lt;="&amp;B261,Invoices!$F$6:$F$305,"&gt;="&amp;B261)&gt;1,"Two invoices",""))))</f>
        <v/>
      </c>
      <c r="Q261" s="15">
        <f>IF(B261="","",IF(J261&lt;&gt;"","Not billable",IF(P261="","To invoice",IF(P261="Two invoices","Check dates",IF(ISNA(MATCH(P261,Invoices!$B$6:$B$305,0)),"Check number",IF(INDEX(Invoices!$M$6:$M$305,MATCH(P261,Invoices!$B$6:$B$305,0))="Paid","Paid",IF(INDEX(Invoices!$M$6:$M$305,MATCH(P261,Invoices!$B$6:$B$305,0))="Draft","Draft","Invoiced")))))))</f>
        <v/>
      </c>
      <c r="R261" s="1">
        <f>IF(AND(B261&lt;&gt;"",P261&lt;&gt;"",P261=Invoice!$G$4),B261+MOD(N(F261),1)+ROW()/10000000,"")</f>
        <v/>
      </c>
      <c r="S261">
        <f>IF(R261="","",IF(D261="","Other work",D261)&amp;IF(AND(K261&lt;&gt;"",E261&lt;&gt;""),", "&amp;E261,""))</f>
        <v/>
      </c>
      <c r="T261">
        <f>IF(R261="","",IF(COUNTIFS(R$6:R260,"&gt;0",S$6:S260,S261,N$6:N260,N261)=0,R261,""))</f>
        <v/>
      </c>
      <c r="U261">
        <f>IF(B261="","",IF(J261&lt;&gt;"",0,M261))</f>
        <v/>
      </c>
    </row>
    <row r="262">
      <c r="A262" s="1" t="n"/>
      <c r="B262" s="16" t="n">
        <v>46290</v>
      </c>
      <c r="C262" s="17" t="inlineStr">
        <is>
          <t>Greenleaf Studio</t>
        </is>
      </c>
      <c r="D262" s="18" t="inlineStr">
        <is>
          <t>Monthly social posts</t>
        </is>
      </c>
      <c r="E262" s="18" t="inlineStr">
        <is>
          <t>Captions and scheduling</t>
        </is>
      </c>
      <c r="F262" s="19" t="n"/>
      <c r="G262" s="19" t="n"/>
      <c r="H262" s="20" t="n"/>
      <c r="I262" s="21" t="n">
        <v>3.5</v>
      </c>
      <c r="J262" s="22" t="n"/>
      <c r="K262" s="23" t="n"/>
      <c r="L262" s="18" t="n"/>
      <c r="M262" s="24">
        <f>IF(B262="","",IF(AND(F262&lt;&gt;"",G262&lt;&gt;""),MAX(0,ROUND(MOD(G262-F262,1)*24-N(H262)/60,2)),N(I262)))</f>
        <v/>
      </c>
      <c r="N262" s="14">
        <f>IF(B262="","",IF(K262&lt;&gt;"",K262,IF(N(IFERROR(INDEX(Projects!$D$6:$D$65,MATCH(D262,Projects!$B$6:$B$65,0)),""))&gt;0,IFERROR(INDEX(Projects!$D$6:$D$65,MATCH(D262,Projects!$B$6:$B$65,0)),""),IFERROR(INDEX(Clients!$G$6:$G$45,MATCH(C262,Clients!$B$6:$B$45,0)),0))))</f>
        <v/>
      </c>
      <c r="O262" s="14">
        <f>IF(B262="","",IF(J262&lt;&gt;"",0,ROUND(M262*N262,2)))</f>
        <v/>
      </c>
      <c r="P262" s="15">
        <f>IF(OR(B262="",J262&lt;&gt;""),"",IF(L262&lt;&gt;"",L262,IF(COUNTIFS(Invoices!$C$6:$C$305,C262,Invoices!$E$6:$E$305,"&lt;="&amp;B262,Invoices!$F$6:$F$305,"&gt;="&amp;B262)=1,INDEX(Invoices!$B$6:$B$305,SUMIFS(Invoices!$O$6:$O$305,Invoices!$C$6:$C$305,C262,Invoices!$E$6:$E$305,"&lt;="&amp;B262,Invoices!$F$6:$F$305,"&gt;="&amp;B262)),IF(COUNTIFS(Invoices!$C$6:$C$305,C262,Invoices!$E$6:$E$305,"&lt;="&amp;B262,Invoices!$F$6:$F$305,"&gt;="&amp;B262)&gt;1,"Two invoices",""))))</f>
        <v/>
      </c>
      <c r="Q262" s="15">
        <f>IF(B262="","",IF(J262&lt;&gt;"","Not billable",IF(P262="","To invoice",IF(P262="Two invoices","Check dates",IF(ISNA(MATCH(P262,Invoices!$B$6:$B$305,0)),"Check number",IF(INDEX(Invoices!$M$6:$M$305,MATCH(P262,Invoices!$B$6:$B$305,0))="Paid","Paid",IF(INDEX(Invoices!$M$6:$M$305,MATCH(P262,Invoices!$B$6:$B$305,0))="Draft","Draft","Invoiced")))))))</f>
        <v/>
      </c>
      <c r="R262" s="1">
        <f>IF(AND(B262&lt;&gt;"",P262&lt;&gt;"",P262=Invoice!$G$4),B262+MOD(N(F262),1)+ROW()/10000000,"")</f>
        <v/>
      </c>
      <c r="S262">
        <f>IF(R262="","",IF(D262="","Other work",D262)&amp;IF(AND(K262&lt;&gt;"",E262&lt;&gt;""),", "&amp;E262,""))</f>
        <v/>
      </c>
      <c r="T262">
        <f>IF(R262="","",IF(COUNTIFS(R$6:R261,"&gt;0",S$6:S261,S262,N$6:N261,N262)=0,R262,""))</f>
        <v/>
      </c>
      <c r="U262">
        <f>IF(B262="","",IF(J262&lt;&gt;"",0,M262))</f>
        <v/>
      </c>
    </row>
    <row r="263">
      <c r="A263" s="1" t="n"/>
      <c r="B263" s="16" t="n">
        <v>46290</v>
      </c>
      <c r="C263" s="17" t="inlineStr">
        <is>
          <t>Harbour Books</t>
        </is>
      </c>
      <c r="D263" s="18" t="inlineStr">
        <is>
          <t>Website redesign</t>
        </is>
      </c>
      <c r="E263" s="18" t="inlineStr">
        <is>
          <t>Mobile layouts</t>
        </is>
      </c>
      <c r="F263" s="19" t="n"/>
      <c r="G263" s="19" t="n"/>
      <c r="H263" s="20" t="n"/>
      <c r="I263" s="21" t="n">
        <v>2.5</v>
      </c>
      <c r="J263" s="22" t="n"/>
      <c r="K263" s="23" t="n"/>
      <c r="L263" s="18" t="n"/>
      <c r="M263" s="24">
        <f>IF(B263="","",IF(AND(F263&lt;&gt;"",G263&lt;&gt;""),MAX(0,ROUND(MOD(G263-F263,1)*24-N(H263)/60,2)),N(I263)))</f>
        <v/>
      </c>
      <c r="N263" s="14">
        <f>IF(B263="","",IF(K263&lt;&gt;"",K263,IF(N(IFERROR(INDEX(Projects!$D$6:$D$65,MATCH(D263,Projects!$B$6:$B$65,0)),""))&gt;0,IFERROR(INDEX(Projects!$D$6:$D$65,MATCH(D263,Projects!$B$6:$B$65,0)),""),IFERROR(INDEX(Clients!$G$6:$G$45,MATCH(C263,Clients!$B$6:$B$45,0)),0))))</f>
        <v/>
      </c>
      <c r="O263" s="14">
        <f>IF(B263="","",IF(J263&lt;&gt;"",0,ROUND(M263*N263,2)))</f>
        <v/>
      </c>
      <c r="P263" s="15">
        <f>IF(OR(B263="",J263&lt;&gt;""),"",IF(L263&lt;&gt;"",L263,IF(COUNTIFS(Invoices!$C$6:$C$305,C263,Invoices!$E$6:$E$305,"&lt;="&amp;B263,Invoices!$F$6:$F$305,"&gt;="&amp;B263)=1,INDEX(Invoices!$B$6:$B$305,SUMIFS(Invoices!$O$6:$O$305,Invoices!$C$6:$C$305,C263,Invoices!$E$6:$E$305,"&lt;="&amp;B263,Invoices!$F$6:$F$305,"&gt;="&amp;B263)),IF(COUNTIFS(Invoices!$C$6:$C$305,C263,Invoices!$E$6:$E$305,"&lt;="&amp;B263,Invoices!$F$6:$F$305,"&gt;="&amp;B263)&gt;1,"Two invoices",""))))</f>
        <v/>
      </c>
      <c r="Q263" s="15">
        <f>IF(B263="","",IF(J263&lt;&gt;"","Not billable",IF(P263="","To invoice",IF(P263="Two invoices","Check dates",IF(ISNA(MATCH(P263,Invoices!$B$6:$B$305,0)),"Check number",IF(INDEX(Invoices!$M$6:$M$305,MATCH(P263,Invoices!$B$6:$B$305,0))="Paid","Paid",IF(INDEX(Invoices!$M$6:$M$305,MATCH(P263,Invoices!$B$6:$B$305,0))="Draft","Draft","Invoiced")))))))</f>
        <v/>
      </c>
      <c r="R263" s="1">
        <f>IF(AND(B263&lt;&gt;"",P263&lt;&gt;"",P263=Invoice!$G$4),B263+MOD(N(F263),1)+ROW()/10000000,"")</f>
        <v/>
      </c>
      <c r="S263">
        <f>IF(R263="","",IF(D263="","Other work",D263)&amp;IF(AND(K263&lt;&gt;"",E263&lt;&gt;""),", "&amp;E263,""))</f>
        <v/>
      </c>
      <c r="T263">
        <f>IF(R263="","",IF(COUNTIFS(R$6:R262,"&gt;0",S$6:S262,S263,N$6:N262,N263)=0,R263,""))</f>
        <v/>
      </c>
      <c r="U263">
        <f>IF(B263="","",IF(J263&lt;&gt;"",0,M263))</f>
        <v/>
      </c>
    </row>
    <row r="264">
      <c r="A264" s="1" t="n"/>
      <c r="B264" s="16" t="n">
        <v>46293</v>
      </c>
      <c r="C264" s="17" t="inlineStr">
        <is>
          <t>Atlas Fitness</t>
        </is>
      </c>
      <c r="D264" s="18" t="inlineStr">
        <is>
          <t>Brand refresh</t>
        </is>
      </c>
      <c r="E264" s="18" t="inlineStr">
        <is>
          <t>Workshop with the team</t>
        </is>
      </c>
      <c r="F264" s="19" t="n">
        <v>0.3958333333333333</v>
      </c>
      <c r="G264" s="19" t="n">
        <v>0.5416666666666666</v>
      </c>
      <c r="H264" s="20" t="n"/>
      <c r="I264" s="21" t="n"/>
      <c r="J264" s="22" t="n"/>
      <c r="K264" s="23" t="n"/>
      <c r="L264" s="18" t="n"/>
      <c r="M264" s="24">
        <f>IF(B264="","",IF(AND(F264&lt;&gt;"",G264&lt;&gt;""),MAX(0,ROUND(MOD(G264-F264,1)*24-N(H264)/60,2)),N(I264)))</f>
        <v/>
      </c>
      <c r="N264" s="14">
        <f>IF(B264="","",IF(K264&lt;&gt;"",K264,IF(N(IFERROR(INDEX(Projects!$D$6:$D$65,MATCH(D264,Projects!$B$6:$B$65,0)),""))&gt;0,IFERROR(INDEX(Projects!$D$6:$D$65,MATCH(D264,Projects!$B$6:$B$65,0)),""),IFERROR(INDEX(Clients!$G$6:$G$45,MATCH(C264,Clients!$B$6:$B$45,0)),0))))</f>
        <v/>
      </c>
      <c r="O264" s="14">
        <f>IF(B264="","",IF(J264&lt;&gt;"",0,ROUND(M264*N264,2)))</f>
        <v/>
      </c>
      <c r="P264" s="15">
        <f>IF(OR(B264="",J264&lt;&gt;""),"",IF(L264&lt;&gt;"",L264,IF(COUNTIFS(Invoices!$C$6:$C$305,C264,Invoices!$E$6:$E$305,"&lt;="&amp;B264,Invoices!$F$6:$F$305,"&gt;="&amp;B264)=1,INDEX(Invoices!$B$6:$B$305,SUMIFS(Invoices!$O$6:$O$305,Invoices!$C$6:$C$305,C264,Invoices!$E$6:$E$305,"&lt;="&amp;B264,Invoices!$F$6:$F$305,"&gt;="&amp;B264)),IF(COUNTIFS(Invoices!$C$6:$C$305,C264,Invoices!$E$6:$E$305,"&lt;="&amp;B264,Invoices!$F$6:$F$305,"&gt;="&amp;B264)&gt;1,"Two invoices",""))))</f>
        <v/>
      </c>
      <c r="Q264" s="15">
        <f>IF(B264="","",IF(J264&lt;&gt;"","Not billable",IF(P264="","To invoice",IF(P264="Two invoices","Check dates",IF(ISNA(MATCH(P264,Invoices!$B$6:$B$305,0)),"Check number",IF(INDEX(Invoices!$M$6:$M$305,MATCH(P264,Invoices!$B$6:$B$305,0))="Paid","Paid",IF(INDEX(Invoices!$M$6:$M$305,MATCH(P264,Invoices!$B$6:$B$305,0))="Draft","Draft","Invoiced")))))))</f>
        <v/>
      </c>
      <c r="R264" s="1">
        <f>IF(AND(B264&lt;&gt;"",P264&lt;&gt;"",P264=Invoice!$G$4),B264+MOD(N(F264),1)+ROW()/10000000,"")</f>
        <v/>
      </c>
      <c r="S264">
        <f>IF(R264="","",IF(D264="","Other work",D264)&amp;IF(AND(K264&lt;&gt;"",E264&lt;&gt;""),", "&amp;E264,""))</f>
        <v/>
      </c>
      <c r="T264">
        <f>IF(R264="","",IF(COUNTIFS(R$6:R263,"&gt;0",S$6:S263,S264,N$6:N263,N264)=0,R264,""))</f>
        <v/>
      </c>
      <c r="U264">
        <f>IF(B264="","",IF(J264&lt;&gt;"",0,M264))</f>
        <v/>
      </c>
    </row>
    <row r="265">
      <c r="A265" s="1" t="n"/>
      <c r="B265" s="16" t="n">
        <v>46293</v>
      </c>
      <c r="C265" s="17" t="inlineStr">
        <is>
          <t>Atlas Fitness</t>
        </is>
      </c>
      <c r="D265" s="18" t="inlineStr">
        <is>
          <t>Brand refresh</t>
        </is>
      </c>
      <c r="E265" s="18" t="inlineStr">
        <is>
          <t>Colour and type</t>
        </is>
      </c>
      <c r="F265" s="19" t="n">
        <v>0.5520833333333334</v>
      </c>
      <c r="G265" s="19" t="n">
        <v>0.7083333333333334</v>
      </c>
      <c r="H265" s="20" t="n">
        <v>15</v>
      </c>
      <c r="I265" s="21" t="n"/>
      <c r="J265" s="22" t="n"/>
      <c r="K265" s="23" t="n"/>
      <c r="L265" s="18" t="n"/>
      <c r="M265" s="24">
        <f>IF(B265="","",IF(AND(F265&lt;&gt;"",G265&lt;&gt;""),MAX(0,ROUND(MOD(G265-F265,1)*24-N(H265)/60,2)),N(I265)))</f>
        <v/>
      </c>
      <c r="N265" s="14">
        <f>IF(B265="","",IF(K265&lt;&gt;"",K265,IF(N(IFERROR(INDEX(Projects!$D$6:$D$65,MATCH(D265,Projects!$B$6:$B$65,0)),""))&gt;0,IFERROR(INDEX(Projects!$D$6:$D$65,MATCH(D265,Projects!$B$6:$B$65,0)),""),IFERROR(INDEX(Clients!$G$6:$G$45,MATCH(C265,Clients!$B$6:$B$45,0)),0))))</f>
        <v/>
      </c>
      <c r="O265" s="14">
        <f>IF(B265="","",IF(J265&lt;&gt;"",0,ROUND(M265*N265,2)))</f>
        <v/>
      </c>
      <c r="P265" s="15">
        <f>IF(OR(B265="",J265&lt;&gt;""),"",IF(L265&lt;&gt;"",L265,IF(COUNTIFS(Invoices!$C$6:$C$305,C265,Invoices!$E$6:$E$305,"&lt;="&amp;B265,Invoices!$F$6:$F$305,"&gt;="&amp;B265)=1,INDEX(Invoices!$B$6:$B$305,SUMIFS(Invoices!$O$6:$O$305,Invoices!$C$6:$C$305,C265,Invoices!$E$6:$E$305,"&lt;="&amp;B265,Invoices!$F$6:$F$305,"&gt;="&amp;B265)),IF(COUNTIFS(Invoices!$C$6:$C$305,C265,Invoices!$E$6:$E$305,"&lt;="&amp;B265,Invoices!$F$6:$F$305,"&gt;="&amp;B265)&gt;1,"Two invoices",""))))</f>
        <v/>
      </c>
      <c r="Q265" s="15">
        <f>IF(B265="","",IF(J265&lt;&gt;"","Not billable",IF(P265="","To invoice",IF(P265="Two invoices","Check dates",IF(ISNA(MATCH(P265,Invoices!$B$6:$B$305,0)),"Check number",IF(INDEX(Invoices!$M$6:$M$305,MATCH(P265,Invoices!$B$6:$B$305,0))="Paid","Paid",IF(INDEX(Invoices!$M$6:$M$305,MATCH(P265,Invoices!$B$6:$B$305,0))="Draft","Draft","Invoiced")))))))</f>
        <v/>
      </c>
      <c r="R265" s="1">
        <f>IF(AND(B265&lt;&gt;"",P265&lt;&gt;"",P265=Invoice!$G$4),B265+MOD(N(F265),1)+ROW()/10000000,"")</f>
        <v/>
      </c>
      <c r="S265">
        <f>IF(R265="","",IF(D265="","Other work",D265)&amp;IF(AND(K265&lt;&gt;"",E265&lt;&gt;""),", "&amp;E265,""))</f>
        <v/>
      </c>
      <c r="T265">
        <f>IF(R265="","",IF(COUNTIFS(R$6:R264,"&gt;0",S$6:S264,S265,N$6:N264,N265)=0,R265,""))</f>
        <v/>
      </c>
      <c r="U265">
        <f>IF(B265="","",IF(J265&lt;&gt;"",0,M265))</f>
        <v/>
      </c>
    </row>
    <row r="266">
      <c r="A266" s="1" t="n"/>
      <c r="B266" s="16" t="n"/>
      <c r="C266" s="17" t="n"/>
      <c r="D266" s="18" t="n"/>
      <c r="E266" s="18" t="n"/>
      <c r="F266" s="19" t="n"/>
      <c r="G266" s="19" t="n"/>
      <c r="H266" s="20" t="n"/>
      <c r="I266" s="21" t="n"/>
      <c r="J266" s="22" t="n"/>
      <c r="K266" s="23" t="n"/>
      <c r="L266" s="18" t="n"/>
      <c r="M266" s="24">
        <f>IF(B266="","",IF(AND(F266&lt;&gt;"",G266&lt;&gt;""),MAX(0,ROUND(MOD(G266-F266,1)*24-N(H266)/60,2)),N(I266)))</f>
        <v/>
      </c>
      <c r="N266" s="14">
        <f>IF(B266="","",IF(K266&lt;&gt;"",K266,IF(N(IFERROR(INDEX(Projects!$D$6:$D$65,MATCH(D266,Projects!$B$6:$B$65,0)),""))&gt;0,IFERROR(INDEX(Projects!$D$6:$D$65,MATCH(D266,Projects!$B$6:$B$65,0)),""),IFERROR(INDEX(Clients!$G$6:$G$45,MATCH(C266,Clients!$B$6:$B$45,0)),0))))</f>
        <v/>
      </c>
      <c r="O266" s="14">
        <f>IF(B266="","",IF(J266&lt;&gt;"",0,ROUND(M266*N266,2)))</f>
        <v/>
      </c>
      <c r="P266" s="15">
        <f>IF(OR(B266="",J266&lt;&gt;""),"",IF(L266&lt;&gt;"",L266,IF(COUNTIFS(Invoices!$C$6:$C$305,C266,Invoices!$E$6:$E$305,"&lt;="&amp;B266,Invoices!$F$6:$F$305,"&gt;="&amp;B266)=1,INDEX(Invoices!$B$6:$B$305,SUMIFS(Invoices!$O$6:$O$305,Invoices!$C$6:$C$305,C266,Invoices!$E$6:$E$305,"&lt;="&amp;B266,Invoices!$F$6:$F$305,"&gt;="&amp;B266)),IF(COUNTIFS(Invoices!$C$6:$C$305,C266,Invoices!$E$6:$E$305,"&lt;="&amp;B266,Invoices!$F$6:$F$305,"&gt;="&amp;B266)&gt;1,"Two invoices",""))))</f>
        <v/>
      </c>
      <c r="Q266" s="15">
        <f>IF(B266="","",IF(J266&lt;&gt;"","Not billable",IF(P266="","To invoice",IF(P266="Two invoices","Check dates",IF(ISNA(MATCH(P266,Invoices!$B$6:$B$305,0)),"Check number",IF(INDEX(Invoices!$M$6:$M$305,MATCH(P266,Invoices!$B$6:$B$305,0))="Paid","Paid",IF(INDEX(Invoices!$M$6:$M$305,MATCH(P266,Invoices!$B$6:$B$305,0))="Draft","Draft","Invoiced")))))))</f>
        <v/>
      </c>
      <c r="R266" s="1">
        <f>IF(AND(B266&lt;&gt;"",P266&lt;&gt;"",P266=Invoice!$G$4),B266+MOD(N(F266),1)+ROW()/10000000,"")</f>
        <v/>
      </c>
      <c r="S266">
        <f>IF(R266="","",IF(D266="","Other work",D266)&amp;IF(AND(K266&lt;&gt;"",E266&lt;&gt;""),", "&amp;E266,""))</f>
        <v/>
      </c>
      <c r="T266">
        <f>IF(R266="","",IF(COUNTIFS(R$6:R265,"&gt;0",S$6:S265,S266,N$6:N265,N266)=0,R266,""))</f>
        <v/>
      </c>
      <c r="U266">
        <f>IF(B266="","",IF(J266&lt;&gt;"",0,M266))</f>
        <v/>
      </c>
    </row>
    <row r="267">
      <c r="A267" s="1" t="n"/>
      <c r="B267" s="16" t="n"/>
      <c r="C267" s="17" t="n"/>
      <c r="D267" s="18" t="n"/>
      <c r="E267" s="18" t="n"/>
      <c r="F267" s="19" t="n"/>
      <c r="G267" s="19" t="n"/>
      <c r="H267" s="20" t="n"/>
      <c r="I267" s="21" t="n"/>
      <c r="J267" s="22" t="n"/>
      <c r="K267" s="23" t="n"/>
      <c r="L267" s="18" t="n"/>
      <c r="M267" s="24">
        <f>IF(B267="","",IF(AND(F267&lt;&gt;"",G267&lt;&gt;""),MAX(0,ROUND(MOD(G267-F267,1)*24-N(H267)/60,2)),N(I267)))</f>
        <v/>
      </c>
      <c r="N267" s="14">
        <f>IF(B267="","",IF(K267&lt;&gt;"",K267,IF(N(IFERROR(INDEX(Projects!$D$6:$D$65,MATCH(D267,Projects!$B$6:$B$65,0)),""))&gt;0,IFERROR(INDEX(Projects!$D$6:$D$65,MATCH(D267,Projects!$B$6:$B$65,0)),""),IFERROR(INDEX(Clients!$G$6:$G$45,MATCH(C267,Clients!$B$6:$B$45,0)),0))))</f>
        <v/>
      </c>
      <c r="O267" s="14">
        <f>IF(B267="","",IF(J267&lt;&gt;"",0,ROUND(M267*N267,2)))</f>
        <v/>
      </c>
      <c r="P267" s="15">
        <f>IF(OR(B267="",J267&lt;&gt;""),"",IF(L267&lt;&gt;"",L267,IF(COUNTIFS(Invoices!$C$6:$C$305,C267,Invoices!$E$6:$E$305,"&lt;="&amp;B267,Invoices!$F$6:$F$305,"&gt;="&amp;B267)=1,INDEX(Invoices!$B$6:$B$305,SUMIFS(Invoices!$O$6:$O$305,Invoices!$C$6:$C$305,C267,Invoices!$E$6:$E$305,"&lt;="&amp;B267,Invoices!$F$6:$F$305,"&gt;="&amp;B267)),IF(COUNTIFS(Invoices!$C$6:$C$305,C267,Invoices!$E$6:$E$305,"&lt;="&amp;B267,Invoices!$F$6:$F$305,"&gt;="&amp;B267)&gt;1,"Two invoices",""))))</f>
        <v/>
      </c>
      <c r="Q267" s="15">
        <f>IF(B267="","",IF(J267&lt;&gt;"","Not billable",IF(P267="","To invoice",IF(P267="Two invoices","Check dates",IF(ISNA(MATCH(P267,Invoices!$B$6:$B$305,0)),"Check number",IF(INDEX(Invoices!$M$6:$M$305,MATCH(P267,Invoices!$B$6:$B$305,0))="Paid","Paid",IF(INDEX(Invoices!$M$6:$M$305,MATCH(P267,Invoices!$B$6:$B$305,0))="Draft","Draft","Invoiced")))))))</f>
        <v/>
      </c>
      <c r="R267" s="1">
        <f>IF(AND(B267&lt;&gt;"",P267&lt;&gt;"",P267=Invoice!$G$4),B267+MOD(N(F267),1)+ROW()/10000000,"")</f>
        <v/>
      </c>
      <c r="S267">
        <f>IF(R267="","",IF(D267="","Other work",D267)&amp;IF(AND(K267&lt;&gt;"",E267&lt;&gt;""),", "&amp;E267,""))</f>
        <v/>
      </c>
      <c r="T267">
        <f>IF(R267="","",IF(COUNTIFS(R$6:R266,"&gt;0",S$6:S266,S267,N$6:N266,N267)=0,R267,""))</f>
        <v/>
      </c>
      <c r="U267">
        <f>IF(B267="","",IF(J267&lt;&gt;"",0,M267))</f>
        <v/>
      </c>
    </row>
    <row r="268">
      <c r="A268" s="1" t="n"/>
      <c r="B268" s="16" t="n"/>
      <c r="C268" s="17" t="n"/>
      <c r="D268" s="18" t="n"/>
      <c r="E268" s="18" t="n"/>
      <c r="F268" s="19" t="n"/>
      <c r="G268" s="19" t="n"/>
      <c r="H268" s="20" t="n"/>
      <c r="I268" s="21" t="n"/>
      <c r="J268" s="22" t="n"/>
      <c r="K268" s="23" t="n"/>
      <c r="L268" s="18" t="n"/>
      <c r="M268" s="24">
        <f>IF(B268="","",IF(AND(F268&lt;&gt;"",G268&lt;&gt;""),MAX(0,ROUND(MOD(G268-F268,1)*24-N(H268)/60,2)),N(I268)))</f>
        <v/>
      </c>
      <c r="N268" s="14">
        <f>IF(B268="","",IF(K268&lt;&gt;"",K268,IF(N(IFERROR(INDEX(Projects!$D$6:$D$65,MATCH(D268,Projects!$B$6:$B$65,0)),""))&gt;0,IFERROR(INDEX(Projects!$D$6:$D$65,MATCH(D268,Projects!$B$6:$B$65,0)),""),IFERROR(INDEX(Clients!$G$6:$G$45,MATCH(C268,Clients!$B$6:$B$45,0)),0))))</f>
        <v/>
      </c>
      <c r="O268" s="14">
        <f>IF(B268="","",IF(J268&lt;&gt;"",0,ROUND(M268*N268,2)))</f>
        <v/>
      </c>
      <c r="P268" s="15">
        <f>IF(OR(B268="",J268&lt;&gt;""),"",IF(L268&lt;&gt;"",L268,IF(COUNTIFS(Invoices!$C$6:$C$305,C268,Invoices!$E$6:$E$305,"&lt;="&amp;B268,Invoices!$F$6:$F$305,"&gt;="&amp;B268)=1,INDEX(Invoices!$B$6:$B$305,SUMIFS(Invoices!$O$6:$O$305,Invoices!$C$6:$C$305,C268,Invoices!$E$6:$E$305,"&lt;="&amp;B268,Invoices!$F$6:$F$305,"&gt;="&amp;B268)),IF(COUNTIFS(Invoices!$C$6:$C$305,C268,Invoices!$E$6:$E$305,"&lt;="&amp;B268,Invoices!$F$6:$F$305,"&gt;="&amp;B268)&gt;1,"Two invoices",""))))</f>
        <v/>
      </c>
      <c r="Q268" s="15">
        <f>IF(B268="","",IF(J268&lt;&gt;"","Not billable",IF(P268="","To invoice",IF(P268="Two invoices","Check dates",IF(ISNA(MATCH(P268,Invoices!$B$6:$B$305,0)),"Check number",IF(INDEX(Invoices!$M$6:$M$305,MATCH(P268,Invoices!$B$6:$B$305,0))="Paid","Paid",IF(INDEX(Invoices!$M$6:$M$305,MATCH(P268,Invoices!$B$6:$B$305,0))="Draft","Draft","Invoiced")))))))</f>
        <v/>
      </c>
      <c r="R268" s="1">
        <f>IF(AND(B268&lt;&gt;"",P268&lt;&gt;"",P268=Invoice!$G$4),B268+MOD(N(F268),1)+ROW()/10000000,"")</f>
        <v/>
      </c>
      <c r="S268">
        <f>IF(R268="","",IF(D268="","Other work",D268)&amp;IF(AND(K268&lt;&gt;"",E268&lt;&gt;""),", "&amp;E268,""))</f>
        <v/>
      </c>
      <c r="T268">
        <f>IF(R268="","",IF(COUNTIFS(R$6:R267,"&gt;0",S$6:S267,S268,N$6:N267,N268)=0,R268,""))</f>
        <v/>
      </c>
      <c r="U268">
        <f>IF(B268="","",IF(J268&lt;&gt;"",0,M268))</f>
        <v/>
      </c>
    </row>
    <row r="269">
      <c r="A269" s="1" t="n"/>
      <c r="B269" s="16" t="n"/>
      <c r="C269" s="17" t="n"/>
      <c r="D269" s="18" t="n"/>
      <c r="E269" s="18" t="n"/>
      <c r="F269" s="19" t="n"/>
      <c r="G269" s="19" t="n"/>
      <c r="H269" s="20" t="n"/>
      <c r="I269" s="21" t="n"/>
      <c r="J269" s="22" t="n"/>
      <c r="K269" s="23" t="n"/>
      <c r="L269" s="18" t="n"/>
      <c r="M269" s="24">
        <f>IF(B269="","",IF(AND(F269&lt;&gt;"",G269&lt;&gt;""),MAX(0,ROUND(MOD(G269-F269,1)*24-N(H269)/60,2)),N(I269)))</f>
        <v/>
      </c>
      <c r="N269" s="14">
        <f>IF(B269="","",IF(K269&lt;&gt;"",K269,IF(N(IFERROR(INDEX(Projects!$D$6:$D$65,MATCH(D269,Projects!$B$6:$B$65,0)),""))&gt;0,IFERROR(INDEX(Projects!$D$6:$D$65,MATCH(D269,Projects!$B$6:$B$65,0)),""),IFERROR(INDEX(Clients!$G$6:$G$45,MATCH(C269,Clients!$B$6:$B$45,0)),0))))</f>
        <v/>
      </c>
      <c r="O269" s="14">
        <f>IF(B269="","",IF(J269&lt;&gt;"",0,ROUND(M269*N269,2)))</f>
        <v/>
      </c>
      <c r="P269" s="15">
        <f>IF(OR(B269="",J269&lt;&gt;""),"",IF(L269&lt;&gt;"",L269,IF(COUNTIFS(Invoices!$C$6:$C$305,C269,Invoices!$E$6:$E$305,"&lt;="&amp;B269,Invoices!$F$6:$F$305,"&gt;="&amp;B269)=1,INDEX(Invoices!$B$6:$B$305,SUMIFS(Invoices!$O$6:$O$305,Invoices!$C$6:$C$305,C269,Invoices!$E$6:$E$305,"&lt;="&amp;B269,Invoices!$F$6:$F$305,"&gt;="&amp;B269)),IF(COUNTIFS(Invoices!$C$6:$C$305,C269,Invoices!$E$6:$E$305,"&lt;="&amp;B269,Invoices!$F$6:$F$305,"&gt;="&amp;B269)&gt;1,"Two invoices",""))))</f>
        <v/>
      </c>
      <c r="Q269" s="15">
        <f>IF(B269="","",IF(J269&lt;&gt;"","Not billable",IF(P269="","To invoice",IF(P269="Two invoices","Check dates",IF(ISNA(MATCH(P269,Invoices!$B$6:$B$305,0)),"Check number",IF(INDEX(Invoices!$M$6:$M$305,MATCH(P269,Invoices!$B$6:$B$305,0))="Paid","Paid",IF(INDEX(Invoices!$M$6:$M$305,MATCH(P269,Invoices!$B$6:$B$305,0))="Draft","Draft","Invoiced")))))))</f>
        <v/>
      </c>
      <c r="R269" s="1">
        <f>IF(AND(B269&lt;&gt;"",P269&lt;&gt;"",P269=Invoice!$G$4),B269+MOD(N(F269),1)+ROW()/10000000,"")</f>
        <v/>
      </c>
      <c r="S269">
        <f>IF(R269="","",IF(D269="","Other work",D269)&amp;IF(AND(K269&lt;&gt;"",E269&lt;&gt;""),", "&amp;E269,""))</f>
        <v/>
      </c>
      <c r="T269">
        <f>IF(R269="","",IF(COUNTIFS(R$6:R268,"&gt;0",S$6:S268,S269,N$6:N268,N269)=0,R269,""))</f>
        <v/>
      </c>
      <c r="U269">
        <f>IF(B269="","",IF(J269&lt;&gt;"",0,M269))</f>
        <v/>
      </c>
    </row>
    <row r="270">
      <c r="A270" s="1" t="n"/>
      <c r="B270" s="16" t="n"/>
      <c r="C270" s="17" t="n"/>
      <c r="D270" s="18" t="n"/>
      <c r="E270" s="18" t="n"/>
      <c r="F270" s="19" t="n"/>
      <c r="G270" s="19" t="n"/>
      <c r="H270" s="20" t="n"/>
      <c r="I270" s="21" t="n"/>
      <c r="J270" s="22" t="n"/>
      <c r="K270" s="23" t="n"/>
      <c r="L270" s="18" t="n"/>
      <c r="M270" s="24">
        <f>IF(B270="","",IF(AND(F270&lt;&gt;"",G270&lt;&gt;""),MAX(0,ROUND(MOD(G270-F270,1)*24-N(H270)/60,2)),N(I270)))</f>
        <v/>
      </c>
      <c r="N270" s="14">
        <f>IF(B270="","",IF(K270&lt;&gt;"",K270,IF(N(IFERROR(INDEX(Projects!$D$6:$D$65,MATCH(D270,Projects!$B$6:$B$65,0)),""))&gt;0,IFERROR(INDEX(Projects!$D$6:$D$65,MATCH(D270,Projects!$B$6:$B$65,0)),""),IFERROR(INDEX(Clients!$G$6:$G$45,MATCH(C270,Clients!$B$6:$B$45,0)),0))))</f>
        <v/>
      </c>
      <c r="O270" s="14">
        <f>IF(B270="","",IF(J270&lt;&gt;"",0,ROUND(M270*N270,2)))</f>
        <v/>
      </c>
      <c r="P270" s="15">
        <f>IF(OR(B270="",J270&lt;&gt;""),"",IF(L270&lt;&gt;"",L270,IF(COUNTIFS(Invoices!$C$6:$C$305,C270,Invoices!$E$6:$E$305,"&lt;="&amp;B270,Invoices!$F$6:$F$305,"&gt;="&amp;B270)=1,INDEX(Invoices!$B$6:$B$305,SUMIFS(Invoices!$O$6:$O$305,Invoices!$C$6:$C$305,C270,Invoices!$E$6:$E$305,"&lt;="&amp;B270,Invoices!$F$6:$F$305,"&gt;="&amp;B270)),IF(COUNTIFS(Invoices!$C$6:$C$305,C270,Invoices!$E$6:$E$305,"&lt;="&amp;B270,Invoices!$F$6:$F$305,"&gt;="&amp;B270)&gt;1,"Two invoices",""))))</f>
        <v/>
      </c>
      <c r="Q270" s="15">
        <f>IF(B270="","",IF(J270&lt;&gt;"","Not billable",IF(P270="","To invoice",IF(P270="Two invoices","Check dates",IF(ISNA(MATCH(P270,Invoices!$B$6:$B$305,0)),"Check number",IF(INDEX(Invoices!$M$6:$M$305,MATCH(P270,Invoices!$B$6:$B$305,0))="Paid","Paid",IF(INDEX(Invoices!$M$6:$M$305,MATCH(P270,Invoices!$B$6:$B$305,0))="Draft","Draft","Invoiced")))))))</f>
        <v/>
      </c>
      <c r="R270" s="1">
        <f>IF(AND(B270&lt;&gt;"",P270&lt;&gt;"",P270=Invoice!$G$4),B270+MOD(N(F270),1)+ROW()/10000000,"")</f>
        <v/>
      </c>
      <c r="S270">
        <f>IF(R270="","",IF(D270="","Other work",D270)&amp;IF(AND(K270&lt;&gt;"",E270&lt;&gt;""),", "&amp;E270,""))</f>
        <v/>
      </c>
      <c r="T270">
        <f>IF(R270="","",IF(COUNTIFS(R$6:R269,"&gt;0",S$6:S269,S270,N$6:N269,N270)=0,R270,""))</f>
        <v/>
      </c>
      <c r="U270">
        <f>IF(B270="","",IF(J270&lt;&gt;"",0,M270))</f>
        <v/>
      </c>
    </row>
    <row r="271">
      <c r="A271" s="1" t="n"/>
      <c r="B271" s="16" t="n"/>
      <c r="C271" s="17" t="n"/>
      <c r="D271" s="18" t="n"/>
      <c r="E271" s="18" t="n"/>
      <c r="F271" s="19" t="n"/>
      <c r="G271" s="19" t="n"/>
      <c r="H271" s="20" t="n"/>
      <c r="I271" s="21" t="n"/>
      <c r="J271" s="22" t="n"/>
      <c r="K271" s="23" t="n"/>
      <c r="L271" s="18" t="n"/>
      <c r="M271" s="24">
        <f>IF(B271="","",IF(AND(F271&lt;&gt;"",G271&lt;&gt;""),MAX(0,ROUND(MOD(G271-F271,1)*24-N(H271)/60,2)),N(I271)))</f>
        <v/>
      </c>
      <c r="N271" s="14">
        <f>IF(B271="","",IF(K271&lt;&gt;"",K271,IF(N(IFERROR(INDEX(Projects!$D$6:$D$65,MATCH(D271,Projects!$B$6:$B$65,0)),""))&gt;0,IFERROR(INDEX(Projects!$D$6:$D$65,MATCH(D271,Projects!$B$6:$B$65,0)),""),IFERROR(INDEX(Clients!$G$6:$G$45,MATCH(C271,Clients!$B$6:$B$45,0)),0))))</f>
        <v/>
      </c>
      <c r="O271" s="14">
        <f>IF(B271="","",IF(J271&lt;&gt;"",0,ROUND(M271*N271,2)))</f>
        <v/>
      </c>
      <c r="P271" s="15">
        <f>IF(OR(B271="",J271&lt;&gt;""),"",IF(L271&lt;&gt;"",L271,IF(COUNTIFS(Invoices!$C$6:$C$305,C271,Invoices!$E$6:$E$305,"&lt;="&amp;B271,Invoices!$F$6:$F$305,"&gt;="&amp;B271)=1,INDEX(Invoices!$B$6:$B$305,SUMIFS(Invoices!$O$6:$O$305,Invoices!$C$6:$C$305,C271,Invoices!$E$6:$E$305,"&lt;="&amp;B271,Invoices!$F$6:$F$305,"&gt;="&amp;B271)),IF(COUNTIFS(Invoices!$C$6:$C$305,C271,Invoices!$E$6:$E$305,"&lt;="&amp;B271,Invoices!$F$6:$F$305,"&gt;="&amp;B271)&gt;1,"Two invoices",""))))</f>
        <v/>
      </c>
      <c r="Q271" s="15">
        <f>IF(B271="","",IF(J271&lt;&gt;"","Not billable",IF(P271="","To invoice",IF(P271="Two invoices","Check dates",IF(ISNA(MATCH(P271,Invoices!$B$6:$B$305,0)),"Check number",IF(INDEX(Invoices!$M$6:$M$305,MATCH(P271,Invoices!$B$6:$B$305,0))="Paid","Paid",IF(INDEX(Invoices!$M$6:$M$305,MATCH(P271,Invoices!$B$6:$B$305,0))="Draft","Draft","Invoiced")))))))</f>
        <v/>
      </c>
      <c r="R271" s="1">
        <f>IF(AND(B271&lt;&gt;"",P271&lt;&gt;"",P271=Invoice!$G$4),B271+MOD(N(F271),1)+ROW()/10000000,"")</f>
        <v/>
      </c>
      <c r="S271">
        <f>IF(R271="","",IF(D271="","Other work",D271)&amp;IF(AND(K271&lt;&gt;"",E271&lt;&gt;""),", "&amp;E271,""))</f>
        <v/>
      </c>
      <c r="T271">
        <f>IF(R271="","",IF(COUNTIFS(R$6:R270,"&gt;0",S$6:S270,S271,N$6:N270,N271)=0,R271,""))</f>
        <v/>
      </c>
      <c r="U271">
        <f>IF(B271="","",IF(J271&lt;&gt;"",0,M271))</f>
        <v/>
      </c>
    </row>
    <row r="272">
      <c r="A272" s="1" t="n"/>
      <c r="B272" s="16" t="n"/>
      <c r="C272" s="17" t="n"/>
      <c r="D272" s="18" t="n"/>
      <c r="E272" s="18" t="n"/>
      <c r="F272" s="19" t="n"/>
      <c r="G272" s="19" t="n"/>
      <c r="H272" s="20" t="n"/>
      <c r="I272" s="21" t="n"/>
      <c r="J272" s="22" t="n"/>
      <c r="K272" s="23" t="n"/>
      <c r="L272" s="18" t="n"/>
      <c r="M272" s="24">
        <f>IF(B272="","",IF(AND(F272&lt;&gt;"",G272&lt;&gt;""),MAX(0,ROUND(MOD(G272-F272,1)*24-N(H272)/60,2)),N(I272)))</f>
        <v/>
      </c>
      <c r="N272" s="14">
        <f>IF(B272="","",IF(K272&lt;&gt;"",K272,IF(N(IFERROR(INDEX(Projects!$D$6:$D$65,MATCH(D272,Projects!$B$6:$B$65,0)),""))&gt;0,IFERROR(INDEX(Projects!$D$6:$D$65,MATCH(D272,Projects!$B$6:$B$65,0)),""),IFERROR(INDEX(Clients!$G$6:$G$45,MATCH(C272,Clients!$B$6:$B$45,0)),0))))</f>
        <v/>
      </c>
      <c r="O272" s="14">
        <f>IF(B272="","",IF(J272&lt;&gt;"",0,ROUND(M272*N272,2)))</f>
        <v/>
      </c>
      <c r="P272" s="15">
        <f>IF(OR(B272="",J272&lt;&gt;""),"",IF(L272&lt;&gt;"",L272,IF(COUNTIFS(Invoices!$C$6:$C$305,C272,Invoices!$E$6:$E$305,"&lt;="&amp;B272,Invoices!$F$6:$F$305,"&gt;="&amp;B272)=1,INDEX(Invoices!$B$6:$B$305,SUMIFS(Invoices!$O$6:$O$305,Invoices!$C$6:$C$305,C272,Invoices!$E$6:$E$305,"&lt;="&amp;B272,Invoices!$F$6:$F$305,"&gt;="&amp;B272)),IF(COUNTIFS(Invoices!$C$6:$C$305,C272,Invoices!$E$6:$E$305,"&lt;="&amp;B272,Invoices!$F$6:$F$305,"&gt;="&amp;B272)&gt;1,"Two invoices",""))))</f>
        <v/>
      </c>
      <c r="Q272" s="15">
        <f>IF(B272="","",IF(J272&lt;&gt;"","Not billable",IF(P272="","To invoice",IF(P272="Two invoices","Check dates",IF(ISNA(MATCH(P272,Invoices!$B$6:$B$305,0)),"Check number",IF(INDEX(Invoices!$M$6:$M$305,MATCH(P272,Invoices!$B$6:$B$305,0))="Paid","Paid",IF(INDEX(Invoices!$M$6:$M$305,MATCH(P272,Invoices!$B$6:$B$305,0))="Draft","Draft","Invoiced")))))))</f>
        <v/>
      </c>
      <c r="R272" s="1">
        <f>IF(AND(B272&lt;&gt;"",P272&lt;&gt;"",P272=Invoice!$G$4),B272+MOD(N(F272),1)+ROW()/10000000,"")</f>
        <v/>
      </c>
      <c r="S272">
        <f>IF(R272="","",IF(D272="","Other work",D272)&amp;IF(AND(K272&lt;&gt;"",E272&lt;&gt;""),", "&amp;E272,""))</f>
        <v/>
      </c>
      <c r="T272">
        <f>IF(R272="","",IF(COUNTIFS(R$6:R271,"&gt;0",S$6:S271,S272,N$6:N271,N272)=0,R272,""))</f>
        <v/>
      </c>
      <c r="U272">
        <f>IF(B272="","",IF(J272&lt;&gt;"",0,M272))</f>
        <v/>
      </c>
    </row>
    <row r="273">
      <c r="A273" s="1" t="n"/>
      <c r="B273" s="16" t="n"/>
      <c r="C273" s="17" t="n"/>
      <c r="D273" s="18" t="n"/>
      <c r="E273" s="18" t="n"/>
      <c r="F273" s="19" t="n"/>
      <c r="G273" s="19" t="n"/>
      <c r="H273" s="20" t="n"/>
      <c r="I273" s="21" t="n"/>
      <c r="J273" s="22" t="n"/>
      <c r="K273" s="23" t="n"/>
      <c r="L273" s="18" t="n"/>
      <c r="M273" s="24">
        <f>IF(B273="","",IF(AND(F273&lt;&gt;"",G273&lt;&gt;""),MAX(0,ROUND(MOD(G273-F273,1)*24-N(H273)/60,2)),N(I273)))</f>
        <v/>
      </c>
      <c r="N273" s="14">
        <f>IF(B273="","",IF(K273&lt;&gt;"",K273,IF(N(IFERROR(INDEX(Projects!$D$6:$D$65,MATCH(D273,Projects!$B$6:$B$65,0)),""))&gt;0,IFERROR(INDEX(Projects!$D$6:$D$65,MATCH(D273,Projects!$B$6:$B$65,0)),""),IFERROR(INDEX(Clients!$G$6:$G$45,MATCH(C273,Clients!$B$6:$B$45,0)),0))))</f>
        <v/>
      </c>
      <c r="O273" s="14">
        <f>IF(B273="","",IF(J273&lt;&gt;"",0,ROUND(M273*N273,2)))</f>
        <v/>
      </c>
      <c r="P273" s="15">
        <f>IF(OR(B273="",J273&lt;&gt;""),"",IF(L273&lt;&gt;"",L273,IF(COUNTIFS(Invoices!$C$6:$C$305,C273,Invoices!$E$6:$E$305,"&lt;="&amp;B273,Invoices!$F$6:$F$305,"&gt;="&amp;B273)=1,INDEX(Invoices!$B$6:$B$305,SUMIFS(Invoices!$O$6:$O$305,Invoices!$C$6:$C$305,C273,Invoices!$E$6:$E$305,"&lt;="&amp;B273,Invoices!$F$6:$F$305,"&gt;="&amp;B273)),IF(COUNTIFS(Invoices!$C$6:$C$305,C273,Invoices!$E$6:$E$305,"&lt;="&amp;B273,Invoices!$F$6:$F$305,"&gt;="&amp;B273)&gt;1,"Two invoices",""))))</f>
        <v/>
      </c>
      <c r="Q273" s="15">
        <f>IF(B273="","",IF(J273&lt;&gt;"","Not billable",IF(P273="","To invoice",IF(P273="Two invoices","Check dates",IF(ISNA(MATCH(P273,Invoices!$B$6:$B$305,0)),"Check number",IF(INDEX(Invoices!$M$6:$M$305,MATCH(P273,Invoices!$B$6:$B$305,0))="Paid","Paid",IF(INDEX(Invoices!$M$6:$M$305,MATCH(P273,Invoices!$B$6:$B$305,0))="Draft","Draft","Invoiced")))))))</f>
        <v/>
      </c>
      <c r="R273" s="1">
        <f>IF(AND(B273&lt;&gt;"",P273&lt;&gt;"",P273=Invoice!$G$4),B273+MOD(N(F273),1)+ROW()/10000000,"")</f>
        <v/>
      </c>
      <c r="S273">
        <f>IF(R273="","",IF(D273="","Other work",D273)&amp;IF(AND(K273&lt;&gt;"",E273&lt;&gt;""),", "&amp;E273,""))</f>
        <v/>
      </c>
      <c r="T273">
        <f>IF(R273="","",IF(COUNTIFS(R$6:R272,"&gt;0",S$6:S272,S273,N$6:N272,N273)=0,R273,""))</f>
        <v/>
      </c>
      <c r="U273">
        <f>IF(B273="","",IF(J273&lt;&gt;"",0,M273))</f>
        <v/>
      </c>
    </row>
    <row r="274">
      <c r="A274" s="1" t="n"/>
      <c r="B274" s="16" t="n"/>
      <c r="C274" s="17" t="n"/>
      <c r="D274" s="18" t="n"/>
      <c r="E274" s="18" t="n"/>
      <c r="F274" s="19" t="n"/>
      <c r="G274" s="19" t="n"/>
      <c r="H274" s="20" t="n"/>
      <c r="I274" s="21" t="n"/>
      <c r="J274" s="22" t="n"/>
      <c r="K274" s="23" t="n"/>
      <c r="L274" s="18" t="n"/>
      <c r="M274" s="24">
        <f>IF(B274="","",IF(AND(F274&lt;&gt;"",G274&lt;&gt;""),MAX(0,ROUND(MOD(G274-F274,1)*24-N(H274)/60,2)),N(I274)))</f>
        <v/>
      </c>
      <c r="N274" s="14">
        <f>IF(B274="","",IF(K274&lt;&gt;"",K274,IF(N(IFERROR(INDEX(Projects!$D$6:$D$65,MATCH(D274,Projects!$B$6:$B$65,0)),""))&gt;0,IFERROR(INDEX(Projects!$D$6:$D$65,MATCH(D274,Projects!$B$6:$B$65,0)),""),IFERROR(INDEX(Clients!$G$6:$G$45,MATCH(C274,Clients!$B$6:$B$45,0)),0))))</f>
        <v/>
      </c>
      <c r="O274" s="14">
        <f>IF(B274="","",IF(J274&lt;&gt;"",0,ROUND(M274*N274,2)))</f>
        <v/>
      </c>
      <c r="P274" s="15">
        <f>IF(OR(B274="",J274&lt;&gt;""),"",IF(L274&lt;&gt;"",L274,IF(COUNTIFS(Invoices!$C$6:$C$305,C274,Invoices!$E$6:$E$305,"&lt;="&amp;B274,Invoices!$F$6:$F$305,"&gt;="&amp;B274)=1,INDEX(Invoices!$B$6:$B$305,SUMIFS(Invoices!$O$6:$O$305,Invoices!$C$6:$C$305,C274,Invoices!$E$6:$E$305,"&lt;="&amp;B274,Invoices!$F$6:$F$305,"&gt;="&amp;B274)),IF(COUNTIFS(Invoices!$C$6:$C$305,C274,Invoices!$E$6:$E$305,"&lt;="&amp;B274,Invoices!$F$6:$F$305,"&gt;="&amp;B274)&gt;1,"Two invoices",""))))</f>
        <v/>
      </c>
      <c r="Q274" s="15">
        <f>IF(B274="","",IF(J274&lt;&gt;"","Not billable",IF(P274="","To invoice",IF(P274="Two invoices","Check dates",IF(ISNA(MATCH(P274,Invoices!$B$6:$B$305,0)),"Check number",IF(INDEX(Invoices!$M$6:$M$305,MATCH(P274,Invoices!$B$6:$B$305,0))="Paid","Paid",IF(INDEX(Invoices!$M$6:$M$305,MATCH(P274,Invoices!$B$6:$B$305,0))="Draft","Draft","Invoiced")))))))</f>
        <v/>
      </c>
      <c r="R274" s="1">
        <f>IF(AND(B274&lt;&gt;"",P274&lt;&gt;"",P274=Invoice!$G$4),B274+MOD(N(F274),1)+ROW()/10000000,"")</f>
        <v/>
      </c>
      <c r="S274">
        <f>IF(R274="","",IF(D274="","Other work",D274)&amp;IF(AND(K274&lt;&gt;"",E274&lt;&gt;""),", "&amp;E274,""))</f>
        <v/>
      </c>
      <c r="T274">
        <f>IF(R274="","",IF(COUNTIFS(R$6:R273,"&gt;0",S$6:S273,S274,N$6:N273,N274)=0,R274,""))</f>
        <v/>
      </c>
      <c r="U274">
        <f>IF(B274="","",IF(J274&lt;&gt;"",0,M274))</f>
        <v/>
      </c>
    </row>
    <row r="275">
      <c r="A275" s="1" t="n"/>
      <c r="B275" s="16" t="n"/>
      <c r="C275" s="17" t="n"/>
      <c r="D275" s="18" t="n"/>
      <c r="E275" s="18" t="n"/>
      <c r="F275" s="19" t="n"/>
      <c r="G275" s="19" t="n"/>
      <c r="H275" s="20" t="n"/>
      <c r="I275" s="21" t="n"/>
      <c r="J275" s="22" t="n"/>
      <c r="K275" s="23" t="n"/>
      <c r="L275" s="18" t="n"/>
      <c r="M275" s="24">
        <f>IF(B275="","",IF(AND(F275&lt;&gt;"",G275&lt;&gt;""),MAX(0,ROUND(MOD(G275-F275,1)*24-N(H275)/60,2)),N(I275)))</f>
        <v/>
      </c>
      <c r="N275" s="14">
        <f>IF(B275="","",IF(K275&lt;&gt;"",K275,IF(N(IFERROR(INDEX(Projects!$D$6:$D$65,MATCH(D275,Projects!$B$6:$B$65,0)),""))&gt;0,IFERROR(INDEX(Projects!$D$6:$D$65,MATCH(D275,Projects!$B$6:$B$65,0)),""),IFERROR(INDEX(Clients!$G$6:$G$45,MATCH(C275,Clients!$B$6:$B$45,0)),0))))</f>
        <v/>
      </c>
      <c r="O275" s="14">
        <f>IF(B275="","",IF(J275&lt;&gt;"",0,ROUND(M275*N275,2)))</f>
        <v/>
      </c>
      <c r="P275" s="15">
        <f>IF(OR(B275="",J275&lt;&gt;""),"",IF(L275&lt;&gt;"",L275,IF(COUNTIFS(Invoices!$C$6:$C$305,C275,Invoices!$E$6:$E$305,"&lt;="&amp;B275,Invoices!$F$6:$F$305,"&gt;="&amp;B275)=1,INDEX(Invoices!$B$6:$B$305,SUMIFS(Invoices!$O$6:$O$305,Invoices!$C$6:$C$305,C275,Invoices!$E$6:$E$305,"&lt;="&amp;B275,Invoices!$F$6:$F$305,"&gt;="&amp;B275)),IF(COUNTIFS(Invoices!$C$6:$C$305,C275,Invoices!$E$6:$E$305,"&lt;="&amp;B275,Invoices!$F$6:$F$305,"&gt;="&amp;B275)&gt;1,"Two invoices",""))))</f>
        <v/>
      </c>
      <c r="Q275" s="15">
        <f>IF(B275="","",IF(J275&lt;&gt;"","Not billable",IF(P275="","To invoice",IF(P275="Two invoices","Check dates",IF(ISNA(MATCH(P275,Invoices!$B$6:$B$305,0)),"Check number",IF(INDEX(Invoices!$M$6:$M$305,MATCH(P275,Invoices!$B$6:$B$305,0))="Paid","Paid",IF(INDEX(Invoices!$M$6:$M$305,MATCH(P275,Invoices!$B$6:$B$305,0))="Draft","Draft","Invoiced")))))))</f>
        <v/>
      </c>
      <c r="R275" s="1">
        <f>IF(AND(B275&lt;&gt;"",P275&lt;&gt;"",P275=Invoice!$G$4),B275+MOD(N(F275),1)+ROW()/10000000,"")</f>
        <v/>
      </c>
      <c r="S275">
        <f>IF(R275="","",IF(D275="","Other work",D275)&amp;IF(AND(K275&lt;&gt;"",E275&lt;&gt;""),", "&amp;E275,""))</f>
        <v/>
      </c>
      <c r="T275">
        <f>IF(R275="","",IF(COUNTIFS(R$6:R274,"&gt;0",S$6:S274,S275,N$6:N274,N275)=0,R275,""))</f>
        <v/>
      </c>
      <c r="U275">
        <f>IF(B275="","",IF(J275&lt;&gt;"",0,M275))</f>
        <v/>
      </c>
    </row>
    <row r="276">
      <c r="A276" s="1" t="n"/>
      <c r="B276" s="16" t="n"/>
      <c r="C276" s="17" t="n"/>
      <c r="D276" s="18" t="n"/>
      <c r="E276" s="18" t="n"/>
      <c r="F276" s="19" t="n"/>
      <c r="G276" s="19" t="n"/>
      <c r="H276" s="20" t="n"/>
      <c r="I276" s="21" t="n"/>
      <c r="J276" s="22" t="n"/>
      <c r="K276" s="23" t="n"/>
      <c r="L276" s="18" t="n"/>
      <c r="M276" s="24">
        <f>IF(B276="","",IF(AND(F276&lt;&gt;"",G276&lt;&gt;""),MAX(0,ROUND(MOD(G276-F276,1)*24-N(H276)/60,2)),N(I276)))</f>
        <v/>
      </c>
      <c r="N276" s="14">
        <f>IF(B276="","",IF(K276&lt;&gt;"",K276,IF(N(IFERROR(INDEX(Projects!$D$6:$D$65,MATCH(D276,Projects!$B$6:$B$65,0)),""))&gt;0,IFERROR(INDEX(Projects!$D$6:$D$65,MATCH(D276,Projects!$B$6:$B$65,0)),""),IFERROR(INDEX(Clients!$G$6:$G$45,MATCH(C276,Clients!$B$6:$B$45,0)),0))))</f>
        <v/>
      </c>
      <c r="O276" s="14">
        <f>IF(B276="","",IF(J276&lt;&gt;"",0,ROUND(M276*N276,2)))</f>
        <v/>
      </c>
      <c r="P276" s="15">
        <f>IF(OR(B276="",J276&lt;&gt;""),"",IF(L276&lt;&gt;"",L276,IF(COUNTIFS(Invoices!$C$6:$C$305,C276,Invoices!$E$6:$E$305,"&lt;="&amp;B276,Invoices!$F$6:$F$305,"&gt;="&amp;B276)=1,INDEX(Invoices!$B$6:$B$305,SUMIFS(Invoices!$O$6:$O$305,Invoices!$C$6:$C$305,C276,Invoices!$E$6:$E$305,"&lt;="&amp;B276,Invoices!$F$6:$F$305,"&gt;="&amp;B276)),IF(COUNTIFS(Invoices!$C$6:$C$305,C276,Invoices!$E$6:$E$305,"&lt;="&amp;B276,Invoices!$F$6:$F$305,"&gt;="&amp;B276)&gt;1,"Two invoices",""))))</f>
        <v/>
      </c>
      <c r="Q276" s="15">
        <f>IF(B276="","",IF(J276&lt;&gt;"","Not billable",IF(P276="","To invoice",IF(P276="Two invoices","Check dates",IF(ISNA(MATCH(P276,Invoices!$B$6:$B$305,0)),"Check number",IF(INDEX(Invoices!$M$6:$M$305,MATCH(P276,Invoices!$B$6:$B$305,0))="Paid","Paid",IF(INDEX(Invoices!$M$6:$M$305,MATCH(P276,Invoices!$B$6:$B$305,0))="Draft","Draft","Invoiced")))))))</f>
        <v/>
      </c>
      <c r="R276" s="1">
        <f>IF(AND(B276&lt;&gt;"",P276&lt;&gt;"",P276=Invoice!$G$4),B276+MOD(N(F276),1)+ROW()/10000000,"")</f>
        <v/>
      </c>
      <c r="S276">
        <f>IF(R276="","",IF(D276="","Other work",D276)&amp;IF(AND(K276&lt;&gt;"",E276&lt;&gt;""),", "&amp;E276,""))</f>
        <v/>
      </c>
      <c r="T276">
        <f>IF(R276="","",IF(COUNTIFS(R$6:R275,"&gt;0",S$6:S275,S276,N$6:N275,N276)=0,R276,""))</f>
        <v/>
      </c>
      <c r="U276">
        <f>IF(B276="","",IF(J276&lt;&gt;"",0,M276))</f>
        <v/>
      </c>
    </row>
    <row r="277">
      <c r="A277" s="1" t="n"/>
      <c r="B277" s="16" t="n"/>
      <c r="C277" s="17" t="n"/>
      <c r="D277" s="18" t="n"/>
      <c r="E277" s="18" t="n"/>
      <c r="F277" s="19" t="n"/>
      <c r="G277" s="19" t="n"/>
      <c r="H277" s="20" t="n"/>
      <c r="I277" s="21" t="n"/>
      <c r="J277" s="22" t="n"/>
      <c r="K277" s="23" t="n"/>
      <c r="L277" s="18" t="n"/>
      <c r="M277" s="24">
        <f>IF(B277="","",IF(AND(F277&lt;&gt;"",G277&lt;&gt;""),MAX(0,ROUND(MOD(G277-F277,1)*24-N(H277)/60,2)),N(I277)))</f>
        <v/>
      </c>
      <c r="N277" s="14">
        <f>IF(B277="","",IF(K277&lt;&gt;"",K277,IF(N(IFERROR(INDEX(Projects!$D$6:$D$65,MATCH(D277,Projects!$B$6:$B$65,0)),""))&gt;0,IFERROR(INDEX(Projects!$D$6:$D$65,MATCH(D277,Projects!$B$6:$B$65,0)),""),IFERROR(INDEX(Clients!$G$6:$G$45,MATCH(C277,Clients!$B$6:$B$45,0)),0))))</f>
        <v/>
      </c>
      <c r="O277" s="14">
        <f>IF(B277="","",IF(J277&lt;&gt;"",0,ROUND(M277*N277,2)))</f>
        <v/>
      </c>
      <c r="P277" s="15">
        <f>IF(OR(B277="",J277&lt;&gt;""),"",IF(L277&lt;&gt;"",L277,IF(COUNTIFS(Invoices!$C$6:$C$305,C277,Invoices!$E$6:$E$305,"&lt;="&amp;B277,Invoices!$F$6:$F$305,"&gt;="&amp;B277)=1,INDEX(Invoices!$B$6:$B$305,SUMIFS(Invoices!$O$6:$O$305,Invoices!$C$6:$C$305,C277,Invoices!$E$6:$E$305,"&lt;="&amp;B277,Invoices!$F$6:$F$305,"&gt;="&amp;B277)),IF(COUNTIFS(Invoices!$C$6:$C$305,C277,Invoices!$E$6:$E$305,"&lt;="&amp;B277,Invoices!$F$6:$F$305,"&gt;="&amp;B277)&gt;1,"Two invoices",""))))</f>
        <v/>
      </c>
      <c r="Q277" s="15">
        <f>IF(B277="","",IF(J277&lt;&gt;"","Not billable",IF(P277="","To invoice",IF(P277="Two invoices","Check dates",IF(ISNA(MATCH(P277,Invoices!$B$6:$B$305,0)),"Check number",IF(INDEX(Invoices!$M$6:$M$305,MATCH(P277,Invoices!$B$6:$B$305,0))="Paid","Paid",IF(INDEX(Invoices!$M$6:$M$305,MATCH(P277,Invoices!$B$6:$B$305,0))="Draft","Draft","Invoiced")))))))</f>
        <v/>
      </c>
      <c r="R277" s="1">
        <f>IF(AND(B277&lt;&gt;"",P277&lt;&gt;"",P277=Invoice!$G$4),B277+MOD(N(F277),1)+ROW()/10000000,"")</f>
        <v/>
      </c>
      <c r="S277">
        <f>IF(R277="","",IF(D277="","Other work",D277)&amp;IF(AND(K277&lt;&gt;"",E277&lt;&gt;""),", "&amp;E277,""))</f>
        <v/>
      </c>
      <c r="T277">
        <f>IF(R277="","",IF(COUNTIFS(R$6:R276,"&gt;0",S$6:S276,S277,N$6:N276,N277)=0,R277,""))</f>
        <v/>
      </c>
      <c r="U277">
        <f>IF(B277="","",IF(J277&lt;&gt;"",0,M277))</f>
        <v/>
      </c>
    </row>
    <row r="278">
      <c r="A278" s="1" t="n"/>
      <c r="B278" s="16" t="n"/>
      <c r="C278" s="17" t="n"/>
      <c r="D278" s="18" t="n"/>
      <c r="E278" s="18" t="n"/>
      <c r="F278" s="19" t="n"/>
      <c r="G278" s="19" t="n"/>
      <c r="H278" s="20" t="n"/>
      <c r="I278" s="21" t="n"/>
      <c r="J278" s="22" t="n"/>
      <c r="K278" s="23" t="n"/>
      <c r="L278" s="18" t="n"/>
      <c r="M278" s="24">
        <f>IF(B278="","",IF(AND(F278&lt;&gt;"",G278&lt;&gt;""),MAX(0,ROUND(MOD(G278-F278,1)*24-N(H278)/60,2)),N(I278)))</f>
        <v/>
      </c>
      <c r="N278" s="14">
        <f>IF(B278="","",IF(K278&lt;&gt;"",K278,IF(N(IFERROR(INDEX(Projects!$D$6:$D$65,MATCH(D278,Projects!$B$6:$B$65,0)),""))&gt;0,IFERROR(INDEX(Projects!$D$6:$D$65,MATCH(D278,Projects!$B$6:$B$65,0)),""),IFERROR(INDEX(Clients!$G$6:$G$45,MATCH(C278,Clients!$B$6:$B$45,0)),0))))</f>
        <v/>
      </c>
      <c r="O278" s="14">
        <f>IF(B278="","",IF(J278&lt;&gt;"",0,ROUND(M278*N278,2)))</f>
        <v/>
      </c>
      <c r="P278" s="15">
        <f>IF(OR(B278="",J278&lt;&gt;""),"",IF(L278&lt;&gt;"",L278,IF(COUNTIFS(Invoices!$C$6:$C$305,C278,Invoices!$E$6:$E$305,"&lt;="&amp;B278,Invoices!$F$6:$F$305,"&gt;="&amp;B278)=1,INDEX(Invoices!$B$6:$B$305,SUMIFS(Invoices!$O$6:$O$305,Invoices!$C$6:$C$305,C278,Invoices!$E$6:$E$305,"&lt;="&amp;B278,Invoices!$F$6:$F$305,"&gt;="&amp;B278)),IF(COUNTIFS(Invoices!$C$6:$C$305,C278,Invoices!$E$6:$E$305,"&lt;="&amp;B278,Invoices!$F$6:$F$305,"&gt;="&amp;B278)&gt;1,"Two invoices",""))))</f>
        <v/>
      </c>
      <c r="Q278" s="15">
        <f>IF(B278="","",IF(J278&lt;&gt;"","Not billable",IF(P278="","To invoice",IF(P278="Two invoices","Check dates",IF(ISNA(MATCH(P278,Invoices!$B$6:$B$305,0)),"Check number",IF(INDEX(Invoices!$M$6:$M$305,MATCH(P278,Invoices!$B$6:$B$305,0))="Paid","Paid",IF(INDEX(Invoices!$M$6:$M$305,MATCH(P278,Invoices!$B$6:$B$305,0))="Draft","Draft","Invoiced")))))))</f>
        <v/>
      </c>
      <c r="R278" s="1">
        <f>IF(AND(B278&lt;&gt;"",P278&lt;&gt;"",P278=Invoice!$G$4),B278+MOD(N(F278),1)+ROW()/10000000,"")</f>
        <v/>
      </c>
      <c r="S278">
        <f>IF(R278="","",IF(D278="","Other work",D278)&amp;IF(AND(K278&lt;&gt;"",E278&lt;&gt;""),", "&amp;E278,""))</f>
        <v/>
      </c>
      <c r="T278">
        <f>IF(R278="","",IF(COUNTIFS(R$6:R277,"&gt;0",S$6:S277,S278,N$6:N277,N278)=0,R278,""))</f>
        <v/>
      </c>
      <c r="U278">
        <f>IF(B278="","",IF(J278&lt;&gt;"",0,M278))</f>
        <v/>
      </c>
    </row>
    <row r="279">
      <c r="A279" s="1" t="n"/>
      <c r="B279" s="16" t="n"/>
      <c r="C279" s="17" t="n"/>
      <c r="D279" s="18" t="n"/>
      <c r="E279" s="18" t="n"/>
      <c r="F279" s="19" t="n"/>
      <c r="G279" s="19" t="n"/>
      <c r="H279" s="20" t="n"/>
      <c r="I279" s="21" t="n"/>
      <c r="J279" s="22" t="n"/>
      <c r="K279" s="23" t="n"/>
      <c r="L279" s="18" t="n"/>
      <c r="M279" s="24">
        <f>IF(B279="","",IF(AND(F279&lt;&gt;"",G279&lt;&gt;""),MAX(0,ROUND(MOD(G279-F279,1)*24-N(H279)/60,2)),N(I279)))</f>
        <v/>
      </c>
      <c r="N279" s="14">
        <f>IF(B279="","",IF(K279&lt;&gt;"",K279,IF(N(IFERROR(INDEX(Projects!$D$6:$D$65,MATCH(D279,Projects!$B$6:$B$65,0)),""))&gt;0,IFERROR(INDEX(Projects!$D$6:$D$65,MATCH(D279,Projects!$B$6:$B$65,0)),""),IFERROR(INDEX(Clients!$G$6:$G$45,MATCH(C279,Clients!$B$6:$B$45,0)),0))))</f>
        <v/>
      </c>
      <c r="O279" s="14">
        <f>IF(B279="","",IF(J279&lt;&gt;"",0,ROUND(M279*N279,2)))</f>
        <v/>
      </c>
      <c r="P279" s="15">
        <f>IF(OR(B279="",J279&lt;&gt;""),"",IF(L279&lt;&gt;"",L279,IF(COUNTIFS(Invoices!$C$6:$C$305,C279,Invoices!$E$6:$E$305,"&lt;="&amp;B279,Invoices!$F$6:$F$305,"&gt;="&amp;B279)=1,INDEX(Invoices!$B$6:$B$305,SUMIFS(Invoices!$O$6:$O$305,Invoices!$C$6:$C$305,C279,Invoices!$E$6:$E$305,"&lt;="&amp;B279,Invoices!$F$6:$F$305,"&gt;="&amp;B279)),IF(COUNTIFS(Invoices!$C$6:$C$305,C279,Invoices!$E$6:$E$305,"&lt;="&amp;B279,Invoices!$F$6:$F$305,"&gt;="&amp;B279)&gt;1,"Two invoices",""))))</f>
        <v/>
      </c>
      <c r="Q279" s="15">
        <f>IF(B279="","",IF(J279&lt;&gt;"","Not billable",IF(P279="","To invoice",IF(P279="Two invoices","Check dates",IF(ISNA(MATCH(P279,Invoices!$B$6:$B$305,0)),"Check number",IF(INDEX(Invoices!$M$6:$M$305,MATCH(P279,Invoices!$B$6:$B$305,0))="Paid","Paid",IF(INDEX(Invoices!$M$6:$M$305,MATCH(P279,Invoices!$B$6:$B$305,0))="Draft","Draft","Invoiced")))))))</f>
        <v/>
      </c>
      <c r="R279" s="1">
        <f>IF(AND(B279&lt;&gt;"",P279&lt;&gt;"",P279=Invoice!$G$4),B279+MOD(N(F279),1)+ROW()/10000000,"")</f>
        <v/>
      </c>
      <c r="S279">
        <f>IF(R279="","",IF(D279="","Other work",D279)&amp;IF(AND(K279&lt;&gt;"",E279&lt;&gt;""),", "&amp;E279,""))</f>
        <v/>
      </c>
      <c r="T279">
        <f>IF(R279="","",IF(COUNTIFS(R$6:R278,"&gt;0",S$6:S278,S279,N$6:N278,N279)=0,R279,""))</f>
        <v/>
      </c>
      <c r="U279">
        <f>IF(B279="","",IF(J279&lt;&gt;"",0,M279))</f>
        <v/>
      </c>
    </row>
    <row r="280">
      <c r="A280" s="1" t="n"/>
      <c r="B280" s="16" t="n"/>
      <c r="C280" s="17" t="n"/>
      <c r="D280" s="18" t="n"/>
      <c r="E280" s="18" t="n"/>
      <c r="F280" s="19" t="n"/>
      <c r="G280" s="19" t="n"/>
      <c r="H280" s="20" t="n"/>
      <c r="I280" s="21" t="n"/>
      <c r="J280" s="22" t="n"/>
      <c r="K280" s="23" t="n"/>
      <c r="L280" s="18" t="n"/>
      <c r="M280" s="24">
        <f>IF(B280="","",IF(AND(F280&lt;&gt;"",G280&lt;&gt;""),MAX(0,ROUND(MOD(G280-F280,1)*24-N(H280)/60,2)),N(I280)))</f>
        <v/>
      </c>
      <c r="N280" s="14">
        <f>IF(B280="","",IF(K280&lt;&gt;"",K280,IF(N(IFERROR(INDEX(Projects!$D$6:$D$65,MATCH(D280,Projects!$B$6:$B$65,0)),""))&gt;0,IFERROR(INDEX(Projects!$D$6:$D$65,MATCH(D280,Projects!$B$6:$B$65,0)),""),IFERROR(INDEX(Clients!$G$6:$G$45,MATCH(C280,Clients!$B$6:$B$45,0)),0))))</f>
        <v/>
      </c>
      <c r="O280" s="14">
        <f>IF(B280="","",IF(J280&lt;&gt;"",0,ROUND(M280*N280,2)))</f>
        <v/>
      </c>
      <c r="P280" s="15">
        <f>IF(OR(B280="",J280&lt;&gt;""),"",IF(L280&lt;&gt;"",L280,IF(COUNTIFS(Invoices!$C$6:$C$305,C280,Invoices!$E$6:$E$305,"&lt;="&amp;B280,Invoices!$F$6:$F$305,"&gt;="&amp;B280)=1,INDEX(Invoices!$B$6:$B$305,SUMIFS(Invoices!$O$6:$O$305,Invoices!$C$6:$C$305,C280,Invoices!$E$6:$E$305,"&lt;="&amp;B280,Invoices!$F$6:$F$305,"&gt;="&amp;B280)),IF(COUNTIFS(Invoices!$C$6:$C$305,C280,Invoices!$E$6:$E$305,"&lt;="&amp;B280,Invoices!$F$6:$F$305,"&gt;="&amp;B280)&gt;1,"Two invoices",""))))</f>
        <v/>
      </c>
      <c r="Q280" s="15">
        <f>IF(B280="","",IF(J280&lt;&gt;"","Not billable",IF(P280="","To invoice",IF(P280="Two invoices","Check dates",IF(ISNA(MATCH(P280,Invoices!$B$6:$B$305,0)),"Check number",IF(INDEX(Invoices!$M$6:$M$305,MATCH(P280,Invoices!$B$6:$B$305,0))="Paid","Paid",IF(INDEX(Invoices!$M$6:$M$305,MATCH(P280,Invoices!$B$6:$B$305,0))="Draft","Draft","Invoiced")))))))</f>
        <v/>
      </c>
      <c r="R280" s="1">
        <f>IF(AND(B280&lt;&gt;"",P280&lt;&gt;"",P280=Invoice!$G$4),B280+MOD(N(F280),1)+ROW()/10000000,"")</f>
        <v/>
      </c>
      <c r="S280">
        <f>IF(R280="","",IF(D280="","Other work",D280)&amp;IF(AND(K280&lt;&gt;"",E280&lt;&gt;""),", "&amp;E280,""))</f>
        <v/>
      </c>
      <c r="T280">
        <f>IF(R280="","",IF(COUNTIFS(R$6:R279,"&gt;0",S$6:S279,S280,N$6:N279,N280)=0,R280,""))</f>
        <v/>
      </c>
      <c r="U280">
        <f>IF(B280="","",IF(J280&lt;&gt;"",0,M280))</f>
        <v/>
      </c>
    </row>
    <row r="281">
      <c r="A281" s="1" t="n"/>
      <c r="B281" s="16" t="n"/>
      <c r="C281" s="17" t="n"/>
      <c r="D281" s="18" t="n"/>
      <c r="E281" s="18" t="n"/>
      <c r="F281" s="19" t="n"/>
      <c r="G281" s="19" t="n"/>
      <c r="H281" s="20" t="n"/>
      <c r="I281" s="21" t="n"/>
      <c r="J281" s="22" t="n"/>
      <c r="K281" s="23" t="n"/>
      <c r="L281" s="18" t="n"/>
      <c r="M281" s="24">
        <f>IF(B281="","",IF(AND(F281&lt;&gt;"",G281&lt;&gt;""),MAX(0,ROUND(MOD(G281-F281,1)*24-N(H281)/60,2)),N(I281)))</f>
        <v/>
      </c>
      <c r="N281" s="14">
        <f>IF(B281="","",IF(K281&lt;&gt;"",K281,IF(N(IFERROR(INDEX(Projects!$D$6:$D$65,MATCH(D281,Projects!$B$6:$B$65,0)),""))&gt;0,IFERROR(INDEX(Projects!$D$6:$D$65,MATCH(D281,Projects!$B$6:$B$65,0)),""),IFERROR(INDEX(Clients!$G$6:$G$45,MATCH(C281,Clients!$B$6:$B$45,0)),0))))</f>
        <v/>
      </c>
      <c r="O281" s="14">
        <f>IF(B281="","",IF(J281&lt;&gt;"",0,ROUND(M281*N281,2)))</f>
        <v/>
      </c>
      <c r="P281" s="15">
        <f>IF(OR(B281="",J281&lt;&gt;""),"",IF(L281&lt;&gt;"",L281,IF(COUNTIFS(Invoices!$C$6:$C$305,C281,Invoices!$E$6:$E$305,"&lt;="&amp;B281,Invoices!$F$6:$F$305,"&gt;="&amp;B281)=1,INDEX(Invoices!$B$6:$B$305,SUMIFS(Invoices!$O$6:$O$305,Invoices!$C$6:$C$305,C281,Invoices!$E$6:$E$305,"&lt;="&amp;B281,Invoices!$F$6:$F$305,"&gt;="&amp;B281)),IF(COUNTIFS(Invoices!$C$6:$C$305,C281,Invoices!$E$6:$E$305,"&lt;="&amp;B281,Invoices!$F$6:$F$305,"&gt;="&amp;B281)&gt;1,"Two invoices",""))))</f>
        <v/>
      </c>
      <c r="Q281" s="15">
        <f>IF(B281="","",IF(J281&lt;&gt;"","Not billable",IF(P281="","To invoice",IF(P281="Two invoices","Check dates",IF(ISNA(MATCH(P281,Invoices!$B$6:$B$305,0)),"Check number",IF(INDEX(Invoices!$M$6:$M$305,MATCH(P281,Invoices!$B$6:$B$305,0))="Paid","Paid",IF(INDEX(Invoices!$M$6:$M$305,MATCH(P281,Invoices!$B$6:$B$305,0))="Draft","Draft","Invoiced")))))))</f>
        <v/>
      </c>
      <c r="R281" s="1">
        <f>IF(AND(B281&lt;&gt;"",P281&lt;&gt;"",P281=Invoice!$G$4),B281+MOD(N(F281),1)+ROW()/10000000,"")</f>
        <v/>
      </c>
      <c r="S281">
        <f>IF(R281="","",IF(D281="","Other work",D281)&amp;IF(AND(K281&lt;&gt;"",E281&lt;&gt;""),", "&amp;E281,""))</f>
        <v/>
      </c>
      <c r="T281">
        <f>IF(R281="","",IF(COUNTIFS(R$6:R280,"&gt;0",S$6:S280,S281,N$6:N280,N281)=0,R281,""))</f>
        <v/>
      </c>
      <c r="U281">
        <f>IF(B281="","",IF(J281&lt;&gt;"",0,M281))</f>
        <v/>
      </c>
    </row>
    <row r="282">
      <c r="A282" s="1" t="n"/>
      <c r="B282" s="16" t="n"/>
      <c r="C282" s="17" t="n"/>
      <c r="D282" s="18" t="n"/>
      <c r="E282" s="18" t="n"/>
      <c r="F282" s="19" t="n"/>
      <c r="G282" s="19" t="n"/>
      <c r="H282" s="20" t="n"/>
      <c r="I282" s="21" t="n"/>
      <c r="J282" s="22" t="n"/>
      <c r="K282" s="23" t="n"/>
      <c r="L282" s="18" t="n"/>
      <c r="M282" s="24">
        <f>IF(B282="","",IF(AND(F282&lt;&gt;"",G282&lt;&gt;""),MAX(0,ROUND(MOD(G282-F282,1)*24-N(H282)/60,2)),N(I282)))</f>
        <v/>
      </c>
      <c r="N282" s="14">
        <f>IF(B282="","",IF(K282&lt;&gt;"",K282,IF(N(IFERROR(INDEX(Projects!$D$6:$D$65,MATCH(D282,Projects!$B$6:$B$65,0)),""))&gt;0,IFERROR(INDEX(Projects!$D$6:$D$65,MATCH(D282,Projects!$B$6:$B$65,0)),""),IFERROR(INDEX(Clients!$G$6:$G$45,MATCH(C282,Clients!$B$6:$B$45,0)),0))))</f>
        <v/>
      </c>
      <c r="O282" s="14">
        <f>IF(B282="","",IF(J282&lt;&gt;"",0,ROUND(M282*N282,2)))</f>
        <v/>
      </c>
      <c r="P282" s="15">
        <f>IF(OR(B282="",J282&lt;&gt;""),"",IF(L282&lt;&gt;"",L282,IF(COUNTIFS(Invoices!$C$6:$C$305,C282,Invoices!$E$6:$E$305,"&lt;="&amp;B282,Invoices!$F$6:$F$305,"&gt;="&amp;B282)=1,INDEX(Invoices!$B$6:$B$305,SUMIFS(Invoices!$O$6:$O$305,Invoices!$C$6:$C$305,C282,Invoices!$E$6:$E$305,"&lt;="&amp;B282,Invoices!$F$6:$F$305,"&gt;="&amp;B282)),IF(COUNTIFS(Invoices!$C$6:$C$305,C282,Invoices!$E$6:$E$305,"&lt;="&amp;B282,Invoices!$F$6:$F$305,"&gt;="&amp;B282)&gt;1,"Two invoices",""))))</f>
        <v/>
      </c>
      <c r="Q282" s="15">
        <f>IF(B282="","",IF(J282&lt;&gt;"","Not billable",IF(P282="","To invoice",IF(P282="Two invoices","Check dates",IF(ISNA(MATCH(P282,Invoices!$B$6:$B$305,0)),"Check number",IF(INDEX(Invoices!$M$6:$M$305,MATCH(P282,Invoices!$B$6:$B$305,0))="Paid","Paid",IF(INDEX(Invoices!$M$6:$M$305,MATCH(P282,Invoices!$B$6:$B$305,0))="Draft","Draft","Invoiced")))))))</f>
        <v/>
      </c>
      <c r="R282" s="1">
        <f>IF(AND(B282&lt;&gt;"",P282&lt;&gt;"",P282=Invoice!$G$4),B282+MOD(N(F282),1)+ROW()/10000000,"")</f>
        <v/>
      </c>
      <c r="S282">
        <f>IF(R282="","",IF(D282="","Other work",D282)&amp;IF(AND(K282&lt;&gt;"",E282&lt;&gt;""),", "&amp;E282,""))</f>
        <v/>
      </c>
      <c r="T282">
        <f>IF(R282="","",IF(COUNTIFS(R$6:R281,"&gt;0",S$6:S281,S282,N$6:N281,N282)=0,R282,""))</f>
        <v/>
      </c>
      <c r="U282">
        <f>IF(B282="","",IF(J282&lt;&gt;"",0,M282))</f>
        <v/>
      </c>
    </row>
    <row r="283">
      <c r="A283" s="1" t="n"/>
      <c r="B283" s="16" t="n"/>
      <c r="C283" s="17" t="n"/>
      <c r="D283" s="18" t="n"/>
      <c r="E283" s="18" t="n"/>
      <c r="F283" s="19" t="n"/>
      <c r="G283" s="19" t="n"/>
      <c r="H283" s="20" t="n"/>
      <c r="I283" s="21" t="n"/>
      <c r="J283" s="22" t="n"/>
      <c r="K283" s="23" t="n"/>
      <c r="L283" s="18" t="n"/>
      <c r="M283" s="24">
        <f>IF(B283="","",IF(AND(F283&lt;&gt;"",G283&lt;&gt;""),MAX(0,ROUND(MOD(G283-F283,1)*24-N(H283)/60,2)),N(I283)))</f>
        <v/>
      </c>
      <c r="N283" s="14">
        <f>IF(B283="","",IF(K283&lt;&gt;"",K283,IF(N(IFERROR(INDEX(Projects!$D$6:$D$65,MATCH(D283,Projects!$B$6:$B$65,0)),""))&gt;0,IFERROR(INDEX(Projects!$D$6:$D$65,MATCH(D283,Projects!$B$6:$B$65,0)),""),IFERROR(INDEX(Clients!$G$6:$G$45,MATCH(C283,Clients!$B$6:$B$45,0)),0))))</f>
        <v/>
      </c>
      <c r="O283" s="14">
        <f>IF(B283="","",IF(J283&lt;&gt;"",0,ROUND(M283*N283,2)))</f>
        <v/>
      </c>
      <c r="P283" s="15">
        <f>IF(OR(B283="",J283&lt;&gt;""),"",IF(L283&lt;&gt;"",L283,IF(COUNTIFS(Invoices!$C$6:$C$305,C283,Invoices!$E$6:$E$305,"&lt;="&amp;B283,Invoices!$F$6:$F$305,"&gt;="&amp;B283)=1,INDEX(Invoices!$B$6:$B$305,SUMIFS(Invoices!$O$6:$O$305,Invoices!$C$6:$C$305,C283,Invoices!$E$6:$E$305,"&lt;="&amp;B283,Invoices!$F$6:$F$305,"&gt;="&amp;B283)),IF(COUNTIFS(Invoices!$C$6:$C$305,C283,Invoices!$E$6:$E$305,"&lt;="&amp;B283,Invoices!$F$6:$F$305,"&gt;="&amp;B283)&gt;1,"Two invoices",""))))</f>
        <v/>
      </c>
      <c r="Q283" s="15">
        <f>IF(B283="","",IF(J283&lt;&gt;"","Not billable",IF(P283="","To invoice",IF(P283="Two invoices","Check dates",IF(ISNA(MATCH(P283,Invoices!$B$6:$B$305,0)),"Check number",IF(INDEX(Invoices!$M$6:$M$305,MATCH(P283,Invoices!$B$6:$B$305,0))="Paid","Paid",IF(INDEX(Invoices!$M$6:$M$305,MATCH(P283,Invoices!$B$6:$B$305,0))="Draft","Draft","Invoiced")))))))</f>
        <v/>
      </c>
      <c r="R283" s="1">
        <f>IF(AND(B283&lt;&gt;"",P283&lt;&gt;"",P283=Invoice!$G$4),B283+MOD(N(F283),1)+ROW()/10000000,"")</f>
        <v/>
      </c>
      <c r="S283">
        <f>IF(R283="","",IF(D283="","Other work",D283)&amp;IF(AND(K283&lt;&gt;"",E283&lt;&gt;""),", "&amp;E283,""))</f>
        <v/>
      </c>
      <c r="T283">
        <f>IF(R283="","",IF(COUNTIFS(R$6:R282,"&gt;0",S$6:S282,S283,N$6:N282,N283)=0,R283,""))</f>
        <v/>
      </c>
      <c r="U283">
        <f>IF(B283="","",IF(J283&lt;&gt;"",0,M283))</f>
        <v/>
      </c>
    </row>
    <row r="284">
      <c r="A284" s="1" t="n"/>
      <c r="B284" s="16" t="n"/>
      <c r="C284" s="17" t="n"/>
      <c r="D284" s="18" t="n"/>
      <c r="E284" s="18" t="n"/>
      <c r="F284" s="19" t="n"/>
      <c r="G284" s="19" t="n"/>
      <c r="H284" s="20" t="n"/>
      <c r="I284" s="21" t="n"/>
      <c r="J284" s="22" t="n"/>
      <c r="K284" s="23" t="n"/>
      <c r="L284" s="18" t="n"/>
      <c r="M284" s="24">
        <f>IF(B284="","",IF(AND(F284&lt;&gt;"",G284&lt;&gt;""),MAX(0,ROUND(MOD(G284-F284,1)*24-N(H284)/60,2)),N(I284)))</f>
        <v/>
      </c>
      <c r="N284" s="14">
        <f>IF(B284="","",IF(K284&lt;&gt;"",K284,IF(N(IFERROR(INDEX(Projects!$D$6:$D$65,MATCH(D284,Projects!$B$6:$B$65,0)),""))&gt;0,IFERROR(INDEX(Projects!$D$6:$D$65,MATCH(D284,Projects!$B$6:$B$65,0)),""),IFERROR(INDEX(Clients!$G$6:$G$45,MATCH(C284,Clients!$B$6:$B$45,0)),0))))</f>
        <v/>
      </c>
      <c r="O284" s="14">
        <f>IF(B284="","",IF(J284&lt;&gt;"",0,ROUND(M284*N284,2)))</f>
        <v/>
      </c>
      <c r="P284" s="15">
        <f>IF(OR(B284="",J284&lt;&gt;""),"",IF(L284&lt;&gt;"",L284,IF(COUNTIFS(Invoices!$C$6:$C$305,C284,Invoices!$E$6:$E$305,"&lt;="&amp;B284,Invoices!$F$6:$F$305,"&gt;="&amp;B284)=1,INDEX(Invoices!$B$6:$B$305,SUMIFS(Invoices!$O$6:$O$305,Invoices!$C$6:$C$305,C284,Invoices!$E$6:$E$305,"&lt;="&amp;B284,Invoices!$F$6:$F$305,"&gt;="&amp;B284)),IF(COUNTIFS(Invoices!$C$6:$C$305,C284,Invoices!$E$6:$E$305,"&lt;="&amp;B284,Invoices!$F$6:$F$305,"&gt;="&amp;B284)&gt;1,"Two invoices",""))))</f>
        <v/>
      </c>
      <c r="Q284" s="15">
        <f>IF(B284="","",IF(J284&lt;&gt;"","Not billable",IF(P284="","To invoice",IF(P284="Two invoices","Check dates",IF(ISNA(MATCH(P284,Invoices!$B$6:$B$305,0)),"Check number",IF(INDEX(Invoices!$M$6:$M$305,MATCH(P284,Invoices!$B$6:$B$305,0))="Paid","Paid",IF(INDEX(Invoices!$M$6:$M$305,MATCH(P284,Invoices!$B$6:$B$305,0))="Draft","Draft","Invoiced")))))))</f>
        <v/>
      </c>
      <c r="R284" s="1">
        <f>IF(AND(B284&lt;&gt;"",P284&lt;&gt;"",P284=Invoice!$G$4),B284+MOD(N(F284),1)+ROW()/10000000,"")</f>
        <v/>
      </c>
      <c r="S284">
        <f>IF(R284="","",IF(D284="","Other work",D284)&amp;IF(AND(K284&lt;&gt;"",E284&lt;&gt;""),", "&amp;E284,""))</f>
        <v/>
      </c>
      <c r="T284">
        <f>IF(R284="","",IF(COUNTIFS(R$6:R283,"&gt;0",S$6:S283,S284,N$6:N283,N284)=0,R284,""))</f>
        <v/>
      </c>
      <c r="U284">
        <f>IF(B284="","",IF(J284&lt;&gt;"",0,M284))</f>
        <v/>
      </c>
    </row>
    <row r="285">
      <c r="A285" s="1" t="n"/>
      <c r="B285" s="16" t="n"/>
      <c r="C285" s="17" t="n"/>
      <c r="D285" s="18" t="n"/>
      <c r="E285" s="18" t="n"/>
      <c r="F285" s="19" t="n"/>
      <c r="G285" s="19" t="n"/>
      <c r="H285" s="20" t="n"/>
      <c r="I285" s="21" t="n"/>
      <c r="J285" s="22" t="n"/>
      <c r="K285" s="23" t="n"/>
      <c r="L285" s="18" t="n"/>
      <c r="M285" s="24">
        <f>IF(B285="","",IF(AND(F285&lt;&gt;"",G285&lt;&gt;""),MAX(0,ROUND(MOD(G285-F285,1)*24-N(H285)/60,2)),N(I285)))</f>
        <v/>
      </c>
      <c r="N285" s="14">
        <f>IF(B285="","",IF(K285&lt;&gt;"",K285,IF(N(IFERROR(INDEX(Projects!$D$6:$D$65,MATCH(D285,Projects!$B$6:$B$65,0)),""))&gt;0,IFERROR(INDEX(Projects!$D$6:$D$65,MATCH(D285,Projects!$B$6:$B$65,0)),""),IFERROR(INDEX(Clients!$G$6:$G$45,MATCH(C285,Clients!$B$6:$B$45,0)),0))))</f>
        <v/>
      </c>
      <c r="O285" s="14">
        <f>IF(B285="","",IF(J285&lt;&gt;"",0,ROUND(M285*N285,2)))</f>
        <v/>
      </c>
      <c r="P285" s="15">
        <f>IF(OR(B285="",J285&lt;&gt;""),"",IF(L285&lt;&gt;"",L285,IF(COUNTIFS(Invoices!$C$6:$C$305,C285,Invoices!$E$6:$E$305,"&lt;="&amp;B285,Invoices!$F$6:$F$305,"&gt;="&amp;B285)=1,INDEX(Invoices!$B$6:$B$305,SUMIFS(Invoices!$O$6:$O$305,Invoices!$C$6:$C$305,C285,Invoices!$E$6:$E$305,"&lt;="&amp;B285,Invoices!$F$6:$F$305,"&gt;="&amp;B285)),IF(COUNTIFS(Invoices!$C$6:$C$305,C285,Invoices!$E$6:$E$305,"&lt;="&amp;B285,Invoices!$F$6:$F$305,"&gt;="&amp;B285)&gt;1,"Two invoices",""))))</f>
        <v/>
      </c>
      <c r="Q285" s="15">
        <f>IF(B285="","",IF(J285&lt;&gt;"","Not billable",IF(P285="","To invoice",IF(P285="Two invoices","Check dates",IF(ISNA(MATCH(P285,Invoices!$B$6:$B$305,0)),"Check number",IF(INDEX(Invoices!$M$6:$M$305,MATCH(P285,Invoices!$B$6:$B$305,0))="Paid","Paid",IF(INDEX(Invoices!$M$6:$M$305,MATCH(P285,Invoices!$B$6:$B$305,0))="Draft","Draft","Invoiced")))))))</f>
        <v/>
      </c>
      <c r="R285" s="1">
        <f>IF(AND(B285&lt;&gt;"",P285&lt;&gt;"",P285=Invoice!$G$4),B285+MOD(N(F285),1)+ROW()/10000000,"")</f>
        <v/>
      </c>
      <c r="S285">
        <f>IF(R285="","",IF(D285="","Other work",D285)&amp;IF(AND(K285&lt;&gt;"",E285&lt;&gt;""),", "&amp;E285,""))</f>
        <v/>
      </c>
      <c r="T285">
        <f>IF(R285="","",IF(COUNTIFS(R$6:R284,"&gt;0",S$6:S284,S285,N$6:N284,N285)=0,R285,""))</f>
        <v/>
      </c>
      <c r="U285">
        <f>IF(B285="","",IF(J285&lt;&gt;"",0,M285))</f>
        <v/>
      </c>
    </row>
    <row r="286">
      <c r="A286" s="1" t="n"/>
      <c r="B286" s="16" t="n"/>
      <c r="C286" s="17" t="n"/>
      <c r="D286" s="18" t="n"/>
      <c r="E286" s="18" t="n"/>
      <c r="F286" s="19" t="n"/>
      <c r="G286" s="19" t="n"/>
      <c r="H286" s="20" t="n"/>
      <c r="I286" s="21" t="n"/>
      <c r="J286" s="22" t="n"/>
      <c r="K286" s="23" t="n"/>
      <c r="L286" s="18" t="n"/>
      <c r="M286" s="24">
        <f>IF(B286="","",IF(AND(F286&lt;&gt;"",G286&lt;&gt;""),MAX(0,ROUND(MOD(G286-F286,1)*24-N(H286)/60,2)),N(I286)))</f>
        <v/>
      </c>
      <c r="N286" s="14">
        <f>IF(B286="","",IF(K286&lt;&gt;"",K286,IF(N(IFERROR(INDEX(Projects!$D$6:$D$65,MATCH(D286,Projects!$B$6:$B$65,0)),""))&gt;0,IFERROR(INDEX(Projects!$D$6:$D$65,MATCH(D286,Projects!$B$6:$B$65,0)),""),IFERROR(INDEX(Clients!$G$6:$G$45,MATCH(C286,Clients!$B$6:$B$45,0)),0))))</f>
        <v/>
      </c>
      <c r="O286" s="14">
        <f>IF(B286="","",IF(J286&lt;&gt;"",0,ROUND(M286*N286,2)))</f>
        <v/>
      </c>
      <c r="P286" s="15">
        <f>IF(OR(B286="",J286&lt;&gt;""),"",IF(L286&lt;&gt;"",L286,IF(COUNTIFS(Invoices!$C$6:$C$305,C286,Invoices!$E$6:$E$305,"&lt;="&amp;B286,Invoices!$F$6:$F$305,"&gt;="&amp;B286)=1,INDEX(Invoices!$B$6:$B$305,SUMIFS(Invoices!$O$6:$O$305,Invoices!$C$6:$C$305,C286,Invoices!$E$6:$E$305,"&lt;="&amp;B286,Invoices!$F$6:$F$305,"&gt;="&amp;B286)),IF(COUNTIFS(Invoices!$C$6:$C$305,C286,Invoices!$E$6:$E$305,"&lt;="&amp;B286,Invoices!$F$6:$F$305,"&gt;="&amp;B286)&gt;1,"Two invoices",""))))</f>
        <v/>
      </c>
      <c r="Q286" s="15">
        <f>IF(B286="","",IF(J286&lt;&gt;"","Not billable",IF(P286="","To invoice",IF(P286="Two invoices","Check dates",IF(ISNA(MATCH(P286,Invoices!$B$6:$B$305,0)),"Check number",IF(INDEX(Invoices!$M$6:$M$305,MATCH(P286,Invoices!$B$6:$B$305,0))="Paid","Paid",IF(INDEX(Invoices!$M$6:$M$305,MATCH(P286,Invoices!$B$6:$B$305,0))="Draft","Draft","Invoiced")))))))</f>
        <v/>
      </c>
      <c r="R286" s="1">
        <f>IF(AND(B286&lt;&gt;"",P286&lt;&gt;"",P286=Invoice!$G$4),B286+MOD(N(F286),1)+ROW()/10000000,"")</f>
        <v/>
      </c>
      <c r="S286">
        <f>IF(R286="","",IF(D286="","Other work",D286)&amp;IF(AND(K286&lt;&gt;"",E286&lt;&gt;""),", "&amp;E286,""))</f>
        <v/>
      </c>
      <c r="T286">
        <f>IF(R286="","",IF(COUNTIFS(R$6:R285,"&gt;0",S$6:S285,S286,N$6:N285,N286)=0,R286,""))</f>
        <v/>
      </c>
      <c r="U286">
        <f>IF(B286="","",IF(J286&lt;&gt;"",0,M286))</f>
        <v/>
      </c>
    </row>
    <row r="287">
      <c r="A287" s="1" t="n"/>
      <c r="B287" s="16" t="n"/>
      <c r="C287" s="17" t="n"/>
      <c r="D287" s="18" t="n"/>
      <c r="E287" s="18" t="n"/>
      <c r="F287" s="19" t="n"/>
      <c r="G287" s="19" t="n"/>
      <c r="H287" s="20" t="n"/>
      <c r="I287" s="21" t="n"/>
      <c r="J287" s="22" t="n"/>
      <c r="K287" s="23" t="n"/>
      <c r="L287" s="18" t="n"/>
      <c r="M287" s="24">
        <f>IF(B287="","",IF(AND(F287&lt;&gt;"",G287&lt;&gt;""),MAX(0,ROUND(MOD(G287-F287,1)*24-N(H287)/60,2)),N(I287)))</f>
        <v/>
      </c>
      <c r="N287" s="14">
        <f>IF(B287="","",IF(K287&lt;&gt;"",K287,IF(N(IFERROR(INDEX(Projects!$D$6:$D$65,MATCH(D287,Projects!$B$6:$B$65,0)),""))&gt;0,IFERROR(INDEX(Projects!$D$6:$D$65,MATCH(D287,Projects!$B$6:$B$65,0)),""),IFERROR(INDEX(Clients!$G$6:$G$45,MATCH(C287,Clients!$B$6:$B$45,0)),0))))</f>
        <v/>
      </c>
      <c r="O287" s="14">
        <f>IF(B287="","",IF(J287&lt;&gt;"",0,ROUND(M287*N287,2)))</f>
        <v/>
      </c>
      <c r="P287" s="15">
        <f>IF(OR(B287="",J287&lt;&gt;""),"",IF(L287&lt;&gt;"",L287,IF(COUNTIFS(Invoices!$C$6:$C$305,C287,Invoices!$E$6:$E$305,"&lt;="&amp;B287,Invoices!$F$6:$F$305,"&gt;="&amp;B287)=1,INDEX(Invoices!$B$6:$B$305,SUMIFS(Invoices!$O$6:$O$305,Invoices!$C$6:$C$305,C287,Invoices!$E$6:$E$305,"&lt;="&amp;B287,Invoices!$F$6:$F$305,"&gt;="&amp;B287)),IF(COUNTIFS(Invoices!$C$6:$C$305,C287,Invoices!$E$6:$E$305,"&lt;="&amp;B287,Invoices!$F$6:$F$305,"&gt;="&amp;B287)&gt;1,"Two invoices",""))))</f>
        <v/>
      </c>
      <c r="Q287" s="15">
        <f>IF(B287="","",IF(J287&lt;&gt;"","Not billable",IF(P287="","To invoice",IF(P287="Two invoices","Check dates",IF(ISNA(MATCH(P287,Invoices!$B$6:$B$305,0)),"Check number",IF(INDEX(Invoices!$M$6:$M$305,MATCH(P287,Invoices!$B$6:$B$305,0))="Paid","Paid",IF(INDEX(Invoices!$M$6:$M$305,MATCH(P287,Invoices!$B$6:$B$305,0))="Draft","Draft","Invoiced")))))))</f>
        <v/>
      </c>
      <c r="R287" s="1">
        <f>IF(AND(B287&lt;&gt;"",P287&lt;&gt;"",P287=Invoice!$G$4),B287+MOD(N(F287),1)+ROW()/10000000,"")</f>
        <v/>
      </c>
      <c r="S287">
        <f>IF(R287="","",IF(D287="","Other work",D287)&amp;IF(AND(K287&lt;&gt;"",E287&lt;&gt;""),", "&amp;E287,""))</f>
        <v/>
      </c>
      <c r="T287">
        <f>IF(R287="","",IF(COUNTIFS(R$6:R286,"&gt;0",S$6:S286,S287,N$6:N286,N287)=0,R287,""))</f>
        <v/>
      </c>
      <c r="U287">
        <f>IF(B287="","",IF(J287&lt;&gt;"",0,M287))</f>
        <v/>
      </c>
    </row>
    <row r="288">
      <c r="A288" s="1" t="n"/>
      <c r="B288" s="16" t="n"/>
      <c r="C288" s="17" t="n"/>
      <c r="D288" s="18" t="n"/>
      <c r="E288" s="18" t="n"/>
      <c r="F288" s="19" t="n"/>
      <c r="G288" s="19" t="n"/>
      <c r="H288" s="20" t="n"/>
      <c r="I288" s="21" t="n"/>
      <c r="J288" s="22" t="n"/>
      <c r="K288" s="23" t="n"/>
      <c r="L288" s="18" t="n"/>
      <c r="M288" s="24">
        <f>IF(B288="","",IF(AND(F288&lt;&gt;"",G288&lt;&gt;""),MAX(0,ROUND(MOD(G288-F288,1)*24-N(H288)/60,2)),N(I288)))</f>
        <v/>
      </c>
      <c r="N288" s="14">
        <f>IF(B288="","",IF(K288&lt;&gt;"",K288,IF(N(IFERROR(INDEX(Projects!$D$6:$D$65,MATCH(D288,Projects!$B$6:$B$65,0)),""))&gt;0,IFERROR(INDEX(Projects!$D$6:$D$65,MATCH(D288,Projects!$B$6:$B$65,0)),""),IFERROR(INDEX(Clients!$G$6:$G$45,MATCH(C288,Clients!$B$6:$B$45,0)),0))))</f>
        <v/>
      </c>
      <c r="O288" s="14">
        <f>IF(B288="","",IF(J288&lt;&gt;"",0,ROUND(M288*N288,2)))</f>
        <v/>
      </c>
      <c r="P288" s="15">
        <f>IF(OR(B288="",J288&lt;&gt;""),"",IF(L288&lt;&gt;"",L288,IF(COUNTIFS(Invoices!$C$6:$C$305,C288,Invoices!$E$6:$E$305,"&lt;="&amp;B288,Invoices!$F$6:$F$305,"&gt;="&amp;B288)=1,INDEX(Invoices!$B$6:$B$305,SUMIFS(Invoices!$O$6:$O$305,Invoices!$C$6:$C$305,C288,Invoices!$E$6:$E$305,"&lt;="&amp;B288,Invoices!$F$6:$F$305,"&gt;="&amp;B288)),IF(COUNTIFS(Invoices!$C$6:$C$305,C288,Invoices!$E$6:$E$305,"&lt;="&amp;B288,Invoices!$F$6:$F$305,"&gt;="&amp;B288)&gt;1,"Two invoices",""))))</f>
        <v/>
      </c>
      <c r="Q288" s="15">
        <f>IF(B288="","",IF(J288&lt;&gt;"","Not billable",IF(P288="","To invoice",IF(P288="Two invoices","Check dates",IF(ISNA(MATCH(P288,Invoices!$B$6:$B$305,0)),"Check number",IF(INDEX(Invoices!$M$6:$M$305,MATCH(P288,Invoices!$B$6:$B$305,0))="Paid","Paid",IF(INDEX(Invoices!$M$6:$M$305,MATCH(P288,Invoices!$B$6:$B$305,0))="Draft","Draft","Invoiced")))))))</f>
        <v/>
      </c>
      <c r="R288" s="1">
        <f>IF(AND(B288&lt;&gt;"",P288&lt;&gt;"",P288=Invoice!$G$4),B288+MOD(N(F288),1)+ROW()/10000000,"")</f>
        <v/>
      </c>
      <c r="S288">
        <f>IF(R288="","",IF(D288="","Other work",D288)&amp;IF(AND(K288&lt;&gt;"",E288&lt;&gt;""),", "&amp;E288,""))</f>
        <v/>
      </c>
      <c r="T288">
        <f>IF(R288="","",IF(COUNTIFS(R$6:R287,"&gt;0",S$6:S287,S288,N$6:N287,N288)=0,R288,""))</f>
        <v/>
      </c>
      <c r="U288">
        <f>IF(B288="","",IF(J288&lt;&gt;"",0,M288))</f>
        <v/>
      </c>
    </row>
    <row r="289">
      <c r="A289" s="1" t="n"/>
      <c r="B289" s="16" t="n"/>
      <c r="C289" s="17" t="n"/>
      <c r="D289" s="18" t="n"/>
      <c r="E289" s="18" t="n"/>
      <c r="F289" s="19" t="n"/>
      <c r="G289" s="19" t="n"/>
      <c r="H289" s="20" t="n"/>
      <c r="I289" s="21" t="n"/>
      <c r="J289" s="22" t="n"/>
      <c r="K289" s="23" t="n"/>
      <c r="L289" s="18" t="n"/>
      <c r="M289" s="24">
        <f>IF(B289="","",IF(AND(F289&lt;&gt;"",G289&lt;&gt;""),MAX(0,ROUND(MOD(G289-F289,1)*24-N(H289)/60,2)),N(I289)))</f>
        <v/>
      </c>
      <c r="N289" s="14">
        <f>IF(B289="","",IF(K289&lt;&gt;"",K289,IF(N(IFERROR(INDEX(Projects!$D$6:$D$65,MATCH(D289,Projects!$B$6:$B$65,0)),""))&gt;0,IFERROR(INDEX(Projects!$D$6:$D$65,MATCH(D289,Projects!$B$6:$B$65,0)),""),IFERROR(INDEX(Clients!$G$6:$G$45,MATCH(C289,Clients!$B$6:$B$45,0)),0))))</f>
        <v/>
      </c>
      <c r="O289" s="14">
        <f>IF(B289="","",IF(J289&lt;&gt;"",0,ROUND(M289*N289,2)))</f>
        <v/>
      </c>
      <c r="P289" s="15">
        <f>IF(OR(B289="",J289&lt;&gt;""),"",IF(L289&lt;&gt;"",L289,IF(COUNTIFS(Invoices!$C$6:$C$305,C289,Invoices!$E$6:$E$305,"&lt;="&amp;B289,Invoices!$F$6:$F$305,"&gt;="&amp;B289)=1,INDEX(Invoices!$B$6:$B$305,SUMIFS(Invoices!$O$6:$O$305,Invoices!$C$6:$C$305,C289,Invoices!$E$6:$E$305,"&lt;="&amp;B289,Invoices!$F$6:$F$305,"&gt;="&amp;B289)),IF(COUNTIFS(Invoices!$C$6:$C$305,C289,Invoices!$E$6:$E$305,"&lt;="&amp;B289,Invoices!$F$6:$F$305,"&gt;="&amp;B289)&gt;1,"Two invoices",""))))</f>
        <v/>
      </c>
      <c r="Q289" s="15">
        <f>IF(B289="","",IF(J289&lt;&gt;"","Not billable",IF(P289="","To invoice",IF(P289="Two invoices","Check dates",IF(ISNA(MATCH(P289,Invoices!$B$6:$B$305,0)),"Check number",IF(INDEX(Invoices!$M$6:$M$305,MATCH(P289,Invoices!$B$6:$B$305,0))="Paid","Paid",IF(INDEX(Invoices!$M$6:$M$305,MATCH(P289,Invoices!$B$6:$B$305,0))="Draft","Draft","Invoiced")))))))</f>
        <v/>
      </c>
      <c r="R289" s="1">
        <f>IF(AND(B289&lt;&gt;"",P289&lt;&gt;"",P289=Invoice!$G$4),B289+MOD(N(F289),1)+ROW()/10000000,"")</f>
        <v/>
      </c>
      <c r="S289">
        <f>IF(R289="","",IF(D289="","Other work",D289)&amp;IF(AND(K289&lt;&gt;"",E289&lt;&gt;""),", "&amp;E289,""))</f>
        <v/>
      </c>
      <c r="T289">
        <f>IF(R289="","",IF(COUNTIFS(R$6:R288,"&gt;0",S$6:S288,S289,N$6:N288,N289)=0,R289,""))</f>
        <v/>
      </c>
      <c r="U289">
        <f>IF(B289="","",IF(J289&lt;&gt;"",0,M289))</f>
        <v/>
      </c>
    </row>
    <row r="290">
      <c r="A290" s="1" t="n"/>
      <c r="B290" s="16" t="n"/>
      <c r="C290" s="17" t="n"/>
      <c r="D290" s="18" t="n"/>
      <c r="E290" s="18" t="n"/>
      <c r="F290" s="19" t="n"/>
      <c r="G290" s="19" t="n"/>
      <c r="H290" s="20" t="n"/>
      <c r="I290" s="21" t="n"/>
      <c r="J290" s="22" t="n"/>
      <c r="K290" s="23" t="n"/>
      <c r="L290" s="18" t="n"/>
      <c r="M290" s="24">
        <f>IF(B290="","",IF(AND(F290&lt;&gt;"",G290&lt;&gt;""),MAX(0,ROUND(MOD(G290-F290,1)*24-N(H290)/60,2)),N(I290)))</f>
        <v/>
      </c>
      <c r="N290" s="14">
        <f>IF(B290="","",IF(K290&lt;&gt;"",K290,IF(N(IFERROR(INDEX(Projects!$D$6:$D$65,MATCH(D290,Projects!$B$6:$B$65,0)),""))&gt;0,IFERROR(INDEX(Projects!$D$6:$D$65,MATCH(D290,Projects!$B$6:$B$65,0)),""),IFERROR(INDEX(Clients!$G$6:$G$45,MATCH(C290,Clients!$B$6:$B$45,0)),0))))</f>
        <v/>
      </c>
      <c r="O290" s="14">
        <f>IF(B290="","",IF(J290&lt;&gt;"",0,ROUND(M290*N290,2)))</f>
        <v/>
      </c>
      <c r="P290" s="15">
        <f>IF(OR(B290="",J290&lt;&gt;""),"",IF(L290&lt;&gt;"",L290,IF(COUNTIFS(Invoices!$C$6:$C$305,C290,Invoices!$E$6:$E$305,"&lt;="&amp;B290,Invoices!$F$6:$F$305,"&gt;="&amp;B290)=1,INDEX(Invoices!$B$6:$B$305,SUMIFS(Invoices!$O$6:$O$305,Invoices!$C$6:$C$305,C290,Invoices!$E$6:$E$305,"&lt;="&amp;B290,Invoices!$F$6:$F$305,"&gt;="&amp;B290)),IF(COUNTIFS(Invoices!$C$6:$C$305,C290,Invoices!$E$6:$E$305,"&lt;="&amp;B290,Invoices!$F$6:$F$305,"&gt;="&amp;B290)&gt;1,"Two invoices",""))))</f>
        <v/>
      </c>
      <c r="Q290" s="15">
        <f>IF(B290="","",IF(J290&lt;&gt;"","Not billable",IF(P290="","To invoice",IF(P290="Two invoices","Check dates",IF(ISNA(MATCH(P290,Invoices!$B$6:$B$305,0)),"Check number",IF(INDEX(Invoices!$M$6:$M$305,MATCH(P290,Invoices!$B$6:$B$305,0))="Paid","Paid",IF(INDEX(Invoices!$M$6:$M$305,MATCH(P290,Invoices!$B$6:$B$305,0))="Draft","Draft","Invoiced")))))))</f>
        <v/>
      </c>
      <c r="R290" s="1">
        <f>IF(AND(B290&lt;&gt;"",P290&lt;&gt;"",P290=Invoice!$G$4),B290+MOD(N(F290),1)+ROW()/10000000,"")</f>
        <v/>
      </c>
      <c r="S290">
        <f>IF(R290="","",IF(D290="","Other work",D290)&amp;IF(AND(K290&lt;&gt;"",E290&lt;&gt;""),", "&amp;E290,""))</f>
        <v/>
      </c>
      <c r="T290">
        <f>IF(R290="","",IF(COUNTIFS(R$6:R289,"&gt;0",S$6:S289,S290,N$6:N289,N290)=0,R290,""))</f>
        <v/>
      </c>
      <c r="U290">
        <f>IF(B290="","",IF(J290&lt;&gt;"",0,M290))</f>
        <v/>
      </c>
    </row>
    <row r="291">
      <c r="A291" s="1" t="n"/>
      <c r="B291" s="16" t="n"/>
      <c r="C291" s="17" t="n"/>
      <c r="D291" s="18" t="n"/>
      <c r="E291" s="18" t="n"/>
      <c r="F291" s="19" t="n"/>
      <c r="G291" s="19" t="n"/>
      <c r="H291" s="20" t="n"/>
      <c r="I291" s="21" t="n"/>
      <c r="J291" s="22" t="n"/>
      <c r="K291" s="23" t="n"/>
      <c r="L291" s="18" t="n"/>
      <c r="M291" s="24">
        <f>IF(B291="","",IF(AND(F291&lt;&gt;"",G291&lt;&gt;""),MAX(0,ROUND(MOD(G291-F291,1)*24-N(H291)/60,2)),N(I291)))</f>
        <v/>
      </c>
      <c r="N291" s="14">
        <f>IF(B291="","",IF(K291&lt;&gt;"",K291,IF(N(IFERROR(INDEX(Projects!$D$6:$D$65,MATCH(D291,Projects!$B$6:$B$65,0)),""))&gt;0,IFERROR(INDEX(Projects!$D$6:$D$65,MATCH(D291,Projects!$B$6:$B$65,0)),""),IFERROR(INDEX(Clients!$G$6:$G$45,MATCH(C291,Clients!$B$6:$B$45,0)),0))))</f>
        <v/>
      </c>
      <c r="O291" s="14">
        <f>IF(B291="","",IF(J291&lt;&gt;"",0,ROUND(M291*N291,2)))</f>
        <v/>
      </c>
      <c r="P291" s="15">
        <f>IF(OR(B291="",J291&lt;&gt;""),"",IF(L291&lt;&gt;"",L291,IF(COUNTIFS(Invoices!$C$6:$C$305,C291,Invoices!$E$6:$E$305,"&lt;="&amp;B291,Invoices!$F$6:$F$305,"&gt;="&amp;B291)=1,INDEX(Invoices!$B$6:$B$305,SUMIFS(Invoices!$O$6:$O$305,Invoices!$C$6:$C$305,C291,Invoices!$E$6:$E$305,"&lt;="&amp;B291,Invoices!$F$6:$F$305,"&gt;="&amp;B291)),IF(COUNTIFS(Invoices!$C$6:$C$305,C291,Invoices!$E$6:$E$305,"&lt;="&amp;B291,Invoices!$F$6:$F$305,"&gt;="&amp;B291)&gt;1,"Two invoices",""))))</f>
        <v/>
      </c>
      <c r="Q291" s="15">
        <f>IF(B291="","",IF(J291&lt;&gt;"","Not billable",IF(P291="","To invoice",IF(P291="Two invoices","Check dates",IF(ISNA(MATCH(P291,Invoices!$B$6:$B$305,0)),"Check number",IF(INDEX(Invoices!$M$6:$M$305,MATCH(P291,Invoices!$B$6:$B$305,0))="Paid","Paid",IF(INDEX(Invoices!$M$6:$M$305,MATCH(P291,Invoices!$B$6:$B$305,0))="Draft","Draft","Invoiced")))))))</f>
        <v/>
      </c>
      <c r="R291" s="1">
        <f>IF(AND(B291&lt;&gt;"",P291&lt;&gt;"",P291=Invoice!$G$4),B291+MOD(N(F291),1)+ROW()/10000000,"")</f>
        <v/>
      </c>
      <c r="S291">
        <f>IF(R291="","",IF(D291="","Other work",D291)&amp;IF(AND(K291&lt;&gt;"",E291&lt;&gt;""),", "&amp;E291,""))</f>
        <v/>
      </c>
      <c r="T291">
        <f>IF(R291="","",IF(COUNTIFS(R$6:R290,"&gt;0",S$6:S290,S291,N$6:N290,N291)=0,R291,""))</f>
        <v/>
      </c>
      <c r="U291">
        <f>IF(B291="","",IF(J291&lt;&gt;"",0,M291))</f>
        <v/>
      </c>
    </row>
    <row r="292">
      <c r="A292" s="1" t="n"/>
      <c r="B292" s="16" t="n"/>
      <c r="C292" s="17" t="n"/>
      <c r="D292" s="18" t="n"/>
      <c r="E292" s="18" t="n"/>
      <c r="F292" s="19" t="n"/>
      <c r="G292" s="19" t="n"/>
      <c r="H292" s="20" t="n"/>
      <c r="I292" s="21" t="n"/>
      <c r="J292" s="22" t="n"/>
      <c r="K292" s="23" t="n"/>
      <c r="L292" s="18" t="n"/>
      <c r="M292" s="24">
        <f>IF(B292="","",IF(AND(F292&lt;&gt;"",G292&lt;&gt;""),MAX(0,ROUND(MOD(G292-F292,1)*24-N(H292)/60,2)),N(I292)))</f>
        <v/>
      </c>
      <c r="N292" s="14">
        <f>IF(B292="","",IF(K292&lt;&gt;"",K292,IF(N(IFERROR(INDEX(Projects!$D$6:$D$65,MATCH(D292,Projects!$B$6:$B$65,0)),""))&gt;0,IFERROR(INDEX(Projects!$D$6:$D$65,MATCH(D292,Projects!$B$6:$B$65,0)),""),IFERROR(INDEX(Clients!$G$6:$G$45,MATCH(C292,Clients!$B$6:$B$45,0)),0))))</f>
        <v/>
      </c>
      <c r="O292" s="14">
        <f>IF(B292="","",IF(J292&lt;&gt;"",0,ROUND(M292*N292,2)))</f>
        <v/>
      </c>
      <c r="P292" s="15">
        <f>IF(OR(B292="",J292&lt;&gt;""),"",IF(L292&lt;&gt;"",L292,IF(COUNTIFS(Invoices!$C$6:$C$305,C292,Invoices!$E$6:$E$305,"&lt;="&amp;B292,Invoices!$F$6:$F$305,"&gt;="&amp;B292)=1,INDEX(Invoices!$B$6:$B$305,SUMIFS(Invoices!$O$6:$O$305,Invoices!$C$6:$C$305,C292,Invoices!$E$6:$E$305,"&lt;="&amp;B292,Invoices!$F$6:$F$305,"&gt;="&amp;B292)),IF(COUNTIFS(Invoices!$C$6:$C$305,C292,Invoices!$E$6:$E$305,"&lt;="&amp;B292,Invoices!$F$6:$F$305,"&gt;="&amp;B292)&gt;1,"Two invoices",""))))</f>
        <v/>
      </c>
      <c r="Q292" s="15">
        <f>IF(B292="","",IF(J292&lt;&gt;"","Not billable",IF(P292="","To invoice",IF(P292="Two invoices","Check dates",IF(ISNA(MATCH(P292,Invoices!$B$6:$B$305,0)),"Check number",IF(INDEX(Invoices!$M$6:$M$305,MATCH(P292,Invoices!$B$6:$B$305,0))="Paid","Paid",IF(INDEX(Invoices!$M$6:$M$305,MATCH(P292,Invoices!$B$6:$B$305,0))="Draft","Draft","Invoiced")))))))</f>
        <v/>
      </c>
      <c r="R292" s="1">
        <f>IF(AND(B292&lt;&gt;"",P292&lt;&gt;"",P292=Invoice!$G$4),B292+MOD(N(F292),1)+ROW()/10000000,"")</f>
        <v/>
      </c>
      <c r="S292">
        <f>IF(R292="","",IF(D292="","Other work",D292)&amp;IF(AND(K292&lt;&gt;"",E292&lt;&gt;""),", "&amp;E292,""))</f>
        <v/>
      </c>
      <c r="T292">
        <f>IF(R292="","",IF(COUNTIFS(R$6:R291,"&gt;0",S$6:S291,S292,N$6:N291,N292)=0,R292,""))</f>
        <v/>
      </c>
      <c r="U292">
        <f>IF(B292="","",IF(J292&lt;&gt;"",0,M292))</f>
        <v/>
      </c>
    </row>
    <row r="293">
      <c r="A293" s="1" t="n"/>
      <c r="B293" s="16" t="n"/>
      <c r="C293" s="17" t="n"/>
      <c r="D293" s="18" t="n"/>
      <c r="E293" s="18" t="n"/>
      <c r="F293" s="19" t="n"/>
      <c r="G293" s="19" t="n"/>
      <c r="H293" s="20" t="n"/>
      <c r="I293" s="21" t="n"/>
      <c r="J293" s="22" t="n"/>
      <c r="K293" s="23" t="n"/>
      <c r="L293" s="18" t="n"/>
      <c r="M293" s="24">
        <f>IF(B293="","",IF(AND(F293&lt;&gt;"",G293&lt;&gt;""),MAX(0,ROUND(MOD(G293-F293,1)*24-N(H293)/60,2)),N(I293)))</f>
        <v/>
      </c>
      <c r="N293" s="14">
        <f>IF(B293="","",IF(K293&lt;&gt;"",K293,IF(N(IFERROR(INDEX(Projects!$D$6:$D$65,MATCH(D293,Projects!$B$6:$B$65,0)),""))&gt;0,IFERROR(INDEX(Projects!$D$6:$D$65,MATCH(D293,Projects!$B$6:$B$65,0)),""),IFERROR(INDEX(Clients!$G$6:$G$45,MATCH(C293,Clients!$B$6:$B$45,0)),0))))</f>
        <v/>
      </c>
      <c r="O293" s="14">
        <f>IF(B293="","",IF(J293&lt;&gt;"",0,ROUND(M293*N293,2)))</f>
        <v/>
      </c>
      <c r="P293" s="15">
        <f>IF(OR(B293="",J293&lt;&gt;""),"",IF(L293&lt;&gt;"",L293,IF(COUNTIFS(Invoices!$C$6:$C$305,C293,Invoices!$E$6:$E$305,"&lt;="&amp;B293,Invoices!$F$6:$F$305,"&gt;="&amp;B293)=1,INDEX(Invoices!$B$6:$B$305,SUMIFS(Invoices!$O$6:$O$305,Invoices!$C$6:$C$305,C293,Invoices!$E$6:$E$305,"&lt;="&amp;B293,Invoices!$F$6:$F$305,"&gt;="&amp;B293)),IF(COUNTIFS(Invoices!$C$6:$C$305,C293,Invoices!$E$6:$E$305,"&lt;="&amp;B293,Invoices!$F$6:$F$305,"&gt;="&amp;B293)&gt;1,"Two invoices",""))))</f>
        <v/>
      </c>
      <c r="Q293" s="15">
        <f>IF(B293="","",IF(J293&lt;&gt;"","Not billable",IF(P293="","To invoice",IF(P293="Two invoices","Check dates",IF(ISNA(MATCH(P293,Invoices!$B$6:$B$305,0)),"Check number",IF(INDEX(Invoices!$M$6:$M$305,MATCH(P293,Invoices!$B$6:$B$305,0))="Paid","Paid",IF(INDEX(Invoices!$M$6:$M$305,MATCH(P293,Invoices!$B$6:$B$305,0))="Draft","Draft","Invoiced")))))))</f>
        <v/>
      </c>
      <c r="R293" s="1">
        <f>IF(AND(B293&lt;&gt;"",P293&lt;&gt;"",P293=Invoice!$G$4),B293+MOD(N(F293),1)+ROW()/10000000,"")</f>
        <v/>
      </c>
      <c r="S293">
        <f>IF(R293="","",IF(D293="","Other work",D293)&amp;IF(AND(K293&lt;&gt;"",E293&lt;&gt;""),", "&amp;E293,""))</f>
        <v/>
      </c>
      <c r="T293">
        <f>IF(R293="","",IF(COUNTIFS(R$6:R292,"&gt;0",S$6:S292,S293,N$6:N292,N293)=0,R293,""))</f>
        <v/>
      </c>
      <c r="U293">
        <f>IF(B293="","",IF(J293&lt;&gt;"",0,M293))</f>
        <v/>
      </c>
    </row>
    <row r="294">
      <c r="A294" s="1" t="n"/>
      <c r="B294" s="16" t="n"/>
      <c r="C294" s="17" t="n"/>
      <c r="D294" s="18" t="n"/>
      <c r="E294" s="18" t="n"/>
      <c r="F294" s="19" t="n"/>
      <c r="G294" s="19" t="n"/>
      <c r="H294" s="20" t="n"/>
      <c r="I294" s="21" t="n"/>
      <c r="J294" s="22" t="n"/>
      <c r="K294" s="23" t="n"/>
      <c r="L294" s="18" t="n"/>
      <c r="M294" s="24">
        <f>IF(B294="","",IF(AND(F294&lt;&gt;"",G294&lt;&gt;""),MAX(0,ROUND(MOD(G294-F294,1)*24-N(H294)/60,2)),N(I294)))</f>
        <v/>
      </c>
      <c r="N294" s="14">
        <f>IF(B294="","",IF(K294&lt;&gt;"",K294,IF(N(IFERROR(INDEX(Projects!$D$6:$D$65,MATCH(D294,Projects!$B$6:$B$65,0)),""))&gt;0,IFERROR(INDEX(Projects!$D$6:$D$65,MATCH(D294,Projects!$B$6:$B$65,0)),""),IFERROR(INDEX(Clients!$G$6:$G$45,MATCH(C294,Clients!$B$6:$B$45,0)),0))))</f>
        <v/>
      </c>
      <c r="O294" s="14">
        <f>IF(B294="","",IF(J294&lt;&gt;"",0,ROUND(M294*N294,2)))</f>
        <v/>
      </c>
      <c r="P294" s="15">
        <f>IF(OR(B294="",J294&lt;&gt;""),"",IF(L294&lt;&gt;"",L294,IF(COUNTIFS(Invoices!$C$6:$C$305,C294,Invoices!$E$6:$E$305,"&lt;="&amp;B294,Invoices!$F$6:$F$305,"&gt;="&amp;B294)=1,INDEX(Invoices!$B$6:$B$305,SUMIFS(Invoices!$O$6:$O$305,Invoices!$C$6:$C$305,C294,Invoices!$E$6:$E$305,"&lt;="&amp;B294,Invoices!$F$6:$F$305,"&gt;="&amp;B294)),IF(COUNTIFS(Invoices!$C$6:$C$305,C294,Invoices!$E$6:$E$305,"&lt;="&amp;B294,Invoices!$F$6:$F$305,"&gt;="&amp;B294)&gt;1,"Two invoices",""))))</f>
        <v/>
      </c>
      <c r="Q294" s="15">
        <f>IF(B294="","",IF(J294&lt;&gt;"","Not billable",IF(P294="","To invoice",IF(P294="Two invoices","Check dates",IF(ISNA(MATCH(P294,Invoices!$B$6:$B$305,0)),"Check number",IF(INDEX(Invoices!$M$6:$M$305,MATCH(P294,Invoices!$B$6:$B$305,0))="Paid","Paid",IF(INDEX(Invoices!$M$6:$M$305,MATCH(P294,Invoices!$B$6:$B$305,0))="Draft","Draft","Invoiced")))))))</f>
        <v/>
      </c>
      <c r="R294" s="1">
        <f>IF(AND(B294&lt;&gt;"",P294&lt;&gt;"",P294=Invoice!$G$4),B294+MOD(N(F294),1)+ROW()/10000000,"")</f>
        <v/>
      </c>
      <c r="S294">
        <f>IF(R294="","",IF(D294="","Other work",D294)&amp;IF(AND(K294&lt;&gt;"",E294&lt;&gt;""),", "&amp;E294,""))</f>
        <v/>
      </c>
      <c r="T294">
        <f>IF(R294="","",IF(COUNTIFS(R$6:R293,"&gt;0",S$6:S293,S294,N$6:N293,N294)=0,R294,""))</f>
        <v/>
      </c>
      <c r="U294">
        <f>IF(B294="","",IF(J294&lt;&gt;"",0,M294))</f>
        <v/>
      </c>
    </row>
    <row r="295">
      <c r="A295" s="1" t="n"/>
      <c r="B295" s="16" t="n"/>
      <c r="C295" s="17" t="n"/>
      <c r="D295" s="18" t="n"/>
      <c r="E295" s="18" t="n"/>
      <c r="F295" s="19" t="n"/>
      <c r="G295" s="19" t="n"/>
      <c r="H295" s="20" t="n"/>
      <c r="I295" s="21" t="n"/>
      <c r="J295" s="22" t="n"/>
      <c r="K295" s="23" t="n"/>
      <c r="L295" s="18" t="n"/>
      <c r="M295" s="24">
        <f>IF(B295="","",IF(AND(F295&lt;&gt;"",G295&lt;&gt;""),MAX(0,ROUND(MOD(G295-F295,1)*24-N(H295)/60,2)),N(I295)))</f>
        <v/>
      </c>
      <c r="N295" s="14">
        <f>IF(B295="","",IF(K295&lt;&gt;"",K295,IF(N(IFERROR(INDEX(Projects!$D$6:$D$65,MATCH(D295,Projects!$B$6:$B$65,0)),""))&gt;0,IFERROR(INDEX(Projects!$D$6:$D$65,MATCH(D295,Projects!$B$6:$B$65,0)),""),IFERROR(INDEX(Clients!$G$6:$G$45,MATCH(C295,Clients!$B$6:$B$45,0)),0))))</f>
        <v/>
      </c>
      <c r="O295" s="14">
        <f>IF(B295="","",IF(J295&lt;&gt;"",0,ROUND(M295*N295,2)))</f>
        <v/>
      </c>
      <c r="P295" s="15">
        <f>IF(OR(B295="",J295&lt;&gt;""),"",IF(L295&lt;&gt;"",L295,IF(COUNTIFS(Invoices!$C$6:$C$305,C295,Invoices!$E$6:$E$305,"&lt;="&amp;B295,Invoices!$F$6:$F$305,"&gt;="&amp;B295)=1,INDEX(Invoices!$B$6:$B$305,SUMIFS(Invoices!$O$6:$O$305,Invoices!$C$6:$C$305,C295,Invoices!$E$6:$E$305,"&lt;="&amp;B295,Invoices!$F$6:$F$305,"&gt;="&amp;B295)),IF(COUNTIFS(Invoices!$C$6:$C$305,C295,Invoices!$E$6:$E$305,"&lt;="&amp;B295,Invoices!$F$6:$F$305,"&gt;="&amp;B295)&gt;1,"Two invoices",""))))</f>
        <v/>
      </c>
      <c r="Q295" s="15">
        <f>IF(B295="","",IF(J295&lt;&gt;"","Not billable",IF(P295="","To invoice",IF(P295="Two invoices","Check dates",IF(ISNA(MATCH(P295,Invoices!$B$6:$B$305,0)),"Check number",IF(INDEX(Invoices!$M$6:$M$305,MATCH(P295,Invoices!$B$6:$B$305,0))="Paid","Paid",IF(INDEX(Invoices!$M$6:$M$305,MATCH(P295,Invoices!$B$6:$B$305,0))="Draft","Draft","Invoiced")))))))</f>
        <v/>
      </c>
      <c r="R295" s="1">
        <f>IF(AND(B295&lt;&gt;"",P295&lt;&gt;"",P295=Invoice!$G$4),B295+MOD(N(F295),1)+ROW()/10000000,"")</f>
        <v/>
      </c>
      <c r="S295">
        <f>IF(R295="","",IF(D295="","Other work",D295)&amp;IF(AND(K295&lt;&gt;"",E295&lt;&gt;""),", "&amp;E295,""))</f>
        <v/>
      </c>
      <c r="T295">
        <f>IF(R295="","",IF(COUNTIFS(R$6:R294,"&gt;0",S$6:S294,S295,N$6:N294,N295)=0,R295,""))</f>
        <v/>
      </c>
      <c r="U295">
        <f>IF(B295="","",IF(J295&lt;&gt;"",0,M295))</f>
        <v/>
      </c>
    </row>
    <row r="296">
      <c r="A296" s="1" t="n"/>
      <c r="B296" s="16" t="n"/>
      <c r="C296" s="17" t="n"/>
      <c r="D296" s="18" t="n"/>
      <c r="E296" s="18" t="n"/>
      <c r="F296" s="19" t="n"/>
      <c r="G296" s="19" t="n"/>
      <c r="H296" s="20" t="n"/>
      <c r="I296" s="21" t="n"/>
      <c r="J296" s="22" t="n"/>
      <c r="K296" s="23" t="n"/>
      <c r="L296" s="18" t="n"/>
      <c r="M296" s="24">
        <f>IF(B296="","",IF(AND(F296&lt;&gt;"",G296&lt;&gt;""),MAX(0,ROUND(MOD(G296-F296,1)*24-N(H296)/60,2)),N(I296)))</f>
        <v/>
      </c>
      <c r="N296" s="14">
        <f>IF(B296="","",IF(K296&lt;&gt;"",K296,IF(N(IFERROR(INDEX(Projects!$D$6:$D$65,MATCH(D296,Projects!$B$6:$B$65,0)),""))&gt;0,IFERROR(INDEX(Projects!$D$6:$D$65,MATCH(D296,Projects!$B$6:$B$65,0)),""),IFERROR(INDEX(Clients!$G$6:$G$45,MATCH(C296,Clients!$B$6:$B$45,0)),0))))</f>
        <v/>
      </c>
      <c r="O296" s="14">
        <f>IF(B296="","",IF(J296&lt;&gt;"",0,ROUND(M296*N296,2)))</f>
        <v/>
      </c>
      <c r="P296" s="15">
        <f>IF(OR(B296="",J296&lt;&gt;""),"",IF(L296&lt;&gt;"",L296,IF(COUNTIFS(Invoices!$C$6:$C$305,C296,Invoices!$E$6:$E$305,"&lt;="&amp;B296,Invoices!$F$6:$F$305,"&gt;="&amp;B296)=1,INDEX(Invoices!$B$6:$B$305,SUMIFS(Invoices!$O$6:$O$305,Invoices!$C$6:$C$305,C296,Invoices!$E$6:$E$305,"&lt;="&amp;B296,Invoices!$F$6:$F$305,"&gt;="&amp;B296)),IF(COUNTIFS(Invoices!$C$6:$C$305,C296,Invoices!$E$6:$E$305,"&lt;="&amp;B296,Invoices!$F$6:$F$305,"&gt;="&amp;B296)&gt;1,"Two invoices",""))))</f>
        <v/>
      </c>
      <c r="Q296" s="15">
        <f>IF(B296="","",IF(J296&lt;&gt;"","Not billable",IF(P296="","To invoice",IF(P296="Two invoices","Check dates",IF(ISNA(MATCH(P296,Invoices!$B$6:$B$305,0)),"Check number",IF(INDEX(Invoices!$M$6:$M$305,MATCH(P296,Invoices!$B$6:$B$305,0))="Paid","Paid",IF(INDEX(Invoices!$M$6:$M$305,MATCH(P296,Invoices!$B$6:$B$305,0))="Draft","Draft","Invoiced")))))))</f>
        <v/>
      </c>
      <c r="R296" s="1">
        <f>IF(AND(B296&lt;&gt;"",P296&lt;&gt;"",P296=Invoice!$G$4),B296+MOD(N(F296),1)+ROW()/10000000,"")</f>
        <v/>
      </c>
      <c r="S296">
        <f>IF(R296="","",IF(D296="","Other work",D296)&amp;IF(AND(K296&lt;&gt;"",E296&lt;&gt;""),", "&amp;E296,""))</f>
        <v/>
      </c>
      <c r="T296">
        <f>IF(R296="","",IF(COUNTIFS(R$6:R295,"&gt;0",S$6:S295,S296,N$6:N295,N296)=0,R296,""))</f>
        <v/>
      </c>
      <c r="U296">
        <f>IF(B296="","",IF(J296&lt;&gt;"",0,M296))</f>
        <v/>
      </c>
    </row>
    <row r="297">
      <c r="A297" s="1" t="n"/>
      <c r="B297" s="16" t="n"/>
      <c r="C297" s="17" t="n"/>
      <c r="D297" s="18" t="n"/>
      <c r="E297" s="18" t="n"/>
      <c r="F297" s="19" t="n"/>
      <c r="G297" s="19" t="n"/>
      <c r="H297" s="20" t="n"/>
      <c r="I297" s="21" t="n"/>
      <c r="J297" s="22" t="n"/>
      <c r="K297" s="23" t="n"/>
      <c r="L297" s="18" t="n"/>
      <c r="M297" s="24">
        <f>IF(B297="","",IF(AND(F297&lt;&gt;"",G297&lt;&gt;""),MAX(0,ROUND(MOD(G297-F297,1)*24-N(H297)/60,2)),N(I297)))</f>
        <v/>
      </c>
      <c r="N297" s="14">
        <f>IF(B297="","",IF(K297&lt;&gt;"",K297,IF(N(IFERROR(INDEX(Projects!$D$6:$D$65,MATCH(D297,Projects!$B$6:$B$65,0)),""))&gt;0,IFERROR(INDEX(Projects!$D$6:$D$65,MATCH(D297,Projects!$B$6:$B$65,0)),""),IFERROR(INDEX(Clients!$G$6:$G$45,MATCH(C297,Clients!$B$6:$B$45,0)),0))))</f>
        <v/>
      </c>
      <c r="O297" s="14">
        <f>IF(B297="","",IF(J297&lt;&gt;"",0,ROUND(M297*N297,2)))</f>
        <v/>
      </c>
      <c r="P297" s="15">
        <f>IF(OR(B297="",J297&lt;&gt;""),"",IF(L297&lt;&gt;"",L297,IF(COUNTIFS(Invoices!$C$6:$C$305,C297,Invoices!$E$6:$E$305,"&lt;="&amp;B297,Invoices!$F$6:$F$305,"&gt;="&amp;B297)=1,INDEX(Invoices!$B$6:$B$305,SUMIFS(Invoices!$O$6:$O$305,Invoices!$C$6:$C$305,C297,Invoices!$E$6:$E$305,"&lt;="&amp;B297,Invoices!$F$6:$F$305,"&gt;="&amp;B297)),IF(COUNTIFS(Invoices!$C$6:$C$305,C297,Invoices!$E$6:$E$305,"&lt;="&amp;B297,Invoices!$F$6:$F$305,"&gt;="&amp;B297)&gt;1,"Two invoices",""))))</f>
        <v/>
      </c>
      <c r="Q297" s="15">
        <f>IF(B297="","",IF(J297&lt;&gt;"","Not billable",IF(P297="","To invoice",IF(P297="Two invoices","Check dates",IF(ISNA(MATCH(P297,Invoices!$B$6:$B$305,0)),"Check number",IF(INDEX(Invoices!$M$6:$M$305,MATCH(P297,Invoices!$B$6:$B$305,0))="Paid","Paid",IF(INDEX(Invoices!$M$6:$M$305,MATCH(P297,Invoices!$B$6:$B$305,0))="Draft","Draft","Invoiced")))))))</f>
        <v/>
      </c>
      <c r="R297" s="1">
        <f>IF(AND(B297&lt;&gt;"",P297&lt;&gt;"",P297=Invoice!$G$4),B297+MOD(N(F297),1)+ROW()/10000000,"")</f>
        <v/>
      </c>
      <c r="S297">
        <f>IF(R297="","",IF(D297="","Other work",D297)&amp;IF(AND(K297&lt;&gt;"",E297&lt;&gt;""),", "&amp;E297,""))</f>
        <v/>
      </c>
      <c r="T297">
        <f>IF(R297="","",IF(COUNTIFS(R$6:R296,"&gt;0",S$6:S296,S297,N$6:N296,N297)=0,R297,""))</f>
        <v/>
      </c>
      <c r="U297">
        <f>IF(B297="","",IF(J297&lt;&gt;"",0,M297))</f>
        <v/>
      </c>
    </row>
    <row r="298">
      <c r="A298" s="1" t="n"/>
      <c r="B298" s="16" t="n"/>
      <c r="C298" s="17" t="n"/>
      <c r="D298" s="18" t="n"/>
      <c r="E298" s="18" t="n"/>
      <c r="F298" s="19" t="n"/>
      <c r="G298" s="19" t="n"/>
      <c r="H298" s="20" t="n"/>
      <c r="I298" s="21" t="n"/>
      <c r="J298" s="22" t="n"/>
      <c r="K298" s="23" t="n"/>
      <c r="L298" s="18" t="n"/>
      <c r="M298" s="24">
        <f>IF(B298="","",IF(AND(F298&lt;&gt;"",G298&lt;&gt;""),MAX(0,ROUND(MOD(G298-F298,1)*24-N(H298)/60,2)),N(I298)))</f>
        <v/>
      </c>
      <c r="N298" s="14">
        <f>IF(B298="","",IF(K298&lt;&gt;"",K298,IF(N(IFERROR(INDEX(Projects!$D$6:$D$65,MATCH(D298,Projects!$B$6:$B$65,0)),""))&gt;0,IFERROR(INDEX(Projects!$D$6:$D$65,MATCH(D298,Projects!$B$6:$B$65,0)),""),IFERROR(INDEX(Clients!$G$6:$G$45,MATCH(C298,Clients!$B$6:$B$45,0)),0))))</f>
        <v/>
      </c>
      <c r="O298" s="14">
        <f>IF(B298="","",IF(J298&lt;&gt;"",0,ROUND(M298*N298,2)))</f>
        <v/>
      </c>
      <c r="P298" s="15">
        <f>IF(OR(B298="",J298&lt;&gt;""),"",IF(L298&lt;&gt;"",L298,IF(COUNTIFS(Invoices!$C$6:$C$305,C298,Invoices!$E$6:$E$305,"&lt;="&amp;B298,Invoices!$F$6:$F$305,"&gt;="&amp;B298)=1,INDEX(Invoices!$B$6:$B$305,SUMIFS(Invoices!$O$6:$O$305,Invoices!$C$6:$C$305,C298,Invoices!$E$6:$E$305,"&lt;="&amp;B298,Invoices!$F$6:$F$305,"&gt;="&amp;B298)),IF(COUNTIFS(Invoices!$C$6:$C$305,C298,Invoices!$E$6:$E$305,"&lt;="&amp;B298,Invoices!$F$6:$F$305,"&gt;="&amp;B298)&gt;1,"Two invoices",""))))</f>
        <v/>
      </c>
      <c r="Q298" s="15">
        <f>IF(B298="","",IF(J298&lt;&gt;"","Not billable",IF(P298="","To invoice",IF(P298="Two invoices","Check dates",IF(ISNA(MATCH(P298,Invoices!$B$6:$B$305,0)),"Check number",IF(INDEX(Invoices!$M$6:$M$305,MATCH(P298,Invoices!$B$6:$B$305,0))="Paid","Paid",IF(INDEX(Invoices!$M$6:$M$305,MATCH(P298,Invoices!$B$6:$B$305,0))="Draft","Draft","Invoiced")))))))</f>
        <v/>
      </c>
      <c r="R298" s="1">
        <f>IF(AND(B298&lt;&gt;"",P298&lt;&gt;"",P298=Invoice!$G$4),B298+MOD(N(F298),1)+ROW()/10000000,"")</f>
        <v/>
      </c>
      <c r="S298">
        <f>IF(R298="","",IF(D298="","Other work",D298)&amp;IF(AND(K298&lt;&gt;"",E298&lt;&gt;""),", "&amp;E298,""))</f>
        <v/>
      </c>
      <c r="T298">
        <f>IF(R298="","",IF(COUNTIFS(R$6:R297,"&gt;0",S$6:S297,S298,N$6:N297,N298)=0,R298,""))</f>
        <v/>
      </c>
      <c r="U298">
        <f>IF(B298="","",IF(J298&lt;&gt;"",0,M298))</f>
        <v/>
      </c>
    </row>
    <row r="299">
      <c r="A299" s="1" t="n"/>
      <c r="B299" s="16" t="n"/>
      <c r="C299" s="17" t="n"/>
      <c r="D299" s="18" t="n"/>
      <c r="E299" s="18" t="n"/>
      <c r="F299" s="19" t="n"/>
      <c r="G299" s="19" t="n"/>
      <c r="H299" s="20" t="n"/>
      <c r="I299" s="21" t="n"/>
      <c r="J299" s="22" t="n"/>
      <c r="K299" s="23" t="n"/>
      <c r="L299" s="18" t="n"/>
      <c r="M299" s="24">
        <f>IF(B299="","",IF(AND(F299&lt;&gt;"",G299&lt;&gt;""),MAX(0,ROUND(MOD(G299-F299,1)*24-N(H299)/60,2)),N(I299)))</f>
        <v/>
      </c>
      <c r="N299" s="14">
        <f>IF(B299="","",IF(K299&lt;&gt;"",K299,IF(N(IFERROR(INDEX(Projects!$D$6:$D$65,MATCH(D299,Projects!$B$6:$B$65,0)),""))&gt;0,IFERROR(INDEX(Projects!$D$6:$D$65,MATCH(D299,Projects!$B$6:$B$65,0)),""),IFERROR(INDEX(Clients!$G$6:$G$45,MATCH(C299,Clients!$B$6:$B$45,0)),0))))</f>
        <v/>
      </c>
      <c r="O299" s="14">
        <f>IF(B299="","",IF(J299&lt;&gt;"",0,ROUND(M299*N299,2)))</f>
        <v/>
      </c>
      <c r="P299" s="15">
        <f>IF(OR(B299="",J299&lt;&gt;""),"",IF(L299&lt;&gt;"",L299,IF(COUNTIFS(Invoices!$C$6:$C$305,C299,Invoices!$E$6:$E$305,"&lt;="&amp;B299,Invoices!$F$6:$F$305,"&gt;="&amp;B299)=1,INDEX(Invoices!$B$6:$B$305,SUMIFS(Invoices!$O$6:$O$305,Invoices!$C$6:$C$305,C299,Invoices!$E$6:$E$305,"&lt;="&amp;B299,Invoices!$F$6:$F$305,"&gt;="&amp;B299)),IF(COUNTIFS(Invoices!$C$6:$C$305,C299,Invoices!$E$6:$E$305,"&lt;="&amp;B299,Invoices!$F$6:$F$305,"&gt;="&amp;B299)&gt;1,"Two invoices",""))))</f>
        <v/>
      </c>
      <c r="Q299" s="15">
        <f>IF(B299="","",IF(J299&lt;&gt;"","Not billable",IF(P299="","To invoice",IF(P299="Two invoices","Check dates",IF(ISNA(MATCH(P299,Invoices!$B$6:$B$305,0)),"Check number",IF(INDEX(Invoices!$M$6:$M$305,MATCH(P299,Invoices!$B$6:$B$305,0))="Paid","Paid",IF(INDEX(Invoices!$M$6:$M$305,MATCH(P299,Invoices!$B$6:$B$305,0))="Draft","Draft","Invoiced")))))))</f>
        <v/>
      </c>
      <c r="R299" s="1">
        <f>IF(AND(B299&lt;&gt;"",P299&lt;&gt;"",P299=Invoice!$G$4),B299+MOD(N(F299),1)+ROW()/10000000,"")</f>
        <v/>
      </c>
      <c r="S299">
        <f>IF(R299="","",IF(D299="","Other work",D299)&amp;IF(AND(K299&lt;&gt;"",E299&lt;&gt;""),", "&amp;E299,""))</f>
        <v/>
      </c>
      <c r="T299">
        <f>IF(R299="","",IF(COUNTIFS(R$6:R298,"&gt;0",S$6:S298,S299,N$6:N298,N299)=0,R299,""))</f>
        <v/>
      </c>
      <c r="U299">
        <f>IF(B299="","",IF(J299&lt;&gt;"",0,M299))</f>
        <v/>
      </c>
    </row>
    <row r="300">
      <c r="A300" s="1" t="n"/>
      <c r="B300" s="16" t="n"/>
      <c r="C300" s="17" t="n"/>
      <c r="D300" s="18" t="n"/>
      <c r="E300" s="18" t="n"/>
      <c r="F300" s="19" t="n"/>
      <c r="G300" s="19" t="n"/>
      <c r="H300" s="20" t="n"/>
      <c r="I300" s="21" t="n"/>
      <c r="J300" s="22" t="n"/>
      <c r="K300" s="23" t="n"/>
      <c r="L300" s="18" t="n"/>
      <c r="M300" s="24">
        <f>IF(B300="","",IF(AND(F300&lt;&gt;"",G300&lt;&gt;""),MAX(0,ROUND(MOD(G300-F300,1)*24-N(H300)/60,2)),N(I300)))</f>
        <v/>
      </c>
      <c r="N300" s="14">
        <f>IF(B300="","",IF(K300&lt;&gt;"",K300,IF(N(IFERROR(INDEX(Projects!$D$6:$D$65,MATCH(D300,Projects!$B$6:$B$65,0)),""))&gt;0,IFERROR(INDEX(Projects!$D$6:$D$65,MATCH(D300,Projects!$B$6:$B$65,0)),""),IFERROR(INDEX(Clients!$G$6:$G$45,MATCH(C300,Clients!$B$6:$B$45,0)),0))))</f>
        <v/>
      </c>
      <c r="O300" s="14">
        <f>IF(B300="","",IF(J300&lt;&gt;"",0,ROUND(M300*N300,2)))</f>
        <v/>
      </c>
      <c r="P300" s="15">
        <f>IF(OR(B300="",J300&lt;&gt;""),"",IF(L300&lt;&gt;"",L300,IF(COUNTIFS(Invoices!$C$6:$C$305,C300,Invoices!$E$6:$E$305,"&lt;="&amp;B300,Invoices!$F$6:$F$305,"&gt;="&amp;B300)=1,INDEX(Invoices!$B$6:$B$305,SUMIFS(Invoices!$O$6:$O$305,Invoices!$C$6:$C$305,C300,Invoices!$E$6:$E$305,"&lt;="&amp;B300,Invoices!$F$6:$F$305,"&gt;="&amp;B300)),IF(COUNTIFS(Invoices!$C$6:$C$305,C300,Invoices!$E$6:$E$305,"&lt;="&amp;B300,Invoices!$F$6:$F$305,"&gt;="&amp;B300)&gt;1,"Two invoices",""))))</f>
        <v/>
      </c>
      <c r="Q300" s="15">
        <f>IF(B300="","",IF(J300&lt;&gt;"","Not billable",IF(P300="","To invoice",IF(P300="Two invoices","Check dates",IF(ISNA(MATCH(P300,Invoices!$B$6:$B$305,0)),"Check number",IF(INDEX(Invoices!$M$6:$M$305,MATCH(P300,Invoices!$B$6:$B$305,0))="Paid","Paid",IF(INDEX(Invoices!$M$6:$M$305,MATCH(P300,Invoices!$B$6:$B$305,0))="Draft","Draft","Invoiced")))))))</f>
        <v/>
      </c>
      <c r="R300" s="1">
        <f>IF(AND(B300&lt;&gt;"",P300&lt;&gt;"",P300=Invoice!$G$4),B300+MOD(N(F300),1)+ROW()/10000000,"")</f>
        <v/>
      </c>
      <c r="S300">
        <f>IF(R300="","",IF(D300="","Other work",D300)&amp;IF(AND(K300&lt;&gt;"",E300&lt;&gt;""),", "&amp;E300,""))</f>
        <v/>
      </c>
      <c r="T300">
        <f>IF(R300="","",IF(COUNTIFS(R$6:R299,"&gt;0",S$6:S299,S300,N$6:N299,N300)=0,R300,""))</f>
        <v/>
      </c>
      <c r="U300">
        <f>IF(B300="","",IF(J300&lt;&gt;"",0,M300))</f>
        <v/>
      </c>
    </row>
    <row r="301">
      <c r="A301" s="1" t="n"/>
      <c r="B301" s="16" t="n"/>
      <c r="C301" s="17" t="n"/>
      <c r="D301" s="18" t="n"/>
      <c r="E301" s="18" t="n"/>
      <c r="F301" s="19" t="n"/>
      <c r="G301" s="19" t="n"/>
      <c r="H301" s="20" t="n"/>
      <c r="I301" s="21" t="n"/>
      <c r="J301" s="22" t="n"/>
      <c r="K301" s="23" t="n"/>
      <c r="L301" s="18" t="n"/>
      <c r="M301" s="24">
        <f>IF(B301="","",IF(AND(F301&lt;&gt;"",G301&lt;&gt;""),MAX(0,ROUND(MOD(G301-F301,1)*24-N(H301)/60,2)),N(I301)))</f>
        <v/>
      </c>
      <c r="N301" s="14">
        <f>IF(B301="","",IF(K301&lt;&gt;"",K301,IF(N(IFERROR(INDEX(Projects!$D$6:$D$65,MATCH(D301,Projects!$B$6:$B$65,0)),""))&gt;0,IFERROR(INDEX(Projects!$D$6:$D$65,MATCH(D301,Projects!$B$6:$B$65,0)),""),IFERROR(INDEX(Clients!$G$6:$G$45,MATCH(C301,Clients!$B$6:$B$45,0)),0))))</f>
        <v/>
      </c>
      <c r="O301" s="14">
        <f>IF(B301="","",IF(J301&lt;&gt;"",0,ROUND(M301*N301,2)))</f>
        <v/>
      </c>
      <c r="P301" s="15">
        <f>IF(OR(B301="",J301&lt;&gt;""),"",IF(L301&lt;&gt;"",L301,IF(COUNTIFS(Invoices!$C$6:$C$305,C301,Invoices!$E$6:$E$305,"&lt;="&amp;B301,Invoices!$F$6:$F$305,"&gt;="&amp;B301)=1,INDEX(Invoices!$B$6:$B$305,SUMIFS(Invoices!$O$6:$O$305,Invoices!$C$6:$C$305,C301,Invoices!$E$6:$E$305,"&lt;="&amp;B301,Invoices!$F$6:$F$305,"&gt;="&amp;B301)),IF(COUNTIFS(Invoices!$C$6:$C$305,C301,Invoices!$E$6:$E$305,"&lt;="&amp;B301,Invoices!$F$6:$F$305,"&gt;="&amp;B301)&gt;1,"Two invoices",""))))</f>
        <v/>
      </c>
      <c r="Q301" s="15">
        <f>IF(B301="","",IF(J301&lt;&gt;"","Not billable",IF(P301="","To invoice",IF(P301="Two invoices","Check dates",IF(ISNA(MATCH(P301,Invoices!$B$6:$B$305,0)),"Check number",IF(INDEX(Invoices!$M$6:$M$305,MATCH(P301,Invoices!$B$6:$B$305,0))="Paid","Paid",IF(INDEX(Invoices!$M$6:$M$305,MATCH(P301,Invoices!$B$6:$B$305,0))="Draft","Draft","Invoiced")))))))</f>
        <v/>
      </c>
      <c r="R301" s="1">
        <f>IF(AND(B301&lt;&gt;"",P301&lt;&gt;"",P301=Invoice!$G$4),B301+MOD(N(F301),1)+ROW()/10000000,"")</f>
        <v/>
      </c>
      <c r="S301">
        <f>IF(R301="","",IF(D301="","Other work",D301)&amp;IF(AND(K301&lt;&gt;"",E301&lt;&gt;""),", "&amp;E301,""))</f>
        <v/>
      </c>
      <c r="T301">
        <f>IF(R301="","",IF(COUNTIFS(R$6:R300,"&gt;0",S$6:S300,S301,N$6:N300,N301)=0,R301,""))</f>
        <v/>
      </c>
      <c r="U301">
        <f>IF(B301="","",IF(J301&lt;&gt;"",0,M301))</f>
        <v/>
      </c>
    </row>
    <row r="302">
      <c r="A302" s="1" t="n"/>
      <c r="B302" s="16" t="n"/>
      <c r="C302" s="17" t="n"/>
      <c r="D302" s="18" t="n"/>
      <c r="E302" s="18" t="n"/>
      <c r="F302" s="19" t="n"/>
      <c r="G302" s="19" t="n"/>
      <c r="H302" s="20" t="n"/>
      <c r="I302" s="21" t="n"/>
      <c r="J302" s="22" t="n"/>
      <c r="K302" s="23" t="n"/>
      <c r="L302" s="18" t="n"/>
      <c r="M302" s="24">
        <f>IF(B302="","",IF(AND(F302&lt;&gt;"",G302&lt;&gt;""),MAX(0,ROUND(MOD(G302-F302,1)*24-N(H302)/60,2)),N(I302)))</f>
        <v/>
      </c>
      <c r="N302" s="14">
        <f>IF(B302="","",IF(K302&lt;&gt;"",K302,IF(N(IFERROR(INDEX(Projects!$D$6:$D$65,MATCH(D302,Projects!$B$6:$B$65,0)),""))&gt;0,IFERROR(INDEX(Projects!$D$6:$D$65,MATCH(D302,Projects!$B$6:$B$65,0)),""),IFERROR(INDEX(Clients!$G$6:$G$45,MATCH(C302,Clients!$B$6:$B$45,0)),0))))</f>
        <v/>
      </c>
      <c r="O302" s="14">
        <f>IF(B302="","",IF(J302&lt;&gt;"",0,ROUND(M302*N302,2)))</f>
        <v/>
      </c>
      <c r="P302" s="15">
        <f>IF(OR(B302="",J302&lt;&gt;""),"",IF(L302&lt;&gt;"",L302,IF(COUNTIFS(Invoices!$C$6:$C$305,C302,Invoices!$E$6:$E$305,"&lt;="&amp;B302,Invoices!$F$6:$F$305,"&gt;="&amp;B302)=1,INDEX(Invoices!$B$6:$B$305,SUMIFS(Invoices!$O$6:$O$305,Invoices!$C$6:$C$305,C302,Invoices!$E$6:$E$305,"&lt;="&amp;B302,Invoices!$F$6:$F$305,"&gt;="&amp;B302)),IF(COUNTIFS(Invoices!$C$6:$C$305,C302,Invoices!$E$6:$E$305,"&lt;="&amp;B302,Invoices!$F$6:$F$305,"&gt;="&amp;B302)&gt;1,"Two invoices",""))))</f>
        <v/>
      </c>
      <c r="Q302" s="15">
        <f>IF(B302="","",IF(J302&lt;&gt;"","Not billable",IF(P302="","To invoice",IF(P302="Two invoices","Check dates",IF(ISNA(MATCH(P302,Invoices!$B$6:$B$305,0)),"Check number",IF(INDEX(Invoices!$M$6:$M$305,MATCH(P302,Invoices!$B$6:$B$305,0))="Paid","Paid",IF(INDEX(Invoices!$M$6:$M$305,MATCH(P302,Invoices!$B$6:$B$305,0))="Draft","Draft","Invoiced")))))))</f>
        <v/>
      </c>
      <c r="R302" s="1">
        <f>IF(AND(B302&lt;&gt;"",P302&lt;&gt;"",P302=Invoice!$G$4),B302+MOD(N(F302),1)+ROW()/10000000,"")</f>
        <v/>
      </c>
      <c r="S302">
        <f>IF(R302="","",IF(D302="","Other work",D302)&amp;IF(AND(K302&lt;&gt;"",E302&lt;&gt;""),", "&amp;E302,""))</f>
        <v/>
      </c>
      <c r="T302">
        <f>IF(R302="","",IF(COUNTIFS(R$6:R301,"&gt;0",S$6:S301,S302,N$6:N301,N302)=0,R302,""))</f>
        <v/>
      </c>
      <c r="U302">
        <f>IF(B302="","",IF(J302&lt;&gt;"",0,M302))</f>
        <v/>
      </c>
    </row>
    <row r="303">
      <c r="A303" s="1" t="n"/>
      <c r="B303" s="16" t="n"/>
      <c r="C303" s="17" t="n"/>
      <c r="D303" s="18" t="n"/>
      <c r="E303" s="18" t="n"/>
      <c r="F303" s="19" t="n"/>
      <c r="G303" s="19" t="n"/>
      <c r="H303" s="20" t="n"/>
      <c r="I303" s="21" t="n"/>
      <c r="J303" s="22" t="n"/>
      <c r="K303" s="23" t="n"/>
      <c r="L303" s="18" t="n"/>
      <c r="M303" s="24">
        <f>IF(B303="","",IF(AND(F303&lt;&gt;"",G303&lt;&gt;""),MAX(0,ROUND(MOD(G303-F303,1)*24-N(H303)/60,2)),N(I303)))</f>
        <v/>
      </c>
      <c r="N303" s="14">
        <f>IF(B303="","",IF(K303&lt;&gt;"",K303,IF(N(IFERROR(INDEX(Projects!$D$6:$D$65,MATCH(D303,Projects!$B$6:$B$65,0)),""))&gt;0,IFERROR(INDEX(Projects!$D$6:$D$65,MATCH(D303,Projects!$B$6:$B$65,0)),""),IFERROR(INDEX(Clients!$G$6:$G$45,MATCH(C303,Clients!$B$6:$B$45,0)),0))))</f>
        <v/>
      </c>
      <c r="O303" s="14">
        <f>IF(B303="","",IF(J303&lt;&gt;"",0,ROUND(M303*N303,2)))</f>
        <v/>
      </c>
      <c r="P303" s="15">
        <f>IF(OR(B303="",J303&lt;&gt;""),"",IF(L303&lt;&gt;"",L303,IF(COUNTIFS(Invoices!$C$6:$C$305,C303,Invoices!$E$6:$E$305,"&lt;="&amp;B303,Invoices!$F$6:$F$305,"&gt;="&amp;B303)=1,INDEX(Invoices!$B$6:$B$305,SUMIFS(Invoices!$O$6:$O$305,Invoices!$C$6:$C$305,C303,Invoices!$E$6:$E$305,"&lt;="&amp;B303,Invoices!$F$6:$F$305,"&gt;="&amp;B303)),IF(COUNTIFS(Invoices!$C$6:$C$305,C303,Invoices!$E$6:$E$305,"&lt;="&amp;B303,Invoices!$F$6:$F$305,"&gt;="&amp;B303)&gt;1,"Two invoices",""))))</f>
        <v/>
      </c>
      <c r="Q303" s="15">
        <f>IF(B303="","",IF(J303&lt;&gt;"","Not billable",IF(P303="","To invoice",IF(P303="Two invoices","Check dates",IF(ISNA(MATCH(P303,Invoices!$B$6:$B$305,0)),"Check number",IF(INDEX(Invoices!$M$6:$M$305,MATCH(P303,Invoices!$B$6:$B$305,0))="Paid","Paid",IF(INDEX(Invoices!$M$6:$M$305,MATCH(P303,Invoices!$B$6:$B$305,0))="Draft","Draft","Invoiced")))))))</f>
        <v/>
      </c>
      <c r="R303" s="1">
        <f>IF(AND(B303&lt;&gt;"",P303&lt;&gt;"",P303=Invoice!$G$4),B303+MOD(N(F303),1)+ROW()/10000000,"")</f>
        <v/>
      </c>
      <c r="S303">
        <f>IF(R303="","",IF(D303="","Other work",D303)&amp;IF(AND(K303&lt;&gt;"",E303&lt;&gt;""),", "&amp;E303,""))</f>
        <v/>
      </c>
      <c r="T303">
        <f>IF(R303="","",IF(COUNTIFS(R$6:R302,"&gt;0",S$6:S302,S303,N$6:N302,N303)=0,R303,""))</f>
        <v/>
      </c>
      <c r="U303">
        <f>IF(B303="","",IF(J303&lt;&gt;"",0,M303))</f>
        <v/>
      </c>
    </row>
    <row r="304">
      <c r="A304" s="1" t="n"/>
      <c r="B304" s="16" t="n"/>
      <c r="C304" s="17" t="n"/>
      <c r="D304" s="18" t="n"/>
      <c r="E304" s="18" t="n"/>
      <c r="F304" s="19" t="n"/>
      <c r="G304" s="19" t="n"/>
      <c r="H304" s="20" t="n"/>
      <c r="I304" s="21" t="n"/>
      <c r="J304" s="22" t="n"/>
      <c r="K304" s="23" t="n"/>
      <c r="L304" s="18" t="n"/>
      <c r="M304" s="24">
        <f>IF(B304="","",IF(AND(F304&lt;&gt;"",G304&lt;&gt;""),MAX(0,ROUND(MOD(G304-F304,1)*24-N(H304)/60,2)),N(I304)))</f>
        <v/>
      </c>
      <c r="N304" s="14">
        <f>IF(B304="","",IF(K304&lt;&gt;"",K304,IF(N(IFERROR(INDEX(Projects!$D$6:$D$65,MATCH(D304,Projects!$B$6:$B$65,0)),""))&gt;0,IFERROR(INDEX(Projects!$D$6:$D$65,MATCH(D304,Projects!$B$6:$B$65,0)),""),IFERROR(INDEX(Clients!$G$6:$G$45,MATCH(C304,Clients!$B$6:$B$45,0)),0))))</f>
        <v/>
      </c>
      <c r="O304" s="14">
        <f>IF(B304="","",IF(J304&lt;&gt;"",0,ROUND(M304*N304,2)))</f>
        <v/>
      </c>
      <c r="P304" s="15">
        <f>IF(OR(B304="",J304&lt;&gt;""),"",IF(L304&lt;&gt;"",L304,IF(COUNTIFS(Invoices!$C$6:$C$305,C304,Invoices!$E$6:$E$305,"&lt;="&amp;B304,Invoices!$F$6:$F$305,"&gt;="&amp;B304)=1,INDEX(Invoices!$B$6:$B$305,SUMIFS(Invoices!$O$6:$O$305,Invoices!$C$6:$C$305,C304,Invoices!$E$6:$E$305,"&lt;="&amp;B304,Invoices!$F$6:$F$305,"&gt;="&amp;B304)),IF(COUNTIFS(Invoices!$C$6:$C$305,C304,Invoices!$E$6:$E$305,"&lt;="&amp;B304,Invoices!$F$6:$F$305,"&gt;="&amp;B304)&gt;1,"Two invoices",""))))</f>
        <v/>
      </c>
      <c r="Q304" s="15">
        <f>IF(B304="","",IF(J304&lt;&gt;"","Not billable",IF(P304="","To invoice",IF(P304="Two invoices","Check dates",IF(ISNA(MATCH(P304,Invoices!$B$6:$B$305,0)),"Check number",IF(INDEX(Invoices!$M$6:$M$305,MATCH(P304,Invoices!$B$6:$B$305,0))="Paid","Paid",IF(INDEX(Invoices!$M$6:$M$305,MATCH(P304,Invoices!$B$6:$B$305,0))="Draft","Draft","Invoiced")))))))</f>
        <v/>
      </c>
      <c r="R304" s="1">
        <f>IF(AND(B304&lt;&gt;"",P304&lt;&gt;"",P304=Invoice!$G$4),B304+MOD(N(F304),1)+ROW()/10000000,"")</f>
        <v/>
      </c>
      <c r="S304">
        <f>IF(R304="","",IF(D304="","Other work",D304)&amp;IF(AND(K304&lt;&gt;"",E304&lt;&gt;""),", "&amp;E304,""))</f>
        <v/>
      </c>
      <c r="T304">
        <f>IF(R304="","",IF(COUNTIFS(R$6:R303,"&gt;0",S$6:S303,S304,N$6:N303,N304)=0,R304,""))</f>
        <v/>
      </c>
      <c r="U304">
        <f>IF(B304="","",IF(J304&lt;&gt;"",0,M304))</f>
        <v/>
      </c>
    </row>
    <row r="305">
      <c r="A305" s="1" t="n"/>
      <c r="B305" s="16" t="n"/>
      <c r="C305" s="17" t="n"/>
      <c r="D305" s="18" t="n"/>
      <c r="E305" s="18" t="n"/>
      <c r="F305" s="19" t="n"/>
      <c r="G305" s="19" t="n"/>
      <c r="H305" s="20" t="n"/>
      <c r="I305" s="21" t="n"/>
      <c r="J305" s="22" t="n"/>
      <c r="K305" s="23" t="n"/>
      <c r="L305" s="18" t="n"/>
      <c r="M305" s="24">
        <f>IF(B305="","",IF(AND(F305&lt;&gt;"",G305&lt;&gt;""),MAX(0,ROUND(MOD(G305-F305,1)*24-N(H305)/60,2)),N(I305)))</f>
        <v/>
      </c>
      <c r="N305" s="14">
        <f>IF(B305="","",IF(K305&lt;&gt;"",K305,IF(N(IFERROR(INDEX(Projects!$D$6:$D$65,MATCH(D305,Projects!$B$6:$B$65,0)),""))&gt;0,IFERROR(INDEX(Projects!$D$6:$D$65,MATCH(D305,Projects!$B$6:$B$65,0)),""),IFERROR(INDEX(Clients!$G$6:$G$45,MATCH(C305,Clients!$B$6:$B$45,0)),0))))</f>
        <v/>
      </c>
      <c r="O305" s="14">
        <f>IF(B305="","",IF(J305&lt;&gt;"",0,ROUND(M305*N305,2)))</f>
        <v/>
      </c>
      <c r="P305" s="15">
        <f>IF(OR(B305="",J305&lt;&gt;""),"",IF(L305&lt;&gt;"",L305,IF(COUNTIFS(Invoices!$C$6:$C$305,C305,Invoices!$E$6:$E$305,"&lt;="&amp;B305,Invoices!$F$6:$F$305,"&gt;="&amp;B305)=1,INDEX(Invoices!$B$6:$B$305,SUMIFS(Invoices!$O$6:$O$305,Invoices!$C$6:$C$305,C305,Invoices!$E$6:$E$305,"&lt;="&amp;B305,Invoices!$F$6:$F$305,"&gt;="&amp;B305)),IF(COUNTIFS(Invoices!$C$6:$C$305,C305,Invoices!$E$6:$E$305,"&lt;="&amp;B305,Invoices!$F$6:$F$305,"&gt;="&amp;B305)&gt;1,"Two invoices",""))))</f>
        <v/>
      </c>
      <c r="Q305" s="15">
        <f>IF(B305="","",IF(J305&lt;&gt;"","Not billable",IF(P305="","To invoice",IF(P305="Two invoices","Check dates",IF(ISNA(MATCH(P305,Invoices!$B$6:$B$305,0)),"Check number",IF(INDEX(Invoices!$M$6:$M$305,MATCH(P305,Invoices!$B$6:$B$305,0))="Paid","Paid",IF(INDEX(Invoices!$M$6:$M$305,MATCH(P305,Invoices!$B$6:$B$305,0))="Draft","Draft","Invoiced")))))))</f>
        <v/>
      </c>
      <c r="R305" s="1">
        <f>IF(AND(B305&lt;&gt;"",P305&lt;&gt;"",P305=Invoice!$G$4),B305+MOD(N(F305),1)+ROW()/10000000,"")</f>
        <v/>
      </c>
      <c r="S305">
        <f>IF(R305="","",IF(D305="","Other work",D305)&amp;IF(AND(K305&lt;&gt;"",E305&lt;&gt;""),", "&amp;E305,""))</f>
        <v/>
      </c>
      <c r="T305">
        <f>IF(R305="","",IF(COUNTIFS(R$6:R304,"&gt;0",S$6:S304,S305,N$6:N304,N305)=0,R305,""))</f>
        <v/>
      </c>
      <c r="U305">
        <f>IF(B305="","",IF(J305&lt;&gt;"",0,M305))</f>
        <v/>
      </c>
    </row>
    <row r="306">
      <c r="A306" s="1" t="n"/>
      <c r="B306" s="16" t="n"/>
      <c r="C306" s="17" t="n"/>
      <c r="D306" s="18" t="n"/>
      <c r="E306" s="18" t="n"/>
      <c r="F306" s="19" t="n"/>
      <c r="G306" s="19" t="n"/>
      <c r="H306" s="20" t="n"/>
      <c r="I306" s="21" t="n"/>
      <c r="J306" s="22" t="n"/>
      <c r="K306" s="23" t="n"/>
      <c r="L306" s="18" t="n"/>
      <c r="M306" s="24">
        <f>IF(B306="","",IF(AND(F306&lt;&gt;"",G306&lt;&gt;""),MAX(0,ROUND(MOD(G306-F306,1)*24-N(H306)/60,2)),N(I306)))</f>
        <v/>
      </c>
      <c r="N306" s="14">
        <f>IF(B306="","",IF(K306&lt;&gt;"",K306,IF(N(IFERROR(INDEX(Projects!$D$6:$D$65,MATCH(D306,Projects!$B$6:$B$65,0)),""))&gt;0,IFERROR(INDEX(Projects!$D$6:$D$65,MATCH(D306,Projects!$B$6:$B$65,0)),""),IFERROR(INDEX(Clients!$G$6:$G$45,MATCH(C306,Clients!$B$6:$B$45,0)),0))))</f>
        <v/>
      </c>
      <c r="O306" s="14">
        <f>IF(B306="","",IF(J306&lt;&gt;"",0,ROUND(M306*N306,2)))</f>
        <v/>
      </c>
      <c r="P306" s="15">
        <f>IF(OR(B306="",J306&lt;&gt;""),"",IF(L306&lt;&gt;"",L306,IF(COUNTIFS(Invoices!$C$6:$C$305,C306,Invoices!$E$6:$E$305,"&lt;="&amp;B306,Invoices!$F$6:$F$305,"&gt;="&amp;B306)=1,INDEX(Invoices!$B$6:$B$305,SUMIFS(Invoices!$O$6:$O$305,Invoices!$C$6:$C$305,C306,Invoices!$E$6:$E$305,"&lt;="&amp;B306,Invoices!$F$6:$F$305,"&gt;="&amp;B306)),IF(COUNTIFS(Invoices!$C$6:$C$305,C306,Invoices!$E$6:$E$305,"&lt;="&amp;B306,Invoices!$F$6:$F$305,"&gt;="&amp;B306)&gt;1,"Two invoices",""))))</f>
        <v/>
      </c>
      <c r="Q306" s="15">
        <f>IF(B306="","",IF(J306&lt;&gt;"","Not billable",IF(P306="","To invoice",IF(P306="Two invoices","Check dates",IF(ISNA(MATCH(P306,Invoices!$B$6:$B$305,0)),"Check number",IF(INDEX(Invoices!$M$6:$M$305,MATCH(P306,Invoices!$B$6:$B$305,0))="Paid","Paid",IF(INDEX(Invoices!$M$6:$M$305,MATCH(P306,Invoices!$B$6:$B$305,0))="Draft","Draft","Invoiced")))))))</f>
        <v/>
      </c>
      <c r="R306" s="1">
        <f>IF(AND(B306&lt;&gt;"",P306&lt;&gt;"",P306=Invoice!$G$4),B306+MOD(N(F306),1)+ROW()/10000000,"")</f>
        <v/>
      </c>
      <c r="S306">
        <f>IF(R306="","",IF(D306="","Other work",D306)&amp;IF(AND(K306&lt;&gt;"",E306&lt;&gt;""),", "&amp;E306,""))</f>
        <v/>
      </c>
      <c r="T306">
        <f>IF(R306="","",IF(COUNTIFS(R$6:R305,"&gt;0",S$6:S305,S306,N$6:N305,N306)=0,R306,""))</f>
        <v/>
      </c>
      <c r="U306">
        <f>IF(B306="","",IF(J306&lt;&gt;"",0,M306))</f>
        <v/>
      </c>
    </row>
    <row r="307">
      <c r="A307" s="1" t="n"/>
      <c r="B307" s="16" t="n"/>
      <c r="C307" s="17" t="n"/>
      <c r="D307" s="18" t="n"/>
      <c r="E307" s="18" t="n"/>
      <c r="F307" s="19" t="n"/>
      <c r="G307" s="19" t="n"/>
      <c r="H307" s="20" t="n"/>
      <c r="I307" s="21" t="n"/>
      <c r="J307" s="22" t="n"/>
      <c r="K307" s="23" t="n"/>
      <c r="L307" s="18" t="n"/>
      <c r="M307" s="24">
        <f>IF(B307="","",IF(AND(F307&lt;&gt;"",G307&lt;&gt;""),MAX(0,ROUND(MOD(G307-F307,1)*24-N(H307)/60,2)),N(I307)))</f>
        <v/>
      </c>
      <c r="N307" s="14">
        <f>IF(B307="","",IF(K307&lt;&gt;"",K307,IF(N(IFERROR(INDEX(Projects!$D$6:$D$65,MATCH(D307,Projects!$B$6:$B$65,0)),""))&gt;0,IFERROR(INDEX(Projects!$D$6:$D$65,MATCH(D307,Projects!$B$6:$B$65,0)),""),IFERROR(INDEX(Clients!$G$6:$G$45,MATCH(C307,Clients!$B$6:$B$45,0)),0))))</f>
        <v/>
      </c>
      <c r="O307" s="14">
        <f>IF(B307="","",IF(J307&lt;&gt;"",0,ROUND(M307*N307,2)))</f>
        <v/>
      </c>
      <c r="P307" s="15">
        <f>IF(OR(B307="",J307&lt;&gt;""),"",IF(L307&lt;&gt;"",L307,IF(COUNTIFS(Invoices!$C$6:$C$305,C307,Invoices!$E$6:$E$305,"&lt;="&amp;B307,Invoices!$F$6:$F$305,"&gt;="&amp;B307)=1,INDEX(Invoices!$B$6:$B$305,SUMIFS(Invoices!$O$6:$O$305,Invoices!$C$6:$C$305,C307,Invoices!$E$6:$E$305,"&lt;="&amp;B307,Invoices!$F$6:$F$305,"&gt;="&amp;B307)),IF(COUNTIFS(Invoices!$C$6:$C$305,C307,Invoices!$E$6:$E$305,"&lt;="&amp;B307,Invoices!$F$6:$F$305,"&gt;="&amp;B307)&gt;1,"Two invoices",""))))</f>
        <v/>
      </c>
      <c r="Q307" s="15">
        <f>IF(B307="","",IF(J307&lt;&gt;"","Not billable",IF(P307="","To invoice",IF(P307="Two invoices","Check dates",IF(ISNA(MATCH(P307,Invoices!$B$6:$B$305,0)),"Check number",IF(INDEX(Invoices!$M$6:$M$305,MATCH(P307,Invoices!$B$6:$B$305,0))="Paid","Paid",IF(INDEX(Invoices!$M$6:$M$305,MATCH(P307,Invoices!$B$6:$B$305,0))="Draft","Draft","Invoiced")))))))</f>
        <v/>
      </c>
      <c r="R307" s="1">
        <f>IF(AND(B307&lt;&gt;"",P307&lt;&gt;"",P307=Invoice!$G$4),B307+MOD(N(F307),1)+ROW()/10000000,"")</f>
        <v/>
      </c>
      <c r="S307">
        <f>IF(R307="","",IF(D307="","Other work",D307)&amp;IF(AND(K307&lt;&gt;"",E307&lt;&gt;""),", "&amp;E307,""))</f>
        <v/>
      </c>
      <c r="T307">
        <f>IF(R307="","",IF(COUNTIFS(R$6:R306,"&gt;0",S$6:S306,S307,N$6:N306,N307)=0,R307,""))</f>
        <v/>
      </c>
      <c r="U307">
        <f>IF(B307="","",IF(J307&lt;&gt;"",0,M307))</f>
        <v/>
      </c>
    </row>
    <row r="308">
      <c r="A308" s="1" t="n"/>
      <c r="B308" s="16" t="n"/>
      <c r="C308" s="17" t="n"/>
      <c r="D308" s="18" t="n"/>
      <c r="E308" s="18" t="n"/>
      <c r="F308" s="19" t="n"/>
      <c r="G308" s="19" t="n"/>
      <c r="H308" s="20" t="n"/>
      <c r="I308" s="21" t="n"/>
      <c r="J308" s="22" t="n"/>
      <c r="K308" s="23" t="n"/>
      <c r="L308" s="18" t="n"/>
      <c r="M308" s="24">
        <f>IF(B308="","",IF(AND(F308&lt;&gt;"",G308&lt;&gt;""),MAX(0,ROUND(MOD(G308-F308,1)*24-N(H308)/60,2)),N(I308)))</f>
        <v/>
      </c>
      <c r="N308" s="14">
        <f>IF(B308="","",IF(K308&lt;&gt;"",K308,IF(N(IFERROR(INDEX(Projects!$D$6:$D$65,MATCH(D308,Projects!$B$6:$B$65,0)),""))&gt;0,IFERROR(INDEX(Projects!$D$6:$D$65,MATCH(D308,Projects!$B$6:$B$65,0)),""),IFERROR(INDEX(Clients!$G$6:$G$45,MATCH(C308,Clients!$B$6:$B$45,0)),0))))</f>
        <v/>
      </c>
      <c r="O308" s="14">
        <f>IF(B308="","",IF(J308&lt;&gt;"",0,ROUND(M308*N308,2)))</f>
        <v/>
      </c>
      <c r="P308" s="15">
        <f>IF(OR(B308="",J308&lt;&gt;""),"",IF(L308&lt;&gt;"",L308,IF(COUNTIFS(Invoices!$C$6:$C$305,C308,Invoices!$E$6:$E$305,"&lt;="&amp;B308,Invoices!$F$6:$F$305,"&gt;="&amp;B308)=1,INDEX(Invoices!$B$6:$B$305,SUMIFS(Invoices!$O$6:$O$305,Invoices!$C$6:$C$305,C308,Invoices!$E$6:$E$305,"&lt;="&amp;B308,Invoices!$F$6:$F$305,"&gt;="&amp;B308)),IF(COUNTIFS(Invoices!$C$6:$C$305,C308,Invoices!$E$6:$E$305,"&lt;="&amp;B308,Invoices!$F$6:$F$305,"&gt;="&amp;B308)&gt;1,"Two invoices",""))))</f>
        <v/>
      </c>
      <c r="Q308" s="15">
        <f>IF(B308="","",IF(J308&lt;&gt;"","Not billable",IF(P308="","To invoice",IF(P308="Two invoices","Check dates",IF(ISNA(MATCH(P308,Invoices!$B$6:$B$305,0)),"Check number",IF(INDEX(Invoices!$M$6:$M$305,MATCH(P308,Invoices!$B$6:$B$305,0))="Paid","Paid",IF(INDEX(Invoices!$M$6:$M$305,MATCH(P308,Invoices!$B$6:$B$305,0))="Draft","Draft","Invoiced")))))))</f>
        <v/>
      </c>
      <c r="R308" s="1">
        <f>IF(AND(B308&lt;&gt;"",P308&lt;&gt;"",P308=Invoice!$G$4),B308+MOD(N(F308),1)+ROW()/10000000,"")</f>
        <v/>
      </c>
      <c r="S308">
        <f>IF(R308="","",IF(D308="","Other work",D308)&amp;IF(AND(K308&lt;&gt;"",E308&lt;&gt;""),", "&amp;E308,""))</f>
        <v/>
      </c>
      <c r="T308">
        <f>IF(R308="","",IF(COUNTIFS(R$6:R307,"&gt;0",S$6:S307,S308,N$6:N307,N308)=0,R308,""))</f>
        <v/>
      </c>
      <c r="U308">
        <f>IF(B308="","",IF(J308&lt;&gt;"",0,M308))</f>
        <v/>
      </c>
    </row>
    <row r="309">
      <c r="A309" s="1" t="n"/>
      <c r="B309" s="16" t="n"/>
      <c r="C309" s="17" t="n"/>
      <c r="D309" s="18" t="n"/>
      <c r="E309" s="18" t="n"/>
      <c r="F309" s="19" t="n"/>
      <c r="G309" s="19" t="n"/>
      <c r="H309" s="20" t="n"/>
      <c r="I309" s="21" t="n"/>
      <c r="J309" s="22" t="n"/>
      <c r="K309" s="23" t="n"/>
      <c r="L309" s="18" t="n"/>
      <c r="M309" s="24">
        <f>IF(B309="","",IF(AND(F309&lt;&gt;"",G309&lt;&gt;""),MAX(0,ROUND(MOD(G309-F309,1)*24-N(H309)/60,2)),N(I309)))</f>
        <v/>
      </c>
      <c r="N309" s="14">
        <f>IF(B309="","",IF(K309&lt;&gt;"",K309,IF(N(IFERROR(INDEX(Projects!$D$6:$D$65,MATCH(D309,Projects!$B$6:$B$65,0)),""))&gt;0,IFERROR(INDEX(Projects!$D$6:$D$65,MATCH(D309,Projects!$B$6:$B$65,0)),""),IFERROR(INDEX(Clients!$G$6:$G$45,MATCH(C309,Clients!$B$6:$B$45,0)),0))))</f>
        <v/>
      </c>
      <c r="O309" s="14">
        <f>IF(B309="","",IF(J309&lt;&gt;"",0,ROUND(M309*N309,2)))</f>
        <v/>
      </c>
      <c r="P309" s="15">
        <f>IF(OR(B309="",J309&lt;&gt;""),"",IF(L309&lt;&gt;"",L309,IF(COUNTIFS(Invoices!$C$6:$C$305,C309,Invoices!$E$6:$E$305,"&lt;="&amp;B309,Invoices!$F$6:$F$305,"&gt;="&amp;B309)=1,INDEX(Invoices!$B$6:$B$305,SUMIFS(Invoices!$O$6:$O$305,Invoices!$C$6:$C$305,C309,Invoices!$E$6:$E$305,"&lt;="&amp;B309,Invoices!$F$6:$F$305,"&gt;="&amp;B309)),IF(COUNTIFS(Invoices!$C$6:$C$305,C309,Invoices!$E$6:$E$305,"&lt;="&amp;B309,Invoices!$F$6:$F$305,"&gt;="&amp;B309)&gt;1,"Two invoices",""))))</f>
        <v/>
      </c>
      <c r="Q309" s="15">
        <f>IF(B309="","",IF(J309&lt;&gt;"","Not billable",IF(P309="","To invoice",IF(P309="Two invoices","Check dates",IF(ISNA(MATCH(P309,Invoices!$B$6:$B$305,0)),"Check number",IF(INDEX(Invoices!$M$6:$M$305,MATCH(P309,Invoices!$B$6:$B$305,0))="Paid","Paid",IF(INDEX(Invoices!$M$6:$M$305,MATCH(P309,Invoices!$B$6:$B$305,0))="Draft","Draft","Invoiced")))))))</f>
        <v/>
      </c>
      <c r="R309" s="1">
        <f>IF(AND(B309&lt;&gt;"",P309&lt;&gt;"",P309=Invoice!$G$4),B309+MOD(N(F309),1)+ROW()/10000000,"")</f>
        <v/>
      </c>
      <c r="S309">
        <f>IF(R309="","",IF(D309="","Other work",D309)&amp;IF(AND(K309&lt;&gt;"",E309&lt;&gt;""),", "&amp;E309,""))</f>
        <v/>
      </c>
      <c r="T309">
        <f>IF(R309="","",IF(COUNTIFS(R$6:R308,"&gt;0",S$6:S308,S309,N$6:N308,N309)=0,R309,""))</f>
        <v/>
      </c>
      <c r="U309">
        <f>IF(B309="","",IF(J309&lt;&gt;"",0,M309))</f>
        <v/>
      </c>
    </row>
    <row r="310">
      <c r="A310" s="1" t="n"/>
      <c r="B310" s="16" t="n"/>
      <c r="C310" s="17" t="n"/>
      <c r="D310" s="18" t="n"/>
      <c r="E310" s="18" t="n"/>
      <c r="F310" s="19" t="n"/>
      <c r="G310" s="19" t="n"/>
      <c r="H310" s="20" t="n"/>
      <c r="I310" s="21" t="n"/>
      <c r="J310" s="22" t="n"/>
      <c r="K310" s="23" t="n"/>
      <c r="L310" s="18" t="n"/>
      <c r="M310" s="24">
        <f>IF(B310="","",IF(AND(F310&lt;&gt;"",G310&lt;&gt;""),MAX(0,ROUND(MOD(G310-F310,1)*24-N(H310)/60,2)),N(I310)))</f>
        <v/>
      </c>
      <c r="N310" s="14">
        <f>IF(B310="","",IF(K310&lt;&gt;"",K310,IF(N(IFERROR(INDEX(Projects!$D$6:$D$65,MATCH(D310,Projects!$B$6:$B$65,0)),""))&gt;0,IFERROR(INDEX(Projects!$D$6:$D$65,MATCH(D310,Projects!$B$6:$B$65,0)),""),IFERROR(INDEX(Clients!$G$6:$G$45,MATCH(C310,Clients!$B$6:$B$45,0)),0))))</f>
        <v/>
      </c>
      <c r="O310" s="14">
        <f>IF(B310="","",IF(J310&lt;&gt;"",0,ROUND(M310*N310,2)))</f>
        <v/>
      </c>
      <c r="P310" s="15">
        <f>IF(OR(B310="",J310&lt;&gt;""),"",IF(L310&lt;&gt;"",L310,IF(COUNTIFS(Invoices!$C$6:$C$305,C310,Invoices!$E$6:$E$305,"&lt;="&amp;B310,Invoices!$F$6:$F$305,"&gt;="&amp;B310)=1,INDEX(Invoices!$B$6:$B$305,SUMIFS(Invoices!$O$6:$O$305,Invoices!$C$6:$C$305,C310,Invoices!$E$6:$E$305,"&lt;="&amp;B310,Invoices!$F$6:$F$305,"&gt;="&amp;B310)),IF(COUNTIFS(Invoices!$C$6:$C$305,C310,Invoices!$E$6:$E$305,"&lt;="&amp;B310,Invoices!$F$6:$F$305,"&gt;="&amp;B310)&gt;1,"Two invoices",""))))</f>
        <v/>
      </c>
      <c r="Q310" s="15">
        <f>IF(B310="","",IF(J310&lt;&gt;"","Not billable",IF(P310="","To invoice",IF(P310="Two invoices","Check dates",IF(ISNA(MATCH(P310,Invoices!$B$6:$B$305,0)),"Check number",IF(INDEX(Invoices!$M$6:$M$305,MATCH(P310,Invoices!$B$6:$B$305,0))="Paid","Paid",IF(INDEX(Invoices!$M$6:$M$305,MATCH(P310,Invoices!$B$6:$B$305,0))="Draft","Draft","Invoiced")))))))</f>
        <v/>
      </c>
      <c r="R310" s="1">
        <f>IF(AND(B310&lt;&gt;"",P310&lt;&gt;"",P310=Invoice!$G$4),B310+MOD(N(F310),1)+ROW()/10000000,"")</f>
        <v/>
      </c>
      <c r="S310">
        <f>IF(R310="","",IF(D310="","Other work",D310)&amp;IF(AND(K310&lt;&gt;"",E310&lt;&gt;""),", "&amp;E310,""))</f>
        <v/>
      </c>
      <c r="T310">
        <f>IF(R310="","",IF(COUNTIFS(R$6:R309,"&gt;0",S$6:S309,S310,N$6:N309,N310)=0,R310,""))</f>
        <v/>
      </c>
      <c r="U310">
        <f>IF(B310="","",IF(J310&lt;&gt;"",0,M310))</f>
        <v/>
      </c>
    </row>
    <row r="311">
      <c r="A311" s="1" t="n"/>
      <c r="B311" s="16" t="n"/>
      <c r="C311" s="17" t="n"/>
      <c r="D311" s="18" t="n"/>
      <c r="E311" s="18" t="n"/>
      <c r="F311" s="19" t="n"/>
      <c r="G311" s="19" t="n"/>
      <c r="H311" s="20" t="n"/>
      <c r="I311" s="21" t="n"/>
      <c r="J311" s="22" t="n"/>
      <c r="K311" s="23" t="n"/>
      <c r="L311" s="18" t="n"/>
      <c r="M311" s="24">
        <f>IF(B311="","",IF(AND(F311&lt;&gt;"",G311&lt;&gt;""),MAX(0,ROUND(MOD(G311-F311,1)*24-N(H311)/60,2)),N(I311)))</f>
        <v/>
      </c>
      <c r="N311" s="14">
        <f>IF(B311="","",IF(K311&lt;&gt;"",K311,IF(N(IFERROR(INDEX(Projects!$D$6:$D$65,MATCH(D311,Projects!$B$6:$B$65,0)),""))&gt;0,IFERROR(INDEX(Projects!$D$6:$D$65,MATCH(D311,Projects!$B$6:$B$65,0)),""),IFERROR(INDEX(Clients!$G$6:$G$45,MATCH(C311,Clients!$B$6:$B$45,0)),0))))</f>
        <v/>
      </c>
      <c r="O311" s="14">
        <f>IF(B311="","",IF(J311&lt;&gt;"",0,ROUND(M311*N311,2)))</f>
        <v/>
      </c>
      <c r="P311" s="15">
        <f>IF(OR(B311="",J311&lt;&gt;""),"",IF(L311&lt;&gt;"",L311,IF(COUNTIFS(Invoices!$C$6:$C$305,C311,Invoices!$E$6:$E$305,"&lt;="&amp;B311,Invoices!$F$6:$F$305,"&gt;="&amp;B311)=1,INDEX(Invoices!$B$6:$B$305,SUMIFS(Invoices!$O$6:$O$305,Invoices!$C$6:$C$305,C311,Invoices!$E$6:$E$305,"&lt;="&amp;B311,Invoices!$F$6:$F$305,"&gt;="&amp;B311)),IF(COUNTIFS(Invoices!$C$6:$C$305,C311,Invoices!$E$6:$E$305,"&lt;="&amp;B311,Invoices!$F$6:$F$305,"&gt;="&amp;B311)&gt;1,"Two invoices",""))))</f>
        <v/>
      </c>
      <c r="Q311" s="15">
        <f>IF(B311="","",IF(J311&lt;&gt;"","Not billable",IF(P311="","To invoice",IF(P311="Two invoices","Check dates",IF(ISNA(MATCH(P311,Invoices!$B$6:$B$305,0)),"Check number",IF(INDEX(Invoices!$M$6:$M$305,MATCH(P311,Invoices!$B$6:$B$305,0))="Paid","Paid",IF(INDEX(Invoices!$M$6:$M$305,MATCH(P311,Invoices!$B$6:$B$305,0))="Draft","Draft","Invoiced")))))))</f>
        <v/>
      </c>
      <c r="R311" s="1">
        <f>IF(AND(B311&lt;&gt;"",P311&lt;&gt;"",P311=Invoice!$G$4),B311+MOD(N(F311),1)+ROW()/10000000,"")</f>
        <v/>
      </c>
      <c r="S311">
        <f>IF(R311="","",IF(D311="","Other work",D311)&amp;IF(AND(K311&lt;&gt;"",E311&lt;&gt;""),", "&amp;E311,""))</f>
        <v/>
      </c>
      <c r="T311">
        <f>IF(R311="","",IF(COUNTIFS(R$6:R310,"&gt;0",S$6:S310,S311,N$6:N310,N311)=0,R311,""))</f>
        <v/>
      </c>
      <c r="U311">
        <f>IF(B311="","",IF(J311&lt;&gt;"",0,M311))</f>
        <v/>
      </c>
    </row>
    <row r="312">
      <c r="A312" s="1" t="n"/>
      <c r="B312" s="16" t="n"/>
      <c r="C312" s="17" t="n"/>
      <c r="D312" s="18" t="n"/>
      <c r="E312" s="18" t="n"/>
      <c r="F312" s="19" t="n"/>
      <c r="G312" s="19" t="n"/>
      <c r="H312" s="20" t="n"/>
      <c r="I312" s="21" t="n"/>
      <c r="J312" s="22" t="n"/>
      <c r="K312" s="23" t="n"/>
      <c r="L312" s="18" t="n"/>
      <c r="M312" s="24">
        <f>IF(B312="","",IF(AND(F312&lt;&gt;"",G312&lt;&gt;""),MAX(0,ROUND(MOD(G312-F312,1)*24-N(H312)/60,2)),N(I312)))</f>
        <v/>
      </c>
      <c r="N312" s="14">
        <f>IF(B312="","",IF(K312&lt;&gt;"",K312,IF(N(IFERROR(INDEX(Projects!$D$6:$D$65,MATCH(D312,Projects!$B$6:$B$65,0)),""))&gt;0,IFERROR(INDEX(Projects!$D$6:$D$65,MATCH(D312,Projects!$B$6:$B$65,0)),""),IFERROR(INDEX(Clients!$G$6:$G$45,MATCH(C312,Clients!$B$6:$B$45,0)),0))))</f>
        <v/>
      </c>
      <c r="O312" s="14">
        <f>IF(B312="","",IF(J312&lt;&gt;"",0,ROUND(M312*N312,2)))</f>
        <v/>
      </c>
      <c r="P312" s="15">
        <f>IF(OR(B312="",J312&lt;&gt;""),"",IF(L312&lt;&gt;"",L312,IF(COUNTIFS(Invoices!$C$6:$C$305,C312,Invoices!$E$6:$E$305,"&lt;="&amp;B312,Invoices!$F$6:$F$305,"&gt;="&amp;B312)=1,INDEX(Invoices!$B$6:$B$305,SUMIFS(Invoices!$O$6:$O$305,Invoices!$C$6:$C$305,C312,Invoices!$E$6:$E$305,"&lt;="&amp;B312,Invoices!$F$6:$F$305,"&gt;="&amp;B312)),IF(COUNTIFS(Invoices!$C$6:$C$305,C312,Invoices!$E$6:$E$305,"&lt;="&amp;B312,Invoices!$F$6:$F$305,"&gt;="&amp;B312)&gt;1,"Two invoices",""))))</f>
        <v/>
      </c>
      <c r="Q312" s="15">
        <f>IF(B312="","",IF(J312&lt;&gt;"","Not billable",IF(P312="","To invoice",IF(P312="Two invoices","Check dates",IF(ISNA(MATCH(P312,Invoices!$B$6:$B$305,0)),"Check number",IF(INDEX(Invoices!$M$6:$M$305,MATCH(P312,Invoices!$B$6:$B$305,0))="Paid","Paid",IF(INDEX(Invoices!$M$6:$M$305,MATCH(P312,Invoices!$B$6:$B$305,0))="Draft","Draft","Invoiced")))))))</f>
        <v/>
      </c>
      <c r="R312" s="1">
        <f>IF(AND(B312&lt;&gt;"",P312&lt;&gt;"",P312=Invoice!$G$4),B312+MOD(N(F312),1)+ROW()/10000000,"")</f>
        <v/>
      </c>
      <c r="S312">
        <f>IF(R312="","",IF(D312="","Other work",D312)&amp;IF(AND(K312&lt;&gt;"",E312&lt;&gt;""),", "&amp;E312,""))</f>
        <v/>
      </c>
      <c r="T312">
        <f>IF(R312="","",IF(COUNTIFS(R$6:R311,"&gt;0",S$6:S311,S312,N$6:N311,N312)=0,R312,""))</f>
        <v/>
      </c>
      <c r="U312">
        <f>IF(B312="","",IF(J312&lt;&gt;"",0,M312))</f>
        <v/>
      </c>
    </row>
    <row r="313">
      <c r="A313" s="1" t="n"/>
      <c r="B313" s="16" t="n"/>
      <c r="C313" s="17" t="n"/>
      <c r="D313" s="18" t="n"/>
      <c r="E313" s="18" t="n"/>
      <c r="F313" s="19" t="n"/>
      <c r="G313" s="19" t="n"/>
      <c r="H313" s="20" t="n"/>
      <c r="I313" s="21" t="n"/>
      <c r="J313" s="22" t="n"/>
      <c r="K313" s="23" t="n"/>
      <c r="L313" s="18" t="n"/>
      <c r="M313" s="24">
        <f>IF(B313="","",IF(AND(F313&lt;&gt;"",G313&lt;&gt;""),MAX(0,ROUND(MOD(G313-F313,1)*24-N(H313)/60,2)),N(I313)))</f>
        <v/>
      </c>
      <c r="N313" s="14">
        <f>IF(B313="","",IF(K313&lt;&gt;"",K313,IF(N(IFERROR(INDEX(Projects!$D$6:$D$65,MATCH(D313,Projects!$B$6:$B$65,0)),""))&gt;0,IFERROR(INDEX(Projects!$D$6:$D$65,MATCH(D313,Projects!$B$6:$B$65,0)),""),IFERROR(INDEX(Clients!$G$6:$G$45,MATCH(C313,Clients!$B$6:$B$45,0)),0))))</f>
        <v/>
      </c>
      <c r="O313" s="14">
        <f>IF(B313="","",IF(J313&lt;&gt;"",0,ROUND(M313*N313,2)))</f>
        <v/>
      </c>
      <c r="P313" s="15">
        <f>IF(OR(B313="",J313&lt;&gt;""),"",IF(L313&lt;&gt;"",L313,IF(COUNTIFS(Invoices!$C$6:$C$305,C313,Invoices!$E$6:$E$305,"&lt;="&amp;B313,Invoices!$F$6:$F$305,"&gt;="&amp;B313)=1,INDEX(Invoices!$B$6:$B$305,SUMIFS(Invoices!$O$6:$O$305,Invoices!$C$6:$C$305,C313,Invoices!$E$6:$E$305,"&lt;="&amp;B313,Invoices!$F$6:$F$305,"&gt;="&amp;B313)),IF(COUNTIFS(Invoices!$C$6:$C$305,C313,Invoices!$E$6:$E$305,"&lt;="&amp;B313,Invoices!$F$6:$F$305,"&gt;="&amp;B313)&gt;1,"Two invoices",""))))</f>
        <v/>
      </c>
      <c r="Q313" s="15">
        <f>IF(B313="","",IF(J313&lt;&gt;"","Not billable",IF(P313="","To invoice",IF(P313="Two invoices","Check dates",IF(ISNA(MATCH(P313,Invoices!$B$6:$B$305,0)),"Check number",IF(INDEX(Invoices!$M$6:$M$305,MATCH(P313,Invoices!$B$6:$B$305,0))="Paid","Paid",IF(INDEX(Invoices!$M$6:$M$305,MATCH(P313,Invoices!$B$6:$B$305,0))="Draft","Draft","Invoiced")))))))</f>
        <v/>
      </c>
      <c r="R313" s="1">
        <f>IF(AND(B313&lt;&gt;"",P313&lt;&gt;"",P313=Invoice!$G$4),B313+MOD(N(F313),1)+ROW()/10000000,"")</f>
        <v/>
      </c>
      <c r="S313">
        <f>IF(R313="","",IF(D313="","Other work",D313)&amp;IF(AND(K313&lt;&gt;"",E313&lt;&gt;""),", "&amp;E313,""))</f>
        <v/>
      </c>
      <c r="T313">
        <f>IF(R313="","",IF(COUNTIFS(R$6:R312,"&gt;0",S$6:S312,S313,N$6:N312,N313)=0,R313,""))</f>
        <v/>
      </c>
      <c r="U313">
        <f>IF(B313="","",IF(J313&lt;&gt;"",0,M313))</f>
        <v/>
      </c>
    </row>
    <row r="314">
      <c r="A314" s="1" t="n"/>
      <c r="B314" s="16" t="n"/>
      <c r="C314" s="17" t="n"/>
      <c r="D314" s="18" t="n"/>
      <c r="E314" s="18" t="n"/>
      <c r="F314" s="19" t="n"/>
      <c r="G314" s="19" t="n"/>
      <c r="H314" s="20" t="n"/>
      <c r="I314" s="21" t="n"/>
      <c r="J314" s="22" t="n"/>
      <c r="K314" s="23" t="n"/>
      <c r="L314" s="18" t="n"/>
      <c r="M314" s="24">
        <f>IF(B314="","",IF(AND(F314&lt;&gt;"",G314&lt;&gt;""),MAX(0,ROUND(MOD(G314-F314,1)*24-N(H314)/60,2)),N(I314)))</f>
        <v/>
      </c>
      <c r="N314" s="14">
        <f>IF(B314="","",IF(K314&lt;&gt;"",K314,IF(N(IFERROR(INDEX(Projects!$D$6:$D$65,MATCH(D314,Projects!$B$6:$B$65,0)),""))&gt;0,IFERROR(INDEX(Projects!$D$6:$D$65,MATCH(D314,Projects!$B$6:$B$65,0)),""),IFERROR(INDEX(Clients!$G$6:$G$45,MATCH(C314,Clients!$B$6:$B$45,0)),0))))</f>
        <v/>
      </c>
      <c r="O314" s="14">
        <f>IF(B314="","",IF(J314&lt;&gt;"",0,ROUND(M314*N314,2)))</f>
        <v/>
      </c>
      <c r="P314" s="15">
        <f>IF(OR(B314="",J314&lt;&gt;""),"",IF(L314&lt;&gt;"",L314,IF(COUNTIFS(Invoices!$C$6:$C$305,C314,Invoices!$E$6:$E$305,"&lt;="&amp;B314,Invoices!$F$6:$F$305,"&gt;="&amp;B314)=1,INDEX(Invoices!$B$6:$B$305,SUMIFS(Invoices!$O$6:$O$305,Invoices!$C$6:$C$305,C314,Invoices!$E$6:$E$305,"&lt;="&amp;B314,Invoices!$F$6:$F$305,"&gt;="&amp;B314)),IF(COUNTIFS(Invoices!$C$6:$C$305,C314,Invoices!$E$6:$E$305,"&lt;="&amp;B314,Invoices!$F$6:$F$305,"&gt;="&amp;B314)&gt;1,"Two invoices",""))))</f>
        <v/>
      </c>
      <c r="Q314" s="15">
        <f>IF(B314="","",IF(J314&lt;&gt;"","Not billable",IF(P314="","To invoice",IF(P314="Two invoices","Check dates",IF(ISNA(MATCH(P314,Invoices!$B$6:$B$305,0)),"Check number",IF(INDEX(Invoices!$M$6:$M$305,MATCH(P314,Invoices!$B$6:$B$305,0))="Paid","Paid",IF(INDEX(Invoices!$M$6:$M$305,MATCH(P314,Invoices!$B$6:$B$305,0))="Draft","Draft","Invoiced")))))))</f>
        <v/>
      </c>
      <c r="R314" s="1">
        <f>IF(AND(B314&lt;&gt;"",P314&lt;&gt;"",P314=Invoice!$G$4),B314+MOD(N(F314),1)+ROW()/10000000,"")</f>
        <v/>
      </c>
      <c r="S314">
        <f>IF(R314="","",IF(D314="","Other work",D314)&amp;IF(AND(K314&lt;&gt;"",E314&lt;&gt;""),", "&amp;E314,""))</f>
        <v/>
      </c>
      <c r="T314">
        <f>IF(R314="","",IF(COUNTIFS(R$6:R313,"&gt;0",S$6:S313,S314,N$6:N313,N314)=0,R314,""))</f>
        <v/>
      </c>
      <c r="U314">
        <f>IF(B314="","",IF(J314&lt;&gt;"",0,M314))</f>
        <v/>
      </c>
    </row>
    <row r="315">
      <c r="A315" s="1" t="n"/>
      <c r="B315" s="16" t="n"/>
      <c r="C315" s="17" t="n"/>
      <c r="D315" s="18" t="n"/>
      <c r="E315" s="18" t="n"/>
      <c r="F315" s="19" t="n"/>
      <c r="G315" s="19" t="n"/>
      <c r="H315" s="20" t="n"/>
      <c r="I315" s="21" t="n"/>
      <c r="J315" s="22" t="n"/>
      <c r="K315" s="23" t="n"/>
      <c r="L315" s="18" t="n"/>
      <c r="M315" s="24">
        <f>IF(B315="","",IF(AND(F315&lt;&gt;"",G315&lt;&gt;""),MAX(0,ROUND(MOD(G315-F315,1)*24-N(H315)/60,2)),N(I315)))</f>
        <v/>
      </c>
      <c r="N315" s="14">
        <f>IF(B315="","",IF(K315&lt;&gt;"",K315,IF(N(IFERROR(INDEX(Projects!$D$6:$D$65,MATCH(D315,Projects!$B$6:$B$65,0)),""))&gt;0,IFERROR(INDEX(Projects!$D$6:$D$65,MATCH(D315,Projects!$B$6:$B$65,0)),""),IFERROR(INDEX(Clients!$G$6:$G$45,MATCH(C315,Clients!$B$6:$B$45,0)),0))))</f>
        <v/>
      </c>
      <c r="O315" s="14">
        <f>IF(B315="","",IF(J315&lt;&gt;"",0,ROUND(M315*N315,2)))</f>
        <v/>
      </c>
      <c r="P315" s="15">
        <f>IF(OR(B315="",J315&lt;&gt;""),"",IF(L315&lt;&gt;"",L315,IF(COUNTIFS(Invoices!$C$6:$C$305,C315,Invoices!$E$6:$E$305,"&lt;="&amp;B315,Invoices!$F$6:$F$305,"&gt;="&amp;B315)=1,INDEX(Invoices!$B$6:$B$305,SUMIFS(Invoices!$O$6:$O$305,Invoices!$C$6:$C$305,C315,Invoices!$E$6:$E$305,"&lt;="&amp;B315,Invoices!$F$6:$F$305,"&gt;="&amp;B315)),IF(COUNTIFS(Invoices!$C$6:$C$305,C315,Invoices!$E$6:$E$305,"&lt;="&amp;B315,Invoices!$F$6:$F$305,"&gt;="&amp;B315)&gt;1,"Two invoices",""))))</f>
        <v/>
      </c>
      <c r="Q315" s="15">
        <f>IF(B315="","",IF(J315&lt;&gt;"","Not billable",IF(P315="","To invoice",IF(P315="Two invoices","Check dates",IF(ISNA(MATCH(P315,Invoices!$B$6:$B$305,0)),"Check number",IF(INDEX(Invoices!$M$6:$M$305,MATCH(P315,Invoices!$B$6:$B$305,0))="Paid","Paid",IF(INDEX(Invoices!$M$6:$M$305,MATCH(P315,Invoices!$B$6:$B$305,0))="Draft","Draft","Invoiced")))))))</f>
        <v/>
      </c>
      <c r="R315" s="1">
        <f>IF(AND(B315&lt;&gt;"",P315&lt;&gt;"",P315=Invoice!$G$4),B315+MOD(N(F315),1)+ROW()/10000000,"")</f>
        <v/>
      </c>
      <c r="S315">
        <f>IF(R315="","",IF(D315="","Other work",D315)&amp;IF(AND(K315&lt;&gt;"",E315&lt;&gt;""),", "&amp;E315,""))</f>
        <v/>
      </c>
      <c r="T315">
        <f>IF(R315="","",IF(COUNTIFS(R$6:R314,"&gt;0",S$6:S314,S315,N$6:N314,N315)=0,R315,""))</f>
        <v/>
      </c>
      <c r="U315">
        <f>IF(B315="","",IF(J315&lt;&gt;"",0,M315))</f>
        <v/>
      </c>
    </row>
    <row r="316">
      <c r="A316" s="1" t="n"/>
      <c r="B316" s="16" t="n"/>
      <c r="C316" s="17" t="n"/>
      <c r="D316" s="18" t="n"/>
      <c r="E316" s="18" t="n"/>
      <c r="F316" s="19" t="n"/>
      <c r="G316" s="19" t="n"/>
      <c r="H316" s="20" t="n"/>
      <c r="I316" s="21" t="n"/>
      <c r="J316" s="22" t="n"/>
      <c r="K316" s="23" t="n"/>
      <c r="L316" s="18" t="n"/>
      <c r="M316" s="24">
        <f>IF(B316="","",IF(AND(F316&lt;&gt;"",G316&lt;&gt;""),MAX(0,ROUND(MOD(G316-F316,1)*24-N(H316)/60,2)),N(I316)))</f>
        <v/>
      </c>
      <c r="N316" s="14">
        <f>IF(B316="","",IF(K316&lt;&gt;"",K316,IF(N(IFERROR(INDEX(Projects!$D$6:$D$65,MATCH(D316,Projects!$B$6:$B$65,0)),""))&gt;0,IFERROR(INDEX(Projects!$D$6:$D$65,MATCH(D316,Projects!$B$6:$B$65,0)),""),IFERROR(INDEX(Clients!$G$6:$G$45,MATCH(C316,Clients!$B$6:$B$45,0)),0))))</f>
        <v/>
      </c>
      <c r="O316" s="14">
        <f>IF(B316="","",IF(J316&lt;&gt;"",0,ROUND(M316*N316,2)))</f>
        <v/>
      </c>
      <c r="P316" s="15">
        <f>IF(OR(B316="",J316&lt;&gt;""),"",IF(L316&lt;&gt;"",L316,IF(COUNTIFS(Invoices!$C$6:$C$305,C316,Invoices!$E$6:$E$305,"&lt;="&amp;B316,Invoices!$F$6:$F$305,"&gt;="&amp;B316)=1,INDEX(Invoices!$B$6:$B$305,SUMIFS(Invoices!$O$6:$O$305,Invoices!$C$6:$C$305,C316,Invoices!$E$6:$E$305,"&lt;="&amp;B316,Invoices!$F$6:$F$305,"&gt;="&amp;B316)),IF(COUNTIFS(Invoices!$C$6:$C$305,C316,Invoices!$E$6:$E$305,"&lt;="&amp;B316,Invoices!$F$6:$F$305,"&gt;="&amp;B316)&gt;1,"Two invoices",""))))</f>
        <v/>
      </c>
      <c r="Q316" s="15">
        <f>IF(B316="","",IF(J316&lt;&gt;"","Not billable",IF(P316="","To invoice",IF(P316="Two invoices","Check dates",IF(ISNA(MATCH(P316,Invoices!$B$6:$B$305,0)),"Check number",IF(INDEX(Invoices!$M$6:$M$305,MATCH(P316,Invoices!$B$6:$B$305,0))="Paid","Paid",IF(INDEX(Invoices!$M$6:$M$305,MATCH(P316,Invoices!$B$6:$B$305,0))="Draft","Draft","Invoiced")))))))</f>
        <v/>
      </c>
      <c r="R316" s="1">
        <f>IF(AND(B316&lt;&gt;"",P316&lt;&gt;"",P316=Invoice!$G$4),B316+MOD(N(F316),1)+ROW()/10000000,"")</f>
        <v/>
      </c>
      <c r="S316">
        <f>IF(R316="","",IF(D316="","Other work",D316)&amp;IF(AND(K316&lt;&gt;"",E316&lt;&gt;""),", "&amp;E316,""))</f>
        <v/>
      </c>
      <c r="T316">
        <f>IF(R316="","",IF(COUNTIFS(R$6:R315,"&gt;0",S$6:S315,S316,N$6:N315,N316)=0,R316,""))</f>
        <v/>
      </c>
      <c r="U316">
        <f>IF(B316="","",IF(J316&lt;&gt;"",0,M316))</f>
        <v/>
      </c>
    </row>
    <row r="317">
      <c r="A317" s="1" t="n"/>
      <c r="B317" s="16" t="n"/>
      <c r="C317" s="17" t="n"/>
      <c r="D317" s="18" t="n"/>
      <c r="E317" s="18" t="n"/>
      <c r="F317" s="19" t="n"/>
      <c r="G317" s="19" t="n"/>
      <c r="H317" s="20" t="n"/>
      <c r="I317" s="21" t="n"/>
      <c r="J317" s="22" t="n"/>
      <c r="K317" s="23" t="n"/>
      <c r="L317" s="18" t="n"/>
      <c r="M317" s="24">
        <f>IF(B317="","",IF(AND(F317&lt;&gt;"",G317&lt;&gt;""),MAX(0,ROUND(MOD(G317-F317,1)*24-N(H317)/60,2)),N(I317)))</f>
        <v/>
      </c>
      <c r="N317" s="14">
        <f>IF(B317="","",IF(K317&lt;&gt;"",K317,IF(N(IFERROR(INDEX(Projects!$D$6:$D$65,MATCH(D317,Projects!$B$6:$B$65,0)),""))&gt;0,IFERROR(INDEX(Projects!$D$6:$D$65,MATCH(D317,Projects!$B$6:$B$65,0)),""),IFERROR(INDEX(Clients!$G$6:$G$45,MATCH(C317,Clients!$B$6:$B$45,0)),0))))</f>
        <v/>
      </c>
      <c r="O317" s="14">
        <f>IF(B317="","",IF(J317&lt;&gt;"",0,ROUND(M317*N317,2)))</f>
        <v/>
      </c>
      <c r="P317" s="15">
        <f>IF(OR(B317="",J317&lt;&gt;""),"",IF(L317&lt;&gt;"",L317,IF(COUNTIFS(Invoices!$C$6:$C$305,C317,Invoices!$E$6:$E$305,"&lt;="&amp;B317,Invoices!$F$6:$F$305,"&gt;="&amp;B317)=1,INDEX(Invoices!$B$6:$B$305,SUMIFS(Invoices!$O$6:$O$305,Invoices!$C$6:$C$305,C317,Invoices!$E$6:$E$305,"&lt;="&amp;B317,Invoices!$F$6:$F$305,"&gt;="&amp;B317)),IF(COUNTIFS(Invoices!$C$6:$C$305,C317,Invoices!$E$6:$E$305,"&lt;="&amp;B317,Invoices!$F$6:$F$305,"&gt;="&amp;B317)&gt;1,"Two invoices",""))))</f>
        <v/>
      </c>
      <c r="Q317" s="15">
        <f>IF(B317="","",IF(J317&lt;&gt;"","Not billable",IF(P317="","To invoice",IF(P317="Two invoices","Check dates",IF(ISNA(MATCH(P317,Invoices!$B$6:$B$305,0)),"Check number",IF(INDEX(Invoices!$M$6:$M$305,MATCH(P317,Invoices!$B$6:$B$305,0))="Paid","Paid",IF(INDEX(Invoices!$M$6:$M$305,MATCH(P317,Invoices!$B$6:$B$305,0))="Draft","Draft","Invoiced")))))))</f>
        <v/>
      </c>
      <c r="R317" s="1">
        <f>IF(AND(B317&lt;&gt;"",P317&lt;&gt;"",P317=Invoice!$G$4),B317+MOD(N(F317),1)+ROW()/10000000,"")</f>
        <v/>
      </c>
      <c r="S317">
        <f>IF(R317="","",IF(D317="","Other work",D317)&amp;IF(AND(K317&lt;&gt;"",E317&lt;&gt;""),", "&amp;E317,""))</f>
        <v/>
      </c>
      <c r="T317">
        <f>IF(R317="","",IF(COUNTIFS(R$6:R316,"&gt;0",S$6:S316,S317,N$6:N316,N317)=0,R317,""))</f>
        <v/>
      </c>
      <c r="U317">
        <f>IF(B317="","",IF(J317&lt;&gt;"",0,M317))</f>
        <v/>
      </c>
    </row>
    <row r="318">
      <c r="A318" s="1" t="n"/>
      <c r="B318" s="16" t="n"/>
      <c r="C318" s="17" t="n"/>
      <c r="D318" s="18" t="n"/>
      <c r="E318" s="18" t="n"/>
      <c r="F318" s="19" t="n"/>
      <c r="G318" s="19" t="n"/>
      <c r="H318" s="20" t="n"/>
      <c r="I318" s="21" t="n"/>
      <c r="J318" s="22" t="n"/>
      <c r="K318" s="23" t="n"/>
      <c r="L318" s="18" t="n"/>
      <c r="M318" s="24">
        <f>IF(B318="","",IF(AND(F318&lt;&gt;"",G318&lt;&gt;""),MAX(0,ROUND(MOD(G318-F318,1)*24-N(H318)/60,2)),N(I318)))</f>
        <v/>
      </c>
      <c r="N318" s="14">
        <f>IF(B318="","",IF(K318&lt;&gt;"",K318,IF(N(IFERROR(INDEX(Projects!$D$6:$D$65,MATCH(D318,Projects!$B$6:$B$65,0)),""))&gt;0,IFERROR(INDEX(Projects!$D$6:$D$65,MATCH(D318,Projects!$B$6:$B$65,0)),""),IFERROR(INDEX(Clients!$G$6:$G$45,MATCH(C318,Clients!$B$6:$B$45,0)),0))))</f>
        <v/>
      </c>
      <c r="O318" s="14">
        <f>IF(B318="","",IF(J318&lt;&gt;"",0,ROUND(M318*N318,2)))</f>
        <v/>
      </c>
      <c r="P318" s="15">
        <f>IF(OR(B318="",J318&lt;&gt;""),"",IF(L318&lt;&gt;"",L318,IF(COUNTIFS(Invoices!$C$6:$C$305,C318,Invoices!$E$6:$E$305,"&lt;="&amp;B318,Invoices!$F$6:$F$305,"&gt;="&amp;B318)=1,INDEX(Invoices!$B$6:$B$305,SUMIFS(Invoices!$O$6:$O$305,Invoices!$C$6:$C$305,C318,Invoices!$E$6:$E$305,"&lt;="&amp;B318,Invoices!$F$6:$F$305,"&gt;="&amp;B318)),IF(COUNTIFS(Invoices!$C$6:$C$305,C318,Invoices!$E$6:$E$305,"&lt;="&amp;B318,Invoices!$F$6:$F$305,"&gt;="&amp;B318)&gt;1,"Two invoices",""))))</f>
        <v/>
      </c>
      <c r="Q318" s="15">
        <f>IF(B318="","",IF(J318&lt;&gt;"","Not billable",IF(P318="","To invoice",IF(P318="Two invoices","Check dates",IF(ISNA(MATCH(P318,Invoices!$B$6:$B$305,0)),"Check number",IF(INDEX(Invoices!$M$6:$M$305,MATCH(P318,Invoices!$B$6:$B$305,0))="Paid","Paid",IF(INDEX(Invoices!$M$6:$M$305,MATCH(P318,Invoices!$B$6:$B$305,0))="Draft","Draft","Invoiced")))))))</f>
        <v/>
      </c>
      <c r="R318" s="1">
        <f>IF(AND(B318&lt;&gt;"",P318&lt;&gt;"",P318=Invoice!$G$4),B318+MOD(N(F318),1)+ROW()/10000000,"")</f>
        <v/>
      </c>
      <c r="S318">
        <f>IF(R318="","",IF(D318="","Other work",D318)&amp;IF(AND(K318&lt;&gt;"",E318&lt;&gt;""),", "&amp;E318,""))</f>
        <v/>
      </c>
      <c r="T318">
        <f>IF(R318="","",IF(COUNTIFS(R$6:R317,"&gt;0",S$6:S317,S318,N$6:N317,N318)=0,R318,""))</f>
        <v/>
      </c>
      <c r="U318">
        <f>IF(B318="","",IF(J318&lt;&gt;"",0,M318))</f>
        <v/>
      </c>
    </row>
    <row r="319">
      <c r="A319" s="1" t="n"/>
      <c r="B319" s="16" t="n"/>
      <c r="C319" s="17" t="n"/>
      <c r="D319" s="18" t="n"/>
      <c r="E319" s="18" t="n"/>
      <c r="F319" s="19" t="n"/>
      <c r="G319" s="19" t="n"/>
      <c r="H319" s="20" t="n"/>
      <c r="I319" s="21" t="n"/>
      <c r="J319" s="22" t="n"/>
      <c r="K319" s="23" t="n"/>
      <c r="L319" s="18" t="n"/>
      <c r="M319" s="24">
        <f>IF(B319="","",IF(AND(F319&lt;&gt;"",G319&lt;&gt;""),MAX(0,ROUND(MOD(G319-F319,1)*24-N(H319)/60,2)),N(I319)))</f>
        <v/>
      </c>
      <c r="N319" s="14">
        <f>IF(B319="","",IF(K319&lt;&gt;"",K319,IF(N(IFERROR(INDEX(Projects!$D$6:$D$65,MATCH(D319,Projects!$B$6:$B$65,0)),""))&gt;0,IFERROR(INDEX(Projects!$D$6:$D$65,MATCH(D319,Projects!$B$6:$B$65,0)),""),IFERROR(INDEX(Clients!$G$6:$G$45,MATCH(C319,Clients!$B$6:$B$45,0)),0))))</f>
        <v/>
      </c>
      <c r="O319" s="14">
        <f>IF(B319="","",IF(J319&lt;&gt;"",0,ROUND(M319*N319,2)))</f>
        <v/>
      </c>
      <c r="P319" s="15">
        <f>IF(OR(B319="",J319&lt;&gt;""),"",IF(L319&lt;&gt;"",L319,IF(COUNTIFS(Invoices!$C$6:$C$305,C319,Invoices!$E$6:$E$305,"&lt;="&amp;B319,Invoices!$F$6:$F$305,"&gt;="&amp;B319)=1,INDEX(Invoices!$B$6:$B$305,SUMIFS(Invoices!$O$6:$O$305,Invoices!$C$6:$C$305,C319,Invoices!$E$6:$E$305,"&lt;="&amp;B319,Invoices!$F$6:$F$305,"&gt;="&amp;B319)),IF(COUNTIFS(Invoices!$C$6:$C$305,C319,Invoices!$E$6:$E$305,"&lt;="&amp;B319,Invoices!$F$6:$F$305,"&gt;="&amp;B319)&gt;1,"Two invoices",""))))</f>
        <v/>
      </c>
      <c r="Q319" s="15">
        <f>IF(B319="","",IF(J319&lt;&gt;"","Not billable",IF(P319="","To invoice",IF(P319="Two invoices","Check dates",IF(ISNA(MATCH(P319,Invoices!$B$6:$B$305,0)),"Check number",IF(INDEX(Invoices!$M$6:$M$305,MATCH(P319,Invoices!$B$6:$B$305,0))="Paid","Paid",IF(INDEX(Invoices!$M$6:$M$305,MATCH(P319,Invoices!$B$6:$B$305,0))="Draft","Draft","Invoiced")))))))</f>
        <v/>
      </c>
      <c r="R319" s="1">
        <f>IF(AND(B319&lt;&gt;"",P319&lt;&gt;"",P319=Invoice!$G$4),B319+MOD(N(F319),1)+ROW()/10000000,"")</f>
        <v/>
      </c>
      <c r="S319">
        <f>IF(R319="","",IF(D319="","Other work",D319)&amp;IF(AND(K319&lt;&gt;"",E319&lt;&gt;""),", "&amp;E319,""))</f>
        <v/>
      </c>
      <c r="T319">
        <f>IF(R319="","",IF(COUNTIFS(R$6:R318,"&gt;0",S$6:S318,S319,N$6:N318,N319)=0,R319,""))</f>
        <v/>
      </c>
      <c r="U319">
        <f>IF(B319="","",IF(J319&lt;&gt;"",0,M319))</f>
        <v/>
      </c>
    </row>
    <row r="320">
      <c r="A320" s="1" t="n"/>
      <c r="B320" s="16" t="n"/>
      <c r="C320" s="17" t="n"/>
      <c r="D320" s="18" t="n"/>
      <c r="E320" s="18" t="n"/>
      <c r="F320" s="19" t="n"/>
      <c r="G320" s="19" t="n"/>
      <c r="H320" s="20" t="n"/>
      <c r="I320" s="21" t="n"/>
      <c r="J320" s="22" t="n"/>
      <c r="K320" s="23" t="n"/>
      <c r="L320" s="18" t="n"/>
      <c r="M320" s="24">
        <f>IF(B320="","",IF(AND(F320&lt;&gt;"",G320&lt;&gt;""),MAX(0,ROUND(MOD(G320-F320,1)*24-N(H320)/60,2)),N(I320)))</f>
        <v/>
      </c>
      <c r="N320" s="14">
        <f>IF(B320="","",IF(K320&lt;&gt;"",K320,IF(N(IFERROR(INDEX(Projects!$D$6:$D$65,MATCH(D320,Projects!$B$6:$B$65,0)),""))&gt;0,IFERROR(INDEX(Projects!$D$6:$D$65,MATCH(D320,Projects!$B$6:$B$65,0)),""),IFERROR(INDEX(Clients!$G$6:$G$45,MATCH(C320,Clients!$B$6:$B$45,0)),0))))</f>
        <v/>
      </c>
      <c r="O320" s="14">
        <f>IF(B320="","",IF(J320&lt;&gt;"",0,ROUND(M320*N320,2)))</f>
        <v/>
      </c>
      <c r="P320" s="15">
        <f>IF(OR(B320="",J320&lt;&gt;""),"",IF(L320&lt;&gt;"",L320,IF(COUNTIFS(Invoices!$C$6:$C$305,C320,Invoices!$E$6:$E$305,"&lt;="&amp;B320,Invoices!$F$6:$F$305,"&gt;="&amp;B320)=1,INDEX(Invoices!$B$6:$B$305,SUMIFS(Invoices!$O$6:$O$305,Invoices!$C$6:$C$305,C320,Invoices!$E$6:$E$305,"&lt;="&amp;B320,Invoices!$F$6:$F$305,"&gt;="&amp;B320)),IF(COUNTIFS(Invoices!$C$6:$C$305,C320,Invoices!$E$6:$E$305,"&lt;="&amp;B320,Invoices!$F$6:$F$305,"&gt;="&amp;B320)&gt;1,"Two invoices",""))))</f>
        <v/>
      </c>
      <c r="Q320" s="15">
        <f>IF(B320="","",IF(J320&lt;&gt;"","Not billable",IF(P320="","To invoice",IF(P320="Two invoices","Check dates",IF(ISNA(MATCH(P320,Invoices!$B$6:$B$305,0)),"Check number",IF(INDEX(Invoices!$M$6:$M$305,MATCH(P320,Invoices!$B$6:$B$305,0))="Paid","Paid",IF(INDEX(Invoices!$M$6:$M$305,MATCH(P320,Invoices!$B$6:$B$305,0))="Draft","Draft","Invoiced")))))))</f>
        <v/>
      </c>
      <c r="R320" s="1">
        <f>IF(AND(B320&lt;&gt;"",P320&lt;&gt;"",P320=Invoice!$G$4),B320+MOD(N(F320),1)+ROW()/10000000,"")</f>
        <v/>
      </c>
      <c r="S320">
        <f>IF(R320="","",IF(D320="","Other work",D320)&amp;IF(AND(K320&lt;&gt;"",E320&lt;&gt;""),", "&amp;E320,""))</f>
        <v/>
      </c>
      <c r="T320">
        <f>IF(R320="","",IF(COUNTIFS(R$6:R319,"&gt;0",S$6:S319,S320,N$6:N319,N320)=0,R320,""))</f>
        <v/>
      </c>
      <c r="U320">
        <f>IF(B320="","",IF(J320&lt;&gt;"",0,M320))</f>
        <v/>
      </c>
    </row>
    <row r="321">
      <c r="A321" s="1" t="n"/>
      <c r="B321" s="16" t="n"/>
      <c r="C321" s="17" t="n"/>
      <c r="D321" s="18" t="n"/>
      <c r="E321" s="18" t="n"/>
      <c r="F321" s="19" t="n"/>
      <c r="G321" s="19" t="n"/>
      <c r="H321" s="20" t="n"/>
      <c r="I321" s="21" t="n"/>
      <c r="J321" s="22" t="n"/>
      <c r="K321" s="23" t="n"/>
      <c r="L321" s="18" t="n"/>
      <c r="M321" s="24">
        <f>IF(B321="","",IF(AND(F321&lt;&gt;"",G321&lt;&gt;""),MAX(0,ROUND(MOD(G321-F321,1)*24-N(H321)/60,2)),N(I321)))</f>
        <v/>
      </c>
      <c r="N321" s="14">
        <f>IF(B321="","",IF(K321&lt;&gt;"",K321,IF(N(IFERROR(INDEX(Projects!$D$6:$D$65,MATCH(D321,Projects!$B$6:$B$65,0)),""))&gt;0,IFERROR(INDEX(Projects!$D$6:$D$65,MATCH(D321,Projects!$B$6:$B$65,0)),""),IFERROR(INDEX(Clients!$G$6:$G$45,MATCH(C321,Clients!$B$6:$B$45,0)),0))))</f>
        <v/>
      </c>
      <c r="O321" s="14">
        <f>IF(B321="","",IF(J321&lt;&gt;"",0,ROUND(M321*N321,2)))</f>
        <v/>
      </c>
      <c r="P321" s="15">
        <f>IF(OR(B321="",J321&lt;&gt;""),"",IF(L321&lt;&gt;"",L321,IF(COUNTIFS(Invoices!$C$6:$C$305,C321,Invoices!$E$6:$E$305,"&lt;="&amp;B321,Invoices!$F$6:$F$305,"&gt;="&amp;B321)=1,INDEX(Invoices!$B$6:$B$305,SUMIFS(Invoices!$O$6:$O$305,Invoices!$C$6:$C$305,C321,Invoices!$E$6:$E$305,"&lt;="&amp;B321,Invoices!$F$6:$F$305,"&gt;="&amp;B321)),IF(COUNTIFS(Invoices!$C$6:$C$305,C321,Invoices!$E$6:$E$305,"&lt;="&amp;B321,Invoices!$F$6:$F$305,"&gt;="&amp;B321)&gt;1,"Two invoices",""))))</f>
        <v/>
      </c>
      <c r="Q321" s="15">
        <f>IF(B321="","",IF(J321&lt;&gt;"","Not billable",IF(P321="","To invoice",IF(P321="Two invoices","Check dates",IF(ISNA(MATCH(P321,Invoices!$B$6:$B$305,0)),"Check number",IF(INDEX(Invoices!$M$6:$M$305,MATCH(P321,Invoices!$B$6:$B$305,0))="Paid","Paid",IF(INDEX(Invoices!$M$6:$M$305,MATCH(P321,Invoices!$B$6:$B$305,0))="Draft","Draft","Invoiced")))))))</f>
        <v/>
      </c>
      <c r="R321" s="1">
        <f>IF(AND(B321&lt;&gt;"",P321&lt;&gt;"",P321=Invoice!$G$4),B321+MOD(N(F321),1)+ROW()/10000000,"")</f>
        <v/>
      </c>
      <c r="S321">
        <f>IF(R321="","",IF(D321="","Other work",D321)&amp;IF(AND(K321&lt;&gt;"",E321&lt;&gt;""),", "&amp;E321,""))</f>
        <v/>
      </c>
      <c r="T321">
        <f>IF(R321="","",IF(COUNTIFS(R$6:R320,"&gt;0",S$6:S320,S321,N$6:N320,N321)=0,R321,""))</f>
        <v/>
      </c>
      <c r="U321">
        <f>IF(B321="","",IF(J321&lt;&gt;"",0,M321))</f>
        <v/>
      </c>
    </row>
    <row r="322">
      <c r="A322" s="1" t="n"/>
      <c r="B322" s="16" t="n"/>
      <c r="C322" s="17" t="n"/>
      <c r="D322" s="18" t="n"/>
      <c r="E322" s="18" t="n"/>
      <c r="F322" s="19" t="n"/>
      <c r="G322" s="19" t="n"/>
      <c r="H322" s="20" t="n"/>
      <c r="I322" s="21" t="n"/>
      <c r="J322" s="22" t="n"/>
      <c r="K322" s="23" t="n"/>
      <c r="L322" s="18" t="n"/>
      <c r="M322" s="24">
        <f>IF(B322="","",IF(AND(F322&lt;&gt;"",G322&lt;&gt;""),MAX(0,ROUND(MOD(G322-F322,1)*24-N(H322)/60,2)),N(I322)))</f>
        <v/>
      </c>
      <c r="N322" s="14">
        <f>IF(B322="","",IF(K322&lt;&gt;"",K322,IF(N(IFERROR(INDEX(Projects!$D$6:$D$65,MATCH(D322,Projects!$B$6:$B$65,0)),""))&gt;0,IFERROR(INDEX(Projects!$D$6:$D$65,MATCH(D322,Projects!$B$6:$B$65,0)),""),IFERROR(INDEX(Clients!$G$6:$G$45,MATCH(C322,Clients!$B$6:$B$45,0)),0))))</f>
        <v/>
      </c>
      <c r="O322" s="14">
        <f>IF(B322="","",IF(J322&lt;&gt;"",0,ROUND(M322*N322,2)))</f>
        <v/>
      </c>
      <c r="P322" s="15">
        <f>IF(OR(B322="",J322&lt;&gt;""),"",IF(L322&lt;&gt;"",L322,IF(COUNTIFS(Invoices!$C$6:$C$305,C322,Invoices!$E$6:$E$305,"&lt;="&amp;B322,Invoices!$F$6:$F$305,"&gt;="&amp;B322)=1,INDEX(Invoices!$B$6:$B$305,SUMIFS(Invoices!$O$6:$O$305,Invoices!$C$6:$C$305,C322,Invoices!$E$6:$E$305,"&lt;="&amp;B322,Invoices!$F$6:$F$305,"&gt;="&amp;B322)),IF(COUNTIFS(Invoices!$C$6:$C$305,C322,Invoices!$E$6:$E$305,"&lt;="&amp;B322,Invoices!$F$6:$F$305,"&gt;="&amp;B322)&gt;1,"Two invoices",""))))</f>
        <v/>
      </c>
      <c r="Q322" s="15">
        <f>IF(B322="","",IF(J322&lt;&gt;"","Not billable",IF(P322="","To invoice",IF(P322="Two invoices","Check dates",IF(ISNA(MATCH(P322,Invoices!$B$6:$B$305,0)),"Check number",IF(INDEX(Invoices!$M$6:$M$305,MATCH(P322,Invoices!$B$6:$B$305,0))="Paid","Paid",IF(INDEX(Invoices!$M$6:$M$305,MATCH(P322,Invoices!$B$6:$B$305,0))="Draft","Draft","Invoiced")))))))</f>
        <v/>
      </c>
      <c r="R322" s="1">
        <f>IF(AND(B322&lt;&gt;"",P322&lt;&gt;"",P322=Invoice!$G$4),B322+MOD(N(F322),1)+ROW()/10000000,"")</f>
        <v/>
      </c>
      <c r="S322">
        <f>IF(R322="","",IF(D322="","Other work",D322)&amp;IF(AND(K322&lt;&gt;"",E322&lt;&gt;""),", "&amp;E322,""))</f>
        <v/>
      </c>
      <c r="T322">
        <f>IF(R322="","",IF(COUNTIFS(R$6:R321,"&gt;0",S$6:S321,S322,N$6:N321,N322)=0,R322,""))</f>
        <v/>
      </c>
      <c r="U322">
        <f>IF(B322="","",IF(J322&lt;&gt;"",0,M322))</f>
        <v/>
      </c>
    </row>
    <row r="323">
      <c r="A323" s="1" t="n"/>
      <c r="B323" s="16" t="n"/>
      <c r="C323" s="17" t="n"/>
      <c r="D323" s="18" t="n"/>
      <c r="E323" s="18" t="n"/>
      <c r="F323" s="19" t="n"/>
      <c r="G323" s="19" t="n"/>
      <c r="H323" s="20" t="n"/>
      <c r="I323" s="21" t="n"/>
      <c r="J323" s="22" t="n"/>
      <c r="K323" s="23" t="n"/>
      <c r="L323" s="18" t="n"/>
      <c r="M323" s="24">
        <f>IF(B323="","",IF(AND(F323&lt;&gt;"",G323&lt;&gt;""),MAX(0,ROUND(MOD(G323-F323,1)*24-N(H323)/60,2)),N(I323)))</f>
        <v/>
      </c>
      <c r="N323" s="14">
        <f>IF(B323="","",IF(K323&lt;&gt;"",K323,IF(N(IFERROR(INDEX(Projects!$D$6:$D$65,MATCH(D323,Projects!$B$6:$B$65,0)),""))&gt;0,IFERROR(INDEX(Projects!$D$6:$D$65,MATCH(D323,Projects!$B$6:$B$65,0)),""),IFERROR(INDEX(Clients!$G$6:$G$45,MATCH(C323,Clients!$B$6:$B$45,0)),0))))</f>
        <v/>
      </c>
      <c r="O323" s="14">
        <f>IF(B323="","",IF(J323&lt;&gt;"",0,ROUND(M323*N323,2)))</f>
        <v/>
      </c>
      <c r="P323" s="15">
        <f>IF(OR(B323="",J323&lt;&gt;""),"",IF(L323&lt;&gt;"",L323,IF(COUNTIFS(Invoices!$C$6:$C$305,C323,Invoices!$E$6:$E$305,"&lt;="&amp;B323,Invoices!$F$6:$F$305,"&gt;="&amp;B323)=1,INDEX(Invoices!$B$6:$B$305,SUMIFS(Invoices!$O$6:$O$305,Invoices!$C$6:$C$305,C323,Invoices!$E$6:$E$305,"&lt;="&amp;B323,Invoices!$F$6:$F$305,"&gt;="&amp;B323)),IF(COUNTIFS(Invoices!$C$6:$C$305,C323,Invoices!$E$6:$E$305,"&lt;="&amp;B323,Invoices!$F$6:$F$305,"&gt;="&amp;B323)&gt;1,"Two invoices",""))))</f>
        <v/>
      </c>
      <c r="Q323" s="15">
        <f>IF(B323="","",IF(J323&lt;&gt;"","Not billable",IF(P323="","To invoice",IF(P323="Two invoices","Check dates",IF(ISNA(MATCH(P323,Invoices!$B$6:$B$305,0)),"Check number",IF(INDEX(Invoices!$M$6:$M$305,MATCH(P323,Invoices!$B$6:$B$305,0))="Paid","Paid",IF(INDEX(Invoices!$M$6:$M$305,MATCH(P323,Invoices!$B$6:$B$305,0))="Draft","Draft","Invoiced")))))))</f>
        <v/>
      </c>
      <c r="R323" s="1">
        <f>IF(AND(B323&lt;&gt;"",P323&lt;&gt;"",P323=Invoice!$G$4),B323+MOD(N(F323),1)+ROW()/10000000,"")</f>
        <v/>
      </c>
      <c r="S323">
        <f>IF(R323="","",IF(D323="","Other work",D323)&amp;IF(AND(K323&lt;&gt;"",E323&lt;&gt;""),", "&amp;E323,""))</f>
        <v/>
      </c>
      <c r="T323">
        <f>IF(R323="","",IF(COUNTIFS(R$6:R322,"&gt;0",S$6:S322,S323,N$6:N322,N323)=0,R323,""))</f>
        <v/>
      </c>
      <c r="U323">
        <f>IF(B323="","",IF(J323&lt;&gt;"",0,M323))</f>
        <v/>
      </c>
    </row>
    <row r="324">
      <c r="A324" s="1" t="n"/>
      <c r="B324" s="16" t="n"/>
      <c r="C324" s="17" t="n"/>
      <c r="D324" s="18" t="n"/>
      <c r="E324" s="18" t="n"/>
      <c r="F324" s="19" t="n"/>
      <c r="G324" s="19" t="n"/>
      <c r="H324" s="20" t="n"/>
      <c r="I324" s="21" t="n"/>
      <c r="J324" s="22" t="n"/>
      <c r="K324" s="23" t="n"/>
      <c r="L324" s="18" t="n"/>
      <c r="M324" s="24">
        <f>IF(B324="","",IF(AND(F324&lt;&gt;"",G324&lt;&gt;""),MAX(0,ROUND(MOD(G324-F324,1)*24-N(H324)/60,2)),N(I324)))</f>
        <v/>
      </c>
      <c r="N324" s="14">
        <f>IF(B324="","",IF(K324&lt;&gt;"",K324,IF(N(IFERROR(INDEX(Projects!$D$6:$D$65,MATCH(D324,Projects!$B$6:$B$65,0)),""))&gt;0,IFERROR(INDEX(Projects!$D$6:$D$65,MATCH(D324,Projects!$B$6:$B$65,0)),""),IFERROR(INDEX(Clients!$G$6:$G$45,MATCH(C324,Clients!$B$6:$B$45,0)),0))))</f>
        <v/>
      </c>
      <c r="O324" s="14">
        <f>IF(B324="","",IF(J324&lt;&gt;"",0,ROUND(M324*N324,2)))</f>
        <v/>
      </c>
      <c r="P324" s="15">
        <f>IF(OR(B324="",J324&lt;&gt;""),"",IF(L324&lt;&gt;"",L324,IF(COUNTIFS(Invoices!$C$6:$C$305,C324,Invoices!$E$6:$E$305,"&lt;="&amp;B324,Invoices!$F$6:$F$305,"&gt;="&amp;B324)=1,INDEX(Invoices!$B$6:$B$305,SUMIFS(Invoices!$O$6:$O$305,Invoices!$C$6:$C$305,C324,Invoices!$E$6:$E$305,"&lt;="&amp;B324,Invoices!$F$6:$F$305,"&gt;="&amp;B324)),IF(COUNTIFS(Invoices!$C$6:$C$305,C324,Invoices!$E$6:$E$305,"&lt;="&amp;B324,Invoices!$F$6:$F$305,"&gt;="&amp;B324)&gt;1,"Two invoices",""))))</f>
        <v/>
      </c>
      <c r="Q324" s="15">
        <f>IF(B324="","",IF(J324&lt;&gt;"","Not billable",IF(P324="","To invoice",IF(P324="Two invoices","Check dates",IF(ISNA(MATCH(P324,Invoices!$B$6:$B$305,0)),"Check number",IF(INDEX(Invoices!$M$6:$M$305,MATCH(P324,Invoices!$B$6:$B$305,0))="Paid","Paid",IF(INDEX(Invoices!$M$6:$M$305,MATCH(P324,Invoices!$B$6:$B$305,0))="Draft","Draft","Invoiced")))))))</f>
        <v/>
      </c>
      <c r="R324" s="1">
        <f>IF(AND(B324&lt;&gt;"",P324&lt;&gt;"",P324=Invoice!$G$4),B324+MOD(N(F324),1)+ROW()/10000000,"")</f>
        <v/>
      </c>
      <c r="S324">
        <f>IF(R324="","",IF(D324="","Other work",D324)&amp;IF(AND(K324&lt;&gt;"",E324&lt;&gt;""),", "&amp;E324,""))</f>
        <v/>
      </c>
      <c r="T324">
        <f>IF(R324="","",IF(COUNTIFS(R$6:R323,"&gt;0",S$6:S323,S324,N$6:N323,N324)=0,R324,""))</f>
        <v/>
      </c>
      <c r="U324">
        <f>IF(B324="","",IF(J324&lt;&gt;"",0,M324))</f>
        <v/>
      </c>
    </row>
    <row r="325">
      <c r="A325" s="1" t="n"/>
      <c r="B325" s="16" t="n"/>
      <c r="C325" s="17" t="n"/>
      <c r="D325" s="18" t="n"/>
      <c r="E325" s="18" t="n"/>
      <c r="F325" s="19" t="n"/>
      <c r="G325" s="19" t="n"/>
      <c r="H325" s="20" t="n"/>
      <c r="I325" s="21" t="n"/>
      <c r="J325" s="22" t="n"/>
      <c r="K325" s="23" t="n"/>
      <c r="L325" s="18" t="n"/>
      <c r="M325" s="24">
        <f>IF(B325="","",IF(AND(F325&lt;&gt;"",G325&lt;&gt;""),MAX(0,ROUND(MOD(G325-F325,1)*24-N(H325)/60,2)),N(I325)))</f>
        <v/>
      </c>
      <c r="N325" s="14">
        <f>IF(B325="","",IF(K325&lt;&gt;"",K325,IF(N(IFERROR(INDEX(Projects!$D$6:$D$65,MATCH(D325,Projects!$B$6:$B$65,0)),""))&gt;0,IFERROR(INDEX(Projects!$D$6:$D$65,MATCH(D325,Projects!$B$6:$B$65,0)),""),IFERROR(INDEX(Clients!$G$6:$G$45,MATCH(C325,Clients!$B$6:$B$45,0)),0))))</f>
        <v/>
      </c>
      <c r="O325" s="14">
        <f>IF(B325="","",IF(J325&lt;&gt;"",0,ROUND(M325*N325,2)))</f>
        <v/>
      </c>
      <c r="P325" s="15">
        <f>IF(OR(B325="",J325&lt;&gt;""),"",IF(L325&lt;&gt;"",L325,IF(COUNTIFS(Invoices!$C$6:$C$305,C325,Invoices!$E$6:$E$305,"&lt;="&amp;B325,Invoices!$F$6:$F$305,"&gt;="&amp;B325)=1,INDEX(Invoices!$B$6:$B$305,SUMIFS(Invoices!$O$6:$O$305,Invoices!$C$6:$C$305,C325,Invoices!$E$6:$E$305,"&lt;="&amp;B325,Invoices!$F$6:$F$305,"&gt;="&amp;B325)),IF(COUNTIFS(Invoices!$C$6:$C$305,C325,Invoices!$E$6:$E$305,"&lt;="&amp;B325,Invoices!$F$6:$F$305,"&gt;="&amp;B325)&gt;1,"Two invoices",""))))</f>
        <v/>
      </c>
      <c r="Q325" s="15">
        <f>IF(B325="","",IF(J325&lt;&gt;"","Not billable",IF(P325="","To invoice",IF(P325="Two invoices","Check dates",IF(ISNA(MATCH(P325,Invoices!$B$6:$B$305,0)),"Check number",IF(INDEX(Invoices!$M$6:$M$305,MATCH(P325,Invoices!$B$6:$B$305,0))="Paid","Paid",IF(INDEX(Invoices!$M$6:$M$305,MATCH(P325,Invoices!$B$6:$B$305,0))="Draft","Draft","Invoiced")))))))</f>
        <v/>
      </c>
      <c r="R325" s="1">
        <f>IF(AND(B325&lt;&gt;"",P325&lt;&gt;"",P325=Invoice!$G$4),B325+MOD(N(F325),1)+ROW()/10000000,"")</f>
        <v/>
      </c>
      <c r="S325">
        <f>IF(R325="","",IF(D325="","Other work",D325)&amp;IF(AND(K325&lt;&gt;"",E325&lt;&gt;""),", "&amp;E325,""))</f>
        <v/>
      </c>
      <c r="T325">
        <f>IF(R325="","",IF(COUNTIFS(R$6:R324,"&gt;0",S$6:S324,S325,N$6:N324,N325)=0,R325,""))</f>
        <v/>
      </c>
      <c r="U325">
        <f>IF(B325="","",IF(J325&lt;&gt;"",0,M325))</f>
        <v/>
      </c>
    </row>
    <row r="326">
      <c r="A326" s="1" t="n"/>
      <c r="B326" s="16" t="n"/>
      <c r="C326" s="17" t="n"/>
      <c r="D326" s="18" t="n"/>
      <c r="E326" s="18" t="n"/>
      <c r="F326" s="19" t="n"/>
      <c r="G326" s="19" t="n"/>
      <c r="H326" s="20" t="n"/>
      <c r="I326" s="21" t="n"/>
      <c r="J326" s="22" t="n"/>
      <c r="K326" s="23" t="n"/>
      <c r="L326" s="18" t="n"/>
      <c r="M326" s="24">
        <f>IF(B326="","",IF(AND(F326&lt;&gt;"",G326&lt;&gt;""),MAX(0,ROUND(MOD(G326-F326,1)*24-N(H326)/60,2)),N(I326)))</f>
        <v/>
      </c>
      <c r="N326" s="14">
        <f>IF(B326="","",IF(K326&lt;&gt;"",K326,IF(N(IFERROR(INDEX(Projects!$D$6:$D$65,MATCH(D326,Projects!$B$6:$B$65,0)),""))&gt;0,IFERROR(INDEX(Projects!$D$6:$D$65,MATCH(D326,Projects!$B$6:$B$65,0)),""),IFERROR(INDEX(Clients!$G$6:$G$45,MATCH(C326,Clients!$B$6:$B$45,0)),0))))</f>
        <v/>
      </c>
      <c r="O326" s="14">
        <f>IF(B326="","",IF(J326&lt;&gt;"",0,ROUND(M326*N326,2)))</f>
        <v/>
      </c>
      <c r="P326" s="15">
        <f>IF(OR(B326="",J326&lt;&gt;""),"",IF(L326&lt;&gt;"",L326,IF(COUNTIFS(Invoices!$C$6:$C$305,C326,Invoices!$E$6:$E$305,"&lt;="&amp;B326,Invoices!$F$6:$F$305,"&gt;="&amp;B326)=1,INDEX(Invoices!$B$6:$B$305,SUMIFS(Invoices!$O$6:$O$305,Invoices!$C$6:$C$305,C326,Invoices!$E$6:$E$305,"&lt;="&amp;B326,Invoices!$F$6:$F$305,"&gt;="&amp;B326)),IF(COUNTIFS(Invoices!$C$6:$C$305,C326,Invoices!$E$6:$E$305,"&lt;="&amp;B326,Invoices!$F$6:$F$305,"&gt;="&amp;B326)&gt;1,"Two invoices",""))))</f>
        <v/>
      </c>
      <c r="Q326" s="15">
        <f>IF(B326="","",IF(J326&lt;&gt;"","Not billable",IF(P326="","To invoice",IF(P326="Two invoices","Check dates",IF(ISNA(MATCH(P326,Invoices!$B$6:$B$305,0)),"Check number",IF(INDEX(Invoices!$M$6:$M$305,MATCH(P326,Invoices!$B$6:$B$305,0))="Paid","Paid",IF(INDEX(Invoices!$M$6:$M$305,MATCH(P326,Invoices!$B$6:$B$305,0))="Draft","Draft","Invoiced")))))))</f>
        <v/>
      </c>
      <c r="R326" s="1">
        <f>IF(AND(B326&lt;&gt;"",P326&lt;&gt;"",P326=Invoice!$G$4),B326+MOD(N(F326),1)+ROW()/10000000,"")</f>
        <v/>
      </c>
      <c r="S326">
        <f>IF(R326="","",IF(D326="","Other work",D326)&amp;IF(AND(K326&lt;&gt;"",E326&lt;&gt;""),", "&amp;E326,""))</f>
        <v/>
      </c>
      <c r="T326">
        <f>IF(R326="","",IF(COUNTIFS(R$6:R325,"&gt;0",S$6:S325,S326,N$6:N325,N326)=0,R326,""))</f>
        <v/>
      </c>
      <c r="U326">
        <f>IF(B326="","",IF(J326&lt;&gt;"",0,M326))</f>
        <v/>
      </c>
    </row>
    <row r="327">
      <c r="A327" s="1" t="n"/>
      <c r="B327" s="16" t="n"/>
      <c r="C327" s="17" t="n"/>
      <c r="D327" s="18" t="n"/>
      <c r="E327" s="18" t="n"/>
      <c r="F327" s="19" t="n"/>
      <c r="G327" s="19" t="n"/>
      <c r="H327" s="20" t="n"/>
      <c r="I327" s="21" t="n"/>
      <c r="J327" s="22" t="n"/>
      <c r="K327" s="23" t="n"/>
      <c r="L327" s="18" t="n"/>
      <c r="M327" s="24">
        <f>IF(B327="","",IF(AND(F327&lt;&gt;"",G327&lt;&gt;""),MAX(0,ROUND(MOD(G327-F327,1)*24-N(H327)/60,2)),N(I327)))</f>
        <v/>
      </c>
      <c r="N327" s="14">
        <f>IF(B327="","",IF(K327&lt;&gt;"",K327,IF(N(IFERROR(INDEX(Projects!$D$6:$D$65,MATCH(D327,Projects!$B$6:$B$65,0)),""))&gt;0,IFERROR(INDEX(Projects!$D$6:$D$65,MATCH(D327,Projects!$B$6:$B$65,0)),""),IFERROR(INDEX(Clients!$G$6:$G$45,MATCH(C327,Clients!$B$6:$B$45,0)),0))))</f>
        <v/>
      </c>
      <c r="O327" s="14">
        <f>IF(B327="","",IF(J327&lt;&gt;"",0,ROUND(M327*N327,2)))</f>
        <v/>
      </c>
      <c r="P327" s="15">
        <f>IF(OR(B327="",J327&lt;&gt;""),"",IF(L327&lt;&gt;"",L327,IF(COUNTIFS(Invoices!$C$6:$C$305,C327,Invoices!$E$6:$E$305,"&lt;="&amp;B327,Invoices!$F$6:$F$305,"&gt;="&amp;B327)=1,INDEX(Invoices!$B$6:$B$305,SUMIFS(Invoices!$O$6:$O$305,Invoices!$C$6:$C$305,C327,Invoices!$E$6:$E$305,"&lt;="&amp;B327,Invoices!$F$6:$F$305,"&gt;="&amp;B327)),IF(COUNTIFS(Invoices!$C$6:$C$305,C327,Invoices!$E$6:$E$305,"&lt;="&amp;B327,Invoices!$F$6:$F$305,"&gt;="&amp;B327)&gt;1,"Two invoices",""))))</f>
        <v/>
      </c>
      <c r="Q327" s="15">
        <f>IF(B327="","",IF(J327&lt;&gt;"","Not billable",IF(P327="","To invoice",IF(P327="Two invoices","Check dates",IF(ISNA(MATCH(P327,Invoices!$B$6:$B$305,0)),"Check number",IF(INDEX(Invoices!$M$6:$M$305,MATCH(P327,Invoices!$B$6:$B$305,0))="Paid","Paid",IF(INDEX(Invoices!$M$6:$M$305,MATCH(P327,Invoices!$B$6:$B$305,0))="Draft","Draft","Invoiced")))))))</f>
        <v/>
      </c>
      <c r="R327" s="1">
        <f>IF(AND(B327&lt;&gt;"",P327&lt;&gt;"",P327=Invoice!$G$4),B327+MOD(N(F327),1)+ROW()/10000000,"")</f>
        <v/>
      </c>
      <c r="S327">
        <f>IF(R327="","",IF(D327="","Other work",D327)&amp;IF(AND(K327&lt;&gt;"",E327&lt;&gt;""),", "&amp;E327,""))</f>
        <v/>
      </c>
      <c r="T327">
        <f>IF(R327="","",IF(COUNTIFS(R$6:R326,"&gt;0",S$6:S326,S327,N$6:N326,N327)=0,R327,""))</f>
        <v/>
      </c>
      <c r="U327">
        <f>IF(B327="","",IF(J327&lt;&gt;"",0,M327))</f>
        <v/>
      </c>
    </row>
    <row r="328">
      <c r="A328" s="1" t="n"/>
      <c r="B328" s="16" t="n"/>
      <c r="C328" s="17" t="n"/>
      <c r="D328" s="18" t="n"/>
      <c r="E328" s="18" t="n"/>
      <c r="F328" s="19" t="n"/>
      <c r="G328" s="19" t="n"/>
      <c r="H328" s="20" t="n"/>
      <c r="I328" s="21" t="n"/>
      <c r="J328" s="22" t="n"/>
      <c r="K328" s="23" t="n"/>
      <c r="L328" s="18" t="n"/>
      <c r="M328" s="24">
        <f>IF(B328="","",IF(AND(F328&lt;&gt;"",G328&lt;&gt;""),MAX(0,ROUND(MOD(G328-F328,1)*24-N(H328)/60,2)),N(I328)))</f>
        <v/>
      </c>
      <c r="N328" s="14">
        <f>IF(B328="","",IF(K328&lt;&gt;"",K328,IF(N(IFERROR(INDEX(Projects!$D$6:$D$65,MATCH(D328,Projects!$B$6:$B$65,0)),""))&gt;0,IFERROR(INDEX(Projects!$D$6:$D$65,MATCH(D328,Projects!$B$6:$B$65,0)),""),IFERROR(INDEX(Clients!$G$6:$G$45,MATCH(C328,Clients!$B$6:$B$45,0)),0))))</f>
        <v/>
      </c>
      <c r="O328" s="14">
        <f>IF(B328="","",IF(J328&lt;&gt;"",0,ROUND(M328*N328,2)))</f>
        <v/>
      </c>
      <c r="P328" s="15">
        <f>IF(OR(B328="",J328&lt;&gt;""),"",IF(L328&lt;&gt;"",L328,IF(COUNTIFS(Invoices!$C$6:$C$305,C328,Invoices!$E$6:$E$305,"&lt;="&amp;B328,Invoices!$F$6:$F$305,"&gt;="&amp;B328)=1,INDEX(Invoices!$B$6:$B$305,SUMIFS(Invoices!$O$6:$O$305,Invoices!$C$6:$C$305,C328,Invoices!$E$6:$E$305,"&lt;="&amp;B328,Invoices!$F$6:$F$305,"&gt;="&amp;B328)),IF(COUNTIFS(Invoices!$C$6:$C$305,C328,Invoices!$E$6:$E$305,"&lt;="&amp;B328,Invoices!$F$6:$F$305,"&gt;="&amp;B328)&gt;1,"Two invoices",""))))</f>
        <v/>
      </c>
      <c r="Q328" s="15">
        <f>IF(B328="","",IF(J328&lt;&gt;"","Not billable",IF(P328="","To invoice",IF(P328="Two invoices","Check dates",IF(ISNA(MATCH(P328,Invoices!$B$6:$B$305,0)),"Check number",IF(INDEX(Invoices!$M$6:$M$305,MATCH(P328,Invoices!$B$6:$B$305,0))="Paid","Paid",IF(INDEX(Invoices!$M$6:$M$305,MATCH(P328,Invoices!$B$6:$B$305,0))="Draft","Draft","Invoiced")))))))</f>
        <v/>
      </c>
      <c r="R328" s="1">
        <f>IF(AND(B328&lt;&gt;"",P328&lt;&gt;"",P328=Invoice!$G$4),B328+MOD(N(F328),1)+ROW()/10000000,"")</f>
        <v/>
      </c>
      <c r="S328">
        <f>IF(R328="","",IF(D328="","Other work",D328)&amp;IF(AND(K328&lt;&gt;"",E328&lt;&gt;""),", "&amp;E328,""))</f>
        <v/>
      </c>
      <c r="T328">
        <f>IF(R328="","",IF(COUNTIFS(R$6:R327,"&gt;0",S$6:S327,S328,N$6:N327,N328)=0,R328,""))</f>
        <v/>
      </c>
      <c r="U328">
        <f>IF(B328="","",IF(J328&lt;&gt;"",0,M328))</f>
        <v/>
      </c>
    </row>
    <row r="329">
      <c r="A329" s="1" t="n"/>
      <c r="B329" s="16" t="n"/>
      <c r="C329" s="17" t="n"/>
      <c r="D329" s="18" t="n"/>
      <c r="E329" s="18" t="n"/>
      <c r="F329" s="19" t="n"/>
      <c r="G329" s="19" t="n"/>
      <c r="H329" s="20" t="n"/>
      <c r="I329" s="21" t="n"/>
      <c r="J329" s="22" t="n"/>
      <c r="K329" s="23" t="n"/>
      <c r="L329" s="18" t="n"/>
      <c r="M329" s="24">
        <f>IF(B329="","",IF(AND(F329&lt;&gt;"",G329&lt;&gt;""),MAX(0,ROUND(MOD(G329-F329,1)*24-N(H329)/60,2)),N(I329)))</f>
        <v/>
      </c>
      <c r="N329" s="14">
        <f>IF(B329="","",IF(K329&lt;&gt;"",K329,IF(N(IFERROR(INDEX(Projects!$D$6:$D$65,MATCH(D329,Projects!$B$6:$B$65,0)),""))&gt;0,IFERROR(INDEX(Projects!$D$6:$D$65,MATCH(D329,Projects!$B$6:$B$65,0)),""),IFERROR(INDEX(Clients!$G$6:$G$45,MATCH(C329,Clients!$B$6:$B$45,0)),0))))</f>
        <v/>
      </c>
      <c r="O329" s="14">
        <f>IF(B329="","",IF(J329&lt;&gt;"",0,ROUND(M329*N329,2)))</f>
        <v/>
      </c>
      <c r="P329" s="15">
        <f>IF(OR(B329="",J329&lt;&gt;""),"",IF(L329&lt;&gt;"",L329,IF(COUNTIFS(Invoices!$C$6:$C$305,C329,Invoices!$E$6:$E$305,"&lt;="&amp;B329,Invoices!$F$6:$F$305,"&gt;="&amp;B329)=1,INDEX(Invoices!$B$6:$B$305,SUMIFS(Invoices!$O$6:$O$305,Invoices!$C$6:$C$305,C329,Invoices!$E$6:$E$305,"&lt;="&amp;B329,Invoices!$F$6:$F$305,"&gt;="&amp;B329)),IF(COUNTIFS(Invoices!$C$6:$C$305,C329,Invoices!$E$6:$E$305,"&lt;="&amp;B329,Invoices!$F$6:$F$305,"&gt;="&amp;B329)&gt;1,"Two invoices",""))))</f>
        <v/>
      </c>
      <c r="Q329" s="15">
        <f>IF(B329="","",IF(J329&lt;&gt;"","Not billable",IF(P329="","To invoice",IF(P329="Two invoices","Check dates",IF(ISNA(MATCH(P329,Invoices!$B$6:$B$305,0)),"Check number",IF(INDEX(Invoices!$M$6:$M$305,MATCH(P329,Invoices!$B$6:$B$305,0))="Paid","Paid",IF(INDEX(Invoices!$M$6:$M$305,MATCH(P329,Invoices!$B$6:$B$305,0))="Draft","Draft","Invoiced")))))))</f>
        <v/>
      </c>
      <c r="R329" s="1">
        <f>IF(AND(B329&lt;&gt;"",P329&lt;&gt;"",P329=Invoice!$G$4),B329+MOD(N(F329),1)+ROW()/10000000,"")</f>
        <v/>
      </c>
      <c r="S329">
        <f>IF(R329="","",IF(D329="","Other work",D329)&amp;IF(AND(K329&lt;&gt;"",E329&lt;&gt;""),", "&amp;E329,""))</f>
        <v/>
      </c>
      <c r="T329">
        <f>IF(R329="","",IF(COUNTIFS(R$6:R328,"&gt;0",S$6:S328,S329,N$6:N328,N329)=0,R329,""))</f>
        <v/>
      </c>
      <c r="U329">
        <f>IF(B329="","",IF(J329&lt;&gt;"",0,M329))</f>
        <v/>
      </c>
    </row>
    <row r="330">
      <c r="A330" s="1" t="n"/>
      <c r="B330" s="16" t="n"/>
      <c r="C330" s="17" t="n"/>
      <c r="D330" s="18" t="n"/>
      <c r="E330" s="18" t="n"/>
      <c r="F330" s="19" t="n"/>
      <c r="G330" s="19" t="n"/>
      <c r="H330" s="20" t="n"/>
      <c r="I330" s="21" t="n"/>
      <c r="J330" s="22" t="n"/>
      <c r="K330" s="23" t="n"/>
      <c r="L330" s="18" t="n"/>
      <c r="M330" s="24">
        <f>IF(B330="","",IF(AND(F330&lt;&gt;"",G330&lt;&gt;""),MAX(0,ROUND(MOD(G330-F330,1)*24-N(H330)/60,2)),N(I330)))</f>
        <v/>
      </c>
      <c r="N330" s="14">
        <f>IF(B330="","",IF(K330&lt;&gt;"",K330,IF(N(IFERROR(INDEX(Projects!$D$6:$D$65,MATCH(D330,Projects!$B$6:$B$65,0)),""))&gt;0,IFERROR(INDEX(Projects!$D$6:$D$65,MATCH(D330,Projects!$B$6:$B$65,0)),""),IFERROR(INDEX(Clients!$G$6:$G$45,MATCH(C330,Clients!$B$6:$B$45,0)),0))))</f>
        <v/>
      </c>
      <c r="O330" s="14">
        <f>IF(B330="","",IF(J330&lt;&gt;"",0,ROUND(M330*N330,2)))</f>
        <v/>
      </c>
      <c r="P330" s="15">
        <f>IF(OR(B330="",J330&lt;&gt;""),"",IF(L330&lt;&gt;"",L330,IF(COUNTIFS(Invoices!$C$6:$C$305,C330,Invoices!$E$6:$E$305,"&lt;="&amp;B330,Invoices!$F$6:$F$305,"&gt;="&amp;B330)=1,INDEX(Invoices!$B$6:$B$305,SUMIFS(Invoices!$O$6:$O$305,Invoices!$C$6:$C$305,C330,Invoices!$E$6:$E$305,"&lt;="&amp;B330,Invoices!$F$6:$F$305,"&gt;="&amp;B330)),IF(COUNTIFS(Invoices!$C$6:$C$305,C330,Invoices!$E$6:$E$305,"&lt;="&amp;B330,Invoices!$F$6:$F$305,"&gt;="&amp;B330)&gt;1,"Two invoices",""))))</f>
        <v/>
      </c>
      <c r="Q330" s="15">
        <f>IF(B330="","",IF(J330&lt;&gt;"","Not billable",IF(P330="","To invoice",IF(P330="Two invoices","Check dates",IF(ISNA(MATCH(P330,Invoices!$B$6:$B$305,0)),"Check number",IF(INDEX(Invoices!$M$6:$M$305,MATCH(P330,Invoices!$B$6:$B$305,0))="Paid","Paid",IF(INDEX(Invoices!$M$6:$M$305,MATCH(P330,Invoices!$B$6:$B$305,0))="Draft","Draft","Invoiced")))))))</f>
        <v/>
      </c>
      <c r="R330" s="1">
        <f>IF(AND(B330&lt;&gt;"",P330&lt;&gt;"",P330=Invoice!$G$4),B330+MOD(N(F330),1)+ROW()/10000000,"")</f>
        <v/>
      </c>
      <c r="S330">
        <f>IF(R330="","",IF(D330="","Other work",D330)&amp;IF(AND(K330&lt;&gt;"",E330&lt;&gt;""),", "&amp;E330,""))</f>
        <v/>
      </c>
      <c r="T330">
        <f>IF(R330="","",IF(COUNTIFS(R$6:R329,"&gt;0",S$6:S329,S330,N$6:N329,N330)=0,R330,""))</f>
        <v/>
      </c>
      <c r="U330">
        <f>IF(B330="","",IF(J330&lt;&gt;"",0,M330))</f>
        <v/>
      </c>
    </row>
    <row r="331">
      <c r="A331" s="1" t="n"/>
      <c r="B331" s="16" t="n"/>
      <c r="C331" s="17" t="n"/>
      <c r="D331" s="18" t="n"/>
      <c r="E331" s="18" t="n"/>
      <c r="F331" s="19" t="n"/>
      <c r="G331" s="19" t="n"/>
      <c r="H331" s="20" t="n"/>
      <c r="I331" s="21" t="n"/>
      <c r="J331" s="22" t="n"/>
      <c r="K331" s="23" t="n"/>
      <c r="L331" s="18" t="n"/>
      <c r="M331" s="24">
        <f>IF(B331="","",IF(AND(F331&lt;&gt;"",G331&lt;&gt;""),MAX(0,ROUND(MOD(G331-F331,1)*24-N(H331)/60,2)),N(I331)))</f>
        <v/>
      </c>
      <c r="N331" s="14">
        <f>IF(B331="","",IF(K331&lt;&gt;"",K331,IF(N(IFERROR(INDEX(Projects!$D$6:$D$65,MATCH(D331,Projects!$B$6:$B$65,0)),""))&gt;0,IFERROR(INDEX(Projects!$D$6:$D$65,MATCH(D331,Projects!$B$6:$B$65,0)),""),IFERROR(INDEX(Clients!$G$6:$G$45,MATCH(C331,Clients!$B$6:$B$45,0)),0))))</f>
        <v/>
      </c>
      <c r="O331" s="14">
        <f>IF(B331="","",IF(J331&lt;&gt;"",0,ROUND(M331*N331,2)))</f>
        <v/>
      </c>
      <c r="P331" s="15">
        <f>IF(OR(B331="",J331&lt;&gt;""),"",IF(L331&lt;&gt;"",L331,IF(COUNTIFS(Invoices!$C$6:$C$305,C331,Invoices!$E$6:$E$305,"&lt;="&amp;B331,Invoices!$F$6:$F$305,"&gt;="&amp;B331)=1,INDEX(Invoices!$B$6:$B$305,SUMIFS(Invoices!$O$6:$O$305,Invoices!$C$6:$C$305,C331,Invoices!$E$6:$E$305,"&lt;="&amp;B331,Invoices!$F$6:$F$305,"&gt;="&amp;B331)),IF(COUNTIFS(Invoices!$C$6:$C$305,C331,Invoices!$E$6:$E$305,"&lt;="&amp;B331,Invoices!$F$6:$F$305,"&gt;="&amp;B331)&gt;1,"Two invoices",""))))</f>
        <v/>
      </c>
      <c r="Q331" s="15">
        <f>IF(B331="","",IF(J331&lt;&gt;"","Not billable",IF(P331="","To invoice",IF(P331="Two invoices","Check dates",IF(ISNA(MATCH(P331,Invoices!$B$6:$B$305,0)),"Check number",IF(INDEX(Invoices!$M$6:$M$305,MATCH(P331,Invoices!$B$6:$B$305,0))="Paid","Paid",IF(INDEX(Invoices!$M$6:$M$305,MATCH(P331,Invoices!$B$6:$B$305,0))="Draft","Draft","Invoiced")))))))</f>
        <v/>
      </c>
      <c r="R331" s="1">
        <f>IF(AND(B331&lt;&gt;"",P331&lt;&gt;"",P331=Invoice!$G$4),B331+MOD(N(F331),1)+ROW()/10000000,"")</f>
        <v/>
      </c>
      <c r="S331">
        <f>IF(R331="","",IF(D331="","Other work",D331)&amp;IF(AND(K331&lt;&gt;"",E331&lt;&gt;""),", "&amp;E331,""))</f>
        <v/>
      </c>
      <c r="T331">
        <f>IF(R331="","",IF(COUNTIFS(R$6:R330,"&gt;0",S$6:S330,S331,N$6:N330,N331)=0,R331,""))</f>
        <v/>
      </c>
      <c r="U331">
        <f>IF(B331="","",IF(J331&lt;&gt;"",0,M331))</f>
        <v/>
      </c>
    </row>
    <row r="332">
      <c r="A332" s="1" t="n"/>
      <c r="B332" s="16" t="n"/>
      <c r="C332" s="17" t="n"/>
      <c r="D332" s="18" t="n"/>
      <c r="E332" s="18" t="n"/>
      <c r="F332" s="19" t="n"/>
      <c r="G332" s="19" t="n"/>
      <c r="H332" s="20" t="n"/>
      <c r="I332" s="21" t="n"/>
      <c r="J332" s="22" t="n"/>
      <c r="K332" s="23" t="n"/>
      <c r="L332" s="18" t="n"/>
      <c r="M332" s="24">
        <f>IF(B332="","",IF(AND(F332&lt;&gt;"",G332&lt;&gt;""),MAX(0,ROUND(MOD(G332-F332,1)*24-N(H332)/60,2)),N(I332)))</f>
        <v/>
      </c>
      <c r="N332" s="14">
        <f>IF(B332="","",IF(K332&lt;&gt;"",K332,IF(N(IFERROR(INDEX(Projects!$D$6:$D$65,MATCH(D332,Projects!$B$6:$B$65,0)),""))&gt;0,IFERROR(INDEX(Projects!$D$6:$D$65,MATCH(D332,Projects!$B$6:$B$65,0)),""),IFERROR(INDEX(Clients!$G$6:$G$45,MATCH(C332,Clients!$B$6:$B$45,0)),0))))</f>
        <v/>
      </c>
      <c r="O332" s="14">
        <f>IF(B332="","",IF(J332&lt;&gt;"",0,ROUND(M332*N332,2)))</f>
        <v/>
      </c>
      <c r="P332" s="15">
        <f>IF(OR(B332="",J332&lt;&gt;""),"",IF(L332&lt;&gt;"",L332,IF(COUNTIFS(Invoices!$C$6:$C$305,C332,Invoices!$E$6:$E$305,"&lt;="&amp;B332,Invoices!$F$6:$F$305,"&gt;="&amp;B332)=1,INDEX(Invoices!$B$6:$B$305,SUMIFS(Invoices!$O$6:$O$305,Invoices!$C$6:$C$305,C332,Invoices!$E$6:$E$305,"&lt;="&amp;B332,Invoices!$F$6:$F$305,"&gt;="&amp;B332)),IF(COUNTIFS(Invoices!$C$6:$C$305,C332,Invoices!$E$6:$E$305,"&lt;="&amp;B332,Invoices!$F$6:$F$305,"&gt;="&amp;B332)&gt;1,"Two invoices",""))))</f>
        <v/>
      </c>
      <c r="Q332" s="15">
        <f>IF(B332="","",IF(J332&lt;&gt;"","Not billable",IF(P332="","To invoice",IF(P332="Two invoices","Check dates",IF(ISNA(MATCH(P332,Invoices!$B$6:$B$305,0)),"Check number",IF(INDEX(Invoices!$M$6:$M$305,MATCH(P332,Invoices!$B$6:$B$305,0))="Paid","Paid",IF(INDEX(Invoices!$M$6:$M$305,MATCH(P332,Invoices!$B$6:$B$305,0))="Draft","Draft","Invoiced")))))))</f>
        <v/>
      </c>
      <c r="R332" s="1">
        <f>IF(AND(B332&lt;&gt;"",P332&lt;&gt;"",P332=Invoice!$G$4),B332+MOD(N(F332),1)+ROW()/10000000,"")</f>
        <v/>
      </c>
      <c r="S332">
        <f>IF(R332="","",IF(D332="","Other work",D332)&amp;IF(AND(K332&lt;&gt;"",E332&lt;&gt;""),", "&amp;E332,""))</f>
        <v/>
      </c>
      <c r="T332">
        <f>IF(R332="","",IF(COUNTIFS(R$6:R331,"&gt;0",S$6:S331,S332,N$6:N331,N332)=0,R332,""))</f>
        <v/>
      </c>
      <c r="U332">
        <f>IF(B332="","",IF(J332&lt;&gt;"",0,M332))</f>
        <v/>
      </c>
    </row>
    <row r="333">
      <c r="A333" s="1" t="n"/>
      <c r="B333" s="16" t="n"/>
      <c r="C333" s="17" t="n"/>
      <c r="D333" s="18" t="n"/>
      <c r="E333" s="18" t="n"/>
      <c r="F333" s="19" t="n"/>
      <c r="G333" s="19" t="n"/>
      <c r="H333" s="20" t="n"/>
      <c r="I333" s="21" t="n"/>
      <c r="J333" s="22" t="n"/>
      <c r="K333" s="23" t="n"/>
      <c r="L333" s="18" t="n"/>
      <c r="M333" s="24">
        <f>IF(B333="","",IF(AND(F333&lt;&gt;"",G333&lt;&gt;""),MAX(0,ROUND(MOD(G333-F333,1)*24-N(H333)/60,2)),N(I333)))</f>
        <v/>
      </c>
      <c r="N333" s="14">
        <f>IF(B333="","",IF(K333&lt;&gt;"",K333,IF(N(IFERROR(INDEX(Projects!$D$6:$D$65,MATCH(D333,Projects!$B$6:$B$65,0)),""))&gt;0,IFERROR(INDEX(Projects!$D$6:$D$65,MATCH(D333,Projects!$B$6:$B$65,0)),""),IFERROR(INDEX(Clients!$G$6:$G$45,MATCH(C333,Clients!$B$6:$B$45,0)),0))))</f>
        <v/>
      </c>
      <c r="O333" s="14">
        <f>IF(B333="","",IF(J333&lt;&gt;"",0,ROUND(M333*N333,2)))</f>
        <v/>
      </c>
      <c r="P333" s="15">
        <f>IF(OR(B333="",J333&lt;&gt;""),"",IF(L333&lt;&gt;"",L333,IF(COUNTIFS(Invoices!$C$6:$C$305,C333,Invoices!$E$6:$E$305,"&lt;="&amp;B333,Invoices!$F$6:$F$305,"&gt;="&amp;B333)=1,INDEX(Invoices!$B$6:$B$305,SUMIFS(Invoices!$O$6:$O$305,Invoices!$C$6:$C$305,C333,Invoices!$E$6:$E$305,"&lt;="&amp;B333,Invoices!$F$6:$F$305,"&gt;="&amp;B333)),IF(COUNTIFS(Invoices!$C$6:$C$305,C333,Invoices!$E$6:$E$305,"&lt;="&amp;B333,Invoices!$F$6:$F$305,"&gt;="&amp;B333)&gt;1,"Two invoices",""))))</f>
        <v/>
      </c>
      <c r="Q333" s="15">
        <f>IF(B333="","",IF(J333&lt;&gt;"","Not billable",IF(P333="","To invoice",IF(P333="Two invoices","Check dates",IF(ISNA(MATCH(P333,Invoices!$B$6:$B$305,0)),"Check number",IF(INDEX(Invoices!$M$6:$M$305,MATCH(P333,Invoices!$B$6:$B$305,0))="Paid","Paid",IF(INDEX(Invoices!$M$6:$M$305,MATCH(P333,Invoices!$B$6:$B$305,0))="Draft","Draft","Invoiced")))))))</f>
        <v/>
      </c>
      <c r="R333" s="1">
        <f>IF(AND(B333&lt;&gt;"",P333&lt;&gt;"",P333=Invoice!$G$4),B333+MOD(N(F333),1)+ROW()/10000000,"")</f>
        <v/>
      </c>
      <c r="S333">
        <f>IF(R333="","",IF(D333="","Other work",D333)&amp;IF(AND(K333&lt;&gt;"",E333&lt;&gt;""),", "&amp;E333,""))</f>
        <v/>
      </c>
      <c r="T333">
        <f>IF(R333="","",IF(COUNTIFS(R$6:R332,"&gt;0",S$6:S332,S333,N$6:N332,N333)=0,R333,""))</f>
        <v/>
      </c>
      <c r="U333">
        <f>IF(B333="","",IF(J333&lt;&gt;"",0,M333))</f>
        <v/>
      </c>
    </row>
    <row r="334">
      <c r="A334" s="1" t="n"/>
      <c r="B334" s="16" t="n"/>
      <c r="C334" s="17" t="n"/>
      <c r="D334" s="18" t="n"/>
      <c r="E334" s="18" t="n"/>
      <c r="F334" s="19" t="n"/>
      <c r="G334" s="19" t="n"/>
      <c r="H334" s="20" t="n"/>
      <c r="I334" s="21" t="n"/>
      <c r="J334" s="22" t="n"/>
      <c r="K334" s="23" t="n"/>
      <c r="L334" s="18" t="n"/>
      <c r="M334" s="24">
        <f>IF(B334="","",IF(AND(F334&lt;&gt;"",G334&lt;&gt;""),MAX(0,ROUND(MOD(G334-F334,1)*24-N(H334)/60,2)),N(I334)))</f>
        <v/>
      </c>
      <c r="N334" s="14">
        <f>IF(B334="","",IF(K334&lt;&gt;"",K334,IF(N(IFERROR(INDEX(Projects!$D$6:$D$65,MATCH(D334,Projects!$B$6:$B$65,0)),""))&gt;0,IFERROR(INDEX(Projects!$D$6:$D$65,MATCH(D334,Projects!$B$6:$B$65,0)),""),IFERROR(INDEX(Clients!$G$6:$G$45,MATCH(C334,Clients!$B$6:$B$45,0)),0))))</f>
        <v/>
      </c>
      <c r="O334" s="14">
        <f>IF(B334="","",IF(J334&lt;&gt;"",0,ROUND(M334*N334,2)))</f>
        <v/>
      </c>
      <c r="P334" s="15">
        <f>IF(OR(B334="",J334&lt;&gt;""),"",IF(L334&lt;&gt;"",L334,IF(COUNTIFS(Invoices!$C$6:$C$305,C334,Invoices!$E$6:$E$305,"&lt;="&amp;B334,Invoices!$F$6:$F$305,"&gt;="&amp;B334)=1,INDEX(Invoices!$B$6:$B$305,SUMIFS(Invoices!$O$6:$O$305,Invoices!$C$6:$C$305,C334,Invoices!$E$6:$E$305,"&lt;="&amp;B334,Invoices!$F$6:$F$305,"&gt;="&amp;B334)),IF(COUNTIFS(Invoices!$C$6:$C$305,C334,Invoices!$E$6:$E$305,"&lt;="&amp;B334,Invoices!$F$6:$F$305,"&gt;="&amp;B334)&gt;1,"Two invoices",""))))</f>
        <v/>
      </c>
      <c r="Q334" s="15">
        <f>IF(B334="","",IF(J334&lt;&gt;"","Not billable",IF(P334="","To invoice",IF(P334="Two invoices","Check dates",IF(ISNA(MATCH(P334,Invoices!$B$6:$B$305,0)),"Check number",IF(INDEX(Invoices!$M$6:$M$305,MATCH(P334,Invoices!$B$6:$B$305,0))="Paid","Paid",IF(INDEX(Invoices!$M$6:$M$305,MATCH(P334,Invoices!$B$6:$B$305,0))="Draft","Draft","Invoiced")))))))</f>
        <v/>
      </c>
      <c r="R334" s="1">
        <f>IF(AND(B334&lt;&gt;"",P334&lt;&gt;"",P334=Invoice!$G$4),B334+MOD(N(F334),1)+ROW()/10000000,"")</f>
        <v/>
      </c>
      <c r="S334">
        <f>IF(R334="","",IF(D334="","Other work",D334)&amp;IF(AND(K334&lt;&gt;"",E334&lt;&gt;""),", "&amp;E334,""))</f>
        <v/>
      </c>
      <c r="T334">
        <f>IF(R334="","",IF(COUNTIFS(R$6:R333,"&gt;0",S$6:S333,S334,N$6:N333,N334)=0,R334,""))</f>
        <v/>
      </c>
      <c r="U334">
        <f>IF(B334="","",IF(J334&lt;&gt;"",0,M334))</f>
        <v/>
      </c>
    </row>
    <row r="335">
      <c r="A335" s="1" t="n"/>
      <c r="B335" s="16" t="n"/>
      <c r="C335" s="17" t="n"/>
      <c r="D335" s="18" t="n"/>
      <c r="E335" s="18" t="n"/>
      <c r="F335" s="19" t="n"/>
      <c r="G335" s="19" t="n"/>
      <c r="H335" s="20" t="n"/>
      <c r="I335" s="21" t="n"/>
      <c r="J335" s="22" t="n"/>
      <c r="K335" s="23" t="n"/>
      <c r="L335" s="18" t="n"/>
      <c r="M335" s="24">
        <f>IF(B335="","",IF(AND(F335&lt;&gt;"",G335&lt;&gt;""),MAX(0,ROUND(MOD(G335-F335,1)*24-N(H335)/60,2)),N(I335)))</f>
        <v/>
      </c>
      <c r="N335" s="14">
        <f>IF(B335="","",IF(K335&lt;&gt;"",K335,IF(N(IFERROR(INDEX(Projects!$D$6:$D$65,MATCH(D335,Projects!$B$6:$B$65,0)),""))&gt;0,IFERROR(INDEX(Projects!$D$6:$D$65,MATCH(D335,Projects!$B$6:$B$65,0)),""),IFERROR(INDEX(Clients!$G$6:$G$45,MATCH(C335,Clients!$B$6:$B$45,0)),0))))</f>
        <v/>
      </c>
      <c r="O335" s="14">
        <f>IF(B335="","",IF(J335&lt;&gt;"",0,ROUND(M335*N335,2)))</f>
        <v/>
      </c>
      <c r="P335" s="15">
        <f>IF(OR(B335="",J335&lt;&gt;""),"",IF(L335&lt;&gt;"",L335,IF(COUNTIFS(Invoices!$C$6:$C$305,C335,Invoices!$E$6:$E$305,"&lt;="&amp;B335,Invoices!$F$6:$F$305,"&gt;="&amp;B335)=1,INDEX(Invoices!$B$6:$B$305,SUMIFS(Invoices!$O$6:$O$305,Invoices!$C$6:$C$305,C335,Invoices!$E$6:$E$305,"&lt;="&amp;B335,Invoices!$F$6:$F$305,"&gt;="&amp;B335)),IF(COUNTIFS(Invoices!$C$6:$C$305,C335,Invoices!$E$6:$E$305,"&lt;="&amp;B335,Invoices!$F$6:$F$305,"&gt;="&amp;B335)&gt;1,"Two invoices",""))))</f>
        <v/>
      </c>
      <c r="Q335" s="15">
        <f>IF(B335="","",IF(J335&lt;&gt;"","Not billable",IF(P335="","To invoice",IF(P335="Two invoices","Check dates",IF(ISNA(MATCH(P335,Invoices!$B$6:$B$305,0)),"Check number",IF(INDEX(Invoices!$M$6:$M$305,MATCH(P335,Invoices!$B$6:$B$305,0))="Paid","Paid",IF(INDEX(Invoices!$M$6:$M$305,MATCH(P335,Invoices!$B$6:$B$305,0))="Draft","Draft","Invoiced")))))))</f>
        <v/>
      </c>
      <c r="R335" s="1">
        <f>IF(AND(B335&lt;&gt;"",P335&lt;&gt;"",P335=Invoice!$G$4),B335+MOD(N(F335),1)+ROW()/10000000,"")</f>
        <v/>
      </c>
      <c r="S335">
        <f>IF(R335="","",IF(D335="","Other work",D335)&amp;IF(AND(K335&lt;&gt;"",E335&lt;&gt;""),", "&amp;E335,""))</f>
        <v/>
      </c>
      <c r="T335">
        <f>IF(R335="","",IF(COUNTIFS(R$6:R334,"&gt;0",S$6:S334,S335,N$6:N334,N335)=0,R335,""))</f>
        <v/>
      </c>
      <c r="U335">
        <f>IF(B335="","",IF(J335&lt;&gt;"",0,M335))</f>
        <v/>
      </c>
    </row>
    <row r="336">
      <c r="A336" s="1" t="n"/>
      <c r="B336" s="16" t="n"/>
      <c r="C336" s="17" t="n"/>
      <c r="D336" s="18" t="n"/>
      <c r="E336" s="18" t="n"/>
      <c r="F336" s="19" t="n"/>
      <c r="G336" s="19" t="n"/>
      <c r="H336" s="20" t="n"/>
      <c r="I336" s="21" t="n"/>
      <c r="J336" s="22" t="n"/>
      <c r="K336" s="23" t="n"/>
      <c r="L336" s="18" t="n"/>
      <c r="M336" s="24">
        <f>IF(B336="","",IF(AND(F336&lt;&gt;"",G336&lt;&gt;""),MAX(0,ROUND(MOD(G336-F336,1)*24-N(H336)/60,2)),N(I336)))</f>
        <v/>
      </c>
      <c r="N336" s="14">
        <f>IF(B336="","",IF(K336&lt;&gt;"",K336,IF(N(IFERROR(INDEX(Projects!$D$6:$D$65,MATCH(D336,Projects!$B$6:$B$65,0)),""))&gt;0,IFERROR(INDEX(Projects!$D$6:$D$65,MATCH(D336,Projects!$B$6:$B$65,0)),""),IFERROR(INDEX(Clients!$G$6:$G$45,MATCH(C336,Clients!$B$6:$B$45,0)),0))))</f>
        <v/>
      </c>
      <c r="O336" s="14">
        <f>IF(B336="","",IF(J336&lt;&gt;"",0,ROUND(M336*N336,2)))</f>
        <v/>
      </c>
      <c r="P336" s="15">
        <f>IF(OR(B336="",J336&lt;&gt;""),"",IF(L336&lt;&gt;"",L336,IF(COUNTIFS(Invoices!$C$6:$C$305,C336,Invoices!$E$6:$E$305,"&lt;="&amp;B336,Invoices!$F$6:$F$305,"&gt;="&amp;B336)=1,INDEX(Invoices!$B$6:$B$305,SUMIFS(Invoices!$O$6:$O$305,Invoices!$C$6:$C$305,C336,Invoices!$E$6:$E$305,"&lt;="&amp;B336,Invoices!$F$6:$F$305,"&gt;="&amp;B336)),IF(COUNTIFS(Invoices!$C$6:$C$305,C336,Invoices!$E$6:$E$305,"&lt;="&amp;B336,Invoices!$F$6:$F$305,"&gt;="&amp;B336)&gt;1,"Two invoices",""))))</f>
        <v/>
      </c>
      <c r="Q336" s="15">
        <f>IF(B336="","",IF(J336&lt;&gt;"","Not billable",IF(P336="","To invoice",IF(P336="Two invoices","Check dates",IF(ISNA(MATCH(P336,Invoices!$B$6:$B$305,0)),"Check number",IF(INDEX(Invoices!$M$6:$M$305,MATCH(P336,Invoices!$B$6:$B$305,0))="Paid","Paid",IF(INDEX(Invoices!$M$6:$M$305,MATCH(P336,Invoices!$B$6:$B$305,0))="Draft","Draft","Invoiced")))))))</f>
        <v/>
      </c>
      <c r="R336" s="1">
        <f>IF(AND(B336&lt;&gt;"",P336&lt;&gt;"",P336=Invoice!$G$4),B336+MOD(N(F336),1)+ROW()/10000000,"")</f>
        <v/>
      </c>
      <c r="S336">
        <f>IF(R336="","",IF(D336="","Other work",D336)&amp;IF(AND(K336&lt;&gt;"",E336&lt;&gt;""),", "&amp;E336,""))</f>
        <v/>
      </c>
      <c r="T336">
        <f>IF(R336="","",IF(COUNTIFS(R$6:R335,"&gt;0",S$6:S335,S336,N$6:N335,N336)=0,R336,""))</f>
        <v/>
      </c>
      <c r="U336">
        <f>IF(B336="","",IF(J336&lt;&gt;"",0,M336))</f>
        <v/>
      </c>
    </row>
    <row r="337">
      <c r="A337" s="1" t="n"/>
      <c r="B337" s="16" t="n"/>
      <c r="C337" s="17" t="n"/>
      <c r="D337" s="18" t="n"/>
      <c r="E337" s="18" t="n"/>
      <c r="F337" s="19" t="n"/>
      <c r="G337" s="19" t="n"/>
      <c r="H337" s="20" t="n"/>
      <c r="I337" s="21" t="n"/>
      <c r="J337" s="22" t="n"/>
      <c r="K337" s="23" t="n"/>
      <c r="L337" s="18" t="n"/>
      <c r="M337" s="24">
        <f>IF(B337="","",IF(AND(F337&lt;&gt;"",G337&lt;&gt;""),MAX(0,ROUND(MOD(G337-F337,1)*24-N(H337)/60,2)),N(I337)))</f>
        <v/>
      </c>
      <c r="N337" s="14">
        <f>IF(B337="","",IF(K337&lt;&gt;"",K337,IF(N(IFERROR(INDEX(Projects!$D$6:$D$65,MATCH(D337,Projects!$B$6:$B$65,0)),""))&gt;0,IFERROR(INDEX(Projects!$D$6:$D$65,MATCH(D337,Projects!$B$6:$B$65,0)),""),IFERROR(INDEX(Clients!$G$6:$G$45,MATCH(C337,Clients!$B$6:$B$45,0)),0))))</f>
        <v/>
      </c>
      <c r="O337" s="14">
        <f>IF(B337="","",IF(J337&lt;&gt;"",0,ROUND(M337*N337,2)))</f>
        <v/>
      </c>
      <c r="P337" s="15">
        <f>IF(OR(B337="",J337&lt;&gt;""),"",IF(L337&lt;&gt;"",L337,IF(COUNTIFS(Invoices!$C$6:$C$305,C337,Invoices!$E$6:$E$305,"&lt;="&amp;B337,Invoices!$F$6:$F$305,"&gt;="&amp;B337)=1,INDEX(Invoices!$B$6:$B$305,SUMIFS(Invoices!$O$6:$O$305,Invoices!$C$6:$C$305,C337,Invoices!$E$6:$E$305,"&lt;="&amp;B337,Invoices!$F$6:$F$305,"&gt;="&amp;B337)),IF(COUNTIFS(Invoices!$C$6:$C$305,C337,Invoices!$E$6:$E$305,"&lt;="&amp;B337,Invoices!$F$6:$F$305,"&gt;="&amp;B337)&gt;1,"Two invoices",""))))</f>
        <v/>
      </c>
      <c r="Q337" s="15">
        <f>IF(B337="","",IF(J337&lt;&gt;"","Not billable",IF(P337="","To invoice",IF(P337="Two invoices","Check dates",IF(ISNA(MATCH(P337,Invoices!$B$6:$B$305,0)),"Check number",IF(INDEX(Invoices!$M$6:$M$305,MATCH(P337,Invoices!$B$6:$B$305,0))="Paid","Paid",IF(INDEX(Invoices!$M$6:$M$305,MATCH(P337,Invoices!$B$6:$B$305,0))="Draft","Draft","Invoiced")))))))</f>
        <v/>
      </c>
      <c r="R337" s="1">
        <f>IF(AND(B337&lt;&gt;"",P337&lt;&gt;"",P337=Invoice!$G$4),B337+MOD(N(F337),1)+ROW()/10000000,"")</f>
        <v/>
      </c>
      <c r="S337">
        <f>IF(R337="","",IF(D337="","Other work",D337)&amp;IF(AND(K337&lt;&gt;"",E337&lt;&gt;""),", "&amp;E337,""))</f>
        <v/>
      </c>
      <c r="T337">
        <f>IF(R337="","",IF(COUNTIFS(R$6:R336,"&gt;0",S$6:S336,S337,N$6:N336,N337)=0,R337,""))</f>
        <v/>
      </c>
      <c r="U337">
        <f>IF(B337="","",IF(J337&lt;&gt;"",0,M337))</f>
        <v/>
      </c>
    </row>
    <row r="338">
      <c r="A338" s="1" t="n"/>
      <c r="B338" s="16" t="n"/>
      <c r="C338" s="17" t="n"/>
      <c r="D338" s="18" t="n"/>
      <c r="E338" s="18" t="n"/>
      <c r="F338" s="19" t="n"/>
      <c r="G338" s="19" t="n"/>
      <c r="H338" s="20" t="n"/>
      <c r="I338" s="21" t="n"/>
      <c r="J338" s="22" t="n"/>
      <c r="K338" s="23" t="n"/>
      <c r="L338" s="18" t="n"/>
      <c r="M338" s="24">
        <f>IF(B338="","",IF(AND(F338&lt;&gt;"",G338&lt;&gt;""),MAX(0,ROUND(MOD(G338-F338,1)*24-N(H338)/60,2)),N(I338)))</f>
        <v/>
      </c>
      <c r="N338" s="14">
        <f>IF(B338="","",IF(K338&lt;&gt;"",K338,IF(N(IFERROR(INDEX(Projects!$D$6:$D$65,MATCH(D338,Projects!$B$6:$B$65,0)),""))&gt;0,IFERROR(INDEX(Projects!$D$6:$D$65,MATCH(D338,Projects!$B$6:$B$65,0)),""),IFERROR(INDEX(Clients!$G$6:$G$45,MATCH(C338,Clients!$B$6:$B$45,0)),0))))</f>
        <v/>
      </c>
      <c r="O338" s="14">
        <f>IF(B338="","",IF(J338&lt;&gt;"",0,ROUND(M338*N338,2)))</f>
        <v/>
      </c>
      <c r="P338" s="15">
        <f>IF(OR(B338="",J338&lt;&gt;""),"",IF(L338&lt;&gt;"",L338,IF(COUNTIFS(Invoices!$C$6:$C$305,C338,Invoices!$E$6:$E$305,"&lt;="&amp;B338,Invoices!$F$6:$F$305,"&gt;="&amp;B338)=1,INDEX(Invoices!$B$6:$B$305,SUMIFS(Invoices!$O$6:$O$305,Invoices!$C$6:$C$305,C338,Invoices!$E$6:$E$305,"&lt;="&amp;B338,Invoices!$F$6:$F$305,"&gt;="&amp;B338)),IF(COUNTIFS(Invoices!$C$6:$C$305,C338,Invoices!$E$6:$E$305,"&lt;="&amp;B338,Invoices!$F$6:$F$305,"&gt;="&amp;B338)&gt;1,"Two invoices",""))))</f>
        <v/>
      </c>
      <c r="Q338" s="15">
        <f>IF(B338="","",IF(J338&lt;&gt;"","Not billable",IF(P338="","To invoice",IF(P338="Two invoices","Check dates",IF(ISNA(MATCH(P338,Invoices!$B$6:$B$305,0)),"Check number",IF(INDEX(Invoices!$M$6:$M$305,MATCH(P338,Invoices!$B$6:$B$305,0))="Paid","Paid",IF(INDEX(Invoices!$M$6:$M$305,MATCH(P338,Invoices!$B$6:$B$305,0))="Draft","Draft","Invoiced")))))))</f>
        <v/>
      </c>
      <c r="R338" s="1">
        <f>IF(AND(B338&lt;&gt;"",P338&lt;&gt;"",P338=Invoice!$G$4),B338+MOD(N(F338),1)+ROW()/10000000,"")</f>
        <v/>
      </c>
      <c r="S338">
        <f>IF(R338="","",IF(D338="","Other work",D338)&amp;IF(AND(K338&lt;&gt;"",E338&lt;&gt;""),", "&amp;E338,""))</f>
        <v/>
      </c>
      <c r="T338">
        <f>IF(R338="","",IF(COUNTIFS(R$6:R337,"&gt;0",S$6:S337,S338,N$6:N337,N338)=0,R338,""))</f>
        <v/>
      </c>
      <c r="U338">
        <f>IF(B338="","",IF(J338&lt;&gt;"",0,M338))</f>
        <v/>
      </c>
    </row>
    <row r="339">
      <c r="A339" s="1" t="n"/>
      <c r="B339" s="16" t="n"/>
      <c r="C339" s="17" t="n"/>
      <c r="D339" s="18" t="n"/>
      <c r="E339" s="18" t="n"/>
      <c r="F339" s="19" t="n"/>
      <c r="G339" s="19" t="n"/>
      <c r="H339" s="20" t="n"/>
      <c r="I339" s="21" t="n"/>
      <c r="J339" s="22" t="n"/>
      <c r="K339" s="23" t="n"/>
      <c r="L339" s="18" t="n"/>
      <c r="M339" s="24">
        <f>IF(B339="","",IF(AND(F339&lt;&gt;"",G339&lt;&gt;""),MAX(0,ROUND(MOD(G339-F339,1)*24-N(H339)/60,2)),N(I339)))</f>
        <v/>
      </c>
      <c r="N339" s="14">
        <f>IF(B339="","",IF(K339&lt;&gt;"",K339,IF(N(IFERROR(INDEX(Projects!$D$6:$D$65,MATCH(D339,Projects!$B$6:$B$65,0)),""))&gt;0,IFERROR(INDEX(Projects!$D$6:$D$65,MATCH(D339,Projects!$B$6:$B$65,0)),""),IFERROR(INDEX(Clients!$G$6:$G$45,MATCH(C339,Clients!$B$6:$B$45,0)),0))))</f>
        <v/>
      </c>
      <c r="O339" s="14">
        <f>IF(B339="","",IF(J339&lt;&gt;"",0,ROUND(M339*N339,2)))</f>
        <v/>
      </c>
      <c r="P339" s="15">
        <f>IF(OR(B339="",J339&lt;&gt;""),"",IF(L339&lt;&gt;"",L339,IF(COUNTIFS(Invoices!$C$6:$C$305,C339,Invoices!$E$6:$E$305,"&lt;="&amp;B339,Invoices!$F$6:$F$305,"&gt;="&amp;B339)=1,INDEX(Invoices!$B$6:$B$305,SUMIFS(Invoices!$O$6:$O$305,Invoices!$C$6:$C$305,C339,Invoices!$E$6:$E$305,"&lt;="&amp;B339,Invoices!$F$6:$F$305,"&gt;="&amp;B339)),IF(COUNTIFS(Invoices!$C$6:$C$305,C339,Invoices!$E$6:$E$305,"&lt;="&amp;B339,Invoices!$F$6:$F$305,"&gt;="&amp;B339)&gt;1,"Two invoices",""))))</f>
        <v/>
      </c>
      <c r="Q339" s="15">
        <f>IF(B339="","",IF(J339&lt;&gt;"","Not billable",IF(P339="","To invoice",IF(P339="Two invoices","Check dates",IF(ISNA(MATCH(P339,Invoices!$B$6:$B$305,0)),"Check number",IF(INDEX(Invoices!$M$6:$M$305,MATCH(P339,Invoices!$B$6:$B$305,0))="Paid","Paid",IF(INDEX(Invoices!$M$6:$M$305,MATCH(P339,Invoices!$B$6:$B$305,0))="Draft","Draft","Invoiced")))))))</f>
        <v/>
      </c>
      <c r="R339" s="1">
        <f>IF(AND(B339&lt;&gt;"",P339&lt;&gt;"",P339=Invoice!$G$4),B339+MOD(N(F339),1)+ROW()/10000000,"")</f>
        <v/>
      </c>
      <c r="S339">
        <f>IF(R339="","",IF(D339="","Other work",D339)&amp;IF(AND(K339&lt;&gt;"",E339&lt;&gt;""),", "&amp;E339,""))</f>
        <v/>
      </c>
      <c r="T339">
        <f>IF(R339="","",IF(COUNTIFS(R$6:R338,"&gt;0",S$6:S338,S339,N$6:N338,N339)=0,R339,""))</f>
        <v/>
      </c>
      <c r="U339">
        <f>IF(B339="","",IF(J339&lt;&gt;"",0,M339))</f>
        <v/>
      </c>
    </row>
    <row r="340">
      <c r="A340" s="1" t="n"/>
      <c r="B340" s="16" t="n"/>
      <c r="C340" s="17" t="n"/>
      <c r="D340" s="18" t="n"/>
      <c r="E340" s="18" t="n"/>
      <c r="F340" s="19" t="n"/>
      <c r="G340" s="19" t="n"/>
      <c r="H340" s="20" t="n"/>
      <c r="I340" s="21" t="n"/>
      <c r="J340" s="22" t="n"/>
      <c r="K340" s="23" t="n"/>
      <c r="L340" s="18" t="n"/>
      <c r="M340" s="24">
        <f>IF(B340="","",IF(AND(F340&lt;&gt;"",G340&lt;&gt;""),MAX(0,ROUND(MOD(G340-F340,1)*24-N(H340)/60,2)),N(I340)))</f>
        <v/>
      </c>
      <c r="N340" s="14">
        <f>IF(B340="","",IF(K340&lt;&gt;"",K340,IF(N(IFERROR(INDEX(Projects!$D$6:$D$65,MATCH(D340,Projects!$B$6:$B$65,0)),""))&gt;0,IFERROR(INDEX(Projects!$D$6:$D$65,MATCH(D340,Projects!$B$6:$B$65,0)),""),IFERROR(INDEX(Clients!$G$6:$G$45,MATCH(C340,Clients!$B$6:$B$45,0)),0))))</f>
        <v/>
      </c>
      <c r="O340" s="14">
        <f>IF(B340="","",IF(J340&lt;&gt;"",0,ROUND(M340*N340,2)))</f>
        <v/>
      </c>
      <c r="P340" s="15">
        <f>IF(OR(B340="",J340&lt;&gt;""),"",IF(L340&lt;&gt;"",L340,IF(COUNTIFS(Invoices!$C$6:$C$305,C340,Invoices!$E$6:$E$305,"&lt;="&amp;B340,Invoices!$F$6:$F$305,"&gt;="&amp;B340)=1,INDEX(Invoices!$B$6:$B$305,SUMIFS(Invoices!$O$6:$O$305,Invoices!$C$6:$C$305,C340,Invoices!$E$6:$E$305,"&lt;="&amp;B340,Invoices!$F$6:$F$305,"&gt;="&amp;B340)),IF(COUNTIFS(Invoices!$C$6:$C$305,C340,Invoices!$E$6:$E$305,"&lt;="&amp;B340,Invoices!$F$6:$F$305,"&gt;="&amp;B340)&gt;1,"Two invoices",""))))</f>
        <v/>
      </c>
      <c r="Q340" s="15">
        <f>IF(B340="","",IF(J340&lt;&gt;"","Not billable",IF(P340="","To invoice",IF(P340="Two invoices","Check dates",IF(ISNA(MATCH(P340,Invoices!$B$6:$B$305,0)),"Check number",IF(INDEX(Invoices!$M$6:$M$305,MATCH(P340,Invoices!$B$6:$B$305,0))="Paid","Paid",IF(INDEX(Invoices!$M$6:$M$305,MATCH(P340,Invoices!$B$6:$B$305,0))="Draft","Draft","Invoiced")))))))</f>
        <v/>
      </c>
      <c r="R340" s="1">
        <f>IF(AND(B340&lt;&gt;"",P340&lt;&gt;"",P340=Invoice!$G$4),B340+MOD(N(F340),1)+ROW()/10000000,"")</f>
        <v/>
      </c>
      <c r="S340">
        <f>IF(R340="","",IF(D340="","Other work",D340)&amp;IF(AND(K340&lt;&gt;"",E340&lt;&gt;""),", "&amp;E340,""))</f>
        <v/>
      </c>
      <c r="T340">
        <f>IF(R340="","",IF(COUNTIFS(R$6:R339,"&gt;0",S$6:S339,S340,N$6:N339,N340)=0,R340,""))</f>
        <v/>
      </c>
      <c r="U340">
        <f>IF(B340="","",IF(J340&lt;&gt;"",0,M340))</f>
        <v/>
      </c>
    </row>
    <row r="341">
      <c r="A341" s="1" t="n"/>
      <c r="B341" s="16" t="n"/>
      <c r="C341" s="17" t="n"/>
      <c r="D341" s="18" t="n"/>
      <c r="E341" s="18" t="n"/>
      <c r="F341" s="19" t="n"/>
      <c r="G341" s="19" t="n"/>
      <c r="H341" s="20" t="n"/>
      <c r="I341" s="21" t="n"/>
      <c r="J341" s="22" t="n"/>
      <c r="K341" s="23" t="n"/>
      <c r="L341" s="18" t="n"/>
      <c r="M341" s="24">
        <f>IF(B341="","",IF(AND(F341&lt;&gt;"",G341&lt;&gt;""),MAX(0,ROUND(MOD(G341-F341,1)*24-N(H341)/60,2)),N(I341)))</f>
        <v/>
      </c>
      <c r="N341" s="14">
        <f>IF(B341="","",IF(K341&lt;&gt;"",K341,IF(N(IFERROR(INDEX(Projects!$D$6:$D$65,MATCH(D341,Projects!$B$6:$B$65,0)),""))&gt;0,IFERROR(INDEX(Projects!$D$6:$D$65,MATCH(D341,Projects!$B$6:$B$65,0)),""),IFERROR(INDEX(Clients!$G$6:$G$45,MATCH(C341,Clients!$B$6:$B$45,0)),0))))</f>
        <v/>
      </c>
      <c r="O341" s="14">
        <f>IF(B341="","",IF(J341&lt;&gt;"",0,ROUND(M341*N341,2)))</f>
        <v/>
      </c>
      <c r="P341" s="15">
        <f>IF(OR(B341="",J341&lt;&gt;""),"",IF(L341&lt;&gt;"",L341,IF(COUNTIFS(Invoices!$C$6:$C$305,C341,Invoices!$E$6:$E$305,"&lt;="&amp;B341,Invoices!$F$6:$F$305,"&gt;="&amp;B341)=1,INDEX(Invoices!$B$6:$B$305,SUMIFS(Invoices!$O$6:$O$305,Invoices!$C$6:$C$305,C341,Invoices!$E$6:$E$305,"&lt;="&amp;B341,Invoices!$F$6:$F$305,"&gt;="&amp;B341)),IF(COUNTIFS(Invoices!$C$6:$C$305,C341,Invoices!$E$6:$E$305,"&lt;="&amp;B341,Invoices!$F$6:$F$305,"&gt;="&amp;B341)&gt;1,"Two invoices",""))))</f>
        <v/>
      </c>
      <c r="Q341" s="15">
        <f>IF(B341="","",IF(J341&lt;&gt;"","Not billable",IF(P341="","To invoice",IF(P341="Two invoices","Check dates",IF(ISNA(MATCH(P341,Invoices!$B$6:$B$305,0)),"Check number",IF(INDEX(Invoices!$M$6:$M$305,MATCH(P341,Invoices!$B$6:$B$305,0))="Paid","Paid",IF(INDEX(Invoices!$M$6:$M$305,MATCH(P341,Invoices!$B$6:$B$305,0))="Draft","Draft","Invoiced")))))))</f>
        <v/>
      </c>
      <c r="R341" s="1">
        <f>IF(AND(B341&lt;&gt;"",P341&lt;&gt;"",P341=Invoice!$G$4),B341+MOD(N(F341),1)+ROW()/10000000,"")</f>
        <v/>
      </c>
      <c r="S341">
        <f>IF(R341="","",IF(D341="","Other work",D341)&amp;IF(AND(K341&lt;&gt;"",E341&lt;&gt;""),", "&amp;E341,""))</f>
        <v/>
      </c>
      <c r="T341">
        <f>IF(R341="","",IF(COUNTIFS(R$6:R340,"&gt;0",S$6:S340,S341,N$6:N340,N341)=0,R341,""))</f>
        <v/>
      </c>
      <c r="U341">
        <f>IF(B341="","",IF(J341&lt;&gt;"",0,M341))</f>
        <v/>
      </c>
    </row>
    <row r="342">
      <c r="A342" s="1" t="n"/>
      <c r="B342" s="16" t="n"/>
      <c r="C342" s="17" t="n"/>
      <c r="D342" s="18" t="n"/>
      <c r="E342" s="18" t="n"/>
      <c r="F342" s="19" t="n"/>
      <c r="G342" s="19" t="n"/>
      <c r="H342" s="20" t="n"/>
      <c r="I342" s="21" t="n"/>
      <c r="J342" s="22" t="n"/>
      <c r="K342" s="23" t="n"/>
      <c r="L342" s="18" t="n"/>
      <c r="M342" s="24">
        <f>IF(B342="","",IF(AND(F342&lt;&gt;"",G342&lt;&gt;""),MAX(0,ROUND(MOD(G342-F342,1)*24-N(H342)/60,2)),N(I342)))</f>
        <v/>
      </c>
      <c r="N342" s="14">
        <f>IF(B342="","",IF(K342&lt;&gt;"",K342,IF(N(IFERROR(INDEX(Projects!$D$6:$D$65,MATCH(D342,Projects!$B$6:$B$65,0)),""))&gt;0,IFERROR(INDEX(Projects!$D$6:$D$65,MATCH(D342,Projects!$B$6:$B$65,0)),""),IFERROR(INDEX(Clients!$G$6:$G$45,MATCH(C342,Clients!$B$6:$B$45,0)),0))))</f>
        <v/>
      </c>
      <c r="O342" s="14">
        <f>IF(B342="","",IF(J342&lt;&gt;"",0,ROUND(M342*N342,2)))</f>
        <v/>
      </c>
      <c r="P342" s="15">
        <f>IF(OR(B342="",J342&lt;&gt;""),"",IF(L342&lt;&gt;"",L342,IF(COUNTIFS(Invoices!$C$6:$C$305,C342,Invoices!$E$6:$E$305,"&lt;="&amp;B342,Invoices!$F$6:$F$305,"&gt;="&amp;B342)=1,INDEX(Invoices!$B$6:$B$305,SUMIFS(Invoices!$O$6:$O$305,Invoices!$C$6:$C$305,C342,Invoices!$E$6:$E$305,"&lt;="&amp;B342,Invoices!$F$6:$F$305,"&gt;="&amp;B342)),IF(COUNTIFS(Invoices!$C$6:$C$305,C342,Invoices!$E$6:$E$305,"&lt;="&amp;B342,Invoices!$F$6:$F$305,"&gt;="&amp;B342)&gt;1,"Two invoices",""))))</f>
        <v/>
      </c>
      <c r="Q342" s="15">
        <f>IF(B342="","",IF(J342&lt;&gt;"","Not billable",IF(P342="","To invoice",IF(P342="Two invoices","Check dates",IF(ISNA(MATCH(P342,Invoices!$B$6:$B$305,0)),"Check number",IF(INDEX(Invoices!$M$6:$M$305,MATCH(P342,Invoices!$B$6:$B$305,0))="Paid","Paid",IF(INDEX(Invoices!$M$6:$M$305,MATCH(P342,Invoices!$B$6:$B$305,0))="Draft","Draft","Invoiced")))))))</f>
        <v/>
      </c>
      <c r="R342" s="1">
        <f>IF(AND(B342&lt;&gt;"",P342&lt;&gt;"",P342=Invoice!$G$4),B342+MOD(N(F342),1)+ROW()/10000000,"")</f>
        <v/>
      </c>
      <c r="S342">
        <f>IF(R342="","",IF(D342="","Other work",D342)&amp;IF(AND(K342&lt;&gt;"",E342&lt;&gt;""),", "&amp;E342,""))</f>
        <v/>
      </c>
      <c r="T342">
        <f>IF(R342="","",IF(COUNTIFS(R$6:R341,"&gt;0",S$6:S341,S342,N$6:N341,N342)=0,R342,""))</f>
        <v/>
      </c>
      <c r="U342">
        <f>IF(B342="","",IF(J342&lt;&gt;"",0,M342))</f>
        <v/>
      </c>
    </row>
    <row r="343">
      <c r="A343" s="1" t="n"/>
      <c r="B343" s="16" t="n"/>
      <c r="C343" s="17" t="n"/>
      <c r="D343" s="18" t="n"/>
      <c r="E343" s="18" t="n"/>
      <c r="F343" s="19" t="n"/>
      <c r="G343" s="19" t="n"/>
      <c r="H343" s="20" t="n"/>
      <c r="I343" s="21" t="n"/>
      <c r="J343" s="22" t="n"/>
      <c r="K343" s="23" t="n"/>
      <c r="L343" s="18" t="n"/>
      <c r="M343" s="24">
        <f>IF(B343="","",IF(AND(F343&lt;&gt;"",G343&lt;&gt;""),MAX(0,ROUND(MOD(G343-F343,1)*24-N(H343)/60,2)),N(I343)))</f>
        <v/>
      </c>
      <c r="N343" s="14">
        <f>IF(B343="","",IF(K343&lt;&gt;"",K343,IF(N(IFERROR(INDEX(Projects!$D$6:$D$65,MATCH(D343,Projects!$B$6:$B$65,0)),""))&gt;0,IFERROR(INDEX(Projects!$D$6:$D$65,MATCH(D343,Projects!$B$6:$B$65,0)),""),IFERROR(INDEX(Clients!$G$6:$G$45,MATCH(C343,Clients!$B$6:$B$45,0)),0))))</f>
        <v/>
      </c>
      <c r="O343" s="14">
        <f>IF(B343="","",IF(J343&lt;&gt;"",0,ROUND(M343*N343,2)))</f>
        <v/>
      </c>
      <c r="P343" s="15">
        <f>IF(OR(B343="",J343&lt;&gt;""),"",IF(L343&lt;&gt;"",L343,IF(COUNTIFS(Invoices!$C$6:$C$305,C343,Invoices!$E$6:$E$305,"&lt;="&amp;B343,Invoices!$F$6:$F$305,"&gt;="&amp;B343)=1,INDEX(Invoices!$B$6:$B$305,SUMIFS(Invoices!$O$6:$O$305,Invoices!$C$6:$C$305,C343,Invoices!$E$6:$E$305,"&lt;="&amp;B343,Invoices!$F$6:$F$305,"&gt;="&amp;B343)),IF(COUNTIFS(Invoices!$C$6:$C$305,C343,Invoices!$E$6:$E$305,"&lt;="&amp;B343,Invoices!$F$6:$F$305,"&gt;="&amp;B343)&gt;1,"Two invoices",""))))</f>
        <v/>
      </c>
      <c r="Q343" s="15">
        <f>IF(B343="","",IF(J343&lt;&gt;"","Not billable",IF(P343="","To invoice",IF(P343="Two invoices","Check dates",IF(ISNA(MATCH(P343,Invoices!$B$6:$B$305,0)),"Check number",IF(INDEX(Invoices!$M$6:$M$305,MATCH(P343,Invoices!$B$6:$B$305,0))="Paid","Paid",IF(INDEX(Invoices!$M$6:$M$305,MATCH(P343,Invoices!$B$6:$B$305,0))="Draft","Draft","Invoiced")))))))</f>
        <v/>
      </c>
      <c r="R343" s="1">
        <f>IF(AND(B343&lt;&gt;"",P343&lt;&gt;"",P343=Invoice!$G$4),B343+MOD(N(F343),1)+ROW()/10000000,"")</f>
        <v/>
      </c>
      <c r="S343">
        <f>IF(R343="","",IF(D343="","Other work",D343)&amp;IF(AND(K343&lt;&gt;"",E343&lt;&gt;""),", "&amp;E343,""))</f>
        <v/>
      </c>
      <c r="T343">
        <f>IF(R343="","",IF(COUNTIFS(R$6:R342,"&gt;0",S$6:S342,S343,N$6:N342,N343)=0,R343,""))</f>
        <v/>
      </c>
      <c r="U343">
        <f>IF(B343="","",IF(J343&lt;&gt;"",0,M343))</f>
        <v/>
      </c>
    </row>
    <row r="344">
      <c r="A344" s="1" t="n"/>
      <c r="B344" s="16" t="n"/>
      <c r="C344" s="17" t="n"/>
      <c r="D344" s="18" t="n"/>
      <c r="E344" s="18" t="n"/>
      <c r="F344" s="19" t="n"/>
      <c r="G344" s="19" t="n"/>
      <c r="H344" s="20" t="n"/>
      <c r="I344" s="21" t="n"/>
      <c r="J344" s="22" t="n"/>
      <c r="K344" s="23" t="n"/>
      <c r="L344" s="18" t="n"/>
      <c r="M344" s="24">
        <f>IF(B344="","",IF(AND(F344&lt;&gt;"",G344&lt;&gt;""),MAX(0,ROUND(MOD(G344-F344,1)*24-N(H344)/60,2)),N(I344)))</f>
        <v/>
      </c>
      <c r="N344" s="14">
        <f>IF(B344="","",IF(K344&lt;&gt;"",K344,IF(N(IFERROR(INDEX(Projects!$D$6:$D$65,MATCH(D344,Projects!$B$6:$B$65,0)),""))&gt;0,IFERROR(INDEX(Projects!$D$6:$D$65,MATCH(D344,Projects!$B$6:$B$65,0)),""),IFERROR(INDEX(Clients!$G$6:$G$45,MATCH(C344,Clients!$B$6:$B$45,0)),0))))</f>
        <v/>
      </c>
      <c r="O344" s="14">
        <f>IF(B344="","",IF(J344&lt;&gt;"",0,ROUND(M344*N344,2)))</f>
        <v/>
      </c>
      <c r="P344" s="15">
        <f>IF(OR(B344="",J344&lt;&gt;""),"",IF(L344&lt;&gt;"",L344,IF(COUNTIFS(Invoices!$C$6:$C$305,C344,Invoices!$E$6:$E$305,"&lt;="&amp;B344,Invoices!$F$6:$F$305,"&gt;="&amp;B344)=1,INDEX(Invoices!$B$6:$B$305,SUMIFS(Invoices!$O$6:$O$305,Invoices!$C$6:$C$305,C344,Invoices!$E$6:$E$305,"&lt;="&amp;B344,Invoices!$F$6:$F$305,"&gt;="&amp;B344)),IF(COUNTIFS(Invoices!$C$6:$C$305,C344,Invoices!$E$6:$E$305,"&lt;="&amp;B344,Invoices!$F$6:$F$305,"&gt;="&amp;B344)&gt;1,"Two invoices",""))))</f>
        <v/>
      </c>
      <c r="Q344" s="15">
        <f>IF(B344="","",IF(J344&lt;&gt;"","Not billable",IF(P344="","To invoice",IF(P344="Two invoices","Check dates",IF(ISNA(MATCH(P344,Invoices!$B$6:$B$305,0)),"Check number",IF(INDEX(Invoices!$M$6:$M$305,MATCH(P344,Invoices!$B$6:$B$305,0))="Paid","Paid",IF(INDEX(Invoices!$M$6:$M$305,MATCH(P344,Invoices!$B$6:$B$305,0))="Draft","Draft","Invoiced")))))))</f>
        <v/>
      </c>
      <c r="R344" s="1">
        <f>IF(AND(B344&lt;&gt;"",P344&lt;&gt;"",P344=Invoice!$G$4),B344+MOD(N(F344),1)+ROW()/10000000,"")</f>
        <v/>
      </c>
      <c r="S344">
        <f>IF(R344="","",IF(D344="","Other work",D344)&amp;IF(AND(K344&lt;&gt;"",E344&lt;&gt;""),", "&amp;E344,""))</f>
        <v/>
      </c>
      <c r="T344">
        <f>IF(R344="","",IF(COUNTIFS(R$6:R343,"&gt;0",S$6:S343,S344,N$6:N343,N344)=0,R344,""))</f>
        <v/>
      </c>
      <c r="U344">
        <f>IF(B344="","",IF(J344&lt;&gt;"",0,M344))</f>
        <v/>
      </c>
    </row>
    <row r="345">
      <c r="A345" s="1" t="n"/>
      <c r="B345" s="16" t="n"/>
      <c r="C345" s="17" t="n"/>
      <c r="D345" s="18" t="n"/>
      <c r="E345" s="18" t="n"/>
      <c r="F345" s="19" t="n"/>
      <c r="G345" s="19" t="n"/>
      <c r="H345" s="20" t="n"/>
      <c r="I345" s="21" t="n"/>
      <c r="J345" s="22" t="n"/>
      <c r="K345" s="23" t="n"/>
      <c r="L345" s="18" t="n"/>
      <c r="M345" s="24">
        <f>IF(B345="","",IF(AND(F345&lt;&gt;"",G345&lt;&gt;""),MAX(0,ROUND(MOD(G345-F345,1)*24-N(H345)/60,2)),N(I345)))</f>
        <v/>
      </c>
      <c r="N345" s="14">
        <f>IF(B345="","",IF(K345&lt;&gt;"",K345,IF(N(IFERROR(INDEX(Projects!$D$6:$D$65,MATCH(D345,Projects!$B$6:$B$65,0)),""))&gt;0,IFERROR(INDEX(Projects!$D$6:$D$65,MATCH(D345,Projects!$B$6:$B$65,0)),""),IFERROR(INDEX(Clients!$G$6:$G$45,MATCH(C345,Clients!$B$6:$B$45,0)),0))))</f>
        <v/>
      </c>
      <c r="O345" s="14">
        <f>IF(B345="","",IF(J345&lt;&gt;"",0,ROUND(M345*N345,2)))</f>
        <v/>
      </c>
      <c r="P345" s="15">
        <f>IF(OR(B345="",J345&lt;&gt;""),"",IF(L345&lt;&gt;"",L345,IF(COUNTIFS(Invoices!$C$6:$C$305,C345,Invoices!$E$6:$E$305,"&lt;="&amp;B345,Invoices!$F$6:$F$305,"&gt;="&amp;B345)=1,INDEX(Invoices!$B$6:$B$305,SUMIFS(Invoices!$O$6:$O$305,Invoices!$C$6:$C$305,C345,Invoices!$E$6:$E$305,"&lt;="&amp;B345,Invoices!$F$6:$F$305,"&gt;="&amp;B345)),IF(COUNTIFS(Invoices!$C$6:$C$305,C345,Invoices!$E$6:$E$305,"&lt;="&amp;B345,Invoices!$F$6:$F$305,"&gt;="&amp;B345)&gt;1,"Two invoices",""))))</f>
        <v/>
      </c>
      <c r="Q345" s="15">
        <f>IF(B345="","",IF(J345&lt;&gt;"","Not billable",IF(P345="","To invoice",IF(P345="Two invoices","Check dates",IF(ISNA(MATCH(P345,Invoices!$B$6:$B$305,0)),"Check number",IF(INDEX(Invoices!$M$6:$M$305,MATCH(P345,Invoices!$B$6:$B$305,0))="Paid","Paid",IF(INDEX(Invoices!$M$6:$M$305,MATCH(P345,Invoices!$B$6:$B$305,0))="Draft","Draft","Invoiced")))))))</f>
        <v/>
      </c>
      <c r="R345" s="1">
        <f>IF(AND(B345&lt;&gt;"",P345&lt;&gt;"",P345=Invoice!$G$4),B345+MOD(N(F345),1)+ROW()/10000000,"")</f>
        <v/>
      </c>
      <c r="S345">
        <f>IF(R345="","",IF(D345="","Other work",D345)&amp;IF(AND(K345&lt;&gt;"",E345&lt;&gt;""),", "&amp;E345,""))</f>
        <v/>
      </c>
      <c r="T345">
        <f>IF(R345="","",IF(COUNTIFS(R$6:R344,"&gt;0",S$6:S344,S345,N$6:N344,N345)=0,R345,""))</f>
        <v/>
      </c>
      <c r="U345">
        <f>IF(B345="","",IF(J345&lt;&gt;"",0,M345))</f>
        <v/>
      </c>
    </row>
    <row r="346">
      <c r="A346" s="1" t="n"/>
      <c r="B346" s="16" t="n"/>
      <c r="C346" s="17" t="n"/>
      <c r="D346" s="18" t="n"/>
      <c r="E346" s="18" t="n"/>
      <c r="F346" s="19" t="n"/>
      <c r="G346" s="19" t="n"/>
      <c r="H346" s="20" t="n"/>
      <c r="I346" s="21" t="n"/>
      <c r="J346" s="22" t="n"/>
      <c r="K346" s="23" t="n"/>
      <c r="L346" s="18" t="n"/>
      <c r="M346" s="24">
        <f>IF(B346="","",IF(AND(F346&lt;&gt;"",G346&lt;&gt;""),MAX(0,ROUND(MOD(G346-F346,1)*24-N(H346)/60,2)),N(I346)))</f>
        <v/>
      </c>
      <c r="N346" s="14">
        <f>IF(B346="","",IF(K346&lt;&gt;"",K346,IF(N(IFERROR(INDEX(Projects!$D$6:$D$65,MATCH(D346,Projects!$B$6:$B$65,0)),""))&gt;0,IFERROR(INDEX(Projects!$D$6:$D$65,MATCH(D346,Projects!$B$6:$B$65,0)),""),IFERROR(INDEX(Clients!$G$6:$G$45,MATCH(C346,Clients!$B$6:$B$45,0)),0))))</f>
        <v/>
      </c>
      <c r="O346" s="14">
        <f>IF(B346="","",IF(J346&lt;&gt;"",0,ROUND(M346*N346,2)))</f>
        <v/>
      </c>
      <c r="P346" s="15">
        <f>IF(OR(B346="",J346&lt;&gt;""),"",IF(L346&lt;&gt;"",L346,IF(COUNTIFS(Invoices!$C$6:$C$305,C346,Invoices!$E$6:$E$305,"&lt;="&amp;B346,Invoices!$F$6:$F$305,"&gt;="&amp;B346)=1,INDEX(Invoices!$B$6:$B$305,SUMIFS(Invoices!$O$6:$O$305,Invoices!$C$6:$C$305,C346,Invoices!$E$6:$E$305,"&lt;="&amp;B346,Invoices!$F$6:$F$305,"&gt;="&amp;B346)),IF(COUNTIFS(Invoices!$C$6:$C$305,C346,Invoices!$E$6:$E$305,"&lt;="&amp;B346,Invoices!$F$6:$F$305,"&gt;="&amp;B346)&gt;1,"Two invoices",""))))</f>
        <v/>
      </c>
      <c r="Q346" s="15">
        <f>IF(B346="","",IF(J346&lt;&gt;"","Not billable",IF(P346="","To invoice",IF(P346="Two invoices","Check dates",IF(ISNA(MATCH(P346,Invoices!$B$6:$B$305,0)),"Check number",IF(INDEX(Invoices!$M$6:$M$305,MATCH(P346,Invoices!$B$6:$B$305,0))="Paid","Paid",IF(INDEX(Invoices!$M$6:$M$305,MATCH(P346,Invoices!$B$6:$B$305,0))="Draft","Draft","Invoiced")))))))</f>
        <v/>
      </c>
      <c r="R346" s="1">
        <f>IF(AND(B346&lt;&gt;"",P346&lt;&gt;"",P346=Invoice!$G$4),B346+MOD(N(F346),1)+ROW()/10000000,"")</f>
        <v/>
      </c>
      <c r="S346">
        <f>IF(R346="","",IF(D346="","Other work",D346)&amp;IF(AND(K346&lt;&gt;"",E346&lt;&gt;""),", "&amp;E346,""))</f>
        <v/>
      </c>
      <c r="T346">
        <f>IF(R346="","",IF(COUNTIFS(R$6:R345,"&gt;0",S$6:S345,S346,N$6:N345,N346)=0,R346,""))</f>
        <v/>
      </c>
      <c r="U346">
        <f>IF(B346="","",IF(J346&lt;&gt;"",0,M346))</f>
        <v/>
      </c>
    </row>
    <row r="347">
      <c r="A347" s="1" t="n"/>
      <c r="B347" s="16" t="n"/>
      <c r="C347" s="17" t="n"/>
      <c r="D347" s="18" t="n"/>
      <c r="E347" s="18" t="n"/>
      <c r="F347" s="19" t="n"/>
      <c r="G347" s="19" t="n"/>
      <c r="H347" s="20" t="n"/>
      <c r="I347" s="21" t="n"/>
      <c r="J347" s="22" t="n"/>
      <c r="K347" s="23" t="n"/>
      <c r="L347" s="18" t="n"/>
      <c r="M347" s="24">
        <f>IF(B347="","",IF(AND(F347&lt;&gt;"",G347&lt;&gt;""),MAX(0,ROUND(MOD(G347-F347,1)*24-N(H347)/60,2)),N(I347)))</f>
        <v/>
      </c>
      <c r="N347" s="14">
        <f>IF(B347="","",IF(K347&lt;&gt;"",K347,IF(N(IFERROR(INDEX(Projects!$D$6:$D$65,MATCH(D347,Projects!$B$6:$B$65,0)),""))&gt;0,IFERROR(INDEX(Projects!$D$6:$D$65,MATCH(D347,Projects!$B$6:$B$65,0)),""),IFERROR(INDEX(Clients!$G$6:$G$45,MATCH(C347,Clients!$B$6:$B$45,0)),0))))</f>
        <v/>
      </c>
      <c r="O347" s="14">
        <f>IF(B347="","",IF(J347&lt;&gt;"",0,ROUND(M347*N347,2)))</f>
        <v/>
      </c>
      <c r="P347" s="15">
        <f>IF(OR(B347="",J347&lt;&gt;""),"",IF(L347&lt;&gt;"",L347,IF(COUNTIFS(Invoices!$C$6:$C$305,C347,Invoices!$E$6:$E$305,"&lt;="&amp;B347,Invoices!$F$6:$F$305,"&gt;="&amp;B347)=1,INDEX(Invoices!$B$6:$B$305,SUMIFS(Invoices!$O$6:$O$305,Invoices!$C$6:$C$305,C347,Invoices!$E$6:$E$305,"&lt;="&amp;B347,Invoices!$F$6:$F$305,"&gt;="&amp;B347)),IF(COUNTIFS(Invoices!$C$6:$C$305,C347,Invoices!$E$6:$E$305,"&lt;="&amp;B347,Invoices!$F$6:$F$305,"&gt;="&amp;B347)&gt;1,"Two invoices",""))))</f>
        <v/>
      </c>
      <c r="Q347" s="15">
        <f>IF(B347="","",IF(J347&lt;&gt;"","Not billable",IF(P347="","To invoice",IF(P347="Two invoices","Check dates",IF(ISNA(MATCH(P347,Invoices!$B$6:$B$305,0)),"Check number",IF(INDEX(Invoices!$M$6:$M$305,MATCH(P347,Invoices!$B$6:$B$305,0))="Paid","Paid",IF(INDEX(Invoices!$M$6:$M$305,MATCH(P347,Invoices!$B$6:$B$305,0))="Draft","Draft","Invoiced")))))))</f>
        <v/>
      </c>
      <c r="R347" s="1">
        <f>IF(AND(B347&lt;&gt;"",P347&lt;&gt;"",P347=Invoice!$G$4),B347+MOD(N(F347),1)+ROW()/10000000,"")</f>
        <v/>
      </c>
      <c r="S347">
        <f>IF(R347="","",IF(D347="","Other work",D347)&amp;IF(AND(K347&lt;&gt;"",E347&lt;&gt;""),", "&amp;E347,""))</f>
        <v/>
      </c>
      <c r="T347">
        <f>IF(R347="","",IF(COUNTIFS(R$6:R346,"&gt;0",S$6:S346,S347,N$6:N346,N347)=0,R347,""))</f>
        <v/>
      </c>
      <c r="U347">
        <f>IF(B347="","",IF(J347&lt;&gt;"",0,M347))</f>
        <v/>
      </c>
    </row>
    <row r="348">
      <c r="A348" s="1" t="n"/>
      <c r="B348" s="16" t="n"/>
      <c r="C348" s="17" t="n"/>
      <c r="D348" s="18" t="n"/>
      <c r="E348" s="18" t="n"/>
      <c r="F348" s="19" t="n"/>
      <c r="G348" s="19" t="n"/>
      <c r="H348" s="20" t="n"/>
      <c r="I348" s="21" t="n"/>
      <c r="J348" s="22" t="n"/>
      <c r="K348" s="23" t="n"/>
      <c r="L348" s="18" t="n"/>
      <c r="M348" s="24">
        <f>IF(B348="","",IF(AND(F348&lt;&gt;"",G348&lt;&gt;""),MAX(0,ROUND(MOD(G348-F348,1)*24-N(H348)/60,2)),N(I348)))</f>
        <v/>
      </c>
      <c r="N348" s="14">
        <f>IF(B348="","",IF(K348&lt;&gt;"",K348,IF(N(IFERROR(INDEX(Projects!$D$6:$D$65,MATCH(D348,Projects!$B$6:$B$65,0)),""))&gt;0,IFERROR(INDEX(Projects!$D$6:$D$65,MATCH(D348,Projects!$B$6:$B$65,0)),""),IFERROR(INDEX(Clients!$G$6:$G$45,MATCH(C348,Clients!$B$6:$B$45,0)),0))))</f>
        <v/>
      </c>
      <c r="O348" s="14">
        <f>IF(B348="","",IF(J348&lt;&gt;"",0,ROUND(M348*N348,2)))</f>
        <v/>
      </c>
      <c r="P348" s="15">
        <f>IF(OR(B348="",J348&lt;&gt;""),"",IF(L348&lt;&gt;"",L348,IF(COUNTIFS(Invoices!$C$6:$C$305,C348,Invoices!$E$6:$E$305,"&lt;="&amp;B348,Invoices!$F$6:$F$305,"&gt;="&amp;B348)=1,INDEX(Invoices!$B$6:$B$305,SUMIFS(Invoices!$O$6:$O$305,Invoices!$C$6:$C$305,C348,Invoices!$E$6:$E$305,"&lt;="&amp;B348,Invoices!$F$6:$F$305,"&gt;="&amp;B348)),IF(COUNTIFS(Invoices!$C$6:$C$305,C348,Invoices!$E$6:$E$305,"&lt;="&amp;B348,Invoices!$F$6:$F$305,"&gt;="&amp;B348)&gt;1,"Two invoices",""))))</f>
        <v/>
      </c>
      <c r="Q348" s="15">
        <f>IF(B348="","",IF(J348&lt;&gt;"","Not billable",IF(P348="","To invoice",IF(P348="Two invoices","Check dates",IF(ISNA(MATCH(P348,Invoices!$B$6:$B$305,0)),"Check number",IF(INDEX(Invoices!$M$6:$M$305,MATCH(P348,Invoices!$B$6:$B$305,0))="Paid","Paid",IF(INDEX(Invoices!$M$6:$M$305,MATCH(P348,Invoices!$B$6:$B$305,0))="Draft","Draft","Invoiced")))))))</f>
        <v/>
      </c>
      <c r="R348" s="1">
        <f>IF(AND(B348&lt;&gt;"",P348&lt;&gt;"",P348=Invoice!$G$4),B348+MOD(N(F348),1)+ROW()/10000000,"")</f>
        <v/>
      </c>
      <c r="S348">
        <f>IF(R348="","",IF(D348="","Other work",D348)&amp;IF(AND(K348&lt;&gt;"",E348&lt;&gt;""),", "&amp;E348,""))</f>
        <v/>
      </c>
      <c r="T348">
        <f>IF(R348="","",IF(COUNTIFS(R$6:R347,"&gt;0",S$6:S347,S348,N$6:N347,N348)=0,R348,""))</f>
        <v/>
      </c>
      <c r="U348">
        <f>IF(B348="","",IF(J348&lt;&gt;"",0,M348))</f>
        <v/>
      </c>
    </row>
    <row r="349">
      <c r="A349" s="1" t="n"/>
      <c r="B349" s="16" t="n"/>
      <c r="C349" s="17" t="n"/>
      <c r="D349" s="18" t="n"/>
      <c r="E349" s="18" t="n"/>
      <c r="F349" s="19" t="n"/>
      <c r="G349" s="19" t="n"/>
      <c r="H349" s="20" t="n"/>
      <c r="I349" s="21" t="n"/>
      <c r="J349" s="22" t="n"/>
      <c r="K349" s="23" t="n"/>
      <c r="L349" s="18" t="n"/>
      <c r="M349" s="24">
        <f>IF(B349="","",IF(AND(F349&lt;&gt;"",G349&lt;&gt;""),MAX(0,ROUND(MOD(G349-F349,1)*24-N(H349)/60,2)),N(I349)))</f>
        <v/>
      </c>
      <c r="N349" s="14">
        <f>IF(B349="","",IF(K349&lt;&gt;"",K349,IF(N(IFERROR(INDEX(Projects!$D$6:$D$65,MATCH(D349,Projects!$B$6:$B$65,0)),""))&gt;0,IFERROR(INDEX(Projects!$D$6:$D$65,MATCH(D349,Projects!$B$6:$B$65,0)),""),IFERROR(INDEX(Clients!$G$6:$G$45,MATCH(C349,Clients!$B$6:$B$45,0)),0))))</f>
        <v/>
      </c>
      <c r="O349" s="14">
        <f>IF(B349="","",IF(J349&lt;&gt;"",0,ROUND(M349*N349,2)))</f>
        <v/>
      </c>
      <c r="P349" s="15">
        <f>IF(OR(B349="",J349&lt;&gt;""),"",IF(L349&lt;&gt;"",L349,IF(COUNTIFS(Invoices!$C$6:$C$305,C349,Invoices!$E$6:$E$305,"&lt;="&amp;B349,Invoices!$F$6:$F$305,"&gt;="&amp;B349)=1,INDEX(Invoices!$B$6:$B$305,SUMIFS(Invoices!$O$6:$O$305,Invoices!$C$6:$C$305,C349,Invoices!$E$6:$E$305,"&lt;="&amp;B349,Invoices!$F$6:$F$305,"&gt;="&amp;B349)),IF(COUNTIFS(Invoices!$C$6:$C$305,C349,Invoices!$E$6:$E$305,"&lt;="&amp;B349,Invoices!$F$6:$F$305,"&gt;="&amp;B349)&gt;1,"Two invoices",""))))</f>
        <v/>
      </c>
      <c r="Q349" s="15">
        <f>IF(B349="","",IF(J349&lt;&gt;"","Not billable",IF(P349="","To invoice",IF(P349="Two invoices","Check dates",IF(ISNA(MATCH(P349,Invoices!$B$6:$B$305,0)),"Check number",IF(INDEX(Invoices!$M$6:$M$305,MATCH(P349,Invoices!$B$6:$B$305,0))="Paid","Paid",IF(INDEX(Invoices!$M$6:$M$305,MATCH(P349,Invoices!$B$6:$B$305,0))="Draft","Draft","Invoiced")))))))</f>
        <v/>
      </c>
      <c r="R349" s="1">
        <f>IF(AND(B349&lt;&gt;"",P349&lt;&gt;"",P349=Invoice!$G$4),B349+MOD(N(F349),1)+ROW()/10000000,"")</f>
        <v/>
      </c>
      <c r="S349">
        <f>IF(R349="","",IF(D349="","Other work",D349)&amp;IF(AND(K349&lt;&gt;"",E349&lt;&gt;""),", "&amp;E349,""))</f>
        <v/>
      </c>
      <c r="T349">
        <f>IF(R349="","",IF(COUNTIFS(R$6:R348,"&gt;0",S$6:S348,S349,N$6:N348,N349)=0,R349,""))</f>
        <v/>
      </c>
      <c r="U349">
        <f>IF(B349="","",IF(J349&lt;&gt;"",0,M349))</f>
        <v/>
      </c>
    </row>
    <row r="350">
      <c r="A350" s="1" t="n"/>
      <c r="B350" s="16" t="n"/>
      <c r="C350" s="17" t="n"/>
      <c r="D350" s="18" t="n"/>
      <c r="E350" s="18" t="n"/>
      <c r="F350" s="19" t="n"/>
      <c r="G350" s="19" t="n"/>
      <c r="H350" s="20" t="n"/>
      <c r="I350" s="21" t="n"/>
      <c r="J350" s="22" t="n"/>
      <c r="K350" s="23" t="n"/>
      <c r="L350" s="18" t="n"/>
      <c r="M350" s="24">
        <f>IF(B350="","",IF(AND(F350&lt;&gt;"",G350&lt;&gt;""),MAX(0,ROUND(MOD(G350-F350,1)*24-N(H350)/60,2)),N(I350)))</f>
        <v/>
      </c>
      <c r="N350" s="14">
        <f>IF(B350="","",IF(K350&lt;&gt;"",K350,IF(N(IFERROR(INDEX(Projects!$D$6:$D$65,MATCH(D350,Projects!$B$6:$B$65,0)),""))&gt;0,IFERROR(INDEX(Projects!$D$6:$D$65,MATCH(D350,Projects!$B$6:$B$65,0)),""),IFERROR(INDEX(Clients!$G$6:$G$45,MATCH(C350,Clients!$B$6:$B$45,0)),0))))</f>
        <v/>
      </c>
      <c r="O350" s="14">
        <f>IF(B350="","",IF(J350&lt;&gt;"",0,ROUND(M350*N350,2)))</f>
        <v/>
      </c>
      <c r="P350" s="15">
        <f>IF(OR(B350="",J350&lt;&gt;""),"",IF(L350&lt;&gt;"",L350,IF(COUNTIFS(Invoices!$C$6:$C$305,C350,Invoices!$E$6:$E$305,"&lt;="&amp;B350,Invoices!$F$6:$F$305,"&gt;="&amp;B350)=1,INDEX(Invoices!$B$6:$B$305,SUMIFS(Invoices!$O$6:$O$305,Invoices!$C$6:$C$305,C350,Invoices!$E$6:$E$305,"&lt;="&amp;B350,Invoices!$F$6:$F$305,"&gt;="&amp;B350)),IF(COUNTIFS(Invoices!$C$6:$C$305,C350,Invoices!$E$6:$E$305,"&lt;="&amp;B350,Invoices!$F$6:$F$305,"&gt;="&amp;B350)&gt;1,"Two invoices",""))))</f>
        <v/>
      </c>
      <c r="Q350" s="15">
        <f>IF(B350="","",IF(J350&lt;&gt;"","Not billable",IF(P350="","To invoice",IF(P350="Two invoices","Check dates",IF(ISNA(MATCH(P350,Invoices!$B$6:$B$305,0)),"Check number",IF(INDEX(Invoices!$M$6:$M$305,MATCH(P350,Invoices!$B$6:$B$305,0))="Paid","Paid",IF(INDEX(Invoices!$M$6:$M$305,MATCH(P350,Invoices!$B$6:$B$305,0))="Draft","Draft","Invoiced")))))))</f>
        <v/>
      </c>
      <c r="R350" s="1">
        <f>IF(AND(B350&lt;&gt;"",P350&lt;&gt;"",P350=Invoice!$G$4),B350+MOD(N(F350),1)+ROW()/10000000,"")</f>
        <v/>
      </c>
      <c r="S350">
        <f>IF(R350="","",IF(D350="","Other work",D350)&amp;IF(AND(K350&lt;&gt;"",E350&lt;&gt;""),", "&amp;E350,""))</f>
        <v/>
      </c>
      <c r="T350">
        <f>IF(R350="","",IF(COUNTIFS(R$6:R349,"&gt;0",S$6:S349,S350,N$6:N349,N350)=0,R350,""))</f>
        <v/>
      </c>
      <c r="U350">
        <f>IF(B350="","",IF(J350&lt;&gt;"",0,M350))</f>
        <v/>
      </c>
    </row>
    <row r="351">
      <c r="A351" s="1" t="n"/>
      <c r="B351" s="16" t="n"/>
      <c r="C351" s="17" t="n"/>
      <c r="D351" s="18" t="n"/>
      <c r="E351" s="18" t="n"/>
      <c r="F351" s="19" t="n"/>
      <c r="G351" s="19" t="n"/>
      <c r="H351" s="20" t="n"/>
      <c r="I351" s="21" t="n"/>
      <c r="J351" s="22" t="n"/>
      <c r="K351" s="23" t="n"/>
      <c r="L351" s="18" t="n"/>
      <c r="M351" s="24">
        <f>IF(B351="","",IF(AND(F351&lt;&gt;"",G351&lt;&gt;""),MAX(0,ROUND(MOD(G351-F351,1)*24-N(H351)/60,2)),N(I351)))</f>
        <v/>
      </c>
      <c r="N351" s="14">
        <f>IF(B351="","",IF(K351&lt;&gt;"",K351,IF(N(IFERROR(INDEX(Projects!$D$6:$D$65,MATCH(D351,Projects!$B$6:$B$65,0)),""))&gt;0,IFERROR(INDEX(Projects!$D$6:$D$65,MATCH(D351,Projects!$B$6:$B$65,0)),""),IFERROR(INDEX(Clients!$G$6:$G$45,MATCH(C351,Clients!$B$6:$B$45,0)),0))))</f>
        <v/>
      </c>
      <c r="O351" s="14">
        <f>IF(B351="","",IF(J351&lt;&gt;"",0,ROUND(M351*N351,2)))</f>
        <v/>
      </c>
      <c r="P351" s="15">
        <f>IF(OR(B351="",J351&lt;&gt;""),"",IF(L351&lt;&gt;"",L351,IF(COUNTIFS(Invoices!$C$6:$C$305,C351,Invoices!$E$6:$E$305,"&lt;="&amp;B351,Invoices!$F$6:$F$305,"&gt;="&amp;B351)=1,INDEX(Invoices!$B$6:$B$305,SUMIFS(Invoices!$O$6:$O$305,Invoices!$C$6:$C$305,C351,Invoices!$E$6:$E$305,"&lt;="&amp;B351,Invoices!$F$6:$F$305,"&gt;="&amp;B351)),IF(COUNTIFS(Invoices!$C$6:$C$305,C351,Invoices!$E$6:$E$305,"&lt;="&amp;B351,Invoices!$F$6:$F$305,"&gt;="&amp;B351)&gt;1,"Two invoices",""))))</f>
        <v/>
      </c>
      <c r="Q351" s="15">
        <f>IF(B351="","",IF(J351&lt;&gt;"","Not billable",IF(P351="","To invoice",IF(P351="Two invoices","Check dates",IF(ISNA(MATCH(P351,Invoices!$B$6:$B$305,0)),"Check number",IF(INDEX(Invoices!$M$6:$M$305,MATCH(P351,Invoices!$B$6:$B$305,0))="Paid","Paid",IF(INDEX(Invoices!$M$6:$M$305,MATCH(P351,Invoices!$B$6:$B$305,0))="Draft","Draft","Invoiced")))))))</f>
        <v/>
      </c>
      <c r="R351" s="1">
        <f>IF(AND(B351&lt;&gt;"",P351&lt;&gt;"",P351=Invoice!$G$4),B351+MOD(N(F351),1)+ROW()/10000000,"")</f>
        <v/>
      </c>
      <c r="S351">
        <f>IF(R351="","",IF(D351="","Other work",D351)&amp;IF(AND(K351&lt;&gt;"",E351&lt;&gt;""),", "&amp;E351,""))</f>
        <v/>
      </c>
      <c r="T351">
        <f>IF(R351="","",IF(COUNTIFS(R$6:R350,"&gt;0",S$6:S350,S351,N$6:N350,N351)=0,R351,""))</f>
        <v/>
      </c>
      <c r="U351">
        <f>IF(B351="","",IF(J351&lt;&gt;"",0,M351))</f>
        <v/>
      </c>
    </row>
    <row r="352">
      <c r="A352" s="1" t="n"/>
      <c r="B352" s="16" t="n"/>
      <c r="C352" s="17" t="n"/>
      <c r="D352" s="18" t="n"/>
      <c r="E352" s="18" t="n"/>
      <c r="F352" s="19" t="n"/>
      <c r="G352" s="19" t="n"/>
      <c r="H352" s="20" t="n"/>
      <c r="I352" s="21" t="n"/>
      <c r="J352" s="22" t="n"/>
      <c r="K352" s="23" t="n"/>
      <c r="L352" s="18" t="n"/>
      <c r="M352" s="24">
        <f>IF(B352="","",IF(AND(F352&lt;&gt;"",G352&lt;&gt;""),MAX(0,ROUND(MOD(G352-F352,1)*24-N(H352)/60,2)),N(I352)))</f>
        <v/>
      </c>
      <c r="N352" s="14">
        <f>IF(B352="","",IF(K352&lt;&gt;"",K352,IF(N(IFERROR(INDEX(Projects!$D$6:$D$65,MATCH(D352,Projects!$B$6:$B$65,0)),""))&gt;0,IFERROR(INDEX(Projects!$D$6:$D$65,MATCH(D352,Projects!$B$6:$B$65,0)),""),IFERROR(INDEX(Clients!$G$6:$G$45,MATCH(C352,Clients!$B$6:$B$45,0)),0))))</f>
        <v/>
      </c>
      <c r="O352" s="14">
        <f>IF(B352="","",IF(J352&lt;&gt;"",0,ROUND(M352*N352,2)))</f>
        <v/>
      </c>
      <c r="P352" s="15">
        <f>IF(OR(B352="",J352&lt;&gt;""),"",IF(L352&lt;&gt;"",L352,IF(COUNTIFS(Invoices!$C$6:$C$305,C352,Invoices!$E$6:$E$305,"&lt;="&amp;B352,Invoices!$F$6:$F$305,"&gt;="&amp;B352)=1,INDEX(Invoices!$B$6:$B$305,SUMIFS(Invoices!$O$6:$O$305,Invoices!$C$6:$C$305,C352,Invoices!$E$6:$E$305,"&lt;="&amp;B352,Invoices!$F$6:$F$305,"&gt;="&amp;B352)),IF(COUNTIFS(Invoices!$C$6:$C$305,C352,Invoices!$E$6:$E$305,"&lt;="&amp;B352,Invoices!$F$6:$F$305,"&gt;="&amp;B352)&gt;1,"Two invoices",""))))</f>
        <v/>
      </c>
      <c r="Q352" s="15">
        <f>IF(B352="","",IF(J352&lt;&gt;"","Not billable",IF(P352="","To invoice",IF(P352="Two invoices","Check dates",IF(ISNA(MATCH(P352,Invoices!$B$6:$B$305,0)),"Check number",IF(INDEX(Invoices!$M$6:$M$305,MATCH(P352,Invoices!$B$6:$B$305,0))="Paid","Paid",IF(INDEX(Invoices!$M$6:$M$305,MATCH(P352,Invoices!$B$6:$B$305,0))="Draft","Draft","Invoiced")))))))</f>
        <v/>
      </c>
      <c r="R352" s="1">
        <f>IF(AND(B352&lt;&gt;"",P352&lt;&gt;"",P352=Invoice!$G$4),B352+MOD(N(F352),1)+ROW()/10000000,"")</f>
        <v/>
      </c>
      <c r="S352">
        <f>IF(R352="","",IF(D352="","Other work",D352)&amp;IF(AND(K352&lt;&gt;"",E352&lt;&gt;""),", "&amp;E352,""))</f>
        <v/>
      </c>
      <c r="T352">
        <f>IF(R352="","",IF(COUNTIFS(R$6:R351,"&gt;0",S$6:S351,S352,N$6:N351,N352)=0,R352,""))</f>
        <v/>
      </c>
      <c r="U352">
        <f>IF(B352="","",IF(J352&lt;&gt;"",0,M352))</f>
        <v/>
      </c>
    </row>
    <row r="353">
      <c r="A353" s="1" t="n"/>
      <c r="B353" s="16" t="n"/>
      <c r="C353" s="17" t="n"/>
      <c r="D353" s="18" t="n"/>
      <c r="E353" s="18" t="n"/>
      <c r="F353" s="19" t="n"/>
      <c r="G353" s="19" t="n"/>
      <c r="H353" s="20" t="n"/>
      <c r="I353" s="21" t="n"/>
      <c r="J353" s="22" t="n"/>
      <c r="K353" s="23" t="n"/>
      <c r="L353" s="18" t="n"/>
      <c r="M353" s="24">
        <f>IF(B353="","",IF(AND(F353&lt;&gt;"",G353&lt;&gt;""),MAX(0,ROUND(MOD(G353-F353,1)*24-N(H353)/60,2)),N(I353)))</f>
        <v/>
      </c>
      <c r="N353" s="14">
        <f>IF(B353="","",IF(K353&lt;&gt;"",K353,IF(N(IFERROR(INDEX(Projects!$D$6:$D$65,MATCH(D353,Projects!$B$6:$B$65,0)),""))&gt;0,IFERROR(INDEX(Projects!$D$6:$D$65,MATCH(D353,Projects!$B$6:$B$65,0)),""),IFERROR(INDEX(Clients!$G$6:$G$45,MATCH(C353,Clients!$B$6:$B$45,0)),0))))</f>
        <v/>
      </c>
      <c r="O353" s="14">
        <f>IF(B353="","",IF(J353&lt;&gt;"",0,ROUND(M353*N353,2)))</f>
        <v/>
      </c>
      <c r="P353" s="15">
        <f>IF(OR(B353="",J353&lt;&gt;""),"",IF(L353&lt;&gt;"",L353,IF(COUNTIFS(Invoices!$C$6:$C$305,C353,Invoices!$E$6:$E$305,"&lt;="&amp;B353,Invoices!$F$6:$F$305,"&gt;="&amp;B353)=1,INDEX(Invoices!$B$6:$B$305,SUMIFS(Invoices!$O$6:$O$305,Invoices!$C$6:$C$305,C353,Invoices!$E$6:$E$305,"&lt;="&amp;B353,Invoices!$F$6:$F$305,"&gt;="&amp;B353)),IF(COUNTIFS(Invoices!$C$6:$C$305,C353,Invoices!$E$6:$E$305,"&lt;="&amp;B353,Invoices!$F$6:$F$305,"&gt;="&amp;B353)&gt;1,"Two invoices",""))))</f>
        <v/>
      </c>
      <c r="Q353" s="15">
        <f>IF(B353="","",IF(J353&lt;&gt;"","Not billable",IF(P353="","To invoice",IF(P353="Two invoices","Check dates",IF(ISNA(MATCH(P353,Invoices!$B$6:$B$305,0)),"Check number",IF(INDEX(Invoices!$M$6:$M$305,MATCH(P353,Invoices!$B$6:$B$305,0))="Paid","Paid",IF(INDEX(Invoices!$M$6:$M$305,MATCH(P353,Invoices!$B$6:$B$305,0))="Draft","Draft","Invoiced")))))))</f>
        <v/>
      </c>
      <c r="R353" s="1">
        <f>IF(AND(B353&lt;&gt;"",P353&lt;&gt;"",P353=Invoice!$G$4),B353+MOD(N(F353),1)+ROW()/10000000,"")</f>
        <v/>
      </c>
      <c r="S353">
        <f>IF(R353="","",IF(D353="","Other work",D353)&amp;IF(AND(K353&lt;&gt;"",E353&lt;&gt;""),", "&amp;E353,""))</f>
        <v/>
      </c>
      <c r="T353">
        <f>IF(R353="","",IF(COUNTIFS(R$6:R352,"&gt;0",S$6:S352,S353,N$6:N352,N353)=0,R353,""))</f>
        <v/>
      </c>
      <c r="U353">
        <f>IF(B353="","",IF(J353&lt;&gt;"",0,M353))</f>
        <v/>
      </c>
    </row>
    <row r="354">
      <c r="A354" s="1" t="n"/>
      <c r="B354" s="16" t="n"/>
      <c r="C354" s="17" t="n"/>
      <c r="D354" s="18" t="n"/>
      <c r="E354" s="18" t="n"/>
      <c r="F354" s="19" t="n"/>
      <c r="G354" s="19" t="n"/>
      <c r="H354" s="20" t="n"/>
      <c r="I354" s="21" t="n"/>
      <c r="J354" s="22" t="n"/>
      <c r="K354" s="23" t="n"/>
      <c r="L354" s="18" t="n"/>
      <c r="M354" s="24">
        <f>IF(B354="","",IF(AND(F354&lt;&gt;"",G354&lt;&gt;""),MAX(0,ROUND(MOD(G354-F354,1)*24-N(H354)/60,2)),N(I354)))</f>
        <v/>
      </c>
      <c r="N354" s="14">
        <f>IF(B354="","",IF(K354&lt;&gt;"",K354,IF(N(IFERROR(INDEX(Projects!$D$6:$D$65,MATCH(D354,Projects!$B$6:$B$65,0)),""))&gt;0,IFERROR(INDEX(Projects!$D$6:$D$65,MATCH(D354,Projects!$B$6:$B$65,0)),""),IFERROR(INDEX(Clients!$G$6:$G$45,MATCH(C354,Clients!$B$6:$B$45,0)),0))))</f>
        <v/>
      </c>
      <c r="O354" s="14">
        <f>IF(B354="","",IF(J354&lt;&gt;"",0,ROUND(M354*N354,2)))</f>
        <v/>
      </c>
      <c r="P354" s="15">
        <f>IF(OR(B354="",J354&lt;&gt;""),"",IF(L354&lt;&gt;"",L354,IF(COUNTIFS(Invoices!$C$6:$C$305,C354,Invoices!$E$6:$E$305,"&lt;="&amp;B354,Invoices!$F$6:$F$305,"&gt;="&amp;B354)=1,INDEX(Invoices!$B$6:$B$305,SUMIFS(Invoices!$O$6:$O$305,Invoices!$C$6:$C$305,C354,Invoices!$E$6:$E$305,"&lt;="&amp;B354,Invoices!$F$6:$F$305,"&gt;="&amp;B354)),IF(COUNTIFS(Invoices!$C$6:$C$305,C354,Invoices!$E$6:$E$305,"&lt;="&amp;B354,Invoices!$F$6:$F$305,"&gt;="&amp;B354)&gt;1,"Two invoices",""))))</f>
        <v/>
      </c>
      <c r="Q354" s="15">
        <f>IF(B354="","",IF(J354&lt;&gt;"","Not billable",IF(P354="","To invoice",IF(P354="Two invoices","Check dates",IF(ISNA(MATCH(P354,Invoices!$B$6:$B$305,0)),"Check number",IF(INDEX(Invoices!$M$6:$M$305,MATCH(P354,Invoices!$B$6:$B$305,0))="Paid","Paid",IF(INDEX(Invoices!$M$6:$M$305,MATCH(P354,Invoices!$B$6:$B$305,0))="Draft","Draft","Invoiced")))))))</f>
        <v/>
      </c>
      <c r="R354" s="1">
        <f>IF(AND(B354&lt;&gt;"",P354&lt;&gt;"",P354=Invoice!$G$4),B354+MOD(N(F354),1)+ROW()/10000000,"")</f>
        <v/>
      </c>
      <c r="S354">
        <f>IF(R354="","",IF(D354="","Other work",D354)&amp;IF(AND(K354&lt;&gt;"",E354&lt;&gt;""),", "&amp;E354,""))</f>
        <v/>
      </c>
      <c r="T354">
        <f>IF(R354="","",IF(COUNTIFS(R$6:R353,"&gt;0",S$6:S353,S354,N$6:N353,N354)=0,R354,""))</f>
        <v/>
      </c>
      <c r="U354">
        <f>IF(B354="","",IF(J354&lt;&gt;"",0,M354))</f>
        <v/>
      </c>
    </row>
    <row r="355">
      <c r="A355" s="1" t="n"/>
      <c r="B355" s="16" t="n"/>
      <c r="C355" s="17" t="n"/>
      <c r="D355" s="18" t="n"/>
      <c r="E355" s="18" t="n"/>
      <c r="F355" s="19" t="n"/>
      <c r="G355" s="19" t="n"/>
      <c r="H355" s="20" t="n"/>
      <c r="I355" s="21" t="n"/>
      <c r="J355" s="22" t="n"/>
      <c r="K355" s="23" t="n"/>
      <c r="L355" s="18" t="n"/>
      <c r="M355" s="24">
        <f>IF(B355="","",IF(AND(F355&lt;&gt;"",G355&lt;&gt;""),MAX(0,ROUND(MOD(G355-F355,1)*24-N(H355)/60,2)),N(I355)))</f>
        <v/>
      </c>
      <c r="N355" s="14">
        <f>IF(B355="","",IF(K355&lt;&gt;"",K355,IF(N(IFERROR(INDEX(Projects!$D$6:$D$65,MATCH(D355,Projects!$B$6:$B$65,0)),""))&gt;0,IFERROR(INDEX(Projects!$D$6:$D$65,MATCH(D355,Projects!$B$6:$B$65,0)),""),IFERROR(INDEX(Clients!$G$6:$G$45,MATCH(C355,Clients!$B$6:$B$45,0)),0))))</f>
        <v/>
      </c>
      <c r="O355" s="14">
        <f>IF(B355="","",IF(J355&lt;&gt;"",0,ROUND(M355*N355,2)))</f>
        <v/>
      </c>
      <c r="P355" s="15">
        <f>IF(OR(B355="",J355&lt;&gt;""),"",IF(L355&lt;&gt;"",L355,IF(COUNTIFS(Invoices!$C$6:$C$305,C355,Invoices!$E$6:$E$305,"&lt;="&amp;B355,Invoices!$F$6:$F$305,"&gt;="&amp;B355)=1,INDEX(Invoices!$B$6:$B$305,SUMIFS(Invoices!$O$6:$O$305,Invoices!$C$6:$C$305,C355,Invoices!$E$6:$E$305,"&lt;="&amp;B355,Invoices!$F$6:$F$305,"&gt;="&amp;B355)),IF(COUNTIFS(Invoices!$C$6:$C$305,C355,Invoices!$E$6:$E$305,"&lt;="&amp;B355,Invoices!$F$6:$F$305,"&gt;="&amp;B355)&gt;1,"Two invoices",""))))</f>
        <v/>
      </c>
      <c r="Q355" s="15">
        <f>IF(B355="","",IF(J355&lt;&gt;"","Not billable",IF(P355="","To invoice",IF(P355="Two invoices","Check dates",IF(ISNA(MATCH(P355,Invoices!$B$6:$B$305,0)),"Check number",IF(INDEX(Invoices!$M$6:$M$305,MATCH(P355,Invoices!$B$6:$B$305,0))="Paid","Paid",IF(INDEX(Invoices!$M$6:$M$305,MATCH(P355,Invoices!$B$6:$B$305,0))="Draft","Draft","Invoiced")))))))</f>
        <v/>
      </c>
      <c r="R355" s="1">
        <f>IF(AND(B355&lt;&gt;"",P355&lt;&gt;"",P355=Invoice!$G$4),B355+MOD(N(F355),1)+ROW()/10000000,"")</f>
        <v/>
      </c>
      <c r="S355">
        <f>IF(R355="","",IF(D355="","Other work",D355)&amp;IF(AND(K355&lt;&gt;"",E355&lt;&gt;""),", "&amp;E355,""))</f>
        <v/>
      </c>
      <c r="T355">
        <f>IF(R355="","",IF(COUNTIFS(R$6:R354,"&gt;0",S$6:S354,S355,N$6:N354,N355)=0,R355,""))</f>
        <v/>
      </c>
      <c r="U355">
        <f>IF(B355="","",IF(J355&lt;&gt;"",0,M355))</f>
        <v/>
      </c>
    </row>
    <row r="356">
      <c r="A356" s="1" t="n"/>
      <c r="B356" s="16" t="n"/>
      <c r="C356" s="17" t="n"/>
      <c r="D356" s="18" t="n"/>
      <c r="E356" s="18" t="n"/>
      <c r="F356" s="19" t="n"/>
      <c r="G356" s="19" t="n"/>
      <c r="H356" s="20" t="n"/>
      <c r="I356" s="21" t="n"/>
      <c r="J356" s="22" t="n"/>
      <c r="K356" s="23" t="n"/>
      <c r="L356" s="18" t="n"/>
      <c r="M356" s="24">
        <f>IF(B356="","",IF(AND(F356&lt;&gt;"",G356&lt;&gt;""),MAX(0,ROUND(MOD(G356-F356,1)*24-N(H356)/60,2)),N(I356)))</f>
        <v/>
      </c>
      <c r="N356" s="14">
        <f>IF(B356="","",IF(K356&lt;&gt;"",K356,IF(N(IFERROR(INDEX(Projects!$D$6:$D$65,MATCH(D356,Projects!$B$6:$B$65,0)),""))&gt;0,IFERROR(INDEX(Projects!$D$6:$D$65,MATCH(D356,Projects!$B$6:$B$65,0)),""),IFERROR(INDEX(Clients!$G$6:$G$45,MATCH(C356,Clients!$B$6:$B$45,0)),0))))</f>
        <v/>
      </c>
      <c r="O356" s="14">
        <f>IF(B356="","",IF(J356&lt;&gt;"",0,ROUND(M356*N356,2)))</f>
        <v/>
      </c>
      <c r="P356" s="15">
        <f>IF(OR(B356="",J356&lt;&gt;""),"",IF(L356&lt;&gt;"",L356,IF(COUNTIFS(Invoices!$C$6:$C$305,C356,Invoices!$E$6:$E$305,"&lt;="&amp;B356,Invoices!$F$6:$F$305,"&gt;="&amp;B356)=1,INDEX(Invoices!$B$6:$B$305,SUMIFS(Invoices!$O$6:$O$305,Invoices!$C$6:$C$305,C356,Invoices!$E$6:$E$305,"&lt;="&amp;B356,Invoices!$F$6:$F$305,"&gt;="&amp;B356)),IF(COUNTIFS(Invoices!$C$6:$C$305,C356,Invoices!$E$6:$E$305,"&lt;="&amp;B356,Invoices!$F$6:$F$305,"&gt;="&amp;B356)&gt;1,"Two invoices",""))))</f>
        <v/>
      </c>
      <c r="Q356" s="15">
        <f>IF(B356="","",IF(J356&lt;&gt;"","Not billable",IF(P356="","To invoice",IF(P356="Two invoices","Check dates",IF(ISNA(MATCH(P356,Invoices!$B$6:$B$305,0)),"Check number",IF(INDEX(Invoices!$M$6:$M$305,MATCH(P356,Invoices!$B$6:$B$305,0))="Paid","Paid",IF(INDEX(Invoices!$M$6:$M$305,MATCH(P356,Invoices!$B$6:$B$305,0))="Draft","Draft","Invoiced")))))))</f>
        <v/>
      </c>
      <c r="R356" s="1">
        <f>IF(AND(B356&lt;&gt;"",P356&lt;&gt;"",P356=Invoice!$G$4),B356+MOD(N(F356),1)+ROW()/10000000,"")</f>
        <v/>
      </c>
      <c r="S356">
        <f>IF(R356="","",IF(D356="","Other work",D356)&amp;IF(AND(K356&lt;&gt;"",E356&lt;&gt;""),", "&amp;E356,""))</f>
        <v/>
      </c>
      <c r="T356">
        <f>IF(R356="","",IF(COUNTIFS(R$6:R355,"&gt;0",S$6:S355,S356,N$6:N355,N356)=0,R356,""))</f>
        <v/>
      </c>
      <c r="U356">
        <f>IF(B356="","",IF(J356&lt;&gt;"",0,M356))</f>
        <v/>
      </c>
    </row>
    <row r="357">
      <c r="A357" s="1" t="n"/>
      <c r="B357" s="16" t="n"/>
      <c r="C357" s="17" t="n"/>
      <c r="D357" s="18" t="n"/>
      <c r="E357" s="18" t="n"/>
      <c r="F357" s="19" t="n"/>
      <c r="G357" s="19" t="n"/>
      <c r="H357" s="20" t="n"/>
      <c r="I357" s="21" t="n"/>
      <c r="J357" s="22" t="n"/>
      <c r="K357" s="23" t="n"/>
      <c r="L357" s="18" t="n"/>
      <c r="M357" s="24">
        <f>IF(B357="","",IF(AND(F357&lt;&gt;"",G357&lt;&gt;""),MAX(0,ROUND(MOD(G357-F357,1)*24-N(H357)/60,2)),N(I357)))</f>
        <v/>
      </c>
      <c r="N357" s="14">
        <f>IF(B357="","",IF(K357&lt;&gt;"",K357,IF(N(IFERROR(INDEX(Projects!$D$6:$D$65,MATCH(D357,Projects!$B$6:$B$65,0)),""))&gt;0,IFERROR(INDEX(Projects!$D$6:$D$65,MATCH(D357,Projects!$B$6:$B$65,0)),""),IFERROR(INDEX(Clients!$G$6:$G$45,MATCH(C357,Clients!$B$6:$B$45,0)),0))))</f>
        <v/>
      </c>
      <c r="O357" s="14">
        <f>IF(B357="","",IF(J357&lt;&gt;"",0,ROUND(M357*N357,2)))</f>
        <v/>
      </c>
      <c r="P357" s="15">
        <f>IF(OR(B357="",J357&lt;&gt;""),"",IF(L357&lt;&gt;"",L357,IF(COUNTIFS(Invoices!$C$6:$C$305,C357,Invoices!$E$6:$E$305,"&lt;="&amp;B357,Invoices!$F$6:$F$305,"&gt;="&amp;B357)=1,INDEX(Invoices!$B$6:$B$305,SUMIFS(Invoices!$O$6:$O$305,Invoices!$C$6:$C$305,C357,Invoices!$E$6:$E$305,"&lt;="&amp;B357,Invoices!$F$6:$F$305,"&gt;="&amp;B357)),IF(COUNTIFS(Invoices!$C$6:$C$305,C357,Invoices!$E$6:$E$305,"&lt;="&amp;B357,Invoices!$F$6:$F$305,"&gt;="&amp;B357)&gt;1,"Two invoices",""))))</f>
        <v/>
      </c>
      <c r="Q357" s="15">
        <f>IF(B357="","",IF(J357&lt;&gt;"","Not billable",IF(P357="","To invoice",IF(P357="Two invoices","Check dates",IF(ISNA(MATCH(P357,Invoices!$B$6:$B$305,0)),"Check number",IF(INDEX(Invoices!$M$6:$M$305,MATCH(P357,Invoices!$B$6:$B$305,0))="Paid","Paid",IF(INDEX(Invoices!$M$6:$M$305,MATCH(P357,Invoices!$B$6:$B$305,0))="Draft","Draft","Invoiced")))))))</f>
        <v/>
      </c>
      <c r="R357" s="1">
        <f>IF(AND(B357&lt;&gt;"",P357&lt;&gt;"",P357=Invoice!$G$4),B357+MOD(N(F357),1)+ROW()/10000000,"")</f>
        <v/>
      </c>
      <c r="S357">
        <f>IF(R357="","",IF(D357="","Other work",D357)&amp;IF(AND(K357&lt;&gt;"",E357&lt;&gt;""),", "&amp;E357,""))</f>
        <v/>
      </c>
      <c r="T357">
        <f>IF(R357="","",IF(COUNTIFS(R$6:R356,"&gt;0",S$6:S356,S357,N$6:N356,N357)=0,R357,""))</f>
        <v/>
      </c>
      <c r="U357">
        <f>IF(B357="","",IF(J357&lt;&gt;"",0,M357))</f>
        <v/>
      </c>
    </row>
    <row r="358">
      <c r="A358" s="1" t="n"/>
      <c r="B358" s="16" t="n"/>
      <c r="C358" s="17" t="n"/>
      <c r="D358" s="18" t="n"/>
      <c r="E358" s="18" t="n"/>
      <c r="F358" s="19" t="n"/>
      <c r="G358" s="19" t="n"/>
      <c r="H358" s="20" t="n"/>
      <c r="I358" s="21" t="n"/>
      <c r="J358" s="22" t="n"/>
      <c r="K358" s="23" t="n"/>
      <c r="L358" s="18" t="n"/>
      <c r="M358" s="24">
        <f>IF(B358="","",IF(AND(F358&lt;&gt;"",G358&lt;&gt;""),MAX(0,ROUND(MOD(G358-F358,1)*24-N(H358)/60,2)),N(I358)))</f>
        <v/>
      </c>
      <c r="N358" s="14">
        <f>IF(B358="","",IF(K358&lt;&gt;"",K358,IF(N(IFERROR(INDEX(Projects!$D$6:$D$65,MATCH(D358,Projects!$B$6:$B$65,0)),""))&gt;0,IFERROR(INDEX(Projects!$D$6:$D$65,MATCH(D358,Projects!$B$6:$B$65,0)),""),IFERROR(INDEX(Clients!$G$6:$G$45,MATCH(C358,Clients!$B$6:$B$45,0)),0))))</f>
        <v/>
      </c>
      <c r="O358" s="14">
        <f>IF(B358="","",IF(J358&lt;&gt;"",0,ROUND(M358*N358,2)))</f>
        <v/>
      </c>
      <c r="P358" s="15">
        <f>IF(OR(B358="",J358&lt;&gt;""),"",IF(L358&lt;&gt;"",L358,IF(COUNTIFS(Invoices!$C$6:$C$305,C358,Invoices!$E$6:$E$305,"&lt;="&amp;B358,Invoices!$F$6:$F$305,"&gt;="&amp;B358)=1,INDEX(Invoices!$B$6:$B$305,SUMIFS(Invoices!$O$6:$O$305,Invoices!$C$6:$C$305,C358,Invoices!$E$6:$E$305,"&lt;="&amp;B358,Invoices!$F$6:$F$305,"&gt;="&amp;B358)),IF(COUNTIFS(Invoices!$C$6:$C$305,C358,Invoices!$E$6:$E$305,"&lt;="&amp;B358,Invoices!$F$6:$F$305,"&gt;="&amp;B358)&gt;1,"Two invoices",""))))</f>
        <v/>
      </c>
      <c r="Q358" s="15">
        <f>IF(B358="","",IF(J358&lt;&gt;"","Not billable",IF(P358="","To invoice",IF(P358="Two invoices","Check dates",IF(ISNA(MATCH(P358,Invoices!$B$6:$B$305,0)),"Check number",IF(INDEX(Invoices!$M$6:$M$305,MATCH(P358,Invoices!$B$6:$B$305,0))="Paid","Paid",IF(INDEX(Invoices!$M$6:$M$305,MATCH(P358,Invoices!$B$6:$B$305,0))="Draft","Draft","Invoiced")))))))</f>
        <v/>
      </c>
      <c r="R358" s="1">
        <f>IF(AND(B358&lt;&gt;"",P358&lt;&gt;"",P358=Invoice!$G$4),B358+MOD(N(F358),1)+ROW()/10000000,"")</f>
        <v/>
      </c>
      <c r="S358">
        <f>IF(R358="","",IF(D358="","Other work",D358)&amp;IF(AND(K358&lt;&gt;"",E358&lt;&gt;""),", "&amp;E358,""))</f>
        <v/>
      </c>
      <c r="T358">
        <f>IF(R358="","",IF(COUNTIFS(R$6:R357,"&gt;0",S$6:S357,S358,N$6:N357,N358)=0,R358,""))</f>
        <v/>
      </c>
      <c r="U358">
        <f>IF(B358="","",IF(J358&lt;&gt;"",0,M358))</f>
        <v/>
      </c>
    </row>
    <row r="359">
      <c r="A359" s="1" t="n"/>
      <c r="B359" s="16" t="n"/>
      <c r="C359" s="17" t="n"/>
      <c r="D359" s="18" t="n"/>
      <c r="E359" s="18" t="n"/>
      <c r="F359" s="19" t="n"/>
      <c r="G359" s="19" t="n"/>
      <c r="H359" s="20" t="n"/>
      <c r="I359" s="21" t="n"/>
      <c r="J359" s="22" t="n"/>
      <c r="K359" s="23" t="n"/>
      <c r="L359" s="18" t="n"/>
      <c r="M359" s="24">
        <f>IF(B359="","",IF(AND(F359&lt;&gt;"",G359&lt;&gt;""),MAX(0,ROUND(MOD(G359-F359,1)*24-N(H359)/60,2)),N(I359)))</f>
        <v/>
      </c>
      <c r="N359" s="14">
        <f>IF(B359="","",IF(K359&lt;&gt;"",K359,IF(N(IFERROR(INDEX(Projects!$D$6:$D$65,MATCH(D359,Projects!$B$6:$B$65,0)),""))&gt;0,IFERROR(INDEX(Projects!$D$6:$D$65,MATCH(D359,Projects!$B$6:$B$65,0)),""),IFERROR(INDEX(Clients!$G$6:$G$45,MATCH(C359,Clients!$B$6:$B$45,0)),0))))</f>
        <v/>
      </c>
      <c r="O359" s="14">
        <f>IF(B359="","",IF(J359&lt;&gt;"",0,ROUND(M359*N359,2)))</f>
        <v/>
      </c>
      <c r="P359" s="15">
        <f>IF(OR(B359="",J359&lt;&gt;""),"",IF(L359&lt;&gt;"",L359,IF(COUNTIFS(Invoices!$C$6:$C$305,C359,Invoices!$E$6:$E$305,"&lt;="&amp;B359,Invoices!$F$6:$F$305,"&gt;="&amp;B359)=1,INDEX(Invoices!$B$6:$B$305,SUMIFS(Invoices!$O$6:$O$305,Invoices!$C$6:$C$305,C359,Invoices!$E$6:$E$305,"&lt;="&amp;B359,Invoices!$F$6:$F$305,"&gt;="&amp;B359)),IF(COUNTIFS(Invoices!$C$6:$C$305,C359,Invoices!$E$6:$E$305,"&lt;="&amp;B359,Invoices!$F$6:$F$305,"&gt;="&amp;B359)&gt;1,"Two invoices",""))))</f>
        <v/>
      </c>
      <c r="Q359" s="15">
        <f>IF(B359="","",IF(J359&lt;&gt;"","Not billable",IF(P359="","To invoice",IF(P359="Two invoices","Check dates",IF(ISNA(MATCH(P359,Invoices!$B$6:$B$305,0)),"Check number",IF(INDEX(Invoices!$M$6:$M$305,MATCH(P359,Invoices!$B$6:$B$305,0))="Paid","Paid",IF(INDEX(Invoices!$M$6:$M$305,MATCH(P359,Invoices!$B$6:$B$305,0))="Draft","Draft","Invoiced")))))))</f>
        <v/>
      </c>
      <c r="R359" s="1">
        <f>IF(AND(B359&lt;&gt;"",P359&lt;&gt;"",P359=Invoice!$G$4),B359+MOD(N(F359),1)+ROW()/10000000,"")</f>
        <v/>
      </c>
      <c r="S359">
        <f>IF(R359="","",IF(D359="","Other work",D359)&amp;IF(AND(K359&lt;&gt;"",E359&lt;&gt;""),", "&amp;E359,""))</f>
        <v/>
      </c>
      <c r="T359">
        <f>IF(R359="","",IF(COUNTIFS(R$6:R358,"&gt;0",S$6:S358,S359,N$6:N358,N359)=0,R359,""))</f>
        <v/>
      </c>
      <c r="U359">
        <f>IF(B359="","",IF(J359&lt;&gt;"",0,M359))</f>
        <v/>
      </c>
    </row>
    <row r="360">
      <c r="A360" s="1" t="n"/>
      <c r="B360" s="16" t="n"/>
      <c r="C360" s="17" t="n"/>
      <c r="D360" s="18" t="n"/>
      <c r="E360" s="18" t="n"/>
      <c r="F360" s="19" t="n"/>
      <c r="G360" s="19" t="n"/>
      <c r="H360" s="20" t="n"/>
      <c r="I360" s="21" t="n"/>
      <c r="J360" s="22" t="n"/>
      <c r="K360" s="23" t="n"/>
      <c r="L360" s="18" t="n"/>
      <c r="M360" s="24">
        <f>IF(B360="","",IF(AND(F360&lt;&gt;"",G360&lt;&gt;""),MAX(0,ROUND(MOD(G360-F360,1)*24-N(H360)/60,2)),N(I360)))</f>
        <v/>
      </c>
      <c r="N360" s="14">
        <f>IF(B360="","",IF(K360&lt;&gt;"",K360,IF(N(IFERROR(INDEX(Projects!$D$6:$D$65,MATCH(D360,Projects!$B$6:$B$65,0)),""))&gt;0,IFERROR(INDEX(Projects!$D$6:$D$65,MATCH(D360,Projects!$B$6:$B$65,0)),""),IFERROR(INDEX(Clients!$G$6:$G$45,MATCH(C360,Clients!$B$6:$B$45,0)),0))))</f>
        <v/>
      </c>
      <c r="O360" s="14">
        <f>IF(B360="","",IF(J360&lt;&gt;"",0,ROUND(M360*N360,2)))</f>
        <v/>
      </c>
      <c r="P360" s="15">
        <f>IF(OR(B360="",J360&lt;&gt;""),"",IF(L360&lt;&gt;"",L360,IF(COUNTIFS(Invoices!$C$6:$C$305,C360,Invoices!$E$6:$E$305,"&lt;="&amp;B360,Invoices!$F$6:$F$305,"&gt;="&amp;B360)=1,INDEX(Invoices!$B$6:$B$305,SUMIFS(Invoices!$O$6:$O$305,Invoices!$C$6:$C$305,C360,Invoices!$E$6:$E$305,"&lt;="&amp;B360,Invoices!$F$6:$F$305,"&gt;="&amp;B360)),IF(COUNTIFS(Invoices!$C$6:$C$305,C360,Invoices!$E$6:$E$305,"&lt;="&amp;B360,Invoices!$F$6:$F$305,"&gt;="&amp;B360)&gt;1,"Two invoices",""))))</f>
        <v/>
      </c>
      <c r="Q360" s="15">
        <f>IF(B360="","",IF(J360&lt;&gt;"","Not billable",IF(P360="","To invoice",IF(P360="Two invoices","Check dates",IF(ISNA(MATCH(P360,Invoices!$B$6:$B$305,0)),"Check number",IF(INDEX(Invoices!$M$6:$M$305,MATCH(P360,Invoices!$B$6:$B$305,0))="Paid","Paid",IF(INDEX(Invoices!$M$6:$M$305,MATCH(P360,Invoices!$B$6:$B$305,0))="Draft","Draft","Invoiced")))))))</f>
        <v/>
      </c>
      <c r="R360" s="1">
        <f>IF(AND(B360&lt;&gt;"",P360&lt;&gt;"",P360=Invoice!$G$4),B360+MOD(N(F360),1)+ROW()/10000000,"")</f>
        <v/>
      </c>
      <c r="S360">
        <f>IF(R360="","",IF(D360="","Other work",D360)&amp;IF(AND(K360&lt;&gt;"",E360&lt;&gt;""),", "&amp;E360,""))</f>
        <v/>
      </c>
      <c r="T360">
        <f>IF(R360="","",IF(COUNTIFS(R$6:R359,"&gt;0",S$6:S359,S360,N$6:N359,N360)=0,R360,""))</f>
        <v/>
      </c>
      <c r="U360">
        <f>IF(B360="","",IF(J360&lt;&gt;"",0,M360))</f>
        <v/>
      </c>
    </row>
    <row r="361">
      <c r="A361" s="1" t="n"/>
      <c r="B361" s="16" t="n"/>
      <c r="C361" s="17" t="n"/>
      <c r="D361" s="18" t="n"/>
      <c r="E361" s="18" t="n"/>
      <c r="F361" s="19" t="n"/>
      <c r="G361" s="19" t="n"/>
      <c r="H361" s="20" t="n"/>
      <c r="I361" s="21" t="n"/>
      <c r="J361" s="22" t="n"/>
      <c r="K361" s="23" t="n"/>
      <c r="L361" s="18" t="n"/>
      <c r="M361" s="24">
        <f>IF(B361="","",IF(AND(F361&lt;&gt;"",G361&lt;&gt;""),MAX(0,ROUND(MOD(G361-F361,1)*24-N(H361)/60,2)),N(I361)))</f>
        <v/>
      </c>
      <c r="N361" s="14">
        <f>IF(B361="","",IF(K361&lt;&gt;"",K361,IF(N(IFERROR(INDEX(Projects!$D$6:$D$65,MATCH(D361,Projects!$B$6:$B$65,0)),""))&gt;0,IFERROR(INDEX(Projects!$D$6:$D$65,MATCH(D361,Projects!$B$6:$B$65,0)),""),IFERROR(INDEX(Clients!$G$6:$G$45,MATCH(C361,Clients!$B$6:$B$45,0)),0))))</f>
        <v/>
      </c>
      <c r="O361" s="14">
        <f>IF(B361="","",IF(J361&lt;&gt;"",0,ROUND(M361*N361,2)))</f>
        <v/>
      </c>
      <c r="P361" s="15">
        <f>IF(OR(B361="",J361&lt;&gt;""),"",IF(L361&lt;&gt;"",L361,IF(COUNTIFS(Invoices!$C$6:$C$305,C361,Invoices!$E$6:$E$305,"&lt;="&amp;B361,Invoices!$F$6:$F$305,"&gt;="&amp;B361)=1,INDEX(Invoices!$B$6:$B$305,SUMIFS(Invoices!$O$6:$O$305,Invoices!$C$6:$C$305,C361,Invoices!$E$6:$E$305,"&lt;="&amp;B361,Invoices!$F$6:$F$305,"&gt;="&amp;B361)),IF(COUNTIFS(Invoices!$C$6:$C$305,C361,Invoices!$E$6:$E$305,"&lt;="&amp;B361,Invoices!$F$6:$F$305,"&gt;="&amp;B361)&gt;1,"Two invoices",""))))</f>
        <v/>
      </c>
      <c r="Q361" s="15">
        <f>IF(B361="","",IF(J361&lt;&gt;"","Not billable",IF(P361="","To invoice",IF(P361="Two invoices","Check dates",IF(ISNA(MATCH(P361,Invoices!$B$6:$B$305,0)),"Check number",IF(INDEX(Invoices!$M$6:$M$305,MATCH(P361,Invoices!$B$6:$B$305,0))="Paid","Paid",IF(INDEX(Invoices!$M$6:$M$305,MATCH(P361,Invoices!$B$6:$B$305,0))="Draft","Draft","Invoiced")))))))</f>
        <v/>
      </c>
      <c r="R361" s="1">
        <f>IF(AND(B361&lt;&gt;"",P361&lt;&gt;"",P361=Invoice!$G$4),B361+MOD(N(F361),1)+ROW()/10000000,"")</f>
        <v/>
      </c>
      <c r="S361">
        <f>IF(R361="","",IF(D361="","Other work",D361)&amp;IF(AND(K361&lt;&gt;"",E361&lt;&gt;""),", "&amp;E361,""))</f>
        <v/>
      </c>
      <c r="T361">
        <f>IF(R361="","",IF(COUNTIFS(R$6:R360,"&gt;0",S$6:S360,S361,N$6:N360,N361)=0,R361,""))</f>
        <v/>
      </c>
      <c r="U361">
        <f>IF(B361="","",IF(J361&lt;&gt;"",0,M361))</f>
        <v/>
      </c>
    </row>
    <row r="362">
      <c r="A362" s="1" t="n"/>
      <c r="B362" s="16" t="n"/>
      <c r="C362" s="17" t="n"/>
      <c r="D362" s="18" t="n"/>
      <c r="E362" s="18" t="n"/>
      <c r="F362" s="19" t="n"/>
      <c r="G362" s="19" t="n"/>
      <c r="H362" s="20" t="n"/>
      <c r="I362" s="21" t="n"/>
      <c r="J362" s="22" t="n"/>
      <c r="K362" s="23" t="n"/>
      <c r="L362" s="18" t="n"/>
      <c r="M362" s="24">
        <f>IF(B362="","",IF(AND(F362&lt;&gt;"",G362&lt;&gt;""),MAX(0,ROUND(MOD(G362-F362,1)*24-N(H362)/60,2)),N(I362)))</f>
        <v/>
      </c>
      <c r="N362" s="14">
        <f>IF(B362="","",IF(K362&lt;&gt;"",K362,IF(N(IFERROR(INDEX(Projects!$D$6:$D$65,MATCH(D362,Projects!$B$6:$B$65,0)),""))&gt;0,IFERROR(INDEX(Projects!$D$6:$D$65,MATCH(D362,Projects!$B$6:$B$65,0)),""),IFERROR(INDEX(Clients!$G$6:$G$45,MATCH(C362,Clients!$B$6:$B$45,0)),0))))</f>
        <v/>
      </c>
      <c r="O362" s="14">
        <f>IF(B362="","",IF(J362&lt;&gt;"",0,ROUND(M362*N362,2)))</f>
        <v/>
      </c>
      <c r="P362" s="15">
        <f>IF(OR(B362="",J362&lt;&gt;""),"",IF(L362&lt;&gt;"",L362,IF(COUNTIFS(Invoices!$C$6:$C$305,C362,Invoices!$E$6:$E$305,"&lt;="&amp;B362,Invoices!$F$6:$F$305,"&gt;="&amp;B362)=1,INDEX(Invoices!$B$6:$B$305,SUMIFS(Invoices!$O$6:$O$305,Invoices!$C$6:$C$305,C362,Invoices!$E$6:$E$305,"&lt;="&amp;B362,Invoices!$F$6:$F$305,"&gt;="&amp;B362)),IF(COUNTIFS(Invoices!$C$6:$C$305,C362,Invoices!$E$6:$E$305,"&lt;="&amp;B362,Invoices!$F$6:$F$305,"&gt;="&amp;B362)&gt;1,"Two invoices",""))))</f>
        <v/>
      </c>
      <c r="Q362" s="15">
        <f>IF(B362="","",IF(J362&lt;&gt;"","Not billable",IF(P362="","To invoice",IF(P362="Two invoices","Check dates",IF(ISNA(MATCH(P362,Invoices!$B$6:$B$305,0)),"Check number",IF(INDEX(Invoices!$M$6:$M$305,MATCH(P362,Invoices!$B$6:$B$305,0))="Paid","Paid",IF(INDEX(Invoices!$M$6:$M$305,MATCH(P362,Invoices!$B$6:$B$305,0))="Draft","Draft","Invoiced")))))))</f>
        <v/>
      </c>
      <c r="R362" s="1">
        <f>IF(AND(B362&lt;&gt;"",P362&lt;&gt;"",P362=Invoice!$G$4),B362+MOD(N(F362),1)+ROW()/10000000,"")</f>
        <v/>
      </c>
      <c r="S362">
        <f>IF(R362="","",IF(D362="","Other work",D362)&amp;IF(AND(K362&lt;&gt;"",E362&lt;&gt;""),", "&amp;E362,""))</f>
        <v/>
      </c>
      <c r="T362">
        <f>IF(R362="","",IF(COUNTIFS(R$6:R361,"&gt;0",S$6:S361,S362,N$6:N361,N362)=0,R362,""))</f>
        <v/>
      </c>
      <c r="U362">
        <f>IF(B362="","",IF(J362&lt;&gt;"",0,M362))</f>
        <v/>
      </c>
    </row>
    <row r="363">
      <c r="A363" s="1" t="n"/>
      <c r="B363" s="16" t="n"/>
      <c r="C363" s="17" t="n"/>
      <c r="D363" s="18" t="n"/>
      <c r="E363" s="18" t="n"/>
      <c r="F363" s="19" t="n"/>
      <c r="G363" s="19" t="n"/>
      <c r="H363" s="20" t="n"/>
      <c r="I363" s="21" t="n"/>
      <c r="J363" s="22" t="n"/>
      <c r="K363" s="23" t="n"/>
      <c r="L363" s="18" t="n"/>
      <c r="M363" s="24">
        <f>IF(B363="","",IF(AND(F363&lt;&gt;"",G363&lt;&gt;""),MAX(0,ROUND(MOD(G363-F363,1)*24-N(H363)/60,2)),N(I363)))</f>
        <v/>
      </c>
      <c r="N363" s="14">
        <f>IF(B363="","",IF(K363&lt;&gt;"",K363,IF(N(IFERROR(INDEX(Projects!$D$6:$D$65,MATCH(D363,Projects!$B$6:$B$65,0)),""))&gt;0,IFERROR(INDEX(Projects!$D$6:$D$65,MATCH(D363,Projects!$B$6:$B$65,0)),""),IFERROR(INDEX(Clients!$G$6:$G$45,MATCH(C363,Clients!$B$6:$B$45,0)),0))))</f>
        <v/>
      </c>
      <c r="O363" s="14">
        <f>IF(B363="","",IF(J363&lt;&gt;"",0,ROUND(M363*N363,2)))</f>
        <v/>
      </c>
      <c r="P363" s="15">
        <f>IF(OR(B363="",J363&lt;&gt;""),"",IF(L363&lt;&gt;"",L363,IF(COUNTIFS(Invoices!$C$6:$C$305,C363,Invoices!$E$6:$E$305,"&lt;="&amp;B363,Invoices!$F$6:$F$305,"&gt;="&amp;B363)=1,INDEX(Invoices!$B$6:$B$305,SUMIFS(Invoices!$O$6:$O$305,Invoices!$C$6:$C$305,C363,Invoices!$E$6:$E$305,"&lt;="&amp;B363,Invoices!$F$6:$F$305,"&gt;="&amp;B363)),IF(COUNTIFS(Invoices!$C$6:$C$305,C363,Invoices!$E$6:$E$305,"&lt;="&amp;B363,Invoices!$F$6:$F$305,"&gt;="&amp;B363)&gt;1,"Two invoices",""))))</f>
        <v/>
      </c>
      <c r="Q363" s="15">
        <f>IF(B363="","",IF(J363&lt;&gt;"","Not billable",IF(P363="","To invoice",IF(P363="Two invoices","Check dates",IF(ISNA(MATCH(P363,Invoices!$B$6:$B$305,0)),"Check number",IF(INDEX(Invoices!$M$6:$M$305,MATCH(P363,Invoices!$B$6:$B$305,0))="Paid","Paid",IF(INDEX(Invoices!$M$6:$M$305,MATCH(P363,Invoices!$B$6:$B$305,0))="Draft","Draft","Invoiced")))))))</f>
        <v/>
      </c>
      <c r="R363" s="1">
        <f>IF(AND(B363&lt;&gt;"",P363&lt;&gt;"",P363=Invoice!$G$4),B363+MOD(N(F363),1)+ROW()/10000000,"")</f>
        <v/>
      </c>
      <c r="S363">
        <f>IF(R363="","",IF(D363="","Other work",D363)&amp;IF(AND(K363&lt;&gt;"",E363&lt;&gt;""),", "&amp;E363,""))</f>
        <v/>
      </c>
      <c r="T363">
        <f>IF(R363="","",IF(COUNTIFS(R$6:R362,"&gt;0",S$6:S362,S363,N$6:N362,N363)=0,R363,""))</f>
        <v/>
      </c>
      <c r="U363">
        <f>IF(B363="","",IF(J363&lt;&gt;"",0,M363))</f>
        <v/>
      </c>
    </row>
    <row r="364">
      <c r="A364" s="1" t="n"/>
      <c r="B364" s="16" t="n"/>
      <c r="C364" s="17" t="n"/>
      <c r="D364" s="18" t="n"/>
      <c r="E364" s="18" t="n"/>
      <c r="F364" s="19" t="n"/>
      <c r="G364" s="19" t="n"/>
      <c r="H364" s="20" t="n"/>
      <c r="I364" s="21" t="n"/>
      <c r="J364" s="22" t="n"/>
      <c r="K364" s="23" t="n"/>
      <c r="L364" s="18" t="n"/>
      <c r="M364" s="24">
        <f>IF(B364="","",IF(AND(F364&lt;&gt;"",G364&lt;&gt;""),MAX(0,ROUND(MOD(G364-F364,1)*24-N(H364)/60,2)),N(I364)))</f>
        <v/>
      </c>
      <c r="N364" s="14">
        <f>IF(B364="","",IF(K364&lt;&gt;"",K364,IF(N(IFERROR(INDEX(Projects!$D$6:$D$65,MATCH(D364,Projects!$B$6:$B$65,0)),""))&gt;0,IFERROR(INDEX(Projects!$D$6:$D$65,MATCH(D364,Projects!$B$6:$B$65,0)),""),IFERROR(INDEX(Clients!$G$6:$G$45,MATCH(C364,Clients!$B$6:$B$45,0)),0))))</f>
        <v/>
      </c>
      <c r="O364" s="14">
        <f>IF(B364="","",IF(J364&lt;&gt;"",0,ROUND(M364*N364,2)))</f>
        <v/>
      </c>
      <c r="P364" s="15">
        <f>IF(OR(B364="",J364&lt;&gt;""),"",IF(L364&lt;&gt;"",L364,IF(COUNTIFS(Invoices!$C$6:$C$305,C364,Invoices!$E$6:$E$305,"&lt;="&amp;B364,Invoices!$F$6:$F$305,"&gt;="&amp;B364)=1,INDEX(Invoices!$B$6:$B$305,SUMIFS(Invoices!$O$6:$O$305,Invoices!$C$6:$C$305,C364,Invoices!$E$6:$E$305,"&lt;="&amp;B364,Invoices!$F$6:$F$305,"&gt;="&amp;B364)),IF(COUNTIFS(Invoices!$C$6:$C$305,C364,Invoices!$E$6:$E$305,"&lt;="&amp;B364,Invoices!$F$6:$F$305,"&gt;="&amp;B364)&gt;1,"Two invoices",""))))</f>
        <v/>
      </c>
      <c r="Q364" s="15">
        <f>IF(B364="","",IF(J364&lt;&gt;"","Not billable",IF(P364="","To invoice",IF(P364="Two invoices","Check dates",IF(ISNA(MATCH(P364,Invoices!$B$6:$B$305,0)),"Check number",IF(INDEX(Invoices!$M$6:$M$305,MATCH(P364,Invoices!$B$6:$B$305,0))="Paid","Paid",IF(INDEX(Invoices!$M$6:$M$305,MATCH(P364,Invoices!$B$6:$B$305,0))="Draft","Draft","Invoiced")))))))</f>
        <v/>
      </c>
      <c r="R364" s="1">
        <f>IF(AND(B364&lt;&gt;"",P364&lt;&gt;"",P364=Invoice!$G$4),B364+MOD(N(F364),1)+ROW()/10000000,"")</f>
        <v/>
      </c>
      <c r="S364">
        <f>IF(R364="","",IF(D364="","Other work",D364)&amp;IF(AND(K364&lt;&gt;"",E364&lt;&gt;""),", "&amp;E364,""))</f>
        <v/>
      </c>
      <c r="T364">
        <f>IF(R364="","",IF(COUNTIFS(R$6:R363,"&gt;0",S$6:S363,S364,N$6:N363,N364)=0,R364,""))</f>
        <v/>
      </c>
      <c r="U364">
        <f>IF(B364="","",IF(J364&lt;&gt;"",0,M364))</f>
        <v/>
      </c>
    </row>
    <row r="365">
      <c r="A365" s="1" t="n"/>
      <c r="B365" s="16" t="n"/>
      <c r="C365" s="17" t="n"/>
      <c r="D365" s="18" t="n"/>
      <c r="E365" s="18" t="n"/>
      <c r="F365" s="19" t="n"/>
      <c r="G365" s="19" t="n"/>
      <c r="H365" s="20" t="n"/>
      <c r="I365" s="21" t="n"/>
      <c r="J365" s="22" t="n"/>
      <c r="K365" s="23" t="n"/>
      <c r="L365" s="18" t="n"/>
      <c r="M365" s="24">
        <f>IF(B365="","",IF(AND(F365&lt;&gt;"",G365&lt;&gt;""),MAX(0,ROUND(MOD(G365-F365,1)*24-N(H365)/60,2)),N(I365)))</f>
        <v/>
      </c>
      <c r="N365" s="14">
        <f>IF(B365="","",IF(K365&lt;&gt;"",K365,IF(N(IFERROR(INDEX(Projects!$D$6:$D$65,MATCH(D365,Projects!$B$6:$B$65,0)),""))&gt;0,IFERROR(INDEX(Projects!$D$6:$D$65,MATCH(D365,Projects!$B$6:$B$65,0)),""),IFERROR(INDEX(Clients!$G$6:$G$45,MATCH(C365,Clients!$B$6:$B$45,0)),0))))</f>
        <v/>
      </c>
      <c r="O365" s="14">
        <f>IF(B365="","",IF(J365&lt;&gt;"",0,ROUND(M365*N365,2)))</f>
        <v/>
      </c>
      <c r="P365" s="15">
        <f>IF(OR(B365="",J365&lt;&gt;""),"",IF(L365&lt;&gt;"",L365,IF(COUNTIFS(Invoices!$C$6:$C$305,C365,Invoices!$E$6:$E$305,"&lt;="&amp;B365,Invoices!$F$6:$F$305,"&gt;="&amp;B365)=1,INDEX(Invoices!$B$6:$B$305,SUMIFS(Invoices!$O$6:$O$305,Invoices!$C$6:$C$305,C365,Invoices!$E$6:$E$305,"&lt;="&amp;B365,Invoices!$F$6:$F$305,"&gt;="&amp;B365)),IF(COUNTIFS(Invoices!$C$6:$C$305,C365,Invoices!$E$6:$E$305,"&lt;="&amp;B365,Invoices!$F$6:$F$305,"&gt;="&amp;B365)&gt;1,"Two invoices",""))))</f>
        <v/>
      </c>
      <c r="Q365" s="15">
        <f>IF(B365="","",IF(J365&lt;&gt;"","Not billable",IF(P365="","To invoice",IF(P365="Two invoices","Check dates",IF(ISNA(MATCH(P365,Invoices!$B$6:$B$305,0)),"Check number",IF(INDEX(Invoices!$M$6:$M$305,MATCH(P365,Invoices!$B$6:$B$305,0))="Paid","Paid",IF(INDEX(Invoices!$M$6:$M$305,MATCH(P365,Invoices!$B$6:$B$305,0))="Draft","Draft","Invoiced")))))))</f>
        <v/>
      </c>
      <c r="R365" s="1">
        <f>IF(AND(B365&lt;&gt;"",P365&lt;&gt;"",P365=Invoice!$G$4),B365+MOD(N(F365),1)+ROW()/10000000,"")</f>
        <v/>
      </c>
      <c r="S365">
        <f>IF(R365="","",IF(D365="","Other work",D365)&amp;IF(AND(K365&lt;&gt;"",E365&lt;&gt;""),", "&amp;E365,""))</f>
        <v/>
      </c>
      <c r="T365">
        <f>IF(R365="","",IF(COUNTIFS(R$6:R364,"&gt;0",S$6:S364,S365,N$6:N364,N365)=0,R365,""))</f>
        <v/>
      </c>
      <c r="U365">
        <f>IF(B365="","",IF(J365&lt;&gt;"",0,M365))</f>
        <v/>
      </c>
    </row>
    <row r="366">
      <c r="A366" s="1" t="n"/>
      <c r="B366" s="16" t="n"/>
      <c r="C366" s="17" t="n"/>
      <c r="D366" s="18" t="n"/>
      <c r="E366" s="18" t="n"/>
      <c r="F366" s="19" t="n"/>
      <c r="G366" s="19" t="n"/>
      <c r="H366" s="20" t="n"/>
      <c r="I366" s="21" t="n"/>
      <c r="J366" s="22" t="n"/>
      <c r="K366" s="23" t="n"/>
      <c r="L366" s="18" t="n"/>
      <c r="M366" s="24">
        <f>IF(B366="","",IF(AND(F366&lt;&gt;"",G366&lt;&gt;""),MAX(0,ROUND(MOD(G366-F366,1)*24-N(H366)/60,2)),N(I366)))</f>
        <v/>
      </c>
      <c r="N366" s="14">
        <f>IF(B366="","",IF(K366&lt;&gt;"",K366,IF(N(IFERROR(INDEX(Projects!$D$6:$D$65,MATCH(D366,Projects!$B$6:$B$65,0)),""))&gt;0,IFERROR(INDEX(Projects!$D$6:$D$65,MATCH(D366,Projects!$B$6:$B$65,0)),""),IFERROR(INDEX(Clients!$G$6:$G$45,MATCH(C366,Clients!$B$6:$B$45,0)),0))))</f>
        <v/>
      </c>
      <c r="O366" s="14">
        <f>IF(B366="","",IF(J366&lt;&gt;"",0,ROUND(M366*N366,2)))</f>
        <v/>
      </c>
      <c r="P366" s="15">
        <f>IF(OR(B366="",J366&lt;&gt;""),"",IF(L366&lt;&gt;"",L366,IF(COUNTIFS(Invoices!$C$6:$C$305,C366,Invoices!$E$6:$E$305,"&lt;="&amp;B366,Invoices!$F$6:$F$305,"&gt;="&amp;B366)=1,INDEX(Invoices!$B$6:$B$305,SUMIFS(Invoices!$O$6:$O$305,Invoices!$C$6:$C$305,C366,Invoices!$E$6:$E$305,"&lt;="&amp;B366,Invoices!$F$6:$F$305,"&gt;="&amp;B366)),IF(COUNTIFS(Invoices!$C$6:$C$305,C366,Invoices!$E$6:$E$305,"&lt;="&amp;B366,Invoices!$F$6:$F$305,"&gt;="&amp;B366)&gt;1,"Two invoices",""))))</f>
        <v/>
      </c>
      <c r="Q366" s="15">
        <f>IF(B366="","",IF(J366&lt;&gt;"","Not billable",IF(P366="","To invoice",IF(P366="Two invoices","Check dates",IF(ISNA(MATCH(P366,Invoices!$B$6:$B$305,0)),"Check number",IF(INDEX(Invoices!$M$6:$M$305,MATCH(P366,Invoices!$B$6:$B$305,0))="Paid","Paid",IF(INDEX(Invoices!$M$6:$M$305,MATCH(P366,Invoices!$B$6:$B$305,0))="Draft","Draft","Invoiced")))))))</f>
        <v/>
      </c>
      <c r="R366" s="1">
        <f>IF(AND(B366&lt;&gt;"",P366&lt;&gt;"",P366=Invoice!$G$4),B366+MOD(N(F366),1)+ROW()/10000000,"")</f>
        <v/>
      </c>
      <c r="S366">
        <f>IF(R366="","",IF(D366="","Other work",D366)&amp;IF(AND(K366&lt;&gt;"",E366&lt;&gt;""),", "&amp;E366,""))</f>
        <v/>
      </c>
      <c r="T366">
        <f>IF(R366="","",IF(COUNTIFS(R$6:R365,"&gt;0",S$6:S365,S366,N$6:N365,N366)=0,R366,""))</f>
        <v/>
      </c>
      <c r="U366">
        <f>IF(B366="","",IF(J366&lt;&gt;"",0,M366))</f>
        <v/>
      </c>
    </row>
    <row r="367">
      <c r="A367" s="1" t="n"/>
      <c r="B367" s="16" t="n"/>
      <c r="C367" s="17" t="n"/>
      <c r="D367" s="18" t="n"/>
      <c r="E367" s="18" t="n"/>
      <c r="F367" s="19" t="n"/>
      <c r="G367" s="19" t="n"/>
      <c r="H367" s="20" t="n"/>
      <c r="I367" s="21" t="n"/>
      <c r="J367" s="22" t="n"/>
      <c r="K367" s="23" t="n"/>
      <c r="L367" s="18" t="n"/>
      <c r="M367" s="24">
        <f>IF(B367="","",IF(AND(F367&lt;&gt;"",G367&lt;&gt;""),MAX(0,ROUND(MOD(G367-F367,1)*24-N(H367)/60,2)),N(I367)))</f>
        <v/>
      </c>
      <c r="N367" s="14">
        <f>IF(B367="","",IF(K367&lt;&gt;"",K367,IF(N(IFERROR(INDEX(Projects!$D$6:$D$65,MATCH(D367,Projects!$B$6:$B$65,0)),""))&gt;0,IFERROR(INDEX(Projects!$D$6:$D$65,MATCH(D367,Projects!$B$6:$B$65,0)),""),IFERROR(INDEX(Clients!$G$6:$G$45,MATCH(C367,Clients!$B$6:$B$45,0)),0))))</f>
        <v/>
      </c>
      <c r="O367" s="14">
        <f>IF(B367="","",IF(J367&lt;&gt;"",0,ROUND(M367*N367,2)))</f>
        <v/>
      </c>
      <c r="P367" s="15">
        <f>IF(OR(B367="",J367&lt;&gt;""),"",IF(L367&lt;&gt;"",L367,IF(COUNTIFS(Invoices!$C$6:$C$305,C367,Invoices!$E$6:$E$305,"&lt;="&amp;B367,Invoices!$F$6:$F$305,"&gt;="&amp;B367)=1,INDEX(Invoices!$B$6:$B$305,SUMIFS(Invoices!$O$6:$O$305,Invoices!$C$6:$C$305,C367,Invoices!$E$6:$E$305,"&lt;="&amp;B367,Invoices!$F$6:$F$305,"&gt;="&amp;B367)),IF(COUNTIFS(Invoices!$C$6:$C$305,C367,Invoices!$E$6:$E$305,"&lt;="&amp;B367,Invoices!$F$6:$F$305,"&gt;="&amp;B367)&gt;1,"Two invoices",""))))</f>
        <v/>
      </c>
      <c r="Q367" s="15">
        <f>IF(B367="","",IF(J367&lt;&gt;"","Not billable",IF(P367="","To invoice",IF(P367="Two invoices","Check dates",IF(ISNA(MATCH(P367,Invoices!$B$6:$B$305,0)),"Check number",IF(INDEX(Invoices!$M$6:$M$305,MATCH(P367,Invoices!$B$6:$B$305,0))="Paid","Paid",IF(INDEX(Invoices!$M$6:$M$305,MATCH(P367,Invoices!$B$6:$B$305,0))="Draft","Draft","Invoiced")))))))</f>
        <v/>
      </c>
      <c r="R367" s="1">
        <f>IF(AND(B367&lt;&gt;"",P367&lt;&gt;"",P367=Invoice!$G$4),B367+MOD(N(F367),1)+ROW()/10000000,"")</f>
        <v/>
      </c>
      <c r="S367">
        <f>IF(R367="","",IF(D367="","Other work",D367)&amp;IF(AND(K367&lt;&gt;"",E367&lt;&gt;""),", "&amp;E367,""))</f>
        <v/>
      </c>
      <c r="T367">
        <f>IF(R367="","",IF(COUNTIFS(R$6:R366,"&gt;0",S$6:S366,S367,N$6:N366,N367)=0,R367,""))</f>
        <v/>
      </c>
      <c r="U367">
        <f>IF(B367="","",IF(J367&lt;&gt;"",0,M367))</f>
        <v/>
      </c>
    </row>
    <row r="368">
      <c r="A368" s="1" t="n"/>
      <c r="B368" s="16" t="n"/>
      <c r="C368" s="17" t="n"/>
      <c r="D368" s="18" t="n"/>
      <c r="E368" s="18" t="n"/>
      <c r="F368" s="19" t="n"/>
      <c r="G368" s="19" t="n"/>
      <c r="H368" s="20" t="n"/>
      <c r="I368" s="21" t="n"/>
      <c r="J368" s="22" t="n"/>
      <c r="K368" s="23" t="n"/>
      <c r="L368" s="18" t="n"/>
      <c r="M368" s="24">
        <f>IF(B368="","",IF(AND(F368&lt;&gt;"",G368&lt;&gt;""),MAX(0,ROUND(MOD(G368-F368,1)*24-N(H368)/60,2)),N(I368)))</f>
        <v/>
      </c>
      <c r="N368" s="14">
        <f>IF(B368="","",IF(K368&lt;&gt;"",K368,IF(N(IFERROR(INDEX(Projects!$D$6:$D$65,MATCH(D368,Projects!$B$6:$B$65,0)),""))&gt;0,IFERROR(INDEX(Projects!$D$6:$D$65,MATCH(D368,Projects!$B$6:$B$65,0)),""),IFERROR(INDEX(Clients!$G$6:$G$45,MATCH(C368,Clients!$B$6:$B$45,0)),0))))</f>
        <v/>
      </c>
      <c r="O368" s="14">
        <f>IF(B368="","",IF(J368&lt;&gt;"",0,ROUND(M368*N368,2)))</f>
        <v/>
      </c>
      <c r="P368" s="15">
        <f>IF(OR(B368="",J368&lt;&gt;""),"",IF(L368&lt;&gt;"",L368,IF(COUNTIFS(Invoices!$C$6:$C$305,C368,Invoices!$E$6:$E$305,"&lt;="&amp;B368,Invoices!$F$6:$F$305,"&gt;="&amp;B368)=1,INDEX(Invoices!$B$6:$B$305,SUMIFS(Invoices!$O$6:$O$305,Invoices!$C$6:$C$305,C368,Invoices!$E$6:$E$305,"&lt;="&amp;B368,Invoices!$F$6:$F$305,"&gt;="&amp;B368)),IF(COUNTIFS(Invoices!$C$6:$C$305,C368,Invoices!$E$6:$E$305,"&lt;="&amp;B368,Invoices!$F$6:$F$305,"&gt;="&amp;B368)&gt;1,"Two invoices",""))))</f>
        <v/>
      </c>
      <c r="Q368" s="15">
        <f>IF(B368="","",IF(J368&lt;&gt;"","Not billable",IF(P368="","To invoice",IF(P368="Two invoices","Check dates",IF(ISNA(MATCH(P368,Invoices!$B$6:$B$305,0)),"Check number",IF(INDEX(Invoices!$M$6:$M$305,MATCH(P368,Invoices!$B$6:$B$305,0))="Paid","Paid",IF(INDEX(Invoices!$M$6:$M$305,MATCH(P368,Invoices!$B$6:$B$305,0))="Draft","Draft","Invoiced")))))))</f>
        <v/>
      </c>
      <c r="R368" s="1">
        <f>IF(AND(B368&lt;&gt;"",P368&lt;&gt;"",P368=Invoice!$G$4),B368+MOD(N(F368),1)+ROW()/10000000,"")</f>
        <v/>
      </c>
      <c r="S368">
        <f>IF(R368="","",IF(D368="","Other work",D368)&amp;IF(AND(K368&lt;&gt;"",E368&lt;&gt;""),", "&amp;E368,""))</f>
        <v/>
      </c>
      <c r="T368">
        <f>IF(R368="","",IF(COUNTIFS(R$6:R367,"&gt;0",S$6:S367,S368,N$6:N367,N368)=0,R368,""))</f>
        <v/>
      </c>
      <c r="U368">
        <f>IF(B368="","",IF(J368&lt;&gt;"",0,M368))</f>
        <v/>
      </c>
    </row>
    <row r="369">
      <c r="A369" s="1" t="n"/>
      <c r="B369" s="16" t="n"/>
      <c r="C369" s="17" t="n"/>
      <c r="D369" s="18" t="n"/>
      <c r="E369" s="18" t="n"/>
      <c r="F369" s="19" t="n"/>
      <c r="G369" s="19" t="n"/>
      <c r="H369" s="20" t="n"/>
      <c r="I369" s="21" t="n"/>
      <c r="J369" s="22" t="n"/>
      <c r="K369" s="23" t="n"/>
      <c r="L369" s="18" t="n"/>
      <c r="M369" s="24">
        <f>IF(B369="","",IF(AND(F369&lt;&gt;"",G369&lt;&gt;""),MAX(0,ROUND(MOD(G369-F369,1)*24-N(H369)/60,2)),N(I369)))</f>
        <v/>
      </c>
      <c r="N369" s="14">
        <f>IF(B369="","",IF(K369&lt;&gt;"",K369,IF(N(IFERROR(INDEX(Projects!$D$6:$D$65,MATCH(D369,Projects!$B$6:$B$65,0)),""))&gt;0,IFERROR(INDEX(Projects!$D$6:$D$65,MATCH(D369,Projects!$B$6:$B$65,0)),""),IFERROR(INDEX(Clients!$G$6:$G$45,MATCH(C369,Clients!$B$6:$B$45,0)),0))))</f>
        <v/>
      </c>
      <c r="O369" s="14">
        <f>IF(B369="","",IF(J369&lt;&gt;"",0,ROUND(M369*N369,2)))</f>
        <v/>
      </c>
      <c r="P369" s="15">
        <f>IF(OR(B369="",J369&lt;&gt;""),"",IF(L369&lt;&gt;"",L369,IF(COUNTIFS(Invoices!$C$6:$C$305,C369,Invoices!$E$6:$E$305,"&lt;="&amp;B369,Invoices!$F$6:$F$305,"&gt;="&amp;B369)=1,INDEX(Invoices!$B$6:$B$305,SUMIFS(Invoices!$O$6:$O$305,Invoices!$C$6:$C$305,C369,Invoices!$E$6:$E$305,"&lt;="&amp;B369,Invoices!$F$6:$F$305,"&gt;="&amp;B369)),IF(COUNTIFS(Invoices!$C$6:$C$305,C369,Invoices!$E$6:$E$305,"&lt;="&amp;B369,Invoices!$F$6:$F$305,"&gt;="&amp;B369)&gt;1,"Two invoices",""))))</f>
        <v/>
      </c>
      <c r="Q369" s="15">
        <f>IF(B369="","",IF(J369&lt;&gt;"","Not billable",IF(P369="","To invoice",IF(P369="Two invoices","Check dates",IF(ISNA(MATCH(P369,Invoices!$B$6:$B$305,0)),"Check number",IF(INDEX(Invoices!$M$6:$M$305,MATCH(P369,Invoices!$B$6:$B$305,0))="Paid","Paid",IF(INDEX(Invoices!$M$6:$M$305,MATCH(P369,Invoices!$B$6:$B$305,0))="Draft","Draft","Invoiced")))))))</f>
        <v/>
      </c>
      <c r="R369" s="1">
        <f>IF(AND(B369&lt;&gt;"",P369&lt;&gt;"",P369=Invoice!$G$4),B369+MOD(N(F369),1)+ROW()/10000000,"")</f>
        <v/>
      </c>
      <c r="S369">
        <f>IF(R369="","",IF(D369="","Other work",D369)&amp;IF(AND(K369&lt;&gt;"",E369&lt;&gt;""),", "&amp;E369,""))</f>
        <v/>
      </c>
      <c r="T369">
        <f>IF(R369="","",IF(COUNTIFS(R$6:R368,"&gt;0",S$6:S368,S369,N$6:N368,N369)=0,R369,""))</f>
        <v/>
      </c>
      <c r="U369">
        <f>IF(B369="","",IF(J369&lt;&gt;"",0,M369))</f>
        <v/>
      </c>
    </row>
    <row r="370">
      <c r="A370" s="1" t="n"/>
      <c r="B370" s="16" t="n"/>
      <c r="C370" s="17" t="n"/>
      <c r="D370" s="18" t="n"/>
      <c r="E370" s="18" t="n"/>
      <c r="F370" s="19" t="n"/>
      <c r="G370" s="19" t="n"/>
      <c r="H370" s="20" t="n"/>
      <c r="I370" s="21" t="n"/>
      <c r="J370" s="22" t="n"/>
      <c r="K370" s="23" t="n"/>
      <c r="L370" s="18" t="n"/>
      <c r="M370" s="24">
        <f>IF(B370="","",IF(AND(F370&lt;&gt;"",G370&lt;&gt;""),MAX(0,ROUND(MOD(G370-F370,1)*24-N(H370)/60,2)),N(I370)))</f>
        <v/>
      </c>
      <c r="N370" s="14">
        <f>IF(B370="","",IF(K370&lt;&gt;"",K370,IF(N(IFERROR(INDEX(Projects!$D$6:$D$65,MATCH(D370,Projects!$B$6:$B$65,0)),""))&gt;0,IFERROR(INDEX(Projects!$D$6:$D$65,MATCH(D370,Projects!$B$6:$B$65,0)),""),IFERROR(INDEX(Clients!$G$6:$G$45,MATCH(C370,Clients!$B$6:$B$45,0)),0))))</f>
        <v/>
      </c>
      <c r="O370" s="14">
        <f>IF(B370="","",IF(J370&lt;&gt;"",0,ROUND(M370*N370,2)))</f>
        <v/>
      </c>
      <c r="P370" s="15">
        <f>IF(OR(B370="",J370&lt;&gt;""),"",IF(L370&lt;&gt;"",L370,IF(COUNTIFS(Invoices!$C$6:$C$305,C370,Invoices!$E$6:$E$305,"&lt;="&amp;B370,Invoices!$F$6:$F$305,"&gt;="&amp;B370)=1,INDEX(Invoices!$B$6:$B$305,SUMIFS(Invoices!$O$6:$O$305,Invoices!$C$6:$C$305,C370,Invoices!$E$6:$E$305,"&lt;="&amp;B370,Invoices!$F$6:$F$305,"&gt;="&amp;B370)),IF(COUNTIFS(Invoices!$C$6:$C$305,C370,Invoices!$E$6:$E$305,"&lt;="&amp;B370,Invoices!$F$6:$F$305,"&gt;="&amp;B370)&gt;1,"Two invoices",""))))</f>
        <v/>
      </c>
      <c r="Q370" s="15">
        <f>IF(B370="","",IF(J370&lt;&gt;"","Not billable",IF(P370="","To invoice",IF(P370="Two invoices","Check dates",IF(ISNA(MATCH(P370,Invoices!$B$6:$B$305,0)),"Check number",IF(INDEX(Invoices!$M$6:$M$305,MATCH(P370,Invoices!$B$6:$B$305,0))="Paid","Paid",IF(INDEX(Invoices!$M$6:$M$305,MATCH(P370,Invoices!$B$6:$B$305,0))="Draft","Draft","Invoiced")))))))</f>
        <v/>
      </c>
      <c r="R370" s="1">
        <f>IF(AND(B370&lt;&gt;"",P370&lt;&gt;"",P370=Invoice!$G$4),B370+MOD(N(F370),1)+ROW()/10000000,"")</f>
        <v/>
      </c>
      <c r="S370">
        <f>IF(R370="","",IF(D370="","Other work",D370)&amp;IF(AND(K370&lt;&gt;"",E370&lt;&gt;""),", "&amp;E370,""))</f>
        <v/>
      </c>
      <c r="T370">
        <f>IF(R370="","",IF(COUNTIFS(R$6:R369,"&gt;0",S$6:S369,S370,N$6:N369,N370)=0,R370,""))</f>
        <v/>
      </c>
      <c r="U370">
        <f>IF(B370="","",IF(J370&lt;&gt;"",0,M370))</f>
        <v/>
      </c>
    </row>
    <row r="371">
      <c r="A371" s="1" t="n"/>
      <c r="B371" s="16" t="n"/>
      <c r="C371" s="17" t="n"/>
      <c r="D371" s="18" t="n"/>
      <c r="E371" s="18" t="n"/>
      <c r="F371" s="19" t="n"/>
      <c r="G371" s="19" t="n"/>
      <c r="H371" s="20" t="n"/>
      <c r="I371" s="21" t="n"/>
      <c r="J371" s="22" t="n"/>
      <c r="K371" s="23" t="n"/>
      <c r="L371" s="18" t="n"/>
      <c r="M371" s="24">
        <f>IF(B371="","",IF(AND(F371&lt;&gt;"",G371&lt;&gt;""),MAX(0,ROUND(MOD(G371-F371,1)*24-N(H371)/60,2)),N(I371)))</f>
        <v/>
      </c>
      <c r="N371" s="14">
        <f>IF(B371="","",IF(K371&lt;&gt;"",K371,IF(N(IFERROR(INDEX(Projects!$D$6:$D$65,MATCH(D371,Projects!$B$6:$B$65,0)),""))&gt;0,IFERROR(INDEX(Projects!$D$6:$D$65,MATCH(D371,Projects!$B$6:$B$65,0)),""),IFERROR(INDEX(Clients!$G$6:$G$45,MATCH(C371,Clients!$B$6:$B$45,0)),0))))</f>
        <v/>
      </c>
      <c r="O371" s="14">
        <f>IF(B371="","",IF(J371&lt;&gt;"",0,ROUND(M371*N371,2)))</f>
        <v/>
      </c>
      <c r="P371" s="15">
        <f>IF(OR(B371="",J371&lt;&gt;""),"",IF(L371&lt;&gt;"",L371,IF(COUNTIFS(Invoices!$C$6:$C$305,C371,Invoices!$E$6:$E$305,"&lt;="&amp;B371,Invoices!$F$6:$F$305,"&gt;="&amp;B371)=1,INDEX(Invoices!$B$6:$B$305,SUMIFS(Invoices!$O$6:$O$305,Invoices!$C$6:$C$305,C371,Invoices!$E$6:$E$305,"&lt;="&amp;B371,Invoices!$F$6:$F$305,"&gt;="&amp;B371)),IF(COUNTIFS(Invoices!$C$6:$C$305,C371,Invoices!$E$6:$E$305,"&lt;="&amp;B371,Invoices!$F$6:$F$305,"&gt;="&amp;B371)&gt;1,"Two invoices",""))))</f>
        <v/>
      </c>
      <c r="Q371" s="15">
        <f>IF(B371="","",IF(J371&lt;&gt;"","Not billable",IF(P371="","To invoice",IF(P371="Two invoices","Check dates",IF(ISNA(MATCH(P371,Invoices!$B$6:$B$305,0)),"Check number",IF(INDEX(Invoices!$M$6:$M$305,MATCH(P371,Invoices!$B$6:$B$305,0))="Paid","Paid",IF(INDEX(Invoices!$M$6:$M$305,MATCH(P371,Invoices!$B$6:$B$305,0))="Draft","Draft","Invoiced")))))))</f>
        <v/>
      </c>
      <c r="R371" s="1">
        <f>IF(AND(B371&lt;&gt;"",P371&lt;&gt;"",P371=Invoice!$G$4),B371+MOD(N(F371),1)+ROW()/10000000,"")</f>
        <v/>
      </c>
      <c r="S371">
        <f>IF(R371="","",IF(D371="","Other work",D371)&amp;IF(AND(K371&lt;&gt;"",E371&lt;&gt;""),", "&amp;E371,""))</f>
        <v/>
      </c>
      <c r="T371">
        <f>IF(R371="","",IF(COUNTIFS(R$6:R370,"&gt;0",S$6:S370,S371,N$6:N370,N371)=0,R371,""))</f>
        <v/>
      </c>
      <c r="U371">
        <f>IF(B371="","",IF(J371&lt;&gt;"",0,M371))</f>
        <v/>
      </c>
    </row>
    <row r="372">
      <c r="A372" s="1" t="n"/>
      <c r="B372" s="16" t="n"/>
      <c r="C372" s="17" t="n"/>
      <c r="D372" s="18" t="n"/>
      <c r="E372" s="18" t="n"/>
      <c r="F372" s="19" t="n"/>
      <c r="G372" s="19" t="n"/>
      <c r="H372" s="20" t="n"/>
      <c r="I372" s="21" t="n"/>
      <c r="J372" s="22" t="n"/>
      <c r="K372" s="23" t="n"/>
      <c r="L372" s="18" t="n"/>
      <c r="M372" s="24">
        <f>IF(B372="","",IF(AND(F372&lt;&gt;"",G372&lt;&gt;""),MAX(0,ROUND(MOD(G372-F372,1)*24-N(H372)/60,2)),N(I372)))</f>
        <v/>
      </c>
      <c r="N372" s="14">
        <f>IF(B372="","",IF(K372&lt;&gt;"",K372,IF(N(IFERROR(INDEX(Projects!$D$6:$D$65,MATCH(D372,Projects!$B$6:$B$65,0)),""))&gt;0,IFERROR(INDEX(Projects!$D$6:$D$65,MATCH(D372,Projects!$B$6:$B$65,0)),""),IFERROR(INDEX(Clients!$G$6:$G$45,MATCH(C372,Clients!$B$6:$B$45,0)),0))))</f>
        <v/>
      </c>
      <c r="O372" s="14">
        <f>IF(B372="","",IF(J372&lt;&gt;"",0,ROUND(M372*N372,2)))</f>
        <v/>
      </c>
      <c r="P372" s="15">
        <f>IF(OR(B372="",J372&lt;&gt;""),"",IF(L372&lt;&gt;"",L372,IF(COUNTIFS(Invoices!$C$6:$C$305,C372,Invoices!$E$6:$E$305,"&lt;="&amp;B372,Invoices!$F$6:$F$305,"&gt;="&amp;B372)=1,INDEX(Invoices!$B$6:$B$305,SUMIFS(Invoices!$O$6:$O$305,Invoices!$C$6:$C$305,C372,Invoices!$E$6:$E$305,"&lt;="&amp;B372,Invoices!$F$6:$F$305,"&gt;="&amp;B372)),IF(COUNTIFS(Invoices!$C$6:$C$305,C372,Invoices!$E$6:$E$305,"&lt;="&amp;B372,Invoices!$F$6:$F$305,"&gt;="&amp;B372)&gt;1,"Two invoices",""))))</f>
        <v/>
      </c>
      <c r="Q372" s="15">
        <f>IF(B372="","",IF(J372&lt;&gt;"","Not billable",IF(P372="","To invoice",IF(P372="Two invoices","Check dates",IF(ISNA(MATCH(P372,Invoices!$B$6:$B$305,0)),"Check number",IF(INDEX(Invoices!$M$6:$M$305,MATCH(P372,Invoices!$B$6:$B$305,0))="Paid","Paid",IF(INDEX(Invoices!$M$6:$M$305,MATCH(P372,Invoices!$B$6:$B$305,0))="Draft","Draft","Invoiced")))))))</f>
        <v/>
      </c>
      <c r="R372" s="1">
        <f>IF(AND(B372&lt;&gt;"",P372&lt;&gt;"",P372=Invoice!$G$4),B372+MOD(N(F372),1)+ROW()/10000000,"")</f>
        <v/>
      </c>
      <c r="S372">
        <f>IF(R372="","",IF(D372="","Other work",D372)&amp;IF(AND(K372&lt;&gt;"",E372&lt;&gt;""),", "&amp;E372,""))</f>
        <v/>
      </c>
      <c r="T372">
        <f>IF(R372="","",IF(COUNTIFS(R$6:R371,"&gt;0",S$6:S371,S372,N$6:N371,N372)=0,R372,""))</f>
        <v/>
      </c>
      <c r="U372">
        <f>IF(B372="","",IF(J372&lt;&gt;"",0,M372))</f>
        <v/>
      </c>
    </row>
    <row r="373">
      <c r="A373" s="1" t="n"/>
      <c r="B373" s="16" t="n"/>
      <c r="C373" s="17" t="n"/>
      <c r="D373" s="18" t="n"/>
      <c r="E373" s="18" t="n"/>
      <c r="F373" s="19" t="n"/>
      <c r="G373" s="19" t="n"/>
      <c r="H373" s="20" t="n"/>
      <c r="I373" s="21" t="n"/>
      <c r="J373" s="22" t="n"/>
      <c r="K373" s="23" t="n"/>
      <c r="L373" s="18" t="n"/>
      <c r="M373" s="24">
        <f>IF(B373="","",IF(AND(F373&lt;&gt;"",G373&lt;&gt;""),MAX(0,ROUND(MOD(G373-F373,1)*24-N(H373)/60,2)),N(I373)))</f>
        <v/>
      </c>
      <c r="N373" s="14">
        <f>IF(B373="","",IF(K373&lt;&gt;"",K373,IF(N(IFERROR(INDEX(Projects!$D$6:$D$65,MATCH(D373,Projects!$B$6:$B$65,0)),""))&gt;0,IFERROR(INDEX(Projects!$D$6:$D$65,MATCH(D373,Projects!$B$6:$B$65,0)),""),IFERROR(INDEX(Clients!$G$6:$G$45,MATCH(C373,Clients!$B$6:$B$45,0)),0))))</f>
        <v/>
      </c>
      <c r="O373" s="14">
        <f>IF(B373="","",IF(J373&lt;&gt;"",0,ROUND(M373*N373,2)))</f>
        <v/>
      </c>
      <c r="P373" s="15">
        <f>IF(OR(B373="",J373&lt;&gt;""),"",IF(L373&lt;&gt;"",L373,IF(COUNTIFS(Invoices!$C$6:$C$305,C373,Invoices!$E$6:$E$305,"&lt;="&amp;B373,Invoices!$F$6:$F$305,"&gt;="&amp;B373)=1,INDEX(Invoices!$B$6:$B$305,SUMIFS(Invoices!$O$6:$O$305,Invoices!$C$6:$C$305,C373,Invoices!$E$6:$E$305,"&lt;="&amp;B373,Invoices!$F$6:$F$305,"&gt;="&amp;B373)),IF(COUNTIFS(Invoices!$C$6:$C$305,C373,Invoices!$E$6:$E$305,"&lt;="&amp;B373,Invoices!$F$6:$F$305,"&gt;="&amp;B373)&gt;1,"Two invoices",""))))</f>
        <v/>
      </c>
      <c r="Q373" s="15">
        <f>IF(B373="","",IF(J373&lt;&gt;"","Not billable",IF(P373="","To invoice",IF(P373="Two invoices","Check dates",IF(ISNA(MATCH(P373,Invoices!$B$6:$B$305,0)),"Check number",IF(INDEX(Invoices!$M$6:$M$305,MATCH(P373,Invoices!$B$6:$B$305,0))="Paid","Paid",IF(INDEX(Invoices!$M$6:$M$305,MATCH(P373,Invoices!$B$6:$B$305,0))="Draft","Draft","Invoiced")))))))</f>
        <v/>
      </c>
      <c r="R373" s="1">
        <f>IF(AND(B373&lt;&gt;"",P373&lt;&gt;"",P373=Invoice!$G$4),B373+MOD(N(F373),1)+ROW()/10000000,"")</f>
        <v/>
      </c>
      <c r="S373">
        <f>IF(R373="","",IF(D373="","Other work",D373)&amp;IF(AND(K373&lt;&gt;"",E373&lt;&gt;""),", "&amp;E373,""))</f>
        <v/>
      </c>
      <c r="T373">
        <f>IF(R373="","",IF(COUNTIFS(R$6:R372,"&gt;0",S$6:S372,S373,N$6:N372,N373)=0,R373,""))</f>
        <v/>
      </c>
      <c r="U373">
        <f>IF(B373="","",IF(J373&lt;&gt;"",0,M373))</f>
        <v/>
      </c>
    </row>
    <row r="374">
      <c r="A374" s="1" t="n"/>
      <c r="B374" s="16" t="n"/>
      <c r="C374" s="17" t="n"/>
      <c r="D374" s="18" t="n"/>
      <c r="E374" s="18" t="n"/>
      <c r="F374" s="19" t="n"/>
      <c r="G374" s="19" t="n"/>
      <c r="H374" s="20" t="n"/>
      <c r="I374" s="21" t="n"/>
      <c r="J374" s="22" t="n"/>
      <c r="K374" s="23" t="n"/>
      <c r="L374" s="18" t="n"/>
      <c r="M374" s="24">
        <f>IF(B374="","",IF(AND(F374&lt;&gt;"",G374&lt;&gt;""),MAX(0,ROUND(MOD(G374-F374,1)*24-N(H374)/60,2)),N(I374)))</f>
        <v/>
      </c>
      <c r="N374" s="14">
        <f>IF(B374="","",IF(K374&lt;&gt;"",K374,IF(N(IFERROR(INDEX(Projects!$D$6:$D$65,MATCH(D374,Projects!$B$6:$B$65,0)),""))&gt;0,IFERROR(INDEX(Projects!$D$6:$D$65,MATCH(D374,Projects!$B$6:$B$65,0)),""),IFERROR(INDEX(Clients!$G$6:$G$45,MATCH(C374,Clients!$B$6:$B$45,0)),0))))</f>
        <v/>
      </c>
      <c r="O374" s="14">
        <f>IF(B374="","",IF(J374&lt;&gt;"",0,ROUND(M374*N374,2)))</f>
        <v/>
      </c>
      <c r="P374" s="15">
        <f>IF(OR(B374="",J374&lt;&gt;""),"",IF(L374&lt;&gt;"",L374,IF(COUNTIFS(Invoices!$C$6:$C$305,C374,Invoices!$E$6:$E$305,"&lt;="&amp;B374,Invoices!$F$6:$F$305,"&gt;="&amp;B374)=1,INDEX(Invoices!$B$6:$B$305,SUMIFS(Invoices!$O$6:$O$305,Invoices!$C$6:$C$305,C374,Invoices!$E$6:$E$305,"&lt;="&amp;B374,Invoices!$F$6:$F$305,"&gt;="&amp;B374)),IF(COUNTIFS(Invoices!$C$6:$C$305,C374,Invoices!$E$6:$E$305,"&lt;="&amp;B374,Invoices!$F$6:$F$305,"&gt;="&amp;B374)&gt;1,"Two invoices",""))))</f>
        <v/>
      </c>
      <c r="Q374" s="15">
        <f>IF(B374="","",IF(J374&lt;&gt;"","Not billable",IF(P374="","To invoice",IF(P374="Two invoices","Check dates",IF(ISNA(MATCH(P374,Invoices!$B$6:$B$305,0)),"Check number",IF(INDEX(Invoices!$M$6:$M$305,MATCH(P374,Invoices!$B$6:$B$305,0))="Paid","Paid",IF(INDEX(Invoices!$M$6:$M$305,MATCH(P374,Invoices!$B$6:$B$305,0))="Draft","Draft","Invoiced")))))))</f>
        <v/>
      </c>
      <c r="R374" s="1">
        <f>IF(AND(B374&lt;&gt;"",P374&lt;&gt;"",P374=Invoice!$G$4),B374+MOD(N(F374),1)+ROW()/10000000,"")</f>
        <v/>
      </c>
      <c r="S374">
        <f>IF(R374="","",IF(D374="","Other work",D374)&amp;IF(AND(K374&lt;&gt;"",E374&lt;&gt;""),", "&amp;E374,""))</f>
        <v/>
      </c>
      <c r="T374">
        <f>IF(R374="","",IF(COUNTIFS(R$6:R373,"&gt;0",S$6:S373,S374,N$6:N373,N374)=0,R374,""))</f>
        <v/>
      </c>
      <c r="U374">
        <f>IF(B374="","",IF(J374&lt;&gt;"",0,M374))</f>
        <v/>
      </c>
    </row>
    <row r="375">
      <c r="A375" s="1" t="n"/>
      <c r="B375" s="16" t="n"/>
      <c r="C375" s="17" t="n"/>
      <c r="D375" s="18" t="n"/>
      <c r="E375" s="18" t="n"/>
      <c r="F375" s="19" t="n"/>
      <c r="G375" s="19" t="n"/>
      <c r="H375" s="20" t="n"/>
      <c r="I375" s="21" t="n"/>
      <c r="J375" s="22" t="n"/>
      <c r="K375" s="23" t="n"/>
      <c r="L375" s="18" t="n"/>
      <c r="M375" s="24">
        <f>IF(B375="","",IF(AND(F375&lt;&gt;"",G375&lt;&gt;""),MAX(0,ROUND(MOD(G375-F375,1)*24-N(H375)/60,2)),N(I375)))</f>
        <v/>
      </c>
      <c r="N375" s="14">
        <f>IF(B375="","",IF(K375&lt;&gt;"",K375,IF(N(IFERROR(INDEX(Projects!$D$6:$D$65,MATCH(D375,Projects!$B$6:$B$65,0)),""))&gt;0,IFERROR(INDEX(Projects!$D$6:$D$65,MATCH(D375,Projects!$B$6:$B$65,0)),""),IFERROR(INDEX(Clients!$G$6:$G$45,MATCH(C375,Clients!$B$6:$B$45,0)),0))))</f>
        <v/>
      </c>
      <c r="O375" s="14">
        <f>IF(B375="","",IF(J375&lt;&gt;"",0,ROUND(M375*N375,2)))</f>
        <v/>
      </c>
      <c r="P375" s="15">
        <f>IF(OR(B375="",J375&lt;&gt;""),"",IF(L375&lt;&gt;"",L375,IF(COUNTIFS(Invoices!$C$6:$C$305,C375,Invoices!$E$6:$E$305,"&lt;="&amp;B375,Invoices!$F$6:$F$305,"&gt;="&amp;B375)=1,INDEX(Invoices!$B$6:$B$305,SUMIFS(Invoices!$O$6:$O$305,Invoices!$C$6:$C$305,C375,Invoices!$E$6:$E$305,"&lt;="&amp;B375,Invoices!$F$6:$F$305,"&gt;="&amp;B375)),IF(COUNTIFS(Invoices!$C$6:$C$305,C375,Invoices!$E$6:$E$305,"&lt;="&amp;B375,Invoices!$F$6:$F$305,"&gt;="&amp;B375)&gt;1,"Two invoices",""))))</f>
        <v/>
      </c>
      <c r="Q375" s="15">
        <f>IF(B375="","",IF(J375&lt;&gt;"","Not billable",IF(P375="","To invoice",IF(P375="Two invoices","Check dates",IF(ISNA(MATCH(P375,Invoices!$B$6:$B$305,0)),"Check number",IF(INDEX(Invoices!$M$6:$M$305,MATCH(P375,Invoices!$B$6:$B$305,0))="Paid","Paid",IF(INDEX(Invoices!$M$6:$M$305,MATCH(P375,Invoices!$B$6:$B$305,0))="Draft","Draft","Invoiced")))))))</f>
        <v/>
      </c>
      <c r="R375" s="1">
        <f>IF(AND(B375&lt;&gt;"",P375&lt;&gt;"",P375=Invoice!$G$4),B375+MOD(N(F375),1)+ROW()/10000000,"")</f>
        <v/>
      </c>
      <c r="S375">
        <f>IF(R375="","",IF(D375="","Other work",D375)&amp;IF(AND(K375&lt;&gt;"",E375&lt;&gt;""),", "&amp;E375,""))</f>
        <v/>
      </c>
      <c r="T375">
        <f>IF(R375="","",IF(COUNTIFS(R$6:R374,"&gt;0",S$6:S374,S375,N$6:N374,N375)=0,R375,""))</f>
        <v/>
      </c>
      <c r="U375">
        <f>IF(B375="","",IF(J375&lt;&gt;"",0,M375))</f>
        <v/>
      </c>
    </row>
    <row r="376">
      <c r="A376" s="1" t="n"/>
      <c r="B376" s="16" t="n"/>
      <c r="C376" s="17" t="n"/>
      <c r="D376" s="18" t="n"/>
      <c r="E376" s="18" t="n"/>
      <c r="F376" s="19" t="n"/>
      <c r="G376" s="19" t="n"/>
      <c r="H376" s="20" t="n"/>
      <c r="I376" s="21" t="n"/>
      <c r="J376" s="22" t="n"/>
      <c r="K376" s="23" t="n"/>
      <c r="L376" s="18" t="n"/>
      <c r="M376" s="24">
        <f>IF(B376="","",IF(AND(F376&lt;&gt;"",G376&lt;&gt;""),MAX(0,ROUND(MOD(G376-F376,1)*24-N(H376)/60,2)),N(I376)))</f>
        <v/>
      </c>
      <c r="N376" s="14">
        <f>IF(B376="","",IF(K376&lt;&gt;"",K376,IF(N(IFERROR(INDEX(Projects!$D$6:$D$65,MATCH(D376,Projects!$B$6:$B$65,0)),""))&gt;0,IFERROR(INDEX(Projects!$D$6:$D$65,MATCH(D376,Projects!$B$6:$B$65,0)),""),IFERROR(INDEX(Clients!$G$6:$G$45,MATCH(C376,Clients!$B$6:$B$45,0)),0))))</f>
        <v/>
      </c>
      <c r="O376" s="14">
        <f>IF(B376="","",IF(J376&lt;&gt;"",0,ROUND(M376*N376,2)))</f>
        <v/>
      </c>
      <c r="P376" s="15">
        <f>IF(OR(B376="",J376&lt;&gt;""),"",IF(L376&lt;&gt;"",L376,IF(COUNTIFS(Invoices!$C$6:$C$305,C376,Invoices!$E$6:$E$305,"&lt;="&amp;B376,Invoices!$F$6:$F$305,"&gt;="&amp;B376)=1,INDEX(Invoices!$B$6:$B$305,SUMIFS(Invoices!$O$6:$O$305,Invoices!$C$6:$C$305,C376,Invoices!$E$6:$E$305,"&lt;="&amp;B376,Invoices!$F$6:$F$305,"&gt;="&amp;B376)),IF(COUNTIFS(Invoices!$C$6:$C$305,C376,Invoices!$E$6:$E$305,"&lt;="&amp;B376,Invoices!$F$6:$F$305,"&gt;="&amp;B376)&gt;1,"Two invoices",""))))</f>
        <v/>
      </c>
      <c r="Q376" s="15">
        <f>IF(B376="","",IF(J376&lt;&gt;"","Not billable",IF(P376="","To invoice",IF(P376="Two invoices","Check dates",IF(ISNA(MATCH(P376,Invoices!$B$6:$B$305,0)),"Check number",IF(INDEX(Invoices!$M$6:$M$305,MATCH(P376,Invoices!$B$6:$B$305,0))="Paid","Paid",IF(INDEX(Invoices!$M$6:$M$305,MATCH(P376,Invoices!$B$6:$B$305,0))="Draft","Draft","Invoiced")))))))</f>
        <v/>
      </c>
      <c r="R376" s="1">
        <f>IF(AND(B376&lt;&gt;"",P376&lt;&gt;"",P376=Invoice!$G$4),B376+MOD(N(F376),1)+ROW()/10000000,"")</f>
        <v/>
      </c>
      <c r="S376">
        <f>IF(R376="","",IF(D376="","Other work",D376)&amp;IF(AND(K376&lt;&gt;"",E376&lt;&gt;""),", "&amp;E376,""))</f>
        <v/>
      </c>
      <c r="T376">
        <f>IF(R376="","",IF(COUNTIFS(R$6:R375,"&gt;0",S$6:S375,S376,N$6:N375,N376)=0,R376,""))</f>
        <v/>
      </c>
      <c r="U376">
        <f>IF(B376="","",IF(J376&lt;&gt;"",0,M376))</f>
        <v/>
      </c>
    </row>
    <row r="377">
      <c r="A377" s="1" t="n"/>
      <c r="B377" s="16" t="n"/>
      <c r="C377" s="17" t="n"/>
      <c r="D377" s="18" t="n"/>
      <c r="E377" s="18" t="n"/>
      <c r="F377" s="19" t="n"/>
      <c r="G377" s="19" t="n"/>
      <c r="H377" s="20" t="n"/>
      <c r="I377" s="21" t="n"/>
      <c r="J377" s="22" t="n"/>
      <c r="K377" s="23" t="n"/>
      <c r="L377" s="18" t="n"/>
      <c r="M377" s="24">
        <f>IF(B377="","",IF(AND(F377&lt;&gt;"",G377&lt;&gt;""),MAX(0,ROUND(MOD(G377-F377,1)*24-N(H377)/60,2)),N(I377)))</f>
        <v/>
      </c>
      <c r="N377" s="14">
        <f>IF(B377="","",IF(K377&lt;&gt;"",K377,IF(N(IFERROR(INDEX(Projects!$D$6:$D$65,MATCH(D377,Projects!$B$6:$B$65,0)),""))&gt;0,IFERROR(INDEX(Projects!$D$6:$D$65,MATCH(D377,Projects!$B$6:$B$65,0)),""),IFERROR(INDEX(Clients!$G$6:$G$45,MATCH(C377,Clients!$B$6:$B$45,0)),0))))</f>
        <v/>
      </c>
      <c r="O377" s="14">
        <f>IF(B377="","",IF(J377&lt;&gt;"",0,ROUND(M377*N377,2)))</f>
        <v/>
      </c>
      <c r="P377" s="15">
        <f>IF(OR(B377="",J377&lt;&gt;""),"",IF(L377&lt;&gt;"",L377,IF(COUNTIFS(Invoices!$C$6:$C$305,C377,Invoices!$E$6:$E$305,"&lt;="&amp;B377,Invoices!$F$6:$F$305,"&gt;="&amp;B377)=1,INDEX(Invoices!$B$6:$B$305,SUMIFS(Invoices!$O$6:$O$305,Invoices!$C$6:$C$305,C377,Invoices!$E$6:$E$305,"&lt;="&amp;B377,Invoices!$F$6:$F$305,"&gt;="&amp;B377)),IF(COUNTIFS(Invoices!$C$6:$C$305,C377,Invoices!$E$6:$E$305,"&lt;="&amp;B377,Invoices!$F$6:$F$305,"&gt;="&amp;B377)&gt;1,"Two invoices",""))))</f>
        <v/>
      </c>
      <c r="Q377" s="15">
        <f>IF(B377="","",IF(J377&lt;&gt;"","Not billable",IF(P377="","To invoice",IF(P377="Two invoices","Check dates",IF(ISNA(MATCH(P377,Invoices!$B$6:$B$305,0)),"Check number",IF(INDEX(Invoices!$M$6:$M$305,MATCH(P377,Invoices!$B$6:$B$305,0))="Paid","Paid",IF(INDEX(Invoices!$M$6:$M$305,MATCH(P377,Invoices!$B$6:$B$305,0))="Draft","Draft","Invoiced")))))))</f>
        <v/>
      </c>
      <c r="R377" s="1">
        <f>IF(AND(B377&lt;&gt;"",P377&lt;&gt;"",P377=Invoice!$G$4),B377+MOD(N(F377),1)+ROW()/10000000,"")</f>
        <v/>
      </c>
      <c r="S377">
        <f>IF(R377="","",IF(D377="","Other work",D377)&amp;IF(AND(K377&lt;&gt;"",E377&lt;&gt;""),", "&amp;E377,""))</f>
        <v/>
      </c>
      <c r="T377">
        <f>IF(R377="","",IF(COUNTIFS(R$6:R376,"&gt;0",S$6:S376,S377,N$6:N376,N377)=0,R377,""))</f>
        <v/>
      </c>
      <c r="U377">
        <f>IF(B377="","",IF(J377&lt;&gt;"",0,M377))</f>
        <v/>
      </c>
    </row>
    <row r="378">
      <c r="A378" s="1" t="n"/>
      <c r="B378" s="16" t="n"/>
      <c r="C378" s="17" t="n"/>
      <c r="D378" s="18" t="n"/>
      <c r="E378" s="18" t="n"/>
      <c r="F378" s="19" t="n"/>
      <c r="G378" s="19" t="n"/>
      <c r="H378" s="20" t="n"/>
      <c r="I378" s="21" t="n"/>
      <c r="J378" s="22" t="n"/>
      <c r="K378" s="23" t="n"/>
      <c r="L378" s="18" t="n"/>
      <c r="M378" s="24">
        <f>IF(B378="","",IF(AND(F378&lt;&gt;"",G378&lt;&gt;""),MAX(0,ROUND(MOD(G378-F378,1)*24-N(H378)/60,2)),N(I378)))</f>
        <v/>
      </c>
      <c r="N378" s="14">
        <f>IF(B378="","",IF(K378&lt;&gt;"",K378,IF(N(IFERROR(INDEX(Projects!$D$6:$D$65,MATCH(D378,Projects!$B$6:$B$65,0)),""))&gt;0,IFERROR(INDEX(Projects!$D$6:$D$65,MATCH(D378,Projects!$B$6:$B$65,0)),""),IFERROR(INDEX(Clients!$G$6:$G$45,MATCH(C378,Clients!$B$6:$B$45,0)),0))))</f>
        <v/>
      </c>
      <c r="O378" s="14">
        <f>IF(B378="","",IF(J378&lt;&gt;"",0,ROUND(M378*N378,2)))</f>
        <v/>
      </c>
      <c r="P378" s="15">
        <f>IF(OR(B378="",J378&lt;&gt;""),"",IF(L378&lt;&gt;"",L378,IF(COUNTIFS(Invoices!$C$6:$C$305,C378,Invoices!$E$6:$E$305,"&lt;="&amp;B378,Invoices!$F$6:$F$305,"&gt;="&amp;B378)=1,INDEX(Invoices!$B$6:$B$305,SUMIFS(Invoices!$O$6:$O$305,Invoices!$C$6:$C$305,C378,Invoices!$E$6:$E$305,"&lt;="&amp;B378,Invoices!$F$6:$F$305,"&gt;="&amp;B378)),IF(COUNTIFS(Invoices!$C$6:$C$305,C378,Invoices!$E$6:$E$305,"&lt;="&amp;B378,Invoices!$F$6:$F$305,"&gt;="&amp;B378)&gt;1,"Two invoices",""))))</f>
        <v/>
      </c>
      <c r="Q378" s="15">
        <f>IF(B378="","",IF(J378&lt;&gt;"","Not billable",IF(P378="","To invoice",IF(P378="Two invoices","Check dates",IF(ISNA(MATCH(P378,Invoices!$B$6:$B$305,0)),"Check number",IF(INDEX(Invoices!$M$6:$M$305,MATCH(P378,Invoices!$B$6:$B$305,0))="Paid","Paid",IF(INDEX(Invoices!$M$6:$M$305,MATCH(P378,Invoices!$B$6:$B$305,0))="Draft","Draft","Invoiced")))))))</f>
        <v/>
      </c>
      <c r="R378" s="1">
        <f>IF(AND(B378&lt;&gt;"",P378&lt;&gt;"",P378=Invoice!$G$4),B378+MOD(N(F378),1)+ROW()/10000000,"")</f>
        <v/>
      </c>
      <c r="S378">
        <f>IF(R378="","",IF(D378="","Other work",D378)&amp;IF(AND(K378&lt;&gt;"",E378&lt;&gt;""),", "&amp;E378,""))</f>
        <v/>
      </c>
      <c r="T378">
        <f>IF(R378="","",IF(COUNTIFS(R$6:R377,"&gt;0",S$6:S377,S378,N$6:N377,N378)=0,R378,""))</f>
        <v/>
      </c>
      <c r="U378">
        <f>IF(B378="","",IF(J378&lt;&gt;"",0,M378))</f>
        <v/>
      </c>
    </row>
    <row r="379">
      <c r="A379" s="1" t="n"/>
      <c r="B379" s="16" t="n"/>
      <c r="C379" s="17" t="n"/>
      <c r="D379" s="18" t="n"/>
      <c r="E379" s="18" t="n"/>
      <c r="F379" s="19" t="n"/>
      <c r="G379" s="19" t="n"/>
      <c r="H379" s="20" t="n"/>
      <c r="I379" s="21" t="n"/>
      <c r="J379" s="22" t="n"/>
      <c r="K379" s="23" t="n"/>
      <c r="L379" s="18" t="n"/>
      <c r="M379" s="24">
        <f>IF(B379="","",IF(AND(F379&lt;&gt;"",G379&lt;&gt;""),MAX(0,ROUND(MOD(G379-F379,1)*24-N(H379)/60,2)),N(I379)))</f>
        <v/>
      </c>
      <c r="N379" s="14">
        <f>IF(B379="","",IF(K379&lt;&gt;"",K379,IF(N(IFERROR(INDEX(Projects!$D$6:$D$65,MATCH(D379,Projects!$B$6:$B$65,0)),""))&gt;0,IFERROR(INDEX(Projects!$D$6:$D$65,MATCH(D379,Projects!$B$6:$B$65,0)),""),IFERROR(INDEX(Clients!$G$6:$G$45,MATCH(C379,Clients!$B$6:$B$45,0)),0))))</f>
        <v/>
      </c>
      <c r="O379" s="14">
        <f>IF(B379="","",IF(J379&lt;&gt;"",0,ROUND(M379*N379,2)))</f>
        <v/>
      </c>
      <c r="P379" s="15">
        <f>IF(OR(B379="",J379&lt;&gt;""),"",IF(L379&lt;&gt;"",L379,IF(COUNTIFS(Invoices!$C$6:$C$305,C379,Invoices!$E$6:$E$305,"&lt;="&amp;B379,Invoices!$F$6:$F$305,"&gt;="&amp;B379)=1,INDEX(Invoices!$B$6:$B$305,SUMIFS(Invoices!$O$6:$O$305,Invoices!$C$6:$C$305,C379,Invoices!$E$6:$E$305,"&lt;="&amp;B379,Invoices!$F$6:$F$305,"&gt;="&amp;B379)),IF(COUNTIFS(Invoices!$C$6:$C$305,C379,Invoices!$E$6:$E$305,"&lt;="&amp;B379,Invoices!$F$6:$F$305,"&gt;="&amp;B379)&gt;1,"Two invoices",""))))</f>
        <v/>
      </c>
      <c r="Q379" s="15">
        <f>IF(B379="","",IF(J379&lt;&gt;"","Not billable",IF(P379="","To invoice",IF(P379="Two invoices","Check dates",IF(ISNA(MATCH(P379,Invoices!$B$6:$B$305,0)),"Check number",IF(INDEX(Invoices!$M$6:$M$305,MATCH(P379,Invoices!$B$6:$B$305,0))="Paid","Paid",IF(INDEX(Invoices!$M$6:$M$305,MATCH(P379,Invoices!$B$6:$B$305,0))="Draft","Draft","Invoiced")))))))</f>
        <v/>
      </c>
      <c r="R379" s="1">
        <f>IF(AND(B379&lt;&gt;"",P379&lt;&gt;"",P379=Invoice!$G$4),B379+MOD(N(F379),1)+ROW()/10000000,"")</f>
        <v/>
      </c>
      <c r="S379">
        <f>IF(R379="","",IF(D379="","Other work",D379)&amp;IF(AND(K379&lt;&gt;"",E379&lt;&gt;""),", "&amp;E379,""))</f>
        <v/>
      </c>
      <c r="T379">
        <f>IF(R379="","",IF(COUNTIFS(R$6:R378,"&gt;0",S$6:S378,S379,N$6:N378,N379)=0,R379,""))</f>
        <v/>
      </c>
      <c r="U379">
        <f>IF(B379="","",IF(J379&lt;&gt;"",0,M379))</f>
        <v/>
      </c>
    </row>
    <row r="380">
      <c r="A380" s="1" t="n"/>
      <c r="B380" s="16" t="n"/>
      <c r="C380" s="17" t="n"/>
      <c r="D380" s="18" t="n"/>
      <c r="E380" s="18" t="n"/>
      <c r="F380" s="19" t="n"/>
      <c r="G380" s="19" t="n"/>
      <c r="H380" s="20" t="n"/>
      <c r="I380" s="21" t="n"/>
      <c r="J380" s="22" t="n"/>
      <c r="K380" s="23" t="n"/>
      <c r="L380" s="18" t="n"/>
      <c r="M380" s="24">
        <f>IF(B380="","",IF(AND(F380&lt;&gt;"",G380&lt;&gt;""),MAX(0,ROUND(MOD(G380-F380,1)*24-N(H380)/60,2)),N(I380)))</f>
        <v/>
      </c>
      <c r="N380" s="14">
        <f>IF(B380="","",IF(K380&lt;&gt;"",K380,IF(N(IFERROR(INDEX(Projects!$D$6:$D$65,MATCH(D380,Projects!$B$6:$B$65,0)),""))&gt;0,IFERROR(INDEX(Projects!$D$6:$D$65,MATCH(D380,Projects!$B$6:$B$65,0)),""),IFERROR(INDEX(Clients!$G$6:$G$45,MATCH(C380,Clients!$B$6:$B$45,0)),0))))</f>
        <v/>
      </c>
      <c r="O380" s="14">
        <f>IF(B380="","",IF(J380&lt;&gt;"",0,ROUND(M380*N380,2)))</f>
        <v/>
      </c>
      <c r="P380" s="15">
        <f>IF(OR(B380="",J380&lt;&gt;""),"",IF(L380&lt;&gt;"",L380,IF(COUNTIFS(Invoices!$C$6:$C$305,C380,Invoices!$E$6:$E$305,"&lt;="&amp;B380,Invoices!$F$6:$F$305,"&gt;="&amp;B380)=1,INDEX(Invoices!$B$6:$B$305,SUMIFS(Invoices!$O$6:$O$305,Invoices!$C$6:$C$305,C380,Invoices!$E$6:$E$305,"&lt;="&amp;B380,Invoices!$F$6:$F$305,"&gt;="&amp;B380)),IF(COUNTIFS(Invoices!$C$6:$C$305,C380,Invoices!$E$6:$E$305,"&lt;="&amp;B380,Invoices!$F$6:$F$305,"&gt;="&amp;B380)&gt;1,"Two invoices",""))))</f>
        <v/>
      </c>
      <c r="Q380" s="15">
        <f>IF(B380="","",IF(J380&lt;&gt;"","Not billable",IF(P380="","To invoice",IF(P380="Two invoices","Check dates",IF(ISNA(MATCH(P380,Invoices!$B$6:$B$305,0)),"Check number",IF(INDEX(Invoices!$M$6:$M$305,MATCH(P380,Invoices!$B$6:$B$305,0))="Paid","Paid",IF(INDEX(Invoices!$M$6:$M$305,MATCH(P380,Invoices!$B$6:$B$305,0))="Draft","Draft","Invoiced")))))))</f>
        <v/>
      </c>
      <c r="R380" s="1">
        <f>IF(AND(B380&lt;&gt;"",P380&lt;&gt;"",P380=Invoice!$G$4),B380+MOD(N(F380),1)+ROW()/10000000,"")</f>
        <v/>
      </c>
      <c r="S380">
        <f>IF(R380="","",IF(D380="","Other work",D380)&amp;IF(AND(K380&lt;&gt;"",E380&lt;&gt;""),", "&amp;E380,""))</f>
        <v/>
      </c>
      <c r="T380">
        <f>IF(R380="","",IF(COUNTIFS(R$6:R379,"&gt;0",S$6:S379,S380,N$6:N379,N380)=0,R380,""))</f>
        <v/>
      </c>
      <c r="U380">
        <f>IF(B380="","",IF(J380&lt;&gt;"",0,M380))</f>
        <v/>
      </c>
    </row>
    <row r="381">
      <c r="A381" s="1" t="n"/>
      <c r="B381" s="16" t="n"/>
      <c r="C381" s="17" t="n"/>
      <c r="D381" s="18" t="n"/>
      <c r="E381" s="18" t="n"/>
      <c r="F381" s="19" t="n"/>
      <c r="G381" s="19" t="n"/>
      <c r="H381" s="20" t="n"/>
      <c r="I381" s="21" t="n"/>
      <c r="J381" s="22" t="n"/>
      <c r="K381" s="23" t="n"/>
      <c r="L381" s="18" t="n"/>
      <c r="M381" s="24">
        <f>IF(B381="","",IF(AND(F381&lt;&gt;"",G381&lt;&gt;""),MAX(0,ROUND(MOD(G381-F381,1)*24-N(H381)/60,2)),N(I381)))</f>
        <v/>
      </c>
      <c r="N381" s="14">
        <f>IF(B381="","",IF(K381&lt;&gt;"",K381,IF(N(IFERROR(INDEX(Projects!$D$6:$D$65,MATCH(D381,Projects!$B$6:$B$65,0)),""))&gt;0,IFERROR(INDEX(Projects!$D$6:$D$65,MATCH(D381,Projects!$B$6:$B$65,0)),""),IFERROR(INDEX(Clients!$G$6:$G$45,MATCH(C381,Clients!$B$6:$B$45,0)),0))))</f>
        <v/>
      </c>
      <c r="O381" s="14">
        <f>IF(B381="","",IF(J381&lt;&gt;"",0,ROUND(M381*N381,2)))</f>
        <v/>
      </c>
      <c r="P381" s="15">
        <f>IF(OR(B381="",J381&lt;&gt;""),"",IF(L381&lt;&gt;"",L381,IF(COUNTIFS(Invoices!$C$6:$C$305,C381,Invoices!$E$6:$E$305,"&lt;="&amp;B381,Invoices!$F$6:$F$305,"&gt;="&amp;B381)=1,INDEX(Invoices!$B$6:$B$305,SUMIFS(Invoices!$O$6:$O$305,Invoices!$C$6:$C$305,C381,Invoices!$E$6:$E$305,"&lt;="&amp;B381,Invoices!$F$6:$F$305,"&gt;="&amp;B381)),IF(COUNTIFS(Invoices!$C$6:$C$305,C381,Invoices!$E$6:$E$305,"&lt;="&amp;B381,Invoices!$F$6:$F$305,"&gt;="&amp;B381)&gt;1,"Two invoices",""))))</f>
        <v/>
      </c>
      <c r="Q381" s="15">
        <f>IF(B381="","",IF(J381&lt;&gt;"","Not billable",IF(P381="","To invoice",IF(P381="Two invoices","Check dates",IF(ISNA(MATCH(P381,Invoices!$B$6:$B$305,0)),"Check number",IF(INDEX(Invoices!$M$6:$M$305,MATCH(P381,Invoices!$B$6:$B$305,0))="Paid","Paid",IF(INDEX(Invoices!$M$6:$M$305,MATCH(P381,Invoices!$B$6:$B$305,0))="Draft","Draft","Invoiced")))))))</f>
        <v/>
      </c>
      <c r="R381" s="1">
        <f>IF(AND(B381&lt;&gt;"",P381&lt;&gt;"",P381=Invoice!$G$4),B381+MOD(N(F381),1)+ROW()/10000000,"")</f>
        <v/>
      </c>
      <c r="S381">
        <f>IF(R381="","",IF(D381="","Other work",D381)&amp;IF(AND(K381&lt;&gt;"",E381&lt;&gt;""),", "&amp;E381,""))</f>
        <v/>
      </c>
      <c r="T381">
        <f>IF(R381="","",IF(COUNTIFS(R$6:R380,"&gt;0",S$6:S380,S381,N$6:N380,N381)=0,R381,""))</f>
        <v/>
      </c>
      <c r="U381">
        <f>IF(B381="","",IF(J381&lt;&gt;"",0,M381))</f>
        <v/>
      </c>
    </row>
    <row r="382">
      <c r="A382" s="1" t="n"/>
      <c r="B382" s="16" t="n"/>
      <c r="C382" s="17" t="n"/>
      <c r="D382" s="18" t="n"/>
      <c r="E382" s="18" t="n"/>
      <c r="F382" s="19" t="n"/>
      <c r="G382" s="19" t="n"/>
      <c r="H382" s="20" t="n"/>
      <c r="I382" s="21" t="n"/>
      <c r="J382" s="22" t="n"/>
      <c r="K382" s="23" t="n"/>
      <c r="L382" s="18" t="n"/>
      <c r="M382" s="24">
        <f>IF(B382="","",IF(AND(F382&lt;&gt;"",G382&lt;&gt;""),MAX(0,ROUND(MOD(G382-F382,1)*24-N(H382)/60,2)),N(I382)))</f>
        <v/>
      </c>
      <c r="N382" s="14">
        <f>IF(B382="","",IF(K382&lt;&gt;"",K382,IF(N(IFERROR(INDEX(Projects!$D$6:$D$65,MATCH(D382,Projects!$B$6:$B$65,0)),""))&gt;0,IFERROR(INDEX(Projects!$D$6:$D$65,MATCH(D382,Projects!$B$6:$B$65,0)),""),IFERROR(INDEX(Clients!$G$6:$G$45,MATCH(C382,Clients!$B$6:$B$45,0)),0))))</f>
        <v/>
      </c>
      <c r="O382" s="14">
        <f>IF(B382="","",IF(J382&lt;&gt;"",0,ROUND(M382*N382,2)))</f>
        <v/>
      </c>
      <c r="P382" s="15">
        <f>IF(OR(B382="",J382&lt;&gt;""),"",IF(L382&lt;&gt;"",L382,IF(COUNTIFS(Invoices!$C$6:$C$305,C382,Invoices!$E$6:$E$305,"&lt;="&amp;B382,Invoices!$F$6:$F$305,"&gt;="&amp;B382)=1,INDEX(Invoices!$B$6:$B$305,SUMIFS(Invoices!$O$6:$O$305,Invoices!$C$6:$C$305,C382,Invoices!$E$6:$E$305,"&lt;="&amp;B382,Invoices!$F$6:$F$305,"&gt;="&amp;B382)),IF(COUNTIFS(Invoices!$C$6:$C$305,C382,Invoices!$E$6:$E$305,"&lt;="&amp;B382,Invoices!$F$6:$F$305,"&gt;="&amp;B382)&gt;1,"Two invoices",""))))</f>
        <v/>
      </c>
      <c r="Q382" s="15">
        <f>IF(B382="","",IF(J382&lt;&gt;"","Not billable",IF(P382="","To invoice",IF(P382="Two invoices","Check dates",IF(ISNA(MATCH(P382,Invoices!$B$6:$B$305,0)),"Check number",IF(INDEX(Invoices!$M$6:$M$305,MATCH(P382,Invoices!$B$6:$B$305,0))="Paid","Paid",IF(INDEX(Invoices!$M$6:$M$305,MATCH(P382,Invoices!$B$6:$B$305,0))="Draft","Draft","Invoiced")))))))</f>
        <v/>
      </c>
      <c r="R382" s="1">
        <f>IF(AND(B382&lt;&gt;"",P382&lt;&gt;"",P382=Invoice!$G$4),B382+MOD(N(F382),1)+ROW()/10000000,"")</f>
        <v/>
      </c>
      <c r="S382">
        <f>IF(R382="","",IF(D382="","Other work",D382)&amp;IF(AND(K382&lt;&gt;"",E382&lt;&gt;""),", "&amp;E382,""))</f>
        <v/>
      </c>
      <c r="T382">
        <f>IF(R382="","",IF(COUNTIFS(R$6:R381,"&gt;0",S$6:S381,S382,N$6:N381,N382)=0,R382,""))</f>
        <v/>
      </c>
      <c r="U382">
        <f>IF(B382="","",IF(J382&lt;&gt;"",0,M382))</f>
        <v/>
      </c>
    </row>
    <row r="383">
      <c r="A383" s="1" t="n"/>
      <c r="B383" s="16" t="n"/>
      <c r="C383" s="17" t="n"/>
      <c r="D383" s="18" t="n"/>
      <c r="E383" s="18" t="n"/>
      <c r="F383" s="19" t="n"/>
      <c r="G383" s="19" t="n"/>
      <c r="H383" s="20" t="n"/>
      <c r="I383" s="21" t="n"/>
      <c r="J383" s="22" t="n"/>
      <c r="K383" s="23" t="n"/>
      <c r="L383" s="18" t="n"/>
      <c r="M383" s="24">
        <f>IF(B383="","",IF(AND(F383&lt;&gt;"",G383&lt;&gt;""),MAX(0,ROUND(MOD(G383-F383,1)*24-N(H383)/60,2)),N(I383)))</f>
        <v/>
      </c>
      <c r="N383" s="14">
        <f>IF(B383="","",IF(K383&lt;&gt;"",K383,IF(N(IFERROR(INDEX(Projects!$D$6:$D$65,MATCH(D383,Projects!$B$6:$B$65,0)),""))&gt;0,IFERROR(INDEX(Projects!$D$6:$D$65,MATCH(D383,Projects!$B$6:$B$65,0)),""),IFERROR(INDEX(Clients!$G$6:$G$45,MATCH(C383,Clients!$B$6:$B$45,0)),0))))</f>
        <v/>
      </c>
      <c r="O383" s="14">
        <f>IF(B383="","",IF(J383&lt;&gt;"",0,ROUND(M383*N383,2)))</f>
        <v/>
      </c>
      <c r="P383" s="15">
        <f>IF(OR(B383="",J383&lt;&gt;""),"",IF(L383&lt;&gt;"",L383,IF(COUNTIFS(Invoices!$C$6:$C$305,C383,Invoices!$E$6:$E$305,"&lt;="&amp;B383,Invoices!$F$6:$F$305,"&gt;="&amp;B383)=1,INDEX(Invoices!$B$6:$B$305,SUMIFS(Invoices!$O$6:$O$305,Invoices!$C$6:$C$305,C383,Invoices!$E$6:$E$305,"&lt;="&amp;B383,Invoices!$F$6:$F$305,"&gt;="&amp;B383)),IF(COUNTIFS(Invoices!$C$6:$C$305,C383,Invoices!$E$6:$E$305,"&lt;="&amp;B383,Invoices!$F$6:$F$305,"&gt;="&amp;B383)&gt;1,"Two invoices",""))))</f>
        <v/>
      </c>
      <c r="Q383" s="15">
        <f>IF(B383="","",IF(J383&lt;&gt;"","Not billable",IF(P383="","To invoice",IF(P383="Two invoices","Check dates",IF(ISNA(MATCH(P383,Invoices!$B$6:$B$305,0)),"Check number",IF(INDEX(Invoices!$M$6:$M$305,MATCH(P383,Invoices!$B$6:$B$305,0))="Paid","Paid",IF(INDEX(Invoices!$M$6:$M$305,MATCH(P383,Invoices!$B$6:$B$305,0))="Draft","Draft","Invoiced")))))))</f>
        <v/>
      </c>
      <c r="R383" s="1">
        <f>IF(AND(B383&lt;&gt;"",P383&lt;&gt;"",P383=Invoice!$G$4),B383+MOD(N(F383),1)+ROW()/10000000,"")</f>
        <v/>
      </c>
      <c r="S383">
        <f>IF(R383="","",IF(D383="","Other work",D383)&amp;IF(AND(K383&lt;&gt;"",E383&lt;&gt;""),", "&amp;E383,""))</f>
        <v/>
      </c>
      <c r="T383">
        <f>IF(R383="","",IF(COUNTIFS(R$6:R382,"&gt;0",S$6:S382,S383,N$6:N382,N383)=0,R383,""))</f>
        <v/>
      </c>
      <c r="U383">
        <f>IF(B383="","",IF(J383&lt;&gt;"",0,M383))</f>
        <v/>
      </c>
    </row>
    <row r="384">
      <c r="A384" s="1" t="n"/>
      <c r="B384" s="16" t="n"/>
      <c r="C384" s="17" t="n"/>
      <c r="D384" s="18" t="n"/>
      <c r="E384" s="18" t="n"/>
      <c r="F384" s="19" t="n"/>
      <c r="G384" s="19" t="n"/>
      <c r="H384" s="20" t="n"/>
      <c r="I384" s="21" t="n"/>
      <c r="J384" s="22" t="n"/>
      <c r="K384" s="23" t="n"/>
      <c r="L384" s="18" t="n"/>
      <c r="M384" s="24">
        <f>IF(B384="","",IF(AND(F384&lt;&gt;"",G384&lt;&gt;""),MAX(0,ROUND(MOD(G384-F384,1)*24-N(H384)/60,2)),N(I384)))</f>
        <v/>
      </c>
      <c r="N384" s="14">
        <f>IF(B384="","",IF(K384&lt;&gt;"",K384,IF(N(IFERROR(INDEX(Projects!$D$6:$D$65,MATCH(D384,Projects!$B$6:$B$65,0)),""))&gt;0,IFERROR(INDEX(Projects!$D$6:$D$65,MATCH(D384,Projects!$B$6:$B$65,0)),""),IFERROR(INDEX(Clients!$G$6:$G$45,MATCH(C384,Clients!$B$6:$B$45,0)),0))))</f>
        <v/>
      </c>
      <c r="O384" s="14">
        <f>IF(B384="","",IF(J384&lt;&gt;"",0,ROUND(M384*N384,2)))</f>
        <v/>
      </c>
      <c r="P384" s="15">
        <f>IF(OR(B384="",J384&lt;&gt;""),"",IF(L384&lt;&gt;"",L384,IF(COUNTIFS(Invoices!$C$6:$C$305,C384,Invoices!$E$6:$E$305,"&lt;="&amp;B384,Invoices!$F$6:$F$305,"&gt;="&amp;B384)=1,INDEX(Invoices!$B$6:$B$305,SUMIFS(Invoices!$O$6:$O$305,Invoices!$C$6:$C$305,C384,Invoices!$E$6:$E$305,"&lt;="&amp;B384,Invoices!$F$6:$F$305,"&gt;="&amp;B384)),IF(COUNTIFS(Invoices!$C$6:$C$305,C384,Invoices!$E$6:$E$305,"&lt;="&amp;B384,Invoices!$F$6:$F$305,"&gt;="&amp;B384)&gt;1,"Two invoices",""))))</f>
        <v/>
      </c>
      <c r="Q384" s="15">
        <f>IF(B384="","",IF(J384&lt;&gt;"","Not billable",IF(P384="","To invoice",IF(P384="Two invoices","Check dates",IF(ISNA(MATCH(P384,Invoices!$B$6:$B$305,0)),"Check number",IF(INDEX(Invoices!$M$6:$M$305,MATCH(P384,Invoices!$B$6:$B$305,0))="Paid","Paid",IF(INDEX(Invoices!$M$6:$M$305,MATCH(P384,Invoices!$B$6:$B$305,0))="Draft","Draft","Invoiced")))))))</f>
        <v/>
      </c>
      <c r="R384" s="1">
        <f>IF(AND(B384&lt;&gt;"",P384&lt;&gt;"",P384=Invoice!$G$4),B384+MOD(N(F384),1)+ROW()/10000000,"")</f>
        <v/>
      </c>
      <c r="S384">
        <f>IF(R384="","",IF(D384="","Other work",D384)&amp;IF(AND(K384&lt;&gt;"",E384&lt;&gt;""),", "&amp;E384,""))</f>
        <v/>
      </c>
      <c r="T384">
        <f>IF(R384="","",IF(COUNTIFS(R$6:R383,"&gt;0",S$6:S383,S384,N$6:N383,N384)=0,R384,""))</f>
        <v/>
      </c>
      <c r="U384">
        <f>IF(B384="","",IF(J384&lt;&gt;"",0,M384))</f>
        <v/>
      </c>
    </row>
    <row r="385">
      <c r="A385" s="1" t="n"/>
      <c r="B385" s="16" t="n"/>
      <c r="C385" s="17" t="n"/>
      <c r="D385" s="18" t="n"/>
      <c r="E385" s="18" t="n"/>
      <c r="F385" s="19" t="n"/>
      <c r="G385" s="19" t="n"/>
      <c r="H385" s="20" t="n"/>
      <c r="I385" s="21" t="n"/>
      <c r="J385" s="22" t="n"/>
      <c r="K385" s="23" t="n"/>
      <c r="L385" s="18" t="n"/>
      <c r="M385" s="24">
        <f>IF(B385="","",IF(AND(F385&lt;&gt;"",G385&lt;&gt;""),MAX(0,ROUND(MOD(G385-F385,1)*24-N(H385)/60,2)),N(I385)))</f>
        <v/>
      </c>
      <c r="N385" s="14">
        <f>IF(B385="","",IF(K385&lt;&gt;"",K385,IF(N(IFERROR(INDEX(Projects!$D$6:$D$65,MATCH(D385,Projects!$B$6:$B$65,0)),""))&gt;0,IFERROR(INDEX(Projects!$D$6:$D$65,MATCH(D385,Projects!$B$6:$B$65,0)),""),IFERROR(INDEX(Clients!$G$6:$G$45,MATCH(C385,Clients!$B$6:$B$45,0)),0))))</f>
        <v/>
      </c>
      <c r="O385" s="14">
        <f>IF(B385="","",IF(J385&lt;&gt;"",0,ROUND(M385*N385,2)))</f>
        <v/>
      </c>
      <c r="P385" s="15">
        <f>IF(OR(B385="",J385&lt;&gt;""),"",IF(L385&lt;&gt;"",L385,IF(COUNTIFS(Invoices!$C$6:$C$305,C385,Invoices!$E$6:$E$305,"&lt;="&amp;B385,Invoices!$F$6:$F$305,"&gt;="&amp;B385)=1,INDEX(Invoices!$B$6:$B$305,SUMIFS(Invoices!$O$6:$O$305,Invoices!$C$6:$C$305,C385,Invoices!$E$6:$E$305,"&lt;="&amp;B385,Invoices!$F$6:$F$305,"&gt;="&amp;B385)),IF(COUNTIFS(Invoices!$C$6:$C$305,C385,Invoices!$E$6:$E$305,"&lt;="&amp;B385,Invoices!$F$6:$F$305,"&gt;="&amp;B385)&gt;1,"Two invoices",""))))</f>
        <v/>
      </c>
      <c r="Q385" s="15">
        <f>IF(B385="","",IF(J385&lt;&gt;"","Not billable",IF(P385="","To invoice",IF(P385="Two invoices","Check dates",IF(ISNA(MATCH(P385,Invoices!$B$6:$B$305,0)),"Check number",IF(INDEX(Invoices!$M$6:$M$305,MATCH(P385,Invoices!$B$6:$B$305,0))="Paid","Paid",IF(INDEX(Invoices!$M$6:$M$305,MATCH(P385,Invoices!$B$6:$B$305,0))="Draft","Draft","Invoiced")))))))</f>
        <v/>
      </c>
      <c r="R385" s="1">
        <f>IF(AND(B385&lt;&gt;"",P385&lt;&gt;"",P385=Invoice!$G$4),B385+MOD(N(F385),1)+ROW()/10000000,"")</f>
        <v/>
      </c>
      <c r="S385">
        <f>IF(R385="","",IF(D385="","Other work",D385)&amp;IF(AND(K385&lt;&gt;"",E385&lt;&gt;""),", "&amp;E385,""))</f>
        <v/>
      </c>
      <c r="T385">
        <f>IF(R385="","",IF(COUNTIFS(R$6:R384,"&gt;0",S$6:S384,S385,N$6:N384,N385)=0,R385,""))</f>
        <v/>
      </c>
      <c r="U385">
        <f>IF(B385="","",IF(J385&lt;&gt;"",0,M385))</f>
        <v/>
      </c>
    </row>
    <row r="386">
      <c r="A386" s="1" t="n"/>
      <c r="B386" s="16" t="n"/>
      <c r="C386" s="17" t="n"/>
      <c r="D386" s="18" t="n"/>
      <c r="E386" s="18" t="n"/>
      <c r="F386" s="19" t="n"/>
      <c r="G386" s="19" t="n"/>
      <c r="H386" s="20" t="n"/>
      <c r="I386" s="21" t="n"/>
      <c r="J386" s="22" t="n"/>
      <c r="K386" s="23" t="n"/>
      <c r="L386" s="18" t="n"/>
      <c r="M386" s="24">
        <f>IF(B386="","",IF(AND(F386&lt;&gt;"",G386&lt;&gt;""),MAX(0,ROUND(MOD(G386-F386,1)*24-N(H386)/60,2)),N(I386)))</f>
        <v/>
      </c>
      <c r="N386" s="14">
        <f>IF(B386="","",IF(K386&lt;&gt;"",K386,IF(N(IFERROR(INDEX(Projects!$D$6:$D$65,MATCH(D386,Projects!$B$6:$B$65,0)),""))&gt;0,IFERROR(INDEX(Projects!$D$6:$D$65,MATCH(D386,Projects!$B$6:$B$65,0)),""),IFERROR(INDEX(Clients!$G$6:$G$45,MATCH(C386,Clients!$B$6:$B$45,0)),0))))</f>
        <v/>
      </c>
      <c r="O386" s="14">
        <f>IF(B386="","",IF(J386&lt;&gt;"",0,ROUND(M386*N386,2)))</f>
        <v/>
      </c>
      <c r="P386" s="15">
        <f>IF(OR(B386="",J386&lt;&gt;""),"",IF(L386&lt;&gt;"",L386,IF(COUNTIFS(Invoices!$C$6:$C$305,C386,Invoices!$E$6:$E$305,"&lt;="&amp;B386,Invoices!$F$6:$F$305,"&gt;="&amp;B386)=1,INDEX(Invoices!$B$6:$B$305,SUMIFS(Invoices!$O$6:$O$305,Invoices!$C$6:$C$305,C386,Invoices!$E$6:$E$305,"&lt;="&amp;B386,Invoices!$F$6:$F$305,"&gt;="&amp;B386)),IF(COUNTIFS(Invoices!$C$6:$C$305,C386,Invoices!$E$6:$E$305,"&lt;="&amp;B386,Invoices!$F$6:$F$305,"&gt;="&amp;B386)&gt;1,"Two invoices",""))))</f>
        <v/>
      </c>
      <c r="Q386" s="15">
        <f>IF(B386="","",IF(J386&lt;&gt;"","Not billable",IF(P386="","To invoice",IF(P386="Two invoices","Check dates",IF(ISNA(MATCH(P386,Invoices!$B$6:$B$305,0)),"Check number",IF(INDEX(Invoices!$M$6:$M$305,MATCH(P386,Invoices!$B$6:$B$305,0))="Paid","Paid",IF(INDEX(Invoices!$M$6:$M$305,MATCH(P386,Invoices!$B$6:$B$305,0))="Draft","Draft","Invoiced")))))))</f>
        <v/>
      </c>
      <c r="R386" s="1">
        <f>IF(AND(B386&lt;&gt;"",P386&lt;&gt;"",P386=Invoice!$G$4),B386+MOD(N(F386),1)+ROW()/10000000,"")</f>
        <v/>
      </c>
      <c r="S386">
        <f>IF(R386="","",IF(D386="","Other work",D386)&amp;IF(AND(K386&lt;&gt;"",E386&lt;&gt;""),", "&amp;E386,""))</f>
        <v/>
      </c>
      <c r="T386">
        <f>IF(R386="","",IF(COUNTIFS(R$6:R385,"&gt;0",S$6:S385,S386,N$6:N385,N386)=0,R386,""))</f>
        <v/>
      </c>
      <c r="U386">
        <f>IF(B386="","",IF(J386&lt;&gt;"",0,M386))</f>
        <v/>
      </c>
    </row>
    <row r="387">
      <c r="A387" s="1" t="n"/>
      <c r="B387" s="16" t="n"/>
      <c r="C387" s="17" t="n"/>
      <c r="D387" s="18" t="n"/>
      <c r="E387" s="18" t="n"/>
      <c r="F387" s="19" t="n"/>
      <c r="G387" s="19" t="n"/>
      <c r="H387" s="20" t="n"/>
      <c r="I387" s="21" t="n"/>
      <c r="J387" s="22" t="n"/>
      <c r="K387" s="23" t="n"/>
      <c r="L387" s="18" t="n"/>
      <c r="M387" s="24">
        <f>IF(B387="","",IF(AND(F387&lt;&gt;"",G387&lt;&gt;""),MAX(0,ROUND(MOD(G387-F387,1)*24-N(H387)/60,2)),N(I387)))</f>
        <v/>
      </c>
      <c r="N387" s="14">
        <f>IF(B387="","",IF(K387&lt;&gt;"",K387,IF(N(IFERROR(INDEX(Projects!$D$6:$D$65,MATCH(D387,Projects!$B$6:$B$65,0)),""))&gt;0,IFERROR(INDEX(Projects!$D$6:$D$65,MATCH(D387,Projects!$B$6:$B$65,0)),""),IFERROR(INDEX(Clients!$G$6:$G$45,MATCH(C387,Clients!$B$6:$B$45,0)),0))))</f>
        <v/>
      </c>
      <c r="O387" s="14">
        <f>IF(B387="","",IF(J387&lt;&gt;"",0,ROUND(M387*N387,2)))</f>
        <v/>
      </c>
      <c r="P387" s="15">
        <f>IF(OR(B387="",J387&lt;&gt;""),"",IF(L387&lt;&gt;"",L387,IF(COUNTIFS(Invoices!$C$6:$C$305,C387,Invoices!$E$6:$E$305,"&lt;="&amp;B387,Invoices!$F$6:$F$305,"&gt;="&amp;B387)=1,INDEX(Invoices!$B$6:$B$305,SUMIFS(Invoices!$O$6:$O$305,Invoices!$C$6:$C$305,C387,Invoices!$E$6:$E$305,"&lt;="&amp;B387,Invoices!$F$6:$F$305,"&gt;="&amp;B387)),IF(COUNTIFS(Invoices!$C$6:$C$305,C387,Invoices!$E$6:$E$305,"&lt;="&amp;B387,Invoices!$F$6:$F$305,"&gt;="&amp;B387)&gt;1,"Two invoices",""))))</f>
        <v/>
      </c>
      <c r="Q387" s="15">
        <f>IF(B387="","",IF(J387&lt;&gt;"","Not billable",IF(P387="","To invoice",IF(P387="Two invoices","Check dates",IF(ISNA(MATCH(P387,Invoices!$B$6:$B$305,0)),"Check number",IF(INDEX(Invoices!$M$6:$M$305,MATCH(P387,Invoices!$B$6:$B$305,0))="Paid","Paid",IF(INDEX(Invoices!$M$6:$M$305,MATCH(P387,Invoices!$B$6:$B$305,0))="Draft","Draft","Invoiced")))))))</f>
        <v/>
      </c>
      <c r="R387" s="1">
        <f>IF(AND(B387&lt;&gt;"",P387&lt;&gt;"",P387=Invoice!$G$4),B387+MOD(N(F387),1)+ROW()/10000000,"")</f>
        <v/>
      </c>
      <c r="S387">
        <f>IF(R387="","",IF(D387="","Other work",D387)&amp;IF(AND(K387&lt;&gt;"",E387&lt;&gt;""),", "&amp;E387,""))</f>
        <v/>
      </c>
      <c r="T387">
        <f>IF(R387="","",IF(COUNTIFS(R$6:R386,"&gt;0",S$6:S386,S387,N$6:N386,N387)=0,R387,""))</f>
        <v/>
      </c>
      <c r="U387">
        <f>IF(B387="","",IF(J387&lt;&gt;"",0,M387))</f>
        <v/>
      </c>
    </row>
    <row r="388">
      <c r="A388" s="1" t="n"/>
      <c r="B388" s="16" t="n"/>
      <c r="C388" s="17" t="n"/>
      <c r="D388" s="18" t="n"/>
      <c r="E388" s="18" t="n"/>
      <c r="F388" s="19" t="n"/>
      <c r="G388" s="19" t="n"/>
      <c r="H388" s="20" t="n"/>
      <c r="I388" s="21" t="n"/>
      <c r="J388" s="22" t="n"/>
      <c r="K388" s="23" t="n"/>
      <c r="L388" s="18" t="n"/>
      <c r="M388" s="24">
        <f>IF(B388="","",IF(AND(F388&lt;&gt;"",G388&lt;&gt;""),MAX(0,ROUND(MOD(G388-F388,1)*24-N(H388)/60,2)),N(I388)))</f>
        <v/>
      </c>
      <c r="N388" s="14">
        <f>IF(B388="","",IF(K388&lt;&gt;"",K388,IF(N(IFERROR(INDEX(Projects!$D$6:$D$65,MATCH(D388,Projects!$B$6:$B$65,0)),""))&gt;0,IFERROR(INDEX(Projects!$D$6:$D$65,MATCH(D388,Projects!$B$6:$B$65,0)),""),IFERROR(INDEX(Clients!$G$6:$G$45,MATCH(C388,Clients!$B$6:$B$45,0)),0))))</f>
        <v/>
      </c>
      <c r="O388" s="14">
        <f>IF(B388="","",IF(J388&lt;&gt;"",0,ROUND(M388*N388,2)))</f>
        <v/>
      </c>
      <c r="P388" s="15">
        <f>IF(OR(B388="",J388&lt;&gt;""),"",IF(L388&lt;&gt;"",L388,IF(COUNTIFS(Invoices!$C$6:$C$305,C388,Invoices!$E$6:$E$305,"&lt;="&amp;B388,Invoices!$F$6:$F$305,"&gt;="&amp;B388)=1,INDEX(Invoices!$B$6:$B$305,SUMIFS(Invoices!$O$6:$O$305,Invoices!$C$6:$C$305,C388,Invoices!$E$6:$E$305,"&lt;="&amp;B388,Invoices!$F$6:$F$305,"&gt;="&amp;B388)),IF(COUNTIFS(Invoices!$C$6:$C$305,C388,Invoices!$E$6:$E$305,"&lt;="&amp;B388,Invoices!$F$6:$F$305,"&gt;="&amp;B388)&gt;1,"Two invoices",""))))</f>
        <v/>
      </c>
      <c r="Q388" s="15">
        <f>IF(B388="","",IF(J388&lt;&gt;"","Not billable",IF(P388="","To invoice",IF(P388="Two invoices","Check dates",IF(ISNA(MATCH(P388,Invoices!$B$6:$B$305,0)),"Check number",IF(INDEX(Invoices!$M$6:$M$305,MATCH(P388,Invoices!$B$6:$B$305,0))="Paid","Paid",IF(INDEX(Invoices!$M$6:$M$305,MATCH(P388,Invoices!$B$6:$B$305,0))="Draft","Draft","Invoiced")))))))</f>
        <v/>
      </c>
      <c r="R388" s="1">
        <f>IF(AND(B388&lt;&gt;"",P388&lt;&gt;"",P388=Invoice!$G$4),B388+MOD(N(F388),1)+ROW()/10000000,"")</f>
        <v/>
      </c>
      <c r="S388">
        <f>IF(R388="","",IF(D388="","Other work",D388)&amp;IF(AND(K388&lt;&gt;"",E388&lt;&gt;""),", "&amp;E388,""))</f>
        <v/>
      </c>
      <c r="T388">
        <f>IF(R388="","",IF(COUNTIFS(R$6:R387,"&gt;0",S$6:S387,S388,N$6:N387,N388)=0,R388,""))</f>
        <v/>
      </c>
      <c r="U388">
        <f>IF(B388="","",IF(J388&lt;&gt;"",0,M388))</f>
        <v/>
      </c>
    </row>
    <row r="389">
      <c r="A389" s="1" t="n"/>
      <c r="B389" s="16" t="n"/>
      <c r="C389" s="17" t="n"/>
      <c r="D389" s="18" t="n"/>
      <c r="E389" s="18" t="n"/>
      <c r="F389" s="19" t="n"/>
      <c r="G389" s="19" t="n"/>
      <c r="H389" s="20" t="n"/>
      <c r="I389" s="21" t="n"/>
      <c r="J389" s="22" t="n"/>
      <c r="K389" s="23" t="n"/>
      <c r="L389" s="18" t="n"/>
      <c r="M389" s="24">
        <f>IF(B389="","",IF(AND(F389&lt;&gt;"",G389&lt;&gt;""),MAX(0,ROUND(MOD(G389-F389,1)*24-N(H389)/60,2)),N(I389)))</f>
        <v/>
      </c>
      <c r="N389" s="14">
        <f>IF(B389="","",IF(K389&lt;&gt;"",K389,IF(N(IFERROR(INDEX(Projects!$D$6:$D$65,MATCH(D389,Projects!$B$6:$B$65,0)),""))&gt;0,IFERROR(INDEX(Projects!$D$6:$D$65,MATCH(D389,Projects!$B$6:$B$65,0)),""),IFERROR(INDEX(Clients!$G$6:$G$45,MATCH(C389,Clients!$B$6:$B$45,0)),0))))</f>
        <v/>
      </c>
      <c r="O389" s="14">
        <f>IF(B389="","",IF(J389&lt;&gt;"",0,ROUND(M389*N389,2)))</f>
        <v/>
      </c>
      <c r="P389" s="15">
        <f>IF(OR(B389="",J389&lt;&gt;""),"",IF(L389&lt;&gt;"",L389,IF(COUNTIFS(Invoices!$C$6:$C$305,C389,Invoices!$E$6:$E$305,"&lt;="&amp;B389,Invoices!$F$6:$F$305,"&gt;="&amp;B389)=1,INDEX(Invoices!$B$6:$B$305,SUMIFS(Invoices!$O$6:$O$305,Invoices!$C$6:$C$305,C389,Invoices!$E$6:$E$305,"&lt;="&amp;B389,Invoices!$F$6:$F$305,"&gt;="&amp;B389)),IF(COUNTIFS(Invoices!$C$6:$C$305,C389,Invoices!$E$6:$E$305,"&lt;="&amp;B389,Invoices!$F$6:$F$305,"&gt;="&amp;B389)&gt;1,"Two invoices",""))))</f>
        <v/>
      </c>
      <c r="Q389" s="15">
        <f>IF(B389="","",IF(J389&lt;&gt;"","Not billable",IF(P389="","To invoice",IF(P389="Two invoices","Check dates",IF(ISNA(MATCH(P389,Invoices!$B$6:$B$305,0)),"Check number",IF(INDEX(Invoices!$M$6:$M$305,MATCH(P389,Invoices!$B$6:$B$305,0))="Paid","Paid",IF(INDEX(Invoices!$M$6:$M$305,MATCH(P389,Invoices!$B$6:$B$305,0))="Draft","Draft","Invoiced")))))))</f>
        <v/>
      </c>
      <c r="R389" s="1">
        <f>IF(AND(B389&lt;&gt;"",P389&lt;&gt;"",P389=Invoice!$G$4),B389+MOD(N(F389),1)+ROW()/10000000,"")</f>
        <v/>
      </c>
      <c r="S389">
        <f>IF(R389="","",IF(D389="","Other work",D389)&amp;IF(AND(K389&lt;&gt;"",E389&lt;&gt;""),", "&amp;E389,""))</f>
        <v/>
      </c>
      <c r="T389">
        <f>IF(R389="","",IF(COUNTIFS(R$6:R388,"&gt;0",S$6:S388,S389,N$6:N388,N389)=0,R389,""))</f>
        <v/>
      </c>
      <c r="U389">
        <f>IF(B389="","",IF(J389&lt;&gt;"",0,M389))</f>
        <v/>
      </c>
    </row>
    <row r="390">
      <c r="A390" s="1" t="n"/>
      <c r="B390" s="16" t="n"/>
      <c r="C390" s="17" t="n"/>
      <c r="D390" s="18" t="n"/>
      <c r="E390" s="18" t="n"/>
      <c r="F390" s="19" t="n"/>
      <c r="G390" s="19" t="n"/>
      <c r="H390" s="20" t="n"/>
      <c r="I390" s="21" t="n"/>
      <c r="J390" s="22" t="n"/>
      <c r="K390" s="23" t="n"/>
      <c r="L390" s="18" t="n"/>
      <c r="M390" s="24">
        <f>IF(B390="","",IF(AND(F390&lt;&gt;"",G390&lt;&gt;""),MAX(0,ROUND(MOD(G390-F390,1)*24-N(H390)/60,2)),N(I390)))</f>
        <v/>
      </c>
      <c r="N390" s="14">
        <f>IF(B390="","",IF(K390&lt;&gt;"",K390,IF(N(IFERROR(INDEX(Projects!$D$6:$D$65,MATCH(D390,Projects!$B$6:$B$65,0)),""))&gt;0,IFERROR(INDEX(Projects!$D$6:$D$65,MATCH(D390,Projects!$B$6:$B$65,0)),""),IFERROR(INDEX(Clients!$G$6:$G$45,MATCH(C390,Clients!$B$6:$B$45,0)),0))))</f>
        <v/>
      </c>
      <c r="O390" s="14">
        <f>IF(B390="","",IF(J390&lt;&gt;"",0,ROUND(M390*N390,2)))</f>
        <v/>
      </c>
      <c r="P390" s="15">
        <f>IF(OR(B390="",J390&lt;&gt;""),"",IF(L390&lt;&gt;"",L390,IF(COUNTIFS(Invoices!$C$6:$C$305,C390,Invoices!$E$6:$E$305,"&lt;="&amp;B390,Invoices!$F$6:$F$305,"&gt;="&amp;B390)=1,INDEX(Invoices!$B$6:$B$305,SUMIFS(Invoices!$O$6:$O$305,Invoices!$C$6:$C$305,C390,Invoices!$E$6:$E$305,"&lt;="&amp;B390,Invoices!$F$6:$F$305,"&gt;="&amp;B390)),IF(COUNTIFS(Invoices!$C$6:$C$305,C390,Invoices!$E$6:$E$305,"&lt;="&amp;B390,Invoices!$F$6:$F$305,"&gt;="&amp;B390)&gt;1,"Two invoices",""))))</f>
        <v/>
      </c>
      <c r="Q390" s="15">
        <f>IF(B390="","",IF(J390&lt;&gt;"","Not billable",IF(P390="","To invoice",IF(P390="Two invoices","Check dates",IF(ISNA(MATCH(P390,Invoices!$B$6:$B$305,0)),"Check number",IF(INDEX(Invoices!$M$6:$M$305,MATCH(P390,Invoices!$B$6:$B$305,0))="Paid","Paid",IF(INDEX(Invoices!$M$6:$M$305,MATCH(P390,Invoices!$B$6:$B$305,0))="Draft","Draft","Invoiced")))))))</f>
        <v/>
      </c>
      <c r="R390" s="1">
        <f>IF(AND(B390&lt;&gt;"",P390&lt;&gt;"",P390=Invoice!$G$4),B390+MOD(N(F390),1)+ROW()/10000000,"")</f>
        <v/>
      </c>
      <c r="S390">
        <f>IF(R390="","",IF(D390="","Other work",D390)&amp;IF(AND(K390&lt;&gt;"",E390&lt;&gt;""),", "&amp;E390,""))</f>
        <v/>
      </c>
      <c r="T390">
        <f>IF(R390="","",IF(COUNTIFS(R$6:R389,"&gt;0",S$6:S389,S390,N$6:N389,N390)=0,R390,""))</f>
        <v/>
      </c>
      <c r="U390">
        <f>IF(B390="","",IF(J390&lt;&gt;"",0,M390))</f>
        <v/>
      </c>
    </row>
    <row r="391">
      <c r="A391" s="1" t="n"/>
      <c r="B391" s="16" t="n"/>
      <c r="C391" s="17" t="n"/>
      <c r="D391" s="18" t="n"/>
      <c r="E391" s="18" t="n"/>
      <c r="F391" s="19" t="n"/>
      <c r="G391" s="19" t="n"/>
      <c r="H391" s="20" t="n"/>
      <c r="I391" s="21" t="n"/>
      <c r="J391" s="22" t="n"/>
      <c r="K391" s="23" t="n"/>
      <c r="L391" s="18" t="n"/>
      <c r="M391" s="24">
        <f>IF(B391="","",IF(AND(F391&lt;&gt;"",G391&lt;&gt;""),MAX(0,ROUND(MOD(G391-F391,1)*24-N(H391)/60,2)),N(I391)))</f>
        <v/>
      </c>
      <c r="N391" s="14">
        <f>IF(B391="","",IF(K391&lt;&gt;"",K391,IF(N(IFERROR(INDEX(Projects!$D$6:$D$65,MATCH(D391,Projects!$B$6:$B$65,0)),""))&gt;0,IFERROR(INDEX(Projects!$D$6:$D$65,MATCH(D391,Projects!$B$6:$B$65,0)),""),IFERROR(INDEX(Clients!$G$6:$G$45,MATCH(C391,Clients!$B$6:$B$45,0)),0))))</f>
        <v/>
      </c>
      <c r="O391" s="14">
        <f>IF(B391="","",IF(J391&lt;&gt;"",0,ROUND(M391*N391,2)))</f>
        <v/>
      </c>
      <c r="P391" s="15">
        <f>IF(OR(B391="",J391&lt;&gt;""),"",IF(L391&lt;&gt;"",L391,IF(COUNTIFS(Invoices!$C$6:$C$305,C391,Invoices!$E$6:$E$305,"&lt;="&amp;B391,Invoices!$F$6:$F$305,"&gt;="&amp;B391)=1,INDEX(Invoices!$B$6:$B$305,SUMIFS(Invoices!$O$6:$O$305,Invoices!$C$6:$C$305,C391,Invoices!$E$6:$E$305,"&lt;="&amp;B391,Invoices!$F$6:$F$305,"&gt;="&amp;B391)),IF(COUNTIFS(Invoices!$C$6:$C$305,C391,Invoices!$E$6:$E$305,"&lt;="&amp;B391,Invoices!$F$6:$F$305,"&gt;="&amp;B391)&gt;1,"Two invoices",""))))</f>
        <v/>
      </c>
      <c r="Q391" s="15">
        <f>IF(B391="","",IF(J391&lt;&gt;"","Not billable",IF(P391="","To invoice",IF(P391="Two invoices","Check dates",IF(ISNA(MATCH(P391,Invoices!$B$6:$B$305,0)),"Check number",IF(INDEX(Invoices!$M$6:$M$305,MATCH(P391,Invoices!$B$6:$B$305,0))="Paid","Paid",IF(INDEX(Invoices!$M$6:$M$305,MATCH(P391,Invoices!$B$6:$B$305,0))="Draft","Draft","Invoiced")))))))</f>
        <v/>
      </c>
      <c r="R391" s="1">
        <f>IF(AND(B391&lt;&gt;"",P391&lt;&gt;"",P391=Invoice!$G$4),B391+MOD(N(F391),1)+ROW()/10000000,"")</f>
        <v/>
      </c>
      <c r="S391">
        <f>IF(R391="","",IF(D391="","Other work",D391)&amp;IF(AND(K391&lt;&gt;"",E391&lt;&gt;""),", "&amp;E391,""))</f>
        <v/>
      </c>
      <c r="T391">
        <f>IF(R391="","",IF(COUNTIFS(R$6:R390,"&gt;0",S$6:S390,S391,N$6:N390,N391)=0,R391,""))</f>
        <v/>
      </c>
      <c r="U391">
        <f>IF(B391="","",IF(J391&lt;&gt;"",0,M391))</f>
        <v/>
      </c>
    </row>
    <row r="392">
      <c r="A392" s="1" t="n"/>
      <c r="B392" s="16" t="n"/>
      <c r="C392" s="17" t="n"/>
      <c r="D392" s="18" t="n"/>
      <c r="E392" s="18" t="n"/>
      <c r="F392" s="19" t="n"/>
      <c r="G392" s="19" t="n"/>
      <c r="H392" s="20" t="n"/>
      <c r="I392" s="21" t="n"/>
      <c r="J392" s="22" t="n"/>
      <c r="K392" s="23" t="n"/>
      <c r="L392" s="18" t="n"/>
      <c r="M392" s="24">
        <f>IF(B392="","",IF(AND(F392&lt;&gt;"",G392&lt;&gt;""),MAX(0,ROUND(MOD(G392-F392,1)*24-N(H392)/60,2)),N(I392)))</f>
        <v/>
      </c>
      <c r="N392" s="14">
        <f>IF(B392="","",IF(K392&lt;&gt;"",K392,IF(N(IFERROR(INDEX(Projects!$D$6:$D$65,MATCH(D392,Projects!$B$6:$B$65,0)),""))&gt;0,IFERROR(INDEX(Projects!$D$6:$D$65,MATCH(D392,Projects!$B$6:$B$65,0)),""),IFERROR(INDEX(Clients!$G$6:$G$45,MATCH(C392,Clients!$B$6:$B$45,0)),0))))</f>
        <v/>
      </c>
      <c r="O392" s="14">
        <f>IF(B392="","",IF(J392&lt;&gt;"",0,ROUND(M392*N392,2)))</f>
        <v/>
      </c>
      <c r="P392" s="15">
        <f>IF(OR(B392="",J392&lt;&gt;""),"",IF(L392&lt;&gt;"",L392,IF(COUNTIFS(Invoices!$C$6:$C$305,C392,Invoices!$E$6:$E$305,"&lt;="&amp;B392,Invoices!$F$6:$F$305,"&gt;="&amp;B392)=1,INDEX(Invoices!$B$6:$B$305,SUMIFS(Invoices!$O$6:$O$305,Invoices!$C$6:$C$305,C392,Invoices!$E$6:$E$305,"&lt;="&amp;B392,Invoices!$F$6:$F$305,"&gt;="&amp;B392)),IF(COUNTIFS(Invoices!$C$6:$C$305,C392,Invoices!$E$6:$E$305,"&lt;="&amp;B392,Invoices!$F$6:$F$305,"&gt;="&amp;B392)&gt;1,"Two invoices",""))))</f>
        <v/>
      </c>
      <c r="Q392" s="15">
        <f>IF(B392="","",IF(J392&lt;&gt;"","Not billable",IF(P392="","To invoice",IF(P392="Two invoices","Check dates",IF(ISNA(MATCH(P392,Invoices!$B$6:$B$305,0)),"Check number",IF(INDEX(Invoices!$M$6:$M$305,MATCH(P392,Invoices!$B$6:$B$305,0))="Paid","Paid",IF(INDEX(Invoices!$M$6:$M$305,MATCH(P392,Invoices!$B$6:$B$305,0))="Draft","Draft","Invoiced")))))))</f>
        <v/>
      </c>
      <c r="R392" s="1">
        <f>IF(AND(B392&lt;&gt;"",P392&lt;&gt;"",P392=Invoice!$G$4),B392+MOD(N(F392),1)+ROW()/10000000,"")</f>
        <v/>
      </c>
      <c r="S392">
        <f>IF(R392="","",IF(D392="","Other work",D392)&amp;IF(AND(K392&lt;&gt;"",E392&lt;&gt;""),", "&amp;E392,""))</f>
        <v/>
      </c>
      <c r="T392">
        <f>IF(R392="","",IF(COUNTIFS(R$6:R391,"&gt;0",S$6:S391,S392,N$6:N391,N392)=0,R392,""))</f>
        <v/>
      </c>
      <c r="U392">
        <f>IF(B392="","",IF(J392&lt;&gt;"",0,M392))</f>
        <v/>
      </c>
    </row>
    <row r="393">
      <c r="A393" s="1" t="n"/>
      <c r="B393" s="16" t="n"/>
      <c r="C393" s="17" t="n"/>
      <c r="D393" s="18" t="n"/>
      <c r="E393" s="18" t="n"/>
      <c r="F393" s="19" t="n"/>
      <c r="G393" s="19" t="n"/>
      <c r="H393" s="20" t="n"/>
      <c r="I393" s="21" t="n"/>
      <c r="J393" s="22" t="n"/>
      <c r="K393" s="23" t="n"/>
      <c r="L393" s="18" t="n"/>
      <c r="M393" s="24">
        <f>IF(B393="","",IF(AND(F393&lt;&gt;"",G393&lt;&gt;""),MAX(0,ROUND(MOD(G393-F393,1)*24-N(H393)/60,2)),N(I393)))</f>
        <v/>
      </c>
      <c r="N393" s="14">
        <f>IF(B393="","",IF(K393&lt;&gt;"",K393,IF(N(IFERROR(INDEX(Projects!$D$6:$D$65,MATCH(D393,Projects!$B$6:$B$65,0)),""))&gt;0,IFERROR(INDEX(Projects!$D$6:$D$65,MATCH(D393,Projects!$B$6:$B$65,0)),""),IFERROR(INDEX(Clients!$G$6:$G$45,MATCH(C393,Clients!$B$6:$B$45,0)),0))))</f>
        <v/>
      </c>
      <c r="O393" s="14">
        <f>IF(B393="","",IF(J393&lt;&gt;"",0,ROUND(M393*N393,2)))</f>
        <v/>
      </c>
      <c r="P393" s="15">
        <f>IF(OR(B393="",J393&lt;&gt;""),"",IF(L393&lt;&gt;"",L393,IF(COUNTIFS(Invoices!$C$6:$C$305,C393,Invoices!$E$6:$E$305,"&lt;="&amp;B393,Invoices!$F$6:$F$305,"&gt;="&amp;B393)=1,INDEX(Invoices!$B$6:$B$305,SUMIFS(Invoices!$O$6:$O$305,Invoices!$C$6:$C$305,C393,Invoices!$E$6:$E$305,"&lt;="&amp;B393,Invoices!$F$6:$F$305,"&gt;="&amp;B393)),IF(COUNTIFS(Invoices!$C$6:$C$305,C393,Invoices!$E$6:$E$305,"&lt;="&amp;B393,Invoices!$F$6:$F$305,"&gt;="&amp;B393)&gt;1,"Two invoices",""))))</f>
        <v/>
      </c>
      <c r="Q393" s="15">
        <f>IF(B393="","",IF(J393&lt;&gt;"","Not billable",IF(P393="","To invoice",IF(P393="Two invoices","Check dates",IF(ISNA(MATCH(P393,Invoices!$B$6:$B$305,0)),"Check number",IF(INDEX(Invoices!$M$6:$M$305,MATCH(P393,Invoices!$B$6:$B$305,0))="Paid","Paid",IF(INDEX(Invoices!$M$6:$M$305,MATCH(P393,Invoices!$B$6:$B$305,0))="Draft","Draft","Invoiced")))))))</f>
        <v/>
      </c>
      <c r="R393" s="1">
        <f>IF(AND(B393&lt;&gt;"",P393&lt;&gt;"",P393=Invoice!$G$4),B393+MOD(N(F393),1)+ROW()/10000000,"")</f>
        <v/>
      </c>
      <c r="S393">
        <f>IF(R393="","",IF(D393="","Other work",D393)&amp;IF(AND(K393&lt;&gt;"",E393&lt;&gt;""),", "&amp;E393,""))</f>
        <v/>
      </c>
      <c r="T393">
        <f>IF(R393="","",IF(COUNTIFS(R$6:R392,"&gt;0",S$6:S392,S393,N$6:N392,N393)=0,R393,""))</f>
        <v/>
      </c>
      <c r="U393">
        <f>IF(B393="","",IF(J393&lt;&gt;"",0,M393))</f>
        <v/>
      </c>
    </row>
    <row r="394">
      <c r="A394" s="1" t="n"/>
      <c r="B394" s="16" t="n"/>
      <c r="C394" s="17" t="n"/>
      <c r="D394" s="18" t="n"/>
      <c r="E394" s="18" t="n"/>
      <c r="F394" s="19" t="n"/>
      <c r="G394" s="19" t="n"/>
      <c r="H394" s="20" t="n"/>
      <c r="I394" s="21" t="n"/>
      <c r="J394" s="22" t="n"/>
      <c r="K394" s="23" t="n"/>
      <c r="L394" s="18" t="n"/>
      <c r="M394" s="24">
        <f>IF(B394="","",IF(AND(F394&lt;&gt;"",G394&lt;&gt;""),MAX(0,ROUND(MOD(G394-F394,1)*24-N(H394)/60,2)),N(I394)))</f>
        <v/>
      </c>
      <c r="N394" s="14">
        <f>IF(B394="","",IF(K394&lt;&gt;"",K394,IF(N(IFERROR(INDEX(Projects!$D$6:$D$65,MATCH(D394,Projects!$B$6:$B$65,0)),""))&gt;0,IFERROR(INDEX(Projects!$D$6:$D$65,MATCH(D394,Projects!$B$6:$B$65,0)),""),IFERROR(INDEX(Clients!$G$6:$G$45,MATCH(C394,Clients!$B$6:$B$45,0)),0))))</f>
        <v/>
      </c>
      <c r="O394" s="14">
        <f>IF(B394="","",IF(J394&lt;&gt;"",0,ROUND(M394*N394,2)))</f>
        <v/>
      </c>
      <c r="P394" s="15">
        <f>IF(OR(B394="",J394&lt;&gt;""),"",IF(L394&lt;&gt;"",L394,IF(COUNTIFS(Invoices!$C$6:$C$305,C394,Invoices!$E$6:$E$305,"&lt;="&amp;B394,Invoices!$F$6:$F$305,"&gt;="&amp;B394)=1,INDEX(Invoices!$B$6:$B$305,SUMIFS(Invoices!$O$6:$O$305,Invoices!$C$6:$C$305,C394,Invoices!$E$6:$E$305,"&lt;="&amp;B394,Invoices!$F$6:$F$305,"&gt;="&amp;B394)),IF(COUNTIFS(Invoices!$C$6:$C$305,C394,Invoices!$E$6:$E$305,"&lt;="&amp;B394,Invoices!$F$6:$F$305,"&gt;="&amp;B394)&gt;1,"Two invoices",""))))</f>
        <v/>
      </c>
      <c r="Q394" s="15">
        <f>IF(B394="","",IF(J394&lt;&gt;"","Not billable",IF(P394="","To invoice",IF(P394="Two invoices","Check dates",IF(ISNA(MATCH(P394,Invoices!$B$6:$B$305,0)),"Check number",IF(INDEX(Invoices!$M$6:$M$305,MATCH(P394,Invoices!$B$6:$B$305,0))="Paid","Paid",IF(INDEX(Invoices!$M$6:$M$305,MATCH(P394,Invoices!$B$6:$B$305,0))="Draft","Draft","Invoiced")))))))</f>
        <v/>
      </c>
      <c r="R394" s="1">
        <f>IF(AND(B394&lt;&gt;"",P394&lt;&gt;"",P394=Invoice!$G$4),B394+MOD(N(F394),1)+ROW()/10000000,"")</f>
        <v/>
      </c>
      <c r="S394">
        <f>IF(R394="","",IF(D394="","Other work",D394)&amp;IF(AND(K394&lt;&gt;"",E394&lt;&gt;""),", "&amp;E394,""))</f>
        <v/>
      </c>
      <c r="T394">
        <f>IF(R394="","",IF(COUNTIFS(R$6:R393,"&gt;0",S$6:S393,S394,N$6:N393,N394)=0,R394,""))</f>
        <v/>
      </c>
      <c r="U394">
        <f>IF(B394="","",IF(J394&lt;&gt;"",0,M394))</f>
        <v/>
      </c>
    </row>
    <row r="395">
      <c r="A395" s="1" t="n"/>
      <c r="B395" s="16" t="n"/>
      <c r="C395" s="17" t="n"/>
      <c r="D395" s="18" t="n"/>
      <c r="E395" s="18" t="n"/>
      <c r="F395" s="19" t="n"/>
      <c r="G395" s="19" t="n"/>
      <c r="H395" s="20" t="n"/>
      <c r="I395" s="21" t="n"/>
      <c r="J395" s="22" t="n"/>
      <c r="K395" s="23" t="n"/>
      <c r="L395" s="18" t="n"/>
      <c r="M395" s="24">
        <f>IF(B395="","",IF(AND(F395&lt;&gt;"",G395&lt;&gt;""),MAX(0,ROUND(MOD(G395-F395,1)*24-N(H395)/60,2)),N(I395)))</f>
        <v/>
      </c>
      <c r="N395" s="14">
        <f>IF(B395="","",IF(K395&lt;&gt;"",K395,IF(N(IFERROR(INDEX(Projects!$D$6:$D$65,MATCH(D395,Projects!$B$6:$B$65,0)),""))&gt;0,IFERROR(INDEX(Projects!$D$6:$D$65,MATCH(D395,Projects!$B$6:$B$65,0)),""),IFERROR(INDEX(Clients!$G$6:$G$45,MATCH(C395,Clients!$B$6:$B$45,0)),0))))</f>
        <v/>
      </c>
      <c r="O395" s="14">
        <f>IF(B395="","",IF(J395&lt;&gt;"",0,ROUND(M395*N395,2)))</f>
        <v/>
      </c>
      <c r="P395" s="15">
        <f>IF(OR(B395="",J395&lt;&gt;""),"",IF(L395&lt;&gt;"",L395,IF(COUNTIFS(Invoices!$C$6:$C$305,C395,Invoices!$E$6:$E$305,"&lt;="&amp;B395,Invoices!$F$6:$F$305,"&gt;="&amp;B395)=1,INDEX(Invoices!$B$6:$B$305,SUMIFS(Invoices!$O$6:$O$305,Invoices!$C$6:$C$305,C395,Invoices!$E$6:$E$305,"&lt;="&amp;B395,Invoices!$F$6:$F$305,"&gt;="&amp;B395)),IF(COUNTIFS(Invoices!$C$6:$C$305,C395,Invoices!$E$6:$E$305,"&lt;="&amp;B395,Invoices!$F$6:$F$305,"&gt;="&amp;B395)&gt;1,"Two invoices",""))))</f>
        <v/>
      </c>
      <c r="Q395" s="15">
        <f>IF(B395="","",IF(J395&lt;&gt;"","Not billable",IF(P395="","To invoice",IF(P395="Two invoices","Check dates",IF(ISNA(MATCH(P395,Invoices!$B$6:$B$305,0)),"Check number",IF(INDEX(Invoices!$M$6:$M$305,MATCH(P395,Invoices!$B$6:$B$305,0))="Paid","Paid",IF(INDEX(Invoices!$M$6:$M$305,MATCH(P395,Invoices!$B$6:$B$305,0))="Draft","Draft","Invoiced")))))))</f>
        <v/>
      </c>
      <c r="R395" s="1">
        <f>IF(AND(B395&lt;&gt;"",P395&lt;&gt;"",P395=Invoice!$G$4),B395+MOD(N(F395),1)+ROW()/10000000,"")</f>
        <v/>
      </c>
      <c r="S395">
        <f>IF(R395="","",IF(D395="","Other work",D395)&amp;IF(AND(K395&lt;&gt;"",E395&lt;&gt;""),", "&amp;E395,""))</f>
        <v/>
      </c>
      <c r="T395">
        <f>IF(R395="","",IF(COUNTIFS(R$6:R394,"&gt;0",S$6:S394,S395,N$6:N394,N395)=0,R395,""))</f>
        <v/>
      </c>
      <c r="U395">
        <f>IF(B395="","",IF(J395&lt;&gt;"",0,M395))</f>
        <v/>
      </c>
    </row>
    <row r="396">
      <c r="A396" s="1" t="n"/>
      <c r="B396" s="16" t="n"/>
      <c r="C396" s="17" t="n"/>
      <c r="D396" s="18" t="n"/>
      <c r="E396" s="18" t="n"/>
      <c r="F396" s="19" t="n"/>
      <c r="G396" s="19" t="n"/>
      <c r="H396" s="20" t="n"/>
      <c r="I396" s="21" t="n"/>
      <c r="J396" s="22" t="n"/>
      <c r="K396" s="23" t="n"/>
      <c r="L396" s="18" t="n"/>
      <c r="M396" s="24">
        <f>IF(B396="","",IF(AND(F396&lt;&gt;"",G396&lt;&gt;""),MAX(0,ROUND(MOD(G396-F396,1)*24-N(H396)/60,2)),N(I396)))</f>
        <v/>
      </c>
      <c r="N396" s="14">
        <f>IF(B396="","",IF(K396&lt;&gt;"",K396,IF(N(IFERROR(INDEX(Projects!$D$6:$D$65,MATCH(D396,Projects!$B$6:$B$65,0)),""))&gt;0,IFERROR(INDEX(Projects!$D$6:$D$65,MATCH(D396,Projects!$B$6:$B$65,0)),""),IFERROR(INDEX(Clients!$G$6:$G$45,MATCH(C396,Clients!$B$6:$B$45,0)),0))))</f>
        <v/>
      </c>
      <c r="O396" s="14">
        <f>IF(B396="","",IF(J396&lt;&gt;"",0,ROUND(M396*N396,2)))</f>
        <v/>
      </c>
      <c r="P396" s="15">
        <f>IF(OR(B396="",J396&lt;&gt;""),"",IF(L396&lt;&gt;"",L396,IF(COUNTIFS(Invoices!$C$6:$C$305,C396,Invoices!$E$6:$E$305,"&lt;="&amp;B396,Invoices!$F$6:$F$305,"&gt;="&amp;B396)=1,INDEX(Invoices!$B$6:$B$305,SUMIFS(Invoices!$O$6:$O$305,Invoices!$C$6:$C$305,C396,Invoices!$E$6:$E$305,"&lt;="&amp;B396,Invoices!$F$6:$F$305,"&gt;="&amp;B396)),IF(COUNTIFS(Invoices!$C$6:$C$305,C396,Invoices!$E$6:$E$305,"&lt;="&amp;B396,Invoices!$F$6:$F$305,"&gt;="&amp;B396)&gt;1,"Two invoices",""))))</f>
        <v/>
      </c>
      <c r="Q396" s="15">
        <f>IF(B396="","",IF(J396&lt;&gt;"","Not billable",IF(P396="","To invoice",IF(P396="Two invoices","Check dates",IF(ISNA(MATCH(P396,Invoices!$B$6:$B$305,0)),"Check number",IF(INDEX(Invoices!$M$6:$M$305,MATCH(P396,Invoices!$B$6:$B$305,0))="Paid","Paid",IF(INDEX(Invoices!$M$6:$M$305,MATCH(P396,Invoices!$B$6:$B$305,0))="Draft","Draft","Invoiced")))))))</f>
        <v/>
      </c>
      <c r="R396" s="1">
        <f>IF(AND(B396&lt;&gt;"",P396&lt;&gt;"",P396=Invoice!$G$4),B396+MOD(N(F396),1)+ROW()/10000000,"")</f>
        <v/>
      </c>
      <c r="S396">
        <f>IF(R396="","",IF(D396="","Other work",D396)&amp;IF(AND(K396&lt;&gt;"",E396&lt;&gt;""),", "&amp;E396,""))</f>
        <v/>
      </c>
      <c r="T396">
        <f>IF(R396="","",IF(COUNTIFS(R$6:R395,"&gt;0",S$6:S395,S396,N$6:N395,N396)=0,R396,""))</f>
        <v/>
      </c>
      <c r="U396">
        <f>IF(B396="","",IF(J396&lt;&gt;"",0,M396))</f>
        <v/>
      </c>
    </row>
    <row r="397">
      <c r="A397" s="1" t="n"/>
      <c r="B397" s="16" t="n"/>
      <c r="C397" s="17" t="n"/>
      <c r="D397" s="18" t="n"/>
      <c r="E397" s="18" t="n"/>
      <c r="F397" s="19" t="n"/>
      <c r="G397" s="19" t="n"/>
      <c r="H397" s="20" t="n"/>
      <c r="I397" s="21" t="n"/>
      <c r="J397" s="22" t="n"/>
      <c r="K397" s="23" t="n"/>
      <c r="L397" s="18" t="n"/>
      <c r="M397" s="24">
        <f>IF(B397="","",IF(AND(F397&lt;&gt;"",G397&lt;&gt;""),MAX(0,ROUND(MOD(G397-F397,1)*24-N(H397)/60,2)),N(I397)))</f>
        <v/>
      </c>
      <c r="N397" s="14">
        <f>IF(B397="","",IF(K397&lt;&gt;"",K397,IF(N(IFERROR(INDEX(Projects!$D$6:$D$65,MATCH(D397,Projects!$B$6:$B$65,0)),""))&gt;0,IFERROR(INDEX(Projects!$D$6:$D$65,MATCH(D397,Projects!$B$6:$B$65,0)),""),IFERROR(INDEX(Clients!$G$6:$G$45,MATCH(C397,Clients!$B$6:$B$45,0)),0))))</f>
        <v/>
      </c>
      <c r="O397" s="14">
        <f>IF(B397="","",IF(J397&lt;&gt;"",0,ROUND(M397*N397,2)))</f>
        <v/>
      </c>
      <c r="P397" s="15">
        <f>IF(OR(B397="",J397&lt;&gt;""),"",IF(L397&lt;&gt;"",L397,IF(COUNTIFS(Invoices!$C$6:$C$305,C397,Invoices!$E$6:$E$305,"&lt;="&amp;B397,Invoices!$F$6:$F$305,"&gt;="&amp;B397)=1,INDEX(Invoices!$B$6:$B$305,SUMIFS(Invoices!$O$6:$O$305,Invoices!$C$6:$C$305,C397,Invoices!$E$6:$E$305,"&lt;="&amp;B397,Invoices!$F$6:$F$305,"&gt;="&amp;B397)),IF(COUNTIFS(Invoices!$C$6:$C$305,C397,Invoices!$E$6:$E$305,"&lt;="&amp;B397,Invoices!$F$6:$F$305,"&gt;="&amp;B397)&gt;1,"Two invoices",""))))</f>
        <v/>
      </c>
      <c r="Q397" s="15">
        <f>IF(B397="","",IF(J397&lt;&gt;"","Not billable",IF(P397="","To invoice",IF(P397="Two invoices","Check dates",IF(ISNA(MATCH(P397,Invoices!$B$6:$B$305,0)),"Check number",IF(INDEX(Invoices!$M$6:$M$305,MATCH(P397,Invoices!$B$6:$B$305,0))="Paid","Paid",IF(INDEX(Invoices!$M$6:$M$305,MATCH(P397,Invoices!$B$6:$B$305,0))="Draft","Draft","Invoiced")))))))</f>
        <v/>
      </c>
      <c r="R397" s="1">
        <f>IF(AND(B397&lt;&gt;"",P397&lt;&gt;"",P397=Invoice!$G$4),B397+MOD(N(F397),1)+ROW()/10000000,"")</f>
        <v/>
      </c>
      <c r="S397">
        <f>IF(R397="","",IF(D397="","Other work",D397)&amp;IF(AND(K397&lt;&gt;"",E397&lt;&gt;""),", "&amp;E397,""))</f>
        <v/>
      </c>
      <c r="T397">
        <f>IF(R397="","",IF(COUNTIFS(R$6:R396,"&gt;0",S$6:S396,S397,N$6:N396,N397)=0,R397,""))</f>
        <v/>
      </c>
      <c r="U397">
        <f>IF(B397="","",IF(J397&lt;&gt;"",0,M397))</f>
        <v/>
      </c>
    </row>
    <row r="398">
      <c r="A398" s="1" t="n"/>
      <c r="B398" s="16" t="n"/>
      <c r="C398" s="17" t="n"/>
      <c r="D398" s="18" t="n"/>
      <c r="E398" s="18" t="n"/>
      <c r="F398" s="19" t="n"/>
      <c r="G398" s="19" t="n"/>
      <c r="H398" s="20" t="n"/>
      <c r="I398" s="21" t="n"/>
      <c r="J398" s="22" t="n"/>
      <c r="K398" s="23" t="n"/>
      <c r="L398" s="18" t="n"/>
      <c r="M398" s="24">
        <f>IF(B398="","",IF(AND(F398&lt;&gt;"",G398&lt;&gt;""),MAX(0,ROUND(MOD(G398-F398,1)*24-N(H398)/60,2)),N(I398)))</f>
        <v/>
      </c>
      <c r="N398" s="14">
        <f>IF(B398="","",IF(K398&lt;&gt;"",K398,IF(N(IFERROR(INDEX(Projects!$D$6:$D$65,MATCH(D398,Projects!$B$6:$B$65,0)),""))&gt;0,IFERROR(INDEX(Projects!$D$6:$D$65,MATCH(D398,Projects!$B$6:$B$65,0)),""),IFERROR(INDEX(Clients!$G$6:$G$45,MATCH(C398,Clients!$B$6:$B$45,0)),0))))</f>
        <v/>
      </c>
      <c r="O398" s="14">
        <f>IF(B398="","",IF(J398&lt;&gt;"",0,ROUND(M398*N398,2)))</f>
        <v/>
      </c>
      <c r="P398" s="15">
        <f>IF(OR(B398="",J398&lt;&gt;""),"",IF(L398&lt;&gt;"",L398,IF(COUNTIFS(Invoices!$C$6:$C$305,C398,Invoices!$E$6:$E$305,"&lt;="&amp;B398,Invoices!$F$6:$F$305,"&gt;="&amp;B398)=1,INDEX(Invoices!$B$6:$B$305,SUMIFS(Invoices!$O$6:$O$305,Invoices!$C$6:$C$305,C398,Invoices!$E$6:$E$305,"&lt;="&amp;B398,Invoices!$F$6:$F$305,"&gt;="&amp;B398)),IF(COUNTIFS(Invoices!$C$6:$C$305,C398,Invoices!$E$6:$E$305,"&lt;="&amp;B398,Invoices!$F$6:$F$305,"&gt;="&amp;B398)&gt;1,"Two invoices",""))))</f>
        <v/>
      </c>
      <c r="Q398" s="15">
        <f>IF(B398="","",IF(J398&lt;&gt;"","Not billable",IF(P398="","To invoice",IF(P398="Two invoices","Check dates",IF(ISNA(MATCH(P398,Invoices!$B$6:$B$305,0)),"Check number",IF(INDEX(Invoices!$M$6:$M$305,MATCH(P398,Invoices!$B$6:$B$305,0))="Paid","Paid",IF(INDEX(Invoices!$M$6:$M$305,MATCH(P398,Invoices!$B$6:$B$305,0))="Draft","Draft","Invoiced")))))))</f>
        <v/>
      </c>
      <c r="R398" s="1">
        <f>IF(AND(B398&lt;&gt;"",P398&lt;&gt;"",P398=Invoice!$G$4),B398+MOD(N(F398),1)+ROW()/10000000,"")</f>
        <v/>
      </c>
      <c r="S398">
        <f>IF(R398="","",IF(D398="","Other work",D398)&amp;IF(AND(K398&lt;&gt;"",E398&lt;&gt;""),", "&amp;E398,""))</f>
        <v/>
      </c>
      <c r="T398">
        <f>IF(R398="","",IF(COUNTIFS(R$6:R397,"&gt;0",S$6:S397,S398,N$6:N397,N398)=0,R398,""))</f>
        <v/>
      </c>
      <c r="U398">
        <f>IF(B398="","",IF(J398&lt;&gt;"",0,M398))</f>
        <v/>
      </c>
    </row>
    <row r="399">
      <c r="A399" s="1" t="n"/>
      <c r="B399" s="16" t="n"/>
      <c r="C399" s="17" t="n"/>
      <c r="D399" s="18" t="n"/>
      <c r="E399" s="18" t="n"/>
      <c r="F399" s="19" t="n"/>
      <c r="G399" s="19" t="n"/>
      <c r="H399" s="20" t="n"/>
      <c r="I399" s="21" t="n"/>
      <c r="J399" s="22" t="n"/>
      <c r="K399" s="23" t="n"/>
      <c r="L399" s="18" t="n"/>
      <c r="M399" s="24">
        <f>IF(B399="","",IF(AND(F399&lt;&gt;"",G399&lt;&gt;""),MAX(0,ROUND(MOD(G399-F399,1)*24-N(H399)/60,2)),N(I399)))</f>
        <v/>
      </c>
      <c r="N399" s="14">
        <f>IF(B399="","",IF(K399&lt;&gt;"",K399,IF(N(IFERROR(INDEX(Projects!$D$6:$D$65,MATCH(D399,Projects!$B$6:$B$65,0)),""))&gt;0,IFERROR(INDEX(Projects!$D$6:$D$65,MATCH(D399,Projects!$B$6:$B$65,0)),""),IFERROR(INDEX(Clients!$G$6:$G$45,MATCH(C399,Clients!$B$6:$B$45,0)),0))))</f>
        <v/>
      </c>
      <c r="O399" s="14">
        <f>IF(B399="","",IF(J399&lt;&gt;"",0,ROUND(M399*N399,2)))</f>
        <v/>
      </c>
      <c r="P399" s="15">
        <f>IF(OR(B399="",J399&lt;&gt;""),"",IF(L399&lt;&gt;"",L399,IF(COUNTIFS(Invoices!$C$6:$C$305,C399,Invoices!$E$6:$E$305,"&lt;="&amp;B399,Invoices!$F$6:$F$305,"&gt;="&amp;B399)=1,INDEX(Invoices!$B$6:$B$305,SUMIFS(Invoices!$O$6:$O$305,Invoices!$C$6:$C$305,C399,Invoices!$E$6:$E$305,"&lt;="&amp;B399,Invoices!$F$6:$F$305,"&gt;="&amp;B399)),IF(COUNTIFS(Invoices!$C$6:$C$305,C399,Invoices!$E$6:$E$305,"&lt;="&amp;B399,Invoices!$F$6:$F$305,"&gt;="&amp;B399)&gt;1,"Two invoices",""))))</f>
        <v/>
      </c>
      <c r="Q399" s="15">
        <f>IF(B399="","",IF(J399&lt;&gt;"","Not billable",IF(P399="","To invoice",IF(P399="Two invoices","Check dates",IF(ISNA(MATCH(P399,Invoices!$B$6:$B$305,0)),"Check number",IF(INDEX(Invoices!$M$6:$M$305,MATCH(P399,Invoices!$B$6:$B$305,0))="Paid","Paid",IF(INDEX(Invoices!$M$6:$M$305,MATCH(P399,Invoices!$B$6:$B$305,0))="Draft","Draft","Invoiced")))))))</f>
        <v/>
      </c>
      <c r="R399" s="1">
        <f>IF(AND(B399&lt;&gt;"",P399&lt;&gt;"",P399=Invoice!$G$4),B399+MOD(N(F399),1)+ROW()/10000000,"")</f>
        <v/>
      </c>
      <c r="S399">
        <f>IF(R399="","",IF(D399="","Other work",D399)&amp;IF(AND(K399&lt;&gt;"",E399&lt;&gt;""),", "&amp;E399,""))</f>
        <v/>
      </c>
      <c r="T399">
        <f>IF(R399="","",IF(COUNTIFS(R$6:R398,"&gt;0",S$6:S398,S399,N$6:N398,N399)=0,R399,""))</f>
        <v/>
      </c>
      <c r="U399">
        <f>IF(B399="","",IF(J399&lt;&gt;"",0,M399))</f>
        <v/>
      </c>
    </row>
    <row r="400">
      <c r="A400" s="1" t="n"/>
      <c r="B400" s="16" t="n"/>
      <c r="C400" s="17" t="n"/>
      <c r="D400" s="18" t="n"/>
      <c r="E400" s="18" t="n"/>
      <c r="F400" s="19" t="n"/>
      <c r="G400" s="19" t="n"/>
      <c r="H400" s="20" t="n"/>
      <c r="I400" s="21" t="n"/>
      <c r="J400" s="22" t="n"/>
      <c r="K400" s="23" t="n"/>
      <c r="L400" s="18" t="n"/>
      <c r="M400" s="24">
        <f>IF(B400="","",IF(AND(F400&lt;&gt;"",G400&lt;&gt;""),MAX(0,ROUND(MOD(G400-F400,1)*24-N(H400)/60,2)),N(I400)))</f>
        <v/>
      </c>
      <c r="N400" s="14">
        <f>IF(B400="","",IF(K400&lt;&gt;"",K400,IF(N(IFERROR(INDEX(Projects!$D$6:$D$65,MATCH(D400,Projects!$B$6:$B$65,0)),""))&gt;0,IFERROR(INDEX(Projects!$D$6:$D$65,MATCH(D400,Projects!$B$6:$B$65,0)),""),IFERROR(INDEX(Clients!$G$6:$G$45,MATCH(C400,Clients!$B$6:$B$45,0)),0))))</f>
        <v/>
      </c>
      <c r="O400" s="14">
        <f>IF(B400="","",IF(J400&lt;&gt;"",0,ROUND(M400*N400,2)))</f>
        <v/>
      </c>
      <c r="P400" s="15">
        <f>IF(OR(B400="",J400&lt;&gt;""),"",IF(L400&lt;&gt;"",L400,IF(COUNTIFS(Invoices!$C$6:$C$305,C400,Invoices!$E$6:$E$305,"&lt;="&amp;B400,Invoices!$F$6:$F$305,"&gt;="&amp;B400)=1,INDEX(Invoices!$B$6:$B$305,SUMIFS(Invoices!$O$6:$O$305,Invoices!$C$6:$C$305,C400,Invoices!$E$6:$E$305,"&lt;="&amp;B400,Invoices!$F$6:$F$305,"&gt;="&amp;B400)),IF(COUNTIFS(Invoices!$C$6:$C$305,C400,Invoices!$E$6:$E$305,"&lt;="&amp;B400,Invoices!$F$6:$F$305,"&gt;="&amp;B400)&gt;1,"Two invoices",""))))</f>
        <v/>
      </c>
      <c r="Q400" s="15">
        <f>IF(B400="","",IF(J400&lt;&gt;"","Not billable",IF(P400="","To invoice",IF(P400="Two invoices","Check dates",IF(ISNA(MATCH(P400,Invoices!$B$6:$B$305,0)),"Check number",IF(INDEX(Invoices!$M$6:$M$305,MATCH(P400,Invoices!$B$6:$B$305,0))="Paid","Paid",IF(INDEX(Invoices!$M$6:$M$305,MATCH(P400,Invoices!$B$6:$B$305,0))="Draft","Draft","Invoiced")))))))</f>
        <v/>
      </c>
      <c r="R400" s="1">
        <f>IF(AND(B400&lt;&gt;"",P400&lt;&gt;"",P400=Invoice!$G$4),B400+MOD(N(F400),1)+ROW()/10000000,"")</f>
        <v/>
      </c>
      <c r="S400">
        <f>IF(R400="","",IF(D400="","Other work",D400)&amp;IF(AND(K400&lt;&gt;"",E400&lt;&gt;""),", "&amp;E400,""))</f>
        <v/>
      </c>
      <c r="T400">
        <f>IF(R400="","",IF(COUNTIFS(R$6:R399,"&gt;0",S$6:S399,S400,N$6:N399,N400)=0,R400,""))</f>
        <v/>
      </c>
      <c r="U400">
        <f>IF(B400="","",IF(J400&lt;&gt;"",0,M400))</f>
        <v/>
      </c>
    </row>
    <row r="401">
      <c r="A401" s="1" t="n"/>
      <c r="B401" s="16" t="n"/>
      <c r="C401" s="17" t="n"/>
      <c r="D401" s="18" t="n"/>
      <c r="E401" s="18" t="n"/>
      <c r="F401" s="19" t="n"/>
      <c r="G401" s="19" t="n"/>
      <c r="H401" s="20" t="n"/>
      <c r="I401" s="21" t="n"/>
      <c r="J401" s="22" t="n"/>
      <c r="K401" s="23" t="n"/>
      <c r="L401" s="18" t="n"/>
      <c r="M401" s="24">
        <f>IF(B401="","",IF(AND(F401&lt;&gt;"",G401&lt;&gt;""),MAX(0,ROUND(MOD(G401-F401,1)*24-N(H401)/60,2)),N(I401)))</f>
        <v/>
      </c>
      <c r="N401" s="14">
        <f>IF(B401="","",IF(K401&lt;&gt;"",K401,IF(N(IFERROR(INDEX(Projects!$D$6:$D$65,MATCH(D401,Projects!$B$6:$B$65,0)),""))&gt;0,IFERROR(INDEX(Projects!$D$6:$D$65,MATCH(D401,Projects!$B$6:$B$65,0)),""),IFERROR(INDEX(Clients!$G$6:$G$45,MATCH(C401,Clients!$B$6:$B$45,0)),0))))</f>
        <v/>
      </c>
      <c r="O401" s="14">
        <f>IF(B401="","",IF(J401&lt;&gt;"",0,ROUND(M401*N401,2)))</f>
        <v/>
      </c>
      <c r="P401" s="15">
        <f>IF(OR(B401="",J401&lt;&gt;""),"",IF(L401&lt;&gt;"",L401,IF(COUNTIFS(Invoices!$C$6:$C$305,C401,Invoices!$E$6:$E$305,"&lt;="&amp;B401,Invoices!$F$6:$F$305,"&gt;="&amp;B401)=1,INDEX(Invoices!$B$6:$B$305,SUMIFS(Invoices!$O$6:$O$305,Invoices!$C$6:$C$305,C401,Invoices!$E$6:$E$305,"&lt;="&amp;B401,Invoices!$F$6:$F$305,"&gt;="&amp;B401)),IF(COUNTIFS(Invoices!$C$6:$C$305,C401,Invoices!$E$6:$E$305,"&lt;="&amp;B401,Invoices!$F$6:$F$305,"&gt;="&amp;B401)&gt;1,"Two invoices",""))))</f>
        <v/>
      </c>
      <c r="Q401" s="15">
        <f>IF(B401="","",IF(J401&lt;&gt;"","Not billable",IF(P401="","To invoice",IF(P401="Two invoices","Check dates",IF(ISNA(MATCH(P401,Invoices!$B$6:$B$305,0)),"Check number",IF(INDEX(Invoices!$M$6:$M$305,MATCH(P401,Invoices!$B$6:$B$305,0))="Paid","Paid",IF(INDEX(Invoices!$M$6:$M$305,MATCH(P401,Invoices!$B$6:$B$305,0))="Draft","Draft","Invoiced")))))))</f>
        <v/>
      </c>
      <c r="R401" s="1">
        <f>IF(AND(B401&lt;&gt;"",P401&lt;&gt;"",P401=Invoice!$G$4),B401+MOD(N(F401),1)+ROW()/10000000,"")</f>
        <v/>
      </c>
      <c r="S401">
        <f>IF(R401="","",IF(D401="","Other work",D401)&amp;IF(AND(K401&lt;&gt;"",E401&lt;&gt;""),", "&amp;E401,""))</f>
        <v/>
      </c>
      <c r="T401">
        <f>IF(R401="","",IF(COUNTIFS(R$6:R400,"&gt;0",S$6:S400,S401,N$6:N400,N401)=0,R401,""))</f>
        <v/>
      </c>
      <c r="U401">
        <f>IF(B401="","",IF(J401&lt;&gt;"",0,M401))</f>
        <v/>
      </c>
    </row>
    <row r="402">
      <c r="A402" s="1" t="n"/>
      <c r="B402" s="16" t="n"/>
      <c r="C402" s="17" t="n"/>
      <c r="D402" s="18" t="n"/>
      <c r="E402" s="18" t="n"/>
      <c r="F402" s="19" t="n"/>
      <c r="G402" s="19" t="n"/>
      <c r="H402" s="20" t="n"/>
      <c r="I402" s="21" t="n"/>
      <c r="J402" s="22" t="n"/>
      <c r="K402" s="23" t="n"/>
      <c r="L402" s="18" t="n"/>
      <c r="M402" s="24">
        <f>IF(B402="","",IF(AND(F402&lt;&gt;"",G402&lt;&gt;""),MAX(0,ROUND(MOD(G402-F402,1)*24-N(H402)/60,2)),N(I402)))</f>
        <v/>
      </c>
      <c r="N402" s="14">
        <f>IF(B402="","",IF(K402&lt;&gt;"",K402,IF(N(IFERROR(INDEX(Projects!$D$6:$D$65,MATCH(D402,Projects!$B$6:$B$65,0)),""))&gt;0,IFERROR(INDEX(Projects!$D$6:$D$65,MATCH(D402,Projects!$B$6:$B$65,0)),""),IFERROR(INDEX(Clients!$G$6:$G$45,MATCH(C402,Clients!$B$6:$B$45,0)),0))))</f>
        <v/>
      </c>
      <c r="O402" s="14">
        <f>IF(B402="","",IF(J402&lt;&gt;"",0,ROUND(M402*N402,2)))</f>
        <v/>
      </c>
      <c r="P402" s="15">
        <f>IF(OR(B402="",J402&lt;&gt;""),"",IF(L402&lt;&gt;"",L402,IF(COUNTIFS(Invoices!$C$6:$C$305,C402,Invoices!$E$6:$E$305,"&lt;="&amp;B402,Invoices!$F$6:$F$305,"&gt;="&amp;B402)=1,INDEX(Invoices!$B$6:$B$305,SUMIFS(Invoices!$O$6:$O$305,Invoices!$C$6:$C$305,C402,Invoices!$E$6:$E$305,"&lt;="&amp;B402,Invoices!$F$6:$F$305,"&gt;="&amp;B402)),IF(COUNTIFS(Invoices!$C$6:$C$305,C402,Invoices!$E$6:$E$305,"&lt;="&amp;B402,Invoices!$F$6:$F$305,"&gt;="&amp;B402)&gt;1,"Two invoices",""))))</f>
        <v/>
      </c>
      <c r="Q402" s="15">
        <f>IF(B402="","",IF(J402&lt;&gt;"","Not billable",IF(P402="","To invoice",IF(P402="Two invoices","Check dates",IF(ISNA(MATCH(P402,Invoices!$B$6:$B$305,0)),"Check number",IF(INDEX(Invoices!$M$6:$M$305,MATCH(P402,Invoices!$B$6:$B$305,0))="Paid","Paid",IF(INDEX(Invoices!$M$6:$M$305,MATCH(P402,Invoices!$B$6:$B$305,0))="Draft","Draft","Invoiced")))))))</f>
        <v/>
      </c>
      <c r="R402" s="1">
        <f>IF(AND(B402&lt;&gt;"",P402&lt;&gt;"",P402=Invoice!$G$4),B402+MOD(N(F402),1)+ROW()/10000000,"")</f>
        <v/>
      </c>
      <c r="S402">
        <f>IF(R402="","",IF(D402="","Other work",D402)&amp;IF(AND(K402&lt;&gt;"",E402&lt;&gt;""),", "&amp;E402,""))</f>
        <v/>
      </c>
      <c r="T402">
        <f>IF(R402="","",IF(COUNTIFS(R$6:R401,"&gt;0",S$6:S401,S402,N$6:N401,N402)=0,R402,""))</f>
        <v/>
      </c>
      <c r="U402">
        <f>IF(B402="","",IF(J402&lt;&gt;"",0,M402))</f>
        <v/>
      </c>
    </row>
    <row r="403">
      <c r="A403" s="1" t="n"/>
      <c r="B403" s="16" t="n"/>
      <c r="C403" s="17" t="n"/>
      <c r="D403" s="18" t="n"/>
      <c r="E403" s="18" t="n"/>
      <c r="F403" s="19" t="n"/>
      <c r="G403" s="19" t="n"/>
      <c r="H403" s="20" t="n"/>
      <c r="I403" s="21" t="n"/>
      <c r="J403" s="22" t="n"/>
      <c r="K403" s="23" t="n"/>
      <c r="L403" s="18" t="n"/>
      <c r="M403" s="24">
        <f>IF(B403="","",IF(AND(F403&lt;&gt;"",G403&lt;&gt;""),MAX(0,ROUND(MOD(G403-F403,1)*24-N(H403)/60,2)),N(I403)))</f>
        <v/>
      </c>
      <c r="N403" s="14">
        <f>IF(B403="","",IF(K403&lt;&gt;"",K403,IF(N(IFERROR(INDEX(Projects!$D$6:$D$65,MATCH(D403,Projects!$B$6:$B$65,0)),""))&gt;0,IFERROR(INDEX(Projects!$D$6:$D$65,MATCH(D403,Projects!$B$6:$B$65,0)),""),IFERROR(INDEX(Clients!$G$6:$G$45,MATCH(C403,Clients!$B$6:$B$45,0)),0))))</f>
        <v/>
      </c>
      <c r="O403" s="14">
        <f>IF(B403="","",IF(J403&lt;&gt;"",0,ROUND(M403*N403,2)))</f>
        <v/>
      </c>
      <c r="P403" s="15">
        <f>IF(OR(B403="",J403&lt;&gt;""),"",IF(L403&lt;&gt;"",L403,IF(COUNTIFS(Invoices!$C$6:$C$305,C403,Invoices!$E$6:$E$305,"&lt;="&amp;B403,Invoices!$F$6:$F$305,"&gt;="&amp;B403)=1,INDEX(Invoices!$B$6:$B$305,SUMIFS(Invoices!$O$6:$O$305,Invoices!$C$6:$C$305,C403,Invoices!$E$6:$E$305,"&lt;="&amp;B403,Invoices!$F$6:$F$305,"&gt;="&amp;B403)),IF(COUNTIFS(Invoices!$C$6:$C$305,C403,Invoices!$E$6:$E$305,"&lt;="&amp;B403,Invoices!$F$6:$F$305,"&gt;="&amp;B403)&gt;1,"Two invoices",""))))</f>
        <v/>
      </c>
      <c r="Q403" s="15">
        <f>IF(B403="","",IF(J403&lt;&gt;"","Not billable",IF(P403="","To invoice",IF(P403="Two invoices","Check dates",IF(ISNA(MATCH(P403,Invoices!$B$6:$B$305,0)),"Check number",IF(INDEX(Invoices!$M$6:$M$305,MATCH(P403,Invoices!$B$6:$B$305,0))="Paid","Paid",IF(INDEX(Invoices!$M$6:$M$305,MATCH(P403,Invoices!$B$6:$B$305,0))="Draft","Draft","Invoiced")))))))</f>
        <v/>
      </c>
      <c r="R403" s="1">
        <f>IF(AND(B403&lt;&gt;"",P403&lt;&gt;"",P403=Invoice!$G$4),B403+MOD(N(F403),1)+ROW()/10000000,"")</f>
        <v/>
      </c>
      <c r="S403">
        <f>IF(R403="","",IF(D403="","Other work",D403)&amp;IF(AND(K403&lt;&gt;"",E403&lt;&gt;""),", "&amp;E403,""))</f>
        <v/>
      </c>
      <c r="T403">
        <f>IF(R403="","",IF(COUNTIFS(R$6:R402,"&gt;0",S$6:S402,S403,N$6:N402,N403)=0,R403,""))</f>
        <v/>
      </c>
      <c r="U403">
        <f>IF(B403="","",IF(J403&lt;&gt;"",0,M403))</f>
        <v/>
      </c>
    </row>
    <row r="404">
      <c r="A404" s="1" t="n"/>
      <c r="B404" s="16" t="n"/>
      <c r="C404" s="17" t="n"/>
      <c r="D404" s="18" t="n"/>
      <c r="E404" s="18" t="n"/>
      <c r="F404" s="19" t="n"/>
      <c r="G404" s="19" t="n"/>
      <c r="H404" s="20" t="n"/>
      <c r="I404" s="21" t="n"/>
      <c r="J404" s="22" t="n"/>
      <c r="K404" s="23" t="n"/>
      <c r="L404" s="18" t="n"/>
      <c r="M404" s="24">
        <f>IF(B404="","",IF(AND(F404&lt;&gt;"",G404&lt;&gt;""),MAX(0,ROUND(MOD(G404-F404,1)*24-N(H404)/60,2)),N(I404)))</f>
        <v/>
      </c>
      <c r="N404" s="14">
        <f>IF(B404="","",IF(K404&lt;&gt;"",K404,IF(N(IFERROR(INDEX(Projects!$D$6:$D$65,MATCH(D404,Projects!$B$6:$B$65,0)),""))&gt;0,IFERROR(INDEX(Projects!$D$6:$D$65,MATCH(D404,Projects!$B$6:$B$65,0)),""),IFERROR(INDEX(Clients!$G$6:$G$45,MATCH(C404,Clients!$B$6:$B$45,0)),0))))</f>
        <v/>
      </c>
      <c r="O404" s="14">
        <f>IF(B404="","",IF(J404&lt;&gt;"",0,ROUND(M404*N404,2)))</f>
        <v/>
      </c>
      <c r="P404" s="15">
        <f>IF(OR(B404="",J404&lt;&gt;""),"",IF(L404&lt;&gt;"",L404,IF(COUNTIFS(Invoices!$C$6:$C$305,C404,Invoices!$E$6:$E$305,"&lt;="&amp;B404,Invoices!$F$6:$F$305,"&gt;="&amp;B404)=1,INDEX(Invoices!$B$6:$B$305,SUMIFS(Invoices!$O$6:$O$305,Invoices!$C$6:$C$305,C404,Invoices!$E$6:$E$305,"&lt;="&amp;B404,Invoices!$F$6:$F$305,"&gt;="&amp;B404)),IF(COUNTIFS(Invoices!$C$6:$C$305,C404,Invoices!$E$6:$E$305,"&lt;="&amp;B404,Invoices!$F$6:$F$305,"&gt;="&amp;B404)&gt;1,"Two invoices",""))))</f>
        <v/>
      </c>
      <c r="Q404" s="15">
        <f>IF(B404="","",IF(J404&lt;&gt;"","Not billable",IF(P404="","To invoice",IF(P404="Two invoices","Check dates",IF(ISNA(MATCH(P404,Invoices!$B$6:$B$305,0)),"Check number",IF(INDEX(Invoices!$M$6:$M$305,MATCH(P404,Invoices!$B$6:$B$305,0))="Paid","Paid",IF(INDEX(Invoices!$M$6:$M$305,MATCH(P404,Invoices!$B$6:$B$305,0))="Draft","Draft","Invoiced")))))))</f>
        <v/>
      </c>
      <c r="R404" s="1">
        <f>IF(AND(B404&lt;&gt;"",P404&lt;&gt;"",P404=Invoice!$G$4),B404+MOD(N(F404),1)+ROW()/10000000,"")</f>
        <v/>
      </c>
      <c r="S404">
        <f>IF(R404="","",IF(D404="","Other work",D404)&amp;IF(AND(K404&lt;&gt;"",E404&lt;&gt;""),", "&amp;E404,""))</f>
        <v/>
      </c>
      <c r="T404">
        <f>IF(R404="","",IF(COUNTIFS(R$6:R403,"&gt;0",S$6:S403,S404,N$6:N403,N404)=0,R404,""))</f>
        <v/>
      </c>
      <c r="U404">
        <f>IF(B404="","",IF(J404&lt;&gt;"",0,M404))</f>
        <v/>
      </c>
    </row>
    <row r="405">
      <c r="A405" s="1" t="n"/>
      <c r="B405" s="16" t="n"/>
      <c r="C405" s="17" t="n"/>
      <c r="D405" s="18" t="n"/>
      <c r="E405" s="18" t="n"/>
      <c r="F405" s="19" t="n"/>
      <c r="G405" s="19" t="n"/>
      <c r="H405" s="20" t="n"/>
      <c r="I405" s="21" t="n"/>
      <c r="J405" s="22" t="n"/>
      <c r="K405" s="23" t="n"/>
      <c r="L405" s="18" t="n"/>
      <c r="M405" s="24">
        <f>IF(B405="","",IF(AND(F405&lt;&gt;"",G405&lt;&gt;""),MAX(0,ROUND(MOD(G405-F405,1)*24-N(H405)/60,2)),N(I405)))</f>
        <v/>
      </c>
      <c r="N405" s="14">
        <f>IF(B405="","",IF(K405&lt;&gt;"",K405,IF(N(IFERROR(INDEX(Projects!$D$6:$D$65,MATCH(D405,Projects!$B$6:$B$65,0)),""))&gt;0,IFERROR(INDEX(Projects!$D$6:$D$65,MATCH(D405,Projects!$B$6:$B$65,0)),""),IFERROR(INDEX(Clients!$G$6:$G$45,MATCH(C405,Clients!$B$6:$B$45,0)),0))))</f>
        <v/>
      </c>
      <c r="O405" s="14">
        <f>IF(B405="","",IF(J405&lt;&gt;"",0,ROUND(M405*N405,2)))</f>
        <v/>
      </c>
      <c r="P405" s="15">
        <f>IF(OR(B405="",J405&lt;&gt;""),"",IF(L405&lt;&gt;"",L405,IF(COUNTIFS(Invoices!$C$6:$C$305,C405,Invoices!$E$6:$E$305,"&lt;="&amp;B405,Invoices!$F$6:$F$305,"&gt;="&amp;B405)=1,INDEX(Invoices!$B$6:$B$305,SUMIFS(Invoices!$O$6:$O$305,Invoices!$C$6:$C$305,C405,Invoices!$E$6:$E$305,"&lt;="&amp;B405,Invoices!$F$6:$F$305,"&gt;="&amp;B405)),IF(COUNTIFS(Invoices!$C$6:$C$305,C405,Invoices!$E$6:$E$305,"&lt;="&amp;B405,Invoices!$F$6:$F$305,"&gt;="&amp;B405)&gt;1,"Two invoices",""))))</f>
        <v/>
      </c>
      <c r="Q405" s="15">
        <f>IF(B405="","",IF(J405&lt;&gt;"","Not billable",IF(P405="","To invoice",IF(P405="Two invoices","Check dates",IF(ISNA(MATCH(P405,Invoices!$B$6:$B$305,0)),"Check number",IF(INDEX(Invoices!$M$6:$M$305,MATCH(P405,Invoices!$B$6:$B$305,0))="Paid","Paid",IF(INDEX(Invoices!$M$6:$M$305,MATCH(P405,Invoices!$B$6:$B$305,0))="Draft","Draft","Invoiced")))))))</f>
        <v/>
      </c>
      <c r="R405" s="1">
        <f>IF(AND(B405&lt;&gt;"",P405&lt;&gt;"",P405=Invoice!$G$4),B405+MOD(N(F405),1)+ROW()/10000000,"")</f>
        <v/>
      </c>
      <c r="S405">
        <f>IF(R405="","",IF(D405="","Other work",D405)&amp;IF(AND(K405&lt;&gt;"",E405&lt;&gt;""),", "&amp;E405,""))</f>
        <v/>
      </c>
      <c r="T405">
        <f>IF(R405="","",IF(COUNTIFS(R$6:R404,"&gt;0",S$6:S404,S405,N$6:N404,N405)=0,R405,""))</f>
        <v/>
      </c>
      <c r="U405">
        <f>IF(B405="","",IF(J405&lt;&gt;"",0,M405))</f>
        <v/>
      </c>
    </row>
    <row r="406">
      <c r="A406" s="1" t="n"/>
      <c r="B406" s="16" t="n"/>
      <c r="C406" s="17" t="n"/>
      <c r="D406" s="18" t="n"/>
      <c r="E406" s="18" t="n"/>
      <c r="F406" s="19" t="n"/>
      <c r="G406" s="19" t="n"/>
      <c r="H406" s="20" t="n"/>
      <c r="I406" s="21" t="n"/>
      <c r="J406" s="22" t="n"/>
      <c r="K406" s="23" t="n"/>
      <c r="L406" s="18" t="n"/>
      <c r="M406" s="24">
        <f>IF(B406="","",IF(AND(F406&lt;&gt;"",G406&lt;&gt;""),MAX(0,ROUND(MOD(G406-F406,1)*24-N(H406)/60,2)),N(I406)))</f>
        <v/>
      </c>
      <c r="N406" s="14">
        <f>IF(B406="","",IF(K406&lt;&gt;"",K406,IF(N(IFERROR(INDEX(Projects!$D$6:$D$65,MATCH(D406,Projects!$B$6:$B$65,0)),""))&gt;0,IFERROR(INDEX(Projects!$D$6:$D$65,MATCH(D406,Projects!$B$6:$B$65,0)),""),IFERROR(INDEX(Clients!$G$6:$G$45,MATCH(C406,Clients!$B$6:$B$45,0)),0))))</f>
        <v/>
      </c>
      <c r="O406" s="14">
        <f>IF(B406="","",IF(J406&lt;&gt;"",0,ROUND(M406*N406,2)))</f>
        <v/>
      </c>
      <c r="P406" s="15">
        <f>IF(OR(B406="",J406&lt;&gt;""),"",IF(L406&lt;&gt;"",L406,IF(COUNTIFS(Invoices!$C$6:$C$305,C406,Invoices!$E$6:$E$305,"&lt;="&amp;B406,Invoices!$F$6:$F$305,"&gt;="&amp;B406)=1,INDEX(Invoices!$B$6:$B$305,SUMIFS(Invoices!$O$6:$O$305,Invoices!$C$6:$C$305,C406,Invoices!$E$6:$E$305,"&lt;="&amp;B406,Invoices!$F$6:$F$305,"&gt;="&amp;B406)),IF(COUNTIFS(Invoices!$C$6:$C$305,C406,Invoices!$E$6:$E$305,"&lt;="&amp;B406,Invoices!$F$6:$F$305,"&gt;="&amp;B406)&gt;1,"Two invoices",""))))</f>
        <v/>
      </c>
      <c r="Q406" s="15">
        <f>IF(B406="","",IF(J406&lt;&gt;"","Not billable",IF(P406="","To invoice",IF(P406="Two invoices","Check dates",IF(ISNA(MATCH(P406,Invoices!$B$6:$B$305,0)),"Check number",IF(INDEX(Invoices!$M$6:$M$305,MATCH(P406,Invoices!$B$6:$B$305,0))="Paid","Paid",IF(INDEX(Invoices!$M$6:$M$305,MATCH(P406,Invoices!$B$6:$B$305,0))="Draft","Draft","Invoiced")))))))</f>
        <v/>
      </c>
      <c r="R406" s="1">
        <f>IF(AND(B406&lt;&gt;"",P406&lt;&gt;"",P406=Invoice!$G$4),B406+MOD(N(F406),1)+ROW()/10000000,"")</f>
        <v/>
      </c>
      <c r="S406">
        <f>IF(R406="","",IF(D406="","Other work",D406)&amp;IF(AND(K406&lt;&gt;"",E406&lt;&gt;""),", "&amp;E406,""))</f>
        <v/>
      </c>
      <c r="T406">
        <f>IF(R406="","",IF(COUNTIFS(R$6:R405,"&gt;0",S$6:S405,S406,N$6:N405,N406)=0,R406,""))</f>
        <v/>
      </c>
      <c r="U406">
        <f>IF(B406="","",IF(J406&lt;&gt;"",0,M406))</f>
        <v/>
      </c>
    </row>
    <row r="407">
      <c r="A407" s="1" t="n"/>
      <c r="B407" s="16" t="n"/>
      <c r="C407" s="17" t="n"/>
      <c r="D407" s="18" t="n"/>
      <c r="E407" s="18" t="n"/>
      <c r="F407" s="19" t="n"/>
      <c r="G407" s="19" t="n"/>
      <c r="H407" s="20" t="n"/>
      <c r="I407" s="21" t="n"/>
      <c r="J407" s="22" t="n"/>
      <c r="K407" s="23" t="n"/>
      <c r="L407" s="18" t="n"/>
      <c r="M407" s="24">
        <f>IF(B407="","",IF(AND(F407&lt;&gt;"",G407&lt;&gt;""),MAX(0,ROUND(MOD(G407-F407,1)*24-N(H407)/60,2)),N(I407)))</f>
        <v/>
      </c>
      <c r="N407" s="14">
        <f>IF(B407="","",IF(K407&lt;&gt;"",K407,IF(N(IFERROR(INDEX(Projects!$D$6:$D$65,MATCH(D407,Projects!$B$6:$B$65,0)),""))&gt;0,IFERROR(INDEX(Projects!$D$6:$D$65,MATCH(D407,Projects!$B$6:$B$65,0)),""),IFERROR(INDEX(Clients!$G$6:$G$45,MATCH(C407,Clients!$B$6:$B$45,0)),0))))</f>
        <v/>
      </c>
      <c r="O407" s="14">
        <f>IF(B407="","",IF(J407&lt;&gt;"",0,ROUND(M407*N407,2)))</f>
        <v/>
      </c>
      <c r="P407" s="15">
        <f>IF(OR(B407="",J407&lt;&gt;""),"",IF(L407&lt;&gt;"",L407,IF(COUNTIFS(Invoices!$C$6:$C$305,C407,Invoices!$E$6:$E$305,"&lt;="&amp;B407,Invoices!$F$6:$F$305,"&gt;="&amp;B407)=1,INDEX(Invoices!$B$6:$B$305,SUMIFS(Invoices!$O$6:$O$305,Invoices!$C$6:$C$305,C407,Invoices!$E$6:$E$305,"&lt;="&amp;B407,Invoices!$F$6:$F$305,"&gt;="&amp;B407)),IF(COUNTIFS(Invoices!$C$6:$C$305,C407,Invoices!$E$6:$E$305,"&lt;="&amp;B407,Invoices!$F$6:$F$305,"&gt;="&amp;B407)&gt;1,"Two invoices",""))))</f>
        <v/>
      </c>
      <c r="Q407" s="15">
        <f>IF(B407="","",IF(J407&lt;&gt;"","Not billable",IF(P407="","To invoice",IF(P407="Two invoices","Check dates",IF(ISNA(MATCH(P407,Invoices!$B$6:$B$305,0)),"Check number",IF(INDEX(Invoices!$M$6:$M$305,MATCH(P407,Invoices!$B$6:$B$305,0))="Paid","Paid",IF(INDEX(Invoices!$M$6:$M$305,MATCH(P407,Invoices!$B$6:$B$305,0))="Draft","Draft","Invoiced")))))))</f>
        <v/>
      </c>
      <c r="R407" s="1">
        <f>IF(AND(B407&lt;&gt;"",P407&lt;&gt;"",P407=Invoice!$G$4),B407+MOD(N(F407),1)+ROW()/10000000,"")</f>
        <v/>
      </c>
      <c r="S407">
        <f>IF(R407="","",IF(D407="","Other work",D407)&amp;IF(AND(K407&lt;&gt;"",E407&lt;&gt;""),", "&amp;E407,""))</f>
        <v/>
      </c>
      <c r="T407">
        <f>IF(R407="","",IF(COUNTIFS(R$6:R406,"&gt;0",S$6:S406,S407,N$6:N406,N407)=0,R407,""))</f>
        <v/>
      </c>
      <c r="U407">
        <f>IF(B407="","",IF(J407&lt;&gt;"",0,M407))</f>
        <v/>
      </c>
    </row>
    <row r="408">
      <c r="A408" s="1" t="n"/>
      <c r="B408" s="16" t="n"/>
      <c r="C408" s="17" t="n"/>
      <c r="D408" s="18" t="n"/>
      <c r="E408" s="18" t="n"/>
      <c r="F408" s="19" t="n"/>
      <c r="G408" s="19" t="n"/>
      <c r="H408" s="20" t="n"/>
      <c r="I408" s="21" t="n"/>
      <c r="J408" s="22" t="n"/>
      <c r="K408" s="23" t="n"/>
      <c r="L408" s="18" t="n"/>
      <c r="M408" s="24">
        <f>IF(B408="","",IF(AND(F408&lt;&gt;"",G408&lt;&gt;""),MAX(0,ROUND(MOD(G408-F408,1)*24-N(H408)/60,2)),N(I408)))</f>
        <v/>
      </c>
      <c r="N408" s="14">
        <f>IF(B408="","",IF(K408&lt;&gt;"",K408,IF(N(IFERROR(INDEX(Projects!$D$6:$D$65,MATCH(D408,Projects!$B$6:$B$65,0)),""))&gt;0,IFERROR(INDEX(Projects!$D$6:$D$65,MATCH(D408,Projects!$B$6:$B$65,0)),""),IFERROR(INDEX(Clients!$G$6:$G$45,MATCH(C408,Clients!$B$6:$B$45,0)),0))))</f>
        <v/>
      </c>
      <c r="O408" s="14">
        <f>IF(B408="","",IF(J408&lt;&gt;"",0,ROUND(M408*N408,2)))</f>
        <v/>
      </c>
      <c r="P408" s="15">
        <f>IF(OR(B408="",J408&lt;&gt;""),"",IF(L408&lt;&gt;"",L408,IF(COUNTIFS(Invoices!$C$6:$C$305,C408,Invoices!$E$6:$E$305,"&lt;="&amp;B408,Invoices!$F$6:$F$305,"&gt;="&amp;B408)=1,INDEX(Invoices!$B$6:$B$305,SUMIFS(Invoices!$O$6:$O$305,Invoices!$C$6:$C$305,C408,Invoices!$E$6:$E$305,"&lt;="&amp;B408,Invoices!$F$6:$F$305,"&gt;="&amp;B408)),IF(COUNTIFS(Invoices!$C$6:$C$305,C408,Invoices!$E$6:$E$305,"&lt;="&amp;B408,Invoices!$F$6:$F$305,"&gt;="&amp;B408)&gt;1,"Two invoices",""))))</f>
        <v/>
      </c>
      <c r="Q408" s="15">
        <f>IF(B408="","",IF(J408&lt;&gt;"","Not billable",IF(P408="","To invoice",IF(P408="Two invoices","Check dates",IF(ISNA(MATCH(P408,Invoices!$B$6:$B$305,0)),"Check number",IF(INDEX(Invoices!$M$6:$M$305,MATCH(P408,Invoices!$B$6:$B$305,0))="Paid","Paid",IF(INDEX(Invoices!$M$6:$M$305,MATCH(P408,Invoices!$B$6:$B$305,0))="Draft","Draft","Invoiced")))))))</f>
        <v/>
      </c>
      <c r="R408" s="1">
        <f>IF(AND(B408&lt;&gt;"",P408&lt;&gt;"",P408=Invoice!$G$4),B408+MOD(N(F408),1)+ROW()/10000000,"")</f>
        <v/>
      </c>
      <c r="S408">
        <f>IF(R408="","",IF(D408="","Other work",D408)&amp;IF(AND(K408&lt;&gt;"",E408&lt;&gt;""),", "&amp;E408,""))</f>
        <v/>
      </c>
      <c r="T408">
        <f>IF(R408="","",IF(COUNTIFS(R$6:R407,"&gt;0",S$6:S407,S408,N$6:N407,N408)=0,R408,""))</f>
        <v/>
      </c>
      <c r="U408">
        <f>IF(B408="","",IF(J408&lt;&gt;"",0,M408))</f>
        <v/>
      </c>
    </row>
    <row r="409">
      <c r="A409" s="1" t="n"/>
      <c r="B409" s="16" t="n"/>
      <c r="C409" s="17" t="n"/>
      <c r="D409" s="18" t="n"/>
      <c r="E409" s="18" t="n"/>
      <c r="F409" s="19" t="n"/>
      <c r="G409" s="19" t="n"/>
      <c r="H409" s="20" t="n"/>
      <c r="I409" s="21" t="n"/>
      <c r="J409" s="22" t="n"/>
      <c r="K409" s="23" t="n"/>
      <c r="L409" s="18" t="n"/>
      <c r="M409" s="24">
        <f>IF(B409="","",IF(AND(F409&lt;&gt;"",G409&lt;&gt;""),MAX(0,ROUND(MOD(G409-F409,1)*24-N(H409)/60,2)),N(I409)))</f>
        <v/>
      </c>
      <c r="N409" s="14">
        <f>IF(B409="","",IF(K409&lt;&gt;"",K409,IF(N(IFERROR(INDEX(Projects!$D$6:$D$65,MATCH(D409,Projects!$B$6:$B$65,0)),""))&gt;0,IFERROR(INDEX(Projects!$D$6:$D$65,MATCH(D409,Projects!$B$6:$B$65,0)),""),IFERROR(INDEX(Clients!$G$6:$G$45,MATCH(C409,Clients!$B$6:$B$45,0)),0))))</f>
        <v/>
      </c>
      <c r="O409" s="14">
        <f>IF(B409="","",IF(J409&lt;&gt;"",0,ROUND(M409*N409,2)))</f>
        <v/>
      </c>
      <c r="P409" s="15">
        <f>IF(OR(B409="",J409&lt;&gt;""),"",IF(L409&lt;&gt;"",L409,IF(COUNTIFS(Invoices!$C$6:$C$305,C409,Invoices!$E$6:$E$305,"&lt;="&amp;B409,Invoices!$F$6:$F$305,"&gt;="&amp;B409)=1,INDEX(Invoices!$B$6:$B$305,SUMIFS(Invoices!$O$6:$O$305,Invoices!$C$6:$C$305,C409,Invoices!$E$6:$E$305,"&lt;="&amp;B409,Invoices!$F$6:$F$305,"&gt;="&amp;B409)),IF(COUNTIFS(Invoices!$C$6:$C$305,C409,Invoices!$E$6:$E$305,"&lt;="&amp;B409,Invoices!$F$6:$F$305,"&gt;="&amp;B409)&gt;1,"Two invoices",""))))</f>
        <v/>
      </c>
      <c r="Q409" s="15">
        <f>IF(B409="","",IF(J409&lt;&gt;"","Not billable",IF(P409="","To invoice",IF(P409="Two invoices","Check dates",IF(ISNA(MATCH(P409,Invoices!$B$6:$B$305,0)),"Check number",IF(INDEX(Invoices!$M$6:$M$305,MATCH(P409,Invoices!$B$6:$B$305,0))="Paid","Paid",IF(INDEX(Invoices!$M$6:$M$305,MATCH(P409,Invoices!$B$6:$B$305,0))="Draft","Draft","Invoiced")))))))</f>
        <v/>
      </c>
      <c r="R409" s="1">
        <f>IF(AND(B409&lt;&gt;"",P409&lt;&gt;"",P409=Invoice!$G$4),B409+MOD(N(F409),1)+ROW()/10000000,"")</f>
        <v/>
      </c>
      <c r="S409">
        <f>IF(R409="","",IF(D409="","Other work",D409)&amp;IF(AND(K409&lt;&gt;"",E409&lt;&gt;""),", "&amp;E409,""))</f>
        <v/>
      </c>
      <c r="T409">
        <f>IF(R409="","",IF(COUNTIFS(R$6:R408,"&gt;0",S$6:S408,S409,N$6:N408,N409)=0,R409,""))</f>
        <v/>
      </c>
      <c r="U409">
        <f>IF(B409="","",IF(J409&lt;&gt;"",0,M409))</f>
        <v/>
      </c>
    </row>
    <row r="410">
      <c r="A410" s="1" t="n"/>
      <c r="B410" s="16" t="n"/>
      <c r="C410" s="17" t="n"/>
      <c r="D410" s="18" t="n"/>
      <c r="E410" s="18" t="n"/>
      <c r="F410" s="19" t="n"/>
      <c r="G410" s="19" t="n"/>
      <c r="H410" s="20" t="n"/>
      <c r="I410" s="21" t="n"/>
      <c r="J410" s="22" t="n"/>
      <c r="K410" s="23" t="n"/>
      <c r="L410" s="18" t="n"/>
      <c r="M410" s="24">
        <f>IF(B410="","",IF(AND(F410&lt;&gt;"",G410&lt;&gt;""),MAX(0,ROUND(MOD(G410-F410,1)*24-N(H410)/60,2)),N(I410)))</f>
        <v/>
      </c>
      <c r="N410" s="14">
        <f>IF(B410="","",IF(K410&lt;&gt;"",K410,IF(N(IFERROR(INDEX(Projects!$D$6:$D$65,MATCH(D410,Projects!$B$6:$B$65,0)),""))&gt;0,IFERROR(INDEX(Projects!$D$6:$D$65,MATCH(D410,Projects!$B$6:$B$65,0)),""),IFERROR(INDEX(Clients!$G$6:$G$45,MATCH(C410,Clients!$B$6:$B$45,0)),0))))</f>
        <v/>
      </c>
      <c r="O410" s="14">
        <f>IF(B410="","",IF(J410&lt;&gt;"",0,ROUND(M410*N410,2)))</f>
        <v/>
      </c>
      <c r="P410" s="15">
        <f>IF(OR(B410="",J410&lt;&gt;""),"",IF(L410&lt;&gt;"",L410,IF(COUNTIFS(Invoices!$C$6:$C$305,C410,Invoices!$E$6:$E$305,"&lt;="&amp;B410,Invoices!$F$6:$F$305,"&gt;="&amp;B410)=1,INDEX(Invoices!$B$6:$B$305,SUMIFS(Invoices!$O$6:$O$305,Invoices!$C$6:$C$305,C410,Invoices!$E$6:$E$305,"&lt;="&amp;B410,Invoices!$F$6:$F$305,"&gt;="&amp;B410)),IF(COUNTIFS(Invoices!$C$6:$C$305,C410,Invoices!$E$6:$E$305,"&lt;="&amp;B410,Invoices!$F$6:$F$305,"&gt;="&amp;B410)&gt;1,"Two invoices",""))))</f>
        <v/>
      </c>
      <c r="Q410" s="15">
        <f>IF(B410="","",IF(J410&lt;&gt;"","Not billable",IF(P410="","To invoice",IF(P410="Two invoices","Check dates",IF(ISNA(MATCH(P410,Invoices!$B$6:$B$305,0)),"Check number",IF(INDEX(Invoices!$M$6:$M$305,MATCH(P410,Invoices!$B$6:$B$305,0))="Paid","Paid",IF(INDEX(Invoices!$M$6:$M$305,MATCH(P410,Invoices!$B$6:$B$305,0))="Draft","Draft","Invoiced")))))))</f>
        <v/>
      </c>
      <c r="R410" s="1">
        <f>IF(AND(B410&lt;&gt;"",P410&lt;&gt;"",P410=Invoice!$G$4),B410+MOD(N(F410),1)+ROW()/10000000,"")</f>
        <v/>
      </c>
      <c r="S410">
        <f>IF(R410="","",IF(D410="","Other work",D410)&amp;IF(AND(K410&lt;&gt;"",E410&lt;&gt;""),", "&amp;E410,""))</f>
        <v/>
      </c>
      <c r="T410">
        <f>IF(R410="","",IF(COUNTIFS(R$6:R409,"&gt;0",S$6:S409,S410,N$6:N409,N410)=0,R410,""))</f>
        <v/>
      </c>
      <c r="U410">
        <f>IF(B410="","",IF(J410&lt;&gt;"",0,M410))</f>
        <v/>
      </c>
    </row>
    <row r="411">
      <c r="A411" s="1" t="n"/>
      <c r="B411" s="16" t="n"/>
      <c r="C411" s="17" t="n"/>
      <c r="D411" s="18" t="n"/>
      <c r="E411" s="18" t="n"/>
      <c r="F411" s="19" t="n"/>
      <c r="G411" s="19" t="n"/>
      <c r="H411" s="20" t="n"/>
      <c r="I411" s="21" t="n"/>
      <c r="J411" s="22" t="n"/>
      <c r="K411" s="23" t="n"/>
      <c r="L411" s="18" t="n"/>
      <c r="M411" s="24">
        <f>IF(B411="","",IF(AND(F411&lt;&gt;"",G411&lt;&gt;""),MAX(0,ROUND(MOD(G411-F411,1)*24-N(H411)/60,2)),N(I411)))</f>
        <v/>
      </c>
      <c r="N411" s="14">
        <f>IF(B411="","",IF(K411&lt;&gt;"",K411,IF(N(IFERROR(INDEX(Projects!$D$6:$D$65,MATCH(D411,Projects!$B$6:$B$65,0)),""))&gt;0,IFERROR(INDEX(Projects!$D$6:$D$65,MATCH(D411,Projects!$B$6:$B$65,0)),""),IFERROR(INDEX(Clients!$G$6:$G$45,MATCH(C411,Clients!$B$6:$B$45,0)),0))))</f>
        <v/>
      </c>
      <c r="O411" s="14">
        <f>IF(B411="","",IF(J411&lt;&gt;"",0,ROUND(M411*N411,2)))</f>
        <v/>
      </c>
      <c r="P411" s="15">
        <f>IF(OR(B411="",J411&lt;&gt;""),"",IF(L411&lt;&gt;"",L411,IF(COUNTIFS(Invoices!$C$6:$C$305,C411,Invoices!$E$6:$E$305,"&lt;="&amp;B411,Invoices!$F$6:$F$305,"&gt;="&amp;B411)=1,INDEX(Invoices!$B$6:$B$305,SUMIFS(Invoices!$O$6:$O$305,Invoices!$C$6:$C$305,C411,Invoices!$E$6:$E$305,"&lt;="&amp;B411,Invoices!$F$6:$F$305,"&gt;="&amp;B411)),IF(COUNTIFS(Invoices!$C$6:$C$305,C411,Invoices!$E$6:$E$305,"&lt;="&amp;B411,Invoices!$F$6:$F$305,"&gt;="&amp;B411)&gt;1,"Two invoices",""))))</f>
        <v/>
      </c>
      <c r="Q411" s="15">
        <f>IF(B411="","",IF(J411&lt;&gt;"","Not billable",IF(P411="","To invoice",IF(P411="Two invoices","Check dates",IF(ISNA(MATCH(P411,Invoices!$B$6:$B$305,0)),"Check number",IF(INDEX(Invoices!$M$6:$M$305,MATCH(P411,Invoices!$B$6:$B$305,0))="Paid","Paid",IF(INDEX(Invoices!$M$6:$M$305,MATCH(P411,Invoices!$B$6:$B$305,0))="Draft","Draft","Invoiced")))))))</f>
        <v/>
      </c>
      <c r="R411" s="1">
        <f>IF(AND(B411&lt;&gt;"",P411&lt;&gt;"",P411=Invoice!$G$4),B411+MOD(N(F411),1)+ROW()/10000000,"")</f>
        <v/>
      </c>
      <c r="S411">
        <f>IF(R411="","",IF(D411="","Other work",D411)&amp;IF(AND(K411&lt;&gt;"",E411&lt;&gt;""),", "&amp;E411,""))</f>
        <v/>
      </c>
      <c r="T411">
        <f>IF(R411="","",IF(COUNTIFS(R$6:R410,"&gt;0",S$6:S410,S411,N$6:N410,N411)=0,R411,""))</f>
        <v/>
      </c>
      <c r="U411">
        <f>IF(B411="","",IF(J411&lt;&gt;"",0,M411))</f>
        <v/>
      </c>
    </row>
    <row r="412">
      <c r="A412" s="1" t="n"/>
      <c r="B412" s="16" t="n"/>
      <c r="C412" s="17" t="n"/>
      <c r="D412" s="18" t="n"/>
      <c r="E412" s="18" t="n"/>
      <c r="F412" s="19" t="n"/>
      <c r="G412" s="19" t="n"/>
      <c r="H412" s="20" t="n"/>
      <c r="I412" s="21" t="n"/>
      <c r="J412" s="22" t="n"/>
      <c r="K412" s="23" t="n"/>
      <c r="L412" s="18" t="n"/>
      <c r="M412" s="24">
        <f>IF(B412="","",IF(AND(F412&lt;&gt;"",G412&lt;&gt;""),MAX(0,ROUND(MOD(G412-F412,1)*24-N(H412)/60,2)),N(I412)))</f>
        <v/>
      </c>
      <c r="N412" s="14">
        <f>IF(B412="","",IF(K412&lt;&gt;"",K412,IF(N(IFERROR(INDEX(Projects!$D$6:$D$65,MATCH(D412,Projects!$B$6:$B$65,0)),""))&gt;0,IFERROR(INDEX(Projects!$D$6:$D$65,MATCH(D412,Projects!$B$6:$B$65,0)),""),IFERROR(INDEX(Clients!$G$6:$G$45,MATCH(C412,Clients!$B$6:$B$45,0)),0))))</f>
        <v/>
      </c>
      <c r="O412" s="14">
        <f>IF(B412="","",IF(J412&lt;&gt;"",0,ROUND(M412*N412,2)))</f>
        <v/>
      </c>
      <c r="P412" s="15">
        <f>IF(OR(B412="",J412&lt;&gt;""),"",IF(L412&lt;&gt;"",L412,IF(COUNTIFS(Invoices!$C$6:$C$305,C412,Invoices!$E$6:$E$305,"&lt;="&amp;B412,Invoices!$F$6:$F$305,"&gt;="&amp;B412)=1,INDEX(Invoices!$B$6:$B$305,SUMIFS(Invoices!$O$6:$O$305,Invoices!$C$6:$C$305,C412,Invoices!$E$6:$E$305,"&lt;="&amp;B412,Invoices!$F$6:$F$305,"&gt;="&amp;B412)),IF(COUNTIFS(Invoices!$C$6:$C$305,C412,Invoices!$E$6:$E$305,"&lt;="&amp;B412,Invoices!$F$6:$F$305,"&gt;="&amp;B412)&gt;1,"Two invoices",""))))</f>
        <v/>
      </c>
      <c r="Q412" s="15">
        <f>IF(B412="","",IF(J412&lt;&gt;"","Not billable",IF(P412="","To invoice",IF(P412="Two invoices","Check dates",IF(ISNA(MATCH(P412,Invoices!$B$6:$B$305,0)),"Check number",IF(INDEX(Invoices!$M$6:$M$305,MATCH(P412,Invoices!$B$6:$B$305,0))="Paid","Paid",IF(INDEX(Invoices!$M$6:$M$305,MATCH(P412,Invoices!$B$6:$B$305,0))="Draft","Draft","Invoiced")))))))</f>
        <v/>
      </c>
      <c r="R412" s="1">
        <f>IF(AND(B412&lt;&gt;"",P412&lt;&gt;"",P412=Invoice!$G$4),B412+MOD(N(F412),1)+ROW()/10000000,"")</f>
        <v/>
      </c>
      <c r="S412">
        <f>IF(R412="","",IF(D412="","Other work",D412)&amp;IF(AND(K412&lt;&gt;"",E412&lt;&gt;""),", "&amp;E412,""))</f>
        <v/>
      </c>
      <c r="T412">
        <f>IF(R412="","",IF(COUNTIFS(R$6:R411,"&gt;0",S$6:S411,S412,N$6:N411,N412)=0,R412,""))</f>
        <v/>
      </c>
      <c r="U412">
        <f>IF(B412="","",IF(J412&lt;&gt;"",0,M412))</f>
        <v/>
      </c>
    </row>
    <row r="413">
      <c r="A413" s="1" t="n"/>
      <c r="B413" s="16" t="n"/>
      <c r="C413" s="17" t="n"/>
      <c r="D413" s="18" t="n"/>
      <c r="E413" s="18" t="n"/>
      <c r="F413" s="19" t="n"/>
      <c r="G413" s="19" t="n"/>
      <c r="H413" s="20" t="n"/>
      <c r="I413" s="21" t="n"/>
      <c r="J413" s="22" t="n"/>
      <c r="K413" s="23" t="n"/>
      <c r="L413" s="18" t="n"/>
      <c r="M413" s="24">
        <f>IF(B413="","",IF(AND(F413&lt;&gt;"",G413&lt;&gt;""),MAX(0,ROUND(MOD(G413-F413,1)*24-N(H413)/60,2)),N(I413)))</f>
        <v/>
      </c>
      <c r="N413" s="14">
        <f>IF(B413="","",IF(K413&lt;&gt;"",K413,IF(N(IFERROR(INDEX(Projects!$D$6:$D$65,MATCH(D413,Projects!$B$6:$B$65,0)),""))&gt;0,IFERROR(INDEX(Projects!$D$6:$D$65,MATCH(D413,Projects!$B$6:$B$65,0)),""),IFERROR(INDEX(Clients!$G$6:$G$45,MATCH(C413,Clients!$B$6:$B$45,0)),0))))</f>
        <v/>
      </c>
      <c r="O413" s="14">
        <f>IF(B413="","",IF(J413&lt;&gt;"",0,ROUND(M413*N413,2)))</f>
        <v/>
      </c>
      <c r="P413" s="15">
        <f>IF(OR(B413="",J413&lt;&gt;""),"",IF(L413&lt;&gt;"",L413,IF(COUNTIFS(Invoices!$C$6:$C$305,C413,Invoices!$E$6:$E$305,"&lt;="&amp;B413,Invoices!$F$6:$F$305,"&gt;="&amp;B413)=1,INDEX(Invoices!$B$6:$B$305,SUMIFS(Invoices!$O$6:$O$305,Invoices!$C$6:$C$305,C413,Invoices!$E$6:$E$305,"&lt;="&amp;B413,Invoices!$F$6:$F$305,"&gt;="&amp;B413)),IF(COUNTIFS(Invoices!$C$6:$C$305,C413,Invoices!$E$6:$E$305,"&lt;="&amp;B413,Invoices!$F$6:$F$305,"&gt;="&amp;B413)&gt;1,"Two invoices",""))))</f>
        <v/>
      </c>
      <c r="Q413" s="15">
        <f>IF(B413="","",IF(J413&lt;&gt;"","Not billable",IF(P413="","To invoice",IF(P413="Two invoices","Check dates",IF(ISNA(MATCH(P413,Invoices!$B$6:$B$305,0)),"Check number",IF(INDEX(Invoices!$M$6:$M$305,MATCH(P413,Invoices!$B$6:$B$305,0))="Paid","Paid",IF(INDEX(Invoices!$M$6:$M$305,MATCH(P413,Invoices!$B$6:$B$305,0))="Draft","Draft","Invoiced")))))))</f>
        <v/>
      </c>
      <c r="R413" s="1">
        <f>IF(AND(B413&lt;&gt;"",P413&lt;&gt;"",P413=Invoice!$G$4),B413+MOD(N(F413),1)+ROW()/10000000,"")</f>
        <v/>
      </c>
      <c r="S413">
        <f>IF(R413="","",IF(D413="","Other work",D413)&amp;IF(AND(K413&lt;&gt;"",E413&lt;&gt;""),", "&amp;E413,""))</f>
        <v/>
      </c>
      <c r="T413">
        <f>IF(R413="","",IF(COUNTIFS(R$6:R412,"&gt;0",S$6:S412,S413,N$6:N412,N413)=0,R413,""))</f>
        <v/>
      </c>
      <c r="U413">
        <f>IF(B413="","",IF(J413&lt;&gt;"",0,M413))</f>
        <v/>
      </c>
    </row>
    <row r="414">
      <c r="A414" s="1" t="n"/>
      <c r="B414" s="16" t="n"/>
      <c r="C414" s="17" t="n"/>
      <c r="D414" s="18" t="n"/>
      <c r="E414" s="18" t="n"/>
      <c r="F414" s="19" t="n"/>
      <c r="G414" s="19" t="n"/>
      <c r="H414" s="20" t="n"/>
      <c r="I414" s="21" t="n"/>
      <c r="J414" s="22" t="n"/>
      <c r="K414" s="23" t="n"/>
      <c r="L414" s="18" t="n"/>
      <c r="M414" s="24">
        <f>IF(B414="","",IF(AND(F414&lt;&gt;"",G414&lt;&gt;""),MAX(0,ROUND(MOD(G414-F414,1)*24-N(H414)/60,2)),N(I414)))</f>
        <v/>
      </c>
      <c r="N414" s="14">
        <f>IF(B414="","",IF(K414&lt;&gt;"",K414,IF(N(IFERROR(INDEX(Projects!$D$6:$D$65,MATCH(D414,Projects!$B$6:$B$65,0)),""))&gt;0,IFERROR(INDEX(Projects!$D$6:$D$65,MATCH(D414,Projects!$B$6:$B$65,0)),""),IFERROR(INDEX(Clients!$G$6:$G$45,MATCH(C414,Clients!$B$6:$B$45,0)),0))))</f>
        <v/>
      </c>
      <c r="O414" s="14">
        <f>IF(B414="","",IF(J414&lt;&gt;"",0,ROUND(M414*N414,2)))</f>
        <v/>
      </c>
      <c r="P414" s="15">
        <f>IF(OR(B414="",J414&lt;&gt;""),"",IF(L414&lt;&gt;"",L414,IF(COUNTIFS(Invoices!$C$6:$C$305,C414,Invoices!$E$6:$E$305,"&lt;="&amp;B414,Invoices!$F$6:$F$305,"&gt;="&amp;B414)=1,INDEX(Invoices!$B$6:$B$305,SUMIFS(Invoices!$O$6:$O$305,Invoices!$C$6:$C$305,C414,Invoices!$E$6:$E$305,"&lt;="&amp;B414,Invoices!$F$6:$F$305,"&gt;="&amp;B414)),IF(COUNTIFS(Invoices!$C$6:$C$305,C414,Invoices!$E$6:$E$305,"&lt;="&amp;B414,Invoices!$F$6:$F$305,"&gt;="&amp;B414)&gt;1,"Two invoices",""))))</f>
        <v/>
      </c>
      <c r="Q414" s="15">
        <f>IF(B414="","",IF(J414&lt;&gt;"","Not billable",IF(P414="","To invoice",IF(P414="Two invoices","Check dates",IF(ISNA(MATCH(P414,Invoices!$B$6:$B$305,0)),"Check number",IF(INDEX(Invoices!$M$6:$M$305,MATCH(P414,Invoices!$B$6:$B$305,0))="Paid","Paid",IF(INDEX(Invoices!$M$6:$M$305,MATCH(P414,Invoices!$B$6:$B$305,0))="Draft","Draft","Invoiced")))))))</f>
        <v/>
      </c>
      <c r="R414" s="1">
        <f>IF(AND(B414&lt;&gt;"",P414&lt;&gt;"",P414=Invoice!$G$4),B414+MOD(N(F414),1)+ROW()/10000000,"")</f>
        <v/>
      </c>
      <c r="S414">
        <f>IF(R414="","",IF(D414="","Other work",D414)&amp;IF(AND(K414&lt;&gt;"",E414&lt;&gt;""),", "&amp;E414,""))</f>
        <v/>
      </c>
      <c r="T414">
        <f>IF(R414="","",IF(COUNTIFS(R$6:R413,"&gt;0",S$6:S413,S414,N$6:N413,N414)=0,R414,""))</f>
        <v/>
      </c>
      <c r="U414">
        <f>IF(B414="","",IF(J414&lt;&gt;"",0,M414))</f>
        <v/>
      </c>
    </row>
    <row r="415">
      <c r="A415" s="1" t="n"/>
      <c r="B415" s="16" t="n"/>
      <c r="C415" s="17" t="n"/>
      <c r="D415" s="18" t="n"/>
      <c r="E415" s="18" t="n"/>
      <c r="F415" s="19" t="n"/>
      <c r="G415" s="19" t="n"/>
      <c r="H415" s="20" t="n"/>
      <c r="I415" s="21" t="n"/>
      <c r="J415" s="22" t="n"/>
      <c r="K415" s="23" t="n"/>
      <c r="L415" s="18" t="n"/>
      <c r="M415" s="24">
        <f>IF(B415="","",IF(AND(F415&lt;&gt;"",G415&lt;&gt;""),MAX(0,ROUND(MOD(G415-F415,1)*24-N(H415)/60,2)),N(I415)))</f>
        <v/>
      </c>
      <c r="N415" s="14">
        <f>IF(B415="","",IF(K415&lt;&gt;"",K415,IF(N(IFERROR(INDEX(Projects!$D$6:$D$65,MATCH(D415,Projects!$B$6:$B$65,0)),""))&gt;0,IFERROR(INDEX(Projects!$D$6:$D$65,MATCH(D415,Projects!$B$6:$B$65,0)),""),IFERROR(INDEX(Clients!$G$6:$G$45,MATCH(C415,Clients!$B$6:$B$45,0)),0))))</f>
        <v/>
      </c>
      <c r="O415" s="14">
        <f>IF(B415="","",IF(J415&lt;&gt;"",0,ROUND(M415*N415,2)))</f>
        <v/>
      </c>
      <c r="P415" s="15">
        <f>IF(OR(B415="",J415&lt;&gt;""),"",IF(L415&lt;&gt;"",L415,IF(COUNTIFS(Invoices!$C$6:$C$305,C415,Invoices!$E$6:$E$305,"&lt;="&amp;B415,Invoices!$F$6:$F$305,"&gt;="&amp;B415)=1,INDEX(Invoices!$B$6:$B$305,SUMIFS(Invoices!$O$6:$O$305,Invoices!$C$6:$C$305,C415,Invoices!$E$6:$E$305,"&lt;="&amp;B415,Invoices!$F$6:$F$305,"&gt;="&amp;B415)),IF(COUNTIFS(Invoices!$C$6:$C$305,C415,Invoices!$E$6:$E$305,"&lt;="&amp;B415,Invoices!$F$6:$F$305,"&gt;="&amp;B415)&gt;1,"Two invoices",""))))</f>
        <v/>
      </c>
      <c r="Q415" s="15">
        <f>IF(B415="","",IF(J415&lt;&gt;"","Not billable",IF(P415="","To invoice",IF(P415="Two invoices","Check dates",IF(ISNA(MATCH(P415,Invoices!$B$6:$B$305,0)),"Check number",IF(INDEX(Invoices!$M$6:$M$305,MATCH(P415,Invoices!$B$6:$B$305,0))="Paid","Paid",IF(INDEX(Invoices!$M$6:$M$305,MATCH(P415,Invoices!$B$6:$B$305,0))="Draft","Draft","Invoiced")))))))</f>
        <v/>
      </c>
      <c r="R415" s="1">
        <f>IF(AND(B415&lt;&gt;"",P415&lt;&gt;"",P415=Invoice!$G$4),B415+MOD(N(F415),1)+ROW()/10000000,"")</f>
        <v/>
      </c>
      <c r="S415">
        <f>IF(R415="","",IF(D415="","Other work",D415)&amp;IF(AND(K415&lt;&gt;"",E415&lt;&gt;""),", "&amp;E415,""))</f>
        <v/>
      </c>
      <c r="T415">
        <f>IF(R415="","",IF(COUNTIFS(R$6:R414,"&gt;0",S$6:S414,S415,N$6:N414,N415)=0,R415,""))</f>
        <v/>
      </c>
      <c r="U415">
        <f>IF(B415="","",IF(J415&lt;&gt;"",0,M415))</f>
        <v/>
      </c>
    </row>
    <row r="416">
      <c r="A416" s="1" t="n"/>
      <c r="B416" s="16" t="n"/>
      <c r="C416" s="17" t="n"/>
      <c r="D416" s="18" t="n"/>
      <c r="E416" s="18" t="n"/>
      <c r="F416" s="19" t="n"/>
      <c r="G416" s="19" t="n"/>
      <c r="H416" s="20" t="n"/>
      <c r="I416" s="21" t="n"/>
      <c r="J416" s="22" t="n"/>
      <c r="K416" s="23" t="n"/>
      <c r="L416" s="18" t="n"/>
      <c r="M416" s="24">
        <f>IF(B416="","",IF(AND(F416&lt;&gt;"",G416&lt;&gt;""),MAX(0,ROUND(MOD(G416-F416,1)*24-N(H416)/60,2)),N(I416)))</f>
        <v/>
      </c>
      <c r="N416" s="14">
        <f>IF(B416="","",IF(K416&lt;&gt;"",K416,IF(N(IFERROR(INDEX(Projects!$D$6:$D$65,MATCH(D416,Projects!$B$6:$B$65,0)),""))&gt;0,IFERROR(INDEX(Projects!$D$6:$D$65,MATCH(D416,Projects!$B$6:$B$65,0)),""),IFERROR(INDEX(Clients!$G$6:$G$45,MATCH(C416,Clients!$B$6:$B$45,0)),0))))</f>
        <v/>
      </c>
      <c r="O416" s="14">
        <f>IF(B416="","",IF(J416&lt;&gt;"",0,ROUND(M416*N416,2)))</f>
        <v/>
      </c>
      <c r="P416" s="15">
        <f>IF(OR(B416="",J416&lt;&gt;""),"",IF(L416&lt;&gt;"",L416,IF(COUNTIFS(Invoices!$C$6:$C$305,C416,Invoices!$E$6:$E$305,"&lt;="&amp;B416,Invoices!$F$6:$F$305,"&gt;="&amp;B416)=1,INDEX(Invoices!$B$6:$B$305,SUMIFS(Invoices!$O$6:$O$305,Invoices!$C$6:$C$305,C416,Invoices!$E$6:$E$305,"&lt;="&amp;B416,Invoices!$F$6:$F$305,"&gt;="&amp;B416)),IF(COUNTIFS(Invoices!$C$6:$C$305,C416,Invoices!$E$6:$E$305,"&lt;="&amp;B416,Invoices!$F$6:$F$305,"&gt;="&amp;B416)&gt;1,"Two invoices",""))))</f>
        <v/>
      </c>
      <c r="Q416" s="15">
        <f>IF(B416="","",IF(J416&lt;&gt;"","Not billable",IF(P416="","To invoice",IF(P416="Two invoices","Check dates",IF(ISNA(MATCH(P416,Invoices!$B$6:$B$305,0)),"Check number",IF(INDEX(Invoices!$M$6:$M$305,MATCH(P416,Invoices!$B$6:$B$305,0))="Paid","Paid",IF(INDEX(Invoices!$M$6:$M$305,MATCH(P416,Invoices!$B$6:$B$305,0))="Draft","Draft","Invoiced")))))))</f>
        <v/>
      </c>
      <c r="R416" s="1">
        <f>IF(AND(B416&lt;&gt;"",P416&lt;&gt;"",P416=Invoice!$G$4),B416+MOD(N(F416),1)+ROW()/10000000,"")</f>
        <v/>
      </c>
      <c r="S416">
        <f>IF(R416="","",IF(D416="","Other work",D416)&amp;IF(AND(K416&lt;&gt;"",E416&lt;&gt;""),", "&amp;E416,""))</f>
        <v/>
      </c>
      <c r="T416">
        <f>IF(R416="","",IF(COUNTIFS(R$6:R415,"&gt;0",S$6:S415,S416,N$6:N415,N416)=0,R416,""))</f>
        <v/>
      </c>
      <c r="U416">
        <f>IF(B416="","",IF(J416&lt;&gt;"",0,M416))</f>
        <v/>
      </c>
    </row>
    <row r="417">
      <c r="A417" s="1" t="n"/>
      <c r="B417" s="16" t="n"/>
      <c r="C417" s="17" t="n"/>
      <c r="D417" s="18" t="n"/>
      <c r="E417" s="18" t="n"/>
      <c r="F417" s="19" t="n"/>
      <c r="G417" s="19" t="n"/>
      <c r="H417" s="20" t="n"/>
      <c r="I417" s="21" t="n"/>
      <c r="J417" s="22" t="n"/>
      <c r="K417" s="23" t="n"/>
      <c r="L417" s="18" t="n"/>
      <c r="M417" s="24">
        <f>IF(B417="","",IF(AND(F417&lt;&gt;"",G417&lt;&gt;""),MAX(0,ROUND(MOD(G417-F417,1)*24-N(H417)/60,2)),N(I417)))</f>
        <v/>
      </c>
      <c r="N417" s="14">
        <f>IF(B417="","",IF(K417&lt;&gt;"",K417,IF(N(IFERROR(INDEX(Projects!$D$6:$D$65,MATCH(D417,Projects!$B$6:$B$65,0)),""))&gt;0,IFERROR(INDEX(Projects!$D$6:$D$65,MATCH(D417,Projects!$B$6:$B$65,0)),""),IFERROR(INDEX(Clients!$G$6:$G$45,MATCH(C417,Clients!$B$6:$B$45,0)),0))))</f>
        <v/>
      </c>
      <c r="O417" s="14">
        <f>IF(B417="","",IF(J417&lt;&gt;"",0,ROUND(M417*N417,2)))</f>
        <v/>
      </c>
      <c r="P417" s="15">
        <f>IF(OR(B417="",J417&lt;&gt;""),"",IF(L417&lt;&gt;"",L417,IF(COUNTIFS(Invoices!$C$6:$C$305,C417,Invoices!$E$6:$E$305,"&lt;="&amp;B417,Invoices!$F$6:$F$305,"&gt;="&amp;B417)=1,INDEX(Invoices!$B$6:$B$305,SUMIFS(Invoices!$O$6:$O$305,Invoices!$C$6:$C$305,C417,Invoices!$E$6:$E$305,"&lt;="&amp;B417,Invoices!$F$6:$F$305,"&gt;="&amp;B417)),IF(COUNTIFS(Invoices!$C$6:$C$305,C417,Invoices!$E$6:$E$305,"&lt;="&amp;B417,Invoices!$F$6:$F$305,"&gt;="&amp;B417)&gt;1,"Two invoices",""))))</f>
        <v/>
      </c>
      <c r="Q417" s="15">
        <f>IF(B417="","",IF(J417&lt;&gt;"","Not billable",IF(P417="","To invoice",IF(P417="Two invoices","Check dates",IF(ISNA(MATCH(P417,Invoices!$B$6:$B$305,0)),"Check number",IF(INDEX(Invoices!$M$6:$M$305,MATCH(P417,Invoices!$B$6:$B$305,0))="Paid","Paid",IF(INDEX(Invoices!$M$6:$M$305,MATCH(P417,Invoices!$B$6:$B$305,0))="Draft","Draft","Invoiced")))))))</f>
        <v/>
      </c>
      <c r="R417" s="1">
        <f>IF(AND(B417&lt;&gt;"",P417&lt;&gt;"",P417=Invoice!$G$4),B417+MOD(N(F417),1)+ROW()/10000000,"")</f>
        <v/>
      </c>
      <c r="S417">
        <f>IF(R417="","",IF(D417="","Other work",D417)&amp;IF(AND(K417&lt;&gt;"",E417&lt;&gt;""),", "&amp;E417,""))</f>
        <v/>
      </c>
      <c r="T417">
        <f>IF(R417="","",IF(COUNTIFS(R$6:R416,"&gt;0",S$6:S416,S417,N$6:N416,N417)=0,R417,""))</f>
        <v/>
      </c>
      <c r="U417">
        <f>IF(B417="","",IF(J417&lt;&gt;"",0,M417))</f>
        <v/>
      </c>
    </row>
    <row r="418">
      <c r="A418" s="1" t="n"/>
      <c r="B418" s="16" t="n"/>
      <c r="C418" s="17" t="n"/>
      <c r="D418" s="18" t="n"/>
      <c r="E418" s="18" t="n"/>
      <c r="F418" s="19" t="n"/>
      <c r="G418" s="19" t="n"/>
      <c r="H418" s="20" t="n"/>
      <c r="I418" s="21" t="n"/>
      <c r="J418" s="22" t="n"/>
      <c r="K418" s="23" t="n"/>
      <c r="L418" s="18" t="n"/>
      <c r="M418" s="24">
        <f>IF(B418="","",IF(AND(F418&lt;&gt;"",G418&lt;&gt;""),MAX(0,ROUND(MOD(G418-F418,1)*24-N(H418)/60,2)),N(I418)))</f>
        <v/>
      </c>
      <c r="N418" s="14">
        <f>IF(B418="","",IF(K418&lt;&gt;"",K418,IF(N(IFERROR(INDEX(Projects!$D$6:$D$65,MATCH(D418,Projects!$B$6:$B$65,0)),""))&gt;0,IFERROR(INDEX(Projects!$D$6:$D$65,MATCH(D418,Projects!$B$6:$B$65,0)),""),IFERROR(INDEX(Clients!$G$6:$G$45,MATCH(C418,Clients!$B$6:$B$45,0)),0))))</f>
        <v/>
      </c>
      <c r="O418" s="14">
        <f>IF(B418="","",IF(J418&lt;&gt;"",0,ROUND(M418*N418,2)))</f>
        <v/>
      </c>
      <c r="P418" s="15">
        <f>IF(OR(B418="",J418&lt;&gt;""),"",IF(L418&lt;&gt;"",L418,IF(COUNTIFS(Invoices!$C$6:$C$305,C418,Invoices!$E$6:$E$305,"&lt;="&amp;B418,Invoices!$F$6:$F$305,"&gt;="&amp;B418)=1,INDEX(Invoices!$B$6:$B$305,SUMIFS(Invoices!$O$6:$O$305,Invoices!$C$6:$C$305,C418,Invoices!$E$6:$E$305,"&lt;="&amp;B418,Invoices!$F$6:$F$305,"&gt;="&amp;B418)),IF(COUNTIFS(Invoices!$C$6:$C$305,C418,Invoices!$E$6:$E$305,"&lt;="&amp;B418,Invoices!$F$6:$F$305,"&gt;="&amp;B418)&gt;1,"Two invoices",""))))</f>
        <v/>
      </c>
      <c r="Q418" s="15">
        <f>IF(B418="","",IF(J418&lt;&gt;"","Not billable",IF(P418="","To invoice",IF(P418="Two invoices","Check dates",IF(ISNA(MATCH(P418,Invoices!$B$6:$B$305,0)),"Check number",IF(INDEX(Invoices!$M$6:$M$305,MATCH(P418,Invoices!$B$6:$B$305,0))="Paid","Paid",IF(INDEX(Invoices!$M$6:$M$305,MATCH(P418,Invoices!$B$6:$B$305,0))="Draft","Draft","Invoiced")))))))</f>
        <v/>
      </c>
      <c r="R418" s="1">
        <f>IF(AND(B418&lt;&gt;"",P418&lt;&gt;"",P418=Invoice!$G$4),B418+MOD(N(F418),1)+ROW()/10000000,"")</f>
        <v/>
      </c>
      <c r="S418">
        <f>IF(R418="","",IF(D418="","Other work",D418)&amp;IF(AND(K418&lt;&gt;"",E418&lt;&gt;""),", "&amp;E418,""))</f>
        <v/>
      </c>
      <c r="T418">
        <f>IF(R418="","",IF(COUNTIFS(R$6:R417,"&gt;0",S$6:S417,S418,N$6:N417,N418)=0,R418,""))</f>
        <v/>
      </c>
      <c r="U418">
        <f>IF(B418="","",IF(J418&lt;&gt;"",0,M418))</f>
        <v/>
      </c>
    </row>
    <row r="419">
      <c r="A419" s="1" t="n"/>
      <c r="B419" s="16" t="n"/>
      <c r="C419" s="17" t="n"/>
      <c r="D419" s="18" t="n"/>
      <c r="E419" s="18" t="n"/>
      <c r="F419" s="19" t="n"/>
      <c r="G419" s="19" t="n"/>
      <c r="H419" s="20" t="n"/>
      <c r="I419" s="21" t="n"/>
      <c r="J419" s="22" t="n"/>
      <c r="K419" s="23" t="n"/>
      <c r="L419" s="18" t="n"/>
      <c r="M419" s="24">
        <f>IF(B419="","",IF(AND(F419&lt;&gt;"",G419&lt;&gt;""),MAX(0,ROUND(MOD(G419-F419,1)*24-N(H419)/60,2)),N(I419)))</f>
        <v/>
      </c>
      <c r="N419" s="14">
        <f>IF(B419="","",IF(K419&lt;&gt;"",K419,IF(N(IFERROR(INDEX(Projects!$D$6:$D$65,MATCH(D419,Projects!$B$6:$B$65,0)),""))&gt;0,IFERROR(INDEX(Projects!$D$6:$D$65,MATCH(D419,Projects!$B$6:$B$65,0)),""),IFERROR(INDEX(Clients!$G$6:$G$45,MATCH(C419,Clients!$B$6:$B$45,0)),0))))</f>
        <v/>
      </c>
      <c r="O419" s="14">
        <f>IF(B419="","",IF(J419&lt;&gt;"",0,ROUND(M419*N419,2)))</f>
        <v/>
      </c>
      <c r="P419" s="15">
        <f>IF(OR(B419="",J419&lt;&gt;""),"",IF(L419&lt;&gt;"",L419,IF(COUNTIFS(Invoices!$C$6:$C$305,C419,Invoices!$E$6:$E$305,"&lt;="&amp;B419,Invoices!$F$6:$F$305,"&gt;="&amp;B419)=1,INDEX(Invoices!$B$6:$B$305,SUMIFS(Invoices!$O$6:$O$305,Invoices!$C$6:$C$305,C419,Invoices!$E$6:$E$305,"&lt;="&amp;B419,Invoices!$F$6:$F$305,"&gt;="&amp;B419)),IF(COUNTIFS(Invoices!$C$6:$C$305,C419,Invoices!$E$6:$E$305,"&lt;="&amp;B419,Invoices!$F$6:$F$305,"&gt;="&amp;B419)&gt;1,"Two invoices",""))))</f>
        <v/>
      </c>
      <c r="Q419" s="15">
        <f>IF(B419="","",IF(J419&lt;&gt;"","Not billable",IF(P419="","To invoice",IF(P419="Two invoices","Check dates",IF(ISNA(MATCH(P419,Invoices!$B$6:$B$305,0)),"Check number",IF(INDEX(Invoices!$M$6:$M$305,MATCH(P419,Invoices!$B$6:$B$305,0))="Paid","Paid",IF(INDEX(Invoices!$M$6:$M$305,MATCH(P419,Invoices!$B$6:$B$305,0))="Draft","Draft","Invoiced")))))))</f>
        <v/>
      </c>
      <c r="R419" s="1">
        <f>IF(AND(B419&lt;&gt;"",P419&lt;&gt;"",P419=Invoice!$G$4),B419+MOD(N(F419),1)+ROW()/10000000,"")</f>
        <v/>
      </c>
      <c r="S419">
        <f>IF(R419="","",IF(D419="","Other work",D419)&amp;IF(AND(K419&lt;&gt;"",E419&lt;&gt;""),", "&amp;E419,""))</f>
        <v/>
      </c>
      <c r="T419">
        <f>IF(R419="","",IF(COUNTIFS(R$6:R418,"&gt;0",S$6:S418,S419,N$6:N418,N419)=0,R419,""))</f>
        <v/>
      </c>
      <c r="U419">
        <f>IF(B419="","",IF(J419&lt;&gt;"",0,M419))</f>
        <v/>
      </c>
    </row>
    <row r="420">
      <c r="A420" s="1" t="n"/>
      <c r="B420" s="16" t="n"/>
      <c r="C420" s="17" t="n"/>
      <c r="D420" s="18" t="n"/>
      <c r="E420" s="18" t="n"/>
      <c r="F420" s="19" t="n"/>
      <c r="G420" s="19" t="n"/>
      <c r="H420" s="20" t="n"/>
      <c r="I420" s="21" t="n"/>
      <c r="J420" s="22" t="n"/>
      <c r="K420" s="23" t="n"/>
      <c r="L420" s="18" t="n"/>
      <c r="M420" s="24">
        <f>IF(B420="","",IF(AND(F420&lt;&gt;"",G420&lt;&gt;""),MAX(0,ROUND(MOD(G420-F420,1)*24-N(H420)/60,2)),N(I420)))</f>
        <v/>
      </c>
      <c r="N420" s="14">
        <f>IF(B420="","",IF(K420&lt;&gt;"",K420,IF(N(IFERROR(INDEX(Projects!$D$6:$D$65,MATCH(D420,Projects!$B$6:$B$65,0)),""))&gt;0,IFERROR(INDEX(Projects!$D$6:$D$65,MATCH(D420,Projects!$B$6:$B$65,0)),""),IFERROR(INDEX(Clients!$G$6:$G$45,MATCH(C420,Clients!$B$6:$B$45,0)),0))))</f>
        <v/>
      </c>
      <c r="O420" s="14">
        <f>IF(B420="","",IF(J420&lt;&gt;"",0,ROUND(M420*N420,2)))</f>
        <v/>
      </c>
      <c r="P420" s="15">
        <f>IF(OR(B420="",J420&lt;&gt;""),"",IF(L420&lt;&gt;"",L420,IF(COUNTIFS(Invoices!$C$6:$C$305,C420,Invoices!$E$6:$E$305,"&lt;="&amp;B420,Invoices!$F$6:$F$305,"&gt;="&amp;B420)=1,INDEX(Invoices!$B$6:$B$305,SUMIFS(Invoices!$O$6:$O$305,Invoices!$C$6:$C$305,C420,Invoices!$E$6:$E$305,"&lt;="&amp;B420,Invoices!$F$6:$F$305,"&gt;="&amp;B420)),IF(COUNTIFS(Invoices!$C$6:$C$305,C420,Invoices!$E$6:$E$305,"&lt;="&amp;B420,Invoices!$F$6:$F$305,"&gt;="&amp;B420)&gt;1,"Two invoices",""))))</f>
        <v/>
      </c>
      <c r="Q420" s="15">
        <f>IF(B420="","",IF(J420&lt;&gt;"","Not billable",IF(P420="","To invoice",IF(P420="Two invoices","Check dates",IF(ISNA(MATCH(P420,Invoices!$B$6:$B$305,0)),"Check number",IF(INDEX(Invoices!$M$6:$M$305,MATCH(P420,Invoices!$B$6:$B$305,0))="Paid","Paid",IF(INDEX(Invoices!$M$6:$M$305,MATCH(P420,Invoices!$B$6:$B$305,0))="Draft","Draft","Invoiced")))))))</f>
        <v/>
      </c>
      <c r="R420" s="1">
        <f>IF(AND(B420&lt;&gt;"",P420&lt;&gt;"",P420=Invoice!$G$4),B420+MOD(N(F420),1)+ROW()/10000000,"")</f>
        <v/>
      </c>
      <c r="S420">
        <f>IF(R420="","",IF(D420="","Other work",D420)&amp;IF(AND(K420&lt;&gt;"",E420&lt;&gt;""),", "&amp;E420,""))</f>
        <v/>
      </c>
      <c r="T420">
        <f>IF(R420="","",IF(COUNTIFS(R$6:R419,"&gt;0",S$6:S419,S420,N$6:N419,N420)=0,R420,""))</f>
        <v/>
      </c>
      <c r="U420">
        <f>IF(B420="","",IF(J420&lt;&gt;"",0,M420))</f>
        <v/>
      </c>
    </row>
    <row r="421">
      <c r="A421" s="1" t="n"/>
      <c r="B421" s="16" t="n"/>
      <c r="C421" s="17" t="n"/>
      <c r="D421" s="18" t="n"/>
      <c r="E421" s="18" t="n"/>
      <c r="F421" s="19" t="n"/>
      <c r="G421" s="19" t="n"/>
      <c r="H421" s="20" t="n"/>
      <c r="I421" s="21" t="n"/>
      <c r="J421" s="22" t="n"/>
      <c r="K421" s="23" t="n"/>
      <c r="L421" s="18" t="n"/>
      <c r="M421" s="24">
        <f>IF(B421="","",IF(AND(F421&lt;&gt;"",G421&lt;&gt;""),MAX(0,ROUND(MOD(G421-F421,1)*24-N(H421)/60,2)),N(I421)))</f>
        <v/>
      </c>
      <c r="N421" s="14">
        <f>IF(B421="","",IF(K421&lt;&gt;"",K421,IF(N(IFERROR(INDEX(Projects!$D$6:$D$65,MATCH(D421,Projects!$B$6:$B$65,0)),""))&gt;0,IFERROR(INDEX(Projects!$D$6:$D$65,MATCH(D421,Projects!$B$6:$B$65,0)),""),IFERROR(INDEX(Clients!$G$6:$G$45,MATCH(C421,Clients!$B$6:$B$45,0)),0))))</f>
        <v/>
      </c>
      <c r="O421" s="14">
        <f>IF(B421="","",IF(J421&lt;&gt;"",0,ROUND(M421*N421,2)))</f>
        <v/>
      </c>
      <c r="P421" s="15">
        <f>IF(OR(B421="",J421&lt;&gt;""),"",IF(L421&lt;&gt;"",L421,IF(COUNTIFS(Invoices!$C$6:$C$305,C421,Invoices!$E$6:$E$305,"&lt;="&amp;B421,Invoices!$F$6:$F$305,"&gt;="&amp;B421)=1,INDEX(Invoices!$B$6:$B$305,SUMIFS(Invoices!$O$6:$O$305,Invoices!$C$6:$C$305,C421,Invoices!$E$6:$E$305,"&lt;="&amp;B421,Invoices!$F$6:$F$305,"&gt;="&amp;B421)),IF(COUNTIFS(Invoices!$C$6:$C$305,C421,Invoices!$E$6:$E$305,"&lt;="&amp;B421,Invoices!$F$6:$F$305,"&gt;="&amp;B421)&gt;1,"Two invoices",""))))</f>
        <v/>
      </c>
      <c r="Q421" s="15">
        <f>IF(B421="","",IF(J421&lt;&gt;"","Not billable",IF(P421="","To invoice",IF(P421="Two invoices","Check dates",IF(ISNA(MATCH(P421,Invoices!$B$6:$B$305,0)),"Check number",IF(INDEX(Invoices!$M$6:$M$305,MATCH(P421,Invoices!$B$6:$B$305,0))="Paid","Paid",IF(INDEX(Invoices!$M$6:$M$305,MATCH(P421,Invoices!$B$6:$B$305,0))="Draft","Draft","Invoiced")))))))</f>
        <v/>
      </c>
      <c r="R421" s="1">
        <f>IF(AND(B421&lt;&gt;"",P421&lt;&gt;"",P421=Invoice!$G$4),B421+MOD(N(F421),1)+ROW()/10000000,"")</f>
        <v/>
      </c>
      <c r="S421">
        <f>IF(R421="","",IF(D421="","Other work",D421)&amp;IF(AND(K421&lt;&gt;"",E421&lt;&gt;""),", "&amp;E421,""))</f>
        <v/>
      </c>
      <c r="T421">
        <f>IF(R421="","",IF(COUNTIFS(R$6:R420,"&gt;0",S$6:S420,S421,N$6:N420,N421)=0,R421,""))</f>
        <v/>
      </c>
      <c r="U421">
        <f>IF(B421="","",IF(J421&lt;&gt;"",0,M421))</f>
        <v/>
      </c>
    </row>
    <row r="422">
      <c r="A422" s="1" t="n"/>
      <c r="B422" s="16" t="n"/>
      <c r="C422" s="17" t="n"/>
      <c r="D422" s="18" t="n"/>
      <c r="E422" s="18" t="n"/>
      <c r="F422" s="19" t="n"/>
      <c r="G422" s="19" t="n"/>
      <c r="H422" s="20" t="n"/>
      <c r="I422" s="21" t="n"/>
      <c r="J422" s="22" t="n"/>
      <c r="K422" s="23" t="n"/>
      <c r="L422" s="18" t="n"/>
      <c r="M422" s="24">
        <f>IF(B422="","",IF(AND(F422&lt;&gt;"",G422&lt;&gt;""),MAX(0,ROUND(MOD(G422-F422,1)*24-N(H422)/60,2)),N(I422)))</f>
        <v/>
      </c>
      <c r="N422" s="14">
        <f>IF(B422="","",IF(K422&lt;&gt;"",K422,IF(N(IFERROR(INDEX(Projects!$D$6:$D$65,MATCH(D422,Projects!$B$6:$B$65,0)),""))&gt;0,IFERROR(INDEX(Projects!$D$6:$D$65,MATCH(D422,Projects!$B$6:$B$65,0)),""),IFERROR(INDEX(Clients!$G$6:$G$45,MATCH(C422,Clients!$B$6:$B$45,0)),0))))</f>
        <v/>
      </c>
      <c r="O422" s="14">
        <f>IF(B422="","",IF(J422&lt;&gt;"",0,ROUND(M422*N422,2)))</f>
        <v/>
      </c>
      <c r="P422" s="15">
        <f>IF(OR(B422="",J422&lt;&gt;""),"",IF(L422&lt;&gt;"",L422,IF(COUNTIFS(Invoices!$C$6:$C$305,C422,Invoices!$E$6:$E$305,"&lt;="&amp;B422,Invoices!$F$6:$F$305,"&gt;="&amp;B422)=1,INDEX(Invoices!$B$6:$B$305,SUMIFS(Invoices!$O$6:$O$305,Invoices!$C$6:$C$305,C422,Invoices!$E$6:$E$305,"&lt;="&amp;B422,Invoices!$F$6:$F$305,"&gt;="&amp;B422)),IF(COUNTIFS(Invoices!$C$6:$C$305,C422,Invoices!$E$6:$E$305,"&lt;="&amp;B422,Invoices!$F$6:$F$305,"&gt;="&amp;B422)&gt;1,"Two invoices",""))))</f>
        <v/>
      </c>
      <c r="Q422" s="15">
        <f>IF(B422="","",IF(J422&lt;&gt;"","Not billable",IF(P422="","To invoice",IF(P422="Two invoices","Check dates",IF(ISNA(MATCH(P422,Invoices!$B$6:$B$305,0)),"Check number",IF(INDEX(Invoices!$M$6:$M$305,MATCH(P422,Invoices!$B$6:$B$305,0))="Paid","Paid",IF(INDEX(Invoices!$M$6:$M$305,MATCH(P422,Invoices!$B$6:$B$305,0))="Draft","Draft","Invoiced")))))))</f>
        <v/>
      </c>
      <c r="R422" s="1">
        <f>IF(AND(B422&lt;&gt;"",P422&lt;&gt;"",P422=Invoice!$G$4),B422+MOD(N(F422),1)+ROW()/10000000,"")</f>
        <v/>
      </c>
      <c r="S422">
        <f>IF(R422="","",IF(D422="","Other work",D422)&amp;IF(AND(K422&lt;&gt;"",E422&lt;&gt;""),", "&amp;E422,""))</f>
        <v/>
      </c>
      <c r="T422">
        <f>IF(R422="","",IF(COUNTIFS(R$6:R421,"&gt;0",S$6:S421,S422,N$6:N421,N422)=0,R422,""))</f>
        <v/>
      </c>
      <c r="U422">
        <f>IF(B422="","",IF(J422&lt;&gt;"",0,M422))</f>
        <v/>
      </c>
    </row>
    <row r="423">
      <c r="A423" s="1" t="n"/>
      <c r="B423" s="16" t="n"/>
      <c r="C423" s="17" t="n"/>
      <c r="D423" s="18" t="n"/>
      <c r="E423" s="18" t="n"/>
      <c r="F423" s="19" t="n"/>
      <c r="G423" s="19" t="n"/>
      <c r="H423" s="20" t="n"/>
      <c r="I423" s="21" t="n"/>
      <c r="J423" s="22" t="n"/>
      <c r="K423" s="23" t="n"/>
      <c r="L423" s="18" t="n"/>
      <c r="M423" s="24">
        <f>IF(B423="","",IF(AND(F423&lt;&gt;"",G423&lt;&gt;""),MAX(0,ROUND(MOD(G423-F423,1)*24-N(H423)/60,2)),N(I423)))</f>
        <v/>
      </c>
      <c r="N423" s="14">
        <f>IF(B423="","",IF(K423&lt;&gt;"",K423,IF(N(IFERROR(INDEX(Projects!$D$6:$D$65,MATCH(D423,Projects!$B$6:$B$65,0)),""))&gt;0,IFERROR(INDEX(Projects!$D$6:$D$65,MATCH(D423,Projects!$B$6:$B$65,0)),""),IFERROR(INDEX(Clients!$G$6:$G$45,MATCH(C423,Clients!$B$6:$B$45,0)),0))))</f>
        <v/>
      </c>
      <c r="O423" s="14">
        <f>IF(B423="","",IF(J423&lt;&gt;"",0,ROUND(M423*N423,2)))</f>
        <v/>
      </c>
      <c r="P423" s="15">
        <f>IF(OR(B423="",J423&lt;&gt;""),"",IF(L423&lt;&gt;"",L423,IF(COUNTIFS(Invoices!$C$6:$C$305,C423,Invoices!$E$6:$E$305,"&lt;="&amp;B423,Invoices!$F$6:$F$305,"&gt;="&amp;B423)=1,INDEX(Invoices!$B$6:$B$305,SUMIFS(Invoices!$O$6:$O$305,Invoices!$C$6:$C$305,C423,Invoices!$E$6:$E$305,"&lt;="&amp;B423,Invoices!$F$6:$F$305,"&gt;="&amp;B423)),IF(COUNTIFS(Invoices!$C$6:$C$305,C423,Invoices!$E$6:$E$305,"&lt;="&amp;B423,Invoices!$F$6:$F$305,"&gt;="&amp;B423)&gt;1,"Two invoices",""))))</f>
        <v/>
      </c>
      <c r="Q423" s="15">
        <f>IF(B423="","",IF(J423&lt;&gt;"","Not billable",IF(P423="","To invoice",IF(P423="Two invoices","Check dates",IF(ISNA(MATCH(P423,Invoices!$B$6:$B$305,0)),"Check number",IF(INDEX(Invoices!$M$6:$M$305,MATCH(P423,Invoices!$B$6:$B$305,0))="Paid","Paid",IF(INDEX(Invoices!$M$6:$M$305,MATCH(P423,Invoices!$B$6:$B$305,0))="Draft","Draft","Invoiced")))))))</f>
        <v/>
      </c>
      <c r="R423" s="1">
        <f>IF(AND(B423&lt;&gt;"",P423&lt;&gt;"",P423=Invoice!$G$4),B423+MOD(N(F423),1)+ROW()/10000000,"")</f>
        <v/>
      </c>
      <c r="S423">
        <f>IF(R423="","",IF(D423="","Other work",D423)&amp;IF(AND(K423&lt;&gt;"",E423&lt;&gt;""),", "&amp;E423,""))</f>
        <v/>
      </c>
      <c r="T423">
        <f>IF(R423="","",IF(COUNTIFS(R$6:R422,"&gt;0",S$6:S422,S423,N$6:N422,N423)=0,R423,""))</f>
        <v/>
      </c>
      <c r="U423">
        <f>IF(B423="","",IF(J423&lt;&gt;"",0,M423))</f>
        <v/>
      </c>
    </row>
    <row r="424">
      <c r="A424" s="1" t="n"/>
      <c r="B424" s="16" t="n"/>
      <c r="C424" s="17" t="n"/>
      <c r="D424" s="18" t="n"/>
      <c r="E424" s="18" t="n"/>
      <c r="F424" s="19" t="n"/>
      <c r="G424" s="19" t="n"/>
      <c r="H424" s="20" t="n"/>
      <c r="I424" s="21" t="n"/>
      <c r="J424" s="22" t="n"/>
      <c r="K424" s="23" t="n"/>
      <c r="L424" s="18" t="n"/>
      <c r="M424" s="24">
        <f>IF(B424="","",IF(AND(F424&lt;&gt;"",G424&lt;&gt;""),MAX(0,ROUND(MOD(G424-F424,1)*24-N(H424)/60,2)),N(I424)))</f>
        <v/>
      </c>
      <c r="N424" s="14">
        <f>IF(B424="","",IF(K424&lt;&gt;"",K424,IF(N(IFERROR(INDEX(Projects!$D$6:$D$65,MATCH(D424,Projects!$B$6:$B$65,0)),""))&gt;0,IFERROR(INDEX(Projects!$D$6:$D$65,MATCH(D424,Projects!$B$6:$B$65,0)),""),IFERROR(INDEX(Clients!$G$6:$G$45,MATCH(C424,Clients!$B$6:$B$45,0)),0))))</f>
        <v/>
      </c>
      <c r="O424" s="14">
        <f>IF(B424="","",IF(J424&lt;&gt;"",0,ROUND(M424*N424,2)))</f>
        <v/>
      </c>
      <c r="P424" s="15">
        <f>IF(OR(B424="",J424&lt;&gt;""),"",IF(L424&lt;&gt;"",L424,IF(COUNTIFS(Invoices!$C$6:$C$305,C424,Invoices!$E$6:$E$305,"&lt;="&amp;B424,Invoices!$F$6:$F$305,"&gt;="&amp;B424)=1,INDEX(Invoices!$B$6:$B$305,SUMIFS(Invoices!$O$6:$O$305,Invoices!$C$6:$C$305,C424,Invoices!$E$6:$E$305,"&lt;="&amp;B424,Invoices!$F$6:$F$305,"&gt;="&amp;B424)),IF(COUNTIFS(Invoices!$C$6:$C$305,C424,Invoices!$E$6:$E$305,"&lt;="&amp;B424,Invoices!$F$6:$F$305,"&gt;="&amp;B424)&gt;1,"Two invoices",""))))</f>
        <v/>
      </c>
      <c r="Q424" s="15">
        <f>IF(B424="","",IF(J424&lt;&gt;"","Not billable",IF(P424="","To invoice",IF(P424="Two invoices","Check dates",IF(ISNA(MATCH(P424,Invoices!$B$6:$B$305,0)),"Check number",IF(INDEX(Invoices!$M$6:$M$305,MATCH(P424,Invoices!$B$6:$B$305,0))="Paid","Paid",IF(INDEX(Invoices!$M$6:$M$305,MATCH(P424,Invoices!$B$6:$B$305,0))="Draft","Draft","Invoiced")))))))</f>
        <v/>
      </c>
      <c r="R424" s="1">
        <f>IF(AND(B424&lt;&gt;"",P424&lt;&gt;"",P424=Invoice!$G$4),B424+MOD(N(F424),1)+ROW()/10000000,"")</f>
        <v/>
      </c>
      <c r="S424">
        <f>IF(R424="","",IF(D424="","Other work",D424)&amp;IF(AND(K424&lt;&gt;"",E424&lt;&gt;""),", "&amp;E424,""))</f>
        <v/>
      </c>
      <c r="T424">
        <f>IF(R424="","",IF(COUNTIFS(R$6:R423,"&gt;0",S$6:S423,S424,N$6:N423,N424)=0,R424,""))</f>
        <v/>
      </c>
      <c r="U424">
        <f>IF(B424="","",IF(J424&lt;&gt;"",0,M424))</f>
        <v/>
      </c>
    </row>
    <row r="425">
      <c r="A425" s="1" t="n"/>
      <c r="B425" s="16" t="n"/>
      <c r="C425" s="17" t="n"/>
      <c r="D425" s="18" t="n"/>
      <c r="E425" s="18" t="n"/>
      <c r="F425" s="19" t="n"/>
      <c r="G425" s="19" t="n"/>
      <c r="H425" s="20" t="n"/>
      <c r="I425" s="21" t="n"/>
      <c r="J425" s="22" t="n"/>
      <c r="K425" s="23" t="n"/>
      <c r="L425" s="18" t="n"/>
      <c r="M425" s="24">
        <f>IF(B425="","",IF(AND(F425&lt;&gt;"",G425&lt;&gt;""),MAX(0,ROUND(MOD(G425-F425,1)*24-N(H425)/60,2)),N(I425)))</f>
        <v/>
      </c>
      <c r="N425" s="14">
        <f>IF(B425="","",IF(K425&lt;&gt;"",K425,IF(N(IFERROR(INDEX(Projects!$D$6:$D$65,MATCH(D425,Projects!$B$6:$B$65,0)),""))&gt;0,IFERROR(INDEX(Projects!$D$6:$D$65,MATCH(D425,Projects!$B$6:$B$65,0)),""),IFERROR(INDEX(Clients!$G$6:$G$45,MATCH(C425,Clients!$B$6:$B$45,0)),0))))</f>
        <v/>
      </c>
      <c r="O425" s="14">
        <f>IF(B425="","",IF(J425&lt;&gt;"",0,ROUND(M425*N425,2)))</f>
        <v/>
      </c>
      <c r="P425" s="15">
        <f>IF(OR(B425="",J425&lt;&gt;""),"",IF(L425&lt;&gt;"",L425,IF(COUNTIFS(Invoices!$C$6:$C$305,C425,Invoices!$E$6:$E$305,"&lt;="&amp;B425,Invoices!$F$6:$F$305,"&gt;="&amp;B425)=1,INDEX(Invoices!$B$6:$B$305,SUMIFS(Invoices!$O$6:$O$305,Invoices!$C$6:$C$305,C425,Invoices!$E$6:$E$305,"&lt;="&amp;B425,Invoices!$F$6:$F$305,"&gt;="&amp;B425)),IF(COUNTIFS(Invoices!$C$6:$C$305,C425,Invoices!$E$6:$E$305,"&lt;="&amp;B425,Invoices!$F$6:$F$305,"&gt;="&amp;B425)&gt;1,"Two invoices",""))))</f>
        <v/>
      </c>
      <c r="Q425" s="15">
        <f>IF(B425="","",IF(J425&lt;&gt;"","Not billable",IF(P425="","To invoice",IF(P425="Two invoices","Check dates",IF(ISNA(MATCH(P425,Invoices!$B$6:$B$305,0)),"Check number",IF(INDEX(Invoices!$M$6:$M$305,MATCH(P425,Invoices!$B$6:$B$305,0))="Paid","Paid",IF(INDEX(Invoices!$M$6:$M$305,MATCH(P425,Invoices!$B$6:$B$305,0))="Draft","Draft","Invoiced")))))))</f>
        <v/>
      </c>
      <c r="R425" s="1">
        <f>IF(AND(B425&lt;&gt;"",P425&lt;&gt;"",P425=Invoice!$G$4),B425+MOD(N(F425),1)+ROW()/10000000,"")</f>
        <v/>
      </c>
      <c r="S425">
        <f>IF(R425="","",IF(D425="","Other work",D425)&amp;IF(AND(K425&lt;&gt;"",E425&lt;&gt;""),", "&amp;E425,""))</f>
        <v/>
      </c>
      <c r="T425">
        <f>IF(R425="","",IF(COUNTIFS(R$6:R424,"&gt;0",S$6:S424,S425,N$6:N424,N425)=0,R425,""))</f>
        <v/>
      </c>
      <c r="U425">
        <f>IF(B425="","",IF(J425&lt;&gt;"",0,M425))</f>
        <v/>
      </c>
    </row>
    <row r="426">
      <c r="A426" s="1" t="n"/>
      <c r="B426" s="16" t="n"/>
      <c r="C426" s="17" t="n"/>
      <c r="D426" s="18" t="n"/>
      <c r="E426" s="18" t="n"/>
      <c r="F426" s="19" t="n"/>
      <c r="G426" s="19" t="n"/>
      <c r="H426" s="20" t="n"/>
      <c r="I426" s="21" t="n"/>
      <c r="J426" s="22" t="n"/>
      <c r="K426" s="23" t="n"/>
      <c r="L426" s="18" t="n"/>
      <c r="M426" s="24">
        <f>IF(B426="","",IF(AND(F426&lt;&gt;"",G426&lt;&gt;""),MAX(0,ROUND(MOD(G426-F426,1)*24-N(H426)/60,2)),N(I426)))</f>
        <v/>
      </c>
      <c r="N426" s="14">
        <f>IF(B426="","",IF(K426&lt;&gt;"",K426,IF(N(IFERROR(INDEX(Projects!$D$6:$D$65,MATCH(D426,Projects!$B$6:$B$65,0)),""))&gt;0,IFERROR(INDEX(Projects!$D$6:$D$65,MATCH(D426,Projects!$B$6:$B$65,0)),""),IFERROR(INDEX(Clients!$G$6:$G$45,MATCH(C426,Clients!$B$6:$B$45,0)),0))))</f>
        <v/>
      </c>
      <c r="O426" s="14">
        <f>IF(B426="","",IF(J426&lt;&gt;"",0,ROUND(M426*N426,2)))</f>
        <v/>
      </c>
      <c r="P426" s="15">
        <f>IF(OR(B426="",J426&lt;&gt;""),"",IF(L426&lt;&gt;"",L426,IF(COUNTIFS(Invoices!$C$6:$C$305,C426,Invoices!$E$6:$E$305,"&lt;="&amp;B426,Invoices!$F$6:$F$305,"&gt;="&amp;B426)=1,INDEX(Invoices!$B$6:$B$305,SUMIFS(Invoices!$O$6:$O$305,Invoices!$C$6:$C$305,C426,Invoices!$E$6:$E$305,"&lt;="&amp;B426,Invoices!$F$6:$F$305,"&gt;="&amp;B426)),IF(COUNTIFS(Invoices!$C$6:$C$305,C426,Invoices!$E$6:$E$305,"&lt;="&amp;B426,Invoices!$F$6:$F$305,"&gt;="&amp;B426)&gt;1,"Two invoices",""))))</f>
        <v/>
      </c>
      <c r="Q426" s="15">
        <f>IF(B426="","",IF(J426&lt;&gt;"","Not billable",IF(P426="","To invoice",IF(P426="Two invoices","Check dates",IF(ISNA(MATCH(P426,Invoices!$B$6:$B$305,0)),"Check number",IF(INDEX(Invoices!$M$6:$M$305,MATCH(P426,Invoices!$B$6:$B$305,0))="Paid","Paid",IF(INDEX(Invoices!$M$6:$M$305,MATCH(P426,Invoices!$B$6:$B$305,0))="Draft","Draft","Invoiced")))))))</f>
        <v/>
      </c>
      <c r="R426" s="1">
        <f>IF(AND(B426&lt;&gt;"",P426&lt;&gt;"",P426=Invoice!$G$4),B426+MOD(N(F426),1)+ROW()/10000000,"")</f>
        <v/>
      </c>
      <c r="S426">
        <f>IF(R426="","",IF(D426="","Other work",D426)&amp;IF(AND(K426&lt;&gt;"",E426&lt;&gt;""),", "&amp;E426,""))</f>
        <v/>
      </c>
      <c r="T426">
        <f>IF(R426="","",IF(COUNTIFS(R$6:R425,"&gt;0",S$6:S425,S426,N$6:N425,N426)=0,R426,""))</f>
        <v/>
      </c>
      <c r="U426">
        <f>IF(B426="","",IF(J426&lt;&gt;"",0,M426))</f>
        <v/>
      </c>
    </row>
    <row r="427">
      <c r="A427" s="1" t="n"/>
      <c r="B427" s="16" t="n"/>
      <c r="C427" s="17" t="n"/>
      <c r="D427" s="18" t="n"/>
      <c r="E427" s="18" t="n"/>
      <c r="F427" s="19" t="n"/>
      <c r="G427" s="19" t="n"/>
      <c r="H427" s="20" t="n"/>
      <c r="I427" s="21" t="n"/>
      <c r="J427" s="22" t="n"/>
      <c r="K427" s="23" t="n"/>
      <c r="L427" s="18" t="n"/>
      <c r="M427" s="24">
        <f>IF(B427="","",IF(AND(F427&lt;&gt;"",G427&lt;&gt;""),MAX(0,ROUND(MOD(G427-F427,1)*24-N(H427)/60,2)),N(I427)))</f>
        <v/>
      </c>
      <c r="N427" s="14">
        <f>IF(B427="","",IF(K427&lt;&gt;"",K427,IF(N(IFERROR(INDEX(Projects!$D$6:$D$65,MATCH(D427,Projects!$B$6:$B$65,0)),""))&gt;0,IFERROR(INDEX(Projects!$D$6:$D$65,MATCH(D427,Projects!$B$6:$B$65,0)),""),IFERROR(INDEX(Clients!$G$6:$G$45,MATCH(C427,Clients!$B$6:$B$45,0)),0))))</f>
        <v/>
      </c>
      <c r="O427" s="14">
        <f>IF(B427="","",IF(J427&lt;&gt;"",0,ROUND(M427*N427,2)))</f>
        <v/>
      </c>
      <c r="P427" s="15">
        <f>IF(OR(B427="",J427&lt;&gt;""),"",IF(L427&lt;&gt;"",L427,IF(COUNTIFS(Invoices!$C$6:$C$305,C427,Invoices!$E$6:$E$305,"&lt;="&amp;B427,Invoices!$F$6:$F$305,"&gt;="&amp;B427)=1,INDEX(Invoices!$B$6:$B$305,SUMIFS(Invoices!$O$6:$O$305,Invoices!$C$6:$C$305,C427,Invoices!$E$6:$E$305,"&lt;="&amp;B427,Invoices!$F$6:$F$305,"&gt;="&amp;B427)),IF(COUNTIFS(Invoices!$C$6:$C$305,C427,Invoices!$E$6:$E$305,"&lt;="&amp;B427,Invoices!$F$6:$F$305,"&gt;="&amp;B427)&gt;1,"Two invoices",""))))</f>
        <v/>
      </c>
      <c r="Q427" s="15">
        <f>IF(B427="","",IF(J427&lt;&gt;"","Not billable",IF(P427="","To invoice",IF(P427="Two invoices","Check dates",IF(ISNA(MATCH(P427,Invoices!$B$6:$B$305,0)),"Check number",IF(INDEX(Invoices!$M$6:$M$305,MATCH(P427,Invoices!$B$6:$B$305,0))="Paid","Paid",IF(INDEX(Invoices!$M$6:$M$305,MATCH(P427,Invoices!$B$6:$B$305,0))="Draft","Draft","Invoiced")))))))</f>
        <v/>
      </c>
      <c r="R427" s="1">
        <f>IF(AND(B427&lt;&gt;"",P427&lt;&gt;"",P427=Invoice!$G$4),B427+MOD(N(F427),1)+ROW()/10000000,"")</f>
        <v/>
      </c>
      <c r="S427">
        <f>IF(R427="","",IF(D427="","Other work",D427)&amp;IF(AND(K427&lt;&gt;"",E427&lt;&gt;""),", "&amp;E427,""))</f>
        <v/>
      </c>
      <c r="T427">
        <f>IF(R427="","",IF(COUNTIFS(R$6:R426,"&gt;0",S$6:S426,S427,N$6:N426,N427)=0,R427,""))</f>
        <v/>
      </c>
      <c r="U427">
        <f>IF(B427="","",IF(J427&lt;&gt;"",0,M427))</f>
        <v/>
      </c>
    </row>
    <row r="428">
      <c r="A428" s="1" t="n"/>
      <c r="B428" s="16" t="n"/>
      <c r="C428" s="17" t="n"/>
      <c r="D428" s="18" t="n"/>
      <c r="E428" s="18" t="n"/>
      <c r="F428" s="19" t="n"/>
      <c r="G428" s="19" t="n"/>
      <c r="H428" s="20" t="n"/>
      <c r="I428" s="21" t="n"/>
      <c r="J428" s="22" t="n"/>
      <c r="K428" s="23" t="n"/>
      <c r="L428" s="18" t="n"/>
      <c r="M428" s="24">
        <f>IF(B428="","",IF(AND(F428&lt;&gt;"",G428&lt;&gt;""),MAX(0,ROUND(MOD(G428-F428,1)*24-N(H428)/60,2)),N(I428)))</f>
        <v/>
      </c>
      <c r="N428" s="14">
        <f>IF(B428="","",IF(K428&lt;&gt;"",K428,IF(N(IFERROR(INDEX(Projects!$D$6:$D$65,MATCH(D428,Projects!$B$6:$B$65,0)),""))&gt;0,IFERROR(INDEX(Projects!$D$6:$D$65,MATCH(D428,Projects!$B$6:$B$65,0)),""),IFERROR(INDEX(Clients!$G$6:$G$45,MATCH(C428,Clients!$B$6:$B$45,0)),0))))</f>
        <v/>
      </c>
      <c r="O428" s="14">
        <f>IF(B428="","",IF(J428&lt;&gt;"",0,ROUND(M428*N428,2)))</f>
        <v/>
      </c>
      <c r="P428" s="15">
        <f>IF(OR(B428="",J428&lt;&gt;""),"",IF(L428&lt;&gt;"",L428,IF(COUNTIFS(Invoices!$C$6:$C$305,C428,Invoices!$E$6:$E$305,"&lt;="&amp;B428,Invoices!$F$6:$F$305,"&gt;="&amp;B428)=1,INDEX(Invoices!$B$6:$B$305,SUMIFS(Invoices!$O$6:$O$305,Invoices!$C$6:$C$305,C428,Invoices!$E$6:$E$305,"&lt;="&amp;B428,Invoices!$F$6:$F$305,"&gt;="&amp;B428)),IF(COUNTIFS(Invoices!$C$6:$C$305,C428,Invoices!$E$6:$E$305,"&lt;="&amp;B428,Invoices!$F$6:$F$305,"&gt;="&amp;B428)&gt;1,"Two invoices",""))))</f>
        <v/>
      </c>
      <c r="Q428" s="15">
        <f>IF(B428="","",IF(J428&lt;&gt;"","Not billable",IF(P428="","To invoice",IF(P428="Two invoices","Check dates",IF(ISNA(MATCH(P428,Invoices!$B$6:$B$305,0)),"Check number",IF(INDEX(Invoices!$M$6:$M$305,MATCH(P428,Invoices!$B$6:$B$305,0))="Paid","Paid",IF(INDEX(Invoices!$M$6:$M$305,MATCH(P428,Invoices!$B$6:$B$305,0))="Draft","Draft","Invoiced")))))))</f>
        <v/>
      </c>
      <c r="R428" s="1">
        <f>IF(AND(B428&lt;&gt;"",P428&lt;&gt;"",P428=Invoice!$G$4),B428+MOD(N(F428),1)+ROW()/10000000,"")</f>
        <v/>
      </c>
      <c r="S428">
        <f>IF(R428="","",IF(D428="","Other work",D428)&amp;IF(AND(K428&lt;&gt;"",E428&lt;&gt;""),", "&amp;E428,""))</f>
        <v/>
      </c>
      <c r="T428">
        <f>IF(R428="","",IF(COUNTIFS(R$6:R427,"&gt;0",S$6:S427,S428,N$6:N427,N428)=0,R428,""))</f>
        <v/>
      </c>
      <c r="U428">
        <f>IF(B428="","",IF(J428&lt;&gt;"",0,M428))</f>
        <v/>
      </c>
    </row>
    <row r="429">
      <c r="A429" s="1" t="n"/>
      <c r="B429" s="16" t="n"/>
      <c r="C429" s="17" t="n"/>
      <c r="D429" s="18" t="n"/>
      <c r="E429" s="18" t="n"/>
      <c r="F429" s="19" t="n"/>
      <c r="G429" s="19" t="n"/>
      <c r="H429" s="20" t="n"/>
      <c r="I429" s="21" t="n"/>
      <c r="J429" s="22" t="n"/>
      <c r="K429" s="23" t="n"/>
      <c r="L429" s="18" t="n"/>
      <c r="M429" s="24">
        <f>IF(B429="","",IF(AND(F429&lt;&gt;"",G429&lt;&gt;""),MAX(0,ROUND(MOD(G429-F429,1)*24-N(H429)/60,2)),N(I429)))</f>
        <v/>
      </c>
      <c r="N429" s="14">
        <f>IF(B429="","",IF(K429&lt;&gt;"",K429,IF(N(IFERROR(INDEX(Projects!$D$6:$D$65,MATCH(D429,Projects!$B$6:$B$65,0)),""))&gt;0,IFERROR(INDEX(Projects!$D$6:$D$65,MATCH(D429,Projects!$B$6:$B$65,0)),""),IFERROR(INDEX(Clients!$G$6:$G$45,MATCH(C429,Clients!$B$6:$B$45,0)),0))))</f>
        <v/>
      </c>
      <c r="O429" s="14">
        <f>IF(B429="","",IF(J429&lt;&gt;"",0,ROUND(M429*N429,2)))</f>
        <v/>
      </c>
      <c r="P429" s="15">
        <f>IF(OR(B429="",J429&lt;&gt;""),"",IF(L429&lt;&gt;"",L429,IF(COUNTIFS(Invoices!$C$6:$C$305,C429,Invoices!$E$6:$E$305,"&lt;="&amp;B429,Invoices!$F$6:$F$305,"&gt;="&amp;B429)=1,INDEX(Invoices!$B$6:$B$305,SUMIFS(Invoices!$O$6:$O$305,Invoices!$C$6:$C$305,C429,Invoices!$E$6:$E$305,"&lt;="&amp;B429,Invoices!$F$6:$F$305,"&gt;="&amp;B429)),IF(COUNTIFS(Invoices!$C$6:$C$305,C429,Invoices!$E$6:$E$305,"&lt;="&amp;B429,Invoices!$F$6:$F$305,"&gt;="&amp;B429)&gt;1,"Two invoices",""))))</f>
        <v/>
      </c>
      <c r="Q429" s="15">
        <f>IF(B429="","",IF(J429&lt;&gt;"","Not billable",IF(P429="","To invoice",IF(P429="Two invoices","Check dates",IF(ISNA(MATCH(P429,Invoices!$B$6:$B$305,0)),"Check number",IF(INDEX(Invoices!$M$6:$M$305,MATCH(P429,Invoices!$B$6:$B$305,0))="Paid","Paid",IF(INDEX(Invoices!$M$6:$M$305,MATCH(P429,Invoices!$B$6:$B$305,0))="Draft","Draft","Invoiced")))))))</f>
        <v/>
      </c>
      <c r="R429" s="1">
        <f>IF(AND(B429&lt;&gt;"",P429&lt;&gt;"",P429=Invoice!$G$4),B429+MOD(N(F429),1)+ROW()/10000000,"")</f>
        <v/>
      </c>
      <c r="S429">
        <f>IF(R429="","",IF(D429="","Other work",D429)&amp;IF(AND(K429&lt;&gt;"",E429&lt;&gt;""),", "&amp;E429,""))</f>
        <v/>
      </c>
      <c r="T429">
        <f>IF(R429="","",IF(COUNTIFS(R$6:R428,"&gt;0",S$6:S428,S429,N$6:N428,N429)=0,R429,""))</f>
        <v/>
      </c>
      <c r="U429">
        <f>IF(B429="","",IF(J429&lt;&gt;"",0,M429))</f>
        <v/>
      </c>
    </row>
    <row r="430">
      <c r="A430" s="1" t="n"/>
      <c r="B430" s="16" t="n"/>
      <c r="C430" s="17" t="n"/>
      <c r="D430" s="18" t="n"/>
      <c r="E430" s="18" t="n"/>
      <c r="F430" s="19" t="n"/>
      <c r="G430" s="19" t="n"/>
      <c r="H430" s="20" t="n"/>
      <c r="I430" s="21" t="n"/>
      <c r="J430" s="22" t="n"/>
      <c r="K430" s="23" t="n"/>
      <c r="L430" s="18" t="n"/>
      <c r="M430" s="24">
        <f>IF(B430="","",IF(AND(F430&lt;&gt;"",G430&lt;&gt;""),MAX(0,ROUND(MOD(G430-F430,1)*24-N(H430)/60,2)),N(I430)))</f>
        <v/>
      </c>
      <c r="N430" s="14">
        <f>IF(B430="","",IF(K430&lt;&gt;"",K430,IF(N(IFERROR(INDEX(Projects!$D$6:$D$65,MATCH(D430,Projects!$B$6:$B$65,0)),""))&gt;0,IFERROR(INDEX(Projects!$D$6:$D$65,MATCH(D430,Projects!$B$6:$B$65,0)),""),IFERROR(INDEX(Clients!$G$6:$G$45,MATCH(C430,Clients!$B$6:$B$45,0)),0))))</f>
        <v/>
      </c>
      <c r="O430" s="14">
        <f>IF(B430="","",IF(J430&lt;&gt;"",0,ROUND(M430*N430,2)))</f>
        <v/>
      </c>
      <c r="P430" s="15">
        <f>IF(OR(B430="",J430&lt;&gt;""),"",IF(L430&lt;&gt;"",L430,IF(COUNTIFS(Invoices!$C$6:$C$305,C430,Invoices!$E$6:$E$305,"&lt;="&amp;B430,Invoices!$F$6:$F$305,"&gt;="&amp;B430)=1,INDEX(Invoices!$B$6:$B$305,SUMIFS(Invoices!$O$6:$O$305,Invoices!$C$6:$C$305,C430,Invoices!$E$6:$E$305,"&lt;="&amp;B430,Invoices!$F$6:$F$305,"&gt;="&amp;B430)),IF(COUNTIFS(Invoices!$C$6:$C$305,C430,Invoices!$E$6:$E$305,"&lt;="&amp;B430,Invoices!$F$6:$F$305,"&gt;="&amp;B430)&gt;1,"Two invoices",""))))</f>
        <v/>
      </c>
      <c r="Q430" s="15">
        <f>IF(B430="","",IF(J430&lt;&gt;"","Not billable",IF(P430="","To invoice",IF(P430="Two invoices","Check dates",IF(ISNA(MATCH(P430,Invoices!$B$6:$B$305,0)),"Check number",IF(INDEX(Invoices!$M$6:$M$305,MATCH(P430,Invoices!$B$6:$B$305,0))="Paid","Paid",IF(INDEX(Invoices!$M$6:$M$305,MATCH(P430,Invoices!$B$6:$B$305,0))="Draft","Draft","Invoiced")))))))</f>
        <v/>
      </c>
      <c r="R430" s="1">
        <f>IF(AND(B430&lt;&gt;"",P430&lt;&gt;"",P430=Invoice!$G$4),B430+MOD(N(F430),1)+ROW()/10000000,"")</f>
        <v/>
      </c>
      <c r="S430">
        <f>IF(R430="","",IF(D430="","Other work",D430)&amp;IF(AND(K430&lt;&gt;"",E430&lt;&gt;""),", "&amp;E430,""))</f>
        <v/>
      </c>
      <c r="T430">
        <f>IF(R430="","",IF(COUNTIFS(R$6:R429,"&gt;0",S$6:S429,S430,N$6:N429,N430)=0,R430,""))</f>
        <v/>
      </c>
      <c r="U430">
        <f>IF(B430="","",IF(J430&lt;&gt;"",0,M430))</f>
        <v/>
      </c>
    </row>
    <row r="431">
      <c r="A431" s="1" t="n"/>
      <c r="B431" s="16" t="n"/>
      <c r="C431" s="17" t="n"/>
      <c r="D431" s="18" t="n"/>
      <c r="E431" s="18" t="n"/>
      <c r="F431" s="19" t="n"/>
      <c r="G431" s="19" t="n"/>
      <c r="H431" s="20" t="n"/>
      <c r="I431" s="21" t="n"/>
      <c r="J431" s="22" t="n"/>
      <c r="K431" s="23" t="n"/>
      <c r="L431" s="18" t="n"/>
      <c r="M431" s="24">
        <f>IF(B431="","",IF(AND(F431&lt;&gt;"",G431&lt;&gt;""),MAX(0,ROUND(MOD(G431-F431,1)*24-N(H431)/60,2)),N(I431)))</f>
        <v/>
      </c>
      <c r="N431" s="14">
        <f>IF(B431="","",IF(K431&lt;&gt;"",K431,IF(N(IFERROR(INDEX(Projects!$D$6:$D$65,MATCH(D431,Projects!$B$6:$B$65,0)),""))&gt;0,IFERROR(INDEX(Projects!$D$6:$D$65,MATCH(D431,Projects!$B$6:$B$65,0)),""),IFERROR(INDEX(Clients!$G$6:$G$45,MATCH(C431,Clients!$B$6:$B$45,0)),0))))</f>
        <v/>
      </c>
      <c r="O431" s="14">
        <f>IF(B431="","",IF(J431&lt;&gt;"",0,ROUND(M431*N431,2)))</f>
        <v/>
      </c>
      <c r="P431" s="15">
        <f>IF(OR(B431="",J431&lt;&gt;""),"",IF(L431&lt;&gt;"",L431,IF(COUNTIFS(Invoices!$C$6:$C$305,C431,Invoices!$E$6:$E$305,"&lt;="&amp;B431,Invoices!$F$6:$F$305,"&gt;="&amp;B431)=1,INDEX(Invoices!$B$6:$B$305,SUMIFS(Invoices!$O$6:$O$305,Invoices!$C$6:$C$305,C431,Invoices!$E$6:$E$305,"&lt;="&amp;B431,Invoices!$F$6:$F$305,"&gt;="&amp;B431)),IF(COUNTIFS(Invoices!$C$6:$C$305,C431,Invoices!$E$6:$E$305,"&lt;="&amp;B431,Invoices!$F$6:$F$305,"&gt;="&amp;B431)&gt;1,"Two invoices",""))))</f>
        <v/>
      </c>
      <c r="Q431" s="15">
        <f>IF(B431="","",IF(J431&lt;&gt;"","Not billable",IF(P431="","To invoice",IF(P431="Two invoices","Check dates",IF(ISNA(MATCH(P431,Invoices!$B$6:$B$305,0)),"Check number",IF(INDEX(Invoices!$M$6:$M$305,MATCH(P431,Invoices!$B$6:$B$305,0))="Paid","Paid",IF(INDEX(Invoices!$M$6:$M$305,MATCH(P431,Invoices!$B$6:$B$305,0))="Draft","Draft","Invoiced")))))))</f>
        <v/>
      </c>
      <c r="R431" s="1">
        <f>IF(AND(B431&lt;&gt;"",P431&lt;&gt;"",P431=Invoice!$G$4),B431+MOD(N(F431),1)+ROW()/10000000,"")</f>
        <v/>
      </c>
      <c r="S431">
        <f>IF(R431="","",IF(D431="","Other work",D431)&amp;IF(AND(K431&lt;&gt;"",E431&lt;&gt;""),", "&amp;E431,""))</f>
        <v/>
      </c>
      <c r="T431">
        <f>IF(R431="","",IF(COUNTIFS(R$6:R430,"&gt;0",S$6:S430,S431,N$6:N430,N431)=0,R431,""))</f>
        <v/>
      </c>
      <c r="U431">
        <f>IF(B431="","",IF(J431&lt;&gt;"",0,M431))</f>
        <v/>
      </c>
    </row>
    <row r="432">
      <c r="A432" s="1" t="n"/>
      <c r="B432" s="16" t="n"/>
      <c r="C432" s="17" t="n"/>
      <c r="D432" s="18" t="n"/>
      <c r="E432" s="18" t="n"/>
      <c r="F432" s="19" t="n"/>
      <c r="G432" s="19" t="n"/>
      <c r="H432" s="20" t="n"/>
      <c r="I432" s="21" t="n"/>
      <c r="J432" s="22" t="n"/>
      <c r="K432" s="23" t="n"/>
      <c r="L432" s="18" t="n"/>
      <c r="M432" s="24">
        <f>IF(B432="","",IF(AND(F432&lt;&gt;"",G432&lt;&gt;""),MAX(0,ROUND(MOD(G432-F432,1)*24-N(H432)/60,2)),N(I432)))</f>
        <v/>
      </c>
      <c r="N432" s="14">
        <f>IF(B432="","",IF(K432&lt;&gt;"",K432,IF(N(IFERROR(INDEX(Projects!$D$6:$D$65,MATCH(D432,Projects!$B$6:$B$65,0)),""))&gt;0,IFERROR(INDEX(Projects!$D$6:$D$65,MATCH(D432,Projects!$B$6:$B$65,0)),""),IFERROR(INDEX(Clients!$G$6:$G$45,MATCH(C432,Clients!$B$6:$B$45,0)),0))))</f>
        <v/>
      </c>
      <c r="O432" s="14">
        <f>IF(B432="","",IF(J432&lt;&gt;"",0,ROUND(M432*N432,2)))</f>
        <v/>
      </c>
      <c r="P432" s="15">
        <f>IF(OR(B432="",J432&lt;&gt;""),"",IF(L432&lt;&gt;"",L432,IF(COUNTIFS(Invoices!$C$6:$C$305,C432,Invoices!$E$6:$E$305,"&lt;="&amp;B432,Invoices!$F$6:$F$305,"&gt;="&amp;B432)=1,INDEX(Invoices!$B$6:$B$305,SUMIFS(Invoices!$O$6:$O$305,Invoices!$C$6:$C$305,C432,Invoices!$E$6:$E$305,"&lt;="&amp;B432,Invoices!$F$6:$F$305,"&gt;="&amp;B432)),IF(COUNTIFS(Invoices!$C$6:$C$305,C432,Invoices!$E$6:$E$305,"&lt;="&amp;B432,Invoices!$F$6:$F$305,"&gt;="&amp;B432)&gt;1,"Two invoices",""))))</f>
        <v/>
      </c>
      <c r="Q432" s="15">
        <f>IF(B432="","",IF(J432&lt;&gt;"","Not billable",IF(P432="","To invoice",IF(P432="Two invoices","Check dates",IF(ISNA(MATCH(P432,Invoices!$B$6:$B$305,0)),"Check number",IF(INDEX(Invoices!$M$6:$M$305,MATCH(P432,Invoices!$B$6:$B$305,0))="Paid","Paid",IF(INDEX(Invoices!$M$6:$M$305,MATCH(P432,Invoices!$B$6:$B$305,0))="Draft","Draft","Invoiced")))))))</f>
        <v/>
      </c>
      <c r="R432" s="1">
        <f>IF(AND(B432&lt;&gt;"",P432&lt;&gt;"",P432=Invoice!$G$4),B432+MOD(N(F432),1)+ROW()/10000000,"")</f>
        <v/>
      </c>
      <c r="S432">
        <f>IF(R432="","",IF(D432="","Other work",D432)&amp;IF(AND(K432&lt;&gt;"",E432&lt;&gt;""),", "&amp;E432,""))</f>
        <v/>
      </c>
      <c r="T432">
        <f>IF(R432="","",IF(COUNTIFS(R$6:R431,"&gt;0",S$6:S431,S432,N$6:N431,N432)=0,R432,""))</f>
        <v/>
      </c>
      <c r="U432">
        <f>IF(B432="","",IF(J432&lt;&gt;"",0,M432))</f>
        <v/>
      </c>
    </row>
    <row r="433">
      <c r="A433" s="1" t="n"/>
      <c r="B433" s="16" t="n"/>
      <c r="C433" s="17" t="n"/>
      <c r="D433" s="18" t="n"/>
      <c r="E433" s="18" t="n"/>
      <c r="F433" s="19" t="n"/>
      <c r="G433" s="19" t="n"/>
      <c r="H433" s="20" t="n"/>
      <c r="I433" s="21" t="n"/>
      <c r="J433" s="22" t="n"/>
      <c r="K433" s="23" t="n"/>
      <c r="L433" s="18" t="n"/>
      <c r="M433" s="24">
        <f>IF(B433="","",IF(AND(F433&lt;&gt;"",G433&lt;&gt;""),MAX(0,ROUND(MOD(G433-F433,1)*24-N(H433)/60,2)),N(I433)))</f>
        <v/>
      </c>
      <c r="N433" s="14">
        <f>IF(B433="","",IF(K433&lt;&gt;"",K433,IF(N(IFERROR(INDEX(Projects!$D$6:$D$65,MATCH(D433,Projects!$B$6:$B$65,0)),""))&gt;0,IFERROR(INDEX(Projects!$D$6:$D$65,MATCH(D433,Projects!$B$6:$B$65,0)),""),IFERROR(INDEX(Clients!$G$6:$G$45,MATCH(C433,Clients!$B$6:$B$45,0)),0))))</f>
        <v/>
      </c>
      <c r="O433" s="14">
        <f>IF(B433="","",IF(J433&lt;&gt;"",0,ROUND(M433*N433,2)))</f>
        <v/>
      </c>
      <c r="P433" s="15">
        <f>IF(OR(B433="",J433&lt;&gt;""),"",IF(L433&lt;&gt;"",L433,IF(COUNTIFS(Invoices!$C$6:$C$305,C433,Invoices!$E$6:$E$305,"&lt;="&amp;B433,Invoices!$F$6:$F$305,"&gt;="&amp;B433)=1,INDEX(Invoices!$B$6:$B$305,SUMIFS(Invoices!$O$6:$O$305,Invoices!$C$6:$C$305,C433,Invoices!$E$6:$E$305,"&lt;="&amp;B433,Invoices!$F$6:$F$305,"&gt;="&amp;B433)),IF(COUNTIFS(Invoices!$C$6:$C$305,C433,Invoices!$E$6:$E$305,"&lt;="&amp;B433,Invoices!$F$6:$F$305,"&gt;="&amp;B433)&gt;1,"Two invoices",""))))</f>
        <v/>
      </c>
      <c r="Q433" s="15">
        <f>IF(B433="","",IF(J433&lt;&gt;"","Not billable",IF(P433="","To invoice",IF(P433="Two invoices","Check dates",IF(ISNA(MATCH(P433,Invoices!$B$6:$B$305,0)),"Check number",IF(INDEX(Invoices!$M$6:$M$305,MATCH(P433,Invoices!$B$6:$B$305,0))="Paid","Paid",IF(INDEX(Invoices!$M$6:$M$305,MATCH(P433,Invoices!$B$6:$B$305,0))="Draft","Draft","Invoiced")))))))</f>
        <v/>
      </c>
      <c r="R433" s="1">
        <f>IF(AND(B433&lt;&gt;"",P433&lt;&gt;"",P433=Invoice!$G$4),B433+MOD(N(F433),1)+ROW()/10000000,"")</f>
        <v/>
      </c>
      <c r="S433">
        <f>IF(R433="","",IF(D433="","Other work",D433)&amp;IF(AND(K433&lt;&gt;"",E433&lt;&gt;""),", "&amp;E433,""))</f>
        <v/>
      </c>
      <c r="T433">
        <f>IF(R433="","",IF(COUNTIFS(R$6:R432,"&gt;0",S$6:S432,S433,N$6:N432,N433)=0,R433,""))</f>
        <v/>
      </c>
      <c r="U433">
        <f>IF(B433="","",IF(J433&lt;&gt;"",0,M433))</f>
        <v/>
      </c>
    </row>
    <row r="434">
      <c r="A434" s="1" t="n"/>
      <c r="B434" s="16" t="n"/>
      <c r="C434" s="17" t="n"/>
      <c r="D434" s="18" t="n"/>
      <c r="E434" s="18" t="n"/>
      <c r="F434" s="19" t="n"/>
      <c r="G434" s="19" t="n"/>
      <c r="H434" s="20" t="n"/>
      <c r="I434" s="21" t="n"/>
      <c r="J434" s="22" t="n"/>
      <c r="K434" s="23" t="n"/>
      <c r="L434" s="18" t="n"/>
      <c r="M434" s="24">
        <f>IF(B434="","",IF(AND(F434&lt;&gt;"",G434&lt;&gt;""),MAX(0,ROUND(MOD(G434-F434,1)*24-N(H434)/60,2)),N(I434)))</f>
        <v/>
      </c>
      <c r="N434" s="14">
        <f>IF(B434="","",IF(K434&lt;&gt;"",K434,IF(N(IFERROR(INDEX(Projects!$D$6:$D$65,MATCH(D434,Projects!$B$6:$B$65,0)),""))&gt;0,IFERROR(INDEX(Projects!$D$6:$D$65,MATCH(D434,Projects!$B$6:$B$65,0)),""),IFERROR(INDEX(Clients!$G$6:$G$45,MATCH(C434,Clients!$B$6:$B$45,0)),0))))</f>
        <v/>
      </c>
      <c r="O434" s="14">
        <f>IF(B434="","",IF(J434&lt;&gt;"",0,ROUND(M434*N434,2)))</f>
        <v/>
      </c>
      <c r="P434" s="15">
        <f>IF(OR(B434="",J434&lt;&gt;""),"",IF(L434&lt;&gt;"",L434,IF(COUNTIFS(Invoices!$C$6:$C$305,C434,Invoices!$E$6:$E$305,"&lt;="&amp;B434,Invoices!$F$6:$F$305,"&gt;="&amp;B434)=1,INDEX(Invoices!$B$6:$B$305,SUMIFS(Invoices!$O$6:$O$305,Invoices!$C$6:$C$305,C434,Invoices!$E$6:$E$305,"&lt;="&amp;B434,Invoices!$F$6:$F$305,"&gt;="&amp;B434)),IF(COUNTIFS(Invoices!$C$6:$C$305,C434,Invoices!$E$6:$E$305,"&lt;="&amp;B434,Invoices!$F$6:$F$305,"&gt;="&amp;B434)&gt;1,"Two invoices",""))))</f>
        <v/>
      </c>
      <c r="Q434" s="15">
        <f>IF(B434="","",IF(J434&lt;&gt;"","Not billable",IF(P434="","To invoice",IF(P434="Two invoices","Check dates",IF(ISNA(MATCH(P434,Invoices!$B$6:$B$305,0)),"Check number",IF(INDEX(Invoices!$M$6:$M$305,MATCH(P434,Invoices!$B$6:$B$305,0))="Paid","Paid",IF(INDEX(Invoices!$M$6:$M$305,MATCH(P434,Invoices!$B$6:$B$305,0))="Draft","Draft","Invoiced")))))))</f>
        <v/>
      </c>
      <c r="R434" s="1">
        <f>IF(AND(B434&lt;&gt;"",P434&lt;&gt;"",P434=Invoice!$G$4),B434+MOD(N(F434),1)+ROW()/10000000,"")</f>
        <v/>
      </c>
      <c r="S434">
        <f>IF(R434="","",IF(D434="","Other work",D434)&amp;IF(AND(K434&lt;&gt;"",E434&lt;&gt;""),", "&amp;E434,""))</f>
        <v/>
      </c>
      <c r="T434">
        <f>IF(R434="","",IF(COUNTIFS(R$6:R433,"&gt;0",S$6:S433,S434,N$6:N433,N434)=0,R434,""))</f>
        <v/>
      </c>
      <c r="U434">
        <f>IF(B434="","",IF(J434&lt;&gt;"",0,M434))</f>
        <v/>
      </c>
    </row>
    <row r="435">
      <c r="A435" s="1" t="n"/>
      <c r="B435" s="16" t="n"/>
      <c r="C435" s="17" t="n"/>
      <c r="D435" s="18" t="n"/>
      <c r="E435" s="18" t="n"/>
      <c r="F435" s="19" t="n"/>
      <c r="G435" s="19" t="n"/>
      <c r="H435" s="20" t="n"/>
      <c r="I435" s="21" t="n"/>
      <c r="J435" s="22" t="n"/>
      <c r="K435" s="23" t="n"/>
      <c r="L435" s="18" t="n"/>
      <c r="M435" s="24">
        <f>IF(B435="","",IF(AND(F435&lt;&gt;"",G435&lt;&gt;""),MAX(0,ROUND(MOD(G435-F435,1)*24-N(H435)/60,2)),N(I435)))</f>
        <v/>
      </c>
      <c r="N435" s="14">
        <f>IF(B435="","",IF(K435&lt;&gt;"",K435,IF(N(IFERROR(INDEX(Projects!$D$6:$D$65,MATCH(D435,Projects!$B$6:$B$65,0)),""))&gt;0,IFERROR(INDEX(Projects!$D$6:$D$65,MATCH(D435,Projects!$B$6:$B$65,0)),""),IFERROR(INDEX(Clients!$G$6:$G$45,MATCH(C435,Clients!$B$6:$B$45,0)),0))))</f>
        <v/>
      </c>
      <c r="O435" s="14">
        <f>IF(B435="","",IF(J435&lt;&gt;"",0,ROUND(M435*N435,2)))</f>
        <v/>
      </c>
      <c r="P435" s="15">
        <f>IF(OR(B435="",J435&lt;&gt;""),"",IF(L435&lt;&gt;"",L435,IF(COUNTIFS(Invoices!$C$6:$C$305,C435,Invoices!$E$6:$E$305,"&lt;="&amp;B435,Invoices!$F$6:$F$305,"&gt;="&amp;B435)=1,INDEX(Invoices!$B$6:$B$305,SUMIFS(Invoices!$O$6:$O$305,Invoices!$C$6:$C$305,C435,Invoices!$E$6:$E$305,"&lt;="&amp;B435,Invoices!$F$6:$F$305,"&gt;="&amp;B435)),IF(COUNTIFS(Invoices!$C$6:$C$305,C435,Invoices!$E$6:$E$305,"&lt;="&amp;B435,Invoices!$F$6:$F$305,"&gt;="&amp;B435)&gt;1,"Two invoices",""))))</f>
        <v/>
      </c>
      <c r="Q435" s="15">
        <f>IF(B435="","",IF(J435&lt;&gt;"","Not billable",IF(P435="","To invoice",IF(P435="Two invoices","Check dates",IF(ISNA(MATCH(P435,Invoices!$B$6:$B$305,0)),"Check number",IF(INDEX(Invoices!$M$6:$M$305,MATCH(P435,Invoices!$B$6:$B$305,0))="Paid","Paid",IF(INDEX(Invoices!$M$6:$M$305,MATCH(P435,Invoices!$B$6:$B$305,0))="Draft","Draft","Invoiced")))))))</f>
        <v/>
      </c>
      <c r="R435" s="1">
        <f>IF(AND(B435&lt;&gt;"",P435&lt;&gt;"",P435=Invoice!$G$4),B435+MOD(N(F435),1)+ROW()/10000000,"")</f>
        <v/>
      </c>
      <c r="S435">
        <f>IF(R435="","",IF(D435="","Other work",D435)&amp;IF(AND(K435&lt;&gt;"",E435&lt;&gt;""),", "&amp;E435,""))</f>
        <v/>
      </c>
      <c r="T435">
        <f>IF(R435="","",IF(COUNTIFS(R$6:R434,"&gt;0",S$6:S434,S435,N$6:N434,N435)=0,R435,""))</f>
        <v/>
      </c>
      <c r="U435">
        <f>IF(B435="","",IF(J435&lt;&gt;"",0,M435))</f>
        <v/>
      </c>
    </row>
    <row r="436">
      <c r="A436" s="1" t="n"/>
      <c r="B436" s="16" t="n"/>
      <c r="C436" s="17" t="n"/>
      <c r="D436" s="18" t="n"/>
      <c r="E436" s="18" t="n"/>
      <c r="F436" s="19" t="n"/>
      <c r="G436" s="19" t="n"/>
      <c r="H436" s="20" t="n"/>
      <c r="I436" s="21" t="n"/>
      <c r="J436" s="22" t="n"/>
      <c r="K436" s="23" t="n"/>
      <c r="L436" s="18" t="n"/>
      <c r="M436" s="24">
        <f>IF(B436="","",IF(AND(F436&lt;&gt;"",G436&lt;&gt;""),MAX(0,ROUND(MOD(G436-F436,1)*24-N(H436)/60,2)),N(I436)))</f>
        <v/>
      </c>
      <c r="N436" s="14">
        <f>IF(B436="","",IF(K436&lt;&gt;"",K436,IF(N(IFERROR(INDEX(Projects!$D$6:$D$65,MATCH(D436,Projects!$B$6:$B$65,0)),""))&gt;0,IFERROR(INDEX(Projects!$D$6:$D$65,MATCH(D436,Projects!$B$6:$B$65,0)),""),IFERROR(INDEX(Clients!$G$6:$G$45,MATCH(C436,Clients!$B$6:$B$45,0)),0))))</f>
        <v/>
      </c>
      <c r="O436" s="14">
        <f>IF(B436="","",IF(J436&lt;&gt;"",0,ROUND(M436*N436,2)))</f>
        <v/>
      </c>
      <c r="P436" s="15">
        <f>IF(OR(B436="",J436&lt;&gt;""),"",IF(L436&lt;&gt;"",L436,IF(COUNTIFS(Invoices!$C$6:$C$305,C436,Invoices!$E$6:$E$305,"&lt;="&amp;B436,Invoices!$F$6:$F$305,"&gt;="&amp;B436)=1,INDEX(Invoices!$B$6:$B$305,SUMIFS(Invoices!$O$6:$O$305,Invoices!$C$6:$C$305,C436,Invoices!$E$6:$E$305,"&lt;="&amp;B436,Invoices!$F$6:$F$305,"&gt;="&amp;B436)),IF(COUNTIFS(Invoices!$C$6:$C$305,C436,Invoices!$E$6:$E$305,"&lt;="&amp;B436,Invoices!$F$6:$F$305,"&gt;="&amp;B436)&gt;1,"Two invoices",""))))</f>
        <v/>
      </c>
      <c r="Q436" s="15">
        <f>IF(B436="","",IF(J436&lt;&gt;"","Not billable",IF(P436="","To invoice",IF(P436="Two invoices","Check dates",IF(ISNA(MATCH(P436,Invoices!$B$6:$B$305,0)),"Check number",IF(INDEX(Invoices!$M$6:$M$305,MATCH(P436,Invoices!$B$6:$B$305,0))="Paid","Paid",IF(INDEX(Invoices!$M$6:$M$305,MATCH(P436,Invoices!$B$6:$B$305,0))="Draft","Draft","Invoiced")))))))</f>
        <v/>
      </c>
      <c r="R436" s="1">
        <f>IF(AND(B436&lt;&gt;"",P436&lt;&gt;"",P436=Invoice!$G$4),B436+MOD(N(F436),1)+ROW()/10000000,"")</f>
        <v/>
      </c>
      <c r="S436">
        <f>IF(R436="","",IF(D436="","Other work",D436)&amp;IF(AND(K436&lt;&gt;"",E436&lt;&gt;""),", "&amp;E436,""))</f>
        <v/>
      </c>
      <c r="T436">
        <f>IF(R436="","",IF(COUNTIFS(R$6:R435,"&gt;0",S$6:S435,S436,N$6:N435,N436)=0,R436,""))</f>
        <v/>
      </c>
      <c r="U436">
        <f>IF(B436="","",IF(J436&lt;&gt;"",0,M436))</f>
        <v/>
      </c>
    </row>
    <row r="437">
      <c r="A437" s="1" t="n"/>
      <c r="B437" s="16" t="n"/>
      <c r="C437" s="17" t="n"/>
      <c r="D437" s="18" t="n"/>
      <c r="E437" s="18" t="n"/>
      <c r="F437" s="19" t="n"/>
      <c r="G437" s="19" t="n"/>
      <c r="H437" s="20" t="n"/>
      <c r="I437" s="21" t="n"/>
      <c r="J437" s="22" t="n"/>
      <c r="K437" s="23" t="n"/>
      <c r="L437" s="18" t="n"/>
      <c r="M437" s="24">
        <f>IF(B437="","",IF(AND(F437&lt;&gt;"",G437&lt;&gt;""),MAX(0,ROUND(MOD(G437-F437,1)*24-N(H437)/60,2)),N(I437)))</f>
        <v/>
      </c>
      <c r="N437" s="14">
        <f>IF(B437="","",IF(K437&lt;&gt;"",K437,IF(N(IFERROR(INDEX(Projects!$D$6:$D$65,MATCH(D437,Projects!$B$6:$B$65,0)),""))&gt;0,IFERROR(INDEX(Projects!$D$6:$D$65,MATCH(D437,Projects!$B$6:$B$65,0)),""),IFERROR(INDEX(Clients!$G$6:$G$45,MATCH(C437,Clients!$B$6:$B$45,0)),0))))</f>
        <v/>
      </c>
      <c r="O437" s="14">
        <f>IF(B437="","",IF(J437&lt;&gt;"",0,ROUND(M437*N437,2)))</f>
        <v/>
      </c>
      <c r="P437" s="15">
        <f>IF(OR(B437="",J437&lt;&gt;""),"",IF(L437&lt;&gt;"",L437,IF(COUNTIFS(Invoices!$C$6:$C$305,C437,Invoices!$E$6:$E$305,"&lt;="&amp;B437,Invoices!$F$6:$F$305,"&gt;="&amp;B437)=1,INDEX(Invoices!$B$6:$B$305,SUMIFS(Invoices!$O$6:$O$305,Invoices!$C$6:$C$305,C437,Invoices!$E$6:$E$305,"&lt;="&amp;B437,Invoices!$F$6:$F$305,"&gt;="&amp;B437)),IF(COUNTIFS(Invoices!$C$6:$C$305,C437,Invoices!$E$6:$E$305,"&lt;="&amp;B437,Invoices!$F$6:$F$305,"&gt;="&amp;B437)&gt;1,"Two invoices",""))))</f>
        <v/>
      </c>
      <c r="Q437" s="15">
        <f>IF(B437="","",IF(J437&lt;&gt;"","Not billable",IF(P437="","To invoice",IF(P437="Two invoices","Check dates",IF(ISNA(MATCH(P437,Invoices!$B$6:$B$305,0)),"Check number",IF(INDEX(Invoices!$M$6:$M$305,MATCH(P437,Invoices!$B$6:$B$305,0))="Paid","Paid",IF(INDEX(Invoices!$M$6:$M$305,MATCH(P437,Invoices!$B$6:$B$305,0))="Draft","Draft","Invoiced")))))))</f>
        <v/>
      </c>
      <c r="R437" s="1">
        <f>IF(AND(B437&lt;&gt;"",P437&lt;&gt;"",P437=Invoice!$G$4),B437+MOD(N(F437),1)+ROW()/10000000,"")</f>
        <v/>
      </c>
      <c r="S437">
        <f>IF(R437="","",IF(D437="","Other work",D437)&amp;IF(AND(K437&lt;&gt;"",E437&lt;&gt;""),", "&amp;E437,""))</f>
        <v/>
      </c>
      <c r="T437">
        <f>IF(R437="","",IF(COUNTIFS(R$6:R436,"&gt;0",S$6:S436,S437,N$6:N436,N437)=0,R437,""))</f>
        <v/>
      </c>
      <c r="U437">
        <f>IF(B437="","",IF(J437&lt;&gt;"",0,M437))</f>
        <v/>
      </c>
    </row>
    <row r="438">
      <c r="A438" s="1" t="n"/>
      <c r="B438" s="16" t="n"/>
      <c r="C438" s="17" t="n"/>
      <c r="D438" s="18" t="n"/>
      <c r="E438" s="18" t="n"/>
      <c r="F438" s="19" t="n"/>
      <c r="G438" s="19" t="n"/>
      <c r="H438" s="20" t="n"/>
      <c r="I438" s="21" t="n"/>
      <c r="J438" s="22" t="n"/>
      <c r="K438" s="23" t="n"/>
      <c r="L438" s="18" t="n"/>
      <c r="M438" s="24">
        <f>IF(B438="","",IF(AND(F438&lt;&gt;"",G438&lt;&gt;""),MAX(0,ROUND(MOD(G438-F438,1)*24-N(H438)/60,2)),N(I438)))</f>
        <v/>
      </c>
      <c r="N438" s="14">
        <f>IF(B438="","",IF(K438&lt;&gt;"",K438,IF(N(IFERROR(INDEX(Projects!$D$6:$D$65,MATCH(D438,Projects!$B$6:$B$65,0)),""))&gt;0,IFERROR(INDEX(Projects!$D$6:$D$65,MATCH(D438,Projects!$B$6:$B$65,0)),""),IFERROR(INDEX(Clients!$G$6:$G$45,MATCH(C438,Clients!$B$6:$B$45,0)),0))))</f>
        <v/>
      </c>
      <c r="O438" s="14">
        <f>IF(B438="","",IF(J438&lt;&gt;"",0,ROUND(M438*N438,2)))</f>
        <v/>
      </c>
      <c r="P438" s="15">
        <f>IF(OR(B438="",J438&lt;&gt;""),"",IF(L438&lt;&gt;"",L438,IF(COUNTIFS(Invoices!$C$6:$C$305,C438,Invoices!$E$6:$E$305,"&lt;="&amp;B438,Invoices!$F$6:$F$305,"&gt;="&amp;B438)=1,INDEX(Invoices!$B$6:$B$305,SUMIFS(Invoices!$O$6:$O$305,Invoices!$C$6:$C$305,C438,Invoices!$E$6:$E$305,"&lt;="&amp;B438,Invoices!$F$6:$F$305,"&gt;="&amp;B438)),IF(COUNTIFS(Invoices!$C$6:$C$305,C438,Invoices!$E$6:$E$305,"&lt;="&amp;B438,Invoices!$F$6:$F$305,"&gt;="&amp;B438)&gt;1,"Two invoices",""))))</f>
        <v/>
      </c>
      <c r="Q438" s="15">
        <f>IF(B438="","",IF(J438&lt;&gt;"","Not billable",IF(P438="","To invoice",IF(P438="Two invoices","Check dates",IF(ISNA(MATCH(P438,Invoices!$B$6:$B$305,0)),"Check number",IF(INDEX(Invoices!$M$6:$M$305,MATCH(P438,Invoices!$B$6:$B$305,0))="Paid","Paid",IF(INDEX(Invoices!$M$6:$M$305,MATCH(P438,Invoices!$B$6:$B$305,0))="Draft","Draft","Invoiced")))))))</f>
        <v/>
      </c>
      <c r="R438" s="1">
        <f>IF(AND(B438&lt;&gt;"",P438&lt;&gt;"",P438=Invoice!$G$4),B438+MOD(N(F438),1)+ROW()/10000000,"")</f>
        <v/>
      </c>
      <c r="S438">
        <f>IF(R438="","",IF(D438="","Other work",D438)&amp;IF(AND(K438&lt;&gt;"",E438&lt;&gt;""),", "&amp;E438,""))</f>
        <v/>
      </c>
      <c r="T438">
        <f>IF(R438="","",IF(COUNTIFS(R$6:R437,"&gt;0",S$6:S437,S438,N$6:N437,N438)=0,R438,""))</f>
        <v/>
      </c>
      <c r="U438">
        <f>IF(B438="","",IF(J438&lt;&gt;"",0,M438))</f>
        <v/>
      </c>
    </row>
    <row r="439">
      <c r="A439" s="1" t="n"/>
      <c r="B439" s="16" t="n"/>
      <c r="C439" s="17" t="n"/>
      <c r="D439" s="18" t="n"/>
      <c r="E439" s="18" t="n"/>
      <c r="F439" s="19" t="n"/>
      <c r="G439" s="19" t="n"/>
      <c r="H439" s="20" t="n"/>
      <c r="I439" s="21" t="n"/>
      <c r="J439" s="22" t="n"/>
      <c r="K439" s="23" t="n"/>
      <c r="L439" s="18" t="n"/>
      <c r="M439" s="24">
        <f>IF(B439="","",IF(AND(F439&lt;&gt;"",G439&lt;&gt;""),MAX(0,ROUND(MOD(G439-F439,1)*24-N(H439)/60,2)),N(I439)))</f>
        <v/>
      </c>
      <c r="N439" s="14">
        <f>IF(B439="","",IF(K439&lt;&gt;"",K439,IF(N(IFERROR(INDEX(Projects!$D$6:$D$65,MATCH(D439,Projects!$B$6:$B$65,0)),""))&gt;0,IFERROR(INDEX(Projects!$D$6:$D$65,MATCH(D439,Projects!$B$6:$B$65,0)),""),IFERROR(INDEX(Clients!$G$6:$G$45,MATCH(C439,Clients!$B$6:$B$45,0)),0))))</f>
        <v/>
      </c>
      <c r="O439" s="14">
        <f>IF(B439="","",IF(J439&lt;&gt;"",0,ROUND(M439*N439,2)))</f>
        <v/>
      </c>
      <c r="P439" s="15">
        <f>IF(OR(B439="",J439&lt;&gt;""),"",IF(L439&lt;&gt;"",L439,IF(COUNTIFS(Invoices!$C$6:$C$305,C439,Invoices!$E$6:$E$305,"&lt;="&amp;B439,Invoices!$F$6:$F$305,"&gt;="&amp;B439)=1,INDEX(Invoices!$B$6:$B$305,SUMIFS(Invoices!$O$6:$O$305,Invoices!$C$6:$C$305,C439,Invoices!$E$6:$E$305,"&lt;="&amp;B439,Invoices!$F$6:$F$305,"&gt;="&amp;B439)),IF(COUNTIFS(Invoices!$C$6:$C$305,C439,Invoices!$E$6:$E$305,"&lt;="&amp;B439,Invoices!$F$6:$F$305,"&gt;="&amp;B439)&gt;1,"Two invoices",""))))</f>
        <v/>
      </c>
      <c r="Q439" s="15">
        <f>IF(B439="","",IF(J439&lt;&gt;"","Not billable",IF(P439="","To invoice",IF(P439="Two invoices","Check dates",IF(ISNA(MATCH(P439,Invoices!$B$6:$B$305,0)),"Check number",IF(INDEX(Invoices!$M$6:$M$305,MATCH(P439,Invoices!$B$6:$B$305,0))="Paid","Paid",IF(INDEX(Invoices!$M$6:$M$305,MATCH(P439,Invoices!$B$6:$B$305,0))="Draft","Draft","Invoiced")))))))</f>
        <v/>
      </c>
      <c r="R439" s="1">
        <f>IF(AND(B439&lt;&gt;"",P439&lt;&gt;"",P439=Invoice!$G$4),B439+MOD(N(F439),1)+ROW()/10000000,"")</f>
        <v/>
      </c>
      <c r="S439">
        <f>IF(R439="","",IF(D439="","Other work",D439)&amp;IF(AND(K439&lt;&gt;"",E439&lt;&gt;""),", "&amp;E439,""))</f>
        <v/>
      </c>
      <c r="T439">
        <f>IF(R439="","",IF(COUNTIFS(R$6:R438,"&gt;0",S$6:S438,S439,N$6:N438,N439)=0,R439,""))</f>
        <v/>
      </c>
      <c r="U439">
        <f>IF(B439="","",IF(J439&lt;&gt;"",0,M439))</f>
        <v/>
      </c>
    </row>
    <row r="440">
      <c r="A440" s="1" t="n"/>
      <c r="B440" s="16" t="n"/>
      <c r="C440" s="17" t="n"/>
      <c r="D440" s="18" t="n"/>
      <c r="E440" s="18" t="n"/>
      <c r="F440" s="19" t="n"/>
      <c r="G440" s="19" t="n"/>
      <c r="H440" s="20" t="n"/>
      <c r="I440" s="21" t="n"/>
      <c r="J440" s="22" t="n"/>
      <c r="K440" s="23" t="n"/>
      <c r="L440" s="18" t="n"/>
      <c r="M440" s="24">
        <f>IF(B440="","",IF(AND(F440&lt;&gt;"",G440&lt;&gt;""),MAX(0,ROUND(MOD(G440-F440,1)*24-N(H440)/60,2)),N(I440)))</f>
        <v/>
      </c>
      <c r="N440" s="14">
        <f>IF(B440="","",IF(K440&lt;&gt;"",K440,IF(N(IFERROR(INDEX(Projects!$D$6:$D$65,MATCH(D440,Projects!$B$6:$B$65,0)),""))&gt;0,IFERROR(INDEX(Projects!$D$6:$D$65,MATCH(D440,Projects!$B$6:$B$65,0)),""),IFERROR(INDEX(Clients!$G$6:$G$45,MATCH(C440,Clients!$B$6:$B$45,0)),0))))</f>
        <v/>
      </c>
      <c r="O440" s="14">
        <f>IF(B440="","",IF(J440&lt;&gt;"",0,ROUND(M440*N440,2)))</f>
        <v/>
      </c>
      <c r="P440" s="15">
        <f>IF(OR(B440="",J440&lt;&gt;""),"",IF(L440&lt;&gt;"",L440,IF(COUNTIFS(Invoices!$C$6:$C$305,C440,Invoices!$E$6:$E$305,"&lt;="&amp;B440,Invoices!$F$6:$F$305,"&gt;="&amp;B440)=1,INDEX(Invoices!$B$6:$B$305,SUMIFS(Invoices!$O$6:$O$305,Invoices!$C$6:$C$305,C440,Invoices!$E$6:$E$305,"&lt;="&amp;B440,Invoices!$F$6:$F$305,"&gt;="&amp;B440)),IF(COUNTIFS(Invoices!$C$6:$C$305,C440,Invoices!$E$6:$E$305,"&lt;="&amp;B440,Invoices!$F$6:$F$305,"&gt;="&amp;B440)&gt;1,"Two invoices",""))))</f>
        <v/>
      </c>
      <c r="Q440" s="15">
        <f>IF(B440="","",IF(J440&lt;&gt;"","Not billable",IF(P440="","To invoice",IF(P440="Two invoices","Check dates",IF(ISNA(MATCH(P440,Invoices!$B$6:$B$305,0)),"Check number",IF(INDEX(Invoices!$M$6:$M$305,MATCH(P440,Invoices!$B$6:$B$305,0))="Paid","Paid",IF(INDEX(Invoices!$M$6:$M$305,MATCH(P440,Invoices!$B$6:$B$305,0))="Draft","Draft","Invoiced")))))))</f>
        <v/>
      </c>
      <c r="R440" s="1">
        <f>IF(AND(B440&lt;&gt;"",P440&lt;&gt;"",P440=Invoice!$G$4),B440+MOD(N(F440),1)+ROW()/10000000,"")</f>
        <v/>
      </c>
      <c r="S440">
        <f>IF(R440="","",IF(D440="","Other work",D440)&amp;IF(AND(K440&lt;&gt;"",E440&lt;&gt;""),", "&amp;E440,""))</f>
        <v/>
      </c>
      <c r="T440">
        <f>IF(R440="","",IF(COUNTIFS(R$6:R439,"&gt;0",S$6:S439,S440,N$6:N439,N440)=0,R440,""))</f>
        <v/>
      </c>
      <c r="U440">
        <f>IF(B440="","",IF(J440&lt;&gt;"",0,M440))</f>
        <v/>
      </c>
    </row>
    <row r="441">
      <c r="A441" s="1" t="n"/>
      <c r="B441" s="16" t="n"/>
      <c r="C441" s="17" t="n"/>
      <c r="D441" s="18" t="n"/>
      <c r="E441" s="18" t="n"/>
      <c r="F441" s="19" t="n"/>
      <c r="G441" s="19" t="n"/>
      <c r="H441" s="20" t="n"/>
      <c r="I441" s="21" t="n"/>
      <c r="J441" s="22" t="n"/>
      <c r="K441" s="23" t="n"/>
      <c r="L441" s="18" t="n"/>
      <c r="M441" s="24">
        <f>IF(B441="","",IF(AND(F441&lt;&gt;"",G441&lt;&gt;""),MAX(0,ROUND(MOD(G441-F441,1)*24-N(H441)/60,2)),N(I441)))</f>
        <v/>
      </c>
      <c r="N441" s="14">
        <f>IF(B441="","",IF(K441&lt;&gt;"",K441,IF(N(IFERROR(INDEX(Projects!$D$6:$D$65,MATCH(D441,Projects!$B$6:$B$65,0)),""))&gt;0,IFERROR(INDEX(Projects!$D$6:$D$65,MATCH(D441,Projects!$B$6:$B$65,0)),""),IFERROR(INDEX(Clients!$G$6:$G$45,MATCH(C441,Clients!$B$6:$B$45,0)),0))))</f>
        <v/>
      </c>
      <c r="O441" s="14">
        <f>IF(B441="","",IF(J441&lt;&gt;"",0,ROUND(M441*N441,2)))</f>
        <v/>
      </c>
      <c r="P441" s="15">
        <f>IF(OR(B441="",J441&lt;&gt;""),"",IF(L441&lt;&gt;"",L441,IF(COUNTIFS(Invoices!$C$6:$C$305,C441,Invoices!$E$6:$E$305,"&lt;="&amp;B441,Invoices!$F$6:$F$305,"&gt;="&amp;B441)=1,INDEX(Invoices!$B$6:$B$305,SUMIFS(Invoices!$O$6:$O$305,Invoices!$C$6:$C$305,C441,Invoices!$E$6:$E$305,"&lt;="&amp;B441,Invoices!$F$6:$F$305,"&gt;="&amp;B441)),IF(COUNTIFS(Invoices!$C$6:$C$305,C441,Invoices!$E$6:$E$305,"&lt;="&amp;B441,Invoices!$F$6:$F$305,"&gt;="&amp;B441)&gt;1,"Two invoices",""))))</f>
        <v/>
      </c>
      <c r="Q441" s="15">
        <f>IF(B441="","",IF(J441&lt;&gt;"","Not billable",IF(P441="","To invoice",IF(P441="Two invoices","Check dates",IF(ISNA(MATCH(P441,Invoices!$B$6:$B$305,0)),"Check number",IF(INDEX(Invoices!$M$6:$M$305,MATCH(P441,Invoices!$B$6:$B$305,0))="Paid","Paid",IF(INDEX(Invoices!$M$6:$M$305,MATCH(P441,Invoices!$B$6:$B$305,0))="Draft","Draft","Invoiced")))))))</f>
        <v/>
      </c>
      <c r="R441" s="1">
        <f>IF(AND(B441&lt;&gt;"",P441&lt;&gt;"",P441=Invoice!$G$4),B441+MOD(N(F441),1)+ROW()/10000000,"")</f>
        <v/>
      </c>
      <c r="S441">
        <f>IF(R441="","",IF(D441="","Other work",D441)&amp;IF(AND(K441&lt;&gt;"",E441&lt;&gt;""),", "&amp;E441,""))</f>
        <v/>
      </c>
      <c r="T441">
        <f>IF(R441="","",IF(COUNTIFS(R$6:R440,"&gt;0",S$6:S440,S441,N$6:N440,N441)=0,R441,""))</f>
        <v/>
      </c>
      <c r="U441">
        <f>IF(B441="","",IF(J441&lt;&gt;"",0,M441))</f>
        <v/>
      </c>
    </row>
    <row r="442">
      <c r="A442" s="1" t="n"/>
      <c r="B442" s="16" t="n"/>
      <c r="C442" s="17" t="n"/>
      <c r="D442" s="18" t="n"/>
      <c r="E442" s="18" t="n"/>
      <c r="F442" s="19" t="n"/>
      <c r="G442" s="19" t="n"/>
      <c r="H442" s="20" t="n"/>
      <c r="I442" s="21" t="n"/>
      <c r="J442" s="22" t="n"/>
      <c r="K442" s="23" t="n"/>
      <c r="L442" s="18" t="n"/>
      <c r="M442" s="24">
        <f>IF(B442="","",IF(AND(F442&lt;&gt;"",G442&lt;&gt;""),MAX(0,ROUND(MOD(G442-F442,1)*24-N(H442)/60,2)),N(I442)))</f>
        <v/>
      </c>
      <c r="N442" s="14">
        <f>IF(B442="","",IF(K442&lt;&gt;"",K442,IF(N(IFERROR(INDEX(Projects!$D$6:$D$65,MATCH(D442,Projects!$B$6:$B$65,0)),""))&gt;0,IFERROR(INDEX(Projects!$D$6:$D$65,MATCH(D442,Projects!$B$6:$B$65,0)),""),IFERROR(INDEX(Clients!$G$6:$G$45,MATCH(C442,Clients!$B$6:$B$45,0)),0))))</f>
        <v/>
      </c>
      <c r="O442" s="14">
        <f>IF(B442="","",IF(J442&lt;&gt;"",0,ROUND(M442*N442,2)))</f>
        <v/>
      </c>
      <c r="P442" s="15">
        <f>IF(OR(B442="",J442&lt;&gt;""),"",IF(L442&lt;&gt;"",L442,IF(COUNTIFS(Invoices!$C$6:$C$305,C442,Invoices!$E$6:$E$305,"&lt;="&amp;B442,Invoices!$F$6:$F$305,"&gt;="&amp;B442)=1,INDEX(Invoices!$B$6:$B$305,SUMIFS(Invoices!$O$6:$O$305,Invoices!$C$6:$C$305,C442,Invoices!$E$6:$E$305,"&lt;="&amp;B442,Invoices!$F$6:$F$305,"&gt;="&amp;B442)),IF(COUNTIFS(Invoices!$C$6:$C$305,C442,Invoices!$E$6:$E$305,"&lt;="&amp;B442,Invoices!$F$6:$F$305,"&gt;="&amp;B442)&gt;1,"Two invoices",""))))</f>
        <v/>
      </c>
      <c r="Q442" s="15">
        <f>IF(B442="","",IF(J442&lt;&gt;"","Not billable",IF(P442="","To invoice",IF(P442="Two invoices","Check dates",IF(ISNA(MATCH(P442,Invoices!$B$6:$B$305,0)),"Check number",IF(INDEX(Invoices!$M$6:$M$305,MATCH(P442,Invoices!$B$6:$B$305,0))="Paid","Paid",IF(INDEX(Invoices!$M$6:$M$305,MATCH(P442,Invoices!$B$6:$B$305,0))="Draft","Draft","Invoiced")))))))</f>
        <v/>
      </c>
      <c r="R442" s="1">
        <f>IF(AND(B442&lt;&gt;"",P442&lt;&gt;"",P442=Invoice!$G$4),B442+MOD(N(F442),1)+ROW()/10000000,"")</f>
        <v/>
      </c>
      <c r="S442">
        <f>IF(R442="","",IF(D442="","Other work",D442)&amp;IF(AND(K442&lt;&gt;"",E442&lt;&gt;""),", "&amp;E442,""))</f>
        <v/>
      </c>
      <c r="T442">
        <f>IF(R442="","",IF(COUNTIFS(R$6:R441,"&gt;0",S$6:S441,S442,N$6:N441,N442)=0,R442,""))</f>
        <v/>
      </c>
      <c r="U442">
        <f>IF(B442="","",IF(J442&lt;&gt;"",0,M442))</f>
        <v/>
      </c>
    </row>
    <row r="443">
      <c r="A443" s="1" t="n"/>
      <c r="B443" s="16" t="n"/>
      <c r="C443" s="17" t="n"/>
      <c r="D443" s="18" t="n"/>
      <c r="E443" s="18" t="n"/>
      <c r="F443" s="19" t="n"/>
      <c r="G443" s="19" t="n"/>
      <c r="H443" s="20" t="n"/>
      <c r="I443" s="21" t="n"/>
      <c r="J443" s="22" t="n"/>
      <c r="K443" s="23" t="n"/>
      <c r="L443" s="18" t="n"/>
      <c r="M443" s="24">
        <f>IF(B443="","",IF(AND(F443&lt;&gt;"",G443&lt;&gt;""),MAX(0,ROUND(MOD(G443-F443,1)*24-N(H443)/60,2)),N(I443)))</f>
        <v/>
      </c>
      <c r="N443" s="14">
        <f>IF(B443="","",IF(K443&lt;&gt;"",K443,IF(N(IFERROR(INDEX(Projects!$D$6:$D$65,MATCH(D443,Projects!$B$6:$B$65,0)),""))&gt;0,IFERROR(INDEX(Projects!$D$6:$D$65,MATCH(D443,Projects!$B$6:$B$65,0)),""),IFERROR(INDEX(Clients!$G$6:$G$45,MATCH(C443,Clients!$B$6:$B$45,0)),0))))</f>
        <v/>
      </c>
      <c r="O443" s="14">
        <f>IF(B443="","",IF(J443&lt;&gt;"",0,ROUND(M443*N443,2)))</f>
        <v/>
      </c>
      <c r="P443" s="15">
        <f>IF(OR(B443="",J443&lt;&gt;""),"",IF(L443&lt;&gt;"",L443,IF(COUNTIFS(Invoices!$C$6:$C$305,C443,Invoices!$E$6:$E$305,"&lt;="&amp;B443,Invoices!$F$6:$F$305,"&gt;="&amp;B443)=1,INDEX(Invoices!$B$6:$B$305,SUMIFS(Invoices!$O$6:$O$305,Invoices!$C$6:$C$305,C443,Invoices!$E$6:$E$305,"&lt;="&amp;B443,Invoices!$F$6:$F$305,"&gt;="&amp;B443)),IF(COUNTIFS(Invoices!$C$6:$C$305,C443,Invoices!$E$6:$E$305,"&lt;="&amp;B443,Invoices!$F$6:$F$305,"&gt;="&amp;B443)&gt;1,"Two invoices",""))))</f>
        <v/>
      </c>
      <c r="Q443" s="15">
        <f>IF(B443="","",IF(J443&lt;&gt;"","Not billable",IF(P443="","To invoice",IF(P443="Two invoices","Check dates",IF(ISNA(MATCH(P443,Invoices!$B$6:$B$305,0)),"Check number",IF(INDEX(Invoices!$M$6:$M$305,MATCH(P443,Invoices!$B$6:$B$305,0))="Paid","Paid",IF(INDEX(Invoices!$M$6:$M$305,MATCH(P443,Invoices!$B$6:$B$305,0))="Draft","Draft","Invoiced")))))))</f>
        <v/>
      </c>
      <c r="R443" s="1">
        <f>IF(AND(B443&lt;&gt;"",P443&lt;&gt;"",P443=Invoice!$G$4),B443+MOD(N(F443),1)+ROW()/10000000,"")</f>
        <v/>
      </c>
      <c r="S443">
        <f>IF(R443="","",IF(D443="","Other work",D443)&amp;IF(AND(K443&lt;&gt;"",E443&lt;&gt;""),", "&amp;E443,""))</f>
        <v/>
      </c>
      <c r="T443">
        <f>IF(R443="","",IF(COUNTIFS(R$6:R442,"&gt;0",S$6:S442,S443,N$6:N442,N443)=0,R443,""))</f>
        <v/>
      </c>
      <c r="U443">
        <f>IF(B443="","",IF(J443&lt;&gt;"",0,M443))</f>
        <v/>
      </c>
    </row>
    <row r="444">
      <c r="A444" s="1" t="n"/>
      <c r="B444" s="16" t="n"/>
      <c r="C444" s="17" t="n"/>
      <c r="D444" s="18" t="n"/>
      <c r="E444" s="18" t="n"/>
      <c r="F444" s="19" t="n"/>
      <c r="G444" s="19" t="n"/>
      <c r="H444" s="20" t="n"/>
      <c r="I444" s="21" t="n"/>
      <c r="J444" s="22" t="n"/>
      <c r="K444" s="23" t="n"/>
      <c r="L444" s="18" t="n"/>
      <c r="M444" s="24">
        <f>IF(B444="","",IF(AND(F444&lt;&gt;"",G444&lt;&gt;""),MAX(0,ROUND(MOD(G444-F444,1)*24-N(H444)/60,2)),N(I444)))</f>
        <v/>
      </c>
      <c r="N444" s="14">
        <f>IF(B444="","",IF(K444&lt;&gt;"",K444,IF(N(IFERROR(INDEX(Projects!$D$6:$D$65,MATCH(D444,Projects!$B$6:$B$65,0)),""))&gt;0,IFERROR(INDEX(Projects!$D$6:$D$65,MATCH(D444,Projects!$B$6:$B$65,0)),""),IFERROR(INDEX(Clients!$G$6:$G$45,MATCH(C444,Clients!$B$6:$B$45,0)),0))))</f>
        <v/>
      </c>
      <c r="O444" s="14">
        <f>IF(B444="","",IF(J444&lt;&gt;"",0,ROUND(M444*N444,2)))</f>
        <v/>
      </c>
      <c r="P444" s="15">
        <f>IF(OR(B444="",J444&lt;&gt;""),"",IF(L444&lt;&gt;"",L444,IF(COUNTIFS(Invoices!$C$6:$C$305,C444,Invoices!$E$6:$E$305,"&lt;="&amp;B444,Invoices!$F$6:$F$305,"&gt;="&amp;B444)=1,INDEX(Invoices!$B$6:$B$305,SUMIFS(Invoices!$O$6:$O$305,Invoices!$C$6:$C$305,C444,Invoices!$E$6:$E$305,"&lt;="&amp;B444,Invoices!$F$6:$F$305,"&gt;="&amp;B444)),IF(COUNTIFS(Invoices!$C$6:$C$305,C444,Invoices!$E$6:$E$305,"&lt;="&amp;B444,Invoices!$F$6:$F$305,"&gt;="&amp;B444)&gt;1,"Two invoices",""))))</f>
        <v/>
      </c>
      <c r="Q444" s="15">
        <f>IF(B444="","",IF(J444&lt;&gt;"","Not billable",IF(P444="","To invoice",IF(P444="Two invoices","Check dates",IF(ISNA(MATCH(P444,Invoices!$B$6:$B$305,0)),"Check number",IF(INDEX(Invoices!$M$6:$M$305,MATCH(P444,Invoices!$B$6:$B$305,0))="Paid","Paid",IF(INDEX(Invoices!$M$6:$M$305,MATCH(P444,Invoices!$B$6:$B$305,0))="Draft","Draft","Invoiced")))))))</f>
        <v/>
      </c>
      <c r="R444" s="1">
        <f>IF(AND(B444&lt;&gt;"",P444&lt;&gt;"",P444=Invoice!$G$4),B444+MOD(N(F444),1)+ROW()/10000000,"")</f>
        <v/>
      </c>
      <c r="S444">
        <f>IF(R444="","",IF(D444="","Other work",D444)&amp;IF(AND(K444&lt;&gt;"",E444&lt;&gt;""),", "&amp;E444,""))</f>
        <v/>
      </c>
      <c r="T444">
        <f>IF(R444="","",IF(COUNTIFS(R$6:R443,"&gt;0",S$6:S443,S444,N$6:N443,N444)=0,R444,""))</f>
        <v/>
      </c>
      <c r="U444">
        <f>IF(B444="","",IF(J444&lt;&gt;"",0,M444))</f>
        <v/>
      </c>
    </row>
    <row r="445">
      <c r="A445" s="1" t="n"/>
      <c r="B445" s="16" t="n"/>
      <c r="C445" s="17" t="n"/>
      <c r="D445" s="18" t="n"/>
      <c r="E445" s="18" t="n"/>
      <c r="F445" s="19" t="n"/>
      <c r="G445" s="19" t="n"/>
      <c r="H445" s="20" t="n"/>
      <c r="I445" s="21" t="n"/>
      <c r="J445" s="22" t="n"/>
      <c r="K445" s="23" t="n"/>
      <c r="L445" s="18" t="n"/>
      <c r="M445" s="24">
        <f>IF(B445="","",IF(AND(F445&lt;&gt;"",G445&lt;&gt;""),MAX(0,ROUND(MOD(G445-F445,1)*24-N(H445)/60,2)),N(I445)))</f>
        <v/>
      </c>
      <c r="N445" s="14">
        <f>IF(B445="","",IF(K445&lt;&gt;"",K445,IF(N(IFERROR(INDEX(Projects!$D$6:$D$65,MATCH(D445,Projects!$B$6:$B$65,0)),""))&gt;0,IFERROR(INDEX(Projects!$D$6:$D$65,MATCH(D445,Projects!$B$6:$B$65,0)),""),IFERROR(INDEX(Clients!$G$6:$G$45,MATCH(C445,Clients!$B$6:$B$45,0)),0))))</f>
        <v/>
      </c>
      <c r="O445" s="14">
        <f>IF(B445="","",IF(J445&lt;&gt;"",0,ROUND(M445*N445,2)))</f>
        <v/>
      </c>
      <c r="P445" s="15">
        <f>IF(OR(B445="",J445&lt;&gt;""),"",IF(L445&lt;&gt;"",L445,IF(COUNTIFS(Invoices!$C$6:$C$305,C445,Invoices!$E$6:$E$305,"&lt;="&amp;B445,Invoices!$F$6:$F$305,"&gt;="&amp;B445)=1,INDEX(Invoices!$B$6:$B$305,SUMIFS(Invoices!$O$6:$O$305,Invoices!$C$6:$C$305,C445,Invoices!$E$6:$E$305,"&lt;="&amp;B445,Invoices!$F$6:$F$305,"&gt;="&amp;B445)),IF(COUNTIFS(Invoices!$C$6:$C$305,C445,Invoices!$E$6:$E$305,"&lt;="&amp;B445,Invoices!$F$6:$F$305,"&gt;="&amp;B445)&gt;1,"Two invoices",""))))</f>
        <v/>
      </c>
      <c r="Q445" s="15">
        <f>IF(B445="","",IF(J445&lt;&gt;"","Not billable",IF(P445="","To invoice",IF(P445="Two invoices","Check dates",IF(ISNA(MATCH(P445,Invoices!$B$6:$B$305,0)),"Check number",IF(INDEX(Invoices!$M$6:$M$305,MATCH(P445,Invoices!$B$6:$B$305,0))="Paid","Paid",IF(INDEX(Invoices!$M$6:$M$305,MATCH(P445,Invoices!$B$6:$B$305,0))="Draft","Draft","Invoiced")))))))</f>
        <v/>
      </c>
      <c r="R445" s="1">
        <f>IF(AND(B445&lt;&gt;"",P445&lt;&gt;"",P445=Invoice!$G$4),B445+MOD(N(F445),1)+ROW()/10000000,"")</f>
        <v/>
      </c>
      <c r="S445">
        <f>IF(R445="","",IF(D445="","Other work",D445)&amp;IF(AND(K445&lt;&gt;"",E445&lt;&gt;""),", "&amp;E445,""))</f>
        <v/>
      </c>
      <c r="T445">
        <f>IF(R445="","",IF(COUNTIFS(R$6:R444,"&gt;0",S$6:S444,S445,N$6:N444,N445)=0,R445,""))</f>
        <v/>
      </c>
      <c r="U445">
        <f>IF(B445="","",IF(J445&lt;&gt;"",0,M445))</f>
        <v/>
      </c>
    </row>
    <row r="446">
      <c r="A446" s="1" t="n"/>
      <c r="B446" s="16" t="n"/>
      <c r="C446" s="17" t="n"/>
      <c r="D446" s="18" t="n"/>
      <c r="E446" s="18" t="n"/>
      <c r="F446" s="19" t="n"/>
      <c r="G446" s="19" t="n"/>
      <c r="H446" s="20" t="n"/>
      <c r="I446" s="21" t="n"/>
      <c r="J446" s="22" t="n"/>
      <c r="K446" s="23" t="n"/>
      <c r="L446" s="18" t="n"/>
      <c r="M446" s="24">
        <f>IF(B446="","",IF(AND(F446&lt;&gt;"",G446&lt;&gt;""),MAX(0,ROUND(MOD(G446-F446,1)*24-N(H446)/60,2)),N(I446)))</f>
        <v/>
      </c>
      <c r="N446" s="14">
        <f>IF(B446="","",IF(K446&lt;&gt;"",K446,IF(N(IFERROR(INDEX(Projects!$D$6:$D$65,MATCH(D446,Projects!$B$6:$B$65,0)),""))&gt;0,IFERROR(INDEX(Projects!$D$6:$D$65,MATCH(D446,Projects!$B$6:$B$65,0)),""),IFERROR(INDEX(Clients!$G$6:$G$45,MATCH(C446,Clients!$B$6:$B$45,0)),0))))</f>
        <v/>
      </c>
      <c r="O446" s="14">
        <f>IF(B446="","",IF(J446&lt;&gt;"",0,ROUND(M446*N446,2)))</f>
        <v/>
      </c>
      <c r="P446" s="15">
        <f>IF(OR(B446="",J446&lt;&gt;""),"",IF(L446&lt;&gt;"",L446,IF(COUNTIFS(Invoices!$C$6:$C$305,C446,Invoices!$E$6:$E$305,"&lt;="&amp;B446,Invoices!$F$6:$F$305,"&gt;="&amp;B446)=1,INDEX(Invoices!$B$6:$B$305,SUMIFS(Invoices!$O$6:$O$305,Invoices!$C$6:$C$305,C446,Invoices!$E$6:$E$305,"&lt;="&amp;B446,Invoices!$F$6:$F$305,"&gt;="&amp;B446)),IF(COUNTIFS(Invoices!$C$6:$C$305,C446,Invoices!$E$6:$E$305,"&lt;="&amp;B446,Invoices!$F$6:$F$305,"&gt;="&amp;B446)&gt;1,"Two invoices",""))))</f>
        <v/>
      </c>
      <c r="Q446" s="15">
        <f>IF(B446="","",IF(J446&lt;&gt;"","Not billable",IF(P446="","To invoice",IF(P446="Two invoices","Check dates",IF(ISNA(MATCH(P446,Invoices!$B$6:$B$305,0)),"Check number",IF(INDEX(Invoices!$M$6:$M$305,MATCH(P446,Invoices!$B$6:$B$305,0))="Paid","Paid",IF(INDEX(Invoices!$M$6:$M$305,MATCH(P446,Invoices!$B$6:$B$305,0))="Draft","Draft","Invoiced")))))))</f>
        <v/>
      </c>
      <c r="R446" s="1">
        <f>IF(AND(B446&lt;&gt;"",P446&lt;&gt;"",P446=Invoice!$G$4),B446+MOD(N(F446),1)+ROW()/10000000,"")</f>
        <v/>
      </c>
      <c r="S446">
        <f>IF(R446="","",IF(D446="","Other work",D446)&amp;IF(AND(K446&lt;&gt;"",E446&lt;&gt;""),", "&amp;E446,""))</f>
        <v/>
      </c>
      <c r="T446">
        <f>IF(R446="","",IF(COUNTIFS(R$6:R445,"&gt;0",S$6:S445,S446,N$6:N445,N446)=0,R446,""))</f>
        <v/>
      </c>
      <c r="U446">
        <f>IF(B446="","",IF(J446&lt;&gt;"",0,M446))</f>
        <v/>
      </c>
    </row>
    <row r="447">
      <c r="A447" s="1" t="n"/>
      <c r="B447" s="16" t="n"/>
      <c r="C447" s="17" t="n"/>
      <c r="D447" s="18" t="n"/>
      <c r="E447" s="18" t="n"/>
      <c r="F447" s="19" t="n"/>
      <c r="G447" s="19" t="n"/>
      <c r="H447" s="20" t="n"/>
      <c r="I447" s="21" t="n"/>
      <c r="J447" s="22" t="n"/>
      <c r="K447" s="23" t="n"/>
      <c r="L447" s="18" t="n"/>
      <c r="M447" s="24">
        <f>IF(B447="","",IF(AND(F447&lt;&gt;"",G447&lt;&gt;""),MAX(0,ROUND(MOD(G447-F447,1)*24-N(H447)/60,2)),N(I447)))</f>
        <v/>
      </c>
      <c r="N447" s="14">
        <f>IF(B447="","",IF(K447&lt;&gt;"",K447,IF(N(IFERROR(INDEX(Projects!$D$6:$D$65,MATCH(D447,Projects!$B$6:$B$65,0)),""))&gt;0,IFERROR(INDEX(Projects!$D$6:$D$65,MATCH(D447,Projects!$B$6:$B$65,0)),""),IFERROR(INDEX(Clients!$G$6:$G$45,MATCH(C447,Clients!$B$6:$B$45,0)),0))))</f>
        <v/>
      </c>
      <c r="O447" s="14">
        <f>IF(B447="","",IF(J447&lt;&gt;"",0,ROUND(M447*N447,2)))</f>
        <v/>
      </c>
      <c r="P447" s="15">
        <f>IF(OR(B447="",J447&lt;&gt;""),"",IF(L447&lt;&gt;"",L447,IF(COUNTIFS(Invoices!$C$6:$C$305,C447,Invoices!$E$6:$E$305,"&lt;="&amp;B447,Invoices!$F$6:$F$305,"&gt;="&amp;B447)=1,INDEX(Invoices!$B$6:$B$305,SUMIFS(Invoices!$O$6:$O$305,Invoices!$C$6:$C$305,C447,Invoices!$E$6:$E$305,"&lt;="&amp;B447,Invoices!$F$6:$F$305,"&gt;="&amp;B447)),IF(COUNTIFS(Invoices!$C$6:$C$305,C447,Invoices!$E$6:$E$305,"&lt;="&amp;B447,Invoices!$F$6:$F$305,"&gt;="&amp;B447)&gt;1,"Two invoices",""))))</f>
        <v/>
      </c>
      <c r="Q447" s="15">
        <f>IF(B447="","",IF(J447&lt;&gt;"","Not billable",IF(P447="","To invoice",IF(P447="Two invoices","Check dates",IF(ISNA(MATCH(P447,Invoices!$B$6:$B$305,0)),"Check number",IF(INDEX(Invoices!$M$6:$M$305,MATCH(P447,Invoices!$B$6:$B$305,0))="Paid","Paid",IF(INDEX(Invoices!$M$6:$M$305,MATCH(P447,Invoices!$B$6:$B$305,0))="Draft","Draft","Invoiced")))))))</f>
        <v/>
      </c>
      <c r="R447" s="1">
        <f>IF(AND(B447&lt;&gt;"",P447&lt;&gt;"",P447=Invoice!$G$4),B447+MOD(N(F447),1)+ROW()/10000000,"")</f>
        <v/>
      </c>
      <c r="S447">
        <f>IF(R447="","",IF(D447="","Other work",D447)&amp;IF(AND(K447&lt;&gt;"",E447&lt;&gt;""),", "&amp;E447,""))</f>
        <v/>
      </c>
      <c r="T447">
        <f>IF(R447="","",IF(COUNTIFS(R$6:R446,"&gt;0",S$6:S446,S447,N$6:N446,N447)=0,R447,""))</f>
        <v/>
      </c>
      <c r="U447">
        <f>IF(B447="","",IF(J447&lt;&gt;"",0,M447))</f>
        <v/>
      </c>
    </row>
    <row r="448">
      <c r="A448" s="1" t="n"/>
      <c r="B448" s="16" t="n"/>
      <c r="C448" s="17" t="n"/>
      <c r="D448" s="18" t="n"/>
      <c r="E448" s="18" t="n"/>
      <c r="F448" s="19" t="n"/>
      <c r="G448" s="19" t="n"/>
      <c r="H448" s="20" t="n"/>
      <c r="I448" s="21" t="n"/>
      <c r="J448" s="22" t="n"/>
      <c r="K448" s="23" t="n"/>
      <c r="L448" s="18" t="n"/>
      <c r="M448" s="24">
        <f>IF(B448="","",IF(AND(F448&lt;&gt;"",G448&lt;&gt;""),MAX(0,ROUND(MOD(G448-F448,1)*24-N(H448)/60,2)),N(I448)))</f>
        <v/>
      </c>
      <c r="N448" s="14">
        <f>IF(B448="","",IF(K448&lt;&gt;"",K448,IF(N(IFERROR(INDEX(Projects!$D$6:$D$65,MATCH(D448,Projects!$B$6:$B$65,0)),""))&gt;0,IFERROR(INDEX(Projects!$D$6:$D$65,MATCH(D448,Projects!$B$6:$B$65,0)),""),IFERROR(INDEX(Clients!$G$6:$G$45,MATCH(C448,Clients!$B$6:$B$45,0)),0))))</f>
        <v/>
      </c>
      <c r="O448" s="14">
        <f>IF(B448="","",IF(J448&lt;&gt;"",0,ROUND(M448*N448,2)))</f>
        <v/>
      </c>
      <c r="P448" s="15">
        <f>IF(OR(B448="",J448&lt;&gt;""),"",IF(L448&lt;&gt;"",L448,IF(COUNTIFS(Invoices!$C$6:$C$305,C448,Invoices!$E$6:$E$305,"&lt;="&amp;B448,Invoices!$F$6:$F$305,"&gt;="&amp;B448)=1,INDEX(Invoices!$B$6:$B$305,SUMIFS(Invoices!$O$6:$O$305,Invoices!$C$6:$C$305,C448,Invoices!$E$6:$E$305,"&lt;="&amp;B448,Invoices!$F$6:$F$305,"&gt;="&amp;B448)),IF(COUNTIFS(Invoices!$C$6:$C$305,C448,Invoices!$E$6:$E$305,"&lt;="&amp;B448,Invoices!$F$6:$F$305,"&gt;="&amp;B448)&gt;1,"Two invoices",""))))</f>
        <v/>
      </c>
      <c r="Q448" s="15">
        <f>IF(B448="","",IF(J448&lt;&gt;"","Not billable",IF(P448="","To invoice",IF(P448="Two invoices","Check dates",IF(ISNA(MATCH(P448,Invoices!$B$6:$B$305,0)),"Check number",IF(INDEX(Invoices!$M$6:$M$305,MATCH(P448,Invoices!$B$6:$B$305,0))="Paid","Paid",IF(INDEX(Invoices!$M$6:$M$305,MATCH(P448,Invoices!$B$6:$B$305,0))="Draft","Draft","Invoiced")))))))</f>
        <v/>
      </c>
      <c r="R448" s="1">
        <f>IF(AND(B448&lt;&gt;"",P448&lt;&gt;"",P448=Invoice!$G$4),B448+MOD(N(F448),1)+ROW()/10000000,"")</f>
        <v/>
      </c>
      <c r="S448">
        <f>IF(R448="","",IF(D448="","Other work",D448)&amp;IF(AND(K448&lt;&gt;"",E448&lt;&gt;""),", "&amp;E448,""))</f>
        <v/>
      </c>
      <c r="T448">
        <f>IF(R448="","",IF(COUNTIFS(R$6:R447,"&gt;0",S$6:S447,S448,N$6:N447,N448)=0,R448,""))</f>
        <v/>
      </c>
      <c r="U448">
        <f>IF(B448="","",IF(J448&lt;&gt;"",0,M448))</f>
        <v/>
      </c>
    </row>
    <row r="449">
      <c r="A449" s="1" t="n"/>
      <c r="B449" s="16" t="n"/>
      <c r="C449" s="17" t="n"/>
      <c r="D449" s="18" t="n"/>
      <c r="E449" s="18" t="n"/>
      <c r="F449" s="19" t="n"/>
      <c r="G449" s="19" t="n"/>
      <c r="H449" s="20" t="n"/>
      <c r="I449" s="21" t="n"/>
      <c r="J449" s="22" t="n"/>
      <c r="K449" s="23" t="n"/>
      <c r="L449" s="18" t="n"/>
      <c r="M449" s="24">
        <f>IF(B449="","",IF(AND(F449&lt;&gt;"",G449&lt;&gt;""),MAX(0,ROUND(MOD(G449-F449,1)*24-N(H449)/60,2)),N(I449)))</f>
        <v/>
      </c>
      <c r="N449" s="14">
        <f>IF(B449="","",IF(K449&lt;&gt;"",K449,IF(N(IFERROR(INDEX(Projects!$D$6:$D$65,MATCH(D449,Projects!$B$6:$B$65,0)),""))&gt;0,IFERROR(INDEX(Projects!$D$6:$D$65,MATCH(D449,Projects!$B$6:$B$65,0)),""),IFERROR(INDEX(Clients!$G$6:$G$45,MATCH(C449,Clients!$B$6:$B$45,0)),0))))</f>
        <v/>
      </c>
      <c r="O449" s="14">
        <f>IF(B449="","",IF(J449&lt;&gt;"",0,ROUND(M449*N449,2)))</f>
        <v/>
      </c>
      <c r="P449" s="15">
        <f>IF(OR(B449="",J449&lt;&gt;""),"",IF(L449&lt;&gt;"",L449,IF(COUNTIFS(Invoices!$C$6:$C$305,C449,Invoices!$E$6:$E$305,"&lt;="&amp;B449,Invoices!$F$6:$F$305,"&gt;="&amp;B449)=1,INDEX(Invoices!$B$6:$B$305,SUMIFS(Invoices!$O$6:$O$305,Invoices!$C$6:$C$305,C449,Invoices!$E$6:$E$305,"&lt;="&amp;B449,Invoices!$F$6:$F$305,"&gt;="&amp;B449)),IF(COUNTIFS(Invoices!$C$6:$C$305,C449,Invoices!$E$6:$E$305,"&lt;="&amp;B449,Invoices!$F$6:$F$305,"&gt;="&amp;B449)&gt;1,"Two invoices",""))))</f>
        <v/>
      </c>
      <c r="Q449" s="15">
        <f>IF(B449="","",IF(J449&lt;&gt;"","Not billable",IF(P449="","To invoice",IF(P449="Two invoices","Check dates",IF(ISNA(MATCH(P449,Invoices!$B$6:$B$305,0)),"Check number",IF(INDEX(Invoices!$M$6:$M$305,MATCH(P449,Invoices!$B$6:$B$305,0))="Paid","Paid",IF(INDEX(Invoices!$M$6:$M$305,MATCH(P449,Invoices!$B$6:$B$305,0))="Draft","Draft","Invoiced")))))))</f>
        <v/>
      </c>
      <c r="R449" s="1">
        <f>IF(AND(B449&lt;&gt;"",P449&lt;&gt;"",P449=Invoice!$G$4),B449+MOD(N(F449),1)+ROW()/10000000,"")</f>
        <v/>
      </c>
      <c r="S449">
        <f>IF(R449="","",IF(D449="","Other work",D449)&amp;IF(AND(K449&lt;&gt;"",E449&lt;&gt;""),", "&amp;E449,""))</f>
        <v/>
      </c>
      <c r="T449">
        <f>IF(R449="","",IF(COUNTIFS(R$6:R448,"&gt;0",S$6:S448,S449,N$6:N448,N449)=0,R449,""))</f>
        <v/>
      </c>
      <c r="U449">
        <f>IF(B449="","",IF(J449&lt;&gt;"",0,M449))</f>
        <v/>
      </c>
    </row>
    <row r="450">
      <c r="A450" s="1" t="n"/>
      <c r="B450" s="16" t="n"/>
      <c r="C450" s="17" t="n"/>
      <c r="D450" s="18" t="n"/>
      <c r="E450" s="18" t="n"/>
      <c r="F450" s="19" t="n"/>
      <c r="G450" s="19" t="n"/>
      <c r="H450" s="20" t="n"/>
      <c r="I450" s="21" t="n"/>
      <c r="J450" s="22" t="n"/>
      <c r="K450" s="23" t="n"/>
      <c r="L450" s="18" t="n"/>
      <c r="M450" s="24">
        <f>IF(B450="","",IF(AND(F450&lt;&gt;"",G450&lt;&gt;""),MAX(0,ROUND(MOD(G450-F450,1)*24-N(H450)/60,2)),N(I450)))</f>
        <v/>
      </c>
      <c r="N450" s="14">
        <f>IF(B450="","",IF(K450&lt;&gt;"",K450,IF(N(IFERROR(INDEX(Projects!$D$6:$D$65,MATCH(D450,Projects!$B$6:$B$65,0)),""))&gt;0,IFERROR(INDEX(Projects!$D$6:$D$65,MATCH(D450,Projects!$B$6:$B$65,0)),""),IFERROR(INDEX(Clients!$G$6:$G$45,MATCH(C450,Clients!$B$6:$B$45,0)),0))))</f>
        <v/>
      </c>
      <c r="O450" s="14">
        <f>IF(B450="","",IF(J450&lt;&gt;"",0,ROUND(M450*N450,2)))</f>
        <v/>
      </c>
      <c r="P450" s="15">
        <f>IF(OR(B450="",J450&lt;&gt;""),"",IF(L450&lt;&gt;"",L450,IF(COUNTIFS(Invoices!$C$6:$C$305,C450,Invoices!$E$6:$E$305,"&lt;="&amp;B450,Invoices!$F$6:$F$305,"&gt;="&amp;B450)=1,INDEX(Invoices!$B$6:$B$305,SUMIFS(Invoices!$O$6:$O$305,Invoices!$C$6:$C$305,C450,Invoices!$E$6:$E$305,"&lt;="&amp;B450,Invoices!$F$6:$F$305,"&gt;="&amp;B450)),IF(COUNTIFS(Invoices!$C$6:$C$305,C450,Invoices!$E$6:$E$305,"&lt;="&amp;B450,Invoices!$F$6:$F$305,"&gt;="&amp;B450)&gt;1,"Two invoices",""))))</f>
        <v/>
      </c>
      <c r="Q450" s="15">
        <f>IF(B450="","",IF(J450&lt;&gt;"","Not billable",IF(P450="","To invoice",IF(P450="Two invoices","Check dates",IF(ISNA(MATCH(P450,Invoices!$B$6:$B$305,0)),"Check number",IF(INDEX(Invoices!$M$6:$M$305,MATCH(P450,Invoices!$B$6:$B$305,0))="Paid","Paid",IF(INDEX(Invoices!$M$6:$M$305,MATCH(P450,Invoices!$B$6:$B$305,0))="Draft","Draft","Invoiced")))))))</f>
        <v/>
      </c>
      <c r="R450" s="1">
        <f>IF(AND(B450&lt;&gt;"",P450&lt;&gt;"",P450=Invoice!$G$4),B450+MOD(N(F450),1)+ROW()/10000000,"")</f>
        <v/>
      </c>
      <c r="S450">
        <f>IF(R450="","",IF(D450="","Other work",D450)&amp;IF(AND(K450&lt;&gt;"",E450&lt;&gt;""),", "&amp;E450,""))</f>
        <v/>
      </c>
      <c r="T450">
        <f>IF(R450="","",IF(COUNTIFS(R$6:R449,"&gt;0",S$6:S449,S450,N$6:N449,N450)=0,R450,""))</f>
        <v/>
      </c>
      <c r="U450">
        <f>IF(B450="","",IF(J450&lt;&gt;"",0,M450))</f>
        <v/>
      </c>
    </row>
    <row r="451">
      <c r="A451" s="1" t="n"/>
      <c r="B451" s="16" t="n"/>
      <c r="C451" s="17" t="n"/>
      <c r="D451" s="18" t="n"/>
      <c r="E451" s="18" t="n"/>
      <c r="F451" s="19" t="n"/>
      <c r="G451" s="19" t="n"/>
      <c r="H451" s="20" t="n"/>
      <c r="I451" s="21" t="n"/>
      <c r="J451" s="22" t="n"/>
      <c r="K451" s="23" t="n"/>
      <c r="L451" s="18" t="n"/>
      <c r="M451" s="24">
        <f>IF(B451="","",IF(AND(F451&lt;&gt;"",G451&lt;&gt;""),MAX(0,ROUND(MOD(G451-F451,1)*24-N(H451)/60,2)),N(I451)))</f>
        <v/>
      </c>
      <c r="N451" s="14">
        <f>IF(B451="","",IF(K451&lt;&gt;"",K451,IF(N(IFERROR(INDEX(Projects!$D$6:$D$65,MATCH(D451,Projects!$B$6:$B$65,0)),""))&gt;0,IFERROR(INDEX(Projects!$D$6:$D$65,MATCH(D451,Projects!$B$6:$B$65,0)),""),IFERROR(INDEX(Clients!$G$6:$G$45,MATCH(C451,Clients!$B$6:$B$45,0)),0))))</f>
        <v/>
      </c>
      <c r="O451" s="14">
        <f>IF(B451="","",IF(J451&lt;&gt;"",0,ROUND(M451*N451,2)))</f>
        <v/>
      </c>
      <c r="P451" s="15">
        <f>IF(OR(B451="",J451&lt;&gt;""),"",IF(L451&lt;&gt;"",L451,IF(COUNTIFS(Invoices!$C$6:$C$305,C451,Invoices!$E$6:$E$305,"&lt;="&amp;B451,Invoices!$F$6:$F$305,"&gt;="&amp;B451)=1,INDEX(Invoices!$B$6:$B$305,SUMIFS(Invoices!$O$6:$O$305,Invoices!$C$6:$C$305,C451,Invoices!$E$6:$E$305,"&lt;="&amp;B451,Invoices!$F$6:$F$305,"&gt;="&amp;B451)),IF(COUNTIFS(Invoices!$C$6:$C$305,C451,Invoices!$E$6:$E$305,"&lt;="&amp;B451,Invoices!$F$6:$F$305,"&gt;="&amp;B451)&gt;1,"Two invoices",""))))</f>
        <v/>
      </c>
      <c r="Q451" s="15">
        <f>IF(B451="","",IF(J451&lt;&gt;"","Not billable",IF(P451="","To invoice",IF(P451="Two invoices","Check dates",IF(ISNA(MATCH(P451,Invoices!$B$6:$B$305,0)),"Check number",IF(INDEX(Invoices!$M$6:$M$305,MATCH(P451,Invoices!$B$6:$B$305,0))="Paid","Paid",IF(INDEX(Invoices!$M$6:$M$305,MATCH(P451,Invoices!$B$6:$B$305,0))="Draft","Draft","Invoiced")))))))</f>
        <v/>
      </c>
      <c r="R451" s="1">
        <f>IF(AND(B451&lt;&gt;"",P451&lt;&gt;"",P451=Invoice!$G$4),B451+MOD(N(F451),1)+ROW()/10000000,"")</f>
        <v/>
      </c>
      <c r="S451">
        <f>IF(R451="","",IF(D451="","Other work",D451)&amp;IF(AND(K451&lt;&gt;"",E451&lt;&gt;""),", "&amp;E451,""))</f>
        <v/>
      </c>
      <c r="T451">
        <f>IF(R451="","",IF(COUNTIFS(R$6:R450,"&gt;0",S$6:S450,S451,N$6:N450,N451)=0,R451,""))</f>
        <v/>
      </c>
      <c r="U451">
        <f>IF(B451="","",IF(J451&lt;&gt;"",0,M451))</f>
        <v/>
      </c>
    </row>
    <row r="452">
      <c r="A452" s="1" t="n"/>
      <c r="B452" s="16" t="n"/>
      <c r="C452" s="17" t="n"/>
      <c r="D452" s="18" t="n"/>
      <c r="E452" s="18" t="n"/>
      <c r="F452" s="19" t="n"/>
      <c r="G452" s="19" t="n"/>
      <c r="H452" s="20" t="n"/>
      <c r="I452" s="21" t="n"/>
      <c r="J452" s="22" t="n"/>
      <c r="K452" s="23" t="n"/>
      <c r="L452" s="18" t="n"/>
      <c r="M452" s="24">
        <f>IF(B452="","",IF(AND(F452&lt;&gt;"",G452&lt;&gt;""),MAX(0,ROUND(MOD(G452-F452,1)*24-N(H452)/60,2)),N(I452)))</f>
        <v/>
      </c>
      <c r="N452" s="14">
        <f>IF(B452="","",IF(K452&lt;&gt;"",K452,IF(N(IFERROR(INDEX(Projects!$D$6:$D$65,MATCH(D452,Projects!$B$6:$B$65,0)),""))&gt;0,IFERROR(INDEX(Projects!$D$6:$D$65,MATCH(D452,Projects!$B$6:$B$65,0)),""),IFERROR(INDEX(Clients!$G$6:$G$45,MATCH(C452,Clients!$B$6:$B$45,0)),0))))</f>
        <v/>
      </c>
      <c r="O452" s="14">
        <f>IF(B452="","",IF(J452&lt;&gt;"",0,ROUND(M452*N452,2)))</f>
        <v/>
      </c>
      <c r="P452" s="15">
        <f>IF(OR(B452="",J452&lt;&gt;""),"",IF(L452&lt;&gt;"",L452,IF(COUNTIFS(Invoices!$C$6:$C$305,C452,Invoices!$E$6:$E$305,"&lt;="&amp;B452,Invoices!$F$6:$F$305,"&gt;="&amp;B452)=1,INDEX(Invoices!$B$6:$B$305,SUMIFS(Invoices!$O$6:$O$305,Invoices!$C$6:$C$305,C452,Invoices!$E$6:$E$305,"&lt;="&amp;B452,Invoices!$F$6:$F$305,"&gt;="&amp;B452)),IF(COUNTIFS(Invoices!$C$6:$C$305,C452,Invoices!$E$6:$E$305,"&lt;="&amp;B452,Invoices!$F$6:$F$305,"&gt;="&amp;B452)&gt;1,"Two invoices",""))))</f>
        <v/>
      </c>
      <c r="Q452" s="15">
        <f>IF(B452="","",IF(J452&lt;&gt;"","Not billable",IF(P452="","To invoice",IF(P452="Two invoices","Check dates",IF(ISNA(MATCH(P452,Invoices!$B$6:$B$305,0)),"Check number",IF(INDEX(Invoices!$M$6:$M$305,MATCH(P452,Invoices!$B$6:$B$305,0))="Paid","Paid",IF(INDEX(Invoices!$M$6:$M$305,MATCH(P452,Invoices!$B$6:$B$305,0))="Draft","Draft","Invoiced")))))))</f>
        <v/>
      </c>
      <c r="R452" s="1">
        <f>IF(AND(B452&lt;&gt;"",P452&lt;&gt;"",P452=Invoice!$G$4),B452+MOD(N(F452),1)+ROW()/10000000,"")</f>
        <v/>
      </c>
      <c r="S452">
        <f>IF(R452="","",IF(D452="","Other work",D452)&amp;IF(AND(K452&lt;&gt;"",E452&lt;&gt;""),", "&amp;E452,""))</f>
        <v/>
      </c>
      <c r="T452">
        <f>IF(R452="","",IF(COUNTIFS(R$6:R451,"&gt;0",S$6:S451,S452,N$6:N451,N452)=0,R452,""))</f>
        <v/>
      </c>
      <c r="U452">
        <f>IF(B452="","",IF(J452&lt;&gt;"",0,M452))</f>
        <v/>
      </c>
    </row>
    <row r="453">
      <c r="A453" s="1" t="n"/>
      <c r="B453" s="16" t="n"/>
      <c r="C453" s="17" t="n"/>
      <c r="D453" s="18" t="n"/>
      <c r="E453" s="18" t="n"/>
      <c r="F453" s="19" t="n"/>
      <c r="G453" s="19" t="n"/>
      <c r="H453" s="20" t="n"/>
      <c r="I453" s="21" t="n"/>
      <c r="J453" s="22" t="n"/>
      <c r="K453" s="23" t="n"/>
      <c r="L453" s="18" t="n"/>
      <c r="M453" s="24">
        <f>IF(B453="","",IF(AND(F453&lt;&gt;"",G453&lt;&gt;""),MAX(0,ROUND(MOD(G453-F453,1)*24-N(H453)/60,2)),N(I453)))</f>
        <v/>
      </c>
      <c r="N453" s="14">
        <f>IF(B453="","",IF(K453&lt;&gt;"",K453,IF(N(IFERROR(INDEX(Projects!$D$6:$D$65,MATCH(D453,Projects!$B$6:$B$65,0)),""))&gt;0,IFERROR(INDEX(Projects!$D$6:$D$65,MATCH(D453,Projects!$B$6:$B$65,0)),""),IFERROR(INDEX(Clients!$G$6:$G$45,MATCH(C453,Clients!$B$6:$B$45,0)),0))))</f>
        <v/>
      </c>
      <c r="O453" s="14">
        <f>IF(B453="","",IF(J453&lt;&gt;"",0,ROUND(M453*N453,2)))</f>
        <v/>
      </c>
      <c r="P453" s="15">
        <f>IF(OR(B453="",J453&lt;&gt;""),"",IF(L453&lt;&gt;"",L453,IF(COUNTIFS(Invoices!$C$6:$C$305,C453,Invoices!$E$6:$E$305,"&lt;="&amp;B453,Invoices!$F$6:$F$305,"&gt;="&amp;B453)=1,INDEX(Invoices!$B$6:$B$305,SUMIFS(Invoices!$O$6:$O$305,Invoices!$C$6:$C$305,C453,Invoices!$E$6:$E$305,"&lt;="&amp;B453,Invoices!$F$6:$F$305,"&gt;="&amp;B453)),IF(COUNTIFS(Invoices!$C$6:$C$305,C453,Invoices!$E$6:$E$305,"&lt;="&amp;B453,Invoices!$F$6:$F$305,"&gt;="&amp;B453)&gt;1,"Two invoices",""))))</f>
        <v/>
      </c>
      <c r="Q453" s="15">
        <f>IF(B453="","",IF(J453&lt;&gt;"","Not billable",IF(P453="","To invoice",IF(P453="Two invoices","Check dates",IF(ISNA(MATCH(P453,Invoices!$B$6:$B$305,0)),"Check number",IF(INDEX(Invoices!$M$6:$M$305,MATCH(P453,Invoices!$B$6:$B$305,0))="Paid","Paid",IF(INDEX(Invoices!$M$6:$M$305,MATCH(P453,Invoices!$B$6:$B$305,0))="Draft","Draft","Invoiced")))))))</f>
        <v/>
      </c>
      <c r="R453" s="1">
        <f>IF(AND(B453&lt;&gt;"",P453&lt;&gt;"",P453=Invoice!$G$4),B453+MOD(N(F453),1)+ROW()/10000000,"")</f>
        <v/>
      </c>
      <c r="S453">
        <f>IF(R453="","",IF(D453="","Other work",D453)&amp;IF(AND(K453&lt;&gt;"",E453&lt;&gt;""),", "&amp;E453,""))</f>
        <v/>
      </c>
      <c r="T453">
        <f>IF(R453="","",IF(COUNTIFS(R$6:R452,"&gt;0",S$6:S452,S453,N$6:N452,N453)=0,R453,""))</f>
        <v/>
      </c>
      <c r="U453">
        <f>IF(B453="","",IF(J453&lt;&gt;"",0,M453))</f>
        <v/>
      </c>
    </row>
    <row r="454">
      <c r="A454" s="1" t="n"/>
      <c r="B454" s="16" t="n"/>
      <c r="C454" s="17" t="n"/>
      <c r="D454" s="18" t="n"/>
      <c r="E454" s="18" t="n"/>
      <c r="F454" s="19" t="n"/>
      <c r="G454" s="19" t="n"/>
      <c r="H454" s="20" t="n"/>
      <c r="I454" s="21" t="n"/>
      <c r="J454" s="22" t="n"/>
      <c r="K454" s="23" t="n"/>
      <c r="L454" s="18" t="n"/>
      <c r="M454" s="24">
        <f>IF(B454="","",IF(AND(F454&lt;&gt;"",G454&lt;&gt;""),MAX(0,ROUND(MOD(G454-F454,1)*24-N(H454)/60,2)),N(I454)))</f>
        <v/>
      </c>
      <c r="N454" s="14">
        <f>IF(B454="","",IF(K454&lt;&gt;"",K454,IF(N(IFERROR(INDEX(Projects!$D$6:$D$65,MATCH(D454,Projects!$B$6:$B$65,0)),""))&gt;0,IFERROR(INDEX(Projects!$D$6:$D$65,MATCH(D454,Projects!$B$6:$B$65,0)),""),IFERROR(INDEX(Clients!$G$6:$G$45,MATCH(C454,Clients!$B$6:$B$45,0)),0))))</f>
        <v/>
      </c>
      <c r="O454" s="14">
        <f>IF(B454="","",IF(J454&lt;&gt;"",0,ROUND(M454*N454,2)))</f>
        <v/>
      </c>
      <c r="P454" s="15">
        <f>IF(OR(B454="",J454&lt;&gt;""),"",IF(L454&lt;&gt;"",L454,IF(COUNTIFS(Invoices!$C$6:$C$305,C454,Invoices!$E$6:$E$305,"&lt;="&amp;B454,Invoices!$F$6:$F$305,"&gt;="&amp;B454)=1,INDEX(Invoices!$B$6:$B$305,SUMIFS(Invoices!$O$6:$O$305,Invoices!$C$6:$C$305,C454,Invoices!$E$6:$E$305,"&lt;="&amp;B454,Invoices!$F$6:$F$305,"&gt;="&amp;B454)),IF(COUNTIFS(Invoices!$C$6:$C$305,C454,Invoices!$E$6:$E$305,"&lt;="&amp;B454,Invoices!$F$6:$F$305,"&gt;="&amp;B454)&gt;1,"Two invoices",""))))</f>
        <v/>
      </c>
      <c r="Q454" s="15">
        <f>IF(B454="","",IF(J454&lt;&gt;"","Not billable",IF(P454="","To invoice",IF(P454="Two invoices","Check dates",IF(ISNA(MATCH(P454,Invoices!$B$6:$B$305,0)),"Check number",IF(INDEX(Invoices!$M$6:$M$305,MATCH(P454,Invoices!$B$6:$B$305,0))="Paid","Paid",IF(INDEX(Invoices!$M$6:$M$305,MATCH(P454,Invoices!$B$6:$B$305,0))="Draft","Draft","Invoiced")))))))</f>
        <v/>
      </c>
      <c r="R454" s="1">
        <f>IF(AND(B454&lt;&gt;"",P454&lt;&gt;"",P454=Invoice!$G$4),B454+MOD(N(F454),1)+ROW()/10000000,"")</f>
        <v/>
      </c>
      <c r="S454">
        <f>IF(R454="","",IF(D454="","Other work",D454)&amp;IF(AND(K454&lt;&gt;"",E454&lt;&gt;""),", "&amp;E454,""))</f>
        <v/>
      </c>
      <c r="T454">
        <f>IF(R454="","",IF(COUNTIFS(R$6:R453,"&gt;0",S$6:S453,S454,N$6:N453,N454)=0,R454,""))</f>
        <v/>
      </c>
      <c r="U454">
        <f>IF(B454="","",IF(J454&lt;&gt;"",0,M454))</f>
        <v/>
      </c>
    </row>
    <row r="455">
      <c r="A455" s="1" t="n"/>
      <c r="B455" s="16" t="n"/>
      <c r="C455" s="17" t="n"/>
      <c r="D455" s="18" t="n"/>
      <c r="E455" s="18" t="n"/>
      <c r="F455" s="19" t="n"/>
      <c r="G455" s="19" t="n"/>
      <c r="H455" s="20" t="n"/>
      <c r="I455" s="21" t="n"/>
      <c r="J455" s="22" t="n"/>
      <c r="K455" s="23" t="n"/>
      <c r="L455" s="18" t="n"/>
      <c r="M455" s="24">
        <f>IF(B455="","",IF(AND(F455&lt;&gt;"",G455&lt;&gt;""),MAX(0,ROUND(MOD(G455-F455,1)*24-N(H455)/60,2)),N(I455)))</f>
        <v/>
      </c>
      <c r="N455" s="14">
        <f>IF(B455="","",IF(K455&lt;&gt;"",K455,IF(N(IFERROR(INDEX(Projects!$D$6:$D$65,MATCH(D455,Projects!$B$6:$B$65,0)),""))&gt;0,IFERROR(INDEX(Projects!$D$6:$D$65,MATCH(D455,Projects!$B$6:$B$65,0)),""),IFERROR(INDEX(Clients!$G$6:$G$45,MATCH(C455,Clients!$B$6:$B$45,0)),0))))</f>
        <v/>
      </c>
      <c r="O455" s="14">
        <f>IF(B455="","",IF(J455&lt;&gt;"",0,ROUND(M455*N455,2)))</f>
        <v/>
      </c>
      <c r="P455" s="15">
        <f>IF(OR(B455="",J455&lt;&gt;""),"",IF(L455&lt;&gt;"",L455,IF(COUNTIFS(Invoices!$C$6:$C$305,C455,Invoices!$E$6:$E$305,"&lt;="&amp;B455,Invoices!$F$6:$F$305,"&gt;="&amp;B455)=1,INDEX(Invoices!$B$6:$B$305,SUMIFS(Invoices!$O$6:$O$305,Invoices!$C$6:$C$305,C455,Invoices!$E$6:$E$305,"&lt;="&amp;B455,Invoices!$F$6:$F$305,"&gt;="&amp;B455)),IF(COUNTIFS(Invoices!$C$6:$C$305,C455,Invoices!$E$6:$E$305,"&lt;="&amp;B455,Invoices!$F$6:$F$305,"&gt;="&amp;B455)&gt;1,"Two invoices",""))))</f>
        <v/>
      </c>
      <c r="Q455" s="15">
        <f>IF(B455="","",IF(J455&lt;&gt;"","Not billable",IF(P455="","To invoice",IF(P455="Two invoices","Check dates",IF(ISNA(MATCH(P455,Invoices!$B$6:$B$305,0)),"Check number",IF(INDEX(Invoices!$M$6:$M$305,MATCH(P455,Invoices!$B$6:$B$305,0))="Paid","Paid",IF(INDEX(Invoices!$M$6:$M$305,MATCH(P455,Invoices!$B$6:$B$305,0))="Draft","Draft","Invoiced")))))))</f>
        <v/>
      </c>
      <c r="R455" s="1">
        <f>IF(AND(B455&lt;&gt;"",P455&lt;&gt;"",P455=Invoice!$G$4),B455+MOD(N(F455),1)+ROW()/10000000,"")</f>
        <v/>
      </c>
      <c r="S455">
        <f>IF(R455="","",IF(D455="","Other work",D455)&amp;IF(AND(K455&lt;&gt;"",E455&lt;&gt;""),", "&amp;E455,""))</f>
        <v/>
      </c>
      <c r="T455">
        <f>IF(R455="","",IF(COUNTIFS(R$6:R454,"&gt;0",S$6:S454,S455,N$6:N454,N455)=0,R455,""))</f>
        <v/>
      </c>
      <c r="U455">
        <f>IF(B455="","",IF(J455&lt;&gt;"",0,M455))</f>
        <v/>
      </c>
    </row>
    <row r="456">
      <c r="A456" s="1" t="n"/>
      <c r="B456" s="16" t="n"/>
      <c r="C456" s="17" t="n"/>
      <c r="D456" s="18" t="n"/>
      <c r="E456" s="18" t="n"/>
      <c r="F456" s="19" t="n"/>
      <c r="G456" s="19" t="n"/>
      <c r="H456" s="20" t="n"/>
      <c r="I456" s="21" t="n"/>
      <c r="J456" s="22" t="n"/>
      <c r="K456" s="23" t="n"/>
      <c r="L456" s="18" t="n"/>
      <c r="M456" s="24">
        <f>IF(B456="","",IF(AND(F456&lt;&gt;"",G456&lt;&gt;""),MAX(0,ROUND(MOD(G456-F456,1)*24-N(H456)/60,2)),N(I456)))</f>
        <v/>
      </c>
      <c r="N456" s="14">
        <f>IF(B456="","",IF(K456&lt;&gt;"",K456,IF(N(IFERROR(INDEX(Projects!$D$6:$D$65,MATCH(D456,Projects!$B$6:$B$65,0)),""))&gt;0,IFERROR(INDEX(Projects!$D$6:$D$65,MATCH(D456,Projects!$B$6:$B$65,0)),""),IFERROR(INDEX(Clients!$G$6:$G$45,MATCH(C456,Clients!$B$6:$B$45,0)),0))))</f>
        <v/>
      </c>
      <c r="O456" s="14">
        <f>IF(B456="","",IF(J456&lt;&gt;"",0,ROUND(M456*N456,2)))</f>
        <v/>
      </c>
      <c r="P456" s="15">
        <f>IF(OR(B456="",J456&lt;&gt;""),"",IF(L456&lt;&gt;"",L456,IF(COUNTIFS(Invoices!$C$6:$C$305,C456,Invoices!$E$6:$E$305,"&lt;="&amp;B456,Invoices!$F$6:$F$305,"&gt;="&amp;B456)=1,INDEX(Invoices!$B$6:$B$305,SUMIFS(Invoices!$O$6:$O$305,Invoices!$C$6:$C$305,C456,Invoices!$E$6:$E$305,"&lt;="&amp;B456,Invoices!$F$6:$F$305,"&gt;="&amp;B456)),IF(COUNTIFS(Invoices!$C$6:$C$305,C456,Invoices!$E$6:$E$305,"&lt;="&amp;B456,Invoices!$F$6:$F$305,"&gt;="&amp;B456)&gt;1,"Two invoices",""))))</f>
        <v/>
      </c>
      <c r="Q456" s="15">
        <f>IF(B456="","",IF(J456&lt;&gt;"","Not billable",IF(P456="","To invoice",IF(P456="Two invoices","Check dates",IF(ISNA(MATCH(P456,Invoices!$B$6:$B$305,0)),"Check number",IF(INDEX(Invoices!$M$6:$M$305,MATCH(P456,Invoices!$B$6:$B$305,0))="Paid","Paid",IF(INDEX(Invoices!$M$6:$M$305,MATCH(P456,Invoices!$B$6:$B$305,0))="Draft","Draft","Invoiced")))))))</f>
        <v/>
      </c>
      <c r="R456" s="1">
        <f>IF(AND(B456&lt;&gt;"",P456&lt;&gt;"",P456=Invoice!$G$4),B456+MOD(N(F456),1)+ROW()/10000000,"")</f>
        <v/>
      </c>
      <c r="S456">
        <f>IF(R456="","",IF(D456="","Other work",D456)&amp;IF(AND(K456&lt;&gt;"",E456&lt;&gt;""),", "&amp;E456,""))</f>
        <v/>
      </c>
      <c r="T456">
        <f>IF(R456="","",IF(COUNTIFS(R$6:R455,"&gt;0",S$6:S455,S456,N$6:N455,N456)=0,R456,""))</f>
        <v/>
      </c>
      <c r="U456">
        <f>IF(B456="","",IF(J456&lt;&gt;"",0,M456))</f>
        <v/>
      </c>
    </row>
    <row r="457">
      <c r="A457" s="1" t="n"/>
      <c r="B457" s="16" t="n"/>
      <c r="C457" s="17" t="n"/>
      <c r="D457" s="18" t="n"/>
      <c r="E457" s="18" t="n"/>
      <c r="F457" s="19" t="n"/>
      <c r="G457" s="19" t="n"/>
      <c r="H457" s="20" t="n"/>
      <c r="I457" s="21" t="n"/>
      <c r="J457" s="22" t="n"/>
      <c r="K457" s="23" t="n"/>
      <c r="L457" s="18" t="n"/>
      <c r="M457" s="24">
        <f>IF(B457="","",IF(AND(F457&lt;&gt;"",G457&lt;&gt;""),MAX(0,ROUND(MOD(G457-F457,1)*24-N(H457)/60,2)),N(I457)))</f>
        <v/>
      </c>
      <c r="N457" s="14">
        <f>IF(B457="","",IF(K457&lt;&gt;"",K457,IF(N(IFERROR(INDEX(Projects!$D$6:$D$65,MATCH(D457,Projects!$B$6:$B$65,0)),""))&gt;0,IFERROR(INDEX(Projects!$D$6:$D$65,MATCH(D457,Projects!$B$6:$B$65,0)),""),IFERROR(INDEX(Clients!$G$6:$G$45,MATCH(C457,Clients!$B$6:$B$45,0)),0))))</f>
        <v/>
      </c>
      <c r="O457" s="14">
        <f>IF(B457="","",IF(J457&lt;&gt;"",0,ROUND(M457*N457,2)))</f>
        <v/>
      </c>
      <c r="P457" s="15">
        <f>IF(OR(B457="",J457&lt;&gt;""),"",IF(L457&lt;&gt;"",L457,IF(COUNTIFS(Invoices!$C$6:$C$305,C457,Invoices!$E$6:$E$305,"&lt;="&amp;B457,Invoices!$F$6:$F$305,"&gt;="&amp;B457)=1,INDEX(Invoices!$B$6:$B$305,SUMIFS(Invoices!$O$6:$O$305,Invoices!$C$6:$C$305,C457,Invoices!$E$6:$E$305,"&lt;="&amp;B457,Invoices!$F$6:$F$305,"&gt;="&amp;B457)),IF(COUNTIFS(Invoices!$C$6:$C$305,C457,Invoices!$E$6:$E$305,"&lt;="&amp;B457,Invoices!$F$6:$F$305,"&gt;="&amp;B457)&gt;1,"Two invoices",""))))</f>
        <v/>
      </c>
      <c r="Q457" s="15">
        <f>IF(B457="","",IF(J457&lt;&gt;"","Not billable",IF(P457="","To invoice",IF(P457="Two invoices","Check dates",IF(ISNA(MATCH(P457,Invoices!$B$6:$B$305,0)),"Check number",IF(INDEX(Invoices!$M$6:$M$305,MATCH(P457,Invoices!$B$6:$B$305,0))="Paid","Paid",IF(INDEX(Invoices!$M$6:$M$305,MATCH(P457,Invoices!$B$6:$B$305,0))="Draft","Draft","Invoiced")))))))</f>
        <v/>
      </c>
      <c r="R457" s="1">
        <f>IF(AND(B457&lt;&gt;"",P457&lt;&gt;"",P457=Invoice!$G$4),B457+MOD(N(F457),1)+ROW()/10000000,"")</f>
        <v/>
      </c>
      <c r="S457">
        <f>IF(R457="","",IF(D457="","Other work",D457)&amp;IF(AND(K457&lt;&gt;"",E457&lt;&gt;""),", "&amp;E457,""))</f>
        <v/>
      </c>
      <c r="T457">
        <f>IF(R457="","",IF(COUNTIFS(R$6:R456,"&gt;0",S$6:S456,S457,N$6:N456,N457)=0,R457,""))</f>
        <v/>
      </c>
      <c r="U457">
        <f>IF(B457="","",IF(J457&lt;&gt;"",0,M457))</f>
        <v/>
      </c>
    </row>
    <row r="458">
      <c r="A458" s="1" t="n"/>
      <c r="B458" s="16" t="n"/>
      <c r="C458" s="17" t="n"/>
      <c r="D458" s="18" t="n"/>
      <c r="E458" s="18" t="n"/>
      <c r="F458" s="19" t="n"/>
      <c r="G458" s="19" t="n"/>
      <c r="H458" s="20" t="n"/>
      <c r="I458" s="21" t="n"/>
      <c r="J458" s="22" t="n"/>
      <c r="K458" s="23" t="n"/>
      <c r="L458" s="18" t="n"/>
      <c r="M458" s="24">
        <f>IF(B458="","",IF(AND(F458&lt;&gt;"",G458&lt;&gt;""),MAX(0,ROUND(MOD(G458-F458,1)*24-N(H458)/60,2)),N(I458)))</f>
        <v/>
      </c>
      <c r="N458" s="14">
        <f>IF(B458="","",IF(K458&lt;&gt;"",K458,IF(N(IFERROR(INDEX(Projects!$D$6:$D$65,MATCH(D458,Projects!$B$6:$B$65,0)),""))&gt;0,IFERROR(INDEX(Projects!$D$6:$D$65,MATCH(D458,Projects!$B$6:$B$65,0)),""),IFERROR(INDEX(Clients!$G$6:$G$45,MATCH(C458,Clients!$B$6:$B$45,0)),0))))</f>
        <v/>
      </c>
      <c r="O458" s="14">
        <f>IF(B458="","",IF(J458&lt;&gt;"",0,ROUND(M458*N458,2)))</f>
        <v/>
      </c>
      <c r="P458" s="15">
        <f>IF(OR(B458="",J458&lt;&gt;""),"",IF(L458&lt;&gt;"",L458,IF(COUNTIFS(Invoices!$C$6:$C$305,C458,Invoices!$E$6:$E$305,"&lt;="&amp;B458,Invoices!$F$6:$F$305,"&gt;="&amp;B458)=1,INDEX(Invoices!$B$6:$B$305,SUMIFS(Invoices!$O$6:$O$305,Invoices!$C$6:$C$305,C458,Invoices!$E$6:$E$305,"&lt;="&amp;B458,Invoices!$F$6:$F$305,"&gt;="&amp;B458)),IF(COUNTIFS(Invoices!$C$6:$C$305,C458,Invoices!$E$6:$E$305,"&lt;="&amp;B458,Invoices!$F$6:$F$305,"&gt;="&amp;B458)&gt;1,"Two invoices",""))))</f>
        <v/>
      </c>
      <c r="Q458" s="15">
        <f>IF(B458="","",IF(J458&lt;&gt;"","Not billable",IF(P458="","To invoice",IF(P458="Two invoices","Check dates",IF(ISNA(MATCH(P458,Invoices!$B$6:$B$305,0)),"Check number",IF(INDEX(Invoices!$M$6:$M$305,MATCH(P458,Invoices!$B$6:$B$305,0))="Paid","Paid",IF(INDEX(Invoices!$M$6:$M$305,MATCH(P458,Invoices!$B$6:$B$305,0))="Draft","Draft","Invoiced")))))))</f>
        <v/>
      </c>
      <c r="R458" s="1">
        <f>IF(AND(B458&lt;&gt;"",P458&lt;&gt;"",P458=Invoice!$G$4),B458+MOD(N(F458),1)+ROW()/10000000,"")</f>
        <v/>
      </c>
      <c r="S458">
        <f>IF(R458="","",IF(D458="","Other work",D458)&amp;IF(AND(K458&lt;&gt;"",E458&lt;&gt;""),", "&amp;E458,""))</f>
        <v/>
      </c>
      <c r="T458">
        <f>IF(R458="","",IF(COUNTIFS(R$6:R457,"&gt;0",S$6:S457,S458,N$6:N457,N458)=0,R458,""))</f>
        <v/>
      </c>
      <c r="U458">
        <f>IF(B458="","",IF(J458&lt;&gt;"",0,M458))</f>
        <v/>
      </c>
    </row>
    <row r="459">
      <c r="A459" s="1" t="n"/>
      <c r="B459" s="16" t="n"/>
      <c r="C459" s="17" t="n"/>
      <c r="D459" s="18" t="n"/>
      <c r="E459" s="18" t="n"/>
      <c r="F459" s="19" t="n"/>
      <c r="G459" s="19" t="n"/>
      <c r="H459" s="20" t="n"/>
      <c r="I459" s="21" t="n"/>
      <c r="J459" s="22" t="n"/>
      <c r="K459" s="23" t="n"/>
      <c r="L459" s="18" t="n"/>
      <c r="M459" s="24">
        <f>IF(B459="","",IF(AND(F459&lt;&gt;"",G459&lt;&gt;""),MAX(0,ROUND(MOD(G459-F459,1)*24-N(H459)/60,2)),N(I459)))</f>
        <v/>
      </c>
      <c r="N459" s="14">
        <f>IF(B459="","",IF(K459&lt;&gt;"",K459,IF(N(IFERROR(INDEX(Projects!$D$6:$D$65,MATCH(D459,Projects!$B$6:$B$65,0)),""))&gt;0,IFERROR(INDEX(Projects!$D$6:$D$65,MATCH(D459,Projects!$B$6:$B$65,0)),""),IFERROR(INDEX(Clients!$G$6:$G$45,MATCH(C459,Clients!$B$6:$B$45,0)),0))))</f>
        <v/>
      </c>
      <c r="O459" s="14">
        <f>IF(B459="","",IF(J459&lt;&gt;"",0,ROUND(M459*N459,2)))</f>
        <v/>
      </c>
      <c r="P459" s="15">
        <f>IF(OR(B459="",J459&lt;&gt;""),"",IF(L459&lt;&gt;"",L459,IF(COUNTIFS(Invoices!$C$6:$C$305,C459,Invoices!$E$6:$E$305,"&lt;="&amp;B459,Invoices!$F$6:$F$305,"&gt;="&amp;B459)=1,INDEX(Invoices!$B$6:$B$305,SUMIFS(Invoices!$O$6:$O$305,Invoices!$C$6:$C$305,C459,Invoices!$E$6:$E$305,"&lt;="&amp;B459,Invoices!$F$6:$F$305,"&gt;="&amp;B459)),IF(COUNTIFS(Invoices!$C$6:$C$305,C459,Invoices!$E$6:$E$305,"&lt;="&amp;B459,Invoices!$F$6:$F$305,"&gt;="&amp;B459)&gt;1,"Two invoices",""))))</f>
        <v/>
      </c>
      <c r="Q459" s="15">
        <f>IF(B459="","",IF(J459&lt;&gt;"","Not billable",IF(P459="","To invoice",IF(P459="Two invoices","Check dates",IF(ISNA(MATCH(P459,Invoices!$B$6:$B$305,0)),"Check number",IF(INDEX(Invoices!$M$6:$M$305,MATCH(P459,Invoices!$B$6:$B$305,0))="Paid","Paid",IF(INDEX(Invoices!$M$6:$M$305,MATCH(P459,Invoices!$B$6:$B$305,0))="Draft","Draft","Invoiced")))))))</f>
        <v/>
      </c>
      <c r="R459" s="1">
        <f>IF(AND(B459&lt;&gt;"",P459&lt;&gt;"",P459=Invoice!$G$4),B459+MOD(N(F459),1)+ROW()/10000000,"")</f>
        <v/>
      </c>
      <c r="S459">
        <f>IF(R459="","",IF(D459="","Other work",D459)&amp;IF(AND(K459&lt;&gt;"",E459&lt;&gt;""),", "&amp;E459,""))</f>
        <v/>
      </c>
      <c r="T459">
        <f>IF(R459="","",IF(COUNTIFS(R$6:R458,"&gt;0",S$6:S458,S459,N$6:N458,N459)=0,R459,""))</f>
        <v/>
      </c>
      <c r="U459">
        <f>IF(B459="","",IF(J459&lt;&gt;"",0,M459))</f>
        <v/>
      </c>
    </row>
    <row r="460">
      <c r="A460" s="1" t="n"/>
      <c r="B460" s="16" t="n"/>
      <c r="C460" s="17" t="n"/>
      <c r="D460" s="18" t="n"/>
      <c r="E460" s="18" t="n"/>
      <c r="F460" s="19" t="n"/>
      <c r="G460" s="19" t="n"/>
      <c r="H460" s="20" t="n"/>
      <c r="I460" s="21" t="n"/>
      <c r="J460" s="22" t="n"/>
      <c r="K460" s="23" t="n"/>
      <c r="L460" s="18" t="n"/>
      <c r="M460" s="24">
        <f>IF(B460="","",IF(AND(F460&lt;&gt;"",G460&lt;&gt;""),MAX(0,ROUND(MOD(G460-F460,1)*24-N(H460)/60,2)),N(I460)))</f>
        <v/>
      </c>
      <c r="N460" s="14">
        <f>IF(B460="","",IF(K460&lt;&gt;"",K460,IF(N(IFERROR(INDEX(Projects!$D$6:$D$65,MATCH(D460,Projects!$B$6:$B$65,0)),""))&gt;0,IFERROR(INDEX(Projects!$D$6:$D$65,MATCH(D460,Projects!$B$6:$B$65,0)),""),IFERROR(INDEX(Clients!$G$6:$G$45,MATCH(C460,Clients!$B$6:$B$45,0)),0))))</f>
        <v/>
      </c>
      <c r="O460" s="14">
        <f>IF(B460="","",IF(J460&lt;&gt;"",0,ROUND(M460*N460,2)))</f>
        <v/>
      </c>
      <c r="P460" s="15">
        <f>IF(OR(B460="",J460&lt;&gt;""),"",IF(L460&lt;&gt;"",L460,IF(COUNTIFS(Invoices!$C$6:$C$305,C460,Invoices!$E$6:$E$305,"&lt;="&amp;B460,Invoices!$F$6:$F$305,"&gt;="&amp;B460)=1,INDEX(Invoices!$B$6:$B$305,SUMIFS(Invoices!$O$6:$O$305,Invoices!$C$6:$C$305,C460,Invoices!$E$6:$E$305,"&lt;="&amp;B460,Invoices!$F$6:$F$305,"&gt;="&amp;B460)),IF(COUNTIFS(Invoices!$C$6:$C$305,C460,Invoices!$E$6:$E$305,"&lt;="&amp;B460,Invoices!$F$6:$F$305,"&gt;="&amp;B460)&gt;1,"Two invoices",""))))</f>
        <v/>
      </c>
      <c r="Q460" s="15">
        <f>IF(B460="","",IF(J460&lt;&gt;"","Not billable",IF(P460="","To invoice",IF(P460="Two invoices","Check dates",IF(ISNA(MATCH(P460,Invoices!$B$6:$B$305,0)),"Check number",IF(INDEX(Invoices!$M$6:$M$305,MATCH(P460,Invoices!$B$6:$B$305,0))="Paid","Paid",IF(INDEX(Invoices!$M$6:$M$305,MATCH(P460,Invoices!$B$6:$B$305,0))="Draft","Draft","Invoiced")))))))</f>
        <v/>
      </c>
      <c r="R460" s="1">
        <f>IF(AND(B460&lt;&gt;"",P460&lt;&gt;"",P460=Invoice!$G$4),B460+MOD(N(F460),1)+ROW()/10000000,"")</f>
        <v/>
      </c>
      <c r="S460">
        <f>IF(R460="","",IF(D460="","Other work",D460)&amp;IF(AND(K460&lt;&gt;"",E460&lt;&gt;""),", "&amp;E460,""))</f>
        <v/>
      </c>
      <c r="T460">
        <f>IF(R460="","",IF(COUNTIFS(R$6:R459,"&gt;0",S$6:S459,S460,N$6:N459,N460)=0,R460,""))</f>
        <v/>
      </c>
      <c r="U460">
        <f>IF(B460="","",IF(J460&lt;&gt;"",0,M460))</f>
        <v/>
      </c>
    </row>
    <row r="461">
      <c r="A461" s="1" t="n"/>
      <c r="B461" s="16" t="n"/>
      <c r="C461" s="17" t="n"/>
      <c r="D461" s="18" t="n"/>
      <c r="E461" s="18" t="n"/>
      <c r="F461" s="19" t="n"/>
      <c r="G461" s="19" t="n"/>
      <c r="H461" s="20" t="n"/>
      <c r="I461" s="21" t="n"/>
      <c r="J461" s="22" t="n"/>
      <c r="K461" s="23" t="n"/>
      <c r="L461" s="18" t="n"/>
      <c r="M461" s="24">
        <f>IF(B461="","",IF(AND(F461&lt;&gt;"",G461&lt;&gt;""),MAX(0,ROUND(MOD(G461-F461,1)*24-N(H461)/60,2)),N(I461)))</f>
        <v/>
      </c>
      <c r="N461" s="14">
        <f>IF(B461="","",IF(K461&lt;&gt;"",K461,IF(N(IFERROR(INDEX(Projects!$D$6:$D$65,MATCH(D461,Projects!$B$6:$B$65,0)),""))&gt;0,IFERROR(INDEX(Projects!$D$6:$D$65,MATCH(D461,Projects!$B$6:$B$65,0)),""),IFERROR(INDEX(Clients!$G$6:$G$45,MATCH(C461,Clients!$B$6:$B$45,0)),0))))</f>
        <v/>
      </c>
      <c r="O461" s="14">
        <f>IF(B461="","",IF(J461&lt;&gt;"",0,ROUND(M461*N461,2)))</f>
        <v/>
      </c>
      <c r="P461" s="15">
        <f>IF(OR(B461="",J461&lt;&gt;""),"",IF(L461&lt;&gt;"",L461,IF(COUNTIFS(Invoices!$C$6:$C$305,C461,Invoices!$E$6:$E$305,"&lt;="&amp;B461,Invoices!$F$6:$F$305,"&gt;="&amp;B461)=1,INDEX(Invoices!$B$6:$B$305,SUMIFS(Invoices!$O$6:$O$305,Invoices!$C$6:$C$305,C461,Invoices!$E$6:$E$305,"&lt;="&amp;B461,Invoices!$F$6:$F$305,"&gt;="&amp;B461)),IF(COUNTIFS(Invoices!$C$6:$C$305,C461,Invoices!$E$6:$E$305,"&lt;="&amp;B461,Invoices!$F$6:$F$305,"&gt;="&amp;B461)&gt;1,"Two invoices",""))))</f>
        <v/>
      </c>
      <c r="Q461" s="15">
        <f>IF(B461="","",IF(J461&lt;&gt;"","Not billable",IF(P461="","To invoice",IF(P461="Two invoices","Check dates",IF(ISNA(MATCH(P461,Invoices!$B$6:$B$305,0)),"Check number",IF(INDEX(Invoices!$M$6:$M$305,MATCH(P461,Invoices!$B$6:$B$305,0))="Paid","Paid",IF(INDEX(Invoices!$M$6:$M$305,MATCH(P461,Invoices!$B$6:$B$305,0))="Draft","Draft","Invoiced")))))))</f>
        <v/>
      </c>
      <c r="R461" s="1">
        <f>IF(AND(B461&lt;&gt;"",P461&lt;&gt;"",P461=Invoice!$G$4),B461+MOD(N(F461),1)+ROW()/10000000,"")</f>
        <v/>
      </c>
      <c r="S461">
        <f>IF(R461="","",IF(D461="","Other work",D461)&amp;IF(AND(K461&lt;&gt;"",E461&lt;&gt;""),", "&amp;E461,""))</f>
        <v/>
      </c>
      <c r="T461">
        <f>IF(R461="","",IF(COUNTIFS(R$6:R460,"&gt;0",S$6:S460,S461,N$6:N460,N461)=0,R461,""))</f>
        <v/>
      </c>
      <c r="U461">
        <f>IF(B461="","",IF(J461&lt;&gt;"",0,M461))</f>
        <v/>
      </c>
    </row>
    <row r="462">
      <c r="A462" s="1" t="n"/>
      <c r="B462" s="16" t="n"/>
      <c r="C462" s="17" t="n"/>
      <c r="D462" s="18" t="n"/>
      <c r="E462" s="18" t="n"/>
      <c r="F462" s="19" t="n"/>
      <c r="G462" s="19" t="n"/>
      <c r="H462" s="20" t="n"/>
      <c r="I462" s="21" t="n"/>
      <c r="J462" s="22" t="n"/>
      <c r="K462" s="23" t="n"/>
      <c r="L462" s="18" t="n"/>
      <c r="M462" s="24">
        <f>IF(B462="","",IF(AND(F462&lt;&gt;"",G462&lt;&gt;""),MAX(0,ROUND(MOD(G462-F462,1)*24-N(H462)/60,2)),N(I462)))</f>
        <v/>
      </c>
      <c r="N462" s="14">
        <f>IF(B462="","",IF(K462&lt;&gt;"",K462,IF(N(IFERROR(INDEX(Projects!$D$6:$D$65,MATCH(D462,Projects!$B$6:$B$65,0)),""))&gt;0,IFERROR(INDEX(Projects!$D$6:$D$65,MATCH(D462,Projects!$B$6:$B$65,0)),""),IFERROR(INDEX(Clients!$G$6:$G$45,MATCH(C462,Clients!$B$6:$B$45,0)),0))))</f>
        <v/>
      </c>
      <c r="O462" s="14">
        <f>IF(B462="","",IF(J462&lt;&gt;"",0,ROUND(M462*N462,2)))</f>
        <v/>
      </c>
      <c r="P462" s="15">
        <f>IF(OR(B462="",J462&lt;&gt;""),"",IF(L462&lt;&gt;"",L462,IF(COUNTIFS(Invoices!$C$6:$C$305,C462,Invoices!$E$6:$E$305,"&lt;="&amp;B462,Invoices!$F$6:$F$305,"&gt;="&amp;B462)=1,INDEX(Invoices!$B$6:$B$305,SUMIFS(Invoices!$O$6:$O$305,Invoices!$C$6:$C$305,C462,Invoices!$E$6:$E$305,"&lt;="&amp;B462,Invoices!$F$6:$F$305,"&gt;="&amp;B462)),IF(COUNTIFS(Invoices!$C$6:$C$305,C462,Invoices!$E$6:$E$305,"&lt;="&amp;B462,Invoices!$F$6:$F$305,"&gt;="&amp;B462)&gt;1,"Two invoices",""))))</f>
        <v/>
      </c>
      <c r="Q462" s="15">
        <f>IF(B462="","",IF(J462&lt;&gt;"","Not billable",IF(P462="","To invoice",IF(P462="Two invoices","Check dates",IF(ISNA(MATCH(P462,Invoices!$B$6:$B$305,0)),"Check number",IF(INDEX(Invoices!$M$6:$M$305,MATCH(P462,Invoices!$B$6:$B$305,0))="Paid","Paid",IF(INDEX(Invoices!$M$6:$M$305,MATCH(P462,Invoices!$B$6:$B$305,0))="Draft","Draft","Invoiced")))))))</f>
        <v/>
      </c>
      <c r="R462" s="1">
        <f>IF(AND(B462&lt;&gt;"",P462&lt;&gt;"",P462=Invoice!$G$4),B462+MOD(N(F462),1)+ROW()/10000000,"")</f>
        <v/>
      </c>
      <c r="S462">
        <f>IF(R462="","",IF(D462="","Other work",D462)&amp;IF(AND(K462&lt;&gt;"",E462&lt;&gt;""),", "&amp;E462,""))</f>
        <v/>
      </c>
      <c r="T462">
        <f>IF(R462="","",IF(COUNTIFS(R$6:R461,"&gt;0",S$6:S461,S462,N$6:N461,N462)=0,R462,""))</f>
        <v/>
      </c>
      <c r="U462">
        <f>IF(B462="","",IF(J462&lt;&gt;"",0,M462))</f>
        <v/>
      </c>
    </row>
    <row r="463">
      <c r="A463" s="1" t="n"/>
      <c r="B463" s="16" t="n"/>
      <c r="C463" s="17" t="n"/>
      <c r="D463" s="18" t="n"/>
      <c r="E463" s="18" t="n"/>
      <c r="F463" s="19" t="n"/>
      <c r="G463" s="19" t="n"/>
      <c r="H463" s="20" t="n"/>
      <c r="I463" s="21" t="n"/>
      <c r="J463" s="22" t="n"/>
      <c r="K463" s="23" t="n"/>
      <c r="L463" s="18" t="n"/>
      <c r="M463" s="24">
        <f>IF(B463="","",IF(AND(F463&lt;&gt;"",G463&lt;&gt;""),MAX(0,ROUND(MOD(G463-F463,1)*24-N(H463)/60,2)),N(I463)))</f>
        <v/>
      </c>
      <c r="N463" s="14">
        <f>IF(B463="","",IF(K463&lt;&gt;"",K463,IF(N(IFERROR(INDEX(Projects!$D$6:$D$65,MATCH(D463,Projects!$B$6:$B$65,0)),""))&gt;0,IFERROR(INDEX(Projects!$D$6:$D$65,MATCH(D463,Projects!$B$6:$B$65,0)),""),IFERROR(INDEX(Clients!$G$6:$G$45,MATCH(C463,Clients!$B$6:$B$45,0)),0))))</f>
        <v/>
      </c>
      <c r="O463" s="14">
        <f>IF(B463="","",IF(J463&lt;&gt;"",0,ROUND(M463*N463,2)))</f>
        <v/>
      </c>
      <c r="P463" s="15">
        <f>IF(OR(B463="",J463&lt;&gt;""),"",IF(L463&lt;&gt;"",L463,IF(COUNTIFS(Invoices!$C$6:$C$305,C463,Invoices!$E$6:$E$305,"&lt;="&amp;B463,Invoices!$F$6:$F$305,"&gt;="&amp;B463)=1,INDEX(Invoices!$B$6:$B$305,SUMIFS(Invoices!$O$6:$O$305,Invoices!$C$6:$C$305,C463,Invoices!$E$6:$E$305,"&lt;="&amp;B463,Invoices!$F$6:$F$305,"&gt;="&amp;B463)),IF(COUNTIFS(Invoices!$C$6:$C$305,C463,Invoices!$E$6:$E$305,"&lt;="&amp;B463,Invoices!$F$6:$F$305,"&gt;="&amp;B463)&gt;1,"Two invoices",""))))</f>
        <v/>
      </c>
      <c r="Q463" s="15">
        <f>IF(B463="","",IF(J463&lt;&gt;"","Not billable",IF(P463="","To invoice",IF(P463="Two invoices","Check dates",IF(ISNA(MATCH(P463,Invoices!$B$6:$B$305,0)),"Check number",IF(INDEX(Invoices!$M$6:$M$305,MATCH(P463,Invoices!$B$6:$B$305,0))="Paid","Paid",IF(INDEX(Invoices!$M$6:$M$305,MATCH(P463,Invoices!$B$6:$B$305,0))="Draft","Draft","Invoiced")))))))</f>
        <v/>
      </c>
      <c r="R463" s="1">
        <f>IF(AND(B463&lt;&gt;"",P463&lt;&gt;"",P463=Invoice!$G$4),B463+MOD(N(F463),1)+ROW()/10000000,"")</f>
        <v/>
      </c>
      <c r="S463">
        <f>IF(R463="","",IF(D463="","Other work",D463)&amp;IF(AND(K463&lt;&gt;"",E463&lt;&gt;""),", "&amp;E463,""))</f>
        <v/>
      </c>
      <c r="T463">
        <f>IF(R463="","",IF(COUNTIFS(R$6:R462,"&gt;0",S$6:S462,S463,N$6:N462,N463)=0,R463,""))</f>
        <v/>
      </c>
      <c r="U463">
        <f>IF(B463="","",IF(J463&lt;&gt;"",0,M463))</f>
        <v/>
      </c>
    </row>
    <row r="464">
      <c r="A464" s="1" t="n"/>
      <c r="B464" s="16" t="n"/>
      <c r="C464" s="17" t="n"/>
      <c r="D464" s="18" t="n"/>
      <c r="E464" s="18" t="n"/>
      <c r="F464" s="19" t="n"/>
      <c r="G464" s="19" t="n"/>
      <c r="H464" s="20" t="n"/>
      <c r="I464" s="21" t="n"/>
      <c r="J464" s="22" t="n"/>
      <c r="K464" s="23" t="n"/>
      <c r="L464" s="18" t="n"/>
      <c r="M464" s="24">
        <f>IF(B464="","",IF(AND(F464&lt;&gt;"",G464&lt;&gt;""),MAX(0,ROUND(MOD(G464-F464,1)*24-N(H464)/60,2)),N(I464)))</f>
        <v/>
      </c>
      <c r="N464" s="14">
        <f>IF(B464="","",IF(K464&lt;&gt;"",K464,IF(N(IFERROR(INDEX(Projects!$D$6:$D$65,MATCH(D464,Projects!$B$6:$B$65,0)),""))&gt;0,IFERROR(INDEX(Projects!$D$6:$D$65,MATCH(D464,Projects!$B$6:$B$65,0)),""),IFERROR(INDEX(Clients!$G$6:$G$45,MATCH(C464,Clients!$B$6:$B$45,0)),0))))</f>
        <v/>
      </c>
      <c r="O464" s="14">
        <f>IF(B464="","",IF(J464&lt;&gt;"",0,ROUND(M464*N464,2)))</f>
        <v/>
      </c>
      <c r="P464" s="15">
        <f>IF(OR(B464="",J464&lt;&gt;""),"",IF(L464&lt;&gt;"",L464,IF(COUNTIFS(Invoices!$C$6:$C$305,C464,Invoices!$E$6:$E$305,"&lt;="&amp;B464,Invoices!$F$6:$F$305,"&gt;="&amp;B464)=1,INDEX(Invoices!$B$6:$B$305,SUMIFS(Invoices!$O$6:$O$305,Invoices!$C$6:$C$305,C464,Invoices!$E$6:$E$305,"&lt;="&amp;B464,Invoices!$F$6:$F$305,"&gt;="&amp;B464)),IF(COUNTIFS(Invoices!$C$6:$C$305,C464,Invoices!$E$6:$E$305,"&lt;="&amp;B464,Invoices!$F$6:$F$305,"&gt;="&amp;B464)&gt;1,"Two invoices",""))))</f>
        <v/>
      </c>
      <c r="Q464" s="15">
        <f>IF(B464="","",IF(J464&lt;&gt;"","Not billable",IF(P464="","To invoice",IF(P464="Two invoices","Check dates",IF(ISNA(MATCH(P464,Invoices!$B$6:$B$305,0)),"Check number",IF(INDEX(Invoices!$M$6:$M$305,MATCH(P464,Invoices!$B$6:$B$305,0))="Paid","Paid",IF(INDEX(Invoices!$M$6:$M$305,MATCH(P464,Invoices!$B$6:$B$305,0))="Draft","Draft","Invoiced")))))))</f>
        <v/>
      </c>
      <c r="R464" s="1">
        <f>IF(AND(B464&lt;&gt;"",P464&lt;&gt;"",P464=Invoice!$G$4),B464+MOD(N(F464),1)+ROW()/10000000,"")</f>
        <v/>
      </c>
      <c r="S464">
        <f>IF(R464="","",IF(D464="","Other work",D464)&amp;IF(AND(K464&lt;&gt;"",E464&lt;&gt;""),", "&amp;E464,""))</f>
        <v/>
      </c>
      <c r="T464">
        <f>IF(R464="","",IF(COUNTIFS(R$6:R463,"&gt;0",S$6:S463,S464,N$6:N463,N464)=0,R464,""))</f>
        <v/>
      </c>
      <c r="U464">
        <f>IF(B464="","",IF(J464&lt;&gt;"",0,M464))</f>
        <v/>
      </c>
    </row>
    <row r="465">
      <c r="A465" s="1" t="n"/>
      <c r="B465" s="16" t="n"/>
      <c r="C465" s="17" t="n"/>
      <c r="D465" s="18" t="n"/>
      <c r="E465" s="18" t="n"/>
      <c r="F465" s="19" t="n"/>
      <c r="G465" s="19" t="n"/>
      <c r="H465" s="20" t="n"/>
      <c r="I465" s="21" t="n"/>
      <c r="J465" s="22" t="n"/>
      <c r="K465" s="23" t="n"/>
      <c r="L465" s="18" t="n"/>
      <c r="M465" s="24">
        <f>IF(B465="","",IF(AND(F465&lt;&gt;"",G465&lt;&gt;""),MAX(0,ROUND(MOD(G465-F465,1)*24-N(H465)/60,2)),N(I465)))</f>
        <v/>
      </c>
      <c r="N465" s="14">
        <f>IF(B465="","",IF(K465&lt;&gt;"",K465,IF(N(IFERROR(INDEX(Projects!$D$6:$D$65,MATCH(D465,Projects!$B$6:$B$65,0)),""))&gt;0,IFERROR(INDEX(Projects!$D$6:$D$65,MATCH(D465,Projects!$B$6:$B$65,0)),""),IFERROR(INDEX(Clients!$G$6:$G$45,MATCH(C465,Clients!$B$6:$B$45,0)),0))))</f>
        <v/>
      </c>
      <c r="O465" s="14">
        <f>IF(B465="","",IF(J465&lt;&gt;"",0,ROUND(M465*N465,2)))</f>
        <v/>
      </c>
      <c r="P465" s="15">
        <f>IF(OR(B465="",J465&lt;&gt;""),"",IF(L465&lt;&gt;"",L465,IF(COUNTIFS(Invoices!$C$6:$C$305,C465,Invoices!$E$6:$E$305,"&lt;="&amp;B465,Invoices!$F$6:$F$305,"&gt;="&amp;B465)=1,INDEX(Invoices!$B$6:$B$305,SUMIFS(Invoices!$O$6:$O$305,Invoices!$C$6:$C$305,C465,Invoices!$E$6:$E$305,"&lt;="&amp;B465,Invoices!$F$6:$F$305,"&gt;="&amp;B465)),IF(COUNTIFS(Invoices!$C$6:$C$305,C465,Invoices!$E$6:$E$305,"&lt;="&amp;B465,Invoices!$F$6:$F$305,"&gt;="&amp;B465)&gt;1,"Two invoices",""))))</f>
        <v/>
      </c>
      <c r="Q465" s="15">
        <f>IF(B465="","",IF(J465&lt;&gt;"","Not billable",IF(P465="","To invoice",IF(P465="Two invoices","Check dates",IF(ISNA(MATCH(P465,Invoices!$B$6:$B$305,0)),"Check number",IF(INDEX(Invoices!$M$6:$M$305,MATCH(P465,Invoices!$B$6:$B$305,0))="Paid","Paid",IF(INDEX(Invoices!$M$6:$M$305,MATCH(P465,Invoices!$B$6:$B$305,0))="Draft","Draft","Invoiced")))))))</f>
        <v/>
      </c>
      <c r="R465" s="1">
        <f>IF(AND(B465&lt;&gt;"",P465&lt;&gt;"",P465=Invoice!$G$4),B465+MOD(N(F465),1)+ROW()/10000000,"")</f>
        <v/>
      </c>
      <c r="S465">
        <f>IF(R465="","",IF(D465="","Other work",D465)&amp;IF(AND(K465&lt;&gt;"",E465&lt;&gt;""),", "&amp;E465,""))</f>
        <v/>
      </c>
      <c r="T465">
        <f>IF(R465="","",IF(COUNTIFS(R$6:R464,"&gt;0",S$6:S464,S465,N$6:N464,N465)=0,R465,""))</f>
        <v/>
      </c>
      <c r="U465">
        <f>IF(B465="","",IF(J465&lt;&gt;"",0,M465))</f>
        <v/>
      </c>
    </row>
    <row r="466">
      <c r="A466" s="1" t="n"/>
      <c r="B466" s="16" t="n"/>
      <c r="C466" s="17" t="n"/>
      <c r="D466" s="18" t="n"/>
      <c r="E466" s="18" t="n"/>
      <c r="F466" s="19" t="n"/>
      <c r="G466" s="19" t="n"/>
      <c r="H466" s="20" t="n"/>
      <c r="I466" s="21" t="n"/>
      <c r="J466" s="22" t="n"/>
      <c r="K466" s="23" t="n"/>
      <c r="L466" s="18" t="n"/>
      <c r="M466" s="24">
        <f>IF(B466="","",IF(AND(F466&lt;&gt;"",G466&lt;&gt;""),MAX(0,ROUND(MOD(G466-F466,1)*24-N(H466)/60,2)),N(I466)))</f>
        <v/>
      </c>
      <c r="N466" s="14">
        <f>IF(B466="","",IF(K466&lt;&gt;"",K466,IF(N(IFERROR(INDEX(Projects!$D$6:$D$65,MATCH(D466,Projects!$B$6:$B$65,0)),""))&gt;0,IFERROR(INDEX(Projects!$D$6:$D$65,MATCH(D466,Projects!$B$6:$B$65,0)),""),IFERROR(INDEX(Clients!$G$6:$G$45,MATCH(C466,Clients!$B$6:$B$45,0)),0))))</f>
        <v/>
      </c>
      <c r="O466" s="14">
        <f>IF(B466="","",IF(J466&lt;&gt;"",0,ROUND(M466*N466,2)))</f>
        <v/>
      </c>
      <c r="P466" s="15">
        <f>IF(OR(B466="",J466&lt;&gt;""),"",IF(L466&lt;&gt;"",L466,IF(COUNTIFS(Invoices!$C$6:$C$305,C466,Invoices!$E$6:$E$305,"&lt;="&amp;B466,Invoices!$F$6:$F$305,"&gt;="&amp;B466)=1,INDEX(Invoices!$B$6:$B$305,SUMIFS(Invoices!$O$6:$O$305,Invoices!$C$6:$C$305,C466,Invoices!$E$6:$E$305,"&lt;="&amp;B466,Invoices!$F$6:$F$305,"&gt;="&amp;B466)),IF(COUNTIFS(Invoices!$C$6:$C$305,C466,Invoices!$E$6:$E$305,"&lt;="&amp;B466,Invoices!$F$6:$F$305,"&gt;="&amp;B466)&gt;1,"Two invoices",""))))</f>
        <v/>
      </c>
      <c r="Q466" s="15">
        <f>IF(B466="","",IF(J466&lt;&gt;"","Not billable",IF(P466="","To invoice",IF(P466="Two invoices","Check dates",IF(ISNA(MATCH(P466,Invoices!$B$6:$B$305,0)),"Check number",IF(INDEX(Invoices!$M$6:$M$305,MATCH(P466,Invoices!$B$6:$B$305,0))="Paid","Paid",IF(INDEX(Invoices!$M$6:$M$305,MATCH(P466,Invoices!$B$6:$B$305,0))="Draft","Draft","Invoiced")))))))</f>
        <v/>
      </c>
      <c r="R466" s="1">
        <f>IF(AND(B466&lt;&gt;"",P466&lt;&gt;"",P466=Invoice!$G$4),B466+MOD(N(F466),1)+ROW()/10000000,"")</f>
        <v/>
      </c>
      <c r="S466">
        <f>IF(R466="","",IF(D466="","Other work",D466)&amp;IF(AND(K466&lt;&gt;"",E466&lt;&gt;""),", "&amp;E466,""))</f>
        <v/>
      </c>
      <c r="T466">
        <f>IF(R466="","",IF(COUNTIFS(R$6:R465,"&gt;0",S$6:S465,S466,N$6:N465,N466)=0,R466,""))</f>
        <v/>
      </c>
      <c r="U466">
        <f>IF(B466="","",IF(J466&lt;&gt;"",0,M466))</f>
        <v/>
      </c>
    </row>
    <row r="467">
      <c r="A467" s="1" t="n"/>
      <c r="B467" s="16" t="n"/>
      <c r="C467" s="17" t="n"/>
      <c r="D467" s="18" t="n"/>
      <c r="E467" s="18" t="n"/>
      <c r="F467" s="19" t="n"/>
      <c r="G467" s="19" t="n"/>
      <c r="H467" s="20" t="n"/>
      <c r="I467" s="21" t="n"/>
      <c r="J467" s="22" t="n"/>
      <c r="K467" s="23" t="n"/>
      <c r="L467" s="18" t="n"/>
      <c r="M467" s="24">
        <f>IF(B467="","",IF(AND(F467&lt;&gt;"",G467&lt;&gt;""),MAX(0,ROUND(MOD(G467-F467,1)*24-N(H467)/60,2)),N(I467)))</f>
        <v/>
      </c>
      <c r="N467" s="14">
        <f>IF(B467="","",IF(K467&lt;&gt;"",K467,IF(N(IFERROR(INDEX(Projects!$D$6:$D$65,MATCH(D467,Projects!$B$6:$B$65,0)),""))&gt;0,IFERROR(INDEX(Projects!$D$6:$D$65,MATCH(D467,Projects!$B$6:$B$65,0)),""),IFERROR(INDEX(Clients!$G$6:$G$45,MATCH(C467,Clients!$B$6:$B$45,0)),0))))</f>
        <v/>
      </c>
      <c r="O467" s="14">
        <f>IF(B467="","",IF(J467&lt;&gt;"",0,ROUND(M467*N467,2)))</f>
        <v/>
      </c>
      <c r="P467" s="15">
        <f>IF(OR(B467="",J467&lt;&gt;""),"",IF(L467&lt;&gt;"",L467,IF(COUNTIFS(Invoices!$C$6:$C$305,C467,Invoices!$E$6:$E$305,"&lt;="&amp;B467,Invoices!$F$6:$F$305,"&gt;="&amp;B467)=1,INDEX(Invoices!$B$6:$B$305,SUMIFS(Invoices!$O$6:$O$305,Invoices!$C$6:$C$305,C467,Invoices!$E$6:$E$305,"&lt;="&amp;B467,Invoices!$F$6:$F$305,"&gt;="&amp;B467)),IF(COUNTIFS(Invoices!$C$6:$C$305,C467,Invoices!$E$6:$E$305,"&lt;="&amp;B467,Invoices!$F$6:$F$305,"&gt;="&amp;B467)&gt;1,"Two invoices",""))))</f>
        <v/>
      </c>
      <c r="Q467" s="15">
        <f>IF(B467="","",IF(J467&lt;&gt;"","Not billable",IF(P467="","To invoice",IF(P467="Two invoices","Check dates",IF(ISNA(MATCH(P467,Invoices!$B$6:$B$305,0)),"Check number",IF(INDEX(Invoices!$M$6:$M$305,MATCH(P467,Invoices!$B$6:$B$305,0))="Paid","Paid",IF(INDEX(Invoices!$M$6:$M$305,MATCH(P467,Invoices!$B$6:$B$305,0))="Draft","Draft","Invoiced")))))))</f>
        <v/>
      </c>
      <c r="R467" s="1">
        <f>IF(AND(B467&lt;&gt;"",P467&lt;&gt;"",P467=Invoice!$G$4),B467+MOD(N(F467),1)+ROW()/10000000,"")</f>
        <v/>
      </c>
      <c r="S467">
        <f>IF(R467="","",IF(D467="","Other work",D467)&amp;IF(AND(K467&lt;&gt;"",E467&lt;&gt;""),", "&amp;E467,""))</f>
        <v/>
      </c>
      <c r="T467">
        <f>IF(R467="","",IF(COUNTIFS(R$6:R466,"&gt;0",S$6:S466,S467,N$6:N466,N467)=0,R467,""))</f>
        <v/>
      </c>
      <c r="U467">
        <f>IF(B467="","",IF(J467&lt;&gt;"",0,M467))</f>
        <v/>
      </c>
    </row>
    <row r="468">
      <c r="A468" s="1" t="n"/>
      <c r="B468" s="16" t="n"/>
      <c r="C468" s="17" t="n"/>
      <c r="D468" s="18" t="n"/>
      <c r="E468" s="18" t="n"/>
      <c r="F468" s="19" t="n"/>
      <c r="G468" s="19" t="n"/>
      <c r="H468" s="20" t="n"/>
      <c r="I468" s="21" t="n"/>
      <c r="J468" s="22" t="n"/>
      <c r="K468" s="23" t="n"/>
      <c r="L468" s="18" t="n"/>
      <c r="M468" s="24">
        <f>IF(B468="","",IF(AND(F468&lt;&gt;"",G468&lt;&gt;""),MAX(0,ROUND(MOD(G468-F468,1)*24-N(H468)/60,2)),N(I468)))</f>
        <v/>
      </c>
      <c r="N468" s="14">
        <f>IF(B468="","",IF(K468&lt;&gt;"",K468,IF(N(IFERROR(INDEX(Projects!$D$6:$D$65,MATCH(D468,Projects!$B$6:$B$65,0)),""))&gt;0,IFERROR(INDEX(Projects!$D$6:$D$65,MATCH(D468,Projects!$B$6:$B$65,0)),""),IFERROR(INDEX(Clients!$G$6:$G$45,MATCH(C468,Clients!$B$6:$B$45,0)),0))))</f>
        <v/>
      </c>
      <c r="O468" s="14">
        <f>IF(B468="","",IF(J468&lt;&gt;"",0,ROUND(M468*N468,2)))</f>
        <v/>
      </c>
      <c r="P468" s="15">
        <f>IF(OR(B468="",J468&lt;&gt;""),"",IF(L468&lt;&gt;"",L468,IF(COUNTIFS(Invoices!$C$6:$C$305,C468,Invoices!$E$6:$E$305,"&lt;="&amp;B468,Invoices!$F$6:$F$305,"&gt;="&amp;B468)=1,INDEX(Invoices!$B$6:$B$305,SUMIFS(Invoices!$O$6:$O$305,Invoices!$C$6:$C$305,C468,Invoices!$E$6:$E$305,"&lt;="&amp;B468,Invoices!$F$6:$F$305,"&gt;="&amp;B468)),IF(COUNTIFS(Invoices!$C$6:$C$305,C468,Invoices!$E$6:$E$305,"&lt;="&amp;B468,Invoices!$F$6:$F$305,"&gt;="&amp;B468)&gt;1,"Two invoices",""))))</f>
        <v/>
      </c>
      <c r="Q468" s="15">
        <f>IF(B468="","",IF(J468&lt;&gt;"","Not billable",IF(P468="","To invoice",IF(P468="Two invoices","Check dates",IF(ISNA(MATCH(P468,Invoices!$B$6:$B$305,0)),"Check number",IF(INDEX(Invoices!$M$6:$M$305,MATCH(P468,Invoices!$B$6:$B$305,0))="Paid","Paid",IF(INDEX(Invoices!$M$6:$M$305,MATCH(P468,Invoices!$B$6:$B$305,0))="Draft","Draft","Invoiced")))))))</f>
        <v/>
      </c>
      <c r="R468" s="1">
        <f>IF(AND(B468&lt;&gt;"",P468&lt;&gt;"",P468=Invoice!$G$4),B468+MOD(N(F468),1)+ROW()/10000000,"")</f>
        <v/>
      </c>
      <c r="S468">
        <f>IF(R468="","",IF(D468="","Other work",D468)&amp;IF(AND(K468&lt;&gt;"",E468&lt;&gt;""),", "&amp;E468,""))</f>
        <v/>
      </c>
      <c r="T468">
        <f>IF(R468="","",IF(COUNTIFS(R$6:R467,"&gt;0",S$6:S467,S468,N$6:N467,N468)=0,R468,""))</f>
        <v/>
      </c>
      <c r="U468">
        <f>IF(B468="","",IF(J468&lt;&gt;"",0,M468))</f>
        <v/>
      </c>
    </row>
    <row r="469">
      <c r="A469" s="1" t="n"/>
      <c r="B469" s="16" t="n"/>
      <c r="C469" s="17" t="n"/>
      <c r="D469" s="18" t="n"/>
      <c r="E469" s="18" t="n"/>
      <c r="F469" s="19" t="n"/>
      <c r="G469" s="19" t="n"/>
      <c r="H469" s="20" t="n"/>
      <c r="I469" s="21" t="n"/>
      <c r="J469" s="22" t="n"/>
      <c r="K469" s="23" t="n"/>
      <c r="L469" s="18" t="n"/>
      <c r="M469" s="24">
        <f>IF(B469="","",IF(AND(F469&lt;&gt;"",G469&lt;&gt;""),MAX(0,ROUND(MOD(G469-F469,1)*24-N(H469)/60,2)),N(I469)))</f>
        <v/>
      </c>
      <c r="N469" s="14">
        <f>IF(B469="","",IF(K469&lt;&gt;"",K469,IF(N(IFERROR(INDEX(Projects!$D$6:$D$65,MATCH(D469,Projects!$B$6:$B$65,0)),""))&gt;0,IFERROR(INDEX(Projects!$D$6:$D$65,MATCH(D469,Projects!$B$6:$B$65,0)),""),IFERROR(INDEX(Clients!$G$6:$G$45,MATCH(C469,Clients!$B$6:$B$45,0)),0))))</f>
        <v/>
      </c>
      <c r="O469" s="14">
        <f>IF(B469="","",IF(J469&lt;&gt;"",0,ROUND(M469*N469,2)))</f>
        <v/>
      </c>
      <c r="P469" s="15">
        <f>IF(OR(B469="",J469&lt;&gt;""),"",IF(L469&lt;&gt;"",L469,IF(COUNTIFS(Invoices!$C$6:$C$305,C469,Invoices!$E$6:$E$305,"&lt;="&amp;B469,Invoices!$F$6:$F$305,"&gt;="&amp;B469)=1,INDEX(Invoices!$B$6:$B$305,SUMIFS(Invoices!$O$6:$O$305,Invoices!$C$6:$C$305,C469,Invoices!$E$6:$E$305,"&lt;="&amp;B469,Invoices!$F$6:$F$305,"&gt;="&amp;B469)),IF(COUNTIFS(Invoices!$C$6:$C$305,C469,Invoices!$E$6:$E$305,"&lt;="&amp;B469,Invoices!$F$6:$F$305,"&gt;="&amp;B469)&gt;1,"Two invoices",""))))</f>
        <v/>
      </c>
      <c r="Q469" s="15">
        <f>IF(B469="","",IF(J469&lt;&gt;"","Not billable",IF(P469="","To invoice",IF(P469="Two invoices","Check dates",IF(ISNA(MATCH(P469,Invoices!$B$6:$B$305,0)),"Check number",IF(INDEX(Invoices!$M$6:$M$305,MATCH(P469,Invoices!$B$6:$B$305,0))="Paid","Paid",IF(INDEX(Invoices!$M$6:$M$305,MATCH(P469,Invoices!$B$6:$B$305,0))="Draft","Draft","Invoiced")))))))</f>
        <v/>
      </c>
      <c r="R469" s="1">
        <f>IF(AND(B469&lt;&gt;"",P469&lt;&gt;"",P469=Invoice!$G$4),B469+MOD(N(F469),1)+ROW()/10000000,"")</f>
        <v/>
      </c>
      <c r="S469">
        <f>IF(R469="","",IF(D469="","Other work",D469)&amp;IF(AND(K469&lt;&gt;"",E469&lt;&gt;""),", "&amp;E469,""))</f>
        <v/>
      </c>
      <c r="T469">
        <f>IF(R469="","",IF(COUNTIFS(R$6:R468,"&gt;0",S$6:S468,S469,N$6:N468,N469)=0,R469,""))</f>
        <v/>
      </c>
      <c r="U469">
        <f>IF(B469="","",IF(J469&lt;&gt;"",0,M469))</f>
        <v/>
      </c>
    </row>
    <row r="470">
      <c r="A470" s="1" t="n"/>
      <c r="B470" s="16" t="n"/>
      <c r="C470" s="17" t="n"/>
      <c r="D470" s="18" t="n"/>
      <c r="E470" s="18" t="n"/>
      <c r="F470" s="19" t="n"/>
      <c r="G470" s="19" t="n"/>
      <c r="H470" s="20" t="n"/>
      <c r="I470" s="21" t="n"/>
      <c r="J470" s="22" t="n"/>
      <c r="K470" s="23" t="n"/>
      <c r="L470" s="18" t="n"/>
      <c r="M470" s="24">
        <f>IF(B470="","",IF(AND(F470&lt;&gt;"",G470&lt;&gt;""),MAX(0,ROUND(MOD(G470-F470,1)*24-N(H470)/60,2)),N(I470)))</f>
        <v/>
      </c>
      <c r="N470" s="14">
        <f>IF(B470="","",IF(K470&lt;&gt;"",K470,IF(N(IFERROR(INDEX(Projects!$D$6:$D$65,MATCH(D470,Projects!$B$6:$B$65,0)),""))&gt;0,IFERROR(INDEX(Projects!$D$6:$D$65,MATCH(D470,Projects!$B$6:$B$65,0)),""),IFERROR(INDEX(Clients!$G$6:$G$45,MATCH(C470,Clients!$B$6:$B$45,0)),0))))</f>
        <v/>
      </c>
      <c r="O470" s="14">
        <f>IF(B470="","",IF(J470&lt;&gt;"",0,ROUND(M470*N470,2)))</f>
        <v/>
      </c>
      <c r="P470" s="15">
        <f>IF(OR(B470="",J470&lt;&gt;""),"",IF(L470&lt;&gt;"",L470,IF(COUNTIFS(Invoices!$C$6:$C$305,C470,Invoices!$E$6:$E$305,"&lt;="&amp;B470,Invoices!$F$6:$F$305,"&gt;="&amp;B470)=1,INDEX(Invoices!$B$6:$B$305,SUMIFS(Invoices!$O$6:$O$305,Invoices!$C$6:$C$305,C470,Invoices!$E$6:$E$305,"&lt;="&amp;B470,Invoices!$F$6:$F$305,"&gt;="&amp;B470)),IF(COUNTIFS(Invoices!$C$6:$C$305,C470,Invoices!$E$6:$E$305,"&lt;="&amp;B470,Invoices!$F$6:$F$305,"&gt;="&amp;B470)&gt;1,"Two invoices",""))))</f>
        <v/>
      </c>
      <c r="Q470" s="15">
        <f>IF(B470="","",IF(J470&lt;&gt;"","Not billable",IF(P470="","To invoice",IF(P470="Two invoices","Check dates",IF(ISNA(MATCH(P470,Invoices!$B$6:$B$305,0)),"Check number",IF(INDEX(Invoices!$M$6:$M$305,MATCH(P470,Invoices!$B$6:$B$305,0))="Paid","Paid",IF(INDEX(Invoices!$M$6:$M$305,MATCH(P470,Invoices!$B$6:$B$305,0))="Draft","Draft","Invoiced")))))))</f>
        <v/>
      </c>
      <c r="R470" s="1">
        <f>IF(AND(B470&lt;&gt;"",P470&lt;&gt;"",P470=Invoice!$G$4),B470+MOD(N(F470),1)+ROW()/10000000,"")</f>
        <v/>
      </c>
      <c r="S470">
        <f>IF(R470="","",IF(D470="","Other work",D470)&amp;IF(AND(K470&lt;&gt;"",E470&lt;&gt;""),", "&amp;E470,""))</f>
        <v/>
      </c>
      <c r="T470">
        <f>IF(R470="","",IF(COUNTIFS(R$6:R469,"&gt;0",S$6:S469,S470,N$6:N469,N470)=0,R470,""))</f>
        <v/>
      </c>
      <c r="U470">
        <f>IF(B470="","",IF(J470&lt;&gt;"",0,M470))</f>
        <v/>
      </c>
    </row>
    <row r="471">
      <c r="A471" s="1" t="n"/>
      <c r="B471" s="16" t="n"/>
      <c r="C471" s="17" t="n"/>
      <c r="D471" s="18" t="n"/>
      <c r="E471" s="18" t="n"/>
      <c r="F471" s="19" t="n"/>
      <c r="G471" s="19" t="n"/>
      <c r="H471" s="20" t="n"/>
      <c r="I471" s="21" t="n"/>
      <c r="J471" s="22" t="n"/>
      <c r="K471" s="23" t="n"/>
      <c r="L471" s="18" t="n"/>
      <c r="M471" s="24">
        <f>IF(B471="","",IF(AND(F471&lt;&gt;"",G471&lt;&gt;""),MAX(0,ROUND(MOD(G471-F471,1)*24-N(H471)/60,2)),N(I471)))</f>
        <v/>
      </c>
      <c r="N471" s="14">
        <f>IF(B471="","",IF(K471&lt;&gt;"",K471,IF(N(IFERROR(INDEX(Projects!$D$6:$D$65,MATCH(D471,Projects!$B$6:$B$65,0)),""))&gt;0,IFERROR(INDEX(Projects!$D$6:$D$65,MATCH(D471,Projects!$B$6:$B$65,0)),""),IFERROR(INDEX(Clients!$G$6:$G$45,MATCH(C471,Clients!$B$6:$B$45,0)),0))))</f>
        <v/>
      </c>
      <c r="O471" s="14">
        <f>IF(B471="","",IF(J471&lt;&gt;"",0,ROUND(M471*N471,2)))</f>
        <v/>
      </c>
      <c r="P471" s="15">
        <f>IF(OR(B471="",J471&lt;&gt;""),"",IF(L471&lt;&gt;"",L471,IF(COUNTIFS(Invoices!$C$6:$C$305,C471,Invoices!$E$6:$E$305,"&lt;="&amp;B471,Invoices!$F$6:$F$305,"&gt;="&amp;B471)=1,INDEX(Invoices!$B$6:$B$305,SUMIFS(Invoices!$O$6:$O$305,Invoices!$C$6:$C$305,C471,Invoices!$E$6:$E$305,"&lt;="&amp;B471,Invoices!$F$6:$F$305,"&gt;="&amp;B471)),IF(COUNTIFS(Invoices!$C$6:$C$305,C471,Invoices!$E$6:$E$305,"&lt;="&amp;B471,Invoices!$F$6:$F$305,"&gt;="&amp;B471)&gt;1,"Two invoices",""))))</f>
        <v/>
      </c>
      <c r="Q471" s="15">
        <f>IF(B471="","",IF(J471&lt;&gt;"","Not billable",IF(P471="","To invoice",IF(P471="Two invoices","Check dates",IF(ISNA(MATCH(P471,Invoices!$B$6:$B$305,0)),"Check number",IF(INDEX(Invoices!$M$6:$M$305,MATCH(P471,Invoices!$B$6:$B$305,0))="Paid","Paid",IF(INDEX(Invoices!$M$6:$M$305,MATCH(P471,Invoices!$B$6:$B$305,0))="Draft","Draft","Invoiced")))))))</f>
        <v/>
      </c>
      <c r="R471" s="1">
        <f>IF(AND(B471&lt;&gt;"",P471&lt;&gt;"",P471=Invoice!$G$4),B471+MOD(N(F471),1)+ROW()/10000000,"")</f>
        <v/>
      </c>
      <c r="S471">
        <f>IF(R471="","",IF(D471="","Other work",D471)&amp;IF(AND(K471&lt;&gt;"",E471&lt;&gt;""),", "&amp;E471,""))</f>
        <v/>
      </c>
      <c r="T471">
        <f>IF(R471="","",IF(COUNTIFS(R$6:R470,"&gt;0",S$6:S470,S471,N$6:N470,N471)=0,R471,""))</f>
        <v/>
      </c>
      <c r="U471">
        <f>IF(B471="","",IF(J471&lt;&gt;"",0,M471))</f>
        <v/>
      </c>
    </row>
    <row r="472">
      <c r="A472" s="1" t="n"/>
      <c r="B472" s="16" t="n"/>
      <c r="C472" s="17" t="n"/>
      <c r="D472" s="18" t="n"/>
      <c r="E472" s="18" t="n"/>
      <c r="F472" s="19" t="n"/>
      <c r="G472" s="19" t="n"/>
      <c r="H472" s="20" t="n"/>
      <c r="I472" s="21" t="n"/>
      <c r="J472" s="22" t="n"/>
      <c r="K472" s="23" t="n"/>
      <c r="L472" s="18" t="n"/>
      <c r="M472" s="24">
        <f>IF(B472="","",IF(AND(F472&lt;&gt;"",G472&lt;&gt;""),MAX(0,ROUND(MOD(G472-F472,1)*24-N(H472)/60,2)),N(I472)))</f>
        <v/>
      </c>
      <c r="N472" s="14">
        <f>IF(B472="","",IF(K472&lt;&gt;"",K472,IF(N(IFERROR(INDEX(Projects!$D$6:$D$65,MATCH(D472,Projects!$B$6:$B$65,0)),""))&gt;0,IFERROR(INDEX(Projects!$D$6:$D$65,MATCH(D472,Projects!$B$6:$B$65,0)),""),IFERROR(INDEX(Clients!$G$6:$G$45,MATCH(C472,Clients!$B$6:$B$45,0)),0))))</f>
        <v/>
      </c>
      <c r="O472" s="14">
        <f>IF(B472="","",IF(J472&lt;&gt;"",0,ROUND(M472*N472,2)))</f>
        <v/>
      </c>
      <c r="P472" s="15">
        <f>IF(OR(B472="",J472&lt;&gt;""),"",IF(L472&lt;&gt;"",L472,IF(COUNTIFS(Invoices!$C$6:$C$305,C472,Invoices!$E$6:$E$305,"&lt;="&amp;B472,Invoices!$F$6:$F$305,"&gt;="&amp;B472)=1,INDEX(Invoices!$B$6:$B$305,SUMIFS(Invoices!$O$6:$O$305,Invoices!$C$6:$C$305,C472,Invoices!$E$6:$E$305,"&lt;="&amp;B472,Invoices!$F$6:$F$305,"&gt;="&amp;B472)),IF(COUNTIFS(Invoices!$C$6:$C$305,C472,Invoices!$E$6:$E$305,"&lt;="&amp;B472,Invoices!$F$6:$F$305,"&gt;="&amp;B472)&gt;1,"Two invoices",""))))</f>
        <v/>
      </c>
      <c r="Q472" s="15">
        <f>IF(B472="","",IF(J472&lt;&gt;"","Not billable",IF(P472="","To invoice",IF(P472="Two invoices","Check dates",IF(ISNA(MATCH(P472,Invoices!$B$6:$B$305,0)),"Check number",IF(INDEX(Invoices!$M$6:$M$305,MATCH(P472,Invoices!$B$6:$B$305,0))="Paid","Paid",IF(INDEX(Invoices!$M$6:$M$305,MATCH(P472,Invoices!$B$6:$B$305,0))="Draft","Draft","Invoiced")))))))</f>
        <v/>
      </c>
      <c r="R472" s="1">
        <f>IF(AND(B472&lt;&gt;"",P472&lt;&gt;"",P472=Invoice!$G$4),B472+MOD(N(F472),1)+ROW()/10000000,"")</f>
        <v/>
      </c>
      <c r="S472">
        <f>IF(R472="","",IF(D472="","Other work",D472)&amp;IF(AND(K472&lt;&gt;"",E472&lt;&gt;""),", "&amp;E472,""))</f>
        <v/>
      </c>
      <c r="T472">
        <f>IF(R472="","",IF(COUNTIFS(R$6:R471,"&gt;0",S$6:S471,S472,N$6:N471,N472)=0,R472,""))</f>
        <v/>
      </c>
      <c r="U472">
        <f>IF(B472="","",IF(J472&lt;&gt;"",0,M472))</f>
        <v/>
      </c>
    </row>
    <row r="473">
      <c r="A473" s="1" t="n"/>
      <c r="B473" s="16" t="n"/>
      <c r="C473" s="17" t="n"/>
      <c r="D473" s="18" t="n"/>
      <c r="E473" s="18" t="n"/>
      <c r="F473" s="19" t="n"/>
      <c r="G473" s="19" t="n"/>
      <c r="H473" s="20" t="n"/>
      <c r="I473" s="21" t="n"/>
      <c r="J473" s="22" t="n"/>
      <c r="K473" s="23" t="n"/>
      <c r="L473" s="18" t="n"/>
      <c r="M473" s="24">
        <f>IF(B473="","",IF(AND(F473&lt;&gt;"",G473&lt;&gt;""),MAX(0,ROUND(MOD(G473-F473,1)*24-N(H473)/60,2)),N(I473)))</f>
        <v/>
      </c>
      <c r="N473" s="14">
        <f>IF(B473="","",IF(K473&lt;&gt;"",K473,IF(N(IFERROR(INDEX(Projects!$D$6:$D$65,MATCH(D473,Projects!$B$6:$B$65,0)),""))&gt;0,IFERROR(INDEX(Projects!$D$6:$D$65,MATCH(D473,Projects!$B$6:$B$65,0)),""),IFERROR(INDEX(Clients!$G$6:$G$45,MATCH(C473,Clients!$B$6:$B$45,0)),0))))</f>
        <v/>
      </c>
      <c r="O473" s="14">
        <f>IF(B473="","",IF(J473&lt;&gt;"",0,ROUND(M473*N473,2)))</f>
        <v/>
      </c>
      <c r="P473" s="15">
        <f>IF(OR(B473="",J473&lt;&gt;""),"",IF(L473&lt;&gt;"",L473,IF(COUNTIFS(Invoices!$C$6:$C$305,C473,Invoices!$E$6:$E$305,"&lt;="&amp;B473,Invoices!$F$6:$F$305,"&gt;="&amp;B473)=1,INDEX(Invoices!$B$6:$B$305,SUMIFS(Invoices!$O$6:$O$305,Invoices!$C$6:$C$305,C473,Invoices!$E$6:$E$305,"&lt;="&amp;B473,Invoices!$F$6:$F$305,"&gt;="&amp;B473)),IF(COUNTIFS(Invoices!$C$6:$C$305,C473,Invoices!$E$6:$E$305,"&lt;="&amp;B473,Invoices!$F$6:$F$305,"&gt;="&amp;B473)&gt;1,"Two invoices",""))))</f>
        <v/>
      </c>
      <c r="Q473" s="15">
        <f>IF(B473="","",IF(J473&lt;&gt;"","Not billable",IF(P473="","To invoice",IF(P473="Two invoices","Check dates",IF(ISNA(MATCH(P473,Invoices!$B$6:$B$305,0)),"Check number",IF(INDEX(Invoices!$M$6:$M$305,MATCH(P473,Invoices!$B$6:$B$305,0))="Paid","Paid",IF(INDEX(Invoices!$M$6:$M$305,MATCH(P473,Invoices!$B$6:$B$305,0))="Draft","Draft","Invoiced")))))))</f>
        <v/>
      </c>
      <c r="R473" s="1">
        <f>IF(AND(B473&lt;&gt;"",P473&lt;&gt;"",P473=Invoice!$G$4),B473+MOD(N(F473),1)+ROW()/10000000,"")</f>
        <v/>
      </c>
      <c r="S473">
        <f>IF(R473="","",IF(D473="","Other work",D473)&amp;IF(AND(K473&lt;&gt;"",E473&lt;&gt;""),", "&amp;E473,""))</f>
        <v/>
      </c>
      <c r="T473">
        <f>IF(R473="","",IF(COUNTIFS(R$6:R472,"&gt;0",S$6:S472,S473,N$6:N472,N473)=0,R473,""))</f>
        <v/>
      </c>
      <c r="U473">
        <f>IF(B473="","",IF(J473&lt;&gt;"",0,M473))</f>
        <v/>
      </c>
    </row>
    <row r="474">
      <c r="A474" s="1" t="n"/>
      <c r="B474" s="16" t="n"/>
      <c r="C474" s="17" t="n"/>
      <c r="D474" s="18" t="n"/>
      <c r="E474" s="18" t="n"/>
      <c r="F474" s="19" t="n"/>
      <c r="G474" s="19" t="n"/>
      <c r="H474" s="20" t="n"/>
      <c r="I474" s="21" t="n"/>
      <c r="J474" s="22" t="n"/>
      <c r="K474" s="23" t="n"/>
      <c r="L474" s="18" t="n"/>
      <c r="M474" s="24">
        <f>IF(B474="","",IF(AND(F474&lt;&gt;"",G474&lt;&gt;""),MAX(0,ROUND(MOD(G474-F474,1)*24-N(H474)/60,2)),N(I474)))</f>
        <v/>
      </c>
      <c r="N474" s="14">
        <f>IF(B474="","",IF(K474&lt;&gt;"",K474,IF(N(IFERROR(INDEX(Projects!$D$6:$D$65,MATCH(D474,Projects!$B$6:$B$65,0)),""))&gt;0,IFERROR(INDEX(Projects!$D$6:$D$65,MATCH(D474,Projects!$B$6:$B$65,0)),""),IFERROR(INDEX(Clients!$G$6:$G$45,MATCH(C474,Clients!$B$6:$B$45,0)),0))))</f>
        <v/>
      </c>
      <c r="O474" s="14">
        <f>IF(B474="","",IF(J474&lt;&gt;"",0,ROUND(M474*N474,2)))</f>
        <v/>
      </c>
      <c r="P474" s="15">
        <f>IF(OR(B474="",J474&lt;&gt;""),"",IF(L474&lt;&gt;"",L474,IF(COUNTIFS(Invoices!$C$6:$C$305,C474,Invoices!$E$6:$E$305,"&lt;="&amp;B474,Invoices!$F$6:$F$305,"&gt;="&amp;B474)=1,INDEX(Invoices!$B$6:$B$305,SUMIFS(Invoices!$O$6:$O$305,Invoices!$C$6:$C$305,C474,Invoices!$E$6:$E$305,"&lt;="&amp;B474,Invoices!$F$6:$F$305,"&gt;="&amp;B474)),IF(COUNTIFS(Invoices!$C$6:$C$305,C474,Invoices!$E$6:$E$305,"&lt;="&amp;B474,Invoices!$F$6:$F$305,"&gt;="&amp;B474)&gt;1,"Two invoices",""))))</f>
        <v/>
      </c>
      <c r="Q474" s="15">
        <f>IF(B474="","",IF(J474&lt;&gt;"","Not billable",IF(P474="","To invoice",IF(P474="Two invoices","Check dates",IF(ISNA(MATCH(P474,Invoices!$B$6:$B$305,0)),"Check number",IF(INDEX(Invoices!$M$6:$M$305,MATCH(P474,Invoices!$B$6:$B$305,0))="Paid","Paid",IF(INDEX(Invoices!$M$6:$M$305,MATCH(P474,Invoices!$B$6:$B$305,0))="Draft","Draft","Invoiced")))))))</f>
        <v/>
      </c>
      <c r="R474" s="1">
        <f>IF(AND(B474&lt;&gt;"",P474&lt;&gt;"",P474=Invoice!$G$4),B474+MOD(N(F474),1)+ROW()/10000000,"")</f>
        <v/>
      </c>
      <c r="S474">
        <f>IF(R474="","",IF(D474="","Other work",D474)&amp;IF(AND(K474&lt;&gt;"",E474&lt;&gt;""),", "&amp;E474,""))</f>
        <v/>
      </c>
      <c r="T474">
        <f>IF(R474="","",IF(COUNTIFS(R$6:R473,"&gt;0",S$6:S473,S474,N$6:N473,N474)=0,R474,""))</f>
        <v/>
      </c>
      <c r="U474">
        <f>IF(B474="","",IF(J474&lt;&gt;"",0,M474))</f>
        <v/>
      </c>
    </row>
    <row r="475">
      <c r="A475" s="1" t="n"/>
      <c r="B475" s="16" t="n"/>
      <c r="C475" s="17" t="n"/>
      <c r="D475" s="18" t="n"/>
      <c r="E475" s="18" t="n"/>
      <c r="F475" s="19" t="n"/>
      <c r="G475" s="19" t="n"/>
      <c r="H475" s="20" t="n"/>
      <c r="I475" s="21" t="n"/>
      <c r="J475" s="22" t="n"/>
      <c r="K475" s="23" t="n"/>
      <c r="L475" s="18" t="n"/>
      <c r="M475" s="24">
        <f>IF(B475="","",IF(AND(F475&lt;&gt;"",G475&lt;&gt;""),MAX(0,ROUND(MOD(G475-F475,1)*24-N(H475)/60,2)),N(I475)))</f>
        <v/>
      </c>
      <c r="N475" s="14">
        <f>IF(B475="","",IF(K475&lt;&gt;"",K475,IF(N(IFERROR(INDEX(Projects!$D$6:$D$65,MATCH(D475,Projects!$B$6:$B$65,0)),""))&gt;0,IFERROR(INDEX(Projects!$D$6:$D$65,MATCH(D475,Projects!$B$6:$B$65,0)),""),IFERROR(INDEX(Clients!$G$6:$G$45,MATCH(C475,Clients!$B$6:$B$45,0)),0))))</f>
        <v/>
      </c>
      <c r="O475" s="14">
        <f>IF(B475="","",IF(J475&lt;&gt;"",0,ROUND(M475*N475,2)))</f>
        <v/>
      </c>
      <c r="P475" s="15">
        <f>IF(OR(B475="",J475&lt;&gt;""),"",IF(L475&lt;&gt;"",L475,IF(COUNTIFS(Invoices!$C$6:$C$305,C475,Invoices!$E$6:$E$305,"&lt;="&amp;B475,Invoices!$F$6:$F$305,"&gt;="&amp;B475)=1,INDEX(Invoices!$B$6:$B$305,SUMIFS(Invoices!$O$6:$O$305,Invoices!$C$6:$C$305,C475,Invoices!$E$6:$E$305,"&lt;="&amp;B475,Invoices!$F$6:$F$305,"&gt;="&amp;B475)),IF(COUNTIFS(Invoices!$C$6:$C$305,C475,Invoices!$E$6:$E$305,"&lt;="&amp;B475,Invoices!$F$6:$F$305,"&gt;="&amp;B475)&gt;1,"Two invoices",""))))</f>
        <v/>
      </c>
      <c r="Q475" s="15">
        <f>IF(B475="","",IF(J475&lt;&gt;"","Not billable",IF(P475="","To invoice",IF(P475="Two invoices","Check dates",IF(ISNA(MATCH(P475,Invoices!$B$6:$B$305,0)),"Check number",IF(INDEX(Invoices!$M$6:$M$305,MATCH(P475,Invoices!$B$6:$B$305,0))="Paid","Paid",IF(INDEX(Invoices!$M$6:$M$305,MATCH(P475,Invoices!$B$6:$B$305,0))="Draft","Draft","Invoiced")))))))</f>
        <v/>
      </c>
      <c r="R475" s="1">
        <f>IF(AND(B475&lt;&gt;"",P475&lt;&gt;"",P475=Invoice!$G$4),B475+MOD(N(F475),1)+ROW()/10000000,"")</f>
        <v/>
      </c>
      <c r="S475">
        <f>IF(R475="","",IF(D475="","Other work",D475)&amp;IF(AND(K475&lt;&gt;"",E475&lt;&gt;""),", "&amp;E475,""))</f>
        <v/>
      </c>
      <c r="T475">
        <f>IF(R475="","",IF(COUNTIFS(R$6:R474,"&gt;0",S$6:S474,S475,N$6:N474,N475)=0,R475,""))</f>
        <v/>
      </c>
      <c r="U475">
        <f>IF(B475="","",IF(J475&lt;&gt;"",0,M475))</f>
        <v/>
      </c>
    </row>
    <row r="476">
      <c r="A476" s="1" t="n"/>
      <c r="B476" s="16" t="n"/>
      <c r="C476" s="17" t="n"/>
      <c r="D476" s="18" t="n"/>
      <c r="E476" s="18" t="n"/>
      <c r="F476" s="19" t="n"/>
      <c r="G476" s="19" t="n"/>
      <c r="H476" s="20" t="n"/>
      <c r="I476" s="21" t="n"/>
      <c r="J476" s="22" t="n"/>
      <c r="K476" s="23" t="n"/>
      <c r="L476" s="18" t="n"/>
      <c r="M476" s="24">
        <f>IF(B476="","",IF(AND(F476&lt;&gt;"",G476&lt;&gt;""),MAX(0,ROUND(MOD(G476-F476,1)*24-N(H476)/60,2)),N(I476)))</f>
        <v/>
      </c>
      <c r="N476" s="14">
        <f>IF(B476="","",IF(K476&lt;&gt;"",K476,IF(N(IFERROR(INDEX(Projects!$D$6:$D$65,MATCH(D476,Projects!$B$6:$B$65,0)),""))&gt;0,IFERROR(INDEX(Projects!$D$6:$D$65,MATCH(D476,Projects!$B$6:$B$65,0)),""),IFERROR(INDEX(Clients!$G$6:$G$45,MATCH(C476,Clients!$B$6:$B$45,0)),0))))</f>
        <v/>
      </c>
      <c r="O476" s="14">
        <f>IF(B476="","",IF(J476&lt;&gt;"",0,ROUND(M476*N476,2)))</f>
        <v/>
      </c>
      <c r="P476" s="15">
        <f>IF(OR(B476="",J476&lt;&gt;""),"",IF(L476&lt;&gt;"",L476,IF(COUNTIFS(Invoices!$C$6:$C$305,C476,Invoices!$E$6:$E$305,"&lt;="&amp;B476,Invoices!$F$6:$F$305,"&gt;="&amp;B476)=1,INDEX(Invoices!$B$6:$B$305,SUMIFS(Invoices!$O$6:$O$305,Invoices!$C$6:$C$305,C476,Invoices!$E$6:$E$305,"&lt;="&amp;B476,Invoices!$F$6:$F$305,"&gt;="&amp;B476)),IF(COUNTIFS(Invoices!$C$6:$C$305,C476,Invoices!$E$6:$E$305,"&lt;="&amp;B476,Invoices!$F$6:$F$305,"&gt;="&amp;B476)&gt;1,"Two invoices",""))))</f>
        <v/>
      </c>
      <c r="Q476" s="15">
        <f>IF(B476="","",IF(J476&lt;&gt;"","Not billable",IF(P476="","To invoice",IF(P476="Two invoices","Check dates",IF(ISNA(MATCH(P476,Invoices!$B$6:$B$305,0)),"Check number",IF(INDEX(Invoices!$M$6:$M$305,MATCH(P476,Invoices!$B$6:$B$305,0))="Paid","Paid",IF(INDEX(Invoices!$M$6:$M$305,MATCH(P476,Invoices!$B$6:$B$305,0))="Draft","Draft","Invoiced")))))))</f>
        <v/>
      </c>
      <c r="R476" s="1">
        <f>IF(AND(B476&lt;&gt;"",P476&lt;&gt;"",P476=Invoice!$G$4),B476+MOD(N(F476),1)+ROW()/10000000,"")</f>
        <v/>
      </c>
      <c r="S476">
        <f>IF(R476="","",IF(D476="","Other work",D476)&amp;IF(AND(K476&lt;&gt;"",E476&lt;&gt;""),", "&amp;E476,""))</f>
        <v/>
      </c>
      <c r="T476">
        <f>IF(R476="","",IF(COUNTIFS(R$6:R475,"&gt;0",S$6:S475,S476,N$6:N475,N476)=0,R476,""))</f>
        <v/>
      </c>
      <c r="U476">
        <f>IF(B476="","",IF(J476&lt;&gt;"",0,M476))</f>
        <v/>
      </c>
    </row>
    <row r="477">
      <c r="A477" s="1" t="n"/>
      <c r="B477" s="16" t="n"/>
      <c r="C477" s="17" t="n"/>
      <c r="D477" s="18" t="n"/>
      <c r="E477" s="18" t="n"/>
      <c r="F477" s="19" t="n"/>
      <c r="G477" s="19" t="n"/>
      <c r="H477" s="20" t="n"/>
      <c r="I477" s="21" t="n"/>
      <c r="J477" s="22" t="n"/>
      <c r="K477" s="23" t="n"/>
      <c r="L477" s="18" t="n"/>
      <c r="M477" s="24">
        <f>IF(B477="","",IF(AND(F477&lt;&gt;"",G477&lt;&gt;""),MAX(0,ROUND(MOD(G477-F477,1)*24-N(H477)/60,2)),N(I477)))</f>
        <v/>
      </c>
      <c r="N477" s="14">
        <f>IF(B477="","",IF(K477&lt;&gt;"",K477,IF(N(IFERROR(INDEX(Projects!$D$6:$D$65,MATCH(D477,Projects!$B$6:$B$65,0)),""))&gt;0,IFERROR(INDEX(Projects!$D$6:$D$65,MATCH(D477,Projects!$B$6:$B$65,0)),""),IFERROR(INDEX(Clients!$G$6:$G$45,MATCH(C477,Clients!$B$6:$B$45,0)),0))))</f>
        <v/>
      </c>
      <c r="O477" s="14">
        <f>IF(B477="","",IF(J477&lt;&gt;"",0,ROUND(M477*N477,2)))</f>
        <v/>
      </c>
      <c r="P477" s="15">
        <f>IF(OR(B477="",J477&lt;&gt;""),"",IF(L477&lt;&gt;"",L477,IF(COUNTIFS(Invoices!$C$6:$C$305,C477,Invoices!$E$6:$E$305,"&lt;="&amp;B477,Invoices!$F$6:$F$305,"&gt;="&amp;B477)=1,INDEX(Invoices!$B$6:$B$305,SUMIFS(Invoices!$O$6:$O$305,Invoices!$C$6:$C$305,C477,Invoices!$E$6:$E$305,"&lt;="&amp;B477,Invoices!$F$6:$F$305,"&gt;="&amp;B477)),IF(COUNTIFS(Invoices!$C$6:$C$305,C477,Invoices!$E$6:$E$305,"&lt;="&amp;B477,Invoices!$F$6:$F$305,"&gt;="&amp;B477)&gt;1,"Two invoices",""))))</f>
        <v/>
      </c>
      <c r="Q477" s="15">
        <f>IF(B477="","",IF(J477&lt;&gt;"","Not billable",IF(P477="","To invoice",IF(P477="Two invoices","Check dates",IF(ISNA(MATCH(P477,Invoices!$B$6:$B$305,0)),"Check number",IF(INDEX(Invoices!$M$6:$M$305,MATCH(P477,Invoices!$B$6:$B$305,0))="Paid","Paid",IF(INDEX(Invoices!$M$6:$M$305,MATCH(P477,Invoices!$B$6:$B$305,0))="Draft","Draft","Invoiced")))))))</f>
        <v/>
      </c>
      <c r="R477" s="1">
        <f>IF(AND(B477&lt;&gt;"",P477&lt;&gt;"",P477=Invoice!$G$4),B477+MOD(N(F477),1)+ROW()/10000000,"")</f>
        <v/>
      </c>
      <c r="S477">
        <f>IF(R477="","",IF(D477="","Other work",D477)&amp;IF(AND(K477&lt;&gt;"",E477&lt;&gt;""),", "&amp;E477,""))</f>
        <v/>
      </c>
      <c r="T477">
        <f>IF(R477="","",IF(COUNTIFS(R$6:R476,"&gt;0",S$6:S476,S477,N$6:N476,N477)=0,R477,""))</f>
        <v/>
      </c>
      <c r="U477">
        <f>IF(B477="","",IF(J477&lt;&gt;"",0,M477))</f>
        <v/>
      </c>
    </row>
    <row r="478">
      <c r="A478" s="1" t="n"/>
      <c r="B478" s="16" t="n"/>
      <c r="C478" s="17" t="n"/>
      <c r="D478" s="18" t="n"/>
      <c r="E478" s="18" t="n"/>
      <c r="F478" s="19" t="n"/>
      <c r="G478" s="19" t="n"/>
      <c r="H478" s="20" t="n"/>
      <c r="I478" s="21" t="n"/>
      <c r="J478" s="22" t="n"/>
      <c r="K478" s="23" t="n"/>
      <c r="L478" s="18" t="n"/>
      <c r="M478" s="24">
        <f>IF(B478="","",IF(AND(F478&lt;&gt;"",G478&lt;&gt;""),MAX(0,ROUND(MOD(G478-F478,1)*24-N(H478)/60,2)),N(I478)))</f>
        <v/>
      </c>
      <c r="N478" s="14">
        <f>IF(B478="","",IF(K478&lt;&gt;"",K478,IF(N(IFERROR(INDEX(Projects!$D$6:$D$65,MATCH(D478,Projects!$B$6:$B$65,0)),""))&gt;0,IFERROR(INDEX(Projects!$D$6:$D$65,MATCH(D478,Projects!$B$6:$B$65,0)),""),IFERROR(INDEX(Clients!$G$6:$G$45,MATCH(C478,Clients!$B$6:$B$45,0)),0))))</f>
        <v/>
      </c>
      <c r="O478" s="14">
        <f>IF(B478="","",IF(J478&lt;&gt;"",0,ROUND(M478*N478,2)))</f>
        <v/>
      </c>
      <c r="P478" s="15">
        <f>IF(OR(B478="",J478&lt;&gt;""),"",IF(L478&lt;&gt;"",L478,IF(COUNTIFS(Invoices!$C$6:$C$305,C478,Invoices!$E$6:$E$305,"&lt;="&amp;B478,Invoices!$F$6:$F$305,"&gt;="&amp;B478)=1,INDEX(Invoices!$B$6:$B$305,SUMIFS(Invoices!$O$6:$O$305,Invoices!$C$6:$C$305,C478,Invoices!$E$6:$E$305,"&lt;="&amp;B478,Invoices!$F$6:$F$305,"&gt;="&amp;B478)),IF(COUNTIFS(Invoices!$C$6:$C$305,C478,Invoices!$E$6:$E$305,"&lt;="&amp;B478,Invoices!$F$6:$F$305,"&gt;="&amp;B478)&gt;1,"Two invoices",""))))</f>
        <v/>
      </c>
      <c r="Q478" s="15">
        <f>IF(B478="","",IF(J478&lt;&gt;"","Not billable",IF(P478="","To invoice",IF(P478="Two invoices","Check dates",IF(ISNA(MATCH(P478,Invoices!$B$6:$B$305,0)),"Check number",IF(INDEX(Invoices!$M$6:$M$305,MATCH(P478,Invoices!$B$6:$B$305,0))="Paid","Paid",IF(INDEX(Invoices!$M$6:$M$305,MATCH(P478,Invoices!$B$6:$B$305,0))="Draft","Draft","Invoiced")))))))</f>
        <v/>
      </c>
      <c r="R478" s="1">
        <f>IF(AND(B478&lt;&gt;"",P478&lt;&gt;"",P478=Invoice!$G$4),B478+MOD(N(F478),1)+ROW()/10000000,"")</f>
        <v/>
      </c>
      <c r="S478">
        <f>IF(R478="","",IF(D478="","Other work",D478)&amp;IF(AND(K478&lt;&gt;"",E478&lt;&gt;""),", "&amp;E478,""))</f>
        <v/>
      </c>
      <c r="T478">
        <f>IF(R478="","",IF(COUNTIFS(R$6:R477,"&gt;0",S$6:S477,S478,N$6:N477,N478)=0,R478,""))</f>
        <v/>
      </c>
      <c r="U478">
        <f>IF(B478="","",IF(J478&lt;&gt;"",0,M478))</f>
        <v/>
      </c>
    </row>
    <row r="479">
      <c r="A479" s="1" t="n"/>
      <c r="B479" s="16" t="n"/>
      <c r="C479" s="17" t="n"/>
      <c r="D479" s="18" t="n"/>
      <c r="E479" s="18" t="n"/>
      <c r="F479" s="19" t="n"/>
      <c r="G479" s="19" t="n"/>
      <c r="H479" s="20" t="n"/>
      <c r="I479" s="21" t="n"/>
      <c r="J479" s="22" t="n"/>
      <c r="K479" s="23" t="n"/>
      <c r="L479" s="18" t="n"/>
      <c r="M479" s="24">
        <f>IF(B479="","",IF(AND(F479&lt;&gt;"",G479&lt;&gt;""),MAX(0,ROUND(MOD(G479-F479,1)*24-N(H479)/60,2)),N(I479)))</f>
        <v/>
      </c>
      <c r="N479" s="14">
        <f>IF(B479="","",IF(K479&lt;&gt;"",K479,IF(N(IFERROR(INDEX(Projects!$D$6:$D$65,MATCH(D479,Projects!$B$6:$B$65,0)),""))&gt;0,IFERROR(INDEX(Projects!$D$6:$D$65,MATCH(D479,Projects!$B$6:$B$65,0)),""),IFERROR(INDEX(Clients!$G$6:$G$45,MATCH(C479,Clients!$B$6:$B$45,0)),0))))</f>
        <v/>
      </c>
      <c r="O479" s="14">
        <f>IF(B479="","",IF(J479&lt;&gt;"",0,ROUND(M479*N479,2)))</f>
        <v/>
      </c>
      <c r="P479" s="15">
        <f>IF(OR(B479="",J479&lt;&gt;""),"",IF(L479&lt;&gt;"",L479,IF(COUNTIFS(Invoices!$C$6:$C$305,C479,Invoices!$E$6:$E$305,"&lt;="&amp;B479,Invoices!$F$6:$F$305,"&gt;="&amp;B479)=1,INDEX(Invoices!$B$6:$B$305,SUMIFS(Invoices!$O$6:$O$305,Invoices!$C$6:$C$305,C479,Invoices!$E$6:$E$305,"&lt;="&amp;B479,Invoices!$F$6:$F$305,"&gt;="&amp;B479)),IF(COUNTIFS(Invoices!$C$6:$C$305,C479,Invoices!$E$6:$E$305,"&lt;="&amp;B479,Invoices!$F$6:$F$305,"&gt;="&amp;B479)&gt;1,"Two invoices",""))))</f>
        <v/>
      </c>
      <c r="Q479" s="15">
        <f>IF(B479="","",IF(J479&lt;&gt;"","Not billable",IF(P479="","To invoice",IF(P479="Two invoices","Check dates",IF(ISNA(MATCH(P479,Invoices!$B$6:$B$305,0)),"Check number",IF(INDEX(Invoices!$M$6:$M$305,MATCH(P479,Invoices!$B$6:$B$305,0))="Paid","Paid",IF(INDEX(Invoices!$M$6:$M$305,MATCH(P479,Invoices!$B$6:$B$305,0))="Draft","Draft","Invoiced")))))))</f>
        <v/>
      </c>
      <c r="R479" s="1">
        <f>IF(AND(B479&lt;&gt;"",P479&lt;&gt;"",P479=Invoice!$G$4),B479+MOD(N(F479),1)+ROW()/10000000,"")</f>
        <v/>
      </c>
      <c r="S479">
        <f>IF(R479="","",IF(D479="","Other work",D479)&amp;IF(AND(K479&lt;&gt;"",E479&lt;&gt;""),", "&amp;E479,""))</f>
        <v/>
      </c>
      <c r="T479">
        <f>IF(R479="","",IF(COUNTIFS(R$6:R478,"&gt;0",S$6:S478,S479,N$6:N478,N479)=0,R479,""))</f>
        <v/>
      </c>
      <c r="U479">
        <f>IF(B479="","",IF(J479&lt;&gt;"",0,M479))</f>
        <v/>
      </c>
    </row>
    <row r="480">
      <c r="A480" s="1" t="n"/>
      <c r="B480" s="16" t="n"/>
      <c r="C480" s="17" t="n"/>
      <c r="D480" s="18" t="n"/>
      <c r="E480" s="18" t="n"/>
      <c r="F480" s="19" t="n"/>
      <c r="G480" s="19" t="n"/>
      <c r="H480" s="20" t="n"/>
      <c r="I480" s="21" t="n"/>
      <c r="J480" s="22" t="n"/>
      <c r="K480" s="23" t="n"/>
      <c r="L480" s="18" t="n"/>
      <c r="M480" s="24">
        <f>IF(B480="","",IF(AND(F480&lt;&gt;"",G480&lt;&gt;""),MAX(0,ROUND(MOD(G480-F480,1)*24-N(H480)/60,2)),N(I480)))</f>
        <v/>
      </c>
      <c r="N480" s="14">
        <f>IF(B480="","",IF(K480&lt;&gt;"",K480,IF(N(IFERROR(INDEX(Projects!$D$6:$D$65,MATCH(D480,Projects!$B$6:$B$65,0)),""))&gt;0,IFERROR(INDEX(Projects!$D$6:$D$65,MATCH(D480,Projects!$B$6:$B$65,0)),""),IFERROR(INDEX(Clients!$G$6:$G$45,MATCH(C480,Clients!$B$6:$B$45,0)),0))))</f>
        <v/>
      </c>
      <c r="O480" s="14">
        <f>IF(B480="","",IF(J480&lt;&gt;"",0,ROUND(M480*N480,2)))</f>
        <v/>
      </c>
      <c r="P480" s="15">
        <f>IF(OR(B480="",J480&lt;&gt;""),"",IF(L480&lt;&gt;"",L480,IF(COUNTIFS(Invoices!$C$6:$C$305,C480,Invoices!$E$6:$E$305,"&lt;="&amp;B480,Invoices!$F$6:$F$305,"&gt;="&amp;B480)=1,INDEX(Invoices!$B$6:$B$305,SUMIFS(Invoices!$O$6:$O$305,Invoices!$C$6:$C$305,C480,Invoices!$E$6:$E$305,"&lt;="&amp;B480,Invoices!$F$6:$F$305,"&gt;="&amp;B480)),IF(COUNTIFS(Invoices!$C$6:$C$305,C480,Invoices!$E$6:$E$305,"&lt;="&amp;B480,Invoices!$F$6:$F$305,"&gt;="&amp;B480)&gt;1,"Two invoices",""))))</f>
        <v/>
      </c>
      <c r="Q480" s="15">
        <f>IF(B480="","",IF(J480&lt;&gt;"","Not billable",IF(P480="","To invoice",IF(P480="Two invoices","Check dates",IF(ISNA(MATCH(P480,Invoices!$B$6:$B$305,0)),"Check number",IF(INDEX(Invoices!$M$6:$M$305,MATCH(P480,Invoices!$B$6:$B$305,0))="Paid","Paid",IF(INDEX(Invoices!$M$6:$M$305,MATCH(P480,Invoices!$B$6:$B$305,0))="Draft","Draft","Invoiced")))))))</f>
        <v/>
      </c>
      <c r="R480" s="1">
        <f>IF(AND(B480&lt;&gt;"",P480&lt;&gt;"",P480=Invoice!$G$4),B480+MOD(N(F480),1)+ROW()/10000000,"")</f>
        <v/>
      </c>
      <c r="S480">
        <f>IF(R480="","",IF(D480="","Other work",D480)&amp;IF(AND(K480&lt;&gt;"",E480&lt;&gt;""),", "&amp;E480,""))</f>
        <v/>
      </c>
      <c r="T480">
        <f>IF(R480="","",IF(COUNTIFS(R$6:R479,"&gt;0",S$6:S479,S480,N$6:N479,N480)=0,R480,""))</f>
        <v/>
      </c>
      <c r="U480">
        <f>IF(B480="","",IF(J480&lt;&gt;"",0,M480))</f>
        <v/>
      </c>
    </row>
    <row r="481">
      <c r="A481" s="1" t="n"/>
      <c r="B481" s="16" t="n"/>
      <c r="C481" s="17" t="n"/>
      <c r="D481" s="18" t="n"/>
      <c r="E481" s="18" t="n"/>
      <c r="F481" s="19" t="n"/>
      <c r="G481" s="19" t="n"/>
      <c r="H481" s="20" t="n"/>
      <c r="I481" s="21" t="n"/>
      <c r="J481" s="22" t="n"/>
      <c r="K481" s="23" t="n"/>
      <c r="L481" s="18" t="n"/>
      <c r="M481" s="24">
        <f>IF(B481="","",IF(AND(F481&lt;&gt;"",G481&lt;&gt;""),MAX(0,ROUND(MOD(G481-F481,1)*24-N(H481)/60,2)),N(I481)))</f>
        <v/>
      </c>
      <c r="N481" s="14">
        <f>IF(B481="","",IF(K481&lt;&gt;"",K481,IF(N(IFERROR(INDEX(Projects!$D$6:$D$65,MATCH(D481,Projects!$B$6:$B$65,0)),""))&gt;0,IFERROR(INDEX(Projects!$D$6:$D$65,MATCH(D481,Projects!$B$6:$B$65,0)),""),IFERROR(INDEX(Clients!$G$6:$G$45,MATCH(C481,Clients!$B$6:$B$45,0)),0))))</f>
        <v/>
      </c>
      <c r="O481" s="14">
        <f>IF(B481="","",IF(J481&lt;&gt;"",0,ROUND(M481*N481,2)))</f>
        <v/>
      </c>
      <c r="P481" s="15">
        <f>IF(OR(B481="",J481&lt;&gt;""),"",IF(L481&lt;&gt;"",L481,IF(COUNTIFS(Invoices!$C$6:$C$305,C481,Invoices!$E$6:$E$305,"&lt;="&amp;B481,Invoices!$F$6:$F$305,"&gt;="&amp;B481)=1,INDEX(Invoices!$B$6:$B$305,SUMIFS(Invoices!$O$6:$O$305,Invoices!$C$6:$C$305,C481,Invoices!$E$6:$E$305,"&lt;="&amp;B481,Invoices!$F$6:$F$305,"&gt;="&amp;B481)),IF(COUNTIFS(Invoices!$C$6:$C$305,C481,Invoices!$E$6:$E$305,"&lt;="&amp;B481,Invoices!$F$6:$F$305,"&gt;="&amp;B481)&gt;1,"Two invoices",""))))</f>
        <v/>
      </c>
      <c r="Q481" s="15">
        <f>IF(B481="","",IF(J481&lt;&gt;"","Not billable",IF(P481="","To invoice",IF(P481="Two invoices","Check dates",IF(ISNA(MATCH(P481,Invoices!$B$6:$B$305,0)),"Check number",IF(INDEX(Invoices!$M$6:$M$305,MATCH(P481,Invoices!$B$6:$B$305,0))="Paid","Paid",IF(INDEX(Invoices!$M$6:$M$305,MATCH(P481,Invoices!$B$6:$B$305,0))="Draft","Draft","Invoiced")))))))</f>
        <v/>
      </c>
      <c r="R481" s="1">
        <f>IF(AND(B481&lt;&gt;"",P481&lt;&gt;"",P481=Invoice!$G$4),B481+MOD(N(F481),1)+ROW()/10000000,"")</f>
        <v/>
      </c>
      <c r="S481">
        <f>IF(R481="","",IF(D481="","Other work",D481)&amp;IF(AND(K481&lt;&gt;"",E481&lt;&gt;""),", "&amp;E481,""))</f>
        <v/>
      </c>
      <c r="T481">
        <f>IF(R481="","",IF(COUNTIFS(R$6:R480,"&gt;0",S$6:S480,S481,N$6:N480,N481)=0,R481,""))</f>
        <v/>
      </c>
      <c r="U481">
        <f>IF(B481="","",IF(J481&lt;&gt;"",0,M481))</f>
        <v/>
      </c>
    </row>
    <row r="482">
      <c r="A482" s="1" t="n"/>
      <c r="B482" s="16" t="n"/>
      <c r="C482" s="17" t="n"/>
      <c r="D482" s="18" t="n"/>
      <c r="E482" s="18" t="n"/>
      <c r="F482" s="19" t="n"/>
      <c r="G482" s="19" t="n"/>
      <c r="H482" s="20" t="n"/>
      <c r="I482" s="21" t="n"/>
      <c r="J482" s="22" t="n"/>
      <c r="K482" s="23" t="n"/>
      <c r="L482" s="18" t="n"/>
      <c r="M482" s="24">
        <f>IF(B482="","",IF(AND(F482&lt;&gt;"",G482&lt;&gt;""),MAX(0,ROUND(MOD(G482-F482,1)*24-N(H482)/60,2)),N(I482)))</f>
        <v/>
      </c>
      <c r="N482" s="14">
        <f>IF(B482="","",IF(K482&lt;&gt;"",K482,IF(N(IFERROR(INDEX(Projects!$D$6:$D$65,MATCH(D482,Projects!$B$6:$B$65,0)),""))&gt;0,IFERROR(INDEX(Projects!$D$6:$D$65,MATCH(D482,Projects!$B$6:$B$65,0)),""),IFERROR(INDEX(Clients!$G$6:$G$45,MATCH(C482,Clients!$B$6:$B$45,0)),0))))</f>
        <v/>
      </c>
      <c r="O482" s="14">
        <f>IF(B482="","",IF(J482&lt;&gt;"",0,ROUND(M482*N482,2)))</f>
        <v/>
      </c>
      <c r="P482" s="15">
        <f>IF(OR(B482="",J482&lt;&gt;""),"",IF(L482&lt;&gt;"",L482,IF(COUNTIFS(Invoices!$C$6:$C$305,C482,Invoices!$E$6:$E$305,"&lt;="&amp;B482,Invoices!$F$6:$F$305,"&gt;="&amp;B482)=1,INDEX(Invoices!$B$6:$B$305,SUMIFS(Invoices!$O$6:$O$305,Invoices!$C$6:$C$305,C482,Invoices!$E$6:$E$305,"&lt;="&amp;B482,Invoices!$F$6:$F$305,"&gt;="&amp;B482)),IF(COUNTIFS(Invoices!$C$6:$C$305,C482,Invoices!$E$6:$E$305,"&lt;="&amp;B482,Invoices!$F$6:$F$305,"&gt;="&amp;B482)&gt;1,"Two invoices",""))))</f>
        <v/>
      </c>
      <c r="Q482" s="15">
        <f>IF(B482="","",IF(J482&lt;&gt;"","Not billable",IF(P482="","To invoice",IF(P482="Two invoices","Check dates",IF(ISNA(MATCH(P482,Invoices!$B$6:$B$305,0)),"Check number",IF(INDEX(Invoices!$M$6:$M$305,MATCH(P482,Invoices!$B$6:$B$305,0))="Paid","Paid",IF(INDEX(Invoices!$M$6:$M$305,MATCH(P482,Invoices!$B$6:$B$305,0))="Draft","Draft","Invoiced")))))))</f>
        <v/>
      </c>
      <c r="R482" s="1">
        <f>IF(AND(B482&lt;&gt;"",P482&lt;&gt;"",P482=Invoice!$G$4),B482+MOD(N(F482),1)+ROW()/10000000,"")</f>
        <v/>
      </c>
      <c r="S482">
        <f>IF(R482="","",IF(D482="","Other work",D482)&amp;IF(AND(K482&lt;&gt;"",E482&lt;&gt;""),", "&amp;E482,""))</f>
        <v/>
      </c>
      <c r="T482">
        <f>IF(R482="","",IF(COUNTIFS(R$6:R481,"&gt;0",S$6:S481,S482,N$6:N481,N482)=0,R482,""))</f>
        <v/>
      </c>
      <c r="U482">
        <f>IF(B482="","",IF(J482&lt;&gt;"",0,M482))</f>
        <v/>
      </c>
    </row>
    <row r="483">
      <c r="A483" s="1" t="n"/>
      <c r="B483" s="16" t="n"/>
      <c r="C483" s="17" t="n"/>
      <c r="D483" s="18" t="n"/>
      <c r="E483" s="18" t="n"/>
      <c r="F483" s="19" t="n"/>
      <c r="G483" s="19" t="n"/>
      <c r="H483" s="20" t="n"/>
      <c r="I483" s="21" t="n"/>
      <c r="J483" s="22" t="n"/>
      <c r="K483" s="23" t="n"/>
      <c r="L483" s="18" t="n"/>
      <c r="M483" s="24">
        <f>IF(B483="","",IF(AND(F483&lt;&gt;"",G483&lt;&gt;""),MAX(0,ROUND(MOD(G483-F483,1)*24-N(H483)/60,2)),N(I483)))</f>
        <v/>
      </c>
      <c r="N483" s="14">
        <f>IF(B483="","",IF(K483&lt;&gt;"",K483,IF(N(IFERROR(INDEX(Projects!$D$6:$D$65,MATCH(D483,Projects!$B$6:$B$65,0)),""))&gt;0,IFERROR(INDEX(Projects!$D$6:$D$65,MATCH(D483,Projects!$B$6:$B$65,0)),""),IFERROR(INDEX(Clients!$G$6:$G$45,MATCH(C483,Clients!$B$6:$B$45,0)),0))))</f>
        <v/>
      </c>
      <c r="O483" s="14">
        <f>IF(B483="","",IF(J483&lt;&gt;"",0,ROUND(M483*N483,2)))</f>
        <v/>
      </c>
      <c r="P483" s="15">
        <f>IF(OR(B483="",J483&lt;&gt;""),"",IF(L483&lt;&gt;"",L483,IF(COUNTIFS(Invoices!$C$6:$C$305,C483,Invoices!$E$6:$E$305,"&lt;="&amp;B483,Invoices!$F$6:$F$305,"&gt;="&amp;B483)=1,INDEX(Invoices!$B$6:$B$305,SUMIFS(Invoices!$O$6:$O$305,Invoices!$C$6:$C$305,C483,Invoices!$E$6:$E$305,"&lt;="&amp;B483,Invoices!$F$6:$F$305,"&gt;="&amp;B483)),IF(COUNTIFS(Invoices!$C$6:$C$305,C483,Invoices!$E$6:$E$305,"&lt;="&amp;B483,Invoices!$F$6:$F$305,"&gt;="&amp;B483)&gt;1,"Two invoices",""))))</f>
        <v/>
      </c>
      <c r="Q483" s="15">
        <f>IF(B483="","",IF(J483&lt;&gt;"","Not billable",IF(P483="","To invoice",IF(P483="Two invoices","Check dates",IF(ISNA(MATCH(P483,Invoices!$B$6:$B$305,0)),"Check number",IF(INDEX(Invoices!$M$6:$M$305,MATCH(P483,Invoices!$B$6:$B$305,0))="Paid","Paid",IF(INDEX(Invoices!$M$6:$M$305,MATCH(P483,Invoices!$B$6:$B$305,0))="Draft","Draft","Invoiced")))))))</f>
        <v/>
      </c>
      <c r="R483" s="1">
        <f>IF(AND(B483&lt;&gt;"",P483&lt;&gt;"",P483=Invoice!$G$4),B483+MOD(N(F483),1)+ROW()/10000000,"")</f>
        <v/>
      </c>
      <c r="S483">
        <f>IF(R483="","",IF(D483="","Other work",D483)&amp;IF(AND(K483&lt;&gt;"",E483&lt;&gt;""),", "&amp;E483,""))</f>
        <v/>
      </c>
      <c r="T483">
        <f>IF(R483="","",IF(COUNTIFS(R$6:R482,"&gt;0",S$6:S482,S483,N$6:N482,N483)=0,R483,""))</f>
        <v/>
      </c>
      <c r="U483">
        <f>IF(B483="","",IF(J483&lt;&gt;"",0,M483))</f>
        <v/>
      </c>
    </row>
    <row r="484">
      <c r="A484" s="1" t="n"/>
      <c r="B484" s="16" t="n"/>
      <c r="C484" s="17" t="n"/>
      <c r="D484" s="18" t="n"/>
      <c r="E484" s="18" t="n"/>
      <c r="F484" s="19" t="n"/>
      <c r="G484" s="19" t="n"/>
      <c r="H484" s="20" t="n"/>
      <c r="I484" s="21" t="n"/>
      <c r="J484" s="22" t="n"/>
      <c r="K484" s="23" t="n"/>
      <c r="L484" s="18" t="n"/>
      <c r="M484" s="24">
        <f>IF(B484="","",IF(AND(F484&lt;&gt;"",G484&lt;&gt;""),MAX(0,ROUND(MOD(G484-F484,1)*24-N(H484)/60,2)),N(I484)))</f>
        <v/>
      </c>
      <c r="N484" s="14">
        <f>IF(B484="","",IF(K484&lt;&gt;"",K484,IF(N(IFERROR(INDEX(Projects!$D$6:$D$65,MATCH(D484,Projects!$B$6:$B$65,0)),""))&gt;0,IFERROR(INDEX(Projects!$D$6:$D$65,MATCH(D484,Projects!$B$6:$B$65,0)),""),IFERROR(INDEX(Clients!$G$6:$G$45,MATCH(C484,Clients!$B$6:$B$45,0)),0))))</f>
        <v/>
      </c>
      <c r="O484" s="14">
        <f>IF(B484="","",IF(J484&lt;&gt;"",0,ROUND(M484*N484,2)))</f>
        <v/>
      </c>
      <c r="P484" s="15">
        <f>IF(OR(B484="",J484&lt;&gt;""),"",IF(L484&lt;&gt;"",L484,IF(COUNTIFS(Invoices!$C$6:$C$305,C484,Invoices!$E$6:$E$305,"&lt;="&amp;B484,Invoices!$F$6:$F$305,"&gt;="&amp;B484)=1,INDEX(Invoices!$B$6:$B$305,SUMIFS(Invoices!$O$6:$O$305,Invoices!$C$6:$C$305,C484,Invoices!$E$6:$E$305,"&lt;="&amp;B484,Invoices!$F$6:$F$305,"&gt;="&amp;B484)),IF(COUNTIFS(Invoices!$C$6:$C$305,C484,Invoices!$E$6:$E$305,"&lt;="&amp;B484,Invoices!$F$6:$F$305,"&gt;="&amp;B484)&gt;1,"Two invoices",""))))</f>
        <v/>
      </c>
      <c r="Q484" s="15">
        <f>IF(B484="","",IF(J484&lt;&gt;"","Not billable",IF(P484="","To invoice",IF(P484="Two invoices","Check dates",IF(ISNA(MATCH(P484,Invoices!$B$6:$B$305,0)),"Check number",IF(INDEX(Invoices!$M$6:$M$305,MATCH(P484,Invoices!$B$6:$B$305,0))="Paid","Paid",IF(INDEX(Invoices!$M$6:$M$305,MATCH(P484,Invoices!$B$6:$B$305,0))="Draft","Draft","Invoiced")))))))</f>
        <v/>
      </c>
      <c r="R484" s="1">
        <f>IF(AND(B484&lt;&gt;"",P484&lt;&gt;"",P484=Invoice!$G$4),B484+MOD(N(F484),1)+ROW()/10000000,"")</f>
        <v/>
      </c>
      <c r="S484">
        <f>IF(R484="","",IF(D484="","Other work",D484)&amp;IF(AND(K484&lt;&gt;"",E484&lt;&gt;""),", "&amp;E484,""))</f>
        <v/>
      </c>
      <c r="T484">
        <f>IF(R484="","",IF(COUNTIFS(R$6:R483,"&gt;0",S$6:S483,S484,N$6:N483,N484)=0,R484,""))</f>
        <v/>
      </c>
      <c r="U484">
        <f>IF(B484="","",IF(J484&lt;&gt;"",0,M484))</f>
        <v/>
      </c>
    </row>
    <row r="485">
      <c r="A485" s="1" t="n"/>
      <c r="B485" s="16" t="n"/>
      <c r="C485" s="17" t="n"/>
      <c r="D485" s="18" t="n"/>
      <c r="E485" s="18" t="n"/>
      <c r="F485" s="19" t="n"/>
      <c r="G485" s="19" t="n"/>
      <c r="H485" s="20" t="n"/>
      <c r="I485" s="21" t="n"/>
      <c r="J485" s="22" t="n"/>
      <c r="K485" s="23" t="n"/>
      <c r="L485" s="18" t="n"/>
      <c r="M485" s="24">
        <f>IF(B485="","",IF(AND(F485&lt;&gt;"",G485&lt;&gt;""),MAX(0,ROUND(MOD(G485-F485,1)*24-N(H485)/60,2)),N(I485)))</f>
        <v/>
      </c>
      <c r="N485" s="14">
        <f>IF(B485="","",IF(K485&lt;&gt;"",K485,IF(N(IFERROR(INDEX(Projects!$D$6:$D$65,MATCH(D485,Projects!$B$6:$B$65,0)),""))&gt;0,IFERROR(INDEX(Projects!$D$6:$D$65,MATCH(D485,Projects!$B$6:$B$65,0)),""),IFERROR(INDEX(Clients!$G$6:$G$45,MATCH(C485,Clients!$B$6:$B$45,0)),0))))</f>
        <v/>
      </c>
      <c r="O485" s="14">
        <f>IF(B485="","",IF(J485&lt;&gt;"",0,ROUND(M485*N485,2)))</f>
        <v/>
      </c>
      <c r="P485" s="15">
        <f>IF(OR(B485="",J485&lt;&gt;""),"",IF(L485&lt;&gt;"",L485,IF(COUNTIFS(Invoices!$C$6:$C$305,C485,Invoices!$E$6:$E$305,"&lt;="&amp;B485,Invoices!$F$6:$F$305,"&gt;="&amp;B485)=1,INDEX(Invoices!$B$6:$B$305,SUMIFS(Invoices!$O$6:$O$305,Invoices!$C$6:$C$305,C485,Invoices!$E$6:$E$305,"&lt;="&amp;B485,Invoices!$F$6:$F$305,"&gt;="&amp;B485)),IF(COUNTIFS(Invoices!$C$6:$C$305,C485,Invoices!$E$6:$E$305,"&lt;="&amp;B485,Invoices!$F$6:$F$305,"&gt;="&amp;B485)&gt;1,"Two invoices",""))))</f>
        <v/>
      </c>
      <c r="Q485" s="15">
        <f>IF(B485="","",IF(J485&lt;&gt;"","Not billable",IF(P485="","To invoice",IF(P485="Two invoices","Check dates",IF(ISNA(MATCH(P485,Invoices!$B$6:$B$305,0)),"Check number",IF(INDEX(Invoices!$M$6:$M$305,MATCH(P485,Invoices!$B$6:$B$305,0))="Paid","Paid",IF(INDEX(Invoices!$M$6:$M$305,MATCH(P485,Invoices!$B$6:$B$305,0))="Draft","Draft","Invoiced")))))))</f>
        <v/>
      </c>
      <c r="R485" s="1">
        <f>IF(AND(B485&lt;&gt;"",P485&lt;&gt;"",P485=Invoice!$G$4),B485+MOD(N(F485),1)+ROW()/10000000,"")</f>
        <v/>
      </c>
      <c r="S485">
        <f>IF(R485="","",IF(D485="","Other work",D485)&amp;IF(AND(K485&lt;&gt;"",E485&lt;&gt;""),", "&amp;E485,""))</f>
        <v/>
      </c>
      <c r="T485">
        <f>IF(R485="","",IF(COUNTIFS(R$6:R484,"&gt;0",S$6:S484,S485,N$6:N484,N485)=0,R485,""))</f>
        <v/>
      </c>
      <c r="U485">
        <f>IF(B485="","",IF(J485&lt;&gt;"",0,M485))</f>
        <v/>
      </c>
    </row>
    <row r="486">
      <c r="A486" s="1" t="n"/>
      <c r="B486" s="16" t="n"/>
      <c r="C486" s="17" t="n"/>
      <c r="D486" s="18" t="n"/>
      <c r="E486" s="18" t="n"/>
      <c r="F486" s="19" t="n"/>
      <c r="G486" s="19" t="n"/>
      <c r="H486" s="20" t="n"/>
      <c r="I486" s="21" t="n"/>
      <c r="J486" s="22" t="n"/>
      <c r="K486" s="23" t="n"/>
      <c r="L486" s="18" t="n"/>
      <c r="M486" s="24">
        <f>IF(B486="","",IF(AND(F486&lt;&gt;"",G486&lt;&gt;""),MAX(0,ROUND(MOD(G486-F486,1)*24-N(H486)/60,2)),N(I486)))</f>
        <v/>
      </c>
      <c r="N486" s="14">
        <f>IF(B486="","",IF(K486&lt;&gt;"",K486,IF(N(IFERROR(INDEX(Projects!$D$6:$D$65,MATCH(D486,Projects!$B$6:$B$65,0)),""))&gt;0,IFERROR(INDEX(Projects!$D$6:$D$65,MATCH(D486,Projects!$B$6:$B$65,0)),""),IFERROR(INDEX(Clients!$G$6:$G$45,MATCH(C486,Clients!$B$6:$B$45,0)),0))))</f>
        <v/>
      </c>
      <c r="O486" s="14">
        <f>IF(B486="","",IF(J486&lt;&gt;"",0,ROUND(M486*N486,2)))</f>
        <v/>
      </c>
      <c r="P486" s="15">
        <f>IF(OR(B486="",J486&lt;&gt;""),"",IF(L486&lt;&gt;"",L486,IF(COUNTIFS(Invoices!$C$6:$C$305,C486,Invoices!$E$6:$E$305,"&lt;="&amp;B486,Invoices!$F$6:$F$305,"&gt;="&amp;B486)=1,INDEX(Invoices!$B$6:$B$305,SUMIFS(Invoices!$O$6:$O$305,Invoices!$C$6:$C$305,C486,Invoices!$E$6:$E$305,"&lt;="&amp;B486,Invoices!$F$6:$F$305,"&gt;="&amp;B486)),IF(COUNTIFS(Invoices!$C$6:$C$305,C486,Invoices!$E$6:$E$305,"&lt;="&amp;B486,Invoices!$F$6:$F$305,"&gt;="&amp;B486)&gt;1,"Two invoices",""))))</f>
        <v/>
      </c>
      <c r="Q486" s="15">
        <f>IF(B486="","",IF(J486&lt;&gt;"","Not billable",IF(P486="","To invoice",IF(P486="Two invoices","Check dates",IF(ISNA(MATCH(P486,Invoices!$B$6:$B$305,0)),"Check number",IF(INDEX(Invoices!$M$6:$M$305,MATCH(P486,Invoices!$B$6:$B$305,0))="Paid","Paid",IF(INDEX(Invoices!$M$6:$M$305,MATCH(P486,Invoices!$B$6:$B$305,0))="Draft","Draft","Invoiced")))))))</f>
        <v/>
      </c>
      <c r="R486" s="1">
        <f>IF(AND(B486&lt;&gt;"",P486&lt;&gt;"",P486=Invoice!$G$4),B486+MOD(N(F486),1)+ROW()/10000000,"")</f>
        <v/>
      </c>
      <c r="S486">
        <f>IF(R486="","",IF(D486="","Other work",D486)&amp;IF(AND(K486&lt;&gt;"",E486&lt;&gt;""),", "&amp;E486,""))</f>
        <v/>
      </c>
      <c r="T486">
        <f>IF(R486="","",IF(COUNTIFS(R$6:R485,"&gt;0",S$6:S485,S486,N$6:N485,N486)=0,R486,""))</f>
        <v/>
      </c>
      <c r="U486">
        <f>IF(B486="","",IF(J486&lt;&gt;"",0,M486))</f>
        <v/>
      </c>
    </row>
    <row r="487">
      <c r="A487" s="1" t="n"/>
      <c r="B487" s="16" t="n"/>
      <c r="C487" s="17" t="n"/>
      <c r="D487" s="18" t="n"/>
      <c r="E487" s="18" t="n"/>
      <c r="F487" s="19" t="n"/>
      <c r="G487" s="19" t="n"/>
      <c r="H487" s="20" t="n"/>
      <c r="I487" s="21" t="n"/>
      <c r="J487" s="22" t="n"/>
      <c r="K487" s="23" t="n"/>
      <c r="L487" s="18" t="n"/>
      <c r="M487" s="24">
        <f>IF(B487="","",IF(AND(F487&lt;&gt;"",G487&lt;&gt;""),MAX(0,ROUND(MOD(G487-F487,1)*24-N(H487)/60,2)),N(I487)))</f>
        <v/>
      </c>
      <c r="N487" s="14">
        <f>IF(B487="","",IF(K487&lt;&gt;"",K487,IF(N(IFERROR(INDEX(Projects!$D$6:$D$65,MATCH(D487,Projects!$B$6:$B$65,0)),""))&gt;0,IFERROR(INDEX(Projects!$D$6:$D$65,MATCH(D487,Projects!$B$6:$B$65,0)),""),IFERROR(INDEX(Clients!$G$6:$G$45,MATCH(C487,Clients!$B$6:$B$45,0)),0))))</f>
        <v/>
      </c>
      <c r="O487" s="14">
        <f>IF(B487="","",IF(J487&lt;&gt;"",0,ROUND(M487*N487,2)))</f>
        <v/>
      </c>
      <c r="P487" s="15">
        <f>IF(OR(B487="",J487&lt;&gt;""),"",IF(L487&lt;&gt;"",L487,IF(COUNTIFS(Invoices!$C$6:$C$305,C487,Invoices!$E$6:$E$305,"&lt;="&amp;B487,Invoices!$F$6:$F$305,"&gt;="&amp;B487)=1,INDEX(Invoices!$B$6:$B$305,SUMIFS(Invoices!$O$6:$O$305,Invoices!$C$6:$C$305,C487,Invoices!$E$6:$E$305,"&lt;="&amp;B487,Invoices!$F$6:$F$305,"&gt;="&amp;B487)),IF(COUNTIFS(Invoices!$C$6:$C$305,C487,Invoices!$E$6:$E$305,"&lt;="&amp;B487,Invoices!$F$6:$F$305,"&gt;="&amp;B487)&gt;1,"Two invoices",""))))</f>
        <v/>
      </c>
      <c r="Q487" s="15">
        <f>IF(B487="","",IF(J487&lt;&gt;"","Not billable",IF(P487="","To invoice",IF(P487="Two invoices","Check dates",IF(ISNA(MATCH(P487,Invoices!$B$6:$B$305,0)),"Check number",IF(INDEX(Invoices!$M$6:$M$305,MATCH(P487,Invoices!$B$6:$B$305,0))="Paid","Paid",IF(INDEX(Invoices!$M$6:$M$305,MATCH(P487,Invoices!$B$6:$B$305,0))="Draft","Draft","Invoiced")))))))</f>
        <v/>
      </c>
      <c r="R487" s="1">
        <f>IF(AND(B487&lt;&gt;"",P487&lt;&gt;"",P487=Invoice!$G$4),B487+MOD(N(F487),1)+ROW()/10000000,"")</f>
        <v/>
      </c>
      <c r="S487">
        <f>IF(R487="","",IF(D487="","Other work",D487)&amp;IF(AND(K487&lt;&gt;"",E487&lt;&gt;""),", "&amp;E487,""))</f>
        <v/>
      </c>
      <c r="T487">
        <f>IF(R487="","",IF(COUNTIFS(R$6:R486,"&gt;0",S$6:S486,S487,N$6:N486,N487)=0,R487,""))</f>
        <v/>
      </c>
      <c r="U487">
        <f>IF(B487="","",IF(J487&lt;&gt;"",0,M487))</f>
        <v/>
      </c>
    </row>
    <row r="488">
      <c r="A488" s="1" t="n"/>
      <c r="B488" s="16" t="n"/>
      <c r="C488" s="17" t="n"/>
      <c r="D488" s="18" t="n"/>
      <c r="E488" s="18" t="n"/>
      <c r="F488" s="19" t="n"/>
      <c r="G488" s="19" t="n"/>
      <c r="H488" s="20" t="n"/>
      <c r="I488" s="21" t="n"/>
      <c r="J488" s="22" t="n"/>
      <c r="K488" s="23" t="n"/>
      <c r="L488" s="18" t="n"/>
      <c r="M488" s="24">
        <f>IF(B488="","",IF(AND(F488&lt;&gt;"",G488&lt;&gt;""),MAX(0,ROUND(MOD(G488-F488,1)*24-N(H488)/60,2)),N(I488)))</f>
        <v/>
      </c>
      <c r="N488" s="14">
        <f>IF(B488="","",IF(K488&lt;&gt;"",K488,IF(N(IFERROR(INDEX(Projects!$D$6:$D$65,MATCH(D488,Projects!$B$6:$B$65,0)),""))&gt;0,IFERROR(INDEX(Projects!$D$6:$D$65,MATCH(D488,Projects!$B$6:$B$65,0)),""),IFERROR(INDEX(Clients!$G$6:$G$45,MATCH(C488,Clients!$B$6:$B$45,0)),0))))</f>
        <v/>
      </c>
      <c r="O488" s="14">
        <f>IF(B488="","",IF(J488&lt;&gt;"",0,ROUND(M488*N488,2)))</f>
        <v/>
      </c>
      <c r="P488" s="15">
        <f>IF(OR(B488="",J488&lt;&gt;""),"",IF(L488&lt;&gt;"",L488,IF(COUNTIFS(Invoices!$C$6:$C$305,C488,Invoices!$E$6:$E$305,"&lt;="&amp;B488,Invoices!$F$6:$F$305,"&gt;="&amp;B488)=1,INDEX(Invoices!$B$6:$B$305,SUMIFS(Invoices!$O$6:$O$305,Invoices!$C$6:$C$305,C488,Invoices!$E$6:$E$305,"&lt;="&amp;B488,Invoices!$F$6:$F$305,"&gt;="&amp;B488)),IF(COUNTIFS(Invoices!$C$6:$C$305,C488,Invoices!$E$6:$E$305,"&lt;="&amp;B488,Invoices!$F$6:$F$305,"&gt;="&amp;B488)&gt;1,"Two invoices",""))))</f>
        <v/>
      </c>
      <c r="Q488" s="15">
        <f>IF(B488="","",IF(J488&lt;&gt;"","Not billable",IF(P488="","To invoice",IF(P488="Two invoices","Check dates",IF(ISNA(MATCH(P488,Invoices!$B$6:$B$305,0)),"Check number",IF(INDEX(Invoices!$M$6:$M$305,MATCH(P488,Invoices!$B$6:$B$305,0))="Paid","Paid",IF(INDEX(Invoices!$M$6:$M$305,MATCH(P488,Invoices!$B$6:$B$305,0))="Draft","Draft","Invoiced")))))))</f>
        <v/>
      </c>
      <c r="R488" s="1">
        <f>IF(AND(B488&lt;&gt;"",P488&lt;&gt;"",P488=Invoice!$G$4),B488+MOD(N(F488),1)+ROW()/10000000,"")</f>
        <v/>
      </c>
      <c r="S488">
        <f>IF(R488="","",IF(D488="","Other work",D488)&amp;IF(AND(K488&lt;&gt;"",E488&lt;&gt;""),", "&amp;E488,""))</f>
        <v/>
      </c>
      <c r="T488">
        <f>IF(R488="","",IF(COUNTIFS(R$6:R487,"&gt;0",S$6:S487,S488,N$6:N487,N488)=0,R488,""))</f>
        <v/>
      </c>
      <c r="U488">
        <f>IF(B488="","",IF(J488&lt;&gt;"",0,M488))</f>
        <v/>
      </c>
    </row>
    <row r="489">
      <c r="A489" s="1" t="n"/>
      <c r="B489" s="16" t="n"/>
      <c r="C489" s="17" t="n"/>
      <c r="D489" s="18" t="n"/>
      <c r="E489" s="18" t="n"/>
      <c r="F489" s="19" t="n"/>
      <c r="G489" s="19" t="n"/>
      <c r="H489" s="20" t="n"/>
      <c r="I489" s="21" t="n"/>
      <c r="J489" s="22" t="n"/>
      <c r="K489" s="23" t="n"/>
      <c r="L489" s="18" t="n"/>
      <c r="M489" s="24">
        <f>IF(B489="","",IF(AND(F489&lt;&gt;"",G489&lt;&gt;""),MAX(0,ROUND(MOD(G489-F489,1)*24-N(H489)/60,2)),N(I489)))</f>
        <v/>
      </c>
      <c r="N489" s="14">
        <f>IF(B489="","",IF(K489&lt;&gt;"",K489,IF(N(IFERROR(INDEX(Projects!$D$6:$D$65,MATCH(D489,Projects!$B$6:$B$65,0)),""))&gt;0,IFERROR(INDEX(Projects!$D$6:$D$65,MATCH(D489,Projects!$B$6:$B$65,0)),""),IFERROR(INDEX(Clients!$G$6:$G$45,MATCH(C489,Clients!$B$6:$B$45,0)),0))))</f>
        <v/>
      </c>
      <c r="O489" s="14">
        <f>IF(B489="","",IF(J489&lt;&gt;"",0,ROUND(M489*N489,2)))</f>
        <v/>
      </c>
      <c r="P489" s="15">
        <f>IF(OR(B489="",J489&lt;&gt;""),"",IF(L489&lt;&gt;"",L489,IF(COUNTIFS(Invoices!$C$6:$C$305,C489,Invoices!$E$6:$E$305,"&lt;="&amp;B489,Invoices!$F$6:$F$305,"&gt;="&amp;B489)=1,INDEX(Invoices!$B$6:$B$305,SUMIFS(Invoices!$O$6:$O$305,Invoices!$C$6:$C$305,C489,Invoices!$E$6:$E$305,"&lt;="&amp;B489,Invoices!$F$6:$F$305,"&gt;="&amp;B489)),IF(COUNTIFS(Invoices!$C$6:$C$305,C489,Invoices!$E$6:$E$305,"&lt;="&amp;B489,Invoices!$F$6:$F$305,"&gt;="&amp;B489)&gt;1,"Two invoices",""))))</f>
        <v/>
      </c>
      <c r="Q489" s="15">
        <f>IF(B489="","",IF(J489&lt;&gt;"","Not billable",IF(P489="","To invoice",IF(P489="Two invoices","Check dates",IF(ISNA(MATCH(P489,Invoices!$B$6:$B$305,0)),"Check number",IF(INDEX(Invoices!$M$6:$M$305,MATCH(P489,Invoices!$B$6:$B$305,0))="Paid","Paid",IF(INDEX(Invoices!$M$6:$M$305,MATCH(P489,Invoices!$B$6:$B$305,0))="Draft","Draft","Invoiced")))))))</f>
        <v/>
      </c>
      <c r="R489" s="1">
        <f>IF(AND(B489&lt;&gt;"",P489&lt;&gt;"",P489=Invoice!$G$4),B489+MOD(N(F489),1)+ROW()/10000000,"")</f>
        <v/>
      </c>
      <c r="S489">
        <f>IF(R489="","",IF(D489="","Other work",D489)&amp;IF(AND(K489&lt;&gt;"",E489&lt;&gt;""),", "&amp;E489,""))</f>
        <v/>
      </c>
      <c r="T489">
        <f>IF(R489="","",IF(COUNTIFS(R$6:R488,"&gt;0",S$6:S488,S489,N$6:N488,N489)=0,R489,""))</f>
        <v/>
      </c>
      <c r="U489">
        <f>IF(B489="","",IF(J489&lt;&gt;"",0,M489))</f>
        <v/>
      </c>
    </row>
    <row r="490">
      <c r="A490" s="1" t="n"/>
      <c r="B490" s="16" t="n"/>
      <c r="C490" s="17" t="n"/>
      <c r="D490" s="18" t="n"/>
      <c r="E490" s="18" t="n"/>
      <c r="F490" s="19" t="n"/>
      <c r="G490" s="19" t="n"/>
      <c r="H490" s="20" t="n"/>
      <c r="I490" s="21" t="n"/>
      <c r="J490" s="22" t="n"/>
      <c r="K490" s="23" t="n"/>
      <c r="L490" s="18" t="n"/>
      <c r="M490" s="24">
        <f>IF(B490="","",IF(AND(F490&lt;&gt;"",G490&lt;&gt;""),MAX(0,ROUND(MOD(G490-F490,1)*24-N(H490)/60,2)),N(I490)))</f>
        <v/>
      </c>
      <c r="N490" s="14">
        <f>IF(B490="","",IF(K490&lt;&gt;"",K490,IF(N(IFERROR(INDEX(Projects!$D$6:$D$65,MATCH(D490,Projects!$B$6:$B$65,0)),""))&gt;0,IFERROR(INDEX(Projects!$D$6:$D$65,MATCH(D490,Projects!$B$6:$B$65,0)),""),IFERROR(INDEX(Clients!$G$6:$G$45,MATCH(C490,Clients!$B$6:$B$45,0)),0))))</f>
        <v/>
      </c>
      <c r="O490" s="14">
        <f>IF(B490="","",IF(J490&lt;&gt;"",0,ROUND(M490*N490,2)))</f>
        <v/>
      </c>
      <c r="P490" s="15">
        <f>IF(OR(B490="",J490&lt;&gt;""),"",IF(L490&lt;&gt;"",L490,IF(COUNTIFS(Invoices!$C$6:$C$305,C490,Invoices!$E$6:$E$305,"&lt;="&amp;B490,Invoices!$F$6:$F$305,"&gt;="&amp;B490)=1,INDEX(Invoices!$B$6:$B$305,SUMIFS(Invoices!$O$6:$O$305,Invoices!$C$6:$C$305,C490,Invoices!$E$6:$E$305,"&lt;="&amp;B490,Invoices!$F$6:$F$305,"&gt;="&amp;B490)),IF(COUNTIFS(Invoices!$C$6:$C$305,C490,Invoices!$E$6:$E$305,"&lt;="&amp;B490,Invoices!$F$6:$F$305,"&gt;="&amp;B490)&gt;1,"Two invoices",""))))</f>
        <v/>
      </c>
      <c r="Q490" s="15">
        <f>IF(B490="","",IF(J490&lt;&gt;"","Not billable",IF(P490="","To invoice",IF(P490="Two invoices","Check dates",IF(ISNA(MATCH(P490,Invoices!$B$6:$B$305,0)),"Check number",IF(INDEX(Invoices!$M$6:$M$305,MATCH(P490,Invoices!$B$6:$B$305,0))="Paid","Paid",IF(INDEX(Invoices!$M$6:$M$305,MATCH(P490,Invoices!$B$6:$B$305,0))="Draft","Draft","Invoiced")))))))</f>
        <v/>
      </c>
      <c r="R490" s="1">
        <f>IF(AND(B490&lt;&gt;"",P490&lt;&gt;"",P490=Invoice!$G$4),B490+MOD(N(F490),1)+ROW()/10000000,"")</f>
        <v/>
      </c>
      <c r="S490">
        <f>IF(R490="","",IF(D490="","Other work",D490)&amp;IF(AND(K490&lt;&gt;"",E490&lt;&gt;""),", "&amp;E490,""))</f>
        <v/>
      </c>
      <c r="T490">
        <f>IF(R490="","",IF(COUNTIFS(R$6:R489,"&gt;0",S$6:S489,S490,N$6:N489,N490)=0,R490,""))</f>
        <v/>
      </c>
      <c r="U490">
        <f>IF(B490="","",IF(J490&lt;&gt;"",0,M490))</f>
        <v/>
      </c>
    </row>
    <row r="491">
      <c r="A491" s="1" t="n"/>
      <c r="B491" s="16" t="n"/>
      <c r="C491" s="17" t="n"/>
      <c r="D491" s="18" t="n"/>
      <c r="E491" s="18" t="n"/>
      <c r="F491" s="19" t="n"/>
      <c r="G491" s="19" t="n"/>
      <c r="H491" s="20" t="n"/>
      <c r="I491" s="21" t="n"/>
      <c r="J491" s="22" t="n"/>
      <c r="K491" s="23" t="n"/>
      <c r="L491" s="18" t="n"/>
      <c r="M491" s="24">
        <f>IF(B491="","",IF(AND(F491&lt;&gt;"",G491&lt;&gt;""),MAX(0,ROUND(MOD(G491-F491,1)*24-N(H491)/60,2)),N(I491)))</f>
        <v/>
      </c>
      <c r="N491" s="14">
        <f>IF(B491="","",IF(K491&lt;&gt;"",K491,IF(N(IFERROR(INDEX(Projects!$D$6:$D$65,MATCH(D491,Projects!$B$6:$B$65,0)),""))&gt;0,IFERROR(INDEX(Projects!$D$6:$D$65,MATCH(D491,Projects!$B$6:$B$65,0)),""),IFERROR(INDEX(Clients!$G$6:$G$45,MATCH(C491,Clients!$B$6:$B$45,0)),0))))</f>
        <v/>
      </c>
      <c r="O491" s="14">
        <f>IF(B491="","",IF(J491&lt;&gt;"",0,ROUND(M491*N491,2)))</f>
        <v/>
      </c>
      <c r="P491" s="15">
        <f>IF(OR(B491="",J491&lt;&gt;""),"",IF(L491&lt;&gt;"",L491,IF(COUNTIFS(Invoices!$C$6:$C$305,C491,Invoices!$E$6:$E$305,"&lt;="&amp;B491,Invoices!$F$6:$F$305,"&gt;="&amp;B491)=1,INDEX(Invoices!$B$6:$B$305,SUMIFS(Invoices!$O$6:$O$305,Invoices!$C$6:$C$305,C491,Invoices!$E$6:$E$305,"&lt;="&amp;B491,Invoices!$F$6:$F$305,"&gt;="&amp;B491)),IF(COUNTIFS(Invoices!$C$6:$C$305,C491,Invoices!$E$6:$E$305,"&lt;="&amp;B491,Invoices!$F$6:$F$305,"&gt;="&amp;B491)&gt;1,"Two invoices",""))))</f>
        <v/>
      </c>
      <c r="Q491" s="15">
        <f>IF(B491="","",IF(J491&lt;&gt;"","Not billable",IF(P491="","To invoice",IF(P491="Two invoices","Check dates",IF(ISNA(MATCH(P491,Invoices!$B$6:$B$305,0)),"Check number",IF(INDEX(Invoices!$M$6:$M$305,MATCH(P491,Invoices!$B$6:$B$305,0))="Paid","Paid",IF(INDEX(Invoices!$M$6:$M$305,MATCH(P491,Invoices!$B$6:$B$305,0))="Draft","Draft","Invoiced")))))))</f>
        <v/>
      </c>
      <c r="R491" s="1">
        <f>IF(AND(B491&lt;&gt;"",P491&lt;&gt;"",P491=Invoice!$G$4),B491+MOD(N(F491),1)+ROW()/10000000,"")</f>
        <v/>
      </c>
      <c r="S491">
        <f>IF(R491="","",IF(D491="","Other work",D491)&amp;IF(AND(K491&lt;&gt;"",E491&lt;&gt;""),", "&amp;E491,""))</f>
        <v/>
      </c>
      <c r="T491">
        <f>IF(R491="","",IF(COUNTIFS(R$6:R490,"&gt;0",S$6:S490,S491,N$6:N490,N491)=0,R491,""))</f>
        <v/>
      </c>
      <c r="U491">
        <f>IF(B491="","",IF(J491&lt;&gt;"",0,M491))</f>
        <v/>
      </c>
    </row>
    <row r="492">
      <c r="A492" s="1" t="n"/>
      <c r="B492" s="16" t="n"/>
      <c r="C492" s="17" t="n"/>
      <c r="D492" s="18" t="n"/>
      <c r="E492" s="18" t="n"/>
      <c r="F492" s="19" t="n"/>
      <c r="G492" s="19" t="n"/>
      <c r="H492" s="20" t="n"/>
      <c r="I492" s="21" t="n"/>
      <c r="J492" s="22" t="n"/>
      <c r="K492" s="23" t="n"/>
      <c r="L492" s="18" t="n"/>
      <c r="M492" s="24">
        <f>IF(B492="","",IF(AND(F492&lt;&gt;"",G492&lt;&gt;""),MAX(0,ROUND(MOD(G492-F492,1)*24-N(H492)/60,2)),N(I492)))</f>
        <v/>
      </c>
      <c r="N492" s="14">
        <f>IF(B492="","",IF(K492&lt;&gt;"",K492,IF(N(IFERROR(INDEX(Projects!$D$6:$D$65,MATCH(D492,Projects!$B$6:$B$65,0)),""))&gt;0,IFERROR(INDEX(Projects!$D$6:$D$65,MATCH(D492,Projects!$B$6:$B$65,0)),""),IFERROR(INDEX(Clients!$G$6:$G$45,MATCH(C492,Clients!$B$6:$B$45,0)),0))))</f>
        <v/>
      </c>
      <c r="O492" s="14">
        <f>IF(B492="","",IF(J492&lt;&gt;"",0,ROUND(M492*N492,2)))</f>
        <v/>
      </c>
      <c r="P492" s="15">
        <f>IF(OR(B492="",J492&lt;&gt;""),"",IF(L492&lt;&gt;"",L492,IF(COUNTIFS(Invoices!$C$6:$C$305,C492,Invoices!$E$6:$E$305,"&lt;="&amp;B492,Invoices!$F$6:$F$305,"&gt;="&amp;B492)=1,INDEX(Invoices!$B$6:$B$305,SUMIFS(Invoices!$O$6:$O$305,Invoices!$C$6:$C$305,C492,Invoices!$E$6:$E$305,"&lt;="&amp;B492,Invoices!$F$6:$F$305,"&gt;="&amp;B492)),IF(COUNTIFS(Invoices!$C$6:$C$305,C492,Invoices!$E$6:$E$305,"&lt;="&amp;B492,Invoices!$F$6:$F$305,"&gt;="&amp;B492)&gt;1,"Two invoices",""))))</f>
        <v/>
      </c>
      <c r="Q492" s="15">
        <f>IF(B492="","",IF(J492&lt;&gt;"","Not billable",IF(P492="","To invoice",IF(P492="Two invoices","Check dates",IF(ISNA(MATCH(P492,Invoices!$B$6:$B$305,0)),"Check number",IF(INDEX(Invoices!$M$6:$M$305,MATCH(P492,Invoices!$B$6:$B$305,0))="Paid","Paid",IF(INDEX(Invoices!$M$6:$M$305,MATCH(P492,Invoices!$B$6:$B$305,0))="Draft","Draft","Invoiced")))))))</f>
        <v/>
      </c>
      <c r="R492" s="1">
        <f>IF(AND(B492&lt;&gt;"",P492&lt;&gt;"",P492=Invoice!$G$4),B492+MOD(N(F492),1)+ROW()/10000000,"")</f>
        <v/>
      </c>
      <c r="S492">
        <f>IF(R492="","",IF(D492="","Other work",D492)&amp;IF(AND(K492&lt;&gt;"",E492&lt;&gt;""),", "&amp;E492,""))</f>
        <v/>
      </c>
      <c r="T492">
        <f>IF(R492="","",IF(COUNTIFS(R$6:R491,"&gt;0",S$6:S491,S492,N$6:N491,N492)=0,R492,""))</f>
        <v/>
      </c>
      <c r="U492">
        <f>IF(B492="","",IF(J492&lt;&gt;"",0,M492))</f>
        <v/>
      </c>
    </row>
    <row r="493">
      <c r="A493" s="1" t="n"/>
      <c r="B493" s="16" t="n"/>
      <c r="C493" s="17" t="n"/>
      <c r="D493" s="18" t="n"/>
      <c r="E493" s="18" t="n"/>
      <c r="F493" s="19" t="n"/>
      <c r="G493" s="19" t="n"/>
      <c r="H493" s="20" t="n"/>
      <c r="I493" s="21" t="n"/>
      <c r="J493" s="22" t="n"/>
      <c r="K493" s="23" t="n"/>
      <c r="L493" s="18" t="n"/>
      <c r="M493" s="24">
        <f>IF(B493="","",IF(AND(F493&lt;&gt;"",G493&lt;&gt;""),MAX(0,ROUND(MOD(G493-F493,1)*24-N(H493)/60,2)),N(I493)))</f>
        <v/>
      </c>
      <c r="N493" s="14">
        <f>IF(B493="","",IF(K493&lt;&gt;"",K493,IF(N(IFERROR(INDEX(Projects!$D$6:$D$65,MATCH(D493,Projects!$B$6:$B$65,0)),""))&gt;0,IFERROR(INDEX(Projects!$D$6:$D$65,MATCH(D493,Projects!$B$6:$B$65,0)),""),IFERROR(INDEX(Clients!$G$6:$G$45,MATCH(C493,Clients!$B$6:$B$45,0)),0))))</f>
        <v/>
      </c>
      <c r="O493" s="14">
        <f>IF(B493="","",IF(J493&lt;&gt;"",0,ROUND(M493*N493,2)))</f>
        <v/>
      </c>
      <c r="P493" s="15">
        <f>IF(OR(B493="",J493&lt;&gt;""),"",IF(L493&lt;&gt;"",L493,IF(COUNTIFS(Invoices!$C$6:$C$305,C493,Invoices!$E$6:$E$305,"&lt;="&amp;B493,Invoices!$F$6:$F$305,"&gt;="&amp;B493)=1,INDEX(Invoices!$B$6:$B$305,SUMIFS(Invoices!$O$6:$O$305,Invoices!$C$6:$C$305,C493,Invoices!$E$6:$E$305,"&lt;="&amp;B493,Invoices!$F$6:$F$305,"&gt;="&amp;B493)),IF(COUNTIFS(Invoices!$C$6:$C$305,C493,Invoices!$E$6:$E$305,"&lt;="&amp;B493,Invoices!$F$6:$F$305,"&gt;="&amp;B493)&gt;1,"Two invoices",""))))</f>
        <v/>
      </c>
      <c r="Q493" s="15">
        <f>IF(B493="","",IF(J493&lt;&gt;"","Not billable",IF(P493="","To invoice",IF(P493="Two invoices","Check dates",IF(ISNA(MATCH(P493,Invoices!$B$6:$B$305,0)),"Check number",IF(INDEX(Invoices!$M$6:$M$305,MATCH(P493,Invoices!$B$6:$B$305,0))="Paid","Paid",IF(INDEX(Invoices!$M$6:$M$305,MATCH(P493,Invoices!$B$6:$B$305,0))="Draft","Draft","Invoiced")))))))</f>
        <v/>
      </c>
      <c r="R493" s="1">
        <f>IF(AND(B493&lt;&gt;"",P493&lt;&gt;"",P493=Invoice!$G$4),B493+MOD(N(F493),1)+ROW()/10000000,"")</f>
        <v/>
      </c>
      <c r="S493">
        <f>IF(R493="","",IF(D493="","Other work",D493)&amp;IF(AND(K493&lt;&gt;"",E493&lt;&gt;""),", "&amp;E493,""))</f>
        <v/>
      </c>
      <c r="T493">
        <f>IF(R493="","",IF(COUNTIFS(R$6:R492,"&gt;0",S$6:S492,S493,N$6:N492,N493)=0,R493,""))</f>
        <v/>
      </c>
      <c r="U493">
        <f>IF(B493="","",IF(J493&lt;&gt;"",0,M493))</f>
        <v/>
      </c>
    </row>
    <row r="494">
      <c r="A494" s="1" t="n"/>
      <c r="B494" s="16" t="n"/>
      <c r="C494" s="17" t="n"/>
      <c r="D494" s="18" t="n"/>
      <c r="E494" s="18" t="n"/>
      <c r="F494" s="19" t="n"/>
      <c r="G494" s="19" t="n"/>
      <c r="H494" s="20" t="n"/>
      <c r="I494" s="21" t="n"/>
      <c r="J494" s="22" t="n"/>
      <c r="K494" s="23" t="n"/>
      <c r="L494" s="18" t="n"/>
      <c r="M494" s="24">
        <f>IF(B494="","",IF(AND(F494&lt;&gt;"",G494&lt;&gt;""),MAX(0,ROUND(MOD(G494-F494,1)*24-N(H494)/60,2)),N(I494)))</f>
        <v/>
      </c>
      <c r="N494" s="14">
        <f>IF(B494="","",IF(K494&lt;&gt;"",K494,IF(N(IFERROR(INDEX(Projects!$D$6:$D$65,MATCH(D494,Projects!$B$6:$B$65,0)),""))&gt;0,IFERROR(INDEX(Projects!$D$6:$D$65,MATCH(D494,Projects!$B$6:$B$65,0)),""),IFERROR(INDEX(Clients!$G$6:$G$45,MATCH(C494,Clients!$B$6:$B$45,0)),0))))</f>
        <v/>
      </c>
      <c r="O494" s="14">
        <f>IF(B494="","",IF(J494&lt;&gt;"",0,ROUND(M494*N494,2)))</f>
        <v/>
      </c>
      <c r="P494" s="15">
        <f>IF(OR(B494="",J494&lt;&gt;""),"",IF(L494&lt;&gt;"",L494,IF(COUNTIFS(Invoices!$C$6:$C$305,C494,Invoices!$E$6:$E$305,"&lt;="&amp;B494,Invoices!$F$6:$F$305,"&gt;="&amp;B494)=1,INDEX(Invoices!$B$6:$B$305,SUMIFS(Invoices!$O$6:$O$305,Invoices!$C$6:$C$305,C494,Invoices!$E$6:$E$305,"&lt;="&amp;B494,Invoices!$F$6:$F$305,"&gt;="&amp;B494)),IF(COUNTIFS(Invoices!$C$6:$C$305,C494,Invoices!$E$6:$E$305,"&lt;="&amp;B494,Invoices!$F$6:$F$305,"&gt;="&amp;B494)&gt;1,"Two invoices",""))))</f>
        <v/>
      </c>
      <c r="Q494" s="15">
        <f>IF(B494="","",IF(J494&lt;&gt;"","Not billable",IF(P494="","To invoice",IF(P494="Two invoices","Check dates",IF(ISNA(MATCH(P494,Invoices!$B$6:$B$305,0)),"Check number",IF(INDEX(Invoices!$M$6:$M$305,MATCH(P494,Invoices!$B$6:$B$305,0))="Paid","Paid",IF(INDEX(Invoices!$M$6:$M$305,MATCH(P494,Invoices!$B$6:$B$305,0))="Draft","Draft","Invoiced")))))))</f>
        <v/>
      </c>
      <c r="R494" s="1">
        <f>IF(AND(B494&lt;&gt;"",P494&lt;&gt;"",P494=Invoice!$G$4),B494+MOD(N(F494),1)+ROW()/10000000,"")</f>
        <v/>
      </c>
      <c r="S494">
        <f>IF(R494="","",IF(D494="","Other work",D494)&amp;IF(AND(K494&lt;&gt;"",E494&lt;&gt;""),", "&amp;E494,""))</f>
        <v/>
      </c>
      <c r="T494">
        <f>IF(R494="","",IF(COUNTIFS(R$6:R493,"&gt;0",S$6:S493,S494,N$6:N493,N494)=0,R494,""))</f>
        <v/>
      </c>
      <c r="U494">
        <f>IF(B494="","",IF(J494&lt;&gt;"",0,M494))</f>
        <v/>
      </c>
    </row>
    <row r="495">
      <c r="A495" s="1" t="n"/>
      <c r="B495" s="16" t="n"/>
      <c r="C495" s="17" t="n"/>
      <c r="D495" s="18" t="n"/>
      <c r="E495" s="18" t="n"/>
      <c r="F495" s="19" t="n"/>
      <c r="G495" s="19" t="n"/>
      <c r="H495" s="20" t="n"/>
      <c r="I495" s="21" t="n"/>
      <c r="J495" s="22" t="n"/>
      <c r="K495" s="23" t="n"/>
      <c r="L495" s="18" t="n"/>
      <c r="M495" s="24">
        <f>IF(B495="","",IF(AND(F495&lt;&gt;"",G495&lt;&gt;""),MAX(0,ROUND(MOD(G495-F495,1)*24-N(H495)/60,2)),N(I495)))</f>
        <v/>
      </c>
      <c r="N495" s="14">
        <f>IF(B495="","",IF(K495&lt;&gt;"",K495,IF(N(IFERROR(INDEX(Projects!$D$6:$D$65,MATCH(D495,Projects!$B$6:$B$65,0)),""))&gt;0,IFERROR(INDEX(Projects!$D$6:$D$65,MATCH(D495,Projects!$B$6:$B$65,0)),""),IFERROR(INDEX(Clients!$G$6:$G$45,MATCH(C495,Clients!$B$6:$B$45,0)),0))))</f>
        <v/>
      </c>
      <c r="O495" s="14">
        <f>IF(B495="","",IF(J495&lt;&gt;"",0,ROUND(M495*N495,2)))</f>
        <v/>
      </c>
      <c r="P495" s="15">
        <f>IF(OR(B495="",J495&lt;&gt;""),"",IF(L495&lt;&gt;"",L495,IF(COUNTIFS(Invoices!$C$6:$C$305,C495,Invoices!$E$6:$E$305,"&lt;="&amp;B495,Invoices!$F$6:$F$305,"&gt;="&amp;B495)=1,INDEX(Invoices!$B$6:$B$305,SUMIFS(Invoices!$O$6:$O$305,Invoices!$C$6:$C$305,C495,Invoices!$E$6:$E$305,"&lt;="&amp;B495,Invoices!$F$6:$F$305,"&gt;="&amp;B495)),IF(COUNTIFS(Invoices!$C$6:$C$305,C495,Invoices!$E$6:$E$305,"&lt;="&amp;B495,Invoices!$F$6:$F$305,"&gt;="&amp;B495)&gt;1,"Two invoices",""))))</f>
        <v/>
      </c>
      <c r="Q495" s="15">
        <f>IF(B495="","",IF(J495&lt;&gt;"","Not billable",IF(P495="","To invoice",IF(P495="Two invoices","Check dates",IF(ISNA(MATCH(P495,Invoices!$B$6:$B$305,0)),"Check number",IF(INDEX(Invoices!$M$6:$M$305,MATCH(P495,Invoices!$B$6:$B$305,0))="Paid","Paid",IF(INDEX(Invoices!$M$6:$M$305,MATCH(P495,Invoices!$B$6:$B$305,0))="Draft","Draft","Invoiced")))))))</f>
        <v/>
      </c>
      <c r="R495" s="1">
        <f>IF(AND(B495&lt;&gt;"",P495&lt;&gt;"",P495=Invoice!$G$4),B495+MOD(N(F495),1)+ROW()/10000000,"")</f>
        <v/>
      </c>
      <c r="S495">
        <f>IF(R495="","",IF(D495="","Other work",D495)&amp;IF(AND(K495&lt;&gt;"",E495&lt;&gt;""),", "&amp;E495,""))</f>
        <v/>
      </c>
      <c r="T495">
        <f>IF(R495="","",IF(COUNTIFS(R$6:R494,"&gt;0",S$6:S494,S495,N$6:N494,N495)=0,R495,""))</f>
        <v/>
      </c>
      <c r="U495">
        <f>IF(B495="","",IF(J495&lt;&gt;"",0,M495))</f>
        <v/>
      </c>
    </row>
    <row r="496">
      <c r="A496" s="1" t="n"/>
      <c r="B496" s="16" t="n"/>
      <c r="C496" s="17" t="n"/>
      <c r="D496" s="18" t="n"/>
      <c r="E496" s="18" t="n"/>
      <c r="F496" s="19" t="n"/>
      <c r="G496" s="19" t="n"/>
      <c r="H496" s="20" t="n"/>
      <c r="I496" s="21" t="n"/>
      <c r="J496" s="22" t="n"/>
      <c r="K496" s="23" t="n"/>
      <c r="L496" s="18" t="n"/>
      <c r="M496" s="24">
        <f>IF(B496="","",IF(AND(F496&lt;&gt;"",G496&lt;&gt;""),MAX(0,ROUND(MOD(G496-F496,1)*24-N(H496)/60,2)),N(I496)))</f>
        <v/>
      </c>
      <c r="N496" s="14">
        <f>IF(B496="","",IF(K496&lt;&gt;"",K496,IF(N(IFERROR(INDEX(Projects!$D$6:$D$65,MATCH(D496,Projects!$B$6:$B$65,0)),""))&gt;0,IFERROR(INDEX(Projects!$D$6:$D$65,MATCH(D496,Projects!$B$6:$B$65,0)),""),IFERROR(INDEX(Clients!$G$6:$G$45,MATCH(C496,Clients!$B$6:$B$45,0)),0))))</f>
        <v/>
      </c>
      <c r="O496" s="14">
        <f>IF(B496="","",IF(J496&lt;&gt;"",0,ROUND(M496*N496,2)))</f>
        <v/>
      </c>
      <c r="P496" s="15">
        <f>IF(OR(B496="",J496&lt;&gt;""),"",IF(L496&lt;&gt;"",L496,IF(COUNTIFS(Invoices!$C$6:$C$305,C496,Invoices!$E$6:$E$305,"&lt;="&amp;B496,Invoices!$F$6:$F$305,"&gt;="&amp;B496)=1,INDEX(Invoices!$B$6:$B$305,SUMIFS(Invoices!$O$6:$O$305,Invoices!$C$6:$C$305,C496,Invoices!$E$6:$E$305,"&lt;="&amp;B496,Invoices!$F$6:$F$305,"&gt;="&amp;B496)),IF(COUNTIFS(Invoices!$C$6:$C$305,C496,Invoices!$E$6:$E$305,"&lt;="&amp;B496,Invoices!$F$6:$F$305,"&gt;="&amp;B496)&gt;1,"Two invoices",""))))</f>
        <v/>
      </c>
      <c r="Q496" s="15">
        <f>IF(B496="","",IF(J496&lt;&gt;"","Not billable",IF(P496="","To invoice",IF(P496="Two invoices","Check dates",IF(ISNA(MATCH(P496,Invoices!$B$6:$B$305,0)),"Check number",IF(INDEX(Invoices!$M$6:$M$305,MATCH(P496,Invoices!$B$6:$B$305,0))="Paid","Paid",IF(INDEX(Invoices!$M$6:$M$305,MATCH(P496,Invoices!$B$6:$B$305,0))="Draft","Draft","Invoiced")))))))</f>
        <v/>
      </c>
      <c r="R496" s="1">
        <f>IF(AND(B496&lt;&gt;"",P496&lt;&gt;"",P496=Invoice!$G$4),B496+MOD(N(F496),1)+ROW()/10000000,"")</f>
        <v/>
      </c>
      <c r="S496">
        <f>IF(R496="","",IF(D496="","Other work",D496)&amp;IF(AND(K496&lt;&gt;"",E496&lt;&gt;""),", "&amp;E496,""))</f>
        <v/>
      </c>
      <c r="T496">
        <f>IF(R496="","",IF(COUNTIFS(R$6:R495,"&gt;0",S$6:S495,S496,N$6:N495,N496)=0,R496,""))</f>
        <v/>
      </c>
      <c r="U496">
        <f>IF(B496="","",IF(J496&lt;&gt;"",0,M496))</f>
        <v/>
      </c>
    </row>
    <row r="497">
      <c r="A497" s="1" t="n"/>
      <c r="B497" s="16" t="n"/>
      <c r="C497" s="17" t="n"/>
      <c r="D497" s="18" t="n"/>
      <c r="E497" s="18" t="n"/>
      <c r="F497" s="19" t="n"/>
      <c r="G497" s="19" t="n"/>
      <c r="H497" s="20" t="n"/>
      <c r="I497" s="21" t="n"/>
      <c r="J497" s="22" t="n"/>
      <c r="K497" s="23" t="n"/>
      <c r="L497" s="18" t="n"/>
      <c r="M497" s="24">
        <f>IF(B497="","",IF(AND(F497&lt;&gt;"",G497&lt;&gt;""),MAX(0,ROUND(MOD(G497-F497,1)*24-N(H497)/60,2)),N(I497)))</f>
        <v/>
      </c>
      <c r="N497" s="14">
        <f>IF(B497="","",IF(K497&lt;&gt;"",K497,IF(N(IFERROR(INDEX(Projects!$D$6:$D$65,MATCH(D497,Projects!$B$6:$B$65,0)),""))&gt;0,IFERROR(INDEX(Projects!$D$6:$D$65,MATCH(D497,Projects!$B$6:$B$65,0)),""),IFERROR(INDEX(Clients!$G$6:$G$45,MATCH(C497,Clients!$B$6:$B$45,0)),0))))</f>
        <v/>
      </c>
      <c r="O497" s="14">
        <f>IF(B497="","",IF(J497&lt;&gt;"",0,ROUND(M497*N497,2)))</f>
        <v/>
      </c>
      <c r="P497" s="15">
        <f>IF(OR(B497="",J497&lt;&gt;""),"",IF(L497&lt;&gt;"",L497,IF(COUNTIFS(Invoices!$C$6:$C$305,C497,Invoices!$E$6:$E$305,"&lt;="&amp;B497,Invoices!$F$6:$F$305,"&gt;="&amp;B497)=1,INDEX(Invoices!$B$6:$B$305,SUMIFS(Invoices!$O$6:$O$305,Invoices!$C$6:$C$305,C497,Invoices!$E$6:$E$305,"&lt;="&amp;B497,Invoices!$F$6:$F$305,"&gt;="&amp;B497)),IF(COUNTIFS(Invoices!$C$6:$C$305,C497,Invoices!$E$6:$E$305,"&lt;="&amp;B497,Invoices!$F$6:$F$305,"&gt;="&amp;B497)&gt;1,"Two invoices",""))))</f>
        <v/>
      </c>
      <c r="Q497" s="15">
        <f>IF(B497="","",IF(J497&lt;&gt;"","Not billable",IF(P497="","To invoice",IF(P497="Two invoices","Check dates",IF(ISNA(MATCH(P497,Invoices!$B$6:$B$305,0)),"Check number",IF(INDEX(Invoices!$M$6:$M$305,MATCH(P497,Invoices!$B$6:$B$305,0))="Paid","Paid",IF(INDEX(Invoices!$M$6:$M$305,MATCH(P497,Invoices!$B$6:$B$305,0))="Draft","Draft","Invoiced")))))))</f>
        <v/>
      </c>
      <c r="R497" s="1">
        <f>IF(AND(B497&lt;&gt;"",P497&lt;&gt;"",P497=Invoice!$G$4),B497+MOD(N(F497),1)+ROW()/10000000,"")</f>
        <v/>
      </c>
      <c r="S497">
        <f>IF(R497="","",IF(D497="","Other work",D497)&amp;IF(AND(K497&lt;&gt;"",E497&lt;&gt;""),", "&amp;E497,""))</f>
        <v/>
      </c>
      <c r="T497">
        <f>IF(R497="","",IF(COUNTIFS(R$6:R496,"&gt;0",S$6:S496,S497,N$6:N496,N497)=0,R497,""))</f>
        <v/>
      </c>
      <c r="U497">
        <f>IF(B497="","",IF(J497&lt;&gt;"",0,M497))</f>
        <v/>
      </c>
    </row>
    <row r="498">
      <c r="A498" s="1" t="n"/>
      <c r="B498" s="16" t="n"/>
      <c r="C498" s="17" t="n"/>
      <c r="D498" s="18" t="n"/>
      <c r="E498" s="18" t="n"/>
      <c r="F498" s="19" t="n"/>
      <c r="G498" s="19" t="n"/>
      <c r="H498" s="20" t="n"/>
      <c r="I498" s="21" t="n"/>
      <c r="J498" s="22" t="n"/>
      <c r="K498" s="23" t="n"/>
      <c r="L498" s="18" t="n"/>
      <c r="M498" s="24">
        <f>IF(B498="","",IF(AND(F498&lt;&gt;"",G498&lt;&gt;""),MAX(0,ROUND(MOD(G498-F498,1)*24-N(H498)/60,2)),N(I498)))</f>
        <v/>
      </c>
      <c r="N498" s="14">
        <f>IF(B498="","",IF(K498&lt;&gt;"",K498,IF(N(IFERROR(INDEX(Projects!$D$6:$D$65,MATCH(D498,Projects!$B$6:$B$65,0)),""))&gt;0,IFERROR(INDEX(Projects!$D$6:$D$65,MATCH(D498,Projects!$B$6:$B$65,0)),""),IFERROR(INDEX(Clients!$G$6:$G$45,MATCH(C498,Clients!$B$6:$B$45,0)),0))))</f>
        <v/>
      </c>
      <c r="O498" s="14">
        <f>IF(B498="","",IF(J498&lt;&gt;"",0,ROUND(M498*N498,2)))</f>
        <v/>
      </c>
      <c r="P498" s="15">
        <f>IF(OR(B498="",J498&lt;&gt;""),"",IF(L498&lt;&gt;"",L498,IF(COUNTIFS(Invoices!$C$6:$C$305,C498,Invoices!$E$6:$E$305,"&lt;="&amp;B498,Invoices!$F$6:$F$305,"&gt;="&amp;B498)=1,INDEX(Invoices!$B$6:$B$305,SUMIFS(Invoices!$O$6:$O$305,Invoices!$C$6:$C$305,C498,Invoices!$E$6:$E$305,"&lt;="&amp;B498,Invoices!$F$6:$F$305,"&gt;="&amp;B498)),IF(COUNTIFS(Invoices!$C$6:$C$305,C498,Invoices!$E$6:$E$305,"&lt;="&amp;B498,Invoices!$F$6:$F$305,"&gt;="&amp;B498)&gt;1,"Two invoices",""))))</f>
        <v/>
      </c>
      <c r="Q498" s="15">
        <f>IF(B498="","",IF(J498&lt;&gt;"","Not billable",IF(P498="","To invoice",IF(P498="Two invoices","Check dates",IF(ISNA(MATCH(P498,Invoices!$B$6:$B$305,0)),"Check number",IF(INDEX(Invoices!$M$6:$M$305,MATCH(P498,Invoices!$B$6:$B$305,0))="Paid","Paid",IF(INDEX(Invoices!$M$6:$M$305,MATCH(P498,Invoices!$B$6:$B$305,0))="Draft","Draft","Invoiced")))))))</f>
        <v/>
      </c>
      <c r="R498" s="1">
        <f>IF(AND(B498&lt;&gt;"",P498&lt;&gt;"",P498=Invoice!$G$4),B498+MOD(N(F498),1)+ROW()/10000000,"")</f>
        <v/>
      </c>
      <c r="S498">
        <f>IF(R498="","",IF(D498="","Other work",D498)&amp;IF(AND(K498&lt;&gt;"",E498&lt;&gt;""),", "&amp;E498,""))</f>
        <v/>
      </c>
      <c r="T498">
        <f>IF(R498="","",IF(COUNTIFS(R$6:R497,"&gt;0",S$6:S497,S498,N$6:N497,N498)=0,R498,""))</f>
        <v/>
      </c>
      <c r="U498">
        <f>IF(B498="","",IF(J498&lt;&gt;"",0,M498))</f>
        <v/>
      </c>
    </row>
    <row r="499">
      <c r="A499" s="1" t="n"/>
      <c r="B499" s="16" t="n"/>
      <c r="C499" s="17" t="n"/>
      <c r="D499" s="18" t="n"/>
      <c r="E499" s="18" t="n"/>
      <c r="F499" s="19" t="n"/>
      <c r="G499" s="19" t="n"/>
      <c r="H499" s="20" t="n"/>
      <c r="I499" s="21" t="n"/>
      <c r="J499" s="22" t="n"/>
      <c r="K499" s="23" t="n"/>
      <c r="L499" s="18" t="n"/>
      <c r="M499" s="24">
        <f>IF(B499="","",IF(AND(F499&lt;&gt;"",G499&lt;&gt;""),MAX(0,ROUND(MOD(G499-F499,1)*24-N(H499)/60,2)),N(I499)))</f>
        <v/>
      </c>
      <c r="N499" s="14">
        <f>IF(B499="","",IF(K499&lt;&gt;"",K499,IF(N(IFERROR(INDEX(Projects!$D$6:$D$65,MATCH(D499,Projects!$B$6:$B$65,0)),""))&gt;0,IFERROR(INDEX(Projects!$D$6:$D$65,MATCH(D499,Projects!$B$6:$B$65,0)),""),IFERROR(INDEX(Clients!$G$6:$G$45,MATCH(C499,Clients!$B$6:$B$45,0)),0))))</f>
        <v/>
      </c>
      <c r="O499" s="14">
        <f>IF(B499="","",IF(J499&lt;&gt;"",0,ROUND(M499*N499,2)))</f>
        <v/>
      </c>
      <c r="P499" s="15">
        <f>IF(OR(B499="",J499&lt;&gt;""),"",IF(L499&lt;&gt;"",L499,IF(COUNTIFS(Invoices!$C$6:$C$305,C499,Invoices!$E$6:$E$305,"&lt;="&amp;B499,Invoices!$F$6:$F$305,"&gt;="&amp;B499)=1,INDEX(Invoices!$B$6:$B$305,SUMIFS(Invoices!$O$6:$O$305,Invoices!$C$6:$C$305,C499,Invoices!$E$6:$E$305,"&lt;="&amp;B499,Invoices!$F$6:$F$305,"&gt;="&amp;B499)),IF(COUNTIFS(Invoices!$C$6:$C$305,C499,Invoices!$E$6:$E$305,"&lt;="&amp;B499,Invoices!$F$6:$F$305,"&gt;="&amp;B499)&gt;1,"Two invoices",""))))</f>
        <v/>
      </c>
      <c r="Q499" s="15">
        <f>IF(B499="","",IF(J499&lt;&gt;"","Not billable",IF(P499="","To invoice",IF(P499="Two invoices","Check dates",IF(ISNA(MATCH(P499,Invoices!$B$6:$B$305,0)),"Check number",IF(INDEX(Invoices!$M$6:$M$305,MATCH(P499,Invoices!$B$6:$B$305,0))="Paid","Paid",IF(INDEX(Invoices!$M$6:$M$305,MATCH(P499,Invoices!$B$6:$B$305,0))="Draft","Draft","Invoiced")))))))</f>
        <v/>
      </c>
      <c r="R499" s="1">
        <f>IF(AND(B499&lt;&gt;"",P499&lt;&gt;"",P499=Invoice!$G$4),B499+MOD(N(F499),1)+ROW()/10000000,"")</f>
        <v/>
      </c>
      <c r="S499">
        <f>IF(R499="","",IF(D499="","Other work",D499)&amp;IF(AND(K499&lt;&gt;"",E499&lt;&gt;""),", "&amp;E499,""))</f>
        <v/>
      </c>
      <c r="T499">
        <f>IF(R499="","",IF(COUNTIFS(R$6:R498,"&gt;0",S$6:S498,S499,N$6:N498,N499)=0,R499,""))</f>
        <v/>
      </c>
      <c r="U499">
        <f>IF(B499="","",IF(J499&lt;&gt;"",0,M499))</f>
        <v/>
      </c>
    </row>
    <row r="500">
      <c r="A500" s="1" t="n"/>
      <c r="B500" s="16" t="n"/>
      <c r="C500" s="17" t="n"/>
      <c r="D500" s="18" t="n"/>
      <c r="E500" s="18" t="n"/>
      <c r="F500" s="19" t="n"/>
      <c r="G500" s="19" t="n"/>
      <c r="H500" s="20" t="n"/>
      <c r="I500" s="21" t="n"/>
      <c r="J500" s="22" t="n"/>
      <c r="K500" s="23" t="n"/>
      <c r="L500" s="18" t="n"/>
      <c r="M500" s="24">
        <f>IF(B500="","",IF(AND(F500&lt;&gt;"",G500&lt;&gt;""),MAX(0,ROUND(MOD(G500-F500,1)*24-N(H500)/60,2)),N(I500)))</f>
        <v/>
      </c>
      <c r="N500" s="14">
        <f>IF(B500="","",IF(K500&lt;&gt;"",K500,IF(N(IFERROR(INDEX(Projects!$D$6:$D$65,MATCH(D500,Projects!$B$6:$B$65,0)),""))&gt;0,IFERROR(INDEX(Projects!$D$6:$D$65,MATCH(D500,Projects!$B$6:$B$65,0)),""),IFERROR(INDEX(Clients!$G$6:$G$45,MATCH(C500,Clients!$B$6:$B$45,0)),0))))</f>
        <v/>
      </c>
      <c r="O500" s="14">
        <f>IF(B500="","",IF(J500&lt;&gt;"",0,ROUND(M500*N500,2)))</f>
        <v/>
      </c>
      <c r="P500" s="15">
        <f>IF(OR(B500="",J500&lt;&gt;""),"",IF(L500&lt;&gt;"",L500,IF(COUNTIFS(Invoices!$C$6:$C$305,C500,Invoices!$E$6:$E$305,"&lt;="&amp;B500,Invoices!$F$6:$F$305,"&gt;="&amp;B500)=1,INDEX(Invoices!$B$6:$B$305,SUMIFS(Invoices!$O$6:$O$305,Invoices!$C$6:$C$305,C500,Invoices!$E$6:$E$305,"&lt;="&amp;B500,Invoices!$F$6:$F$305,"&gt;="&amp;B500)),IF(COUNTIFS(Invoices!$C$6:$C$305,C500,Invoices!$E$6:$E$305,"&lt;="&amp;B500,Invoices!$F$6:$F$305,"&gt;="&amp;B500)&gt;1,"Two invoices",""))))</f>
        <v/>
      </c>
      <c r="Q500" s="15">
        <f>IF(B500="","",IF(J500&lt;&gt;"","Not billable",IF(P500="","To invoice",IF(P500="Two invoices","Check dates",IF(ISNA(MATCH(P500,Invoices!$B$6:$B$305,0)),"Check number",IF(INDEX(Invoices!$M$6:$M$305,MATCH(P500,Invoices!$B$6:$B$305,0))="Paid","Paid",IF(INDEX(Invoices!$M$6:$M$305,MATCH(P500,Invoices!$B$6:$B$305,0))="Draft","Draft","Invoiced")))))))</f>
        <v/>
      </c>
      <c r="R500" s="1">
        <f>IF(AND(B500&lt;&gt;"",P500&lt;&gt;"",P500=Invoice!$G$4),B500+MOD(N(F500),1)+ROW()/10000000,"")</f>
        <v/>
      </c>
      <c r="S500">
        <f>IF(R500="","",IF(D500="","Other work",D500)&amp;IF(AND(K500&lt;&gt;"",E500&lt;&gt;""),", "&amp;E500,""))</f>
        <v/>
      </c>
      <c r="T500">
        <f>IF(R500="","",IF(COUNTIFS(R$6:R499,"&gt;0",S$6:S499,S500,N$6:N499,N500)=0,R500,""))</f>
        <v/>
      </c>
      <c r="U500">
        <f>IF(B500="","",IF(J500&lt;&gt;"",0,M500))</f>
        <v/>
      </c>
    </row>
    <row r="501">
      <c r="A501" s="1" t="n"/>
      <c r="B501" s="16" t="n"/>
      <c r="C501" s="17" t="n"/>
      <c r="D501" s="18" t="n"/>
      <c r="E501" s="18" t="n"/>
      <c r="F501" s="19" t="n"/>
      <c r="G501" s="19" t="n"/>
      <c r="H501" s="20" t="n"/>
      <c r="I501" s="21" t="n"/>
      <c r="J501" s="22" t="n"/>
      <c r="K501" s="23" t="n"/>
      <c r="L501" s="18" t="n"/>
      <c r="M501" s="24">
        <f>IF(B501="","",IF(AND(F501&lt;&gt;"",G501&lt;&gt;""),MAX(0,ROUND(MOD(G501-F501,1)*24-N(H501)/60,2)),N(I501)))</f>
        <v/>
      </c>
      <c r="N501" s="14">
        <f>IF(B501="","",IF(K501&lt;&gt;"",K501,IF(N(IFERROR(INDEX(Projects!$D$6:$D$65,MATCH(D501,Projects!$B$6:$B$65,0)),""))&gt;0,IFERROR(INDEX(Projects!$D$6:$D$65,MATCH(D501,Projects!$B$6:$B$65,0)),""),IFERROR(INDEX(Clients!$G$6:$G$45,MATCH(C501,Clients!$B$6:$B$45,0)),0))))</f>
        <v/>
      </c>
      <c r="O501" s="14">
        <f>IF(B501="","",IF(J501&lt;&gt;"",0,ROUND(M501*N501,2)))</f>
        <v/>
      </c>
      <c r="P501" s="15">
        <f>IF(OR(B501="",J501&lt;&gt;""),"",IF(L501&lt;&gt;"",L501,IF(COUNTIFS(Invoices!$C$6:$C$305,C501,Invoices!$E$6:$E$305,"&lt;="&amp;B501,Invoices!$F$6:$F$305,"&gt;="&amp;B501)=1,INDEX(Invoices!$B$6:$B$305,SUMIFS(Invoices!$O$6:$O$305,Invoices!$C$6:$C$305,C501,Invoices!$E$6:$E$305,"&lt;="&amp;B501,Invoices!$F$6:$F$305,"&gt;="&amp;B501)),IF(COUNTIFS(Invoices!$C$6:$C$305,C501,Invoices!$E$6:$E$305,"&lt;="&amp;B501,Invoices!$F$6:$F$305,"&gt;="&amp;B501)&gt;1,"Two invoices",""))))</f>
        <v/>
      </c>
      <c r="Q501" s="15">
        <f>IF(B501="","",IF(J501&lt;&gt;"","Not billable",IF(P501="","To invoice",IF(P501="Two invoices","Check dates",IF(ISNA(MATCH(P501,Invoices!$B$6:$B$305,0)),"Check number",IF(INDEX(Invoices!$M$6:$M$305,MATCH(P501,Invoices!$B$6:$B$305,0))="Paid","Paid",IF(INDEX(Invoices!$M$6:$M$305,MATCH(P501,Invoices!$B$6:$B$305,0))="Draft","Draft","Invoiced")))))))</f>
        <v/>
      </c>
      <c r="R501" s="1">
        <f>IF(AND(B501&lt;&gt;"",P501&lt;&gt;"",P501=Invoice!$G$4),B501+MOD(N(F501),1)+ROW()/10000000,"")</f>
        <v/>
      </c>
      <c r="S501">
        <f>IF(R501="","",IF(D501="","Other work",D501)&amp;IF(AND(K501&lt;&gt;"",E501&lt;&gt;""),", "&amp;E501,""))</f>
        <v/>
      </c>
      <c r="T501">
        <f>IF(R501="","",IF(COUNTIFS(R$6:R500,"&gt;0",S$6:S500,S501,N$6:N500,N501)=0,R501,""))</f>
        <v/>
      </c>
      <c r="U501">
        <f>IF(B501="","",IF(J501&lt;&gt;"",0,M501))</f>
        <v/>
      </c>
    </row>
    <row r="502">
      <c r="A502" s="1" t="n"/>
      <c r="B502" s="16" t="n"/>
      <c r="C502" s="17" t="n"/>
      <c r="D502" s="18" t="n"/>
      <c r="E502" s="18" t="n"/>
      <c r="F502" s="19" t="n"/>
      <c r="G502" s="19" t="n"/>
      <c r="H502" s="20" t="n"/>
      <c r="I502" s="21" t="n"/>
      <c r="J502" s="22" t="n"/>
      <c r="K502" s="23" t="n"/>
      <c r="L502" s="18" t="n"/>
      <c r="M502" s="24">
        <f>IF(B502="","",IF(AND(F502&lt;&gt;"",G502&lt;&gt;""),MAX(0,ROUND(MOD(G502-F502,1)*24-N(H502)/60,2)),N(I502)))</f>
        <v/>
      </c>
      <c r="N502" s="14">
        <f>IF(B502="","",IF(K502&lt;&gt;"",K502,IF(N(IFERROR(INDEX(Projects!$D$6:$D$65,MATCH(D502,Projects!$B$6:$B$65,0)),""))&gt;0,IFERROR(INDEX(Projects!$D$6:$D$65,MATCH(D502,Projects!$B$6:$B$65,0)),""),IFERROR(INDEX(Clients!$G$6:$G$45,MATCH(C502,Clients!$B$6:$B$45,0)),0))))</f>
        <v/>
      </c>
      <c r="O502" s="14">
        <f>IF(B502="","",IF(J502&lt;&gt;"",0,ROUND(M502*N502,2)))</f>
        <v/>
      </c>
      <c r="P502" s="15">
        <f>IF(OR(B502="",J502&lt;&gt;""),"",IF(L502&lt;&gt;"",L502,IF(COUNTIFS(Invoices!$C$6:$C$305,C502,Invoices!$E$6:$E$305,"&lt;="&amp;B502,Invoices!$F$6:$F$305,"&gt;="&amp;B502)=1,INDEX(Invoices!$B$6:$B$305,SUMIFS(Invoices!$O$6:$O$305,Invoices!$C$6:$C$305,C502,Invoices!$E$6:$E$305,"&lt;="&amp;B502,Invoices!$F$6:$F$305,"&gt;="&amp;B502)),IF(COUNTIFS(Invoices!$C$6:$C$305,C502,Invoices!$E$6:$E$305,"&lt;="&amp;B502,Invoices!$F$6:$F$305,"&gt;="&amp;B502)&gt;1,"Two invoices",""))))</f>
        <v/>
      </c>
      <c r="Q502" s="15">
        <f>IF(B502="","",IF(J502&lt;&gt;"","Not billable",IF(P502="","To invoice",IF(P502="Two invoices","Check dates",IF(ISNA(MATCH(P502,Invoices!$B$6:$B$305,0)),"Check number",IF(INDEX(Invoices!$M$6:$M$305,MATCH(P502,Invoices!$B$6:$B$305,0))="Paid","Paid",IF(INDEX(Invoices!$M$6:$M$305,MATCH(P502,Invoices!$B$6:$B$305,0))="Draft","Draft","Invoiced")))))))</f>
        <v/>
      </c>
      <c r="R502" s="1">
        <f>IF(AND(B502&lt;&gt;"",P502&lt;&gt;"",P502=Invoice!$G$4),B502+MOD(N(F502),1)+ROW()/10000000,"")</f>
        <v/>
      </c>
      <c r="S502">
        <f>IF(R502="","",IF(D502="","Other work",D502)&amp;IF(AND(K502&lt;&gt;"",E502&lt;&gt;""),", "&amp;E502,""))</f>
        <v/>
      </c>
      <c r="T502">
        <f>IF(R502="","",IF(COUNTIFS(R$6:R501,"&gt;0",S$6:S501,S502,N$6:N501,N502)=0,R502,""))</f>
        <v/>
      </c>
      <c r="U502">
        <f>IF(B502="","",IF(J502&lt;&gt;"",0,M502))</f>
        <v/>
      </c>
    </row>
    <row r="503">
      <c r="A503" s="1" t="n"/>
      <c r="B503" s="16" t="n"/>
      <c r="C503" s="17" t="n"/>
      <c r="D503" s="18" t="n"/>
      <c r="E503" s="18" t="n"/>
      <c r="F503" s="19" t="n"/>
      <c r="G503" s="19" t="n"/>
      <c r="H503" s="20" t="n"/>
      <c r="I503" s="21" t="n"/>
      <c r="J503" s="22" t="n"/>
      <c r="K503" s="23" t="n"/>
      <c r="L503" s="18" t="n"/>
      <c r="M503" s="24">
        <f>IF(B503="","",IF(AND(F503&lt;&gt;"",G503&lt;&gt;""),MAX(0,ROUND(MOD(G503-F503,1)*24-N(H503)/60,2)),N(I503)))</f>
        <v/>
      </c>
      <c r="N503" s="14">
        <f>IF(B503="","",IF(K503&lt;&gt;"",K503,IF(N(IFERROR(INDEX(Projects!$D$6:$D$65,MATCH(D503,Projects!$B$6:$B$65,0)),""))&gt;0,IFERROR(INDEX(Projects!$D$6:$D$65,MATCH(D503,Projects!$B$6:$B$65,0)),""),IFERROR(INDEX(Clients!$G$6:$G$45,MATCH(C503,Clients!$B$6:$B$45,0)),0))))</f>
        <v/>
      </c>
      <c r="O503" s="14">
        <f>IF(B503="","",IF(J503&lt;&gt;"",0,ROUND(M503*N503,2)))</f>
        <v/>
      </c>
      <c r="P503" s="15">
        <f>IF(OR(B503="",J503&lt;&gt;""),"",IF(L503&lt;&gt;"",L503,IF(COUNTIFS(Invoices!$C$6:$C$305,C503,Invoices!$E$6:$E$305,"&lt;="&amp;B503,Invoices!$F$6:$F$305,"&gt;="&amp;B503)=1,INDEX(Invoices!$B$6:$B$305,SUMIFS(Invoices!$O$6:$O$305,Invoices!$C$6:$C$305,C503,Invoices!$E$6:$E$305,"&lt;="&amp;B503,Invoices!$F$6:$F$305,"&gt;="&amp;B503)),IF(COUNTIFS(Invoices!$C$6:$C$305,C503,Invoices!$E$6:$E$305,"&lt;="&amp;B503,Invoices!$F$6:$F$305,"&gt;="&amp;B503)&gt;1,"Two invoices",""))))</f>
        <v/>
      </c>
      <c r="Q503" s="15">
        <f>IF(B503="","",IF(J503&lt;&gt;"","Not billable",IF(P503="","To invoice",IF(P503="Two invoices","Check dates",IF(ISNA(MATCH(P503,Invoices!$B$6:$B$305,0)),"Check number",IF(INDEX(Invoices!$M$6:$M$305,MATCH(P503,Invoices!$B$6:$B$305,0))="Paid","Paid",IF(INDEX(Invoices!$M$6:$M$305,MATCH(P503,Invoices!$B$6:$B$305,0))="Draft","Draft","Invoiced")))))))</f>
        <v/>
      </c>
      <c r="R503" s="1">
        <f>IF(AND(B503&lt;&gt;"",P503&lt;&gt;"",P503=Invoice!$G$4),B503+MOD(N(F503),1)+ROW()/10000000,"")</f>
        <v/>
      </c>
      <c r="S503">
        <f>IF(R503="","",IF(D503="","Other work",D503)&amp;IF(AND(K503&lt;&gt;"",E503&lt;&gt;""),", "&amp;E503,""))</f>
        <v/>
      </c>
      <c r="T503">
        <f>IF(R503="","",IF(COUNTIFS(R$6:R502,"&gt;0",S$6:S502,S503,N$6:N502,N503)=0,R503,""))</f>
        <v/>
      </c>
      <c r="U503">
        <f>IF(B503="","",IF(J503&lt;&gt;"",0,M503))</f>
        <v/>
      </c>
    </row>
    <row r="504">
      <c r="A504" s="1" t="n"/>
      <c r="B504" s="16" t="n"/>
      <c r="C504" s="17" t="n"/>
      <c r="D504" s="18" t="n"/>
      <c r="E504" s="18" t="n"/>
      <c r="F504" s="19" t="n"/>
      <c r="G504" s="19" t="n"/>
      <c r="H504" s="20" t="n"/>
      <c r="I504" s="21" t="n"/>
      <c r="J504" s="22" t="n"/>
      <c r="K504" s="23" t="n"/>
      <c r="L504" s="18" t="n"/>
      <c r="M504" s="24">
        <f>IF(B504="","",IF(AND(F504&lt;&gt;"",G504&lt;&gt;""),MAX(0,ROUND(MOD(G504-F504,1)*24-N(H504)/60,2)),N(I504)))</f>
        <v/>
      </c>
      <c r="N504" s="14">
        <f>IF(B504="","",IF(K504&lt;&gt;"",K504,IF(N(IFERROR(INDEX(Projects!$D$6:$D$65,MATCH(D504,Projects!$B$6:$B$65,0)),""))&gt;0,IFERROR(INDEX(Projects!$D$6:$D$65,MATCH(D504,Projects!$B$6:$B$65,0)),""),IFERROR(INDEX(Clients!$G$6:$G$45,MATCH(C504,Clients!$B$6:$B$45,0)),0))))</f>
        <v/>
      </c>
      <c r="O504" s="14">
        <f>IF(B504="","",IF(J504&lt;&gt;"",0,ROUND(M504*N504,2)))</f>
        <v/>
      </c>
      <c r="P504" s="15">
        <f>IF(OR(B504="",J504&lt;&gt;""),"",IF(L504&lt;&gt;"",L504,IF(COUNTIFS(Invoices!$C$6:$C$305,C504,Invoices!$E$6:$E$305,"&lt;="&amp;B504,Invoices!$F$6:$F$305,"&gt;="&amp;B504)=1,INDEX(Invoices!$B$6:$B$305,SUMIFS(Invoices!$O$6:$O$305,Invoices!$C$6:$C$305,C504,Invoices!$E$6:$E$305,"&lt;="&amp;B504,Invoices!$F$6:$F$305,"&gt;="&amp;B504)),IF(COUNTIFS(Invoices!$C$6:$C$305,C504,Invoices!$E$6:$E$305,"&lt;="&amp;B504,Invoices!$F$6:$F$305,"&gt;="&amp;B504)&gt;1,"Two invoices",""))))</f>
        <v/>
      </c>
      <c r="Q504" s="15">
        <f>IF(B504="","",IF(J504&lt;&gt;"","Not billable",IF(P504="","To invoice",IF(P504="Two invoices","Check dates",IF(ISNA(MATCH(P504,Invoices!$B$6:$B$305,0)),"Check number",IF(INDEX(Invoices!$M$6:$M$305,MATCH(P504,Invoices!$B$6:$B$305,0))="Paid","Paid",IF(INDEX(Invoices!$M$6:$M$305,MATCH(P504,Invoices!$B$6:$B$305,0))="Draft","Draft","Invoiced")))))))</f>
        <v/>
      </c>
      <c r="R504" s="1">
        <f>IF(AND(B504&lt;&gt;"",P504&lt;&gt;"",P504=Invoice!$G$4),B504+MOD(N(F504),1)+ROW()/10000000,"")</f>
        <v/>
      </c>
      <c r="S504">
        <f>IF(R504="","",IF(D504="","Other work",D504)&amp;IF(AND(K504&lt;&gt;"",E504&lt;&gt;""),", "&amp;E504,""))</f>
        <v/>
      </c>
      <c r="T504">
        <f>IF(R504="","",IF(COUNTIFS(R$6:R503,"&gt;0",S$6:S503,S504,N$6:N503,N504)=0,R504,""))</f>
        <v/>
      </c>
      <c r="U504">
        <f>IF(B504="","",IF(J504&lt;&gt;"",0,M504))</f>
        <v/>
      </c>
    </row>
    <row r="505">
      <c r="A505" s="1" t="n"/>
      <c r="B505" s="16" t="n"/>
      <c r="C505" s="17" t="n"/>
      <c r="D505" s="18" t="n"/>
      <c r="E505" s="18" t="n"/>
      <c r="F505" s="19" t="n"/>
      <c r="G505" s="19" t="n"/>
      <c r="H505" s="20" t="n"/>
      <c r="I505" s="21" t="n"/>
      <c r="J505" s="22" t="n"/>
      <c r="K505" s="23" t="n"/>
      <c r="L505" s="18" t="n"/>
      <c r="M505" s="24">
        <f>IF(B505="","",IF(AND(F505&lt;&gt;"",G505&lt;&gt;""),MAX(0,ROUND(MOD(G505-F505,1)*24-N(H505)/60,2)),N(I505)))</f>
        <v/>
      </c>
      <c r="N505" s="14">
        <f>IF(B505="","",IF(K505&lt;&gt;"",K505,IF(N(IFERROR(INDEX(Projects!$D$6:$D$65,MATCH(D505,Projects!$B$6:$B$65,0)),""))&gt;0,IFERROR(INDEX(Projects!$D$6:$D$65,MATCH(D505,Projects!$B$6:$B$65,0)),""),IFERROR(INDEX(Clients!$G$6:$G$45,MATCH(C505,Clients!$B$6:$B$45,0)),0))))</f>
        <v/>
      </c>
      <c r="O505" s="14">
        <f>IF(B505="","",IF(J505&lt;&gt;"",0,ROUND(M505*N505,2)))</f>
        <v/>
      </c>
      <c r="P505" s="15">
        <f>IF(OR(B505="",J505&lt;&gt;""),"",IF(L505&lt;&gt;"",L505,IF(COUNTIFS(Invoices!$C$6:$C$305,C505,Invoices!$E$6:$E$305,"&lt;="&amp;B505,Invoices!$F$6:$F$305,"&gt;="&amp;B505)=1,INDEX(Invoices!$B$6:$B$305,SUMIFS(Invoices!$O$6:$O$305,Invoices!$C$6:$C$305,C505,Invoices!$E$6:$E$305,"&lt;="&amp;B505,Invoices!$F$6:$F$305,"&gt;="&amp;B505)),IF(COUNTIFS(Invoices!$C$6:$C$305,C505,Invoices!$E$6:$E$305,"&lt;="&amp;B505,Invoices!$F$6:$F$305,"&gt;="&amp;B505)&gt;1,"Two invoices",""))))</f>
        <v/>
      </c>
      <c r="Q505" s="15">
        <f>IF(B505="","",IF(J505&lt;&gt;"","Not billable",IF(P505="","To invoice",IF(P505="Two invoices","Check dates",IF(ISNA(MATCH(P505,Invoices!$B$6:$B$305,0)),"Check number",IF(INDEX(Invoices!$M$6:$M$305,MATCH(P505,Invoices!$B$6:$B$305,0))="Paid","Paid",IF(INDEX(Invoices!$M$6:$M$305,MATCH(P505,Invoices!$B$6:$B$305,0))="Draft","Draft","Invoiced")))))))</f>
        <v/>
      </c>
      <c r="R505" s="1">
        <f>IF(AND(B505&lt;&gt;"",P505&lt;&gt;"",P505=Invoice!$G$4),B505+MOD(N(F505),1)+ROW()/10000000,"")</f>
        <v/>
      </c>
      <c r="S505">
        <f>IF(R505="","",IF(D505="","Other work",D505)&amp;IF(AND(K505&lt;&gt;"",E505&lt;&gt;""),", "&amp;E505,""))</f>
        <v/>
      </c>
      <c r="T505">
        <f>IF(R505="","",IF(COUNTIFS(R$6:R504,"&gt;0",S$6:S504,S505,N$6:N504,N505)=0,R505,""))</f>
        <v/>
      </c>
      <c r="U505">
        <f>IF(B505="","",IF(J505&lt;&gt;"",0,M505))</f>
        <v/>
      </c>
    </row>
    <row r="506">
      <c r="A506" s="1" t="n"/>
      <c r="B506" s="16" t="n"/>
      <c r="C506" s="17" t="n"/>
      <c r="D506" s="18" t="n"/>
      <c r="E506" s="18" t="n"/>
      <c r="F506" s="19" t="n"/>
      <c r="G506" s="19" t="n"/>
      <c r="H506" s="20" t="n"/>
      <c r="I506" s="21" t="n"/>
      <c r="J506" s="22" t="n"/>
      <c r="K506" s="23" t="n"/>
      <c r="L506" s="18" t="n"/>
      <c r="M506" s="24">
        <f>IF(B506="","",IF(AND(F506&lt;&gt;"",G506&lt;&gt;""),MAX(0,ROUND(MOD(G506-F506,1)*24-N(H506)/60,2)),N(I506)))</f>
        <v/>
      </c>
      <c r="N506" s="14">
        <f>IF(B506="","",IF(K506&lt;&gt;"",K506,IF(N(IFERROR(INDEX(Projects!$D$6:$D$65,MATCH(D506,Projects!$B$6:$B$65,0)),""))&gt;0,IFERROR(INDEX(Projects!$D$6:$D$65,MATCH(D506,Projects!$B$6:$B$65,0)),""),IFERROR(INDEX(Clients!$G$6:$G$45,MATCH(C506,Clients!$B$6:$B$45,0)),0))))</f>
        <v/>
      </c>
      <c r="O506" s="14">
        <f>IF(B506="","",IF(J506&lt;&gt;"",0,ROUND(M506*N506,2)))</f>
        <v/>
      </c>
      <c r="P506" s="15">
        <f>IF(OR(B506="",J506&lt;&gt;""),"",IF(L506&lt;&gt;"",L506,IF(COUNTIFS(Invoices!$C$6:$C$305,C506,Invoices!$E$6:$E$305,"&lt;="&amp;B506,Invoices!$F$6:$F$305,"&gt;="&amp;B506)=1,INDEX(Invoices!$B$6:$B$305,SUMIFS(Invoices!$O$6:$O$305,Invoices!$C$6:$C$305,C506,Invoices!$E$6:$E$305,"&lt;="&amp;B506,Invoices!$F$6:$F$305,"&gt;="&amp;B506)),IF(COUNTIFS(Invoices!$C$6:$C$305,C506,Invoices!$E$6:$E$305,"&lt;="&amp;B506,Invoices!$F$6:$F$305,"&gt;="&amp;B506)&gt;1,"Two invoices",""))))</f>
        <v/>
      </c>
      <c r="Q506" s="15">
        <f>IF(B506="","",IF(J506&lt;&gt;"","Not billable",IF(P506="","To invoice",IF(P506="Two invoices","Check dates",IF(ISNA(MATCH(P506,Invoices!$B$6:$B$305,0)),"Check number",IF(INDEX(Invoices!$M$6:$M$305,MATCH(P506,Invoices!$B$6:$B$305,0))="Paid","Paid",IF(INDEX(Invoices!$M$6:$M$305,MATCH(P506,Invoices!$B$6:$B$305,0))="Draft","Draft","Invoiced")))))))</f>
        <v/>
      </c>
      <c r="R506" s="1">
        <f>IF(AND(B506&lt;&gt;"",P506&lt;&gt;"",P506=Invoice!$G$4),B506+MOD(N(F506),1)+ROW()/10000000,"")</f>
        <v/>
      </c>
      <c r="S506">
        <f>IF(R506="","",IF(D506="","Other work",D506)&amp;IF(AND(K506&lt;&gt;"",E506&lt;&gt;""),", "&amp;E506,""))</f>
        <v/>
      </c>
      <c r="T506">
        <f>IF(R506="","",IF(COUNTIFS(R$6:R505,"&gt;0",S$6:S505,S506,N$6:N505,N506)=0,R506,""))</f>
        <v/>
      </c>
      <c r="U506">
        <f>IF(B506="","",IF(J506&lt;&gt;"",0,M506))</f>
        <v/>
      </c>
    </row>
    <row r="507">
      <c r="A507" s="1" t="n"/>
      <c r="B507" s="16" t="n"/>
      <c r="C507" s="17" t="n"/>
      <c r="D507" s="18" t="n"/>
      <c r="E507" s="18" t="n"/>
      <c r="F507" s="19" t="n"/>
      <c r="G507" s="19" t="n"/>
      <c r="H507" s="20" t="n"/>
      <c r="I507" s="21" t="n"/>
      <c r="J507" s="22" t="n"/>
      <c r="K507" s="23" t="n"/>
      <c r="L507" s="18" t="n"/>
      <c r="M507" s="24">
        <f>IF(B507="","",IF(AND(F507&lt;&gt;"",G507&lt;&gt;""),MAX(0,ROUND(MOD(G507-F507,1)*24-N(H507)/60,2)),N(I507)))</f>
        <v/>
      </c>
      <c r="N507" s="14">
        <f>IF(B507="","",IF(K507&lt;&gt;"",K507,IF(N(IFERROR(INDEX(Projects!$D$6:$D$65,MATCH(D507,Projects!$B$6:$B$65,0)),""))&gt;0,IFERROR(INDEX(Projects!$D$6:$D$65,MATCH(D507,Projects!$B$6:$B$65,0)),""),IFERROR(INDEX(Clients!$G$6:$G$45,MATCH(C507,Clients!$B$6:$B$45,0)),0))))</f>
        <v/>
      </c>
      <c r="O507" s="14">
        <f>IF(B507="","",IF(J507&lt;&gt;"",0,ROUND(M507*N507,2)))</f>
        <v/>
      </c>
      <c r="P507" s="15">
        <f>IF(OR(B507="",J507&lt;&gt;""),"",IF(L507&lt;&gt;"",L507,IF(COUNTIFS(Invoices!$C$6:$C$305,C507,Invoices!$E$6:$E$305,"&lt;="&amp;B507,Invoices!$F$6:$F$305,"&gt;="&amp;B507)=1,INDEX(Invoices!$B$6:$B$305,SUMIFS(Invoices!$O$6:$O$305,Invoices!$C$6:$C$305,C507,Invoices!$E$6:$E$305,"&lt;="&amp;B507,Invoices!$F$6:$F$305,"&gt;="&amp;B507)),IF(COUNTIFS(Invoices!$C$6:$C$305,C507,Invoices!$E$6:$E$305,"&lt;="&amp;B507,Invoices!$F$6:$F$305,"&gt;="&amp;B507)&gt;1,"Two invoices",""))))</f>
        <v/>
      </c>
      <c r="Q507" s="15">
        <f>IF(B507="","",IF(J507&lt;&gt;"","Not billable",IF(P507="","To invoice",IF(P507="Two invoices","Check dates",IF(ISNA(MATCH(P507,Invoices!$B$6:$B$305,0)),"Check number",IF(INDEX(Invoices!$M$6:$M$305,MATCH(P507,Invoices!$B$6:$B$305,0))="Paid","Paid",IF(INDEX(Invoices!$M$6:$M$305,MATCH(P507,Invoices!$B$6:$B$305,0))="Draft","Draft","Invoiced")))))))</f>
        <v/>
      </c>
      <c r="R507" s="1">
        <f>IF(AND(B507&lt;&gt;"",P507&lt;&gt;"",P507=Invoice!$G$4),B507+MOD(N(F507),1)+ROW()/10000000,"")</f>
        <v/>
      </c>
      <c r="S507">
        <f>IF(R507="","",IF(D507="","Other work",D507)&amp;IF(AND(K507&lt;&gt;"",E507&lt;&gt;""),", "&amp;E507,""))</f>
        <v/>
      </c>
      <c r="T507">
        <f>IF(R507="","",IF(COUNTIFS(R$6:R506,"&gt;0",S$6:S506,S507,N$6:N506,N507)=0,R507,""))</f>
        <v/>
      </c>
      <c r="U507">
        <f>IF(B507="","",IF(J507&lt;&gt;"",0,M507))</f>
        <v/>
      </c>
    </row>
    <row r="508">
      <c r="A508" s="1" t="n"/>
      <c r="B508" s="16" t="n"/>
      <c r="C508" s="17" t="n"/>
      <c r="D508" s="18" t="n"/>
      <c r="E508" s="18" t="n"/>
      <c r="F508" s="19" t="n"/>
      <c r="G508" s="19" t="n"/>
      <c r="H508" s="20" t="n"/>
      <c r="I508" s="21" t="n"/>
      <c r="J508" s="22" t="n"/>
      <c r="K508" s="23" t="n"/>
      <c r="L508" s="18" t="n"/>
      <c r="M508" s="24">
        <f>IF(B508="","",IF(AND(F508&lt;&gt;"",G508&lt;&gt;""),MAX(0,ROUND(MOD(G508-F508,1)*24-N(H508)/60,2)),N(I508)))</f>
        <v/>
      </c>
      <c r="N508" s="14">
        <f>IF(B508="","",IF(K508&lt;&gt;"",K508,IF(N(IFERROR(INDEX(Projects!$D$6:$D$65,MATCH(D508,Projects!$B$6:$B$65,0)),""))&gt;0,IFERROR(INDEX(Projects!$D$6:$D$65,MATCH(D508,Projects!$B$6:$B$65,0)),""),IFERROR(INDEX(Clients!$G$6:$G$45,MATCH(C508,Clients!$B$6:$B$45,0)),0))))</f>
        <v/>
      </c>
      <c r="O508" s="14">
        <f>IF(B508="","",IF(J508&lt;&gt;"",0,ROUND(M508*N508,2)))</f>
        <v/>
      </c>
      <c r="P508" s="15">
        <f>IF(OR(B508="",J508&lt;&gt;""),"",IF(L508&lt;&gt;"",L508,IF(COUNTIFS(Invoices!$C$6:$C$305,C508,Invoices!$E$6:$E$305,"&lt;="&amp;B508,Invoices!$F$6:$F$305,"&gt;="&amp;B508)=1,INDEX(Invoices!$B$6:$B$305,SUMIFS(Invoices!$O$6:$O$305,Invoices!$C$6:$C$305,C508,Invoices!$E$6:$E$305,"&lt;="&amp;B508,Invoices!$F$6:$F$305,"&gt;="&amp;B508)),IF(COUNTIFS(Invoices!$C$6:$C$305,C508,Invoices!$E$6:$E$305,"&lt;="&amp;B508,Invoices!$F$6:$F$305,"&gt;="&amp;B508)&gt;1,"Two invoices",""))))</f>
        <v/>
      </c>
      <c r="Q508" s="15">
        <f>IF(B508="","",IF(J508&lt;&gt;"","Not billable",IF(P508="","To invoice",IF(P508="Two invoices","Check dates",IF(ISNA(MATCH(P508,Invoices!$B$6:$B$305,0)),"Check number",IF(INDEX(Invoices!$M$6:$M$305,MATCH(P508,Invoices!$B$6:$B$305,0))="Paid","Paid",IF(INDEX(Invoices!$M$6:$M$305,MATCH(P508,Invoices!$B$6:$B$305,0))="Draft","Draft","Invoiced")))))))</f>
        <v/>
      </c>
      <c r="R508" s="1">
        <f>IF(AND(B508&lt;&gt;"",P508&lt;&gt;"",P508=Invoice!$G$4),B508+MOD(N(F508),1)+ROW()/10000000,"")</f>
        <v/>
      </c>
      <c r="S508">
        <f>IF(R508="","",IF(D508="","Other work",D508)&amp;IF(AND(K508&lt;&gt;"",E508&lt;&gt;""),", "&amp;E508,""))</f>
        <v/>
      </c>
      <c r="T508">
        <f>IF(R508="","",IF(COUNTIFS(R$6:R507,"&gt;0",S$6:S507,S508,N$6:N507,N508)=0,R508,""))</f>
        <v/>
      </c>
      <c r="U508">
        <f>IF(B508="","",IF(J508&lt;&gt;"",0,M508))</f>
        <v/>
      </c>
    </row>
    <row r="509">
      <c r="A509" s="1" t="n"/>
      <c r="B509" s="16" t="n"/>
      <c r="C509" s="17" t="n"/>
      <c r="D509" s="18" t="n"/>
      <c r="E509" s="18" t="n"/>
      <c r="F509" s="19" t="n"/>
      <c r="G509" s="19" t="n"/>
      <c r="H509" s="20" t="n"/>
      <c r="I509" s="21" t="n"/>
      <c r="J509" s="22" t="n"/>
      <c r="K509" s="23" t="n"/>
      <c r="L509" s="18" t="n"/>
      <c r="M509" s="24">
        <f>IF(B509="","",IF(AND(F509&lt;&gt;"",G509&lt;&gt;""),MAX(0,ROUND(MOD(G509-F509,1)*24-N(H509)/60,2)),N(I509)))</f>
        <v/>
      </c>
      <c r="N509" s="14">
        <f>IF(B509="","",IF(K509&lt;&gt;"",K509,IF(N(IFERROR(INDEX(Projects!$D$6:$D$65,MATCH(D509,Projects!$B$6:$B$65,0)),""))&gt;0,IFERROR(INDEX(Projects!$D$6:$D$65,MATCH(D509,Projects!$B$6:$B$65,0)),""),IFERROR(INDEX(Clients!$G$6:$G$45,MATCH(C509,Clients!$B$6:$B$45,0)),0))))</f>
        <v/>
      </c>
      <c r="O509" s="14">
        <f>IF(B509="","",IF(J509&lt;&gt;"",0,ROUND(M509*N509,2)))</f>
        <v/>
      </c>
      <c r="P509" s="15">
        <f>IF(OR(B509="",J509&lt;&gt;""),"",IF(L509&lt;&gt;"",L509,IF(COUNTIFS(Invoices!$C$6:$C$305,C509,Invoices!$E$6:$E$305,"&lt;="&amp;B509,Invoices!$F$6:$F$305,"&gt;="&amp;B509)=1,INDEX(Invoices!$B$6:$B$305,SUMIFS(Invoices!$O$6:$O$305,Invoices!$C$6:$C$305,C509,Invoices!$E$6:$E$305,"&lt;="&amp;B509,Invoices!$F$6:$F$305,"&gt;="&amp;B509)),IF(COUNTIFS(Invoices!$C$6:$C$305,C509,Invoices!$E$6:$E$305,"&lt;="&amp;B509,Invoices!$F$6:$F$305,"&gt;="&amp;B509)&gt;1,"Two invoices",""))))</f>
        <v/>
      </c>
      <c r="Q509" s="15">
        <f>IF(B509="","",IF(J509&lt;&gt;"","Not billable",IF(P509="","To invoice",IF(P509="Two invoices","Check dates",IF(ISNA(MATCH(P509,Invoices!$B$6:$B$305,0)),"Check number",IF(INDEX(Invoices!$M$6:$M$305,MATCH(P509,Invoices!$B$6:$B$305,0))="Paid","Paid",IF(INDEX(Invoices!$M$6:$M$305,MATCH(P509,Invoices!$B$6:$B$305,0))="Draft","Draft","Invoiced")))))))</f>
        <v/>
      </c>
      <c r="R509" s="1">
        <f>IF(AND(B509&lt;&gt;"",P509&lt;&gt;"",P509=Invoice!$G$4),B509+MOD(N(F509),1)+ROW()/10000000,"")</f>
        <v/>
      </c>
      <c r="S509">
        <f>IF(R509="","",IF(D509="","Other work",D509)&amp;IF(AND(K509&lt;&gt;"",E509&lt;&gt;""),", "&amp;E509,""))</f>
        <v/>
      </c>
      <c r="T509">
        <f>IF(R509="","",IF(COUNTIFS(R$6:R508,"&gt;0",S$6:S508,S509,N$6:N508,N509)=0,R509,""))</f>
        <v/>
      </c>
      <c r="U509">
        <f>IF(B509="","",IF(J509&lt;&gt;"",0,M509))</f>
        <v/>
      </c>
    </row>
    <row r="510">
      <c r="A510" s="1" t="n"/>
      <c r="B510" s="16" t="n"/>
      <c r="C510" s="17" t="n"/>
      <c r="D510" s="18" t="n"/>
      <c r="E510" s="18" t="n"/>
      <c r="F510" s="19" t="n"/>
      <c r="G510" s="19" t="n"/>
      <c r="H510" s="20" t="n"/>
      <c r="I510" s="21" t="n"/>
      <c r="J510" s="22" t="n"/>
      <c r="K510" s="23" t="n"/>
      <c r="L510" s="18" t="n"/>
      <c r="M510" s="24">
        <f>IF(B510="","",IF(AND(F510&lt;&gt;"",G510&lt;&gt;""),MAX(0,ROUND(MOD(G510-F510,1)*24-N(H510)/60,2)),N(I510)))</f>
        <v/>
      </c>
      <c r="N510" s="14">
        <f>IF(B510="","",IF(K510&lt;&gt;"",K510,IF(N(IFERROR(INDEX(Projects!$D$6:$D$65,MATCH(D510,Projects!$B$6:$B$65,0)),""))&gt;0,IFERROR(INDEX(Projects!$D$6:$D$65,MATCH(D510,Projects!$B$6:$B$65,0)),""),IFERROR(INDEX(Clients!$G$6:$G$45,MATCH(C510,Clients!$B$6:$B$45,0)),0))))</f>
        <v/>
      </c>
      <c r="O510" s="14">
        <f>IF(B510="","",IF(J510&lt;&gt;"",0,ROUND(M510*N510,2)))</f>
        <v/>
      </c>
      <c r="P510" s="15">
        <f>IF(OR(B510="",J510&lt;&gt;""),"",IF(L510&lt;&gt;"",L510,IF(COUNTIFS(Invoices!$C$6:$C$305,C510,Invoices!$E$6:$E$305,"&lt;="&amp;B510,Invoices!$F$6:$F$305,"&gt;="&amp;B510)=1,INDEX(Invoices!$B$6:$B$305,SUMIFS(Invoices!$O$6:$O$305,Invoices!$C$6:$C$305,C510,Invoices!$E$6:$E$305,"&lt;="&amp;B510,Invoices!$F$6:$F$305,"&gt;="&amp;B510)),IF(COUNTIFS(Invoices!$C$6:$C$305,C510,Invoices!$E$6:$E$305,"&lt;="&amp;B510,Invoices!$F$6:$F$305,"&gt;="&amp;B510)&gt;1,"Two invoices",""))))</f>
        <v/>
      </c>
      <c r="Q510" s="15">
        <f>IF(B510="","",IF(J510&lt;&gt;"","Not billable",IF(P510="","To invoice",IF(P510="Two invoices","Check dates",IF(ISNA(MATCH(P510,Invoices!$B$6:$B$305,0)),"Check number",IF(INDEX(Invoices!$M$6:$M$305,MATCH(P510,Invoices!$B$6:$B$305,0))="Paid","Paid",IF(INDEX(Invoices!$M$6:$M$305,MATCH(P510,Invoices!$B$6:$B$305,0))="Draft","Draft","Invoiced")))))))</f>
        <v/>
      </c>
      <c r="R510" s="1">
        <f>IF(AND(B510&lt;&gt;"",P510&lt;&gt;"",P510=Invoice!$G$4),B510+MOD(N(F510),1)+ROW()/10000000,"")</f>
        <v/>
      </c>
      <c r="S510">
        <f>IF(R510="","",IF(D510="","Other work",D510)&amp;IF(AND(K510&lt;&gt;"",E510&lt;&gt;""),", "&amp;E510,""))</f>
        <v/>
      </c>
      <c r="T510">
        <f>IF(R510="","",IF(COUNTIFS(R$6:R509,"&gt;0",S$6:S509,S510,N$6:N509,N510)=0,R510,""))</f>
        <v/>
      </c>
      <c r="U510">
        <f>IF(B510="","",IF(J510&lt;&gt;"",0,M510))</f>
        <v/>
      </c>
    </row>
    <row r="511">
      <c r="A511" s="1" t="n"/>
      <c r="B511" s="16" t="n"/>
      <c r="C511" s="17" t="n"/>
      <c r="D511" s="18" t="n"/>
      <c r="E511" s="18" t="n"/>
      <c r="F511" s="19" t="n"/>
      <c r="G511" s="19" t="n"/>
      <c r="H511" s="20" t="n"/>
      <c r="I511" s="21" t="n"/>
      <c r="J511" s="22" t="n"/>
      <c r="K511" s="23" t="n"/>
      <c r="L511" s="18" t="n"/>
      <c r="M511" s="24">
        <f>IF(B511="","",IF(AND(F511&lt;&gt;"",G511&lt;&gt;""),MAX(0,ROUND(MOD(G511-F511,1)*24-N(H511)/60,2)),N(I511)))</f>
        <v/>
      </c>
      <c r="N511" s="14">
        <f>IF(B511="","",IF(K511&lt;&gt;"",K511,IF(N(IFERROR(INDEX(Projects!$D$6:$D$65,MATCH(D511,Projects!$B$6:$B$65,0)),""))&gt;0,IFERROR(INDEX(Projects!$D$6:$D$65,MATCH(D511,Projects!$B$6:$B$65,0)),""),IFERROR(INDEX(Clients!$G$6:$G$45,MATCH(C511,Clients!$B$6:$B$45,0)),0))))</f>
        <v/>
      </c>
      <c r="O511" s="14">
        <f>IF(B511="","",IF(J511&lt;&gt;"",0,ROUND(M511*N511,2)))</f>
        <v/>
      </c>
      <c r="P511" s="15">
        <f>IF(OR(B511="",J511&lt;&gt;""),"",IF(L511&lt;&gt;"",L511,IF(COUNTIFS(Invoices!$C$6:$C$305,C511,Invoices!$E$6:$E$305,"&lt;="&amp;B511,Invoices!$F$6:$F$305,"&gt;="&amp;B511)=1,INDEX(Invoices!$B$6:$B$305,SUMIFS(Invoices!$O$6:$O$305,Invoices!$C$6:$C$305,C511,Invoices!$E$6:$E$305,"&lt;="&amp;B511,Invoices!$F$6:$F$305,"&gt;="&amp;B511)),IF(COUNTIFS(Invoices!$C$6:$C$305,C511,Invoices!$E$6:$E$305,"&lt;="&amp;B511,Invoices!$F$6:$F$305,"&gt;="&amp;B511)&gt;1,"Two invoices",""))))</f>
        <v/>
      </c>
      <c r="Q511" s="15">
        <f>IF(B511="","",IF(J511&lt;&gt;"","Not billable",IF(P511="","To invoice",IF(P511="Two invoices","Check dates",IF(ISNA(MATCH(P511,Invoices!$B$6:$B$305,0)),"Check number",IF(INDEX(Invoices!$M$6:$M$305,MATCH(P511,Invoices!$B$6:$B$305,0))="Paid","Paid",IF(INDEX(Invoices!$M$6:$M$305,MATCH(P511,Invoices!$B$6:$B$305,0))="Draft","Draft","Invoiced")))))))</f>
        <v/>
      </c>
      <c r="R511" s="1">
        <f>IF(AND(B511&lt;&gt;"",P511&lt;&gt;"",P511=Invoice!$G$4),B511+MOD(N(F511),1)+ROW()/10000000,"")</f>
        <v/>
      </c>
      <c r="S511">
        <f>IF(R511="","",IF(D511="","Other work",D511)&amp;IF(AND(K511&lt;&gt;"",E511&lt;&gt;""),", "&amp;E511,""))</f>
        <v/>
      </c>
      <c r="T511">
        <f>IF(R511="","",IF(COUNTIFS(R$6:R510,"&gt;0",S$6:S510,S511,N$6:N510,N511)=0,R511,""))</f>
        <v/>
      </c>
      <c r="U511">
        <f>IF(B511="","",IF(J511&lt;&gt;"",0,M511))</f>
        <v/>
      </c>
    </row>
    <row r="512">
      <c r="A512" s="1" t="n"/>
      <c r="B512" s="16" t="n"/>
      <c r="C512" s="17" t="n"/>
      <c r="D512" s="18" t="n"/>
      <c r="E512" s="18" t="n"/>
      <c r="F512" s="19" t="n"/>
      <c r="G512" s="19" t="n"/>
      <c r="H512" s="20" t="n"/>
      <c r="I512" s="21" t="n"/>
      <c r="J512" s="22" t="n"/>
      <c r="K512" s="23" t="n"/>
      <c r="L512" s="18" t="n"/>
      <c r="M512" s="24">
        <f>IF(B512="","",IF(AND(F512&lt;&gt;"",G512&lt;&gt;""),MAX(0,ROUND(MOD(G512-F512,1)*24-N(H512)/60,2)),N(I512)))</f>
        <v/>
      </c>
      <c r="N512" s="14">
        <f>IF(B512="","",IF(K512&lt;&gt;"",K512,IF(N(IFERROR(INDEX(Projects!$D$6:$D$65,MATCH(D512,Projects!$B$6:$B$65,0)),""))&gt;0,IFERROR(INDEX(Projects!$D$6:$D$65,MATCH(D512,Projects!$B$6:$B$65,0)),""),IFERROR(INDEX(Clients!$G$6:$G$45,MATCH(C512,Clients!$B$6:$B$45,0)),0))))</f>
        <v/>
      </c>
      <c r="O512" s="14">
        <f>IF(B512="","",IF(J512&lt;&gt;"",0,ROUND(M512*N512,2)))</f>
        <v/>
      </c>
      <c r="P512" s="15">
        <f>IF(OR(B512="",J512&lt;&gt;""),"",IF(L512&lt;&gt;"",L512,IF(COUNTIFS(Invoices!$C$6:$C$305,C512,Invoices!$E$6:$E$305,"&lt;="&amp;B512,Invoices!$F$6:$F$305,"&gt;="&amp;B512)=1,INDEX(Invoices!$B$6:$B$305,SUMIFS(Invoices!$O$6:$O$305,Invoices!$C$6:$C$305,C512,Invoices!$E$6:$E$305,"&lt;="&amp;B512,Invoices!$F$6:$F$305,"&gt;="&amp;B512)),IF(COUNTIFS(Invoices!$C$6:$C$305,C512,Invoices!$E$6:$E$305,"&lt;="&amp;B512,Invoices!$F$6:$F$305,"&gt;="&amp;B512)&gt;1,"Two invoices",""))))</f>
        <v/>
      </c>
      <c r="Q512" s="15">
        <f>IF(B512="","",IF(J512&lt;&gt;"","Not billable",IF(P512="","To invoice",IF(P512="Two invoices","Check dates",IF(ISNA(MATCH(P512,Invoices!$B$6:$B$305,0)),"Check number",IF(INDEX(Invoices!$M$6:$M$305,MATCH(P512,Invoices!$B$6:$B$305,0))="Paid","Paid",IF(INDEX(Invoices!$M$6:$M$305,MATCH(P512,Invoices!$B$6:$B$305,0))="Draft","Draft","Invoiced")))))))</f>
        <v/>
      </c>
      <c r="R512" s="1">
        <f>IF(AND(B512&lt;&gt;"",P512&lt;&gt;"",P512=Invoice!$G$4),B512+MOD(N(F512),1)+ROW()/10000000,"")</f>
        <v/>
      </c>
      <c r="S512">
        <f>IF(R512="","",IF(D512="","Other work",D512)&amp;IF(AND(K512&lt;&gt;"",E512&lt;&gt;""),", "&amp;E512,""))</f>
        <v/>
      </c>
      <c r="T512">
        <f>IF(R512="","",IF(COUNTIFS(R$6:R511,"&gt;0",S$6:S511,S512,N$6:N511,N512)=0,R512,""))</f>
        <v/>
      </c>
      <c r="U512">
        <f>IF(B512="","",IF(J512&lt;&gt;"",0,M512))</f>
        <v/>
      </c>
    </row>
    <row r="513">
      <c r="A513" s="1" t="n"/>
      <c r="B513" s="16" t="n"/>
      <c r="C513" s="17" t="n"/>
      <c r="D513" s="18" t="n"/>
      <c r="E513" s="18" t="n"/>
      <c r="F513" s="19" t="n"/>
      <c r="G513" s="19" t="n"/>
      <c r="H513" s="20" t="n"/>
      <c r="I513" s="21" t="n"/>
      <c r="J513" s="22" t="n"/>
      <c r="K513" s="23" t="n"/>
      <c r="L513" s="18" t="n"/>
      <c r="M513" s="24">
        <f>IF(B513="","",IF(AND(F513&lt;&gt;"",G513&lt;&gt;""),MAX(0,ROUND(MOD(G513-F513,1)*24-N(H513)/60,2)),N(I513)))</f>
        <v/>
      </c>
      <c r="N513" s="14">
        <f>IF(B513="","",IF(K513&lt;&gt;"",K513,IF(N(IFERROR(INDEX(Projects!$D$6:$D$65,MATCH(D513,Projects!$B$6:$B$65,0)),""))&gt;0,IFERROR(INDEX(Projects!$D$6:$D$65,MATCH(D513,Projects!$B$6:$B$65,0)),""),IFERROR(INDEX(Clients!$G$6:$G$45,MATCH(C513,Clients!$B$6:$B$45,0)),0))))</f>
        <v/>
      </c>
      <c r="O513" s="14">
        <f>IF(B513="","",IF(J513&lt;&gt;"",0,ROUND(M513*N513,2)))</f>
        <v/>
      </c>
      <c r="P513" s="15">
        <f>IF(OR(B513="",J513&lt;&gt;""),"",IF(L513&lt;&gt;"",L513,IF(COUNTIFS(Invoices!$C$6:$C$305,C513,Invoices!$E$6:$E$305,"&lt;="&amp;B513,Invoices!$F$6:$F$305,"&gt;="&amp;B513)=1,INDEX(Invoices!$B$6:$B$305,SUMIFS(Invoices!$O$6:$O$305,Invoices!$C$6:$C$305,C513,Invoices!$E$6:$E$305,"&lt;="&amp;B513,Invoices!$F$6:$F$305,"&gt;="&amp;B513)),IF(COUNTIFS(Invoices!$C$6:$C$305,C513,Invoices!$E$6:$E$305,"&lt;="&amp;B513,Invoices!$F$6:$F$305,"&gt;="&amp;B513)&gt;1,"Two invoices",""))))</f>
        <v/>
      </c>
      <c r="Q513" s="15">
        <f>IF(B513="","",IF(J513&lt;&gt;"","Not billable",IF(P513="","To invoice",IF(P513="Two invoices","Check dates",IF(ISNA(MATCH(P513,Invoices!$B$6:$B$305,0)),"Check number",IF(INDEX(Invoices!$M$6:$M$305,MATCH(P513,Invoices!$B$6:$B$305,0))="Paid","Paid",IF(INDEX(Invoices!$M$6:$M$305,MATCH(P513,Invoices!$B$6:$B$305,0))="Draft","Draft","Invoiced")))))))</f>
        <v/>
      </c>
      <c r="R513" s="1">
        <f>IF(AND(B513&lt;&gt;"",P513&lt;&gt;"",P513=Invoice!$G$4),B513+MOD(N(F513),1)+ROW()/10000000,"")</f>
        <v/>
      </c>
      <c r="S513">
        <f>IF(R513="","",IF(D513="","Other work",D513)&amp;IF(AND(K513&lt;&gt;"",E513&lt;&gt;""),", "&amp;E513,""))</f>
        <v/>
      </c>
      <c r="T513">
        <f>IF(R513="","",IF(COUNTIFS(R$6:R512,"&gt;0",S$6:S512,S513,N$6:N512,N513)=0,R513,""))</f>
        <v/>
      </c>
      <c r="U513">
        <f>IF(B513="","",IF(J513&lt;&gt;"",0,M513))</f>
        <v/>
      </c>
    </row>
    <row r="514">
      <c r="A514" s="1" t="n"/>
      <c r="B514" s="16" t="n"/>
      <c r="C514" s="17" t="n"/>
      <c r="D514" s="18" t="n"/>
      <c r="E514" s="18" t="n"/>
      <c r="F514" s="19" t="n"/>
      <c r="G514" s="19" t="n"/>
      <c r="H514" s="20" t="n"/>
      <c r="I514" s="21" t="n"/>
      <c r="J514" s="22" t="n"/>
      <c r="K514" s="23" t="n"/>
      <c r="L514" s="18" t="n"/>
      <c r="M514" s="24">
        <f>IF(B514="","",IF(AND(F514&lt;&gt;"",G514&lt;&gt;""),MAX(0,ROUND(MOD(G514-F514,1)*24-N(H514)/60,2)),N(I514)))</f>
        <v/>
      </c>
      <c r="N514" s="14">
        <f>IF(B514="","",IF(K514&lt;&gt;"",K514,IF(N(IFERROR(INDEX(Projects!$D$6:$D$65,MATCH(D514,Projects!$B$6:$B$65,0)),""))&gt;0,IFERROR(INDEX(Projects!$D$6:$D$65,MATCH(D514,Projects!$B$6:$B$65,0)),""),IFERROR(INDEX(Clients!$G$6:$G$45,MATCH(C514,Clients!$B$6:$B$45,0)),0))))</f>
        <v/>
      </c>
      <c r="O514" s="14">
        <f>IF(B514="","",IF(J514&lt;&gt;"",0,ROUND(M514*N514,2)))</f>
        <v/>
      </c>
      <c r="P514" s="15">
        <f>IF(OR(B514="",J514&lt;&gt;""),"",IF(L514&lt;&gt;"",L514,IF(COUNTIFS(Invoices!$C$6:$C$305,C514,Invoices!$E$6:$E$305,"&lt;="&amp;B514,Invoices!$F$6:$F$305,"&gt;="&amp;B514)=1,INDEX(Invoices!$B$6:$B$305,SUMIFS(Invoices!$O$6:$O$305,Invoices!$C$6:$C$305,C514,Invoices!$E$6:$E$305,"&lt;="&amp;B514,Invoices!$F$6:$F$305,"&gt;="&amp;B514)),IF(COUNTIFS(Invoices!$C$6:$C$305,C514,Invoices!$E$6:$E$305,"&lt;="&amp;B514,Invoices!$F$6:$F$305,"&gt;="&amp;B514)&gt;1,"Two invoices",""))))</f>
        <v/>
      </c>
      <c r="Q514" s="15">
        <f>IF(B514="","",IF(J514&lt;&gt;"","Not billable",IF(P514="","To invoice",IF(P514="Two invoices","Check dates",IF(ISNA(MATCH(P514,Invoices!$B$6:$B$305,0)),"Check number",IF(INDEX(Invoices!$M$6:$M$305,MATCH(P514,Invoices!$B$6:$B$305,0))="Paid","Paid",IF(INDEX(Invoices!$M$6:$M$305,MATCH(P514,Invoices!$B$6:$B$305,0))="Draft","Draft","Invoiced")))))))</f>
        <v/>
      </c>
      <c r="R514" s="1">
        <f>IF(AND(B514&lt;&gt;"",P514&lt;&gt;"",P514=Invoice!$G$4),B514+MOD(N(F514),1)+ROW()/10000000,"")</f>
        <v/>
      </c>
      <c r="S514">
        <f>IF(R514="","",IF(D514="","Other work",D514)&amp;IF(AND(K514&lt;&gt;"",E514&lt;&gt;""),", "&amp;E514,""))</f>
        <v/>
      </c>
      <c r="T514">
        <f>IF(R514="","",IF(COUNTIFS(R$6:R513,"&gt;0",S$6:S513,S514,N$6:N513,N514)=0,R514,""))</f>
        <v/>
      </c>
      <c r="U514">
        <f>IF(B514="","",IF(J514&lt;&gt;"",0,M514))</f>
        <v/>
      </c>
    </row>
    <row r="515">
      <c r="A515" s="1" t="n"/>
      <c r="B515" s="16" t="n"/>
      <c r="C515" s="17" t="n"/>
      <c r="D515" s="18" t="n"/>
      <c r="E515" s="18" t="n"/>
      <c r="F515" s="19" t="n"/>
      <c r="G515" s="19" t="n"/>
      <c r="H515" s="20" t="n"/>
      <c r="I515" s="21" t="n"/>
      <c r="J515" s="22" t="n"/>
      <c r="K515" s="23" t="n"/>
      <c r="L515" s="18" t="n"/>
      <c r="M515" s="24">
        <f>IF(B515="","",IF(AND(F515&lt;&gt;"",G515&lt;&gt;""),MAX(0,ROUND(MOD(G515-F515,1)*24-N(H515)/60,2)),N(I515)))</f>
        <v/>
      </c>
      <c r="N515" s="14">
        <f>IF(B515="","",IF(K515&lt;&gt;"",K515,IF(N(IFERROR(INDEX(Projects!$D$6:$D$65,MATCH(D515,Projects!$B$6:$B$65,0)),""))&gt;0,IFERROR(INDEX(Projects!$D$6:$D$65,MATCH(D515,Projects!$B$6:$B$65,0)),""),IFERROR(INDEX(Clients!$G$6:$G$45,MATCH(C515,Clients!$B$6:$B$45,0)),0))))</f>
        <v/>
      </c>
      <c r="O515" s="14">
        <f>IF(B515="","",IF(J515&lt;&gt;"",0,ROUND(M515*N515,2)))</f>
        <v/>
      </c>
      <c r="P515" s="15">
        <f>IF(OR(B515="",J515&lt;&gt;""),"",IF(L515&lt;&gt;"",L515,IF(COUNTIFS(Invoices!$C$6:$C$305,C515,Invoices!$E$6:$E$305,"&lt;="&amp;B515,Invoices!$F$6:$F$305,"&gt;="&amp;B515)=1,INDEX(Invoices!$B$6:$B$305,SUMIFS(Invoices!$O$6:$O$305,Invoices!$C$6:$C$305,C515,Invoices!$E$6:$E$305,"&lt;="&amp;B515,Invoices!$F$6:$F$305,"&gt;="&amp;B515)),IF(COUNTIFS(Invoices!$C$6:$C$305,C515,Invoices!$E$6:$E$305,"&lt;="&amp;B515,Invoices!$F$6:$F$305,"&gt;="&amp;B515)&gt;1,"Two invoices",""))))</f>
        <v/>
      </c>
      <c r="Q515" s="15">
        <f>IF(B515="","",IF(J515&lt;&gt;"","Not billable",IF(P515="","To invoice",IF(P515="Two invoices","Check dates",IF(ISNA(MATCH(P515,Invoices!$B$6:$B$305,0)),"Check number",IF(INDEX(Invoices!$M$6:$M$305,MATCH(P515,Invoices!$B$6:$B$305,0))="Paid","Paid",IF(INDEX(Invoices!$M$6:$M$305,MATCH(P515,Invoices!$B$6:$B$305,0))="Draft","Draft","Invoiced")))))))</f>
        <v/>
      </c>
      <c r="R515" s="1">
        <f>IF(AND(B515&lt;&gt;"",P515&lt;&gt;"",P515=Invoice!$G$4),B515+MOD(N(F515),1)+ROW()/10000000,"")</f>
        <v/>
      </c>
      <c r="S515">
        <f>IF(R515="","",IF(D515="","Other work",D515)&amp;IF(AND(K515&lt;&gt;"",E515&lt;&gt;""),", "&amp;E515,""))</f>
        <v/>
      </c>
      <c r="T515">
        <f>IF(R515="","",IF(COUNTIFS(R$6:R514,"&gt;0",S$6:S514,S515,N$6:N514,N515)=0,R515,""))</f>
        <v/>
      </c>
      <c r="U515">
        <f>IF(B515="","",IF(J515&lt;&gt;"",0,M515))</f>
        <v/>
      </c>
    </row>
    <row r="516">
      <c r="A516" s="1" t="n"/>
      <c r="B516" s="16" t="n"/>
      <c r="C516" s="17" t="n"/>
      <c r="D516" s="18" t="n"/>
      <c r="E516" s="18" t="n"/>
      <c r="F516" s="19" t="n"/>
      <c r="G516" s="19" t="n"/>
      <c r="H516" s="20" t="n"/>
      <c r="I516" s="21" t="n"/>
      <c r="J516" s="22" t="n"/>
      <c r="K516" s="23" t="n"/>
      <c r="L516" s="18" t="n"/>
      <c r="M516" s="24">
        <f>IF(B516="","",IF(AND(F516&lt;&gt;"",G516&lt;&gt;""),MAX(0,ROUND(MOD(G516-F516,1)*24-N(H516)/60,2)),N(I516)))</f>
        <v/>
      </c>
      <c r="N516" s="14">
        <f>IF(B516="","",IF(K516&lt;&gt;"",K516,IF(N(IFERROR(INDEX(Projects!$D$6:$D$65,MATCH(D516,Projects!$B$6:$B$65,0)),""))&gt;0,IFERROR(INDEX(Projects!$D$6:$D$65,MATCH(D516,Projects!$B$6:$B$65,0)),""),IFERROR(INDEX(Clients!$G$6:$G$45,MATCH(C516,Clients!$B$6:$B$45,0)),0))))</f>
        <v/>
      </c>
      <c r="O516" s="14">
        <f>IF(B516="","",IF(J516&lt;&gt;"",0,ROUND(M516*N516,2)))</f>
        <v/>
      </c>
      <c r="P516" s="15">
        <f>IF(OR(B516="",J516&lt;&gt;""),"",IF(L516&lt;&gt;"",L516,IF(COUNTIFS(Invoices!$C$6:$C$305,C516,Invoices!$E$6:$E$305,"&lt;="&amp;B516,Invoices!$F$6:$F$305,"&gt;="&amp;B516)=1,INDEX(Invoices!$B$6:$B$305,SUMIFS(Invoices!$O$6:$O$305,Invoices!$C$6:$C$305,C516,Invoices!$E$6:$E$305,"&lt;="&amp;B516,Invoices!$F$6:$F$305,"&gt;="&amp;B516)),IF(COUNTIFS(Invoices!$C$6:$C$305,C516,Invoices!$E$6:$E$305,"&lt;="&amp;B516,Invoices!$F$6:$F$305,"&gt;="&amp;B516)&gt;1,"Two invoices",""))))</f>
        <v/>
      </c>
      <c r="Q516" s="15">
        <f>IF(B516="","",IF(J516&lt;&gt;"","Not billable",IF(P516="","To invoice",IF(P516="Two invoices","Check dates",IF(ISNA(MATCH(P516,Invoices!$B$6:$B$305,0)),"Check number",IF(INDEX(Invoices!$M$6:$M$305,MATCH(P516,Invoices!$B$6:$B$305,0))="Paid","Paid",IF(INDEX(Invoices!$M$6:$M$305,MATCH(P516,Invoices!$B$6:$B$305,0))="Draft","Draft","Invoiced")))))))</f>
        <v/>
      </c>
      <c r="R516" s="1">
        <f>IF(AND(B516&lt;&gt;"",P516&lt;&gt;"",P516=Invoice!$G$4),B516+MOD(N(F516),1)+ROW()/10000000,"")</f>
        <v/>
      </c>
      <c r="S516">
        <f>IF(R516="","",IF(D516="","Other work",D516)&amp;IF(AND(K516&lt;&gt;"",E516&lt;&gt;""),", "&amp;E516,""))</f>
        <v/>
      </c>
      <c r="T516">
        <f>IF(R516="","",IF(COUNTIFS(R$6:R515,"&gt;0",S$6:S515,S516,N$6:N515,N516)=0,R516,""))</f>
        <v/>
      </c>
      <c r="U516">
        <f>IF(B516="","",IF(J516&lt;&gt;"",0,M516))</f>
        <v/>
      </c>
    </row>
    <row r="517">
      <c r="A517" s="1" t="n"/>
      <c r="B517" s="16" t="n"/>
      <c r="C517" s="17" t="n"/>
      <c r="D517" s="18" t="n"/>
      <c r="E517" s="18" t="n"/>
      <c r="F517" s="19" t="n"/>
      <c r="G517" s="19" t="n"/>
      <c r="H517" s="20" t="n"/>
      <c r="I517" s="21" t="n"/>
      <c r="J517" s="22" t="n"/>
      <c r="K517" s="23" t="n"/>
      <c r="L517" s="18" t="n"/>
      <c r="M517" s="24">
        <f>IF(B517="","",IF(AND(F517&lt;&gt;"",G517&lt;&gt;""),MAX(0,ROUND(MOD(G517-F517,1)*24-N(H517)/60,2)),N(I517)))</f>
        <v/>
      </c>
      <c r="N517" s="14">
        <f>IF(B517="","",IF(K517&lt;&gt;"",K517,IF(N(IFERROR(INDEX(Projects!$D$6:$D$65,MATCH(D517,Projects!$B$6:$B$65,0)),""))&gt;0,IFERROR(INDEX(Projects!$D$6:$D$65,MATCH(D517,Projects!$B$6:$B$65,0)),""),IFERROR(INDEX(Clients!$G$6:$G$45,MATCH(C517,Clients!$B$6:$B$45,0)),0))))</f>
        <v/>
      </c>
      <c r="O517" s="14">
        <f>IF(B517="","",IF(J517&lt;&gt;"",0,ROUND(M517*N517,2)))</f>
        <v/>
      </c>
      <c r="P517" s="15">
        <f>IF(OR(B517="",J517&lt;&gt;""),"",IF(L517&lt;&gt;"",L517,IF(COUNTIFS(Invoices!$C$6:$C$305,C517,Invoices!$E$6:$E$305,"&lt;="&amp;B517,Invoices!$F$6:$F$305,"&gt;="&amp;B517)=1,INDEX(Invoices!$B$6:$B$305,SUMIFS(Invoices!$O$6:$O$305,Invoices!$C$6:$C$305,C517,Invoices!$E$6:$E$305,"&lt;="&amp;B517,Invoices!$F$6:$F$305,"&gt;="&amp;B517)),IF(COUNTIFS(Invoices!$C$6:$C$305,C517,Invoices!$E$6:$E$305,"&lt;="&amp;B517,Invoices!$F$6:$F$305,"&gt;="&amp;B517)&gt;1,"Two invoices",""))))</f>
        <v/>
      </c>
      <c r="Q517" s="15">
        <f>IF(B517="","",IF(J517&lt;&gt;"","Not billable",IF(P517="","To invoice",IF(P517="Two invoices","Check dates",IF(ISNA(MATCH(P517,Invoices!$B$6:$B$305,0)),"Check number",IF(INDEX(Invoices!$M$6:$M$305,MATCH(P517,Invoices!$B$6:$B$305,0))="Paid","Paid",IF(INDEX(Invoices!$M$6:$M$305,MATCH(P517,Invoices!$B$6:$B$305,0))="Draft","Draft","Invoiced")))))))</f>
        <v/>
      </c>
      <c r="R517" s="1">
        <f>IF(AND(B517&lt;&gt;"",P517&lt;&gt;"",P517=Invoice!$G$4),B517+MOD(N(F517),1)+ROW()/10000000,"")</f>
        <v/>
      </c>
      <c r="S517">
        <f>IF(R517="","",IF(D517="","Other work",D517)&amp;IF(AND(K517&lt;&gt;"",E517&lt;&gt;""),", "&amp;E517,""))</f>
        <v/>
      </c>
      <c r="T517">
        <f>IF(R517="","",IF(COUNTIFS(R$6:R516,"&gt;0",S$6:S516,S517,N$6:N516,N517)=0,R517,""))</f>
        <v/>
      </c>
      <c r="U517">
        <f>IF(B517="","",IF(J517&lt;&gt;"",0,M517))</f>
        <v/>
      </c>
    </row>
    <row r="518">
      <c r="A518" s="1" t="n"/>
      <c r="B518" s="16" t="n"/>
      <c r="C518" s="17" t="n"/>
      <c r="D518" s="18" t="n"/>
      <c r="E518" s="18" t="n"/>
      <c r="F518" s="19" t="n"/>
      <c r="G518" s="19" t="n"/>
      <c r="H518" s="20" t="n"/>
      <c r="I518" s="21" t="n"/>
      <c r="J518" s="22" t="n"/>
      <c r="K518" s="23" t="n"/>
      <c r="L518" s="18" t="n"/>
      <c r="M518" s="24">
        <f>IF(B518="","",IF(AND(F518&lt;&gt;"",G518&lt;&gt;""),MAX(0,ROUND(MOD(G518-F518,1)*24-N(H518)/60,2)),N(I518)))</f>
        <v/>
      </c>
      <c r="N518" s="14">
        <f>IF(B518="","",IF(K518&lt;&gt;"",K518,IF(N(IFERROR(INDEX(Projects!$D$6:$D$65,MATCH(D518,Projects!$B$6:$B$65,0)),""))&gt;0,IFERROR(INDEX(Projects!$D$6:$D$65,MATCH(D518,Projects!$B$6:$B$65,0)),""),IFERROR(INDEX(Clients!$G$6:$G$45,MATCH(C518,Clients!$B$6:$B$45,0)),0))))</f>
        <v/>
      </c>
      <c r="O518" s="14">
        <f>IF(B518="","",IF(J518&lt;&gt;"",0,ROUND(M518*N518,2)))</f>
        <v/>
      </c>
      <c r="P518" s="15">
        <f>IF(OR(B518="",J518&lt;&gt;""),"",IF(L518&lt;&gt;"",L518,IF(COUNTIFS(Invoices!$C$6:$C$305,C518,Invoices!$E$6:$E$305,"&lt;="&amp;B518,Invoices!$F$6:$F$305,"&gt;="&amp;B518)=1,INDEX(Invoices!$B$6:$B$305,SUMIFS(Invoices!$O$6:$O$305,Invoices!$C$6:$C$305,C518,Invoices!$E$6:$E$305,"&lt;="&amp;B518,Invoices!$F$6:$F$305,"&gt;="&amp;B518)),IF(COUNTIFS(Invoices!$C$6:$C$305,C518,Invoices!$E$6:$E$305,"&lt;="&amp;B518,Invoices!$F$6:$F$305,"&gt;="&amp;B518)&gt;1,"Two invoices",""))))</f>
        <v/>
      </c>
      <c r="Q518" s="15">
        <f>IF(B518="","",IF(J518&lt;&gt;"","Not billable",IF(P518="","To invoice",IF(P518="Two invoices","Check dates",IF(ISNA(MATCH(P518,Invoices!$B$6:$B$305,0)),"Check number",IF(INDEX(Invoices!$M$6:$M$305,MATCH(P518,Invoices!$B$6:$B$305,0))="Paid","Paid",IF(INDEX(Invoices!$M$6:$M$305,MATCH(P518,Invoices!$B$6:$B$305,0))="Draft","Draft","Invoiced")))))))</f>
        <v/>
      </c>
      <c r="R518" s="1">
        <f>IF(AND(B518&lt;&gt;"",P518&lt;&gt;"",P518=Invoice!$G$4),B518+MOD(N(F518),1)+ROW()/10000000,"")</f>
        <v/>
      </c>
      <c r="S518">
        <f>IF(R518="","",IF(D518="","Other work",D518)&amp;IF(AND(K518&lt;&gt;"",E518&lt;&gt;""),", "&amp;E518,""))</f>
        <v/>
      </c>
      <c r="T518">
        <f>IF(R518="","",IF(COUNTIFS(R$6:R517,"&gt;0",S$6:S517,S518,N$6:N517,N518)=0,R518,""))</f>
        <v/>
      </c>
      <c r="U518">
        <f>IF(B518="","",IF(J518&lt;&gt;"",0,M518))</f>
        <v/>
      </c>
    </row>
    <row r="519">
      <c r="A519" s="1" t="n"/>
      <c r="B519" s="16" t="n"/>
      <c r="C519" s="17" t="n"/>
      <c r="D519" s="18" t="n"/>
      <c r="E519" s="18" t="n"/>
      <c r="F519" s="19" t="n"/>
      <c r="G519" s="19" t="n"/>
      <c r="H519" s="20" t="n"/>
      <c r="I519" s="21" t="n"/>
      <c r="J519" s="22" t="n"/>
      <c r="K519" s="23" t="n"/>
      <c r="L519" s="18" t="n"/>
      <c r="M519" s="24">
        <f>IF(B519="","",IF(AND(F519&lt;&gt;"",G519&lt;&gt;""),MAX(0,ROUND(MOD(G519-F519,1)*24-N(H519)/60,2)),N(I519)))</f>
        <v/>
      </c>
      <c r="N519" s="14">
        <f>IF(B519="","",IF(K519&lt;&gt;"",K519,IF(N(IFERROR(INDEX(Projects!$D$6:$D$65,MATCH(D519,Projects!$B$6:$B$65,0)),""))&gt;0,IFERROR(INDEX(Projects!$D$6:$D$65,MATCH(D519,Projects!$B$6:$B$65,0)),""),IFERROR(INDEX(Clients!$G$6:$G$45,MATCH(C519,Clients!$B$6:$B$45,0)),0))))</f>
        <v/>
      </c>
      <c r="O519" s="14">
        <f>IF(B519="","",IF(J519&lt;&gt;"",0,ROUND(M519*N519,2)))</f>
        <v/>
      </c>
      <c r="P519" s="15">
        <f>IF(OR(B519="",J519&lt;&gt;""),"",IF(L519&lt;&gt;"",L519,IF(COUNTIFS(Invoices!$C$6:$C$305,C519,Invoices!$E$6:$E$305,"&lt;="&amp;B519,Invoices!$F$6:$F$305,"&gt;="&amp;B519)=1,INDEX(Invoices!$B$6:$B$305,SUMIFS(Invoices!$O$6:$O$305,Invoices!$C$6:$C$305,C519,Invoices!$E$6:$E$305,"&lt;="&amp;B519,Invoices!$F$6:$F$305,"&gt;="&amp;B519)),IF(COUNTIFS(Invoices!$C$6:$C$305,C519,Invoices!$E$6:$E$305,"&lt;="&amp;B519,Invoices!$F$6:$F$305,"&gt;="&amp;B519)&gt;1,"Two invoices",""))))</f>
        <v/>
      </c>
      <c r="Q519" s="15">
        <f>IF(B519="","",IF(J519&lt;&gt;"","Not billable",IF(P519="","To invoice",IF(P519="Two invoices","Check dates",IF(ISNA(MATCH(P519,Invoices!$B$6:$B$305,0)),"Check number",IF(INDEX(Invoices!$M$6:$M$305,MATCH(P519,Invoices!$B$6:$B$305,0))="Paid","Paid",IF(INDEX(Invoices!$M$6:$M$305,MATCH(P519,Invoices!$B$6:$B$305,0))="Draft","Draft","Invoiced")))))))</f>
        <v/>
      </c>
      <c r="R519" s="1">
        <f>IF(AND(B519&lt;&gt;"",P519&lt;&gt;"",P519=Invoice!$G$4),B519+MOD(N(F519),1)+ROW()/10000000,"")</f>
        <v/>
      </c>
      <c r="S519">
        <f>IF(R519="","",IF(D519="","Other work",D519)&amp;IF(AND(K519&lt;&gt;"",E519&lt;&gt;""),", "&amp;E519,""))</f>
        <v/>
      </c>
      <c r="T519">
        <f>IF(R519="","",IF(COUNTIFS(R$6:R518,"&gt;0",S$6:S518,S519,N$6:N518,N519)=0,R519,""))</f>
        <v/>
      </c>
      <c r="U519">
        <f>IF(B519="","",IF(J519&lt;&gt;"",0,M519))</f>
        <v/>
      </c>
    </row>
    <row r="520">
      <c r="A520" s="1" t="n"/>
      <c r="B520" s="16" t="n"/>
      <c r="C520" s="17" t="n"/>
      <c r="D520" s="18" t="n"/>
      <c r="E520" s="18" t="n"/>
      <c r="F520" s="19" t="n"/>
      <c r="G520" s="19" t="n"/>
      <c r="H520" s="20" t="n"/>
      <c r="I520" s="21" t="n"/>
      <c r="J520" s="22" t="n"/>
      <c r="K520" s="23" t="n"/>
      <c r="L520" s="18" t="n"/>
      <c r="M520" s="24">
        <f>IF(B520="","",IF(AND(F520&lt;&gt;"",G520&lt;&gt;""),MAX(0,ROUND(MOD(G520-F520,1)*24-N(H520)/60,2)),N(I520)))</f>
        <v/>
      </c>
      <c r="N520" s="14">
        <f>IF(B520="","",IF(K520&lt;&gt;"",K520,IF(N(IFERROR(INDEX(Projects!$D$6:$D$65,MATCH(D520,Projects!$B$6:$B$65,0)),""))&gt;0,IFERROR(INDEX(Projects!$D$6:$D$65,MATCH(D520,Projects!$B$6:$B$65,0)),""),IFERROR(INDEX(Clients!$G$6:$G$45,MATCH(C520,Clients!$B$6:$B$45,0)),0))))</f>
        <v/>
      </c>
      <c r="O520" s="14">
        <f>IF(B520="","",IF(J520&lt;&gt;"",0,ROUND(M520*N520,2)))</f>
        <v/>
      </c>
      <c r="P520" s="15">
        <f>IF(OR(B520="",J520&lt;&gt;""),"",IF(L520&lt;&gt;"",L520,IF(COUNTIFS(Invoices!$C$6:$C$305,C520,Invoices!$E$6:$E$305,"&lt;="&amp;B520,Invoices!$F$6:$F$305,"&gt;="&amp;B520)=1,INDEX(Invoices!$B$6:$B$305,SUMIFS(Invoices!$O$6:$O$305,Invoices!$C$6:$C$305,C520,Invoices!$E$6:$E$305,"&lt;="&amp;B520,Invoices!$F$6:$F$305,"&gt;="&amp;B520)),IF(COUNTIFS(Invoices!$C$6:$C$305,C520,Invoices!$E$6:$E$305,"&lt;="&amp;B520,Invoices!$F$6:$F$305,"&gt;="&amp;B520)&gt;1,"Two invoices",""))))</f>
        <v/>
      </c>
      <c r="Q520" s="15">
        <f>IF(B520="","",IF(J520&lt;&gt;"","Not billable",IF(P520="","To invoice",IF(P520="Two invoices","Check dates",IF(ISNA(MATCH(P520,Invoices!$B$6:$B$305,0)),"Check number",IF(INDEX(Invoices!$M$6:$M$305,MATCH(P520,Invoices!$B$6:$B$305,0))="Paid","Paid",IF(INDEX(Invoices!$M$6:$M$305,MATCH(P520,Invoices!$B$6:$B$305,0))="Draft","Draft","Invoiced")))))))</f>
        <v/>
      </c>
      <c r="R520" s="1">
        <f>IF(AND(B520&lt;&gt;"",P520&lt;&gt;"",P520=Invoice!$G$4),B520+MOD(N(F520),1)+ROW()/10000000,"")</f>
        <v/>
      </c>
      <c r="S520">
        <f>IF(R520="","",IF(D520="","Other work",D520)&amp;IF(AND(K520&lt;&gt;"",E520&lt;&gt;""),", "&amp;E520,""))</f>
        <v/>
      </c>
      <c r="T520">
        <f>IF(R520="","",IF(COUNTIFS(R$6:R519,"&gt;0",S$6:S519,S520,N$6:N519,N520)=0,R520,""))</f>
        <v/>
      </c>
      <c r="U520">
        <f>IF(B520="","",IF(J520&lt;&gt;"",0,M520))</f>
        <v/>
      </c>
    </row>
    <row r="521">
      <c r="A521" s="1" t="n"/>
      <c r="B521" s="16" t="n"/>
      <c r="C521" s="17" t="n"/>
      <c r="D521" s="18" t="n"/>
      <c r="E521" s="18" t="n"/>
      <c r="F521" s="19" t="n"/>
      <c r="G521" s="19" t="n"/>
      <c r="H521" s="20" t="n"/>
      <c r="I521" s="21" t="n"/>
      <c r="J521" s="22" t="n"/>
      <c r="K521" s="23" t="n"/>
      <c r="L521" s="18" t="n"/>
      <c r="M521" s="24">
        <f>IF(B521="","",IF(AND(F521&lt;&gt;"",G521&lt;&gt;""),MAX(0,ROUND(MOD(G521-F521,1)*24-N(H521)/60,2)),N(I521)))</f>
        <v/>
      </c>
      <c r="N521" s="14">
        <f>IF(B521="","",IF(K521&lt;&gt;"",K521,IF(N(IFERROR(INDEX(Projects!$D$6:$D$65,MATCH(D521,Projects!$B$6:$B$65,0)),""))&gt;0,IFERROR(INDEX(Projects!$D$6:$D$65,MATCH(D521,Projects!$B$6:$B$65,0)),""),IFERROR(INDEX(Clients!$G$6:$G$45,MATCH(C521,Clients!$B$6:$B$45,0)),0))))</f>
        <v/>
      </c>
      <c r="O521" s="14">
        <f>IF(B521="","",IF(J521&lt;&gt;"",0,ROUND(M521*N521,2)))</f>
        <v/>
      </c>
      <c r="P521" s="15">
        <f>IF(OR(B521="",J521&lt;&gt;""),"",IF(L521&lt;&gt;"",L521,IF(COUNTIFS(Invoices!$C$6:$C$305,C521,Invoices!$E$6:$E$305,"&lt;="&amp;B521,Invoices!$F$6:$F$305,"&gt;="&amp;B521)=1,INDEX(Invoices!$B$6:$B$305,SUMIFS(Invoices!$O$6:$O$305,Invoices!$C$6:$C$305,C521,Invoices!$E$6:$E$305,"&lt;="&amp;B521,Invoices!$F$6:$F$305,"&gt;="&amp;B521)),IF(COUNTIFS(Invoices!$C$6:$C$305,C521,Invoices!$E$6:$E$305,"&lt;="&amp;B521,Invoices!$F$6:$F$305,"&gt;="&amp;B521)&gt;1,"Two invoices",""))))</f>
        <v/>
      </c>
      <c r="Q521" s="15">
        <f>IF(B521="","",IF(J521&lt;&gt;"","Not billable",IF(P521="","To invoice",IF(P521="Two invoices","Check dates",IF(ISNA(MATCH(P521,Invoices!$B$6:$B$305,0)),"Check number",IF(INDEX(Invoices!$M$6:$M$305,MATCH(P521,Invoices!$B$6:$B$305,0))="Paid","Paid",IF(INDEX(Invoices!$M$6:$M$305,MATCH(P521,Invoices!$B$6:$B$305,0))="Draft","Draft","Invoiced")))))))</f>
        <v/>
      </c>
      <c r="R521" s="1">
        <f>IF(AND(B521&lt;&gt;"",P521&lt;&gt;"",P521=Invoice!$G$4),B521+MOD(N(F521),1)+ROW()/10000000,"")</f>
        <v/>
      </c>
      <c r="S521">
        <f>IF(R521="","",IF(D521="","Other work",D521)&amp;IF(AND(K521&lt;&gt;"",E521&lt;&gt;""),", "&amp;E521,""))</f>
        <v/>
      </c>
      <c r="T521">
        <f>IF(R521="","",IF(COUNTIFS(R$6:R520,"&gt;0",S$6:S520,S521,N$6:N520,N521)=0,R521,""))</f>
        <v/>
      </c>
      <c r="U521">
        <f>IF(B521="","",IF(J521&lt;&gt;"",0,M521))</f>
        <v/>
      </c>
    </row>
    <row r="522">
      <c r="A522" s="1" t="n"/>
      <c r="B522" s="16" t="n"/>
      <c r="C522" s="17" t="n"/>
      <c r="D522" s="18" t="n"/>
      <c r="E522" s="18" t="n"/>
      <c r="F522" s="19" t="n"/>
      <c r="G522" s="19" t="n"/>
      <c r="H522" s="20" t="n"/>
      <c r="I522" s="21" t="n"/>
      <c r="J522" s="22" t="n"/>
      <c r="K522" s="23" t="n"/>
      <c r="L522" s="18" t="n"/>
      <c r="M522" s="24">
        <f>IF(B522="","",IF(AND(F522&lt;&gt;"",G522&lt;&gt;""),MAX(0,ROUND(MOD(G522-F522,1)*24-N(H522)/60,2)),N(I522)))</f>
        <v/>
      </c>
      <c r="N522" s="14">
        <f>IF(B522="","",IF(K522&lt;&gt;"",K522,IF(N(IFERROR(INDEX(Projects!$D$6:$D$65,MATCH(D522,Projects!$B$6:$B$65,0)),""))&gt;0,IFERROR(INDEX(Projects!$D$6:$D$65,MATCH(D522,Projects!$B$6:$B$65,0)),""),IFERROR(INDEX(Clients!$G$6:$G$45,MATCH(C522,Clients!$B$6:$B$45,0)),0))))</f>
        <v/>
      </c>
      <c r="O522" s="14">
        <f>IF(B522="","",IF(J522&lt;&gt;"",0,ROUND(M522*N522,2)))</f>
        <v/>
      </c>
      <c r="P522" s="15">
        <f>IF(OR(B522="",J522&lt;&gt;""),"",IF(L522&lt;&gt;"",L522,IF(COUNTIFS(Invoices!$C$6:$C$305,C522,Invoices!$E$6:$E$305,"&lt;="&amp;B522,Invoices!$F$6:$F$305,"&gt;="&amp;B522)=1,INDEX(Invoices!$B$6:$B$305,SUMIFS(Invoices!$O$6:$O$305,Invoices!$C$6:$C$305,C522,Invoices!$E$6:$E$305,"&lt;="&amp;B522,Invoices!$F$6:$F$305,"&gt;="&amp;B522)),IF(COUNTIFS(Invoices!$C$6:$C$305,C522,Invoices!$E$6:$E$305,"&lt;="&amp;B522,Invoices!$F$6:$F$305,"&gt;="&amp;B522)&gt;1,"Two invoices",""))))</f>
        <v/>
      </c>
      <c r="Q522" s="15">
        <f>IF(B522="","",IF(J522&lt;&gt;"","Not billable",IF(P522="","To invoice",IF(P522="Two invoices","Check dates",IF(ISNA(MATCH(P522,Invoices!$B$6:$B$305,0)),"Check number",IF(INDEX(Invoices!$M$6:$M$305,MATCH(P522,Invoices!$B$6:$B$305,0))="Paid","Paid",IF(INDEX(Invoices!$M$6:$M$305,MATCH(P522,Invoices!$B$6:$B$305,0))="Draft","Draft","Invoiced")))))))</f>
        <v/>
      </c>
      <c r="R522" s="1">
        <f>IF(AND(B522&lt;&gt;"",P522&lt;&gt;"",P522=Invoice!$G$4),B522+MOD(N(F522),1)+ROW()/10000000,"")</f>
        <v/>
      </c>
      <c r="S522">
        <f>IF(R522="","",IF(D522="","Other work",D522)&amp;IF(AND(K522&lt;&gt;"",E522&lt;&gt;""),", "&amp;E522,""))</f>
        <v/>
      </c>
      <c r="T522">
        <f>IF(R522="","",IF(COUNTIFS(R$6:R521,"&gt;0",S$6:S521,S522,N$6:N521,N522)=0,R522,""))</f>
        <v/>
      </c>
      <c r="U522">
        <f>IF(B522="","",IF(J522&lt;&gt;"",0,M522))</f>
        <v/>
      </c>
    </row>
    <row r="523">
      <c r="A523" s="1" t="n"/>
      <c r="B523" s="16" t="n"/>
      <c r="C523" s="17" t="n"/>
      <c r="D523" s="18" t="n"/>
      <c r="E523" s="18" t="n"/>
      <c r="F523" s="19" t="n"/>
      <c r="G523" s="19" t="n"/>
      <c r="H523" s="20" t="n"/>
      <c r="I523" s="21" t="n"/>
      <c r="J523" s="22" t="n"/>
      <c r="K523" s="23" t="n"/>
      <c r="L523" s="18" t="n"/>
      <c r="M523" s="24">
        <f>IF(B523="","",IF(AND(F523&lt;&gt;"",G523&lt;&gt;""),MAX(0,ROUND(MOD(G523-F523,1)*24-N(H523)/60,2)),N(I523)))</f>
        <v/>
      </c>
      <c r="N523" s="14">
        <f>IF(B523="","",IF(K523&lt;&gt;"",K523,IF(N(IFERROR(INDEX(Projects!$D$6:$D$65,MATCH(D523,Projects!$B$6:$B$65,0)),""))&gt;0,IFERROR(INDEX(Projects!$D$6:$D$65,MATCH(D523,Projects!$B$6:$B$65,0)),""),IFERROR(INDEX(Clients!$G$6:$G$45,MATCH(C523,Clients!$B$6:$B$45,0)),0))))</f>
        <v/>
      </c>
      <c r="O523" s="14">
        <f>IF(B523="","",IF(J523&lt;&gt;"",0,ROUND(M523*N523,2)))</f>
        <v/>
      </c>
      <c r="P523" s="15">
        <f>IF(OR(B523="",J523&lt;&gt;""),"",IF(L523&lt;&gt;"",L523,IF(COUNTIFS(Invoices!$C$6:$C$305,C523,Invoices!$E$6:$E$305,"&lt;="&amp;B523,Invoices!$F$6:$F$305,"&gt;="&amp;B523)=1,INDEX(Invoices!$B$6:$B$305,SUMIFS(Invoices!$O$6:$O$305,Invoices!$C$6:$C$305,C523,Invoices!$E$6:$E$305,"&lt;="&amp;B523,Invoices!$F$6:$F$305,"&gt;="&amp;B523)),IF(COUNTIFS(Invoices!$C$6:$C$305,C523,Invoices!$E$6:$E$305,"&lt;="&amp;B523,Invoices!$F$6:$F$305,"&gt;="&amp;B523)&gt;1,"Two invoices",""))))</f>
        <v/>
      </c>
      <c r="Q523" s="15">
        <f>IF(B523="","",IF(J523&lt;&gt;"","Not billable",IF(P523="","To invoice",IF(P523="Two invoices","Check dates",IF(ISNA(MATCH(P523,Invoices!$B$6:$B$305,0)),"Check number",IF(INDEX(Invoices!$M$6:$M$305,MATCH(P523,Invoices!$B$6:$B$305,0))="Paid","Paid",IF(INDEX(Invoices!$M$6:$M$305,MATCH(P523,Invoices!$B$6:$B$305,0))="Draft","Draft","Invoiced")))))))</f>
        <v/>
      </c>
      <c r="R523" s="1">
        <f>IF(AND(B523&lt;&gt;"",P523&lt;&gt;"",P523=Invoice!$G$4),B523+MOD(N(F523),1)+ROW()/10000000,"")</f>
        <v/>
      </c>
      <c r="S523">
        <f>IF(R523="","",IF(D523="","Other work",D523)&amp;IF(AND(K523&lt;&gt;"",E523&lt;&gt;""),", "&amp;E523,""))</f>
        <v/>
      </c>
      <c r="T523">
        <f>IF(R523="","",IF(COUNTIFS(R$6:R522,"&gt;0",S$6:S522,S523,N$6:N522,N523)=0,R523,""))</f>
        <v/>
      </c>
      <c r="U523">
        <f>IF(B523="","",IF(J523&lt;&gt;"",0,M523))</f>
        <v/>
      </c>
    </row>
    <row r="524">
      <c r="A524" s="1" t="n"/>
      <c r="B524" s="16" t="n"/>
      <c r="C524" s="17" t="n"/>
      <c r="D524" s="18" t="n"/>
      <c r="E524" s="18" t="n"/>
      <c r="F524" s="19" t="n"/>
      <c r="G524" s="19" t="n"/>
      <c r="H524" s="20" t="n"/>
      <c r="I524" s="21" t="n"/>
      <c r="J524" s="22" t="n"/>
      <c r="K524" s="23" t="n"/>
      <c r="L524" s="18" t="n"/>
      <c r="M524" s="24">
        <f>IF(B524="","",IF(AND(F524&lt;&gt;"",G524&lt;&gt;""),MAX(0,ROUND(MOD(G524-F524,1)*24-N(H524)/60,2)),N(I524)))</f>
        <v/>
      </c>
      <c r="N524" s="14">
        <f>IF(B524="","",IF(K524&lt;&gt;"",K524,IF(N(IFERROR(INDEX(Projects!$D$6:$D$65,MATCH(D524,Projects!$B$6:$B$65,0)),""))&gt;0,IFERROR(INDEX(Projects!$D$6:$D$65,MATCH(D524,Projects!$B$6:$B$65,0)),""),IFERROR(INDEX(Clients!$G$6:$G$45,MATCH(C524,Clients!$B$6:$B$45,0)),0))))</f>
        <v/>
      </c>
      <c r="O524" s="14">
        <f>IF(B524="","",IF(J524&lt;&gt;"",0,ROUND(M524*N524,2)))</f>
        <v/>
      </c>
      <c r="P524" s="15">
        <f>IF(OR(B524="",J524&lt;&gt;""),"",IF(L524&lt;&gt;"",L524,IF(COUNTIFS(Invoices!$C$6:$C$305,C524,Invoices!$E$6:$E$305,"&lt;="&amp;B524,Invoices!$F$6:$F$305,"&gt;="&amp;B524)=1,INDEX(Invoices!$B$6:$B$305,SUMIFS(Invoices!$O$6:$O$305,Invoices!$C$6:$C$305,C524,Invoices!$E$6:$E$305,"&lt;="&amp;B524,Invoices!$F$6:$F$305,"&gt;="&amp;B524)),IF(COUNTIFS(Invoices!$C$6:$C$305,C524,Invoices!$E$6:$E$305,"&lt;="&amp;B524,Invoices!$F$6:$F$305,"&gt;="&amp;B524)&gt;1,"Two invoices",""))))</f>
        <v/>
      </c>
      <c r="Q524" s="15">
        <f>IF(B524="","",IF(J524&lt;&gt;"","Not billable",IF(P524="","To invoice",IF(P524="Two invoices","Check dates",IF(ISNA(MATCH(P524,Invoices!$B$6:$B$305,0)),"Check number",IF(INDEX(Invoices!$M$6:$M$305,MATCH(P524,Invoices!$B$6:$B$305,0))="Paid","Paid",IF(INDEX(Invoices!$M$6:$M$305,MATCH(P524,Invoices!$B$6:$B$305,0))="Draft","Draft","Invoiced")))))))</f>
        <v/>
      </c>
      <c r="R524" s="1">
        <f>IF(AND(B524&lt;&gt;"",P524&lt;&gt;"",P524=Invoice!$G$4),B524+MOD(N(F524),1)+ROW()/10000000,"")</f>
        <v/>
      </c>
      <c r="S524">
        <f>IF(R524="","",IF(D524="","Other work",D524)&amp;IF(AND(K524&lt;&gt;"",E524&lt;&gt;""),", "&amp;E524,""))</f>
        <v/>
      </c>
      <c r="T524">
        <f>IF(R524="","",IF(COUNTIFS(R$6:R523,"&gt;0",S$6:S523,S524,N$6:N523,N524)=0,R524,""))</f>
        <v/>
      </c>
      <c r="U524">
        <f>IF(B524="","",IF(J524&lt;&gt;"",0,M524))</f>
        <v/>
      </c>
    </row>
    <row r="525">
      <c r="A525" s="1" t="n"/>
      <c r="B525" s="16" t="n"/>
      <c r="C525" s="17" t="n"/>
      <c r="D525" s="18" t="n"/>
      <c r="E525" s="18" t="n"/>
      <c r="F525" s="19" t="n"/>
      <c r="G525" s="19" t="n"/>
      <c r="H525" s="20" t="n"/>
      <c r="I525" s="21" t="n"/>
      <c r="J525" s="22" t="n"/>
      <c r="K525" s="23" t="n"/>
      <c r="L525" s="18" t="n"/>
      <c r="M525" s="24">
        <f>IF(B525="","",IF(AND(F525&lt;&gt;"",G525&lt;&gt;""),MAX(0,ROUND(MOD(G525-F525,1)*24-N(H525)/60,2)),N(I525)))</f>
        <v/>
      </c>
      <c r="N525" s="14">
        <f>IF(B525="","",IF(K525&lt;&gt;"",K525,IF(N(IFERROR(INDEX(Projects!$D$6:$D$65,MATCH(D525,Projects!$B$6:$B$65,0)),""))&gt;0,IFERROR(INDEX(Projects!$D$6:$D$65,MATCH(D525,Projects!$B$6:$B$65,0)),""),IFERROR(INDEX(Clients!$G$6:$G$45,MATCH(C525,Clients!$B$6:$B$45,0)),0))))</f>
        <v/>
      </c>
      <c r="O525" s="14">
        <f>IF(B525="","",IF(J525&lt;&gt;"",0,ROUND(M525*N525,2)))</f>
        <v/>
      </c>
      <c r="P525" s="15">
        <f>IF(OR(B525="",J525&lt;&gt;""),"",IF(L525&lt;&gt;"",L525,IF(COUNTIFS(Invoices!$C$6:$C$305,C525,Invoices!$E$6:$E$305,"&lt;="&amp;B525,Invoices!$F$6:$F$305,"&gt;="&amp;B525)=1,INDEX(Invoices!$B$6:$B$305,SUMIFS(Invoices!$O$6:$O$305,Invoices!$C$6:$C$305,C525,Invoices!$E$6:$E$305,"&lt;="&amp;B525,Invoices!$F$6:$F$305,"&gt;="&amp;B525)),IF(COUNTIFS(Invoices!$C$6:$C$305,C525,Invoices!$E$6:$E$305,"&lt;="&amp;B525,Invoices!$F$6:$F$305,"&gt;="&amp;B525)&gt;1,"Two invoices",""))))</f>
        <v/>
      </c>
      <c r="Q525" s="15">
        <f>IF(B525="","",IF(J525&lt;&gt;"","Not billable",IF(P525="","To invoice",IF(P525="Two invoices","Check dates",IF(ISNA(MATCH(P525,Invoices!$B$6:$B$305,0)),"Check number",IF(INDEX(Invoices!$M$6:$M$305,MATCH(P525,Invoices!$B$6:$B$305,0))="Paid","Paid",IF(INDEX(Invoices!$M$6:$M$305,MATCH(P525,Invoices!$B$6:$B$305,0))="Draft","Draft","Invoiced")))))))</f>
        <v/>
      </c>
      <c r="R525" s="1">
        <f>IF(AND(B525&lt;&gt;"",P525&lt;&gt;"",P525=Invoice!$G$4),B525+MOD(N(F525),1)+ROW()/10000000,"")</f>
        <v/>
      </c>
      <c r="S525">
        <f>IF(R525="","",IF(D525="","Other work",D525)&amp;IF(AND(K525&lt;&gt;"",E525&lt;&gt;""),", "&amp;E525,""))</f>
        <v/>
      </c>
      <c r="T525">
        <f>IF(R525="","",IF(COUNTIFS(R$6:R524,"&gt;0",S$6:S524,S525,N$6:N524,N525)=0,R525,""))</f>
        <v/>
      </c>
      <c r="U525">
        <f>IF(B525="","",IF(J525&lt;&gt;"",0,M525))</f>
        <v/>
      </c>
    </row>
    <row r="526">
      <c r="A526" s="1" t="n"/>
      <c r="B526" s="16" t="n"/>
      <c r="C526" s="17" t="n"/>
      <c r="D526" s="18" t="n"/>
      <c r="E526" s="18" t="n"/>
      <c r="F526" s="19" t="n"/>
      <c r="G526" s="19" t="n"/>
      <c r="H526" s="20" t="n"/>
      <c r="I526" s="21" t="n"/>
      <c r="J526" s="22" t="n"/>
      <c r="K526" s="23" t="n"/>
      <c r="L526" s="18" t="n"/>
      <c r="M526" s="24">
        <f>IF(B526="","",IF(AND(F526&lt;&gt;"",G526&lt;&gt;""),MAX(0,ROUND(MOD(G526-F526,1)*24-N(H526)/60,2)),N(I526)))</f>
        <v/>
      </c>
      <c r="N526" s="14">
        <f>IF(B526="","",IF(K526&lt;&gt;"",K526,IF(N(IFERROR(INDEX(Projects!$D$6:$D$65,MATCH(D526,Projects!$B$6:$B$65,0)),""))&gt;0,IFERROR(INDEX(Projects!$D$6:$D$65,MATCH(D526,Projects!$B$6:$B$65,0)),""),IFERROR(INDEX(Clients!$G$6:$G$45,MATCH(C526,Clients!$B$6:$B$45,0)),0))))</f>
        <v/>
      </c>
      <c r="O526" s="14">
        <f>IF(B526="","",IF(J526&lt;&gt;"",0,ROUND(M526*N526,2)))</f>
        <v/>
      </c>
      <c r="P526" s="15">
        <f>IF(OR(B526="",J526&lt;&gt;""),"",IF(L526&lt;&gt;"",L526,IF(COUNTIFS(Invoices!$C$6:$C$305,C526,Invoices!$E$6:$E$305,"&lt;="&amp;B526,Invoices!$F$6:$F$305,"&gt;="&amp;B526)=1,INDEX(Invoices!$B$6:$B$305,SUMIFS(Invoices!$O$6:$O$305,Invoices!$C$6:$C$305,C526,Invoices!$E$6:$E$305,"&lt;="&amp;B526,Invoices!$F$6:$F$305,"&gt;="&amp;B526)),IF(COUNTIFS(Invoices!$C$6:$C$305,C526,Invoices!$E$6:$E$305,"&lt;="&amp;B526,Invoices!$F$6:$F$305,"&gt;="&amp;B526)&gt;1,"Two invoices",""))))</f>
        <v/>
      </c>
      <c r="Q526" s="15">
        <f>IF(B526="","",IF(J526&lt;&gt;"","Not billable",IF(P526="","To invoice",IF(P526="Two invoices","Check dates",IF(ISNA(MATCH(P526,Invoices!$B$6:$B$305,0)),"Check number",IF(INDEX(Invoices!$M$6:$M$305,MATCH(P526,Invoices!$B$6:$B$305,0))="Paid","Paid",IF(INDEX(Invoices!$M$6:$M$305,MATCH(P526,Invoices!$B$6:$B$305,0))="Draft","Draft","Invoiced")))))))</f>
        <v/>
      </c>
      <c r="R526" s="1">
        <f>IF(AND(B526&lt;&gt;"",P526&lt;&gt;"",P526=Invoice!$G$4),B526+MOD(N(F526),1)+ROW()/10000000,"")</f>
        <v/>
      </c>
      <c r="S526">
        <f>IF(R526="","",IF(D526="","Other work",D526)&amp;IF(AND(K526&lt;&gt;"",E526&lt;&gt;""),", "&amp;E526,""))</f>
        <v/>
      </c>
      <c r="T526">
        <f>IF(R526="","",IF(COUNTIFS(R$6:R525,"&gt;0",S$6:S525,S526,N$6:N525,N526)=0,R526,""))</f>
        <v/>
      </c>
      <c r="U526">
        <f>IF(B526="","",IF(J526&lt;&gt;"",0,M526))</f>
        <v/>
      </c>
    </row>
    <row r="527">
      <c r="A527" s="1" t="n"/>
      <c r="B527" s="16" t="n"/>
      <c r="C527" s="17" t="n"/>
      <c r="D527" s="18" t="n"/>
      <c r="E527" s="18" t="n"/>
      <c r="F527" s="19" t="n"/>
      <c r="G527" s="19" t="n"/>
      <c r="H527" s="20" t="n"/>
      <c r="I527" s="21" t="n"/>
      <c r="J527" s="22" t="n"/>
      <c r="K527" s="23" t="n"/>
      <c r="L527" s="18" t="n"/>
      <c r="M527" s="24">
        <f>IF(B527="","",IF(AND(F527&lt;&gt;"",G527&lt;&gt;""),MAX(0,ROUND(MOD(G527-F527,1)*24-N(H527)/60,2)),N(I527)))</f>
        <v/>
      </c>
      <c r="N527" s="14">
        <f>IF(B527="","",IF(K527&lt;&gt;"",K527,IF(N(IFERROR(INDEX(Projects!$D$6:$D$65,MATCH(D527,Projects!$B$6:$B$65,0)),""))&gt;0,IFERROR(INDEX(Projects!$D$6:$D$65,MATCH(D527,Projects!$B$6:$B$65,0)),""),IFERROR(INDEX(Clients!$G$6:$G$45,MATCH(C527,Clients!$B$6:$B$45,0)),0))))</f>
        <v/>
      </c>
      <c r="O527" s="14">
        <f>IF(B527="","",IF(J527&lt;&gt;"",0,ROUND(M527*N527,2)))</f>
        <v/>
      </c>
      <c r="P527" s="15">
        <f>IF(OR(B527="",J527&lt;&gt;""),"",IF(L527&lt;&gt;"",L527,IF(COUNTIFS(Invoices!$C$6:$C$305,C527,Invoices!$E$6:$E$305,"&lt;="&amp;B527,Invoices!$F$6:$F$305,"&gt;="&amp;B527)=1,INDEX(Invoices!$B$6:$B$305,SUMIFS(Invoices!$O$6:$O$305,Invoices!$C$6:$C$305,C527,Invoices!$E$6:$E$305,"&lt;="&amp;B527,Invoices!$F$6:$F$305,"&gt;="&amp;B527)),IF(COUNTIFS(Invoices!$C$6:$C$305,C527,Invoices!$E$6:$E$305,"&lt;="&amp;B527,Invoices!$F$6:$F$305,"&gt;="&amp;B527)&gt;1,"Two invoices",""))))</f>
        <v/>
      </c>
      <c r="Q527" s="15">
        <f>IF(B527="","",IF(J527&lt;&gt;"","Not billable",IF(P527="","To invoice",IF(P527="Two invoices","Check dates",IF(ISNA(MATCH(P527,Invoices!$B$6:$B$305,0)),"Check number",IF(INDEX(Invoices!$M$6:$M$305,MATCH(P527,Invoices!$B$6:$B$305,0))="Paid","Paid",IF(INDEX(Invoices!$M$6:$M$305,MATCH(P527,Invoices!$B$6:$B$305,0))="Draft","Draft","Invoiced")))))))</f>
        <v/>
      </c>
      <c r="R527" s="1">
        <f>IF(AND(B527&lt;&gt;"",P527&lt;&gt;"",P527=Invoice!$G$4),B527+MOD(N(F527),1)+ROW()/10000000,"")</f>
        <v/>
      </c>
      <c r="S527">
        <f>IF(R527="","",IF(D527="","Other work",D527)&amp;IF(AND(K527&lt;&gt;"",E527&lt;&gt;""),", "&amp;E527,""))</f>
        <v/>
      </c>
      <c r="T527">
        <f>IF(R527="","",IF(COUNTIFS(R$6:R526,"&gt;0",S$6:S526,S527,N$6:N526,N527)=0,R527,""))</f>
        <v/>
      </c>
      <c r="U527">
        <f>IF(B527="","",IF(J527&lt;&gt;"",0,M527))</f>
        <v/>
      </c>
    </row>
    <row r="528">
      <c r="A528" s="1" t="n"/>
      <c r="B528" s="16" t="n"/>
      <c r="C528" s="17" t="n"/>
      <c r="D528" s="18" t="n"/>
      <c r="E528" s="18" t="n"/>
      <c r="F528" s="19" t="n"/>
      <c r="G528" s="19" t="n"/>
      <c r="H528" s="20" t="n"/>
      <c r="I528" s="21" t="n"/>
      <c r="J528" s="22" t="n"/>
      <c r="K528" s="23" t="n"/>
      <c r="L528" s="18" t="n"/>
      <c r="M528" s="24">
        <f>IF(B528="","",IF(AND(F528&lt;&gt;"",G528&lt;&gt;""),MAX(0,ROUND(MOD(G528-F528,1)*24-N(H528)/60,2)),N(I528)))</f>
        <v/>
      </c>
      <c r="N528" s="14">
        <f>IF(B528="","",IF(K528&lt;&gt;"",K528,IF(N(IFERROR(INDEX(Projects!$D$6:$D$65,MATCH(D528,Projects!$B$6:$B$65,0)),""))&gt;0,IFERROR(INDEX(Projects!$D$6:$D$65,MATCH(D528,Projects!$B$6:$B$65,0)),""),IFERROR(INDEX(Clients!$G$6:$G$45,MATCH(C528,Clients!$B$6:$B$45,0)),0))))</f>
        <v/>
      </c>
      <c r="O528" s="14">
        <f>IF(B528="","",IF(J528&lt;&gt;"",0,ROUND(M528*N528,2)))</f>
        <v/>
      </c>
      <c r="P528" s="15">
        <f>IF(OR(B528="",J528&lt;&gt;""),"",IF(L528&lt;&gt;"",L528,IF(COUNTIFS(Invoices!$C$6:$C$305,C528,Invoices!$E$6:$E$305,"&lt;="&amp;B528,Invoices!$F$6:$F$305,"&gt;="&amp;B528)=1,INDEX(Invoices!$B$6:$B$305,SUMIFS(Invoices!$O$6:$O$305,Invoices!$C$6:$C$305,C528,Invoices!$E$6:$E$305,"&lt;="&amp;B528,Invoices!$F$6:$F$305,"&gt;="&amp;B528)),IF(COUNTIFS(Invoices!$C$6:$C$305,C528,Invoices!$E$6:$E$305,"&lt;="&amp;B528,Invoices!$F$6:$F$305,"&gt;="&amp;B528)&gt;1,"Two invoices",""))))</f>
        <v/>
      </c>
      <c r="Q528" s="15">
        <f>IF(B528="","",IF(J528&lt;&gt;"","Not billable",IF(P528="","To invoice",IF(P528="Two invoices","Check dates",IF(ISNA(MATCH(P528,Invoices!$B$6:$B$305,0)),"Check number",IF(INDEX(Invoices!$M$6:$M$305,MATCH(P528,Invoices!$B$6:$B$305,0))="Paid","Paid",IF(INDEX(Invoices!$M$6:$M$305,MATCH(P528,Invoices!$B$6:$B$305,0))="Draft","Draft","Invoiced")))))))</f>
        <v/>
      </c>
      <c r="R528" s="1">
        <f>IF(AND(B528&lt;&gt;"",P528&lt;&gt;"",P528=Invoice!$G$4),B528+MOD(N(F528),1)+ROW()/10000000,"")</f>
        <v/>
      </c>
      <c r="S528">
        <f>IF(R528="","",IF(D528="","Other work",D528)&amp;IF(AND(K528&lt;&gt;"",E528&lt;&gt;""),", "&amp;E528,""))</f>
        <v/>
      </c>
      <c r="T528">
        <f>IF(R528="","",IF(COUNTIFS(R$6:R527,"&gt;0",S$6:S527,S528,N$6:N527,N528)=0,R528,""))</f>
        <v/>
      </c>
      <c r="U528">
        <f>IF(B528="","",IF(J528&lt;&gt;"",0,M528))</f>
        <v/>
      </c>
    </row>
    <row r="529">
      <c r="A529" s="1" t="n"/>
      <c r="B529" s="16" t="n"/>
      <c r="C529" s="17" t="n"/>
      <c r="D529" s="18" t="n"/>
      <c r="E529" s="18" t="n"/>
      <c r="F529" s="19" t="n"/>
      <c r="G529" s="19" t="n"/>
      <c r="H529" s="20" t="n"/>
      <c r="I529" s="21" t="n"/>
      <c r="J529" s="22" t="n"/>
      <c r="K529" s="23" t="n"/>
      <c r="L529" s="18" t="n"/>
      <c r="M529" s="24">
        <f>IF(B529="","",IF(AND(F529&lt;&gt;"",G529&lt;&gt;""),MAX(0,ROUND(MOD(G529-F529,1)*24-N(H529)/60,2)),N(I529)))</f>
        <v/>
      </c>
      <c r="N529" s="14">
        <f>IF(B529="","",IF(K529&lt;&gt;"",K529,IF(N(IFERROR(INDEX(Projects!$D$6:$D$65,MATCH(D529,Projects!$B$6:$B$65,0)),""))&gt;0,IFERROR(INDEX(Projects!$D$6:$D$65,MATCH(D529,Projects!$B$6:$B$65,0)),""),IFERROR(INDEX(Clients!$G$6:$G$45,MATCH(C529,Clients!$B$6:$B$45,0)),0))))</f>
        <v/>
      </c>
      <c r="O529" s="14">
        <f>IF(B529="","",IF(J529&lt;&gt;"",0,ROUND(M529*N529,2)))</f>
        <v/>
      </c>
      <c r="P529" s="15">
        <f>IF(OR(B529="",J529&lt;&gt;""),"",IF(L529&lt;&gt;"",L529,IF(COUNTIFS(Invoices!$C$6:$C$305,C529,Invoices!$E$6:$E$305,"&lt;="&amp;B529,Invoices!$F$6:$F$305,"&gt;="&amp;B529)=1,INDEX(Invoices!$B$6:$B$305,SUMIFS(Invoices!$O$6:$O$305,Invoices!$C$6:$C$305,C529,Invoices!$E$6:$E$305,"&lt;="&amp;B529,Invoices!$F$6:$F$305,"&gt;="&amp;B529)),IF(COUNTIFS(Invoices!$C$6:$C$305,C529,Invoices!$E$6:$E$305,"&lt;="&amp;B529,Invoices!$F$6:$F$305,"&gt;="&amp;B529)&gt;1,"Two invoices",""))))</f>
        <v/>
      </c>
      <c r="Q529" s="15">
        <f>IF(B529="","",IF(J529&lt;&gt;"","Not billable",IF(P529="","To invoice",IF(P529="Two invoices","Check dates",IF(ISNA(MATCH(P529,Invoices!$B$6:$B$305,0)),"Check number",IF(INDEX(Invoices!$M$6:$M$305,MATCH(P529,Invoices!$B$6:$B$305,0))="Paid","Paid",IF(INDEX(Invoices!$M$6:$M$305,MATCH(P529,Invoices!$B$6:$B$305,0))="Draft","Draft","Invoiced")))))))</f>
        <v/>
      </c>
      <c r="R529" s="1">
        <f>IF(AND(B529&lt;&gt;"",P529&lt;&gt;"",P529=Invoice!$G$4),B529+MOD(N(F529),1)+ROW()/10000000,"")</f>
        <v/>
      </c>
      <c r="S529">
        <f>IF(R529="","",IF(D529="","Other work",D529)&amp;IF(AND(K529&lt;&gt;"",E529&lt;&gt;""),", "&amp;E529,""))</f>
        <v/>
      </c>
      <c r="T529">
        <f>IF(R529="","",IF(COUNTIFS(R$6:R528,"&gt;0",S$6:S528,S529,N$6:N528,N529)=0,R529,""))</f>
        <v/>
      </c>
      <c r="U529">
        <f>IF(B529="","",IF(J529&lt;&gt;"",0,M529))</f>
        <v/>
      </c>
    </row>
    <row r="530">
      <c r="A530" s="1" t="n"/>
      <c r="B530" s="16" t="n"/>
      <c r="C530" s="17" t="n"/>
      <c r="D530" s="18" t="n"/>
      <c r="E530" s="18" t="n"/>
      <c r="F530" s="19" t="n"/>
      <c r="G530" s="19" t="n"/>
      <c r="H530" s="20" t="n"/>
      <c r="I530" s="21" t="n"/>
      <c r="J530" s="22" t="n"/>
      <c r="K530" s="23" t="n"/>
      <c r="L530" s="18" t="n"/>
      <c r="M530" s="24">
        <f>IF(B530="","",IF(AND(F530&lt;&gt;"",G530&lt;&gt;""),MAX(0,ROUND(MOD(G530-F530,1)*24-N(H530)/60,2)),N(I530)))</f>
        <v/>
      </c>
      <c r="N530" s="14">
        <f>IF(B530="","",IF(K530&lt;&gt;"",K530,IF(N(IFERROR(INDEX(Projects!$D$6:$D$65,MATCH(D530,Projects!$B$6:$B$65,0)),""))&gt;0,IFERROR(INDEX(Projects!$D$6:$D$65,MATCH(D530,Projects!$B$6:$B$65,0)),""),IFERROR(INDEX(Clients!$G$6:$G$45,MATCH(C530,Clients!$B$6:$B$45,0)),0))))</f>
        <v/>
      </c>
      <c r="O530" s="14">
        <f>IF(B530="","",IF(J530&lt;&gt;"",0,ROUND(M530*N530,2)))</f>
        <v/>
      </c>
      <c r="P530" s="15">
        <f>IF(OR(B530="",J530&lt;&gt;""),"",IF(L530&lt;&gt;"",L530,IF(COUNTIFS(Invoices!$C$6:$C$305,C530,Invoices!$E$6:$E$305,"&lt;="&amp;B530,Invoices!$F$6:$F$305,"&gt;="&amp;B530)=1,INDEX(Invoices!$B$6:$B$305,SUMIFS(Invoices!$O$6:$O$305,Invoices!$C$6:$C$305,C530,Invoices!$E$6:$E$305,"&lt;="&amp;B530,Invoices!$F$6:$F$305,"&gt;="&amp;B530)),IF(COUNTIFS(Invoices!$C$6:$C$305,C530,Invoices!$E$6:$E$305,"&lt;="&amp;B530,Invoices!$F$6:$F$305,"&gt;="&amp;B530)&gt;1,"Two invoices",""))))</f>
        <v/>
      </c>
      <c r="Q530" s="15">
        <f>IF(B530="","",IF(J530&lt;&gt;"","Not billable",IF(P530="","To invoice",IF(P530="Two invoices","Check dates",IF(ISNA(MATCH(P530,Invoices!$B$6:$B$305,0)),"Check number",IF(INDEX(Invoices!$M$6:$M$305,MATCH(P530,Invoices!$B$6:$B$305,0))="Paid","Paid",IF(INDEX(Invoices!$M$6:$M$305,MATCH(P530,Invoices!$B$6:$B$305,0))="Draft","Draft","Invoiced")))))))</f>
        <v/>
      </c>
      <c r="R530" s="1">
        <f>IF(AND(B530&lt;&gt;"",P530&lt;&gt;"",P530=Invoice!$G$4),B530+MOD(N(F530),1)+ROW()/10000000,"")</f>
        <v/>
      </c>
      <c r="S530">
        <f>IF(R530="","",IF(D530="","Other work",D530)&amp;IF(AND(K530&lt;&gt;"",E530&lt;&gt;""),", "&amp;E530,""))</f>
        <v/>
      </c>
      <c r="T530">
        <f>IF(R530="","",IF(COUNTIFS(R$6:R529,"&gt;0",S$6:S529,S530,N$6:N529,N530)=0,R530,""))</f>
        <v/>
      </c>
      <c r="U530">
        <f>IF(B530="","",IF(J530&lt;&gt;"",0,M530))</f>
        <v/>
      </c>
    </row>
    <row r="531">
      <c r="A531" s="1" t="n"/>
      <c r="B531" s="16" t="n"/>
      <c r="C531" s="17" t="n"/>
      <c r="D531" s="18" t="n"/>
      <c r="E531" s="18" t="n"/>
      <c r="F531" s="19" t="n"/>
      <c r="G531" s="19" t="n"/>
      <c r="H531" s="20" t="n"/>
      <c r="I531" s="21" t="n"/>
      <c r="J531" s="22" t="n"/>
      <c r="K531" s="23" t="n"/>
      <c r="L531" s="18" t="n"/>
      <c r="M531" s="24">
        <f>IF(B531="","",IF(AND(F531&lt;&gt;"",G531&lt;&gt;""),MAX(0,ROUND(MOD(G531-F531,1)*24-N(H531)/60,2)),N(I531)))</f>
        <v/>
      </c>
      <c r="N531" s="14">
        <f>IF(B531="","",IF(K531&lt;&gt;"",K531,IF(N(IFERROR(INDEX(Projects!$D$6:$D$65,MATCH(D531,Projects!$B$6:$B$65,0)),""))&gt;0,IFERROR(INDEX(Projects!$D$6:$D$65,MATCH(D531,Projects!$B$6:$B$65,0)),""),IFERROR(INDEX(Clients!$G$6:$G$45,MATCH(C531,Clients!$B$6:$B$45,0)),0))))</f>
        <v/>
      </c>
      <c r="O531" s="14">
        <f>IF(B531="","",IF(J531&lt;&gt;"",0,ROUND(M531*N531,2)))</f>
        <v/>
      </c>
      <c r="P531" s="15">
        <f>IF(OR(B531="",J531&lt;&gt;""),"",IF(L531&lt;&gt;"",L531,IF(COUNTIFS(Invoices!$C$6:$C$305,C531,Invoices!$E$6:$E$305,"&lt;="&amp;B531,Invoices!$F$6:$F$305,"&gt;="&amp;B531)=1,INDEX(Invoices!$B$6:$B$305,SUMIFS(Invoices!$O$6:$O$305,Invoices!$C$6:$C$305,C531,Invoices!$E$6:$E$305,"&lt;="&amp;B531,Invoices!$F$6:$F$305,"&gt;="&amp;B531)),IF(COUNTIFS(Invoices!$C$6:$C$305,C531,Invoices!$E$6:$E$305,"&lt;="&amp;B531,Invoices!$F$6:$F$305,"&gt;="&amp;B531)&gt;1,"Two invoices",""))))</f>
        <v/>
      </c>
      <c r="Q531" s="15">
        <f>IF(B531="","",IF(J531&lt;&gt;"","Not billable",IF(P531="","To invoice",IF(P531="Two invoices","Check dates",IF(ISNA(MATCH(P531,Invoices!$B$6:$B$305,0)),"Check number",IF(INDEX(Invoices!$M$6:$M$305,MATCH(P531,Invoices!$B$6:$B$305,0))="Paid","Paid",IF(INDEX(Invoices!$M$6:$M$305,MATCH(P531,Invoices!$B$6:$B$305,0))="Draft","Draft","Invoiced")))))))</f>
        <v/>
      </c>
      <c r="R531" s="1">
        <f>IF(AND(B531&lt;&gt;"",P531&lt;&gt;"",P531=Invoice!$G$4),B531+MOD(N(F531),1)+ROW()/10000000,"")</f>
        <v/>
      </c>
      <c r="S531">
        <f>IF(R531="","",IF(D531="","Other work",D531)&amp;IF(AND(K531&lt;&gt;"",E531&lt;&gt;""),", "&amp;E531,""))</f>
        <v/>
      </c>
      <c r="T531">
        <f>IF(R531="","",IF(COUNTIFS(R$6:R530,"&gt;0",S$6:S530,S531,N$6:N530,N531)=0,R531,""))</f>
        <v/>
      </c>
      <c r="U531">
        <f>IF(B531="","",IF(J531&lt;&gt;"",0,M531))</f>
        <v/>
      </c>
    </row>
    <row r="532">
      <c r="A532" s="1" t="n"/>
      <c r="B532" s="16" t="n"/>
      <c r="C532" s="17" t="n"/>
      <c r="D532" s="18" t="n"/>
      <c r="E532" s="18" t="n"/>
      <c r="F532" s="19" t="n"/>
      <c r="G532" s="19" t="n"/>
      <c r="H532" s="20" t="n"/>
      <c r="I532" s="21" t="n"/>
      <c r="J532" s="22" t="n"/>
      <c r="K532" s="23" t="n"/>
      <c r="L532" s="18" t="n"/>
      <c r="M532" s="24">
        <f>IF(B532="","",IF(AND(F532&lt;&gt;"",G532&lt;&gt;""),MAX(0,ROUND(MOD(G532-F532,1)*24-N(H532)/60,2)),N(I532)))</f>
        <v/>
      </c>
      <c r="N532" s="14">
        <f>IF(B532="","",IF(K532&lt;&gt;"",K532,IF(N(IFERROR(INDEX(Projects!$D$6:$D$65,MATCH(D532,Projects!$B$6:$B$65,0)),""))&gt;0,IFERROR(INDEX(Projects!$D$6:$D$65,MATCH(D532,Projects!$B$6:$B$65,0)),""),IFERROR(INDEX(Clients!$G$6:$G$45,MATCH(C532,Clients!$B$6:$B$45,0)),0))))</f>
        <v/>
      </c>
      <c r="O532" s="14">
        <f>IF(B532="","",IF(J532&lt;&gt;"",0,ROUND(M532*N532,2)))</f>
        <v/>
      </c>
      <c r="P532" s="15">
        <f>IF(OR(B532="",J532&lt;&gt;""),"",IF(L532&lt;&gt;"",L532,IF(COUNTIFS(Invoices!$C$6:$C$305,C532,Invoices!$E$6:$E$305,"&lt;="&amp;B532,Invoices!$F$6:$F$305,"&gt;="&amp;B532)=1,INDEX(Invoices!$B$6:$B$305,SUMIFS(Invoices!$O$6:$O$305,Invoices!$C$6:$C$305,C532,Invoices!$E$6:$E$305,"&lt;="&amp;B532,Invoices!$F$6:$F$305,"&gt;="&amp;B532)),IF(COUNTIFS(Invoices!$C$6:$C$305,C532,Invoices!$E$6:$E$305,"&lt;="&amp;B532,Invoices!$F$6:$F$305,"&gt;="&amp;B532)&gt;1,"Two invoices",""))))</f>
        <v/>
      </c>
      <c r="Q532" s="15">
        <f>IF(B532="","",IF(J532&lt;&gt;"","Not billable",IF(P532="","To invoice",IF(P532="Two invoices","Check dates",IF(ISNA(MATCH(P532,Invoices!$B$6:$B$305,0)),"Check number",IF(INDEX(Invoices!$M$6:$M$305,MATCH(P532,Invoices!$B$6:$B$305,0))="Paid","Paid",IF(INDEX(Invoices!$M$6:$M$305,MATCH(P532,Invoices!$B$6:$B$305,0))="Draft","Draft","Invoiced")))))))</f>
        <v/>
      </c>
      <c r="R532" s="1">
        <f>IF(AND(B532&lt;&gt;"",P532&lt;&gt;"",P532=Invoice!$G$4),B532+MOD(N(F532),1)+ROW()/10000000,"")</f>
        <v/>
      </c>
      <c r="S532">
        <f>IF(R532="","",IF(D532="","Other work",D532)&amp;IF(AND(K532&lt;&gt;"",E532&lt;&gt;""),", "&amp;E532,""))</f>
        <v/>
      </c>
      <c r="T532">
        <f>IF(R532="","",IF(COUNTIFS(R$6:R531,"&gt;0",S$6:S531,S532,N$6:N531,N532)=0,R532,""))</f>
        <v/>
      </c>
      <c r="U532">
        <f>IF(B532="","",IF(J532&lt;&gt;"",0,M532))</f>
        <v/>
      </c>
    </row>
    <row r="533">
      <c r="A533" s="1" t="n"/>
      <c r="B533" s="16" t="n"/>
      <c r="C533" s="17" t="n"/>
      <c r="D533" s="18" t="n"/>
      <c r="E533" s="18" t="n"/>
      <c r="F533" s="19" t="n"/>
      <c r="G533" s="19" t="n"/>
      <c r="H533" s="20" t="n"/>
      <c r="I533" s="21" t="n"/>
      <c r="J533" s="22" t="n"/>
      <c r="K533" s="23" t="n"/>
      <c r="L533" s="18" t="n"/>
      <c r="M533" s="24">
        <f>IF(B533="","",IF(AND(F533&lt;&gt;"",G533&lt;&gt;""),MAX(0,ROUND(MOD(G533-F533,1)*24-N(H533)/60,2)),N(I533)))</f>
        <v/>
      </c>
      <c r="N533" s="14">
        <f>IF(B533="","",IF(K533&lt;&gt;"",K533,IF(N(IFERROR(INDEX(Projects!$D$6:$D$65,MATCH(D533,Projects!$B$6:$B$65,0)),""))&gt;0,IFERROR(INDEX(Projects!$D$6:$D$65,MATCH(D533,Projects!$B$6:$B$65,0)),""),IFERROR(INDEX(Clients!$G$6:$G$45,MATCH(C533,Clients!$B$6:$B$45,0)),0))))</f>
        <v/>
      </c>
      <c r="O533" s="14">
        <f>IF(B533="","",IF(J533&lt;&gt;"",0,ROUND(M533*N533,2)))</f>
        <v/>
      </c>
      <c r="P533" s="15">
        <f>IF(OR(B533="",J533&lt;&gt;""),"",IF(L533&lt;&gt;"",L533,IF(COUNTIFS(Invoices!$C$6:$C$305,C533,Invoices!$E$6:$E$305,"&lt;="&amp;B533,Invoices!$F$6:$F$305,"&gt;="&amp;B533)=1,INDEX(Invoices!$B$6:$B$305,SUMIFS(Invoices!$O$6:$O$305,Invoices!$C$6:$C$305,C533,Invoices!$E$6:$E$305,"&lt;="&amp;B533,Invoices!$F$6:$F$305,"&gt;="&amp;B533)),IF(COUNTIFS(Invoices!$C$6:$C$305,C533,Invoices!$E$6:$E$305,"&lt;="&amp;B533,Invoices!$F$6:$F$305,"&gt;="&amp;B533)&gt;1,"Two invoices",""))))</f>
        <v/>
      </c>
      <c r="Q533" s="15">
        <f>IF(B533="","",IF(J533&lt;&gt;"","Not billable",IF(P533="","To invoice",IF(P533="Two invoices","Check dates",IF(ISNA(MATCH(P533,Invoices!$B$6:$B$305,0)),"Check number",IF(INDEX(Invoices!$M$6:$M$305,MATCH(P533,Invoices!$B$6:$B$305,0))="Paid","Paid",IF(INDEX(Invoices!$M$6:$M$305,MATCH(P533,Invoices!$B$6:$B$305,0))="Draft","Draft","Invoiced")))))))</f>
        <v/>
      </c>
      <c r="R533" s="1">
        <f>IF(AND(B533&lt;&gt;"",P533&lt;&gt;"",P533=Invoice!$G$4),B533+MOD(N(F533),1)+ROW()/10000000,"")</f>
        <v/>
      </c>
      <c r="S533">
        <f>IF(R533="","",IF(D533="","Other work",D533)&amp;IF(AND(K533&lt;&gt;"",E533&lt;&gt;""),", "&amp;E533,""))</f>
        <v/>
      </c>
      <c r="T533">
        <f>IF(R533="","",IF(COUNTIFS(R$6:R532,"&gt;0",S$6:S532,S533,N$6:N532,N533)=0,R533,""))</f>
        <v/>
      </c>
      <c r="U533">
        <f>IF(B533="","",IF(J533&lt;&gt;"",0,M533))</f>
        <v/>
      </c>
    </row>
    <row r="534">
      <c r="A534" s="1" t="n"/>
      <c r="B534" s="16" t="n"/>
      <c r="C534" s="17" t="n"/>
      <c r="D534" s="18" t="n"/>
      <c r="E534" s="18" t="n"/>
      <c r="F534" s="19" t="n"/>
      <c r="G534" s="19" t="n"/>
      <c r="H534" s="20" t="n"/>
      <c r="I534" s="21" t="n"/>
      <c r="J534" s="22" t="n"/>
      <c r="K534" s="23" t="n"/>
      <c r="L534" s="18" t="n"/>
      <c r="M534" s="24">
        <f>IF(B534="","",IF(AND(F534&lt;&gt;"",G534&lt;&gt;""),MAX(0,ROUND(MOD(G534-F534,1)*24-N(H534)/60,2)),N(I534)))</f>
        <v/>
      </c>
      <c r="N534" s="14">
        <f>IF(B534="","",IF(K534&lt;&gt;"",K534,IF(N(IFERROR(INDEX(Projects!$D$6:$D$65,MATCH(D534,Projects!$B$6:$B$65,0)),""))&gt;0,IFERROR(INDEX(Projects!$D$6:$D$65,MATCH(D534,Projects!$B$6:$B$65,0)),""),IFERROR(INDEX(Clients!$G$6:$G$45,MATCH(C534,Clients!$B$6:$B$45,0)),0))))</f>
        <v/>
      </c>
      <c r="O534" s="14">
        <f>IF(B534="","",IF(J534&lt;&gt;"",0,ROUND(M534*N534,2)))</f>
        <v/>
      </c>
      <c r="P534" s="15">
        <f>IF(OR(B534="",J534&lt;&gt;""),"",IF(L534&lt;&gt;"",L534,IF(COUNTIFS(Invoices!$C$6:$C$305,C534,Invoices!$E$6:$E$305,"&lt;="&amp;B534,Invoices!$F$6:$F$305,"&gt;="&amp;B534)=1,INDEX(Invoices!$B$6:$B$305,SUMIFS(Invoices!$O$6:$O$305,Invoices!$C$6:$C$305,C534,Invoices!$E$6:$E$305,"&lt;="&amp;B534,Invoices!$F$6:$F$305,"&gt;="&amp;B534)),IF(COUNTIFS(Invoices!$C$6:$C$305,C534,Invoices!$E$6:$E$305,"&lt;="&amp;B534,Invoices!$F$6:$F$305,"&gt;="&amp;B534)&gt;1,"Two invoices",""))))</f>
        <v/>
      </c>
      <c r="Q534" s="15">
        <f>IF(B534="","",IF(J534&lt;&gt;"","Not billable",IF(P534="","To invoice",IF(P534="Two invoices","Check dates",IF(ISNA(MATCH(P534,Invoices!$B$6:$B$305,0)),"Check number",IF(INDEX(Invoices!$M$6:$M$305,MATCH(P534,Invoices!$B$6:$B$305,0))="Paid","Paid",IF(INDEX(Invoices!$M$6:$M$305,MATCH(P534,Invoices!$B$6:$B$305,0))="Draft","Draft","Invoiced")))))))</f>
        <v/>
      </c>
      <c r="R534" s="1">
        <f>IF(AND(B534&lt;&gt;"",P534&lt;&gt;"",P534=Invoice!$G$4),B534+MOD(N(F534),1)+ROW()/10000000,"")</f>
        <v/>
      </c>
      <c r="S534">
        <f>IF(R534="","",IF(D534="","Other work",D534)&amp;IF(AND(K534&lt;&gt;"",E534&lt;&gt;""),", "&amp;E534,""))</f>
        <v/>
      </c>
      <c r="T534">
        <f>IF(R534="","",IF(COUNTIFS(R$6:R533,"&gt;0",S$6:S533,S534,N$6:N533,N534)=0,R534,""))</f>
        <v/>
      </c>
      <c r="U534">
        <f>IF(B534="","",IF(J534&lt;&gt;"",0,M534))</f>
        <v/>
      </c>
    </row>
    <row r="535">
      <c r="A535" s="1" t="n"/>
      <c r="B535" s="16" t="n"/>
      <c r="C535" s="17" t="n"/>
      <c r="D535" s="18" t="n"/>
      <c r="E535" s="18" t="n"/>
      <c r="F535" s="19" t="n"/>
      <c r="G535" s="19" t="n"/>
      <c r="H535" s="20" t="n"/>
      <c r="I535" s="21" t="n"/>
      <c r="J535" s="22" t="n"/>
      <c r="K535" s="23" t="n"/>
      <c r="L535" s="18" t="n"/>
      <c r="M535" s="24">
        <f>IF(B535="","",IF(AND(F535&lt;&gt;"",G535&lt;&gt;""),MAX(0,ROUND(MOD(G535-F535,1)*24-N(H535)/60,2)),N(I535)))</f>
        <v/>
      </c>
      <c r="N535" s="14">
        <f>IF(B535="","",IF(K535&lt;&gt;"",K535,IF(N(IFERROR(INDEX(Projects!$D$6:$D$65,MATCH(D535,Projects!$B$6:$B$65,0)),""))&gt;0,IFERROR(INDEX(Projects!$D$6:$D$65,MATCH(D535,Projects!$B$6:$B$65,0)),""),IFERROR(INDEX(Clients!$G$6:$G$45,MATCH(C535,Clients!$B$6:$B$45,0)),0))))</f>
        <v/>
      </c>
      <c r="O535" s="14">
        <f>IF(B535="","",IF(J535&lt;&gt;"",0,ROUND(M535*N535,2)))</f>
        <v/>
      </c>
      <c r="P535" s="15">
        <f>IF(OR(B535="",J535&lt;&gt;""),"",IF(L535&lt;&gt;"",L535,IF(COUNTIFS(Invoices!$C$6:$C$305,C535,Invoices!$E$6:$E$305,"&lt;="&amp;B535,Invoices!$F$6:$F$305,"&gt;="&amp;B535)=1,INDEX(Invoices!$B$6:$B$305,SUMIFS(Invoices!$O$6:$O$305,Invoices!$C$6:$C$305,C535,Invoices!$E$6:$E$305,"&lt;="&amp;B535,Invoices!$F$6:$F$305,"&gt;="&amp;B535)),IF(COUNTIFS(Invoices!$C$6:$C$305,C535,Invoices!$E$6:$E$305,"&lt;="&amp;B535,Invoices!$F$6:$F$305,"&gt;="&amp;B535)&gt;1,"Two invoices",""))))</f>
        <v/>
      </c>
      <c r="Q535" s="15">
        <f>IF(B535="","",IF(J535&lt;&gt;"","Not billable",IF(P535="","To invoice",IF(P535="Two invoices","Check dates",IF(ISNA(MATCH(P535,Invoices!$B$6:$B$305,0)),"Check number",IF(INDEX(Invoices!$M$6:$M$305,MATCH(P535,Invoices!$B$6:$B$305,0))="Paid","Paid",IF(INDEX(Invoices!$M$6:$M$305,MATCH(P535,Invoices!$B$6:$B$305,0))="Draft","Draft","Invoiced")))))))</f>
        <v/>
      </c>
      <c r="R535" s="1">
        <f>IF(AND(B535&lt;&gt;"",P535&lt;&gt;"",P535=Invoice!$G$4),B535+MOD(N(F535),1)+ROW()/10000000,"")</f>
        <v/>
      </c>
      <c r="S535">
        <f>IF(R535="","",IF(D535="","Other work",D535)&amp;IF(AND(K535&lt;&gt;"",E535&lt;&gt;""),", "&amp;E535,""))</f>
        <v/>
      </c>
      <c r="T535">
        <f>IF(R535="","",IF(COUNTIFS(R$6:R534,"&gt;0",S$6:S534,S535,N$6:N534,N535)=0,R535,""))</f>
        <v/>
      </c>
      <c r="U535">
        <f>IF(B535="","",IF(J535&lt;&gt;"",0,M535))</f>
        <v/>
      </c>
    </row>
    <row r="536">
      <c r="A536" s="1" t="n"/>
      <c r="B536" s="16" t="n"/>
      <c r="C536" s="17" t="n"/>
      <c r="D536" s="18" t="n"/>
      <c r="E536" s="18" t="n"/>
      <c r="F536" s="19" t="n"/>
      <c r="G536" s="19" t="n"/>
      <c r="H536" s="20" t="n"/>
      <c r="I536" s="21" t="n"/>
      <c r="J536" s="22" t="n"/>
      <c r="K536" s="23" t="n"/>
      <c r="L536" s="18" t="n"/>
      <c r="M536" s="24">
        <f>IF(B536="","",IF(AND(F536&lt;&gt;"",G536&lt;&gt;""),MAX(0,ROUND(MOD(G536-F536,1)*24-N(H536)/60,2)),N(I536)))</f>
        <v/>
      </c>
      <c r="N536" s="14">
        <f>IF(B536="","",IF(K536&lt;&gt;"",K536,IF(N(IFERROR(INDEX(Projects!$D$6:$D$65,MATCH(D536,Projects!$B$6:$B$65,0)),""))&gt;0,IFERROR(INDEX(Projects!$D$6:$D$65,MATCH(D536,Projects!$B$6:$B$65,0)),""),IFERROR(INDEX(Clients!$G$6:$G$45,MATCH(C536,Clients!$B$6:$B$45,0)),0))))</f>
        <v/>
      </c>
      <c r="O536" s="14">
        <f>IF(B536="","",IF(J536&lt;&gt;"",0,ROUND(M536*N536,2)))</f>
        <v/>
      </c>
      <c r="P536" s="15">
        <f>IF(OR(B536="",J536&lt;&gt;""),"",IF(L536&lt;&gt;"",L536,IF(COUNTIFS(Invoices!$C$6:$C$305,C536,Invoices!$E$6:$E$305,"&lt;="&amp;B536,Invoices!$F$6:$F$305,"&gt;="&amp;B536)=1,INDEX(Invoices!$B$6:$B$305,SUMIFS(Invoices!$O$6:$O$305,Invoices!$C$6:$C$305,C536,Invoices!$E$6:$E$305,"&lt;="&amp;B536,Invoices!$F$6:$F$305,"&gt;="&amp;B536)),IF(COUNTIFS(Invoices!$C$6:$C$305,C536,Invoices!$E$6:$E$305,"&lt;="&amp;B536,Invoices!$F$6:$F$305,"&gt;="&amp;B536)&gt;1,"Two invoices",""))))</f>
        <v/>
      </c>
      <c r="Q536" s="15">
        <f>IF(B536="","",IF(J536&lt;&gt;"","Not billable",IF(P536="","To invoice",IF(P536="Two invoices","Check dates",IF(ISNA(MATCH(P536,Invoices!$B$6:$B$305,0)),"Check number",IF(INDEX(Invoices!$M$6:$M$305,MATCH(P536,Invoices!$B$6:$B$305,0))="Paid","Paid",IF(INDEX(Invoices!$M$6:$M$305,MATCH(P536,Invoices!$B$6:$B$305,0))="Draft","Draft","Invoiced")))))))</f>
        <v/>
      </c>
      <c r="R536" s="1">
        <f>IF(AND(B536&lt;&gt;"",P536&lt;&gt;"",P536=Invoice!$G$4),B536+MOD(N(F536),1)+ROW()/10000000,"")</f>
        <v/>
      </c>
      <c r="S536">
        <f>IF(R536="","",IF(D536="","Other work",D536)&amp;IF(AND(K536&lt;&gt;"",E536&lt;&gt;""),", "&amp;E536,""))</f>
        <v/>
      </c>
      <c r="T536">
        <f>IF(R536="","",IF(COUNTIFS(R$6:R535,"&gt;0",S$6:S535,S536,N$6:N535,N536)=0,R536,""))</f>
        <v/>
      </c>
      <c r="U536">
        <f>IF(B536="","",IF(J536&lt;&gt;"",0,M536))</f>
        <v/>
      </c>
    </row>
    <row r="537">
      <c r="A537" s="1" t="n"/>
      <c r="B537" s="16" t="n"/>
      <c r="C537" s="17" t="n"/>
      <c r="D537" s="18" t="n"/>
      <c r="E537" s="18" t="n"/>
      <c r="F537" s="19" t="n"/>
      <c r="G537" s="19" t="n"/>
      <c r="H537" s="20" t="n"/>
      <c r="I537" s="21" t="n"/>
      <c r="J537" s="22" t="n"/>
      <c r="K537" s="23" t="n"/>
      <c r="L537" s="18" t="n"/>
      <c r="M537" s="24">
        <f>IF(B537="","",IF(AND(F537&lt;&gt;"",G537&lt;&gt;""),MAX(0,ROUND(MOD(G537-F537,1)*24-N(H537)/60,2)),N(I537)))</f>
        <v/>
      </c>
      <c r="N537" s="14">
        <f>IF(B537="","",IF(K537&lt;&gt;"",K537,IF(N(IFERROR(INDEX(Projects!$D$6:$D$65,MATCH(D537,Projects!$B$6:$B$65,0)),""))&gt;0,IFERROR(INDEX(Projects!$D$6:$D$65,MATCH(D537,Projects!$B$6:$B$65,0)),""),IFERROR(INDEX(Clients!$G$6:$G$45,MATCH(C537,Clients!$B$6:$B$45,0)),0))))</f>
        <v/>
      </c>
      <c r="O537" s="14">
        <f>IF(B537="","",IF(J537&lt;&gt;"",0,ROUND(M537*N537,2)))</f>
        <v/>
      </c>
      <c r="P537" s="15">
        <f>IF(OR(B537="",J537&lt;&gt;""),"",IF(L537&lt;&gt;"",L537,IF(COUNTIFS(Invoices!$C$6:$C$305,C537,Invoices!$E$6:$E$305,"&lt;="&amp;B537,Invoices!$F$6:$F$305,"&gt;="&amp;B537)=1,INDEX(Invoices!$B$6:$B$305,SUMIFS(Invoices!$O$6:$O$305,Invoices!$C$6:$C$305,C537,Invoices!$E$6:$E$305,"&lt;="&amp;B537,Invoices!$F$6:$F$305,"&gt;="&amp;B537)),IF(COUNTIFS(Invoices!$C$6:$C$305,C537,Invoices!$E$6:$E$305,"&lt;="&amp;B537,Invoices!$F$6:$F$305,"&gt;="&amp;B537)&gt;1,"Two invoices",""))))</f>
        <v/>
      </c>
      <c r="Q537" s="15">
        <f>IF(B537="","",IF(J537&lt;&gt;"","Not billable",IF(P537="","To invoice",IF(P537="Two invoices","Check dates",IF(ISNA(MATCH(P537,Invoices!$B$6:$B$305,0)),"Check number",IF(INDEX(Invoices!$M$6:$M$305,MATCH(P537,Invoices!$B$6:$B$305,0))="Paid","Paid",IF(INDEX(Invoices!$M$6:$M$305,MATCH(P537,Invoices!$B$6:$B$305,0))="Draft","Draft","Invoiced")))))))</f>
        <v/>
      </c>
      <c r="R537" s="1">
        <f>IF(AND(B537&lt;&gt;"",P537&lt;&gt;"",P537=Invoice!$G$4),B537+MOD(N(F537),1)+ROW()/10000000,"")</f>
        <v/>
      </c>
      <c r="S537">
        <f>IF(R537="","",IF(D537="","Other work",D537)&amp;IF(AND(K537&lt;&gt;"",E537&lt;&gt;""),", "&amp;E537,""))</f>
        <v/>
      </c>
      <c r="T537">
        <f>IF(R537="","",IF(COUNTIFS(R$6:R536,"&gt;0",S$6:S536,S537,N$6:N536,N537)=0,R537,""))</f>
        <v/>
      </c>
      <c r="U537">
        <f>IF(B537="","",IF(J537&lt;&gt;"",0,M537))</f>
        <v/>
      </c>
    </row>
    <row r="538">
      <c r="A538" s="1" t="n"/>
      <c r="B538" s="16" t="n"/>
      <c r="C538" s="17" t="n"/>
      <c r="D538" s="18" t="n"/>
      <c r="E538" s="18" t="n"/>
      <c r="F538" s="19" t="n"/>
      <c r="G538" s="19" t="n"/>
      <c r="H538" s="20" t="n"/>
      <c r="I538" s="21" t="n"/>
      <c r="J538" s="22" t="n"/>
      <c r="K538" s="23" t="n"/>
      <c r="L538" s="18" t="n"/>
      <c r="M538" s="24">
        <f>IF(B538="","",IF(AND(F538&lt;&gt;"",G538&lt;&gt;""),MAX(0,ROUND(MOD(G538-F538,1)*24-N(H538)/60,2)),N(I538)))</f>
        <v/>
      </c>
      <c r="N538" s="14">
        <f>IF(B538="","",IF(K538&lt;&gt;"",K538,IF(N(IFERROR(INDEX(Projects!$D$6:$D$65,MATCH(D538,Projects!$B$6:$B$65,0)),""))&gt;0,IFERROR(INDEX(Projects!$D$6:$D$65,MATCH(D538,Projects!$B$6:$B$65,0)),""),IFERROR(INDEX(Clients!$G$6:$G$45,MATCH(C538,Clients!$B$6:$B$45,0)),0))))</f>
        <v/>
      </c>
      <c r="O538" s="14">
        <f>IF(B538="","",IF(J538&lt;&gt;"",0,ROUND(M538*N538,2)))</f>
        <v/>
      </c>
      <c r="P538" s="15">
        <f>IF(OR(B538="",J538&lt;&gt;""),"",IF(L538&lt;&gt;"",L538,IF(COUNTIFS(Invoices!$C$6:$C$305,C538,Invoices!$E$6:$E$305,"&lt;="&amp;B538,Invoices!$F$6:$F$305,"&gt;="&amp;B538)=1,INDEX(Invoices!$B$6:$B$305,SUMIFS(Invoices!$O$6:$O$305,Invoices!$C$6:$C$305,C538,Invoices!$E$6:$E$305,"&lt;="&amp;B538,Invoices!$F$6:$F$305,"&gt;="&amp;B538)),IF(COUNTIFS(Invoices!$C$6:$C$305,C538,Invoices!$E$6:$E$305,"&lt;="&amp;B538,Invoices!$F$6:$F$305,"&gt;="&amp;B538)&gt;1,"Two invoices",""))))</f>
        <v/>
      </c>
      <c r="Q538" s="15">
        <f>IF(B538="","",IF(J538&lt;&gt;"","Not billable",IF(P538="","To invoice",IF(P538="Two invoices","Check dates",IF(ISNA(MATCH(P538,Invoices!$B$6:$B$305,0)),"Check number",IF(INDEX(Invoices!$M$6:$M$305,MATCH(P538,Invoices!$B$6:$B$305,0))="Paid","Paid",IF(INDEX(Invoices!$M$6:$M$305,MATCH(P538,Invoices!$B$6:$B$305,0))="Draft","Draft","Invoiced")))))))</f>
        <v/>
      </c>
      <c r="R538" s="1">
        <f>IF(AND(B538&lt;&gt;"",P538&lt;&gt;"",P538=Invoice!$G$4),B538+MOD(N(F538),1)+ROW()/10000000,"")</f>
        <v/>
      </c>
      <c r="S538">
        <f>IF(R538="","",IF(D538="","Other work",D538)&amp;IF(AND(K538&lt;&gt;"",E538&lt;&gt;""),", "&amp;E538,""))</f>
        <v/>
      </c>
      <c r="T538">
        <f>IF(R538="","",IF(COUNTIFS(R$6:R537,"&gt;0",S$6:S537,S538,N$6:N537,N538)=0,R538,""))</f>
        <v/>
      </c>
      <c r="U538">
        <f>IF(B538="","",IF(J538&lt;&gt;"",0,M538))</f>
        <v/>
      </c>
    </row>
    <row r="539">
      <c r="A539" s="1" t="n"/>
      <c r="B539" s="16" t="n"/>
      <c r="C539" s="17" t="n"/>
      <c r="D539" s="18" t="n"/>
      <c r="E539" s="18" t="n"/>
      <c r="F539" s="19" t="n"/>
      <c r="G539" s="19" t="n"/>
      <c r="H539" s="20" t="n"/>
      <c r="I539" s="21" t="n"/>
      <c r="J539" s="22" t="n"/>
      <c r="K539" s="23" t="n"/>
      <c r="L539" s="18" t="n"/>
      <c r="M539" s="24">
        <f>IF(B539="","",IF(AND(F539&lt;&gt;"",G539&lt;&gt;""),MAX(0,ROUND(MOD(G539-F539,1)*24-N(H539)/60,2)),N(I539)))</f>
        <v/>
      </c>
      <c r="N539" s="14">
        <f>IF(B539="","",IF(K539&lt;&gt;"",K539,IF(N(IFERROR(INDEX(Projects!$D$6:$D$65,MATCH(D539,Projects!$B$6:$B$65,0)),""))&gt;0,IFERROR(INDEX(Projects!$D$6:$D$65,MATCH(D539,Projects!$B$6:$B$65,0)),""),IFERROR(INDEX(Clients!$G$6:$G$45,MATCH(C539,Clients!$B$6:$B$45,0)),0))))</f>
        <v/>
      </c>
      <c r="O539" s="14">
        <f>IF(B539="","",IF(J539&lt;&gt;"",0,ROUND(M539*N539,2)))</f>
        <v/>
      </c>
      <c r="P539" s="15">
        <f>IF(OR(B539="",J539&lt;&gt;""),"",IF(L539&lt;&gt;"",L539,IF(COUNTIFS(Invoices!$C$6:$C$305,C539,Invoices!$E$6:$E$305,"&lt;="&amp;B539,Invoices!$F$6:$F$305,"&gt;="&amp;B539)=1,INDEX(Invoices!$B$6:$B$305,SUMIFS(Invoices!$O$6:$O$305,Invoices!$C$6:$C$305,C539,Invoices!$E$6:$E$305,"&lt;="&amp;B539,Invoices!$F$6:$F$305,"&gt;="&amp;B539)),IF(COUNTIFS(Invoices!$C$6:$C$305,C539,Invoices!$E$6:$E$305,"&lt;="&amp;B539,Invoices!$F$6:$F$305,"&gt;="&amp;B539)&gt;1,"Two invoices",""))))</f>
        <v/>
      </c>
      <c r="Q539" s="15">
        <f>IF(B539="","",IF(J539&lt;&gt;"","Not billable",IF(P539="","To invoice",IF(P539="Two invoices","Check dates",IF(ISNA(MATCH(P539,Invoices!$B$6:$B$305,0)),"Check number",IF(INDEX(Invoices!$M$6:$M$305,MATCH(P539,Invoices!$B$6:$B$305,0))="Paid","Paid",IF(INDEX(Invoices!$M$6:$M$305,MATCH(P539,Invoices!$B$6:$B$305,0))="Draft","Draft","Invoiced")))))))</f>
        <v/>
      </c>
      <c r="R539" s="1">
        <f>IF(AND(B539&lt;&gt;"",P539&lt;&gt;"",P539=Invoice!$G$4),B539+MOD(N(F539),1)+ROW()/10000000,"")</f>
        <v/>
      </c>
      <c r="S539">
        <f>IF(R539="","",IF(D539="","Other work",D539)&amp;IF(AND(K539&lt;&gt;"",E539&lt;&gt;""),", "&amp;E539,""))</f>
        <v/>
      </c>
      <c r="T539">
        <f>IF(R539="","",IF(COUNTIFS(R$6:R538,"&gt;0",S$6:S538,S539,N$6:N538,N539)=0,R539,""))</f>
        <v/>
      </c>
      <c r="U539">
        <f>IF(B539="","",IF(J539&lt;&gt;"",0,M539))</f>
        <v/>
      </c>
    </row>
    <row r="540">
      <c r="A540" s="1" t="n"/>
      <c r="B540" s="16" t="n"/>
      <c r="C540" s="17" t="n"/>
      <c r="D540" s="18" t="n"/>
      <c r="E540" s="18" t="n"/>
      <c r="F540" s="19" t="n"/>
      <c r="G540" s="19" t="n"/>
      <c r="H540" s="20" t="n"/>
      <c r="I540" s="21" t="n"/>
      <c r="J540" s="22" t="n"/>
      <c r="K540" s="23" t="n"/>
      <c r="L540" s="18" t="n"/>
      <c r="M540" s="24">
        <f>IF(B540="","",IF(AND(F540&lt;&gt;"",G540&lt;&gt;""),MAX(0,ROUND(MOD(G540-F540,1)*24-N(H540)/60,2)),N(I540)))</f>
        <v/>
      </c>
      <c r="N540" s="14">
        <f>IF(B540="","",IF(K540&lt;&gt;"",K540,IF(N(IFERROR(INDEX(Projects!$D$6:$D$65,MATCH(D540,Projects!$B$6:$B$65,0)),""))&gt;0,IFERROR(INDEX(Projects!$D$6:$D$65,MATCH(D540,Projects!$B$6:$B$65,0)),""),IFERROR(INDEX(Clients!$G$6:$G$45,MATCH(C540,Clients!$B$6:$B$45,0)),0))))</f>
        <v/>
      </c>
      <c r="O540" s="14">
        <f>IF(B540="","",IF(J540&lt;&gt;"",0,ROUND(M540*N540,2)))</f>
        <v/>
      </c>
      <c r="P540" s="15">
        <f>IF(OR(B540="",J540&lt;&gt;""),"",IF(L540&lt;&gt;"",L540,IF(COUNTIFS(Invoices!$C$6:$C$305,C540,Invoices!$E$6:$E$305,"&lt;="&amp;B540,Invoices!$F$6:$F$305,"&gt;="&amp;B540)=1,INDEX(Invoices!$B$6:$B$305,SUMIFS(Invoices!$O$6:$O$305,Invoices!$C$6:$C$305,C540,Invoices!$E$6:$E$305,"&lt;="&amp;B540,Invoices!$F$6:$F$305,"&gt;="&amp;B540)),IF(COUNTIFS(Invoices!$C$6:$C$305,C540,Invoices!$E$6:$E$305,"&lt;="&amp;B540,Invoices!$F$6:$F$305,"&gt;="&amp;B540)&gt;1,"Two invoices",""))))</f>
        <v/>
      </c>
      <c r="Q540" s="15">
        <f>IF(B540="","",IF(J540&lt;&gt;"","Not billable",IF(P540="","To invoice",IF(P540="Two invoices","Check dates",IF(ISNA(MATCH(P540,Invoices!$B$6:$B$305,0)),"Check number",IF(INDEX(Invoices!$M$6:$M$305,MATCH(P540,Invoices!$B$6:$B$305,0))="Paid","Paid",IF(INDEX(Invoices!$M$6:$M$305,MATCH(P540,Invoices!$B$6:$B$305,0))="Draft","Draft","Invoiced")))))))</f>
        <v/>
      </c>
      <c r="R540" s="1">
        <f>IF(AND(B540&lt;&gt;"",P540&lt;&gt;"",P540=Invoice!$G$4),B540+MOD(N(F540),1)+ROW()/10000000,"")</f>
        <v/>
      </c>
      <c r="S540">
        <f>IF(R540="","",IF(D540="","Other work",D540)&amp;IF(AND(K540&lt;&gt;"",E540&lt;&gt;""),", "&amp;E540,""))</f>
        <v/>
      </c>
      <c r="T540">
        <f>IF(R540="","",IF(COUNTIFS(R$6:R539,"&gt;0",S$6:S539,S540,N$6:N539,N540)=0,R540,""))</f>
        <v/>
      </c>
      <c r="U540">
        <f>IF(B540="","",IF(J540&lt;&gt;"",0,M540))</f>
        <v/>
      </c>
    </row>
    <row r="541">
      <c r="A541" s="1" t="n"/>
      <c r="B541" s="16" t="n"/>
      <c r="C541" s="17" t="n"/>
      <c r="D541" s="18" t="n"/>
      <c r="E541" s="18" t="n"/>
      <c r="F541" s="19" t="n"/>
      <c r="G541" s="19" t="n"/>
      <c r="H541" s="20" t="n"/>
      <c r="I541" s="21" t="n"/>
      <c r="J541" s="22" t="n"/>
      <c r="K541" s="23" t="n"/>
      <c r="L541" s="18" t="n"/>
      <c r="M541" s="24">
        <f>IF(B541="","",IF(AND(F541&lt;&gt;"",G541&lt;&gt;""),MAX(0,ROUND(MOD(G541-F541,1)*24-N(H541)/60,2)),N(I541)))</f>
        <v/>
      </c>
      <c r="N541" s="14">
        <f>IF(B541="","",IF(K541&lt;&gt;"",K541,IF(N(IFERROR(INDEX(Projects!$D$6:$D$65,MATCH(D541,Projects!$B$6:$B$65,0)),""))&gt;0,IFERROR(INDEX(Projects!$D$6:$D$65,MATCH(D541,Projects!$B$6:$B$65,0)),""),IFERROR(INDEX(Clients!$G$6:$G$45,MATCH(C541,Clients!$B$6:$B$45,0)),0))))</f>
        <v/>
      </c>
      <c r="O541" s="14">
        <f>IF(B541="","",IF(J541&lt;&gt;"",0,ROUND(M541*N541,2)))</f>
        <v/>
      </c>
      <c r="P541" s="15">
        <f>IF(OR(B541="",J541&lt;&gt;""),"",IF(L541&lt;&gt;"",L541,IF(COUNTIFS(Invoices!$C$6:$C$305,C541,Invoices!$E$6:$E$305,"&lt;="&amp;B541,Invoices!$F$6:$F$305,"&gt;="&amp;B541)=1,INDEX(Invoices!$B$6:$B$305,SUMIFS(Invoices!$O$6:$O$305,Invoices!$C$6:$C$305,C541,Invoices!$E$6:$E$305,"&lt;="&amp;B541,Invoices!$F$6:$F$305,"&gt;="&amp;B541)),IF(COUNTIFS(Invoices!$C$6:$C$305,C541,Invoices!$E$6:$E$305,"&lt;="&amp;B541,Invoices!$F$6:$F$305,"&gt;="&amp;B541)&gt;1,"Two invoices",""))))</f>
        <v/>
      </c>
      <c r="Q541" s="15">
        <f>IF(B541="","",IF(J541&lt;&gt;"","Not billable",IF(P541="","To invoice",IF(P541="Two invoices","Check dates",IF(ISNA(MATCH(P541,Invoices!$B$6:$B$305,0)),"Check number",IF(INDEX(Invoices!$M$6:$M$305,MATCH(P541,Invoices!$B$6:$B$305,0))="Paid","Paid",IF(INDEX(Invoices!$M$6:$M$305,MATCH(P541,Invoices!$B$6:$B$305,0))="Draft","Draft","Invoiced")))))))</f>
        <v/>
      </c>
      <c r="R541" s="1">
        <f>IF(AND(B541&lt;&gt;"",P541&lt;&gt;"",P541=Invoice!$G$4),B541+MOD(N(F541),1)+ROW()/10000000,"")</f>
        <v/>
      </c>
      <c r="S541">
        <f>IF(R541="","",IF(D541="","Other work",D541)&amp;IF(AND(K541&lt;&gt;"",E541&lt;&gt;""),", "&amp;E541,""))</f>
        <v/>
      </c>
      <c r="T541">
        <f>IF(R541="","",IF(COUNTIFS(R$6:R540,"&gt;0",S$6:S540,S541,N$6:N540,N541)=0,R541,""))</f>
        <v/>
      </c>
      <c r="U541">
        <f>IF(B541="","",IF(J541&lt;&gt;"",0,M541))</f>
        <v/>
      </c>
    </row>
    <row r="542">
      <c r="A542" s="1" t="n"/>
      <c r="B542" s="16" t="n"/>
      <c r="C542" s="17" t="n"/>
      <c r="D542" s="18" t="n"/>
      <c r="E542" s="18" t="n"/>
      <c r="F542" s="19" t="n"/>
      <c r="G542" s="19" t="n"/>
      <c r="H542" s="20" t="n"/>
      <c r="I542" s="21" t="n"/>
      <c r="J542" s="22" t="n"/>
      <c r="K542" s="23" t="n"/>
      <c r="L542" s="18" t="n"/>
      <c r="M542" s="24">
        <f>IF(B542="","",IF(AND(F542&lt;&gt;"",G542&lt;&gt;""),MAX(0,ROUND(MOD(G542-F542,1)*24-N(H542)/60,2)),N(I542)))</f>
        <v/>
      </c>
      <c r="N542" s="14">
        <f>IF(B542="","",IF(K542&lt;&gt;"",K542,IF(N(IFERROR(INDEX(Projects!$D$6:$D$65,MATCH(D542,Projects!$B$6:$B$65,0)),""))&gt;0,IFERROR(INDEX(Projects!$D$6:$D$65,MATCH(D542,Projects!$B$6:$B$65,0)),""),IFERROR(INDEX(Clients!$G$6:$G$45,MATCH(C542,Clients!$B$6:$B$45,0)),0))))</f>
        <v/>
      </c>
      <c r="O542" s="14">
        <f>IF(B542="","",IF(J542&lt;&gt;"",0,ROUND(M542*N542,2)))</f>
        <v/>
      </c>
      <c r="P542" s="15">
        <f>IF(OR(B542="",J542&lt;&gt;""),"",IF(L542&lt;&gt;"",L542,IF(COUNTIFS(Invoices!$C$6:$C$305,C542,Invoices!$E$6:$E$305,"&lt;="&amp;B542,Invoices!$F$6:$F$305,"&gt;="&amp;B542)=1,INDEX(Invoices!$B$6:$B$305,SUMIFS(Invoices!$O$6:$O$305,Invoices!$C$6:$C$305,C542,Invoices!$E$6:$E$305,"&lt;="&amp;B542,Invoices!$F$6:$F$305,"&gt;="&amp;B542)),IF(COUNTIFS(Invoices!$C$6:$C$305,C542,Invoices!$E$6:$E$305,"&lt;="&amp;B542,Invoices!$F$6:$F$305,"&gt;="&amp;B542)&gt;1,"Two invoices",""))))</f>
        <v/>
      </c>
      <c r="Q542" s="15">
        <f>IF(B542="","",IF(J542&lt;&gt;"","Not billable",IF(P542="","To invoice",IF(P542="Two invoices","Check dates",IF(ISNA(MATCH(P542,Invoices!$B$6:$B$305,0)),"Check number",IF(INDEX(Invoices!$M$6:$M$305,MATCH(P542,Invoices!$B$6:$B$305,0))="Paid","Paid",IF(INDEX(Invoices!$M$6:$M$305,MATCH(P542,Invoices!$B$6:$B$305,0))="Draft","Draft","Invoiced")))))))</f>
        <v/>
      </c>
      <c r="R542" s="1">
        <f>IF(AND(B542&lt;&gt;"",P542&lt;&gt;"",P542=Invoice!$G$4),B542+MOD(N(F542),1)+ROW()/10000000,"")</f>
        <v/>
      </c>
      <c r="S542">
        <f>IF(R542="","",IF(D542="","Other work",D542)&amp;IF(AND(K542&lt;&gt;"",E542&lt;&gt;""),", "&amp;E542,""))</f>
        <v/>
      </c>
      <c r="T542">
        <f>IF(R542="","",IF(COUNTIFS(R$6:R541,"&gt;0",S$6:S541,S542,N$6:N541,N542)=0,R542,""))</f>
        <v/>
      </c>
      <c r="U542">
        <f>IF(B542="","",IF(J542&lt;&gt;"",0,M542))</f>
        <v/>
      </c>
    </row>
    <row r="543">
      <c r="A543" s="1" t="n"/>
      <c r="B543" s="16" t="n"/>
      <c r="C543" s="17" t="n"/>
      <c r="D543" s="18" t="n"/>
      <c r="E543" s="18" t="n"/>
      <c r="F543" s="19" t="n"/>
      <c r="G543" s="19" t="n"/>
      <c r="H543" s="20" t="n"/>
      <c r="I543" s="21" t="n"/>
      <c r="J543" s="22" t="n"/>
      <c r="K543" s="23" t="n"/>
      <c r="L543" s="18" t="n"/>
      <c r="M543" s="24">
        <f>IF(B543="","",IF(AND(F543&lt;&gt;"",G543&lt;&gt;""),MAX(0,ROUND(MOD(G543-F543,1)*24-N(H543)/60,2)),N(I543)))</f>
        <v/>
      </c>
      <c r="N543" s="14">
        <f>IF(B543="","",IF(K543&lt;&gt;"",K543,IF(N(IFERROR(INDEX(Projects!$D$6:$D$65,MATCH(D543,Projects!$B$6:$B$65,0)),""))&gt;0,IFERROR(INDEX(Projects!$D$6:$D$65,MATCH(D543,Projects!$B$6:$B$65,0)),""),IFERROR(INDEX(Clients!$G$6:$G$45,MATCH(C543,Clients!$B$6:$B$45,0)),0))))</f>
        <v/>
      </c>
      <c r="O543" s="14">
        <f>IF(B543="","",IF(J543&lt;&gt;"",0,ROUND(M543*N543,2)))</f>
        <v/>
      </c>
      <c r="P543" s="15">
        <f>IF(OR(B543="",J543&lt;&gt;""),"",IF(L543&lt;&gt;"",L543,IF(COUNTIFS(Invoices!$C$6:$C$305,C543,Invoices!$E$6:$E$305,"&lt;="&amp;B543,Invoices!$F$6:$F$305,"&gt;="&amp;B543)=1,INDEX(Invoices!$B$6:$B$305,SUMIFS(Invoices!$O$6:$O$305,Invoices!$C$6:$C$305,C543,Invoices!$E$6:$E$305,"&lt;="&amp;B543,Invoices!$F$6:$F$305,"&gt;="&amp;B543)),IF(COUNTIFS(Invoices!$C$6:$C$305,C543,Invoices!$E$6:$E$305,"&lt;="&amp;B543,Invoices!$F$6:$F$305,"&gt;="&amp;B543)&gt;1,"Two invoices",""))))</f>
        <v/>
      </c>
      <c r="Q543" s="15">
        <f>IF(B543="","",IF(J543&lt;&gt;"","Not billable",IF(P543="","To invoice",IF(P543="Two invoices","Check dates",IF(ISNA(MATCH(P543,Invoices!$B$6:$B$305,0)),"Check number",IF(INDEX(Invoices!$M$6:$M$305,MATCH(P543,Invoices!$B$6:$B$305,0))="Paid","Paid",IF(INDEX(Invoices!$M$6:$M$305,MATCH(P543,Invoices!$B$6:$B$305,0))="Draft","Draft","Invoiced")))))))</f>
        <v/>
      </c>
      <c r="R543" s="1">
        <f>IF(AND(B543&lt;&gt;"",P543&lt;&gt;"",P543=Invoice!$G$4),B543+MOD(N(F543),1)+ROW()/10000000,"")</f>
        <v/>
      </c>
      <c r="S543">
        <f>IF(R543="","",IF(D543="","Other work",D543)&amp;IF(AND(K543&lt;&gt;"",E543&lt;&gt;""),", "&amp;E543,""))</f>
        <v/>
      </c>
      <c r="T543">
        <f>IF(R543="","",IF(COUNTIFS(R$6:R542,"&gt;0",S$6:S542,S543,N$6:N542,N543)=0,R543,""))</f>
        <v/>
      </c>
      <c r="U543">
        <f>IF(B543="","",IF(J543&lt;&gt;"",0,M543))</f>
        <v/>
      </c>
    </row>
    <row r="544">
      <c r="A544" s="1" t="n"/>
      <c r="B544" s="16" t="n"/>
      <c r="C544" s="17" t="n"/>
      <c r="D544" s="18" t="n"/>
      <c r="E544" s="18" t="n"/>
      <c r="F544" s="19" t="n"/>
      <c r="G544" s="19" t="n"/>
      <c r="H544" s="20" t="n"/>
      <c r="I544" s="21" t="n"/>
      <c r="J544" s="22" t="n"/>
      <c r="K544" s="23" t="n"/>
      <c r="L544" s="18" t="n"/>
      <c r="M544" s="24">
        <f>IF(B544="","",IF(AND(F544&lt;&gt;"",G544&lt;&gt;""),MAX(0,ROUND(MOD(G544-F544,1)*24-N(H544)/60,2)),N(I544)))</f>
        <v/>
      </c>
      <c r="N544" s="14">
        <f>IF(B544="","",IF(K544&lt;&gt;"",K544,IF(N(IFERROR(INDEX(Projects!$D$6:$D$65,MATCH(D544,Projects!$B$6:$B$65,0)),""))&gt;0,IFERROR(INDEX(Projects!$D$6:$D$65,MATCH(D544,Projects!$B$6:$B$65,0)),""),IFERROR(INDEX(Clients!$G$6:$G$45,MATCH(C544,Clients!$B$6:$B$45,0)),0))))</f>
        <v/>
      </c>
      <c r="O544" s="14">
        <f>IF(B544="","",IF(J544&lt;&gt;"",0,ROUND(M544*N544,2)))</f>
        <v/>
      </c>
      <c r="P544" s="15">
        <f>IF(OR(B544="",J544&lt;&gt;""),"",IF(L544&lt;&gt;"",L544,IF(COUNTIFS(Invoices!$C$6:$C$305,C544,Invoices!$E$6:$E$305,"&lt;="&amp;B544,Invoices!$F$6:$F$305,"&gt;="&amp;B544)=1,INDEX(Invoices!$B$6:$B$305,SUMIFS(Invoices!$O$6:$O$305,Invoices!$C$6:$C$305,C544,Invoices!$E$6:$E$305,"&lt;="&amp;B544,Invoices!$F$6:$F$305,"&gt;="&amp;B544)),IF(COUNTIFS(Invoices!$C$6:$C$305,C544,Invoices!$E$6:$E$305,"&lt;="&amp;B544,Invoices!$F$6:$F$305,"&gt;="&amp;B544)&gt;1,"Two invoices",""))))</f>
        <v/>
      </c>
      <c r="Q544" s="15">
        <f>IF(B544="","",IF(J544&lt;&gt;"","Not billable",IF(P544="","To invoice",IF(P544="Two invoices","Check dates",IF(ISNA(MATCH(P544,Invoices!$B$6:$B$305,0)),"Check number",IF(INDEX(Invoices!$M$6:$M$305,MATCH(P544,Invoices!$B$6:$B$305,0))="Paid","Paid",IF(INDEX(Invoices!$M$6:$M$305,MATCH(P544,Invoices!$B$6:$B$305,0))="Draft","Draft","Invoiced")))))))</f>
        <v/>
      </c>
      <c r="R544" s="1">
        <f>IF(AND(B544&lt;&gt;"",P544&lt;&gt;"",P544=Invoice!$G$4),B544+MOD(N(F544),1)+ROW()/10000000,"")</f>
        <v/>
      </c>
      <c r="S544">
        <f>IF(R544="","",IF(D544="","Other work",D544)&amp;IF(AND(K544&lt;&gt;"",E544&lt;&gt;""),", "&amp;E544,""))</f>
        <v/>
      </c>
      <c r="T544">
        <f>IF(R544="","",IF(COUNTIFS(R$6:R543,"&gt;0",S$6:S543,S544,N$6:N543,N544)=0,R544,""))</f>
        <v/>
      </c>
      <c r="U544">
        <f>IF(B544="","",IF(J544&lt;&gt;"",0,M544))</f>
        <v/>
      </c>
    </row>
    <row r="545">
      <c r="A545" s="1" t="n"/>
      <c r="B545" s="16" t="n"/>
      <c r="C545" s="17" t="n"/>
      <c r="D545" s="18" t="n"/>
      <c r="E545" s="18" t="n"/>
      <c r="F545" s="19" t="n"/>
      <c r="G545" s="19" t="n"/>
      <c r="H545" s="20" t="n"/>
      <c r="I545" s="21" t="n"/>
      <c r="J545" s="22" t="n"/>
      <c r="K545" s="23" t="n"/>
      <c r="L545" s="18" t="n"/>
      <c r="M545" s="24">
        <f>IF(B545="","",IF(AND(F545&lt;&gt;"",G545&lt;&gt;""),MAX(0,ROUND(MOD(G545-F545,1)*24-N(H545)/60,2)),N(I545)))</f>
        <v/>
      </c>
      <c r="N545" s="14">
        <f>IF(B545="","",IF(K545&lt;&gt;"",K545,IF(N(IFERROR(INDEX(Projects!$D$6:$D$65,MATCH(D545,Projects!$B$6:$B$65,0)),""))&gt;0,IFERROR(INDEX(Projects!$D$6:$D$65,MATCH(D545,Projects!$B$6:$B$65,0)),""),IFERROR(INDEX(Clients!$G$6:$G$45,MATCH(C545,Clients!$B$6:$B$45,0)),0))))</f>
        <v/>
      </c>
      <c r="O545" s="14">
        <f>IF(B545="","",IF(J545&lt;&gt;"",0,ROUND(M545*N545,2)))</f>
        <v/>
      </c>
      <c r="P545" s="15">
        <f>IF(OR(B545="",J545&lt;&gt;""),"",IF(L545&lt;&gt;"",L545,IF(COUNTIFS(Invoices!$C$6:$C$305,C545,Invoices!$E$6:$E$305,"&lt;="&amp;B545,Invoices!$F$6:$F$305,"&gt;="&amp;B545)=1,INDEX(Invoices!$B$6:$B$305,SUMIFS(Invoices!$O$6:$O$305,Invoices!$C$6:$C$305,C545,Invoices!$E$6:$E$305,"&lt;="&amp;B545,Invoices!$F$6:$F$305,"&gt;="&amp;B545)),IF(COUNTIFS(Invoices!$C$6:$C$305,C545,Invoices!$E$6:$E$305,"&lt;="&amp;B545,Invoices!$F$6:$F$305,"&gt;="&amp;B545)&gt;1,"Two invoices",""))))</f>
        <v/>
      </c>
      <c r="Q545" s="15">
        <f>IF(B545="","",IF(J545&lt;&gt;"","Not billable",IF(P545="","To invoice",IF(P545="Two invoices","Check dates",IF(ISNA(MATCH(P545,Invoices!$B$6:$B$305,0)),"Check number",IF(INDEX(Invoices!$M$6:$M$305,MATCH(P545,Invoices!$B$6:$B$305,0))="Paid","Paid",IF(INDEX(Invoices!$M$6:$M$305,MATCH(P545,Invoices!$B$6:$B$305,0))="Draft","Draft","Invoiced")))))))</f>
        <v/>
      </c>
      <c r="R545" s="1">
        <f>IF(AND(B545&lt;&gt;"",P545&lt;&gt;"",P545=Invoice!$G$4),B545+MOD(N(F545),1)+ROW()/10000000,"")</f>
        <v/>
      </c>
      <c r="S545">
        <f>IF(R545="","",IF(D545="","Other work",D545)&amp;IF(AND(K545&lt;&gt;"",E545&lt;&gt;""),", "&amp;E545,""))</f>
        <v/>
      </c>
      <c r="T545">
        <f>IF(R545="","",IF(COUNTIFS(R$6:R544,"&gt;0",S$6:S544,S545,N$6:N544,N545)=0,R545,""))</f>
        <v/>
      </c>
      <c r="U545">
        <f>IF(B545="","",IF(J545&lt;&gt;"",0,M545))</f>
        <v/>
      </c>
    </row>
    <row r="546">
      <c r="A546" s="1" t="n"/>
      <c r="B546" s="16" t="n"/>
      <c r="C546" s="17" t="n"/>
      <c r="D546" s="18" t="n"/>
      <c r="E546" s="18" t="n"/>
      <c r="F546" s="19" t="n"/>
      <c r="G546" s="19" t="n"/>
      <c r="H546" s="20" t="n"/>
      <c r="I546" s="21" t="n"/>
      <c r="J546" s="22" t="n"/>
      <c r="K546" s="23" t="n"/>
      <c r="L546" s="18" t="n"/>
      <c r="M546" s="24">
        <f>IF(B546="","",IF(AND(F546&lt;&gt;"",G546&lt;&gt;""),MAX(0,ROUND(MOD(G546-F546,1)*24-N(H546)/60,2)),N(I546)))</f>
        <v/>
      </c>
      <c r="N546" s="14">
        <f>IF(B546="","",IF(K546&lt;&gt;"",K546,IF(N(IFERROR(INDEX(Projects!$D$6:$D$65,MATCH(D546,Projects!$B$6:$B$65,0)),""))&gt;0,IFERROR(INDEX(Projects!$D$6:$D$65,MATCH(D546,Projects!$B$6:$B$65,0)),""),IFERROR(INDEX(Clients!$G$6:$G$45,MATCH(C546,Clients!$B$6:$B$45,0)),0))))</f>
        <v/>
      </c>
      <c r="O546" s="14">
        <f>IF(B546="","",IF(J546&lt;&gt;"",0,ROUND(M546*N546,2)))</f>
        <v/>
      </c>
      <c r="P546" s="15">
        <f>IF(OR(B546="",J546&lt;&gt;""),"",IF(L546&lt;&gt;"",L546,IF(COUNTIFS(Invoices!$C$6:$C$305,C546,Invoices!$E$6:$E$305,"&lt;="&amp;B546,Invoices!$F$6:$F$305,"&gt;="&amp;B546)=1,INDEX(Invoices!$B$6:$B$305,SUMIFS(Invoices!$O$6:$O$305,Invoices!$C$6:$C$305,C546,Invoices!$E$6:$E$305,"&lt;="&amp;B546,Invoices!$F$6:$F$305,"&gt;="&amp;B546)),IF(COUNTIFS(Invoices!$C$6:$C$305,C546,Invoices!$E$6:$E$305,"&lt;="&amp;B546,Invoices!$F$6:$F$305,"&gt;="&amp;B546)&gt;1,"Two invoices",""))))</f>
        <v/>
      </c>
      <c r="Q546" s="15">
        <f>IF(B546="","",IF(J546&lt;&gt;"","Not billable",IF(P546="","To invoice",IF(P546="Two invoices","Check dates",IF(ISNA(MATCH(P546,Invoices!$B$6:$B$305,0)),"Check number",IF(INDEX(Invoices!$M$6:$M$305,MATCH(P546,Invoices!$B$6:$B$305,0))="Paid","Paid",IF(INDEX(Invoices!$M$6:$M$305,MATCH(P546,Invoices!$B$6:$B$305,0))="Draft","Draft","Invoiced")))))))</f>
        <v/>
      </c>
      <c r="R546" s="1">
        <f>IF(AND(B546&lt;&gt;"",P546&lt;&gt;"",P546=Invoice!$G$4),B546+MOD(N(F546),1)+ROW()/10000000,"")</f>
        <v/>
      </c>
      <c r="S546">
        <f>IF(R546="","",IF(D546="","Other work",D546)&amp;IF(AND(K546&lt;&gt;"",E546&lt;&gt;""),", "&amp;E546,""))</f>
        <v/>
      </c>
      <c r="T546">
        <f>IF(R546="","",IF(COUNTIFS(R$6:R545,"&gt;0",S$6:S545,S546,N$6:N545,N546)=0,R546,""))</f>
        <v/>
      </c>
      <c r="U546">
        <f>IF(B546="","",IF(J546&lt;&gt;"",0,M546))</f>
        <v/>
      </c>
    </row>
    <row r="547">
      <c r="A547" s="1" t="n"/>
      <c r="B547" s="16" t="n"/>
      <c r="C547" s="17" t="n"/>
      <c r="D547" s="18" t="n"/>
      <c r="E547" s="18" t="n"/>
      <c r="F547" s="19" t="n"/>
      <c r="G547" s="19" t="n"/>
      <c r="H547" s="20" t="n"/>
      <c r="I547" s="21" t="n"/>
      <c r="J547" s="22" t="n"/>
      <c r="K547" s="23" t="n"/>
      <c r="L547" s="18" t="n"/>
      <c r="M547" s="24">
        <f>IF(B547="","",IF(AND(F547&lt;&gt;"",G547&lt;&gt;""),MAX(0,ROUND(MOD(G547-F547,1)*24-N(H547)/60,2)),N(I547)))</f>
        <v/>
      </c>
      <c r="N547" s="14">
        <f>IF(B547="","",IF(K547&lt;&gt;"",K547,IF(N(IFERROR(INDEX(Projects!$D$6:$D$65,MATCH(D547,Projects!$B$6:$B$65,0)),""))&gt;0,IFERROR(INDEX(Projects!$D$6:$D$65,MATCH(D547,Projects!$B$6:$B$65,0)),""),IFERROR(INDEX(Clients!$G$6:$G$45,MATCH(C547,Clients!$B$6:$B$45,0)),0))))</f>
        <v/>
      </c>
      <c r="O547" s="14">
        <f>IF(B547="","",IF(J547&lt;&gt;"",0,ROUND(M547*N547,2)))</f>
        <v/>
      </c>
      <c r="P547" s="15">
        <f>IF(OR(B547="",J547&lt;&gt;""),"",IF(L547&lt;&gt;"",L547,IF(COUNTIFS(Invoices!$C$6:$C$305,C547,Invoices!$E$6:$E$305,"&lt;="&amp;B547,Invoices!$F$6:$F$305,"&gt;="&amp;B547)=1,INDEX(Invoices!$B$6:$B$305,SUMIFS(Invoices!$O$6:$O$305,Invoices!$C$6:$C$305,C547,Invoices!$E$6:$E$305,"&lt;="&amp;B547,Invoices!$F$6:$F$305,"&gt;="&amp;B547)),IF(COUNTIFS(Invoices!$C$6:$C$305,C547,Invoices!$E$6:$E$305,"&lt;="&amp;B547,Invoices!$F$6:$F$305,"&gt;="&amp;B547)&gt;1,"Two invoices",""))))</f>
        <v/>
      </c>
      <c r="Q547" s="15">
        <f>IF(B547="","",IF(J547&lt;&gt;"","Not billable",IF(P547="","To invoice",IF(P547="Two invoices","Check dates",IF(ISNA(MATCH(P547,Invoices!$B$6:$B$305,0)),"Check number",IF(INDEX(Invoices!$M$6:$M$305,MATCH(P547,Invoices!$B$6:$B$305,0))="Paid","Paid",IF(INDEX(Invoices!$M$6:$M$305,MATCH(P547,Invoices!$B$6:$B$305,0))="Draft","Draft","Invoiced")))))))</f>
        <v/>
      </c>
      <c r="R547" s="1">
        <f>IF(AND(B547&lt;&gt;"",P547&lt;&gt;"",P547=Invoice!$G$4),B547+MOD(N(F547),1)+ROW()/10000000,"")</f>
        <v/>
      </c>
      <c r="S547">
        <f>IF(R547="","",IF(D547="","Other work",D547)&amp;IF(AND(K547&lt;&gt;"",E547&lt;&gt;""),", "&amp;E547,""))</f>
        <v/>
      </c>
      <c r="T547">
        <f>IF(R547="","",IF(COUNTIFS(R$6:R546,"&gt;0",S$6:S546,S547,N$6:N546,N547)=0,R547,""))</f>
        <v/>
      </c>
      <c r="U547">
        <f>IF(B547="","",IF(J547&lt;&gt;"",0,M547))</f>
        <v/>
      </c>
    </row>
    <row r="548">
      <c r="A548" s="1" t="n"/>
      <c r="B548" s="16" t="n"/>
      <c r="C548" s="17" t="n"/>
      <c r="D548" s="18" t="n"/>
      <c r="E548" s="18" t="n"/>
      <c r="F548" s="19" t="n"/>
      <c r="G548" s="19" t="n"/>
      <c r="H548" s="20" t="n"/>
      <c r="I548" s="21" t="n"/>
      <c r="J548" s="22" t="n"/>
      <c r="K548" s="23" t="n"/>
      <c r="L548" s="18" t="n"/>
      <c r="M548" s="24">
        <f>IF(B548="","",IF(AND(F548&lt;&gt;"",G548&lt;&gt;""),MAX(0,ROUND(MOD(G548-F548,1)*24-N(H548)/60,2)),N(I548)))</f>
        <v/>
      </c>
      <c r="N548" s="14">
        <f>IF(B548="","",IF(K548&lt;&gt;"",K548,IF(N(IFERROR(INDEX(Projects!$D$6:$D$65,MATCH(D548,Projects!$B$6:$B$65,0)),""))&gt;0,IFERROR(INDEX(Projects!$D$6:$D$65,MATCH(D548,Projects!$B$6:$B$65,0)),""),IFERROR(INDEX(Clients!$G$6:$G$45,MATCH(C548,Clients!$B$6:$B$45,0)),0))))</f>
        <v/>
      </c>
      <c r="O548" s="14">
        <f>IF(B548="","",IF(J548&lt;&gt;"",0,ROUND(M548*N548,2)))</f>
        <v/>
      </c>
      <c r="P548" s="15">
        <f>IF(OR(B548="",J548&lt;&gt;""),"",IF(L548&lt;&gt;"",L548,IF(COUNTIFS(Invoices!$C$6:$C$305,C548,Invoices!$E$6:$E$305,"&lt;="&amp;B548,Invoices!$F$6:$F$305,"&gt;="&amp;B548)=1,INDEX(Invoices!$B$6:$B$305,SUMIFS(Invoices!$O$6:$O$305,Invoices!$C$6:$C$305,C548,Invoices!$E$6:$E$305,"&lt;="&amp;B548,Invoices!$F$6:$F$305,"&gt;="&amp;B548)),IF(COUNTIFS(Invoices!$C$6:$C$305,C548,Invoices!$E$6:$E$305,"&lt;="&amp;B548,Invoices!$F$6:$F$305,"&gt;="&amp;B548)&gt;1,"Two invoices",""))))</f>
        <v/>
      </c>
      <c r="Q548" s="15">
        <f>IF(B548="","",IF(J548&lt;&gt;"","Not billable",IF(P548="","To invoice",IF(P548="Two invoices","Check dates",IF(ISNA(MATCH(P548,Invoices!$B$6:$B$305,0)),"Check number",IF(INDEX(Invoices!$M$6:$M$305,MATCH(P548,Invoices!$B$6:$B$305,0))="Paid","Paid",IF(INDEX(Invoices!$M$6:$M$305,MATCH(P548,Invoices!$B$6:$B$305,0))="Draft","Draft","Invoiced")))))))</f>
        <v/>
      </c>
      <c r="R548" s="1">
        <f>IF(AND(B548&lt;&gt;"",P548&lt;&gt;"",P548=Invoice!$G$4),B548+MOD(N(F548),1)+ROW()/10000000,"")</f>
        <v/>
      </c>
      <c r="S548">
        <f>IF(R548="","",IF(D548="","Other work",D548)&amp;IF(AND(K548&lt;&gt;"",E548&lt;&gt;""),", "&amp;E548,""))</f>
        <v/>
      </c>
      <c r="T548">
        <f>IF(R548="","",IF(COUNTIFS(R$6:R547,"&gt;0",S$6:S547,S548,N$6:N547,N548)=0,R548,""))</f>
        <v/>
      </c>
      <c r="U548">
        <f>IF(B548="","",IF(J548&lt;&gt;"",0,M548))</f>
        <v/>
      </c>
    </row>
    <row r="549">
      <c r="A549" s="1" t="n"/>
      <c r="B549" s="16" t="n"/>
      <c r="C549" s="17" t="n"/>
      <c r="D549" s="18" t="n"/>
      <c r="E549" s="18" t="n"/>
      <c r="F549" s="19" t="n"/>
      <c r="G549" s="19" t="n"/>
      <c r="H549" s="20" t="n"/>
      <c r="I549" s="21" t="n"/>
      <c r="J549" s="22" t="n"/>
      <c r="K549" s="23" t="n"/>
      <c r="L549" s="18" t="n"/>
      <c r="M549" s="24">
        <f>IF(B549="","",IF(AND(F549&lt;&gt;"",G549&lt;&gt;""),MAX(0,ROUND(MOD(G549-F549,1)*24-N(H549)/60,2)),N(I549)))</f>
        <v/>
      </c>
      <c r="N549" s="14">
        <f>IF(B549="","",IF(K549&lt;&gt;"",K549,IF(N(IFERROR(INDEX(Projects!$D$6:$D$65,MATCH(D549,Projects!$B$6:$B$65,0)),""))&gt;0,IFERROR(INDEX(Projects!$D$6:$D$65,MATCH(D549,Projects!$B$6:$B$65,0)),""),IFERROR(INDEX(Clients!$G$6:$G$45,MATCH(C549,Clients!$B$6:$B$45,0)),0))))</f>
        <v/>
      </c>
      <c r="O549" s="14">
        <f>IF(B549="","",IF(J549&lt;&gt;"",0,ROUND(M549*N549,2)))</f>
        <v/>
      </c>
      <c r="P549" s="15">
        <f>IF(OR(B549="",J549&lt;&gt;""),"",IF(L549&lt;&gt;"",L549,IF(COUNTIFS(Invoices!$C$6:$C$305,C549,Invoices!$E$6:$E$305,"&lt;="&amp;B549,Invoices!$F$6:$F$305,"&gt;="&amp;B549)=1,INDEX(Invoices!$B$6:$B$305,SUMIFS(Invoices!$O$6:$O$305,Invoices!$C$6:$C$305,C549,Invoices!$E$6:$E$305,"&lt;="&amp;B549,Invoices!$F$6:$F$305,"&gt;="&amp;B549)),IF(COUNTIFS(Invoices!$C$6:$C$305,C549,Invoices!$E$6:$E$305,"&lt;="&amp;B549,Invoices!$F$6:$F$305,"&gt;="&amp;B549)&gt;1,"Two invoices",""))))</f>
        <v/>
      </c>
      <c r="Q549" s="15">
        <f>IF(B549="","",IF(J549&lt;&gt;"","Not billable",IF(P549="","To invoice",IF(P549="Two invoices","Check dates",IF(ISNA(MATCH(P549,Invoices!$B$6:$B$305,0)),"Check number",IF(INDEX(Invoices!$M$6:$M$305,MATCH(P549,Invoices!$B$6:$B$305,0))="Paid","Paid",IF(INDEX(Invoices!$M$6:$M$305,MATCH(P549,Invoices!$B$6:$B$305,0))="Draft","Draft","Invoiced")))))))</f>
        <v/>
      </c>
      <c r="R549" s="1">
        <f>IF(AND(B549&lt;&gt;"",P549&lt;&gt;"",P549=Invoice!$G$4),B549+MOD(N(F549),1)+ROW()/10000000,"")</f>
        <v/>
      </c>
      <c r="S549">
        <f>IF(R549="","",IF(D549="","Other work",D549)&amp;IF(AND(K549&lt;&gt;"",E549&lt;&gt;""),", "&amp;E549,""))</f>
        <v/>
      </c>
      <c r="T549">
        <f>IF(R549="","",IF(COUNTIFS(R$6:R548,"&gt;0",S$6:S548,S549,N$6:N548,N549)=0,R549,""))</f>
        <v/>
      </c>
      <c r="U549">
        <f>IF(B549="","",IF(J549&lt;&gt;"",0,M549))</f>
        <v/>
      </c>
    </row>
    <row r="550">
      <c r="A550" s="1" t="n"/>
      <c r="B550" s="16" t="n"/>
      <c r="C550" s="17" t="n"/>
      <c r="D550" s="18" t="n"/>
      <c r="E550" s="18" t="n"/>
      <c r="F550" s="19" t="n"/>
      <c r="G550" s="19" t="n"/>
      <c r="H550" s="20" t="n"/>
      <c r="I550" s="21" t="n"/>
      <c r="J550" s="22" t="n"/>
      <c r="K550" s="23" t="n"/>
      <c r="L550" s="18" t="n"/>
      <c r="M550" s="24">
        <f>IF(B550="","",IF(AND(F550&lt;&gt;"",G550&lt;&gt;""),MAX(0,ROUND(MOD(G550-F550,1)*24-N(H550)/60,2)),N(I550)))</f>
        <v/>
      </c>
      <c r="N550" s="14">
        <f>IF(B550="","",IF(K550&lt;&gt;"",K550,IF(N(IFERROR(INDEX(Projects!$D$6:$D$65,MATCH(D550,Projects!$B$6:$B$65,0)),""))&gt;0,IFERROR(INDEX(Projects!$D$6:$D$65,MATCH(D550,Projects!$B$6:$B$65,0)),""),IFERROR(INDEX(Clients!$G$6:$G$45,MATCH(C550,Clients!$B$6:$B$45,0)),0))))</f>
        <v/>
      </c>
      <c r="O550" s="14">
        <f>IF(B550="","",IF(J550&lt;&gt;"",0,ROUND(M550*N550,2)))</f>
        <v/>
      </c>
      <c r="P550" s="15">
        <f>IF(OR(B550="",J550&lt;&gt;""),"",IF(L550&lt;&gt;"",L550,IF(COUNTIFS(Invoices!$C$6:$C$305,C550,Invoices!$E$6:$E$305,"&lt;="&amp;B550,Invoices!$F$6:$F$305,"&gt;="&amp;B550)=1,INDEX(Invoices!$B$6:$B$305,SUMIFS(Invoices!$O$6:$O$305,Invoices!$C$6:$C$305,C550,Invoices!$E$6:$E$305,"&lt;="&amp;B550,Invoices!$F$6:$F$305,"&gt;="&amp;B550)),IF(COUNTIFS(Invoices!$C$6:$C$305,C550,Invoices!$E$6:$E$305,"&lt;="&amp;B550,Invoices!$F$6:$F$305,"&gt;="&amp;B550)&gt;1,"Two invoices",""))))</f>
        <v/>
      </c>
      <c r="Q550" s="15">
        <f>IF(B550="","",IF(J550&lt;&gt;"","Not billable",IF(P550="","To invoice",IF(P550="Two invoices","Check dates",IF(ISNA(MATCH(P550,Invoices!$B$6:$B$305,0)),"Check number",IF(INDEX(Invoices!$M$6:$M$305,MATCH(P550,Invoices!$B$6:$B$305,0))="Paid","Paid",IF(INDEX(Invoices!$M$6:$M$305,MATCH(P550,Invoices!$B$6:$B$305,0))="Draft","Draft","Invoiced")))))))</f>
        <v/>
      </c>
      <c r="R550" s="1">
        <f>IF(AND(B550&lt;&gt;"",P550&lt;&gt;"",P550=Invoice!$G$4),B550+MOD(N(F550),1)+ROW()/10000000,"")</f>
        <v/>
      </c>
      <c r="S550">
        <f>IF(R550="","",IF(D550="","Other work",D550)&amp;IF(AND(K550&lt;&gt;"",E550&lt;&gt;""),", "&amp;E550,""))</f>
        <v/>
      </c>
      <c r="T550">
        <f>IF(R550="","",IF(COUNTIFS(R$6:R549,"&gt;0",S$6:S549,S550,N$6:N549,N550)=0,R550,""))</f>
        <v/>
      </c>
      <c r="U550">
        <f>IF(B550="","",IF(J550&lt;&gt;"",0,M550))</f>
        <v/>
      </c>
    </row>
    <row r="551">
      <c r="A551" s="1" t="n"/>
      <c r="B551" s="16" t="n"/>
      <c r="C551" s="17" t="n"/>
      <c r="D551" s="18" t="n"/>
      <c r="E551" s="18" t="n"/>
      <c r="F551" s="19" t="n"/>
      <c r="G551" s="19" t="n"/>
      <c r="H551" s="20" t="n"/>
      <c r="I551" s="21" t="n"/>
      <c r="J551" s="22" t="n"/>
      <c r="K551" s="23" t="n"/>
      <c r="L551" s="18" t="n"/>
      <c r="M551" s="24">
        <f>IF(B551="","",IF(AND(F551&lt;&gt;"",G551&lt;&gt;""),MAX(0,ROUND(MOD(G551-F551,1)*24-N(H551)/60,2)),N(I551)))</f>
        <v/>
      </c>
      <c r="N551" s="14">
        <f>IF(B551="","",IF(K551&lt;&gt;"",K551,IF(N(IFERROR(INDEX(Projects!$D$6:$D$65,MATCH(D551,Projects!$B$6:$B$65,0)),""))&gt;0,IFERROR(INDEX(Projects!$D$6:$D$65,MATCH(D551,Projects!$B$6:$B$65,0)),""),IFERROR(INDEX(Clients!$G$6:$G$45,MATCH(C551,Clients!$B$6:$B$45,0)),0))))</f>
        <v/>
      </c>
      <c r="O551" s="14">
        <f>IF(B551="","",IF(J551&lt;&gt;"",0,ROUND(M551*N551,2)))</f>
        <v/>
      </c>
      <c r="P551" s="15">
        <f>IF(OR(B551="",J551&lt;&gt;""),"",IF(L551&lt;&gt;"",L551,IF(COUNTIFS(Invoices!$C$6:$C$305,C551,Invoices!$E$6:$E$305,"&lt;="&amp;B551,Invoices!$F$6:$F$305,"&gt;="&amp;B551)=1,INDEX(Invoices!$B$6:$B$305,SUMIFS(Invoices!$O$6:$O$305,Invoices!$C$6:$C$305,C551,Invoices!$E$6:$E$305,"&lt;="&amp;B551,Invoices!$F$6:$F$305,"&gt;="&amp;B551)),IF(COUNTIFS(Invoices!$C$6:$C$305,C551,Invoices!$E$6:$E$305,"&lt;="&amp;B551,Invoices!$F$6:$F$305,"&gt;="&amp;B551)&gt;1,"Two invoices",""))))</f>
        <v/>
      </c>
      <c r="Q551" s="15">
        <f>IF(B551="","",IF(J551&lt;&gt;"","Not billable",IF(P551="","To invoice",IF(P551="Two invoices","Check dates",IF(ISNA(MATCH(P551,Invoices!$B$6:$B$305,0)),"Check number",IF(INDEX(Invoices!$M$6:$M$305,MATCH(P551,Invoices!$B$6:$B$305,0))="Paid","Paid",IF(INDEX(Invoices!$M$6:$M$305,MATCH(P551,Invoices!$B$6:$B$305,0))="Draft","Draft","Invoiced")))))))</f>
        <v/>
      </c>
      <c r="R551" s="1">
        <f>IF(AND(B551&lt;&gt;"",P551&lt;&gt;"",P551=Invoice!$G$4),B551+MOD(N(F551),1)+ROW()/10000000,"")</f>
        <v/>
      </c>
      <c r="S551">
        <f>IF(R551="","",IF(D551="","Other work",D551)&amp;IF(AND(K551&lt;&gt;"",E551&lt;&gt;""),", "&amp;E551,""))</f>
        <v/>
      </c>
      <c r="T551">
        <f>IF(R551="","",IF(COUNTIFS(R$6:R550,"&gt;0",S$6:S550,S551,N$6:N550,N551)=0,R551,""))</f>
        <v/>
      </c>
      <c r="U551">
        <f>IF(B551="","",IF(J551&lt;&gt;"",0,M551))</f>
        <v/>
      </c>
    </row>
    <row r="552">
      <c r="A552" s="1" t="n"/>
      <c r="B552" s="16" t="n"/>
      <c r="C552" s="17" t="n"/>
      <c r="D552" s="18" t="n"/>
      <c r="E552" s="18" t="n"/>
      <c r="F552" s="19" t="n"/>
      <c r="G552" s="19" t="n"/>
      <c r="H552" s="20" t="n"/>
      <c r="I552" s="21" t="n"/>
      <c r="J552" s="22" t="n"/>
      <c r="K552" s="23" t="n"/>
      <c r="L552" s="18" t="n"/>
      <c r="M552" s="24">
        <f>IF(B552="","",IF(AND(F552&lt;&gt;"",G552&lt;&gt;""),MAX(0,ROUND(MOD(G552-F552,1)*24-N(H552)/60,2)),N(I552)))</f>
        <v/>
      </c>
      <c r="N552" s="14">
        <f>IF(B552="","",IF(K552&lt;&gt;"",K552,IF(N(IFERROR(INDEX(Projects!$D$6:$D$65,MATCH(D552,Projects!$B$6:$B$65,0)),""))&gt;0,IFERROR(INDEX(Projects!$D$6:$D$65,MATCH(D552,Projects!$B$6:$B$65,0)),""),IFERROR(INDEX(Clients!$G$6:$G$45,MATCH(C552,Clients!$B$6:$B$45,0)),0))))</f>
        <v/>
      </c>
      <c r="O552" s="14">
        <f>IF(B552="","",IF(J552&lt;&gt;"",0,ROUND(M552*N552,2)))</f>
        <v/>
      </c>
      <c r="P552" s="15">
        <f>IF(OR(B552="",J552&lt;&gt;""),"",IF(L552&lt;&gt;"",L552,IF(COUNTIFS(Invoices!$C$6:$C$305,C552,Invoices!$E$6:$E$305,"&lt;="&amp;B552,Invoices!$F$6:$F$305,"&gt;="&amp;B552)=1,INDEX(Invoices!$B$6:$B$305,SUMIFS(Invoices!$O$6:$O$305,Invoices!$C$6:$C$305,C552,Invoices!$E$6:$E$305,"&lt;="&amp;B552,Invoices!$F$6:$F$305,"&gt;="&amp;B552)),IF(COUNTIFS(Invoices!$C$6:$C$305,C552,Invoices!$E$6:$E$305,"&lt;="&amp;B552,Invoices!$F$6:$F$305,"&gt;="&amp;B552)&gt;1,"Two invoices",""))))</f>
        <v/>
      </c>
      <c r="Q552" s="15">
        <f>IF(B552="","",IF(J552&lt;&gt;"","Not billable",IF(P552="","To invoice",IF(P552="Two invoices","Check dates",IF(ISNA(MATCH(P552,Invoices!$B$6:$B$305,0)),"Check number",IF(INDEX(Invoices!$M$6:$M$305,MATCH(P552,Invoices!$B$6:$B$305,0))="Paid","Paid",IF(INDEX(Invoices!$M$6:$M$305,MATCH(P552,Invoices!$B$6:$B$305,0))="Draft","Draft","Invoiced")))))))</f>
        <v/>
      </c>
      <c r="R552" s="1">
        <f>IF(AND(B552&lt;&gt;"",P552&lt;&gt;"",P552=Invoice!$G$4),B552+MOD(N(F552),1)+ROW()/10000000,"")</f>
        <v/>
      </c>
      <c r="S552">
        <f>IF(R552="","",IF(D552="","Other work",D552)&amp;IF(AND(K552&lt;&gt;"",E552&lt;&gt;""),", "&amp;E552,""))</f>
        <v/>
      </c>
      <c r="T552">
        <f>IF(R552="","",IF(COUNTIFS(R$6:R551,"&gt;0",S$6:S551,S552,N$6:N551,N552)=0,R552,""))</f>
        <v/>
      </c>
      <c r="U552">
        <f>IF(B552="","",IF(J552&lt;&gt;"",0,M552))</f>
        <v/>
      </c>
    </row>
    <row r="553">
      <c r="A553" s="1" t="n"/>
      <c r="B553" s="16" t="n"/>
      <c r="C553" s="17" t="n"/>
      <c r="D553" s="18" t="n"/>
      <c r="E553" s="18" t="n"/>
      <c r="F553" s="19" t="n"/>
      <c r="G553" s="19" t="n"/>
      <c r="H553" s="20" t="n"/>
      <c r="I553" s="21" t="n"/>
      <c r="J553" s="22" t="n"/>
      <c r="K553" s="23" t="n"/>
      <c r="L553" s="18" t="n"/>
      <c r="M553" s="24">
        <f>IF(B553="","",IF(AND(F553&lt;&gt;"",G553&lt;&gt;""),MAX(0,ROUND(MOD(G553-F553,1)*24-N(H553)/60,2)),N(I553)))</f>
        <v/>
      </c>
      <c r="N553" s="14">
        <f>IF(B553="","",IF(K553&lt;&gt;"",K553,IF(N(IFERROR(INDEX(Projects!$D$6:$D$65,MATCH(D553,Projects!$B$6:$B$65,0)),""))&gt;0,IFERROR(INDEX(Projects!$D$6:$D$65,MATCH(D553,Projects!$B$6:$B$65,0)),""),IFERROR(INDEX(Clients!$G$6:$G$45,MATCH(C553,Clients!$B$6:$B$45,0)),0))))</f>
        <v/>
      </c>
      <c r="O553" s="14">
        <f>IF(B553="","",IF(J553&lt;&gt;"",0,ROUND(M553*N553,2)))</f>
        <v/>
      </c>
      <c r="P553" s="15">
        <f>IF(OR(B553="",J553&lt;&gt;""),"",IF(L553&lt;&gt;"",L553,IF(COUNTIFS(Invoices!$C$6:$C$305,C553,Invoices!$E$6:$E$305,"&lt;="&amp;B553,Invoices!$F$6:$F$305,"&gt;="&amp;B553)=1,INDEX(Invoices!$B$6:$B$305,SUMIFS(Invoices!$O$6:$O$305,Invoices!$C$6:$C$305,C553,Invoices!$E$6:$E$305,"&lt;="&amp;B553,Invoices!$F$6:$F$305,"&gt;="&amp;B553)),IF(COUNTIFS(Invoices!$C$6:$C$305,C553,Invoices!$E$6:$E$305,"&lt;="&amp;B553,Invoices!$F$6:$F$305,"&gt;="&amp;B553)&gt;1,"Two invoices",""))))</f>
        <v/>
      </c>
      <c r="Q553" s="15">
        <f>IF(B553="","",IF(J553&lt;&gt;"","Not billable",IF(P553="","To invoice",IF(P553="Two invoices","Check dates",IF(ISNA(MATCH(P553,Invoices!$B$6:$B$305,0)),"Check number",IF(INDEX(Invoices!$M$6:$M$305,MATCH(P553,Invoices!$B$6:$B$305,0))="Paid","Paid",IF(INDEX(Invoices!$M$6:$M$305,MATCH(P553,Invoices!$B$6:$B$305,0))="Draft","Draft","Invoiced")))))))</f>
        <v/>
      </c>
      <c r="R553" s="1">
        <f>IF(AND(B553&lt;&gt;"",P553&lt;&gt;"",P553=Invoice!$G$4),B553+MOD(N(F553),1)+ROW()/10000000,"")</f>
        <v/>
      </c>
      <c r="S553">
        <f>IF(R553="","",IF(D553="","Other work",D553)&amp;IF(AND(K553&lt;&gt;"",E553&lt;&gt;""),", "&amp;E553,""))</f>
        <v/>
      </c>
      <c r="T553">
        <f>IF(R553="","",IF(COUNTIFS(R$6:R552,"&gt;0",S$6:S552,S553,N$6:N552,N553)=0,R553,""))</f>
        <v/>
      </c>
      <c r="U553">
        <f>IF(B553="","",IF(J553&lt;&gt;"",0,M553))</f>
        <v/>
      </c>
    </row>
    <row r="554">
      <c r="A554" s="1" t="n"/>
      <c r="B554" s="16" t="n"/>
      <c r="C554" s="17" t="n"/>
      <c r="D554" s="18" t="n"/>
      <c r="E554" s="18" t="n"/>
      <c r="F554" s="19" t="n"/>
      <c r="G554" s="19" t="n"/>
      <c r="H554" s="20" t="n"/>
      <c r="I554" s="21" t="n"/>
      <c r="J554" s="22" t="n"/>
      <c r="K554" s="23" t="n"/>
      <c r="L554" s="18" t="n"/>
      <c r="M554" s="24">
        <f>IF(B554="","",IF(AND(F554&lt;&gt;"",G554&lt;&gt;""),MAX(0,ROUND(MOD(G554-F554,1)*24-N(H554)/60,2)),N(I554)))</f>
        <v/>
      </c>
      <c r="N554" s="14">
        <f>IF(B554="","",IF(K554&lt;&gt;"",K554,IF(N(IFERROR(INDEX(Projects!$D$6:$D$65,MATCH(D554,Projects!$B$6:$B$65,0)),""))&gt;0,IFERROR(INDEX(Projects!$D$6:$D$65,MATCH(D554,Projects!$B$6:$B$65,0)),""),IFERROR(INDEX(Clients!$G$6:$G$45,MATCH(C554,Clients!$B$6:$B$45,0)),0))))</f>
        <v/>
      </c>
      <c r="O554" s="14">
        <f>IF(B554="","",IF(J554&lt;&gt;"",0,ROUND(M554*N554,2)))</f>
        <v/>
      </c>
      <c r="P554" s="15">
        <f>IF(OR(B554="",J554&lt;&gt;""),"",IF(L554&lt;&gt;"",L554,IF(COUNTIFS(Invoices!$C$6:$C$305,C554,Invoices!$E$6:$E$305,"&lt;="&amp;B554,Invoices!$F$6:$F$305,"&gt;="&amp;B554)=1,INDEX(Invoices!$B$6:$B$305,SUMIFS(Invoices!$O$6:$O$305,Invoices!$C$6:$C$305,C554,Invoices!$E$6:$E$305,"&lt;="&amp;B554,Invoices!$F$6:$F$305,"&gt;="&amp;B554)),IF(COUNTIFS(Invoices!$C$6:$C$305,C554,Invoices!$E$6:$E$305,"&lt;="&amp;B554,Invoices!$F$6:$F$305,"&gt;="&amp;B554)&gt;1,"Two invoices",""))))</f>
        <v/>
      </c>
      <c r="Q554" s="15">
        <f>IF(B554="","",IF(J554&lt;&gt;"","Not billable",IF(P554="","To invoice",IF(P554="Two invoices","Check dates",IF(ISNA(MATCH(P554,Invoices!$B$6:$B$305,0)),"Check number",IF(INDEX(Invoices!$M$6:$M$305,MATCH(P554,Invoices!$B$6:$B$305,0))="Paid","Paid",IF(INDEX(Invoices!$M$6:$M$305,MATCH(P554,Invoices!$B$6:$B$305,0))="Draft","Draft","Invoiced")))))))</f>
        <v/>
      </c>
      <c r="R554" s="1">
        <f>IF(AND(B554&lt;&gt;"",P554&lt;&gt;"",P554=Invoice!$G$4),B554+MOD(N(F554),1)+ROW()/10000000,"")</f>
        <v/>
      </c>
      <c r="S554">
        <f>IF(R554="","",IF(D554="","Other work",D554)&amp;IF(AND(K554&lt;&gt;"",E554&lt;&gt;""),", "&amp;E554,""))</f>
        <v/>
      </c>
      <c r="T554">
        <f>IF(R554="","",IF(COUNTIFS(R$6:R553,"&gt;0",S$6:S553,S554,N$6:N553,N554)=0,R554,""))</f>
        <v/>
      </c>
      <c r="U554">
        <f>IF(B554="","",IF(J554&lt;&gt;"",0,M554))</f>
        <v/>
      </c>
    </row>
    <row r="555">
      <c r="A555" s="1" t="n"/>
      <c r="B555" s="16" t="n"/>
      <c r="C555" s="17" t="n"/>
      <c r="D555" s="18" t="n"/>
      <c r="E555" s="18" t="n"/>
      <c r="F555" s="19" t="n"/>
      <c r="G555" s="19" t="n"/>
      <c r="H555" s="20" t="n"/>
      <c r="I555" s="21" t="n"/>
      <c r="J555" s="22" t="n"/>
      <c r="K555" s="23" t="n"/>
      <c r="L555" s="18" t="n"/>
      <c r="M555" s="24">
        <f>IF(B555="","",IF(AND(F555&lt;&gt;"",G555&lt;&gt;""),MAX(0,ROUND(MOD(G555-F555,1)*24-N(H555)/60,2)),N(I555)))</f>
        <v/>
      </c>
      <c r="N555" s="14">
        <f>IF(B555="","",IF(K555&lt;&gt;"",K555,IF(N(IFERROR(INDEX(Projects!$D$6:$D$65,MATCH(D555,Projects!$B$6:$B$65,0)),""))&gt;0,IFERROR(INDEX(Projects!$D$6:$D$65,MATCH(D555,Projects!$B$6:$B$65,0)),""),IFERROR(INDEX(Clients!$G$6:$G$45,MATCH(C555,Clients!$B$6:$B$45,0)),0))))</f>
        <v/>
      </c>
      <c r="O555" s="14">
        <f>IF(B555="","",IF(J555&lt;&gt;"",0,ROUND(M555*N555,2)))</f>
        <v/>
      </c>
      <c r="P555" s="15">
        <f>IF(OR(B555="",J555&lt;&gt;""),"",IF(L555&lt;&gt;"",L555,IF(COUNTIFS(Invoices!$C$6:$C$305,C555,Invoices!$E$6:$E$305,"&lt;="&amp;B555,Invoices!$F$6:$F$305,"&gt;="&amp;B555)=1,INDEX(Invoices!$B$6:$B$305,SUMIFS(Invoices!$O$6:$O$305,Invoices!$C$6:$C$305,C555,Invoices!$E$6:$E$305,"&lt;="&amp;B555,Invoices!$F$6:$F$305,"&gt;="&amp;B555)),IF(COUNTIFS(Invoices!$C$6:$C$305,C555,Invoices!$E$6:$E$305,"&lt;="&amp;B555,Invoices!$F$6:$F$305,"&gt;="&amp;B555)&gt;1,"Two invoices",""))))</f>
        <v/>
      </c>
      <c r="Q555" s="15">
        <f>IF(B555="","",IF(J555&lt;&gt;"","Not billable",IF(P555="","To invoice",IF(P555="Two invoices","Check dates",IF(ISNA(MATCH(P555,Invoices!$B$6:$B$305,0)),"Check number",IF(INDEX(Invoices!$M$6:$M$305,MATCH(P555,Invoices!$B$6:$B$305,0))="Paid","Paid",IF(INDEX(Invoices!$M$6:$M$305,MATCH(P555,Invoices!$B$6:$B$305,0))="Draft","Draft","Invoiced")))))))</f>
        <v/>
      </c>
      <c r="R555" s="1">
        <f>IF(AND(B555&lt;&gt;"",P555&lt;&gt;"",P555=Invoice!$G$4),B555+MOD(N(F555),1)+ROW()/10000000,"")</f>
        <v/>
      </c>
      <c r="S555">
        <f>IF(R555="","",IF(D555="","Other work",D555)&amp;IF(AND(K555&lt;&gt;"",E555&lt;&gt;""),", "&amp;E555,""))</f>
        <v/>
      </c>
      <c r="T555">
        <f>IF(R555="","",IF(COUNTIFS(R$6:R554,"&gt;0",S$6:S554,S555,N$6:N554,N555)=0,R555,""))</f>
        <v/>
      </c>
      <c r="U555">
        <f>IF(B555="","",IF(J555&lt;&gt;"",0,M555))</f>
        <v/>
      </c>
    </row>
    <row r="556">
      <c r="A556" s="1" t="n"/>
      <c r="B556" s="16" t="n"/>
      <c r="C556" s="17" t="n"/>
      <c r="D556" s="18" t="n"/>
      <c r="E556" s="18" t="n"/>
      <c r="F556" s="19" t="n"/>
      <c r="G556" s="19" t="n"/>
      <c r="H556" s="20" t="n"/>
      <c r="I556" s="21" t="n"/>
      <c r="J556" s="22" t="n"/>
      <c r="K556" s="23" t="n"/>
      <c r="L556" s="18" t="n"/>
      <c r="M556" s="24">
        <f>IF(B556="","",IF(AND(F556&lt;&gt;"",G556&lt;&gt;""),MAX(0,ROUND(MOD(G556-F556,1)*24-N(H556)/60,2)),N(I556)))</f>
        <v/>
      </c>
      <c r="N556" s="14">
        <f>IF(B556="","",IF(K556&lt;&gt;"",K556,IF(N(IFERROR(INDEX(Projects!$D$6:$D$65,MATCH(D556,Projects!$B$6:$B$65,0)),""))&gt;0,IFERROR(INDEX(Projects!$D$6:$D$65,MATCH(D556,Projects!$B$6:$B$65,0)),""),IFERROR(INDEX(Clients!$G$6:$G$45,MATCH(C556,Clients!$B$6:$B$45,0)),0))))</f>
        <v/>
      </c>
      <c r="O556" s="14">
        <f>IF(B556="","",IF(J556&lt;&gt;"",0,ROUND(M556*N556,2)))</f>
        <v/>
      </c>
      <c r="P556" s="15">
        <f>IF(OR(B556="",J556&lt;&gt;""),"",IF(L556&lt;&gt;"",L556,IF(COUNTIFS(Invoices!$C$6:$C$305,C556,Invoices!$E$6:$E$305,"&lt;="&amp;B556,Invoices!$F$6:$F$305,"&gt;="&amp;B556)=1,INDEX(Invoices!$B$6:$B$305,SUMIFS(Invoices!$O$6:$O$305,Invoices!$C$6:$C$305,C556,Invoices!$E$6:$E$305,"&lt;="&amp;B556,Invoices!$F$6:$F$305,"&gt;="&amp;B556)),IF(COUNTIFS(Invoices!$C$6:$C$305,C556,Invoices!$E$6:$E$305,"&lt;="&amp;B556,Invoices!$F$6:$F$305,"&gt;="&amp;B556)&gt;1,"Two invoices",""))))</f>
        <v/>
      </c>
      <c r="Q556" s="15">
        <f>IF(B556="","",IF(J556&lt;&gt;"","Not billable",IF(P556="","To invoice",IF(P556="Two invoices","Check dates",IF(ISNA(MATCH(P556,Invoices!$B$6:$B$305,0)),"Check number",IF(INDEX(Invoices!$M$6:$M$305,MATCH(P556,Invoices!$B$6:$B$305,0))="Paid","Paid",IF(INDEX(Invoices!$M$6:$M$305,MATCH(P556,Invoices!$B$6:$B$305,0))="Draft","Draft","Invoiced")))))))</f>
        <v/>
      </c>
      <c r="R556" s="1">
        <f>IF(AND(B556&lt;&gt;"",P556&lt;&gt;"",P556=Invoice!$G$4),B556+MOD(N(F556),1)+ROW()/10000000,"")</f>
        <v/>
      </c>
      <c r="S556">
        <f>IF(R556="","",IF(D556="","Other work",D556)&amp;IF(AND(K556&lt;&gt;"",E556&lt;&gt;""),", "&amp;E556,""))</f>
        <v/>
      </c>
      <c r="T556">
        <f>IF(R556="","",IF(COUNTIFS(R$6:R555,"&gt;0",S$6:S555,S556,N$6:N555,N556)=0,R556,""))</f>
        <v/>
      </c>
      <c r="U556">
        <f>IF(B556="","",IF(J556&lt;&gt;"",0,M556))</f>
        <v/>
      </c>
    </row>
    <row r="557">
      <c r="A557" s="1" t="n"/>
      <c r="B557" s="16" t="n"/>
      <c r="C557" s="17" t="n"/>
      <c r="D557" s="18" t="n"/>
      <c r="E557" s="18" t="n"/>
      <c r="F557" s="19" t="n"/>
      <c r="G557" s="19" t="n"/>
      <c r="H557" s="20" t="n"/>
      <c r="I557" s="21" t="n"/>
      <c r="J557" s="22" t="n"/>
      <c r="K557" s="23" t="n"/>
      <c r="L557" s="18" t="n"/>
      <c r="M557" s="24">
        <f>IF(B557="","",IF(AND(F557&lt;&gt;"",G557&lt;&gt;""),MAX(0,ROUND(MOD(G557-F557,1)*24-N(H557)/60,2)),N(I557)))</f>
        <v/>
      </c>
      <c r="N557" s="14">
        <f>IF(B557="","",IF(K557&lt;&gt;"",K557,IF(N(IFERROR(INDEX(Projects!$D$6:$D$65,MATCH(D557,Projects!$B$6:$B$65,0)),""))&gt;0,IFERROR(INDEX(Projects!$D$6:$D$65,MATCH(D557,Projects!$B$6:$B$65,0)),""),IFERROR(INDEX(Clients!$G$6:$G$45,MATCH(C557,Clients!$B$6:$B$45,0)),0))))</f>
        <v/>
      </c>
      <c r="O557" s="14">
        <f>IF(B557="","",IF(J557&lt;&gt;"",0,ROUND(M557*N557,2)))</f>
        <v/>
      </c>
      <c r="P557" s="15">
        <f>IF(OR(B557="",J557&lt;&gt;""),"",IF(L557&lt;&gt;"",L557,IF(COUNTIFS(Invoices!$C$6:$C$305,C557,Invoices!$E$6:$E$305,"&lt;="&amp;B557,Invoices!$F$6:$F$305,"&gt;="&amp;B557)=1,INDEX(Invoices!$B$6:$B$305,SUMIFS(Invoices!$O$6:$O$305,Invoices!$C$6:$C$305,C557,Invoices!$E$6:$E$305,"&lt;="&amp;B557,Invoices!$F$6:$F$305,"&gt;="&amp;B557)),IF(COUNTIFS(Invoices!$C$6:$C$305,C557,Invoices!$E$6:$E$305,"&lt;="&amp;B557,Invoices!$F$6:$F$305,"&gt;="&amp;B557)&gt;1,"Two invoices",""))))</f>
        <v/>
      </c>
      <c r="Q557" s="15">
        <f>IF(B557="","",IF(J557&lt;&gt;"","Not billable",IF(P557="","To invoice",IF(P557="Two invoices","Check dates",IF(ISNA(MATCH(P557,Invoices!$B$6:$B$305,0)),"Check number",IF(INDEX(Invoices!$M$6:$M$305,MATCH(P557,Invoices!$B$6:$B$305,0))="Paid","Paid",IF(INDEX(Invoices!$M$6:$M$305,MATCH(P557,Invoices!$B$6:$B$305,0))="Draft","Draft","Invoiced")))))))</f>
        <v/>
      </c>
      <c r="R557" s="1">
        <f>IF(AND(B557&lt;&gt;"",P557&lt;&gt;"",P557=Invoice!$G$4),B557+MOD(N(F557),1)+ROW()/10000000,"")</f>
        <v/>
      </c>
      <c r="S557">
        <f>IF(R557="","",IF(D557="","Other work",D557)&amp;IF(AND(K557&lt;&gt;"",E557&lt;&gt;""),", "&amp;E557,""))</f>
        <v/>
      </c>
      <c r="T557">
        <f>IF(R557="","",IF(COUNTIFS(R$6:R556,"&gt;0",S$6:S556,S557,N$6:N556,N557)=0,R557,""))</f>
        <v/>
      </c>
      <c r="U557">
        <f>IF(B557="","",IF(J557&lt;&gt;"",0,M557))</f>
        <v/>
      </c>
    </row>
    <row r="558">
      <c r="A558" s="1" t="n"/>
      <c r="B558" s="16" t="n"/>
      <c r="C558" s="17" t="n"/>
      <c r="D558" s="18" t="n"/>
      <c r="E558" s="18" t="n"/>
      <c r="F558" s="19" t="n"/>
      <c r="G558" s="19" t="n"/>
      <c r="H558" s="20" t="n"/>
      <c r="I558" s="21" t="n"/>
      <c r="J558" s="22" t="n"/>
      <c r="K558" s="23" t="n"/>
      <c r="L558" s="18" t="n"/>
      <c r="M558" s="24">
        <f>IF(B558="","",IF(AND(F558&lt;&gt;"",G558&lt;&gt;""),MAX(0,ROUND(MOD(G558-F558,1)*24-N(H558)/60,2)),N(I558)))</f>
        <v/>
      </c>
      <c r="N558" s="14">
        <f>IF(B558="","",IF(K558&lt;&gt;"",K558,IF(N(IFERROR(INDEX(Projects!$D$6:$D$65,MATCH(D558,Projects!$B$6:$B$65,0)),""))&gt;0,IFERROR(INDEX(Projects!$D$6:$D$65,MATCH(D558,Projects!$B$6:$B$65,0)),""),IFERROR(INDEX(Clients!$G$6:$G$45,MATCH(C558,Clients!$B$6:$B$45,0)),0))))</f>
        <v/>
      </c>
      <c r="O558" s="14">
        <f>IF(B558="","",IF(J558&lt;&gt;"",0,ROUND(M558*N558,2)))</f>
        <v/>
      </c>
      <c r="P558" s="15">
        <f>IF(OR(B558="",J558&lt;&gt;""),"",IF(L558&lt;&gt;"",L558,IF(COUNTIFS(Invoices!$C$6:$C$305,C558,Invoices!$E$6:$E$305,"&lt;="&amp;B558,Invoices!$F$6:$F$305,"&gt;="&amp;B558)=1,INDEX(Invoices!$B$6:$B$305,SUMIFS(Invoices!$O$6:$O$305,Invoices!$C$6:$C$305,C558,Invoices!$E$6:$E$305,"&lt;="&amp;B558,Invoices!$F$6:$F$305,"&gt;="&amp;B558)),IF(COUNTIFS(Invoices!$C$6:$C$305,C558,Invoices!$E$6:$E$305,"&lt;="&amp;B558,Invoices!$F$6:$F$305,"&gt;="&amp;B558)&gt;1,"Two invoices",""))))</f>
        <v/>
      </c>
      <c r="Q558" s="15">
        <f>IF(B558="","",IF(J558&lt;&gt;"","Not billable",IF(P558="","To invoice",IF(P558="Two invoices","Check dates",IF(ISNA(MATCH(P558,Invoices!$B$6:$B$305,0)),"Check number",IF(INDEX(Invoices!$M$6:$M$305,MATCH(P558,Invoices!$B$6:$B$305,0))="Paid","Paid",IF(INDEX(Invoices!$M$6:$M$305,MATCH(P558,Invoices!$B$6:$B$305,0))="Draft","Draft","Invoiced")))))))</f>
        <v/>
      </c>
      <c r="R558" s="1">
        <f>IF(AND(B558&lt;&gt;"",P558&lt;&gt;"",P558=Invoice!$G$4),B558+MOD(N(F558),1)+ROW()/10000000,"")</f>
        <v/>
      </c>
      <c r="S558">
        <f>IF(R558="","",IF(D558="","Other work",D558)&amp;IF(AND(K558&lt;&gt;"",E558&lt;&gt;""),", "&amp;E558,""))</f>
        <v/>
      </c>
      <c r="T558">
        <f>IF(R558="","",IF(COUNTIFS(R$6:R557,"&gt;0",S$6:S557,S558,N$6:N557,N558)=0,R558,""))</f>
        <v/>
      </c>
      <c r="U558">
        <f>IF(B558="","",IF(J558&lt;&gt;"",0,M558))</f>
        <v/>
      </c>
    </row>
    <row r="559">
      <c r="A559" s="1" t="n"/>
      <c r="B559" s="16" t="n"/>
      <c r="C559" s="17" t="n"/>
      <c r="D559" s="18" t="n"/>
      <c r="E559" s="18" t="n"/>
      <c r="F559" s="19" t="n"/>
      <c r="G559" s="19" t="n"/>
      <c r="H559" s="20" t="n"/>
      <c r="I559" s="21" t="n"/>
      <c r="J559" s="22" t="n"/>
      <c r="K559" s="23" t="n"/>
      <c r="L559" s="18" t="n"/>
      <c r="M559" s="24">
        <f>IF(B559="","",IF(AND(F559&lt;&gt;"",G559&lt;&gt;""),MAX(0,ROUND(MOD(G559-F559,1)*24-N(H559)/60,2)),N(I559)))</f>
        <v/>
      </c>
      <c r="N559" s="14">
        <f>IF(B559="","",IF(K559&lt;&gt;"",K559,IF(N(IFERROR(INDEX(Projects!$D$6:$D$65,MATCH(D559,Projects!$B$6:$B$65,0)),""))&gt;0,IFERROR(INDEX(Projects!$D$6:$D$65,MATCH(D559,Projects!$B$6:$B$65,0)),""),IFERROR(INDEX(Clients!$G$6:$G$45,MATCH(C559,Clients!$B$6:$B$45,0)),0))))</f>
        <v/>
      </c>
      <c r="O559" s="14">
        <f>IF(B559="","",IF(J559&lt;&gt;"",0,ROUND(M559*N559,2)))</f>
        <v/>
      </c>
      <c r="P559" s="15">
        <f>IF(OR(B559="",J559&lt;&gt;""),"",IF(L559&lt;&gt;"",L559,IF(COUNTIFS(Invoices!$C$6:$C$305,C559,Invoices!$E$6:$E$305,"&lt;="&amp;B559,Invoices!$F$6:$F$305,"&gt;="&amp;B559)=1,INDEX(Invoices!$B$6:$B$305,SUMIFS(Invoices!$O$6:$O$305,Invoices!$C$6:$C$305,C559,Invoices!$E$6:$E$305,"&lt;="&amp;B559,Invoices!$F$6:$F$305,"&gt;="&amp;B559)),IF(COUNTIFS(Invoices!$C$6:$C$305,C559,Invoices!$E$6:$E$305,"&lt;="&amp;B559,Invoices!$F$6:$F$305,"&gt;="&amp;B559)&gt;1,"Two invoices",""))))</f>
        <v/>
      </c>
      <c r="Q559" s="15">
        <f>IF(B559="","",IF(J559&lt;&gt;"","Not billable",IF(P559="","To invoice",IF(P559="Two invoices","Check dates",IF(ISNA(MATCH(P559,Invoices!$B$6:$B$305,0)),"Check number",IF(INDEX(Invoices!$M$6:$M$305,MATCH(P559,Invoices!$B$6:$B$305,0))="Paid","Paid",IF(INDEX(Invoices!$M$6:$M$305,MATCH(P559,Invoices!$B$6:$B$305,0))="Draft","Draft","Invoiced")))))))</f>
        <v/>
      </c>
      <c r="R559" s="1">
        <f>IF(AND(B559&lt;&gt;"",P559&lt;&gt;"",P559=Invoice!$G$4),B559+MOD(N(F559),1)+ROW()/10000000,"")</f>
        <v/>
      </c>
      <c r="S559">
        <f>IF(R559="","",IF(D559="","Other work",D559)&amp;IF(AND(K559&lt;&gt;"",E559&lt;&gt;""),", "&amp;E559,""))</f>
        <v/>
      </c>
      <c r="T559">
        <f>IF(R559="","",IF(COUNTIFS(R$6:R558,"&gt;0",S$6:S558,S559,N$6:N558,N559)=0,R559,""))</f>
        <v/>
      </c>
      <c r="U559">
        <f>IF(B559="","",IF(J559&lt;&gt;"",0,M559))</f>
        <v/>
      </c>
    </row>
    <row r="560">
      <c r="A560" s="1" t="n"/>
      <c r="B560" s="16" t="n"/>
      <c r="C560" s="17" t="n"/>
      <c r="D560" s="18" t="n"/>
      <c r="E560" s="18" t="n"/>
      <c r="F560" s="19" t="n"/>
      <c r="G560" s="19" t="n"/>
      <c r="H560" s="20" t="n"/>
      <c r="I560" s="21" t="n"/>
      <c r="J560" s="22" t="n"/>
      <c r="K560" s="23" t="n"/>
      <c r="L560" s="18" t="n"/>
      <c r="M560" s="24">
        <f>IF(B560="","",IF(AND(F560&lt;&gt;"",G560&lt;&gt;""),MAX(0,ROUND(MOD(G560-F560,1)*24-N(H560)/60,2)),N(I560)))</f>
        <v/>
      </c>
      <c r="N560" s="14">
        <f>IF(B560="","",IF(K560&lt;&gt;"",K560,IF(N(IFERROR(INDEX(Projects!$D$6:$D$65,MATCH(D560,Projects!$B$6:$B$65,0)),""))&gt;0,IFERROR(INDEX(Projects!$D$6:$D$65,MATCH(D560,Projects!$B$6:$B$65,0)),""),IFERROR(INDEX(Clients!$G$6:$G$45,MATCH(C560,Clients!$B$6:$B$45,0)),0))))</f>
        <v/>
      </c>
      <c r="O560" s="14">
        <f>IF(B560="","",IF(J560&lt;&gt;"",0,ROUND(M560*N560,2)))</f>
        <v/>
      </c>
      <c r="P560" s="15">
        <f>IF(OR(B560="",J560&lt;&gt;""),"",IF(L560&lt;&gt;"",L560,IF(COUNTIFS(Invoices!$C$6:$C$305,C560,Invoices!$E$6:$E$305,"&lt;="&amp;B560,Invoices!$F$6:$F$305,"&gt;="&amp;B560)=1,INDEX(Invoices!$B$6:$B$305,SUMIFS(Invoices!$O$6:$O$305,Invoices!$C$6:$C$305,C560,Invoices!$E$6:$E$305,"&lt;="&amp;B560,Invoices!$F$6:$F$305,"&gt;="&amp;B560)),IF(COUNTIFS(Invoices!$C$6:$C$305,C560,Invoices!$E$6:$E$305,"&lt;="&amp;B560,Invoices!$F$6:$F$305,"&gt;="&amp;B560)&gt;1,"Two invoices",""))))</f>
        <v/>
      </c>
      <c r="Q560" s="15">
        <f>IF(B560="","",IF(J560&lt;&gt;"","Not billable",IF(P560="","To invoice",IF(P560="Two invoices","Check dates",IF(ISNA(MATCH(P560,Invoices!$B$6:$B$305,0)),"Check number",IF(INDEX(Invoices!$M$6:$M$305,MATCH(P560,Invoices!$B$6:$B$305,0))="Paid","Paid",IF(INDEX(Invoices!$M$6:$M$305,MATCH(P560,Invoices!$B$6:$B$305,0))="Draft","Draft","Invoiced")))))))</f>
        <v/>
      </c>
      <c r="R560" s="1">
        <f>IF(AND(B560&lt;&gt;"",P560&lt;&gt;"",P560=Invoice!$G$4),B560+MOD(N(F560),1)+ROW()/10000000,"")</f>
        <v/>
      </c>
      <c r="S560">
        <f>IF(R560="","",IF(D560="","Other work",D560)&amp;IF(AND(K560&lt;&gt;"",E560&lt;&gt;""),", "&amp;E560,""))</f>
        <v/>
      </c>
      <c r="T560">
        <f>IF(R560="","",IF(COUNTIFS(R$6:R559,"&gt;0",S$6:S559,S560,N$6:N559,N560)=0,R560,""))</f>
        <v/>
      </c>
      <c r="U560">
        <f>IF(B560="","",IF(J560&lt;&gt;"",0,M560))</f>
        <v/>
      </c>
    </row>
    <row r="561">
      <c r="A561" s="1" t="n"/>
      <c r="B561" s="16" t="n"/>
      <c r="C561" s="17" t="n"/>
      <c r="D561" s="18" t="n"/>
      <c r="E561" s="18" t="n"/>
      <c r="F561" s="19" t="n"/>
      <c r="G561" s="19" t="n"/>
      <c r="H561" s="20" t="n"/>
      <c r="I561" s="21" t="n"/>
      <c r="J561" s="22" t="n"/>
      <c r="K561" s="23" t="n"/>
      <c r="L561" s="18" t="n"/>
      <c r="M561" s="24">
        <f>IF(B561="","",IF(AND(F561&lt;&gt;"",G561&lt;&gt;""),MAX(0,ROUND(MOD(G561-F561,1)*24-N(H561)/60,2)),N(I561)))</f>
        <v/>
      </c>
      <c r="N561" s="14">
        <f>IF(B561="","",IF(K561&lt;&gt;"",K561,IF(N(IFERROR(INDEX(Projects!$D$6:$D$65,MATCH(D561,Projects!$B$6:$B$65,0)),""))&gt;0,IFERROR(INDEX(Projects!$D$6:$D$65,MATCH(D561,Projects!$B$6:$B$65,0)),""),IFERROR(INDEX(Clients!$G$6:$G$45,MATCH(C561,Clients!$B$6:$B$45,0)),0))))</f>
        <v/>
      </c>
      <c r="O561" s="14">
        <f>IF(B561="","",IF(J561&lt;&gt;"",0,ROUND(M561*N561,2)))</f>
        <v/>
      </c>
      <c r="P561" s="15">
        <f>IF(OR(B561="",J561&lt;&gt;""),"",IF(L561&lt;&gt;"",L561,IF(COUNTIFS(Invoices!$C$6:$C$305,C561,Invoices!$E$6:$E$305,"&lt;="&amp;B561,Invoices!$F$6:$F$305,"&gt;="&amp;B561)=1,INDEX(Invoices!$B$6:$B$305,SUMIFS(Invoices!$O$6:$O$305,Invoices!$C$6:$C$305,C561,Invoices!$E$6:$E$305,"&lt;="&amp;B561,Invoices!$F$6:$F$305,"&gt;="&amp;B561)),IF(COUNTIFS(Invoices!$C$6:$C$305,C561,Invoices!$E$6:$E$305,"&lt;="&amp;B561,Invoices!$F$6:$F$305,"&gt;="&amp;B561)&gt;1,"Two invoices",""))))</f>
        <v/>
      </c>
      <c r="Q561" s="15">
        <f>IF(B561="","",IF(J561&lt;&gt;"","Not billable",IF(P561="","To invoice",IF(P561="Two invoices","Check dates",IF(ISNA(MATCH(P561,Invoices!$B$6:$B$305,0)),"Check number",IF(INDEX(Invoices!$M$6:$M$305,MATCH(P561,Invoices!$B$6:$B$305,0))="Paid","Paid",IF(INDEX(Invoices!$M$6:$M$305,MATCH(P561,Invoices!$B$6:$B$305,0))="Draft","Draft","Invoiced")))))))</f>
        <v/>
      </c>
      <c r="R561" s="1">
        <f>IF(AND(B561&lt;&gt;"",P561&lt;&gt;"",P561=Invoice!$G$4),B561+MOD(N(F561),1)+ROW()/10000000,"")</f>
        <v/>
      </c>
      <c r="S561">
        <f>IF(R561="","",IF(D561="","Other work",D561)&amp;IF(AND(K561&lt;&gt;"",E561&lt;&gt;""),", "&amp;E561,""))</f>
        <v/>
      </c>
      <c r="T561">
        <f>IF(R561="","",IF(COUNTIFS(R$6:R560,"&gt;0",S$6:S560,S561,N$6:N560,N561)=0,R561,""))</f>
        <v/>
      </c>
      <c r="U561">
        <f>IF(B561="","",IF(J561&lt;&gt;"",0,M561))</f>
        <v/>
      </c>
    </row>
    <row r="562">
      <c r="A562" s="1" t="n"/>
      <c r="B562" s="16" t="n"/>
      <c r="C562" s="17" t="n"/>
      <c r="D562" s="18" t="n"/>
      <c r="E562" s="18" t="n"/>
      <c r="F562" s="19" t="n"/>
      <c r="G562" s="19" t="n"/>
      <c r="H562" s="20" t="n"/>
      <c r="I562" s="21" t="n"/>
      <c r="J562" s="22" t="n"/>
      <c r="K562" s="23" t="n"/>
      <c r="L562" s="18" t="n"/>
      <c r="M562" s="24">
        <f>IF(B562="","",IF(AND(F562&lt;&gt;"",G562&lt;&gt;""),MAX(0,ROUND(MOD(G562-F562,1)*24-N(H562)/60,2)),N(I562)))</f>
        <v/>
      </c>
      <c r="N562" s="14">
        <f>IF(B562="","",IF(K562&lt;&gt;"",K562,IF(N(IFERROR(INDEX(Projects!$D$6:$D$65,MATCH(D562,Projects!$B$6:$B$65,0)),""))&gt;0,IFERROR(INDEX(Projects!$D$6:$D$65,MATCH(D562,Projects!$B$6:$B$65,0)),""),IFERROR(INDEX(Clients!$G$6:$G$45,MATCH(C562,Clients!$B$6:$B$45,0)),0))))</f>
        <v/>
      </c>
      <c r="O562" s="14">
        <f>IF(B562="","",IF(J562&lt;&gt;"",0,ROUND(M562*N562,2)))</f>
        <v/>
      </c>
      <c r="P562" s="15">
        <f>IF(OR(B562="",J562&lt;&gt;""),"",IF(L562&lt;&gt;"",L562,IF(COUNTIFS(Invoices!$C$6:$C$305,C562,Invoices!$E$6:$E$305,"&lt;="&amp;B562,Invoices!$F$6:$F$305,"&gt;="&amp;B562)=1,INDEX(Invoices!$B$6:$B$305,SUMIFS(Invoices!$O$6:$O$305,Invoices!$C$6:$C$305,C562,Invoices!$E$6:$E$305,"&lt;="&amp;B562,Invoices!$F$6:$F$305,"&gt;="&amp;B562)),IF(COUNTIFS(Invoices!$C$6:$C$305,C562,Invoices!$E$6:$E$305,"&lt;="&amp;B562,Invoices!$F$6:$F$305,"&gt;="&amp;B562)&gt;1,"Two invoices",""))))</f>
        <v/>
      </c>
      <c r="Q562" s="15">
        <f>IF(B562="","",IF(J562&lt;&gt;"","Not billable",IF(P562="","To invoice",IF(P562="Two invoices","Check dates",IF(ISNA(MATCH(P562,Invoices!$B$6:$B$305,0)),"Check number",IF(INDEX(Invoices!$M$6:$M$305,MATCH(P562,Invoices!$B$6:$B$305,0))="Paid","Paid",IF(INDEX(Invoices!$M$6:$M$305,MATCH(P562,Invoices!$B$6:$B$305,0))="Draft","Draft","Invoiced")))))))</f>
        <v/>
      </c>
      <c r="R562" s="1">
        <f>IF(AND(B562&lt;&gt;"",P562&lt;&gt;"",P562=Invoice!$G$4),B562+MOD(N(F562),1)+ROW()/10000000,"")</f>
        <v/>
      </c>
      <c r="S562">
        <f>IF(R562="","",IF(D562="","Other work",D562)&amp;IF(AND(K562&lt;&gt;"",E562&lt;&gt;""),", "&amp;E562,""))</f>
        <v/>
      </c>
      <c r="T562">
        <f>IF(R562="","",IF(COUNTIFS(R$6:R561,"&gt;0",S$6:S561,S562,N$6:N561,N562)=0,R562,""))</f>
        <v/>
      </c>
      <c r="U562">
        <f>IF(B562="","",IF(J562&lt;&gt;"",0,M562))</f>
        <v/>
      </c>
    </row>
    <row r="563">
      <c r="A563" s="1" t="n"/>
      <c r="B563" s="16" t="n"/>
      <c r="C563" s="17" t="n"/>
      <c r="D563" s="18" t="n"/>
      <c r="E563" s="18" t="n"/>
      <c r="F563" s="19" t="n"/>
      <c r="G563" s="19" t="n"/>
      <c r="H563" s="20" t="n"/>
      <c r="I563" s="21" t="n"/>
      <c r="J563" s="22" t="n"/>
      <c r="K563" s="23" t="n"/>
      <c r="L563" s="18" t="n"/>
      <c r="M563" s="24">
        <f>IF(B563="","",IF(AND(F563&lt;&gt;"",G563&lt;&gt;""),MAX(0,ROUND(MOD(G563-F563,1)*24-N(H563)/60,2)),N(I563)))</f>
        <v/>
      </c>
      <c r="N563" s="14">
        <f>IF(B563="","",IF(K563&lt;&gt;"",K563,IF(N(IFERROR(INDEX(Projects!$D$6:$D$65,MATCH(D563,Projects!$B$6:$B$65,0)),""))&gt;0,IFERROR(INDEX(Projects!$D$6:$D$65,MATCH(D563,Projects!$B$6:$B$65,0)),""),IFERROR(INDEX(Clients!$G$6:$G$45,MATCH(C563,Clients!$B$6:$B$45,0)),0))))</f>
        <v/>
      </c>
      <c r="O563" s="14">
        <f>IF(B563="","",IF(J563&lt;&gt;"",0,ROUND(M563*N563,2)))</f>
        <v/>
      </c>
      <c r="P563" s="15">
        <f>IF(OR(B563="",J563&lt;&gt;""),"",IF(L563&lt;&gt;"",L563,IF(COUNTIFS(Invoices!$C$6:$C$305,C563,Invoices!$E$6:$E$305,"&lt;="&amp;B563,Invoices!$F$6:$F$305,"&gt;="&amp;B563)=1,INDEX(Invoices!$B$6:$B$305,SUMIFS(Invoices!$O$6:$O$305,Invoices!$C$6:$C$305,C563,Invoices!$E$6:$E$305,"&lt;="&amp;B563,Invoices!$F$6:$F$305,"&gt;="&amp;B563)),IF(COUNTIFS(Invoices!$C$6:$C$305,C563,Invoices!$E$6:$E$305,"&lt;="&amp;B563,Invoices!$F$6:$F$305,"&gt;="&amp;B563)&gt;1,"Two invoices",""))))</f>
        <v/>
      </c>
      <c r="Q563" s="15">
        <f>IF(B563="","",IF(J563&lt;&gt;"","Not billable",IF(P563="","To invoice",IF(P563="Two invoices","Check dates",IF(ISNA(MATCH(P563,Invoices!$B$6:$B$305,0)),"Check number",IF(INDEX(Invoices!$M$6:$M$305,MATCH(P563,Invoices!$B$6:$B$305,0))="Paid","Paid",IF(INDEX(Invoices!$M$6:$M$305,MATCH(P563,Invoices!$B$6:$B$305,0))="Draft","Draft","Invoiced")))))))</f>
        <v/>
      </c>
      <c r="R563" s="1">
        <f>IF(AND(B563&lt;&gt;"",P563&lt;&gt;"",P563=Invoice!$G$4),B563+MOD(N(F563),1)+ROW()/10000000,"")</f>
        <v/>
      </c>
      <c r="S563">
        <f>IF(R563="","",IF(D563="","Other work",D563)&amp;IF(AND(K563&lt;&gt;"",E563&lt;&gt;""),", "&amp;E563,""))</f>
        <v/>
      </c>
      <c r="T563">
        <f>IF(R563="","",IF(COUNTIFS(R$6:R562,"&gt;0",S$6:S562,S563,N$6:N562,N563)=0,R563,""))</f>
        <v/>
      </c>
      <c r="U563">
        <f>IF(B563="","",IF(J563&lt;&gt;"",0,M563))</f>
        <v/>
      </c>
    </row>
    <row r="564">
      <c r="A564" s="1" t="n"/>
      <c r="B564" s="16" t="n"/>
      <c r="C564" s="17" t="n"/>
      <c r="D564" s="18" t="n"/>
      <c r="E564" s="18" t="n"/>
      <c r="F564" s="19" t="n"/>
      <c r="G564" s="19" t="n"/>
      <c r="H564" s="20" t="n"/>
      <c r="I564" s="21" t="n"/>
      <c r="J564" s="22" t="n"/>
      <c r="K564" s="23" t="n"/>
      <c r="L564" s="18" t="n"/>
      <c r="M564" s="24">
        <f>IF(B564="","",IF(AND(F564&lt;&gt;"",G564&lt;&gt;""),MAX(0,ROUND(MOD(G564-F564,1)*24-N(H564)/60,2)),N(I564)))</f>
        <v/>
      </c>
      <c r="N564" s="14">
        <f>IF(B564="","",IF(K564&lt;&gt;"",K564,IF(N(IFERROR(INDEX(Projects!$D$6:$D$65,MATCH(D564,Projects!$B$6:$B$65,0)),""))&gt;0,IFERROR(INDEX(Projects!$D$6:$D$65,MATCH(D564,Projects!$B$6:$B$65,0)),""),IFERROR(INDEX(Clients!$G$6:$G$45,MATCH(C564,Clients!$B$6:$B$45,0)),0))))</f>
        <v/>
      </c>
      <c r="O564" s="14">
        <f>IF(B564="","",IF(J564&lt;&gt;"",0,ROUND(M564*N564,2)))</f>
        <v/>
      </c>
      <c r="P564" s="15">
        <f>IF(OR(B564="",J564&lt;&gt;""),"",IF(L564&lt;&gt;"",L564,IF(COUNTIFS(Invoices!$C$6:$C$305,C564,Invoices!$E$6:$E$305,"&lt;="&amp;B564,Invoices!$F$6:$F$305,"&gt;="&amp;B564)=1,INDEX(Invoices!$B$6:$B$305,SUMIFS(Invoices!$O$6:$O$305,Invoices!$C$6:$C$305,C564,Invoices!$E$6:$E$305,"&lt;="&amp;B564,Invoices!$F$6:$F$305,"&gt;="&amp;B564)),IF(COUNTIFS(Invoices!$C$6:$C$305,C564,Invoices!$E$6:$E$305,"&lt;="&amp;B564,Invoices!$F$6:$F$305,"&gt;="&amp;B564)&gt;1,"Two invoices",""))))</f>
        <v/>
      </c>
      <c r="Q564" s="15">
        <f>IF(B564="","",IF(J564&lt;&gt;"","Not billable",IF(P564="","To invoice",IF(P564="Two invoices","Check dates",IF(ISNA(MATCH(P564,Invoices!$B$6:$B$305,0)),"Check number",IF(INDEX(Invoices!$M$6:$M$305,MATCH(P564,Invoices!$B$6:$B$305,0))="Paid","Paid",IF(INDEX(Invoices!$M$6:$M$305,MATCH(P564,Invoices!$B$6:$B$305,0))="Draft","Draft","Invoiced")))))))</f>
        <v/>
      </c>
      <c r="R564" s="1">
        <f>IF(AND(B564&lt;&gt;"",P564&lt;&gt;"",P564=Invoice!$G$4),B564+MOD(N(F564),1)+ROW()/10000000,"")</f>
        <v/>
      </c>
      <c r="S564">
        <f>IF(R564="","",IF(D564="","Other work",D564)&amp;IF(AND(K564&lt;&gt;"",E564&lt;&gt;""),", "&amp;E564,""))</f>
        <v/>
      </c>
      <c r="T564">
        <f>IF(R564="","",IF(COUNTIFS(R$6:R563,"&gt;0",S$6:S563,S564,N$6:N563,N564)=0,R564,""))</f>
        <v/>
      </c>
      <c r="U564">
        <f>IF(B564="","",IF(J564&lt;&gt;"",0,M564))</f>
        <v/>
      </c>
    </row>
    <row r="565">
      <c r="A565" s="1" t="n"/>
      <c r="B565" s="16" t="n"/>
      <c r="C565" s="17" t="n"/>
      <c r="D565" s="18" t="n"/>
      <c r="E565" s="18" t="n"/>
      <c r="F565" s="19" t="n"/>
      <c r="G565" s="19" t="n"/>
      <c r="H565" s="20" t="n"/>
      <c r="I565" s="21" t="n"/>
      <c r="J565" s="22" t="n"/>
      <c r="K565" s="23" t="n"/>
      <c r="L565" s="18" t="n"/>
      <c r="M565" s="24">
        <f>IF(B565="","",IF(AND(F565&lt;&gt;"",G565&lt;&gt;""),MAX(0,ROUND(MOD(G565-F565,1)*24-N(H565)/60,2)),N(I565)))</f>
        <v/>
      </c>
      <c r="N565" s="14">
        <f>IF(B565="","",IF(K565&lt;&gt;"",K565,IF(N(IFERROR(INDEX(Projects!$D$6:$D$65,MATCH(D565,Projects!$B$6:$B$65,0)),""))&gt;0,IFERROR(INDEX(Projects!$D$6:$D$65,MATCH(D565,Projects!$B$6:$B$65,0)),""),IFERROR(INDEX(Clients!$G$6:$G$45,MATCH(C565,Clients!$B$6:$B$45,0)),0))))</f>
        <v/>
      </c>
      <c r="O565" s="14">
        <f>IF(B565="","",IF(J565&lt;&gt;"",0,ROUND(M565*N565,2)))</f>
        <v/>
      </c>
      <c r="P565" s="15">
        <f>IF(OR(B565="",J565&lt;&gt;""),"",IF(L565&lt;&gt;"",L565,IF(COUNTIFS(Invoices!$C$6:$C$305,C565,Invoices!$E$6:$E$305,"&lt;="&amp;B565,Invoices!$F$6:$F$305,"&gt;="&amp;B565)=1,INDEX(Invoices!$B$6:$B$305,SUMIFS(Invoices!$O$6:$O$305,Invoices!$C$6:$C$305,C565,Invoices!$E$6:$E$305,"&lt;="&amp;B565,Invoices!$F$6:$F$305,"&gt;="&amp;B565)),IF(COUNTIFS(Invoices!$C$6:$C$305,C565,Invoices!$E$6:$E$305,"&lt;="&amp;B565,Invoices!$F$6:$F$305,"&gt;="&amp;B565)&gt;1,"Two invoices",""))))</f>
        <v/>
      </c>
      <c r="Q565" s="15">
        <f>IF(B565="","",IF(J565&lt;&gt;"","Not billable",IF(P565="","To invoice",IF(P565="Two invoices","Check dates",IF(ISNA(MATCH(P565,Invoices!$B$6:$B$305,0)),"Check number",IF(INDEX(Invoices!$M$6:$M$305,MATCH(P565,Invoices!$B$6:$B$305,0))="Paid","Paid",IF(INDEX(Invoices!$M$6:$M$305,MATCH(P565,Invoices!$B$6:$B$305,0))="Draft","Draft","Invoiced")))))))</f>
        <v/>
      </c>
      <c r="R565" s="1">
        <f>IF(AND(B565&lt;&gt;"",P565&lt;&gt;"",P565=Invoice!$G$4),B565+MOD(N(F565),1)+ROW()/10000000,"")</f>
        <v/>
      </c>
      <c r="S565">
        <f>IF(R565="","",IF(D565="","Other work",D565)&amp;IF(AND(K565&lt;&gt;"",E565&lt;&gt;""),", "&amp;E565,""))</f>
        <v/>
      </c>
      <c r="T565">
        <f>IF(R565="","",IF(COUNTIFS(R$6:R564,"&gt;0",S$6:S564,S565,N$6:N564,N565)=0,R565,""))</f>
        <v/>
      </c>
      <c r="U565">
        <f>IF(B565="","",IF(J565&lt;&gt;"",0,M565))</f>
        <v/>
      </c>
    </row>
    <row r="566">
      <c r="A566" s="1" t="n"/>
      <c r="B566" s="16" t="n"/>
      <c r="C566" s="17" t="n"/>
      <c r="D566" s="18" t="n"/>
      <c r="E566" s="18" t="n"/>
      <c r="F566" s="19" t="n"/>
      <c r="G566" s="19" t="n"/>
      <c r="H566" s="20" t="n"/>
      <c r="I566" s="21" t="n"/>
      <c r="J566" s="22" t="n"/>
      <c r="K566" s="23" t="n"/>
      <c r="L566" s="18" t="n"/>
      <c r="M566" s="24">
        <f>IF(B566="","",IF(AND(F566&lt;&gt;"",G566&lt;&gt;""),MAX(0,ROUND(MOD(G566-F566,1)*24-N(H566)/60,2)),N(I566)))</f>
        <v/>
      </c>
      <c r="N566" s="14">
        <f>IF(B566="","",IF(K566&lt;&gt;"",K566,IF(N(IFERROR(INDEX(Projects!$D$6:$D$65,MATCH(D566,Projects!$B$6:$B$65,0)),""))&gt;0,IFERROR(INDEX(Projects!$D$6:$D$65,MATCH(D566,Projects!$B$6:$B$65,0)),""),IFERROR(INDEX(Clients!$G$6:$G$45,MATCH(C566,Clients!$B$6:$B$45,0)),0))))</f>
        <v/>
      </c>
      <c r="O566" s="14">
        <f>IF(B566="","",IF(J566&lt;&gt;"",0,ROUND(M566*N566,2)))</f>
        <v/>
      </c>
      <c r="P566" s="15">
        <f>IF(OR(B566="",J566&lt;&gt;""),"",IF(L566&lt;&gt;"",L566,IF(COUNTIFS(Invoices!$C$6:$C$305,C566,Invoices!$E$6:$E$305,"&lt;="&amp;B566,Invoices!$F$6:$F$305,"&gt;="&amp;B566)=1,INDEX(Invoices!$B$6:$B$305,SUMIFS(Invoices!$O$6:$O$305,Invoices!$C$6:$C$305,C566,Invoices!$E$6:$E$305,"&lt;="&amp;B566,Invoices!$F$6:$F$305,"&gt;="&amp;B566)),IF(COUNTIFS(Invoices!$C$6:$C$305,C566,Invoices!$E$6:$E$305,"&lt;="&amp;B566,Invoices!$F$6:$F$305,"&gt;="&amp;B566)&gt;1,"Two invoices",""))))</f>
        <v/>
      </c>
      <c r="Q566" s="15">
        <f>IF(B566="","",IF(J566&lt;&gt;"","Not billable",IF(P566="","To invoice",IF(P566="Two invoices","Check dates",IF(ISNA(MATCH(P566,Invoices!$B$6:$B$305,0)),"Check number",IF(INDEX(Invoices!$M$6:$M$305,MATCH(P566,Invoices!$B$6:$B$305,0))="Paid","Paid",IF(INDEX(Invoices!$M$6:$M$305,MATCH(P566,Invoices!$B$6:$B$305,0))="Draft","Draft","Invoiced")))))))</f>
        <v/>
      </c>
      <c r="R566" s="1">
        <f>IF(AND(B566&lt;&gt;"",P566&lt;&gt;"",P566=Invoice!$G$4),B566+MOD(N(F566),1)+ROW()/10000000,"")</f>
        <v/>
      </c>
      <c r="S566">
        <f>IF(R566="","",IF(D566="","Other work",D566)&amp;IF(AND(K566&lt;&gt;"",E566&lt;&gt;""),", "&amp;E566,""))</f>
        <v/>
      </c>
      <c r="T566">
        <f>IF(R566="","",IF(COUNTIFS(R$6:R565,"&gt;0",S$6:S565,S566,N$6:N565,N566)=0,R566,""))</f>
        <v/>
      </c>
      <c r="U566">
        <f>IF(B566="","",IF(J566&lt;&gt;"",0,M566))</f>
        <v/>
      </c>
    </row>
    <row r="567">
      <c r="A567" s="1" t="n"/>
      <c r="B567" s="16" t="n"/>
      <c r="C567" s="17" t="n"/>
      <c r="D567" s="18" t="n"/>
      <c r="E567" s="18" t="n"/>
      <c r="F567" s="19" t="n"/>
      <c r="G567" s="19" t="n"/>
      <c r="H567" s="20" t="n"/>
      <c r="I567" s="21" t="n"/>
      <c r="J567" s="22" t="n"/>
      <c r="K567" s="23" t="n"/>
      <c r="L567" s="18" t="n"/>
      <c r="M567" s="24">
        <f>IF(B567="","",IF(AND(F567&lt;&gt;"",G567&lt;&gt;""),MAX(0,ROUND(MOD(G567-F567,1)*24-N(H567)/60,2)),N(I567)))</f>
        <v/>
      </c>
      <c r="N567" s="14">
        <f>IF(B567="","",IF(K567&lt;&gt;"",K567,IF(N(IFERROR(INDEX(Projects!$D$6:$D$65,MATCH(D567,Projects!$B$6:$B$65,0)),""))&gt;0,IFERROR(INDEX(Projects!$D$6:$D$65,MATCH(D567,Projects!$B$6:$B$65,0)),""),IFERROR(INDEX(Clients!$G$6:$G$45,MATCH(C567,Clients!$B$6:$B$45,0)),0))))</f>
        <v/>
      </c>
      <c r="O567" s="14">
        <f>IF(B567="","",IF(J567&lt;&gt;"",0,ROUND(M567*N567,2)))</f>
        <v/>
      </c>
      <c r="P567" s="15">
        <f>IF(OR(B567="",J567&lt;&gt;""),"",IF(L567&lt;&gt;"",L567,IF(COUNTIFS(Invoices!$C$6:$C$305,C567,Invoices!$E$6:$E$305,"&lt;="&amp;B567,Invoices!$F$6:$F$305,"&gt;="&amp;B567)=1,INDEX(Invoices!$B$6:$B$305,SUMIFS(Invoices!$O$6:$O$305,Invoices!$C$6:$C$305,C567,Invoices!$E$6:$E$305,"&lt;="&amp;B567,Invoices!$F$6:$F$305,"&gt;="&amp;B567)),IF(COUNTIFS(Invoices!$C$6:$C$305,C567,Invoices!$E$6:$E$305,"&lt;="&amp;B567,Invoices!$F$6:$F$305,"&gt;="&amp;B567)&gt;1,"Two invoices",""))))</f>
        <v/>
      </c>
      <c r="Q567" s="15">
        <f>IF(B567="","",IF(J567&lt;&gt;"","Not billable",IF(P567="","To invoice",IF(P567="Two invoices","Check dates",IF(ISNA(MATCH(P567,Invoices!$B$6:$B$305,0)),"Check number",IF(INDEX(Invoices!$M$6:$M$305,MATCH(P567,Invoices!$B$6:$B$305,0))="Paid","Paid",IF(INDEX(Invoices!$M$6:$M$305,MATCH(P567,Invoices!$B$6:$B$305,0))="Draft","Draft","Invoiced")))))))</f>
        <v/>
      </c>
      <c r="R567" s="1">
        <f>IF(AND(B567&lt;&gt;"",P567&lt;&gt;"",P567=Invoice!$G$4),B567+MOD(N(F567),1)+ROW()/10000000,"")</f>
        <v/>
      </c>
      <c r="S567">
        <f>IF(R567="","",IF(D567="","Other work",D567)&amp;IF(AND(K567&lt;&gt;"",E567&lt;&gt;""),", "&amp;E567,""))</f>
        <v/>
      </c>
      <c r="T567">
        <f>IF(R567="","",IF(COUNTIFS(R$6:R566,"&gt;0",S$6:S566,S567,N$6:N566,N567)=0,R567,""))</f>
        <v/>
      </c>
      <c r="U567">
        <f>IF(B567="","",IF(J567&lt;&gt;"",0,M567))</f>
        <v/>
      </c>
    </row>
    <row r="568">
      <c r="A568" s="1" t="n"/>
      <c r="B568" s="16" t="n"/>
      <c r="C568" s="17" t="n"/>
      <c r="D568" s="18" t="n"/>
      <c r="E568" s="18" t="n"/>
      <c r="F568" s="19" t="n"/>
      <c r="G568" s="19" t="n"/>
      <c r="H568" s="20" t="n"/>
      <c r="I568" s="21" t="n"/>
      <c r="J568" s="22" t="n"/>
      <c r="K568" s="23" t="n"/>
      <c r="L568" s="18" t="n"/>
      <c r="M568" s="24">
        <f>IF(B568="","",IF(AND(F568&lt;&gt;"",G568&lt;&gt;""),MAX(0,ROUND(MOD(G568-F568,1)*24-N(H568)/60,2)),N(I568)))</f>
        <v/>
      </c>
      <c r="N568" s="14">
        <f>IF(B568="","",IF(K568&lt;&gt;"",K568,IF(N(IFERROR(INDEX(Projects!$D$6:$D$65,MATCH(D568,Projects!$B$6:$B$65,0)),""))&gt;0,IFERROR(INDEX(Projects!$D$6:$D$65,MATCH(D568,Projects!$B$6:$B$65,0)),""),IFERROR(INDEX(Clients!$G$6:$G$45,MATCH(C568,Clients!$B$6:$B$45,0)),0))))</f>
        <v/>
      </c>
      <c r="O568" s="14">
        <f>IF(B568="","",IF(J568&lt;&gt;"",0,ROUND(M568*N568,2)))</f>
        <v/>
      </c>
      <c r="P568" s="15">
        <f>IF(OR(B568="",J568&lt;&gt;""),"",IF(L568&lt;&gt;"",L568,IF(COUNTIFS(Invoices!$C$6:$C$305,C568,Invoices!$E$6:$E$305,"&lt;="&amp;B568,Invoices!$F$6:$F$305,"&gt;="&amp;B568)=1,INDEX(Invoices!$B$6:$B$305,SUMIFS(Invoices!$O$6:$O$305,Invoices!$C$6:$C$305,C568,Invoices!$E$6:$E$305,"&lt;="&amp;B568,Invoices!$F$6:$F$305,"&gt;="&amp;B568)),IF(COUNTIFS(Invoices!$C$6:$C$305,C568,Invoices!$E$6:$E$305,"&lt;="&amp;B568,Invoices!$F$6:$F$305,"&gt;="&amp;B568)&gt;1,"Two invoices",""))))</f>
        <v/>
      </c>
      <c r="Q568" s="15">
        <f>IF(B568="","",IF(J568&lt;&gt;"","Not billable",IF(P568="","To invoice",IF(P568="Two invoices","Check dates",IF(ISNA(MATCH(P568,Invoices!$B$6:$B$305,0)),"Check number",IF(INDEX(Invoices!$M$6:$M$305,MATCH(P568,Invoices!$B$6:$B$305,0))="Paid","Paid",IF(INDEX(Invoices!$M$6:$M$305,MATCH(P568,Invoices!$B$6:$B$305,0))="Draft","Draft","Invoiced")))))))</f>
        <v/>
      </c>
      <c r="R568" s="1">
        <f>IF(AND(B568&lt;&gt;"",P568&lt;&gt;"",P568=Invoice!$G$4),B568+MOD(N(F568),1)+ROW()/10000000,"")</f>
        <v/>
      </c>
      <c r="S568">
        <f>IF(R568="","",IF(D568="","Other work",D568)&amp;IF(AND(K568&lt;&gt;"",E568&lt;&gt;""),", "&amp;E568,""))</f>
        <v/>
      </c>
      <c r="T568">
        <f>IF(R568="","",IF(COUNTIFS(R$6:R567,"&gt;0",S$6:S567,S568,N$6:N567,N568)=0,R568,""))</f>
        <v/>
      </c>
      <c r="U568">
        <f>IF(B568="","",IF(J568&lt;&gt;"",0,M568))</f>
        <v/>
      </c>
    </row>
    <row r="569">
      <c r="A569" s="1" t="n"/>
      <c r="B569" s="16" t="n"/>
      <c r="C569" s="17" t="n"/>
      <c r="D569" s="18" t="n"/>
      <c r="E569" s="18" t="n"/>
      <c r="F569" s="19" t="n"/>
      <c r="G569" s="19" t="n"/>
      <c r="H569" s="20" t="n"/>
      <c r="I569" s="21" t="n"/>
      <c r="J569" s="22" t="n"/>
      <c r="K569" s="23" t="n"/>
      <c r="L569" s="18" t="n"/>
      <c r="M569" s="24">
        <f>IF(B569="","",IF(AND(F569&lt;&gt;"",G569&lt;&gt;""),MAX(0,ROUND(MOD(G569-F569,1)*24-N(H569)/60,2)),N(I569)))</f>
        <v/>
      </c>
      <c r="N569" s="14">
        <f>IF(B569="","",IF(K569&lt;&gt;"",K569,IF(N(IFERROR(INDEX(Projects!$D$6:$D$65,MATCH(D569,Projects!$B$6:$B$65,0)),""))&gt;0,IFERROR(INDEX(Projects!$D$6:$D$65,MATCH(D569,Projects!$B$6:$B$65,0)),""),IFERROR(INDEX(Clients!$G$6:$G$45,MATCH(C569,Clients!$B$6:$B$45,0)),0))))</f>
        <v/>
      </c>
      <c r="O569" s="14">
        <f>IF(B569="","",IF(J569&lt;&gt;"",0,ROUND(M569*N569,2)))</f>
        <v/>
      </c>
      <c r="P569" s="15">
        <f>IF(OR(B569="",J569&lt;&gt;""),"",IF(L569&lt;&gt;"",L569,IF(COUNTIFS(Invoices!$C$6:$C$305,C569,Invoices!$E$6:$E$305,"&lt;="&amp;B569,Invoices!$F$6:$F$305,"&gt;="&amp;B569)=1,INDEX(Invoices!$B$6:$B$305,SUMIFS(Invoices!$O$6:$O$305,Invoices!$C$6:$C$305,C569,Invoices!$E$6:$E$305,"&lt;="&amp;B569,Invoices!$F$6:$F$305,"&gt;="&amp;B569)),IF(COUNTIFS(Invoices!$C$6:$C$305,C569,Invoices!$E$6:$E$305,"&lt;="&amp;B569,Invoices!$F$6:$F$305,"&gt;="&amp;B569)&gt;1,"Two invoices",""))))</f>
        <v/>
      </c>
      <c r="Q569" s="15">
        <f>IF(B569="","",IF(J569&lt;&gt;"","Not billable",IF(P569="","To invoice",IF(P569="Two invoices","Check dates",IF(ISNA(MATCH(P569,Invoices!$B$6:$B$305,0)),"Check number",IF(INDEX(Invoices!$M$6:$M$305,MATCH(P569,Invoices!$B$6:$B$305,0))="Paid","Paid",IF(INDEX(Invoices!$M$6:$M$305,MATCH(P569,Invoices!$B$6:$B$305,0))="Draft","Draft","Invoiced")))))))</f>
        <v/>
      </c>
      <c r="R569" s="1">
        <f>IF(AND(B569&lt;&gt;"",P569&lt;&gt;"",P569=Invoice!$G$4),B569+MOD(N(F569),1)+ROW()/10000000,"")</f>
        <v/>
      </c>
      <c r="S569">
        <f>IF(R569="","",IF(D569="","Other work",D569)&amp;IF(AND(K569&lt;&gt;"",E569&lt;&gt;""),", "&amp;E569,""))</f>
        <v/>
      </c>
      <c r="T569">
        <f>IF(R569="","",IF(COUNTIFS(R$6:R568,"&gt;0",S$6:S568,S569,N$6:N568,N569)=0,R569,""))</f>
        <v/>
      </c>
      <c r="U569">
        <f>IF(B569="","",IF(J569&lt;&gt;"",0,M569))</f>
        <v/>
      </c>
    </row>
    <row r="570">
      <c r="A570" s="1" t="n"/>
      <c r="B570" s="16" t="n"/>
      <c r="C570" s="17" t="n"/>
      <c r="D570" s="18" t="n"/>
      <c r="E570" s="18" t="n"/>
      <c r="F570" s="19" t="n"/>
      <c r="G570" s="19" t="n"/>
      <c r="H570" s="20" t="n"/>
      <c r="I570" s="21" t="n"/>
      <c r="J570" s="22" t="n"/>
      <c r="K570" s="23" t="n"/>
      <c r="L570" s="18" t="n"/>
      <c r="M570" s="24">
        <f>IF(B570="","",IF(AND(F570&lt;&gt;"",G570&lt;&gt;""),MAX(0,ROUND(MOD(G570-F570,1)*24-N(H570)/60,2)),N(I570)))</f>
        <v/>
      </c>
      <c r="N570" s="14">
        <f>IF(B570="","",IF(K570&lt;&gt;"",K570,IF(N(IFERROR(INDEX(Projects!$D$6:$D$65,MATCH(D570,Projects!$B$6:$B$65,0)),""))&gt;0,IFERROR(INDEX(Projects!$D$6:$D$65,MATCH(D570,Projects!$B$6:$B$65,0)),""),IFERROR(INDEX(Clients!$G$6:$G$45,MATCH(C570,Clients!$B$6:$B$45,0)),0))))</f>
        <v/>
      </c>
      <c r="O570" s="14">
        <f>IF(B570="","",IF(J570&lt;&gt;"",0,ROUND(M570*N570,2)))</f>
        <v/>
      </c>
      <c r="P570" s="15">
        <f>IF(OR(B570="",J570&lt;&gt;""),"",IF(L570&lt;&gt;"",L570,IF(COUNTIFS(Invoices!$C$6:$C$305,C570,Invoices!$E$6:$E$305,"&lt;="&amp;B570,Invoices!$F$6:$F$305,"&gt;="&amp;B570)=1,INDEX(Invoices!$B$6:$B$305,SUMIFS(Invoices!$O$6:$O$305,Invoices!$C$6:$C$305,C570,Invoices!$E$6:$E$305,"&lt;="&amp;B570,Invoices!$F$6:$F$305,"&gt;="&amp;B570)),IF(COUNTIFS(Invoices!$C$6:$C$305,C570,Invoices!$E$6:$E$305,"&lt;="&amp;B570,Invoices!$F$6:$F$305,"&gt;="&amp;B570)&gt;1,"Two invoices",""))))</f>
        <v/>
      </c>
      <c r="Q570" s="15">
        <f>IF(B570="","",IF(J570&lt;&gt;"","Not billable",IF(P570="","To invoice",IF(P570="Two invoices","Check dates",IF(ISNA(MATCH(P570,Invoices!$B$6:$B$305,0)),"Check number",IF(INDEX(Invoices!$M$6:$M$305,MATCH(P570,Invoices!$B$6:$B$305,0))="Paid","Paid",IF(INDEX(Invoices!$M$6:$M$305,MATCH(P570,Invoices!$B$6:$B$305,0))="Draft","Draft","Invoiced")))))))</f>
        <v/>
      </c>
      <c r="R570" s="1">
        <f>IF(AND(B570&lt;&gt;"",P570&lt;&gt;"",P570=Invoice!$G$4),B570+MOD(N(F570),1)+ROW()/10000000,"")</f>
        <v/>
      </c>
      <c r="S570">
        <f>IF(R570="","",IF(D570="","Other work",D570)&amp;IF(AND(K570&lt;&gt;"",E570&lt;&gt;""),", "&amp;E570,""))</f>
        <v/>
      </c>
      <c r="T570">
        <f>IF(R570="","",IF(COUNTIFS(R$6:R569,"&gt;0",S$6:S569,S570,N$6:N569,N570)=0,R570,""))</f>
        <v/>
      </c>
      <c r="U570">
        <f>IF(B570="","",IF(J570&lt;&gt;"",0,M570))</f>
        <v/>
      </c>
    </row>
    <row r="571">
      <c r="A571" s="1" t="n"/>
      <c r="B571" s="16" t="n"/>
      <c r="C571" s="17" t="n"/>
      <c r="D571" s="18" t="n"/>
      <c r="E571" s="18" t="n"/>
      <c r="F571" s="19" t="n"/>
      <c r="G571" s="19" t="n"/>
      <c r="H571" s="20" t="n"/>
      <c r="I571" s="21" t="n"/>
      <c r="J571" s="22" t="n"/>
      <c r="K571" s="23" t="n"/>
      <c r="L571" s="18" t="n"/>
      <c r="M571" s="24">
        <f>IF(B571="","",IF(AND(F571&lt;&gt;"",G571&lt;&gt;""),MAX(0,ROUND(MOD(G571-F571,1)*24-N(H571)/60,2)),N(I571)))</f>
        <v/>
      </c>
      <c r="N571" s="14">
        <f>IF(B571="","",IF(K571&lt;&gt;"",K571,IF(N(IFERROR(INDEX(Projects!$D$6:$D$65,MATCH(D571,Projects!$B$6:$B$65,0)),""))&gt;0,IFERROR(INDEX(Projects!$D$6:$D$65,MATCH(D571,Projects!$B$6:$B$65,0)),""),IFERROR(INDEX(Clients!$G$6:$G$45,MATCH(C571,Clients!$B$6:$B$45,0)),0))))</f>
        <v/>
      </c>
      <c r="O571" s="14">
        <f>IF(B571="","",IF(J571&lt;&gt;"",0,ROUND(M571*N571,2)))</f>
        <v/>
      </c>
      <c r="P571" s="15">
        <f>IF(OR(B571="",J571&lt;&gt;""),"",IF(L571&lt;&gt;"",L571,IF(COUNTIFS(Invoices!$C$6:$C$305,C571,Invoices!$E$6:$E$305,"&lt;="&amp;B571,Invoices!$F$6:$F$305,"&gt;="&amp;B571)=1,INDEX(Invoices!$B$6:$B$305,SUMIFS(Invoices!$O$6:$O$305,Invoices!$C$6:$C$305,C571,Invoices!$E$6:$E$305,"&lt;="&amp;B571,Invoices!$F$6:$F$305,"&gt;="&amp;B571)),IF(COUNTIFS(Invoices!$C$6:$C$305,C571,Invoices!$E$6:$E$305,"&lt;="&amp;B571,Invoices!$F$6:$F$305,"&gt;="&amp;B571)&gt;1,"Two invoices",""))))</f>
        <v/>
      </c>
      <c r="Q571" s="15">
        <f>IF(B571="","",IF(J571&lt;&gt;"","Not billable",IF(P571="","To invoice",IF(P571="Two invoices","Check dates",IF(ISNA(MATCH(P571,Invoices!$B$6:$B$305,0)),"Check number",IF(INDEX(Invoices!$M$6:$M$305,MATCH(P571,Invoices!$B$6:$B$305,0))="Paid","Paid",IF(INDEX(Invoices!$M$6:$M$305,MATCH(P571,Invoices!$B$6:$B$305,0))="Draft","Draft","Invoiced")))))))</f>
        <v/>
      </c>
      <c r="R571" s="1">
        <f>IF(AND(B571&lt;&gt;"",P571&lt;&gt;"",P571=Invoice!$G$4),B571+MOD(N(F571),1)+ROW()/10000000,"")</f>
        <v/>
      </c>
      <c r="S571">
        <f>IF(R571="","",IF(D571="","Other work",D571)&amp;IF(AND(K571&lt;&gt;"",E571&lt;&gt;""),", "&amp;E571,""))</f>
        <v/>
      </c>
      <c r="T571">
        <f>IF(R571="","",IF(COUNTIFS(R$6:R570,"&gt;0",S$6:S570,S571,N$6:N570,N571)=0,R571,""))</f>
        <v/>
      </c>
      <c r="U571">
        <f>IF(B571="","",IF(J571&lt;&gt;"",0,M571))</f>
        <v/>
      </c>
    </row>
    <row r="572">
      <c r="A572" s="1" t="n"/>
      <c r="B572" s="16" t="n"/>
      <c r="C572" s="17" t="n"/>
      <c r="D572" s="18" t="n"/>
      <c r="E572" s="18" t="n"/>
      <c r="F572" s="19" t="n"/>
      <c r="G572" s="19" t="n"/>
      <c r="H572" s="20" t="n"/>
      <c r="I572" s="21" t="n"/>
      <c r="J572" s="22" t="n"/>
      <c r="K572" s="23" t="n"/>
      <c r="L572" s="18" t="n"/>
      <c r="M572" s="24">
        <f>IF(B572="","",IF(AND(F572&lt;&gt;"",G572&lt;&gt;""),MAX(0,ROUND(MOD(G572-F572,1)*24-N(H572)/60,2)),N(I572)))</f>
        <v/>
      </c>
      <c r="N572" s="14">
        <f>IF(B572="","",IF(K572&lt;&gt;"",K572,IF(N(IFERROR(INDEX(Projects!$D$6:$D$65,MATCH(D572,Projects!$B$6:$B$65,0)),""))&gt;0,IFERROR(INDEX(Projects!$D$6:$D$65,MATCH(D572,Projects!$B$6:$B$65,0)),""),IFERROR(INDEX(Clients!$G$6:$G$45,MATCH(C572,Clients!$B$6:$B$45,0)),0))))</f>
        <v/>
      </c>
      <c r="O572" s="14">
        <f>IF(B572="","",IF(J572&lt;&gt;"",0,ROUND(M572*N572,2)))</f>
        <v/>
      </c>
      <c r="P572" s="15">
        <f>IF(OR(B572="",J572&lt;&gt;""),"",IF(L572&lt;&gt;"",L572,IF(COUNTIFS(Invoices!$C$6:$C$305,C572,Invoices!$E$6:$E$305,"&lt;="&amp;B572,Invoices!$F$6:$F$305,"&gt;="&amp;B572)=1,INDEX(Invoices!$B$6:$B$305,SUMIFS(Invoices!$O$6:$O$305,Invoices!$C$6:$C$305,C572,Invoices!$E$6:$E$305,"&lt;="&amp;B572,Invoices!$F$6:$F$305,"&gt;="&amp;B572)),IF(COUNTIFS(Invoices!$C$6:$C$305,C572,Invoices!$E$6:$E$305,"&lt;="&amp;B572,Invoices!$F$6:$F$305,"&gt;="&amp;B572)&gt;1,"Two invoices",""))))</f>
        <v/>
      </c>
      <c r="Q572" s="15">
        <f>IF(B572="","",IF(J572&lt;&gt;"","Not billable",IF(P572="","To invoice",IF(P572="Two invoices","Check dates",IF(ISNA(MATCH(P572,Invoices!$B$6:$B$305,0)),"Check number",IF(INDEX(Invoices!$M$6:$M$305,MATCH(P572,Invoices!$B$6:$B$305,0))="Paid","Paid",IF(INDEX(Invoices!$M$6:$M$305,MATCH(P572,Invoices!$B$6:$B$305,0))="Draft","Draft","Invoiced")))))))</f>
        <v/>
      </c>
      <c r="R572" s="1">
        <f>IF(AND(B572&lt;&gt;"",P572&lt;&gt;"",P572=Invoice!$G$4),B572+MOD(N(F572),1)+ROW()/10000000,"")</f>
        <v/>
      </c>
      <c r="S572">
        <f>IF(R572="","",IF(D572="","Other work",D572)&amp;IF(AND(K572&lt;&gt;"",E572&lt;&gt;""),", "&amp;E572,""))</f>
        <v/>
      </c>
      <c r="T572">
        <f>IF(R572="","",IF(COUNTIFS(R$6:R571,"&gt;0",S$6:S571,S572,N$6:N571,N572)=0,R572,""))</f>
        <v/>
      </c>
      <c r="U572">
        <f>IF(B572="","",IF(J572&lt;&gt;"",0,M572))</f>
        <v/>
      </c>
    </row>
    <row r="573">
      <c r="A573" s="1" t="n"/>
      <c r="B573" s="16" t="n"/>
      <c r="C573" s="17" t="n"/>
      <c r="D573" s="18" t="n"/>
      <c r="E573" s="18" t="n"/>
      <c r="F573" s="19" t="n"/>
      <c r="G573" s="19" t="n"/>
      <c r="H573" s="20" t="n"/>
      <c r="I573" s="21" t="n"/>
      <c r="J573" s="22" t="n"/>
      <c r="K573" s="23" t="n"/>
      <c r="L573" s="18" t="n"/>
      <c r="M573" s="24">
        <f>IF(B573="","",IF(AND(F573&lt;&gt;"",G573&lt;&gt;""),MAX(0,ROUND(MOD(G573-F573,1)*24-N(H573)/60,2)),N(I573)))</f>
        <v/>
      </c>
      <c r="N573" s="14">
        <f>IF(B573="","",IF(K573&lt;&gt;"",K573,IF(N(IFERROR(INDEX(Projects!$D$6:$D$65,MATCH(D573,Projects!$B$6:$B$65,0)),""))&gt;0,IFERROR(INDEX(Projects!$D$6:$D$65,MATCH(D573,Projects!$B$6:$B$65,0)),""),IFERROR(INDEX(Clients!$G$6:$G$45,MATCH(C573,Clients!$B$6:$B$45,0)),0))))</f>
        <v/>
      </c>
      <c r="O573" s="14">
        <f>IF(B573="","",IF(J573&lt;&gt;"",0,ROUND(M573*N573,2)))</f>
        <v/>
      </c>
      <c r="P573" s="15">
        <f>IF(OR(B573="",J573&lt;&gt;""),"",IF(L573&lt;&gt;"",L573,IF(COUNTIFS(Invoices!$C$6:$C$305,C573,Invoices!$E$6:$E$305,"&lt;="&amp;B573,Invoices!$F$6:$F$305,"&gt;="&amp;B573)=1,INDEX(Invoices!$B$6:$B$305,SUMIFS(Invoices!$O$6:$O$305,Invoices!$C$6:$C$305,C573,Invoices!$E$6:$E$305,"&lt;="&amp;B573,Invoices!$F$6:$F$305,"&gt;="&amp;B573)),IF(COUNTIFS(Invoices!$C$6:$C$305,C573,Invoices!$E$6:$E$305,"&lt;="&amp;B573,Invoices!$F$6:$F$305,"&gt;="&amp;B573)&gt;1,"Two invoices",""))))</f>
        <v/>
      </c>
      <c r="Q573" s="15">
        <f>IF(B573="","",IF(J573&lt;&gt;"","Not billable",IF(P573="","To invoice",IF(P573="Two invoices","Check dates",IF(ISNA(MATCH(P573,Invoices!$B$6:$B$305,0)),"Check number",IF(INDEX(Invoices!$M$6:$M$305,MATCH(P573,Invoices!$B$6:$B$305,0))="Paid","Paid",IF(INDEX(Invoices!$M$6:$M$305,MATCH(P573,Invoices!$B$6:$B$305,0))="Draft","Draft","Invoiced")))))))</f>
        <v/>
      </c>
      <c r="R573" s="1">
        <f>IF(AND(B573&lt;&gt;"",P573&lt;&gt;"",P573=Invoice!$G$4),B573+MOD(N(F573),1)+ROW()/10000000,"")</f>
        <v/>
      </c>
      <c r="S573">
        <f>IF(R573="","",IF(D573="","Other work",D573)&amp;IF(AND(K573&lt;&gt;"",E573&lt;&gt;""),", "&amp;E573,""))</f>
        <v/>
      </c>
      <c r="T573">
        <f>IF(R573="","",IF(COUNTIFS(R$6:R572,"&gt;0",S$6:S572,S573,N$6:N572,N573)=0,R573,""))</f>
        <v/>
      </c>
      <c r="U573">
        <f>IF(B573="","",IF(J573&lt;&gt;"",0,M573))</f>
        <v/>
      </c>
    </row>
    <row r="574">
      <c r="A574" s="1" t="n"/>
      <c r="B574" s="16" t="n"/>
      <c r="C574" s="17" t="n"/>
      <c r="D574" s="18" t="n"/>
      <c r="E574" s="18" t="n"/>
      <c r="F574" s="19" t="n"/>
      <c r="G574" s="19" t="n"/>
      <c r="H574" s="20" t="n"/>
      <c r="I574" s="21" t="n"/>
      <c r="J574" s="22" t="n"/>
      <c r="K574" s="23" t="n"/>
      <c r="L574" s="18" t="n"/>
      <c r="M574" s="24">
        <f>IF(B574="","",IF(AND(F574&lt;&gt;"",G574&lt;&gt;""),MAX(0,ROUND(MOD(G574-F574,1)*24-N(H574)/60,2)),N(I574)))</f>
        <v/>
      </c>
      <c r="N574" s="14">
        <f>IF(B574="","",IF(K574&lt;&gt;"",K574,IF(N(IFERROR(INDEX(Projects!$D$6:$D$65,MATCH(D574,Projects!$B$6:$B$65,0)),""))&gt;0,IFERROR(INDEX(Projects!$D$6:$D$65,MATCH(D574,Projects!$B$6:$B$65,0)),""),IFERROR(INDEX(Clients!$G$6:$G$45,MATCH(C574,Clients!$B$6:$B$45,0)),0))))</f>
        <v/>
      </c>
      <c r="O574" s="14">
        <f>IF(B574="","",IF(J574&lt;&gt;"",0,ROUND(M574*N574,2)))</f>
        <v/>
      </c>
      <c r="P574" s="15">
        <f>IF(OR(B574="",J574&lt;&gt;""),"",IF(L574&lt;&gt;"",L574,IF(COUNTIFS(Invoices!$C$6:$C$305,C574,Invoices!$E$6:$E$305,"&lt;="&amp;B574,Invoices!$F$6:$F$305,"&gt;="&amp;B574)=1,INDEX(Invoices!$B$6:$B$305,SUMIFS(Invoices!$O$6:$O$305,Invoices!$C$6:$C$305,C574,Invoices!$E$6:$E$305,"&lt;="&amp;B574,Invoices!$F$6:$F$305,"&gt;="&amp;B574)),IF(COUNTIFS(Invoices!$C$6:$C$305,C574,Invoices!$E$6:$E$305,"&lt;="&amp;B574,Invoices!$F$6:$F$305,"&gt;="&amp;B574)&gt;1,"Two invoices",""))))</f>
        <v/>
      </c>
      <c r="Q574" s="15">
        <f>IF(B574="","",IF(J574&lt;&gt;"","Not billable",IF(P574="","To invoice",IF(P574="Two invoices","Check dates",IF(ISNA(MATCH(P574,Invoices!$B$6:$B$305,0)),"Check number",IF(INDEX(Invoices!$M$6:$M$305,MATCH(P574,Invoices!$B$6:$B$305,0))="Paid","Paid",IF(INDEX(Invoices!$M$6:$M$305,MATCH(P574,Invoices!$B$6:$B$305,0))="Draft","Draft","Invoiced")))))))</f>
        <v/>
      </c>
      <c r="R574" s="1">
        <f>IF(AND(B574&lt;&gt;"",P574&lt;&gt;"",P574=Invoice!$G$4),B574+MOD(N(F574),1)+ROW()/10000000,"")</f>
        <v/>
      </c>
      <c r="S574">
        <f>IF(R574="","",IF(D574="","Other work",D574)&amp;IF(AND(K574&lt;&gt;"",E574&lt;&gt;""),", "&amp;E574,""))</f>
        <v/>
      </c>
      <c r="T574">
        <f>IF(R574="","",IF(COUNTIFS(R$6:R573,"&gt;0",S$6:S573,S574,N$6:N573,N574)=0,R574,""))</f>
        <v/>
      </c>
      <c r="U574">
        <f>IF(B574="","",IF(J574&lt;&gt;"",0,M574))</f>
        <v/>
      </c>
    </row>
    <row r="575">
      <c r="A575" s="1" t="n"/>
      <c r="B575" s="16" t="n"/>
      <c r="C575" s="17" t="n"/>
      <c r="D575" s="18" t="n"/>
      <c r="E575" s="18" t="n"/>
      <c r="F575" s="19" t="n"/>
      <c r="G575" s="19" t="n"/>
      <c r="H575" s="20" t="n"/>
      <c r="I575" s="21" t="n"/>
      <c r="J575" s="22" t="n"/>
      <c r="K575" s="23" t="n"/>
      <c r="L575" s="18" t="n"/>
      <c r="M575" s="24">
        <f>IF(B575="","",IF(AND(F575&lt;&gt;"",G575&lt;&gt;""),MAX(0,ROUND(MOD(G575-F575,1)*24-N(H575)/60,2)),N(I575)))</f>
        <v/>
      </c>
      <c r="N575" s="14">
        <f>IF(B575="","",IF(K575&lt;&gt;"",K575,IF(N(IFERROR(INDEX(Projects!$D$6:$D$65,MATCH(D575,Projects!$B$6:$B$65,0)),""))&gt;0,IFERROR(INDEX(Projects!$D$6:$D$65,MATCH(D575,Projects!$B$6:$B$65,0)),""),IFERROR(INDEX(Clients!$G$6:$G$45,MATCH(C575,Clients!$B$6:$B$45,0)),0))))</f>
        <v/>
      </c>
      <c r="O575" s="14">
        <f>IF(B575="","",IF(J575&lt;&gt;"",0,ROUND(M575*N575,2)))</f>
        <v/>
      </c>
      <c r="P575" s="15">
        <f>IF(OR(B575="",J575&lt;&gt;""),"",IF(L575&lt;&gt;"",L575,IF(COUNTIFS(Invoices!$C$6:$C$305,C575,Invoices!$E$6:$E$305,"&lt;="&amp;B575,Invoices!$F$6:$F$305,"&gt;="&amp;B575)=1,INDEX(Invoices!$B$6:$B$305,SUMIFS(Invoices!$O$6:$O$305,Invoices!$C$6:$C$305,C575,Invoices!$E$6:$E$305,"&lt;="&amp;B575,Invoices!$F$6:$F$305,"&gt;="&amp;B575)),IF(COUNTIFS(Invoices!$C$6:$C$305,C575,Invoices!$E$6:$E$305,"&lt;="&amp;B575,Invoices!$F$6:$F$305,"&gt;="&amp;B575)&gt;1,"Two invoices",""))))</f>
        <v/>
      </c>
      <c r="Q575" s="15">
        <f>IF(B575="","",IF(J575&lt;&gt;"","Not billable",IF(P575="","To invoice",IF(P575="Two invoices","Check dates",IF(ISNA(MATCH(P575,Invoices!$B$6:$B$305,0)),"Check number",IF(INDEX(Invoices!$M$6:$M$305,MATCH(P575,Invoices!$B$6:$B$305,0))="Paid","Paid",IF(INDEX(Invoices!$M$6:$M$305,MATCH(P575,Invoices!$B$6:$B$305,0))="Draft","Draft","Invoiced")))))))</f>
        <v/>
      </c>
      <c r="R575" s="1">
        <f>IF(AND(B575&lt;&gt;"",P575&lt;&gt;"",P575=Invoice!$G$4),B575+MOD(N(F575),1)+ROW()/10000000,"")</f>
        <v/>
      </c>
      <c r="S575">
        <f>IF(R575="","",IF(D575="","Other work",D575)&amp;IF(AND(K575&lt;&gt;"",E575&lt;&gt;""),", "&amp;E575,""))</f>
        <v/>
      </c>
      <c r="T575">
        <f>IF(R575="","",IF(COUNTIFS(R$6:R574,"&gt;0",S$6:S574,S575,N$6:N574,N575)=0,R575,""))</f>
        <v/>
      </c>
      <c r="U575">
        <f>IF(B575="","",IF(J575&lt;&gt;"",0,M575))</f>
        <v/>
      </c>
    </row>
    <row r="576">
      <c r="A576" s="1" t="n"/>
      <c r="B576" s="16" t="n"/>
      <c r="C576" s="17" t="n"/>
      <c r="D576" s="18" t="n"/>
      <c r="E576" s="18" t="n"/>
      <c r="F576" s="19" t="n"/>
      <c r="G576" s="19" t="n"/>
      <c r="H576" s="20" t="n"/>
      <c r="I576" s="21" t="n"/>
      <c r="J576" s="22" t="n"/>
      <c r="K576" s="23" t="n"/>
      <c r="L576" s="18" t="n"/>
      <c r="M576" s="24">
        <f>IF(B576="","",IF(AND(F576&lt;&gt;"",G576&lt;&gt;""),MAX(0,ROUND(MOD(G576-F576,1)*24-N(H576)/60,2)),N(I576)))</f>
        <v/>
      </c>
      <c r="N576" s="14">
        <f>IF(B576="","",IF(K576&lt;&gt;"",K576,IF(N(IFERROR(INDEX(Projects!$D$6:$D$65,MATCH(D576,Projects!$B$6:$B$65,0)),""))&gt;0,IFERROR(INDEX(Projects!$D$6:$D$65,MATCH(D576,Projects!$B$6:$B$65,0)),""),IFERROR(INDEX(Clients!$G$6:$G$45,MATCH(C576,Clients!$B$6:$B$45,0)),0))))</f>
        <v/>
      </c>
      <c r="O576" s="14">
        <f>IF(B576="","",IF(J576&lt;&gt;"",0,ROUND(M576*N576,2)))</f>
        <v/>
      </c>
      <c r="P576" s="15">
        <f>IF(OR(B576="",J576&lt;&gt;""),"",IF(L576&lt;&gt;"",L576,IF(COUNTIFS(Invoices!$C$6:$C$305,C576,Invoices!$E$6:$E$305,"&lt;="&amp;B576,Invoices!$F$6:$F$305,"&gt;="&amp;B576)=1,INDEX(Invoices!$B$6:$B$305,SUMIFS(Invoices!$O$6:$O$305,Invoices!$C$6:$C$305,C576,Invoices!$E$6:$E$305,"&lt;="&amp;B576,Invoices!$F$6:$F$305,"&gt;="&amp;B576)),IF(COUNTIFS(Invoices!$C$6:$C$305,C576,Invoices!$E$6:$E$305,"&lt;="&amp;B576,Invoices!$F$6:$F$305,"&gt;="&amp;B576)&gt;1,"Two invoices",""))))</f>
        <v/>
      </c>
      <c r="Q576" s="15">
        <f>IF(B576="","",IF(J576&lt;&gt;"","Not billable",IF(P576="","To invoice",IF(P576="Two invoices","Check dates",IF(ISNA(MATCH(P576,Invoices!$B$6:$B$305,0)),"Check number",IF(INDEX(Invoices!$M$6:$M$305,MATCH(P576,Invoices!$B$6:$B$305,0))="Paid","Paid",IF(INDEX(Invoices!$M$6:$M$305,MATCH(P576,Invoices!$B$6:$B$305,0))="Draft","Draft","Invoiced")))))))</f>
        <v/>
      </c>
      <c r="R576" s="1">
        <f>IF(AND(B576&lt;&gt;"",P576&lt;&gt;"",P576=Invoice!$G$4),B576+MOD(N(F576),1)+ROW()/10000000,"")</f>
        <v/>
      </c>
      <c r="S576">
        <f>IF(R576="","",IF(D576="","Other work",D576)&amp;IF(AND(K576&lt;&gt;"",E576&lt;&gt;""),", "&amp;E576,""))</f>
        <v/>
      </c>
      <c r="T576">
        <f>IF(R576="","",IF(COUNTIFS(R$6:R575,"&gt;0",S$6:S575,S576,N$6:N575,N576)=0,R576,""))</f>
        <v/>
      </c>
      <c r="U576">
        <f>IF(B576="","",IF(J576&lt;&gt;"",0,M576))</f>
        <v/>
      </c>
    </row>
    <row r="577">
      <c r="A577" s="1" t="n"/>
      <c r="B577" s="16" t="n"/>
      <c r="C577" s="17" t="n"/>
      <c r="D577" s="18" t="n"/>
      <c r="E577" s="18" t="n"/>
      <c r="F577" s="19" t="n"/>
      <c r="G577" s="19" t="n"/>
      <c r="H577" s="20" t="n"/>
      <c r="I577" s="21" t="n"/>
      <c r="J577" s="22" t="n"/>
      <c r="K577" s="23" t="n"/>
      <c r="L577" s="18" t="n"/>
      <c r="M577" s="24">
        <f>IF(B577="","",IF(AND(F577&lt;&gt;"",G577&lt;&gt;""),MAX(0,ROUND(MOD(G577-F577,1)*24-N(H577)/60,2)),N(I577)))</f>
        <v/>
      </c>
      <c r="N577" s="14">
        <f>IF(B577="","",IF(K577&lt;&gt;"",K577,IF(N(IFERROR(INDEX(Projects!$D$6:$D$65,MATCH(D577,Projects!$B$6:$B$65,0)),""))&gt;0,IFERROR(INDEX(Projects!$D$6:$D$65,MATCH(D577,Projects!$B$6:$B$65,0)),""),IFERROR(INDEX(Clients!$G$6:$G$45,MATCH(C577,Clients!$B$6:$B$45,0)),0))))</f>
        <v/>
      </c>
      <c r="O577" s="14">
        <f>IF(B577="","",IF(J577&lt;&gt;"",0,ROUND(M577*N577,2)))</f>
        <v/>
      </c>
      <c r="P577" s="15">
        <f>IF(OR(B577="",J577&lt;&gt;""),"",IF(L577&lt;&gt;"",L577,IF(COUNTIFS(Invoices!$C$6:$C$305,C577,Invoices!$E$6:$E$305,"&lt;="&amp;B577,Invoices!$F$6:$F$305,"&gt;="&amp;B577)=1,INDEX(Invoices!$B$6:$B$305,SUMIFS(Invoices!$O$6:$O$305,Invoices!$C$6:$C$305,C577,Invoices!$E$6:$E$305,"&lt;="&amp;B577,Invoices!$F$6:$F$305,"&gt;="&amp;B577)),IF(COUNTIFS(Invoices!$C$6:$C$305,C577,Invoices!$E$6:$E$305,"&lt;="&amp;B577,Invoices!$F$6:$F$305,"&gt;="&amp;B577)&gt;1,"Two invoices",""))))</f>
        <v/>
      </c>
      <c r="Q577" s="15">
        <f>IF(B577="","",IF(J577&lt;&gt;"","Not billable",IF(P577="","To invoice",IF(P577="Two invoices","Check dates",IF(ISNA(MATCH(P577,Invoices!$B$6:$B$305,0)),"Check number",IF(INDEX(Invoices!$M$6:$M$305,MATCH(P577,Invoices!$B$6:$B$305,0))="Paid","Paid",IF(INDEX(Invoices!$M$6:$M$305,MATCH(P577,Invoices!$B$6:$B$305,0))="Draft","Draft","Invoiced")))))))</f>
        <v/>
      </c>
      <c r="R577" s="1">
        <f>IF(AND(B577&lt;&gt;"",P577&lt;&gt;"",P577=Invoice!$G$4),B577+MOD(N(F577),1)+ROW()/10000000,"")</f>
        <v/>
      </c>
      <c r="S577">
        <f>IF(R577="","",IF(D577="","Other work",D577)&amp;IF(AND(K577&lt;&gt;"",E577&lt;&gt;""),", "&amp;E577,""))</f>
        <v/>
      </c>
      <c r="T577">
        <f>IF(R577="","",IF(COUNTIFS(R$6:R576,"&gt;0",S$6:S576,S577,N$6:N576,N577)=0,R577,""))</f>
        <v/>
      </c>
      <c r="U577">
        <f>IF(B577="","",IF(J577&lt;&gt;"",0,M577))</f>
        <v/>
      </c>
    </row>
    <row r="578">
      <c r="A578" s="1" t="n"/>
      <c r="B578" s="16" t="n"/>
      <c r="C578" s="17" t="n"/>
      <c r="D578" s="18" t="n"/>
      <c r="E578" s="18" t="n"/>
      <c r="F578" s="19" t="n"/>
      <c r="G578" s="19" t="n"/>
      <c r="H578" s="20" t="n"/>
      <c r="I578" s="21" t="n"/>
      <c r="J578" s="22" t="n"/>
      <c r="K578" s="23" t="n"/>
      <c r="L578" s="18" t="n"/>
      <c r="M578" s="24">
        <f>IF(B578="","",IF(AND(F578&lt;&gt;"",G578&lt;&gt;""),MAX(0,ROUND(MOD(G578-F578,1)*24-N(H578)/60,2)),N(I578)))</f>
        <v/>
      </c>
      <c r="N578" s="14">
        <f>IF(B578="","",IF(K578&lt;&gt;"",K578,IF(N(IFERROR(INDEX(Projects!$D$6:$D$65,MATCH(D578,Projects!$B$6:$B$65,0)),""))&gt;0,IFERROR(INDEX(Projects!$D$6:$D$65,MATCH(D578,Projects!$B$6:$B$65,0)),""),IFERROR(INDEX(Clients!$G$6:$G$45,MATCH(C578,Clients!$B$6:$B$45,0)),0))))</f>
        <v/>
      </c>
      <c r="O578" s="14">
        <f>IF(B578="","",IF(J578&lt;&gt;"",0,ROUND(M578*N578,2)))</f>
        <v/>
      </c>
      <c r="P578" s="15">
        <f>IF(OR(B578="",J578&lt;&gt;""),"",IF(L578&lt;&gt;"",L578,IF(COUNTIFS(Invoices!$C$6:$C$305,C578,Invoices!$E$6:$E$305,"&lt;="&amp;B578,Invoices!$F$6:$F$305,"&gt;="&amp;B578)=1,INDEX(Invoices!$B$6:$B$305,SUMIFS(Invoices!$O$6:$O$305,Invoices!$C$6:$C$305,C578,Invoices!$E$6:$E$305,"&lt;="&amp;B578,Invoices!$F$6:$F$305,"&gt;="&amp;B578)),IF(COUNTIFS(Invoices!$C$6:$C$305,C578,Invoices!$E$6:$E$305,"&lt;="&amp;B578,Invoices!$F$6:$F$305,"&gt;="&amp;B578)&gt;1,"Two invoices",""))))</f>
        <v/>
      </c>
      <c r="Q578" s="15">
        <f>IF(B578="","",IF(J578&lt;&gt;"","Not billable",IF(P578="","To invoice",IF(P578="Two invoices","Check dates",IF(ISNA(MATCH(P578,Invoices!$B$6:$B$305,0)),"Check number",IF(INDEX(Invoices!$M$6:$M$305,MATCH(P578,Invoices!$B$6:$B$305,0))="Paid","Paid",IF(INDEX(Invoices!$M$6:$M$305,MATCH(P578,Invoices!$B$6:$B$305,0))="Draft","Draft","Invoiced")))))))</f>
        <v/>
      </c>
      <c r="R578" s="1">
        <f>IF(AND(B578&lt;&gt;"",P578&lt;&gt;"",P578=Invoice!$G$4),B578+MOD(N(F578),1)+ROW()/10000000,"")</f>
        <v/>
      </c>
      <c r="S578">
        <f>IF(R578="","",IF(D578="","Other work",D578)&amp;IF(AND(K578&lt;&gt;"",E578&lt;&gt;""),", "&amp;E578,""))</f>
        <v/>
      </c>
      <c r="T578">
        <f>IF(R578="","",IF(COUNTIFS(R$6:R577,"&gt;0",S$6:S577,S578,N$6:N577,N578)=0,R578,""))</f>
        <v/>
      </c>
      <c r="U578">
        <f>IF(B578="","",IF(J578&lt;&gt;"",0,M578))</f>
        <v/>
      </c>
    </row>
    <row r="579">
      <c r="A579" s="1" t="n"/>
      <c r="B579" s="16" t="n"/>
      <c r="C579" s="17" t="n"/>
      <c r="D579" s="18" t="n"/>
      <c r="E579" s="18" t="n"/>
      <c r="F579" s="19" t="n"/>
      <c r="G579" s="19" t="n"/>
      <c r="H579" s="20" t="n"/>
      <c r="I579" s="21" t="n"/>
      <c r="J579" s="22" t="n"/>
      <c r="K579" s="23" t="n"/>
      <c r="L579" s="18" t="n"/>
      <c r="M579" s="24">
        <f>IF(B579="","",IF(AND(F579&lt;&gt;"",G579&lt;&gt;""),MAX(0,ROUND(MOD(G579-F579,1)*24-N(H579)/60,2)),N(I579)))</f>
        <v/>
      </c>
      <c r="N579" s="14">
        <f>IF(B579="","",IF(K579&lt;&gt;"",K579,IF(N(IFERROR(INDEX(Projects!$D$6:$D$65,MATCH(D579,Projects!$B$6:$B$65,0)),""))&gt;0,IFERROR(INDEX(Projects!$D$6:$D$65,MATCH(D579,Projects!$B$6:$B$65,0)),""),IFERROR(INDEX(Clients!$G$6:$G$45,MATCH(C579,Clients!$B$6:$B$45,0)),0))))</f>
        <v/>
      </c>
      <c r="O579" s="14">
        <f>IF(B579="","",IF(J579&lt;&gt;"",0,ROUND(M579*N579,2)))</f>
        <v/>
      </c>
      <c r="P579" s="15">
        <f>IF(OR(B579="",J579&lt;&gt;""),"",IF(L579&lt;&gt;"",L579,IF(COUNTIFS(Invoices!$C$6:$C$305,C579,Invoices!$E$6:$E$305,"&lt;="&amp;B579,Invoices!$F$6:$F$305,"&gt;="&amp;B579)=1,INDEX(Invoices!$B$6:$B$305,SUMIFS(Invoices!$O$6:$O$305,Invoices!$C$6:$C$305,C579,Invoices!$E$6:$E$305,"&lt;="&amp;B579,Invoices!$F$6:$F$305,"&gt;="&amp;B579)),IF(COUNTIFS(Invoices!$C$6:$C$305,C579,Invoices!$E$6:$E$305,"&lt;="&amp;B579,Invoices!$F$6:$F$305,"&gt;="&amp;B579)&gt;1,"Two invoices",""))))</f>
        <v/>
      </c>
      <c r="Q579" s="15">
        <f>IF(B579="","",IF(J579&lt;&gt;"","Not billable",IF(P579="","To invoice",IF(P579="Two invoices","Check dates",IF(ISNA(MATCH(P579,Invoices!$B$6:$B$305,0)),"Check number",IF(INDEX(Invoices!$M$6:$M$305,MATCH(P579,Invoices!$B$6:$B$305,0))="Paid","Paid",IF(INDEX(Invoices!$M$6:$M$305,MATCH(P579,Invoices!$B$6:$B$305,0))="Draft","Draft","Invoiced")))))))</f>
        <v/>
      </c>
      <c r="R579" s="1">
        <f>IF(AND(B579&lt;&gt;"",P579&lt;&gt;"",P579=Invoice!$G$4),B579+MOD(N(F579),1)+ROW()/10000000,"")</f>
        <v/>
      </c>
      <c r="S579">
        <f>IF(R579="","",IF(D579="","Other work",D579)&amp;IF(AND(K579&lt;&gt;"",E579&lt;&gt;""),", "&amp;E579,""))</f>
        <v/>
      </c>
      <c r="T579">
        <f>IF(R579="","",IF(COUNTIFS(R$6:R578,"&gt;0",S$6:S578,S579,N$6:N578,N579)=0,R579,""))</f>
        <v/>
      </c>
      <c r="U579">
        <f>IF(B579="","",IF(J579&lt;&gt;"",0,M579))</f>
        <v/>
      </c>
    </row>
    <row r="580">
      <c r="A580" s="1" t="n"/>
      <c r="B580" s="16" t="n"/>
      <c r="C580" s="17" t="n"/>
      <c r="D580" s="18" t="n"/>
      <c r="E580" s="18" t="n"/>
      <c r="F580" s="19" t="n"/>
      <c r="G580" s="19" t="n"/>
      <c r="H580" s="20" t="n"/>
      <c r="I580" s="21" t="n"/>
      <c r="J580" s="22" t="n"/>
      <c r="K580" s="23" t="n"/>
      <c r="L580" s="18" t="n"/>
      <c r="M580" s="24">
        <f>IF(B580="","",IF(AND(F580&lt;&gt;"",G580&lt;&gt;""),MAX(0,ROUND(MOD(G580-F580,1)*24-N(H580)/60,2)),N(I580)))</f>
        <v/>
      </c>
      <c r="N580" s="14">
        <f>IF(B580="","",IF(K580&lt;&gt;"",K580,IF(N(IFERROR(INDEX(Projects!$D$6:$D$65,MATCH(D580,Projects!$B$6:$B$65,0)),""))&gt;0,IFERROR(INDEX(Projects!$D$6:$D$65,MATCH(D580,Projects!$B$6:$B$65,0)),""),IFERROR(INDEX(Clients!$G$6:$G$45,MATCH(C580,Clients!$B$6:$B$45,0)),0))))</f>
        <v/>
      </c>
      <c r="O580" s="14">
        <f>IF(B580="","",IF(J580&lt;&gt;"",0,ROUND(M580*N580,2)))</f>
        <v/>
      </c>
      <c r="P580" s="15">
        <f>IF(OR(B580="",J580&lt;&gt;""),"",IF(L580&lt;&gt;"",L580,IF(COUNTIFS(Invoices!$C$6:$C$305,C580,Invoices!$E$6:$E$305,"&lt;="&amp;B580,Invoices!$F$6:$F$305,"&gt;="&amp;B580)=1,INDEX(Invoices!$B$6:$B$305,SUMIFS(Invoices!$O$6:$O$305,Invoices!$C$6:$C$305,C580,Invoices!$E$6:$E$305,"&lt;="&amp;B580,Invoices!$F$6:$F$305,"&gt;="&amp;B580)),IF(COUNTIFS(Invoices!$C$6:$C$305,C580,Invoices!$E$6:$E$305,"&lt;="&amp;B580,Invoices!$F$6:$F$305,"&gt;="&amp;B580)&gt;1,"Two invoices",""))))</f>
        <v/>
      </c>
      <c r="Q580" s="15">
        <f>IF(B580="","",IF(J580&lt;&gt;"","Not billable",IF(P580="","To invoice",IF(P580="Two invoices","Check dates",IF(ISNA(MATCH(P580,Invoices!$B$6:$B$305,0)),"Check number",IF(INDEX(Invoices!$M$6:$M$305,MATCH(P580,Invoices!$B$6:$B$305,0))="Paid","Paid",IF(INDEX(Invoices!$M$6:$M$305,MATCH(P580,Invoices!$B$6:$B$305,0))="Draft","Draft","Invoiced")))))))</f>
        <v/>
      </c>
      <c r="R580" s="1">
        <f>IF(AND(B580&lt;&gt;"",P580&lt;&gt;"",P580=Invoice!$G$4),B580+MOD(N(F580),1)+ROW()/10000000,"")</f>
        <v/>
      </c>
      <c r="S580">
        <f>IF(R580="","",IF(D580="","Other work",D580)&amp;IF(AND(K580&lt;&gt;"",E580&lt;&gt;""),", "&amp;E580,""))</f>
        <v/>
      </c>
      <c r="T580">
        <f>IF(R580="","",IF(COUNTIFS(R$6:R579,"&gt;0",S$6:S579,S580,N$6:N579,N580)=0,R580,""))</f>
        <v/>
      </c>
      <c r="U580">
        <f>IF(B580="","",IF(J580&lt;&gt;"",0,M580))</f>
        <v/>
      </c>
    </row>
    <row r="581">
      <c r="A581" s="1" t="n"/>
      <c r="B581" s="16" t="n"/>
      <c r="C581" s="17" t="n"/>
      <c r="D581" s="18" t="n"/>
      <c r="E581" s="18" t="n"/>
      <c r="F581" s="19" t="n"/>
      <c r="G581" s="19" t="n"/>
      <c r="H581" s="20" t="n"/>
      <c r="I581" s="21" t="n"/>
      <c r="J581" s="22" t="n"/>
      <c r="K581" s="23" t="n"/>
      <c r="L581" s="18" t="n"/>
      <c r="M581" s="24">
        <f>IF(B581="","",IF(AND(F581&lt;&gt;"",G581&lt;&gt;""),MAX(0,ROUND(MOD(G581-F581,1)*24-N(H581)/60,2)),N(I581)))</f>
        <v/>
      </c>
      <c r="N581" s="14">
        <f>IF(B581="","",IF(K581&lt;&gt;"",K581,IF(N(IFERROR(INDEX(Projects!$D$6:$D$65,MATCH(D581,Projects!$B$6:$B$65,0)),""))&gt;0,IFERROR(INDEX(Projects!$D$6:$D$65,MATCH(D581,Projects!$B$6:$B$65,0)),""),IFERROR(INDEX(Clients!$G$6:$G$45,MATCH(C581,Clients!$B$6:$B$45,0)),0))))</f>
        <v/>
      </c>
      <c r="O581" s="14">
        <f>IF(B581="","",IF(J581&lt;&gt;"",0,ROUND(M581*N581,2)))</f>
        <v/>
      </c>
      <c r="P581" s="15">
        <f>IF(OR(B581="",J581&lt;&gt;""),"",IF(L581&lt;&gt;"",L581,IF(COUNTIFS(Invoices!$C$6:$C$305,C581,Invoices!$E$6:$E$305,"&lt;="&amp;B581,Invoices!$F$6:$F$305,"&gt;="&amp;B581)=1,INDEX(Invoices!$B$6:$B$305,SUMIFS(Invoices!$O$6:$O$305,Invoices!$C$6:$C$305,C581,Invoices!$E$6:$E$305,"&lt;="&amp;B581,Invoices!$F$6:$F$305,"&gt;="&amp;B581)),IF(COUNTIFS(Invoices!$C$6:$C$305,C581,Invoices!$E$6:$E$305,"&lt;="&amp;B581,Invoices!$F$6:$F$305,"&gt;="&amp;B581)&gt;1,"Two invoices",""))))</f>
        <v/>
      </c>
      <c r="Q581" s="15">
        <f>IF(B581="","",IF(J581&lt;&gt;"","Not billable",IF(P581="","To invoice",IF(P581="Two invoices","Check dates",IF(ISNA(MATCH(P581,Invoices!$B$6:$B$305,0)),"Check number",IF(INDEX(Invoices!$M$6:$M$305,MATCH(P581,Invoices!$B$6:$B$305,0))="Paid","Paid",IF(INDEX(Invoices!$M$6:$M$305,MATCH(P581,Invoices!$B$6:$B$305,0))="Draft","Draft","Invoiced")))))))</f>
        <v/>
      </c>
      <c r="R581" s="1">
        <f>IF(AND(B581&lt;&gt;"",P581&lt;&gt;"",P581=Invoice!$G$4),B581+MOD(N(F581),1)+ROW()/10000000,"")</f>
        <v/>
      </c>
      <c r="S581">
        <f>IF(R581="","",IF(D581="","Other work",D581)&amp;IF(AND(K581&lt;&gt;"",E581&lt;&gt;""),", "&amp;E581,""))</f>
        <v/>
      </c>
      <c r="T581">
        <f>IF(R581="","",IF(COUNTIFS(R$6:R580,"&gt;0",S$6:S580,S581,N$6:N580,N581)=0,R581,""))</f>
        <v/>
      </c>
      <c r="U581">
        <f>IF(B581="","",IF(J581&lt;&gt;"",0,M581))</f>
        <v/>
      </c>
    </row>
    <row r="582">
      <c r="A582" s="1" t="n"/>
      <c r="B582" s="16" t="n"/>
      <c r="C582" s="17" t="n"/>
      <c r="D582" s="18" t="n"/>
      <c r="E582" s="18" t="n"/>
      <c r="F582" s="19" t="n"/>
      <c r="G582" s="19" t="n"/>
      <c r="H582" s="20" t="n"/>
      <c r="I582" s="21" t="n"/>
      <c r="J582" s="22" t="n"/>
      <c r="K582" s="23" t="n"/>
      <c r="L582" s="18" t="n"/>
      <c r="M582" s="24">
        <f>IF(B582="","",IF(AND(F582&lt;&gt;"",G582&lt;&gt;""),MAX(0,ROUND(MOD(G582-F582,1)*24-N(H582)/60,2)),N(I582)))</f>
        <v/>
      </c>
      <c r="N582" s="14">
        <f>IF(B582="","",IF(K582&lt;&gt;"",K582,IF(N(IFERROR(INDEX(Projects!$D$6:$D$65,MATCH(D582,Projects!$B$6:$B$65,0)),""))&gt;0,IFERROR(INDEX(Projects!$D$6:$D$65,MATCH(D582,Projects!$B$6:$B$65,0)),""),IFERROR(INDEX(Clients!$G$6:$G$45,MATCH(C582,Clients!$B$6:$B$45,0)),0))))</f>
        <v/>
      </c>
      <c r="O582" s="14">
        <f>IF(B582="","",IF(J582&lt;&gt;"",0,ROUND(M582*N582,2)))</f>
        <v/>
      </c>
      <c r="P582" s="15">
        <f>IF(OR(B582="",J582&lt;&gt;""),"",IF(L582&lt;&gt;"",L582,IF(COUNTIFS(Invoices!$C$6:$C$305,C582,Invoices!$E$6:$E$305,"&lt;="&amp;B582,Invoices!$F$6:$F$305,"&gt;="&amp;B582)=1,INDEX(Invoices!$B$6:$B$305,SUMIFS(Invoices!$O$6:$O$305,Invoices!$C$6:$C$305,C582,Invoices!$E$6:$E$305,"&lt;="&amp;B582,Invoices!$F$6:$F$305,"&gt;="&amp;B582)),IF(COUNTIFS(Invoices!$C$6:$C$305,C582,Invoices!$E$6:$E$305,"&lt;="&amp;B582,Invoices!$F$6:$F$305,"&gt;="&amp;B582)&gt;1,"Two invoices",""))))</f>
        <v/>
      </c>
      <c r="Q582" s="15">
        <f>IF(B582="","",IF(J582&lt;&gt;"","Not billable",IF(P582="","To invoice",IF(P582="Two invoices","Check dates",IF(ISNA(MATCH(P582,Invoices!$B$6:$B$305,0)),"Check number",IF(INDEX(Invoices!$M$6:$M$305,MATCH(P582,Invoices!$B$6:$B$305,0))="Paid","Paid",IF(INDEX(Invoices!$M$6:$M$305,MATCH(P582,Invoices!$B$6:$B$305,0))="Draft","Draft","Invoiced")))))))</f>
        <v/>
      </c>
      <c r="R582" s="1">
        <f>IF(AND(B582&lt;&gt;"",P582&lt;&gt;"",P582=Invoice!$G$4),B582+MOD(N(F582),1)+ROW()/10000000,"")</f>
        <v/>
      </c>
      <c r="S582">
        <f>IF(R582="","",IF(D582="","Other work",D582)&amp;IF(AND(K582&lt;&gt;"",E582&lt;&gt;""),", "&amp;E582,""))</f>
        <v/>
      </c>
      <c r="T582">
        <f>IF(R582="","",IF(COUNTIFS(R$6:R581,"&gt;0",S$6:S581,S582,N$6:N581,N582)=0,R582,""))</f>
        <v/>
      </c>
      <c r="U582">
        <f>IF(B582="","",IF(J582&lt;&gt;"",0,M582))</f>
        <v/>
      </c>
    </row>
    <row r="583">
      <c r="A583" s="1" t="n"/>
      <c r="B583" s="16" t="n"/>
      <c r="C583" s="17" t="n"/>
      <c r="D583" s="18" t="n"/>
      <c r="E583" s="18" t="n"/>
      <c r="F583" s="19" t="n"/>
      <c r="G583" s="19" t="n"/>
      <c r="H583" s="20" t="n"/>
      <c r="I583" s="21" t="n"/>
      <c r="J583" s="22" t="n"/>
      <c r="K583" s="23" t="n"/>
      <c r="L583" s="18" t="n"/>
      <c r="M583" s="24">
        <f>IF(B583="","",IF(AND(F583&lt;&gt;"",G583&lt;&gt;""),MAX(0,ROUND(MOD(G583-F583,1)*24-N(H583)/60,2)),N(I583)))</f>
        <v/>
      </c>
      <c r="N583" s="14">
        <f>IF(B583="","",IF(K583&lt;&gt;"",K583,IF(N(IFERROR(INDEX(Projects!$D$6:$D$65,MATCH(D583,Projects!$B$6:$B$65,0)),""))&gt;0,IFERROR(INDEX(Projects!$D$6:$D$65,MATCH(D583,Projects!$B$6:$B$65,0)),""),IFERROR(INDEX(Clients!$G$6:$G$45,MATCH(C583,Clients!$B$6:$B$45,0)),0))))</f>
        <v/>
      </c>
      <c r="O583" s="14">
        <f>IF(B583="","",IF(J583&lt;&gt;"",0,ROUND(M583*N583,2)))</f>
        <v/>
      </c>
      <c r="P583" s="15">
        <f>IF(OR(B583="",J583&lt;&gt;""),"",IF(L583&lt;&gt;"",L583,IF(COUNTIFS(Invoices!$C$6:$C$305,C583,Invoices!$E$6:$E$305,"&lt;="&amp;B583,Invoices!$F$6:$F$305,"&gt;="&amp;B583)=1,INDEX(Invoices!$B$6:$B$305,SUMIFS(Invoices!$O$6:$O$305,Invoices!$C$6:$C$305,C583,Invoices!$E$6:$E$305,"&lt;="&amp;B583,Invoices!$F$6:$F$305,"&gt;="&amp;B583)),IF(COUNTIFS(Invoices!$C$6:$C$305,C583,Invoices!$E$6:$E$305,"&lt;="&amp;B583,Invoices!$F$6:$F$305,"&gt;="&amp;B583)&gt;1,"Two invoices",""))))</f>
        <v/>
      </c>
      <c r="Q583" s="15">
        <f>IF(B583="","",IF(J583&lt;&gt;"","Not billable",IF(P583="","To invoice",IF(P583="Two invoices","Check dates",IF(ISNA(MATCH(P583,Invoices!$B$6:$B$305,0)),"Check number",IF(INDEX(Invoices!$M$6:$M$305,MATCH(P583,Invoices!$B$6:$B$305,0))="Paid","Paid",IF(INDEX(Invoices!$M$6:$M$305,MATCH(P583,Invoices!$B$6:$B$305,0))="Draft","Draft","Invoiced")))))))</f>
        <v/>
      </c>
      <c r="R583" s="1">
        <f>IF(AND(B583&lt;&gt;"",P583&lt;&gt;"",P583=Invoice!$G$4),B583+MOD(N(F583),1)+ROW()/10000000,"")</f>
        <v/>
      </c>
      <c r="S583">
        <f>IF(R583="","",IF(D583="","Other work",D583)&amp;IF(AND(K583&lt;&gt;"",E583&lt;&gt;""),", "&amp;E583,""))</f>
        <v/>
      </c>
      <c r="T583">
        <f>IF(R583="","",IF(COUNTIFS(R$6:R582,"&gt;0",S$6:S582,S583,N$6:N582,N583)=0,R583,""))</f>
        <v/>
      </c>
      <c r="U583">
        <f>IF(B583="","",IF(J583&lt;&gt;"",0,M583))</f>
        <v/>
      </c>
    </row>
    <row r="584">
      <c r="A584" s="1" t="n"/>
      <c r="B584" s="16" t="n"/>
      <c r="C584" s="17" t="n"/>
      <c r="D584" s="18" t="n"/>
      <c r="E584" s="18" t="n"/>
      <c r="F584" s="19" t="n"/>
      <c r="G584" s="19" t="n"/>
      <c r="H584" s="20" t="n"/>
      <c r="I584" s="21" t="n"/>
      <c r="J584" s="22" t="n"/>
      <c r="K584" s="23" t="n"/>
      <c r="L584" s="18" t="n"/>
      <c r="M584" s="24">
        <f>IF(B584="","",IF(AND(F584&lt;&gt;"",G584&lt;&gt;""),MAX(0,ROUND(MOD(G584-F584,1)*24-N(H584)/60,2)),N(I584)))</f>
        <v/>
      </c>
      <c r="N584" s="14">
        <f>IF(B584="","",IF(K584&lt;&gt;"",K584,IF(N(IFERROR(INDEX(Projects!$D$6:$D$65,MATCH(D584,Projects!$B$6:$B$65,0)),""))&gt;0,IFERROR(INDEX(Projects!$D$6:$D$65,MATCH(D584,Projects!$B$6:$B$65,0)),""),IFERROR(INDEX(Clients!$G$6:$G$45,MATCH(C584,Clients!$B$6:$B$45,0)),0))))</f>
        <v/>
      </c>
      <c r="O584" s="14">
        <f>IF(B584="","",IF(J584&lt;&gt;"",0,ROUND(M584*N584,2)))</f>
        <v/>
      </c>
      <c r="P584" s="15">
        <f>IF(OR(B584="",J584&lt;&gt;""),"",IF(L584&lt;&gt;"",L584,IF(COUNTIFS(Invoices!$C$6:$C$305,C584,Invoices!$E$6:$E$305,"&lt;="&amp;B584,Invoices!$F$6:$F$305,"&gt;="&amp;B584)=1,INDEX(Invoices!$B$6:$B$305,SUMIFS(Invoices!$O$6:$O$305,Invoices!$C$6:$C$305,C584,Invoices!$E$6:$E$305,"&lt;="&amp;B584,Invoices!$F$6:$F$305,"&gt;="&amp;B584)),IF(COUNTIFS(Invoices!$C$6:$C$305,C584,Invoices!$E$6:$E$305,"&lt;="&amp;B584,Invoices!$F$6:$F$305,"&gt;="&amp;B584)&gt;1,"Two invoices",""))))</f>
        <v/>
      </c>
      <c r="Q584" s="15">
        <f>IF(B584="","",IF(J584&lt;&gt;"","Not billable",IF(P584="","To invoice",IF(P584="Two invoices","Check dates",IF(ISNA(MATCH(P584,Invoices!$B$6:$B$305,0)),"Check number",IF(INDEX(Invoices!$M$6:$M$305,MATCH(P584,Invoices!$B$6:$B$305,0))="Paid","Paid",IF(INDEX(Invoices!$M$6:$M$305,MATCH(P584,Invoices!$B$6:$B$305,0))="Draft","Draft","Invoiced")))))))</f>
        <v/>
      </c>
      <c r="R584" s="1">
        <f>IF(AND(B584&lt;&gt;"",P584&lt;&gt;"",P584=Invoice!$G$4),B584+MOD(N(F584),1)+ROW()/10000000,"")</f>
        <v/>
      </c>
      <c r="S584">
        <f>IF(R584="","",IF(D584="","Other work",D584)&amp;IF(AND(K584&lt;&gt;"",E584&lt;&gt;""),", "&amp;E584,""))</f>
        <v/>
      </c>
      <c r="T584">
        <f>IF(R584="","",IF(COUNTIFS(R$6:R583,"&gt;0",S$6:S583,S584,N$6:N583,N584)=0,R584,""))</f>
        <v/>
      </c>
      <c r="U584">
        <f>IF(B584="","",IF(J584&lt;&gt;"",0,M584))</f>
        <v/>
      </c>
    </row>
    <row r="585">
      <c r="A585" s="1" t="n"/>
      <c r="B585" s="16" t="n"/>
      <c r="C585" s="17" t="n"/>
      <c r="D585" s="18" t="n"/>
      <c r="E585" s="18" t="n"/>
      <c r="F585" s="19" t="n"/>
      <c r="G585" s="19" t="n"/>
      <c r="H585" s="20" t="n"/>
      <c r="I585" s="21" t="n"/>
      <c r="J585" s="22" t="n"/>
      <c r="K585" s="23" t="n"/>
      <c r="L585" s="18" t="n"/>
      <c r="M585" s="24">
        <f>IF(B585="","",IF(AND(F585&lt;&gt;"",G585&lt;&gt;""),MAX(0,ROUND(MOD(G585-F585,1)*24-N(H585)/60,2)),N(I585)))</f>
        <v/>
      </c>
      <c r="N585" s="14">
        <f>IF(B585="","",IF(K585&lt;&gt;"",K585,IF(N(IFERROR(INDEX(Projects!$D$6:$D$65,MATCH(D585,Projects!$B$6:$B$65,0)),""))&gt;0,IFERROR(INDEX(Projects!$D$6:$D$65,MATCH(D585,Projects!$B$6:$B$65,0)),""),IFERROR(INDEX(Clients!$G$6:$G$45,MATCH(C585,Clients!$B$6:$B$45,0)),0))))</f>
        <v/>
      </c>
      <c r="O585" s="14">
        <f>IF(B585="","",IF(J585&lt;&gt;"",0,ROUND(M585*N585,2)))</f>
        <v/>
      </c>
      <c r="P585" s="15">
        <f>IF(OR(B585="",J585&lt;&gt;""),"",IF(L585&lt;&gt;"",L585,IF(COUNTIFS(Invoices!$C$6:$C$305,C585,Invoices!$E$6:$E$305,"&lt;="&amp;B585,Invoices!$F$6:$F$305,"&gt;="&amp;B585)=1,INDEX(Invoices!$B$6:$B$305,SUMIFS(Invoices!$O$6:$O$305,Invoices!$C$6:$C$305,C585,Invoices!$E$6:$E$305,"&lt;="&amp;B585,Invoices!$F$6:$F$305,"&gt;="&amp;B585)),IF(COUNTIFS(Invoices!$C$6:$C$305,C585,Invoices!$E$6:$E$305,"&lt;="&amp;B585,Invoices!$F$6:$F$305,"&gt;="&amp;B585)&gt;1,"Two invoices",""))))</f>
        <v/>
      </c>
      <c r="Q585" s="15">
        <f>IF(B585="","",IF(J585&lt;&gt;"","Not billable",IF(P585="","To invoice",IF(P585="Two invoices","Check dates",IF(ISNA(MATCH(P585,Invoices!$B$6:$B$305,0)),"Check number",IF(INDEX(Invoices!$M$6:$M$305,MATCH(P585,Invoices!$B$6:$B$305,0))="Paid","Paid",IF(INDEX(Invoices!$M$6:$M$305,MATCH(P585,Invoices!$B$6:$B$305,0))="Draft","Draft","Invoiced")))))))</f>
        <v/>
      </c>
      <c r="R585" s="1">
        <f>IF(AND(B585&lt;&gt;"",P585&lt;&gt;"",P585=Invoice!$G$4),B585+MOD(N(F585),1)+ROW()/10000000,"")</f>
        <v/>
      </c>
      <c r="S585">
        <f>IF(R585="","",IF(D585="","Other work",D585)&amp;IF(AND(K585&lt;&gt;"",E585&lt;&gt;""),", "&amp;E585,""))</f>
        <v/>
      </c>
      <c r="T585">
        <f>IF(R585="","",IF(COUNTIFS(R$6:R584,"&gt;0",S$6:S584,S585,N$6:N584,N585)=0,R585,""))</f>
        <v/>
      </c>
      <c r="U585">
        <f>IF(B585="","",IF(J585&lt;&gt;"",0,M585))</f>
        <v/>
      </c>
    </row>
    <row r="586">
      <c r="A586" s="1" t="n"/>
      <c r="B586" s="16" t="n"/>
      <c r="C586" s="17" t="n"/>
      <c r="D586" s="18" t="n"/>
      <c r="E586" s="18" t="n"/>
      <c r="F586" s="19" t="n"/>
      <c r="G586" s="19" t="n"/>
      <c r="H586" s="20" t="n"/>
      <c r="I586" s="21" t="n"/>
      <c r="J586" s="22" t="n"/>
      <c r="K586" s="23" t="n"/>
      <c r="L586" s="18" t="n"/>
      <c r="M586" s="24">
        <f>IF(B586="","",IF(AND(F586&lt;&gt;"",G586&lt;&gt;""),MAX(0,ROUND(MOD(G586-F586,1)*24-N(H586)/60,2)),N(I586)))</f>
        <v/>
      </c>
      <c r="N586" s="14">
        <f>IF(B586="","",IF(K586&lt;&gt;"",K586,IF(N(IFERROR(INDEX(Projects!$D$6:$D$65,MATCH(D586,Projects!$B$6:$B$65,0)),""))&gt;0,IFERROR(INDEX(Projects!$D$6:$D$65,MATCH(D586,Projects!$B$6:$B$65,0)),""),IFERROR(INDEX(Clients!$G$6:$G$45,MATCH(C586,Clients!$B$6:$B$45,0)),0))))</f>
        <v/>
      </c>
      <c r="O586" s="14">
        <f>IF(B586="","",IF(J586&lt;&gt;"",0,ROUND(M586*N586,2)))</f>
        <v/>
      </c>
      <c r="P586" s="15">
        <f>IF(OR(B586="",J586&lt;&gt;""),"",IF(L586&lt;&gt;"",L586,IF(COUNTIFS(Invoices!$C$6:$C$305,C586,Invoices!$E$6:$E$305,"&lt;="&amp;B586,Invoices!$F$6:$F$305,"&gt;="&amp;B586)=1,INDEX(Invoices!$B$6:$B$305,SUMIFS(Invoices!$O$6:$O$305,Invoices!$C$6:$C$305,C586,Invoices!$E$6:$E$305,"&lt;="&amp;B586,Invoices!$F$6:$F$305,"&gt;="&amp;B586)),IF(COUNTIFS(Invoices!$C$6:$C$305,C586,Invoices!$E$6:$E$305,"&lt;="&amp;B586,Invoices!$F$6:$F$305,"&gt;="&amp;B586)&gt;1,"Two invoices",""))))</f>
        <v/>
      </c>
      <c r="Q586" s="15">
        <f>IF(B586="","",IF(J586&lt;&gt;"","Not billable",IF(P586="","To invoice",IF(P586="Two invoices","Check dates",IF(ISNA(MATCH(P586,Invoices!$B$6:$B$305,0)),"Check number",IF(INDEX(Invoices!$M$6:$M$305,MATCH(P586,Invoices!$B$6:$B$305,0))="Paid","Paid",IF(INDEX(Invoices!$M$6:$M$305,MATCH(P586,Invoices!$B$6:$B$305,0))="Draft","Draft","Invoiced")))))))</f>
        <v/>
      </c>
      <c r="R586" s="1">
        <f>IF(AND(B586&lt;&gt;"",P586&lt;&gt;"",P586=Invoice!$G$4),B586+MOD(N(F586),1)+ROW()/10000000,"")</f>
        <v/>
      </c>
      <c r="S586">
        <f>IF(R586="","",IF(D586="","Other work",D586)&amp;IF(AND(K586&lt;&gt;"",E586&lt;&gt;""),", "&amp;E586,""))</f>
        <v/>
      </c>
      <c r="T586">
        <f>IF(R586="","",IF(COUNTIFS(R$6:R585,"&gt;0",S$6:S585,S586,N$6:N585,N586)=0,R586,""))</f>
        <v/>
      </c>
      <c r="U586">
        <f>IF(B586="","",IF(J586&lt;&gt;"",0,M586))</f>
        <v/>
      </c>
    </row>
    <row r="587">
      <c r="A587" s="1" t="n"/>
      <c r="B587" s="16" t="n"/>
      <c r="C587" s="17" t="n"/>
      <c r="D587" s="18" t="n"/>
      <c r="E587" s="18" t="n"/>
      <c r="F587" s="19" t="n"/>
      <c r="G587" s="19" t="n"/>
      <c r="H587" s="20" t="n"/>
      <c r="I587" s="21" t="n"/>
      <c r="J587" s="22" t="n"/>
      <c r="K587" s="23" t="n"/>
      <c r="L587" s="18" t="n"/>
      <c r="M587" s="24">
        <f>IF(B587="","",IF(AND(F587&lt;&gt;"",G587&lt;&gt;""),MAX(0,ROUND(MOD(G587-F587,1)*24-N(H587)/60,2)),N(I587)))</f>
        <v/>
      </c>
      <c r="N587" s="14">
        <f>IF(B587="","",IF(K587&lt;&gt;"",K587,IF(N(IFERROR(INDEX(Projects!$D$6:$D$65,MATCH(D587,Projects!$B$6:$B$65,0)),""))&gt;0,IFERROR(INDEX(Projects!$D$6:$D$65,MATCH(D587,Projects!$B$6:$B$65,0)),""),IFERROR(INDEX(Clients!$G$6:$G$45,MATCH(C587,Clients!$B$6:$B$45,0)),0))))</f>
        <v/>
      </c>
      <c r="O587" s="14">
        <f>IF(B587="","",IF(J587&lt;&gt;"",0,ROUND(M587*N587,2)))</f>
        <v/>
      </c>
      <c r="P587" s="15">
        <f>IF(OR(B587="",J587&lt;&gt;""),"",IF(L587&lt;&gt;"",L587,IF(COUNTIFS(Invoices!$C$6:$C$305,C587,Invoices!$E$6:$E$305,"&lt;="&amp;B587,Invoices!$F$6:$F$305,"&gt;="&amp;B587)=1,INDEX(Invoices!$B$6:$B$305,SUMIFS(Invoices!$O$6:$O$305,Invoices!$C$6:$C$305,C587,Invoices!$E$6:$E$305,"&lt;="&amp;B587,Invoices!$F$6:$F$305,"&gt;="&amp;B587)),IF(COUNTIFS(Invoices!$C$6:$C$305,C587,Invoices!$E$6:$E$305,"&lt;="&amp;B587,Invoices!$F$6:$F$305,"&gt;="&amp;B587)&gt;1,"Two invoices",""))))</f>
        <v/>
      </c>
      <c r="Q587" s="15">
        <f>IF(B587="","",IF(J587&lt;&gt;"","Not billable",IF(P587="","To invoice",IF(P587="Two invoices","Check dates",IF(ISNA(MATCH(P587,Invoices!$B$6:$B$305,0)),"Check number",IF(INDEX(Invoices!$M$6:$M$305,MATCH(P587,Invoices!$B$6:$B$305,0))="Paid","Paid",IF(INDEX(Invoices!$M$6:$M$305,MATCH(P587,Invoices!$B$6:$B$305,0))="Draft","Draft","Invoiced")))))))</f>
        <v/>
      </c>
      <c r="R587" s="1">
        <f>IF(AND(B587&lt;&gt;"",P587&lt;&gt;"",P587=Invoice!$G$4),B587+MOD(N(F587),1)+ROW()/10000000,"")</f>
        <v/>
      </c>
      <c r="S587">
        <f>IF(R587="","",IF(D587="","Other work",D587)&amp;IF(AND(K587&lt;&gt;"",E587&lt;&gt;""),", "&amp;E587,""))</f>
        <v/>
      </c>
      <c r="T587">
        <f>IF(R587="","",IF(COUNTIFS(R$6:R586,"&gt;0",S$6:S586,S587,N$6:N586,N587)=0,R587,""))</f>
        <v/>
      </c>
      <c r="U587">
        <f>IF(B587="","",IF(J587&lt;&gt;"",0,M587))</f>
        <v/>
      </c>
    </row>
    <row r="588">
      <c r="A588" s="1" t="n"/>
      <c r="B588" s="16" t="n"/>
      <c r="C588" s="17" t="n"/>
      <c r="D588" s="18" t="n"/>
      <c r="E588" s="18" t="n"/>
      <c r="F588" s="19" t="n"/>
      <c r="G588" s="19" t="n"/>
      <c r="H588" s="20" t="n"/>
      <c r="I588" s="21" t="n"/>
      <c r="J588" s="22" t="n"/>
      <c r="K588" s="23" t="n"/>
      <c r="L588" s="18" t="n"/>
      <c r="M588" s="24">
        <f>IF(B588="","",IF(AND(F588&lt;&gt;"",G588&lt;&gt;""),MAX(0,ROUND(MOD(G588-F588,1)*24-N(H588)/60,2)),N(I588)))</f>
        <v/>
      </c>
      <c r="N588" s="14">
        <f>IF(B588="","",IF(K588&lt;&gt;"",K588,IF(N(IFERROR(INDEX(Projects!$D$6:$D$65,MATCH(D588,Projects!$B$6:$B$65,0)),""))&gt;0,IFERROR(INDEX(Projects!$D$6:$D$65,MATCH(D588,Projects!$B$6:$B$65,0)),""),IFERROR(INDEX(Clients!$G$6:$G$45,MATCH(C588,Clients!$B$6:$B$45,0)),0))))</f>
        <v/>
      </c>
      <c r="O588" s="14">
        <f>IF(B588="","",IF(J588&lt;&gt;"",0,ROUND(M588*N588,2)))</f>
        <v/>
      </c>
      <c r="P588" s="15">
        <f>IF(OR(B588="",J588&lt;&gt;""),"",IF(L588&lt;&gt;"",L588,IF(COUNTIFS(Invoices!$C$6:$C$305,C588,Invoices!$E$6:$E$305,"&lt;="&amp;B588,Invoices!$F$6:$F$305,"&gt;="&amp;B588)=1,INDEX(Invoices!$B$6:$B$305,SUMIFS(Invoices!$O$6:$O$305,Invoices!$C$6:$C$305,C588,Invoices!$E$6:$E$305,"&lt;="&amp;B588,Invoices!$F$6:$F$305,"&gt;="&amp;B588)),IF(COUNTIFS(Invoices!$C$6:$C$305,C588,Invoices!$E$6:$E$305,"&lt;="&amp;B588,Invoices!$F$6:$F$305,"&gt;="&amp;B588)&gt;1,"Two invoices",""))))</f>
        <v/>
      </c>
      <c r="Q588" s="15">
        <f>IF(B588="","",IF(J588&lt;&gt;"","Not billable",IF(P588="","To invoice",IF(P588="Two invoices","Check dates",IF(ISNA(MATCH(P588,Invoices!$B$6:$B$305,0)),"Check number",IF(INDEX(Invoices!$M$6:$M$305,MATCH(P588,Invoices!$B$6:$B$305,0))="Paid","Paid",IF(INDEX(Invoices!$M$6:$M$305,MATCH(P588,Invoices!$B$6:$B$305,0))="Draft","Draft","Invoiced")))))))</f>
        <v/>
      </c>
      <c r="R588" s="1">
        <f>IF(AND(B588&lt;&gt;"",P588&lt;&gt;"",P588=Invoice!$G$4),B588+MOD(N(F588),1)+ROW()/10000000,"")</f>
        <v/>
      </c>
      <c r="S588">
        <f>IF(R588="","",IF(D588="","Other work",D588)&amp;IF(AND(K588&lt;&gt;"",E588&lt;&gt;""),", "&amp;E588,""))</f>
        <v/>
      </c>
      <c r="T588">
        <f>IF(R588="","",IF(COUNTIFS(R$6:R587,"&gt;0",S$6:S587,S588,N$6:N587,N588)=0,R588,""))</f>
        <v/>
      </c>
      <c r="U588">
        <f>IF(B588="","",IF(J588&lt;&gt;"",0,M588))</f>
        <v/>
      </c>
    </row>
    <row r="589">
      <c r="A589" s="1" t="n"/>
      <c r="B589" s="16" t="n"/>
      <c r="C589" s="17" t="n"/>
      <c r="D589" s="18" t="n"/>
      <c r="E589" s="18" t="n"/>
      <c r="F589" s="19" t="n"/>
      <c r="G589" s="19" t="n"/>
      <c r="H589" s="20" t="n"/>
      <c r="I589" s="21" t="n"/>
      <c r="J589" s="22" t="n"/>
      <c r="K589" s="23" t="n"/>
      <c r="L589" s="18" t="n"/>
      <c r="M589" s="24">
        <f>IF(B589="","",IF(AND(F589&lt;&gt;"",G589&lt;&gt;""),MAX(0,ROUND(MOD(G589-F589,1)*24-N(H589)/60,2)),N(I589)))</f>
        <v/>
      </c>
      <c r="N589" s="14">
        <f>IF(B589="","",IF(K589&lt;&gt;"",K589,IF(N(IFERROR(INDEX(Projects!$D$6:$D$65,MATCH(D589,Projects!$B$6:$B$65,0)),""))&gt;0,IFERROR(INDEX(Projects!$D$6:$D$65,MATCH(D589,Projects!$B$6:$B$65,0)),""),IFERROR(INDEX(Clients!$G$6:$G$45,MATCH(C589,Clients!$B$6:$B$45,0)),0))))</f>
        <v/>
      </c>
      <c r="O589" s="14">
        <f>IF(B589="","",IF(J589&lt;&gt;"",0,ROUND(M589*N589,2)))</f>
        <v/>
      </c>
      <c r="P589" s="15">
        <f>IF(OR(B589="",J589&lt;&gt;""),"",IF(L589&lt;&gt;"",L589,IF(COUNTIFS(Invoices!$C$6:$C$305,C589,Invoices!$E$6:$E$305,"&lt;="&amp;B589,Invoices!$F$6:$F$305,"&gt;="&amp;B589)=1,INDEX(Invoices!$B$6:$B$305,SUMIFS(Invoices!$O$6:$O$305,Invoices!$C$6:$C$305,C589,Invoices!$E$6:$E$305,"&lt;="&amp;B589,Invoices!$F$6:$F$305,"&gt;="&amp;B589)),IF(COUNTIFS(Invoices!$C$6:$C$305,C589,Invoices!$E$6:$E$305,"&lt;="&amp;B589,Invoices!$F$6:$F$305,"&gt;="&amp;B589)&gt;1,"Two invoices",""))))</f>
        <v/>
      </c>
      <c r="Q589" s="15">
        <f>IF(B589="","",IF(J589&lt;&gt;"","Not billable",IF(P589="","To invoice",IF(P589="Two invoices","Check dates",IF(ISNA(MATCH(P589,Invoices!$B$6:$B$305,0)),"Check number",IF(INDEX(Invoices!$M$6:$M$305,MATCH(P589,Invoices!$B$6:$B$305,0))="Paid","Paid",IF(INDEX(Invoices!$M$6:$M$305,MATCH(P589,Invoices!$B$6:$B$305,0))="Draft","Draft","Invoiced")))))))</f>
        <v/>
      </c>
      <c r="R589" s="1">
        <f>IF(AND(B589&lt;&gt;"",P589&lt;&gt;"",P589=Invoice!$G$4),B589+MOD(N(F589),1)+ROW()/10000000,"")</f>
        <v/>
      </c>
      <c r="S589">
        <f>IF(R589="","",IF(D589="","Other work",D589)&amp;IF(AND(K589&lt;&gt;"",E589&lt;&gt;""),", "&amp;E589,""))</f>
        <v/>
      </c>
      <c r="T589">
        <f>IF(R589="","",IF(COUNTIFS(R$6:R588,"&gt;0",S$6:S588,S589,N$6:N588,N589)=0,R589,""))</f>
        <v/>
      </c>
      <c r="U589">
        <f>IF(B589="","",IF(J589&lt;&gt;"",0,M589))</f>
        <v/>
      </c>
    </row>
    <row r="590">
      <c r="A590" s="1" t="n"/>
      <c r="B590" s="16" t="n"/>
      <c r="C590" s="17" t="n"/>
      <c r="D590" s="18" t="n"/>
      <c r="E590" s="18" t="n"/>
      <c r="F590" s="19" t="n"/>
      <c r="G590" s="19" t="n"/>
      <c r="H590" s="20" t="n"/>
      <c r="I590" s="21" t="n"/>
      <c r="J590" s="22" t="n"/>
      <c r="K590" s="23" t="n"/>
      <c r="L590" s="18" t="n"/>
      <c r="M590" s="24">
        <f>IF(B590="","",IF(AND(F590&lt;&gt;"",G590&lt;&gt;""),MAX(0,ROUND(MOD(G590-F590,1)*24-N(H590)/60,2)),N(I590)))</f>
        <v/>
      </c>
      <c r="N590" s="14">
        <f>IF(B590="","",IF(K590&lt;&gt;"",K590,IF(N(IFERROR(INDEX(Projects!$D$6:$D$65,MATCH(D590,Projects!$B$6:$B$65,0)),""))&gt;0,IFERROR(INDEX(Projects!$D$6:$D$65,MATCH(D590,Projects!$B$6:$B$65,0)),""),IFERROR(INDEX(Clients!$G$6:$G$45,MATCH(C590,Clients!$B$6:$B$45,0)),0))))</f>
        <v/>
      </c>
      <c r="O590" s="14">
        <f>IF(B590="","",IF(J590&lt;&gt;"",0,ROUND(M590*N590,2)))</f>
        <v/>
      </c>
      <c r="P590" s="15">
        <f>IF(OR(B590="",J590&lt;&gt;""),"",IF(L590&lt;&gt;"",L590,IF(COUNTIFS(Invoices!$C$6:$C$305,C590,Invoices!$E$6:$E$305,"&lt;="&amp;B590,Invoices!$F$6:$F$305,"&gt;="&amp;B590)=1,INDEX(Invoices!$B$6:$B$305,SUMIFS(Invoices!$O$6:$O$305,Invoices!$C$6:$C$305,C590,Invoices!$E$6:$E$305,"&lt;="&amp;B590,Invoices!$F$6:$F$305,"&gt;="&amp;B590)),IF(COUNTIFS(Invoices!$C$6:$C$305,C590,Invoices!$E$6:$E$305,"&lt;="&amp;B590,Invoices!$F$6:$F$305,"&gt;="&amp;B590)&gt;1,"Two invoices",""))))</f>
        <v/>
      </c>
      <c r="Q590" s="15">
        <f>IF(B590="","",IF(J590&lt;&gt;"","Not billable",IF(P590="","To invoice",IF(P590="Two invoices","Check dates",IF(ISNA(MATCH(P590,Invoices!$B$6:$B$305,0)),"Check number",IF(INDEX(Invoices!$M$6:$M$305,MATCH(P590,Invoices!$B$6:$B$305,0))="Paid","Paid",IF(INDEX(Invoices!$M$6:$M$305,MATCH(P590,Invoices!$B$6:$B$305,0))="Draft","Draft","Invoiced")))))))</f>
        <v/>
      </c>
      <c r="R590" s="1">
        <f>IF(AND(B590&lt;&gt;"",P590&lt;&gt;"",P590=Invoice!$G$4),B590+MOD(N(F590),1)+ROW()/10000000,"")</f>
        <v/>
      </c>
      <c r="S590">
        <f>IF(R590="","",IF(D590="","Other work",D590)&amp;IF(AND(K590&lt;&gt;"",E590&lt;&gt;""),", "&amp;E590,""))</f>
        <v/>
      </c>
      <c r="T590">
        <f>IF(R590="","",IF(COUNTIFS(R$6:R589,"&gt;0",S$6:S589,S590,N$6:N589,N590)=0,R590,""))</f>
        <v/>
      </c>
      <c r="U590">
        <f>IF(B590="","",IF(J590&lt;&gt;"",0,M590))</f>
        <v/>
      </c>
    </row>
    <row r="591">
      <c r="A591" s="1" t="n"/>
      <c r="B591" s="16" t="n"/>
      <c r="C591" s="17" t="n"/>
      <c r="D591" s="18" t="n"/>
      <c r="E591" s="18" t="n"/>
      <c r="F591" s="19" t="n"/>
      <c r="G591" s="19" t="n"/>
      <c r="H591" s="20" t="n"/>
      <c r="I591" s="21" t="n"/>
      <c r="J591" s="22" t="n"/>
      <c r="K591" s="23" t="n"/>
      <c r="L591" s="18" t="n"/>
      <c r="M591" s="24">
        <f>IF(B591="","",IF(AND(F591&lt;&gt;"",G591&lt;&gt;""),MAX(0,ROUND(MOD(G591-F591,1)*24-N(H591)/60,2)),N(I591)))</f>
        <v/>
      </c>
      <c r="N591" s="14">
        <f>IF(B591="","",IF(K591&lt;&gt;"",K591,IF(N(IFERROR(INDEX(Projects!$D$6:$D$65,MATCH(D591,Projects!$B$6:$B$65,0)),""))&gt;0,IFERROR(INDEX(Projects!$D$6:$D$65,MATCH(D591,Projects!$B$6:$B$65,0)),""),IFERROR(INDEX(Clients!$G$6:$G$45,MATCH(C591,Clients!$B$6:$B$45,0)),0))))</f>
        <v/>
      </c>
      <c r="O591" s="14">
        <f>IF(B591="","",IF(J591&lt;&gt;"",0,ROUND(M591*N591,2)))</f>
        <v/>
      </c>
      <c r="P591" s="15">
        <f>IF(OR(B591="",J591&lt;&gt;""),"",IF(L591&lt;&gt;"",L591,IF(COUNTIFS(Invoices!$C$6:$C$305,C591,Invoices!$E$6:$E$305,"&lt;="&amp;B591,Invoices!$F$6:$F$305,"&gt;="&amp;B591)=1,INDEX(Invoices!$B$6:$B$305,SUMIFS(Invoices!$O$6:$O$305,Invoices!$C$6:$C$305,C591,Invoices!$E$6:$E$305,"&lt;="&amp;B591,Invoices!$F$6:$F$305,"&gt;="&amp;B591)),IF(COUNTIFS(Invoices!$C$6:$C$305,C591,Invoices!$E$6:$E$305,"&lt;="&amp;B591,Invoices!$F$6:$F$305,"&gt;="&amp;B591)&gt;1,"Two invoices",""))))</f>
        <v/>
      </c>
      <c r="Q591" s="15">
        <f>IF(B591="","",IF(J591&lt;&gt;"","Not billable",IF(P591="","To invoice",IF(P591="Two invoices","Check dates",IF(ISNA(MATCH(P591,Invoices!$B$6:$B$305,0)),"Check number",IF(INDEX(Invoices!$M$6:$M$305,MATCH(P591,Invoices!$B$6:$B$305,0))="Paid","Paid",IF(INDEX(Invoices!$M$6:$M$305,MATCH(P591,Invoices!$B$6:$B$305,0))="Draft","Draft","Invoiced")))))))</f>
        <v/>
      </c>
      <c r="R591" s="1">
        <f>IF(AND(B591&lt;&gt;"",P591&lt;&gt;"",P591=Invoice!$G$4),B591+MOD(N(F591),1)+ROW()/10000000,"")</f>
        <v/>
      </c>
      <c r="S591">
        <f>IF(R591="","",IF(D591="","Other work",D591)&amp;IF(AND(K591&lt;&gt;"",E591&lt;&gt;""),", "&amp;E591,""))</f>
        <v/>
      </c>
      <c r="T591">
        <f>IF(R591="","",IF(COUNTIFS(R$6:R590,"&gt;0",S$6:S590,S591,N$6:N590,N591)=0,R591,""))</f>
        <v/>
      </c>
      <c r="U591">
        <f>IF(B591="","",IF(J591&lt;&gt;"",0,M591))</f>
        <v/>
      </c>
    </row>
    <row r="592">
      <c r="A592" s="1" t="n"/>
      <c r="B592" s="16" t="n"/>
      <c r="C592" s="17" t="n"/>
      <c r="D592" s="18" t="n"/>
      <c r="E592" s="18" t="n"/>
      <c r="F592" s="19" t="n"/>
      <c r="G592" s="19" t="n"/>
      <c r="H592" s="20" t="n"/>
      <c r="I592" s="21" t="n"/>
      <c r="J592" s="22" t="n"/>
      <c r="K592" s="23" t="n"/>
      <c r="L592" s="18" t="n"/>
      <c r="M592" s="24">
        <f>IF(B592="","",IF(AND(F592&lt;&gt;"",G592&lt;&gt;""),MAX(0,ROUND(MOD(G592-F592,1)*24-N(H592)/60,2)),N(I592)))</f>
        <v/>
      </c>
      <c r="N592" s="14">
        <f>IF(B592="","",IF(K592&lt;&gt;"",K592,IF(N(IFERROR(INDEX(Projects!$D$6:$D$65,MATCH(D592,Projects!$B$6:$B$65,0)),""))&gt;0,IFERROR(INDEX(Projects!$D$6:$D$65,MATCH(D592,Projects!$B$6:$B$65,0)),""),IFERROR(INDEX(Clients!$G$6:$G$45,MATCH(C592,Clients!$B$6:$B$45,0)),0))))</f>
        <v/>
      </c>
      <c r="O592" s="14">
        <f>IF(B592="","",IF(J592&lt;&gt;"",0,ROUND(M592*N592,2)))</f>
        <v/>
      </c>
      <c r="P592" s="15">
        <f>IF(OR(B592="",J592&lt;&gt;""),"",IF(L592&lt;&gt;"",L592,IF(COUNTIFS(Invoices!$C$6:$C$305,C592,Invoices!$E$6:$E$305,"&lt;="&amp;B592,Invoices!$F$6:$F$305,"&gt;="&amp;B592)=1,INDEX(Invoices!$B$6:$B$305,SUMIFS(Invoices!$O$6:$O$305,Invoices!$C$6:$C$305,C592,Invoices!$E$6:$E$305,"&lt;="&amp;B592,Invoices!$F$6:$F$305,"&gt;="&amp;B592)),IF(COUNTIFS(Invoices!$C$6:$C$305,C592,Invoices!$E$6:$E$305,"&lt;="&amp;B592,Invoices!$F$6:$F$305,"&gt;="&amp;B592)&gt;1,"Two invoices",""))))</f>
        <v/>
      </c>
      <c r="Q592" s="15">
        <f>IF(B592="","",IF(J592&lt;&gt;"","Not billable",IF(P592="","To invoice",IF(P592="Two invoices","Check dates",IF(ISNA(MATCH(P592,Invoices!$B$6:$B$305,0)),"Check number",IF(INDEX(Invoices!$M$6:$M$305,MATCH(P592,Invoices!$B$6:$B$305,0))="Paid","Paid",IF(INDEX(Invoices!$M$6:$M$305,MATCH(P592,Invoices!$B$6:$B$305,0))="Draft","Draft","Invoiced")))))))</f>
        <v/>
      </c>
      <c r="R592" s="1">
        <f>IF(AND(B592&lt;&gt;"",P592&lt;&gt;"",P592=Invoice!$G$4),B592+MOD(N(F592),1)+ROW()/10000000,"")</f>
        <v/>
      </c>
      <c r="S592">
        <f>IF(R592="","",IF(D592="","Other work",D592)&amp;IF(AND(K592&lt;&gt;"",E592&lt;&gt;""),", "&amp;E592,""))</f>
        <v/>
      </c>
      <c r="T592">
        <f>IF(R592="","",IF(COUNTIFS(R$6:R591,"&gt;0",S$6:S591,S592,N$6:N591,N592)=0,R592,""))</f>
        <v/>
      </c>
      <c r="U592">
        <f>IF(B592="","",IF(J592&lt;&gt;"",0,M592))</f>
        <v/>
      </c>
    </row>
    <row r="593">
      <c r="A593" s="1" t="n"/>
      <c r="B593" s="16" t="n"/>
      <c r="C593" s="17" t="n"/>
      <c r="D593" s="18" t="n"/>
      <c r="E593" s="18" t="n"/>
      <c r="F593" s="19" t="n"/>
      <c r="G593" s="19" t="n"/>
      <c r="H593" s="20" t="n"/>
      <c r="I593" s="21" t="n"/>
      <c r="J593" s="22" t="n"/>
      <c r="K593" s="23" t="n"/>
      <c r="L593" s="18" t="n"/>
      <c r="M593" s="24">
        <f>IF(B593="","",IF(AND(F593&lt;&gt;"",G593&lt;&gt;""),MAX(0,ROUND(MOD(G593-F593,1)*24-N(H593)/60,2)),N(I593)))</f>
        <v/>
      </c>
      <c r="N593" s="14">
        <f>IF(B593="","",IF(K593&lt;&gt;"",K593,IF(N(IFERROR(INDEX(Projects!$D$6:$D$65,MATCH(D593,Projects!$B$6:$B$65,0)),""))&gt;0,IFERROR(INDEX(Projects!$D$6:$D$65,MATCH(D593,Projects!$B$6:$B$65,0)),""),IFERROR(INDEX(Clients!$G$6:$G$45,MATCH(C593,Clients!$B$6:$B$45,0)),0))))</f>
        <v/>
      </c>
      <c r="O593" s="14">
        <f>IF(B593="","",IF(J593&lt;&gt;"",0,ROUND(M593*N593,2)))</f>
        <v/>
      </c>
      <c r="P593" s="15">
        <f>IF(OR(B593="",J593&lt;&gt;""),"",IF(L593&lt;&gt;"",L593,IF(COUNTIFS(Invoices!$C$6:$C$305,C593,Invoices!$E$6:$E$305,"&lt;="&amp;B593,Invoices!$F$6:$F$305,"&gt;="&amp;B593)=1,INDEX(Invoices!$B$6:$B$305,SUMIFS(Invoices!$O$6:$O$305,Invoices!$C$6:$C$305,C593,Invoices!$E$6:$E$305,"&lt;="&amp;B593,Invoices!$F$6:$F$305,"&gt;="&amp;B593)),IF(COUNTIFS(Invoices!$C$6:$C$305,C593,Invoices!$E$6:$E$305,"&lt;="&amp;B593,Invoices!$F$6:$F$305,"&gt;="&amp;B593)&gt;1,"Two invoices",""))))</f>
        <v/>
      </c>
      <c r="Q593" s="15">
        <f>IF(B593="","",IF(J593&lt;&gt;"","Not billable",IF(P593="","To invoice",IF(P593="Two invoices","Check dates",IF(ISNA(MATCH(P593,Invoices!$B$6:$B$305,0)),"Check number",IF(INDEX(Invoices!$M$6:$M$305,MATCH(P593,Invoices!$B$6:$B$305,0))="Paid","Paid",IF(INDEX(Invoices!$M$6:$M$305,MATCH(P593,Invoices!$B$6:$B$305,0))="Draft","Draft","Invoiced")))))))</f>
        <v/>
      </c>
      <c r="R593" s="1">
        <f>IF(AND(B593&lt;&gt;"",P593&lt;&gt;"",P593=Invoice!$G$4),B593+MOD(N(F593),1)+ROW()/10000000,"")</f>
        <v/>
      </c>
      <c r="S593">
        <f>IF(R593="","",IF(D593="","Other work",D593)&amp;IF(AND(K593&lt;&gt;"",E593&lt;&gt;""),", "&amp;E593,""))</f>
        <v/>
      </c>
      <c r="T593">
        <f>IF(R593="","",IF(COUNTIFS(R$6:R592,"&gt;0",S$6:S592,S593,N$6:N592,N593)=0,R593,""))</f>
        <v/>
      </c>
      <c r="U593">
        <f>IF(B593="","",IF(J593&lt;&gt;"",0,M593))</f>
        <v/>
      </c>
    </row>
    <row r="594">
      <c r="A594" s="1" t="n"/>
      <c r="B594" s="16" t="n"/>
      <c r="C594" s="17" t="n"/>
      <c r="D594" s="18" t="n"/>
      <c r="E594" s="18" t="n"/>
      <c r="F594" s="19" t="n"/>
      <c r="G594" s="19" t="n"/>
      <c r="H594" s="20" t="n"/>
      <c r="I594" s="21" t="n"/>
      <c r="J594" s="22" t="n"/>
      <c r="K594" s="23" t="n"/>
      <c r="L594" s="18" t="n"/>
      <c r="M594" s="24">
        <f>IF(B594="","",IF(AND(F594&lt;&gt;"",G594&lt;&gt;""),MAX(0,ROUND(MOD(G594-F594,1)*24-N(H594)/60,2)),N(I594)))</f>
        <v/>
      </c>
      <c r="N594" s="14">
        <f>IF(B594="","",IF(K594&lt;&gt;"",K594,IF(N(IFERROR(INDEX(Projects!$D$6:$D$65,MATCH(D594,Projects!$B$6:$B$65,0)),""))&gt;0,IFERROR(INDEX(Projects!$D$6:$D$65,MATCH(D594,Projects!$B$6:$B$65,0)),""),IFERROR(INDEX(Clients!$G$6:$G$45,MATCH(C594,Clients!$B$6:$B$45,0)),0))))</f>
        <v/>
      </c>
      <c r="O594" s="14">
        <f>IF(B594="","",IF(J594&lt;&gt;"",0,ROUND(M594*N594,2)))</f>
        <v/>
      </c>
      <c r="P594" s="15">
        <f>IF(OR(B594="",J594&lt;&gt;""),"",IF(L594&lt;&gt;"",L594,IF(COUNTIFS(Invoices!$C$6:$C$305,C594,Invoices!$E$6:$E$305,"&lt;="&amp;B594,Invoices!$F$6:$F$305,"&gt;="&amp;B594)=1,INDEX(Invoices!$B$6:$B$305,SUMIFS(Invoices!$O$6:$O$305,Invoices!$C$6:$C$305,C594,Invoices!$E$6:$E$305,"&lt;="&amp;B594,Invoices!$F$6:$F$305,"&gt;="&amp;B594)),IF(COUNTIFS(Invoices!$C$6:$C$305,C594,Invoices!$E$6:$E$305,"&lt;="&amp;B594,Invoices!$F$6:$F$305,"&gt;="&amp;B594)&gt;1,"Two invoices",""))))</f>
        <v/>
      </c>
      <c r="Q594" s="15">
        <f>IF(B594="","",IF(J594&lt;&gt;"","Not billable",IF(P594="","To invoice",IF(P594="Two invoices","Check dates",IF(ISNA(MATCH(P594,Invoices!$B$6:$B$305,0)),"Check number",IF(INDEX(Invoices!$M$6:$M$305,MATCH(P594,Invoices!$B$6:$B$305,0))="Paid","Paid",IF(INDEX(Invoices!$M$6:$M$305,MATCH(P594,Invoices!$B$6:$B$305,0))="Draft","Draft","Invoiced")))))))</f>
        <v/>
      </c>
      <c r="R594" s="1">
        <f>IF(AND(B594&lt;&gt;"",P594&lt;&gt;"",P594=Invoice!$G$4),B594+MOD(N(F594),1)+ROW()/10000000,"")</f>
        <v/>
      </c>
      <c r="S594">
        <f>IF(R594="","",IF(D594="","Other work",D594)&amp;IF(AND(K594&lt;&gt;"",E594&lt;&gt;""),", "&amp;E594,""))</f>
        <v/>
      </c>
      <c r="T594">
        <f>IF(R594="","",IF(COUNTIFS(R$6:R593,"&gt;0",S$6:S593,S594,N$6:N593,N594)=0,R594,""))</f>
        <v/>
      </c>
      <c r="U594">
        <f>IF(B594="","",IF(J594&lt;&gt;"",0,M594))</f>
        <v/>
      </c>
    </row>
    <row r="595">
      <c r="A595" s="1" t="n"/>
      <c r="B595" s="16" t="n"/>
      <c r="C595" s="17" t="n"/>
      <c r="D595" s="18" t="n"/>
      <c r="E595" s="18" t="n"/>
      <c r="F595" s="19" t="n"/>
      <c r="G595" s="19" t="n"/>
      <c r="H595" s="20" t="n"/>
      <c r="I595" s="21" t="n"/>
      <c r="J595" s="22" t="n"/>
      <c r="K595" s="23" t="n"/>
      <c r="L595" s="18" t="n"/>
      <c r="M595" s="24">
        <f>IF(B595="","",IF(AND(F595&lt;&gt;"",G595&lt;&gt;""),MAX(0,ROUND(MOD(G595-F595,1)*24-N(H595)/60,2)),N(I595)))</f>
        <v/>
      </c>
      <c r="N595" s="14">
        <f>IF(B595="","",IF(K595&lt;&gt;"",K595,IF(N(IFERROR(INDEX(Projects!$D$6:$D$65,MATCH(D595,Projects!$B$6:$B$65,0)),""))&gt;0,IFERROR(INDEX(Projects!$D$6:$D$65,MATCH(D595,Projects!$B$6:$B$65,0)),""),IFERROR(INDEX(Clients!$G$6:$G$45,MATCH(C595,Clients!$B$6:$B$45,0)),0))))</f>
        <v/>
      </c>
      <c r="O595" s="14">
        <f>IF(B595="","",IF(J595&lt;&gt;"",0,ROUND(M595*N595,2)))</f>
        <v/>
      </c>
      <c r="P595" s="15">
        <f>IF(OR(B595="",J595&lt;&gt;""),"",IF(L595&lt;&gt;"",L595,IF(COUNTIFS(Invoices!$C$6:$C$305,C595,Invoices!$E$6:$E$305,"&lt;="&amp;B595,Invoices!$F$6:$F$305,"&gt;="&amp;B595)=1,INDEX(Invoices!$B$6:$B$305,SUMIFS(Invoices!$O$6:$O$305,Invoices!$C$6:$C$305,C595,Invoices!$E$6:$E$305,"&lt;="&amp;B595,Invoices!$F$6:$F$305,"&gt;="&amp;B595)),IF(COUNTIFS(Invoices!$C$6:$C$305,C595,Invoices!$E$6:$E$305,"&lt;="&amp;B595,Invoices!$F$6:$F$305,"&gt;="&amp;B595)&gt;1,"Two invoices",""))))</f>
        <v/>
      </c>
      <c r="Q595" s="15">
        <f>IF(B595="","",IF(J595&lt;&gt;"","Not billable",IF(P595="","To invoice",IF(P595="Two invoices","Check dates",IF(ISNA(MATCH(P595,Invoices!$B$6:$B$305,0)),"Check number",IF(INDEX(Invoices!$M$6:$M$305,MATCH(P595,Invoices!$B$6:$B$305,0))="Paid","Paid",IF(INDEX(Invoices!$M$6:$M$305,MATCH(P595,Invoices!$B$6:$B$305,0))="Draft","Draft","Invoiced")))))))</f>
        <v/>
      </c>
      <c r="R595" s="1">
        <f>IF(AND(B595&lt;&gt;"",P595&lt;&gt;"",P595=Invoice!$G$4),B595+MOD(N(F595),1)+ROW()/10000000,"")</f>
        <v/>
      </c>
      <c r="S595">
        <f>IF(R595="","",IF(D595="","Other work",D595)&amp;IF(AND(K595&lt;&gt;"",E595&lt;&gt;""),", "&amp;E595,""))</f>
        <v/>
      </c>
      <c r="T595">
        <f>IF(R595="","",IF(COUNTIFS(R$6:R594,"&gt;0",S$6:S594,S595,N$6:N594,N595)=0,R595,""))</f>
        <v/>
      </c>
      <c r="U595">
        <f>IF(B595="","",IF(J595&lt;&gt;"",0,M595))</f>
        <v/>
      </c>
    </row>
    <row r="596">
      <c r="A596" s="1" t="n"/>
      <c r="B596" s="16" t="n"/>
      <c r="C596" s="17" t="n"/>
      <c r="D596" s="18" t="n"/>
      <c r="E596" s="18" t="n"/>
      <c r="F596" s="19" t="n"/>
      <c r="G596" s="19" t="n"/>
      <c r="H596" s="20" t="n"/>
      <c r="I596" s="21" t="n"/>
      <c r="J596" s="22" t="n"/>
      <c r="K596" s="23" t="n"/>
      <c r="L596" s="18" t="n"/>
      <c r="M596" s="24">
        <f>IF(B596="","",IF(AND(F596&lt;&gt;"",G596&lt;&gt;""),MAX(0,ROUND(MOD(G596-F596,1)*24-N(H596)/60,2)),N(I596)))</f>
        <v/>
      </c>
      <c r="N596" s="14">
        <f>IF(B596="","",IF(K596&lt;&gt;"",K596,IF(N(IFERROR(INDEX(Projects!$D$6:$D$65,MATCH(D596,Projects!$B$6:$B$65,0)),""))&gt;0,IFERROR(INDEX(Projects!$D$6:$D$65,MATCH(D596,Projects!$B$6:$B$65,0)),""),IFERROR(INDEX(Clients!$G$6:$G$45,MATCH(C596,Clients!$B$6:$B$45,0)),0))))</f>
        <v/>
      </c>
      <c r="O596" s="14">
        <f>IF(B596="","",IF(J596&lt;&gt;"",0,ROUND(M596*N596,2)))</f>
        <v/>
      </c>
      <c r="P596" s="15">
        <f>IF(OR(B596="",J596&lt;&gt;""),"",IF(L596&lt;&gt;"",L596,IF(COUNTIFS(Invoices!$C$6:$C$305,C596,Invoices!$E$6:$E$305,"&lt;="&amp;B596,Invoices!$F$6:$F$305,"&gt;="&amp;B596)=1,INDEX(Invoices!$B$6:$B$305,SUMIFS(Invoices!$O$6:$O$305,Invoices!$C$6:$C$305,C596,Invoices!$E$6:$E$305,"&lt;="&amp;B596,Invoices!$F$6:$F$305,"&gt;="&amp;B596)),IF(COUNTIFS(Invoices!$C$6:$C$305,C596,Invoices!$E$6:$E$305,"&lt;="&amp;B596,Invoices!$F$6:$F$305,"&gt;="&amp;B596)&gt;1,"Two invoices",""))))</f>
        <v/>
      </c>
      <c r="Q596" s="15">
        <f>IF(B596="","",IF(J596&lt;&gt;"","Not billable",IF(P596="","To invoice",IF(P596="Two invoices","Check dates",IF(ISNA(MATCH(P596,Invoices!$B$6:$B$305,0)),"Check number",IF(INDEX(Invoices!$M$6:$M$305,MATCH(P596,Invoices!$B$6:$B$305,0))="Paid","Paid",IF(INDEX(Invoices!$M$6:$M$305,MATCH(P596,Invoices!$B$6:$B$305,0))="Draft","Draft","Invoiced")))))))</f>
        <v/>
      </c>
      <c r="R596" s="1">
        <f>IF(AND(B596&lt;&gt;"",P596&lt;&gt;"",P596=Invoice!$G$4),B596+MOD(N(F596),1)+ROW()/10000000,"")</f>
        <v/>
      </c>
      <c r="S596">
        <f>IF(R596="","",IF(D596="","Other work",D596)&amp;IF(AND(K596&lt;&gt;"",E596&lt;&gt;""),", "&amp;E596,""))</f>
        <v/>
      </c>
      <c r="T596">
        <f>IF(R596="","",IF(COUNTIFS(R$6:R595,"&gt;0",S$6:S595,S596,N$6:N595,N596)=0,R596,""))</f>
        <v/>
      </c>
      <c r="U596">
        <f>IF(B596="","",IF(J596&lt;&gt;"",0,M596))</f>
        <v/>
      </c>
    </row>
    <row r="597">
      <c r="A597" s="1" t="n"/>
      <c r="B597" s="16" t="n"/>
      <c r="C597" s="17" t="n"/>
      <c r="D597" s="18" t="n"/>
      <c r="E597" s="18" t="n"/>
      <c r="F597" s="19" t="n"/>
      <c r="G597" s="19" t="n"/>
      <c r="H597" s="20" t="n"/>
      <c r="I597" s="21" t="n"/>
      <c r="J597" s="22" t="n"/>
      <c r="K597" s="23" t="n"/>
      <c r="L597" s="18" t="n"/>
      <c r="M597" s="24">
        <f>IF(B597="","",IF(AND(F597&lt;&gt;"",G597&lt;&gt;""),MAX(0,ROUND(MOD(G597-F597,1)*24-N(H597)/60,2)),N(I597)))</f>
        <v/>
      </c>
      <c r="N597" s="14">
        <f>IF(B597="","",IF(K597&lt;&gt;"",K597,IF(N(IFERROR(INDEX(Projects!$D$6:$D$65,MATCH(D597,Projects!$B$6:$B$65,0)),""))&gt;0,IFERROR(INDEX(Projects!$D$6:$D$65,MATCH(D597,Projects!$B$6:$B$65,0)),""),IFERROR(INDEX(Clients!$G$6:$G$45,MATCH(C597,Clients!$B$6:$B$45,0)),0))))</f>
        <v/>
      </c>
      <c r="O597" s="14">
        <f>IF(B597="","",IF(J597&lt;&gt;"",0,ROUND(M597*N597,2)))</f>
        <v/>
      </c>
      <c r="P597" s="15">
        <f>IF(OR(B597="",J597&lt;&gt;""),"",IF(L597&lt;&gt;"",L597,IF(COUNTIFS(Invoices!$C$6:$C$305,C597,Invoices!$E$6:$E$305,"&lt;="&amp;B597,Invoices!$F$6:$F$305,"&gt;="&amp;B597)=1,INDEX(Invoices!$B$6:$B$305,SUMIFS(Invoices!$O$6:$O$305,Invoices!$C$6:$C$305,C597,Invoices!$E$6:$E$305,"&lt;="&amp;B597,Invoices!$F$6:$F$305,"&gt;="&amp;B597)),IF(COUNTIFS(Invoices!$C$6:$C$305,C597,Invoices!$E$6:$E$305,"&lt;="&amp;B597,Invoices!$F$6:$F$305,"&gt;="&amp;B597)&gt;1,"Two invoices",""))))</f>
        <v/>
      </c>
      <c r="Q597" s="15">
        <f>IF(B597="","",IF(J597&lt;&gt;"","Not billable",IF(P597="","To invoice",IF(P597="Two invoices","Check dates",IF(ISNA(MATCH(P597,Invoices!$B$6:$B$305,0)),"Check number",IF(INDEX(Invoices!$M$6:$M$305,MATCH(P597,Invoices!$B$6:$B$305,0))="Paid","Paid",IF(INDEX(Invoices!$M$6:$M$305,MATCH(P597,Invoices!$B$6:$B$305,0))="Draft","Draft","Invoiced")))))))</f>
        <v/>
      </c>
      <c r="R597" s="1">
        <f>IF(AND(B597&lt;&gt;"",P597&lt;&gt;"",P597=Invoice!$G$4),B597+MOD(N(F597),1)+ROW()/10000000,"")</f>
        <v/>
      </c>
      <c r="S597">
        <f>IF(R597="","",IF(D597="","Other work",D597)&amp;IF(AND(K597&lt;&gt;"",E597&lt;&gt;""),", "&amp;E597,""))</f>
        <v/>
      </c>
      <c r="T597">
        <f>IF(R597="","",IF(COUNTIFS(R$6:R596,"&gt;0",S$6:S596,S597,N$6:N596,N597)=0,R597,""))</f>
        <v/>
      </c>
      <c r="U597">
        <f>IF(B597="","",IF(J597&lt;&gt;"",0,M597))</f>
        <v/>
      </c>
    </row>
    <row r="598">
      <c r="A598" s="1" t="n"/>
      <c r="B598" s="16" t="n"/>
      <c r="C598" s="17" t="n"/>
      <c r="D598" s="18" t="n"/>
      <c r="E598" s="18" t="n"/>
      <c r="F598" s="19" t="n"/>
      <c r="G598" s="19" t="n"/>
      <c r="H598" s="20" t="n"/>
      <c r="I598" s="21" t="n"/>
      <c r="J598" s="22" t="n"/>
      <c r="K598" s="23" t="n"/>
      <c r="L598" s="18" t="n"/>
      <c r="M598" s="24">
        <f>IF(B598="","",IF(AND(F598&lt;&gt;"",G598&lt;&gt;""),MAX(0,ROUND(MOD(G598-F598,1)*24-N(H598)/60,2)),N(I598)))</f>
        <v/>
      </c>
      <c r="N598" s="14">
        <f>IF(B598="","",IF(K598&lt;&gt;"",K598,IF(N(IFERROR(INDEX(Projects!$D$6:$D$65,MATCH(D598,Projects!$B$6:$B$65,0)),""))&gt;0,IFERROR(INDEX(Projects!$D$6:$D$65,MATCH(D598,Projects!$B$6:$B$65,0)),""),IFERROR(INDEX(Clients!$G$6:$G$45,MATCH(C598,Clients!$B$6:$B$45,0)),0))))</f>
        <v/>
      </c>
      <c r="O598" s="14">
        <f>IF(B598="","",IF(J598&lt;&gt;"",0,ROUND(M598*N598,2)))</f>
        <v/>
      </c>
      <c r="P598" s="15">
        <f>IF(OR(B598="",J598&lt;&gt;""),"",IF(L598&lt;&gt;"",L598,IF(COUNTIFS(Invoices!$C$6:$C$305,C598,Invoices!$E$6:$E$305,"&lt;="&amp;B598,Invoices!$F$6:$F$305,"&gt;="&amp;B598)=1,INDEX(Invoices!$B$6:$B$305,SUMIFS(Invoices!$O$6:$O$305,Invoices!$C$6:$C$305,C598,Invoices!$E$6:$E$305,"&lt;="&amp;B598,Invoices!$F$6:$F$305,"&gt;="&amp;B598)),IF(COUNTIFS(Invoices!$C$6:$C$305,C598,Invoices!$E$6:$E$305,"&lt;="&amp;B598,Invoices!$F$6:$F$305,"&gt;="&amp;B598)&gt;1,"Two invoices",""))))</f>
        <v/>
      </c>
      <c r="Q598" s="15">
        <f>IF(B598="","",IF(J598&lt;&gt;"","Not billable",IF(P598="","To invoice",IF(P598="Two invoices","Check dates",IF(ISNA(MATCH(P598,Invoices!$B$6:$B$305,0)),"Check number",IF(INDEX(Invoices!$M$6:$M$305,MATCH(P598,Invoices!$B$6:$B$305,0))="Paid","Paid",IF(INDEX(Invoices!$M$6:$M$305,MATCH(P598,Invoices!$B$6:$B$305,0))="Draft","Draft","Invoiced")))))))</f>
        <v/>
      </c>
      <c r="R598" s="1">
        <f>IF(AND(B598&lt;&gt;"",P598&lt;&gt;"",P598=Invoice!$G$4),B598+MOD(N(F598),1)+ROW()/10000000,"")</f>
        <v/>
      </c>
      <c r="S598">
        <f>IF(R598="","",IF(D598="","Other work",D598)&amp;IF(AND(K598&lt;&gt;"",E598&lt;&gt;""),", "&amp;E598,""))</f>
        <v/>
      </c>
      <c r="T598">
        <f>IF(R598="","",IF(COUNTIFS(R$6:R597,"&gt;0",S$6:S597,S598,N$6:N597,N598)=0,R598,""))</f>
        <v/>
      </c>
      <c r="U598">
        <f>IF(B598="","",IF(J598&lt;&gt;"",0,M598))</f>
        <v/>
      </c>
    </row>
    <row r="599">
      <c r="A599" s="1" t="n"/>
      <c r="B599" s="16" t="n"/>
      <c r="C599" s="17" t="n"/>
      <c r="D599" s="18" t="n"/>
      <c r="E599" s="18" t="n"/>
      <c r="F599" s="19" t="n"/>
      <c r="G599" s="19" t="n"/>
      <c r="H599" s="20" t="n"/>
      <c r="I599" s="21" t="n"/>
      <c r="J599" s="22" t="n"/>
      <c r="K599" s="23" t="n"/>
      <c r="L599" s="18" t="n"/>
      <c r="M599" s="24">
        <f>IF(B599="","",IF(AND(F599&lt;&gt;"",G599&lt;&gt;""),MAX(0,ROUND(MOD(G599-F599,1)*24-N(H599)/60,2)),N(I599)))</f>
        <v/>
      </c>
      <c r="N599" s="14">
        <f>IF(B599="","",IF(K599&lt;&gt;"",K599,IF(N(IFERROR(INDEX(Projects!$D$6:$D$65,MATCH(D599,Projects!$B$6:$B$65,0)),""))&gt;0,IFERROR(INDEX(Projects!$D$6:$D$65,MATCH(D599,Projects!$B$6:$B$65,0)),""),IFERROR(INDEX(Clients!$G$6:$G$45,MATCH(C599,Clients!$B$6:$B$45,0)),0))))</f>
        <v/>
      </c>
      <c r="O599" s="14">
        <f>IF(B599="","",IF(J599&lt;&gt;"",0,ROUND(M599*N599,2)))</f>
        <v/>
      </c>
      <c r="P599" s="15">
        <f>IF(OR(B599="",J599&lt;&gt;""),"",IF(L599&lt;&gt;"",L599,IF(COUNTIFS(Invoices!$C$6:$C$305,C599,Invoices!$E$6:$E$305,"&lt;="&amp;B599,Invoices!$F$6:$F$305,"&gt;="&amp;B599)=1,INDEX(Invoices!$B$6:$B$305,SUMIFS(Invoices!$O$6:$O$305,Invoices!$C$6:$C$305,C599,Invoices!$E$6:$E$305,"&lt;="&amp;B599,Invoices!$F$6:$F$305,"&gt;="&amp;B599)),IF(COUNTIFS(Invoices!$C$6:$C$305,C599,Invoices!$E$6:$E$305,"&lt;="&amp;B599,Invoices!$F$6:$F$305,"&gt;="&amp;B599)&gt;1,"Two invoices",""))))</f>
        <v/>
      </c>
      <c r="Q599" s="15">
        <f>IF(B599="","",IF(J599&lt;&gt;"","Not billable",IF(P599="","To invoice",IF(P599="Two invoices","Check dates",IF(ISNA(MATCH(P599,Invoices!$B$6:$B$305,0)),"Check number",IF(INDEX(Invoices!$M$6:$M$305,MATCH(P599,Invoices!$B$6:$B$305,0))="Paid","Paid",IF(INDEX(Invoices!$M$6:$M$305,MATCH(P599,Invoices!$B$6:$B$305,0))="Draft","Draft","Invoiced")))))))</f>
        <v/>
      </c>
      <c r="R599" s="1">
        <f>IF(AND(B599&lt;&gt;"",P599&lt;&gt;"",P599=Invoice!$G$4),B599+MOD(N(F599),1)+ROW()/10000000,"")</f>
        <v/>
      </c>
      <c r="S599">
        <f>IF(R599="","",IF(D599="","Other work",D599)&amp;IF(AND(K599&lt;&gt;"",E599&lt;&gt;""),", "&amp;E599,""))</f>
        <v/>
      </c>
      <c r="T599">
        <f>IF(R599="","",IF(COUNTIFS(R$6:R598,"&gt;0",S$6:S598,S599,N$6:N598,N599)=0,R599,""))</f>
        <v/>
      </c>
      <c r="U599">
        <f>IF(B599="","",IF(J599&lt;&gt;"",0,M599))</f>
        <v/>
      </c>
    </row>
    <row r="600">
      <c r="A600" s="1" t="n"/>
      <c r="B600" s="16" t="n"/>
      <c r="C600" s="17" t="n"/>
      <c r="D600" s="18" t="n"/>
      <c r="E600" s="18" t="n"/>
      <c r="F600" s="19" t="n"/>
      <c r="G600" s="19" t="n"/>
      <c r="H600" s="20" t="n"/>
      <c r="I600" s="21" t="n"/>
      <c r="J600" s="22" t="n"/>
      <c r="K600" s="23" t="n"/>
      <c r="L600" s="18" t="n"/>
      <c r="M600" s="24">
        <f>IF(B600="","",IF(AND(F600&lt;&gt;"",G600&lt;&gt;""),MAX(0,ROUND(MOD(G600-F600,1)*24-N(H600)/60,2)),N(I600)))</f>
        <v/>
      </c>
      <c r="N600" s="14">
        <f>IF(B600="","",IF(K600&lt;&gt;"",K600,IF(N(IFERROR(INDEX(Projects!$D$6:$D$65,MATCH(D600,Projects!$B$6:$B$65,0)),""))&gt;0,IFERROR(INDEX(Projects!$D$6:$D$65,MATCH(D600,Projects!$B$6:$B$65,0)),""),IFERROR(INDEX(Clients!$G$6:$G$45,MATCH(C600,Clients!$B$6:$B$45,0)),0))))</f>
        <v/>
      </c>
      <c r="O600" s="14">
        <f>IF(B600="","",IF(J600&lt;&gt;"",0,ROUND(M600*N600,2)))</f>
        <v/>
      </c>
      <c r="P600" s="15">
        <f>IF(OR(B600="",J600&lt;&gt;""),"",IF(L600&lt;&gt;"",L600,IF(COUNTIFS(Invoices!$C$6:$C$305,C600,Invoices!$E$6:$E$305,"&lt;="&amp;B600,Invoices!$F$6:$F$305,"&gt;="&amp;B600)=1,INDEX(Invoices!$B$6:$B$305,SUMIFS(Invoices!$O$6:$O$305,Invoices!$C$6:$C$305,C600,Invoices!$E$6:$E$305,"&lt;="&amp;B600,Invoices!$F$6:$F$305,"&gt;="&amp;B600)),IF(COUNTIFS(Invoices!$C$6:$C$305,C600,Invoices!$E$6:$E$305,"&lt;="&amp;B600,Invoices!$F$6:$F$305,"&gt;="&amp;B600)&gt;1,"Two invoices",""))))</f>
        <v/>
      </c>
      <c r="Q600" s="15">
        <f>IF(B600="","",IF(J600&lt;&gt;"","Not billable",IF(P600="","To invoice",IF(P600="Two invoices","Check dates",IF(ISNA(MATCH(P600,Invoices!$B$6:$B$305,0)),"Check number",IF(INDEX(Invoices!$M$6:$M$305,MATCH(P600,Invoices!$B$6:$B$305,0))="Paid","Paid",IF(INDEX(Invoices!$M$6:$M$305,MATCH(P600,Invoices!$B$6:$B$305,0))="Draft","Draft","Invoiced")))))))</f>
        <v/>
      </c>
      <c r="R600" s="1">
        <f>IF(AND(B600&lt;&gt;"",P600&lt;&gt;"",P600=Invoice!$G$4),B600+MOD(N(F600),1)+ROW()/10000000,"")</f>
        <v/>
      </c>
      <c r="S600">
        <f>IF(R600="","",IF(D600="","Other work",D600)&amp;IF(AND(K600&lt;&gt;"",E600&lt;&gt;""),", "&amp;E600,""))</f>
        <v/>
      </c>
      <c r="T600">
        <f>IF(R600="","",IF(COUNTIFS(R$6:R599,"&gt;0",S$6:S599,S600,N$6:N599,N600)=0,R600,""))</f>
        <v/>
      </c>
      <c r="U600">
        <f>IF(B600="","",IF(J600&lt;&gt;"",0,M600))</f>
        <v/>
      </c>
    </row>
    <row r="601">
      <c r="A601" s="1" t="n"/>
      <c r="B601" s="16" t="n"/>
      <c r="C601" s="17" t="n"/>
      <c r="D601" s="18" t="n"/>
      <c r="E601" s="18" t="n"/>
      <c r="F601" s="19" t="n"/>
      <c r="G601" s="19" t="n"/>
      <c r="H601" s="20" t="n"/>
      <c r="I601" s="21" t="n"/>
      <c r="J601" s="22" t="n"/>
      <c r="K601" s="23" t="n"/>
      <c r="L601" s="18" t="n"/>
      <c r="M601" s="24">
        <f>IF(B601="","",IF(AND(F601&lt;&gt;"",G601&lt;&gt;""),MAX(0,ROUND(MOD(G601-F601,1)*24-N(H601)/60,2)),N(I601)))</f>
        <v/>
      </c>
      <c r="N601" s="14">
        <f>IF(B601="","",IF(K601&lt;&gt;"",K601,IF(N(IFERROR(INDEX(Projects!$D$6:$D$65,MATCH(D601,Projects!$B$6:$B$65,0)),""))&gt;0,IFERROR(INDEX(Projects!$D$6:$D$65,MATCH(D601,Projects!$B$6:$B$65,0)),""),IFERROR(INDEX(Clients!$G$6:$G$45,MATCH(C601,Clients!$B$6:$B$45,0)),0))))</f>
        <v/>
      </c>
      <c r="O601" s="14">
        <f>IF(B601="","",IF(J601&lt;&gt;"",0,ROUND(M601*N601,2)))</f>
        <v/>
      </c>
      <c r="P601" s="15">
        <f>IF(OR(B601="",J601&lt;&gt;""),"",IF(L601&lt;&gt;"",L601,IF(COUNTIFS(Invoices!$C$6:$C$305,C601,Invoices!$E$6:$E$305,"&lt;="&amp;B601,Invoices!$F$6:$F$305,"&gt;="&amp;B601)=1,INDEX(Invoices!$B$6:$B$305,SUMIFS(Invoices!$O$6:$O$305,Invoices!$C$6:$C$305,C601,Invoices!$E$6:$E$305,"&lt;="&amp;B601,Invoices!$F$6:$F$305,"&gt;="&amp;B601)),IF(COUNTIFS(Invoices!$C$6:$C$305,C601,Invoices!$E$6:$E$305,"&lt;="&amp;B601,Invoices!$F$6:$F$305,"&gt;="&amp;B601)&gt;1,"Two invoices",""))))</f>
        <v/>
      </c>
      <c r="Q601" s="15">
        <f>IF(B601="","",IF(J601&lt;&gt;"","Not billable",IF(P601="","To invoice",IF(P601="Two invoices","Check dates",IF(ISNA(MATCH(P601,Invoices!$B$6:$B$305,0)),"Check number",IF(INDEX(Invoices!$M$6:$M$305,MATCH(P601,Invoices!$B$6:$B$305,0))="Paid","Paid",IF(INDEX(Invoices!$M$6:$M$305,MATCH(P601,Invoices!$B$6:$B$305,0))="Draft","Draft","Invoiced")))))))</f>
        <v/>
      </c>
      <c r="R601" s="1">
        <f>IF(AND(B601&lt;&gt;"",P601&lt;&gt;"",P601=Invoice!$G$4),B601+MOD(N(F601),1)+ROW()/10000000,"")</f>
        <v/>
      </c>
      <c r="S601">
        <f>IF(R601="","",IF(D601="","Other work",D601)&amp;IF(AND(K601&lt;&gt;"",E601&lt;&gt;""),", "&amp;E601,""))</f>
        <v/>
      </c>
      <c r="T601">
        <f>IF(R601="","",IF(COUNTIFS(R$6:R600,"&gt;0",S$6:S600,S601,N$6:N600,N601)=0,R601,""))</f>
        <v/>
      </c>
      <c r="U601">
        <f>IF(B601="","",IF(J601&lt;&gt;"",0,M601))</f>
        <v/>
      </c>
    </row>
    <row r="602">
      <c r="A602" s="1" t="n"/>
      <c r="B602" s="16" t="n"/>
      <c r="C602" s="17" t="n"/>
      <c r="D602" s="18" t="n"/>
      <c r="E602" s="18" t="n"/>
      <c r="F602" s="19" t="n"/>
      <c r="G602" s="19" t="n"/>
      <c r="H602" s="20" t="n"/>
      <c r="I602" s="21" t="n"/>
      <c r="J602" s="22" t="n"/>
      <c r="K602" s="23" t="n"/>
      <c r="L602" s="18" t="n"/>
      <c r="M602" s="24">
        <f>IF(B602="","",IF(AND(F602&lt;&gt;"",G602&lt;&gt;""),MAX(0,ROUND(MOD(G602-F602,1)*24-N(H602)/60,2)),N(I602)))</f>
        <v/>
      </c>
      <c r="N602" s="14">
        <f>IF(B602="","",IF(K602&lt;&gt;"",K602,IF(N(IFERROR(INDEX(Projects!$D$6:$D$65,MATCH(D602,Projects!$B$6:$B$65,0)),""))&gt;0,IFERROR(INDEX(Projects!$D$6:$D$65,MATCH(D602,Projects!$B$6:$B$65,0)),""),IFERROR(INDEX(Clients!$G$6:$G$45,MATCH(C602,Clients!$B$6:$B$45,0)),0))))</f>
        <v/>
      </c>
      <c r="O602" s="14">
        <f>IF(B602="","",IF(J602&lt;&gt;"",0,ROUND(M602*N602,2)))</f>
        <v/>
      </c>
      <c r="P602" s="15">
        <f>IF(OR(B602="",J602&lt;&gt;""),"",IF(L602&lt;&gt;"",L602,IF(COUNTIFS(Invoices!$C$6:$C$305,C602,Invoices!$E$6:$E$305,"&lt;="&amp;B602,Invoices!$F$6:$F$305,"&gt;="&amp;B602)=1,INDEX(Invoices!$B$6:$B$305,SUMIFS(Invoices!$O$6:$O$305,Invoices!$C$6:$C$305,C602,Invoices!$E$6:$E$305,"&lt;="&amp;B602,Invoices!$F$6:$F$305,"&gt;="&amp;B602)),IF(COUNTIFS(Invoices!$C$6:$C$305,C602,Invoices!$E$6:$E$305,"&lt;="&amp;B602,Invoices!$F$6:$F$305,"&gt;="&amp;B602)&gt;1,"Two invoices",""))))</f>
        <v/>
      </c>
      <c r="Q602" s="15">
        <f>IF(B602="","",IF(J602&lt;&gt;"","Not billable",IF(P602="","To invoice",IF(P602="Two invoices","Check dates",IF(ISNA(MATCH(P602,Invoices!$B$6:$B$305,0)),"Check number",IF(INDEX(Invoices!$M$6:$M$305,MATCH(P602,Invoices!$B$6:$B$305,0))="Paid","Paid",IF(INDEX(Invoices!$M$6:$M$305,MATCH(P602,Invoices!$B$6:$B$305,0))="Draft","Draft","Invoiced")))))))</f>
        <v/>
      </c>
      <c r="R602" s="1">
        <f>IF(AND(B602&lt;&gt;"",P602&lt;&gt;"",P602=Invoice!$G$4),B602+MOD(N(F602),1)+ROW()/10000000,"")</f>
        <v/>
      </c>
      <c r="S602">
        <f>IF(R602="","",IF(D602="","Other work",D602)&amp;IF(AND(K602&lt;&gt;"",E602&lt;&gt;""),", "&amp;E602,""))</f>
        <v/>
      </c>
      <c r="T602">
        <f>IF(R602="","",IF(COUNTIFS(R$6:R601,"&gt;0",S$6:S601,S602,N$6:N601,N602)=0,R602,""))</f>
        <v/>
      </c>
      <c r="U602">
        <f>IF(B602="","",IF(J602&lt;&gt;"",0,M602))</f>
        <v/>
      </c>
    </row>
    <row r="603">
      <c r="A603" s="1" t="n"/>
      <c r="B603" s="16" t="n"/>
      <c r="C603" s="17" t="n"/>
      <c r="D603" s="18" t="n"/>
      <c r="E603" s="18" t="n"/>
      <c r="F603" s="19" t="n"/>
      <c r="G603" s="19" t="n"/>
      <c r="H603" s="20" t="n"/>
      <c r="I603" s="21" t="n"/>
      <c r="J603" s="22" t="n"/>
      <c r="K603" s="23" t="n"/>
      <c r="L603" s="18" t="n"/>
      <c r="M603" s="24">
        <f>IF(B603="","",IF(AND(F603&lt;&gt;"",G603&lt;&gt;""),MAX(0,ROUND(MOD(G603-F603,1)*24-N(H603)/60,2)),N(I603)))</f>
        <v/>
      </c>
      <c r="N603" s="14">
        <f>IF(B603="","",IF(K603&lt;&gt;"",K603,IF(N(IFERROR(INDEX(Projects!$D$6:$D$65,MATCH(D603,Projects!$B$6:$B$65,0)),""))&gt;0,IFERROR(INDEX(Projects!$D$6:$D$65,MATCH(D603,Projects!$B$6:$B$65,0)),""),IFERROR(INDEX(Clients!$G$6:$G$45,MATCH(C603,Clients!$B$6:$B$45,0)),0))))</f>
        <v/>
      </c>
      <c r="O603" s="14">
        <f>IF(B603="","",IF(J603&lt;&gt;"",0,ROUND(M603*N603,2)))</f>
        <v/>
      </c>
      <c r="P603" s="15">
        <f>IF(OR(B603="",J603&lt;&gt;""),"",IF(L603&lt;&gt;"",L603,IF(COUNTIFS(Invoices!$C$6:$C$305,C603,Invoices!$E$6:$E$305,"&lt;="&amp;B603,Invoices!$F$6:$F$305,"&gt;="&amp;B603)=1,INDEX(Invoices!$B$6:$B$305,SUMIFS(Invoices!$O$6:$O$305,Invoices!$C$6:$C$305,C603,Invoices!$E$6:$E$305,"&lt;="&amp;B603,Invoices!$F$6:$F$305,"&gt;="&amp;B603)),IF(COUNTIFS(Invoices!$C$6:$C$305,C603,Invoices!$E$6:$E$305,"&lt;="&amp;B603,Invoices!$F$6:$F$305,"&gt;="&amp;B603)&gt;1,"Two invoices",""))))</f>
        <v/>
      </c>
      <c r="Q603" s="15">
        <f>IF(B603="","",IF(J603&lt;&gt;"","Not billable",IF(P603="","To invoice",IF(P603="Two invoices","Check dates",IF(ISNA(MATCH(P603,Invoices!$B$6:$B$305,0)),"Check number",IF(INDEX(Invoices!$M$6:$M$305,MATCH(P603,Invoices!$B$6:$B$305,0))="Paid","Paid",IF(INDEX(Invoices!$M$6:$M$305,MATCH(P603,Invoices!$B$6:$B$305,0))="Draft","Draft","Invoiced")))))))</f>
        <v/>
      </c>
      <c r="R603" s="1">
        <f>IF(AND(B603&lt;&gt;"",P603&lt;&gt;"",P603=Invoice!$G$4),B603+MOD(N(F603),1)+ROW()/10000000,"")</f>
        <v/>
      </c>
      <c r="S603">
        <f>IF(R603="","",IF(D603="","Other work",D603)&amp;IF(AND(K603&lt;&gt;"",E603&lt;&gt;""),", "&amp;E603,""))</f>
        <v/>
      </c>
      <c r="T603">
        <f>IF(R603="","",IF(COUNTIFS(R$6:R602,"&gt;0",S$6:S602,S603,N$6:N602,N603)=0,R603,""))</f>
        <v/>
      </c>
      <c r="U603">
        <f>IF(B603="","",IF(J603&lt;&gt;"",0,M603))</f>
        <v/>
      </c>
    </row>
    <row r="604">
      <c r="A604" s="1" t="n"/>
      <c r="B604" s="16" t="n"/>
      <c r="C604" s="17" t="n"/>
      <c r="D604" s="18" t="n"/>
      <c r="E604" s="18" t="n"/>
      <c r="F604" s="19" t="n"/>
      <c r="G604" s="19" t="n"/>
      <c r="H604" s="20" t="n"/>
      <c r="I604" s="21" t="n"/>
      <c r="J604" s="22" t="n"/>
      <c r="K604" s="23" t="n"/>
      <c r="L604" s="18" t="n"/>
      <c r="M604" s="24">
        <f>IF(B604="","",IF(AND(F604&lt;&gt;"",G604&lt;&gt;""),MAX(0,ROUND(MOD(G604-F604,1)*24-N(H604)/60,2)),N(I604)))</f>
        <v/>
      </c>
      <c r="N604" s="14">
        <f>IF(B604="","",IF(K604&lt;&gt;"",K604,IF(N(IFERROR(INDEX(Projects!$D$6:$D$65,MATCH(D604,Projects!$B$6:$B$65,0)),""))&gt;0,IFERROR(INDEX(Projects!$D$6:$D$65,MATCH(D604,Projects!$B$6:$B$65,0)),""),IFERROR(INDEX(Clients!$G$6:$G$45,MATCH(C604,Clients!$B$6:$B$45,0)),0))))</f>
        <v/>
      </c>
      <c r="O604" s="14">
        <f>IF(B604="","",IF(J604&lt;&gt;"",0,ROUND(M604*N604,2)))</f>
        <v/>
      </c>
      <c r="P604" s="15">
        <f>IF(OR(B604="",J604&lt;&gt;""),"",IF(L604&lt;&gt;"",L604,IF(COUNTIFS(Invoices!$C$6:$C$305,C604,Invoices!$E$6:$E$305,"&lt;="&amp;B604,Invoices!$F$6:$F$305,"&gt;="&amp;B604)=1,INDEX(Invoices!$B$6:$B$305,SUMIFS(Invoices!$O$6:$O$305,Invoices!$C$6:$C$305,C604,Invoices!$E$6:$E$305,"&lt;="&amp;B604,Invoices!$F$6:$F$305,"&gt;="&amp;B604)),IF(COUNTIFS(Invoices!$C$6:$C$305,C604,Invoices!$E$6:$E$305,"&lt;="&amp;B604,Invoices!$F$6:$F$305,"&gt;="&amp;B604)&gt;1,"Two invoices",""))))</f>
        <v/>
      </c>
      <c r="Q604" s="15">
        <f>IF(B604="","",IF(J604&lt;&gt;"","Not billable",IF(P604="","To invoice",IF(P604="Two invoices","Check dates",IF(ISNA(MATCH(P604,Invoices!$B$6:$B$305,0)),"Check number",IF(INDEX(Invoices!$M$6:$M$305,MATCH(P604,Invoices!$B$6:$B$305,0))="Paid","Paid",IF(INDEX(Invoices!$M$6:$M$305,MATCH(P604,Invoices!$B$6:$B$305,0))="Draft","Draft","Invoiced")))))))</f>
        <v/>
      </c>
      <c r="R604" s="1">
        <f>IF(AND(B604&lt;&gt;"",P604&lt;&gt;"",P604=Invoice!$G$4),B604+MOD(N(F604),1)+ROW()/10000000,"")</f>
        <v/>
      </c>
      <c r="S604">
        <f>IF(R604="","",IF(D604="","Other work",D604)&amp;IF(AND(K604&lt;&gt;"",E604&lt;&gt;""),", "&amp;E604,""))</f>
        <v/>
      </c>
      <c r="T604">
        <f>IF(R604="","",IF(COUNTIFS(R$6:R603,"&gt;0",S$6:S603,S604,N$6:N603,N604)=0,R604,""))</f>
        <v/>
      </c>
      <c r="U604">
        <f>IF(B604="","",IF(J604&lt;&gt;"",0,M604))</f>
        <v/>
      </c>
    </row>
    <row r="605">
      <c r="A605" s="1" t="n"/>
      <c r="B605" s="16" t="n"/>
      <c r="C605" s="17" t="n"/>
      <c r="D605" s="18" t="n"/>
      <c r="E605" s="18" t="n"/>
      <c r="F605" s="19" t="n"/>
      <c r="G605" s="19" t="n"/>
      <c r="H605" s="20" t="n"/>
      <c r="I605" s="21" t="n"/>
      <c r="J605" s="22" t="n"/>
      <c r="K605" s="23" t="n"/>
      <c r="L605" s="18" t="n"/>
      <c r="M605" s="24">
        <f>IF(B605="","",IF(AND(F605&lt;&gt;"",G605&lt;&gt;""),MAX(0,ROUND(MOD(G605-F605,1)*24-N(H605)/60,2)),N(I605)))</f>
        <v/>
      </c>
      <c r="N605" s="14">
        <f>IF(B605="","",IF(K605&lt;&gt;"",K605,IF(N(IFERROR(INDEX(Projects!$D$6:$D$65,MATCH(D605,Projects!$B$6:$B$65,0)),""))&gt;0,IFERROR(INDEX(Projects!$D$6:$D$65,MATCH(D605,Projects!$B$6:$B$65,0)),""),IFERROR(INDEX(Clients!$G$6:$G$45,MATCH(C605,Clients!$B$6:$B$45,0)),0))))</f>
        <v/>
      </c>
      <c r="O605" s="14">
        <f>IF(B605="","",IF(J605&lt;&gt;"",0,ROUND(M605*N605,2)))</f>
        <v/>
      </c>
      <c r="P605" s="15">
        <f>IF(OR(B605="",J605&lt;&gt;""),"",IF(L605&lt;&gt;"",L605,IF(COUNTIFS(Invoices!$C$6:$C$305,C605,Invoices!$E$6:$E$305,"&lt;="&amp;B605,Invoices!$F$6:$F$305,"&gt;="&amp;B605)=1,INDEX(Invoices!$B$6:$B$305,SUMIFS(Invoices!$O$6:$O$305,Invoices!$C$6:$C$305,C605,Invoices!$E$6:$E$305,"&lt;="&amp;B605,Invoices!$F$6:$F$305,"&gt;="&amp;B605)),IF(COUNTIFS(Invoices!$C$6:$C$305,C605,Invoices!$E$6:$E$305,"&lt;="&amp;B605,Invoices!$F$6:$F$305,"&gt;="&amp;B605)&gt;1,"Two invoices",""))))</f>
        <v/>
      </c>
      <c r="Q605" s="15">
        <f>IF(B605="","",IF(J605&lt;&gt;"","Not billable",IF(P605="","To invoice",IF(P605="Two invoices","Check dates",IF(ISNA(MATCH(P605,Invoices!$B$6:$B$305,0)),"Check number",IF(INDEX(Invoices!$M$6:$M$305,MATCH(P605,Invoices!$B$6:$B$305,0))="Paid","Paid",IF(INDEX(Invoices!$M$6:$M$305,MATCH(P605,Invoices!$B$6:$B$305,0))="Draft","Draft","Invoiced")))))))</f>
        <v/>
      </c>
      <c r="R605" s="1">
        <f>IF(AND(B605&lt;&gt;"",P605&lt;&gt;"",P605=Invoice!$G$4),B605+MOD(N(F605),1)+ROW()/10000000,"")</f>
        <v/>
      </c>
      <c r="S605">
        <f>IF(R605="","",IF(D605="","Other work",D605)&amp;IF(AND(K605&lt;&gt;"",E605&lt;&gt;""),", "&amp;E605,""))</f>
        <v/>
      </c>
      <c r="T605">
        <f>IF(R605="","",IF(COUNTIFS(R$6:R604,"&gt;0",S$6:S604,S605,N$6:N604,N605)=0,R605,""))</f>
        <v/>
      </c>
      <c r="U605">
        <f>IF(B605="","",IF(J605&lt;&gt;"",0,M605))</f>
        <v/>
      </c>
    </row>
    <row r="606">
      <c r="A606" s="1" t="n"/>
      <c r="B606" s="16" t="n"/>
      <c r="C606" s="17" t="n"/>
      <c r="D606" s="18" t="n"/>
      <c r="E606" s="18" t="n"/>
      <c r="F606" s="19" t="n"/>
      <c r="G606" s="19" t="n"/>
      <c r="H606" s="20" t="n"/>
      <c r="I606" s="21" t="n"/>
      <c r="J606" s="22" t="n"/>
      <c r="K606" s="23" t="n"/>
      <c r="L606" s="18" t="n"/>
      <c r="M606" s="24">
        <f>IF(B606="","",IF(AND(F606&lt;&gt;"",G606&lt;&gt;""),MAX(0,ROUND(MOD(G606-F606,1)*24-N(H606)/60,2)),N(I606)))</f>
        <v/>
      </c>
      <c r="N606" s="14">
        <f>IF(B606="","",IF(K606&lt;&gt;"",K606,IF(N(IFERROR(INDEX(Projects!$D$6:$D$65,MATCH(D606,Projects!$B$6:$B$65,0)),""))&gt;0,IFERROR(INDEX(Projects!$D$6:$D$65,MATCH(D606,Projects!$B$6:$B$65,0)),""),IFERROR(INDEX(Clients!$G$6:$G$45,MATCH(C606,Clients!$B$6:$B$45,0)),0))))</f>
        <v/>
      </c>
      <c r="O606" s="14">
        <f>IF(B606="","",IF(J606&lt;&gt;"",0,ROUND(M606*N606,2)))</f>
        <v/>
      </c>
      <c r="P606" s="15">
        <f>IF(OR(B606="",J606&lt;&gt;""),"",IF(L606&lt;&gt;"",L606,IF(COUNTIFS(Invoices!$C$6:$C$305,C606,Invoices!$E$6:$E$305,"&lt;="&amp;B606,Invoices!$F$6:$F$305,"&gt;="&amp;B606)=1,INDEX(Invoices!$B$6:$B$305,SUMIFS(Invoices!$O$6:$O$305,Invoices!$C$6:$C$305,C606,Invoices!$E$6:$E$305,"&lt;="&amp;B606,Invoices!$F$6:$F$305,"&gt;="&amp;B606)),IF(COUNTIFS(Invoices!$C$6:$C$305,C606,Invoices!$E$6:$E$305,"&lt;="&amp;B606,Invoices!$F$6:$F$305,"&gt;="&amp;B606)&gt;1,"Two invoices",""))))</f>
        <v/>
      </c>
      <c r="Q606" s="15">
        <f>IF(B606="","",IF(J606&lt;&gt;"","Not billable",IF(P606="","To invoice",IF(P606="Two invoices","Check dates",IF(ISNA(MATCH(P606,Invoices!$B$6:$B$305,0)),"Check number",IF(INDEX(Invoices!$M$6:$M$305,MATCH(P606,Invoices!$B$6:$B$305,0))="Paid","Paid",IF(INDEX(Invoices!$M$6:$M$305,MATCH(P606,Invoices!$B$6:$B$305,0))="Draft","Draft","Invoiced")))))))</f>
        <v/>
      </c>
      <c r="R606" s="1">
        <f>IF(AND(B606&lt;&gt;"",P606&lt;&gt;"",P606=Invoice!$G$4),B606+MOD(N(F606),1)+ROW()/10000000,"")</f>
        <v/>
      </c>
      <c r="S606">
        <f>IF(R606="","",IF(D606="","Other work",D606)&amp;IF(AND(K606&lt;&gt;"",E606&lt;&gt;""),", "&amp;E606,""))</f>
        <v/>
      </c>
      <c r="T606">
        <f>IF(R606="","",IF(COUNTIFS(R$6:R605,"&gt;0",S$6:S605,S606,N$6:N605,N606)=0,R606,""))</f>
        <v/>
      </c>
      <c r="U606">
        <f>IF(B606="","",IF(J606&lt;&gt;"",0,M606))</f>
        <v/>
      </c>
    </row>
    <row r="607">
      <c r="A607" s="1" t="n"/>
      <c r="B607" s="16" t="n"/>
      <c r="C607" s="17" t="n"/>
      <c r="D607" s="18" t="n"/>
      <c r="E607" s="18" t="n"/>
      <c r="F607" s="19" t="n"/>
      <c r="G607" s="19" t="n"/>
      <c r="H607" s="20" t="n"/>
      <c r="I607" s="21" t="n"/>
      <c r="J607" s="22" t="n"/>
      <c r="K607" s="23" t="n"/>
      <c r="L607" s="18" t="n"/>
      <c r="M607" s="24">
        <f>IF(B607="","",IF(AND(F607&lt;&gt;"",G607&lt;&gt;""),MAX(0,ROUND(MOD(G607-F607,1)*24-N(H607)/60,2)),N(I607)))</f>
        <v/>
      </c>
      <c r="N607" s="14">
        <f>IF(B607="","",IF(K607&lt;&gt;"",K607,IF(N(IFERROR(INDEX(Projects!$D$6:$D$65,MATCH(D607,Projects!$B$6:$B$65,0)),""))&gt;0,IFERROR(INDEX(Projects!$D$6:$D$65,MATCH(D607,Projects!$B$6:$B$65,0)),""),IFERROR(INDEX(Clients!$G$6:$G$45,MATCH(C607,Clients!$B$6:$B$45,0)),0))))</f>
        <v/>
      </c>
      <c r="O607" s="14">
        <f>IF(B607="","",IF(J607&lt;&gt;"",0,ROUND(M607*N607,2)))</f>
        <v/>
      </c>
      <c r="P607" s="15">
        <f>IF(OR(B607="",J607&lt;&gt;""),"",IF(L607&lt;&gt;"",L607,IF(COUNTIFS(Invoices!$C$6:$C$305,C607,Invoices!$E$6:$E$305,"&lt;="&amp;B607,Invoices!$F$6:$F$305,"&gt;="&amp;B607)=1,INDEX(Invoices!$B$6:$B$305,SUMIFS(Invoices!$O$6:$O$305,Invoices!$C$6:$C$305,C607,Invoices!$E$6:$E$305,"&lt;="&amp;B607,Invoices!$F$6:$F$305,"&gt;="&amp;B607)),IF(COUNTIFS(Invoices!$C$6:$C$305,C607,Invoices!$E$6:$E$305,"&lt;="&amp;B607,Invoices!$F$6:$F$305,"&gt;="&amp;B607)&gt;1,"Two invoices",""))))</f>
        <v/>
      </c>
      <c r="Q607" s="15">
        <f>IF(B607="","",IF(J607&lt;&gt;"","Not billable",IF(P607="","To invoice",IF(P607="Two invoices","Check dates",IF(ISNA(MATCH(P607,Invoices!$B$6:$B$305,0)),"Check number",IF(INDEX(Invoices!$M$6:$M$305,MATCH(P607,Invoices!$B$6:$B$305,0))="Paid","Paid",IF(INDEX(Invoices!$M$6:$M$305,MATCH(P607,Invoices!$B$6:$B$305,0))="Draft","Draft","Invoiced")))))))</f>
        <v/>
      </c>
      <c r="R607" s="1">
        <f>IF(AND(B607&lt;&gt;"",P607&lt;&gt;"",P607=Invoice!$G$4),B607+MOD(N(F607),1)+ROW()/10000000,"")</f>
        <v/>
      </c>
      <c r="S607">
        <f>IF(R607="","",IF(D607="","Other work",D607)&amp;IF(AND(K607&lt;&gt;"",E607&lt;&gt;""),", "&amp;E607,""))</f>
        <v/>
      </c>
      <c r="T607">
        <f>IF(R607="","",IF(COUNTIFS(R$6:R606,"&gt;0",S$6:S606,S607,N$6:N606,N607)=0,R607,""))</f>
        <v/>
      </c>
      <c r="U607">
        <f>IF(B607="","",IF(J607&lt;&gt;"",0,M607))</f>
        <v/>
      </c>
    </row>
    <row r="608">
      <c r="A608" s="1" t="n"/>
      <c r="B608" s="16" t="n"/>
      <c r="C608" s="17" t="n"/>
      <c r="D608" s="18" t="n"/>
      <c r="E608" s="18" t="n"/>
      <c r="F608" s="19" t="n"/>
      <c r="G608" s="19" t="n"/>
      <c r="H608" s="20" t="n"/>
      <c r="I608" s="21" t="n"/>
      <c r="J608" s="22" t="n"/>
      <c r="K608" s="23" t="n"/>
      <c r="L608" s="18" t="n"/>
      <c r="M608" s="24">
        <f>IF(B608="","",IF(AND(F608&lt;&gt;"",G608&lt;&gt;""),MAX(0,ROUND(MOD(G608-F608,1)*24-N(H608)/60,2)),N(I608)))</f>
        <v/>
      </c>
      <c r="N608" s="14">
        <f>IF(B608="","",IF(K608&lt;&gt;"",K608,IF(N(IFERROR(INDEX(Projects!$D$6:$D$65,MATCH(D608,Projects!$B$6:$B$65,0)),""))&gt;0,IFERROR(INDEX(Projects!$D$6:$D$65,MATCH(D608,Projects!$B$6:$B$65,0)),""),IFERROR(INDEX(Clients!$G$6:$G$45,MATCH(C608,Clients!$B$6:$B$45,0)),0))))</f>
        <v/>
      </c>
      <c r="O608" s="14">
        <f>IF(B608="","",IF(J608&lt;&gt;"",0,ROUND(M608*N608,2)))</f>
        <v/>
      </c>
      <c r="P608" s="15">
        <f>IF(OR(B608="",J608&lt;&gt;""),"",IF(L608&lt;&gt;"",L608,IF(COUNTIFS(Invoices!$C$6:$C$305,C608,Invoices!$E$6:$E$305,"&lt;="&amp;B608,Invoices!$F$6:$F$305,"&gt;="&amp;B608)=1,INDEX(Invoices!$B$6:$B$305,SUMIFS(Invoices!$O$6:$O$305,Invoices!$C$6:$C$305,C608,Invoices!$E$6:$E$305,"&lt;="&amp;B608,Invoices!$F$6:$F$305,"&gt;="&amp;B608)),IF(COUNTIFS(Invoices!$C$6:$C$305,C608,Invoices!$E$6:$E$305,"&lt;="&amp;B608,Invoices!$F$6:$F$305,"&gt;="&amp;B608)&gt;1,"Two invoices",""))))</f>
        <v/>
      </c>
      <c r="Q608" s="15">
        <f>IF(B608="","",IF(J608&lt;&gt;"","Not billable",IF(P608="","To invoice",IF(P608="Two invoices","Check dates",IF(ISNA(MATCH(P608,Invoices!$B$6:$B$305,0)),"Check number",IF(INDEX(Invoices!$M$6:$M$305,MATCH(P608,Invoices!$B$6:$B$305,0))="Paid","Paid",IF(INDEX(Invoices!$M$6:$M$305,MATCH(P608,Invoices!$B$6:$B$305,0))="Draft","Draft","Invoiced")))))))</f>
        <v/>
      </c>
      <c r="R608" s="1">
        <f>IF(AND(B608&lt;&gt;"",P608&lt;&gt;"",P608=Invoice!$G$4),B608+MOD(N(F608),1)+ROW()/10000000,"")</f>
        <v/>
      </c>
      <c r="S608">
        <f>IF(R608="","",IF(D608="","Other work",D608)&amp;IF(AND(K608&lt;&gt;"",E608&lt;&gt;""),", "&amp;E608,""))</f>
        <v/>
      </c>
      <c r="T608">
        <f>IF(R608="","",IF(COUNTIFS(R$6:R607,"&gt;0",S$6:S607,S608,N$6:N607,N608)=0,R608,""))</f>
        <v/>
      </c>
      <c r="U608">
        <f>IF(B608="","",IF(J608&lt;&gt;"",0,M608))</f>
        <v/>
      </c>
    </row>
    <row r="609">
      <c r="A609" s="1" t="n"/>
      <c r="B609" s="16" t="n"/>
      <c r="C609" s="17" t="n"/>
      <c r="D609" s="18" t="n"/>
      <c r="E609" s="18" t="n"/>
      <c r="F609" s="19" t="n"/>
      <c r="G609" s="19" t="n"/>
      <c r="H609" s="20" t="n"/>
      <c r="I609" s="21" t="n"/>
      <c r="J609" s="22" t="n"/>
      <c r="K609" s="23" t="n"/>
      <c r="L609" s="18" t="n"/>
      <c r="M609" s="24">
        <f>IF(B609="","",IF(AND(F609&lt;&gt;"",G609&lt;&gt;""),MAX(0,ROUND(MOD(G609-F609,1)*24-N(H609)/60,2)),N(I609)))</f>
        <v/>
      </c>
      <c r="N609" s="14">
        <f>IF(B609="","",IF(K609&lt;&gt;"",K609,IF(N(IFERROR(INDEX(Projects!$D$6:$D$65,MATCH(D609,Projects!$B$6:$B$65,0)),""))&gt;0,IFERROR(INDEX(Projects!$D$6:$D$65,MATCH(D609,Projects!$B$6:$B$65,0)),""),IFERROR(INDEX(Clients!$G$6:$G$45,MATCH(C609,Clients!$B$6:$B$45,0)),0))))</f>
        <v/>
      </c>
      <c r="O609" s="14">
        <f>IF(B609="","",IF(J609&lt;&gt;"",0,ROUND(M609*N609,2)))</f>
        <v/>
      </c>
      <c r="P609" s="15">
        <f>IF(OR(B609="",J609&lt;&gt;""),"",IF(L609&lt;&gt;"",L609,IF(COUNTIFS(Invoices!$C$6:$C$305,C609,Invoices!$E$6:$E$305,"&lt;="&amp;B609,Invoices!$F$6:$F$305,"&gt;="&amp;B609)=1,INDEX(Invoices!$B$6:$B$305,SUMIFS(Invoices!$O$6:$O$305,Invoices!$C$6:$C$305,C609,Invoices!$E$6:$E$305,"&lt;="&amp;B609,Invoices!$F$6:$F$305,"&gt;="&amp;B609)),IF(COUNTIFS(Invoices!$C$6:$C$305,C609,Invoices!$E$6:$E$305,"&lt;="&amp;B609,Invoices!$F$6:$F$305,"&gt;="&amp;B609)&gt;1,"Two invoices",""))))</f>
        <v/>
      </c>
      <c r="Q609" s="15">
        <f>IF(B609="","",IF(J609&lt;&gt;"","Not billable",IF(P609="","To invoice",IF(P609="Two invoices","Check dates",IF(ISNA(MATCH(P609,Invoices!$B$6:$B$305,0)),"Check number",IF(INDEX(Invoices!$M$6:$M$305,MATCH(P609,Invoices!$B$6:$B$305,0))="Paid","Paid",IF(INDEX(Invoices!$M$6:$M$305,MATCH(P609,Invoices!$B$6:$B$305,0))="Draft","Draft","Invoiced")))))))</f>
        <v/>
      </c>
      <c r="R609" s="1">
        <f>IF(AND(B609&lt;&gt;"",P609&lt;&gt;"",P609=Invoice!$G$4),B609+MOD(N(F609),1)+ROW()/10000000,"")</f>
        <v/>
      </c>
      <c r="S609">
        <f>IF(R609="","",IF(D609="","Other work",D609)&amp;IF(AND(K609&lt;&gt;"",E609&lt;&gt;""),", "&amp;E609,""))</f>
        <v/>
      </c>
      <c r="T609">
        <f>IF(R609="","",IF(COUNTIFS(R$6:R608,"&gt;0",S$6:S608,S609,N$6:N608,N609)=0,R609,""))</f>
        <v/>
      </c>
      <c r="U609">
        <f>IF(B609="","",IF(J609&lt;&gt;"",0,M609))</f>
        <v/>
      </c>
    </row>
    <row r="610">
      <c r="A610" s="1" t="n"/>
      <c r="B610" s="16" t="n"/>
      <c r="C610" s="17" t="n"/>
      <c r="D610" s="18" t="n"/>
      <c r="E610" s="18" t="n"/>
      <c r="F610" s="19" t="n"/>
      <c r="G610" s="19" t="n"/>
      <c r="H610" s="20" t="n"/>
      <c r="I610" s="21" t="n"/>
      <c r="J610" s="22" t="n"/>
      <c r="K610" s="23" t="n"/>
      <c r="L610" s="18" t="n"/>
      <c r="M610" s="24">
        <f>IF(B610="","",IF(AND(F610&lt;&gt;"",G610&lt;&gt;""),MAX(0,ROUND(MOD(G610-F610,1)*24-N(H610)/60,2)),N(I610)))</f>
        <v/>
      </c>
      <c r="N610" s="14">
        <f>IF(B610="","",IF(K610&lt;&gt;"",K610,IF(N(IFERROR(INDEX(Projects!$D$6:$D$65,MATCH(D610,Projects!$B$6:$B$65,0)),""))&gt;0,IFERROR(INDEX(Projects!$D$6:$D$65,MATCH(D610,Projects!$B$6:$B$65,0)),""),IFERROR(INDEX(Clients!$G$6:$G$45,MATCH(C610,Clients!$B$6:$B$45,0)),0))))</f>
        <v/>
      </c>
      <c r="O610" s="14">
        <f>IF(B610="","",IF(J610&lt;&gt;"",0,ROUND(M610*N610,2)))</f>
        <v/>
      </c>
      <c r="P610" s="15">
        <f>IF(OR(B610="",J610&lt;&gt;""),"",IF(L610&lt;&gt;"",L610,IF(COUNTIFS(Invoices!$C$6:$C$305,C610,Invoices!$E$6:$E$305,"&lt;="&amp;B610,Invoices!$F$6:$F$305,"&gt;="&amp;B610)=1,INDEX(Invoices!$B$6:$B$305,SUMIFS(Invoices!$O$6:$O$305,Invoices!$C$6:$C$305,C610,Invoices!$E$6:$E$305,"&lt;="&amp;B610,Invoices!$F$6:$F$305,"&gt;="&amp;B610)),IF(COUNTIFS(Invoices!$C$6:$C$305,C610,Invoices!$E$6:$E$305,"&lt;="&amp;B610,Invoices!$F$6:$F$305,"&gt;="&amp;B610)&gt;1,"Two invoices",""))))</f>
        <v/>
      </c>
      <c r="Q610" s="15">
        <f>IF(B610="","",IF(J610&lt;&gt;"","Not billable",IF(P610="","To invoice",IF(P610="Two invoices","Check dates",IF(ISNA(MATCH(P610,Invoices!$B$6:$B$305,0)),"Check number",IF(INDEX(Invoices!$M$6:$M$305,MATCH(P610,Invoices!$B$6:$B$305,0))="Paid","Paid",IF(INDEX(Invoices!$M$6:$M$305,MATCH(P610,Invoices!$B$6:$B$305,0))="Draft","Draft","Invoiced")))))))</f>
        <v/>
      </c>
      <c r="R610" s="1">
        <f>IF(AND(B610&lt;&gt;"",P610&lt;&gt;"",P610=Invoice!$G$4),B610+MOD(N(F610),1)+ROW()/10000000,"")</f>
        <v/>
      </c>
      <c r="S610">
        <f>IF(R610="","",IF(D610="","Other work",D610)&amp;IF(AND(K610&lt;&gt;"",E610&lt;&gt;""),", "&amp;E610,""))</f>
        <v/>
      </c>
      <c r="T610">
        <f>IF(R610="","",IF(COUNTIFS(R$6:R609,"&gt;0",S$6:S609,S610,N$6:N609,N610)=0,R610,""))</f>
        <v/>
      </c>
      <c r="U610">
        <f>IF(B610="","",IF(J610&lt;&gt;"",0,M610))</f>
        <v/>
      </c>
    </row>
    <row r="611">
      <c r="A611" s="1" t="n"/>
      <c r="B611" s="16" t="n"/>
      <c r="C611" s="17" t="n"/>
      <c r="D611" s="18" t="n"/>
      <c r="E611" s="18" t="n"/>
      <c r="F611" s="19" t="n"/>
      <c r="G611" s="19" t="n"/>
      <c r="H611" s="20" t="n"/>
      <c r="I611" s="21" t="n"/>
      <c r="J611" s="22" t="n"/>
      <c r="K611" s="23" t="n"/>
      <c r="L611" s="18" t="n"/>
      <c r="M611" s="24">
        <f>IF(B611="","",IF(AND(F611&lt;&gt;"",G611&lt;&gt;""),MAX(0,ROUND(MOD(G611-F611,1)*24-N(H611)/60,2)),N(I611)))</f>
        <v/>
      </c>
      <c r="N611" s="14">
        <f>IF(B611="","",IF(K611&lt;&gt;"",K611,IF(N(IFERROR(INDEX(Projects!$D$6:$D$65,MATCH(D611,Projects!$B$6:$B$65,0)),""))&gt;0,IFERROR(INDEX(Projects!$D$6:$D$65,MATCH(D611,Projects!$B$6:$B$65,0)),""),IFERROR(INDEX(Clients!$G$6:$G$45,MATCH(C611,Clients!$B$6:$B$45,0)),0))))</f>
        <v/>
      </c>
      <c r="O611" s="14">
        <f>IF(B611="","",IF(J611&lt;&gt;"",0,ROUND(M611*N611,2)))</f>
        <v/>
      </c>
      <c r="P611" s="15">
        <f>IF(OR(B611="",J611&lt;&gt;""),"",IF(L611&lt;&gt;"",L611,IF(COUNTIFS(Invoices!$C$6:$C$305,C611,Invoices!$E$6:$E$305,"&lt;="&amp;B611,Invoices!$F$6:$F$305,"&gt;="&amp;B611)=1,INDEX(Invoices!$B$6:$B$305,SUMIFS(Invoices!$O$6:$O$305,Invoices!$C$6:$C$305,C611,Invoices!$E$6:$E$305,"&lt;="&amp;B611,Invoices!$F$6:$F$305,"&gt;="&amp;B611)),IF(COUNTIFS(Invoices!$C$6:$C$305,C611,Invoices!$E$6:$E$305,"&lt;="&amp;B611,Invoices!$F$6:$F$305,"&gt;="&amp;B611)&gt;1,"Two invoices",""))))</f>
        <v/>
      </c>
      <c r="Q611" s="15">
        <f>IF(B611="","",IF(J611&lt;&gt;"","Not billable",IF(P611="","To invoice",IF(P611="Two invoices","Check dates",IF(ISNA(MATCH(P611,Invoices!$B$6:$B$305,0)),"Check number",IF(INDEX(Invoices!$M$6:$M$305,MATCH(P611,Invoices!$B$6:$B$305,0))="Paid","Paid",IF(INDEX(Invoices!$M$6:$M$305,MATCH(P611,Invoices!$B$6:$B$305,0))="Draft","Draft","Invoiced")))))))</f>
        <v/>
      </c>
      <c r="R611" s="1">
        <f>IF(AND(B611&lt;&gt;"",P611&lt;&gt;"",P611=Invoice!$G$4),B611+MOD(N(F611),1)+ROW()/10000000,"")</f>
        <v/>
      </c>
      <c r="S611">
        <f>IF(R611="","",IF(D611="","Other work",D611)&amp;IF(AND(K611&lt;&gt;"",E611&lt;&gt;""),", "&amp;E611,""))</f>
        <v/>
      </c>
      <c r="T611">
        <f>IF(R611="","",IF(COUNTIFS(R$6:R610,"&gt;0",S$6:S610,S611,N$6:N610,N611)=0,R611,""))</f>
        <v/>
      </c>
      <c r="U611">
        <f>IF(B611="","",IF(J611&lt;&gt;"",0,M611))</f>
        <v/>
      </c>
    </row>
    <row r="612">
      <c r="A612" s="1" t="n"/>
      <c r="B612" s="16" t="n"/>
      <c r="C612" s="17" t="n"/>
      <c r="D612" s="18" t="n"/>
      <c r="E612" s="18" t="n"/>
      <c r="F612" s="19" t="n"/>
      <c r="G612" s="19" t="n"/>
      <c r="H612" s="20" t="n"/>
      <c r="I612" s="21" t="n"/>
      <c r="J612" s="22" t="n"/>
      <c r="K612" s="23" t="n"/>
      <c r="L612" s="18" t="n"/>
      <c r="M612" s="24">
        <f>IF(B612="","",IF(AND(F612&lt;&gt;"",G612&lt;&gt;""),MAX(0,ROUND(MOD(G612-F612,1)*24-N(H612)/60,2)),N(I612)))</f>
        <v/>
      </c>
      <c r="N612" s="14">
        <f>IF(B612="","",IF(K612&lt;&gt;"",K612,IF(N(IFERROR(INDEX(Projects!$D$6:$D$65,MATCH(D612,Projects!$B$6:$B$65,0)),""))&gt;0,IFERROR(INDEX(Projects!$D$6:$D$65,MATCH(D612,Projects!$B$6:$B$65,0)),""),IFERROR(INDEX(Clients!$G$6:$G$45,MATCH(C612,Clients!$B$6:$B$45,0)),0))))</f>
        <v/>
      </c>
      <c r="O612" s="14">
        <f>IF(B612="","",IF(J612&lt;&gt;"",0,ROUND(M612*N612,2)))</f>
        <v/>
      </c>
      <c r="P612" s="15">
        <f>IF(OR(B612="",J612&lt;&gt;""),"",IF(L612&lt;&gt;"",L612,IF(COUNTIFS(Invoices!$C$6:$C$305,C612,Invoices!$E$6:$E$305,"&lt;="&amp;B612,Invoices!$F$6:$F$305,"&gt;="&amp;B612)=1,INDEX(Invoices!$B$6:$B$305,SUMIFS(Invoices!$O$6:$O$305,Invoices!$C$6:$C$305,C612,Invoices!$E$6:$E$305,"&lt;="&amp;B612,Invoices!$F$6:$F$305,"&gt;="&amp;B612)),IF(COUNTIFS(Invoices!$C$6:$C$305,C612,Invoices!$E$6:$E$305,"&lt;="&amp;B612,Invoices!$F$6:$F$305,"&gt;="&amp;B612)&gt;1,"Two invoices",""))))</f>
        <v/>
      </c>
      <c r="Q612" s="15">
        <f>IF(B612="","",IF(J612&lt;&gt;"","Not billable",IF(P612="","To invoice",IF(P612="Two invoices","Check dates",IF(ISNA(MATCH(P612,Invoices!$B$6:$B$305,0)),"Check number",IF(INDEX(Invoices!$M$6:$M$305,MATCH(P612,Invoices!$B$6:$B$305,0))="Paid","Paid",IF(INDEX(Invoices!$M$6:$M$305,MATCH(P612,Invoices!$B$6:$B$305,0))="Draft","Draft","Invoiced")))))))</f>
        <v/>
      </c>
      <c r="R612" s="1">
        <f>IF(AND(B612&lt;&gt;"",P612&lt;&gt;"",P612=Invoice!$G$4),B612+MOD(N(F612),1)+ROW()/10000000,"")</f>
        <v/>
      </c>
      <c r="S612">
        <f>IF(R612="","",IF(D612="","Other work",D612)&amp;IF(AND(K612&lt;&gt;"",E612&lt;&gt;""),", "&amp;E612,""))</f>
        <v/>
      </c>
      <c r="T612">
        <f>IF(R612="","",IF(COUNTIFS(R$6:R611,"&gt;0",S$6:S611,S612,N$6:N611,N612)=0,R612,""))</f>
        <v/>
      </c>
      <c r="U612">
        <f>IF(B612="","",IF(J612&lt;&gt;"",0,M612))</f>
        <v/>
      </c>
    </row>
    <row r="613">
      <c r="A613" s="1" t="n"/>
      <c r="B613" s="16" t="n"/>
      <c r="C613" s="17" t="n"/>
      <c r="D613" s="18" t="n"/>
      <c r="E613" s="18" t="n"/>
      <c r="F613" s="19" t="n"/>
      <c r="G613" s="19" t="n"/>
      <c r="H613" s="20" t="n"/>
      <c r="I613" s="21" t="n"/>
      <c r="J613" s="22" t="n"/>
      <c r="K613" s="23" t="n"/>
      <c r="L613" s="18" t="n"/>
      <c r="M613" s="24">
        <f>IF(B613="","",IF(AND(F613&lt;&gt;"",G613&lt;&gt;""),MAX(0,ROUND(MOD(G613-F613,1)*24-N(H613)/60,2)),N(I613)))</f>
        <v/>
      </c>
      <c r="N613" s="14">
        <f>IF(B613="","",IF(K613&lt;&gt;"",K613,IF(N(IFERROR(INDEX(Projects!$D$6:$D$65,MATCH(D613,Projects!$B$6:$B$65,0)),""))&gt;0,IFERROR(INDEX(Projects!$D$6:$D$65,MATCH(D613,Projects!$B$6:$B$65,0)),""),IFERROR(INDEX(Clients!$G$6:$G$45,MATCH(C613,Clients!$B$6:$B$45,0)),0))))</f>
        <v/>
      </c>
      <c r="O613" s="14">
        <f>IF(B613="","",IF(J613&lt;&gt;"",0,ROUND(M613*N613,2)))</f>
        <v/>
      </c>
      <c r="P613" s="15">
        <f>IF(OR(B613="",J613&lt;&gt;""),"",IF(L613&lt;&gt;"",L613,IF(COUNTIFS(Invoices!$C$6:$C$305,C613,Invoices!$E$6:$E$305,"&lt;="&amp;B613,Invoices!$F$6:$F$305,"&gt;="&amp;B613)=1,INDEX(Invoices!$B$6:$B$305,SUMIFS(Invoices!$O$6:$O$305,Invoices!$C$6:$C$305,C613,Invoices!$E$6:$E$305,"&lt;="&amp;B613,Invoices!$F$6:$F$305,"&gt;="&amp;B613)),IF(COUNTIFS(Invoices!$C$6:$C$305,C613,Invoices!$E$6:$E$305,"&lt;="&amp;B613,Invoices!$F$6:$F$305,"&gt;="&amp;B613)&gt;1,"Two invoices",""))))</f>
        <v/>
      </c>
      <c r="Q613" s="15">
        <f>IF(B613="","",IF(J613&lt;&gt;"","Not billable",IF(P613="","To invoice",IF(P613="Two invoices","Check dates",IF(ISNA(MATCH(P613,Invoices!$B$6:$B$305,0)),"Check number",IF(INDEX(Invoices!$M$6:$M$305,MATCH(P613,Invoices!$B$6:$B$305,0))="Paid","Paid",IF(INDEX(Invoices!$M$6:$M$305,MATCH(P613,Invoices!$B$6:$B$305,0))="Draft","Draft","Invoiced")))))))</f>
        <v/>
      </c>
      <c r="R613" s="1">
        <f>IF(AND(B613&lt;&gt;"",P613&lt;&gt;"",P613=Invoice!$G$4),B613+MOD(N(F613),1)+ROW()/10000000,"")</f>
        <v/>
      </c>
      <c r="S613">
        <f>IF(R613="","",IF(D613="","Other work",D613)&amp;IF(AND(K613&lt;&gt;"",E613&lt;&gt;""),", "&amp;E613,""))</f>
        <v/>
      </c>
      <c r="T613">
        <f>IF(R613="","",IF(COUNTIFS(R$6:R612,"&gt;0",S$6:S612,S613,N$6:N612,N613)=0,R613,""))</f>
        <v/>
      </c>
      <c r="U613">
        <f>IF(B613="","",IF(J613&lt;&gt;"",0,M613))</f>
        <v/>
      </c>
    </row>
    <row r="614">
      <c r="A614" s="1" t="n"/>
      <c r="B614" s="16" t="n"/>
      <c r="C614" s="17" t="n"/>
      <c r="D614" s="18" t="n"/>
      <c r="E614" s="18" t="n"/>
      <c r="F614" s="19" t="n"/>
      <c r="G614" s="19" t="n"/>
      <c r="H614" s="20" t="n"/>
      <c r="I614" s="21" t="n"/>
      <c r="J614" s="22" t="n"/>
      <c r="K614" s="23" t="n"/>
      <c r="L614" s="18" t="n"/>
      <c r="M614" s="24">
        <f>IF(B614="","",IF(AND(F614&lt;&gt;"",G614&lt;&gt;""),MAX(0,ROUND(MOD(G614-F614,1)*24-N(H614)/60,2)),N(I614)))</f>
        <v/>
      </c>
      <c r="N614" s="14">
        <f>IF(B614="","",IF(K614&lt;&gt;"",K614,IF(N(IFERROR(INDEX(Projects!$D$6:$D$65,MATCH(D614,Projects!$B$6:$B$65,0)),""))&gt;0,IFERROR(INDEX(Projects!$D$6:$D$65,MATCH(D614,Projects!$B$6:$B$65,0)),""),IFERROR(INDEX(Clients!$G$6:$G$45,MATCH(C614,Clients!$B$6:$B$45,0)),0))))</f>
        <v/>
      </c>
      <c r="O614" s="14">
        <f>IF(B614="","",IF(J614&lt;&gt;"",0,ROUND(M614*N614,2)))</f>
        <v/>
      </c>
      <c r="P614" s="15">
        <f>IF(OR(B614="",J614&lt;&gt;""),"",IF(L614&lt;&gt;"",L614,IF(COUNTIFS(Invoices!$C$6:$C$305,C614,Invoices!$E$6:$E$305,"&lt;="&amp;B614,Invoices!$F$6:$F$305,"&gt;="&amp;B614)=1,INDEX(Invoices!$B$6:$B$305,SUMIFS(Invoices!$O$6:$O$305,Invoices!$C$6:$C$305,C614,Invoices!$E$6:$E$305,"&lt;="&amp;B614,Invoices!$F$6:$F$305,"&gt;="&amp;B614)),IF(COUNTIFS(Invoices!$C$6:$C$305,C614,Invoices!$E$6:$E$305,"&lt;="&amp;B614,Invoices!$F$6:$F$305,"&gt;="&amp;B614)&gt;1,"Two invoices",""))))</f>
        <v/>
      </c>
      <c r="Q614" s="15">
        <f>IF(B614="","",IF(J614&lt;&gt;"","Not billable",IF(P614="","To invoice",IF(P614="Two invoices","Check dates",IF(ISNA(MATCH(P614,Invoices!$B$6:$B$305,0)),"Check number",IF(INDEX(Invoices!$M$6:$M$305,MATCH(P614,Invoices!$B$6:$B$305,0))="Paid","Paid",IF(INDEX(Invoices!$M$6:$M$305,MATCH(P614,Invoices!$B$6:$B$305,0))="Draft","Draft","Invoiced")))))))</f>
        <v/>
      </c>
      <c r="R614" s="1">
        <f>IF(AND(B614&lt;&gt;"",P614&lt;&gt;"",P614=Invoice!$G$4),B614+MOD(N(F614),1)+ROW()/10000000,"")</f>
        <v/>
      </c>
      <c r="S614">
        <f>IF(R614="","",IF(D614="","Other work",D614)&amp;IF(AND(K614&lt;&gt;"",E614&lt;&gt;""),", "&amp;E614,""))</f>
        <v/>
      </c>
      <c r="T614">
        <f>IF(R614="","",IF(COUNTIFS(R$6:R613,"&gt;0",S$6:S613,S614,N$6:N613,N614)=0,R614,""))</f>
        <v/>
      </c>
      <c r="U614">
        <f>IF(B614="","",IF(J614&lt;&gt;"",0,M614))</f>
        <v/>
      </c>
    </row>
    <row r="615">
      <c r="A615" s="1" t="n"/>
      <c r="B615" s="16" t="n"/>
      <c r="C615" s="17" t="n"/>
      <c r="D615" s="18" t="n"/>
      <c r="E615" s="18" t="n"/>
      <c r="F615" s="19" t="n"/>
      <c r="G615" s="19" t="n"/>
      <c r="H615" s="20" t="n"/>
      <c r="I615" s="21" t="n"/>
      <c r="J615" s="22" t="n"/>
      <c r="K615" s="23" t="n"/>
      <c r="L615" s="18" t="n"/>
      <c r="M615" s="24">
        <f>IF(B615="","",IF(AND(F615&lt;&gt;"",G615&lt;&gt;""),MAX(0,ROUND(MOD(G615-F615,1)*24-N(H615)/60,2)),N(I615)))</f>
        <v/>
      </c>
      <c r="N615" s="14">
        <f>IF(B615="","",IF(K615&lt;&gt;"",K615,IF(N(IFERROR(INDEX(Projects!$D$6:$D$65,MATCH(D615,Projects!$B$6:$B$65,0)),""))&gt;0,IFERROR(INDEX(Projects!$D$6:$D$65,MATCH(D615,Projects!$B$6:$B$65,0)),""),IFERROR(INDEX(Clients!$G$6:$G$45,MATCH(C615,Clients!$B$6:$B$45,0)),0))))</f>
        <v/>
      </c>
      <c r="O615" s="14">
        <f>IF(B615="","",IF(J615&lt;&gt;"",0,ROUND(M615*N615,2)))</f>
        <v/>
      </c>
      <c r="P615" s="15">
        <f>IF(OR(B615="",J615&lt;&gt;""),"",IF(L615&lt;&gt;"",L615,IF(COUNTIFS(Invoices!$C$6:$C$305,C615,Invoices!$E$6:$E$305,"&lt;="&amp;B615,Invoices!$F$6:$F$305,"&gt;="&amp;B615)=1,INDEX(Invoices!$B$6:$B$305,SUMIFS(Invoices!$O$6:$O$305,Invoices!$C$6:$C$305,C615,Invoices!$E$6:$E$305,"&lt;="&amp;B615,Invoices!$F$6:$F$305,"&gt;="&amp;B615)),IF(COUNTIFS(Invoices!$C$6:$C$305,C615,Invoices!$E$6:$E$305,"&lt;="&amp;B615,Invoices!$F$6:$F$305,"&gt;="&amp;B615)&gt;1,"Two invoices",""))))</f>
        <v/>
      </c>
      <c r="Q615" s="15">
        <f>IF(B615="","",IF(J615&lt;&gt;"","Not billable",IF(P615="","To invoice",IF(P615="Two invoices","Check dates",IF(ISNA(MATCH(P615,Invoices!$B$6:$B$305,0)),"Check number",IF(INDEX(Invoices!$M$6:$M$305,MATCH(P615,Invoices!$B$6:$B$305,0))="Paid","Paid",IF(INDEX(Invoices!$M$6:$M$305,MATCH(P615,Invoices!$B$6:$B$305,0))="Draft","Draft","Invoiced")))))))</f>
        <v/>
      </c>
      <c r="R615" s="1">
        <f>IF(AND(B615&lt;&gt;"",P615&lt;&gt;"",P615=Invoice!$G$4),B615+MOD(N(F615),1)+ROW()/10000000,"")</f>
        <v/>
      </c>
      <c r="S615">
        <f>IF(R615="","",IF(D615="","Other work",D615)&amp;IF(AND(K615&lt;&gt;"",E615&lt;&gt;""),", "&amp;E615,""))</f>
        <v/>
      </c>
      <c r="T615">
        <f>IF(R615="","",IF(COUNTIFS(R$6:R614,"&gt;0",S$6:S614,S615,N$6:N614,N615)=0,R615,""))</f>
        <v/>
      </c>
      <c r="U615">
        <f>IF(B615="","",IF(J615&lt;&gt;"",0,M615))</f>
        <v/>
      </c>
    </row>
    <row r="616">
      <c r="A616" s="1" t="n"/>
      <c r="B616" s="16" t="n"/>
      <c r="C616" s="17" t="n"/>
      <c r="D616" s="18" t="n"/>
      <c r="E616" s="18" t="n"/>
      <c r="F616" s="19" t="n"/>
      <c r="G616" s="19" t="n"/>
      <c r="H616" s="20" t="n"/>
      <c r="I616" s="21" t="n"/>
      <c r="J616" s="22" t="n"/>
      <c r="K616" s="23" t="n"/>
      <c r="L616" s="18" t="n"/>
      <c r="M616" s="24">
        <f>IF(B616="","",IF(AND(F616&lt;&gt;"",G616&lt;&gt;""),MAX(0,ROUND(MOD(G616-F616,1)*24-N(H616)/60,2)),N(I616)))</f>
        <v/>
      </c>
      <c r="N616" s="14">
        <f>IF(B616="","",IF(K616&lt;&gt;"",K616,IF(N(IFERROR(INDEX(Projects!$D$6:$D$65,MATCH(D616,Projects!$B$6:$B$65,0)),""))&gt;0,IFERROR(INDEX(Projects!$D$6:$D$65,MATCH(D616,Projects!$B$6:$B$65,0)),""),IFERROR(INDEX(Clients!$G$6:$G$45,MATCH(C616,Clients!$B$6:$B$45,0)),0))))</f>
        <v/>
      </c>
      <c r="O616" s="14">
        <f>IF(B616="","",IF(J616&lt;&gt;"",0,ROUND(M616*N616,2)))</f>
        <v/>
      </c>
      <c r="P616" s="15">
        <f>IF(OR(B616="",J616&lt;&gt;""),"",IF(L616&lt;&gt;"",L616,IF(COUNTIFS(Invoices!$C$6:$C$305,C616,Invoices!$E$6:$E$305,"&lt;="&amp;B616,Invoices!$F$6:$F$305,"&gt;="&amp;B616)=1,INDEX(Invoices!$B$6:$B$305,SUMIFS(Invoices!$O$6:$O$305,Invoices!$C$6:$C$305,C616,Invoices!$E$6:$E$305,"&lt;="&amp;B616,Invoices!$F$6:$F$305,"&gt;="&amp;B616)),IF(COUNTIFS(Invoices!$C$6:$C$305,C616,Invoices!$E$6:$E$305,"&lt;="&amp;B616,Invoices!$F$6:$F$305,"&gt;="&amp;B616)&gt;1,"Two invoices",""))))</f>
        <v/>
      </c>
      <c r="Q616" s="15">
        <f>IF(B616="","",IF(J616&lt;&gt;"","Not billable",IF(P616="","To invoice",IF(P616="Two invoices","Check dates",IF(ISNA(MATCH(P616,Invoices!$B$6:$B$305,0)),"Check number",IF(INDEX(Invoices!$M$6:$M$305,MATCH(P616,Invoices!$B$6:$B$305,0))="Paid","Paid",IF(INDEX(Invoices!$M$6:$M$305,MATCH(P616,Invoices!$B$6:$B$305,0))="Draft","Draft","Invoiced")))))))</f>
        <v/>
      </c>
      <c r="R616" s="1">
        <f>IF(AND(B616&lt;&gt;"",P616&lt;&gt;"",P616=Invoice!$G$4),B616+MOD(N(F616),1)+ROW()/10000000,"")</f>
        <v/>
      </c>
      <c r="S616">
        <f>IF(R616="","",IF(D616="","Other work",D616)&amp;IF(AND(K616&lt;&gt;"",E616&lt;&gt;""),", "&amp;E616,""))</f>
        <v/>
      </c>
      <c r="T616">
        <f>IF(R616="","",IF(COUNTIFS(R$6:R615,"&gt;0",S$6:S615,S616,N$6:N615,N616)=0,R616,""))</f>
        <v/>
      </c>
      <c r="U616">
        <f>IF(B616="","",IF(J616&lt;&gt;"",0,M616))</f>
        <v/>
      </c>
    </row>
    <row r="617">
      <c r="A617" s="1" t="n"/>
      <c r="B617" s="16" t="n"/>
      <c r="C617" s="17" t="n"/>
      <c r="D617" s="18" t="n"/>
      <c r="E617" s="18" t="n"/>
      <c r="F617" s="19" t="n"/>
      <c r="G617" s="19" t="n"/>
      <c r="H617" s="20" t="n"/>
      <c r="I617" s="21" t="n"/>
      <c r="J617" s="22" t="n"/>
      <c r="K617" s="23" t="n"/>
      <c r="L617" s="18" t="n"/>
      <c r="M617" s="24">
        <f>IF(B617="","",IF(AND(F617&lt;&gt;"",G617&lt;&gt;""),MAX(0,ROUND(MOD(G617-F617,1)*24-N(H617)/60,2)),N(I617)))</f>
        <v/>
      </c>
      <c r="N617" s="14">
        <f>IF(B617="","",IF(K617&lt;&gt;"",K617,IF(N(IFERROR(INDEX(Projects!$D$6:$D$65,MATCH(D617,Projects!$B$6:$B$65,0)),""))&gt;0,IFERROR(INDEX(Projects!$D$6:$D$65,MATCH(D617,Projects!$B$6:$B$65,0)),""),IFERROR(INDEX(Clients!$G$6:$G$45,MATCH(C617,Clients!$B$6:$B$45,0)),0))))</f>
        <v/>
      </c>
      <c r="O617" s="14">
        <f>IF(B617="","",IF(J617&lt;&gt;"",0,ROUND(M617*N617,2)))</f>
        <v/>
      </c>
      <c r="P617" s="15">
        <f>IF(OR(B617="",J617&lt;&gt;""),"",IF(L617&lt;&gt;"",L617,IF(COUNTIFS(Invoices!$C$6:$C$305,C617,Invoices!$E$6:$E$305,"&lt;="&amp;B617,Invoices!$F$6:$F$305,"&gt;="&amp;B617)=1,INDEX(Invoices!$B$6:$B$305,SUMIFS(Invoices!$O$6:$O$305,Invoices!$C$6:$C$305,C617,Invoices!$E$6:$E$305,"&lt;="&amp;B617,Invoices!$F$6:$F$305,"&gt;="&amp;B617)),IF(COUNTIFS(Invoices!$C$6:$C$305,C617,Invoices!$E$6:$E$305,"&lt;="&amp;B617,Invoices!$F$6:$F$305,"&gt;="&amp;B617)&gt;1,"Two invoices",""))))</f>
        <v/>
      </c>
      <c r="Q617" s="15">
        <f>IF(B617="","",IF(J617&lt;&gt;"","Not billable",IF(P617="","To invoice",IF(P617="Two invoices","Check dates",IF(ISNA(MATCH(P617,Invoices!$B$6:$B$305,0)),"Check number",IF(INDEX(Invoices!$M$6:$M$305,MATCH(P617,Invoices!$B$6:$B$305,0))="Paid","Paid",IF(INDEX(Invoices!$M$6:$M$305,MATCH(P617,Invoices!$B$6:$B$305,0))="Draft","Draft","Invoiced")))))))</f>
        <v/>
      </c>
      <c r="R617" s="1">
        <f>IF(AND(B617&lt;&gt;"",P617&lt;&gt;"",P617=Invoice!$G$4),B617+MOD(N(F617),1)+ROW()/10000000,"")</f>
        <v/>
      </c>
      <c r="S617">
        <f>IF(R617="","",IF(D617="","Other work",D617)&amp;IF(AND(K617&lt;&gt;"",E617&lt;&gt;""),", "&amp;E617,""))</f>
        <v/>
      </c>
      <c r="T617">
        <f>IF(R617="","",IF(COUNTIFS(R$6:R616,"&gt;0",S$6:S616,S617,N$6:N616,N617)=0,R617,""))</f>
        <v/>
      </c>
      <c r="U617">
        <f>IF(B617="","",IF(J617&lt;&gt;"",0,M617))</f>
        <v/>
      </c>
    </row>
    <row r="618">
      <c r="A618" s="1" t="n"/>
      <c r="B618" s="16" t="n"/>
      <c r="C618" s="17" t="n"/>
      <c r="D618" s="18" t="n"/>
      <c r="E618" s="18" t="n"/>
      <c r="F618" s="19" t="n"/>
      <c r="G618" s="19" t="n"/>
      <c r="H618" s="20" t="n"/>
      <c r="I618" s="21" t="n"/>
      <c r="J618" s="22" t="n"/>
      <c r="K618" s="23" t="n"/>
      <c r="L618" s="18" t="n"/>
      <c r="M618" s="24">
        <f>IF(B618="","",IF(AND(F618&lt;&gt;"",G618&lt;&gt;""),MAX(0,ROUND(MOD(G618-F618,1)*24-N(H618)/60,2)),N(I618)))</f>
        <v/>
      </c>
      <c r="N618" s="14">
        <f>IF(B618="","",IF(K618&lt;&gt;"",K618,IF(N(IFERROR(INDEX(Projects!$D$6:$D$65,MATCH(D618,Projects!$B$6:$B$65,0)),""))&gt;0,IFERROR(INDEX(Projects!$D$6:$D$65,MATCH(D618,Projects!$B$6:$B$65,0)),""),IFERROR(INDEX(Clients!$G$6:$G$45,MATCH(C618,Clients!$B$6:$B$45,0)),0))))</f>
        <v/>
      </c>
      <c r="O618" s="14">
        <f>IF(B618="","",IF(J618&lt;&gt;"",0,ROUND(M618*N618,2)))</f>
        <v/>
      </c>
      <c r="P618" s="15">
        <f>IF(OR(B618="",J618&lt;&gt;""),"",IF(L618&lt;&gt;"",L618,IF(COUNTIFS(Invoices!$C$6:$C$305,C618,Invoices!$E$6:$E$305,"&lt;="&amp;B618,Invoices!$F$6:$F$305,"&gt;="&amp;B618)=1,INDEX(Invoices!$B$6:$B$305,SUMIFS(Invoices!$O$6:$O$305,Invoices!$C$6:$C$305,C618,Invoices!$E$6:$E$305,"&lt;="&amp;B618,Invoices!$F$6:$F$305,"&gt;="&amp;B618)),IF(COUNTIFS(Invoices!$C$6:$C$305,C618,Invoices!$E$6:$E$305,"&lt;="&amp;B618,Invoices!$F$6:$F$305,"&gt;="&amp;B618)&gt;1,"Two invoices",""))))</f>
        <v/>
      </c>
      <c r="Q618" s="15">
        <f>IF(B618="","",IF(J618&lt;&gt;"","Not billable",IF(P618="","To invoice",IF(P618="Two invoices","Check dates",IF(ISNA(MATCH(P618,Invoices!$B$6:$B$305,0)),"Check number",IF(INDEX(Invoices!$M$6:$M$305,MATCH(P618,Invoices!$B$6:$B$305,0))="Paid","Paid",IF(INDEX(Invoices!$M$6:$M$305,MATCH(P618,Invoices!$B$6:$B$305,0))="Draft","Draft","Invoiced")))))))</f>
        <v/>
      </c>
      <c r="R618" s="1">
        <f>IF(AND(B618&lt;&gt;"",P618&lt;&gt;"",P618=Invoice!$G$4),B618+MOD(N(F618),1)+ROW()/10000000,"")</f>
        <v/>
      </c>
      <c r="S618">
        <f>IF(R618="","",IF(D618="","Other work",D618)&amp;IF(AND(K618&lt;&gt;"",E618&lt;&gt;""),", "&amp;E618,""))</f>
        <v/>
      </c>
      <c r="T618">
        <f>IF(R618="","",IF(COUNTIFS(R$6:R617,"&gt;0",S$6:S617,S618,N$6:N617,N618)=0,R618,""))</f>
        <v/>
      </c>
      <c r="U618">
        <f>IF(B618="","",IF(J618&lt;&gt;"",0,M618))</f>
        <v/>
      </c>
    </row>
    <row r="619">
      <c r="A619" s="1" t="n"/>
      <c r="B619" s="16" t="n"/>
      <c r="C619" s="17" t="n"/>
      <c r="D619" s="18" t="n"/>
      <c r="E619" s="18" t="n"/>
      <c r="F619" s="19" t="n"/>
      <c r="G619" s="19" t="n"/>
      <c r="H619" s="20" t="n"/>
      <c r="I619" s="21" t="n"/>
      <c r="J619" s="22" t="n"/>
      <c r="K619" s="23" t="n"/>
      <c r="L619" s="18" t="n"/>
      <c r="M619" s="24">
        <f>IF(B619="","",IF(AND(F619&lt;&gt;"",G619&lt;&gt;""),MAX(0,ROUND(MOD(G619-F619,1)*24-N(H619)/60,2)),N(I619)))</f>
        <v/>
      </c>
      <c r="N619" s="14">
        <f>IF(B619="","",IF(K619&lt;&gt;"",K619,IF(N(IFERROR(INDEX(Projects!$D$6:$D$65,MATCH(D619,Projects!$B$6:$B$65,0)),""))&gt;0,IFERROR(INDEX(Projects!$D$6:$D$65,MATCH(D619,Projects!$B$6:$B$65,0)),""),IFERROR(INDEX(Clients!$G$6:$G$45,MATCH(C619,Clients!$B$6:$B$45,0)),0))))</f>
        <v/>
      </c>
      <c r="O619" s="14">
        <f>IF(B619="","",IF(J619&lt;&gt;"",0,ROUND(M619*N619,2)))</f>
        <v/>
      </c>
      <c r="P619" s="15">
        <f>IF(OR(B619="",J619&lt;&gt;""),"",IF(L619&lt;&gt;"",L619,IF(COUNTIFS(Invoices!$C$6:$C$305,C619,Invoices!$E$6:$E$305,"&lt;="&amp;B619,Invoices!$F$6:$F$305,"&gt;="&amp;B619)=1,INDEX(Invoices!$B$6:$B$305,SUMIFS(Invoices!$O$6:$O$305,Invoices!$C$6:$C$305,C619,Invoices!$E$6:$E$305,"&lt;="&amp;B619,Invoices!$F$6:$F$305,"&gt;="&amp;B619)),IF(COUNTIFS(Invoices!$C$6:$C$305,C619,Invoices!$E$6:$E$305,"&lt;="&amp;B619,Invoices!$F$6:$F$305,"&gt;="&amp;B619)&gt;1,"Two invoices",""))))</f>
        <v/>
      </c>
      <c r="Q619" s="15">
        <f>IF(B619="","",IF(J619&lt;&gt;"","Not billable",IF(P619="","To invoice",IF(P619="Two invoices","Check dates",IF(ISNA(MATCH(P619,Invoices!$B$6:$B$305,0)),"Check number",IF(INDEX(Invoices!$M$6:$M$305,MATCH(P619,Invoices!$B$6:$B$305,0))="Paid","Paid",IF(INDEX(Invoices!$M$6:$M$305,MATCH(P619,Invoices!$B$6:$B$305,0))="Draft","Draft","Invoiced")))))))</f>
        <v/>
      </c>
      <c r="R619" s="1">
        <f>IF(AND(B619&lt;&gt;"",P619&lt;&gt;"",P619=Invoice!$G$4),B619+MOD(N(F619),1)+ROW()/10000000,"")</f>
        <v/>
      </c>
      <c r="S619">
        <f>IF(R619="","",IF(D619="","Other work",D619)&amp;IF(AND(K619&lt;&gt;"",E619&lt;&gt;""),", "&amp;E619,""))</f>
        <v/>
      </c>
      <c r="T619">
        <f>IF(R619="","",IF(COUNTIFS(R$6:R618,"&gt;0",S$6:S618,S619,N$6:N618,N619)=0,R619,""))</f>
        <v/>
      </c>
      <c r="U619">
        <f>IF(B619="","",IF(J619&lt;&gt;"",0,M619))</f>
        <v/>
      </c>
    </row>
    <row r="620">
      <c r="A620" s="1" t="n"/>
      <c r="B620" s="16" t="n"/>
      <c r="C620" s="17" t="n"/>
      <c r="D620" s="18" t="n"/>
      <c r="E620" s="18" t="n"/>
      <c r="F620" s="19" t="n"/>
      <c r="G620" s="19" t="n"/>
      <c r="H620" s="20" t="n"/>
      <c r="I620" s="21" t="n"/>
      <c r="J620" s="22" t="n"/>
      <c r="K620" s="23" t="n"/>
      <c r="L620" s="18" t="n"/>
      <c r="M620" s="24">
        <f>IF(B620="","",IF(AND(F620&lt;&gt;"",G620&lt;&gt;""),MAX(0,ROUND(MOD(G620-F620,1)*24-N(H620)/60,2)),N(I620)))</f>
        <v/>
      </c>
      <c r="N620" s="14">
        <f>IF(B620="","",IF(K620&lt;&gt;"",K620,IF(N(IFERROR(INDEX(Projects!$D$6:$D$65,MATCH(D620,Projects!$B$6:$B$65,0)),""))&gt;0,IFERROR(INDEX(Projects!$D$6:$D$65,MATCH(D620,Projects!$B$6:$B$65,0)),""),IFERROR(INDEX(Clients!$G$6:$G$45,MATCH(C620,Clients!$B$6:$B$45,0)),0))))</f>
        <v/>
      </c>
      <c r="O620" s="14">
        <f>IF(B620="","",IF(J620&lt;&gt;"",0,ROUND(M620*N620,2)))</f>
        <v/>
      </c>
      <c r="P620" s="15">
        <f>IF(OR(B620="",J620&lt;&gt;""),"",IF(L620&lt;&gt;"",L620,IF(COUNTIFS(Invoices!$C$6:$C$305,C620,Invoices!$E$6:$E$305,"&lt;="&amp;B620,Invoices!$F$6:$F$305,"&gt;="&amp;B620)=1,INDEX(Invoices!$B$6:$B$305,SUMIFS(Invoices!$O$6:$O$305,Invoices!$C$6:$C$305,C620,Invoices!$E$6:$E$305,"&lt;="&amp;B620,Invoices!$F$6:$F$305,"&gt;="&amp;B620)),IF(COUNTIFS(Invoices!$C$6:$C$305,C620,Invoices!$E$6:$E$305,"&lt;="&amp;B620,Invoices!$F$6:$F$305,"&gt;="&amp;B620)&gt;1,"Two invoices",""))))</f>
        <v/>
      </c>
      <c r="Q620" s="15">
        <f>IF(B620="","",IF(J620&lt;&gt;"","Not billable",IF(P620="","To invoice",IF(P620="Two invoices","Check dates",IF(ISNA(MATCH(P620,Invoices!$B$6:$B$305,0)),"Check number",IF(INDEX(Invoices!$M$6:$M$305,MATCH(P620,Invoices!$B$6:$B$305,0))="Paid","Paid",IF(INDEX(Invoices!$M$6:$M$305,MATCH(P620,Invoices!$B$6:$B$305,0))="Draft","Draft","Invoiced")))))))</f>
        <v/>
      </c>
      <c r="R620" s="1">
        <f>IF(AND(B620&lt;&gt;"",P620&lt;&gt;"",P620=Invoice!$G$4),B620+MOD(N(F620),1)+ROW()/10000000,"")</f>
        <v/>
      </c>
      <c r="S620">
        <f>IF(R620="","",IF(D620="","Other work",D620)&amp;IF(AND(K620&lt;&gt;"",E620&lt;&gt;""),", "&amp;E620,""))</f>
        <v/>
      </c>
      <c r="T620">
        <f>IF(R620="","",IF(COUNTIFS(R$6:R619,"&gt;0",S$6:S619,S620,N$6:N619,N620)=0,R620,""))</f>
        <v/>
      </c>
      <c r="U620">
        <f>IF(B620="","",IF(J620&lt;&gt;"",0,M620))</f>
        <v/>
      </c>
    </row>
    <row r="621">
      <c r="A621" s="1" t="n"/>
      <c r="B621" s="16" t="n"/>
      <c r="C621" s="17" t="n"/>
      <c r="D621" s="18" t="n"/>
      <c r="E621" s="18" t="n"/>
      <c r="F621" s="19" t="n"/>
      <c r="G621" s="19" t="n"/>
      <c r="H621" s="20" t="n"/>
      <c r="I621" s="21" t="n"/>
      <c r="J621" s="22" t="n"/>
      <c r="K621" s="23" t="n"/>
      <c r="L621" s="18" t="n"/>
      <c r="M621" s="24">
        <f>IF(B621="","",IF(AND(F621&lt;&gt;"",G621&lt;&gt;""),MAX(0,ROUND(MOD(G621-F621,1)*24-N(H621)/60,2)),N(I621)))</f>
        <v/>
      </c>
      <c r="N621" s="14">
        <f>IF(B621="","",IF(K621&lt;&gt;"",K621,IF(N(IFERROR(INDEX(Projects!$D$6:$D$65,MATCH(D621,Projects!$B$6:$B$65,0)),""))&gt;0,IFERROR(INDEX(Projects!$D$6:$D$65,MATCH(D621,Projects!$B$6:$B$65,0)),""),IFERROR(INDEX(Clients!$G$6:$G$45,MATCH(C621,Clients!$B$6:$B$45,0)),0))))</f>
        <v/>
      </c>
      <c r="O621" s="14">
        <f>IF(B621="","",IF(J621&lt;&gt;"",0,ROUND(M621*N621,2)))</f>
        <v/>
      </c>
      <c r="P621" s="15">
        <f>IF(OR(B621="",J621&lt;&gt;""),"",IF(L621&lt;&gt;"",L621,IF(COUNTIFS(Invoices!$C$6:$C$305,C621,Invoices!$E$6:$E$305,"&lt;="&amp;B621,Invoices!$F$6:$F$305,"&gt;="&amp;B621)=1,INDEX(Invoices!$B$6:$B$305,SUMIFS(Invoices!$O$6:$O$305,Invoices!$C$6:$C$305,C621,Invoices!$E$6:$E$305,"&lt;="&amp;B621,Invoices!$F$6:$F$305,"&gt;="&amp;B621)),IF(COUNTIFS(Invoices!$C$6:$C$305,C621,Invoices!$E$6:$E$305,"&lt;="&amp;B621,Invoices!$F$6:$F$305,"&gt;="&amp;B621)&gt;1,"Two invoices",""))))</f>
        <v/>
      </c>
      <c r="Q621" s="15">
        <f>IF(B621="","",IF(J621&lt;&gt;"","Not billable",IF(P621="","To invoice",IF(P621="Two invoices","Check dates",IF(ISNA(MATCH(P621,Invoices!$B$6:$B$305,0)),"Check number",IF(INDEX(Invoices!$M$6:$M$305,MATCH(P621,Invoices!$B$6:$B$305,0))="Paid","Paid",IF(INDEX(Invoices!$M$6:$M$305,MATCH(P621,Invoices!$B$6:$B$305,0))="Draft","Draft","Invoiced")))))))</f>
        <v/>
      </c>
      <c r="R621" s="1">
        <f>IF(AND(B621&lt;&gt;"",P621&lt;&gt;"",P621=Invoice!$G$4),B621+MOD(N(F621),1)+ROW()/10000000,"")</f>
        <v/>
      </c>
      <c r="S621">
        <f>IF(R621="","",IF(D621="","Other work",D621)&amp;IF(AND(K621&lt;&gt;"",E621&lt;&gt;""),", "&amp;E621,""))</f>
        <v/>
      </c>
      <c r="T621">
        <f>IF(R621="","",IF(COUNTIFS(R$6:R620,"&gt;0",S$6:S620,S621,N$6:N620,N621)=0,R621,""))</f>
        <v/>
      </c>
      <c r="U621">
        <f>IF(B621="","",IF(J621&lt;&gt;"",0,M621))</f>
        <v/>
      </c>
    </row>
    <row r="622">
      <c r="A622" s="1" t="n"/>
      <c r="B622" s="16" t="n"/>
      <c r="C622" s="17" t="n"/>
      <c r="D622" s="18" t="n"/>
      <c r="E622" s="18" t="n"/>
      <c r="F622" s="19" t="n"/>
      <c r="G622" s="19" t="n"/>
      <c r="H622" s="20" t="n"/>
      <c r="I622" s="21" t="n"/>
      <c r="J622" s="22" t="n"/>
      <c r="K622" s="23" t="n"/>
      <c r="L622" s="18" t="n"/>
      <c r="M622" s="24">
        <f>IF(B622="","",IF(AND(F622&lt;&gt;"",G622&lt;&gt;""),MAX(0,ROUND(MOD(G622-F622,1)*24-N(H622)/60,2)),N(I622)))</f>
        <v/>
      </c>
      <c r="N622" s="14">
        <f>IF(B622="","",IF(K622&lt;&gt;"",K622,IF(N(IFERROR(INDEX(Projects!$D$6:$D$65,MATCH(D622,Projects!$B$6:$B$65,0)),""))&gt;0,IFERROR(INDEX(Projects!$D$6:$D$65,MATCH(D622,Projects!$B$6:$B$65,0)),""),IFERROR(INDEX(Clients!$G$6:$G$45,MATCH(C622,Clients!$B$6:$B$45,0)),0))))</f>
        <v/>
      </c>
      <c r="O622" s="14">
        <f>IF(B622="","",IF(J622&lt;&gt;"",0,ROUND(M622*N622,2)))</f>
        <v/>
      </c>
      <c r="P622" s="15">
        <f>IF(OR(B622="",J622&lt;&gt;""),"",IF(L622&lt;&gt;"",L622,IF(COUNTIFS(Invoices!$C$6:$C$305,C622,Invoices!$E$6:$E$305,"&lt;="&amp;B622,Invoices!$F$6:$F$305,"&gt;="&amp;B622)=1,INDEX(Invoices!$B$6:$B$305,SUMIFS(Invoices!$O$6:$O$305,Invoices!$C$6:$C$305,C622,Invoices!$E$6:$E$305,"&lt;="&amp;B622,Invoices!$F$6:$F$305,"&gt;="&amp;B622)),IF(COUNTIFS(Invoices!$C$6:$C$305,C622,Invoices!$E$6:$E$305,"&lt;="&amp;B622,Invoices!$F$6:$F$305,"&gt;="&amp;B622)&gt;1,"Two invoices",""))))</f>
        <v/>
      </c>
      <c r="Q622" s="15">
        <f>IF(B622="","",IF(J622&lt;&gt;"","Not billable",IF(P622="","To invoice",IF(P622="Two invoices","Check dates",IF(ISNA(MATCH(P622,Invoices!$B$6:$B$305,0)),"Check number",IF(INDEX(Invoices!$M$6:$M$305,MATCH(P622,Invoices!$B$6:$B$305,0))="Paid","Paid",IF(INDEX(Invoices!$M$6:$M$305,MATCH(P622,Invoices!$B$6:$B$305,0))="Draft","Draft","Invoiced")))))))</f>
        <v/>
      </c>
      <c r="R622" s="1">
        <f>IF(AND(B622&lt;&gt;"",P622&lt;&gt;"",P622=Invoice!$G$4),B622+MOD(N(F622),1)+ROW()/10000000,"")</f>
        <v/>
      </c>
      <c r="S622">
        <f>IF(R622="","",IF(D622="","Other work",D622)&amp;IF(AND(K622&lt;&gt;"",E622&lt;&gt;""),", "&amp;E622,""))</f>
        <v/>
      </c>
      <c r="T622">
        <f>IF(R622="","",IF(COUNTIFS(R$6:R621,"&gt;0",S$6:S621,S622,N$6:N621,N622)=0,R622,""))</f>
        <v/>
      </c>
      <c r="U622">
        <f>IF(B622="","",IF(J622&lt;&gt;"",0,M622))</f>
        <v/>
      </c>
    </row>
    <row r="623">
      <c r="A623" s="1" t="n"/>
      <c r="B623" s="16" t="n"/>
      <c r="C623" s="17" t="n"/>
      <c r="D623" s="18" t="n"/>
      <c r="E623" s="18" t="n"/>
      <c r="F623" s="19" t="n"/>
      <c r="G623" s="19" t="n"/>
      <c r="H623" s="20" t="n"/>
      <c r="I623" s="21" t="n"/>
      <c r="J623" s="22" t="n"/>
      <c r="K623" s="23" t="n"/>
      <c r="L623" s="18" t="n"/>
      <c r="M623" s="24">
        <f>IF(B623="","",IF(AND(F623&lt;&gt;"",G623&lt;&gt;""),MAX(0,ROUND(MOD(G623-F623,1)*24-N(H623)/60,2)),N(I623)))</f>
        <v/>
      </c>
      <c r="N623" s="14">
        <f>IF(B623="","",IF(K623&lt;&gt;"",K623,IF(N(IFERROR(INDEX(Projects!$D$6:$D$65,MATCH(D623,Projects!$B$6:$B$65,0)),""))&gt;0,IFERROR(INDEX(Projects!$D$6:$D$65,MATCH(D623,Projects!$B$6:$B$65,0)),""),IFERROR(INDEX(Clients!$G$6:$G$45,MATCH(C623,Clients!$B$6:$B$45,0)),0))))</f>
        <v/>
      </c>
      <c r="O623" s="14">
        <f>IF(B623="","",IF(J623&lt;&gt;"",0,ROUND(M623*N623,2)))</f>
        <v/>
      </c>
      <c r="P623" s="15">
        <f>IF(OR(B623="",J623&lt;&gt;""),"",IF(L623&lt;&gt;"",L623,IF(COUNTIFS(Invoices!$C$6:$C$305,C623,Invoices!$E$6:$E$305,"&lt;="&amp;B623,Invoices!$F$6:$F$305,"&gt;="&amp;B623)=1,INDEX(Invoices!$B$6:$B$305,SUMIFS(Invoices!$O$6:$O$305,Invoices!$C$6:$C$305,C623,Invoices!$E$6:$E$305,"&lt;="&amp;B623,Invoices!$F$6:$F$305,"&gt;="&amp;B623)),IF(COUNTIFS(Invoices!$C$6:$C$305,C623,Invoices!$E$6:$E$305,"&lt;="&amp;B623,Invoices!$F$6:$F$305,"&gt;="&amp;B623)&gt;1,"Two invoices",""))))</f>
        <v/>
      </c>
      <c r="Q623" s="15">
        <f>IF(B623="","",IF(J623&lt;&gt;"","Not billable",IF(P623="","To invoice",IF(P623="Two invoices","Check dates",IF(ISNA(MATCH(P623,Invoices!$B$6:$B$305,0)),"Check number",IF(INDEX(Invoices!$M$6:$M$305,MATCH(P623,Invoices!$B$6:$B$305,0))="Paid","Paid",IF(INDEX(Invoices!$M$6:$M$305,MATCH(P623,Invoices!$B$6:$B$305,0))="Draft","Draft","Invoiced")))))))</f>
        <v/>
      </c>
      <c r="R623" s="1">
        <f>IF(AND(B623&lt;&gt;"",P623&lt;&gt;"",P623=Invoice!$G$4),B623+MOD(N(F623),1)+ROW()/10000000,"")</f>
        <v/>
      </c>
      <c r="S623">
        <f>IF(R623="","",IF(D623="","Other work",D623)&amp;IF(AND(K623&lt;&gt;"",E623&lt;&gt;""),", "&amp;E623,""))</f>
        <v/>
      </c>
      <c r="T623">
        <f>IF(R623="","",IF(COUNTIFS(R$6:R622,"&gt;0",S$6:S622,S623,N$6:N622,N623)=0,R623,""))</f>
        <v/>
      </c>
      <c r="U623">
        <f>IF(B623="","",IF(J623&lt;&gt;"",0,M623))</f>
        <v/>
      </c>
    </row>
    <row r="624">
      <c r="A624" s="1" t="n"/>
      <c r="B624" s="16" t="n"/>
      <c r="C624" s="17" t="n"/>
      <c r="D624" s="18" t="n"/>
      <c r="E624" s="18" t="n"/>
      <c r="F624" s="19" t="n"/>
      <c r="G624" s="19" t="n"/>
      <c r="H624" s="20" t="n"/>
      <c r="I624" s="21" t="n"/>
      <c r="J624" s="22" t="n"/>
      <c r="K624" s="23" t="n"/>
      <c r="L624" s="18" t="n"/>
      <c r="M624" s="24">
        <f>IF(B624="","",IF(AND(F624&lt;&gt;"",G624&lt;&gt;""),MAX(0,ROUND(MOD(G624-F624,1)*24-N(H624)/60,2)),N(I624)))</f>
        <v/>
      </c>
      <c r="N624" s="14">
        <f>IF(B624="","",IF(K624&lt;&gt;"",K624,IF(N(IFERROR(INDEX(Projects!$D$6:$D$65,MATCH(D624,Projects!$B$6:$B$65,0)),""))&gt;0,IFERROR(INDEX(Projects!$D$6:$D$65,MATCH(D624,Projects!$B$6:$B$65,0)),""),IFERROR(INDEX(Clients!$G$6:$G$45,MATCH(C624,Clients!$B$6:$B$45,0)),0))))</f>
        <v/>
      </c>
      <c r="O624" s="14">
        <f>IF(B624="","",IF(J624&lt;&gt;"",0,ROUND(M624*N624,2)))</f>
        <v/>
      </c>
      <c r="P624" s="15">
        <f>IF(OR(B624="",J624&lt;&gt;""),"",IF(L624&lt;&gt;"",L624,IF(COUNTIFS(Invoices!$C$6:$C$305,C624,Invoices!$E$6:$E$305,"&lt;="&amp;B624,Invoices!$F$6:$F$305,"&gt;="&amp;B624)=1,INDEX(Invoices!$B$6:$B$305,SUMIFS(Invoices!$O$6:$O$305,Invoices!$C$6:$C$305,C624,Invoices!$E$6:$E$305,"&lt;="&amp;B624,Invoices!$F$6:$F$305,"&gt;="&amp;B624)),IF(COUNTIFS(Invoices!$C$6:$C$305,C624,Invoices!$E$6:$E$305,"&lt;="&amp;B624,Invoices!$F$6:$F$305,"&gt;="&amp;B624)&gt;1,"Two invoices",""))))</f>
        <v/>
      </c>
      <c r="Q624" s="15">
        <f>IF(B624="","",IF(J624&lt;&gt;"","Not billable",IF(P624="","To invoice",IF(P624="Two invoices","Check dates",IF(ISNA(MATCH(P624,Invoices!$B$6:$B$305,0)),"Check number",IF(INDEX(Invoices!$M$6:$M$305,MATCH(P624,Invoices!$B$6:$B$305,0))="Paid","Paid",IF(INDEX(Invoices!$M$6:$M$305,MATCH(P624,Invoices!$B$6:$B$305,0))="Draft","Draft","Invoiced")))))))</f>
        <v/>
      </c>
      <c r="R624" s="1">
        <f>IF(AND(B624&lt;&gt;"",P624&lt;&gt;"",P624=Invoice!$G$4),B624+MOD(N(F624),1)+ROW()/10000000,"")</f>
        <v/>
      </c>
      <c r="S624">
        <f>IF(R624="","",IF(D624="","Other work",D624)&amp;IF(AND(K624&lt;&gt;"",E624&lt;&gt;""),", "&amp;E624,""))</f>
        <v/>
      </c>
      <c r="T624">
        <f>IF(R624="","",IF(COUNTIFS(R$6:R623,"&gt;0",S$6:S623,S624,N$6:N623,N624)=0,R624,""))</f>
        <v/>
      </c>
      <c r="U624">
        <f>IF(B624="","",IF(J624&lt;&gt;"",0,M624))</f>
        <v/>
      </c>
    </row>
    <row r="625">
      <c r="A625" s="1" t="n"/>
      <c r="B625" s="16" t="n"/>
      <c r="C625" s="17" t="n"/>
      <c r="D625" s="18" t="n"/>
      <c r="E625" s="18" t="n"/>
      <c r="F625" s="19" t="n"/>
      <c r="G625" s="19" t="n"/>
      <c r="H625" s="20" t="n"/>
      <c r="I625" s="21" t="n"/>
      <c r="J625" s="22" t="n"/>
      <c r="K625" s="23" t="n"/>
      <c r="L625" s="18" t="n"/>
      <c r="M625" s="24">
        <f>IF(B625="","",IF(AND(F625&lt;&gt;"",G625&lt;&gt;""),MAX(0,ROUND(MOD(G625-F625,1)*24-N(H625)/60,2)),N(I625)))</f>
        <v/>
      </c>
      <c r="N625" s="14">
        <f>IF(B625="","",IF(K625&lt;&gt;"",K625,IF(N(IFERROR(INDEX(Projects!$D$6:$D$65,MATCH(D625,Projects!$B$6:$B$65,0)),""))&gt;0,IFERROR(INDEX(Projects!$D$6:$D$65,MATCH(D625,Projects!$B$6:$B$65,0)),""),IFERROR(INDEX(Clients!$G$6:$G$45,MATCH(C625,Clients!$B$6:$B$45,0)),0))))</f>
        <v/>
      </c>
      <c r="O625" s="14">
        <f>IF(B625="","",IF(J625&lt;&gt;"",0,ROUND(M625*N625,2)))</f>
        <v/>
      </c>
      <c r="P625" s="15">
        <f>IF(OR(B625="",J625&lt;&gt;""),"",IF(L625&lt;&gt;"",L625,IF(COUNTIFS(Invoices!$C$6:$C$305,C625,Invoices!$E$6:$E$305,"&lt;="&amp;B625,Invoices!$F$6:$F$305,"&gt;="&amp;B625)=1,INDEX(Invoices!$B$6:$B$305,SUMIFS(Invoices!$O$6:$O$305,Invoices!$C$6:$C$305,C625,Invoices!$E$6:$E$305,"&lt;="&amp;B625,Invoices!$F$6:$F$305,"&gt;="&amp;B625)),IF(COUNTIFS(Invoices!$C$6:$C$305,C625,Invoices!$E$6:$E$305,"&lt;="&amp;B625,Invoices!$F$6:$F$305,"&gt;="&amp;B625)&gt;1,"Two invoices",""))))</f>
        <v/>
      </c>
      <c r="Q625" s="15">
        <f>IF(B625="","",IF(J625&lt;&gt;"","Not billable",IF(P625="","To invoice",IF(P625="Two invoices","Check dates",IF(ISNA(MATCH(P625,Invoices!$B$6:$B$305,0)),"Check number",IF(INDEX(Invoices!$M$6:$M$305,MATCH(P625,Invoices!$B$6:$B$305,0))="Paid","Paid",IF(INDEX(Invoices!$M$6:$M$305,MATCH(P625,Invoices!$B$6:$B$305,0))="Draft","Draft","Invoiced")))))))</f>
        <v/>
      </c>
      <c r="R625" s="1">
        <f>IF(AND(B625&lt;&gt;"",P625&lt;&gt;"",P625=Invoice!$G$4),B625+MOD(N(F625),1)+ROW()/10000000,"")</f>
        <v/>
      </c>
      <c r="S625">
        <f>IF(R625="","",IF(D625="","Other work",D625)&amp;IF(AND(K625&lt;&gt;"",E625&lt;&gt;""),", "&amp;E625,""))</f>
        <v/>
      </c>
      <c r="T625">
        <f>IF(R625="","",IF(COUNTIFS(R$6:R624,"&gt;0",S$6:S624,S625,N$6:N624,N625)=0,R625,""))</f>
        <v/>
      </c>
      <c r="U625">
        <f>IF(B625="","",IF(J625&lt;&gt;"",0,M625))</f>
        <v/>
      </c>
    </row>
    <row r="626">
      <c r="A626" s="1" t="n"/>
      <c r="B626" s="16" t="n"/>
      <c r="C626" s="17" t="n"/>
      <c r="D626" s="18" t="n"/>
      <c r="E626" s="18" t="n"/>
      <c r="F626" s="19" t="n"/>
      <c r="G626" s="19" t="n"/>
      <c r="H626" s="20" t="n"/>
      <c r="I626" s="21" t="n"/>
      <c r="J626" s="22" t="n"/>
      <c r="K626" s="23" t="n"/>
      <c r="L626" s="18" t="n"/>
      <c r="M626" s="24">
        <f>IF(B626="","",IF(AND(F626&lt;&gt;"",G626&lt;&gt;""),MAX(0,ROUND(MOD(G626-F626,1)*24-N(H626)/60,2)),N(I626)))</f>
        <v/>
      </c>
      <c r="N626" s="14">
        <f>IF(B626="","",IF(K626&lt;&gt;"",K626,IF(N(IFERROR(INDEX(Projects!$D$6:$D$65,MATCH(D626,Projects!$B$6:$B$65,0)),""))&gt;0,IFERROR(INDEX(Projects!$D$6:$D$65,MATCH(D626,Projects!$B$6:$B$65,0)),""),IFERROR(INDEX(Clients!$G$6:$G$45,MATCH(C626,Clients!$B$6:$B$45,0)),0))))</f>
        <v/>
      </c>
      <c r="O626" s="14">
        <f>IF(B626="","",IF(J626&lt;&gt;"",0,ROUND(M626*N626,2)))</f>
        <v/>
      </c>
      <c r="P626" s="15">
        <f>IF(OR(B626="",J626&lt;&gt;""),"",IF(L626&lt;&gt;"",L626,IF(COUNTIFS(Invoices!$C$6:$C$305,C626,Invoices!$E$6:$E$305,"&lt;="&amp;B626,Invoices!$F$6:$F$305,"&gt;="&amp;B626)=1,INDEX(Invoices!$B$6:$B$305,SUMIFS(Invoices!$O$6:$O$305,Invoices!$C$6:$C$305,C626,Invoices!$E$6:$E$305,"&lt;="&amp;B626,Invoices!$F$6:$F$305,"&gt;="&amp;B626)),IF(COUNTIFS(Invoices!$C$6:$C$305,C626,Invoices!$E$6:$E$305,"&lt;="&amp;B626,Invoices!$F$6:$F$305,"&gt;="&amp;B626)&gt;1,"Two invoices",""))))</f>
        <v/>
      </c>
      <c r="Q626" s="15">
        <f>IF(B626="","",IF(J626&lt;&gt;"","Not billable",IF(P626="","To invoice",IF(P626="Two invoices","Check dates",IF(ISNA(MATCH(P626,Invoices!$B$6:$B$305,0)),"Check number",IF(INDEX(Invoices!$M$6:$M$305,MATCH(P626,Invoices!$B$6:$B$305,0))="Paid","Paid",IF(INDEX(Invoices!$M$6:$M$305,MATCH(P626,Invoices!$B$6:$B$305,0))="Draft","Draft","Invoiced")))))))</f>
        <v/>
      </c>
      <c r="R626" s="1">
        <f>IF(AND(B626&lt;&gt;"",P626&lt;&gt;"",P626=Invoice!$G$4),B626+MOD(N(F626),1)+ROW()/10000000,"")</f>
        <v/>
      </c>
      <c r="S626">
        <f>IF(R626="","",IF(D626="","Other work",D626)&amp;IF(AND(K626&lt;&gt;"",E626&lt;&gt;""),", "&amp;E626,""))</f>
        <v/>
      </c>
      <c r="T626">
        <f>IF(R626="","",IF(COUNTIFS(R$6:R625,"&gt;0",S$6:S625,S626,N$6:N625,N626)=0,R626,""))</f>
        <v/>
      </c>
      <c r="U626">
        <f>IF(B626="","",IF(J626&lt;&gt;"",0,M626))</f>
        <v/>
      </c>
    </row>
    <row r="627">
      <c r="A627" s="1" t="n"/>
      <c r="B627" s="16" t="n"/>
      <c r="C627" s="17" t="n"/>
      <c r="D627" s="18" t="n"/>
      <c r="E627" s="18" t="n"/>
      <c r="F627" s="19" t="n"/>
      <c r="G627" s="19" t="n"/>
      <c r="H627" s="20" t="n"/>
      <c r="I627" s="21" t="n"/>
      <c r="J627" s="22" t="n"/>
      <c r="K627" s="23" t="n"/>
      <c r="L627" s="18" t="n"/>
      <c r="M627" s="24">
        <f>IF(B627="","",IF(AND(F627&lt;&gt;"",G627&lt;&gt;""),MAX(0,ROUND(MOD(G627-F627,1)*24-N(H627)/60,2)),N(I627)))</f>
        <v/>
      </c>
      <c r="N627" s="14">
        <f>IF(B627="","",IF(K627&lt;&gt;"",K627,IF(N(IFERROR(INDEX(Projects!$D$6:$D$65,MATCH(D627,Projects!$B$6:$B$65,0)),""))&gt;0,IFERROR(INDEX(Projects!$D$6:$D$65,MATCH(D627,Projects!$B$6:$B$65,0)),""),IFERROR(INDEX(Clients!$G$6:$G$45,MATCH(C627,Clients!$B$6:$B$45,0)),0))))</f>
        <v/>
      </c>
      <c r="O627" s="14">
        <f>IF(B627="","",IF(J627&lt;&gt;"",0,ROUND(M627*N627,2)))</f>
        <v/>
      </c>
      <c r="P627" s="15">
        <f>IF(OR(B627="",J627&lt;&gt;""),"",IF(L627&lt;&gt;"",L627,IF(COUNTIFS(Invoices!$C$6:$C$305,C627,Invoices!$E$6:$E$305,"&lt;="&amp;B627,Invoices!$F$6:$F$305,"&gt;="&amp;B627)=1,INDEX(Invoices!$B$6:$B$305,SUMIFS(Invoices!$O$6:$O$305,Invoices!$C$6:$C$305,C627,Invoices!$E$6:$E$305,"&lt;="&amp;B627,Invoices!$F$6:$F$305,"&gt;="&amp;B627)),IF(COUNTIFS(Invoices!$C$6:$C$305,C627,Invoices!$E$6:$E$305,"&lt;="&amp;B627,Invoices!$F$6:$F$305,"&gt;="&amp;B627)&gt;1,"Two invoices",""))))</f>
        <v/>
      </c>
      <c r="Q627" s="15">
        <f>IF(B627="","",IF(J627&lt;&gt;"","Not billable",IF(P627="","To invoice",IF(P627="Two invoices","Check dates",IF(ISNA(MATCH(P627,Invoices!$B$6:$B$305,0)),"Check number",IF(INDEX(Invoices!$M$6:$M$305,MATCH(P627,Invoices!$B$6:$B$305,0))="Paid","Paid",IF(INDEX(Invoices!$M$6:$M$305,MATCH(P627,Invoices!$B$6:$B$305,0))="Draft","Draft","Invoiced")))))))</f>
        <v/>
      </c>
      <c r="R627" s="1">
        <f>IF(AND(B627&lt;&gt;"",P627&lt;&gt;"",P627=Invoice!$G$4),B627+MOD(N(F627),1)+ROW()/10000000,"")</f>
        <v/>
      </c>
      <c r="S627">
        <f>IF(R627="","",IF(D627="","Other work",D627)&amp;IF(AND(K627&lt;&gt;"",E627&lt;&gt;""),", "&amp;E627,""))</f>
        <v/>
      </c>
      <c r="T627">
        <f>IF(R627="","",IF(COUNTIFS(R$6:R626,"&gt;0",S$6:S626,S627,N$6:N626,N627)=0,R627,""))</f>
        <v/>
      </c>
      <c r="U627">
        <f>IF(B627="","",IF(J627&lt;&gt;"",0,M627))</f>
        <v/>
      </c>
    </row>
    <row r="628">
      <c r="A628" s="1" t="n"/>
      <c r="B628" s="16" t="n"/>
      <c r="C628" s="17" t="n"/>
      <c r="D628" s="18" t="n"/>
      <c r="E628" s="18" t="n"/>
      <c r="F628" s="19" t="n"/>
      <c r="G628" s="19" t="n"/>
      <c r="H628" s="20" t="n"/>
      <c r="I628" s="21" t="n"/>
      <c r="J628" s="22" t="n"/>
      <c r="K628" s="23" t="n"/>
      <c r="L628" s="18" t="n"/>
      <c r="M628" s="24">
        <f>IF(B628="","",IF(AND(F628&lt;&gt;"",G628&lt;&gt;""),MAX(0,ROUND(MOD(G628-F628,1)*24-N(H628)/60,2)),N(I628)))</f>
        <v/>
      </c>
      <c r="N628" s="14">
        <f>IF(B628="","",IF(K628&lt;&gt;"",K628,IF(N(IFERROR(INDEX(Projects!$D$6:$D$65,MATCH(D628,Projects!$B$6:$B$65,0)),""))&gt;0,IFERROR(INDEX(Projects!$D$6:$D$65,MATCH(D628,Projects!$B$6:$B$65,0)),""),IFERROR(INDEX(Clients!$G$6:$G$45,MATCH(C628,Clients!$B$6:$B$45,0)),0))))</f>
        <v/>
      </c>
      <c r="O628" s="14">
        <f>IF(B628="","",IF(J628&lt;&gt;"",0,ROUND(M628*N628,2)))</f>
        <v/>
      </c>
      <c r="P628" s="15">
        <f>IF(OR(B628="",J628&lt;&gt;""),"",IF(L628&lt;&gt;"",L628,IF(COUNTIFS(Invoices!$C$6:$C$305,C628,Invoices!$E$6:$E$305,"&lt;="&amp;B628,Invoices!$F$6:$F$305,"&gt;="&amp;B628)=1,INDEX(Invoices!$B$6:$B$305,SUMIFS(Invoices!$O$6:$O$305,Invoices!$C$6:$C$305,C628,Invoices!$E$6:$E$305,"&lt;="&amp;B628,Invoices!$F$6:$F$305,"&gt;="&amp;B628)),IF(COUNTIFS(Invoices!$C$6:$C$305,C628,Invoices!$E$6:$E$305,"&lt;="&amp;B628,Invoices!$F$6:$F$305,"&gt;="&amp;B628)&gt;1,"Two invoices",""))))</f>
        <v/>
      </c>
      <c r="Q628" s="15">
        <f>IF(B628="","",IF(J628&lt;&gt;"","Not billable",IF(P628="","To invoice",IF(P628="Two invoices","Check dates",IF(ISNA(MATCH(P628,Invoices!$B$6:$B$305,0)),"Check number",IF(INDEX(Invoices!$M$6:$M$305,MATCH(P628,Invoices!$B$6:$B$305,0))="Paid","Paid",IF(INDEX(Invoices!$M$6:$M$305,MATCH(P628,Invoices!$B$6:$B$305,0))="Draft","Draft","Invoiced")))))))</f>
        <v/>
      </c>
      <c r="R628" s="1">
        <f>IF(AND(B628&lt;&gt;"",P628&lt;&gt;"",P628=Invoice!$G$4),B628+MOD(N(F628),1)+ROW()/10000000,"")</f>
        <v/>
      </c>
      <c r="S628">
        <f>IF(R628="","",IF(D628="","Other work",D628)&amp;IF(AND(K628&lt;&gt;"",E628&lt;&gt;""),", "&amp;E628,""))</f>
        <v/>
      </c>
      <c r="T628">
        <f>IF(R628="","",IF(COUNTIFS(R$6:R627,"&gt;0",S$6:S627,S628,N$6:N627,N628)=0,R628,""))</f>
        <v/>
      </c>
      <c r="U628">
        <f>IF(B628="","",IF(J628&lt;&gt;"",0,M628))</f>
        <v/>
      </c>
    </row>
    <row r="629">
      <c r="A629" s="1" t="n"/>
      <c r="B629" s="16" t="n"/>
      <c r="C629" s="17" t="n"/>
      <c r="D629" s="18" t="n"/>
      <c r="E629" s="18" t="n"/>
      <c r="F629" s="19" t="n"/>
      <c r="G629" s="19" t="n"/>
      <c r="H629" s="20" t="n"/>
      <c r="I629" s="21" t="n"/>
      <c r="J629" s="22" t="n"/>
      <c r="K629" s="23" t="n"/>
      <c r="L629" s="18" t="n"/>
      <c r="M629" s="24">
        <f>IF(B629="","",IF(AND(F629&lt;&gt;"",G629&lt;&gt;""),MAX(0,ROUND(MOD(G629-F629,1)*24-N(H629)/60,2)),N(I629)))</f>
        <v/>
      </c>
      <c r="N629" s="14">
        <f>IF(B629="","",IF(K629&lt;&gt;"",K629,IF(N(IFERROR(INDEX(Projects!$D$6:$D$65,MATCH(D629,Projects!$B$6:$B$65,0)),""))&gt;0,IFERROR(INDEX(Projects!$D$6:$D$65,MATCH(D629,Projects!$B$6:$B$65,0)),""),IFERROR(INDEX(Clients!$G$6:$G$45,MATCH(C629,Clients!$B$6:$B$45,0)),0))))</f>
        <v/>
      </c>
      <c r="O629" s="14">
        <f>IF(B629="","",IF(J629&lt;&gt;"",0,ROUND(M629*N629,2)))</f>
        <v/>
      </c>
      <c r="P629" s="15">
        <f>IF(OR(B629="",J629&lt;&gt;""),"",IF(L629&lt;&gt;"",L629,IF(COUNTIFS(Invoices!$C$6:$C$305,C629,Invoices!$E$6:$E$305,"&lt;="&amp;B629,Invoices!$F$6:$F$305,"&gt;="&amp;B629)=1,INDEX(Invoices!$B$6:$B$305,SUMIFS(Invoices!$O$6:$O$305,Invoices!$C$6:$C$305,C629,Invoices!$E$6:$E$305,"&lt;="&amp;B629,Invoices!$F$6:$F$305,"&gt;="&amp;B629)),IF(COUNTIFS(Invoices!$C$6:$C$305,C629,Invoices!$E$6:$E$305,"&lt;="&amp;B629,Invoices!$F$6:$F$305,"&gt;="&amp;B629)&gt;1,"Two invoices",""))))</f>
        <v/>
      </c>
      <c r="Q629" s="15">
        <f>IF(B629="","",IF(J629&lt;&gt;"","Not billable",IF(P629="","To invoice",IF(P629="Two invoices","Check dates",IF(ISNA(MATCH(P629,Invoices!$B$6:$B$305,0)),"Check number",IF(INDEX(Invoices!$M$6:$M$305,MATCH(P629,Invoices!$B$6:$B$305,0))="Paid","Paid",IF(INDEX(Invoices!$M$6:$M$305,MATCH(P629,Invoices!$B$6:$B$305,0))="Draft","Draft","Invoiced")))))))</f>
        <v/>
      </c>
      <c r="R629" s="1">
        <f>IF(AND(B629&lt;&gt;"",P629&lt;&gt;"",P629=Invoice!$G$4),B629+MOD(N(F629),1)+ROW()/10000000,"")</f>
        <v/>
      </c>
      <c r="S629">
        <f>IF(R629="","",IF(D629="","Other work",D629)&amp;IF(AND(K629&lt;&gt;"",E629&lt;&gt;""),", "&amp;E629,""))</f>
        <v/>
      </c>
      <c r="T629">
        <f>IF(R629="","",IF(COUNTIFS(R$6:R628,"&gt;0",S$6:S628,S629,N$6:N628,N629)=0,R629,""))</f>
        <v/>
      </c>
      <c r="U629">
        <f>IF(B629="","",IF(J629&lt;&gt;"",0,M629))</f>
        <v/>
      </c>
    </row>
    <row r="630">
      <c r="A630" s="1" t="n"/>
      <c r="B630" s="16" t="n"/>
      <c r="C630" s="17" t="n"/>
      <c r="D630" s="18" t="n"/>
      <c r="E630" s="18" t="n"/>
      <c r="F630" s="19" t="n"/>
      <c r="G630" s="19" t="n"/>
      <c r="H630" s="20" t="n"/>
      <c r="I630" s="21" t="n"/>
      <c r="J630" s="22" t="n"/>
      <c r="K630" s="23" t="n"/>
      <c r="L630" s="18" t="n"/>
      <c r="M630" s="24">
        <f>IF(B630="","",IF(AND(F630&lt;&gt;"",G630&lt;&gt;""),MAX(0,ROUND(MOD(G630-F630,1)*24-N(H630)/60,2)),N(I630)))</f>
        <v/>
      </c>
      <c r="N630" s="14">
        <f>IF(B630="","",IF(K630&lt;&gt;"",K630,IF(N(IFERROR(INDEX(Projects!$D$6:$D$65,MATCH(D630,Projects!$B$6:$B$65,0)),""))&gt;0,IFERROR(INDEX(Projects!$D$6:$D$65,MATCH(D630,Projects!$B$6:$B$65,0)),""),IFERROR(INDEX(Clients!$G$6:$G$45,MATCH(C630,Clients!$B$6:$B$45,0)),0))))</f>
        <v/>
      </c>
      <c r="O630" s="14">
        <f>IF(B630="","",IF(J630&lt;&gt;"",0,ROUND(M630*N630,2)))</f>
        <v/>
      </c>
      <c r="P630" s="15">
        <f>IF(OR(B630="",J630&lt;&gt;""),"",IF(L630&lt;&gt;"",L630,IF(COUNTIFS(Invoices!$C$6:$C$305,C630,Invoices!$E$6:$E$305,"&lt;="&amp;B630,Invoices!$F$6:$F$305,"&gt;="&amp;B630)=1,INDEX(Invoices!$B$6:$B$305,SUMIFS(Invoices!$O$6:$O$305,Invoices!$C$6:$C$305,C630,Invoices!$E$6:$E$305,"&lt;="&amp;B630,Invoices!$F$6:$F$305,"&gt;="&amp;B630)),IF(COUNTIFS(Invoices!$C$6:$C$305,C630,Invoices!$E$6:$E$305,"&lt;="&amp;B630,Invoices!$F$6:$F$305,"&gt;="&amp;B630)&gt;1,"Two invoices",""))))</f>
        <v/>
      </c>
      <c r="Q630" s="15">
        <f>IF(B630="","",IF(J630&lt;&gt;"","Not billable",IF(P630="","To invoice",IF(P630="Two invoices","Check dates",IF(ISNA(MATCH(P630,Invoices!$B$6:$B$305,0)),"Check number",IF(INDEX(Invoices!$M$6:$M$305,MATCH(P630,Invoices!$B$6:$B$305,0))="Paid","Paid",IF(INDEX(Invoices!$M$6:$M$305,MATCH(P630,Invoices!$B$6:$B$305,0))="Draft","Draft","Invoiced")))))))</f>
        <v/>
      </c>
      <c r="R630" s="1">
        <f>IF(AND(B630&lt;&gt;"",P630&lt;&gt;"",P630=Invoice!$G$4),B630+MOD(N(F630),1)+ROW()/10000000,"")</f>
        <v/>
      </c>
      <c r="S630">
        <f>IF(R630="","",IF(D630="","Other work",D630)&amp;IF(AND(K630&lt;&gt;"",E630&lt;&gt;""),", "&amp;E630,""))</f>
        <v/>
      </c>
      <c r="T630">
        <f>IF(R630="","",IF(COUNTIFS(R$6:R629,"&gt;0",S$6:S629,S630,N$6:N629,N630)=0,R630,""))</f>
        <v/>
      </c>
      <c r="U630">
        <f>IF(B630="","",IF(J630&lt;&gt;"",0,M630))</f>
        <v/>
      </c>
    </row>
    <row r="631">
      <c r="A631" s="1" t="n"/>
      <c r="B631" s="16" t="n"/>
      <c r="C631" s="17" t="n"/>
      <c r="D631" s="18" t="n"/>
      <c r="E631" s="18" t="n"/>
      <c r="F631" s="19" t="n"/>
      <c r="G631" s="19" t="n"/>
      <c r="H631" s="20" t="n"/>
      <c r="I631" s="21" t="n"/>
      <c r="J631" s="22" t="n"/>
      <c r="K631" s="23" t="n"/>
      <c r="L631" s="18" t="n"/>
      <c r="M631" s="24">
        <f>IF(B631="","",IF(AND(F631&lt;&gt;"",G631&lt;&gt;""),MAX(0,ROUND(MOD(G631-F631,1)*24-N(H631)/60,2)),N(I631)))</f>
        <v/>
      </c>
      <c r="N631" s="14">
        <f>IF(B631="","",IF(K631&lt;&gt;"",K631,IF(N(IFERROR(INDEX(Projects!$D$6:$D$65,MATCH(D631,Projects!$B$6:$B$65,0)),""))&gt;0,IFERROR(INDEX(Projects!$D$6:$D$65,MATCH(D631,Projects!$B$6:$B$65,0)),""),IFERROR(INDEX(Clients!$G$6:$G$45,MATCH(C631,Clients!$B$6:$B$45,0)),0))))</f>
        <v/>
      </c>
      <c r="O631" s="14">
        <f>IF(B631="","",IF(J631&lt;&gt;"",0,ROUND(M631*N631,2)))</f>
        <v/>
      </c>
      <c r="P631" s="15">
        <f>IF(OR(B631="",J631&lt;&gt;""),"",IF(L631&lt;&gt;"",L631,IF(COUNTIFS(Invoices!$C$6:$C$305,C631,Invoices!$E$6:$E$305,"&lt;="&amp;B631,Invoices!$F$6:$F$305,"&gt;="&amp;B631)=1,INDEX(Invoices!$B$6:$B$305,SUMIFS(Invoices!$O$6:$O$305,Invoices!$C$6:$C$305,C631,Invoices!$E$6:$E$305,"&lt;="&amp;B631,Invoices!$F$6:$F$305,"&gt;="&amp;B631)),IF(COUNTIFS(Invoices!$C$6:$C$305,C631,Invoices!$E$6:$E$305,"&lt;="&amp;B631,Invoices!$F$6:$F$305,"&gt;="&amp;B631)&gt;1,"Two invoices",""))))</f>
        <v/>
      </c>
      <c r="Q631" s="15">
        <f>IF(B631="","",IF(J631&lt;&gt;"","Not billable",IF(P631="","To invoice",IF(P631="Two invoices","Check dates",IF(ISNA(MATCH(P631,Invoices!$B$6:$B$305,0)),"Check number",IF(INDEX(Invoices!$M$6:$M$305,MATCH(P631,Invoices!$B$6:$B$305,0))="Paid","Paid",IF(INDEX(Invoices!$M$6:$M$305,MATCH(P631,Invoices!$B$6:$B$305,0))="Draft","Draft","Invoiced")))))))</f>
        <v/>
      </c>
      <c r="R631" s="1">
        <f>IF(AND(B631&lt;&gt;"",P631&lt;&gt;"",P631=Invoice!$G$4),B631+MOD(N(F631),1)+ROW()/10000000,"")</f>
        <v/>
      </c>
      <c r="S631">
        <f>IF(R631="","",IF(D631="","Other work",D631)&amp;IF(AND(K631&lt;&gt;"",E631&lt;&gt;""),", "&amp;E631,""))</f>
        <v/>
      </c>
      <c r="T631">
        <f>IF(R631="","",IF(COUNTIFS(R$6:R630,"&gt;0",S$6:S630,S631,N$6:N630,N631)=0,R631,""))</f>
        <v/>
      </c>
      <c r="U631">
        <f>IF(B631="","",IF(J631&lt;&gt;"",0,M631))</f>
        <v/>
      </c>
    </row>
    <row r="632">
      <c r="A632" s="1" t="n"/>
      <c r="B632" s="16" t="n"/>
      <c r="C632" s="17" t="n"/>
      <c r="D632" s="18" t="n"/>
      <c r="E632" s="18" t="n"/>
      <c r="F632" s="19" t="n"/>
      <c r="G632" s="19" t="n"/>
      <c r="H632" s="20" t="n"/>
      <c r="I632" s="21" t="n"/>
      <c r="J632" s="22" t="n"/>
      <c r="K632" s="23" t="n"/>
      <c r="L632" s="18" t="n"/>
      <c r="M632" s="24">
        <f>IF(B632="","",IF(AND(F632&lt;&gt;"",G632&lt;&gt;""),MAX(0,ROUND(MOD(G632-F632,1)*24-N(H632)/60,2)),N(I632)))</f>
        <v/>
      </c>
      <c r="N632" s="14">
        <f>IF(B632="","",IF(K632&lt;&gt;"",K632,IF(N(IFERROR(INDEX(Projects!$D$6:$D$65,MATCH(D632,Projects!$B$6:$B$65,0)),""))&gt;0,IFERROR(INDEX(Projects!$D$6:$D$65,MATCH(D632,Projects!$B$6:$B$65,0)),""),IFERROR(INDEX(Clients!$G$6:$G$45,MATCH(C632,Clients!$B$6:$B$45,0)),0))))</f>
        <v/>
      </c>
      <c r="O632" s="14">
        <f>IF(B632="","",IF(J632&lt;&gt;"",0,ROUND(M632*N632,2)))</f>
        <v/>
      </c>
      <c r="P632" s="15">
        <f>IF(OR(B632="",J632&lt;&gt;""),"",IF(L632&lt;&gt;"",L632,IF(COUNTIFS(Invoices!$C$6:$C$305,C632,Invoices!$E$6:$E$305,"&lt;="&amp;B632,Invoices!$F$6:$F$305,"&gt;="&amp;B632)=1,INDEX(Invoices!$B$6:$B$305,SUMIFS(Invoices!$O$6:$O$305,Invoices!$C$6:$C$305,C632,Invoices!$E$6:$E$305,"&lt;="&amp;B632,Invoices!$F$6:$F$305,"&gt;="&amp;B632)),IF(COUNTIFS(Invoices!$C$6:$C$305,C632,Invoices!$E$6:$E$305,"&lt;="&amp;B632,Invoices!$F$6:$F$305,"&gt;="&amp;B632)&gt;1,"Two invoices",""))))</f>
        <v/>
      </c>
      <c r="Q632" s="15">
        <f>IF(B632="","",IF(J632&lt;&gt;"","Not billable",IF(P632="","To invoice",IF(P632="Two invoices","Check dates",IF(ISNA(MATCH(P632,Invoices!$B$6:$B$305,0)),"Check number",IF(INDEX(Invoices!$M$6:$M$305,MATCH(P632,Invoices!$B$6:$B$305,0))="Paid","Paid",IF(INDEX(Invoices!$M$6:$M$305,MATCH(P632,Invoices!$B$6:$B$305,0))="Draft","Draft","Invoiced")))))))</f>
        <v/>
      </c>
      <c r="R632" s="1">
        <f>IF(AND(B632&lt;&gt;"",P632&lt;&gt;"",P632=Invoice!$G$4),B632+MOD(N(F632),1)+ROW()/10000000,"")</f>
        <v/>
      </c>
      <c r="S632">
        <f>IF(R632="","",IF(D632="","Other work",D632)&amp;IF(AND(K632&lt;&gt;"",E632&lt;&gt;""),", "&amp;E632,""))</f>
        <v/>
      </c>
      <c r="T632">
        <f>IF(R632="","",IF(COUNTIFS(R$6:R631,"&gt;0",S$6:S631,S632,N$6:N631,N632)=0,R632,""))</f>
        <v/>
      </c>
      <c r="U632">
        <f>IF(B632="","",IF(J632&lt;&gt;"",0,M632))</f>
        <v/>
      </c>
    </row>
    <row r="633">
      <c r="A633" s="1" t="n"/>
      <c r="B633" s="16" t="n"/>
      <c r="C633" s="17" t="n"/>
      <c r="D633" s="18" t="n"/>
      <c r="E633" s="18" t="n"/>
      <c r="F633" s="19" t="n"/>
      <c r="G633" s="19" t="n"/>
      <c r="H633" s="20" t="n"/>
      <c r="I633" s="21" t="n"/>
      <c r="J633" s="22" t="n"/>
      <c r="K633" s="23" t="n"/>
      <c r="L633" s="18" t="n"/>
      <c r="M633" s="24">
        <f>IF(B633="","",IF(AND(F633&lt;&gt;"",G633&lt;&gt;""),MAX(0,ROUND(MOD(G633-F633,1)*24-N(H633)/60,2)),N(I633)))</f>
        <v/>
      </c>
      <c r="N633" s="14">
        <f>IF(B633="","",IF(K633&lt;&gt;"",K633,IF(N(IFERROR(INDEX(Projects!$D$6:$D$65,MATCH(D633,Projects!$B$6:$B$65,0)),""))&gt;0,IFERROR(INDEX(Projects!$D$6:$D$65,MATCH(D633,Projects!$B$6:$B$65,0)),""),IFERROR(INDEX(Clients!$G$6:$G$45,MATCH(C633,Clients!$B$6:$B$45,0)),0))))</f>
        <v/>
      </c>
      <c r="O633" s="14">
        <f>IF(B633="","",IF(J633&lt;&gt;"",0,ROUND(M633*N633,2)))</f>
        <v/>
      </c>
      <c r="P633" s="15">
        <f>IF(OR(B633="",J633&lt;&gt;""),"",IF(L633&lt;&gt;"",L633,IF(COUNTIFS(Invoices!$C$6:$C$305,C633,Invoices!$E$6:$E$305,"&lt;="&amp;B633,Invoices!$F$6:$F$305,"&gt;="&amp;B633)=1,INDEX(Invoices!$B$6:$B$305,SUMIFS(Invoices!$O$6:$O$305,Invoices!$C$6:$C$305,C633,Invoices!$E$6:$E$305,"&lt;="&amp;B633,Invoices!$F$6:$F$305,"&gt;="&amp;B633)),IF(COUNTIFS(Invoices!$C$6:$C$305,C633,Invoices!$E$6:$E$305,"&lt;="&amp;B633,Invoices!$F$6:$F$305,"&gt;="&amp;B633)&gt;1,"Two invoices",""))))</f>
        <v/>
      </c>
      <c r="Q633" s="15">
        <f>IF(B633="","",IF(J633&lt;&gt;"","Not billable",IF(P633="","To invoice",IF(P633="Two invoices","Check dates",IF(ISNA(MATCH(P633,Invoices!$B$6:$B$305,0)),"Check number",IF(INDEX(Invoices!$M$6:$M$305,MATCH(P633,Invoices!$B$6:$B$305,0))="Paid","Paid",IF(INDEX(Invoices!$M$6:$M$305,MATCH(P633,Invoices!$B$6:$B$305,0))="Draft","Draft","Invoiced")))))))</f>
        <v/>
      </c>
      <c r="R633" s="1">
        <f>IF(AND(B633&lt;&gt;"",P633&lt;&gt;"",P633=Invoice!$G$4),B633+MOD(N(F633),1)+ROW()/10000000,"")</f>
        <v/>
      </c>
      <c r="S633">
        <f>IF(R633="","",IF(D633="","Other work",D633)&amp;IF(AND(K633&lt;&gt;"",E633&lt;&gt;""),", "&amp;E633,""))</f>
        <v/>
      </c>
      <c r="T633">
        <f>IF(R633="","",IF(COUNTIFS(R$6:R632,"&gt;0",S$6:S632,S633,N$6:N632,N633)=0,R633,""))</f>
        <v/>
      </c>
      <c r="U633">
        <f>IF(B633="","",IF(J633&lt;&gt;"",0,M633))</f>
        <v/>
      </c>
    </row>
    <row r="634">
      <c r="A634" s="1" t="n"/>
      <c r="B634" s="16" t="n"/>
      <c r="C634" s="17" t="n"/>
      <c r="D634" s="18" t="n"/>
      <c r="E634" s="18" t="n"/>
      <c r="F634" s="19" t="n"/>
      <c r="G634" s="19" t="n"/>
      <c r="H634" s="20" t="n"/>
      <c r="I634" s="21" t="n"/>
      <c r="J634" s="22" t="n"/>
      <c r="K634" s="23" t="n"/>
      <c r="L634" s="18" t="n"/>
      <c r="M634" s="24">
        <f>IF(B634="","",IF(AND(F634&lt;&gt;"",G634&lt;&gt;""),MAX(0,ROUND(MOD(G634-F634,1)*24-N(H634)/60,2)),N(I634)))</f>
        <v/>
      </c>
      <c r="N634" s="14">
        <f>IF(B634="","",IF(K634&lt;&gt;"",K634,IF(N(IFERROR(INDEX(Projects!$D$6:$D$65,MATCH(D634,Projects!$B$6:$B$65,0)),""))&gt;0,IFERROR(INDEX(Projects!$D$6:$D$65,MATCH(D634,Projects!$B$6:$B$65,0)),""),IFERROR(INDEX(Clients!$G$6:$G$45,MATCH(C634,Clients!$B$6:$B$45,0)),0))))</f>
        <v/>
      </c>
      <c r="O634" s="14">
        <f>IF(B634="","",IF(J634&lt;&gt;"",0,ROUND(M634*N634,2)))</f>
        <v/>
      </c>
      <c r="P634" s="15">
        <f>IF(OR(B634="",J634&lt;&gt;""),"",IF(L634&lt;&gt;"",L634,IF(COUNTIFS(Invoices!$C$6:$C$305,C634,Invoices!$E$6:$E$305,"&lt;="&amp;B634,Invoices!$F$6:$F$305,"&gt;="&amp;B634)=1,INDEX(Invoices!$B$6:$B$305,SUMIFS(Invoices!$O$6:$O$305,Invoices!$C$6:$C$305,C634,Invoices!$E$6:$E$305,"&lt;="&amp;B634,Invoices!$F$6:$F$305,"&gt;="&amp;B634)),IF(COUNTIFS(Invoices!$C$6:$C$305,C634,Invoices!$E$6:$E$305,"&lt;="&amp;B634,Invoices!$F$6:$F$305,"&gt;="&amp;B634)&gt;1,"Two invoices",""))))</f>
        <v/>
      </c>
      <c r="Q634" s="15">
        <f>IF(B634="","",IF(J634&lt;&gt;"","Not billable",IF(P634="","To invoice",IF(P634="Two invoices","Check dates",IF(ISNA(MATCH(P634,Invoices!$B$6:$B$305,0)),"Check number",IF(INDEX(Invoices!$M$6:$M$305,MATCH(P634,Invoices!$B$6:$B$305,0))="Paid","Paid",IF(INDEX(Invoices!$M$6:$M$305,MATCH(P634,Invoices!$B$6:$B$305,0))="Draft","Draft","Invoiced")))))))</f>
        <v/>
      </c>
      <c r="R634" s="1">
        <f>IF(AND(B634&lt;&gt;"",P634&lt;&gt;"",P634=Invoice!$G$4),B634+MOD(N(F634),1)+ROW()/10000000,"")</f>
        <v/>
      </c>
      <c r="S634">
        <f>IF(R634="","",IF(D634="","Other work",D634)&amp;IF(AND(K634&lt;&gt;"",E634&lt;&gt;""),", "&amp;E634,""))</f>
        <v/>
      </c>
      <c r="T634">
        <f>IF(R634="","",IF(COUNTIFS(R$6:R633,"&gt;0",S$6:S633,S634,N$6:N633,N634)=0,R634,""))</f>
        <v/>
      </c>
      <c r="U634">
        <f>IF(B634="","",IF(J634&lt;&gt;"",0,M634))</f>
        <v/>
      </c>
    </row>
    <row r="635">
      <c r="A635" s="1" t="n"/>
      <c r="B635" s="16" t="n"/>
      <c r="C635" s="17" t="n"/>
      <c r="D635" s="18" t="n"/>
      <c r="E635" s="18" t="n"/>
      <c r="F635" s="19" t="n"/>
      <c r="G635" s="19" t="n"/>
      <c r="H635" s="20" t="n"/>
      <c r="I635" s="21" t="n"/>
      <c r="J635" s="22" t="n"/>
      <c r="K635" s="23" t="n"/>
      <c r="L635" s="18" t="n"/>
      <c r="M635" s="24">
        <f>IF(B635="","",IF(AND(F635&lt;&gt;"",G635&lt;&gt;""),MAX(0,ROUND(MOD(G635-F635,1)*24-N(H635)/60,2)),N(I635)))</f>
        <v/>
      </c>
      <c r="N635" s="14">
        <f>IF(B635="","",IF(K635&lt;&gt;"",K635,IF(N(IFERROR(INDEX(Projects!$D$6:$D$65,MATCH(D635,Projects!$B$6:$B$65,0)),""))&gt;0,IFERROR(INDEX(Projects!$D$6:$D$65,MATCH(D635,Projects!$B$6:$B$65,0)),""),IFERROR(INDEX(Clients!$G$6:$G$45,MATCH(C635,Clients!$B$6:$B$45,0)),0))))</f>
        <v/>
      </c>
      <c r="O635" s="14">
        <f>IF(B635="","",IF(J635&lt;&gt;"",0,ROUND(M635*N635,2)))</f>
        <v/>
      </c>
      <c r="P635" s="15">
        <f>IF(OR(B635="",J635&lt;&gt;""),"",IF(L635&lt;&gt;"",L635,IF(COUNTIFS(Invoices!$C$6:$C$305,C635,Invoices!$E$6:$E$305,"&lt;="&amp;B635,Invoices!$F$6:$F$305,"&gt;="&amp;B635)=1,INDEX(Invoices!$B$6:$B$305,SUMIFS(Invoices!$O$6:$O$305,Invoices!$C$6:$C$305,C635,Invoices!$E$6:$E$305,"&lt;="&amp;B635,Invoices!$F$6:$F$305,"&gt;="&amp;B635)),IF(COUNTIFS(Invoices!$C$6:$C$305,C635,Invoices!$E$6:$E$305,"&lt;="&amp;B635,Invoices!$F$6:$F$305,"&gt;="&amp;B635)&gt;1,"Two invoices",""))))</f>
        <v/>
      </c>
      <c r="Q635" s="15">
        <f>IF(B635="","",IF(J635&lt;&gt;"","Not billable",IF(P635="","To invoice",IF(P635="Two invoices","Check dates",IF(ISNA(MATCH(P635,Invoices!$B$6:$B$305,0)),"Check number",IF(INDEX(Invoices!$M$6:$M$305,MATCH(P635,Invoices!$B$6:$B$305,0))="Paid","Paid",IF(INDEX(Invoices!$M$6:$M$305,MATCH(P635,Invoices!$B$6:$B$305,0))="Draft","Draft","Invoiced")))))))</f>
        <v/>
      </c>
      <c r="R635" s="1">
        <f>IF(AND(B635&lt;&gt;"",P635&lt;&gt;"",P635=Invoice!$G$4),B635+MOD(N(F635),1)+ROW()/10000000,"")</f>
        <v/>
      </c>
      <c r="S635">
        <f>IF(R635="","",IF(D635="","Other work",D635)&amp;IF(AND(K635&lt;&gt;"",E635&lt;&gt;""),", "&amp;E635,""))</f>
        <v/>
      </c>
      <c r="T635">
        <f>IF(R635="","",IF(COUNTIFS(R$6:R634,"&gt;0",S$6:S634,S635,N$6:N634,N635)=0,R635,""))</f>
        <v/>
      </c>
      <c r="U635">
        <f>IF(B635="","",IF(J635&lt;&gt;"",0,M635))</f>
        <v/>
      </c>
    </row>
    <row r="636">
      <c r="A636" s="1" t="n"/>
      <c r="B636" s="16" t="n"/>
      <c r="C636" s="17" t="n"/>
      <c r="D636" s="18" t="n"/>
      <c r="E636" s="18" t="n"/>
      <c r="F636" s="19" t="n"/>
      <c r="G636" s="19" t="n"/>
      <c r="H636" s="20" t="n"/>
      <c r="I636" s="21" t="n"/>
      <c r="J636" s="22" t="n"/>
      <c r="K636" s="23" t="n"/>
      <c r="L636" s="18" t="n"/>
      <c r="M636" s="24">
        <f>IF(B636="","",IF(AND(F636&lt;&gt;"",G636&lt;&gt;""),MAX(0,ROUND(MOD(G636-F636,1)*24-N(H636)/60,2)),N(I636)))</f>
        <v/>
      </c>
      <c r="N636" s="14">
        <f>IF(B636="","",IF(K636&lt;&gt;"",K636,IF(N(IFERROR(INDEX(Projects!$D$6:$D$65,MATCH(D636,Projects!$B$6:$B$65,0)),""))&gt;0,IFERROR(INDEX(Projects!$D$6:$D$65,MATCH(D636,Projects!$B$6:$B$65,0)),""),IFERROR(INDEX(Clients!$G$6:$G$45,MATCH(C636,Clients!$B$6:$B$45,0)),0))))</f>
        <v/>
      </c>
      <c r="O636" s="14">
        <f>IF(B636="","",IF(J636&lt;&gt;"",0,ROUND(M636*N636,2)))</f>
        <v/>
      </c>
      <c r="P636" s="15">
        <f>IF(OR(B636="",J636&lt;&gt;""),"",IF(L636&lt;&gt;"",L636,IF(COUNTIFS(Invoices!$C$6:$C$305,C636,Invoices!$E$6:$E$305,"&lt;="&amp;B636,Invoices!$F$6:$F$305,"&gt;="&amp;B636)=1,INDEX(Invoices!$B$6:$B$305,SUMIFS(Invoices!$O$6:$O$305,Invoices!$C$6:$C$305,C636,Invoices!$E$6:$E$305,"&lt;="&amp;B636,Invoices!$F$6:$F$305,"&gt;="&amp;B636)),IF(COUNTIFS(Invoices!$C$6:$C$305,C636,Invoices!$E$6:$E$305,"&lt;="&amp;B636,Invoices!$F$6:$F$305,"&gt;="&amp;B636)&gt;1,"Two invoices",""))))</f>
        <v/>
      </c>
      <c r="Q636" s="15">
        <f>IF(B636="","",IF(J636&lt;&gt;"","Not billable",IF(P636="","To invoice",IF(P636="Two invoices","Check dates",IF(ISNA(MATCH(P636,Invoices!$B$6:$B$305,0)),"Check number",IF(INDEX(Invoices!$M$6:$M$305,MATCH(P636,Invoices!$B$6:$B$305,0))="Paid","Paid",IF(INDEX(Invoices!$M$6:$M$305,MATCH(P636,Invoices!$B$6:$B$305,0))="Draft","Draft","Invoiced")))))))</f>
        <v/>
      </c>
      <c r="R636" s="1">
        <f>IF(AND(B636&lt;&gt;"",P636&lt;&gt;"",P636=Invoice!$G$4),B636+MOD(N(F636),1)+ROW()/10000000,"")</f>
        <v/>
      </c>
      <c r="S636">
        <f>IF(R636="","",IF(D636="","Other work",D636)&amp;IF(AND(K636&lt;&gt;"",E636&lt;&gt;""),", "&amp;E636,""))</f>
        <v/>
      </c>
      <c r="T636">
        <f>IF(R636="","",IF(COUNTIFS(R$6:R635,"&gt;0",S$6:S635,S636,N$6:N635,N636)=0,R636,""))</f>
        <v/>
      </c>
      <c r="U636">
        <f>IF(B636="","",IF(J636&lt;&gt;"",0,M636))</f>
        <v/>
      </c>
    </row>
    <row r="637">
      <c r="A637" s="1" t="n"/>
      <c r="B637" s="16" t="n"/>
      <c r="C637" s="17" t="n"/>
      <c r="D637" s="18" t="n"/>
      <c r="E637" s="18" t="n"/>
      <c r="F637" s="19" t="n"/>
      <c r="G637" s="19" t="n"/>
      <c r="H637" s="20" t="n"/>
      <c r="I637" s="21" t="n"/>
      <c r="J637" s="22" t="n"/>
      <c r="K637" s="23" t="n"/>
      <c r="L637" s="18" t="n"/>
      <c r="M637" s="24">
        <f>IF(B637="","",IF(AND(F637&lt;&gt;"",G637&lt;&gt;""),MAX(0,ROUND(MOD(G637-F637,1)*24-N(H637)/60,2)),N(I637)))</f>
        <v/>
      </c>
      <c r="N637" s="14">
        <f>IF(B637="","",IF(K637&lt;&gt;"",K637,IF(N(IFERROR(INDEX(Projects!$D$6:$D$65,MATCH(D637,Projects!$B$6:$B$65,0)),""))&gt;0,IFERROR(INDEX(Projects!$D$6:$D$65,MATCH(D637,Projects!$B$6:$B$65,0)),""),IFERROR(INDEX(Clients!$G$6:$G$45,MATCH(C637,Clients!$B$6:$B$45,0)),0))))</f>
        <v/>
      </c>
      <c r="O637" s="14">
        <f>IF(B637="","",IF(J637&lt;&gt;"",0,ROUND(M637*N637,2)))</f>
        <v/>
      </c>
      <c r="P637" s="15">
        <f>IF(OR(B637="",J637&lt;&gt;""),"",IF(L637&lt;&gt;"",L637,IF(COUNTIFS(Invoices!$C$6:$C$305,C637,Invoices!$E$6:$E$305,"&lt;="&amp;B637,Invoices!$F$6:$F$305,"&gt;="&amp;B637)=1,INDEX(Invoices!$B$6:$B$305,SUMIFS(Invoices!$O$6:$O$305,Invoices!$C$6:$C$305,C637,Invoices!$E$6:$E$305,"&lt;="&amp;B637,Invoices!$F$6:$F$305,"&gt;="&amp;B637)),IF(COUNTIFS(Invoices!$C$6:$C$305,C637,Invoices!$E$6:$E$305,"&lt;="&amp;B637,Invoices!$F$6:$F$305,"&gt;="&amp;B637)&gt;1,"Two invoices",""))))</f>
        <v/>
      </c>
      <c r="Q637" s="15">
        <f>IF(B637="","",IF(J637&lt;&gt;"","Not billable",IF(P637="","To invoice",IF(P637="Two invoices","Check dates",IF(ISNA(MATCH(P637,Invoices!$B$6:$B$305,0)),"Check number",IF(INDEX(Invoices!$M$6:$M$305,MATCH(P637,Invoices!$B$6:$B$305,0))="Paid","Paid",IF(INDEX(Invoices!$M$6:$M$305,MATCH(P637,Invoices!$B$6:$B$305,0))="Draft","Draft","Invoiced")))))))</f>
        <v/>
      </c>
      <c r="R637" s="1">
        <f>IF(AND(B637&lt;&gt;"",P637&lt;&gt;"",P637=Invoice!$G$4),B637+MOD(N(F637),1)+ROW()/10000000,"")</f>
        <v/>
      </c>
      <c r="S637">
        <f>IF(R637="","",IF(D637="","Other work",D637)&amp;IF(AND(K637&lt;&gt;"",E637&lt;&gt;""),", "&amp;E637,""))</f>
        <v/>
      </c>
      <c r="T637">
        <f>IF(R637="","",IF(COUNTIFS(R$6:R636,"&gt;0",S$6:S636,S637,N$6:N636,N637)=0,R637,""))</f>
        <v/>
      </c>
      <c r="U637">
        <f>IF(B637="","",IF(J637&lt;&gt;"",0,M637))</f>
        <v/>
      </c>
    </row>
    <row r="638">
      <c r="A638" s="1" t="n"/>
      <c r="B638" s="16" t="n"/>
      <c r="C638" s="17" t="n"/>
      <c r="D638" s="18" t="n"/>
      <c r="E638" s="18" t="n"/>
      <c r="F638" s="19" t="n"/>
      <c r="G638" s="19" t="n"/>
      <c r="H638" s="20" t="n"/>
      <c r="I638" s="21" t="n"/>
      <c r="J638" s="22" t="n"/>
      <c r="K638" s="23" t="n"/>
      <c r="L638" s="18" t="n"/>
      <c r="M638" s="24">
        <f>IF(B638="","",IF(AND(F638&lt;&gt;"",G638&lt;&gt;""),MAX(0,ROUND(MOD(G638-F638,1)*24-N(H638)/60,2)),N(I638)))</f>
        <v/>
      </c>
      <c r="N638" s="14">
        <f>IF(B638="","",IF(K638&lt;&gt;"",K638,IF(N(IFERROR(INDEX(Projects!$D$6:$D$65,MATCH(D638,Projects!$B$6:$B$65,0)),""))&gt;0,IFERROR(INDEX(Projects!$D$6:$D$65,MATCH(D638,Projects!$B$6:$B$65,0)),""),IFERROR(INDEX(Clients!$G$6:$G$45,MATCH(C638,Clients!$B$6:$B$45,0)),0))))</f>
        <v/>
      </c>
      <c r="O638" s="14">
        <f>IF(B638="","",IF(J638&lt;&gt;"",0,ROUND(M638*N638,2)))</f>
        <v/>
      </c>
      <c r="P638" s="15">
        <f>IF(OR(B638="",J638&lt;&gt;""),"",IF(L638&lt;&gt;"",L638,IF(COUNTIFS(Invoices!$C$6:$C$305,C638,Invoices!$E$6:$E$305,"&lt;="&amp;B638,Invoices!$F$6:$F$305,"&gt;="&amp;B638)=1,INDEX(Invoices!$B$6:$B$305,SUMIFS(Invoices!$O$6:$O$305,Invoices!$C$6:$C$305,C638,Invoices!$E$6:$E$305,"&lt;="&amp;B638,Invoices!$F$6:$F$305,"&gt;="&amp;B638)),IF(COUNTIFS(Invoices!$C$6:$C$305,C638,Invoices!$E$6:$E$305,"&lt;="&amp;B638,Invoices!$F$6:$F$305,"&gt;="&amp;B638)&gt;1,"Two invoices",""))))</f>
        <v/>
      </c>
      <c r="Q638" s="15">
        <f>IF(B638="","",IF(J638&lt;&gt;"","Not billable",IF(P638="","To invoice",IF(P638="Two invoices","Check dates",IF(ISNA(MATCH(P638,Invoices!$B$6:$B$305,0)),"Check number",IF(INDEX(Invoices!$M$6:$M$305,MATCH(P638,Invoices!$B$6:$B$305,0))="Paid","Paid",IF(INDEX(Invoices!$M$6:$M$305,MATCH(P638,Invoices!$B$6:$B$305,0))="Draft","Draft","Invoiced")))))))</f>
        <v/>
      </c>
      <c r="R638" s="1">
        <f>IF(AND(B638&lt;&gt;"",P638&lt;&gt;"",P638=Invoice!$G$4),B638+MOD(N(F638),1)+ROW()/10000000,"")</f>
        <v/>
      </c>
      <c r="S638">
        <f>IF(R638="","",IF(D638="","Other work",D638)&amp;IF(AND(K638&lt;&gt;"",E638&lt;&gt;""),", "&amp;E638,""))</f>
        <v/>
      </c>
      <c r="T638">
        <f>IF(R638="","",IF(COUNTIFS(R$6:R637,"&gt;0",S$6:S637,S638,N$6:N637,N638)=0,R638,""))</f>
        <v/>
      </c>
      <c r="U638">
        <f>IF(B638="","",IF(J638&lt;&gt;"",0,M638))</f>
        <v/>
      </c>
    </row>
    <row r="639">
      <c r="A639" s="1" t="n"/>
      <c r="B639" s="16" t="n"/>
      <c r="C639" s="17" t="n"/>
      <c r="D639" s="18" t="n"/>
      <c r="E639" s="18" t="n"/>
      <c r="F639" s="19" t="n"/>
      <c r="G639" s="19" t="n"/>
      <c r="H639" s="20" t="n"/>
      <c r="I639" s="21" t="n"/>
      <c r="J639" s="22" t="n"/>
      <c r="K639" s="23" t="n"/>
      <c r="L639" s="18" t="n"/>
      <c r="M639" s="24">
        <f>IF(B639="","",IF(AND(F639&lt;&gt;"",G639&lt;&gt;""),MAX(0,ROUND(MOD(G639-F639,1)*24-N(H639)/60,2)),N(I639)))</f>
        <v/>
      </c>
      <c r="N639" s="14">
        <f>IF(B639="","",IF(K639&lt;&gt;"",K639,IF(N(IFERROR(INDEX(Projects!$D$6:$D$65,MATCH(D639,Projects!$B$6:$B$65,0)),""))&gt;0,IFERROR(INDEX(Projects!$D$6:$D$65,MATCH(D639,Projects!$B$6:$B$65,0)),""),IFERROR(INDEX(Clients!$G$6:$G$45,MATCH(C639,Clients!$B$6:$B$45,0)),0))))</f>
        <v/>
      </c>
      <c r="O639" s="14">
        <f>IF(B639="","",IF(J639&lt;&gt;"",0,ROUND(M639*N639,2)))</f>
        <v/>
      </c>
      <c r="P639" s="15">
        <f>IF(OR(B639="",J639&lt;&gt;""),"",IF(L639&lt;&gt;"",L639,IF(COUNTIFS(Invoices!$C$6:$C$305,C639,Invoices!$E$6:$E$305,"&lt;="&amp;B639,Invoices!$F$6:$F$305,"&gt;="&amp;B639)=1,INDEX(Invoices!$B$6:$B$305,SUMIFS(Invoices!$O$6:$O$305,Invoices!$C$6:$C$305,C639,Invoices!$E$6:$E$305,"&lt;="&amp;B639,Invoices!$F$6:$F$305,"&gt;="&amp;B639)),IF(COUNTIFS(Invoices!$C$6:$C$305,C639,Invoices!$E$6:$E$305,"&lt;="&amp;B639,Invoices!$F$6:$F$305,"&gt;="&amp;B639)&gt;1,"Two invoices",""))))</f>
        <v/>
      </c>
      <c r="Q639" s="15">
        <f>IF(B639="","",IF(J639&lt;&gt;"","Not billable",IF(P639="","To invoice",IF(P639="Two invoices","Check dates",IF(ISNA(MATCH(P639,Invoices!$B$6:$B$305,0)),"Check number",IF(INDEX(Invoices!$M$6:$M$305,MATCH(P639,Invoices!$B$6:$B$305,0))="Paid","Paid",IF(INDEX(Invoices!$M$6:$M$305,MATCH(P639,Invoices!$B$6:$B$305,0))="Draft","Draft","Invoiced")))))))</f>
        <v/>
      </c>
      <c r="R639" s="1">
        <f>IF(AND(B639&lt;&gt;"",P639&lt;&gt;"",P639=Invoice!$G$4),B639+MOD(N(F639),1)+ROW()/10000000,"")</f>
        <v/>
      </c>
      <c r="S639">
        <f>IF(R639="","",IF(D639="","Other work",D639)&amp;IF(AND(K639&lt;&gt;"",E639&lt;&gt;""),", "&amp;E639,""))</f>
        <v/>
      </c>
      <c r="T639">
        <f>IF(R639="","",IF(COUNTIFS(R$6:R638,"&gt;0",S$6:S638,S639,N$6:N638,N639)=0,R639,""))</f>
        <v/>
      </c>
      <c r="U639">
        <f>IF(B639="","",IF(J639&lt;&gt;"",0,M639))</f>
        <v/>
      </c>
    </row>
    <row r="640">
      <c r="A640" s="1" t="n"/>
      <c r="B640" s="16" t="n"/>
      <c r="C640" s="17" t="n"/>
      <c r="D640" s="18" t="n"/>
      <c r="E640" s="18" t="n"/>
      <c r="F640" s="19" t="n"/>
      <c r="G640" s="19" t="n"/>
      <c r="H640" s="20" t="n"/>
      <c r="I640" s="21" t="n"/>
      <c r="J640" s="22" t="n"/>
      <c r="K640" s="23" t="n"/>
      <c r="L640" s="18" t="n"/>
      <c r="M640" s="24">
        <f>IF(B640="","",IF(AND(F640&lt;&gt;"",G640&lt;&gt;""),MAX(0,ROUND(MOD(G640-F640,1)*24-N(H640)/60,2)),N(I640)))</f>
        <v/>
      </c>
      <c r="N640" s="14">
        <f>IF(B640="","",IF(K640&lt;&gt;"",K640,IF(N(IFERROR(INDEX(Projects!$D$6:$D$65,MATCH(D640,Projects!$B$6:$B$65,0)),""))&gt;0,IFERROR(INDEX(Projects!$D$6:$D$65,MATCH(D640,Projects!$B$6:$B$65,0)),""),IFERROR(INDEX(Clients!$G$6:$G$45,MATCH(C640,Clients!$B$6:$B$45,0)),0))))</f>
        <v/>
      </c>
      <c r="O640" s="14">
        <f>IF(B640="","",IF(J640&lt;&gt;"",0,ROUND(M640*N640,2)))</f>
        <v/>
      </c>
      <c r="P640" s="15">
        <f>IF(OR(B640="",J640&lt;&gt;""),"",IF(L640&lt;&gt;"",L640,IF(COUNTIFS(Invoices!$C$6:$C$305,C640,Invoices!$E$6:$E$305,"&lt;="&amp;B640,Invoices!$F$6:$F$305,"&gt;="&amp;B640)=1,INDEX(Invoices!$B$6:$B$305,SUMIFS(Invoices!$O$6:$O$305,Invoices!$C$6:$C$305,C640,Invoices!$E$6:$E$305,"&lt;="&amp;B640,Invoices!$F$6:$F$305,"&gt;="&amp;B640)),IF(COUNTIFS(Invoices!$C$6:$C$305,C640,Invoices!$E$6:$E$305,"&lt;="&amp;B640,Invoices!$F$6:$F$305,"&gt;="&amp;B640)&gt;1,"Two invoices",""))))</f>
        <v/>
      </c>
      <c r="Q640" s="15">
        <f>IF(B640="","",IF(J640&lt;&gt;"","Not billable",IF(P640="","To invoice",IF(P640="Two invoices","Check dates",IF(ISNA(MATCH(P640,Invoices!$B$6:$B$305,0)),"Check number",IF(INDEX(Invoices!$M$6:$M$305,MATCH(P640,Invoices!$B$6:$B$305,0))="Paid","Paid",IF(INDEX(Invoices!$M$6:$M$305,MATCH(P640,Invoices!$B$6:$B$305,0))="Draft","Draft","Invoiced")))))))</f>
        <v/>
      </c>
      <c r="R640" s="1">
        <f>IF(AND(B640&lt;&gt;"",P640&lt;&gt;"",P640=Invoice!$G$4),B640+MOD(N(F640),1)+ROW()/10000000,"")</f>
        <v/>
      </c>
      <c r="S640">
        <f>IF(R640="","",IF(D640="","Other work",D640)&amp;IF(AND(K640&lt;&gt;"",E640&lt;&gt;""),", "&amp;E640,""))</f>
        <v/>
      </c>
      <c r="T640">
        <f>IF(R640="","",IF(COUNTIFS(R$6:R639,"&gt;0",S$6:S639,S640,N$6:N639,N640)=0,R640,""))</f>
        <v/>
      </c>
      <c r="U640">
        <f>IF(B640="","",IF(J640&lt;&gt;"",0,M640))</f>
        <v/>
      </c>
    </row>
    <row r="641">
      <c r="A641" s="1" t="n"/>
      <c r="B641" s="16" t="n"/>
      <c r="C641" s="17" t="n"/>
      <c r="D641" s="18" t="n"/>
      <c r="E641" s="18" t="n"/>
      <c r="F641" s="19" t="n"/>
      <c r="G641" s="19" t="n"/>
      <c r="H641" s="20" t="n"/>
      <c r="I641" s="21" t="n"/>
      <c r="J641" s="22" t="n"/>
      <c r="K641" s="23" t="n"/>
      <c r="L641" s="18" t="n"/>
      <c r="M641" s="24">
        <f>IF(B641="","",IF(AND(F641&lt;&gt;"",G641&lt;&gt;""),MAX(0,ROUND(MOD(G641-F641,1)*24-N(H641)/60,2)),N(I641)))</f>
        <v/>
      </c>
      <c r="N641" s="14">
        <f>IF(B641="","",IF(K641&lt;&gt;"",K641,IF(N(IFERROR(INDEX(Projects!$D$6:$D$65,MATCH(D641,Projects!$B$6:$B$65,0)),""))&gt;0,IFERROR(INDEX(Projects!$D$6:$D$65,MATCH(D641,Projects!$B$6:$B$65,0)),""),IFERROR(INDEX(Clients!$G$6:$G$45,MATCH(C641,Clients!$B$6:$B$45,0)),0))))</f>
        <v/>
      </c>
      <c r="O641" s="14">
        <f>IF(B641="","",IF(J641&lt;&gt;"",0,ROUND(M641*N641,2)))</f>
        <v/>
      </c>
      <c r="P641" s="15">
        <f>IF(OR(B641="",J641&lt;&gt;""),"",IF(L641&lt;&gt;"",L641,IF(COUNTIFS(Invoices!$C$6:$C$305,C641,Invoices!$E$6:$E$305,"&lt;="&amp;B641,Invoices!$F$6:$F$305,"&gt;="&amp;B641)=1,INDEX(Invoices!$B$6:$B$305,SUMIFS(Invoices!$O$6:$O$305,Invoices!$C$6:$C$305,C641,Invoices!$E$6:$E$305,"&lt;="&amp;B641,Invoices!$F$6:$F$305,"&gt;="&amp;B641)),IF(COUNTIFS(Invoices!$C$6:$C$305,C641,Invoices!$E$6:$E$305,"&lt;="&amp;B641,Invoices!$F$6:$F$305,"&gt;="&amp;B641)&gt;1,"Two invoices",""))))</f>
        <v/>
      </c>
      <c r="Q641" s="15">
        <f>IF(B641="","",IF(J641&lt;&gt;"","Not billable",IF(P641="","To invoice",IF(P641="Two invoices","Check dates",IF(ISNA(MATCH(P641,Invoices!$B$6:$B$305,0)),"Check number",IF(INDEX(Invoices!$M$6:$M$305,MATCH(P641,Invoices!$B$6:$B$305,0))="Paid","Paid",IF(INDEX(Invoices!$M$6:$M$305,MATCH(P641,Invoices!$B$6:$B$305,0))="Draft","Draft","Invoiced")))))))</f>
        <v/>
      </c>
      <c r="R641" s="1">
        <f>IF(AND(B641&lt;&gt;"",P641&lt;&gt;"",P641=Invoice!$G$4),B641+MOD(N(F641),1)+ROW()/10000000,"")</f>
        <v/>
      </c>
      <c r="S641">
        <f>IF(R641="","",IF(D641="","Other work",D641)&amp;IF(AND(K641&lt;&gt;"",E641&lt;&gt;""),", "&amp;E641,""))</f>
        <v/>
      </c>
      <c r="T641">
        <f>IF(R641="","",IF(COUNTIFS(R$6:R640,"&gt;0",S$6:S640,S641,N$6:N640,N641)=0,R641,""))</f>
        <v/>
      </c>
      <c r="U641">
        <f>IF(B641="","",IF(J641&lt;&gt;"",0,M641))</f>
        <v/>
      </c>
    </row>
    <row r="642">
      <c r="A642" s="1" t="n"/>
      <c r="B642" s="16" t="n"/>
      <c r="C642" s="17" t="n"/>
      <c r="D642" s="18" t="n"/>
      <c r="E642" s="18" t="n"/>
      <c r="F642" s="19" t="n"/>
      <c r="G642" s="19" t="n"/>
      <c r="H642" s="20" t="n"/>
      <c r="I642" s="21" t="n"/>
      <c r="J642" s="22" t="n"/>
      <c r="K642" s="23" t="n"/>
      <c r="L642" s="18" t="n"/>
      <c r="M642" s="24">
        <f>IF(B642="","",IF(AND(F642&lt;&gt;"",G642&lt;&gt;""),MAX(0,ROUND(MOD(G642-F642,1)*24-N(H642)/60,2)),N(I642)))</f>
        <v/>
      </c>
      <c r="N642" s="14">
        <f>IF(B642="","",IF(K642&lt;&gt;"",K642,IF(N(IFERROR(INDEX(Projects!$D$6:$D$65,MATCH(D642,Projects!$B$6:$B$65,0)),""))&gt;0,IFERROR(INDEX(Projects!$D$6:$D$65,MATCH(D642,Projects!$B$6:$B$65,0)),""),IFERROR(INDEX(Clients!$G$6:$G$45,MATCH(C642,Clients!$B$6:$B$45,0)),0))))</f>
        <v/>
      </c>
      <c r="O642" s="14">
        <f>IF(B642="","",IF(J642&lt;&gt;"",0,ROUND(M642*N642,2)))</f>
        <v/>
      </c>
      <c r="P642" s="15">
        <f>IF(OR(B642="",J642&lt;&gt;""),"",IF(L642&lt;&gt;"",L642,IF(COUNTIFS(Invoices!$C$6:$C$305,C642,Invoices!$E$6:$E$305,"&lt;="&amp;B642,Invoices!$F$6:$F$305,"&gt;="&amp;B642)=1,INDEX(Invoices!$B$6:$B$305,SUMIFS(Invoices!$O$6:$O$305,Invoices!$C$6:$C$305,C642,Invoices!$E$6:$E$305,"&lt;="&amp;B642,Invoices!$F$6:$F$305,"&gt;="&amp;B642)),IF(COUNTIFS(Invoices!$C$6:$C$305,C642,Invoices!$E$6:$E$305,"&lt;="&amp;B642,Invoices!$F$6:$F$305,"&gt;="&amp;B642)&gt;1,"Two invoices",""))))</f>
        <v/>
      </c>
      <c r="Q642" s="15">
        <f>IF(B642="","",IF(J642&lt;&gt;"","Not billable",IF(P642="","To invoice",IF(P642="Two invoices","Check dates",IF(ISNA(MATCH(P642,Invoices!$B$6:$B$305,0)),"Check number",IF(INDEX(Invoices!$M$6:$M$305,MATCH(P642,Invoices!$B$6:$B$305,0))="Paid","Paid",IF(INDEX(Invoices!$M$6:$M$305,MATCH(P642,Invoices!$B$6:$B$305,0))="Draft","Draft","Invoiced")))))))</f>
        <v/>
      </c>
      <c r="R642" s="1">
        <f>IF(AND(B642&lt;&gt;"",P642&lt;&gt;"",P642=Invoice!$G$4),B642+MOD(N(F642),1)+ROW()/10000000,"")</f>
        <v/>
      </c>
      <c r="S642">
        <f>IF(R642="","",IF(D642="","Other work",D642)&amp;IF(AND(K642&lt;&gt;"",E642&lt;&gt;""),", "&amp;E642,""))</f>
        <v/>
      </c>
      <c r="T642">
        <f>IF(R642="","",IF(COUNTIFS(R$6:R641,"&gt;0",S$6:S641,S642,N$6:N641,N642)=0,R642,""))</f>
        <v/>
      </c>
      <c r="U642">
        <f>IF(B642="","",IF(J642&lt;&gt;"",0,M642))</f>
        <v/>
      </c>
    </row>
    <row r="643">
      <c r="A643" s="1" t="n"/>
      <c r="B643" s="16" t="n"/>
      <c r="C643" s="17" t="n"/>
      <c r="D643" s="18" t="n"/>
      <c r="E643" s="18" t="n"/>
      <c r="F643" s="19" t="n"/>
      <c r="G643" s="19" t="n"/>
      <c r="H643" s="20" t="n"/>
      <c r="I643" s="21" t="n"/>
      <c r="J643" s="22" t="n"/>
      <c r="K643" s="23" t="n"/>
      <c r="L643" s="18" t="n"/>
      <c r="M643" s="24">
        <f>IF(B643="","",IF(AND(F643&lt;&gt;"",G643&lt;&gt;""),MAX(0,ROUND(MOD(G643-F643,1)*24-N(H643)/60,2)),N(I643)))</f>
        <v/>
      </c>
      <c r="N643" s="14">
        <f>IF(B643="","",IF(K643&lt;&gt;"",K643,IF(N(IFERROR(INDEX(Projects!$D$6:$D$65,MATCH(D643,Projects!$B$6:$B$65,0)),""))&gt;0,IFERROR(INDEX(Projects!$D$6:$D$65,MATCH(D643,Projects!$B$6:$B$65,0)),""),IFERROR(INDEX(Clients!$G$6:$G$45,MATCH(C643,Clients!$B$6:$B$45,0)),0))))</f>
        <v/>
      </c>
      <c r="O643" s="14">
        <f>IF(B643="","",IF(J643&lt;&gt;"",0,ROUND(M643*N643,2)))</f>
        <v/>
      </c>
      <c r="P643" s="15">
        <f>IF(OR(B643="",J643&lt;&gt;""),"",IF(L643&lt;&gt;"",L643,IF(COUNTIFS(Invoices!$C$6:$C$305,C643,Invoices!$E$6:$E$305,"&lt;="&amp;B643,Invoices!$F$6:$F$305,"&gt;="&amp;B643)=1,INDEX(Invoices!$B$6:$B$305,SUMIFS(Invoices!$O$6:$O$305,Invoices!$C$6:$C$305,C643,Invoices!$E$6:$E$305,"&lt;="&amp;B643,Invoices!$F$6:$F$305,"&gt;="&amp;B643)),IF(COUNTIFS(Invoices!$C$6:$C$305,C643,Invoices!$E$6:$E$305,"&lt;="&amp;B643,Invoices!$F$6:$F$305,"&gt;="&amp;B643)&gt;1,"Two invoices",""))))</f>
        <v/>
      </c>
      <c r="Q643" s="15">
        <f>IF(B643="","",IF(J643&lt;&gt;"","Not billable",IF(P643="","To invoice",IF(P643="Two invoices","Check dates",IF(ISNA(MATCH(P643,Invoices!$B$6:$B$305,0)),"Check number",IF(INDEX(Invoices!$M$6:$M$305,MATCH(P643,Invoices!$B$6:$B$305,0))="Paid","Paid",IF(INDEX(Invoices!$M$6:$M$305,MATCH(P643,Invoices!$B$6:$B$305,0))="Draft","Draft","Invoiced")))))))</f>
        <v/>
      </c>
      <c r="R643" s="1">
        <f>IF(AND(B643&lt;&gt;"",P643&lt;&gt;"",P643=Invoice!$G$4),B643+MOD(N(F643),1)+ROW()/10000000,"")</f>
        <v/>
      </c>
      <c r="S643">
        <f>IF(R643="","",IF(D643="","Other work",D643)&amp;IF(AND(K643&lt;&gt;"",E643&lt;&gt;""),", "&amp;E643,""))</f>
        <v/>
      </c>
      <c r="T643">
        <f>IF(R643="","",IF(COUNTIFS(R$6:R642,"&gt;0",S$6:S642,S643,N$6:N642,N643)=0,R643,""))</f>
        <v/>
      </c>
      <c r="U643">
        <f>IF(B643="","",IF(J643&lt;&gt;"",0,M643))</f>
        <v/>
      </c>
    </row>
    <row r="644">
      <c r="A644" s="1" t="n"/>
      <c r="B644" s="16" t="n"/>
      <c r="C644" s="17" t="n"/>
      <c r="D644" s="18" t="n"/>
      <c r="E644" s="18" t="n"/>
      <c r="F644" s="19" t="n"/>
      <c r="G644" s="19" t="n"/>
      <c r="H644" s="20" t="n"/>
      <c r="I644" s="21" t="n"/>
      <c r="J644" s="22" t="n"/>
      <c r="K644" s="23" t="n"/>
      <c r="L644" s="18" t="n"/>
      <c r="M644" s="24">
        <f>IF(B644="","",IF(AND(F644&lt;&gt;"",G644&lt;&gt;""),MAX(0,ROUND(MOD(G644-F644,1)*24-N(H644)/60,2)),N(I644)))</f>
        <v/>
      </c>
      <c r="N644" s="14">
        <f>IF(B644="","",IF(K644&lt;&gt;"",K644,IF(N(IFERROR(INDEX(Projects!$D$6:$D$65,MATCH(D644,Projects!$B$6:$B$65,0)),""))&gt;0,IFERROR(INDEX(Projects!$D$6:$D$65,MATCH(D644,Projects!$B$6:$B$65,0)),""),IFERROR(INDEX(Clients!$G$6:$G$45,MATCH(C644,Clients!$B$6:$B$45,0)),0))))</f>
        <v/>
      </c>
      <c r="O644" s="14">
        <f>IF(B644="","",IF(J644&lt;&gt;"",0,ROUND(M644*N644,2)))</f>
        <v/>
      </c>
      <c r="P644" s="15">
        <f>IF(OR(B644="",J644&lt;&gt;""),"",IF(L644&lt;&gt;"",L644,IF(COUNTIFS(Invoices!$C$6:$C$305,C644,Invoices!$E$6:$E$305,"&lt;="&amp;B644,Invoices!$F$6:$F$305,"&gt;="&amp;B644)=1,INDEX(Invoices!$B$6:$B$305,SUMIFS(Invoices!$O$6:$O$305,Invoices!$C$6:$C$305,C644,Invoices!$E$6:$E$305,"&lt;="&amp;B644,Invoices!$F$6:$F$305,"&gt;="&amp;B644)),IF(COUNTIFS(Invoices!$C$6:$C$305,C644,Invoices!$E$6:$E$305,"&lt;="&amp;B644,Invoices!$F$6:$F$305,"&gt;="&amp;B644)&gt;1,"Two invoices",""))))</f>
        <v/>
      </c>
      <c r="Q644" s="15">
        <f>IF(B644="","",IF(J644&lt;&gt;"","Not billable",IF(P644="","To invoice",IF(P644="Two invoices","Check dates",IF(ISNA(MATCH(P644,Invoices!$B$6:$B$305,0)),"Check number",IF(INDEX(Invoices!$M$6:$M$305,MATCH(P644,Invoices!$B$6:$B$305,0))="Paid","Paid",IF(INDEX(Invoices!$M$6:$M$305,MATCH(P644,Invoices!$B$6:$B$305,0))="Draft","Draft","Invoiced")))))))</f>
        <v/>
      </c>
      <c r="R644" s="1">
        <f>IF(AND(B644&lt;&gt;"",P644&lt;&gt;"",P644=Invoice!$G$4),B644+MOD(N(F644),1)+ROW()/10000000,"")</f>
        <v/>
      </c>
      <c r="S644">
        <f>IF(R644="","",IF(D644="","Other work",D644)&amp;IF(AND(K644&lt;&gt;"",E644&lt;&gt;""),", "&amp;E644,""))</f>
        <v/>
      </c>
      <c r="T644">
        <f>IF(R644="","",IF(COUNTIFS(R$6:R643,"&gt;0",S$6:S643,S644,N$6:N643,N644)=0,R644,""))</f>
        <v/>
      </c>
      <c r="U644">
        <f>IF(B644="","",IF(J644&lt;&gt;"",0,M644))</f>
        <v/>
      </c>
    </row>
    <row r="645">
      <c r="A645" s="1" t="n"/>
      <c r="B645" s="16" t="n"/>
      <c r="C645" s="17" t="n"/>
      <c r="D645" s="18" t="n"/>
      <c r="E645" s="18" t="n"/>
      <c r="F645" s="19" t="n"/>
      <c r="G645" s="19" t="n"/>
      <c r="H645" s="20" t="n"/>
      <c r="I645" s="21" t="n"/>
      <c r="J645" s="22" t="n"/>
      <c r="K645" s="23" t="n"/>
      <c r="L645" s="18" t="n"/>
      <c r="M645" s="24">
        <f>IF(B645="","",IF(AND(F645&lt;&gt;"",G645&lt;&gt;""),MAX(0,ROUND(MOD(G645-F645,1)*24-N(H645)/60,2)),N(I645)))</f>
        <v/>
      </c>
      <c r="N645" s="14">
        <f>IF(B645="","",IF(K645&lt;&gt;"",K645,IF(N(IFERROR(INDEX(Projects!$D$6:$D$65,MATCH(D645,Projects!$B$6:$B$65,0)),""))&gt;0,IFERROR(INDEX(Projects!$D$6:$D$65,MATCH(D645,Projects!$B$6:$B$65,0)),""),IFERROR(INDEX(Clients!$G$6:$G$45,MATCH(C645,Clients!$B$6:$B$45,0)),0))))</f>
        <v/>
      </c>
      <c r="O645" s="14">
        <f>IF(B645="","",IF(J645&lt;&gt;"",0,ROUND(M645*N645,2)))</f>
        <v/>
      </c>
      <c r="P645" s="15">
        <f>IF(OR(B645="",J645&lt;&gt;""),"",IF(L645&lt;&gt;"",L645,IF(COUNTIFS(Invoices!$C$6:$C$305,C645,Invoices!$E$6:$E$305,"&lt;="&amp;B645,Invoices!$F$6:$F$305,"&gt;="&amp;B645)=1,INDEX(Invoices!$B$6:$B$305,SUMIFS(Invoices!$O$6:$O$305,Invoices!$C$6:$C$305,C645,Invoices!$E$6:$E$305,"&lt;="&amp;B645,Invoices!$F$6:$F$305,"&gt;="&amp;B645)),IF(COUNTIFS(Invoices!$C$6:$C$305,C645,Invoices!$E$6:$E$305,"&lt;="&amp;B645,Invoices!$F$6:$F$305,"&gt;="&amp;B645)&gt;1,"Two invoices",""))))</f>
        <v/>
      </c>
      <c r="Q645" s="15">
        <f>IF(B645="","",IF(J645&lt;&gt;"","Not billable",IF(P645="","To invoice",IF(P645="Two invoices","Check dates",IF(ISNA(MATCH(P645,Invoices!$B$6:$B$305,0)),"Check number",IF(INDEX(Invoices!$M$6:$M$305,MATCH(P645,Invoices!$B$6:$B$305,0))="Paid","Paid",IF(INDEX(Invoices!$M$6:$M$305,MATCH(P645,Invoices!$B$6:$B$305,0))="Draft","Draft","Invoiced")))))))</f>
        <v/>
      </c>
      <c r="R645" s="1">
        <f>IF(AND(B645&lt;&gt;"",P645&lt;&gt;"",P645=Invoice!$G$4),B645+MOD(N(F645),1)+ROW()/10000000,"")</f>
        <v/>
      </c>
      <c r="S645">
        <f>IF(R645="","",IF(D645="","Other work",D645)&amp;IF(AND(K645&lt;&gt;"",E645&lt;&gt;""),", "&amp;E645,""))</f>
        <v/>
      </c>
      <c r="T645">
        <f>IF(R645="","",IF(COUNTIFS(R$6:R644,"&gt;0",S$6:S644,S645,N$6:N644,N645)=0,R645,""))</f>
        <v/>
      </c>
      <c r="U645">
        <f>IF(B645="","",IF(J645&lt;&gt;"",0,M645))</f>
        <v/>
      </c>
    </row>
    <row r="646">
      <c r="A646" s="1" t="n"/>
      <c r="B646" s="16" t="n"/>
      <c r="C646" s="17" t="n"/>
      <c r="D646" s="18" t="n"/>
      <c r="E646" s="18" t="n"/>
      <c r="F646" s="19" t="n"/>
      <c r="G646" s="19" t="n"/>
      <c r="H646" s="20" t="n"/>
      <c r="I646" s="21" t="n"/>
      <c r="J646" s="22" t="n"/>
      <c r="K646" s="23" t="n"/>
      <c r="L646" s="18" t="n"/>
      <c r="M646" s="24">
        <f>IF(B646="","",IF(AND(F646&lt;&gt;"",G646&lt;&gt;""),MAX(0,ROUND(MOD(G646-F646,1)*24-N(H646)/60,2)),N(I646)))</f>
        <v/>
      </c>
      <c r="N646" s="14">
        <f>IF(B646="","",IF(K646&lt;&gt;"",K646,IF(N(IFERROR(INDEX(Projects!$D$6:$D$65,MATCH(D646,Projects!$B$6:$B$65,0)),""))&gt;0,IFERROR(INDEX(Projects!$D$6:$D$65,MATCH(D646,Projects!$B$6:$B$65,0)),""),IFERROR(INDEX(Clients!$G$6:$G$45,MATCH(C646,Clients!$B$6:$B$45,0)),0))))</f>
        <v/>
      </c>
      <c r="O646" s="14">
        <f>IF(B646="","",IF(J646&lt;&gt;"",0,ROUND(M646*N646,2)))</f>
        <v/>
      </c>
      <c r="P646" s="15">
        <f>IF(OR(B646="",J646&lt;&gt;""),"",IF(L646&lt;&gt;"",L646,IF(COUNTIFS(Invoices!$C$6:$C$305,C646,Invoices!$E$6:$E$305,"&lt;="&amp;B646,Invoices!$F$6:$F$305,"&gt;="&amp;B646)=1,INDEX(Invoices!$B$6:$B$305,SUMIFS(Invoices!$O$6:$O$305,Invoices!$C$6:$C$305,C646,Invoices!$E$6:$E$305,"&lt;="&amp;B646,Invoices!$F$6:$F$305,"&gt;="&amp;B646)),IF(COUNTIFS(Invoices!$C$6:$C$305,C646,Invoices!$E$6:$E$305,"&lt;="&amp;B646,Invoices!$F$6:$F$305,"&gt;="&amp;B646)&gt;1,"Two invoices",""))))</f>
        <v/>
      </c>
      <c r="Q646" s="15">
        <f>IF(B646="","",IF(J646&lt;&gt;"","Not billable",IF(P646="","To invoice",IF(P646="Two invoices","Check dates",IF(ISNA(MATCH(P646,Invoices!$B$6:$B$305,0)),"Check number",IF(INDEX(Invoices!$M$6:$M$305,MATCH(P646,Invoices!$B$6:$B$305,0))="Paid","Paid",IF(INDEX(Invoices!$M$6:$M$305,MATCH(P646,Invoices!$B$6:$B$305,0))="Draft","Draft","Invoiced")))))))</f>
        <v/>
      </c>
      <c r="R646" s="1">
        <f>IF(AND(B646&lt;&gt;"",P646&lt;&gt;"",P646=Invoice!$G$4),B646+MOD(N(F646),1)+ROW()/10000000,"")</f>
        <v/>
      </c>
      <c r="S646">
        <f>IF(R646="","",IF(D646="","Other work",D646)&amp;IF(AND(K646&lt;&gt;"",E646&lt;&gt;""),", "&amp;E646,""))</f>
        <v/>
      </c>
      <c r="T646">
        <f>IF(R646="","",IF(COUNTIFS(R$6:R645,"&gt;0",S$6:S645,S646,N$6:N645,N646)=0,R646,""))</f>
        <v/>
      </c>
      <c r="U646">
        <f>IF(B646="","",IF(J646&lt;&gt;"",0,M646))</f>
        <v/>
      </c>
    </row>
    <row r="647">
      <c r="A647" s="1" t="n"/>
      <c r="B647" s="16" t="n"/>
      <c r="C647" s="17" t="n"/>
      <c r="D647" s="18" t="n"/>
      <c r="E647" s="18" t="n"/>
      <c r="F647" s="19" t="n"/>
      <c r="G647" s="19" t="n"/>
      <c r="H647" s="20" t="n"/>
      <c r="I647" s="21" t="n"/>
      <c r="J647" s="22" t="n"/>
      <c r="K647" s="23" t="n"/>
      <c r="L647" s="18" t="n"/>
      <c r="M647" s="24">
        <f>IF(B647="","",IF(AND(F647&lt;&gt;"",G647&lt;&gt;""),MAX(0,ROUND(MOD(G647-F647,1)*24-N(H647)/60,2)),N(I647)))</f>
        <v/>
      </c>
      <c r="N647" s="14">
        <f>IF(B647="","",IF(K647&lt;&gt;"",K647,IF(N(IFERROR(INDEX(Projects!$D$6:$D$65,MATCH(D647,Projects!$B$6:$B$65,0)),""))&gt;0,IFERROR(INDEX(Projects!$D$6:$D$65,MATCH(D647,Projects!$B$6:$B$65,0)),""),IFERROR(INDEX(Clients!$G$6:$G$45,MATCH(C647,Clients!$B$6:$B$45,0)),0))))</f>
        <v/>
      </c>
      <c r="O647" s="14">
        <f>IF(B647="","",IF(J647&lt;&gt;"",0,ROUND(M647*N647,2)))</f>
        <v/>
      </c>
      <c r="P647" s="15">
        <f>IF(OR(B647="",J647&lt;&gt;""),"",IF(L647&lt;&gt;"",L647,IF(COUNTIFS(Invoices!$C$6:$C$305,C647,Invoices!$E$6:$E$305,"&lt;="&amp;B647,Invoices!$F$6:$F$305,"&gt;="&amp;B647)=1,INDEX(Invoices!$B$6:$B$305,SUMIFS(Invoices!$O$6:$O$305,Invoices!$C$6:$C$305,C647,Invoices!$E$6:$E$305,"&lt;="&amp;B647,Invoices!$F$6:$F$305,"&gt;="&amp;B647)),IF(COUNTIFS(Invoices!$C$6:$C$305,C647,Invoices!$E$6:$E$305,"&lt;="&amp;B647,Invoices!$F$6:$F$305,"&gt;="&amp;B647)&gt;1,"Two invoices",""))))</f>
        <v/>
      </c>
      <c r="Q647" s="15">
        <f>IF(B647="","",IF(J647&lt;&gt;"","Not billable",IF(P647="","To invoice",IF(P647="Two invoices","Check dates",IF(ISNA(MATCH(P647,Invoices!$B$6:$B$305,0)),"Check number",IF(INDEX(Invoices!$M$6:$M$305,MATCH(P647,Invoices!$B$6:$B$305,0))="Paid","Paid",IF(INDEX(Invoices!$M$6:$M$305,MATCH(P647,Invoices!$B$6:$B$305,0))="Draft","Draft","Invoiced")))))))</f>
        <v/>
      </c>
      <c r="R647" s="1">
        <f>IF(AND(B647&lt;&gt;"",P647&lt;&gt;"",P647=Invoice!$G$4),B647+MOD(N(F647),1)+ROW()/10000000,"")</f>
        <v/>
      </c>
      <c r="S647">
        <f>IF(R647="","",IF(D647="","Other work",D647)&amp;IF(AND(K647&lt;&gt;"",E647&lt;&gt;""),", "&amp;E647,""))</f>
        <v/>
      </c>
      <c r="T647">
        <f>IF(R647="","",IF(COUNTIFS(R$6:R646,"&gt;0",S$6:S646,S647,N$6:N646,N647)=0,R647,""))</f>
        <v/>
      </c>
      <c r="U647">
        <f>IF(B647="","",IF(J647&lt;&gt;"",0,M647))</f>
        <v/>
      </c>
    </row>
    <row r="648">
      <c r="A648" s="1" t="n"/>
      <c r="B648" s="16" t="n"/>
      <c r="C648" s="17" t="n"/>
      <c r="D648" s="18" t="n"/>
      <c r="E648" s="18" t="n"/>
      <c r="F648" s="19" t="n"/>
      <c r="G648" s="19" t="n"/>
      <c r="H648" s="20" t="n"/>
      <c r="I648" s="21" t="n"/>
      <c r="J648" s="22" t="n"/>
      <c r="K648" s="23" t="n"/>
      <c r="L648" s="18" t="n"/>
      <c r="M648" s="24">
        <f>IF(B648="","",IF(AND(F648&lt;&gt;"",G648&lt;&gt;""),MAX(0,ROUND(MOD(G648-F648,1)*24-N(H648)/60,2)),N(I648)))</f>
        <v/>
      </c>
      <c r="N648" s="14">
        <f>IF(B648="","",IF(K648&lt;&gt;"",K648,IF(N(IFERROR(INDEX(Projects!$D$6:$D$65,MATCH(D648,Projects!$B$6:$B$65,0)),""))&gt;0,IFERROR(INDEX(Projects!$D$6:$D$65,MATCH(D648,Projects!$B$6:$B$65,0)),""),IFERROR(INDEX(Clients!$G$6:$G$45,MATCH(C648,Clients!$B$6:$B$45,0)),0))))</f>
        <v/>
      </c>
      <c r="O648" s="14">
        <f>IF(B648="","",IF(J648&lt;&gt;"",0,ROUND(M648*N648,2)))</f>
        <v/>
      </c>
      <c r="P648" s="15">
        <f>IF(OR(B648="",J648&lt;&gt;""),"",IF(L648&lt;&gt;"",L648,IF(COUNTIFS(Invoices!$C$6:$C$305,C648,Invoices!$E$6:$E$305,"&lt;="&amp;B648,Invoices!$F$6:$F$305,"&gt;="&amp;B648)=1,INDEX(Invoices!$B$6:$B$305,SUMIFS(Invoices!$O$6:$O$305,Invoices!$C$6:$C$305,C648,Invoices!$E$6:$E$305,"&lt;="&amp;B648,Invoices!$F$6:$F$305,"&gt;="&amp;B648)),IF(COUNTIFS(Invoices!$C$6:$C$305,C648,Invoices!$E$6:$E$305,"&lt;="&amp;B648,Invoices!$F$6:$F$305,"&gt;="&amp;B648)&gt;1,"Two invoices",""))))</f>
        <v/>
      </c>
      <c r="Q648" s="15">
        <f>IF(B648="","",IF(J648&lt;&gt;"","Not billable",IF(P648="","To invoice",IF(P648="Two invoices","Check dates",IF(ISNA(MATCH(P648,Invoices!$B$6:$B$305,0)),"Check number",IF(INDEX(Invoices!$M$6:$M$305,MATCH(P648,Invoices!$B$6:$B$305,0))="Paid","Paid",IF(INDEX(Invoices!$M$6:$M$305,MATCH(P648,Invoices!$B$6:$B$305,0))="Draft","Draft","Invoiced")))))))</f>
        <v/>
      </c>
      <c r="R648" s="1">
        <f>IF(AND(B648&lt;&gt;"",P648&lt;&gt;"",P648=Invoice!$G$4),B648+MOD(N(F648),1)+ROW()/10000000,"")</f>
        <v/>
      </c>
      <c r="S648">
        <f>IF(R648="","",IF(D648="","Other work",D648)&amp;IF(AND(K648&lt;&gt;"",E648&lt;&gt;""),", "&amp;E648,""))</f>
        <v/>
      </c>
      <c r="T648">
        <f>IF(R648="","",IF(COUNTIFS(R$6:R647,"&gt;0",S$6:S647,S648,N$6:N647,N648)=0,R648,""))</f>
        <v/>
      </c>
      <c r="U648">
        <f>IF(B648="","",IF(J648&lt;&gt;"",0,M648))</f>
        <v/>
      </c>
    </row>
    <row r="649">
      <c r="A649" s="1" t="n"/>
      <c r="B649" s="16" t="n"/>
      <c r="C649" s="17" t="n"/>
      <c r="D649" s="18" t="n"/>
      <c r="E649" s="18" t="n"/>
      <c r="F649" s="19" t="n"/>
      <c r="G649" s="19" t="n"/>
      <c r="H649" s="20" t="n"/>
      <c r="I649" s="21" t="n"/>
      <c r="J649" s="22" t="n"/>
      <c r="K649" s="23" t="n"/>
      <c r="L649" s="18" t="n"/>
      <c r="M649" s="24">
        <f>IF(B649="","",IF(AND(F649&lt;&gt;"",G649&lt;&gt;""),MAX(0,ROUND(MOD(G649-F649,1)*24-N(H649)/60,2)),N(I649)))</f>
        <v/>
      </c>
      <c r="N649" s="14">
        <f>IF(B649="","",IF(K649&lt;&gt;"",K649,IF(N(IFERROR(INDEX(Projects!$D$6:$D$65,MATCH(D649,Projects!$B$6:$B$65,0)),""))&gt;0,IFERROR(INDEX(Projects!$D$6:$D$65,MATCH(D649,Projects!$B$6:$B$65,0)),""),IFERROR(INDEX(Clients!$G$6:$G$45,MATCH(C649,Clients!$B$6:$B$45,0)),0))))</f>
        <v/>
      </c>
      <c r="O649" s="14">
        <f>IF(B649="","",IF(J649&lt;&gt;"",0,ROUND(M649*N649,2)))</f>
        <v/>
      </c>
      <c r="P649" s="15">
        <f>IF(OR(B649="",J649&lt;&gt;""),"",IF(L649&lt;&gt;"",L649,IF(COUNTIFS(Invoices!$C$6:$C$305,C649,Invoices!$E$6:$E$305,"&lt;="&amp;B649,Invoices!$F$6:$F$305,"&gt;="&amp;B649)=1,INDEX(Invoices!$B$6:$B$305,SUMIFS(Invoices!$O$6:$O$305,Invoices!$C$6:$C$305,C649,Invoices!$E$6:$E$305,"&lt;="&amp;B649,Invoices!$F$6:$F$305,"&gt;="&amp;B649)),IF(COUNTIFS(Invoices!$C$6:$C$305,C649,Invoices!$E$6:$E$305,"&lt;="&amp;B649,Invoices!$F$6:$F$305,"&gt;="&amp;B649)&gt;1,"Two invoices",""))))</f>
        <v/>
      </c>
      <c r="Q649" s="15">
        <f>IF(B649="","",IF(J649&lt;&gt;"","Not billable",IF(P649="","To invoice",IF(P649="Two invoices","Check dates",IF(ISNA(MATCH(P649,Invoices!$B$6:$B$305,0)),"Check number",IF(INDEX(Invoices!$M$6:$M$305,MATCH(P649,Invoices!$B$6:$B$305,0))="Paid","Paid",IF(INDEX(Invoices!$M$6:$M$305,MATCH(P649,Invoices!$B$6:$B$305,0))="Draft","Draft","Invoiced")))))))</f>
        <v/>
      </c>
      <c r="R649" s="1">
        <f>IF(AND(B649&lt;&gt;"",P649&lt;&gt;"",P649=Invoice!$G$4),B649+MOD(N(F649),1)+ROW()/10000000,"")</f>
        <v/>
      </c>
      <c r="S649">
        <f>IF(R649="","",IF(D649="","Other work",D649)&amp;IF(AND(K649&lt;&gt;"",E649&lt;&gt;""),", "&amp;E649,""))</f>
        <v/>
      </c>
      <c r="T649">
        <f>IF(R649="","",IF(COUNTIFS(R$6:R648,"&gt;0",S$6:S648,S649,N$6:N648,N649)=0,R649,""))</f>
        <v/>
      </c>
      <c r="U649">
        <f>IF(B649="","",IF(J649&lt;&gt;"",0,M649))</f>
        <v/>
      </c>
    </row>
    <row r="650">
      <c r="A650" s="1" t="n"/>
      <c r="B650" s="16" t="n"/>
      <c r="C650" s="17" t="n"/>
      <c r="D650" s="18" t="n"/>
      <c r="E650" s="18" t="n"/>
      <c r="F650" s="19" t="n"/>
      <c r="G650" s="19" t="n"/>
      <c r="H650" s="20" t="n"/>
      <c r="I650" s="21" t="n"/>
      <c r="J650" s="22" t="n"/>
      <c r="K650" s="23" t="n"/>
      <c r="L650" s="18" t="n"/>
      <c r="M650" s="24">
        <f>IF(B650="","",IF(AND(F650&lt;&gt;"",G650&lt;&gt;""),MAX(0,ROUND(MOD(G650-F650,1)*24-N(H650)/60,2)),N(I650)))</f>
        <v/>
      </c>
      <c r="N650" s="14">
        <f>IF(B650="","",IF(K650&lt;&gt;"",K650,IF(N(IFERROR(INDEX(Projects!$D$6:$D$65,MATCH(D650,Projects!$B$6:$B$65,0)),""))&gt;0,IFERROR(INDEX(Projects!$D$6:$D$65,MATCH(D650,Projects!$B$6:$B$65,0)),""),IFERROR(INDEX(Clients!$G$6:$G$45,MATCH(C650,Clients!$B$6:$B$45,0)),0))))</f>
        <v/>
      </c>
      <c r="O650" s="14">
        <f>IF(B650="","",IF(J650&lt;&gt;"",0,ROUND(M650*N650,2)))</f>
        <v/>
      </c>
      <c r="P650" s="15">
        <f>IF(OR(B650="",J650&lt;&gt;""),"",IF(L650&lt;&gt;"",L650,IF(COUNTIFS(Invoices!$C$6:$C$305,C650,Invoices!$E$6:$E$305,"&lt;="&amp;B650,Invoices!$F$6:$F$305,"&gt;="&amp;B650)=1,INDEX(Invoices!$B$6:$B$305,SUMIFS(Invoices!$O$6:$O$305,Invoices!$C$6:$C$305,C650,Invoices!$E$6:$E$305,"&lt;="&amp;B650,Invoices!$F$6:$F$305,"&gt;="&amp;B650)),IF(COUNTIFS(Invoices!$C$6:$C$305,C650,Invoices!$E$6:$E$305,"&lt;="&amp;B650,Invoices!$F$6:$F$305,"&gt;="&amp;B650)&gt;1,"Two invoices",""))))</f>
        <v/>
      </c>
      <c r="Q650" s="15">
        <f>IF(B650="","",IF(J650&lt;&gt;"","Not billable",IF(P650="","To invoice",IF(P650="Two invoices","Check dates",IF(ISNA(MATCH(P650,Invoices!$B$6:$B$305,0)),"Check number",IF(INDEX(Invoices!$M$6:$M$305,MATCH(P650,Invoices!$B$6:$B$305,0))="Paid","Paid",IF(INDEX(Invoices!$M$6:$M$305,MATCH(P650,Invoices!$B$6:$B$305,0))="Draft","Draft","Invoiced")))))))</f>
        <v/>
      </c>
      <c r="R650" s="1">
        <f>IF(AND(B650&lt;&gt;"",P650&lt;&gt;"",P650=Invoice!$G$4),B650+MOD(N(F650),1)+ROW()/10000000,"")</f>
        <v/>
      </c>
      <c r="S650">
        <f>IF(R650="","",IF(D650="","Other work",D650)&amp;IF(AND(K650&lt;&gt;"",E650&lt;&gt;""),", "&amp;E650,""))</f>
        <v/>
      </c>
      <c r="T650">
        <f>IF(R650="","",IF(COUNTIFS(R$6:R649,"&gt;0",S$6:S649,S650,N$6:N649,N650)=0,R650,""))</f>
        <v/>
      </c>
      <c r="U650">
        <f>IF(B650="","",IF(J650&lt;&gt;"",0,M650))</f>
        <v/>
      </c>
    </row>
    <row r="651">
      <c r="A651" s="1" t="n"/>
      <c r="B651" s="16" t="n"/>
      <c r="C651" s="17" t="n"/>
      <c r="D651" s="18" t="n"/>
      <c r="E651" s="18" t="n"/>
      <c r="F651" s="19" t="n"/>
      <c r="G651" s="19" t="n"/>
      <c r="H651" s="20" t="n"/>
      <c r="I651" s="21" t="n"/>
      <c r="J651" s="22" t="n"/>
      <c r="K651" s="23" t="n"/>
      <c r="L651" s="18" t="n"/>
      <c r="M651" s="24">
        <f>IF(B651="","",IF(AND(F651&lt;&gt;"",G651&lt;&gt;""),MAX(0,ROUND(MOD(G651-F651,1)*24-N(H651)/60,2)),N(I651)))</f>
        <v/>
      </c>
      <c r="N651" s="14">
        <f>IF(B651="","",IF(K651&lt;&gt;"",K651,IF(N(IFERROR(INDEX(Projects!$D$6:$D$65,MATCH(D651,Projects!$B$6:$B$65,0)),""))&gt;0,IFERROR(INDEX(Projects!$D$6:$D$65,MATCH(D651,Projects!$B$6:$B$65,0)),""),IFERROR(INDEX(Clients!$G$6:$G$45,MATCH(C651,Clients!$B$6:$B$45,0)),0))))</f>
        <v/>
      </c>
      <c r="O651" s="14">
        <f>IF(B651="","",IF(J651&lt;&gt;"",0,ROUND(M651*N651,2)))</f>
        <v/>
      </c>
      <c r="P651" s="15">
        <f>IF(OR(B651="",J651&lt;&gt;""),"",IF(L651&lt;&gt;"",L651,IF(COUNTIFS(Invoices!$C$6:$C$305,C651,Invoices!$E$6:$E$305,"&lt;="&amp;B651,Invoices!$F$6:$F$305,"&gt;="&amp;B651)=1,INDEX(Invoices!$B$6:$B$305,SUMIFS(Invoices!$O$6:$O$305,Invoices!$C$6:$C$305,C651,Invoices!$E$6:$E$305,"&lt;="&amp;B651,Invoices!$F$6:$F$305,"&gt;="&amp;B651)),IF(COUNTIFS(Invoices!$C$6:$C$305,C651,Invoices!$E$6:$E$305,"&lt;="&amp;B651,Invoices!$F$6:$F$305,"&gt;="&amp;B651)&gt;1,"Two invoices",""))))</f>
        <v/>
      </c>
      <c r="Q651" s="15">
        <f>IF(B651="","",IF(J651&lt;&gt;"","Not billable",IF(P651="","To invoice",IF(P651="Two invoices","Check dates",IF(ISNA(MATCH(P651,Invoices!$B$6:$B$305,0)),"Check number",IF(INDEX(Invoices!$M$6:$M$305,MATCH(P651,Invoices!$B$6:$B$305,0))="Paid","Paid",IF(INDEX(Invoices!$M$6:$M$305,MATCH(P651,Invoices!$B$6:$B$305,0))="Draft","Draft","Invoiced")))))))</f>
        <v/>
      </c>
      <c r="R651" s="1">
        <f>IF(AND(B651&lt;&gt;"",P651&lt;&gt;"",P651=Invoice!$G$4),B651+MOD(N(F651),1)+ROW()/10000000,"")</f>
        <v/>
      </c>
      <c r="S651">
        <f>IF(R651="","",IF(D651="","Other work",D651)&amp;IF(AND(K651&lt;&gt;"",E651&lt;&gt;""),", "&amp;E651,""))</f>
        <v/>
      </c>
      <c r="T651">
        <f>IF(R651="","",IF(COUNTIFS(R$6:R650,"&gt;0",S$6:S650,S651,N$6:N650,N651)=0,R651,""))</f>
        <v/>
      </c>
      <c r="U651">
        <f>IF(B651="","",IF(J651&lt;&gt;"",0,M651))</f>
        <v/>
      </c>
    </row>
    <row r="652">
      <c r="A652" s="1" t="n"/>
      <c r="B652" s="16" t="n"/>
      <c r="C652" s="17" t="n"/>
      <c r="D652" s="18" t="n"/>
      <c r="E652" s="18" t="n"/>
      <c r="F652" s="19" t="n"/>
      <c r="G652" s="19" t="n"/>
      <c r="H652" s="20" t="n"/>
      <c r="I652" s="21" t="n"/>
      <c r="J652" s="22" t="n"/>
      <c r="K652" s="23" t="n"/>
      <c r="L652" s="18" t="n"/>
      <c r="M652" s="24">
        <f>IF(B652="","",IF(AND(F652&lt;&gt;"",G652&lt;&gt;""),MAX(0,ROUND(MOD(G652-F652,1)*24-N(H652)/60,2)),N(I652)))</f>
        <v/>
      </c>
      <c r="N652" s="14">
        <f>IF(B652="","",IF(K652&lt;&gt;"",K652,IF(N(IFERROR(INDEX(Projects!$D$6:$D$65,MATCH(D652,Projects!$B$6:$B$65,0)),""))&gt;0,IFERROR(INDEX(Projects!$D$6:$D$65,MATCH(D652,Projects!$B$6:$B$65,0)),""),IFERROR(INDEX(Clients!$G$6:$G$45,MATCH(C652,Clients!$B$6:$B$45,0)),0))))</f>
        <v/>
      </c>
      <c r="O652" s="14">
        <f>IF(B652="","",IF(J652&lt;&gt;"",0,ROUND(M652*N652,2)))</f>
        <v/>
      </c>
      <c r="P652" s="15">
        <f>IF(OR(B652="",J652&lt;&gt;""),"",IF(L652&lt;&gt;"",L652,IF(COUNTIFS(Invoices!$C$6:$C$305,C652,Invoices!$E$6:$E$305,"&lt;="&amp;B652,Invoices!$F$6:$F$305,"&gt;="&amp;B652)=1,INDEX(Invoices!$B$6:$B$305,SUMIFS(Invoices!$O$6:$O$305,Invoices!$C$6:$C$305,C652,Invoices!$E$6:$E$305,"&lt;="&amp;B652,Invoices!$F$6:$F$305,"&gt;="&amp;B652)),IF(COUNTIFS(Invoices!$C$6:$C$305,C652,Invoices!$E$6:$E$305,"&lt;="&amp;B652,Invoices!$F$6:$F$305,"&gt;="&amp;B652)&gt;1,"Two invoices",""))))</f>
        <v/>
      </c>
      <c r="Q652" s="15">
        <f>IF(B652="","",IF(J652&lt;&gt;"","Not billable",IF(P652="","To invoice",IF(P652="Two invoices","Check dates",IF(ISNA(MATCH(P652,Invoices!$B$6:$B$305,0)),"Check number",IF(INDEX(Invoices!$M$6:$M$305,MATCH(P652,Invoices!$B$6:$B$305,0))="Paid","Paid",IF(INDEX(Invoices!$M$6:$M$305,MATCH(P652,Invoices!$B$6:$B$305,0))="Draft","Draft","Invoiced")))))))</f>
        <v/>
      </c>
      <c r="R652" s="1">
        <f>IF(AND(B652&lt;&gt;"",P652&lt;&gt;"",P652=Invoice!$G$4),B652+MOD(N(F652),1)+ROW()/10000000,"")</f>
        <v/>
      </c>
      <c r="S652">
        <f>IF(R652="","",IF(D652="","Other work",D652)&amp;IF(AND(K652&lt;&gt;"",E652&lt;&gt;""),", "&amp;E652,""))</f>
        <v/>
      </c>
      <c r="T652">
        <f>IF(R652="","",IF(COUNTIFS(R$6:R651,"&gt;0",S$6:S651,S652,N$6:N651,N652)=0,R652,""))</f>
        <v/>
      </c>
      <c r="U652">
        <f>IF(B652="","",IF(J652&lt;&gt;"",0,M652))</f>
        <v/>
      </c>
    </row>
    <row r="653">
      <c r="A653" s="1" t="n"/>
      <c r="B653" s="16" t="n"/>
      <c r="C653" s="17" t="n"/>
      <c r="D653" s="18" t="n"/>
      <c r="E653" s="18" t="n"/>
      <c r="F653" s="19" t="n"/>
      <c r="G653" s="19" t="n"/>
      <c r="H653" s="20" t="n"/>
      <c r="I653" s="21" t="n"/>
      <c r="J653" s="22" t="n"/>
      <c r="K653" s="23" t="n"/>
      <c r="L653" s="18" t="n"/>
      <c r="M653" s="24">
        <f>IF(B653="","",IF(AND(F653&lt;&gt;"",G653&lt;&gt;""),MAX(0,ROUND(MOD(G653-F653,1)*24-N(H653)/60,2)),N(I653)))</f>
        <v/>
      </c>
      <c r="N653" s="14">
        <f>IF(B653="","",IF(K653&lt;&gt;"",K653,IF(N(IFERROR(INDEX(Projects!$D$6:$D$65,MATCH(D653,Projects!$B$6:$B$65,0)),""))&gt;0,IFERROR(INDEX(Projects!$D$6:$D$65,MATCH(D653,Projects!$B$6:$B$65,0)),""),IFERROR(INDEX(Clients!$G$6:$G$45,MATCH(C653,Clients!$B$6:$B$45,0)),0))))</f>
        <v/>
      </c>
      <c r="O653" s="14">
        <f>IF(B653="","",IF(J653&lt;&gt;"",0,ROUND(M653*N653,2)))</f>
        <v/>
      </c>
      <c r="P653" s="15">
        <f>IF(OR(B653="",J653&lt;&gt;""),"",IF(L653&lt;&gt;"",L653,IF(COUNTIFS(Invoices!$C$6:$C$305,C653,Invoices!$E$6:$E$305,"&lt;="&amp;B653,Invoices!$F$6:$F$305,"&gt;="&amp;B653)=1,INDEX(Invoices!$B$6:$B$305,SUMIFS(Invoices!$O$6:$O$305,Invoices!$C$6:$C$305,C653,Invoices!$E$6:$E$305,"&lt;="&amp;B653,Invoices!$F$6:$F$305,"&gt;="&amp;B653)),IF(COUNTIFS(Invoices!$C$6:$C$305,C653,Invoices!$E$6:$E$305,"&lt;="&amp;B653,Invoices!$F$6:$F$305,"&gt;="&amp;B653)&gt;1,"Two invoices",""))))</f>
        <v/>
      </c>
      <c r="Q653" s="15">
        <f>IF(B653="","",IF(J653&lt;&gt;"","Not billable",IF(P653="","To invoice",IF(P653="Two invoices","Check dates",IF(ISNA(MATCH(P653,Invoices!$B$6:$B$305,0)),"Check number",IF(INDEX(Invoices!$M$6:$M$305,MATCH(P653,Invoices!$B$6:$B$305,0))="Paid","Paid",IF(INDEX(Invoices!$M$6:$M$305,MATCH(P653,Invoices!$B$6:$B$305,0))="Draft","Draft","Invoiced")))))))</f>
        <v/>
      </c>
      <c r="R653" s="1">
        <f>IF(AND(B653&lt;&gt;"",P653&lt;&gt;"",P653=Invoice!$G$4),B653+MOD(N(F653),1)+ROW()/10000000,"")</f>
        <v/>
      </c>
      <c r="S653">
        <f>IF(R653="","",IF(D653="","Other work",D653)&amp;IF(AND(K653&lt;&gt;"",E653&lt;&gt;""),", "&amp;E653,""))</f>
        <v/>
      </c>
      <c r="T653">
        <f>IF(R653="","",IF(COUNTIFS(R$6:R652,"&gt;0",S$6:S652,S653,N$6:N652,N653)=0,R653,""))</f>
        <v/>
      </c>
      <c r="U653">
        <f>IF(B653="","",IF(J653&lt;&gt;"",0,M653))</f>
        <v/>
      </c>
    </row>
    <row r="654">
      <c r="A654" s="1" t="n"/>
      <c r="B654" s="16" t="n"/>
      <c r="C654" s="17" t="n"/>
      <c r="D654" s="18" t="n"/>
      <c r="E654" s="18" t="n"/>
      <c r="F654" s="19" t="n"/>
      <c r="G654" s="19" t="n"/>
      <c r="H654" s="20" t="n"/>
      <c r="I654" s="21" t="n"/>
      <c r="J654" s="22" t="n"/>
      <c r="K654" s="23" t="n"/>
      <c r="L654" s="18" t="n"/>
      <c r="M654" s="24">
        <f>IF(B654="","",IF(AND(F654&lt;&gt;"",G654&lt;&gt;""),MAX(0,ROUND(MOD(G654-F654,1)*24-N(H654)/60,2)),N(I654)))</f>
        <v/>
      </c>
      <c r="N654" s="14">
        <f>IF(B654="","",IF(K654&lt;&gt;"",K654,IF(N(IFERROR(INDEX(Projects!$D$6:$D$65,MATCH(D654,Projects!$B$6:$B$65,0)),""))&gt;0,IFERROR(INDEX(Projects!$D$6:$D$65,MATCH(D654,Projects!$B$6:$B$65,0)),""),IFERROR(INDEX(Clients!$G$6:$G$45,MATCH(C654,Clients!$B$6:$B$45,0)),0))))</f>
        <v/>
      </c>
      <c r="O654" s="14">
        <f>IF(B654="","",IF(J654&lt;&gt;"",0,ROUND(M654*N654,2)))</f>
        <v/>
      </c>
      <c r="P654" s="15">
        <f>IF(OR(B654="",J654&lt;&gt;""),"",IF(L654&lt;&gt;"",L654,IF(COUNTIFS(Invoices!$C$6:$C$305,C654,Invoices!$E$6:$E$305,"&lt;="&amp;B654,Invoices!$F$6:$F$305,"&gt;="&amp;B654)=1,INDEX(Invoices!$B$6:$B$305,SUMIFS(Invoices!$O$6:$O$305,Invoices!$C$6:$C$305,C654,Invoices!$E$6:$E$305,"&lt;="&amp;B654,Invoices!$F$6:$F$305,"&gt;="&amp;B654)),IF(COUNTIFS(Invoices!$C$6:$C$305,C654,Invoices!$E$6:$E$305,"&lt;="&amp;B654,Invoices!$F$6:$F$305,"&gt;="&amp;B654)&gt;1,"Two invoices",""))))</f>
        <v/>
      </c>
      <c r="Q654" s="15">
        <f>IF(B654="","",IF(J654&lt;&gt;"","Not billable",IF(P654="","To invoice",IF(P654="Two invoices","Check dates",IF(ISNA(MATCH(P654,Invoices!$B$6:$B$305,0)),"Check number",IF(INDEX(Invoices!$M$6:$M$305,MATCH(P654,Invoices!$B$6:$B$305,0))="Paid","Paid",IF(INDEX(Invoices!$M$6:$M$305,MATCH(P654,Invoices!$B$6:$B$305,0))="Draft","Draft","Invoiced")))))))</f>
        <v/>
      </c>
      <c r="R654" s="1">
        <f>IF(AND(B654&lt;&gt;"",P654&lt;&gt;"",P654=Invoice!$G$4),B654+MOD(N(F654),1)+ROW()/10000000,"")</f>
        <v/>
      </c>
      <c r="S654">
        <f>IF(R654="","",IF(D654="","Other work",D654)&amp;IF(AND(K654&lt;&gt;"",E654&lt;&gt;""),", "&amp;E654,""))</f>
        <v/>
      </c>
      <c r="T654">
        <f>IF(R654="","",IF(COUNTIFS(R$6:R653,"&gt;0",S$6:S653,S654,N$6:N653,N654)=0,R654,""))</f>
        <v/>
      </c>
      <c r="U654">
        <f>IF(B654="","",IF(J654&lt;&gt;"",0,M654))</f>
        <v/>
      </c>
    </row>
    <row r="655">
      <c r="A655" s="1" t="n"/>
      <c r="B655" s="16" t="n"/>
      <c r="C655" s="17" t="n"/>
      <c r="D655" s="18" t="n"/>
      <c r="E655" s="18" t="n"/>
      <c r="F655" s="19" t="n"/>
      <c r="G655" s="19" t="n"/>
      <c r="H655" s="20" t="n"/>
      <c r="I655" s="21" t="n"/>
      <c r="J655" s="22" t="n"/>
      <c r="K655" s="23" t="n"/>
      <c r="L655" s="18" t="n"/>
      <c r="M655" s="24">
        <f>IF(B655="","",IF(AND(F655&lt;&gt;"",G655&lt;&gt;""),MAX(0,ROUND(MOD(G655-F655,1)*24-N(H655)/60,2)),N(I655)))</f>
        <v/>
      </c>
      <c r="N655" s="14">
        <f>IF(B655="","",IF(K655&lt;&gt;"",K655,IF(N(IFERROR(INDEX(Projects!$D$6:$D$65,MATCH(D655,Projects!$B$6:$B$65,0)),""))&gt;0,IFERROR(INDEX(Projects!$D$6:$D$65,MATCH(D655,Projects!$B$6:$B$65,0)),""),IFERROR(INDEX(Clients!$G$6:$G$45,MATCH(C655,Clients!$B$6:$B$45,0)),0))))</f>
        <v/>
      </c>
      <c r="O655" s="14">
        <f>IF(B655="","",IF(J655&lt;&gt;"",0,ROUND(M655*N655,2)))</f>
        <v/>
      </c>
      <c r="P655" s="15">
        <f>IF(OR(B655="",J655&lt;&gt;""),"",IF(L655&lt;&gt;"",L655,IF(COUNTIFS(Invoices!$C$6:$C$305,C655,Invoices!$E$6:$E$305,"&lt;="&amp;B655,Invoices!$F$6:$F$305,"&gt;="&amp;B655)=1,INDEX(Invoices!$B$6:$B$305,SUMIFS(Invoices!$O$6:$O$305,Invoices!$C$6:$C$305,C655,Invoices!$E$6:$E$305,"&lt;="&amp;B655,Invoices!$F$6:$F$305,"&gt;="&amp;B655)),IF(COUNTIFS(Invoices!$C$6:$C$305,C655,Invoices!$E$6:$E$305,"&lt;="&amp;B655,Invoices!$F$6:$F$305,"&gt;="&amp;B655)&gt;1,"Two invoices",""))))</f>
        <v/>
      </c>
      <c r="Q655" s="15">
        <f>IF(B655="","",IF(J655&lt;&gt;"","Not billable",IF(P655="","To invoice",IF(P655="Two invoices","Check dates",IF(ISNA(MATCH(P655,Invoices!$B$6:$B$305,0)),"Check number",IF(INDEX(Invoices!$M$6:$M$305,MATCH(P655,Invoices!$B$6:$B$305,0))="Paid","Paid",IF(INDEX(Invoices!$M$6:$M$305,MATCH(P655,Invoices!$B$6:$B$305,0))="Draft","Draft","Invoiced")))))))</f>
        <v/>
      </c>
      <c r="R655" s="1">
        <f>IF(AND(B655&lt;&gt;"",P655&lt;&gt;"",P655=Invoice!$G$4),B655+MOD(N(F655),1)+ROW()/10000000,"")</f>
        <v/>
      </c>
      <c r="S655">
        <f>IF(R655="","",IF(D655="","Other work",D655)&amp;IF(AND(K655&lt;&gt;"",E655&lt;&gt;""),", "&amp;E655,""))</f>
        <v/>
      </c>
      <c r="T655">
        <f>IF(R655="","",IF(COUNTIFS(R$6:R654,"&gt;0",S$6:S654,S655,N$6:N654,N655)=0,R655,""))</f>
        <v/>
      </c>
      <c r="U655">
        <f>IF(B655="","",IF(J655&lt;&gt;"",0,M655))</f>
        <v/>
      </c>
    </row>
    <row r="656">
      <c r="A656" s="1" t="n"/>
      <c r="B656" s="16" t="n"/>
      <c r="C656" s="17" t="n"/>
      <c r="D656" s="18" t="n"/>
      <c r="E656" s="18" t="n"/>
      <c r="F656" s="19" t="n"/>
      <c r="G656" s="19" t="n"/>
      <c r="H656" s="20" t="n"/>
      <c r="I656" s="21" t="n"/>
      <c r="J656" s="22" t="n"/>
      <c r="K656" s="23" t="n"/>
      <c r="L656" s="18" t="n"/>
      <c r="M656" s="24">
        <f>IF(B656="","",IF(AND(F656&lt;&gt;"",G656&lt;&gt;""),MAX(0,ROUND(MOD(G656-F656,1)*24-N(H656)/60,2)),N(I656)))</f>
        <v/>
      </c>
      <c r="N656" s="14">
        <f>IF(B656="","",IF(K656&lt;&gt;"",K656,IF(N(IFERROR(INDEX(Projects!$D$6:$D$65,MATCH(D656,Projects!$B$6:$B$65,0)),""))&gt;0,IFERROR(INDEX(Projects!$D$6:$D$65,MATCH(D656,Projects!$B$6:$B$65,0)),""),IFERROR(INDEX(Clients!$G$6:$G$45,MATCH(C656,Clients!$B$6:$B$45,0)),0))))</f>
        <v/>
      </c>
      <c r="O656" s="14">
        <f>IF(B656="","",IF(J656&lt;&gt;"",0,ROUND(M656*N656,2)))</f>
        <v/>
      </c>
      <c r="P656" s="15">
        <f>IF(OR(B656="",J656&lt;&gt;""),"",IF(L656&lt;&gt;"",L656,IF(COUNTIFS(Invoices!$C$6:$C$305,C656,Invoices!$E$6:$E$305,"&lt;="&amp;B656,Invoices!$F$6:$F$305,"&gt;="&amp;B656)=1,INDEX(Invoices!$B$6:$B$305,SUMIFS(Invoices!$O$6:$O$305,Invoices!$C$6:$C$305,C656,Invoices!$E$6:$E$305,"&lt;="&amp;B656,Invoices!$F$6:$F$305,"&gt;="&amp;B656)),IF(COUNTIFS(Invoices!$C$6:$C$305,C656,Invoices!$E$6:$E$305,"&lt;="&amp;B656,Invoices!$F$6:$F$305,"&gt;="&amp;B656)&gt;1,"Two invoices",""))))</f>
        <v/>
      </c>
      <c r="Q656" s="15">
        <f>IF(B656="","",IF(J656&lt;&gt;"","Not billable",IF(P656="","To invoice",IF(P656="Two invoices","Check dates",IF(ISNA(MATCH(P656,Invoices!$B$6:$B$305,0)),"Check number",IF(INDEX(Invoices!$M$6:$M$305,MATCH(P656,Invoices!$B$6:$B$305,0))="Paid","Paid",IF(INDEX(Invoices!$M$6:$M$305,MATCH(P656,Invoices!$B$6:$B$305,0))="Draft","Draft","Invoiced")))))))</f>
        <v/>
      </c>
      <c r="R656" s="1">
        <f>IF(AND(B656&lt;&gt;"",P656&lt;&gt;"",P656=Invoice!$G$4),B656+MOD(N(F656),1)+ROW()/10000000,"")</f>
        <v/>
      </c>
      <c r="S656">
        <f>IF(R656="","",IF(D656="","Other work",D656)&amp;IF(AND(K656&lt;&gt;"",E656&lt;&gt;""),", "&amp;E656,""))</f>
        <v/>
      </c>
      <c r="T656">
        <f>IF(R656="","",IF(COUNTIFS(R$6:R655,"&gt;0",S$6:S655,S656,N$6:N655,N656)=0,R656,""))</f>
        <v/>
      </c>
      <c r="U656">
        <f>IF(B656="","",IF(J656&lt;&gt;"",0,M656))</f>
        <v/>
      </c>
    </row>
    <row r="657">
      <c r="A657" s="1" t="n"/>
      <c r="B657" s="16" t="n"/>
      <c r="C657" s="17" t="n"/>
      <c r="D657" s="18" t="n"/>
      <c r="E657" s="18" t="n"/>
      <c r="F657" s="19" t="n"/>
      <c r="G657" s="19" t="n"/>
      <c r="H657" s="20" t="n"/>
      <c r="I657" s="21" t="n"/>
      <c r="J657" s="22" t="n"/>
      <c r="K657" s="23" t="n"/>
      <c r="L657" s="18" t="n"/>
      <c r="M657" s="24">
        <f>IF(B657="","",IF(AND(F657&lt;&gt;"",G657&lt;&gt;""),MAX(0,ROUND(MOD(G657-F657,1)*24-N(H657)/60,2)),N(I657)))</f>
        <v/>
      </c>
      <c r="N657" s="14">
        <f>IF(B657="","",IF(K657&lt;&gt;"",K657,IF(N(IFERROR(INDEX(Projects!$D$6:$D$65,MATCH(D657,Projects!$B$6:$B$65,0)),""))&gt;0,IFERROR(INDEX(Projects!$D$6:$D$65,MATCH(D657,Projects!$B$6:$B$65,0)),""),IFERROR(INDEX(Clients!$G$6:$G$45,MATCH(C657,Clients!$B$6:$B$45,0)),0))))</f>
        <v/>
      </c>
      <c r="O657" s="14">
        <f>IF(B657="","",IF(J657&lt;&gt;"",0,ROUND(M657*N657,2)))</f>
        <v/>
      </c>
      <c r="P657" s="15">
        <f>IF(OR(B657="",J657&lt;&gt;""),"",IF(L657&lt;&gt;"",L657,IF(COUNTIFS(Invoices!$C$6:$C$305,C657,Invoices!$E$6:$E$305,"&lt;="&amp;B657,Invoices!$F$6:$F$305,"&gt;="&amp;B657)=1,INDEX(Invoices!$B$6:$B$305,SUMIFS(Invoices!$O$6:$O$305,Invoices!$C$6:$C$305,C657,Invoices!$E$6:$E$305,"&lt;="&amp;B657,Invoices!$F$6:$F$305,"&gt;="&amp;B657)),IF(COUNTIFS(Invoices!$C$6:$C$305,C657,Invoices!$E$6:$E$305,"&lt;="&amp;B657,Invoices!$F$6:$F$305,"&gt;="&amp;B657)&gt;1,"Two invoices",""))))</f>
        <v/>
      </c>
      <c r="Q657" s="15">
        <f>IF(B657="","",IF(J657&lt;&gt;"","Not billable",IF(P657="","To invoice",IF(P657="Two invoices","Check dates",IF(ISNA(MATCH(P657,Invoices!$B$6:$B$305,0)),"Check number",IF(INDEX(Invoices!$M$6:$M$305,MATCH(P657,Invoices!$B$6:$B$305,0))="Paid","Paid",IF(INDEX(Invoices!$M$6:$M$305,MATCH(P657,Invoices!$B$6:$B$305,0))="Draft","Draft","Invoiced")))))))</f>
        <v/>
      </c>
      <c r="R657" s="1">
        <f>IF(AND(B657&lt;&gt;"",P657&lt;&gt;"",P657=Invoice!$G$4),B657+MOD(N(F657),1)+ROW()/10000000,"")</f>
        <v/>
      </c>
      <c r="S657">
        <f>IF(R657="","",IF(D657="","Other work",D657)&amp;IF(AND(K657&lt;&gt;"",E657&lt;&gt;""),", "&amp;E657,""))</f>
        <v/>
      </c>
      <c r="T657">
        <f>IF(R657="","",IF(COUNTIFS(R$6:R656,"&gt;0",S$6:S656,S657,N$6:N656,N657)=0,R657,""))</f>
        <v/>
      </c>
      <c r="U657">
        <f>IF(B657="","",IF(J657&lt;&gt;"",0,M657))</f>
        <v/>
      </c>
    </row>
    <row r="658">
      <c r="A658" s="1" t="n"/>
      <c r="B658" s="16" t="n"/>
      <c r="C658" s="17" t="n"/>
      <c r="D658" s="18" t="n"/>
      <c r="E658" s="18" t="n"/>
      <c r="F658" s="19" t="n"/>
      <c r="G658" s="19" t="n"/>
      <c r="H658" s="20" t="n"/>
      <c r="I658" s="21" t="n"/>
      <c r="J658" s="22" t="n"/>
      <c r="K658" s="23" t="n"/>
      <c r="L658" s="18" t="n"/>
      <c r="M658" s="24">
        <f>IF(B658="","",IF(AND(F658&lt;&gt;"",G658&lt;&gt;""),MAX(0,ROUND(MOD(G658-F658,1)*24-N(H658)/60,2)),N(I658)))</f>
        <v/>
      </c>
      <c r="N658" s="14">
        <f>IF(B658="","",IF(K658&lt;&gt;"",K658,IF(N(IFERROR(INDEX(Projects!$D$6:$D$65,MATCH(D658,Projects!$B$6:$B$65,0)),""))&gt;0,IFERROR(INDEX(Projects!$D$6:$D$65,MATCH(D658,Projects!$B$6:$B$65,0)),""),IFERROR(INDEX(Clients!$G$6:$G$45,MATCH(C658,Clients!$B$6:$B$45,0)),0))))</f>
        <v/>
      </c>
      <c r="O658" s="14">
        <f>IF(B658="","",IF(J658&lt;&gt;"",0,ROUND(M658*N658,2)))</f>
        <v/>
      </c>
      <c r="P658" s="15">
        <f>IF(OR(B658="",J658&lt;&gt;""),"",IF(L658&lt;&gt;"",L658,IF(COUNTIFS(Invoices!$C$6:$C$305,C658,Invoices!$E$6:$E$305,"&lt;="&amp;B658,Invoices!$F$6:$F$305,"&gt;="&amp;B658)=1,INDEX(Invoices!$B$6:$B$305,SUMIFS(Invoices!$O$6:$O$305,Invoices!$C$6:$C$305,C658,Invoices!$E$6:$E$305,"&lt;="&amp;B658,Invoices!$F$6:$F$305,"&gt;="&amp;B658)),IF(COUNTIFS(Invoices!$C$6:$C$305,C658,Invoices!$E$6:$E$305,"&lt;="&amp;B658,Invoices!$F$6:$F$305,"&gt;="&amp;B658)&gt;1,"Two invoices",""))))</f>
        <v/>
      </c>
      <c r="Q658" s="15">
        <f>IF(B658="","",IF(J658&lt;&gt;"","Not billable",IF(P658="","To invoice",IF(P658="Two invoices","Check dates",IF(ISNA(MATCH(P658,Invoices!$B$6:$B$305,0)),"Check number",IF(INDEX(Invoices!$M$6:$M$305,MATCH(P658,Invoices!$B$6:$B$305,0))="Paid","Paid",IF(INDEX(Invoices!$M$6:$M$305,MATCH(P658,Invoices!$B$6:$B$305,0))="Draft","Draft","Invoiced")))))))</f>
        <v/>
      </c>
      <c r="R658" s="1">
        <f>IF(AND(B658&lt;&gt;"",P658&lt;&gt;"",P658=Invoice!$G$4),B658+MOD(N(F658),1)+ROW()/10000000,"")</f>
        <v/>
      </c>
      <c r="S658">
        <f>IF(R658="","",IF(D658="","Other work",D658)&amp;IF(AND(K658&lt;&gt;"",E658&lt;&gt;""),", "&amp;E658,""))</f>
        <v/>
      </c>
      <c r="T658">
        <f>IF(R658="","",IF(COUNTIFS(R$6:R657,"&gt;0",S$6:S657,S658,N$6:N657,N658)=0,R658,""))</f>
        <v/>
      </c>
      <c r="U658">
        <f>IF(B658="","",IF(J658&lt;&gt;"",0,M658))</f>
        <v/>
      </c>
    </row>
    <row r="659">
      <c r="A659" s="1" t="n"/>
      <c r="B659" s="16" t="n"/>
      <c r="C659" s="17" t="n"/>
      <c r="D659" s="18" t="n"/>
      <c r="E659" s="18" t="n"/>
      <c r="F659" s="19" t="n"/>
      <c r="G659" s="19" t="n"/>
      <c r="H659" s="20" t="n"/>
      <c r="I659" s="21" t="n"/>
      <c r="J659" s="22" t="n"/>
      <c r="K659" s="23" t="n"/>
      <c r="L659" s="18" t="n"/>
      <c r="M659" s="24">
        <f>IF(B659="","",IF(AND(F659&lt;&gt;"",G659&lt;&gt;""),MAX(0,ROUND(MOD(G659-F659,1)*24-N(H659)/60,2)),N(I659)))</f>
        <v/>
      </c>
      <c r="N659" s="14">
        <f>IF(B659="","",IF(K659&lt;&gt;"",K659,IF(N(IFERROR(INDEX(Projects!$D$6:$D$65,MATCH(D659,Projects!$B$6:$B$65,0)),""))&gt;0,IFERROR(INDEX(Projects!$D$6:$D$65,MATCH(D659,Projects!$B$6:$B$65,0)),""),IFERROR(INDEX(Clients!$G$6:$G$45,MATCH(C659,Clients!$B$6:$B$45,0)),0))))</f>
        <v/>
      </c>
      <c r="O659" s="14">
        <f>IF(B659="","",IF(J659&lt;&gt;"",0,ROUND(M659*N659,2)))</f>
        <v/>
      </c>
      <c r="P659" s="15">
        <f>IF(OR(B659="",J659&lt;&gt;""),"",IF(L659&lt;&gt;"",L659,IF(COUNTIFS(Invoices!$C$6:$C$305,C659,Invoices!$E$6:$E$305,"&lt;="&amp;B659,Invoices!$F$6:$F$305,"&gt;="&amp;B659)=1,INDEX(Invoices!$B$6:$B$305,SUMIFS(Invoices!$O$6:$O$305,Invoices!$C$6:$C$305,C659,Invoices!$E$6:$E$305,"&lt;="&amp;B659,Invoices!$F$6:$F$305,"&gt;="&amp;B659)),IF(COUNTIFS(Invoices!$C$6:$C$305,C659,Invoices!$E$6:$E$305,"&lt;="&amp;B659,Invoices!$F$6:$F$305,"&gt;="&amp;B659)&gt;1,"Two invoices",""))))</f>
        <v/>
      </c>
      <c r="Q659" s="15">
        <f>IF(B659="","",IF(J659&lt;&gt;"","Not billable",IF(P659="","To invoice",IF(P659="Two invoices","Check dates",IF(ISNA(MATCH(P659,Invoices!$B$6:$B$305,0)),"Check number",IF(INDEX(Invoices!$M$6:$M$305,MATCH(P659,Invoices!$B$6:$B$305,0))="Paid","Paid",IF(INDEX(Invoices!$M$6:$M$305,MATCH(P659,Invoices!$B$6:$B$305,0))="Draft","Draft","Invoiced")))))))</f>
        <v/>
      </c>
      <c r="R659" s="1">
        <f>IF(AND(B659&lt;&gt;"",P659&lt;&gt;"",P659=Invoice!$G$4),B659+MOD(N(F659),1)+ROW()/10000000,"")</f>
        <v/>
      </c>
      <c r="S659">
        <f>IF(R659="","",IF(D659="","Other work",D659)&amp;IF(AND(K659&lt;&gt;"",E659&lt;&gt;""),", "&amp;E659,""))</f>
        <v/>
      </c>
      <c r="T659">
        <f>IF(R659="","",IF(COUNTIFS(R$6:R658,"&gt;0",S$6:S658,S659,N$6:N658,N659)=0,R659,""))</f>
        <v/>
      </c>
      <c r="U659">
        <f>IF(B659="","",IF(J659&lt;&gt;"",0,M659))</f>
        <v/>
      </c>
    </row>
    <row r="660">
      <c r="A660" s="1" t="n"/>
      <c r="B660" s="16" t="n"/>
      <c r="C660" s="17" t="n"/>
      <c r="D660" s="18" t="n"/>
      <c r="E660" s="18" t="n"/>
      <c r="F660" s="19" t="n"/>
      <c r="G660" s="19" t="n"/>
      <c r="H660" s="20" t="n"/>
      <c r="I660" s="21" t="n"/>
      <c r="J660" s="22" t="n"/>
      <c r="K660" s="23" t="n"/>
      <c r="L660" s="18" t="n"/>
      <c r="M660" s="24">
        <f>IF(B660="","",IF(AND(F660&lt;&gt;"",G660&lt;&gt;""),MAX(0,ROUND(MOD(G660-F660,1)*24-N(H660)/60,2)),N(I660)))</f>
        <v/>
      </c>
      <c r="N660" s="14">
        <f>IF(B660="","",IF(K660&lt;&gt;"",K660,IF(N(IFERROR(INDEX(Projects!$D$6:$D$65,MATCH(D660,Projects!$B$6:$B$65,0)),""))&gt;0,IFERROR(INDEX(Projects!$D$6:$D$65,MATCH(D660,Projects!$B$6:$B$65,0)),""),IFERROR(INDEX(Clients!$G$6:$G$45,MATCH(C660,Clients!$B$6:$B$45,0)),0))))</f>
        <v/>
      </c>
      <c r="O660" s="14">
        <f>IF(B660="","",IF(J660&lt;&gt;"",0,ROUND(M660*N660,2)))</f>
        <v/>
      </c>
      <c r="P660" s="15">
        <f>IF(OR(B660="",J660&lt;&gt;""),"",IF(L660&lt;&gt;"",L660,IF(COUNTIFS(Invoices!$C$6:$C$305,C660,Invoices!$E$6:$E$305,"&lt;="&amp;B660,Invoices!$F$6:$F$305,"&gt;="&amp;B660)=1,INDEX(Invoices!$B$6:$B$305,SUMIFS(Invoices!$O$6:$O$305,Invoices!$C$6:$C$305,C660,Invoices!$E$6:$E$305,"&lt;="&amp;B660,Invoices!$F$6:$F$305,"&gt;="&amp;B660)),IF(COUNTIFS(Invoices!$C$6:$C$305,C660,Invoices!$E$6:$E$305,"&lt;="&amp;B660,Invoices!$F$6:$F$305,"&gt;="&amp;B660)&gt;1,"Two invoices",""))))</f>
        <v/>
      </c>
      <c r="Q660" s="15">
        <f>IF(B660="","",IF(J660&lt;&gt;"","Not billable",IF(P660="","To invoice",IF(P660="Two invoices","Check dates",IF(ISNA(MATCH(P660,Invoices!$B$6:$B$305,0)),"Check number",IF(INDEX(Invoices!$M$6:$M$305,MATCH(P660,Invoices!$B$6:$B$305,0))="Paid","Paid",IF(INDEX(Invoices!$M$6:$M$305,MATCH(P660,Invoices!$B$6:$B$305,0))="Draft","Draft","Invoiced")))))))</f>
        <v/>
      </c>
      <c r="R660" s="1">
        <f>IF(AND(B660&lt;&gt;"",P660&lt;&gt;"",P660=Invoice!$G$4),B660+MOD(N(F660),1)+ROW()/10000000,"")</f>
        <v/>
      </c>
      <c r="S660">
        <f>IF(R660="","",IF(D660="","Other work",D660)&amp;IF(AND(K660&lt;&gt;"",E660&lt;&gt;""),", "&amp;E660,""))</f>
        <v/>
      </c>
      <c r="T660">
        <f>IF(R660="","",IF(COUNTIFS(R$6:R659,"&gt;0",S$6:S659,S660,N$6:N659,N660)=0,R660,""))</f>
        <v/>
      </c>
      <c r="U660">
        <f>IF(B660="","",IF(J660&lt;&gt;"",0,M660))</f>
        <v/>
      </c>
    </row>
    <row r="661">
      <c r="A661" s="1" t="n"/>
      <c r="B661" s="16" t="n"/>
      <c r="C661" s="17" t="n"/>
      <c r="D661" s="18" t="n"/>
      <c r="E661" s="18" t="n"/>
      <c r="F661" s="19" t="n"/>
      <c r="G661" s="19" t="n"/>
      <c r="H661" s="20" t="n"/>
      <c r="I661" s="21" t="n"/>
      <c r="J661" s="22" t="n"/>
      <c r="K661" s="23" t="n"/>
      <c r="L661" s="18" t="n"/>
      <c r="M661" s="24">
        <f>IF(B661="","",IF(AND(F661&lt;&gt;"",G661&lt;&gt;""),MAX(0,ROUND(MOD(G661-F661,1)*24-N(H661)/60,2)),N(I661)))</f>
        <v/>
      </c>
      <c r="N661" s="14">
        <f>IF(B661="","",IF(K661&lt;&gt;"",K661,IF(N(IFERROR(INDEX(Projects!$D$6:$D$65,MATCH(D661,Projects!$B$6:$B$65,0)),""))&gt;0,IFERROR(INDEX(Projects!$D$6:$D$65,MATCH(D661,Projects!$B$6:$B$65,0)),""),IFERROR(INDEX(Clients!$G$6:$G$45,MATCH(C661,Clients!$B$6:$B$45,0)),0))))</f>
        <v/>
      </c>
      <c r="O661" s="14">
        <f>IF(B661="","",IF(J661&lt;&gt;"",0,ROUND(M661*N661,2)))</f>
        <v/>
      </c>
      <c r="P661" s="15">
        <f>IF(OR(B661="",J661&lt;&gt;""),"",IF(L661&lt;&gt;"",L661,IF(COUNTIFS(Invoices!$C$6:$C$305,C661,Invoices!$E$6:$E$305,"&lt;="&amp;B661,Invoices!$F$6:$F$305,"&gt;="&amp;B661)=1,INDEX(Invoices!$B$6:$B$305,SUMIFS(Invoices!$O$6:$O$305,Invoices!$C$6:$C$305,C661,Invoices!$E$6:$E$305,"&lt;="&amp;B661,Invoices!$F$6:$F$305,"&gt;="&amp;B661)),IF(COUNTIFS(Invoices!$C$6:$C$305,C661,Invoices!$E$6:$E$305,"&lt;="&amp;B661,Invoices!$F$6:$F$305,"&gt;="&amp;B661)&gt;1,"Two invoices",""))))</f>
        <v/>
      </c>
      <c r="Q661" s="15">
        <f>IF(B661="","",IF(J661&lt;&gt;"","Not billable",IF(P661="","To invoice",IF(P661="Two invoices","Check dates",IF(ISNA(MATCH(P661,Invoices!$B$6:$B$305,0)),"Check number",IF(INDEX(Invoices!$M$6:$M$305,MATCH(P661,Invoices!$B$6:$B$305,0))="Paid","Paid",IF(INDEX(Invoices!$M$6:$M$305,MATCH(P661,Invoices!$B$6:$B$305,0))="Draft","Draft","Invoiced")))))))</f>
        <v/>
      </c>
      <c r="R661" s="1">
        <f>IF(AND(B661&lt;&gt;"",P661&lt;&gt;"",P661=Invoice!$G$4),B661+MOD(N(F661),1)+ROW()/10000000,"")</f>
        <v/>
      </c>
      <c r="S661">
        <f>IF(R661="","",IF(D661="","Other work",D661)&amp;IF(AND(K661&lt;&gt;"",E661&lt;&gt;""),", "&amp;E661,""))</f>
        <v/>
      </c>
      <c r="T661">
        <f>IF(R661="","",IF(COUNTIFS(R$6:R660,"&gt;0",S$6:S660,S661,N$6:N660,N661)=0,R661,""))</f>
        <v/>
      </c>
      <c r="U661">
        <f>IF(B661="","",IF(J661&lt;&gt;"",0,M661))</f>
        <v/>
      </c>
    </row>
    <row r="662">
      <c r="A662" s="1" t="n"/>
      <c r="B662" s="16" t="n"/>
      <c r="C662" s="17" t="n"/>
      <c r="D662" s="18" t="n"/>
      <c r="E662" s="18" t="n"/>
      <c r="F662" s="19" t="n"/>
      <c r="G662" s="19" t="n"/>
      <c r="H662" s="20" t="n"/>
      <c r="I662" s="21" t="n"/>
      <c r="J662" s="22" t="n"/>
      <c r="K662" s="23" t="n"/>
      <c r="L662" s="18" t="n"/>
      <c r="M662" s="24">
        <f>IF(B662="","",IF(AND(F662&lt;&gt;"",G662&lt;&gt;""),MAX(0,ROUND(MOD(G662-F662,1)*24-N(H662)/60,2)),N(I662)))</f>
        <v/>
      </c>
      <c r="N662" s="14">
        <f>IF(B662="","",IF(K662&lt;&gt;"",K662,IF(N(IFERROR(INDEX(Projects!$D$6:$D$65,MATCH(D662,Projects!$B$6:$B$65,0)),""))&gt;0,IFERROR(INDEX(Projects!$D$6:$D$65,MATCH(D662,Projects!$B$6:$B$65,0)),""),IFERROR(INDEX(Clients!$G$6:$G$45,MATCH(C662,Clients!$B$6:$B$45,0)),0))))</f>
        <v/>
      </c>
      <c r="O662" s="14">
        <f>IF(B662="","",IF(J662&lt;&gt;"",0,ROUND(M662*N662,2)))</f>
        <v/>
      </c>
      <c r="P662" s="15">
        <f>IF(OR(B662="",J662&lt;&gt;""),"",IF(L662&lt;&gt;"",L662,IF(COUNTIFS(Invoices!$C$6:$C$305,C662,Invoices!$E$6:$E$305,"&lt;="&amp;B662,Invoices!$F$6:$F$305,"&gt;="&amp;B662)=1,INDEX(Invoices!$B$6:$B$305,SUMIFS(Invoices!$O$6:$O$305,Invoices!$C$6:$C$305,C662,Invoices!$E$6:$E$305,"&lt;="&amp;B662,Invoices!$F$6:$F$305,"&gt;="&amp;B662)),IF(COUNTIFS(Invoices!$C$6:$C$305,C662,Invoices!$E$6:$E$305,"&lt;="&amp;B662,Invoices!$F$6:$F$305,"&gt;="&amp;B662)&gt;1,"Two invoices",""))))</f>
        <v/>
      </c>
      <c r="Q662" s="15">
        <f>IF(B662="","",IF(J662&lt;&gt;"","Not billable",IF(P662="","To invoice",IF(P662="Two invoices","Check dates",IF(ISNA(MATCH(P662,Invoices!$B$6:$B$305,0)),"Check number",IF(INDEX(Invoices!$M$6:$M$305,MATCH(P662,Invoices!$B$6:$B$305,0))="Paid","Paid",IF(INDEX(Invoices!$M$6:$M$305,MATCH(P662,Invoices!$B$6:$B$305,0))="Draft","Draft","Invoiced")))))))</f>
        <v/>
      </c>
      <c r="R662" s="1">
        <f>IF(AND(B662&lt;&gt;"",P662&lt;&gt;"",P662=Invoice!$G$4),B662+MOD(N(F662),1)+ROW()/10000000,"")</f>
        <v/>
      </c>
      <c r="S662">
        <f>IF(R662="","",IF(D662="","Other work",D662)&amp;IF(AND(K662&lt;&gt;"",E662&lt;&gt;""),", "&amp;E662,""))</f>
        <v/>
      </c>
      <c r="T662">
        <f>IF(R662="","",IF(COUNTIFS(R$6:R661,"&gt;0",S$6:S661,S662,N$6:N661,N662)=0,R662,""))</f>
        <v/>
      </c>
      <c r="U662">
        <f>IF(B662="","",IF(J662&lt;&gt;"",0,M662))</f>
        <v/>
      </c>
    </row>
    <row r="663">
      <c r="A663" s="1" t="n"/>
      <c r="B663" s="16" t="n"/>
      <c r="C663" s="17" t="n"/>
      <c r="D663" s="18" t="n"/>
      <c r="E663" s="18" t="n"/>
      <c r="F663" s="19" t="n"/>
      <c r="G663" s="19" t="n"/>
      <c r="H663" s="20" t="n"/>
      <c r="I663" s="21" t="n"/>
      <c r="J663" s="22" t="n"/>
      <c r="K663" s="23" t="n"/>
      <c r="L663" s="18" t="n"/>
      <c r="M663" s="24">
        <f>IF(B663="","",IF(AND(F663&lt;&gt;"",G663&lt;&gt;""),MAX(0,ROUND(MOD(G663-F663,1)*24-N(H663)/60,2)),N(I663)))</f>
        <v/>
      </c>
      <c r="N663" s="14">
        <f>IF(B663="","",IF(K663&lt;&gt;"",K663,IF(N(IFERROR(INDEX(Projects!$D$6:$D$65,MATCH(D663,Projects!$B$6:$B$65,0)),""))&gt;0,IFERROR(INDEX(Projects!$D$6:$D$65,MATCH(D663,Projects!$B$6:$B$65,0)),""),IFERROR(INDEX(Clients!$G$6:$G$45,MATCH(C663,Clients!$B$6:$B$45,0)),0))))</f>
        <v/>
      </c>
      <c r="O663" s="14">
        <f>IF(B663="","",IF(J663&lt;&gt;"",0,ROUND(M663*N663,2)))</f>
        <v/>
      </c>
      <c r="P663" s="15">
        <f>IF(OR(B663="",J663&lt;&gt;""),"",IF(L663&lt;&gt;"",L663,IF(COUNTIFS(Invoices!$C$6:$C$305,C663,Invoices!$E$6:$E$305,"&lt;="&amp;B663,Invoices!$F$6:$F$305,"&gt;="&amp;B663)=1,INDEX(Invoices!$B$6:$B$305,SUMIFS(Invoices!$O$6:$O$305,Invoices!$C$6:$C$305,C663,Invoices!$E$6:$E$305,"&lt;="&amp;B663,Invoices!$F$6:$F$305,"&gt;="&amp;B663)),IF(COUNTIFS(Invoices!$C$6:$C$305,C663,Invoices!$E$6:$E$305,"&lt;="&amp;B663,Invoices!$F$6:$F$305,"&gt;="&amp;B663)&gt;1,"Two invoices",""))))</f>
        <v/>
      </c>
      <c r="Q663" s="15">
        <f>IF(B663="","",IF(J663&lt;&gt;"","Not billable",IF(P663="","To invoice",IF(P663="Two invoices","Check dates",IF(ISNA(MATCH(P663,Invoices!$B$6:$B$305,0)),"Check number",IF(INDEX(Invoices!$M$6:$M$305,MATCH(P663,Invoices!$B$6:$B$305,0))="Paid","Paid",IF(INDEX(Invoices!$M$6:$M$305,MATCH(P663,Invoices!$B$6:$B$305,0))="Draft","Draft","Invoiced")))))))</f>
        <v/>
      </c>
      <c r="R663" s="1">
        <f>IF(AND(B663&lt;&gt;"",P663&lt;&gt;"",P663=Invoice!$G$4),B663+MOD(N(F663),1)+ROW()/10000000,"")</f>
        <v/>
      </c>
      <c r="S663">
        <f>IF(R663="","",IF(D663="","Other work",D663)&amp;IF(AND(K663&lt;&gt;"",E663&lt;&gt;""),", "&amp;E663,""))</f>
        <v/>
      </c>
      <c r="T663">
        <f>IF(R663="","",IF(COUNTIFS(R$6:R662,"&gt;0",S$6:S662,S663,N$6:N662,N663)=0,R663,""))</f>
        <v/>
      </c>
      <c r="U663">
        <f>IF(B663="","",IF(J663&lt;&gt;"",0,M663))</f>
        <v/>
      </c>
    </row>
    <row r="664">
      <c r="A664" s="1" t="n"/>
      <c r="B664" s="16" t="n"/>
      <c r="C664" s="17" t="n"/>
      <c r="D664" s="18" t="n"/>
      <c r="E664" s="18" t="n"/>
      <c r="F664" s="19" t="n"/>
      <c r="G664" s="19" t="n"/>
      <c r="H664" s="20" t="n"/>
      <c r="I664" s="21" t="n"/>
      <c r="J664" s="22" t="n"/>
      <c r="K664" s="23" t="n"/>
      <c r="L664" s="18" t="n"/>
      <c r="M664" s="24">
        <f>IF(B664="","",IF(AND(F664&lt;&gt;"",G664&lt;&gt;""),MAX(0,ROUND(MOD(G664-F664,1)*24-N(H664)/60,2)),N(I664)))</f>
        <v/>
      </c>
      <c r="N664" s="14">
        <f>IF(B664="","",IF(K664&lt;&gt;"",K664,IF(N(IFERROR(INDEX(Projects!$D$6:$D$65,MATCH(D664,Projects!$B$6:$B$65,0)),""))&gt;0,IFERROR(INDEX(Projects!$D$6:$D$65,MATCH(D664,Projects!$B$6:$B$65,0)),""),IFERROR(INDEX(Clients!$G$6:$G$45,MATCH(C664,Clients!$B$6:$B$45,0)),0))))</f>
        <v/>
      </c>
      <c r="O664" s="14">
        <f>IF(B664="","",IF(J664&lt;&gt;"",0,ROUND(M664*N664,2)))</f>
        <v/>
      </c>
      <c r="P664" s="15">
        <f>IF(OR(B664="",J664&lt;&gt;""),"",IF(L664&lt;&gt;"",L664,IF(COUNTIFS(Invoices!$C$6:$C$305,C664,Invoices!$E$6:$E$305,"&lt;="&amp;B664,Invoices!$F$6:$F$305,"&gt;="&amp;B664)=1,INDEX(Invoices!$B$6:$B$305,SUMIFS(Invoices!$O$6:$O$305,Invoices!$C$6:$C$305,C664,Invoices!$E$6:$E$305,"&lt;="&amp;B664,Invoices!$F$6:$F$305,"&gt;="&amp;B664)),IF(COUNTIFS(Invoices!$C$6:$C$305,C664,Invoices!$E$6:$E$305,"&lt;="&amp;B664,Invoices!$F$6:$F$305,"&gt;="&amp;B664)&gt;1,"Two invoices",""))))</f>
        <v/>
      </c>
      <c r="Q664" s="15">
        <f>IF(B664="","",IF(J664&lt;&gt;"","Not billable",IF(P664="","To invoice",IF(P664="Two invoices","Check dates",IF(ISNA(MATCH(P664,Invoices!$B$6:$B$305,0)),"Check number",IF(INDEX(Invoices!$M$6:$M$305,MATCH(P664,Invoices!$B$6:$B$305,0))="Paid","Paid",IF(INDEX(Invoices!$M$6:$M$305,MATCH(P664,Invoices!$B$6:$B$305,0))="Draft","Draft","Invoiced")))))))</f>
        <v/>
      </c>
      <c r="R664" s="1">
        <f>IF(AND(B664&lt;&gt;"",P664&lt;&gt;"",P664=Invoice!$G$4),B664+MOD(N(F664),1)+ROW()/10000000,"")</f>
        <v/>
      </c>
      <c r="S664">
        <f>IF(R664="","",IF(D664="","Other work",D664)&amp;IF(AND(K664&lt;&gt;"",E664&lt;&gt;""),", "&amp;E664,""))</f>
        <v/>
      </c>
      <c r="T664">
        <f>IF(R664="","",IF(COUNTIFS(R$6:R663,"&gt;0",S$6:S663,S664,N$6:N663,N664)=0,R664,""))</f>
        <v/>
      </c>
      <c r="U664">
        <f>IF(B664="","",IF(J664&lt;&gt;"",0,M664))</f>
        <v/>
      </c>
    </row>
    <row r="665">
      <c r="A665" s="1" t="n"/>
      <c r="B665" s="16" t="n"/>
      <c r="C665" s="17" t="n"/>
      <c r="D665" s="18" t="n"/>
      <c r="E665" s="18" t="n"/>
      <c r="F665" s="19" t="n"/>
      <c r="G665" s="19" t="n"/>
      <c r="H665" s="20" t="n"/>
      <c r="I665" s="21" t="n"/>
      <c r="J665" s="22" t="n"/>
      <c r="K665" s="23" t="n"/>
      <c r="L665" s="18" t="n"/>
      <c r="M665" s="24">
        <f>IF(B665="","",IF(AND(F665&lt;&gt;"",G665&lt;&gt;""),MAX(0,ROUND(MOD(G665-F665,1)*24-N(H665)/60,2)),N(I665)))</f>
        <v/>
      </c>
      <c r="N665" s="14">
        <f>IF(B665="","",IF(K665&lt;&gt;"",K665,IF(N(IFERROR(INDEX(Projects!$D$6:$D$65,MATCH(D665,Projects!$B$6:$B$65,0)),""))&gt;0,IFERROR(INDEX(Projects!$D$6:$D$65,MATCH(D665,Projects!$B$6:$B$65,0)),""),IFERROR(INDEX(Clients!$G$6:$G$45,MATCH(C665,Clients!$B$6:$B$45,0)),0))))</f>
        <v/>
      </c>
      <c r="O665" s="14">
        <f>IF(B665="","",IF(J665&lt;&gt;"",0,ROUND(M665*N665,2)))</f>
        <v/>
      </c>
      <c r="P665" s="15">
        <f>IF(OR(B665="",J665&lt;&gt;""),"",IF(L665&lt;&gt;"",L665,IF(COUNTIFS(Invoices!$C$6:$C$305,C665,Invoices!$E$6:$E$305,"&lt;="&amp;B665,Invoices!$F$6:$F$305,"&gt;="&amp;B665)=1,INDEX(Invoices!$B$6:$B$305,SUMIFS(Invoices!$O$6:$O$305,Invoices!$C$6:$C$305,C665,Invoices!$E$6:$E$305,"&lt;="&amp;B665,Invoices!$F$6:$F$305,"&gt;="&amp;B665)),IF(COUNTIFS(Invoices!$C$6:$C$305,C665,Invoices!$E$6:$E$305,"&lt;="&amp;B665,Invoices!$F$6:$F$305,"&gt;="&amp;B665)&gt;1,"Two invoices",""))))</f>
        <v/>
      </c>
      <c r="Q665" s="15">
        <f>IF(B665="","",IF(J665&lt;&gt;"","Not billable",IF(P665="","To invoice",IF(P665="Two invoices","Check dates",IF(ISNA(MATCH(P665,Invoices!$B$6:$B$305,0)),"Check number",IF(INDEX(Invoices!$M$6:$M$305,MATCH(P665,Invoices!$B$6:$B$305,0))="Paid","Paid",IF(INDEX(Invoices!$M$6:$M$305,MATCH(P665,Invoices!$B$6:$B$305,0))="Draft","Draft","Invoiced")))))))</f>
        <v/>
      </c>
      <c r="R665" s="1">
        <f>IF(AND(B665&lt;&gt;"",P665&lt;&gt;"",P665=Invoice!$G$4),B665+MOD(N(F665),1)+ROW()/10000000,"")</f>
        <v/>
      </c>
      <c r="S665">
        <f>IF(R665="","",IF(D665="","Other work",D665)&amp;IF(AND(K665&lt;&gt;"",E665&lt;&gt;""),", "&amp;E665,""))</f>
        <v/>
      </c>
      <c r="T665">
        <f>IF(R665="","",IF(COUNTIFS(R$6:R664,"&gt;0",S$6:S664,S665,N$6:N664,N665)=0,R665,""))</f>
        <v/>
      </c>
      <c r="U665">
        <f>IF(B665="","",IF(J665&lt;&gt;"",0,M665))</f>
        <v/>
      </c>
    </row>
    <row r="666">
      <c r="A666" s="1" t="n"/>
      <c r="B666" s="16" t="n"/>
      <c r="C666" s="17" t="n"/>
      <c r="D666" s="18" t="n"/>
      <c r="E666" s="18" t="n"/>
      <c r="F666" s="19" t="n"/>
      <c r="G666" s="19" t="n"/>
      <c r="H666" s="20" t="n"/>
      <c r="I666" s="21" t="n"/>
      <c r="J666" s="22" t="n"/>
      <c r="K666" s="23" t="n"/>
      <c r="L666" s="18" t="n"/>
      <c r="M666" s="24">
        <f>IF(B666="","",IF(AND(F666&lt;&gt;"",G666&lt;&gt;""),MAX(0,ROUND(MOD(G666-F666,1)*24-N(H666)/60,2)),N(I666)))</f>
        <v/>
      </c>
      <c r="N666" s="14">
        <f>IF(B666="","",IF(K666&lt;&gt;"",K666,IF(N(IFERROR(INDEX(Projects!$D$6:$D$65,MATCH(D666,Projects!$B$6:$B$65,0)),""))&gt;0,IFERROR(INDEX(Projects!$D$6:$D$65,MATCH(D666,Projects!$B$6:$B$65,0)),""),IFERROR(INDEX(Clients!$G$6:$G$45,MATCH(C666,Clients!$B$6:$B$45,0)),0))))</f>
        <v/>
      </c>
      <c r="O666" s="14">
        <f>IF(B666="","",IF(J666&lt;&gt;"",0,ROUND(M666*N666,2)))</f>
        <v/>
      </c>
      <c r="P666" s="15">
        <f>IF(OR(B666="",J666&lt;&gt;""),"",IF(L666&lt;&gt;"",L666,IF(COUNTIFS(Invoices!$C$6:$C$305,C666,Invoices!$E$6:$E$305,"&lt;="&amp;B666,Invoices!$F$6:$F$305,"&gt;="&amp;B666)=1,INDEX(Invoices!$B$6:$B$305,SUMIFS(Invoices!$O$6:$O$305,Invoices!$C$6:$C$305,C666,Invoices!$E$6:$E$305,"&lt;="&amp;B666,Invoices!$F$6:$F$305,"&gt;="&amp;B666)),IF(COUNTIFS(Invoices!$C$6:$C$305,C666,Invoices!$E$6:$E$305,"&lt;="&amp;B666,Invoices!$F$6:$F$305,"&gt;="&amp;B666)&gt;1,"Two invoices",""))))</f>
        <v/>
      </c>
      <c r="Q666" s="15">
        <f>IF(B666="","",IF(J666&lt;&gt;"","Not billable",IF(P666="","To invoice",IF(P666="Two invoices","Check dates",IF(ISNA(MATCH(P666,Invoices!$B$6:$B$305,0)),"Check number",IF(INDEX(Invoices!$M$6:$M$305,MATCH(P666,Invoices!$B$6:$B$305,0))="Paid","Paid",IF(INDEX(Invoices!$M$6:$M$305,MATCH(P666,Invoices!$B$6:$B$305,0))="Draft","Draft","Invoiced")))))))</f>
        <v/>
      </c>
      <c r="R666" s="1">
        <f>IF(AND(B666&lt;&gt;"",P666&lt;&gt;"",P666=Invoice!$G$4),B666+MOD(N(F666),1)+ROW()/10000000,"")</f>
        <v/>
      </c>
      <c r="S666">
        <f>IF(R666="","",IF(D666="","Other work",D666)&amp;IF(AND(K666&lt;&gt;"",E666&lt;&gt;""),", "&amp;E666,""))</f>
        <v/>
      </c>
      <c r="T666">
        <f>IF(R666="","",IF(COUNTIFS(R$6:R665,"&gt;0",S$6:S665,S666,N$6:N665,N666)=0,R666,""))</f>
        <v/>
      </c>
      <c r="U666">
        <f>IF(B666="","",IF(J666&lt;&gt;"",0,M666))</f>
        <v/>
      </c>
    </row>
    <row r="667">
      <c r="A667" s="1" t="n"/>
      <c r="B667" s="16" t="n"/>
      <c r="C667" s="17" t="n"/>
      <c r="D667" s="18" t="n"/>
      <c r="E667" s="18" t="n"/>
      <c r="F667" s="19" t="n"/>
      <c r="G667" s="19" t="n"/>
      <c r="H667" s="20" t="n"/>
      <c r="I667" s="21" t="n"/>
      <c r="J667" s="22" t="n"/>
      <c r="K667" s="23" t="n"/>
      <c r="L667" s="18" t="n"/>
      <c r="M667" s="24">
        <f>IF(B667="","",IF(AND(F667&lt;&gt;"",G667&lt;&gt;""),MAX(0,ROUND(MOD(G667-F667,1)*24-N(H667)/60,2)),N(I667)))</f>
        <v/>
      </c>
      <c r="N667" s="14">
        <f>IF(B667="","",IF(K667&lt;&gt;"",K667,IF(N(IFERROR(INDEX(Projects!$D$6:$D$65,MATCH(D667,Projects!$B$6:$B$65,0)),""))&gt;0,IFERROR(INDEX(Projects!$D$6:$D$65,MATCH(D667,Projects!$B$6:$B$65,0)),""),IFERROR(INDEX(Clients!$G$6:$G$45,MATCH(C667,Clients!$B$6:$B$45,0)),0))))</f>
        <v/>
      </c>
      <c r="O667" s="14">
        <f>IF(B667="","",IF(J667&lt;&gt;"",0,ROUND(M667*N667,2)))</f>
        <v/>
      </c>
      <c r="P667" s="15">
        <f>IF(OR(B667="",J667&lt;&gt;""),"",IF(L667&lt;&gt;"",L667,IF(COUNTIFS(Invoices!$C$6:$C$305,C667,Invoices!$E$6:$E$305,"&lt;="&amp;B667,Invoices!$F$6:$F$305,"&gt;="&amp;B667)=1,INDEX(Invoices!$B$6:$B$305,SUMIFS(Invoices!$O$6:$O$305,Invoices!$C$6:$C$305,C667,Invoices!$E$6:$E$305,"&lt;="&amp;B667,Invoices!$F$6:$F$305,"&gt;="&amp;B667)),IF(COUNTIFS(Invoices!$C$6:$C$305,C667,Invoices!$E$6:$E$305,"&lt;="&amp;B667,Invoices!$F$6:$F$305,"&gt;="&amp;B667)&gt;1,"Two invoices",""))))</f>
        <v/>
      </c>
      <c r="Q667" s="15">
        <f>IF(B667="","",IF(J667&lt;&gt;"","Not billable",IF(P667="","To invoice",IF(P667="Two invoices","Check dates",IF(ISNA(MATCH(P667,Invoices!$B$6:$B$305,0)),"Check number",IF(INDEX(Invoices!$M$6:$M$305,MATCH(P667,Invoices!$B$6:$B$305,0))="Paid","Paid",IF(INDEX(Invoices!$M$6:$M$305,MATCH(P667,Invoices!$B$6:$B$305,0))="Draft","Draft","Invoiced")))))))</f>
        <v/>
      </c>
      <c r="R667" s="1">
        <f>IF(AND(B667&lt;&gt;"",P667&lt;&gt;"",P667=Invoice!$G$4),B667+MOD(N(F667),1)+ROW()/10000000,"")</f>
        <v/>
      </c>
      <c r="S667">
        <f>IF(R667="","",IF(D667="","Other work",D667)&amp;IF(AND(K667&lt;&gt;"",E667&lt;&gt;""),", "&amp;E667,""))</f>
        <v/>
      </c>
      <c r="T667">
        <f>IF(R667="","",IF(COUNTIFS(R$6:R666,"&gt;0",S$6:S666,S667,N$6:N666,N667)=0,R667,""))</f>
        <v/>
      </c>
      <c r="U667">
        <f>IF(B667="","",IF(J667&lt;&gt;"",0,M667))</f>
        <v/>
      </c>
    </row>
    <row r="668">
      <c r="A668" s="1" t="n"/>
      <c r="B668" s="16" t="n"/>
      <c r="C668" s="17" t="n"/>
      <c r="D668" s="18" t="n"/>
      <c r="E668" s="18" t="n"/>
      <c r="F668" s="19" t="n"/>
      <c r="G668" s="19" t="n"/>
      <c r="H668" s="20" t="n"/>
      <c r="I668" s="21" t="n"/>
      <c r="J668" s="22" t="n"/>
      <c r="K668" s="23" t="n"/>
      <c r="L668" s="18" t="n"/>
      <c r="M668" s="24">
        <f>IF(B668="","",IF(AND(F668&lt;&gt;"",G668&lt;&gt;""),MAX(0,ROUND(MOD(G668-F668,1)*24-N(H668)/60,2)),N(I668)))</f>
        <v/>
      </c>
      <c r="N668" s="14">
        <f>IF(B668="","",IF(K668&lt;&gt;"",K668,IF(N(IFERROR(INDEX(Projects!$D$6:$D$65,MATCH(D668,Projects!$B$6:$B$65,0)),""))&gt;0,IFERROR(INDEX(Projects!$D$6:$D$65,MATCH(D668,Projects!$B$6:$B$65,0)),""),IFERROR(INDEX(Clients!$G$6:$G$45,MATCH(C668,Clients!$B$6:$B$45,0)),0))))</f>
        <v/>
      </c>
      <c r="O668" s="14">
        <f>IF(B668="","",IF(J668&lt;&gt;"",0,ROUND(M668*N668,2)))</f>
        <v/>
      </c>
      <c r="P668" s="15">
        <f>IF(OR(B668="",J668&lt;&gt;""),"",IF(L668&lt;&gt;"",L668,IF(COUNTIFS(Invoices!$C$6:$C$305,C668,Invoices!$E$6:$E$305,"&lt;="&amp;B668,Invoices!$F$6:$F$305,"&gt;="&amp;B668)=1,INDEX(Invoices!$B$6:$B$305,SUMIFS(Invoices!$O$6:$O$305,Invoices!$C$6:$C$305,C668,Invoices!$E$6:$E$305,"&lt;="&amp;B668,Invoices!$F$6:$F$305,"&gt;="&amp;B668)),IF(COUNTIFS(Invoices!$C$6:$C$305,C668,Invoices!$E$6:$E$305,"&lt;="&amp;B668,Invoices!$F$6:$F$305,"&gt;="&amp;B668)&gt;1,"Two invoices",""))))</f>
        <v/>
      </c>
      <c r="Q668" s="15">
        <f>IF(B668="","",IF(J668&lt;&gt;"","Not billable",IF(P668="","To invoice",IF(P668="Two invoices","Check dates",IF(ISNA(MATCH(P668,Invoices!$B$6:$B$305,0)),"Check number",IF(INDEX(Invoices!$M$6:$M$305,MATCH(P668,Invoices!$B$6:$B$305,0))="Paid","Paid",IF(INDEX(Invoices!$M$6:$M$305,MATCH(P668,Invoices!$B$6:$B$305,0))="Draft","Draft","Invoiced")))))))</f>
        <v/>
      </c>
      <c r="R668" s="1">
        <f>IF(AND(B668&lt;&gt;"",P668&lt;&gt;"",P668=Invoice!$G$4),B668+MOD(N(F668),1)+ROW()/10000000,"")</f>
        <v/>
      </c>
      <c r="S668">
        <f>IF(R668="","",IF(D668="","Other work",D668)&amp;IF(AND(K668&lt;&gt;"",E668&lt;&gt;""),", "&amp;E668,""))</f>
        <v/>
      </c>
      <c r="T668">
        <f>IF(R668="","",IF(COUNTIFS(R$6:R667,"&gt;0",S$6:S667,S668,N$6:N667,N668)=0,R668,""))</f>
        <v/>
      </c>
      <c r="U668">
        <f>IF(B668="","",IF(J668&lt;&gt;"",0,M668))</f>
        <v/>
      </c>
    </row>
    <row r="669">
      <c r="A669" s="1" t="n"/>
      <c r="B669" s="16" t="n"/>
      <c r="C669" s="17" t="n"/>
      <c r="D669" s="18" t="n"/>
      <c r="E669" s="18" t="n"/>
      <c r="F669" s="19" t="n"/>
      <c r="G669" s="19" t="n"/>
      <c r="H669" s="20" t="n"/>
      <c r="I669" s="21" t="n"/>
      <c r="J669" s="22" t="n"/>
      <c r="K669" s="23" t="n"/>
      <c r="L669" s="18" t="n"/>
      <c r="M669" s="24">
        <f>IF(B669="","",IF(AND(F669&lt;&gt;"",G669&lt;&gt;""),MAX(0,ROUND(MOD(G669-F669,1)*24-N(H669)/60,2)),N(I669)))</f>
        <v/>
      </c>
      <c r="N669" s="14">
        <f>IF(B669="","",IF(K669&lt;&gt;"",K669,IF(N(IFERROR(INDEX(Projects!$D$6:$D$65,MATCH(D669,Projects!$B$6:$B$65,0)),""))&gt;0,IFERROR(INDEX(Projects!$D$6:$D$65,MATCH(D669,Projects!$B$6:$B$65,0)),""),IFERROR(INDEX(Clients!$G$6:$G$45,MATCH(C669,Clients!$B$6:$B$45,0)),0))))</f>
        <v/>
      </c>
      <c r="O669" s="14">
        <f>IF(B669="","",IF(J669&lt;&gt;"",0,ROUND(M669*N669,2)))</f>
        <v/>
      </c>
      <c r="P669" s="15">
        <f>IF(OR(B669="",J669&lt;&gt;""),"",IF(L669&lt;&gt;"",L669,IF(COUNTIFS(Invoices!$C$6:$C$305,C669,Invoices!$E$6:$E$305,"&lt;="&amp;B669,Invoices!$F$6:$F$305,"&gt;="&amp;B669)=1,INDEX(Invoices!$B$6:$B$305,SUMIFS(Invoices!$O$6:$O$305,Invoices!$C$6:$C$305,C669,Invoices!$E$6:$E$305,"&lt;="&amp;B669,Invoices!$F$6:$F$305,"&gt;="&amp;B669)),IF(COUNTIFS(Invoices!$C$6:$C$305,C669,Invoices!$E$6:$E$305,"&lt;="&amp;B669,Invoices!$F$6:$F$305,"&gt;="&amp;B669)&gt;1,"Two invoices",""))))</f>
        <v/>
      </c>
      <c r="Q669" s="15">
        <f>IF(B669="","",IF(J669&lt;&gt;"","Not billable",IF(P669="","To invoice",IF(P669="Two invoices","Check dates",IF(ISNA(MATCH(P669,Invoices!$B$6:$B$305,0)),"Check number",IF(INDEX(Invoices!$M$6:$M$305,MATCH(P669,Invoices!$B$6:$B$305,0))="Paid","Paid",IF(INDEX(Invoices!$M$6:$M$305,MATCH(P669,Invoices!$B$6:$B$305,0))="Draft","Draft","Invoiced")))))))</f>
        <v/>
      </c>
      <c r="R669" s="1">
        <f>IF(AND(B669&lt;&gt;"",P669&lt;&gt;"",P669=Invoice!$G$4),B669+MOD(N(F669),1)+ROW()/10000000,"")</f>
        <v/>
      </c>
      <c r="S669">
        <f>IF(R669="","",IF(D669="","Other work",D669)&amp;IF(AND(K669&lt;&gt;"",E669&lt;&gt;""),", "&amp;E669,""))</f>
        <v/>
      </c>
      <c r="T669">
        <f>IF(R669="","",IF(COUNTIFS(R$6:R668,"&gt;0",S$6:S668,S669,N$6:N668,N669)=0,R669,""))</f>
        <v/>
      </c>
      <c r="U669">
        <f>IF(B669="","",IF(J669&lt;&gt;"",0,M669))</f>
        <v/>
      </c>
    </row>
    <row r="670">
      <c r="A670" s="1" t="n"/>
      <c r="B670" s="16" t="n"/>
      <c r="C670" s="17" t="n"/>
      <c r="D670" s="18" t="n"/>
      <c r="E670" s="18" t="n"/>
      <c r="F670" s="19" t="n"/>
      <c r="G670" s="19" t="n"/>
      <c r="H670" s="20" t="n"/>
      <c r="I670" s="21" t="n"/>
      <c r="J670" s="22" t="n"/>
      <c r="K670" s="23" t="n"/>
      <c r="L670" s="18" t="n"/>
      <c r="M670" s="24">
        <f>IF(B670="","",IF(AND(F670&lt;&gt;"",G670&lt;&gt;""),MAX(0,ROUND(MOD(G670-F670,1)*24-N(H670)/60,2)),N(I670)))</f>
        <v/>
      </c>
      <c r="N670" s="14">
        <f>IF(B670="","",IF(K670&lt;&gt;"",K670,IF(N(IFERROR(INDEX(Projects!$D$6:$D$65,MATCH(D670,Projects!$B$6:$B$65,0)),""))&gt;0,IFERROR(INDEX(Projects!$D$6:$D$65,MATCH(D670,Projects!$B$6:$B$65,0)),""),IFERROR(INDEX(Clients!$G$6:$G$45,MATCH(C670,Clients!$B$6:$B$45,0)),0))))</f>
        <v/>
      </c>
      <c r="O670" s="14">
        <f>IF(B670="","",IF(J670&lt;&gt;"",0,ROUND(M670*N670,2)))</f>
        <v/>
      </c>
      <c r="P670" s="15">
        <f>IF(OR(B670="",J670&lt;&gt;""),"",IF(L670&lt;&gt;"",L670,IF(COUNTIFS(Invoices!$C$6:$C$305,C670,Invoices!$E$6:$E$305,"&lt;="&amp;B670,Invoices!$F$6:$F$305,"&gt;="&amp;B670)=1,INDEX(Invoices!$B$6:$B$305,SUMIFS(Invoices!$O$6:$O$305,Invoices!$C$6:$C$305,C670,Invoices!$E$6:$E$305,"&lt;="&amp;B670,Invoices!$F$6:$F$305,"&gt;="&amp;B670)),IF(COUNTIFS(Invoices!$C$6:$C$305,C670,Invoices!$E$6:$E$305,"&lt;="&amp;B670,Invoices!$F$6:$F$305,"&gt;="&amp;B670)&gt;1,"Two invoices",""))))</f>
        <v/>
      </c>
      <c r="Q670" s="15">
        <f>IF(B670="","",IF(J670&lt;&gt;"","Not billable",IF(P670="","To invoice",IF(P670="Two invoices","Check dates",IF(ISNA(MATCH(P670,Invoices!$B$6:$B$305,0)),"Check number",IF(INDEX(Invoices!$M$6:$M$305,MATCH(P670,Invoices!$B$6:$B$305,0))="Paid","Paid",IF(INDEX(Invoices!$M$6:$M$305,MATCH(P670,Invoices!$B$6:$B$305,0))="Draft","Draft","Invoiced")))))))</f>
        <v/>
      </c>
      <c r="R670" s="1">
        <f>IF(AND(B670&lt;&gt;"",P670&lt;&gt;"",P670=Invoice!$G$4),B670+MOD(N(F670),1)+ROW()/10000000,"")</f>
        <v/>
      </c>
      <c r="S670">
        <f>IF(R670="","",IF(D670="","Other work",D670)&amp;IF(AND(K670&lt;&gt;"",E670&lt;&gt;""),", "&amp;E670,""))</f>
        <v/>
      </c>
      <c r="T670">
        <f>IF(R670="","",IF(COUNTIFS(R$6:R669,"&gt;0",S$6:S669,S670,N$6:N669,N670)=0,R670,""))</f>
        <v/>
      </c>
      <c r="U670">
        <f>IF(B670="","",IF(J670&lt;&gt;"",0,M670))</f>
        <v/>
      </c>
    </row>
    <row r="671">
      <c r="A671" s="1" t="n"/>
      <c r="B671" s="16" t="n"/>
      <c r="C671" s="17" t="n"/>
      <c r="D671" s="18" t="n"/>
      <c r="E671" s="18" t="n"/>
      <c r="F671" s="19" t="n"/>
      <c r="G671" s="19" t="n"/>
      <c r="H671" s="20" t="n"/>
      <c r="I671" s="21" t="n"/>
      <c r="J671" s="22" t="n"/>
      <c r="K671" s="23" t="n"/>
      <c r="L671" s="18" t="n"/>
      <c r="M671" s="24">
        <f>IF(B671="","",IF(AND(F671&lt;&gt;"",G671&lt;&gt;""),MAX(0,ROUND(MOD(G671-F671,1)*24-N(H671)/60,2)),N(I671)))</f>
        <v/>
      </c>
      <c r="N671" s="14">
        <f>IF(B671="","",IF(K671&lt;&gt;"",K671,IF(N(IFERROR(INDEX(Projects!$D$6:$D$65,MATCH(D671,Projects!$B$6:$B$65,0)),""))&gt;0,IFERROR(INDEX(Projects!$D$6:$D$65,MATCH(D671,Projects!$B$6:$B$65,0)),""),IFERROR(INDEX(Clients!$G$6:$G$45,MATCH(C671,Clients!$B$6:$B$45,0)),0))))</f>
        <v/>
      </c>
      <c r="O671" s="14">
        <f>IF(B671="","",IF(J671&lt;&gt;"",0,ROUND(M671*N671,2)))</f>
        <v/>
      </c>
      <c r="P671" s="15">
        <f>IF(OR(B671="",J671&lt;&gt;""),"",IF(L671&lt;&gt;"",L671,IF(COUNTIFS(Invoices!$C$6:$C$305,C671,Invoices!$E$6:$E$305,"&lt;="&amp;B671,Invoices!$F$6:$F$305,"&gt;="&amp;B671)=1,INDEX(Invoices!$B$6:$B$305,SUMIFS(Invoices!$O$6:$O$305,Invoices!$C$6:$C$305,C671,Invoices!$E$6:$E$305,"&lt;="&amp;B671,Invoices!$F$6:$F$305,"&gt;="&amp;B671)),IF(COUNTIFS(Invoices!$C$6:$C$305,C671,Invoices!$E$6:$E$305,"&lt;="&amp;B671,Invoices!$F$6:$F$305,"&gt;="&amp;B671)&gt;1,"Two invoices",""))))</f>
        <v/>
      </c>
      <c r="Q671" s="15">
        <f>IF(B671="","",IF(J671&lt;&gt;"","Not billable",IF(P671="","To invoice",IF(P671="Two invoices","Check dates",IF(ISNA(MATCH(P671,Invoices!$B$6:$B$305,0)),"Check number",IF(INDEX(Invoices!$M$6:$M$305,MATCH(P671,Invoices!$B$6:$B$305,0))="Paid","Paid",IF(INDEX(Invoices!$M$6:$M$305,MATCH(P671,Invoices!$B$6:$B$305,0))="Draft","Draft","Invoiced")))))))</f>
        <v/>
      </c>
      <c r="R671" s="1">
        <f>IF(AND(B671&lt;&gt;"",P671&lt;&gt;"",P671=Invoice!$G$4),B671+MOD(N(F671),1)+ROW()/10000000,"")</f>
        <v/>
      </c>
      <c r="S671">
        <f>IF(R671="","",IF(D671="","Other work",D671)&amp;IF(AND(K671&lt;&gt;"",E671&lt;&gt;""),", "&amp;E671,""))</f>
        <v/>
      </c>
      <c r="T671">
        <f>IF(R671="","",IF(COUNTIFS(R$6:R670,"&gt;0",S$6:S670,S671,N$6:N670,N671)=0,R671,""))</f>
        <v/>
      </c>
      <c r="U671">
        <f>IF(B671="","",IF(J671&lt;&gt;"",0,M671))</f>
        <v/>
      </c>
    </row>
    <row r="672">
      <c r="A672" s="1" t="n"/>
      <c r="B672" s="16" t="n"/>
      <c r="C672" s="17" t="n"/>
      <c r="D672" s="18" t="n"/>
      <c r="E672" s="18" t="n"/>
      <c r="F672" s="19" t="n"/>
      <c r="G672" s="19" t="n"/>
      <c r="H672" s="20" t="n"/>
      <c r="I672" s="21" t="n"/>
      <c r="J672" s="22" t="n"/>
      <c r="K672" s="23" t="n"/>
      <c r="L672" s="18" t="n"/>
      <c r="M672" s="24">
        <f>IF(B672="","",IF(AND(F672&lt;&gt;"",G672&lt;&gt;""),MAX(0,ROUND(MOD(G672-F672,1)*24-N(H672)/60,2)),N(I672)))</f>
        <v/>
      </c>
      <c r="N672" s="14">
        <f>IF(B672="","",IF(K672&lt;&gt;"",K672,IF(N(IFERROR(INDEX(Projects!$D$6:$D$65,MATCH(D672,Projects!$B$6:$B$65,0)),""))&gt;0,IFERROR(INDEX(Projects!$D$6:$D$65,MATCH(D672,Projects!$B$6:$B$65,0)),""),IFERROR(INDEX(Clients!$G$6:$G$45,MATCH(C672,Clients!$B$6:$B$45,0)),0))))</f>
        <v/>
      </c>
      <c r="O672" s="14">
        <f>IF(B672="","",IF(J672&lt;&gt;"",0,ROUND(M672*N672,2)))</f>
        <v/>
      </c>
      <c r="P672" s="15">
        <f>IF(OR(B672="",J672&lt;&gt;""),"",IF(L672&lt;&gt;"",L672,IF(COUNTIFS(Invoices!$C$6:$C$305,C672,Invoices!$E$6:$E$305,"&lt;="&amp;B672,Invoices!$F$6:$F$305,"&gt;="&amp;B672)=1,INDEX(Invoices!$B$6:$B$305,SUMIFS(Invoices!$O$6:$O$305,Invoices!$C$6:$C$305,C672,Invoices!$E$6:$E$305,"&lt;="&amp;B672,Invoices!$F$6:$F$305,"&gt;="&amp;B672)),IF(COUNTIFS(Invoices!$C$6:$C$305,C672,Invoices!$E$6:$E$305,"&lt;="&amp;B672,Invoices!$F$6:$F$305,"&gt;="&amp;B672)&gt;1,"Two invoices",""))))</f>
        <v/>
      </c>
      <c r="Q672" s="15">
        <f>IF(B672="","",IF(J672&lt;&gt;"","Not billable",IF(P672="","To invoice",IF(P672="Two invoices","Check dates",IF(ISNA(MATCH(P672,Invoices!$B$6:$B$305,0)),"Check number",IF(INDEX(Invoices!$M$6:$M$305,MATCH(P672,Invoices!$B$6:$B$305,0))="Paid","Paid",IF(INDEX(Invoices!$M$6:$M$305,MATCH(P672,Invoices!$B$6:$B$305,0))="Draft","Draft","Invoiced")))))))</f>
        <v/>
      </c>
      <c r="R672" s="1">
        <f>IF(AND(B672&lt;&gt;"",P672&lt;&gt;"",P672=Invoice!$G$4),B672+MOD(N(F672),1)+ROW()/10000000,"")</f>
        <v/>
      </c>
      <c r="S672">
        <f>IF(R672="","",IF(D672="","Other work",D672)&amp;IF(AND(K672&lt;&gt;"",E672&lt;&gt;""),", "&amp;E672,""))</f>
        <v/>
      </c>
      <c r="T672">
        <f>IF(R672="","",IF(COUNTIFS(R$6:R671,"&gt;0",S$6:S671,S672,N$6:N671,N672)=0,R672,""))</f>
        <v/>
      </c>
      <c r="U672">
        <f>IF(B672="","",IF(J672&lt;&gt;"",0,M672))</f>
        <v/>
      </c>
    </row>
    <row r="673">
      <c r="A673" s="1" t="n"/>
      <c r="B673" s="16" t="n"/>
      <c r="C673" s="17" t="n"/>
      <c r="D673" s="18" t="n"/>
      <c r="E673" s="18" t="n"/>
      <c r="F673" s="19" t="n"/>
      <c r="G673" s="19" t="n"/>
      <c r="H673" s="20" t="n"/>
      <c r="I673" s="21" t="n"/>
      <c r="J673" s="22" t="n"/>
      <c r="K673" s="23" t="n"/>
      <c r="L673" s="18" t="n"/>
      <c r="M673" s="24">
        <f>IF(B673="","",IF(AND(F673&lt;&gt;"",G673&lt;&gt;""),MAX(0,ROUND(MOD(G673-F673,1)*24-N(H673)/60,2)),N(I673)))</f>
        <v/>
      </c>
      <c r="N673" s="14">
        <f>IF(B673="","",IF(K673&lt;&gt;"",K673,IF(N(IFERROR(INDEX(Projects!$D$6:$D$65,MATCH(D673,Projects!$B$6:$B$65,0)),""))&gt;0,IFERROR(INDEX(Projects!$D$6:$D$65,MATCH(D673,Projects!$B$6:$B$65,0)),""),IFERROR(INDEX(Clients!$G$6:$G$45,MATCH(C673,Clients!$B$6:$B$45,0)),0))))</f>
        <v/>
      </c>
      <c r="O673" s="14">
        <f>IF(B673="","",IF(J673&lt;&gt;"",0,ROUND(M673*N673,2)))</f>
        <v/>
      </c>
      <c r="P673" s="15">
        <f>IF(OR(B673="",J673&lt;&gt;""),"",IF(L673&lt;&gt;"",L673,IF(COUNTIFS(Invoices!$C$6:$C$305,C673,Invoices!$E$6:$E$305,"&lt;="&amp;B673,Invoices!$F$6:$F$305,"&gt;="&amp;B673)=1,INDEX(Invoices!$B$6:$B$305,SUMIFS(Invoices!$O$6:$O$305,Invoices!$C$6:$C$305,C673,Invoices!$E$6:$E$305,"&lt;="&amp;B673,Invoices!$F$6:$F$305,"&gt;="&amp;B673)),IF(COUNTIFS(Invoices!$C$6:$C$305,C673,Invoices!$E$6:$E$305,"&lt;="&amp;B673,Invoices!$F$6:$F$305,"&gt;="&amp;B673)&gt;1,"Two invoices",""))))</f>
        <v/>
      </c>
      <c r="Q673" s="15">
        <f>IF(B673="","",IF(J673&lt;&gt;"","Not billable",IF(P673="","To invoice",IF(P673="Two invoices","Check dates",IF(ISNA(MATCH(P673,Invoices!$B$6:$B$305,0)),"Check number",IF(INDEX(Invoices!$M$6:$M$305,MATCH(P673,Invoices!$B$6:$B$305,0))="Paid","Paid",IF(INDEX(Invoices!$M$6:$M$305,MATCH(P673,Invoices!$B$6:$B$305,0))="Draft","Draft","Invoiced")))))))</f>
        <v/>
      </c>
      <c r="R673" s="1">
        <f>IF(AND(B673&lt;&gt;"",P673&lt;&gt;"",P673=Invoice!$G$4),B673+MOD(N(F673),1)+ROW()/10000000,"")</f>
        <v/>
      </c>
      <c r="S673">
        <f>IF(R673="","",IF(D673="","Other work",D673)&amp;IF(AND(K673&lt;&gt;"",E673&lt;&gt;""),", "&amp;E673,""))</f>
        <v/>
      </c>
      <c r="T673">
        <f>IF(R673="","",IF(COUNTIFS(R$6:R672,"&gt;0",S$6:S672,S673,N$6:N672,N673)=0,R673,""))</f>
        <v/>
      </c>
      <c r="U673">
        <f>IF(B673="","",IF(J673&lt;&gt;"",0,M673))</f>
        <v/>
      </c>
    </row>
    <row r="674">
      <c r="A674" s="1" t="n"/>
      <c r="B674" s="16" t="n"/>
      <c r="C674" s="17" t="n"/>
      <c r="D674" s="18" t="n"/>
      <c r="E674" s="18" t="n"/>
      <c r="F674" s="19" t="n"/>
      <c r="G674" s="19" t="n"/>
      <c r="H674" s="20" t="n"/>
      <c r="I674" s="21" t="n"/>
      <c r="J674" s="22" t="n"/>
      <c r="K674" s="23" t="n"/>
      <c r="L674" s="18" t="n"/>
      <c r="M674" s="24">
        <f>IF(B674="","",IF(AND(F674&lt;&gt;"",G674&lt;&gt;""),MAX(0,ROUND(MOD(G674-F674,1)*24-N(H674)/60,2)),N(I674)))</f>
        <v/>
      </c>
      <c r="N674" s="14">
        <f>IF(B674="","",IF(K674&lt;&gt;"",K674,IF(N(IFERROR(INDEX(Projects!$D$6:$D$65,MATCH(D674,Projects!$B$6:$B$65,0)),""))&gt;0,IFERROR(INDEX(Projects!$D$6:$D$65,MATCH(D674,Projects!$B$6:$B$65,0)),""),IFERROR(INDEX(Clients!$G$6:$G$45,MATCH(C674,Clients!$B$6:$B$45,0)),0))))</f>
        <v/>
      </c>
      <c r="O674" s="14">
        <f>IF(B674="","",IF(J674&lt;&gt;"",0,ROUND(M674*N674,2)))</f>
        <v/>
      </c>
      <c r="P674" s="15">
        <f>IF(OR(B674="",J674&lt;&gt;""),"",IF(L674&lt;&gt;"",L674,IF(COUNTIFS(Invoices!$C$6:$C$305,C674,Invoices!$E$6:$E$305,"&lt;="&amp;B674,Invoices!$F$6:$F$305,"&gt;="&amp;B674)=1,INDEX(Invoices!$B$6:$B$305,SUMIFS(Invoices!$O$6:$O$305,Invoices!$C$6:$C$305,C674,Invoices!$E$6:$E$305,"&lt;="&amp;B674,Invoices!$F$6:$F$305,"&gt;="&amp;B674)),IF(COUNTIFS(Invoices!$C$6:$C$305,C674,Invoices!$E$6:$E$305,"&lt;="&amp;B674,Invoices!$F$6:$F$305,"&gt;="&amp;B674)&gt;1,"Two invoices",""))))</f>
        <v/>
      </c>
      <c r="Q674" s="15">
        <f>IF(B674="","",IF(J674&lt;&gt;"","Not billable",IF(P674="","To invoice",IF(P674="Two invoices","Check dates",IF(ISNA(MATCH(P674,Invoices!$B$6:$B$305,0)),"Check number",IF(INDEX(Invoices!$M$6:$M$305,MATCH(P674,Invoices!$B$6:$B$305,0))="Paid","Paid",IF(INDEX(Invoices!$M$6:$M$305,MATCH(P674,Invoices!$B$6:$B$305,0))="Draft","Draft","Invoiced")))))))</f>
        <v/>
      </c>
      <c r="R674" s="1">
        <f>IF(AND(B674&lt;&gt;"",P674&lt;&gt;"",P674=Invoice!$G$4),B674+MOD(N(F674),1)+ROW()/10000000,"")</f>
        <v/>
      </c>
      <c r="S674">
        <f>IF(R674="","",IF(D674="","Other work",D674)&amp;IF(AND(K674&lt;&gt;"",E674&lt;&gt;""),", "&amp;E674,""))</f>
        <v/>
      </c>
      <c r="T674">
        <f>IF(R674="","",IF(COUNTIFS(R$6:R673,"&gt;0",S$6:S673,S674,N$6:N673,N674)=0,R674,""))</f>
        <v/>
      </c>
      <c r="U674">
        <f>IF(B674="","",IF(J674&lt;&gt;"",0,M674))</f>
        <v/>
      </c>
    </row>
    <row r="675">
      <c r="A675" s="1" t="n"/>
      <c r="B675" s="16" t="n"/>
      <c r="C675" s="17" t="n"/>
      <c r="D675" s="18" t="n"/>
      <c r="E675" s="18" t="n"/>
      <c r="F675" s="19" t="n"/>
      <c r="G675" s="19" t="n"/>
      <c r="H675" s="20" t="n"/>
      <c r="I675" s="21" t="n"/>
      <c r="J675" s="22" t="n"/>
      <c r="K675" s="23" t="n"/>
      <c r="L675" s="18" t="n"/>
      <c r="M675" s="24">
        <f>IF(B675="","",IF(AND(F675&lt;&gt;"",G675&lt;&gt;""),MAX(0,ROUND(MOD(G675-F675,1)*24-N(H675)/60,2)),N(I675)))</f>
        <v/>
      </c>
      <c r="N675" s="14">
        <f>IF(B675="","",IF(K675&lt;&gt;"",K675,IF(N(IFERROR(INDEX(Projects!$D$6:$D$65,MATCH(D675,Projects!$B$6:$B$65,0)),""))&gt;0,IFERROR(INDEX(Projects!$D$6:$D$65,MATCH(D675,Projects!$B$6:$B$65,0)),""),IFERROR(INDEX(Clients!$G$6:$G$45,MATCH(C675,Clients!$B$6:$B$45,0)),0))))</f>
        <v/>
      </c>
      <c r="O675" s="14">
        <f>IF(B675="","",IF(J675&lt;&gt;"",0,ROUND(M675*N675,2)))</f>
        <v/>
      </c>
      <c r="P675" s="15">
        <f>IF(OR(B675="",J675&lt;&gt;""),"",IF(L675&lt;&gt;"",L675,IF(COUNTIFS(Invoices!$C$6:$C$305,C675,Invoices!$E$6:$E$305,"&lt;="&amp;B675,Invoices!$F$6:$F$305,"&gt;="&amp;B675)=1,INDEX(Invoices!$B$6:$B$305,SUMIFS(Invoices!$O$6:$O$305,Invoices!$C$6:$C$305,C675,Invoices!$E$6:$E$305,"&lt;="&amp;B675,Invoices!$F$6:$F$305,"&gt;="&amp;B675)),IF(COUNTIFS(Invoices!$C$6:$C$305,C675,Invoices!$E$6:$E$305,"&lt;="&amp;B675,Invoices!$F$6:$F$305,"&gt;="&amp;B675)&gt;1,"Two invoices",""))))</f>
        <v/>
      </c>
      <c r="Q675" s="15">
        <f>IF(B675="","",IF(J675&lt;&gt;"","Not billable",IF(P675="","To invoice",IF(P675="Two invoices","Check dates",IF(ISNA(MATCH(P675,Invoices!$B$6:$B$305,0)),"Check number",IF(INDEX(Invoices!$M$6:$M$305,MATCH(P675,Invoices!$B$6:$B$305,0))="Paid","Paid",IF(INDEX(Invoices!$M$6:$M$305,MATCH(P675,Invoices!$B$6:$B$305,0))="Draft","Draft","Invoiced")))))))</f>
        <v/>
      </c>
      <c r="R675" s="1">
        <f>IF(AND(B675&lt;&gt;"",P675&lt;&gt;"",P675=Invoice!$G$4),B675+MOD(N(F675),1)+ROW()/10000000,"")</f>
        <v/>
      </c>
      <c r="S675">
        <f>IF(R675="","",IF(D675="","Other work",D675)&amp;IF(AND(K675&lt;&gt;"",E675&lt;&gt;""),", "&amp;E675,""))</f>
        <v/>
      </c>
      <c r="T675">
        <f>IF(R675="","",IF(COUNTIFS(R$6:R674,"&gt;0",S$6:S674,S675,N$6:N674,N675)=0,R675,""))</f>
        <v/>
      </c>
      <c r="U675">
        <f>IF(B675="","",IF(J675&lt;&gt;"",0,M675))</f>
        <v/>
      </c>
    </row>
    <row r="676">
      <c r="A676" s="1" t="n"/>
      <c r="B676" s="16" t="n"/>
      <c r="C676" s="17" t="n"/>
      <c r="D676" s="18" t="n"/>
      <c r="E676" s="18" t="n"/>
      <c r="F676" s="19" t="n"/>
      <c r="G676" s="19" t="n"/>
      <c r="H676" s="20" t="n"/>
      <c r="I676" s="21" t="n"/>
      <c r="J676" s="22" t="n"/>
      <c r="K676" s="23" t="n"/>
      <c r="L676" s="18" t="n"/>
      <c r="M676" s="24">
        <f>IF(B676="","",IF(AND(F676&lt;&gt;"",G676&lt;&gt;""),MAX(0,ROUND(MOD(G676-F676,1)*24-N(H676)/60,2)),N(I676)))</f>
        <v/>
      </c>
      <c r="N676" s="14">
        <f>IF(B676="","",IF(K676&lt;&gt;"",K676,IF(N(IFERROR(INDEX(Projects!$D$6:$D$65,MATCH(D676,Projects!$B$6:$B$65,0)),""))&gt;0,IFERROR(INDEX(Projects!$D$6:$D$65,MATCH(D676,Projects!$B$6:$B$65,0)),""),IFERROR(INDEX(Clients!$G$6:$G$45,MATCH(C676,Clients!$B$6:$B$45,0)),0))))</f>
        <v/>
      </c>
      <c r="O676" s="14">
        <f>IF(B676="","",IF(J676&lt;&gt;"",0,ROUND(M676*N676,2)))</f>
        <v/>
      </c>
      <c r="P676" s="15">
        <f>IF(OR(B676="",J676&lt;&gt;""),"",IF(L676&lt;&gt;"",L676,IF(COUNTIFS(Invoices!$C$6:$C$305,C676,Invoices!$E$6:$E$305,"&lt;="&amp;B676,Invoices!$F$6:$F$305,"&gt;="&amp;B676)=1,INDEX(Invoices!$B$6:$B$305,SUMIFS(Invoices!$O$6:$O$305,Invoices!$C$6:$C$305,C676,Invoices!$E$6:$E$305,"&lt;="&amp;B676,Invoices!$F$6:$F$305,"&gt;="&amp;B676)),IF(COUNTIFS(Invoices!$C$6:$C$305,C676,Invoices!$E$6:$E$305,"&lt;="&amp;B676,Invoices!$F$6:$F$305,"&gt;="&amp;B676)&gt;1,"Two invoices",""))))</f>
        <v/>
      </c>
      <c r="Q676" s="15">
        <f>IF(B676="","",IF(J676&lt;&gt;"","Not billable",IF(P676="","To invoice",IF(P676="Two invoices","Check dates",IF(ISNA(MATCH(P676,Invoices!$B$6:$B$305,0)),"Check number",IF(INDEX(Invoices!$M$6:$M$305,MATCH(P676,Invoices!$B$6:$B$305,0))="Paid","Paid",IF(INDEX(Invoices!$M$6:$M$305,MATCH(P676,Invoices!$B$6:$B$305,0))="Draft","Draft","Invoiced")))))))</f>
        <v/>
      </c>
      <c r="R676" s="1">
        <f>IF(AND(B676&lt;&gt;"",P676&lt;&gt;"",P676=Invoice!$G$4),B676+MOD(N(F676),1)+ROW()/10000000,"")</f>
        <v/>
      </c>
      <c r="S676">
        <f>IF(R676="","",IF(D676="","Other work",D676)&amp;IF(AND(K676&lt;&gt;"",E676&lt;&gt;""),", "&amp;E676,""))</f>
        <v/>
      </c>
      <c r="T676">
        <f>IF(R676="","",IF(COUNTIFS(R$6:R675,"&gt;0",S$6:S675,S676,N$6:N675,N676)=0,R676,""))</f>
        <v/>
      </c>
      <c r="U676">
        <f>IF(B676="","",IF(J676&lt;&gt;"",0,M676))</f>
        <v/>
      </c>
    </row>
    <row r="677">
      <c r="A677" s="1" t="n"/>
      <c r="B677" s="16" t="n"/>
      <c r="C677" s="17" t="n"/>
      <c r="D677" s="18" t="n"/>
      <c r="E677" s="18" t="n"/>
      <c r="F677" s="19" t="n"/>
      <c r="G677" s="19" t="n"/>
      <c r="H677" s="20" t="n"/>
      <c r="I677" s="21" t="n"/>
      <c r="J677" s="22" t="n"/>
      <c r="K677" s="23" t="n"/>
      <c r="L677" s="18" t="n"/>
      <c r="M677" s="24">
        <f>IF(B677="","",IF(AND(F677&lt;&gt;"",G677&lt;&gt;""),MAX(0,ROUND(MOD(G677-F677,1)*24-N(H677)/60,2)),N(I677)))</f>
        <v/>
      </c>
      <c r="N677" s="14">
        <f>IF(B677="","",IF(K677&lt;&gt;"",K677,IF(N(IFERROR(INDEX(Projects!$D$6:$D$65,MATCH(D677,Projects!$B$6:$B$65,0)),""))&gt;0,IFERROR(INDEX(Projects!$D$6:$D$65,MATCH(D677,Projects!$B$6:$B$65,0)),""),IFERROR(INDEX(Clients!$G$6:$G$45,MATCH(C677,Clients!$B$6:$B$45,0)),0))))</f>
        <v/>
      </c>
      <c r="O677" s="14">
        <f>IF(B677="","",IF(J677&lt;&gt;"",0,ROUND(M677*N677,2)))</f>
        <v/>
      </c>
      <c r="P677" s="15">
        <f>IF(OR(B677="",J677&lt;&gt;""),"",IF(L677&lt;&gt;"",L677,IF(COUNTIFS(Invoices!$C$6:$C$305,C677,Invoices!$E$6:$E$305,"&lt;="&amp;B677,Invoices!$F$6:$F$305,"&gt;="&amp;B677)=1,INDEX(Invoices!$B$6:$B$305,SUMIFS(Invoices!$O$6:$O$305,Invoices!$C$6:$C$305,C677,Invoices!$E$6:$E$305,"&lt;="&amp;B677,Invoices!$F$6:$F$305,"&gt;="&amp;B677)),IF(COUNTIFS(Invoices!$C$6:$C$305,C677,Invoices!$E$6:$E$305,"&lt;="&amp;B677,Invoices!$F$6:$F$305,"&gt;="&amp;B677)&gt;1,"Two invoices",""))))</f>
        <v/>
      </c>
      <c r="Q677" s="15">
        <f>IF(B677="","",IF(J677&lt;&gt;"","Not billable",IF(P677="","To invoice",IF(P677="Two invoices","Check dates",IF(ISNA(MATCH(P677,Invoices!$B$6:$B$305,0)),"Check number",IF(INDEX(Invoices!$M$6:$M$305,MATCH(P677,Invoices!$B$6:$B$305,0))="Paid","Paid",IF(INDEX(Invoices!$M$6:$M$305,MATCH(P677,Invoices!$B$6:$B$305,0))="Draft","Draft","Invoiced")))))))</f>
        <v/>
      </c>
      <c r="R677" s="1">
        <f>IF(AND(B677&lt;&gt;"",P677&lt;&gt;"",P677=Invoice!$G$4),B677+MOD(N(F677),1)+ROW()/10000000,"")</f>
        <v/>
      </c>
      <c r="S677">
        <f>IF(R677="","",IF(D677="","Other work",D677)&amp;IF(AND(K677&lt;&gt;"",E677&lt;&gt;""),", "&amp;E677,""))</f>
        <v/>
      </c>
      <c r="T677">
        <f>IF(R677="","",IF(COUNTIFS(R$6:R676,"&gt;0",S$6:S676,S677,N$6:N676,N677)=0,R677,""))</f>
        <v/>
      </c>
      <c r="U677">
        <f>IF(B677="","",IF(J677&lt;&gt;"",0,M677))</f>
        <v/>
      </c>
    </row>
    <row r="678">
      <c r="A678" s="1" t="n"/>
      <c r="B678" s="16" t="n"/>
      <c r="C678" s="17" t="n"/>
      <c r="D678" s="18" t="n"/>
      <c r="E678" s="18" t="n"/>
      <c r="F678" s="19" t="n"/>
      <c r="G678" s="19" t="n"/>
      <c r="H678" s="20" t="n"/>
      <c r="I678" s="21" t="n"/>
      <c r="J678" s="22" t="n"/>
      <c r="K678" s="23" t="n"/>
      <c r="L678" s="18" t="n"/>
      <c r="M678" s="24">
        <f>IF(B678="","",IF(AND(F678&lt;&gt;"",G678&lt;&gt;""),MAX(0,ROUND(MOD(G678-F678,1)*24-N(H678)/60,2)),N(I678)))</f>
        <v/>
      </c>
      <c r="N678" s="14">
        <f>IF(B678="","",IF(K678&lt;&gt;"",K678,IF(N(IFERROR(INDEX(Projects!$D$6:$D$65,MATCH(D678,Projects!$B$6:$B$65,0)),""))&gt;0,IFERROR(INDEX(Projects!$D$6:$D$65,MATCH(D678,Projects!$B$6:$B$65,0)),""),IFERROR(INDEX(Clients!$G$6:$G$45,MATCH(C678,Clients!$B$6:$B$45,0)),0))))</f>
        <v/>
      </c>
      <c r="O678" s="14">
        <f>IF(B678="","",IF(J678&lt;&gt;"",0,ROUND(M678*N678,2)))</f>
        <v/>
      </c>
      <c r="P678" s="15">
        <f>IF(OR(B678="",J678&lt;&gt;""),"",IF(L678&lt;&gt;"",L678,IF(COUNTIFS(Invoices!$C$6:$C$305,C678,Invoices!$E$6:$E$305,"&lt;="&amp;B678,Invoices!$F$6:$F$305,"&gt;="&amp;B678)=1,INDEX(Invoices!$B$6:$B$305,SUMIFS(Invoices!$O$6:$O$305,Invoices!$C$6:$C$305,C678,Invoices!$E$6:$E$305,"&lt;="&amp;B678,Invoices!$F$6:$F$305,"&gt;="&amp;B678)),IF(COUNTIFS(Invoices!$C$6:$C$305,C678,Invoices!$E$6:$E$305,"&lt;="&amp;B678,Invoices!$F$6:$F$305,"&gt;="&amp;B678)&gt;1,"Two invoices",""))))</f>
        <v/>
      </c>
      <c r="Q678" s="15">
        <f>IF(B678="","",IF(J678&lt;&gt;"","Not billable",IF(P678="","To invoice",IF(P678="Two invoices","Check dates",IF(ISNA(MATCH(P678,Invoices!$B$6:$B$305,0)),"Check number",IF(INDEX(Invoices!$M$6:$M$305,MATCH(P678,Invoices!$B$6:$B$305,0))="Paid","Paid",IF(INDEX(Invoices!$M$6:$M$305,MATCH(P678,Invoices!$B$6:$B$305,0))="Draft","Draft","Invoiced")))))))</f>
        <v/>
      </c>
      <c r="R678" s="1">
        <f>IF(AND(B678&lt;&gt;"",P678&lt;&gt;"",P678=Invoice!$G$4),B678+MOD(N(F678),1)+ROW()/10000000,"")</f>
        <v/>
      </c>
      <c r="S678">
        <f>IF(R678="","",IF(D678="","Other work",D678)&amp;IF(AND(K678&lt;&gt;"",E678&lt;&gt;""),", "&amp;E678,""))</f>
        <v/>
      </c>
      <c r="T678">
        <f>IF(R678="","",IF(COUNTIFS(R$6:R677,"&gt;0",S$6:S677,S678,N$6:N677,N678)=0,R678,""))</f>
        <v/>
      </c>
      <c r="U678">
        <f>IF(B678="","",IF(J678&lt;&gt;"",0,M678))</f>
        <v/>
      </c>
    </row>
    <row r="679">
      <c r="A679" s="1" t="n"/>
      <c r="B679" s="16" t="n"/>
      <c r="C679" s="17" t="n"/>
      <c r="D679" s="18" t="n"/>
      <c r="E679" s="18" t="n"/>
      <c r="F679" s="19" t="n"/>
      <c r="G679" s="19" t="n"/>
      <c r="H679" s="20" t="n"/>
      <c r="I679" s="21" t="n"/>
      <c r="J679" s="22" t="n"/>
      <c r="K679" s="23" t="n"/>
      <c r="L679" s="18" t="n"/>
      <c r="M679" s="24">
        <f>IF(B679="","",IF(AND(F679&lt;&gt;"",G679&lt;&gt;""),MAX(0,ROUND(MOD(G679-F679,1)*24-N(H679)/60,2)),N(I679)))</f>
        <v/>
      </c>
      <c r="N679" s="14">
        <f>IF(B679="","",IF(K679&lt;&gt;"",K679,IF(N(IFERROR(INDEX(Projects!$D$6:$D$65,MATCH(D679,Projects!$B$6:$B$65,0)),""))&gt;0,IFERROR(INDEX(Projects!$D$6:$D$65,MATCH(D679,Projects!$B$6:$B$65,0)),""),IFERROR(INDEX(Clients!$G$6:$G$45,MATCH(C679,Clients!$B$6:$B$45,0)),0))))</f>
        <v/>
      </c>
      <c r="O679" s="14">
        <f>IF(B679="","",IF(J679&lt;&gt;"",0,ROUND(M679*N679,2)))</f>
        <v/>
      </c>
      <c r="P679" s="15">
        <f>IF(OR(B679="",J679&lt;&gt;""),"",IF(L679&lt;&gt;"",L679,IF(COUNTIFS(Invoices!$C$6:$C$305,C679,Invoices!$E$6:$E$305,"&lt;="&amp;B679,Invoices!$F$6:$F$305,"&gt;="&amp;B679)=1,INDEX(Invoices!$B$6:$B$305,SUMIFS(Invoices!$O$6:$O$305,Invoices!$C$6:$C$305,C679,Invoices!$E$6:$E$305,"&lt;="&amp;B679,Invoices!$F$6:$F$305,"&gt;="&amp;B679)),IF(COUNTIFS(Invoices!$C$6:$C$305,C679,Invoices!$E$6:$E$305,"&lt;="&amp;B679,Invoices!$F$6:$F$305,"&gt;="&amp;B679)&gt;1,"Two invoices",""))))</f>
        <v/>
      </c>
      <c r="Q679" s="15">
        <f>IF(B679="","",IF(J679&lt;&gt;"","Not billable",IF(P679="","To invoice",IF(P679="Two invoices","Check dates",IF(ISNA(MATCH(P679,Invoices!$B$6:$B$305,0)),"Check number",IF(INDEX(Invoices!$M$6:$M$305,MATCH(P679,Invoices!$B$6:$B$305,0))="Paid","Paid",IF(INDEX(Invoices!$M$6:$M$305,MATCH(P679,Invoices!$B$6:$B$305,0))="Draft","Draft","Invoiced")))))))</f>
        <v/>
      </c>
      <c r="R679" s="1">
        <f>IF(AND(B679&lt;&gt;"",P679&lt;&gt;"",P679=Invoice!$G$4),B679+MOD(N(F679),1)+ROW()/10000000,"")</f>
        <v/>
      </c>
      <c r="S679">
        <f>IF(R679="","",IF(D679="","Other work",D679)&amp;IF(AND(K679&lt;&gt;"",E679&lt;&gt;""),", "&amp;E679,""))</f>
        <v/>
      </c>
      <c r="T679">
        <f>IF(R679="","",IF(COUNTIFS(R$6:R678,"&gt;0",S$6:S678,S679,N$6:N678,N679)=0,R679,""))</f>
        <v/>
      </c>
      <c r="U679">
        <f>IF(B679="","",IF(J679&lt;&gt;"",0,M679))</f>
        <v/>
      </c>
    </row>
    <row r="680">
      <c r="A680" s="1" t="n"/>
      <c r="B680" s="16" t="n"/>
      <c r="C680" s="17" t="n"/>
      <c r="D680" s="18" t="n"/>
      <c r="E680" s="18" t="n"/>
      <c r="F680" s="19" t="n"/>
      <c r="G680" s="19" t="n"/>
      <c r="H680" s="20" t="n"/>
      <c r="I680" s="21" t="n"/>
      <c r="J680" s="22" t="n"/>
      <c r="K680" s="23" t="n"/>
      <c r="L680" s="18" t="n"/>
      <c r="M680" s="24">
        <f>IF(B680="","",IF(AND(F680&lt;&gt;"",G680&lt;&gt;""),MAX(0,ROUND(MOD(G680-F680,1)*24-N(H680)/60,2)),N(I680)))</f>
        <v/>
      </c>
      <c r="N680" s="14">
        <f>IF(B680="","",IF(K680&lt;&gt;"",K680,IF(N(IFERROR(INDEX(Projects!$D$6:$D$65,MATCH(D680,Projects!$B$6:$B$65,0)),""))&gt;0,IFERROR(INDEX(Projects!$D$6:$D$65,MATCH(D680,Projects!$B$6:$B$65,0)),""),IFERROR(INDEX(Clients!$G$6:$G$45,MATCH(C680,Clients!$B$6:$B$45,0)),0))))</f>
        <v/>
      </c>
      <c r="O680" s="14">
        <f>IF(B680="","",IF(J680&lt;&gt;"",0,ROUND(M680*N680,2)))</f>
        <v/>
      </c>
      <c r="P680" s="15">
        <f>IF(OR(B680="",J680&lt;&gt;""),"",IF(L680&lt;&gt;"",L680,IF(COUNTIFS(Invoices!$C$6:$C$305,C680,Invoices!$E$6:$E$305,"&lt;="&amp;B680,Invoices!$F$6:$F$305,"&gt;="&amp;B680)=1,INDEX(Invoices!$B$6:$B$305,SUMIFS(Invoices!$O$6:$O$305,Invoices!$C$6:$C$305,C680,Invoices!$E$6:$E$305,"&lt;="&amp;B680,Invoices!$F$6:$F$305,"&gt;="&amp;B680)),IF(COUNTIFS(Invoices!$C$6:$C$305,C680,Invoices!$E$6:$E$305,"&lt;="&amp;B680,Invoices!$F$6:$F$305,"&gt;="&amp;B680)&gt;1,"Two invoices",""))))</f>
        <v/>
      </c>
      <c r="Q680" s="15">
        <f>IF(B680="","",IF(J680&lt;&gt;"","Not billable",IF(P680="","To invoice",IF(P680="Two invoices","Check dates",IF(ISNA(MATCH(P680,Invoices!$B$6:$B$305,0)),"Check number",IF(INDEX(Invoices!$M$6:$M$305,MATCH(P680,Invoices!$B$6:$B$305,0))="Paid","Paid",IF(INDEX(Invoices!$M$6:$M$305,MATCH(P680,Invoices!$B$6:$B$305,0))="Draft","Draft","Invoiced")))))))</f>
        <v/>
      </c>
      <c r="R680" s="1">
        <f>IF(AND(B680&lt;&gt;"",P680&lt;&gt;"",P680=Invoice!$G$4),B680+MOD(N(F680),1)+ROW()/10000000,"")</f>
        <v/>
      </c>
      <c r="S680">
        <f>IF(R680="","",IF(D680="","Other work",D680)&amp;IF(AND(K680&lt;&gt;"",E680&lt;&gt;""),", "&amp;E680,""))</f>
        <v/>
      </c>
      <c r="T680">
        <f>IF(R680="","",IF(COUNTIFS(R$6:R679,"&gt;0",S$6:S679,S680,N$6:N679,N680)=0,R680,""))</f>
        <v/>
      </c>
      <c r="U680">
        <f>IF(B680="","",IF(J680&lt;&gt;"",0,M680))</f>
        <v/>
      </c>
    </row>
    <row r="681">
      <c r="A681" s="1" t="n"/>
      <c r="B681" s="16" t="n"/>
      <c r="C681" s="17" t="n"/>
      <c r="D681" s="18" t="n"/>
      <c r="E681" s="18" t="n"/>
      <c r="F681" s="19" t="n"/>
      <c r="G681" s="19" t="n"/>
      <c r="H681" s="20" t="n"/>
      <c r="I681" s="21" t="n"/>
      <c r="J681" s="22" t="n"/>
      <c r="K681" s="23" t="n"/>
      <c r="L681" s="18" t="n"/>
      <c r="M681" s="24">
        <f>IF(B681="","",IF(AND(F681&lt;&gt;"",G681&lt;&gt;""),MAX(0,ROUND(MOD(G681-F681,1)*24-N(H681)/60,2)),N(I681)))</f>
        <v/>
      </c>
      <c r="N681" s="14">
        <f>IF(B681="","",IF(K681&lt;&gt;"",K681,IF(N(IFERROR(INDEX(Projects!$D$6:$D$65,MATCH(D681,Projects!$B$6:$B$65,0)),""))&gt;0,IFERROR(INDEX(Projects!$D$6:$D$65,MATCH(D681,Projects!$B$6:$B$65,0)),""),IFERROR(INDEX(Clients!$G$6:$G$45,MATCH(C681,Clients!$B$6:$B$45,0)),0))))</f>
        <v/>
      </c>
      <c r="O681" s="14">
        <f>IF(B681="","",IF(J681&lt;&gt;"",0,ROUND(M681*N681,2)))</f>
        <v/>
      </c>
      <c r="P681" s="15">
        <f>IF(OR(B681="",J681&lt;&gt;""),"",IF(L681&lt;&gt;"",L681,IF(COUNTIFS(Invoices!$C$6:$C$305,C681,Invoices!$E$6:$E$305,"&lt;="&amp;B681,Invoices!$F$6:$F$305,"&gt;="&amp;B681)=1,INDEX(Invoices!$B$6:$B$305,SUMIFS(Invoices!$O$6:$O$305,Invoices!$C$6:$C$305,C681,Invoices!$E$6:$E$305,"&lt;="&amp;B681,Invoices!$F$6:$F$305,"&gt;="&amp;B681)),IF(COUNTIFS(Invoices!$C$6:$C$305,C681,Invoices!$E$6:$E$305,"&lt;="&amp;B681,Invoices!$F$6:$F$305,"&gt;="&amp;B681)&gt;1,"Two invoices",""))))</f>
        <v/>
      </c>
      <c r="Q681" s="15">
        <f>IF(B681="","",IF(J681&lt;&gt;"","Not billable",IF(P681="","To invoice",IF(P681="Two invoices","Check dates",IF(ISNA(MATCH(P681,Invoices!$B$6:$B$305,0)),"Check number",IF(INDEX(Invoices!$M$6:$M$305,MATCH(P681,Invoices!$B$6:$B$305,0))="Paid","Paid",IF(INDEX(Invoices!$M$6:$M$305,MATCH(P681,Invoices!$B$6:$B$305,0))="Draft","Draft","Invoiced")))))))</f>
        <v/>
      </c>
      <c r="R681" s="1">
        <f>IF(AND(B681&lt;&gt;"",P681&lt;&gt;"",P681=Invoice!$G$4),B681+MOD(N(F681),1)+ROW()/10000000,"")</f>
        <v/>
      </c>
      <c r="S681">
        <f>IF(R681="","",IF(D681="","Other work",D681)&amp;IF(AND(K681&lt;&gt;"",E681&lt;&gt;""),", "&amp;E681,""))</f>
        <v/>
      </c>
      <c r="T681">
        <f>IF(R681="","",IF(COUNTIFS(R$6:R680,"&gt;0",S$6:S680,S681,N$6:N680,N681)=0,R681,""))</f>
        <v/>
      </c>
      <c r="U681">
        <f>IF(B681="","",IF(J681&lt;&gt;"",0,M681))</f>
        <v/>
      </c>
    </row>
    <row r="682">
      <c r="A682" s="1" t="n"/>
      <c r="B682" s="16" t="n"/>
      <c r="C682" s="17" t="n"/>
      <c r="D682" s="18" t="n"/>
      <c r="E682" s="18" t="n"/>
      <c r="F682" s="19" t="n"/>
      <c r="G682" s="19" t="n"/>
      <c r="H682" s="20" t="n"/>
      <c r="I682" s="21" t="n"/>
      <c r="J682" s="22" t="n"/>
      <c r="K682" s="23" t="n"/>
      <c r="L682" s="18" t="n"/>
      <c r="M682" s="24">
        <f>IF(B682="","",IF(AND(F682&lt;&gt;"",G682&lt;&gt;""),MAX(0,ROUND(MOD(G682-F682,1)*24-N(H682)/60,2)),N(I682)))</f>
        <v/>
      </c>
      <c r="N682" s="14">
        <f>IF(B682="","",IF(K682&lt;&gt;"",K682,IF(N(IFERROR(INDEX(Projects!$D$6:$D$65,MATCH(D682,Projects!$B$6:$B$65,0)),""))&gt;0,IFERROR(INDEX(Projects!$D$6:$D$65,MATCH(D682,Projects!$B$6:$B$65,0)),""),IFERROR(INDEX(Clients!$G$6:$G$45,MATCH(C682,Clients!$B$6:$B$45,0)),0))))</f>
        <v/>
      </c>
      <c r="O682" s="14">
        <f>IF(B682="","",IF(J682&lt;&gt;"",0,ROUND(M682*N682,2)))</f>
        <v/>
      </c>
      <c r="P682" s="15">
        <f>IF(OR(B682="",J682&lt;&gt;""),"",IF(L682&lt;&gt;"",L682,IF(COUNTIFS(Invoices!$C$6:$C$305,C682,Invoices!$E$6:$E$305,"&lt;="&amp;B682,Invoices!$F$6:$F$305,"&gt;="&amp;B682)=1,INDEX(Invoices!$B$6:$B$305,SUMIFS(Invoices!$O$6:$O$305,Invoices!$C$6:$C$305,C682,Invoices!$E$6:$E$305,"&lt;="&amp;B682,Invoices!$F$6:$F$305,"&gt;="&amp;B682)),IF(COUNTIFS(Invoices!$C$6:$C$305,C682,Invoices!$E$6:$E$305,"&lt;="&amp;B682,Invoices!$F$6:$F$305,"&gt;="&amp;B682)&gt;1,"Two invoices",""))))</f>
        <v/>
      </c>
      <c r="Q682" s="15">
        <f>IF(B682="","",IF(J682&lt;&gt;"","Not billable",IF(P682="","To invoice",IF(P682="Two invoices","Check dates",IF(ISNA(MATCH(P682,Invoices!$B$6:$B$305,0)),"Check number",IF(INDEX(Invoices!$M$6:$M$305,MATCH(P682,Invoices!$B$6:$B$305,0))="Paid","Paid",IF(INDEX(Invoices!$M$6:$M$305,MATCH(P682,Invoices!$B$6:$B$305,0))="Draft","Draft","Invoiced")))))))</f>
        <v/>
      </c>
      <c r="R682" s="1">
        <f>IF(AND(B682&lt;&gt;"",P682&lt;&gt;"",P682=Invoice!$G$4),B682+MOD(N(F682),1)+ROW()/10000000,"")</f>
        <v/>
      </c>
      <c r="S682">
        <f>IF(R682="","",IF(D682="","Other work",D682)&amp;IF(AND(K682&lt;&gt;"",E682&lt;&gt;""),", "&amp;E682,""))</f>
        <v/>
      </c>
      <c r="T682">
        <f>IF(R682="","",IF(COUNTIFS(R$6:R681,"&gt;0",S$6:S681,S682,N$6:N681,N682)=0,R682,""))</f>
        <v/>
      </c>
      <c r="U682">
        <f>IF(B682="","",IF(J682&lt;&gt;"",0,M682))</f>
        <v/>
      </c>
    </row>
    <row r="683">
      <c r="A683" s="1" t="n"/>
      <c r="B683" s="16" t="n"/>
      <c r="C683" s="17" t="n"/>
      <c r="D683" s="18" t="n"/>
      <c r="E683" s="18" t="n"/>
      <c r="F683" s="19" t="n"/>
      <c r="G683" s="19" t="n"/>
      <c r="H683" s="20" t="n"/>
      <c r="I683" s="21" t="n"/>
      <c r="J683" s="22" t="n"/>
      <c r="K683" s="23" t="n"/>
      <c r="L683" s="18" t="n"/>
      <c r="M683" s="24">
        <f>IF(B683="","",IF(AND(F683&lt;&gt;"",G683&lt;&gt;""),MAX(0,ROUND(MOD(G683-F683,1)*24-N(H683)/60,2)),N(I683)))</f>
        <v/>
      </c>
      <c r="N683" s="14">
        <f>IF(B683="","",IF(K683&lt;&gt;"",K683,IF(N(IFERROR(INDEX(Projects!$D$6:$D$65,MATCH(D683,Projects!$B$6:$B$65,0)),""))&gt;0,IFERROR(INDEX(Projects!$D$6:$D$65,MATCH(D683,Projects!$B$6:$B$65,0)),""),IFERROR(INDEX(Clients!$G$6:$G$45,MATCH(C683,Clients!$B$6:$B$45,0)),0))))</f>
        <v/>
      </c>
      <c r="O683" s="14">
        <f>IF(B683="","",IF(J683&lt;&gt;"",0,ROUND(M683*N683,2)))</f>
        <v/>
      </c>
      <c r="P683" s="15">
        <f>IF(OR(B683="",J683&lt;&gt;""),"",IF(L683&lt;&gt;"",L683,IF(COUNTIFS(Invoices!$C$6:$C$305,C683,Invoices!$E$6:$E$305,"&lt;="&amp;B683,Invoices!$F$6:$F$305,"&gt;="&amp;B683)=1,INDEX(Invoices!$B$6:$B$305,SUMIFS(Invoices!$O$6:$O$305,Invoices!$C$6:$C$305,C683,Invoices!$E$6:$E$305,"&lt;="&amp;B683,Invoices!$F$6:$F$305,"&gt;="&amp;B683)),IF(COUNTIFS(Invoices!$C$6:$C$305,C683,Invoices!$E$6:$E$305,"&lt;="&amp;B683,Invoices!$F$6:$F$305,"&gt;="&amp;B683)&gt;1,"Two invoices",""))))</f>
        <v/>
      </c>
      <c r="Q683" s="15">
        <f>IF(B683="","",IF(J683&lt;&gt;"","Not billable",IF(P683="","To invoice",IF(P683="Two invoices","Check dates",IF(ISNA(MATCH(P683,Invoices!$B$6:$B$305,0)),"Check number",IF(INDEX(Invoices!$M$6:$M$305,MATCH(P683,Invoices!$B$6:$B$305,0))="Paid","Paid",IF(INDEX(Invoices!$M$6:$M$305,MATCH(P683,Invoices!$B$6:$B$305,0))="Draft","Draft","Invoiced")))))))</f>
        <v/>
      </c>
      <c r="R683" s="1">
        <f>IF(AND(B683&lt;&gt;"",P683&lt;&gt;"",P683=Invoice!$G$4),B683+MOD(N(F683),1)+ROW()/10000000,"")</f>
        <v/>
      </c>
      <c r="S683">
        <f>IF(R683="","",IF(D683="","Other work",D683)&amp;IF(AND(K683&lt;&gt;"",E683&lt;&gt;""),", "&amp;E683,""))</f>
        <v/>
      </c>
      <c r="T683">
        <f>IF(R683="","",IF(COUNTIFS(R$6:R682,"&gt;0",S$6:S682,S683,N$6:N682,N683)=0,R683,""))</f>
        <v/>
      </c>
      <c r="U683">
        <f>IF(B683="","",IF(J683&lt;&gt;"",0,M683))</f>
        <v/>
      </c>
    </row>
    <row r="684">
      <c r="A684" s="1" t="n"/>
      <c r="B684" s="16" t="n"/>
      <c r="C684" s="17" t="n"/>
      <c r="D684" s="18" t="n"/>
      <c r="E684" s="18" t="n"/>
      <c r="F684" s="19" t="n"/>
      <c r="G684" s="19" t="n"/>
      <c r="H684" s="20" t="n"/>
      <c r="I684" s="21" t="n"/>
      <c r="J684" s="22" t="n"/>
      <c r="K684" s="23" t="n"/>
      <c r="L684" s="18" t="n"/>
      <c r="M684" s="24">
        <f>IF(B684="","",IF(AND(F684&lt;&gt;"",G684&lt;&gt;""),MAX(0,ROUND(MOD(G684-F684,1)*24-N(H684)/60,2)),N(I684)))</f>
        <v/>
      </c>
      <c r="N684" s="14">
        <f>IF(B684="","",IF(K684&lt;&gt;"",K684,IF(N(IFERROR(INDEX(Projects!$D$6:$D$65,MATCH(D684,Projects!$B$6:$B$65,0)),""))&gt;0,IFERROR(INDEX(Projects!$D$6:$D$65,MATCH(D684,Projects!$B$6:$B$65,0)),""),IFERROR(INDEX(Clients!$G$6:$G$45,MATCH(C684,Clients!$B$6:$B$45,0)),0))))</f>
        <v/>
      </c>
      <c r="O684" s="14">
        <f>IF(B684="","",IF(J684&lt;&gt;"",0,ROUND(M684*N684,2)))</f>
        <v/>
      </c>
      <c r="P684" s="15">
        <f>IF(OR(B684="",J684&lt;&gt;""),"",IF(L684&lt;&gt;"",L684,IF(COUNTIFS(Invoices!$C$6:$C$305,C684,Invoices!$E$6:$E$305,"&lt;="&amp;B684,Invoices!$F$6:$F$305,"&gt;="&amp;B684)=1,INDEX(Invoices!$B$6:$B$305,SUMIFS(Invoices!$O$6:$O$305,Invoices!$C$6:$C$305,C684,Invoices!$E$6:$E$305,"&lt;="&amp;B684,Invoices!$F$6:$F$305,"&gt;="&amp;B684)),IF(COUNTIFS(Invoices!$C$6:$C$305,C684,Invoices!$E$6:$E$305,"&lt;="&amp;B684,Invoices!$F$6:$F$305,"&gt;="&amp;B684)&gt;1,"Two invoices",""))))</f>
        <v/>
      </c>
      <c r="Q684" s="15">
        <f>IF(B684="","",IF(J684&lt;&gt;"","Not billable",IF(P684="","To invoice",IF(P684="Two invoices","Check dates",IF(ISNA(MATCH(P684,Invoices!$B$6:$B$305,0)),"Check number",IF(INDEX(Invoices!$M$6:$M$305,MATCH(P684,Invoices!$B$6:$B$305,0))="Paid","Paid",IF(INDEX(Invoices!$M$6:$M$305,MATCH(P684,Invoices!$B$6:$B$305,0))="Draft","Draft","Invoiced")))))))</f>
        <v/>
      </c>
      <c r="R684" s="1">
        <f>IF(AND(B684&lt;&gt;"",P684&lt;&gt;"",P684=Invoice!$G$4),B684+MOD(N(F684),1)+ROW()/10000000,"")</f>
        <v/>
      </c>
      <c r="S684">
        <f>IF(R684="","",IF(D684="","Other work",D684)&amp;IF(AND(K684&lt;&gt;"",E684&lt;&gt;""),", "&amp;E684,""))</f>
        <v/>
      </c>
      <c r="T684">
        <f>IF(R684="","",IF(COUNTIFS(R$6:R683,"&gt;0",S$6:S683,S684,N$6:N683,N684)=0,R684,""))</f>
        <v/>
      </c>
      <c r="U684">
        <f>IF(B684="","",IF(J684&lt;&gt;"",0,M684))</f>
        <v/>
      </c>
    </row>
    <row r="685">
      <c r="A685" s="1" t="n"/>
      <c r="B685" s="16" t="n"/>
      <c r="C685" s="17" t="n"/>
      <c r="D685" s="18" t="n"/>
      <c r="E685" s="18" t="n"/>
      <c r="F685" s="19" t="n"/>
      <c r="G685" s="19" t="n"/>
      <c r="H685" s="20" t="n"/>
      <c r="I685" s="21" t="n"/>
      <c r="J685" s="22" t="n"/>
      <c r="K685" s="23" t="n"/>
      <c r="L685" s="18" t="n"/>
      <c r="M685" s="24">
        <f>IF(B685="","",IF(AND(F685&lt;&gt;"",G685&lt;&gt;""),MAX(0,ROUND(MOD(G685-F685,1)*24-N(H685)/60,2)),N(I685)))</f>
        <v/>
      </c>
      <c r="N685" s="14">
        <f>IF(B685="","",IF(K685&lt;&gt;"",K685,IF(N(IFERROR(INDEX(Projects!$D$6:$D$65,MATCH(D685,Projects!$B$6:$B$65,0)),""))&gt;0,IFERROR(INDEX(Projects!$D$6:$D$65,MATCH(D685,Projects!$B$6:$B$65,0)),""),IFERROR(INDEX(Clients!$G$6:$G$45,MATCH(C685,Clients!$B$6:$B$45,0)),0))))</f>
        <v/>
      </c>
      <c r="O685" s="14">
        <f>IF(B685="","",IF(J685&lt;&gt;"",0,ROUND(M685*N685,2)))</f>
        <v/>
      </c>
      <c r="P685" s="15">
        <f>IF(OR(B685="",J685&lt;&gt;""),"",IF(L685&lt;&gt;"",L685,IF(COUNTIFS(Invoices!$C$6:$C$305,C685,Invoices!$E$6:$E$305,"&lt;="&amp;B685,Invoices!$F$6:$F$305,"&gt;="&amp;B685)=1,INDEX(Invoices!$B$6:$B$305,SUMIFS(Invoices!$O$6:$O$305,Invoices!$C$6:$C$305,C685,Invoices!$E$6:$E$305,"&lt;="&amp;B685,Invoices!$F$6:$F$305,"&gt;="&amp;B685)),IF(COUNTIFS(Invoices!$C$6:$C$305,C685,Invoices!$E$6:$E$305,"&lt;="&amp;B685,Invoices!$F$6:$F$305,"&gt;="&amp;B685)&gt;1,"Two invoices",""))))</f>
        <v/>
      </c>
      <c r="Q685" s="15">
        <f>IF(B685="","",IF(J685&lt;&gt;"","Not billable",IF(P685="","To invoice",IF(P685="Two invoices","Check dates",IF(ISNA(MATCH(P685,Invoices!$B$6:$B$305,0)),"Check number",IF(INDEX(Invoices!$M$6:$M$305,MATCH(P685,Invoices!$B$6:$B$305,0))="Paid","Paid",IF(INDEX(Invoices!$M$6:$M$305,MATCH(P685,Invoices!$B$6:$B$305,0))="Draft","Draft","Invoiced")))))))</f>
        <v/>
      </c>
      <c r="R685" s="1">
        <f>IF(AND(B685&lt;&gt;"",P685&lt;&gt;"",P685=Invoice!$G$4),B685+MOD(N(F685),1)+ROW()/10000000,"")</f>
        <v/>
      </c>
      <c r="S685">
        <f>IF(R685="","",IF(D685="","Other work",D685)&amp;IF(AND(K685&lt;&gt;"",E685&lt;&gt;""),", "&amp;E685,""))</f>
        <v/>
      </c>
      <c r="T685">
        <f>IF(R685="","",IF(COUNTIFS(R$6:R684,"&gt;0",S$6:S684,S685,N$6:N684,N685)=0,R685,""))</f>
        <v/>
      </c>
      <c r="U685">
        <f>IF(B685="","",IF(J685&lt;&gt;"",0,M685))</f>
        <v/>
      </c>
    </row>
    <row r="686">
      <c r="A686" s="1" t="n"/>
      <c r="B686" s="16" t="n"/>
      <c r="C686" s="17" t="n"/>
      <c r="D686" s="18" t="n"/>
      <c r="E686" s="18" t="n"/>
      <c r="F686" s="19" t="n"/>
      <c r="G686" s="19" t="n"/>
      <c r="H686" s="20" t="n"/>
      <c r="I686" s="21" t="n"/>
      <c r="J686" s="22" t="n"/>
      <c r="K686" s="23" t="n"/>
      <c r="L686" s="18" t="n"/>
      <c r="M686" s="24">
        <f>IF(B686="","",IF(AND(F686&lt;&gt;"",G686&lt;&gt;""),MAX(0,ROUND(MOD(G686-F686,1)*24-N(H686)/60,2)),N(I686)))</f>
        <v/>
      </c>
      <c r="N686" s="14">
        <f>IF(B686="","",IF(K686&lt;&gt;"",K686,IF(N(IFERROR(INDEX(Projects!$D$6:$D$65,MATCH(D686,Projects!$B$6:$B$65,0)),""))&gt;0,IFERROR(INDEX(Projects!$D$6:$D$65,MATCH(D686,Projects!$B$6:$B$65,0)),""),IFERROR(INDEX(Clients!$G$6:$G$45,MATCH(C686,Clients!$B$6:$B$45,0)),0))))</f>
        <v/>
      </c>
      <c r="O686" s="14">
        <f>IF(B686="","",IF(J686&lt;&gt;"",0,ROUND(M686*N686,2)))</f>
        <v/>
      </c>
      <c r="P686" s="15">
        <f>IF(OR(B686="",J686&lt;&gt;""),"",IF(L686&lt;&gt;"",L686,IF(COUNTIFS(Invoices!$C$6:$C$305,C686,Invoices!$E$6:$E$305,"&lt;="&amp;B686,Invoices!$F$6:$F$305,"&gt;="&amp;B686)=1,INDEX(Invoices!$B$6:$B$305,SUMIFS(Invoices!$O$6:$O$305,Invoices!$C$6:$C$305,C686,Invoices!$E$6:$E$305,"&lt;="&amp;B686,Invoices!$F$6:$F$305,"&gt;="&amp;B686)),IF(COUNTIFS(Invoices!$C$6:$C$305,C686,Invoices!$E$6:$E$305,"&lt;="&amp;B686,Invoices!$F$6:$F$305,"&gt;="&amp;B686)&gt;1,"Two invoices",""))))</f>
        <v/>
      </c>
      <c r="Q686" s="15">
        <f>IF(B686="","",IF(J686&lt;&gt;"","Not billable",IF(P686="","To invoice",IF(P686="Two invoices","Check dates",IF(ISNA(MATCH(P686,Invoices!$B$6:$B$305,0)),"Check number",IF(INDEX(Invoices!$M$6:$M$305,MATCH(P686,Invoices!$B$6:$B$305,0))="Paid","Paid",IF(INDEX(Invoices!$M$6:$M$305,MATCH(P686,Invoices!$B$6:$B$305,0))="Draft","Draft","Invoiced")))))))</f>
        <v/>
      </c>
      <c r="R686" s="1">
        <f>IF(AND(B686&lt;&gt;"",P686&lt;&gt;"",P686=Invoice!$G$4),B686+MOD(N(F686),1)+ROW()/10000000,"")</f>
        <v/>
      </c>
      <c r="S686">
        <f>IF(R686="","",IF(D686="","Other work",D686)&amp;IF(AND(K686&lt;&gt;"",E686&lt;&gt;""),", "&amp;E686,""))</f>
        <v/>
      </c>
      <c r="T686">
        <f>IF(R686="","",IF(COUNTIFS(R$6:R685,"&gt;0",S$6:S685,S686,N$6:N685,N686)=0,R686,""))</f>
        <v/>
      </c>
      <c r="U686">
        <f>IF(B686="","",IF(J686&lt;&gt;"",0,M686))</f>
        <v/>
      </c>
    </row>
    <row r="687">
      <c r="A687" s="1" t="n"/>
      <c r="B687" s="16" t="n"/>
      <c r="C687" s="17" t="n"/>
      <c r="D687" s="18" t="n"/>
      <c r="E687" s="18" t="n"/>
      <c r="F687" s="19" t="n"/>
      <c r="G687" s="19" t="n"/>
      <c r="H687" s="20" t="n"/>
      <c r="I687" s="21" t="n"/>
      <c r="J687" s="22" t="n"/>
      <c r="K687" s="23" t="n"/>
      <c r="L687" s="18" t="n"/>
      <c r="M687" s="24">
        <f>IF(B687="","",IF(AND(F687&lt;&gt;"",G687&lt;&gt;""),MAX(0,ROUND(MOD(G687-F687,1)*24-N(H687)/60,2)),N(I687)))</f>
        <v/>
      </c>
      <c r="N687" s="14">
        <f>IF(B687="","",IF(K687&lt;&gt;"",K687,IF(N(IFERROR(INDEX(Projects!$D$6:$D$65,MATCH(D687,Projects!$B$6:$B$65,0)),""))&gt;0,IFERROR(INDEX(Projects!$D$6:$D$65,MATCH(D687,Projects!$B$6:$B$65,0)),""),IFERROR(INDEX(Clients!$G$6:$G$45,MATCH(C687,Clients!$B$6:$B$45,0)),0))))</f>
        <v/>
      </c>
      <c r="O687" s="14">
        <f>IF(B687="","",IF(J687&lt;&gt;"",0,ROUND(M687*N687,2)))</f>
        <v/>
      </c>
      <c r="P687" s="15">
        <f>IF(OR(B687="",J687&lt;&gt;""),"",IF(L687&lt;&gt;"",L687,IF(COUNTIFS(Invoices!$C$6:$C$305,C687,Invoices!$E$6:$E$305,"&lt;="&amp;B687,Invoices!$F$6:$F$305,"&gt;="&amp;B687)=1,INDEX(Invoices!$B$6:$B$305,SUMIFS(Invoices!$O$6:$O$305,Invoices!$C$6:$C$305,C687,Invoices!$E$6:$E$305,"&lt;="&amp;B687,Invoices!$F$6:$F$305,"&gt;="&amp;B687)),IF(COUNTIFS(Invoices!$C$6:$C$305,C687,Invoices!$E$6:$E$305,"&lt;="&amp;B687,Invoices!$F$6:$F$305,"&gt;="&amp;B687)&gt;1,"Two invoices",""))))</f>
        <v/>
      </c>
      <c r="Q687" s="15">
        <f>IF(B687="","",IF(J687&lt;&gt;"","Not billable",IF(P687="","To invoice",IF(P687="Two invoices","Check dates",IF(ISNA(MATCH(P687,Invoices!$B$6:$B$305,0)),"Check number",IF(INDEX(Invoices!$M$6:$M$305,MATCH(P687,Invoices!$B$6:$B$305,0))="Paid","Paid",IF(INDEX(Invoices!$M$6:$M$305,MATCH(P687,Invoices!$B$6:$B$305,0))="Draft","Draft","Invoiced")))))))</f>
        <v/>
      </c>
      <c r="R687" s="1">
        <f>IF(AND(B687&lt;&gt;"",P687&lt;&gt;"",P687=Invoice!$G$4),B687+MOD(N(F687),1)+ROW()/10000000,"")</f>
        <v/>
      </c>
      <c r="S687">
        <f>IF(R687="","",IF(D687="","Other work",D687)&amp;IF(AND(K687&lt;&gt;"",E687&lt;&gt;""),", "&amp;E687,""))</f>
        <v/>
      </c>
      <c r="T687">
        <f>IF(R687="","",IF(COUNTIFS(R$6:R686,"&gt;0",S$6:S686,S687,N$6:N686,N687)=0,R687,""))</f>
        <v/>
      </c>
      <c r="U687">
        <f>IF(B687="","",IF(J687&lt;&gt;"",0,M687))</f>
        <v/>
      </c>
    </row>
    <row r="688">
      <c r="A688" s="1" t="n"/>
      <c r="B688" s="16" t="n"/>
      <c r="C688" s="17" t="n"/>
      <c r="D688" s="18" t="n"/>
      <c r="E688" s="18" t="n"/>
      <c r="F688" s="19" t="n"/>
      <c r="G688" s="19" t="n"/>
      <c r="H688" s="20" t="n"/>
      <c r="I688" s="21" t="n"/>
      <c r="J688" s="22" t="n"/>
      <c r="K688" s="23" t="n"/>
      <c r="L688" s="18" t="n"/>
      <c r="M688" s="24">
        <f>IF(B688="","",IF(AND(F688&lt;&gt;"",G688&lt;&gt;""),MAX(0,ROUND(MOD(G688-F688,1)*24-N(H688)/60,2)),N(I688)))</f>
        <v/>
      </c>
      <c r="N688" s="14">
        <f>IF(B688="","",IF(K688&lt;&gt;"",K688,IF(N(IFERROR(INDEX(Projects!$D$6:$D$65,MATCH(D688,Projects!$B$6:$B$65,0)),""))&gt;0,IFERROR(INDEX(Projects!$D$6:$D$65,MATCH(D688,Projects!$B$6:$B$65,0)),""),IFERROR(INDEX(Clients!$G$6:$G$45,MATCH(C688,Clients!$B$6:$B$45,0)),0))))</f>
        <v/>
      </c>
      <c r="O688" s="14">
        <f>IF(B688="","",IF(J688&lt;&gt;"",0,ROUND(M688*N688,2)))</f>
        <v/>
      </c>
      <c r="P688" s="15">
        <f>IF(OR(B688="",J688&lt;&gt;""),"",IF(L688&lt;&gt;"",L688,IF(COUNTIFS(Invoices!$C$6:$C$305,C688,Invoices!$E$6:$E$305,"&lt;="&amp;B688,Invoices!$F$6:$F$305,"&gt;="&amp;B688)=1,INDEX(Invoices!$B$6:$B$305,SUMIFS(Invoices!$O$6:$O$305,Invoices!$C$6:$C$305,C688,Invoices!$E$6:$E$305,"&lt;="&amp;B688,Invoices!$F$6:$F$305,"&gt;="&amp;B688)),IF(COUNTIFS(Invoices!$C$6:$C$305,C688,Invoices!$E$6:$E$305,"&lt;="&amp;B688,Invoices!$F$6:$F$305,"&gt;="&amp;B688)&gt;1,"Two invoices",""))))</f>
        <v/>
      </c>
      <c r="Q688" s="15">
        <f>IF(B688="","",IF(J688&lt;&gt;"","Not billable",IF(P688="","To invoice",IF(P688="Two invoices","Check dates",IF(ISNA(MATCH(P688,Invoices!$B$6:$B$305,0)),"Check number",IF(INDEX(Invoices!$M$6:$M$305,MATCH(P688,Invoices!$B$6:$B$305,0))="Paid","Paid",IF(INDEX(Invoices!$M$6:$M$305,MATCH(P688,Invoices!$B$6:$B$305,0))="Draft","Draft","Invoiced")))))))</f>
        <v/>
      </c>
      <c r="R688" s="1">
        <f>IF(AND(B688&lt;&gt;"",P688&lt;&gt;"",P688=Invoice!$G$4),B688+MOD(N(F688),1)+ROW()/10000000,"")</f>
        <v/>
      </c>
      <c r="S688">
        <f>IF(R688="","",IF(D688="","Other work",D688)&amp;IF(AND(K688&lt;&gt;"",E688&lt;&gt;""),", "&amp;E688,""))</f>
        <v/>
      </c>
      <c r="T688">
        <f>IF(R688="","",IF(COUNTIFS(R$6:R687,"&gt;0",S$6:S687,S688,N$6:N687,N688)=0,R688,""))</f>
        <v/>
      </c>
      <c r="U688">
        <f>IF(B688="","",IF(J688&lt;&gt;"",0,M688))</f>
        <v/>
      </c>
    </row>
    <row r="689">
      <c r="A689" s="1" t="n"/>
      <c r="B689" s="16" t="n"/>
      <c r="C689" s="17" t="n"/>
      <c r="D689" s="18" t="n"/>
      <c r="E689" s="18" t="n"/>
      <c r="F689" s="19" t="n"/>
      <c r="G689" s="19" t="n"/>
      <c r="H689" s="20" t="n"/>
      <c r="I689" s="21" t="n"/>
      <c r="J689" s="22" t="n"/>
      <c r="K689" s="23" t="n"/>
      <c r="L689" s="18" t="n"/>
      <c r="M689" s="24">
        <f>IF(B689="","",IF(AND(F689&lt;&gt;"",G689&lt;&gt;""),MAX(0,ROUND(MOD(G689-F689,1)*24-N(H689)/60,2)),N(I689)))</f>
        <v/>
      </c>
      <c r="N689" s="14">
        <f>IF(B689="","",IF(K689&lt;&gt;"",K689,IF(N(IFERROR(INDEX(Projects!$D$6:$D$65,MATCH(D689,Projects!$B$6:$B$65,0)),""))&gt;0,IFERROR(INDEX(Projects!$D$6:$D$65,MATCH(D689,Projects!$B$6:$B$65,0)),""),IFERROR(INDEX(Clients!$G$6:$G$45,MATCH(C689,Clients!$B$6:$B$45,0)),0))))</f>
        <v/>
      </c>
      <c r="O689" s="14">
        <f>IF(B689="","",IF(J689&lt;&gt;"",0,ROUND(M689*N689,2)))</f>
        <v/>
      </c>
      <c r="P689" s="15">
        <f>IF(OR(B689="",J689&lt;&gt;""),"",IF(L689&lt;&gt;"",L689,IF(COUNTIFS(Invoices!$C$6:$C$305,C689,Invoices!$E$6:$E$305,"&lt;="&amp;B689,Invoices!$F$6:$F$305,"&gt;="&amp;B689)=1,INDEX(Invoices!$B$6:$B$305,SUMIFS(Invoices!$O$6:$O$305,Invoices!$C$6:$C$305,C689,Invoices!$E$6:$E$305,"&lt;="&amp;B689,Invoices!$F$6:$F$305,"&gt;="&amp;B689)),IF(COUNTIFS(Invoices!$C$6:$C$305,C689,Invoices!$E$6:$E$305,"&lt;="&amp;B689,Invoices!$F$6:$F$305,"&gt;="&amp;B689)&gt;1,"Two invoices",""))))</f>
        <v/>
      </c>
      <c r="Q689" s="15">
        <f>IF(B689="","",IF(J689&lt;&gt;"","Not billable",IF(P689="","To invoice",IF(P689="Two invoices","Check dates",IF(ISNA(MATCH(P689,Invoices!$B$6:$B$305,0)),"Check number",IF(INDEX(Invoices!$M$6:$M$305,MATCH(P689,Invoices!$B$6:$B$305,0))="Paid","Paid",IF(INDEX(Invoices!$M$6:$M$305,MATCH(P689,Invoices!$B$6:$B$305,0))="Draft","Draft","Invoiced")))))))</f>
        <v/>
      </c>
      <c r="R689" s="1">
        <f>IF(AND(B689&lt;&gt;"",P689&lt;&gt;"",P689=Invoice!$G$4),B689+MOD(N(F689),1)+ROW()/10000000,"")</f>
        <v/>
      </c>
      <c r="S689">
        <f>IF(R689="","",IF(D689="","Other work",D689)&amp;IF(AND(K689&lt;&gt;"",E689&lt;&gt;""),", "&amp;E689,""))</f>
        <v/>
      </c>
      <c r="T689">
        <f>IF(R689="","",IF(COUNTIFS(R$6:R688,"&gt;0",S$6:S688,S689,N$6:N688,N689)=0,R689,""))</f>
        <v/>
      </c>
      <c r="U689">
        <f>IF(B689="","",IF(J689&lt;&gt;"",0,M689))</f>
        <v/>
      </c>
    </row>
    <row r="690">
      <c r="A690" s="1" t="n"/>
      <c r="B690" s="16" t="n"/>
      <c r="C690" s="17" t="n"/>
      <c r="D690" s="18" t="n"/>
      <c r="E690" s="18" t="n"/>
      <c r="F690" s="19" t="n"/>
      <c r="G690" s="19" t="n"/>
      <c r="H690" s="20" t="n"/>
      <c r="I690" s="21" t="n"/>
      <c r="J690" s="22" t="n"/>
      <c r="K690" s="23" t="n"/>
      <c r="L690" s="18" t="n"/>
      <c r="M690" s="24">
        <f>IF(B690="","",IF(AND(F690&lt;&gt;"",G690&lt;&gt;""),MAX(0,ROUND(MOD(G690-F690,1)*24-N(H690)/60,2)),N(I690)))</f>
        <v/>
      </c>
      <c r="N690" s="14">
        <f>IF(B690="","",IF(K690&lt;&gt;"",K690,IF(N(IFERROR(INDEX(Projects!$D$6:$D$65,MATCH(D690,Projects!$B$6:$B$65,0)),""))&gt;0,IFERROR(INDEX(Projects!$D$6:$D$65,MATCH(D690,Projects!$B$6:$B$65,0)),""),IFERROR(INDEX(Clients!$G$6:$G$45,MATCH(C690,Clients!$B$6:$B$45,0)),0))))</f>
        <v/>
      </c>
      <c r="O690" s="14">
        <f>IF(B690="","",IF(J690&lt;&gt;"",0,ROUND(M690*N690,2)))</f>
        <v/>
      </c>
      <c r="P690" s="15">
        <f>IF(OR(B690="",J690&lt;&gt;""),"",IF(L690&lt;&gt;"",L690,IF(COUNTIFS(Invoices!$C$6:$C$305,C690,Invoices!$E$6:$E$305,"&lt;="&amp;B690,Invoices!$F$6:$F$305,"&gt;="&amp;B690)=1,INDEX(Invoices!$B$6:$B$305,SUMIFS(Invoices!$O$6:$O$305,Invoices!$C$6:$C$305,C690,Invoices!$E$6:$E$305,"&lt;="&amp;B690,Invoices!$F$6:$F$305,"&gt;="&amp;B690)),IF(COUNTIFS(Invoices!$C$6:$C$305,C690,Invoices!$E$6:$E$305,"&lt;="&amp;B690,Invoices!$F$6:$F$305,"&gt;="&amp;B690)&gt;1,"Two invoices",""))))</f>
        <v/>
      </c>
      <c r="Q690" s="15">
        <f>IF(B690="","",IF(J690&lt;&gt;"","Not billable",IF(P690="","To invoice",IF(P690="Two invoices","Check dates",IF(ISNA(MATCH(P690,Invoices!$B$6:$B$305,0)),"Check number",IF(INDEX(Invoices!$M$6:$M$305,MATCH(P690,Invoices!$B$6:$B$305,0))="Paid","Paid",IF(INDEX(Invoices!$M$6:$M$305,MATCH(P690,Invoices!$B$6:$B$305,0))="Draft","Draft","Invoiced")))))))</f>
        <v/>
      </c>
      <c r="R690" s="1">
        <f>IF(AND(B690&lt;&gt;"",P690&lt;&gt;"",P690=Invoice!$G$4),B690+MOD(N(F690),1)+ROW()/10000000,"")</f>
        <v/>
      </c>
      <c r="S690">
        <f>IF(R690="","",IF(D690="","Other work",D690)&amp;IF(AND(K690&lt;&gt;"",E690&lt;&gt;""),", "&amp;E690,""))</f>
        <v/>
      </c>
      <c r="T690">
        <f>IF(R690="","",IF(COUNTIFS(R$6:R689,"&gt;0",S$6:S689,S690,N$6:N689,N690)=0,R690,""))</f>
        <v/>
      </c>
      <c r="U690">
        <f>IF(B690="","",IF(J690&lt;&gt;"",0,M690))</f>
        <v/>
      </c>
    </row>
    <row r="691">
      <c r="A691" s="1" t="n"/>
      <c r="B691" s="16" t="n"/>
      <c r="C691" s="17" t="n"/>
      <c r="D691" s="18" t="n"/>
      <c r="E691" s="18" t="n"/>
      <c r="F691" s="19" t="n"/>
      <c r="G691" s="19" t="n"/>
      <c r="H691" s="20" t="n"/>
      <c r="I691" s="21" t="n"/>
      <c r="J691" s="22" t="n"/>
      <c r="K691" s="23" t="n"/>
      <c r="L691" s="18" t="n"/>
      <c r="M691" s="24">
        <f>IF(B691="","",IF(AND(F691&lt;&gt;"",G691&lt;&gt;""),MAX(0,ROUND(MOD(G691-F691,1)*24-N(H691)/60,2)),N(I691)))</f>
        <v/>
      </c>
      <c r="N691" s="14">
        <f>IF(B691="","",IF(K691&lt;&gt;"",K691,IF(N(IFERROR(INDEX(Projects!$D$6:$D$65,MATCH(D691,Projects!$B$6:$B$65,0)),""))&gt;0,IFERROR(INDEX(Projects!$D$6:$D$65,MATCH(D691,Projects!$B$6:$B$65,0)),""),IFERROR(INDEX(Clients!$G$6:$G$45,MATCH(C691,Clients!$B$6:$B$45,0)),0))))</f>
        <v/>
      </c>
      <c r="O691" s="14">
        <f>IF(B691="","",IF(J691&lt;&gt;"",0,ROUND(M691*N691,2)))</f>
        <v/>
      </c>
      <c r="P691" s="15">
        <f>IF(OR(B691="",J691&lt;&gt;""),"",IF(L691&lt;&gt;"",L691,IF(COUNTIFS(Invoices!$C$6:$C$305,C691,Invoices!$E$6:$E$305,"&lt;="&amp;B691,Invoices!$F$6:$F$305,"&gt;="&amp;B691)=1,INDEX(Invoices!$B$6:$B$305,SUMIFS(Invoices!$O$6:$O$305,Invoices!$C$6:$C$305,C691,Invoices!$E$6:$E$305,"&lt;="&amp;B691,Invoices!$F$6:$F$305,"&gt;="&amp;B691)),IF(COUNTIFS(Invoices!$C$6:$C$305,C691,Invoices!$E$6:$E$305,"&lt;="&amp;B691,Invoices!$F$6:$F$305,"&gt;="&amp;B691)&gt;1,"Two invoices",""))))</f>
        <v/>
      </c>
      <c r="Q691" s="15">
        <f>IF(B691="","",IF(J691&lt;&gt;"","Not billable",IF(P691="","To invoice",IF(P691="Two invoices","Check dates",IF(ISNA(MATCH(P691,Invoices!$B$6:$B$305,0)),"Check number",IF(INDEX(Invoices!$M$6:$M$305,MATCH(P691,Invoices!$B$6:$B$305,0))="Paid","Paid",IF(INDEX(Invoices!$M$6:$M$305,MATCH(P691,Invoices!$B$6:$B$305,0))="Draft","Draft","Invoiced")))))))</f>
        <v/>
      </c>
      <c r="R691" s="1">
        <f>IF(AND(B691&lt;&gt;"",P691&lt;&gt;"",P691=Invoice!$G$4),B691+MOD(N(F691),1)+ROW()/10000000,"")</f>
        <v/>
      </c>
      <c r="S691">
        <f>IF(R691="","",IF(D691="","Other work",D691)&amp;IF(AND(K691&lt;&gt;"",E691&lt;&gt;""),", "&amp;E691,""))</f>
        <v/>
      </c>
      <c r="T691">
        <f>IF(R691="","",IF(COUNTIFS(R$6:R690,"&gt;0",S$6:S690,S691,N$6:N690,N691)=0,R691,""))</f>
        <v/>
      </c>
      <c r="U691">
        <f>IF(B691="","",IF(J691&lt;&gt;"",0,M691))</f>
        <v/>
      </c>
    </row>
    <row r="692">
      <c r="A692" s="1" t="n"/>
      <c r="B692" s="16" t="n"/>
      <c r="C692" s="17" t="n"/>
      <c r="D692" s="18" t="n"/>
      <c r="E692" s="18" t="n"/>
      <c r="F692" s="19" t="n"/>
      <c r="G692" s="19" t="n"/>
      <c r="H692" s="20" t="n"/>
      <c r="I692" s="21" t="n"/>
      <c r="J692" s="22" t="n"/>
      <c r="K692" s="23" t="n"/>
      <c r="L692" s="18" t="n"/>
      <c r="M692" s="24">
        <f>IF(B692="","",IF(AND(F692&lt;&gt;"",G692&lt;&gt;""),MAX(0,ROUND(MOD(G692-F692,1)*24-N(H692)/60,2)),N(I692)))</f>
        <v/>
      </c>
      <c r="N692" s="14">
        <f>IF(B692="","",IF(K692&lt;&gt;"",K692,IF(N(IFERROR(INDEX(Projects!$D$6:$D$65,MATCH(D692,Projects!$B$6:$B$65,0)),""))&gt;0,IFERROR(INDEX(Projects!$D$6:$D$65,MATCH(D692,Projects!$B$6:$B$65,0)),""),IFERROR(INDEX(Clients!$G$6:$G$45,MATCH(C692,Clients!$B$6:$B$45,0)),0))))</f>
        <v/>
      </c>
      <c r="O692" s="14">
        <f>IF(B692="","",IF(J692&lt;&gt;"",0,ROUND(M692*N692,2)))</f>
        <v/>
      </c>
      <c r="P692" s="15">
        <f>IF(OR(B692="",J692&lt;&gt;""),"",IF(L692&lt;&gt;"",L692,IF(COUNTIFS(Invoices!$C$6:$C$305,C692,Invoices!$E$6:$E$305,"&lt;="&amp;B692,Invoices!$F$6:$F$305,"&gt;="&amp;B692)=1,INDEX(Invoices!$B$6:$B$305,SUMIFS(Invoices!$O$6:$O$305,Invoices!$C$6:$C$305,C692,Invoices!$E$6:$E$305,"&lt;="&amp;B692,Invoices!$F$6:$F$305,"&gt;="&amp;B692)),IF(COUNTIFS(Invoices!$C$6:$C$305,C692,Invoices!$E$6:$E$305,"&lt;="&amp;B692,Invoices!$F$6:$F$305,"&gt;="&amp;B692)&gt;1,"Two invoices",""))))</f>
        <v/>
      </c>
      <c r="Q692" s="15">
        <f>IF(B692="","",IF(J692&lt;&gt;"","Not billable",IF(P692="","To invoice",IF(P692="Two invoices","Check dates",IF(ISNA(MATCH(P692,Invoices!$B$6:$B$305,0)),"Check number",IF(INDEX(Invoices!$M$6:$M$305,MATCH(P692,Invoices!$B$6:$B$305,0))="Paid","Paid",IF(INDEX(Invoices!$M$6:$M$305,MATCH(P692,Invoices!$B$6:$B$305,0))="Draft","Draft","Invoiced")))))))</f>
        <v/>
      </c>
      <c r="R692" s="1">
        <f>IF(AND(B692&lt;&gt;"",P692&lt;&gt;"",P692=Invoice!$G$4),B692+MOD(N(F692),1)+ROW()/10000000,"")</f>
        <v/>
      </c>
      <c r="S692">
        <f>IF(R692="","",IF(D692="","Other work",D692)&amp;IF(AND(K692&lt;&gt;"",E692&lt;&gt;""),", "&amp;E692,""))</f>
        <v/>
      </c>
      <c r="T692">
        <f>IF(R692="","",IF(COUNTIFS(R$6:R691,"&gt;0",S$6:S691,S692,N$6:N691,N692)=0,R692,""))</f>
        <v/>
      </c>
      <c r="U692">
        <f>IF(B692="","",IF(J692&lt;&gt;"",0,M692))</f>
        <v/>
      </c>
    </row>
    <row r="693">
      <c r="A693" s="1" t="n"/>
      <c r="B693" s="16" t="n"/>
      <c r="C693" s="17" t="n"/>
      <c r="D693" s="18" t="n"/>
      <c r="E693" s="18" t="n"/>
      <c r="F693" s="19" t="n"/>
      <c r="G693" s="19" t="n"/>
      <c r="H693" s="20" t="n"/>
      <c r="I693" s="21" t="n"/>
      <c r="J693" s="22" t="n"/>
      <c r="K693" s="23" t="n"/>
      <c r="L693" s="18" t="n"/>
      <c r="M693" s="24">
        <f>IF(B693="","",IF(AND(F693&lt;&gt;"",G693&lt;&gt;""),MAX(0,ROUND(MOD(G693-F693,1)*24-N(H693)/60,2)),N(I693)))</f>
        <v/>
      </c>
      <c r="N693" s="14">
        <f>IF(B693="","",IF(K693&lt;&gt;"",K693,IF(N(IFERROR(INDEX(Projects!$D$6:$D$65,MATCH(D693,Projects!$B$6:$B$65,0)),""))&gt;0,IFERROR(INDEX(Projects!$D$6:$D$65,MATCH(D693,Projects!$B$6:$B$65,0)),""),IFERROR(INDEX(Clients!$G$6:$G$45,MATCH(C693,Clients!$B$6:$B$45,0)),0))))</f>
        <v/>
      </c>
      <c r="O693" s="14">
        <f>IF(B693="","",IF(J693&lt;&gt;"",0,ROUND(M693*N693,2)))</f>
        <v/>
      </c>
      <c r="P693" s="15">
        <f>IF(OR(B693="",J693&lt;&gt;""),"",IF(L693&lt;&gt;"",L693,IF(COUNTIFS(Invoices!$C$6:$C$305,C693,Invoices!$E$6:$E$305,"&lt;="&amp;B693,Invoices!$F$6:$F$305,"&gt;="&amp;B693)=1,INDEX(Invoices!$B$6:$B$305,SUMIFS(Invoices!$O$6:$O$305,Invoices!$C$6:$C$305,C693,Invoices!$E$6:$E$305,"&lt;="&amp;B693,Invoices!$F$6:$F$305,"&gt;="&amp;B693)),IF(COUNTIFS(Invoices!$C$6:$C$305,C693,Invoices!$E$6:$E$305,"&lt;="&amp;B693,Invoices!$F$6:$F$305,"&gt;="&amp;B693)&gt;1,"Two invoices",""))))</f>
        <v/>
      </c>
      <c r="Q693" s="15">
        <f>IF(B693="","",IF(J693&lt;&gt;"","Not billable",IF(P693="","To invoice",IF(P693="Two invoices","Check dates",IF(ISNA(MATCH(P693,Invoices!$B$6:$B$305,0)),"Check number",IF(INDEX(Invoices!$M$6:$M$305,MATCH(P693,Invoices!$B$6:$B$305,0))="Paid","Paid",IF(INDEX(Invoices!$M$6:$M$305,MATCH(P693,Invoices!$B$6:$B$305,0))="Draft","Draft","Invoiced")))))))</f>
        <v/>
      </c>
      <c r="R693" s="1">
        <f>IF(AND(B693&lt;&gt;"",P693&lt;&gt;"",P693=Invoice!$G$4),B693+MOD(N(F693),1)+ROW()/10000000,"")</f>
        <v/>
      </c>
      <c r="S693">
        <f>IF(R693="","",IF(D693="","Other work",D693)&amp;IF(AND(K693&lt;&gt;"",E693&lt;&gt;""),", "&amp;E693,""))</f>
        <v/>
      </c>
      <c r="T693">
        <f>IF(R693="","",IF(COUNTIFS(R$6:R692,"&gt;0",S$6:S692,S693,N$6:N692,N693)=0,R693,""))</f>
        <v/>
      </c>
      <c r="U693">
        <f>IF(B693="","",IF(J693&lt;&gt;"",0,M693))</f>
        <v/>
      </c>
    </row>
    <row r="694">
      <c r="A694" s="1" t="n"/>
      <c r="B694" s="16" t="n"/>
      <c r="C694" s="17" t="n"/>
      <c r="D694" s="18" t="n"/>
      <c r="E694" s="18" t="n"/>
      <c r="F694" s="19" t="n"/>
      <c r="G694" s="19" t="n"/>
      <c r="H694" s="20" t="n"/>
      <c r="I694" s="21" t="n"/>
      <c r="J694" s="22" t="n"/>
      <c r="K694" s="23" t="n"/>
      <c r="L694" s="18" t="n"/>
      <c r="M694" s="24">
        <f>IF(B694="","",IF(AND(F694&lt;&gt;"",G694&lt;&gt;""),MAX(0,ROUND(MOD(G694-F694,1)*24-N(H694)/60,2)),N(I694)))</f>
        <v/>
      </c>
      <c r="N694" s="14">
        <f>IF(B694="","",IF(K694&lt;&gt;"",K694,IF(N(IFERROR(INDEX(Projects!$D$6:$D$65,MATCH(D694,Projects!$B$6:$B$65,0)),""))&gt;0,IFERROR(INDEX(Projects!$D$6:$D$65,MATCH(D694,Projects!$B$6:$B$65,0)),""),IFERROR(INDEX(Clients!$G$6:$G$45,MATCH(C694,Clients!$B$6:$B$45,0)),0))))</f>
        <v/>
      </c>
      <c r="O694" s="14">
        <f>IF(B694="","",IF(J694&lt;&gt;"",0,ROUND(M694*N694,2)))</f>
        <v/>
      </c>
      <c r="P694" s="15">
        <f>IF(OR(B694="",J694&lt;&gt;""),"",IF(L694&lt;&gt;"",L694,IF(COUNTIFS(Invoices!$C$6:$C$305,C694,Invoices!$E$6:$E$305,"&lt;="&amp;B694,Invoices!$F$6:$F$305,"&gt;="&amp;B694)=1,INDEX(Invoices!$B$6:$B$305,SUMIFS(Invoices!$O$6:$O$305,Invoices!$C$6:$C$305,C694,Invoices!$E$6:$E$305,"&lt;="&amp;B694,Invoices!$F$6:$F$305,"&gt;="&amp;B694)),IF(COUNTIFS(Invoices!$C$6:$C$305,C694,Invoices!$E$6:$E$305,"&lt;="&amp;B694,Invoices!$F$6:$F$305,"&gt;="&amp;B694)&gt;1,"Two invoices",""))))</f>
        <v/>
      </c>
      <c r="Q694" s="15">
        <f>IF(B694="","",IF(J694&lt;&gt;"","Not billable",IF(P694="","To invoice",IF(P694="Two invoices","Check dates",IF(ISNA(MATCH(P694,Invoices!$B$6:$B$305,0)),"Check number",IF(INDEX(Invoices!$M$6:$M$305,MATCH(P694,Invoices!$B$6:$B$305,0))="Paid","Paid",IF(INDEX(Invoices!$M$6:$M$305,MATCH(P694,Invoices!$B$6:$B$305,0))="Draft","Draft","Invoiced")))))))</f>
        <v/>
      </c>
      <c r="R694" s="1">
        <f>IF(AND(B694&lt;&gt;"",P694&lt;&gt;"",P694=Invoice!$G$4),B694+MOD(N(F694),1)+ROW()/10000000,"")</f>
        <v/>
      </c>
      <c r="S694">
        <f>IF(R694="","",IF(D694="","Other work",D694)&amp;IF(AND(K694&lt;&gt;"",E694&lt;&gt;""),", "&amp;E694,""))</f>
        <v/>
      </c>
      <c r="T694">
        <f>IF(R694="","",IF(COUNTIFS(R$6:R693,"&gt;0",S$6:S693,S694,N$6:N693,N694)=0,R694,""))</f>
        <v/>
      </c>
      <c r="U694">
        <f>IF(B694="","",IF(J694&lt;&gt;"",0,M694))</f>
        <v/>
      </c>
    </row>
    <row r="695">
      <c r="A695" s="1" t="n"/>
      <c r="B695" s="16" t="n"/>
      <c r="C695" s="17" t="n"/>
      <c r="D695" s="18" t="n"/>
      <c r="E695" s="18" t="n"/>
      <c r="F695" s="19" t="n"/>
      <c r="G695" s="19" t="n"/>
      <c r="H695" s="20" t="n"/>
      <c r="I695" s="21" t="n"/>
      <c r="J695" s="22" t="n"/>
      <c r="K695" s="23" t="n"/>
      <c r="L695" s="18" t="n"/>
      <c r="M695" s="24">
        <f>IF(B695="","",IF(AND(F695&lt;&gt;"",G695&lt;&gt;""),MAX(0,ROUND(MOD(G695-F695,1)*24-N(H695)/60,2)),N(I695)))</f>
        <v/>
      </c>
      <c r="N695" s="14">
        <f>IF(B695="","",IF(K695&lt;&gt;"",K695,IF(N(IFERROR(INDEX(Projects!$D$6:$D$65,MATCH(D695,Projects!$B$6:$B$65,0)),""))&gt;0,IFERROR(INDEX(Projects!$D$6:$D$65,MATCH(D695,Projects!$B$6:$B$65,0)),""),IFERROR(INDEX(Clients!$G$6:$G$45,MATCH(C695,Clients!$B$6:$B$45,0)),0))))</f>
        <v/>
      </c>
      <c r="O695" s="14">
        <f>IF(B695="","",IF(J695&lt;&gt;"",0,ROUND(M695*N695,2)))</f>
        <v/>
      </c>
      <c r="P695" s="15">
        <f>IF(OR(B695="",J695&lt;&gt;""),"",IF(L695&lt;&gt;"",L695,IF(COUNTIFS(Invoices!$C$6:$C$305,C695,Invoices!$E$6:$E$305,"&lt;="&amp;B695,Invoices!$F$6:$F$305,"&gt;="&amp;B695)=1,INDEX(Invoices!$B$6:$B$305,SUMIFS(Invoices!$O$6:$O$305,Invoices!$C$6:$C$305,C695,Invoices!$E$6:$E$305,"&lt;="&amp;B695,Invoices!$F$6:$F$305,"&gt;="&amp;B695)),IF(COUNTIFS(Invoices!$C$6:$C$305,C695,Invoices!$E$6:$E$305,"&lt;="&amp;B695,Invoices!$F$6:$F$305,"&gt;="&amp;B695)&gt;1,"Two invoices",""))))</f>
        <v/>
      </c>
      <c r="Q695" s="15">
        <f>IF(B695="","",IF(J695&lt;&gt;"","Not billable",IF(P695="","To invoice",IF(P695="Two invoices","Check dates",IF(ISNA(MATCH(P695,Invoices!$B$6:$B$305,0)),"Check number",IF(INDEX(Invoices!$M$6:$M$305,MATCH(P695,Invoices!$B$6:$B$305,0))="Paid","Paid",IF(INDEX(Invoices!$M$6:$M$305,MATCH(P695,Invoices!$B$6:$B$305,0))="Draft","Draft","Invoiced")))))))</f>
        <v/>
      </c>
      <c r="R695" s="1">
        <f>IF(AND(B695&lt;&gt;"",P695&lt;&gt;"",P695=Invoice!$G$4),B695+MOD(N(F695),1)+ROW()/10000000,"")</f>
        <v/>
      </c>
      <c r="S695">
        <f>IF(R695="","",IF(D695="","Other work",D695)&amp;IF(AND(K695&lt;&gt;"",E695&lt;&gt;""),", "&amp;E695,""))</f>
        <v/>
      </c>
      <c r="T695">
        <f>IF(R695="","",IF(COUNTIFS(R$6:R694,"&gt;0",S$6:S694,S695,N$6:N694,N695)=0,R695,""))</f>
        <v/>
      </c>
      <c r="U695">
        <f>IF(B695="","",IF(J695&lt;&gt;"",0,M695))</f>
        <v/>
      </c>
    </row>
    <row r="696">
      <c r="A696" s="1" t="n"/>
      <c r="B696" s="16" t="n"/>
      <c r="C696" s="17" t="n"/>
      <c r="D696" s="18" t="n"/>
      <c r="E696" s="18" t="n"/>
      <c r="F696" s="19" t="n"/>
      <c r="G696" s="19" t="n"/>
      <c r="H696" s="20" t="n"/>
      <c r="I696" s="21" t="n"/>
      <c r="J696" s="22" t="n"/>
      <c r="K696" s="23" t="n"/>
      <c r="L696" s="18" t="n"/>
      <c r="M696" s="24">
        <f>IF(B696="","",IF(AND(F696&lt;&gt;"",G696&lt;&gt;""),MAX(0,ROUND(MOD(G696-F696,1)*24-N(H696)/60,2)),N(I696)))</f>
        <v/>
      </c>
      <c r="N696" s="14">
        <f>IF(B696="","",IF(K696&lt;&gt;"",K696,IF(N(IFERROR(INDEX(Projects!$D$6:$D$65,MATCH(D696,Projects!$B$6:$B$65,0)),""))&gt;0,IFERROR(INDEX(Projects!$D$6:$D$65,MATCH(D696,Projects!$B$6:$B$65,0)),""),IFERROR(INDEX(Clients!$G$6:$G$45,MATCH(C696,Clients!$B$6:$B$45,0)),0))))</f>
        <v/>
      </c>
      <c r="O696" s="14">
        <f>IF(B696="","",IF(J696&lt;&gt;"",0,ROUND(M696*N696,2)))</f>
        <v/>
      </c>
      <c r="P696" s="15">
        <f>IF(OR(B696="",J696&lt;&gt;""),"",IF(L696&lt;&gt;"",L696,IF(COUNTIFS(Invoices!$C$6:$C$305,C696,Invoices!$E$6:$E$305,"&lt;="&amp;B696,Invoices!$F$6:$F$305,"&gt;="&amp;B696)=1,INDEX(Invoices!$B$6:$B$305,SUMIFS(Invoices!$O$6:$O$305,Invoices!$C$6:$C$305,C696,Invoices!$E$6:$E$305,"&lt;="&amp;B696,Invoices!$F$6:$F$305,"&gt;="&amp;B696)),IF(COUNTIFS(Invoices!$C$6:$C$305,C696,Invoices!$E$6:$E$305,"&lt;="&amp;B696,Invoices!$F$6:$F$305,"&gt;="&amp;B696)&gt;1,"Two invoices",""))))</f>
        <v/>
      </c>
      <c r="Q696" s="15">
        <f>IF(B696="","",IF(J696&lt;&gt;"","Not billable",IF(P696="","To invoice",IF(P696="Two invoices","Check dates",IF(ISNA(MATCH(P696,Invoices!$B$6:$B$305,0)),"Check number",IF(INDEX(Invoices!$M$6:$M$305,MATCH(P696,Invoices!$B$6:$B$305,0))="Paid","Paid",IF(INDEX(Invoices!$M$6:$M$305,MATCH(P696,Invoices!$B$6:$B$305,0))="Draft","Draft","Invoiced")))))))</f>
        <v/>
      </c>
      <c r="R696" s="1">
        <f>IF(AND(B696&lt;&gt;"",P696&lt;&gt;"",P696=Invoice!$G$4),B696+MOD(N(F696),1)+ROW()/10000000,"")</f>
        <v/>
      </c>
      <c r="S696">
        <f>IF(R696="","",IF(D696="","Other work",D696)&amp;IF(AND(K696&lt;&gt;"",E696&lt;&gt;""),", "&amp;E696,""))</f>
        <v/>
      </c>
      <c r="T696">
        <f>IF(R696="","",IF(COUNTIFS(R$6:R695,"&gt;0",S$6:S695,S696,N$6:N695,N696)=0,R696,""))</f>
        <v/>
      </c>
      <c r="U696">
        <f>IF(B696="","",IF(J696&lt;&gt;"",0,M696))</f>
        <v/>
      </c>
    </row>
    <row r="697">
      <c r="A697" s="1" t="n"/>
      <c r="B697" s="16" t="n"/>
      <c r="C697" s="17" t="n"/>
      <c r="D697" s="18" t="n"/>
      <c r="E697" s="18" t="n"/>
      <c r="F697" s="19" t="n"/>
      <c r="G697" s="19" t="n"/>
      <c r="H697" s="20" t="n"/>
      <c r="I697" s="21" t="n"/>
      <c r="J697" s="22" t="n"/>
      <c r="K697" s="23" t="n"/>
      <c r="L697" s="18" t="n"/>
      <c r="M697" s="24">
        <f>IF(B697="","",IF(AND(F697&lt;&gt;"",G697&lt;&gt;""),MAX(0,ROUND(MOD(G697-F697,1)*24-N(H697)/60,2)),N(I697)))</f>
        <v/>
      </c>
      <c r="N697" s="14">
        <f>IF(B697="","",IF(K697&lt;&gt;"",K697,IF(N(IFERROR(INDEX(Projects!$D$6:$D$65,MATCH(D697,Projects!$B$6:$B$65,0)),""))&gt;0,IFERROR(INDEX(Projects!$D$6:$D$65,MATCH(D697,Projects!$B$6:$B$65,0)),""),IFERROR(INDEX(Clients!$G$6:$G$45,MATCH(C697,Clients!$B$6:$B$45,0)),0))))</f>
        <v/>
      </c>
      <c r="O697" s="14">
        <f>IF(B697="","",IF(J697&lt;&gt;"",0,ROUND(M697*N697,2)))</f>
        <v/>
      </c>
      <c r="P697" s="15">
        <f>IF(OR(B697="",J697&lt;&gt;""),"",IF(L697&lt;&gt;"",L697,IF(COUNTIFS(Invoices!$C$6:$C$305,C697,Invoices!$E$6:$E$305,"&lt;="&amp;B697,Invoices!$F$6:$F$305,"&gt;="&amp;B697)=1,INDEX(Invoices!$B$6:$B$305,SUMIFS(Invoices!$O$6:$O$305,Invoices!$C$6:$C$305,C697,Invoices!$E$6:$E$305,"&lt;="&amp;B697,Invoices!$F$6:$F$305,"&gt;="&amp;B697)),IF(COUNTIFS(Invoices!$C$6:$C$305,C697,Invoices!$E$6:$E$305,"&lt;="&amp;B697,Invoices!$F$6:$F$305,"&gt;="&amp;B697)&gt;1,"Two invoices",""))))</f>
        <v/>
      </c>
      <c r="Q697" s="15">
        <f>IF(B697="","",IF(J697&lt;&gt;"","Not billable",IF(P697="","To invoice",IF(P697="Two invoices","Check dates",IF(ISNA(MATCH(P697,Invoices!$B$6:$B$305,0)),"Check number",IF(INDEX(Invoices!$M$6:$M$305,MATCH(P697,Invoices!$B$6:$B$305,0))="Paid","Paid",IF(INDEX(Invoices!$M$6:$M$305,MATCH(P697,Invoices!$B$6:$B$305,0))="Draft","Draft","Invoiced")))))))</f>
        <v/>
      </c>
      <c r="R697" s="1">
        <f>IF(AND(B697&lt;&gt;"",P697&lt;&gt;"",P697=Invoice!$G$4),B697+MOD(N(F697),1)+ROW()/10000000,"")</f>
        <v/>
      </c>
      <c r="S697">
        <f>IF(R697="","",IF(D697="","Other work",D697)&amp;IF(AND(K697&lt;&gt;"",E697&lt;&gt;""),", "&amp;E697,""))</f>
        <v/>
      </c>
      <c r="T697">
        <f>IF(R697="","",IF(COUNTIFS(R$6:R696,"&gt;0",S$6:S696,S697,N$6:N696,N697)=0,R697,""))</f>
        <v/>
      </c>
      <c r="U697">
        <f>IF(B697="","",IF(J697&lt;&gt;"",0,M697))</f>
        <v/>
      </c>
    </row>
    <row r="698">
      <c r="A698" s="1" t="n"/>
      <c r="B698" s="16" t="n"/>
      <c r="C698" s="17" t="n"/>
      <c r="D698" s="18" t="n"/>
      <c r="E698" s="18" t="n"/>
      <c r="F698" s="19" t="n"/>
      <c r="G698" s="19" t="n"/>
      <c r="H698" s="20" t="n"/>
      <c r="I698" s="21" t="n"/>
      <c r="J698" s="22" t="n"/>
      <c r="K698" s="23" t="n"/>
      <c r="L698" s="18" t="n"/>
      <c r="M698" s="24">
        <f>IF(B698="","",IF(AND(F698&lt;&gt;"",G698&lt;&gt;""),MAX(0,ROUND(MOD(G698-F698,1)*24-N(H698)/60,2)),N(I698)))</f>
        <v/>
      </c>
      <c r="N698" s="14">
        <f>IF(B698="","",IF(K698&lt;&gt;"",K698,IF(N(IFERROR(INDEX(Projects!$D$6:$D$65,MATCH(D698,Projects!$B$6:$B$65,0)),""))&gt;0,IFERROR(INDEX(Projects!$D$6:$D$65,MATCH(D698,Projects!$B$6:$B$65,0)),""),IFERROR(INDEX(Clients!$G$6:$G$45,MATCH(C698,Clients!$B$6:$B$45,0)),0))))</f>
        <v/>
      </c>
      <c r="O698" s="14">
        <f>IF(B698="","",IF(J698&lt;&gt;"",0,ROUND(M698*N698,2)))</f>
        <v/>
      </c>
      <c r="P698" s="15">
        <f>IF(OR(B698="",J698&lt;&gt;""),"",IF(L698&lt;&gt;"",L698,IF(COUNTIFS(Invoices!$C$6:$C$305,C698,Invoices!$E$6:$E$305,"&lt;="&amp;B698,Invoices!$F$6:$F$305,"&gt;="&amp;B698)=1,INDEX(Invoices!$B$6:$B$305,SUMIFS(Invoices!$O$6:$O$305,Invoices!$C$6:$C$305,C698,Invoices!$E$6:$E$305,"&lt;="&amp;B698,Invoices!$F$6:$F$305,"&gt;="&amp;B698)),IF(COUNTIFS(Invoices!$C$6:$C$305,C698,Invoices!$E$6:$E$305,"&lt;="&amp;B698,Invoices!$F$6:$F$305,"&gt;="&amp;B698)&gt;1,"Two invoices",""))))</f>
        <v/>
      </c>
      <c r="Q698" s="15">
        <f>IF(B698="","",IF(J698&lt;&gt;"","Not billable",IF(P698="","To invoice",IF(P698="Two invoices","Check dates",IF(ISNA(MATCH(P698,Invoices!$B$6:$B$305,0)),"Check number",IF(INDEX(Invoices!$M$6:$M$305,MATCH(P698,Invoices!$B$6:$B$305,0))="Paid","Paid",IF(INDEX(Invoices!$M$6:$M$305,MATCH(P698,Invoices!$B$6:$B$305,0))="Draft","Draft","Invoiced")))))))</f>
        <v/>
      </c>
      <c r="R698" s="1">
        <f>IF(AND(B698&lt;&gt;"",P698&lt;&gt;"",P698=Invoice!$G$4),B698+MOD(N(F698),1)+ROW()/10000000,"")</f>
        <v/>
      </c>
      <c r="S698">
        <f>IF(R698="","",IF(D698="","Other work",D698)&amp;IF(AND(K698&lt;&gt;"",E698&lt;&gt;""),", "&amp;E698,""))</f>
        <v/>
      </c>
      <c r="T698">
        <f>IF(R698="","",IF(COUNTIFS(R$6:R697,"&gt;0",S$6:S697,S698,N$6:N697,N698)=0,R698,""))</f>
        <v/>
      </c>
      <c r="U698">
        <f>IF(B698="","",IF(J698&lt;&gt;"",0,M698))</f>
        <v/>
      </c>
    </row>
    <row r="699">
      <c r="A699" s="1" t="n"/>
      <c r="B699" s="16" t="n"/>
      <c r="C699" s="17" t="n"/>
      <c r="D699" s="18" t="n"/>
      <c r="E699" s="18" t="n"/>
      <c r="F699" s="19" t="n"/>
      <c r="G699" s="19" t="n"/>
      <c r="H699" s="20" t="n"/>
      <c r="I699" s="21" t="n"/>
      <c r="J699" s="22" t="n"/>
      <c r="K699" s="23" t="n"/>
      <c r="L699" s="18" t="n"/>
      <c r="M699" s="24">
        <f>IF(B699="","",IF(AND(F699&lt;&gt;"",G699&lt;&gt;""),MAX(0,ROUND(MOD(G699-F699,1)*24-N(H699)/60,2)),N(I699)))</f>
        <v/>
      </c>
      <c r="N699" s="14">
        <f>IF(B699="","",IF(K699&lt;&gt;"",K699,IF(N(IFERROR(INDEX(Projects!$D$6:$D$65,MATCH(D699,Projects!$B$6:$B$65,0)),""))&gt;0,IFERROR(INDEX(Projects!$D$6:$D$65,MATCH(D699,Projects!$B$6:$B$65,0)),""),IFERROR(INDEX(Clients!$G$6:$G$45,MATCH(C699,Clients!$B$6:$B$45,0)),0))))</f>
        <v/>
      </c>
      <c r="O699" s="14">
        <f>IF(B699="","",IF(J699&lt;&gt;"",0,ROUND(M699*N699,2)))</f>
        <v/>
      </c>
      <c r="P699" s="15">
        <f>IF(OR(B699="",J699&lt;&gt;""),"",IF(L699&lt;&gt;"",L699,IF(COUNTIFS(Invoices!$C$6:$C$305,C699,Invoices!$E$6:$E$305,"&lt;="&amp;B699,Invoices!$F$6:$F$305,"&gt;="&amp;B699)=1,INDEX(Invoices!$B$6:$B$305,SUMIFS(Invoices!$O$6:$O$305,Invoices!$C$6:$C$305,C699,Invoices!$E$6:$E$305,"&lt;="&amp;B699,Invoices!$F$6:$F$305,"&gt;="&amp;B699)),IF(COUNTIFS(Invoices!$C$6:$C$305,C699,Invoices!$E$6:$E$305,"&lt;="&amp;B699,Invoices!$F$6:$F$305,"&gt;="&amp;B699)&gt;1,"Two invoices",""))))</f>
        <v/>
      </c>
      <c r="Q699" s="15">
        <f>IF(B699="","",IF(J699&lt;&gt;"","Not billable",IF(P699="","To invoice",IF(P699="Two invoices","Check dates",IF(ISNA(MATCH(P699,Invoices!$B$6:$B$305,0)),"Check number",IF(INDEX(Invoices!$M$6:$M$305,MATCH(P699,Invoices!$B$6:$B$305,0))="Paid","Paid",IF(INDEX(Invoices!$M$6:$M$305,MATCH(P699,Invoices!$B$6:$B$305,0))="Draft","Draft","Invoiced")))))))</f>
        <v/>
      </c>
      <c r="R699" s="1">
        <f>IF(AND(B699&lt;&gt;"",P699&lt;&gt;"",P699=Invoice!$G$4),B699+MOD(N(F699),1)+ROW()/10000000,"")</f>
        <v/>
      </c>
      <c r="S699">
        <f>IF(R699="","",IF(D699="","Other work",D699)&amp;IF(AND(K699&lt;&gt;"",E699&lt;&gt;""),", "&amp;E699,""))</f>
        <v/>
      </c>
      <c r="T699">
        <f>IF(R699="","",IF(COUNTIFS(R$6:R698,"&gt;0",S$6:S698,S699,N$6:N698,N699)=0,R699,""))</f>
        <v/>
      </c>
      <c r="U699">
        <f>IF(B699="","",IF(J699&lt;&gt;"",0,M699))</f>
        <v/>
      </c>
    </row>
    <row r="700">
      <c r="A700" s="1" t="n"/>
      <c r="B700" s="16" t="n"/>
      <c r="C700" s="17" t="n"/>
      <c r="D700" s="18" t="n"/>
      <c r="E700" s="18" t="n"/>
      <c r="F700" s="19" t="n"/>
      <c r="G700" s="19" t="n"/>
      <c r="H700" s="20" t="n"/>
      <c r="I700" s="21" t="n"/>
      <c r="J700" s="22" t="n"/>
      <c r="K700" s="23" t="n"/>
      <c r="L700" s="18" t="n"/>
      <c r="M700" s="24">
        <f>IF(B700="","",IF(AND(F700&lt;&gt;"",G700&lt;&gt;""),MAX(0,ROUND(MOD(G700-F700,1)*24-N(H700)/60,2)),N(I700)))</f>
        <v/>
      </c>
      <c r="N700" s="14">
        <f>IF(B700="","",IF(K700&lt;&gt;"",K700,IF(N(IFERROR(INDEX(Projects!$D$6:$D$65,MATCH(D700,Projects!$B$6:$B$65,0)),""))&gt;0,IFERROR(INDEX(Projects!$D$6:$D$65,MATCH(D700,Projects!$B$6:$B$65,0)),""),IFERROR(INDEX(Clients!$G$6:$G$45,MATCH(C700,Clients!$B$6:$B$45,0)),0))))</f>
        <v/>
      </c>
      <c r="O700" s="14">
        <f>IF(B700="","",IF(J700&lt;&gt;"",0,ROUND(M700*N700,2)))</f>
        <v/>
      </c>
      <c r="P700" s="15">
        <f>IF(OR(B700="",J700&lt;&gt;""),"",IF(L700&lt;&gt;"",L700,IF(COUNTIFS(Invoices!$C$6:$C$305,C700,Invoices!$E$6:$E$305,"&lt;="&amp;B700,Invoices!$F$6:$F$305,"&gt;="&amp;B700)=1,INDEX(Invoices!$B$6:$B$305,SUMIFS(Invoices!$O$6:$O$305,Invoices!$C$6:$C$305,C700,Invoices!$E$6:$E$305,"&lt;="&amp;B700,Invoices!$F$6:$F$305,"&gt;="&amp;B700)),IF(COUNTIFS(Invoices!$C$6:$C$305,C700,Invoices!$E$6:$E$305,"&lt;="&amp;B700,Invoices!$F$6:$F$305,"&gt;="&amp;B700)&gt;1,"Two invoices",""))))</f>
        <v/>
      </c>
      <c r="Q700" s="15">
        <f>IF(B700="","",IF(J700&lt;&gt;"","Not billable",IF(P700="","To invoice",IF(P700="Two invoices","Check dates",IF(ISNA(MATCH(P700,Invoices!$B$6:$B$305,0)),"Check number",IF(INDEX(Invoices!$M$6:$M$305,MATCH(P700,Invoices!$B$6:$B$305,0))="Paid","Paid",IF(INDEX(Invoices!$M$6:$M$305,MATCH(P700,Invoices!$B$6:$B$305,0))="Draft","Draft","Invoiced")))))))</f>
        <v/>
      </c>
      <c r="R700" s="1">
        <f>IF(AND(B700&lt;&gt;"",P700&lt;&gt;"",P700=Invoice!$G$4),B700+MOD(N(F700),1)+ROW()/10000000,"")</f>
        <v/>
      </c>
      <c r="S700">
        <f>IF(R700="","",IF(D700="","Other work",D700)&amp;IF(AND(K700&lt;&gt;"",E700&lt;&gt;""),", "&amp;E700,""))</f>
        <v/>
      </c>
      <c r="T700">
        <f>IF(R700="","",IF(COUNTIFS(R$6:R699,"&gt;0",S$6:S699,S700,N$6:N699,N700)=0,R700,""))</f>
        <v/>
      </c>
      <c r="U700">
        <f>IF(B700="","",IF(J700&lt;&gt;"",0,M700))</f>
        <v/>
      </c>
    </row>
    <row r="701">
      <c r="A701" s="1" t="n"/>
      <c r="B701" s="16" t="n"/>
      <c r="C701" s="17" t="n"/>
      <c r="D701" s="18" t="n"/>
      <c r="E701" s="18" t="n"/>
      <c r="F701" s="19" t="n"/>
      <c r="G701" s="19" t="n"/>
      <c r="H701" s="20" t="n"/>
      <c r="I701" s="21" t="n"/>
      <c r="J701" s="22" t="n"/>
      <c r="K701" s="23" t="n"/>
      <c r="L701" s="18" t="n"/>
      <c r="M701" s="24">
        <f>IF(B701="","",IF(AND(F701&lt;&gt;"",G701&lt;&gt;""),MAX(0,ROUND(MOD(G701-F701,1)*24-N(H701)/60,2)),N(I701)))</f>
        <v/>
      </c>
      <c r="N701" s="14">
        <f>IF(B701="","",IF(K701&lt;&gt;"",K701,IF(N(IFERROR(INDEX(Projects!$D$6:$D$65,MATCH(D701,Projects!$B$6:$B$65,0)),""))&gt;0,IFERROR(INDEX(Projects!$D$6:$D$65,MATCH(D701,Projects!$B$6:$B$65,0)),""),IFERROR(INDEX(Clients!$G$6:$G$45,MATCH(C701,Clients!$B$6:$B$45,0)),0))))</f>
        <v/>
      </c>
      <c r="O701" s="14">
        <f>IF(B701="","",IF(J701&lt;&gt;"",0,ROUND(M701*N701,2)))</f>
        <v/>
      </c>
      <c r="P701" s="15">
        <f>IF(OR(B701="",J701&lt;&gt;""),"",IF(L701&lt;&gt;"",L701,IF(COUNTIFS(Invoices!$C$6:$C$305,C701,Invoices!$E$6:$E$305,"&lt;="&amp;B701,Invoices!$F$6:$F$305,"&gt;="&amp;B701)=1,INDEX(Invoices!$B$6:$B$305,SUMIFS(Invoices!$O$6:$O$305,Invoices!$C$6:$C$305,C701,Invoices!$E$6:$E$305,"&lt;="&amp;B701,Invoices!$F$6:$F$305,"&gt;="&amp;B701)),IF(COUNTIFS(Invoices!$C$6:$C$305,C701,Invoices!$E$6:$E$305,"&lt;="&amp;B701,Invoices!$F$6:$F$305,"&gt;="&amp;B701)&gt;1,"Two invoices",""))))</f>
        <v/>
      </c>
      <c r="Q701" s="15">
        <f>IF(B701="","",IF(J701&lt;&gt;"","Not billable",IF(P701="","To invoice",IF(P701="Two invoices","Check dates",IF(ISNA(MATCH(P701,Invoices!$B$6:$B$305,0)),"Check number",IF(INDEX(Invoices!$M$6:$M$305,MATCH(P701,Invoices!$B$6:$B$305,0))="Paid","Paid",IF(INDEX(Invoices!$M$6:$M$305,MATCH(P701,Invoices!$B$6:$B$305,0))="Draft","Draft","Invoiced")))))))</f>
        <v/>
      </c>
      <c r="R701" s="1">
        <f>IF(AND(B701&lt;&gt;"",P701&lt;&gt;"",P701=Invoice!$G$4),B701+MOD(N(F701),1)+ROW()/10000000,"")</f>
        <v/>
      </c>
      <c r="S701">
        <f>IF(R701="","",IF(D701="","Other work",D701)&amp;IF(AND(K701&lt;&gt;"",E701&lt;&gt;""),", "&amp;E701,""))</f>
        <v/>
      </c>
      <c r="T701">
        <f>IF(R701="","",IF(COUNTIFS(R$6:R700,"&gt;0",S$6:S700,S701,N$6:N700,N701)=0,R701,""))</f>
        <v/>
      </c>
      <c r="U701">
        <f>IF(B701="","",IF(J701&lt;&gt;"",0,M701))</f>
        <v/>
      </c>
    </row>
    <row r="702">
      <c r="A702" s="1" t="n"/>
      <c r="B702" s="16" t="n"/>
      <c r="C702" s="17" t="n"/>
      <c r="D702" s="18" t="n"/>
      <c r="E702" s="18" t="n"/>
      <c r="F702" s="19" t="n"/>
      <c r="G702" s="19" t="n"/>
      <c r="H702" s="20" t="n"/>
      <c r="I702" s="21" t="n"/>
      <c r="J702" s="22" t="n"/>
      <c r="K702" s="23" t="n"/>
      <c r="L702" s="18" t="n"/>
      <c r="M702" s="24">
        <f>IF(B702="","",IF(AND(F702&lt;&gt;"",G702&lt;&gt;""),MAX(0,ROUND(MOD(G702-F702,1)*24-N(H702)/60,2)),N(I702)))</f>
        <v/>
      </c>
      <c r="N702" s="14">
        <f>IF(B702="","",IF(K702&lt;&gt;"",K702,IF(N(IFERROR(INDEX(Projects!$D$6:$D$65,MATCH(D702,Projects!$B$6:$B$65,0)),""))&gt;0,IFERROR(INDEX(Projects!$D$6:$D$65,MATCH(D702,Projects!$B$6:$B$65,0)),""),IFERROR(INDEX(Clients!$G$6:$G$45,MATCH(C702,Clients!$B$6:$B$45,0)),0))))</f>
        <v/>
      </c>
      <c r="O702" s="14">
        <f>IF(B702="","",IF(J702&lt;&gt;"",0,ROUND(M702*N702,2)))</f>
        <v/>
      </c>
      <c r="P702" s="15">
        <f>IF(OR(B702="",J702&lt;&gt;""),"",IF(L702&lt;&gt;"",L702,IF(COUNTIFS(Invoices!$C$6:$C$305,C702,Invoices!$E$6:$E$305,"&lt;="&amp;B702,Invoices!$F$6:$F$305,"&gt;="&amp;B702)=1,INDEX(Invoices!$B$6:$B$305,SUMIFS(Invoices!$O$6:$O$305,Invoices!$C$6:$C$305,C702,Invoices!$E$6:$E$305,"&lt;="&amp;B702,Invoices!$F$6:$F$305,"&gt;="&amp;B702)),IF(COUNTIFS(Invoices!$C$6:$C$305,C702,Invoices!$E$6:$E$305,"&lt;="&amp;B702,Invoices!$F$6:$F$305,"&gt;="&amp;B702)&gt;1,"Two invoices",""))))</f>
        <v/>
      </c>
      <c r="Q702" s="15">
        <f>IF(B702="","",IF(J702&lt;&gt;"","Not billable",IF(P702="","To invoice",IF(P702="Two invoices","Check dates",IF(ISNA(MATCH(P702,Invoices!$B$6:$B$305,0)),"Check number",IF(INDEX(Invoices!$M$6:$M$305,MATCH(P702,Invoices!$B$6:$B$305,0))="Paid","Paid",IF(INDEX(Invoices!$M$6:$M$305,MATCH(P702,Invoices!$B$6:$B$305,0))="Draft","Draft","Invoiced")))))))</f>
        <v/>
      </c>
      <c r="R702" s="1">
        <f>IF(AND(B702&lt;&gt;"",P702&lt;&gt;"",P702=Invoice!$G$4),B702+MOD(N(F702),1)+ROW()/10000000,"")</f>
        <v/>
      </c>
      <c r="S702">
        <f>IF(R702="","",IF(D702="","Other work",D702)&amp;IF(AND(K702&lt;&gt;"",E702&lt;&gt;""),", "&amp;E702,""))</f>
        <v/>
      </c>
      <c r="T702">
        <f>IF(R702="","",IF(COUNTIFS(R$6:R701,"&gt;0",S$6:S701,S702,N$6:N701,N702)=0,R702,""))</f>
        <v/>
      </c>
      <c r="U702">
        <f>IF(B702="","",IF(J702&lt;&gt;"",0,M702))</f>
        <v/>
      </c>
    </row>
    <row r="703">
      <c r="A703" s="1" t="n"/>
      <c r="B703" s="16" t="n"/>
      <c r="C703" s="17" t="n"/>
      <c r="D703" s="18" t="n"/>
      <c r="E703" s="18" t="n"/>
      <c r="F703" s="19" t="n"/>
      <c r="G703" s="19" t="n"/>
      <c r="H703" s="20" t="n"/>
      <c r="I703" s="21" t="n"/>
      <c r="J703" s="22" t="n"/>
      <c r="K703" s="23" t="n"/>
      <c r="L703" s="18" t="n"/>
      <c r="M703" s="24">
        <f>IF(B703="","",IF(AND(F703&lt;&gt;"",G703&lt;&gt;""),MAX(0,ROUND(MOD(G703-F703,1)*24-N(H703)/60,2)),N(I703)))</f>
        <v/>
      </c>
      <c r="N703" s="14">
        <f>IF(B703="","",IF(K703&lt;&gt;"",K703,IF(N(IFERROR(INDEX(Projects!$D$6:$D$65,MATCH(D703,Projects!$B$6:$B$65,0)),""))&gt;0,IFERROR(INDEX(Projects!$D$6:$D$65,MATCH(D703,Projects!$B$6:$B$65,0)),""),IFERROR(INDEX(Clients!$G$6:$G$45,MATCH(C703,Clients!$B$6:$B$45,0)),0))))</f>
        <v/>
      </c>
      <c r="O703" s="14">
        <f>IF(B703="","",IF(J703&lt;&gt;"",0,ROUND(M703*N703,2)))</f>
        <v/>
      </c>
      <c r="P703" s="15">
        <f>IF(OR(B703="",J703&lt;&gt;""),"",IF(L703&lt;&gt;"",L703,IF(COUNTIFS(Invoices!$C$6:$C$305,C703,Invoices!$E$6:$E$305,"&lt;="&amp;B703,Invoices!$F$6:$F$305,"&gt;="&amp;B703)=1,INDEX(Invoices!$B$6:$B$305,SUMIFS(Invoices!$O$6:$O$305,Invoices!$C$6:$C$305,C703,Invoices!$E$6:$E$305,"&lt;="&amp;B703,Invoices!$F$6:$F$305,"&gt;="&amp;B703)),IF(COUNTIFS(Invoices!$C$6:$C$305,C703,Invoices!$E$6:$E$305,"&lt;="&amp;B703,Invoices!$F$6:$F$305,"&gt;="&amp;B703)&gt;1,"Two invoices",""))))</f>
        <v/>
      </c>
      <c r="Q703" s="15">
        <f>IF(B703="","",IF(J703&lt;&gt;"","Not billable",IF(P703="","To invoice",IF(P703="Two invoices","Check dates",IF(ISNA(MATCH(P703,Invoices!$B$6:$B$305,0)),"Check number",IF(INDEX(Invoices!$M$6:$M$305,MATCH(P703,Invoices!$B$6:$B$305,0))="Paid","Paid",IF(INDEX(Invoices!$M$6:$M$305,MATCH(P703,Invoices!$B$6:$B$305,0))="Draft","Draft","Invoiced")))))))</f>
        <v/>
      </c>
      <c r="R703" s="1">
        <f>IF(AND(B703&lt;&gt;"",P703&lt;&gt;"",P703=Invoice!$G$4),B703+MOD(N(F703),1)+ROW()/10000000,"")</f>
        <v/>
      </c>
      <c r="S703">
        <f>IF(R703="","",IF(D703="","Other work",D703)&amp;IF(AND(K703&lt;&gt;"",E703&lt;&gt;""),", "&amp;E703,""))</f>
        <v/>
      </c>
      <c r="T703">
        <f>IF(R703="","",IF(COUNTIFS(R$6:R702,"&gt;0",S$6:S702,S703,N$6:N702,N703)=0,R703,""))</f>
        <v/>
      </c>
      <c r="U703">
        <f>IF(B703="","",IF(J703&lt;&gt;"",0,M703))</f>
        <v/>
      </c>
    </row>
    <row r="704">
      <c r="A704" s="1" t="n"/>
      <c r="B704" s="16" t="n"/>
      <c r="C704" s="17" t="n"/>
      <c r="D704" s="18" t="n"/>
      <c r="E704" s="18" t="n"/>
      <c r="F704" s="19" t="n"/>
      <c r="G704" s="19" t="n"/>
      <c r="H704" s="20" t="n"/>
      <c r="I704" s="21" t="n"/>
      <c r="J704" s="22" t="n"/>
      <c r="K704" s="23" t="n"/>
      <c r="L704" s="18" t="n"/>
      <c r="M704" s="24">
        <f>IF(B704="","",IF(AND(F704&lt;&gt;"",G704&lt;&gt;""),MAX(0,ROUND(MOD(G704-F704,1)*24-N(H704)/60,2)),N(I704)))</f>
        <v/>
      </c>
      <c r="N704" s="14">
        <f>IF(B704="","",IF(K704&lt;&gt;"",K704,IF(N(IFERROR(INDEX(Projects!$D$6:$D$65,MATCH(D704,Projects!$B$6:$B$65,0)),""))&gt;0,IFERROR(INDEX(Projects!$D$6:$D$65,MATCH(D704,Projects!$B$6:$B$65,0)),""),IFERROR(INDEX(Clients!$G$6:$G$45,MATCH(C704,Clients!$B$6:$B$45,0)),0))))</f>
        <v/>
      </c>
      <c r="O704" s="14">
        <f>IF(B704="","",IF(J704&lt;&gt;"",0,ROUND(M704*N704,2)))</f>
        <v/>
      </c>
      <c r="P704" s="15">
        <f>IF(OR(B704="",J704&lt;&gt;""),"",IF(L704&lt;&gt;"",L704,IF(COUNTIFS(Invoices!$C$6:$C$305,C704,Invoices!$E$6:$E$305,"&lt;="&amp;B704,Invoices!$F$6:$F$305,"&gt;="&amp;B704)=1,INDEX(Invoices!$B$6:$B$305,SUMIFS(Invoices!$O$6:$O$305,Invoices!$C$6:$C$305,C704,Invoices!$E$6:$E$305,"&lt;="&amp;B704,Invoices!$F$6:$F$305,"&gt;="&amp;B704)),IF(COUNTIFS(Invoices!$C$6:$C$305,C704,Invoices!$E$6:$E$305,"&lt;="&amp;B704,Invoices!$F$6:$F$305,"&gt;="&amp;B704)&gt;1,"Two invoices",""))))</f>
        <v/>
      </c>
      <c r="Q704" s="15">
        <f>IF(B704="","",IF(J704&lt;&gt;"","Not billable",IF(P704="","To invoice",IF(P704="Two invoices","Check dates",IF(ISNA(MATCH(P704,Invoices!$B$6:$B$305,0)),"Check number",IF(INDEX(Invoices!$M$6:$M$305,MATCH(P704,Invoices!$B$6:$B$305,0))="Paid","Paid",IF(INDEX(Invoices!$M$6:$M$305,MATCH(P704,Invoices!$B$6:$B$305,0))="Draft","Draft","Invoiced")))))))</f>
        <v/>
      </c>
      <c r="R704" s="1">
        <f>IF(AND(B704&lt;&gt;"",P704&lt;&gt;"",P704=Invoice!$G$4),B704+MOD(N(F704),1)+ROW()/10000000,"")</f>
        <v/>
      </c>
      <c r="S704">
        <f>IF(R704="","",IF(D704="","Other work",D704)&amp;IF(AND(K704&lt;&gt;"",E704&lt;&gt;""),", "&amp;E704,""))</f>
        <v/>
      </c>
      <c r="T704">
        <f>IF(R704="","",IF(COUNTIFS(R$6:R703,"&gt;0",S$6:S703,S704,N$6:N703,N704)=0,R704,""))</f>
        <v/>
      </c>
      <c r="U704">
        <f>IF(B704="","",IF(J704&lt;&gt;"",0,M704))</f>
        <v/>
      </c>
    </row>
    <row r="705">
      <c r="A705" s="1" t="n"/>
      <c r="B705" s="16" t="n"/>
      <c r="C705" s="17" t="n"/>
      <c r="D705" s="18" t="n"/>
      <c r="E705" s="18" t="n"/>
      <c r="F705" s="19" t="n"/>
      <c r="G705" s="19" t="n"/>
      <c r="H705" s="20" t="n"/>
      <c r="I705" s="21" t="n"/>
      <c r="J705" s="22" t="n"/>
      <c r="K705" s="23" t="n"/>
      <c r="L705" s="18" t="n"/>
      <c r="M705" s="24">
        <f>IF(B705="","",IF(AND(F705&lt;&gt;"",G705&lt;&gt;""),MAX(0,ROUND(MOD(G705-F705,1)*24-N(H705)/60,2)),N(I705)))</f>
        <v/>
      </c>
      <c r="N705" s="14">
        <f>IF(B705="","",IF(K705&lt;&gt;"",K705,IF(N(IFERROR(INDEX(Projects!$D$6:$D$65,MATCH(D705,Projects!$B$6:$B$65,0)),""))&gt;0,IFERROR(INDEX(Projects!$D$6:$D$65,MATCH(D705,Projects!$B$6:$B$65,0)),""),IFERROR(INDEX(Clients!$G$6:$G$45,MATCH(C705,Clients!$B$6:$B$45,0)),0))))</f>
        <v/>
      </c>
      <c r="O705" s="14">
        <f>IF(B705="","",IF(J705&lt;&gt;"",0,ROUND(M705*N705,2)))</f>
        <v/>
      </c>
      <c r="P705" s="15">
        <f>IF(OR(B705="",J705&lt;&gt;""),"",IF(L705&lt;&gt;"",L705,IF(COUNTIFS(Invoices!$C$6:$C$305,C705,Invoices!$E$6:$E$305,"&lt;="&amp;B705,Invoices!$F$6:$F$305,"&gt;="&amp;B705)=1,INDEX(Invoices!$B$6:$B$305,SUMIFS(Invoices!$O$6:$O$305,Invoices!$C$6:$C$305,C705,Invoices!$E$6:$E$305,"&lt;="&amp;B705,Invoices!$F$6:$F$305,"&gt;="&amp;B705)),IF(COUNTIFS(Invoices!$C$6:$C$305,C705,Invoices!$E$6:$E$305,"&lt;="&amp;B705,Invoices!$F$6:$F$305,"&gt;="&amp;B705)&gt;1,"Two invoices",""))))</f>
        <v/>
      </c>
      <c r="Q705" s="15">
        <f>IF(B705="","",IF(J705&lt;&gt;"","Not billable",IF(P705="","To invoice",IF(P705="Two invoices","Check dates",IF(ISNA(MATCH(P705,Invoices!$B$6:$B$305,0)),"Check number",IF(INDEX(Invoices!$M$6:$M$305,MATCH(P705,Invoices!$B$6:$B$305,0))="Paid","Paid",IF(INDEX(Invoices!$M$6:$M$305,MATCH(P705,Invoices!$B$6:$B$305,0))="Draft","Draft","Invoiced")))))))</f>
        <v/>
      </c>
      <c r="R705" s="1">
        <f>IF(AND(B705&lt;&gt;"",P705&lt;&gt;"",P705=Invoice!$G$4),B705+MOD(N(F705),1)+ROW()/10000000,"")</f>
        <v/>
      </c>
      <c r="S705">
        <f>IF(R705="","",IF(D705="","Other work",D705)&amp;IF(AND(K705&lt;&gt;"",E705&lt;&gt;""),", "&amp;E705,""))</f>
        <v/>
      </c>
      <c r="T705">
        <f>IF(R705="","",IF(COUNTIFS(R$6:R704,"&gt;0",S$6:S704,S705,N$6:N704,N705)=0,R705,""))</f>
        <v/>
      </c>
      <c r="U705">
        <f>IF(B705="","",IF(J705&lt;&gt;"",0,M705))</f>
        <v/>
      </c>
    </row>
    <row r="706">
      <c r="A706" s="1" t="n"/>
      <c r="B706" s="16" t="n"/>
      <c r="C706" s="17" t="n"/>
      <c r="D706" s="18" t="n"/>
      <c r="E706" s="18" t="n"/>
      <c r="F706" s="19" t="n"/>
      <c r="G706" s="19" t="n"/>
      <c r="H706" s="20" t="n"/>
      <c r="I706" s="21" t="n"/>
      <c r="J706" s="22" t="n"/>
      <c r="K706" s="23" t="n"/>
      <c r="L706" s="18" t="n"/>
      <c r="M706" s="24">
        <f>IF(B706="","",IF(AND(F706&lt;&gt;"",G706&lt;&gt;""),MAX(0,ROUND(MOD(G706-F706,1)*24-N(H706)/60,2)),N(I706)))</f>
        <v/>
      </c>
      <c r="N706" s="14">
        <f>IF(B706="","",IF(K706&lt;&gt;"",K706,IF(N(IFERROR(INDEX(Projects!$D$6:$D$65,MATCH(D706,Projects!$B$6:$B$65,0)),""))&gt;0,IFERROR(INDEX(Projects!$D$6:$D$65,MATCH(D706,Projects!$B$6:$B$65,0)),""),IFERROR(INDEX(Clients!$G$6:$G$45,MATCH(C706,Clients!$B$6:$B$45,0)),0))))</f>
        <v/>
      </c>
      <c r="O706" s="14">
        <f>IF(B706="","",IF(J706&lt;&gt;"",0,ROUND(M706*N706,2)))</f>
        <v/>
      </c>
      <c r="P706" s="15">
        <f>IF(OR(B706="",J706&lt;&gt;""),"",IF(L706&lt;&gt;"",L706,IF(COUNTIFS(Invoices!$C$6:$C$305,C706,Invoices!$E$6:$E$305,"&lt;="&amp;B706,Invoices!$F$6:$F$305,"&gt;="&amp;B706)=1,INDEX(Invoices!$B$6:$B$305,SUMIFS(Invoices!$O$6:$O$305,Invoices!$C$6:$C$305,C706,Invoices!$E$6:$E$305,"&lt;="&amp;B706,Invoices!$F$6:$F$305,"&gt;="&amp;B706)),IF(COUNTIFS(Invoices!$C$6:$C$305,C706,Invoices!$E$6:$E$305,"&lt;="&amp;B706,Invoices!$F$6:$F$305,"&gt;="&amp;B706)&gt;1,"Two invoices",""))))</f>
        <v/>
      </c>
      <c r="Q706" s="15">
        <f>IF(B706="","",IF(J706&lt;&gt;"","Not billable",IF(P706="","To invoice",IF(P706="Two invoices","Check dates",IF(ISNA(MATCH(P706,Invoices!$B$6:$B$305,0)),"Check number",IF(INDEX(Invoices!$M$6:$M$305,MATCH(P706,Invoices!$B$6:$B$305,0))="Paid","Paid",IF(INDEX(Invoices!$M$6:$M$305,MATCH(P706,Invoices!$B$6:$B$305,0))="Draft","Draft","Invoiced")))))))</f>
        <v/>
      </c>
      <c r="R706" s="1">
        <f>IF(AND(B706&lt;&gt;"",P706&lt;&gt;"",P706=Invoice!$G$4),B706+MOD(N(F706),1)+ROW()/10000000,"")</f>
        <v/>
      </c>
      <c r="S706">
        <f>IF(R706="","",IF(D706="","Other work",D706)&amp;IF(AND(K706&lt;&gt;"",E706&lt;&gt;""),", "&amp;E706,""))</f>
        <v/>
      </c>
      <c r="T706">
        <f>IF(R706="","",IF(COUNTIFS(R$6:R705,"&gt;0",S$6:S705,S706,N$6:N705,N706)=0,R706,""))</f>
        <v/>
      </c>
      <c r="U706">
        <f>IF(B706="","",IF(J706&lt;&gt;"",0,M706))</f>
        <v/>
      </c>
    </row>
    <row r="707">
      <c r="A707" s="1" t="n"/>
      <c r="B707" s="16" t="n"/>
      <c r="C707" s="17" t="n"/>
      <c r="D707" s="18" t="n"/>
      <c r="E707" s="18" t="n"/>
      <c r="F707" s="19" t="n"/>
      <c r="G707" s="19" t="n"/>
      <c r="H707" s="20" t="n"/>
      <c r="I707" s="21" t="n"/>
      <c r="J707" s="22" t="n"/>
      <c r="K707" s="23" t="n"/>
      <c r="L707" s="18" t="n"/>
      <c r="M707" s="24">
        <f>IF(B707="","",IF(AND(F707&lt;&gt;"",G707&lt;&gt;""),MAX(0,ROUND(MOD(G707-F707,1)*24-N(H707)/60,2)),N(I707)))</f>
        <v/>
      </c>
      <c r="N707" s="14">
        <f>IF(B707="","",IF(K707&lt;&gt;"",K707,IF(N(IFERROR(INDEX(Projects!$D$6:$D$65,MATCH(D707,Projects!$B$6:$B$65,0)),""))&gt;0,IFERROR(INDEX(Projects!$D$6:$D$65,MATCH(D707,Projects!$B$6:$B$65,0)),""),IFERROR(INDEX(Clients!$G$6:$G$45,MATCH(C707,Clients!$B$6:$B$45,0)),0))))</f>
        <v/>
      </c>
      <c r="O707" s="14">
        <f>IF(B707="","",IF(J707&lt;&gt;"",0,ROUND(M707*N707,2)))</f>
        <v/>
      </c>
      <c r="P707" s="15">
        <f>IF(OR(B707="",J707&lt;&gt;""),"",IF(L707&lt;&gt;"",L707,IF(COUNTIFS(Invoices!$C$6:$C$305,C707,Invoices!$E$6:$E$305,"&lt;="&amp;B707,Invoices!$F$6:$F$305,"&gt;="&amp;B707)=1,INDEX(Invoices!$B$6:$B$305,SUMIFS(Invoices!$O$6:$O$305,Invoices!$C$6:$C$305,C707,Invoices!$E$6:$E$305,"&lt;="&amp;B707,Invoices!$F$6:$F$305,"&gt;="&amp;B707)),IF(COUNTIFS(Invoices!$C$6:$C$305,C707,Invoices!$E$6:$E$305,"&lt;="&amp;B707,Invoices!$F$6:$F$305,"&gt;="&amp;B707)&gt;1,"Two invoices",""))))</f>
        <v/>
      </c>
      <c r="Q707" s="15">
        <f>IF(B707="","",IF(J707&lt;&gt;"","Not billable",IF(P707="","To invoice",IF(P707="Two invoices","Check dates",IF(ISNA(MATCH(P707,Invoices!$B$6:$B$305,0)),"Check number",IF(INDEX(Invoices!$M$6:$M$305,MATCH(P707,Invoices!$B$6:$B$305,0))="Paid","Paid",IF(INDEX(Invoices!$M$6:$M$305,MATCH(P707,Invoices!$B$6:$B$305,0))="Draft","Draft","Invoiced")))))))</f>
        <v/>
      </c>
      <c r="R707" s="1">
        <f>IF(AND(B707&lt;&gt;"",P707&lt;&gt;"",P707=Invoice!$G$4),B707+MOD(N(F707),1)+ROW()/10000000,"")</f>
        <v/>
      </c>
      <c r="S707">
        <f>IF(R707="","",IF(D707="","Other work",D707)&amp;IF(AND(K707&lt;&gt;"",E707&lt;&gt;""),", "&amp;E707,""))</f>
        <v/>
      </c>
      <c r="T707">
        <f>IF(R707="","",IF(COUNTIFS(R$6:R706,"&gt;0",S$6:S706,S707,N$6:N706,N707)=0,R707,""))</f>
        <v/>
      </c>
      <c r="U707">
        <f>IF(B707="","",IF(J707&lt;&gt;"",0,M707))</f>
        <v/>
      </c>
    </row>
    <row r="708">
      <c r="A708" s="1" t="n"/>
      <c r="B708" s="16" t="n"/>
      <c r="C708" s="17" t="n"/>
      <c r="D708" s="18" t="n"/>
      <c r="E708" s="18" t="n"/>
      <c r="F708" s="19" t="n"/>
      <c r="G708" s="19" t="n"/>
      <c r="H708" s="20" t="n"/>
      <c r="I708" s="21" t="n"/>
      <c r="J708" s="22" t="n"/>
      <c r="K708" s="23" t="n"/>
      <c r="L708" s="18" t="n"/>
      <c r="M708" s="24">
        <f>IF(B708="","",IF(AND(F708&lt;&gt;"",G708&lt;&gt;""),MAX(0,ROUND(MOD(G708-F708,1)*24-N(H708)/60,2)),N(I708)))</f>
        <v/>
      </c>
      <c r="N708" s="14">
        <f>IF(B708="","",IF(K708&lt;&gt;"",K708,IF(N(IFERROR(INDEX(Projects!$D$6:$D$65,MATCH(D708,Projects!$B$6:$B$65,0)),""))&gt;0,IFERROR(INDEX(Projects!$D$6:$D$65,MATCH(D708,Projects!$B$6:$B$65,0)),""),IFERROR(INDEX(Clients!$G$6:$G$45,MATCH(C708,Clients!$B$6:$B$45,0)),0))))</f>
        <v/>
      </c>
      <c r="O708" s="14">
        <f>IF(B708="","",IF(J708&lt;&gt;"",0,ROUND(M708*N708,2)))</f>
        <v/>
      </c>
      <c r="P708" s="15">
        <f>IF(OR(B708="",J708&lt;&gt;""),"",IF(L708&lt;&gt;"",L708,IF(COUNTIFS(Invoices!$C$6:$C$305,C708,Invoices!$E$6:$E$305,"&lt;="&amp;B708,Invoices!$F$6:$F$305,"&gt;="&amp;B708)=1,INDEX(Invoices!$B$6:$B$305,SUMIFS(Invoices!$O$6:$O$305,Invoices!$C$6:$C$305,C708,Invoices!$E$6:$E$305,"&lt;="&amp;B708,Invoices!$F$6:$F$305,"&gt;="&amp;B708)),IF(COUNTIFS(Invoices!$C$6:$C$305,C708,Invoices!$E$6:$E$305,"&lt;="&amp;B708,Invoices!$F$6:$F$305,"&gt;="&amp;B708)&gt;1,"Two invoices",""))))</f>
        <v/>
      </c>
      <c r="Q708" s="15">
        <f>IF(B708="","",IF(J708&lt;&gt;"","Not billable",IF(P708="","To invoice",IF(P708="Two invoices","Check dates",IF(ISNA(MATCH(P708,Invoices!$B$6:$B$305,0)),"Check number",IF(INDEX(Invoices!$M$6:$M$305,MATCH(P708,Invoices!$B$6:$B$305,0))="Paid","Paid",IF(INDEX(Invoices!$M$6:$M$305,MATCH(P708,Invoices!$B$6:$B$305,0))="Draft","Draft","Invoiced")))))))</f>
        <v/>
      </c>
      <c r="R708" s="1">
        <f>IF(AND(B708&lt;&gt;"",P708&lt;&gt;"",P708=Invoice!$G$4),B708+MOD(N(F708),1)+ROW()/10000000,"")</f>
        <v/>
      </c>
      <c r="S708">
        <f>IF(R708="","",IF(D708="","Other work",D708)&amp;IF(AND(K708&lt;&gt;"",E708&lt;&gt;""),", "&amp;E708,""))</f>
        <v/>
      </c>
      <c r="T708">
        <f>IF(R708="","",IF(COUNTIFS(R$6:R707,"&gt;0",S$6:S707,S708,N$6:N707,N708)=0,R708,""))</f>
        <v/>
      </c>
      <c r="U708">
        <f>IF(B708="","",IF(J708&lt;&gt;"",0,M708))</f>
        <v/>
      </c>
    </row>
    <row r="709">
      <c r="A709" s="1" t="n"/>
      <c r="B709" s="16" t="n"/>
      <c r="C709" s="17" t="n"/>
      <c r="D709" s="18" t="n"/>
      <c r="E709" s="18" t="n"/>
      <c r="F709" s="19" t="n"/>
      <c r="G709" s="19" t="n"/>
      <c r="H709" s="20" t="n"/>
      <c r="I709" s="21" t="n"/>
      <c r="J709" s="22" t="n"/>
      <c r="K709" s="23" t="n"/>
      <c r="L709" s="18" t="n"/>
      <c r="M709" s="24">
        <f>IF(B709="","",IF(AND(F709&lt;&gt;"",G709&lt;&gt;""),MAX(0,ROUND(MOD(G709-F709,1)*24-N(H709)/60,2)),N(I709)))</f>
        <v/>
      </c>
      <c r="N709" s="14">
        <f>IF(B709="","",IF(K709&lt;&gt;"",K709,IF(N(IFERROR(INDEX(Projects!$D$6:$D$65,MATCH(D709,Projects!$B$6:$B$65,0)),""))&gt;0,IFERROR(INDEX(Projects!$D$6:$D$65,MATCH(D709,Projects!$B$6:$B$65,0)),""),IFERROR(INDEX(Clients!$G$6:$G$45,MATCH(C709,Clients!$B$6:$B$45,0)),0))))</f>
        <v/>
      </c>
      <c r="O709" s="14">
        <f>IF(B709="","",IF(J709&lt;&gt;"",0,ROUND(M709*N709,2)))</f>
        <v/>
      </c>
      <c r="P709" s="15">
        <f>IF(OR(B709="",J709&lt;&gt;""),"",IF(L709&lt;&gt;"",L709,IF(COUNTIFS(Invoices!$C$6:$C$305,C709,Invoices!$E$6:$E$305,"&lt;="&amp;B709,Invoices!$F$6:$F$305,"&gt;="&amp;B709)=1,INDEX(Invoices!$B$6:$B$305,SUMIFS(Invoices!$O$6:$O$305,Invoices!$C$6:$C$305,C709,Invoices!$E$6:$E$305,"&lt;="&amp;B709,Invoices!$F$6:$F$305,"&gt;="&amp;B709)),IF(COUNTIFS(Invoices!$C$6:$C$305,C709,Invoices!$E$6:$E$305,"&lt;="&amp;B709,Invoices!$F$6:$F$305,"&gt;="&amp;B709)&gt;1,"Two invoices",""))))</f>
        <v/>
      </c>
      <c r="Q709" s="15">
        <f>IF(B709="","",IF(J709&lt;&gt;"","Not billable",IF(P709="","To invoice",IF(P709="Two invoices","Check dates",IF(ISNA(MATCH(P709,Invoices!$B$6:$B$305,0)),"Check number",IF(INDEX(Invoices!$M$6:$M$305,MATCH(P709,Invoices!$B$6:$B$305,0))="Paid","Paid",IF(INDEX(Invoices!$M$6:$M$305,MATCH(P709,Invoices!$B$6:$B$305,0))="Draft","Draft","Invoiced")))))))</f>
        <v/>
      </c>
      <c r="R709" s="1">
        <f>IF(AND(B709&lt;&gt;"",P709&lt;&gt;"",P709=Invoice!$G$4),B709+MOD(N(F709),1)+ROW()/10000000,"")</f>
        <v/>
      </c>
      <c r="S709">
        <f>IF(R709="","",IF(D709="","Other work",D709)&amp;IF(AND(K709&lt;&gt;"",E709&lt;&gt;""),", "&amp;E709,""))</f>
        <v/>
      </c>
      <c r="T709">
        <f>IF(R709="","",IF(COUNTIFS(R$6:R708,"&gt;0",S$6:S708,S709,N$6:N708,N709)=0,R709,""))</f>
        <v/>
      </c>
      <c r="U709">
        <f>IF(B709="","",IF(J709&lt;&gt;"",0,M709))</f>
        <v/>
      </c>
    </row>
    <row r="710">
      <c r="A710" s="1" t="n"/>
      <c r="B710" s="16" t="n"/>
      <c r="C710" s="17" t="n"/>
      <c r="D710" s="18" t="n"/>
      <c r="E710" s="18" t="n"/>
      <c r="F710" s="19" t="n"/>
      <c r="G710" s="19" t="n"/>
      <c r="H710" s="20" t="n"/>
      <c r="I710" s="21" t="n"/>
      <c r="J710" s="22" t="n"/>
      <c r="K710" s="23" t="n"/>
      <c r="L710" s="18" t="n"/>
      <c r="M710" s="24">
        <f>IF(B710="","",IF(AND(F710&lt;&gt;"",G710&lt;&gt;""),MAX(0,ROUND(MOD(G710-F710,1)*24-N(H710)/60,2)),N(I710)))</f>
        <v/>
      </c>
      <c r="N710" s="14">
        <f>IF(B710="","",IF(K710&lt;&gt;"",K710,IF(N(IFERROR(INDEX(Projects!$D$6:$D$65,MATCH(D710,Projects!$B$6:$B$65,0)),""))&gt;0,IFERROR(INDEX(Projects!$D$6:$D$65,MATCH(D710,Projects!$B$6:$B$65,0)),""),IFERROR(INDEX(Clients!$G$6:$G$45,MATCH(C710,Clients!$B$6:$B$45,0)),0))))</f>
        <v/>
      </c>
      <c r="O710" s="14">
        <f>IF(B710="","",IF(J710&lt;&gt;"",0,ROUND(M710*N710,2)))</f>
        <v/>
      </c>
      <c r="P710" s="15">
        <f>IF(OR(B710="",J710&lt;&gt;""),"",IF(L710&lt;&gt;"",L710,IF(COUNTIFS(Invoices!$C$6:$C$305,C710,Invoices!$E$6:$E$305,"&lt;="&amp;B710,Invoices!$F$6:$F$305,"&gt;="&amp;B710)=1,INDEX(Invoices!$B$6:$B$305,SUMIFS(Invoices!$O$6:$O$305,Invoices!$C$6:$C$305,C710,Invoices!$E$6:$E$305,"&lt;="&amp;B710,Invoices!$F$6:$F$305,"&gt;="&amp;B710)),IF(COUNTIFS(Invoices!$C$6:$C$305,C710,Invoices!$E$6:$E$305,"&lt;="&amp;B710,Invoices!$F$6:$F$305,"&gt;="&amp;B710)&gt;1,"Two invoices",""))))</f>
        <v/>
      </c>
      <c r="Q710" s="15">
        <f>IF(B710="","",IF(J710&lt;&gt;"","Not billable",IF(P710="","To invoice",IF(P710="Two invoices","Check dates",IF(ISNA(MATCH(P710,Invoices!$B$6:$B$305,0)),"Check number",IF(INDEX(Invoices!$M$6:$M$305,MATCH(P710,Invoices!$B$6:$B$305,0))="Paid","Paid",IF(INDEX(Invoices!$M$6:$M$305,MATCH(P710,Invoices!$B$6:$B$305,0))="Draft","Draft","Invoiced")))))))</f>
        <v/>
      </c>
      <c r="R710" s="1">
        <f>IF(AND(B710&lt;&gt;"",P710&lt;&gt;"",P710=Invoice!$G$4),B710+MOD(N(F710),1)+ROW()/10000000,"")</f>
        <v/>
      </c>
      <c r="S710">
        <f>IF(R710="","",IF(D710="","Other work",D710)&amp;IF(AND(K710&lt;&gt;"",E710&lt;&gt;""),", "&amp;E710,""))</f>
        <v/>
      </c>
      <c r="T710">
        <f>IF(R710="","",IF(COUNTIFS(R$6:R709,"&gt;0",S$6:S709,S710,N$6:N709,N710)=0,R710,""))</f>
        <v/>
      </c>
      <c r="U710">
        <f>IF(B710="","",IF(J710&lt;&gt;"",0,M710))</f>
        <v/>
      </c>
    </row>
    <row r="711">
      <c r="A711" s="1" t="n"/>
      <c r="B711" s="16" t="n"/>
      <c r="C711" s="17" t="n"/>
      <c r="D711" s="18" t="n"/>
      <c r="E711" s="18" t="n"/>
      <c r="F711" s="19" t="n"/>
      <c r="G711" s="19" t="n"/>
      <c r="H711" s="20" t="n"/>
      <c r="I711" s="21" t="n"/>
      <c r="J711" s="22" t="n"/>
      <c r="K711" s="23" t="n"/>
      <c r="L711" s="18" t="n"/>
      <c r="M711" s="24">
        <f>IF(B711="","",IF(AND(F711&lt;&gt;"",G711&lt;&gt;""),MAX(0,ROUND(MOD(G711-F711,1)*24-N(H711)/60,2)),N(I711)))</f>
        <v/>
      </c>
      <c r="N711" s="14">
        <f>IF(B711="","",IF(K711&lt;&gt;"",K711,IF(N(IFERROR(INDEX(Projects!$D$6:$D$65,MATCH(D711,Projects!$B$6:$B$65,0)),""))&gt;0,IFERROR(INDEX(Projects!$D$6:$D$65,MATCH(D711,Projects!$B$6:$B$65,0)),""),IFERROR(INDEX(Clients!$G$6:$G$45,MATCH(C711,Clients!$B$6:$B$45,0)),0))))</f>
        <v/>
      </c>
      <c r="O711" s="14">
        <f>IF(B711="","",IF(J711&lt;&gt;"",0,ROUND(M711*N711,2)))</f>
        <v/>
      </c>
      <c r="P711" s="15">
        <f>IF(OR(B711="",J711&lt;&gt;""),"",IF(L711&lt;&gt;"",L711,IF(COUNTIFS(Invoices!$C$6:$C$305,C711,Invoices!$E$6:$E$305,"&lt;="&amp;B711,Invoices!$F$6:$F$305,"&gt;="&amp;B711)=1,INDEX(Invoices!$B$6:$B$305,SUMIFS(Invoices!$O$6:$O$305,Invoices!$C$6:$C$305,C711,Invoices!$E$6:$E$305,"&lt;="&amp;B711,Invoices!$F$6:$F$305,"&gt;="&amp;B711)),IF(COUNTIFS(Invoices!$C$6:$C$305,C711,Invoices!$E$6:$E$305,"&lt;="&amp;B711,Invoices!$F$6:$F$305,"&gt;="&amp;B711)&gt;1,"Two invoices",""))))</f>
        <v/>
      </c>
      <c r="Q711" s="15">
        <f>IF(B711="","",IF(J711&lt;&gt;"","Not billable",IF(P711="","To invoice",IF(P711="Two invoices","Check dates",IF(ISNA(MATCH(P711,Invoices!$B$6:$B$305,0)),"Check number",IF(INDEX(Invoices!$M$6:$M$305,MATCH(P711,Invoices!$B$6:$B$305,0))="Paid","Paid",IF(INDEX(Invoices!$M$6:$M$305,MATCH(P711,Invoices!$B$6:$B$305,0))="Draft","Draft","Invoiced")))))))</f>
        <v/>
      </c>
      <c r="R711" s="1">
        <f>IF(AND(B711&lt;&gt;"",P711&lt;&gt;"",P711=Invoice!$G$4),B711+MOD(N(F711),1)+ROW()/10000000,"")</f>
        <v/>
      </c>
      <c r="S711">
        <f>IF(R711="","",IF(D711="","Other work",D711)&amp;IF(AND(K711&lt;&gt;"",E711&lt;&gt;""),", "&amp;E711,""))</f>
        <v/>
      </c>
      <c r="T711">
        <f>IF(R711="","",IF(COUNTIFS(R$6:R710,"&gt;0",S$6:S710,S711,N$6:N710,N711)=0,R711,""))</f>
        <v/>
      </c>
      <c r="U711">
        <f>IF(B711="","",IF(J711&lt;&gt;"",0,M711))</f>
        <v/>
      </c>
    </row>
    <row r="712">
      <c r="A712" s="1" t="n"/>
      <c r="B712" s="16" t="n"/>
      <c r="C712" s="17" t="n"/>
      <c r="D712" s="18" t="n"/>
      <c r="E712" s="18" t="n"/>
      <c r="F712" s="19" t="n"/>
      <c r="G712" s="19" t="n"/>
      <c r="H712" s="20" t="n"/>
      <c r="I712" s="21" t="n"/>
      <c r="J712" s="22" t="n"/>
      <c r="K712" s="23" t="n"/>
      <c r="L712" s="18" t="n"/>
      <c r="M712" s="24">
        <f>IF(B712="","",IF(AND(F712&lt;&gt;"",G712&lt;&gt;""),MAX(0,ROUND(MOD(G712-F712,1)*24-N(H712)/60,2)),N(I712)))</f>
        <v/>
      </c>
      <c r="N712" s="14">
        <f>IF(B712="","",IF(K712&lt;&gt;"",K712,IF(N(IFERROR(INDEX(Projects!$D$6:$D$65,MATCH(D712,Projects!$B$6:$B$65,0)),""))&gt;0,IFERROR(INDEX(Projects!$D$6:$D$65,MATCH(D712,Projects!$B$6:$B$65,0)),""),IFERROR(INDEX(Clients!$G$6:$G$45,MATCH(C712,Clients!$B$6:$B$45,0)),0))))</f>
        <v/>
      </c>
      <c r="O712" s="14">
        <f>IF(B712="","",IF(J712&lt;&gt;"",0,ROUND(M712*N712,2)))</f>
        <v/>
      </c>
      <c r="P712" s="15">
        <f>IF(OR(B712="",J712&lt;&gt;""),"",IF(L712&lt;&gt;"",L712,IF(COUNTIFS(Invoices!$C$6:$C$305,C712,Invoices!$E$6:$E$305,"&lt;="&amp;B712,Invoices!$F$6:$F$305,"&gt;="&amp;B712)=1,INDEX(Invoices!$B$6:$B$305,SUMIFS(Invoices!$O$6:$O$305,Invoices!$C$6:$C$305,C712,Invoices!$E$6:$E$305,"&lt;="&amp;B712,Invoices!$F$6:$F$305,"&gt;="&amp;B712)),IF(COUNTIFS(Invoices!$C$6:$C$305,C712,Invoices!$E$6:$E$305,"&lt;="&amp;B712,Invoices!$F$6:$F$305,"&gt;="&amp;B712)&gt;1,"Two invoices",""))))</f>
        <v/>
      </c>
      <c r="Q712" s="15">
        <f>IF(B712="","",IF(J712&lt;&gt;"","Not billable",IF(P712="","To invoice",IF(P712="Two invoices","Check dates",IF(ISNA(MATCH(P712,Invoices!$B$6:$B$305,0)),"Check number",IF(INDEX(Invoices!$M$6:$M$305,MATCH(P712,Invoices!$B$6:$B$305,0))="Paid","Paid",IF(INDEX(Invoices!$M$6:$M$305,MATCH(P712,Invoices!$B$6:$B$305,0))="Draft","Draft","Invoiced")))))))</f>
        <v/>
      </c>
      <c r="R712" s="1">
        <f>IF(AND(B712&lt;&gt;"",P712&lt;&gt;"",P712=Invoice!$G$4),B712+MOD(N(F712),1)+ROW()/10000000,"")</f>
        <v/>
      </c>
      <c r="S712">
        <f>IF(R712="","",IF(D712="","Other work",D712)&amp;IF(AND(K712&lt;&gt;"",E712&lt;&gt;""),", "&amp;E712,""))</f>
        <v/>
      </c>
      <c r="T712">
        <f>IF(R712="","",IF(COUNTIFS(R$6:R711,"&gt;0",S$6:S711,S712,N$6:N711,N712)=0,R712,""))</f>
        <v/>
      </c>
      <c r="U712">
        <f>IF(B712="","",IF(J712&lt;&gt;"",0,M712))</f>
        <v/>
      </c>
    </row>
    <row r="713">
      <c r="A713" s="1" t="n"/>
      <c r="B713" s="16" t="n"/>
      <c r="C713" s="17" t="n"/>
      <c r="D713" s="18" t="n"/>
      <c r="E713" s="18" t="n"/>
      <c r="F713" s="19" t="n"/>
      <c r="G713" s="19" t="n"/>
      <c r="H713" s="20" t="n"/>
      <c r="I713" s="21" t="n"/>
      <c r="J713" s="22" t="n"/>
      <c r="K713" s="23" t="n"/>
      <c r="L713" s="18" t="n"/>
      <c r="M713" s="24">
        <f>IF(B713="","",IF(AND(F713&lt;&gt;"",G713&lt;&gt;""),MAX(0,ROUND(MOD(G713-F713,1)*24-N(H713)/60,2)),N(I713)))</f>
        <v/>
      </c>
      <c r="N713" s="14">
        <f>IF(B713="","",IF(K713&lt;&gt;"",K713,IF(N(IFERROR(INDEX(Projects!$D$6:$D$65,MATCH(D713,Projects!$B$6:$B$65,0)),""))&gt;0,IFERROR(INDEX(Projects!$D$6:$D$65,MATCH(D713,Projects!$B$6:$B$65,0)),""),IFERROR(INDEX(Clients!$G$6:$G$45,MATCH(C713,Clients!$B$6:$B$45,0)),0))))</f>
        <v/>
      </c>
      <c r="O713" s="14">
        <f>IF(B713="","",IF(J713&lt;&gt;"",0,ROUND(M713*N713,2)))</f>
        <v/>
      </c>
      <c r="P713" s="15">
        <f>IF(OR(B713="",J713&lt;&gt;""),"",IF(L713&lt;&gt;"",L713,IF(COUNTIFS(Invoices!$C$6:$C$305,C713,Invoices!$E$6:$E$305,"&lt;="&amp;B713,Invoices!$F$6:$F$305,"&gt;="&amp;B713)=1,INDEX(Invoices!$B$6:$B$305,SUMIFS(Invoices!$O$6:$O$305,Invoices!$C$6:$C$305,C713,Invoices!$E$6:$E$305,"&lt;="&amp;B713,Invoices!$F$6:$F$305,"&gt;="&amp;B713)),IF(COUNTIFS(Invoices!$C$6:$C$305,C713,Invoices!$E$6:$E$305,"&lt;="&amp;B713,Invoices!$F$6:$F$305,"&gt;="&amp;B713)&gt;1,"Two invoices",""))))</f>
        <v/>
      </c>
      <c r="Q713" s="15">
        <f>IF(B713="","",IF(J713&lt;&gt;"","Not billable",IF(P713="","To invoice",IF(P713="Two invoices","Check dates",IF(ISNA(MATCH(P713,Invoices!$B$6:$B$305,0)),"Check number",IF(INDEX(Invoices!$M$6:$M$305,MATCH(P713,Invoices!$B$6:$B$305,0))="Paid","Paid",IF(INDEX(Invoices!$M$6:$M$305,MATCH(P713,Invoices!$B$6:$B$305,0))="Draft","Draft","Invoiced")))))))</f>
        <v/>
      </c>
      <c r="R713" s="1">
        <f>IF(AND(B713&lt;&gt;"",P713&lt;&gt;"",P713=Invoice!$G$4),B713+MOD(N(F713),1)+ROW()/10000000,"")</f>
        <v/>
      </c>
      <c r="S713">
        <f>IF(R713="","",IF(D713="","Other work",D713)&amp;IF(AND(K713&lt;&gt;"",E713&lt;&gt;""),", "&amp;E713,""))</f>
        <v/>
      </c>
      <c r="T713">
        <f>IF(R713="","",IF(COUNTIFS(R$6:R712,"&gt;0",S$6:S712,S713,N$6:N712,N713)=0,R713,""))</f>
        <v/>
      </c>
      <c r="U713">
        <f>IF(B713="","",IF(J713&lt;&gt;"",0,M713))</f>
        <v/>
      </c>
    </row>
    <row r="714">
      <c r="A714" s="1" t="n"/>
      <c r="B714" s="16" t="n"/>
      <c r="C714" s="17" t="n"/>
      <c r="D714" s="18" t="n"/>
      <c r="E714" s="18" t="n"/>
      <c r="F714" s="19" t="n"/>
      <c r="G714" s="19" t="n"/>
      <c r="H714" s="20" t="n"/>
      <c r="I714" s="21" t="n"/>
      <c r="J714" s="22" t="n"/>
      <c r="K714" s="23" t="n"/>
      <c r="L714" s="18" t="n"/>
      <c r="M714" s="24">
        <f>IF(B714="","",IF(AND(F714&lt;&gt;"",G714&lt;&gt;""),MAX(0,ROUND(MOD(G714-F714,1)*24-N(H714)/60,2)),N(I714)))</f>
        <v/>
      </c>
      <c r="N714" s="14">
        <f>IF(B714="","",IF(K714&lt;&gt;"",K714,IF(N(IFERROR(INDEX(Projects!$D$6:$D$65,MATCH(D714,Projects!$B$6:$B$65,0)),""))&gt;0,IFERROR(INDEX(Projects!$D$6:$D$65,MATCH(D714,Projects!$B$6:$B$65,0)),""),IFERROR(INDEX(Clients!$G$6:$G$45,MATCH(C714,Clients!$B$6:$B$45,0)),0))))</f>
        <v/>
      </c>
      <c r="O714" s="14">
        <f>IF(B714="","",IF(J714&lt;&gt;"",0,ROUND(M714*N714,2)))</f>
        <v/>
      </c>
      <c r="P714" s="15">
        <f>IF(OR(B714="",J714&lt;&gt;""),"",IF(L714&lt;&gt;"",L714,IF(COUNTIFS(Invoices!$C$6:$C$305,C714,Invoices!$E$6:$E$305,"&lt;="&amp;B714,Invoices!$F$6:$F$305,"&gt;="&amp;B714)=1,INDEX(Invoices!$B$6:$B$305,SUMIFS(Invoices!$O$6:$O$305,Invoices!$C$6:$C$305,C714,Invoices!$E$6:$E$305,"&lt;="&amp;B714,Invoices!$F$6:$F$305,"&gt;="&amp;B714)),IF(COUNTIFS(Invoices!$C$6:$C$305,C714,Invoices!$E$6:$E$305,"&lt;="&amp;B714,Invoices!$F$6:$F$305,"&gt;="&amp;B714)&gt;1,"Two invoices",""))))</f>
        <v/>
      </c>
      <c r="Q714" s="15">
        <f>IF(B714="","",IF(J714&lt;&gt;"","Not billable",IF(P714="","To invoice",IF(P714="Two invoices","Check dates",IF(ISNA(MATCH(P714,Invoices!$B$6:$B$305,0)),"Check number",IF(INDEX(Invoices!$M$6:$M$305,MATCH(P714,Invoices!$B$6:$B$305,0))="Paid","Paid",IF(INDEX(Invoices!$M$6:$M$305,MATCH(P714,Invoices!$B$6:$B$305,0))="Draft","Draft","Invoiced")))))))</f>
        <v/>
      </c>
      <c r="R714" s="1">
        <f>IF(AND(B714&lt;&gt;"",P714&lt;&gt;"",P714=Invoice!$G$4),B714+MOD(N(F714),1)+ROW()/10000000,"")</f>
        <v/>
      </c>
      <c r="S714">
        <f>IF(R714="","",IF(D714="","Other work",D714)&amp;IF(AND(K714&lt;&gt;"",E714&lt;&gt;""),", "&amp;E714,""))</f>
        <v/>
      </c>
      <c r="T714">
        <f>IF(R714="","",IF(COUNTIFS(R$6:R713,"&gt;0",S$6:S713,S714,N$6:N713,N714)=0,R714,""))</f>
        <v/>
      </c>
      <c r="U714">
        <f>IF(B714="","",IF(J714&lt;&gt;"",0,M714))</f>
        <v/>
      </c>
    </row>
    <row r="715">
      <c r="A715" s="1" t="n"/>
      <c r="B715" s="16" t="n"/>
      <c r="C715" s="17" t="n"/>
      <c r="D715" s="18" t="n"/>
      <c r="E715" s="18" t="n"/>
      <c r="F715" s="19" t="n"/>
      <c r="G715" s="19" t="n"/>
      <c r="H715" s="20" t="n"/>
      <c r="I715" s="21" t="n"/>
      <c r="J715" s="22" t="n"/>
      <c r="K715" s="23" t="n"/>
      <c r="L715" s="18" t="n"/>
      <c r="M715" s="24">
        <f>IF(B715="","",IF(AND(F715&lt;&gt;"",G715&lt;&gt;""),MAX(0,ROUND(MOD(G715-F715,1)*24-N(H715)/60,2)),N(I715)))</f>
        <v/>
      </c>
      <c r="N715" s="14">
        <f>IF(B715="","",IF(K715&lt;&gt;"",K715,IF(N(IFERROR(INDEX(Projects!$D$6:$D$65,MATCH(D715,Projects!$B$6:$B$65,0)),""))&gt;0,IFERROR(INDEX(Projects!$D$6:$D$65,MATCH(D715,Projects!$B$6:$B$65,0)),""),IFERROR(INDEX(Clients!$G$6:$G$45,MATCH(C715,Clients!$B$6:$B$45,0)),0))))</f>
        <v/>
      </c>
      <c r="O715" s="14">
        <f>IF(B715="","",IF(J715&lt;&gt;"",0,ROUND(M715*N715,2)))</f>
        <v/>
      </c>
      <c r="P715" s="15">
        <f>IF(OR(B715="",J715&lt;&gt;""),"",IF(L715&lt;&gt;"",L715,IF(COUNTIFS(Invoices!$C$6:$C$305,C715,Invoices!$E$6:$E$305,"&lt;="&amp;B715,Invoices!$F$6:$F$305,"&gt;="&amp;B715)=1,INDEX(Invoices!$B$6:$B$305,SUMIFS(Invoices!$O$6:$O$305,Invoices!$C$6:$C$305,C715,Invoices!$E$6:$E$305,"&lt;="&amp;B715,Invoices!$F$6:$F$305,"&gt;="&amp;B715)),IF(COUNTIFS(Invoices!$C$6:$C$305,C715,Invoices!$E$6:$E$305,"&lt;="&amp;B715,Invoices!$F$6:$F$305,"&gt;="&amp;B715)&gt;1,"Two invoices",""))))</f>
        <v/>
      </c>
      <c r="Q715" s="15">
        <f>IF(B715="","",IF(J715&lt;&gt;"","Not billable",IF(P715="","To invoice",IF(P715="Two invoices","Check dates",IF(ISNA(MATCH(P715,Invoices!$B$6:$B$305,0)),"Check number",IF(INDEX(Invoices!$M$6:$M$305,MATCH(P715,Invoices!$B$6:$B$305,0))="Paid","Paid",IF(INDEX(Invoices!$M$6:$M$305,MATCH(P715,Invoices!$B$6:$B$305,0))="Draft","Draft","Invoiced")))))))</f>
        <v/>
      </c>
      <c r="R715" s="1">
        <f>IF(AND(B715&lt;&gt;"",P715&lt;&gt;"",P715=Invoice!$G$4),B715+MOD(N(F715),1)+ROW()/10000000,"")</f>
        <v/>
      </c>
      <c r="S715">
        <f>IF(R715="","",IF(D715="","Other work",D715)&amp;IF(AND(K715&lt;&gt;"",E715&lt;&gt;""),", "&amp;E715,""))</f>
        <v/>
      </c>
      <c r="T715">
        <f>IF(R715="","",IF(COUNTIFS(R$6:R714,"&gt;0",S$6:S714,S715,N$6:N714,N715)=0,R715,""))</f>
        <v/>
      </c>
      <c r="U715">
        <f>IF(B715="","",IF(J715&lt;&gt;"",0,M715))</f>
        <v/>
      </c>
    </row>
    <row r="716">
      <c r="A716" s="1" t="n"/>
      <c r="B716" s="16" t="n"/>
      <c r="C716" s="17" t="n"/>
      <c r="D716" s="18" t="n"/>
      <c r="E716" s="18" t="n"/>
      <c r="F716" s="19" t="n"/>
      <c r="G716" s="19" t="n"/>
      <c r="H716" s="20" t="n"/>
      <c r="I716" s="21" t="n"/>
      <c r="J716" s="22" t="n"/>
      <c r="K716" s="23" t="n"/>
      <c r="L716" s="18" t="n"/>
      <c r="M716" s="24">
        <f>IF(B716="","",IF(AND(F716&lt;&gt;"",G716&lt;&gt;""),MAX(0,ROUND(MOD(G716-F716,1)*24-N(H716)/60,2)),N(I716)))</f>
        <v/>
      </c>
      <c r="N716" s="14">
        <f>IF(B716="","",IF(K716&lt;&gt;"",K716,IF(N(IFERROR(INDEX(Projects!$D$6:$D$65,MATCH(D716,Projects!$B$6:$B$65,0)),""))&gt;0,IFERROR(INDEX(Projects!$D$6:$D$65,MATCH(D716,Projects!$B$6:$B$65,0)),""),IFERROR(INDEX(Clients!$G$6:$G$45,MATCH(C716,Clients!$B$6:$B$45,0)),0))))</f>
        <v/>
      </c>
      <c r="O716" s="14">
        <f>IF(B716="","",IF(J716&lt;&gt;"",0,ROUND(M716*N716,2)))</f>
        <v/>
      </c>
      <c r="P716" s="15">
        <f>IF(OR(B716="",J716&lt;&gt;""),"",IF(L716&lt;&gt;"",L716,IF(COUNTIFS(Invoices!$C$6:$C$305,C716,Invoices!$E$6:$E$305,"&lt;="&amp;B716,Invoices!$F$6:$F$305,"&gt;="&amp;B716)=1,INDEX(Invoices!$B$6:$B$305,SUMIFS(Invoices!$O$6:$O$305,Invoices!$C$6:$C$305,C716,Invoices!$E$6:$E$305,"&lt;="&amp;B716,Invoices!$F$6:$F$305,"&gt;="&amp;B716)),IF(COUNTIFS(Invoices!$C$6:$C$305,C716,Invoices!$E$6:$E$305,"&lt;="&amp;B716,Invoices!$F$6:$F$305,"&gt;="&amp;B716)&gt;1,"Two invoices",""))))</f>
        <v/>
      </c>
      <c r="Q716" s="15">
        <f>IF(B716="","",IF(J716&lt;&gt;"","Not billable",IF(P716="","To invoice",IF(P716="Two invoices","Check dates",IF(ISNA(MATCH(P716,Invoices!$B$6:$B$305,0)),"Check number",IF(INDEX(Invoices!$M$6:$M$305,MATCH(P716,Invoices!$B$6:$B$305,0))="Paid","Paid",IF(INDEX(Invoices!$M$6:$M$305,MATCH(P716,Invoices!$B$6:$B$305,0))="Draft","Draft","Invoiced")))))))</f>
        <v/>
      </c>
      <c r="R716" s="1">
        <f>IF(AND(B716&lt;&gt;"",P716&lt;&gt;"",P716=Invoice!$G$4),B716+MOD(N(F716),1)+ROW()/10000000,"")</f>
        <v/>
      </c>
      <c r="S716">
        <f>IF(R716="","",IF(D716="","Other work",D716)&amp;IF(AND(K716&lt;&gt;"",E716&lt;&gt;""),", "&amp;E716,""))</f>
        <v/>
      </c>
      <c r="T716">
        <f>IF(R716="","",IF(COUNTIFS(R$6:R715,"&gt;0",S$6:S715,S716,N$6:N715,N716)=0,R716,""))</f>
        <v/>
      </c>
      <c r="U716">
        <f>IF(B716="","",IF(J716&lt;&gt;"",0,M716))</f>
        <v/>
      </c>
    </row>
    <row r="717">
      <c r="A717" s="1" t="n"/>
      <c r="B717" s="16" t="n"/>
      <c r="C717" s="17" t="n"/>
      <c r="D717" s="18" t="n"/>
      <c r="E717" s="18" t="n"/>
      <c r="F717" s="19" t="n"/>
      <c r="G717" s="19" t="n"/>
      <c r="H717" s="20" t="n"/>
      <c r="I717" s="21" t="n"/>
      <c r="J717" s="22" t="n"/>
      <c r="K717" s="23" t="n"/>
      <c r="L717" s="18" t="n"/>
      <c r="M717" s="24">
        <f>IF(B717="","",IF(AND(F717&lt;&gt;"",G717&lt;&gt;""),MAX(0,ROUND(MOD(G717-F717,1)*24-N(H717)/60,2)),N(I717)))</f>
        <v/>
      </c>
      <c r="N717" s="14">
        <f>IF(B717="","",IF(K717&lt;&gt;"",K717,IF(N(IFERROR(INDEX(Projects!$D$6:$D$65,MATCH(D717,Projects!$B$6:$B$65,0)),""))&gt;0,IFERROR(INDEX(Projects!$D$6:$D$65,MATCH(D717,Projects!$B$6:$B$65,0)),""),IFERROR(INDEX(Clients!$G$6:$G$45,MATCH(C717,Clients!$B$6:$B$45,0)),0))))</f>
        <v/>
      </c>
      <c r="O717" s="14">
        <f>IF(B717="","",IF(J717&lt;&gt;"",0,ROUND(M717*N717,2)))</f>
        <v/>
      </c>
      <c r="P717" s="15">
        <f>IF(OR(B717="",J717&lt;&gt;""),"",IF(L717&lt;&gt;"",L717,IF(COUNTIFS(Invoices!$C$6:$C$305,C717,Invoices!$E$6:$E$305,"&lt;="&amp;B717,Invoices!$F$6:$F$305,"&gt;="&amp;B717)=1,INDEX(Invoices!$B$6:$B$305,SUMIFS(Invoices!$O$6:$O$305,Invoices!$C$6:$C$305,C717,Invoices!$E$6:$E$305,"&lt;="&amp;B717,Invoices!$F$6:$F$305,"&gt;="&amp;B717)),IF(COUNTIFS(Invoices!$C$6:$C$305,C717,Invoices!$E$6:$E$305,"&lt;="&amp;B717,Invoices!$F$6:$F$305,"&gt;="&amp;B717)&gt;1,"Two invoices",""))))</f>
        <v/>
      </c>
      <c r="Q717" s="15">
        <f>IF(B717="","",IF(J717&lt;&gt;"","Not billable",IF(P717="","To invoice",IF(P717="Two invoices","Check dates",IF(ISNA(MATCH(P717,Invoices!$B$6:$B$305,0)),"Check number",IF(INDEX(Invoices!$M$6:$M$305,MATCH(P717,Invoices!$B$6:$B$305,0))="Paid","Paid",IF(INDEX(Invoices!$M$6:$M$305,MATCH(P717,Invoices!$B$6:$B$305,0))="Draft","Draft","Invoiced")))))))</f>
        <v/>
      </c>
      <c r="R717" s="1">
        <f>IF(AND(B717&lt;&gt;"",P717&lt;&gt;"",P717=Invoice!$G$4),B717+MOD(N(F717),1)+ROW()/10000000,"")</f>
        <v/>
      </c>
      <c r="S717">
        <f>IF(R717="","",IF(D717="","Other work",D717)&amp;IF(AND(K717&lt;&gt;"",E717&lt;&gt;""),", "&amp;E717,""))</f>
        <v/>
      </c>
      <c r="T717">
        <f>IF(R717="","",IF(COUNTIFS(R$6:R716,"&gt;0",S$6:S716,S717,N$6:N716,N717)=0,R717,""))</f>
        <v/>
      </c>
      <c r="U717">
        <f>IF(B717="","",IF(J717&lt;&gt;"",0,M717))</f>
        <v/>
      </c>
    </row>
    <row r="718">
      <c r="A718" s="1" t="n"/>
      <c r="B718" s="16" t="n"/>
      <c r="C718" s="17" t="n"/>
      <c r="D718" s="18" t="n"/>
      <c r="E718" s="18" t="n"/>
      <c r="F718" s="19" t="n"/>
      <c r="G718" s="19" t="n"/>
      <c r="H718" s="20" t="n"/>
      <c r="I718" s="21" t="n"/>
      <c r="J718" s="22" t="n"/>
      <c r="K718" s="23" t="n"/>
      <c r="L718" s="18" t="n"/>
      <c r="M718" s="24">
        <f>IF(B718="","",IF(AND(F718&lt;&gt;"",G718&lt;&gt;""),MAX(0,ROUND(MOD(G718-F718,1)*24-N(H718)/60,2)),N(I718)))</f>
        <v/>
      </c>
      <c r="N718" s="14">
        <f>IF(B718="","",IF(K718&lt;&gt;"",K718,IF(N(IFERROR(INDEX(Projects!$D$6:$D$65,MATCH(D718,Projects!$B$6:$B$65,0)),""))&gt;0,IFERROR(INDEX(Projects!$D$6:$D$65,MATCH(D718,Projects!$B$6:$B$65,0)),""),IFERROR(INDEX(Clients!$G$6:$G$45,MATCH(C718,Clients!$B$6:$B$45,0)),0))))</f>
        <v/>
      </c>
      <c r="O718" s="14">
        <f>IF(B718="","",IF(J718&lt;&gt;"",0,ROUND(M718*N718,2)))</f>
        <v/>
      </c>
      <c r="P718" s="15">
        <f>IF(OR(B718="",J718&lt;&gt;""),"",IF(L718&lt;&gt;"",L718,IF(COUNTIFS(Invoices!$C$6:$C$305,C718,Invoices!$E$6:$E$305,"&lt;="&amp;B718,Invoices!$F$6:$F$305,"&gt;="&amp;B718)=1,INDEX(Invoices!$B$6:$B$305,SUMIFS(Invoices!$O$6:$O$305,Invoices!$C$6:$C$305,C718,Invoices!$E$6:$E$305,"&lt;="&amp;B718,Invoices!$F$6:$F$305,"&gt;="&amp;B718)),IF(COUNTIFS(Invoices!$C$6:$C$305,C718,Invoices!$E$6:$E$305,"&lt;="&amp;B718,Invoices!$F$6:$F$305,"&gt;="&amp;B718)&gt;1,"Two invoices",""))))</f>
        <v/>
      </c>
      <c r="Q718" s="15">
        <f>IF(B718="","",IF(J718&lt;&gt;"","Not billable",IF(P718="","To invoice",IF(P718="Two invoices","Check dates",IF(ISNA(MATCH(P718,Invoices!$B$6:$B$305,0)),"Check number",IF(INDEX(Invoices!$M$6:$M$305,MATCH(P718,Invoices!$B$6:$B$305,0))="Paid","Paid",IF(INDEX(Invoices!$M$6:$M$305,MATCH(P718,Invoices!$B$6:$B$305,0))="Draft","Draft","Invoiced")))))))</f>
        <v/>
      </c>
      <c r="R718" s="1">
        <f>IF(AND(B718&lt;&gt;"",P718&lt;&gt;"",P718=Invoice!$G$4),B718+MOD(N(F718),1)+ROW()/10000000,"")</f>
        <v/>
      </c>
      <c r="S718">
        <f>IF(R718="","",IF(D718="","Other work",D718)&amp;IF(AND(K718&lt;&gt;"",E718&lt;&gt;""),", "&amp;E718,""))</f>
        <v/>
      </c>
      <c r="T718">
        <f>IF(R718="","",IF(COUNTIFS(R$6:R717,"&gt;0",S$6:S717,S718,N$6:N717,N718)=0,R718,""))</f>
        <v/>
      </c>
      <c r="U718">
        <f>IF(B718="","",IF(J718&lt;&gt;"",0,M718))</f>
        <v/>
      </c>
    </row>
    <row r="719">
      <c r="A719" s="1" t="n"/>
      <c r="B719" s="16" t="n"/>
      <c r="C719" s="17" t="n"/>
      <c r="D719" s="18" t="n"/>
      <c r="E719" s="18" t="n"/>
      <c r="F719" s="19" t="n"/>
      <c r="G719" s="19" t="n"/>
      <c r="H719" s="20" t="n"/>
      <c r="I719" s="21" t="n"/>
      <c r="J719" s="22" t="n"/>
      <c r="K719" s="23" t="n"/>
      <c r="L719" s="18" t="n"/>
      <c r="M719" s="24">
        <f>IF(B719="","",IF(AND(F719&lt;&gt;"",G719&lt;&gt;""),MAX(0,ROUND(MOD(G719-F719,1)*24-N(H719)/60,2)),N(I719)))</f>
        <v/>
      </c>
      <c r="N719" s="14">
        <f>IF(B719="","",IF(K719&lt;&gt;"",K719,IF(N(IFERROR(INDEX(Projects!$D$6:$D$65,MATCH(D719,Projects!$B$6:$B$65,0)),""))&gt;0,IFERROR(INDEX(Projects!$D$6:$D$65,MATCH(D719,Projects!$B$6:$B$65,0)),""),IFERROR(INDEX(Clients!$G$6:$G$45,MATCH(C719,Clients!$B$6:$B$45,0)),0))))</f>
        <v/>
      </c>
      <c r="O719" s="14">
        <f>IF(B719="","",IF(J719&lt;&gt;"",0,ROUND(M719*N719,2)))</f>
        <v/>
      </c>
      <c r="P719" s="15">
        <f>IF(OR(B719="",J719&lt;&gt;""),"",IF(L719&lt;&gt;"",L719,IF(COUNTIFS(Invoices!$C$6:$C$305,C719,Invoices!$E$6:$E$305,"&lt;="&amp;B719,Invoices!$F$6:$F$305,"&gt;="&amp;B719)=1,INDEX(Invoices!$B$6:$B$305,SUMIFS(Invoices!$O$6:$O$305,Invoices!$C$6:$C$305,C719,Invoices!$E$6:$E$305,"&lt;="&amp;B719,Invoices!$F$6:$F$305,"&gt;="&amp;B719)),IF(COUNTIFS(Invoices!$C$6:$C$305,C719,Invoices!$E$6:$E$305,"&lt;="&amp;B719,Invoices!$F$6:$F$305,"&gt;="&amp;B719)&gt;1,"Two invoices",""))))</f>
        <v/>
      </c>
      <c r="Q719" s="15">
        <f>IF(B719="","",IF(J719&lt;&gt;"","Not billable",IF(P719="","To invoice",IF(P719="Two invoices","Check dates",IF(ISNA(MATCH(P719,Invoices!$B$6:$B$305,0)),"Check number",IF(INDEX(Invoices!$M$6:$M$305,MATCH(P719,Invoices!$B$6:$B$305,0))="Paid","Paid",IF(INDEX(Invoices!$M$6:$M$305,MATCH(P719,Invoices!$B$6:$B$305,0))="Draft","Draft","Invoiced")))))))</f>
        <v/>
      </c>
      <c r="R719" s="1">
        <f>IF(AND(B719&lt;&gt;"",P719&lt;&gt;"",P719=Invoice!$G$4),B719+MOD(N(F719),1)+ROW()/10000000,"")</f>
        <v/>
      </c>
      <c r="S719">
        <f>IF(R719="","",IF(D719="","Other work",D719)&amp;IF(AND(K719&lt;&gt;"",E719&lt;&gt;""),", "&amp;E719,""))</f>
        <v/>
      </c>
      <c r="T719">
        <f>IF(R719="","",IF(COUNTIFS(R$6:R718,"&gt;0",S$6:S718,S719,N$6:N718,N719)=0,R719,""))</f>
        <v/>
      </c>
      <c r="U719">
        <f>IF(B719="","",IF(J719&lt;&gt;"",0,M719))</f>
        <v/>
      </c>
    </row>
    <row r="720">
      <c r="A720" s="1" t="n"/>
      <c r="B720" s="16" t="n"/>
      <c r="C720" s="17" t="n"/>
      <c r="D720" s="18" t="n"/>
      <c r="E720" s="18" t="n"/>
      <c r="F720" s="19" t="n"/>
      <c r="G720" s="19" t="n"/>
      <c r="H720" s="20" t="n"/>
      <c r="I720" s="21" t="n"/>
      <c r="J720" s="22" t="n"/>
      <c r="K720" s="23" t="n"/>
      <c r="L720" s="18" t="n"/>
      <c r="M720" s="24">
        <f>IF(B720="","",IF(AND(F720&lt;&gt;"",G720&lt;&gt;""),MAX(0,ROUND(MOD(G720-F720,1)*24-N(H720)/60,2)),N(I720)))</f>
        <v/>
      </c>
      <c r="N720" s="14">
        <f>IF(B720="","",IF(K720&lt;&gt;"",K720,IF(N(IFERROR(INDEX(Projects!$D$6:$D$65,MATCH(D720,Projects!$B$6:$B$65,0)),""))&gt;0,IFERROR(INDEX(Projects!$D$6:$D$65,MATCH(D720,Projects!$B$6:$B$65,0)),""),IFERROR(INDEX(Clients!$G$6:$G$45,MATCH(C720,Clients!$B$6:$B$45,0)),0))))</f>
        <v/>
      </c>
      <c r="O720" s="14">
        <f>IF(B720="","",IF(J720&lt;&gt;"",0,ROUND(M720*N720,2)))</f>
        <v/>
      </c>
      <c r="P720" s="15">
        <f>IF(OR(B720="",J720&lt;&gt;""),"",IF(L720&lt;&gt;"",L720,IF(COUNTIFS(Invoices!$C$6:$C$305,C720,Invoices!$E$6:$E$305,"&lt;="&amp;B720,Invoices!$F$6:$F$305,"&gt;="&amp;B720)=1,INDEX(Invoices!$B$6:$B$305,SUMIFS(Invoices!$O$6:$O$305,Invoices!$C$6:$C$305,C720,Invoices!$E$6:$E$305,"&lt;="&amp;B720,Invoices!$F$6:$F$305,"&gt;="&amp;B720)),IF(COUNTIFS(Invoices!$C$6:$C$305,C720,Invoices!$E$6:$E$305,"&lt;="&amp;B720,Invoices!$F$6:$F$305,"&gt;="&amp;B720)&gt;1,"Two invoices",""))))</f>
        <v/>
      </c>
      <c r="Q720" s="15">
        <f>IF(B720="","",IF(J720&lt;&gt;"","Not billable",IF(P720="","To invoice",IF(P720="Two invoices","Check dates",IF(ISNA(MATCH(P720,Invoices!$B$6:$B$305,0)),"Check number",IF(INDEX(Invoices!$M$6:$M$305,MATCH(P720,Invoices!$B$6:$B$305,0))="Paid","Paid",IF(INDEX(Invoices!$M$6:$M$305,MATCH(P720,Invoices!$B$6:$B$305,0))="Draft","Draft","Invoiced")))))))</f>
        <v/>
      </c>
      <c r="R720" s="1">
        <f>IF(AND(B720&lt;&gt;"",P720&lt;&gt;"",P720=Invoice!$G$4),B720+MOD(N(F720),1)+ROW()/10000000,"")</f>
        <v/>
      </c>
      <c r="S720">
        <f>IF(R720="","",IF(D720="","Other work",D720)&amp;IF(AND(K720&lt;&gt;"",E720&lt;&gt;""),", "&amp;E720,""))</f>
        <v/>
      </c>
      <c r="T720">
        <f>IF(R720="","",IF(COUNTIFS(R$6:R719,"&gt;0",S$6:S719,S720,N$6:N719,N720)=0,R720,""))</f>
        <v/>
      </c>
      <c r="U720">
        <f>IF(B720="","",IF(J720&lt;&gt;"",0,M720))</f>
        <v/>
      </c>
    </row>
    <row r="721">
      <c r="A721" s="1" t="n"/>
      <c r="B721" s="16" t="n"/>
      <c r="C721" s="17" t="n"/>
      <c r="D721" s="18" t="n"/>
      <c r="E721" s="18" t="n"/>
      <c r="F721" s="19" t="n"/>
      <c r="G721" s="19" t="n"/>
      <c r="H721" s="20" t="n"/>
      <c r="I721" s="21" t="n"/>
      <c r="J721" s="22" t="n"/>
      <c r="K721" s="23" t="n"/>
      <c r="L721" s="18" t="n"/>
      <c r="M721" s="24">
        <f>IF(B721="","",IF(AND(F721&lt;&gt;"",G721&lt;&gt;""),MAX(0,ROUND(MOD(G721-F721,1)*24-N(H721)/60,2)),N(I721)))</f>
        <v/>
      </c>
      <c r="N721" s="14">
        <f>IF(B721="","",IF(K721&lt;&gt;"",K721,IF(N(IFERROR(INDEX(Projects!$D$6:$D$65,MATCH(D721,Projects!$B$6:$B$65,0)),""))&gt;0,IFERROR(INDEX(Projects!$D$6:$D$65,MATCH(D721,Projects!$B$6:$B$65,0)),""),IFERROR(INDEX(Clients!$G$6:$G$45,MATCH(C721,Clients!$B$6:$B$45,0)),0))))</f>
        <v/>
      </c>
      <c r="O721" s="14">
        <f>IF(B721="","",IF(J721&lt;&gt;"",0,ROUND(M721*N721,2)))</f>
        <v/>
      </c>
      <c r="P721" s="15">
        <f>IF(OR(B721="",J721&lt;&gt;""),"",IF(L721&lt;&gt;"",L721,IF(COUNTIFS(Invoices!$C$6:$C$305,C721,Invoices!$E$6:$E$305,"&lt;="&amp;B721,Invoices!$F$6:$F$305,"&gt;="&amp;B721)=1,INDEX(Invoices!$B$6:$B$305,SUMIFS(Invoices!$O$6:$O$305,Invoices!$C$6:$C$305,C721,Invoices!$E$6:$E$305,"&lt;="&amp;B721,Invoices!$F$6:$F$305,"&gt;="&amp;B721)),IF(COUNTIFS(Invoices!$C$6:$C$305,C721,Invoices!$E$6:$E$305,"&lt;="&amp;B721,Invoices!$F$6:$F$305,"&gt;="&amp;B721)&gt;1,"Two invoices",""))))</f>
        <v/>
      </c>
      <c r="Q721" s="15">
        <f>IF(B721="","",IF(J721&lt;&gt;"","Not billable",IF(P721="","To invoice",IF(P721="Two invoices","Check dates",IF(ISNA(MATCH(P721,Invoices!$B$6:$B$305,0)),"Check number",IF(INDEX(Invoices!$M$6:$M$305,MATCH(P721,Invoices!$B$6:$B$305,0))="Paid","Paid",IF(INDEX(Invoices!$M$6:$M$305,MATCH(P721,Invoices!$B$6:$B$305,0))="Draft","Draft","Invoiced")))))))</f>
        <v/>
      </c>
      <c r="R721" s="1">
        <f>IF(AND(B721&lt;&gt;"",P721&lt;&gt;"",P721=Invoice!$G$4),B721+MOD(N(F721),1)+ROW()/10000000,"")</f>
        <v/>
      </c>
      <c r="S721">
        <f>IF(R721="","",IF(D721="","Other work",D721)&amp;IF(AND(K721&lt;&gt;"",E721&lt;&gt;""),", "&amp;E721,""))</f>
        <v/>
      </c>
      <c r="T721">
        <f>IF(R721="","",IF(COUNTIFS(R$6:R720,"&gt;0",S$6:S720,S721,N$6:N720,N721)=0,R721,""))</f>
        <v/>
      </c>
      <c r="U721">
        <f>IF(B721="","",IF(J721&lt;&gt;"",0,M721))</f>
        <v/>
      </c>
    </row>
    <row r="722">
      <c r="A722" s="1" t="n"/>
      <c r="B722" s="16" t="n"/>
      <c r="C722" s="17" t="n"/>
      <c r="D722" s="18" t="n"/>
      <c r="E722" s="18" t="n"/>
      <c r="F722" s="19" t="n"/>
      <c r="G722" s="19" t="n"/>
      <c r="H722" s="20" t="n"/>
      <c r="I722" s="21" t="n"/>
      <c r="J722" s="22" t="n"/>
      <c r="K722" s="23" t="n"/>
      <c r="L722" s="18" t="n"/>
      <c r="M722" s="24">
        <f>IF(B722="","",IF(AND(F722&lt;&gt;"",G722&lt;&gt;""),MAX(0,ROUND(MOD(G722-F722,1)*24-N(H722)/60,2)),N(I722)))</f>
        <v/>
      </c>
      <c r="N722" s="14">
        <f>IF(B722="","",IF(K722&lt;&gt;"",K722,IF(N(IFERROR(INDEX(Projects!$D$6:$D$65,MATCH(D722,Projects!$B$6:$B$65,0)),""))&gt;0,IFERROR(INDEX(Projects!$D$6:$D$65,MATCH(D722,Projects!$B$6:$B$65,0)),""),IFERROR(INDEX(Clients!$G$6:$G$45,MATCH(C722,Clients!$B$6:$B$45,0)),0))))</f>
        <v/>
      </c>
      <c r="O722" s="14">
        <f>IF(B722="","",IF(J722&lt;&gt;"",0,ROUND(M722*N722,2)))</f>
        <v/>
      </c>
      <c r="P722" s="15">
        <f>IF(OR(B722="",J722&lt;&gt;""),"",IF(L722&lt;&gt;"",L722,IF(COUNTIFS(Invoices!$C$6:$C$305,C722,Invoices!$E$6:$E$305,"&lt;="&amp;B722,Invoices!$F$6:$F$305,"&gt;="&amp;B722)=1,INDEX(Invoices!$B$6:$B$305,SUMIFS(Invoices!$O$6:$O$305,Invoices!$C$6:$C$305,C722,Invoices!$E$6:$E$305,"&lt;="&amp;B722,Invoices!$F$6:$F$305,"&gt;="&amp;B722)),IF(COUNTIFS(Invoices!$C$6:$C$305,C722,Invoices!$E$6:$E$305,"&lt;="&amp;B722,Invoices!$F$6:$F$305,"&gt;="&amp;B722)&gt;1,"Two invoices",""))))</f>
        <v/>
      </c>
      <c r="Q722" s="15">
        <f>IF(B722="","",IF(J722&lt;&gt;"","Not billable",IF(P722="","To invoice",IF(P722="Two invoices","Check dates",IF(ISNA(MATCH(P722,Invoices!$B$6:$B$305,0)),"Check number",IF(INDEX(Invoices!$M$6:$M$305,MATCH(P722,Invoices!$B$6:$B$305,0))="Paid","Paid",IF(INDEX(Invoices!$M$6:$M$305,MATCH(P722,Invoices!$B$6:$B$305,0))="Draft","Draft","Invoiced")))))))</f>
        <v/>
      </c>
      <c r="R722" s="1">
        <f>IF(AND(B722&lt;&gt;"",P722&lt;&gt;"",P722=Invoice!$G$4),B722+MOD(N(F722),1)+ROW()/10000000,"")</f>
        <v/>
      </c>
      <c r="S722">
        <f>IF(R722="","",IF(D722="","Other work",D722)&amp;IF(AND(K722&lt;&gt;"",E722&lt;&gt;""),", "&amp;E722,""))</f>
        <v/>
      </c>
      <c r="T722">
        <f>IF(R722="","",IF(COUNTIFS(R$6:R721,"&gt;0",S$6:S721,S722,N$6:N721,N722)=0,R722,""))</f>
        <v/>
      </c>
      <c r="U722">
        <f>IF(B722="","",IF(J722&lt;&gt;"",0,M722))</f>
        <v/>
      </c>
    </row>
    <row r="723">
      <c r="A723" s="1" t="n"/>
      <c r="B723" s="16" t="n"/>
      <c r="C723" s="17" t="n"/>
      <c r="D723" s="18" t="n"/>
      <c r="E723" s="18" t="n"/>
      <c r="F723" s="19" t="n"/>
      <c r="G723" s="19" t="n"/>
      <c r="H723" s="20" t="n"/>
      <c r="I723" s="21" t="n"/>
      <c r="J723" s="22" t="n"/>
      <c r="K723" s="23" t="n"/>
      <c r="L723" s="18" t="n"/>
      <c r="M723" s="24">
        <f>IF(B723="","",IF(AND(F723&lt;&gt;"",G723&lt;&gt;""),MAX(0,ROUND(MOD(G723-F723,1)*24-N(H723)/60,2)),N(I723)))</f>
        <v/>
      </c>
      <c r="N723" s="14">
        <f>IF(B723="","",IF(K723&lt;&gt;"",K723,IF(N(IFERROR(INDEX(Projects!$D$6:$D$65,MATCH(D723,Projects!$B$6:$B$65,0)),""))&gt;0,IFERROR(INDEX(Projects!$D$6:$D$65,MATCH(D723,Projects!$B$6:$B$65,0)),""),IFERROR(INDEX(Clients!$G$6:$G$45,MATCH(C723,Clients!$B$6:$B$45,0)),0))))</f>
        <v/>
      </c>
      <c r="O723" s="14">
        <f>IF(B723="","",IF(J723&lt;&gt;"",0,ROUND(M723*N723,2)))</f>
        <v/>
      </c>
      <c r="P723" s="15">
        <f>IF(OR(B723="",J723&lt;&gt;""),"",IF(L723&lt;&gt;"",L723,IF(COUNTIFS(Invoices!$C$6:$C$305,C723,Invoices!$E$6:$E$305,"&lt;="&amp;B723,Invoices!$F$6:$F$305,"&gt;="&amp;B723)=1,INDEX(Invoices!$B$6:$B$305,SUMIFS(Invoices!$O$6:$O$305,Invoices!$C$6:$C$305,C723,Invoices!$E$6:$E$305,"&lt;="&amp;B723,Invoices!$F$6:$F$305,"&gt;="&amp;B723)),IF(COUNTIFS(Invoices!$C$6:$C$305,C723,Invoices!$E$6:$E$305,"&lt;="&amp;B723,Invoices!$F$6:$F$305,"&gt;="&amp;B723)&gt;1,"Two invoices",""))))</f>
        <v/>
      </c>
      <c r="Q723" s="15">
        <f>IF(B723="","",IF(J723&lt;&gt;"","Not billable",IF(P723="","To invoice",IF(P723="Two invoices","Check dates",IF(ISNA(MATCH(P723,Invoices!$B$6:$B$305,0)),"Check number",IF(INDEX(Invoices!$M$6:$M$305,MATCH(P723,Invoices!$B$6:$B$305,0))="Paid","Paid",IF(INDEX(Invoices!$M$6:$M$305,MATCH(P723,Invoices!$B$6:$B$305,0))="Draft","Draft","Invoiced")))))))</f>
        <v/>
      </c>
      <c r="R723" s="1">
        <f>IF(AND(B723&lt;&gt;"",P723&lt;&gt;"",P723=Invoice!$G$4),B723+MOD(N(F723),1)+ROW()/10000000,"")</f>
        <v/>
      </c>
      <c r="S723">
        <f>IF(R723="","",IF(D723="","Other work",D723)&amp;IF(AND(K723&lt;&gt;"",E723&lt;&gt;""),", "&amp;E723,""))</f>
        <v/>
      </c>
      <c r="T723">
        <f>IF(R723="","",IF(COUNTIFS(R$6:R722,"&gt;0",S$6:S722,S723,N$6:N722,N723)=0,R723,""))</f>
        <v/>
      </c>
      <c r="U723">
        <f>IF(B723="","",IF(J723&lt;&gt;"",0,M723))</f>
        <v/>
      </c>
    </row>
    <row r="724">
      <c r="A724" s="1" t="n"/>
      <c r="B724" s="16" t="n"/>
      <c r="C724" s="17" t="n"/>
      <c r="D724" s="18" t="n"/>
      <c r="E724" s="18" t="n"/>
      <c r="F724" s="19" t="n"/>
      <c r="G724" s="19" t="n"/>
      <c r="H724" s="20" t="n"/>
      <c r="I724" s="21" t="n"/>
      <c r="J724" s="22" t="n"/>
      <c r="K724" s="23" t="n"/>
      <c r="L724" s="18" t="n"/>
      <c r="M724" s="24">
        <f>IF(B724="","",IF(AND(F724&lt;&gt;"",G724&lt;&gt;""),MAX(0,ROUND(MOD(G724-F724,1)*24-N(H724)/60,2)),N(I724)))</f>
        <v/>
      </c>
      <c r="N724" s="14">
        <f>IF(B724="","",IF(K724&lt;&gt;"",K724,IF(N(IFERROR(INDEX(Projects!$D$6:$D$65,MATCH(D724,Projects!$B$6:$B$65,0)),""))&gt;0,IFERROR(INDEX(Projects!$D$6:$D$65,MATCH(D724,Projects!$B$6:$B$65,0)),""),IFERROR(INDEX(Clients!$G$6:$G$45,MATCH(C724,Clients!$B$6:$B$45,0)),0))))</f>
        <v/>
      </c>
      <c r="O724" s="14">
        <f>IF(B724="","",IF(J724&lt;&gt;"",0,ROUND(M724*N724,2)))</f>
        <v/>
      </c>
      <c r="P724" s="15">
        <f>IF(OR(B724="",J724&lt;&gt;""),"",IF(L724&lt;&gt;"",L724,IF(COUNTIFS(Invoices!$C$6:$C$305,C724,Invoices!$E$6:$E$305,"&lt;="&amp;B724,Invoices!$F$6:$F$305,"&gt;="&amp;B724)=1,INDEX(Invoices!$B$6:$B$305,SUMIFS(Invoices!$O$6:$O$305,Invoices!$C$6:$C$305,C724,Invoices!$E$6:$E$305,"&lt;="&amp;B724,Invoices!$F$6:$F$305,"&gt;="&amp;B724)),IF(COUNTIFS(Invoices!$C$6:$C$305,C724,Invoices!$E$6:$E$305,"&lt;="&amp;B724,Invoices!$F$6:$F$305,"&gt;="&amp;B724)&gt;1,"Two invoices",""))))</f>
        <v/>
      </c>
      <c r="Q724" s="15">
        <f>IF(B724="","",IF(J724&lt;&gt;"","Not billable",IF(P724="","To invoice",IF(P724="Two invoices","Check dates",IF(ISNA(MATCH(P724,Invoices!$B$6:$B$305,0)),"Check number",IF(INDEX(Invoices!$M$6:$M$305,MATCH(P724,Invoices!$B$6:$B$305,0))="Paid","Paid",IF(INDEX(Invoices!$M$6:$M$305,MATCH(P724,Invoices!$B$6:$B$305,0))="Draft","Draft","Invoiced")))))))</f>
        <v/>
      </c>
      <c r="R724" s="1">
        <f>IF(AND(B724&lt;&gt;"",P724&lt;&gt;"",P724=Invoice!$G$4),B724+MOD(N(F724),1)+ROW()/10000000,"")</f>
        <v/>
      </c>
      <c r="S724">
        <f>IF(R724="","",IF(D724="","Other work",D724)&amp;IF(AND(K724&lt;&gt;"",E724&lt;&gt;""),", "&amp;E724,""))</f>
        <v/>
      </c>
      <c r="T724">
        <f>IF(R724="","",IF(COUNTIFS(R$6:R723,"&gt;0",S$6:S723,S724,N$6:N723,N724)=0,R724,""))</f>
        <v/>
      </c>
      <c r="U724">
        <f>IF(B724="","",IF(J724&lt;&gt;"",0,M724))</f>
        <v/>
      </c>
    </row>
    <row r="725">
      <c r="A725" s="1" t="n"/>
      <c r="B725" s="16" t="n"/>
      <c r="C725" s="17" t="n"/>
      <c r="D725" s="18" t="n"/>
      <c r="E725" s="18" t="n"/>
      <c r="F725" s="19" t="n"/>
      <c r="G725" s="19" t="n"/>
      <c r="H725" s="20" t="n"/>
      <c r="I725" s="21" t="n"/>
      <c r="J725" s="22" t="n"/>
      <c r="K725" s="23" t="n"/>
      <c r="L725" s="18" t="n"/>
      <c r="M725" s="24">
        <f>IF(B725="","",IF(AND(F725&lt;&gt;"",G725&lt;&gt;""),MAX(0,ROUND(MOD(G725-F725,1)*24-N(H725)/60,2)),N(I725)))</f>
        <v/>
      </c>
      <c r="N725" s="14">
        <f>IF(B725="","",IF(K725&lt;&gt;"",K725,IF(N(IFERROR(INDEX(Projects!$D$6:$D$65,MATCH(D725,Projects!$B$6:$B$65,0)),""))&gt;0,IFERROR(INDEX(Projects!$D$6:$D$65,MATCH(D725,Projects!$B$6:$B$65,0)),""),IFERROR(INDEX(Clients!$G$6:$G$45,MATCH(C725,Clients!$B$6:$B$45,0)),0))))</f>
        <v/>
      </c>
      <c r="O725" s="14">
        <f>IF(B725="","",IF(J725&lt;&gt;"",0,ROUND(M725*N725,2)))</f>
        <v/>
      </c>
      <c r="P725" s="15">
        <f>IF(OR(B725="",J725&lt;&gt;""),"",IF(L725&lt;&gt;"",L725,IF(COUNTIFS(Invoices!$C$6:$C$305,C725,Invoices!$E$6:$E$305,"&lt;="&amp;B725,Invoices!$F$6:$F$305,"&gt;="&amp;B725)=1,INDEX(Invoices!$B$6:$B$305,SUMIFS(Invoices!$O$6:$O$305,Invoices!$C$6:$C$305,C725,Invoices!$E$6:$E$305,"&lt;="&amp;B725,Invoices!$F$6:$F$305,"&gt;="&amp;B725)),IF(COUNTIFS(Invoices!$C$6:$C$305,C725,Invoices!$E$6:$E$305,"&lt;="&amp;B725,Invoices!$F$6:$F$305,"&gt;="&amp;B725)&gt;1,"Two invoices",""))))</f>
        <v/>
      </c>
      <c r="Q725" s="15">
        <f>IF(B725="","",IF(J725&lt;&gt;"","Not billable",IF(P725="","To invoice",IF(P725="Two invoices","Check dates",IF(ISNA(MATCH(P725,Invoices!$B$6:$B$305,0)),"Check number",IF(INDEX(Invoices!$M$6:$M$305,MATCH(P725,Invoices!$B$6:$B$305,0))="Paid","Paid",IF(INDEX(Invoices!$M$6:$M$305,MATCH(P725,Invoices!$B$6:$B$305,0))="Draft","Draft","Invoiced")))))))</f>
        <v/>
      </c>
      <c r="R725" s="1">
        <f>IF(AND(B725&lt;&gt;"",P725&lt;&gt;"",P725=Invoice!$G$4),B725+MOD(N(F725),1)+ROW()/10000000,"")</f>
        <v/>
      </c>
      <c r="S725">
        <f>IF(R725="","",IF(D725="","Other work",D725)&amp;IF(AND(K725&lt;&gt;"",E725&lt;&gt;""),", "&amp;E725,""))</f>
        <v/>
      </c>
      <c r="T725">
        <f>IF(R725="","",IF(COUNTIFS(R$6:R724,"&gt;0",S$6:S724,S725,N$6:N724,N725)=0,R725,""))</f>
        <v/>
      </c>
      <c r="U725">
        <f>IF(B725="","",IF(J725&lt;&gt;"",0,M725))</f>
        <v/>
      </c>
    </row>
    <row r="726">
      <c r="A726" s="1" t="n"/>
      <c r="B726" s="16" t="n"/>
      <c r="C726" s="17" t="n"/>
      <c r="D726" s="18" t="n"/>
      <c r="E726" s="18" t="n"/>
      <c r="F726" s="19" t="n"/>
      <c r="G726" s="19" t="n"/>
      <c r="H726" s="20" t="n"/>
      <c r="I726" s="21" t="n"/>
      <c r="J726" s="22" t="n"/>
      <c r="K726" s="23" t="n"/>
      <c r="L726" s="18" t="n"/>
      <c r="M726" s="24">
        <f>IF(B726="","",IF(AND(F726&lt;&gt;"",G726&lt;&gt;""),MAX(0,ROUND(MOD(G726-F726,1)*24-N(H726)/60,2)),N(I726)))</f>
        <v/>
      </c>
      <c r="N726" s="14">
        <f>IF(B726="","",IF(K726&lt;&gt;"",K726,IF(N(IFERROR(INDEX(Projects!$D$6:$D$65,MATCH(D726,Projects!$B$6:$B$65,0)),""))&gt;0,IFERROR(INDEX(Projects!$D$6:$D$65,MATCH(D726,Projects!$B$6:$B$65,0)),""),IFERROR(INDEX(Clients!$G$6:$G$45,MATCH(C726,Clients!$B$6:$B$45,0)),0))))</f>
        <v/>
      </c>
      <c r="O726" s="14">
        <f>IF(B726="","",IF(J726&lt;&gt;"",0,ROUND(M726*N726,2)))</f>
        <v/>
      </c>
      <c r="P726" s="15">
        <f>IF(OR(B726="",J726&lt;&gt;""),"",IF(L726&lt;&gt;"",L726,IF(COUNTIFS(Invoices!$C$6:$C$305,C726,Invoices!$E$6:$E$305,"&lt;="&amp;B726,Invoices!$F$6:$F$305,"&gt;="&amp;B726)=1,INDEX(Invoices!$B$6:$B$305,SUMIFS(Invoices!$O$6:$O$305,Invoices!$C$6:$C$305,C726,Invoices!$E$6:$E$305,"&lt;="&amp;B726,Invoices!$F$6:$F$305,"&gt;="&amp;B726)),IF(COUNTIFS(Invoices!$C$6:$C$305,C726,Invoices!$E$6:$E$305,"&lt;="&amp;B726,Invoices!$F$6:$F$305,"&gt;="&amp;B726)&gt;1,"Two invoices",""))))</f>
        <v/>
      </c>
      <c r="Q726" s="15">
        <f>IF(B726="","",IF(J726&lt;&gt;"","Not billable",IF(P726="","To invoice",IF(P726="Two invoices","Check dates",IF(ISNA(MATCH(P726,Invoices!$B$6:$B$305,0)),"Check number",IF(INDEX(Invoices!$M$6:$M$305,MATCH(P726,Invoices!$B$6:$B$305,0))="Paid","Paid",IF(INDEX(Invoices!$M$6:$M$305,MATCH(P726,Invoices!$B$6:$B$305,0))="Draft","Draft","Invoiced")))))))</f>
        <v/>
      </c>
      <c r="R726" s="1">
        <f>IF(AND(B726&lt;&gt;"",P726&lt;&gt;"",P726=Invoice!$G$4),B726+MOD(N(F726),1)+ROW()/10000000,"")</f>
        <v/>
      </c>
      <c r="S726">
        <f>IF(R726="","",IF(D726="","Other work",D726)&amp;IF(AND(K726&lt;&gt;"",E726&lt;&gt;""),", "&amp;E726,""))</f>
        <v/>
      </c>
      <c r="T726">
        <f>IF(R726="","",IF(COUNTIFS(R$6:R725,"&gt;0",S$6:S725,S726,N$6:N725,N726)=0,R726,""))</f>
        <v/>
      </c>
      <c r="U726">
        <f>IF(B726="","",IF(J726&lt;&gt;"",0,M726))</f>
        <v/>
      </c>
    </row>
    <row r="727">
      <c r="A727" s="1" t="n"/>
      <c r="B727" s="16" t="n"/>
      <c r="C727" s="17" t="n"/>
      <c r="D727" s="18" t="n"/>
      <c r="E727" s="18" t="n"/>
      <c r="F727" s="19" t="n"/>
      <c r="G727" s="19" t="n"/>
      <c r="H727" s="20" t="n"/>
      <c r="I727" s="21" t="n"/>
      <c r="J727" s="22" t="n"/>
      <c r="K727" s="23" t="n"/>
      <c r="L727" s="18" t="n"/>
      <c r="M727" s="24">
        <f>IF(B727="","",IF(AND(F727&lt;&gt;"",G727&lt;&gt;""),MAX(0,ROUND(MOD(G727-F727,1)*24-N(H727)/60,2)),N(I727)))</f>
        <v/>
      </c>
      <c r="N727" s="14">
        <f>IF(B727="","",IF(K727&lt;&gt;"",K727,IF(N(IFERROR(INDEX(Projects!$D$6:$D$65,MATCH(D727,Projects!$B$6:$B$65,0)),""))&gt;0,IFERROR(INDEX(Projects!$D$6:$D$65,MATCH(D727,Projects!$B$6:$B$65,0)),""),IFERROR(INDEX(Clients!$G$6:$G$45,MATCH(C727,Clients!$B$6:$B$45,0)),0))))</f>
        <v/>
      </c>
      <c r="O727" s="14">
        <f>IF(B727="","",IF(J727&lt;&gt;"",0,ROUND(M727*N727,2)))</f>
        <v/>
      </c>
      <c r="P727" s="15">
        <f>IF(OR(B727="",J727&lt;&gt;""),"",IF(L727&lt;&gt;"",L727,IF(COUNTIFS(Invoices!$C$6:$C$305,C727,Invoices!$E$6:$E$305,"&lt;="&amp;B727,Invoices!$F$6:$F$305,"&gt;="&amp;B727)=1,INDEX(Invoices!$B$6:$B$305,SUMIFS(Invoices!$O$6:$O$305,Invoices!$C$6:$C$305,C727,Invoices!$E$6:$E$305,"&lt;="&amp;B727,Invoices!$F$6:$F$305,"&gt;="&amp;B727)),IF(COUNTIFS(Invoices!$C$6:$C$305,C727,Invoices!$E$6:$E$305,"&lt;="&amp;B727,Invoices!$F$6:$F$305,"&gt;="&amp;B727)&gt;1,"Two invoices",""))))</f>
        <v/>
      </c>
      <c r="Q727" s="15">
        <f>IF(B727="","",IF(J727&lt;&gt;"","Not billable",IF(P727="","To invoice",IF(P727="Two invoices","Check dates",IF(ISNA(MATCH(P727,Invoices!$B$6:$B$305,0)),"Check number",IF(INDEX(Invoices!$M$6:$M$305,MATCH(P727,Invoices!$B$6:$B$305,0))="Paid","Paid",IF(INDEX(Invoices!$M$6:$M$305,MATCH(P727,Invoices!$B$6:$B$305,0))="Draft","Draft","Invoiced")))))))</f>
        <v/>
      </c>
      <c r="R727" s="1">
        <f>IF(AND(B727&lt;&gt;"",P727&lt;&gt;"",P727=Invoice!$G$4),B727+MOD(N(F727),1)+ROW()/10000000,"")</f>
        <v/>
      </c>
      <c r="S727">
        <f>IF(R727="","",IF(D727="","Other work",D727)&amp;IF(AND(K727&lt;&gt;"",E727&lt;&gt;""),", "&amp;E727,""))</f>
        <v/>
      </c>
      <c r="T727">
        <f>IF(R727="","",IF(COUNTIFS(R$6:R726,"&gt;0",S$6:S726,S727,N$6:N726,N727)=0,R727,""))</f>
        <v/>
      </c>
      <c r="U727">
        <f>IF(B727="","",IF(J727&lt;&gt;"",0,M727))</f>
        <v/>
      </c>
    </row>
    <row r="728">
      <c r="A728" s="1" t="n"/>
      <c r="B728" s="16" t="n"/>
      <c r="C728" s="17" t="n"/>
      <c r="D728" s="18" t="n"/>
      <c r="E728" s="18" t="n"/>
      <c r="F728" s="19" t="n"/>
      <c r="G728" s="19" t="n"/>
      <c r="H728" s="20" t="n"/>
      <c r="I728" s="21" t="n"/>
      <c r="J728" s="22" t="n"/>
      <c r="K728" s="23" t="n"/>
      <c r="L728" s="18" t="n"/>
      <c r="M728" s="24">
        <f>IF(B728="","",IF(AND(F728&lt;&gt;"",G728&lt;&gt;""),MAX(0,ROUND(MOD(G728-F728,1)*24-N(H728)/60,2)),N(I728)))</f>
        <v/>
      </c>
      <c r="N728" s="14">
        <f>IF(B728="","",IF(K728&lt;&gt;"",K728,IF(N(IFERROR(INDEX(Projects!$D$6:$D$65,MATCH(D728,Projects!$B$6:$B$65,0)),""))&gt;0,IFERROR(INDEX(Projects!$D$6:$D$65,MATCH(D728,Projects!$B$6:$B$65,0)),""),IFERROR(INDEX(Clients!$G$6:$G$45,MATCH(C728,Clients!$B$6:$B$45,0)),0))))</f>
        <v/>
      </c>
      <c r="O728" s="14">
        <f>IF(B728="","",IF(J728&lt;&gt;"",0,ROUND(M728*N728,2)))</f>
        <v/>
      </c>
      <c r="P728" s="15">
        <f>IF(OR(B728="",J728&lt;&gt;""),"",IF(L728&lt;&gt;"",L728,IF(COUNTIFS(Invoices!$C$6:$C$305,C728,Invoices!$E$6:$E$305,"&lt;="&amp;B728,Invoices!$F$6:$F$305,"&gt;="&amp;B728)=1,INDEX(Invoices!$B$6:$B$305,SUMIFS(Invoices!$O$6:$O$305,Invoices!$C$6:$C$305,C728,Invoices!$E$6:$E$305,"&lt;="&amp;B728,Invoices!$F$6:$F$305,"&gt;="&amp;B728)),IF(COUNTIFS(Invoices!$C$6:$C$305,C728,Invoices!$E$6:$E$305,"&lt;="&amp;B728,Invoices!$F$6:$F$305,"&gt;="&amp;B728)&gt;1,"Two invoices",""))))</f>
        <v/>
      </c>
      <c r="Q728" s="15">
        <f>IF(B728="","",IF(J728&lt;&gt;"","Not billable",IF(P728="","To invoice",IF(P728="Two invoices","Check dates",IF(ISNA(MATCH(P728,Invoices!$B$6:$B$305,0)),"Check number",IF(INDEX(Invoices!$M$6:$M$305,MATCH(P728,Invoices!$B$6:$B$305,0))="Paid","Paid",IF(INDEX(Invoices!$M$6:$M$305,MATCH(P728,Invoices!$B$6:$B$305,0))="Draft","Draft","Invoiced")))))))</f>
        <v/>
      </c>
      <c r="R728" s="1">
        <f>IF(AND(B728&lt;&gt;"",P728&lt;&gt;"",P728=Invoice!$G$4),B728+MOD(N(F728),1)+ROW()/10000000,"")</f>
        <v/>
      </c>
      <c r="S728">
        <f>IF(R728="","",IF(D728="","Other work",D728)&amp;IF(AND(K728&lt;&gt;"",E728&lt;&gt;""),", "&amp;E728,""))</f>
        <v/>
      </c>
      <c r="T728">
        <f>IF(R728="","",IF(COUNTIFS(R$6:R727,"&gt;0",S$6:S727,S728,N$6:N727,N728)=0,R728,""))</f>
        <v/>
      </c>
      <c r="U728">
        <f>IF(B728="","",IF(J728&lt;&gt;"",0,M728))</f>
        <v/>
      </c>
    </row>
    <row r="729">
      <c r="A729" s="1" t="n"/>
      <c r="B729" s="16" t="n"/>
      <c r="C729" s="17" t="n"/>
      <c r="D729" s="18" t="n"/>
      <c r="E729" s="18" t="n"/>
      <c r="F729" s="19" t="n"/>
      <c r="G729" s="19" t="n"/>
      <c r="H729" s="20" t="n"/>
      <c r="I729" s="21" t="n"/>
      <c r="J729" s="22" t="n"/>
      <c r="K729" s="23" t="n"/>
      <c r="L729" s="18" t="n"/>
      <c r="M729" s="24">
        <f>IF(B729="","",IF(AND(F729&lt;&gt;"",G729&lt;&gt;""),MAX(0,ROUND(MOD(G729-F729,1)*24-N(H729)/60,2)),N(I729)))</f>
        <v/>
      </c>
      <c r="N729" s="14">
        <f>IF(B729="","",IF(K729&lt;&gt;"",K729,IF(N(IFERROR(INDEX(Projects!$D$6:$D$65,MATCH(D729,Projects!$B$6:$B$65,0)),""))&gt;0,IFERROR(INDEX(Projects!$D$6:$D$65,MATCH(D729,Projects!$B$6:$B$65,0)),""),IFERROR(INDEX(Clients!$G$6:$G$45,MATCH(C729,Clients!$B$6:$B$45,0)),0))))</f>
        <v/>
      </c>
      <c r="O729" s="14">
        <f>IF(B729="","",IF(J729&lt;&gt;"",0,ROUND(M729*N729,2)))</f>
        <v/>
      </c>
      <c r="P729" s="15">
        <f>IF(OR(B729="",J729&lt;&gt;""),"",IF(L729&lt;&gt;"",L729,IF(COUNTIFS(Invoices!$C$6:$C$305,C729,Invoices!$E$6:$E$305,"&lt;="&amp;B729,Invoices!$F$6:$F$305,"&gt;="&amp;B729)=1,INDEX(Invoices!$B$6:$B$305,SUMIFS(Invoices!$O$6:$O$305,Invoices!$C$6:$C$305,C729,Invoices!$E$6:$E$305,"&lt;="&amp;B729,Invoices!$F$6:$F$305,"&gt;="&amp;B729)),IF(COUNTIFS(Invoices!$C$6:$C$305,C729,Invoices!$E$6:$E$305,"&lt;="&amp;B729,Invoices!$F$6:$F$305,"&gt;="&amp;B729)&gt;1,"Two invoices",""))))</f>
        <v/>
      </c>
      <c r="Q729" s="15">
        <f>IF(B729="","",IF(J729&lt;&gt;"","Not billable",IF(P729="","To invoice",IF(P729="Two invoices","Check dates",IF(ISNA(MATCH(P729,Invoices!$B$6:$B$305,0)),"Check number",IF(INDEX(Invoices!$M$6:$M$305,MATCH(P729,Invoices!$B$6:$B$305,0))="Paid","Paid",IF(INDEX(Invoices!$M$6:$M$305,MATCH(P729,Invoices!$B$6:$B$305,0))="Draft","Draft","Invoiced")))))))</f>
        <v/>
      </c>
      <c r="R729" s="1">
        <f>IF(AND(B729&lt;&gt;"",P729&lt;&gt;"",P729=Invoice!$G$4),B729+MOD(N(F729),1)+ROW()/10000000,"")</f>
        <v/>
      </c>
      <c r="S729">
        <f>IF(R729="","",IF(D729="","Other work",D729)&amp;IF(AND(K729&lt;&gt;"",E729&lt;&gt;""),", "&amp;E729,""))</f>
        <v/>
      </c>
      <c r="T729">
        <f>IF(R729="","",IF(COUNTIFS(R$6:R728,"&gt;0",S$6:S728,S729,N$6:N728,N729)=0,R729,""))</f>
        <v/>
      </c>
      <c r="U729">
        <f>IF(B729="","",IF(J729&lt;&gt;"",0,M729))</f>
        <v/>
      </c>
    </row>
    <row r="730">
      <c r="A730" s="1" t="n"/>
      <c r="B730" s="16" t="n"/>
      <c r="C730" s="17" t="n"/>
      <c r="D730" s="18" t="n"/>
      <c r="E730" s="18" t="n"/>
      <c r="F730" s="19" t="n"/>
      <c r="G730" s="19" t="n"/>
      <c r="H730" s="20" t="n"/>
      <c r="I730" s="21" t="n"/>
      <c r="J730" s="22" t="n"/>
      <c r="K730" s="23" t="n"/>
      <c r="L730" s="18" t="n"/>
      <c r="M730" s="24">
        <f>IF(B730="","",IF(AND(F730&lt;&gt;"",G730&lt;&gt;""),MAX(0,ROUND(MOD(G730-F730,1)*24-N(H730)/60,2)),N(I730)))</f>
        <v/>
      </c>
      <c r="N730" s="14">
        <f>IF(B730="","",IF(K730&lt;&gt;"",K730,IF(N(IFERROR(INDEX(Projects!$D$6:$D$65,MATCH(D730,Projects!$B$6:$B$65,0)),""))&gt;0,IFERROR(INDEX(Projects!$D$6:$D$65,MATCH(D730,Projects!$B$6:$B$65,0)),""),IFERROR(INDEX(Clients!$G$6:$G$45,MATCH(C730,Clients!$B$6:$B$45,0)),0))))</f>
        <v/>
      </c>
      <c r="O730" s="14">
        <f>IF(B730="","",IF(J730&lt;&gt;"",0,ROUND(M730*N730,2)))</f>
        <v/>
      </c>
      <c r="P730" s="15">
        <f>IF(OR(B730="",J730&lt;&gt;""),"",IF(L730&lt;&gt;"",L730,IF(COUNTIFS(Invoices!$C$6:$C$305,C730,Invoices!$E$6:$E$305,"&lt;="&amp;B730,Invoices!$F$6:$F$305,"&gt;="&amp;B730)=1,INDEX(Invoices!$B$6:$B$305,SUMIFS(Invoices!$O$6:$O$305,Invoices!$C$6:$C$305,C730,Invoices!$E$6:$E$305,"&lt;="&amp;B730,Invoices!$F$6:$F$305,"&gt;="&amp;B730)),IF(COUNTIFS(Invoices!$C$6:$C$305,C730,Invoices!$E$6:$E$305,"&lt;="&amp;B730,Invoices!$F$6:$F$305,"&gt;="&amp;B730)&gt;1,"Two invoices",""))))</f>
        <v/>
      </c>
      <c r="Q730" s="15">
        <f>IF(B730="","",IF(J730&lt;&gt;"","Not billable",IF(P730="","To invoice",IF(P730="Two invoices","Check dates",IF(ISNA(MATCH(P730,Invoices!$B$6:$B$305,0)),"Check number",IF(INDEX(Invoices!$M$6:$M$305,MATCH(P730,Invoices!$B$6:$B$305,0))="Paid","Paid",IF(INDEX(Invoices!$M$6:$M$305,MATCH(P730,Invoices!$B$6:$B$305,0))="Draft","Draft","Invoiced")))))))</f>
        <v/>
      </c>
      <c r="R730" s="1">
        <f>IF(AND(B730&lt;&gt;"",P730&lt;&gt;"",P730=Invoice!$G$4),B730+MOD(N(F730),1)+ROW()/10000000,"")</f>
        <v/>
      </c>
      <c r="S730">
        <f>IF(R730="","",IF(D730="","Other work",D730)&amp;IF(AND(K730&lt;&gt;"",E730&lt;&gt;""),", "&amp;E730,""))</f>
        <v/>
      </c>
      <c r="T730">
        <f>IF(R730="","",IF(COUNTIFS(R$6:R729,"&gt;0",S$6:S729,S730,N$6:N729,N730)=0,R730,""))</f>
        <v/>
      </c>
      <c r="U730">
        <f>IF(B730="","",IF(J730&lt;&gt;"",0,M730))</f>
        <v/>
      </c>
    </row>
    <row r="731">
      <c r="A731" s="1" t="n"/>
      <c r="B731" s="16" t="n"/>
      <c r="C731" s="17" t="n"/>
      <c r="D731" s="18" t="n"/>
      <c r="E731" s="18" t="n"/>
      <c r="F731" s="19" t="n"/>
      <c r="G731" s="19" t="n"/>
      <c r="H731" s="20" t="n"/>
      <c r="I731" s="21" t="n"/>
      <c r="J731" s="22" t="n"/>
      <c r="K731" s="23" t="n"/>
      <c r="L731" s="18" t="n"/>
      <c r="M731" s="24">
        <f>IF(B731="","",IF(AND(F731&lt;&gt;"",G731&lt;&gt;""),MAX(0,ROUND(MOD(G731-F731,1)*24-N(H731)/60,2)),N(I731)))</f>
        <v/>
      </c>
      <c r="N731" s="14">
        <f>IF(B731="","",IF(K731&lt;&gt;"",K731,IF(N(IFERROR(INDEX(Projects!$D$6:$D$65,MATCH(D731,Projects!$B$6:$B$65,0)),""))&gt;0,IFERROR(INDEX(Projects!$D$6:$D$65,MATCH(D731,Projects!$B$6:$B$65,0)),""),IFERROR(INDEX(Clients!$G$6:$G$45,MATCH(C731,Clients!$B$6:$B$45,0)),0))))</f>
        <v/>
      </c>
      <c r="O731" s="14">
        <f>IF(B731="","",IF(J731&lt;&gt;"",0,ROUND(M731*N731,2)))</f>
        <v/>
      </c>
      <c r="P731" s="15">
        <f>IF(OR(B731="",J731&lt;&gt;""),"",IF(L731&lt;&gt;"",L731,IF(COUNTIFS(Invoices!$C$6:$C$305,C731,Invoices!$E$6:$E$305,"&lt;="&amp;B731,Invoices!$F$6:$F$305,"&gt;="&amp;B731)=1,INDEX(Invoices!$B$6:$B$305,SUMIFS(Invoices!$O$6:$O$305,Invoices!$C$6:$C$305,C731,Invoices!$E$6:$E$305,"&lt;="&amp;B731,Invoices!$F$6:$F$305,"&gt;="&amp;B731)),IF(COUNTIFS(Invoices!$C$6:$C$305,C731,Invoices!$E$6:$E$305,"&lt;="&amp;B731,Invoices!$F$6:$F$305,"&gt;="&amp;B731)&gt;1,"Two invoices",""))))</f>
        <v/>
      </c>
      <c r="Q731" s="15">
        <f>IF(B731="","",IF(J731&lt;&gt;"","Not billable",IF(P731="","To invoice",IF(P731="Two invoices","Check dates",IF(ISNA(MATCH(P731,Invoices!$B$6:$B$305,0)),"Check number",IF(INDEX(Invoices!$M$6:$M$305,MATCH(P731,Invoices!$B$6:$B$305,0))="Paid","Paid",IF(INDEX(Invoices!$M$6:$M$305,MATCH(P731,Invoices!$B$6:$B$305,0))="Draft","Draft","Invoiced")))))))</f>
        <v/>
      </c>
      <c r="R731" s="1">
        <f>IF(AND(B731&lt;&gt;"",P731&lt;&gt;"",P731=Invoice!$G$4),B731+MOD(N(F731),1)+ROW()/10000000,"")</f>
        <v/>
      </c>
      <c r="S731">
        <f>IF(R731="","",IF(D731="","Other work",D731)&amp;IF(AND(K731&lt;&gt;"",E731&lt;&gt;""),", "&amp;E731,""))</f>
        <v/>
      </c>
      <c r="T731">
        <f>IF(R731="","",IF(COUNTIFS(R$6:R730,"&gt;0",S$6:S730,S731,N$6:N730,N731)=0,R731,""))</f>
        <v/>
      </c>
      <c r="U731">
        <f>IF(B731="","",IF(J731&lt;&gt;"",0,M731))</f>
        <v/>
      </c>
    </row>
    <row r="732">
      <c r="A732" s="1" t="n"/>
      <c r="B732" s="16" t="n"/>
      <c r="C732" s="17" t="n"/>
      <c r="D732" s="18" t="n"/>
      <c r="E732" s="18" t="n"/>
      <c r="F732" s="19" t="n"/>
      <c r="G732" s="19" t="n"/>
      <c r="H732" s="20" t="n"/>
      <c r="I732" s="21" t="n"/>
      <c r="J732" s="22" t="n"/>
      <c r="K732" s="23" t="n"/>
      <c r="L732" s="18" t="n"/>
      <c r="M732" s="24">
        <f>IF(B732="","",IF(AND(F732&lt;&gt;"",G732&lt;&gt;""),MAX(0,ROUND(MOD(G732-F732,1)*24-N(H732)/60,2)),N(I732)))</f>
        <v/>
      </c>
      <c r="N732" s="14">
        <f>IF(B732="","",IF(K732&lt;&gt;"",K732,IF(N(IFERROR(INDEX(Projects!$D$6:$D$65,MATCH(D732,Projects!$B$6:$B$65,0)),""))&gt;0,IFERROR(INDEX(Projects!$D$6:$D$65,MATCH(D732,Projects!$B$6:$B$65,0)),""),IFERROR(INDEX(Clients!$G$6:$G$45,MATCH(C732,Clients!$B$6:$B$45,0)),0))))</f>
        <v/>
      </c>
      <c r="O732" s="14">
        <f>IF(B732="","",IF(J732&lt;&gt;"",0,ROUND(M732*N732,2)))</f>
        <v/>
      </c>
      <c r="P732" s="15">
        <f>IF(OR(B732="",J732&lt;&gt;""),"",IF(L732&lt;&gt;"",L732,IF(COUNTIFS(Invoices!$C$6:$C$305,C732,Invoices!$E$6:$E$305,"&lt;="&amp;B732,Invoices!$F$6:$F$305,"&gt;="&amp;B732)=1,INDEX(Invoices!$B$6:$B$305,SUMIFS(Invoices!$O$6:$O$305,Invoices!$C$6:$C$305,C732,Invoices!$E$6:$E$305,"&lt;="&amp;B732,Invoices!$F$6:$F$305,"&gt;="&amp;B732)),IF(COUNTIFS(Invoices!$C$6:$C$305,C732,Invoices!$E$6:$E$305,"&lt;="&amp;B732,Invoices!$F$6:$F$305,"&gt;="&amp;B732)&gt;1,"Two invoices",""))))</f>
        <v/>
      </c>
      <c r="Q732" s="15">
        <f>IF(B732="","",IF(J732&lt;&gt;"","Not billable",IF(P732="","To invoice",IF(P732="Two invoices","Check dates",IF(ISNA(MATCH(P732,Invoices!$B$6:$B$305,0)),"Check number",IF(INDEX(Invoices!$M$6:$M$305,MATCH(P732,Invoices!$B$6:$B$305,0))="Paid","Paid",IF(INDEX(Invoices!$M$6:$M$305,MATCH(P732,Invoices!$B$6:$B$305,0))="Draft","Draft","Invoiced")))))))</f>
        <v/>
      </c>
      <c r="R732" s="1">
        <f>IF(AND(B732&lt;&gt;"",P732&lt;&gt;"",P732=Invoice!$G$4),B732+MOD(N(F732),1)+ROW()/10000000,"")</f>
        <v/>
      </c>
      <c r="S732">
        <f>IF(R732="","",IF(D732="","Other work",D732)&amp;IF(AND(K732&lt;&gt;"",E732&lt;&gt;""),", "&amp;E732,""))</f>
        <v/>
      </c>
      <c r="T732">
        <f>IF(R732="","",IF(COUNTIFS(R$6:R731,"&gt;0",S$6:S731,S732,N$6:N731,N732)=0,R732,""))</f>
        <v/>
      </c>
      <c r="U732">
        <f>IF(B732="","",IF(J732&lt;&gt;"",0,M732))</f>
        <v/>
      </c>
    </row>
    <row r="733">
      <c r="A733" s="1" t="n"/>
      <c r="B733" s="16" t="n"/>
      <c r="C733" s="17" t="n"/>
      <c r="D733" s="18" t="n"/>
      <c r="E733" s="18" t="n"/>
      <c r="F733" s="19" t="n"/>
      <c r="G733" s="19" t="n"/>
      <c r="H733" s="20" t="n"/>
      <c r="I733" s="21" t="n"/>
      <c r="J733" s="22" t="n"/>
      <c r="K733" s="23" t="n"/>
      <c r="L733" s="18" t="n"/>
      <c r="M733" s="24">
        <f>IF(B733="","",IF(AND(F733&lt;&gt;"",G733&lt;&gt;""),MAX(0,ROUND(MOD(G733-F733,1)*24-N(H733)/60,2)),N(I733)))</f>
        <v/>
      </c>
      <c r="N733" s="14">
        <f>IF(B733="","",IF(K733&lt;&gt;"",K733,IF(N(IFERROR(INDEX(Projects!$D$6:$D$65,MATCH(D733,Projects!$B$6:$B$65,0)),""))&gt;0,IFERROR(INDEX(Projects!$D$6:$D$65,MATCH(D733,Projects!$B$6:$B$65,0)),""),IFERROR(INDEX(Clients!$G$6:$G$45,MATCH(C733,Clients!$B$6:$B$45,0)),0))))</f>
        <v/>
      </c>
      <c r="O733" s="14">
        <f>IF(B733="","",IF(J733&lt;&gt;"",0,ROUND(M733*N733,2)))</f>
        <v/>
      </c>
      <c r="P733" s="15">
        <f>IF(OR(B733="",J733&lt;&gt;""),"",IF(L733&lt;&gt;"",L733,IF(COUNTIFS(Invoices!$C$6:$C$305,C733,Invoices!$E$6:$E$305,"&lt;="&amp;B733,Invoices!$F$6:$F$305,"&gt;="&amp;B733)=1,INDEX(Invoices!$B$6:$B$305,SUMIFS(Invoices!$O$6:$O$305,Invoices!$C$6:$C$305,C733,Invoices!$E$6:$E$305,"&lt;="&amp;B733,Invoices!$F$6:$F$305,"&gt;="&amp;B733)),IF(COUNTIFS(Invoices!$C$6:$C$305,C733,Invoices!$E$6:$E$305,"&lt;="&amp;B733,Invoices!$F$6:$F$305,"&gt;="&amp;B733)&gt;1,"Two invoices",""))))</f>
        <v/>
      </c>
      <c r="Q733" s="15">
        <f>IF(B733="","",IF(J733&lt;&gt;"","Not billable",IF(P733="","To invoice",IF(P733="Two invoices","Check dates",IF(ISNA(MATCH(P733,Invoices!$B$6:$B$305,0)),"Check number",IF(INDEX(Invoices!$M$6:$M$305,MATCH(P733,Invoices!$B$6:$B$305,0))="Paid","Paid",IF(INDEX(Invoices!$M$6:$M$305,MATCH(P733,Invoices!$B$6:$B$305,0))="Draft","Draft","Invoiced")))))))</f>
        <v/>
      </c>
      <c r="R733" s="1">
        <f>IF(AND(B733&lt;&gt;"",P733&lt;&gt;"",P733=Invoice!$G$4),B733+MOD(N(F733),1)+ROW()/10000000,"")</f>
        <v/>
      </c>
      <c r="S733">
        <f>IF(R733="","",IF(D733="","Other work",D733)&amp;IF(AND(K733&lt;&gt;"",E733&lt;&gt;""),", "&amp;E733,""))</f>
        <v/>
      </c>
      <c r="T733">
        <f>IF(R733="","",IF(COUNTIFS(R$6:R732,"&gt;0",S$6:S732,S733,N$6:N732,N733)=0,R733,""))</f>
        <v/>
      </c>
      <c r="U733">
        <f>IF(B733="","",IF(J733&lt;&gt;"",0,M733))</f>
        <v/>
      </c>
    </row>
    <row r="734">
      <c r="A734" s="1" t="n"/>
      <c r="B734" s="16" t="n"/>
      <c r="C734" s="17" t="n"/>
      <c r="D734" s="18" t="n"/>
      <c r="E734" s="18" t="n"/>
      <c r="F734" s="19" t="n"/>
      <c r="G734" s="19" t="n"/>
      <c r="H734" s="20" t="n"/>
      <c r="I734" s="21" t="n"/>
      <c r="J734" s="22" t="n"/>
      <c r="K734" s="23" t="n"/>
      <c r="L734" s="18" t="n"/>
      <c r="M734" s="24">
        <f>IF(B734="","",IF(AND(F734&lt;&gt;"",G734&lt;&gt;""),MAX(0,ROUND(MOD(G734-F734,1)*24-N(H734)/60,2)),N(I734)))</f>
        <v/>
      </c>
      <c r="N734" s="14">
        <f>IF(B734="","",IF(K734&lt;&gt;"",K734,IF(N(IFERROR(INDEX(Projects!$D$6:$D$65,MATCH(D734,Projects!$B$6:$B$65,0)),""))&gt;0,IFERROR(INDEX(Projects!$D$6:$D$65,MATCH(D734,Projects!$B$6:$B$65,0)),""),IFERROR(INDEX(Clients!$G$6:$G$45,MATCH(C734,Clients!$B$6:$B$45,0)),0))))</f>
        <v/>
      </c>
      <c r="O734" s="14">
        <f>IF(B734="","",IF(J734&lt;&gt;"",0,ROUND(M734*N734,2)))</f>
        <v/>
      </c>
      <c r="P734" s="15">
        <f>IF(OR(B734="",J734&lt;&gt;""),"",IF(L734&lt;&gt;"",L734,IF(COUNTIFS(Invoices!$C$6:$C$305,C734,Invoices!$E$6:$E$305,"&lt;="&amp;B734,Invoices!$F$6:$F$305,"&gt;="&amp;B734)=1,INDEX(Invoices!$B$6:$B$305,SUMIFS(Invoices!$O$6:$O$305,Invoices!$C$6:$C$305,C734,Invoices!$E$6:$E$305,"&lt;="&amp;B734,Invoices!$F$6:$F$305,"&gt;="&amp;B734)),IF(COUNTIFS(Invoices!$C$6:$C$305,C734,Invoices!$E$6:$E$305,"&lt;="&amp;B734,Invoices!$F$6:$F$305,"&gt;="&amp;B734)&gt;1,"Two invoices",""))))</f>
        <v/>
      </c>
      <c r="Q734" s="15">
        <f>IF(B734="","",IF(J734&lt;&gt;"","Not billable",IF(P734="","To invoice",IF(P734="Two invoices","Check dates",IF(ISNA(MATCH(P734,Invoices!$B$6:$B$305,0)),"Check number",IF(INDEX(Invoices!$M$6:$M$305,MATCH(P734,Invoices!$B$6:$B$305,0))="Paid","Paid",IF(INDEX(Invoices!$M$6:$M$305,MATCH(P734,Invoices!$B$6:$B$305,0))="Draft","Draft","Invoiced")))))))</f>
        <v/>
      </c>
      <c r="R734" s="1">
        <f>IF(AND(B734&lt;&gt;"",P734&lt;&gt;"",P734=Invoice!$G$4),B734+MOD(N(F734),1)+ROW()/10000000,"")</f>
        <v/>
      </c>
      <c r="S734">
        <f>IF(R734="","",IF(D734="","Other work",D734)&amp;IF(AND(K734&lt;&gt;"",E734&lt;&gt;""),", "&amp;E734,""))</f>
        <v/>
      </c>
      <c r="T734">
        <f>IF(R734="","",IF(COUNTIFS(R$6:R733,"&gt;0",S$6:S733,S734,N$6:N733,N734)=0,R734,""))</f>
        <v/>
      </c>
      <c r="U734">
        <f>IF(B734="","",IF(J734&lt;&gt;"",0,M734))</f>
        <v/>
      </c>
    </row>
    <row r="735">
      <c r="A735" s="1" t="n"/>
      <c r="B735" s="16" t="n"/>
      <c r="C735" s="17" t="n"/>
      <c r="D735" s="18" t="n"/>
      <c r="E735" s="18" t="n"/>
      <c r="F735" s="19" t="n"/>
      <c r="G735" s="19" t="n"/>
      <c r="H735" s="20" t="n"/>
      <c r="I735" s="21" t="n"/>
      <c r="J735" s="22" t="n"/>
      <c r="K735" s="23" t="n"/>
      <c r="L735" s="18" t="n"/>
      <c r="M735" s="24">
        <f>IF(B735="","",IF(AND(F735&lt;&gt;"",G735&lt;&gt;""),MAX(0,ROUND(MOD(G735-F735,1)*24-N(H735)/60,2)),N(I735)))</f>
        <v/>
      </c>
      <c r="N735" s="14">
        <f>IF(B735="","",IF(K735&lt;&gt;"",K735,IF(N(IFERROR(INDEX(Projects!$D$6:$D$65,MATCH(D735,Projects!$B$6:$B$65,0)),""))&gt;0,IFERROR(INDEX(Projects!$D$6:$D$65,MATCH(D735,Projects!$B$6:$B$65,0)),""),IFERROR(INDEX(Clients!$G$6:$G$45,MATCH(C735,Clients!$B$6:$B$45,0)),0))))</f>
        <v/>
      </c>
      <c r="O735" s="14">
        <f>IF(B735="","",IF(J735&lt;&gt;"",0,ROUND(M735*N735,2)))</f>
        <v/>
      </c>
      <c r="P735" s="15">
        <f>IF(OR(B735="",J735&lt;&gt;""),"",IF(L735&lt;&gt;"",L735,IF(COUNTIFS(Invoices!$C$6:$C$305,C735,Invoices!$E$6:$E$305,"&lt;="&amp;B735,Invoices!$F$6:$F$305,"&gt;="&amp;B735)=1,INDEX(Invoices!$B$6:$B$305,SUMIFS(Invoices!$O$6:$O$305,Invoices!$C$6:$C$305,C735,Invoices!$E$6:$E$305,"&lt;="&amp;B735,Invoices!$F$6:$F$305,"&gt;="&amp;B735)),IF(COUNTIFS(Invoices!$C$6:$C$305,C735,Invoices!$E$6:$E$305,"&lt;="&amp;B735,Invoices!$F$6:$F$305,"&gt;="&amp;B735)&gt;1,"Two invoices",""))))</f>
        <v/>
      </c>
      <c r="Q735" s="15">
        <f>IF(B735="","",IF(J735&lt;&gt;"","Not billable",IF(P735="","To invoice",IF(P735="Two invoices","Check dates",IF(ISNA(MATCH(P735,Invoices!$B$6:$B$305,0)),"Check number",IF(INDEX(Invoices!$M$6:$M$305,MATCH(P735,Invoices!$B$6:$B$305,0))="Paid","Paid",IF(INDEX(Invoices!$M$6:$M$305,MATCH(P735,Invoices!$B$6:$B$305,0))="Draft","Draft","Invoiced")))))))</f>
        <v/>
      </c>
      <c r="R735" s="1">
        <f>IF(AND(B735&lt;&gt;"",P735&lt;&gt;"",P735=Invoice!$G$4),B735+MOD(N(F735),1)+ROW()/10000000,"")</f>
        <v/>
      </c>
      <c r="S735">
        <f>IF(R735="","",IF(D735="","Other work",D735)&amp;IF(AND(K735&lt;&gt;"",E735&lt;&gt;""),", "&amp;E735,""))</f>
        <v/>
      </c>
      <c r="T735">
        <f>IF(R735="","",IF(COUNTIFS(R$6:R734,"&gt;0",S$6:S734,S735,N$6:N734,N735)=0,R735,""))</f>
        <v/>
      </c>
      <c r="U735">
        <f>IF(B735="","",IF(J735&lt;&gt;"",0,M735))</f>
        <v/>
      </c>
    </row>
    <row r="736">
      <c r="A736" s="1" t="n"/>
      <c r="B736" s="16" t="n"/>
      <c r="C736" s="17" t="n"/>
      <c r="D736" s="18" t="n"/>
      <c r="E736" s="18" t="n"/>
      <c r="F736" s="19" t="n"/>
      <c r="G736" s="19" t="n"/>
      <c r="H736" s="20" t="n"/>
      <c r="I736" s="21" t="n"/>
      <c r="J736" s="22" t="n"/>
      <c r="K736" s="23" t="n"/>
      <c r="L736" s="18" t="n"/>
      <c r="M736" s="24">
        <f>IF(B736="","",IF(AND(F736&lt;&gt;"",G736&lt;&gt;""),MAX(0,ROUND(MOD(G736-F736,1)*24-N(H736)/60,2)),N(I736)))</f>
        <v/>
      </c>
      <c r="N736" s="14">
        <f>IF(B736="","",IF(K736&lt;&gt;"",K736,IF(N(IFERROR(INDEX(Projects!$D$6:$D$65,MATCH(D736,Projects!$B$6:$B$65,0)),""))&gt;0,IFERROR(INDEX(Projects!$D$6:$D$65,MATCH(D736,Projects!$B$6:$B$65,0)),""),IFERROR(INDEX(Clients!$G$6:$G$45,MATCH(C736,Clients!$B$6:$B$45,0)),0))))</f>
        <v/>
      </c>
      <c r="O736" s="14">
        <f>IF(B736="","",IF(J736&lt;&gt;"",0,ROUND(M736*N736,2)))</f>
        <v/>
      </c>
      <c r="P736" s="15">
        <f>IF(OR(B736="",J736&lt;&gt;""),"",IF(L736&lt;&gt;"",L736,IF(COUNTIFS(Invoices!$C$6:$C$305,C736,Invoices!$E$6:$E$305,"&lt;="&amp;B736,Invoices!$F$6:$F$305,"&gt;="&amp;B736)=1,INDEX(Invoices!$B$6:$B$305,SUMIFS(Invoices!$O$6:$O$305,Invoices!$C$6:$C$305,C736,Invoices!$E$6:$E$305,"&lt;="&amp;B736,Invoices!$F$6:$F$305,"&gt;="&amp;B736)),IF(COUNTIFS(Invoices!$C$6:$C$305,C736,Invoices!$E$6:$E$305,"&lt;="&amp;B736,Invoices!$F$6:$F$305,"&gt;="&amp;B736)&gt;1,"Two invoices",""))))</f>
        <v/>
      </c>
      <c r="Q736" s="15">
        <f>IF(B736="","",IF(J736&lt;&gt;"","Not billable",IF(P736="","To invoice",IF(P736="Two invoices","Check dates",IF(ISNA(MATCH(P736,Invoices!$B$6:$B$305,0)),"Check number",IF(INDEX(Invoices!$M$6:$M$305,MATCH(P736,Invoices!$B$6:$B$305,0))="Paid","Paid",IF(INDEX(Invoices!$M$6:$M$305,MATCH(P736,Invoices!$B$6:$B$305,0))="Draft","Draft","Invoiced")))))))</f>
        <v/>
      </c>
      <c r="R736" s="1">
        <f>IF(AND(B736&lt;&gt;"",P736&lt;&gt;"",P736=Invoice!$G$4),B736+MOD(N(F736),1)+ROW()/10000000,"")</f>
        <v/>
      </c>
      <c r="S736">
        <f>IF(R736="","",IF(D736="","Other work",D736)&amp;IF(AND(K736&lt;&gt;"",E736&lt;&gt;""),", "&amp;E736,""))</f>
        <v/>
      </c>
      <c r="T736">
        <f>IF(R736="","",IF(COUNTIFS(R$6:R735,"&gt;0",S$6:S735,S736,N$6:N735,N736)=0,R736,""))</f>
        <v/>
      </c>
      <c r="U736">
        <f>IF(B736="","",IF(J736&lt;&gt;"",0,M736))</f>
        <v/>
      </c>
    </row>
    <row r="737">
      <c r="A737" s="1" t="n"/>
      <c r="B737" s="16" t="n"/>
      <c r="C737" s="17" t="n"/>
      <c r="D737" s="18" t="n"/>
      <c r="E737" s="18" t="n"/>
      <c r="F737" s="19" t="n"/>
      <c r="G737" s="19" t="n"/>
      <c r="H737" s="20" t="n"/>
      <c r="I737" s="21" t="n"/>
      <c r="J737" s="22" t="n"/>
      <c r="K737" s="23" t="n"/>
      <c r="L737" s="18" t="n"/>
      <c r="M737" s="24">
        <f>IF(B737="","",IF(AND(F737&lt;&gt;"",G737&lt;&gt;""),MAX(0,ROUND(MOD(G737-F737,1)*24-N(H737)/60,2)),N(I737)))</f>
        <v/>
      </c>
      <c r="N737" s="14">
        <f>IF(B737="","",IF(K737&lt;&gt;"",K737,IF(N(IFERROR(INDEX(Projects!$D$6:$D$65,MATCH(D737,Projects!$B$6:$B$65,0)),""))&gt;0,IFERROR(INDEX(Projects!$D$6:$D$65,MATCH(D737,Projects!$B$6:$B$65,0)),""),IFERROR(INDEX(Clients!$G$6:$G$45,MATCH(C737,Clients!$B$6:$B$45,0)),0))))</f>
        <v/>
      </c>
      <c r="O737" s="14">
        <f>IF(B737="","",IF(J737&lt;&gt;"",0,ROUND(M737*N737,2)))</f>
        <v/>
      </c>
      <c r="P737" s="15">
        <f>IF(OR(B737="",J737&lt;&gt;""),"",IF(L737&lt;&gt;"",L737,IF(COUNTIFS(Invoices!$C$6:$C$305,C737,Invoices!$E$6:$E$305,"&lt;="&amp;B737,Invoices!$F$6:$F$305,"&gt;="&amp;B737)=1,INDEX(Invoices!$B$6:$B$305,SUMIFS(Invoices!$O$6:$O$305,Invoices!$C$6:$C$305,C737,Invoices!$E$6:$E$305,"&lt;="&amp;B737,Invoices!$F$6:$F$305,"&gt;="&amp;B737)),IF(COUNTIFS(Invoices!$C$6:$C$305,C737,Invoices!$E$6:$E$305,"&lt;="&amp;B737,Invoices!$F$6:$F$305,"&gt;="&amp;B737)&gt;1,"Two invoices",""))))</f>
        <v/>
      </c>
      <c r="Q737" s="15">
        <f>IF(B737="","",IF(J737&lt;&gt;"","Not billable",IF(P737="","To invoice",IF(P737="Two invoices","Check dates",IF(ISNA(MATCH(P737,Invoices!$B$6:$B$305,0)),"Check number",IF(INDEX(Invoices!$M$6:$M$305,MATCH(P737,Invoices!$B$6:$B$305,0))="Paid","Paid",IF(INDEX(Invoices!$M$6:$M$305,MATCH(P737,Invoices!$B$6:$B$305,0))="Draft","Draft","Invoiced")))))))</f>
        <v/>
      </c>
      <c r="R737" s="1">
        <f>IF(AND(B737&lt;&gt;"",P737&lt;&gt;"",P737=Invoice!$G$4),B737+MOD(N(F737),1)+ROW()/10000000,"")</f>
        <v/>
      </c>
      <c r="S737">
        <f>IF(R737="","",IF(D737="","Other work",D737)&amp;IF(AND(K737&lt;&gt;"",E737&lt;&gt;""),", "&amp;E737,""))</f>
        <v/>
      </c>
      <c r="T737">
        <f>IF(R737="","",IF(COUNTIFS(R$6:R736,"&gt;0",S$6:S736,S737,N$6:N736,N737)=0,R737,""))</f>
        <v/>
      </c>
      <c r="U737">
        <f>IF(B737="","",IF(J737&lt;&gt;"",0,M737))</f>
        <v/>
      </c>
    </row>
    <row r="738">
      <c r="A738" s="1" t="n"/>
      <c r="B738" s="16" t="n"/>
      <c r="C738" s="17" t="n"/>
      <c r="D738" s="18" t="n"/>
      <c r="E738" s="18" t="n"/>
      <c r="F738" s="19" t="n"/>
      <c r="G738" s="19" t="n"/>
      <c r="H738" s="20" t="n"/>
      <c r="I738" s="21" t="n"/>
      <c r="J738" s="22" t="n"/>
      <c r="K738" s="23" t="n"/>
      <c r="L738" s="18" t="n"/>
      <c r="M738" s="24">
        <f>IF(B738="","",IF(AND(F738&lt;&gt;"",G738&lt;&gt;""),MAX(0,ROUND(MOD(G738-F738,1)*24-N(H738)/60,2)),N(I738)))</f>
        <v/>
      </c>
      <c r="N738" s="14">
        <f>IF(B738="","",IF(K738&lt;&gt;"",K738,IF(N(IFERROR(INDEX(Projects!$D$6:$D$65,MATCH(D738,Projects!$B$6:$B$65,0)),""))&gt;0,IFERROR(INDEX(Projects!$D$6:$D$65,MATCH(D738,Projects!$B$6:$B$65,0)),""),IFERROR(INDEX(Clients!$G$6:$G$45,MATCH(C738,Clients!$B$6:$B$45,0)),0))))</f>
        <v/>
      </c>
      <c r="O738" s="14">
        <f>IF(B738="","",IF(J738&lt;&gt;"",0,ROUND(M738*N738,2)))</f>
        <v/>
      </c>
      <c r="P738" s="15">
        <f>IF(OR(B738="",J738&lt;&gt;""),"",IF(L738&lt;&gt;"",L738,IF(COUNTIFS(Invoices!$C$6:$C$305,C738,Invoices!$E$6:$E$305,"&lt;="&amp;B738,Invoices!$F$6:$F$305,"&gt;="&amp;B738)=1,INDEX(Invoices!$B$6:$B$305,SUMIFS(Invoices!$O$6:$O$305,Invoices!$C$6:$C$305,C738,Invoices!$E$6:$E$305,"&lt;="&amp;B738,Invoices!$F$6:$F$305,"&gt;="&amp;B738)),IF(COUNTIFS(Invoices!$C$6:$C$305,C738,Invoices!$E$6:$E$305,"&lt;="&amp;B738,Invoices!$F$6:$F$305,"&gt;="&amp;B738)&gt;1,"Two invoices",""))))</f>
        <v/>
      </c>
      <c r="Q738" s="15">
        <f>IF(B738="","",IF(J738&lt;&gt;"","Not billable",IF(P738="","To invoice",IF(P738="Two invoices","Check dates",IF(ISNA(MATCH(P738,Invoices!$B$6:$B$305,0)),"Check number",IF(INDEX(Invoices!$M$6:$M$305,MATCH(P738,Invoices!$B$6:$B$305,0))="Paid","Paid",IF(INDEX(Invoices!$M$6:$M$305,MATCH(P738,Invoices!$B$6:$B$305,0))="Draft","Draft","Invoiced")))))))</f>
        <v/>
      </c>
      <c r="R738" s="1">
        <f>IF(AND(B738&lt;&gt;"",P738&lt;&gt;"",P738=Invoice!$G$4),B738+MOD(N(F738),1)+ROW()/10000000,"")</f>
        <v/>
      </c>
      <c r="S738">
        <f>IF(R738="","",IF(D738="","Other work",D738)&amp;IF(AND(K738&lt;&gt;"",E738&lt;&gt;""),", "&amp;E738,""))</f>
        <v/>
      </c>
      <c r="T738">
        <f>IF(R738="","",IF(COUNTIFS(R$6:R737,"&gt;0",S$6:S737,S738,N$6:N737,N738)=0,R738,""))</f>
        <v/>
      </c>
      <c r="U738">
        <f>IF(B738="","",IF(J738&lt;&gt;"",0,M738))</f>
        <v/>
      </c>
    </row>
    <row r="739">
      <c r="A739" s="1" t="n"/>
      <c r="B739" s="16" t="n"/>
      <c r="C739" s="17" t="n"/>
      <c r="D739" s="18" t="n"/>
      <c r="E739" s="18" t="n"/>
      <c r="F739" s="19" t="n"/>
      <c r="G739" s="19" t="n"/>
      <c r="H739" s="20" t="n"/>
      <c r="I739" s="21" t="n"/>
      <c r="J739" s="22" t="n"/>
      <c r="K739" s="23" t="n"/>
      <c r="L739" s="18" t="n"/>
      <c r="M739" s="24">
        <f>IF(B739="","",IF(AND(F739&lt;&gt;"",G739&lt;&gt;""),MAX(0,ROUND(MOD(G739-F739,1)*24-N(H739)/60,2)),N(I739)))</f>
        <v/>
      </c>
      <c r="N739" s="14">
        <f>IF(B739="","",IF(K739&lt;&gt;"",K739,IF(N(IFERROR(INDEX(Projects!$D$6:$D$65,MATCH(D739,Projects!$B$6:$B$65,0)),""))&gt;0,IFERROR(INDEX(Projects!$D$6:$D$65,MATCH(D739,Projects!$B$6:$B$65,0)),""),IFERROR(INDEX(Clients!$G$6:$G$45,MATCH(C739,Clients!$B$6:$B$45,0)),0))))</f>
        <v/>
      </c>
      <c r="O739" s="14">
        <f>IF(B739="","",IF(J739&lt;&gt;"",0,ROUND(M739*N739,2)))</f>
        <v/>
      </c>
      <c r="P739" s="15">
        <f>IF(OR(B739="",J739&lt;&gt;""),"",IF(L739&lt;&gt;"",L739,IF(COUNTIFS(Invoices!$C$6:$C$305,C739,Invoices!$E$6:$E$305,"&lt;="&amp;B739,Invoices!$F$6:$F$305,"&gt;="&amp;B739)=1,INDEX(Invoices!$B$6:$B$305,SUMIFS(Invoices!$O$6:$O$305,Invoices!$C$6:$C$305,C739,Invoices!$E$6:$E$305,"&lt;="&amp;B739,Invoices!$F$6:$F$305,"&gt;="&amp;B739)),IF(COUNTIFS(Invoices!$C$6:$C$305,C739,Invoices!$E$6:$E$305,"&lt;="&amp;B739,Invoices!$F$6:$F$305,"&gt;="&amp;B739)&gt;1,"Two invoices",""))))</f>
        <v/>
      </c>
      <c r="Q739" s="15">
        <f>IF(B739="","",IF(J739&lt;&gt;"","Not billable",IF(P739="","To invoice",IF(P739="Two invoices","Check dates",IF(ISNA(MATCH(P739,Invoices!$B$6:$B$305,0)),"Check number",IF(INDEX(Invoices!$M$6:$M$305,MATCH(P739,Invoices!$B$6:$B$305,0))="Paid","Paid",IF(INDEX(Invoices!$M$6:$M$305,MATCH(P739,Invoices!$B$6:$B$305,0))="Draft","Draft","Invoiced")))))))</f>
        <v/>
      </c>
      <c r="R739" s="1">
        <f>IF(AND(B739&lt;&gt;"",P739&lt;&gt;"",P739=Invoice!$G$4),B739+MOD(N(F739),1)+ROW()/10000000,"")</f>
        <v/>
      </c>
      <c r="S739">
        <f>IF(R739="","",IF(D739="","Other work",D739)&amp;IF(AND(K739&lt;&gt;"",E739&lt;&gt;""),", "&amp;E739,""))</f>
        <v/>
      </c>
      <c r="T739">
        <f>IF(R739="","",IF(COUNTIFS(R$6:R738,"&gt;0",S$6:S738,S739,N$6:N738,N739)=0,R739,""))</f>
        <v/>
      </c>
      <c r="U739">
        <f>IF(B739="","",IF(J739&lt;&gt;"",0,M739))</f>
        <v/>
      </c>
    </row>
    <row r="740">
      <c r="A740" s="1" t="n"/>
      <c r="B740" s="16" t="n"/>
      <c r="C740" s="17" t="n"/>
      <c r="D740" s="18" t="n"/>
      <c r="E740" s="18" t="n"/>
      <c r="F740" s="19" t="n"/>
      <c r="G740" s="19" t="n"/>
      <c r="H740" s="20" t="n"/>
      <c r="I740" s="21" t="n"/>
      <c r="J740" s="22" t="n"/>
      <c r="K740" s="23" t="n"/>
      <c r="L740" s="18" t="n"/>
      <c r="M740" s="24">
        <f>IF(B740="","",IF(AND(F740&lt;&gt;"",G740&lt;&gt;""),MAX(0,ROUND(MOD(G740-F740,1)*24-N(H740)/60,2)),N(I740)))</f>
        <v/>
      </c>
      <c r="N740" s="14">
        <f>IF(B740="","",IF(K740&lt;&gt;"",K740,IF(N(IFERROR(INDEX(Projects!$D$6:$D$65,MATCH(D740,Projects!$B$6:$B$65,0)),""))&gt;0,IFERROR(INDEX(Projects!$D$6:$D$65,MATCH(D740,Projects!$B$6:$B$65,0)),""),IFERROR(INDEX(Clients!$G$6:$G$45,MATCH(C740,Clients!$B$6:$B$45,0)),0))))</f>
        <v/>
      </c>
      <c r="O740" s="14">
        <f>IF(B740="","",IF(J740&lt;&gt;"",0,ROUND(M740*N740,2)))</f>
        <v/>
      </c>
      <c r="P740" s="15">
        <f>IF(OR(B740="",J740&lt;&gt;""),"",IF(L740&lt;&gt;"",L740,IF(COUNTIFS(Invoices!$C$6:$C$305,C740,Invoices!$E$6:$E$305,"&lt;="&amp;B740,Invoices!$F$6:$F$305,"&gt;="&amp;B740)=1,INDEX(Invoices!$B$6:$B$305,SUMIFS(Invoices!$O$6:$O$305,Invoices!$C$6:$C$305,C740,Invoices!$E$6:$E$305,"&lt;="&amp;B740,Invoices!$F$6:$F$305,"&gt;="&amp;B740)),IF(COUNTIFS(Invoices!$C$6:$C$305,C740,Invoices!$E$6:$E$305,"&lt;="&amp;B740,Invoices!$F$6:$F$305,"&gt;="&amp;B740)&gt;1,"Two invoices",""))))</f>
        <v/>
      </c>
      <c r="Q740" s="15">
        <f>IF(B740="","",IF(J740&lt;&gt;"","Not billable",IF(P740="","To invoice",IF(P740="Two invoices","Check dates",IF(ISNA(MATCH(P740,Invoices!$B$6:$B$305,0)),"Check number",IF(INDEX(Invoices!$M$6:$M$305,MATCH(P740,Invoices!$B$6:$B$305,0))="Paid","Paid",IF(INDEX(Invoices!$M$6:$M$305,MATCH(P740,Invoices!$B$6:$B$305,0))="Draft","Draft","Invoiced")))))))</f>
        <v/>
      </c>
      <c r="R740" s="1">
        <f>IF(AND(B740&lt;&gt;"",P740&lt;&gt;"",P740=Invoice!$G$4),B740+MOD(N(F740),1)+ROW()/10000000,"")</f>
        <v/>
      </c>
      <c r="S740">
        <f>IF(R740="","",IF(D740="","Other work",D740)&amp;IF(AND(K740&lt;&gt;"",E740&lt;&gt;""),", "&amp;E740,""))</f>
        <v/>
      </c>
      <c r="T740">
        <f>IF(R740="","",IF(COUNTIFS(R$6:R739,"&gt;0",S$6:S739,S740,N$6:N739,N740)=0,R740,""))</f>
        <v/>
      </c>
      <c r="U740">
        <f>IF(B740="","",IF(J740&lt;&gt;"",0,M740))</f>
        <v/>
      </c>
    </row>
    <row r="741">
      <c r="A741" s="1" t="n"/>
      <c r="B741" s="16" t="n"/>
      <c r="C741" s="17" t="n"/>
      <c r="D741" s="18" t="n"/>
      <c r="E741" s="18" t="n"/>
      <c r="F741" s="19" t="n"/>
      <c r="G741" s="19" t="n"/>
      <c r="H741" s="20" t="n"/>
      <c r="I741" s="21" t="n"/>
      <c r="J741" s="22" t="n"/>
      <c r="K741" s="23" t="n"/>
      <c r="L741" s="18" t="n"/>
      <c r="M741" s="24">
        <f>IF(B741="","",IF(AND(F741&lt;&gt;"",G741&lt;&gt;""),MAX(0,ROUND(MOD(G741-F741,1)*24-N(H741)/60,2)),N(I741)))</f>
        <v/>
      </c>
      <c r="N741" s="14">
        <f>IF(B741="","",IF(K741&lt;&gt;"",K741,IF(N(IFERROR(INDEX(Projects!$D$6:$D$65,MATCH(D741,Projects!$B$6:$B$65,0)),""))&gt;0,IFERROR(INDEX(Projects!$D$6:$D$65,MATCH(D741,Projects!$B$6:$B$65,0)),""),IFERROR(INDEX(Clients!$G$6:$G$45,MATCH(C741,Clients!$B$6:$B$45,0)),0))))</f>
        <v/>
      </c>
      <c r="O741" s="14">
        <f>IF(B741="","",IF(J741&lt;&gt;"",0,ROUND(M741*N741,2)))</f>
        <v/>
      </c>
      <c r="P741" s="15">
        <f>IF(OR(B741="",J741&lt;&gt;""),"",IF(L741&lt;&gt;"",L741,IF(COUNTIFS(Invoices!$C$6:$C$305,C741,Invoices!$E$6:$E$305,"&lt;="&amp;B741,Invoices!$F$6:$F$305,"&gt;="&amp;B741)=1,INDEX(Invoices!$B$6:$B$305,SUMIFS(Invoices!$O$6:$O$305,Invoices!$C$6:$C$305,C741,Invoices!$E$6:$E$305,"&lt;="&amp;B741,Invoices!$F$6:$F$305,"&gt;="&amp;B741)),IF(COUNTIFS(Invoices!$C$6:$C$305,C741,Invoices!$E$6:$E$305,"&lt;="&amp;B741,Invoices!$F$6:$F$305,"&gt;="&amp;B741)&gt;1,"Two invoices",""))))</f>
        <v/>
      </c>
      <c r="Q741" s="15">
        <f>IF(B741="","",IF(J741&lt;&gt;"","Not billable",IF(P741="","To invoice",IF(P741="Two invoices","Check dates",IF(ISNA(MATCH(P741,Invoices!$B$6:$B$305,0)),"Check number",IF(INDEX(Invoices!$M$6:$M$305,MATCH(P741,Invoices!$B$6:$B$305,0))="Paid","Paid",IF(INDEX(Invoices!$M$6:$M$305,MATCH(P741,Invoices!$B$6:$B$305,0))="Draft","Draft","Invoiced")))))))</f>
        <v/>
      </c>
      <c r="R741" s="1">
        <f>IF(AND(B741&lt;&gt;"",P741&lt;&gt;"",P741=Invoice!$G$4),B741+MOD(N(F741),1)+ROW()/10000000,"")</f>
        <v/>
      </c>
      <c r="S741">
        <f>IF(R741="","",IF(D741="","Other work",D741)&amp;IF(AND(K741&lt;&gt;"",E741&lt;&gt;""),", "&amp;E741,""))</f>
        <v/>
      </c>
      <c r="T741">
        <f>IF(R741="","",IF(COUNTIFS(R$6:R740,"&gt;0",S$6:S740,S741,N$6:N740,N741)=0,R741,""))</f>
        <v/>
      </c>
      <c r="U741">
        <f>IF(B741="","",IF(J741&lt;&gt;"",0,M741))</f>
        <v/>
      </c>
    </row>
    <row r="742">
      <c r="A742" s="1" t="n"/>
      <c r="B742" s="16" t="n"/>
      <c r="C742" s="17" t="n"/>
      <c r="D742" s="18" t="n"/>
      <c r="E742" s="18" t="n"/>
      <c r="F742" s="19" t="n"/>
      <c r="G742" s="19" t="n"/>
      <c r="H742" s="20" t="n"/>
      <c r="I742" s="21" t="n"/>
      <c r="J742" s="22" t="n"/>
      <c r="K742" s="23" t="n"/>
      <c r="L742" s="18" t="n"/>
      <c r="M742" s="24">
        <f>IF(B742="","",IF(AND(F742&lt;&gt;"",G742&lt;&gt;""),MAX(0,ROUND(MOD(G742-F742,1)*24-N(H742)/60,2)),N(I742)))</f>
        <v/>
      </c>
      <c r="N742" s="14">
        <f>IF(B742="","",IF(K742&lt;&gt;"",K742,IF(N(IFERROR(INDEX(Projects!$D$6:$D$65,MATCH(D742,Projects!$B$6:$B$65,0)),""))&gt;0,IFERROR(INDEX(Projects!$D$6:$D$65,MATCH(D742,Projects!$B$6:$B$65,0)),""),IFERROR(INDEX(Clients!$G$6:$G$45,MATCH(C742,Clients!$B$6:$B$45,0)),0))))</f>
        <v/>
      </c>
      <c r="O742" s="14">
        <f>IF(B742="","",IF(J742&lt;&gt;"",0,ROUND(M742*N742,2)))</f>
        <v/>
      </c>
      <c r="P742" s="15">
        <f>IF(OR(B742="",J742&lt;&gt;""),"",IF(L742&lt;&gt;"",L742,IF(COUNTIFS(Invoices!$C$6:$C$305,C742,Invoices!$E$6:$E$305,"&lt;="&amp;B742,Invoices!$F$6:$F$305,"&gt;="&amp;B742)=1,INDEX(Invoices!$B$6:$B$305,SUMIFS(Invoices!$O$6:$O$305,Invoices!$C$6:$C$305,C742,Invoices!$E$6:$E$305,"&lt;="&amp;B742,Invoices!$F$6:$F$305,"&gt;="&amp;B742)),IF(COUNTIFS(Invoices!$C$6:$C$305,C742,Invoices!$E$6:$E$305,"&lt;="&amp;B742,Invoices!$F$6:$F$305,"&gt;="&amp;B742)&gt;1,"Two invoices",""))))</f>
        <v/>
      </c>
      <c r="Q742" s="15">
        <f>IF(B742="","",IF(J742&lt;&gt;"","Not billable",IF(P742="","To invoice",IF(P742="Two invoices","Check dates",IF(ISNA(MATCH(P742,Invoices!$B$6:$B$305,0)),"Check number",IF(INDEX(Invoices!$M$6:$M$305,MATCH(P742,Invoices!$B$6:$B$305,0))="Paid","Paid",IF(INDEX(Invoices!$M$6:$M$305,MATCH(P742,Invoices!$B$6:$B$305,0))="Draft","Draft","Invoiced")))))))</f>
        <v/>
      </c>
      <c r="R742" s="1">
        <f>IF(AND(B742&lt;&gt;"",P742&lt;&gt;"",P742=Invoice!$G$4),B742+MOD(N(F742),1)+ROW()/10000000,"")</f>
        <v/>
      </c>
      <c r="S742">
        <f>IF(R742="","",IF(D742="","Other work",D742)&amp;IF(AND(K742&lt;&gt;"",E742&lt;&gt;""),", "&amp;E742,""))</f>
        <v/>
      </c>
      <c r="T742">
        <f>IF(R742="","",IF(COUNTIFS(R$6:R741,"&gt;0",S$6:S741,S742,N$6:N741,N742)=0,R742,""))</f>
        <v/>
      </c>
      <c r="U742">
        <f>IF(B742="","",IF(J742&lt;&gt;"",0,M742))</f>
        <v/>
      </c>
    </row>
    <row r="743">
      <c r="A743" s="1" t="n"/>
      <c r="B743" s="16" t="n"/>
      <c r="C743" s="17" t="n"/>
      <c r="D743" s="18" t="n"/>
      <c r="E743" s="18" t="n"/>
      <c r="F743" s="19" t="n"/>
      <c r="G743" s="19" t="n"/>
      <c r="H743" s="20" t="n"/>
      <c r="I743" s="21" t="n"/>
      <c r="J743" s="22" t="n"/>
      <c r="K743" s="23" t="n"/>
      <c r="L743" s="18" t="n"/>
      <c r="M743" s="24">
        <f>IF(B743="","",IF(AND(F743&lt;&gt;"",G743&lt;&gt;""),MAX(0,ROUND(MOD(G743-F743,1)*24-N(H743)/60,2)),N(I743)))</f>
        <v/>
      </c>
      <c r="N743" s="14">
        <f>IF(B743="","",IF(K743&lt;&gt;"",K743,IF(N(IFERROR(INDEX(Projects!$D$6:$D$65,MATCH(D743,Projects!$B$6:$B$65,0)),""))&gt;0,IFERROR(INDEX(Projects!$D$6:$D$65,MATCH(D743,Projects!$B$6:$B$65,0)),""),IFERROR(INDEX(Clients!$G$6:$G$45,MATCH(C743,Clients!$B$6:$B$45,0)),0))))</f>
        <v/>
      </c>
      <c r="O743" s="14">
        <f>IF(B743="","",IF(J743&lt;&gt;"",0,ROUND(M743*N743,2)))</f>
        <v/>
      </c>
      <c r="P743" s="15">
        <f>IF(OR(B743="",J743&lt;&gt;""),"",IF(L743&lt;&gt;"",L743,IF(COUNTIFS(Invoices!$C$6:$C$305,C743,Invoices!$E$6:$E$305,"&lt;="&amp;B743,Invoices!$F$6:$F$305,"&gt;="&amp;B743)=1,INDEX(Invoices!$B$6:$B$305,SUMIFS(Invoices!$O$6:$O$305,Invoices!$C$6:$C$305,C743,Invoices!$E$6:$E$305,"&lt;="&amp;B743,Invoices!$F$6:$F$305,"&gt;="&amp;B743)),IF(COUNTIFS(Invoices!$C$6:$C$305,C743,Invoices!$E$6:$E$305,"&lt;="&amp;B743,Invoices!$F$6:$F$305,"&gt;="&amp;B743)&gt;1,"Two invoices",""))))</f>
        <v/>
      </c>
      <c r="Q743" s="15">
        <f>IF(B743="","",IF(J743&lt;&gt;"","Not billable",IF(P743="","To invoice",IF(P743="Two invoices","Check dates",IF(ISNA(MATCH(P743,Invoices!$B$6:$B$305,0)),"Check number",IF(INDEX(Invoices!$M$6:$M$305,MATCH(P743,Invoices!$B$6:$B$305,0))="Paid","Paid",IF(INDEX(Invoices!$M$6:$M$305,MATCH(P743,Invoices!$B$6:$B$305,0))="Draft","Draft","Invoiced")))))))</f>
        <v/>
      </c>
      <c r="R743" s="1">
        <f>IF(AND(B743&lt;&gt;"",P743&lt;&gt;"",P743=Invoice!$G$4),B743+MOD(N(F743),1)+ROW()/10000000,"")</f>
        <v/>
      </c>
      <c r="S743">
        <f>IF(R743="","",IF(D743="","Other work",D743)&amp;IF(AND(K743&lt;&gt;"",E743&lt;&gt;""),", "&amp;E743,""))</f>
        <v/>
      </c>
      <c r="T743">
        <f>IF(R743="","",IF(COUNTIFS(R$6:R742,"&gt;0",S$6:S742,S743,N$6:N742,N743)=0,R743,""))</f>
        <v/>
      </c>
      <c r="U743">
        <f>IF(B743="","",IF(J743&lt;&gt;"",0,M743))</f>
        <v/>
      </c>
    </row>
    <row r="744">
      <c r="A744" s="1" t="n"/>
      <c r="B744" s="16" t="n"/>
      <c r="C744" s="17" t="n"/>
      <c r="D744" s="18" t="n"/>
      <c r="E744" s="18" t="n"/>
      <c r="F744" s="19" t="n"/>
      <c r="G744" s="19" t="n"/>
      <c r="H744" s="20" t="n"/>
      <c r="I744" s="21" t="n"/>
      <c r="J744" s="22" t="n"/>
      <c r="K744" s="23" t="n"/>
      <c r="L744" s="18" t="n"/>
      <c r="M744" s="24">
        <f>IF(B744="","",IF(AND(F744&lt;&gt;"",G744&lt;&gt;""),MAX(0,ROUND(MOD(G744-F744,1)*24-N(H744)/60,2)),N(I744)))</f>
        <v/>
      </c>
      <c r="N744" s="14">
        <f>IF(B744="","",IF(K744&lt;&gt;"",K744,IF(N(IFERROR(INDEX(Projects!$D$6:$D$65,MATCH(D744,Projects!$B$6:$B$65,0)),""))&gt;0,IFERROR(INDEX(Projects!$D$6:$D$65,MATCH(D744,Projects!$B$6:$B$65,0)),""),IFERROR(INDEX(Clients!$G$6:$G$45,MATCH(C744,Clients!$B$6:$B$45,0)),0))))</f>
        <v/>
      </c>
      <c r="O744" s="14">
        <f>IF(B744="","",IF(J744&lt;&gt;"",0,ROUND(M744*N744,2)))</f>
        <v/>
      </c>
      <c r="P744" s="15">
        <f>IF(OR(B744="",J744&lt;&gt;""),"",IF(L744&lt;&gt;"",L744,IF(COUNTIFS(Invoices!$C$6:$C$305,C744,Invoices!$E$6:$E$305,"&lt;="&amp;B744,Invoices!$F$6:$F$305,"&gt;="&amp;B744)=1,INDEX(Invoices!$B$6:$B$305,SUMIFS(Invoices!$O$6:$O$305,Invoices!$C$6:$C$305,C744,Invoices!$E$6:$E$305,"&lt;="&amp;B744,Invoices!$F$6:$F$305,"&gt;="&amp;B744)),IF(COUNTIFS(Invoices!$C$6:$C$305,C744,Invoices!$E$6:$E$305,"&lt;="&amp;B744,Invoices!$F$6:$F$305,"&gt;="&amp;B744)&gt;1,"Two invoices",""))))</f>
        <v/>
      </c>
      <c r="Q744" s="15">
        <f>IF(B744="","",IF(J744&lt;&gt;"","Not billable",IF(P744="","To invoice",IF(P744="Two invoices","Check dates",IF(ISNA(MATCH(P744,Invoices!$B$6:$B$305,0)),"Check number",IF(INDEX(Invoices!$M$6:$M$305,MATCH(P744,Invoices!$B$6:$B$305,0))="Paid","Paid",IF(INDEX(Invoices!$M$6:$M$305,MATCH(P744,Invoices!$B$6:$B$305,0))="Draft","Draft","Invoiced")))))))</f>
        <v/>
      </c>
      <c r="R744" s="1">
        <f>IF(AND(B744&lt;&gt;"",P744&lt;&gt;"",P744=Invoice!$G$4),B744+MOD(N(F744),1)+ROW()/10000000,"")</f>
        <v/>
      </c>
      <c r="S744">
        <f>IF(R744="","",IF(D744="","Other work",D744)&amp;IF(AND(K744&lt;&gt;"",E744&lt;&gt;""),", "&amp;E744,""))</f>
        <v/>
      </c>
      <c r="T744">
        <f>IF(R744="","",IF(COUNTIFS(R$6:R743,"&gt;0",S$6:S743,S744,N$6:N743,N744)=0,R744,""))</f>
        <v/>
      </c>
      <c r="U744">
        <f>IF(B744="","",IF(J744&lt;&gt;"",0,M744))</f>
        <v/>
      </c>
    </row>
    <row r="745">
      <c r="A745" s="1" t="n"/>
      <c r="B745" s="16" t="n"/>
      <c r="C745" s="17" t="n"/>
      <c r="D745" s="18" t="n"/>
      <c r="E745" s="18" t="n"/>
      <c r="F745" s="19" t="n"/>
      <c r="G745" s="19" t="n"/>
      <c r="H745" s="20" t="n"/>
      <c r="I745" s="21" t="n"/>
      <c r="J745" s="22" t="n"/>
      <c r="K745" s="23" t="n"/>
      <c r="L745" s="18" t="n"/>
      <c r="M745" s="24">
        <f>IF(B745="","",IF(AND(F745&lt;&gt;"",G745&lt;&gt;""),MAX(0,ROUND(MOD(G745-F745,1)*24-N(H745)/60,2)),N(I745)))</f>
        <v/>
      </c>
      <c r="N745" s="14">
        <f>IF(B745="","",IF(K745&lt;&gt;"",K745,IF(N(IFERROR(INDEX(Projects!$D$6:$D$65,MATCH(D745,Projects!$B$6:$B$65,0)),""))&gt;0,IFERROR(INDEX(Projects!$D$6:$D$65,MATCH(D745,Projects!$B$6:$B$65,0)),""),IFERROR(INDEX(Clients!$G$6:$G$45,MATCH(C745,Clients!$B$6:$B$45,0)),0))))</f>
        <v/>
      </c>
      <c r="O745" s="14">
        <f>IF(B745="","",IF(J745&lt;&gt;"",0,ROUND(M745*N745,2)))</f>
        <v/>
      </c>
      <c r="P745" s="15">
        <f>IF(OR(B745="",J745&lt;&gt;""),"",IF(L745&lt;&gt;"",L745,IF(COUNTIFS(Invoices!$C$6:$C$305,C745,Invoices!$E$6:$E$305,"&lt;="&amp;B745,Invoices!$F$6:$F$305,"&gt;="&amp;B745)=1,INDEX(Invoices!$B$6:$B$305,SUMIFS(Invoices!$O$6:$O$305,Invoices!$C$6:$C$305,C745,Invoices!$E$6:$E$305,"&lt;="&amp;B745,Invoices!$F$6:$F$305,"&gt;="&amp;B745)),IF(COUNTIFS(Invoices!$C$6:$C$305,C745,Invoices!$E$6:$E$305,"&lt;="&amp;B745,Invoices!$F$6:$F$305,"&gt;="&amp;B745)&gt;1,"Two invoices",""))))</f>
        <v/>
      </c>
      <c r="Q745" s="15">
        <f>IF(B745="","",IF(J745&lt;&gt;"","Not billable",IF(P745="","To invoice",IF(P745="Two invoices","Check dates",IF(ISNA(MATCH(P745,Invoices!$B$6:$B$305,0)),"Check number",IF(INDEX(Invoices!$M$6:$M$305,MATCH(P745,Invoices!$B$6:$B$305,0))="Paid","Paid",IF(INDEX(Invoices!$M$6:$M$305,MATCH(P745,Invoices!$B$6:$B$305,0))="Draft","Draft","Invoiced")))))))</f>
        <v/>
      </c>
      <c r="R745" s="1">
        <f>IF(AND(B745&lt;&gt;"",P745&lt;&gt;"",P745=Invoice!$G$4),B745+MOD(N(F745),1)+ROW()/10000000,"")</f>
        <v/>
      </c>
      <c r="S745">
        <f>IF(R745="","",IF(D745="","Other work",D745)&amp;IF(AND(K745&lt;&gt;"",E745&lt;&gt;""),", "&amp;E745,""))</f>
        <v/>
      </c>
      <c r="T745">
        <f>IF(R745="","",IF(COUNTIFS(R$6:R744,"&gt;0",S$6:S744,S745,N$6:N744,N745)=0,R745,""))</f>
        <v/>
      </c>
      <c r="U745">
        <f>IF(B745="","",IF(J745&lt;&gt;"",0,M745))</f>
        <v/>
      </c>
    </row>
    <row r="746">
      <c r="A746" s="1" t="n"/>
      <c r="B746" s="16" t="n"/>
      <c r="C746" s="17" t="n"/>
      <c r="D746" s="18" t="n"/>
      <c r="E746" s="18" t="n"/>
      <c r="F746" s="19" t="n"/>
      <c r="G746" s="19" t="n"/>
      <c r="H746" s="20" t="n"/>
      <c r="I746" s="21" t="n"/>
      <c r="J746" s="22" t="n"/>
      <c r="K746" s="23" t="n"/>
      <c r="L746" s="18" t="n"/>
      <c r="M746" s="24">
        <f>IF(B746="","",IF(AND(F746&lt;&gt;"",G746&lt;&gt;""),MAX(0,ROUND(MOD(G746-F746,1)*24-N(H746)/60,2)),N(I746)))</f>
        <v/>
      </c>
      <c r="N746" s="14">
        <f>IF(B746="","",IF(K746&lt;&gt;"",K746,IF(N(IFERROR(INDEX(Projects!$D$6:$D$65,MATCH(D746,Projects!$B$6:$B$65,0)),""))&gt;0,IFERROR(INDEX(Projects!$D$6:$D$65,MATCH(D746,Projects!$B$6:$B$65,0)),""),IFERROR(INDEX(Clients!$G$6:$G$45,MATCH(C746,Clients!$B$6:$B$45,0)),0))))</f>
        <v/>
      </c>
      <c r="O746" s="14">
        <f>IF(B746="","",IF(J746&lt;&gt;"",0,ROUND(M746*N746,2)))</f>
        <v/>
      </c>
      <c r="P746" s="15">
        <f>IF(OR(B746="",J746&lt;&gt;""),"",IF(L746&lt;&gt;"",L746,IF(COUNTIFS(Invoices!$C$6:$C$305,C746,Invoices!$E$6:$E$305,"&lt;="&amp;B746,Invoices!$F$6:$F$305,"&gt;="&amp;B746)=1,INDEX(Invoices!$B$6:$B$305,SUMIFS(Invoices!$O$6:$O$305,Invoices!$C$6:$C$305,C746,Invoices!$E$6:$E$305,"&lt;="&amp;B746,Invoices!$F$6:$F$305,"&gt;="&amp;B746)),IF(COUNTIFS(Invoices!$C$6:$C$305,C746,Invoices!$E$6:$E$305,"&lt;="&amp;B746,Invoices!$F$6:$F$305,"&gt;="&amp;B746)&gt;1,"Two invoices",""))))</f>
        <v/>
      </c>
      <c r="Q746" s="15">
        <f>IF(B746="","",IF(J746&lt;&gt;"","Not billable",IF(P746="","To invoice",IF(P746="Two invoices","Check dates",IF(ISNA(MATCH(P746,Invoices!$B$6:$B$305,0)),"Check number",IF(INDEX(Invoices!$M$6:$M$305,MATCH(P746,Invoices!$B$6:$B$305,0))="Paid","Paid",IF(INDEX(Invoices!$M$6:$M$305,MATCH(P746,Invoices!$B$6:$B$305,0))="Draft","Draft","Invoiced")))))))</f>
        <v/>
      </c>
      <c r="R746" s="1">
        <f>IF(AND(B746&lt;&gt;"",P746&lt;&gt;"",P746=Invoice!$G$4),B746+MOD(N(F746),1)+ROW()/10000000,"")</f>
        <v/>
      </c>
      <c r="S746">
        <f>IF(R746="","",IF(D746="","Other work",D746)&amp;IF(AND(K746&lt;&gt;"",E746&lt;&gt;""),", "&amp;E746,""))</f>
        <v/>
      </c>
      <c r="T746">
        <f>IF(R746="","",IF(COUNTIFS(R$6:R745,"&gt;0",S$6:S745,S746,N$6:N745,N746)=0,R746,""))</f>
        <v/>
      </c>
      <c r="U746">
        <f>IF(B746="","",IF(J746&lt;&gt;"",0,M746))</f>
        <v/>
      </c>
    </row>
    <row r="747">
      <c r="A747" s="1" t="n"/>
      <c r="B747" s="16" t="n"/>
      <c r="C747" s="17" t="n"/>
      <c r="D747" s="18" t="n"/>
      <c r="E747" s="18" t="n"/>
      <c r="F747" s="19" t="n"/>
      <c r="G747" s="19" t="n"/>
      <c r="H747" s="20" t="n"/>
      <c r="I747" s="21" t="n"/>
      <c r="J747" s="22" t="n"/>
      <c r="K747" s="23" t="n"/>
      <c r="L747" s="18" t="n"/>
      <c r="M747" s="24">
        <f>IF(B747="","",IF(AND(F747&lt;&gt;"",G747&lt;&gt;""),MAX(0,ROUND(MOD(G747-F747,1)*24-N(H747)/60,2)),N(I747)))</f>
        <v/>
      </c>
      <c r="N747" s="14">
        <f>IF(B747="","",IF(K747&lt;&gt;"",K747,IF(N(IFERROR(INDEX(Projects!$D$6:$D$65,MATCH(D747,Projects!$B$6:$B$65,0)),""))&gt;0,IFERROR(INDEX(Projects!$D$6:$D$65,MATCH(D747,Projects!$B$6:$B$65,0)),""),IFERROR(INDEX(Clients!$G$6:$G$45,MATCH(C747,Clients!$B$6:$B$45,0)),0))))</f>
        <v/>
      </c>
      <c r="O747" s="14">
        <f>IF(B747="","",IF(J747&lt;&gt;"",0,ROUND(M747*N747,2)))</f>
        <v/>
      </c>
      <c r="P747" s="15">
        <f>IF(OR(B747="",J747&lt;&gt;""),"",IF(L747&lt;&gt;"",L747,IF(COUNTIFS(Invoices!$C$6:$C$305,C747,Invoices!$E$6:$E$305,"&lt;="&amp;B747,Invoices!$F$6:$F$305,"&gt;="&amp;B747)=1,INDEX(Invoices!$B$6:$B$305,SUMIFS(Invoices!$O$6:$O$305,Invoices!$C$6:$C$305,C747,Invoices!$E$6:$E$305,"&lt;="&amp;B747,Invoices!$F$6:$F$305,"&gt;="&amp;B747)),IF(COUNTIFS(Invoices!$C$6:$C$305,C747,Invoices!$E$6:$E$305,"&lt;="&amp;B747,Invoices!$F$6:$F$305,"&gt;="&amp;B747)&gt;1,"Two invoices",""))))</f>
        <v/>
      </c>
      <c r="Q747" s="15">
        <f>IF(B747="","",IF(J747&lt;&gt;"","Not billable",IF(P747="","To invoice",IF(P747="Two invoices","Check dates",IF(ISNA(MATCH(P747,Invoices!$B$6:$B$305,0)),"Check number",IF(INDEX(Invoices!$M$6:$M$305,MATCH(P747,Invoices!$B$6:$B$305,0))="Paid","Paid",IF(INDEX(Invoices!$M$6:$M$305,MATCH(P747,Invoices!$B$6:$B$305,0))="Draft","Draft","Invoiced")))))))</f>
        <v/>
      </c>
      <c r="R747" s="1">
        <f>IF(AND(B747&lt;&gt;"",P747&lt;&gt;"",P747=Invoice!$G$4),B747+MOD(N(F747),1)+ROW()/10000000,"")</f>
        <v/>
      </c>
      <c r="S747">
        <f>IF(R747="","",IF(D747="","Other work",D747)&amp;IF(AND(K747&lt;&gt;"",E747&lt;&gt;""),", "&amp;E747,""))</f>
        <v/>
      </c>
      <c r="T747">
        <f>IF(R747="","",IF(COUNTIFS(R$6:R746,"&gt;0",S$6:S746,S747,N$6:N746,N747)=0,R747,""))</f>
        <v/>
      </c>
      <c r="U747">
        <f>IF(B747="","",IF(J747&lt;&gt;"",0,M747))</f>
        <v/>
      </c>
    </row>
    <row r="748">
      <c r="A748" s="1" t="n"/>
      <c r="B748" s="16" t="n"/>
      <c r="C748" s="17" t="n"/>
      <c r="D748" s="18" t="n"/>
      <c r="E748" s="18" t="n"/>
      <c r="F748" s="19" t="n"/>
      <c r="G748" s="19" t="n"/>
      <c r="H748" s="20" t="n"/>
      <c r="I748" s="21" t="n"/>
      <c r="J748" s="22" t="n"/>
      <c r="K748" s="23" t="n"/>
      <c r="L748" s="18" t="n"/>
      <c r="M748" s="24">
        <f>IF(B748="","",IF(AND(F748&lt;&gt;"",G748&lt;&gt;""),MAX(0,ROUND(MOD(G748-F748,1)*24-N(H748)/60,2)),N(I748)))</f>
        <v/>
      </c>
      <c r="N748" s="14">
        <f>IF(B748="","",IF(K748&lt;&gt;"",K748,IF(N(IFERROR(INDEX(Projects!$D$6:$D$65,MATCH(D748,Projects!$B$6:$B$65,0)),""))&gt;0,IFERROR(INDEX(Projects!$D$6:$D$65,MATCH(D748,Projects!$B$6:$B$65,0)),""),IFERROR(INDEX(Clients!$G$6:$G$45,MATCH(C748,Clients!$B$6:$B$45,0)),0))))</f>
        <v/>
      </c>
      <c r="O748" s="14">
        <f>IF(B748="","",IF(J748&lt;&gt;"",0,ROUND(M748*N748,2)))</f>
        <v/>
      </c>
      <c r="P748" s="15">
        <f>IF(OR(B748="",J748&lt;&gt;""),"",IF(L748&lt;&gt;"",L748,IF(COUNTIFS(Invoices!$C$6:$C$305,C748,Invoices!$E$6:$E$305,"&lt;="&amp;B748,Invoices!$F$6:$F$305,"&gt;="&amp;B748)=1,INDEX(Invoices!$B$6:$B$305,SUMIFS(Invoices!$O$6:$O$305,Invoices!$C$6:$C$305,C748,Invoices!$E$6:$E$305,"&lt;="&amp;B748,Invoices!$F$6:$F$305,"&gt;="&amp;B748)),IF(COUNTIFS(Invoices!$C$6:$C$305,C748,Invoices!$E$6:$E$305,"&lt;="&amp;B748,Invoices!$F$6:$F$305,"&gt;="&amp;B748)&gt;1,"Two invoices",""))))</f>
        <v/>
      </c>
      <c r="Q748" s="15">
        <f>IF(B748="","",IF(J748&lt;&gt;"","Not billable",IF(P748="","To invoice",IF(P748="Two invoices","Check dates",IF(ISNA(MATCH(P748,Invoices!$B$6:$B$305,0)),"Check number",IF(INDEX(Invoices!$M$6:$M$305,MATCH(P748,Invoices!$B$6:$B$305,0))="Paid","Paid",IF(INDEX(Invoices!$M$6:$M$305,MATCH(P748,Invoices!$B$6:$B$305,0))="Draft","Draft","Invoiced")))))))</f>
        <v/>
      </c>
      <c r="R748" s="1">
        <f>IF(AND(B748&lt;&gt;"",P748&lt;&gt;"",P748=Invoice!$G$4),B748+MOD(N(F748),1)+ROW()/10000000,"")</f>
        <v/>
      </c>
      <c r="S748">
        <f>IF(R748="","",IF(D748="","Other work",D748)&amp;IF(AND(K748&lt;&gt;"",E748&lt;&gt;""),", "&amp;E748,""))</f>
        <v/>
      </c>
      <c r="T748">
        <f>IF(R748="","",IF(COUNTIFS(R$6:R747,"&gt;0",S$6:S747,S748,N$6:N747,N748)=0,R748,""))</f>
        <v/>
      </c>
      <c r="U748">
        <f>IF(B748="","",IF(J748&lt;&gt;"",0,M748))</f>
        <v/>
      </c>
    </row>
    <row r="749">
      <c r="A749" s="1" t="n"/>
      <c r="B749" s="16" t="n"/>
      <c r="C749" s="17" t="n"/>
      <c r="D749" s="18" t="n"/>
      <c r="E749" s="18" t="n"/>
      <c r="F749" s="19" t="n"/>
      <c r="G749" s="19" t="n"/>
      <c r="H749" s="20" t="n"/>
      <c r="I749" s="21" t="n"/>
      <c r="J749" s="22" t="n"/>
      <c r="K749" s="23" t="n"/>
      <c r="L749" s="18" t="n"/>
      <c r="M749" s="24">
        <f>IF(B749="","",IF(AND(F749&lt;&gt;"",G749&lt;&gt;""),MAX(0,ROUND(MOD(G749-F749,1)*24-N(H749)/60,2)),N(I749)))</f>
        <v/>
      </c>
      <c r="N749" s="14">
        <f>IF(B749="","",IF(K749&lt;&gt;"",K749,IF(N(IFERROR(INDEX(Projects!$D$6:$D$65,MATCH(D749,Projects!$B$6:$B$65,0)),""))&gt;0,IFERROR(INDEX(Projects!$D$6:$D$65,MATCH(D749,Projects!$B$6:$B$65,0)),""),IFERROR(INDEX(Clients!$G$6:$G$45,MATCH(C749,Clients!$B$6:$B$45,0)),0))))</f>
        <v/>
      </c>
      <c r="O749" s="14">
        <f>IF(B749="","",IF(J749&lt;&gt;"",0,ROUND(M749*N749,2)))</f>
        <v/>
      </c>
      <c r="P749" s="15">
        <f>IF(OR(B749="",J749&lt;&gt;""),"",IF(L749&lt;&gt;"",L749,IF(COUNTIFS(Invoices!$C$6:$C$305,C749,Invoices!$E$6:$E$305,"&lt;="&amp;B749,Invoices!$F$6:$F$305,"&gt;="&amp;B749)=1,INDEX(Invoices!$B$6:$B$305,SUMIFS(Invoices!$O$6:$O$305,Invoices!$C$6:$C$305,C749,Invoices!$E$6:$E$305,"&lt;="&amp;B749,Invoices!$F$6:$F$305,"&gt;="&amp;B749)),IF(COUNTIFS(Invoices!$C$6:$C$305,C749,Invoices!$E$6:$E$305,"&lt;="&amp;B749,Invoices!$F$6:$F$305,"&gt;="&amp;B749)&gt;1,"Two invoices",""))))</f>
        <v/>
      </c>
      <c r="Q749" s="15">
        <f>IF(B749="","",IF(J749&lt;&gt;"","Not billable",IF(P749="","To invoice",IF(P749="Two invoices","Check dates",IF(ISNA(MATCH(P749,Invoices!$B$6:$B$305,0)),"Check number",IF(INDEX(Invoices!$M$6:$M$305,MATCH(P749,Invoices!$B$6:$B$305,0))="Paid","Paid",IF(INDEX(Invoices!$M$6:$M$305,MATCH(P749,Invoices!$B$6:$B$305,0))="Draft","Draft","Invoiced")))))))</f>
        <v/>
      </c>
      <c r="R749" s="1">
        <f>IF(AND(B749&lt;&gt;"",P749&lt;&gt;"",P749=Invoice!$G$4),B749+MOD(N(F749),1)+ROW()/10000000,"")</f>
        <v/>
      </c>
      <c r="S749">
        <f>IF(R749="","",IF(D749="","Other work",D749)&amp;IF(AND(K749&lt;&gt;"",E749&lt;&gt;""),", "&amp;E749,""))</f>
        <v/>
      </c>
      <c r="T749">
        <f>IF(R749="","",IF(COUNTIFS(R$6:R748,"&gt;0",S$6:S748,S749,N$6:N748,N749)=0,R749,""))</f>
        <v/>
      </c>
      <c r="U749">
        <f>IF(B749="","",IF(J749&lt;&gt;"",0,M749))</f>
        <v/>
      </c>
    </row>
    <row r="750">
      <c r="A750" s="1" t="n"/>
      <c r="B750" s="16" t="n"/>
      <c r="C750" s="17" t="n"/>
      <c r="D750" s="18" t="n"/>
      <c r="E750" s="18" t="n"/>
      <c r="F750" s="19" t="n"/>
      <c r="G750" s="19" t="n"/>
      <c r="H750" s="20" t="n"/>
      <c r="I750" s="21" t="n"/>
      <c r="J750" s="22" t="n"/>
      <c r="K750" s="23" t="n"/>
      <c r="L750" s="18" t="n"/>
      <c r="M750" s="24">
        <f>IF(B750="","",IF(AND(F750&lt;&gt;"",G750&lt;&gt;""),MAX(0,ROUND(MOD(G750-F750,1)*24-N(H750)/60,2)),N(I750)))</f>
        <v/>
      </c>
      <c r="N750" s="14">
        <f>IF(B750="","",IF(K750&lt;&gt;"",K750,IF(N(IFERROR(INDEX(Projects!$D$6:$D$65,MATCH(D750,Projects!$B$6:$B$65,0)),""))&gt;0,IFERROR(INDEX(Projects!$D$6:$D$65,MATCH(D750,Projects!$B$6:$B$65,0)),""),IFERROR(INDEX(Clients!$G$6:$G$45,MATCH(C750,Clients!$B$6:$B$45,0)),0))))</f>
        <v/>
      </c>
      <c r="O750" s="14">
        <f>IF(B750="","",IF(J750&lt;&gt;"",0,ROUND(M750*N750,2)))</f>
        <v/>
      </c>
      <c r="P750" s="15">
        <f>IF(OR(B750="",J750&lt;&gt;""),"",IF(L750&lt;&gt;"",L750,IF(COUNTIFS(Invoices!$C$6:$C$305,C750,Invoices!$E$6:$E$305,"&lt;="&amp;B750,Invoices!$F$6:$F$305,"&gt;="&amp;B750)=1,INDEX(Invoices!$B$6:$B$305,SUMIFS(Invoices!$O$6:$O$305,Invoices!$C$6:$C$305,C750,Invoices!$E$6:$E$305,"&lt;="&amp;B750,Invoices!$F$6:$F$305,"&gt;="&amp;B750)),IF(COUNTIFS(Invoices!$C$6:$C$305,C750,Invoices!$E$6:$E$305,"&lt;="&amp;B750,Invoices!$F$6:$F$305,"&gt;="&amp;B750)&gt;1,"Two invoices",""))))</f>
        <v/>
      </c>
      <c r="Q750" s="15">
        <f>IF(B750="","",IF(J750&lt;&gt;"","Not billable",IF(P750="","To invoice",IF(P750="Two invoices","Check dates",IF(ISNA(MATCH(P750,Invoices!$B$6:$B$305,0)),"Check number",IF(INDEX(Invoices!$M$6:$M$305,MATCH(P750,Invoices!$B$6:$B$305,0))="Paid","Paid",IF(INDEX(Invoices!$M$6:$M$305,MATCH(P750,Invoices!$B$6:$B$305,0))="Draft","Draft","Invoiced")))))))</f>
        <v/>
      </c>
      <c r="R750" s="1">
        <f>IF(AND(B750&lt;&gt;"",P750&lt;&gt;"",P750=Invoice!$G$4),B750+MOD(N(F750),1)+ROW()/10000000,"")</f>
        <v/>
      </c>
      <c r="S750">
        <f>IF(R750="","",IF(D750="","Other work",D750)&amp;IF(AND(K750&lt;&gt;"",E750&lt;&gt;""),", "&amp;E750,""))</f>
        <v/>
      </c>
      <c r="T750">
        <f>IF(R750="","",IF(COUNTIFS(R$6:R749,"&gt;0",S$6:S749,S750,N$6:N749,N750)=0,R750,""))</f>
        <v/>
      </c>
      <c r="U750">
        <f>IF(B750="","",IF(J750&lt;&gt;"",0,M750))</f>
        <v/>
      </c>
    </row>
    <row r="751">
      <c r="A751" s="1" t="n"/>
      <c r="B751" s="16" t="n"/>
      <c r="C751" s="17" t="n"/>
      <c r="D751" s="18" t="n"/>
      <c r="E751" s="18" t="n"/>
      <c r="F751" s="19" t="n"/>
      <c r="G751" s="19" t="n"/>
      <c r="H751" s="20" t="n"/>
      <c r="I751" s="21" t="n"/>
      <c r="J751" s="22" t="n"/>
      <c r="K751" s="23" t="n"/>
      <c r="L751" s="18" t="n"/>
      <c r="M751" s="24">
        <f>IF(B751="","",IF(AND(F751&lt;&gt;"",G751&lt;&gt;""),MAX(0,ROUND(MOD(G751-F751,1)*24-N(H751)/60,2)),N(I751)))</f>
        <v/>
      </c>
      <c r="N751" s="14">
        <f>IF(B751="","",IF(K751&lt;&gt;"",K751,IF(N(IFERROR(INDEX(Projects!$D$6:$D$65,MATCH(D751,Projects!$B$6:$B$65,0)),""))&gt;0,IFERROR(INDEX(Projects!$D$6:$D$65,MATCH(D751,Projects!$B$6:$B$65,0)),""),IFERROR(INDEX(Clients!$G$6:$G$45,MATCH(C751,Clients!$B$6:$B$45,0)),0))))</f>
        <v/>
      </c>
      <c r="O751" s="14">
        <f>IF(B751="","",IF(J751&lt;&gt;"",0,ROUND(M751*N751,2)))</f>
        <v/>
      </c>
      <c r="P751" s="15">
        <f>IF(OR(B751="",J751&lt;&gt;""),"",IF(L751&lt;&gt;"",L751,IF(COUNTIFS(Invoices!$C$6:$C$305,C751,Invoices!$E$6:$E$305,"&lt;="&amp;B751,Invoices!$F$6:$F$305,"&gt;="&amp;B751)=1,INDEX(Invoices!$B$6:$B$305,SUMIFS(Invoices!$O$6:$O$305,Invoices!$C$6:$C$305,C751,Invoices!$E$6:$E$305,"&lt;="&amp;B751,Invoices!$F$6:$F$305,"&gt;="&amp;B751)),IF(COUNTIFS(Invoices!$C$6:$C$305,C751,Invoices!$E$6:$E$305,"&lt;="&amp;B751,Invoices!$F$6:$F$305,"&gt;="&amp;B751)&gt;1,"Two invoices",""))))</f>
        <v/>
      </c>
      <c r="Q751" s="15">
        <f>IF(B751="","",IF(J751&lt;&gt;"","Not billable",IF(P751="","To invoice",IF(P751="Two invoices","Check dates",IF(ISNA(MATCH(P751,Invoices!$B$6:$B$305,0)),"Check number",IF(INDEX(Invoices!$M$6:$M$305,MATCH(P751,Invoices!$B$6:$B$305,0))="Paid","Paid",IF(INDEX(Invoices!$M$6:$M$305,MATCH(P751,Invoices!$B$6:$B$305,0))="Draft","Draft","Invoiced")))))))</f>
        <v/>
      </c>
      <c r="R751" s="1">
        <f>IF(AND(B751&lt;&gt;"",P751&lt;&gt;"",P751=Invoice!$G$4),B751+MOD(N(F751),1)+ROW()/10000000,"")</f>
        <v/>
      </c>
      <c r="S751">
        <f>IF(R751="","",IF(D751="","Other work",D751)&amp;IF(AND(K751&lt;&gt;"",E751&lt;&gt;""),", "&amp;E751,""))</f>
        <v/>
      </c>
      <c r="T751">
        <f>IF(R751="","",IF(COUNTIFS(R$6:R750,"&gt;0",S$6:S750,S751,N$6:N750,N751)=0,R751,""))</f>
        <v/>
      </c>
      <c r="U751">
        <f>IF(B751="","",IF(J751&lt;&gt;"",0,M751))</f>
        <v/>
      </c>
    </row>
    <row r="752">
      <c r="A752" s="1" t="n"/>
      <c r="B752" s="16" t="n"/>
      <c r="C752" s="17" t="n"/>
      <c r="D752" s="18" t="n"/>
      <c r="E752" s="18" t="n"/>
      <c r="F752" s="19" t="n"/>
      <c r="G752" s="19" t="n"/>
      <c r="H752" s="20" t="n"/>
      <c r="I752" s="21" t="n"/>
      <c r="J752" s="22" t="n"/>
      <c r="K752" s="23" t="n"/>
      <c r="L752" s="18" t="n"/>
      <c r="M752" s="24">
        <f>IF(B752="","",IF(AND(F752&lt;&gt;"",G752&lt;&gt;""),MAX(0,ROUND(MOD(G752-F752,1)*24-N(H752)/60,2)),N(I752)))</f>
        <v/>
      </c>
      <c r="N752" s="14">
        <f>IF(B752="","",IF(K752&lt;&gt;"",K752,IF(N(IFERROR(INDEX(Projects!$D$6:$D$65,MATCH(D752,Projects!$B$6:$B$65,0)),""))&gt;0,IFERROR(INDEX(Projects!$D$6:$D$65,MATCH(D752,Projects!$B$6:$B$65,0)),""),IFERROR(INDEX(Clients!$G$6:$G$45,MATCH(C752,Clients!$B$6:$B$45,0)),0))))</f>
        <v/>
      </c>
      <c r="O752" s="14">
        <f>IF(B752="","",IF(J752&lt;&gt;"",0,ROUND(M752*N752,2)))</f>
        <v/>
      </c>
      <c r="P752" s="15">
        <f>IF(OR(B752="",J752&lt;&gt;""),"",IF(L752&lt;&gt;"",L752,IF(COUNTIFS(Invoices!$C$6:$C$305,C752,Invoices!$E$6:$E$305,"&lt;="&amp;B752,Invoices!$F$6:$F$305,"&gt;="&amp;B752)=1,INDEX(Invoices!$B$6:$B$305,SUMIFS(Invoices!$O$6:$O$305,Invoices!$C$6:$C$305,C752,Invoices!$E$6:$E$305,"&lt;="&amp;B752,Invoices!$F$6:$F$305,"&gt;="&amp;B752)),IF(COUNTIFS(Invoices!$C$6:$C$305,C752,Invoices!$E$6:$E$305,"&lt;="&amp;B752,Invoices!$F$6:$F$305,"&gt;="&amp;B752)&gt;1,"Two invoices",""))))</f>
        <v/>
      </c>
      <c r="Q752" s="15">
        <f>IF(B752="","",IF(J752&lt;&gt;"","Not billable",IF(P752="","To invoice",IF(P752="Two invoices","Check dates",IF(ISNA(MATCH(P752,Invoices!$B$6:$B$305,0)),"Check number",IF(INDEX(Invoices!$M$6:$M$305,MATCH(P752,Invoices!$B$6:$B$305,0))="Paid","Paid",IF(INDEX(Invoices!$M$6:$M$305,MATCH(P752,Invoices!$B$6:$B$305,0))="Draft","Draft","Invoiced")))))))</f>
        <v/>
      </c>
      <c r="R752" s="1">
        <f>IF(AND(B752&lt;&gt;"",P752&lt;&gt;"",P752=Invoice!$G$4),B752+MOD(N(F752),1)+ROW()/10000000,"")</f>
        <v/>
      </c>
      <c r="S752">
        <f>IF(R752="","",IF(D752="","Other work",D752)&amp;IF(AND(K752&lt;&gt;"",E752&lt;&gt;""),", "&amp;E752,""))</f>
        <v/>
      </c>
      <c r="T752">
        <f>IF(R752="","",IF(COUNTIFS(R$6:R751,"&gt;0",S$6:S751,S752,N$6:N751,N752)=0,R752,""))</f>
        <v/>
      </c>
      <c r="U752">
        <f>IF(B752="","",IF(J752&lt;&gt;"",0,M752))</f>
        <v/>
      </c>
    </row>
    <row r="753">
      <c r="A753" s="1" t="n"/>
      <c r="B753" s="16" t="n"/>
      <c r="C753" s="17" t="n"/>
      <c r="D753" s="18" t="n"/>
      <c r="E753" s="18" t="n"/>
      <c r="F753" s="19" t="n"/>
      <c r="G753" s="19" t="n"/>
      <c r="H753" s="20" t="n"/>
      <c r="I753" s="21" t="n"/>
      <c r="J753" s="22" t="n"/>
      <c r="K753" s="23" t="n"/>
      <c r="L753" s="18" t="n"/>
      <c r="M753" s="24">
        <f>IF(B753="","",IF(AND(F753&lt;&gt;"",G753&lt;&gt;""),MAX(0,ROUND(MOD(G753-F753,1)*24-N(H753)/60,2)),N(I753)))</f>
        <v/>
      </c>
      <c r="N753" s="14">
        <f>IF(B753="","",IF(K753&lt;&gt;"",K753,IF(N(IFERROR(INDEX(Projects!$D$6:$D$65,MATCH(D753,Projects!$B$6:$B$65,0)),""))&gt;0,IFERROR(INDEX(Projects!$D$6:$D$65,MATCH(D753,Projects!$B$6:$B$65,0)),""),IFERROR(INDEX(Clients!$G$6:$G$45,MATCH(C753,Clients!$B$6:$B$45,0)),0))))</f>
        <v/>
      </c>
      <c r="O753" s="14">
        <f>IF(B753="","",IF(J753&lt;&gt;"",0,ROUND(M753*N753,2)))</f>
        <v/>
      </c>
      <c r="P753" s="15">
        <f>IF(OR(B753="",J753&lt;&gt;""),"",IF(L753&lt;&gt;"",L753,IF(COUNTIFS(Invoices!$C$6:$C$305,C753,Invoices!$E$6:$E$305,"&lt;="&amp;B753,Invoices!$F$6:$F$305,"&gt;="&amp;B753)=1,INDEX(Invoices!$B$6:$B$305,SUMIFS(Invoices!$O$6:$O$305,Invoices!$C$6:$C$305,C753,Invoices!$E$6:$E$305,"&lt;="&amp;B753,Invoices!$F$6:$F$305,"&gt;="&amp;B753)),IF(COUNTIFS(Invoices!$C$6:$C$305,C753,Invoices!$E$6:$E$305,"&lt;="&amp;B753,Invoices!$F$6:$F$305,"&gt;="&amp;B753)&gt;1,"Two invoices",""))))</f>
        <v/>
      </c>
      <c r="Q753" s="15">
        <f>IF(B753="","",IF(J753&lt;&gt;"","Not billable",IF(P753="","To invoice",IF(P753="Two invoices","Check dates",IF(ISNA(MATCH(P753,Invoices!$B$6:$B$305,0)),"Check number",IF(INDEX(Invoices!$M$6:$M$305,MATCH(P753,Invoices!$B$6:$B$305,0))="Paid","Paid",IF(INDEX(Invoices!$M$6:$M$305,MATCH(P753,Invoices!$B$6:$B$305,0))="Draft","Draft","Invoiced")))))))</f>
        <v/>
      </c>
      <c r="R753" s="1">
        <f>IF(AND(B753&lt;&gt;"",P753&lt;&gt;"",P753=Invoice!$G$4),B753+MOD(N(F753),1)+ROW()/10000000,"")</f>
        <v/>
      </c>
      <c r="S753">
        <f>IF(R753="","",IF(D753="","Other work",D753)&amp;IF(AND(K753&lt;&gt;"",E753&lt;&gt;""),", "&amp;E753,""))</f>
        <v/>
      </c>
      <c r="T753">
        <f>IF(R753="","",IF(COUNTIFS(R$6:R752,"&gt;0",S$6:S752,S753,N$6:N752,N753)=0,R753,""))</f>
        <v/>
      </c>
      <c r="U753">
        <f>IF(B753="","",IF(J753&lt;&gt;"",0,M753))</f>
        <v/>
      </c>
    </row>
    <row r="754">
      <c r="A754" s="1" t="n"/>
      <c r="B754" s="16" t="n"/>
      <c r="C754" s="17" t="n"/>
      <c r="D754" s="18" t="n"/>
      <c r="E754" s="18" t="n"/>
      <c r="F754" s="19" t="n"/>
      <c r="G754" s="19" t="n"/>
      <c r="H754" s="20" t="n"/>
      <c r="I754" s="21" t="n"/>
      <c r="J754" s="22" t="n"/>
      <c r="K754" s="23" t="n"/>
      <c r="L754" s="18" t="n"/>
      <c r="M754" s="24">
        <f>IF(B754="","",IF(AND(F754&lt;&gt;"",G754&lt;&gt;""),MAX(0,ROUND(MOD(G754-F754,1)*24-N(H754)/60,2)),N(I754)))</f>
        <v/>
      </c>
      <c r="N754" s="14">
        <f>IF(B754="","",IF(K754&lt;&gt;"",K754,IF(N(IFERROR(INDEX(Projects!$D$6:$D$65,MATCH(D754,Projects!$B$6:$B$65,0)),""))&gt;0,IFERROR(INDEX(Projects!$D$6:$D$65,MATCH(D754,Projects!$B$6:$B$65,0)),""),IFERROR(INDEX(Clients!$G$6:$G$45,MATCH(C754,Clients!$B$6:$B$45,0)),0))))</f>
        <v/>
      </c>
      <c r="O754" s="14">
        <f>IF(B754="","",IF(J754&lt;&gt;"",0,ROUND(M754*N754,2)))</f>
        <v/>
      </c>
      <c r="P754" s="15">
        <f>IF(OR(B754="",J754&lt;&gt;""),"",IF(L754&lt;&gt;"",L754,IF(COUNTIFS(Invoices!$C$6:$C$305,C754,Invoices!$E$6:$E$305,"&lt;="&amp;B754,Invoices!$F$6:$F$305,"&gt;="&amp;B754)=1,INDEX(Invoices!$B$6:$B$305,SUMIFS(Invoices!$O$6:$O$305,Invoices!$C$6:$C$305,C754,Invoices!$E$6:$E$305,"&lt;="&amp;B754,Invoices!$F$6:$F$305,"&gt;="&amp;B754)),IF(COUNTIFS(Invoices!$C$6:$C$305,C754,Invoices!$E$6:$E$305,"&lt;="&amp;B754,Invoices!$F$6:$F$305,"&gt;="&amp;B754)&gt;1,"Two invoices",""))))</f>
        <v/>
      </c>
      <c r="Q754" s="15">
        <f>IF(B754="","",IF(J754&lt;&gt;"","Not billable",IF(P754="","To invoice",IF(P754="Two invoices","Check dates",IF(ISNA(MATCH(P754,Invoices!$B$6:$B$305,0)),"Check number",IF(INDEX(Invoices!$M$6:$M$305,MATCH(P754,Invoices!$B$6:$B$305,0))="Paid","Paid",IF(INDEX(Invoices!$M$6:$M$305,MATCH(P754,Invoices!$B$6:$B$305,0))="Draft","Draft","Invoiced")))))))</f>
        <v/>
      </c>
      <c r="R754" s="1">
        <f>IF(AND(B754&lt;&gt;"",P754&lt;&gt;"",P754=Invoice!$G$4),B754+MOD(N(F754),1)+ROW()/10000000,"")</f>
        <v/>
      </c>
      <c r="S754">
        <f>IF(R754="","",IF(D754="","Other work",D754)&amp;IF(AND(K754&lt;&gt;"",E754&lt;&gt;""),", "&amp;E754,""))</f>
        <v/>
      </c>
      <c r="T754">
        <f>IF(R754="","",IF(COUNTIFS(R$6:R753,"&gt;0",S$6:S753,S754,N$6:N753,N754)=0,R754,""))</f>
        <v/>
      </c>
      <c r="U754">
        <f>IF(B754="","",IF(J754&lt;&gt;"",0,M754))</f>
        <v/>
      </c>
    </row>
    <row r="755">
      <c r="A755" s="1" t="n"/>
      <c r="B755" s="16" t="n"/>
      <c r="C755" s="17" t="n"/>
      <c r="D755" s="18" t="n"/>
      <c r="E755" s="18" t="n"/>
      <c r="F755" s="19" t="n"/>
      <c r="G755" s="19" t="n"/>
      <c r="H755" s="20" t="n"/>
      <c r="I755" s="21" t="n"/>
      <c r="J755" s="22" t="n"/>
      <c r="K755" s="23" t="n"/>
      <c r="L755" s="18" t="n"/>
      <c r="M755" s="24">
        <f>IF(B755="","",IF(AND(F755&lt;&gt;"",G755&lt;&gt;""),MAX(0,ROUND(MOD(G755-F755,1)*24-N(H755)/60,2)),N(I755)))</f>
        <v/>
      </c>
      <c r="N755" s="14">
        <f>IF(B755="","",IF(K755&lt;&gt;"",K755,IF(N(IFERROR(INDEX(Projects!$D$6:$D$65,MATCH(D755,Projects!$B$6:$B$65,0)),""))&gt;0,IFERROR(INDEX(Projects!$D$6:$D$65,MATCH(D755,Projects!$B$6:$B$65,0)),""),IFERROR(INDEX(Clients!$G$6:$G$45,MATCH(C755,Clients!$B$6:$B$45,0)),0))))</f>
        <v/>
      </c>
      <c r="O755" s="14">
        <f>IF(B755="","",IF(J755&lt;&gt;"",0,ROUND(M755*N755,2)))</f>
        <v/>
      </c>
      <c r="P755" s="15">
        <f>IF(OR(B755="",J755&lt;&gt;""),"",IF(L755&lt;&gt;"",L755,IF(COUNTIFS(Invoices!$C$6:$C$305,C755,Invoices!$E$6:$E$305,"&lt;="&amp;B755,Invoices!$F$6:$F$305,"&gt;="&amp;B755)=1,INDEX(Invoices!$B$6:$B$305,SUMIFS(Invoices!$O$6:$O$305,Invoices!$C$6:$C$305,C755,Invoices!$E$6:$E$305,"&lt;="&amp;B755,Invoices!$F$6:$F$305,"&gt;="&amp;B755)),IF(COUNTIFS(Invoices!$C$6:$C$305,C755,Invoices!$E$6:$E$305,"&lt;="&amp;B755,Invoices!$F$6:$F$305,"&gt;="&amp;B755)&gt;1,"Two invoices",""))))</f>
        <v/>
      </c>
      <c r="Q755" s="15">
        <f>IF(B755="","",IF(J755&lt;&gt;"","Not billable",IF(P755="","To invoice",IF(P755="Two invoices","Check dates",IF(ISNA(MATCH(P755,Invoices!$B$6:$B$305,0)),"Check number",IF(INDEX(Invoices!$M$6:$M$305,MATCH(P755,Invoices!$B$6:$B$305,0))="Paid","Paid",IF(INDEX(Invoices!$M$6:$M$305,MATCH(P755,Invoices!$B$6:$B$305,0))="Draft","Draft","Invoiced")))))))</f>
        <v/>
      </c>
      <c r="R755" s="1">
        <f>IF(AND(B755&lt;&gt;"",P755&lt;&gt;"",P755=Invoice!$G$4),B755+MOD(N(F755),1)+ROW()/10000000,"")</f>
        <v/>
      </c>
      <c r="S755">
        <f>IF(R755="","",IF(D755="","Other work",D755)&amp;IF(AND(K755&lt;&gt;"",E755&lt;&gt;""),", "&amp;E755,""))</f>
        <v/>
      </c>
      <c r="T755">
        <f>IF(R755="","",IF(COUNTIFS(R$6:R754,"&gt;0",S$6:S754,S755,N$6:N754,N755)=0,R755,""))</f>
        <v/>
      </c>
      <c r="U755">
        <f>IF(B755="","",IF(J755&lt;&gt;"",0,M755))</f>
        <v/>
      </c>
    </row>
    <row r="756">
      <c r="A756" s="1" t="n"/>
      <c r="B756" s="16" t="n"/>
      <c r="C756" s="17" t="n"/>
      <c r="D756" s="18" t="n"/>
      <c r="E756" s="18" t="n"/>
      <c r="F756" s="19" t="n"/>
      <c r="G756" s="19" t="n"/>
      <c r="H756" s="20" t="n"/>
      <c r="I756" s="21" t="n"/>
      <c r="J756" s="22" t="n"/>
      <c r="K756" s="23" t="n"/>
      <c r="L756" s="18" t="n"/>
      <c r="M756" s="24">
        <f>IF(B756="","",IF(AND(F756&lt;&gt;"",G756&lt;&gt;""),MAX(0,ROUND(MOD(G756-F756,1)*24-N(H756)/60,2)),N(I756)))</f>
        <v/>
      </c>
      <c r="N756" s="14">
        <f>IF(B756="","",IF(K756&lt;&gt;"",K756,IF(N(IFERROR(INDEX(Projects!$D$6:$D$65,MATCH(D756,Projects!$B$6:$B$65,0)),""))&gt;0,IFERROR(INDEX(Projects!$D$6:$D$65,MATCH(D756,Projects!$B$6:$B$65,0)),""),IFERROR(INDEX(Clients!$G$6:$G$45,MATCH(C756,Clients!$B$6:$B$45,0)),0))))</f>
        <v/>
      </c>
      <c r="O756" s="14">
        <f>IF(B756="","",IF(J756&lt;&gt;"",0,ROUND(M756*N756,2)))</f>
        <v/>
      </c>
      <c r="P756" s="15">
        <f>IF(OR(B756="",J756&lt;&gt;""),"",IF(L756&lt;&gt;"",L756,IF(COUNTIFS(Invoices!$C$6:$C$305,C756,Invoices!$E$6:$E$305,"&lt;="&amp;B756,Invoices!$F$6:$F$305,"&gt;="&amp;B756)=1,INDEX(Invoices!$B$6:$B$305,SUMIFS(Invoices!$O$6:$O$305,Invoices!$C$6:$C$305,C756,Invoices!$E$6:$E$305,"&lt;="&amp;B756,Invoices!$F$6:$F$305,"&gt;="&amp;B756)),IF(COUNTIFS(Invoices!$C$6:$C$305,C756,Invoices!$E$6:$E$305,"&lt;="&amp;B756,Invoices!$F$6:$F$305,"&gt;="&amp;B756)&gt;1,"Two invoices",""))))</f>
        <v/>
      </c>
      <c r="Q756" s="15">
        <f>IF(B756="","",IF(J756&lt;&gt;"","Not billable",IF(P756="","To invoice",IF(P756="Two invoices","Check dates",IF(ISNA(MATCH(P756,Invoices!$B$6:$B$305,0)),"Check number",IF(INDEX(Invoices!$M$6:$M$305,MATCH(P756,Invoices!$B$6:$B$305,0))="Paid","Paid",IF(INDEX(Invoices!$M$6:$M$305,MATCH(P756,Invoices!$B$6:$B$305,0))="Draft","Draft","Invoiced")))))))</f>
        <v/>
      </c>
      <c r="R756" s="1">
        <f>IF(AND(B756&lt;&gt;"",P756&lt;&gt;"",P756=Invoice!$G$4),B756+MOD(N(F756),1)+ROW()/10000000,"")</f>
        <v/>
      </c>
      <c r="S756">
        <f>IF(R756="","",IF(D756="","Other work",D756)&amp;IF(AND(K756&lt;&gt;"",E756&lt;&gt;""),", "&amp;E756,""))</f>
        <v/>
      </c>
      <c r="T756">
        <f>IF(R756="","",IF(COUNTIFS(R$6:R755,"&gt;0",S$6:S755,S756,N$6:N755,N756)=0,R756,""))</f>
        <v/>
      </c>
      <c r="U756">
        <f>IF(B756="","",IF(J756&lt;&gt;"",0,M756))</f>
        <v/>
      </c>
    </row>
    <row r="757">
      <c r="A757" s="1" t="n"/>
      <c r="B757" s="16" t="n"/>
      <c r="C757" s="17" t="n"/>
      <c r="D757" s="18" t="n"/>
      <c r="E757" s="18" t="n"/>
      <c r="F757" s="19" t="n"/>
      <c r="G757" s="19" t="n"/>
      <c r="H757" s="20" t="n"/>
      <c r="I757" s="21" t="n"/>
      <c r="J757" s="22" t="n"/>
      <c r="K757" s="23" t="n"/>
      <c r="L757" s="18" t="n"/>
      <c r="M757" s="24">
        <f>IF(B757="","",IF(AND(F757&lt;&gt;"",G757&lt;&gt;""),MAX(0,ROUND(MOD(G757-F757,1)*24-N(H757)/60,2)),N(I757)))</f>
        <v/>
      </c>
      <c r="N757" s="14">
        <f>IF(B757="","",IF(K757&lt;&gt;"",K757,IF(N(IFERROR(INDEX(Projects!$D$6:$D$65,MATCH(D757,Projects!$B$6:$B$65,0)),""))&gt;0,IFERROR(INDEX(Projects!$D$6:$D$65,MATCH(D757,Projects!$B$6:$B$65,0)),""),IFERROR(INDEX(Clients!$G$6:$G$45,MATCH(C757,Clients!$B$6:$B$45,0)),0))))</f>
        <v/>
      </c>
      <c r="O757" s="14">
        <f>IF(B757="","",IF(J757&lt;&gt;"",0,ROUND(M757*N757,2)))</f>
        <v/>
      </c>
      <c r="P757" s="15">
        <f>IF(OR(B757="",J757&lt;&gt;""),"",IF(L757&lt;&gt;"",L757,IF(COUNTIFS(Invoices!$C$6:$C$305,C757,Invoices!$E$6:$E$305,"&lt;="&amp;B757,Invoices!$F$6:$F$305,"&gt;="&amp;B757)=1,INDEX(Invoices!$B$6:$B$305,SUMIFS(Invoices!$O$6:$O$305,Invoices!$C$6:$C$305,C757,Invoices!$E$6:$E$305,"&lt;="&amp;B757,Invoices!$F$6:$F$305,"&gt;="&amp;B757)),IF(COUNTIFS(Invoices!$C$6:$C$305,C757,Invoices!$E$6:$E$305,"&lt;="&amp;B757,Invoices!$F$6:$F$305,"&gt;="&amp;B757)&gt;1,"Two invoices",""))))</f>
        <v/>
      </c>
      <c r="Q757" s="15">
        <f>IF(B757="","",IF(J757&lt;&gt;"","Not billable",IF(P757="","To invoice",IF(P757="Two invoices","Check dates",IF(ISNA(MATCH(P757,Invoices!$B$6:$B$305,0)),"Check number",IF(INDEX(Invoices!$M$6:$M$305,MATCH(P757,Invoices!$B$6:$B$305,0))="Paid","Paid",IF(INDEX(Invoices!$M$6:$M$305,MATCH(P757,Invoices!$B$6:$B$305,0))="Draft","Draft","Invoiced")))))))</f>
        <v/>
      </c>
      <c r="R757" s="1">
        <f>IF(AND(B757&lt;&gt;"",P757&lt;&gt;"",P757=Invoice!$G$4),B757+MOD(N(F757),1)+ROW()/10000000,"")</f>
        <v/>
      </c>
      <c r="S757">
        <f>IF(R757="","",IF(D757="","Other work",D757)&amp;IF(AND(K757&lt;&gt;"",E757&lt;&gt;""),", "&amp;E757,""))</f>
        <v/>
      </c>
      <c r="T757">
        <f>IF(R757="","",IF(COUNTIFS(R$6:R756,"&gt;0",S$6:S756,S757,N$6:N756,N757)=0,R757,""))</f>
        <v/>
      </c>
      <c r="U757">
        <f>IF(B757="","",IF(J757&lt;&gt;"",0,M757))</f>
        <v/>
      </c>
    </row>
    <row r="758">
      <c r="A758" s="1" t="n"/>
      <c r="B758" s="16" t="n"/>
      <c r="C758" s="17" t="n"/>
      <c r="D758" s="18" t="n"/>
      <c r="E758" s="18" t="n"/>
      <c r="F758" s="19" t="n"/>
      <c r="G758" s="19" t="n"/>
      <c r="H758" s="20" t="n"/>
      <c r="I758" s="21" t="n"/>
      <c r="J758" s="22" t="n"/>
      <c r="K758" s="23" t="n"/>
      <c r="L758" s="18" t="n"/>
      <c r="M758" s="24">
        <f>IF(B758="","",IF(AND(F758&lt;&gt;"",G758&lt;&gt;""),MAX(0,ROUND(MOD(G758-F758,1)*24-N(H758)/60,2)),N(I758)))</f>
        <v/>
      </c>
      <c r="N758" s="14">
        <f>IF(B758="","",IF(K758&lt;&gt;"",K758,IF(N(IFERROR(INDEX(Projects!$D$6:$D$65,MATCH(D758,Projects!$B$6:$B$65,0)),""))&gt;0,IFERROR(INDEX(Projects!$D$6:$D$65,MATCH(D758,Projects!$B$6:$B$65,0)),""),IFERROR(INDEX(Clients!$G$6:$G$45,MATCH(C758,Clients!$B$6:$B$45,0)),0))))</f>
        <v/>
      </c>
      <c r="O758" s="14">
        <f>IF(B758="","",IF(J758&lt;&gt;"",0,ROUND(M758*N758,2)))</f>
        <v/>
      </c>
      <c r="P758" s="15">
        <f>IF(OR(B758="",J758&lt;&gt;""),"",IF(L758&lt;&gt;"",L758,IF(COUNTIFS(Invoices!$C$6:$C$305,C758,Invoices!$E$6:$E$305,"&lt;="&amp;B758,Invoices!$F$6:$F$305,"&gt;="&amp;B758)=1,INDEX(Invoices!$B$6:$B$305,SUMIFS(Invoices!$O$6:$O$305,Invoices!$C$6:$C$305,C758,Invoices!$E$6:$E$305,"&lt;="&amp;B758,Invoices!$F$6:$F$305,"&gt;="&amp;B758)),IF(COUNTIFS(Invoices!$C$6:$C$305,C758,Invoices!$E$6:$E$305,"&lt;="&amp;B758,Invoices!$F$6:$F$305,"&gt;="&amp;B758)&gt;1,"Two invoices",""))))</f>
        <v/>
      </c>
      <c r="Q758" s="15">
        <f>IF(B758="","",IF(J758&lt;&gt;"","Not billable",IF(P758="","To invoice",IF(P758="Two invoices","Check dates",IF(ISNA(MATCH(P758,Invoices!$B$6:$B$305,0)),"Check number",IF(INDEX(Invoices!$M$6:$M$305,MATCH(P758,Invoices!$B$6:$B$305,0))="Paid","Paid",IF(INDEX(Invoices!$M$6:$M$305,MATCH(P758,Invoices!$B$6:$B$305,0))="Draft","Draft","Invoiced")))))))</f>
        <v/>
      </c>
      <c r="R758" s="1">
        <f>IF(AND(B758&lt;&gt;"",P758&lt;&gt;"",P758=Invoice!$G$4),B758+MOD(N(F758),1)+ROW()/10000000,"")</f>
        <v/>
      </c>
      <c r="S758">
        <f>IF(R758="","",IF(D758="","Other work",D758)&amp;IF(AND(K758&lt;&gt;"",E758&lt;&gt;""),", "&amp;E758,""))</f>
        <v/>
      </c>
      <c r="T758">
        <f>IF(R758="","",IF(COUNTIFS(R$6:R757,"&gt;0",S$6:S757,S758,N$6:N757,N758)=0,R758,""))</f>
        <v/>
      </c>
      <c r="U758">
        <f>IF(B758="","",IF(J758&lt;&gt;"",0,M758))</f>
        <v/>
      </c>
    </row>
    <row r="759">
      <c r="A759" s="1" t="n"/>
      <c r="B759" s="16" t="n"/>
      <c r="C759" s="17" t="n"/>
      <c r="D759" s="18" t="n"/>
      <c r="E759" s="18" t="n"/>
      <c r="F759" s="19" t="n"/>
      <c r="G759" s="19" t="n"/>
      <c r="H759" s="20" t="n"/>
      <c r="I759" s="21" t="n"/>
      <c r="J759" s="22" t="n"/>
      <c r="K759" s="23" t="n"/>
      <c r="L759" s="18" t="n"/>
      <c r="M759" s="24">
        <f>IF(B759="","",IF(AND(F759&lt;&gt;"",G759&lt;&gt;""),MAX(0,ROUND(MOD(G759-F759,1)*24-N(H759)/60,2)),N(I759)))</f>
        <v/>
      </c>
      <c r="N759" s="14">
        <f>IF(B759="","",IF(K759&lt;&gt;"",K759,IF(N(IFERROR(INDEX(Projects!$D$6:$D$65,MATCH(D759,Projects!$B$6:$B$65,0)),""))&gt;0,IFERROR(INDEX(Projects!$D$6:$D$65,MATCH(D759,Projects!$B$6:$B$65,0)),""),IFERROR(INDEX(Clients!$G$6:$G$45,MATCH(C759,Clients!$B$6:$B$45,0)),0))))</f>
        <v/>
      </c>
      <c r="O759" s="14">
        <f>IF(B759="","",IF(J759&lt;&gt;"",0,ROUND(M759*N759,2)))</f>
        <v/>
      </c>
      <c r="P759" s="15">
        <f>IF(OR(B759="",J759&lt;&gt;""),"",IF(L759&lt;&gt;"",L759,IF(COUNTIFS(Invoices!$C$6:$C$305,C759,Invoices!$E$6:$E$305,"&lt;="&amp;B759,Invoices!$F$6:$F$305,"&gt;="&amp;B759)=1,INDEX(Invoices!$B$6:$B$305,SUMIFS(Invoices!$O$6:$O$305,Invoices!$C$6:$C$305,C759,Invoices!$E$6:$E$305,"&lt;="&amp;B759,Invoices!$F$6:$F$305,"&gt;="&amp;B759)),IF(COUNTIFS(Invoices!$C$6:$C$305,C759,Invoices!$E$6:$E$305,"&lt;="&amp;B759,Invoices!$F$6:$F$305,"&gt;="&amp;B759)&gt;1,"Two invoices",""))))</f>
        <v/>
      </c>
      <c r="Q759" s="15">
        <f>IF(B759="","",IF(J759&lt;&gt;"","Not billable",IF(P759="","To invoice",IF(P759="Two invoices","Check dates",IF(ISNA(MATCH(P759,Invoices!$B$6:$B$305,0)),"Check number",IF(INDEX(Invoices!$M$6:$M$305,MATCH(P759,Invoices!$B$6:$B$305,0))="Paid","Paid",IF(INDEX(Invoices!$M$6:$M$305,MATCH(P759,Invoices!$B$6:$B$305,0))="Draft","Draft","Invoiced")))))))</f>
        <v/>
      </c>
      <c r="R759" s="1">
        <f>IF(AND(B759&lt;&gt;"",P759&lt;&gt;"",P759=Invoice!$G$4),B759+MOD(N(F759),1)+ROW()/10000000,"")</f>
        <v/>
      </c>
      <c r="S759">
        <f>IF(R759="","",IF(D759="","Other work",D759)&amp;IF(AND(K759&lt;&gt;"",E759&lt;&gt;""),", "&amp;E759,""))</f>
        <v/>
      </c>
      <c r="T759">
        <f>IF(R759="","",IF(COUNTIFS(R$6:R758,"&gt;0",S$6:S758,S759,N$6:N758,N759)=0,R759,""))</f>
        <v/>
      </c>
      <c r="U759">
        <f>IF(B759="","",IF(J759&lt;&gt;"",0,M759))</f>
        <v/>
      </c>
    </row>
    <row r="760">
      <c r="A760" s="1" t="n"/>
      <c r="B760" s="16" t="n"/>
      <c r="C760" s="17" t="n"/>
      <c r="D760" s="18" t="n"/>
      <c r="E760" s="18" t="n"/>
      <c r="F760" s="19" t="n"/>
      <c r="G760" s="19" t="n"/>
      <c r="H760" s="20" t="n"/>
      <c r="I760" s="21" t="n"/>
      <c r="J760" s="22" t="n"/>
      <c r="K760" s="23" t="n"/>
      <c r="L760" s="18" t="n"/>
      <c r="M760" s="24">
        <f>IF(B760="","",IF(AND(F760&lt;&gt;"",G760&lt;&gt;""),MAX(0,ROUND(MOD(G760-F760,1)*24-N(H760)/60,2)),N(I760)))</f>
        <v/>
      </c>
      <c r="N760" s="14">
        <f>IF(B760="","",IF(K760&lt;&gt;"",K760,IF(N(IFERROR(INDEX(Projects!$D$6:$D$65,MATCH(D760,Projects!$B$6:$B$65,0)),""))&gt;0,IFERROR(INDEX(Projects!$D$6:$D$65,MATCH(D760,Projects!$B$6:$B$65,0)),""),IFERROR(INDEX(Clients!$G$6:$G$45,MATCH(C760,Clients!$B$6:$B$45,0)),0))))</f>
        <v/>
      </c>
      <c r="O760" s="14">
        <f>IF(B760="","",IF(J760&lt;&gt;"",0,ROUND(M760*N760,2)))</f>
        <v/>
      </c>
      <c r="P760" s="15">
        <f>IF(OR(B760="",J760&lt;&gt;""),"",IF(L760&lt;&gt;"",L760,IF(COUNTIFS(Invoices!$C$6:$C$305,C760,Invoices!$E$6:$E$305,"&lt;="&amp;B760,Invoices!$F$6:$F$305,"&gt;="&amp;B760)=1,INDEX(Invoices!$B$6:$B$305,SUMIFS(Invoices!$O$6:$O$305,Invoices!$C$6:$C$305,C760,Invoices!$E$6:$E$305,"&lt;="&amp;B760,Invoices!$F$6:$F$305,"&gt;="&amp;B760)),IF(COUNTIFS(Invoices!$C$6:$C$305,C760,Invoices!$E$6:$E$305,"&lt;="&amp;B760,Invoices!$F$6:$F$305,"&gt;="&amp;B760)&gt;1,"Two invoices",""))))</f>
        <v/>
      </c>
      <c r="Q760" s="15">
        <f>IF(B760="","",IF(J760&lt;&gt;"","Not billable",IF(P760="","To invoice",IF(P760="Two invoices","Check dates",IF(ISNA(MATCH(P760,Invoices!$B$6:$B$305,0)),"Check number",IF(INDEX(Invoices!$M$6:$M$305,MATCH(P760,Invoices!$B$6:$B$305,0))="Paid","Paid",IF(INDEX(Invoices!$M$6:$M$305,MATCH(P760,Invoices!$B$6:$B$305,0))="Draft","Draft","Invoiced")))))))</f>
        <v/>
      </c>
      <c r="R760" s="1">
        <f>IF(AND(B760&lt;&gt;"",P760&lt;&gt;"",P760=Invoice!$G$4),B760+MOD(N(F760),1)+ROW()/10000000,"")</f>
        <v/>
      </c>
      <c r="S760">
        <f>IF(R760="","",IF(D760="","Other work",D760)&amp;IF(AND(K760&lt;&gt;"",E760&lt;&gt;""),", "&amp;E760,""))</f>
        <v/>
      </c>
      <c r="T760">
        <f>IF(R760="","",IF(COUNTIFS(R$6:R759,"&gt;0",S$6:S759,S760,N$6:N759,N760)=0,R760,""))</f>
        <v/>
      </c>
      <c r="U760">
        <f>IF(B760="","",IF(J760&lt;&gt;"",0,M760))</f>
        <v/>
      </c>
    </row>
    <row r="761">
      <c r="A761" s="1" t="n"/>
      <c r="B761" s="16" t="n"/>
      <c r="C761" s="17" t="n"/>
      <c r="D761" s="18" t="n"/>
      <c r="E761" s="18" t="n"/>
      <c r="F761" s="19" t="n"/>
      <c r="G761" s="19" t="n"/>
      <c r="H761" s="20" t="n"/>
      <c r="I761" s="21" t="n"/>
      <c r="J761" s="22" t="n"/>
      <c r="K761" s="23" t="n"/>
      <c r="L761" s="18" t="n"/>
      <c r="M761" s="24">
        <f>IF(B761="","",IF(AND(F761&lt;&gt;"",G761&lt;&gt;""),MAX(0,ROUND(MOD(G761-F761,1)*24-N(H761)/60,2)),N(I761)))</f>
        <v/>
      </c>
      <c r="N761" s="14">
        <f>IF(B761="","",IF(K761&lt;&gt;"",K761,IF(N(IFERROR(INDEX(Projects!$D$6:$D$65,MATCH(D761,Projects!$B$6:$B$65,0)),""))&gt;0,IFERROR(INDEX(Projects!$D$6:$D$65,MATCH(D761,Projects!$B$6:$B$65,0)),""),IFERROR(INDEX(Clients!$G$6:$G$45,MATCH(C761,Clients!$B$6:$B$45,0)),0))))</f>
        <v/>
      </c>
      <c r="O761" s="14">
        <f>IF(B761="","",IF(J761&lt;&gt;"",0,ROUND(M761*N761,2)))</f>
        <v/>
      </c>
      <c r="P761" s="15">
        <f>IF(OR(B761="",J761&lt;&gt;""),"",IF(L761&lt;&gt;"",L761,IF(COUNTIFS(Invoices!$C$6:$C$305,C761,Invoices!$E$6:$E$305,"&lt;="&amp;B761,Invoices!$F$6:$F$305,"&gt;="&amp;B761)=1,INDEX(Invoices!$B$6:$B$305,SUMIFS(Invoices!$O$6:$O$305,Invoices!$C$6:$C$305,C761,Invoices!$E$6:$E$305,"&lt;="&amp;B761,Invoices!$F$6:$F$305,"&gt;="&amp;B761)),IF(COUNTIFS(Invoices!$C$6:$C$305,C761,Invoices!$E$6:$E$305,"&lt;="&amp;B761,Invoices!$F$6:$F$305,"&gt;="&amp;B761)&gt;1,"Two invoices",""))))</f>
        <v/>
      </c>
      <c r="Q761" s="15">
        <f>IF(B761="","",IF(J761&lt;&gt;"","Not billable",IF(P761="","To invoice",IF(P761="Two invoices","Check dates",IF(ISNA(MATCH(P761,Invoices!$B$6:$B$305,0)),"Check number",IF(INDEX(Invoices!$M$6:$M$305,MATCH(P761,Invoices!$B$6:$B$305,0))="Paid","Paid",IF(INDEX(Invoices!$M$6:$M$305,MATCH(P761,Invoices!$B$6:$B$305,0))="Draft","Draft","Invoiced")))))))</f>
        <v/>
      </c>
      <c r="R761" s="1">
        <f>IF(AND(B761&lt;&gt;"",P761&lt;&gt;"",P761=Invoice!$G$4),B761+MOD(N(F761),1)+ROW()/10000000,"")</f>
        <v/>
      </c>
      <c r="S761">
        <f>IF(R761="","",IF(D761="","Other work",D761)&amp;IF(AND(K761&lt;&gt;"",E761&lt;&gt;""),", "&amp;E761,""))</f>
        <v/>
      </c>
      <c r="T761">
        <f>IF(R761="","",IF(COUNTIFS(R$6:R760,"&gt;0",S$6:S760,S761,N$6:N760,N761)=0,R761,""))</f>
        <v/>
      </c>
      <c r="U761">
        <f>IF(B761="","",IF(J761&lt;&gt;"",0,M761))</f>
        <v/>
      </c>
    </row>
    <row r="762">
      <c r="A762" s="1" t="n"/>
      <c r="B762" s="16" t="n"/>
      <c r="C762" s="17" t="n"/>
      <c r="D762" s="18" t="n"/>
      <c r="E762" s="18" t="n"/>
      <c r="F762" s="19" t="n"/>
      <c r="G762" s="19" t="n"/>
      <c r="H762" s="20" t="n"/>
      <c r="I762" s="21" t="n"/>
      <c r="J762" s="22" t="n"/>
      <c r="K762" s="23" t="n"/>
      <c r="L762" s="18" t="n"/>
      <c r="M762" s="24">
        <f>IF(B762="","",IF(AND(F762&lt;&gt;"",G762&lt;&gt;""),MAX(0,ROUND(MOD(G762-F762,1)*24-N(H762)/60,2)),N(I762)))</f>
        <v/>
      </c>
      <c r="N762" s="14">
        <f>IF(B762="","",IF(K762&lt;&gt;"",K762,IF(N(IFERROR(INDEX(Projects!$D$6:$D$65,MATCH(D762,Projects!$B$6:$B$65,0)),""))&gt;0,IFERROR(INDEX(Projects!$D$6:$D$65,MATCH(D762,Projects!$B$6:$B$65,0)),""),IFERROR(INDEX(Clients!$G$6:$G$45,MATCH(C762,Clients!$B$6:$B$45,0)),0))))</f>
        <v/>
      </c>
      <c r="O762" s="14">
        <f>IF(B762="","",IF(J762&lt;&gt;"",0,ROUND(M762*N762,2)))</f>
        <v/>
      </c>
      <c r="P762" s="15">
        <f>IF(OR(B762="",J762&lt;&gt;""),"",IF(L762&lt;&gt;"",L762,IF(COUNTIFS(Invoices!$C$6:$C$305,C762,Invoices!$E$6:$E$305,"&lt;="&amp;B762,Invoices!$F$6:$F$305,"&gt;="&amp;B762)=1,INDEX(Invoices!$B$6:$B$305,SUMIFS(Invoices!$O$6:$O$305,Invoices!$C$6:$C$305,C762,Invoices!$E$6:$E$305,"&lt;="&amp;B762,Invoices!$F$6:$F$305,"&gt;="&amp;B762)),IF(COUNTIFS(Invoices!$C$6:$C$305,C762,Invoices!$E$6:$E$305,"&lt;="&amp;B762,Invoices!$F$6:$F$305,"&gt;="&amp;B762)&gt;1,"Two invoices",""))))</f>
        <v/>
      </c>
      <c r="Q762" s="15">
        <f>IF(B762="","",IF(J762&lt;&gt;"","Not billable",IF(P762="","To invoice",IF(P762="Two invoices","Check dates",IF(ISNA(MATCH(P762,Invoices!$B$6:$B$305,0)),"Check number",IF(INDEX(Invoices!$M$6:$M$305,MATCH(P762,Invoices!$B$6:$B$305,0))="Paid","Paid",IF(INDEX(Invoices!$M$6:$M$305,MATCH(P762,Invoices!$B$6:$B$305,0))="Draft","Draft","Invoiced")))))))</f>
        <v/>
      </c>
      <c r="R762" s="1">
        <f>IF(AND(B762&lt;&gt;"",P762&lt;&gt;"",P762=Invoice!$G$4),B762+MOD(N(F762),1)+ROW()/10000000,"")</f>
        <v/>
      </c>
      <c r="S762">
        <f>IF(R762="","",IF(D762="","Other work",D762)&amp;IF(AND(K762&lt;&gt;"",E762&lt;&gt;""),", "&amp;E762,""))</f>
        <v/>
      </c>
      <c r="T762">
        <f>IF(R762="","",IF(COUNTIFS(R$6:R761,"&gt;0",S$6:S761,S762,N$6:N761,N762)=0,R762,""))</f>
        <v/>
      </c>
      <c r="U762">
        <f>IF(B762="","",IF(J762&lt;&gt;"",0,M762))</f>
        <v/>
      </c>
    </row>
    <row r="763">
      <c r="A763" s="1" t="n"/>
      <c r="B763" s="16" t="n"/>
      <c r="C763" s="17" t="n"/>
      <c r="D763" s="18" t="n"/>
      <c r="E763" s="18" t="n"/>
      <c r="F763" s="19" t="n"/>
      <c r="G763" s="19" t="n"/>
      <c r="H763" s="20" t="n"/>
      <c r="I763" s="21" t="n"/>
      <c r="J763" s="22" t="n"/>
      <c r="K763" s="23" t="n"/>
      <c r="L763" s="18" t="n"/>
      <c r="M763" s="24">
        <f>IF(B763="","",IF(AND(F763&lt;&gt;"",G763&lt;&gt;""),MAX(0,ROUND(MOD(G763-F763,1)*24-N(H763)/60,2)),N(I763)))</f>
        <v/>
      </c>
      <c r="N763" s="14">
        <f>IF(B763="","",IF(K763&lt;&gt;"",K763,IF(N(IFERROR(INDEX(Projects!$D$6:$D$65,MATCH(D763,Projects!$B$6:$B$65,0)),""))&gt;0,IFERROR(INDEX(Projects!$D$6:$D$65,MATCH(D763,Projects!$B$6:$B$65,0)),""),IFERROR(INDEX(Clients!$G$6:$G$45,MATCH(C763,Clients!$B$6:$B$45,0)),0))))</f>
        <v/>
      </c>
      <c r="O763" s="14">
        <f>IF(B763="","",IF(J763&lt;&gt;"",0,ROUND(M763*N763,2)))</f>
        <v/>
      </c>
      <c r="P763" s="15">
        <f>IF(OR(B763="",J763&lt;&gt;""),"",IF(L763&lt;&gt;"",L763,IF(COUNTIFS(Invoices!$C$6:$C$305,C763,Invoices!$E$6:$E$305,"&lt;="&amp;B763,Invoices!$F$6:$F$305,"&gt;="&amp;B763)=1,INDEX(Invoices!$B$6:$B$305,SUMIFS(Invoices!$O$6:$O$305,Invoices!$C$6:$C$305,C763,Invoices!$E$6:$E$305,"&lt;="&amp;B763,Invoices!$F$6:$F$305,"&gt;="&amp;B763)),IF(COUNTIFS(Invoices!$C$6:$C$305,C763,Invoices!$E$6:$E$305,"&lt;="&amp;B763,Invoices!$F$6:$F$305,"&gt;="&amp;B763)&gt;1,"Two invoices",""))))</f>
        <v/>
      </c>
      <c r="Q763" s="15">
        <f>IF(B763="","",IF(J763&lt;&gt;"","Not billable",IF(P763="","To invoice",IF(P763="Two invoices","Check dates",IF(ISNA(MATCH(P763,Invoices!$B$6:$B$305,0)),"Check number",IF(INDEX(Invoices!$M$6:$M$305,MATCH(P763,Invoices!$B$6:$B$305,0))="Paid","Paid",IF(INDEX(Invoices!$M$6:$M$305,MATCH(P763,Invoices!$B$6:$B$305,0))="Draft","Draft","Invoiced")))))))</f>
        <v/>
      </c>
      <c r="R763" s="1">
        <f>IF(AND(B763&lt;&gt;"",P763&lt;&gt;"",P763=Invoice!$G$4),B763+MOD(N(F763),1)+ROW()/10000000,"")</f>
        <v/>
      </c>
      <c r="S763">
        <f>IF(R763="","",IF(D763="","Other work",D763)&amp;IF(AND(K763&lt;&gt;"",E763&lt;&gt;""),", "&amp;E763,""))</f>
        <v/>
      </c>
      <c r="T763">
        <f>IF(R763="","",IF(COUNTIFS(R$6:R762,"&gt;0",S$6:S762,S763,N$6:N762,N763)=0,R763,""))</f>
        <v/>
      </c>
      <c r="U763">
        <f>IF(B763="","",IF(J763&lt;&gt;"",0,M763))</f>
        <v/>
      </c>
    </row>
    <row r="764">
      <c r="A764" s="1" t="n"/>
      <c r="B764" s="16" t="n"/>
      <c r="C764" s="17" t="n"/>
      <c r="D764" s="18" t="n"/>
      <c r="E764" s="18" t="n"/>
      <c r="F764" s="19" t="n"/>
      <c r="G764" s="19" t="n"/>
      <c r="H764" s="20" t="n"/>
      <c r="I764" s="21" t="n"/>
      <c r="J764" s="22" t="n"/>
      <c r="K764" s="23" t="n"/>
      <c r="L764" s="18" t="n"/>
      <c r="M764" s="24">
        <f>IF(B764="","",IF(AND(F764&lt;&gt;"",G764&lt;&gt;""),MAX(0,ROUND(MOD(G764-F764,1)*24-N(H764)/60,2)),N(I764)))</f>
        <v/>
      </c>
      <c r="N764" s="14">
        <f>IF(B764="","",IF(K764&lt;&gt;"",K764,IF(N(IFERROR(INDEX(Projects!$D$6:$D$65,MATCH(D764,Projects!$B$6:$B$65,0)),""))&gt;0,IFERROR(INDEX(Projects!$D$6:$D$65,MATCH(D764,Projects!$B$6:$B$65,0)),""),IFERROR(INDEX(Clients!$G$6:$G$45,MATCH(C764,Clients!$B$6:$B$45,0)),0))))</f>
        <v/>
      </c>
      <c r="O764" s="14">
        <f>IF(B764="","",IF(J764&lt;&gt;"",0,ROUND(M764*N764,2)))</f>
        <v/>
      </c>
      <c r="P764" s="15">
        <f>IF(OR(B764="",J764&lt;&gt;""),"",IF(L764&lt;&gt;"",L764,IF(COUNTIFS(Invoices!$C$6:$C$305,C764,Invoices!$E$6:$E$305,"&lt;="&amp;B764,Invoices!$F$6:$F$305,"&gt;="&amp;B764)=1,INDEX(Invoices!$B$6:$B$305,SUMIFS(Invoices!$O$6:$O$305,Invoices!$C$6:$C$305,C764,Invoices!$E$6:$E$305,"&lt;="&amp;B764,Invoices!$F$6:$F$305,"&gt;="&amp;B764)),IF(COUNTIFS(Invoices!$C$6:$C$305,C764,Invoices!$E$6:$E$305,"&lt;="&amp;B764,Invoices!$F$6:$F$305,"&gt;="&amp;B764)&gt;1,"Two invoices",""))))</f>
        <v/>
      </c>
      <c r="Q764" s="15">
        <f>IF(B764="","",IF(J764&lt;&gt;"","Not billable",IF(P764="","To invoice",IF(P764="Two invoices","Check dates",IF(ISNA(MATCH(P764,Invoices!$B$6:$B$305,0)),"Check number",IF(INDEX(Invoices!$M$6:$M$305,MATCH(P764,Invoices!$B$6:$B$305,0))="Paid","Paid",IF(INDEX(Invoices!$M$6:$M$305,MATCH(P764,Invoices!$B$6:$B$305,0))="Draft","Draft","Invoiced")))))))</f>
        <v/>
      </c>
      <c r="R764" s="1">
        <f>IF(AND(B764&lt;&gt;"",P764&lt;&gt;"",P764=Invoice!$G$4),B764+MOD(N(F764),1)+ROW()/10000000,"")</f>
        <v/>
      </c>
      <c r="S764">
        <f>IF(R764="","",IF(D764="","Other work",D764)&amp;IF(AND(K764&lt;&gt;"",E764&lt;&gt;""),", "&amp;E764,""))</f>
        <v/>
      </c>
      <c r="T764">
        <f>IF(R764="","",IF(COUNTIFS(R$6:R763,"&gt;0",S$6:S763,S764,N$6:N763,N764)=0,R764,""))</f>
        <v/>
      </c>
      <c r="U764">
        <f>IF(B764="","",IF(J764&lt;&gt;"",0,M764))</f>
        <v/>
      </c>
    </row>
    <row r="765">
      <c r="A765" s="1" t="n"/>
      <c r="B765" s="16" t="n"/>
      <c r="C765" s="17" t="n"/>
      <c r="D765" s="18" t="n"/>
      <c r="E765" s="18" t="n"/>
      <c r="F765" s="19" t="n"/>
      <c r="G765" s="19" t="n"/>
      <c r="H765" s="20" t="n"/>
      <c r="I765" s="21" t="n"/>
      <c r="J765" s="22" t="n"/>
      <c r="K765" s="23" t="n"/>
      <c r="L765" s="18" t="n"/>
      <c r="M765" s="24">
        <f>IF(B765="","",IF(AND(F765&lt;&gt;"",G765&lt;&gt;""),MAX(0,ROUND(MOD(G765-F765,1)*24-N(H765)/60,2)),N(I765)))</f>
        <v/>
      </c>
      <c r="N765" s="14">
        <f>IF(B765="","",IF(K765&lt;&gt;"",K765,IF(N(IFERROR(INDEX(Projects!$D$6:$D$65,MATCH(D765,Projects!$B$6:$B$65,0)),""))&gt;0,IFERROR(INDEX(Projects!$D$6:$D$65,MATCH(D765,Projects!$B$6:$B$65,0)),""),IFERROR(INDEX(Clients!$G$6:$G$45,MATCH(C765,Clients!$B$6:$B$45,0)),0))))</f>
        <v/>
      </c>
      <c r="O765" s="14">
        <f>IF(B765="","",IF(J765&lt;&gt;"",0,ROUND(M765*N765,2)))</f>
        <v/>
      </c>
      <c r="P765" s="15">
        <f>IF(OR(B765="",J765&lt;&gt;""),"",IF(L765&lt;&gt;"",L765,IF(COUNTIFS(Invoices!$C$6:$C$305,C765,Invoices!$E$6:$E$305,"&lt;="&amp;B765,Invoices!$F$6:$F$305,"&gt;="&amp;B765)=1,INDEX(Invoices!$B$6:$B$305,SUMIFS(Invoices!$O$6:$O$305,Invoices!$C$6:$C$305,C765,Invoices!$E$6:$E$305,"&lt;="&amp;B765,Invoices!$F$6:$F$305,"&gt;="&amp;B765)),IF(COUNTIFS(Invoices!$C$6:$C$305,C765,Invoices!$E$6:$E$305,"&lt;="&amp;B765,Invoices!$F$6:$F$305,"&gt;="&amp;B765)&gt;1,"Two invoices",""))))</f>
        <v/>
      </c>
      <c r="Q765" s="15">
        <f>IF(B765="","",IF(J765&lt;&gt;"","Not billable",IF(P765="","To invoice",IF(P765="Two invoices","Check dates",IF(ISNA(MATCH(P765,Invoices!$B$6:$B$305,0)),"Check number",IF(INDEX(Invoices!$M$6:$M$305,MATCH(P765,Invoices!$B$6:$B$305,0))="Paid","Paid",IF(INDEX(Invoices!$M$6:$M$305,MATCH(P765,Invoices!$B$6:$B$305,0))="Draft","Draft","Invoiced")))))))</f>
        <v/>
      </c>
      <c r="R765" s="1">
        <f>IF(AND(B765&lt;&gt;"",P765&lt;&gt;"",P765=Invoice!$G$4),B765+MOD(N(F765),1)+ROW()/10000000,"")</f>
        <v/>
      </c>
      <c r="S765">
        <f>IF(R765="","",IF(D765="","Other work",D765)&amp;IF(AND(K765&lt;&gt;"",E765&lt;&gt;""),", "&amp;E765,""))</f>
        <v/>
      </c>
      <c r="T765">
        <f>IF(R765="","",IF(COUNTIFS(R$6:R764,"&gt;0",S$6:S764,S765,N$6:N764,N765)=0,R765,""))</f>
        <v/>
      </c>
      <c r="U765">
        <f>IF(B765="","",IF(J765&lt;&gt;"",0,M765))</f>
        <v/>
      </c>
    </row>
    <row r="766">
      <c r="A766" s="1" t="n"/>
      <c r="B766" s="16" t="n"/>
      <c r="C766" s="17" t="n"/>
      <c r="D766" s="18" t="n"/>
      <c r="E766" s="18" t="n"/>
      <c r="F766" s="19" t="n"/>
      <c r="G766" s="19" t="n"/>
      <c r="H766" s="20" t="n"/>
      <c r="I766" s="21" t="n"/>
      <c r="J766" s="22" t="n"/>
      <c r="K766" s="23" t="n"/>
      <c r="L766" s="18" t="n"/>
      <c r="M766" s="24">
        <f>IF(B766="","",IF(AND(F766&lt;&gt;"",G766&lt;&gt;""),MAX(0,ROUND(MOD(G766-F766,1)*24-N(H766)/60,2)),N(I766)))</f>
        <v/>
      </c>
      <c r="N766" s="14">
        <f>IF(B766="","",IF(K766&lt;&gt;"",K766,IF(N(IFERROR(INDEX(Projects!$D$6:$D$65,MATCH(D766,Projects!$B$6:$B$65,0)),""))&gt;0,IFERROR(INDEX(Projects!$D$6:$D$65,MATCH(D766,Projects!$B$6:$B$65,0)),""),IFERROR(INDEX(Clients!$G$6:$G$45,MATCH(C766,Clients!$B$6:$B$45,0)),0))))</f>
        <v/>
      </c>
      <c r="O766" s="14">
        <f>IF(B766="","",IF(J766&lt;&gt;"",0,ROUND(M766*N766,2)))</f>
        <v/>
      </c>
      <c r="P766" s="15">
        <f>IF(OR(B766="",J766&lt;&gt;""),"",IF(L766&lt;&gt;"",L766,IF(COUNTIFS(Invoices!$C$6:$C$305,C766,Invoices!$E$6:$E$305,"&lt;="&amp;B766,Invoices!$F$6:$F$305,"&gt;="&amp;B766)=1,INDEX(Invoices!$B$6:$B$305,SUMIFS(Invoices!$O$6:$O$305,Invoices!$C$6:$C$305,C766,Invoices!$E$6:$E$305,"&lt;="&amp;B766,Invoices!$F$6:$F$305,"&gt;="&amp;B766)),IF(COUNTIFS(Invoices!$C$6:$C$305,C766,Invoices!$E$6:$E$305,"&lt;="&amp;B766,Invoices!$F$6:$F$305,"&gt;="&amp;B766)&gt;1,"Two invoices",""))))</f>
        <v/>
      </c>
      <c r="Q766" s="15">
        <f>IF(B766="","",IF(J766&lt;&gt;"","Not billable",IF(P766="","To invoice",IF(P766="Two invoices","Check dates",IF(ISNA(MATCH(P766,Invoices!$B$6:$B$305,0)),"Check number",IF(INDEX(Invoices!$M$6:$M$305,MATCH(P766,Invoices!$B$6:$B$305,0))="Paid","Paid",IF(INDEX(Invoices!$M$6:$M$305,MATCH(P766,Invoices!$B$6:$B$305,0))="Draft","Draft","Invoiced")))))))</f>
        <v/>
      </c>
      <c r="R766" s="1">
        <f>IF(AND(B766&lt;&gt;"",P766&lt;&gt;"",P766=Invoice!$G$4),B766+MOD(N(F766),1)+ROW()/10000000,"")</f>
        <v/>
      </c>
      <c r="S766">
        <f>IF(R766="","",IF(D766="","Other work",D766)&amp;IF(AND(K766&lt;&gt;"",E766&lt;&gt;""),", "&amp;E766,""))</f>
        <v/>
      </c>
      <c r="T766">
        <f>IF(R766="","",IF(COUNTIFS(R$6:R765,"&gt;0",S$6:S765,S766,N$6:N765,N766)=0,R766,""))</f>
        <v/>
      </c>
      <c r="U766">
        <f>IF(B766="","",IF(J766&lt;&gt;"",0,M766))</f>
        <v/>
      </c>
    </row>
    <row r="767">
      <c r="A767" s="1" t="n"/>
      <c r="B767" s="16" t="n"/>
      <c r="C767" s="17" t="n"/>
      <c r="D767" s="18" t="n"/>
      <c r="E767" s="18" t="n"/>
      <c r="F767" s="19" t="n"/>
      <c r="G767" s="19" t="n"/>
      <c r="H767" s="20" t="n"/>
      <c r="I767" s="21" t="n"/>
      <c r="J767" s="22" t="n"/>
      <c r="K767" s="23" t="n"/>
      <c r="L767" s="18" t="n"/>
      <c r="M767" s="24">
        <f>IF(B767="","",IF(AND(F767&lt;&gt;"",G767&lt;&gt;""),MAX(0,ROUND(MOD(G767-F767,1)*24-N(H767)/60,2)),N(I767)))</f>
        <v/>
      </c>
      <c r="N767" s="14">
        <f>IF(B767="","",IF(K767&lt;&gt;"",K767,IF(N(IFERROR(INDEX(Projects!$D$6:$D$65,MATCH(D767,Projects!$B$6:$B$65,0)),""))&gt;0,IFERROR(INDEX(Projects!$D$6:$D$65,MATCH(D767,Projects!$B$6:$B$65,0)),""),IFERROR(INDEX(Clients!$G$6:$G$45,MATCH(C767,Clients!$B$6:$B$45,0)),0))))</f>
        <v/>
      </c>
      <c r="O767" s="14">
        <f>IF(B767="","",IF(J767&lt;&gt;"",0,ROUND(M767*N767,2)))</f>
        <v/>
      </c>
      <c r="P767" s="15">
        <f>IF(OR(B767="",J767&lt;&gt;""),"",IF(L767&lt;&gt;"",L767,IF(COUNTIFS(Invoices!$C$6:$C$305,C767,Invoices!$E$6:$E$305,"&lt;="&amp;B767,Invoices!$F$6:$F$305,"&gt;="&amp;B767)=1,INDEX(Invoices!$B$6:$B$305,SUMIFS(Invoices!$O$6:$O$305,Invoices!$C$6:$C$305,C767,Invoices!$E$6:$E$305,"&lt;="&amp;B767,Invoices!$F$6:$F$305,"&gt;="&amp;B767)),IF(COUNTIFS(Invoices!$C$6:$C$305,C767,Invoices!$E$6:$E$305,"&lt;="&amp;B767,Invoices!$F$6:$F$305,"&gt;="&amp;B767)&gt;1,"Two invoices",""))))</f>
        <v/>
      </c>
      <c r="Q767" s="15">
        <f>IF(B767="","",IF(J767&lt;&gt;"","Not billable",IF(P767="","To invoice",IF(P767="Two invoices","Check dates",IF(ISNA(MATCH(P767,Invoices!$B$6:$B$305,0)),"Check number",IF(INDEX(Invoices!$M$6:$M$305,MATCH(P767,Invoices!$B$6:$B$305,0))="Paid","Paid",IF(INDEX(Invoices!$M$6:$M$305,MATCH(P767,Invoices!$B$6:$B$305,0))="Draft","Draft","Invoiced")))))))</f>
        <v/>
      </c>
      <c r="R767" s="1">
        <f>IF(AND(B767&lt;&gt;"",P767&lt;&gt;"",P767=Invoice!$G$4),B767+MOD(N(F767),1)+ROW()/10000000,"")</f>
        <v/>
      </c>
      <c r="S767">
        <f>IF(R767="","",IF(D767="","Other work",D767)&amp;IF(AND(K767&lt;&gt;"",E767&lt;&gt;""),", "&amp;E767,""))</f>
        <v/>
      </c>
      <c r="T767">
        <f>IF(R767="","",IF(COUNTIFS(R$6:R766,"&gt;0",S$6:S766,S767,N$6:N766,N767)=0,R767,""))</f>
        <v/>
      </c>
      <c r="U767">
        <f>IF(B767="","",IF(J767&lt;&gt;"",0,M767))</f>
        <v/>
      </c>
    </row>
    <row r="768">
      <c r="A768" s="1" t="n"/>
      <c r="B768" s="16" t="n"/>
      <c r="C768" s="17" t="n"/>
      <c r="D768" s="18" t="n"/>
      <c r="E768" s="18" t="n"/>
      <c r="F768" s="19" t="n"/>
      <c r="G768" s="19" t="n"/>
      <c r="H768" s="20" t="n"/>
      <c r="I768" s="21" t="n"/>
      <c r="J768" s="22" t="n"/>
      <c r="K768" s="23" t="n"/>
      <c r="L768" s="18" t="n"/>
      <c r="M768" s="24">
        <f>IF(B768="","",IF(AND(F768&lt;&gt;"",G768&lt;&gt;""),MAX(0,ROUND(MOD(G768-F768,1)*24-N(H768)/60,2)),N(I768)))</f>
        <v/>
      </c>
      <c r="N768" s="14">
        <f>IF(B768="","",IF(K768&lt;&gt;"",K768,IF(N(IFERROR(INDEX(Projects!$D$6:$D$65,MATCH(D768,Projects!$B$6:$B$65,0)),""))&gt;0,IFERROR(INDEX(Projects!$D$6:$D$65,MATCH(D768,Projects!$B$6:$B$65,0)),""),IFERROR(INDEX(Clients!$G$6:$G$45,MATCH(C768,Clients!$B$6:$B$45,0)),0))))</f>
        <v/>
      </c>
      <c r="O768" s="14">
        <f>IF(B768="","",IF(J768&lt;&gt;"",0,ROUND(M768*N768,2)))</f>
        <v/>
      </c>
      <c r="P768" s="15">
        <f>IF(OR(B768="",J768&lt;&gt;""),"",IF(L768&lt;&gt;"",L768,IF(COUNTIFS(Invoices!$C$6:$C$305,C768,Invoices!$E$6:$E$305,"&lt;="&amp;B768,Invoices!$F$6:$F$305,"&gt;="&amp;B768)=1,INDEX(Invoices!$B$6:$B$305,SUMIFS(Invoices!$O$6:$O$305,Invoices!$C$6:$C$305,C768,Invoices!$E$6:$E$305,"&lt;="&amp;B768,Invoices!$F$6:$F$305,"&gt;="&amp;B768)),IF(COUNTIFS(Invoices!$C$6:$C$305,C768,Invoices!$E$6:$E$305,"&lt;="&amp;B768,Invoices!$F$6:$F$305,"&gt;="&amp;B768)&gt;1,"Two invoices",""))))</f>
        <v/>
      </c>
      <c r="Q768" s="15">
        <f>IF(B768="","",IF(J768&lt;&gt;"","Not billable",IF(P768="","To invoice",IF(P768="Two invoices","Check dates",IF(ISNA(MATCH(P768,Invoices!$B$6:$B$305,0)),"Check number",IF(INDEX(Invoices!$M$6:$M$305,MATCH(P768,Invoices!$B$6:$B$305,0))="Paid","Paid",IF(INDEX(Invoices!$M$6:$M$305,MATCH(P768,Invoices!$B$6:$B$305,0))="Draft","Draft","Invoiced")))))))</f>
        <v/>
      </c>
      <c r="R768" s="1">
        <f>IF(AND(B768&lt;&gt;"",P768&lt;&gt;"",P768=Invoice!$G$4),B768+MOD(N(F768),1)+ROW()/10000000,"")</f>
        <v/>
      </c>
      <c r="S768">
        <f>IF(R768="","",IF(D768="","Other work",D768)&amp;IF(AND(K768&lt;&gt;"",E768&lt;&gt;""),", "&amp;E768,""))</f>
        <v/>
      </c>
      <c r="T768">
        <f>IF(R768="","",IF(COUNTIFS(R$6:R767,"&gt;0",S$6:S767,S768,N$6:N767,N768)=0,R768,""))</f>
        <v/>
      </c>
      <c r="U768">
        <f>IF(B768="","",IF(J768&lt;&gt;"",0,M768))</f>
        <v/>
      </c>
    </row>
    <row r="769">
      <c r="A769" s="1" t="n"/>
      <c r="B769" s="16" t="n"/>
      <c r="C769" s="17" t="n"/>
      <c r="D769" s="18" t="n"/>
      <c r="E769" s="18" t="n"/>
      <c r="F769" s="19" t="n"/>
      <c r="G769" s="19" t="n"/>
      <c r="H769" s="20" t="n"/>
      <c r="I769" s="21" t="n"/>
      <c r="J769" s="22" t="n"/>
      <c r="K769" s="23" t="n"/>
      <c r="L769" s="18" t="n"/>
      <c r="M769" s="24">
        <f>IF(B769="","",IF(AND(F769&lt;&gt;"",G769&lt;&gt;""),MAX(0,ROUND(MOD(G769-F769,1)*24-N(H769)/60,2)),N(I769)))</f>
        <v/>
      </c>
      <c r="N769" s="14">
        <f>IF(B769="","",IF(K769&lt;&gt;"",K769,IF(N(IFERROR(INDEX(Projects!$D$6:$D$65,MATCH(D769,Projects!$B$6:$B$65,0)),""))&gt;0,IFERROR(INDEX(Projects!$D$6:$D$65,MATCH(D769,Projects!$B$6:$B$65,0)),""),IFERROR(INDEX(Clients!$G$6:$G$45,MATCH(C769,Clients!$B$6:$B$45,0)),0))))</f>
        <v/>
      </c>
      <c r="O769" s="14">
        <f>IF(B769="","",IF(J769&lt;&gt;"",0,ROUND(M769*N769,2)))</f>
        <v/>
      </c>
      <c r="P769" s="15">
        <f>IF(OR(B769="",J769&lt;&gt;""),"",IF(L769&lt;&gt;"",L769,IF(COUNTIFS(Invoices!$C$6:$C$305,C769,Invoices!$E$6:$E$305,"&lt;="&amp;B769,Invoices!$F$6:$F$305,"&gt;="&amp;B769)=1,INDEX(Invoices!$B$6:$B$305,SUMIFS(Invoices!$O$6:$O$305,Invoices!$C$6:$C$305,C769,Invoices!$E$6:$E$305,"&lt;="&amp;B769,Invoices!$F$6:$F$305,"&gt;="&amp;B769)),IF(COUNTIFS(Invoices!$C$6:$C$305,C769,Invoices!$E$6:$E$305,"&lt;="&amp;B769,Invoices!$F$6:$F$305,"&gt;="&amp;B769)&gt;1,"Two invoices",""))))</f>
        <v/>
      </c>
      <c r="Q769" s="15">
        <f>IF(B769="","",IF(J769&lt;&gt;"","Not billable",IF(P769="","To invoice",IF(P769="Two invoices","Check dates",IF(ISNA(MATCH(P769,Invoices!$B$6:$B$305,0)),"Check number",IF(INDEX(Invoices!$M$6:$M$305,MATCH(P769,Invoices!$B$6:$B$305,0))="Paid","Paid",IF(INDEX(Invoices!$M$6:$M$305,MATCH(P769,Invoices!$B$6:$B$305,0))="Draft","Draft","Invoiced")))))))</f>
        <v/>
      </c>
      <c r="R769" s="1">
        <f>IF(AND(B769&lt;&gt;"",P769&lt;&gt;"",P769=Invoice!$G$4),B769+MOD(N(F769),1)+ROW()/10000000,"")</f>
        <v/>
      </c>
      <c r="S769">
        <f>IF(R769="","",IF(D769="","Other work",D769)&amp;IF(AND(K769&lt;&gt;"",E769&lt;&gt;""),", "&amp;E769,""))</f>
        <v/>
      </c>
      <c r="T769">
        <f>IF(R769="","",IF(COUNTIFS(R$6:R768,"&gt;0",S$6:S768,S769,N$6:N768,N769)=0,R769,""))</f>
        <v/>
      </c>
      <c r="U769">
        <f>IF(B769="","",IF(J769&lt;&gt;"",0,M769))</f>
        <v/>
      </c>
    </row>
    <row r="770">
      <c r="A770" s="1" t="n"/>
      <c r="B770" s="16" t="n"/>
      <c r="C770" s="17" t="n"/>
      <c r="D770" s="18" t="n"/>
      <c r="E770" s="18" t="n"/>
      <c r="F770" s="19" t="n"/>
      <c r="G770" s="19" t="n"/>
      <c r="H770" s="20" t="n"/>
      <c r="I770" s="21" t="n"/>
      <c r="J770" s="22" t="n"/>
      <c r="K770" s="23" t="n"/>
      <c r="L770" s="18" t="n"/>
      <c r="M770" s="24">
        <f>IF(B770="","",IF(AND(F770&lt;&gt;"",G770&lt;&gt;""),MAX(0,ROUND(MOD(G770-F770,1)*24-N(H770)/60,2)),N(I770)))</f>
        <v/>
      </c>
      <c r="N770" s="14">
        <f>IF(B770="","",IF(K770&lt;&gt;"",K770,IF(N(IFERROR(INDEX(Projects!$D$6:$D$65,MATCH(D770,Projects!$B$6:$B$65,0)),""))&gt;0,IFERROR(INDEX(Projects!$D$6:$D$65,MATCH(D770,Projects!$B$6:$B$65,0)),""),IFERROR(INDEX(Clients!$G$6:$G$45,MATCH(C770,Clients!$B$6:$B$45,0)),0))))</f>
        <v/>
      </c>
      <c r="O770" s="14">
        <f>IF(B770="","",IF(J770&lt;&gt;"",0,ROUND(M770*N770,2)))</f>
        <v/>
      </c>
      <c r="P770" s="15">
        <f>IF(OR(B770="",J770&lt;&gt;""),"",IF(L770&lt;&gt;"",L770,IF(COUNTIFS(Invoices!$C$6:$C$305,C770,Invoices!$E$6:$E$305,"&lt;="&amp;B770,Invoices!$F$6:$F$305,"&gt;="&amp;B770)=1,INDEX(Invoices!$B$6:$B$305,SUMIFS(Invoices!$O$6:$O$305,Invoices!$C$6:$C$305,C770,Invoices!$E$6:$E$305,"&lt;="&amp;B770,Invoices!$F$6:$F$305,"&gt;="&amp;B770)),IF(COUNTIFS(Invoices!$C$6:$C$305,C770,Invoices!$E$6:$E$305,"&lt;="&amp;B770,Invoices!$F$6:$F$305,"&gt;="&amp;B770)&gt;1,"Two invoices",""))))</f>
        <v/>
      </c>
      <c r="Q770" s="15">
        <f>IF(B770="","",IF(J770&lt;&gt;"","Not billable",IF(P770="","To invoice",IF(P770="Two invoices","Check dates",IF(ISNA(MATCH(P770,Invoices!$B$6:$B$305,0)),"Check number",IF(INDEX(Invoices!$M$6:$M$305,MATCH(P770,Invoices!$B$6:$B$305,0))="Paid","Paid",IF(INDEX(Invoices!$M$6:$M$305,MATCH(P770,Invoices!$B$6:$B$305,0))="Draft","Draft","Invoiced")))))))</f>
        <v/>
      </c>
      <c r="R770" s="1">
        <f>IF(AND(B770&lt;&gt;"",P770&lt;&gt;"",P770=Invoice!$G$4),B770+MOD(N(F770),1)+ROW()/10000000,"")</f>
        <v/>
      </c>
      <c r="S770">
        <f>IF(R770="","",IF(D770="","Other work",D770)&amp;IF(AND(K770&lt;&gt;"",E770&lt;&gt;""),", "&amp;E770,""))</f>
        <v/>
      </c>
      <c r="T770">
        <f>IF(R770="","",IF(COUNTIFS(R$6:R769,"&gt;0",S$6:S769,S770,N$6:N769,N770)=0,R770,""))</f>
        <v/>
      </c>
      <c r="U770">
        <f>IF(B770="","",IF(J770&lt;&gt;"",0,M770))</f>
        <v/>
      </c>
    </row>
    <row r="771">
      <c r="A771" s="1" t="n"/>
      <c r="B771" s="16" t="n"/>
      <c r="C771" s="17" t="n"/>
      <c r="D771" s="18" t="n"/>
      <c r="E771" s="18" t="n"/>
      <c r="F771" s="19" t="n"/>
      <c r="G771" s="19" t="n"/>
      <c r="H771" s="20" t="n"/>
      <c r="I771" s="21" t="n"/>
      <c r="J771" s="22" t="n"/>
      <c r="K771" s="23" t="n"/>
      <c r="L771" s="18" t="n"/>
      <c r="M771" s="24">
        <f>IF(B771="","",IF(AND(F771&lt;&gt;"",G771&lt;&gt;""),MAX(0,ROUND(MOD(G771-F771,1)*24-N(H771)/60,2)),N(I771)))</f>
        <v/>
      </c>
      <c r="N771" s="14">
        <f>IF(B771="","",IF(K771&lt;&gt;"",K771,IF(N(IFERROR(INDEX(Projects!$D$6:$D$65,MATCH(D771,Projects!$B$6:$B$65,0)),""))&gt;0,IFERROR(INDEX(Projects!$D$6:$D$65,MATCH(D771,Projects!$B$6:$B$65,0)),""),IFERROR(INDEX(Clients!$G$6:$G$45,MATCH(C771,Clients!$B$6:$B$45,0)),0))))</f>
        <v/>
      </c>
      <c r="O771" s="14">
        <f>IF(B771="","",IF(J771&lt;&gt;"",0,ROUND(M771*N771,2)))</f>
        <v/>
      </c>
      <c r="P771" s="15">
        <f>IF(OR(B771="",J771&lt;&gt;""),"",IF(L771&lt;&gt;"",L771,IF(COUNTIFS(Invoices!$C$6:$C$305,C771,Invoices!$E$6:$E$305,"&lt;="&amp;B771,Invoices!$F$6:$F$305,"&gt;="&amp;B771)=1,INDEX(Invoices!$B$6:$B$305,SUMIFS(Invoices!$O$6:$O$305,Invoices!$C$6:$C$305,C771,Invoices!$E$6:$E$305,"&lt;="&amp;B771,Invoices!$F$6:$F$305,"&gt;="&amp;B771)),IF(COUNTIFS(Invoices!$C$6:$C$305,C771,Invoices!$E$6:$E$305,"&lt;="&amp;B771,Invoices!$F$6:$F$305,"&gt;="&amp;B771)&gt;1,"Two invoices",""))))</f>
        <v/>
      </c>
      <c r="Q771" s="15">
        <f>IF(B771="","",IF(J771&lt;&gt;"","Not billable",IF(P771="","To invoice",IF(P771="Two invoices","Check dates",IF(ISNA(MATCH(P771,Invoices!$B$6:$B$305,0)),"Check number",IF(INDEX(Invoices!$M$6:$M$305,MATCH(P771,Invoices!$B$6:$B$305,0))="Paid","Paid",IF(INDEX(Invoices!$M$6:$M$305,MATCH(P771,Invoices!$B$6:$B$305,0))="Draft","Draft","Invoiced")))))))</f>
        <v/>
      </c>
      <c r="R771" s="1">
        <f>IF(AND(B771&lt;&gt;"",P771&lt;&gt;"",P771=Invoice!$G$4),B771+MOD(N(F771),1)+ROW()/10000000,"")</f>
        <v/>
      </c>
      <c r="S771">
        <f>IF(R771="","",IF(D771="","Other work",D771)&amp;IF(AND(K771&lt;&gt;"",E771&lt;&gt;""),", "&amp;E771,""))</f>
        <v/>
      </c>
      <c r="T771">
        <f>IF(R771="","",IF(COUNTIFS(R$6:R770,"&gt;0",S$6:S770,S771,N$6:N770,N771)=0,R771,""))</f>
        <v/>
      </c>
      <c r="U771">
        <f>IF(B771="","",IF(J771&lt;&gt;"",0,M771))</f>
        <v/>
      </c>
    </row>
    <row r="772">
      <c r="A772" s="1" t="n"/>
      <c r="B772" s="16" t="n"/>
      <c r="C772" s="17" t="n"/>
      <c r="D772" s="18" t="n"/>
      <c r="E772" s="18" t="n"/>
      <c r="F772" s="19" t="n"/>
      <c r="G772" s="19" t="n"/>
      <c r="H772" s="20" t="n"/>
      <c r="I772" s="21" t="n"/>
      <c r="J772" s="22" t="n"/>
      <c r="K772" s="23" t="n"/>
      <c r="L772" s="18" t="n"/>
      <c r="M772" s="24">
        <f>IF(B772="","",IF(AND(F772&lt;&gt;"",G772&lt;&gt;""),MAX(0,ROUND(MOD(G772-F772,1)*24-N(H772)/60,2)),N(I772)))</f>
        <v/>
      </c>
      <c r="N772" s="14">
        <f>IF(B772="","",IF(K772&lt;&gt;"",K772,IF(N(IFERROR(INDEX(Projects!$D$6:$D$65,MATCH(D772,Projects!$B$6:$B$65,0)),""))&gt;0,IFERROR(INDEX(Projects!$D$6:$D$65,MATCH(D772,Projects!$B$6:$B$65,0)),""),IFERROR(INDEX(Clients!$G$6:$G$45,MATCH(C772,Clients!$B$6:$B$45,0)),0))))</f>
        <v/>
      </c>
      <c r="O772" s="14">
        <f>IF(B772="","",IF(J772&lt;&gt;"",0,ROUND(M772*N772,2)))</f>
        <v/>
      </c>
      <c r="P772" s="15">
        <f>IF(OR(B772="",J772&lt;&gt;""),"",IF(L772&lt;&gt;"",L772,IF(COUNTIFS(Invoices!$C$6:$C$305,C772,Invoices!$E$6:$E$305,"&lt;="&amp;B772,Invoices!$F$6:$F$305,"&gt;="&amp;B772)=1,INDEX(Invoices!$B$6:$B$305,SUMIFS(Invoices!$O$6:$O$305,Invoices!$C$6:$C$305,C772,Invoices!$E$6:$E$305,"&lt;="&amp;B772,Invoices!$F$6:$F$305,"&gt;="&amp;B772)),IF(COUNTIFS(Invoices!$C$6:$C$305,C772,Invoices!$E$6:$E$305,"&lt;="&amp;B772,Invoices!$F$6:$F$305,"&gt;="&amp;B772)&gt;1,"Two invoices",""))))</f>
        <v/>
      </c>
      <c r="Q772" s="15">
        <f>IF(B772="","",IF(J772&lt;&gt;"","Not billable",IF(P772="","To invoice",IF(P772="Two invoices","Check dates",IF(ISNA(MATCH(P772,Invoices!$B$6:$B$305,0)),"Check number",IF(INDEX(Invoices!$M$6:$M$305,MATCH(P772,Invoices!$B$6:$B$305,0))="Paid","Paid",IF(INDEX(Invoices!$M$6:$M$305,MATCH(P772,Invoices!$B$6:$B$305,0))="Draft","Draft","Invoiced")))))))</f>
        <v/>
      </c>
      <c r="R772" s="1">
        <f>IF(AND(B772&lt;&gt;"",P772&lt;&gt;"",P772=Invoice!$G$4),B772+MOD(N(F772),1)+ROW()/10000000,"")</f>
        <v/>
      </c>
      <c r="S772">
        <f>IF(R772="","",IF(D772="","Other work",D772)&amp;IF(AND(K772&lt;&gt;"",E772&lt;&gt;""),", "&amp;E772,""))</f>
        <v/>
      </c>
      <c r="T772">
        <f>IF(R772="","",IF(COUNTIFS(R$6:R771,"&gt;0",S$6:S771,S772,N$6:N771,N772)=0,R772,""))</f>
        <v/>
      </c>
      <c r="U772">
        <f>IF(B772="","",IF(J772&lt;&gt;"",0,M772))</f>
        <v/>
      </c>
    </row>
    <row r="773">
      <c r="A773" s="1" t="n"/>
      <c r="B773" s="16" t="n"/>
      <c r="C773" s="17" t="n"/>
      <c r="D773" s="18" t="n"/>
      <c r="E773" s="18" t="n"/>
      <c r="F773" s="19" t="n"/>
      <c r="G773" s="19" t="n"/>
      <c r="H773" s="20" t="n"/>
      <c r="I773" s="21" t="n"/>
      <c r="J773" s="22" t="n"/>
      <c r="K773" s="23" t="n"/>
      <c r="L773" s="18" t="n"/>
      <c r="M773" s="24">
        <f>IF(B773="","",IF(AND(F773&lt;&gt;"",G773&lt;&gt;""),MAX(0,ROUND(MOD(G773-F773,1)*24-N(H773)/60,2)),N(I773)))</f>
        <v/>
      </c>
      <c r="N773" s="14">
        <f>IF(B773="","",IF(K773&lt;&gt;"",K773,IF(N(IFERROR(INDEX(Projects!$D$6:$D$65,MATCH(D773,Projects!$B$6:$B$65,0)),""))&gt;0,IFERROR(INDEX(Projects!$D$6:$D$65,MATCH(D773,Projects!$B$6:$B$65,0)),""),IFERROR(INDEX(Clients!$G$6:$G$45,MATCH(C773,Clients!$B$6:$B$45,0)),0))))</f>
        <v/>
      </c>
      <c r="O773" s="14">
        <f>IF(B773="","",IF(J773&lt;&gt;"",0,ROUND(M773*N773,2)))</f>
        <v/>
      </c>
      <c r="P773" s="15">
        <f>IF(OR(B773="",J773&lt;&gt;""),"",IF(L773&lt;&gt;"",L773,IF(COUNTIFS(Invoices!$C$6:$C$305,C773,Invoices!$E$6:$E$305,"&lt;="&amp;B773,Invoices!$F$6:$F$305,"&gt;="&amp;B773)=1,INDEX(Invoices!$B$6:$B$305,SUMIFS(Invoices!$O$6:$O$305,Invoices!$C$6:$C$305,C773,Invoices!$E$6:$E$305,"&lt;="&amp;B773,Invoices!$F$6:$F$305,"&gt;="&amp;B773)),IF(COUNTIFS(Invoices!$C$6:$C$305,C773,Invoices!$E$6:$E$305,"&lt;="&amp;B773,Invoices!$F$6:$F$305,"&gt;="&amp;B773)&gt;1,"Two invoices",""))))</f>
        <v/>
      </c>
      <c r="Q773" s="15">
        <f>IF(B773="","",IF(J773&lt;&gt;"","Not billable",IF(P773="","To invoice",IF(P773="Two invoices","Check dates",IF(ISNA(MATCH(P773,Invoices!$B$6:$B$305,0)),"Check number",IF(INDEX(Invoices!$M$6:$M$305,MATCH(P773,Invoices!$B$6:$B$305,0))="Paid","Paid",IF(INDEX(Invoices!$M$6:$M$305,MATCH(P773,Invoices!$B$6:$B$305,0))="Draft","Draft","Invoiced")))))))</f>
        <v/>
      </c>
      <c r="R773" s="1">
        <f>IF(AND(B773&lt;&gt;"",P773&lt;&gt;"",P773=Invoice!$G$4),B773+MOD(N(F773),1)+ROW()/10000000,"")</f>
        <v/>
      </c>
      <c r="S773">
        <f>IF(R773="","",IF(D773="","Other work",D773)&amp;IF(AND(K773&lt;&gt;"",E773&lt;&gt;""),", "&amp;E773,""))</f>
        <v/>
      </c>
      <c r="T773">
        <f>IF(R773="","",IF(COUNTIFS(R$6:R772,"&gt;0",S$6:S772,S773,N$6:N772,N773)=0,R773,""))</f>
        <v/>
      </c>
      <c r="U773">
        <f>IF(B773="","",IF(J773&lt;&gt;"",0,M773))</f>
        <v/>
      </c>
    </row>
    <row r="774">
      <c r="A774" s="1" t="n"/>
      <c r="B774" s="16" t="n"/>
      <c r="C774" s="17" t="n"/>
      <c r="D774" s="18" t="n"/>
      <c r="E774" s="18" t="n"/>
      <c r="F774" s="19" t="n"/>
      <c r="G774" s="19" t="n"/>
      <c r="H774" s="20" t="n"/>
      <c r="I774" s="21" t="n"/>
      <c r="J774" s="22" t="n"/>
      <c r="K774" s="23" t="n"/>
      <c r="L774" s="18" t="n"/>
      <c r="M774" s="24">
        <f>IF(B774="","",IF(AND(F774&lt;&gt;"",G774&lt;&gt;""),MAX(0,ROUND(MOD(G774-F774,1)*24-N(H774)/60,2)),N(I774)))</f>
        <v/>
      </c>
      <c r="N774" s="14">
        <f>IF(B774="","",IF(K774&lt;&gt;"",K774,IF(N(IFERROR(INDEX(Projects!$D$6:$D$65,MATCH(D774,Projects!$B$6:$B$65,0)),""))&gt;0,IFERROR(INDEX(Projects!$D$6:$D$65,MATCH(D774,Projects!$B$6:$B$65,0)),""),IFERROR(INDEX(Clients!$G$6:$G$45,MATCH(C774,Clients!$B$6:$B$45,0)),0))))</f>
        <v/>
      </c>
      <c r="O774" s="14">
        <f>IF(B774="","",IF(J774&lt;&gt;"",0,ROUND(M774*N774,2)))</f>
        <v/>
      </c>
      <c r="P774" s="15">
        <f>IF(OR(B774="",J774&lt;&gt;""),"",IF(L774&lt;&gt;"",L774,IF(COUNTIFS(Invoices!$C$6:$C$305,C774,Invoices!$E$6:$E$305,"&lt;="&amp;B774,Invoices!$F$6:$F$305,"&gt;="&amp;B774)=1,INDEX(Invoices!$B$6:$B$305,SUMIFS(Invoices!$O$6:$O$305,Invoices!$C$6:$C$305,C774,Invoices!$E$6:$E$305,"&lt;="&amp;B774,Invoices!$F$6:$F$305,"&gt;="&amp;B774)),IF(COUNTIFS(Invoices!$C$6:$C$305,C774,Invoices!$E$6:$E$305,"&lt;="&amp;B774,Invoices!$F$6:$F$305,"&gt;="&amp;B774)&gt;1,"Two invoices",""))))</f>
        <v/>
      </c>
      <c r="Q774" s="15">
        <f>IF(B774="","",IF(J774&lt;&gt;"","Not billable",IF(P774="","To invoice",IF(P774="Two invoices","Check dates",IF(ISNA(MATCH(P774,Invoices!$B$6:$B$305,0)),"Check number",IF(INDEX(Invoices!$M$6:$M$305,MATCH(P774,Invoices!$B$6:$B$305,0))="Paid","Paid",IF(INDEX(Invoices!$M$6:$M$305,MATCH(P774,Invoices!$B$6:$B$305,0))="Draft","Draft","Invoiced")))))))</f>
        <v/>
      </c>
      <c r="R774" s="1">
        <f>IF(AND(B774&lt;&gt;"",P774&lt;&gt;"",P774=Invoice!$G$4),B774+MOD(N(F774),1)+ROW()/10000000,"")</f>
        <v/>
      </c>
      <c r="S774">
        <f>IF(R774="","",IF(D774="","Other work",D774)&amp;IF(AND(K774&lt;&gt;"",E774&lt;&gt;""),", "&amp;E774,""))</f>
        <v/>
      </c>
      <c r="T774">
        <f>IF(R774="","",IF(COUNTIFS(R$6:R773,"&gt;0",S$6:S773,S774,N$6:N773,N774)=0,R774,""))</f>
        <v/>
      </c>
      <c r="U774">
        <f>IF(B774="","",IF(J774&lt;&gt;"",0,M774))</f>
        <v/>
      </c>
    </row>
    <row r="775">
      <c r="A775" s="1" t="n"/>
      <c r="B775" s="16" t="n"/>
      <c r="C775" s="17" t="n"/>
      <c r="D775" s="18" t="n"/>
      <c r="E775" s="18" t="n"/>
      <c r="F775" s="19" t="n"/>
      <c r="G775" s="19" t="n"/>
      <c r="H775" s="20" t="n"/>
      <c r="I775" s="21" t="n"/>
      <c r="J775" s="22" t="n"/>
      <c r="K775" s="23" t="n"/>
      <c r="L775" s="18" t="n"/>
      <c r="M775" s="24">
        <f>IF(B775="","",IF(AND(F775&lt;&gt;"",G775&lt;&gt;""),MAX(0,ROUND(MOD(G775-F775,1)*24-N(H775)/60,2)),N(I775)))</f>
        <v/>
      </c>
      <c r="N775" s="14">
        <f>IF(B775="","",IF(K775&lt;&gt;"",K775,IF(N(IFERROR(INDEX(Projects!$D$6:$D$65,MATCH(D775,Projects!$B$6:$B$65,0)),""))&gt;0,IFERROR(INDEX(Projects!$D$6:$D$65,MATCH(D775,Projects!$B$6:$B$65,0)),""),IFERROR(INDEX(Clients!$G$6:$G$45,MATCH(C775,Clients!$B$6:$B$45,0)),0))))</f>
        <v/>
      </c>
      <c r="O775" s="14">
        <f>IF(B775="","",IF(J775&lt;&gt;"",0,ROUND(M775*N775,2)))</f>
        <v/>
      </c>
      <c r="P775" s="15">
        <f>IF(OR(B775="",J775&lt;&gt;""),"",IF(L775&lt;&gt;"",L775,IF(COUNTIFS(Invoices!$C$6:$C$305,C775,Invoices!$E$6:$E$305,"&lt;="&amp;B775,Invoices!$F$6:$F$305,"&gt;="&amp;B775)=1,INDEX(Invoices!$B$6:$B$305,SUMIFS(Invoices!$O$6:$O$305,Invoices!$C$6:$C$305,C775,Invoices!$E$6:$E$305,"&lt;="&amp;B775,Invoices!$F$6:$F$305,"&gt;="&amp;B775)),IF(COUNTIFS(Invoices!$C$6:$C$305,C775,Invoices!$E$6:$E$305,"&lt;="&amp;B775,Invoices!$F$6:$F$305,"&gt;="&amp;B775)&gt;1,"Two invoices",""))))</f>
        <v/>
      </c>
      <c r="Q775" s="15">
        <f>IF(B775="","",IF(J775&lt;&gt;"","Not billable",IF(P775="","To invoice",IF(P775="Two invoices","Check dates",IF(ISNA(MATCH(P775,Invoices!$B$6:$B$305,0)),"Check number",IF(INDEX(Invoices!$M$6:$M$305,MATCH(P775,Invoices!$B$6:$B$305,0))="Paid","Paid",IF(INDEX(Invoices!$M$6:$M$305,MATCH(P775,Invoices!$B$6:$B$305,0))="Draft","Draft","Invoiced")))))))</f>
        <v/>
      </c>
      <c r="R775" s="1">
        <f>IF(AND(B775&lt;&gt;"",P775&lt;&gt;"",P775=Invoice!$G$4),B775+MOD(N(F775),1)+ROW()/10000000,"")</f>
        <v/>
      </c>
      <c r="S775">
        <f>IF(R775="","",IF(D775="","Other work",D775)&amp;IF(AND(K775&lt;&gt;"",E775&lt;&gt;""),", "&amp;E775,""))</f>
        <v/>
      </c>
      <c r="T775">
        <f>IF(R775="","",IF(COUNTIFS(R$6:R774,"&gt;0",S$6:S774,S775,N$6:N774,N775)=0,R775,""))</f>
        <v/>
      </c>
      <c r="U775">
        <f>IF(B775="","",IF(J775&lt;&gt;"",0,M775))</f>
        <v/>
      </c>
    </row>
    <row r="776">
      <c r="A776" s="1" t="n"/>
      <c r="B776" s="16" t="n"/>
      <c r="C776" s="17" t="n"/>
      <c r="D776" s="18" t="n"/>
      <c r="E776" s="18" t="n"/>
      <c r="F776" s="19" t="n"/>
      <c r="G776" s="19" t="n"/>
      <c r="H776" s="20" t="n"/>
      <c r="I776" s="21" t="n"/>
      <c r="J776" s="22" t="n"/>
      <c r="K776" s="23" t="n"/>
      <c r="L776" s="18" t="n"/>
      <c r="M776" s="24">
        <f>IF(B776="","",IF(AND(F776&lt;&gt;"",G776&lt;&gt;""),MAX(0,ROUND(MOD(G776-F776,1)*24-N(H776)/60,2)),N(I776)))</f>
        <v/>
      </c>
      <c r="N776" s="14">
        <f>IF(B776="","",IF(K776&lt;&gt;"",K776,IF(N(IFERROR(INDEX(Projects!$D$6:$D$65,MATCH(D776,Projects!$B$6:$B$65,0)),""))&gt;0,IFERROR(INDEX(Projects!$D$6:$D$65,MATCH(D776,Projects!$B$6:$B$65,0)),""),IFERROR(INDEX(Clients!$G$6:$G$45,MATCH(C776,Clients!$B$6:$B$45,0)),0))))</f>
        <v/>
      </c>
      <c r="O776" s="14">
        <f>IF(B776="","",IF(J776&lt;&gt;"",0,ROUND(M776*N776,2)))</f>
        <v/>
      </c>
      <c r="P776" s="15">
        <f>IF(OR(B776="",J776&lt;&gt;""),"",IF(L776&lt;&gt;"",L776,IF(COUNTIFS(Invoices!$C$6:$C$305,C776,Invoices!$E$6:$E$305,"&lt;="&amp;B776,Invoices!$F$6:$F$305,"&gt;="&amp;B776)=1,INDEX(Invoices!$B$6:$B$305,SUMIFS(Invoices!$O$6:$O$305,Invoices!$C$6:$C$305,C776,Invoices!$E$6:$E$305,"&lt;="&amp;B776,Invoices!$F$6:$F$305,"&gt;="&amp;B776)),IF(COUNTIFS(Invoices!$C$6:$C$305,C776,Invoices!$E$6:$E$305,"&lt;="&amp;B776,Invoices!$F$6:$F$305,"&gt;="&amp;B776)&gt;1,"Two invoices",""))))</f>
        <v/>
      </c>
      <c r="Q776" s="15">
        <f>IF(B776="","",IF(J776&lt;&gt;"","Not billable",IF(P776="","To invoice",IF(P776="Two invoices","Check dates",IF(ISNA(MATCH(P776,Invoices!$B$6:$B$305,0)),"Check number",IF(INDEX(Invoices!$M$6:$M$305,MATCH(P776,Invoices!$B$6:$B$305,0))="Paid","Paid",IF(INDEX(Invoices!$M$6:$M$305,MATCH(P776,Invoices!$B$6:$B$305,0))="Draft","Draft","Invoiced")))))))</f>
        <v/>
      </c>
      <c r="R776" s="1">
        <f>IF(AND(B776&lt;&gt;"",P776&lt;&gt;"",P776=Invoice!$G$4),B776+MOD(N(F776),1)+ROW()/10000000,"")</f>
        <v/>
      </c>
      <c r="S776">
        <f>IF(R776="","",IF(D776="","Other work",D776)&amp;IF(AND(K776&lt;&gt;"",E776&lt;&gt;""),", "&amp;E776,""))</f>
        <v/>
      </c>
      <c r="T776">
        <f>IF(R776="","",IF(COUNTIFS(R$6:R775,"&gt;0",S$6:S775,S776,N$6:N775,N776)=0,R776,""))</f>
        <v/>
      </c>
      <c r="U776">
        <f>IF(B776="","",IF(J776&lt;&gt;"",0,M776))</f>
        <v/>
      </c>
    </row>
    <row r="777">
      <c r="A777" s="1" t="n"/>
      <c r="B777" s="16" t="n"/>
      <c r="C777" s="17" t="n"/>
      <c r="D777" s="18" t="n"/>
      <c r="E777" s="18" t="n"/>
      <c r="F777" s="19" t="n"/>
      <c r="G777" s="19" t="n"/>
      <c r="H777" s="20" t="n"/>
      <c r="I777" s="21" t="n"/>
      <c r="J777" s="22" t="n"/>
      <c r="K777" s="23" t="n"/>
      <c r="L777" s="18" t="n"/>
      <c r="M777" s="24">
        <f>IF(B777="","",IF(AND(F777&lt;&gt;"",G777&lt;&gt;""),MAX(0,ROUND(MOD(G777-F777,1)*24-N(H777)/60,2)),N(I777)))</f>
        <v/>
      </c>
      <c r="N777" s="14">
        <f>IF(B777="","",IF(K777&lt;&gt;"",K777,IF(N(IFERROR(INDEX(Projects!$D$6:$D$65,MATCH(D777,Projects!$B$6:$B$65,0)),""))&gt;0,IFERROR(INDEX(Projects!$D$6:$D$65,MATCH(D777,Projects!$B$6:$B$65,0)),""),IFERROR(INDEX(Clients!$G$6:$G$45,MATCH(C777,Clients!$B$6:$B$45,0)),0))))</f>
        <v/>
      </c>
      <c r="O777" s="14">
        <f>IF(B777="","",IF(J777&lt;&gt;"",0,ROUND(M777*N777,2)))</f>
        <v/>
      </c>
      <c r="P777" s="15">
        <f>IF(OR(B777="",J777&lt;&gt;""),"",IF(L777&lt;&gt;"",L777,IF(COUNTIFS(Invoices!$C$6:$C$305,C777,Invoices!$E$6:$E$305,"&lt;="&amp;B777,Invoices!$F$6:$F$305,"&gt;="&amp;B777)=1,INDEX(Invoices!$B$6:$B$305,SUMIFS(Invoices!$O$6:$O$305,Invoices!$C$6:$C$305,C777,Invoices!$E$6:$E$305,"&lt;="&amp;B777,Invoices!$F$6:$F$305,"&gt;="&amp;B777)),IF(COUNTIFS(Invoices!$C$6:$C$305,C777,Invoices!$E$6:$E$305,"&lt;="&amp;B777,Invoices!$F$6:$F$305,"&gt;="&amp;B777)&gt;1,"Two invoices",""))))</f>
        <v/>
      </c>
      <c r="Q777" s="15">
        <f>IF(B777="","",IF(J777&lt;&gt;"","Not billable",IF(P777="","To invoice",IF(P777="Two invoices","Check dates",IF(ISNA(MATCH(P777,Invoices!$B$6:$B$305,0)),"Check number",IF(INDEX(Invoices!$M$6:$M$305,MATCH(P777,Invoices!$B$6:$B$305,0))="Paid","Paid",IF(INDEX(Invoices!$M$6:$M$305,MATCH(P777,Invoices!$B$6:$B$305,0))="Draft","Draft","Invoiced")))))))</f>
        <v/>
      </c>
      <c r="R777" s="1">
        <f>IF(AND(B777&lt;&gt;"",P777&lt;&gt;"",P777=Invoice!$G$4),B777+MOD(N(F777),1)+ROW()/10000000,"")</f>
        <v/>
      </c>
      <c r="S777">
        <f>IF(R777="","",IF(D777="","Other work",D777)&amp;IF(AND(K777&lt;&gt;"",E777&lt;&gt;""),", "&amp;E777,""))</f>
        <v/>
      </c>
      <c r="T777">
        <f>IF(R777="","",IF(COUNTIFS(R$6:R776,"&gt;0",S$6:S776,S777,N$6:N776,N777)=0,R777,""))</f>
        <v/>
      </c>
      <c r="U777">
        <f>IF(B777="","",IF(J777&lt;&gt;"",0,M777))</f>
        <v/>
      </c>
    </row>
    <row r="778">
      <c r="A778" s="1" t="n"/>
      <c r="B778" s="16" t="n"/>
      <c r="C778" s="17" t="n"/>
      <c r="D778" s="18" t="n"/>
      <c r="E778" s="18" t="n"/>
      <c r="F778" s="19" t="n"/>
      <c r="G778" s="19" t="n"/>
      <c r="H778" s="20" t="n"/>
      <c r="I778" s="21" t="n"/>
      <c r="J778" s="22" t="n"/>
      <c r="K778" s="23" t="n"/>
      <c r="L778" s="18" t="n"/>
      <c r="M778" s="24">
        <f>IF(B778="","",IF(AND(F778&lt;&gt;"",G778&lt;&gt;""),MAX(0,ROUND(MOD(G778-F778,1)*24-N(H778)/60,2)),N(I778)))</f>
        <v/>
      </c>
      <c r="N778" s="14">
        <f>IF(B778="","",IF(K778&lt;&gt;"",K778,IF(N(IFERROR(INDEX(Projects!$D$6:$D$65,MATCH(D778,Projects!$B$6:$B$65,0)),""))&gt;0,IFERROR(INDEX(Projects!$D$6:$D$65,MATCH(D778,Projects!$B$6:$B$65,0)),""),IFERROR(INDEX(Clients!$G$6:$G$45,MATCH(C778,Clients!$B$6:$B$45,0)),0))))</f>
        <v/>
      </c>
      <c r="O778" s="14">
        <f>IF(B778="","",IF(J778&lt;&gt;"",0,ROUND(M778*N778,2)))</f>
        <v/>
      </c>
      <c r="P778" s="15">
        <f>IF(OR(B778="",J778&lt;&gt;""),"",IF(L778&lt;&gt;"",L778,IF(COUNTIFS(Invoices!$C$6:$C$305,C778,Invoices!$E$6:$E$305,"&lt;="&amp;B778,Invoices!$F$6:$F$305,"&gt;="&amp;B778)=1,INDEX(Invoices!$B$6:$B$305,SUMIFS(Invoices!$O$6:$O$305,Invoices!$C$6:$C$305,C778,Invoices!$E$6:$E$305,"&lt;="&amp;B778,Invoices!$F$6:$F$305,"&gt;="&amp;B778)),IF(COUNTIFS(Invoices!$C$6:$C$305,C778,Invoices!$E$6:$E$305,"&lt;="&amp;B778,Invoices!$F$6:$F$305,"&gt;="&amp;B778)&gt;1,"Two invoices",""))))</f>
        <v/>
      </c>
      <c r="Q778" s="15">
        <f>IF(B778="","",IF(J778&lt;&gt;"","Not billable",IF(P778="","To invoice",IF(P778="Two invoices","Check dates",IF(ISNA(MATCH(P778,Invoices!$B$6:$B$305,0)),"Check number",IF(INDEX(Invoices!$M$6:$M$305,MATCH(P778,Invoices!$B$6:$B$305,0))="Paid","Paid",IF(INDEX(Invoices!$M$6:$M$305,MATCH(P778,Invoices!$B$6:$B$305,0))="Draft","Draft","Invoiced")))))))</f>
        <v/>
      </c>
      <c r="R778" s="1">
        <f>IF(AND(B778&lt;&gt;"",P778&lt;&gt;"",P778=Invoice!$G$4),B778+MOD(N(F778),1)+ROW()/10000000,"")</f>
        <v/>
      </c>
      <c r="S778">
        <f>IF(R778="","",IF(D778="","Other work",D778)&amp;IF(AND(K778&lt;&gt;"",E778&lt;&gt;""),", "&amp;E778,""))</f>
        <v/>
      </c>
      <c r="T778">
        <f>IF(R778="","",IF(COUNTIFS(R$6:R777,"&gt;0",S$6:S777,S778,N$6:N777,N778)=0,R778,""))</f>
        <v/>
      </c>
      <c r="U778">
        <f>IF(B778="","",IF(J778&lt;&gt;"",0,M778))</f>
        <v/>
      </c>
    </row>
    <row r="779">
      <c r="A779" s="1" t="n"/>
      <c r="B779" s="16" t="n"/>
      <c r="C779" s="17" t="n"/>
      <c r="D779" s="18" t="n"/>
      <c r="E779" s="18" t="n"/>
      <c r="F779" s="19" t="n"/>
      <c r="G779" s="19" t="n"/>
      <c r="H779" s="20" t="n"/>
      <c r="I779" s="21" t="n"/>
      <c r="J779" s="22" t="n"/>
      <c r="K779" s="23" t="n"/>
      <c r="L779" s="18" t="n"/>
      <c r="M779" s="24">
        <f>IF(B779="","",IF(AND(F779&lt;&gt;"",G779&lt;&gt;""),MAX(0,ROUND(MOD(G779-F779,1)*24-N(H779)/60,2)),N(I779)))</f>
        <v/>
      </c>
      <c r="N779" s="14">
        <f>IF(B779="","",IF(K779&lt;&gt;"",K779,IF(N(IFERROR(INDEX(Projects!$D$6:$D$65,MATCH(D779,Projects!$B$6:$B$65,0)),""))&gt;0,IFERROR(INDEX(Projects!$D$6:$D$65,MATCH(D779,Projects!$B$6:$B$65,0)),""),IFERROR(INDEX(Clients!$G$6:$G$45,MATCH(C779,Clients!$B$6:$B$45,0)),0))))</f>
        <v/>
      </c>
      <c r="O779" s="14">
        <f>IF(B779="","",IF(J779&lt;&gt;"",0,ROUND(M779*N779,2)))</f>
        <v/>
      </c>
      <c r="P779" s="15">
        <f>IF(OR(B779="",J779&lt;&gt;""),"",IF(L779&lt;&gt;"",L779,IF(COUNTIFS(Invoices!$C$6:$C$305,C779,Invoices!$E$6:$E$305,"&lt;="&amp;B779,Invoices!$F$6:$F$305,"&gt;="&amp;B779)=1,INDEX(Invoices!$B$6:$B$305,SUMIFS(Invoices!$O$6:$O$305,Invoices!$C$6:$C$305,C779,Invoices!$E$6:$E$305,"&lt;="&amp;B779,Invoices!$F$6:$F$305,"&gt;="&amp;B779)),IF(COUNTIFS(Invoices!$C$6:$C$305,C779,Invoices!$E$6:$E$305,"&lt;="&amp;B779,Invoices!$F$6:$F$305,"&gt;="&amp;B779)&gt;1,"Two invoices",""))))</f>
        <v/>
      </c>
      <c r="Q779" s="15">
        <f>IF(B779="","",IF(J779&lt;&gt;"","Not billable",IF(P779="","To invoice",IF(P779="Two invoices","Check dates",IF(ISNA(MATCH(P779,Invoices!$B$6:$B$305,0)),"Check number",IF(INDEX(Invoices!$M$6:$M$305,MATCH(P779,Invoices!$B$6:$B$305,0))="Paid","Paid",IF(INDEX(Invoices!$M$6:$M$305,MATCH(P779,Invoices!$B$6:$B$305,0))="Draft","Draft","Invoiced")))))))</f>
        <v/>
      </c>
      <c r="R779" s="1">
        <f>IF(AND(B779&lt;&gt;"",P779&lt;&gt;"",P779=Invoice!$G$4),B779+MOD(N(F779),1)+ROW()/10000000,"")</f>
        <v/>
      </c>
      <c r="S779">
        <f>IF(R779="","",IF(D779="","Other work",D779)&amp;IF(AND(K779&lt;&gt;"",E779&lt;&gt;""),", "&amp;E779,""))</f>
        <v/>
      </c>
      <c r="T779">
        <f>IF(R779="","",IF(COUNTIFS(R$6:R778,"&gt;0",S$6:S778,S779,N$6:N778,N779)=0,R779,""))</f>
        <v/>
      </c>
      <c r="U779">
        <f>IF(B779="","",IF(J779&lt;&gt;"",0,M779))</f>
        <v/>
      </c>
    </row>
    <row r="780">
      <c r="A780" s="1" t="n"/>
      <c r="B780" s="16" t="n"/>
      <c r="C780" s="17" t="n"/>
      <c r="D780" s="18" t="n"/>
      <c r="E780" s="18" t="n"/>
      <c r="F780" s="19" t="n"/>
      <c r="G780" s="19" t="n"/>
      <c r="H780" s="20" t="n"/>
      <c r="I780" s="21" t="n"/>
      <c r="J780" s="22" t="n"/>
      <c r="K780" s="23" t="n"/>
      <c r="L780" s="18" t="n"/>
      <c r="M780" s="24">
        <f>IF(B780="","",IF(AND(F780&lt;&gt;"",G780&lt;&gt;""),MAX(0,ROUND(MOD(G780-F780,1)*24-N(H780)/60,2)),N(I780)))</f>
        <v/>
      </c>
      <c r="N780" s="14">
        <f>IF(B780="","",IF(K780&lt;&gt;"",K780,IF(N(IFERROR(INDEX(Projects!$D$6:$D$65,MATCH(D780,Projects!$B$6:$B$65,0)),""))&gt;0,IFERROR(INDEX(Projects!$D$6:$D$65,MATCH(D780,Projects!$B$6:$B$65,0)),""),IFERROR(INDEX(Clients!$G$6:$G$45,MATCH(C780,Clients!$B$6:$B$45,0)),0))))</f>
        <v/>
      </c>
      <c r="O780" s="14">
        <f>IF(B780="","",IF(J780&lt;&gt;"",0,ROUND(M780*N780,2)))</f>
        <v/>
      </c>
      <c r="P780" s="15">
        <f>IF(OR(B780="",J780&lt;&gt;""),"",IF(L780&lt;&gt;"",L780,IF(COUNTIFS(Invoices!$C$6:$C$305,C780,Invoices!$E$6:$E$305,"&lt;="&amp;B780,Invoices!$F$6:$F$305,"&gt;="&amp;B780)=1,INDEX(Invoices!$B$6:$B$305,SUMIFS(Invoices!$O$6:$O$305,Invoices!$C$6:$C$305,C780,Invoices!$E$6:$E$305,"&lt;="&amp;B780,Invoices!$F$6:$F$305,"&gt;="&amp;B780)),IF(COUNTIFS(Invoices!$C$6:$C$305,C780,Invoices!$E$6:$E$305,"&lt;="&amp;B780,Invoices!$F$6:$F$305,"&gt;="&amp;B780)&gt;1,"Two invoices",""))))</f>
        <v/>
      </c>
      <c r="Q780" s="15">
        <f>IF(B780="","",IF(J780&lt;&gt;"","Not billable",IF(P780="","To invoice",IF(P780="Two invoices","Check dates",IF(ISNA(MATCH(P780,Invoices!$B$6:$B$305,0)),"Check number",IF(INDEX(Invoices!$M$6:$M$305,MATCH(P780,Invoices!$B$6:$B$305,0))="Paid","Paid",IF(INDEX(Invoices!$M$6:$M$305,MATCH(P780,Invoices!$B$6:$B$305,0))="Draft","Draft","Invoiced")))))))</f>
        <v/>
      </c>
      <c r="R780" s="1">
        <f>IF(AND(B780&lt;&gt;"",P780&lt;&gt;"",P780=Invoice!$G$4),B780+MOD(N(F780),1)+ROW()/10000000,"")</f>
        <v/>
      </c>
      <c r="S780">
        <f>IF(R780="","",IF(D780="","Other work",D780)&amp;IF(AND(K780&lt;&gt;"",E780&lt;&gt;""),", "&amp;E780,""))</f>
        <v/>
      </c>
      <c r="T780">
        <f>IF(R780="","",IF(COUNTIFS(R$6:R779,"&gt;0",S$6:S779,S780,N$6:N779,N780)=0,R780,""))</f>
        <v/>
      </c>
      <c r="U780">
        <f>IF(B780="","",IF(J780&lt;&gt;"",0,M780))</f>
        <v/>
      </c>
    </row>
    <row r="781">
      <c r="A781" s="1" t="n"/>
      <c r="B781" s="16" t="n"/>
      <c r="C781" s="17" t="n"/>
      <c r="D781" s="18" t="n"/>
      <c r="E781" s="18" t="n"/>
      <c r="F781" s="19" t="n"/>
      <c r="G781" s="19" t="n"/>
      <c r="H781" s="20" t="n"/>
      <c r="I781" s="21" t="n"/>
      <c r="J781" s="22" t="n"/>
      <c r="K781" s="23" t="n"/>
      <c r="L781" s="18" t="n"/>
      <c r="M781" s="24">
        <f>IF(B781="","",IF(AND(F781&lt;&gt;"",G781&lt;&gt;""),MAX(0,ROUND(MOD(G781-F781,1)*24-N(H781)/60,2)),N(I781)))</f>
        <v/>
      </c>
      <c r="N781" s="14">
        <f>IF(B781="","",IF(K781&lt;&gt;"",K781,IF(N(IFERROR(INDEX(Projects!$D$6:$D$65,MATCH(D781,Projects!$B$6:$B$65,0)),""))&gt;0,IFERROR(INDEX(Projects!$D$6:$D$65,MATCH(D781,Projects!$B$6:$B$65,0)),""),IFERROR(INDEX(Clients!$G$6:$G$45,MATCH(C781,Clients!$B$6:$B$45,0)),0))))</f>
        <v/>
      </c>
      <c r="O781" s="14">
        <f>IF(B781="","",IF(J781&lt;&gt;"",0,ROUND(M781*N781,2)))</f>
        <v/>
      </c>
      <c r="P781" s="15">
        <f>IF(OR(B781="",J781&lt;&gt;""),"",IF(L781&lt;&gt;"",L781,IF(COUNTIFS(Invoices!$C$6:$C$305,C781,Invoices!$E$6:$E$305,"&lt;="&amp;B781,Invoices!$F$6:$F$305,"&gt;="&amp;B781)=1,INDEX(Invoices!$B$6:$B$305,SUMIFS(Invoices!$O$6:$O$305,Invoices!$C$6:$C$305,C781,Invoices!$E$6:$E$305,"&lt;="&amp;B781,Invoices!$F$6:$F$305,"&gt;="&amp;B781)),IF(COUNTIFS(Invoices!$C$6:$C$305,C781,Invoices!$E$6:$E$305,"&lt;="&amp;B781,Invoices!$F$6:$F$305,"&gt;="&amp;B781)&gt;1,"Two invoices",""))))</f>
        <v/>
      </c>
      <c r="Q781" s="15">
        <f>IF(B781="","",IF(J781&lt;&gt;"","Not billable",IF(P781="","To invoice",IF(P781="Two invoices","Check dates",IF(ISNA(MATCH(P781,Invoices!$B$6:$B$305,0)),"Check number",IF(INDEX(Invoices!$M$6:$M$305,MATCH(P781,Invoices!$B$6:$B$305,0))="Paid","Paid",IF(INDEX(Invoices!$M$6:$M$305,MATCH(P781,Invoices!$B$6:$B$305,0))="Draft","Draft","Invoiced")))))))</f>
        <v/>
      </c>
      <c r="R781" s="1">
        <f>IF(AND(B781&lt;&gt;"",P781&lt;&gt;"",P781=Invoice!$G$4),B781+MOD(N(F781),1)+ROW()/10000000,"")</f>
        <v/>
      </c>
      <c r="S781">
        <f>IF(R781="","",IF(D781="","Other work",D781)&amp;IF(AND(K781&lt;&gt;"",E781&lt;&gt;""),", "&amp;E781,""))</f>
        <v/>
      </c>
      <c r="T781">
        <f>IF(R781="","",IF(COUNTIFS(R$6:R780,"&gt;0",S$6:S780,S781,N$6:N780,N781)=0,R781,""))</f>
        <v/>
      </c>
      <c r="U781">
        <f>IF(B781="","",IF(J781&lt;&gt;"",0,M781))</f>
        <v/>
      </c>
    </row>
    <row r="782">
      <c r="A782" s="1" t="n"/>
      <c r="B782" s="16" t="n"/>
      <c r="C782" s="17" t="n"/>
      <c r="D782" s="18" t="n"/>
      <c r="E782" s="18" t="n"/>
      <c r="F782" s="19" t="n"/>
      <c r="G782" s="19" t="n"/>
      <c r="H782" s="20" t="n"/>
      <c r="I782" s="21" t="n"/>
      <c r="J782" s="22" t="n"/>
      <c r="K782" s="23" t="n"/>
      <c r="L782" s="18" t="n"/>
      <c r="M782" s="24">
        <f>IF(B782="","",IF(AND(F782&lt;&gt;"",G782&lt;&gt;""),MAX(0,ROUND(MOD(G782-F782,1)*24-N(H782)/60,2)),N(I782)))</f>
        <v/>
      </c>
      <c r="N782" s="14">
        <f>IF(B782="","",IF(K782&lt;&gt;"",K782,IF(N(IFERROR(INDEX(Projects!$D$6:$D$65,MATCH(D782,Projects!$B$6:$B$65,0)),""))&gt;0,IFERROR(INDEX(Projects!$D$6:$D$65,MATCH(D782,Projects!$B$6:$B$65,0)),""),IFERROR(INDEX(Clients!$G$6:$G$45,MATCH(C782,Clients!$B$6:$B$45,0)),0))))</f>
        <v/>
      </c>
      <c r="O782" s="14">
        <f>IF(B782="","",IF(J782&lt;&gt;"",0,ROUND(M782*N782,2)))</f>
        <v/>
      </c>
      <c r="P782" s="15">
        <f>IF(OR(B782="",J782&lt;&gt;""),"",IF(L782&lt;&gt;"",L782,IF(COUNTIFS(Invoices!$C$6:$C$305,C782,Invoices!$E$6:$E$305,"&lt;="&amp;B782,Invoices!$F$6:$F$305,"&gt;="&amp;B782)=1,INDEX(Invoices!$B$6:$B$305,SUMIFS(Invoices!$O$6:$O$305,Invoices!$C$6:$C$305,C782,Invoices!$E$6:$E$305,"&lt;="&amp;B782,Invoices!$F$6:$F$305,"&gt;="&amp;B782)),IF(COUNTIFS(Invoices!$C$6:$C$305,C782,Invoices!$E$6:$E$305,"&lt;="&amp;B782,Invoices!$F$6:$F$305,"&gt;="&amp;B782)&gt;1,"Two invoices",""))))</f>
        <v/>
      </c>
      <c r="Q782" s="15">
        <f>IF(B782="","",IF(J782&lt;&gt;"","Not billable",IF(P782="","To invoice",IF(P782="Two invoices","Check dates",IF(ISNA(MATCH(P782,Invoices!$B$6:$B$305,0)),"Check number",IF(INDEX(Invoices!$M$6:$M$305,MATCH(P782,Invoices!$B$6:$B$305,0))="Paid","Paid",IF(INDEX(Invoices!$M$6:$M$305,MATCH(P782,Invoices!$B$6:$B$305,0))="Draft","Draft","Invoiced")))))))</f>
        <v/>
      </c>
      <c r="R782" s="1">
        <f>IF(AND(B782&lt;&gt;"",P782&lt;&gt;"",P782=Invoice!$G$4),B782+MOD(N(F782),1)+ROW()/10000000,"")</f>
        <v/>
      </c>
      <c r="S782">
        <f>IF(R782="","",IF(D782="","Other work",D782)&amp;IF(AND(K782&lt;&gt;"",E782&lt;&gt;""),", "&amp;E782,""))</f>
        <v/>
      </c>
      <c r="T782">
        <f>IF(R782="","",IF(COUNTIFS(R$6:R781,"&gt;0",S$6:S781,S782,N$6:N781,N782)=0,R782,""))</f>
        <v/>
      </c>
      <c r="U782">
        <f>IF(B782="","",IF(J782&lt;&gt;"",0,M782))</f>
        <v/>
      </c>
    </row>
    <row r="783">
      <c r="A783" s="1" t="n"/>
      <c r="B783" s="16" t="n"/>
      <c r="C783" s="17" t="n"/>
      <c r="D783" s="18" t="n"/>
      <c r="E783" s="18" t="n"/>
      <c r="F783" s="19" t="n"/>
      <c r="G783" s="19" t="n"/>
      <c r="H783" s="20" t="n"/>
      <c r="I783" s="21" t="n"/>
      <c r="J783" s="22" t="n"/>
      <c r="K783" s="23" t="n"/>
      <c r="L783" s="18" t="n"/>
      <c r="M783" s="24">
        <f>IF(B783="","",IF(AND(F783&lt;&gt;"",G783&lt;&gt;""),MAX(0,ROUND(MOD(G783-F783,1)*24-N(H783)/60,2)),N(I783)))</f>
        <v/>
      </c>
      <c r="N783" s="14">
        <f>IF(B783="","",IF(K783&lt;&gt;"",K783,IF(N(IFERROR(INDEX(Projects!$D$6:$D$65,MATCH(D783,Projects!$B$6:$B$65,0)),""))&gt;0,IFERROR(INDEX(Projects!$D$6:$D$65,MATCH(D783,Projects!$B$6:$B$65,0)),""),IFERROR(INDEX(Clients!$G$6:$G$45,MATCH(C783,Clients!$B$6:$B$45,0)),0))))</f>
        <v/>
      </c>
      <c r="O783" s="14">
        <f>IF(B783="","",IF(J783&lt;&gt;"",0,ROUND(M783*N783,2)))</f>
        <v/>
      </c>
      <c r="P783" s="15">
        <f>IF(OR(B783="",J783&lt;&gt;""),"",IF(L783&lt;&gt;"",L783,IF(COUNTIFS(Invoices!$C$6:$C$305,C783,Invoices!$E$6:$E$305,"&lt;="&amp;B783,Invoices!$F$6:$F$305,"&gt;="&amp;B783)=1,INDEX(Invoices!$B$6:$B$305,SUMIFS(Invoices!$O$6:$O$305,Invoices!$C$6:$C$305,C783,Invoices!$E$6:$E$305,"&lt;="&amp;B783,Invoices!$F$6:$F$305,"&gt;="&amp;B783)),IF(COUNTIFS(Invoices!$C$6:$C$305,C783,Invoices!$E$6:$E$305,"&lt;="&amp;B783,Invoices!$F$6:$F$305,"&gt;="&amp;B783)&gt;1,"Two invoices",""))))</f>
        <v/>
      </c>
      <c r="Q783" s="15">
        <f>IF(B783="","",IF(J783&lt;&gt;"","Not billable",IF(P783="","To invoice",IF(P783="Two invoices","Check dates",IF(ISNA(MATCH(P783,Invoices!$B$6:$B$305,0)),"Check number",IF(INDEX(Invoices!$M$6:$M$305,MATCH(P783,Invoices!$B$6:$B$305,0))="Paid","Paid",IF(INDEX(Invoices!$M$6:$M$305,MATCH(P783,Invoices!$B$6:$B$305,0))="Draft","Draft","Invoiced")))))))</f>
        <v/>
      </c>
      <c r="R783" s="1">
        <f>IF(AND(B783&lt;&gt;"",P783&lt;&gt;"",P783=Invoice!$G$4),B783+MOD(N(F783),1)+ROW()/10000000,"")</f>
        <v/>
      </c>
      <c r="S783">
        <f>IF(R783="","",IF(D783="","Other work",D783)&amp;IF(AND(K783&lt;&gt;"",E783&lt;&gt;""),", "&amp;E783,""))</f>
        <v/>
      </c>
      <c r="T783">
        <f>IF(R783="","",IF(COUNTIFS(R$6:R782,"&gt;0",S$6:S782,S783,N$6:N782,N783)=0,R783,""))</f>
        <v/>
      </c>
      <c r="U783">
        <f>IF(B783="","",IF(J783&lt;&gt;"",0,M783))</f>
        <v/>
      </c>
    </row>
    <row r="784">
      <c r="A784" s="1" t="n"/>
      <c r="B784" s="16" t="n"/>
      <c r="C784" s="17" t="n"/>
      <c r="D784" s="18" t="n"/>
      <c r="E784" s="18" t="n"/>
      <c r="F784" s="19" t="n"/>
      <c r="G784" s="19" t="n"/>
      <c r="H784" s="20" t="n"/>
      <c r="I784" s="21" t="n"/>
      <c r="J784" s="22" t="n"/>
      <c r="K784" s="23" t="n"/>
      <c r="L784" s="18" t="n"/>
      <c r="M784" s="24">
        <f>IF(B784="","",IF(AND(F784&lt;&gt;"",G784&lt;&gt;""),MAX(0,ROUND(MOD(G784-F784,1)*24-N(H784)/60,2)),N(I784)))</f>
        <v/>
      </c>
      <c r="N784" s="14">
        <f>IF(B784="","",IF(K784&lt;&gt;"",K784,IF(N(IFERROR(INDEX(Projects!$D$6:$D$65,MATCH(D784,Projects!$B$6:$B$65,0)),""))&gt;0,IFERROR(INDEX(Projects!$D$6:$D$65,MATCH(D784,Projects!$B$6:$B$65,0)),""),IFERROR(INDEX(Clients!$G$6:$G$45,MATCH(C784,Clients!$B$6:$B$45,0)),0))))</f>
        <v/>
      </c>
      <c r="O784" s="14">
        <f>IF(B784="","",IF(J784&lt;&gt;"",0,ROUND(M784*N784,2)))</f>
        <v/>
      </c>
      <c r="P784" s="15">
        <f>IF(OR(B784="",J784&lt;&gt;""),"",IF(L784&lt;&gt;"",L784,IF(COUNTIFS(Invoices!$C$6:$C$305,C784,Invoices!$E$6:$E$305,"&lt;="&amp;B784,Invoices!$F$6:$F$305,"&gt;="&amp;B784)=1,INDEX(Invoices!$B$6:$B$305,SUMIFS(Invoices!$O$6:$O$305,Invoices!$C$6:$C$305,C784,Invoices!$E$6:$E$305,"&lt;="&amp;B784,Invoices!$F$6:$F$305,"&gt;="&amp;B784)),IF(COUNTIFS(Invoices!$C$6:$C$305,C784,Invoices!$E$6:$E$305,"&lt;="&amp;B784,Invoices!$F$6:$F$305,"&gt;="&amp;B784)&gt;1,"Two invoices",""))))</f>
        <v/>
      </c>
      <c r="Q784" s="15">
        <f>IF(B784="","",IF(J784&lt;&gt;"","Not billable",IF(P784="","To invoice",IF(P784="Two invoices","Check dates",IF(ISNA(MATCH(P784,Invoices!$B$6:$B$305,0)),"Check number",IF(INDEX(Invoices!$M$6:$M$305,MATCH(P784,Invoices!$B$6:$B$305,0))="Paid","Paid",IF(INDEX(Invoices!$M$6:$M$305,MATCH(P784,Invoices!$B$6:$B$305,0))="Draft","Draft","Invoiced")))))))</f>
        <v/>
      </c>
      <c r="R784" s="1">
        <f>IF(AND(B784&lt;&gt;"",P784&lt;&gt;"",P784=Invoice!$G$4),B784+MOD(N(F784),1)+ROW()/10000000,"")</f>
        <v/>
      </c>
      <c r="S784">
        <f>IF(R784="","",IF(D784="","Other work",D784)&amp;IF(AND(K784&lt;&gt;"",E784&lt;&gt;""),", "&amp;E784,""))</f>
        <v/>
      </c>
      <c r="T784">
        <f>IF(R784="","",IF(COUNTIFS(R$6:R783,"&gt;0",S$6:S783,S784,N$6:N783,N784)=0,R784,""))</f>
        <v/>
      </c>
      <c r="U784">
        <f>IF(B784="","",IF(J784&lt;&gt;"",0,M784))</f>
        <v/>
      </c>
    </row>
    <row r="785">
      <c r="A785" s="1" t="n"/>
      <c r="B785" s="16" t="n"/>
      <c r="C785" s="17" t="n"/>
      <c r="D785" s="18" t="n"/>
      <c r="E785" s="18" t="n"/>
      <c r="F785" s="19" t="n"/>
      <c r="G785" s="19" t="n"/>
      <c r="H785" s="20" t="n"/>
      <c r="I785" s="21" t="n"/>
      <c r="J785" s="22" t="n"/>
      <c r="K785" s="23" t="n"/>
      <c r="L785" s="18" t="n"/>
      <c r="M785" s="24">
        <f>IF(B785="","",IF(AND(F785&lt;&gt;"",G785&lt;&gt;""),MAX(0,ROUND(MOD(G785-F785,1)*24-N(H785)/60,2)),N(I785)))</f>
        <v/>
      </c>
      <c r="N785" s="14">
        <f>IF(B785="","",IF(K785&lt;&gt;"",K785,IF(N(IFERROR(INDEX(Projects!$D$6:$D$65,MATCH(D785,Projects!$B$6:$B$65,0)),""))&gt;0,IFERROR(INDEX(Projects!$D$6:$D$65,MATCH(D785,Projects!$B$6:$B$65,0)),""),IFERROR(INDEX(Clients!$G$6:$G$45,MATCH(C785,Clients!$B$6:$B$45,0)),0))))</f>
        <v/>
      </c>
      <c r="O785" s="14">
        <f>IF(B785="","",IF(J785&lt;&gt;"",0,ROUND(M785*N785,2)))</f>
        <v/>
      </c>
      <c r="P785" s="15">
        <f>IF(OR(B785="",J785&lt;&gt;""),"",IF(L785&lt;&gt;"",L785,IF(COUNTIFS(Invoices!$C$6:$C$305,C785,Invoices!$E$6:$E$305,"&lt;="&amp;B785,Invoices!$F$6:$F$305,"&gt;="&amp;B785)=1,INDEX(Invoices!$B$6:$B$305,SUMIFS(Invoices!$O$6:$O$305,Invoices!$C$6:$C$305,C785,Invoices!$E$6:$E$305,"&lt;="&amp;B785,Invoices!$F$6:$F$305,"&gt;="&amp;B785)),IF(COUNTIFS(Invoices!$C$6:$C$305,C785,Invoices!$E$6:$E$305,"&lt;="&amp;B785,Invoices!$F$6:$F$305,"&gt;="&amp;B785)&gt;1,"Two invoices",""))))</f>
        <v/>
      </c>
      <c r="Q785" s="15">
        <f>IF(B785="","",IF(J785&lt;&gt;"","Not billable",IF(P785="","To invoice",IF(P785="Two invoices","Check dates",IF(ISNA(MATCH(P785,Invoices!$B$6:$B$305,0)),"Check number",IF(INDEX(Invoices!$M$6:$M$305,MATCH(P785,Invoices!$B$6:$B$305,0))="Paid","Paid",IF(INDEX(Invoices!$M$6:$M$305,MATCH(P785,Invoices!$B$6:$B$305,0))="Draft","Draft","Invoiced")))))))</f>
        <v/>
      </c>
      <c r="R785" s="1">
        <f>IF(AND(B785&lt;&gt;"",P785&lt;&gt;"",P785=Invoice!$G$4),B785+MOD(N(F785),1)+ROW()/10000000,"")</f>
        <v/>
      </c>
      <c r="S785">
        <f>IF(R785="","",IF(D785="","Other work",D785)&amp;IF(AND(K785&lt;&gt;"",E785&lt;&gt;""),", "&amp;E785,""))</f>
        <v/>
      </c>
      <c r="T785">
        <f>IF(R785="","",IF(COUNTIFS(R$6:R784,"&gt;0",S$6:S784,S785,N$6:N784,N785)=0,R785,""))</f>
        <v/>
      </c>
      <c r="U785">
        <f>IF(B785="","",IF(J785&lt;&gt;"",0,M785))</f>
        <v/>
      </c>
    </row>
    <row r="786">
      <c r="A786" s="1" t="n"/>
      <c r="B786" s="16" t="n"/>
      <c r="C786" s="17" t="n"/>
      <c r="D786" s="18" t="n"/>
      <c r="E786" s="18" t="n"/>
      <c r="F786" s="19" t="n"/>
      <c r="G786" s="19" t="n"/>
      <c r="H786" s="20" t="n"/>
      <c r="I786" s="21" t="n"/>
      <c r="J786" s="22" t="n"/>
      <c r="K786" s="23" t="n"/>
      <c r="L786" s="18" t="n"/>
      <c r="M786" s="24">
        <f>IF(B786="","",IF(AND(F786&lt;&gt;"",G786&lt;&gt;""),MAX(0,ROUND(MOD(G786-F786,1)*24-N(H786)/60,2)),N(I786)))</f>
        <v/>
      </c>
      <c r="N786" s="14">
        <f>IF(B786="","",IF(K786&lt;&gt;"",K786,IF(N(IFERROR(INDEX(Projects!$D$6:$D$65,MATCH(D786,Projects!$B$6:$B$65,0)),""))&gt;0,IFERROR(INDEX(Projects!$D$6:$D$65,MATCH(D786,Projects!$B$6:$B$65,0)),""),IFERROR(INDEX(Clients!$G$6:$G$45,MATCH(C786,Clients!$B$6:$B$45,0)),0))))</f>
        <v/>
      </c>
      <c r="O786" s="14">
        <f>IF(B786="","",IF(J786&lt;&gt;"",0,ROUND(M786*N786,2)))</f>
        <v/>
      </c>
      <c r="P786" s="15">
        <f>IF(OR(B786="",J786&lt;&gt;""),"",IF(L786&lt;&gt;"",L786,IF(COUNTIFS(Invoices!$C$6:$C$305,C786,Invoices!$E$6:$E$305,"&lt;="&amp;B786,Invoices!$F$6:$F$305,"&gt;="&amp;B786)=1,INDEX(Invoices!$B$6:$B$305,SUMIFS(Invoices!$O$6:$O$305,Invoices!$C$6:$C$305,C786,Invoices!$E$6:$E$305,"&lt;="&amp;B786,Invoices!$F$6:$F$305,"&gt;="&amp;B786)),IF(COUNTIFS(Invoices!$C$6:$C$305,C786,Invoices!$E$6:$E$305,"&lt;="&amp;B786,Invoices!$F$6:$F$305,"&gt;="&amp;B786)&gt;1,"Two invoices",""))))</f>
        <v/>
      </c>
      <c r="Q786" s="15">
        <f>IF(B786="","",IF(J786&lt;&gt;"","Not billable",IF(P786="","To invoice",IF(P786="Two invoices","Check dates",IF(ISNA(MATCH(P786,Invoices!$B$6:$B$305,0)),"Check number",IF(INDEX(Invoices!$M$6:$M$305,MATCH(P786,Invoices!$B$6:$B$305,0))="Paid","Paid",IF(INDEX(Invoices!$M$6:$M$305,MATCH(P786,Invoices!$B$6:$B$305,0))="Draft","Draft","Invoiced")))))))</f>
        <v/>
      </c>
      <c r="R786" s="1">
        <f>IF(AND(B786&lt;&gt;"",P786&lt;&gt;"",P786=Invoice!$G$4),B786+MOD(N(F786),1)+ROW()/10000000,"")</f>
        <v/>
      </c>
      <c r="S786">
        <f>IF(R786="","",IF(D786="","Other work",D786)&amp;IF(AND(K786&lt;&gt;"",E786&lt;&gt;""),", "&amp;E786,""))</f>
        <v/>
      </c>
      <c r="T786">
        <f>IF(R786="","",IF(COUNTIFS(R$6:R785,"&gt;0",S$6:S785,S786,N$6:N785,N786)=0,R786,""))</f>
        <v/>
      </c>
      <c r="U786">
        <f>IF(B786="","",IF(J786&lt;&gt;"",0,M786))</f>
        <v/>
      </c>
    </row>
    <row r="787">
      <c r="A787" s="1" t="n"/>
      <c r="B787" s="16" t="n"/>
      <c r="C787" s="17" t="n"/>
      <c r="D787" s="18" t="n"/>
      <c r="E787" s="18" t="n"/>
      <c r="F787" s="19" t="n"/>
      <c r="G787" s="19" t="n"/>
      <c r="H787" s="20" t="n"/>
      <c r="I787" s="21" t="n"/>
      <c r="J787" s="22" t="n"/>
      <c r="K787" s="23" t="n"/>
      <c r="L787" s="18" t="n"/>
      <c r="M787" s="24">
        <f>IF(B787="","",IF(AND(F787&lt;&gt;"",G787&lt;&gt;""),MAX(0,ROUND(MOD(G787-F787,1)*24-N(H787)/60,2)),N(I787)))</f>
        <v/>
      </c>
      <c r="N787" s="14">
        <f>IF(B787="","",IF(K787&lt;&gt;"",K787,IF(N(IFERROR(INDEX(Projects!$D$6:$D$65,MATCH(D787,Projects!$B$6:$B$65,0)),""))&gt;0,IFERROR(INDEX(Projects!$D$6:$D$65,MATCH(D787,Projects!$B$6:$B$65,0)),""),IFERROR(INDEX(Clients!$G$6:$G$45,MATCH(C787,Clients!$B$6:$B$45,0)),0))))</f>
        <v/>
      </c>
      <c r="O787" s="14">
        <f>IF(B787="","",IF(J787&lt;&gt;"",0,ROUND(M787*N787,2)))</f>
        <v/>
      </c>
      <c r="P787" s="15">
        <f>IF(OR(B787="",J787&lt;&gt;""),"",IF(L787&lt;&gt;"",L787,IF(COUNTIFS(Invoices!$C$6:$C$305,C787,Invoices!$E$6:$E$305,"&lt;="&amp;B787,Invoices!$F$6:$F$305,"&gt;="&amp;B787)=1,INDEX(Invoices!$B$6:$B$305,SUMIFS(Invoices!$O$6:$O$305,Invoices!$C$6:$C$305,C787,Invoices!$E$6:$E$305,"&lt;="&amp;B787,Invoices!$F$6:$F$305,"&gt;="&amp;B787)),IF(COUNTIFS(Invoices!$C$6:$C$305,C787,Invoices!$E$6:$E$305,"&lt;="&amp;B787,Invoices!$F$6:$F$305,"&gt;="&amp;B787)&gt;1,"Two invoices",""))))</f>
        <v/>
      </c>
      <c r="Q787" s="15">
        <f>IF(B787="","",IF(J787&lt;&gt;"","Not billable",IF(P787="","To invoice",IF(P787="Two invoices","Check dates",IF(ISNA(MATCH(P787,Invoices!$B$6:$B$305,0)),"Check number",IF(INDEX(Invoices!$M$6:$M$305,MATCH(P787,Invoices!$B$6:$B$305,0))="Paid","Paid",IF(INDEX(Invoices!$M$6:$M$305,MATCH(P787,Invoices!$B$6:$B$305,0))="Draft","Draft","Invoiced")))))))</f>
        <v/>
      </c>
      <c r="R787" s="1">
        <f>IF(AND(B787&lt;&gt;"",P787&lt;&gt;"",P787=Invoice!$G$4),B787+MOD(N(F787),1)+ROW()/10000000,"")</f>
        <v/>
      </c>
      <c r="S787">
        <f>IF(R787="","",IF(D787="","Other work",D787)&amp;IF(AND(K787&lt;&gt;"",E787&lt;&gt;""),", "&amp;E787,""))</f>
        <v/>
      </c>
      <c r="T787">
        <f>IF(R787="","",IF(COUNTIFS(R$6:R786,"&gt;0",S$6:S786,S787,N$6:N786,N787)=0,R787,""))</f>
        <v/>
      </c>
      <c r="U787">
        <f>IF(B787="","",IF(J787&lt;&gt;"",0,M787))</f>
        <v/>
      </c>
    </row>
    <row r="788">
      <c r="A788" s="1" t="n"/>
      <c r="B788" s="16" t="n"/>
      <c r="C788" s="17" t="n"/>
      <c r="D788" s="18" t="n"/>
      <c r="E788" s="18" t="n"/>
      <c r="F788" s="19" t="n"/>
      <c r="G788" s="19" t="n"/>
      <c r="H788" s="20" t="n"/>
      <c r="I788" s="21" t="n"/>
      <c r="J788" s="22" t="n"/>
      <c r="K788" s="23" t="n"/>
      <c r="L788" s="18" t="n"/>
      <c r="M788" s="24">
        <f>IF(B788="","",IF(AND(F788&lt;&gt;"",G788&lt;&gt;""),MAX(0,ROUND(MOD(G788-F788,1)*24-N(H788)/60,2)),N(I788)))</f>
        <v/>
      </c>
      <c r="N788" s="14">
        <f>IF(B788="","",IF(K788&lt;&gt;"",K788,IF(N(IFERROR(INDEX(Projects!$D$6:$D$65,MATCH(D788,Projects!$B$6:$B$65,0)),""))&gt;0,IFERROR(INDEX(Projects!$D$6:$D$65,MATCH(D788,Projects!$B$6:$B$65,0)),""),IFERROR(INDEX(Clients!$G$6:$G$45,MATCH(C788,Clients!$B$6:$B$45,0)),0))))</f>
        <v/>
      </c>
      <c r="O788" s="14">
        <f>IF(B788="","",IF(J788&lt;&gt;"",0,ROUND(M788*N788,2)))</f>
        <v/>
      </c>
      <c r="P788" s="15">
        <f>IF(OR(B788="",J788&lt;&gt;""),"",IF(L788&lt;&gt;"",L788,IF(COUNTIFS(Invoices!$C$6:$C$305,C788,Invoices!$E$6:$E$305,"&lt;="&amp;B788,Invoices!$F$6:$F$305,"&gt;="&amp;B788)=1,INDEX(Invoices!$B$6:$B$305,SUMIFS(Invoices!$O$6:$O$305,Invoices!$C$6:$C$305,C788,Invoices!$E$6:$E$305,"&lt;="&amp;B788,Invoices!$F$6:$F$305,"&gt;="&amp;B788)),IF(COUNTIFS(Invoices!$C$6:$C$305,C788,Invoices!$E$6:$E$305,"&lt;="&amp;B788,Invoices!$F$6:$F$305,"&gt;="&amp;B788)&gt;1,"Two invoices",""))))</f>
        <v/>
      </c>
      <c r="Q788" s="15">
        <f>IF(B788="","",IF(J788&lt;&gt;"","Not billable",IF(P788="","To invoice",IF(P788="Two invoices","Check dates",IF(ISNA(MATCH(P788,Invoices!$B$6:$B$305,0)),"Check number",IF(INDEX(Invoices!$M$6:$M$305,MATCH(P788,Invoices!$B$6:$B$305,0))="Paid","Paid",IF(INDEX(Invoices!$M$6:$M$305,MATCH(P788,Invoices!$B$6:$B$305,0))="Draft","Draft","Invoiced")))))))</f>
        <v/>
      </c>
      <c r="R788" s="1">
        <f>IF(AND(B788&lt;&gt;"",P788&lt;&gt;"",P788=Invoice!$G$4),B788+MOD(N(F788),1)+ROW()/10000000,"")</f>
        <v/>
      </c>
      <c r="S788">
        <f>IF(R788="","",IF(D788="","Other work",D788)&amp;IF(AND(K788&lt;&gt;"",E788&lt;&gt;""),", "&amp;E788,""))</f>
        <v/>
      </c>
      <c r="T788">
        <f>IF(R788="","",IF(COUNTIFS(R$6:R787,"&gt;0",S$6:S787,S788,N$6:N787,N788)=0,R788,""))</f>
        <v/>
      </c>
      <c r="U788">
        <f>IF(B788="","",IF(J788&lt;&gt;"",0,M788))</f>
        <v/>
      </c>
    </row>
    <row r="789">
      <c r="A789" s="1" t="n"/>
      <c r="B789" s="16" t="n"/>
      <c r="C789" s="17" t="n"/>
      <c r="D789" s="18" t="n"/>
      <c r="E789" s="18" t="n"/>
      <c r="F789" s="19" t="n"/>
      <c r="G789" s="19" t="n"/>
      <c r="H789" s="20" t="n"/>
      <c r="I789" s="21" t="n"/>
      <c r="J789" s="22" t="n"/>
      <c r="K789" s="23" t="n"/>
      <c r="L789" s="18" t="n"/>
      <c r="M789" s="24">
        <f>IF(B789="","",IF(AND(F789&lt;&gt;"",G789&lt;&gt;""),MAX(0,ROUND(MOD(G789-F789,1)*24-N(H789)/60,2)),N(I789)))</f>
        <v/>
      </c>
      <c r="N789" s="14">
        <f>IF(B789="","",IF(K789&lt;&gt;"",K789,IF(N(IFERROR(INDEX(Projects!$D$6:$D$65,MATCH(D789,Projects!$B$6:$B$65,0)),""))&gt;0,IFERROR(INDEX(Projects!$D$6:$D$65,MATCH(D789,Projects!$B$6:$B$65,0)),""),IFERROR(INDEX(Clients!$G$6:$G$45,MATCH(C789,Clients!$B$6:$B$45,0)),0))))</f>
        <v/>
      </c>
      <c r="O789" s="14">
        <f>IF(B789="","",IF(J789&lt;&gt;"",0,ROUND(M789*N789,2)))</f>
        <v/>
      </c>
      <c r="P789" s="15">
        <f>IF(OR(B789="",J789&lt;&gt;""),"",IF(L789&lt;&gt;"",L789,IF(COUNTIFS(Invoices!$C$6:$C$305,C789,Invoices!$E$6:$E$305,"&lt;="&amp;B789,Invoices!$F$6:$F$305,"&gt;="&amp;B789)=1,INDEX(Invoices!$B$6:$B$305,SUMIFS(Invoices!$O$6:$O$305,Invoices!$C$6:$C$305,C789,Invoices!$E$6:$E$305,"&lt;="&amp;B789,Invoices!$F$6:$F$305,"&gt;="&amp;B789)),IF(COUNTIFS(Invoices!$C$6:$C$305,C789,Invoices!$E$6:$E$305,"&lt;="&amp;B789,Invoices!$F$6:$F$305,"&gt;="&amp;B789)&gt;1,"Two invoices",""))))</f>
        <v/>
      </c>
      <c r="Q789" s="15">
        <f>IF(B789="","",IF(J789&lt;&gt;"","Not billable",IF(P789="","To invoice",IF(P789="Two invoices","Check dates",IF(ISNA(MATCH(P789,Invoices!$B$6:$B$305,0)),"Check number",IF(INDEX(Invoices!$M$6:$M$305,MATCH(P789,Invoices!$B$6:$B$305,0))="Paid","Paid",IF(INDEX(Invoices!$M$6:$M$305,MATCH(P789,Invoices!$B$6:$B$305,0))="Draft","Draft","Invoiced")))))))</f>
        <v/>
      </c>
      <c r="R789" s="1">
        <f>IF(AND(B789&lt;&gt;"",P789&lt;&gt;"",P789=Invoice!$G$4),B789+MOD(N(F789),1)+ROW()/10000000,"")</f>
        <v/>
      </c>
      <c r="S789">
        <f>IF(R789="","",IF(D789="","Other work",D789)&amp;IF(AND(K789&lt;&gt;"",E789&lt;&gt;""),", "&amp;E789,""))</f>
        <v/>
      </c>
      <c r="T789">
        <f>IF(R789="","",IF(COUNTIFS(R$6:R788,"&gt;0",S$6:S788,S789,N$6:N788,N789)=0,R789,""))</f>
        <v/>
      </c>
      <c r="U789">
        <f>IF(B789="","",IF(J789&lt;&gt;"",0,M789))</f>
        <v/>
      </c>
    </row>
    <row r="790">
      <c r="A790" s="1" t="n"/>
      <c r="B790" s="16" t="n"/>
      <c r="C790" s="17" t="n"/>
      <c r="D790" s="18" t="n"/>
      <c r="E790" s="18" t="n"/>
      <c r="F790" s="19" t="n"/>
      <c r="G790" s="19" t="n"/>
      <c r="H790" s="20" t="n"/>
      <c r="I790" s="21" t="n"/>
      <c r="J790" s="22" t="n"/>
      <c r="K790" s="23" t="n"/>
      <c r="L790" s="18" t="n"/>
      <c r="M790" s="24">
        <f>IF(B790="","",IF(AND(F790&lt;&gt;"",G790&lt;&gt;""),MAX(0,ROUND(MOD(G790-F790,1)*24-N(H790)/60,2)),N(I790)))</f>
        <v/>
      </c>
      <c r="N790" s="14">
        <f>IF(B790="","",IF(K790&lt;&gt;"",K790,IF(N(IFERROR(INDEX(Projects!$D$6:$D$65,MATCH(D790,Projects!$B$6:$B$65,0)),""))&gt;0,IFERROR(INDEX(Projects!$D$6:$D$65,MATCH(D790,Projects!$B$6:$B$65,0)),""),IFERROR(INDEX(Clients!$G$6:$G$45,MATCH(C790,Clients!$B$6:$B$45,0)),0))))</f>
        <v/>
      </c>
      <c r="O790" s="14">
        <f>IF(B790="","",IF(J790&lt;&gt;"",0,ROUND(M790*N790,2)))</f>
        <v/>
      </c>
      <c r="P790" s="15">
        <f>IF(OR(B790="",J790&lt;&gt;""),"",IF(L790&lt;&gt;"",L790,IF(COUNTIFS(Invoices!$C$6:$C$305,C790,Invoices!$E$6:$E$305,"&lt;="&amp;B790,Invoices!$F$6:$F$305,"&gt;="&amp;B790)=1,INDEX(Invoices!$B$6:$B$305,SUMIFS(Invoices!$O$6:$O$305,Invoices!$C$6:$C$305,C790,Invoices!$E$6:$E$305,"&lt;="&amp;B790,Invoices!$F$6:$F$305,"&gt;="&amp;B790)),IF(COUNTIFS(Invoices!$C$6:$C$305,C790,Invoices!$E$6:$E$305,"&lt;="&amp;B790,Invoices!$F$6:$F$305,"&gt;="&amp;B790)&gt;1,"Two invoices",""))))</f>
        <v/>
      </c>
      <c r="Q790" s="15">
        <f>IF(B790="","",IF(J790&lt;&gt;"","Not billable",IF(P790="","To invoice",IF(P790="Two invoices","Check dates",IF(ISNA(MATCH(P790,Invoices!$B$6:$B$305,0)),"Check number",IF(INDEX(Invoices!$M$6:$M$305,MATCH(P790,Invoices!$B$6:$B$305,0))="Paid","Paid",IF(INDEX(Invoices!$M$6:$M$305,MATCH(P790,Invoices!$B$6:$B$305,0))="Draft","Draft","Invoiced")))))))</f>
        <v/>
      </c>
      <c r="R790" s="1">
        <f>IF(AND(B790&lt;&gt;"",P790&lt;&gt;"",P790=Invoice!$G$4),B790+MOD(N(F790),1)+ROW()/10000000,"")</f>
        <v/>
      </c>
      <c r="S790">
        <f>IF(R790="","",IF(D790="","Other work",D790)&amp;IF(AND(K790&lt;&gt;"",E790&lt;&gt;""),", "&amp;E790,""))</f>
        <v/>
      </c>
      <c r="T790">
        <f>IF(R790="","",IF(COUNTIFS(R$6:R789,"&gt;0",S$6:S789,S790,N$6:N789,N790)=0,R790,""))</f>
        <v/>
      </c>
      <c r="U790">
        <f>IF(B790="","",IF(J790&lt;&gt;"",0,M790))</f>
        <v/>
      </c>
    </row>
    <row r="791">
      <c r="A791" s="1" t="n"/>
      <c r="B791" s="16" t="n"/>
      <c r="C791" s="17" t="n"/>
      <c r="D791" s="18" t="n"/>
      <c r="E791" s="18" t="n"/>
      <c r="F791" s="19" t="n"/>
      <c r="G791" s="19" t="n"/>
      <c r="H791" s="20" t="n"/>
      <c r="I791" s="21" t="n"/>
      <c r="J791" s="22" t="n"/>
      <c r="K791" s="23" t="n"/>
      <c r="L791" s="18" t="n"/>
      <c r="M791" s="24">
        <f>IF(B791="","",IF(AND(F791&lt;&gt;"",G791&lt;&gt;""),MAX(0,ROUND(MOD(G791-F791,1)*24-N(H791)/60,2)),N(I791)))</f>
        <v/>
      </c>
      <c r="N791" s="14">
        <f>IF(B791="","",IF(K791&lt;&gt;"",K791,IF(N(IFERROR(INDEX(Projects!$D$6:$D$65,MATCH(D791,Projects!$B$6:$B$65,0)),""))&gt;0,IFERROR(INDEX(Projects!$D$6:$D$65,MATCH(D791,Projects!$B$6:$B$65,0)),""),IFERROR(INDEX(Clients!$G$6:$G$45,MATCH(C791,Clients!$B$6:$B$45,0)),0))))</f>
        <v/>
      </c>
      <c r="O791" s="14">
        <f>IF(B791="","",IF(J791&lt;&gt;"",0,ROUND(M791*N791,2)))</f>
        <v/>
      </c>
      <c r="P791" s="15">
        <f>IF(OR(B791="",J791&lt;&gt;""),"",IF(L791&lt;&gt;"",L791,IF(COUNTIFS(Invoices!$C$6:$C$305,C791,Invoices!$E$6:$E$305,"&lt;="&amp;B791,Invoices!$F$6:$F$305,"&gt;="&amp;B791)=1,INDEX(Invoices!$B$6:$B$305,SUMIFS(Invoices!$O$6:$O$305,Invoices!$C$6:$C$305,C791,Invoices!$E$6:$E$305,"&lt;="&amp;B791,Invoices!$F$6:$F$305,"&gt;="&amp;B791)),IF(COUNTIFS(Invoices!$C$6:$C$305,C791,Invoices!$E$6:$E$305,"&lt;="&amp;B791,Invoices!$F$6:$F$305,"&gt;="&amp;B791)&gt;1,"Two invoices",""))))</f>
        <v/>
      </c>
      <c r="Q791" s="15">
        <f>IF(B791="","",IF(J791&lt;&gt;"","Not billable",IF(P791="","To invoice",IF(P791="Two invoices","Check dates",IF(ISNA(MATCH(P791,Invoices!$B$6:$B$305,0)),"Check number",IF(INDEX(Invoices!$M$6:$M$305,MATCH(P791,Invoices!$B$6:$B$305,0))="Paid","Paid",IF(INDEX(Invoices!$M$6:$M$305,MATCH(P791,Invoices!$B$6:$B$305,0))="Draft","Draft","Invoiced")))))))</f>
        <v/>
      </c>
      <c r="R791" s="1">
        <f>IF(AND(B791&lt;&gt;"",P791&lt;&gt;"",P791=Invoice!$G$4),B791+MOD(N(F791),1)+ROW()/10000000,"")</f>
        <v/>
      </c>
      <c r="S791">
        <f>IF(R791="","",IF(D791="","Other work",D791)&amp;IF(AND(K791&lt;&gt;"",E791&lt;&gt;""),", "&amp;E791,""))</f>
        <v/>
      </c>
      <c r="T791">
        <f>IF(R791="","",IF(COUNTIFS(R$6:R790,"&gt;0",S$6:S790,S791,N$6:N790,N791)=0,R791,""))</f>
        <v/>
      </c>
      <c r="U791">
        <f>IF(B791="","",IF(J791&lt;&gt;"",0,M791))</f>
        <v/>
      </c>
    </row>
    <row r="792">
      <c r="A792" s="1" t="n"/>
      <c r="B792" s="16" t="n"/>
      <c r="C792" s="17" t="n"/>
      <c r="D792" s="18" t="n"/>
      <c r="E792" s="18" t="n"/>
      <c r="F792" s="19" t="n"/>
      <c r="G792" s="19" t="n"/>
      <c r="H792" s="20" t="n"/>
      <c r="I792" s="21" t="n"/>
      <c r="J792" s="22" t="n"/>
      <c r="K792" s="23" t="n"/>
      <c r="L792" s="18" t="n"/>
      <c r="M792" s="24">
        <f>IF(B792="","",IF(AND(F792&lt;&gt;"",G792&lt;&gt;""),MAX(0,ROUND(MOD(G792-F792,1)*24-N(H792)/60,2)),N(I792)))</f>
        <v/>
      </c>
      <c r="N792" s="14">
        <f>IF(B792="","",IF(K792&lt;&gt;"",K792,IF(N(IFERROR(INDEX(Projects!$D$6:$D$65,MATCH(D792,Projects!$B$6:$B$65,0)),""))&gt;0,IFERROR(INDEX(Projects!$D$6:$D$65,MATCH(D792,Projects!$B$6:$B$65,0)),""),IFERROR(INDEX(Clients!$G$6:$G$45,MATCH(C792,Clients!$B$6:$B$45,0)),0))))</f>
        <v/>
      </c>
      <c r="O792" s="14">
        <f>IF(B792="","",IF(J792&lt;&gt;"",0,ROUND(M792*N792,2)))</f>
        <v/>
      </c>
      <c r="P792" s="15">
        <f>IF(OR(B792="",J792&lt;&gt;""),"",IF(L792&lt;&gt;"",L792,IF(COUNTIFS(Invoices!$C$6:$C$305,C792,Invoices!$E$6:$E$305,"&lt;="&amp;B792,Invoices!$F$6:$F$305,"&gt;="&amp;B792)=1,INDEX(Invoices!$B$6:$B$305,SUMIFS(Invoices!$O$6:$O$305,Invoices!$C$6:$C$305,C792,Invoices!$E$6:$E$305,"&lt;="&amp;B792,Invoices!$F$6:$F$305,"&gt;="&amp;B792)),IF(COUNTIFS(Invoices!$C$6:$C$305,C792,Invoices!$E$6:$E$305,"&lt;="&amp;B792,Invoices!$F$6:$F$305,"&gt;="&amp;B792)&gt;1,"Two invoices",""))))</f>
        <v/>
      </c>
      <c r="Q792" s="15">
        <f>IF(B792="","",IF(J792&lt;&gt;"","Not billable",IF(P792="","To invoice",IF(P792="Two invoices","Check dates",IF(ISNA(MATCH(P792,Invoices!$B$6:$B$305,0)),"Check number",IF(INDEX(Invoices!$M$6:$M$305,MATCH(P792,Invoices!$B$6:$B$305,0))="Paid","Paid",IF(INDEX(Invoices!$M$6:$M$305,MATCH(P792,Invoices!$B$6:$B$305,0))="Draft","Draft","Invoiced")))))))</f>
        <v/>
      </c>
      <c r="R792" s="1">
        <f>IF(AND(B792&lt;&gt;"",P792&lt;&gt;"",P792=Invoice!$G$4),B792+MOD(N(F792),1)+ROW()/10000000,"")</f>
        <v/>
      </c>
      <c r="S792">
        <f>IF(R792="","",IF(D792="","Other work",D792)&amp;IF(AND(K792&lt;&gt;"",E792&lt;&gt;""),", "&amp;E792,""))</f>
        <v/>
      </c>
      <c r="T792">
        <f>IF(R792="","",IF(COUNTIFS(R$6:R791,"&gt;0",S$6:S791,S792,N$6:N791,N792)=0,R792,""))</f>
        <v/>
      </c>
      <c r="U792">
        <f>IF(B792="","",IF(J792&lt;&gt;"",0,M792))</f>
        <v/>
      </c>
    </row>
    <row r="793">
      <c r="A793" s="1" t="n"/>
      <c r="B793" s="16" t="n"/>
      <c r="C793" s="17" t="n"/>
      <c r="D793" s="18" t="n"/>
      <c r="E793" s="18" t="n"/>
      <c r="F793" s="19" t="n"/>
      <c r="G793" s="19" t="n"/>
      <c r="H793" s="20" t="n"/>
      <c r="I793" s="21" t="n"/>
      <c r="J793" s="22" t="n"/>
      <c r="K793" s="23" t="n"/>
      <c r="L793" s="18" t="n"/>
      <c r="M793" s="24">
        <f>IF(B793="","",IF(AND(F793&lt;&gt;"",G793&lt;&gt;""),MAX(0,ROUND(MOD(G793-F793,1)*24-N(H793)/60,2)),N(I793)))</f>
        <v/>
      </c>
      <c r="N793" s="14">
        <f>IF(B793="","",IF(K793&lt;&gt;"",K793,IF(N(IFERROR(INDEX(Projects!$D$6:$D$65,MATCH(D793,Projects!$B$6:$B$65,0)),""))&gt;0,IFERROR(INDEX(Projects!$D$6:$D$65,MATCH(D793,Projects!$B$6:$B$65,0)),""),IFERROR(INDEX(Clients!$G$6:$G$45,MATCH(C793,Clients!$B$6:$B$45,0)),0))))</f>
        <v/>
      </c>
      <c r="O793" s="14">
        <f>IF(B793="","",IF(J793&lt;&gt;"",0,ROUND(M793*N793,2)))</f>
        <v/>
      </c>
      <c r="P793" s="15">
        <f>IF(OR(B793="",J793&lt;&gt;""),"",IF(L793&lt;&gt;"",L793,IF(COUNTIFS(Invoices!$C$6:$C$305,C793,Invoices!$E$6:$E$305,"&lt;="&amp;B793,Invoices!$F$6:$F$305,"&gt;="&amp;B793)=1,INDEX(Invoices!$B$6:$B$305,SUMIFS(Invoices!$O$6:$O$305,Invoices!$C$6:$C$305,C793,Invoices!$E$6:$E$305,"&lt;="&amp;B793,Invoices!$F$6:$F$305,"&gt;="&amp;B793)),IF(COUNTIFS(Invoices!$C$6:$C$305,C793,Invoices!$E$6:$E$305,"&lt;="&amp;B793,Invoices!$F$6:$F$305,"&gt;="&amp;B793)&gt;1,"Two invoices",""))))</f>
        <v/>
      </c>
      <c r="Q793" s="15">
        <f>IF(B793="","",IF(J793&lt;&gt;"","Not billable",IF(P793="","To invoice",IF(P793="Two invoices","Check dates",IF(ISNA(MATCH(P793,Invoices!$B$6:$B$305,0)),"Check number",IF(INDEX(Invoices!$M$6:$M$305,MATCH(P793,Invoices!$B$6:$B$305,0))="Paid","Paid",IF(INDEX(Invoices!$M$6:$M$305,MATCH(P793,Invoices!$B$6:$B$305,0))="Draft","Draft","Invoiced")))))))</f>
        <v/>
      </c>
      <c r="R793" s="1">
        <f>IF(AND(B793&lt;&gt;"",P793&lt;&gt;"",P793=Invoice!$G$4),B793+MOD(N(F793),1)+ROW()/10000000,"")</f>
        <v/>
      </c>
      <c r="S793">
        <f>IF(R793="","",IF(D793="","Other work",D793)&amp;IF(AND(K793&lt;&gt;"",E793&lt;&gt;""),", "&amp;E793,""))</f>
        <v/>
      </c>
      <c r="T793">
        <f>IF(R793="","",IF(COUNTIFS(R$6:R792,"&gt;0",S$6:S792,S793,N$6:N792,N793)=0,R793,""))</f>
        <v/>
      </c>
      <c r="U793">
        <f>IF(B793="","",IF(J793&lt;&gt;"",0,M793))</f>
        <v/>
      </c>
    </row>
    <row r="794">
      <c r="A794" s="1" t="n"/>
      <c r="B794" s="16" t="n"/>
      <c r="C794" s="17" t="n"/>
      <c r="D794" s="18" t="n"/>
      <c r="E794" s="18" t="n"/>
      <c r="F794" s="19" t="n"/>
      <c r="G794" s="19" t="n"/>
      <c r="H794" s="20" t="n"/>
      <c r="I794" s="21" t="n"/>
      <c r="J794" s="22" t="n"/>
      <c r="K794" s="23" t="n"/>
      <c r="L794" s="18" t="n"/>
      <c r="M794" s="24">
        <f>IF(B794="","",IF(AND(F794&lt;&gt;"",G794&lt;&gt;""),MAX(0,ROUND(MOD(G794-F794,1)*24-N(H794)/60,2)),N(I794)))</f>
        <v/>
      </c>
      <c r="N794" s="14">
        <f>IF(B794="","",IF(K794&lt;&gt;"",K794,IF(N(IFERROR(INDEX(Projects!$D$6:$D$65,MATCH(D794,Projects!$B$6:$B$65,0)),""))&gt;0,IFERROR(INDEX(Projects!$D$6:$D$65,MATCH(D794,Projects!$B$6:$B$65,0)),""),IFERROR(INDEX(Clients!$G$6:$G$45,MATCH(C794,Clients!$B$6:$B$45,0)),0))))</f>
        <v/>
      </c>
      <c r="O794" s="14">
        <f>IF(B794="","",IF(J794&lt;&gt;"",0,ROUND(M794*N794,2)))</f>
        <v/>
      </c>
      <c r="P794" s="15">
        <f>IF(OR(B794="",J794&lt;&gt;""),"",IF(L794&lt;&gt;"",L794,IF(COUNTIFS(Invoices!$C$6:$C$305,C794,Invoices!$E$6:$E$305,"&lt;="&amp;B794,Invoices!$F$6:$F$305,"&gt;="&amp;B794)=1,INDEX(Invoices!$B$6:$B$305,SUMIFS(Invoices!$O$6:$O$305,Invoices!$C$6:$C$305,C794,Invoices!$E$6:$E$305,"&lt;="&amp;B794,Invoices!$F$6:$F$305,"&gt;="&amp;B794)),IF(COUNTIFS(Invoices!$C$6:$C$305,C794,Invoices!$E$6:$E$305,"&lt;="&amp;B794,Invoices!$F$6:$F$305,"&gt;="&amp;B794)&gt;1,"Two invoices",""))))</f>
        <v/>
      </c>
      <c r="Q794" s="15">
        <f>IF(B794="","",IF(J794&lt;&gt;"","Not billable",IF(P794="","To invoice",IF(P794="Two invoices","Check dates",IF(ISNA(MATCH(P794,Invoices!$B$6:$B$305,0)),"Check number",IF(INDEX(Invoices!$M$6:$M$305,MATCH(P794,Invoices!$B$6:$B$305,0))="Paid","Paid",IF(INDEX(Invoices!$M$6:$M$305,MATCH(P794,Invoices!$B$6:$B$305,0))="Draft","Draft","Invoiced")))))))</f>
        <v/>
      </c>
      <c r="R794" s="1">
        <f>IF(AND(B794&lt;&gt;"",P794&lt;&gt;"",P794=Invoice!$G$4),B794+MOD(N(F794),1)+ROW()/10000000,"")</f>
        <v/>
      </c>
      <c r="S794">
        <f>IF(R794="","",IF(D794="","Other work",D794)&amp;IF(AND(K794&lt;&gt;"",E794&lt;&gt;""),", "&amp;E794,""))</f>
        <v/>
      </c>
      <c r="T794">
        <f>IF(R794="","",IF(COUNTIFS(R$6:R793,"&gt;0",S$6:S793,S794,N$6:N793,N794)=0,R794,""))</f>
        <v/>
      </c>
      <c r="U794">
        <f>IF(B794="","",IF(J794&lt;&gt;"",0,M794))</f>
        <v/>
      </c>
    </row>
    <row r="795">
      <c r="A795" s="1" t="n"/>
      <c r="B795" s="16" t="n"/>
      <c r="C795" s="17" t="n"/>
      <c r="D795" s="18" t="n"/>
      <c r="E795" s="18" t="n"/>
      <c r="F795" s="19" t="n"/>
      <c r="G795" s="19" t="n"/>
      <c r="H795" s="20" t="n"/>
      <c r="I795" s="21" t="n"/>
      <c r="J795" s="22" t="n"/>
      <c r="K795" s="23" t="n"/>
      <c r="L795" s="18" t="n"/>
      <c r="M795" s="24">
        <f>IF(B795="","",IF(AND(F795&lt;&gt;"",G795&lt;&gt;""),MAX(0,ROUND(MOD(G795-F795,1)*24-N(H795)/60,2)),N(I795)))</f>
        <v/>
      </c>
      <c r="N795" s="14">
        <f>IF(B795="","",IF(K795&lt;&gt;"",K795,IF(N(IFERROR(INDEX(Projects!$D$6:$D$65,MATCH(D795,Projects!$B$6:$B$65,0)),""))&gt;0,IFERROR(INDEX(Projects!$D$6:$D$65,MATCH(D795,Projects!$B$6:$B$65,0)),""),IFERROR(INDEX(Clients!$G$6:$G$45,MATCH(C795,Clients!$B$6:$B$45,0)),0))))</f>
        <v/>
      </c>
      <c r="O795" s="14">
        <f>IF(B795="","",IF(J795&lt;&gt;"",0,ROUND(M795*N795,2)))</f>
        <v/>
      </c>
      <c r="P795" s="15">
        <f>IF(OR(B795="",J795&lt;&gt;""),"",IF(L795&lt;&gt;"",L795,IF(COUNTIFS(Invoices!$C$6:$C$305,C795,Invoices!$E$6:$E$305,"&lt;="&amp;B795,Invoices!$F$6:$F$305,"&gt;="&amp;B795)=1,INDEX(Invoices!$B$6:$B$305,SUMIFS(Invoices!$O$6:$O$305,Invoices!$C$6:$C$305,C795,Invoices!$E$6:$E$305,"&lt;="&amp;B795,Invoices!$F$6:$F$305,"&gt;="&amp;B795)),IF(COUNTIFS(Invoices!$C$6:$C$305,C795,Invoices!$E$6:$E$305,"&lt;="&amp;B795,Invoices!$F$6:$F$305,"&gt;="&amp;B795)&gt;1,"Two invoices",""))))</f>
        <v/>
      </c>
      <c r="Q795" s="15">
        <f>IF(B795="","",IF(J795&lt;&gt;"","Not billable",IF(P795="","To invoice",IF(P795="Two invoices","Check dates",IF(ISNA(MATCH(P795,Invoices!$B$6:$B$305,0)),"Check number",IF(INDEX(Invoices!$M$6:$M$305,MATCH(P795,Invoices!$B$6:$B$305,0))="Paid","Paid",IF(INDEX(Invoices!$M$6:$M$305,MATCH(P795,Invoices!$B$6:$B$305,0))="Draft","Draft","Invoiced")))))))</f>
        <v/>
      </c>
      <c r="R795" s="1">
        <f>IF(AND(B795&lt;&gt;"",P795&lt;&gt;"",P795=Invoice!$G$4),B795+MOD(N(F795),1)+ROW()/10000000,"")</f>
        <v/>
      </c>
      <c r="S795">
        <f>IF(R795="","",IF(D795="","Other work",D795)&amp;IF(AND(K795&lt;&gt;"",E795&lt;&gt;""),", "&amp;E795,""))</f>
        <v/>
      </c>
      <c r="T795">
        <f>IF(R795="","",IF(COUNTIFS(R$6:R794,"&gt;0",S$6:S794,S795,N$6:N794,N795)=0,R795,""))</f>
        <v/>
      </c>
      <c r="U795">
        <f>IF(B795="","",IF(J795&lt;&gt;"",0,M795))</f>
        <v/>
      </c>
    </row>
    <row r="796">
      <c r="A796" s="1" t="n"/>
      <c r="B796" s="16" t="n"/>
      <c r="C796" s="17" t="n"/>
      <c r="D796" s="18" t="n"/>
      <c r="E796" s="18" t="n"/>
      <c r="F796" s="19" t="n"/>
      <c r="G796" s="19" t="n"/>
      <c r="H796" s="20" t="n"/>
      <c r="I796" s="21" t="n"/>
      <c r="J796" s="22" t="n"/>
      <c r="K796" s="23" t="n"/>
      <c r="L796" s="18" t="n"/>
      <c r="M796" s="24">
        <f>IF(B796="","",IF(AND(F796&lt;&gt;"",G796&lt;&gt;""),MAX(0,ROUND(MOD(G796-F796,1)*24-N(H796)/60,2)),N(I796)))</f>
        <v/>
      </c>
      <c r="N796" s="14">
        <f>IF(B796="","",IF(K796&lt;&gt;"",K796,IF(N(IFERROR(INDEX(Projects!$D$6:$D$65,MATCH(D796,Projects!$B$6:$B$65,0)),""))&gt;0,IFERROR(INDEX(Projects!$D$6:$D$65,MATCH(D796,Projects!$B$6:$B$65,0)),""),IFERROR(INDEX(Clients!$G$6:$G$45,MATCH(C796,Clients!$B$6:$B$45,0)),0))))</f>
        <v/>
      </c>
      <c r="O796" s="14">
        <f>IF(B796="","",IF(J796&lt;&gt;"",0,ROUND(M796*N796,2)))</f>
        <v/>
      </c>
      <c r="P796" s="15">
        <f>IF(OR(B796="",J796&lt;&gt;""),"",IF(L796&lt;&gt;"",L796,IF(COUNTIFS(Invoices!$C$6:$C$305,C796,Invoices!$E$6:$E$305,"&lt;="&amp;B796,Invoices!$F$6:$F$305,"&gt;="&amp;B796)=1,INDEX(Invoices!$B$6:$B$305,SUMIFS(Invoices!$O$6:$O$305,Invoices!$C$6:$C$305,C796,Invoices!$E$6:$E$305,"&lt;="&amp;B796,Invoices!$F$6:$F$305,"&gt;="&amp;B796)),IF(COUNTIFS(Invoices!$C$6:$C$305,C796,Invoices!$E$6:$E$305,"&lt;="&amp;B796,Invoices!$F$6:$F$305,"&gt;="&amp;B796)&gt;1,"Two invoices",""))))</f>
        <v/>
      </c>
      <c r="Q796" s="15">
        <f>IF(B796="","",IF(J796&lt;&gt;"","Not billable",IF(P796="","To invoice",IF(P796="Two invoices","Check dates",IF(ISNA(MATCH(P796,Invoices!$B$6:$B$305,0)),"Check number",IF(INDEX(Invoices!$M$6:$M$305,MATCH(P796,Invoices!$B$6:$B$305,0))="Paid","Paid",IF(INDEX(Invoices!$M$6:$M$305,MATCH(P796,Invoices!$B$6:$B$305,0))="Draft","Draft","Invoiced")))))))</f>
        <v/>
      </c>
      <c r="R796" s="1">
        <f>IF(AND(B796&lt;&gt;"",P796&lt;&gt;"",P796=Invoice!$G$4),B796+MOD(N(F796),1)+ROW()/10000000,"")</f>
        <v/>
      </c>
      <c r="S796">
        <f>IF(R796="","",IF(D796="","Other work",D796)&amp;IF(AND(K796&lt;&gt;"",E796&lt;&gt;""),", "&amp;E796,""))</f>
        <v/>
      </c>
      <c r="T796">
        <f>IF(R796="","",IF(COUNTIFS(R$6:R795,"&gt;0",S$6:S795,S796,N$6:N795,N796)=0,R796,""))</f>
        <v/>
      </c>
      <c r="U796">
        <f>IF(B796="","",IF(J796&lt;&gt;"",0,M796))</f>
        <v/>
      </c>
    </row>
    <row r="797">
      <c r="A797" s="1" t="n"/>
      <c r="B797" s="16" t="n"/>
      <c r="C797" s="17" t="n"/>
      <c r="D797" s="18" t="n"/>
      <c r="E797" s="18" t="n"/>
      <c r="F797" s="19" t="n"/>
      <c r="G797" s="19" t="n"/>
      <c r="H797" s="20" t="n"/>
      <c r="I797" s="21" t="n"/>
      <c r="J797" s="22" t="n"/>
      <c r="K797" s="23" t="n"/>
      <c r="L797" s="18" t="n"/>
      <c r="M797" s="24">
        <f>IF(B797="","",IF(AND(F797&lt;&gt;"",G797&lt;&gt;""),MAX(0,ROUND(MOD(G797-F797,1)*24-N(H797)/60,2)),N(I797)))</f>
        <v/>
      </c>
      <c r="N797" s="14">
        <f>IF(B797="","",IF(K797&lt;&gt;"",K797,IF(N(IFERROR(INDEX(Projects!$D$6:$D$65,MATCH(D797,Projects!$B$6:$B$65,0)),""))&gt;0,IFERROR(INDEX(Projects!$D$6:$D$65,MATCH(D797,Projects!$B$6:$B$65,0)),""),IFERROR(INDEX(Clients!$G$6:$G$45,MATCH(C797,Clients!$B$6:$B$45,0)),0))))</f>
        <v/>
      </c>
      <c r="O797" s="14">
        <f>IF(B797="","",IF(J797&lt;&gt;"",0,ROUND(M797*N797,2)))</f>
        <v/>
      </c>
      <c r="P797" s="15">
        <f>IF(OR(B797="",J797&lt;&gt;""),"",IF(L797&lt;&gt;"",L797,IF(COUNTIFS(Invoices!$C$6:$C$305,C797,Invoices!$E$6:$E$305,"&lt;="&amp;B797,Invoices!$F$6:$F$305,"&gt;="&amp;B797)=1,INDEX(Invoices!$B$6:$B$305,SUMIFS(Invoices!$O$6:$O$305,Invoices!$C$6:$C$305,C797,Invoices!$E$6:$E$305,"&lt;="&amp;B797,Invoices!$F$6:$F$305,"&gt;="&amp;B797)),IF(COUNTIFS(Invoices!$C$6:$C$305,C797,Invoices!$E$6:$E$305,"&lt;="&amp;B797,Invoices!$F$6:$F$305,"&gt;="&amp;B797)&gt;1,"Two invoices",""))))</f>
        <v/>
      </c>
      <c r="Q797" s="15">
        <f>IF(B797="","",IF(J797&lt;&gt;"","Not billable",IF(P797="","To invoice",IF(P797="Two invoices","Check dates",IF(ISNA(MATCH(P797,Invoices!$B$6:$B$305,0)),"Check number",IF(INDEX(Invoices!$M$6:$M$305,MATCH(P797,Invoices!$B$6:$B$305,0))="Paid","Paid",IF(INDEX(Invoices!$M$6:$M$305,MATCH(P797,Invoices!$B$6:$B$305,0))="Draft","Draft","Invoiced")))))))</f>
        <v/>
      </c>
      <c r="R797" s="1">
        <f>IF(AND(B797&lt;&gt;"",P797&lt;&gt;"",P797=Invoice!$G$4),B797+MOD(N(F797),1)+ROW()/10000000,"")</f>
        <v/>
      </c>
      <c r="S797">
        <f>IF(R797="","",IF(D797="","Other work",D797)&amp;IF(AND(K797&lt;&gt;"",E797&lt;&gt;""),", "&amp;E797,""))</f>
        <v/>
      </c>
      <c r="T797">
        <f>IF(R797="","",IF(COUNTIFS(R$6:R796,"&gt;0",S$6:S796,S797,N$6:N796,N797)=0,R797,""))</f>
        <v/>
      </c>
      <c r="U797">
        <f>IF(B797="","",IF(J797&lt;&gt;"",0,M797))</f>
        <v/>
      </c>
    </row>
    <row r="798">
      <c r="A798" s="1" t="n"/>
      <c r="B798" s="16" t="n"/>
      <c r="C798" s="17" t="n"/>
      <c r="D798" s="18" t="n"/>
      <c r="E798" s="18" t="n"/>
      <c r="F798" s="19" t="n"/>
      <c r="G798" s="19" t="n"/>
      <c r="H798" s="20" t="n"/>
      <c r="I798" s="21" t="n"/>
      <c r="J798" s="22" t="n"/>
      <c r="K798" s="23" t="n"/>
      <c r="L798" s="18" t="n"/>
      <c r="M798" s="24">
        <f>IF(B798="","",IF(AND(F798&lt;&gt;"",G798&lt;&gt;""),MAX(0,ROUND(MOD(G798-F798,1)*24-N(H798)/60,2)),N(I798)))</f>
        <v/>
      </c>
      <c r="N798" s="14">
        <f>IF(B798="","",IF(K798&lt;&gt;"",K798,IF(N(IFERROR(INDEX(Projects!$D$6:$D$65,MATCH(D798,Projects!$B$6:$B$65,0)),""))&gt;0,IFERROR(INDEX(Projects!$D$6:$D$65,MATCH(D798,Projects!$B$6:$B$65,0)),""),IFERROR(INDEX(Clients!$G$6:$G$45,MATCH(C798,Clients!$B$6:$B$45,0)),0))))</f>
        <v/>
      </c>
      <c r="O798" s="14">
        <f>IF(B798="","",IF(J798&lt;&gt;"",0,ROUND(M798*N798,2)))</f>
        <v/>
      </c>
      <c r="P798" s="15">
        <f>IF(OR(B798="",J798&lt;&gt;""),"",IF(L798&lt;&gt;"",L798,IF(COUNTIFS(Invoices!$C$6:$C$305,C798,Invoices!$E$6:$E$305,"&lt;="&amp;B798,Invoices!$F$6:$F$305,"&gt;="&amp;B798)=1,INDEX(Invoices!$B$6:$B$305,SUMIFS(Invoices!$O$6:$O$305,Invoices!$C$6:$C$305,C798,Invoices!$E$6:$E$305,"&lt;="&amp;B798,Invoices!$F$6:$F$305,"&gt;="&amp;B798)),IF(COUNTIFS(Invoices!$C$6:$C$305,C798,Invoices!$E$6:$E$305,"&lt;="&amp;B798,Invoices!$F$6:$F$305,"&gt;="&amp;B798)&gt;1,"Two invoices",""))))</f>
        <v/>
      </c>
      <c r="Q798" s="15">
        <f>IF(B798="","",IF(J798&lt;&gt;"","Not billable",IF(P798="","To invoice",IF(P798="Two invoices","Check dates",IF(ISNA(MATCH(P798,Invoices!$B$6:$B$305,0)),"Check number",IF(INDEX(Invoices!$M$6:$M$305,MATCH(P798,Invoices!$B$6:$B$305,0))="Paid","Paid",IF(INDEX(Invoices!$M$6:$M$305,MATCH(P798,Invoices!$B$6:$B$305,0))="Draft","Draft","Invoiced")))))))</f>
        <v/>
      </c>
      <c r="R798" s="1">
        <f>IF(AND(B798&lt;&gt;"",P798&lt;&gt;"",P798=Invoice!$G$4),B798+MOD(N(F798),1)+ROW()/10000000,"")</f>
        <v/>
      </c>
      <c r="S798">
        <f>IF(R798="","",IF(D798="","Other work",D798)&amp;IF(AND(K798&lt;&gt;"",E798&lt;&gt;""),", "&amp;E798,""))</f>
        <v/>
      </c>
      <c r="T798">
        <f>IF(R798="","",IF(COUNTIFS(R$6:R797,"&gt;0",S$6:S797,S798,N$6:N797,N798)=0,R798,""))</f>
        <v/>
      </c>
      <c r="U798">
        <f>IF(B798="","",IF(J798&lt;&gt;"",0,M798))</f>
        <v/>
      </c>
    </row>
    <row r="799">
      <c r="A799" s="1" t="n"/>
      <c r="B799" s="16" t="n"/>
      <c r="C799" s="17" t="n"/>
      <c r="D799" s="18" t="n"/>
      <c r="E799" s="18" t="n"/>
      <c r="F799" s="19" t="n"/>
      <c r="G799" s="19" t="n"/>
      <c r="H799" s="20" t="n"/>
      <c r="I799" s="21" t="n"/>
      <c r="J799" s="22" t="n"/>
      <c r="K799" s="23" t="n"/>
      <c r="L799" s="18" t="n"/>
      <c r="M799" s="24">
        <f>IF(B799="","",IF(AND(F799&lt;&gt;"",G799&lt;&gt;""),MAX(0,ROUND(MOD(G799-F799,1)*24-N(H799)/60,2)),N(I799)))</f>
        <v/>
      </c>
      <c r="N799" s="14">
        <f>IF(B799="","",IF(K799&lt;&gt;"",K799,IF(N(IFERROR(INDEX(Projects!$D$6:$D$65,MATCH(D799,Projects!$B$6:$B$65,0)),""))&gt;0,IFERROR(INDEX(Projects!$D$6:$D$65,MATCH(D799,Projects!$B$6:$B$65,0)),""),IFERROR(INDEX(Clients!$G$6:$G$45,MATCH(C799,Clients!$B$6:$B$45,0)),0))))</f>
        <v/>
      </c>
      <c r="O799" s="14">
        <f>IF(B799="","",IF(J799&lt;&gt;"",0,ROUND(M799*N799,2)))</f>
        <v/>
      </c>
      <c r="P799" s="15">
        <f>IF(OR(B799="",J799&lt;&gt;""),"",IF(L799&lt;&gt;"",L799,IF(COUNTIFS(Invoices!$C$6:$C$305,C799,Invoices!$E$6:$E$305,"&lt;="&amp;B799,Invoices!$F$6:$F$305,"&gt;="&amp;B799)=1,INDEX(Invoices!$B$6:$B$305,SUMIFS(Invoices!$O$6:$O$305,Invoices!$C$6:$C$305,C799,Invoices!$E$6:$E$305,"&lt;="&amp;B799,Invoices!$F$6:$F$305,"&gt;="&amp;B799)),IF(COUNTIFS(Invoices!$C$6:$C$305,C799,Invoices!$E$6:$E$305,"&lt;="&amp;B799,Invoices!$F$6:$F$305,"&gt;="&amp;B799)&gt;1,"Two invoices",""))))</f>
        <v/>
      </c>
      <c r="Q799" s="15">
        <f>IF(B799="","",IF(J799&lt;&gt;"","Not billable",IF(P799="","To invoice",IF(P799="Two invoices","Check dates",IF(ISNA(MATCH(P799,Invoices!$B$6:$B$305,0)),"Check number",IF(INDEX(Invoices!$M$6:$M$305,MATCH(P799,Invoices!$B$6:$B$305,0))="Paid","Paid",IF(INDEX(Invoices!$M$6:$M$305,MATCH(P799,Invoices!$B$6:$B$305,0))="Draft","Draft","Invoiced")))))))</f>
        <v/>
      </c>
      <c r="R799" s="1">
        <f>IF(AND(B799&lt;&gt;"",P799&lt;&gt;"",P799=Invoice!$G$4),B799+MOD(N(F799),1)+ROW()/10000000,"")</f>
        <v/>
      </c>
      <c r="S799">
        <f>IF(R799="","",IF(D799="","Other work",D799)&amp;IF(AND(K799&lt;&gt;"",E799&lt;&gt;""),", "&amp;E799,""))</f>
        <v/>
      </c>
      <c r="T799">
        <f>IF(R799="","",IF(COUNTIFS(R$6:R798,"&gt;0",S$6:S798,S799,N$6:N798,N799)=0,R799,""))</f>
        <v/>
      </c>
      <c r="U799">
        <f>IF(B799="","",IF(J799&lt;&gt;"",0,M799))</f>
        <v/>
      </c>
    </row>
    <row r="800">
      <c r="A800" s="1" t="n"/>
      <c r="B800" s="16" t="n"/>
      <c r="C800" s="17" t="n"/>
      <c r="D800" s="18" t="n"/>
      <c r="E800" s="18" t="n"/>
      <c r="F800" s="19" t="n"/>
      <c r="G800" s="19" t="n"/>
      <c r="H800" s="20" t="n"/>
      <c r="I800" s="21" t="n"/>
      <c r="J800" s="22" t="n"/>
      <c r="K800" s="23" t="n"/>
      <c r="L800" s="18" t="n"/>
      <c r="M800" s="24">
        <f>IF(B800="","",IF(AND(F800&lt;&gt;"",G800&lt;&gt;""),MAX(0,ROUND(MOD(G800-F800,1)*24-N(H800)/60,2)),N(I800)))</f>
        <v/>
      </c>
      <c r="N800" s="14">
        <f>IF(B800="","",IF(K800&lt;&gt;"",K800,IF(N(IFERROR(INDEX(Projects!$D$6:$D$65,MATCH(D800,Projects!$B$6:$B$65,0)),""))&gt;0,IFERROR(INDEX(Projects!$D$6:$D$65,MATCH(D800,Projects!$B$6:$B$65,0)),""),IFERROR(INDEX(Clients!$G$6:$G$45,MATCH(C800,Clients!$B$6:$B$45,0)),0))))</f>
        <v/>
      </c>
      <c r="O800" s="14">
        <f>IF(B800="","",IF(J800&lt;&gt;"",0,ROUND(M800*N800,2)))</f>
        <v/>
      </c>
      <c r="P800" s="15">
        <f>IF(OR(B800="",J800&lt;&gt;""),"",IF(L800&lt;&gt;"",L800,IF(COUNTIFS(Invoices!$C$6:$C$305,C800,Invoices!$E$6:$E$305,"&lt;="&amp;B800,Invoices!$F$6:$F$305,"&gt;="&amp;B800)=1,INDEX(Invoices!$B$6:$B$305,SUMIFS(Invoices!$O$6:$O$305,Invoices!$C$6:$C$305,C800,Invoices!$E$6:$E$305,"&lt;="&amp;B800,Invoices!$F$6:$F$305,"&gt;="&amp;B800)),IF(COUNTIFS(Invoices!$C$6:$C$305,C800,Invoices!$E$6:$E$305,"&lt;="&amp;B800,Invoices!$F$6:$F$305,"&gt;="&amp;B800)&gt;1,"Two invoices",""))))</f>
        <v/>
      </c>
      <c r="Q800" s="15">
        <f>IF(B800="","",IF(J800&lt;&gt;"","Not billable",IF(P800="","To invoice",IF(P800="Two invoices","Check dates",IF(ISNA(MATCH(P800,Invoices!$B$6:$B$305,0)),"Check number",IF(INDEX(Invoices!$M$6:$M$305,MATCH(P800,Invoices!$B$6:$B$305,0))="Paid","Paid",IF(INDEX(Invoices!$M$6:$M$305,MATCH(P800,Invoices!$B$6:$B$305,0))="Draft","Draft","Invoiced")))))))</f>
        <v/>
      </c>
      <c r="R800" s="1">
        <f>IF(AND(B800&lt;&gt;"",P800&lt;&gt;"",P800=Invoice!$G$4),B800+MOD(N(F800),1)+ROW()/10000000,"")</f>
        <v/>
      </c>
      <c r="S800">
        <f>IF(R800="","",IF(D800="","Other work",D800)&amp;IF(AND(K800&lt;&gt;"",E800&lt;&gt;""),", "&amp;E800,""))</f>
        <v/>
      </c>
      <c r="T800">
        <f>IF(R800="","",IF(COUNTIFS(R$6:R799,"&gt;0",S$6:S799,S800,N$6:N799,N800)=0,R800,""))</f>
        <v/>
      </c>
      <c r="U800">
        <f>IF(B800="","",IF(J800&lt;&gt;"",0,M800))</f>
        <v/>
      </c>
    </row>
    <row r="801">
      <c r="A801" s="1" t="n"/>
      <c r="B801" s="16" t="n"/>
      <c r="C801" s="17" t="n"/>
      <c r="D801" s="18" t="n"/>
      <c r="E801" s="18" t="n"/>
      <c r="F801" s="19" t="n"/>
      <c r="G801" s="19" t="n"/>
      <c r="H801" s="20" t="n"/>
      <c r="I801" s="21" t="n"/>
      <c r="J801" s="22" t="n"/>
      <c r="K801" s="23" t="n"/>
      <c r="L801" s="18" t="n"/>
      <c r="M801" s="24">
        <f>IF(B801="","",IF(AND(F801&lt;&gt;"",G801&lt;&gt;""),MAX(0,ROUND(MOD(G801-F801,1)*24-N(H801)/60,2)),N(I801)))</f>
        <v/>
      </c>
      <c r="N801" s="14">
        <f>IF(B801="","",IF(K801&lt;&gt;"",K801,IF(N(IFERROR(INDEX(Projects!$D$6:$D$65,MATCH(D801,Projects!$B$6:$B$65,0)),""))&gt;0,IFERROR(INDEX(Projects!$D$6:$D$65,MATCH(D801,Projects!$B$6:$B$65,0)),""),IFERROR(INDEX(Clients!$G$6:$G$45,MATCH(C801,Clients!$B$6:$B$45,0)),0))))</f>
        <v/>
      </c>
      <c r="O801" s="14">
        <f>IF(B801="","",IF(J801&lt;&gt;"",0,ROUND(M801*N801,2)))</f>
        <v/>
      </c>
      <c r="P801" s="15">
        <f>IF(OR(B801="",J801&lt;&gt;""),"",IF(L801&lt;&gt;"",L801,IF(COUNTIFS(Invoices!$C$6:$C$305,C801,Invoices!$E$6:$E$305,"&lt;="&amp;B801,Invoices!$F$6:$F$305,"&gt;="&amp;B801)=1,INDEX(Invoices!$B$6:$B$305,SUMIFS(Invoices!$O$6:$O$305,Invoices!$C$6:$C$305,C801,Invoices!$E$6:$E$305,"&lt;="&amp;B801,Invoices!$F$6:$F$305,"&gt;="&amp;B801)),IF(COUNTIFS(Invoices!$C$6:$C$305,C801,Invoices!$E$6:$E$305,"&lt;="&amp;B801,Invoices!$F$6:$F$305,"&gt;="&amp;B801)&gt;1,"Two invoices",""))))</f>
        <v/>
      </c>
      <c r="Q801" s="15">
        <f>IF(B801="","",IF(J801&lt;&gt;"","Not billable",IF(P801="","To invoice",IF(P801="Two invoices","Check dates",IF(ISNA(MATCH(P801,Invoices!$B$6:$B$305,0)),"Check number",IF(INDEX(Invoices!$M$6:$M$305,MATCH(P801,Invoices!$B$6:$B$305,0))="Paid","Paid",IF(INDEX(Invoices!$M$6:$M$305,MATCH(P801,Invoices!$B$6:$B$305,0))="Draft","Draft","Invoiced")))))))</f>
        <v/>
      </c>
      <c r="R801" s="1">
        <f>IF(AND(B801&lt;&gt;"",P801&lt;&gt;"",P801=Invoice!$G$4),B801+MOD(N(F801),1)+ROW()/10000000,"")</f>
        <v/>
      </c>
      <c r="S801">
        <f>IF(R801="","",IF(D801="","Other work",D801)&amp;IF(AND(K801&lt;&gt;"",E801&lt;&gt;""),", "&amp;E801,""))</f>
        <v/>
      </c>
      <c r="T801">
        <f>IF(R801="","",IF(COUNTIFS(R$6:R800,"&gt;0",S$6:S800,S801,N$6:N800,N801)=0,R801,""))</f>
        <v/>
      </c>
      <c r="U801">
        <f>IF(B801="","",IF(J801&lt;&gt;"",0,M801))</f>
        <v/>
      </c>
    </row>
    <row r="802">
      <c r="A802" s="1" t="n"/>
      <c r="B802" s="16" t="n"/>
      <c r="C802" s="17" t="n"/>
      <c r="D802" s="18" t="n"/>
      <c r="E802" s="18" t="n"/>
      <c r="F802" s="19" t="n"/>
      <c r="G802" s="19" t="n"/>
      <c r="H802" s="20" t="n"/>
      <c r="I802" s="21" t="n"/>
      <c r="J802" s="22" t="n"/>
      <c r="K802" s="23" t="n"/>
      <c r="L802" s="18" t="n"/>
      <c r="M802" s="24">
        <f>IF(B802="","",IF(AND(F802&lt;&gt;"",G802&lt;&gt;""),MAX(0,ROUND(MOD(G802-F802,1)*24-N(H802)/60,2)),N(I802)))</f>
        <v/>
      </c>
      <c r="N802" s="14">
        <f>IF(B802="","",IF(K802&lt;&gt;"",K802,IF(N(IFERROR(INDEX(Projects!$D$6:$D$65,MATCH(D802,Projects!$B$6:$B$65,0)),""))&gt;0,IFERROR(INDEX(Projects!$D$6:$D$65,MATCH(D802,Projects!$B$6:$B$65,0)),""),IFERROR(INDEX(Clients!$G$6:$G$45,MATCH(C802,Clients!$B$6:$B$45,0)),0))))</f>
        <v/>
      </c>
      <c r="O802" s="14">
        <f>IF(B802="","",IF(J802&lt;&gt;"",0,ROUND(M802*N802,2)))</f>
        <v/>
      </c>
      <c r="P802" s="15">
        <f>IF(OR(B802="",J802&lt;&gt;""),"",IF(L802&lt;&gt;"",L802,IF(COUNTIFS(Invoices!$C$6:$C$305,C802,Invoices!$E$6:$E$305,"&lt;="&amp;B802,Invoices!$F$6:$F$305,"&gt;="&amp;B802)=1,INDEX(Invoices!$B$6:$B$305,SUMIFS(Invoices!$O$6:$O$305,Invoices!$C$6:$C$305,C802,Invoices!$E$6:$E$305,"&lt;="&amp;B802,Invoices!$F$6:$F$305,"&gt;="&amp;B802)),IF(COUNTIFS(Invoices!$C$6:$C$305,C802,Invoices!$E$6:$E$305,"&lt;="&amp;B802,Invoices!$F$6:$F$305,"&gt;="&amp;B802)&gt;1,"Two invoices",""))))</f>
        <v/>
      </c>
      <c r="Q802" s="15">
        <f>IF(B802="","",IF(J802&lt;&gt;"","Not billable",IF(P802="","To invoice",IF(P802="Two invoices","Check dates",IF(ISNA(MATCH(P802,Invoices!$B$6:$B$305,0)),"Check number",IF(INDEX(Invoices!$M$6:$M$305,MATCH(P802,Invoices!$B$6:$B$305,0))="Paid","Paid",IF(INDEX(Invoices!$M$6:$M$305,MATCH(P802,Invoices!$B$6:$B$305,0))="Draft","Draft","Invoiced")))))))</f>
        <v/>
      </c>
      <c r="R802" s="1">
        <f>IF(AND(B802&lt;&gt;"",P802&lt;&gt;"",P802=Invoice!$G$4),B802+MOD(N(F802),1)+ROW()/10000000,"")</f>
        <v/>
      </c>
      <c r="S802">
        <f>IF(R802="","",IF(D802="","Other work",D802)&amp;IF(AND(K802&lt;&gt;"",E802&lt;&gt;""),", "&amp;E802,""))</f>
        <v/>
      </c>
      <c r="T802">
        <f>IF(R802="","",IF(COUNTIFS(R$6:R801,"&gt;0",S$6:S801,S802,N$6:N801,N802)=0,R802,""))</f>
        <v/>
      </c>
      <c r="U802">
        <f>IF(B802="","",IF(J802&lt;&gt;"",0,M802))</f>
        <v/>
      </c>
    </row>
    <row r="803">
      <c r="A803" s="1" t="n"/>
      <c r="B803" s="16" t="n"/>
      <c r="C803" s="17" t="n"/>
      <c r="D803" s="18" t="n"/>
      <c r="E803" s="18" t="n"/>
      <c r="F803" s="19" t="n"/>
      <c r="G803" s="19" t="n"/>
      <c r="H803" s="20" t="n"/>
      <c r="I803" s="21" t="n"/>
      <c r="J803" s="22" t="n"/>
      <c r="K803" s="23" t="n"/>
      <c r="L803" s="18" t="n"/>
      <c r="M803" s="24">
        <f>IF(B803="","",IF(AND(F803&lt;&gt;"",G803&lt;&gt;""),MAX(0,ROUND(MOD(G803-F803,1)*24-N(H803)/60,2)),N(I803)))</f>
        <v/>
      </c>
      <c r="N803" s="14">
        <f>IF(B803="","",IF(K803&lt;&gt;"",K803,IF(N(IFERROR(INDEX(Projects!$D$6:$D$65,MATCH(D803,Projects!$B$6:$B$65,0)),""))&gt;0,IFERROR(INDEX(Projects!$D$6:$D$65,MATCH(D803,Projects!$B$6:$B$65,0)),""),IFERROR(INDEX(Clients!$G$6:$G$45,MATCH(C803,Clients!$B$6:$B$45,0)),0))))</f>
        <v/>
      </c>
      <c r="O803" s="14">
        <f>IF(B803="","",IF(J803&lt;&gt;"",0,ROUND(M803*N803,2)))</f>
        <v/>
      </c>
      <c r="P803" s="15">
        <f>IF(OR(B803="",J803&lt;&gt;""),"",IF(L803&lt;&gt;"",L803,IF(COUNTIFS(Invoices!$C$6:$C$305,C803,Invoices!$E$6:$E$305,"&lt;="&amp;B803,Invoices!$F$6:$F$305,"&gt;="&amp;B803)=1,INDEX(Invoices!$B$6:$B$305,SUMIFS(Invoices!$O$6:$O$305,Invoices!$C$6:$C$305,C803,Invoices!$E$6:$E$305,"&lt;="&amp;B803,Invoices!$F$6:$F$305,"&gt;="&amp;B803)),IF(COUNTIFS(Invoices!$C$6:$C$305,C803,Invoices!$E$6:$E$305,"&lt;="&amp;B803,Invoices!$F$6:$F$305,"&gt;="&amp;B803)&gt;1,"Two invoices",""))))</f>
        <v/>
      </c>
      <c r="Q803" s="15">
        <f>IF(B803="","",IF(J803&lt;&gt;"","Not billable",IF(P803="","To invoice",IF(P803="Two invoices","Check dates",IF(ISNA(MATCH(P803,Invoices!$B$6:$B$305,0)),"Check number",IF(INDEX(Invoices!$M$6:$M$305,MATCH(P803,Invoices!$B$6:$B$305,0))="Paid","Paid",IF(INDEX(Invoices!$M$6:$M$305,MATCH(P803,Invoices!$B$6:$B$305,0))="Draft","Draft","Invoiced")))))))</f>
        <v/>
      </c>
      <c r="R803" s="1">
        <f>IF(AND(B803&lt;&gt;"",P803&lt;&gt;"",P803=Invoice!$G$4),B803+MOD(N(F803),1)+ROW()/10000000,"")</f>
        <v/>
      </c>
      <c r="S803">
        <f>IF(R803="","",IF(D803="","Other work",D803)&amp;IF(AND(K803&lt;&gt;"",E803&lt;&gt;""),", "&amp;E803,""))</f>
        <v/>
      </c>
      <c r="T803">
        <f>IF(R803="","",IF(COUNTIFS(R$6:R802,"&gt;0",S$6:S802,S803,N$6:N802,N803)=0,R803,""))</f>
        <v/>
      </c>
      <c r="U803">
        <f>IF(B803="","",IF(J803&lt;&gt;"",0,M803))</f>
        <v/>
      </c>
    </row>
    <row r="804">
      <c r="A804" s="1" t="n"/>
      <c r="B804" s="16" t="n"/>
      <c r="C804" s="17" t="n"/>
      <c r="D804" s="18" t="n"/>
      <c r="E804" s="18" t="n"/>
      <c r="F804" s="19" t="n"/>
      <c r="G804" s="19" t="n"/>
      <c r="H804" s="20" t="n"/>
      <c r="I804" s="21" t="n"/>
      <c r="J804" s="22" t="n"/>
      <c r="K804" s="23" t="n"/>
      <c r="L804" s="18" t="n"/>
      <c r="M804" s="24">
        <f>IF(B804="","",IF(AND(F804&lt;&gt;"",G804&lt;&gt;""),MAX(0,ROUND(MOD(G804-F804,1)*24-N(H804)/60,2)),N(I804)))</f>
        <v/>
      </c>
      <c r="N804" s="14">
        <f>IF(B804="","",IF(K804&lt;&gt;"",K804,IF(N(IFERROR(INDEX(Projects!$D$6:$D$65,MATCH(D804,Projects!$B$6:$B$65,0)),""))&gt;0,IFERROR(INDEX(Projects!$D$6:$D$65,MATCH(D804,Projects!$B$6:$B$65,0)),""),IFERROR(INDEX(Clients!$G$6:$G$45,MATCH(C804,Clients!$B$6:$B$45,0)),0))))</f>
        <v/>
      </c>
      <c r="O804" s="14">
        <f>IF(B804="","",IF(J804&lt;&gt;"",0,ROUND(M804*N804,2)))</f>
        <v/>
      </c>
      <c r="P804" s="15">
        <f>IF(OR(B804="",J804&lt;&gt;""),"",IF(L804&lt;&gt;"",L804,IF(COUNTIFS(Invoices!$C$6:$C$305,C804,Invoices!$E$6:$E$305,"&lt;="&amp;B804,Invoices!$F$6:$F$305,"&gt;="&amp;B804)=1,INDEX(Invoices!$B$6:$B$305,SUMIFS(Invoices!$O$6:$O$305,Invoices!$C$6:$C$305,C804,Invoices!$E$6:$E$305,"&lt;="&amp;B804,Invoices!$F$6:$F$305,"&gt;="&amp;B804)),IF(COUNTIFS(Invoices!$C$6:$C$305,C804,Invoices!$E$6:$E$305,"&lt;="&amp;B804,Invoices!$F$6:$F$305,"&gt;="&amp;B804)&gt;1,"Two invoices",""))))</f>
        <v/>
      </c>
      <c r="Q804" s="15">
        <f>IF(B804="","",IF(J804&lt;&gt;"","Not billable",IF(P804="","To invoice",IF(P804="Two invoices","Check dates",IF(ISNA(MATCH(P804,Invoices!$B$6:$B$305,0)),"Check number",IF(INDEX(Invoices!$M$6:$M$305,MATCH(P804,Invoices!$B$6:$B$305,0))="Paid","Paid",IF(INDEX(Invoices!$M$6:$M$305,MATCH(P804,Invoices!$B$6:$B$305,0))="Draft","Draft","Invoiced")))))))</f>
        <v/>
      </c>
      <c r="R804" s="1">
        <f>IF(AND(B804&lt;&gt;"",P804&lt;&gt;"",P804=Invoice!$G$4),B804+MOD(N(F804),1)+ROW()/10000000,"")</f>
        <v/>
      </c>
      <c r="S804">
        <f>IF(R804="","",IF(D804="","Other work",D804)&amp;IF(AND(K804&lt;&gt;"",E804&lt;&gt;""),", "&amp;E804,""))</f>
        <v/>
      </c>
      <c r="T804">
        <f>IF(R804="","",IF(COUNTIFS(R$6:R803,"&gt;0",S$6:S803,S804,N$6:N803,N804)=0,R804,""))</f>
        <v/>
      </c>
      <c r="U804">
        <f>IF(B804="","",IF(J804&lt;&gt;"",0,M804))</f>
        <v/>
      </c>
    </row>
    <row r="805">
      <c r="A805" s="1" t="n"/>
      <c r="B805" s="16" t="n"/>
      <c r="C805" s="17" t="n"/>
      <c r="D805" s="18" t="n"/>
      <c r="E805" s="18" t="n"/>
      <c r="F805" s="19" t="n"/>
      <c r="G805" s="19" t="n"/>
      <c r="H805" s="20" t="n"/>
      <c r="I805" s="21" t="n"/>
      <c r="J805" s="22" t="n"/>
      <c r="K805" s="23" t="n"/>
      <c r="L805" s="18" t="n"/>
      <c r="M805" s="24">
        <f>IF(B805="","",IF(AND(F805&lt;&gt;"",G805&lt;&gt;""),MAX(0,ROUND(MOD(G805-F805,1)*24-N(H805)/60,2)),N(I805)))</f>
        <v/>
      </c>
      <c r="N805" s="14">
        <f>IF(B805="","",IF(K805&lt;&gt;"",K805,IF(N(IFERROR(INDEX(Projects!$D$6:$D$65,MATCH(D805,Projects!$B$6:$B$65,0)),""))&gt;0,IFERROR(INDEX(Projects!$D$6:$D$65,MATCH(D805,Projects!$B$6:$B$65,0)),""),IFERROR(INDEX(Clients!$G$6:$G$45,MATCH(C805,Clients!$B$6:$B$45,0)),0))))</f>
        <v/>
      </c>
      <c r="O805" s="14">
        <f>IF(B805="","",IF(J805&lt;&gt;"",0,ROUND(M805*N805,2)))</f>
        <v/>
      </c>
      <c r="P805" s="15">
        <f>IF(OR(B805="",J805&lt;&gt;""),"",IF(L805&lt;&gt;"",L805,IF(COUNTIFS(Invoices!$C$6:$C$305,C805,Invoices!$E$6:$E$305,"&lt;="&amp;B805,Invoices!$F$6:$F$305,"&gt;="&amp;B805)=1,INDEX(Invoices!$B$6:$B$305,SUMIFS(Invoices!$O$6:$O$305,Invoices!$C$6:$C$305,C805,Invoices!$E$6:$E$305,"&lt;="&amp;B805,Invoices!$F$6:$F$305,"&gt;="&amp;B805)),IF(COUNTIFS(Invoices!$C$6:$C$305,C805,Invoices!$E$6:$E$305,"&lt;="&amp;B805,Invoices!$F$6:$F$305,"&gt;="&amp;B805)&gt;1,"Two invoices",""))))</f>
        <v/>
      </c>
      <c r="Q805" s="15">
        <f>IF(B805="","",IF(J805&lt;&gt;"","Not billable",IF(P805="","To invoice",IF(P805="Two invoices","Check dates",IF(ISNA(MATCH(P805,Invoices!$B$6:$B$305,0)),"Check number",IF(INDEX(Invoices!$M$6:$M$305,MATCH(P805,Invoices!$B$6:$B$305,0))="Paid","Paid",IF(INDEX(Invoices!$M$6:$M$305,MATCH(P805,Invoices!$B$6:$B$305,0))="Draft","Draft","Invoiced")))))))</f>
        <v/>
      </c>
      <c r="R805" s="1">
        <f>IF(AND(B805&lt;&gt;"",P805&lt;&gt;"",P805=Invoice!$G$4),B805+MOD(N(F805),1)+ROW()/10000000,"")</f>
        <v/>
      </c>
      <c r="S805">
        <f>IF(R805="","",IF(D805="","Other work",D805)&amp;IF(AND(K805&lt;&gt;"",E805&lt;&gt;""),", "&amp;E805,""))</f>
        <v/>
      </c>
      <c r="T805">
        <f>IF(R805="","",IF(COUNTIFS(R$6:R804,"&gt;0",S$6:S804,S805,N$6:N804,N805)=0,R805,""))</f>
        <v/>
      </c>
      <c r="U805">
        <f>IF(B805="","",IF(J805&lt;&gt;"",0,M805))</f>
        <v/>
      </c>
    </row>
    <row r="806">
      <c r="A806" s="1" t="n"/>
      <c r="B806" s="16" t="n"/>
      <c r="C806" s="17" t="n"/>
      <c r="D806" s="18" t="n"/>
      <c r="E806" s="18" t="n"/>
      <c r="F806" s="19" t="n"/>
      <c r="G806" s="19" t="n"/>
      <c r="H806" s="20" t="n"/>
      <c r="I806" s="21" t="n"/>
      <c r="J806" s="22" t="n"/>
      <c r="K806" s="23" t="n"/>
      <c r="L806" s="18" t="n"/>
      <c r="M806" s="24">
        <f>IF(B806="","",IF(AND(F806&lt;&gt;"",G806&lt;&gt;""),MAX(0,ROUND(MOD(G806-F806,1)*24-N(H806)/60,2)),N(I806)))</f>
        <v/>
      </c>
      <c r="N806" s="14">
        <f>IF(B806="","",IF(K806&lt;&gt;"",K806,IF(N(IFERROR(INDEX(Projects!$D$6:$D$65,MATCH(D806,Projects!$B$6:$B$65,0)),""))&gt;0,IFERROR(INDEX(Projects!$D$6:$D$65,MATCH(D806,Projects!$B$6:$B$65,0)),""),IFERROR(INDEX(Clients!$G$6:$G$45,MATCH(C806,Clients!$B$6:$B$45,0)),0))))</f>
        <v/>
      </c>
      <c r="O806" s="14">
        <f>IF(B806="","",IF(J806&lt;&gt;"",0,ROUND(M806*N806,2)))</f>
        <v/>
      </c>
      <c r="P806" s="15">
        <f>IF(OR(B806="",J806&lt;&gt;""),"",IF(L806&lt;&gt;"",L806,IF(COUNTIFS(Invoices!$C$6:$C$305,C806,Invoices!$E$6:$E$305,"&lt;="&amp;B806,Invoices!$F$6:$F$305,"&gt;="&amp;B806)=1,INDEX(Invoices!$B$6:$B$305,SUMIFS(Invoices!$O$6:$O$305,Invoices!$C$6:$C$305,C806,Invoices!$E$6:$E$305,"&lt;="&amp;B806,Invoices!$F$6:$F$305,"&gt;="&amp;B806)),IF(COUNTIFS(Invoices!$C$6:$C$305,C806,Invoices!$E$6:$E$305,"&lt;="&amp;B806,Invoices!$F$6:$F$305,"&gt;="&amp;B806)&gt;1,"Two invoices",""))))</f>
        <v/>
      </c>
      <c r="Q806" s="15">
        <f>IF(B806="","",IF(J806&lt;&gt;"","Not billable",IF(P806="","To invoice",IF(P806="Two invoices","Check dates",IF(ISNA(MATCH(P806,Invoices!$B$6:$B$305,0)),"Check number",IF(INDEX(Invoices!$M$6:$M$305,MATCH(P806,Invoices!$B$6:$B$305,0))="Paid","Paid",IF(INDEX(Invoices!$M$6:$M$305,MATCH(P806,Invoices!$B$6:$B$305,0))="Draft","Draft","Invoiced")))))))</f>
        <v/>
      </c>
      <c r="R806" s="1">
        <f>IF(AND(B806&lt;&gt;"",P806&lt;&gt;"",P806=Invoice!$G$4),B806+MOD(N(F806),1)+ROW()/10000000,"")</f>
        <v/>
      </c>
      <c r="S806">
        <f>IF(R806="","",IF(D806="","Other work",D806)&amp;IF(AND(K806&lt;&gt;"",E806&lt;&gt;""),", "&amp;E806,""))</f>
        <v/>
      </c>
      <c r="T806">
        <f>IF(R806="","",IF(COUNTIFS(R$6:R805,"&gt;0",S$6:S805,S806,N$6:N805,N806)=0,R806,""))</f>
        <v/>
      </c>
      <c r="U806">
        <f>IF(B806="","",IF(J806&lt;&gt;"",0,M806))</f>
        <v/>
      </c>
    </row>
    <row r="807">
      <c r="A807" s="1" t="n"/>
      <c r="B807" s="16" t="n"/>
      <c r="C807" s="17" t="n"/>
      <c r="D807" s="18" t="n"/>
      <c r="E807" s="18" t="n"/>
      <c r="F807" s="19" t="n"/>
      <c r="G807" s="19" t="n"/>
      <c r="H807" s="20" t="n"/>
      <c r="I807" s="21" t="n"/>
      <c r="J807" s="22" t="n"/>
      <c r="K807" s="23" t="n"/>
      <c r="L807" s="18" t="n"/>
      <c r="M807" s="24">
        <f>IF(B807="","",IF(AND(F807&lt;&gt;"",G807&lt;&gt;""),MAX(0,ROUND(MOD(G807-F807,1)*24-N(H807)/60,2)),N(I807)))</f>
        <v/>
      </c>
      <c r="N807" s="14">
        <f>IF(B807="","",IF(K807&lt;&gt;"",K807,IF(N(IFERROR(INDEX(Projects!$D$6:$D$65,MATCH(D807,Projects!$B$6:$B$65,0)),""))&gt;0,IFERROR(INDEX(Projects!$D$6:$D$65,MATCH(D807,Projects!$B$6:$B$65,0)),""),IFERROR(INDEX(Clients!$G$6:$G$45,MATCH(C807,Clients!$B$6:$B$45,0)),0))))</f>
        <v/>
      </c>
      <c r="O807" s="14">
        <f>IF(B807="","",IF(J807&lt;&gt;"",0,ROUND(M807*N807,2)))</f>
        <v/>
      </c>
      <c r="P807" s="15">
        <f>IF(OR(B807="",J807&lt;&gt;""),"",IF(L807&lt;&gt;"",L807,IF(COUNTIFS(Invoices!$C$6:$C$305,C807,Invoices!$E$6:$E$305,"&lt;="&amp;B807,Invoices!$F$6:$F$305,"&gt;="&amp;B807)=1,INDEX(Invoices!$B$6:$B$305,SUMIFS(Invoices!$O$6:$O$305,Invoices!$C$6:$C$305,C807,Invoices!$E$6:$E$305,"&lt;="&amp;B807,Invoices!$F$6:$F$305,"&gt;="&amp;B807)),IF(COUNTIFS(Invoices!$C$6:$C$305,C807,Invoices!$E$6:$E$305,"&lt;="&amp;B807,Invoices!$F$6:$F$305,"&gt;="&amp;B807)&gt;1,"Two invoices",""))))</f>
        <v/>
      </c>
      <c r="Q807" s="15">
        <f>IF(B807="","",IF(J807&lt;&gt;"","Not billable",IF(P807="","To invoice",IF(P807="Two invoices","Check dates",IF(ISNA(MATCH(P807,Invoices!$B$6:$B$305,0)),"Check number",IF(INDEX(Invoices!$M$6:$M$305,MATCH(P807,Invoices!$B$6:$B$305,0))="Paid","Paid",IF(INDEX(Invoices!$M$6:$M$305,MATCH(P807,Invoices!$B$6:$B$305,0))="Draft","Draft","Invoiced")))))))</f>
        <v/>
      </c>
      <c r="R807" s="1">
        <f>IF(AND(B807&lt;&gt;"",P807&lt;&gt;"",P807=Invoice!$G$4),B807+MOD(N(F807),1)+ROW()/10000000,"")</f>
        <v/>
      </c>
      <c r="S807">
        <f>IF(R807="","",IF(D807="","Other work",D807)&amp;IF(AND(K807&lt;&gt;"",E807&lt;&gt;""),", "&amp;E807,""))</f>
        <v/>
      </c>
      <c r="T807">
        <f>IF(R807="","",IF(COUNTIFS(R$6:R806,"&gt;0",S$6:S806,S807,N$6:N806,N807)=0,R807,""))</f>
        <v/>
      </c>
      <c r="U807">
        <f>IF(B807="","",IF(J807&lt;&gt;"",0,M807))</f>
        <v/>
      </c>
    </row>
    <row r="808">
      <c r="A808" s="1" t="n"/>
      <c r="B808" s="16" t="n"/>
      <c r="C808" s="17" t="n"/>
      <c r="D808" s="18" t="n"/>
      <c r="E808" s="18" t="n"/>
      <c r="F808" s="19" t="n"/>
      <c r="G808" s="19" t="n"/>
      <c r="H808" s="20" t="n"/>
      <c r="I808" s="21" t="n"/>
      <c r="J808" s="22" t="n"/>
      <c r="K808" s="23" t="n"/>
      <c r="L808" s="18" t="n"/>
      <c r="M808" s="24">
        <f>IF(B808="","",IF(AND(F808&lt;&gt;"",G808&lt;&gt;""),MAX(0,ROUND(MOD(G808-F808,1)*24-N(H808)/60,2)),N(I808)))</f>
        <v/>
      </c>
      <c r="N808" s="14">
        <f>IF(B808="","",IF(K808&lt;&gt;"",K808,IF(N(IFERROR(INDEX(Projects!$D$6:$D$65,MATCH(D808,Projects!$B$6:$B$65,0)),""))&gt;0,IFERROR(INDEX(Projects!$D$6:$D$65,MATCH(D808,Projects!$B$6:$B$65,0)),""),IFERROR(INDEX(Clients!$G$6:$G$45,MATCH(C808,Clients!$B$6:$B$45,0)),0))))</f>
        <v/>
      </c>
      <c r="O808" s="14">
        <f>IF(B808="","",IF(J808&lt;&gt;"",0,ROUND(M808*N808,2)))</f>
        <v/>
      </c>
      <c r="P808" s="15">
        <f>IF(OR(B808="",J808&lt;&gt;""),"",IF(L808&lt;&gt;"",L808,IF(COUNTIFS(Invoices!$C$6:$C$305,C808,Invoices!$E$6:$E$305,"&lt;="&amp;B808,Invoices!$F$6:$F$305,"&gt;="&amp;B808)=1,INDEX(Invoices!$B$6:$B$305,SUMIFS(Invoices!$O$6:$O$305,Invoices!$C$6:$C$305,C808,Invoices!$E$6:$E$305,"&lt;="&amp;B808,Invoices!$F$6:$F$305,"&gt;="&amp;B808)),IF(COUNTIFS(Invoices!$C$6:$C$305,C808,Invoices!$E$6:$E$305,"&lt;="&amp;B808,Invoices!$F$6:$F$305,"&gt;="&amp;B808)&gt;1,"Two invoices",""))))</f>
        <v/>
      </c>
      <c r="Q808" s="15">
        <f>IF(B808="","",IF(J808&lt;&gt;"","Not billable",IF(P808="","To invoice",IF(P808="Two invoices","Check dates",IF(ISNA(MATCH(P808,Invoices!$B$6:$B$305,0)),"Check number",IF(INDEX(Invoices!$M$6:$M$305,MATCH(P808,Invoices!$B$6:$B$305,0))="Paid","Paid",IF(INDEX(Invoices!$M$6:$M$305,MATCH(P808,Invoices!$B$6:$B$305,0))="Draft","Draft","Invoiced")))))))</f>
        <v/>
      </c>
      <c r="R808" s="1">
        <f>IF(AND(B808&lt;&gt;"",P808&lt;&gt;"",P808=Invoice!$G$4),B808+MOD(N(F808),1)+ROW()/10000000,"")</f>
        <v/>
      </c>
      <c r="S808">
        <f>IF(R808="","",IF(D808="","Other work",D808)&amp;IF(AND(K808&lt;&gt;"",E808&lt;&gt;""),", "&amp;E808,""))</f>
        <v/>
      </c>
      <c r="T808">
        <f>IF(R808="","",IF(COUNTIFS(R$6:R807,"&gt;0",S$6:S807,S808,N$6:N807,N808)=0,R808,""))</f>
        <v/>
      </c>
      <c r="U808">
        <f>IF(B808="","",IF(J808&lt;&gt;"",0,M808))</f>
        <v/>
      </c>
    </row>
    <row r="809">
      <c r="A809" s="1" t="n"/>
      <c r="B809" s="16" t="n"/>
      <c r="C809" s="17" t="n"/>
      <c r="D809" s="18" t="n"/>
      <c r="E809" s="18" t="n"/>
      <c r="F809" s="19" t="n"/>
      <c r="G809" s="19" t="n"/>
      <c r="H809" s="20" t="n"/>
      <c r="I809" s="21" t="n"/>
      <c r="J809" s="22" t="n"/>
      <c r="K809" s="23" t="n"/>
      <c r="L809" s="18" t="n"/>
      <c r="M809" s="24">
        <f>IF(B809="","",IF(AND(F809&lt;&gt;"",G809&lt;&gt;""),MAX(0,ROUND(MOD(G809-F809,1)*24-N(H809)/60,2)),N(I809)))</f>
        <v/>
      </c>
      <c r="N809" s="14">
        <f>IF(B809="","",IF(K809&lt;&gt;"",K809,IF(N(IFERROR(INDEX(Projects!$D$6:$D$65,MATCH(D809,Projects!$B$6:$B$65,0)),""))&gt;0,IFERROR(INDEX(Projects!$D$6:$D$65,MATCH(D809,Projects!$B$6:$B$65,0)),""),IFERROR(INDEX(Clients!$G$6:$G$45,MATCH(C809,Clients!$B$6:$B$45,0)),0))))</f>
        <v/>
      </c>
      <c r="O809" s="14">
        <f>IF(B809="","",IF(J809&lt;&gt;"",0,ROUND(M809*N809,2)))</f>
        <v/>
      </c>
      <c r="P809" s="15">
        <f>IF(OR(B809="",J809&lt;&gt;""),"",IF(L809&lt;&gt;"",L809,IF(COUNTIFS(Invoices!$C$6:$C$305,C809,Invoices!$E$6:$E$305,"&lt;="&amp;B809,Invoices!$F$6:$F$305,"&gt;="&amp;B809)=1,INDEX(Invoices!$B$6:$B$305,SUMIFS(Invoices!$O$6:$O$305,Invoices!$C$6:$C$305,C809,Invoices!$E$6:$E$305,"&lt;="&amp;B809,Invoices!$F$6:$F$305,"&gt;="&amp;B809)),IF(COUNTIFS(Invoices!$C$6:$C$305,C809,Invoices!$E$6:$E$305,"&lt;="&amp;B809,Invoices!$F$6:$F$305,"&gt;="&amp;B809)&gt;1,"Two invoices",""))))</f>
        <v/>
      </c>
      <c r="Q809" s="15">
        <f>IF(B809="","",IF(J809&lt;&gt;"","Not billable",IF(P809="","To invoice",IF(P809="Two invoices","Check dates",IF(ISNA(MATCH(P809,Invoices!$B$6:$B$305,0)),"Check number",IF(INDEX(Invoices!$M$6:$M$305,MATCH(P809,Invoices!$B$6:$B$305,0))="Paid","Paid",IF(INDEX(Invoices!$M$6:$M$305,MATCH(P809,Invoices!$B$6:$B$305,0))="Draft","Draft","Invoiced")))))))</f>
        <v/>
      </c>
      <c r="R809" s="1">
        <f>IF(AND(B809&lt;&gt;"",P809&lt;&gt;"",P809=Invoice!$G$4),B809+MOD(N(F809),1)+ROW()/10000000,"")</f>
        <v/>
      </c>
      <c r="S809">
        <f>IF(R809="","",IF(D809="","Other work",D809)&amp;IF(AND(K809&lt;&gt;"",E809&lt;&gt;""),", "&amp;E809,""))</f>
        <v/>
      </c>
      <c r="T809">
        <f>IF(R809="","",IF(COUNTIFS(R$6:R808,"&gt;0",S$6:S808,S809,N$6:N808,N809)=0,R809,""))</f>
        <v/>
      </c>
      <c r="U809">
        <f>IF(B809="","",IF(J809&lt;&gt;"",0,M809))</f>
        <v/>
      </c>
    </row>
    <row r="810">
      <c r="A810" s="1" t="n"/>
      <c r="B810" s="16" t="n"/>
      <c r="C810" s="17" t="n"/>
      <c r="D810" s="18" t="n"/>
      <c r="E810" s="18" t="n"/>
      <c r="F810" s="19" t="n"/>
      <c r="G810" s="19" t="n"/>
      <c r="H810" s="20" t="n"/>
      <c r="I810" s="21" t="n"/>
      <c r="J810" s="22" t="n"/>
      <c r="K810" s="23" t="n"/>
      <c r="L810" s="18" t="n"/>
      <c r="M810" s="24">
        <f>IF(B810="","",IF(AND(F810&lt;&gt;"",G810&lt;&gt;""),MAX(0,ROUND(MOD(G810-F810,1)*24-N(H810)/60,2)),N(I810)))</f>
        <v/>
      </c>
      <c r="N810" s="14">
        <f>IF(B810="","",IF(K810&lt;&gt;"",K810,IF(N(IFERROR(INDEX(Projects!$D$6:$D$65,MATCH(D810,Projects!$B$6:$B$65,0)),""))&gt;0,IFERROR(INDEX(Projects!$D$6:$D$65,MATCH(D810,Projects!$B$6:$B$65,0)),""),IFERROR(INDEX(Clients!$G$6:$G$45,MATCH(C810,Clients!$B$6:$B$45,0)),0))))</f>
        <v/>
      </c>
      <c r="O810" s="14">
        <f>IF(B810="","",IF(J810&lt;&gt;"",0,ROUND(M810*N810,2)))</f>
        <v/>
      </c>
      <c r="P810" s="15">
        <f>IF(OR(B810="",J810&lt;&gt;""),"",IF(L810&lt;&gt;"",L810,IF(COUNTIFS(Invoices!$C$6:$C$305,C810,Invoices!$E$6:$E$305,"&lt;="&amp;B810,Invoices!$F$6:$F$305,"&gt;="&amp;B810)=1,INDEX(Invoices!$B$6:$B$305,SUMIFS(Invoices!$O$6:$O$305,Invoices!$C$6:$C$305,C810,Invoices!$E$6:$E$305,"&lt;="&amp;B810,Invoices!$F$6:$F$305,"&gt;="&amp;B810)),IF(COUNTIFS(Invoices!$C$6:$C$305,C810,Invoices!$E$6:$E$305,"&lt;="&amp;B810,Invoices!$F$6:$F$305,"&gt;="&amp;B810)&gt;1,"Two invoices",""))))</f>
        <v/>
      </c>
      <c r="Q810" s="15">
        <f>IF(B810="","",IF(J810&lt;&gt;"","Not billable",IF(P810="","To invoice",IF(P810="Two invoices","Check dates",IF(ISNA(MATCH(P810,Invoices!$B$6:$B$305,0)),"Check number",IF(INDEX(Invoices!$M$6:$M$305,MATCH(P810,Invoices!$B$6:$B$305,0))="Paid","Paid",IF(INDEX(Invoices!$M$6:$M$305,MATCH(P810,Invoices!$B$6:$B$305,0))="Draft","Draft","Invoiced")))))))</f>
        <v/>
      </c>
      <c r="R810" s="1">
        <f>IF(AND(B810&lt;&gt;"",P810&lt;&gt;"",P810=Invoice!$G$4),B810+MOD(N(F810),1)+ROW()/10000000,"")</f>
        <v/>
      </c>
      <c r="S810">
        <f>IF(R810="","",IF(D810="","Other work",D810)&amp;IF(AND(K810&lt;&gt;"",E810&lt;&gt;""),", "&amp;E810,""))</f>
        <v/>
      </c>
      <c r="T810">
        <f>IF(R810="","",IF(COUNTIFS(R$6:R809,"&gt;0",S$6:S809,S810,N$6:N809,N810)=0,R810,""))</f>
        <v/>
      </c>
      <c r="U810">
        <f>IF(B810="","",IF(J810&lt;&gt;"",0,M810))</f>
        <v/>
      </c>
    </row>
    <row r="811">
      <c r="A811" s="1" t="n"/>
      <c r="B811" s="16" t="n"/>
      <c r="C811" s="17" t="n"/>
      <c r="D811" s="18" t="n"/>
      <c r="E811" s="18" t="n"/>
      <c r="F811" s="19" t="n"/>
      <c r="G811" s="19" t="n"/>
      <c r="H811" s="20" t="n"/>
      <c r="I811" s="21" t="n"/>
      <c r="J811" s="22" t="n"/>
      <c r="K811" s="23" t="n"/>
      <c r="L811" s="18" t="n"/>
      <c r="M811" s="24">
        <f>IF(B811="","",IF(AND(F811&lt;&gt;"",G811&lt;&gt;""),MAX(0,ROUND(MOD(G811-F811,1)*24-N(H811)/60,2)),N(I811)))</f>
        <v/>
      </c>
      <c r="N811" s="14">
        <f>IF(B811="","",IF(K811&lt;&gt;"",K811,IF(N(IFERROR(INDEX(Projects!$D$6:$D$65,MATCH(D811,Projects!$B$6:$B$65,0)),""))&gt;0,IFERROR(INDEX(Projects!$D$6:$D$65,MATCH(D811,Projects!$B$6:$B$65,0)),""),IFERROR(INDEX(Clients!$G$6:$G$45,MATCH(C811,Clients!$B$6:$B$45,0)),0))))</f>
        <v/>
      </c>
      <c r="O811" s="14">
        <f>IF(B811="","",IF(J811&lt;&gt;"",0,ROUND(M811*N811,2)))</f>
        <v/>
      </c>
      <c r="P811" s="15">
        <f>IF(OR(B811="",J811&lt;&gt;""),"",IF(L811&lt;&gt;"",L811,IF(COUNTIFS(Invoices!$C$6:$C$305,C811,Invoices!$E$6:$E$305,"&lt;="&amp;B811,Invoices!$F$6:$F$305,"&gt;="&amp;B811)=1,INDEX(Invoices!$B$6:$B$305,SUMIFS(Invoices!$O$6:$O$305,Invoices!$C$6:$C$305,C811,Invoices!$E$6:$E$305,"&lt;="&amp;B811,Invoices!$F$6:$F$305,"&gt;="&amp;B811)),IF(COUNTIFS(Invoices!$C$6:$C$305,C811,Invoices!$E$6:$E$305,"&lt;="&amp;B811,Invoices!$F$6:$F$305,"&gt;="&amp;B811)&gt;1,"Two invoices",""))))</f>
        <v/>
      </c>
      <c r="Q811" s="15">
        <f>IF(B811="","",IF(J811&lt;&gt;"","Not billable",IF(P811="","To invoice",IF(P811="Two invoices","Check dates",IF(ISNA(MATCH(P811,Invoices!$B$6:$B$305,0)),"Check number",IF(INDEX(Invoices!$M$6:$M$305,MATCH(P811,Invoices!$B$6:$B$305,0))="Paid","Paid",IF(INDEX(Invoices!$M$6:$M$305,MATCH(P811,Invoices!$B$6:$B$305,0))="Draft","Draft","Invoiced")))))))</f>
        <v/>
      </c>
      <c r="R811" s="1">
        <f>IF(AND(B811&lt;&gt;"",P811&lt;&gt;"",P811=Invoice!$G$4),B811+MOD(N(F811),1)+ROW()/10000000,"")</f>
        <v/>
      </c>
      <c r="S811">
        <f>IF(R811="","",IF(D811="","Other work",D811)&amp;IF(AND(K811&lt;&gt;"",E811&lt;&gt;""),", "&amp;E811,""))</f>
        <v/>
      </c>
      <c r="T811">
        <f>IF(R811="","",IF(COUNTIFS(R$6:R810,"&gt;0",S$6:S810,S811,N$6:N810,N811)=0,R811,""))</f>
        <v/>
      </c>
      <c r="U811">
        <f>IF(B811="","",IF(J811&lt;&gt;"",0,M811))</f>
        <v/>
      </c>
    </row>
    <row r="812">
      <c r="A812" s="1" t="n"/>
      <c r="B812" s="16" t="n"/>
      <c r="C812" s="17" t="n"/>
      <c r="D812" s="18" t="n"/>
      <c r="E812" s="18" t="n"/>
      <c r="F812" s="19" t="n"/>
      <c r="G812" s="19" t="n"/>
      <c r="H812" s="20" t="n"/>
      <c r="I812" s="21" t="n"/>
      <c r="J812" s="22" t="n"/>
      <c r="K812" s="23" t="n"/>
      <c r="L812" s="18" t="n"/>
      <c r="M812" s="24">
        <f>IF(B812="","",IF(AND(F812&lt;&gt;"",G812&lt;&gt;""),MAX(0,ROUND(MOD(G812-F812,1)*24-N(H812)/60,2)),N(I812)))</f>
        <v/>
      </c>
      <c r="N812" s="14">
        <f>IF(B812="","",IF(K812&lt;&gt;"",K812,IF(N(IFERROR(INDEX(Projects!$D$6:$D$65,MATCH(D812,Projects!$B$6:$B$65,0)),""))&gt;0,IFERROR(INDEX(Projects!$D$6:$D$65,MATCH(D812,Projects!$B$6:$B$65,0)),""),IFERROR(INDEX(Clients!$G$6:$G$45,MATCH(C812,Clients!$B$6:$B$45,0)),0))))</f>
        <v/>
      </c>
      <c r="O812" s="14">
        <f>IF(B812="","",IF(J812&lt;&gt;"",0,ROUND(M812*N812,2)))</f>
        <v/>
      </c>
      <c r="P812" s="15">
        <f>IF(OR(B812="",J812&lt;&gt;""),"",IF(L812&lt;&gt;"",L812,IF(COUNTIFS(Invoices!$C$6:$C$305,C812,Invoices!$E$6:$E$305,"&lt;="&amp;B812,Invoices!$F$6:$F$305,"&gt;="&amp;B812)=1,INDEX(Invoices!$B$6:$B$305,SUMIFS(Invoices!$O$6:$O$305,Invoices!$C$6:$C$305,C812,Invoices!$E$6:$E$305,"&lt;="&amp;B812,Invoices!$F$6:$F$305,"&gt;="&amp;B812)),IF(COUNTIFS(Invoices!$C$6:$C$305,C812,Invoices!$E$6:$E$305,"&lt;="&amp;B812,Invoices!$F$6:$F$305,"&gt;="&amp;B812)&gt;1,"Two invoices",""))))</f>
        <v/>
      </c>
      <c r="Q812" s="15">
        <f>IF(B812="","",IF(J812&lt;&gt;"","Not billable",IF(P812="","To invoice",IF(P812="Two invoices","Check dates",IF(ISNA(MATCH(P812,Invoices!$B$6:$B$305,0)),"Check number",IF(INDEX(Invoices!$M$6:$M$305,MATCH(P812,Invoices!$B$6:$B$305,0))="Paid","Paid",IF(INDEX(Invoices!$M$6:$M$305,MATCH(P812,Invoices!$B$6:$B$305,0))="Draft","Draft","Invoiced")))))))</f>
        <v/>
      </c>
      <c r="R812" s="1">
        <f>IF(AND(B812&lt;&gt;"",P812&lt;&gt;"",P812=Invoice!$G$4),B812+MOD(N(F812),1)+ROW()/10000000,"")</f>
        <v/>
      </c>
      <c r="S812">
        <f>IF(R812="","",IF(D812="","Other work",D812)&amp;IF(AND(K812&lt;&gt;"",E812&lt;&gt;""),", "&amp;E812,""))</f>
        <v/>
      </c>
      <c r="T812">
        <f>IF(R812="","",IF(COUNTIFS(R$6:R811,"&gt;0",S$6:S811,S812,N$6:N811,N812)=0,R812,""))</f>
        <v/>
      </c>
      <c r="U812">
        <f>IF(B812="","",IF(J812&lt;&gt;"",0,M812))</f>
        <v/>
      </c>
    </row>
    <row r="813">
      <c r="A813" s="1" t="n"/>
      <c r="B813" s="16" t="n"/>
      <c r="C813" s="17" t="n"/>
      <c r="D813" s="18" t="n"/>
      <c r="E813" s="18" t="n"/>
      <c r="F813" s="19" t="n"/>
      <c r="G813" s="19" t="n"/>
      <c r="H813" s="20" t="n"/>
      <c r="I813" s="21" t="n"/>
      <c r="J813" s="22" t="n"/>
      <c r="K813" s="23" t="n"/>
      <c r="L813" s="18" t="n"/>
      <c r="M813" s="24">
        <f>IF(B813="","",IF(AND(F813&lt;&gt;"",G813&lt;&gt;""),MAX(0,ROUND(MOD(G813-F813,1)*24-N(H813)/60,2)),N(I813)))</f>
        <v/>
      </c>
      <c r="N813" s="14">
        <f>IF(B813="","",IF(K813&lt;&gt;"",K813,IF(N(IFERROR(INDEX(Projects!$D$6:$D$65,MATCH(D813,Projects!$B$6:$B$65,0)),""))&gt;0,IFERROR(INDEX(Projects!$D$6:$D$65,MATCH(D813,Projects!$B$6:$B$65,0)),""),IFERROR(INDEX(Clients!$G$6:$G$45,MATCH(C813,Clients!$B$6:$B$45,0)),0))))</f>
        <v/>
      </c>
      <c r="O813" s="14">
        <f>IF(B813="","",IF(J813&lt;&gt;"",0,ROUND(M813*N813,2)))</f>
        <v/>
      </c>
      <c r="P813" s="15">
        <f>IF(OR(B813="",J813&lt;&gt;""),"",IF(L813&lt;&gt;"",L813,IF(COUNTIFS(Invoices!$C$6:$C$305,C813,Invoices!$E$6:$E$305,"&lt;="&amp;B813,Invoices!$F$6:$F$305,"&gt;="&amp;B813)=1,INDEX(Invoices!$B$6:$B$305,SUMIFS(Invoices!$O$6:$O$305,Invoices!$C$6:$C$305,C813,Invoices!$E$6:$E$305,"&lt;="&amp;B813,Invoices!$F$6:$F$305,"&gt;="&amp;B813)),IF(COUNTIFS(Invoices!$C$6:$C$305,C813,Invoices!$E$6:$E$305,"&lt;="&amp;B813,Invoices!$F$6:$F$305,"&gt;="&amp;B813)&gt;1,"Two invoices",""))))</f>
        <v/>
      </c>
      <c r="Q813" s="15">
        <f>IF(B813="","",IF(J813&lt;&gt;"","Not billable",IF(P813="","To invoice",IF(P813="Two invoices","Check dates",IF(ISNA(MATCH(P813,Invoices!$B$6:$B$305,0)),"Check number",IF(INDEX(Invoices!$M$6:$M$305,MATCH(P813,Invoices!$B$6:$B$305,0))="Paid","Paid",IF(INDEX(Invoices!$M$6:$M$305,MATCH(P813,Invoices!$B$6:$B$305,0))="Draft","Draft","Invoiced")))))))</f>
        <v/>
      </c>
      <c r="R813" s="1">
        <f>IF(AND(B813&lt;&gt;"",P813&lt;&gt;"",P813=Invoice!$G$4),B813+MOD(N(F813),1)+ROW()/10000000,"")</f>
        <v/>
      </c>
      <c r="S813">
        <f>IF(R813="","",IF(D813="","Other work",D813)&amp;IF(AND(K813&lt;&gt;"",E813&lt;&gt;""),", "&amp;E813,""))</f>
        <v/>
      </c>
      <c r="T813">
        <f>IF(R813="","",IF(COUNTIFS(R$6:R812,"&gt;0",S$6:S812,S813,N$6:N812,N813)=0,R813,""))</f>
        <v/>
      </c>
      <c r="U813">
        <f>IF(B813="","",IF(J813&lt;&gt;"",0,M813))</f>
        <v/>
      </c>
    </row>
    <row r="814">
      <c r="A814" s="1" t="n"/>
      <c r="B814" s="16" t="n"/>
      <c r="C814" s="17" t="n"/>
      <c r="D814" s="18" t="n"/>
      <c r="E814" s="18" t="n"/>
      <c r="F814" s="19" t="n"/>
      <c r="G814" s="19" t="n"/>
      <c r="H814" s="20" t="n"/>
      <c r="I814" s="21" t="n"/>
      <c r="J814" s="22" t="n"/>
      <c r="K814" s="23" t="n"/>
      <c r="L814" s="18" t="n"/>
      <c r="M814" s="24">
        <f>IF(B814="","",IF(AND(F814&lt;&gt;"",G814&lt;&gt;""),MAX(0,ROUND(MOD(G814-F814,1)*24-N(H814)/60,2)),N(I814)))</f>
        <v/>
      </c>
      <c r="N814" s="14">
        <f>IF(B814="","",IF(K814&lt;&gt;"",K814,IF(N(IFERROR(INDEX(Projects!$D$6:$D$65,MATCH(D814,Projects!$B$6:$B$65,0)),""))&gt;0,IFERROR(INDEX(Projects!$D$6:$D$65,MATCH(D814,Projects!$B$6:$B$65,0)),""),IFERROR(INDEX(Clients!$G$6:$G$45,MATCH(C814,Clients!$B$6:$B$45,0)),0))))</f>
        <v/>
      </c>
      <c r="O814" s="14">
        <f>IF(B814="","",IF(J814&lt;&gt;"",0,ROUND(M814*N814,2)))</f>
        <v/>
      </c>
      <c r="P814" s="15">
        <f>IF(OR(B814="",J814&lt;&gt;""),"",IF(L814&lt;&gt;"",L814,IF(COUNTIFS(Invoices!$C$6:$C$305,C814,Invoices!$E$6:$E$305,"&lt;="&amp;B814,Invoices!$F$6:$F$305,"&gt;="&amp;B814)=1,INDEX(Invoices!$B$6:$B$305,SUMIFS(Invoices!$O$6:$O$305,Invoices!$C$6:$C$305,C814,Invoices!$E$6:$E$305,"&lt;="&amp;B814,Invoices!$F$6:$F$305,"&gt;="&amp;B814)),IF(COUNTIFS(Invoices!$C$6:$C$305,C814,Invoices!$E$6:$E$305,"&lt;="&amp;B814,Invoices!$F$6:$F$305,"&gt;="&amp;B814)&gt;1,"Two invoices",""))))</f>
        <v/>
      </c>
      <c r="Q814" s="15">
        <f>IF(B814="","",IF(J814&lt;&gt;"","Not billable",IF(P814="","To invoice",IF(P814="Two invoices","Check dates",IF(ISNA(MATCH(P814,Invoices!$B$6:$B$305,0)),"Check number",IF(INDEX(Invoices!$M$6:$M$305,MATCH(P814,Invoices!$B$6:$B$305,0))="Paid","Paid",IF(INDEX(Invoices!$M$6:$M$305,MATCH(P814,Invoices!$B$6:$B$305,0))="Draft","Draft","Invoiced")))))))</f>
        <v/>
      </c>
      <c r="R814" s="1">
        <f>IF(AND(B814&lt;&gt;"",P814&lt;&gt;"",P814=Invoice!$G$4),B814+MOD(N(F814),1)+ROW()/10000000,"")</f>
        <v/>
      </c>
      <c r="S814">
        <f>IF(R814="","",IF(D814="","Other work",D814)&amp;IF(AND(K814&lt;&gt;"",E814&lt;&gt;""),", "&amp;E814,""))</f>
        <v/>
      </c>
      <c r="T814">
        <f>IF(R814="","",IF(COUNTIFS(R$6:R813,"&gt;0",S$6:S813,S814,N$6:N813,N814)=0,R814,""))</f>
        <v/>
      </c>
      <c r="U814">
        <f>IF(B814="","",IF(J814&lt;&gt;"",0,M814))</f>
        <v/>
      </c>
    </row>
    <row r="815">
      <c r="A815" s="1" t="n"/>
      <c r="B815" s="16" t="n"/>
      <c r="C815" s="17" t="n"/>
      <c r="D815" s="18" t="n"/>
      <c r="E815" s="18" t="n"/>
      <c r="F815" s="19" t="n"/>
      <c r="G815" s="19" t="n"/>
      <c r="H815" s="20" t="n"/>
      <c r="I815" s="21" t="n"/>
      <c r="J815" s="22" t="n"/>
      <c r="K815" s="23" t="n"/>
      <c r="L815" s="18" t="n"/>
      <c r="M815" s="24">
        <f>IF(B815="","",IF(AND(F815&lt;&gt;"",G815&lt;&gt;""),MAX(0,ROUND(MOD(G815-F815,1)*24-N(H815)/60,2)),N(I815)))</f>
        <v/>
      </c>
      <c r="N815" s="14">
        <f>IF(B815="","",IF(K815&lt;&gt;"",K815,IF(N(IFERROR(INDEX(Projects!$D$6:$D$65,MATCH(D815,Projects!$B$6:$B$65,0)),""))&gt;0,IFERROR(INDEX(Projects!$D$6:$D$65,MATCH(D815,Projects!$B$6:$B$65,0)),""),IFERROR(INDEX(Clients!$G$6:$G$45,MATCH(C815,Clients!$B$6:$B$45,0)),0))))</f>
        <v/>
      </c>
      <c r="O815" s="14">
        <f>IF(B815="","",IF(J815&lt;&gt;"",0,ROUND(M815*N815,2)))</f>
        <v/>
      </c>
      <c r="P815" s="15">
        <f>IF(OR(B815="",J815&lt;&gt;""),"",IF(L815&lt;&gt;"",L815,IF(COUNTIFS(Invoices!$C$6:$C$305,C815,Invoices!$E$6:$E$305,"&lt;="&amp;B815,Invoices!$F$6:$F$305,"&gt;="&amp;B815)=1,INDEX(Invoices!$B$6:$B$305,SUMIFS(Invoices!$O$6:$O$305,Invoices!$C$6:$C$305,C815,Invoices!$E$6:$E$305,"&lt;="&amp;B815,Invoices!$F$6:$F$305,"&gt;="&amp;B815)),IF(COUNTIFS(Invoices!$C$6:$C$305,C815,Invoices!$E$6:$E$305,"&lt;="&amp;B815,Invoices!$F$6:$F$305,"&gt;="&amp;B815)&gt;1,"Two invoices",""))))</f>
        <v/>
      </c>
      <c r="Q815" s="15">
        <f>IF(B815="","",IF(J815&lt;&gt;"","Not billable",IF(P815="","To invoice",IF(P815="Two invoices","Check dates",IF(ISNA(MATCH(P815,Invoices!$B$6:$B$305,0)),"Check number",IF(INDEX(Invoices!$M$6:$M$305,MATCH(P815,Invoices!$B$6:$B$305,0))="Paid","Paid",IF(INDEX(Invoices!$M$6:$M$305,MATCH(P815,Invoices!$B$6:$B$305,0))="Draft","Draft","Invoiced")))))))</f>
        <v/>
      </c>
      <c r="R815" s="1">
        <f>IF(AND(B815&lt;&gt;"",P815&lt;&gt;"",P815=Invoice!$G$4),B815+MOD(N(F815),1)+ROW()/10000000,"")</f>
        <v/>
      </c>
      <c r="S815">
        <f>IF(R815="","",IF(D815="","Other work",D815)&amp;IF(AND(K815&lt;&gt;"",E815&lt;&gt;""),", "&amp;E815,""))</f>
        <v/>
      </c>
      <c r="T815">
        <f>IF(R815="","",IF(COUNTIFS(R$6:R814,"&gt;0",S$6:S814,S815,N$6:N814,N815)=0,R815,""))</f>
        <v/>
      </c>
      <c r="U815">
        <f>IF(B815="","",IF(J815&lt;&gt;"",0,M815))</f>
        <v/>
      </c>
    </row>
    <row r="816">
      <c r="A816" s="1" t="n"/>
      <c r="B816" s="16" t="n"/>
      <c r="C816" s="17" t="n"/>
      <c r="D816" s="18" t="n"/>
      <c r="E816" s="18" t="n"/>
      <c r="F816" s="19" t="n"/>
      <c r="G816" s="19" t="n"/>
      <c r="H816" s="20" t="n"/>
      <c r="I816" s="21" t="n"/>
      <c r="J816" s="22" t="n"/>
      <c r="K816" s="23" t="n"/>
      <c r="L816" s="18" t="n"/>
      <c r="M816" s="24">
        <f>IF(B816="","",IF(AND(F816&lt;&gt;"",G816&lt;&gt;""),MAX(0,ROUND(MOD(G816-F816,1)*24-N(H816)/60,2)),N(I816)))</f>
        <v/>
      </c>
      <c r="N816" s="14">
        <f>IF(B816="","",IF(K816&lt;&gt;"",K816,IF(N(IFERROR(INDEX(Projects!$D$6:$D$65,MATCH(D816,Projects!$B$6:$B$65,0)),""))&gt;0,IFERROR(INDEX(Projects!$D$6:$D$65,MATCH(D816,Projects!$B$6:$B$65,0)),""),IFERROR(INDEX(Clients!$G$6:$G$45,MATCH(C816,Clients!$B$6:$B$45,0)),0))))</f>
        <v/>
      </c>
      <c r="O816" s="14">
        <f>IF(B816="","",IF(J816&lt;&gt;"",0,ROUND(M816*N816,2)))</f>
        <v/>
      </c>
      <c r="P816" s="15">
        <f>IF(OR(B816="",J816&lt;&gt;""),"",IF(L816&lt;&gt;"",L816,IF(COUNTIFS(Invoices!$C$6:$C$305,C816,Invoices!$E$6:$E$305,"&lt;="&amp;B816,Invoices!$F$6:$F$305,"&gt;="&amp;B816)=1,INDEX(Invoices!$B$6:$B$305,SUMIFS(Invoices!$O$6:$O$305,Invoices!$C$6:$C$305,C816,Invoices!$E$6:$E$305,"&lt;="&amp;B816,Invoices!$F$6:$F$305,"&gt;="&amp;B816)),IF(COUNTIFS(Invoices!$C$6:$C$305,C816,Invoices!$E$6:$E$305,"&lt;="&amp;B816,Invoices!$F$6:$F$305,"&gt;="&amp;B816)&gt;1,"Two invoices",""))))</f>
        <v/>
      </c>
      <c r="Q816" s="15">
        <f>IF(B816="","",IF(J816&lt;&gt;"","Not billable",IF(P816="","To invoice",IF(P816="Two invoices","Check dates",IF(ISNA(MATCH(P816,Invoices!$B$6:$B$305,0)),"Check number",IF(INDEX(Invoices!$M$6:$M$305,MATCH(P816,Invoices!$B$6:$B$305,0))="Paid","Paid",IF(INDEX(Invoices!$M$6:$M$305,MATCH(P816,Invoices!$B$6:$B$305,0))="Draft","Draft","Invoiced")))))))</f>
        <v/>
      </c>
      <c r="R816" s="1">
        <f>IF(AND(B816&lt;&gt;"",P816&lt;&gt;"",P816=Invoice!$G$4),B816+MOD(N(F816),1)+ROW()/10000000,"")</f>
        <v/>
      </c>
      <c r="S816">
        <f>IF(R816="","",IF(D816="","Other work",D816)&amp;IF(AND(K816&lt;&gt;"",E816&lt;&gt;""),", "&amp;E816,""))</f>
        <v/>
      </c>
      <c r="T816">
        <f>IF(R816="","",IF(COUNTIFS(R$6:R815,"&gt;0",S$6:S815,S816,N$6:N815,N816)=0,R816,""))</f>
        <v/>
      </c>
      <c r="U816">
        <f>IF(B816="","",IF(J816&lt;&gt;"",0,M816))</f>
        <v/>
      </c>
    </row>
    <row r="817">
      <c r="A817" s="1" t="n"/>
      <c r="B817" s="16" t="n"/>
      <c r="C817" s="17" t="n"/>
      <c r="D817" s="18" t="n"/>
      <c r="E817" s="18" t="n"/>
      <c r="F817" s="19" t="n"/>
      <c r="G817" s="19" t="n"/>
      <c r="H817" s="20" t="n"/>
      <c r="I817" s="21" t="n"/>
      <c r="J817" s="22" t="n"/>
      <c r="K817" s="23" t="n"/>
      <c r="L817" s="18" t="n"/>
      <c r="M817" s="24">
        <f>IF(B817="","",IF(AND(F817&lt;&gt;"",G817&lt;&gt;""),MAX(0,ROUND(MOD(G817-F817,1)*24-N(H817)/60,2)),N(I817)))</f>
        <v/>
      </c>
      <c r="N817" s="14">
        <f>IF(B817="","",IF(K817&lt;&gt;"",K817,IF(N(IFERROR(INDEX(Projects!$D$6:$D$65,MATCH(D817,Projects!$B$6:$B$65,0)),""))&gt;0,IFERROR(INDEX(Projects!$D$6:$D$65,MATCH(D817,Projects!$B$6:$B$65,0)),""),IFERROR(INDEX(Clients!$G$6:$G$45,MATCH(C817,Clients!$B$6:$B$45,0)),0))))</f>
        <v/>
      </c>
      <c r="O817" s="14">
        <f>IF(B817="","",IF(J817&lt;&gt;"",0,ROUND(M817*N817,2)))</f>
        <v/>
      </c>
      <c r="P817" s="15">
        <f>IF(OR(B817="",J817&lt;&gt;""),"",IF(L817&lt;&gt;"",L817,IF(COUNTIFS(Invoices!$C$6:$C$305,C817,Invoices!$E$6:$E$305,"&lt;="&amp;B817,Invoices!$F$6:$F$305,"&gt;="&amp;B817)=1,INDEX(Invoices!$B$6:$B$305,SUMIFS(Invoices!$O$6:$O$305,Invoices!$C$6:$C$305,C817,Invoices!$E$6:$E$305,"&lt;="&amp;B817,Invoices!$F$6:$F$305,"&gt;="&amp;B817)),IF(COUNTIFS(Invoices!$C$6:$C$305,C817,Invoices!$E$6:$E$305,"&lt;="&amp;B817,Invoices!$F$6:$F$305,"&gt;="&amp;B817)&gt;1,"Two invoices",""))))</f>
        <v/>
      </c>
      <c r="Q817" s="15">
        <f>IF(B817="","",IF(J817&lt;&gt;"","Not billable",IF(P817="","To invoice",IF(P817="Two invoices","Check dates",IF(ISNA(MATCH(P817,Invoices!$B$6:$B$305,0)),"Check number",IF(INDEX(Invoices!$M$6:$M$305,MATCH(P817,Invoices!$B$6:$B$305,0))="Paid","Paid",IF(INDEX(Invoices!$M$6:$M$305,MATCH(P817,Invoices!$B$6:$B$305,0))="Draft","Draft","Invoiced")))))))</f>
        <v/>
      </c>
      <c r="R817" s="1">
        <f>IF(AND(B817&lt;&gt;"",P817&lt;&gt;"",P817=Invoice!$G$4),B817+MOD(N(F817),1)+ROW()/10000000,"")</f>
        <v/>
      </c>
      <c r="S817">
        <f>IF(R817="","",IF(D817="","Other work",D817)&amp;IF(AND(K817&lt;&gt;"",E817&lt;&gt;""),", "&amp;E817,""))</f>
        <v/>
      </c>
      <c r="T817">
        <f>IF(R817="","",IF(COUNTIFS(R$6:R816,"&gt;0",S$6:S816,S817,N$6:N816,N817)=0,R817,""))</f>
        <v/>
      </c>
      <c r="U817">
        <f>IF(B817="","",IF(J817&lt;&gt;"",0,M817))</f>
        <v/>
      </c>
    </row>
    <row r="818">
      <c r="A818" s="1" t="n"/>
      <c r="B818" s="16" t="n"/>
      <c r="C818" s="17" t="n"/>
      <c r="D818" s="18" t="n"/>
      <c r="E818" s="18" t="n"/>
      <c r="F818" s="19" t="n"/>
      <c r="G818" s="19" t="n"/>
      <c r="H818" s="20" t="n"/>
      <c r="I818" s="21" t="n"/>
      <c r="J818" s="22" t="n"/>
      <c r="K818" s="23" t="n"/>
      <c r="L818" s="18" t="n"/>
      <c r="M818" s="24">
        <f>IF(B818="","",IF(AND(F818&lt;&gt;"",G818&lt;&gt;""),MAX(0,ROUND(MOD(G818-F818,1)*24-N(H818)/60,2)),N(I818)))</f>
        <v/>
      </c>
      <c r="N818" s="14">
        <f>IF(B818="","",IF(K818&lt;&gt;"",K818,IF(N(IFERROR(INDEX(Projects!$D$6:$D$65,MATCH(D818,Projects!$B$6:$B$65,0)),""))&gt;0,IFERROR(INDEX(Projects!$D$6:$D$65,MATCH(D818,Projects!$B$6:$B$65,0)),""),IFERROR(INDEX(Clients!$G$6:$G$45,MATCH(C818,Clients!$B$6:$B$45,0)),0))))</f>
        <v/>
      </c>
      <c r="O818" s="14">
        <f>IF(B818="","",IF(J818&lt;&gt;"",0,ROUND(M818*N818,2)))</f>
        <v/>
      </c>
      <c r="P818" s="15">
        <f>IF(OR(B818="",J818&lt;&gt;""),"",IF(L818&lt;&gt;"",L818,IF(COUNTIFS(Invoices!$C$6:$C$305,C818,Invoices!$E$6:$E$305,"&lt;="&amp;B818,Invoices!$F$6:$F$305,"&gt;="&amp;B818)=1,INDEX(Invoices!$B$6:$B$305,SUMIFS(Invoices!$O$6:$O$305,Invoices!$C$6:$C$305,C818,Invoices!$E$6:$E$305,"&lt;="&amp;B818,Invoices!$F$6:$F$305,"&gt;="&amp;B818)),IF(COUNTIFS(Invoices!$C$6:$C$305,C818,Invoices!$E$6:$E$305,"&lt;="&amp;B818,Invoices!$F$6:$F$305,"&gt;="&amp;B818)&gt;1,"Two invoices",""))))</f>
        <v/>
      </c>
      <c r="Q818" s="15">
        <f>IF(B818="","",IF(J818&lt;&gt;"","Not billable",IF(P818="","To invoice",IF(P818="Two invoices","Check dates",IF(ISNA(MATCH(P818,Invoices!$B$6:$B$305,0)),"Check number",IF(INDEX(Invoices!$M$6:$M$305,MATCH(P818,Invoices!$B$6:$B$305,0))="Paid","Paid",IF(INDEX(Invoices!$M$6:$M$305,MATCH(P818,Invoices!$B$6:$B$305,0))="Draft","Draft","Invoiced")))))))</f>
        <v/>
      </c>
      <c r="R818" s="1">
        <f>IF(AND(B818&lt;&gt;"",P818&lt;&gt;"",P818=Invoice!$G$4),B818+MOD(N(F818),1)+ROW()/10000000,"")</f>
        <v/>
      </c>
      <c r="S818">
        <f>IF(R818="","",IF(D818="","Other work",D818)&amp;IF(AND(K818&lt;&gt;"",E818&lt;&gt;""),", "&amp;E818,""))</f>
        <v/>
      </c>
      <c r="T818">
        <f>IF(R818="","",IF(COUNTIFS(R$6:R817,"&gt;0",S$6:S817,S818,N$6:N817,N818)=0,R818,""))</f>
        <v/>
      </c>
      <c r="U818">
        <f>IF(B818="","",IF(J818&lt;&gt;"",0,M818))</f>
        <v/>
      </c>
    </row>
    <row r="819">
      <c r="A819" s="1" t="n"/>
      <c r="B819" s="16" t="n"/>
      <c r="C819" s="17" t="n"/>
      <c r="D819" s="18" t="n"/>
      <c r="E819" s="18" t="n"/>
      <c r="F819" s="19" t="n"/>
      <c r="G819" s="19" t="n"/>
      <c r="H819" s="20" t="n"/>
      <c r="I819" s="21" t="n"/>
      <c r="J819" s="22" t="n"/>
      <c r="K819" s="23" t="n"/>
      <c r="L819" s="18" t="n"/>
      <c r="M819" s="24">
        <f>IF(B819="","",IF(AND(F819&lt;&gt;"",G819&lt;&gt;""),MAX(0,ROUND(MOD(G819-F819,1)*24-N(H819)/60,2)),N(I819)))</f>
        <v/>
      </c>
      <c r="N819" s="14">
        <f>IF(B819="","",IF(K819&lt;&gt;"",K819,IF(N(IFERROR(INDEX(Projects!$D$6:$D$65,MATCH(D819,Projects!$B$6:$B$65,0)),""))&gt;0,IFERROR(INDEX(Projects!$D$6:$D$65,MATCH(D819,Projects!$B$6:$B$65,0)),""),IFERROR(INDEX(Clients!$G$6:$G$45,MATCH(C819,Clients!$B$6:$B$45,0)),0))))</f>
        <v/>
      </c>
      <c r="O819" s="14">
        <f>IF(B819="","",IF(J819&lt;&gt;"",0,ROUND(M819*N819,2)))</f>
        <v/>
      </c>
      <c r="P819" s="15">
        <f>IF(OR(B819="",J819&lt;&gt;""),"",IF(L819&lt;&gt;"",L819,IF(COUNTIFS(Invoices!$C$6:$C$305,C819,Invoices!$E$6:$E$305,"&lt;="&amp;B819,Invoices!$F$6:$F$305,"&gt;="&amp;B819)=1,INDEX(Invoices!$B$6:$B$305,SUMIFS(Invoices!$O$6:$O$305,Invoices!$C$6:$C$305,C819,Invoices!$E$6:$E$305,"&lt;="&amp;B819,Invoices!$F$6:$F$305,"&gt;="&amp;B819)),IF(COUNTIFS(Invoices!$C$6:$C$305,C819,Invoices!$E$6:$E$305,"&lt;="&amp;B819,Invoices!$F$6:$F$305,"&gt;="&amp;B819)&gt;1,"Two invoices",""))))</f>
        <v/>
      </c>
      <c r="Q819" s="15">
        <f>IF(B819="","",IF(J819&lt;&gt;"","Not billable",IF(P819="","To invoice",IF(P819="Two invoices","Check dates",IF(ISNA(MATCH(P819,Invoices!$B$6:$B$305,0)),"Check number",IF(INDEX(Invoices!$M$6:$M$305,MATCH(P819,Invoices!$B$6:$B$305,0))="Paid","Paid",IF(INDEX(Invoices!$M$6:$M$305,MATCH(P819,Invoices!$B$6:$B$305,0))="Draft","Draft","Invoiced")))))))</f>
        <v/>
      </c>
      <c r="R819" s="1">
        <f>IF(AND(B819&lt;&gt;"",P819&lt;&gt;"",P819=Invoice!$G$4),B819+MOD(N(F819),1)+ROW()/10000000,"")</f>
        <v/>
      </c>
      <c r="S819">
        <f>IF(R819="","",IF(D819="","Other work",D819)&amp;IF(AND(K819&lt;&gt;"",E819&lt;&gt;""),", "&amp;E819,""))</f>
        <v/>
      </c>
      <c r="T819">
        <f>IF(R819="","",IF(COUNTIFS(R$6:R818,"&gt;0",S$6:S818,S819,N$6:N818,N819)=0,R819,""))</f>
        <v/>
      </c>
      <c r="U819">
        <f>IF(B819="","",IF(J819&lt;&gt;"",0,M819))</f>
        <v/>
      </c>
    </row>
    <row r="820">
      <c r="A820" s="1" t="n"/>
      <c r="B820" s="16" t="n"/>
      <c r="C820" s="17" t="n"/>
      <c r="D820" s="18" t="n"/>
      <c r="E820" s="18" t="n"/>
      <c r="F820" s="19" t="n"/>
      <c r="G820" s="19" t="n"/>
      <c r="H820" s="20" t="n"/>
      <c r="I820" s="21" t="n"/>
      <c r="J820" s="22" t="n"/>
      <c r="K820" s="23" t="n"/>
      <c r="L820" s="18" t="n"/>
      <c r="M820" s="24">
        <f>IF(B820="","",IF(AND(F820&lt;&gt;"",G820&lt;&gt;""),MAX(0,ROUND(MOD(G820-F820,1)*24-N(H820)/60,2)),N(I820)))</f>
        <v/>
      </c>
      <c r="N820" s="14">
        <f>IF(B820="","",IF(K820&lt;&gt;"",K820,IF(N(IFERROR(INDEX(Projects!$D$6:$D$65,MATCH(D820,Projects!$B$6:$B$65,0)),""))&gt;0,IFERROR(INDEX(Projects!$D$6:$D$65,MATCH(D820,Projects!$B$6:$B$65,0)),""),IFERROR(INDEX(Clients!$G$6:$G$45,MATCH(C820,Clients!$B$6:$B$45,0)),0))))</f>
        <v/>
      </c>
      <c r="O820" s="14">
        <f>IF(B820="","",IF(J820&lt;&gt;"",0,ROUND(M820*N820,2)))</f>
        <v/>
      </c>
      <c r="P820" s="15">
        <f>IF(OR(B820="",J820&lt;&gt;""),"",IF(L820&lt;&gt;"",L820,IF(COUNTIFS(Invoices!$C$6:$C$305,C820,Invoices!$E$6:$E$305,"&lt;="&amp;B820,Invoices!$F$6:$F$305,"&gt;="&amp;B820)=1,INDEX(Invoices!$B$6:$B$305,SUMIFS(Invoices!$O$6:$O$305,Invoices!$C$6:$C$305,C820,Invoices!$E$6:$E$305,"&lt;="&amp;B820,Invoices!$F$6:$F$305,"&gt;="&amp;B820)),IF(COUNTIFS(Invoices!$C$6:$C$305,C820,Invoices!$E$6:$E$305,"&lt;="&amp;B820,Invoices!$F$6:$F$305,"&gt;="&amp;B820)&gt;1,"Two invoices",""))))</f>
        <v/>
      </c>
      <c r="Q820" s="15">
        <f>IF(B820="","",IF(J820&lt;&gt;"","Not billable",IF(P820="","To invoice",IF(P820="Two invoices","Check dates",IF(ISNA(MATCH(P820,Invoices!$B$6:$B$305,0)),"Check number",IF(INDEX(Invoices!$M$6:$M$305,MATCH(P820,Invoices!$B$6:$B$305,0))="Paid","Paid",IF(INDEX(Invoices!$M$6:$M$305,MATCH(P820,Invoices!$B$6:$B$305,0))="Draft","Draft","Invoiced")))))))</f>
        <v/>
      </c>
      <c r="R820" s="1">
        <f>IF(AND(B820&lt;&gt;"",P820&lt;&gt;"",P820=Invoice!$G$4),B820+MOD(N(F820),1)+ROW()/10000000,"")</f>
        <v/>
      </c>
      <c r="S820">
        <f>IF(R820="","",IF(D820="","Other work",D820)&amp;IF(AND(K820&lt;&gt;"",E820&lt;&gt;""),", "&amp;E820,""))</f>
        <v/>
      </c>
      <c r="T820">
        <f>IF(R820="","",IF(COUNTIFS(R$6:R819,"&gt;0",S$6:S819,S820,N$6:N819,N820)=0,R820,""))</f>
        <v/>
      </c>
      <c r="U820">
        <f>IF(B820="","",IF(J820&lt;&gt;"",0,M820))</f>
        <v/>
      </c>
    </row>
    <row r="821">
      <c r="A821" s="1" t="n"/>
      <c r="B821" s="16" t="n"/>
      <c r="C821" s="17" t="n"/>
      <c r="D821" s="18" t="n"/>
      <c r="E821" s="18" t="n"/>
      <c r="F821" s="19" t="n"/>
      <c r="G821" s="19" t="n"/>
      <c r="H821" s="20" t="n"/>
      <c r="I821" s="21" t="n"/>
      <c r="J821" s="22" t="n"/>
      <c r="K821" s="23" t="n"/>
      <c r="L821" s="18" t="n"/>
      <c r="M821" s="24">
        <f>IF(B821="","",IF(AND(F821&lt;&gt;"",G821&lt;&gt;""),MAX(0,ROUND(MOD(G821-F821,1)*24-N(H821)/60,2)),N(I821)))</f>
        <v/>
      </c>
      <c r="N821" s="14">
        <f>IF(B821="","",IF(K821&lt;&gt;"",K821,IF(N(IFERROR(INDEX(Projects!$D$6:$D$65,MATCH(D821,Projects!$B$6:$B$65,0)),""))&gt;0,IFERROR(INDEX(Projects!$D$6:$D$65,MATCH(D821,Projects!$B$6:$B$65,0)),""),IFERROR(INDEX(Clients!$G$6:$G$45,MATCH(C821,Clients!$B$6:$B$45,0)),0))))</f>
        <v/>
      </c>
      <c r="O821" s="14">
        <f>IF(B821="","",IF(J821&lt;&gt;"",0,ROUND(M821*N821,2)))</f>
        <v/>
      </c>
      <c r="P821" s="15">
        <f>IF(OR(B821="",J821&lt;&gt;""),"",IF(L821&lt;&gt;"",L821,IF(COUNTIFS(Invoices!$C$6:$C$305,C821,Invoices!$E$6:$E$305,"&lt;="&amp;B821,Invoices!$F$6:$F$305,"&gt;="&amp;B821)=1,INDEX(Invoices!$B$6:$B$305,SUMIFS(Invoices!$O$6:$O$305,Invoices!$C$6:$C$305,C821,Invoices!$E$6:$E$305,"&lt;="&amp;B821,Invoices!$F$6:$F$305,"&gt;="&amp;B821)),IF(COUNTIFS(Invoices!$C$6:$C$305,C821,Invoices!$E$6:$E$305,"&lt;="&amp;B821,Invoices!$F$6:$F$305,"&gt;="&amp;B821)&gt;1,"Two invoices",""))))</f>
        <v/>
      </c>
      <c r="Q821" s="15">
        <f>IF(B821="","",IF(J821&lt;&gt;"","Not billable",IF(P821="","To invoice",IF(P821="Two invoices","Check dates",IF(ISNA(MATCH(P821,Invoices!$B$6:$B$305,0)),"Check number",IF(INDEX(Invoices!$M$6:$M$305,MATCH(P821,Invoices!$B$6:$B$305,0))="Paid","Paid",IF(INDEX(Invoices!$M$6:$M$305,MATCH(P821,Invoices!$B$6:$B$305,0))="Draft","Draft","Invoiced")))))))</f>
        <v/>
      </c>
      <c r="R821" s="1">
        <f>IF(AND(B821&lt;&gt;"",P821&lt;&gt;"",P821=Invoice!$G$4),B821+MOD(N(F821),1)+ROW()/10000000,"")</f>
        <v/>
      </c>
      <c r="S821">
        <f>IF(R821="","",IF(D821="","Other work",D821)&amp;IF(AND(K821&lt;&gt;"",E821&lt;&gt;""),", "&amp;E821,""))</f>
        <v/>
      </c>
      <c r="T821">
        <f>IF(R821="","",IF(COUNTIFS(R$6:R820,"&gt;0",S$6:S820,S821,N$6:N820,N821)=0,R821,""))</f>
        <v/>
      </c>
      <c r="U821">
        <f>IF(B821="","",IF(J821&lt;&gt;"",0,M821))</f>
        <v/>
      </c>
    </row>
    <row r="822">
      <c r="A822" s="1" t="n"/>
      <c r="B822" s="16" t="n"/>
      <c r="C822" s="17" t="n"/>
      <c r="D822" s="18" t="n"/>
      <c r="E822" s="18" t="n"/>
      <c r="F822" s="19" t="n"/>
      <c r="G822" s="19" t="n"/>
      <c r="H822" s="20" t="n"/>
      <c r="I822" s="21" t="n"/>
      <c r="J822" s="22" t="n"/>
      <c r="K822" s="23" t="n"/>
      <c r="L822" s="18" t="n"/>
      <c r="M822" s="24">
        <f>IF(B822="","",IF(AND(F822&lt;&gt;"",G822&lt;&gt;""),MAX(0,ROUND(MOD(G822-F822,1)*24-N(H822)/60,2)),N(I822)))</f>
        <v/>
      </c>
      <c r="N822" s="14">
        <f>IF(B822="","",IF(K822&lt;&gt;"",K822,IF(N(IFERROR(INDEX(Projects!$D$6:$D$65,MATCH(D822,Projects!$B$6:$B$65,0)),""))&gt;0,IFERROR(INDEX(Projects!$D$6:$D$65,MATCH(D822,Projects!$B$6:$B$65,0)),""),IFERROR(INDEX(Clients!$G$6:$G$45,MATCH(C822,Clients!$B$6:$B$45,0)),0))))</f>
        <v/>
      </c>
      <c r="O822" s="14">
        <f>IF(B822="","",IF(J822&lt;&gt;"",0,ROUND(M822*N822,2)))</f>
        <v/>
      </c>
      <c r="P822" s="15">
        <f>IF(OR(B822="",J822&lt;&gt;""),"",IF(L822&lt;&gt;"",L822,IF(COUNTIFS(Invoices!$C$6:$C$305,C822,Invoices!$E$6:$E$305,"&lt;="&amp;B822,Invoices!$F$6:$F$305,"&gt;="&amp;B822)=1,INDEX(Invoices!$B$6:$B$305,SUMIFS(Invoices!$O$6:$O$305,Invoices!$C$6:$C$305,C822,Invoices!$E$6:$E$305,"&lt;="&amp;B822,Invoices!$F$6:$F$305,"&gt;="&amp;B822)),IF(COUNTIFS(Invoices!$C$6:$C$305,C822,Invoices!$E$6:$E$305,"&lt;="&amp;B822,Invoices!$F$6:$F$305,"&gt;="&amp;B822)&gt;1,"Two invoices",""))))</f>
        <v/>
      </c>
      <c r="Q822" s="15">
        <f>IF(B822="","",IF(J822&lt;&gt;"","Not billable",IF(P822="","To invoice",IF(P822="Two invoices","Check dates",IF(ISNA(MATCH(P822,Invoices!$B$6:$B$305,0)),"Check number",IF(INDEX(Invoices!$M$6:$M$305,MATCH(P822,Invoices!$B$6:$B$305,0))="Paid","Paid",IF(INDEX(Invoices!$M$6:$M$305,MATCH(P822,Invoices!$B$6:$B$305,0))="Draft","Draft","Invoiced")))))))</f>
        <v/>
      </c>
      <c r="R822" s="1">
        <f>IF(AND(B822&lt;&gt;"",P822&lt;&gt;"",P822=Invoice!$G$4),B822+MOD(N(F822),1)+ROW()/10000000,"")</f>
        <v/>
      </c>
      <c r="S822">
        <f>IF(R822="","",IF(D822="","Other work",D822)&amp;IF(AND(K822&lt;&gt;"",E822&lt;&gt;""),", "&amp;E822,""))</f>
        <v/>
      </c>
      <c r="T822">
        <f>IF(R822="","",IF(COUNTIFS(R$6:R821,"&gt;0",S$6:S821,S822,N$6:N821,N822)=0,R822,""))</f>
        <v/>
      </c>
      <c r="U822">
        <f>IF(B822="","",IF(J822&lt;&gt;"",0,M822))</f>
        <v/>
      </c>
    </row>
    <row r="823">
      <c r="A823" s="1" t="n"/>
      <c r="B823" s="16" t="n"/>
      <c r="C823" s="17" t="n"/>
      <c r="D823" s="18" t="n"/>
      <c r="E823" s="18" t="n"/>
      <c r="F823" s="19" t="n"/>
      <c r="G823" s="19" t="n"/>
      <c r="H823" s="20" t="n"/>
      <c r="I823" s="21" t="n"/>
      <c r="J823" s="22" t="n"/>
      <c r="K823" s="23" t="n"/>
      <c r="L823" s="18" t="n"/>
      <c r="M823" s="24">
        <f>IF(B823="","",IF(AND(F823&lt;&gt;"",G823&lt;&gt;""),MAX(0,ROUND(MOD(G823-F823,1)*24-N(H823)/60,2)),N(I823)))</f>
        <v/>
      </c>
      <c r="N823" s="14">
        <f>IF(B823="","",IF(K823&lt;&gt;"",K823,IF(N(IFERROR(INDEX(Projects!$D$6:$D$65,MATCH(D823,Projects!$B$6:$B$65,0)),""))&gt;0,IFERROR(INDEX(Projects!$D$6:$D$65,MATCH(D823,Projects!$B$6:$B$65,0)),""),IFERROR(INDEX(Clients!$G$6:$G$45,MATCH(C823,Clients!$B$6:$B$45,0)),0))))</f>
        <v/>
      </c>
      <c r="O823" s="14">
        <f>IF(B823="","",IF(J823&lt;&gt;"",0,ROUND(M823*N823,2)))</f>
        <v/>
      </c>
      <c r="P823" s="15">
        <f>IF(OR(B823="",J823&lt;&gt;""),"",IF(L823&lt;&gt;"",L823,IF(COUNTIFS(Invoices!$C$6:$C$305,C823,Invoices!$E$6:$E$305,"&lt;="&amp;B823,Invoices!$F$6:$F$305,"&gt;="&amp;B823)=1,INDEX(Invoices!$B$6:$B$305,SUMIFS(Invoices!$O$6:$O$305,Invoices!$C$6:$C$305,C823,Invoices!$E$6:$E$305,"&lt;="&amp;B823,Invoices!$F$6:$F$305,"&gt;="&amp;B823)),IF(COUNTIFS(Invoices!$C$6:$C$305,C823,Invoices!$E$6:$E$305,"&lt;="&amp;B823,Invoices!$F$6:$F$305,"&gt;="&amp;B823)&gt;1,"Two invoices",""))))</f>
        <v/>
      </c>
      <c r="Q823" s="15">
        <f>IF(B823="","",IF(J823&lt;&gt;"","Not billable",IF(P823="","To invoice",IF(P823="Two invoices","Check dates",IF(ISNA(MATCH(P823,Invoices!$B$6:$B$305,0)),"Check number",IF(INDEX(Invoices!$M$6:$M$305,MATCH(P823,Invoices!$B$6:$B$305,0))="Paid","Paid",IF(INDEX(Invoices!$M$6:$M$305,MATCH(P823,Invoices!$B$6:$B$305,0))="Draft","Draft","Invoiced")))))))</f>
        <v/>
      </c>
      <c r="R823" s="1">
        <f>IF(AND(B823&lt;&gt;"",P823&lt;&gt;"",P823=Invoice!$G$4),B823+MOD(N(F823),1)+ROW()/10000000,"")</f>
        <v/>
      </c>
      <c r="S823">
        <f>IF(R823="","",IF(D823="","Other work",D823)&amp;IF(AND(K823&lt;&gt;"",E823&lt;&gt;""),", "&amp;E823,""))</f>
        <v/>
      </c>
      <c r="T823">
        <f>IF(R823="","",IF(COUNTIFS(R$6:R822,"&gt;0",S$6:S822,S823,N$6:N822,N823)=0,R823,""))</f>
        <v/>
      </c>
      <c r="U823">
        <f>IF(B823="","",IF(J823&lt;&gt;"",0,M823))</f>
        <v/>
      </c>
    </row>
    <row r="824">
      <c r="A824" s="1" t="n"/>
      <c r="B824" s="16" t="n"/>
      <c r="C824" s="17" t="n"/>
      <c r="D824" s="18" t="n"/>
      <c r="E824" s="18" t="n"/>
      <c r="F824" s="19" t="n"/>
      <c r="G824" s="19" t="n"/>
      <c r="H824" s="20" t="n"/>
      <c r="I824" s="21" t="n"/>
      <c r="J824" s="22" t="n"/>
      <c r="K824" s="23" t="n"/>
      <c r="L824" s="18" t="n"/>
      <c r="M824" s="24">
        <f>IF(B824="","",IF(AND(F824&lt;&gt;"",G824&lt;&gt;""),MAX(0,ROUND(MOD(G824-F824,1)*24-N(H824)/60,2)),N(I824)))</f>
        <v/>
      </c>
      <c r="N824" s="14">
        <f>IF(B824="","",IF(K824&lt;&gt;"",K824,IF(N(IFERROR(INDEX(Projects!$D$6:$D$65,MATCH(D824,Projects!$B$6:$B$65,0)),""))&gt;0,IFERROR(INDEX(Projects!$D$6:$D$65,MATCH(D824,Projects!$B$6:$B$65,0)),""),IFERROR(INDEX(Clients!$G$6:$G$45,MATCH(C824,Clients!$B$6:$B$45,0)),0))))</f>
        <v/>
      </c>
      <c r="O824" s="14">
        <f>IF(B824="","",IF(J824&lt;&gt;"",0,ROUND(M824*N824,2)))</f>
        <v/>
      </c>
      <c r="P824" s="15">
        <f>IF(OR(B824="",J824&lt;&gt;""),"",IF(L824&lt;&gt;"",L824,IF(COUNTIFS(Invoices!$C$6:$C$305,C824,Invoices!$E$6:$E$305,"&lt;="&amp;B824,Invoices!$F$6:$F$305,"&gt;="&amp;B824)=1,INDEX(Invoices!$B$6:$B$305,SUMIFS(Invoices!$O$6:$O$305,Invoices!$C$6:$C$305,C824,Invoices!$E$6:$E$305,"&lt;="&amp;B824,Invoices!$F$6:$F$305,"&gt;="&amp;B824)),IF(COUNTIFS(Invoices!$C$6:$C$305,C824,Invoices!$E$6:$E$305,"&lt;="&amp;B824,Invoices!$F$6:$F$305,"&gt;="&amp;B824)&gt;1,"Two invoices",""))))</f>
        <v/>
      </c>
      <c r="Q824" s="15">
        <f>IF(B824="","",IF(J824&lt;&gt;"","Not billable",IF(P824="","To invoice",IF(P824="Two invoices","Check dates",IF(ISNA(MATCH(P824,Invoices!$B$6:$B$305,0)),"Check number",IF(INDEX(Invoices!$M$6:$M$305,MATCH(P824,Invoices!$B$6:$B$305,0))="Paid","Paid",IF(INDEX(Invoices!$M$6:$M$305,MATCH(P824,Invoices!$B$6:$B$305,0))="Draft","Draft","Invoiced")))))))</f>
        <v/>
      </c>
      <c r="R824" s="1">
        <f>IF(AND(B824&lt;&gt;"",P824&lt;&gt;"",P824=Invoice!$G$4),B824+MOD(N(F824),1)+ROW()/10000000,"")</f>
        <v/>
      </c>
      <c r="S824">
        <f>IF(R824="","",IF(D824="","Other work",D824)&amp;IF(AND(K824&lt;&gt;"",E824&lt;&gt;""),", "&amp;E824,""))</f>
        <v/>
      </c>
      <c r="T824">
        <f>IF(R824="","",IF(COUNTIFS(R$6:R823,"&gt;0",S$6:S823,S824,N$6:N823,N824)=0,R824,""))</f>
        <v/>
      </c>
      <c r="U824">
        <f>IF(B824="","",IF(J824&lt;&gt;"",0,M824))</f>
        <v/>
      </c>
    </row>
    <row r="825">
      <c r="A825" s="1" t="n"/>
      <c r="B825" s="16" t="n"/>
      <c r="C825" s="17" t="n"/>
      <c r="D825" s="18" t="n"/>
      <c r="E825" s="18" t="n"/>
      <c r="F825" s="19" t="n"/>
      <c r="G825" s="19" t="n"/>
      <c r="H825" s="20" t="n"/>
      <c r="I825" s="21" t="n"/>
      <c r="J825" s="22" t="n"/>
      <c r="K825" s="23" t="n"/>
      <c r="L825" s="18" t="n"/>
      <c r="M825" s="24">
        <f>IF(B825="","",IF(AND(F825&lt;&gt;"",G825&lt;&gt;""),MAX(0,ROUND(MOD(G825-F825,1)*24-N(H825)/60,2)),N(I825)))</f>
        <v/>
      </c>
      <c r="N825" s="14">
        <f>IF(B825="","",IF(K825&lt;&gt;"",K825,IF(N(IFERROR(INDEX(Projects!$D$6:$D$65,MATCH(D825,Projects!$B$6:$B$65,0)),""))&gt;0,IFERROR(INDEX(Projects!$D$6:$D$65,MATCH(D825,Projects!$B$6:$B$65,0)),""),IFERROR(INDEX(Clients!$G$6:$G$45,MATCH(C825,Clients!$B$6:$B$45,0)),0))))</f>
        <v/>
      </c>
      <c r="O825" s="14">
        <f>IF(B825="","",IF(J825&lt;&gt;"",0,ROUND(M825*N825,2)))</f>
        <v/>
      </c>
      <c r="P825" s="15">
        <f>IF(OR(B825="",J825&lt;&gt;""),"",IF(L825&lt;&gt;"",L825,IF(COUNTIFS(Invoices!$C$6:$C$305,C825,Invoices!$E$6:$E$305,"&lt;="&amp;B825,Invoices!$F$6:$F$305,"&gt;="&amp;B825)=1,INDEX(Invoices!$B$6:$B$305,SUMIFS(Invoices!$O$6:$O$305,Invoices!$C$6:$C$305,C825,Invoices!$E$6:$E$305,"&lt;="&amp;B825,Invoices!$F$6:$F$305,"&gt;="&amp;B825)),IF(COUNTIFS(Invoices!$C$6:$C$305,C825,Invoices!$E$6:$E$305,"&lt;="&amp;B825,Invoices!$F$6:$F$305,"&gt;="&amp;B825)&gt;1,"Two invoices",""))))</f>
        <v/>
      </c>
      <c r="Q825" s="15">
        <f>IF(B825="","",IF(J825&lt;&gt;"","Not billable",IF(P825="","To invoice",IF(P825="Two invoices","Check dates",IF(ISNA(MATCH(P825,Invoices!$B$6:$B$305,0)),"Check number",IF(INDEX(Invoices!$M$6:$M$305,MATCH(P825,Invoices!$B$6:$B$305,0))="Paid","Paid",IF(INDEX(Invoices!$M$6:$M$305,MATCH(P825,Invoices!$B$6:$B$305,0))="Draft","Draft","Invoiced")))))))</f>
        <v/>
      </c>
      <c r="R825" s="1">
        <f>IF(AND(B825&lt;&gt;"",P825&lt;&gt;"",P825=Invoice!$G$4),B825+MOD(N(F825),1)+ROW()/10000000,"")</f>
        <v/>
      </c>
      <c r="S825">
        <f>IF(R825="","",IF(D825="","Other work",D825)&amp;IF(AND(K825&lt;&gt;"",E825&lt;&gt;""),", "&amp;E825,""))</f>
        <v/>
      </c>
      <c r="T825">
        <f>IF(R825="","",IF(COUNTIFS(R$6:R824,"&gt;0",S$6:S824,S825,N$6:N824,N825)=0,R825,""))</f>
        <v/>
      </c>
      <c r="U825">
        <f>IF(B825="","",IF(J825&lt;&gt;"",0,M825))</f>
        <v/>
      </c>
    </row>
    <row r="826">
      <c r="A826" s="1" t="n"/>
      <c r="B826" s="16" t="n"/>
      <c r="C826" s="17" t="n"/>
      <c r="D826" s="18" t="n"/>
      <c r="E826" s="18" t="n"/>
      <c r="F826" s="19" t="n"/>
      <c r="G826" s="19" t="n"/>
      <c r="H826" s="20" t="n"/>
      <c r="I826" s="21" t="n"/>
      <c r="J826" s="22" t="n"/>
      <c r="K826" s="23" t="n"/>
      <c r="L826" s="18" t="n"/>
      <c r="M826" s="24">
        <f>IF(B826="","",IF(AND(F826&lt;&gt;"",G826&lt;&gt;""),MAX(0,ROUND(MOD(G826-F826,1)*24-N(H826)/60,2)),N(I826)))</f>
        <v/>
      </c>
      <c r="N826" s="14">
        <f>IF(B826="","",IF(K826&lt;&gt;"",K826,IF(N(IFERROR(INDEX(Projects!$D$6:$D$65,MATCH(D826,Projects!$B$6:$B$65,0)),""))&gt;0,IFERROR(INDEX(Projects!$D$6:$D$65,MATCH(D826,Projects!$B$6:$B$65,0)),""),IFERROR(INDEX(Clients!$G$6:$G$45,MATCH(C826,Clients!$B$6:$B$45,0)),0))))</f>
        <v/>
      </c>
      <c r="O826" s="14">
        <f>IF(B826="","",IF(J826&lt;&gt;"",0,ROUND(M826*N826,2)))</f>
        <v/>
      </c>
      <c r="P826" s="15">
        <f>IF(OR(B826="",J826&lt;&gt;""),"",IF(L826&lt;&gt;"",L826,IF(COUNTIFS(Invoices!$C$6:$C$305,C826,Invoices!$E$6:$E$305,"&lt;="&amp;B826,Invoices!$F$6:$F$305,"&gt;="&amp;B826)=1,INDEX(Invoices!$B$6:$B$305,SUMIFS(Invoices!$O$6:$O$305,Invoices!$C$6:$C$305,C826,Invoices!$E$6:$E$305,"&lt;="&amp;B826,Invoices!$F$6:$F$305,"&gt;="&amp;B826)),IF(COUNTIFS(Invoices!$C$6:$C$305,C826,Invoices!$E$6:$E$305,"&lt;="&amp;B826,Invoices!$F$6:$F$305,"&gt;="&amp;B826)&gt;1,"Two invoices",""))))</f>
        <v/>
      </c>
      <c r="Q826" s="15">
        <f>IF(B826="","",IF(J826&lt;&gt;"","Not billable",IF(P826="","To invoice",IF(P826="Two invoices","Check dates",IF(ISNA(MATCH(P826,Invoices!$B$6:$B$305,0)),"Check number",IF(INDEX(Invoices!$M$6:$M$305,MATCH(P826,Invoices!$B$6:$B$305,0))="Paid","Paid",IF(INDEX(Invoices!$M$6:$M$305,MATCH(P826,Invoices!$B$6:$B$305,0))="Draft","Draft","Invoiced")))))))</f>
        <v/>
      </c>
      <c r="R826" s="1">
        <f>IF(AND(B826&lt;&gt;"",P826&lt;&gt;"",P826=Invoice!$G$4),B826+MOD(N(F826),1)+ROW()/10000000,"")</f>
        <v/>
      </c>
      <c r="S826">
        <f>IF(R826="","",IF(D826="","Other work",D826)&amp;IF(AND(K826&lt;&gt;"",E826&lt;&gt;""),", "&amp;E826,""))</f>
        <v/>
      </c>
      <c r="T826">
        <f>IF(R826="","",IF(COUNTIFS(R$6:R825,"&gt;0",S$6:S825,S826,N$6:N825,N826)=0,R826,""))</f>
        <v/>
      </c>
      <c r="U826">
        <f>IF(B826="","",IF(J826&lt;&gt;"",0,M826))</f>
        <v/>
      </c>
    </row>
    <row r="827">
      <c r="A827" s="1" t="n"/>
      <c r="B827" s="16" t="n"/>
      <c r="C827" s="17" t="n"/>
      <c r="D827" s="18" t="n"/>
      <c r="E827" s="18" t="n"/>
      <c r="F827" s="19" t="n"/>
      <c r="G827" s="19" t="n"/>
      <c r="H827" s="20" t="n"/>
      <c r="I827" s="21" t="n"/>
      <c r="J827" s="22" t="n"/>
      <c r="K827" s="23" t="n"/>
      <c r="L827" s="18" t="n"/>
      <c r="M827" s="24">
        <f>IF(B827="","",IF(AND(F827&lt;&gt;"",G827&lt;&gt;""),MAX(0,ROUND(MOD(G827-F827,1)*24-N(H827)/60,2)),N(I827)))</f>
        <v/>
      </c>
      <c r="N827" s="14">
        <f>IF(B827="","",IF(K827&lt;&gt;"",K827,IF(N(IFERROR(INDEX(Projects!$D$6:$D$65,MATCH(D827,Projects!$B$6:$B$65,0)),""))&gt;0,IFERROR(INDEX(Projects!$D$6:$D$65,MATCH(D827,Projects!$B$6:$B$65,0)),""),IFERROR(INDEX(Clients!$G$6:$G$45,MATCH(C827,Clients!$B$6:$B$45,0)),0))))</f>
        <v/>
      </c>
      <c r="O827" s="14">
        <f>IF(B827="","",IF(J827&lt;&gt;"",0,ROUND(M827*N827,2)))</f>
        <v/>
      </c>
      <c r="P827" s="15">
        <f>IF(OR(B827="",J827&lt;&gt;""),"",IF(L827&lt;&gt;"",L827,IF(COUNTIFS(Invoices!$C$6:$C$305,C827,Invoices!$E$6:$E$305,"&lt;="&amp;B827,Invoices!$F$6:$F$305,"&gt;="&amp;B827)=1,INDEX(Invoices!$B$6:$B$305,SUMIFS(Invoices!$O$6:$O$305,Invoices!$C$6:$C$305,C827,Invoices!$E$6:$E$305,"&lt;="&amp;B827,Invoices!$F$6:$F$305,"&gt;="&amp;B827)),IF(COUNTIFS(Invoices!$C$6:$C$305,C827,Invoices!$E$6:$E$305,"&lt;="&amp;B827,Invoices!$F$6:$F$305,"&gt;="&amp;B827)&gt;1,"Two invoices",""))))</f>
        <v/>
      </c>
      <c r="Q827" s="15">
        <f>IF(B827="","",IF(J827&lt;&gt;"","Not billable",IF(P827="","To invoice",IF(P827="Two invoices","Check dates",IF(ISNA(MATCH(P827,Invoices!$B$6:$B$305,0)),"Check number",IF(INDEX(Invoices!$M$6:$M$305,MATCH(P827,Invoices!$B$6:$B$305,0))="Paid","Paid",IF(INDEX(Invoices!$M$6:$M$305,MATCH(P827,Invoices!$B$6:$B$305,0))="Draft","Draft","Invoiced")))))))</f>
        <v/>
      </c>
      <c r="R827" s="1">
        <f>IF(AND(B827&lt;&gt;"",P827&lt;&gt;"",P827=Invoice!$G$4),B827+MOD(N(F827),1)+ROW()/10000000,"")</f>
        <v/>
      </c>
      <c r="S827">
        <f>IF(R827="","",IF(D827="","Other work",D827)&amp;IF(AND(K827&lt;&gt;"",E827&lt;&gt;""),", "&amp;E827,""))</f>
        <v/>
      </c>
      <c r="T827">
        <f>IF(R827="","",IF(COUNTIFS(R$6:R826,"&gt;0",S$6:S826,S827,N$6:N826,N827)=0,R827,""))</f>
        <v/>
      </c>
      <c r="U827">
        <f>IF(B827="","",IF(J827&lt;&gt;"",0,M827))</f>
        <v/>
      </c>
    </row>
    <row r="828">
      <c r="A828" s="1" t="n"/>
      <c r="B828" s="16" t="n"/>
      <c r="C828" s="17" t="n"/>
      <c r="D828" s="18" t="n"/>
      <c r="E828" s="18" t="n"/>
      <c r="F828" s="19" t="n"/>
      <c r="G828" s="19" t="n"/>
      <c r="H828" s="20" t="n"/>
      <c r="I828" s="21" t="n"/>
      <c r="J828" s="22" t="n"/>
      <c r="K828" s="23" t="n"/>
      <c r="L828" s="18" t="n"/>
      <c r="M828" s="24">
        <f>IF(B828="","",IF(AND(F828&lt;&gt;"",G828&lt;&gt;""),MAX(0,ROUND(MOD(G828-F828,1)*24-N(H828)/60,2)),N(I828)))</f>
        <v/>
      </c>
      <c r="N828" s="14">
        <f>IF(B828="","",IF(K828&lt;&gt;"",K828,IF(N(IFERROR(INDEX(Projects!$D$6:$D$65,MATCH(D828,Projects!$B$6:$B$65,0)),""))&gt;0,IFERROR(INDEX(Projects!$D$6:$D$65,MATCH(D828,Projects!$B$6:$B$65,0)),""),IFERROR(INDEX(Clients!$G$6:$G$45,MATCH(C828,Clients!$B$6:$B$45,0)),0))))</f>
        <v/>
      </c>
      <c r="O828" s="14">
        <f>IF(B828="","",IF(J828&lt;&gt;"",0,ROUND(M828*N828,2)))</f>
        <v/>
      </c>
      <c r="P828" s="15">
        <f>IF(OR(B828="",J828&lt;&gt;""),"",IF(L828&lt;&gt;"",L828,IF(COUNTIFS(Invoices!$C$6:$C$305,C828,Invoices!$E$6:$E$305,"&lt;="&amp;B828,Invoices!$F$6:$F$305,"&gt;="&amp;B828)=1,INDEX(Invoices!$B$6:$B$305,SUMIFS(Invoices!$O$6:$O$305,Invoices!$C$6:$C$305,C828,Invoices!$E$6:$E$305,"&lt;="&amp;B828,Invoices!$F$6:$F$305,"&gt;="&amp;B828)),IF(COUNTIFS(Invoices!$C$6:$C$305,C828,Invoices!$E$6:$E$305,"&lt;="&amp;B828,Invoices!$F$6:$F$305,"&gt;="&amp;B828)&gt;1,"Two invoices",""))))</f>
        <v/>
      </c>
      <c r="Q828" s="15">
        <f>IF(B828="","",IF(J828&lt;&gt;"","Not billable",IF(P828="","To invoice",IF(P828="Two invoices","Check dates",IF(ISNA(MATCH(P828,Invoices!$B$6:$B$305,0)),"Check number",IF(INDEX(Invoices!$M$6:$M$305,MATCH(P828,Invoices!$B$6:$B$305,0))="Paid","Paid",IF(INDEX(Invoices!$M$6:$M$305,MATCH(P828,Invoices!$B$6:$B$305,0))="Draft","Draft","Invoiced")))))))</f>
        <v/>
      </c>
      <c r="R828" s="1">
        <f>IF(AND(B828&lt;&gt;"",P828&lt;&gt;"",P828=Invoice!$G$4),B828+MOD(N(F828),1)+ROW()/10000000,"")</f>
        <v/>
      </c>
      <c r="S828">
        <f>IF(R828="","",IF(D828="","Other work",D828)&amp;IF(AND(K828&lt;&gt;"",E828&lt;&gt;""),", "&amp;E828,""))</f>
        <v/>
      </c>
      <c r="T828">
        <f>IF(R828="","",IF(COUNTIFS(R$6:R827,"&gt;0",S$6:S827,S828,N$6:N827,N828)=0,R828,""))</f>
        <v/>
      </c>
      <c r="U828">
        <f>IF(B828="","",IF(J828&lt;&gt;"",0,M828))</f>
        <v/>
      </c>
    </row>
    <row r="829">
      <c r="A829" s="1" t="n"/>
      <c r="B829" s="16" t="n"/>
      <c r="C829" s="17" t="n"/>
      <c r="D829" s="18" t="n"/>
      <c r="E829" s="18" t="n"/>
      <c r="F829" s="19" t="n"/>
      <c r="G829" s="19" t="n"/>
      <c r="H829" s="20" t="n"/>
      <c r="I829" s="21" t="n"/>
      <c r="J829" s="22" t="n"/>
      <c r="K829" s="23" t="n"/>
      <c r="L829" s="18" t="n"/>
      <c r="M829" s="24">
        <f>IF(B829="","",IF(AND(F829&lt;&gt;"",G829&lt;&gt;""),MAX(0,ROUND(MOD(G829-F829,1)*24-N(H829)/60,2)),N(I829)))</f>
        <v/>
      </c>
      <c r="N829" s="14">
        <f>IF(B829="","",IF(K829&lt;&gt;"",K829,IF(N(IFERROR(INDEX(Projects!$D$6:$D$65,MATCH(D829,Projects!$B$6:$B$65,0)),""))&gt;0,IFERROR(INDEX(Projects!$D$6:$D$65,MATCH(D829,Projects!$B$6:$B$65,0)),""),IFERROR(INDEX(Clients!$G$6:$G$45,MATCH(C829,Clients!$B$6:$B$45,0)),0))))</f>
        <v/>
      </c>
      <c r="O829" s="14">
        <f>IF(B829="","",IF(J829&lt;&gt;"",0,ROUND(M829*N829,2)))</f>
        <v/>
      </c>
      <c r="P829" s="15">
        <f>IF(OR(B829="",J829&lt;&gt;""),"",IF(L829&lt;&gt;"",L829,IF(COUNTIFS(Invoices!$C$6:$C$305,C829,Invoices!$E$6:$E$305,"&lt;="&amp;B829,Invoices!$F$6:$F$305,"&gt;="&amp;B829)=1,INDEX(Invoices!$B$6:$B$305,SUMIFS(Invoices!$O$6:$O$305,Invoices!$C$6:$C$305,C829,Invoices!$E$6:$E$305,"&lt;="&amp;B829,Invoices!$F$6:$F$305,"&gt;="&amp;B829)),IF(COUNTIFS(Invoices!$C$6:$C$305,C829,Invoices!$E$6:$E$305,"&lt;="&amp;B829,Invoices!$F$6:$F$305,"&gt;="&amp;B829)&gt;1,"Two invoices",""))))</f>
        <v/>
      </c>
      <c r="Q829" s="15">
        <f>IF(B829="","",IF(J829&lt;&gt;"","Not billable",IF(P829="","To invoice",IF(P829="Two invoices","Check dates",IF(ISNA(MATCH(P829,Invoices!$B$6:$B$305,0)),"Check number",IF(INDEX(Invoices!$M$6:$M$305,MATCH(P829,Invoices!$B$6:$B$305,0))="Paid","Paid",IF(INDEX(Invoices!$M$6:$M$305,MATCH(P829,Invoices!$B$6:$B$305,0))="Draft","Draft","Invoiced")))))))</f>
        <v/>
      </c>
      <c r="R829" s="1">
        <f>IF(AND(B829&lt;&gt;"",P829&lt;&gt;"",P829=Invoice!$G$4),B829+MOD(N(F829),1)+ROW()/10000000,"")</f>
        <v/>
      </c>
      <c r="S829">
        <f>IF(R829="","",IF(D829="","Other work",D829)&amp;IF(AND(K829&lt;&gt;"",E829&lt;&gt;""),", "&amp;E829,""))</f>
        <v/>
      </c>
      <c r="T829">
        <f>IF(R829="","",IF(COUNTIFS(R$6:R828,"&gt;0",S$6:S828,S829,N$6:N828,N829)=0,R829,""))</f>
        <v/>
      </c>
      <c r="U829">
        <f>IF(B829="","",IF(J829&lt;&gt;"",0,M829))</f>
        <v/>
      </c>
    </row>
    <row r="830">
      <c r="A830" s="1" t="n"/>
      <c r="B830" s="16" t="n"/>
      <c r="C830" s="17" t="n"/>
      <c r="D830" s="18" t="n"/>
      <c r="E830" s="18" t="n"/>
      <c r="F830" s="19" t="n"/>
      <c r="G830" s="19" t="n"/>
      <c r="H830" s="20" t="n"/>
      <c r="I830" s="21" t="n"/>
      <c r="J830" s="22" t="n"/>
      <c r="K830" s="23" t="n"/>
      <c r="L830" s="18" t="n"/>
      <c r="M830" s="24">
        <f>IF(B830="","",IF(AND(F830&lt;&gt;"",G830&lt;&gt;""),MAX(0,ROUND(MOD(G830-F830,1)*24-N(H830)/60,2)),N(I830)))</f>
        <v/>
      </c>
      <c r="N830" s="14">
        <f>IF(B830="","",IF(K830&lt;&gt;"",K830,IF(N(IFERROR(INDEX(Projects!$D$6:$D$65,MATCH(D830,Projects!$B$6:$B$65,0)),""))&gt;0,IFERROR(INDEX(Projects!$D$6:$D$65,MATCH(D830,Projects!$B$6:$B$65,0)),""),IFERROR(INDEX(Clients!$G$6:$G$45,MATCH(C830,Clients!$B$6:$B$45,0)),0))))</f>
        <v/>
      </c>
      <c r="O830" s="14">
        <f>IF(B830="","",IF(J830&lt;&gt;"",0,ROUND(M830*N830,2)))</f>
        <v/>
      </c>
      <c r="P830" s="15">
        <f>IF(OR(B830="",J830&lt;&gt;""),"",IF(L830&lt;&gt;"",L830,IF(COUNTIFS(Invoices!$C$6:$C$305,C830,Invoices!$E$6:$E$305,"&lt;="&amp;B830,Invoices!$F$6:$F$305,"&gt;="&amp;B830)=1,INDEX(Invoices!$B$6:$B$305,SUMIFS(Invoices!$O$6:$O$305,Invoices!$C$6:$C$305,C830,Invoices!$E$6:$E$305,"&lt;="&amp;B830,Invoices!$F$6:$F$305,"&gt;="&amp;B830)),IF(COUNTIFS(Invoices!$C$6:$C$305,C830,Invoices!$E$6:$E$305,"&lt;="&amp;B830,Invoices!$F$6:$F$305,"&gt;="&amp;B830)&gt;1,"Two invoices",""))))</f>
        <v/>
      </c>
      <c r="Q830" s="15">
        <f>IF(B830="","",IF(J830&lt;&gt;"","Not billable",IF(P830="","To invoice",IF(P830="Two invoices","Check dates",IF(ISNA(MATCH(P830,Invoices!$B$6:$B$305,0)),"Check number",IF(INDEX(Invoices!$M$6:$M$305,MATCH(P830,Invoices!$B$6:$B$305,0))="Paid","Paid",IF(INDEX(Invoices!$M$6:$M$305,MATCH(P830,Invoices!$B$6:$B$305,0))="Draft","Draft","Invoiced")))))))</f>
        <v/>
      </c>
      <c r="R830" s="1">
        <f>IF(AND(B830&lt;&gt;"",P830&lt;&gt;"",P830=Invoice!$G$4),B830+MOD(N(F830),1)+ROW()/10000000,"")</f>
        <v/>
      </c>
      <c r="S830">
        <f>IF(R830="","",IF(D830="","Other work",D830)&amp;IF(AND(K830&lt;&gt;"",E830&lt;&gt;""),", "&amp;E830,""))</f>
        <v/>
      </c>
      <c r="T830">
        <f>IF(R830="","",IF(COUNTIFS(R$6:R829,"&gt;0",S$6:S829,S830,N$6:N829,N830)=0,R830,""))</f>
        <v/>
      </c>
      <c r="U830">
        <f>IF(B830="","",IF(J830&lt;&gt;"",0,M830))</f>
        <v/>
      </c>
    </row>
    <row r="831">
      <c r="A831" s="1" t="n"/>
      <c r="B831" s="16" t="n"/>
      <c r="C831" s="17" t="n"/>
      <c r="D831" s="18" t="n"/>
      <c r="E831" s="18" t="n"/>
      <c r="F831" s="19" t="n"/>
      <c r="G831" s="19" t="n"/>
      <c r="H831" s="20" t="n"/>
      <c r="I831" s="21" t="n"/>
      <c r="J831" s="22" t="n"/>
      <c r="K831" s="23" t="n"/>
      <c r="L831" s="18" t="n"/>
      <c r="M831" s="24">
        <f>IF(B831="","",IF(AND(F831&lt;&gt;"",G831&lt;&gt;""),MAX(0,ROUND(MOD(G831-F831,1)*24-N(H831)/60,2)),N(I831)))</f>
        <v/>
      </c>
      <c r="N831" s="14">
        <f>IF(B831="","",IF(K831&lt;&gt;"",K831,IF(N(IFERROR(INDEX(Projects!$D$6:$D$65,MATCH(D831,Projects!$B$6:$B$65,0)),""))&gt;0,IFERROR(INDEX(Projects!$D$6:$D$65,MATCH(D831,Projects!$B$6:$B$65,0)),""),IFERROR(INDEX(Clients!$G$6:$G$45,MATCH(C831,Clients!$B$6:$B$45,0)),0))))</f>
        <v/>
      </c>
      <c r="O831" s="14">
        <f>IF(B831="","",IF(J831&lt;&gt;"",0,ROUND(M831*N831,2)))</f>
        <v/>
      </c>
      <c r="P831" s="15">
        <f>IF(OR(B831="",J831&lt;&gt;""),"",IF(L831&lt;&gt;"",L831,IF(COUNTIFS(Invoices!$C$6:$C$305,C831,Invoices!$E$6:$E$305,"&lt;="&amp;B831,Invoices!$F$6:$F$305,"&gt;="&amp;B831)=1,INDEX(Invoices!$B$6:$B$305,SUMIFS(Invoices!$O$6:$O$305,Invoices!$C$6:$C$305,C831,Invoices!$E$6:$E$305,"&lt;="&amp;B831,Invoices!$F$6:$F$305,"&gt;="&amp;B831)),IF(COUNTIFS(Invoices!$C$6:$C$305,C831,Invoices!$E$6:$E$305,"&lt;="&amp;B831,Invoices!$F$6:$F$305,"&gt;="&amp;B831)&gt;1,"Two invoices",""))))</f>
        <v/>
      </c>
      <c r="Q831" s="15">
        <f>IF(B831="","",IF(J831&lt;&gt;"","Not billable",IF(P831="","To invoice",IF(P831="Two invoices","Check dates",IF(ISNA(MATCH(P831,Invoices!$B$6:$B$305,0)),"Check number",IF(INDEX(Invoices!$M$6:$M$305,MATCH(P831,Invoices!$B$6:$B$305,0))="Paid","Paid",IF(INDEX(Invoices!$M$6:$M$305,MATCH(P831,Invoices!$B$6:$B$305,0))="Draft","Draft","Invoiced")))))))</f>
        <v/>
      </c>
      <c r="R831" s="1">
        <f>IF(AND(B831&lt;&gt;"",P831&lt;&gt;"",P831=Invoice!$G$4),B831+MOD(N(F831),1)+ROW()/10000000,"")</f>
        <v/>
      </c>
      <c r="S831">
        <f>IF(R831="","",IF(D831="","Other work",D831)&amp;IF(AND(K831&lt;&gt;"",E831&lt;&gt;""),", "&amp;E831,""))</f>
        <v/>
      </c>
      <c r="T831">
        <f>IF(R831="","",IF(COUNTIFS(R$6:R830,"&gt;0",S$6:S830,S831,N$6:N830,N831)=0,R831,""))</f>
        <v/>
      </c>
      <c r="U831">
        <f>IF(B831="","",IF(J831&lt;&gt;"",0,M831))</f>
        <v/>
      </c>
    </row>
    <row r="832">
      <c r="A832" s="1" t="n"/>
      <c r="B832" s="16" t="n"/>
      <c r="C832" s="17" t="n"/>
      <c r="D832" s="18" t="n"/>
      <c r="E832" s="18" t="n"/>
      <c r="F832" s="19" t="n"/>
      <c r="G832" s="19" t="n"/>
      <c r="H832" s="20" t="n"/>
      <c r="I832" s="21" t="n"/>
      <c r="J832" s="22" t="n"/>
      <c r="K832" s="23" t="n"/>
      <c r="L832" s="18" t="n"/>
      <c r="M832" s="24">
        <f>IF(B832="","",IF(AND(F832&lt;&gt;"",G832&lt;&gt;""),MAX(0,ROUND(MOD(G832-F832,1)*24-N(H832)/60,2)),N(I832)))</f>
        <v/>
      </c>
      <c r="N832" s="14">
        <f>IF(B832="","",IF(K832&lt;&gt;"",K832,IF(N(IFERROR(INDEX(Projects!$D$6:$D$65,MATCH(D832,Projects!$B$6:$B$65,0)),""))&gt;0,IFERROR(INDEX(Projects!$D$6:$D$65,MATCH(D832,Projects!$B$6:$B$65,0)),""),IFERROR(INDEX(Clients!$G$6:$G$45,MATCH(C832,Clients!$B$6:$B$45,0)),0))))</f>
        <v/>
      </c>
      <c r="O832" s="14">
        <f>IF(B832="","",IF(J832&lt;&gt;"",0,ROUND(M832*N832,2)))</f>
        <v/>
      </c>
      <c r="P832" s="15">
        <f>IF(OR(B832="",J832&lt;&gt;""),"",IF(L832&lt;&gt;"",L832,IF(COUNTIFS(Invoices!$C$6:$C$305,C832,Invoices!$E$6:$E$305,"&lt;="&amp;B832,Invoices!$F$6:$F$305,"&gt;="&amp;B832)=1,INDEX(Invoices!$B$6:$B$305,SUMIFS(Invoices!$O$6:$O$305,Invoices!$C$6:$C$305,C832,Invoices!$E$6:$E$305,"&lt;="&amp;B832,Invoices!$F$6:$F$305,"&gt;="&amp;B832)),IF(COUNTIFS(Invoices!$C$6:$C$305,C832,Invoices!$E$6:$E$305,"&lt;="&amp;B832,Invoices!$F$6:$F$305,"&gt;="&amp;B832)&gt;1,"Two invoices",""))))</f>
        <v/>
      </c>
      <c r="Q832" s="15">
        <f>IF(B832="","",IF(J832&lt;&gt;"","Not billable",IF(P832="","To invoice",IF(P832="Two invoices","Check dates",IF(ISNA(MATCH(P832,Invoices!$B$6:$B$305,0)),"Check number",IF(INDEX(Invoices!$M$6:$M$305,MATCH(P832,Invoices!$B$6:$B$305,0))="Paid","Paid",IF(INDEX(Invoices!$M$6:$M$305,MATCH(P832,Invoices!$B$6:$B$305,0))="Draft","Draft","Invoiced")))))))</f>
        <v/>
      </c>
      <c r="R832" s="1">
        <f>IF(AND(B832&lt;&gt;"",P832&lt;&gt;"",P832=Invoice!$G$4),B832+MOD(N(F832),1)+ROW()/10000000,"")</f>
        <v/>
      </c>
      <c r="S832">
        <f>IF(R832="","",IF(D832="","Other work",D832)&amp;IF(AND(K832&lt;&gt;"",E832&lt;&gt;""),", "&amp;E832,""))</f>
        <v/>
      </c>
      <c r="T832">
        <f>IF(R832="","",IF(COUNTIFS(R$6:R831,"&gt;0",S$6:S831,S832,N$6:N831,N832)=0,R832,""))</f>
        <v/>
      </c>
      <c r="U832">
        <f>IF(B832="","",IF(J832&lt;&gt;"",0,M832))</f>
        <v/>
      </c>
    </row>
    <row r="833">
      <c r="A833" s="1" t="n"/>
      <c r="B833" s="16" t="n"/>
      <c r="C833" s="17" t="n"/>
      <c r="D833" s="18" t="n"/>
      <c r="E833" s="18" t="n"/>
      <c r="F833" s="19" t="n"/>
      <c r="G833" s="19" t="n"/>
      <c r="H833" s="20" t="n"/>
      <c r="I833" s="21" t="n"/>
      <c r="J833" s="22" t="n"/>
      <c r="K833" s="23" t="n"/>
      <c r="L833" s="18" t="n"/>
      <c r="M833" s="24">
        <f>IF(B833="","",IF(AND(F833&lt;&gt;"",G833&lt;&gt;""),MAX(0,ROUND(MOD(G833-F833,1)*24-N(H833)/60,2)),N(I833)))</f>
        <v/>
      </c>
      <c r="N833" s="14">
        <f>IF(B833="","",IF(K833&lt;&gt;"",K833,IF(N(IFERROR(INDEX(Projects!$D$6:$D$65,MATCH(D833,Projects!$B$6:$B$65,0)),""))&gt;0,IFERROR(INDEX(Projects!$D$6:$D$65,MATCH(D833,Projects!$B$6:$B$65,0)),""),IFERROR(INDEX(Clients!$G$6:$G$45,MATCH(C833,Clients!$B$6:$B$45,0)),0))))</f>
        <v/>
      </c>
      <c r="O833" s="14">
        <f>IF(B833="","",IF(J833&lt;&gt;"",0,ROUND(M833*N833,2)))</f>
        <v/>
      </c>
      <c r="P833" s="15">
        <f>IF(OR(B833="",J833&lt;&gt;""),"",IF(L833&lt;&gt;"",L833,IF(COUNTIFS(Invoices!$C$6:$C$305,C833,Invoices!$E$6:$E$305,"&lt;="&amp;B833,Invoices!$F$6:$F$305,"&gt;="&amp;B833)=1,INDEX(Invoices!$B$6:$B$305,SUMIFS(Invoices!$O$6:$O$305,Invoices!$C$6:$C$305,C833,Invoices!$E$6:$E$305,"&lt;="&amp;B833,Invoices!$F$6:$F$305,"&gt;="&amp;B833)),IF(COUNTIFS(Invoices!$C$6:$C$305,C833,Invoices!$E$6:$E$305,"&lt;="&amp;B833,Invoices!$F$6:$F$305,"&gt;="&amp;B833)&gt;1,"Two invoices",""))))</f>
        <v/>
      </c>
      <c r="Q833" s="15">
        <f>IF(B833="","",IF(J833&lt;&gt;"","Not billable",IF(P833="","To invoice",IF(P833="Two invoices","Check dates",IF(ISNA(MATCH(P833,Invoices!$B$6:$B$305,0)),"Check number",IF(INDEX(Invoices!$M$6:$M$305,MATCH(P833,Invoices!$B$6:$B$305,0))="Paid","Paid",IF(INDEX(Invoices!$M$6:$M$305,MATCH(P833,Invoices!$B$6:$B$305,0))="Draft","Draft","Invoiced")))))))</f>
        <v/>
      </c>
      <c r="R833" s="1">
        <f>IF(AND(B833&lt;&gt;"",P833&lt;&gt;"",P833=Invoice!$G$4),B833+MOD(N(F833),1)+ROW()/10000000,"")</f>
        <v/>
      </c>
      <c r="S833">
        <f>IF(R833="","",IF(D833="","Other work",D833)&amp;IF(AND(K833&lt;&gt;"",E833&lt;&gt;""),", "&amp;E833,""))</f>
        <v/>
      </c>
      <c r="T833">
        <f>IF(R833="","",IF(COUNTIFS(R$6:R832,"&gt;0",S$6:S832,S833,N$6:N832,N833)=0,R833,""))</f>
        <v/>
      </c>
      <c r="U833">
        <f>IF(B833="","",IF(J833&lt;&gt;"",0,M833))</f>
        <v/>
      </c>
    </row>
    <row r="834">
      <c r="A834" s="1" t="n"/>
      <c r="B834" s="16" t="n"/>
      <c r="C834" s="17" t="n"/>
      <c r="D834" s="18" t="n"/>
      <c r="E834" s="18" t="n"/>
      <c r="F834" s="19" t="n"/>
      <c r="G834" s="19" t="n"/>
      <c r="H834" s="20" t="n"/>
      <c r="I834" s="21" t="n"/>
      <c r="J834" s="22" t="n"/>
      <c r="K834" s="23" t="n"/>
      <c r="L834" s="18" t="n"/>
      <c r="M834" s="24">
        <f>IF(B834="","",IF(AND(F834&lt;&gt;"",G834&lt;&gt;""),MAX(0,ROUND(MOD(G834-F834,1)*24-N(H834)/60,2)),N(I834)))</f>
        <v/>
      </c>
      <c r="N834" s="14">
        <f>IF(B834="","",IF(K834&lt;&gt;"",K834,IF(N(IFERROR(INDEX(Projects!$D$6:$D$65,MATCH(D834,Projects!$B$6:$B$65,0)),""))&gt;0,IFERROR(INDEX(Projects!$D$6:$D$65,MATCH(D834,Projects!$B$6:$B$65,0)),""),IFERROR(INDEX(Clients!$G$6:$G$45,MATCH(C834,Clients!$B$6:$B$45,0)),0))))</f>
        <v/>
      </c>
      <c r="O834" s="14">
        <f>IF(B834="","",IF(J834&lt;&gt;"",0,ROUND(M834*N834,2)))</f>
        <v/>
      </c>
      <c r="P834" s="15">
        <f>IF(OR(B834="",J834&lt;&gt;""),"",IF(L834&lt;&gt;"",L834,IF(COUNTIFS(Invoices!$C$6:$C$305,C834,Invoices!$E$6:$E$305,"&lt;="&amp;B834,Invoices!$F$6:$F$305,"&gt;="&amp;B834)=1,INDEX(Invoices!$B$6:$B$305,SUMIFS(Invoices!$O$6:$O$305,Invoices!$C$6:$C$305,C834,Invoices!$E$6:$E$305,"&lt;="&amp;B834,Invoices!$F$6:$F$305,"&gt;="&amp;B834)),IF(COUNTIFS(Invoices!$C$6:$C$305,C834,Invoices!$E$6:$E$305,"&lt;="&amp;B834,Invoices!$F$6:$F$305,"&gt;="&amp;B834)&gt;1,"Two invoices",""))))</f>
        <v/>
      </c>
      <c r="Q834" s="15">
        <f>IF(B834="","",IF(J834&lt;&gt;"","Not billable",IF(P834="","To invoice",IF(P834="Two invoices","Check dates",IF(ISNA(MATCH(P834,Invoices!$B$6:$B$305,0)),"Check number",IF(INDEX(Invoices!$M$6:$M$305,MATCH(P834,Invoices!$B$6:$B$305,0))="Paid","Paid",IF(INDEX(Invoices!$M$6:$M$305,MATCH(P834,Invoices!$B$6:$B$305,0))="Draft","Draft","Invoiced")))))))</f>
        <v/>
      </c>
      <c r="R834" s="1">
        <f>IF(AND(B834&lt;&gt;"",P834&lt;&gt;"",P834=Invoice!$G$4),B834+MOD(N(F834),1)+ROW()/10000000,"")</f>
        <v/>
      </c>
      <c r="S834">
        <f>IF(R834="","",IF(D834="","Other work",D834)&amp;IF(AND(K834&lt;&gt;"",E834&lt;&gt;""),", "&amp;E834,""))</f>
        <v/>
      </c>
      <c r="T834">
        <f>IF(R834="","",IF(COUNTIFS(R$6:R833,"&gt;0",S$6:S833,S834,N$6:N833,N834)=0,R834,""))</f>
        <v/>
      </c>
      <c r="U834">
        <f>IF(B834="","",IF(J834&lt;&gt;"",0,M834))</f>
        <v/>
      </c>
    </row>
    <row r="835">
      <c r="A835" s="1" t="n"/>
      <c r="B835" s="16" t="n"/>
      <c r="C835" s="17" t="n"/>
      <c r="D835" s="18" t="n"/>
      <c r="E835" s="18" t="n"/>
      <c r="F835" s="19" t="n"/>
      <c r="G835" s="19" t="n"/>
      <c r="H835" s="20" t="n"/>
      <c r="I835" s="21" t="n"/>
      <c r="J835" s="22" t="n"/>
      <c r="K835" s="23" t="n"/>
      <c r="L835" s="18" t="n"/>
      <c r="M835" s="24">
        <f>IF(B835="","",IF(AND(F835&lt;&gt;"",G835&lt;&gt;""),MAX(0,ROUND(MOD(G835-F835,1)*24-N(H835)/60,2)),N(I835)))</f>
        <v/>
      </c>
      <c r="N835" s="14">
        <f>IF(B835="","",IF(K835&lt;&gt;"",K835,IF(N(IFERROR(INDEX(Projects!$D$6:$D$65,MATCH(D835,Projects!$B$6:$B$65,0)),""))&gt;0,IFERROR(INDEX(Projects!$D$6:$D$65,MATCH(D835,Projects!$B$6:$B$65,0)),""),IFERROR(INDEX(Clients!$G$6:$G$45,MATCH(C835,Clients!$B$6:$B$45,0)),0))))</f>
        <v/>
      </c>
      <c r="O835" s="14">
        <f>IF(B835="","",IF(J835&lt;&gt;"",0,ROUND(M835*N835,2)))</f>
        <v/>
      </c>
      <c r="P835" s="15">
        <f>IF(OR(B835="",J835&lt;&gt;""),"",IF(L835&lt;&gt;"",L835,IF(COUNTIFS(Invoices!$C$6:$C$305,C835,Invoices!$E$6:$E$305,"&lt;="&amp;B835,Invoices!$F$6:$F$305,"&gt;="&amp;B835)=1,INDEX(Invoices!$B$6:$B$305,SUMIFS(Invoices!$O$6:$O$305,Invoices!$C$6:$C$305,C835,Invoices!$E$6:$E$305,"&lt;="&amp;B835,Invoices!$F$6:$F$305,"&gt;="&amp;B835)),IF(COUNTIFS(Invoices!$C$6:$C$305,C835,Invoices!$E$6:$E$305,"&lt;="&amp;B835,Invoices!$F$6:$F$305,"&gt;="&amp;B835)&gt;1,"Two invoices",""))))</f>
        <v/>
      </c>
      <c r="Q835" s="15">
        <f>IF(B835="","",IF(J835&lt;&gt;"","Not billable",IF(P835="","To invoice",IF(P835="Two invoices","Check dates",IF(ISNA(MATCH(P835,Invoices!$B$6:$B$305,0)),"Check number",IF(INDEX(Invoices!$M$6:$M$305,MATCH(P835,Invoices!$B$6:$B$305,0))="Paid","Paid",IF(INDEX(Invoices!$M$6:$M$305,MATCH(P835,Invoices!$B$6:$B$305,0))="Draft","Draft","Invoiced")))))))</f>
        <v/>
      </c>
      <c r="R835" s="1">
        <f>IF(AND(B835&lt;&gt;"",P835&lt;&gt;"",P835=Invoice!$G$4),B835+MOD(N(F835),1)+ROW()/10000000,"")</f>
        <v/>
      </c>
      <c r="S835">
        <f>IF(R835="","",IF(D835="","Other work",D835)&amp;IF(AND(K835&lt;&gt;"",E835&lt;&gt;""),", "&amp;E835,""))</f>
        <v/>
      </c>
      <c r="T835">
        <f>IF(R835="","",IF(COUNTIFS(R$6:R834,"&gt;0",S$6:S834,S835,N$6:N834,N835)=0,R835,""))</f>
        <v/>
      </c>
      <c r="U835">
        <f>IF(B835="","",IF(J835&lt;&gt;"",0,M835))</f>
        <v/>
      </c>
    </row>
    <row r="836">
      <c r="A836" s="1" t="n"/>
      <c r="B836" s="16" t="n"/>
      <c r="C836" s="17" t="n"/>
      <c r="D836" s="18" t="n"/>
      <c r="E836" s="18" t="n"/>
      <c r="F836" s="19" t="n"/>
      <c r="G836" s="19" t="n"/>
      <c r="H836" s="20" t="n"/>
      <c r="I836" s="21" t="n"/>
      <c r="J836" s="22" t="n"/>
      <c r="K836" s="23" t="n"/>
      <c r="L836" s="18" t="n"/>
      <c r="M836" s="24">
        <f>IF(B836="","",IF(AND(F836&lt;&gt;"",G836&lt;&gt;""),MAX(0,ROUND(MOD(G836-F836,1)*24-N(H836)/60,2)),N(I836)))</f>
        <v/>
      </c>
      <c r="N836" s="14">
        <f>IF(B836="","",IF(K836&lt;&gt;"",K836,IF(N(IFERROR(INDEX(Projects!$D$6:$D$65,MATCH(D836,Projects!$B$6:$B$65,0)),""))&gt;0,IFERROR(INDEX(Projects!$D$6:$D$65,MATCH(D836,Projects!$B$6:$B$65,0)),""),IFERROR(INDEX(Clients!$G$6:$G$45,MATCH(C836,Clients!$B$6:$B$45,0)),0))))</f>
        <v/>
      </c>
      <c r="O836" s="14">
        <f>IF(B836="","",IF(J836&lt;&gt;"",0,ROUND(M836*N836,2)))</f>
        <v/>
      </c>
      <c r="P836" s="15">
        <f>IF(OR(B836="",J836&lt;&gt;""),"",IF(L836&lt;&gt;"",L836,IF(COUNTIFS(Invoices!$C$6:$C$305,C836,Invoices!$E$6:$E$305,"&lt;="&amp;B836,Invoices!$F$6:$F$305,"&gt;="&amp;B836)=1,INDEX(Invoices!$B$6:$B$305,SUMIFS(Invoices!$O$6:$O$305,Invoices!$C$6:$C$305,C836,Invoices!$E$6:$E$305,"&lt;="&amp;B836,Invoices!$F$6:$F$305,"&gt;="&amp;B836)),IF(COUNTIFS(Invoices!$C$6:$C$305,C836,Invoices!$E$6:$E$305,"&lt;="&amp;B836,Invoices!$F$6:$F$305,"&gt;="&amp;B836)&gt;1,"Two invoices",""))))</f>
        <v/>
      </c>
      <c r="Q836" s="15">
        <f>IF(B836="","",IF(J836&lt;&gt;"","Not billable",IF(P836="","To invoice",IF(P836="Two invoices","Check dates",IF(ISNA(MATCH(P836,Invoices!$B$6:$B$305,0)),"Check number",IF(INDEX(Invoices!$M$6:$M$305,MATCH(P836,Invoices!$B$6:$B$305,0))="Paid","Paid",IF(INDEX(Invoices!$M$6:$M$305,MATCH(P836,Invoices!$B$6:$B$305,0))="Draft","Draft","Invoiced")))))))</f>
        <v/>
      </c>
      <c r="R836" s="1">
        <f>IF(AND(B836&lt;&gt;"",P836&lt;&gt;"",P836=Invoice!$G$4),B836+MOD(N(F836),1)+ROW()/10000000,"")</f>
        <v/>
      </c>
      <c r="S836">
        <f>IF(R836="","",IF(D836="","Other work",D836)&amp;IF(AND(K836&lt;&gt;"",E836&lt;&gt;""),", "&amp;E836,""))</f>
        <v/>
      </c>
      <c r="T836">
        <f>IF(R836="","",IF(COUNTIFS(R$6:R835,"&gt;0",S$6:S835,S836,N$6:N835,N836)=0,R836,""))</f>
        <v/>
      </c>
      <c r="U836">
        <f>IF(B836="","",IF(J836&lt;&gt;"",0,M836))</f>
        <v/>
      </c>
    </row>
    <row r="837">
      <c r="A837" s="1" t="n"/>
      <c r="B837" s="16" t="n"/>
      <c r="C837" s="17" t="n"/>
      <c r="D837" s="18" t="n"/>
      <c r="E837" s="18" t="n"/>
      <c r="F837" s="19" t="n"/>
      <c r="G837" s="19" t="n"/>
      <c r="H837" s="20" t="n"/>
      <c r="I837" s="21" t="n"/>
      <c r="J837" s="22" t="n"/>
      <c r="K837" s="23" t="n"/>
      <c r="L837" s="18" t="n"/>
      <c r="M837" s="24">
        <f>IF(B837="","",IF(AND(F837&lt;&gt;"",G837&lt;&gt;""),MAX(0,ROUND(MOD(G837-F837,1)*24-N(H837)/60,2)),N(I837)))</f>
        <v/>
      </c>
      <c r="N837" s="14">
        <f>IF(B837="","",IF(K837&lt;&gt;"",K837,IF(N(IFERROR(INDEX(Projects!$D$6:$D$65,MATCH(D837,Projects!$B$6:$B$65,0)),""))&gt;0,IFERROR(INDEX(Projects!$D$6:$D$65,MATCH(D837,Projects!$B$6:$B$65,0)),""),IFERROR(INDEX(Clients!$G$6:$G$45,MATCH(C837,Clients!$B$6:$B$45,0)),0))))</f>
        <v/>
      </c>
      <c r="O837" s="14">
        <f>IF(B837="","",IF(J837&lt;&gt;"",0,ROUND(M837*N837,2)))</f>
        <v/>
      </c>
      <c r="P837" s="15">
        <f>IF(OR(B837="",J837&lt;&gt;""),"",IF(L837&lt;&gt;"",L837,IF(COUNTIFS(Invoices!$C$6:$C$305,C837,Invoices!$E$6:$E$305,"&lt;="&amp;B837,Invoices!$F$6:$F$305,"&gt;="&amp;B837)=1,INDEX(Invoices!$B$6:$B$305,SUMIFS(Invoices!$O$6:$O$305,Invoices!$C$6:$C$305,C837,Invoices!$E$6:$E$305,"&lt;="&amp;B837,Invoices!$F$6:$F$305,"&gt;="&amp;B837)),IF(COUNTIFS(Invoices!$C$6:$C$305,C837,Invoices!$E$6:$E$305,"&lt;="&amp;B837,Invoices!$F$6:$F$305,"&gt;="&amp;B837)&gt;1,"Two invoices",""))))</f>
        <v/>
      </c>
      <c r="Q837" s="15">
        <f>IF(B837="","",IF(J837&lt;&gt;"","Not billable",IF(P837="","To invoice",IF(P837="Two invoices","Check dates",IF(ISNA(MATCH(P837,Invoices!$B$6:$B$305,0)),"Check number",IF(INDEX(Invoices!$M$6:$M$305,MATCH(P837,Invoices!$B$6:$B$305,0))="Paid","Paid",IF(INDEX(Invoices!$M$6:$M$305,MATCH(P837,Invoices!$B$6:$B$305,0))="Draft","Draft","Invoiced")))))))</f>
        <v/>
      </c>
      <c r="R837" s="1">
        <f>IF(AND(B837&lt;&gt;"",P837&lt;&gt;"",P837=Invoice!$G$4),B837+MOD(N(F837),1)+ROW()/10000000,"")</f>
        <v/>
      </c>
      <c r="S837">
        <f>IF(R837="","",IF(D837="","Other work",D837)&amp;IF(AND(K837&lt;&gt;"",E837&lt;&gt;""),", "&amp;E837,""))</f>
        <v/>
      </c>
      <c r="T837">
        <f>IF(R837="","",IF(COUNTIFS(R$6:R836,"&gt;0",S$6:S836,S837,N$6:N836,N837)=0,R837,""))</f>
        <v/>
      </c>
      <c r="U837">
        <f>IF(B837="","",IF(J837&lt;&gt;"",0,M837))</f>
        <v/>
      </c>
    </row>
    <row r="838">
      <c r="A838" s="1" t="n"/>
      <c r="B838" s="16" t="n"/>
      <c r="C838" s="17" t="n"/>
      <c r="D838" s="18" t="n"/>
      <c r="E838" s="18" t="n"/>
      <c r="F838" s="19" t="n"/>
      <c r="G838" s="19" t="n"/>
      <c r="H838" s="20" t="n"/>
      <c r="I838" s="21" t="n"/>
      <c r="J838" s="22" t="n"/>
      <c r="K838" s="23" t="n"/>
      <c r="L838" s="18" t="n"/>
      <c r="M838" s="24">
        <f>IF(B838="","",IF(AND(F838&lt;&gt;"",G838&lt;&gt;""),MAX(0,ROUND(MOD(G838-F838,1)*24-N(H838)/60,2)),N(I838)))</f>
        <v/>
      </c>
      <c r="N838" s="14">
        <f>IF(B838="","",IF(K838&lt;&gt;"",K838,IF(N(IFERROR(INDEX(Projects!$D$6:$D$65,MATCH(D838,Projects!$B$6:$B$65,0)),""))&gt;0,IFERROR(INDEX(Projects!$D$6:$D$65,MATCH(D838,Projects!$B$6:$B$65,0)),""),IFERROR(INDEX(Clients!$G$6:$G$45,MATCH(C838,Clients!$B$6:$B$45,0)),0))))</f>
        <v/>
      </c>
      <c r="O838" s="14">
        <f>IF(B838="","",IF(J838&lt;&gt;"",0,ROUND(M838*N838,2)))</f>
        <v/>
      </c>
      <c r="P838" s="15">
        <f>IF(OR(B838="",J838&lt;&gt;""),"",IF(L838&lt;&gt;"",L838,IF(COUNTIFS(Invoices!$C$6:$C$305,C838,Invoices!$E$6:$E$305,"&lt;="&amp;B838,Invoices!$F$6:$F$305,"&gt;="&amp;B838)=1,INDEX(Invoices!$B$6:$B$305,SUMIFS(Invoices!$O$6:$O$305,Invoices!$C$6:$C$305,C838,Invoices!$E$6:$E$305,"&lt;="&amp;B838,Invoices!$F$6:$F$305,"&gt;="&amp;B838)),IF(COUNTIFS(Invoices!$C$6:$C$305,C838,Invoices!$E$6:$E$305,"&lt;="&amp;B838,Invoices!$F$6:$F$305,"&gt;="&amp;B838)&gt;1,"Two invoices",""))))</f>
        <v/>
      </c>
      <c r="Q838" s="15">
        <f>IF(B838="","",IF(J838&lt;&gt;"","Not billable",IF(P838="","To invoice",IF(P838="Two invoices","Check dates",IF(ISNA(MATCH(P838,Invoices!$B$6:$B$305,0)),"Check number",IF(INDEX(Invoices!$M$6:$M$305,MATCH(P838,Invoices!$B$6:$B$305,0))="Paid","Paid",IF(INDEX(Invoices!$M$6:$M$305,MATCH(P838,Invoices!$B$6:$B$305,0))="Draft","Draft","Invoiced")))))))</f>
        <v/>
      </c>
      <c r="R838" s="1">
        <f>IF(AND(B838&lt;&gt;"",P838&lt;&gt;"",P838=Invoice!$G$4),B838+MOD(N(F838),1)+ROW()/10000000,"")</f>
        <v/>
      </c>
      <c r="S838">
        <f>IF(R838="","",IF(D838="","Other work",D838)&amp;IF(AND(K838&lt;&gt;"",E838&lt;&gt;""),", "&amp;E838,""))</f>
        <v/>
      </c>
      <c r="T838">
        <f>IF(R838="","",IF(COUNTIFS(R$6:R837,"&gt;0",S$6:S837,S838,N$6:N837,N838)=0,R838,""))</f>
        <v/>
      </c>
      <c r="U838">
        <f>IF(B838="","",IF(J838&lt;&gt;"",0,M838))</f>
        <v/>
      </c>
    </row>
    <row r="839">
      <c r="A839" s="1" t="n"/>
      <c r="B839" s="16" t="n"/>
      <c r="C839" s="17" t="n"/>
      <c r="D839" s="18" t="n"/>
      <c r="E839" s="18" t="n"/>
      <c r="F839" s="19" t="n"/>
      <c r="G839" s="19" t="n"/>
      <c r="H839" s="20" t="n"/>
      <c r="I839" s="21" t="n"/>
      <c r="J839" s="22" t="n"/>
      <c r="K839" s="23" t="n"/>
      <c r="L839" s="18" t="n"/>
      <c r="M839" s="24">
        <f>IF(B839="","",IF(AND(F839&lt;&gt;"",G839&lt;&gt;""),MAX(0,ROUND(MOD(G839-F839,1)*24-N(H839)/60,2)),N(I839)))</f>
        <v/>
      </c>
      <c r="N839" s="14">
        <f>IF(B839="","",IF(K839&lt;&gt;"",K839,IF(N(IFERROR(INDEX(Projects!$D$6:$D$65,MATCH(D839,Projects!$B$6:$B$65,0)),""))&gt;0,IFERROR(INDEX(Projects!$D$6:$D$65,MATCH(D839,Projects!$B$6:$B$65,0)),""),IFERROR(INDEX(Clients!$G$6:$G$45,MATCH(C839,Clients!$B$6:$B$45,0)),0))))</f>
        <v/>
      </c>
      <c r="O839" s="14">
        <f>IF(B839="","",IF(J839&lt;&gt;"",0,ROUND(M839*N839,2)))</f>
        <v/>
      </c>
      <c r="P839" s="15">
        <f>IF(OR(B839="",J839&lt;&gt;""),"",IF(L839&lt;&gt;"",L839,IF(COUNTIFS(Invoices!$C$6:$C$305,C839,Invoices!$E$6:$E$305,"&lt;="&amp;B839,Invoices!$F$6:$F$305,"&gt;="&amp;B839)=1,INDEX(Invoices!$B$6:$B$305,SUMIFS(Invoices!$O$6:$O$305,Invoices!$C$6:$C$305,C839,Invoices!$E$6:$E$305,"&lt;="&amp;B839,Invoices!$F$6:$F$305,"&gt;="&amp;B839)),IF(COUNTIFS(Invoices!$C$6:$C$305,C839,Invoices!$E$6:$E$305,"&lt;="&amp;B839,Invoices!$F$6:$F$305,"&gt;="&amp;B839)&gt;1,"Two invoices",""))))</f>
        <v/>
      </c>
      <c r="Q839" s="15">
        <f>IF(B839="","",IF(J839&lt;&gt;"","Not billable",IF(P839="","To invoice",IF(P839="Two invoices","Check dates",IF(ISNA(MATCH(P839,Invoices!$B$6:$B$305,0)),"Check number",IF(INDEX(Invoices!$M$6:$M$305,MATCH(P839,Invoices!$B$6:$B$305,0))="Paid","Paid",IF(INDEX(Invoices!$M$6:$M$305,MATCH(P839,Invoices!$B$6:$B$305,0))="Draft","Draft","Invoiced")))))))</f>
        <v/>
      </c>
      <c r="R839" s="1">
        <f>IF(AND(B839&lt;&gt;"",P839&lt;&gt;"",P839=Invoice!$G$4),B839+MOD(N(F839),1)+ROW()/10000000,"")</f>
        <v/>
      </c>
      <c r="S839">
        <f>IF(R839="","",IF(D839="","Other work",D839)&amp;IF(AND(K839&lt;&gt;"",E839&lt;&gt;""),", "&amp;E839,""))</f>
        <v/>
      </c>
      <c r="T839">
        <f>IF(R839="","",IF(COUNTIFS(R$6:R838,"&gt;0",S$6:S838,S839,N$6:N838,N839)=0,R839,""))</f>
        <v/>
      </c>
      <c r="U839">
        <f>IF(B839="","",IF(J839&lt;&gt;"",0,M839))</f>
        <v/>
      </c>
    </row>
    <row r="840">
      <c r="A840" s="1" t="n"/>
      <c r="B840" s="16" t="n"/>
      <c r="C840" s="17" t="n"/>
      <c r="D840" s="18" t="n"/>
      <c r="E840" s="18" t="n"/>
      <c r="F840" s="19" t="n"/>
      <c r="G840" s="19" t="n"/>
      <c r="H840" s="20" t="n"/>
      <c r="I840" s="21" t="n"/>
      <c r="J840" s="22" t="n"/>
      <c r="K840" s="23" t="n"/>
      <c r="L840" s="18" t="n"/>
      <c r="M840" s="24">
        <f>IF(B840="","",IF(AND(F840&lt;&gt;"",G840&lt;&gt;""),MAX(0,ROUND(MOD(G840-F840,1)*24-N(H840)/60,2)),N(I840)))</f>
        <v/>
      </c>
      <c r="N840" s="14">
        <f>IF(B840="","",IF(K840&lt;&gt;"",K840,IF(N(IFERROR(INDEX(Projects!$D$6:$D$65,MATCH(D840,Projects!$B$6:$B$65,0)),""))&gt;0,IFERROR(INDEX(Projects!$D$6:$D$65,MATCH(D840,Projects!$B$6:$B$65,0)),""),IFERROR(INDEX(Clients!$G$6:$G$45,MATCH(C840,Clients!$B$6:$B$45,0)),0))))</f>
        <v/>
      </c>
      <c r="O840" s="14">
        <f>IF(B840="","",IF(J840&lt;&gt;"",0,ROUND(M840*N840,2)))</f>
        <v/>
      </c>
      <c r="P840" s="15">
        <f>IF(OR(B840="",J840&lt;&gt;""),"",IF(L840&lt;&gt;"",L840,IF(COUNTIFS(Invoices!$C$6:$C$305,C840,Invoices!$E$6:$E$305,"&lt;="&amp;B840,Invoices!$F$6:$F$305,"&gt;="&amp;B840)=1,INDEX(Invoices!$B$6:$B$305,SUMIFS(Invoices!$O$6:$O$305,Invoices!$C$6:$C$305,C840,Invoices!$E$6:$E$305,"&lt;="&amp;B840,Invoices!$F$6:$F$305,"&gt;="&amp;B840)),IF(COUNTIFS(Invoices!$C$6:$C$305,C840,Invoices!$E$6:$E$305,"&lt;="&amp;B840,Invoices!$F$6:$F$305,"&gt;="&amp;B840)&gt;1,"Two invoices",""))))</f>
        <v/>
      </c>
      <c r="Q840" s="15">
        <f>IF(B840="","",IF(J840&lt;&gt;"","Not billable",IF(P840="","To invoice",IF(P840="Two invoices","Check dates",IF(ISNA(MATCH(P840,Invoices!$B$6:$B$305,0)),"Check number",IF(INDEX(Invoices!$M$6:$M$305,MATCH(P840,Invoices!$B$6:$B$305,0))="Paid","Paid",IF(INDEX(Invoices!$M$6:$M$305,MATCH(P840,Invoices!$B$6:$B$305,0))="Draft","Draft","Invoiced")))))))</f>
        <v/>
      </c>
      <c r="R840" s="1">
        <f>IF(AND(B840&lt;&gt;"",P840&lt;&gt;"",P840=Invoice!$G$4),B840+MOD(N(F840),1)+ROW()/10000000,"")</f>
        <v/>
      </c>
      <c r="S840">
        <f>IF(R840="","",IF(D840="","Other work",D840)&amp;IF(AND(K840&lt;&gt;"",E840&lt;&gt;""),", "&amp;E840,""))</f>
        <v/>
      </c>
      <c r="T840">
        <f>IF(R840="","",IF(COUNTIFS(R$6:R839,"&gt;0",S$6:S839,S840,N$6:N839,N840)=0,R840,""))</f>
        <v/>
      </c>
      <c r="U840">
        <f>IF(B840="","",IF(J840&lt;&gt;"",0,M840))</f>
        <v/>
      </c>
    </row>
    <row r="841">
      <c r="A841" s="1" t="n"/>
      <c r="B841" s="16" t="n"/>
      <c r="C841" s="17" t="n"/>
      <c r="D841" s="18" t="n"/>
      <c r="E841" s="18" t="n"/>
      <c r="F841" s="19" t="n"/>
      <c r="G841" s="19" t="n"/>
      <c r="H841" s="20" t="n"/>
      <c r="I841" s="21" t="n"/>
      <c r="J841" s="22" t="n"/>
      <c r="K841" s="23" t="n"/>
      <c r="L841" s="18" t="n"/>
      <c r="M841" s="24">
        <f>IF(B841="","",IF(AND(F841&lt;&gt;"",G841&lt;&gt;""),MAX(0,ROUND(MOD(G841-F841,1)*24-N(H841)/60,2)),N(I841)))</f>
        <v/>
      </c>
      <c r="N841" s="14">
        <f>IF(B841="","",IF(K841&lt;&gt;"",K841,IF(N(IFERROR(INDEX(Projects!$D$6:$D$65,MATCH(D841,Projects!$B$6:$B$65,0)),""))&gt;0,IFERROR(INDEX(Projects!$D$6:$D$65,MATCH(D841,Projects!$B$6:$B$65,0)),""),IFERROR(INDEX(Clients!$G$6:$G$45,MATCH(C841,Clients!$B$6:$B$45,0)),0))))</f>
        <v/>
      </c>
      <c r="O841" s="14">
        <f>IF(B841="","",IF(J841&lt;&gt;"",0,ROUND(M841*N841,2)))</f>
        <v/>
      </c>
      <c r="P841" s="15">
        <f>IF(OR(B841="",J841&lt;&gt;""),"",IF(L841&lt;&gt;"",L841,IF(COUNTIFS(Invoices!$C$6:$C$305,C841,Invoices!$E$6:$E$305,"&lt;="&amp;B841,Invoices!$F$6:$F$305,"&gt;="&amp;B841)=1,INDEX(Invoices!$B$6:$B$305,SUMIFS(Invoices!$O$6:$O$305,Invoices!$C$6:$C$305,C841,Invoices!$E$6:$E$305,"&lt;="&amp;B841,Invoices!$F$6:$F$305,"&gt;="&amp;B841)),IF(COUNTIFS(Invoices!$C$6:$C$305,C841,Invoices!$E$6:$E$305,"&lt;="&amp;B841,Invoices!$F$6:$F$305,"&gt;="&amp;B841)&gt;1,"Two invoices",""))))</f>
        <v/>
      </c>
      <c r="Q841" s="15">
        <f>IF(B841="","",IF(J841&lt;&gt;"","Not billable",IF(P841="","To invoice",IF(P841="Two invoices","Check dates",IF(ISNA(MATCH(P841,Invoices!$B$6:$B$305,0)),"Check number",IF(INDEX(Invoices!$M$6:$M$305,MATCH(P841,Invoices!$B$6:$B$305,0))="Paid","Paid",IF(INDEX(Invoices!$M$6:$M$305,MATCH(P841,Invoices!$B$6:$B$305,0))="Draft","Draft","Invoiced")))))))</f>
        <v/>
      </c>
      <c r="R841" s="1">
        <f>IF(AND(B841&lt;&gt;"",P841&lt;&gt;"",P841=Invoice!$G$4),B841+MOD(N(F841),1)+ROW()/10000000,"")</f>
        <v/>
      </c>
      <c r="S841">
        <f>IF(R841="","",IF(D841="","Other work",D841)&amp;IF(AND(K841&lt;&gt;"",E841&lt;&gt;""),", "&amp;E841,""))</f>
        <v/>
      </c>
      <c r="T841">
        <f>IF(R841="","",IF(COUNTIFS(R$6:R840,"&gt;0",S$6:S840,S841,N$6:N840,N841)=0,R841,""))</f>
        <v/>
      </c>
      <c r="U841">
        <f>IF(B841="","",IF(J841&lt;&gt;"",0,M841))</f>
        <v/>
      </c>
    </row>
    <row r="842">
      <c r="A842" s="1" t="n"/>
      <c r="B842" s="16" t="n"/>
      <c r="C842" s="17" t="n"/>
      <c r="D842" s="18" t="n"/>
      <c r="E842" s="18" t="n"/>
      <c r="F842" s="19" t="n"/>
      <c r="G842" s="19" t="n"/>
      <c r="H842" s="20" t="n"/>
      <c r="I842" s="21" t="n"/>
      <c r="J842" s="22" t="n"/>
      <c r="K842" s="23" t="n"/>
      <c r="L842" s="18" t="n"/>
      <c r="M842" s="24">
        <f>IF(B842="","",IF(AND(F842&lt;&gt;"",G842&lt;&gt;""),MAX(0,ROUND(MOD(G842-F842,1)*24-N(H842)/60,2)),N(I842)))</f>
        <v/>
      </c>
      <c r="N842" s="14">
        <f>IF(B842="","",IF(K842&lt;&gt;"",K842,IF(N(IFERROR(INDEX(Projects!$D$6:$D$65,MATCH(D842,Projects!$B$6:$B$65,0)),""))&gt;0,IFERROR(INDEX(Projects!$D$6:$D$65,MATCH(D842,Projects!$B$6:$B$65,0)),""),IFERROR(INDEX(Clients!$G$6:$G$45,MATCH(C842,Clients!$B$6:$B$45,0)),0))))</f>
        <v/>
      </c>
      <c r="O842" s="14">
        <f>IF(B842="","",IF(J842&lt;&gt;"",0,ROUND(M842*N842,2)))</f>
        <v/>
      </c>
      <c r="P842" s="15">
        <f>IF(OR(B842="",J842&lt;&gt;""),"",IF(L842&lt;&gt;"",L842,IF(COUNTIFS(Invoices!$C$6:$C$305,C842,Invoices!$E$6:$E$305,"&lt;="&amp;B842,Invoices!$F$6:$F$305,"&gt;="&amp;B842)=1,INDEX(Invoices!$B$6:$B$305,SUMIFS(Invoices!$O$6:$O$305,Invoices!$C$6:$C$305,C842,Invoices!$E$6:$E$305,"&lt;="&amp;B842,Invoices!$F$6:$F$305,"&gt;="&amp;B842)),IF(COUNTIFS(Invoices!$C$6:$C$305,C842,Invoices!$E$6:$E$305,"&lt;="&amp;B842,Invoices!$F$6:$F$305,"&gt;="&amp;B842)&gt;1,"Two invoices",""))))</f>
        <v/>
      </c>
      <c r="Q842" s="15">
        <f>IF(B842="","",IF(J842&lt;&gt;"","Not billable",IF(P842="","To invoice",IF(P842="Two invoices","Check dates",IF(ISNA(MATCH(P842,Invoices!$B$6:$B$305,0)),"Check number",IF(INDEX(Invoices!$M$6:$M$305,MATCH(P842,Invoices!$B$6:$B$305,0))="Paid","Paid",IF(INDEX(Invoices!$M$6:$M$305,MATCH(P842,Invoices!$B$6:$B$305,0))="Draft","Draft","Invoiced")))))))</f>
        <v/>
      </c>
      <c r="R842" s="1">
        <f>IF(AND(B842&lt;&gt;"",P842&lt;&gt;"",P842=Invoice!$G$4),B842+MOD(N(F842),1)+ROW()/10000000,"")</f>
        <v/>
      </c>
      <c r="S842">
        <f>IF(R842="","",IF(D842="","Other work",D842)&amp;IF(AND(K842&lt;&gt;"",E842&lt;&gt;""),", "&amp;E842,""))</f>
        <v/>
      </c>
      <c r="T842">
        <f>IF(R842="","",IF(COUNTIFS(R$6:R841,"&gt;0",S$6:S841,S842,N$6:N841,N842)=0,R842,""))</f>
        <v/>
      </c>
      <c r="U842">
        <f>IF(B842="","",IF(J842&lt;&gt;"",0,M842))</f>
        <v/>
      </c>
    </row>
    <row r="843">
      <c r="A843" s="1" t="n"/>
      <c r="B843" s="16" t="n"/>
      <c r="C843" s="17" t="n"/>
      <c r="D843" s="18" t="n"/>
      <c r="E843" s="18" t="n"/>
      <c r="F843" s="19" t="n"/>
      <c r="G843" s="19" t="n"/>
      <c r="H843" s="20" t="n"/>
      <c r="I843" s="21" t="n"/>
      <c r="J843" s="22" t="n"/>
      <c r="K843" s="23" t="n"/>
      <c r="L843" s="18" t="n"/>
      <c r="M843" s="24">
        <f>IF(B843="","",IF(AND(F843&lt;&gt;"",G843&lt;&gt;""),MAX(0,ROUND(MOD(G843-F843,1)*24-N(H843)/60,2)),N(I843)))</f>
        <v/>
      </c>
      <c r="N843" s="14">
        <f>IF(B843="","",IF(K843&lt;&gt;"",K843,IF(N(IFERROR(INDEX(Projects!$D$6:$D$65,MATCH(D843,Projects!$B$6:$B$65,0)),""))&gt;0,IFERROR(INDEX(Projects!$D$6:$D$65,MATCH(D843,Projects!$B$6:$B$65,0)),""),IFERROR(INDEX(Clients!$G$6:$G$45,MATCH(C843,Clients!$B$6:$B$45,0)),0))))</f>
        <v/>
      </c>
      <c r="O843" s="14">
        <f>IF(B843="","",IF(J843&lt;&gt;"",0,ROUND(M843*N843,2)))</f>
        <v/>
      </c>
      <c r="P843" s="15">
        <f>IF(OR(B843="",J843&lt;&gt;""),"",IF(L843&lt;&gt;"",L843,IF(COUNTIFS(Invoices!$C$6:$C$305,C843,Invoices!$E$6:$E$305,"&lt;="&amp;B843,Invoices!$F$6:$F$305,"&gt;="&amp;B843)=1,INDEX(Invoices!$B$6:$B$305,SUMIFS(Invoices!$O$6:$O$305,Invoices!$C$6:$C$305,C843,Invoices!$E$6:$E$305,"&lt;="&amp;B843,Invoices!$F$6:$F$305,"&gt;="&amp;B843)),IF(COUNTIFS(Invoices!$C$6:$C$305,C843,Invoices!$E$6:$E$305,"&lt;="&amp;B843,Invoices!$F$6:$F$305,"&gt;="&amp;B843)&gt;1,"Two invoices",""))))</f>
        <v/>
      </c>
      <c r="Q843" s="15">
        <f>IF(B843="","",IF(J843&lt;&gt;"","Not billable",IF(P843="","To invoice",IF(P843="Two invoices","Check dates",IF(ISNA(MATCH(P843,Invoices!$B$6:$B$305,0)),"Check number",IF(INDEX(Invoices!$M$6:$M$305,MATCH(P843,Invoices!$B$6:$B$305,0))="Paid","Paid",IF(INDEX(Invoices!$M$6:$M$305,MATCH(P843,Invoices!$B$6:$B$305,0))="Draft","Draft","Invoiced")))))))</f>
        <v/>
      </c>
      <c r="R843" s="1">
        <f>IF(AND(B843&lt;&gt;"",P843&lt;&gt;"",P843=Invoice!$G$4),B843+MOD(N(F843),1)+ROW()/10000000,"")</f>
        <v/>
      </c>
      <c r="S843">
        <f>IF(R843="","",IF(D843="","Other work",D843)&amp;IF(AND(K843&lt;&gt;"",E843&lt;&gt;""),", "&amp;E843,""))</f>
        <v/>
      </c>
      <c r="T843">
        <f>IF(R843="","",IF(COUNTIFS(R$6:R842,"&gt;0",S$6:S842,S843,N$6:N842,N843)=0,R843,""))</f>
        <v/>
      </c>
      <c r="U843">
        <f>IF(B843="","",IF(J843&lt;&gt;"",0,M843))</f>
        <v/>
      </c>
    </row>
    <row r="844">
      <c r="A844" s="1" t="n"/>
      <c r="B844" s="16" t="n"/>
      <c r="C844" s="17" t="n"/>
      <c r="D844" s="18" t="n"/>
      <c r="E844" s="18" t="n"/>
      <c r="F844" s="19" t="n"/>
      <c r="G844" s="19" t="n"/>
      <c r="H844" s="20" t="n"/>
      <c r="I844" s="21" t="n"/>
      <c r="J844" s="22" t="n"/>
      <c r="K844" s="23" t="n"/>
      <c r="L844" s="18" t="n"/>
      <c r="M844" s="24">
        <f>IF(B844="","",IF(AND(F844&lt;&gt;"",G844&lt;&gt;""),MAX(0,ROUND(MOD(G844-F844,1)*24-N(H844)/60,2)),N(I844)))</f>
        <v/>
      </c>
      <c r="N844" s="14">
        <f>IF(B844="","",IF(K844&lt;&gt;"",K844,IF(N(IFERROR(INDEX(Projects!$D$6:$D$65,MATCH(D844,Projects!$B$6:$B$65,0)),""))&gt;0,IFERROR(INDEX(Projects!$D$6:$D$65,MATCH(D844,Projects!$B$6:$B$65,0)),""),IFERROR(INDEX(Clients!$G$6:$G$45,MATCH(C844,Clients!$B$6:$B$45,0)),0))))</f>
        <v/>
      </c>
      <c r="O844" s="14">
        <f>IF(B844="","",IF(J844&lt;&gt;"",0,ROUND(M844*N844,2)))</f>
        <v/>
      </c>
      <c r="P844" s="15">
        <f>IF(OR(B844="",J844&lt;&gt;""),"",IF(L844&lt;&gt;"",L844,IF(COUNTIFS(Invoices!$C$6:$C$305,C844,Invoices!$E$6:$E$305,"&lt;="&amp;B844,Invoices!$F$6:$F$305,"&gt;="&amp;B844)=1,INDEX(Invoices!$B$6:$B$305,SUMIFS(Invoices!$O$6:$O$305,Invoices!$C$6:$C$305,C844,Invoices!$E$6:$E$305,"&lt;="&amp;B844,Invoices!$F$6:$F$305,"&gt;="&amp;B844)),IF(COUNTIFS(Invoices!$C$6:$C$305,C844,Invoices!$E$6:$E$305,"&lt;="&amp;B844,Invoices!$F$6:$F$305,"&gt;="&amp;B844)&gt;1,"Two invoices",""))))</f>
        <v/>
      </c>
      <c r="Q844" s="15">
        <f>IF(B844="","",IF(J844&lt;&gt;"","Not billable",IF(P844="","To invoice",IF(P844="Two invoices","Check dates",IF(ISNA(MATCH(P844,Invoices!$B$6:$B$305,0)),"Check number",IF(INDEX(Invoices!$M$6:$M$305,MATCH(P844,Invoices!$B$6:$B$305,0))="Paid","Paid",IF(INDEX(Invoices!$M$6:$M$305,MATCH(P844,Invoices!$B$6:$B$305,0))="Draft","Draft","Invoiced")))))))</f>
        <v/>
      </c>
      <c r="R844" s="1">
        <f>IF(AND(B844&lt;&gt;"",P844&lt;&gt;"",P844=Invoice!$G$4),B844+MOD(N(F844),1)+ROW()/10000000,"")</f>
        <v/>
      </c>
      <c r="S844">
        <f>IF(R844="","",IF(D844="","Other work",D844)&amp;IF(AND(K844&lt;&gt;"",E844&lt;&gt;""),", "&amp;E844,""))</f>
        <v/>
      </c>
      <c r="T844">
        <f>IF(R844="","",IF(COUNTIFS(R$6:R843,"&gt;0",S$6:S843,S844,N$6:N843,N844)=0,R844,""))</f>
        <v/>
      </c>
      <c r="U844">
        <f>IF(B844="","",IF(J844&lt;&gt;"",0,M844))</f>
        <v/>
      </c>
    </row>
    <row r="845">
      <c r="A845" s="1" t="n"/>
      <c r="B845" s="16" t="n"/>
      <c r="C845" s="17" t="n"/>
      <c r="D845" s="18" t="n"/>
      <c r="E845" s="18" t="n"/>
      <c r="F845" s="19" t="n"/>
      <c r="G845" s="19" t="n"/>
      <c r="H845" s="20" t="n"/>
      <c r="I845" s="21" t="n"/>
      <c r="J845" s="22" t="n"/>
      <c r="K845" s="23" t="n"/>
      <c r="L845" s="18" t="n"/>
      <c r="M845" s="24">
        <f>IF(B845="","",IF(AND(F845&lt;&gt;"",G845&lt;&gt;""),MAX(0,ROUND(MOD(G845-F845,1)*24-N(H845)/60,2)),N(I845)))</f>
        <v/>
      </c>
      <c r="N845" s="14">
        <f>IF(B845="","",IF(K845&lt;&gt;"",K845,IF(N(IFERROR(INDEX(Projects!$D$6:$D$65,MATCH(D845,Projects!$B$6:$B$65,0)),""))&gt;0,IFERROR(INDEX(Projects!$D$6:$D$65,MATCH(D845,Projects!$B$6:$B$65,0)),""),IFERROR(INDEX(Clients!$G$6:$G$45,MATCH(C845,Clients!$B$6:$B$45,0)),0))))</f>
        <v/>
      </c>
      <c r="O845" s="14">
        <f>IF(B845="","",IF(J845&lt;&gt;"",0,ROUND(M845*N845,2)))</f>
        <v/>
      </c>
      <c r="P845" s="15">
        <f>IF(OR(B845="",J845&lt;&gt;""),"",IF(L845&lt;&gt;"",L845,IF(COUNTIFS(Invoices!$C$6:$C$305,C845,Invoices!$E$6:$E$305,"&lt;="&amp;B845,Invoices!$F$6:$F$305,"&gt;="&amp;B845)=1,INDEX(Invoices!$B$6:$B$305,SUMIFS(Invoices!$O$6:$O$305,Invoices!$C$6:$C$305,C845,Invoices!$E$6:$E$305,"&lt;="&amp;B845,Invoices!$F$6:$F$305,"&gt;="&amp;B845)),IF(COUNTIFS(Invoices!$C$6:$C$305,C845,Invoices!$E$6:$E$305,"&lt;="&amp;B845,Invoices!$F$6:$F$305,"&gt;="&amp;B845)&gt;1,"Two invoices",""))))</f>
        <v/>
      </c>
      <c r="Q845" s="15">
        <f>IF(B845="","",IF(J845&lt;&gt;"","Not billable",IF(P845="","To invoice",IF(P845="Two invoices","Check dates",IF(ISNA(MATCH(P845,Invoices!$B$6:$B$305,0)),"Check number",IF(INDEX(Invoices!$M$6:$M$305,MATCH(P845,Invoices!$B$6:$B$305,0))="Paid","Paid",IF(INDEX(Invoices!$M$6:$M$305,MATCH(P845,Invoices!$B$6:$B$305,0))="Draft","Draft","Invoiced")))))))</f>
        <v/>
      </c>
      <c r="R845" s="1">
        <f>IF(AND(B845&lt;&gt;"",P845&lt;&gt;"",P845=Invoice!$G$4),B845+MOD(N(F845),1)+ROW()/10000000,"")</f>
        <v/>
      </c>
      <c r="S845">
        <f>IF(R845="","",IF(D845="","Other work",D845)&amp;IF(AND(K845&lt;&gt;"",E845&lt;&gt;""),", "&amp;E845,""))</f>
        <v/>
      </c>
      <c r="T845">
        <f>IF(R845="","",IF(COUNTIFS(R$6:R844,"&gt;0",S$6:S844,S845,N$6:N844,N845)=0,R845,""))</f>
        <v/>
      </c>
      <c r="U845">
        <f>IF(B845="","",IF(J845&lt;&gt;"",0,M845))</f>
        <v/>
      </c>
    </row>
    <row r="846">
      <c r="A846" s="1" t="n"/>
      <c r="B846" s="16" t="n"/>
      <c r="C846" s="17" t="n"/>
      <c r="D846" s="18" t="n"/>
      <c r="E846" s="18" t="n"/>
      <c r="F846" s="19" t="n"/>
      <c r="G846" s="19" t="n"/>
      <c r="H846" s="20" t="n"/>
      <c r="I846" s="21" t="n"/>
      <c r="J846" s="22" t="n"/>
      <c r="K846" s="23" t="n"/>
      <c r="L846" s="18" t="n"/>
      <c r="M846" s="24">
        <f>IF(B846="","",IF(AND(F846&lt;&gt;"",G846&lt;&gt;""),MAX(0,ROUND(MOD(G846-F846,1)*24-N(H846)/60,2)),N(I846)))</f>
        <v/>
      </c>
      <c r="N846" s="14">
        <f>IF(B846="","",IF(K846&lt;&gt;"",K846,IF(N(IFERROR(INDEX(Projects!$D$6:$D$65,MATCH(D846,Projects!$B$6:$B$65,0)),""))&gt;0,IFERROR(INDEX(Projects!$D$6:$D$65,MATCH(D846,Projects!$B$6:$B$65,0)),""),IFERROR(INDEX(Clients!$G$6:$G$45,MATCH(C846,Clients!$B$6:$B$45,0)),0))))</f>
        <v/>
      </c>
      <c r="O846" s="14">
        <f>IF(B846="","",IF(J846&lt;&gt;"",0,ROUND(M846*N846,2)))</f>
        <v/>
      </c>
      <c r="P846" s="15">
        <f>IF(OR(B846="",J846&lt;&gt;""),"",IF(L846&lt;&gt;"",L846,IF(COUNTIFS(Invoices!$C$6:$C$305,C846,Invoices!$E$6:$E$305,"&lt;="&amp;B846,Invoices!$F$6:$F$305,"&gt;="&amp;B846)=1,INDEX(Invoices!$B$6:$B$305,SUMIFS(Invoices!$O$6:$O$305,Invoices!$C$6:$C$305,C846,Invoices!$E$6:$E$305,"&lt;="&amp;B846,Invoices!$F$6:$F$305,"&gt;="&amp;B846)),IF(COUNTIFS(Invoices!$C$6:$C$305,C846,Invoices!$E$6:$E$305,"&lt;="&amp;B846,Invoices!$F$6:$F$305,"&gt;="&amp;B846)&gt;1,"Two invoices",""))))</f>
        <v/>
      </c>
      <c r="Q846" s="15">
        <f>IF(B846="","",IF(J846&lt;&gt;"","Not billable",IF(P846="","To invoice",IF(P846="Two invoices","Check dates",IF(ISNA(MATCH(P846,Invoices!$B$6:$B$305,0)),"Check number",IF(INDEX(Invoices!$M$6:$M$305,MATCH(P846,Invoices!$B$6:$B$305,0))="Paid","Paid",IF(INDEX(Invoices!$M$6:$M$305,MATCH(P846,Invoices!$B$6:$B$305,0))="Draft","Draft","Invoiced")))))))</f>
        <v/>
      </c>
      <c r="R846" s="1">
        <f>IF(AND(B846&lt;&gt;"",P846&lt;&gt;"",P846=Invoice!$G$4),B846+MOD(N(F846),1)+ROW()/10000000,"")</f>
        <v/>
      </c>
      <c r="S846">
        <f>IF(R846="","",IF(D846="","Other work",D846)&amp;IF(AND(K846&lt;&gt;"",E846&lt;&gt;""),", "&amp;E846,""))</f>
        <v/>
      </c>
      <c r="T846">
        <f>IF(R846="","",IF(COUNTIFS(R$6:R845,"&gt;0",S$6:S845,S846,N$6:N845,N846)=0,R846,""))</f>
        <v/>
      </c>
      <c r="U846">
        <f>IF(B846="","",IF(J846&lt;&gt;"",0,M846))</f>
        <v/>
      </c>
    </row>
    <row r="847">
      <c r="A847" s="1" t="n"/>
      <c r="B847" s="16" t="n"/>
      <c r="C847" s="17" t="n"/>
      <c r="D847" s="18" t="n"/>
      <c r="E847" s="18" t="n"/>
      <c r="F847" s="19" t="n"/>
      <c r="G847" s="19" t="n"/>
      <c r="H847" s="20" t="n"/>
      <c r="I847" s="21" t="n"/>
      <c r="J847" s="22" t="n"/>
      <c r="K847" s="23" t="n"/>
      <c r="L847" s="18" t="n"/>
      <c r="M847" s="24">
        <f>IF(B847="","",IF(AND(F847&lt;&gt;"",G847&lt;&gt;""),MAX(0,ROUND(MOD(G847-F847,1)*24-N(H847)/60,2)),N(I847)))</f>
        <v/>
      </c>
      <c r="N847" s="14">
        <f>IF(B847="","",IF(K847&lt;&gt;"",K847,IF(N(IFERROR(INDEX(Projects!$D$6:$D$65,MATCH(D847,Projects!$B$6:$B$65,0)),""))&gt;0,IFERROR(INDEX(Projects!$D$6:$D$65,MATCH(D847,Projects!$B$6:$B$65,0)),""),IFERROR(INDEX(Clients!$G$6:$G$45,MATCH(C847,Clients!$B$6:$B$45,0)),0))))</f>
        <v/>
      </c>
      <c r="O847" s="14">
        <f>IF(B847="","",IF(J847&lt;&gt;"",0,ROUND(M847*N847,2)))</f>
        <v/>
      </c>
      <c r="P847" s="15">
        <f>IF(OR(B847="",J847&lt;&gt;""),"",IF(L847&lt;&gt;"",L847,IF(COUNTIFS(Invoices!$C$6:$C$305,C847,Invoices!$E$6:$E$305,"&lt;="&amp;B847,Invoices!$F$6:$F$305,"&gt;="&amp;B847)=1,INDEX(Invoices!$B$6:$B$305,SUMIFS(Invoices!$O$6:$O$305,Invoices!$C$6:$C$305,C847,Invoices!$E$6:$E$305,"&lt;="&amp;B847,Invoices!$F$6:$F$305,"&gt;="&amp;B847)),IF(COUNTIFS(Invoices!$C$6:$C$305,C847,Invoices!$E$6:$E$305,"&lt;="&amp;B847,Invoices!$F$6:$F$305,"&gt;="&amp;B847)&gt;1,"Two invoices",""))))</f>
        <v/>
      </c>
      <c r="Q847" s="15">
        <f>IF(B847="","",IF(J847&lt;&gt;"","Not billable",IF(P847="","To invoice",IF(P847="Two invoices","Check dates",IF(ISNA(MATCH(P847,Invoices!$B$6:$B$305,0)),"Check number",IF(INDEX(Invoices!$M$6:$M$305,MATCH(P847,Invoices!$B$6:$B$305,0))="Paid","Paid",IF(INDEX(Invoices!$M$6:$M$305,MATCH(P847,Invoices!$B$6:$B$305,0))="Draft","Draft","Invoiced")))))))</f>
        <v/>
      </c>
      <c r="R847" s="1">
        <f>IF(AND(B847&lt;&gt;"",P847&lt;&gt;"",P847=Invoice!$G$4),B847+MOD(N(F847),1)+ROW()/10000000,"")</f>
        <v/>
      </c>
      <c r="S847">
        <f>IF(R847="","",IF(D847="","Other work",D847)&amp;IF(AND(K847&lt;&gt;"",E847&lt;&gt;""),", "&amp;E847,""))</f>
        <v/>
      </c>
      <c r="T847">
        <f>IF(R847="","",IF(COUNTIFS(R$6:R846,"&gt;0",S$6:S846,S847,N$6:N846,N847)=0,R847,""))</f>
        <v/>
      </c>
      <c r="U847">
        <f>IF(B847="","",IF(J847&lt;&gt;"",0,M847))</f>
        <v/>
      </c>
    </row>
    <row r="848">
      <c r="A848" s="1" t="n"/>
      <c r="B848" s="16" t="n"/>
      <c r="C848" s="17" t="n"/>
      <c r="D848" s="18" t="n"/>
      <c r="E848" s="18" t="n"/>
      <c r="F848" s="19" t="n"/>
      <c r="G848" s="19" t="n"/>
      <c r="H848" s="20" t="n"/>
      <c r="I848" s="21" t="n"/>
      <c r="J848" s="22" t="n"/>
      <c r="K848" s="23" t="n"/>
      <c r="L848" s="18" t="n"/>
      <c r="M848" s="24">
        <f>IF(B848="","",IF(AND(F848&lt;&gt;"",G848&lt;&gt;""),MAX(0,ROUND(MOD(G848-F848,1)*24-N(H848)/60,2)),N(I848)))</f>
        <v/>
      </c>
      <c r="N848" s="14">
        <f>IF(B848="","",IF(K848&lt;&gt;"",K848,IF(N(IFERROR(INDEX(Projects!$D$6:$D$65,MATCH(D848,Projects!$B$6:$B$65,0)),""))&gt;0,IFERROR(INDEX(Projects!$D$6:$D$65,MATCH(D848,Projects!$B$6:$B$65,0)),""),IFERROR(INDEX(Clients!$G$6:$G$45,MATCH(C848,Clients!$B$6:$B$45,0)),0))))</f>
        <v/>
      </c>
      <c r="O848" s="14">
        <f>IF(B848="","",IF(J848&lt;&gt;"",0,ROUND(M848*N848,2)))</f>
        <v/>
      </c>
      <c r="P848" s="15">
        <f>IF(OR(B848="",J848&lt;&gt;""),"",IF(L848&lt;&gt;"",L848,IF(COUNTIFS(Invoices!$C$6:$C$305,C848,Invoices!$E$6:$E$305,"&lt;="&amp;B848,Invoices!$F$6:$F$305,"&gt;="&amp;B848)=1,INDEX(Invoices!$B$6:$B$305,SUMIFS(Invoices!$O$6:$O$305,Invoices!$C$6:$C$305,C848,Invoices!$E$6:$E$305,"&lt;="&amp;B848,Invoices!$F$6:$F$305,"&gt;="&amp;B848)),IF(COUNTIFS(Invoices!$C$6:$C$305,C848,Invoices!$E$6:$E$305,"&lt;="&amp;B848,Invoices!$F$6:$F$305,"&gt;="&amp;B848)&gt;1,"Two invoices",""))))</f>
        <v/>
      </c>
      <c r="Q848" s="15">
        <f>IF(B848="","",IF(J848&lt;&gt;"","Not billable",IF(P848="","To invoice",IF(P848="Two invoices","Check dates",IF(ISNA(MATCH(P848,Invoices!$B$6:$B$305,0)),"Check number",IF(INDEX(Invoices!$M$6:$M$305,MATCH(P848,Invoices!$B$6:$B$305,0))="Paid","Paid",IF(INDEX(Invoices!$M$6:$M$305,MATCH(P848,Invoices!$B$6:$B$305,0))="Draft","Draft","Invoiced")))))))</f>
        <v/>
      </c>
      <c r="R848" s="1">
        <f>IF(AND(B848&lt;&gt;"",P848&lt;&gt;"",P848=Invoice!$G$4),B848+MOD(N(F848),1)+ROW()/10000000,"")</f>
        <v/>
      </c>
      <c r="S848">
        <f>IF(R848="","",IF(D848="","Other work",D848)&amp;IF(AND(K848&lt;&gt;"",E848&lt;&gt;""),", "&amp;E848,""))</f>
        <v/>
      </c>
      <c r="T848">
        <f>IF(R848="","",IF(COUNTIFS(R$6:R847,"&gt;0",S$6:S847,S848,N$6:N847,N848)=0,R848,""))</f>
        <v/>
      </c>
      <c r="U848">
        <f>IF(B848="","",IF(J848&lt;&gt;"",0,M848))</f>
        <v/>
      </c>
    </row>
    <row r="849">
      <c r="A849" s="1" t="n"/>
      <c r="B849" s="16" t="n"/>
      <c r="C849" s="17" t="n"/>
      <c r="D849" s="18" t="n"/>
      <c r="E849" s="18" t="n"/>
      <c r="F849" s="19" t="n"/>
      <c r="G849" s="19" t="n"/>
      <c r="H849" s="20" t="n"/>
      <c r="I849" s="21" t="n"/>
      <c r="J849" s="22" t="n"/>
      <c r="K849" s="23" t="n"/>
      <c r="L849" s="18" t="n"/>
      <c r="M849" s="24">
        <f>IF(B849="","",IF(AND(F849&lt;&gt;"",G849&lt;&gt;""),MAX(0,ROUND(MOD(G849-F849,1)*24-N(H849)/60,2)),N(I849)))</f>
        <v/>
      </c>
      <c r="N849" s="14">
        <f>IF(B849="","",IF(K849&lt;&gt;"",K849,IF(N(IFERROR(INDEX(Projects!$D$6:$D$65,MATCH(D849,Projects!$B$6:$B$65,0)),""))&gt;0,IFERROR(INDEX(Projects!$D$6:$D$65,MATCH(D849,Projects!$B$6:$B$65,0)),""),IFERROR(INDEX(Clients!$G$6:$G$45,MATCH(C849,Clients!$B$6:$B$45,0)),0))))</f>
        <v/>
      </c>
      <c r="O849" s="14">
        <f>IF(B849="","",IF(J849&lt;&gt;"",0,ROUND(M849*N849,2)))</f>
        <v/>
      </c>
      <c r="P849" s="15">
        <f>IF(OR(B849="",J849&lt;&gt;""),"",IF(L849&lt;&gt;"",L849,IF(COUNTIFS(Invoices!$C$6:$C$305,C849,Invoices!$E$6:$E$305,"&lt;="&amp;B849,Invoices!$F$6:$F$305,"&gt;="&amp;B849)=1,INDEX(Invoices!$B$6:$B$305,SUMIFS(Invoices!$O$6:$O$305,Invoices!$C$6:$C$305,C849,Invoices!$E$6:$E$305,"&lt;="&amp;B849,Invoices!$F$6:$F$305,"&gt;="&amp;B849)),IF(COUNTIFS(Invoices!$C$6:$C$305,C849,Invoices!$E$6:$E$305,"&lt;="&amp;B849,Invoices!$F$6:$F$305,"&gt;="&amp;B849)&gt;1,"Two invoices",""))))</f>
        <v/>
      </c>
      <c r="Q849" s="15">
        <f>IF(B849="","",IF(J849&lt;&gt;"","Not billable",IF(P849="","To invoice",IF(P849="Two invoices","Check dates",IF(ISNA(MATCH(P849,Invoices!$B$6:$B$305,0)),"Check number",IF(INDEX(Invoices!$M$6:$M$305,MATCH(P849,Invoices!$B$6:$B$305,0))="Paid","Paid",IF(INDEX(Invoices!$M$6:$M$305,MATCH(P849,Invoices!$B$6:$B$305,0))="Draft","Draft","Invoiced")))))))</f>
        <v/>
      </c>
      <c r="R849" s="1">
        <f>IF(AND(B849&lt;&gt;"",P849&lt;&gt;"",P849=Invoice!$G$4),B849+MOD(N(F849),1)+ROW()/10000000,"")</f>
        <v/>
      </c>
      <c r="S849">
        <f>IF(R849="","",IF(D849="","Other work",D849)&amp;IF(AND(K849&lt;&gt;"",E849&lt;&gt;""),", "&amp;E849,""))</f>
        <v/>
      </c>
      <c r="T849">
        <f>IF(R849="","",IF(COUNTIFS(R$6:R848,"&gt;0",S$6:S848,S849,N$6:N848,N849)=0,R849,""))</f>
        <v/>
      </c>
      <c r="U849">
        <f>IF(B849="","",IF(J849&lt;&gt;"",0,M849))</f>
        <v/>
      </c>
    </row>
    <row r="850">
      <c r="A850" s="1" t="n"/>
      <c r="B850" s="16" t="n"/>
      <c r="C850" s="17" t="n"/>
      <c r="D850" s="18" t="n"/>
      <c r="E850" s="18" t="n"/>
      <c r="F850" s="19" t="n"/>
      <c r="G850" s="19" t="n"/>
      <c r="H850" s="20" t="n"/>
      <c r="I850" s="21" t="n"/>
      <c r="J850" s="22" t="n"/>
      <c r="K850" s="23" t="n"/>
      <c r="L850" s="18" t="n"/>
      <c r="M850" s="24">
        <f>IF(B850="","",IF(AND(F850&lt;&gt;"",G850&lt;&gt;""),MAX(0,ROUND(MOD(G850-F850,1)*24-N(H850)/60,2)),N(I850)))</f>
        <v/>
      </c>
      <c r="N850" s="14">
        <f>IF(B850="","",IF(K850&lt;&gt;"",K850,IF(N(IFERROR(INDEX(Projects!$D$6:$D$65,MATCH(D850,Projects!$B$6:$B$65,0)),""))&gt;0,IFERROR(INDEX(Projects!$D$6:$D$65,MATCH(D850,Projects!$B$6:$B$65,0)),""),IFERROR(INDEX(Clients!$G$6:$G$45,MATCH(C850,Clients!$B$6:$B$45,0)),0))))</f>
        <v/>
      </c>
      <c r="O850" s="14">
        <f>IF(B850="","",IF(J850&lt;&gt;"",0,ROUND(M850*N850,2)))</f>
        <v/>
      </c>
      <c r="P850" s="15">
        <f>IF(OR(B850="",J850&lt;&gt;""),"",IF(L850&lt;&gt;"",L850,IF(COUNTIFS(Invoices!$C$6:$C$305,C850,Invoices!$E$6:$E$305,"&lt;="&amp;B850,Invoices!$F$6:$F$305,"&gt;="&amp;B850)=1,INDEX(Invoices!$B$6:$B$305,SUMIFS(Invoices!$O$6:$O$305,Invoices!$C$6:$C$305,C850,Invoices!$E$6:$E$305,"&lt;="&amp;B850,Invoices!$F$6:$F$305,"&gt;="&amp;B850)),IF(COUNTIFS(Invoices!$C$6:$C$305,C850,Invoices!$E$6:$E$305,"&lt;="&amp;B850,Invoices!$F$6:$F$305,"&gt;="&amp;B850)&gt;1,"Two invoices",""))))</f>
        <v/>
      </c>
      <c r="Q850" s="15">
        <f>IF(B850="","",IF(J850&lt;&gt;"","Not billable",IF(P850="","To invoice",IF(P850="Two invoices","Check dates",IF(ISNA(MATCH(P850,Invoices!$B$6:$B$305,0)),"Check number",IF(INDEX(Invoices!$M$6:$M$305,MATCH(P850,Invoices!$B$6:$B$305,0))="Paid","Paid",IF(INDEX(Invoices!$M$6:$M$305,MATCH(P850,Invoices!$B$6:$B$305,0))="Draft","Draft","Invoiced")))))))</f>
        <v/>
      </c>
      <c r="R850" s="1">
        <f>IF(AND(B850&lt;&gt;"",P850&lt;&gt;"",P850=Invoice!$G$4),B850+MOD(N(F850),1)+ROW()/10000000,"")</f>
        <v/>
      </c>
      <c r="S850">
        <f>IF(R850="","",IF(D850="","Other work",D850)&amp;IF(AND(K850&lt;&gt;"",E850&lt;&gt;""),", "&amp;E850,""))</f>
        <v/>
      </c>
      <c r="T850">
        <f>IF(R850="","",IF(COUNTIFS(R$6:R849,"&gt;0",S$6:S849,S850,N$6:N849,N850)=0,R850,""))</f>
        <v/>
      </c>
      <c r="U850">
        <f>IF(B850="","",IF(J850&lt;&gt;"",0,M850))</f>
        <v/>
      </c>
    </row>
    <row r="851">
      <c r="A851" s="1" t="n"/>
      <c r="B851" s="16" t="n"/>
      <c r="C851" s="17" t="n"/>
      <c r="D851" s="18" t="n"/>
      <c r="E851" s="18" t="n"/>
      <c r="F851" s="19" t="n"/>
      <c r="G851" s="19" t="n"/>
      <c r="H851" s="20" t="n"/>
      <c r="I851" s="21" t="n"/>
      <c r="J851" s="22" t="n"/>
      <c r="K851" s="23" t="n"/>
      <c r="L851" s="18" t="n"/>
      <c r="M851" s="24">
        <f>IF(B851="","",IF(AND(F851&lt;&gt;"",G851&lt;&gt;""),MAX(0,ROUND(MOD(G851-F851,1)*24-N(H851)/60,2)),N(I851)))</f>
        <v/>
      </c>
      <c r="N851" s="14">
        <f>IF(B851="","",IF(K851&lt;&gt;"",K851,IF(N(IFERROR(INDEX(Projects!$D$6:$D$65,MATCH(D851,Projects!$B$6:$B$65,0)),""))&gt;0,IFERROR(INDEX(Projects!$D$6:$D$65,MATCH(D851,Projects!$B$6:$B$65,0)),""),IFERROR(INDEX(Clients!$G$6:$G$45,MATCH(C851,Clients!$B$6:$B$45,0)),0))))</f>
        <v/>
      </c>
      <c r="O851" s="14">
        <f>IF(B851="","",IF(J851&lt;&gt;"",0,ROUND(M851*N851,2)))</f>
        <v/>
      </c>
      <c r="P851" s="15">
        <f>IF(OR(B851="",J851&lt;&gt;""),"",IF(L851&lt;&gt;"",L851,IF(COUNTIFS(Invoices!$C$6:$C$305,C851,Invoices!$E$6:$E$305,"&lt;="&amp;B851,Invoices!$F$6:$F$305,"&gt;="&amp;B851)=1,INDEX(Invoices!$B$6:$B$305,SUMIFS(Invoices!$O$6:$O$305,Invoices!$C$6:$C$305,C851,Invoices!$E$6:$E$305,"&lt;="&amp;B851,Invoices!$F$6:$F$305,"&gt;="&amp;B851)),IF(COUNTIFS(Invoices!$C$6:$C$305,C851,Invoices!$E$6:$E$305,"&lt;="&amp;B851,Invoices!$F$6:$F$305,"&gt;="&amp;B851)&gt;1,"Two invoices",""))))</f>
        <v/>
      </c>
      <c r="Q851" s="15">
        <f>IF(B851="","",IF(J851&lt;&gt;"","Not billable",IF(P851="","To invoice",IF(P851="Two invoices","Check dates",IF(ISNA(MATCH(P851,Invoices!$B$6:$B$305,0)),"Check number",IF(INDEX(Invoices!$M$6:$M$305,MATCH(P851,Invoices!$B$6:$B$305,0))="Paid","Paid",IF(INDEX(Invoices!$M$6:$M$305,MATCH(P851,Invoices!$B$6:$B$305,0))="Draft","Draft","Invoiced")))))))</f>
        <v/>
      </c>
      <c r="R851" s="1">
        <f>IF(AND(B851&lt;&gt;"",P851&lt;&gt;"",P851=Invoice!$G$4),B851+MOD(N(F851),1)+ROW()/10000000,"")</f>
        <v/>
      </c>
      <c r="S851">
        <f>IF(R851="","",IF(D851="","Other work",D851)&amp;IF(AND(K851&lt;&gt;"",E851&lt;&gt;""),", "&amp;E851,""))</f>
        <v/>
      </c>
      <c r="T851">
        <f>IF(R851="","",IF(COUNTIFS(R$6:R850,"&gt;0",S$6:S850,S851,N$6:N850,N851)=0,R851,""))</f>
        <v/>
      </c>
      <c r="U851">
        <f>IF(B851="","",IF(J851&lt;&gt;"",0,M851))</f>
        <v/>
      </c>
    </row>
    <row r="852">
      <c r="A852" s="1" t="n"/>
      <c r="B852" s="16" t="n"/>
      <c r="C852" s="17" t="n"/>
      <c r="D852" s="18" t="n"/>
      <c r="E852" s="18" t="n"/>
      <c r="F852" s="19" t="n"/>
      <c r="G852" s="19" t="n"/>
      <c r="H852" s="20" t="n"/>
      <c r="I852" s="21" t="n"/>
      <c r="J852" s="22" t="n"/>
      <c r="K852" s="23" t="n"/>
      <c r="L852" s="18" t="n"/>
      <c r="M852" s="24">
        <f>IF(B852="","",IF(AND(F852&lt;&gt;"",G852&lt;&gt;""),MAX(0,ROUND(MOD(G852-F852,1)*24-N(H852)/60,2)),N(I852)))</f>
        <v/>
      </c>
      <c r="N852" s="14">
        <f>IF(B852="","",IF(K852&lt;&gt;"",K852,IF(N(IFERROR(INDEX(Projects!$D$6:$D$65,MATCH(D852,Projects!$B$6:$B$65,0)),""))&gt;0,IFERROR(INDEX(Projects!$D$6:$D$65,MATCH(D852,Projects!$B$6:$B$65,0)),""),IFERROR(INDEX(Clients!$G$6:$G$45,MATCH(C852,Clients!$B$6:$B$45,0)),0))))</f>
        <v/>
      </c>
      <c r="O852" s="14">
        <f>IF(B852="","",IF(J852&lt;&gt;"",0,ROUND(M852*N852,2)))</f>
        <v/>
      </c>
      <c r="P852" s="15">
        <f>IF(OR(B852="",J852&lt;&gt;""),"",IF(L852&lt;&gt;"",L852,IF(COUNTIFS(Invoices!$C$6:$C$305,C852,Invoices!$E$6:$E$305,"&lt;="&amp;B852,Invoices!$F$6:$F$305,"&gt;="&amp;B852)=1,INDEX(Invoices!$B$6:$B$305,SUMIFS(Invoices!$O$6:$O$305,Invoices!$C$6:$C$305,C852,Invoices!$E$6:$E$305,"&lt;="&amp;B852,Invoices!$F$6:$F$305,"&gt;="&amp;B852)),IF(COUNTIFS(Invoices!$C$6:$C$305,C852,Invoices!$E$6:$E$305,"&lt;="&amp;B852,Invoices!$F$6:$F$305,"&gt;="&amp;B852)&gt;1,"Two invoices",""))))</f>
        <v/>
      </c>
      <c r="Q852" s="15">
        <f>IF(B852="","",IF(J852&lt;&gt;"","Not billable",IF(P852="","To invoice",IF(P852="Two invoices","Check dates",IF(ISNA(MATCH(P852,Invoices!$B$6:$B$305,0)),"Check number",IF(INDEX(Invoices!$M$6:$M$305,MATCH(P852,Invoices!$B$6:$B$305,0))="Paid","Paid",IF(INDEX(Invoices!$M$6:$M$305,MATCH(P852,Invoices!$B$6:$B$305,0))="Draft","Draft","Invoiced")))))))</f>
        <v/>
      </c>
      <c r="R852" s="1">
        <f>IF(AND(B852&lt;&gt;"",P852&lt;&gt;"",P852=Invoice!$G$4),B852+MOD(N(F852),1)+ROW()/10000000,"")</f>
        <v/>
      </c>
      <c r="S852">
        <f>IF(R852="","",IF(D852="","Other work",D852)&amp;IF(AND(K852&lt;&gt;"",E852&lt;&gt;""),", "&amp;E852,""))</f>
        <v/>
      </c>
      <c r="T852">
        <f>IF(R852="","",IF(COUNTIFS(R$6:R851,"&gt;0",S$6:S851,S852,N$6:N851,N852)=0,R852,""))</f>
        <v/>
      </c>
      <c r="U852">
        <f>IF(B852="","",IF(J852&lt;&gt;"",0,M852))</f>
        <v/>
      </c>
    </row>
    <row r="853">
      <c r="A853" s="1" t="n"/>
      <c r="B853" s="16" t="n"/>
      <c r="C853" s="17" t="n"/>
      <c r="D853" s="18" t="n"/>
      <c r="E853" s="18" t="n"/>
      <c r="F853" s="19" t="n"/>
      <c r="G853" s="19" t="n"/>
      <c r="H853" s="20" t="n"/>
      <c r="I853" s="21" t="n"/>
      <c r="J853" s="22" t="n"/>
      <c r="K853" s="23" t="n"/>
      <c r="L853" s="18" t="n"/>
      <c r="M853" s="24">
        <f>IF(B853="","",IF(AND(F853&lt;&gt;"",G853&lt;&gt;""),MAX(0,ROUND(MOD(G853-F853,1)*24-N(H853)/60,2)),N(I853)))</f>
        <v/>
      </c>
      <c r="N853" s="14">
        <f>IF(B853="","",IF(K853&lt;&gt;"",K853,IF(N(IFERROR(INDEX(Projects!$D$6:$D$65,MATCH(D853,Projects!$B$6:$B$65,0)),""))&gt;0,IFERROR(INDEX(Projects!$D$6:$D$65,MATCH(D853,Projects!$B$6:$B$65,0)),""),IFERROR(INDEX(Clients!$G$6:$G$45,MATCH(C853,Clients!$B$6:$B$45,0)),0))))</f>
        <v/>
      </c>
      <c r="O853" s="14">
        <f>IF(B853="","",IF(J853&lt;&gt;"",0,ROUND(M853*N853,2)))</f>
        <v/>
      </c>
      <c r="P853" s="15">
        <f>IF(OR(B853="",J853&lt;&gt;""),"",IF(L853&lt;&gt;"",L853,IF(COUNTIFS(Invoices!$C$6:$C$305,C853,Invoices!$E$6:$E$305,"&lt;="&amp;B853,Invoices!$F$6:$F$305,"&gt;="&amp;B853)=1,INDEX(Invoices!$B$6:$B$305,SUMIFS(Invoices!$O$6:$O$305,Invoices!$C$6:$C$305,C853,Invoices!$E$6:$E$305,"&lt;="&amp;B853,Invoices!$F$6:$F$305,"&gt;="&amp;B853)),IF(COUNTIFS(Invoices!$C$6:$C$305,C853,Invoices!$E$6:$E$305,"&lt;="&amp;B853,Invoices!$F$6:$F$305,"&gt;="&amp;B853)&gt;1,"Two invoices",""))))</f>
        <v/>
      </c>
      <c r="Q853" s="15">
        <f>IF(B853="","",IF(J853&lt;&gt;"","Not billable",IF(P853="","To invoice",IF(P853="Two invoices","Check dates",IF(ISNA(MATCH(P853,Invoices!$B$6:$B$305,0)),"Check number",IF(INDEX(Invoices!$M$6:$M$305,MATCH(P853,Invoices!$B$6:$B$305,0))="Paid","Paid",IF(INDEX(Invoices!$M$6:$M$305,MATCH(P853,Invoices!$B$6:$B$305,0))="Draft","Draft","Invoiced")))))))</f>
        <v/>
      </c>
      <c r="R853" s="1">
        <f>IF(AND(B853&lt;&gt;"",P853&lt;&gt;"",P853=Invoice!$G$4),B853+MOD(N(F853),1)+ROW()/10000000,"")</f>
        <v/>
      </c>
      <c r="S853">
        <f>IF(R853="","",IF(D853="","Other work",D853)&amp;IF(AND(K853&lt;&gt;"",E853&lt;&gt;""),", "&amp;E853,""))</f>
        <v/>
      </c>
      <c r="T853">
        <f>IF(R853="","",IF(COUNTIFS(R$6:R852,"&gt;0",S$6:S852,S853,N$6:N852,N853)=0,R853,""))</f>
        <v/>
      </c>
      <c r="U853">
        <f>IF(B853="","",IF(J853&lt;&gt;"",0,M853))</f>
        <v/>
      </c>
    </row>
    <row r="854">
      <c r="A854" s="1" t="n"/>
      <c r="B854" s="16" t="n"/>
      <c r="C854" s="17" t="n"/>
      <c r="D854" s="18" t="n"/>
      <c r="E854" s="18" t="n"/>
      <c r="F854" s="19" t="n"/>
      <c r="G854" s="19" t="n"/>
      <c r="H854" s="20" t="n"/>
      <c r="I854" s="21" t="n"/>
      <c r="J854" s="22" t="n"/>
      <c r="K854" s="23" t="n"/>
      <c r="L854" s="18" t="n"/>
      <c r="M854" s="24">
        <f>IF(B854="","",IF(AND(F854&lt;&gt;"",G854&lt;&gt;""),MAX(0,ROUND(MOD(G854-F854,1)*24-N(H854)/60,2)),N(I854)))</f>
        <v/>
      </c>
      <c r="N854" s="14">
        <f>IF(B854="","",IF(K854&lt;&gt;"",K854,IF(N(IFERROR(INDEX(Projects!$D$6:$D$65,MATCH(D854,Projects!$B$6:$B$65,0)),""))&gt;0,IFERROR(INDEX(Projects!$D$6:$D$65,MATCH(D854,Projects!$B$6:$B$65,0)),""),IFERROR(INDEX(Clients!$G$6:$G$45,MATCH(C854,Clients!$B$6:$B$45,0)),0))))</f>
        <v/>
      </c>
      <c r="O854" s="14">
        <f>IF(B854="","",IF(J854&lt;&gt;"",0,ROUND(M854*N854,2)))</f>
        <v/>
      </c>
      <c r="P854" s="15">
        <f>IF(OR(B854="",J854&lt;&gt;""),"",IF(L854&lt;&gt;"",L854,IF(COUNTIFS(Invoices!$C$6:$C$305,C854,Invoices!$E$6:$E$305,"&lt;="&amp;B854,Invoices!$F$6:$F$305,"&gt;="&amp;B854)=1,INDEX(Invoices!$B$6:$B$305,SUMIFS(Invoices!$O$6:$O$305,Invoices!$C$6:$C$305,C854,Invoices!$E$6:$E$305,"&lt;="&amp;B854,Invoices!$F$6:$F$305,"&gt;="&amp;B854)),IF(COUNTIFS(Invoices!$C$6:$C$305,C854,Invoices!$E$6:$E$305,"&lt;="&amp;B854,Invoices!$F$6:$F$305,"&gt;="&amp;B854)&gt;1,"Two invoices",""))))</f>
        <v/>
      </c>
      <c r="Q854" s="15">
        <f>IF(B854="","",IF(J854&lt;&gt;"","Not billable",IF(P854="","To invoice",IF(P854="Two invoices","Check dates",IF(ISNA(MATCH(P854,Invoices!$B$6:$B$305,0)),"Check number",IF(INDEX(Invoices!$M$6:$M$305,MATCH(P854,Invoices!$B$6:$B$305,0))="Paid","Paid",IF(INDEX(Invoices!$M$6:$M$305,MATCH(P854,Invoices!$B$6:$B$305,0))="Draft","Draft","Invoiced")))))))</f>
        <v/>
      </c>
      <c r="R854" s="1">
        <f>IF(AND(B854&lt;&gt;"",P854&lt;&gt;"",P854=Invoice!$G$4),B854+MOD(N(F854),1)+ROW()/10000000,"")</f>
        <v/>
      </c>
      <c r="S854">
        <f>IF(R854="","",IF(D854="","Other work",D854)&amp;IF(AND(K854&lt;&gt;"",E854&lt;&gt;""),", "&amp;E854,""))</f>
        <v/>
      </c>
      <c r="T854">
        <f>IF(R854="","",IF(COUNTIFS(R$6:R853,"&gt;0",S$6:S853,S854,N$6:N853,N854)=0,R854,""))</f>
        <v/>
      </c>
      <c r="U854">
        <f>IF(B854="","",IF(J854&lt;&gt;"",0,M854))</f>
        <v/>
      </c>
    </row>
    <row r="855">
      <c r="A855" s="1" t="n"/>
      <c r="B855" s="16" t="n"/>
      <c r="C855" s="17" t="n"/>
      <c r="D855" s="18" t="n"/>
      <c r="E855" s="18" t="n"/>
      <c r="F855" s="19" t="n"/>
      <c r="G855" s="19" t="n"/>
      <c r="H855" s="20" t="n"/>
      <c r="I855" s="21" t="n"/>
      <c r="J855" s="22" t="n"/>
      <c r="K855" s="23" t="n"/>
      <c r="L855" s="18" t="n"/>
      <c r="M855" s="24">
        <f>IF(B855="","",IF(AND(F855&lt;&gt;"",G855&lt;&gt;""),MAX(0,ROUND(MOD(G855-F855,1)*24-N(H855)/60,2)),N(I855)))</f>
        <v/>
      </c>
      <c r="N855" s="14">
        <f>IF(B855="","",IF(K855&lt;&gt;"",K855,IF(N(IFERROR(INDEX(Projects!$D$6:$D$65,MATCH(D855,Projects!$B$6:$B$65,0)),""))&gt;0,IFERROR(INDEX(Projects!$D$6:$D$65,MATCH(D855,Projects!$B$6:$B$65,0)),""),IFERROR(INDEX(Clients!$G$6:$G$45,MATCH(C855,Clients!$B$6:$B$45,0)),0))))</f>
        <v/>
      </c>
      <c r="O855" s="14">
        <f>IF(B855="","",IF(J855&lt;&gt;"",0,ROUND(M855*N855,2)))</f>
        <v/>
      </c>
      <c r="P855" s="15">
        <f>IF(OR(B855="",J855&lt;&gt;""),"",IF(L855&lt;&gt;"",L855,IF(COUNTIFS(Invoices!$C$6:$C$305,C855,Invoices!$E$6:$E$305,"&lt;="&amp;B855,Invoices!$F$6:$F$305,"&gt;="&amp;B855)=1,INDEX(Invoices!$B$6:$B$305,SUMIFS(Invoices!$O$6:$O$305,Invoices!$C$6:$C$305,C855,Invoices!$E$6:$E$305,"&lt;="&amp;B855,Invoices!$F$6:$F$305,"&gt;="&amp;B855)),IF(COUNTIFS(Invoices!$C$6:$C$305,C855,Invoices!$E$6:$E$305,"&lt;="&amp;B855,Invoices!$F$6:$F$305,"&gt;="&amp;B855)&gt;1,"Two invoices",""))))</f>
        <v/>
      </c>
      <c r="Q855" s="15">
        <f>IF(B855="","",IF(J855&lt;&gt;"","Not billable",IF(P855="","To invoice",IF(P855="Two invoices","Check dates",IF(ISNA(MATCH(P855,Invoices!$B$6:$B$305,0)),"Check number",IF(INDEX(Invoices!$M$6:$M$305,MATCH(P855,Invoices!$B$6:$B$305,0))="Paid","Paid",IF(INDEX(Invoices!$M$6:$M$305,MATCH(P855,Invoices!$B$6:$B$305,0))="Draft","Draft","Invoiced")))))))</f>
        <v/>
      </c>
      <c r="R855" s="1">
        <f>IF(AND(B855&lt;&gt;"",P855&lt;&gt;"",P855=Invoice!$G$4),B855+MOD(N(F855),1)+ROW()/10000000,"")</f>
        <v/>
      </c>
      <c r="S855">
        <f>IF(R855="","",IF(D855="","Other work",D855)&amp;IF(AND(K855&lt;&gt;"",E855&lt;&gt;""),", "&amp;E855,""))</f>
        <v/>
      </c>
      <c r="T855">
        <f>IF(R855="","",IF(COUNTIFS(R$6:R854,"&gt;0",S$6:S854,S855,N$6:N854,N855)=0,R855,""))</f>
        <v/>
      </c>
      <c r="U855">
        <f>IF(B855="","",IF(J855&lt;&gt;"",0,M855))</f>
        <v/>
      </c>
    </row>
    <row r="856">
      <c r="A856" s="1" t="n"/>
      <c r="B856" s="16" t="n"/>
      <c r="C856" s="17" t="n"/>
      <c r="D856" s="18" t="n"/>
      <c r="E856" s="18" t="n"/>
      <c r="F856" s="19" t="n"/>
      <c r="G856" s="19" t="n"/>
      <c r="H856" s="20" t="n"/>
      <c r="I856" s="21" t="n"/>
      <c r="J856" s="22" t="n"/>
      <c r="K856" s="23" t="n"/>
      <c r="L856" s="18" t="n"/>
      <c r="M856" s="24">
        <f>IF(B856="","",IF(AND(F856&lt;&gt;"",G856&lt;&gt;""),MAX(0,ROUND(MOD(G856-F856,1)*24-N(H856)/60,2)),N(I856)))</f>
        <v/>
      </c>
      <c r="N856" s="14">
        <f>IF(B856="","",IF(K856&lt;&gt;"",K856,IF(N(IFERROR(INDEX(Projects!$D$6:$D$65,MATCH(D856,Projects!$B$6:$B$65,0)),""))&gt;0,IFERROR(INDEX(Projects!$D$6:$D$65,MATCH(D856,Projects!$B$6:$B$65,0)),""),IFERROR(INDEX(Clients!$G$6:$G$45,MATCH(C856,Clients!$B$6:$B$45,0)),0))))</f>
        <v/>
      </c>
      <c r="O856" s="14">
        <f>IF(B856="","",IF(J856&lt;&gt;"",0,ROUND(M856*N856,2)))</f>
        <v/>
      </c>
      <c r="P856" s="15">
        <f>IF(OR(B856="",J856&lt;&gt;""),"",IF(L856&lt;&gt;"",L856,IF(COUNTIFS(Invoices!$C$6:$C$305,C856,Invoices!$E$6:$E$305,"&lt;="&amp;B856,Invoices!$F$6:$F$305,"&gt;="&amp;B856)=1,INDEX(Invoices!$B$6:$B$305,SUMIFS(Invoices!$O$6:$O$305,Invoices!$C$6:$C$305,C856,Invoices!$E$6:$E$305,"&lt;="&amp;B856,Invoices!$F$6:$F$305,"&gt;="&amp;B856)),IF(COUNTIFS(Invoices!$C$6:$C$305,C856,Invoices!$E$6:$E$305,"&lt;="&amp;B856,Invoices!$F$6:$F$305,"&gt;="&amp;B856)&gt;1,"Two invoices",""))))</f>
        <v/>
      </c>
      <c r="Q856" s="15">
        <f>IF(B856="","",IF(J856&lt;&gt;"","Not billable",IF(P856="","To invoice",IF(P856="Two invoices","Check dates",IF(ISNA(MATCH(P856,Invoices!$B$6:$B$305,0)),"Check number",IF(INDEX(Invoices!$M$6:$M$305,MATCH(P856,Invoices!$B$6:$B$305,0))="Paid","Paid",IF(INDEX(Invoices!$M$6:$M$305,MATCH(P856,Invoices!$B$6:$B$305,0))="Draft","Draft","Invoiced")))))))</f>
        <v/>
      </c>
      <c r="R856" s="1">
        <f>IF(AND(B856&lt;&gt;"",P856&lt;&gt;"",P856=Invoice!$G$4),B856+MOD(N(F856),1)+ROW()/10000000,"")</f>
        <v/>
      </c>
      <c r="S856">
        <f>IF(R856="","",IF(D856="","Other work",D856)&amp;IF(AND(K856&lt;&gt;"",E856&lt;&gt;""),", "&amp;E856,""))</f>
        <v/>
      </c>
      <c r="T856">
        <f>IF(R856="","",IF(COUNTIFS(R$6:R855,"&gt;0",S$6:S855,S856,N$6:N855,N856)=0,R856,""))</f>
        <v/>
      </c>
      <c r="U856">
        <f>IF(B856="","",IF(J856&lt;&gt;"",0,M856))</f>
        <v/>
      </c>
    </row>
    <row r="857">
      <c r="A857" s="1" t="n"/>
      <c r="B857" s="16" t="n"/>
      <c r="C857" s="17" t="n"/>
      <c r="D857" s="18" t="n"/>
      <c r="E857" s="18" t="n"/>
      <c r="F857" s="19" t="n"/>
      <c r="G857" s="19" t="n"/>
      <c r="H857" s="20" t="n"/>
      <c r="I857" s="21" t="n"/>
      <c r="J857" s="22" t="n"/>
      <c r="K857" s="23" t="n"/>
      <c r="L857" s="18" t="n"/>
      <c r="M857" s="24">
        <f>IF(B857="","",IF(AND(F857&lt;&gt;"",G857&lt;&gt;""),MAX(0,ROUND(MOD(G857-F857,1)*24-N(H857)/60,2)),N(I857)))</f>
        <v/>
      </c>
      <c r="N857" s="14">
        <f>IF(B857="","",IF(K857&lt;&gt;"",K857,IF(N(IFERROR(INDEX(Projects!$D$6:$D$65,MATCH(D857,Projects!$B$6:$B$65,0)),""))&gt;0,IFERROR(INDEX(Projects!$D$6:$D$65,MATCH(D857,Projects!$B$6:$B$65,0)),""),IFERROR(INDEX(Clients!$G$6:$G$45,MATCH(C857,Clients!$B$6:$B$45,0)),0))))</f>
        <v/>
      </c>
      <c r="O857" s="14">
        <f>IF(B857="","",IF(J857&lt;&gt;"",0,ROUND(M857*N857,2)))</f>
        <v/>
      </c>
      <c r="P857" s="15">
        <f>IF(OR(B857="",J857&lt;&gt;""),"",IF(L857&lt;&gt;"",L857,IF(COUNTIFS(Invoices!$C$6:$C$305,C857,Invoices!$E$6:$E$305,"&lt;="&amp;B857,Invoices!$F$6:$F$305,"&gt;="&amp;B857)=1,INDEX(Invoices!$B$6:$B$305,SUMIFS(Invoices!$O$6:$O$305,Invoices!$C$6:$C$305,C857,Invoices!$E$6:$E$305,"&lt;="&amp;B857,Invoices!$F$6:$F$305,"&gt;="&amp;B857)),IF(COUNTIFS(Invoices!$C$6:$C$305,C857,Invoices!$E$6:$E$305,"&lt;="&amp;B857,Invoices!$F$6:$F$305,"&gt;="&amp;B857)&gt;1,"Two invoices",""))))</f>
        <v/>
      </c>
      <c r="Q857" s="15">
        <f>IF(B857="","",IF(J857&lt;&gt;"","Not billable",IF(P857="","To invoice",IF(P857="Two invoices","Check dates",IF(ISNA(MATCH(P857,Invoices!$B$6:$B$305,0)),"Check number",IF(INDEX(Invoices!$M$6:$M$305,MATCH(P857,Invoices!$B$6:$B$305,0))="Paid","Paid",IF(INDEX(Invoices!$M$6:$M$305,MATCH(P857,Invoices!$B$6:$B$305,0))="Draft","Draft","Invoiced")))))))</f>
        <v/>
      </c>
      <c r="R857" s="1">
        <f>IF(AND(B857&lt;&gt;"",P857&lt;&gt;"",P857=Invoice!$G$4),B857+MOD(N(F857),1)+ROW()/10000000,"")</f>
        <v/>
      </c>
      <c r="S857">
        <f>IF(R857="","",IF(D857="","Other work",D857)&amp;IF(AND(K857&lt;&gt;"",E857&lt;&gt;""),", "&amp;E857,""))</f>
        <v/>
      </c>
      <c r="T857">
        <f>IF(R857="","",IF(COUNTIFS(R$6:R856,"&gt;0",S$6:S856,S857,N$6:N856,N857)=0,R857,""))</f>
        <v/>
      </c>
      <c r="U857">
        <f>IF(B857="","",IF(J857&lt;&gt;"",0,M857))</f>
        <v/>
      </c>
    </row>
    <row r="858">
      <c r="A858" s="1" t="n"/>
      <c r="B858" s="16" t="n"/>
      <c r="C858" s="17" t="n"/>
      <c r="D858" s="18" t="n"/>
      <c r="E858" s="18" t="n"/>
      <c r="F858" s="19" t="n"/>
      <c r="G858" s="19" t="n"/>
      <c r="H858" s="20" t="n"/>
      <c r="I858" s="21" t="n"/>
      <c r="J858" s="22" t="n"/>
      <c r="K858" s="23" t="n"/>
      <c r="L858" s="18" t="n"/>
      <c r="M858" s="24">
        <f>IF(B858="","",IF(AND(F858&lt;&gt;"",G858&lt;&gt;""),MAX(0,ROUND(MOD(G858-F858,1)*24-N(H858)/60,2)),N(I858)))</f>
        <v/>
      </c>
      <c r="N858" s="14">
        <f>IF(B858="","",IF(K858&lt;&gt;"",K858,IF(N(IFERROR(INDEX(Projects!$D$6:$D$65,MATCH(D858,Projects!$B$6:$B$65,0)),""))&gt;0,IFERROR(INDEX(Projects!$D$6:$D$65,MATCH(D858,Projects!$B$6:$B$65,0)),""),IFERROR(INDEX(Clients!$G$6:$G$45,MATCH(C858,Clients!$B$6:$B$45,0)),0))))</f>
        <v/>
      </c>
      <c r="O858" s="14">
        <f>IF(B858="","",IF(J858&lt;&gt;"",0,ROUND(M858*N858,2)))</f>
        <v/>
      </c>
      <c r="P858" s="15">
        <f>IF(OR(B858="",J858&lt;&gt;""),"",IF(L858&lt;&gt;"",L858,IF(COUNTIFS(Invoices!$C$6:$C$305,C858,Invoices!$E$6:$E$305,"&lt;="&amp;B858,Invoices!$F$6:$F$305,"&gt;="&amp;B858)=1,INDEX(Invoices!$B$6:$B$305,SUMIFS(Invoices!$O$6:$O$305,Invoices!$C$6:$C$305,C858,Invoices!$E$6:$E$305,"&lt;="&amp;B858,Invoices!$F$6:$F$305,"&gt;="&amp;B858)),IF(COUNTIFS(Invoices!$C$6:$C$305,C858,Invoices!$E$6:$E$305,"&lt;="&amp;B858,Invoices!$F$6:$F$305,"&gt;="&amp;B858)&gt;1,"Two invoices",""))))</f>
        <v/>
      </c>
      <c r="Q858" s="15">
        <f>IF(B858="","",IF(J858&lt;&gt;"","Not billable",IF(P858="","To invoice",IF(P858="Two invoices","Check dates",IF(ISNA(MATCH(P858,Invoices!$B$6:$B$305,0)),"Check number",IF(INDEX(Invoices!$M$6:$M$305,MATCH(P858,Invoices!$B$6:$B$305,0))="Paid","Paid",IF(INDEX(Invoices!$M$6:$M$305,MATCH(P858,Invoices!$B$6:$B$305,0))="Draft","Draft","Invoiced")))))))</f>
        <v/>
      </c>
      <c r="R858" s="1">
        <f>IF(AND(B858&lt;&gt;"",P858&lt;&gt;"",P858=Invoice!$G$4),B858+MOD(N(F858),1)+ROW()/10000000,"")</f>
        <v/>
      </c>
      <c r="S858">
        <f>IF(R858="","",IF(D858="","Other work",D858)&amp;IF(AND(K858&lt;&gt;"",E858&lt;&gt;""),", "&amp;E858,""))</f>
        <v/>
      </c>
      <c r="T858">
        <f>IF(R858="","",IF(COUNTIFS(R$6:R857,"&gt;0",S$6:S857,S858,N$6:N857,N858)=0,R858,""))</f>
        <v/>
      </c>
      <c r="U858">
        <f>IF(B858="","",IF(J858&lt;&gt;"",0,M858))</f>
        <v/>
      </c>
    </row>
    <row r="859">
      <c r="A859" s="1" t="n"/>
      <c r="B859" s="16" t="n"/>
      <c r="C859" s="17" t="n"/>
      <c r="D859" s="18" t="n"/>
      <c r="E859" s="18" t="n"/>
      <c r="F859" s="19" t="n"/>
      <c r="G859" s="19" t="n"/>
      <c r="H859" s="20" t="n"/>
      <c r="I859" s="21" t="n"/>
      <c r="J859" s="22" t="n"/>
      <c r="K859" s="23" t="n"/>
      <c r="L859" s="18" t="n"/>
      <c r="M859" s="24">
        <f>IF(B859="","",IF(AND(F859&lt;&gt;"",G859&lt;&gt;""),MAX(0,ROUND(MOD(G859-F859,1)*24-N(H859)/60,2)),N(I859)))</f>
        <v/>
      </c>
      <c r="N859" s="14">
        <f>IF(B859="","",IF(K859&lt;&gt;"",K859,IF(N(IFERROR(INDEX(Projects!$D$6:$D$65,MATCH(D859,Projects!$B$6:$B$65,0)),""))&gt;0,IFERROR(INDEX(Projects!$D$6:$D$65,MATCH(D859,Projects!$B$6:$B$65,0)),""),IFERROR(INDEX(Clients!$G$6:$G$45,MATCH(C859,Clients!$B$6:$B$45,0)),0))))</f>
        <v/>
      </c>
      <c r="O859" s="14">
        <f>IF(B859="","",IF(J859&lt;&gt;"",0,ROUND(M859*N859,2)))</f>
        <v/>
      </c>
      <c r="P859" s="15">
        <f>IF(OR(B859="",J859&lt;&gt;""),"",IF(L859&lt;&gt;"",L859,IF(COUNTIFS(Invoices!$C$6:$C$305,C859,Invoices!$E$6:$E$305,"&lt;="&amp;B859,Invoices!$F$6:$F$305,"&gt;="&amp;B859)=1,INDEX(Invoices!$B$6:$B$305,SUMIFS(Invoices!$O$6:$O$305,Invoices!$C$6:$C$305,C859,Invoices!$E$6:$E$305,"&lt;="&amp;B859,Invoices!$F$6:$F$305,"&gt;="&amp;B859)),IF(COUNTIFS(Invoices!$C$6:$C$305,C859,Invoices!$E$6:$E$305,"&lt;="&amp;B859,Invoices!$F$6:$F$305,"&gt;="&amp;B859)&gt;1,"Two invoices",""))))</f>
        <v/>
      </c>
      <c r="Q859" s="15">
        <f>IF(B859="","",IF(J859&lt;&gt;"","Not billable",IF(P859="","To invoice",IF(P859="Two invoices","Check dates",IF(ISNA(MATCH(P859,Invoices!$B$6:$B$305,0)),"Check number",IF(INDEX(Invoices!$M$6:$M$305,MATCH(P859,Invoices!$B$6:$B$305,0))="Paid","Paid",IF(INDEX(Invoices!$M$6:$M$305,MATCH(P859,Invoices!$B$6:$B$305,0))="Draft","Draft","Invoiced")))))))</f>
        <v/>
      </c>
      <c r="R859" s="1">
        <f>IF(AND(B859&lt;&gt;"",P859&lt;&gt;"",P859=Invoice!$G$4),B859+MOD(N(F859),1)+ROW()/10000000,"")</f>
        <v/>
      </c>
      <c r="S859">
        <f>IF(R859="","",IF(D859="","Other work",D859)&amp;IF(AND(K859&lt;&gt;"",E859&lt;&gt;""),", "&amp;E859,""))</f>
        <v/>
      </c>
      <c r="T859">
        <f>IF(R859="","",IF(COUNTIFS(R$6:R858,"&gt;0",S$6:S858,S859,N$6:N858,N859)=0,R859,""))</f>
        <v/>
      </c>
      <c r="U859">
        <f>IF(B859="","",IF(J859&lt;&gt;"",0,M859))</f>
        <v/>
      </c>
    </row>
    <row r="860">
      <c r="A860" s="1" t="n"/>
      <c r="B860" s="16" t="n"/>
      <c r="C860" s="17" t="n"/>
      <c r="D860" s="18" t="n"/>
      <c r="E860" s="18" t="n"/>
      <c r="F860" s="19" t="n"/>
      <c r="G860" s="19" t="n"/>
      <c r="H860" s="20" t="n"/>
      <c r="I860" s="21" t="n"/>
      <c r="J860" s="22" t="n"/>
      <c r="K860" s="23" t="n"/>
      <c r="L860" s="18" t="n"/>
      <c r="M860" s="24">
        <f>IF(B860="","",IF(AND(F860&lt;&gt;"",G860&lt;&gt;""),MAX(0,ROUND(MOD(G860-F860,1)*24-N(H860)/60,2)),N(I860)))</f>
        <v/>
      </c>
      <c r="N860" s="14">
        <f>IF(B860="","",IF(K860&lt;&gt;"",K860,IF(N(IFERROR(INDEX(Projects!$D$6:$D$65,MATCH(D860,Projects!$B$6:$B$65,0)),""))&gt;0,IFERROR(INDEX(Projects!$D$6:$D$65,MATCH(D860,Projects!$B$6:$B$65,0)),""),IFERROR(INDEX(Clients!$G$6:$G$45,MATCH(C860,Clients!$B$6:$B$45,0)),0))))</f>
        <v/>
      </c>
      <c r="O860" s="14">
        <f>IF(B860="","",IF(J860&lt;&gt;"",0,ROUND(M860*N860,2)))</f>
        <v/>
      </c>
      <c r="P860" s="15">
        <f>IF(OR(B860="",J860&lt;&gt;""),"",IF(L860&lt;&gt;"",L860,IF(COUNTIFS(Invoices!$C$6:$C$305,C860,Invoices!$E$6:$E$305,"&lt;="&amp;B860,Invoices!$F$6:$F$305,"&gt;="&amp;B860)=1,INDEX(Invoices!$B$6:$B$305,SUMIFS(Invoices!$O$6:$O$305,Invoices!$C$6:$C$305,C860,Invoices!$E$6:$E$305,"&lt;="&amp;B860,Invoices!$F$6:$F$305,"&gt;="&amp;B860)),IF(COUNTIFS(Invoices!$C$6:$C$305,C860,Invoices!$E$6:$E$305,"&lt;="&amp;B860,Invoices!$F$6:$F$305,"&gt;="&amp;B860)&gt;1,"Two invoices",""))))</f>
        <v/>
      </c>
      <c r="Q860" s="15">
        <f>IF(B860="","",IF(J860&lt;&gt;"","Not billable",IF(P860="","To invoice",IF(P860="Two invoices","Check dates",IF(ISNA(MATCH(P860,Invoices!$B$6:$B$305,0)),"Check number",IF(INDEX(Invoices!$M$6:$M$305,MATCH(P860,Invoices!$B$6:$B$305,0))="Paid","Paid",IF(INDEX(Invoices!$M$6:$M$305,MATCH(P860,Invoices!$B$6:$B$305,0))="Draft","Draft","Invoiced")))))))</f>
        <v/>
      </c>
      <c r="R860" s="1">
        <f>IF(AND(B860&lt;&gt;"",P860&lt;&gt;"",P860=Invoice!$G$4),B860+MOD(N(F860),1)+ROW()/10000000,"")</f>
        <v/>
      </c>
      <c r="S860">
        <f>IF(R860="","",IF(D860="","Other work",D860)&amp;IF(AND(K860&lt;&gt;"",E860&lt;&gt;""),", "&amp;E860,""))</f>
        <v/>
      </c>
      <c r="T860">
        <f>IF(R860="","",IF(COUNTIFS(R$6:R859,"&gt;0",S$6:S859,S860,N$6:N859,N860)=0,R860,""))</f>
        <v/>
      </c>
      <c r="U860">
        <f>IF(B860="","",IF(J860&lt;&gt;"",0,M860))</f>
        <v/>
      </c>
    </row>
    <row r="861">
      <c r="A861" s="1" t="n"/>
      <c r="B861" s="16" t="n"/>
      <c r="C861" s="17" t="n"/>
      <c r="D861" s="18" t="n"/>
      <c r="E861" s="18" t="n"/>
      <c r="F861" s="19" t="n"/>
      <c r="G861" s="19" t="n"/>
      <c r="H861" s="20" t="n"/>
      <c r="I861" s="21" t="n"/>
      <c r="J861" s="22" t="n"/>
      <c r="K861" s="23" t="n"/>
      <c r="L861" s="18" t="n"/>
      <c r="M861" s="24">
        <f>IF(B861="","",IF(AND(F861&lt;&gt;"",G861&lt;&gt;""),MAX(0,ROUND(MOD(G861-F861,1)*24-N(H861)/60,2)),N(I861)))</f>
        <v/>
      </c>
      <c r="N861" s="14">
        <f>IF(B861="","",IF(K861&lt;&gt;"",K861,IF(N(IFERROR(INDEX(Projects!$D$6:$D$65,MATCH(D861,Projects!$B$6:$B$65,0)),""))&gt;0,IFERROR(INDEX(Projects!$D$6:$D$65,MATCH(D861,Projects!$B$6:$B$65,0)),""),IFERROR(INDEX(Clients!$G$6:$G$45,MATCH(C861,Clients!$B$6:$B$45,0)),0))))</f>
        <v/>
      </c>
      <c r="O861" s="14">
        <f>IF(B861="","",IF(J861&lt;&gt;"",0,ROUND(M861*N861,2)))</f>
        <v/>
      </c>
      <c r="P861" s="15">
        <f>IF(OR(B861="",J861&lt;&gt;""),"",IF(L861&lt;&gt;"",L861,IF(COUNTIFS(Invoices!$C$6:$C$305,C861,Invoices!$E$6:$E$305,"&lt;="&amp;B861,Invoices!$F$6:$F$305,"&gt;="&amp;B861)=1,INDEX(Invoices!$B$6:$B$305,SUMIFS(Invoices!$O$6:$O$305,Invoices!$C$6:$C$305,C861,Invoices!$E$6:$E$305,"&lt;="&amp;B861,Invoices!$F$6:$F$305,"&gt;="&amp;B861)),IF(COUNTIFS(Invoices!$C$6:$C$305,C861,Invoices!$E$6:$E$305,"&lt;="&amp;B861,Invoices!$F$6:$F$305,"&gt;="&amp;B861)&gt;1,"Two invoices",""))))</f>
        <v/>
      </c>
      <c r="Q861" s="15">
        <f>IF(B861="","",IF(J861&lt;&gt;"","Not billable",IF(P861="","To invoice",IF(P861="Two invoices","Check dates",IF(ISNA(MATCH(P861,Invoices!$B$6:$B$305,0)),"Check number",IF(INDEX(Invoices!$M$6:$M$305,MATCH(P861,Invoices!$B$6:$B$305,0))="Paid","Paid",IF(INDEX(Invoices!$M$6:$M$305,MATCH(P861,Invoices!$B$6:$B$305,0))="Draft","Draft","Invoiced")))))))</f>
        <v/>
      </c>
      <c r="R861" s="1">
        <f>IF(AND(B861&lt;&gt;"",P861&lt;&gt;"",P861=Invoice!$G$4),B861+MOD(N(F861),1)+ROW()/10000000,"")</f>
        <v/>
      </c>
      <c r="S861">
        <f>IF(R861="","",IF(D861="","Other work",D861)&amp;IF(AND(K861&lt;&gt;"",E861&lt;&gt;""),", "&amp;E861,""))</f>
        <v/>
      </c>
      <c r="T861">
        <f>IF(R861="","",IF(COUNTIFS(R$6:R860,"&gt;0",S$6:S860,S861,N$6:N860,N861)=0,R861,""))</f>
        <v/>
      </c>
      <c r="U861">
        <f>IF(B861="","",IF(J861&lt;&gt;"",0,M861))</f>
        <v/>
      </c>
    </row>
    <row r="862">
      <c r="A862" s="1" t="n"/>
      <c r="B862" s="16" t="n"/>
      <c r="C862" s="17" t="n"/>
      <c r="D862" s="18" t="n"/>
      <c r="E862" s="18" t="n"/>
      <c r="F862" s="19" t="n"/>
      <c r="G862" s="19" t="n"/>
      <c r="H862" s="20" t="n"/>
      <c r="I862" s="21" t="n"/>
      <c r="J862" s="22" t="n"/>
      <c r="K862" s="23" t="n"/>
      <c r="L862" s="18" t="n"/>
      <c r="M862" s="24">
        <f>IF(B862="","",IF(AND(F862&lt;&gt;"",G862&lt;&gt;""),MAX(0,ROUND(MOD(G862-F862,1)*24-N(H862)/60,2)),N(I862)))</f>
        <v/>
      </c>
      <c r="N862" s="14">
        <f>IF(B862="","",IF(K862&lt;&gt;"",K862,IF(N(IFERROR(INDEX(Projects!$D$6:$D$65,MATCH(D862,Projects!$B$6:$B$65,0)),""))&gt;0,IFERROR(INDEX(Projects!$D$6:$D$65,MATCH(D862,Projects!$B$6:$B$65,0)),""),IFERROR(INDEX(Clients!$G$6:$G$45,MATCH(C862,Clients!$B$6:$B$45,0)),0))))</f>
        <v/>
      </c>
      <c r="O862" s="14">
        <f>IF(B862="","",IF(J862&lt;&gt;"",0,ROUND(M862*N862,2)))</f>
        <v/>
      </c>
      <c r="P862" s="15">
        <f>IF(OR(B862="",J862&lt;&gt;""),"",IF(L862&lt;&gt;"",L862,IF(COUNTIFS(Invoices!$C$6:$C$305,C862,Invoices!$E$6:$E$305,"&lt;="&amp;B862,Invoices!$F$6:$F$305,"&gt;="&amp;B862)=1,INDEX(Invoices!$B$6:$B$305,SUMIFS(Invoices!$O$6:$O$305,Invoices!$C$6:$C$305,C862,Invoices!$E$6:$E$305,"&lt;="&amp;B862,Invoices!$F$6:$F$305,"&gt;="&amp;B862)),IF(COUNTIFS(Invoices!$C$6:$C$305,C862,Invoices!$E$6:$E$305,"&lt;="&amp;B862,Invoices!$F$6:$F$305,"&gt;="&amp;B862)&gt;1,"Two invoices",""))))</f>
        <v/>
      </c>
      <c r="Q862" s="15">
        <f>IF(B862="","",IF(J862&lt;&gt;"","Not billable",IF(P862="","To invoice",IF(P862="Two invoices","Check dates",IF(ISNA(MATCH(P862,Invoices!$B$6:$B$305,0)),"Check number",IF(INDEX(Invoices!$M$6:$M$305,MATCH(P862,Invoices!$B$6:$B$305,0))="Paid","Paid",IF(INDEX(Invoices!$M$6:$M$305,MATCH(P862,Invoices!$B$6:$B$305,0))="Draft","Draft","Invoiced")))))))</f>
        <v/>
      </c>
      <c r="R862" s="1">
        <f>IF(AND(B862&lt;&gt;"",P862&lt;&gt;"",P862=Invoice!$G$4),B862+MOD(N(F862),1)+ROW()/10000000,"")</f>
        <v/>
      </c>
      <c r="S862">
        <f>IF(R862="","",IF(D862="","Other work",D862)&amp;IF(AND(K862&lt;&gt;"",E862&lt;&gt;""),", "&amp;E862,""))</f>
        <v/>
      </c>
      <c r="T862">
        <f>IF(R862="","",IF(COUNTIFS(R$6:R861,"&gt;0",S$6:S861,S862,N$6:N861,N862)=0,R862,""))</f>
        <v/>
      </c>
      <c r="U862">
        <f>IF(B862="","",IF(J862&lt;&gt;"",0,M862))</f>
        <v/>
      </c>
    </row>
    <row r="863">
      <c r="A863" s="1" t="n"/>
      <c r="B863" s="16" t="n"/>
      <c r="C863" s="17" t="n"/>
      <c r="D863" s="18" t="n"/>
      <c r="E863" s="18" t="n"/>
      <c r="F863" s="19" t="n"/>
      <c r="G863" s="19" t="n"/>
      <c r="H863" s="20" t="n"/>
      <c r="I863" s="21" t="n"/>
      <c r="J863" s="22" t="n"/>
      <c r="K863" s="23" t="n"/>
      <c r="L863" s="18" t="n"/>
      <c r="M863" s="24">
        <f>IF(B863="","",IF(AND(F863&lt;&gt;"",G863&lt;&gt;""),MAX(0,ROUND(MOD(G863-F863,1)*24-N(H863)/60,2)),N(I863)))</f>
        <v/>
      </c>
      <c r="N863" s="14">
        <f>IF(B863="","",IF(K863&lt;&gt;"",K863,IF(N(IFERROR(INDEX(Projects!$D$6:$D$65,MATCH(D863,Projects!$B$6:$B$65,0)),""))&gt;0,IFERROR(INDEX(Projects!$D$6:$D$65,MATCH(D863,Projects!$B$6:$B$65,0)),""),IFERROR(INDEX(Clients!$G$6:$G$45,MATCH(C863,Clients!$B$6:$B$45,0)),0))))</f>
        <v/>
      </c>
      <c r="O863" s="14">
        <f>IF(B863="","",IF(J863&lt;&gt;"",0,ROUND(M863*N863,2)))</f>
        <v/>
      </c>
      <c r="P863" s="15">
        <f>IF(OR(B863="",J863&lt;&gt;""),"",IF(L863&lt;&gt;"",L863,IF(COUNTIFS(Invoices!$C$6:$C$305,C863,Invoices!$E$6:$E$305,"&lt;="&amp;B863,Invoices!$F$6:$F$305,"&gt;="&amp;B863)=1,INDEX(Invoices!$B$6:$B$305,SUMIFS(Invoices!$O$6:$O$305,Invoices!$C$6:$C$305,C863,Invoices!$E$6:$E$305,"&lt;="&amp;B863,Invoices!$F$6:$F$305,"&gt;="&amp;B863)),IF(COUNTIFS(Invoices!$C$6:$C$305,C863,Invoices!$E$6:$E$305,"&lt;="&amp;B863,Invoices!$F$6:$F$305,"&gt;="&amp;B863)&gt;1,"Two invoices",""))))</f>
        <v/>
      </c>
      <c r="Q863" s="15">
        <f>IF(B863="","",IF(J863&lt;&gt;"","Not billable",IF(P863="","To invoice",IF(P863="Two invoices","Check dates",IF(ISNA(MATCH(P863,Invoices!$B$6:$B$305,0)),"Check number",IF(INDEX(Invoices!$M$6:$M$305,MATCH(P863,Invoices!$B$6:$B$305,0))="Paid","Paid",IF(INDEX(Invoices!$M$6:$M$305,MATCH(P863,Invoices!$B$6:$B$305,0))="Draft","Draft","Invoiced")))))))</f>
        <v/>
      </c>
      <c r="R863" s="1">
        <f>IF(AND(B863&lt;&gt;"",P863&lt;&gt;"",P863=Invoice!$G$4),B863+MOD(N(F863),1)+ROW()/10000000,"")</f>
        <v/>
      </c>
      <c r="S863">
        <f>IF(R863="","",IF(D863="","Other work",D863)&amp;IF(AND(K863&lt;&gt;"",E863&lt;&gt;""),", "&amp;E863,""))</f>
        <v/>
      </c>
      <c r="T863">
        <f>IF(R863="","",IF(COUNTIFS(R$6:R862,"&gt;0",S$6:S862,S863,N$6:N862,N863)=0,R863,""))</f>
        <v/>
      </c>
      <c r="U863">
        <f>IF(B863="","",IF(J863&lt;&gt;"",0,M863))</f>
        <v/>
      </c>
    </row>
    <row r="864">
      <c r="A864" s="1" t="n"/>
      <c r="B864" s="16" t="n"/>
      <c r="C864" s="17" t="n"/>
      <c r="D864" s="18" t="n"/>
      <c r="E864" s="18" t="n"/>
      <c r="F864" s="19" t="n"/>
      <c r="G864" s="19" t="n"/>
      <c r="H864" s="20" t="n"/>
      <c r="I864" s="21" t="n"/>
      <c r="J864" s="22" t="n"/>
      <c r="K864" s="23" t="n"/>
      <c r="L864" s="18" t="n"/>
      <c r="M864" s="24">
        <f>IF(B864="","",IF(AND(F864&lt;&gt;"",G864&lt;&gt;""),MAX(0,ROUND(MOD(G864-F864,1)*24-N(H864)/60,2)),N(I864)))</f>
        <v/>
      </c>
      <c r="N864" s="14">
        <f>IF(B864="","",IF(K864&lt;&gt;"",K864,IF(N(IFERROR(INDEX(Projects!$D$6:$D$65,MATCH(D864,Projects!$B$6:$B$65,0)),""))&gt;0,IFERROR(INDEX(Projects!$D$6:$D$65,MATCH(D864,Projects!$B$6:$B$65,0)),""),IFERROR(INDEX(Clients!$G$6:$G$45,MATCH(C864,Clients!$B$6:$B$45,0)),0))))</f>
        <v/>
      </c>
      <c r="O864" s="14">
        <f>IF(B864="","",IF(J864&lt;&gt;"",0,ROUND(M864*N864,2)))</f>
        <v/>
      </c>
      <c r="P864" s="15">
        <f>IF(OR(B864="",J864&lt;&gt;""),"",IF(L864&lt;&gt;"",L864,IF(COUNTIFS(Invoices!$C$6:$C$305,C864,Invoices!$E$6:$E$305,"&lt;="&amp;B864,Invoices!$F$6:$F$305,"&gt;="&amp;B864)=1,INDEX(Invoices!$B$6:$B$305,SUMIFS(Invoices!$O$6:$O$305,Invoices!$C$6:$C$305,C864,Invoices!$E$6:$E$305,"&lt;="&amp;B864,Invoices!$F$6:$F$305,"&gt;="&amp;B864)),IF(COUNTIFS(Invoices!$C$6:$C$305,C864,Invoices!$E$6:$E$305,"&lt;="&amp;B864,Invoices!$F$6:$F$305,"&gt;="&amp;B864)&gt;1,"Two invoices",""))))</f>
        <v/>
      </c>
      <c r="Q864" s="15">
        <f>IF(B864="","",IF(J864&lt;&gt;"","Not billable",IF(P864="","To invoice",IF(P864="Two invoices","Check dates",IF(ISNA(MATCH(P864,Invoices!$B$6:$B$305,0)),"Check number",IF(INDEX(Invoices!$M$6:$M$305,MATCH(P864,Invoices!$B$6:$B$305,0))="Paid","Paid",IF(INDEX(Invoices!$M$6:$M$305,MATCH(P864,Invoices!$B$6:$B$305,0))="Draft","Draft","Invoiced")))))))</f>
        <v/>
      </c>
      <c r="R864" s="1">
        <f>IF(AND(B864&lt;&gt;"",P864&lt;&gt;"",P864=Invoice!$G$4),B864+MOD(N(F864),1)+ROW()/10000000,"")</f>
        <v/>
      </c>
      <c r="S864">
        <f>IF(R864="","",IF(D864="","Other work",D864)&amp;IF(AND(K864&lt;&gt;"",E864&lt;&gt;""),", "&amp;E864,""))</f>
        <v/>
      </c>
      <c r="T864">
        <f>IF(R864="","",IF(COUNTIFS(R$6:R863,"&gt;0",S$6:S863,S864,N$6:N863,N864)=0,R864,""))</f>
        <v/>
      </c>
      <c r="U864">
        <f>IF(B864="","",IF(J864&lt;&gt;"",0,M864))</f>
        <v/>
      </c>
    </row>
    <row r="865">
      <c r="A865" s="1" t="n"/>
      <c r="B865" s="16" t="n"/>
      <c r="C865" s="17" t="n"/>
      <c r="D865" s="18" t="n"/>
      <c r="E865" s="18" t="n"/>
      <c r="F865" s="19" t="n"/>
      <c r="G865" s="19" t="n"/>
      <c r="H865" s="20" t="n"/>
      <c r="I865" s="21" t="n"/>
      <c r="J865" s="22" t="n"/>
      <c r="K865" s="23" t="n"/>
      <c r="L865" s="18" t="n"/>
      <c r="M865" s="24">
        <f>IF(B865="","",IF(AND(F865&lt;&gt;"",G865&lt;&gt;""),MAX(0,ROUND(MOD(G865-F865,1)*24-N(H865)/60,2)),N(I865)))</f>
        <v/>
      </c>
      <c r="N865" s="14">
        <f>IF(B865="","",IF(K865&lt;&gt;"",K865,IF(N(IFERROR(INDEX(Projects!$D$6:$D$65,MATCH(D865,Projects!$B$6:$B$65,0)),""))&gt;0,IFERROR(INDEX(Projects!$D$6:$D$65,MATCH(D865,Projects!$B$6:$B$65,0)),""),IFERROR(INDEX(Clients!$G$6:$G$45,MATCH(C865,Clients!$B$6:$B$45,0)),0))))</f>
        <v/>
      </c>
      <c r="O865" s="14">
        <f>IF(B865="","",IF(J865&lt;&gt;"",0,ROUND(M865*N865,2)))</f>
        <v/>
      </c>
      <c r="P865" s="15">
        <f>IF(OR(B865="",J865&lt;&gt;""),"",IF(L865&lt;&gt;"",L865,IF(COUNTIFS(Invoices!$C$6:$C$305,C865,Invoices!$E$6:$E$305,"&lt;="&amp;B865,Invoices!$F$6:$F$305,"&gt;="&amp;B865)=1,INDEX(Invoices!$B$6:$B$305,SUMIFS(Invoices!$O$6:$O$305,Invoices!$C$6:$C$305,C865,Invoices!$E$6:$E$305,"&lt;="&amp;B865,Invoices!$F$6:$F$305,"&gt;="&amp;B865)),IF(COUNTIFS(Invoices!$C$6:$C$305,C865,Invoices!$E$6:$E$305,"&lt;="&amp;B865,Invoices!$F$6:$F$305,"&gt;="&amp;B865)&gt;1,"Two invoices",""))))</f>
        <v/>
      </c>
      <c r="Q865" s="15">
        <f>IF(B865="","",IF(J865&lt;&gt;"","Not billable",IF(P865="","To invoice",IF(P865="Two invoices","Check dates",IF(ISNA(MATCH(P865,Invoices!$B$6:$B$305,0)),"Check number",IF(INDEX(Invoices!$M$6:$M$305,MATCH(P865,Invoices!$B$6:$B$305,0))="Paid","Paid",IF(INDEX(Invoices!$M$6:$M$305,MATCH(P865,Invoices!$B$6:$B$305,0))="Draft","Draft","Invoiced")))))))</f>
        <v/>
      </c>
      <c r="R865" s="1">
        <f>IF(AND(B865&lt;&gt;"",P865&lt;&gt;"",P865=Invoice!$G$4),B865+MOD(N(F865),1)+ROW()/10000000,"")</f>
        <v/>
      </c>
      <c r="S865">
        <f>IF(R865="","",IF(D865="","Other work",D865)&amp;IF(AND(K865&lt;&gt;"",E865&lt;&gt;""),", "&amp;E865,""))</f>
        <v/>
      </c>
      <c r="T865">
        <f>IF(R865="","",IF(COUNTIFS(R$6:R864,"&gt;0",S$6:S864,S865,N$6:N864,N865)=0,R865,""))</f>
        <v/>
      </c>
      <c r="U865">
        <f>IF(B865="","",IF(J865&lt;&gt;"",0,M865))</f>
        <v/>
      </c>
    </row>
    <row r="866">
      <c r="A866" s="1" t="n"/>
      <c r="B866" s="16" t="n"/>
      <c r="C866" s="17" t="n"/>
      <c r="D866" s="18" t="n"/>
      <c r="E866" s="18" t="n"/>
      <c r="F866" s="19" t="n"/>
      <c r="G866" s="19" t="n"/>
      <c r="H866" s="20" t="n"/>
      <c r="I866" s="21" t="n"/>
      <c r="J866" s="22" t="n"/>
      <c r="K866" s="23" t="n"/>
      <c r="L866" s="18" t="n"/>
      <c r="M866" s="24">
        <f>IF(B866="","",IF(AND(F866&lt;&gt;"",G866&lt;&gt;""),MAX(0,ROUND(MOD(G866-F866,1)*24-N(H866)/60,2)),N(I866)))</f>
        <v/>
      </c>
      <c r="N866" s="14">
        <f>IF(B866="","",IF(K866&lt;&gt;"",K866,IF(N(IFERROR(INDEX(Projects!$D$6:$D$65,MATCH(D866,Projects!$B$6:$B$65,0)),""))&gt;0,IFERROR(INDEX(Projects!$D$6:$D$65,MATCH(D866,Projects!$B$6:$B$65,0)),""),IFERROR(INDEX(Clients!$G$6:$G$45,MATCH(C866,Clients!$B$6:$B$45,0)),0))))</f>
        <v/>
      </c>
      <c r="O866" s="14">
        <f>IF(B866="","",IF(J866&lt;&gt;"",0,ROUND(M866*N866,2)))</f>
        <v/>
      </c>
      <c r="P866" s="15">
        <f>IF(OR(B866="",J866&lt;&gt;""),"",IF(L866&lt;&gt;"",L866,IF(COUNTIFS(Invoices!$C$6:$C$305,C866,Invoices!$E$6:$E$305,"&lt;="&amp;B866,Invoices!$F$6:$F$305,"&gt;="&amp;B866)=1,INDEX(Invoices!$B$6:$B$305,SUMIFS(Invoices!$O$6:$O$305,Invoices!$C$6:$C$305,C866,Invoices!$E$6:$E$305,"&lt;="&amp;B866,Invoices!$F$6:$F$305,"&gt;="&amp;B866)),IF(COUNTIFS(Invoices!$C$6:$C$305,C866,Invoices!$E$6:$E$305,"&lt;="&amp;B866,Invoices!$F$6:$F$305,"&gt;="&amp;B866)&gt;1,"Two invoices",""))))</f>
        <v/>
      </c>
      <c r="Q866" s="15">
        <f>IF(B866="","",IF(J866&lt;&gt;"","Not billable",IF(P866="","To invoice",IF(P866="Two invoices","Check dates",IF(ISNA(MATCH(P866,Invoices!$B$6:$B$305,0)),"Check number",IF(INDEX(Invoices!$M$6:$M$305,MATCH(P866,Invoices!$B$6:$B$305,0))="Paid","Paid",IF(INDEX(Invoices!$M$6:$M$305,MATCH(P866,Invoices!$B$6:$B$305,0))="Draft","Draft","Invoiced")))))))</f>
        <v/>
      </c>
      <c r="R866" s="1">
        <f>IF(AND(B866&lt;&gt;"",P866&lt;&gt;"",P866=Invoice!$G$4),B866+MOD(N(F866),1)+ROW()/10000000,"")</f>
        <v/>
      </c>
      <c r="S866">
        <f>IF(R866="","",IF(D866="","Other work",D866)&amp;IF(AND(K866&lt;&gt;"",E866&lt;&gt;""),", "&amp;E866,""))</f>
        <v/>
      </c>
      <c r="T866">
        <f>IF(R866="","",IF(COUNTIFS(R$6:R865,"&gt;0",S$6:S865,S866,N$6:N865,N866)=0,R866,""))</f>
        <v/>
      </c>
      <c r="U866">
        <f>IF(B866="","",IF(J866&lt;&gt;"",0,M866))</f>
        <v/>
      </c>
    </row>
    <row r="867">
      <c r="A867" s="1" t="n"/>
      <c r="B867" s="16" t="n"/>
      <c r="C867" s="17" t="n"/>
      <c r="D867" s="18" t="n"/>
      <c r="E867" s="18" t="n"/>
      <c r="F867" s="19" t="n"/>
      <c r="G867" s="19" t="n"/>
      <c r="H867" s="20" t="n"/>
      <c r="I867" s="21" t="n"/>
      <c r="J867" s="22" t="n"/>
      <c r="K867" s="23" t="n"/>
      <c r="L867" s="18" t="n"/>
      <c r="M867" s="24">
        <f>IF(B867="","",IF(AND(F867&lt;&gt;"",G867&lt;&gt;""),MAX(0,ROUND(MOD(G867-F867,1)*24-N(H867)/60,2)),N(I867)))</f>
        <v/>
      </c>
      <c r="N867" s="14">
        <f>IF(B867="","",IF(K867&lt;&gt;"",K867,IF(N(IFERROR(INDEX(Projects!$D$6:$D$65,MATCH(D867,Projects!$B$6:$B$65,0)),""))&gt;0,IFERROR(INDEX(Projects!$D$6:$D$65,MATCH(D867,Projects!$B$6:$B$65,0)),""),IFERROR(INDEX(Clients!$G$6:$G$45,MATCH(C867,Clients!$B$6:$B$45,0)),0))))</f>
        <v/>
      </c>
      <c r="O867" s="14">
        <f>IF(B867="","",IF(J867&lt;&gt;"",0,ROUND(M867*N867,2)))</f>
        <v/>
      </c>
      <c r="P867" s="15">
        <f>IF(OR(B867="",J867&lt;&gt;""),"",IF(L867&lt;&gt;"",L867,IF(COUNTIFS(Invoices!$C$6:$C$305,C867,Invoices!$E$6:$E$305,"&lt;="&amp;B867,Invoices!$F$6:$F$305,"&gt;="&amp;B867)=1,INDEX(Invoices!$B$6:$B$305,SUMIFS(Invoices!$O$6:$O$305,Invoices!$C$6:$C$305,C867,Invoices!$E$6:$E$305,"&lt;="&amp;B867,Invoices!$F$6:$F$305,"&gt;="&amp;B867)),IF(COUNTIFS(Invoices!$C$6:$C$305,C867,Invoices!$E$6:$E$305,"&lt;="&amp;B867,Invoices!$F$6:$F$305,"&gt;="&amp;B867)&gt;1,"Two invoices",""))))</f>
        <v/>
      </c>
      <c r="Q867" s="15">
        <f>IF(B867="","",IF(J867&lt;&gt;"","Not billable",IF(P867="","To invoice",IF(P867="Two invoices","Check dates",IF(ISNA(MATCH(P867,Invoices!$B$6:$B$305,0)),"Check number",IF(INDEX(Invoices!$M$6:$M$305,MATCH(P867,Invoices!$B$6:$B$305,0))="Paid","Paid",IF(INDEX(Invoices!$M$6:$M$305,MATCH(P867,Invoices!$B$6:$B$305,0))="Draft","Draft","Invoiced")))))))</f>
        <v/>
      </c>
      <c r="R867" s="1">
        <f>IF(AND(B867&lt;&gt;"",P867&lt;&gt;"",P867=Invoice!$G$4),B867+MOD(N(F867),1)+ROW()/10000000,"")</f>
        <v/>
      </c>
      <c r="S867">
        <f>IF(R867="","",IF(D867="","Other work",D867)&amp;IF(AND(K867&lt;&gt;"",E867&lt;&gt;""),", "&amp;E867,""))</f>
        <v/>
      </c>
      <c r="T867">
        <f>IF(R867="","",IF(COUNTIFS(R$6:R866,"&gt;0",S$6:S866,S867,N$6:N866,N867)=0,R867,""))</f>
        <v/>
      </c>
      <c r="U867">
        <f>IF(B867="","",IF(J867&lt;&gt;"",0,M867))</f>
        <v/>
      </c>
    </row>
    <row r="868">
      <c r="A868" s="1" t="n"/>
      <c r="B868" s="16" t="n"/>
      <c r="C868" s="17" t="n"/>
      <c r="D868" s="18" t="n"/>
      <c r="E868" s="18" t="n"/>
      <c r="F868" s="19" t="n"/>
      <c r="G868" s="19" t="n"/>
      <c r="H868" s="20" t="n"/>
      <c r="I868" s="21" t="n"/>
      <c r="J868" s="22" t="n"/>
      <c r="K868" s="23" t="n"/>
      <c r="L868" s="18" t="n"/>
      <c r="M868" s="24">
        <f>IF(B868="","",IF(AND(F868&lt;&gt;"",G868&lt;&gt;""),MAX(0,ROUND(MOD(G868-F868,1)*24-N(H868)/60,2)),N(I868)))</f>
        <v/>
      </c>
      <c r="N868" s="14">
        <f>IF(B868="","",IF(K868&lt;&gt;"",K868,IF(N(IFERROR(INDEX(Projects!$D$6:$D$65,MATCH(D868,Projects!$B$6:$B$65,0)),""))&gt;0,IFERROR(INDEX(Projects!$D$6:$D$65,MATCH(D868,Projects!$B$6:$B$65,0)),""),IFERROR(INDEX(Clients!$G$6:$G$45,MATCH(C868,Clients!$B$6:$B$45,0)),0))))</f>
        <v/>
      </c>
      <c r="O868" s="14">
        <f>IF(B868="","",IF(J868&lt;&gt;"",0,ROUND(M868*N868,2)))</f>
        <v/>
      </c>
      <c r="P868" s="15">
        <f>IF(OR(B868="",J868&lt;&gt;""),"",IF(L868&lt;&gt;"",L868,IF(COUNTIFS(Invoices!$C$6:$C$305,C868,Invoices!$E$6:$E$305,"&lt;="&amp;B868,Invoices!$F$6:$F$305,"&gt;="&amp;B868)=1,INDEX(Invoices!$B$6:$B$305,SUMIFS(Invoices!$O$6:$O$305,Invoices!$C$6:$C$305,C868,Invoices!$E$6:$E$305,"&lt;="&amp;B868,Invoices!$F$6:$F$305,"&gt;="&amp;B868)),IF(COUNTIFS(Invoices!$C$6:$C$305,C868,Invoices!$E$6:$E$305,"&lt;="&amp;B868,Invoices!$F$6:$F$305,"&gt;="&amp;B868)&gt;1,"Two invoices",""))))</f>
        <v/>
      </c>
      <c r="Q868" s="15">
        <f>IF(B868="","",IF(J868&lt;&gt;"","Not billable",IF(P868="","To invoice",IF(P868="Two invoices","Check dates",IF(ISNA(MATCH(P868,Invoices!$B$6:$B$305,0)),"Check number",IF(INDEX(Invoices!$M$6:$M$305,MATCH(P868,Invoices!$B$6:$B$305,0))="Paid","Paid",IF(INDEX(Invoices!$M$6:$M$305,MATCH(P868,Invoices!$B$6:$B$305,0))="Draft","Draft","Invoiced")))))))</f>
        <v/>
      </c>
      <c r="R868" s="1">
        <f>IF(AND(B868&lt;&gt;"",P868&lt;&gt;"",P868=Invoice!$G$4),B868+MOD(N(F868),1)+ROW()/10000000,"")</f>
        <v/>
      </c>
      <c r="S868">
        <f>IF(R868="","",IF(D868="","Other work",D868)&amp;IF(AND(K868&lt;&gt;"",E868&lt;&gt;""),", "&amp;E868,""))</f>
        <v/>
      </c>
      <c r="T868">
        <f>IF(R868="","",IF(COUNTIFS(R$6:R867,"&gt;0",S$6:S867,S868,N$6:N867,N868)=0,R868,""))</f>
        <v/>
      </c>
      <c r="U868">
        <f>IF(B868="","",IF(J868&lt;&gt;"",0,M868))</f>
        <v/>
      </c>
    </row>
    <row r="869">
      <c r="A869" s="1" t="n"/>
      <c r="B869" s="16" t="n"/>
      <c r="C869" s="17" t="n"/>
      <c r="D869" s="18" t="n"/>
      <c r="E869" s="18" t="n"/>
      <c r="F869" s="19" t="n"/>
      <c r="G869" s="19" t="n"/>
      <c r="H869" s="20" t="n"/>
      <c r="I869" s="21" t="n"/>
      <c r="J869" s="22" t="n"/>
      <c r="K869" s="23" t="n"/>
      <c r="L869" s="18" t="n"/>
      <c r="M869" s="24">
        <f>IF(B869="","",IF(AND(F869&lt;&gt;"",G869&lt;&gt;""),MAX(0,ROUND(MOD(G869-F869,1)*24-N(H869)/60,2)),N(I869)))</f>
        <v/>
      </c>
      <c r="N869" s="14">
        <f>IF(B869="","",IF(K869&lt;&gt;"",K869,IF(N(IFERROR(INDEX(Projects!$D$6:$D$65,MATCH(D869,Projects!$B$6:$B$65,0)),""))&gt;0,IFERROR(INDEX(Projects!$D$6:$D$65,MATCH(D869,Projects!$B$6:$B$65,0)),""),IFERROR(INDEX(Clients!$G$6:$G$45,MATCH(C869,Clients!$B$6:$B$45,0)),0))))</f>
        <v/>
      </c>
      <c r="O869" s="14">
        <f>IF(B869="","",IF(J869&lt;&gt;"",0,ROUND(M869*N869,2)))</f>
        <v/>
      </c>
      <c r="P869" s="15">
        <f>IF(OR(B869="",J869&lt;&gt;""),"",IF(L869&lt;&gt;"",L869,IF(COUNTIFS(Invoices!$C$6:$C$305,C869,Invoices!$E$6:$E$305,"&lt;="&amp;B869,Invoices!$F$6:$F$305,"&gt;="&amp;B869)=1,INDEX(Invoices!$B$6:$B$305,SUMIFS(Invoices!$O$6:$O$305,Invoices!$C$6:$C$305,C869,Invoices!$E$6:$E$305,"&lt;="&amp;B869,Invoices!$F$6:$F$305,"&gt;="&amp;B869)),IF(COUNTIFS(Invoices!$C$6:$C$305,C869,Invoices!$E$6:$E$305,"&lt;="&amp;B869,Invoices!$F$6:$F$305,"&gt;="&amp;B869)&gt;1,"Two invoices",""))))</f>
        <v/>
      </c>
      <c r="Q869" s="15">
        <f>IF(B869="","",IF(J869&lt;&gt;"","Not billable",IF(P869="","To invoice",IF(P869="Two invoices","Check dates",IF(ISNA(MATCH(P869,Invoices!$B$6:$B$305,0)),"Check number",IF(INDEX(Invoices!$M$6:$M$305,MATCH(P869,Invoices!$B$6:$B$305,0))="Paid","Paid",IF(INDEX(Invoices!$M$6:$M$305,MATCH(P869,Invoices!$B$6:$B$305,0))="Draft","Draft","Invoiced")))))))</f>
        <v/>
      </c>
      <c r="R869" s="1">
        <f>IF(AND(B869&lt;&gt;"",P869&lt;&gt;"",P869=Invoice!$G$4),B869+MOD(N(F869),1)+ROW()/10000000,"")</f>
        <v/>
      </c>
      <c r="S869">
        <f>IF(R869="","",IF(D869="","Other work",D869)&amp;IF(AND(K869&lt;&gt;"",E869&lt;&gt;""),", "&amp;E869,""))</f>
        <v/>
      </c>
      <c r="T869">
        <f>IF(R869="","",IF(COUNTIFS(R$6:R868,"&gt;0",S$6:S868,S869,N$6:N868,N869)=0,R869,""))</f>
        <v/>
      </c>
      <c r="U869">
        <f>IF(B869="","",IF(J869&lt;&gt;"",0,M869))</f>
        <v/>
      </c>
    </row>
    <row r="870">
      <c r="A870" s="1" t="n"/>
      <c r="B870" s="16" t="n"/>
      <c r="C870" s="17" t="n"/>
      <c r="D870" s="18" t="n"/>
      <c r="E870" s="18" t="n"/>
      <c r="F870" s="19" t="n"/>
      <c r="G870" s="19" t="n"/>
      <c r="H870" s="20" t="n"/>
      <c r="I870" s="21" t="n"/>
      <c r="J870" s="22" t="n"/>
      <c r="K870" s="23" t="n"/>
      <c r="L870" s="18" t="n"/>
      <c r="M870" s="24">
        <f>IF(B870="","",IF(AND(F870&lt;&gt;"",G870&lt;&gt;""),MAX(0,ROUND(MOD(G870-F870,1)*24-N(H870)/60,2)),N(I870)))</f>
        <v/>
      </c>
      <c r="N870" s="14">
        <f>IF(B870="","",IF(K870&lt;&gt;"",K870,IF(N(IFERROR(INDEX(Projects!$D$6:$D$65,MATCH(D870,Projects!$B$6:$B$65,0)),""))&gt;0,IFERROR(INDEX(Projects!$D$6:$D$65,MATCH(D870,Projects!$B$6:$B$65,0)),""),IFERROR(INDEX(Clients!$G$6:$G$45,MATCH(C870,Clients!$B$6:$B$45,0)),0))))</f>
        <v/>
      </c>
      <c r="O870" s="14">
        <f>IF(B870="","",IF(J870&lt;&gt;"",0,ROUND(M870*N870,2)))</f>
        <v/>
      </c>
      <c r="P870" s="15">
        <f>IF(OR(B870="",J870&lt;&gt;""),"",IF(L870&lt;&gt;"",L870,IF(COUNTIFS(Invoices!$C$6:$C$305,C870,Invoices!$E$6:$E$305,"&lt;="&amp;B870,Invoices!$F$6:$F$305,"&gt;="&amp;B870)=1,INDEX(Invoices!$B$6:$B$305,SUMIFS(Invoices!$O$6:$O$305,Invoices!$C$6:$C$305,C870,Invoices!$E$6:$E$305,"&lt;="&amp;B870,Invoices!$F$6:$F$305,"&gt;="&amp;B870)),IF(COUNTIFS(Invoices!$C$6:$C$305,C870,Invoices!$E$6:$E$305,"&lt;="&amp;B870,Invoices!$F$6:$F$305,"&gt;="&amp;B870)&gt;1,"Two invoices",""))))</f>
        <v/>
      </c>
      <c r="Q870" s="15">
        <f>IF(B870="","",IF(J870&lt;&gt;"","Not billable",IF(P870="","To invoice",IF(P870="Two invoices","Check dates",IF(ISNA(MATCH(P870,Invoices!$B$6:$B$305,0)),"Check number",IF(INDEX(Invoices!$M$6:$M$305,MATCH(P870,Invoices!$B$6:$B$305,0))="Paid","Paid",IF(INDEX(Invoices!$M$6:$M$305,MATCH(P870,Invoices!$B$6:$B$305,0))="Draft","Draft","Invoiced")))))))</f>
        <v/>
      </c>
      <c r="R870" s="1">
        <f>IF(AND(B870&lt;&gt;"",P870&lt;&gt;"",P870=Invoice!$G$4),B870+MOD(N(F870),1)+ROW()/10000000,"")</f>
        <v/>
      </c>
      <c r="S870">
        <f>IF(R870="","",IF(D870="","Other work",D870)&amp;IF(AND(K870&lt;&gt;"",E870&lt;&gt;""),", "&amp;E870,""))</f>
        <v/>
      </c>
      <c r="T870">
        <f>IF(R870="","",IF(COUNTIFS(R$6:R869,"&gt;0",S$6:S869,S870,N$6:N869,N870)=0,R870,""))</f>
        <v/>
      </c>
      <c r="U870">
        <f>IF(B870="","",IF(J870&lt;&gt;"",0,M870))</f>
        <v/>
      </c>
    </row>
    <row r="871">
      <c r="A871" s="1" t="n"/>
      <c r="B871" s="16" t="n"/>
      <c r="C871" s="17" t="n"/>
      <c r="D871" s="18" t="n"/>
      <c r="E871" s="18" t="n"/>
      <c r="F871" s="19" t="n"/>
      <c r="G871" s="19" t="n"/>
      <c r="H871" s="20" t="n"/>
      <c r="I871" s="21" t="n"/>
      <c r="J871" s="22" t="n"/>
      <c r="K871" s="23" t="n"/>
      <c r="L871" s="18" t="n"/>
      <c r="M871" s="24">
        <f>IF(B871="","",IF(AND(F871&lt;&gt;"",G871&lt;&gt;""),MAX(0,ROUND(MOD(G871-F871,1)*24-N(H871)/60,2)),N(I871)))</f>
        <v/>
      </c>
      <c r="N871" s="14">
        <f>IF(B871="","",IF(K871&lt;&gt;"",K871,IF(N(IFERROR(INDEX(Projects!$D$6:$D$65,MATCH(D871,Projects!$B$6:$B$65,0)),""))&gt;0,IFERROR(INDEX(Projects!$D$6:$D$65,MATCH(D871,Projects!$B$6:$B$65,0)),""),IFERROR(INDEX(Clients!$G$6:$G$45,MATCH(C871,Clients!$B$6:$B$45,0)),0))))</f>
        <v/>
      </c>
      <c r="O871" s="14">
        <f>IF(B871="","",IF(J871&lt;&gt;"",0,ROUND(M871*N871,2)))</f>
        <v/>
      </c>
      <c r="P871" s="15">
        <f>IF(OR(B871="",J871&lt;&gt;""),"",IF(L871&lt;&gt;"",L871,IF(COUNTIFS(Invoices!$C$6:$C$305,C871,Invoices!$E$6:$E$305,"&lt;="&amp;B871,Invoices!$F$6:$F$305,"&gt;="&amp;B871)=1,INDEX(Invoices!$B$6:$B$305,SUMIFS(Invoices!$O$6:$O$305,Invoices!$C$6:$C$305,C871,Invoices!$E$6:$E$305,"&lt;="&amp;B871,Invoices!$F$6:$F$305,"&gt;="&amp;B871)),IF(COUNTIFS(Invoices!$C$6:$C$305,C871,Invoices!$E$6:$E$305,"&lt;="&amp;B871,Invoices!$F$6:$F$305,"&gt;="&amp;B871)&gt;1,"Two invoices",""))))</f>
        <v/>
      </c>
      <c r="Q871" s="15">
        <f>IF(B871="","",IF(J871&lt;&gt;"","Not billable",IF(P871="","To invoice",IF(P871="Two invoices","Check dates",IF(ISNA(MATCH(P871,Invoices!$B$6:$B$305,0)),"Check number",IF(INDEX(Invoices!$M$6:$M$305,MATCH(P871,Invoices!$B$6:$B$305,0))="Paid","Paid",IF(INDEX(Invoices!$M$6:$M$305,MATCH(P871,Invoices!$B$6:$B$305,0))="Draft","Draft","Invoiced")))))))</f>
        <v/>
      </c>
      <c r="R871" s="1">
        <f>IF(AND(B871&lt;&gt;"",P871&lt;&gt;"",P871=Invoice!$G$4),B871+MOD(N(F871),1)+ROW()/10000000,"")</f>
        <v/>
      </c>
      <c r="S871">
        <f>IF(R871="","",IF(D871="","Other work",D871)&amp;IF(AND(K871&lt;&gt;"",E871&lt;&gt;""),", "&amp;E871,""))</f>
        <v/>
      </c>
      <c r="T871">
        <f>IF(R871="","",IF(COUNTIFS(R$6:R870,"&gt;0",S$6:S870,S871,N$6:N870,N871)=0,R871,""))</f>
        <v/>
      </c>
      <c r="U871">
        <f>IF(B871="","",IF(J871&lt;&gt;"",0,M871))</f>
        <v/>
      </c>
    </row>
    <row r="872">
      <c r="A872" s="1" t="n"/>
      <c r="B872" s="16" t="n"/>
      <c r="C872" s="17" t="n"/>
      <c r="D872" s="18" t="n"/>
      <c r="E872" s="18" t="n"/>
      <c r="F872" s="19" t="n"/>
      <c r="G872" s="19" t="n"/>
      <c r="H872" s="20" t="n"/>
      <c r="I872" s="21" t="n"/>
      <c r="J872" s="22" t="n"/>
      <c r="K872" s="23" t="n"/>
      <c r="L872" s="18" t="n"/>
      <c r="M872" s="24">
        <f>IF(B872="","",IF(AND(F872&lt;&gt;"",G872&lt;&gt;""),MAX(0,ROUND(MOD(G872-F872,1)*24-N(H872)/60,2)),N(I872)))</f>
        <v/>
      </c>
      <c r="N872" s="14">
        <f>IF(B872="","",IF(K872&lt;&gt;"",K872,IF(N(IFERROR(INDEX(Projects!$D$6:$D$65,MATCH(D872,Projects!$B$6:$B$65,0)),""))&gt;0,IFERROR(INDEX(Projects!$D$6:$D$65,MATCH(D872,Projects!$B$6:$B$65,0)),""),IFERROR(INDEX(Clients!$G$6:$G$45,MATCH(C872,Clients!$B$6:$B$45,0)),0))))</f>
        <v/>
      </c>
      <c r="O872" s="14">
        <f>IF(B872="","",IF(J872&lt;&gt;"",0,ROUND(M872*N872,2)))</f>
        <v/>
      </c>
      <c r="P872" s="15">
        <f>IF(OR(B872="",J872&lt;&gt;""),"",IF(L872&lt;&gt;"",L872,IF(COUNTIFS(Invoices!$C$6:$C$305,C872,Invoices!$E$6:$E$305,"&lt;="&amp;B872,Invoices!$F$6:$F$305,"&gt;="&amp;B872)=1,INDEX(Invoices!$B$6:$B$305,SUMIFS(Invoices!$O$6:$O$305,Invoices!$C$6:$C$305,C872,Invoices!$E$6:$E$305,"&lt;="&amp;B872,Invoices!$F$6:$F$305,"&gt;="&amp;B872)),IF(COUNTIFS(Invoices!$C$6:$C$305,C872,Invoices!$E$6:$E$305,"&lt;="&amp;B872,Invoices!$F$6:$F$305,"&gt;="&amp;B872)&gt;1,"Two invoices",""))))</f>
        <v/>
      </c>
      <c r="Q872" s="15">
        <f>IF(B872="","",IF(J872&lt;&gt;"","Not billable",IF(P872="","To invoice",IF(P872="Two invoices","Check dates",IF(ISNA(MATCH(P872,Invoices!$B$6:$B$305,0)),"Check number",IF(INDEX(Invoices!$M$6:$M$305,MATCH(P872,Invoices!$B$6:$B$305,0))="Paid","Paid",IF(INDEX(Invoices!$M$6:$M$305,MATCH(P872,Invoices!$B$6:$B$305,0))="Draft","Draft","Invoiced")))))))</f>
        <v/>
      </c>
      <c r="R872" s="1">
        <f>IF(AND(B872&lt;&gt;"",P872&lt;&gt;"",P872=Invoice!$G$4),B872+MOD(N(F872),1)+ROW()/10000000,"")</f>
        <v/>
      </c>
      <c r="S872">
        <f>IF(R872="","",IF(D872="","Other work",D872)&amp;IF(AND(K872&lt;&gt;"",E872&lt;&gt;""),", "&amp;E872,""))</f>
        <v/>
      </c>
      <c r="T872">
        <f>IF(R872="","",IF(COUNTIFS(R$6:R871,"&gt;0",S$6:S871,S872,N$6:N871,N872)=0,R872,""))</f>
        <v/>
      </c>
      <c r="U872">
        <f>IF(B872="","",IF(J872&lt;&gt;"",0,M872))</f>
        <v/>
      </c>
    </row>
    <row r="873">
      <c r="A873" s="1" t="n"/>
      <c r="B873" s="16" t="n"/>
      <c r="C873" s="17" t="n"/>
      <c r="D873" s="18" t="n"/>
      <c r="E873" s="18" t="n"/>
      <c r="F873" s="19" t="n"/>
      <c r="G873" s="19" t="n"/>
      <c r="H873" s="20" t="n"/>
      <c r="I873" s="21" t="n"/>
      <c r="J873" s="22" t="n"/>
      <c r="K873" s="23" t="n"/>
      <c r="L873" s="18" t="n"/>
      <c r="M873" s="24">
        <f>IF(B873="","",IF(AND(F873&lt;&gt;"",G873&lt;&gt;""),MAX(0,ROUND(MOD(G873-F873,1)*24-N(H873)/60,2)),N(I873)))</f>
        <v/>
      </c>
      <c r="N873" s="14">
        <f>IF(B873="","",IF(K873&lt;&gt;"",K873,IF(N(IFERROR(INDEX(Projects!$D$6:$D$65,MATCH(D873,Projects!$B$6:$B$65,0)),""))&gt;0,IFERROR(INDEX(Projects!$D$6:$D$65,MATCH(D873,Projects!$B$6:$B$65,0)),""),IFERROR(INDEX(Clients!$G$6:$G$45,MATCH(C873,Clients!$B$6:$B$45,0)),0))))</f>
        <v/>
      </c>
      <c r="O873" s="14">
        <f>IF(B873="","",IF(J873&lt;&gt;"",0,ROUND(M873*N873,2)))</f>
        <v/>
      </c>
      <c r="P873" s="15">
        <f>IF(OR(B873="",J873&lt;&gt;""),"",IF(L873&lt;&gt;"",L873,IF(COUNTIFS(Invoices!$C$6:$C$305,C873,Invoices!$E$6:$E$305,"&lt;="&amp;B873,Invoices!$F$6:$F$305,"&gt;="&amp;B873)=1,INDEX(Invoices!$B$6:$B$305,SUMIFS(Invoices!$O$6:$O$305,Invoices!$C$6:$C$305,C873,Invoices!$E$6:$E$305,"&lt;="&amp;B873,Invoices!$F$6:$F$305,"&gt;="&amp;B873)),IF(COUNTIFS(Invoices!$C$6:$C$305,C873,Invoices!$E$6:$E$305,"&lt;="&amp;B873,Invoices!$F$6:$F$305,"&gt;="&amp;B873)&gt;1,"Two invoices",""))))</f>
        <v/>
      </c>
      <c r="Q873" s="15">
        <f>IF(B873="","",IF(J873&lt;&gt;"","Not billable",IF(P873="","To invoice",IF(P873="Two invoices","Check dates",IF(ISNA(MATCH(P873,Invoices!$B$6:$B$305,0)),"Check number",IF(INDEX(Invoices!$M$6:$M$305,MATCH(P873,Invoices!$B$6:$B$305,0))="Paid","Paid",IF(INDEX(Invoices!$M$6:$M$305,MATCH(P873,Invoices!$B$6:$B$305,0))="Draft","Draft","Invoiced")))))))</f>
        <v/>
      </c>
      <c r="R873" s="1">
        <f>IF(AND(B873&lt;&gt;"",P873&lt;&gt;"",P873=Invoice!$G$4),B873+MOD(N(F873),1)+ROW()/10000000,"")</f>
        <v/>
      </c>
      <c r="S873">
        <f>IF(R873="","",IF(D873="","Other work",D873)&amp;IF(AND(K873&lt;&gt;"",E873&lt;&gt;""),", "&amp;E873,""))</f>
        <v/>
      </c>
      <c r="T873">
        <f>IF(R873="","",IF(COUNTIFS(R$6:R872,"&gt;0",S$6:S872,S873,N$6:N872,N873)=0,R873,""))</f>
        <v/>
      </c>
      <c r="U873">
        <f>IF(B873="","",IF(J873&lt;&gt;"",0,M873))</f>
        <v/>
      </c>
    </row>
    <row r="874">
      <c r="A874" s="1" t="n"/>
      <c r="B874" s="16" t="n"/>
      <c r="C874" s="17" t="n"/>
      <c r="D874" s="18" t="n"/>
      <c r="E874" s="18" t="n"/>
      <c r="F874" s="19" t="n"/>
      <c r="G874" s="19" t="n"/>
      <c r="H874" s="20" t="n"/>
      <c r="I874" s="21" t="n"/>
      <c r="J874" s="22" t="n"/>
      <c r="K874" s="23" t="n"/>
      <c r="L874" s="18" t="n"/>
      <c r="M874" s="24">
        <f>IF(B874="","",IF(AND(F874&lt;&gt;"",G874&lt;&gt;""),MAX(0,ROUND(MOD(G874-F874,1)*24-N(H874)/60,2)),N(I874)))</f>
        <v/>
      </c>
      <c r="N874" s="14">
        <f>IF(B874="","",IF(K874&lt;&gt;"",K874,IF(N(IFERROR(INDEX(Projects!$D$6:$D$65,MATCH(D874,Projects!$B$6:$B$65,0)),""))&gt;0,IFERROR(INDEX(Projects!$D$6:$D$65,MATCH(D874,Projects!$B$6:$B$65,0)),""),IFERROR(INDEX(Clients!$G$6:$G$45,MATCH(C874,Clients!$B$6:$B$45,0)),0))))</f>
        <v/>
      </c>
      <c r="O874" s="14">
        <f>IF(B874="","",IF(J874&lt;&gt;"",0,ROUND(M874*N874,2)))</f>
        <v/>
      </c>
      <c r="P874" s="15">
        <f>IF(OR(B874="",J874&lt;&gt;""),"",IF(L874&lt;&gt;"",L874,IF(COUNTIFS(Invoices!$C$6:$C$305,C874,Invoices!$E$6:$E$305,"&lt;="&amp;B874,Invoices!$F$6:$F$305,"&gt;="&amp;B874)=1,INDEX(Invoices!$B$6:$B$305,SUMIFS(Invoices!$O$6:$O$305,Invoices!$C$6:$C$305,C874,Invoices!$E$6:$E$305,"&lt;="&amp;B874,Invoices!$F$6:$F$305,"&gt;="&amp;B874)),IF(COUNTIFS(Invoices!$C$6:$C$305,C874,Invoices!$E$6:$E$305,"&lt;="&amp;B874,Invoices!$F$6:$F$305,"&gt;="&amp;B874)&gt;1,"Two invoices",""))))</f>
        <v/>
      </c>
      <c r="Q874" s="15">
        <f>IF(B874="","",IF(J874&lt;&gt;"","Not billable",IF(P874="","To invoice",IF(P874="Two invoices","Check dates",IF(ISNA(MATCH(P874,Invoices!$B$6:$B$305,0)),"Check number",IF(INDEX(Invoices!$M$6:$M$305,MATCH(P874,Invoices!$B$6:$B$305,0))="Paid","Paid",IF(INDEX(Invoices!$M$6:$M$305,MATCH(P874,Invoices!$B$6:$B$305,0))="Draft","Draft","Invoiced")))))))</f>
        <v/>
      </c>
      <c r="R874" s="1">
        <f>IF(AND(B874&lt;&gt;"",P874&lt;&gt;"",P874=Invoice!$G$4),B874+MOD(N(F874),1)+ROW()/10000000,"")</f>
        <v/>
      </c>
      <c r="S874">
        <f>IF(R874="","",IF(D874="","Other work",D874)&amp;IF(AND(K874&lt;&gt;"",E874&lt;&gt;""),", "&amp;E874,""))</f>
        <v/>
      </c>
      <c r="T874">
        <f>IF(R874="","",IF(COUNTIFS(R$6:R873,"&gt;0",S$6:S873,S874,N$6:N873,N874)=0,R874,""))</f>
        <v/>
      </c>
      <c r="U874">
        <f>IF(B874="","",IF(J874&lt;&gt;"",0,M874))</f>
        <v/>
      </c>
    </row>
    <row r="875">
      <c r="A875" s="1" t="n"/>
      <c r="B875" s="16" t="n"/>
      <c r="C875" s="17" t="n"/>
      <c r="D875" s="18" t="n"/>
      <c r="E875" s="18" t="n"/>
      <c r="F875" s="19" t="n"/>
      <c r="G875" s="19" t="n"/>
      <c r="H875" s="20" t="n"/>
      <c r="I875" s="21" t="n"/>
      <c r="J875" s="22" t="n"/>
      <c r="K875" s="23" t="n"/>
      <c r="L875" s="18" t="n"/>
      <c r="M875" s="24">
        <f>IF(B875="","",IF(AND(F875&lt;&gt;"",G875&lt;&gt;""),MAX(0,ROUND(MOD(G875-F875,1)*24-N(H875)/60,2)),N(I875)))</f>
        <v/>
      </c>
      <c r="N875" s="14">
        <f>IF(B875="","",IF(K875&lt;&gt;"",K875,IF(N(IFERROR(INDEX(Projects!$D$6:$D$65,MATCH(D875,Projects!$B$6:$B$65,0)),""))&gt;0,IFERROR(INDEX(Projects!$D$6:$D$65,MATCH(D875,Projects!$B$6:$B$65,0)),""),IFERROR(INDEX(Clients!$G$6:$G$45,MATCH(C875,Clients!$B$6:$B$45,0)),0))))</f>
        <v/>
      </c>
      <c r="O875" s="14">
        <f>IF(B875="","",IF(J875&lt;&gt;"",0,ROUND(M875*N875,2)))</f>
        <v/>
      </c>
      <c r="P875" s="15">
        <f>IF(OR(B875="",J875&lt;&gt;""),"",IF(L875&lt;&gt;"",L875,IF(COUNTIFS(Invoices!$C$6:$C$305,C875,Invoices!$E$6:$E$305,"&lt;="&amp;B875,Invoices!$F$6:$F$305,"&gt;="&amp;B875)=1,INDEX(Invoices!$B$6:$B$305,SUMIFS(Invoices!$O$6:$O$305,Invoices!$C$6:$C$305,C875,Invoices!$E$6:$E$305,"&lt;="&amp;B875,Invoices!$F$6:$F$305,"&gt;="&amp;B875)),IF(COUNTIFS(Invoices!$C$6:$C$305,C875,Invoices!$E$6:$E$305,"&lt;="&amp;B875,Invoices!$F$6:$F$305,"&gt;="&amp;B875)&gt;1,"Two invoices",""))))</f>
        <v/>
      </c>
      <c r="Q875" s="15">
        <f>IF(B875="","",IF(J875&lt;&gt;"","Not billable",IF(P875="","To invoice",IF(P875="Two invoices","Check dates",IF(ISNA(MATCH(P875,Invoices!$B$6:$B$305,0)),"Check number",IF(INDEX(Invoices!$M$6:$M$305,MATCH(P875,Invoices!$B$6:$B$305,0))="Paid","Paid",IF(INDEX(Invoices!$M$6:$M$305,MATCH(P875,Invoices!$B$6:$B$305,0))="Draft","Draft","Invoiced")))))))</f>
        <v/>
      </c>
      <c r="R875" s="1">
        <f>IF(AND(B875&lt;&gt;"",P875&lt;&gt;"",P875=Invoice!$G$4),B875+MOD(N(F875),1)+ROW()/10000000,"")</f>
        <v/>
      </c>
      <c r="S875">
        <f>IF(R875="","",IF(D875="","Other work",D875)&amp;IF(AND(K875&lt;&gt;"",E875&lt;&gt;""),", "&amp;E875,""))</f>
        <v/>
      </c>
      <c r="T875">
        <f>IF(R875="","",IF(COUNTIFS(R$6:R874,"&gt;0",S$6:S874,S875,N$6:N874,N875)=0,R875,""))</f>
        <v/>
      </c>
      <c r="U875">
        <f>IF(B875="","",IF(J875&lt;&gt;"",0,M875))</f>
        <v/>
      </c>
    </row>
    <row r="876">
      <c r="A876" s="1" t="n"/>
      <c r="B876" s="16" t="n"/>
      <c r="C876" s="17" t="n"/>
      <c r="D876" s="18" t="n"/>
      <c r="E876" s="18" t="n"/>
      <c r="F876" s="19" t="n"/>
      <c r="G876" s="19" t="n"/>
      <c r="H876" s="20" t="n"/>
      <c r="I876" s="21" t="n"/>
      <c r="J876" s="22" t="n"/>
      <c r="K876" s="23" t="n"/>
      <c r="L876" s="18" t="n"/>
      <c r="M876" s="24">
        <f>IF(B876="","",IF(AND(F876&lt;&gt;"",G876&lt;&gt;""),MAX(0,ROUND(MOD(G876-F876,1)*24-N(H876)/60,2)),N(I876)))</f>
        <v/>
      </c>
      <c r="N876" s="14">
        <f>IF(B876="","",IF(K876&lt;&gt;"",K876,IF(N(IFERROR(INDEX(Projects!$D$6:$D$65,MATCH(D876,Projects!$B$6:$B$65,0)),""))&gt;0,IFERROR(INDEX(Projects!$D$6:$D$65,MATCH(D876,Projects!$B$6:$B$65,0)),""),IFERROR(INDEX(Clients!$G$6:$G$45,MATCH(C876,Clients!$B$6:$B$45,0)),0))))</f>
        <v/>
      </c>
      <c r="O876" s="14">
        <f>IF(B876="","",IF(J876&lt;&gt;"",0,ROUND(M876*N876,2)))</f>
        <v/>
      </c>
      <c r="P876" s="15">
        <f>IF(OR(B876="",J876&lt;&gt;""),"",IF(L876&lt;&gt;"",L876,IF(COUNTIFS(Invoices!$C$6:$C$305,C876,Invoices!$E$6:$E$305,"&lt;="&amp;B876,Invoices!$F$6:$F$305,"&gt;="&amp;B876)=1,INDEX(Invoices!$B$6:$B$305,SUMIFS(Invoices!$O$6:$O$305,Invoices!$C$6:$C$305,C876,Invoices!$E$6:$E$305,"&lt;="&amp;B876,Invoices!$F$6:$F$305,"&gt;="&amp;B876)),IF(COUNTIFS(Invoices!$C$6:$C$305,C876,Invoices!$E$6:$E$305,"&lt;="&amp;B876,Invoices!$F$6:$F$305,"&gt;="&amp;B876)&gt;1,"Two invoices",""))))</f>
        <v/>
      </c>
      <c r="Q876" s="15">
        <f>IF(B876="","",IF(J876&lt;&gt;"","Not billable",IF(P876="","To invoice",IF(P876="Two invoices","Check dates",IF(ISNA(MATCH(P876,Invoices!$B$6:$B$305,0)),"Check number",IF(INDEX(Invoices!$M$6:$M$305,MATCH(P876,Invoices!$B$6:$B$305,0))="Paid","Paid",IF(INDEX(Invoices!$M$6:$M$305,MATCH(P876,Invoices!$B$6:$B$305,0))="Draft","Draft","Invoiced")))))))</f>
        <v/>
      </c>
      <c r="R876" s="1">
        <f>IF(AND(B876&lt;&gt;"",P876&lt;&gt;"",P876=Invoice!$G$4),B876+MOD(N(F876),1)+ROW()/10000000,"")</f>
        <v/>
      </c>
      <c r="S876">
        <f>IF(R876="","",IF(D876="","Other work",D876)&amp;IF(AND(K876&lt;&gt;"",E876&lt;&gt;""),", "&amp;E876,""))</f>
        <v/>
      </c>
      <c r="T876">
        <f>IF(R876="","",IF(COUNTIFS(R$6:R875,"&gt;0",S$6:S875,S876,N$6:N875,N876)=0,R876,""))</f>
        <v/>
      </c>
      <c r="U876">
        <f>IF(B876="","",IF(J876&lt;&gt;"",0,M876))</f>
        <v/>
      </c>
    </row>
    <row r="877">
      <c r="A877" s="1" t="n"/>
      <c r="B877" s="16" t="n"/>
      <c r="C877" s="17" t="n"/>
      <c r="D877" s="18" t="n"/>
      <c r="E877" s="18" t="n"/>
      <c r="F877" s="19" t="n"/>
      <c r="G877" s="19" t="n"/>
      <c r="H877" s="20" t="n"/>
      <c r="I877" s="21" t="n"/>
      <c r="J877" s="22" t="n"/>
      <c r="K877" s="23" t="n"/>
      <c r="L877" s="18" t="n"/>
      <c r="M877" s="24">
        <f>IF(B877="","",IF(AND(F877&lt;&gt;"",G877&lt;&gt;""),MAX(0,ROUND(MOD(G877-F877,1)*24-N(H877)/60,2)),N(I877)))</f>
        <v/>
      </c>
      <c r="N877" s="14">
        <f>IF(B877="","",IF(K877&lt;&gt;"",K877,IF(N(IFERROR(INDEX(Projects!$D$6:$D$65,MATCH(D877,Projects!$B$6:$B$65,0)),""))&gt;0,IFERROR(INDEX(Projects!$D$6:$D$65,MATCH(D877,Projects!$B$6:$B$65,0)),""),IFERROR(INDEX(Clients!$G$6:$G$45,MATCH(C877,Clients!$B$6:$B$45,0)),0))))</f>
        <v/>
      </c>
      <c r="O877" s="14">
        <f>IF(B877="","",IF(J877&lt;&gt;"",0,ROUND(M877*N877,2)))</f>
        <v/>
      </c>
      <c r="P877" s="15">
        <f>IF(OR(B877="",J877&lt;&gt;""),"",IF(L877&lt;&gt;"",L877,IF(COUNTIFS(Invoices!$C$6:$C$305,C877,Invoices!$E$6:$E$305,"&lt;="&amp;B877,Invoices!$F$6:$F$305,"&gt;="&amp;B877)=1,INDEX(Invoices!$B$6:$B$305,SUMIFS(Invoices!$O$6:$O$305,Invoices!$C$6:$C$305,C877,Invoices!$E$6:$E$305,"&lt;="&amp;B877,Invoices!$F$6:$F$305,"&gt;="&amp;B877)),IF(COUNTIFS(Invoices!$C$6:$C$305,C877,Invoices!$E$6:$E$305,"&lt;="&amp;B877,Invoices!$F$6:$F$305,"&gt;="&amp;B877)&gt;1,"Two invoices",""))))</f>
        <v/>
      </c>
      <c r="Q877" s="15">
        <f>IF(B877="","",IF(J877&lt;&gt;"","Not billable",IF(P877="","To invoice",IF(P877="Two invoices","Check dates",IF(ISNA(MATCH(P877,Invoices!$B$6:$B$305,0)),"Check number",IF(INDEX(Invoices!$M$6:$M$305,MATCH(P877,Invoices!$B$6:$B$305,0))="Paid","Paid",IF(INDEX(Invoices!$M$6:$M$305,MATCH(P877,Invoices!$B$6:$B$305,0))="Draft","Draft","Invoiced")))))))</f>
        <v/>
      </c>
      <c r="R877" s="1">
        <f>IF(AND(B877&lt;&gt;"",P877&lt;&gt;"",P877=Invoice!$G$4),B877+MOD(N(F877),1)+ROW()/10000000,"")</f>
        <v/>
      </c>
      <c r="S877">
        <f>IF(R877="","",IF(D877="","Other work",D877)&amp;IF(AND(K877&lt;&gt;"",E877&lt;&gt;""),", "&amp;E877,""))</f>
        <v/>
      </c>
      <c r="T877">
        <f>IF(R877="","",IF(COUNTIFS(R$6:R876,"&gt;0",S$6:S876,S877,N$6:N876,N877)=0,R877,""))</f>
        <v/>
      </c>
      <c r="U877">
        <f>IF(B877="","",IF(J877&lt;&gt;"",0,M877))</f>
        <v/>
      </c>
    </row>
    <row r="878">
      <c r="A878" s="1" t="n"/>
      <c r="B878" s="16" t="n"/>
      <c r="C878" s="17" t="n"/>
      <c r="D878" s="18" t="n"/>
      <c r="E878" s="18" t="n"/>
      <c r="F878" s="19" t="n"/>
      <c r="G878" s="19" t="n"/>
      <c r="H878" s="20" t="n"/>
      <c r="I878" s="21" t="n"/>
      <c r="J878" s="22" t="n"/>
      <c r="K878" s="23" t="n"/>
      <c r="L878" s="18" t="n"/>
      <c r="M878" s="24">
        <f>IF(B878="","",IF(AND(F878&lt;&gt;"",G878&lt;&gt;""),MAX(0,ROUND(MOD(G878-F878,1)*24-N(H878)/60,2)),N(I878)))</f>
        <v/>
      </c>
      <c r="N878" s="14">
        <f>IF(B878="","",IF(K878&lt;&gt;"",K878,IF(N(IFERROR(INDEX(Projects!$D$6:$D$65,MATCH(D878,Projects!$B$6:$B$65,0)),""))&gt;0,IFERROR(INDEX(Projects!$D$6:$D$65,MATCH(D878,Projects!$B$6:$B$65,0)),""),IFERROR(INDEX(Clients!$G$6:$G$45,MATCH(C878,Clients!$B$6:$B$45,0)),0))))</f>
        <v/>
      </c>
      <c r="O878" s="14">
        <f>IF(B878="","",IF(J878&lt;&gt;"",0,ROUND(M878*N878,2)))</f>
        <v/>
      </c>
      <c r="P878" s="15">
        <f>IF(OR(B878="",J878&lt;&gt;""),"",IF(L878&lt;&gt;"",L878,IF(COUNTIFS(Invoices!$C$6:$C$305,C878,Invoices!$E$6:$E$305,"&lt;="&amp;B878,Invoices!$F$6:$F$305,"&gt;="&amp;B878)=1,INDEX(Invoices!$B$6:$B$305,SUMIFS(Invoices!$O$6:$O$305,Invoices!$C$6:$C$305,C878,Invoices!$E$6:$E$305,"&lt;="&amp;B878,Invoices!$F$6:$F$305,"&gt;="&amp;B878)),IF(COUNTIFS(Invoices!$C$6:$C$305,C878,Invoices!$E$6:$E$305,"&lt;="&amp;B878,Invoices!$F$6:$F$305,"&gt;="&amp;B878)&gt;1,"Two invoices",""))))</f>
        <v/>
      </c>
      <c r="Q878" s="15">
        <f>IF(B878="","",IF(J878&lt;&gt;"","Not billable",IF(P878="","To invoice",IF(P878="Two invoices","Check dates",IF(ISNA(MATCH(P878,Invoices!$B$6:$B$305,0)),"Check number",IF(INDEX(Invoices!$M$6:$M$305,MATCH(P878,Invoices!$B$6:$B$305,0))="Paid","Paid",IF(INDEX(Invoices!$M$6:$M$305,MATCH(P878,Invoices!$B$6:$B$305,0))="Draft","Draft","Invoiced")))))))</f>
        <v/>
      </c>
      <c r="R878" s="1">
        <f>IF(AND(B878&lt;&gt;"",P878&lt;&gt;"",P878=Invoice!$G$4),B878+MOD(N(F878),1)+ROW()/10000000,"")</f>
        <v/>
      </c>
      <c r="S878">
        <f>IF(R878="","",IF(D878="","Other work",D878)&amp;IF(AND(K878&lt;&gt;"",E878&lt;&gt;""),", "&amp;E878,""))</f>
        <v/>
      </c>
      <c r="T878">
        <f>IF(R878="","",IF(COUNTIFS(R$6:R877,"&gt;0",S$6:S877,S878,N$6:N877,N878)=0,R878,""))</f>
        <v/>
      </c>
      <c r="U878">
        <f>IF(B878="","",IF(J878&lt;&gt;"",0,M878))</f>
        <v/>
      </c>
    </row>
    <row r="879">
      <c r="A879" s="1" t="n"/>
      <c r="B879" s="16" t="n"/>
      <c r="C879" s="17" t="n"/>
      <c r="D879" s="18" t="n"/>
      <c r="E879" s="18" t="n"/>
      <c r="F879" s="19" t="n"/>
      <c r="G879" s="19" t="n"/>
      <c r="H879" s="20" t="n"/>
      <c r="I879" s="21" t="n"/>
      <c r="J879" s="22" t="n"/>
      <c r="K879" s="23" t="n"/>
      <c r="L879" s="18" t="n"/>
      <c r="M879" s="24">
        <f>IF(B879="","",IF(AND(F879&lt;&gt;"",G879&lt;&gt;""),MAX(0,ROUND(MOD(G879-F879,1)*24-N(H879)/60,2)),N(I879)))</f>
        <v/>
      </c>
      <c r="N879" s="14">
        <f>IF(B879="","",IF(K879&lt;&gt;"",K879,IF(N(IFERROR(INDEX(Projects!$D$6:$D$65,MATCH(D879,Projects!$B$6:$B$65,0)),""))&gt;0,IFERROR(INDEX(Projects!$D$6:$D$65,MATCH(D879,Projects!$B$6:$B$65,0)),""),IFERROR(INDEX(Clients!$G$6:$G$45,MATCH(C879,Clients!$B$6:$B$45,0)),0))))</f>
        <v/>
      </c>
      <c r="O879" s="14">
        <f>IF(B879="","",IF(J879&lt;&gt;"",0,ROUND(M879*N879,2)))</f>
        <v/>
      </c>
      <c r="P879" s="15">
        <f>IF(OR(B879="",J879&lt;&gt;""),"",IF(L879&lt;&gt;"",L879,IF(COUNTIFS(Invoices!$C$6:$C$305,C879,Invoices!$E$6:$E$305,"&lt;="&amp;B879,Invoices!$F$6:$F$305,"&gt;="&amp;B879)=1,INDEX(Invoices!$B$6:$B$305,SUMIFS(Invoices!$O$6:$O$305,Invoices!$C$6:$C$305,C879,Invoices!$E$6:$E$305,"&lt;="&amp;B879,Invoices!$F$6:$F$305,"&gt;="&amp;B879)),IF(COUNTIFS(Invoices!$C$6:$C$305,C879,Invoices!$E$6:$E$305,"&lt;="&amp;B879,Invoices!$F$6:$F$305,"&gt;="&amp;B879)&gt;1,"Two invoices",""))))</f>
        <v/>
      </c>
      <c r="Q879" s="15">
        <f>IF(B879="","",IF(J879&lt;&gt;"","Not billable",IF(P879="","To invoice",IF(P879="Two invoices","Check dates",IF(ISNA(MATCH(P879,Invoices!$B$6:$B$305,0)),"Check number",IF(INDEX(Invoices!$M$6:$M$305,MATCH(P879,Invoices!$B$6:$B$305,0))="Paid","Paid",IF(INDEX(Invoices!$M$6:$M$305,MATCH(P879,Invoices!$B$6:$B$305,0))="Draft","Draft","Invoiced")))))))</f>
        <v/>
      </c>
      <c r="R879" s="1">
        <f>IF(AND(B879&lt;&gt;"",P879&lt;&gt;"",P879=Invoice!$G$4),B879+MOD(N(F879),1)+ROW()/10000000,"")</f>
        <v/>
      </c>
      <c r="S879">
        <f>IF(R879="","",IF(D879="","Other work",D879)&amp;IF(AND(K879&lt;&gt;"",E879&lt;&gt;""),", "&amp;E879,""))</f>
        <v/>
      </c>
      <c r="T879">
        <f>IF(R879="","",IF(COUNTIFS(R$6:R878,"&gt;0",S$6:S878,S879,N$6:N878,N879)=0,R879,""))</f>
        <v/>
      </c>
      <c r="U879">
        <f>IF(B879="","",IF(J879&lt;&gt;"",0,M879))</f>
        <v/>
      </c>
    </row>
    <row r="880">
      <c r="A880" s="1" t="n"/>
      <c r="B880" s="16" t="n"/>
      <c r="C880" s="17" t="n"/>
      <c r="D880" s="18" t="n"/>
      <c r="E880" s="18" t="n"/>
      <c r="F880" s="19" t="n"/>
      <c r="G880" s="19" t="n"/>
      <c r="H880" s="20" t="n"/>
      <c r="I880" s="21" t="n"/>
      <c r="J880" s="22" t="n"/>
      <c r="K880" s="23" t="n"/>
      <c r="L880" s="18" t="n"/>
      <c r="M880" s="24">
        <f>IF(B880="","",IF(AND(F880&lt;&gt;"",G880&lt;&gt;""),MAX(0,ROUND(MOD(G880-F880,1)*24-N(H880)/60,2)),N(I880)))</f>
        <v/>
      </c>
      <c r="N880" s="14">
        <f>IF(B880="","",IF(K880&lt;&gt;"",K880,IF(N(IFERROR(INDEX(Projects!$D$6:$D$65,MATCH(D880,Projects!$B$6:$B$65,0)),""))&gt;0,IFERROR(INDEX(Projects!$D$6:$D$65,MATCH(D880,Projects!$B$6:$B$65,0)),""),IFERROR(INDEX(Clients!$G$6:$G$45,MATCH(C880,Clients!$B$6:$B$45,0)),0))))</f>
        <v/>
      </c>
      <c r="O880" s="14">
        <f>IF(B880="","",IF(J880&lt;&gt;"",0,ROUND(M880*N880,2)))</f>
        <v/>
      </c>
      <c r="P880" s="15">
        <f>IF(OR(B880="",J880&lt;&gt;""),"",IF(L880&lt;&gt;"",L880,IF(COUNTIFS(Invoices!$C$6:$C$305,C880,Invoices!$E$6:$E$305,"&lt;="&amp;B880,Invoices!$F$6:$F$305,"&gt;="&amp;B880)=1,INDEX(Invoices!$B$6:$B$305,SUMIFS(Invoices!$O$6:$O$305,Invoices!$C$6:$C$305,C880,Invoices!$E$6:$E$305,"&lt;="&amp;B880,Invoices!$F$6:$F$305,"&gt;="&amp;B880)),IF(COUNTIFS(Invoices!$C$6:$C$305,C880,Invoices!$E$6:$E$305,"&lt;="&amp;B880,Invoices!$F$6:$F$305,"&gt;="&amp;B880)&gt;1,"Two invoices",""))))</f>
        <v/>
      </c>
      <c r="Q880" s="15">
        <f>IF(B880="","",IF(J880&lt;&gt;"","Not billable",IF(P880="","To invoice",IF(P880="Two invoices","Check dates",IF(ISNA(MATCH(P880,Invoices!$B$6:$B$305,0)),"Check number",IF(INDEX(Invoices!$M$6:$M$305,MATCH(P880,Invoices!$B$6:$B$305,0))="Paid","Paid",IF(INDEX(Invoices!$M$6:$M$305,MATCH(P880,Invoices!$B$6:$B$305,0))="Draft","Draft","Invoiced")))))))</f>
        <v/>
      </c>
      <c r="R880" s="1">
        <f>IF(AND(B880&lt;&gt;"",P880&lt;&gt;"",P880=Invoice!$G$4),B880+MOD(N(F880),1)+ROW()/10000000,"")</f>
        <v/>
      </c>
      <c r="S880">
        <f>IF(R880="","",IF(D880="","Other work",D880)&amp;IF(AND(K880&lt;&gt;"",E880&lt;&gt;""),", "&amp;E880,""))</f>
        <v/>
      </c>
      <c r="T880">
        <f>IF(R880="","",IF(COUNTIFS(R$6:R879,"&gt;0",S$6:S879,S880,N$6:N879,N880)=0,R880,""))</f>
        <v/>
      </c>
      <c r="U880">
        <f>IF(B880="","",IF(J880&lt;&gt;"",0,M880))</f>
        <v/>
      </c>
    </row>
    <row r="881">
      <c r="A881" s="1" t="n"/>
      <c r="B881" s="16" t="n"/>
      <c r="C881" s="17" t="n"/>
      <c r="D881" s="18" t="n"/>
      <c r="E881" s="18" t="n"/>
      <c r="F881" s="19" t="n"/>
      <c r="G881" s="19" t="n"/>
      <c r="H881" s="20" t="n"/>
      <c r="I881" s="21" t="n"/>
      <c r="J881" s="22" t="n"/>
      <c r="K881" s="23" t="n"/>
      <c r="L881" s="18" t="n"/>
      <c r="M881" s="24">
        <f>IF(B881="","",IF(AND(F881&lt;&gt;"",G881&lt;&gt;""),MAX(0,ROUND(MOD(G881-F881,1)*24-N(H881)/60,2)),N(I881)))</f>
        <v/>
      </c>
      <c r="N881" s="14">
        <f>IF(B881="","",IF(K881&lt;&gt;"",K881,IF(N(IFERROR(INDEX(Projects!$D$6:$D$65,MATCH(D881,Projects!$B$6:$B$65,0)),""))&gt;0,IFERROR(INDEX(Projects!$D$6:$D$65,MATCH(D881,Projects!$B$6:$B$65,0)),""),IFERROR(INDEX(Clients!$G$6:$G$45,MATCH(C881,Clients!$B$6:$B$45,0)),0))))</f>
        <v/>
      </c>
      <c r="O881" s="14">
        <f>IF(B881="","",IF(J881&lt;&gt;"",0,ROUND(M881*N881,2)))</f>
        <v/>
      </c>
      <c r="P881" s="15">
        <f>IF(OR(B881="",J881&lt;&gt;""),"",IF(L881&lt;&gt;"",L881,IF(COUNTIFS(Invoices!$C$6:$C$305,C881,Invoices!$E$6:$E$305,"&lt;="&amp;B881,Invoices!$F$6:$F$305,"&gt;="&amp;B881)=1,INDEX(Invoices!$B$6:$B$305,SUMIFS(Invoices!$O$6:$O$305,Invoices!$C$6:$C$305,C881,Invoices!$E$6:$E$305,"&lt;="&amp;B881,Invoices!$F$6:$F$305,"&gt;="&amp;B881)),IF(COUNTIFS(Invoices!$C$6:$C$305,C881,Invoices!$E$6:$E$305,"&lt;="&amp;B881,Invoices!$F$6:$F$305,"&gt;="&amp;B881)&gt;1,"Two invoices",""))))</f>
        <v/>
      </c>
      <c r="Q881" s="15">
        <f>IF(B881="","",IF(J881&lt;&gt;"","Not billable",IF(P881="","To invoice",IF(P881="Two invoices","Check dates",IF(ISNA(MATCH(P881,Invoices!$B$6:$B$305,0)),"Check number",IF(INDEX(Invoices!$M$6:$M$305,MATCH(P881,Invoices!$B$6:$B$305,0))="Paid","Paid",IF(INDEX(Invoices!$M$6:$M$305,MATCH(P881,Invoices!$B$6:$B$305,0))="Draft","Draft","Invoiced")))))))</f>
        <v/>
      </c>
      <c r="R881" s="1">
        <f>IF(AND(B881&lt;&gt;"",P881&lt;&gt;"",P881=Invoice!$G$4),B881+MOD(N(F881),1)+ROW()/10000000,"")</f>
        <v/>
      </c>
      <c r="S881">
        <f>IF(R881="","",IF(D881="","Other work",D881)&amp;IF(AND(K881&lt;&gt;"",E881&lt;&gt;""),", "&amp;E881,""))</f>
        <v/>
      </c>
      <c r="T881">
        <f>IF(R881="","",IF(COUNTIFS(R$6:R880,"&gt;0",S$6:S880,S881,N$6:N880,N881)=0,R881,""))</f>
        <v/>
      </c>
      <c r="U881">
        <f>IF(B881="","",IF(J881&lt;&gt;"",0,M881))</f>
        <v/>
      </c>
    </row>
    <row r="882">
      <c r="A882" s="1" t="n"/>
      <c r="B882" s="16" t="n"/>
      <c r="C882" s="17" t="n"/>
      <c r="D882" s="18" t="n"/>
      <c r="E882" s="18" t="n"/>
      <c r="F882" s="19" t="n"/>
      <c r="G882" s="19" t="n"/>
      <c r="H882" s="20" t="n"/>
      <c r="I882" s="21" t="n"/>
      <c r="J882" s="22" t="n"/>
      <c r="K882" s="23" t="n"/>
      <c r="L882" s="18" t="n"/>
      <c r="M882" s="24">
        <f>IF(B882="","",IF(AND(F882&lt;&gt;"",G882&lt;&gt;""),MAX(0,ROUND(MOD(G882-F882,1)*24-N(H882)/60,2)),N(I882)))</f>
        <v/>
      </c>
      <c r="N882" s="14">
        <f>IF(B882="","",IF(K882&lt;&gt;"",K882,IF(N(IFERROR(INDEX(Projects!$D$6:$D$65,MATCH(D882,Projects!$B$6:$B$65,0)),""))&gt;0,IFERROR(INDEX(Projects!$D$6:$D$65,MATCH(D882,Projects!$B$6:$B$65,0)),""),IFERROR(INDEX(Clients!$G$6:$G$45,MATCH(C882,Clients!$B$6:$B$45,0)),0))))</f>
        <v/>
      </c>
      <c r="O882" s="14">
        <f>IF(B882="","",IF(J882&lt;&gt;"",0,ROUND(M882*N882,2)))</f>
        <v/>
      </c>
      <c r="P882" s="15">
        <f>IF(OR(B882="",J882&lt;&gt;""),"",IF(L882&lt;&gt;"",L882,IF(COUNTIFS(Invoices!$C$6:$C$305,C882,Invoices!$E$6:$E$305,"&lt;="&amp;B882,Invoices!$F$6:$F$305,"&gt;="&amp;B882)=1,INDEX(Invoices!$B$6:$B$305,SUMIFS(Invoices!$O$6:$O$305,Invoices!$C$6:$C$305,C882,Invoices!$E$6:$E$305,"&lt;="&amp;B882,Invoices!$F$6:$F$305,"&gt;="&amp;B882)),IF(COUNTIFS(Invoices!$C$6:$C$305,C882,Invoices!$E$6:$E$305,"&lt;="&amp;B882,Invoices!$F$6:$F$305,"&gt;="&amp;B882)&gt;1,"Two invoices",""))))</f>
        <v/>
      </c>
      <c r="Q882" s="15">
        <f>IF(B882="","",IF(J882&lt;&gt;"","Not billable",IF(P882="","To invoice",IF(P882="Two invoices","Check dates",IF(ISNA(MATCH(P882,Invoices!$B$6:$B$305,0)),"Check number",IF(INDEX(Invoices!$M$6:$M$305,MATCH(P882,Invoices!$B$6:$B$305,0))="Paid","Paid",IF(INDEX(Invoices!$M$6:$M$305,MATCH(P882,Invoices!$B$6:$B$305,0))="Draft","Draft","Invoiced")))))))</f>
        <v/>
      </c>
      <c r="R882" s="1">
        <f>IF(AND(B882&lt;&gt;"",P882&lt;&gt;"",P882=Invoice!$G$4),B882+MOD(N(F882),1)+ROW()/10000000,"")</f>
        <v/>
      </c>
      <c r="S882">
        <f>IF(R882="","",IF(D882="","Other work",D882)&amp;IF(AND(K882&lt;&gt;"",E882&lt;&gt;""),", "&amp;E882,""))</f>
        <v/>
      </c>
      <c r="T882">
        <f>IF(R882="","",IF(COUNTIFS(R$6:R881,"&gt;0",S$6:S881,S882,N$6:N881,N882)=0,R882,""))</f>
        <v/>
      </c>
      <c r="U882">
        <f>IF(B882="","",IF(J882&lt;&gt;"",0,M882))</f>
        <v/>
      </c>
    </row>
    <row r="883">
      <c r="A883" s="1" t="n"/>
      <c r="B883" s="16" t="n"/>
      <c r="C883" s="17" t="n"/>
      <c r="D883" s="18" t="n"/>
      <c r="E883" s="18" t="n"/>
      <c r="F883" s="19" t="n"/>
      <c r="G883" s="19" t="n"/>
      <c r="H883" s="20" t="n"/>
      <c r="I883" s="21" t="n"/>
      <c r="J883" s="22" t="n"/>
      <c r="K883" s="23" t="n"/>
      <c r="L883" s="18" t="n"/>
      <c r="M883" s="24">
        <f>IF(B883="","",IF(AND(F883&lt;&gt;"",G883&lt;&gt;""),MAX(0,ROUND(MOD(G883-F883,1)*24-N(H883)/60,2)),N(I883)))</f>
        <v/>
      </c>
      <c r="N883" s="14">
        <f>IF(B883="","",IF(K883&lt;&gt;"",K883,IF(N(IFERROR(INDEX(Projects!$D$6:$D$65,MATCH(D883,Projects!$B$6:$B$65,0)),""))&gt;0,IFERROR(INDEX(Projects!$D$6:$D$65,MATCH(D883,Projects!$B$6:$B$65,0)),""),IFERROR(INDEX(Clients!$G$6:$G$45,MATCH(C883,Clients!$B$6:$B$45,0)),0))))</f>
        <v/>
      </c>
      <c r="O883" s="14">
        <f>IF(B883="","",IF(J883&lt;&gt;"",0,ROUND(M883*N883,2)))</f>
        <v/>
      </c>
      <c r="P883" s="15">
        <f>IF(OR(B883="",J883&lt;&gt;""),"",IF(L883&lt;&gt;"",L883,IF(COUNTIFS(Invoices!$C$6:$C$305,C883,Invoices!$E$6:$E$305,"&lt;="&amp;B883,Invoices!$F$6:$F$305,"&gt;="&amp;B883)=1,INDEX(Invoices!$B$6:$B$305,SUMIFS(Invoices!$O$6:$O$305,Invoices!$C$6:$C$305,C883,Invoices!$E$6:$E$305,"&lt;="&amp;B883,Invoices!$F$6:$F$305,"&gt;="&amp;B883)),IF(COUNTIFS(Invoices!$C$6:$C$305,C883,Invoices!$E$6:$E$305,"&lt;="&amp;B883,Invoices!$F$6:$F$305,"&gt;="&amp;B883)&gt;1,"Two invoices",""))))</f>
        <v/>
      </c>
      <c r="Q883" s="15">
        <f>IF(B883="","",IF(J883&lt;&gt;"","Not billable",IF(P883="","To invoice",IF(P883="Two invoices","Check dates",IF(ISNA(MATCH(P883,Invoices!$B$6:$B$305,0)),"Check number",IF(INDEX(Invoices!$M$6:$M$305,MATCH(P883,Invoices!$B$6:$B$305,0))="Paid","Paid",IF(INDEX(Invoices!$M$6:$M$305,MATCH(P883,Invoices!$B$6:$B$305,0))="Draft","Draft","Invoiced")))))))</f>
        <v/>
      </c>
      <c r="R883" s="1">
        <f>IF(AND(B883&lt;&gt;"",P883&lt;&gt;"",P883=Invoice!$G$4),B883+MOD(N(F883),1)+ROW()/10000000,"")</f>
        <v/>
      </c>
      <c r="S883">
        <f>IF(R883="","",IF(D883="","Other work",D883)&amp;IF(AND(K883&lt;&gt;"",E883&lt;&gt;""),", "&amp;E883,""))</f>
        <v/>
      </c>
      <c r="T883">
        <f>IF(R883="","",IF(COUNTIFS(R$6:R882,"&gt;0",S$6:S882,S883,N$6:N882,N883)=0,R883,""))</f>
        <v/>
      </c>
      <c r="U883">
        <f>IF(B883="","",IF(J883&lt;&gt;"",0,M883))</f>
        <v/>
      </c>
    </row>
    <row r="884">
      <c r="A884" s="1" t="n"/>
      <c r="B884" s="16" t="n"/>
      <c r="C884" s="17" t="n"/>
      <c r="D884" s="18" t="n"/>
      <c r="E884" s="18" t="n"/>
      <c r="F884" s="19" t="n"/>
      <c r="G884" s="19" t="n"/>
      <c r="H884" s="20" t="n"/>
      <c r="I884" s="21" t="n"/>
      <c r="J884" s="22" t="n"/>
      <c r="K884" s="23" t="n"/>
      <c r="L884" s="18" t="n"/>
      <c r="M884" s="24">
        <f>IF(B884="","",IF(AND(F884&lt;&gt;"",G884&lt;&gt;""),MAX(0,ROUND(MOD(G884-F884,1)*24-N(H884)/60,2)),N(I884)))</f>
        <v/>
      </c>
      <c r="N884" s="14">
        <f>IF(B884="","",IF(K884&lt;&gt;"",K884,IF(N(IFERROR(INDEX(Projects!$D$6:$D$65,MATCH(D884,Projects!$B$6:$B$65,0)),""))&gt;0,IFERROR(INDEX(Projects!$D$6:$D$65,MATCH(D884,Projects!$B$6:$B$65,0)),""),IFERROR(INDEX(Clients!$G$6:$G$45,MATCH(C884,Clients!$B$6:$B$45,0)),0))))</f>
        <v/>
      </c>
      <c r="O884" s="14">
        <f>IF(B884="","",IF(J884&lt;&gt;"",0,ROUND(M884*N884,2)))</f>
        <v/>
      </c>
      <c r="P884" s="15">
        <f>IF(OR(B884="",J884&lt;&gt;""),"",IF(L884&lt;&gt;"",L884,IF(COUNTIFS(Invoices!$C$6:$C$305,C884,Invoices!$E$6:$E$305,"&lt;="&amp;B884,Invoices!$F$6:$F$305,"&gt;="&amp;B884)=1,INDEX(Invoices!$B$6:$B$305,SUMIFS(Invoices!$O$6:$O$305,Invoices!$C$6:$C$305,C884,Invoices!$E$6:$E$305,"&lt;="&amp;B884,Invoices!$F$6:$F$305,"&gt;="&amp;B884)),IF(COUNTIFS(Invoices!$C$6:$C$305,C884,Invoices!$E$6:$E$305,"&lt;="&amp;B884,Invoices!$F$6:$F$305,"&gt;="&amp;B884)&gt;1,"Two invoices",""))))</f>
        <v/>
      </c>
      <c r="Q884" s="15">
        <f>IF(B884="","",IF(J884&lt;&gt;"","Not billable",IF(P884="","To invoice",IF(P884="Two invoices","Check dates",IF(ISNA(MATCH(P884,Invoices!$B$6:$B$305,0)),"Check number",IF(INDEX(Invoices!$M$6:$M$305,MATCH(P884,Invoices!$B$6:$B$305,0))="Paid","Paid",IF(INDEX(Invoices!$M$6:$M$305,MATCH(P884,Invoices!$B$6:$B$305,0))="Draft","Draft","Invoiced")))))))</f>
        <v/>
      </c>
      <c r="R884" s="1">
        <f>IF(AND(B884&lt;&gt;"",P884&lt;&gt;"",P884=Invoice!$G$4),B884+MOD(N(F884),1)+ROW()/10000000,"")</f>
        <v/>
      </c>
      <c r="S884">
        <f>IF(R884="","",IF(D884="","Other work",D884)&amp;IF(AND(K884&lt;&gt;"",E884&lt;&gt;""),", "&amp;E884,""))</f>
        <v/>
      </c>
      <c r="T884">
        <f>IF(R884="","",IF(COUNTIFS(R$6:R883,"&gt;0",S$6:S883,S884,N$6:N883,N884)=0,R884,""))</f>
        <v/>
      </c>
      <c r="U884">
        <f>IF(B884="","",IF(J884&lt;&gt;"",0,M884))</f>
        <v/>
      </c>
    </row>
    <row r="885">
      <c r="A885" s="1" t="n"/>
      <c r="B885" s="16" t="n"/>
      <c r="C885" s="17" t="n"/>
      <c r="D885" s="18" t="n"/>
      <c r="E885" s="18" t="n"/>
      <c r="F885" s="19" t="n"/>
      <c r="G885" s="19" t="n"/>
      <c r="H885" s="20" t="n"/>
      <c r="I885" s="21" t="n"/>
      <c r="J885" s="22" t="n"/>
      <c r="K885" s="23" t="n"/>
      <c r="L885" s="18" t="n"/>
      <c r="M885" s="24">
        <f>IF(B885="","",IF(AND(F885&lt;&gt;"",G885&lt;&gt;""),MAX(0,ROUND(MOD(G885-F885,1)*24-N(H885)/60,2)),N(I885)))</f>
        <v/>
      </c>
      <c r="N885" s="14">
        <f>IF(B885="","",IF(K885&lt;&gt;"",K885,IF(N(IFERROR(INDEX(Projects!$D$6:$D$65,MATCH(D885,Projects!$B$6:$B$65,0)),""))&gt;0,IFERROR(INDEX(Projects!$D$6:$D$65,MATCH(D885,Projects!$B$6:$B$65,0)),""),IFERROR(INDEX(Clients!$G$6:$G$45,MATCH(C885,Clients!$B$6:$B$45,0)),0))))</f>
        <v/>
      </c>
      <c r="O885" s="14">
        <f>IF(B885="","",IF(J885&lt;&gt;"",0,ROUND(M885*N885,2)))</f>
        <v/>
      </c>
      <c r="P885" s="15">
        <f>IF(OR(B885="",J885&lt;&gt;""),"",IF(L885&lt;&gt;"",L885,IF(COUNTIFS(Invoices!$C$6:$C$305,C885,Invoices!$E$6:$E$305,"&lt;="&amp;B885,Invoices!$F$6:$F$305,"&gt;="&amp;B885)=1,INDEX(Invoices!$B$6:$B$305,SUMIFS(Invoices!$O$6:$O$305,Invoices!$C$6:$C$305,C885,Invoices!$E$6:$E$305,"&lt;="&amp;B885,Invoices!$F$6:$F$305,"&gt;="&amp;B885)),IF(COUNTIFS(Invoices!$C$6:$C$305,C885,Invoices!$E$6:$E$305,"&lt;="&amp;B885,Invoices!$F$6:$F$305,"&gt;="&amp;B885)&gt;1,"Two invoices",""))))</f>
        <v/>
      </c>
      <c r="Q885" s="15">
        <f>IF(B885="","",IF(J885&lt;&gt;"","Not billable",IF(P885="","To invoice",IF(P885="Two invoices","Check dates",IF(ISNA(MATCH(P885,Invoices!$B$6:$B$305,0)),"Check number",IF(INDEX(Invoices!$M$6:$M$305,MATCH(P885,Invoices!$B$6:$B$305,0))="Paid","Paid",IF(INDEX(Invoices!$M$6:$M$305,MATCH(P885,Invoices!$B$6:$B$305,0))="Draft","Draft","Invoiced")))))))</f>
        <v/>
      </c>
      <c r="R885" s="1">
        <f>IF(AND(B885&lt;&gt;"",P885&lt;&gt;"",P885=Invoice!$G$4),B885+MOD(N(F885),1)+ROW()/10000000,"")</f>
        <v/>
      </c>
      <c r="S885">
        <f>IF(R885="","",IF(D885="","Other work",D885)&amp;IF(AND(K885&lt;&gt;"",E885&lt;&gt;""),", "&amp;E885,""))</f>
        <v/>
      </c>
      <c r="T885">
        <f>IF(R885="","",IF(COUNTIFS(R$6:R884,"&gt;0",S$6:S884,S885,N$6:N884,N885)=0,R885,""))</f>
        <v/>
      </c>
      <c r="U885">
        <f>IF(B885="","",IF(J885&lt;&gt;"",0,M885))</f>
        <v/>
      </c>
    </row>
    <row r="886">
      <c r="A886" s="1" t="n"/>
      <c r="B886" s="16" t="n"/>
      <c r="C886" s="17" t="n"/>
      <c r="D886" s="18" t="n"/>
      <c r="E886" s="18" t="n"/>
      <c r="F886" s="19" t="n"/>
      <c r="G886" s="19" t="n"/>
      <c r="H886" s="20" t="n"/>
      <c r="I886" s="21" t="n"/>
      <c r="J886" s="22" t="n"/>
      <c r="K886" s="23" t="n"/>
      <c r="L886" s="18" t="n"/>
      <c r="M886" s="24">
        <f>IF(B886="","",IF(AND(F886&lt;&gt;"",G886&lt;&gt;""),MAX(0,ROUND(MOD(G886-F886,1)*24-N(H886)/60,2)),N(I886)))</f>
        <v/>
      </c>
      <c r="N886" s="14">
        <f>IF(B886="","",IF(K886&lt;&gt;"",K886,IF(N(IFERROR(INDEX(Projects!$D$6:$D$65,MATCH(D886,Projects!$B$6:$B$65,0)),""))&gt;0,IFERROR(INDEX(Projects!$D$6:$D$65,MATCH(D886,Projects!$B$6:$B$65,0)),""),IFERROR(INDEX(Clients!$G$6:$G$45,MATCH(C886,Clients!$B$6:$B$45,0)),0))))</f>
        <v/>
      </c>
      <c r="O886" s="14">
        <f>IF(B886="","",IF(J886&lt;&gt;"",0,ROUND(M886*N886,2)))</f>
        <v/>
      </c>
      <c r="P886" s="15">
        <f>IF(OR(B886="",J886&lt;&gt;""),"",IF(L886&lt;&gt;"",L886,IF(COUNTIFS(Invoices!$C$6:$C$305,C886,Invoices!$E$6:$E$305,"&lt;="&amp;B886,Invoices!$F$6:$F$305,"&gt;="&amp;B886)=1,INDEX(Invoices!$B$6:$B$305,SUMIFS(Invoices!$O$6:$O$305,Invoices!$C$6:$C$305,C886,Invoices!$E$6:$E$305,"&lt;="&amp;B886,Invoices!$F$6:$F$305,"&gt;="&amp;B886)),IF(COUNTIFS(Invoices!$C$6:$C$305,C886,Invoices!$E$6:$E$305,"&lt;="&amp;B886,Invoices!$F$6:$F$305,"&gt;="&amp;B886)&gt;1,"Two invoices",""))))</f>
        <v/>
      </c>
      <c r="Q886" s="15">
        <f>IF(B886="","",IF(J886&lt;&gt;"","Not billable",IF(P886="","To invoice",IF(P886="Two invoices","Check dates",IF(ISNA(MATCH(P886,Invoices!$B$6:$B$305,0)),"Check number",IF(INDEX(Invoices!$M$6:$M$305,MATCH(P886,Invoices!$B$6:$B$305,0))="Paid","Paid",IF(INDEX(Invoices!$M$6:$M$305,MATCH(P886,Invoices!$B$6:$B$305,0))="Draft","Draft","Invoiced")))))))</f>
        <v/>
      </c>
      <c r="R886" s="1">
        <f>IF(AND(B886&lt;&gt;"",P886&lt;&gt;"",P886=Invoice!$G$4),B886+MOD(N(F886),1)+ROW()/10000000,"")</f>
        <v/>
      </c>
      <c r="S886">
        <f>IF(R886="","",IF(D886="","Other work",D886)&amp;IF(AND(K886&lt;&gt;"",E886&lt;&gt;""),", "&amp;E886,""))</f>
        <v/>
      </c>
      <c r="T886">
        <f>IF(R886="","",IF(COUNTIFS(R$6:R885,"&gt;0",S$6:S885,S886,N$6:N885,N886)=0,R886,""))</f>
        <v/>
      </c>
      <c r="U886">
        <f>IF(B886="","",IF(J886&lt;&gt;"",0,M886))</f>
        <v/>
      </c>
    </row>
    <row r="887">
      <c r="A887" s="1" t="n"/>
      <c r="B887" s="16" t="n"/>
      <c r="C887" s="17" t="n"/>
      <c r="D887" s="18" t="n"/>
      <c r="E887" s="18" t="n"/>
      <c r="F887" s="19" t="n"/>
      <c r="G887" s="19" t="n"/>
      <c r="H887" s="20" t="n"/>
      <c r="I887" s="21" t="n"/>
      <c r="J887" s="22" t="n"/>
      <c r="K887" s="23" t="n"/>
      <c r="L887" s="18" t="n"/>
      <c r="M887" s="24">
        <f>IF(B887="","",IF(AND(F887&lt;&gt;"",G887&lt;&gt;""),MAX(0,ROUND(MOD(G887-F887,1)*24-N(H887)/60,2)),N(I887)))</f>
        <v/>
      </c>
      <c r="N887" s="14">
        <f>IF(B887="","",IF(K887&lt;&gt;"",K887,IF(N(IFERROR(INDEX(Projects!$D$6:$D$65,MATCH(D887,Projects!$B$6:$B$65,0)),""))&gt;0,IFERROR(INDEX(Projects!$D$6:$D$65,MATCH(D887,Projects!$B$6:$B$65,0)),""),IFERROR(INDEX(Clients!$G$6:$G$45,MATCH(C887,Clients!$B$6:$B$45,0)),0))))</f>
        <v/>
      </c>
      <c r="O887" s="14">
        <f>IF(B887="","",IF(J887&lt;&gt;"",0,ROUND(M887*N887,2)))</f>
        <v/>
      </c>
      <c r="P887" s="15">
        <f>IF(OR(B887="",J887&lt;&gt;""),"",IF(L887&lt;&gt;"",L887,IF(COUNTIFS(Invoices!$C$6:$C$305,C887,Invoices!$E$6:$E$305,"&lt;="&amp;B887,Invoices!$F$6:$F$305,"&gt;="&amp;B887)=1,INDEX(Invoices!$B$6:$B$305,SUMIFS(Invoices!$O$6:$O$305,Invoices!$C$6:$C$305,C887,Invoices!$E$6:$E$305,"&lt;="&amp;B887,Invoices!$F$6:$F$305,"&gt;="&amp;B887)),IF(COUNTIFS(Invoices!$C$6:$C$305,C887,Invoices!$E$6:$E$305,"&lt;="&amp;B887,Invoices!$F$6:$F$305,"&gt;="&amp;B887)&gt;1,"Two invoices",""))))</f>
        <v/>
      </c>
      <c r="Q887" s="15">
        <f>IF(B887="","",IF(J887&lt;&gt;"","Not billable",IF(P887="","To invoice",IF(P887="Two invoices","Check dates",IF(ISNA(MATCH(P887,Invoices!$B$6:$B$305,0)),"Check number",IF(INDEX(Invoices!$M$6:$M$305,MATCH(P887,Invoices!$B$6:$B$305,0))="Paid","Paid",IF(INDEX(Invoices!$M$6:$M$305,MATCH(P887,Invoices!$B$6:$B$305,0))="Draft","Draft","Invoiced")))))))</f>
        <v/>
      </c>
      <c r="R887" s="1">
        <f>IF(AND(B887&lt;&gt;"",P887&lt;&gt;"",P887=Invoice!$G$4),B887+MOD(N(F887),1)+ROW()/10000000,"")</f>
        <v/>
      </c>
      <c r="S887">
        <f>IF(R887="","",IF(D887="","Other work",D887)&amp;IF(AND(K887&lt;&gt;"",E887&lt;&gt;""),", "&amp;E887,""))</f>
        <v/>
      </c>
      <c r="T887">
        <f>IF(R887="","",IF(COUNTIFS(R$6:R886,"&gt;0",S$6:S886,S887,N$6:N886,N887)=0,R887,""))</f>
        <v/>
      </c>
      <c r="U887">
        <f>IF(B887="","",IF(J887&lt;&gt;"",0,M887))</f>
        <v/>
      </c>
    </row>
    <row r="888">
      <c r="A888" s="1" t="n"/>
      <c r="B888" s="16" t="n"/>
      <c r="C888" s="17" t="n"/>
      <c r="D888" s="18" t="n"/>
      <c r="E888" s="18" t="n"/>
      <c r="F888" s="19" t="n"/>
      <c r="G888" s="19" t="n"/>
      <c r="H888" s="20" t="n"/>
      <c r="I888" s="21" t="n"/>
      <c r="J888" s="22" t="n"/>
      <c r="K888" s="23" t="n"/>
      <c r="L888" s="18" t="n"/>
      <c r="M888" s="24">
        <f>IF(B888="","",IF(AND(F888&lt;&gt;"",G888&lt;&gt;""),MAX(0,ROUND(MOD(G888-F888,1)*24-N(H888)/60,2)),N(I888)))</f>
        <v/>
      </c>
      <c r="N888" s="14">
        <f>IF(B888="","",IF(K888&lt;&gt;"",K888,IF(N(IFERROR(INDEX(Projects!$D$6:$D$65,MATCH(D888,Projects!$B$6:$B$65,0)),""))&gt;0,IFERROR(INDEX(Projects!$D$6:$D$65,MATCH(D888,Projects!$B$6:$B$65,0)),""),IFERROR(INDEX(Clients!$G$6:$G$45,MATCH(C888,Clients!$B$6:$B$45,0)),0))))</f>
        <v/>
      </c>
      <c r="O888" s="14">
        <f>IF(B888="","",IF(J888&lt;&gt;"",0,ROUND(M888*N888,2)))</f>
        <v/>
      </c>
      <c r="P888" s="15">
        <f>IF(OR(B888="",J888&lt;&gt;""),"",IF(L888&lt;&gt;"",L888,IF(COUNTIFS(Invoices!$C$6:$C$305,C888,Invoices!$E$6:$E$305,"&lt;="&amp;B888,Invoices!$F$6:$F$305,"&gt;="&amp;B888)=1,INDEX(Invoices!$B$6:$B$305,SUMIFS(Invoices!$O$6:$O$305,Invoices!$C$6:$C$305,C888,Invoices!$E$6:$E$305,"&lt;="&amp;B888,Invoices!$F$6:$F$305,"&gt;="&amp;B888)),IF(COUNTIFS(Invoices!$C$6:$C$305,C888,Invoices!$E$6:$E$305,"&lt;="&amp;B888,Invoices!$F$6:$F$305,"&gt;="&amp;B888)&gt;1,"Two invoices",""))))</f>
        <v/>
      </c>
      <c r="Q888" s="15">
        <f>IF(B888="","",IF(J888&lt;&gt;"","Not billable",IF(P888="","To invoice",IF(P888="Two invoices","Check dates",IF(ISNA(MATCH(P888,Invoices!$B$6:$B$305,0)),"Check number",IF(INDEX(Invoices!$M$6:$M$305,MATCH(P888,Invoices!$B$6:$B$305,0))="Paid","Paid",IF(INDEX(Invoices!$M$6:$M$305,MATCH(P888,Invoices!$B$6:$B$305,0))="Draft","Draft","Invoiced")))))))</f>
        <v/>
      </c>
      <c r="R888" s="1">
        <f>IF(AND(B888&lt;&gt;"",P888&lt;&gt;"",P888=Invoice!$G$4),B888+MOD(N(F888),1)+ROW()/10000000,"")</f>
        <v/>
      </c>
      <c r="S888">
        <f>IF(R888="","",IF(D888="","Other work",D888)&amp;IF(AND(K888&lt;&gt;"",E888&lt;&gt;""),", "&amp;E888,""))</f>
        <v/>
      </c>
      <c r="T888">
        <f>IF(R888="","",IF(COUNTIFS(R$6:R887,"&gt;0",S$6:S887,S888,N$6:N887,N888)=0,R888,""))</f>
        <v/>
      </c>
      <c r="U888">
        <f>IF(B888="","",IF(J888&lt;&gt;"",0,M888))</f>
        <v/>
      </c>
    </row>
    <row r="889">
      <c r="A889" s="1" t="n"/>
      <c r="B889" s="16" t="n"/>
      <c r="C889" s="17" t="n"/>
      <c r="D889" s="18" t="n"/>
      <c r="E889" s="18" t="n"/>
      <c r="F889" s="19" t="n"/>
      <c r="G889" s="19" t="n"/>
      <c r="H889" s="20" t="n"/>
      <c r="I889" s="21" t="n"/>
      <c r="J889" s="22" t="n"/>
      <c r="K889" s="23" t="n"/>
      <c r="L889" s="18" t="n"/>
      <c r="M889" s="24">
        <f>IF(B889="","",IF(AND(F889&lt;&gt;"",G889&lt;&gt;""),MAX(0,ROUND(MOD(G889-F889,1)*24-N(H889)/60,2)),N(I889)))</f>
        <v/>
      </c>
      <c r="N889" s="14">
        <f>IF(B889="","",IF(K889&lt;&gt;"",K889,IF(N(IFERROR(INDEX(Projects!$D$6:$D$65,MATCH(D889,Projects!$B$6:$B$65,0)),""))&gt;0,IFERROR(INDEX(Projects!$D$6:$D$65,MATCH(D889,Projects!$B$6:$B$65,0)),""),IFERROR(INDEX(Clients!$G$6:$G$45,MATCH(C889,Clients!$B$6:$B$45,0)),0))))</f>
        <v/>
      </c>
      <c r="O889" s="14">
        <f>IF(B889="","",IF(J889&lt;&gt;"",0,ROUND(M889*N889,2)))</f>
        <v/>
      </c>
      <c r="P889" s="15">
        <f>IF(OR(B889="",J889&lt;&gt;""),"",IF(L889&lt;&gt;"",L889,IF(COUNTIFS(Invoices!$C$6:$C$305,C889,Invoices!$E$6:$E$305,"&lt;="&amp;B889,Invoices!$F$6:$F$305,"&gt;="&amp;B889)=1,INDEX(Invoices!$B$6:$B$305,SUMIFS(Invoices!$O$6:$O$305,Invoices!$C$6:$C$305,C889,Invoices!$E$6:$E$305,"&lt;="&amp;B889,Invoices!$F$6:$F$305,"&gt;="&amp;B889)),IF(COUNTIFS(Invoices!$C$6:$C$305,C889,Invoices!$E$6:$E$305,"&lt;="&amp;B889,Invoices!$F$6:$F$305,"&gt;="&amp;B889)&gt;1,"Two invoices",""))))</f>
        <v/>
      </c>
      <c r="Q889" s="15">
        <f>IF(B889="","",IF(J889&lt;&gt;"","Not billable",IF(P889="","To invoice",IF(P889="Two invoices","Check dates",IF(ISNA(MATCH(P889,Invoices!$B$6:$B$305,0)),"Check number",IF(INDEX(Invoices!$M$6:$M$305,MATCH(P889,Invoices!$B$6:$B$305,0))="Paid","Paid",IF(INDEX(Invoices!$M$6:$M$305,MATCH(P889,Invoices!$B$6:$B$305,0))="Draft","Draft","Invoiced")))))))</f>
        <v/>
      </c>
      <c r="R889" s="1">
        <f>IF(AND(B889&lt;&gt;"",P889&lt;&gt;"",P889=Invoice!$G$4),B889+MOD(N(F889),1)+ROW()/10000000,"")</f>
        <v/>
      </c>
      <c r="S889">
        <f>IF(R889="","",IF(D889="","Other work",D889)&amp;IF(AND(K889&lt;&gt;"",E889&lt;&gt;""),", "&amp;E889,""))</f>
        <v/>
      </c>
      <c r="T889">
        <f>IF(R889="","",IF(COUNTIFS(R$6:R888,"&gt;0",S$6:S888,S889,N$6:N888,N889)=0,R889,""))</f>
        <v/>
      </c>
      <c r="U889">
        <f>IF(B889="","",IF(J889&lt;&gt;"",0,M889))</f>
        <v/>
      </c>
    </row>
    <row r="890">
      <c r="A890" s="1" t="n"/>
      <c r="B890" s="16" t="n"/>
      <c r="C890" s="17" t="n"/>
      <c r="D890" s="18" t="n"/>
      <c r="E890" s="18" t="n"/>
      <c r="F890" s="19" t="n"/>
      <c r="G890" s="19" t="n"/>
      <c r="H890" s="20" t="n"/>
      <c r="I890" s="21" t="n"/>
      <c r="J890" s="22" t="n"/>
      <c r="K890" s="23" t="n"/>
      <c r="L890" s="18" t="n"/>
      <c r="M890" s="24">
        <f>IF(B890="","",IF(AND(F890&lt;&gt;"",G890&lt;&gt;""),MAX(0,ROUND(MOD(G890-F890,1)*24-N(H890)/60,2)),N(I890)))</f>
        <v/>
      </c>
      <c r="N890" s="14">
        <f>IF(B890="","",IF(K890&lt;&gt;"",K890,IF(N(IFERROR(INDEX(Projects!$D$6:$D$65,MATCH(D890,Projects!$B$6:$B$65,0)),""))&gt;0,IFERROR(INDEX(Projects!$D$6:$D$65,MATCH(D890,Projects!$B$6:$B$65,0)),""),IFERROR(INDEX(Clients!$G$6:$G$45,MATCH(C890,Clients!$B$6:$B$45,0)),0))))</f>
        <v/>
      </c>
      <c r="O890" s="14">
        <f>IF(B890="","",IF(J890&lt;&gt;"",0,ROUND(M890*N890,2)))</f>
        <v/>
      </c>
      <c r="P890" s="15">
        <f>IF(OR(B890="",J890&lt;&gt;""),"",IF(L890&lt;&gt;"",L890,IF(COUNTIFS(Invoices!$C$6:$C$305,C890,Invoices!$E$6:$E$305,"&lt;="&amp;B890,Invoices!$F$6:$F$305,"&gt;="&amp;B890)=1,INDEX(Invoices!$B$6:$B$305,SUMIFS(Invoices!$O$6:$O$305,Invoices!$C$6:$C$305,C890,Invoices!$E$6:$E$305,"&lt;="&amp;B890,Invoices!$F$6:$F$305,"&gt;="&amp;B890)),IF(COUNTIFS(Invoices!$C$6:$C$305,C890,Invoices!$E$6:$E$305,"&lt;="&amp;B890,Invoices!$F$6:$F$305,"&gt;="&amp;B890)&gt;1,"Two invoices",""))))</f>
        <v/>
      </c>
      <c r="Q890" s="15">
        <f>IF(B890="","",IF(J890&lt;&gt;"","Not billable",IF(P890="","To invoice",IF(P890="Two invoices","Check dates",IF(ISNA(MATCH(P890,Invoices!$B$6:$B$305,0)),"Check number",IF(INDEX(Invoices!$M$6:$M$305,MATCH(P890,Invoices!$B$6:$B$305,0))="Paid","Paid",IF(INDEX(Invoices!$M$6:$M$305,MATCH(P890,Invoices!$B$6:$B$305,0))="Draft","Draft","Invoiced")))))))</f>
        <v/>
      </c>
      <c r="R890" s="1">
        <f>IF(AND(B890&lt;&gt;"",P890&lt;&gt;"",P890=Invoice!$G$4),B890+MOD(N(F890),1)+ROW()/10000000,"")</f>
        <v/>
      </c>
      <c r="S890">
        <f>IF(R890="","",IF(D890="","Other work",D890)&amp;IF(AND(K890&lt;&gt;"",E890&lt;&gt;""),", "&amp;E890,""))</f>
        <v/>
      </c>
      <c r="T890">
        <f>IF(R890="","",IF(COUNTIFS(R$6:R889,"&gt;0",S$6:S889,S890,N$6:N889,N890)=0,R890,""))</f>
        <v/>
      </c>
      <c r="U890">
        <f>IF(B890="","",IF(J890&lt;&gt;"",0,M890))</f>
        <v/>
      </c>
    </row>
    <row r="891">
      <c r="A891" s="1" t="n"/>
      <c r="B891" s="16" t="n"/>
      <c r="C891" s="17" t="n"/>
      <c r="D891" s="18" t="n"/>
      <c r="E891" s="18" t="n"/>
      <c r="F891" s="19" t="n"/>
      <c r="G891" s="19" t="n"/>
      <c r="H891" s="20" t="n"/>
      <c r="I891" s="21" t="n"/>
      <c r="J891" s="22" t="n"/>
      <c r="K891" s="23" t="n"/>
      <c r="L891" s="18" t="n"/>
      <c r="M891" s="24">
        <f>IF(B891="","",IF(AND(F891&lt;&gt;"",G891&lt;&gt;""),MAX(0,ROUND(MOD(G891-F891,1)*24-N(H891)/60,2)),N(I891)))</f>
        <v/>
      </c>
      <c r="N891" s="14">
        <f>IF(B891="","",IF(K891&lt;&gt;"",K891,IF(N(IFERROR(INDEX(Projects!$D$6:$D$65,MATCH(D891,Projects!$B$6:$B$65,0)),""))&gt;0,IFERROR(INDEX(Projects!$D$6:$D$65,MATCH(D891,Projects!$B$6:$B$65,0)),""),IFERROR(INDEX(Clients!$G$6:$G$45,MATCH(C891,Clients!$B$6:$B$45,0)),0))))</f>
        <v/>
      </c>
      <c r="O891" s="14">
        <f>IF(B891="","",IF(J891&lt;&gt;"",0,ROUND(M891*N891,2)))</f>
        <v/>
      </c>
      <c r="P891" s="15">
        <f>IF(OR(B891="",J891&lt;&gt;""),"",IF(L891&lt;&gt;"",L891,IF(COUNTIFS(Invoices!$C$6:$C$305,C891,Invoices!$E$6:$E$305,"&lt;="&amp;B891,Invoices!$F$6:$F$305,"&gt;="&amp;B891)=1,INDEX(Invoices!$B$6:$B$305,SUMIFS(Invoices!$O$6:$O$305,Invoices!$C$6:$C$305,C891,Invoices!$E$6:$E$305,"&lt;="&amp;B891,Invoices!$F$6:$F$305,"&gt;="&amp;B891)),IF(COUNTIFS(Invoices!$C$6:$C$305,C891,Invoices!$E$6:$E$305,"&lt;="&amp;B891,Invoices!$F$6:$F$305,"&gt;="&amp;B891)&gt;1,"Two invoices",""))))</f>
        <v/>
      </c>
      <c r="Q891" s="15">
        <f>IF(B891="","",IF(J891&lt;&gt;"","Not billable",IF(P891="","To invoice",IF(P891="Two invoices","Check dates",IF(ISNA(MATCH(P891,Invoices!$B$6:$B$305,0)),"Check number",IF(INDEX(Invoices!$M$6:$M$305,MATCH(P891,Invoices!$B$6:$B$305,0))="Paid","Paid",IF(INDEX(Invoices!$M$6:$M$305,MATCH(P891,Invoices!$B$6:$B$305,0))="Draft","Draft","Invoiced")))))))</f>
        <v/>
      </c>
      <c r="R891" s="1">
        <f>IF(AND(B891&lt;&gt;"",P891&lt;&gt;"",P891=Invoice!$G$4),B891+MOD(N(F891),1)+ROW()/10000000,"")</f>
        <v/>
      </c>
      <c r="S891">
        <f>IF(R891="","",IF(D891="","Other work",D891)&amp;IF(AND(K891&lt;&gt;"",E891&lt;&gt;""),", "&amp;E891,""))</f>
        <v/>
      </c>
      <c r="T891">
        <f>IF(R891="","",IF(COUNTIFS(R$6:R890,"&gt;0",S$6:S890,S891,N$6:N890,N891)=0,R891,""))</f>
        <v/>
      </c>
      <c r="U891">
        <f>IF(B891="","",IF(J891&lt;&gt;"",0,M891))</f>
        <v/>
      </c>
    </row>
    <row r="892">
      <c r="A892" s="1" t="n"/>
      <c r="B892" s="16" t="n"/>
      <c r="C892" s="17" t="n"/>
      <c r="D892" s="18" t="n"/>
      <c r="E892" s="18" t="n"/>
      <c r="F892" s="19" t="n"/>
      <c r="G892" s="19" t="n"/>
      <c r="H892" s="20" t="n"/>
      <c r="I892" s="21" t="n"/>
      <c r="J892" s="22" t="n"/>
      <c r="K892" s="23" t="n"/>
      <c r="L892" s="18" t="n"/>
      <c r="M892" s="24">
        <f>IF(B892="","",IF(AND(F892&lt;&gt;"",G892&lt;&gt;""),MAX(0,ROUND(MOD(G892-F892,1)*24-N(H892)/60,2)),N(I892)))</f>
        <v/>
      </c>
      <c r="N892" s="14">
        <f>IF(B892="","",IF(K892&lt;&gt;"",K892,IF(N(IFERROR(INDEX(Projects!$D$6:$D$65,MATCH(D892,Projects!$B$6:$B$65,0)),""))&gt;0,IFERROR(INDEX(Projects!$D$6:$D$65,MATCH(D892,Projects!$B$6:$B$65,0)),""),IFERROR(INDEX(Clients!$G$6:$G$45,MATCH(C892,Clients!$B$6:$B$45,0)),0))))</f>
        <v/>
      </c>
      <c r="O892" s="14">
        <f>IF(B892="","",IF(J892&lt;&gt;"",0,ROUND(M892*N892,2)))</f>
        <v/>
      </c>
      <c r="P892" s="15">
        <f>IF(OR(B892="",J892&lt;&gt;""),"",IF(L892&lt;&gt;"",L892,IF(COUNTIFS(Invoices!$C$6:$C$305,C892,Invoices!$E$6:$E$305,"&lt;="&amp;B892,Invoices!$F$6:$F$305,"&gt;="&amp;B892)=1,INDEX(Invoices!$B$6:$B$305,SUMIFS(Invoices!$O$6:$O$305,Invoices!$C$6:$C$305,C892,Invoices!$E$6:$E$305,"&lt;="&amp;B892,Invoices!$F$6:$F$305,"&gt;="&amp;B892)),IF(COUNTIFS(Invoices!$C$6:$C$305,C892,Invoices!$E$6:$E$305,"&lt;="&amp;B892,Invoices!$F$6:$F$305,"&gt;="&amp;B892)&gt;1,"Two invoices",""))))</f>
        <v/>
      </c>
      <c r="Q892" s="15">
        <f>IF(B892="","",IF(J892&lt;&gt;"","Not billable",IF(P892="","To invoice",IF(P892="Two invoices","Check dates",IF(ISNA(MATCH(P892,Invoices!$B$6:$B$305,0)),"Check number",IF(INDEX(Invoices!$M$6:$M$305,MATCH(P892,Invoices!$B$6:$B$305,0))="Paid","Paid",IF(INDEX(Invoices!$M$6:$M$305,MATCH(P892,Invoices!$B$6:$B$305,0))="Draft","Draft","Invoiced")))))))</f>
        <v/>
      </c>
      <c r="R892" s="1">
        <f>IF(AND(B892&lt;&gt;"",P892&lt;&gt;"",P892=Invoice!$G$4),B892+MOD(N(F892),1)+ROW()/10000000,"")</f>
        <v/>
      </c>
      <c r="S892">
        <f>IF(R892="","",IF(D892="","Other work",D892)&amp;IF(AND(K892&lt;&gt;"",E892&lt;&gt;""),", "&amp;E892,""))</f>
        <v/>
      </c>
      <c r="T892">
        <f>IF(R892="","",IF(COUNTIFS(R$6:R891,"&gt;0",S$6:S891,S892,N$6:N891,N892)=0,R892,""))</f>
        <v/>
      </c>
      <c r="U892">
        <f>IF(B892="","",IF(J892&lt;&gt;"",0,M892))</f>
        <v/>
      </c>
    </row>
    <row r="893">
      <c r="A893" s="1" t="n"/>
      <c r="B893" s="16" t="n"/>
      <c r="C893" s="17" t="n"/>
      <c r="D893" s="18" t="n"/>
      <c r="E893" s="18" t="n"/>
      <c r="F893" s="19" t="n"/>
      <c r="G893" s="19" t="n"/>
      <c r="H893" s="20" t="n"/>
      <c r="I893" s="21" t="n"/>
      <c r="J893" s="22" t="n"/>
      <c r="K893" s="23" t="n"/>
      <c r="L893" s="18" t="n"/>
      <c r="M893" s="24">
        <f>IF(B893="","",IF(AND(F893&lt;&gt;"",G893&lt;&gt;""),MAX(0,ROUND(MOD(G893-F893,1)*24-N(H893)/60,2)),N(I893)))</f>
        <v/>
      </c>
      <c r="N893" s="14">
        <f>IF(B893="","",IF(K893&lt;&gt;"",K893,IF(N(IFERROR(INDEX(Projects!$D$6:$D$65,MATCH(D893,Projects!$B$6:$B$65,0)),""))&gt;0,IFERROR(INDEX(Projects!$D$6:$D$65,MATCH(D893,Projects!$B$6:$B$65,0)),""),IFERROR(INDEX(Clients!$G$6:$G$45,MATCH(C893,Clients!$B$6:$B$45,0)),0))))</f>
        <v/>
      </c>
      <c r="O893" s="14">
        <f>IF(B893="","",IF(J893&lt;&gt;"",0,ROUND(M893*N893,2)))</f>
        <v/>
      </c>
      <c r="P893" s="15">
        <f>IF(OR(B893="",J893&lt;&gt;""),"",IF(L893&lt;&gt;"",L893,IF(COUNTIFS(Invoices!$C$6:$C$305,C893,Invoices!$E$6:$E$305,"&lt;="&amp;B893,Invoices!$F$6:$F$305,"&gt;="&amp;B893)=1,INDEX(Invoices!$B$6:$B$305,SUMIFS(Invoices!$O$6:$O$305,Invoices!$C$6:$C$305,C893,Invoices!$E$6:$E$305,"&lt;="&amp;B893,Invoices!$F$6:$F$305,"&gt;="&amp;B893)),IF(COUNTIFS(Invoices!$C$6:$C$305,C893,Invoices!$E$6:$E$305,"&lt;="&amp;B893,Invoices!$F$6:$F$305,"&gt;="&amp;B893)&gt;1,"Two invoices",""))))</f>
        <v/>
      </c>
      <c r="Q893" s="15">
        <f>IF(B893="","",IF(J893&lt;&gt;"","Not billable",IF(P893="","To invoice",IF(P893="Two invoices","Check dates",IF(ISNA(MATCH(P893,Invoices!$B$6:$B$305,0)),"Check number",IF(INDEX(Invoices!$M$6:$M$305,MATCH(P893,Invoices!$B$6:$B$305,0))="Paid","Paid",IF(INDEX(Invoices!$M$6:$M$305,MATCH(P893,Invoices!$B$6:$B$305,0))="Draft","Draft","Invoiced")))))))</f>
        <v/>
      </c>
      <c r="R893" s="1">
        <f>IF(AND(B893&lt;&gt;"",P893&lt;&gt;"",P893=Invoice!$G$4),B893+MOD(N(F893),1)+ROW()/10000000,"")</f>
        <v/>
      </c>
      <c r="S893">
        <f>IF(R893="","",IF(D893="","Other work",D893)&amp;IF(AND(K893&lt;&gt;"",E893&lt;&gt;""),", "&amp;E893,""))</f>
        <v/>
      </c>
      <c r="T893">
        <f>IF(R893="","",IF(COUNTIFS(R$6:R892,"&gt;0",S$6:S892,S893,N$6:N892,N893)=0,R893,""))</f>
        <v/>
      </c>
      <c r="U893">
        <f>IF(B893="","",IF(J893&lt;&gt;"",0,M893))</f>
        <v/>
      </c>
    </row>
    <row r="894">
      <c r="A894" s="1" t="n"/>
      <c r="B894" s="16" t="n"/>
      <c r="C894" s="17" t="n"/>
      <c r="D894" s="18" t="n"/>
      <c r="E894" s="18" t="n"/>
      <c r="F894" s="19" t="n"/>
      <c r="G894" s="19" t="n"/>
      <c r="H894" s="20" t="n"/>
      <c r="I894" s="21" t="n"/>
      <c r="J894" s="22" t="n"/>
      <c r="K894" s="23" t="n"/>
      <c r="L894" s="18" t="n"/>
      <c r="M894" s="24">
        <f>IF(B894="","",IF(AND(F894&lt;&gt;"",G894&lt;&gt;""),MAX(0,ROUND(MOD(G894-F894,1)*24-N(H894)/60,2)),N(I894)))</f>
        <v/>
      </c>
      <c r="N894" s="14">
        <f>IF(B894="","",IF(K894&lt;&gt;"",K894,IF(N(IFERROR(INDEX(Projects!$D$6:$D$65,MATCH(D894,Projects!$B$6:$B$65,0)),""))&gt;0,IFERROR(INDEX(Projects!$D$6:$D$65,MATCH(D894,Projects!$B$6:$B$65,0)),""),IFERROR(INDEX(Clients!$G$6:$G$45,MATCH(C894,Clients!$B$6:$B$45,0)),0))))</f>
        <v/>
      </c>
      <c r="O894" s="14">
        <f>IF(B894="","",IF(J894&lt;&gt;"",0,ROUND(M894*N894,2)))</f>
        <v/>
      </c>
      <c r="P894" s="15">
        <f>IF(OR(B894="",J894&lt;&gt;""),"",IF(L894&lt;&gt;"",L894,IF(COUNTIFS(Invoices!$C$6:$C$305,C894,Invoices!$E$6:$E$305,"&lt;="&amp;B894,Invoices!$F$6:$F$305,"&gt;="&amp;B894)=1,INDEX(Invoices!$B$6:$B$305,SUMIFS(Invoices!$O$6:$O$305,Invoices!$C$6:$C$305,C894,Invoices!$E$6:$E$305,"&lt;="&amp;B894,Invoices!$F$6:$F$305,"&gt;="&amp;B894)),IF(COUNTIFS(Invoices!$C$6:$C$305,C894,Invoices!$E$6:$E$305,"&lt;="&amp;B894,Invoices!$F$6:$F$305,"&gt;="&amp;B894)&gt;1,"Two invoices",""))))</f>
        <v/>
      </c>
      <c r="Q894" s="15">
        <f>IF(B894="","",IF(J894&lt;&gt;"","Not billable",IF(P894="","To invoice",IF(P894="Two invoices","Check dates",IF(ISNA(MATCH(P894,Invoices!$B$6:$B$305,0)),"Check number",IF(INDEX(Invoices!$M$6:$M$305,MATCH(P894,Invoices!$B$6:$B$305,0))="Paid","Paid",IF(INDEX(Invoices!$M$6:$M$305,MATCH(P894,Invoices!$B$6:$B$305,0))="Draft","Draft","Invoiced")))))))</f>
        <v/>
      </c>
      <c r="R894" s="1">
        <f>IF(AND(B894&lt;&gt;"",P894&lt;&gt;"",P894=Invoice!$G$4),B894+MOD(N(F894),1)+ROW()/10000000,"")</f>
        <v/>
      </c>
      <c r="S894">
        <f>IF(R894="","",IF(D894="","Other work",D894)&amp;IF(AND(K894&lt;&gt;"",E894&lt;&gt;""),", "&amp;E894,""))</f>
        <v/>
      </c>
      <c r="T894">
        <f>IF(R894="","",IF(COUNTIFS(R$6:R893,"&gt;0",S$6:S893,S894,N$6:N893,N894)=0,R894,""))</f>
        <v/>
      </c>
      <c r="U894">
        <f>IF(B894="","",IF(J894&lt;&gt;"",0,M894))</f>
        <v/>
      </c>
    </row>
    <row r="895">
      <c r="A895" s="1" t="n"/>
      <c r="B895" s="16" t="n"/>
      <c r="C895" s="17" t="n"/>
      <c r="D895" s="18" t="n"/>
      <c r="E895" s="18" t="n"/>
      <c r="F895" s="19" t="n"/>
      <c r="G895" s="19" t="n"/>
      <c r="H895" s="20" t="n"/>
      <c r="I895" s="21" t="n"/>
      <c r="J895" s="22" t="n"/>
      <c r="K895" s="23" t="n"/>
      <c r="L895" s="18" t="n"/>
      <c r="M895" s="24">
        <f>IF(B895="","",IF(AND(F895&lt;&gt;"",G895&lt;&gt;""),MAX(0,ROUND(MOD(G895-F895,1)*24-N(H895)/60,2)),N(I895)))</f>
        <v/>
      </c>
      <c r="N895" s="14">
        <f>IF(B895="","",IF(K895&lt;&gt;"",K895,IF(N(IFERROR(INDEX(Projects!$D$6:$D$65,MATCH(D895,Projects!$B$6:$B$65,0)),""))&gt;0,IFERROR(INDEX(Projects!$D$6:$D$65,MATCH(D895,Projects!$B$6:$B$65,0)),""),IFERROR(INDEX(Clients!$G$6:$G$45,MATCH(C895,Clients!$B$6:$B$45,0)),0))))</f>
        <v/>
      </c>
      <c r="O895" s="14">
        <f>IF(B895="","",IF(J895&lt;&gt;"",0,ROUND(M895*N895,2)))</f>
        <v/>
      </c>
      <c r="P895" s="15">
        <f>IF(OR(B895="",J895&lt;&gt;""),"",IF(L895&lt;&gt;"",L895,IF(COUNTIFS(Invoices!$C$6:$C$305,C895,Invoices!$E$6:$E$305,"&lt;="&amp;B895,Invoices!$F$6:$F$305,"&gt;="&amp;B895)=1,INDEX(Invoices!$B$6:$B$305,SUMIFS(Invoices!$O$6:$O$305,Invoices!$C$6:$C$305,C895,Invoices!$E$6:$E$305,"&lt;="&amp;B895,Invoices!$F$6:$F$305,"&gt;="&amp;B895)),IF(COUNTIFS(Invoices!$C$6:$C$305,C895,Invoices!$E$6:$E$305,"&lt;="&amp;B895,Invoices!$F$6:$F$305,"&gt;="&amp;B895)&gt;1,"Two invoices",""))))</f>
        <v/>
      </c>
      <c r="Q895" s="15">
        <f>IF(B895="","",IF(J895&lt;&gt;"","Not billable",IF(P895="","To invoice",IF(P895="Two invoices","Check dates",IF(ISNA(MATCH(P895,Invoices!$B$6:$B$305,0)),"Check number",IF(INDEX(Invoices!$M$6:$M$305,MATCH(P895,Invoices!$B$6:$B$305,0))="Paid","Paid",IF(INDEX(Invoices!$M$6:$M$305,MATCH(P895,Invoices!$B$6:$B$305,0))="Draft","Draft","Invoiced")))))))</f>
        <v/>
      </c>
      <c r="R895" s="1">
        <f>IF(AND(B895&lt;&gt;"",P895&lt;&gt;"",P895=Invoice!$G$4),B895+MOD(N(F895),1)+ROW()/10000000,"")</f>
        <v/>
      </c>
      <c r="S895">
        <f>IF(R895="","",IF(D895="","Other work",D895)&amp;IF(AND(K895&lt;&gt;"",E895&lt;&gt;""),", "&amp;E895,""))</f>
        <v/>
      </c>
      <c r="T895">
        <f>IF(R895="","",IF(COUNTIFS(R$6:R894,"&gt;0",S$6:S894,S895,N$6:N894,N895)=0,R895,""))</f>
        <v/>
      </c>
      <c r="U895">
        <f>IF(B895="","",IF(J895&lt;&gt;"",0,M895))</f>
        <v/>
      </c>
    </row>
    <row r="896">
      <c r="A896" s="1" t="n"/>
      <c r="B896" s="16" t="n"/>
      <c r="C896" s="17" t="n"/>
      <c r="D896" s="18" t="n"/>
      <c r="E896" s="18" t="n"/>
      <c r="F896" s="19" t="n"/>
      <c r="G896" s="19" t="n"/>
      <c r="H896" s="20" t="n"/>
      <c r="I896" s="21" t="n"/>
      <c r="J896" s="22" t="n"/>
      <c r="K896" s="23" t="n"/>
      <c r="L896" s="18" t="n"/>
      <c r="M896" s="24">
        <f>IF(B896="","",IF(AND(F896&lt;&gt;"",G896&lt;&gt;""),MAX(0,ROUND(MOD(G896-F896,1)*24-N(H896)/60,2)),N(I896)))</f>
        <v/>
      </c>
      <c r="N896" s="14">
        <f>IF(B896="","",IF(K896&lt;&gt;"",K896,IF(N(IFERROR(INDEX(Projects!$D$6:$D$65,MATCH(D896,Projects!$B$6:$B$65,0)),""))&gt;0,IFERROR(INDEX(Projects!$D$6:$D$65,MATCH(D896,Projects!$B$6:$B$65,0)),""),IFERROR(INDEX(Clients!$G$6:$G$45,MATCH(C896,Clients!$B$6:$B$45,0)),0))))</f>
        <v/>
      </c>
      <c r="O896" s="14">
        <f>IF(B896="","",IF(J896&lt;&gt;"",0,ROUND(M896*N896,2)))</f>
        <v/>
      </c>
      <c r="P896" s="15">
        <f>IF(OR(B896="",J896&lt;&gt;""),"",IF(L896&lt;&gt;"",L896,IF(COUNTIFS(Invoices!$C$6:$C$305,C896,Invoices!$E$6:$E$305,"&lt;="&amp;B896,Invoices!$F$6:$F$305,"&gt;="&amp;B896)=1,INDEX(Invoices!$B$6:$B$305,SUMIFS(Invoices!$O$6:$O$305,Invoices!$C$6:$C$305,C896,Invoices!$E$6:$E$305,"&lt;="&amp;B896,Invoices!$F$6:$F$305,"&gt;="&amp;B896)),IF(COUNTIFS(Invoices!$C$6:$C$305,C896,Invoices!$E$6:$E$305,"&lt;="&amp;B896,Invoices!$F$6:$F$305,"&gt;="&amp;B896)&gt;1,"Two invoices",""))))</f>
        <v/>
      </c>
      <c r="Q896" s="15">
        <f>IF(B896="","",IF(J896&lt;&gt;"","Not billable",IF(P896="","To invoice",IF(P896="Two invoices","Check dates",IF(ISNA(MATCH(P896,Invoices!$B$6:$B$305,0)),"Check number",IF(INDEX(Invoices!$M$6:$M$305,MATCH(P896,Invoices!$B$6:$B$305,0))="Paid","Paid",IF(INDEX(Invoices!$M$6:$M$305,MATCH(P896,Invoices!$B$6:$B$305,0))="Draft","Draft","Invoiced")))))))</f>
        <v/>
      </c>
      <c r="R896" s="1">
        <f>IF(AND(B896&lt;&gt;"",P896&lt;&gt;"",P896=Invoice!$G$4),B896+MOD(N(F896),1)+ROW()/10000000,"")</f>
        <v/>
      </c>
      <c r="S896">
        <f>IF(R896="","",IF(D896="","Other work",D896)&amp;IF(AND(K896&lt;&gt;"",E896&lt;&gt;""),", "&amp;E896,""))</f>
        <v/>
      </c>
      <c r="T896">
        <f>IF(R896="","",IF(COUNTIFS(R$6:R895,"&gt;0",S$6:S895,S896,N$6:N895,N896)=0,R896,""))</f>
        <v/>
      </c>
      <c r="U896">
        <f>IF(B896="","",IF(J896&lt;&gt;"",0,M896))</f>
        <v/>
      </c>
    </row>
    <row r="897">
      <c r="A897" s="1" t="n"/>
      <c r="B897" s="16" t="n"/>
      <c r="C897" s="17" t="n"/>
      <c r="D897" s="18" t="n"/>
      <c r="E897" s="18" t="n"/>
      <c r="F897" s="19" t="n"/>
      <c r="G897" s="19" t="n"/>
      <c r="H897" s="20" t="n"/>
      <c r="I897" s="21" t="n"/>
      <c r="J897" s="22" t="n"/>
      <c r="K897" s="23" t="n"/>
      <c r="L897" s="18" t="n"/>
      <c r="M897" s="24">
        <f>IF(B897="","",IF(AND(F897&lt;&gt;"",G897&lt;&gt;""),MAX(0,ROUND(MOD(G897-F897,1)*24-N(H897)/60,2)),N(I897)))</f>
        <v/>
      </c>
      <c r="N897" s="14">
        <f>IF(B897="","",IF(K897&lt;&gt;"",K897,IF(N(IFERROR(INDEX(Projects!$D$6:$D$65,MATCH(D897,Projects!$B$6:$B$65,0)),""))&gt;0,IFERROR(INDEX(Projects!$D$6:$D$65,MATCH(D897,Projects!$B$6:$B$65,0)),""),IFERROR(INDEX(Clients!$G$6:$G$45,MATCH(C897,Clients!$B$6:$B$45,0)),0))))</f>
        <v/>
      </c>
      <c r="O897" s="14">
        <f>IF(B897="","",IF(J897&lt;&gt;"",0,ROUND(M897*N897,2)))</f>
        <v/>
      </c>
      <c r="P897" s="15">
        <f>IF(OR(B897="",J897&lt;&gt;""),"",IF(L897&lt;&gt;"",L897,IF(COUNTIFS(Invoices!$C$6:$C$305,C897,Invoices!$E$6:$E$305,"&lt;="&amp;B897,Invoices!$F$6:$F$305,"&gt;="&amp;B897)=1,INDEX(Invoices!$B$6:$B$305,SUMIFS(Invoices!$O$6:$O$305,Invoices!$C$6:$C$305,C897,Invoices!$E$6:$E$305,"&lt;="&amp;B897,Invoices!$F$6:$F$305,"&gt;="&amp;B897)),IF(COUNTIFS(Invoices!$C$6:$C$305,C897,Invoices!$E$6:$E$305,"&lt;="&amp;B897,Invoices!$F$6:$F$305,"&gt;="&amp;B897)&gt;1,"Two invoices",""))))</f>
        <v/>
      </c>
      <c r="Q897" s="15">
        <f>IF(B897="","",IF(J897&lt;&gt;"","Not billable",IF(P897="","To invoice",IF(P897="Two invoices","Check dates",IF(ISNA(MATCH(P897,Invoices!$B$6:$B$305,0)),"Check number",IF(INDEX(Invoices!$M$6:$M$305,MATCH(P897,Invoices!$B$6:$B$305,0))="Paid","Paid",IF(INDEX(Invoices!$M$6:$M$305,MATCH(P897,Invoices!$B$6:$B$305,0))="Draft","Draft","Invoiced")))))))</f>
        <v/>
      </c>
      <c r="R897" s="1">
        <f>IF(AND(B897&lt;&gt;"",P897&lt;&gt;"",P897=Invoice!$G$4),B897+MOD(N(F897),1)+ROW()/10000000,"")</f>
        <v/>
      </c>
      <c r="S897">
        <f>IF(R897="","",IF(D897="","Other work",D897)&amp;IF(AND(K897&lt;&gt;"",E897&lt;&gt;""),", "&amp;E897,""))</f>
        <v/>
      </c>
      <c r="T897">
        <f>IF(R897="","",IF(COUNTIFS(R$6:R896,"&gt;0",S$6:S896,S897,N$6:N896,N897)=0,R897,""))</f>
        <v/>
      </c>
      <c r="U897">
        <f>IF(B897="","",IF(J897&lt;&gt;"",0,M897))</f>
        <v/>
      </c>
    </row>
    <row r="898">
      <c r="A898" s="1" t="n"/>
      <c r="B898" s="16" t="n"/>
      <c r="C898" s="17" t="n"/>
      <c r="D898" s="18" t="n"/>
      <c r="E898" s="18" t="n"/>
      <c r="F898" s="19" t="n"/>
      <c r="G898" s="19" t="n"/>
      <c r="H898" s="20" t="n"/>
      <c r="I898" s="21" t="n"/>
      <c r="J898" s="22" t="n"/>
      <c r="K898" s="23" t="n"/>
      <c r="L898" s="18" t="n"/>
      <c r="M898" s="24">
        <f>IF(B898="","",IF(AND(F898&lt;&gt;"",G898&lt;&gt;""),MAX(0,ROUND(MOD(G898-F898,1)*24-N(H898)/60,2)),N(I898)))</f>
        <v/>
      </c>
      <c r="N898" s="14">
        <f>IF(B898="","",IF(K898&lt;&gt;"",K898,IF(N(IFERROR(INDEX(Projects!$D$6:$D$65,MATCH(D898,Projects!$B$6:$B$65,0)),""))&gt;0,IFERROR(INDEX(Projects!$D$6:$D$65,MATCH(D898,Projects!$B$6:$B$65,0)),""),IFERROR(INDEX(Clients!$G$6:$G$45,MATCH(C898,Clients!$B$6:$B$45,0)),0))))</f>
        <v/>
      </c>
      <c r="O898" s="14">
        <f>IF(B898="","",IF(J898&lt;&gt;"",0,ROUND(M898*N898,2)))</f>
        <v/>
      </c>
      <c r="P898" s="15">
        <f>IF(OR(B898="",J898&lt;&gt;""),"",IF(L898&lt;&gt;"",L898,IF(COUNTIFS(Invoices!$C$6:$C$305,C898,Invoices!$E$6:$E$305,"&lt;="&amp;B898,Invoices!$F$6:$F$305,"&gt;="&amp;B898)=1,INDEX(Invoices!$B$6:$B$305,SUMIFS(Invoices!$O$6:$O$305,Invoices!$C$6:$C$305,C898,Invoices!$E$6:$E$305,"&lt;="&amp;B898,Invoices!$F$6:$F$305,"&gt;="&amp;B898)),IF(COUNTIFS(Invoices!$C$6:$C$305,C898,Invoices!$E$6:$E$305,"&lt;="&amp;B898,Invoices!$F$6:$F$305,"&gt;="&amp;B898)&gt;1,"Two invoices",""))))</f>
        <v/>
      </c>
      <c r="Q898" s="15">
        <f>IF(B898="","",IF(J898&lt;&gt;"","Not billable",IF(P898="","To invoice",IF(P898="Two invoices","Check dates",IF(ISNA(MATCH(P898,Invoices!$B$6:$B$305,0)),"Check number",IF(INDEX(Invoices!$M$6:$M$305,MATCH(P898,Invoices!$B$6:$B$305,0))="Paid","Paid",IF(INDEX(Invoices!$M$6:$M$305,MATCH(P898,Invoices!$B$6:$B$305,0))="Draft","Draft","Invoiced")))))))</f>
        <v/>
      </c>
      <c r="R898" s="1">
        <f>IF(AND(B898&lt;&gt;"",P898&lt;&gt;"",P898=Invoice!$G$4),B898+MOD(N(F898),1)+ROW()/10000000,"")</f>
        <v/>
      </c>
      <c r="S898">
        <f>IF(R898="","",IF(D898="","Other work",D898)&amp;IF(AND(K898&lt;&gt;"",E898&lt;&gt;""),", "&amp;E898,""))</f>
        <v/>
      </c>
      <c r="T898">
        <f>IF(R898="","",IF(COUNTIFS(R$6:R897,"&gt;0",S$6:S897,S898,N$6:N897,N898)=0,R898,""))</f>
        <v/>
      </c>
      <c r="U898">
        <f>IF(B898="","",IF(J898&lt;&gt;"",0,M898))</f>
        <v/>
      </c>
    </row>
    <row r="899">
      <c r="A899" s="1" t="n"/>
      <c r="B899" s="16" t="n"/>
      <c r="C899" s="17" t="n"/>
      <c r="D899" s="18" t="n"/>
      <c r="E899" s="18" t="n"/>
      <c r="F899" s="19" t="n"/>
      <c r="G899" s="19" t="n"/>
      <c r="H899" s="20" t="n"/>
      <c r="I899" s="21" t="n"/>
      <c r="J899" s="22" t="n"/>
      <c r="K899" s="23" t="n"/>
      <c r="L899" s="18" t="n"/>
      <c r="M899" s="24">
        <f>IF(B899="","",IF(AND(F899&lt;&gt;"",G899&lt;&gt;""),MAX(0,ROUND(MOD(G899-F899,1)*24-N(H899)/60,2)),N(I899)))</f>
        <v/>
      </c>
      <c r="N899" s="14">
        <f>IF(B899="","",IF(K899&lt;&gt;"",K899,IF(N(IFERROR(INDEX(Projects!$D$6:$D$65,MATCH(D899,Projects!$B$6:$B$65,0)),""))&gt;0,IFERROR(INDEX(Projects!$D$6:$D$65,MATCH(D899,Projects!$B$6:$B$65,0)),""),IFERROR(INDEX(Clients!$G$6:$G$45,MATCH(C899,Clients!$B$6:$B$45,0)),0))))</f>
        <v/>
      </c>
      <c r="O899" s="14">
        <f>IF(B899="","",IF(J899&lt;&gt;"",0,ROUND(M899*N899,2)))</f>
        <v/>
      </c>
      <c r="P899" s="15">
        <f>IF(OR(B899="",J899&lt;&gt;""),"",IF(L899&lt;&gt;"",L899,IF(COUNTIFS(Invoices!$C$6:$C$305,C899,Invoices!$E$6:$E$305,"&lt;="&amp;B899,Invoices!$F$6:$F$305,"&gt;="&amp;B899)=1,INDEX(Invoices!$B$6:$B$305,SUMIFS(Invoices!$O$6:$O$305,Invoices!$C$6:$C$305,C899,Invoices!$E$6:$E$305,"&lt;="&amp;B899,Invoices!$F$6:$F$305,"&gt;="&amp;B899)),IF(COUNTIFS(Invoices!$C$6:$C$305,C899,Invoices!$E$6:$E$305,"&lt;="&amp;B899,Invoices!$F$6:$F$305,"&gt;="&amp;B899)&gt;1,"Two invoices",""))))</f>
        <v/>
      </c>
      <c r="Q899" s="15">
        <f>IF(B899="","",IF(J899&lt;&gt;"","Not billable",IF(P899="","To invoice",IF(P899="Two invoices","Check dates",IF(ISNA(MATCH(P899,Invoices!$B$6:$B$305,0)),"Check number",IF(INDEX(Invoices!$M$6:$M$305,MATCH(P899,Invoices!$B$6:$B$305,0))="Paid","Paid",IF(INDEX(Invoices!$M$6:$M$305,MATCH(P899,Invoices!$B$6:$B$305,0))="Draft","Draft","Invoiced")))))))</f>
        <v/>
      </c>
      <c r="R899" s="1">
        <f>IF(AND(B899&lt;&gt;"",P899&lt;&gt;"",P899=Invoice!$G$4),B899+MOD(N(F899),1)+ROW()/10000000,"")</f>
        <v/>
      </c>
      <c r="S899">
        <f>IF(R899="","",IF(D899="","Other work",D899)&amp;IF(AND(K899&lt;&gt;"",E899&lt;&gt;""),", "&amp;E899,""))</f>
        <v/>
      </c>
      <c r="T899">
        <f>IF(R899="","",IF(COUNTIFS(R$6:R898,"&gt;0",S$6:S898,S899,N$6:N898,N899)=0,R899,""))</f>
        <v/>
      </c>
      <c r="U899">
        <f>IF(B899="","",IF(J899&lt;&gt;"",0,M899))</f>
        <v/>
      </c>
    </row>
    <row r="900">
      <c r="A900" s="1" t="n"/>
      <c r="B900" s="16" t="n"/>
      <c r="C900" s="17" t="n"/>
      <c r="D900" s="18" t="n"/>
      <c r="E900" s="18" t="n"/>
      <c r="F900" s="19" t="n"/>
      <c r="G900" s="19" t="n"/>
      <c r="H900" s="20" t="n"/>
      <c r="I900" s="21" t="n"/>
      <c r="J900" s="22" t="n"/>
      <c r="K900" s="23" t="n"/>
      <c r="L900" s="18" t="n"/>
      <c r="M900" s="24">
        <f>IF(B900="","",IF(AND(F900&lt;&gt;"",G900&lt;&gt;""),MAX(0,ROUND(MOD(G900-F900,1)*24-N(H900)/60,2)),N(I900)))</f>
        <v/>
      </c>
      <c r="N900" s="14">
        <f>IF(B900="","",IF(K900&lt;&gt;"",K900,IF(N(IFERROR(INDEX(Projects!$D$6:$D$65,MATCH(D900,Projects!$B$6:$B$65,0)),""))&gt;0,IFERROR(INDEX(Projects!$D$6:$D$65,MATCH(D900,Projects!$B$6:$B$65,0)),""),IFERROR(INDEX(Clients!$G$6:$G$45,MATCH(C900,Clients!$B$6:$B$45,0)),0))))</f>
        <v/>
      </c>
      <c r="O900" s="14">
        <f>IF(B900="","",IF(J900&lt;&gt;"",0,ROUND(M900*N900,2)))</f>
        <v/>
      </c>
      <c r="P900" s="15">
        <f>IF(OR(B900="",J900&lt;&gt;""),"",IF(L900&lt;&gt;"",L900,IF(COUNTIFS(Invoices!$C$6:$C$305,C900,Invoices!$E$6:$E$305,"&lt;="&amp;B900,Invoices!$F$6:$F$305,"&gt;="&amp;B900)=1,INDEX(Invoices!$B$6:$B$305,SUMIFS(Invoices!$O$6:$O$305,Invoices!$C$6:$C$305,C900,Invoices!$E$6:$E$305,"&lt;="&amp;B900,Invoices!$F$6:$F$305,"&gt;="&amp;B900)),IF(COUNTIFS(Invoices!$C$6:$C$305,C900,Invoices!$E$6:$E$305,"&lt;="&amp;B900,Invoices!$F$6:$F$305,"&gt;="&amp;B900)&gt;1,"Two invoices",""))))</f>
        <v/>
      </c>
      <c r="Q900" s="15">
        <f>IF(B900="","",IF(J900&lt;&gt;"","Not billable",IF(P900="","To invoice",IF(P900="Two invoices","Check dates",IF(ISNA(MATCH(P900,Invoices!$B$6:$B$305,0)),"Check number",IF(INDEX(Invoices!$M$6:$M$305,MATCH(P900,Invoices!$B$6:$B$305,0))="Paid","Paid",IF(INDEX(Invoices!$M$6:$M$305,MATCH(P900,Invoices!$B$6:$B$305,0))="Draft","Draft","Invoiced")))))))</f>
        <v/>
      </c>
      <c r="R900" s="1">
        <f>IF(AND(B900&lt;&gt;"",P900&lt;&gt;"",P900=Invoice!$G$4),B900+MOD(N(F900),1)+ROW()/10000000,"")</f>
        <v/>
      </c>
      <c r="S900">
        <f>IF(R900="","",IF(D900="","Other work",D900)&amp;IF(AND(K900&lt;&gt;"",E900&lt;&gt;""),", "&amp;E900,""))</f>
        <v/>
      </c>
      <c r="T900">
        <f>IF(R900="","",IF(COUNTIFS(R$6:R899,"&gt;0",S$6:S899,S900,N$6:N899,N900)=0,R900,""))</f>
        <v/>
      </c>
      <c r="U900">
        <f>IF(B900="","",IF(J900&lt;&gt;"",0,M900))</f>
        <v/>
      </c>
    </row>
    <row r="901">
      <c r="A901" s="1" t="n"/>
      <c r="B901" s="16" t="n"/>
      <c r="C901" s="17" t="n"/>
      <c r="D901" s="18" t="n"/>
      <c r="E901" s="18" t="n"/>
      <c r="F901" s="19" t="n"/>
      <c r="G901" s="19" t="n"/>
      <c r="H901" s="20" t="n"/>
      <c r="I901" s="21" t="n"/>
      <c r="J901" s="22" t="n"/>
      <c r="K901" s="23" t="n"/>
      <c r="L901" s="18" t="n"/>
      <c r="M901" s="24">
        <f>IF(B901="","",IF(AND(F901&lt;&gt;"",G901&lt;&gt;""),MAX(0,ROUND(MOD(G901-F901,1)*24-N(H901)/60,2)),N(I901)))</f>
        <v/>
      </c>
      <c r="N901" s="14">
        <f>IF(B901="","",IF(K901&lt;&gt;"",K901,IF(N(IFERROR(INDEX(Projects!$D$6:$D$65,MATCH(D901,Projects!$B$6:$B$65,0)),""))&gt;0,IFERROR(INDEX(Projects!$D$6:$D$65,MATCH(D901,Projects!$B$6:$B$65,0)),""),IFERROR(INDEX(Clients!$G$6:$G$45,MATCH(C901,Clients!$B$6:$B$45,0)),0))))</f>
        <v/>
      </c>
      <c r="O901" s="14">
        <f>IF(B901="","",IF(J901&lt;&gt;"",0,ROUND(M901*N901,2)))</f>
        <v/>
      </c>
      <c r="P901" s="15">
        <f>IF(OR(B901="",J901&lt;&gt;""),"",IF(L901&lt;&gt;"",L901,IF(COUNTIFS(Invoices!$C$6:$C$305,C901,Invoices!$E$6:$E$305,"&lt;="&amp;B901,Invoices!$F$6:$F$305,"&gt;="&amp;B901)=1,INDEX(Invoices!$B$6:$B$305,SUMIFS(Invoices!$O$6:$O$305,Invoices!$C$6:$C$305,C901,Invoices!$E$6:$E$305,"&lt;="&amp;B901,Invoices!$F$6:$F$305,"&gt;="&amp;B901)),IF(COUNTIFS(Invoices!$C$6:$C$305,C901,Invoices!$E$6:$E$305,"&lt;="&amp;B901,Invoices!$F$6:$F$305,"&gt;="&amp;B901)&gt;1,"Two invoices",""))))</f>
        <v/>
      </c>
      <c r="Q901" s="15">
        <f>IF(B901="","",IF(J901&lt;&gt;"","Not billable",IF(P901="","To invoice",IF(P901="Two invoices","Check dates",IF(ISNA(MATCH(P901,Invoices!$B$6:$B$305,0)),"Check number",IF(INDEX(Invoices!$M$6:$M$305,MATCH(P901,Invoices!$B$6:$B$305,0))="Paid","Paid",IF(INDEX(Invoices!$M$6:$M$305,MATCH(P901,Invoices!$B$6:$B$305,0))="Draft","Draft","Invoiced")))))))</f>
        <v/>
      </c>
      <c r="R901" s="1">
        <f>IF(AND(B901&lt;&gt;"",P901&lt;&gt;"",P901=Invoice!$G$4),B901+MOD(N(F901),1)+ROW()/10000000,"")</f>
        <v/>
      </c>
      <c r="S901">
        <f>IF(R901="","",IF(D901="","Other work",D901)&amp;IF(AND(K901&lt;&gt;"",E901&lt;&gt;""),", "&amp;E901,""))</f>
        <v/>
      </c>
      <c r="T901">
        <f>IF(R901="","",IF(COUNTIFS(R$6:R900,"&gt;0",S$6:S900,S901,N$6:N900,N901)=0,R901,""))</f>
        <v/>
      </c>
      <c r="U901">
        <f>IF(B901="","",IF(J901&lt;&gt;"",0,M901))</f>
        <v/>
      </c>
    </row>
    <row r="902">
      <c r="A902" s="1" t="n"/>
      <c r="B902" s="16" t="n"/>
      <c r="C902" s="17" t="n"/>
      <c r="D902" s="18" t="n"/>
      <c r="E902" s="18" t="n"/>
      <c r="F902" s="19" t="n"/>
      <c r="G902" s="19" t="n"/>
      <c r="H902" s="20" t="n"/>
      <c r="I902" s="21" t="n"/>
      <c r="J902" s="22" t="n"/>
      <c r="K902" s="23" t="n"/>
      <c r="L902" s="18" t="n"/>
      <c r="M902" s="24">
        <f>IF(B902="","",IF(AND(F902&lt;&gt;"",G902&lt;&gt;""),MAX(0,ROUND(MOD(G902-F902,1)*24-N(H902)/60,2)),N(I902)))</f>
        <v/>
      </c>
      <c r="N902" s="14">
        <f>IF(B902="","",IF(K902&lt;&gt;"",K902,IF(N(IFERROR(INDEX(Projects!$D$6:$D$65,MATCH(D902,Projects!$B$6:$B$65,0)),""))&gt;0,IFERROR(INDEX(Projects!$D$6:$D$65,MATCH(D902,Projects!$B$6:$B$65,0)),""),IFERROR(INDEX(Clients!$G$6:$G$45,MATCH(C902,Clients!$B$6:$B$45,0)),0))))</f>
        <v/>
      </c>
      <c r="O902" s="14">
        <f>IF(B902="","",IF(J902&lt;&gt;"",0,ROUND(M902*N902,2)))</f>
        <v/>
      </c>
      <c r="P902" s="15">
        <f>IF(OR(B902="",J902&lt;&gt;""),"",IF(L902&lt;&gt;"",L902,IF(COUNTIFS(Invoices!$C$6:$C$305,C902,Invoices!$E$6:$E$305,"&lt;="&amp;B902,Invoices!$F$6:$F$305,"&gt;="&amp;B902)=1,INDEX(Invoices!$B$6:$B$305,SUMIFS(Invoices!$O$6:$O$305,Invoices!$C$6:$C$305,C902,Invoices!$E$6:$E$305,"&lt;="&amp;B902,Invoices!$F$6:$F$305,"&gt;="&amp;B902)),IF(COUNTIFS(Invoices!$C$6:$C$305,C902,Invoices!$E$6:$E$305,"&lt;="&amp;B902,Invoices!$F$6:$F$305,"&gt;="&amp;B902)&gt;1,"Two invoices",""))))</f>
        <v/>
      </c>
      <c r="Q902" s="15">
        <f>IF(B902="","",IF(J902&lt;&gt;"","Not billable",IF(P902="","To invoice",IF(P902="Two invoices","Check dates",IF(ISNA(MATCH(P902,Invoices!$B$6:$B$305,0)),"Check number",IF(INDEX(Invoices!$M$6:$M$305,MATCH(P902,Invoices!$B$6:$B$305,0))="Paid","Paid",IF(INDEX(Invoices!$M$6:$M$305,MATCH(P902,Invoices!$B$6:$B$305,0))="Draft","Draft","Invoiced")))))))</f>
        <v/>
      </c>
      <c r="R902" s="1">
        <f>IF(AND(B902&lt;&gt;"",P902&lt;&gt;"",P902=Invoice!$G$4),B902+MOD(N(F902),1)+ROW()/10000000,"")</f>
        <v/>
      </c>
      <c r="S902">
        <f>IF(R902="","",IF(D902="","Other work",D902)&amp;IF(AND(K902&lt;&gt;"",E902&lt;&gt;""),", "&amp;E902,""))</f>
        <v/>
      </c>
      <c r="T902">
        <f>IF(R902="","",IF(COUNTIFS(R$6:R901,"&gt;0",S$6:S901,S902,N$6:N901,N902)=0,R902,""))</f>
        <v/>
      </c>
      <c r="U902">
        <f>IF(B902="","",IF(J902&lt;&gt;"",0,M902))</f>
        <v/>
      </c>
    </row>
    <row r="903">
      <c r="A903" s="1" t="n"/>
      <c r="B903" s="16" t="n"/>
      <c r="C903" s="17" t="n"/>
      <c r="D903" s="18" t="n"/>
      <c r="E903" s="18" t="n"/>
      <c r="F903" s="19" t="n"/>
      <c r="G903" s="19" t="n"/>
      <c r="H903" s="20" t="n"/>
      <c r="I903" s="21" t="n"/>
      <c r="J903" s="22" t="n"/>
      <c r="K903" s="23" t="n"/>
      <c r="L903" s="18" t="n"/>
      <c r="M903" s="24">
        <f>IF(B903="","",IF(AND(F903&lt;&gt;"",G903&lt;&gt;""),MAX(0,ROUND(MOD(G903-F903,1)*24-N(H903)/60,2)),N(I903)))</f>
        <v/>
      </c>
      <c r="N903" s="14">
        <f>IF(B903="","",IF(K903&lt;&gt;"",K903,IF(N(IFERROR(INDEX(Projects!$D$6:$D$65,MATCH(D903,Projects!$B$6:$B$65,0)),""))&gt;0,IFERROR(INDEX(Projects!$D$6:$D$65,MATCH(D903,Projects!$B$6:$B$65,0)),""),IFERROR(INDEX(Clients!$G$6:$G$45,MATCH(C903,Clients!$B$6:$B$45,0)),0))))</f>
        <v/>
      </c>
      <c r="O903" s="14">
        <f>IF(B903="","",IF(J903&lt;&gt;"",0,ROUND(M903*N903,2)))</f>
        <v/>
      </c>
      <c r="P903" s="15">
        <f>IF(OR(B903="",J903&lt;&gt;""),"",IF(L903&lt;&gt;"",L903,IF(COUNTIFS(Invoices!$C$6:$C$305,C903,Invoices!$E$6:$E$305,"&lt;="&amp;B903,Invoices!$F$6:$F$305,"&gt;="&amp;B903)=1,INDEX(Invoices!$B$6:$B$305,SUMIFS(Invoices!$O$6:$O$305,Invoices!$C$6:$C$305,C903,Invoices!$E$6:$E$305,"&lt;="&amp;B903,Invoices!$F$6:$F$305,"&gt;="&amp;B903)),IF(COUNTIFS(Invoices!$C$6:$C$305,C903,Invoices!$E$6:$E$305,"&lt;="&amp;B903,Invoices!$F$6:$F$305,"&gt;="&amp;B903)&gt;1,"Two invoices",""))))</f>
        <v/>
      </c>
      <c r="Q903" s="15">
        <f>IF(B903="","",IF(J903&lt;&gt;"","Not billable",IF(P903="","To invoice",IF(P903="Two invoices","Check dates",IF(ISNA(MATCH(P903,Invoices!$B$6:$B$305,0)),"Check number",IF(INDEX(Invoices!$M$6:$M$305,MATCH(P903,Invoices!$B$6:$B$305,0))="Paid","Paid",IF(INDEX(Invoices!$M$6:$M$305,MATCH(P903,Invoices!$B$6:$B$305,0))="Draft","Draft","Invoiced")))))))</f>
        <v/>
      </c>
      <c r="R903" s="1">
        <f>IF(AND(B903&lt;&gt;"",P903&lt;&gt;"",P903=Invoice!$G$4),B903+MOD(N(F903),1)+ROW()/10000000,"")</f>
        <v/>
      </c>
      <c r="S903">
        <f>IF(R903="","",IF(D903="","Other work",D903)&amp;IF(AND(K903&lt;&gt;"",E903&lt;&gt;""),", "&amp;E903,""))</f>
        <v/>
      </c>
      <c r="T903">
        <f>IF(R903="","",IF(COUNTIFS(R$6:R902,"&gt;0",S$6:S902,S903,N$6:N902,N903)=0,R903,""))</f>
        <v/>
      </c>
      <c r="U903">
        <f>IF(B903="","",IF(J903&lt;&gt;"",0,M903))</f>
        <v/>
      </c>
    </row>
    <row r="904">
      <c r="A904" s="1" t="n"/>
      <c r="B904" s="16" t="n"/>
      <c r="C904" s="17" t="n"/>
      <c r="D904" s="18" t="n"/>
      <c r="E904" s="18" t="n"/>
      <c r="F904" s="19" t="n"/>
      <c r="G904" s="19" t="n"/>
      <c r="H904" s="20" t="n"/>
      <c r="I904" s="21" t="n"/>
      <c r="J904" s="22" t="n"/>
      <c r="K904" s="23" t="n"/>
      <c r="L904" s="18" t="n"/>
      <c r="M904" s="24">
        <f>IF(B904="","",IF(AND(F904&lt;&gt;"",G904&lt;&gt;""),MAX(0,ROUND(MOD(G904-F904,1)*24-N(H904)/60,2)),N(I904)))</f>
        <v/>
      </c>
      <c r="N904" s="14">
        <f>IF(B904="","",IF(K904&lt;&gt;"",K904,IF(N(IFERROR(INDEX(Projects!$D$6:$D$65,MATCH(D904,Projects!$B$6:$B$65,0)),""))&gt;0,IFERROR(INDEX(Projects!$D$6:$D$65,MATCH(D904,Projects!$B$6:$B$65,0)),""),IFERROR(INDEX(Clients!$G$6:$G$45,MATCH(C904,Clients!$B$6:$B$45,0)),0))))</f>
        <v/>
      </c>
      <c r="O904" s="14">
        <f>IF(B904="","",IF(J904&lt;&gt;"",0,ROUND(M904*N904,2)))</f>
        <v/>
      </c>
      <c r="P904" s="15">
        <f>IF(OR(B904="",J904&lt;&gt;""),"",IF(L904&lt;&gt;"",L904,IF(COUNTIFS(Invoices!$C$6:$C$305,C904,Invoices!$E$6:$E$305,"&lt;="&amp;B904,Invoices!$F$6:$F$305,"&gt;="&amp;B904)=1,INDEX(Invoices!$B$6:$B$305,SUMIFS(Invoices!$O$6:$O$305,Invoices!$C$6:$C$305,C904,Invoices!$E$6:$E$305,"&lt;="&amp;B904,Invoices!$F$6:$F$305,"&gt;="&amp;B904)),IF(COUNTIFS(Invoices!$C$6:$C$305,C904,Invoices!$E$6:$E$305,"&lt;="&amp;B904,Invoices!$F$6:$F$305,"&gt;="&amp;B904)&gt;1,"Two invoices",""))))</f>
        <v/>
      </c>
      <c r="Q904" s="15">
        <f>IF(B904="","",IF(J904&lt;&gt;"","Not billable",IF(P904="","To invoice",IF(P904="Two invoices","Check dates",IF(ISNA(MATCH(P904,Invoices!$B$6:$B$305,0)),"Check number",IF(INDEX(Invoices!$M$6:$M$305,MATCH(P904,Invoices!$B$6:$B$305,0))="Paid","Paid",IF(INDEX(Invoices!$M$6:$M$305,MATCH(P904,Invoices!$B$6:$B$305,0))="Draft","Draft","Invoiced")))))))</f>
        <v/>
      </c>
      <c r="R904" s="1">
        <f>IF(AND(B904&lt;&gt;"",P904&lt;&gt;"",P904=Invoice!$G$4),B904+MOD(N(F904),1)+ROW()/10000000,"")</f>
        <v/>
      </c>
      <c r="S904">
        <f>IF(R904="","",IF(D904="","Other work",D904)&amp;IF(AND(K904&lt;&gt;"",E904&lt;&gt;""),", "&amp;E904,""))</f>
        <v/>
      </c>
      <c r="T904">
        <f>IF(R904="","",IF(COUNTIFS(R$6:R903,"&gt;0",S$6:S903,S904,N$6:N903,N904)=0,R904,""))</f>
        <v/>
      </c>
      <c r="U904">
        <f>IF(B904="","",IF(J904&lt;&gt;"",0,M904))</f>
        <v/>
      </c>
    </row>
    <row r="905">
      <c r="A905" s="1" t="n"/>
      <c r="B905" s="16" t="n"/>
      <c r="C905" s="17" t="n"/>
      <c r="D905" s="18" t="n"/>
      <c r="E905" s="18" t="n"/>
      <c r="F905" s="19" t="n"/>
      <c r="G905" s="19" t="n"/>
      <c r="H905" s="20" t="n"/>
      <c r="I905" s="21" t="n"/>
      <c r="J905" s="22" t="n"/>
      <c r="K905" s="23" t="n"/>
      <c r="L905" s="18" t="n"/>
      <c r="M905" s="24">
        <f>IF(B905="","",IF(AND(F905&lt;&gt;"",G905&lt;&gt;""),MAX(0,ROUND(MOD(G905-F905,1)*24-N(H905)/60,2)),N(I905)))</f>
        <v/>
      </c>
      <c r="N905" s="14">
        <f>IF(B905="","",IF(K905&lt;&gt;"",K905,IF(N(IFERROR(INDEX(Projects!$D$6:$D$65,MATCH(D905,Projects!$B$6:$B$65,0)),""))&gt;0,IFERROR(INDEX(Projects!$D$6:$D$65,MATCH(D905,Projects!$B$6:$B$65,0)),""),IFERROR(INDEX(Clients!$G$6:$G$45,MATCH(C905,Clients!$B$6:$B$45,0)),0))))</f>
        <v/>
      </c>
      <c r="O905" s="14">
        <f>IF(B905="","",IF(J905&lt;&gt;"",0,ROUND(M905*N905,2)))</f>
        <v/>
      </c>
      <c r="P905" s="15">
        <f>IF(OR(B905="",J905&lt;&gt;""),"",IF(L905&lt;&gt;"",L905,IF(COUNTIFS(Invoices!$C$6:$C$305,C905,Invoices!$E$6:$E$305,"&lt;="&amp;B905,Invoices!$F$6:$F$305,"&gt;="&amp;B905)=1,INDEX(Invoices!$B$6:$B$305,SUMIFS(Invoices!$O$6:$O$305,Invoices!$C$6:$C$305,C905,Invoices!$E$6:$E$305,"&lt;="&amp;B905,Invoices!$F$6:$F$305,"&gt;="&amp;B905)),IF(COUNTIFS(Invoices!$C$6:$C$305,C905,Invoices!$E$6:$E$305,"&lt;="&amp;B905,Invoices!$F$6:$F$305,"&gt;="&amp;B905)&gt;1,"Two invoices",""))))</f>
        <v/>
      </c>
      <c r="Q905" s="15">
        <f>IF(B905="","",IF(J905&lt;&gt;"","Not billable",IF(P905="","To invoice",IF(P905="Two invoices","Check dates",IF(ISNA(MATCH(P905,Invoices!$B$6:$B$305,0)),"Check number",IF(INDEX(Invoices!$M$6:$M$305,MATCH(P905,Invoices!$B$6:$B$305,0))="Paid","Paid",IF(INDEX(Invoices!$M$6:$M$305,MATCH(P905,Invoices!$B$6:$B$305,0))="Draft","Draft","Invoiced")))))))</f>
        <v/>
      </c>
      <c r="R905" s="1">
        <f>IF(AND(B905&lt;&gt;"",P905&lt;&gt;"",P905=Invoice!$G$4),B905+MOD(N(F905),1)+ROW()/10000000,"")</f>
        <v/>
      </c>
      <c r="S905">
        <f>IF(R905="","",IF(D905="","Other work",D905)&amp;IF(AND(K905&lt;&gt;"",E905&lt;&gt;""),", "&amp;E905,""))</f>
        <v/>
      </c>
      <c r="T905">
        <f>IF(R905="","",IF(COUNTIFS(R$6:R904,"&gt;0",S$6:S904,S905,N$6:N904,N905)=0,R905,""))</f>
        <v/>
      </c>
      <c r="U905">
        <f>IF(B905="","",IF(J905&lt;&gt;"",0,M905))</f>
        <v/>
      </c>
    </row>
    <row r="906">
      <c r="A906" s="1" t="n"/>
      <c r="B906" s="16" t="n"/>
      <c r="C906" s="17" t="n"/>
      <c r="D906" s="18" t="n"/>
      <c r="E906" s="18" t="n"/>
      <c r="F906" s="19" t="n"/>
      <c r="G906" s="19" t="n"/>
      <c r="H906" s="20" t="n"/>
      <c r="I906" s="21" t="n"/>
      <c r="J906" s="22" t="n"/>
      <c r="K906" s="23" t="n"/>
      <c r="L906" s="18" t="n"/>
      <c r="M906" s="24">
        <f>IF(B906="","",IF(AND(F906&lt;&gt;"",G906&lt;&gt;""),MAX(0,ROUND(MOD(G906-F906,1)*24-N(H906)/60,2)),N(I906)))</f>
        <v/>
      </c>
      <c r="N906" s="14">
        <f>IF(B906="","",IF(K906&lt;&gt;"",K906,IF(N(IFERROR(INDEX(Projects!$D$6:$D$65,MATCH(D906,Projects!$B$6:$B$65,0)),""))&gt;0,IFERROR(INDEX(Projects!$D$6:$D$65,MATCH(D906,Projects!$B$6:$B$65,0)),""),IFERROR(INDEX(Clients!$G$6:$G$45,MATCH(C906,Clients!$B$6:$B$45,0)),0))))</f>
        <v/>
      </c>
      <c r="O906" s="14">
        <f>IF(B906="","",IF(J906&lt;&gt;"",0,ROUND(M906*N906,2)))</f>
        <v/>
      </c>
      <c r="P906" s="15">
        <f>IF(OR(B906="",J906&lt;&gt;""),"",IF(L906&lt;&gt;"",L906,IF(COUNTIFS(Invoices!$C$6:$C$305,C906,Invoices!$E$6:$E$305,"&lt;="&amp;B906,Invoices!$F$6:$F$305,"&gt;="&amp;B906)=1,INDEX(Invoices!$B$6:$B$305,SUMIFS(Invoices!$O$6:$O$305,Invoices!$C$6:$C$305,C906,Invoices!$E$6:$E$305,"&lt;="&amp;B906,Invoices!$F$6:$F$305,"&gt;="&amp;B906)),IF(COUNTIFS(Invoices!$C$6:$C$305,C906,Invoices!$E$6:$E$305,"&lt;="&amp;B906,Invoices!$F$6:$F$305,"&gt;="&amp;B906)&gt;1,"Two invoices",""))))</f>
        <v/>
      </c>
      <c r="Q906" s="15">
        <f>IF(B906="","",IF(J906&lt;&gt;"","Not billable",IF(P906="","To invoice",IF(P906="Two invoices","Check dates",IF(ISNA(MATCH(P906,Invoices!$B$6:$B$305,0)),"Check number",IF(INDEX(Invoices!$M$6:$M$305,MATCH(P906,Invoices!$B$6:$B$305,0))="Paid","Paid",IF(INDEX(Invoices!$M$6:$M$305,MATCH(P906,Invoices!$B$6:$B$305,0))="Draft","Draft","Invoiced")))))))</f>
        <v/>
      </c>
      <c r="R906" s="1">
        <f>IF(AND(B906&lt;&gt;"",P906&lt;&gt;"",P906=Invoice!$G$4),B906+MOD(N(F906),1)+ROW()/10000000,"")</f>
        <v/>
      </c>
      <c r="S906">
        <f>IF(R906="","",IF(D906="","Other work",D906)&amp;IF(AND(K906&lt;&gt;"",E906&lt;&gt;""),", "&amp;E906,""))</f>
        <v/>
      </c>
      <c r="T906">
        <f>IF(R906="","",IF(COUNTIFS(R$6:R905,"&gt;0",S$6:S905,S906,N$6:N905,N906)=0,R906,""))</f>
        <v/>
      </c>
      <c r="U906">
        <f>IF(B906="","",IF(J906&lt;&gt;"",0,M906))</f>
        <v/>
      </c>
    </row>
    <row r="907">
      <c r="A907" s="1" t="n"/>
      <c r="B907" s="16" t="n"/>
      <c r="C907" s="17" t="n"/>
      <c r="D907" s="18" t="n"/>
      <c r="E907" s="18" t="n"/>
      <c r="F907" s="19" t="n"/>
      <c r="G907" s="19" t="n"/>
      <c r="H907" s="20" t="n"/>
      <c r="I907" s="21" t="n"/>
      <c r="J907" s="22" t="n"/>
      <c r="K907" s="23" t="n"/>
      <c r="L907" s="18" t="n"/>
      <c r="M907" s="24">
        <f>IF(B907="","",IF(AND(F907&lt;&gt;"",G907&lt;&gt;""),MAX(0,ROUND(MOD(G907-F907,1)*24-N(H907)/60,2)),N(I907)))</f>
        <v/>
      </c>
      <c r="N907" s="14">
        <f>IF(B907="","",IF(K907&lt;&gt;"",K907,IF(N(IFERROR(INDEX(Projects!$D$6:$D$65,MATCH(D907,Projects!$B$6:$B$65,0)),""))&gt;0,IFERROR(INDEX(Projects!$D$6:$D$65,MATCH(D907,Projects!$B$6:$B$65,0)),""),IFERROR(INDEX(Clients!$G$6:$G$45,MATCH(C907,Clients!$B$6:$B$45,0)),0))))</f>
        <v/>
      </c>
      <c r="O907" s="14">
        <f>IF(B907="","",IF(J907&lt;&gt;"",0,ROUND(M907*N907,2)))</f>
        <v/>
      </c>
      <c r="P907" s="15">
        <f>IF(OR(B907="",J907&lt;&gt;""),"",IF(L907&lt;&gt;"",L907,IF(COUNTIFS(Invoices!$C$6:$C$305,C907,Invoices!$E$6:$E$305,"&lt;="&amp;B907,Invoices!$F$6:$F$305,"&gt;="&amp;B907)=1,INDEX(Invoices!$B$6:$B$305,SUMIFS(Invoices!$O$6:$O$305,Invoices!$C$6:$C$305,C907,Invoices!$E$6:$E$305,"&lt;="&amp;B907,Invoices!$F$6:$F$305,"&gt;="&amp;B907)),IF(COUNTIFS(Invoices!$C$6:$C$305,C907,Invoices!$E$6:$E$305,"&lt;="&amp;B907,Invoices!$F$6:$F$305,"&gt;="&amp;B907)&gt;1,"Two invoices",""))))</f>
        <v/>
      </c>
      <c r="Q907" s="15">
        <f>IF(B907="","",IF(J907&lt;&gt;"","Not billable",IF(P907="","To invoice",IF(P907="Two invoices","Check dates",IF(ISNA(MATCH(P907,Invoices!$B$6:$B$305,0)),"Check number",IF(INDEX(Invoices!$M$6:$M$305,MATCH(P907,Invoices!$B$6:$B$305,0))="Paid","Paid",IF(INDEX(Invoices!$M$6:$M$305,MATCH(P907,Invoices!$B$6:$B$305,0))="Draft","Draft","Invoiced")))))))</f>
        <v/>
      </c>
      <c r="R907" s="1">
        <f>IF(AND(B907&lt;&gt;"",P907&lt;&gt;"",P907=Invoice!$G$4),B907+MOD(N(F907),1)+ROW()/10000000,"")</f>
        <v/>
      </c>
      <c r="S907">
        <f>IF(R907="","",IF(D907="","Other work",D907)&amp;IF(AND(K907&lt;&gt;"",E907&lt;&gt;""),", "&amp;E907,""))</f>
        <v/>
      </c>
      <c r="T907">
        <f>IF(R907="","",IF(COUNTIFS(R$6:R906,"&gt;0",S$6:S906,S907,N$6:N906,N907)=0,R907,""))</f>
        <v/>
      </c>
      <c r="U907">
        <f>IF(B907="","",IF(J907&lt;&gt;"",0,M907))</f>
        <v/>
      </c>
    </row>
    <row r="908">
      <c r="A908" s="1" t="n"/>
      <c r="B908" s="16" t="n"/>
      <c r="C908" s="17" t="n"/>
      <c r="D908" s="18" t="n"/>
      <c r="E908" s="18" t="n"/>
      <c r="F908" s="19" t="n"/>
      <c r="G908" s="19" t="n"/>
      <c r="H908" s="20" t="n"/>
      <c r="I908" s="21" t="n"/>
      <c r="J908" s="22" t="n"/>
      <c r="K908" s="23" t="n"/>
      <c r="L908" s="18" t="n"/>
      <c r="M908" s="24">
        <f>IF(B908="","",IF(AND(F908&lt;&gt;"",G908&lt;&gt;""),MAX(0,ROUND(MOD(G908-F908,1)*24-N(H908)/60,2)),N(I908)))</f>
        <v/>
      </c>
      <c r="N908" s="14">
        <f>IF(B908="","",IF(K908&lt;&gt;"",K908,IF(N(IFERROR(INDEX(Projects!$D$6:$D$65,MATCH(D908,Projects!$B$6:$B$65,0)),""))&gt;0,IFERROR(INDEX(Projects!$D$6:$D$65,MATCH(D908,Projects!$B$6:$B$65,0)),""),IFERROR(INDEX(Clients!$G$6:$G$45,MATCH(C908,Clients!$B$6:$B$45,0)),0))))</f>
        <v/>
      </c>
      <c r="O908" s="14">
        <f>IF(B908="","",IF(J908&lt;&gt;"",0,ROUND(M908*N908,2)))</f>
        <v/>
      </c>
      <c r="P908" s="15">
        <f>IF(OR(B908="",J908&lt;&gt;""),"",IF(L908&lt;&gt;"",L908,IF(COUNTIFS(Invoices!$C$6:$C$305,C908,Invoices!$E$6:$E$305,"&lt;="&amp;B908,Invoices!$F$6:$F$305,"&gt;="&amp;B908)=1,INDEX(Invoices!$B$6:$B$305,SUMIFS(Invoices!$O$6:$O$305,Invoices!$C$6:$C$305,C908,Invoices!$E$6:$E$305,"&lt;="&amp;B908,Invoices!$F$6:$F$305,"&gt;="&amp;B908)),IF(COUNTIFS(Invoices!$C$6:$C$305,C908,Invoices!$E$6:$E$305,"&lt;="&amp;B908,Invoices!$F$6:$F$305,"&gt;="&amp;B908)&gt;1,"Two invoices",""))))</f>
        <v/>
      </c>
      <c r="Q908" s="15">
        <f>IF(B908="","",IF(J908&lt;&gt;"","Not billable",IF(P908="","To invoice",IF(P908="Two invoices","Check dates",IF(ISNA(MATCH(P908,Invoices!$B$6:$B$305,0)),"Check number",IF(INDEX(Invoices!$M$6:$M$305,MATCH(P908,Invoices!$B$6:$B$305,0))="Paid","Paid",IF(INDEX(Invoices!$M$6:$M$305,MATCH(P908,Invoices!$B$6:$B$305,0))="Draft","Draft","Invoiced")))))))</f>
        <v/>
      </c>
      <c r="R908" s="1">
        <f>IF(AND(B908&lt;&gt;"",P908&lt;&gt;"",P908=Invoice!$G$4),B908+MOD(N(F908),1)+ROW()/10000000,"")</f>
        <v/>
      </c>
      <c r="S908">
        <f>IF(R908="","",IF(D908="","Other work",D908)&amp;IF(AND(K908&lt;&gt;"",E908&lt;&gt;""),", "&amp;E908,""))</f>
        <v/>
      </c>
      <c r="T908">
        <f>IF(R908="","",IF(COUNTIFS(R$6:R907,"&gt;0",S$6:S907,S908,N$6:N907,N908)=0,R908,""))</f>
        <v/>
      </c>
      <c r="U908">
        <f>IF(B908="","",IF(J908&lt;&gt;"",0,M908))</f>
        <v/>
      </c>
    </row>
    <row r="909">
      <c r="A909" s="1" t="n"/>
      <c r="B909" s="16" t="n"/>
      <c r="C909" s="17" t="n"/>
      <c r="D909" s="18" t="n"/>
      <c r="E909" s="18" t="n"/>
      <c r="F909" s="19" t="n"/>
      <c r="G909" s="19" t="n"/>
      <c r="H909" s="20" t="n"/>
      <c r="I909" s="21" t="n"/>
      <c r="J909" s="22" t="n"/>
      <c r="K909" s="23" t="n"/>
      <c r="L909" s="18" t="n"/>
      <c r="M909" s="24">
        <f>IF(B909="","",IF(AND(F909&lt;&gt;"",G909&lt;&gt;""),MAX(0,ROUND(MOD(G909-F909,1)*24-N(H909)/60,2)),N(I909)))</f>
        <v/>
      </c>
      <c r="N909" s="14">
        <f>IF(B909="","",IF(K909&lt;&gt;"",K909,IF(N(IFERROR(INDEX(Projects!$D$6:$D$65,MATCH(D909,Projects!$B$6:$B$65,0)),""))&gt;0,IFERROR(INDEX(Projects!$D$6:$D$65,MATCH(D909,Projects!$B$6:$B$65,0)),""),IFERROR(INDEX(Clients!$G$6:$G$45,MATCH(C909,Clients!$B$6:$B$45,0)),0))))</f>
        <v/>
      </c>
      <c r="O909" s="14">
        <f>IF(B909="","",IF(J909&lt;&gt;"",0,ROUND(M909*N909,2)))</f>
        <v/>
      </c>
      <c r="P909" s="15">
        <f>IF(OR(B909="",J909&lt;&gt;""),"",IF(L909&lt;&gt;"",L909,IF(COUNTIFS(Invoices!$C$6:$C$305,C909,Invoices!$E$6:$E$305,"&lt;="&amp;B909,Invoices!$F$6:$F$305,"&gt;="&amp;B909)=1,INDEX(Invoices!$B$6:$B$305,SUMIFS(Invoices!$O$6:$O$305,Invoices!$C$6:$C$305,C909,Invoices!$E$6:$E$305,"&lt;="&amp;B909,Invoices!$F$6:$F$305,"&gt;="&amp;B909)),IF(COUNTIFS(Invoices!$C$6:$C$305,C909,Invoices!$E$6:$E$305,"&lt;="&amp;B909,Invoices!$F$6:$F$305,"&gt;="&amp;B909)&gt;1,"Two invoices",""))))</f>
        <v/>
      </c>
      <c r="Q909" s="15">
        <f>IF(B909="","",IF(J909&lt;&gt;"","Not billable",IF(P909="","To invoice",IF(P909="Two invoices","Check dates",IF(ISNA(MATCH(P909,Invoices!$B$6:$B$305,0)),"Check number",IF(INDEX(Invoices!$M$6:$M$305,MATCH(P909,Invoices!$B$6:$B$305,0))="Paid","Paid",IF(INDEX(Invoices!$M$6:$M$305,MATCH(P909,Invoices!$B$6:$B$305,0))="Draft","Draft","Invoiced")))))))</f>
        <v/>
      </c>
      <c r="R909" s="1">
        <f>IF(AND(B909&lt;&gt;"",P909&lt;&gt;"",P909=Invoice!$G$4),B909+MOD(N(F909),1)+ROW()/10000000,"")</f>
        <v/>
      </c>
      <c r="S909">
        <f>IF(R909="","",IF(D909="","Other work",D909)&amp;IF(AND(K909&lt;&gt;"",E909&lt;&gt;""),", "&amp;E909,""))</f>
        <v/>
      </c>
      <c r="T909">
        <f>IF(R909="","",IF(COUNTIFS(R$6:R908,"&gt;0",S$6:S908,S909,N$6:N908,N909)=0,R909,""))</f>
        <v/>
      </c>
      <c r="U909">
        <f>IF(B909="","",IF(J909&lt;&gt;"",0,M909))</f>
        <v/>
      </c>
    </row>
    <row r="910">
      <c r="A910" s="1" t="n"/>
      <c r="B910" s="16" t="n"/>
      <c r="C910" s="17" t="n"/>
      <c r="D910" s="18" t="n"/>
      <c r="E910" s="18" t="n"/>
      <c r="F910" s="19" t="n"/>
      <c r="G910" s="19" t="n"/>
      <c r="H910" s="20" t="n"/>
      <c r="I910" s="21" t="n"/>
      <c r="J910" s="22" t="n"/>
      <c r="K910" s="23" t="n"/>
      <c r="L910" s="18" t="n"/>
      <c r="M910" s="24">
        <f>IF(B910="","",IF(AND(F910&lt;&gt;"",G910&lt;&gt;""),MAX(0,ROUND(MOD(G910-F910,1)*24-N(H910)/60,2)),N(I910)))</f>
        <v/>
      </c>
      <c r="N910" s="14">
        <f>IF(B910="","",IF(K910&lt;&gt;"",K910,IF(N(IFERROR(INDEX(Projects!$D$6:$D$65,MATCH(D910,Projects!$B$6:$B$65,0)),""))&gt;0,IFERROR(INDEX(Projects!$D$6:$D$65,MATCH(D910,Projects!$B$6:$B$65,0)),""),IFERROR(INDEX(Clients!$G$6:$G$45,MATCH(C910,Clients!$B$6:$B$45,0)),0))))</f>
        <v/>
      </c>
      <c r="O910" s="14">
        <f>IF(B910="","",IF(J910&lt;&gt;"",0,ROUND(M910*N910,2)))</f>
        <v/>
      </c>
      <c r="P910" s="15">
        <f>IF(OR(B910="",J910&lt;&gt;""),"",IF(L910&lt;&gt;"",L910,IF(COUNTIFS(Invoices!$C$6:$C$305,C910,Invoices!$E$6:$E$305,"&lt;="&amp;B910,Invoices!$F$6:$F$305,"&gt;="&amp;B910)=1,INDEX(Invoices!$B$6:$B$305,SUMIFS(Invoices!$O$6:$O$305,Invoices!$C$6:$C$305,C910,Invoices!$E$6:$E$305,"&lt;="&amp;B910,Invoices!$F$6:$F$305,"&gt;="&amp;B910)),IF(COUNTIFS(Invoices!$C$6:$C$305,C910,Invoices!$E$6:$E$305,"&lt;="&amp;B910,Invoices!$F$6:$F$305,"&gt;="&amp;B910)&gt;1,"Two invoices",""))))</f>
        <v/>
      </c>
      <c r="Q910" s="15">
        <f>IF(B910="","",IF(J910&lt;&gt;"","Not billable",IF(P910="","To invoice",IF(P910="Two invoices","Check dates",IF(ISNA(MATCH(P910,Invoices!$B$6:$B$305,0)),"Check number",IF(INDEX(Invoices!$M$6:$M$305,MATCH(P910,Invoices!$B$6:$B$305,0))="Paid","Paid",IF(INDEX(Invoices!$M$6:$M$305,MATCH(P910,Invoices!$B$6:$B$305,0))="Draft","Draft","Invoiced")))))))</f>
        <v/>
      </c>
      <c r="R910" s="1">
        <f>IF(AND(B910&lt;&gt;"",P910&lt;&gt;"",P910=Invoice!$G$4),B910+MOD(N(F910),1)+ROW()/10000000,"")</f>
        <v/>
      </c>
      <c r="S910">
        <f>IF(R910="","",IF(D910="","Other work",D910)&amp;IF(AND(K910&lt;&gt;"",E910&lt;&gt;""),", "&amp;E910,""))</f>
        <v/>
      </c>
      <c r="T910">
        <f>IF(R910="","",IF(COUNTIFS(R$6:R909,"&gt;0",S$6:S909,S910,N$6:N909,N910)=0,R910,""))</f>
        <v/>
      </c>
      <c r="U910">
        <f>IF(B910="","",IF(J910&lt;&gt;"",0,M910))</f>
        <v/>
      </c>
    </row>
    <row r="911">
      <c r="A911" s="1" t="n"/>
      <c r="B911" s="16" t="n"/>
      <c r="C911" s="17" t="n"/>
      <c r="D911" s="18" t="n"/>
      <c r="E911" s="18" t="n"/>
      <c r="F911" s="19" t="n"/>
      <c r="G911" s="19" t="n"/>
      <c r="H911" s="20" t="n"/>
      <c r="I911" s="21" t="n"/>
      <c r="J911" s="22" t="n"/>
      <c r="K911" s="23" t="n"/>
      <c r="L911" s="18" t="n"/>
      <c r="M911" s="24">
        <f>IF(B911="","",IF(AND(F911&lt;&gt;"",G911&lt;&gt;""),MAX(0,ROUND(MOD(G911-F911,1)*24-N(H911)/60,2)),N(I911)))</f>
        <v/>
      </c>
      <c r="N911" s="14">
        <f>IF(B911="","",IF(K911&lt;&gt;"",K911,IF(N(IFERROR(INDEX(Projects!$D$6:$D$65,MATCH(D911,Projects!$B$6:$B$65,0)),""))&gt;0,IFERROR(INDEX(Projects!$D$6:$D$65,MATCH(D911,Projects!$B$6:$B$65,0)),""),IFERROR(INDEX(Clients!$G$6:$G$45,MATCH(C911,Clients!$B$6:$B$45,0)),0))))</f>
        <v/>
      </c>
      <c r="O911" s="14">
        <f>IF(B911="","",IF(J911&lt;&gt;"",0,ROUND(M911*N911,2)))</f>
        <v/>
      </c>
      <c r="P911" s="15">
        <f>IF(OR(B911="",J911&lt;&gt;""),"",IF(L911&lt;&gt;"",L911,IF(COUNTIFS(Invoices!$C$6:$C$305,C911,Invoices!$E$6:$E$305,"&lt;="&amp;B911,Invoices!$F$6:$F$305,"&gt;="&amp;B911)=1,INDEX(Invoices!$B$6:$B$305,SUMIFS(Invoices!$O$6:$O$305,Invoices!$C$6:$C$305,C911,Invoices!$E$6:$E$305,"&lt;="&amp;B911,Invoices!$F$6:$F$305,"&gt;="&amp;B911)),IF(COUNTIFS(Invoices!$C$6:$C$305,C911,Invoices!$E$6:$E$305,"&lt;="&amp;B911,Invoices!$F$6:$F$305,"&gt;="&amp;B911)&gt;1,"Two invoices",""))))</f>
        <v/>
      </c>
      <c r="Q911" s="15">
        <f>IF(B911="","",IF(J911&lt;&gt;"","Not billable",IF(P911="","To invoice",IF(P911="Two invoices","Check dates",IF(ISNA(MATCH(P911,Invoices!$B$6:$B$305,0)),"Check number",IF(INDEX(Invoices!$M$6:$M$305,MATCH(P911,Invoices!$B$6:$B$305,0))="Paid","Paid",IF(INDEX(Invoices!$M$6:$M$305,MATCH(P911,Invoices!$B$6:$B$305,0))="Draft","Draft","Invoiced")))))))</f>
        <v/>
      </c>
      <c r="R911" s="1">
        <f>IF(AND(B911&lt;&gt;"",P911&lt;&gt;"",P911=Invoice!$G$4),B911+MOD(N(F911),1)+ROW()/10000000,"")</f>
        <v/>
      </c>
      <c r="S911">
        <f>IF(R911="","",IF(D911="","Other work",D911)&amp;IF(AND(K911&lt;&gt;"",E911&lt;&gt;""),", "&amp;E911,""))</f>
        <v/>
      </c>
      <c r="T911">
        <f>IF(R911="","",IF(COUNTIFS(R$6:R910,"&gt;0",S$6:S910,S911,N$6:N910,N911)=0,R911,""))</f>
        <v/>
      </c>
      <c r="U911">
        <f>IF(B911="","",IF(J911&lt;&gt;"",0,M911))</f>
        <v/>
      </c>
    </row>
    <row r="912">
      <c r="A912" s="1" t="n"/>
      <c r="B912" s="16" t="n"/>
      <c r="C912" s="17" t="n"/>
      <c r="D912" s="18" t="n"/>
      <c r="E912" s="18" t="n"/>
      <c r="F912" s="19" t="n"/>
      <c r="G912" s="19" t="n"/>
      <c r="H912" s="20" t="n"/>
      <c r="I912" s="21" t="n"/>
      <c r="J912" s="22" t="n"/>
      <c r="K912" s="23" t="n"/>
      <c r="L912" s="18" t="n"/>
      <c r="M912" s="24">
        <f>IF(B912="","",IF(AND(F912&lt;&gt;"",G912&lt;&gt;""),MAX(0,ROUND(MOD(G912-F912,1)*24-N(H912)/60,2)),N(I912)))</f>
        <v/>
      </c>
      <c r="N912" s="14">
        <f>IF(B912="","",IF(K912&lt;&gt;"",K912,IF(N(IFERROR(INDEX(Projects!$D$6:$D$65,MATCH(D912,Projects!$B$6:$B$65,0)),""))&gt;0,IFERROR(INDEX(Projects!$D$6:$D$65,MATCH(D912,Projects!$B$6:$B$65,0)),""),IFERROR(INDEX(Clients!$G$6:$G$45,MATCH(C912,Clients!$B$6:$B$45,0)),0))))</f>
        <v/>
      </c>
      <c r="O912" s="14">
        <f>IF(B912="","",IF(J912&lt;&gt;"",0,ROUND(M912*N912,2)))</f>
        <v/>
      </c>
      <c r="P912" s="15">
        <f>IF(OR(B912="",J912&lt;&gt;""),"",IF(L912&lt;&gt;"",L912,IF(COUNTIFS(Invoices!$C$6:$C$305,C912,Invoices!$E$6:$E$305,"&lt;="&amp;B912,Invoices!$F$6:$F$305,"&gt;="&amp;B912)=1,INDEX(Invoices!$B$6:$B$305,SUMIFS(Invoices!$O$6:$O$305,Invoices!$C$6:$C$305,C912,Invoices!$E$6:$E$305,"&lt;="&amp;B912,Invoices!$F$6:$F$305,"&gt;="&amp;B912)),IF(COUNTIFS(Invoices!$C$6:$C$305,C912,Invoices!$E$6:$E$305,"&lt;="&amp;B912,Invoices!$F$6:$F$305,"&gt;="&amp;B912)&gt;1,"Two invoices",""))))</f>
        <v/>
      </c>
      <c r="Q912" s="15">
        <f>IF(B912="","",IF(J912&lt;&gt;"","Not billable",IF(P912="","To invoice",IF(P912="Two invoices","Check dates",IF(ISNA(MATCH(P912,Invoices!$B$6:$B$305,0)),"Check number",IF(INDEX(Invoices!$M$6:$M$305,MATCH(P912,Invoices!$B$6:$B$305,0))="Paid","Paid",IF(INDEX(Invoices!$M$6:$M$305,MATCH(P912,Invoices!$B$6:$B$305,0))="Draft","Draft","Invoiced")))))))</f>
        <v/>
      </c>
      <c r="R912" s="1">
        <f>IF(AND(B912&lt;&gt;"",P912&lt;&gt;"",P912=Invoice!$G$4),B912+MOD(N(F912),1)+ROW()/10000000,"")</f>
        <v/>
      </c>
      <c r="S912">
        <f>IF(R912="","",IF(D912="","Other work",D912)&amp;IF(AND(K912&lt;&gt;"",E912&lt;&gt;""),", "&amp;E912,""))</f>
        <v/>
      </c>
      <c r="T912">
        <f>IF(R912="","",IF(COUNTIFS(R$6:R911,"&gt;0",S$6:S911,S912,N$6:N911,N912)=0,R912,""))</f>
        <v/>
      </c>
      <c r="U912">
        <f>IF(B912="","",IF(J912&lt;&gt;"",0,M912))</f>
        <v/>
      </c>
    </row>
    <row r="913">
      <c r="A913" s="1" t="n"/>
      <c r="B913" s="16" t="n"/>
      <c r="C913" s="17" t="n"/>
      <c r="D913" s="18" t="n"/>
      <c r="E913" s="18" t="n"/>
      <c r="F913" s="19" t="n"/>
      <c r="G913" s="19" t="n"/>
      <c r="H913" s="20" t="n"/>
      <c r="I913" s="21" t="n"/>
      <c r="J913" s="22" t="n"/>
      <c r="K913" s="23" t="n"/>
      <c r="L913" s="18" t="n"/>
      <c r="M913" s="24">
        <f>IF(B913="","",IF(AND(F913&lt;&gt;"",G913&lt;&gt;""),MAX(0,ROUND(MOD(G913-F913,1)*24-N(H913)/60,2)),N(I913)))</f>
        <v/>
      </c>
      <c r="N913" s="14">
        <f>IF(B913="","",IF(K913&lt;&gt;"",K913,IF(N(IFERROR(INDEX(Projects!$D$6:$D$65,MATCH(D913,Projects!$B$6:$B$65,0)),""))&gt;0,IFERROR(INDEX(Projects!$D$6:$D$65,MATCH(D913,Projects!$B$6:$B$65,0)),""),IFERROR(INDEX(Clients!$G$6:$G$45,MATCH(C913,Clients!$B$6:$B$45,0)),0))))</f>
        <v/>
      </c>
      <c r="O913" s="14">
        <f>IF(B913="","",IF(J913&lt;&gt;"",0,ROUND(M913*N913,2)))</f>
        <v/>
      </c>
      <c r="P913" s="15">
        <f>IF(OR(B913="",J913&lt;&gt;""),"",IF(L913&lt;&gt;"",L913,IF(COUNTIFS(Invoices!$C$6:$C$305,C913,Invoices!$E$6:$E$305,"&lt;="&amp;B913,Invoices!$F$6:$F$305,"&gt;="&amp;B913)=1,INDEX(Invoices!$B$6:$B$305,SUMIFS(Invoices!$O$6:$O$305,Invoices!$C$6:$C$305,C913,Invoices!$E$6:$E$305,"&lt;="&amp;B913,Invoices!$F$6:$F$305,"&gt;="&amp;B913)),IF(COUNTIFS(Invoices!$C$6:$C$305,C913,Invoices!$E$6:$E$305,"&lt;="&amp;B913,Invoices!$F$6:$F$305,"&gt;="&amp;B913)&gt;1,"Two invoices",""))))</f>
        <v/>
      </c>
      <c r="Q913" s="15">
        <f>IF(B913="","",IF(J913&lt;&gt;"","Not billable",IF(P913="","To invoice",IF(P913="Two invoices","Check dates",IF(ISNA(MATCH(P913,Invoices!$B$6:$B$305,0)),"Check number",IF(INDEX(Invoices!$M$6:$M$305,MATCH(P913,Invoices!$B$6:$B$305,0))="Paid","Paid",IF(INDEX(Invoices!$M$6:$M$305,MATCH(P913,Invoices!$B$6:$B$305,0))="Draft","Draft","Invoiced")))))))</f>
        <v/>
      </c>
      <c r="R913" s="1">
        <f>IF(AND(B913&lt;&gt;"",P913&lt;&gt;"",P913=Invoice!$G$4),B913+MOD(N(F913),1)+ROW()/10000000,"")</f>
        <v/>
      </c>
      <c r="S913">
        <f>IF(R913="","",IF(D913="","Other work",D913)&amp;IF(AND(K913&lt;&gt;"",E913&lt;&gt;""),", "&amp;E913,""))</f>
        <v/>
      </c>
      <c r="T913">
        <f>IF(R913="","",IF(COUNTIFS(R$6:R912,"&gt;0",S$6:S912,S913,N$6:N912,N913)=0,R913,""))</f>
        <v/>
      </c>
      <c r="U913">
        <f>IF(B913="","",IF(J913&lt;&gt;"",0,M913))</f>
        <v/>
      </c>
    </row>
    <row r="914">
      <c r="A914" s="1" t="n"/>
      <c r="B914" s="16" t="n"/>
      <c r="C914" s="17" t="n"/>
      <c r="D914" s="18" t="n"/>
      <c r="E914" s="18" t="n"/>
      <c r="F914" s="19" t="n"/>
      <c r="G914" s="19" t="n"/>
      <c r="H914" s="20" t="n"/>
      <c r="I914" s="21" t="n"/>
      <c r="J914" s="22" t="n"/>
      <c r="K914" s="23" t="n"/>
      <c r="L914" s="18" t="n"/>
      <c r="M914" s="24">
        <f>IF(B914="","",IF(AND(F914&lt;&gt;"",G914&lt;&gt;""),MAX(0,ROUND(MOD(G914-F914,1)*24-N(H914)/60,2)),N(I914)))</f>
        <v/>
      </c>
      <c r="N914" s="14">
        <f>IF(B914="","",IF(K914&lt;&gt;"",K914,IF(N(IFERROR(INDEX(Projects!$D$6:$D$65,MATCH(D914,Projects!$B$6:$B$65,0)),""))&gt;0,IFERROR(INDEX(Projects!$D$6:$D$65,MATCH(D914,Projects!$B$6:$B$65,0)),""),IFERROR(INDEX(Clients!$G$6:$G$45,MATCH(C914,Clients!$B$6:$B$45,0)),0))))</f>
        <v/>
      </c>
      <c r="O914" s="14">
        <f>IF(B914="","",IF(J914&lt;&gt;"",0,ROUND(M914*N914,2)))</f>
        <v/>
      </c>
      <c r="P914" s="15">
        <f>IF(OR(B914="",J914&lt;&gt;""),"",IF(L914&lt;&gt;"",L914,IF(COUNTIFS(Invoices!$C$6:$C$305,C914,Invoices!$E$6:$E$305,"&lt;="&amp;B914,Invoices!$F$6:$F$305,"&gt;="&amp;B914)=1,INDEX(Invoices!$B$6:$B$305,SUMIFS(Invoices!$O$6:$O$305,Invoices!$C$6:$C$305,C914,Invoices!$E$6:$E$305,"&lt;="&amp;B914,Invoices!$F$6:$F$305,"&gt;="&amp;B914)),IF(COUNTIFS(Invoices!$C$6:$C$305,C914,Invoices!$E$6:$E$305,"&lt;="&amp;B914,Invoices!$F$6:$F$305,"&gt;="&amp;B914)&gt;1,"Two invoices",""))))</f>
        <v/>
      </c>
      <c r="Q914" s="15">
        <f>IF(B914="","",IF(J914&lt;&gt;"","Not billable",IF(P914="","To invoice",IF(P914="Two invoices","Check dates",IF(ISNA(MATCH(P914,Invoices!$B$6:$B$305,0)),"Check number",IF(INDEX(Invoices!$M$6:$M$305,MATCH(P914,Invoices!$B$6:$B$305,0))="Paid","Paid",IF(INDEX(Invoices!$M$6:$M$305,MATCH(P914,Invoices!$B$6:$B$305,0))="Draft","Draft","Invoiced")))))))</f>
        <v/>
      </c>
      <c r="R914" s="1">
        <f>IF(AND(B914&lt;&gt;"",P914&lt;&gt;"",P914=Invoice!$G$4),B914+MOD(N(F914),1)+ROW()/10000000,"")</f>
        <v/>
      </c>
      <c r="S914">
        <f>IF(R914="","",IF(D914="","Other work",D914)&amp;IF(AND(K914&lt;&gt;"",E914&lt;&gt;""),", "&amp;E914,""))</f>
        <v/>
      </c>
      <c r="T914">
        <f>IF(R914="","",IF(COUNTIFS(R$6:R913,"&gt;0",S$6:S913,S914,N$6:N913,N914)=0,R914,""))</f>
        <v/>
      </c>
      <c r="U914">
        <f>IF(B914="","",IF(J914&lt;&gt;"",0,M914))</f>
        <v/>
      </c>
    </row>
    <row r="915">
      <c r="A915" s="1" t="n"/>
      <c r="B915" s="16" t="n"/>
      <c r="C915" s="17" t="n"/>
      <c r="D915" s="18" t="n"/>
      <c r="E915" s="18" t="n"/>
      <c r="F915" s="19" t="n"/>
      <c r="G915" s="19" t="n"/>
      <c r="H915" s="20" t="n"/>
      <c r="I915" s="21" t="n"/>
      <c r="J915" s="22" t="n"/>
      <c r="K915" s="23" t="n"/>
      <c r="L915" s="18" t="n"/>
      <c r="M915" s="24">
        <f>IF(B915="","",IF(AND(F915&lt;&gt;"",G915&lt;&gt;""),MAX(0,ROUND(MOD(G915-F915,1)*24-N(H915)/60,2)),N(I915)))</f>
        <v/>
      </c>
      <c r="N915" s="14">
        <f>IF(B915="","",IF(K915&lt;&gt;"",K915,IF(N(IFERROR(INDEX(Projects!$D$6:$D$65,MATCH(D915,Projects!$B$6:$B$65,0)),""))&gt;0,IFERROR(INDEX(Projects!$D$6:$D$65,MATCH(D915,Projects!$B$6:$B$65,0)),""),IFERROR(INDEX(Clients!$G$6:$G$45,MATCH(C915,Clients!$B$6:$B$45,0)),0))))</f>
        <v/>
      </c>
      <c r="O915" s="14">
        <f>IF(B915="","",IF(J915&lt;&gt;"",0,ROUND(M915*N915,2)))</f>
        <v/>
      </c>
      <c r="P915" s="15">
        <f>IF(OR(B915="",J915&lt;&gt;""),"",IF(L915&lt;&gt;"",L915,IF(COUNTIFS(Invoices!$C$6:$C$305,C915,Invoices!$E$6:$E$305,"&lt;="&amp;B915,Invoices!$F$6:$F$305,"&gt;="&amp;B915)=1,INDEX(Invoices!$B$6:$B$305,SUMIFS(Invoices!$O$6:$O$305,Invoices!$C$6:$C$305,C915,Invoices!$E$6:$E$305,"&lt;="&amp;B915,Invoices!$F$6:$F$305,"&gt;="&amp;B915)),IF(COUNTIFS(Invoices!$C$6:$C$305,C915,Invoices!$E$6:$E$305,"&lt;="&amp;B915,Invoices!$F$6:$F$305,"&gt;="&amp;B915)&gt;1,"Two invoices",""))))</f>
        <v/>
      </c>
      <c r="Q915" s="15">
        <f>IF(B915="","",IF(J915&lt;&gt;"","Not billable",IF(P915="","To invoice",IF(P915="Two invoices","Check dates",IF(ISNA(MATCH(P915,Invoices!$B$6:$B$305,0)),"Check number",IF(INDEX(Invoices!$M$6:$M$305,MATCH(P915,Invoices!$B$6:$B$305,0))="Paid","Paid",IF(INDEX(Invoices!$M$6:$M$305,MATCH(P915,Invoices!$B$6:$B$305,0))="Draft","Draft","Invoiced")))))))</f>
        <v/>
      </c>
      <c r="R915" s="1">
        <f>IF(AND(B915&lt;&gt;"",P915&lt;&gt;"",P915=Invoice!$G$4),B915+MOD(N(F915),1)+ROW()/10000000,"")</f>
        <v/>
      </c>
      <c r="S915">
        <f>IF(R915="","",IF(D915="","Other work",D915)&amp;IF(AND(K915&lt;&gt;"",E915&lt;&gt;""),", "&amp;E915,""))</f>
        <v/>
      </c>
      <c r="T915">
        <f>IF(R915="","",IF(COUNTIFS(R$6:R914,"&gt;0",S$6:S914,S915,N$6:N914,N915)=0,R915,""))</f>
        <v/>
      </c>
      <c r="U915">
        <f>IF(B915="","",IF(J915&lt;&gt;"",0,M915))</f>
        <v/>
      </c>
    </row>
    <row r="916">
      <c r="A916" s="1" t="n"/>
      <c r="B916" s="16" t="n"/>
      <c r="C916" s="17" t="n"/>
      <c r="D916" s="18" t="n"/>
      <c r="E916" s="18" t="n"/>
      <c r="F916" s="19" t="n"/>
      <c r="G916" s="19" t="n"/>
      <c r="H916" s="20" t="n"/>
      <c r="I916" s="21" t="n"/>
      <c r="J916" s="22" t="n"/>
      <c r="K916" s="23" t="n"/>
      <c r="L916" s="18" t="n"/>
      <c r="M916" s="24">
        <f>IF(B916="","",IF(AND(F916&lt;&gt;"",G916&lt;&gt;""),MAX(0,ROUND(MOD(G916-F916,1)*24-N(H916)/60,2)),N(I916)))</f>
        <v/>
      </c>
      <c r="N916" s="14">
        <f>IF(B916="","",IF(K916&lt;&gt;"",K916,IF(N(IFERROR(INDEX(Projects!$D$6:$D$65,MATCH(D916,Projects!$B$6:$B$65,0)),""))&gt;0,IFERROR(INDEX(Projects!$D$6:$D$65,MATCH(D916,Projects!$B$6:$B$65,0)),""),IFERROR(INDEX(Clients!$G$6:$G$45,MATCH(C916,Clients!$B$6:$B$45,0)),0))))</f>
        <v/>
      </c>
      <c r="O916" s="14">
        <f>IF(B916="","",IF(J916&lt;&gt;"",0,ROUND(M916*N916,2)))</f>
        <v/>
      </c>
      <c r="P916" s="15">
        <f>IF(OR(B916="",J916&lt;&gt;""),"",IF(L916&lt;&gt;"",L916,IF(COUNTIFS(Invoices!$C$6:$C$305,C916,Invoices!$E$6:$E$305,"&lt;="&amp;B916,Invoices!$F$6:$F$305,"&gt;="&amp;B916)=1,INDEX(Invoices!$B$6:$B$305,SUMIFS(Invoices!$O$6:$O$305,Invoices!$C$6:$C$305,C916,Invoices!$E$6:$E$305,"&lt;="&amp;B916,Invoices!$F$6:$F$305,"&gt;="&amp;B916)),IF(COUNTIFS(Invoices!$C$6:$C$305,C916,Invoices!$E$6:$E$305,"&lt;="&amp;B916,Invoices!$F$6:$F$305,"&gt;="&amp;B916)&gt;1,"Two invoices",""))))</f>
        <v/>
      </c>
      <c r="Q916" s="15">
        <f>IF(B916="","",IF(J916&lt;&gt;"","Not billable",IF(P916="","To invoice",IF(P916="Two invoices","Check dates",IF(ISNA(MATCH(P916,Invoices!$B$6:$B$305,0)),"Check number",IF(INDEX(Invoices!$M$6:$M$305,MATCH(P916,Invoices!$B$6:$B$305,0))="Paid","Paid",IF(INDEX(Invoices!$M$6:$M$305,MATCH(P916,Invoices!$B$6:$B$305,0))="Draft","Draft","Invoiced")))))))</f>
        <v/>
      </c>
      <c r="R916" s="1">
        <f>IF(AND(B916&lt;&gt;"",P916&lt;&gt;"",P916=Invoice!$G$4),B916+MOD(N(F916),1)+ROW()/10000000,"")</f>
        <v/>
      </c>
      <c r="S916">
        <f>IF(R916="","",IF(D916="","Other work",D916)&amp;IF(AND(K916&lt;&gt;"",E916&lt;&gt;""),", "&amp;E916,""))</f>
        <v/>
      </c>
      <c r="T916">
        <f>IF(R916="","",IF(COUNTIFS(R$6:R915,"&gt;0",S$6:S915,S916,N$6:N915,N916)=0,R916,""))</f>
        <v/>
      </c>
      <c r="U916">
        <f>IF(B916="","",IF(J916&lt;&gt;"",0,M916))</f>
        <v/>
      </c>
    </row>
    <row r="917">
      <c r="A917" s="1" t="n"/>
      <c r="B917" s="16" t="n"/>
      <c r="C917" s="17" t="n"/>
      <c r="D917" s="18" t="n"/>
      <c r="E917" s="18" t="n"/>
      <c r="F917" s="19" t="n"/>
      <c r="G917" s="19" t="n"/>
      <c r="H917" s="20" t="n"/>
      <c r="I917" s="21" t="n"/>
      <c r="J917" s="22" t="n"/>
      <c r="K917" s="23" t="n"/>
      <c r="L917" s="18" t="n"/>
      <c r="M917" s="24">
        <f>IF(B917="","",IF(AND(F917&lt;&gt;"",G917&lt;&gt;""),MAX(0,ROUND(MOD(G917-F917,1)*24-N(H917)/60,2)),N(I917)))</f>
        <v/>
      </c>
      <c r="N917" s="14">
        <f>IF(B917="","",IF(K917&lt;&gt;"",K917,IF(N(IFERROR(INDEX(Projects!$D$6:$D$65,MATCH(D917,Projects!$B$6:$B$65,0)),""))&gt;0,IFERROR(INDEX(Projects!$D$6:$D$65,MATCH(D917,Projects!$B$6:$B$65,0)),""),IFERROR(INDEX(Clients!$G$6:$G$45,MATCH(C917,Clients!$B$6:$B$45,0)),0))))</f>
        <v/>
      </c>
      <c r="O917" s="14">
        <f>IF(B917="","",IF(J917&lt;&gt;"",0,ROUND(M917*N917,2)))</f>
        <v/>
      </c>
      <c r="P917" s="15">
        <f>IF(OR(B917="",J917&lt;&gt;""),"",IF(L917&lt;&gt;"",L917,IF(COUNTIFS(Invoices!$C$6:$C$305,C917,Invoices!$E$6:$E$305,"&lt;="&amp;B917,Invoices!$F$6:$F$305,"&gt;="&amp;B917)=1,INDEX(Invoices!$B$6:$B$305,SUMIFS(Invoices!$O$6:$O$305,Invoices!$C$6:$C$305,C917,Invoices!$E$6:$E$305,"&lt;="&amp;B917,Invoices!$F$6:$F$305,"&gt;="&amp;B917)),IF(COUNTIFS(Invoices!$C$6:$C$305,C917,Invoices!$E$6:$E$305,"&lt;="&amp;B917,Invoices!$F$6:$F$305,"&gt;="&amp;B917)&gt;1,"Two invoices",""))))</f>
        <v/>
      </c>
      <c r="Q917" s="15">
        <f>IF(B917="","",IF(J917&lt;&gt;"","Not billable",IF(P917="","To invoice",IF(P917="Two invoices","Check dates",IF(ISNA(MATCH(P917,Invoices!$B$6:$B$305,0)),"Check number",IF(INDEX(Invoices!$M$6:$M$305,MATCH(P917,Invoices!$B$6:$B$305,0))="Paid","Paid",IF(INDEX(Invoices!$M$6:$M$305,MATCH(P917,Invoices!$B$6:$B$305,0))="Draft","Draft","Invoiced")))))))</f>
        <v/>
      </c>
      <c r="R917" s="1">
        <f>IF(AND(B917&lt;&gt;"",P917&lt;&gt;"",P917=Invoice!$G$4),B917+MOD(N(F917),1)+ROW()/10000000,"")</f>
        <v/>
      </c>
      <c r="S917">
        <f>IF(R917="","",IF(D917="","Other work",D917)&amp;IF(AND(K917&lt;&gt;"",E917&lt;&gt;""),", "&amp;E917,""))</f>
        <v/>
      </c>
      <c r="T917">
        <f>IF(R917="","",IF(COUNTIFS(R$6:R916,"&gt;0",S$6:S916,S917,N$6:N916,N917)=0,R917,""))</f>
        <v/>
      </c>
      <c r="U917">
        <f>IF(B917="","",IF(J917&lt;&gt;"",0,M917))</f>
        <v/>
      </c>
    </row>
    <row r="918">
      <c r="A918" s="1" t="n"/>
      <c r="B918" s="16" t="n"/>
      <c r="C918" s="17" t="n"/>
      <c r="D918" s="18" t="n"/>
      <c r="E918" s="18" t="n"/>
      <c r="F918" s="19" t="n"/>
      <c r="G918" s="19" t="n"/>
      <c r="H918" s="20" t="n"/>
      <c r="I918" s="21" t="n"/>
      <c r="J918" s="22" t="n"/>
      <c r="K918" s="23" t="n"/>
      <c r="L918" s="18" t="n"/>
      <c r="M918" s="24">
        <f>IF(B918="","",IF(AND(F918&lt;&gt;"",G918&lt;&gt;""),MAX(0,ROUND(MOD(G918-F918,1)*24-N(H918)/60,2)),N(I918)))</f>
        <v/>
      </c>
      <c r="N918" s="14">
        <f>IF(B918="","",IF(K918&lt;&gt;"",K918,IF(N(IFERROR(INDEX(Projects!$D$6:$D$65,MATCH(D918,Projects!$B$6:$B$65,0)),""))&gt;0,IFERROR(INDEX(Projects!$D$6:$D$65,MATCH(D918,Projects!$B$6:$B$65,0)),""),IFERROR(INDEX(Clients!$G$6:$G$45,MATCH(C918,Clients!$B$6:$B$45,0)),0))))</f>
        <v/>
      </c>
      <c r="O918" s="14">
        <f>IF(B918="","",IF(J918&lt;&gt;"",0,ROUND(M918*N918,2)))</f>
        <v/>
      </c>
      <c r="P918" s="15">
        <f>IF(OR(B918="",J918&lt;&gt;""),"",IF(L918&lt;&gt;"",L918,IF(COUNTIFS(Invoices!$C$6:$C$305,C918,Invoices!$E$6:$E$305,"&lt;="&amp;B918,Invoices!$F$6:$F$305,"&gt;="&amp;B918)=1,INDEX(Invoices!$B$6:$B$305,SUMIFS(Invoices!$O$6:$O$305,Invoices!$C$6:$C$305,C918,Invoices!$E$6:$E$305,"&lt;="&amp;B918,Invoices!$F$6:$F$305,"&gt;="&amp;B918)),IF(COUNTIFS(Invoices!$C$6:$C$305,C918,Invoices!$E$6:$E$305,"&lt;="&amp;B918,Invoices!$F$6:$F$305,"&gt;="&amp;B918)&gt;1,"Two invoices",""))))</f>
        <v/>
      </c>
      <c r="Q918" s="15">
        <f>IF(B918="","",IF(J918&lt;&gt;"","Not billable",IF(P918="","To invoice",IF(P918="Two invoices","Check dates",IF(ISNA(MATCH(P918,Invoices!$B$6:$B$305,0)),"Check number",IF(INDEX(Invoices!$M$6:$M$305,MATCH(P918,Invoices!$B$6:$B$305,0))="Paid","Paid",IF(INDEX(Invoices!$M$6:$M$305,MATCH(P918,Invoices!$B$6:$B$305,0))="Draft","Draft","Invoiced")))))))</f>
        <v/>
      </c>
      <c r="R918" s="1">
        <f>IF(AND(B918&lt;&gt;"",P918&lt;&gt;"",P918=Invoice!$G$4),B918+MOD(N(F918),1)+ROW()/10000000,"")</f>
        <v/>
      </c>
      <c r="S918">
        <f>IF(R918="","",IF(D918="","Other work",D918)&amp;IF(AND(K918&lt;&gt;"",E918&lt;&gt;""),", "&amp;E918,""))</f>
        <v/>
      </c>
      <c r="T918">
        <f>IF(R918="","",IF(COUNTIFS(R$6:R917,"&gt;0",S$6:S917,S918,N$6:N917,N918)=0,R918,""))</f>
        <v/>
      </c>
      <c r="U918">
        <f>IF(B918="","",IF(J918&lt;&gt;"",0,M918))</f>
        <v/>
      </c>
    </row>
    <row r="919">
      <c r="A919" s="1" t="n"/>
      <c r="B919" s="16" t="n"/>
      <c r="C919" s="17" t="n"/>
      <c r="D919" s="18" t="n"/>
      <c r="E919" s="18" t="n"/>
      <c r="F919" s="19" t="n"/>
      <c r="G919" s="19" t="n"/>
      <c r="H919" s="20" t="n"/>
      <c r="I919" s="21" t="n"/>
      <c r="J919" s="22" t="n"/>
      <c r="K919" s="23" t="n"/>
      <c r="L919" s="18" t="n"/>
      <c r="M919" s="24">
        <f>IF(B919="","",IF(AND(F919&lt;&gt;"",G919&lt;&gt;""),MAX(0,ROUND(MOD(G919-F919,1)*24-N(H919)/60,2)),N(I919)))</f>
        <v/>
      </c>
      <c r="N919" s="14">
        <f>IF(B919="","",IF(K919&lt;&gt;"",K919,IF(N(IFERROR(INDEX(Projects!$D$6:$D$65,MATCH(D919,Projects!$B$6:$B$65,0)),""))&gt;0,IFERROR(INDEX(Projects!$D$6:$D$65,MATCH(D919,Projects!$B$6:$B$65,0)),""),IFERROR(INDEX(Clients!$G$6:$G$45,MATCH(C919,Clients!$B$6:$B$45,0)),0))))</f>
        <v/>
      </c>
      <c r="O919" s="14">
        <f>IF(B919="","",IF(J919&lt;&gt;"",0,ROUND(M919*N919,2)))</f>
        <v/>
      </c>
      <c r="P919" s="15">
        <f>IF(OR(B919="",J919&lt;&gt;""),"",IF(L919&lt;&gt;"",L919,IF(COUNTIFS(Invoices!$C$6:$C$305,C919,Invoices!$E$6:$E$305,"&lt;="&amp;B919,Invoices!$F$6:$F$305,"&gt;="&amp;B919)=1,INDEX(Invoices!$B$6:$B$305,SUMIFS(Invoices!$O$6:$O$305,Invoices!$C$6:$C$305,C919,Invoices!$E$6:$E$305,"&lt;="&amp;B919,Invoices!$F$6:$F$305,"&gt;="&amp;B919)),IF(COUNTIFS(Invoices!$C$6:$C$305,C919,Invoices!$E$6:$E$305,"&lt;="&amp;B919,Invoices!$F$6:$F$305,"&gt;="&amp;B919)&gt;1,"Two invoices",""))))</f>
        <v/>
      </c>
      <c r="Q919" s="15">
        <f>IF(B919="","",IF(J919&lt;&gt;"","Not billable",IF(P919="","To invoice",IF(P919="Two invoices","Check dates",IF(ISNA(MATCH(P919,Invoices!$B$6:$B$305,0)),"Check number",IF(INDEX(Invoices!$M$6:$M$305,MATCH(P919,Invoices!$B$6:$B$305,0))="Paid","Paid",IF(INDEX(Invoices!$M$6:$M$305,MATCH(P919,Invoices!$B$6:$B$305,0))="Draft","Draft","Invoiced")))))))</f>
        <v/>
      </c>
      <c r="R919" s="1">
        <f>IF(AND(B919&lt;&gt;"",P919&lt;&gt;"",P919=Invoice!$G$4),B919+MOD(N(F919),1)+ROW()/10000000,"")</f>
        <v/>
      </c>
      <c r="S919">
        <f>IF(R919="","",IF(D919="","Other work",D919)&amp;IF(AND(K919&lt;&gt;"",E919&lt;&gt;""),", "&amp;E919,""))</f>
        <v/>
      </c>
      <c r="T919">
        <f>IF(R919="","",IF(COUNTIFS(R$6:R918,"&gt;0",S$6:S918,S919,N$6:N918,N919)=0,R919,""))</f>
        <v/>
      </c>
      <c r="U919">
        <f>IF(B919="","",IF(J919&lt;&gt;"",0,M919))</f>
        <v/>
      </c>
    </row>
    <row r="920">
      <c r="A920" s="1" t="n"/>
      <c r="B920" s="16" t="n"/>
      <c r="C920" s="17" t="n"/>
      <c r="D920" s="18" t="n"/>
      <c r="E920" s="18" t="n"/>
      <c r="F920" s="19" t="n"/>
      <c r="G920" s="19" t="n"/>
      <c r="H920" s="20" t="n"/>
      <c r="I920" s="21" t="n"/>
      <c r="J920" s="22" t="n"/>
      <c r="K920" s="23" t="n"/>
      <c r="L920" s="18" t="n"/>
      <c r="M920" s="24">
        <f>IF(B920="","",IF(AND(F920&lt;&gt;"",G920&lt;&gt;""),MAX(0,ROUND(MOD(G920-F920,1)*24-N(H920)/60,2)),N(I920)))</f>
        <v/>
      </c>
      <c r="N920" s="14">
        <f>IF(B920="","",IF(K920&lt;&gt;"",K920,IF(N(IFERROR(INDEX(Projects!$D$6:$D$65,MATCH(D920,Projects!$B$6:$B$65,0)),""))&gt;0,IFERROR(INDEX(Projects!$D$6:$D$65,MATCH(D920,Projects!$B$6:$B$65,0)),""),IFERROR(INDEX(Clients!$G$6:$G$45,MATCH(C920,Clients!$B$6:$B$45,0)),0))))</f>
        <v/>
      </c>
      <c r="O920" s="14">
        <f>IF(B920="","",IF(J920&lt;&gt;"",0,ROUND(M920*N920,2)))</f>
        <v/>
      </c>
      <c r="P920" s="15">
        <f>IF(OR(B920="",J920&lt;&gt;""),"",IF(L920&lt;&gt;"",L920,IF(COUNTIFS(Invoices!$C$6:$C$305,C920,Invoices!$E$6:$E$305,"&lt;="&amp;B920,Invoices!$F$6:$F$305,"&gt;="&amp;B920)=1,INDEX(Invoices!$B$6:$B$305,SUMIFS(Invoices!$O$6:$O$305,Invoices!$C$6:$C$305,C920,Invoices!$E$6:$E$305,"&lt;="&amp;B920,Invoices!$F$6:$F$305,"&gt;="&amp;B920)),IF(COUNTIFS(Invoices!$C$6:$C$305,C920,Invoices!$E$6:$E$305,"&lt;="&amp;B920,Invoices!$F$6:$F$305,"&gt;="&amp;B920)&gt;1,"Two invoices",""))))</f>
        <v/>
      </c>
      <c r="Q920" s="15">
        <f>IF(B920="","",IF(J920&lt;&gt;"","Not billable",IF(P920="","To invoice",IF(P920="Two invoices","Check dates",IF(ISNA(MATCH(P920,Invoices!$B$6:$B$305,0)),"Check number",IF(INDEX(Invoices!$M$6:$M$305,MATCH(P920,Invoices!$B$6:$B$305,0))="Paid","Paid",IF(INDEX(Invoices!$M$6:$M$305,MATCH(P920,Invoices!$B$6:$B$305,0))="Draft","Draft","Invoiced")))))))</f>
        <v/>
      </c>
      <c r="R920" s="1">
        <f>IF(AND(B920&lt;&gt;"",P920&lt;&gt;"",P920=Invoice!$G$4),B920+MOD(N(F920),1)+ROW()/10000000,"")</f>
        <v/>
      </c>
      <c r="S920">
        <f>IF(R920="","",IF(D920="","Other work",D920)&amp;IF(AND(K920&lt;&gt;"",E920&lt;&gt;""),", "&amp;E920,""))</f>
        <v/>
      </c>
      <c r="T920">
        <f>IF(R920="","",IF(COUNTIFS(R$6:R919,"&gt;0",S$6:S919,S920,N$6:N919,N920)=0,R920,""))</f>
        <v/>
      </c>
      <c r="U920">
        <f>IF(B920="","",IF(J920&lt;&gt;"",0,M920))</f>
        <v/>
      </c>
    </row>
    <row r="921">
      <c r="A921" s="1" t="n"/>
      <c r="B921" s="16" t="n"/>
      <c r="C921" s="17" t="n"/>
      <c r="D921" s="18" t="n"/>
      <c r="E921" s="18" t="n"/>
      <c r="F921" s="19" t="n"/>
      <c r="G921" s="19" t="n"/>
      <c r="H921" s="20" t="n"/>
      <c r="I921" s="21" t="n"/>
      <c r="J921" s="22" t="n"/>
      <c r="K921" s="23" t="n"/>
      <c r="L921" s="18" t="n"/>
      <c r="M921" s="24">
        <f>IF(B921="","",IF(AND(F921&lt;&gt;"",G921&lt;&gt;""),MAX(0,ROUND(MOD(G921-F921,1)*24-N(H921)/60,2)),N(I921)))</f>
        <v/>
      </c>
      <c r="N921" s="14">
        <f>IF(B921="","",IF(K921&lt;&gt;"",K921,IF(N(IFERROR(INDEX(Projects!$D$6:$D$65,MATCH(D921,Projects!$B$6:$B$65,0)),""))&gt;0,IFERROR(INDEX(Projects!$D$6:$D$65,MATCH(D921,Projects!$B$6:$B$65,0)),""),IFERROR(INDEX(Clients!$G$6:$G$45,MATCH(C921,Clients!$B$6:$B$45,0)),0))))</f>
        <v/>
      </c>
      <c r="O921" s="14">
        <f>IF(B921="","",IF(J921&lt;&gt;"",0,ROUND(M921*N921,2)))</f>
        <v/>
      </c>
      <c r="P921" s="15">
        <f>IF(OR(B921="",J921&lt;&gt;""),"",IF(L921&lt;&gt;"",L921,IF(COUNTIFS(Invoices!$C$6:$C$305,C921,Invoices!$E$6:$E$305,"&lt;="&amp;B921,Invoices!$F$6:$F$305,"&gt;="&amp;B921)=1,INDEX(Invoices!$B$6:$B$305,SUMIFS(Invoices!$O$6:$O$305,Invoices!$C$6:$C$305,C921,Invoices!$E$6:$E$305,"&lt;="&amp;B921,Invoices!$F$6:$F$305,"&gt;="&amp;B921)),IF(COUNTIFS(Invoices!$C$6:$C$305,C921,Invoices!$E$6:$E$305,"&lt;="&amp;B921,Invoices!$F$6:$F$305,"&gt;="&amp;B921)&gt;1,"Two invoices",""))))</f>
        <v/>
      </c>
      <c r="Q921" s="15">
        <f>IF(B921="","",IF(J921&lt;&gt;"","Not billable",IF(P921="","To invoice",IF(P921="Two invoices","Check dates",IF(ISNA(MATCH(P921,Invoices!$B$6:$B$305,0)),"Check number",IF(INDEX(Invoices!$M$6:$M$305,MATCH(P921,Invoices!$B$6:$B$305,0))="Paid","Paid",IF(INDEX(Invoices!$M$6:$M$305,MATCH(P921,Invoices!$B$6:$B$305,0))="Draft","Draft","Invoiced")))))))</f>
        <v/>
      </c>
      <c r="R921" s="1">
        <f>IF(AND(B921&lt;&gt;"",P921&lt;&gt;"",P921=Invoice!$G$4),B921+MOD(N(F921),1)+ROW()/10000000,"")</f>
        <v/>
      </c>
      <c r="S921">
        <f>IF(R921="","",IF(D921="","Other work",D921)&amp;IF(AND(K921&lt;&gt;"",E921&lt;&gt;""),", "&amp;E921,""))</f>
        <v/>
      </c>
      <c r="T921">
        <f>IF(R921="","",IF(COUNTIFS(R$6:R920,"&gt;0",S$6:S920,S921,N$6:N920,N921)=0,R921,""))</f>
        <v/>
      </c>
      <c r="U921">
        <f>IF(B921="","",IF(J921&lt;&gt;"",0,M921))</f>
        <v/>
      </c>
    </row>
    <row r="922">
      <c r="A922" s="1" t="n"/>
      <c r="B922" s="16" t="n"/>
      <c r="C922" s="17" t="n"/>
      <c r="D922" s="18" t="n"/>
      <c r="E922" s="18" t="n"/>
      <c r="F922" s="19" t="n"/>
      <c r="G922" s="19" t="n"/>
      <c r="H922" s="20" t="n"/>
      <c r="I922" s="21" t="n"/>
      <c r="J922" s="22" t="n"/>
      <c r="K922" s="23" t="n"/>
      <c r="L922" s="18" t="n"/>
      <c r="M922" s="24">
        <f>IF(B922="","",IF(AND(F922&lt;&gt;"",G922&lt;&gt;""),MAX(0,ROUND(MOD(G922-F922,1)*24-N(H922)/60,2)),N(I922)))</f>
        <v/>
      </c>
      <c r="N922" s="14">
        <f>IF(B922="","",IF(K922&lt;&gt;"",K922,IF(N(IFERROR(INDEX(Projects!$D$6:$D$65,MATCH(D922,Projects!$B$6:$B$65,0)),""))&gt;0,IFERROR(INDEX(Projects!$D$6:$D$65,MATCH(D922,Projects!$B$6:$B$65,0)),""),IFERROR(INDEX(Clients!$G$6:$G$45,MATCH(C922,Clients!$B$6:$B$45,0)),0))))</f>
        <v/>
      </c>
      <c r="O922" s="14">
        <f>IF(B922="","",IF(J922&lt;&gt;"",0,ROUND(M922*N922,2)))</f>
        <v/>
      </c>
      <c r="P922" s="15">
        <f>IF(OR(B922="",J922&lt;&gt;""),"",IF(L922&lt;&gt;"",L922,IF(COUNTIFS(Invoices!$C$6:$C$305,C922,Invoices!$E$6:$E$305,"&lt;="&amp;B922,Invoices!$F$6:$F$305,"&gt;="&amp;B922)=1,INDEX(Invoices!$B$6:$B$305,SUMIFS(Invoices!$O$6:$O$305,Invoices!$C$6:$C$305,C922,Invoices!$E$6:$E$305,"&lt;="&amp;B922,Invoices!$F$6:$F$305,"&gt;="&amp;B922)),IF(COUNTIFS(Invoices!$C$6:$C$305,C922,Invoices!$E$6:$E$305,"&lt;="&amp;B922,Invoices!$F$6:$F$305,"&gt;="&amp;B922)&gt;1,"Two invoices",""))))</f>
        <v/>
      </c>
      <c r="Q922" s="15">
        <f>IF(B922="","",IF(J922&lt;&gt;"","Not billable",IF(P922="","To invoice",IF(P922="Two invoices","Check dates",IF(ISNA(MATCH(P922,Invoices!$B$6:$B$305,0)),"Check number",IF(INDEX(Invoices!$M$6:$M$305,MATCH(P922,Invoices!$B$6:$B$305,0))="Paid","Paid",IF(INDEX(Invoices!$M$6:$M$305,MATCH(P922,Invoices!$B$6:$B$305,0))="Draft","Draft","Invoiced")))))))</f>
        <v/>
      </c>
      <c r="R922" s="1">
        <f>IF(AND(B922&lt;&gt;"",P922&lt;&gt;"",P922=Invoice!$G$4),B922+MOD(N(F922),1)+ROW()/10000000,"")</f>
        <v/>
      </c>
      <c r="S922">
        <f>IF(R922="","",IF(D922="","Other work",D922)&amp;IF(AND(K922&lt;&gt;"",E922&lt;&gt;""),", "&amp;E922,""))</f>
        <v/>
      </c>
      <c r="T922">
        <f>IF(R922="","",IF(COUNTIFS(R$6:R921,"&gt;0",S$6:S921,S922,N$6:N921,N922)=0,R922,""))</f>
        <v/>
      </c>
      <c r="U922">
        <f>IF(B922="","",IF(J922&lt;&gt;"",0,M922))</f>
        <v/>
      </c>
    </row>
    <row r="923">
      <c r="A923" s="1" t="n"/>
      <c r="B923" s="16" t="n"/>
      <c r="C923" s="17" t="n"/>
      <c r="D923" s="18" t="n"/>
      <c r="E923" s="18" t="n"/>
      <c r="F923" s="19" t="n"/>
      <c r="G923" s="19" t="n"/>
      <c r="H923" s="20" t="n"/>
      <c r="I923" s="21" t="n"/>
      <c r="J923" s="22" t="n"/>
      <c r="K923" s="23" t="n"/>
      <c r="L923" s="18" t="n"/>
      <c r="M923" s="24">
        <f>IF(B923="","",IF(AND(F923&lt;&gt;"",G923&lt;&gt;""),MAX(0,ROUND(MOD(G923-F923,1)*24-N(H923)/60,2)),N(I923)))</f>
        <v/>
      </c>
      <c r="N923" s="14">
        <f>IF(B923="","",IF(K923&lt;&gt;"",K923,IF(N(IFERROR(INDEX(Projects!$D$6:$D$65,MATCH(D923,Projects!$B$6:$B$65,0)),""))&gt;0,IFERROR(INDEX(Projects!$D$6:$D$65,MATCH(D923,Projects!$B$6:$B$65,0)),""),IFERROR(INDEX(Clients!$G$6:$G$45,MATCH(C923,Clients!$B$6:$B$45,0)),0))))</f>
        <v/>
      </c>
      <c r="O923" s="14">
        <f>IF(B923="","",IF(J923&lt;&gt;"",0,ROUND(M923*N923,2)))</f>
        <v/>
      </c>
      <c r="P923" s="15">
        <f>IF(OR(B923="",J923&lt;&gt;""),"",IF(L923&lt;&gt;"",L923,IF(COUNTIFS(Invoices!$C$6:$C$305,C923,Invoices!$E$6:$E$305,"&lt;="&amp;B923,Invoices!$F$6:$F$305,"&gt;="&amp;B923)=1,INDEX(Invoices!$B$6:$B$305,SUMIFS(Invoices!$O$6:$O$305,Invoices!$C$6:$C$305,C923,Invoices!$E$6:$E$305,"&lt;="&amp;B923,Invoices!$F$6:$F$305,"&gt;="&amp;B923)),IF(COUNTIFS(Invoices!$C$6:$C$305,C923,Invoices!$E$6:$E$305,"&lt;="&amp;B923,Invoices!$F$6:$F$305,"&gt;="&amp;B923)&gt;1,"Two invoices",""))))</f>
        <v/>
      </c>
      <c r="Q923" s="15">
        <f>IF(B923="","",IF(J923&lt;&gt;"","Not billable",IF(P923="","To invoice",IF(P923="Two invoices","Check dates",IF(ISNA(MATCH(P923,Invoices!$B$6:$B$305,0)),"Check number",IF(INDEX(Invoices!$M$6:$M$305,MATCH(P923,Invoices!$B$6:$B$305,0))="Paid","Paid",IF(INDEX(Invoices!$M$6:$M$305,MATCH(P923,Invoices!$B$6:$B$305,0))="Draft","Draft","Invoiced")))))))</f>
        <v/>
      </c>
      <c r="R923" s="1">
        <f>IF(AND(B923&lt;&gt;"",P923&lt;&gt;"",P923=Invoice!$G$4),B923+MOD(N(F923),1)+ROW()/10000000,"")</f>
        <v/>
      </c>
      <c r="S923">
        <f>IF(R923="","",IF(D923="","Other work",D923)&amp;IF(AND(K923&lt;&gt;"",E923&lt;&gt;""),", "&amp;E923,""))</f>
        <v/>
      </c>
      <c r="T923">
        <f>IF(R923="","",IF(COUNTIFS(R$6:R922,"&gt;0",S$6:S922,S923,N$6:N922,N923)=0,R923,""))</f>
        <v/>
      </c>
      <c r="U923">
        <f>IF(B923="","",IF(J923&lt;&gt;"",0,M923))</f>
        <v/>
      </c>
    </row>
    <row r="924">
      <c r="A924" s="1" t="n"/>
      <c r="B924" s="16" t="n"/>
      <c r="C924" s="17" t="n"/>
      <c r="D924" s="18" t="n"/>
      <c r="E924" s="18" t="n"/>
      <c r="F924" s="19" t="n"/>
      <c r="G924" s="19" t="n"/>
      <c r="H924" s="20" t="n"/>
      <c r="I924" s="21" t="n"/>
      <c r="J924" s="22" t="n"/>
      <c r="K924" s="23" t="n"/>
      <c r="L924" s="18" t="n"/>
      <c r="M924" s="24">
        <f>IF(B924="","",IF(AND(F924&lt;&gt;"",G924&lt;&gt;""),MAX(0,ROUND(MOD(G924-F924,1)*24-N(H924)/60,2)),N(I924)))</f>
        <v/>
      </c>
      <c r="N924" s="14">
        <f>IF(B924="","",IF(K924&lt;&gt;"",K924,IF(N(IFERROR(INDEX(Projects!$D$6:$D$65,MATCH(D924,Projects!$B$6:$B$65,0)),""))&gt;0,IFERROR(INDEX(Projects!$D$6:$D$65,MATCH(D924,Projects!$B$6:$B$65,0)),""),IFERROR(INDEX(Clients!$G$6:$G$45,MATCH(C924,Clients!$B$6:$B$45,0)),0))))</f>
        <v/>
      </c>
      <c r="O924" s="14">
        <f>IF(B924="","",IF(J924&lt;&gt;"",0,ROUND(M924*N924,2)))</f>
        <v/>
      </c>
      <c r="P924" s="15">
        <f>IF(OR(B924="",J924&lt;&gt;""),"",IF(L924&lt;&gt;"",L924,IF(COUNTIFS(Invoices!$C$6:$C$305,C924,Invoices!$E$6:$E$305,"&lt;="&amp;B924,Invoices!$F$6:$F$305,"&gt;="&amp;B924)=1,INDEX(Invoices!$B$6:$B$305,SUMIFS(Invoices!$O$6:$O$305,Invoices!$C$6:$C$305,C924,Invoices!$E$6:$E$305,"&lt;="&amp;B924,Invoices!$F$6:$F$305,"&gt;="&amp;B924)),IF(COUNTIFS(Invoices!$C$6:$C$305,C924,Invoices!$E$6:$E$305,"&lt;="&amp;B924,Invoices!$F$6:$F$305,"&gt;="&amp;B924)&gt;1,"Two invoices",""))))</f>
        <v/>
      </c>
      <c r="Q924" s="15">
        <f>IF(B924="","",IF(J924&lt;&gt;"","Not billable",IF(P924="","To invoice",IF(P924="Two invoices","Check dates",IF(ISNA(MATCH(P924,Invoices!$B$6:$B$305,0)),"Check number",IF(INDEX(Invoices!$M$6:$M$305,MATCH(P924,Invoices!$B$6:$B$305,0))="Paid","Paid",IF(INDEX(Invoices!$M$6:$M$305,MATCH(P924,Invoices!$B$6:$B$305,0))="Draft","Draft","Invoiced")))))))</f>
        <v/>
      </c>
      <c r="R924" s="1">
        <f>IF(AND(B924&lt;&gt;"",P924&lt;&gt;"",P924=Invoice!$G$4),B924+MOD(N(F924),1)+ROW()/10000000,"")</f>
        <v/>
      </c>
      <c r="S924">
        <f>IF(R924="","",IF(D924="","Other work",D924)&amp;IF(AND(K924&lt;&gt;"",E924&lt;&gt;""),", "&amp;E924,""))</f>
        <v/>
      </c>
      <c r="T924">
        <f>IF(R924="","",IF(COUNTIFS(R$6:R923,"&gt;0",S$6:S923,S924,N$6:N923,N924)=0,R924,""))</f>
        <v/>
      </c>
      <c r="U924">
        <f>IF(B924="","",IF(J924&lt;&gt;"",0,M924))</f>
        <v/>
      </c>
    </row>
    <row r="925">
      <c r="A925" s="1" t="n"/>
      <c r="B925" s="16" t="n"/>
      <c r="C925" s="17" t="n"/>
      <c r="D925" s="18" t="n"/>
      <c r="E925" s="18" t="n"/>
      <c r="F925" s="19" t="n"/>
      <c r="G925" s="19" t="n"/>
      <c r="H925" s="20" t="n"/>
      <c r="I925" s="21" t="n"/>
      <c r="J925" s="22" t="n"/>
      <c r="K925" s="23" t="n"/>
      <c r="L925" s="18" t="n"/>
      <c r="M925" s="24">
        <f>IF(B925="","",IF(AND(F925&lt;&gt;"",G925&lt;&gt;""),MAX(0,ROUND(MOD(G925-F925,1)*24-N(H925)/60,2)),N(I925)))</f>
        <v/>
      </c>
      <c r="N925" s="14">
        <f>IF(B925="","",IF(K925&lt;&gt;"",K925,IF(N(IFERROR(INDEX(Projects!$D$6:$D$65,MATCH(D925,Projects!$B$6:$B$65,0)),""))&gt;0,IFERROR(INDEX(Projects!$D$6:$D$65,MATCH(D925,Projects!$B$6:$B$65,0)),""),IFERROR(INDEX(Clients!$G$6:$G$45,MATCH(C925,Clients!$B$6:$B$45,0)),0))))</f>
        <v/>
      </c>
      <c r="O925" s="14">
        <f>IF(B925="","",IF(J925&lt;&gt;"",0,ROUND(M925*N925,2)))</f>
        <v/>
      </c>
      <c r="P925" s="15">
        <f>IF(OR(B925="",J925&lt;&gt;""),"",IF(L925&lt;&gt;"",L925,IF(COUNTIFS(Invoices!$C$6:$C$305,C925,Invoices!$E$6:$E$305,"&lt;="&amp;B925,Invoices!$F$6:$F$305,"&gt;="&amp;B925)=1,INDEX(Invoices!$B$6:$B$305,SUMIFS(Invoices!$O$6:$O$305,Invoices!$C$6:$C$305,C925,Invoices!$E$6:$E$305,"&lt;="&amp;B925,Invoices!$F$6:$F$305,"&gt;="&amp;B925)),IF(COUNTIFS(Invoices!$C$6:$C$305,C925,Invoices!$E$6:$E$305,"&lt;="&amp;B925,Invoices!$F$6:$F$305,"&gt;="&amp;B925)&gt;1,"Two invoices",""))))</f>
        <v/>
      </c>
      <c r="Q925" s="15">
        <f>IF(B925="","",IF(J925&lt;&gt;"","Not billable",IF(P925="","To invoice",IF(P925="Two invoices","Check dates",IF(ISNA(MATCH(P925,Invoices!$B$6:$B$305,0)),"Check number",IF(INDEX(Invoices!$M$6:$M$305,MATCH(P925,Invoices!$B$6:$B$305,0))="Paid","Paid",IF(INDEX(Invoices!$M$6:$M$305,MATCH(P925,Invoices!$B$6:$B$305,0))="Draft","Draft","Invoiced")))))))</f>
        <v/>
      </c>
      <c r="R925" s="1">
        <f>IF(AND(B925&lt;&gt;"",P925&lt;&gt;"",P925=Invoice!$G$4),B925+MOD(N(F925),1)+ROW()/10000000,"")</f>
        <v/>
      </c>
      <c r="S925">
        <f>IF(R925="","",IF(D925="","Other work",D925)&amp;IF(AND(K925&lt;&gt;"",E925&lt;&gt;""),", "&amp;E925,""))</f>
        <v/>
      </c>
      <c r="T925">
        <f>IF(R925="","",IF(COUNTIFS(R$6:R924,"&gt;0",S$6:S924,S925,N$6:N924,N925)=0,R925,""))</f>
        <v/>
      </c>
      <c r="U925">
        <f>IF(B925="","",IF(J925&lt;&gt;"",0,M925))</f>
        <v/>
      </c>
    </row>
    <row r="926">
      <c r="A926" s="1" t="n"/>
      <c r="B926" s="16" t="n"/>
      <c r="C926" s="17" t="n"/>
      <c r="D926" s="18" t="n"/>
      <c r="E926" s="18" t="n"/>
      <c r="F926" s="19" t="n"/>
      <c r="G926" s="19" t="n"/>
      <c r="H926" s="20" t="n"/>
      <c r="I926" s="21" t="n"/>
      <c r="J926" s="22" t="n"/>
      <c r="K926" s="23" t="n"/>
      <c r="L926" s="18" t="n"/>
      <c r="M926" s="24">
        <f>IF(B926="","",IF(AND(F926&lt;&gt;"",G926&lt;&gt;""),MAX(0,ROUND(MOD(G926-F926,1)*24-N(H926)/60,2)),N(I926)))</f>
        <v/>
      </c>
      <c r="N926" s="14">
        <f>IF(B926="","",IF(K926&lt;&gt;"",K926,IF(N(IFERROR(INDEX(Projects!$D$6:$D$65,MATCH(D926,Projects!$B$6:$B$65,0)),""))&gt;0,IFERROR(INDEX(Projects!$D$6:$D$65,MATCH(D926,Projects!$B$6:$B$65,0)),""),IFERROR(INDEX(Clients!$G$6:$G$45,MATCH(C926,Clients!$B$6:$B$45,0)),0))))</f>
        <v/>
      </c>
      <c r="O926" s="14">
        <f>IF(B926="","",IF(J926&lt;&gt;"",0,ROUND(M926*N926,2)))</f>
        <v/>
      </c>
      <c r="P926" s="15">
        <f>IF(OR(B926="",J926&lt;&gt;""),"",IF(L926&lt;&gt;"",L926,IF(COUNTIFS(Invoices!$C$6:$C$305,C926,Invoices!$E$6:$E$305,"&lt;="&amp;B926,Invoices!$F$6:$F$305,"&gt;="&amp;B926)=1,INDEX(Invoices!$B$6:$B$305,SUMIFS(Invoices!$O$6:$O$305,Invoices!$C$6:$C$305,C926,Invoices!$E$6:$E$305,"&lt;="&amp;B926,Invoices!$F$6:$F$305,"&gt;="&amp;B926)),IF(COUNTIFS(Invoices!$C$6:$C$305,C926,Invoices!$E$6:$E$305,"&lt;="&amp;B926,Invoices!$F$6:$F$305,"&gt;="&amp;B926)&gt;1,"Two invoices",""))))</f>
        <v/>
      </c>
      <c r="Q926" s="15">
        <f>IF(B926="","",IF(J926&lt;&gt;"","Not billable",IF(P926="","To invoice",IF(P926="Two invoices","Check dates",IF(ISNA(MATCH(P926,Invoices!$B$6:$B$305,0)),"Check number",IF(INDEX(Invoices!$M$6:$M$305,MATCH(P926,Invoices!$B$6:$B$305,0))="Paid","Paid",IF(INDEX(Invoices!$M$6:$M$305,MATCH(P926,Invoices!$B$6:$B$305,0))="Draft","Draft","Invoiced")))))))</f>
        <v/>
      </c>
      <c r="R926" s="1">
        <f>IF(AND(B926&lt;&gt;"",P926&lt;&gt;"",P926=Invoice!$G$4),B926+MOD(N(F926),1)+ROW()/10000000,"")</f>
        <v/>
      </c>
      <c r="S926">
        <f>IF(R926="","",IF(D926="","Other work",D926)&amp;IF(AND(K926&lt;&gt;"",E926&lt;&gt;""),", "&amp;E926,""))</f>
        <v/>
      </c>
      <c r="T926">
        <f>IF(R926="","",IF(COUNTIFS(R$6:R925,"&gt;0",S$6:S925,S926,N$6:N925,N926)=0,R926,""))</f>
        <v/>
      </c>
      <c r="U926">
        <f>IF(B926="","",IF(J926&lt;&gt;"",0,M926))</f>
        <v/>
      </c>
    </row>
    <row r="927">
      <c r="A927" s="1" t="n"/>
      <c r="B927" s="16" t="n"/>
      <c r="C927" s="17" t="n"/>
      <c r="D927" s="18" t="n"/>
      <c r="E927" s="18" t="n"/>
      <c r="F927" s="19" t="n"/>
      <c r="G927" s="19" t="n"/>
      <c r="H927" s="20" t="n"/>
      <c r="I927" s="21" t="n"/>
      <c r="J927" s="22" t="n"/>
      <c r="K927" s="23" t="n"/>
      <c r="L927" s="18" t="n"/>
      <c r="M927" s="24">
        <f>IF(B927="","",IF(AND(F927&lt;&gt;"",G927&lt;&gt;""),MAX(0,ROUND(MOD(G927-F927,1)*24-N(H927)/60,2)),N(I927)))</f>
        <v/>
      </c>
      <c r="N927" s="14">
        <f>IF(B927="","",IF(K927&lt;&gt;"",K927,IF(N(IFERROR(INDEX(Projects!$D$6:$D$65,MATCH(D927,Projects!$B$6:$B$65,0)),""))&gt;0,IFERROR(INDEX(Projects!$D$6:$D$65,MATCH(D927,Projects!$B$6:$B$65,0)),""),IFERROR(INDEX(Clients!$G$6:$G$45,MATCH(C927,Clients!$B$6:$B$45,0)),0))))</f>
        <v/>
      </c>
      <c r="O927" s="14">
        <f>IF(B927="","",IF(J927&lt;&gt;"",0,ROUND(M927*N927,2)))</f>
        <v/>
      </c>
      <c r="P927" s="15">
        <f>IF(OR(B927="",J927&lt;&gt;""),"",IF(L927&lt;&gt;"",L927,IF(COUNTIFS(Invoices!$C$6:$C$305,C927,Invoices!$E$6:$E$305,"&lt;="&amp;B927,Invoices!$F$6:$F$305,"&gt;="&amp;B927)=1,INDEX(Invoices!$B$6:$B$305,SUMIFS(Invoices!$O$6:$O$305,Invoices!$C$6:$C$305,C927,Invoices!$E$6:$E$305,"&lt;="&amp;B927,Invoices!$F$6:$F$305,"&gt;="&amp;B927)),IF(COUNTIFS(Invoices!$C$6:$C$305,C927,Invoices!$E$6:$E$305,"&lt;="&amp;B927,Invoices!$F$6:$F$305,"&gt;="&amp;B927)&gt;1,"Two invoices",""))))</f>
        <v/>
      </c>
      <c r="Q927" s="15">
        <f>IF(B927="","",IF(J927&lt;&gt;"","Not billable",IF(P927="","To invoice",IF(P927="Two invoices","Check dates",IF(ISNA(MATCH(P927,Invoices!$B$6:$B$305,0)),"Check number",IF(INDEX(Invoices!$M$6:$M$305,MATCH(P927,Invoices!$B$6:$B$305,0))="Paid","Paid",IF(INDEX(Invoices!$M$6:$M$305,MATCH(P927,Invoices!$B$6:$B$305,0))="Draft","Draft","Invoiced")))))))</f>
        <v/>
      </c>
      <c r="R927" s="1">
        <f>IF(AND(B927&lt;&gt;"",P927&lt;&gt;"",P927=Invoice!$G$4),B927+MOD(N(F927),1)+ROW()/10000000,"")</f>
        <v/>
      </c>
      <c r="S927">
        <f>IF(R927="","",IF(D927="","Other work",D927)&amp;IF(AND(K927&lt;&gt;"",E927&lt;&gt;""),", "&amp;E927,""))</f>
        <v/>
      </c>
      <c r="T927">
        <f>IF(R927="","",IF(COUNTIFS(R$6:R926,"&gt;0",S$6:S926,S927,N$6:N926,N927)=0,R927,""))</f>
        <v/>
      </c>
      <c r="U927">
        <f>IF(B927="","",IF(J927&lt;&gt;"",0,M927))</f>
        <v/>
      </c>
    </row>
    <row r="928">
      <c r="A928" s="1" t="n"/>
      <c r="B928" s="16" t="n"/>
      <c r="C928" s="17" t="n"/>
      <c r="D928" s="18" t="n"/>
      <c r="E928" s="18" t="n"/>
      <c r="F928" s="19" t="n"/>
      <c r="G928" s="19" t="n"/>
      <c r="H928" s="20" t="n"/>
      <c r="I928" s="21" t="n"/>
      <c r="J928" s="22" t="n"/>
      <c r="K928" s="23" t="n"/>
      <c r="L928" s="18" t="n"/>
      <c r="M928" s="24">
        <f>IF(B928="","",IF(AND(F928&lt;&gt;"",G928&lt;&gt;""),MAX(0,ROUND(MOD(G928-F928,1)*24-N(H928)/60,2)),N(I928)))</f>
        <v/>
      </c>
      <c r="N928" s="14">
        <f>IF(B928="","",IF(K928&lt;&gt;"",K928,IF(N(IFERROR(INDEX(Projects!$D$6:$D$65,MATCH(D928,Projects!$B$6:$B$65,0)),""))&gt;0,IFERROR(INDEX(Projects!$D$6:$D$65,MATCH(D928,Projects!$B$6:$B$65,0)),""),IFERROR(INDEX(Clients!$G$6:$G$45,MATCH(C928,Clients!$B$6:$B$45,0)),0))))</f>
        <v/>
      </c>
      <c r="O928" s="14">
        <f>IF(B928="","",IF(J928&lt;&gt;"",0,ROUND(M928*N928,2)))</f>
        <v/>
      </c>
      <c r="P928" s="15">
        <f>IF(OR(B928="",J928&lt;&gt;""),"",IF(L928&lt;&gt;"",L928,IF(COUNTIFS(Invoices!$C$6:$C$305,C928,Invoices!$E$6:$E$305,"&lt;="&amp;B928,Invoices!$F$6:$F$305,"&gt;="&amp;B928)=1,INDEX(Invoices!$B$6:$B$305,SUMIFS(Invoices!$O$6:$O$305,Invoices!$C$6:$C$305,C928,Invoices!$E$6:$E$305,"&lt;="&amp;B928,Invoices!$F$6:$F$305,"&gt;="&amp;B928)),IF(COUNTIFS(Invoices!$C$6:$C$305,C928,Invoices!$E$6:$E$305,"&lt;="&amp;B928,Invoices!$F$6:$F$305,"&gt;="&amp;B928)&gt;1,"Two invoices",""))))</f>
        <v/>
      </c>
      <c r="Q928" s="15">
        <f>IF(B928="","",IF(J928&lt;&gt;"","Not billable",IF(P928="","To invoice",IF(P928="Two invoices","Check dates",IF(ISNA(MATCH(P928,Invoices!$B$6:$B$305,0)),"Check number",IF(INDEX(Invoices!$M$6:$M$305,MATCH(P928,Invoices!$B$6:$B$305,0))="Paid","Paid",IF(INDEX(Invoices!$M$6:$M$305,MATCH(P928,Invoices!$B$6:$B$305,0))="Draft","Draft","Invoiced")))))))</f>
        <v/>
      </c>
      <c r="R928" s="1">
        <f>IF(AND(B928&lt;&gt;"",P928&lt;&gt;"",P928=Invoice!$G$4),B928+MOD(N(F928),1)+ROW()/10000000,"")</f>
        <v/>
      </c>
      <c r="S928">
        <f>IF(R928="","",IF(D928="","Other work",D928)&amp;IF(AND(K928&lt;&gt;"",E928&lt;&gt;""),", "&amp;E928,""))</f>
        <v/>
      </c>
      <c r="T928">
        <f>IF(R928="","",IF(COUNTIFS(R$6:R927,"&gt;0",S$6:S927,S928,N$6:N927,N928)=0,R928,""))</f>
        <v/>
      </c>
      <c r="U928">
        <f>IF(B928="","",IF(J928&lt;&gt;"",0,M928))</f>
        <v/>
      </c>
    </row>
    <row r="929">
      <c r="A929" s="1" t="n"/>
      <c r="B929" s="16" t="n"/>
      <c r="C929" s="17" t="n"/>
      <c r="D929" s="18" t="n"/>
      <c r="E929" s="18" t="n"/>
      <c r="F929" s="19" t="n"/>
      <c r="G929" s="19" t="n"/>
      <c r="H929" s="20" t="n"/>
      <c r="I929" s="21" t="n"/>
      <c r="J929" s="22" t="n"/>
      <c r="K929" s="23" t="n"/>
      <c r="L929" s="18" t="n"/>
      <c r="M929" s="24">
        <f>IF(B929="","",IF(AND(F929&lt;&gt;"",G929&lt;&gt;""),MAX(0,ROUND(MOD(G929-F929,1)*24-N(H929)/60,2)),N(I929)))</f>
        <v/>
      </c>
      <c r="N929" s="14">
        <f>IF(B929="","",IF(K929&lt;&gt;"",K929,IF(N(IFERROR(INDEX(Projects!$D$6:$D$65,MATCH(D929,Projects!$B$6:$B$65,0)),""))&gt;0,IFERROR(INDEX(Projects!$D$6:$D$65,MATCH(D929,Projects!$B$6:$B$65,0)),""),IFERROR(INDEX(Clients!$G$6:$G$45,MATCH(C929,Clients!$B$6:$B$45,0)),0))))</f>
        <v/>
      </c>
      <c r="O929" s="14">
        <f>IF(B929="","",IF(J929&lt;&gt;"",0,ROUND(M929*N929,2)))</f>
        <v/>
      </c>
      <c r="P929" s="15">
        <f>IF(OR(B929="",J929&lt;&gt;""),"",IF(L929&lt;&gt;"",L929,IF(COUNTIFS(Invoices!$C$6:$C$305,C929,Invoices!$E$6:$E$305,"&lt;="&amp;B929,Invoices!$F$6:$F$305,"&gt;="&amp;B929)=1,INDEX(Invoices!$B$6:$B$305,SUMIFS(Invoices!$O$6:$O$305,Invoices!$C$6:$C$305,C929,Invoices!$E$6:$E$305,"&lt;="&amp;B929,Invoices!$F$6:$F$305,"&gt;="&amp;B929)),IF(COUNTIFS(Invoices!$C$6:$C$305,C929,Invoices!$E$6:$E$305,"&lt;="&amp;B929,Invoices!$F$6:$F$305,"&gt;="&amp;B929)&gt;1,"Two invoices",""))))</f>
        <v/>
      </c>
      <c r="Q929" s="15">
        <f>IF(B929="","",IF(J929&lt;&gt;"","Not billable",IF(P929="","To invoice",IF(P929="Two invoices","Check dates",IF(ISNA(MATCH(P929,Invoices!$B$6:$B$305,0)),"Check number",IF(INDEX(Invoices!$M$6:$M$305,MATCH(P929,Invoices!$B$6:$B$305,0))="Paid","Paid",IF(INDEX(Invoices!$M$6:$M$305,MATCH(P929,Invoices!$B$6:$B$305,0))="Draft","Draft","Invoiced")))))))</f>
        <v/>
      </c>
      <c r="R929" s="1">
        <f>IF(AND(B929&lt;&gt;"",P929&lt;&gt;"",P929=Invoice!$G$4),B929+MOD(N(F929),1)+ROW()/10000000,"")</f>
        <v/>
      </c>
      <c r="S929">
        <f>IF(R929="","",IF(D929="","Other work",D929)&amp;IF(AND(K929&lt;&gt;"",E929&lt;&gt;""),", "&amp;E929,""))</f>
        <v/>
      </c>
      <c r="T929">
        <f>IF(R929="","",IF(COUNTIFS(R$6:R928,"&gt;0",S$6:S928,S929,N$6:N928,N929)=0,R929,""))</f>
        <v/>
      </c>
      <c r="U929">
        <f>IF(B929="","",IF(J929&lt;&gt;"",0,M929))</f>
        <v/>
      </c>
    </row>
    <row r="930">
      <c r="A930" s="1" t="n"/>
      <c r="B930" s="16" t="n"/>
      <c r="C930" s="17" t="n"/>
      <c r="D930" s="18" t="n"/>
      <c r="E930" s="18" t="n"/>
      <c r="F930" s="19" t="n"/>
      <c r="G930" s="19" t="n"/>
      <c r="H930" s="20" t="n"/>
      <c r="I930" s="21" t="n"/>
      <c r="J930" s="22" t="n"/>
      <c r="K930" s="23" t="n"/>
      <c r="L930" s="18" t="n"/>
      <c r="M930" s="24">
        <f>IF(B930="","",IF(AND(F930&lt;&gt;"",G930&lt;&gt;""),MAX(0,ROUND(MOD(G930-F930,1)*24-N(H930)/60,2)),N(I930)))</f>
        <v/>
      </c>
      <c r="N930" s="14">
        <f>IF(B930="","",IF(K930&lt;&gt;"",K930,IF(N(IFERROR(INDEX(Projects!$D$6:$D$65,MATCH(D930,Projects!$B$6:$B$65,0)),""))&gt;0,IFERROR(INDEX(Projects!$D$6:$D$65,MATCH(D930,Projects!$B$6:$B$65,0)),""),IFERROR(INDEX(Clients!$G$6:$G$45,MATCH(C930,Clients!$B$6:$B$45,0)),0))))</f>
        <v/>
      </c>
      <c r="O930" s="14">
        <f>IF(B930="","",IF(J930&lt;&gt;"",0,ROUND(M930*N930,2)))</f>
        <v/>
      </c>
      <c r="P930" s="15">
        <f>IF(OR(B930="",J930&lt;&gt;""),"",IF(L930&lt;&gt;"",L930,IF(COUNTIFS(Invoices!$C$6:$C$305,C930,Invoices!$E$6:$E$305,"&lt;="&amp;B930,Invoices!$F$6:$F$305,"&gt;="&amp;B930)=1,INDEX(Invoices!$B$6:$B$305,SUMIFS(Invoices!$O$6:$O$305,Invoices!$C$6:$C$305,C930,Invoices!$E$6:$E$305,"&lt;="&amp;B930,Invoices!$F$6:$F$305,"&gt;="&amp;B930)),IF(COUNTIFS(Invoices!$C$6:$C$305,C930,Invoices!$E$6:$E$305,"&lt;="&amp;B930,Invoices!$F$6:$F$305,"&gt;="&amp;B930)&gt;1,"Two invoices",""))))</f>
        <v/>
      </c>
      <c r="Q930" s="15">
        <f>IF(B930="","",IF(J930&lt;&gt;"","Not billable",IF(P930="","To invoice",IF(P930="Two invoices","Check dates",IF(ISNA(MATCH(P930,Invoices!$B$6:$B$305,0)),"Check number",IF(INDEX(Invoices!$M$6:$M$305,MATCH(P930,Invoices!$B$6:$B$305,0))="Paid","Paid",IF(INDEX(Invoices!$M$6:$M$305,MATCH(P930,Invoices!$B$6:$B$305,0))="Draft","Draft","Invoiced")))))))</f>
        <v/>
      </c>
      <c r="R930" s="1">
        <f>IF(AND(B930&lt;&gt;"",P930&lt;&gt;"",P930=Invoice!$G$4),B930+MOD(N(F930),1)+ROW()/10000000,"")</f>
        <v/>
      </c>
      <c r="S930">
        <f>IF(R930="","",IF(D930="","Other work",D930)&amp;IF(AND(K930&lt;&gt;"",E930&lt;&gt;""),", "&amp;E930,""))</f>
        <v/>
      </c>
      <c r="T930">
        <f>IF(R930="","",IF(COUNTIFS(R$6:R929,"&gt;0",S$6:S929,S930,N$6:N929,N930)=0,R930,""))</f>
        <v/>
      </c>
      <c r="U930">
        <f>IF(B930="","",IF(J930&lt;&gt;"",0,M930))</f>
        <v/>
      </c>
    </row>
    <row r="931">
      <c r="A931" s="1" t="n"/>
      <c r="B931" s="16" t="n"/>
      <c r="C931" s="17" t="n"/>
      <c r="D931" s="18" t="n"/>
      <c r="E931" s="18" t="n"/>
      <c r="F931" s="19" t="n"/>
      <c r="G931" s="19" t="n"/>
      <c r="H931" s="20" t="n"/>
      <c r="I931" s="21" t="n"/>
      <c r="J931" s="22" t="n"/>
      <c r="K931" s="23" t="n"/>
      <c r="L931" s="18" t="n"/>
      <c r="M931" s="24">
        <f>IF(B931="","",IF(AND(F931&lt;&gt;"",G931&lt;&gt;""),MAX(0,ROUND(MOD(G931-F931,1)*24-N(H931)/60,2)),N(I931)))</f>
        <v/>
      </c>
      <c r="N931" s="14">
        <f>IF(B931="","",IF(K931&lt;&gt;"",K931,IF(N(IFERROR(INDEX(Projects!$D$6:$D$65,MATCH(D931,Projects!$B$6:$B$65,0)),""))&gt;0,IFERROR(INDEX(Projects!$D$6:$D$65,MATCH(D931,Projects!$B$6:$B$65,0)),""),IFERROR(INDEX(Clients!$G$6:$G$45,MATCH(C931,Clients!$B$6:$B$45,0)),0))))</f>
        <v/>
      </c>
      <c r="O931" s="14">
        <f>IF(B931="","",IF(J931&lt;&gt;"",0,ROUND(M931*N931,2)))</f>
        <v/>
      </c>
      <c r="P931" s="15">
        <f>IF(OR(B931="",J931&lt;&gt;""),"",IF(L931&lt;&gt;"",L931,IF(COUNTIFS(Invoices!$C$6:$C$305,C931,Invoices!$E$6:$E$305,"&lt;="&amp;B931,Invoices!$F$6:$F$305,"&gt;="&amp;B931)=1,INDEX(Invoices!$B$6:$B$305,SUMIFS(Invoices!$O$6:$O$305,Invoices!$C$6:$C$305,C931,Invoices!$E$6:$E$305,"&lt;="&amp;B931,Invoices!$F$6:$F$305,"&gt;="&amp;B931)),IF(COUNTIFS(Invoices!$C$6:$C$305,C931,Invoices!$E$6:$E$305,"&lt;="&amp;B931,Invoices!$F$6:$F$305,"&gt;="&amp;B931)&gt;1,"Two invoices",""))))</f>
        <v/>
      </c>
      <c r="Q931" s="15">
        <f>IF(B931="","",IF(J931&lt;&gt;"","Not billable",IF(P931="","To invoice",IF(P931="Two invoices","Check dates",IF(ISNA(MATCH(P931,Invoices!$B$6:$B$305,0)),"Check number",IF(INDEX(Invoices!$M$6:$M$305,MATCH(P931,Invoices!$B$6:$B$305,0))="Paid","Paid",IF(INDEX(Invoices!$M$6:$M$305,MATCH(P931,Invoices!$B$6:$B$305,0))="Draft","Draft","Invoiced")))))))</f>
        <v/>
      </c>
      <c r="R931" s="1">
        <f>IF(AND(B931&lt;&gt;"",P931&lt;&gt;"",P931=Invoice!$G$4),B931+MOD(N(F931),1)+ROW()/10000000,"")</f>
        <v/>
      </c>
      <c r="S931">
        <f>IF(R931="","",IF(D931="","Other work",D931)&amp;IF(AND(K931&lt;&gt;"",E931&lt;&gt;""),", "&amp;E931,""))</f>
        <v/>
      </c>
      <c r="T931">
        <f>IF(R931="","",IF(COUNTIFS(R$6:R930,"&gt;0",S$6:S930,S931,N$6:N930,N931)=0,R931,""))</f>
        <v/>
      </c>
      <c r="U931">
        <f>IF(B931="","",IF(J931&lt;&gt;"",0,M931))</f>
        <v/>
      </c>
    </row>
    <row r="932">
      <c r="A932" s="1" t="n"/>
      <c r="B932" s="16" t="n"/>
      <c r="C932" s="17" t="n"/>
      <c r="D932" s="18" t="n"/>
      <c r="E932" s="18" t="n"/>
      <c r="F932" s="19" t="n"/>
      <c r="G932" s="19" t="n"/>
      <c r="H932" s="20" t="n"/>
      <c r="I932" s="21" t="n"/>
      <c r="J932" s="22" t="n"/>
      <c r="K932" s="23" t="n"/>
      <c r="L932" s="18" t="n"/>
      <c r="M932" s="24">
        <f>IF(B932="","",IF(AND(F932&lt;&gt;"",G932&lt;&gt;""),MAX(0,ROUND(MOD(G932-F932,1)*24-N(H932)/60,2)),N(I932)))</f>
        <v/>
      </c>
      <c r="N932" s="14">
        <f>IF(B932="","",IF(K932&lt;&gt;"",K932,IF(N(IFERROR(INDEX(Projects!$D$6:$D$65,MATCH(D932,Projects!$B$6:$B$65,0)),""))&gt;0,IFERROR(INDEX(Projects!$D$6:$D$65,MATCH(D932,Projects!$B$6:$B$65,0)),""),IFERROR(INDEX(Clients!$G$6:$G$45,MATCH(C932,Clients!$B$6:$B$45,0)),0))))</f>
        <v/>
      </c>
      <c r="O932" s="14">
        <f>IF(B932="","",IF(J932&lt;&gt;"",0,ROUND(M932*N932,2)))</f>
        <v/>
      </c>
      <c r="P932" s="15">
        <f>IF(OR(B932="",J932&lt;&gt;""),"",IF(L932&lt;&gt;"",L932,IF(COUNTIFS(Invoices!$C$6:$C$305,C932,Invoices!$E$6:$E$305,"&lt;="&amp;B932,Invoices!$F$6:$F$305,"&gt;="&amp;B932)=1,INDEX(Invoices!$B$6:$B$305,SUMIFS(Invoices!$O$6:$O$305,Invoices!$C$6:$C$305,C932,Invoices!$E$6:$E$305,"&lt;="&amp;B932,Invoices!$F$6:$F$305,"&gt;="&amp;B932)),IF(COUNTIFS(Invoices!$C$6:$C$305,C932,Invoices!$E$6:$E$305,"&lt;="&amp;B932,Invoices!$F$6:$F$305,"&gt;="&amp;B932)&gt;1,"Two invoices",""))))</f>
        <v/>
      </c>
      <c r="Q932" s="15">
        <f>IF(B932="","",IF(J932&lt;&gt;"","Not billable",IF(P932="","To invoice",IF(P932="Two invoices","Check dates",IF(ISNA(MATCH(P932,Invoices!$B$6:$B$305,0)),"Check number",IF(INDEX(Invoices!$M$6:$M$305,MATCH(P932,Invoices!$B$6:$B$305,0))="Paid","Paid",IF(INDEX(Invoices!$M$6:$M$305,MATCH(P932,Invoices!$B$6:$B$305,0))="Draft","Draft","Invoiced")))))))</f>
        <v/>
      </c>
      <c r="R932" s="1">
        <f>IF(AND(B932&lt;&gt;"",P932&lt;&gt;"",P932=Invoice!$G$4),B932+MOD(N(F932),1)+ROW()/10000000,"")</f>
        <v/>
      </c>
      <c r="S932">
        <f>IF(R932="","",IF(D932="","Other work",D932)&amp;IF(AND(K932&lt;&gt;"",E932&lt;&gt;""),", "&amp;E932,""))</f>
        <v/>
      </c>
      <c r="T932">
        <f>IF(R932="","",IF(COUNTIFS(R$6:R931,"&gt;0",S$6:S931,S932,N$6:N931,N932)=0,R932,""))</f>
        <v/>
      </c>
      <c r="U932">
        <f>IF(B932="","",IF(J932&lt;&gt;"",0,M932))</f>
        <v/>
      </c>
    </row>
    <row r="933">
      <c r="A933" s="1" t="n"/>
      <c r="B933" s="16" t="n"/>
      <c r="C933" s="17" t="n"/>
      <c r="D933" s="18" t="n"/>
      <c r="E933" s="18" t="n"/>
      <c r="F933" s="19" t="n"/>
      <c r="G933" s="19" t="n"/>
      <c r="H933" s="20" t="n"/>
      <c r="I933" s="21" t="n"/>
      <c r="J933" s="22" t="n"/>
      <c r="K933" s="23" t="n"/>
      <c r="L933" s="18" t="n"/>
      <c r="M933" s="24">
        <f>IF(B933="","",IF(AND(F933&lt;&gt;"",G933&lt;&gt;""),MAX(0,ROUND(MOD(G933-F933,1)*24-N(H933)/60,2)),N(I933)))</f>
        <v/>
      </c>
      <c r="N933" s="14">
        <f>IF(B933="","",IF(K933&lt;&gt;"",K933,IF(N(IFERROR(INDEX(Projects!$D$6:$D$65,MATCH(D933,Projects!$B$6:$B$65,0)),""))&gt;0,IFERROR(INDEX(Projects!$D$6:$D$65,MATCH(D933,Projects!$B$6:$B$65,0)),""),IFERROR(INDEX(Clients!$G$6:$G$45,MATCH(C933,Clients!$B$6:$B$45,0)),0))))</f>
        <v/>
      </c>
      <c r="O933" s="14">
        <f>IF(B933="","",IF(J933&lt;&gt;"",0,ROUND(M933*N933,2)))</f>
        <v/>
      </c>
      <c r="P933" s="15">
        <f>IF(OR(B933="",J933&lt;&gt;""),"",IF(L933&lt;&gt;"",L933,IF(COUNTIFS(Invoices!$C$6:$C$305,C933,Invoices!$E$6:$E$305,"&lt;="&amp;B933,Invoices!$F$6:$F$305,"&gt;="&amp;B933)=1,INDEX(Invoices!$B$6:$B$305,SUMIFS(Invoices!$O$6:$O$305,Invoices!$C$6:$C$305,C933,Invoices!$E$6:$E$305,"&lt;="&amp;B933,Invoices!$F$6:$F$305,"&gt;="&amp;B933)),IF(COUNTIFS(Invoices!$C$6:$C$305,C933,Invoices!$E$6:$E$305,"&lt;="&amp;B933,Invoices!$F$6:$F$305,"&gt;="&amp;B933)&gt;1,"Two invoices",""))))</f>
        <v/>
      </c>
      <c r="Q933" s="15">
        <f>IF(B933="","",IF(J933&lt;&gt;"","Not billable",IF(P933="","To invoice",IF(P933="Two invoices","Check dates",IF(ISNA(MATCH(P933,Invoices!$B$6:$B$305,0)),"Check number",IF(INDEX(Invoices!$M$6:$M$305,MATCH(P933,Invoices!$B$6:$B$305,0))="Paid","Paid",IF(INDEX(Invoices!$M$6:$M$305,MATCH(P933,Invoices!$B$6:$B$305,0))="Draft","Draft","Invoiced")))))))</f>
        <v/>
      </c>
      <c r="R933" s="1">
        <f>IF(AND(B933&lt;&gt;"",P933&lt;&gt;"",P933=Invoice!$G$4),B933+MOD(N(F933),1)+ROW()/10000000,"")</f>
        <v/>
      </c>
      <c r="S933">
        <f>IF(R933="","",IF(D933="","Other work",D933)&amp;IF(AND(K933&lt;&gt;"",E933&lt;&gt;""),", "&amp;E933,""))</f>
        <v/>
      </c>
      <c r="T933">
        <f>IF(R933="","",IF(COUNTIFS(R$6:R932,"&gt;0",S$6:S932,S933,N$6:N932,N933)=0,R933,""))</f>
        <v/>
      </c>
      <c r="U933">
        <f>IF(B933="","",IF(J933&lt;&gt;"",0,M933))</f>
        <v/>
      </c>
    </row>
    <row r="934">
      <c r="A934" s="1" t="n"/>
      <c r="B934" s="16" t="n"/>
      <c r="C934" s="17" t="n"/>
      <c r="D934" s="18" t="n"/>
      <c r="E934" s="18" t="n"/>
      <c r="F934" s="19" t="n"/>
      <c r="G934" s="19" t="n"/>
      <c r="H934" s="20" t="n"/>
      <c r="I934" s="21" t="n"/>
      <c r="J934" s="22" t="n"/>
      <c r="K934" s="23" t="n"/>
      <c r="L934" s="18" t="n"/>
      <c r="M934" s="24">
        <f>IF(B934="","",IF(AND(F934&lt;&gt;"",G934&lt;&gt;""),MAX(0,ROUND(MOD(G934-F934,1)*24-N(H934)/60,2)),N(I934)))</f>
        <v/>
      </c>
      <c r="N934" s="14">
        <f>IF(B934="","",IF(K934&lt;&gt;"",K934,IF(N(IFERROR(INDEX(Projects!$D$6:$D$65,MATCH(D934,Projects!$B$6:$B$65,0)),""))&gt;0,IFERROR(INDEX(Projects!$D$6:$D$65,MATCH(D934,Projects!$B$6:$B$65,0)),""),IFERROR(INDEX(Clients!$G$6:$G$45,MATCH(C934,Clients!$B$6:$B$45,0)),0))))</f>
        <v/>
      </c>
      <c r="O934" s="14">
        <f>IF(B934="","",IF(J934&lt;&gt;"",0,ROUND(M934*N934,2)))</f>
        <v/>
      </c>
      <c r="P934" s="15">
        <f>IF(OR(B934="",J934&lt;&gt;""),"",IF(L934&lt;&gt;"",L934,IF(COUNTIFS(Invoices!$C$6:$C$305,C934,Invoices!$E$6:$E$305,"&lt;="&amp;B934,Invoices!$F$6:$F$305,"&gt;="&amp;B934)=1,INDEX(Invoices!$B$6:$B$305,SUMIFS(Invoices!$O$6:$O$305,Invoices!$C$6:$C$305,C934,Invoices!$E$6:$E$305,"&lt;="&amp;B934,Invoices!$F$6:$F$305,"&gt;="&amp;B934)),IF(COUNTIFS(Invoices!$C$6:$C$305,C934,Invoices!$E$6:$E$305,"&lt;="&amp;B934,Invoices!$F$6:$F$305,"&gt;="&amp;B934)&gt;1,"Two invoices",""))))</f>
        <v/>
      </c>
      <c r="Q934" s="15">
        <f>IF(B934="","",IF(J934&lt;&gt;"","Not billable",IF(P934="","To invoice",IF(P934="Two invoices","Check dates",IF(ISNA(MATCH(P934,Invoices!$B$6:$B$305,0)),"Check number",IF(INDEX(Invoices!$M$6:$M$305,MATCH(P934,Invoices!$B$6:$B$305,0))="Paid","Paid",IF(INDEX(Invoices!$M$6:$M$305,MATCH(P934,Invoices!$B$6:$B$305,0))="Draft","Draft","Invoiced")))))))</f>
        <v/>
      </c>
      <c r="R934" s="1">
        <f>IF(AND(B934&lt;&gt;"",P934&lt;&gt;"",P934=Invoice!$G$4),B934+MOD(N(F934),1)+ROW()/10000000,"")</f>
        <v/>
      </c>
      <c r="S934">
        <f>IF(R934="","",IF(D934="","Other work",D934)&amp;IF(AND(K934&lt;&gt;"",E934&lt;&gt;""),", "&amp;E934,""))</f>
        <v/>
      </c>
      <c r="T934">
        <f>IF(R934="","",IF(COUNTIFS(R$6:R933,"&gt;0",S$6:S933,S934,N$6:N933,N934)=0,R934,""))</f>
        <v/>
      </c>
      <c r="U934">
        <f>IF(B934="","",IF(J934&lt;&gt;"",0,M934))</f>
        <v/>
      </c>
    </row>
    <row r="935">
      <c r="A935" s="1" t="n"/>
      <c r="B935" s="16" t="n"/>
      <c r="C935" s="17" t="n"/>
      <c r="D935" s="18" t="n"/>
      <c r="E935" s="18" t="n"/>
      <c r="F935" s="19" t="n"/>
      <c r="G935" s="19" t="n"/>
      <c r="H935" s="20" t="n"/>
      <c r="I935" s="21" t="n"/>
      <c r="J935" s="22" t="n"/>
      <c r="K935" s="23" t="n"/>
      <c r="L935" s="18" t="n"/>
      <c r="M935" s="24">
        <f>IF(B935="","",IF(AND(F935&lt;&gt;"",G935&lt;&gt;""),MAX(0,ROUND(MOD(G935-F935,1)*24-N(H935)/60,2)),N(I935)))</f>
        <v/>
      </c>
      <c r="N935" s="14">
        <f>IF(B935="","",IF(K935&lt;&gt;"",K935,IF(N(IFERROR(INDEX(Projects!$D$6:$D$65,MATCH(D935,Projects!$B$6:$B$65,0)),""))&gt;0,IFERROR(INDEX(Projects!$D$6:$D$65,MATCH(D935,Projects!$B$6:$B$65,0)),""),IFERROR(INDEX(Clients!$G$6:$G$45,MATCH(C935,Clients!$B$6:$B$45,0)),0))))</f>
        <v/>
      </c>
      <c r="O935" s="14">
        <f>IF(B935="","",IF(J935&lt;&gt;"",0,ROUND(M935*N935,2)))</f>
        <v/>
      </c>
      <c r="P935" s="15">
        <f>IF(OR(B935="",J935&lt;&gt;""),"",IF(L935&lt;&gt;"",L935,IF(COUNTIFS(Invoices!$C$6:$C$305,C935,Invoices!$E$6:$E$305,"&lt;="&amp;B935,Invoices!$F$6:$F$305,"&gt;="&amp;B935)=1,INDEX(Invoices!$B$6:$B$305,SUMIFS(Invoices!$O$6:$O$305,Invoices!$C$6:$C$305,C935,Invoices!$E$6:$E$305,"&lt;="&amp;B935,Invoices!$F$6:$F$305,"&gt;="&amp;B935)),IF(COUNTIFS(Invoices!$C$6:$C$305,C935,Invoices!$E$6:$E$305,"&lt;="&amp;B935,Invoices!$F$6:$F$305,"&gt;="&amp;B935)&gt;1,"Two invoices",""))))</f>
        <v/>
      </c>
      <c r="Q935" s="15">
        <f>IF(B935="","",IF(J935&lt;&gt;"","Not billable",IF(P935="","To invoice",IF(P935="Two invoices","Check dates",IF(ISNA(MATCH(P935,Invoices!$B$6:$B$305,0)),"Check number",IF(INDEX(Invoices!$M$6:$M$305,MATCH(P935,Invoices!$B$6:$B$305,0))="Paid","Paid",IF(INDEX(Invoices!$M$6:$M$305,MATCH(P935,Invoices!$B$6:$B$305,0))="Draft","Draft","Invoiced")))))))</f>
        <v/>
      </c>
      <c r="R935" s="1">
        <f>IF(AND(B935&lt;&gt;"",P935&lt;&gt;"",P935=Invoice!$G$4),B935+MOD(N(F935),1)+ROW()/10000000,"")</f>
        <v/>
      </c>
      <c r="S935">
        <f>IF(R935="","",IF(D935="","Other work",D935)&amp;IF(AND(K935&lt;&gt;"",E935&lt;&gt;""),", "&amp;E935,""))</f>
        <v/>
      </c>
      <c r="T935">
        <f>IF(R935="","",IF(COUNTIFS(R$6:R934,"&gt;0",S$6:S934,S935,N$6:N934,N935)=0,R935,""))</f>
        <v/>
      </c>
      <c r="U935">
        <f>IF(B935="","",IF(J935&lt;&gt;"",0,M935))</f>
        <v/>
      </c>
    </row>
    <row r="936">
      <c r="A936" s="1" t="n"/>
      <c r="B936" s="16" t="n"/>
      <c r="C936" s="17" t="n"/>
      <c r="D936" s="18" t="n"/>
      <c r="E936" s="18" t="n"/>
      <c r="F936" s="19" t="n"/>
      <c r="G936" s="19" t="n"/>
      <c r="H936" s="20" t="n"/>
      <c r="I936" s="21" t="n"/>
      <c r="J936" s="22" t="n"/>
      <c r="K936" s="23" t="n"/>
      <c r="L936" s="18" t="n"/>
      <c r="M936" s="24">
        <f>IF(B936="","",IF(AND(F936&lt;&gt;"",G936&lt;&gt;""),MAX(0,ROUND(MOD(G936-F936,1)*24-N(H936)/60,2)),N(I936)))</f>
        <v/>
      </c>
      <c r="N936" s="14">
        <f>IF(B936="","",IF(K936&lt;&gt;"",K936,IF(N(IFERROR(INDEX(Projects!$D$6:$D$65,MATCH(D936,Projects!$B$6:$B$65,0)),""))&gt;0,IFERROR(INDEX(Projects!$D$6:$D$65,MATCH(D936,Projects!$B$6:$B$65,0)),""),IFERROR(INDEX(Clients!$G$6:$G$45,MATCH(C936,Clients!$B$6:$B$45,0)),0))))</f>
        <v/>
      </c>
      <c r="O936" s="14">
        <f>IF(B936="","",IF(J936&lt;&gt;"",0,ROUND(M936*N936,2)))</f>
        <v/>
      </c>
      <c r="P936" s="15">
        <f>IF(OR(B936="",J936&lt;&gt;""),"",IF(L936&lt;&gt;"",L936,IF(COUNTIFS(Invoices!$C$6:$C$305,C936,Invoices!$E$6:$E$305,"&lt;="&amp;B936,Invoices!$F$6:$F$305,"&gt;="&amp;B936)=1,INDEX(Invoices!$B$6:$B$305,SUMIFS(Invoices!$O$6:$O$305,Invoices!$C$6:$C$305,C936,Invoices!$E$6:$E$305,"&lt;="&amp;B936,Invoices!$F$6:$F$305,"&gt;="&amp;B936)),IF(COUNTIFS(Invoices!$C$6:$C$305,C936,Invoices!$E$6:$E$305,"&lt;="&amp;B936,Invoices!$F$6:$F$305,"&gt;="&amp;B936)&gt;1,"Two invoices",""))))</f>
        <v/>
      </c>
      <c r="Q936" s="15">
        <f>IF(B936="","",IF(J936&lt;&gt;"","Not billable",IF(P936="","To invoice",IF(P936="Two invoices","Check dates",IF(ISNA(MATCH(P936,Invoices!$B$6:$B$305,0)),"Check number",IF(INDEX(Invoices!$M$6:$M$305,MATCH(P936,Invoices!$B$6:$B$305,0))="Paid","Paid",IF(INDEX(Invoices!$M$6:$M$305,MATCH(P936,Invoices!$B$6:$B$305,0))="Draft","Draft","Invoiced")))))))</f>
        <v/>
      </c>
      <c r="R936" s="1">
        <f>IF(AND(B936&lt;&gt;"",P936&lt;&gt;"",P936=Invoice!$G$4),B936+MOD(N(F936),1)+ROW()/10000000,"")</f>
        <v/>
      </c>
      <c r="S936">
        <f>IF(R936="","",IF(D936="","Other work",D936)&amp;IF(AND(K936&lt;&gt;"",E936&lt;&gt;""),", "&amp;E936,""))</f>
        <v/>
      </c>
      <c r="T936">
        <f>IF(R936="","",IF(COUNTIFS(R$6:R935,"&gt;0",S$6:S935,S936,N$6:N935,N936)=0,R936,""))</f>
        <v/>
      </c>
      <c r="U936">
        <f>IF(B936="","",IF(J936&lt;&gt;"",0,M936))</f>
        <v/>
      </c>
    </row>
    <row r="937">
      <c r="A937" s="1" t="n"/>
      <c r="B937" s="16" t="n"/>
      <c r="C937" s="17" t="n"/>
      <c r="D937" s="18" t="n"/>
      <c r="E937" s="18" t="n"/>
      <c r="F937" s="19" t="n"/>
      <c r="G937" s="19" t="n"/>
      <c r="H937" s="20" t="n"/>
      <c r="I937" s="21" t="n"/>
      <c r="J937" s="22" t="n"/>
      <c r="K937" s="23" t="n"/>
      <c r="L937" s="18" t="n"/>
      <c r="M937" s="24">
        <f>IF(B937="","",IF(AND(F937&lt;&gt;"",G937&lt;&gt;""),MAX(0,ROUND(MOD(G937-F937,1)*24-N(H937)/60,2)),N(I937)))</f>
        <v/>
      </c>
      <c r="N937" s="14">
        <f>IF(B937="","",IF(K937&lt;&gt;"",K937,IF(N(IFERROR(INDEX(Projects!$D$6:$D$65,MATCH(D937,Projects!$B$6:$B$65,0)),""))&gt;0,IFERROR(INDEX(Projects!$D$6:$D$65,MATCH(D937,Projects!$B$6:$B$65,0)),""),IFERROR(INDEX(Clients!$G$6:$G$45,MATCH(C937,Clients!$B$6:$B$45,0)),0))))</f>
        <v/>
      </c>
      <c r="O937" s="14">
        <f>IF(B937="","",IF(J937&lt;&gt;"",0,ROUND(M937*N937,2)))</f>
        <v/>
      </c>
      <c r="P937" s="15">
        <f>IF(OR(B937="",J937&lt;&gt;""),"",IF(L937&lt;&gt;"",L937,IF(COUNTIFS(Invoices!$C$6:$C$305,C937,Invoices!$E$6:$E$305,"&lt;="&amp;B937,Invoices!$F$6:$F$305,"&gt;="&amp;B937)=1,INDEX(Invoices!$B$6:$B$305,SUMIFS(Invoices!$O$6:$O$305,Invoices!$C$6:$C$305,C937,Invoices!$E$6:$E$305,"&lt;="&amp;B937,Invoices!$F$6:$F$305,"&gt;="&amp;B937)),IF(COUNTIFS(Invoices!$C$6:$C$305,C937,Invoices!$E$6:$E$305,"&lt;="&amp;B937,Invoices!$F$6:$F$305,"&gt;="&amp;B937)&gt;1,"Two invoices",""))))</f>
        <v/>
      </c>
      <c r="Q937" s="15">
        <f>IF(B937="","",IF(J937&lt;&gt;"","Not billable",IF(P937="","To invoice",IF(P937="Two invoices","Check dates",IF(ISNA(MATCH(P937,Invoices!$B$6:$B$305,0)),"Check number",IF(INDEX(Invoices!$M$6:$M$305,MATCH(P937,Invoices!$B$6:$B$305,0))="Paid","Paid",IF(INDEX(Invoices!$M$6:$M$305,MATCH(P937,Invoices!$B$6:$B$305,0))="Draft","Draft","Invoiced")))))))</f>
        <v/>
      </c>
      <c r="R937" s="1">
        <f>IF(AND(B937&lt;&gt;"",P937&lt;&gt;"",P937=Invoice!$G$4),B937+MOD(N(F937),1)+ROW()/10000000,"")</f>
        <v/>
      </c>
      <c r="S937">
        <f>IF(R937="","",IF(D937="","Other work",D937)&amp;IF(AND(K937&lt;&gt;"",E937&lt;&gt;""),", "&amp;E937,""))</f>
        <v/>
      </c>
      <c r="T937">
        <f>IF(R937="","",IF(COUNTIFS(R$6:R936,"&gt;0",S$6:S936,S937,N$6:N936,N937)=0,R937,""))</f>
        <v/>
      </c>
      <c r="U937">
        <f>IF(B937="","",IF(J937&lt;&gt;"",0,M937))</f>
        <v/>
      </c>
    </row>
    <row r="938">
      <c r="A938" s="1" t="n"/>
      <c r="B938" s="16" t="n"/>
      <c r="C938" s="17" t="n"/>
      <c r="D938" s="18" t="n"/>
      <c r="E938" s="18" t="n"/>
      <c r="F938" s="19" t="n"/>
      <c r="G938" s="19" t="n"/>
      <c r="H938" s="20" t="n"/>
      <c r="I938" s="21" t="n"/>
      <c r="J938" s="22" t="n"/>
      <c r="K938" s="23" t="n"/>
      <c r="L938" s="18" t="n"/>
      <c r="M938" s="24">
        <f>IF(B938="","",IF(AND(F938&lt;&gt;"",G938&lt;&gt;""),MAX(0,ROUND(MOD(G938-F938,1)*24-N(H938)/60,2)),N(I938)))</f>
        <v/>
      </c>
      <c r="N938" s="14">
        <f>IF(B938="","",IF(K938&lt;&gt;"",K938,IF(N(IFERROR(INDEX(Projects!$D$6:$D$65,MATCH(D938,Projects!$B$6:$B$65,0)),""))&gt;0,IFERROR(INDEX(Projects!$D$6:$D$65,MATCH(D938,Projects!$B$6:$B$65,0)),""),IFERROR(INDEX(Clients!$G$6:$G$45,MATCH(C938,Clients!$B$6:$B$45,0)),0))))</f>
        <v/>
      </c>
      <c r="O938" s="14">
        <f>IF(B938="","",IF(J938&lt;&gt;"",0,ROUND(M938*N938,2)))</f>
        <v/>
      </c>
      <c r="P938" s="15">
        <f>IF(OR(B938="",J938&lt;&gt;""),"",IF(L938&lt;&gt;"",L938,IF(COUNTIFS(Invoices!$C$6:$C$305,C938,Invoices!$E$6:$E$305,"&lt;="&amp;B938,Invoices!$F$6:$F$305,"&gt;="&amp;B938)=1,INDEX(Invoices!$B$6:$B$305,SUMIFS(Invoices!$O$6:$O$305,Invoices!$C$6:$C$305,C938,Invoices!$E$6:$E$305,"&lt;="&amp;B938,Invoices!$F$6:$F$305,"&gt;="&amp;B938)),IF(COUNTIFS(Invoices!$C$6:$C$305,C938,Invoices!$E$6:$E$305,"&lt;="&amp;B938,Invoices!$F$6:$F$305,"&gt;="&amp;B938)&gt;1,"Two invoices",""))))</f>
        <v/>
      </c>
      <c r="Q938" s="15">
        <f>IF(B938="","",IF(J938&lt;&gt;"","Not billable",IF(P938="","To invoice",IF(P938="Two invoices","Check dates",IF(ISNA(MATCH(P938,Invoices!$B$6:$B$305,0)),"Check number",IF(INDEX(Invoices!$M$6:$M$305,MATCH(P938,Invoices!$B$6:$B$305,0))="Paid","Paid",IF(INDEX(Invoices!$M$6:$M$305,MATCH(P938,Invoices!$B$6:$B$305,0))="Draft","Draft","Invoiced")))))))</f>
        <v/>
      </c>
      <c r="R938" s="1">
        <f>IF(AND(B938&lt;&gt;"",P938&lt;&gt;"",P938=Invoice!$G$4),B938+MOD(N(F938),1)+ROW()/10000000,"")</f>
        <v/>
      </c>
      <c r="S938">
        <f>IF(R938="","",IF(D938="","Other work",D938)&amp;IF(AND(K938&lt;&gt;"",E938&lt;&gt;""),", "&amp;E938,""))</f>
        <v/>
      </c>
      <c r="T938">
        <f>IF(R938="","",IF(COUNTIFS(R$6:R937,"&gt;0",S$6:S937,S938,N$6:N937,N938)=0,R938,""))</f>
        <v/>
      </c>
      <c r="U938">
        <f>IF(B938="","",IF(J938&lt;&gt;"",0,M938))</f>
        <v/>
      </c>
    </row>
    <row r="939">
      <c r="A939" s="1" t="n"/>
      <c r="B939" s="16" t="n"/>
      <c r="C939" s="17" t="n"/>
      <c r="D939" s="18" t="n"/>
      <c r="E939" s="18" t="n"/>
      <c r="F939" s="19" t="n"/>
      <c r="G939" s="19" t="n"/>
      <c r="H939" s="20" t="n"/>
      <c r="I939" s="21" t="n"/>
      <c r="J939" s="22" t="n"/>
      <c r="K939" s="23" t="n"/>
      <c r="L939" s="18" t="n"/>
      <c r="M939" s="24">
        <f>IF(B939="","",IF(AND(F939&lt;&gt;"",G939&lt;&gt;""),MAX(0,ROUND(MOD(G939-F939,1)*24-N(H939)/60,2)),N(I939)))</f>
        <v/>
      </c>
      <c r="N939" s="14">
        <f>IF(B939="","",IF(K939&lt;&gt;"",K939,IF(N(IFERROR(INDEX(Projects!$D$6:$D$65,MATCH(D939,Projects!$B$6:$B$65,0)),""))&gt;0,IFERROR(INDEX(Projects!$D$6:$D$65,MATCH(D939,Projects!$B$6:$B$65,0)),""),IFERROR(INDEX(Clients!$G$6:$G$45,MATCH(C939,Clients!$B$6:$B$45,0)),0))))</f>
        <v/>
      </c>
      <c r="O939" s="14">
        <f>IF(B939="","",IF(J939&lt;&gt;"",0,ROUND(M939*N939,2)))</f>
        <v/>
      </c>
      <c r="P939" s="15">
        <f>IF(OR(B939="",J939&lt;&gt;""),"",IF(L939&lt;&gt;"",L939,IF(COUNTIFS(Invoices!$C$6:$C$305,C939,Invoices!$E$6:$E$305,"&lt;="&amp;B939,Invoices!$F$6:$F$305,"&gt;="&amp;B939)=1,INDEX(Invoices!$B$6:$B$305,SUMIFS(Invoices!$O$6:$O$305,Invoices!$C$6:$C$305,C939,Invoices!$E$6:$E$305,"&lt;="&amp;B939,Invoices!$F$6:$F$305,"&gt;="&amp;B939)),IF(COUNTIFS(Invoices!$C$6:$C$305,C939,Invoices!$E$6:$E$305,"&lt;="&amp;B939,Invoices!$F$6:$F$305,"&gt;="&amp;B939)&gt;1,"Two invoices",""))))</f>
        <v/>
      </c>
      <c r="Q939" s="15">
        <f>IF(B939="","",IF(J939&lt;&gt;"","Not billable",IF(P939="","To invoice",IF(P939="Two invoices","Check dates",IF(ISNA(MATCH(P939,Invoices!$B$6:$B$305,0)),"Check number",IF(INDEX(Invoices!$M$6:$M$305,MATCH(P939,Invoices!$B$6:$B$305,0))="Paid","Paid",IF(INDEX(Invoices!$M$6:$M$305,MATCH(P939,Invoices!$B$6:$B$305,0))="Draft","Draft","Invoiced")))))))</f>
        <v/>
      </c>
      <c r="R939" s="1">
        <f>IF(AND(B939&lt;&gt;"",P939&lt;&gt;"",P939=Invoice!$G$4),B939+MOD(N(F939),1)+ROW()/10000000,"")</f>
        <v/>
      </c>
      <c r="S939">
        <f>IF(R939="","",IF(D939="","Other work",D939)&amp;IF(AND(K939&lt;&gt;"",E939&lt;&gt;""),", "&amp;E939,""))</f>
        <v/>
      </c>
      <c r="T939">
        <f>IF(R939="","",IF(COUNTIFS(R$6:R938,"&gt;0",S$6:S938,S939,N$6:N938,N939)=0,R939,""))</f>
        <v/>
      </c>
      <c r="U939">
        <f>IF(B939="","",IF(J939&lt;&gt;"",0,M939))</f>
        <v/>
      </c>
    </row>
    <row r="940">
      <c r="A940" s="1" t="n"/>
      <c r="B940" s="16" t="n"/>
      <c r="C940" s="17" t="n"/>
      <c r="D940" s="18" t="n"/>
      <c r="E940" s="18" t="n"/>
      <c r="F940" s="19" t="n"/>
      <c r="G940" s="19" t="n"/>
      <c r="H940" s="20" t="n"/>
      <c r="I940" s="21" t="n"/>
      <c r="J940" s="22" t="n"/>
      <c r="K940" s="23" t="n"/>
      <c r="L940" s="18" t="n"/>
      <c r="M940" s="24">
        <f>IF(B940="","",IF(AND(F940&lt;&gt;"",G940&lt;&gt;""),MAX(0,ROUND(MOD(G940-F940,1)*24-N(H940)/60,2)),N(I940)))</f>
        <v/>
      </c>
      <c r="N940" s="14">
        <f>IF(B940="","",IF(K940&lt;&gt;"",K940,IF(N(IFERROR(INDEX(Projects!$D$6:$D$65,MATCH(D940,Projects!$B$6:$B$65,0)),""))&gt;0,IFERROR(INDEX(Projects!$D$6:$D$65,MATCH(D940,Projects!$B$6:$B$65,0)),""),IFERROR(INDEX(Clients!$G$6:$G$45,MATCH(C940,Clients!$B$6:$B$45,0)),0))))</f>
        <v/>
      </c>
      <c r="O940" s="14">
        <f>IF(B940="","",IF(J940&lt;&gt;"",0,ROUND(M940*N940,2)))</f>
        <v/>
      </c>
      <c r="P940" s="15">
        <f>IF(OR(B940="",J940&lt;&gt;""),"",IF(L940&lt;&gt;"",L940,IF(COUNTIFS(Invoices!$C$6:$C$305,C940,Invoices!$E$6:$E$305,"&lt;="&amp;B940,Invoices!$F$6:$F$305,"&gt;="&amp;B940)=1,INDEX(Invoices!$B$6:$B$305,SUMIFS(Invoices!$O$6:$O$305,Invoices!$C$6:$C$305,C940,Invoices!$E$6:$E$305,"&lt;="&amp;B940,Invoices!$F$6:$F$305,"&gt;="&amp;B940)),IF(COUNTIFS(Invoices!$C$6:$C$305,C940,Invoices!$E$6:$E$305,"&lt;="&amp;B940,Invoices!$F$6:$F$305,"&gt;="&amp;B940)&gt;1,"Two invoices",""))))</f>
        <v/>
      </c>
      <c r="Q940" s="15">
        <f>IF(B940="","",IF(J940&lt;&gt;"","Not billable",IF(P940="","To invoice",IF(P940="Two invoices","Check dates",IF(ISNA(MATCH(P940,Invoices!$B$6:$B$305,0)),"Check number",IF(INDEX(Invoices!$M$6:$M$305,MATCH(P940,Invoices!$B$6:$B$305,0))="Paid","Paid",IF(INDEX(Invoices!$M$6:$M$305,MATCH(P940,Invoices!$B$6:$B$305,0))="Draft","Draft","Invoiced")))))))</f>
        <v/>
      </c>
      <c r="R940" s="1">
        <f>IF(AND(B940&lt;&gt;"",P940&lt;&gt;"",P940=Invoice!$G$4),B940+MOD(N(F940),1)+ROW()/10000000,"")</f>
        <v/>
      </c>
      <c r="S940">
        <f>IF(R940="","",IF(D940="","Other work",D940)&amp;IF(AND(K940&lt;&gt;"",E940&lt;&gt;""),", "&amp;E940,""))</f>
        <v/>
      </c>
      <c r="T940">
        <f>IF(R940="","",IF(COUNTIFS(R$6:R939,"&gt;0",S$6:S939,S940,N$6:N939,N940)=0,R940,""))</f>
        <v/>
      </c>
      <c r="U940">
        <f>IF(B940="","",IF(J940&lt;&gt;"",0,M940))</f>
        <v/>
      </c>
    </row>
    <row r="941">
      <c r="A941" s="1" t="n"/>
      <c r="B941" s="16" t="n"/>
      <c r="C941" s="17" t="n"/>
      <c r="D941" s="18" t="n"/>
      <c r="E941" s="18" t="n"/>
      <c r="F941" s="19" t="n"/>
      <c r="G941" s="19" t="n"/>
      <c r="H941" s="20" t="n"/>
      <c r="I941" s="21" t="n"/>
      <c r="J941" s="22" t="n"/>
      <c r="K941" s="23" t="n"/>
      <c r="L941" s="18" t="n"/>
      <c r="M941" s="24">
        <f>IF(B941="","",IF(AND(F941&lt;&gt;"",G941&lt;&gt;""),MAX(0,ROUND(MOD(G941-F941,1)*24-N(H941)/60,2)),N(I941)))</f>
        <v/>
      </c>
      <c r="N941" s="14">
        <f>IF(B941="","",IF(K941&lt;&gt;"",K941,IF(N(IFERROR(INDEX(Projects!$D$6:$D$65,MATCH(D941,Projects!$B$6:$B$65,0)),""))&gt;0,IFERROR(INDEX(Projects!$D$6:$D$65,MATCH(D941,Projects!$B$6:$B$65,0)),""),IFERROR(INDEX(Clients!$G$6:$G$45,MATCH(C941,Clients!$B$6:$B$45,0)),0))))</f>
        <v/>
      </c>
      <c r="O941" s="14">
        <f>IF(B941="","",IF(J941&lt;&gt;"",0,ROUND(M941*N941,2)))</f>
        <v/>
      </c>
      <c r="P941" s="15">
        <f>IF(OR(B941="",J941&lt;&gt;""),"",IF(L941&lt;&gt;"",L941,IF(COUNTIFS(Invoices!$C$6:$C$305,C941,Invoices!$E$6:$E$305,"&lt;="&amp;B941,Invoices!$F$6:$F$305,"&gt;="&amp;B941)=1,INDEX(Invoices!$B$6:$B$305,SUMIFS(Invoices!$O$6:$O$305,Invoices!$C$6:$C$305,C941,Invoices!$E$6:$E$305,"&lt;="&amp;B941,Invoices!$F$6:$F$305,"&gt;="&amp;B941)),IF(COUNTIFS(Invoices!$C$6:$C$305,C941,Invoices!$E$6:$E$305,"&lt;="&amp;B941,Invoices!$F$6:$F$305,"&gt;="&amp;B941)&gt;1,"Two invoices",""))))</f>
        <v/>
      </c>
      <c r="Q941" s="15">
        <f>IF(B941="","",IF(J941&lt;&gt;"","Not billable",IF(P941="","To invoice",IF(P941="Two invoices","Check dates",IF(ISNA(MATCH(P941,Invoices!$B$6:$B$305,0)),"Check number",IF(INDEX(Invoices!$M$6:$M$305,MATCH(P941,Invoices!$B$6:$B$305,0))="Paid","Paid",IF(INDEX(Invoices!$M$6:$M$305,MATCH(P941,Invoices!$B$6:$B$305,0))="Draft","Draft","Invoiced")))))))</f>
        <v/>
      </c>
      <c r="R941" s="1">
        <f>IF(AND(B941&lt;&gt;"",P941&lt;&gt;"",P941=Invoice!$G$4),B941+MOD(N(F941),1)+ROW()/10000000,"")</f>
        <v/>
      </c>
      <c r="S941">
        <f>IF(R941="","",IF(D941="","Other work",D941)&amp;IF(AND(K941&lt;&gt;"",E941&lt;&gt;""),", "&amp;E941,""))</f>
        <v/>
      </c>
      <c r="T941">
        <f>IF(R941="","",IF(COUNTIFS(R$6:R940,"&gt;0",S$6:S940,S941,N$6:N940,N941)=0,R941,""))</f>
        <v/>
      </c>
      <c r="U941">
        <f>IF(B941="","",IF(J941&lt;&gt;"",0,M941))</f>
        <v/>
      </c>
    </row>
    <row r="942">
      <c r="A942" s="1" t="n"/>
      <c r="B942" s="16" t="n"/>
      <c r="C942" s="17" t="n"/>
      <c r="D942" s="18" t="n"/>
      <c r="E942" s="18" t="n"/>
      <c r="F942" s="19" t="n"/>
      <c r="G942" s="19" t="n"/>
      <c r="H942" s="20" t="n"/>
      <c r="I942" s="21" t="n"/>
      <c r="J942" s="22" t="n"/>
      <c r="K942" s="23" t="n"/>
      <c r="L942" s="18" t="n"/>
      <c r="M942" s="24">
        <f>IF(B942="","",IF(AND(F942&lt;&gt;"",G942&lt;&gt;""),MAX(0,ROUND(MOD(G942-F942,1)*24-N(H942)/60,2)),N(I942)))</f>
        <v/>
      </c>
      <c r="N942" s="14">
        <f>IF(B942="","",IF(K942&lt;&gt;"",K942,IF(N(IFERROR(INDEX(Projects!$D$6:$D$65,MATCH(D942,Projects!$B$6:$B$65,0)),""))&gt;0,IFERROR(INDEX(Projects!$D$6:$D$65,MATCH(D942,Projects!$B$6:$B$65,0)),""),IFERROR(INDEX(Clients!$G$6:$G$45,MATCH(C942,Clients!$B$6:$B$45,0)),0))))</f>
        <v/>
      </c>
      <c r="O942" s="14">
        <f>IF(B942="","",IF(J942&lt;&gt;"",0,ROUND(M942*N942,2)))</f>
        <v/>
      </c>
      <c r="P942" s="15">
        <f>IF(OR(B942="",J942&lt;&gt;""),"",IF(L942&lt;&gt;"",L942,IF(COUNTIFS(Invoices!$C$6:$C$305,C942,Invoices!$E$6:$E$305,"&lt;="&amp;B942,Invoices!$F$6:$F$305,"&gt;="&amp;B942)=1,INDEX(Invoices!$B$6:$B$305,SUMIFS(Invoices!$O$6:$O$305,Invoices!$C$6:$C$305,C942,Invoices!$E$6:$E$305,"&lt;="&amp;B942,Invoices!$F$6:$F$305,"&gt;="&amp;B942)),IF(COUNTIFS(Invoices!$C$6:$C$305,C942,Invoices!$E$6:$E$305,"&lt;="&amp;B942,Invoices!$F$6:$F$305,"&gt;="&amp;B942)&gt;1,"Two invoices",""))))</f>
        <v/>
      </c>
      <c r="Q942" s="15">
        <f>IF(B942="","",IF(J942&lt;&gt;"","Not billable",IF(P942="","To invoice",IF(P942="Two invoices","Check dates",IF(ISNA(MATCH(P942,Invoices!$B$6:$B$305,0)),"Check number",IF(INDEX(Invoices!$M$6:$M$305,MATCH(P942,Invoices!$B$6:$B$305,0))="Paid","Paid",IF(INDEX(Invoices!$M$6:$M$305,MATCH(P942,Invoices!$B$6:$B$305,0))="Draft","Draft","Invoiced")))))))</f>
        <v/>
      </c>
      <c r="R942" s="1">
        <f>IF(AND(B942&lt;&gt;"",P942&lt;&gt;"",P942=Invoice!$G$4),B942+MOD(N(F942),1)+ROW()/10000000,"")</f>
        <v/>
      </c>
      <c r="S942">
        <f>IF(R942="","",IF(D942="","Other work",D942)&amp;IF(AND(K942&lt;&gt;"",E942&lt;&gt;""),", "&amp;E942,""))</f>
        <v/>
      </c>
      <c r="T942">
        <f>IF(R942="","",IF(COUNTIFS(R$6:R941,"&gt;0",S$6:S941,S942,N$6:N941,N942)=0,R942,""))</f>
        <v/>
      </c>
      <c r="U942">
        <f>IF(B942="","",IF(J942&lt;&gt;"",0,M942))</f>
        <v/>
      </c>
    </row>
    <row r="943">
      <c r="A943" s="1" t="n"/>
      <c r="B943" s="16" t="n"/>
      <c r="C943" s="17" t="n"/>
      <c r="D943" s="18" t="n"/>
      <c r="E943" s="18" t="n"/>
      <c r="F943" s="19" t="n"/>
      <c r="G943" s="19" t="n"/>
      <c r="H943" s="20" t="n"/>
      <c r="I943" s="21" t="n"/>
      <c r="J943" s="22" t="n"/>
      <c r="K943" s="23" t="n"/>
      <c r="L943" s="18" t="n"/>
      <c r="M943" s="24">
        <f>IF(B943="","",IF(AND(F943&lt;&gt;"",G943&lt;&gt;""),MAX(0,ROUND(MOD(G943-F943,1)*24-N(H943)/60,2)),N(I943)))</f>
        <v/>
      </c>
      <c r="N943" s="14">
        <f>IF(B943="","",IF(K943&lt;&gt;"",K943,IF(N(IFERROR(INDEX(Projects!$D$6:$D$65,MATCH(D943,Projects!$B$6:$B$65,0)),""))&gt;0,IFERROR(INDEX(Projects!$D$6:$D$65,MATCH(D943,Projects!$B$6:$B$65,0)),""),IFERROR(INDEX(Clients!$G$6:$G$45,MATCH(C943,Clients!$B$6:$B$45,0)),0))))</f>
        <v/>
      </c>
      <c r="O943" s="14">
        <f>IF(B943="","",IF(J943&lt;&gt;"",0,ROUND(M943*N943,2)))</f>
        <v/>
      </c>
      <c r="P943" s="15">
        <f>IF(OR(B943="",J943&lt;&gt;""),"",IF(L943&lt;&gt;"",L943,IF(COUNTIFS(Invoices!$C$6:$C$305,C943,Invoices!$E$6:$E$305,"&lt;="&amp;B943,Invoices!$F$6:$F$305,"&gt;="&amp;B943)=1,INDEX(Invoices!$B$6:$B$305,SUMIFS(Invoices!$O$6:$O$305,Invoices!$C$6:$C$305,C943,Invoices!$E$6:$E$305,"&lt;="&amp;B943,Invoices!$F$6:$F$305,"&gt;="&amp;B943)),IF(COUNTIFS(Invoices!$C$6:$C$305,C943,Invoices!$E$6:$E$305,"&lt;="&amp;B943,Invoices!$F$6:$F$305,"&gt;="&amp;B943)&gt;1,"Two invoices",""))))</f>
        <v/>
      </c>
      <c r="Q943" s="15">
        <f>IF(B943="","",IF(J943&lt;&gt;"","Not billable",IF(P943="","To invoice",IF(P943="Two invoices","Check dates",IF(ISNA(MATCH(P943,Invoices!$B$6:$B$305,0)),"Check number",IF(INDEX(Invoices!$M$6:$M$305,MATCH(P943,Invoices!$B$6:$B$305,0))="Paid","Paid",IF(INDEX(Invoices!$M$6:$M$305,MATCH(P943,Invoices!$B$6:$B$305,0))="Draft","Draft","Invoiced")))))))</f>
        <v/>
      </c>
      <c r="R943" s="1">
        <f>IF(AND(B943&lt;&gt;"",P943&lt;&gt;"",P943=Invoice!$G$4),B943+MOD(N(F943),1)+ROW()/10000000,"")</f>
        <v/>
      </c>
      <c r="S943">
        <f>IF(R943="","",IF(D943="","Other work",D943)&amp;IF(AND(K943&lt;&gt;"",E943&lt;&gt;""),", "&amp;E943,""))</f>
        <v/>
      </c>
      <c r="T943">
        <f>IF(R943="","",IF(COUNTIFS(R$6:R942,"&gt;0",S$6:S942,S943,N$6:N942,N943)=0,R943,""))</f>
        <v/>
      </c>
      <c r="U943">
        <f>IF(B943="","",IF(J943&lt;&gt;"",0,M943))</f>
        <v/>
      </c>
    </row>
    <row r="944">
      <c r="A944" s="1" t="n"/>
      <c r="B944" s="16" t="n"/>
      <c r="C944" s="17" t="n"/>
      <c r="D944" s="18" t="n"/>
      <c r="E944" s="18" t="n"/>
      <c r="F944" s="19" t="n"/>
      <c r="G944" s="19" t="n"/>
      <c r="H944" s="20" t="n"/>
      <c r="I944" s="21" t="n"/>
      <c r="J944" s="22" t="n"/>
      <c r="K944" s="23" t="n"/>
      <c r="L944" s="18" t="n"/>
      <c r="M944" s="24">
        <f>IF(B944="","",IF(AND(F944&lt;&gt;"",G944&lt;&gt;""),MAX(0,ROUND(MOD(G944-F944,1)*24-N(H944)/60,2)),N(I944)))</f>
        <v/>
      </c>
      <c r="N944" s="14">
        <f>IF(B944="","",IF(K944&lt;&gt;"",K944,IF(N(IFERROR(INDEX(Projects!$D$6:$D$65,MATCH(D944,Projects!$B$6:$B$65,0)),""))&gt;0,IFERROR(INDEX(Projects!$D$6:$D$65,MATCH(D944,Projects!$B$6:$B$65,0)),""),IFERROR(INDEX(Clients!$G$6:$G$45,MATCH(C944,Clients!$B$6:$B$45,0)),0))))</f>
        <v/>
      </c>
      <c r="O944" s="14">
        <f>IF(B944="","",IF(J944&lt;&gt;"",0,ROUND(M944*N944,2)))</f>
        <v/>
      </c>
      <c r="P944" s="15">
        <f>IF(OR(B944="",J944&lt;&gt;""),"",IF(L944&lt;&gt;"",L944,IF(COUNTIFS(Invoices!$C$6:$C$305,C944,Invoices!$E$6:$E$305,"&lt;="&amp;B944,Invoices!$F$6:$F$305,"&gt;="&amp;B944)=1,INDEX(Invoices!$B$6:$B$305,SUMIFS(Invoices!$O$6:$O$305,Invoices!$C$6:$C$305,C944,Invoices!$E$6:$E$305,"&lt;="&amp;B944,Invoices!$F$6:$F$305,"&gt;="&amp;B944)),IF(COUNTIFS(Invoices!$C$6:$C$305,C944,Invoices!$E$6:$E$305,"&lt;="&amp;B944,Invoices!$F$6:$F$305,"&gt;="&amp;B944)&gt;1,"Two invoices",""))))</f>
        <v/>
      </c>
      <c r="Q944" s="15">
        <f>IF(B944="","",IF(J944&lt;&gt;"","Not billable",IF(P944="","To invoice",IF(P944="Two invoices","Check dates",IF(ISNA(MATCH(P944,Invoices!$B$6:$B$305,0)),"Check number",IF(INDEX(Invoices!$M$6:$M$305,MATCH(P944,Invoices!$B$6:$B$305,0))="Paid","Paid",IF(INDEX(Invoices!$M$6:$M$305,MATCH(P944,Invoices!$B$6:$B$305,0))="Draft","Draft","Invoiced")))))))</f>
        <v/>
      </c>
      <c r="R944" s="1">
        <f>IF(AND(B944&lt;&gt;"",P944&lt;&gt;"",P944=Invoice!$G$4),B944+MOD(N(F944),1)+ROW()/10000000,"")</f>
        <v/>
      </c>
      <c r="S944">
        <f>IF(R944="","",IF(D944="","Other work",D944)&amp;IF(AND(K944&lt;&gt;"",E944&lt;&gt;""),", "&amp;E944,""))</f>
        <v/>
      </c>
      <c r="T944">
        <f>IF(R944="","",IF(COUNTIFS(R$6:R943,"&gt;0",S$6:S943,S944,N$6:N943,N944)=0,R944,""))</f>
        <v/>
      </c>
      <c r="U944">
        <f>IF(B944="","",IF(J944&lt;&gt;"",0,M944))</f>
        <v/>
      </c>
    </row>
    <row r="945">
      <c r="A945" s="1" t="n"/>
      <c r="B945" s="16" t="n"/>
      <c r="C945" s="17" t="n"/>
      <c r="D945" s="18" t="n"/>
      <c r="E945" s="18" t="n"/>
      <c r="F945" s="19" t="n"/>
      <c r="G945" s="19" t="n"/>
      <c r="H945" s="20" t="n"/>
      <c r="I945" s="21" t="n"/>
      <c r="J945" s="22" t="n"/>
      <c r="K945" s="23" t="n"/>
      <c r="L945" s="18" t="n"/>
      <c r="M945" s="24">
        <f>IF(B945="","",IF(AND(F945&lt;&gt;"",G945&lt;&gt;""),MAX(0,ROUND(MOD(G945-F945,1)*24-N(H945)/60,2)),N(I945)))</f>
        <v/>
      </c>
      <c r="N945" s="14">
        <f>IF(B945="","",IF(K945&lt;&gt;"",K945,IF(N(IFERROR(INDEX(Projects!$D$6:$D$65,MATCH(D945,Projects!$B$6:$B$65,0)),""))&gt;0,IFERROR(INDEX(Projects!$D$6:$D$65,MATCH(D945,Projects!$B$6:$B$65,0)),""),IFERROR(INDEX(Clients!$G$6:$G$45,MATCH(C945,Clients!$B$6:$B$45,0)),0))))</f>
        <v/>
      </c>
      <c r="O945" s="14">
        <f>IF(B945="","",IF(J945&lt;&gt;"",0,ROUND(M945*N945,2)))</f>
        <v/>
      </c>
      <c r="P945" s="15">
        <f>IF(OR(B945="",J945&lt;&gt;""),"",IF(L945&lt;&gt;"",L945,IF(COUNTIFS(Invoices!$C$6:$C$305,C945,Invoices!$E$6:$E$305,"&lt;="&amp;B945,Invoices!$F$6:$F$305,"&gt;="&amp;B945)=1,INDEX(Invoices!$B$6:$B$305,SUMIFS(Invoices!$O$6:$O$305,Invoices!$C$6:$C$305,C945,Invoices!$E$6:$E$305,"&lt;="&amp;B945,Invoices!$F$6:$F$305,"&gt;="&amp;B945)),IF(COUNTIFS(Invoices!$C$6:$C$305,C945,Invoices!$E$6:$E$305,"&lt;="&amp;B945,Invoices!$F$6:$F$305,"&gt;="&amp;B945)&gt;1,"Two invoices",""))))</f>
        <v/>
      </c>
      <c r="Q945" s="15">
        <f>IF(B945="","",IF(J945&lt;&gt;"","Not billable",IF(P945="","To invoice",IF(P945="Two invoices","Check dates",IF(ISNA(MATCH(P945,Invoices!$B$6:$B$305,0)),"Check number",IF(INDEX(Invoices!$M$6:$M$305,MATCH(P945,Invoices!$B$6:$B$305,0))="Paid","Paid",IF(INDEX(Invoices!$M$6:$M$305,MATCH(P945,Invoices!$B$6:$B$305,0))="Draft","Draft","Invoiced")))))))</f>
        <v/>
      </c>
      <c r="R945" s="1">
        <f>IF(AND(B945&lt;&gt;"",P945&lt;&gt;"",P945=Invoice!$G$4),B945+MOD(N(F945),1)+ROW()/10000000,"")</f>
        <v/>
      </c>
      <c r="S945">
        <f>IF(R945="","",IF(D945="","Other work",D945)&amp;IF(AND(K945&lt;&gt;"",E945&lt;&gt;""),", "&amp;E945,""))</f>
        <v/>
      </c>
      <c r="T945">
        <f>IF(R945="","",IF(COUNTIFS(R$6:R944,"&gt;0",S$6:S944,S945,N$6:N944,N945)=0,R945,""))</f>
        <v/>
      </c>
      <c r="U945">
        <f>IF(B945="","",IF(J945&lt;&gt;"",0,M945))</f>
        <v/>
      </c>
    </row>
    <row r="946">
      <c r="A946" s="1" t="n"/>
      <c r="B946" s="16" t="n"/>
      <c r="C946" s="17" t="n"/>
      <c r="D946" s="18" t="n"/>
      <c r="E946" s="18" t="n"/>
      <c r="F946" s="19" t="n"/>
      <c r="G946" s="19" t="n"/>
      <c r="H946" s="20" t="n"/>
      <c r="I946" s="21" t="n"/>
      <c r="J946" s="22" t="n"/>
      <c r="K946" s="23" t="n"/>
      <c r="L946" s="18" t="n"/>
      <c r="M946" s="24">
        <f>IF(B946="","",IF(AND(F946&lt;&gt;"",G946&lt;&gt;""),MAX(0,ROUND(MOD(G946-F946,1)*24-N(H946)/60,2)),N(I946)))</f>
        <v/>
      </c>
      <c r="N946" s="14">
        <f>IF(B946="","",IF(K946&lt;&gt;"",K946,IF(N(IFERROR(INDEX(Projects!$D$6:$D$65,MATCH(D946,Projects!$B$6:$B$65,0)),""))&gt;0,IFERROR(INDEX(Projects!$D$6:$D$65,MATCH(D946,Projects!$B$6:$B$65,0)),""),IFERROR(INDEX(Clients!$G$6:$G$45,MATCH(C946,Clients!$B$6:$B$45,0)),0))))</f>
        <v/>
      </c>
      <c r="O946" s="14">
        <f>IF(B946="","",IF(J946&lt;&gt;"",0,ROUND(M946*N946,2)))</f>
        <v/>
      </c>
      <c r="P946" s="15">
        <f>IF(OR(B946="",J946&lt;&gt;""),"",IF(L946&lt;&gt;"",L946,IF(COUNTIFS(Invoices!$C$6:$C$305,C946,Invoices!$E$6:$E$305,"&lt;="&amp;B946,Invoices!$F$6:$F$305,"&gt;="&amp;B946)=1,INDEX(Invoices!$B$6:$B$305,SUMIFS(Invoices!$O$6:$O$305,Invoices!$C$6:$C$305,C946,Invoices!$E$6:$E$305,"&lt;="&amp;B946,Invoices!$F$6:$F$305,"&gt;="&amp;B946)),IF(COUNTIFS(Invoices!$C$6:$C$305,C946,Invoices!$E$6:$E$305,"&lt;="&amp;B946,Invoices!$F$6:$F$305,"&gt;="&amp;B946)&gt;1,"Two invoices",""))))</f>
        <v/>
      </c>
      <c r="Q946" s="15">
        <f>IF(B946="","",IF(J946&lt;&gt;"","Not billable",IF(P946="","To invoice",IF(P946="Two invoices","Check dates",IF(ISNA(MATCH(P946,Invoices!$B$6:$B$305,0)),"Check number",IF(INDEX(Invoices!$M$6:$M$305,MATCH(P946,Invoices!$B$6:$B$305,0))="Paid","Paid",IF(INDEX(Invoices!$M$6:$M$305,MATCH(P946,Invoices!$B$6:$B$305,0))="Draft","Draft","Invoiced")))))))</f>
        <v/>
      </c>
      <c r="R946" s="1">
        <f>IF(AND(B946&lt;&gt;"",P946&lt;&gt;"",P946=Invoice!$G$4),B946+MOD(N(F946),1)+ROW()/10000000,"")</f>
        <v/>
      </c>
      <c r="S946">
        <f>IF(R946="","",IF(D946="","Other work",D946)&amp;IF(AND(K946&lt;&gt;"",E946&lt;&gt;""),", "&amp;E946,""))</f>
        <v/>
      </c>
      <c r="T946">
        <f>IF(R946="","",IF(COUNTIFS(R$6:R945,"&gt;0",S$6:S945,S946,N$6:N945,N946)=0,R946,""))</f>
        <v/>
      </c>
      <c r="U946">
        <f>IF(B946="","",IF(J946&lt;&gt;"",0,M946))</f>
        <v/>
      </c>
    </row>
    <row r="947">
      <c r="A947" s="1" t="n"/>
      <c r="B947" s="16" t="n"/>
      <c r="C947" s="17" t="n"/>
      <c r="D947" s="18" t="n"/>
      <c r="E947" s="18" t="n"/>
      <c r="F947" s="19" t="n"/>
      <c r="G947" s="19" t="n"/>
      <c r="H947" s="20" t="n"/>
      <c r="I947" s="21" t="n"/>
      <c r="J947" s="22" t="n"/>
      <c r="K947" s="23" t="n"/>
      <c r="L947" s="18" t="n"/>
      <c r="M947" s="24">
        <f>IF(B947="","",IF(AND(F947&lt;&gt;"",G947&lt;&gt;""),MAX(0,ROUND(MOD(G947-F947,1)*24-N(H947)/60,2)),N(I947)))</f>
        <v/>
      </c>
      <c r="N947" s="14">
        <f>IF(B947="","",IF(K947&lt;&gt;"",K947,IF(N(IFERROR(INDEX(Projects!$D$6:$D$65,MATCH(D947,Projects!$B$6:$B$65,0)),""))&gt;0,IFERROR(INDEX(Projects!$D$6:$D$65,MATCH(D947,Projects!$B$6:$B$65,0)),""),IFERROR(INDEX(Clients!$G$6:$G$45,MATCH(C947,Clients!$B$6:$B$45,0)),0))))</f>
        <v/>
      </c>
      <c r="O947" s="14">
        <f>IF(B947="","",IF(J947&lt;&gt;"",0,ROUND(M947*N947,2)))</f>
        <v/>
      </c>
      <c r="P947" s="15">
        <f>IF(OR(B947="",J947&lt;&gt;""),"",IF(L947&lt;&gt;"",L947,IF(COUNTIFS(Invoices!$C$6:$C$305,C947,Invoices!$E$6:$E$305,"&lt;="&amp;B947,Invoices!$F$6:$F$305,"&gt;="&amp;B947)=1,INDEX(Invoices!$B$6:$B$305,SUMIFS(Invoices!$O$6:$O$305,Invoices!$C$6:$C$305,C947,Invoices!$E$6:$E$305,"&lt;="&amp;B947,Invoices!$F$6:$F$305,"&gt;="&amp;B947)),IF(COUNTIFS(Invoices!$C$6:$C$305,C947,Invoices!$E$6:$E$305,"&lt;="&amp;B947,Invoices!$F$6:$F$305,"&gt;="&amp;B947)&gt;1,"Two invoices",""))))</f>
        <v/>
      </c>
      <c r="Q947" s="15">
        <f>IF(B947="","",IF(J947&lt;&gt;"","Not billable",IF(P947="","To invoice",IF(P947="Two invoices","Check dates",IF(ISNA(MATCH(P947,Invoices!$B$6:$B$305,0)),"Check number",IF(INDEX(Invoices!$M$6:$M$305,MATCH(P947,Invoices!$B$6:$B$305,0))="Paid","Paid",IF(INDEX(Invoices!$M$6:$M$305,MATCH(P947,Invoices!$B$6:$B$305,0))="Draft","Draft","Invoiced")))))))</f>
        <v/>
      </c>
      <c r="R947" s="1">
        <f>IF(AND(B947&lt;&gt;"",P947&lt;&gt;"",P947=Invoice!$G$4),B947+MOD(N(F947),1)+ROW()/10000000,"")</f>
        <v/>
      </c>
      <c r="S947">
        <f>IF(R947="","",IF(D947="","Other work",D947)&amp;IF(AND(K947&lt;&gt;"",E947&lt;&gt;""),", "&amp;E947,""))</f>
        <v/>
      </c>
      <c r="T947">
        <f>IF(R947="","",IF(COUNTIFS(R$6:R946,"&gt;0",S$6:S946,S947,N$6:N946,N947)=0,R947,""))</f>
        <v/>
      </c>
      <c r="U947">
        <f>IF(B947="","",IF(J947&lt;&gt;"",0,M947))</f>
        <v/>
      </c>
    </row>
    <row r="948">
      <c r="A948" s="1" t="n"/>
      <c r="B948" s="16" t="n"/>
      <c r="C948" s="17" t="n"/>
      <c r="D948" s="18" t="n"/>
      <c r="E948" s="18" t="n"/>
      <c r="F948" s="19" t="n"/>
      <c r="G948" s="19" t="n"/>
      <c r="H948" s="20" t="n"/>
      <c r="I948" s="21" t="n"/>
      <c r="J948" s="22" t="n"/>
      <c r="K948" s="23" t="n"/>
      <c r="L948" s="18" t="n"/>
      <c r="M948" s="24">
        <f>IF(B948="","",IF(AND(F948&lt;&gt;"",G948&lt;&gt;""),MAX(0,ROUND(MOD(G948-F948,1)*24-N(H948)/60,2)),N(I948)))</f>
        <v/>
      </c>
      <c r="N948" s="14">
        <f>IF(B948="","",IF(K948&lt;&gt;"",K948,IF(N(IFERROR(INDEX(Projects!$D$6:$D$65,MATCH(D948,Projects!$B$6:$B$65,0)),""))&gt;0,IFERROR(INDEX(Projects!$D$6:$D$65,MATCH(D948,Projects!$B$6:$B$65,0)),""),IFERROR(INDEX(Clients!$G$6:$G$45,MATCH(C948,Clients!$B$6:$B$45,0)),0))))</f>
        <v/>
      </c>
      <c r="O948" s="14">
        <f>IF(B948="","",IF(J948&lt;&gt;"",0,ROUND(M948*N948,2)))</f>
        <v/>
      </c>
      <c r="P948" s="15">
        <f>IF(OR(B948="",J948&lt;&gt;""),"",IF(L948&lt;&gt;"",L948,IF(COUNTIFS(Invoices!$C$6:$C$305,C948,Invoices!$E$6:$E$305,"&lt;="&amp;B948,Invoices!$F$6:$F$305,"&gt;="&amp;B948)=1,INDEX(Invoices!$B$6:$B$305,SUMIFS(Invoices!$O$6:$O$305,Invoices!$C$6:$C$305,C948,Invoices!$E$6:$E$305,"&lt;="&amp;B948,Invoices!$F$6:$F$305,"&gt;="&amp;B948)),IF(COUNTIFS(Invoices!$C$6:$C$305,C948,Invoices!$E$6:$E$305,"&lt;="&amp;B948,Invoices!$F$6:$F$305,"&gt;="&amp;B948)&gt;1,"Two invoices",""))))</f>
        <v/>
      </c>
      <c r="Q948" s="15">
        <f>IF(B948="","",IF(J948&lt;&gt;"","Not billable",IF(P948="","To invoice",IF(P948="Two invoices","Check dates",IF(ISNA(MATCH(P948,Invoices!$B$6:$B$305,0)),"Check number",IF(INDEX(Invoices!$M$6:$M$305,MATCH(P948,Invoices!$B$6:$B$305,0))="Paid","Paid",IF(INDEX(Invoices!$M$6:$M$305,MATCH(P948,Invoices!$B$6:$B$305,0))="Draft","Draft","Invoiced")))))))</f>
        <v/>
      </c>
      <c r="R948" s="1">
        <f>IF(AND(B948&lt;&gt;"",P948&lt;&gt;"",P948=Invoice!$G$4),B948+MOD(N(F948),1)+ROW()/10000000,"")</f>
        <v/>
      </c>
      <c r="S948">
        <f>IF(R948="","",IF(D948="","Other work",D948)&amp;IF(AND(K948&lt;&gt;"",E948&lt;&gt;""),", "&amp;E948,""))</f>
        <v/>
      </c>
      <c r="T948">
        <f>IF(R948="","",IF(COUNTIFS(R$6:R947,"&gt;0",S$6:S947,S948,N$6:N947,N948)=0,R948,""))</f>
        <v/>
      </c>
      <c r="U948">
        <f>IF(B948="","",IF(J948&lt;&gt;"",0,M948))</f>
        <v/>
      </c>
    </row>
    <row r="949">
      <c r="A949" s="1" t="n"/>
      <c r="B949" s="16" t="n"/>
      <c r="C949" s="17" t="n"/>
      <c r="D949" s="18" t="n"/>
      <c r="E949" s="18" t="n"/>
      <c r="F949" s="19" t="n"/>
      <c r="G949" s="19" t="n"/>
      <c r="H949" s="20" t="n"/>
      <c r="I949" s="21" t="n"/>
      <c r="J949" s="22" t="n"/>
      <c r="K949" s="23" t="n"/>
      <c r="L949" s="18" t="n"/>
      <c r="M949" s="24">
        <f>IF(B949="","",IF(AND(F949&lt;&gt;"",G949&lt;&gt;""),MAX(0,ROUND(MOD(G949-F949,1)*24-N(H949)/60,2)),N(I949)))</f>
        <v/>
      </c>
      <c r="N949" s="14">
        <f>IF(B949="","",IF(K949&lt;&gt;"",K949,IF(N(IFERROR(INDEX(Projects!$D$6:$D$65,MATCH(D949,Projects!$B$6:$B$65,0)),""))&gt;0,IFERROR(INDEX(Projects!$D$6:$D$65,MATCH(D949,Projects!$B$6:$B$65,0)),""),IFERROR(INDEX(Clients!$G$6:$G$45,MATCH(C949,Clients!$B$6:$B$45,0)),0))))</f>
        <v/>
      </c>
      <c r="O949" s="14">
        <f>IF(B949="","",IF(J949&lt;&gt;"",0,ROUND(M949*N949,2)))</f>
        <v/>
      </c>
      <c r="P949" s="15">
        <f>IF(OR(B949="",J949&lt;&gt;""),"",IF(L949&lt;&gt;"",L949,IF(COUNTIFS(Invoices!$C$6:$C$305,C949,Invoices!$E$6:$E$305,"&lt;="&amp;B949,Invoices!$F$6:$F$305,"&gt;="&amp;B949)=1,INDEX(Invoices!$B$6:$B$305,SUMIFS(Invoices!$O$6:$O$305,Invoices!$C$6:$C$305,C949,Invoices!$E$6:$E$305,"&lt;="&amp;B949,Invoices!$F$6:$F$305,"&gt;="&amp;B949)),IF(COUNTIFS(Invoices!$C$6:$C$305,C949,Invoices!$E$6:$E$305,"&lt;="&amp;B949,Invoices!$F$6:$F$305,"&gt;="&amp;B949)&gt;1,"Two invoices",""))))</f>
        <v/>
      </c>
      <c r="Q949" s="15">
        <f>IF(B949="","",IF(J949&lt;&gt;"","Not billable",IF(P949="","To invoice",IF(P949="Two invoices","Check dates",IF(ISNA(MATCH(P949,Invoices!$B$6:$B$305,0)),"Check number",IF(INDEX(Invoices!$M$6:$M$305,MATCH(P949,Invoices!$B$6:$B$305,0))="Paid","Paid",IF(INDEX(Invoices!$M$6:$M$305,MATCH(P949,Invoices!$B$6:$B$305,0))="Draft","Draft","Invoiced")))))))</f>
        <v/>
      </c>
      <c r="R949" s="1">
        <f>IF(AND(B949&lt;&gt;"",P949&lt;&gt;"",P949=Invoice!$G$4),B949+MOD(N(F949),1)+ROW()/10000000,"")</f>
        <v/>
      </c>
      <c r="S949">
        <f>IF(R949="","",IF(D949="","Other work",D949)&amp;IF(AND(K949&lt;&gt;"",E949&lt;&gt;""),", "&amp;E949,""))</f>
        <v/>
      </c>
      <c r="T949">
        <f>IF(R949="","",IF(COUNTIFS(R$6:R948,"&gt;0",S$6:S948,S949,N$6:N948,N949)=0,R949,""))</f>
        <v/>
      </c>
      <c r="U949">
        <f>IF(B949="","",IF(J949&lt;&gt;"",0,M949))</f>
        <v/>
      </c>
    </row>
    <row r="950">
      <c r="A950" s="1" t="n"/>
      <c r="B950" s="16" t="n"/>
      <c r="C950" s="17" t="n"/>
      <c r="D950" s="18" t="n"/>
      <c r="E950" s="18" t="n"/>
      <c r="F950" s="19" t="n"/>
      <c r="G950" s="19" t="n"/>
      <c r="H950" s="20" t="n"/>
      <c r="I950" s="21" t="n"/>
      <c r="J950" s="22" t="n"/>
      <c r="K950" s="23" t="n"/>
      <c r="L950" s="18" t="n"/>
      <c r="M950" s="24">
        <f>IF(B950="","",IF(AND(F950&lt;&gt;"",G950&lt;&gt;""),MAX(0,ROUND(MOD(G950-F950,1)*24-N(H950)/60,2)),N(I950)))</f>
        <v/>
      </c>
      <c r="N950" s="14">
        <f>IF(B950="","",IF(K950&lt;&gt;"",K950,IF(N(IFERROR(INDEX(Projects!$D$6:$D$65,MATCH(D950,Projects!$B$6:$B$65,0)),""))&gt;0,IFERROR(INDEX(Projects!$D$6:$D$65,MATCH(D950,Projects!$B$6:$B$65,0)),""),IFERROR(INDEX(Clients!$G$6:$G$45,MATCH(C950,Clients!$B$6:$B$45,0)),0))))</f>
        <v/>
      </c>
      <c r="O950" s="14">
        <f>IF(B950="","",IF(J950&lt;&gt;"",0,ROUND(M950*N950,2)))</f>
        <v/>
      </c>
      <c r="P950" s="15">
        <f>IF(OR(B950="",J950&lt;&gt;""),"",IF(L950&lt;&gt;"",L950,IF(COUNTIFS(Invoices!$C$6:$C$305,C950,Invoices!$E$6:$E$305,"&lt;="&amp;B950,Invoices!$F$6:$F$305,"&gt;="&amp;B950)=1,INDEX(Invoices!$B$6:$B$305,SUMIFS(Invoices!$O$6:$O$305,Invoices!$C$6:$C$305,C950,Invoices!$E$6:$E$305,"&lt;="&amp;B950,Invoices!$F$6:$F$305,"&gt;="&amp;B950)),IF(COUNTIFS(Invoices!$C$6:$C$305,C950,Invoices!$E$6:$E$305,"&lt;="&amp;B950,Invoices!$F$6:$F$305,"&gt;="&amp;B950)&gt;1,"Two invoices",""))))</f>
        <v/>
      </c>
      <c r="Q950" s="15">
        <f>IF(B950="","",IF(J950&lt;&gt;"","Not billable",IF(P950="","To invoice",IF(P950="Two invoices","Check dates",IF(ISNA(MATCH(P950,Invoices!$B$6:$B$305,0)),"Check number",IF(INDEX(Invoices!$M$6:$M$305,MATCH(P950,Invoices!$B$6:$B$305,0))="Paid","Paid",IF(INDEX(Invoices!$M$6:$M$305,MATCH(P950,Invoices!$B$6:$B$305,0))="Draft","Draft","Invoiced")))))))</f>
        <v/>
      </c>
      <c r="R950" s="1">
        <f>IF(AND(B950&lt;&gt;"",P950&lt;&gt;"",P950=Invoice!$G$4),B950+MOD(N(F950),1)+ROW()/10000000,"")</f>
        <v/>
      </c>
      <c r="S950">
        <f>IF(R950="","",IF(D950="","Other work",D950)&amp;IF(AND(K950&lt;&gt;"",E950&lt;&gt;""),", "&amp;E950,""))</f>
        <v/>
      </c>
      <c r="T950">
        <f>IF(R950="","",IF(COUNTIFS(R$6:R949,"&gt;0",S$6:S949,S950,N$6:N949,N950)=0,R950,""))</f>
        <v/>
      </c>
      <c r="U950">
        <f>IF(B950="","",IF(J950&lt;&gt;"",0,M950))</f>
        <v/>
      </c>
    </row>
    <row r="951">
      <c r="A951" s="1" t="n"/>
      <c r="B951" s="16" t="n"/>
      <c r="C951" s="17" t="n"/>
      <c r="D951" s="18" t="n"/>
      <c r="E951" s="18" t="n"/>
      <c r="F951" s="19" t="n"/>
      <c r="G951" s="19" t="n"/>
      <c r="H951" s="20" t="n"/>
      <c r="I951" s="21" t="n"/>
      <c r="J951" s="22" t="n"/>
      <c r="K951" s="23" t="n"/>
      <c r="L951" s="18" t="n"/>
      <c r="M951" s="24">
        <f>IF(B951="","",IF(AND(F951&lt;&gt;"",G951&lt;&gt;""),MAX(0,ROUND(MOD(G951-F951,1)*24-N(H951)/60,2)),N(I951)))</f>
        <v/>
      </c>
      <c r="N951" s="14">
        <f>IF(B951="","",IF(K951&lt;&gt;"",K951,IF(N(IFERROR(INDEX(Projects!$D$6:$D$65,MATCH(D951,Projects!$B$6:$B$65,0)),""))&gt;0,IFERROR(INDEX(Projects!$D$6:$D$65,MATCH(D951,Projects!$B$6:$B$65,0)),""),IFERROR(INDEX(Clients!$G$6:$G$45,MATCH(C951,Clients!$B$6:$B$45,0)),0))))</f>
        <v/>
      </c>
      <c r="O951" s="14">
        <f>IF(B951="","",IF(J951&lt;&gt;"",0,ROUND(M951*N951,2)))</f>
        <v/>
      </c>
      <c r="P951" s="15">
        <f>IF(OR(B951="",J951&lt;&gt;""),"",IF(L951&lt;&gt;"",L951,IF(COUNTIFS(Invoices!$C$6:$C$305,C951,Invoices!$E$6:$E$305,"&lt;="&amp;B951,Invoices!$F$6:$F$305,"&gt;="&amp;B951)=1,INDEX(Invoices!$B$6:$B$305,SUMIFS(Invoices!$O$6:$O$305,Invoices!$C$6:$C$305,C951,Invoices!$E$6:$E$305,"&lt;="&amp;B951,Invoices!$F$6:$F$305,"&gt;="&amp;B951)),IF(COUNTIFS(Invoices!$C$6:$C$305,C951,Invoices!$E$6:$E$305,"&lt;="&amp;B951,Invoices!$F$6:$F$305,"&gt;="&amp;B951)&gt;1,"Two invoices",""))))</f>
        <v/>
      </c>
      <c r="Q951" s="15">
        <f>IF(B951="","",IF(J951&lt;&gt;"","Not billable",IF(P951="","To invoice",IF(P951="Two invoices","Check dates",IF(ISNA(MATCH(P951,Invoices!$B$6:$B$305,0)),"Check number",IF(INDEX(Invoices!$M$6:$M$305,MATCH(P951,Invoices!$B$6:$B$305,0))="Paid","Paid",IF(INDEX(Invoices!$M$6:$M$305,MATCH(P951,Invoices!$B$6:$B$305,0))="Draft","Draft","Invoiced")))))))</f>
        <v/>
      </c>
      <c r="R951" s="1">
        <f>IF(AND(B951&lt;&gt;"",P951&lt;&gt;"",P951=Invoice!$G$4),B951+MOD(N(F951),1)+ROW()/10000000,"")</f>
        <v/>
      </c>
      <c r="S951">
        <f>IF(R951="","",IF(D951="","Other work",D951)&amp;IF(AND(K951&lt;&gt;"",E951&lt;&gt;""),", "&amp;E951,""))</f>
        <v/>
      </c>
      <c r="T951">
        <f>IF(R951="","",IF(COUNTIFS(R$6:R950,"&gt;0",S$6:S950,S951,N$6:N950,N951)=0,R951,""))</f>
        <v/>
      </c>
      <c r="U951">
        <f>IF(B951="","",IF(J951&lt;&gt;"",0,M951))</f>
        <v/>
      </c>
    </row>
    <row r="952">
      <c r="A952" s="1" t="n"/>
      <c r="B952" s="16" t="n"/>
      <c r="C952" s="17" t="n"/>
      <c r="D952" s="18" t="n"/>
      <c r="E952" s="18" t="n"/>
      <c r="F952" s="19" t="n"/>
      <c r="G952" s="19" t="n"/>
      <c r="H952" s="20" t="n"/>
      <c r="I952" s="21" t="n"/>
      <c r="J952" s="22" t="n"/>
      <c r="K952" s="23" t="n"/>
      <c r="L952" s="18" t="n"/>
      <c r="M952" s="24">
        <f>IF(B952="","",IF(AND(F952&lt;&gt;"",G952&lt;&gt;""),MAX(0,ROUND(MOD(G952-F952,1)*24-N(H952)/60,2)),N(I952)))</f>
        <v/>
      </c>
      <c r="N952" s="14">
        <f>IF(B952="","",IF(K952&lt;&gt;"",K952,IF(N(IFERROR(INDEX(Projects!$D$6:$D$65,MATCH(D952,Projects!$B$6:$B$65,0)),""))&gt;0,IFERROR(INDEX(Projects!$D$6:$D$65,MATCH(D952,Projects!$B$6:$B$65,0)),""),IFERROR(INDEX(Clients!$G$6:$G$45,MATCH(C952,Clients!$B$6:$B$45,0)),0))))</f>
        <v/>
      </c>
      <c r="O952" s="14">
        <f>IF(B952="","",IF(J952&lt;&gt;"",0,ROUND(M952*N952,2)))</f>
        <v/>
      </c>
      <c r="P952" s="15">
        <f>IF(OR(B952="",J952&lt;&gt;""),"",IF(L952&lt;&gt;"",L952,IF(COUNTIFS(Invoices!$C$6:$C$305,C952,Invoices!$E$6:$E$305,"&lt;="&amp;B952,Invoices!$F$6:$F$305,"&gt;="&amp;B952)=1,INDEX(Invoices!$B$6:$B$305,SUMIFS(Invoices!$O$6:$O$305,Invoices!$C$6:$C$305,C952,Invoices!$E$6:$E$305,"&lt;="&amp;B952,Invoices!$F$6:$F$305,"&gt;="&amp;B952)),IF(COUNTIFS(Invoices!$C$6:$C$305,C952,Invoices!$E$6:$E$305,"&lt;="&amp;B952,Invoices!$F$6:$F$305,"&gt;="&amp;B952)&gt;1,"Two invoices",""))))</f>
        <v/>
      </c>
      <c r="Q952" s="15">
        <f>IF(B952="","",IF(J952&lt;&gt;"","Not billable",IF(P952="","To invoice",IF(P952="Two invoices","Check dates",IF(ISNA(MATCH(P952,Invoices!$B$6:$B$305,0)),"Check number",IF(INDEX(Invoices!$M$6:$M$305,MATCH(P952,Invoices!$B$6:$B$305,0))="Paid","Paid",IF(INDEX(Invoices!$M$6:$M$305,MATCH(P952,Invoices!$B$6:$B$305,0))="Draft","Draft","Invoiced")))))))</f>
        <v/>
      </c>
      <c r="R952" s="1">
        <f>IF(AND(B952&lt;&gt;"",P952&lt;&gt;"",P952=Invoice!$G$4),B952+MOD(N(F952),1)+ROW()/10000000,"")</f>
        <v/>
      </c>
      <c r="S952">
        <f>IF(R952="","",IF(D952="","Other work",D952)&amp;IF(AND(K952&lt;&gt;"",E952&lt;&gt;""),", "&amp;E952,""))</f>
        <v/>
      </c>
      <c r="T952">
        <f>IF(R952="","",IF(COUNTIFS(R$6:R951,"&gt;0",S$6:S951,S952,N$6:N951,N952)=0,R952,""))</f>
        <v/>
      </c>
      <c r="U952">
        <f>IF(B952="","",IF(J952&lt;&gt;"",0,M952))</f>
        <v/>
      </c>
    </row>
    <row r="953">
      <c r="A953" s="1" t="n"/>
      <c r="B953" s="16" t="n"/>
      <c r="C953" s="17" t="n"/>
      <c r="D953" s="18" t="n"/>
      <c r="E953" s="18" t="n"/>
      <c r="F953" s="19" t="n"/>
      <c r="G953" s="19" t="n"/>
      <c r="H953" s="20" t="n"/>
      <c r="I953" s="21" t="n"/>
      <c r="J953" s="22" t="n"/>
      <c r="K953" s="23" t="n"/>
      <c r="L953" s="18" t="n"/>
      <c r="M953" s="24">
        <f>IF(B953="","",IF(AND(F953&lt;&gt;"",G953&lt;&gt;""),MAX(0,ROUND(MOD(G953-F953,1)*24-N(H953)/60,2)),N(I953)))</f>
        <v/>
      </c>
      <c r="N953" s="14">
        <f>IF(B953="","",IF(K953&lt;&gt;"",K953,IF(N(IFERROR(INDEX(Projects!$D$6:$D$65,MATCH(D953,Projects!$B$6:$B$65,0)),""))&gt;0,IFERROR(INDEX(Projects!$D$6:$D$65,MATCH(D953,Projects!$B$6:$B$65,0)),""),IFERROR(INDEX(Clients!$G$6:$G$45,MATCH(C953,Clients!$B$6:$B$45,0)),0))))</f>
        <v/>
      </c>
      <c r="O953" s="14">
        <f>IF(B953="","",IF(J953&lt;&gt;"",0,ROUND(M953*N953,2)))</f>
        <v/>
      </c>
      <c r="P953" s="15">
        <f>IF(OR(B953="",J953&lt;&gt;""),"",IF(L953&lt;&gt;"",L953,IF(COUNTIFS(Invoices!$C$6:$C$305,C953,Invoices!$E$6:$E$305,"&lt;="&amp;B953,Invoices!$F$6:$F$305,"&gt;="&amp;B953)=1,INDEX(Invoices!$B$6:$B$305,SUMIFS(Invoices!$O$6:$O$305,Invoices!$C$6:$C$305,C953,Invoices!$E$6:$E$305,"&lt;="&amp;B953,Invoices!$F$6:$F$305,"&gt;="&amp;B953)),IF(COUNTIFS(Invoices!$C$6:$C$305,C953,Invoices!$E$6:$E$305,"&lt;="&amp;B953,Invoices!$F$6:$F$305,"&gt;="&amp;B953)&gt;1,"Two invoices",""))))</f>
        <v/>
      </c>
      <c r="Q953" s="15">
        <f>IF(B953="","",IF(J953&lt;&gt;"","Not billable",IF(P953="","To invoice",IF(P953="Two invoices","Check dates",IF(ISNA(MATCH(P953,Invoices!$B$6:$B$305,0)),"Check number",IF(INDEX(Invoices!$M$6:$M$305,MATCH(P953,Invoices!$B$6:$B$305,0))="Paid","Paid",IF(INDEX(Invoices!$M$6:$M$305,MATCH(P953,Invoices!$B$6:$B$305,0))="Draft","Draft","Invoiced")))))))</f>
        <v/>
      </c>
      <c r="R953" s="1">
        <f>IF(AND(B953&lt;&gt;"",P953&lt;&gt;"",P953=Invoice!$G$4),B953+MOD(N(F953),1)+ROW()/10000000,"")</f>
        <v/>
      </c>
      <c r="S953">
        <f>IF(R953="","",IF(D953="","Other work",D953)&amp;IF(AND(K953&lt;&gt;"",E953&lt;&gt;""),", "&amp;E953,""))</f>
        <v/>
      </c>
      <c r="T953">
        <f>IF(R953="","",IF(COUNTIFS(R$6:R952,"&gt;0",S$6:S952,S953,N$6:N952,N953)=0,R953,""))</f>
        <v/>
      </c>
      <c r="U953">
        <f>IF(B953="","",IF(J953&lt;&gt;"",0,M953))</f>
        <v/>
      </c>
    </row>
    <row r="954">
      <c r="A954" s="1" t="n"/>
      <c r="B954" s="16" t="n"/>
      <c r="C954" s="17" t="n"/>
      <c r="D954" s="18" t="n"/>
      <c r="E954" s="18" t="n"/>
      <c r="F954" s="19" t="n"/>
      <c r="G954" s="19" t="n"/>
      <c r="H954" s="20" t="n"/>
      <c r="I954" s="21" t="n"/>
      <c r="J954" s="22" t="n"/>
      <c r="K954" s="23" t="n"/>
      <c r="L954" s="18" t="n"/>
      <c r="M954" s="24">
        <f>IF(B954="","",IF(AND(F954&lt;&gt;"",G954&lt;&gt;""),MAX(0,ROUND(MOD(G954-F954,1)*24-N(H954)/60,2)),N(I954)))</f>
        <v/>
      </c>
      <c r="N954" s="14">
        <f>IF(B954="","",IF(K954&lt;&gt;"",K954,IF(N(IFERROR(INDEX(Projects!$D$6:$D$65,MATCH(D954,Projects!$B$6:$B$65,0)),""))&gt;0,IFERROR(INDEX(Projects!$D$6:$D$65,MATCH(D954,Projects!$B$6:$B$65,0)),""),IFERROR(INDEX(Clients!$G$6:$G$45,MATCH(C954,Clients!$B$6:$B$45,0)),0))))</f>
        <v/>
      </c>
      <c r="O954" s="14">
        <f>IF(B954="","",IF(J954&lt;&gt;"",0,ROUND(M954*N954,2)))</f>
        <v/>
      </c>
      <c r="P954" s="15">
        <f>IF(OR(B954="",J954&lt;&gt;""),"",IF(L954&lt;&gt;"",L954,IF(COUNTIFS(Invoices!$C$6:$C$305,C954,Invoices!$E$6:$E$305,"&lt;="&amp;B954,Invoices!$F$6:$F$305,"&gt;="&amp;B954)=1,INDEX(Invoices!$B$6:$B$305,SUMIFS(Invoices!$O$6:$O$305,Invoices!$C$6:$C$305,C954,Invoices!$E$6:$E$305,"&lt;="&amp;B954,Invoices!$F$6:$F$305,"&gt;="&amp;B954)),IF(COUNTIFS(Invoices!$C$6:$C$305,C954,Invoices!$E$6:$E$305,"&lt;="&amp;B954,Invoices!$F$6:$F$305,"&gt;="&amp;B954)&gt;1,"Two invoices",""))))</f>
        <v/>
      </c>
      <c r="Q954" s="15">
        <f>IF(B954="","",IF(J954&lt;&gt;"","Not billable",IF(P954="","To invoice",IF(P954="Two invoices","Check dates",IF(ISNA(MATCH(P954,Invoices!$B$6:$B$305,0)),"Check number",IF(INDEX(Invoices!$M$6:$M$305,MATCH(P954,Invoices!$B$6:$B$305,0))="Paid","Paid",IF(INDEX(Invoices!$M$6:$M$305,MATCH(P954,Invoices!$B$6:$B$305,0))="Draft","Draft","Invoiced")))))))</f>
        <v/>
      </c>
      <c r="R954" s="1">
        <f>IF(AND(B954&lt;&gt;"",P954&lt;&gt;"",P954=Invoice!$G$4),B954+MOD(N(F954),1)+ROW()/10000000,"")</f>
        <v/>
      </c>
      <c r="S954">
        <f>IF(R954="","",IF(D954="","Other work",D954)&amp;IF(AND(K954&lt;&gt;"",E954&lt;&gt;""),", "&amp;E954,""))</f>
        <v/>
      </c>
      <c r="T954">
        <f>IF(R954="","",IF(COUNTIFS(R$6:R953,"&gt;0",S$6:S953,S954,N$6:N953,N954)=0,R954,""))</f>
        <v/>
      </c>
      <c r="U954">
        <f>IF(B954="","",IF(J954&lt;&gt;"",0,M954))</f>
        <v/>
      </c>
    </row>
    <row r="955">
      <c r="A955" s="1" t="n"/>
      <c r="B955" s="16" t="n"/>
      <c r="C955" s="17" t="n"/>
      <c r="D955" s="18" t="n"/>
      <c r="E955" s="18" t="n"/>
      <c r="F955" s="19" t="n"/>
      <c r="G955" s="19" t="n"/>
      <c r="H955" s="20" t="n"/>
      <c r="I955" s="21" t="n"/>
      <c r="J955" s="22" t="n"/>
      <c r="K955" s="23" t="n"/>
      <c r="L955" s="18" t="n"/>
      <c r="M955" s="24">
        <f>IF(B955="","",IF(AND(F955&lt;&gt;"",G955&lt;&gt;""),MAX(0,ROUND(MOD(G955-F955,1)*24-N(H955)/60,2)),N(I955)))</f>
        <v/>
      </c>
      <c r="N955" s="14">
        <f>IF(B955="","",IF(K955&lt;&gt;"",K955,IF(N(IFERROR(INDEX(Projects!$D$6:$D$65,MATCH(D955,Projects!$B$6:$B$65,0)),""))&gt;0,IFERROR(INDEX(Projects!$D$6:$D$65,MATCH(D955,Projects!$B$6:$B$65,0)),""),IFERROR(INDEX(Clients!$G$6:$G$45,MATCH(C955,Clients!$B$6:$B$45,0)),0))))</f>
        <v/>
      </c>
      <c r="O955" s="14">
        <f>IF(B955="","",IF(J955&lt;&gt;"",0,ROUND(M955*N955,2)))</f>
        <v/>
      </c>
      <c r="P955" s="15">
        <f>IF(OR(B955="",J955&lt;&gt;""),"",IF(L955&lt;&gt;"",L955,IF(COUNTIFS(Invoices!$C$6:$C$305,C955,Invoices!$E$6:$E$305,"&lt;="&amp;B955,Invoices!$F$6:$F$305,"&gt;="&amp;B955)=1,INDEX(Invoices!$B$6:$B$305,SUMIFS(Invoices!$O$6:$O$305,Invoices!$C$6:$C$305,C955,Invoices!$E$6:$E$305,"&lt;="&amp;B955,Invoices!$F$6:$F$305,"&gt;="&amp;B955)),IF(COUNTIFS(Invoices!$C$6:$C$305,C955,Invoices!$E$6:$E$305,"&lt;="&amp;B955,Invoices!$F$6:$F$305,"&gt;="&amp;B955)&gt;1,"Two invoices",""))))</f>
        <v/>
      </c>
      <c r="Q955" s="15">
        <f>IF(B955="","",IF(J955&lt;&gt;"","Not billable",IF(P955="","To invoice",IF(P955="Two invoices","Check dates",IF(ISNA(MATCH(P955,Invoices!$B$6:$B$305,0)),"Check number",IF(INDEX(Invoices!$M$6:$M$305,MATCH(P955,Invoices!$B$6:$B$305,0))="Paid","Paid",IF(INDEX(Invoices!$M$6:$M$305,MATCH(P955,Invoices!$B$6:$B$305,0))="Draft","Draft","Invoiced")))))))</f>
        <v/>
      </c>
      <c r="R955" s="1">
        <f>IF(AND(B955&lt;&gt;"",P955&lt;&gt;"",P955=Invoice!$G$4),B955+MOD(N(F955),1)+ROW()/10000000,"")</f>
        <v/>
      </c>
      <c r="S955">
        <f>IF(R955="","",IF(D955="","Other work",D955)&amp;IF(AND(K955&lt;&gt;"",E955&lt;&gt;""),", "&amp;E955,""))</f>
        <v/>
      </c>
      <c r="T955">
        <f>IF(R955="","",IF(COUNTIFS(R$6:R954,"&gt;0",S$6:S954,S955,N$6:N954,N955)=0,R955,""))</f>
        <v/>
      </c>
      <c r="U955">
        <f>IF(B955="","",IF(J955&lt;&gt;"",0,M955))</f>
        <v/>
      </c>
    </row>
    <row r="956">
      <c r="A956" s="1" t="n"/>
      <c r="B956" s="16" t="n"/>
      <c r="C956" s="17" t="n"/>
      <c r="D956" s="18" t="n"/>
      <c r="E956" s="18" t="n"/>
      <c r="F956" s="19" t="n"/>
      <c r="G956" s="19" t="n"/>
      <c r="H956" s="20" t="n"/>
      <c r="I956" s="21" t="n"/>
      <c r="J956" s="22" t="n"/>
      <c r="K956" s="23" t="n"/>
      <c r="L956" s="18" t="n"/>
      <c r="M956" s="24">
        <f>IF(B956="","",IF(AND(F956&lt;&gt;"",G956&lt;&gt;""),MAX(0,ROUND(MOD(G956-F956,1)*24-N(H956)/60,2)),N(I956)))</f>
        <v/>
      </c>
      <c r="N956" s="14">
        <f>IF(B956="","",IF(K956&lt;&gt;"",K956,IF(N(IFERROR(INDEX(Projects!$D$6:$D$65,MATCH(D956,Projects!$B$6:$B$65,0)),""))&gt;0,IFERROR(INDEX(Projects!$D$6:$D$65,MATCH(D956,Projects!$B$6:$B$65,0)),""),IFERROR(INDEX(Clients!$G$6:$G$45,MATCH(C956,Clients!$B$6:$B$45,0)),0))))</f>
        <v/>
      </c>
      <c r="O956" s="14">
        <f>IF(B956="","",IF(J956&lt;&gt;"",0,ROUND(M956*N956,2)))</f>
        <v/>
      </c>
      <c r="P956" s="15">
        <f>IF(OR(B956="",J956&lt;&gt;""),"",IF(L956&lt;&gt;"",L956,IF(COUNTIFS(Invoices!$C$6:$C$305,C956,Invoices!$E$6:$E$305,"&lt;="&amp;B956,Invoices!$F$6:$F$305,"&gt;="&amp;B956)=1,INDEX(Invoices!$B$6:$B$305,SUMIFS(Invoices!$O$6:$O$305,Invoices!$C$6:$C$305,C956,Invoices!$E$6:$E$305,"&lt;="&amp;B956,Invoices!$F$6:$F$305,"&gt;="&amp;B956)),IF(COUNTIFS(Invoices!$C$6:$C$305,C956,Invoices!$E$6:$E$305,"&lt;="&amp;B956,Invoices!$F$6:$F$305,"&gt;="&amp;B956)&gt;1,"Two invoices",""))))</f>
        <v/>
      </c>
      <c r="Q956" s="15">
        <f>IF(B956="","",IF(J956&lt;&gt;"","Not billable",IF(P956="","To invoice",IF(P956="Two invoices","Check dates",IF(ISNA(MATCH(P956,Invoices!$B$6:$B$305,0)),"Check number",IF(INDEX(Invoices!$M$6:$M$305,MATCH(P956,Invoices!$B$6:$B$305,0))="Paid","Paid",IF(INDEX(Invoices!$M$6:$M$305,MATCH(P956,Invoices!$B$6:$B$305,0))="Draft","Draft","Invoiced")))))))</f>
        <v/>
      </c>
      <c r="R956" s="1">
        <f>IF(AND(B956&lt;&gt;"",P956&lt;&gt;"",P956=Invoice!$G$4),B956+MOD(N(F956),1)+ROW()/10000000,"")</f>
        <v/>
      </c>
      <c r="S956">
        <f>IF(R956="","",IF(D956="","Other work",D956)&amp;IF(AND(K956&lt;&gt;"",E956&lt;&gt;""),", "&amp;E956,""))</f>
        <v/>
      </c>
      <c r="T956">
        <f>IF(R956="","",IF(COUNTIFS(R$6:R955,"&gt;0",S$6:S955,S956,N$6:N955,N956)=0,R956,""))</f>
        <v/>
      </c>
      <c r="U956">
        <f>IF(B956="","",IF(J956&lt;&gt;"",0,M956))</f>
        <v/>
      </c>
    </row>
    <row r="957">
      <c r="A957" s="1" t="n"/>
      <c r="B957" s="16" t="n"/>
      <c r="C957" s="17" t="n"/>
      <c r="D957" s="18" t="n"/>
      <c r="E957" s="18" t="n"/>
      <c r="F957" s="19" t="n"/>
      <c r="G957" s="19" t="n"/>
      <c r="H957" s="20" t="n"/>
      <c r="I957" s="21" t="n"/>
      <c r="J957" s="22" t="n"/>
      <c r="K957" s="23" t="n"/>
      <c r="L957" s="18" t="n"/>
      <c r="M957" s="24">
        <f>IF(B957="","",IF(AND(F957&lt;&gt;"",G957&lt;&gt;""),MAX(0,ROUND(MOD(G957-F957,1)*24-N(H957)/60,2)),N(I957)))</f>
        <v/>
      </c>
      <c r="N957" s="14">
        <f>IF(B957="","",IF(K957&lt;&gt;"",K957,IF(N(IFERROR(INDEX(Projects!$D$6:$D$65,MATCH(D957,Projects!$B$6:$B$65,0)),""))&gt;0,IFERROR(INDEX(Projects!$D$6:$D$65,MATCH(D957,Projects!$B$6:$B$65,0)),""),IFERROR(INDEX(Clients!$G$6:$G$45,MATCH(C957,Clients!$B$6:$B$45,0)),0))))</f>
        <v/>
      </c>
      <c r="O957" s="14">
        <f>IF(B957="","",IF(J957&lt;&gt;"",0,ROUND(M957*N957,2)))</f>
        <v/>
      </c>
      <c r="P957" s="15">
        <f>IF(OR(B957="",J957&lt;&gt;""),"",IF(L957&lt;&gt;"",L957,IF(COUNTIFS(Invoices!$C$6:$C$305,C957,Invoices!$E$6:$E$305,"&lt;="&amp;B957,Invoices!$F$6:$F$305,"&gt;="&amp;B957)=1,INDEX(Invoices!$B$6:$B$305,SUMIFS(Invoices!$O$6:$O$305,Invoices!$C$6:$C$305,C957,Invoices!$E$6:$E$305,"&lt;="&amp;B957,Invoices!$F$6:$F$305,"&gt;="&amp;B957)),IF(COUNTIFS(Invoices!$C$6:$C$305,C957,Invoices!$E$6:$E$305,"&lt;="&amp;B957,Invoices!$F$6:$F$305,"&gt;="&amp;B957)&gt;1,"Two invoices",""))))</f>
        <v/>
      </c>
      <c r="Q957" s="15">
        <f>IF(B957="","",IF(J957&lt;&gt;"","Not billable",IF(P957="","To invoice",IF(P957="Two invoices","Check dates",IF(ISNA(MATCH(P957,Invoices!$B$6:$B$305,0)),"Check number",IF(INDEX(Invoices!$M$6:$M$305,MATCH(P957,Invoices!$B$6:$B$305,0))="Paid","Paid",IF(INDEX(Invoices!$M$6:$M$305,MATCH(P957,Invoices!$B$6:$B$305,0))="Draft","Draft","Invoiced")))))))</f>
        <v/>
      </c>
      <c r="R957" s="1">
        <f>IF(AND(B957&lt;&gt;"",P957&lt;&gt;"",P957=Invoice!$G$4),B957+MOD(N(F957),1)+ROW()/10000000,"")</f>
        <v/>
      </c>
      <c r="S957">
        <f>IF(R957="","",IF(D957="","Other work",D957)&amp;IF(AND(K957&lt;&gt;"",E957&lt;&gt;""),", "&amp;E957,""))</f>
        <v/>
      </c>
      <c r="T957">
        <f>IF(R957="","",IF(COUNTIFS(R$6:R956,"&gt;0",S$6:S956,S957,N$6:N956,N957)=0,R957,""))</f>
        <v/>
      </c>
      <c r="U957">
        <f>IF(B957="","",IF(J957&lt;&gt;"",0,M957))</f>
        <v/>
      </c>
    </row>
    <row r="958">
      <c r="A958" s="1" t="n"/>
      <c r="B958" s="16" t="n"/>
      <c r="C958" s="17" t="n"/>
      <c r="D958" s="18" t="n"/>
      <c r="E958" s="18" t="n"/>
      <c r="F958" s="19" t="n"/>
      <c r="G958" s="19" t="n"/>
      <c r="H958" s="20" t="n"/>
      <c r="I958" s="21" t="n"/>
      <c r="J958" s="22" t="n"/>
      <c r="K958" s="23" t="n"/>
      <c r="L958" s="18" t="n"/>
      <c r="M958" s="24">
        <f>IF(B958="","",IF(AND(F958&lt;&gt;"",G958&lt;&gt;""),MAX(0,ROUND(MOD(G958-F958,1)*24-N(H958)/60,2)),N(I958)))</f>
        <v/>
      </c>
      <c r="N958" s="14">
        <f>IF(B958="","",IF(K958&lt;&gt;"",K958,IF(N(IFERROR(INDEX(Projects!$D$6:$D$65,MATCH(D958,Projects!$B$6:$B$65,0)),""))&gt;0,IFERROR(INDEX(Projects!$D$6:$D$65,MATCH(D958,Projects!$B$6:$B$65,0)),""),IFERROR(INDEX(Clients!$G$6:$G$45,MATCH(C958,Clients!$B$6:$B$45,0)),0))))</f>
        <v/>
      </c>
      <c r="O958" s="14">
        <f>IF(B958="","",IF(J958&lt;&gt;"",0,ROUND(M958*N958,2)))</f>
        <v/>
      </c>
      <c r="P958" s="15">
        <f>IF(OR(B958="",J958&lt;&gt;""),"",IF(L958&lt;&gt;"",L958,IF(COUNTIFS(Invoices!$C$6:$C$305,C958,Invoices!$E$6:$E$305,"&lt;="&amp;B958,Invoices!$F$6:$F$305,"&gt;="&amp;B958)=1,INDEX(Invoices!$B$6:$B$305,SUMIFS(Invoices!$O$6:$O$305,Invoices!$C$6:$C$305,C958,Invoices!$E$6:$E$305,"&lt;="&amp;B958,Invoices!$F$6:$F$305,"&gt;="&amp;B958)),IF(COUNTIFS(Invoices!$C$6:$C$305,C958,Invoices!$E$6:$E$305,"&lt;="&amp;B958,Invoices!$F$6:$F$305,"&gt;="&amp;B958)&gt;1,"Two invoices",""))))</f>
        <v/>
      </c>
      <c r="Q958" s="15">
        <f>IF(B958="","",IF(J958&lt;&gt;"","Not billable",IF(P958="","To invoice",IF(P958="Two invoices","Check dates",IF(ISNA(MATCH(P958,Invoices!$B$6:$B$305,0)),"Check number",IF(INDEX(Invoices!$M$6:$M$305,MATCH(P958,Invoices!$B$6:$B$305,0))="Paid","Paid",IF(INDEX(Invoices!$M$6:$M$305,MATCH(P958,Invoices!$B$6:$B$305,0))="Draft","Draft","Invoiced")))))))</f>
        <v/>
      </c>
      <c r="R958" s="1">
        <f>IF(AND(B958&lt;&gt;"",P958&lt;&gt;"",P958=Invoice!$G$4),B958+MOD(N(F958),1)+ROW()/10000000,"")</f>
        <v/>
      </c>
      <c r="S958">
        <f>IF(R958="","",IF(D958="","Other work",D958)&amp;IF(AND(K958&lt;&gt;"",E958&lt;&gt;""),", "&amp;E958,""))</f>
        <v/>
      </c>
      <c r="T958">
        <f>IF(R958="","",IF(COUNTIFS(R$6:R957,"&gt;0",S$6:S957,S958,N$6:N957,N958)=0,R958,""))</f>
        <v/>
      </c>
      <c r="U958">
        <f>IF(B958="","",IF(J958&lt;&gt;"",0,M958))</f>
        <v/>
      </c>
    </row>
    <row r="959">
      <c r="A959" s="1" t="n"/>
      <c r="B959" s="16" t="n"/>
      <c r="C959" s="17" t="n"/>
      <c r="D959" s="18" t="n"/>
      <c r="E959" s="18" t="n"/>
      <c r="F959" s="19" t="n"/>
      <c r="G959" s="19" t="n"/>
      <c r="H959" s="20" t="n"/>
      <c r="I959" s="21" t="n"/>
      <c r="J959" s="22" t="n"/>
      <c r="K959" s="23" t="n"/>
      <c r="L959" s="18" t="n"/>
      <c r="M959" s="24">
        <f>IF(B959="","",IF(AND(F959&lt;&gt;"",G959&lt;&gt;""),MAX(0,ROUND(MOD(G959-F959,1)*24-N(H959)/60,2)),N(I959)))</f>
        <v/>
      </c>
      <c r="N959" s="14">
        <f>IF(B959="","",IF(K959&lt;&gt;"",K959,IF(N(IFERROR(INDEX(Projects!$D$6:$D$65,MATCH(D959,Projects!$B$6:$B$65,0)),""))&gt;0,IFERROR(INDEX(Projects!$D$6:$D$65,MATCH(D959,Projects!$B$6:$B$65,0)),""),IFERROR(INDEX(Clients!$G$6:$G$45,MATCH(C959,Clients!$B$6:$B$45,0)),0))))</f>
        <v/>
      </c>
      <c r="O959" s="14">
        <f>IF(B959="","",IF(J959&lt;&gt;"",0,ROUND(M959*N959,2)))</f>
        <v/>
      </c>
      <c r="P959" s="15">
        <f>IF(OR(B959="",J959&lt;&gt;""),"",IF(L959&lt;&gt;"",L959,IF(COUNTIFS(Invoices!$C$6:$C$305,C959,Invoices!$E$6:$E$305,"&lt;="&amp;B959,Invoices!$F$6:$F$305,"&gt;="&amp;B959)=1,INDEX(Invoices!$B$6:$B$305,SUMIFS(Invoices!$O$6:$O$305,Invoices!$C$6:$C$305,C959,Invoices!$E$6:$E$305,"&lt;="&amp;B959,Invoices!$F$6:$F$305,"&gt;="&amp;B959)),IF(COUNTIFS(Invoices!$C$6:$C$305,C959,Invoices!$E$6:$E$305,"&lt;="&amp;B959,Invoices!$F$6:$F$305,"&gt;="&amp;B959)&gt;1,"Two invoices",""))))</f>
        <v/>
      </c>
      <c r="Q959" s="15">
        <f>IF(B959="","",IF(J959&lt;&gt;"","Not billable",IF(P959="","To invoice",IF(P959="Two invoices","Check dates",IF(ISNA(MATCH(P959,Invoices!$B$6:$B$305,0)),"Check number",IF(INDEX(Invoices!$M$6:$M$305,MATCH(P959,Invoices!$B$6:$B$305,0))="Paid","Paid",IF(INDEX(Invoices!$M$6:$M$305,MATCH(P959,Invoices!$B$6:$B$305,0))="Draft","Draft","Invoiced")))))))</f>
        <v/>
      </c>
      <c r="R959" s="1">
        <f>IF(AND(B959&lt;&gt;"",P959&lt;&gt;"",P959=Invoice!$G$4),B959+MOD(N(F959),1)+ROW()/10000000,"")</f>
        <v/>
      </c>
      <c r="S959">
        <f>IF(R959="","",IF(D959="","Other work",D959)&amp;IF(AND(K959&lt;&gt;"",E959&lt;&gt;""),", "&amp;E959,""))</f>
        <v/>
      </c>
      <c r="T959">
        <f>IF(R959="","",IF(COUNTIFS(R$6:R958,"&gt;0",S$6:S958,S959,N$6:N958,N959)=0,R959,""))</f>
        <v/>
      </c>
      <c r="U959">
        <f>IF(B959="","",IF(J959&lt;&gt;"",0,M959))</f>
        <v/>
      </c>
    </row>
    <row r="960">
      <c r="A960" s="1" t="n"/>
      <c r="B960" s="16" t="n"/>
      <c r="C960" s="17" t="n"/>
      <c r="D960" s="18" t="n"/>
      <c r="E960" s="18" t="n"/>
      <c r="F960" s="19" t="n"/>
      <c r="G960" s="19" t="n"/>
      <c r="H960" s="20" t="n"/>
      <c r="I960" s="21" t="n"/>
      <c r="J960" s="22" t="n"/>
      <c r="K960" s="23" t="n"/>
      <c r="L960" s="18" t="n"/>
      <c r="M960" s="24">
        <f>IF(B960="","",IF(AND(F960&lt;&gt;"",G960&lt;&gt;""),MAX(0,ROUND(MOD(G960-F960,1)*24-N(H960)/60,2)),N(I960)))</f>
        <v/>
      </c>
      <c r="N960" s="14">
        <f>IF(B960="","",IF(K960&lt;&gt;"",K960,IF(N(IFERROR(INDEX(Projects!$D$6:$D$65,MATCH(D960,Projects!$B$6:$B$65,0)),""))&gt;0,IFERROR(INDEX(Projects!$D$6:$D$65,MATCH(D960,Projects!$B$6:$B$65,0)),""),IFERROR(INDEX(Clients!$G$6:$G$45,MATCH(C960,Clients!$B$6:$B$45,0)),0))))</f>
        <v/>
      </c>
      <c r="O960" s="14">
        <f>IF(B960="","",IF(J960&lt;&gt;"",0,ROUND(M960*N960,2)))</f>
        <v/>
      </c>
      <c r="P960" s="15">
        <f>IF(OR(B960="",J960&lt;&gt;""),"",IF(L960&lt;&gt;"",L960,IF(COUNTIFS(Invoices!$C$6:$C$305,C960,Invoices!$E$6:$E$305,"&lt;="&amp;B960,Invoices!$F$6:$F$305,"&gt;="&amp;B960)=1,INDEX(Invoices!$B$6:$B$305,SUMIFS(Invoices!$O$6:$O$305,Invoices!$C$6:$C$305,C960,Invoices!$E$6:$E$305,"&lt;="&amp;B960,Invoices!$F$6:$F$305,"&gt;="&amp;B960)),IF(COUNTIFS(Invoices!$C$6:$C$305,C960,Invoices!$E$6:$E$305,"&lt;="&amp;B960,Invoices!$F$6:$F$305,"&gt;="&amp;B960)&gt;1,"Two invoices",""))))</f>
        <v/>
      </c>
      <c r="Q960" s="15">
        <f>IF(B960="","",IF(J960&lt;&gt;"","Not billable",IF(P960="","To invoice",IF(P960="Two invoices","Check dates",IF(ISNA(MATCH(P960,Invoices!$B$6:$B$305,0)),"Check number",IF(INDEX(Invoices!$M$6:$M$305,MATCH(P960,Invoices!$B$6:$B$305,0))="Paid","Paid",IF(INDEX(Invoices!$M$6:$M$305,MATCH(P960,Invoices!$B$6:$B$305,0))="Draft","Draft","Invoiced")))))))</f>
        <v/>
      </c>
      <c r="R960" s="1">
        <f>IF(AND(B960&lt;&gt;"",P960&lt;&gt;"",P960=Invoice!$G$4),B960+MOD(N(F960),1)+ROW()/10000000,"")</f>
        <v/>
      </c>
      <c r="S960">
        <f>IF(R960="","",IF(D960="","Other work",D960)&amp;IF(AND(K960&lt;&gt;"",E960&lt;&gt;""),", "&amp;E960,""))</f>
        <v/>
      </c>
      <c r="T960">
        <f>IF(R960="","",IF(COUNTIFS(R$6:R959,"&gt;0",S$6:S959,S960,N$6:N959,N960)=0,R960,""))</f>
        <v/>
      </c>
      <c r="U960">
        <f>IF(B960="","",IF(J960&lt;&gt;"",0,M960))</f>
        <v/>
      </c>
    </row>
    <row r="961">
      <c r="A961" s="1" t="n"/>
      <c r="B961" s="16" t="n"/>
      <c r="C961" s="17" t="n"/>
      <c r="D961" s="18" t="n"/>
      <c r="E961" s="18" t="n"/>
      <c r="F961" s="19" t="n"/>
      <c r="G961" s="19" t="n"/>
      <c r="H961" s="20" t="n"/>
      <c r="I961" s="21" t="n"/>
      <c r="J961" s="22" t="n"/>
      <c r="K961" s="23" t="n"/>
      <c r="L961" s="18" t="n"/>
      <c r="M961" s="24">
        <f>IF(B961="","",IF(AND(F961&lt;&gt;"",G961&lt;&gt;""),MAX(0,ROUND(MOD(G961-F961,1)*24-N(H961)/60,2)),N(I961)))</f>
        <v/>
      </c>
      <c r="N961" s="14">
        <f>IF(B961="","",IF(K961&lt;&gt;"",K961,IF(N(IFERROR(INDEX(Projects!$D$6:$D$65,MATCH(D961,Projects!$B$6:$B$65,0)),""))&gt;0,IFERROR(INDEX(Projects!$D$6:$D$65,MATCH(D961,Projects!$B$6:$B$65,0)),""),IFERROR(INDEX(Clients!$G$6:$G$45,MATCH(C961,Clients!$B$6:$B$45,0)),0))))</f>
        <v/>
      </c>
      <c r="O961" s="14">
        <f>IF(B961="","",IF(J961&lt;&gt;"",0,ROUND(M961*N961,2)))</f>
        <v/>
      </c>
      <c r="P961" s="15">
        <f>IF(OR(B961="",J961&lt;&gt;""),"",IF(L961&lt;&gt;"",L961,IF(COUNTIFS(Invoices!$C$6:$C$305,C961,Invoices!$E$6:$E$305,"&lt;="&amp;B961,Invoices!$F$6:$F$305,"&gt;="&amp;B961)=1,INDEX(Invoices!$B$6:$B$305,SUMIFS(Invoices!$O$6:$O$305,Invoices!$C$6:$C$305,C961,Invoices!$E$6:$E$305,"&lt;="&amp;B961,Invoices!$F$6:$F$305,"&gt;="&amp;B961)),IF(COUNTIFS(Invoices!$C$6:$C$305,C961,Invoices!$E$6:$E$305,"&lt;="&amp;B961,Invoices!$F$6:$F$305,"&gt;="&amp;B961)&gt;1,"Two invoices",""))))</f>
        <v/>
      </c>
      <c r="Q961" s="15">
        <f>IF(B961="","",IF(J961&lt;&gt;"","Not billable",IF(P961="","To invoice",IF(P961="Two invoices","Check dates",IF(ISNA(MATCH(P961,Invoices!$B$6:$B$305,0)),"Check number",IF(INDEX(Invoices!$M$6:$M$305,MATCH(P961,Invoices!$B$6:$B$305,0))="Paid","Paid",IF(INDEX(Invoices!$M$6:$M$305,MATCH(P961,Invoices!$B$6:$B$305,0))="Draft","Draft","Invoiced")))))))</f>
        <v/>
      </c>
      <c r="R961" s="1">
        <f>IF(AND(B961&lt;&gt;"",P961&lt;&gt;"",P961=Invoice!$G$4),B961+MOD(N(F961),1)+ROW()/10000000,"")</f>
        <v/>
      </c>
      <c r="S961">
        <f>IF(R961="","",IF(D961="","Other work",D961)&amp;IF(AND(K961&lt;&gt;"",E961&lt;&gt;""),", "&amp;E961,""))</f>
        <v/>
      </c>
      <c r="T961">
        <f>IF(R961="","",IF(COUNTIFS(R$6:R960,"&gt;0",S$6:S960,S961,N$6:N960,N961)=0,R961,""))</f>
        <v/>
      </c>
      <c r="U961">
        <f>IF(B961="","",IF(J961&lt;&gt;"",0,M961))</f>
        <v/>
      </c>
    </row>
    <row r="962">
      <c r="A962" s="1" t="n"/>
      <c r="B962" s="16" t="n"/>
      <c r="C962" s="17" t="n"/>
      <c r="D962" s="18" t="n"/>
      <c r="E962" s="18" t="n"/>
      <c r="F962" s="19" t="n"/>
      <c r="G962" s="19" t="n"/>
      <c r="H962" s="20" t="n"/>
      <c r="I962" s="21" t="n"/>
      <c r="J962" s="22" t="n"/>
      <c r="K962" s="23" t="n"/>
      <c r="L962" s="18" t="n"/>
      <c r="M962" s="24">
        <f>IF(B962="","",IF(AND(F962&lt;&gt;"",G962&lt;&gt;""),MAX(0,ROUND(MOD(G962-F962,1)*24-N(H962)/60,2)),N(I962)))</f>
        <v/>
      </c>
      <c r="N962" s="14">
        <f>IF(B962="","",IF(K962&lt;&gt;"",K962,IF(N(IFERROR(INDEX(Projects!$D$6:$D$65,MATCH(D962,Projects!$B$6:$B$65,0)),""))&gt;0,IFERROR(INDEX(Projects!$D$6:$D$65,MATCH(D962,Projects!$B$6:$B$65,0)),""),IFERROR(INDEX(Clients!$G$6:$G$45,MATCH(C962,Clients!$B$6:$B$45,0)),0))))</f>
        <v/>
      </c>
      <c r="O962" s="14">
        <f>IF(B962="","",IF(J962&lt;&gt;"",0,ROUND(M962*N962,2)))</f>
        <v/>
      </c>
      <c r="P962" s="15">
        <f>IF(OR(B962="",J962&lt;&gt;""),"",IF(L962&lt;&gt;"",L962,IF(COUNTIFS(Invoices!$C$6:$C$305,C962,Invoices!$E$6:$E$305,"&lt;="&amp;B962,Invoices!$F$6:$F$305,"&gt;="&amp;B962)=1,INDEX(Invoices!$B$6:$B$305,SUMIFS(Invoices!$O$6:$O$305,Invoices!$C$6:$C$305,C962,Invoices!$E$6:$E$305,"&lt;="&amp;B962,Invoices!$F$6:$F$305,"&gt;="&amp;B962)),IF(COUNTIFS(Invoices!$C$6:$C$305,C962,Invoices!$E$6:$E$305,"&lt;="&amp;B962,Invoices!$F$6:$F$305,"&gt;="&amp;B962)&gt;1,"Two invoices",""))))</f>
        <v/>
      </c>
      <c r="Q962" s="15">
        <f>IF(B962="","",IF(J962&lt;&gt;"","Not billable",IF(P962="","To invoice",IF(P962="Two invoices","Check dates",IF(ISNA(MATCH(P962,Invoices!$B$6:$B$305,0)),"Check number",IF(INDEX(Invoices!$M$6:$M$305,MATCH(P962,Invoices!$B$6:$B$305,0))="Paid","Paid",IF(INDEX(Invoices!$M$6:$M$305,MATCH(P962,Invoices!$B$6:$B$305,0))="Draft","Draft","Invoiced")))))))</f>
        <v/>
      </c>
      <c r="R962" s="1">
        <f>IF(AND(B962&lt;&gt;"",P962&lt;&gt;"",P962=Invoice!$G$4),B962+MOD(N(F962),1)+ROW()/10000000,"")</f>
        <v/>
      </c>
      <c r="S962">
        <f>IF(R962="","",IF(D962="","Other work",D962)&amp;IF(AND(K962&lt;&gt;"",E962&lt;&gt;""),", "&amp;E962,""))</f>
        <v/>
      </c>
      <c r="T962">
        <f>IF(R962="","",IF(COUNTIFS(R$6:R961,"&gt;0",S$6:S961,S962,N$6:N961,N962)=0,R962,""))</f>
        <v/>
      </c>
      <c r="U962">
        <f>IF(B962="","",IF(J962&lt;&gt;"",0,M962))</f>
        <v/>
      </c>
    </row>
    <row r="963">
      <c r="A963" s="1" t="n"/>
      <c r="B963" s="16" t="n"/>
      <c r="C963" s="17" t="n"/>
      <c r="D963" s="18" t="n"/>
      <c r="E963" s="18" t="n"/>
      <c r="F963" s="19" t="n"/>
      <c r="G963" s="19" t="n"/>
      <c r="H963" s="20" t="n"/>
      <c r="I963" s="21" t="n"/>
      <c r="J963" s="22" t="n"/>
      <c r="K963" s="23" t="n"/>
      <c r="L963" s="18" t="n"/>
      <c r="M963" s="24">
        <f>IF(B963="","",IF(AND(F963&lt;&gt;"",G963&lt;&gt;""),MAX(0,ROUND(MOD(G963-F963,1)*24-N(H963)/60,2)),N(I963)))</f>
        <v/>
      </c>
      <c r="N963" s="14">
        <f>IF(B963="","",IF(K963&lt;&gt;"",K963,IF(N(IFERROR(INDEX(Projects!$D$6:$D$65,MATCH(D963,Projects!$B$6:$B$65,0)),""))&gt;0,IFERROR(INDEX(Projects!$D$6:$D$65,MATCH(D963,Projects!$B$6:$B$65,0)),""),IFERROR(INDEX(Clients!$G$6:$G$45,MATCH(C963,Clients!$B$6:$B$45,0)),0))))</f>
        <v/>
      </c>
      <c r="O963" s="14">
        <f>IF(B963="","",IF(J963&lt;&gt;"",0,ROUND(M963*N963,2)))</f>
        <v/>
      </c>
      <c r="P963" s="15">
        <f>IF(OR(B963="",J963&lt;&gt;""),"",IF(L963&lt;&gt;"",L963,IF(COUNTIFS(Invoices!$C$6:$C$305,C963,Invoices!$E$6:$E$305,"&lt;="&amp;B963,Invoices!$F$6:$F$305,"&gt;="&amp;B963)=1,INDEX(Invoices!$B$6:$B$305,SUMIFS(Invoices!$O$6:$O$305,Invoices!$C$6:$C$305,C963,Invoices!$E$6:$E$305,"&lt;="&amp;B963,Invoices!$F$6:$F$305,"&gt;="&amp;B963)),IF(COUNTIFS(Invoices!$C$6:$C$305,C963,Invoices!$E$6:$E$305,"&lt;="&amp;B963,Invoices!$F$6:$F$305,"&gt;="&amp;B963)&gt;1,"Two invoices",""))))</f>
        <v/>
      </c>
      <c r="Q963" s="15">
        <f>IF(B963="","",IF(J963&lt;&gt;"","Not billable",IF(P963="","To invoice",IF(P963="Two invoices","Check dates",IF(ISNA(MATCH(P963,Invoices!$B$6:$B$305,0)),"Check number",IF(INDEX(Invoices!$M$6:$M$305,MATCH(P963,Invoices!$B$6:$B$305,0))="Paid","Paid",IF(INDEX(Invoices!$M$6:$M$305,MATCH(P963,Invoices!$B$6:$B$305,0))="Draft","Draft","Invoiced")))))))</f>
        <v/>
      </c>
      <c r="R963" s="1">
        <f>IF(AND(B963&lt;&gt;"",P963&lt;&gt;"",P963=Invoice!$G$4),B963+MOD(N(F963),1)+ROW()/10000000,"")</f>
        <v/>
      </c>
      <c r="S963">
        <f>IF(R963="","",IF(D963="","Other work",D963)&amp;IF(AND(K963&lt;&gt;"",E963&lt;&gt;""),", "&amp;E963,""))</f>
        <v/>
      </c>
      <c r="T963">
        <f>IF(R963="","",IF(COUNTIFS(R$6:R962,"&gt;0",S$6:S962,S963,N$6:N962,N963)=0,R963,""))</f>
        <v/>
      </c>
      <c r="U963">
        <f>IF(B963="","",IF(J963&lt;&gt;"",0,M963))</f>
        <v/>
      </c>
    </row>
    <row r="964">
      <c r="A964" s="1" t="n"/>
      <c r="B964" s="16" t="n"/>
      <c r="C964" s="17" t="n"/>
      <c r="D964" s="18" t="n"/>
      <c r="E964" s="18" t="n"/>
      <c r="F964" s="19" t="n"/>
      <c r="G964" s="19" t="n"/>
      <c r="H964" s="20" t="n"/>
      <c r="I964" s="21" t="n"/>
      <c r="J964" s="22" t="n"/>
      <c r="K964" s="23" t="n"/>
      <c r="L964" s="18" t="n"/>
      <c r="M964" s="24">
        <f>IF(B964="","",IF(AND(F964&lt;&gt;"",G964&lt;&gt;""),MAX(0,ROUND(MOD(G964-F964,1)*24-N(H964)/60,2)),N(I964)))</f>
        <v/>
      </c>
      <c r="N964" s="14">
        <f>IF(B964="","",IF(K964&lt;&gt;"",K964,IF(N(IFERROR(INDEX(Projects!$D$6:$D$65,MATCH(D964,Projects!$B$6:$B$65,0)),""))&gt;0,IFERROR(INDEX(Projects!$D$6:$D$65,MATCH(D964,Projects!$B$6:$B$65,0)),""),IFERROR(INDEX(Clients!$G$6:$G$45,MATCH(C964,Clients!$B$6:$B$45,0)),0))))</f>
        <v/>
      </c>
      <c r="O964" s="14">
        <f>IF(B964="","",IF(J964&lt;&gt;"",0,ROUND(M964*N964,2)))</f>
        <v/>
      </c>
      <c r="P964" s="15">
        <f>IF(OR(B964="",J964&lt;&gt;""),"",IF(L964&lt;&gt;"",L964,IF(COUNTIFS(Invoices!$C$6:$C$305,C964,Invoices!$E$6:$E$305,"&lt;="&amp;B964,Invoices!$F$6:$F$305,"&gt;="&amp;B964)=1,INDEX(Invoices!$B$6:$B$305,SUMIFS(Invoices!$O$6:$O$305,Invoices!$C$6:$C$305,C964,Invoices!$E$6:$E$305,"&lt;="&amp;B964,Invoices!$F$6:$F$305,"&gt;="&amp;B964)),IF(COUNTIFS(Invoices!$C$6:$C$305,C964,Invoices!$E$6:$E$305,"&lt;="&amp;B964,Invoices!$F$6:$F$305,"&gt;="&amp;B964)&gt;1,"Two invoices",""))))</f>
        <v/>
      </c>
      <c r="Q964" s="15">
        <f>IF(B964="","",IF(J964&lt;&gt;"","Not billable",IF(P964="","To invoice",IF(P964="Two invoices","Check dates",IF(ISNA(MATCH(P964,Invoices!$B$6:$B$305,0)),"Check number",IF(INDEX(Invoices!$M$6:$M$305,MATCH(P964,Invoices!$B$6:$B$305,0))="Paid","Paid",IF(INDEX(Invoices!$M$6:$M$305,MATCH(P964,Invoices!$B$6:$B$305,0))="Draft","Draft","Invoiced")))))))</f>
        <v/>
      </c>
      <c r="R964" s="1">
        <f>IF(AND(B964&lt;&gt;"",P964&lt;&gt;"",P964=Invoice!$G$4),B964+MOD(N(F964),1)+ROW()/10000000,"")</f>
        <v/>
      </c>
      <c r="S964">
        <f>IF(R964="","",IF(D964="","Other work",D964)&amp;IF(AND(K964&lt;&gt;"",E964&lt;&gt;""),", "&amp;E964,""))</f>
        <v/>
      </c>
      <c r="T964">
        <f>IF(R964="","",IF(COUNTIFS(R$6:R963,"&gt;0",S$6:S963,S964,N$6:N963,N964)=0,R964,""))</f>
        <v/>
      </c>
      <c r="U964">
        <f>IF(B964="","",IF(J964&lt;&gt;"",0,M964))</f>
        <v/>
      </c>
    </row>
    <row r="965">
      <c r="A965" s="1" t="n"/>
      <c r="B965" s="16" t="n"/>
      <c r="C965" s="17" t="n"/>
      <c r="D965" s="18" t="n"/>
      <c r="E965" s="18" t="n"/>
      <c r="F965" s="19" t="n"/>
      <c r="G965" s="19" t="n"/>
      <c r="H965" s="20" t="n"/>
      <c r="I965" s="21" t="n"/>
      <c r="J965" s="22" t="n"/>
      <c r="K965" s="23" t="n"/>
      <c r="L965" s="18" t="n"/>
      <c r="M965" s="24">
        <f>IF(B965="","",IF(AND(F965&lt;&gt;"",G965&lt;&gt;""),MAX(0,ROUND(MOD(G965-F965,1)*24-N(H965)/60,2)),N(I965)))</f>
        <v/>
      </c>
      <c r="N965" s="14">
        <f>IF(B965="","",IF(K965&lt;&gt;"",K965,IF(N(IFERROR(INDEX(Projects!$D$6:$D$65,MATCH(D965,Projects!$B$6:$B$65,0)),""))&gt;0,IFERROR(INDEX(Projects!$D$6:$D$65,MATCH(D965,Projects!$B$6:$B$65,0)),""),IFERROR(INDEX(Clients!$G$6:$G$45,MATCH(C965,Clients!$B$6:$B$45,0)),0))))</f>
        <v/>
      </c>
      <c r="O965" s="14">
        <f>IF(B965="","",IF(J965&lt;&gt;"",0,ROUND(M965*N965,2)))</f>
        <v/>
      </c>
      <c r="P965" s="15">
        <f>IF(OR(B965="",J965&lt;&gt;""),"",IF(L965&lt;&gt;"",L965,IF(COUNTIFS(Invoices!$C$6:$C$305,C965,Invoices!$E$6:$E$305,"&lt;="&amp;B965,Invoices!$F$6:$F$305,"&gt;="&amp;B965)=1,INDEX(Invoices!$B$6:$B$305,SUMIFS(Invoices!$O$6:$O$305,Invoices!$C$6:$C$305,C965,Invoices!$E$6:$E$305,"&lt;="&amp;B965,Invoices!$F$6:$F$305,"&gt;="&amp;B965)),IF(COUNTIFS(Invoices!$C$6:$C$305,C965,Invoices!$E$6:$E$305,"&lt;="&amp;B965,Invoices!$F$6:$F$305,"&gt;="&amp;B965)&gt;1,"Two invoices",""))))</f>
        <v/>
      </c>
      <c r="Q965" s="15">
        <f>IF(B965="","",IF(J965&lt;&gt;"","Not billable",IF(P965="","To invoice",IF(P965="Two invoices","Check dates",IF(ISNA(MATCH(P965,Invoices!$B$6:$B$305,0)),"Check number",IF(INDEX(Invoices!$M$6:$M$305,MATCH(P965,Invoices!$B$6:$B$305,0))="Paid","Paid",IF(INDEX(Invoices!$M$6:$M$305,MATCH(P965,Invoices!$B$6:$B$305,0))="Draft","Draft","Invoiced")))))))</f>
        <v/>
      </c>
      <c r="R965" s="1">
        <f>IF(AND(B965&lt;&gt;"",P965&lt;&gt;"",P965=Invoice!$G$4),B965+MOD(N(F965),1)+ROW()/10000000,"")</f>
        <v/>
      </c>
      <c r="S965">
        <f>IF(R965="","",IF(D965="","Other work",D965)&amp;IF(AND(K965&lt;&gt;"",E965&lt;&gt;""),", "&amp;E965,""))</f>
        <v/>
      </c>
      <c r="T965">
        <f>IF(R965="","",IF(COUNTIFS(R$6:R964,"&gt;0",S$6:S964,S965,N$6:N964,N965)=0,R965,""))</f>
        <v/>
      </c>
      <c r="U965">
        <f>IF(B965="","",IF(J965&lt;&gt;"",0,M965))</f>
        <v/>
      </c>
    </row>
    <row r="966">
      <c r="A966" s="1" t="n"/>
      <c r="B966" s="16" t="n"/>
      <c r="C966" s="17" t="n"/>
      <c r="D966" s="18" t="n"/>
      <c r="E966" s="18" t="n"/>
      <c r="F966" s="19" t="n"/>
      <c r="G966" s="19" t="n"/>
      <c r="H966" s="20" t="n"/>
      <c r="I966" s="21" t="n"/>
      <c r="J966" s="22" t="n"/>
      <c r="K966" s="23" t="n"/>
      <c r="L966" s="18" t="n"/>
      <c r="M966" s="24">
        <f>IF(B966="","",IF(AND(F966&lt;&gt;"",G966&lt;&gt;""),MAX(0,ROUND(MOD(G966-F966,1)*24-N(H966)/60,2)),N(I966)))</f>
        <v/>
      </c>
      <c r="N966" s="14">
        <f>IF(B966="","",IF(K966&lt;&gt;"",K966,IF(N(IFERROR(INDEX(Projects!$D$6:$D$65,MATCH(D966,Projects!$B$6:$B$65,0)),""))&gt;0,IFERROR(INDEX(Projects!$D$6:$D$65,MATCH(D966,Projects!$B$6:$B$65,0)),""),IFERROR(INDEX(Clients!$G$6:$G$45,MATCH(C966,Clients!$B$6:$B$45,0)),0))))</f>
        <v/>
      </c>
      <c r="O966" s="14">
        <f>IF(B966="","",IF(J966&lt;&gt;"",0,ROUND(M966*N966,2)))</f>
        <v/>
      </c>
      <c r="P966" s="15">
        <f>IF(OR(B966="",J966&lt;&gt;""),"",IF(L966&lt;&gt;"",L966,IF(COUNTIFS(Invoices!$C$6:$C$305,C966,Invoices!$E$6:$E$305,"&lt;="&amp;B966,Invoices!$F$6:$F$305,"&gt;="&amp;B966)=1,INDEX(Invoices!$B$6:$B$305,SUMIFS(Invoices!$O$6:$O$305,Invoices!$C$6:$C$305,C966,Invoices!$E$6:$E$305,"&lt;="&amp;B966,Invoices!$F$6:$F$305,"&gt;="&amp;B966)),IF(COUNTIFS(Invoices!$C$6:$C$305,C966,Invoices!$E$6:$E$305,"&lt;="&amp;B966,Invoices!$F$6:$F$305,"&gt;="&amp;B966)&gt;1,"Two invoices",""))))</f>
        <v/>
      </c>
      <c r="Q966" s="15">
        <f>IF(B966="","",IF(J966&lt;&gt;"","Not billable",IF(P966="","To invoice",IF(P966="Two invoices","Check dates",IF(ISNA(MATCH(P966,Invoices!$B$6:$B$305,0)),"Check number",IF(INDEX(Invoices!$M$6:$M$305,MATCH(P966,Invoices!$B$6:$B$305,0))="Paid","Paid",IF(INDEX(Invoices!$M$6:$M$305,MATCH(P966,Invoices!$B$6:$B$305,0))="Draft","Draft","Invoiced")))))))</f>
        <v/>
      </c>
      <c r="R966" s="1">
        <f>IF(AND(B966&lt;&gt;"",P966&lt;&gt;"",P966=Invoice!$G$4),B966+MOD(N(F966),1)+ROW()/10000000,"")</f>
        <v/>
      </c>
      <c r="S966">
        <f>IF(R966="","",IF(D966="","Other work",D966)&amp;IF(AND(K966&lt;&gt;"",E966&lt;&gt;""),", "&amp;E966,""))</f>
        <v/>
      </c>
      <c r="T966">
        <f>IF(R966="","",IF(COUNTIFS(R$6:R965,"&gt;0",S$6:S965,S966,N$6:N965,N966)=0,R966,""))</f>
        <v/>
      </c>
      <c r="U966">
        <f>IF(B966="","",IF(J966&lt;&gt;"",0,M966))</f>
        <v/>
      </c>
    </row>
    <row r="967">
      <c r="A967" s="1" t="n"/>
      <c r="B967" s="16" t="n"/>
      <c r="C967" s="17" t="n"/>
      <c r="D967" s="18" t="n"/>
      <c r="E967" s="18" t="n"/>
      <c r="F967" s="19" t="n"/>
      <c r="G967" s="19" t="n"/>
      <c r="H967" s="20" t="n"/>
      <c r="I967" s="21" t="n"/>
      <c r="J967" s="22" t="n"/>
      <c r="K967" s="23" t="n"/>
      <c r="L967" s="18" t="n"/>
      <c r="M967" s="24">
        <f>IF(B967="","",IF(AND(F967&lt;&gt;"",G967&lt;&gt;""),MAX(0,ROUND(MOD(G967-F967,1)*24-N(H967)/60,2)),N(I967)))</f>
        <v/>
      </c>
      <c r="N967" s="14">
        <f>IF(B967="","",IF(K967&lt;&gt;"",K967,IF(N(IFERROR(INDEX(Projects!$D$6:$D$65,MATCH(D967,Projects!$B$6:$B$65,0)),""))&gt;0,IFERROR(INDEX(Projects!$D$6:$D$65,MATCH(D967,Projects!$B$6:$B$65,0)),""),IFERROR(INDEX(Clients!$G$6:$G$45,MATCH(C967,Clients!$B$6:$B$45,0)),0))))</f>
        <v/>
      </c>
      <c r="O967" s="14">
        <f>IF(B967="","",IF(J967&lt;&gt;"",0,ROUND(M967*N967,2)))</f>
        <v/>
      </c>
      <c r="P967" s="15">
        <f>IF(OR(B967="",J967&lt;&gt;""),"",IF(L967&lt;&gt;"",L967,IF(COUNTIFS(Invoices!$C$6:$C$305,C967,Invoices!$E$6:$E$305,"&lt;="&amp;B967,Invoices!$F$6:$F$305,"&gt;="&amp;B967)=1,INDEX(Invoices!$B$6:$B$305,SUMIFS(Invoices!$O$6:$O$305,Invoices!$C$6:$C$305,C967,Invoices!$E$6:$E$305,"&lt;="&amp;B967,Invoices!$F$6:$F$305,"&gt;="&amp;B967)),IF(COUNTIFS(Invoices!$C$6:$C$305,C967,Invoices!$E$6:$E$305,"&lt;="&amp;B967,Invoices!$F$6:$F$305,"&gt;="&amp;B967)&gt;1,"Two invoices",""))))</f>
        <v/>
      </c>
      <c r="Q967" s="15">
        <f>IF(B967="","",IF(J967&lt;&gt;"","Not billable",IF(P967="","To invoice",IF(P967="Two invoices","Check dates",IF(ISNA(MATCH(P967,Invoices!$B$6:$B$305,0)),"Check number",IF(INDEX(Invoices!$M$6:$M$305,MATCH(P967,Invoices!$B$6:$B$305,0))="Paid","Paid",IF(INDEX(Invoices!$M$6:$M$305,MATCH(P967,Invoices!$B$6:$B$305,0))="Draft","Draft","Invoiced")))))))</f>
        <v/>
      </c>
      <c r="R967" s="1">
        <f>IF(AND(B967&lt;&gt;"",P967&lt;&gt;"",P967=Invoice!$G$4),B967+MOD(N(F967),1)+ROW()/10000000,"")</f>
        <v/>
      </c>
      <c r="S967">
        <f>IF(R967="","",IF(D967="","Other work",D967)&amp;IF(AND(K967&lt;&gt;"",E967&lt;&gt;""),", "&amp;E967,""))</f>
        <v/>
      </c>
      <c r="T967">
        <f>IF(R967="","",IF(COUNTIFS(R$6:R966,"&gt;0",S$6:S966,S967,N$6:N966,N967)=0,R967,""))</f>
        <v/>
      </c>
      <c r="U967">
        <f>IF(B967="","",IF(J967&lt;&gt;"",0,M967))</f>
        <v/>
      </c>
    </row>
    <row r="968">
      <c r="A968" s="1" t="n"/>
      <c r="B968" s="16" t="n"/>
      <c r="C968" s="17" t="n"/>
      <c r="D968" s="18" t="n"/>
      <c r="E968" s="18" t="n"/>
      <c r="F968" s="19" t="n"/>
      <c r="G968" s="19" t="n"/>
      <c r="H968" s="20" t="n"/>
      <c r="I968" s="21" t="n"/>
      <c r="J968" s="22" t="n"/>
      <c r="K968" s="23" t="n"/>
      <c r="L968" s="18" t="n"/>
      <c r="M968" s="24">
        <f>IF(B968="","",IF(AND(F968&lt;&gt;"",G968&lt;&gt;""),MAX(0,ROUND(MOD(G968-F968,1)*24-N(H968)/60,2)),N(I968)))</f>
        <v/>
      </c>
      <c r="N968" s="14">
        <f>IF(B968="","",IF(K968&lt;&gt;"",K968,IF(N(IFERROR(INDEX(Projects!$D$6:$D$65,MATCH(D968,Projects!$B$6:$B$65,0)),""))&gt;0,IFERROR(INDEX(Projects!$D$6:$D$65,MATCH(D968,Projects!$B$6:$B$65,0)),""),IFERROR(INDEX(Clients!$G$6:$G$45,MATCH(C968,Clients!$B$6:$B$45,0)),0))))</f>
        <v/>
      </c>
      <c r="O968" s="14">
        <f>IF(B968="","",IF(J968&lt;&gt;"",0,ROUND(M968*N968,2)))</f>
        <v/>
      </c>
      <c r="P968" s="15">
        <f>IF(OR(B968="",J968&lt;&gt;""),"",IF(L968&lt;&gt;"",L968,IF(COUNTIFS(Invoices!$C$6:$C$305,C968,Invoices!$E$6:$E$305,"&lt;="&amp;B968,Invoices!$F$6:$F$305,"&gt;="&amp;B968)=1,INDEX(Invoices!$B$6:$B$305,SUMIFS(Invoices!$O$6:$O$305,Invoices!$C$6:$C$305,C968,Invoices!$E$6:$E$305,"&lt;="&amp;B968,Invoices!$F$6:$F$305,"&gt;="&amp;B968)),IF(COUNTIFS(Invoices!$C$6:$C$305,C968,Invoices!$E$6:$E$305,"&lt;="&amp;B968,Invoices!$F$6:$F$305,"&gt;="&amp;B968)&gt;1,"Two invoices",""))))</f>
        <v/>
      </c>
      <c r="Q968" s="15">
        <f>IF(B968="","",IF(J968&lt;&gt;"","Not billable",IF(P968="","To invoice",IF(P968="Two invoices","Check dates",IF(ISNA(MATCH(P968,Invoices!$B$6:$B$305,0)),"Check number",IF(INDEX(Invoices!$M$6:$M$305,MATCH(P968,Invoices!$B$6:$B$305,0))="Paid","Paid",IF(INDEX(Invoices!$M$6:$M$305,MATCH(P968,Invoices!$B$6:$B$305,0))="Draft","Draft","Invoiced")))))))</f>
        <v/>
      </c>
      <c r="R968" s="1">
        <f>IF(AND(B968&lt;&gt;"",P968&lt;&gt;"",P968=Invoice!$G$4),B968+MOD(N(F968),1)+ROW()/10000000,"")</f>
        <v/>
      </c>
      <c r="S968">
        <f>IF(R968="","",IF(D968="","Other work",D968)&amp;IF(AND(K968&lt;&gt;"",E968&lt;&gt;""),", "&amp;E968,""))</f>
        <v/>
      </c>
      <c r="T968">
        <f>IF(R968="","",IF(COUNTIFS(R$6:R967,"&gt;0",S$6:S967,S968,N$6:N967,N968)=0,R968,""))</f>
        <v/>
      </c>
      <c r="U968">
        <f>IF(B968="","",IF(J968&lt;&gt;"",0,M968))</f>
        <v/>
      </c>
    </row>
    <row r="969">
      <c r="A969" s="1" t="n"/>
      <c r="B969" s="16" t="n"/>
      <c r="C969" s="17" t="n"/>
      <c r="D969" s="18" t="n"/>
      <c r="E969" s="18" t="n"/>
      <c r="F969" s="19" t="n"/>
      <c r="G969" s="19" t="n"/>
      <c r="H969" s="20" t="n"/>
      <c r="I969" s="21" t="n"/>
      <c r="J969" s="22" t="n"/>
      <c r="K969" s="23" t="n"/>
      <c r="L969" s="18" t="n"/>
      <c r="M969" s="24">
        <f>IF(B969="","",IF(AND(F969&lt;&gt;"",G969&lt;&gt;""),MAX(0,ROUND(MOD(G969-F969,1)*24-N(H969)/60,2)),N(I969)))</f>
        <v/>
      </c>
      <c r="N969" s="14">
        <f>IF(B969="","",IF(K969&lt;&gt;"",K969,IF(N(IFERROR(INDEX(Projects!$D$6:$D$65,MATCH(D969,Projects!$B$6:$B$65,0)),""))&gt;0,IFERROR(INDEX(Projects!$D$6:$D$65,MATCH(D969,Projects!$B$6:$B$65,0)),""),IFERROR(INDEX(Clients!$G$6:$G$45,MATCH(C969,Clients!$B$6:$B$45,0)),0))))</f>
        <v/>
      </c>
      <c r="O969" s="14">
        <f>IF(B969="","",IF(J969&lt;&gt;"",0,ROUND(M969*N969,2)))</f>
        <v/>
      </c>
      <c r="P969" s="15">
        <f>IF(OR(B969="",J969&lt;&gt;""),"",IF(L969&lt;&gt;"",L969,IF(COUNTIFS(Invoices!$C$6:$C$305,C969,Invoices!$E$6:$E$305,"&lt;="&amp;B969,Invoices!$F$6:$F$305,"&gt;="&amp;B969)=1,INDEX(Invoices!$B$6:$B$305,SUMIFS(Invoices!$O$6:$O$305,Invoices!$C$6:$C$305,C969,Invoices!$E$6:$E$305,"&lt;="&amp;B969,Invoices!$F$6:$F$305,"&gt;="&amp;B969)),IF(COUNTIFS(Invoices!$C$6:$C$305,C969,Invoices!$E$6:$E$305,"&lt;="&amp;B969,Invoices!$F$6:$F$305,"&gt;="&amp;B969)&gt;1,"Two invoices",""))))</f>
        <v/>
      </c>
      <c r="Q969" s="15">
        <f>IF(B969="","",IF(J969&lt;&gt;"","Not billable",IF(P969="","To invoice",IF(P969="Two invoices","Check dates",IF(ISNA(MATCH(P969,Invoices!$B$6:$B$305,0)),"Check number",IF(INDEX(Invoices!$M$6:$M$305,MATCH(P969,Invoices!$B$6:$B$305,0))="Paid","Paid",IF(INDEX(Invoices!$M$6:$M$305,MATCH(P969,Invoices!$B$6:$B$305,0))="Draft","Draft","Invoiced")))))))</f>
        <v/>
      </c>
      <c r="R969" s="1">
        <f>IF(AND(B969&lt;&gt;"",P969&lt;&gt;"",P969=Invoice!$G$4),B969+MOD(N(F969),1)+ROW()/10000000,"")</f>
        <v/>
      </c>
      <c r="S969">
        <f>IF(R969="","",IF(D969="","Other work",D969)&amp;IF(AND(K969&lt;&gt;"",E969&lt;&gt;""),", "&amp;E969,""))</f>
        <v/>
      </c>
      <c r="T969">
        <f>IF(R969="","",IF(COUNTIFS(R$6:R968,"&gt;0",S$6:S968,S969,N$6:N968,N969)=0,R969,""))</f>
        <v/>
      </c>
      <c r="U969">
        <f>IF(B969="","",IF(J969&lt;&gt;"",0,M969))</f>
        <v/>
      </c>
    </row>
    <row r="970">
      <c r="A970" s="1" t="n"/>
      <c r="B970" s="16" t="n"/>
      <c r="C970" s="17" t="n"/>
      <c r="D970" s="18" t="n"/>
      <c r="E970" s="18" t="n"/>
      <c r="F970" s="19" t="n"/>
      <c r="G970" s="19" t="n"/>
      <c r="H970" s="20" t="n"/>
      <c r="I970" s="21" t="n"/>
      <c r="J970" s="22" t="n"/>
      <c r="K970" s="23" t="n"/>
      <c r="L970" s="18" t="n"/>
      <c r="M970" s="24">
        <f>IF(B970="","",IF(AND(F970&lt;&gt;"",G970&lt;&gt;""),MAX(0,ROUND(MOD(G970-F970,1)*24-N(H970)/60,2)),N(I970)))</f>
        <v/>
      </c>
      <c r="N970" s="14">
        <f>IF(B970="","",IF(K970&lt;&gt;"",K970,IF(N(IFERROR(INDEX(Projects!$D$6:$D$65,MATCH(D970,Projects!$B$6:$B$65,0)),""))&gt;0,IFERROR(INDEX(Projects!$D$6:$D$65,MATCH(D970,Projects!$B$6:$B$65,0)),""),IFERROR(INDEX(Clients!$G$6:$G$45,MATCH(C970,Clients!$B$6:$B$45,0)),0))))</f>
        <v/>
      </c>
      <c r="O970" s="14">
        <f>IF(B970="","",IF(J970&lt;&gt;"",0,ROUND(M970*N970,2)))</f>
        <v/>
      </c>
      <c r="P970" s="15">
        <f>IF(OR(B970="",J970&lt;&gt;""),"",IF(L970&lt;&gt;"",L970,IF(COUNTIFS(Invoices!$C$6:$C$305,C970,Invoices!$E$6:$E$305,"&lt;="&amp;B970,Invoices!$F$6:$F$305,"&gt;="&amp;B970)=1,INDEX(Invoices!$B$6:$B$305,SUMIFS(Invoices!$O$6:$O$305,Invoices!$C$6:$C$305,C970,Invoices!$E$6:$E$305,"&lt;="&amp;B970,Invoices!$F$6:$F$305,"&gt;="&amp;B970)),IF(COUNTIFS(Invoices!$C$6:$C$305,C970,Invoices!$E$6:$E$305,"&lt;="&amp;B970,Invoices!$F$6:$F$305,"&gt;="&amp;B970)&gt;1,"Two invoices",""))))</f>
        <v/>
      </c>
      <c r="Q970" s="15">
        <f>IF(B970="","",IF(J970&lt;&gt;"","Not billable",IF(P970="","To invoice",IF(P970="Two invoices","Check dates",IF(ISNA(MATCH(P970,Invoices!$B$6:$B$305,0)),"Check number",IF(INDEX(Invoices!$M$6:$M$305,MATCH(P970,Invoices!$B$6:$B$305,0))="Paid","Paid",IF(INDEX(Invoices!$M$6:$M$305,MATCH(P970,Invoices!$B$6:$B$305,0))="Draft","Draft","Invoiced")))))))</f>
        <v/>
      </c>
      <c r="R970" s="1">
        <f>IF(AND(B970&lt;&gt;"",P970&lt;&gt;"",P970=Invoice!$G$4),B970+MOD(N(F970),1)+ROW()/10000000,"")</f>
        <v/>
      </c>
      <c r="S970">
        <f>IF(R970="","",IF(D970="","Other work",D970)&amp;IF(AND(K970&lt;&gt;"",E970&lt;&gt;""),", "&amp;E970,""))</f>
        <v/>
      </c>
      <c r="T970">
        <f>IF(R970="","",IF(COUNTIFS(R$6:R969,"&gt;0",S$6:S969,S970,N$6:N969,N970)=0,R970,""))</f>
        <v/>
      </c>
      <c r="U970">
        <f>IF(B970="","",IF(J970&lt;&gt;"",0,M970))</f>
        <v/>
      </c>
    </row>
    <row r="971">
      <c r="A971" s="1" t="n"/>
      <c r="B971" s="16" t="n"/>
      <c r="C971" s="17" t="n"/>
      <c r="D971" s="18" t="n"/>
      <c r="E971" s="18" t="n"/>
      <c r="F971" s="19" t="n"/>
      <c r="G971" s="19" t="n"/>
      <c r="H971" s="20" t="n"/>
      <c r="I971" s="21" t="n"/>
      <c r="J971" s="22" t="n"/>
      <c r="K971" s="23" t="n"/>
      <c r="L971" s="18" t="n"/>
      <c r="M971" s="24">
        <f>IF(B971="","",IF(AND(F971&lt;&gt;"",G971&lt;&gt;""),MAX(0,ROUND(MOD(G971-F971,1)*24-N(H971)/60,2)),N(I971)))</f>
        <v/>
      </c>
      <c r="N971" s="14">
        <f>IF(B971="","",IF(K971&lt;&gt;"",K971,IF(N(IFERROR(INDEX(Projects!$D$6:$D$65,MATCH(D971,Projects!$B$6:$B$65,0)),""))&gt;0,IFERROR(INDEX(Projects!$D$6:$D$65,MATCH(D971,Projects!$B$6:$B$65,0)),""),IFERROR(INDEX(Clients!$G$6:$G$45,MATCH(C971,Clients!$B$6:$B$45,0)),0))))</f>
        <v/>
      </c>
      <c r="O971" s="14">
        <f>IF(B971="","",IF(J971&lt;&gt;"",0,ROUND(M971*N971,2)))</f>
        <v/>
      </c>
      <c r="P971" s="15">
        <f>IF(OR(B971="",J971&lt;&gt;""),"",IF(L971&lt;&gt;"",L971,IF(COUNTIFS(Invoices!$C$6:$C$305,C971,Invoices!$E$6:$E$305,"&lt;="&amp;B971,Invoices!$F$6:$F$305,"&gt;="&amp;B971)=1,INDEX(Invoices!$B$6:$B$305,SUMIFS(Invoices!$O$6:$O$305,Invoices!$C$6:$C$305,C971,Invoices!$E$6:$E$305,"&lt;="&amp;B971,Invoices!$F$6:$F$305,"&gt;="&amp;B971)),IF(COUNTIFS(Invoices!$C$6:$C$305,C971,Invoices!$E$6:$E$305,"&lt;="&amp;B971,Invoices!$F$6:$F$305,"&gt;="&amp;B971)&gt;1,"Two invoices",""))))</f>
        <v/>
      </c>
      <c r="Q971" s="15">
        <f>IF(B971="","",IF(J971&lt;&gt;"","Not billable",IF(P971="","To invoice",IF(P971="Two invoices","Check dates",IF(ISNA(MATCH(P971,Invoices!$B$6:$B$305,0)),"Check number",IF(INDEX(Invoices!$M$6:$M$305,MATCH(P971,Invoices!$B$6:$B$305,0))="Paid","Paid",IF(INDEX(Invoices!$M$6:$M$305,MATCH(P971,Invoices!$B$6:$B$305,0))="Draft","Draft","Invoiced")))))))</f>
        <v/>
      </c>
      <c r="R971" s="1">
        <f>IF(AND(B971&lt;&gt;"",P971&lt;&gt;"",P971=Invoice!$G$4),B971+MOD(N(F971),1)+ROW()/10000000,"")</f>
        <v/>
      </c>
      <c r="S971">
        <f>IF(R971="","",IF(D971="","Other work",D971)&amp;IF(AND(K971&lt;&gt;"",E971&lt;&gt;""),", "&amp;E971,""))</f>
        <v/>
      </c>
      <c r="T971">
        <f>IF(R971="","",IF(COUNTIFS(R$6:R970,"&gt;0",S$6:S970,S971,N$6:N970,N971)=0,R971,""))</f>
        <v/>
      </c>
      <c r="U971">
        <f>IF(B971="","",IF(J971&lt;&gt;"",0,M971))</f>
        <v/>
      </c>
    </row>
    <row r="972">
      <c r="A972" s="1" t="n"/>
      <c r="B972" s="16" t="n"/>
      <c r="C972" s="17" t="n"/>
      <c r="D972" s="18" t="n"/>
      <c r="E972" s="18" t="n"/>
      <c r="F972" s="19" t="n"/>
      <c r="G972" s="19" t="n"/>
      <c r="H972" s="20" t="n"/>
      <c r="I972" s="21" t="n"/>
      <c r="J972" s="22" t="n"/>
      <c r="K972" s="23" t="n"/>
      <c r="L972" s="18" t="n"/>
      <c r="M972" s="24">
        <f>IF(B972="","",IF(AND(F972&lt;&gt;"",G972&lt;&gt;""),MAX(0,ROUND(MOD(G972-F972,1)*24-N(H972)/60,2)),N(I972)))</f>
        <v/>
      </c>
      <c r="N972" s="14">
        <f>IF(B972="","",IF(K972&lt;&gt;"",K972,IF(N(IFERROR(INDEX(Projects!$D$6:$D$65,MATCH(D972,Projects!$B$6:$B$65,0)),""))&gt;0,IFERROR(INDEX(Projects!$D$6:$D$65,MATCH(D972,Projects!$B$6:$B$65,0)),""),IFERROR(INDEX(Clients!$G$6:$G$45,MATCH(C972,Clients!$B$6:$B$45,0)),0))))</f>
        <v/>
      </c>
      <c r="O972" s="14">
        <f>IF(B972="","",IF(J972&lt;&gt;"",0,ROUND(M972*N972,2)))</f>
        <v/>
      </c>
      <c r="P972" s="15">
        <f>IF(OR(B972="",J972&lt;&gt;""),"",IF(L972&lt;&gt;"",L972,IF(COUNTIFS(Invoices!$C$6:$C$305,C972,Invoices!$E$6:$E$305,"&lt;="&amp;B972,Invoices!$F$6:$F$305,"&gt;="&amp;B972)=1,INDEX(Invoices!$B$6:$B$305,SUMIFS(Invoices!$O$6:$O$305,Invoices!$C$6:$C$305,C972,Invoices!$E$6:$E$305,"&lt;="&amp;B972,Invoices!$F$6:$F$305,"&gt;="&amp;B972)),IF(COUNTIFS(Invoices!$C$6:$C$305,C972,Invoices!$E$6:$E$305,"&lt;="&amp;B972,Invoices!$F$6:$F$305,"&gt;="&amp;B972)&gt;1,"Two invoices",""))))</f>
        <v/>
      </c>
      <c r="Q972" s="15">
        <f>IF(B972="","",IF(J972&lt;&gt;"","Not billable",IF(P972="","To invoice",IF(P972="Two invoices","Check dates",IF(ISNA(MATCH(P972,Invoices!$B$6:$B$305,0)),"Check number",IF(INDEX(Invoices!$M$6:$M$305,MATCH(P972,Invoices!$B$6:$B$305,0))="Paid","Paid",IF(INDEX(Invoices!$M$6:$M$305,MATCH(P972,Invoices!$B$6:$B$305,0))="Draft","Draft","Invoiced")))))))</f>
        <v/>
      </c>
      <c r="R972" s="1">
        <f>IF(AND(B972&lt;&gt;"",P972&lt;&gt;"",P972=Invoice!$G$4),B972+MOD(N(F972),1)+ROW()/10000000,"")</f>
        <v/>
      </c>
      <c r="S972">
        <f>IF(R972="","",IF(D972="","Other work",D972)&amp;IF(AND(K972&lt;&gt;"",E972&lt;&gt;""),", "&amp;E972,""))</f>
        <v/>
      </c>
      <c r="T972">
        <f>IF(R972="","",IF(COUNTIFS(R$6:R971,"&gt;0",S$6:S971,S972,N$6:N971,N972)=0,R972,""))</f>
        <v/>
      </c>
      <c r="U972">
        <f>IF(B972="","",IF(J972&lt;&gt;"",0,M972))</f>
        <v/>
      </c>
    </row>
    <row r="973">
      <c r="A973" s="1" t="n"/>
      <c r="B973" s="16" t="n"/>
      <c r="C973" s="17" t="n"/>
      <c r="D973" s="18" t="n"/>
      <c r="E973" s="18" t="n"/>
      <c r="F973" s="19" t="n"/>
      <c r="G973" s="19" t="n"/>
      <c r="H973" s="20" t="n"/>
      <c r="I973" s="21" t="n"/>
      <c r="J973" s="22" t="n"/>
      <c r="K973" s="23" t="n"/>
      <c r="L973" s="18" t="n"/>
      <c r="M973" s="24">
        <f>IF(B973="","",IF(AND(F973&lt;&gt;"",G973&lt;&gt;""),MAX(0,ROUND(MOD(G973-F973,1)*24-N(H973)/60,2)),N(I973)))</f>
        <v/>
      </c>
      <c r="N973" s="14">
        <f>IF(B973="","",IF(K973&lt;&gt;"",K973,IF(N(IFERROR(INDEX(Projects!$D$6:$D$65,MATCH(D973,Projects!$B$6:$B$65,0)),""))&gt;0,IFERROR(INDEX(Projects!$D$6:$D$65,MATCH(D973,Projects!$B$6:$B$65,0)),""),IFERROR(INDEX(Clients!$G$6:$G$45,MATCH(C973,Clients!$B$6:$B$45,0)),0))))</f>
        <v/>
      </c>
      <c r="O973" s="14">
        <f>IF(B973="","",IF(J973&lt;&gt;"",0,ROUND(M973*N973,2)))</f>
        <v/>
      </c>
      <c r="P973" s="15">
        <f>IF(OR(B973="",J973&lt;&gt;""),"",IF(L973&lt;&gt;"",L973,IF(COUNTIFS(Invoices!$C$6:$C$305,C973,Invoices!$E$6:$E$305,"&lt;="&amp;B973,Invoices!$F$6:$F$305,"&gt;="&amp;B973)=1,INDEX(Invoices!$B$6:$B$305,SUMIFS(Invoices!$O$6:$O$305,Invoices!$C$6:$C$305,C973,Invoices!$E$6:$E$305,"&lt;="&amp;B973,Invoices!$F$6:$F$305,"&gt;="&amp;B973)),IF(COUNTIFS(Invoices!$C$6:$C$305,C973,Invoices!$E$6:$E$305,"&lt;="&amp;B973,Invoices!$F$6:$F$305,"&gt;="&amp;B973)&gt;1,"Two invoices",""))))</f>
        <v/>
      </c>
      <c r="Q973" s="15">
        <f>IF(B973="","",IF(J973&lt;&gt;"","Not billable",IF(P973="","To invoice",IF(P973="Two invoices","Check dates",IF(ISNA(MATCH(P973,Invoices!$B$6:$B$305,0)),"Check number",IF(INDEX(Invoices!$M$6:$M$305,MATCH(P973,Invoices!$B$6:$B$305,0))="Paid","Paid",IF(INDEX(Invoices!$M$6:$M$305,MATCH(P973,Invoices!$B$6:$B$305,0))="Draft","Draft","Invoiced")))))))</f>
        <v/>
      </c>
      <c r="R973" s="1">
        <f>IF(AND(B973&lt;&gt;"",P973&lt;&gt;"",P973=Invoice!$G$4),B973+MOD(N(F973),1)+ROW()/10000000,"")</f>
        <v/>
      </c>
      <c r="S973">
        <f>IF(R973="","",IF(D973="","Other work",D973)&amp;IF(AND(K973&lt;&gt;"",E973&lt;&gt;""),", "&amp;E973,""))</f>
        <v/>
      </c>
      <c r="T973">
        <f>IF(R973="","",IF(COUNTIFS(R$6:R972,"&gt;0",S$6:S972,S973,N$6:N972,N973)=0,R973,""))</f>
        <v/>
      </c>
      <c r="U973">
        <f>IF(B973="","",IF(J973&lt;&gt;"",0,M973))</f>
        <v/>
      </c>
    </row>
    <row r="974">
      <c r="A974" s="1" t="n"/>
      <c r="B974" s="16" t="n"/>
      <c r="C974" s="17" t="n"/>
      <c r="D974" s="18" t="n"/>
      <c r="E974" s="18" t="n"/>
      <c r="F974" s="19" t="n"/>
      <c r="G974" s="19" t="n"/>
      <c r="H974" s="20" t="n"/>
      <c r="I974" s="21" t="n"/>
      <c r="J974" s="22" t="n"/>
      <c r="K974" s="23" t="n"/>
      <c r="L974" s="18" t="n"/>
      <c r="M974" s="24">
        <f>IF(B974="","",IF(AND(F974&lt;&gt;"",G974&lt;&gt;""),MAX(0,ROUND(MOD(G974-F974,1)*24-N(H974)/60,2)),N(I974)))</f>
        <v/>
      </c>
      <c r="N974" s="14">
        <f>IF(B974="","",IF(K974&lt;&gt;"",K974,IF(N(IFERROR(INDEX(Projects!$D$6:$D$65,MATCH(D974,Projects!$B$6:$B$65,0)),""))&gt;0,IFERROR(INDEX(Projects!$D$6:$D$65,MATCH(D974,Projects!$B$6:$B$65,0)),""),IFERROR(INDEX(Clients!$G$6:$G$45,MATCH(C974,Clients!$B$6:$B$45,0)),0))))</f>
        <v/>
      </c>
      <c r="O974" s="14">
        <f>IF(B974="","",IF(J974&lt;&gt;"",0,ROUND(M974*N974,2)))</f>
        <v/>
      </c>
      <c r="P974" s="15">
        <f>IF(OR(B974="",J974&lt;&gt;""),"",IF(L974&lt;&gt;"",L974,IF(COUNTIFS(Invoices!$C$6:$C$305,C974,Invoices!$E$6:$E$305,"&lt;="&amp;B974,Invoices!$F$6:$F$305,"&gt;="&amp;B974)=1,INDEX(Invoices!$B$6:$B$305,SUMIFS(Invoices!$O$6:$O$305,Invoices!$C$6:$C$305,C974,Invoices!$E$6:$E$305,"&lt;="&amp;B974,Invoices!$F$6:$F$305,"&gt;="&amp;B974)),IF(COUNTIFS(Invoices!$C$6:$C$305,C974,Invoices!$E$6:$E$305,"&lt;="&amp;B974,Invoices!$F$6:$F$305,"&gt;="&amp;B974)&gt;1,"Two invoices",""))))</f>
        <v/>
      </c>
      <c r="Q974" s="15">
        <f>IF(B974="","",IF(J974&lt;&gt;"","Not billable",IF(P974="","To invoice",IF(P974="Two invoices","Check dates",IF(ISNA(MATCH(P974,Invoices!$B$6:$B$305,0)),"Check number",IF(INDEX(Invoices!$M$6:$M$305,MATCH(P974,Invoices!$B$6:$B$305,0))="Paid","Paid",IF(INDEX(Invoices!$M$6:$M$305,MATCH(P974,Invoices!$B$6:$B$305,0))="Draft","Draft","Invoiced")))))))</f>
        <v/>
      </c>
      <c r="R974" s="1">
        <f>IF(AND(B974&lt;&gt;"",P974&lt;&gt;"",P974=Invoice!$G$4),B974+MOD(N(F974),1)+ROW()/10000000,"")</f>
        <v/>
      </c>
      <c r="S974">
        <f>IF(R974="","",IF(D974="","Other work",D974)&amp;IF(AND(K974&lt;&gt;"",E974&lt;&gt;""),", "&amp;E974,""))</f>
        <v/>
      </c>
      <c r="T974">
        <f>IF(R974="","",IF(COUNTIFS(R$6:R973,"&gt;0",S$6:S973,S974,N$6:N973,N974)=0,R974,""))</f>
        <v/>
      </c>
      <c r="U974">
        <f>IF(B974="","",IF(J974&lt;&gt;"",0,M974))</f>
        <v/>
      </c>
    </row>
    <row r="975">
      <c r="A975" s="1" t="n"/>
      <c r="B975" s="16" t="n"/>
      <c r="C975" s="17" t="n"/>
      <c r="D975" s="18" t="n"/>
      <c r="E975" s="18" t="n"/>
      <c r="F975" s="19" t="n"/>
      <c r="G975" s="19" t="n"/>
      <c r="H975" s="20" t="n"/>
      <c r="I975" s="21" t="n"/>
      <c r="J975" s="22" t="n"/>
      <c r="K975" s="23" t="n"/>
      <c r="L975" s="18" t="n"/>
      <c r="M975" s="24">
        <f>IF(B975="","",IF(AND(F975&lt;&gt;"",G975&lt;&gt;""),MAX(0,ROUND(MOD(G975-F975,1)*24-N(H975)/60,2)),N(I975)))</f>
        <v/>
      </c>
      <c r="N975" s="14">
        <f>IF(B975="","",IF(K975&lt;&gt;"",K975,IF(N(IFERROR(INDEX(Projects!$D$6:$D$65,MATCH(D975,Projects!$B$6:$B$65,0)),""))&gt;0,IFERROR(INDEX(Projects!$D$6:$D$65,MATCH(D975,Projects!$B$6:$B$65,0)),""),IFERROR(INDEX(Clients!$G$6:$G$45,MATCH(C975,Clients!$B$6:$B$45,0)),0))))</f>
        <v/>
      </c>
      <c r="O975" s="14">
        <f>IF(B975="","",IF(J975&lt;&gt;"",0,ROUND(M975*N975,2)))</f>
        <v/>
      </c>
      <c r="P975" s="15">
        <f>IF(OR(B975="",J975&lt;&gt;""),"",IF(L975&lt;&gt;"",L975,IF(COUNTIFS(Invoices!$C$6:$C$305,C975,Invoices!$E$6:$E$305,"&lt;="&amp;B975,Invoices!$F$6:$F$305,"&gt;="&amp;B975)=1,INDEX(Invoices!$B$6:$B$305,SUMIFS(Invoices!$O$6:$O$305,Invoices!$C$6:$C$305,C975,Invoices!$E$6:$E$305,"&lt;="&amp;B975,Invoices!$F$6:$F$305,"&gt;="&amp;B975)),IF(COUNTIFS(Invoices!$C$6:$C$305,C975,Invoices!$E$6:$E$305,"&lt;="&amp;B975,Invoices!$F$6:$F$305,"&gt;="&amp;B975)&gt;1,"Two invoices",""))))</f>
        <v/>
      </c>
      <c r="Q975" s="15">
        <f>IF(B975="","",IF(J975&lt;&gt;"","Not billable",IF(P975="","To invoice",IF(P975="Two invoices","Check dates",IF(ISNA(MATCH(P975,Invoices!$B$6:$B$305,0)),"Check number",IF(INDEX(Invoices!$M$6:$M$305,MATCH(P975,Invoices!$B$6:$B$305,0))="Paid","Paid",IF(INDEX(Invoices!$M$6:$M$305,MATCH(P975,Invoices!$B$6:$B$305,0))="Draft","Draft","Invoiced")))))))</f>
        <v/>
      </c>
      <c r="R975" s="1">
        <f>IF(AND(B975&lt;&gt;"",P975&lt;&gt;"",P975=Invoice!$G$4),B975+MOD(N(F975),1)+ROW()/10000000,"")</f>
        <v/>
      </c>
      <c r="S975">
        <f>IF(R975="","",IF(D975="","Other work",D975)&amp;IF(AND(K975&lt;&gt;"",E975&lt;&gt;""),", "&amp;E975,""))</f>
        <v/>
      </c>
      <c r="T975">
        <f>IF(R975="","",IF(COUNTIFS(R$6:R974,"&gt;0",S$6:S974,S975,N$6:N974,N975)=0,R975,""))</f>
        <v/>
      </c>
      <c r="U975">
        <f>IF(B975="","",IF(J975&lt;&gt;"",0,M975))</f>
        <v/>
      </c>
    </row>
    <row r="976">
      <c r="A976" s="1" t="n"/>
      <c r="B976" s="16" t="n"/>
      <c r="C976" s="17" t="n"/>
      <c r="D976" s="18" t="n"/>
      <c r="E976" s="18" t="n"/>
      <c r="F976" s="19" t="n"/>
      <c r="G976" s="19" t="n"/>
      <c r="H976" s="20" t="n"/>
      <c r="I976" s="21" t="n"/>
      <c r="J976" s="22" t="n"/>
      <c r="K976" s="23" t="n"/>
      <c r="L976" s="18" t="n"/>
      <c r="M976" s="24">
        <f>IF(B976="","",IF(AND(F976&lt;&gt;"",G976&lt;&gt;""),MAX(0,ROUND(MOD(G976-F976,1)*24-N(H976)/60,2)),N(I976)))</f>
        <v/>
      </c>
      <c r="N976" s="14">
        <f>IF(B976="","",IF(K976&lt;&gt;"",K976,IF(N(IFERROR(INDEX(Projects!$D$6:$D$65,MATCH(D976,Projects!$B$6:$B$65,0)),""))&gt;0,IFERROR(INDEX(Projects!$D$6:$D$65,MATCH(D976,Projects!$B$6:$B$65,0)),""),IFERROR(INDEX(Clients!$G$6:$G$45,MATCH(C976,Clients!$B$6:$B$45,0)),0))))</f>
        <v/>
      </c>
      <c r="O976" s="14">
        <f>IF(B976="","",IF(J976&lt;&gt;"",0,ROUND(M976*N976,2)))</f>
        <v/>
      </c>
      <c r="P976" s="15">
        <f>IF(OR(B976="",J976&lt;&gt;""),"",IF(L976&lt;&gt;"",L976,IF(COUNTIFS(Invoices!$C$6:$C$305,C976,Invoices!$E$6:$E$305,"&lt;="&amp;B976,Invoices!$F$6:$F$305,"&gt;="&amp;B976)=1,INDEX(Invoices!$B$6:$B$305,SUMIFS(Invoices!$O$6:$O$305,Invoices!$C$6:$C$305,C976,Invoices!$E$6:$E$305,"&lt;="&amp;B976,Invoices!$F$6:$F$305,"&gt;="&amp;B976)),IF(COUNTIFS(Invoices!$C$6:$C$305,C976,Invoices!$E$6:$E$305,"&lt;="&amp;B976,Invoices!$F$6:$F$305,"&gt;="&amp;B976)&gt;1,"Two invoices",""))))</f>
        <v/>
      </c>
      <c r="Q976" s="15">
        <f>IF(B976="","",IF(J976&lt;&gt;"","Not billable",IF(P976="","To invoice",IF(P976="Two invoices","Check dates",IF(ISNA(MATCH(P976,Invoices!$B$6:$B$305,0)),"Check number",IF(INDEX(Invoices!$M$6:$M$305,MATCH(P976,Invoices!$B$6:$B$305,0))="Paid","Paid",IF(INDEX(Invoices!$M$6:$M$305,MATCH(P976,Invoices!$B$6:$B$305,0))="Draft","Draft","Invoiced")))))))</f>
        <v/>
      </c>
      <c r="R976" s="1">
        <f>IF(AND(B976&lt;&gt;"",P976&lt;&gt;"",P976=Invoice!$G$4),B976+MOD(N(F976),1)+ROW()/10000000,"")</f>
        <v/>
      </c>
      <c r="S976">
        <f>IF(R976="","",IF(D976="","Other work",D976)&amp;IF(AND(K976&lt;&gt;"",E976&lt;&gt;""),", "&amp;E976,""))</f>
        <v/>
      </c>
      <c r="T976">
        <f>IF(R976="","",IF(COUNTIFS(R$6:R975,"&gt;0",S$6:S975,S976,N$6:N975,N976)=0,R976,""))</f>
        <v/>
      </c>
      <c r="U976">
        <f>IF(B976="","",IF(J976&lt;&gt;"",0,M976))</f>
        <v/>
      </c>
    </row>
    <row r="977">
      <c r="A977" s="1" t="n"/>
      <c r="B977" s="16" t="n"/>
      <c r="C977" s="17" t="n"/>
      <c r="D977" s="18" t="n"/>
      <c r="E977" s="18" t="n"/>
      <c r="F977" s="19" t="n"/>
      <c r="G977" s="19" t="n"/>
      <c r="H977" s="20" t="n"/>
      <c r="I977" s="21" t="n"/>
      <c r="J977" s="22" t="n"/>
      <c r="K977" s="23" t="n"/>
      <c r="L977" s="18" t="n"/>
      <c r="M977" s="24">
        <f>IF(B977="","",IF(AND(F977&lt;&gt;"",G977&lt;&gt;""),MAX(0,ROUND(MOD(G977-F977,1)*24-N(H977)/60,2)),N(I977)))</f>
        <v/>
      </c>
      <c r="N977" s="14">
        <f>IF(B977="","",IF(K977&lt;&gt;"",K977,IF(N(IFERROR(INDEX(Projects!$D$6:$D$65,MATCH(D977,Projects!$B$6:$B$65,0)),""))&gt;0,IFERROR(INDEX(Projects!$D$6:$D$65,MATCH(D977,Projects!$B$6:$B$65,0)),""),IFERROR(INDEX(Clients!$G$6:$G$45,MATCH(C977,Clients!$B$6:$B$45,0)),0))))</f>
        <v/>
      </c>
      <c r="O977" s="14">
        <f>IF(B977="","",IF(J977&lt;&gt;"",0,ROUND(M977*N977,2)))</f>
        <v/>
      </c>
      <c r="P977" s="15">
        <f>IF(OR(B977="",J977&lt;&gt;""),"",IF(L977&lt;&gt;"",L977,IF(COUNTIFS(Invoices!$C$6:$C$305,C977,Invoices!$E$6:$E$305,"&lt;="&amp;B977,Invoices!$F$6:$F$305,"&gt;="&amp;B977)=1,INDEX(Invoices!$B$6:$B$305,SUMIFS(Invoices!$O$6:$O$305,Invoices!$C$6:$C$305,C977,Invoices!$E$6:$E$305,"&lt;="&amp;B977,Invoices!$F$6:$F$305,"&gt;="&amp;B977)),IF(COUNTIFS(Invoices!$C$6:$C$305,C977,Invoices!$E$6:$E$305,"&lt;="&amp;B977,Invoices!$F$6:$F$305,"&gt;="&amp;B977)&gt;1,"Two invoices",""))))</f>
        <v/>
      </c>
      <c r="Q977" s="15">
        <f>IF(B977="","",IF(J977&lt;&gt;"","Not billable",IF(P977="","To invoice",IF(P977="Two invoices","Check dates",IF(ISNA(MATCH(P977,Invoices!$B$6:$B$305,0)),"Check number",IF(INDEX(Invoices!$M$6:$M$305,MATCH(P977,Invoices!$B$6:$B$305,0))="Paid","Paid",IF(INDEX(Invoices!$M$6:$M$305,MATCH(P977,Invoices!$B$6:$B$305,0))="Draft","Draft","Invoiced")))))))</f>
        <v/>
      </c>
      <c r="R977" s="1">
        <f>IF(AND(B977&lt;&gt;"",P977&lt;&gt;"",P977=Invoice!$G$4),B977+MOD(N(F977),1)+ROW()/10000000,"")</f>
        <v/>
      </c>
      <c r="S977">
        <f>IF(R977="","",IF(D977="","Other work",D977)&amp;IF(AND(K977&lt;&gt;"",E977&lt;&gt;""),", "&amp;E977,""))</f>
        <v/>
      </c>
      <c r="T977">
        <f>IF(R977="","",IF(COUNTIFS(R$6:R976,"&gt;0",S$6:S976,S977,N$6:N976,N977)=0,R977,""))</f>
        <v/>
      </c>
      <c r="U977">
        <f>IF(B977="","",IF(J977&lt;&gt;"",0,M977))</f>
        <v/>
      </c>
    </row>
    <row r="978">
      <c r="A978" s="1" t="n"/>
      <c r="B978" s="16" t="n"/>
      <c r="C978" s="17" t="n"/>
      <c r="D978" s="18" t="n"/>
      <c r="E978" s="18" t="n"/>
      <c r="F978" s="19" t="n"/>
      <c r="G978" s="19" t="n"/>
      <c r="H978" s="20" t="n"/>
      <c r="I978" s="21" t="n"/>
      <c r="J978" s="22" t="n"/>
      <c r="K978" s="23" t="n"/>
      <c r="L978" s="18" t="n"/>
      <c r="M978" s="24">
        <f>IF(B978="","",IF(AND(F978&lt;&gt;"",G978&lt;&gt;""),MAX(0,ROUND(MOD(G978-F978,1)*24-N(H978)/60,2)),N(I978)))</f>
        <v/>
      </c>
      <c r="N978" s="14">
        <f>IF(B978="","",IF(K978&lt;&gt;"",K978,IF(N(IFERROR(INDEX(Projects!$D$6:$D$65,MATCH(D978,Projects!$B$6:$B$65,0)),""))&gt;0,IFERROR(INDEX(Projects!$D$6:$D$65,MATCH(D978,Projects!$B$6:$B$65,0)),""),IFERROR(INDEX(Clients!$G$6:$G$45,MATCH(C978,Clients!$B$6:$B$45,0)),0))))</f>
        <v/>
      </c>
      <c r="O978" s="14">
        <f>IF(B978="","",IF(J978&lt;&gt;"",0,ROUND(M978*N978,2)))</f>
        <v/>
      </c>
      <c r="P978" s="15">
        <f>IF(OR(B978="",J978&lt;&gt;""),"",IF(L978&lt;&gt;"",L978,IF(COUNTIFS(Invoices!$C$6:$C$305,C978,Invoices!$E$6:$E$305,"&lt;="&amp;B978,Invoices!$F$6:$F$305,"&gt;="&amp;B978)=1,INDEX(Invoices!$B$6:$B$305,SUMIFS(Invoices!$O$6:$O$305,Invoices!$C$6:$C$305,C978,Invoices!$E$6:$E$305,"&lt;="&amp;B978,Invoices!$F$6:$F$305,"&gt;="&amp;B978)),IF(COUNTIFS(Invoices!$C$6:$C$305,C978,Invoices!$E$6:$E$305,"&lt;="&amp;B978,Invoices!$F$6:$F$305,"&gt;="&amp;B978)&gt;1,"Two invoices",""))))</f>
        <v/>
      </c>
      <c r="Q978" s="15">
        <f>IF(B978="","",IF(J978&lt;&gt;"","Not billable",IF(P978="","To invoice",IF(P978="Two invoices","Check dates",IF(ISNA(MATCH(P978,Invoices!$B$6:$B$305,0)),"Check number",IF(INDEX(Invoices!$M$6:$M$305,MATCH(P978,Invoices!$B$6:$B$305,0))="Paid","Paid",IF(INDEX(Invoices!$M$6:$M$305,MATCH(P978,Invoices!$B$6:$B$305,0))="Draft","Draft","Invoiced")))))))</f>
        <v/>
      </c>
      <c r="R978" s="1">
        <f>IF(AND(B978&lt;&gt;"",P978&lt;&gt;"",P978=Invoice!$G$4),B978+MOD(N(F978),1)+ROW()/10000000,"")</f>
        <v/>
      </c>
      <c r="S978">
        <f>IF(R978="","",IF(D978="","Other work",D978)&amp;IF(AND(K978&lt;&gt;"",E978&lt;&gt;""),", "&amp;E978,""))</f>
        <v/>
      </c>
      <c r="T978">
        <f>IF(R978="","",IF(COUNTIFS(R$6:R977,"&gt;0",S$6:S977,S978,N$6:N977,N978)=0,R978,""))</f>
        <v/>
      </c>
      <c r="U978">
        <f>IF(B978="","",IF(J978&lt;&gt;"",0,M978))</f>
        <v/>
      </c>
    </row>
    <row r="979">
      <c r="A979" s="1" t="n"/>
      <c r="B979" s="16" t="n"/>
      <c r="C979" s="17" t="n"/>
      <c r="D979" s="18" t="n"/>
      <c r="E979" s="18" t="n"/>
      <c r="F979" s="19" t="n"/>
      <c r="G979" s="19" t="n"/>
      <c r="H979" s="20" t="n"/>
      <c r="I979" s="21" t="n"/>
      <c r="J979" s="22" t="n"/>
      <c r="K979" s="23" t="n"/>
      <c r="L979" s="18" t="n"/>
      <c r="M979" s="24">
        <f>IF(B979="","",IF(AND(F979&lt;&gt;"",G979&lt;&gt;""),MAX(0,ROUND(MOD(G979-F979,1)*24-N(H979)/60,2)),N(I979)))</f>
        <v/>
      </c>
      <c r="N979" s="14">
        <f>IF(B979="","",IF(K979&lt;&gt;"",K979,IF(N(IFERROR(INDEX(Projects!$D$6:$D$65,MATCH(D979,Projects!$B$6:$B$65,0)),""))&gt;0,IFERROR(INDEX(Projects!$D$6:$D$65,MATCH(D979,Projects!$B$6:$B$65,0)),""),IFERROR(INDEX(Clients!$G$6:$G$45,MATCH(C979,Clients!$B$6:$B$45,0)),0))))</f>
        <v/>
      </c>
      <c r="O979" s="14">
        <f>IF(B979="","",IF(J979&lt;&gt;"",0,ROUND(M979*N979,2)))</f>
        <v/>
      </c>
      <c r="P979" s="15">
        <f>IF(OR(B979="",J979&lt;&gt;""),"",IF(L979&lt;&gt;"",L979,IF(COUNTIFS(Invoices!$C$6:$C$305,C979,Invoices!$E$6:$E$305,"&lt;="&amp;B979,Invoices!$F$6:$F$305,"&gt;="&amp;B979)=1,INDEX(Invoices!$B$6:$B$305,SUMIFS(Invoices!$O$6:$O$305,Invoices!$C$6:$C$305,C979,Invoices!$E$6:$E$305,"&lt;="&amp;B979,Invoices!$F$6:$F$305,"&gt;="&amp;B979)),IF(COUNTIFS(Invoices!$C$6:$C$305,C979,Invoices!$E$6:$E$305,"&lt;="&amp;B979,Invoices!$F$6:$F$305,"&gt;="&amp;B979)&gt;1,"Two invoices",""))))</f>
        <v/>
      </c>
      <c r="Q979" s="15">
        <f>IF(B979="","",IF(J979&lt;&gt;"","Not billable",IF(P979="","To invoice",IF(P979="Two invoices","Check dates",IF(ISNA(MATCH(P979,Invoices!$B$6:$B$305,0)),"Check number",IF(INDEX(Invoices!$M$6:$M$305,MATCH(P979,Invoices!$B$6:$B$305,0))="Paid","Paid",IF(INDEX(Invoices!$M$6:$M$305,MATCH(P979,Invoices!$B$6:$B$305,0))="Draft","Draft","Invoiced")))))))</f>
        <v/>
      </c>
      <c r="R979" s="1">
        <f>IF(AND(B979&lt;&gt;"",P979&lt;&gt;"",P979=Invoice!$G$4),B979+MOD(N(F979),1)+ROW()/10000000,"")</f>
        <v/>
      </c>
      <c r="S979">
        <f>IF(R979="","",IF(D979="","Other work",D979)&amp;IF(AND(K979&lt;&gt;"",E979&lt;&gt;""),", "&amp;E979,""))</f>
        <v/>
      </c>
      <c r="T979">
        <f>IF(R979="","",IF(COUNTIFS(R$6:R978,"&gt;0",S$6:S978,S979,N$6:N978,N979)=0,R979,""))</f>
        <v/>
      </c>
      <c r="U979">
        <f>IF(B979="","",IF(J979&lt;&gt;"",0,M979))</f>
        <v/>
      </c>
    </row>
    <row r="980">
      <c r="A980" s="1" t="n"/>
      <c r="B980" s="16" t="n"/>
      <c r="C980" s="17" t="n"/>
      <c r="D980" s="18" t="n"/>
      <c r="E980" s="18" t="n"/>
      <c r="F980" s="19" t="n"/>
      <c r="G980" s="19" t="n"/>
      <c r="H980" s="20" t="n"/>
      <c r="I980" s="21" t="n"/>
      <c r="J980" s="22" t="n"/>
      <c r="K980" s="23" t="n"/>
      <c r="L980" s="18" t="n"/>
      <c r="M980" s="24">
        <f>IF(B980="","",IF(AND(F980&lt;&gt;"",G980&lt;&gt;""),MAX(0,ROUND(MOD(G980-F980,1)*24-N(H980)/60,2)),N(I980)))</f>
        <v/>
      </c>
      <c r="N980" s="14">
        <f>IF(B980="","",IF(K980&lt;&gt;"",K980,IF(N(IFERROR(INDEX(Projects!$D$6:$D$65,MATCH(D980,Projects!$B$6:$B$65,0)),""))&gt;0,IFERROR(INDEX(Projects!$D$6:$D$65,MATCH(D980,Projects!$B$6:$B$65,0)),""),IFERROR(INDEX(Clients!$G$6:$G$45,MATCH(C980,Clients!$B$6:$B$45,0)),0))))</f>
        <v/>
      </c>
      <c r="O980" s="14">
        <f>IF(B980="","",IF(J980&lt;&gt;"",0,ROUND(M980*N980,2)))</f>
        <v/>
      </c>
      <c r="P980" s="15">
        <f>IF(OR(B980="",J980&lt;&gt;""),"",IF(L980&lt;&gt;"",L980,IF(COUNTIFS(Invoices!$C$6:$C$305,C980,Invoices!$E$6:$E$305,"&lt;="&amp;B980,Invoices!$F$6:$F$305,"&gt;="&amp;B980)=1,INDEX(Invoices!$B$6:$B$305,SUMIFS(Invoices!$O$6:$O$305,Invoices!$C$6:$C$305,C980,Invoices!$E$6:$E$305,"&lt;="&amp;B980,Invoices!$F$6:$F$305,"&gt;="&amp;B980)),IF(COUNTIFS(Invoices!$C$6:$C$305,C980,Invoices!$E$6:$E$305,"&lt;="&amp;B980,Invoices!$F$6:$F$305,"&gt;="&amp;B980)&gt;1,"Two invoices",""))))</f>
        <v/>
      </c>
      <c r="Q980" s="15">
        <f>IF(B980="","",IF(J980&lt;&gt;"","Not billable",IF(P980="","To invoice",IF(P980="Two invoices","Check dates",IF(ISNA(MATCH(P980,Invoices!$B$6:$B$305,0)),"Check number",IF(INDEX(Invoices!$M$6:$M$305,MATCH(P980,Invoices!$B$6:$B$305,0))="Paid","Paid",IF(INDEX(Invoices!$M$6:$M$305,MATCH(P980,Invoices!$B$6:$B$305,0))="Draft","Draft","Invoiced")))))))</f>
        <v/>
      </c>
      <c r="R980" s="1">
        <f>IF(AND(B980&lt;&gt;"",P980&lt;&gt;"",P980=Invoice!$G$4),B980+MOD(N(F980),1)+ROW()/10000000,"")</f>
        <v/>
      </c>
      <c r="S980">
        <f>IF(R980="","",IF(D980="","Other work",D980)&amp;IF(AND(K980&lt;&gt;"",E980&lt;&gt;""),", "&amp;E980,""))</f>
        <v/>
      </c>
      <c r="T980">
        <f>IF(R980="","",IF(COUNTIFS(R$6:R979,"&gt;0",S$6:S979,S980,N$6:N979,N980)=0,R980,""))</f>
        <v/>
      </c>
      <c r="U980">
        <f>IF(B980="","",IF(J980&lt;&gt;"",0,M980))</f>
        <v/>
      </c>
    </row>
    <row r="981">
      <c r="A981" s="1" t="n"/>
      <c r="B981" s="16" t="n"/>
      <c r="C981" s="17" t="n"/>
      <c r="D981" s="18" t="n"/>
      <c r="E981" s="18" t="n"/>
      <c r="F981" s="19" t="n"/>
      <c r="G981" s="19" t="n"/>
      <c r="H981" s="20" t="n"/>
      <c r="I981" s="21" t="n"/>
      <c r="J981" s="22" t="n"/>
      <c r="K981" s="23" t="n"/>
      <c r="L981" s="18" t="n"/>
      <c r="M981" s="24">
        <f>IF(B981="","",IF(AND(F981&lt;&gt;"",G981&lt;&gt;""),MAX(0,ROUND(MOD(G981-F981,1)*24-N(H981)/60,2)),N(I981)))</f>
        <v/>
      </c>
      <c r="N981" s="14">
        <f>IF(B981="","",IF(K981&lt;&gt;"",K981,IF(N(IFERROR(INDEX(Projects!$D$6:$D$65,MATCH(D981,Projects!$B$6:$B$65,0)),""))&gt;0,IFERROR(INDEX(Projects!$D$6:$D$65,MATCH(D981,Projects!$B$6:$B$65,0)),""),IFERROR(INDEX(Clients!$G$6:$G$45,MATCH(C981,Clients!$B$6:$B$45,0)),0))))</f>
        <v/>
      </c>
      <c r="O981" s="14">
        <f>IF(B981="","",IF(J981&lt;&gt;"",0,ROUND(M981*N981,2)))</f>
        <v/>
      </c>
      <c r="P981" s="15">
        <f>IF(OR(B981="",J981&lt;&gt;""),"",IF(L981&lt;&gt;"",L981,IF(COUNTIFS(Invoices!$C$6:$C$305,C981,Invoices!$E$6:$E$305,"&lt;="&amp;B981,Invoices!$F$6:$F$305,"&gt;="&amp;B981)=1,INDEX(Invoices!$B$6:$B$305,SUMIFS(Invoices!$O$6:$O$305,Invoices!$C$6:$C$305,C981,Invoices!$E$6:$E$305,"&lt;="&amp;B981,Invoices!$F$6:$F$305,"&gt;="&amp;B981)),IF(COUNTIFS(Invoices!$C$6:$C$305,C981,Invoices!$E$6:$E$305,"&lt;="&amp;B981,Invoices!$F$6:$F$305,"&gt;="&amp;B981)&gt;1,"Two invoices",""))))</f>
        <v/>
      </c>
      <c r="Q981" s="15">
        <f>IF(B981="","",IF(J981&lt;&gt;"","Not billable",IF(P981="","To invoice",IF(P981="Two invoices","Check dates",IF(ISNA(MATCH(P981,Invoices!$B$6:$B$305,0)),"Check number",IF(INDEX(Invoices!$M$6:$M$305,MATCH(P981,Invoices!$B$6:$B$305,0))="Paid","Paid",IF(INDEX(Invoices!$M$6:$M$305,MATCH(P981,Invoices!$B$6:$B$305,0))="Draft","Draft","Invoiced")))))))</f>
        <v/>
      </c>
      <c r="R981" s="1">
        <f>IF(AND(B981&lt;&gt;"",P981&lt;&gt;"",P981=Invoice!$G$4),B981+MOD(N(F981),1)+ROW()/10000000,"")</f>
        <v/>
      </c>
      <c r="S981">
        <f>IF(R981="","",IF(D981="","Other work",D981)&amp;IF(AND(K981&lt;&gt;"",E981&lt;&gt;""),", "&amp;E981,""))</f>
        <v/>
      </c>
      <c r="T981">
        <f>IF(R981="","",IF(COUNTIFS(R$6:R980,"&gt;0",S$6:S980,S981,N$6:N980,N981)=0,R981,""))</f>
        <v/>
      </c>
      <c r="U981">
        <f>IF(B981="","",IF(J981&lt;&gt;"",0,M981))</f>
        <v/>
      </c>
    </row>
    <row r="982">
      <c r="A982" s="1" t="n"/>
      <c r="B982" s="16" t="n"/>
      <c r="C982" s="17" t="n"/>
      <c r="D982" s="18" t="n"/>
      <c r="E982" s="18" t="n"/>
      <c r="F982" s="19" t="n"/>
      <c r="G982" s="19" t="n"/>
      <c r="H982" s="20" t="n"/>
      <c r="I982" s="21" t="n"/>
      <c r="J982" s="22" t="n"/>
      <c r="K982" s="23" t="n"/>
      <c r="L982" s="18" t="n"/>
      <c r="M982" s="24">
        <f>IF(B982="","",IF(AND(F982&lt;&gt;"",G982&lt;&gt;""),MAX(0,ROUND(MOD(G982-F982,1)*24-N(H982)/60,2)),N(I982)))</f>
        <v/>
      </c>
      <c r="N982" s="14">
        <f>IF(B982="","",IF(K982&lt;&gt;"",K982,IF(N(IFERROR(INDEX(Projects!$D$6:$D$65,MATCH(D982,Projects!$B$6:$B$65,0)),""))&gt;0,IFERROR(INDEX(Projects!$D$6:$D$65,MATCH(D982,Projects!$B$6:$B$65,0)),""),IFERROR(INDEX(Clients!$G$6:$G$45,MATCH(C982,Clients!$B$6:$B$45,0)),0))))</f>
        <v/>
      </c>
      <c r="O982" s="14">
        <f>IF(B982="","",IF(J982&lt;&gt;"",0,ROUND(M982*N982,2)))</f>
        <v/>
      </c>
      <c r="P982" s="15">
        <f>IF(OR(B982="",J982&lt;&gt;""),"",IF(L982&lt;&gt;"",L982,IF(COUNTIFS(Invoices!$C$6:$C$305,C982,Invoices!$E$6:$E$305,"&lt;="&amp;B982,Invoices!$F$6:$F$305,"&gt;="&amp;B982)=1,INDEX(Invoices!$B$6:$B$305,SUMIFS(Invoices!$O$6:$O$305,Invoices!$C$6:$C$305,C982,Invoices!$E$6:$E$305,"&lt;="&amp;B982,Invoices!$F$6:$F$305,"&gt;="&amp;B982)),IF(COUNTIFS(Invoices!$C$6:$C$305,C982,Invoices!$E$6:$E$305,"&lt;="&amp;B982,Invoices!$F$6:$F$305,"&gt;="&amp;B982)&gt;1,"Two invoices",""))))</f>
        <v/>
      </c>
      <c r="Q982" s="15">
        <f>IF(B982="","",IF(J982&lt;&gt;"","Not billable",IF(P982="","To invoice",IF(P982="Two invoices","Check dates",IF(ISNA(MATCH(P982,Invoices!$B$6:$B$305,0)),"Check number",IF(INDEX(Invoices!$M$6:$M$305,MATCH(P982,Invoices!$B$6:$B$305,0))="Paid","Paid",IF(INDEX(Invoices!$M$6:$M$305,MATCH(P982,Invoices!$B$6:$B$305,0))="Draft","Draft","Invoiced")))))))</f>
        <v/>
      </c>
      <c r="R982" s="1">
        <f>IF(AND(B982&lt;&gt;"",P982&lt;&gt;"",P982=Invoice!$G$4),B982+MOD(N(F982),1)+ROW()/10000000,"")</f>
        <v/>
      </c>
      <c r="S982">
        <f>IF(R982="","",IF(D982="","Other work",D982)&amp;IF(AND(K982&lt;&gt;"",E982&lt;&gt;""),", "&amp;E982,""))</f>
        <v/>
      </c>
      <c r="T982">
        <f>IF(R982="","",IF(COUNTIFS(R$6:R981,"&gt;0",S$6:S981,S982,N$6:N981,N982)=0,R982,""))</f>
        <v/>
      </c>
      <c r="U982">
        <f>IF(B982="","",IF(J982&lt;&gt;"",0,M982))</f>
        <v/>
      </c>
    </row>
    <row r="983">
      <c r="A983" s="1" t="n"/>
      <c r="B983" s="16" t="n"/>
      <c r="C983" s="17" t="n"/>
      <c r="D983" s="18" t="n"/>
      <c r="E983" s="18" t="n"/>
      <c r="F983" s="19" t="n"/>
      <c r="G983" s="19" t="n"/>
      <c r="H983" s="20" t="n"/>
      <c r="I983" s="21" t="n"/>
      <c r="J983" s="22" t="n"/>
      <c r="K983" s="23" t="n"/>
      <c r="L983" s="18" t="n"/>
      <c r="M983" s="24">
        <f>IF(B983="","",IF(AND(F983&lt;&gt;"",G983&lt;&gt;""),MAX(0,ROUND(MOD(G983-F983,1)*24-N(H983)/60,2)),N(I983)))</f>
        <v/>
      </c>
      <c r="N983" s="14">
        <f>IF(B983="","",IF(K983&lt;&gt;"",K983,IF(N(IFERROR(INDEX(Projects!$D$6:$D$65,MATCH(D983,Projects!$B$6:$B$65,0)),""))&gt;0,IFERROR(INDEX(Projects!$D$6:$D$65,MATCH(D983,Projects!$B$6:$B$65,0)),""),IFERROR(INDEX(Clients!$G$6:$G$45,MATCH(C983,Clients!$B$6:$B$45,0)),0))))</f>
        <v/>
      </c>
      <c r="O983" s="14">
        <f>IF(B983="","",IF(J983&lt;&gt;"",0,ROUND(M983*N983,2)))</f>
        <v/>
      </c>
      <c r="P983" s="15">
        <f>IF(OR(B983="",J983&lt;&gt;""),"",IF(L983&lt;&gt;"",L983,IF(COUNTIFS(Invoices!$C$6:$C$305,C983,Invoices!$E$6:$E$305,"&lt;="&amp;B983,Invoices!$F$6:$F$305,"&gt;="&amp;B983)=1,INDEX(Invoices!$B$6:$B$305,SUMIFS(Invoices!$O$6:$O$305,Invoices!$C$6:$C$305,C983,Invoices!$E$6:$E$305,"&lt;="&amp;B983,Invoices!$F$6:$F$305,"&gt;="&amp;B983)),IF(COUNTIFS(Invoices!$C$6:$C$305,C983,Invoices!$E$6:$E$305,"&lt;="&amp;B983,Invoices!$F$6:$F$305,"&gt;="&amp;B983)&gt;1,"Two invoices",""))))</f>
        <v/>
      </c>
      <c r="Q983" s="15">
        <f>IF(B983="","",IF(J983&lt;&gt;"","Not billable",IF(P983="","To invoice",IF(P983="Two invoices","Check dates",IF(ISNA(MATCH(P983,Invoices!$B$6:$B$305,0)),"Check number",IF(INDEX(Invoices!$M$6:$M$305,MATCH(P983,Invoices!$B$6:$B$305,0))="Paid","Paid",IF(INDEX(Invoices!$M$6:$M$305,MATCH(P983,Invoices!$B$6:$B$305,0))="Draft","Draft","Invoiced")))))))</f>
        <v/>
      </c>
      <c r="R983" s="1">
        <f>IF(AND(B983&lt;&gt;"",P983&lt;&gt;"",P983=Invoice!$G$4),B983+MOD(N(F983),1)+ROW()/10000000,"")</f>
        <v/>
      </c>
      <c r="S983">
        <f>IF(R983="","",IF(D983="","Other work",D983)&amp;IF(AND(K983&lt;&gt;"",E983&lt;&gt;""),", "&amp;E983,""))</f>
        <v/>
      </c>
      <c r="T983">
        <f>IF(R983="","",IF(COUNTIFS(R$6:R982,"&gt;0",S$6:S982,S983,N$6:N982,N983)=0,R983,""))</f>
        <v/>
      </c>
      <c r="U983">
        <f>IF(B983="","",IF(J983&lt;&gt;"",0,M983))</f>
        <v/>
      </c>
    </row>
    <row r="984">
      <c r="A984" s="1" t="n"/>
      <c r="B984" s="16" t="n"/>
      <c r="C984" s="17" t="n"/>
      <c r="D984" s="18" t="n"/>
      <c r="E984" s="18" t="n"/>
      <c r="F984" s="19" t="n"/>
      <c r="G984" s="19" t="n"/>
      <c r="H984" s="20" t="n"/>
      <c r="I984" s="21" t="n"/>
      <c r="J984" s="22" t="n"/>
      <c r="K984" s="23" t="n"/>
      <c r="L984" s="18" t="n"/>
      <c r="M984" s="24">
        <f>IF(B984="","",IF(AND(F984&lt;&gt;"",G984&lt;&gt;""),MAX(0,ROUND(MOD(G984-F984,1)*24-N(H984)/60,2)),N(I984)))</f>
        <v/>
      </c>
      <c r="N984" s="14">
        <f>IF(B984="","",IF(K984&lt;&gt;"",K984,IF(N(IFERROR(INDEX(Projects!$D$6:$D$65,MATCH(D984,Projects!$B$6:$B$65,0)),""))&gt;0,IFERROR(INDEX(Projects!$D$6:$D$65,MATCH(D984,Projects!$B$6:$B$65,0)),""),IFERROR(INDEX(Clients!$G$6:$G$45,MATCH(C984,Clients!$B$6:$B$45,0)),0))))</f>
        <v/>
      </c>
      <c r="O984" s="14">
        <f>IF(B984="","",IF(J984&lt;&gt;"",0,ROUND(M984*N984,2)))</f>
        <v/>
      </c>
      <c r="P984" s="15">
        <f>IF(OR(B984="",J984&lt;&gt;""),"",IF(L984&lt;&gt;"",L984,IF(COUNTIFS(Invoices!$C$6:$C$305,C984,Invoices!$E$6:$E$305,"&lt;="&amp;B984,Invoices!$F$6:$F$305,"&gt;="&amp;B984)=1,INDEX(Invoices!$B$6:$B$305,SUMIFS(Invoices!$O$6:$O$305,Invoices!$C$6:$C$305,C984,Invoices!$E$6:$E$305,"&lt;="&amp;B984,Invoices!$F$6:$F$305,"&gt;="&amp;B984)),IF(COUNTIFS(Invoices!$C$6:$C$305,C984,Invoices!$E$6:$E$305,"&lt;="&amp;B984,Invoices!$F$6:$F$305,"&gt;="&amp;B984)&gt;1,"Two invoices",""))))</f>
        <v/>
      </c>
      <c r="Q984" s="15">
        <f>IF(B984="","",IF(J984&lt;&gt;"","Not billable",IF(P984="","To invoice",IF(P984="Two invoices","Check dates",IF(ISNA(MATCH(P984,Invoices!$B$6:$B$305,0)),"Check number",IF(INDEX(Invoices!$M$6:$M$305,MATCH(P984,Invoices!$B$6:$B$305,0))="Paid","Paid",IF(INDEX(Invoices!$M$6:$M$305,MATCH(P984,Invoices!$B$6:$B$305,0))="Draft","Draft","Invoiced")))))))</f>
        <v/>
      </c>
      <c r="R984" s="1">
        <f>IF(AND(B984&lt;&gt;"",P984&lt;&gt;"",P984=Invoice!$G$4),B984+MOD(N(F984),1)+ROW()/10000000,"")</f>
        <v/>
      </c>
      <c r="S984">
        <f>IF(R984="","",IF(D984="","Other work",D984)&amp;IF(AND(K984&lt;&gt;"",E984&lt;&gt;""),", "&amp;E984,""))</f>
        <v/>
      </c>
      <c r="T984">
        <f>IF(R984="","",IF(COUNTIFS(R$6:R983,"&gt;0",S$6:S983,S984,N$6:N983,N984)=0,R984,""))</f>
        <v/>
      </c>
      <c r="U984">
        <f>IF(B984="","",IF(J984&lt;&gt;"",0,M984))</f>
        <v/>
      </c>
    </row>
    <row r="985">
      <c r="A985" s="1" t="n"/>
      <c r="B985" s="16" t="n"/>
      <c r="C985" s="17" t="n"/>
      <c r="D985" s="18" t="n"/>
      <c r="E985" s="18" t="n"/>
      <c r="F985" s="19" t="n"/>
      <c r="G985" s="19" t="n"/>
      <c r="H985" s="20" t="n"/>
      <c r="I985" s="21" t="n"/>
      <c r="J985" s="22" t="n"/>
      <c r="K985" s="23" t="n"/>
      <c r="L985" s="18" t="n"/>
      <c r="M985" s="24">
        <f>IF(B985="","",IF(AND(F985&lt;&gt;"",G985&lt;&gt;""),MAX(0,ROUND(MOD(G985-F985,1)*24-N(H985)/60,2)),N(I985)))</f>
        <v/>
      </c>
      <c r="N985" s="14">
        <f>IF(B985="","",IF(K985&lt;&gt;"",K985,IF(N(IFERROR(INDEX(Projects!$D$6:$D$65,MATCH(D985,Projects!$B$6:$B$65,0)),""))&gt;0,IFERROR(INDEX(Projects!$D$6:$D$65,MATCH(D985,Projects!$B$6:$B$65,0)),""),IFERROR(INDEX(Clients!$G$6:$G$45,MATCH(C985,Clients!$B$6:$B$45,0)),0))))</f>
        <v/>
      </c>
      <c r="O985" s="14">
        <f>IF(B985="","",IF(J985&lt;&gt;"",0,ROUND(M985*N985,2)))</f>
        <v/>
      </c>
      <c r="P985" s="15">
        <f>IF(OR(B985="",J985&lt;&gt;""),"",IF(L985&lt;&gt;"",L985,IF(COUNTIFS(Invoices!$C$6:$C$305,C985,Invoices!$E$6:$E$305,"&lt;="&amp;B985,Invoices!$F$6:$F$305,"&gt;="&amp;B985)=1,INDEX(Invoices!$B$6:$B$305,SUMIFS(Invoices!$O$6:$O$305,Invoices!$C$6:$C$305,C985,Invoices!$E$6:$E$305,"&lt;="&amp;B985,Invoices!$F$6:$F$305,"&gt;="&amp;B985)),IF(COUNTIFS(Invoices!$C$6:$C$305,C985,Invoices!$E$6:$E$305,"&lt;="&amp;B985,Invoices!$F$6:$F$305,"&gt;="&amp;B985)&gt;1,"Two invoices",""))))</f>
        <v/>
      </c>
      <c r="Q985" s="15">
        <f>IF(B985="","",IF(J985&lt;&gt;"","Not billable",IF(P985="","To invoice",IF(P985="Two invoices","Check dates",IF(ISNA(MATCH(P985,Invoices!$B$6:$B$305,0)),"Check number",IF(INDEX(Invoices!$M$6:$M$305,MATCH(P985,Invoices!$B$6:$B$305,0))="Paid","Paid",IF(INDEX(Invoices!$M$6:$M$305,MATCH(P985,Invoices!$B$6:$B$305,0))="Draft","Draft","Invoiced")))))))</f>
        <v/>
      </c>
      <c r="R985" s="1">
        <f>IF(AND(B985&lt;&gt;"",P985&lt;&gt;"",P985=Invoice!$G$4),B985+MOD(N(F985),1)+ROW()/10000000,"")</f>
        <v/>
      </c>
      <c r="S985">
        <f>IF(R985="","",IF(D985="","Other work",D985)&amp;IF(AND(K985&lt;&gt;"",E985&lt;&gt;""),", "&amp;E985,""))</f>
        <v/>
      </c>
      <c r="T985">
        <f>IF(R985="","",IF(COUNTIFS(R$6:R984,"&gt;0",S$6:S984,S985,N$6:N984,N985)=0,R985,""))</f>
        <v/>
      </c>
      <c r="U985">
        <f>IF(B985="","",IF(J985&lt;&gt;"",0,M985))</f>
        <v/>
      </c>
    </row>
    <row r="986">
      <c r="A986" s="1" t="n"/>
      <c r="B986" s="16" t="n"/>
      <c r="C986" s="17" t="n"/>
      <c r="D986" s="18" t="n"/>
      <c r="E986" s="18" t="n"/>
      <c r="F986" s="19" t="n"/>
      <c r="G986" s="19" t="n"/>
      <c r="H986" s="20" t="n"/>
      <c r="I986" s="21" t="n"/>
      <c r="J986" s="22" t="n"/>
      <c r="K986" s="23" t="n"/>
      <c r="L986" s="18" t="n"/>
      <c r="M986" s="24">
        <f>IF(B986="","",IF(AND(F986&lt;&gt;"",G986&lt;&gt;""),MAX(0,ROUND(MOD(G986-F986,1)*24-N(H986)/60,2)),N(I986)))</f>
        <v/>
      </c>
      <c r="N986" s="14">
        <f>IF(B986="","",IF(K986&lt;&gt;"",K986,IF(N(IFERROR(INDEX(Projects!$D$6:$D$65,MATCH(D986,Projects!$B$6:$B$65,0)),""))&gt;0,IFERROR(INDEX(Projects!$D$6:$D$65,MATCH(D986,Projects!$B$6:$B$65,0)),""),IFERROR(INDEX(Clients!$G$6:$G$45,MATCH(C986,Clients!$B$6:$B$45,0)),0))))</f>
        <v/>
      </c>
      <c r="O986" s="14">
        <f>IF(B986="","",IF(J986&lt;&gt;"",0,ROUND(M986*N986,2)))</f>
        <v/>
      </c>
      <c r="P986" s="15">
        <f>IF(OR(B986="",J986&lt;&gt;""),"",IF(L986&lt;&gt;"",L986,IF(COUNTIFS(Invoices!$C$6:$C$305,C986,Invoices!$E$6:$E$305,"&lt;="&amp;B986,Invoices!$F$6:$F$305,"&gt;="&amp;B986)=1,INDEX(Invoices!$B$6:$B$305,SUMIFS(Invoices!$O$6:$O$305,Invoices!$C$6:$C$305,C986,Invoices!$E$6:$E$305,"&lt;="&amp;B986,Invoices!$F$6:$F$305,"&gt;="&amp;B986)),IF(COUNTIFS(Invoices!$C$6:$C$305,C986,Invoices!$E$6:$E$305,"&lt;="&amp;B986,Invoices!$F$6:$F$305,"&gt;="&amp;B986)&gt;1,"Two invoices",""))))</f>
        <v/>
      </c>
      <c r="Q986" s="15">
        <f>IF(B986="","",IF(J986&lt;&gt;"","Not billable",IF(P986="","To invoice",IF(P986="Two invoices","Check dates",IF(ISNA(MATCH(P986,Invoices!$B$6:$B$305,0)),"Check number",IF(INDEX(Invoices!$M$6:$M$305,MATCH(P986,Invoices!$B$6:$B$305,0))="Paid","Paid",IF(INDEX(Invoices!$M$6:$M$305,MATCH(P986,Invoices!$B$6:$B$305,0))="Draft","Draft","Invoiced")))))))</f>
        <v/>
      </c>
      <c r="R986" s="1">
        <f>IF(AND(B986&lt;&gt;"",P986&lt;&gt;"",P986=Invoice!$G$4),B986+MOD(N(F986),1)+ROW()/10000000,"")</f>
        <v/>
      </c>
      <c r="S986">
        <f>IF(R986="","",IF(D986="","Other work",D986)&amp;IF(AND(K986&lt;&gt;"",E986&lt;&gt;""),", "&amp;E986,""))</f>
        <v/>
      </c>
      <c r="T986">
        <f>IF(R986="","",IF(COUNTIFS(R$6:R985,"&gt;0",S$6:S985,S986,N$6:N985,N986)=0,R986,""))</f>
        <v/>
      </c>
      <c r="U986">
        <f>IF(B986="","",IF(J986&lt;&gt;"",0,M986))</f>
        <v/>
      </c>
    </row>
    <row r="987">
      <c r="A987" s="1" t="n"/>
      <c r="B987" s="16" t="n"/>
      <c r="C987" s="17" t="n"/>
      <c r="D987" s="18" t="n"/>
      <c r="E987" s="18" t="n"/>
      <c r="F987" s="19" t="n"/>
      <c r="G987" s="19" t="n"/>
      <c r="H987" s="20" t="n"/>
      <c r="I987" s="21" t="n"/>
      <c r="J987" s="22" t="n"/>
      <c r="K987" s="23" t="n"/>
      <c r="L987" s="18" t="n"/>
      <c r="M987" s="24">
        <f>IF(B987="","",IF(AND(F987&lt;&gt;"",G987&lt;&gt;""),MAX(0,ROUND(MOD(G987-F987,1)*24-N(H987)/60,2)),N(I987)))</f>
        <v/>
      </c>
      <c r="N987" s="14">
        <f>IF(B987="","",IF(K987&lt;&gt;"",K987,IF(N(IFERROR(INDEX(Projects!$D$6:$D$65,MATCH(D987,Projects!$B$6:$B$65,0)),""))&gt;0,IFERROR(INDEX(Projects!$D$6:$D$65,MATCH(D987,Projects!$B$6:$B$65,0)),""),IFERROR(INDEX(Clients!$G$6:$G$45,MATCH(C987,Clients!$B$6:$B$45,0)),0))))</f>
        <v/>
      </c>
      <c r="O987" s="14">
        <f>IF(B987="","",IF(J987&lt;&gt;"",0,ROUND(M987*N987,2)))</f>
        <v/>
      </c>
      <c r="P987" s="15">
        <f>IF(OR(B987="",J987&lt;&gt;""),"",IF(L987&lt;&gt;"",L987,IF(COUNTIFS(Invoices!$C$6:$C$305,C987,Invoices!$E$6:$E$305,"&lt;="&amp;B987,Invoices!$F$6:$F$305,"&gt;="&amp;B987)=1,INDEX(Invoices!$B$6:$B$305,SUMIFS(Invoices!$O$6:$O$305,Invoices!$C$6:$C$305,C987,Invoices!$E$6:$E$305,"&lt;="&amp;B987,Invoices!$F$6:$F$305,"&gt;="&amp;B987)),IF(COUNTIFS(Invoices!$C$6:$C$305,C987,Invoices!$E$6:$E$305,"&lt;="&amp;B987,Invoices!$F$6:$F$305,"&gt;="&amp;B987)&gt;1,"Two invoices",""))))</f>
        <v/>
      </c>
      <c r="Q987" s="15">
        <f>IF(B987="","",IF(J987&lt;&gt;"","Not billable",IF(P987="","To invoice",IF(P987="Two invoices","Check dates",IF(ISNA(MATCH(P987,Invoices!$B$6:$B$305,0)),"Check number",IF(INDEX(Invoices!$M$6:$M$305,MATCH(P987,Invoices!$B$6:$B$305,0))="Paid","Paid",IF(INDEX(Invoices!$M$6:$M$305,MATCH(P987,Invoices!$B$6:$B$305,0))="Draft","Draft","Invoiced")))))))</f>
        <v/>
      </c>
      <c r="R987" s="1">
        <f>IF(AND(B987&lt;&gt;"",P987&lt;&gt;"",P987=Invoice!$G$4),B987+MOD(N(F987),1)+ROW()/10000000,"")</f>
        <v/>
      </c>
      <c r="S987">
        <f>IF(R987="","",IF(D987="","Other work",D987)&amp;IF(AND(K987&lt;&gt;"",E987&lt;&gt;""),", "&amp;E987,""))</f>
        <v/>
      </c>
      <c r="T987">
        <f>IF(R987="","",IF(COUNTIFS(R$6:R986,"&gt;0",S$6:S986,S987,N$6:N986,N987)=0,R987,""))</f>
        <v/>
      </c>
      <c r="U987">
        <f>IF(B987="","",IF(J987&lt;&gt;"",0,M987))</f>
        <v/>
      </c>
    </row>
    <row r="988">
      <c r="A988" s="1" t="n"/>
      <c r="B988" s="16" t="n"/>
      <c r="C988" s="17" t="n"/>
      <c r="D988" s="18" t="n"/>
      <c r="E988" s="18" t="n"/>
      <c r="F988" s="19" t="n"/>
      <c r="G988" s="19" t="n"/>
      <c r="H988" s="20" t="n"/>
      <c r="I988" s="21" t="n"/>
      <c r="J988" s="22" t="n"/>
      <c r="K988" s="23" t="n"/>
      <c r="L988" s="18" t="n"/>
      <c r="M988" s="24">
        <f>IF(B988="","",IF(AND(F988&lt;&gt;"",G988&lt;&gt;""),MAX(0,ROUND(MOD(G988-F988,1)*24-N(H988)/60,2)),N(I988)))</f>
        <v/>
      </c>
      <c r="N988" s="14">
        <f>IF(B988="","",IF(K988&lt;&gt;"",K988,IF(N(IFERROR(INDEX(Projects!$D$6:$D$65,MATCH(D988,Projects!$B$6:$B$65,0)),""))&gt;0,IFERROR(INDEX(Projects!$D$6:$D$65,MATCH(D988,Projects!$B$6:$B$65,0)),""),IFERROR(INDEX(Clients!$G$6:$G$45,MATCH(C988,Clients!$B$6:$B$45,0)),0))))</f>
        <v/>
      </c>
      <c r="O988" s="14">
        <f>IF(B988="","",IF(J988&lt;&gt;"",0,ROUND(M988*N988,2)))</f>
        <v/>
      </c>
      <c r="P988" s="15">
        <f>IF(OR(B988="",J988&lt;&gt;""),"",IF(L988&lt;&gt;"",L988,IF(COUNTIFS(Invoices!$C$6:$C$305,C988,Invoices!$E$6:$E$305,"&lt;="&amp;B988,Invoices!$F$6:$F$305,"&gt;="&amp;B988)=1,INDEX(Invoices!$B$6:$B$305,SUMIFS(Invoices!$O$6:$O$305,Invoices!$C$6:$C$305,C988,Invoices!$E$6:$E$305,"&lt;="&amp;B988,Invoices!$F$6:$F$305,"&gt;="&amp;B988)),IF(COUNTIFS(Invoices!$C$6:$C$305,C988,Invoices!$E$6:$E$305,"&lt;="&amp;B988,Invoices!$F$6:$F$305,"&gt;="&amp;B988)&gt;1,"Two invoices",""))))</f>
        <v/>
      </c>
      <c r="Q988" s="15">
        <f>IF(B988="","",IF(J988&lt;&gt;"","Not billable",IF(P988="","To invoice",IF(P988="Two invoices","Check dates",IF(ISNA(MATCH(P988,Invoices!$B$6:$B$305,0)),"Check number",IF(INDEX(Invoices!$M$6:$M$305,MATCH(P988,Invoices!$B$6:$B$305,0))="Paid","Paid",IF(INDEX(Invoices!$M$6:$M$305,MATCH(P988,Invoices!$B$6:$B$305,0))="Draft","Draft","Invoiced")))))))</f>
        <v/>
      </c>
      <c r="R988" s="1">
        <f>IF(AND(B988&lt;&gt;"",P988&lt;&gt;"",P988=Invoice!$G$4),B988+MOD(N(F988),1)+ROW()/10000000,"")</f>
        <v/>
      </c>
      <c r="S988">
        <f>IF(R988="","",IF(D988="","Other work",D988)&amp;IF(AND(K988&lt;&gt;"",E988&lt;&gt;""),", "&amp;E988,""))</f>
        <v/>
      </c>
      <c r="T988">
        <f>IF(R988="","",IF(COUNTIFS(R$6:R987,"&gt;0",S$6:S987,S988,N$6:N987,N988)=0,R988,""))</f>
        <v/>
      </c>
      <c r="U988">
        <f>IF(B988="","",IF(J988&lt;&gt;"",0,M988))</f>
        <v/>
      </c>
    </row>
    <row r="989">
      <c r="A989" s="1" t="n"/>
      <c r="B989" s="16" t="n"/>
      <c r="C989" s="17" t="n"/>
      <c r="D989" s="18" t="n"/>
      <c r="E989" s="18" t="n"/>
      <c r="F989" s="19" t="n"/>
      <c r="G989" s="19" t="n"/>
      <c r="H989" s="20" t="n"/>
      <c r="I989" s="21" t="n"/>
      <c r="J989" s="22" t="n"/>
      <c r="K989" s="23" t="n"/>
      <c r="L989" s="18" t="n"/>
      <c r="M989" s="24">
        <f>IF(B989="","",IF(AND(F989&lt;&gt;"",G989&lt;&gt;""),MAX(0,ROUND(MOD(G989-F989,1)*24-N(H989)/60,2)),N(I989)))</f>
        <v/>
      </c>
      <c r="N989" s="14">
        <f>IF(B989="","",IF(K989&lt;&gt;"",K989,IF(N(IFERROR(INDEX(Projects!$D$6:$D$65,MATCH(D989,Projects!$B$6:$B$65,0)),""))&gt;0,IFERROR(INDEX(Projects!$D$6:$D$65,MATCH(D989,Projects!$B$6:$B$65,0)),""),IFERROR(INDEX(Clients!$G$6:$G$45,MATCH(C989,Clients!$B$6:$B$45,0)),0))))</f>
        <v/>
      </c>
      <c r="O989" s="14">
        <f>IF(B989="","",IF(J989&lt;&gt;"",0,ROUND(M989*N989,2)))</f>
        <v/>
      </c>
      <c r="P989" s="15">
        <f>IF(OR(B989="",J989&lt;&gt;""),"",IF(L989&lt;&gt;"",L989,IF(COUNTIFS(Invoices!$C$6:$C$305,C989,Invoices!$E$6:$E$305,"&lt;="&amp;B989,Invoices!$F$6:$F$305,"&gt;="&amp;B989)=1,INDEX(Invoices!$B$6:$B$305,SUMIFS(Invoices!$O$6:$O$305,Invoices!$C$6:$C$305,C989,Invoices!$E$6:$E$305,"&lt;="&amp;B989,Invoices!$F$6:$F$305,"&gt;="&amp;B989)),IF(COUNTIFS(Invoices!$C$6:$C$305,C989,Invoices!$E$6:$E$305,"&lt;="&amp;B989,Invoices!$F$6:$F$305,"&gt;="&amp;B989)&gt;1,"Two invoices",""))))</f>
        <v/>
      </c>
      <c r="Q989" s="15">
        <f>IF(B989="","",IF(J989&lt;&gt;"","Not billable",IF(P989="","To invoice",IF(P989="Two invoices","Check dates",IF(ISNA(MATCH(P989,Invoices!$B$6:$B$305,0)),"Check number",IF(INDEX(Invoices!$M$6:$M$305,MATCH(P989,Invoices!$B$6:$B$305,0))="Paid","Paid",IF(INDEX(Invoices!$M$6:$M$305,MATCH(P989,Invoices!$B$6:$B$305,0))="Draft","Draft","Invoiced")))))))</f>
        <v/>
      </c>
      <c r="R989" s="1">
        <f>IF(AND(B989&lt;&gt;"",P989&lt;&gt;"",P989=Invoice!$G$4),B989+MOD(N(F989),1)+ROW()/10000000,"")</f>
        <v/>
      </c>
      <c r="S989">
        <f>IF(R989="","",IF(D989="","Other work",D989)&amp;IF(AND(K989&lt;&gt;"",E989&lt;&gt;""),", "&amp;E989,""))</f>
        <v/>
      </c>
      <c r="T989">
        <f>IF(R989="","",IF(COUNTIFS(R$6:R988,"&gt;0",S$6:S988,S989,N$6:N988,N989)=0,R989,""))</f>
        <v/>
      </c>
      <c r="U989">
        <f>IF(B989="","",IF(J989&lt;&gt;"",0,M989))</f>
        <v/>
      </c>
    </row>
    <row r="990">
      <c r="A990" s="1" t="n"/>
      <c r="B990" s="16" t="n"/>
      <c r="C990" s="17" t="n"/>
      <c r="D990" s="18" t="n"/>
      <c r="E990" s="18" t="n"/>
      <c r="F990" s="19" t="n"/>
      <c r="G990" s="19" t="n"/>
      <c r="H990" s="20" t="n"/>
      <c r="I990" s="21" t="n"/>
      <c r="J990" s="22" t="n"/>
      <c r="K990" s="23" t="n"/>
      <c r="L990" s="18" t="n"/>
      <c r="M990" s="24">
        <f>IF(B990="","",IF(AND(F990&lt;&gt;"",G990&lt;&gt;""),MAX(0,ROUND(MOD(G990-F990,1)*24-N(H990)/60,2)),N(I990)))</f>
        <v/>
      </c>
      <c r="N990" s="14">
        <f>IF(B990="","",IF(K990&lt;&gt;"",K990,IF(N(IFERROR(INDEX(Projects!$D$6:$D$65,MATCH(D990,Projects!$B$6:$B$65,0)),""))&gt;0,IFERROR(INDEX(Projects!$D$6:$D$65,MATCH(D990,Projects!$B$6:$B$65,0)),""),IFERROR(INDEX(Clients!$G$6:$G$45,MATCH(C990,Clients!$B$6:$B$45,0)),0))))</f>
        <v/>
      </c>
      <c r="O990" s="14">
        <f>IF(B990="","",IF(J990&lt;&gt;"",0,ROUND(M990*N990,2)))</f>
        <v/>
      </c>
      <c r="P990" s="15">
        <f>IF(OR(B990="",J990&lt;&gt;""),"",IF(L990&lt;&gt;"",L990,IF(COUNTIFS(Invoices!$C$6:$C$305,C990,Invoices!$E$6:$E$305,"&lt;="&amp;B990,Invoices!$F$6:$F$305,"&gt;="&amp;B990)=1,INDEX(Invoices!$B$6:$B$305,SUMIFS(Invoices!$O$6:$O$305,Invoices!$C$6:$C$305,C990,Invoices!$E$6:$E$305,"&lt;="&amp;B990,Invoices!$F$6:$F$305,"&gt;="&amp;B990)),IF(COUNTIFS(Invoices!$C$6:$C$305,C990,Invoices!$E$6:$E$305,"&lt;="&amp;B990,Invoices!$F$6:$F$305,"&gt;="&amp;B990)&gt;1,"Two invoices",""))))</f>
        <v/>
      </c>
      <c r="Q990" s="15">
        <f>IF(B990="","",IF(J990&lt;&gt;"","Not billable",IF(P990="","To invoice",IF(P990="Two invoices","Check dates",IF(ISNA(MATCH(P990,Invoices!$B$6:$B$305,0)),"Check number",IF(INDEX(Invoices!$M$6:$M$305,MATCH(P990,Invoices!$B$6:$B$305,0))="Paid","Paid",IF(INDEX(Invoices!$M$6:$M$305,MATCH(P990,Invoices!$B$6:$B$305,0))="Draft","Draft","Invoiced")))))))</f>
        <v/>
      </c>
      <c r="R990" s="1">
        <f>IF(AND(B990&lt;&gt;"",P990&lt;&gt;"",P990=Invoice!$G$4),B990+MOD(N(F990),1)+ROW()/10000000,"")</f>
        <v/>
      </c>
      <c r="S990">
        <f>IF(R990="","",IF(D990="","Other work",D990)&amp;IF(AND(K990&lt;&gt;"",E990&lt;&gt;""),", "&amp;E990,""))</f>
        <v/>
      </c>
      <c r="T990">
        <f>IF(R990="","",IF(COUNTIFS(R$6:R989,"&gt;0",S$6:S989,S990,N$6:N989,N990)=0,R990,""))</f>
        <v/>
      </c>
      <c r="U990">
        <f>IF(B990="","",IF(J990&lt;&gt;"",0,M990))</f>
        <v/>
      </c>
    </row>
    <row r="991">
      <c r="A991" s="1" t="n"/>
      <c r="B991" s="16" t="n"/>
      <c r="C991" s="17" t="n"/>
      <c r="D991" s="18" t="n"/>
      <c r="E991" s="18" t="n"/>
      <c r="F991" s="19" t="n"/>
      <c r="G991" s="19" t="n"/>
      <c r="H991" s="20" t="n"/>
      <c r="I991" s="21" t="n"/>
      <c r="J991" s="22" t="n"/>
      <c r="K991" s="23" t="n"/>
      <c r="L991" s="18" t="n"/>
      <c r="M991" s="24">
        <f>IF(B991="","",IF(AND(F991&lt;&gt;"",G991&lt;&gt;""),MAX(0,ROUND(MOD(G991-F991,1)*24-N(H991)/60,2)),N(I991)))</f>
        <v/>
      </c>
      <c r="N991" s="14">
        <f>IF(B991="","",IF(K991&lt;&gt;"",K991,IF(N(IFERROR(INDEX(Projects!$D$6:$D$65,MATCH(D991,Projects!$B$6:$B$65,0)),""))&gt;0,IFERROR(INDEX(Projects!$D$6:$D$65,MATCH(D991,Projects!$B$6:$B$65,0)),""),IFERROR(INDEX(Clients!$G$6:$G$45,MATCH(C991,Clients!$B$6:$B$45,0)),0))))</f>
        <v/>
      </c>
      <c r="O991" s="14">
        <f>IF(B991="","",IF(J991&lt;&gt;"",0,ROUND(M991*N991,2)))</f>
        <v/>
      </c>
      <c r="P991" s="15">
        <f>IF(OR(B991="",J991&lt;&gt;""),"",IF(L991&lt;&gt;"",L991,IF(COUNTIFS(Invoices!$C$6:$C$305,C991,Invoices!$E$6:$E$305,"&lt;="&amp;B991,Invoices!$F$6:$F$305,"&gt;="&amp;B991)=1,INDEX(Invoices!$B$6:$B$305,SUMIFS(Invoices!$O$6:$O$305,Invoices!$C$6:$C$305,C991,Invoices!$E$6:$E$305,"&lt;="&amp;B991,Invoices!$F$6:$F$305,"&gt;="&amp;B991)),IF(COUNTIFS(Invoices!$C$6:$C$305,C991,Invoices!$E$6:$E$305,"&lt;="&amp;B991,Invoices!$F$6:$F$305,"&gt;="&amp;B991)&gt;1,"Two invoices",""))))</f>
        <v/>
      </c>
      <c r="Q991" s="15">
        <f>IF(B991="","",IF(J991&lt;&gt;"","Not billable",IF(P991="","To invoice",IF(P991="Two invoices","Check dates",IF(ISNA(MATCH(P991,Invoices!$B$6:$B$305,0)),"Check number",IF(INDEX(Invoices!$M$6:$M$305,MATCH(P991,Invoices!$B$6:$B$305,0))="Paid","Paid",IF(INDEX(Invoices!$M$6:$M$305,MATCH(P991,Invoices!$B$6:$B$305,0))="Draft","Draft","Invoiced")))))))</f>
        <v/>
      </c>
      <c r="R991" s="1">
        <f>IF(AND(B991&lt;&gt;"",P991&lt;&gt;"",P991=Invoice!$G$4),B991+MOD(N(F991),1)+ROW()/10000000,"")</f>
        <v/>
      </c>
      <c r="S991">
        <f>IF(R991="","",IF(D991="","Other work",D991)&amp;IF(AND(K991&lt;&gt;"",E991&lt;&gt;""),", "&amp;E991,""))</f>
        <v/>
      </c>
      <c r="T991">
        <f>IF(R991="","",IF(COUNTIFS(R$6:R990,"&gt;0",S$6:S990,S991,N$6:N990,N991)=0,R991,""))</f>
        <v/>
      </c>
      <c r="U991">
        <f>IF(B991="","",IF(J991&lt;&gt;"",0,M991))</f>
        <v/>
      </c>
    </row>
    <row r="992">
      <c r="A992" s="1" t="n"/>
      <c r="B992" s="16" t="n"/>
      <c r="C992" s="17" t="n"/>
      <c r="D992" s="18" t="n"/>
      <c r="E992" s="18" t="n"/>
      <c r="F992" s="19" t="n"/>
      <c r="G992" s="19" t="n"/>
      <c r="H992" s="20" t="n"/>
      <c r="I992" s="21" t="n"/>
      <c r="J992" s="22" t="n"/>
      <c r="K992" s="23" t="n"/>
      <c r="L992" s="18" t="n"/>
      <c r="M992" s="24">
        <f>IF(B992="","",IF(AND(F992&lt;&gt;"",G992&lt;&gt;""),MAX(0,ROUND(MOD(G992-F992,1)*24-N(H992)/60,2)),N(I992)))</f>
        <v/>
      </c>
      <c r="N992" s="14">
        <f>IF(B992="","",IF(K992&lt;&gt;"",K992,IF(N(IFERROR(INDEX(Projects!$D$6:$D$65,MATCH(D992,Projects!$B$6:$B$65,0)),""))&gt;0,IFERROR(INDEX(Projects!$D$6:$D$65,MATCH(D992,Projects!$B$6:$B$65,0)),""),IFERROR(INDEX(Clients!$G$6:$G$45,MATCH(C992,Clients!$B$6:$B$45,0)),0))))</f>
        <v/>
      </c>
      <c r="O992" s="14">
        <f>IF(B992="","",IF(J992&lt;&gt;"",0,ROUND(M992*N992,2)))</f>
        <v/>
      </c>
      <c r="P992" s="15">
        <f>IF(OR(B992="",J992&lt;&gt;""),"",IF(L992&lt;&gt;"",L992,IF(COUNTIFS(Invoices!$C$6:$C$305,C992,Invoices!$E$6:$E$305,"&lt;="&amp;B992,Invoices!$F$6:$F$305,"&gt;="&amp;B992)=1,INDEX(Invoices!$B$6:$B$305,SUMIFS(Invoices!$O$6:$O$305,Invoices!$C$6:$C$305,C992,Invoices!$E$6:$E$305,"&lt;="&amp;B992,Invoices!$F$6:$F$305,"&gt;="&amp;B992)),IF(COUNTIFS(Invoices!$C$6:$C$305,C992,Invoices!$E$6:$E$305,"&lt;="&amp;B992,Invoices!$F$6:$F$305,"&gt;="&amp;B992)&gt;1,"Two invoices",""))))</f>
        <v/>
      </c>
      <c r="Q992" s="15">
        <f>IF(B992="","",IF(J992&lt;&gt;"","Not billable",IF(P992="","To invoice",IF(P992="Two invoices","Check dates",IF(ISNA(MATCH(P992,Invoices!$B$6:$B$305,0)),"Check number",IF(INDEX(Invoices!$M$6:$M$305,MATCH(P992,Invoices!$B$6:$B$305,0))="Paid","Paid",IF(INDEX(Invoices!$M$6:$M$305,MATCH(P992,Invoices!$B$6:$B$305,0))="Draft","Draft","Invoiced")))))))</f>
        <v/>
      </c>
      <c r="R992" s="1">
        <f>IF(AND(B992&lt;&gt;"",P992&lt;&gt;"",P992=Invoice!$G$4),B992+MOD(N(F992),1)+ROW()/10000000,"")</f>
        <v/>
      </c>
      <c r="S992">
        <f>IF(R992="","",IF(D992="","Other work",D992)&amp;IF(AND(K992&lt;&gt;"",E992&lt;&gt;""),", "&amp;E992,""))</f>
        <v/>
      </c>
      <c r="T992">
        <f>IF(R992="","",IF(COUNTIFS(R$6:R991,"&gt;0",S$6:S991,S992,N$6:N991,N992)=0,R992,""))</f>
        <v/>
      </c>
      <c r="U992">
        <f>IF(B992="","",IF(J992&lt;&gt;"",0,M992))</f>
        <v/>
      </c>
    </row>
    <row r="993">
      <c r="A993" s="1" t="n"/>
      <c r="B993" s="16" t="n"/>
      <c r="C993" s="17" t="n"/>
      <c r="D993" s="18" t="n"/>
      <c r="E993" s="18" t="n"/>
      <c r="F993" s="19" t="n"/>
      <c r="G993" s="19" t="n"/>
      <c r="H993" s="20" t="n"/>
      <c r="I993" s="21" t="n"/>
      <c r="J993" s="22" t="n"/>
      <c r="K993" s="23" t="n"/>
      <c r="L993" s="18" t="n"/>
      <c r="M993" s="24">
        <f>IF(B993="","",IF(AND(F993&lt;&gt;"",G993&lt;&gt;""),MAX(0,ROUND(MOD(G993-F993,1)*24-N(H993)/60,2)),N(I993)))</f>
        <v/>
      </c>
      <c r="N993" s="14">
        <f>IF(B993="","",IF(K993&lt;&gt;"",K993,IF(N(IFERROR(INDEX(Projects!$D$6:$D$65,MATCH(D993,Projects!$B$6:$B$65,0)),""))&gt;0,IFERROR(INDEX(Projects!$D$6:$D$65,MATCH(D993,Projects!$B$6:$B$65,0)),""),IFERROR(INDEX(Clients!$G$6:$G$45,MATCH(C993,Clients!$B$6:$B$45,0)),0))))</f>
        <v/>
      </c>
      <c r="O993" s="14">
        <f>IF(B993="","",IF(J993&lt;&gt;"",0,ROUND(M993*N993,2)))</f>
        <v/>
      </c>
      <c r="P993" s="15">
        <f>IF(OR(B993="",J993&lt;&gt;""),"",IF(L993&lt;&gt;"",L993,IF(COUNTIFS(Invoices!$C$6:$C$305,C993,Invoices!$E$6:$E$305,"&lt;="&amp;B993,Invoices!$F$6:$F$305,"&gt;="&amp;B993)=1,INDEX(Invoices!$B$6:$B$305,SUMIFS(Invoices!$O$6:$O$305,Invoices!$C$6:$C$305,C993,Invoices!$E$6:$E$305,"&lt;="&amp;B993,Invoices!$F$6:$F$305,"&gt;="&amp;B993)),IF(COUNTIFS(Invoices!$C$6:$C$305,C993,Invoices!$E$6:$E$305,"&lt;="&amp;B993,Invoices!$F$6:$F$305,"&gt;="&amp;B993)&gt;1,"Two invoices",""))))</f>
        <v/>
      </c>
      <c r="Q993" s="15">
        <f>IF(B993="","",IF(J993&lt;&gt;"","Not billable",IF(P993="","To invoice",IF(P993="Two invoices","Check dates",IF(ISNA(MATCH(P993,Invoices!$B$6:$B$305,0)),"Check number",IF(INDEX(Invoices!$M$6:$M$305,MATCH(P993,Invoices!$B$6:$B$305,0))="Paid","Paid",IF(INDEX(Invoices!$M$6:$M$305,MATCH(P993,Invoices!$B$6:$B$305,0))="Draft","Draft","Invoiced")))))))</f>
        <v/>
      </c>
      <c r="R993" s="1">
        <f>IF(AND(B993&lt;&gt;"",P993&lt;&gt;"",P993=Invoice!$G$4),B993+MOD(N(F993),1)+ROW()/10000000,"")</f>
        <v/>
      </c>
      <c r="S993">
        <f>IF(R993="","",IF(D993="","Other work",D993)&amp;IF(AND(K993&lt;&gt;"",E993&lt;&gt;""),", "&amp;E993,""))</f>
        <v/>
      </c>
      <c r="T993">
        <f>IF(R993="","",IF(COUNTIFS(R$6:R992,"&gt;0",S$6:S992,S993,N$6:N992,N993)=0,R993,""))</f>
        <v/>
      </c>
      <c r="U993">
        <f>IF(B993="","",IF(J993&lt;&gt;"",0,M993))</f>
        <v/>
      </c>
    </row>
    <row r="994">
      <c r="A994" s="1" t="n"/>
      <c r="B994" s="16" t="n"/>
      <c r="C994" s="17" t="n"/>
      <c r="D994" s="18" t="n"/>
      <c r="E994" s="18" t="n"/>
      <c r="F994" s="19" t="n"/>
      <c r="G994" s="19" t="n"/>
      <c r="H994" s="20" t="n"/>
      <c r="I994" s="21" t="n"/>
      <c r="J994" s="22" t="n"/>
      <c r="K994" s="23" t="n"/>
      <c r="L994" s="18" t="n"/>
      <c r="M994" s="24">
        <f>IF(B994="","",IF(AND(F994&lt;&gt;"",G994&lt;&gt;""),MAX(0,ROUND(MOD(G994-F994,1)*24-N(H994)/60,2)),N(I994)))</f>
        <v/>
      </c>
      <c r="N994" s="14">
        <f>IF(B994="","",IF(K994&lt;&gt;"",K994,IF(N(IFERROR(INDEX(Projects!$D$6:$D$65,MATCH(D994,Projects!$B$6:$B$65,0)),""))&gt;0,IFERROR(INDEX(Projects!$D$6:$D$65,MATCH(D994,Projects!$B$6:$B$65,0)),""),IFERROR(INDEX(Clients!$G$6:$G$45,MATCH(C994,Clients!$B$6:$B$45,0)),0))))</f>
        <v/>
      </c>
      <c r="O994" s="14">
        <f>IF(B994="","",IF(J994&lt;&gt;"",0,ROUND(M994*N994,2)))</f>
        <v/>
      </c>
      <c r="P994" s="15">
        <f>IF(OR(B994="",J994&lt;&gt;""),"",IF(L994&lt;&gt;"",L994,IF(COUNTIFS(Invoices!$C$6:$C$305,C994,Invoices!$E$6:$E$305,"&lt;="&amp;B994,Invoices!$F$6:$F$305,"&gt;="&amp;B994)=1,INDEX(Invoices!$B$6:$B$305,SUMIFS(Invoices!$O$6:$O$305,Invoices!$C$6:$C$305,C994,Invoices!$E$6:$E$305,"&lt;="&amp;B994,Invoices!$F$6:$F$305,"&gt;="&amp;B994)),IF(COUNTIFS(Invoices!$C$6:$C$305,C994,Invoices!$E$6:$E$305,"&lt;="&amp;B994,Invoices!$F$6:$F$305,"&gt;="&amp;B994)&gt;1,"Two invoices",""))))</f>
        <v/>
      </c>
      <c r="Q994" s="15">
        <f>IF(B994="","",IF(J994&lt;&gt;"","Not billable",IF(P994="","To invoice",IF(P994="Two invoices","Check dates",IF(ISNA(MATCH(P994,Invoices!$B$6:$B$305,0)),"Check number",IF(INDEX(Invoices!$M$6:$M$305,MATCH(P994,Invoices!$B$6:$B$305,0))="Paid","Paid",IF(INDEX(Invoices!$M$6:$M$305,MATCH(P994,Invoices!$B$6:$B$305,0))="Draft","Draft","Invoiced")))))))</f>
        <v/>
      </c>
      <c r="R994" s="1">
        <f>IF(AND(B994&lt;&gt;"",P994&lt;&gt;"",P994=Invoice!$G$4),B994+MOD(N(F994),1)+ROW()/10000000,"")</f>
        <v/>
      </c>
      <c r="S994">
        <f>IF(R994="","",IF(D994="","Other work",D994)&amp;IF(AND(K994&lt;&gt;"",E994&lt;&gt;""),", "&amp;E994,""))</f>
        <v/>
      </c>
      <c r="T994">
        <f>IF(R994="","",IF(COUNTIFS(R$6:R993,"&gt;0",S$6:S993,S994,N$6:N993,N994)=0,R994,""))</f>
        <v/>
      </c>
      <c r="U994">
        <f>IF(B994="","",IF(J994&lt;&gt;"",0,M994))</f>
        <v/>
      </c>
    </row>
    <row r="995">
      <c r="A995" s="1" t="n"/>
      <c r="B995" s="16" t="n"/>
      <c r="C995" s="17" t="n"/>
      <c r="D995" s="18" t="n"/>
      <c r="E995" s="18" t="n"/>
      <c r="F995" s="19" t="n"/>
      <c r="G995" s="19" t="n"/>
      <c r="H995" s="20" t="n"/>
      <c r="I995" s="21" t="n"/>
      <c r="J995" s="22" t="n"/>
      <c r="K995" s="23" t="n"/>
      <c r="L995" s="18" t="n"/>
      <c r="M995" s="24">
        <f>IF(B995="","",IF(AND(F995&lt;&gt;"",G995&lt;&gt;""),MAX(0,ROUND(MOD(G995-F995,1)*24-N(H995)/60,2)),N(I995)))</f>
        <v/>
      </c>
      <c r="N995" s="14">
        <f>IF(B995="","",IF(K995&lt;&gt;"",K995,IF(N(IFERROR(INDEX(Projects!$D$6:$D$65,MATCH(D995,Projects!$B$6:$B$65,0)),""))&gt;0,IFERROR(INDEX(Projects!$D$6:$D$65,MATCH(D995,Projects!$B$6:$B$65,0)),""),IFERROR(INDEX(Clients!$G$6:$G$45,MATCH(C995,Clients!$B$6:$B$45,0)),0))))</f>
        <v/>
      </c>
      <c r="O995" s="14">
        <f>IF(B995="","",IF(J995&lt;&gt;"",0,ROUND(M995*N995,2)))</f>
        <v/>
      </c>
      <c r="P995" s="15">
        <f>IF(OR(B995="",J995&lt;&gt;""),"",IF(L995&lt;&gt;"",L995,IF(COUNTIFS(Invoices!$C$6:$C$305,C995,Invoices!$E$6:$E$305,"&lt;="&amp;B995,Invoices!$F$6:$F$305,"&gt;="&amp;B995)=1,INDEX(Invoices!$B$6:$B$305,SUMIFS(Invoices!$O$6:$O$305,Invoices!$C$6:$C$305,C995,Invoices!$E$6:$E$305,"&lt;="&amp;B995,Invoices!$F$6:$F$305,"&gt;="&amp;B995)),IF(COUNTIFS(Invoices!$C$6:$C$305,C995,Invoices!$E$6:$E$305,"&lt;="&amp;B995,Invoices!$F$6:$F$305,"&gt;="&amp;B995)&gt;1,"Two invoices",""))))</f>
        <v/>
      </c>
      <c r="Q995" s="15">
        <f>IF(B995="","",IF(J995&lt;&gt;"","Not billable",IF(P995="","To invoice",IF(P995="Two invoices","Check dates",IF(ISNA(MATCH(P995,Invoices!$B$6:$B$305,0)),"Check number",IF(INDEX(Invoices!$M$6:$M$305,MATCH(P995,Invoices!$B$6:$B$305,0))="Paid","Paid",IF(INDEX(Invoices!$M$6:$M$305,MATCH(P995,Invoices!$B$6:$B$305,0))="Draft","Draft","Invoiced")))))))</f>
        <v/>
      </c>
      <c r="R995" s="1">
        <f>IF(AND(B995&lt;&gt;"",P995&lt;&gt;"",P995=Invoice!$G$4),B995+MOD(N(F995),1)+ROW()/10000000,"")</f>
        <v/>
      </c>
      <c r="S995">
        <f>IF(R995="","",IF(D995="","Other work",D995)&amp;IF(AND(K995&lt;&gt;"",E995&lt;&gt;""),", "&amp;E995,""))</f>
        <v/>
      </c>
      <c r="T995">
        <f>IF(R995="","",IF(COUNTIFS(R$6:R994,"&gt;0",S$6:S994,S995,N$6:N994,N995)=0,R995,""))</f>
        <v/>
      </c>
      <c r="U995">
        <f>IF(B995="","",IF(J995&lt;&gt;"",0,M995))</f>
        <v/>
      </c>
    </row>
    <row r="996">
      <c r="A996" s="1" t="n"/>
      <c r="B996" s="16" t="n"/>
      <c r="C996" s="17" t="n"/>
      <c r="D996" s="18" t="n"/>
      <c r="E996" s="18" t="n"/>
      <c r="F996" s="19" t="n"/>
      <c r="G996" s="19" t="n"/>
      <c r="H996" s="20" t="n"/>
      <c r="I996" s="21" t="n"/>
      <c r="J996" s="22" t="n"/>
      <c r="K996" s="23" t="n"/>
      <c r="L996" s="18" t="n"/>
      <c r="M996" s="24">
        <f>IF(B996="","",IF(AND(F996&lt;&gt;"",G996&lt;&gt;""),MAX(0,ROUND(MOD(G996-F996,1)*24-N(H996)/60,2)),N(I996)))</f>
        <v/>
      </c>
      <c r="N996" s="14">
        <f>IF(B996="","",IF(K996&lt;&gt;"",K996,IF(N(IFERROR(INDEX(Projects!$D$6:$D$65,MATCH(D996,Projects!$B$6:$B$65,0)),""))&gt;0,IFERROR(INDEX(Projects!$D$6:$D$65,MATCH(D996,Projects!$B$6:$B$65,0)),""),IFERROR(INDEX(Clients!$G$6:$G$45,MATCH(C996,Clients!$B$6:$B$45,0)),0))))</f>
        <v/>
      </c>
      <c r="O996" s="14">
        <f>IF(B996="","",IF(J996&lt;&gt;"",0,ROUND(M996*N996,2)))</f>
        <v/>
      </c>
      <c r="P996" s="15">
        <f>IF(OR(B996="",J996&lt;&gt;""),"",IF(L996&lt;&gt;"",L996,IF(COUNTIFS(Invoices!$C$6:$C$305,C996,Invoices!$E$6:$E$305,"&lt;="&amp;B996,Invoices!$F$6:$F$305,"&gt;="&amp;B996)=1,INDEX(Invoices!$B$6:$B$305,SUMIFS(Invoices!$O$6:$O$305,Invoices!$C$6:$C$305,C996,Invoices!$E$6:$E$305,"&lt;="&amp;B996,Invoices!$F$6:$F$305,"&gt;="&amp;B996)),IF(COUNTIFS(Invoices!$C$6:$C$305,C996,Invoices!$E$6:$E$305,"&lt;="&amp;B996,Invoices!$F$6:$F$305,"&gt;="&amp;B996)&gt;1,"Two invoices",""))))</f>
        <v/>
      </c>
      <c r="Q996" s="15">
        <f>IF(B996="","",IF(J996&lt;&gt;"","Not billable",IF(P996="","To invoice",IF(P996="Two invoices","Check dates",IF(ISNA(MATCH(P996,Invoices!$B$6:$B$305,0)),"Check number",IF(INDEX(Invoices!$M$6:$M$305,MATCH(P996,Invoices!$B$6:$B$305,0))="Paid","Paid",IF(INDEX(Invoices!$M$6:$M$305,MATCH(P996,Invoices!$B$6:$B$305,0))="Draft","Draft","Invoiced")))))))</f>
        <v/>
      </c>
      <c r="R996" s="1">
        <f>IF(AND(B996&lt;&gt;"",P996&lt;&gt;"",P996=Invoice!$G$4),B996+MOD(N(F996),1)+ROW()/10000000,"")</f>
        <v/>
      </c>
      <c r="S996">
        <f>IF(R996="","",IF(D996="","Other work",D996)&amp;IF(AND(K996&lt;&gt;"",E996&lt;&gt;""),", "&amp;E996,""))</f>
        <v/>
      </c>
      <c r="T996">
        <f>IF(R996="","",IF(COUNTIFS(R$6:R995,"&gt;0",S$6:S995,S996,N$6:N995,N996)=0,R996,""))</f>
        <v/>
      </c>
      <c r="U996">
        <f>IF(B996="","",IF(J996&lt;&gt;"",0,M996))</f>
        <v/>
      </c>
    </row>
    <row r="997">
      <c r="A997" s="1" t="n"/>
      <c r="B997" s="16" t="n"/>
      <c r="C997" s="17" t="n"/>
      <c r="D997" s="18" t="n"/>
      <c r="E997" s="18" t="n"/>
      <c r="F997" s="19" t="n"/>
      <c r="G997" s="19" t="n"/>
      <c r="H997" s="20" t="n"/>
      <c r="I997" s="21" t="n"/>
      <c r="J997" s="22" t="n"/>
      <c r="K997" s="23" t="n"/>
      <c r="L997" s="18" t="n"/>
      <c r="M997" s="24">
        <f>IF(B997="","",IF(AND(F997&lt;&gt;"",G997&lt;&gt;""),MAX(0,ROUND(MOD(G997-F997,1)*24-N(H997)/60,2)),N(I997)))</f>
        <v/>
      </c>
      <c r="N997" s="14">
        <f>IF(B997="","",IF(K997&lt;&gt;"",K997,IF(N(IFERROR(INDEX(Projects!$D$6:$D$65,MATCH(D997,Projects!$B$6:$B$65,0)),""))&gt;0,IFERROR(INDEX(Projects!$D$6:$D$65,MATCH(D997,Projects!$B$6:$B$65,0)),""),IFERROR(INDEX(Clients!$G$6:$G$45,MATCH(C997,Clients!$B$6:$B$45,0)),0))))</f>
        <v/>
      </c>
      <c r="O997" s="14">
        <f>IF(B997="","",IF(J997&lt;&gt;"",0,ROUND(M997*N997,2)))</f>
        <v/>
      </c>
      <c r="P997" s="15">
        <f>IF(OR(B997="",J997&lt;&gt;""),"",IF(L997&lt;&gt;"",L997,IF(COUNTIFS(Invoices!$C$6:$C$305,C997,Invoices!$E$6:$E$305,"&lt;="&amp;B997,Invoices!$F$6:$F$305,"&gt;="&amp;B997)=1,INDEX(Invoices!$B$6:$B$305,SUMIFS(Invoices!$O$6:$O$305,Invoices!$C$6:$C$305,C997,Invoices!$E$6:$E$305,"&lt;="&amp;B997,Invoices!$F$6:$F$305,"&gt;="&amp;B997)),IF(COUNTIFS(Invoices!$C$6:$C$305,C997,Invoices!$E$6:$E$305,"&lt;="&amp;B997,Invoices!$F$6:$F$305,"&gt;="&amp;B997)&gt;1,"Two invoices",""))))</f>
        <v/>
      </c>
      <c r="Q997" s="15">
        <f>IF(B997="","",IF(J997&lt;&gt;"","Not billable",IF(P997="","To invoice",IF(P997="Two invoices","Check dates",IF(ISNA(MATCH(P997,Invoices!$B$6:$B$305,0)),"Check number",IF(INDEX(Invoices!$M$6:$M$305,MATCH(P997,Invoices!$B$6:$B$305,0))="Paid","Paid",IF(INDEX(Invoices!$M$6:$M$305,MATCH(P997,Invoices!$B$6:$B$305,0))="Draft","Draft","Invoiced")))))))</f>
        <v/>
      </c>
      <c r="R997" s="1">
        <f>IF(AND(B997&lt;&gt;"",P997&lt;&gt;"",P997=Invoice!$G$4),B997+MOD(N(F997),1)+ROW()/10000000,"")</f>
        <v/>
      </c>
      <c r="S997">
        <f>IF(R997="","",IF(D997="","Other work",D997)&amp;IF(AND(K997&lt;&gt;"",E997&lt;&gt;""),", "&amp;E997,""))</f>
        <v/>
      </c>
      <c r="T997">
        <f>IF(R997="","",IF(COUNTIFS(R$6:R996,"&gt;0",S$6:S996,S997,N$6:N996,N997)=0,R997,""))</f>
        <v/>
      </c>
      <c r="U997">
        <f>IF(B997="","",IF(J997&lt;&gt;"",0,M997))</f>
        <v/>
      </c>
    </row>
    <row r="998">
      <c r="A998" s="1" t="n"/>
      <c r="B998" s="16" t="n"/>
      <c r="C998" s="17" t="n"/>
      <c r="D998" s="18" t="n"/>
      <c r="E998" s="18" t="n"/>
      <c r="F998" s="19" t="n"/>
      <c r="G998" s="19" t="n"/>
      <c r="H998" s="20" t="n"/>
      <c r="I998" s="21" t="n"/>
      <c r="J998" s="22" t="n"/>
      <c r="K998" s="23" t="n"/>
      <c r="L998" s="18" t="n"/>
      <c r="M998" s="24">
        <f>IF(B998="","",IF(AND(F998&lt;&gt;"",G998&lt;&gt;""),MAX(0,ROUND(MOD(G998-F998,1)*24-N(H998)/60,2)),N(I998)))</f>
        <v/>
      </c>
      <c r="N998" s="14">
        <f>IF(B998="","",IF(K998&lt;&gt;"",K998,IF(N(IFERROR(INDEX(Projects!$D$6:$D$65,MATCH(D998,Projects!$B$6:$B$65,0)),""))&gt;0,IFERROR(INDEX(Projects!$D$6:$D$65,MATCH(D998,Projects!$B$6:$B$65,0)),""),IFERROR(INDEX(Clients!$G$6:$G$45,MATCH(C998,Clients!$B$6:$B$45,0)),0))))</f>
        <v/>
      </c>
      <c r="O998" s="14">
        <f>IF(B998="","",IF(J998&lt;&gt;"",0,ROUND(M998*N998,2)))</f>
        <v/>
      </c>
      <c r="P998" s="15">
        <f>IF(OR(B998="",J998&lt;&gt;""),"",IF(L998&lt;&gt;"",L998,IF(COUNTIFS(Invoices!$C$6:$C$305,C998,Invoices!$E$6:$E$305,"&lt;="&amp;B998,Invoices!$F$6:$F$305,"&gt;="&amp;B998)=1,INDEX(Invoices!$B$6:$B$305,SUMIFS(Invoices!$O$6:$O$305,Invoices!$C$6:$C$305,C998,Invoices!$E$6:$E$305,"&lt;="&amp;B998,Invoices!$F$6:$F$305,"&gt;="&amp;B998)),IF(COUNTIFS(Invoices!$C$6:$C$305,C998,Invoices!$E$6:$E$305,"&lt;="&amp;B998,Invoices!$F$6:$F$305,"&gt;="&amp;B998)&gt;1,"Two invoices",""))))</f>
        <v/>
      </c>
      <c r="Q998" s="15">
        <f>IF(B998="","",IF(J998&lt;&gt;"","Not billable",IF(P998="","To invoice",IF(P998="Two invoices","Check dates",IF(ISNA(MATCH(P998,Invoices!$B$6:$B$305,0)),"Check number",IF(INDEX(Invoices!$M$6:$M$305,MATCH(P998,Invoices!$B$6:$B$305,0))="Paid","Paid",IF(INDEX(Invoices!$M$6:$M$305,MATCH(P998,Invoices!$B$6:$B$305,0))="Draft","Draft","Invoiced")))))))</f>
        <v/>
      </c>
      <c r="R998" s="1">
        <f>IF(AND(B998&lt;&gt;"",P998&lt;&gt;"",P998=Invoice!$G$4),B998+MOD(N(F998),1)+ROW()/10000000,"")</f>
        <v/>
      </c>
      <c r="S998">
        <f>IF(R998="","",IF(D998="","Other work",D998)&amp;IF(AND(K998&lt;&gt;"",E998&lt;&gt;""),", "&amp;E998,""))</f>
        <v/>
      </c>
      <c r="T998">
        <f>IF(R998="","",IF(COUNTIFS(R$6:R997,"&gt;0",S$6:S997,S998,N$6:N997,N998)=0,R998,""))</f>
        <v/>
      </c>
      <c r="U998">
        <f>IF(B998="","",IF(J998&lt;&gt;"",0,M998))</f>
        <v/>
      </c>
    </row>
    <row r="999">
      <c r="A999" s="1" t="n"/>
      <c r="B999" s="16" t="n"/>
      <c r="C999" s="17" t="n"/>
      <c r="D999" s="18" t="n"/>
      <c r="E999" s="18" t="n"/>
      <c r="F999" s="19" t="n"/>
      <c r="G999" s="19" t="n"/>
      <c r="H999" s="20" t="n"/>
      <c r="I999" s="21" t="n"/>
      <c r="J999" s="22" t="n"/>
      <c r="K999" s="23" t="n"/>
      <c r="L999" s="18" t="n"/>
      <c r="M999" s="24">
        <f>IF(B999="","",IF(AND(F999&lt;&gt;"",G999&lt;&gt;""),MAX(0,ROUND(MOD(G999-F999,1)*24-N(H999)/60,2)),N(I999)))</f>
        <v/>
      </c>
      <c r="N999" s="14">
        <f>IF(B999="","",IF(K999&lt;&gt;"",K999,IF(N(IFERROR(INDEX(Projects!$D$6:$D$65,MATCH(D999,Projects!$B$6:$B$65,0)),""))&gt;0,IFERROR(INDEX(Projects!$D$6:$D$65,MATCH(D999,Projects!$B$6:$B$65,0)),""),IFERROR(INDEX(Clients!$G$6:$G$45,MATCH(C999,Clients!$B$6:$B$45,0)),0))))</f>
        <v/>
      </c>
      <c r="O999" s="14">
        <f>IF(B999="","",IF(J999&lt;&gt;"",0,ROUND(M999*N999,2)))</f>
        <v/>
      </c>
      <c r="P999" s="15">
        <f>IF(OR(B999="",J999&lt;&gt;""),"",IF(L999&lt;&gt;"",L999,IF(COUNTIFS(Invoices!$C$6:$C$305,C999,Invoices!$E$6:$E$305,"&lt;="&amp;B999,Invoices!$F$6:$F$305,"&gt;="&amp;B999)=1,INDEX(Invoices!$B$6:$B$305,SUMIFS(Invoices!$O$6:$O$305,Invoices!$C$6:$C$305,C999,Invoices!$E$6:$E$305,"&lt;="&amp;B999,Invoices!$F$6:$F$305,"&gt;="&amp;B999)),IF(COUNTIFS(Invoices!$C$6:$C$305,C999,Invoices!$E$6:$E$305,"&lt;="&amp;B999,Invoices!$F$6:$F$305,"&gt;="&amp;B999)&gt;1,"Two invoices",""))))</f>
        <v/>
      </c>
      <c r="Q999" s="15">
        <f>IF(B999="","",IF(J999&lt;&gt;"","Not billable",IF(P999="","To invoice",IF(P999="Two invoices","Check dates",IF(ISNA(MATCH(P999,Invoices!$B$6:$B$305,0)),"Check number",IF(INDEX(Invoices!$M$6:$M$305,MATCH(P999,Invoices!$B$6:$B$305,0))="Paid","Paid",IF(INDEX(Invoices!$M$6:$M$305,MATCH(P999,Invoices!$B$6:$B$305,0))="Draft","Draft","Invoiced")))))))</f>
        <v/>
      </c>
      <c r="R999" s="1">
        <f>IF(AND(B999&lt;&gt;"",P999&lt;&gt;"",P999=Invoice!$G$4),B999+MOD(N(F999),1)+ROW()/10000000,"")</f>
        <v/>
      </c>
      <c r="S999">
        <f>IF(R999="","",IF(D999="","Other work",D999)&amp;IF(AND(K999&lt;&gt;"",E999&lt;&gt;""),", "&amp;E999,""))</f>
        <v/>
      </c>
      <c r="T999">
        <f>IF(R999="","",IF(COUNTIFS(R$6:R998,"&gt;0",S$6:S998,S999,N$6:N998,N999)=0,R999,""))</f>
        <v/>
      </c>
      <c r="U999">
        <f>IF(B999="","",IF(J999&lt;&gt;"",0,M999))</f>
        <v/>
      </c>
    </row>
    <row r="1000">
      <c r="A1000" s="1" t="n"/>
      <c r="B1000" s="16" t="n"/>
      <c r="C1000" s="17" t="n"/>
      <c r="D1000" s="18" t="n"/>
      <c r="E1000" s="18" t="n"/>
      <c r="F1000" s="19" t="n"/>
      <c r="G1000" s="19" t="n"/>
      <c r="H1000" s="20" t="n"/>
      <c r="I1000" s="21" t="n"/>
      <c r="J1000" s="22" t="n"/>
      <c r="K1000" s="23" t="n"/>
      <c r="L1000" s="18" t="n"/>
      <c r="M1000" s="24">
        <f>IF(B1000="","",IF(AND(F1000&lt;&gt;"",G1000&lt;&gt;""),MAX(0,ROUND(MOD(G1000-F1000,1)*24-N(H1000)/60,2)),N(I1000)))</f>
        <v/>
      </c>
      <c r="N1000" s="14">
        <f>IF(B1000="","",IF(K1000&lt;&gt;"",K1000,IF(N(IFERROR(INDEX(Projects!$D$6:$D$65,MATCH(D1000,Projects!$B$6:$B$65,0)),""))&gt;0,IFERROR(INDEX(Projects!$D$6:$D$65,MATCH(D1000,Projects!$B$6:$B$65,0)),""),IFERROR(INDEX(Clients!$G$6:$G$45,MATCH(C1000,Clients!$B$6:$B$45,0)),0))))</f>
        <v/>
      </c>
      <c r="O1000" s="14">
        <f>IF(B1000="","",IF(J1000&lt;&gt;"",0,ROUND(M1000*N1000,2)))</f>
        <v/>
      </c>
      <c r="P1000" s="15">
        <f>IF(OR(B1000="",J1000&lt;&gt;""),"",IF(L1000&lt;&gt;"",L1000,IF(COUNTIFS(Invoices!$C$6:$C$305,C1000,Invoices!$E$6:$E$305,"&lt;="&amp;B1000,Invoices!$F$6:$F$305,"&gt;="&amp;B1000)=1,INDEX(Invoices!$B$6:$B$305,SUMIFS(Invoices!$O$6:$O$305,Invoices!$C$6:$C$305,C1000,Invoices!$E$6:$E$305,"&lt;="&amp;B1000,Invoices!$F$6:$F$305,"&gt;="&amp;B1000)),IF(COUNTIFS(Invoices!$C$6:$C$305,C1000,Invoices!$E$6:$E$305,"&lt;="&amp;B1000,Invoices!$F$6:$F$305,"&gt;="&amp;B1000)&gt;1,"Two invoices",""))))</f>
        <v/>
      </c>
      <c r="Q1000" s="15">
        <f>IF(B1000="","",IF(J1000&lt;&gt;"","Not billable",IF(P1000="","To invoice",IF(P1000="Two invoices","Check dates",IF(ISNA(MATCH(P1000,Invoices!$B$6:$B$305,0)),"Check number",IF(INDEX(Invoices!$M$6:$M$305,MATCH(P1000,Invoices!$B$6:$B$305,0))="Paid","Paid",IF(INDEX(Invoices!$M$6:$M$305,MATCH(P1000,Invoices!$B$6:$B$305,0))="Draft","Draft","Invoiced")))))))</f>
        <v/>
      </c>
      <c r="R1000" s="1">
        <f>IF(AND(B1000&lt;&gt;"",P1000&lt;&gt;"",P1000=Invoice!$G$4),B1000+MOD(N(F1000),1)+ROW()/10000000,"")</f>
        <v/>
      </c>
      <c r="S1000">
        <f>IF(R1000="","",IF(D1000="","Other work",D1000)&amp;IF(AND(K1000&lt;&gt;"",E1000&lt;&gt;""),", "&amp;E1000,""))</f>
        <v/>
      </c>
      <c r="T1000">
        <f>IF(R1000="","",IF(COUNTIFS(R$6:R999,"&gt;0",S$6:S999,S1000,N$6:N999,N1000)=0,R1000,""))</f>
        <v/>
      </c>
      <c r="U1000">
        <f>IF(B1000="","",IF(J1000&lt;&gt;"",0,M1000))</f>
        <v/>
      </c>
    </row>
    <row r="1001">
      <c r="A1001" s="1" t="n"/>
      <c r="B1001" s="16" t="n"/>
      <c r="C1001" s="17" t="n"/>
      <c r="D1001" s="18" t="n"/>
      <c r="E1001" s="18" t="n"/>
      <c r="F1001" s="19" t="n"/>
      <c r="G1001" s="19" t="n"/>
      <c r="H1001" s="20" t="n"/>
      <c r="I1001" s="21" t="n"/>
      <c r="J1001" s="22" t="n"/>
      <c r="K1001" s="23" t="n"/>
      <c r="L1001" s="18" t="n"/>
      <c r="M1001" s="24">
        <f>IF(B1001="","",IF(AND(F1001&lt;&gt;"",G1001&lt;&gt;""),MAX(0,ROUND(MOD(G1001-F1001,1)*24-N(H1001)/60,2)),N(I1001)))</f>
        <v/>
      </c>
      <c r="N1001" s="14">
        <f>IF(B1001="","",IF(K1001&lt;&gt;"",K1001,IF(N(IFERROR(INDEX(Projects!$D$6:$D$65,MATCH(D1001,Projects!$B$6:$B$65,0)),""))&gt;0,IFERROR(INDEX(Projects!$D$6:$D$65,MATCH(D1001,Projects!$B$6:$B$65,0)),""),IFERROR(INDEX(Clients!$G$6:$G$45,MATCH(C1001,Clients!$B$6:$B$45,0)),0))))</f>
        <v/>
      </c>
      <c r="O1001" s="14">
        <f>IF(B1001="","",IF(J1001&lt;&gt;"",0,ROUND(M1001*N1001,2)))</f>
        <v/>
      </c>
      <c r="P1001" s="15">
        <f>IF(OR(B1001="",J1001&lt;&gt;""),"",IF(L1001&lt;&gt;"",L1001,IF(COUNTIFS(Invoices!$C$6:$C$305,C1001,Invoices!$E$6:$E$305,"&lt;="&amp;B1001,Invoices!$F$6:$F$305,"&gt;="&amp;B1001)=1,INDEX(Invoices!$B$6:$B$305,SUMIFS(Invoices!$O$6:$O$305,Invoices!$C$6:$C$305,C1001,Invoices!$E$6:$E$305,"&lt;="&amp;B1001,Invoices!$F$6:$F$305,"&gt;="&amp;B1001)),IF(COUNTIFS(Invoices!$C$6:$C$305,C1001,Invoices!$E$6:$E$305,"&lt;="&amp;B1001,Invoices!$F$6:$F$305,"&gt;="&amp;B1001)&gt;1,"Two invoices",""))))</f>
        <v/>
      </c>
      <c r="Q1001" s="15">
        <f>IF(B1001="","",IF(J1001&lt;&gt;"","Not billable",IF(P1001="","To invoice",IF(P1001="Two invoices","Check dates",IF(ISNA(MATCH(P1001,Invoices!$B$6:$B$305,0)),"Check number",IF(INDEX(Invoices!$M$6:$M$305,MATCH(P1001,Invoices!$B$6:$B$305,0))="Paid","Paid",IF(INDEX(Invoices!$M$6:$M$305,MATCH(P1001,Invoices!$B$6:$B$305,0))="Draft","Draft","Invoiced")))))))</f>
        <v/>
      </c>
      <c r="R1001" s="1">
        <f>IF(AND(B1001&lt;&gt;"",P1001&lt;&gt;"",P1001=Invoice!$G$4),B1001+MOD(N(F1001),1)+ROW()/10000000,"")</f>
        <v/>
      </c>
      <c r="S1001">
        <f>IF(R1001="","",IF(D1001="","Other work",D1001)&amp;IF(AND(K1001&lt;&gt;"",E1001&lt;&gt;""),", "&amp;E1001,""))</f>
        <v/>
      </c>
      <c r="T1001">
        <f>IF(R1001="","",IF(COUNTIFS(R$6:R1000,"&gt;0",S$6:S1000,S1001,N$6:N1000,N1001)=0,R1001,""))</f>
        <v/>
      </c>
      <c r="U1001">
        <f>IF(B1001="","",IF(J1001&lt;&gt;"",0,M1001))</f>
        <v/>
      </c>
    </row>
    <row r="1002">
      <c r="A1002" s="1" t="n"/>
      <c r="B1002" s="16" t="n"/>
      <c r="C1002" s="17" t="n"/>
      <c r="D1002" s="18" t="n"/>
      <c r="E1002" s="18" t="n"/>
      <c r="F1002" s="19" t="n"/>
      <c r="G1002" s="19" t="n"/>
      <c r="H1002" s="20" t="n"/>
      <c r="I1002" s="21" t="n"/>
      <c r="J1002" s="22" t="n"/>
      <c r="K1002" s="23" t="n"/>
      <c r="L1002" s="18" t="n"/>
      <c r="M1002" s="24">
        <f>IF(B1002="","",IF(AND(F1002&lt;&gt;"",G1002&lt;&gt;""),MAX(0,ROUND(MOD(G1002-F1002,1)*24-N(H1002)/60,2)),N(I1002)))</f>
        <v/>
      </c>
      <c r="N1002" s="14">
        <f>IF(B1002="","",IF(K1002&lt;&gt;"",K1002,IF(N(IFERROR(INDEX(Projects!$D$6:$D$65,MATCH(D1002,Projects!$B$6:$B$65,0)),""))&gt;0,IFERROR(INDEX(Projects!$D$6:$D$65,MATCH(D1002,Projects!$B$6:$B$65,0)),""),IFERROR(INDEX(Clients!$G$6:$G$45,MATCH(C1002,Clients!$B$6:$B$45,0)),0))))</f>
        <v/>
      </c>
      <c r="O1002" s="14">
        <f>IF(B1002="","",IF(J1002&lt;&gt;"",0,ROUND(M1002*N1002,2)))</f>
        <v/>
      </c>
      <c r="P1002" s="15">
        <f>IF(OR(B1002="",J1002&lt;&gt;""),"",IF(L1002&lt;&gt;"",L1002,IF(COUNTIFS(Invoices!$C$6:$C$305,C1002,Invoices!$E$6:$E$305,"&lt;="&amp;B1002,Invoices!$F$6:$F$305,"&gt;="&amp;B1002)=1,INDEX(Invoices!$B$6:$B$305,SUMIFS(Invoices!$O$6:$O$305,Invoices!$C$6:$C$305,C1002,Invoices!$E$6:$E$305,"&lt;="&amp;B1002,Invoices!$F$6:$F$305,"&gt;="&amp;B1002)),IF(COUNTIFS(Invoices!$C$6:$C$305,C1002,Invoices!$E$6:$E$305,"&lt;="&amp;B1002,Invoices!$F$6:$F$305,"&gt;="&amp;B1002)&gt;1,"Two invoices",""))))</f>
        <v/>
      </c>
      <c r="Q1002" s="15">
        <f>IF(B1002="","",IF(J1002&lt;&gt;"","Not billable",IF(P1002="","To invoice",IF(P1002="Two invoices","Check dates",IF(ISNA(MATCH(P1002,Invoices!$B$6:$B$305,0)),"Check number",IF(INDEX(Invoices!$M$6:$M$305,MATCH(P1002,Invoices!$B$6:$B$305,0))="Paid","Paid",IF(INDEX(Invoices!$M$6:$M$305,MATCH(P1002,Invoices!$B$6:$B$305,0))="Draft","Draft","Invoiced")))))))</f>
        <v/>
      </c>
      <c r="R1002" s="1">
        <f>IF(AND(B1002&lt;&gt;"",P1002&lt;&gt;"",P1002=Invoice!$G$4),B1002+MOD(N(F1002),1)+ROW()/10000000,"")</f>
        <v/>
      </c>
      <c r="S1002">
        <f>IF(R1002="","",IF(D1002="","Other work",D1002)&amp;IF(AND(K1002&lt;&gt;"",E1002&lt;&gt;""),", "&amp;E1002,""))</f>
        <v/>
      </c>
      <c r="T1002">
        <f>IF(R1002="","",IF(COUNTIFS(R$6:R1001,"&gt;0",S$6:S1001,S1002,N$6:N1001,N1002)=0,R1002,""))</f>
        <v/>
      </c>
      <c r="U1002">
        <f>IF(B1002="","",IF(J1002&lt;&gt;"",0,M1002))</f>
        <v/>
      </c>
    </row>
    <row r="1003">
      <c r="A1003" s="1" t="n"/>
      <c r="B1003" s="16" t="n"/>
      <c r="C1003" s="17" t="n"/>
      <c r="D1003" s="18" t="n"/>
      <c r="E1003" s="18" t="n"/>
      <c r="F1003" s="19" t="n"/>
      <c r="G1003" s="19" t="n"/>
      <c r="H1003" s="20" t="n"/>
      <c r="I1003" s="21" t="n"/>
      <c r="J1003" s="22" t="n"/>
      <c r="K1003" s="23" t="n"/>
      <c r="L1003" s="18" t="n"/>
      <c r="M1003" s="24">
        <f>IF(B1003="","",IF(AND(F1003&lt;&gt;"",G1003&lt;&gt;""),MAX(0,ROUND(MOD(G1003-F1003,1)*24-N(H1003)/60,2)),N(I1003)))</f>
        <v/>
      </c>
      <c r="N1003" s="14">
        <f>IF(B1003="","",IF(K1003&lt;&gt;"",K1003,IF(N(IFERROR(INDEX(Projects!$D$6:$D$65,MATCH(D1003,Projects!$B$6:$B$65,0)),""))&gt;0,IFERROR(INDEX(Projects!$D$6:$D$65,MATCH(D1003,Projects!$B$6:$B$65,0)),""),IFERROR(INDEX(Clients!$G$6:$G$45,MATCH(C1003,Clients!$B$6:$B$45,0)),0))))</f>
        <v/>
      </c>
      <c r="O1003" s="14">
        <f>IF(B1003="","",IF(J1003&lt;&gt;"",0,ROUND(M1003*N1003,2)))</f>
        <v/>
      </c>
      <c r="P1003" s="15">
        <f>IF(OR(B1003="",J1003&lt;&gt;""),"",IF(L1003&lt;&gt;"",L1003,IF(COUNTIFS(Invoices!$C$6:$C$305,C1003,Invoices!$E$6:$E$305,"&lt;="&amp;B1003,Invoices!$F$6:$F$305,"&gt;="&amp;B1003)=1,INDEX(Invoices!$B$6:$B$305,SUMIFS(Invoices!$O$6:$O$305,Invoices!$C$6:$C$305,C1003,Invoices!$E$6:$E$305,"&lt;="&amp;B1003,Invoices!$F$6:$F$305,"&gt;="&amp;B1003)),IF(COUNTIFS(Invoices!$C$6:$C$305,C1003,Invoices!$E$6:$E$305,"&lt;="&amp;B1003,Invoices!$F$6:$F$305,"&gt;="&amp;B1003)&gt;1,"Two invoices",""))))</f>
        <v/>
      </c>
      <c r="Q1003" s="15">
        <f>IF(B1003="","",IF(J1003&lt;&gt;"","Not billable",IF(P1003="","To invoice",IF(P1003="Two invoices","Check dates",IF(ISNA(MATCH(P1003,Invoices!$B$6:$B$305,0)),"Check number",IF(INDEX(Invoices!$M$6:$M$305,MATCH(P1003,Invoices!$B$6:$B$305,0))="Paid","Paid",IF(INDEX(Invoices!$M$6:$M$305,MATCH(P1003,Invoices!$B$6:$B$305,0))="Draft","Draft","Invoiced")))))))</f>
        <v/>
      </c>
      <c r="R1003" s="1">
        <f>IF(AND(B1003&lt;&gt;"",P1003&lt;&gt;"",P1003=Invoice!$G$4),B1003+MOD(N(F1003),1)+ROW()/10000000,"")</f>
        <v/>
      </c>
      <c r="S1003">
        <f>IF(R1003="","",IF(D1003="","Other work",D1003)&amp;IF(AND(K1003&lt;&gt;"",E1003&lt;&gt;""),", "&amp;E1003,""))</f>
        <v/>
      </c>
      <c r="T1003">
        <f>IF(R1003="","",IF(COUNTIFS(R$6:R1002,"&gt;0",S$6:S1002,S1003,N$6:N1002,N1003)=0,R1003,""))</f>
        <v/>
      </c>
      <c r="U1003">
        <f>IF(B1003="","",IF(J1003&lt;&gt;"",0,M1003))</f>
        <v/>
      </c>
    </row>
    <row r="1004">
      <c r="A1004" s="1" t="n"/>
      <c r="B1004" s="16" t="n"/>
      <c r="C1004" s="17" t="n"/>
      <c r="D1004" s="18" t="n"/>
      <c r="E1004" s="18" t="n"/>
      <c r="F1004" s="19" t="n"/>
      <c r="G1004" s="19" t="n"/>
      <c r="H1004" s="20" t="n"/>
      <c r="I1004" s="21" t="n"/>
      <c r="J1004" s="22" t="n"/>
      <c r="K1004" s="23" t="n"/>
      <c r="L1004" s="18" t="n"/>
      <c r="M1004" s="24">
        <f>IF(B1004="","",IF(AND(F1004&lt;&gt;"",G1004&lt;&gt;""),MAX(0,ROUND(MOD(G1004-F1004,1)*24-N(H1004)/60,2)),N(I1004)))</f>
        <v/>
      </c>
      <c r="N1004" s="14">
        <f>IF(B1004="","",IF(K1004&lt;&gt;"",K1004,IF(N(IFERROR(INDEX(Projects!$D$6:$D$65,MATCH(D1004,Projects!$B$6:$B$65,0)),""))&gt;0,IFERROR(INDEX(Projects!$D$6:$D$65,MATCH(D1004,Projects!$B$6:$B$65,0)),""),IFERROR(INDEX(Clients!$G$6:$G$45,MATCH(C1004,Clients!$B$6:$B$45,0)),0))))</f>
        <v/>
      </c>
      <c r="O1004" s="14">
        <f>IF(B1004="","",IF(J1004&lt;&gt;"",0,ROUND(M1004*N1004,2)))</f>
        <v/>
      </c>
      <c r="P1004" s="15">
        <f>IF(OR(B1004="",J1004&lt;&gt;""),"",IF(L1004&lt;&gt;"",L1004,IF(COUNTIFS(Invoices!$C$6:$C$305,C1004,Invoices!$E$6:$E$305,"&lt;="&amp;B1004,Invoices!$F$6:$F$305,"&gt;="&amp;B1004)=1,INDEX(Invoices!$B$6:$B$305,SUMIFS(Invoices!$O$6:$O$305,Invoices!$C$6:$C$305,C1004,Invoices!$E$6:$E$305,"&lt;="&amp;B1004,Invoices!$F$6:$F$305,"&gt;="&amp;B1004)),IF(COUNTIFS(Invoices!$C$6:$C$305,C1004,Invoices!$E$6:$E$305,"&lt;="&amp;B1004,Invoices!$F$6:$F$305,"&gt;="&amp;B1004)&gt;1,"Two invoices",""))))</f>
        <v/>
      </c>
      <c r="Q1004" s="15">
        <f>IF(B1004="","",IF(J1004&lt;&gt;"","Not billable",IF(P1004="","To invoice",IF(P1004="Two invoices","Check dates",IF(ISNA(MATCH(P1004,Invoices!$B$6:$B$305,0)),"Check number",IF(INDEX(Invoices!$M$6:$M$305,MATCH(P1004,Invoices!$B$6:$B$305,0))="Paid","Paid",IF(INDEX(Invoices!$M$6:$M$305,MATCH(P1004,Invoices!$B$6:$B$305,0))="Draft","Draft","Invoiced")))))))</f>
        <v/>
      </c>
      <c r="R1004" s="1">
        <f>IF(AND(B1004&lt;&gt;"",P1004&lt;&gt;"",P1004=Invoice!$G$4),B1004+MOD(N(F1004),1)+ROW()/10000000,"")</f>
        <v/>
      </c>
      <c r="S1004">
        <f>IF(R1004="","",IF(D1004="","Other work",D1004)&amp;IF(AND(K1004&lt;&gt;"",E1004&lt;&gt;""),", "&amp;E1004,""))</f>
        <v/>
      </c>
      <c r="T1004">
        <f>IF(R1004="","",IF(COUNTIFS(R$6:R1003,"&gt;0",S$6:S1003,S1004,N$6:N1003,N1004)=0,R1004,""))</f>
        <v/>
      </c>
      <c r="U1004">
        <f>IF(B1004="","",IF(J1004&lt;&gt;"",0,M1004))</f>
        <v/>
      </c>
    </row>
    <row r="1005">
      <c r="A1005" s="1" t="n"/>
      <c r="B1005" s="16" t="n"/>
      <c r="C1005" s="17" t="n"/>
      <c r="D1005" s="18" t="n"/>
      <c r="E1005" s="18" t="n"/>
      <c r="F1005" s="19" t="n"/>
      <c r="G1005" s="19" t="n"/>
      <c r="H1005" s="20" t="n"/>
      <c r="I1005" s="21" t="n"/>
      <c r="J1005" s="22" t="n"/>
      <c r="K1005" s="23" t="n"/>
      <c r="L1005" s="18" t="n"/>
      <c r="M1005" s="24">
        <f>IF(B1005="","",IF(AND(F1005&lt;&gt;"",G1005&lt;&gt;""),MAX(0,ROUND(MOD(G1005-F1005,1)*24-N(H1005)/60,2)),N(I1005)))</f>
        <v/>
      </c>
      <c r="N1005" s="14">
        <f>IF(B1005="","",IF(K1005&lt;&gt;"",K1005,IF(N(IFERROR(INDEX(Projects!$D$6:$D$65,MATCH(D1005,Projects!$B$6:$B$65,0)),""))&gt;0,IFERROR(INDEX(Projects!$D$6:$D$65,MATCH(D1005,Projects!$B$6:$B$65,0)),""),IFERROR(INDEX(Clients!$G$6:$G$45,MATCH(C1005,Clients!$B$6:$B$45,0)),0))))</f>
        <v/>
      </c>
      <c r="O1005" s="14">
        <f>IF(B1005="","",IF(J1005&lt;&gt;"",0,ROUND(M1005*N1005,2)))</f>
        <v/>
      </c>
      <c r="P1005" s="15">
        <f>IF(OR(B1005="",J1005&lt;&gt;""),"",IF(L1005&lt;&gt;"",L1005,IF(COUNTIFS(Invoices!$C$6:$C$305,C1005,Invoices!$E$6:$E$305,"&lt;="&amp;B1005,Invoices!$F$6:$F$305,"&gt;="&amp;B1005)=1,INDEX(Invoices!$B$6:$B$305,SUMIFS(Invoices!$O$6:$O$305,Invoices!$C$6:$C$305,C1005,Invoices!$E$6:$E$305,"&lt;="&amp;B1005,Invoices!$F$6:$F$305,"&gt;="&amp;B1005)),IF(COUNTIFS(Invoices!$C$6:$C$305,C1005,Invoices!$E$6:$E$305,"&lt;="&amp;B1005,Invoices!$F$6:$F$305,"&gt;="&amp;B1005)&gt;1,"Two invoices",""))))</f>
        <v/>
      </c>
      <c r="Q1005" s="15">
        <f>IF(B1005="","",IF(J1005&lt;&gt;"","Not billable",IF(P1005="","To invoice",IF(P1005="Two invoices","Check dates",IF(ISNA(MATCH(P1005,Invoices!$B$6:$B$305,0)),"Check number",IF(INDEX(Invoices!$M$6:$M$305,MATCH(P1005,Invoices!$B$6:$B$305,0))="Paid","Paid",IF(INDEX(Invoices!$M$6:$M$305,MATCH(P1005,Invoices!$B$6:$B$305,0))="Draft","Draft","Invoiced")))))))</f>
        <v/>
      </c>
      <c r="R1005" s="1">
        <f>IF(AND(B1005&lt;&gt;"",P1005&lt;&gt;"",P1005=Invoice!$G$4),B1005+MOD(N(F1005),1)+ROW()/10000000,"")</f>
        <v/>
      </c>
      <c r="S1005">
        <f>IF(R1005="","",IF(D1005="","Other work",D1005)&amp;IF(AND(K1005&lt;&gt;"",E1005&lt;&gt;""),", "&amp;E1005,""))</f>
        <v/>
      </c>
      <c r="T1005">
        <f>IF(R1005="","",IF(COUNTIFS(R$6:R1004,"&gt;0",S$6:S1004,S1005,N$6:N1004,N1005)=0,R1005,""))</f>
        <v/>
      </c>
      <c r="U1005">
        <f>IF(B1005="","",IF(J1005&lt;&gt;"",0,M1005))</f>
        <v/>
      </c>
    </row>
    <row r="1006">
      <c r="A1006" s="1" t="n"/>
      <c r="B1006" s="16" t="n"/>
      <c r="C1006" s="17" t="n"/>
      <c r="D1006" s="18" t="n"/>
      <c r="E1006" s="18" t="n"/>
      <c r="F1006" s="19" t="n"/>
      <c r="G1006" s="19" t="n"/>
      <c r="H1006" s="20" t="n"/>
      <c r="I1006" s="21" t="n"/>
      <c r="J1006" s="22" t="n"/>
      <c r="K1006" s="23" t="n"/>
      <c r="L1006" s="18" t="n"/>
      <c r="M1006" s="24">
        <f>IF(B1006="","",IF(AND(F1006&lt;&gt;"",G1006&lt;&gt;""),MAX(0,ROUND(MOD(G1006-F1006,1)*24-N(H1006)/60,2)),N(I1006)))</f>
        <v/>
      </c>
      <c r="N1006" s="14">
        <f>IF(B1006="","",IF(K1006&lt;&gt;"",K1006,IF(N(IFERROR(INDEX(Projects!$D$6:$D$65,MATCH(D1006,Projects!$B$6:$B$65,0)),""))&gt;0,IFERROR(INDEX(Projects!$D$6:$D$65,MATCH(D1006,Projects!$B$6:$B$65,0)),""),IFERROR(INDEX(Clients!$G$6:$G$45,MATCH(C1006,Clients!$B$6:$B$45,0)),0))))</f>
        <v/>
      </c>
      <c r="O1006" s="14">
        <f>IF(B1006="","",IF(J1006&lt;&gt;"",0,ROUND(M1006*N1006,2)))</f>
        <v/>
      </c>
      <c r="P1006" s="15">
        <f>IF(OR(B1006="",J1006&lt;&gt;""),"",IF(L1006&lt;&gt;"",L1006,IF(COUNTIFS(Invoices!$C$6:$C$305,C1006,Invoices!$E$6:$E$305,"&lt;="&amp;B1006,Invoices!$F$6:$F$305,"&gt;="&amp;B1006)=1,INDEX(Invoices!$B$6:$B$305,SUMIFS(Invoices!$O$6:$O$305,Invoices!$C$6:$C$305,C1006,Invoices!$E$6:$E$305,"&lt;="&amp;B1006,Invoices!$F$6:$F$305,"&gt;="&amp;B1006)),IF(COUNTIFS(Invoices!$C$6:$C$305,C1006,Invoices!$E$6:$E$305,"&lt;="&amp;B1006,Invoices!$F$6:$F$305,"&gt;="&amp;B1006)&gt;1,"Two invoices",""))))</f>
        <v/>
      </c>
      <c r="Q1006" s="15">
        <f>IF(B1006="","",IF(J1006&lt;&gt;"","Not billable",IF(P1006="","To invoice",IF(P1006="Two invoices","Check dates",IF(ISNA(MATCH(P1006,Invoices!$B$6:$B$305,0)),"Check number",IF(INDEX(Invoices!$M$6:$M$305,MATCH(P1006,Invoices!$B$6:$B$305,0))="Paid","Paid",IF(INDEX(Invoices!$M$6:$M$305,MATCH(P1006,Invoices!$B$6:$B$305,0))="Draft","Draft","Invoiced")))))))</f>
        <v/>
      </c>
      <c r="R1006" s="1">
        <f>IF(AND(B1006&lt;&gt;"",P1006&lt;&gt;"",P1006=Invoice!$G$4),B1006+MOD(N(F1006),1)+ROW()/10000000,"")</f>
        <v/>
      </c>
      <c r="S1006">
        <f>IF(R1006="","",IF(D1006="","Other work",D1006)&amp;IF(AND(K1006&lt;&gt;"",E1006&lt;&gt;""),", "&amp;E1006,""))</f>
        <v/>
      </c>
      <c r="T1006">
        <f>IF(R1006="","",IF(COUNTIFS(R$6:R1005,"&gt;0",S$6:S1005,S1006,N$6:N1005,N1006)=0,R1006,""))</f>
        <v/>
      </c>
      <c r="U1006">
        <f>IF(B1006="","",IF(J1006&lt;&gt;"",0,M1006))</f>
        <v/>
      </c>
    </row>
    <row r="1007">
      <c r="A1007" s="1" t="n"/>
      <c r="B1007" s="16" t="n"/>
      <c r="C1007" s="17" t="n"/>
      <c r="D1007" s="18" t="n"/>
      <c r="E1007" s="18" t="n"/>
      <c r="F1007" s="19" t="n"/>
      <c r="G1007" s="19" t="n"/>
      <c r="H1007" s="20" t="n"/>
      <c r="I1007" s="21" t="n"/>
      <c r="J1007" s="22" t="n"/>
      <c r="K1007" s="23" t="n"/>
      <c r="L1007" s="18" t="n"/>
      <c r="M1007" s="24">
        <f>IF(B1007="","",IF(AND(F1007&lt;&gt;"",G1007&lt;&gt;""),MAX(0,ROUND(MOD(G1007-F1007,1)*24-N(H1007)/60,2)),N(I1007)))</f>
        <v/>
      </c>
      <c r="N1007" s="14">
        <f>IF(B1007="","",IF(K1007&lt;&gt;"",K1007,IF(N(IFERROR(INDEX(Projects!$D$6:$D$65,MATCH(D1007,Projects!$B$6:$B$65,0)),""))&gt;0,IFERROR(INDEX(Projects!$D$6:$D$65,MATCH(D1007,Projects!$B$6:$B$65,0)),""),IFERROR(INDEX(Clients!$G$6:$G$45,MATCH(C1007,Clients!$B$6:$B$45,0)),0))))</f>
        <v/>
      </c>
      <c r="O1007" s="14">
        <f>IF(B1007="","",IF(J1007&lt;&gt;"",0,ROUND(M1007*N1007,2)))</f>
        <v/>
      </c>
      <c r="P1007" s="15">
        <f>IF(OR(B1007="",J1007&lt;&gt;""),"",IF(L1007&lt;&gt;"",L1007,IF(COUNTIFS(Invoices!$C$6:$C$305,C1007,Invoices!$E$6:$E$305,"&lt;="&amp;B1007,Invoices!$F$6:$F$305,"&gt;="&amp;B1007)=1,INDEX(Invoices!$B$6:$B$305,SUMIFS(Invoices!$O$6:$O$305,Invoices!$C$6:$C$305,C1007,Invoices!$E$6:$E$305,"&lt;="&amp;B1007,Invoices!$F$6:$F$305,"&gt;="&amp;B1007)),IF(COUNTIFS(Invoices!$C$6:$C$305,C1007,Invoices!$E$6:$E$305,"&lt;="&amp;B1007,Invoices!$F$6:$F$305,"&gt;="&amp;B1007)&gt;1,"Two invoices",""))))</f>
        <v/>
      </c>
      <c r="Q1007" s="15">
        <f>IF(B1007="","",IF(J1007&lt;&gt;"","Not billable",IF(P1007="","To invoice",IF(P1007="Two invoices","Check dates",IF(ISNA(MATCH(P1007,Invoices!$B$6:$B$305,0)),"Check number",IF(INDEX(Invoices!$M$6:$M$305,MATCH(P1007,Invoices!$B$6:$B$305,0))="Paid","Paid",IF(INDEX(Invoices!$M$6:$M$305,MATCH(P1007,Invoices!$B$6:$B$305,0))="Draft","Draft","Invoiced")))))))</f>
        <v/>
      </c>
      <c r="R1007" s="1">
        <f>IF(AND(B1007&lt;&gt;"",P1007&lt;&gt;"",P1007=Invoice!$G$4),B1007+MOD(N(F1007),1)+ROW()/10000000,"")</f>
        <v/>
      </c>
      <c r="S1007">
        <f>IF(R1007="","",IF(D1007="","Other work",D1007)&amp;IF(AND(K1007&lt;&gt;"",E1007&lt;&gt;""),", "&amp;E1007,""))</f>
        <v/>
      </c>
      <c r="T1007">
        <f>IF(R1007="","",IF(COUNTIFS(R$6:R1006,"&gt;0",S$6:S1006,S1007,N$6:N1006,N1007)=0,R1007,""))</f>
        <v/>
      </c>
      <c r="U1007">
        <f>IF(B1007="","",IF(J1007&lt;&gt;"",0,M1007))</f>
        <v/>
      </c>
    </row>
    <row r="1008">
      <c r="A1008" s="1" t="n"/>
      <c r="B1008" s="16" t="n"/>
      <c r="C1008" s="17" t="n"/>
      <c r="D1008" s="18" t="n"/>
      <c r="E1008" s="18" t="n"/>
      <c r="F1008" s="19" t="n"/>
      <c r="G1008" s="19" t="n"/>
      <c r="H1008" s="20" t="n"/>
      <c r="I1008" s="21" t="n"/>
      <c r="J1008" s="22" t="n"/>
      <c r="K1008" s="23" t="n"/>
      <c r="L1008" s="18" t="n"/>
      <c r="M1008" s="24">
        <f>IF(B1008="","",IF(AND(F1008&lt;&gt;"",G1008&lt;&gt;""),MAX(0,ROUND(MOD(G1008-F1008,1)*24-N(H1008)/60,2)),N(I1008)))</f>
        <v/>
      </c>
      <c r="N1008" s="14">
        <f>IF(B1008="","",IF(K1008&lt;&gt;"",K1008,IF(N(IFERROR(INDEX(Projects!$D$6:$D$65,MATCH(D1008,Projects!$B$6:$B$65,0)),""))&gt;0,IFERROR(INDEX(Projects!$D$6:$D$65,MATCH(D1008,Projects!$B$6:$B$65,0)),""),IFERROR(INDEX(Clients!$G$6:$G$45,MATCH(C1008,Clients!$B$6:$B$45,0)),0))))</f>
        <v/>
      </c>
      <c r="O1008" s="14">
        <f>IF(B1008="","",IF(J1008&lt;&gt;"",0,ROUND(M1008*N1008,2)))</f>
        <v/>
      </c>
      <c r="P1008" s="15">
        <f>IF(OR(B1008="",J1008&lt;&gt;""),"",IF(L1008&lt;&gt;"",L1008,IF(COUNTIFS(Invoices!$C$6:$C$305,C1008,Invoices!$E$6:$E$305,"&lt;="&amp;B1008,Invoices!$F$6:$F$305,"&gt;="&amp;B1008)=1,INDEX(Invoices!$B$6:$B$305,SUMIFS(Invoices!$O$6:$O$305,Invoices!$C$6:$C$305,C1008,Invoices!$E$6:$E$305,"&lt;="&amp;B1008,Invoices!$F$6:$F$305,"&gt;="&amp;B1008)),IF(COUNTIFS(Invoices!$C$6:$C$305,C1008,Invoices!$E$6:$E$305,"&lt;="&amp;B1008,Invoices!$F$6:$F$305,"&gt;="&amp;B1008)&gt;1,"Two invoices",""))))</f>
        <v/>
      </c>
      <c r="Q1008" s="15">
        <f>IF(B1008="","",IF(J1008&lt;&gt;"","Not billable",IF(P1008="","To invoice",IF(P1008="Two invoices","Check dates",IF(ISNA(MATCH(P1008,Invoices!$B$6:$B$305,0)),"Check number",IF(INDEX(Invoices!$M$6:$M$305,MATCH(P1008,Invoices!$B$6:$B$305,0))="Paid","Paid",IF(INDEX(Invoices!$M$6:$M$305,MATCH(P1008,Invoices!$B$6:$B$305,0))="Draft","Draft","Invoiced")))))))</f>
        <v/>
      </c>
      <c r="R1008" s="1">
        <f>IF(AND(B1008&lt;&gt;"",P1008&lt;&gt;"",P1008=Invoice!$G$4),B1008+MOD(N(F1008),1)+ROW()/10000000,"")</f>
        <v/>
      </c>
      <c r="S1008">
        <f>IF(R1008="","",IF(D1008="","Other work",D1008)&amp;IF(AND(K1008&lt;&gt;"",E1008&lt;&gt;""),", "&amp;E1008,""))</f>
        <v/>
      </c>
      <c r="T1008">
        <f>IF(R1008="","",IF(COUNTIFS(R$6:R1007,"&gt;0",S$6:S1007,S1008,N$6:N1007,N1008)=0,R1008,""))</f>
        <v/>
      </c>
      <c r="U1008">
        <f>IF(B1008="","",IF(J1008&lt;&gt;"",0,M1008))</f>
        <v/>
      </c>
    </row>
    <row r="1009">
      <c r="A1009" s="1" t="n"/>
      <c r="B1009" s="16" t="n"/>
      <c r="C1009" s="17" t="n"/>
      <c r="D1009" s="18" t="n"/>
      <c r="E1009" s="18" t="n"/>
      <c r="F1009" s="19" t="n"/>
      <c r="G1009" s="19" t="n"/>
      <c r="H1009" s="20" t="n"/>
      <c r="I1009" s="21" t="n"/>
      <c r="J1009" s="22" t="n"/>
      <c r="K1009" s="23" t="n"/>
      <c r="L1009" s="18" t="n"/>
      <c r="M1009" s="24">
        <f>IF(B1009="","",IF(AND(F1009&lt;&gt;"",G1009&lt;&gt;""),MAX(0,ROUND(MOD(G1009-F1009,1)*24-N(H1009)/60,2)),N(I1009)))</f>
        <v/>
      </c>
      <c r="N1009" s="14">
        <f>IF(B1009="","",IF(K1009&lt;&gt;"",K1009,IF(N(IFERROR(INDEX(Projects!$D$6:$D$65,MATCH(D1009,Projects!$B$6:$B$65,0)),""))&gt;0,IFERROR(INDEX(Projects!$D$6:$D$65,MATCH(D1009,Projects!$B$6:$B$65,0)),""),IFERROR(INDEX(Clients!$G$6:$G$45,MATCH(C1009,Clients!$B$6:$B$45,0)),0))))</f>
        <v/>
      </c>
      <c r="O1009" s="14">
        <f>IF(B1009="","",IF(J1009&lt;&gt;"",0,ROUND(M1009*N1009,2)))</f>
        <v/>
      </c>
      <c r="P1009" s="15">
        <f>IF(OR(B1009="",J1009&lt;&gt;""),"",IF(L1009&lt;&gt;"",L1009,IF(COUNTIFS(Invoices!$C$6:$C$305,C1009,Invoices!$E$6:$E$305,"&lt;="&amp;B1009,Invoices!$F$6:$F$305,"&gt;="&amp;B1009)=1,INDEX(Invoices!$B$6:$B$305,SUMIFS(Invoices!$O$6:$O$305,Invoices!$C$6:$C$305,C1009,Invoices!$E$6:$E$305,"&lt;="&amp;B1009,Invoices!$F$6:$F$305,"&gt;="&amp;B1009)),IF(COUNTIFS(Invoices!$C$6:$C$305,C1009,Invoices!$E$6:$E$305,"&lt;="&amp;B1009,Invoices!$F$6:$F$305,"&gt;="&amp;B1009)&gt;1,"Two invoices",""))))</f>
        <v/>
      </c>
      <c r="Q1009" s="15">
        <f>IF(B1009="","",IF(J1009&lt;&gt;"","Not billable",IF(P1009="","To invoice",IF(P1009="Two invoices","Check dates",IF(ISNA(MATCH(P1009,Invoices!$B$6:$B$305,0)),"Check number",IF(INDEX(Invoices!$M$6:$M$305,MATCH(P1009,Invoices!$B$6:$B$305,0))="Paid","Paid",IF(INDEX(Invoices!$M$6:$M$305,MATCH(P1009,Invoices!$B$6:$B$305,0))="Draft","Draft","Invoiced")))))))</f>
        <v/>
      </c>
      <c r="R1009" s="1">
        <f>IF(AND(B1009&lt;&gt;"",P1009&lt;&gt;"",P1009=Invoice!$G$4),B1009+MOD(N(F1009),1)+ROW()/10000000,"")</f>
        <v/>
      </c>
      <c r="S1009">
        <f>IF(R1009="","",IF(D1009="","Other work",D1009)&amp;IF(AND(K1009&lt;&gt;"",E1009&lt;&gt;""),", "&amp;E1009,""))</f>
        <v/>
      </c>
      <c r="T1009">
        <f>IF(R1009="","",IF(COUNTIFS(R$6:R1008,"&gt;0",S$6:S1008,S1009,N$6:N1008,N1009)=0,R1009,""))</f>
        <v/>
      </c>
      <c r="U1009">
        <f>IF(B1009="","",IF(J1009&lt;&gt;"",0,M1009))</f>
        <v/>
      </c>
    </row>
    <row r="1010">
      <c r="A1010" s="1" t="n"/>
      <c r="B1010" s="16" t="n"/>
      <c r="C1010" s="17" t="n"/>
      <c r="D1010" s="18" t="n"/>
      <c r="E1010" s="18" t="n"/>
      <c r="F1010" s="19" t="n"/>
      <c r="G1010" s="19" t="n"/>
      <c r="H1010" s="20" t="n"/>
      <c r="I1010" s="21" t="n"/>
      <c r="J1010" s="22" t="n"/>
      <c r="K1010" s="23" t="n"/>
      <c r="L1010" s="18" t="n"/>
      <c r="M1010" s="24">
        <f>IF(B1010="","",IF(AND(F1010&lt;&gt;"",G1010&lt;&gt;""),MAX(0,ROUND(MOD(G1010-F1010,1)*24-N(H1010)/60,2)),N(I1010)))</f>
        <v/>
      </c>
      <c r="N1010" s="14">
        <f>IF(B1010="","",IF(K1010&lt;&gt;"",K1010,IF(N(IFERROR(INDEX(Projects!$D$6:$D$65,MATCH(D1010,Projects!$B$6:$B$65,0)),""))&gt;0,IFERROR(INDEX(Projects!$D$6:$D$65,MATCH(D1010,Projects!$B$6:$B$65,0)),""),IFERROR(INDEX(Clients!$G$6:$G$45,MATCH(C1010,Clients!$B$6:$B$45,0)),0))))</f>
        <v/>
      </c>
      <c r="O1010" s="14">
        <f>IF(B1010="","",IF(J1010&lt;&gt;"",0,ROUND(M1010*N1010,2)))</f>
        <v/>
      </c>
      <c r="P1010" s="15">
        <f>IF(OR(B1010="",J1010&lt;&gt;""),"",IF(L1010&lt;&gt;"",L1010,IF(COUNTIFS(Invoices!$C$6:$C$305,C1010,Invoices!$E$6:$E$305,"&lt;="&amp;B1010,Invoices!$F$6:$F$305,"&gt;="&amp;B1010)=1,INDEX(Invoices!$B$6:$B$305,SUMIFS(Invoices!$O$6:$O$305,Invoices!$C$6:$C$305,C1010,Invoices!$E$6:$E$305,"&lt;="&amp;B1010,Invoices!$F$6:$F$305,"&gt;="&amp;B1010)),IF(COUNTIFS(Invoices!$C$6:$C$305,C1010,Invoices!$E$6:$E$305,"&lt;="&amp;B1010,Invoices!$F$6:$F$305,"&gt;="&amp;B1010)&gt;1,"Two invoices",""))))</f>
        <v/>
      </c>
      <c r="Q1010" s="15">
        <f>IF(B1010="","",IF(J1010&lt;&gt;"","Not billable",IF(P1010="","To invoice",IF(P1010="Two invoices","Check dates",IF(ISNA(MATCH(P1010,Invoices!$B$6:$B$305,0)),"Check number",IF(INDEX(Invoices!$M$6:$M$305,MATCH(P1010,Invoices!$B$6:$B$305,0))="Paid","Paid",IF(INDEX(Invoices!$M$6:$M$305,MATCH(P1010,Invoices!$B$6:$B$305,0))="Draft","Draft","Invoiced")))))))</f>
        <v/>
      </c>
      <c r="R1010" s="1">
        <f>IF(AND(B1010&lt;&gt;"",P1010&lt;&gt;"",P1010=Invoice!$G$4),B1010+MOD(N(F1010),1)+ROW()/10000000,"")</f>
        <v/>
      </c>
      <c r="S1010">
        <f>IF(R1010="","",IF(D1010="","Other work",D1010)&amp;IF(AND(K1010&lt;&gt;"",E1010&lt;&gt;""),", "&amp;E1010,""))</f>
        <v/>
      </c>
      <c r="T1010">
        <f>IF(R1010="","",IF(COUNTIFS(R$6:R1009,"&gt;0",S$6:S1009,S1010,N$6:N1009,N1010)=0,R1010,""))</f>
        <v/>
      </c>
      <c r="U1010">
        <f>IF(B1010="","",IF(J1010&lt;&gt;"",0,M1010))</f>
        <v/>
      </c>
    </row>
    <row r="1011">
      <c r="A1011" s="1" t="n"/>
      <c r="B1011" s="16" t="n"/>
      <c r="C1011" s="17" t="n"/>
      <c r="D1011" s="18" t="n"/>
      <c r="E1011" s="18" t="n"/>
      <c r="F1011" s="19" t="n"/>
      <c r="G1011" s="19" t="n"/>
      <c r="H1011" s="20" t="n"/>
      <c r="I1011" s="21" t="n"/>
      <c r="J1011" s="22" t="n"/>
      <c r="K1011" s="23" t="n"/>
      <c r="L1011" s="18" t="n"/>
      <c r="M1011" s="24">
        <f>IF(B1011="","",IF(AND(F1011&lt;&gt;"",G1011&lt;&gt;""),MAX(0,ROUND(MOD(G1011-F1011,1)*24-N(H1011)/60,2)),N(I1011)))</f>
        <v/>
      </c>
      <c r="N1011" s="14">
        <f>IF(B1011="","",IF(K1011&lt;&gt;"",K1011,IF(N(IFERROR(INDEX(Projects!$D$6:$D$65,MATCH(D1011,Projects!$B$6:$B$65,0)),""))&gt;0,IFERROR(INDEX(Projects!$D$6:$D$65,MATCH(D1011,Projects!$B$6:$B$65,0)),""),IFERROR(INDEX(Clients!$G$6:$G$45,MATCH(C1011,Clients!$B$6:$B$45,0)),0))))</f>
        <v/>
      </c>
      <c r="O1011" s="14">
        <f>IF(B1011="","",IF(J1011&lt;&gt;"",0,ROUND(M1011*N1011,2)))</f>
        <v/>
      </c>
      <c r="P1011" s="15">
        <f>IF(OR(B1011="",J1011&lt;&gt;""),"",IF(L1011&lt;&gt;"",L1011,IF(COUNTIFS(Invoices!$C$6:$C$305,C1011,Invoices!$E$6:$E$305,"&lt;="&amp;B1011,Invoices!$F$6:$F$305,"&gt;="&amp;B1011)=1,INDEX(Invoices!$B$6:$B$305,SUMIFS(Invoices!$O$6:$O$305,Invoices!$C$6:$C$305,C1011,Invoices!$E$6:$E$305,"&lt;="&amp;B1011,Invoices!$F$6:$F$305,"&gt;="&amp;B1011)),IF(COUNTIFS(Invoices!$C$6:$C$305,C1011,Invoices!$E$6:$E$305,"&lt;="&amp;B1011,Invoices!$F$6:$F$305,"&gt;="&amp;B1011)&gt;1,"Two invoices",""))))</f>
        <v/>
      </c>
      <c r="Q1011" s="15">
        <f>IF(B1011="","",IF(J1011&lt;&gt;"","Not billable",IF(P1011="","To invoice",IF(P1011="Two invoices","Check dates",IF(ISNA(MATCH(P1011,Invoices!$B$6:$B$305,0)),"Check number",IF(INDEX(Invoices!$M$6:$M$305,MATCH(P1011,Invoices!$B$6:$B$305,0))="Paid","Paid",IF(INDEX(Invoices!$M$6:$M$305,MATCH(P1011,Invoices!$B$6:$B$305,0))="Draft","Draft","Invoiced")))))))</f>
        <v/>
      </c>
      <c r="R1011" s="1">
        <f>IF(AND(B1011&lt;&gt;"",P1011&lt;&gt;"",P1011=Invoice!$G$4),B1011+MOD(N(F1011),1)+ROW()/10000000,"")</f>
        <v/>
      </c>
      <c r="S1011">
        <f>IF(R1011="","",IF(D1011="","Other work",D1011)&amp;IF(AND(K1011&lt;&gt;"",E1011&lt;&gt;""),", "&amp;E1011,""))</f>
        <v/>
      </c>
      <c r="T1011">
        <f>IF(R1011="","",IF(COUNTIFS(R$6:R1010,"&gt;0",S$6:S1010,S1011,N$6:N1010,N1011)=0,R1011,""))</f>
        <v/>
      </c>
      <c r="U1011">
        <f>IF(B1011="","",IF(J1011&lt;&gt;"",0,M1011))</f>
        <v/>
      </c>
    </row>
    <row r="1012">
      <c r="A1012" s="1" t="n"/>
      <c r="B1012" s="16" t="n"/>
      <c r="C1012" s="17" t="n"/>
      <c r="D1012" s="18" t="n"/>
      <c r="E1012" s="18" t="n"/>
      <c r="F1012" s="19" t="n"/>
      <c r="G1012" s="19" t="n"/>
      <c r="H1012" s="20" t="n"/>
      <c r="I1012" s="21" t="n"/>
      <c r="J1012" s="22" t="n"/>
      <c r="K1012" s="23" t="n"/>
      <c r="L1012" s="18" t="n"/>
      <c r="M1012" s="24">
        <f>IF(B1012="","",IF(AND(F1012&lt;&gt;"",G1012&lt;&gt;""),MAX(0,ROUND(MOD(G1012-F1012,1)*24-N(H1012)/60,2)),N(I1012)))</f>
        <v/>
      </c>
      <c r="N1012" s="14">
        <f>IF(B1012="","",IF(K1012&lt;&gt;"",K1012,IF(N(IFERROR(INDEX(Projects!$D$6:$D$65,MATCH(D1012,Projects!$B$6:$B$65,0)),""))&gt;0,IFERROR(INDEX(Projects!$D$6:$D$65,MATCH(D1012,Projects!$B$6:$B$65,0)),""),IFERROR(INDEX(Clients!$G$6:$G$45,MATCH(C1012,Clients!$B$6:$B$45,0)),0))))</f>
        <v/>
      </c>
      <c r="O1012" s="14">
        <f>IF(B1012="","",IF(J1012&lt;&gt;"",0,ROUND(M1012*N1012,2)))</f>
        <v/>
      </c>
      <c r="P1012" s="15">
        <f>IF(OR(B1012="",J1012&lt;&gt;""),"",IF(L1012&lt;&gt;"",L1012,IF(COUNTIFS(Invoices!$C$6:$C$305,C1012,Invoices!$E$6:$E$305,"&lt;="&amp;B1012,Invoices!$F$6:$F$305,"&gt;="&amp;B1012)=1,INDEX(Invoices!$B$6:$B$305,SUMIFS(Invoices!$O$6:$O$305,Invoices!$C$6:$C$305,C1012,Invoices!$E$6:$E$305,"&lt;="&amp;B1012,Invoices!$F$6:$F$305,"&gt;="&amp;B1012)),IF(COUNTIFS(Invoices!$C$6:$C$305,C1012,Invoices!$E$6:$E$305,"&lt;="&amp;B1012,Invoices!$F$6:$F$305,"&gt;="&amp;B1012)&gt;1,"Two invoices",""))))</f>
        <v/>
      </c>
      <c r="Q1012" s="15">
        <f>IF(B1012="","",IF(J1012&lt;&gt;"","Not billable",IF(P1012="","To invoice",IF(P1012="Two invoices","Check dates",IF(ISNA(MATCH(P1012,Invoices!$B$6:$B$305,0)),"Check number",IF(INDEX(Invoices!$M$6:$M$305,MATCH(P1012,Invoices!$B$6:$B$305,0))="Paid","Paid",IF(INDEX(Invoices!$M$6:$M$305,MATCH(P1012,Invoices!$B$6:$B$305,0))="Draft","Draft","Invoiced")))))))</f>
        <v/>
      </c>
      <c r="R1012" s="1">
        <f>IF(AND(B1012&lt;&gt;"",P1012&lt;&gt;"",P1012=Invoice!$G$4),B1012+MOD(N(F1012),1)+ROW()/10000000,"")</f>
        <v/>
      </c>
      <c r="S1012">
        <f>IF(R1012="","",IF(D1012="","Other work",D1012)&amp;IF(AND(K1012&lt;&gt;"",E1012&lt;&gt;""),", "&amp;E1012,""))</f>
        <v/>
      </c>
      <c r="T1012">
        <f>IF(R1012="","",IF(COUNTIFS(R$6:R1011,"&gt;0",S$6:S1011,S1012,N$6:N1011,N1012)=0,R1012,""))</f>
        <v/>
      </c>
      <c r="U1012">
        <f>IF(B1012="","",IF(J1012&lt;&gt;"",0,M1012))</f>
        <v/>
      </c>
    </row>
    <row r="1013">
      <c r="A1013" s="1" t="n"/>
      <c r="B1013" s="16" t="n"/>
      <c r="C1013" s="17" t="n"/>
      <c r="D1013" s="18" t="n"/>
      <c r="E1013" s="18" t="n"/>
      <c r="F1013" s="19" t="n"/>
      <c r="G1013" s="19" t="n"/>
      <c r="H1013" s="20" t="n"/>
      <c r="I1013" s="21" t="n"/>
      <c r="J1013" s="22" t="n"/>
      <c r="K1013" s="23" t="n"/>
      <c r="L1013" s="18" t="n"/>
      <c r="M1013" s="24">
        <f>IF(B1013="","",IF(AND(F1013&lt;&gt;"",G1013&lt;&gt;""),MAX(0,ROUND(MOD(G1013-F1013,1)*24-N(H1013)/60,2)),N(I1013)))</f>
        <v/>
      </c>
      <c r="N1013" s="14">
        <f>IF(B1013="","",IF(K1013&lt;&gt;"",K1013,IF(N(IFERROR(INDEX(Projects!$D$6:$D$65,MATCH(D1013,Projects!$B$6:$B$65,0)),""))&gt;0,IFERROR(INDEX(Projects!$D$6:$D$65,MATCH(D1013,Projects!$B$6:$B$65,0)),""),IFERROR(INDEX(Clients!$G$6:$G$45,MATCH(C1013,Clients!$B$6:$B$45,0)),0))))</f>
        <v/>
      </c>
      <c r="O1013" s="14">
        <f>IF(B1013="","",IF(J1013&lt;&gt;"",0,ROUND(M1013*N1013,2)))</f>
        <v/>
      </c>
      <c r="P1013" s="15">
        <f>IF(OR(B1013="",J1013&lt;&gt;""),"",IF(L1013&lt;&gt;"",L1013,IF(COUNTIFS(Invoices!$C$6:$C$305,C1013,Invoices!$E$6:$E$305,"&lt;="&amp;B1013,Invoices!$F$6:$F$305,"&gt;="&amp;B1013)=1,INDEX(Invoices!$B$6:$B$305,SUMIFS(Invoices!$O$6:$O$305,Invoices!$C$6:$C$305,C1013,Invoices!$E$6:$E$305,"&lt;="&amp;B1013,Invoices!$F$6:$F$305,"&gt;="&amp;B1013)),IF(COUNTIFS(Invoices!$C$6:$C$305,C1013,Invoices!$E$6:$E$305,"&lt;="&amp;B1013,Invoices!$F$6:$F$305,"&gt;="&amp;B1013)&gt;1,"Two invoices",""))))</f>
        <v/>
      </c>
      <c r="Q1013" s="15">
        <f>IF(B1013="","",IF(J1013&lt;&gt;"","Not billable",IF(P1013="","To invoice",IF(P1013="Two invoices","Check dates",IF(ISNA(MATCH(P1013,Invoices!$B$6:$B$305,0)),"Check number",IF(INDEX(Invoices!$M$6:$M$305,MATCH(P1013,Invoices!$B$6:$B$305,0))="Paid","Paid",IF(INDEX(Invoices!$M$6:$M$305,MATCH(P1013,Invoices!$B$6:$B$305,0))="Draft","Draft","Invoiced")))))))</f>
        <v/>
      </c>
      <c r="R1013" s="1">
        <f>IF(AND(B1013&lt;&gt;"",P1013&lt;&gt;"",P1013=Invoice!$G$4),B1013+MOD(N(F1013),1)+ROW()/10000000,"")</f>
        <v/>
      </c>
      <c r="S1013">
        <f>IF(R1013="","",IF(D1013="","Other work",D1013)&amp;IF(AND(K1013&lt;&gt;"",E1013&lt;&gt;""),", "&amp;E1013,""))</f>
        <v/>
      </c>
      <c r="T1013">
        <f>IF(R1013="","",IF(COUNTIFS(R$6:R1012,"&gt;0",S$6:S1012,S1013,N$6:N1012,N1013)=0,R1013,""))</f>
        <v/>
      </c>
      <c r="U1013">
        <f>IF(B1013="","",IF(J1013&lt;&gt;"",0,M1013))</f>
        <v/>
      </c>
    </row>
    <row r="1014">
      <c r="A1014" s="1" t="n"/>
      <c r="B1014" s="16" t="n"/>
      <c r="C1014" s="17" t="n"/>
      <c r="D1014" s="18" t="n"/>
      <c r="E1014" s="18" t="n"/>
      <c r="F1014" s="19" t="n"/>
      <c r="G1014" s="19" t="n"/>
      <c r="H1014" s="20" t="n"/>
      <c r="I1014" s="21" t="n"/>
      <c r="J1014" s="22" t="n"/>
      <c r="K1014" s="23" t="n"/>
      <c r="L1014" s="18" t="n"/>
      <c r="M1014" s="24">
        <f>IF(B1014="","",IF(AND(F1014&lt;&gt;"",G1014&lt;&gt;""),MAX(0,ROUND(MOD(G1014-F1014,1)*24-N(H1014)/60,2)),N(I1014)))</f>
        <v/>
      </c>
      <c r="N1014" s="14">
        <f>IF(B1014="","",IF(K1014&lt;&gt;"",K1014,IF(N(IFERROR(INDEX(Projects!$D$6:$D$65,MATCH(D1014,Projects!$B$6:$B$65,0)),""))&gt;0,IFERROR(INDEX(Projects!$D$6:$D$65,MATCH(D1014,Projects!$B$6:$B$65,0)),""),IFERROR(INDEX(Clients!$G$6:$G$45,MATCH(C1014,Clients!$B$6:$B$45,0)),0))))</f>
        <v/>
      </c>
      <c r="O1014" s="14">
        <f>IF(B1014="","",IF(J1014&lt;&gt;"",0,ROUND(M1014*N1014,2)))</f>
        <v/>
      </c>
      <c r="P1014" s="15">
        <f>IF(OR(B1014="",J1014&lt;&gt;""),"",IF(L1014&lt;&gt;"",L1014,IF(COUNTIFS(Invoices!$C$6:$C$305,C1014,Invoices!$E$6:$E$305,"&lt;="&amp;B1014,Invoices!$F$6:$F$305,"&gt;="&amp;B1014)=1,INDEX(Invoices!$B$6:$B$305,SUMIFS(Invoices!$O$6:$O$305,Invoices!$C$6:$C$305,C1014,Invoices!$E$6:$E$305,"&lt;="&amp;B1014,Invoices!$F$6:$F$305,"&gt;="&amp;B1014)),IF(COUNTIFS(Invoices!$C$6:$C$305,C1014,Invoices!$E$6:$E$305,"&lt;="&amp;B1014,Invoices!$F$6:$F$305,"&gt;="&amp;B1014)&gt;1,"Two invoices",""))))</f>
        <v/>
      </c>
      <c r="Q1014" s="15">
        <f>IF(B1014="","",IF(J1014&lt;&gt;"","Not billable",IF(P1014="","To invoice",IF(P1014="Two invoices","Check dates",IF(ISNA(MATCH(P1014,Invoices!$B$6:$B$305,0)),"Check number",IF(INDEX(Invoices!$M$6:$M$305,MATCH(P1014,Invoices!$B$6:$B$305,0))="Paid","Paid",IF(INDEX(Invoices!$M$6:$M$305,MATCH(P1014,Invoices!$B$6:$B$305,0))="Draft","Draft","Invoiced")))))))</f>
        <v/>
      </c>
      <c r="R1014" s="1">
        <f>IF(AND(B1014&lt;&gt;"",P1014&lt;&gt;"",P1014=Invoice!$G$4),B1014+MOD(N(F1014),1)+ROW()/10000000,"")</f>
        <v/>
      </c>
      <c r="S1014">
        <f>IF(R1014="","",IF(D1014="","Other work",D1014)&amp;IF(AND(K1014&lt;&gt;"",E1014&lt;&gt;""),", "&amp;E1014,""))</f>
        <v/>
      </c>
      <c r="T1014">
        <f>IF(R1014="","",IF(COUNTIFS(R$6:R1013,"&gt;0",S$6:S1013,S1014,N$6:N1013,N1014)=0,R1014,""))</f>
        <v/>
      </c>
      <c r="U1014">
        <f>IF(B1014="","",IF(J1014&lt;&gt;"",0,M1014))</f>
        <v/>
      </c>
    </row>
    <row r="1015">
      <c r="A1015" s="1" t="n"/>
      <c r="B1015" s="16" t="n"/>
      <c r="C1015" s="17" t="n"/>
      <c r="D1015" s="18" t="n"/>
      <c r="E1015" s="18" t="n"/>
      <c r="F1015" s="19" t="n"/>
      <c r="G1015" s="19" t="n"/>
      <c r="H1015" s="20" t="n"/>
      <c r="I1015" s="21" t="n"/>
      <c r="J1015" s="22" t="n"/>
      <c r="K1015" s="23" t="n"/>
      <c r="L1015" s="18" t="n"/>
      <c r="M1015" s="24">
        <f>IF(B1015="","",IF(AND(F1015&lt;&gt;"",G1015&lt;&gt;""),MAX(0,ROUND(MOD(G1015-F1015,1)*24-N(H1015)/60,2)),N(I1015)))</f>
        <v/>
      </c>
      <c r="N1015" s="14">
        <f>IF(B1015="","",IF(K1015&lt;&gt;"",K1015,IF(N(IFERROR(INDEX(Projects!$D$6:$D$65,MATCH(D1015,Projects!$B$6:$B$65,0)),""))&gt;0,IFERROR(INDEX(Projects!$D$6:$D$65,MATCH(D1015,Projects!$B$6:$B$65,0)),""),IFERROR(INDEX(Clients!$G$6:$G$45,MATCH(C1015,Clients!$B$6:$B$45,0)),0))))</f>
        <v/>
      </c>
      <c r="O1015" s="14">
        <f>IF(B1015="","",IF(J1015&lt;&gt;"",0,ROUND(M1015*N1015,2)))</f>
        <v/>
      </c>
      <c r="P1015" s="15">
        <f>IF(OR(B1015="",J1015&lt;&gt;""),"",IF(L1015&lt;&gt;"",L1015,IF(COUNTIFS(Invoices!$C$6:$C$305,C1015,Invoices!$E$6:$E$305,"&lt;="&amp;B1015,Invoices!$F$6:$F$305,"&gt;="&amp;B1015)=1,INDEX(Invoices!$B$6:$B$305,SUMIFS(Invoices!$O$6:$O$305,Invoices!$C$6:$C$305,C1015,Invoices!$E$6:$E$305,"&lt;="&amp;B1015,Invoices!$F$6:$F$305,"&gt;="&amp;B1015)),IF(COUNTIFS(Invoices!$C$6:$C$305,C1015,Invoices!$E$6:$E$305,"&lt;="&amp;B1015,Invoices!$F$6:$F$305,"&gt;="&amp;B1015)&gt;1,"Two invoices",""))))</f>
        <v/>
      </c>
      <c r="Q1015" s="15">
        <f>IF(B1015="","",IF(J1015&lt;&gt;"","Not billable",IF(P1015="","To invoice",IF(P1015="Two invoices","Check dates",IF(ISNA(MATCH(P1015,Invoices!$B$6:$B$305,0)),"Check number",IF(INDEX(Invoices!$M$6:$M$305,MATCH(P1015,Invoices!$B$6:$B$305,0))="Paid","Paid",IF(INDEX(Invoices!$M$6:$M$305,MATCH(P1015,Invoices!$B$6:$B$305,0))="Draft","Draft","Invoiced")))))))</f>
        <v/>
      </c>
      <c r="R1015" s="1">
        <f>IF(AND(B1015&lt;&gt;"",P1015&lt;&gt;"",P1015=Invoice!$G$4),B1015+MOD(N(F1015),1)+ROW()/10000000,"")</f>
        <v/>
      </c>
      <c r="S1015">
        <f>IF(R1015="","",IF(D1015="","Other work",D1015)&amp;IF(AND(K1015&lt;&gt;"",E1015&lt;&gt;""),", "&amp;E1015,""))</f>
        <v/>
      </c>
      <c r="T1015">
        <f>IF(R1015="","",IF(COUNTIFS(R$6:R1014,"&gt;0",S$6:S1014,S1015,N$6:N1014,N1015)=0,R1015,""))</f>
        <v/>
      </c>
      <c r="U1015">
        <f>IF(B1015="","",IF(J1015&lt;&gt;"",0,M1015))</f>
        <v/>
      </c>
    </row>
    <row r="1016">
      <c r="A1016" s="1" t="n"/>
      <c r="B1016" s="16" t="n"/>
      <c r="C1016" s="17" t="n"/>
      <c r="D1016" s="18" t="n"/>
      <c r="E1016" s="18" t="n"/>
      <c r="F1016" s="19" t="n"/>
      <c r="G1016" s="19" t="n"/>
      <c r="H1016" s="20" t="n"/>
      <c r="I1016" s="21" t="n"/>
      <c r="J1016" s="22" t="n"/>
      <c r="K1016" s="23" t="n"/>
      <c r="L1016" s="18" t="n"/>
      <c r="M1016" s="24">
        <f>IF(B1016="","",IF(AND(F1016&lt;&gt;"",G1016&lt;&gt;""),MAX(0,ROUND(MOD(G1016-F1016,1)*24-N(H1016)/60,2)),N(I1016)))</f>
        <v/>
      </c>
      <c r="N1016" s="14">
        <f>IF(B1016="","",IF(K1016&lt;&gt;"",K1016,IF(N(IFERROR(INDEX(Projects!$D$6:$D$65,MATCH(D1016,Projects!$B$6:$B$65,0)),""))&gt;0,IFERROR(INDEX(Projects!$D$6:$D$65,MATCH(D1016,Projects!$B$6:$B$65,0)),""),IFERROR(INDEX(Clients!$G$6:$G$45,MATCH(C1016,Clients!$B$6:$B$45,0)),0))))</f>
        <v/>
      </c>
      <c r="O1016" s="14">
        <f>IF(B1016="","",IF(J1016&lt;&gt;"",0,ROUND(M1016*N1016,2)))</f>
        <v/>
      </c>
      <c r="P1016" s="15">
        <f>IF(OR(B1016="",J1016&lt;&gt;""),"",IF(L1016&lt;&gt;"",L1016,IF(COUNTIFS(Invoices!$C$6:$C$305,C1016,Invoices!$E$6:$E$305,"&lt;="&amp;B1016,Invoices!$F$6:$F$305,"&gt;="&amp;B1016)=1,INDEX(Invoices!$B$6:$B$305,SUMIFS(Invoices!$O$6:$O$305,Invoices!$C$6:$C$305,C1016,Invoices!$E$6:$E$305,"&lt;="&amp;B1016,Invoices!$F$6:$F$305,"&gt;="&amp;B1016)),IF(COUNTIFS(Invoices!$C$6:$C$305,C1016,Invoices!$E$6:$E$305,"&lt;="&amp;B1016,Invoices!$F$6:$F$305,"&gt;="&amp;B1016)&gt;1,"Two invoices",""))))</f>
        <v/>
      </c>
      <c r="Q1016" s="15">
        <f>IF(B1016="","",IF(J1016&lt;&gt;"","Not billable",IF(P1016="","To invoice",IF(P1016="Two invoices","Check dates",IF(ISNA(MATCH(P1016,Invoices!$B$6:$B$305,0)),"Check number",IF(INDEX(Invoices!$M$6:$M$305,MATCH(P1016,Invoices!$B$6:$B$305,0))="Paid","Paid",IF(INDEX(Invoices!$M$6:$M$305,MATCH(P1016,Invoices!$B$6:$B$305,0))="Draft","Draft","Invoiced")))))))</f>
        <v/>
      </c>
      <c r="R1016" s="1">
        <f>IF(AND(B1016&lt;&gt;"",P1016&lt;&gt;"",P1016=Invoice!$G$4),B1016+MOD(N(F1016),1)+ROW()/10000000,"")</f>
        <v/>
      </c>
      <c r="S1016">
        <f>IF(R1016="","",IF(D1016="","Other work",D1016)&amp;IF(AND(K1016&lt;&gt;"",E1016&lt;&gt;""),", "&amp;E1016,""))</f>
        <v/>
      </c>
      <c r="T1016">
        <f>IF(R1016="","",IF(COUNTIFS(R$6:R1015,"&gt;0",S$6:S1015,S1016,N$6:N1015,N1016)=0,R1016,""))</f>
        <v/>
      </c>
      <c r="U1016">
        <f>IF(B1016="","",IF(J1016&lt;&gt;"",0,M1016))</f>
        <v/>
      </c>
    </row>
    <row r="1017">
      <c r="A1017" s="1" t="n"/>
      <c r="B1017" s="16" t="n"/>
      <c r="C1017" s="17" t="n"/>
      <c r="D1017" s="18" t="n"/>
      <c r="E1017" s="18" t="n"/>
      <c r="F1017" s="19" t="n"/>
      <c r="G1017" s="19" t="n"/>
      <c r="H1017" s="20" t="n"/>
      <c r="I1017" s="21" t="n"/>
      <c r="J1017" s="22" t="n"/>
      <c r="K1017" s="23" t="n"/>
      <c r="L1017" s="18" t="n"/>
      <c r="M1017" s="24">
        <f>IF(B1017="","",IF(AND(F1017&lt;&gt;"",G1017&lt;&gt;""),MAX(0,ROUND(MOD(G1017-F1017,1)*24-N(H1017)/60,2)),N(I1017)))</f>
        <v/>
      </c>
      <c r="N1017" s="14">
        <f>IF(B1017="","",IF(K1017&lt;&gt;"",K1017,IF(N(IFERROR(INDEX(Projects!$D$6:$D$65,MATCH(D1017,Projects!$B$6:$B$65,0)),""))&gt;0,IFERROR(INDEX(Projects!$D$6:$D$65,MATCH(D1017,Projects!$B$6:$B$65,0)),""),IFERROR(INDEX(Clients!$G$6:$G$45,MATCH(C1017,Clients!$B$6:$B$45,0)),0))))</f>
        <v/>
      </c>
      <c r="O1017" s="14">
        <f>IF(B1017="","",IF(J1017&lt;&gt;"",0,ROUND(M1017*N1017,2)))</f>
        <v/>
      </c>
      <c r="P1017" s="15">
        <f>IF(OR(B1017="",J1017&lt;&gt;""),"",IF(L1017&lt;&gt;"",L1017,IF(COUNTIFS(Invoices!$C$6:$C$305,C1017,Invoices!$E$6:$E$305,"&lt;="&amp;B1017,Invoices!$F$6:$F$305,"&gt;="&amp;B1017)=1,INDEX(Invoices!$B$6:$B$305,SUMIFS(Invoices!$O$6:$O$305,Invoices!$C$6:$C$305,C1017,Invoices!$E$6:$E$305,"&lt;="&amp;B1017,Invoices!$F$6:$F$305,"&gt;="&amp;B1017)),IF(COUNTIFS(Invoices!$C$6:$C$305,C1017,Invoices!$E$6:$E$305,"&lt;="&amp;B1017,Invoices!$F$6:$F$305,"&gt;="&amp;B1017)&gt;1,"Two invoices",""))))</f>
        <v/>
      </c>
      <c r="Q1017" s="15">
        <f>IF(B1017="","",IF(J1017&lt;&gt;"","Not billable",IF(P1017="","To invoice",IF(P1017="Two invoices","Check dates",IF(ISNA(MATCH(P1017,Invoices!$B$6:$B$305,0)),"Check number",IF(INDEX(Invoices!$M$6:$M$305,MATCH(P1017,Invoices!$B$6:$B$305,0))="Paid","Paid",IF(INDEX(Invoices!$M$6:$M$305,MATCH(P1017,Invoices!$B$6:$B$305,0))="Draft","Draft","Invoiced")))))))</f>
        <v/>
      </c>
      <c r="R1017" s="1">
        <f>IF(AND(B1017&lt;&gt;"",P1017&lt;&gt;"",P1017=Invoice!$G$4),B1017+MOD(N(F1017),1)+ROW()/10000000,"")</f>
        <v/>
      </c>
      <c r="S1017">
        <f>IF(R1017="","",IF(D1017="","Other work",D1017)&amp;IF(AND(K1017&lt;&gt;"",E1017&lt;&gt;""),", "&amp;E1017,""))</f>
        <v/>
      </c>
      <c r="T1017">
        <f>IF(R1017="","",IF(COUNTIFS(R$6:R1016,"&gt;0",S$6:S1016,S1017,N$6:N1016,N1017)=0,R1017,""))</f>
        <v/>
      </c>
      <c r="U1017">
        <f>IF(B1017="","",IF(J1017&lt;&gt;"",0,M1017))</f>
        <v/>
      </c>
    </row>
    <row r="1018">
      <c r="A1018" s="1" t="n"/>
      <c r="B1018" s="16" t="n"/>
      <c r="C1018" s="17" t="n"/>
      <c r="D1018" s="18" t="n"/>
      <c r="E1018" s="18" t="n"/>
      <c r="F1018" s="19" t="n"/>
      <c r="G1018" s="19" t="n"/>
      <c r="H1018" s="20" t="n"/>
      <c r="I1018" s="21" t="n"/>
      <c r="J1018" s="22" t="n"/>
      <c r="K1018" s="23" t="n"/>
      <c r="L1018" s="18" t="n"/>
      <c r="M1018" s="24">
        <f>IF(B1018="","",IF(AND(F1018&lt;&gt;"",G1018&lt;&gt;""),MAX(0,ROUND(MOD(G1018-F1018,1)*24-N(H1018)/60,2)),N(I1018)))</f>
        <v/>
      </c>
      <c r="N1018" s="14">
        <f>IF(B1018="","",IF(K1018&lt;&gt;"",K1018,IF(N(IFERROR(INDEX(Projects!$D$6:$D$65,MATCH(D1018,Projects!$B$6:$B$65,0)),""))&gt;0,IFERROR(INDEX(Projects!$D$6:$D$65,MATCH(D1018,Projects!$B$6:$B$65,0)),""),IFERROR(INDEX(Clients!$G$6:$G$45,MATCH(C1018,Clients!$B$6:$B$45,0)),0))))</f>
        <v/>
      </c>
      <c r="O1018" s="14">
        <f>IF(B1018="","",IF(J1018&lt;&gt;"",0,ROUND(M1018*N1018,2)))</f>
        <v/>
      </c>
      <c r="P1018" s="15">
        <f>IF(OR(B1018="",J1018&lt;&gt;""),"",IF(L1018&lt;&gt;"",L1018,IF(COUNTIFS(Invoices!$C$6:$C$305,C1018,Invoices!$E$6:$E$305,"&lt;="&amp;B1018,Invoices!$F$6:$F$305,"&gt;="&amp;B1018)=1,INDEX(Invoices!$B$6:$B$305,SUMIFS(Invoices!$O$6:$O$305,Invoices!$C$6:$C$305,C1018,Invoices!$E$6:$E$305,"&lt;="&amp;B1018,Invoices!$F$6:$F$305,"&gt;="&amp;B1018)),IF(COUNTIFS(Invoices!$C$6:$C$305,C1018,Invoices!$E$6:$E$305,"&lt;="&amp;B1018,Invoices!$F$6:$F$305,"&gt;="&amp;B1018)&gt;1,"Two invoices",""))))</f>
        <v/>
      </c>
      <c r="Q1018" s="15">
        <f>IF(B1018="","",IF(J1018&lt;&gt;"","Not billable",IF(P1018="","To invoice",IF(P1018="Two invoices","Check dates",IF(ISNA(MATCH(P1018,Invoices!$B$6:$B$305,0)),"Check number",IF(INDEX(Invoices!$M$6:$M$305,MATCH(P1018,Invoices!$B$6:$B$305,0))="Paid","Paid",IF(INDEX(Invoices!$M$6:$M$305,MATCH(P1018,Invoices!$B$6:$B$305,0))="Draft","Draft","Invoiced")))))))</f>
        <v/>
      </c>
      <c r="R1018" s="1">
        <f>IF(AND(B1018&lt;&gt;"",P1018&lt;&gt;"",P1018=Invoice!$G$4),B1018+MOD(N(F1018),1)+ROW()/10000000,"")</f>
        <v/>
      </c>
      <c r="S1018">
        <f>IF(R1018="","",IF(D1018="","Other work",D1018)&amp;IF(AND(K1018&lt;&gt;"",E1018&lt;&gt;""),", "&amp;E1018,""))</f>
        <v/>
      </c>
      <c r="T1018">
        <f>IF(R1018="","",IF(COUNTIFS(R$6:R1017,"&gt;0",S$6:S1017,S1018,N$6:N1017,N1018)=0,R1018,""))</f>
        <v/>
      </c>
      <c r="U1018">
        <f>IF(B1018="","",IF(J1018&lt;&gt;"",0,M1018))</f>
        <v/>
      </c>
    </row>
    <row r="1019">
      <c r="A1019" s="1" t="n"/>
      <c r="B1019" s="16" t="n"/>
      <c r="C1019" s="17" t="n"/>
      <c r="D1019" s="18" t="n"/>
      <c r="E1019" s="18" t="n"/>
      <c r="F1019" s="19" t="n"/>
      <c r="G1019" s="19" t="n"/>
      <c r="H1019" s="20" t="n"/>
      <c r="I1019" s="21" t="n"/>
      <c r="J1019" s="22" t="n"/>
      <c r="K1019" s="23" t="n"/>
      <c r="L1019" s="18" t="n"/>
      <c r="M1019" s="24">
        <f>IF(B1019="","",IF(AND(F1019&lt;&gt;"",G1019&lt;&gt;""),MAX(0,ROUND(MOD(G1019-F1019,1)*24-N(H1019)/60,2)),N(I1019)))</f>
        <v/>
      </c>
      <c r="N1019" s="14">
        <f>IF(B1019="","",IF(K1019&lt;&gt;"",K1019,IF(N(IFERROR(INDEX(Projects!$D$6:$D$65,MATCH(D1019,Projects!$B$6:$B$65,0)),""))&gt;0,IFERROR(INDEX(Projects!$D$6:$D$65,MATCH(D1019,Projects!$B$6:$B$65,0)),""),IFERROR(INDEX(Clients!$G$6:$G$45,MATCH(C1019,Clients!$B$6:$B$45,0)),0))))</f>
        <v/>
      </c>
      <c r="O1019" s="14">
        <f>IF(B1019="","",IF(J1019&lt;&gt;"",0,ROUND(M1019*N1019,2)))</f>
        <v/>
      </c>
      <c r="P1019" s="15">
        <f>IF(OR(B1019="",J1019&lt;&gt;""),"",IF(L1019&lt;&gt;"",L1019,IF(COUNTIFS(Invoices!$C$6:$C$305,C1019,Invoices!$E$6:$E$305,"&lt;="&amp;B1019,Invoices!$F$6:$F$305,"&gt;="&amp;B1019)=1,INDEX(Invoices!$B$6:$B$305,SUMIFS(Invoices!$O$6:$O$305,Invoices!$C$6:$C$305,C1019,Invoices!$E$6:$E$305,"&lt;="&amp;B1019,Invoices!$F$6:$F$305,"&gt;="&amp;B1019)),IF(COUNTIFS(Invoices!$C$6:$C$305,C1019,Invoices!$E$6:$E$305,"&lt;="&amp;B1019,Invoices!$F$6:$F$305,"&gt;="&amp;B1019)&gt;1,"Two invoices",""))))</f>
        <v/>
      </c>
      <c r="Q1019" s="15">
        <f>IF(B1019="","",IF(J1019&lt;&gt;"","Not billable",IF(P1019="","To invoice",IF(P1019="Two invoices","Check dates",IF(ISNA(MATCH(P1019,Invoices!$B$6:$B$305,0)),"Check number",IF(INDEX(Invoices!$M$6:$M$305,MATCH(P1019,Invoices!$B$6:$B$305,0))="Paid","Paid",IF(INDEX(Invoices!$M$6:$M$305,MATCH(P1019,Invoices!$B$6:$B$305,0))="Draft","Draft","Invoiced")))))))</f>
        <v/>
      </c>
      <c r="R1019" s="1">
        <f>IF(AND(B1019&lt;&gt;"",P1019&lt;&gt;"",P1019=Invoice!$G$4),B1019+MOD(N(F1019),1)+ROW()/10000000,"")</f>
        <v/>
      </c>
      <c r="S1019">
        <f>IF(R1019="","",IF(D1019="","Other work",D1019)&amp;IF(AND(K1019&lt;&gt;"",E1019&lt;&gt;""),", "&amp;E1019,""))</f>
        <v/>
      </c>
      <c r="T1019">
        <f>IF(R1019="","",IF(COUNTIFS(R$6:R1018,"&gt;0",S$6:S1018,S1019,N$6:N1018,N1019)=0,R1019,""))</f>
        <v/>
      </c>
      <c r="U1019">
        <f>IF(B1019="","",IF(J1019&lt;&gt;"",0,M1019))</f>
        <v/>
      </c>
    </row>
    <row r="1020">
      <c r="A1020" s="1" t="n"/>
      <c r="B1020" s="16" t="n"/>
      <c r="C1020" s="17" t="n"/>
      <c r="D1020" s="18" t="n"/>
      <c r="E1020" s="18" t="n"/>
      <c r="F1020" s="19" t="n"/>
      <c r="G1020" s="19" t="n"/>
      <c r="H1020" s="20" t="n"/>
      <c r="I1020" s="21" t="n"/>
      <c r="J1020" s="22" t="n"/>
      <c r="K1020" s="23" t="n"/>
      <c r="L1020" s="18" t="n"/>
      <c r="M1020" s="24">
        <f>IF(B1020="","",IF(AND(F1020&lt;&gt;"",G1020&lt;&gt;""),MAX(0,ROUND(MOD(G1020-F1020,1)*24-N(H1020)/60,2)),N(I1020)))</f>
        <v/>
      </c>
      <c r="N1020" s="14">
        <f>IF(B1020="","",IF(K1020&lt;&gt;"",K1020,IF(N(IFERROR(INDEX(Projects!$D$6:$D$65,MATCH(D1020,Projects!$B$6:$B$65,0)),""))&gt;0,IFERROR(INDEX(Projects!$D$6:$D$65,MATCH(D1020,Projects!$B$6:$B$65,0)),""),IFERROR(INDEX(Clients!$G$6:$G$45,MATCH(C1020,Clients!$B$6:$B$45,0)),0))))</f>
        <v/>
      </c>
      <c r="O1020" s="14">
        <f>IF(B1020="","",IF(J1020&lt;&gt;"",0,ROUND(M1020*N1020,2)))</f>
        <v/>
      </c>
      <c r="P1020" s="15">
        <f>IF(OR(B1020="",J1020&lt;&gt;""),"",IF(L1020&lt;&gt;"",L1020,IF(COUNTIFS(Invoices!$C$6:$C$305,C1020,Invoices!$E$6:$E$305,"&lt;="&amp;B1020,Invoices!$F$6:$F$305,"&gt;="&amp;B1020)=1,INDEX(Invoices!$B$6:$B$305,SUMIFS(Invoices!$O$6:$O$305,Invoices!$C$6:$C$305,C1020,Invoices!$E$6:$E$305,"&lt;="&amp;B1020,Invoices!$F$6:$F$305,"&gt;="&amp;B1020)),IF(COUNTIFS(Invoices!$C$6:$C$305,C1020,Invoices!$E$6:$E$305,"&lt;="&amp;B1020,Invoices!$F$6:$F$305,"&gt;="&amp;B1020)&gt;1,"Two invoices",""))))</f>
        <v/>
      </c>
      <c r="Q1020" s="15">
        <f>IF(B1020="","",IF(J1020&lt;&gt;"","Not billable",IF(P1020="","To invoice",IF(P1020="Two invoices","Check dates",IF(ISNA(MATCH(P1020,Invoices!$B$6:$B$305,0)),"Check number",IF(INDEX(Invoices!$M$6:$M$305,MATCH(P1020,Invoices!$B$6:$B$305,0))="Paid","Paid",IF(INDEX(Invoices!$M$6:$M$305,MATCH(P1020,Invoices!$B$6:$B$305,0))="Draft","Draft","Invoiced")))))))</f>
        <v/>
      </c>
      <c r="R1020" s="1">
        <f>IF(AND(B1020&lt;&gt;"",P1020&lt;&gt;"",P1020=Invoice!$G$4),B1020+MOD(N(F1020),1)+ROW()/10000000,"")</f>
        <v/>
      </c>
      <c r="S1020">
        <f>IF(R1020="","",IF(D1020="","Other work",D1020)&amp;IF(AND(K1020&lt;&gt;"",E1020&lt;&gt;""),", "&amp;E1020,""))</f>
        <v/>
      </c>
      <c r="T1020">
        <f>IF(R1020="","",IF(COUNTIFS(R$6:R1019,"&gt;0",S$6:S1019,S1020,N$6:N1019,N1020)=0,R1020,""))</f>
        <v/>
      </c>
      <c r="U1020">
        <f>IF(B1020="","",IF(J1020&lt;&gt;"",0,M1020))</f>
        <v/>
      </c>
    </row>
    <row r="1021">
      <c r="A1021" s="1" t="n"/>
      <c r="B1021" s="16" t="n"/>
      <c r="C1021" s="17" t="n"/>
      <c r="D1021" s="18" t="n"/>
      <c r="E1021" s="18" t="n"/>
      <c r="F1021" s="19" t="n"/>
      <c r="G1021" s="19" t="n"/>
      <c r="H1021" s="20" t="n"/>
      <c r="I1021" s="21" t="n"/>
      <c r="J1021" s="22" t="n"/>
      <c r="K1021" s="23" t="n"/>
      <c r="L1021" s="18" t="n"/>
      <c r="M1021" s="24">
        <f>IF(B1021="","",IF(AND(F1021&lt;&gt;"",G1021&lt;&gt;""),MAX(0,ROUND(MOD(G1021-F1021,1)*24-N(H1021)/60,2)),N(I1021)))</f>
        <v/>
      </c>
      <c r="N1021" s="14">
        <f>IF(B1021="","",IF(K1021&lt;&gt;"",K1021,IF(N(IFERROR(INDEX(Projects!$D$6:$D$65,MATCH(D1021,Projects!$B$6:$B$65,0)),""))&gt;0,IFERROR(INDEX(Projects!$D$6:$D$65,MATCH(D1021,Projects!$B$6:$B$65,0)),""),IFERROR(INDEX(Clients!$G$6:$G$45,MATCH(C1021,Clients!$B$6:$B$45,0)),0))))</f>
        <v/>
      </c>
      <c r="O1021" s="14">
        <f>IF(B1021="","",IF(J1021&lt;&gt;"",0,ROUND(M1021*N1021,2)))</f>
        <v/>
      </c>
      <c r="P1021" s="15">
        <f>IF(OR(B1021="",J1021&lt;&gt;""),"",IF(L1021&lt;&gt;"",L1021,IF(COUNTIFS(Invoices!$C$6:$C$305,C1021,Invoices!$E$6:$E$305,"&lt;="&amp;B1021,Invoices!$F$6:$F$305,"&gt;="&amp;B1021)=1,INDEX(Invoices!$B$6:$B$305,SUMIFS(Invoices!$O$6:$O$305,Invoices!$C$6:$C$305,C1021,Invoices!$E$6:$E$305,"&lt;="&amp;B1021,Invoices!$F$6:$F$305,"&gt;="&amp;B1021)),IF(COUNTIFS(Invoices!$C$6:$C$305,C1021,Invoices!$E$6:$E$305,"&lt;="&amp;B1021,Invoices!$F$6:$F$305,"&gt;="&amp;B1021)&gt;1,"Two invoices",""))))</f>
        <v/>
      </c>
      <c r="Q1021" s="15">
        <f>IF(B1021="","",IF(J1021&lt;&gt;"","Not billable",IF(P1021="","To invoice",IF(P1021="Two invoices","Check dates",IF(ISNA(MATCH(P1021,Invoices!$B$6:$B$305,0)),"Check number",IF(INDEX(Invoices!$M$6:$M$305,MATCH(P1021,Invoices!$B$6:$B$305,0))="Paid","Paid",IF(INDEX(Invoices!$M$6:$M$305,MATCH(P1021,Invoices!$B$6:$B$305,0))="Draft","Draft","Invoiced")))))))</f>
        <v/>
      </c>
      <c r="R1021" s="1">
        <f>IF(AND(B1021&lt;&gt;"",P1021&lt;&gt;"",P1021=Invoice!$G$4),B1021+MOD(N(F1021),1)+ROW()/10000000,"")</f>
        <v/>
      </c>
      <c r="S1021">
        <f>IF(R1021="","",IF(D1021="","Other work",D1021)&amp;IF(AND(K1021&lt;&gt;"",E1021&lt;&gt;""),", "&amp;E1021,""))</f>
        <v/>
      </c>
      <c r="T1021">
        <f>IF(R1021="","",IF(COUNTIFS(R$6:R1020,"&gt;0",S$6:S1020,S1021,N$6:N1020,N1021)=0,R1021,""))</f>
        <v/>
      </c>
      <c r="U1021">
        <f>IF(B1021="","",IF(J1021&lt;&gt;"",0,M1021))</f>
        <v/>
      </c>
    </row>
    <row r="1022">
      <c r="A1022" s="1" t="n"/>
      <c r="B1022" s="16" t="n"/>
      <c r="C1022" s="17" t="n"/>
      <c r="D1022" s="18" t="n"/>
      <c r="E1022" s="18" t="n"/>
      <c r="F1022" s="19" t="n"/>
      <c r="G1022" s="19" t="n"/>
      <c r="H1022" s="20" t="n"/>
      <c r="I1022" s="21" t="n"/>
      <c r="J1022" s="22" t="n"/>
      <c r="K1022" s="23" t="n"/>
      <c r="L1022" s="18" t="n"/>
      <c r="M1022" s="24">
        <f>IF(B1022="","",IF(AND(F1022&lt;&gt;"",G1022&lt;&gt;""),MAX(0,ROUND(MOD(G1022-F1022,1)*24-N(H1022)/60,2)),N(I1022)))</f>
        <v/>
      </c>
      <c r="N1022" s="14">
        <f>IF(B1022="","",IF(K1022&lt;&gt;"",K1022,IF(N(IFERROR(INDEX(Projects!$D$6:$D$65,MATCH(D1022,Projects!$B$6:$B$65,0)),""))&gt;0,IFERROR(INDEX(Projects!$D$6:$D$65,MATCH(D1022,Projects!$B$6:$B$65,0)),""),IFERROR(INDEX(Clients!$G$6:$G$45,MATCH(C1022,Clients!$B$6:$B$45,0)),0))))</f>
        <v/>
      </c>
      <c r="O1022" s="14">
        <f>IF(B1022="","",IF(J1022&lt;&gt;"",0,ROUND(M1022*N1022,2)))</f>
        <v/>
      </c>
      <c r="P1022" s="15">
        <f>IF(OR(B1022="",J1022&lt;&gt;""),"",IF(L1022&lt;&gt;"",L1022,IF(COUNTIFS(Invoices!$C$6:$C$305,C1022,Invoices!$E$6:$E$305,"&lt;="&amp;B1022,Invoices!$F$6:$F$305,"&gt;="&amp;B1022)=1,INDEX(Invoices!$B$6:$B$305,SUMIFS(Invoices!$O$6:$O$305,Invoices!$C$6:$C$305,C1022,Invoices!$E$6:$E$305,"&lt;="&amp;B1022,Invoices!$F$6:$F$305,"&gt;="&amp;B1022)),IF(COUNTIFS(Invoices!$C$6:$C$305,C1022,Invoices!$E$6:$E$305,"&lt;="&amp;B1022,Invoices!$F$6:$F$305,"&gt;="&amp;B1022)&gt;1,"Two invoices",""))))</f>
        <v/>
      </c>
      <c r="Q1022" s="15">
        <f>IF(B1022="","",IF(J1022&lt;&gt;"","Not billable",IF(P1022="","To invoice",IF(P1022="Two invoices","Check dates",IF(ISNA(MATCH(P1022,Invoices!$B$6:$B$305,0)),"Check number",IF(INDEX(Invoices!$M$6:$M$305,MATCH(P1022,Invoices!$B$6:$B$305,0))="Paid","Paid",IF(INDEX(Invoices!$M$6:$M$305,MATCH(P1022,Invoices!$B$6:$B$305,0))="Draft","Draft","Invoiced")))))))</f>
        <v/>
      </c>
      <c r="R1022" s="1">
        <f>IF(AND(B1022&lt;&gt;"",P1022&lt;&gt;"",P1022=Invoice!$G$4),B1022+MOD(N(F1022),1)+ROW()/10000000,"")</f>
        <v/>
      </c>
      <c r="S1022">
        <f>IF(R1022="","",IF(D1022="","Other work",D1022)&amp;IF(AND(K1022&lt;&gt;"",E1022&lt;&gt;""),", "&amp;E1022,""))</f>
        <v/>
      </c>
      <c r="T1022">
        <f>IF(R1022="","",IF(COUNTIFS(R$6:R1021,"&gt;0",S$6:S1021,S1022,N$6:N1021,N1022)=0,R1022,""))</f>
        <v/>
      </c>
      <c r="U1022">
        <f>IF(B1022="","",IF(J1022&lt;&gt;"",0,M1022))</f>
        <v/>
      </c>
    </row>
    <row r="1023">
      <c r="A1023" s="1" t="n"/>
      <c r="B1023" s="16" t="n"/>
      <c r="C1023" s="17" t="n"/>
      <c r="D1023" s="18" t="n"/>
      <c r="E1023" s="18" t="n"/>
      <c r="F1023" s="19" t="n"/>
      <c r="G1023" s="19" t="n"/>
      <c r="H1023" s="20" t="n"/>
      <c r="I1023" s="21" t="n"/>
      <c r="J1023" s="22" t="n"/>
      <c r="K1023" s="23" t="n"/>
      <c r="L1023" s="18" t="n"/>
      <c r="M1023" s="24">
        <f>IF(B1023="","",IF(AND(F1023&lt;&gt;"",G1023&lt;&gt;""),MAX(0,ROUND(MOD(G1023-F1023,1)*24-N(H1023)/60,2)),N(I1023)))</f>
        <v/>
      </c>
      <c r="N1023" s="14">
        <f>IF(B1023="","",IF(K1023&lt;&gt;"",K1023,IF(N(IFERROR(INDEX(Projects!$D$6:$D$65,MATCH(D1023,Projects!$B$6:$B$65,0)),""))&gt;0,IFERROR(INDEX(Projects!$D$6:$D$65,MATCH(D1023,Projects!$B$6:$B$65,0)),""),IFERROR(INDEX(Clients!$G$6:$G$45,MATCH(C1023,Clients!$B$6:$B$45,0)),0))))</f>
        <v/>
      </c>
      <c r="O1023" s="14">
        <f>IF(B1023="","",IF(J1023&lt;&gt;"",0,ROUND(M1023*N1023,2)))</f>
        <v/>
      </c>
      <c r="P1023" s="15">
        <f>IF(OR(B1023="",J1023&lt;&gt;""),"",IF(L1023&lt;&gt;"",L1023,IF(COUNTIFS(Invoices!$C$6:$C$305,C1023,Invoices!$E$6:$E$305,"&lt;="&amp;B1023,Invoices!$F$6:$F$305,"&gt;="&amp;B1023)=1,INDEX(Invoices!$B$6:$B$305,SUMIFS(Invoices!$O$6:$O$305,Invoices!$C$6:$C$305,C1023,Invoices!$E$6:$E$305,"&lt;="&amp;B1023,Invoices!$F$6:$F$305,"&gt;="&amp;B1023)),IF(COUNTIFS(Invoices!$C$6:$C$305,C1023,Invoices!$E$6:$E$305,"&lt;="&amp;B1023,Invoices!$F$6:$F$305,"&gt;="&amp;B1023)&gt;1,"Two invoices",""))))</f>
        <v/>
      </c>
      <c r="Q1023" s="15">
        <f>IF(B1023="","",IF(J1023&lt;&gt;"","Not billable",IF(P1023="","To invoice",IF(P1023="Two invoices","Check dates",IF(ISNA(MATCH(P1023,Invoices!$B$6:$B$305,0)),"Check number",IF(INDEX(Invoices!$M$6:$M$305,MATCH(P1023,Invoices!$B$6:$B$305,0))="Paid","Paid",IF(INDEX(Invoices!$M$6:$M$305,MATCH(P1023,Invoices!$B$6:$B$305,0))="Draft","Draft","Invoiced")))))))</f>
        <v/>
      </c>
      <c r="R1023" s="1">
        <f>IF(AND(B1023&lt;&gt;"",P1023&lt;&gt;"",P1023=Invoice!$G$4),B1023+MOD(N(F1023),1)+ROW()/10000000,"")</f>
        <v/>
      </c>
      <c r="S1023">
        <f>IF(R1023="","",IF(D1023="","Other work",D1023)&amp;IF(AND(K1023&lt;&gt;"",E1023&lt;&gt;""),", "&amp;E1023,""))</f>
        <v/>
      </c>
      <c r="T1023">
        <f>IF(R1023="","",IF(COUNTIFS(R$6:R1022,"&gt;0",S$6:S1022,S1023,N$6:N1022,N1023)=0,R1023,""))</f>
        <v/>
      </c>
      <c r="U1023">
        <f>IF(B1023="","",IF(J1023&lt;&gt;"",0,M1023))</f>
        <v/>
      </c>
    </row>
    <row r="1024">
      <c r="A1024" s="1" t="n"/>
      <c r="B1024" s="16" t="n"/>
      <c r="C1024" s="17" t="n"/>
      <c r="D1024" s="18" t="n"/>
      <c r="E1024" s="18" t="n"/>
      <c r="F1024" s="19" t="n"/>
      <c r="G1024" s="19" t="n"/>
      <c r="H1024" s="20" t="n"/>
      <c r="I1024" s="21" t="n"/>
      <c r="J1024" s="22" t="n"/>
      <c r="K1024" s="23" t="n"/>
      <c r="L1024" s="18" t="n"/>
      <c r="M1024" s="24">
        <f>IF(B1024="","",IF(AND(F1024&lt;&gt;"",G1024&lt;&gt;""),MAX(0,ROUND(MOD(G1024-F1024,1)*24-N(H1024)/60,2)),N(I1024)))</f>
        <v/>
      </c>
      <c r="N1024" s="14">
        <f>IF(B1024="","",IF(K1024&lt;&gt;"",K1024,IF(N(IFERROR(INDEX(Projects!$D$6:$D$65,MATCH(D1024,Projects!$B$6:$B$65,0)),""))&gt;0,IFERROR(INDEX(Projects!$D$6:$D$65,MATCH(D1024,Projects!$B$6:$B$65,0)),""),IFERROR(INDEX(Clients!$G$6:$G$45,MATCH(C1024,Clients!$B$6:$B$45,0)),0))))</f>
        <v/>
      </c>
      <c r="O1024" s="14">
        <f>IF(B1024="","",IF(J1024&lt;&gt;"",0,ROUND(M1024*N1024,2)))</f>
        <v/>
      </c>
      <c r="P1024" s="15">
        <f>IF(OR(B1024="",J1024&lt;&gt;""),"",IF(L1024&lt;&gt;"",L1024,IF(COUNTIFS(Invoices!$C$6:$C$305,C1024,Invoices!$E$6:$E$305,"&lt;="&amp;B1024,Invoices!$F$6:$F$305,"&gt;="&amp;B1024)=1,INDEX(Invoices!$B$6:$B$305,SUMIFS(Invoices!$O$6:$O$305,Invoices!$C$6:$C$305,C1024,Invoices!$E$6:$E$305,"&lt;="&amp;B1024,Invoices!$F$6:$F$305,"&gt;="&amp;B1024)),IF(COUNTIFS(Invoices!$C$6:$C$305,C1024,Invoices!$E$6:$E$305,"&lt;="&amp;B1024,Invoices!$F$6:$F$305,"&gt;="&amp;B1024)&gt;1,"Two invoices",""))))</f>
        <v/>
      </c>
      <c r="Q1024" s="15">
        <f>IF(B1024="","",IF(J1024&lt;&gt;"","Not billable",IF(P1024="","To invoice",IF(P1024="Two invoices","Check dates",IF(ISNA(MATCH(P1024,Invoices!$B$6:$B$305,0)),"Check number",IF(INDEX(Invoices!$M$6:$M$305,MATCH(P1024,Invoices!$B$6:$B$305,0))="Paid","Paid",IF(INDEX(Invoices!$M$6:$M$305,MATCH(P1024,Invoices!$B$6:$B$305,0))="Draft","Draft","Invoiced")))))))</f>
        <v/>
      </c>
      <c r="R1024" s="1">
        <f>IF(AND(B1024&lt;&gt;"",P1024&lt;&gt;"",P1024=Invoice!$G$4),B1024+MOD(N(F1024),1)+ROW()/10000000,"")</f>
        <v/>
      </c>
      <c r="S1024">
        <f>IF(R1024="","",IF(D1024="","Other work",D1024)&amp;IF(AND(K1024&lt;&gt;"",E1024&lt;&gt;""),", "&amp;E1024,""))</f>
        <v/>
      </c>
      <c r="T1024">
        <f>IF(R1024="","",IF(COUNTIFS(R$6:R1023,"&gt;0",S$6:S1023,S1024,N$6:N1023,N1024)=0,R1024,""))</f>
        <v/>
      </c>
      <c r="U1024">
        <f>IF(B1024="","",IF(J1024&lt;&gt;"",0,M1024))</f>
        <v/>
      </c>
    </row>
    <row r="1025">
      <c r="A1025" s="1" t="n"/>
      <c r="B1025" s="16" t="n"/>
      <c r="C1025" s="17" t="n"/>
      <c r="D1025" s="18" t="n"/>
      <c r="E1025" s="18" t="n"/>
      <c r="F1025" s="19" t="n"/>
      <c r="G1025" s="19" t="n"/>
      <c r="H1025" s="20" t="n"/>
      <c r="I1025" s="21" t="n"/>
      <c r="J1025" s="22" t="n"/>
      <c r="K1025" s="23" t="n"/>
      <c r="L1025" s="18" t="n"/>
      <c r="M1025" s="24">
        <f>IF(B1025="","",IF(AND(F1025&lt;&gt;"",G1025&lt;&gt;""),MAX(0,ROUND(MOD(G1025-F1025,1)*24-N(H1025)/60,2)),N(I1025)))</f>
        <v/>
      </c>
      <c r="N1025" s="14">
        <f>IF(B1025="","",IF(K1025&lt;&gt;"",K1025,IF(N(IFERROR(INDEX(Projects!$D$6:$D$65,MATCH(D1025,Projects!$B$6:$B$65,0)),""))&gt;0,IFERROR(INDEX(Projects!$D$6:$D$65,MATCH(D1025,Projects!$B$6:$B$65,0)),""),IFERROR(INDEX(Clients!$G$6:$G$45,MATCH(C1025,Clients!$B$6:$B$45,0)),0))))</f>
        <v/>
      </c>
      <c r="O1025" s="14">
        <f>IF(B1025="","",IF(J1025&lt;&gt;"",0,ROUND(M1025*N1025,2)))</f>
        <v/>
      </c>
      <c r="P1025" s="15">
        <f>IF(OR(B1025="",J1025&lt;&gt;""),"",IF(L1025&lt;&gt;"",L1025,IF(COUNTIFS(Invoices!$C$6:$C$305,C1025,Invoices!$E$6:$E$305,"&lt;="&amp;B1025,Invoices!$F$6:$F$305,"&gt;="&amp;B1025)=1,INDEX(Invoices!$B$6:$B$305,SUMIFS(Invoices!$O$6:$O$305,Invoices!$C$6:$C$305,C1025,Invoices!$E$6:$E$305,"&lt;="&amp;B1025,Invoices!$F$6:$F$305,"&gt;="&amp;B1025)),IF(COUNTIFS(Invoices!$C$6:$C$305,C1025,Invoices!$E$6:$E$305,"&lt;="&amp;B1025,Invoices!$F$6:$F$305,"&gt;="&amp;B1025)&gt;1,"Two invoices",""))))</f>
        <v/>
      </c>
      <c r="Q1025" s="15">
        <f>IF(B1025="","",IF(J1025&lt;&gt;"","Not billable",IF(P1025="","To invoice",IF(P1025="Two invoices","Check dates",IF(ISNA(MATCH(P1025,Invoices!$B$6:$B$305,0)),"Check number",IF(INDEX(Invoices!$M$6:$M$305,MATCH(P1025,Invoices!$B$6:$B$305,0))="Paid","Paid",IF(INDEX(Invoices!$M$6:$M$305,MATCH(P1025,Invoices!$B$6:$B$305,0))="Draft","Draft","Invoiced")))))))</f>
        <v/>
      </c>
      <c r="R1025" s="1">
        <f>IF(AND(B1025&lt;&gt;"",P1025&lt;&gt;"",P1025=Invoice!$G$4),B1025+MOD(N(F1025),1)+ROW()/10000000,"")</f>
        <v/>
      </c>
      <c r="S1025">
        <f>IF(R1025="","",IF(D1025="","Other work",D1025)&amp;IF(AND(K1025&lt;&gt;"",E1025&lt;&gt;""),", "&amp;E1025,""))</f>
        <v/>
      </c>
      <c r="T1025">
        <f>IF(R1025="","",IF(COUNTIFS(R$6:R1024,"&gt;0",S$6:S1024,S1025,N$6:N1024,N1025)=0,R1025,""))</f>
        <v/>
      </c>
      <c r="U1025">
        <f>IF(B1025="","",IF(J1025&lt;&gt;"",0,M1025))</f>
        <v/>
      </c>
    </row>
    <row r="1026">
      <c r="A1026" s="1" t="n"/>
      <c r="B1026" s="16" t="n"/>
      <c r="C1026" s="17" t="n"/>
      <c r="D1026" s="18" t="n"/>
      <c r="E1026" s="18" t="n"/>
      <c r="F1026" s="19" t="n"/>
      <c r="G1026" s="19" t="n"/>
      <c r="H1026" s="20" t="n"/>
      <c r="I1026" s="21" t="n"/>
      <c r="J1026" s="22" t="n"/>
      <c r="K1026" s="23" t="n"/>
      <c r="L1026" s="18" t="n"/>
      <c r="M1026" s="24">
        <f>IF(B1026="","",IF(AND(F1026&lt;&gt;"",G1026&lt;&gt;""),MAX(0,ROUND(MOD(G1026-F1026,1)*24-N(H1026)/60,2)),N(I1026)))</f>
        <v/>
      </c>
      <c r="N1026" s="14">
        <f>IF(B1026="","",IF(K1026&lt;&gt;"",K1026,IF(N(IFERROR(INDEX(Projects!$D$6:$D$65,MATCH(D1026,Projects!$B$6:$B$65,0)),""))&gt;0,IFERROR(INDEX(Projects!$D$6:$D$65,MATCH(D1026,Projects!$B$6:$B$65,0)),""),IFERROR(INDEX(Clients!$G$6:$G$45,MATCH(C1026,Clients!$B$6:$B$45,0)),0))))</f>
        <v/>
      </c>
      <c r="O1026" s="14">
        <f>IF(B1026="","",IF(J1026&lt;&gt;"",0,ROUND(M1026*N1026,2)))</f>
        <v/>
      </c>
      <c r="P1026" s="15">
        <f>IF(OR(B1026="",J1026&lt;&gt;""),"",IF(L1026&lt;&gt;"",L1026,IF(COUNTIFS(Invoices!$C$6:$C$305,C1026,Invoices!$E$6:$E$305,"&lt;="&amp;B1026,Invoices!$F$6:$F$305,"&gt;="&amp;B1026)=1,INDEX(Invoices!$B$6:$B$305,SUMIFS(Invoices!$O$6:$O$305,Invoices!$C$6:$C$305,C1026,Invoices!$E$6:$E$305,"&lt;="&amp;B1026,Invoices!$F$6:$F$305,"&gt;="&amp;B1026)),IF(COUNTIFS(Invoices!$C$6:$C$305,C1026,Invoices!$E$6:$E$305,"&lt;="&amp;B1026,Invoices!$F$6:$F$305,"&gt;="&amp;B1026)&gt;1,"Two invoices",""))))</f>
        <v/>
      </c>
      <c r="Q1026" s="15">
        <f>IF(B1026="","",IF(J1026&lt;&gt;"","Not billable",IF(P1026="","To invoice",IF(P1026="Two invoices","Check dates",IF(ISNA(MATCH(P1026,Invoices!$B$6:$B$305,0)),"Check number",IF(INDEX(Invoices!$M$6:$M$305,MATCH(P1026,Invoices!$B$6:$B$305,0))="Paid","Paid",IF(INDEX(Invoices!$M$6:$M$305,MATCH(P1026,Invoices!$B$6:$B$305,0))="Draft","Draft","Invoiced")))))))</f>
        <v/>
      </c>
      <c r="R1026" s="1">
        <f>IF(AND(B1026&lt;&gt;"",P1026&lt;&gt;"",P1026=Invoice!$G$4),B1026+MOD(N(F1026),1)+ROW()/10000000,"")</f>
        <v/>
      </c>
      <c r="S1026">
        <f>IF(R1026="","",IF(D1026="","Other work",D1026)&amp;IF(AND(K1026&lt;&gt;"",E1026&lt;&gt;""),", "&amp;E1026,""))</f>
        <v/>
      </c>
      <c r="T1026">
        <f>IF(R1026="","",IF(COUNTIFS(R$6:R1025,"&gt;0",S$6:S1025,S1026,N$6:N1025,N1026)=0,R1026,""))</f>
        <v/>
      </c>
      <c r="U1026">
        <f>IF(B1026="","",IF(J1026&lt;&gt;"",0,M1026))</f>
        <v/>
      </c>
    </row>
    <row r="1027">
      <c r="A1027" s="1" t="n"/>
      <c r="B1027" s="16" t="n"/>
      <c r="C1027" s="17" t="n"/>
      <c r="D1027" s="18" t="n"/>
      <c r="E1027" s="18" t="n"/>
      <c r="F1027" s="19" t="n"/>
      <c r="G1027" s="19" t="n"/>
      <c r="H1027" s="20" t="n"/>
      <c r="I1027" s="21" t="n"/>
      <c r="J1027" s="22" t="n"/>
      <c r="K1027" s="23" t="n"/>
      <c r="L1027" s="18" t="n"/>
      <c r="M1027" s="24">
        <f>IF(B1027="","",IF(AND(F1027&lt;&gt;"",G1027&lt;&gt;""),MAX(0,ROUND(MOD(G1027-F1027,1)*24-N(H1027)/60,2)),N(I1027)))</f>
        <v/>
      </c>
      <c r="N1027" s="14">
        <f>IF(B1027="","",IF(K1027&lt;&gt;"",K1027,IF(N(IFERROR(INDEX(Projects!$D$6:$D$65,MATCH(D1027,Projects!$B$6:$B$65,0)),""))&gt;0,IFERROR(INDEX(Projects!$D$6:$D$65,MATCH(D1027,Projects!$B$6:$B$65,0)),""),IFERROR(INDEX(Clients!$G$6:$G$45,MATCH(C1027,Clients!$B$6:$B$45,0)),0))))</f>
        <v/>
      </c>
      <c r="O1027" s="14">
        <f>IF(B1027="","",IF(J1027&lt;&gt;"",0,ROUND(M1027*N1027,2)))</f>
        <v/>
      </c>
      <c r="P1027" s="15">
        <f>IF(OR(B1027="",J1027&lt;&gt;""),"",IF(L1027&lt;&gt;"",L1027,IF(COUNTIFS(Invoices!$C$6:$C$305,C1027,Invoices!$E$6:$E$305,"&lt;="&amp;B1027,Invoices!$F$6:$F$305,"&gt;="&amp;B1027)=1,INDEX(Invoices!$B$6:$B$305,SUMIFS(Invoices!$O$6:$O$305,Invoices!$C$6:$C$305,C1027,Invoices!$E$6:$E$305,"&lt;="&amp;B1027,Invoices!$F$6:$F$305,"&gt;="&amp;B1027)),IF(COUNTIFS(Invoices!$C$6:$C$305,C1027,Invoices!$E$6:$E$305,"&lt;="&amp;B1027,Invoices!$F$6:$F$305,"&gt;="&amp;B1027)&gt;1,"Two invoices",""))))</f>
        <v/>
      </c>
      <c r="Q1027" s="15">
        <f>IF(B1027="","",IF(J1027&lt;&gt;"","Not billable",IF(P1027="","To invoice",IF(P1027="Two invoices","Check dates",IF(ISNA(MATCH(P1027,Invoices!$B$6:$B$305,0)),"Check number",IF(INDEX(Invoices!$M$6:$M$305,MATCH(P1027,Invoices!$B$6:$B$305,0))="Paid","Paid",IF(INDEX(Invoices!$M$6:$M$305,MATCH(P1027,Invoices!$B$6:$B$305,0))="Draft","Draft","Invoiced")))))))</f>
        <v/>
      </c>
      <c r="R1027" s="1">
        <f>IF(AND(B1027&lt;&gt;"",P1027&lt;&gt;"",P1027=Invoice!$G$4),B1027+MOD(N(F1027),1)+ROW()/10000000,"")</f>
        <v/>
      </c>
      <c r="S1027">
        <f>IF(R1027="","",IF(D1027="","Other work",D1027)&amp;IF(AND(K1027&lt;&gt;"",E1027&lt;&gt;""),", "&amp;E1027,""))</f>
        <v/>
      </c>
      <c r="T1027">
        <f>IF(R1027="","",IF(COUNTIFS(R$6:R1026,"&gt;0",S$6:S1026,S1027,N$6:N1026,N1027)=0,R1027,""))</f>
        <v/>
      </c>
      <c r="U1027">
        <f>IF(B1027="","",IF(J1027&lt;&gt;"",0,M1027))</f>
        <v/>
      </c>
    </row>
    <row r="1028">
      <c r="A1028" s="1" t="n"/>
      <c r="B1028" s="16" t="n"/>
      <c r="C1028" s="17" t="n"/>
      <c r="D1028" s="18" t="n"/>
      <c r="E1028" s="18" t="n"/>
      <c r="F1028" s="19" t="n"/>
      <c r="G1028" s="19" t="n"/>
      <c r="H1028" s="20" t="n"/>
      <c r="I1028" s="21" t="n"/>
      <c r="J1028" s="22" t="n"/>
      <c r="K1028" s="23" t="n"/>
      <c r="L1028" s="18" t="n"/>
      <c r="M1028" s="24">
        <f>IF(B1028="","",IF(AND(F1028&lt;&gt;"",G1028&lt;&gt;""),MAX(0,ROUND(MOD(G1028-F1028,1)*24-N(H1028)/60,2)),N(I1028)))</f>
        <v/>
      </c>
      <c r="N1028" s="14">
        <f>IF(B1028="","",IF(K1028&lt;&gt;"",K1028,IF(N(IFERROR(INDEX(Projects!$D$6:$D$65,MATCH(D1028,Projects!$B$6:$B$65,0)),""))&gt;0,IFERROR(INDEX(Projects!$D$6:$D$65,MATCH(D1028,Projects!$B$6:$B$65,0)),""),IFERROR(INDEX(Clients!$G$6:$G$45,MATCH(C1028,Clients!$B$6:$B$45,0)),0))))</f>
        <v/>
      </c>
      <c r="O1028" s="14">
        <f>IF(B1028="","",IF(J1028&lt;&gt;"",0,ROUND(M1028*N1028,2)))</f>
        <v/>
      </c>
      <c r="P1028" s="15">
        <f>IF(OR(B1028="",J1028&lt;&gt;""),"",IF(L1028&lt;&gt;"",L1028,IF(COUNTIFS(Invoices!$C$6:$C$305,C1028,Invoices!$E$6:$E$305,"&lt;="&amp;B1028,Invoices!$F$6:$F$305,"&gt;="&amp;B1028)=1,INDEX(Invoices!$B$6:$B$305,SUMIFS(Invoices!$O$6:$O$305,Invoices!$C$6:$C$305,C1028,Invoices!$E$6:$E$305,"&lt;="&amp;B1028,Invoices!$F$6:$F$305,"&gt;="&amp;B1028)),IF(COUNTIFS(Invoices!$C$6:$C$305,C1028,Invoices!$E$6:$E$305,"&lt;="&amp;B1028,Invoices!$F$6:$F$305,"&gt;="&amp;B1028)&gt;1,"Two invoices",""))))</f>
        <v/>
      </c>
      <c r="Q1028" s="15">
        <f>IF(B1028="","",IF(J1028&lt;&gt;"","Not billable",IF(P1028="","To invoice",IF(P1028="Two invoices","Check dates",IF(ISNA(MATCH(P1028,Invoices!$B$6:$B$305,0)),"Check number",IF(INDEX(Invoices!$M$6:$M$305,MATCH(P1028,Invoices!$B$6:$B$305,0))="Paid","Paid",IF(INDEX(Invoices!$M$6:$M$305,MATCH(P1028,Invoices!$B$6:$B$305,0))="Draft","Draft","Invoiced")))))))</f>
        <v/>
      </c>
      <c r="R1028" s="1">
        <f>IF(AND(B1028&lt;&gt;"",P1028&lt;&gt;"",P1028=Invoice!$G$4),B1028+MOD(N(F1028),1)+ROW()/10000000,"")</f>
        <v/>
      </c>
      <c r="S1028">
        <f>IF(R1028="","",IF(D1028="","Other work",D1028)&amp;IF(AND(K1028&lt;&gt;"",E1028&lt;&gt;""),", "&amp;E1028,""))</f>
        <v/>
      </c>
      <c r="T1028">
        <f>IF(R1028="","",IF(COUNTIFS(R$6:R1027,"&gt;0",S$6:S1027,S1028,N$6:N1027,N1028)=0,R1028,""))</f>
        <v/>
      </c>
      <c r="U1028">
        <f>IF(B1028="","",IF(J1028&lt;&gt;"",0,M1028))</f>
        <v/>
      </c>
    </row>
    <row r="1029">
      <c r="A1029" s="1" t="n"/>
      <c r="B1029" s="16" t="n"/>
      <c r="C1029" s="17" t="n"/>
      <c r="D1029" s="18" t="n"/>
      <c r="E1029" s="18" t="n"/>
      <c r="F1029" s="19" t="n"/>
      <c r="G1029" s="19" t="n"/>
      <c r="H1029" s="20" t="n"/>
      <c r="I1029" s="21" t="n"/>
      <c r="J1029" s="22" t="n"/>
      <c r="K1029" s="23" t="n"/>
      <c r="L1029" s="18" t="n"/>
      <c r="M1029" s="24">
        <f>IF(B1029="","",IF(AND(F1029&lt;&gt;"",G1029&lt;&gt;""),MAX(0,ROUND(MOD(G1029-F1029,1)*24-N(H1029)/60,2)),N(I1029)))</f>
        <v/>
      </c>
      <c r="N1029" s="14">
        <f>IF(B1029="","",IF(K1029&lt;&gt;"",K1029,IF(N(IFERROR(INDEX(Projects!$D$6:$D$65,MATCH(D1029,Projects!$B$6:$B$65,0)),""))&gt;0,IFERROR(INDEX(Projects!$D$6:$D$65,MATCH(D1029,Projects!$B$6:$B$65,0)),""),IFERROR(INDEX(Clients!$G$6:$G$45,MATCH(C1029,Clients!$B$6:$B$45,0)),0))))</f>
        <v/>
      </c>
      <c r="O1029" s="14">
        <f>IF(B1029="","",IF(J1029&lt;&gt;"",0,ROUND(M1029*N1029,2)))</f>
        <v/>
      </c>
      <c r="P1029" s="15">
        <f>IF(OR(B1029="",J1029&lt;&gt;""),"",IF(L1029&lt;&gt;"",L1029,IF(COUNTIFS(Invoices!$C$6:$C$305,C1029,Invoices!$E$6:$E$305,"&lt;="&amp;B1029,Invoices!$F$6:$F$305,"&gt;="&amp;B1029)=1,INDEX(Invoices!$B$6:$B$305,SUMIFS(Invoices!$O$6:$O$305,Invoices!$C$6:$C$305,C1029,Invoices!$E$6:$E$305,"&lt;="&amp;B1029,Invoices!$F$6:$F$305,"&gt;="&amp;B1029)),IF(COUNTIFS(Invoices!$C$6:$C$305,C1029,Invoices!$E$6:$E$305,"&lt;="&amp;B1029,Invoices!$F$6:$F$305,"&gt;="&amp;B1029)&gt;1,"Two invoices",""))))</f>
        <v/>
      </c>
      <c r="Q1029" s="15">
        <f>IF(B1029="","",IF(J1029&lt;&gt;"","Not billable",IF(P1029="","To invoice",IF(P1029="Two invoices","Check dates",IF(ISNA(MATCH(P1029,Invoices!$B$6:$B$305,0)),"Check number",IF(INDEX(Invoices!$M$6:$M$305,MATCH(P1029,Invoices!$B$6:$B$305,0))="Paid","Paid",IF(INDEX(Invoices!$M$6:$M$305,MATCH(P1029,Invoices!$B$6:$B$305,0))="Draft","Draft","Invoiced")))))))</f>
        <v/>
      </c>
      <c r="R1029" s="1">
        <f>IF(AND(B1029&lt;&gt;"",P1029&lt;&gt;"",P1029=Invoice!$G$4),B1029+MOD(N(F1029),1)+ROW()/10000000,"")</f>
        <v/>
      </c>
      <c r="S1029">
        <f>IF(R1029="","",IF(D1029="","Other work",D1029)&amp;IF(AND(K1029&lt;&gt;"",E1029&lt;&gt;""),", "&amp;E1029,""))</f>
        <v/>
      </c>
      <c r="T1029">
        <f>IF(R1029="","",IF(COUNTIFS(R$6:R1028,"&gt;0",S$6:S1028,S1029,N$6:N1028,N1029)=0,R1029,""))</f>
        <v/>
      </c>
      <c r="U1029">
        <f>IF(B1029="","",IF(J1029&lt;&gt;"",0,M1029))</f>
        <v/>
      </c>
    </row>
    <row r="1030">
      <c r="A1030" s="1" t="n"/>
      <c r="B1030" s="16" t="n"/>
      <c r="C1030" s="17" t="n"/>
      <c r="D1030" s="18" t="n"/>
      <c r="E1030" s="18" t="n"/>
      <c r="F1030" s="19" t="n"/>
      <c r="G1030" s="19" t="n"/>
      <c r="H1030" s="20" t="n"/>
      <c r="I1030" s="21" t="n"/>
      <c r="J1030" s="22" t="n"/>
      <c r="K1030" s="23" t="n"/>
      <c r="L1030" s="18" t="n"/>
      <c r="M1030" s="24">
        <f>IF(B1030="","",IF(AND(F1030&lt;&gt;"",G1030&lt;&gt;""),MAX(0,ROUND(MOD(G1030-F1030,1)*24-N(H1030)/60,2)),N(I1030)))</f>
        <v/>
      </c>
      <c r="N1030" s="14">
        <f>IF(B1030="","",IF(K1030&lt;&gt;"",K1030,IF(N(IFERROR(INDEX(Projects!$D$6:$D$65,MATCH(D1030,Projects!$B$6:$B$65,0)),""))&gt;0,IFERROR(INDEX(Projects!$D$6:$D$65,MATCH(D1030,Projects!$B$6:$B$65,0)),""),IFERROR(INDEX(Clients!$G$6:$G$45,MATCH(C1030,Clients!$B$6:$B$45,0)),0))))</f>
        <v/>
      </c>
      <c r="O1030" s="14">
        <f>IF(B1030="","",IF(J1030&lt;&gt;"",0,ROUND(M1030*N1030,2)))</f>
        <v/>
      </c>
      <c r="P1030" s="15">
        <f>IF(OR(B1030="",J1030&lt;&gt;""),"",IF(L1030&lt;&gt;"",L1030,IF(COUNTIFS(Invoices!$C$6:$C$305,C1030,Invoices!$E$6:$E$305,"&lt;="&amp;B1030,Invoices!$F$6:$F$305,"&gt;="&amp;B1030)=1,INDEX(Invoices!$B$6:$B$305,SUMIFS(Invoices!$O$6:$O$305,Invoices!$C$6:$C$305,C1030,Invoices!$E$6:$E$305,"&lt;="&amp;B1030,Invoices!$F$6:$F$305,"&gt;="&amp;B1030)),IF(COUNTIFS(Invoices!$C$6:$C$305,C1030,Invoices!$E$6:$E$305,"&lt;="&amp;B1030,Invoices!$F$6:$F$305,"&gt;="&amp;B1030)&gt;1,"Two invoices",""))))</f>
        <v/>
      </c>
      <c r="Q1030" s="15">
        <f>IF(B1030="","",IF(J1030&lt;&gt;"","Not billable",IF(P1030="","To invoice",IF(P1030="Two invoices","Check dates",IF(ISNA(MATCH(P1030,Invoices!$B$6:$B$305,0)),"Check number",IF(INDEX(Invoices!$M$6:$M$305,MATCH(P1030,Invoices!$B$6:$B$305,0))="Paid","Paid",IF(INDEX(Invoices!$M$6:$M$305,MATCH(P1030,Invoices!$B$6:$B$305,0))="Draft","Draft","Invoiced")))))))</f>
        <v/>
      </c>
      <c r="R1030" s="1">
        <f>IF(AND(B1030&lt;&gt;"",P1030&lt;&gt;"",P1030=Invoice!$G$4),B1030+MOD(N(F1030),1)+ROW()/10000000,"")</f>
        <v/>
      </c>
      <c r="S1030">
        <f>IF(R1030="","",IF(D1030="","Other work",D1030)&amp;IF(AND(K1030&lt;&gt;"",E1030&lt;&gt;""),", "&amp;E1030,""))</f>
        <v/>
      </c>
      <c r="T1030">
        <f>IF(R1030="","",IF(COUNTIFS(R$6:R1029,"&gt;0",S$6:S1029,S1030,N$6:N1029,N1030)=0,R1030,""))</f>
        <v/>
      </c>
      <c r="U1030">
        <f>IF(B1030="","",IF(J1030&lt;&gt;"",0,M1030))</f>
        <v/>
      </c>
    </row>
    <row r="1031">
      <c r="A1031" s="1" t="n"/>
      <c r="B1031" s="16" t="n"/>
      <c r="C1031" s="17" t="n"/>
      <c r="D1031" s="18" t="n"/>
      <c r="E1031" s="18" t="n"/>
      <c r="F1031" s="19" t="n"/>
      <c r="G1031" s="19" t="n"/>
      <c r="H1031" s="20" t="n"/>
      <c r="I1031" s="21" t="n"/>
      <c r="J1031" s="22" t="n"/>
      <c r="K1031" s="23" t="n"/>
      <c r="L1031" s="18" t="n"/>
      <c r="M1031" s="24">
        <f>IF(B1031="","",IF(AND(F1031&lt;&gt;"",G1031&lt;&gt;""),MAX(0,ROUND(MOD(G1031-F1031,1)*24-N(H1031)/60,2)),N(I1031)))</f>
        <v/>
      </c>
      <c r="N1031" s="14">
        <f>IF(B1031="","",IF(K1031&lt;&gt;"",K1031,IF(N(IFERROR(INDEX(Projects!$D$6:$D$65,MATCH(D1031,Projects!$B$6:$B$65,0)),""))&gt;0,IFERROR(INDEX(Projects!$D$6:$D$65,MATCH(D1031,Projects!$B$6:$B$65,0)),""),IFERROR(INDEX(Clients!$G$6:$G$45,MATCH(C1031,Clients!$B$6:$B$45,0)),0))))</f>
        <v/>
      </c>
      <c r="O1031" s="14">
        <f>IF(B1031="","",IF(J1031&lt;&gt;"",0,ROUND(M1031*N1031,2)))</f>
        <v/>
      </c>
      <c r="P1031" s="15">
        <f>IF(OR(B1031="",J1031&lt;&gt;""),"",IF(L1031&lt;&gt;"",L1031,IF(COUNTIFS(Invoices!$C$6:$C$305,C1031,Invoices!$E$6:$E$305,"&lt;="&amp;B1031,Invoices!$F$6:$F$305,"&gt;="&amp;B1031)=1,INDEX(Invoices!$B$6:$B$305,SUMIFS(Invoices!$O$6:$O$305,Invoices!$C$6:$C$305,C1031,Invoices!$E$6:$E$305,"&lt;="&amp;B1031,Invoices!$F$6:$F$305,"&gt;="&amp;B1031)),IF(COUNTIFS(Invoices!$C$6:$C$305,C1031,Invoices!$E$6:$E$305,"&lt;="&amp;B1031,Invoices!$F$6:$F$305,"&gt;="&amp;B1031)&gt;1,"Two invoices",""))))</f>
        <v/>
      </c>
      <c r="Q1031" s="15">
        <f>IF(B1031="","",IF(J1031&lt;&gt;"","Not billable",IF(P1031="","To invoice",IF(P1031="Two invoices","Check dates",IF(ISNA(MATCH(P1031,Invoices!$B$6:$B$305,0)),"Check number",IF(INDEX(Invoices!$M$6:$M$305,MATCH(P1031,Invoices!$B$6:$B$305,0))="Paid","Paid",IF(INDEX(Invoices!$M$6:$M$305,MATCH(P1031,Invoices!$B$6:$B$305,0))="Draft","Draft","Invoiced")))))))</f>
        <v/>
      </c>
      <c r="R1031" s="1">
        <f>IF(AND(B1031&lt;&gt;"",P1031&lt;&gt;"",P1031=Invoice!$G$4),B1031+MOD(N(F1031),1)+ROW()/10000000,"")</f>
        <v/>
      </c>
      <c r="S1031">
        <f>IF(R1031="","",IF(D1031="","Other work",D1031)&amp;IF(AND(K1031&lt;&gt;"",E1031&lt;&gt;""),", "&amp;E1031,""))</f>
        <v/>
      </c>
      <c r="T1031">
        <f>IF(R1031="","",IF(COUNTIFS(R$6:R1030,"&gt;0",S$6:S1030,S1031,N$6:N1030,N1031)=0,R1031,""))</f>
        <v/>
      </c>
      <c r="U1031">
        <f>IF(B1031="","",IF(J1031&lt;&gt;"",0,M1031))</f>
        <v/>
      </c>
    </row>
    <row r="1032">
      <c r="A1032" s="1" t="n"/>
      <c r="B1032" s="16" t="n"/>
      <c r="C1032" s="17" t="n"/>
      <c r="D1032" s="18" t="n"/>
      <c r="E1032" s="18" t="n"/>
      <c r="F1032" s="19" t="n"/>
      <c r="G1032" s="19" t="n"/>
      <c r="H1032" s="20" t="n"/>
      <c r="I1032" s="21" t="n"/>
      <c r="J1032" s="22" t="n"/>
      <c r="K1032" s="23" t="n"/>
      <c r="L1032" s="18" t="n"/>
      <c r="M1032" s="24">
        <f>IF(B1032="","",IF(AND(F1032&lt;&gt;"",G1032&lt;&gt;""),MAX(0,ROUND(MOD(G1032-F1032,1)*24-N(H1032)/60,2)),N(I1032)))</f>
        <v/>
      </c>
      <c r="N1032" s="14">
        <f>IF(B1032="","",IF(K1032&lt;&gt;"",K1032,IF(N(IFERROR(INDEX(Projects!$D$6:$D$65,MATCH(D1032,Projects!$B$6:$B$65,0)),""))&gt;0,IFERROR(INDEX(Projects!$D$6:$D$65,MATCH(D1032,Projects!$B$6:$B$65,0)),""),IFERROR(INDEX(Clients!$G$6:$G$45,MATCH(C1032,Clients!$B$6:$B$45,0)),0))))</f>
        <v/>
      </c>
      <c r="O1032" s="14">
        <f>IF(B1032="","",IF(J1032&lt;&gt;"",0,ROUND(M1032*N1032,2)))</f>
        <v/>
      </c>
      <c r="P1032" s="15">
        <f>IF(OR(B1032="",J1032&lt;&gt;""),"",IF(L1032&lt;&gt;"",L1032,IF(COUNTIFS(Invoices!$C$6:$C$305,C1032,Invoices!$E$6:$E$305,"&lt;="&amp;B1032,Invoices!$F$6:$F$305,"&gt;="&amp;B1032)=1,INDEX(Invoices!$B$6:$B$305,SUMIFS(Invoices!$O$6:$O$305,Invoices!$C$6:$C$305,C1032,Invoices!$E$6:$E$305,"&lt;="&amp;B1032,Invoices!$F$6:$F$305,"&gt;="&amp;B1032)),IF(COUNTIFS(Invoices!$C$6:$C$305,C1032,Invoices!$E$6:$E$305,"&lt;="&amp;B1032,Invoices!$F$6:$F$305,"&gt;="&amp;B1032)&gt;1,"Two invoices",""))))</f>
        <v/>
      </c>
      <c r="Q1032" s="15">
        <f>IF(B1032="","",IF(J1032&lt;&gt;"","Not billable",IF(P1032="","To invoice",IF(P1032="Two invoices","Check dates",IF(ISNA(MATCH(P1032,Invoices!$B$6:$B$305,0)),"Check number",IF(INDEX(Invoices!$M$6:$M$305,MATCH(P1032,Invoices!$B$6:$B$305,0))="Paid","Paid",IF(INDEX(Invoices!$M$6:$M$305,MATCH(P1032,Invoices!$B$6:$B$305,0))="Draft","Draft","Invoiced")))))))</f>
        <v/>
      </c>
      <c r="R1032" s="1">
        <f>IF(AND(B1032&lt;&gt;"",P1032&lt;&gt;"",P1032=Invoice!$G$4),B1032+MOD(N(F1032),1)+ROW()/10000000,"")</f>
        <v/>
      </c>
      <c r="S1032">
        <f>IF(R1032="","",IF(D1032="","Other work",D1032)&amp;IF(AND(K1032&lt;&gt;"",E1032&lt;&gt;""),", "&amp;E1032,""))</f>
        <v/>
      </c>
      <c r="T1032">
        <f>IF(R1032="","",IF(COUNTIFS(R$6:R1031,"&gt;0",S$6:S1031,S1032,N$6:N1031,N1032)=0,R1032,""))</f>
        <v/>
      </c>
      <c r="U1032">
        <f>IF(B1032="","",IF(J1032&lt;&gt;"",0,M1032))</f>
        <v/>
      </c>
    </row>
    <row r="1033">
      <c r="A1033" s="1" t="n"/>
      <c r="B1033" s="16" t="n"/>
      <c r="C1033" s="17" t="n"/>
      <c r="D1033" s="18" t="n"/>
      <c r="E1033" s="18" t="n"/>
      <c r="F1033" s="19" t="n"/>
      <c r="G1033" s="19" t="n"/>
      <c r="H1033" s="20" t="n"/>
      <c r="I1033" s="21" t="n"/>
      <c r="J1033" s="22" t="n"/>
      <c r="K1033" s="23" t="n"/>
      <c r="L1033" s="18" t="n"/>
      <c r="M1033" s="24">
        <f>IF(B1033="","",IF(AND(F1033&lt;&gt;"",G1033&lt;&gt;""),MAX(0,ROUND(MOD(G1033-F1033,1)*24-N(H1033)/60,2)),N(I1033)))</f>
        <v/>
      </c>
      <c r="N1033" s="14">
        <f>IF(B1033="","",IF(K1033&lt;&gt;"",K1033,IF(N(IFERROR(INDEX(Projects!$D$6:$D$65,MATCH(D1033,Projects!$B$6:$B$65,0)),""))&gt;0,IFERROR(INDEX(Projects!$D$6:$D$65,MATCH(D1033,Projects!$B$6:$B$65,0)),""),IFERROR(INDEX(Clients!$G$6:$G$45,MATCH(C1033,Clients!$B$6:$B$45,0)),0))))</f>
        <v/>
      </c>
      <c r="O1033" s="14">
        <f>IF(B1033="","",IF(J1033&lt;&gt;"",0,ROUND(M1033*N1033,2)))</f>
        <v/>
      </c>
      <c r="P1033" s="15">
        <f>IF(OR(B1033="",J1033&lt;&gt;""),"",IF(L1033&lt;&gt;"",L1033,IF(COUNTIFS(Invoices!$C$6:$C$305,C1033,Invoices!$E$6:$E$305,"&lt;="&amp;B1033,Invoices!$F$6:$F$305,"&gt;="&amp;B1033)=1,INDEX(Invoices!$B$6:$B$305,SUMIFS(Invoices!$O$6:$O$305,Invoices!$C$6:$C$305,C1033,Invoices!$E$6:$E$305,"&lt;="&amp;B1033,Invoices!$F$6:$F$305,"&gt;="&amp;B1033)),IF(COUNTIFS(Invoices!$C$6:$C$305,C1033,Invoices!$E$6:$E$305,"&lt;="&amp;B1033,Invoices!$F$6:$F$305,"&gt;="&amp;B1033)&gt;1,"Two invoices",""))))</f>
        <v/>
      </c>
      <c r="Q1033" s="15">
        <f>IF(B1033="","",IF(J1033&lt;&gt;"","Not billable",IF(P1033="","To invoice",IF(P1033="Two invoices","Check dates",IF(ISNA(MATCH(P1033,Invoices!$B$6:$B$305,0)),"Check number",IF(INDEX(Invoices!$M$6:$M$305,MATCH(P1033,Invoices!$B$6:$B$305,0))="Paid","Paid",IF(INDEX(Invoices!$M$6:$M$305,MATCH(P1033,Invoices!$B$6:$B$305,0))="Draft","Draft","Invoiced")))))))</f>
        <v/>
      </c>
      <c r="R1033" s="1">
        <f>IF(AND(B1033&lt;&gt;"",P1033&lt;&gt;"",P1033=Invoice!$G$4),B1033+MOD(N(F1033),1)+ROW()/10000000,"")</f>
        <v/>
      </c>
      <c r="S1033">
        <f>IF(R1033="","",IF(D1033="","Other work",D1033)&amp;IF(AND(K1033&lt;&gt;"",E1033&lt;&gt;""),", "&amp;E1033,""))</f>
        <v/>
      </c>
      <c r="T1033">
        <f>IF(R1033="","",IF(COUNTIFS(R$6:R1032,"&gt;0",S$6:S1032,S1033,N$6:N1032,N1033)=0,R1033,""))</f>
        <v/>
      </c>
      <c r="U1033">
        <f>IF(B1033="","",IF(J1033&lt;&gt;"",0,M1033))</f>
        <v/>
      </c>
    </row>
    <row r="1034">
      <c r="A1034" s="1" t="n"/>
      <c r="B1034" s="16" t="n"/>
      <c r="C1034" s="17" t="n"/>
      <c r="D1034" s="18" t="n"/>
      <c r="E1034" s="18" t="n"/>
      <c r="F1034" s="19" t="n"/>
      <c r="G1034" s="19" t="n"/>
      <c r="H1034" s="20" t="n"/>
      <c r="I1034" s="21" t="n"/>
      <c r="J1034" s="22" t="n"/>
      <c r="K1034" s="23" t="n"/>
      <c r="L1034" s="18" t="n"/>
      <c r="M1034" s="24">
        <f>IF(B1034="","",IF(AND(F1034&lt;&gt;"",G1034&lt;&gt;""),MAX(0,ROUND(MOD(G1034-F1034,1)*24-N(H1034)/60,2)),N(I1034)))</f>
        <v/>
      </c>
      <c r="N1034" s="14">
        <f>IF(B1034="","",IF(K1034&lt;&gt;"",K1034,IF(N(IFERROR(INDEX(Projects!$D$6:$D$65,MATCH(D1034,Projects!$B$6:$B$65,0)),""))&gt;0,IFERROR(INDEX(Projects!$D$6:$D$65,MATCH(D1034,Projects!$B$6:$B$65,0)),""),IFERROR(INDEX(Clients!$G$6:$G$45,MATCH(C1034,Clients!$B$6:$B$45,0)),0))))</f>
        <v/>
      </c>
      <c r="O1034" s="14">
        <f>IF(B1034="","",IF(J1034&lt;&gt;"",0,ROUND(M1034*N1034,2)))</f>
        <v/>
      </c>
      <c r="P1034" s="15">
        <f>IF(OR(B1034="",J1034&lt;&gt;""),"",IF(L1034&lt;&gt;"",L1034,IF(COUNTIFS(Invoices!$C$6:$C$305,C1034,Invoices!$E$6:$E$305,"&lt;="&amp;B1034,Invoices!$F$6:$F$305,"&gt;="&amp;B1034)=1,INDEX(Invoices!$B$6:$B$305,SUMIFS(Invoices!$O$6:$O$305,Invoices!$C$6:$C$305,C1034,Invoices!$E$6:$E$305,"&lt;="&amp;B1034,Invoices!$F$6:$F$305,"&gt;="&amp;B1034)),IF(COUNTIFS(Invoices!$C$6:$C$305,C1034,Invoices!$E$6:$E$305,"&lt;="&amp;B1034,Invoices!$F$6:$F$305,"&gt;="&amp;B1034)&gt;1,"Two invoices",""))))</f>
        <v/>
      </c>
      <c r="Q1034" s="15">
        <f>IF(B1034="","",IF(J1034&lt;&gt;"","Not billable",IF(P1034="","To invoice",IF(P1034="Two invoices","Check dates",IF(ISNA(MATCH(P1034,Invoices!$B$6:$B$305,0)),"Check number",IF(INDEX(Invoices!$M$6:$M$305,MATCH(P1034,Invoices!$B$6:$B$305,0))="Paid","Paid",IF(INDEX(Invoices!$M$6:$M$305,MATCH(P1034,Invoices!$B$6:$B$305,0))="Draft","Draft","Invoiced")))))))</f>
        <v/>
      </c>
      <c r="R1034" s="1">
        <f>IF(AND(B1034&lt;&gt;"",P1034&lt;&gt;"",P1034=Invoice!$G$4),B1034+MOD(N(F1034),1)+ROW()/10000000,"")</f>
        <v/>
      </c>
      <c r="S1034">
        <f>IF(R1034="","",IF(D1034="","Other work",D1034)&amp;IF(AND(K1034&lt;&gt;"",E1034&lt;&gt;""),", "&amp;E1034,""))</f>
        <v/>
      </c>
      <c r="T1034">
        <f>IF(R1034="","",IF(COUNTIFS(R$6:R1033,"&gt;0",S$6:S1033,S1034,N$6:N1033,N1034)=0,R1034,""))</f>
        <v/>
      </c>
      <c r="U1034">
        <f>IF(B1034="","",IF(J1034&lt;&gt;"",0,M1034))</f>
        <v/>
      </c>
    </row>
    <row r="1035">
      <c r="A1035" s="1" t="n"/>
      <c r="B1035" s="16" t="n"/>
      <c r="C1035" s="17" t="n"/>
      <c r="D1035" s="18" t="n"/>
      <c r="E1035" s="18" t="n"/>
      <c r="F1035" s="19" t="n"/>
      <c r="G1035" s="19" t="n"/>
      <c r="H1035" s="20" t="n"/>
      <c r="I1035" s="21" t="n"/>
      <c r="J1035" s="22" t="n"/>
      <c r="K1035" s="23" t="n"/>
      <c r="L1035" s="18" t="n"/>
      <c r="M1035" s="24">
        <f>IF(B1035="","",IF(AND(F1035&lt;&gt;"",G1035&lt;&gt;""),MAX(0,ROUND(MOD(G1035-F1035,1)*24-N(H1035)/60,2)),N(I1035)))</f>
        <v/>
      </c>
      <c r="N1035" s="14">
        <f>IF(B1035="","",IF(K1035&lt;&gt;"",K1035,IF(N(IFERROR(INDEX(Projects!$D$6:$D$65,MATCH(D1035,Projects!$B$6:$B$65,0)),""))&gt;0,IFERROR(INDEX(Projects!$D$6:$D$65,MATCH(D1035,Projects!$B$6:$B$65,0)),""),IFERROR(INDEX(Clients!$G$6:$G$45,MATCH(C1035,Clients!$B$6:$B$45,0)),0))))</f>
        <v/>
      </c>
      <c r="O1035" s="14">
        <f>IF(B1035="","",IF(J1035&lt;&gt;"",0,ROUND(M1035*N1035,2)))</f>
        <v/>
      </c>
      <c r="P1035" s="15">
        <f>IF(OR(B1035="",J1035&lt;&gt;""),"",IF(L1035&lt;&gt;"",L1035,IF(COUNTIFS(Invoices!$C$6:$C$305,C1035,Invoices!$E$6:$E$305,"&lt;="&amp;B1035,Invoices!$F$6:$F$305,"&gt;="&amp;B1035)=1,INDEX(Invoices!$B$6:$B$305,SUMIFS(Invoices!$O$6:$O$305,Invoices!$C$6:$C$305,C1035,Invoices!$E$6:$E$305,"&lt;="&amp;B1035,Invoices!$F$6:$F$305,"&gt;="&amp;B1035)),IF(COUNTIFS(Invoices!$C$6:$C$305,C1035,Invoices!$E$6:$E$305,"&lt;="&amp;B1035,Invoices!$F$6:$F$305,"&gt;="&amp;B1035)&gt;1,"Two invoices",""))))</f>
        <v/>
      </c>
      <c r="Q1035" s="15">
        <f>IF(B1035="","",IF(J1035&lt;&gt;"","Not billable",IF(P1035="","To invoice",IF(P1035="Two invoices","Check dates",IF(ISNA(MATCH(P1035,Invoices!$B$6:$B$305,0)),"Check number",IF(INDEX(Invoices!$M$6:$M$305,MATCH(P1035,Invoices!$B$6:$B$305,0))="Paid","Paid",IF(INDEX(Invoices!$M$6:$M$305,MATCH(P1035,Invoices!$B$6:$B$305,0))="Draft","Draft","Invoiced")))))))</f>
        <v/>
      </c>
      <c r="R1035" s="1">
        <f>IF(AND(B1035&lt;&gt;"",P1035&lt;&gt;"",P1035=Invoice!$G$4),B1035+MOD(N(F1035),1)+ROW()/10000000,"")</f>
        <v/>
      </c>
      <c r="S1035">
        <f>IF(R1035="","",IF(D1035="","Other work",D1035)&amp;IF(AND(K1035&lt;&gt;"",E1035&lt;&gt;""),", "&amp;E1035,""))</f>
        <v/>
      </c>
      <c r="T1035">
        <f>IF(R1035="","",IF(COUNTIFS(R$6:R1034,"&gt;0",S$6:S1034,S1035,N$6:N1034,N1035)=0,R1035,""))</f>
        <v/>
      </c>
      <c r="U1035">
        <f>IF(B1035="","",IF(J1035&lt;&gt;"",0,M1035))</f>
        <v/>
      </c>
    </row>
    <row r="1036">
      <c r="A1036" s="1" t="n"/>
      <c r="B1036" s="16" t="n"/>
      <c r="C1036" s="17" t="n"/>
      <c r="D1036" s="18" t="n"/>
      <c r="E1036" s="18" t="n"/>
      <c r="F1036" s="19" t="n"/>
      <c r="G1036" s="19" t="n"/>
      <c r="H1036" s="20" t="n"/>
      <c r="I1036" s="21" t="n"/>
      <c r="J1036" s="22" t="n"/>
      <c r="K1036" s="23" t="n"/>
      <c r="L1036" s="18" t="n"/>
      <c r="M1036" s="24">
        <f>IF(B1036="","",IF(AND(F1036&lt;&gt;"",G1036&lt;&gt;""),MAX(0,ROUND(MOD(G1036-F1036,1)*24-N(H1036)/60,2)),N(I1036)))</f>
        <v/>
      </c>
      <c r="N1036" s="14">
        <f>IF(B1036="","",IF(K1036&lt;&gt;"",K1036,IF(N(IFERROR(INDEX(Projects!$D$6:$D$65,MATCH(D1036,Projects!$B$6:$B$65,0)),""))&gt;0,IFERROR(INDEX(Projects!$D$6:$D$65,MATCH(D1036,Projects!$B$6:$B$65,0)),""),IFERROR(INDEX(Clients!$G$6:$G$45,MATCH(C1036,Clients!$B$6:$B$45,0)),0))))</f>
        <v/>
      </c>
      <c r="O1036" s="14">
        <f>IF(B1036="","",IF(J1036&lt;&gt;"",0,ROUND(M1036*N1036,2)))</f>
        <v/>
      </c>
      <c r="P1036" s="15">
        <f>IF(OR(B1036="",J1036&lt;&gt;""),"",IF(L1036&lt;&gt;"",L1036,IF(COUNTIFS(Invoices!$C$6:$C$305,C1036,Invoices!$E$6:$E$305,"&lt;="&amp;B1036,Invoices!$F$6:$F$305,"&gt;="&amp;B1036)=1,INDEX(Invoices!$B$6:$B$305,SUMIFS(Invoices!$O$6:$O$305,Invoices!$C$6:$C$305,C1036,Invoices!$E$6:$E$305,"&lt;="&amp;B1036,Invoices!$F$6:$F$305,"&gt;="&amp;B1036)),IF(COUNTIFS(Invoices!$C$6:$C$305,C1036,Invoices!$E$6:$E$305,"&lt;="&amp;B1036,Invoices!$F$6:$F$305,"&gt;="&amp;B1036)&gt;1,"Two invoices",""))))</f>
        <v/>
      </c>
      <c r="Q1036" s="15">
        <f>IF(B1036="","",IF(J1036&lt;&gt;"","Not billable",IF(P1036="","To invoice",IF(P1036="Two invoices","Check dates",IF(ISNA(MATCH(P1036,Invoices!$B$6:$B$305,0)),"Check number",IF(INDEX(Invoices!$M$6:$M$305,MATCH(P1036,Invoices!$B$6:$B$305,0))="Paid","Paid",IF(INDEX(Invoices!$M$6:$M$305,MATCH(P1036,Invoices!$B$6:$B$305,0))="Draft","Draft","Invoiced")))))))</f>
        <v/>
      </c>
      <c r="R1036" s="1">
        <f>IF(AND(B1036&lt;&gt;"",P1036&lt;&gt;"",P1036=Invoice!$G$4),B1036+MOD(N(F1036),1)+ROW()/10000000,"")</f>
        <v/>
      </c>
      <c r="S1036">
        <f>IF(R1036="","",IF(D1036="","Other work",D1036)&amp;IF(AND(K1036&lt;&gt;"",E1036&lt;&gt;""),", "&amp;E1036,""))</f>
        <v/>
      </c>
      <c r="T1036">
        <f>IF(R1036="","",IF(COUNTIFS(R$6:R1035,"&gt;0",S$6:S1035,S1036,N$6:N1035,N1036)=0,R1036,""))</f>
        <v/>
      </c>
      <c r="U1036">
        <f>IF(B1036="","",IF(J1036&lt;&gt;"",0,M1036))</f>
        <v/>
      </c>
    </row>
    <row r="1037">
      <c r="A1037" s="1" t="n"/>
      <c r="B1037" s="16" t="n"/>
      <c r="C1037" s="17" t="n"/>
      <c r="D1037" s="18" t="n"/>
      <c r="E1037" s="18" t="n"/>
      <c r="F1037" s="19" t="n"/>
      <c r="G1037" s="19" t="n"/>
      <c r="H1037" s="20" t="n"/>
      <c r="I1037" s="21" t="n"/>
      <c r="J1037" s="22" t="n"/>
      <c r="K1037" s="23" t="n"/>
      <c r="L1037" s="18" t="n"/>
      <c r="M1037" s="24">
        <f>IF(B1037="","",IF(AND(F1037&lt;&gt;"",G1037&lt;&gt;""),MAX(0,ROUND(MOD(G1037-F1037,1)*24-N(H1037)/60,2)),N(I1037)))</f>
        <v/>
      </c>
      <c r="N1037" s="14">
        <f>IF(B1037="","",IF(K1037&lt;&gt;"",K1037,IF(N(IFERROR(INDEX(Projects!$D$6:$D$65,MATCH(D1037,Projects!$B$6:$B$65,0)),""))&gt;0,IFERROR(INDEX(Projects!$D$6:$D$65,MATCH(D1037,Projects!$B$6:$B$65,0)),""),IFERROR(INDEX(Clients!$G$6:$G$45,MATCH(C1037,Clients!$B$6:$B$45,0)),0))))</f>
        <v/>
      </c>
      <c r="O1037" s="14">
        <f>IF(B1037="","",IF(J1037&lt;&gt;"",0,ROUND(M1037*N1037,2)))</f>
        <v/>
      </c>
      <c r="P1037" s="15">
        <f>IF(OR(B1037="",J1037&lt;&gt;""),"",IF(L1037&lt;&gt;"",L1037,IF(COUNTIFS(Invoices!$C$6:$C$305,C1037,Invoices!$E$6:$E$305,"&lt;="&amp;B1037,Invoices!$F$6:$F$305,"&gt;="&amp;B1037)=1,INDEX(Invoices!$B$6:$B$305,SUMIFS(Invoices!$O$6:$O$305,Invoices!$C$6:$C$305,C1037,Invoices!$E$6:$E$305,"&lt;="&amp;B1037,Invoices!$F$6:$F$305,"&gt;="&amp;B1037)),IF(COUNTIFS(Invoices!$C$6:$C$305,C1037,Invoices!$E$6:$E$305,"&lt;="&amp;B1037,Invoices!$F$6:$F$305,"&gt;="&amp;B1037)&gt;1,"Two invoices",""))))</f>
        <v/>
      </c>
      <c r="Q1037" s="15">
        <f>IF(B1037="","",IF(J1037&lt;&gt;"","Not billable",IF(P1037="","To invoice",IF(P1037="Two invoices","Check dates",IF(ISNA(MATCH(P1037,Invoices!$B$6:$B$305,0)),"Check number",IF(INDEX(Invoices!$M$6:$M$305,MATCH(P1037,Invoices!$B$6:$B$305,0))="Paid","Paid",IF(INDEX(Invoices!$M$6:$M$305,MATCH(P1037,Invoices!$B$6:$B$305,0))="Draft","Draft","Invoiced")))))))</f>
        <v/>
      </c>
      <c r="R1037" s="1">
        <f>IF(AND(B1037&lt;&gt;"",P1037&lt;&gt;"",P1037=Invoice!$G$4),B1037+MOD(N(F1037),1)+ROW()/10000000,"")</f>
        <v/>
      </c>
      <c r="S1037">
        <f>IF(R1037="","",IF(D1037="","Other work",D1037)&amp;IF(AND(K1037&lt;&gt;"",E1037&lt;&gt;""),", "&amp;E1037,""))</f>
        <v/>
      </c>
      <c r="T1037">
        <f>IF(R1037="","",IF(COUNTIFS(R$6:R1036,"&gt;0",S$6:S1036,S1037,N$6:N1036,N1037)=0,R1037,""))</f>
        <v/>
      </c>
      <c r="U1037">
        <f>IF(B1037="","",IF(J1037&lt;&gt;"",0,M1037))</f>
        <v/>
      </c>
    </row>
    <row r="1038">
      <c r="A1038" s="1" t="n"/>
      <c r="B1038" s="16" t="n"/>
      <c r="C1038" s="17" t="n"/>
      <c r="D1038" s="18" t="n"/>
      <c r="E1038" s="18" t="n"/>
      <c r="F1038" s="19" t="n"/>
      <c r="G1038" s="19" t="n"/>
      <c r="H1038" s="20" t="n"/>
      <c r="I1038" s="21" t="n"/>
      <c r="J1038" s="22" t="n"/>
      <c r="K1038" s="23" t="n"/>
      <c r="L1038" s="18" t="n"/>
      <c r="M1038" s="24">
        <f>IF(B1038="","",IF(AND(F1038&lt;&gt;"",G1038&lt;&gt;""),MAX(0,ROUND(MOD(G1038-F1038,1)*24-N(H1038)/60,2)),N(I1038)))</f>
        <v/>
      </c>
      <c r="N1038" s="14">
        <f>IF(B1038="","",IF(K1038&lt;&gt;"",K1038,IF(N(IFERROR(INDEX(Projects!$D$6:$D$65,MATCH(D1038,Projects!$B$6:$B$65,0)),""))&gt;0,IFERROR(INDEX(Projects!$D$6:$D$65,MATCH(D1038,Projects!$B$6:$B$65,0)),""),IFERROR(INDEX(Clients!$G$6:$G$45,MATCH(C1038,Clients!$B$6:$B$45,0)),0))))</f>
        <v/>
      </c>
      <c r="O1038" s="14">
        <f>IF(B1038="","",IF(J1038&lt;&gt;"",0,ROUND(M1038*N1038,2)))</f>
        <v/>
      </c>
      <c r="P1038" s="15">
        <f>IF(OR(B1038="",J1038&lt;&gt;""),"",IF(L1038&lt;&gt;"",L1038,IF(COUNTIFS(Invoices!$C$6:$C$305,C1038,Invoices!$E$6:$E$305,"&lt;="&amp;B1038,Invoices!$F$6:$F$305,"&gt;="&amp;B1038)=1,INDEX(Invoices!$B$6:$B$305,SUMIFS(Invoices!$O$6:$O$305,Invoices!$C$6:$C$305,C1038,Invoices!$E$6:$E$305,"&lt;="&amp;B1038,Invoices!$F$6:$F$305,"&gt;="&amp;B1038)),IF(COUNTIFS(Invoices!$C$6:$C$305,C1038,Invoices!$E$6:$E$305,"&lt;="&amp;B1038,Invoices!$F$6:$F$305,"&gt;="&amp;B1038)&gt;1,"Two invoices",""))))</f>
        <v/>
      </c>
      <c r="Q1038" s="15">
        <f>IF(B1038="","",IF(J1038&lt;&gt;"","Not billable",IF(P1038="","To invoice",IF(P1038="Two invoices","Check dates",IF(ISNA(MATCH(P1038,Invoices!$B$6:$B$305,0)),"Check number",IF(INDEX(Invoices!$M$6:$M$305,MATCH(P1038,Invoices!$B$6:$B$305,0))="Paid","Paid",IF(INDEX(Invoices!$M$6:$M$305,MATCH(P1038,Invoices!$B$6:$B$305,0))="Draft","Draft","Invoiced")))))))</f>
        <v/>
      </c>
      <c r="R1038" s="1">
        <f>IF(AND(B1038&lt;&gt;"",P1038&lt;&gt;"",P1038=Invoice!$G$4),B1038+MOD(N(F1038),1)+ROW()/10000000,"")</f>
        <v/>
      </c>
      <c r="S1038">
        <f>IF(R1038="","",IF(D1038="","Other work",D1038)&amp;IF(AND(K1038&lt;&gt;"",E1038&lt;&gt;""),", "&amp;E1038,""))</f>
        <v/>
      </c>
      <c r="T1038">
        <f>IF(R1038="","",IF(COUNTIFS(R$6:R1037,"&gt;0",S$6:S1037,S1038,N$6:N1037,N1038)=0,R1038,""))</f>
        <v/>
      </c>
      <c r="U1038">
        <f>IF(B1038="","",IF(J1038&lt;&gt;"",0,M1038))</f>
        <v/>
      </c>
    </row>
    <row r="1039">
      <c r="A1039" s="1" t="n"/>
      <c r="B1039" s="16" t="n"/>
      <c r="C1039" s="17" t="n"/>
      <c r="D1039" s="18" t="n"/>
      <c r="E1039" s="18" t="n"/>
      <c r="F1039" s="19" t="n"/>
      <c r="G1039" s="19" t="n"/>
      <c r="H1039" s="20" t="n"/>
      <c r="I1039" s="21" t="n"/>
      <c r="J1039" s="22" t="n"/>
      <c r="K1039" s="23" t="n"/>
      <c r="L1039" s="18" t="n"/>
      <c r="M1039" s="24">
        <f>IF(B1039="","",IF(AND(F1039&lt;&gt;"",G1039&lt;&gt;""),MAX(0,ROUND(MOD(G1039-F1039,1)*24-N(H1039)/60,2)),N(I1039)))</f>
        <v/>
      </c>
      <c r="N1039" s="14">
        <f>IF(B1039="","",IF(K1039&lt;&gt;"",K1039,IF(N(IFERROR(INDEX(Projects!$D$6:$D$65,MATCH(D1039,Projects!$B$6:$B$65,0)),""))&gt;0,IFERROR(INDEX(Projects!$D$6:$D$65,MATCH(D1039,Projects!$B$6:$B$65,0)),""),IFERROR(INDEX(Clients!$G$6:$G$45,MATCH(C1039,Clients!$B$6:$B$45,0)),0))))</f>
        <v/>
      </c>
      <c r="O1039" s="14">
        <f>IF(B1039="","",IF(J1039&lt;&gt;"",0,ROUND(M1039*N1039,2)))</f>
        <v/>
      </c>
      <c r="P1039" s="15">
        <f>IF(OR(B1039="",J1039&lt;&gt;""),"",IF(L1039&lt;&gt;"",L1039,IF(COUNTIFS(Invoices!$C$6:$C$305,C1039,Invoices!$E$6:$E$305,"&lt;="&amp;B1039,Invoices!$F$6:$F$305,"&gt;="&amp;B1039)=1,INDEX(Invoices!$B$6:$B$305,SUMIFS(Invoices!$O$6:$O$305,Invoices!$C$6:$C$305,C1039,Invoices!$E$6:$E$305,"&lt;="&amp;B1039,Invoices!$F$6:$F$305,"&gt;="&amp;B1039)),IF(COUNTIFS(Invoices!$C$6:$C$305,C1039,Invoices!$E$6:$E$305,"&lt;="&amp;B1039,Invoices!$F$6:$F$305,"&gt;="&amp;B1039)&gt;1,"Two invoices",""))))</f>
        <v/>
      </c>
      <c r="Q1039" s="15">
        <f>IF(B1039="","",IF(J1039&lt;&gt;"","Not billable",IF(P1039="","To invoice",IF(P1039="Two invoices","Check dates",IF(ISNA(MATCH(P1039,Invoices!$B$6:$B$305,0)),"Check number",IF(INDEX(Invoices!$M$6:$M$305,MATCH(P1039,Invoices!$B$6:$B$305,0))="Paid","Paid",IF(INDEX(Invoices!$M$6:$M$305,MATCH(P1039,Invoices!$B$6:$B$305,0))="Draft","Draft","Invoiced")))))))</f>
        <v/>
      </c>
      <c r="R1039" s="1">
        <f>IF(AND(B1039&lt;&gt;"",P1039&lt;&gt;"",P1039=Invoice!$G$4),B1039+MOD(N(F1039),1)+ROW()/10000000,"")</f>
        <v/>
      </c>
      <c r="S1039">
        <f>IF(R1039="","",IF(D1039="","Other work",D1039)&amp;IF(AND(K1039&lt;&gt;"",E1039&lt;&gt;""),", "&amp;E1039,""))</f>
        <v/>
      </c>
      <c r="T1039">
        <f>IF(R1039="","",IF(COUNTIFS(R$6:R1038,"&gt;0",S$6:S1038,S1039,N$6:N1038,N1039)=0,R1039,""))</f>
        <v/>
      </c>
      <c r="U1039">
        <f>IF(B1039="","",IF(J1039&lt;&gt;"",0,M1039))</f>
        <v/>
      </c>
    </row>
    <row r="1040">
      <c r="A1040" s="1" t="n"/>
      <c r="B1040" s="16" t="n"/>
      <c r="C1040" s="17" t="n"/>
      <c r="D1040" s="18" t="n"/>
      <c r="E1040" s="18" t="n"/>
      <c r="F1040" s="19" t="n"/>
      <c r="G1040" s="19" t="n"/>
      <c r="H1040" s="20" t="n"/>
      <c r="I1040" s="21" t="n"/>
      <c r="J1040" s="22" t="n"/>
      <c r="K1040" s="23" t="n"/>
      <c r="L1040" s="18" t="n"/>
      <c r="M1040" s="24">
        <f>IF(B1040="","",IF(AND(F1040&lt;&gt;"",G1040&lt;&gt;""),MAX(0,ROUND(MOD(G1040-F1040,1)*24-N(H1040)/60,2)),N(I1040)))</f>
        <v/>
      </c>
      <c r="N1040" s="14">
        <f>IF(B1040="","",IF(K1040&lt;&gt;"",K1040,IF(N(IFERROR(INDEX(Projects!$D$6:$D$65,MATCH(D1040,Projects!$B$6:$B$65,0)),""))&gt;0,IFERROR(INDEX(Projects!$D$6:$D$65,MATCH(D1040,Projects!$B$6:$B$65,0)),""),IFERROR(INDEX(Clients!$G$6:$G$45,MATCH(C1040,Clients!$B$6:$B$45,0)),0))))</f>
        <v/>
      </c>
      <c r="O1040" s="14">
        <f>IF(B1040="","",IF(J1040&lt;&gt;"",0,ROUND(M1040*N1040,2)))</f>
        <v/>
      </c>
      <c r="P1040" s="15">
        <f>IF(OR(B1040="",J1040&lt;&gt;""),"",IF(L1040&lt;&gt;"",L1040,IF(COUNTIFS(Invoices!$C$6:$C$305,C1040,Invoices!$E$6:$E$305,"&lt;="&amp;B1040,Invoices!$F$6:$F$305,"&gt;="&amp;B1040)=1,INDEX(Invoices!$B$6:$B$305,SUMIFS(Invoices!$O$6:$O$305,Invoices!$C$6:$C$305,C1040,Invoices!$E$6:$E$305,"&lt;="&amp;B1040,Invoices!$F$6:$F$305,"&gt;="&amp;B1040)),IF(COUNTIFS(Invoices!$C$6:$C$305,C1040,Invoices!$E$6:$E$305,"&lt;="&amp;B1040,Invoices!$F$6:$F$305,"&gt;="&amp;B1040)&gt;1,"Two invoices",""))))</f>
        <v/>
      </c>
      <c r="Q1040" s="15">
        <f>IF(B1040="","",IF(J1040&lt;&gt;"","Not billable",IF(P1040="","To invoice",IF(P1040="Two invoices","Check dates",IF(ISNA(MATCH(P1040,Invoices!$B$6:$B$305,0)),"Check number",IF(INDEX(Invoices!$M$6:$M$305,MATCH(P1040,Invoices!$B$6:$B$305,0))="Paid","Paid",IF(INDEX(Invoices!$M$6:$M$305,MATCH(P1040,Invoices!$B$6:$B$305,0))="Draft","Draft","Invoiced")))))))</f>
        <v/>
      </c>
      <c r="R1040" s="1">
        <f>IF(AND(B1040&lt;&gt;"",P1040&lt;&gt;"",P1040=Invoice!$G$4),B1040+MOD(N(F1040),1)+ROW()/10000000,"")</f>
        <v/>
      </c>
      <c r="S1040">
        <f>IF(R1040="","",IF(D1040="","Other work",D1040)&amp;IF(AND(K1040&lt;&gt;"",E1040&lt;&gt;""),", "&amp;E1040,""))</f>
        <v/>
      </c>
      <c r="T1040">
        <f>IF(R1040="","",IF(COUNTIFS(R$6:R1039,"&gt;0",S$6:S1039,S1040,N$6:N1039,N1040)=0,R1040,""))</f>
        <v/>
      </c>
      <c r="U1040">
        <f>IF(B1040="","",IF(J1040&lt;&gt;"",0,M1040))</f>
        <v/>
      </c>
    </row>
    <row r="1041">
      <c r="A1041" s="1" t="n"/>
      <c r="B1041" s="16" t="n"/>
      <c r="C1041" s="17" t="n"/>
      <c r="D1041" s="18" t="n"/>
      <c r="E1041" s="18" t="n"/>
      <c r="F1041" s="19" t="n"/>
      <c r="G1041" s="19" t="n"/>
      <c r="H1041" s="20" t="n"/>
      <c r="I1041" s="21" t="n"/>
      <c r="J1041" s="22" t="n"/>
      <c r="K1041" s="23" t="n"/>
      <c r="L1041" s="18" t="n"/>
      <c r="M1041" s="24">
        <f>IF(B1041="","",IF(AND(F1041&lt;&gt;"",G1041&lt;&gt;""),MAX(0,ROUND(MOD(G1041-F1041,1)*24-N(H1041)/60,2)),N(I1041)))</f>
        <v/>
      </c>
      <c r="N1041" s="14">
        <f>IF(B1041="","",IF(K1041&lt;&gt;"",K1041,IF(N(IFERROR(INDEX(Projects!$D$6:$D$65,MATCH(D1041,Projects!$B$6:$B$65,0)),""))&gt;0,IFERROR(INDEX(Projects!$D$6:$D$65,MATCH(D1041,Projects!$B$6:$B$65,0)),""),IFERROR(INDEX(Clients!$G$6:$G$45,MATCH(C1041,Clients!$B$6:$B$45,0)),0))))</f>
        <v/>
      </c>
      <c r="O1041" s="14">
        <f>IF(B1041="","",IF(J1041&lt;&gt;"",0,ROUND(M1041*N1041,2)))</f>
        <v/>
      </c>
      <c r="P1041" s="15">
        <f>IF(OR(B1041="",J1041&lt;&gt;""),"",IF(L1041&lt;&gt;"",L1041,IF(COUNTIFS(Invoices!$C$6:$C$305,C1041,Invoices!$E$6:$E$305,"&lt;="&amp;B1041,Invoices!$F$6:$F$305,"&gt;="&amp;B1041)=1,INDEX(Invoices!$B$6:$B$305,SUMIFS(Invoices!$O$6:$O$305,Invoices!$C$6:$C$305,C1041,Invoices!$E$6:$E$305,"&lt;="&amp;B1041,Invoices!$F$6:$F$305,"&gt;="&amp;B1041)),IF(COUNTIFS(Invoices!$C$6:$C$305,C1041,Invoices!$E$6:$E$305,"&lt;="&amp;B1041,Invoices!$F$6:$F$305,"&gt;="&amp;B1041)&gt;1,"Two invoices",""))))</f>
        <v/>
      </c>
      <c r="Q1041" s="15">
        <f>IF(B1041="","",IF(J1041&lt;&gt;"","Not billable",IF(P1041="","To invoice",IF(P1041="Two invoices","Check dates",IF(ISNA(MATCH(P1041,Invoices!$B$6:$B$305,0)),"Check number",IF(INDEX(Invoices!$M$6:$M$305,MATCH(P1041,Invoices!$B$6:$B$305,0))="Paid","Paid",IF(INDEX(Invoices!$M$6:$M$305,MATCH(P1041,Invoices!$B$6:$B$305,0))="Draft","Draft","Invoiced")))))))</f>
        <v/>
      </c>
      <c r="R1041" s="1">
        <f>IF(AND(B1041&lt;&gt;"",P1041&lt;&gt;"",P1041=Invoice!$G$4),B1041+MOD(N(F1041),1)+ROW()/10000000,"")</f>
        <v/>
      </c>
      <c r="S1041">
        <f>IF(R1041="","",IF(D1041="","Other work",D1041)&amp;IF(AND(K1041&lt;&gt;"",E1041&lt;&gt;""),", "&amp;E1041,""))</f>
        <v/>
      </c>
      <c r="T1041">
        <f>IF(R1041="","",IF(COUNTIFS(R$6:R1040,"&gt;0",S$6:S1040,S1041,N$6:N1040,N1041)=0,R1041,""))</f>
        <v/>
      </c>
      <c r="U1041">
        <f>IF(B1041="","",IF(J1041&lt;&gt;"",0,M1041))</f>
        <v/>
      </c>
    </row>
    <row r="1042">
      <c r="A1042" s="1" t="n"/>
      <c r="B1042" s="16" t="n"/>
      <c r="C1042" s="17" t="n"/>
      <c r="D1042" s="18" t="n"/>
      <c r="E1042" s="18" t="n"/>
      <c r="F1042" s="19" t="n"/>
      <c r="G1042" s="19" t="n"/>
      <c r="H1042" s="20" t="n"/>
      <c r="I1042" s="21" t="n"/>
      <c r="J1042" s="22" t="n"/>
      <c r="K1042" s="23" t="n"/>
      <c r="L1042" s="18" t="n"/>
      <c r="M1042" s="24">
        <f>IF(B1042="","",IF(AND(F1042&lt;&gt;"",G1042&lt;&gt;""),MAX(0,ROUND(MOD(G1042-F1042,1)*24-N(H1042)/60,2)),N(I1042)))</f>
        <v/>
      </c>
      <c r="N1042" s="14">
        <f>IF(B1042="","",IF(K1042&lt;&gt;"",K1042,IF(N(IFERROR(INDEX(Projects!$D$6:$D$65,MATCH(D1042,Projects!$B$6:$B$65,0)),""))&gt;0,IFERROR(INDEX(Projects!$D$6:$D$65,MATCH(D1042,Projects!$B$6:$B$65,0)),""),IFERROR(INDEX(Clients!$G$6:$G$45,MATCH(C1042,Clients!$B$6:$B$45,0)),0))))</f>
        <v/>
      </c>
      <c r="O1042" s="14">
        <f>IF(B1042="","",IF(J1042&lt;&gt;"",0,ROUND(M1042*N1042,2)))</f>
        <v/>
      </c>
      <c r="P1042" s="15">
        <f>IF(OR(B1042="",J1042&lt;&gt;""),"",IF(L1042&lt;&gt;"",L1042,IF(COUNTIFS(Invoices!$C$6:$C$305,C1042,Invoices!$E$6:$E$305,"&lt;="&amp;B1042,Invoices!$F$6:$F$305,"&gt;="&amp;B1042)=1,INDEX(Invoices!$B$6:$B$305,SUMIFS(Invoices!$O$6:$O$305,Invoices!$C$6:$C$305,C1042,Invoices!$E$6:$E$305,"&lt;="&amp;B1042,Invoices!$F$6:$F$305,"&gt;="&amp;B1042)),IF(COUNTIFS(Invoices!$C$6:$C$305,C1042,Invoices!$E$6:$E$305,"&lt;="&amp;B1042,Invoices!$F$6:$F$305,"&gt;="&amp;B1042)&gt;1,"Two invoices",""))))</f>
        <v/>
      </c>
      <c r="Q1042" s="15">
        <f>IF(B1042="","",IF(J1042&lt;&gt;"","Not billable",IF(P1042="","To invoice",IF(P1042="Two invoices","Check dates",IF(ISNA(MATCH(P1042,Invoices!$B$6:$B$305,0)),"Check number",IF(INDEX(Invoices!$M$6:$M$305,MATCH(P1042,Invoices!$B$6:$B$305,0))="Paid","Paid",IF(INDEX(Invoices!$M$6:$M$305,MATCH(P1042,Invoices!$B$6:$B$305,0))="Draft","Draft","Invoiced")))))))</f>
        <v/>
      </c>
      <c r="R1042" s="1">
        <f>IF(AND(B1042&lt;&gt;"",P1042&lt;&gt;"",P1042=Invoice!$G$4),B1042+MOD(N(F1042),1)+ROW()/10000000,"")</f>
        <v/>
      </c>
      <c r="S1042">
        <f>IF(R1042="","",IF(D1042="","Other work",D1042)&amp;IF(AND(K1042&lt;&gt;"",E1042&lt;&gt;""),", "&amp;E1042,""))</f>
        <v/>
      </c>
      <c r="T1042">
        <f>IF(R1042="","",IF(COUNTIFS(R$6:R1041,"&gt;0",S$6:S1041,S1042,N$6:N1041,N1042)=0,R1042,""))</f>
        <v/>
      </c>
      <c r="U1042">
        <f>IF(B1042="","",IF(J1042&lt;&gt;"",0,M1042))</f>
        <v/>
      </c>
    </row>
    <row r="1043">
      <c r="A1043" s="1" t="n"/>
      <c r="B1043" s="16" t="n"/>
      <c r="C1043" s="17" t="n"/>
      <c r="D1043" s="18" t="n"/>
      <c r="E1043" s="18" t="n"/>
      <c r="F1043" s="19" t="n"/>
      <c r="G1043" s="19" t="n"/>
      <c r="H1043" s="20" t="n"/>
      <c r="I1043" s="21" t="n"/>
      <c r="J1043" s="22" t="n"/>
      <c r="K1043" s="23" t="n"/>
      <c r="L1043" s="18" t="n"/>
      <c r="M1043" s="24">
        <f>IF(B1043="","",IF(AND(F1043&lt;&gt;"",G1043&lt;&gt;""),MAX(0,ROUND(MOD(G1043-F1043,1)*24-N(H1043)/60,2)),N(I1043)))</f>
        <v/>
      </c>
      <c r="N1043" s="14">
        <f>IF(B1043="","",IF(K1043&lt;&gt;"",K1043,IF(N(IFERROR(INDEX(Projects!$D$6:$D$65,MATCH(D1043,Projects!$B$6:$B$65,0)),""))&gt;0,IFERROR(INDEX(Projects!$D$6:$D$65,MATCH(D1043,Projects!$B$6:$B$65,0)),""),IFERROR(INDEX(Clients!$G$6:$G$45,MATCH(C1043,Clients!$B$6:$B$45,0)),0))))</f>
        <v/>
      </c>
      <c r="O1043" s="14">
        <f>IF(B1043="","",IF(J1043&lt;&gt;"",0,ROUND(M1043*N1043,2)))</f>
        <v/>
      </c>
      <c r="P1043" s="15">
        <f>IF(OR(B1043="",J1043&lt;&gt;""),"",IF(L1043&lt;&gt;"",L1043,IF(COUNTIFS(Invoices!$C$6:$C$305,C1043,Invoices!$E$6:$E$305,"&lt;="&amp;B1043,Invoices!$F$6:$F$305,"&gt;="&amp;B1043)=1,INDEX(Invoices!$B$6:$B$305,SUMIFS(Invoices!$O$6:$O$305,Invoices!$C$6:$C$305,C1043,Invoices!$E$6:$E$305,"&lt;="&amp;B1043,Invoices!$F$6:$F$305,"&gt;="&amp;B1043)),IF(COUNTIFS(Invoices!$C$6:$C$305,C1043,Invoices!$E$6:$E$305,"&lt;="&amp;B1043,Invoices!$F$6:$F$305,"&gt;="&amp;B1043)&gt;1,"Two invoices",""))))</f>
        <v/>
      </c>
      <c r="Q1043" s="15">
        <f>IF(B1043="","",IF(J1043&lt;&gt;"","Not billable",IF(P1043="","To invoice",IF(P1043="Two invoices","Check dates",IF(ISNA(MATCH(P1043,Invoices!$B$6:$B$305,0)),"Check number",IF(INDEX(Invoices!$M$6:$M$305,MATCH(P1043,Invoices!$B$6:$B$305,0))="Paid","Paid",IF(INDEX(Invoices!$M$6:$M$305,MATCH(P1043,Invoices!$B$6:$B$305,0))="Draft","Draft","Invoiced")))))))</f>
        <v/>
      </c>
      <c r="R1043" s="1">
        <f>IF(AND(B1043&lt;&gt;"",P1043&lt;&gt;"",P1043=Invoice!$G$4),B1043+MOD(N(F1043),1)+ROW()/10000000,"")</f>
        <v/>
      </c>
      <c r="S1043">
        <f>IF(R1043="","",IF(D1043="","Other work",D1043)&amp;IF(AND(K1043&lt;&gt;"",E1043&lt;&gt;""),", "&amp;E1043,""))</f>
        <v/>
      </c>
      <c r="T1043">
        <f>IF(R1043="","",IF(COUNTIFS(R$6:R1042,"&gt;0",S$6:S1042,S1043,N$6:N1042,N1043)=0,R1043,""))</f>
        <v/>
      </c>
      <c r="U1043">
        <f>IF(B1043="","",IF(J1043&lt;&gt;"",0,M1043))</f>
        <v/>
      </c>
    </row>
    <row r="1044">
      <c r="A1044" s="1" t="n"/>
      <c r="B1044" s="16" t="n"/>
      <c r="C1044" s="17" t="n"/>
      <c r="D1044" s="18" t="n"/>
      <c r="E1044" s="18" t="n"/>
      <c r="F1044" s="19" t="n"/>
      <c r="G1044" s="19" t="n"/>
      <c r="H1044" s="20" t="n"/>
      <c r="I1044" s="21" t="n"/>
      <c r="J1044" s="22" t="n"/>
      <c r="K1044" s="23" t="n"/>
      <c r="L1044" s="18" t="n"/>
      <c r="M1044" s="24">
        <f>IF(B1044="","",IF(AND(F1044&lt;&gt;"",G1044&lt;&gt;""),MAX(0,ROUND(MOD(G1044-F1044,1)*24-N(H1044)/60,2)),N(I1044)))</f>
        <v/>
      </c>
      <c r="N1044" s="14">
        <f>IF(B1044="","",IF(K1044&lt;&gt;"",K1044,IF(N(IFERROR(INDEX(Projects!$D$6:$D$65,MATCH(D1044,Projects!$B$6:$B$65,0)),""))&gt;0,IFERROR(INDEX(Projects!$D$6:$D$65,MATCH(D1044,Projects!$B$6:$B$65,0)),""),IFERROR(INDEX(Clients!$G$6:$G$45,MATCH(C1044,Clients!$B$6:$B$45,0)),0))))</f>
        <v/>
      </c>
      <c r="O1044" s="14">
        <f>IF(B1044="","",IF(J1044&lt;&gt;"",0,ROUND(M1044*N1044,2)))</f>
        <v/>
      </c>
      <c r="P1044" s="15">
        <f>IF(OR(B1044="",J1044&lt;&gt;""),"",IF(L1044&lt;&gt;"",L1044,IF(COUNTIFS(Invoices!$C$6:$C$305,C1044,Invoices!$E$6:$E$305,"&lt;="&amp;B1044,Invoices!$F$6:$F$305,"&gt;="&amp;B1044)=1,INDEX(Invoices!$B$6:$B$305,SUMIFS(Invoices!$O$6:$O$305,Invoices!$C$6:$C$305,C1044,Invoices!$E$6:$E$305,"&lt;="&amp;B1044,Invoices!$F$6:$F$305,"&gt;="&amp;B1044)),IF(COUNTIFS(Invoices!$C$6:$C$305,C1044,Invoices!$E$6:$E$305,"&lt;="&amp;B1044,Invoices!$F$6:$F$305,"&gt;="&amp;B1044)&gt;1,"Two invoices",""))))</f>
        <v/>
      </c>
      <c r="Q1044" s="15">
        <f>IF(B1044="","",IF(J1044&lt;&gt;"","Not billable",IF(P1044="","To invoice",IF(P1044="Two invoices","Check dates",IF(ISNA(MATCH(P1044,Invoices!$B$6:$B$305,0)),"Check number",IF(INDEX(Invoices!$M$6:$M$305,MATCH(P1044,Invoices!$B$6:$B$305,0))="Paid","Paid",IF(INDEX(Invoices!$M$6:$M$305,MATCH(P1044,Invoices!$B$6:$B$305,0))="Draft","Draft","Invoiced")))))))</f>
        <v/>
      </c>
      <c r="R1044" s="1">
        <f>IF(AND(B1044&lt;&gt;"",P1044&lt;&gt;"",P1044=Invoice!$G$4),B1044+MOD(N(F1044),1)+ROW()/10000000,"")</f>
        <v/>
      </c>
      <c r="S1044">
        <f>IF(R1044="","",IF(D1044="","Other work",D1044)&amp;IF(AND(K1044&lt;&gt;"",E1044&lt;&gt;""),", "&amp;E1044,""))</f>
        <v/>
      </c>
      <c r="T1044">
        <f>IF(R1044="","",IF(COUNTIFS(R$6:R1043,"&gt;0",S$6:S1043,S1044,N$6:N1043,N1044)=0,R1044,""))</f>
        <v/>
      </c>
      <c r="U1044">
        <f>IF(B1044="","",IF(J1044&lt;&gt;"",0,M1044))</f>
        <v/>
      </c>
    </row>
    <row r="1045">
      <c r="A1045" s="1" t="n"/>
      <c r="B1045" s="16" t="n"/>
      <c r="C1045" s="17" t="n"/>
      <c r="D1045" s="18" t="n"/>
      <c r="E1045" s="18" t="n"/>
      <c r="F1045" s="19" t="n"/>
      <c r="G1045" s="19" t="n"/>
      <c r="H1045" s="20" t="n"/>
      <c r="I1045" s="21" t="n"/>
      <c r="J1045" s="22" t="n"/>
      <c r="K1045" s="23" t="n"/>
      <c r="L1045" s="18" t="n"/>
      <c r="M1045" s="24">
        <f>IF(B1045="","",IF(AND(F1045&lt;&gt;"",G1045&lt;&gt;""),MAX(0,ROUND(MOD(G1045-F1045,1)*24-N(H1045)/60,2)),N(I1045)))</f>
        <v/>
      </c>
      <c r="N1045" s="14">
        <f>IF(B1045="","",IF(K1045&lt;&gt;"",K1045,IF(N(IFERROR(INDEX(Projects!$D$6:$D$65,MATCH(D1045,Projects!$B$6:$B$65,0)),""))&gt;0,IFERROR(INDEX(Projects!$D$6:$D$65,MATCH(D1045,Projects!$B$6:$B$65,0)),""),IFERROR(INDEX(Clients!$G$6:$G$45,MATCH(C1045,Clients!$B$6:$B$45,0)),0))))</f>
        <v/>
      </c>
      <c r="O1045" s="14">
        <f>IF(B1045="","",IF(J1045&lt;&gt;"",0,ROUND(M1045*N1045,2)))</f>
        <v/>
      </c>
      <c r="P1045" s="15">
        <f>IF(OR(B1045="",J1045&lt;&gt;""),"",IF(L1045&lt;&gt;"",L1045,IF(COUNTIFS(Invoices!$C$6:$C$305,C1045,Invoices!$E$6:$E$305,"&lt;="&amp;B1045,Invoices!$F$6:$F$305,"&gt;="&amp;B1045)=1,INDEX(Invoices!$B$6:$B$305,SUMIFS(Invoices!$O$6:$O$305,Invoices!$C$6:$C$305,C1045,Invoices!$E$6:$E$305,"&lt;="&amp;B1045,Invoices!$F$6:$F$305,"&gt;="&amp;B1045)),IF(COUNTIFS(Invoices!$C$6:$C$305,C1045,Invoices!$E$6:$E$305,"&lt;="&amp;B1045,Invoices!$F$6:$F$305,"&gt;="&amp;B1045)&gt;1,"Two invoices",""))))</f>
        <v/>
      </c>
      <c r="Q1045" s="15">
        <f>IF(B1045="","",IF(J1045&lt;&gt;"","Not billable",IF(P1045="","To invoice",IF(P1045="Two invoices","Check dates",IF(ISNA(MATCH(P1045,Invoices!$B$6:$B$305,0)),"Check number",IF(INDEX(Invoices!$M$6:$M$305,MATCH(P1045,Invoices!$B$6:$B$305,0))="Paid","Paid",IF(INDEX(Invoices!$M$6:$M$305,MATCH(P1045,Invoices!$B$6:$B$305,0))="Draft","Draft","Invoiced")))))))</f>
        <v/>
      </c>
      <c r="R1045" s="1">
        <f>IF(AND(B1045&lt;&gt;"",P1045&lt;&gt;"",P1045=Invoice!$G$4),B1045+MOD(N(F1045),1)+ROW()/10000000,"")</f>
        <v/>
      </c>
      <c r="S1045">
        <f>IF(R1045="","",IF(D1045="","Other work",D1045)&amp;IF(AND(K1045&lt;&gt;"",E1045&lt;&gt;""),", "&amp;E1045,""))</f>
        <v/>
      </c>
      <c r="T1045">
        <f>IF(R1045="","",IF(COUNTIFS(R$6:R1044,"&gt;0",S$6:S1044,S1045,N$6:N1044,N1045)=0,R1045,""))</f>
        <v/>
      </c>
      <c r="U1045">
        <f>IF(B1045="","",IF(J1045&lt;&gt;"",0,M1045))</f>
        <v/>
      </c>
    </row>
    <row r="1046">
      <c r="A1046" s="1" t="n"/>
      <c r="B1046" s="16" t="n"/>
      <c r="C1046" s="17" t="n"/>
      <c r="D1046" s="18" t="n"/>
      <c r="E1046" s="18" t="n"/>
      <c r="F1046" s="19" t="n"/>
      <c r="G1046" s="19" t="n"/>
      <c r="H1046" s="20" t="n"/>
      <c r="I1046" s="21" t="n"/>
      <c r="J1046" s="22" t="n"/>
      <c r="K1046" s="23" t="n"/>
      <c r="L1046" s="18" t="n"/>
      <c r="M1046" s="24">
        <f>IF(B1046="","",IF(AND(F1046&lt;&gt;"",G1046&lt;&gt;""),MAX(0,ROUND(MOD(G1046-F1046,1)*24-N(H1046)/60,2)),N(I1046)))</f>
        <v/>
      </c>
      <c r="N1046" s="14">
        <f>IF(B1046="","",IF(K1046&lt;&gt;"",K1046,IF(N(IFERROR(INDEX(Projects!$D$6:$D$65,MATCH(D1046,Projects!$B$6:$B$65,0)),""))&gt;0,IFERROR(INDEX(Projects!$D$6:$D$65,MATCH(D1046,Projects!$B$6:$B$65,0)),""),IFERROR(INDEX(Clients!$G$6:$G$45,MATCH(C1046,Clients!$B$6:$B$45,0)),0))))</f>
        <v/>
      </c>
      <c r="O1046" s="14">
        <f>IF(B1046="","",IF(J1046&lt;&gt;"",0,ROUND(M1046*N1046,2)))</f>
        <v/>
      </c>
      <c r="P1046" s="15">
        <f>IF(OR(B1046="",J1046&lt;&gt;""),"",IF(L1046&lt;&gt;"",L1046,IF(COUNTIFS(Invoices!$C$6:$C$305,C1046,Invoices!$E$6:$E$305,"&lt;="&amp;B1046,Invoices!$F$6:$F$305,"&gt;="&amp;B1046)=1,INDEX(Invoices!$B$6:$B$305,SUMIFS(Invoices!$O$6:$O$305,Invoices!$C$6:$C$305,C1046,Invoices!$E$6:$E$305,"&lt;="&amp;B1046,Invoices!$F$6:$F$305,"&gt;="&amp;B1046)),IF(COUNTIFS(Invoices!$C$6:$C$305,C1046,Invoices!$E$6:$E$305,"&lt;="&amp;B1046,Invoices!$F$6:$F$305,"&gt;="&amp;B1046)&gt;1,"Two invoices",""))))</f>
        <v/>
      </c>
      <c r="Q1046" s="15">
        <f>IF(B1046="","",IF(J1046&lt;&gt;"","Not billable",IF(P1046="","To invoice",IF(P1046="Two invoices","Check dates",IF(ISNA(MATCH(P1046,Invoices!$B$6:$B$305,0)),"Check number",IF(INDEX(Invoices!$M$6:$M$305,MATCH(P1046,Invoices!$B$6:$B$305,0))="Paid","Paid",IF(INDEX(Invoices!$M$6:$M$305,MATCH(P1046,Invoices!$B$6:$B$305,0))="Draft","Draft","Invoiced")))))))</f>
        <v/>
      </c>
      <c r="R1046" s="1">
        <f>IF(AND(B1046&lt;&gt;"",P1046&lt;&gt;"",P1046=Invoice!$G$4),B1046+MOD(N(F1046),1)+ROW()/10000000,"")</f>
        <v/>
      </c>
      <c r="S1046">
        <f>IF(R1046="","",IF(D1046="","Other work",D1046)&amp;IF(AND(K1046&lt;&gt;"",E1046&lt;&gt;""),", "&amp;E1046,""))</f>
        <v/>
      </c>
      <c r="T1046">
        <f>IF(R1046="","",IF(COUNTIFS(R$6:R1045,"&gt;0",S$6:S1045,S1046,N$6:N1045,N1046)=0,R1046,""))</f>
        <v/>
      </c>
      <c r="U1046">
        <f>IF(B1046="","",IF(J1046&lt;&gt;"",0,M1046))</f>
        <v/>
      </c>
    </row>
    <row r="1047">
      <c r="A1047" s="1" t="n"/>
      <c r="B1047" s="16" t="n"/>
      <c r="C1047" s="17" t="n"/>
      <c r="D1047" s="18" t="n"/>
      <c r="E1047" s="18" t="n"/>
      <c r="F1047" s="19" t="n"/>
      <c r="G1047" s="19" t="n"/>
      <c r="H1047" s="20" t="n"/>
      <c r="I1047" s="21" t="n"/>
      <c r="J1047" s="22" t="n"/>
      <c r="K1047" s="23" t="n"/>
      <c r="L1047" s="18" t="n"/>
      <c r="M1047" s="24">
        <f>IF(B1047="","",IF(AND(F1047&lt;&gt;"",G1047&lt;&gt;""),MAX(0,ROUND(MOD(G1047-F1047,1)*24-N(H1047)/60,2)),N(I1047)))</f>
        <v/>
      </c>
      <c r="N1047" s="14">
        <f>IF(B1047="","",IF(K1047&lt;&gt;"",K1047,IF(N(IFERROR(INDEX(Projects!$D$6:$D$65,MATCH(D1047,Projects!$B$6:$B$65,0)),""))&gt;0,IFERROR(INDEX(Projects!$D$6:$D$65,MATCH(D1047,Projects!$B$6:$B$65,0)),""),IFERROR(INDEX(Clients!$G$6:$G$45,MATCH(C1047,Clients!$B$6:$B$45,0)),0))))</f>
        <v/>
      </c>
      <c r="O1047" s="14">
        <f>IF(B1047="","",IF(J1047&lt;&gt;"",0,ROUND(M1047*N1047,2)))</f>
        <v/>
      </c>
      <c r="P1047" s="15">
        <f>IF(OR(B1047="",J1047&lt;&gt;""),"",IF(L1047&lt;&gt;"",L1047,IF(COUNTIFS(Invoices!$C$6:$C$305,C1047,Invoices!$E$6:$E$305,"&lt;="&amp;B1047,Invoices!$F$6:$F$305,"&gt;="&amp;B1047)=1,INDEX(Invoices!$B$6:$B$305,SUMIFS(Invoices!$O$6:$O$305,Invoices!$C$6:$C$305,C1047,Invoices!$E$6:$E$305,"&lt;="&amp;B1047,Invoices!$F$6:$F$305,"&gt;="&amp;B1047)),IF(COUNTIFS(Invoices!$C$6:$C$305,C1047,Invoices!$E$6:$E$305,"&lt;="&amp;B1047,Invoices!$F$6:$F$305,"&gt;="&amp;B1047)&gt;1,"Two invoices",""))))</f>
        <v/>
      </c>
      <c r="Q1047" s="15">
        <f>IF(B1047="","",IF(J1047&lt;&gt;"","Not billable",IF(P1047="","To invoice",IF(P1047="Two invoices","Check dates",IF(ISNA(MATCH(P1047,Invoices!$B$6:$B$305,0)),"Check number",IF(INDEX(Invoices!$M$6:$M$305,MATCH(P1047,Invoices!$B$6:$B$305,0))="Paid","Paid",IF(INDEX(Invoices!$M$6:$M$305,MATCH(P1047,Invoices!$B$6:$B$305,0))="Draft","Draft","Invoiced")))))))</f>
        <v/>
      </c>
      <c r="R1047" s="1">
        <f>IF(AND(B1047&lt;&gt;"",P1047&lt;&gt;"",P1047=Invoice!$G$4),B1047+MOD(N(F1047),1)+ROW()/10000000,"")</f>
        <v/>
      </c>
      <c r="S1047">
        <f>IF(R1047="","",IF(D1047="","Other work",D1047)&amp;IF(AND(K1047&lt;&gt;"",E1047&lt;&gt;""),", "&amp;E1047,""))</f>
        <v/>
      </c>
      <c r="T1047">
        <f>IF(R1047="","",IF(COUNTIFS(R$6:R1046,"&gt;0",S$6:S1046,S1047,N$6:N1046,N1047)=0,R1047,""))</f>
        <v/>
      </c>
      <c r="U1047">
        <f>IF(B1047="","",IF(J1047&lt;&gt;"",0,M1047))</f>
        <v/>
      </c>
    </row>
    <row r="1048">
      <c r="A1048" s="1" t="n"/>
      <c r="B1048" s="16" t="n"/>
      <c r="C1048" s="17" t="n"/>
      <c r="D1048" s="18" t="n"/>
      <c r="E1048" s="18" t="n"/>
      <c r="F1048" s="19" t="n"/>
      <c r="G1048" s="19" t="n"/>
      <c r="H1048" s="20" t="n"/>
      <c r="I1048" s="21" t="n"/>
      <c r="J1048" s="22" t="n"/>
      <c r="K1048" s="23" t="n"/>
      <c r="L1048" s="18" t="n"/>
      <c r="M1048" s="24">
        <f>IF(B1048="","",IF(AND(F1048&lt;&gt;"",G1048&lt;&gt;""),MAX(0,ROUND(MOD(G1048-F1048,1)*24-N(H1048)/60,2)),N(I1048)))</f>
        <v/>
      </c>
      <c r="N1048" s="14">
        <f>IF(B1048="","",IF(K1048&lt;&gt;"",K1048,IF(N(IFERROR(INDEX(Projects!$D$6:$D$65,MATCH(D1048,Projects!$B$6:$B$65,0)),""))&gt;0,IFERROR(INDEX(Projects!$D$6:$D$65,MATCH(D1048,Projects!$B$6:$B$65,0)),""),IFERROR(INDEX(Clients!$G$6:$G$45,MATCH(C1048,Clients!$B$6:$B$45,0)),0))))</f>
        <v/>
      </c>
      <c r="O1048" s="14">
        <f>IF(B1048="","",IF(J1048&lt;&gt;"",0,ROUND(M1048*N1048,2)))</f>
        <v/>
      </c>
      <c r="P1048" s="15">
        <f>IF(OR(B1048="",J1048&lt;&gt;""),"",IF(L1048&lt;&gt;"",L1048,IF(COUNTIFS(Invoices!$C$6:$C$305,C1048,Invoices!$E$6:$E$305,"&lt;="&amp;B1048,Invoices!$F$6:$F$305,"&gt;="&amp;B1048)=1,INDEX(Invoices!$B$6:$B$305,SUMIFS(Invoices!$O$6:$O$305,Invoices!$C$6:$C$305,C1048,Invoices!$E$6:$E$305,"&lt;="&amp;B1048,Invoices!$F$6:$F$305,"&gt;="&amp;B1048)),IF(COUNTIFS(Invoices!$C$6:$C$305,C1048,Invoices!$E$6:$E$305,"&lt;="&amp;B1048,Invoices!$F$6:$F$305,"&gt;="&amp;B1048)&gt;1,"Two invoices",""))))</f>
        <v/>
      </c>
      <c r="Q1048" s="15">
        <f>IF(B1048="","",IF(J1048&lt;&gt;"","Not billable",IF(P1048="","To invoice",IF(P1048="Two invoices","Check dates",IF(ISNA(MATCH(P1048,Invoices!$B$6:$B$305,0)),"Check number",IF(INDEX(Invoices!$M$6:$M$305,MATCH(P1048,Invoices!$B$6:$B$305,0))="Paid","Paid",IF(INDEX(Invoices!$M$6:$M$305,MATCH(P1048,Invoices!$B$6:$B$305,0))="Draft","Draft","Invoiced")))))))</f>
        <v/>
      </c>
      <c r="R1048" s="1">
        <f>IF(AND(B1048&lt;&gt;"",P1048&lt;&gt;"",P1048=Invoice!$G$4),B1048+MOD(N(F1048),1)+ROW()/10000000,"")</f>
        <v/>
      </c>
      <c r="S1048">
        <f>IF(R1048="","",IF(D1048="","Other work",D1048)&amp;IF(AND(K1048&lt;&gt;"",E1048&lt;&gt;""),", "&amp;E1048,""))</f>
        <v/>
      </c>
      <c r="T1048">
        <f>IF(R1048="","",IF(COUNTIFS(R$6:R1047,"&gt;0",S$6:S1047,S1048,N$6:N1047,N1048)=0,R1048,""))</f>
        <v/>
      </c>
      <c r="U1048">
        <f>IF(B1048="","",IF(J1048&lt;&gt;"",0,M1048))</f>
        <v/>
      </c>
    </row>
    <row r="1049">
      <c r="A1049" s="1" t="n"/>
      <c r="B1049" s="16" t="n"/>
      <c r="C1049" s="17" t="n"/>
      <c r="D1049" s="18" t="n"/>
      <c r="E1049" s="18" t="n"/>
      <c r="F1049" s="19" t="n"/>
      <c r="G1049" s="19" t="n"/>
      <c r="H1049" s="20" t="n"/>
      <c r="I1049" s="21" t="n"/>
      <c r="J1049" s="22" t="n"/>
      <c r="K1049" s="23" t="n"/>
      <c r="L1049" s="18" t="n"/>
      <c r="M1049" s="24">
        <f>IF(B1049="","",IF(AND(F1049&lt;&gt;"",G1049&lt;&gt;""),MAX(0,ROUND(MOD(G1049-F1049,1)*24-N(H1049)/60,2)),N(I1049)))</f>
        <v/>
      </c>
      <c r="N1049" s="14">
        <f>IF(B1049="","",IF(K1049&lt;&gt;"",K1049,IF(N(IFERROR(INDEX(Projects!$D$6:$D$65,MATCH(D1049,Projects!$B$6:$B$65,0)),""))&gt;0,IFERROR(INDEX(Projects!$D$6:$D$65,MATCH(D1049,Projects!$B$6:$B$65,0)),""),IFERROR(INDEX(Clients!$G$6:$G$45,MATCH(C1049,Clients!$B$6:$B$45,0)),0))))</f>
        <v/>
      </c>
      <c r="O1049" s="14">
        <f>IF(B1049="","",IF(J1049&lt;&gt;"",0,ROUND(M1049*N1049,2)))</f>
        <v/>
      </c>
      <c r="P1049" s="15">
        <f>IF(OR(B1049="",J1049&lt;&gt;""),"",IF(L1049&lt;&gt;"",L1049,IF(COUNTIFS(Invoices!$C$6:$C$305,C1049,Invoices!$E$6:$E$305,"&lt;="&amp;B1049,Invoices!$F$6:$F$305,"&gt;="&amp;B1049)=1,INDEX(Invoices!$B$6:$B$305,SUMIFS(Invoices!$O$6:$O$305,Invoices!$C$6:$C$305,C1049,Invoices!$E$6:$E$305,"&lt;="&amp;B1049,Invoices!$F$6:$F$305,"&gt;="&amp;B1049)),IF(COUNTIFS(Invoices!$C$6:$C$305,C1049,Invoices!$E$6:$E$305,"&lt;="&amp;B1049,Invoices!$F$6:$F$305,"&gt;="&amp;B1049)&gt;1,"Two invoices",""))))</f>
        <v/>
      </c>
      <c r="Q1049" s="15">
        <f>IF(B1049="","",IF(J1049&lt;&gt;"","Not billable",IF(P1049="","To invoice",IF(P1049="Two invoices","Check dates",IF(ISNA(MATCH(P1049,Invoices!$B$6:$B$305,0)),"Check number",IF(INDEX(Invoices!$M$6:$M$305,MATCH(P1049,Invoices!$B$6:$B$305,0))="Paid","Paid",IF(INDEX(Invoices!$M$6:$M$305,MATCH(P1049,Invoices!$B$6:$B$305,0))="Draft","Draft","Invoiced")))))))</f>
        <v/>
      </c>
      <c r="R1049" s="1">
        <f>IF(AND(B1049&lt;&gt;"",P1049&lt;&gt;"",P1049=Invoice!$G$4),B1049+MOD(N(F1049),1)+ROW()/10000000,"")</f>
        <v/>
      </c>
      <c r="S1049">
        <f>IF(R1049="","",IF(D1049="","Other work",D1049)&amp;IF(AND(K1049&lt;&gt;"",E1049&lt;&gt;""),", "&amp;E1049,""))</f>
        <v/>
      </c>
      <c r="T1049">
        <f>IF(R1049="","",IF(COUNTIFS(R$6:R1048,"&gt;0",S$6:S1048,S1049,N$6:N1048,N1049)=0,R1049,""))</f>
        <v/>
      </c>
      <c r="U1049">
        <f>IF(B1049="","",IF(J1049&lt;&gt;"",0,M1049))</f>
        <v/>
      </c>
    </row>
    <row r="1050">
      <c r="A1050" s="1" t="n"/>
      <c r="B1050" s="16" t="n"/>
      <c r="C1050" s="17" t="n"/>
      <c r="D1050" s="18" t="n"/>
      <c r="E1050" s="18" t="n"/>
      <c r="F1050" s="19" t="n"/>
      <c r="G1050" s="19" t="n"/>
      <c r="H1050" s="20" t="n"/>
      <c r="I1050" s="21" t="n"/>
      <c r="J1050" s="22" t="n"/>
      <c r="K1050" s="23" t="n"/>
      <c r="L1050" s="18" t="n"/>
      <c r="M1050" s="24">
        <f>IF(B1050="","",IF(AND(F1050&lt;&gt;"",G1050&lt;&gt;""),MAX(0,ROUND(MOD(G1050-F1050,1)*24-N(H1050)/60,2)),N(I1050)))</f>
        <v/>
      </c>
      <c r="N1050" s="14">
        <f>IF(B1050="","",IF(K1050&lt;&gt;"",K1050,IF(N(IFERROR(INDEX(Projects!$D$6:$D$65,MATCH(D1050,Projects!$B$6:$B$65,0)),""))&gt;0,IFERROR(INDEX(Projects!$D$6:$D$65,MATCH(D1050,Projects!$B$6:$B$65,0)),""),IFERROR(INDEX(Clients!$G$6:$G$45,MATCH(C1050,Clients!$B$6:$B$45,0)),0))))</f>
        <v/>
      </c>
      <c r="O1050" s="14">
        <f>IF(B1050="","",IF(J1050&lt;&gt;"",0,ROUND(M1050*N1050,2)))</f>
        <v/>
      </c>
      <c r="P1050" s="15">
        <f>IF(OR(B1050="",J1050&lt;&gt;""),"",IF(L1050&lt;&gt;"",L1050,IF(COUNTIFS(Invoices!$C$6:$C$305,C1050,Invoices!$E$6:$E$305,"&lt;="&amp;B1050,Invoices!$F$6:$F$305,"&gt;="&amp;B1050)=1,INDEX(Invoices!$B$6:$B$305,SUMIFS(Invoices!$O$6:$O$305,Invoices!$C$6:$C$305,C1050,Invoices!$E$6:$E$305,"&lt;="&amp;B1050,Invoices!$F$6:$F$305,"&gt;="&amp;B1050)),IF(COUNTIFS(Invoices!$C$6:$C$305,C1050,Invoices!$E$6:$E$305,"&lt;="&amp;B1050,Invoices!$F$6:$F$305,"&gt;="&amp;B1050)&gt;1,"Two invoices",""))))</f>
        <v/>
      </c>
      <c r="Q1050" s="15">
        <f>IF(B1050="","",IF(J1050&lt;&gt;"","Not billable",IF(P1050="","To invoice",IF(P1050="Two invoices","Check dates",IF(ISNA(MATCH(P1050,Invoices!$B$6:$B$305,0)),"Check number",IF(INDEX(Invoices!$M$6:$M$305,MATCH(P1050,Invoices!$B$6:$B$305,0))="Paid","Paid",IF(INDEX(Invoices!$M$6:$M$305,MATCH(P1050,Invoices!$B$6:$B$305,0))="Draft","Draft","Invoiced")))))))</f>
        <v/>
      </c>
      <c r="R1050" s="1">
        <f>IF(AND(B1050&lt;&gt;"",P1050&lt;&gt;"",P1050=Invoice!$G$4),B1050+MOD(N(F1050),1)+ROW()/10000000,"")</f>
        <v/>
      </c>
      <c r="S1050">
        <f>IF(R1050="","",IF(D1050="","Other work",D1050)&amp;IF(AND(K1050&lt;&gt;"",E1050&lt;&gt;""),", "&amp;E1050,""))</f>
        <v/>
      </c>
      <c r="T1050">
        <f>IF(R1050="","",IF(COUNTIFS(R$6:R1049,"&gt;0",S$6:S1049,S1050,N$6:N1049,N1050)=0,R1050,""))</f>
        <v/>
      </c>
      <c r="U1050">
        <f>IF(B1050="","",IF(J1050&lt;&gt;"",0,M1050))</f>
        <v/>
      </c>
    </row>
    <row r="1051">
      <c r="A1051" s="1" t="n"/>
      <c r="B1051" s="16" t="n"/>
      <c r="C1051" s="17" t="n"/>
      <c r="D1051" s="18" t="n"/>
      <c r="E1051" s="18" t="n"/>
      <c r="F1051" s="19" t="n"/>
      <c r="G1051" s="19" t="n"/>
      <c r="H1051" s="20" t="n"/>
      <c r="I1051" s="21" t="n"/>
      <c r="J1051" s="22" t="n"/>
      <c r="K1051" s="23" t="n"/>
      <c r="L1051" s="18" t="n"/>
      <c r="M1051" s="24">
        <f>IF(B1051="","",IF(AND(F1051&lt;&gt;"",G1051&lt;&gt;""),MAX(0,ROUND(MOD(G1051-F1051,1)*24-N(H1051)/60,2)),N(I1051)))</f>
        <v/>
      </c>
      <c r="N1051" s="14">
        <f>IF(B1051="","",IF(K1051&lt;&gt;"",K1051,IF(N(IFERROR(INDEX(Projects!$D$6:$D$65,MATCH(D1051,Projects!$B$6:$B$65,0)),""))&gt;0,IFERROR(INDEX(Projects!$D$6:$D$65,MATCH(D1051,Projects!$B$6:$B$65,0)),""),IFERROR(INDEX(Clients!$G$6:$G$45,MATCH(C1051,Clients!$B$6:$B$45,0)),0))))</f>
        <v/>
      </c>
      <c r="O1051" s="14">
        <f>IF(B1051="","",IF(J1051&lt;&gt;"",0,ROUND(M1051*N1051,2)))</f>
        <v/>
      </c>
      <c r="P1051" s="15">
        <f>IF(OR(B1051="",J1051&lt;&gt;""),"",IF(L1051&lt;&gt;"",L1051,IF(COUNTIFS(Invoices!$C$6:$C$305,C1051,Invoices!$E$6:$E$305,"&lt;="&amp;B1051,Invoices!$F$6:$F$305,"&gt;="&amp;B1051)=1,INDEX(Invoices!$B$6:$B$305,SUMIFS(Invoices!$O$6:$O$305,Invoices!$C$6:$C$305,C1051,Invoices!$E$6:$E$305,"&lt;="&amp;B1051,Invoices!$F$6:$F$305,"&gt;="&amp;B1051)),IF(COUNTIFS(Invoices!$C$6:$C$305,C1051,Invoices!$E$6:$E$305,"&lt;="&amp;B1051,Invoices!$F$6:$F$305,"&gt;="&amp;B1051)&gt;1,"Two invoices",""))))</f>
        <v/>
      </c>
      <c r="Q1051" s="15">
        <f>IF(B1051="","",IF(J1051&lt;&gt;"","Not billable",IF(P1051="","To invoice",IF(P1051="Two invoices","Check dates",IF(ISNA(MATCH(P1051,Invoices!$B$6:$B$305,0)),"Check number",IF(INDEX(Invoices!$M$6:$M$305,MATCH(P1051,Invoices!$B$6:$B$305,0))="Paid","Paid",IF(INDEX(Invoices!$M$6:$M$305,MATCH(P1051,Invoices!$B$6:$B$305,0))="Draft","Draft","Invoiced")))))))</f>
        <v/>
      </c>
      <c r="R1051" s="1">
        <f>IF(AND(B1051&lt;&gt;"",P1051&lt;&gt;"",P1051=Invoice!$G$4),B1051+MOD(N(F1051),1)+ROW()/10000000,"")</f>
        <v/>
      </c>
      <c r="S1051">
        <f>IF(R1051="","",IF(D1051="","Other work",D1051)&amp;IF(AND(K1051&lt;&gt;"",E1051&lt;&gt;""),", "&amp;E1051,""))</f>
        <v/>
      </c>
      <c r="T1051">
        <f>IF(R1051="","",IF(COUNTIFS(R$6:R1050,"&gt;0",S$6:S1050,S1051,N$6:N1050,N1051)=0,R1051,""))</f>
        <v/>
      </c>
      <c r="U1051">
        <f>IF(B1051="","",IF(J1051&lt;&gt;"",0,M1051))</f>
        <v/>
      </c>
    </row>
    <row r="1052">
      <c r="A1052" s="1" t="n"/>
      <c r="B1052" s="16" t="n"/>
      <c r="C1052" s="17" t="n"/>
      <c r="D1052" s="18" t="n"/>
      <c r="E1052" s="18" t="n"/>
      <c r="F1052" s="19" t="n"/>
      <c r="G1052" s="19" t="n"/>
      <c r="H1052" s="20" t="n"/>
      <c r="I1052" s="21" t="n"/>
      <c r="J1052" s="22" t="n"/>
      <c r="K1052" s="23" t="n"/>
      <c r="L1052" s="18" t="n"/>
      <c r="M1052" s="24">
        <f>IF(B1052="","",IF(AND(F1052&lt;&gt;"",G1052&lt;&gt;""),MAX(0,ROUND(MOD(G1052-F1052,1)*24-N(H1052)/60,2)),N(I1052)))</f>
        <v/>
      </c>
      <c r="N1052" s="14">
        <f>IF(B1052="","",IF(K1052&lt;&gt;"",K1052,IF(N(IFERROR(INDEX(Projects!$D$6:$D$65,MATCH(D1052,Projects!$B$6:$B$65,0)),""))&gt;0,IFERROR(INDEX(Projects!$D$6:$D$65,MATCH(D1052,Projects!$B$6:$B$65,0)),""),IFERROR(INDEX(Clients!$G$6:$G$45,MATCH(C1052,Clients!$B$6:$B$45,0)),0))))</f>
        <v/>
      </c>
      <c r="O1052" s="14">
        <f>IF(B1052="","",IF(J1052&lt;&gt;"",0,ROUND(M1052*N1052,2)))</f>
        <v/>
      </c>
      <c r="P1052" s="15">
        <f>IF(OR(B1052="",J1052&lt;&gt;""),"",IF(L1052&lt;&gt;"",L1052,IF(COUNTIFS(Invoices!$C$6:$C$305,C1052,Invoices!$E$6:$E$305,"&lt;="&amp;B1052,Invoices!$F$6:$F$305,"&gt;="&amp;B1052)=1,INDEX(Invoices!$B$6:$B$305,SUMIFS(Invoices!$O$6:$O$305,Invoices!$C$6:$C$305,C1052,Invoices!$E$6:$E$305,"&lt;="&amp;B1052,Invoices!$F$6:$F$305,"&gt;="&amp;B1052)),IF(COUNTIFS(Invoices!$C$6:$C$305,C1052,Invoices!$E$6:$E$305,"&lt;="&amp;B1052,Invoices!$F$6:$F$305,"&gt;="&amp;B1052)&gt;1,"Two invoices",""))))</f>
        <v/>
      </c>
      <c r="Q1052" s="15">
        <f>IF(B1052="","",IF(J1052&lt;&gt;"","Not billable",IF(P1052="","To invoice",IF(P1052="Two invoices","Check dates",IF(ISNA(MATCH(P1052,Invoices!$B$6:$B$305,0)),"Check number",IF(INDEX(Invoices!$M$6:$M$305,MATCH(P1052,Invoices!$B$6:$B$305,0))="Paid","Paid",IF(INDEX(Invoices!$M$6:$M$305,MATCH(P1052,Invoices!$B$6:$B$305,0))="Draft","Draft","Invoiced")))))))</f>
        <v/>
      </c>
      <c r="R1052" s="1">
        <f>IF(AND(B1052&lt;&gt;"",P1052&lt;&gt;"",P1052=Invoice!$G$4),B1052+MOD(N(F1052),1)+ROW()/10000000,"")</f>
        <v/>
      </c>
      <c r="S1052">
        <f>IF(R1052="","",IF(D1052="","Other work",D1052)&amp;IF(AND(K1052&lt;&gt;"",E1052&lt;&gt;""),", "&amp;E1052,""))</f>
        <v/>
      </c>
      <c r="T1052">
        <f>IF(R1052="","",IF(COUNTIFS(R$6:R1051,"&gt;0",S$6:S1051,S1052,N$6:N1051,N1052)=0,R1052,""))</f>
        <v/>
      </c>
      <c r="U1052">
        <f>IF(B1052="","",IF(J1052&lt;&gt;"",0,M1052))</f>
        <v/>
      </c>
    </row>
    <row r="1053">
      <c r="A1053" s="1" t="n"/>
      <c r="B1053" s="16" t="n"/>
      <c r="C1053" s="17" t="n"/>
      <c r="D1053" s="18" t="n"/>
      <c r="E1053" s="18" t="n"/>
      <c r="F1053" s="19" t="n"/>
      <c r="G1053" s="19" t="n"/>
      <c r="H1053" s="20" t="n"/>
      <c r="I1053" s="21" t="n"/>
      <c r="J1053" s="22" t="n"/>
      <c r="K1053" s="23" t="n"/>
      <c r="L1053" s="18" t="n"/>
      <c r="M1053" s="24">
        <f>IF(B1053="","",IF(AND(F1053&lt;&gt;"",G1053&lt;&gt;""),MAX(0,ROUND(MOD(G1053-F1053,1)*24-N(H1053)/60,2)),N(I1053)))</f>
        <v/>
      </c>
      <c r="N1053" s="14">
        <f>IF(B1053="","",IF(K1053&lt;&gt;"",K1053,IF(N(IFERROR(INDEX(Projects!$D$6:$D$65,MATCH(D1053,Projects!$B$6:$B$65,0)),""))&gt;0,IFERROR(INDEX(Projects!$D$6:$D$65,MATCH(D1053,Projects!$B$6:$B$65,0)),""),IFERROR(INDEX(Clients!$G$6:$G$45,MATCH(C1053,Clients!$B$6:$B$45,0)),0))))</f>
        <v/>
      </c>
      <c r="O1053" s="14">
        <f>IF(B1053="","",IF(J1053&lt;&gt;"",0,ROUND(M1053*N1053,2)))</f>
        <v/>
      </c>
      <c r="P1053" s="15">
        <f>IF(OR(B1053="",J1053&lt;&gt;""),"",IF(L1053&lt;&gt;"",L1053,IF(COUNTIFS(Invoices!$C$6:$C$305,C1053,Invoices!$E$6:$E$305,"&lt;="&amp;B1053,Invoices!$F$6:$F$305,"&gt;="&amp;B1053)=1,INDEX(Invoices!$B$6:$B$305,SUMIFS(Invoices!$O$6:$O$305,Invoices!$C$6:$C$305,C1053,Invoices!$E$6:$E$305,"&lt;="&amp;B1053,Invoices!$F$6:$F$305,"&gt;="&amp;B1053)),IF(COUNTIFS(Invoices!$C$6:$C$305,C1053,Invoices!$E$6:$E$305,"&lt;="&amp;B1053,Invoices!$F$6:$F$305,"&gt;="&amp;B1053)&gt;1,"Two invoices",""))))</f>
        <v/>
      </c>
      <c r="Q1053" s="15">
        <f>IF(B1053="","",IF(J1053&lt;&gt;"","Not billable",IF(P1053="","To invoice",IF(P1053="Two invoices","Check dates",IF(ISNA(MATCH(P1053,Invoices!$B$6:$B$305,0)),"Check number",IF(INDEX(Invoices!$M$6:$M$305,MATCH(P1053,Invoices!$B$6:$B$305,0))="Paid","Paid",IF(INDEX(Invoices!$M$6:$M$305,MATCH(P1053,Invoices!$B$6:$B$305,0))="Draft","Draft","Invoiced")))))))</f>
        <v/>
      </c>
      <c r="R1053" s="1">
        <f>IF(AND(B1053&lt;&gt;"",P1053&lt;&gt;"",P1053=Invoice!$G$4),B1053+MOD(N(F1053),1)+ROW()/10000000,"")</f>
        <v/>
      </c>
      <c r="S1053">
        <f>IF(R1053="","",IF(D1053="","Other work",D1053)&amp;IF(AND(K1053&lt;&gt;"",E1053&lt;&gt;""),", "&amp;E1053,""))</f>
        <v/>
      </c>
      <c r="T1053">
        <f>IF(R1053="","",IF(COUNTIFS(R$6:R1052,"&gt;0",S$6:S1052,S1053,N$6:N1052,N1053)=0,R1053,""))</f>
        <v/>
      </c>
      <c r="U1053">
        <f>IF(B1053="","",IF(J1053&lt;&gt;"",0,M1053))</f>
        <v/>
      </c>
    </row>
    <row r="1054">
      <c r="A1054" s="1" t="n"/>
      <c r="B1054" s="16" t="n"/>
      <c r="C1054" s="17" t="n"/>
      <c r="D1054" s="18" t="n"/>
      <c r="E1054" s="18" t="n"/>
      <c r="F1054" s="19" t="n"/>
      <c r="G1054" s="19" t="n"/>
      <c r="H1054" s="20" t="n"/>
      <c r="I1054" s="21" t="n"/>
      <c r="J1054" s="22" t="n"/>
      <c r="K1054" s="23" t="n"/>
      <c r="L1054" s="18" t="n"/>
      <c r="M1054" s="24">
        <f>IF(B1054="","",IF(AND(F1054&lt;&gt;"",G1054&lt;&gt;""),MAX(0,ROUND(MOD(G1054-F1054,1)*24-N(H1054)/60,2)),N(I1054)))</f>
        <v/>
      </c>
      <c r="N1054" s="14">
        <f>IF(B1054="","",IF(K1054&lt;&gt;"",K1054,IF(N(IFERROR(INDEX(Projects!$D$6:$D$65,MATCH(D1054,Projects!$B$6:$B$65,0)),""))&gt;0,IFERROR(INDEX(Projects!$D$6:$D$65,MATCH(D1054,Projects!$B$6:$B$65,0)),""),IFERROR(INDEX(Clients!$G$6:$G$45,MATCH(C1054,Clients!$B$6:$B$45,0)),0))))</f>
        <v/>
      </c>
      <c r="O1054" s="14">
        <f>IF(B1054="","",IF(J1054&lt;&gt;"",0,ROUND(M1054*N1054,2)))</f>
        <v/>
      </c>
      <c r="P1054" s="15">
        <f>IF(OR(B1054="",J1054&lt;&gt;""),"",IF(L1054&lt;&gt;"",L1054,IF(COUNTIFS(Invoices!$C$6:$C$305,C1054,Invoices!$E$6:$E$305,"&lt;="&amp;B1054,Invoices!$F$6:$F$305,"&gt;="&amp;B1054)=1,INDEX(Invoices!$B$6:$B$305,SUMIFS(Invoices!$O$6:$O$305,Invoices!$C$6:$C$305,C1054,Invoices!$E$6:$E$305,"&lt;="&amp;B1054,Invoices!$F$6:$F$305,"&gt;="&amp;B1054)),IF(COUNTIFS(Invoices!$C$6:$C$305,C1054,Invoices!$E$6:$E$305,"&lt;="&amp;B1054,Invoices!$F$6:$F$305,"&gt;="&amp;B1054)&gt;1,"Two invoices",""))))</f>
        <v/>
      </c>
      <c r="Q1054" s="15">
        <f>IF(B1054="","",IF(J1054&lt;&gt;"","Not billable",IF(P1054="","To invoice",IF(P1054="Two invoices","Check dates",IF(ISNA(MATCH(P1054,Invoices!$B$6:$B$305,0)),"Check number",IF(INDEX(Invoices!$M$6:$M$305,MATCH(P1054,Invoices!$B$6:$B$305,0))="Paid","Paid",IF(INDEX(Invoices!$M$6:$M$305,MATCH(P1054,Invoices!$B$6:$B$305,0))="Draft","Draft","Invoiced")))))))</f>
        <v/>
      </c>
      <c r="R1054" s="1">
        <f>IF(AND(B1054&lt;&gt;"",P1054&lt;&gt;"",P1054=Invoice!$G$4),B1054+MOD(N(F1054),1)+ROW()/10000000,"")</f>
        <v/>
      </c>
      <c r="S1054">
        <f>IF(R1054="","",IF(D1054="","Other work",D1054)&amp;IF(AND(K1054&lt;&gt;"",E1054&lt;&gt;""),", "&amp;E1054,""))</f>
        <v/>
      </c>
      <c r="T1054">
        <f>IF(R1054="","",IF(COUNTIFS(R$6:R1053,"&gt;0",S$6:S1053,S1054,N$6:N1053,N1054)=0,R1054,""))</f>
        <v/>
      </c>
      <c r="U1054">
        <f>IF(B1054="","",IF(J1054&lt;&gt;"",0,M1054))</f>
        <v/>
      </c>
    </row>
    <row r="1055">
      <c r="A1055" s="1" t="n"/>
      <c r="B1055" s="16" t="n"/>
      <c r="C1055" s="17" t="n"/>
      <c r="D1055" s="18" t="n"/>
      <c r="E1055" s="18" t="n"/>
      <c r="F1055" s="19" t="n"/>
      <c r="G1055" s="19" t="n"/>
      <c r="H1055" s="20" t="n"/>
      <c r="I1055" s="21" t="n"/>
      <c r="J1055" s="22" t="n"/>
      <c r="K1055" s="23" t="n"/>
      <c r="L1055" s="18" t="n"/>
      <c r="M1055" s="24">
        <f>IF(B1055="","",IF(AND(F1055&lt;&gt;"",G1055&lt;&gt;""),MAX(0,ROUND(MOD(G1055-F1055,1)*24-N(H1055)/60,2)),N(I1055)))</f>
        <v/>
      </c>
      <c r="N1055" s="14">
        <f>IF(B1055="","",IF(K1055&lt;&gt;"",K1055,IF(N(IFERROR(INDEX(Projects!$D$6:$D$65,MATCH(D1055,Projects!$B$6:$B$65,0)),""))&gt;0,IFERROR(INDEX(Projects!$D$6:$D$65,MATCH(D1055,Projects!$B$6:$B$65,0)),""),IFERROR(INDEX(Clients!$G$6:$G$45,MATCH(C1055,Clients!$B$6:$B$45,0)),0))))</f>
        <v/>
      </c>
      <c r="O1055" s="14">
        <f>IF(B1055="","",IF(J1055&lt;&gt;"",0,ROUND(M1055*N1055,2)))</f>
        <v/>
      </c>
      <c r="P1055" s="15">
        <f>IF(OR(B1055="",J1055&lt;&gt;""),"",IF(L1055&lt;&gt;"",L1055,IF(COUNTIFS(Invoices!$C$6:$C$305,C1055,Invoices!$E$6:$E$305,"&lt;="&amp;B1055,Invoices!$F$6:$F$305,"&gt;="&amp;B1055)=1,INDEX(Invoices!$B$6:$B$305,SUMIFS(Invoices!$O$6:$O$305,Invoices!$C$6:$C$305,C1055,Invoices!$E$6:$E$305,"&lt;="&amp;B1055,Invoices!$F$6:$F$305,"&gt;="&amp;B1055)),IF(COUNTIFS(Invoices!$C$6:$C$305,C1055,Invoices!$E$6:$E$305,"&lt;="&amp;B1055,Invoices!$F$6:$F$305,"&gt;="&amp;B1055)&gt;1,"Two invoices",""))))</f>
        <v/>
      </c>
      <c r="Q1055" s="15">
        <f>IF(B1055="","",IF(J1055&lt;&gt;"","Not billable",IF(P1055="","To invoice",IF(P1055="Two invoices","Check dates",IF(ISNA(MATCH(P1055,Invoices!$B$6:$B$305,0)),"Check number",IF(INDEX(Invoices!$M$6:$M$305,MATCH(P1055,Invoices!$B$6:$B$305,0))="Paid","Paid",IF(INDEX(Invoices!$M$6:$M$305,MATCH(P1055,Invoices!$B$6:$B$305,0))="Draft","Draft","Invoiced")))))))</f>
        <v/>
      </c>
      <c r="R1055" s="1">
        <f>IF(AND(B1055&lt;&gt;"",P1055&lt;&gt;"",P1055=Invoice!$G$4),B1055+MOD(N(F1055),1)+ROW()/10000000,"")</f>
        <v/>
      </c>
      <c r="S1055">
        <f>IF(R1055="","",IF(D1055="","Other work",D1055)&amp;IF(AND(K1055&lt;&gt;"",E1055&lt;&gt;""),", "&amp;E1055,""))</f>
        <v/>
      </c>
      <c r="T1055">
        <f>IF(R1055="","",IF(COUNTIFS(R$6:R1054,"&gt;0",S$6:S1054,S1055,N$6:N1054,N1055)=0,R1055,""))</f>
        <v/>
      </c>
      <c r="U1055">
        <f>IF(B1055="","",IF(J1055&lt;&gt;"",0,M1055))</f>
        <v/>
      </c>
    </row>
    <row r="1056">
      <c r="A1056" s="1" t="n"/>
      <c r="B1056" s="16" t="n"/>
      <c r="C1056" s="17" t="n"/>
      <c r="D1056" s="18" t="n"/>
      <c r="E1056" s="18" t="n"/>
      <c r="F1056" s="19" t="n"/>
      <c r="G1056" s="19" t="n"/>
      <c r="H1056" s="20" t="n"/>
      <c r="I1056" s="21" t="n"/>
      <c r="J1056" s="22" t="n"/>
      <c r="K1056" s="23" t="n"/>
      <c r="L1056" s="18" t="n"/>
      <c r="M1056" s="24">
        <f>IF(B1056="","",IF(AND(F1056&lt;&gt;"",G1056&lt;&gt;""),MAX(0,ROUND(MOD(G1056-F1056,1)*24-N(H1056)/60,2)),N(I1056)))</f>
        <v/>
      </c>
      <c r="N1056" s="14">
        <f>IF(B1056="","",IF(K1056&lt;&gt;"",K1056,IF(N(IFERROR(INDEX(Projects!$D$6:$D$65,MATCH(D1056,Projects!$B$6:$B$65,0)),""))&gt;0,IFERROR(INDEX(Projects!$D$6:$D$65,MATCH(D1056,Projects!$B$6:$B$65,0)),""),IFERROR(INDEX(Clients!$G$6:$G$45,MATCH(C1056,Clients!$B$6:$B$45,0)),0))))</f>
        <v/>
      </c>
      <c r="O1056" s="14">
        <f>IF(B1056="","",IF(J1056&lt;&gt;"",0,ROUND(M1056*N1056,2)))</f>
        <v/>
      </c>
      <c r="P1056" s="15">
        <f>IF(OR(B1056="",J1056&lt;&gt;""),"",IF(L1056&lt;&gt;"",L1056,IF(COUNTIFS(Invoices!$C$6:$C$305,C1056,Invoices!$E$6:$E$305,"&lt;="&amp;B1056,Invoices!$F$6:$F$305,"&gt;="&amp;B1056)=1,INDEX(Invoices!$B$6:$B$305,SUMIFS(Invoices!$O$6:$O$305,Invoices!$C$6:$C$305,C1056,Invoices!$E$6:$E$305,"&lt;="&amp;B1056,Invoices!$F$6:$F$305,"&gt;="&amp;B1056)),IF(COUNTIFS(Invoices!$C$6:$C$305,C1056,Invoices!$E$6:$E$305,"&lt;="&amp;B1056,Invoices!$F$6:$F$305,"&gt;="&amp;B1056)&gt;1,"Two invoices",""))))</f>
        <v/>
      </c>
      <c r="Q1056" s="15">
        <f>IF(B1056="","",IF(J1056&lt;&gt;"","Not billable",IF(P1056="","To invoice",IF(P1056="Two invoices","Check dates",IF(ISNA(MATCH(P1056,Invoices!$B$6:$B$305,0)),"Check number",IF(INDEX(Invoices!$M$6:$M$305,MATCH(P1056,Invoices!$B$6:$B$305,0))="Paid","Paid",IF(INDEX(Invoices!$M$6:$M$305,MATCH(P1056,Invoices!$B$6:$B$305,0))="Draft","Draft","Invoiced")))))))</f>
        <v/>
      </c>
      <c r="R1056" s="1">
        <f>IF(AND(B1056&lt;&gt;"",P1056&lt;&gt;"",P1056=Invoice!$G$4),B1056+MOD(N(F1056),1)+ROW()/10000000,"")</f>
        <v/>
      </c>
      <c r="S1056">
        <f>IF(R1056="","",IF(D1056="","Other work",D1056)&amp;IF(AND(K1056&lt;&gt;"",E1056&lt;&gt;""),", "&amp;E1056,""))</f>
        <v/>
      </c>
      <c r="T1056">
        <f>IF(R1056="","",IF(COUNTIFS(R$6:R1055,"&gt;0",S$6:S1055,S1056,N$6:N1055,N1056)=0,R1056,""))</f>
        <v/>
      </c>
      <c r="U1056">
        <f>IF(B1056="","",IF(J1056&lt;&gt;"",0,M1056))</f>
        <v/>
      </c>
    </row>
    <row r="1057">
      <c r="A1057" s="1" t="n"/>
      <c r="B1057" s="16" t="n"/>
      <c r="C1057" s="17" t="n"/>
      <c r="D1057" s="18" t="n"/>
      <c r="E1057" s="18" t="n"/>
      <c r="F1057" s="19" t="n"/>
      <c r="G1057" s="19" t="n"/>
      <c r="H1057" s="20" t="n"/>
      <c r="I1057" s="21" t="n"/>
      <c r="J1057" s="22" t="n"/>
      <c r="K1057" s="23" t="n"/>
      <c r="L1057" s="18" t="n"/>
      <c r="M1057" s="24">
        <f>IF(B1057="","",IF(AND(F1057&lt;&gt;"",G1057&lt;&gt;""),MAX(0,ROUND(MOD(G1057-F1057,1)*24-N(H1057)/60,2)),N(I1057)))</f>
        <v/>
      </c>
      <c r="N1057" s="14">
        <f>IF(B1057="","",IF(K1057&lt;&gt;"",K1057,IF(N(IFERROR(INDEX(Projects!$D$6:$D$65,MATCH(D1057,Projects!$B$6:$B$65,0)),""))&gt;0,IFERROR(INDEX(Projects!$D$6:$D$65,MATCH(D1057,Projects!$B$6:$B$65,0)),""),IFERROR(INDEX(Clients!$G$6:$G$45,MATCH(C1057,Clients!$B$6:$B$45,0)),0))))</f>
        <v/>
      </c>
      <c r="O1057" s="14">
        <f>IF(B1057="","",IF(J1057&lt;&gt;"",0,ROUND(M1057*N1057,2)))</f>
        <v/>
      </c>
      <c r="P1057" s="15">
        <f>IF(OR(B1057="",J1057&lt;&gt;""),"",IF(L1057&lt;&gt;"",L1057,IF(COUNTIFS(Invoices!$C$6:$C$305,C1057,Invoices!$E$6:$E$305,"&lt;="&amp;B1057,Invoices!$F$6:$F$305,"&gt;="&amp;B1057)=1,INDEX(Invoices!$B$6:$B$305,SUMIFS(Invoices!$O$6:$O$305,Invoices!$C$6:$C$305,C1057,Invoices!$E$6:$E$305,"&lt;="&amp;B1057,Invoices!$F$6:$F$305,"&gt;="&amp;B1057)),IF(COUNTIFS(Invoices!$C$6:$C$305,C1057,Invoices!$E$6:$E$305,"&lt;="&amp;B1057,Invoices!$F$6:$F$305,"&gt;="&amp;B1057)&gt;1,"Two invoices",""))))</f>
        <v/>
      </c>
      <c r="Q1057" s="15">
        <f>IF(B1057="","",IF(J1057&lt;&gt;"","Not billable",IF(P1057="","To invoice",IF(P1057="Two invoices","Check dates",IF(ISNA(MATCH(P1057,Invoices!$B$6:$B$305,0)),"Check number",IF(INDEX(Invoices!$M$6:$M$305,MATCH(P1057,Invoices!$B$6:$B$305,0))="Paid","Paid",IF(INDEX(Invoices!$M$6:$M$305,MATCH(P1057,Invoices!$B$6:$B$305,0))="Draft","Draft","Invoiced")))))))</f>
        <v/>
      </c>
      <c r="R1057" s="1">
        <f>IF(AND(B1057&lt;&gt;"",P1057&lt;&gt;"",P1057=Invoice!$G$4),B1057+MOD(N(F1057),1)+ROW()/10000000,"")</f>
        <v/>
      </c>
      <c r="S1057">
        <f>IF(R1057="","",IF(D1057="","Other work",D1057)&amp;IF(AND(K1057&lt;&gt;"",E1057&lt;&gt;""),", "&amp;E1057,""))</f>
        <v/>
      </c>
      <c r="T1057">
        <f>IF(R1057="","",IF(COUNTIFS(R$6:R1056,"&gt;0",S$6:S1056,S1057,N$6:N1056,N1057)=0,R1057,""))</f>
        <v/>
      </c>
      <c r="U1057">
        <f>IF(B1057="","",IF(J1057&lt;&gt;"",0,M1057))</f>
        <v/>
      </c>
    </row>
    <row r="1058">
      <c r="A1058" s="1" t="n"/>
      <c r="B1058" s="16" t="n"/>
      <c r="C1058" s="17" t="n"/>
      <c r="D1058" s="18" t="n"/>
      <c r="E1058" s="18" t="n"/>
      <c r="F1058" s="19" t="n"/>
      <c r="G1058" s="19" t="n"/>
      <c r="H1058" s="20" t="n"/>
      <c r="I1058" s="21" t="n"/>
      <c r="J1058" s="22" t="n"/>
      <c r="K1058" s="23" t="n"/>
      <c r="L1058" s="18" t="n"/>
      <c r="M1058" s="24">
        <f>IF(B1058="","",IF(AND(F1058&lt;&gt;"",G1058&lt;&gt;""),MAX(0,ROUND(MOD(G1058-F1058,1)*24-N(H1058)/60,2)),N(I1058)))</f>
        <v/>
      </c>
      <c r="N1058" s="14">
        <f>IF(B1058="","",IF(K1058&lt;&gt;"",K1058,IF(N(IFERROR(INDEX(Projects!$D$6:$D$65,MATCH(D1058,Projects!$B$6:$B$65,0)),""))&gt;0,IFERROR(INDEX(Projects!$D$6:$D$65,MATCH(D1058,Projects!$B$6:$B$65,0)),""),IFERROR(INDEX(Clients!$G$6:$G$45,MATCH(C1058,Clients!$B$6:$B$45,0)),0))))</f>
        <v/>
      </c>
      <c r="O1058" s="14">
        <f>IF(B1058="","",IF(J1058&lt;&gt;"",0,ROUND(M1058*N1058,2)))</f>
        <v/>
      </c>
      <c r="P1058" s="15">
        <f>IF(OR(B1058="",J1058&lt;&gt;""),"",IF(L1058&lt;&gt;"",L1058,IF(COUNTIFS(Invoices!$C$6:$C$305,C1058,Invoices!$E$6:$E$305,"&lt;="&amp;B1058,Invoices!$F$6:$F$305,"&gt;="&amp;B1058)=1,INDEX(Invoices!$B$6:$B$305,SUMIFS(Invoices!$O$6:$O$305,Invoices!$C$6:$C$305,C1058,Invoices!$E$6:$E$305,"&lt;="&amp;B1058,Invoices!$F$6:$F$305,"&gt;="&amp;B1058)),IF(COUNTIFS(Invoices!$C$6:$C$305,C1058,Invoices!$E$6:$E$305,"&lt;="&amp;B1058,Invoices!$F$6:$F$305,"&gt;="&amp;B1058)&gt;1,"Two invoices",""))))</f>
        <v/>
      </c>
      <c r="Q1058" s="15">
        <f>IF(B1058="","",IF(J1058&lt;&gt;"","Not billable",IF(P1058="","To invoice",IF(P1058="Two invoices","Check dates",IF(ISNA(MATCH(P1058,Invoices!$B$6:$B$305,0)),"Check number",IF(INDEX(Invoices!$M$6:$M$305,MATCH(P1058,Invoices!$B$6:$B$305,0))="Paid","Paid",IF(INDEX(Invoices!$M$6:$M$305,MATCH(P1058,Invoices!$B$6:$B$305,0))="Draft","Draft","Invoiced")))))))</f>
        <v/>
      </c>
      <c r="R1058" s="1">
        <f>IF(AND(B1058&lt;&gt;"",P1058&lt;&gt;"",P1058=Invoice!$G$4),B1058+MOD(N(F1058),1)+ROW()/10000000,"")</f>
        <v/>
      </c>
      <c r="S1058">
        <f>IF(R1058="","",IF(D1058="","Other work",D1058)&amp;IF(AND(K1058&lt;&gt;"",E1058&lt;&gt;""),", "&amp;E1058,""))</f>
        <v/>
      </c>
      <c r="T1058">
        <f>IF(R1058="","",IF(COUNTIFS(R$6:R1057,"&gt;0",S$6:S1057,S1058,N$6:N1057,N1058)=0,R1058,""))</f>
        <v/>
      </c>
      <c r="U1058">
        <f>IF(B1058="","",IF(J1058&lt;&gt;"",0,M1058))</f>
        <v/>
      </c>
    </row>
    <row r="1059">
      <c r="A1059" s="1" t="n"/>
      <c r="B1059" s="16" t="n"/>
      <c r="C1059" s="17" t="n"/>
      <c r="D1059" s="18" t="n"/>
      <c r="E1059" s="18" t="n"/>
      <c r="F1059" s="19" t="n"/>
      <c r="G1059" s="19" t="n"/>
      <c r="H1059" s="20" t="n"/>
      <c r="I1059" s="21" t="n"/>
      <c r="J1059" s="22" t="n"/>
      <c r="K1059" s="23" t="n"/>
      <c r="L1059" s="18" t="n"/>
      <c r="M1059" s="24">
        <f>IF(B1059="","",IF(AND(F1059&lt;&gt;"",G1059&lt;&gt;""),MAX(0,ROUND(MOD(G1059-F1059,1)*24-N(H1059)/60,2)),N(I1059)))</f>
        <v/>
      </c>
      <c r="N1059" s="14">
        <f>IF(B1059="","",IF(K1059&lt;&gt;"",K1059,IF(N(IFERROR(INDEX(Projects!$D$6:$D$65,MATCH(D1059,Projects!$B$6:$B$65,0)),""))&gt;0,IFERROR(INDEX(Projects!$D$6:$D$65,MATCH(D1059,Projects!$B$6:$B$65,0)),""),IFERROR(INDEX(Clients!$G$6:$G$45,MATCH(C1059,Clients!$B$6:$B$45,0)),0))))</f>
        <v/>
      </c>
      <c r="O1059" s="14">
        <f>IF(B1059="","",IF(J1059&lt;&gt;"",0,ROUND(M1059*N1059,2)))</f>
        <v/>
      </c>
      <c r="P1059" s="15">
        <f>IF(OR(B1059="",J1059&lt;&gt;""),"",IF(L1059&lt;&gt;"",L1059,IF(COUNTIFS(Invoices!$C$6:$C$305,C1059,Invoices!$E$6:$E$305,"&lt;="&amp;B1059,Invoices!$F$6:$F$305,"&gt;="&amp;B1059)=1,INDEX(Invoices!$B$6:$B$305,SUMIFS(Invoices!$O$6:$O$305,Invoices!$C$6:$C$305,C1059,Invoices!$E$6:$E$305,"&lt;="&amp;B1059,Invoices!$F$6:$F$305,"&gt;="&amp;B1059)),IF(COUNTIFS(Invoices!$C$6:$C$305,C1059,Invoices!$E$6:$E$305,"&lt;="&amp;B1059,Invoices!$F$6:$F$305,"&gt;="&amp;B1059)&gt;1,"Two invoices",""))))</f>
        <v/>
      </c>
      <c r="Q1059" s="15">
        <f>IF(B1059="","",IF(J1059&lt;&gt;"","Not billable",IF(P1059="","To invoice",IF(P1059="Two invoices","Check dates",IF(ISNA(MATCH(P1059,Invoices!$B$6:$B$305,0)),"Check number",IF(INDEX(Invoices!$M$6:$M$305,MATCH(P1059,Invoices!$B$6:$B$305,0))="Paid","Paid",IF(INDEX(Invoices!$M$6:$M$305,MATCH(P1059,Invoices!$B$6:$B$305,0))="Draft","Draft","Invoiced")))))))</f>
        <v/>
      </c>
      <c r="R1059" s="1">
        <f>IF(AND(B1059&lt;&gt;"",P1059&lt;&gt;"",P1059=Invoice!$G$4),B1059+MOD(N(F1059),1)+ROW()/10000000,"")</f>
        <v/>
      </c>
      <c r="S1059">
        <f>IF(R1059="","",IF(D1059="","Other work",D1059)&amp;IF(AND(K1059&lt;&gt;"",E1059&lt;&gt;""),", "&amp;E1059,""))</f>
        <v/>
      </c>
      <c r="T1059">
        <f>IF(R1059="","",IF(COUNTIFS(R$6:R1058,"&gt;0",S$6:S1058,S1059,N$6:N1058,N1059)=0,R1059,""))</f>
        <v/>
      </c>
      <c r="U1059">
        <f>IF(B1059="","",IF(J1059&lt;&gt;"",0,M1059))</f>
        <v/>
      </c>
    </row>
    <row r="1060">
      <c r="A1060" s="1" t="n"/>
      <c r="B1060" s="16" t="n"/>
      <c r="C1060" s="17" t="n"/>
      <c r="D1060" s="18" t="n"/>
      <c r="E1060" s="18" t="n"/>
      <c r="F1060" s="19" t="n"/>
      <c r="G1060" s="19" t="n"/>
      <c r="H1060" s="20" t="n"/>
      <c r="I1060" s="21" t="n"/>
      <c r="J1060" s="22" t="n"/>
      <c r="K1060" s="23" t="n"/>
      <c r="L1060" s="18" t="n"/>
      <c r="M1060" s="24">
        <f>IF(B1060="","",IF(AND(F1060&lt;&gt;"",G1060&lt;&gt;""),MAX(0,ROUND(MOD(G1060-F1060,1)*24-N(H1060)/60,2)),N(I1060)))</f>
        <v/>
      </c>
      <c r="N1060" s="14">
        <f>IF(B1060="","",IF(K1060&lt;&gt;"",K1060,IF(N(IFERROR(INDEX(Projects!$D$6:$D$65,MATCH(D1060,Projects!$B$6:$B$65,0)),""))&gt;0,IFERROR(INDEX(Projects!$D$6:$D$65,MATCH(D1060,Projects!$B$6:$B$65,0)),""),IFERROR(INDEX(Clients!$G$6:$G$45,MATCH(C1060,Clients!$B$6:$B$45,0)),0))))</f>
        <v/>
      </c>
      <c r="O1060" s="14">
        <f>IF(B1060="","",IF(J1060&lt;&gt;"",0,ROUND(M1060*N1060,2)))</f>
        <v/>
      </c>
      <c r="P1060" s="15">
        <f>IF(OR(B1060="",J1060&lt;&gt;""),"",IF(L1060&lt;&gt;"",L1060,IF(COUNTIFS(Invoices!$C$6:$C$305,C1060,Invoices!$E$6:$E$305,"&lt;="&amp;B1060,Invoices!$F$6:$F$305,"&gt;="&amp;B1060)=1,INDEX(Invoices!$B$6:$B$305,SUMIFS(Invoices!$O$6:$O$305,Invoices!$C$6:$C$305,C1060,Invoices!$E$6:$E$305,"&lt;="&amp;B1060,Invoices!$F$6:$F$305,"&gt;="&amp;B1060)),IF(COUNTIFS(Invoices!$C$6:$C$305,C1060,Invoices!$E$6:$E$305,"&lt;="&amp;B1060,Invoices!$F$6:$F$305,"&gt;="&amp;B1060)&gt;1,"Two invoices",""))))</f>
        <v/>
      </c>
      <c r="Q1060" s="15">
        <f>IF(B1060="","",IF(J1060&lt;&gt;"","Not billable",IF(P1060="","To invoice",IF(P1060="Two invoices","Check dates",IF(ISNA(MATCH(P1060,Invoices!$B$6:$B$305,0)),"Check number",IF(INDEX(Invoices!$M$6:$M$305,MATCH(P1060,Invoices!$B$6:$B$305,0))="Paid","Paid",IF(INDEX(Invoices!$M$6:$M$305,MATCH(P1060,Invoices!$B$6:$B$305,0))="Draft","Draft","Invoiced")))))))</f>
        <v/>
      </c>
      <c r="R1060" s="1">
        <f>IF(AND(B1060&lt;&gt;"",P1060&lt;&gt;"",P1060=Invoice!$G$4),B1060+MOD(N(F1060),1)+ROW()/10000000,"")</f>
        <v/>
      </c>
      <c r="S1060">
        <f>IF(R1060="","",IF(D1060="","Other work",D1060)&amp;IF(AND(K1060&lt;&gt;"",E1060&lt;&gt;""),", "&amp;E1060,""))</f>
        <v/>
      </c>
      <c r="T1060">
        <f>IF(R1060="","",IF(COUNTIFS(R$6:R1059,"&gt;0",S$6:S1059,S1060,N$6:N1059,N1060)=0,R1060,""))</f>
        <v/>
      </c>
      <c r="U1060">
        <f>IF(B1060="","",IF(J1060&lt;&gt;"",0,M1060))</f>
        <v/>
      </c>
    </row>
    <row r="1061">
      <c r="A1061" s="1" t="n"/>
      <c r="B1061" s="16" t="n"/>
      <c r="C1061" s="17" t="n"/>
      <c r="D1061" s="18" t="n"/>
      <c r="E1061" s="18" t="n"/>
      <c r="F1061" s="19" t="n"/>
      <c r="G1061" s="19" t="n"/>
      <c r="H1061" s="20" t="n"/>
      <c r="I1061" s="21" t="n"/>
      <c r="J1061" s="22" t="n"/>
      <c r="K1061" s="23" t="n"/>
      <c r="L1061" s="18" t="n"/>
      <c r="M1061" s="24">
        <f>IF(B1061="","",IF(AND(F1061&lt;&gt;"",G1061&lt;&gt;""),MAX(0,ROUND(MOD(G1061-F1061,1)*24-N(H1061)/60,2)),N(I1061)))</f>
        <v/>
      </c>
      <c r="N1061" s="14">
        <f>IF(B1061="","",IF(K1061&lt;&gt;"",K1061,IF(N(IFERROR(INDEX(Projects!$D$6:$D$65,MATCH(D1061,Projects!$B$6:$B$65,0)),""))&gt;0,IFERROR(INDEX(Projects!$D$6:$D$65,MATCH(D1061,Projects!$B$6:$B$65,0)),""),IFERROR(INDEX(Clients!$G$6:$G$45,MATCH(C1061,Clients!$B$6:$B$45,0)),0))))</f>
        <v/>
      </c>
      <c r="O1061" s="14">
        <f>IF(B1061="","",IF(J1061&lt;&gt;"",0,ROUND(M1061*N1061,2)))</f>
        <v/>
      </c>
      <c r="P1061" s="15">
        <f>IF(OR(B1061="",J1061&lt;&gt;""),"",IF(L1061&lt;&gt;"",L1061,IF(COUNTIFS(Invoices!$C$6:$C$305,C1061,Invoices!$E$6:$E$305,"&lt;="&amp;B1061,Invoices!$F$6:$F$305,"&gt;="&amp;B1061)=1,INDEX(Invoices!$B$6:$B$305,SUMIFS(Invoices!$O$6:$O$305,Invoices!$C$6:$C$305,C1061,Invoices!$E$6:$E$305,"&lt;="&amp;B1061,Invoices!$F$6:$F$305,"&gt;="&amp;B1061)),IF(COUNTIFS(Invoices!$C$6:$C$305,C1061,Invoices!$E$6:$E$305,"&lt;="&amp;B1061,Invoices!$F$6:$F$305,"&gt;="&amp;B1061)&gt;1,"Two invoices",""))))</f>
        <v/>
      </c>
      <c r="Q1061" s="15">
        <f>IF(B1061="","",IF(J1061&lt;&gt;"","Not billable",IF(P1061="","To invoice",IF(P1061="Two invoices","Check dates",IF(ISNA(MATCH(P1061,Invoices!$B$6:$B$305,0)),"Check number",IF(INDEX(Invoices!$M$6:$M$305,MATCH(P1061,Invoices!$B$6:$B$305,0))="Paid","Paid",IF(INDEX(Invoices!$M$6:$M$305,MATCH(P1061,Invoices!$B$6:$B$305,0))="Draft","Draft","Invoiced")))))))</f>
        <v/>
      </c>
      <c r="R1061" s="1">
        <f>IF(AND(B1061&lt;&gt;"",P1061&lt;&gt;"",P1061=Invoice!$G$4),B1061+MOD(N(F1061),1)+ROW()/10000000,"")</f>
        <v/>
      </c>
      <c r="S1061">
        <f>IF(R1061="","",IF(D1061="","Other work",D1061)&amp;IF(AND(K1061&lt;&gt;"",E1061&lt;&gt;""),", "&amp;E1061,""))</f>
        <v/>
      </c>
      <c r="T1061">
        <f>IF(R1061="","",IF(COUNTIFS(R$6:R1060,"&gt;0",S$6:S1060,S1061,N$6:N1060,N1061)=0,R1061,""))</f>
        <v/>
      </c>
      <c r="U1061">
        <f>IF(B1061="","",IF(J1061&lt;&gt;"",0,M1061))</f>
        <v/>
      </c>
    </row>
    <row r="1062">
      <c r="A1062" s="1" t="n"/>
      <c r="B1062" s="16" t="n"/>
      <c r="C1062" s="17" t="n"/>
      <c r="D1062" s="18" t="n"/>
      <c r="E1062" s="18" t="n"/>
      <c r="F1062" s="19" t="n"/>
      <c r="G1062" s="19" t="n"/>
      <c r="H1062" s="20" t="n"/>
      <c r="I1062" s="21" t="n"/>
      <c r="J1062" s="22" t="n"/>
      <c r="K1062" s="23" t="n"/>
      <c r="L1062" s="18" t="n"/>
      <c r="M1062" s="24">
        <f>IF(B1062="","",IF(AND(F1062&lt;&gt;"",G1062&lt;&gt;""),MAX(0,ROUND(MOD(G1062-F1062,1)*24-N(H1062)/60,2)),N(I1062)))</f>
        <v/>
      </c>
      <c r="N1062" s="14">
        <f>IF(B1062="","",IF(K1062&lt;&gt;"",K1062,IF(N(IFERROR(INDEX(Projects!$D$6:$D$65,MATCH(D1062,Projects!$B$6:$B$65,0)),""))&gt;0,IFERROR(INDEX(Projects!$D$6:$D$65,MATCH(D1062,Projects!$B$6:$B$65,0)),""),IFERROR(INDEX(Clients!$G$6:$G$45,MATCH(C1062,Clients!$B$6:$B$45,0)),0))))</f>
        <v/>
      </c>
      <c r="O1062" s="14">
        <f>IF(B1062="","",IF(J1062&lt;&gt;"",0,ROUND(M1062*N1062,2)))</f>
        <v/>
      </c>
      <c r="P1062" s="15">
        <f>IF(OR(B1062="",J1062&lt;&gt;""),"",IF(L1062&lt;&gt;"",L1062,IF(COUNTIFS(Invoices!$C$6:$C$305,C1062,Invoices!$E$6:$E$305,"&lt;="&amp;B1062,Invoices!$F$6:$F$305,"&gt;="&amp;B1062)=1,INDEX(Invoices!$B$6:$B$305,SUMIFS(Invoices!$O$6:$O$305,Invoices!$C$6:$C$305,C1062,Invoices!$E$6:$E$305,"&lt;="&amp;B1062,Invoices!$F$6:$F$305,"&gt;="&amp;B1062)),IF(COUNTIFS(Invoices!$C$6:$C$305,C1062,Invoices!$E$6:$E$305,"&lt;="&amp;B1062,Invoices!$F$6:$F$305,"&gt;="&amp;B1062)&gt;1,"Two invoices",""))))</f>
        <v/>
      </c>
      <c r="Q1062" s="15">
        <f>IF(B1062="","",IF(J1062&lt;&gt;"","Not billable",IF(P1062="","To invoice",IF(P1062="Two invoices","Check dates",IF(ISNA(MATCH(P1062,Invoices!$B$6:$B$305,0)),"Check number",IF(INDEX(Invoices!$M$6:$M$305,MATCH(P1062,Invoices!$B$6:$B$305,0))="Paid","Paid",IF(INDEX(Invoices!$M$6:$M$305,MATCH(P1062,Invoices!$B$6:$B$305,0))="Draft","Draft","Invoiced")))))))</f>
        <v/>
      </c>
      <c r="R1062" s="1">
        <f>IF(AND(B1062&lt;&gt;"",P1062&lt;&gt;"",P1062=Invoice!$G$4),B1062+MOD(N(F1062),1)+ROW()/10000000,"")</f>
        <v/>
      </c>
      <c r="S1062">
        <f>IF(R1062="","",IF(D1062="","Other work",D1062)&amp;IF(AND(K1062&lt;&gt;"",E1062&lt;&gt;""),", "&amp;E1062,""))</f>
        <v/>
      </c>
      <c r="T1062">
        <f>IF(R1062="","",IF(COUNTIFS(R$6:R1061,"&gt;0",S$6:S1061,S1062,N$6:N1061,N1062)=0,R1062,""))</f>
        <v/>
      </c>
      <c r="U1062">
        <f>IF(B1062="","",IF(J1062&lt;&gt;"",0,M1062))</f>
        <v/>
      </c>
    </row>
    <row r="1063">
      <c r="A1063" s="1" t="n"/>
      <c r="B1063" s="16" t="n"/>
      <c r="C1063" s="17" t="n"/>
      <c r="D1063" s="18" t="n"/>
      <c r="E1063" s="18" t="n"/>
      <c r="F1063" s="19" t="n"/>
      <c r="G1063" s="19" t="n"/>
      <c r="H1063" s="20" t="n"/>
      <c r="I1063" s="21" t="n"/>
      <c r="J1063" s="22" t="n"/>
      <c r="K1063" s="23" t="n"/>
      <c r="L1063" s="18" t="n"/>
      <c r="M1063" s="24">
        <f>IF(B1063="","",IF(AND(F1063&lt;&gt;"",G1063&lt;&gt;""),MAX(0,ROUND(MOD(G1063-F1063,1)*24-N(H1063)/60,2)),N(I1063)))</f>
        <v/>
      </c>
      <c r="N1063" s="14">
        <f>IF(B1063="","",IF(K1063&lt;&gt;"",K1063,IF(N(IFERROR(INDEX(Projects!$D$6:$D$65,MATCH(D1063,Projects!$B$6:$B$65,0)),""))&gt;0,IFERROR(INDEX(Projects!$D$6:$D$65,MATCH(D1063,Projects!$B$6:$B$65,0)),""),IFERROR(INDEX(Clients!$G$6:$G$45,MATCH(C1063,Clients!$B$6:$B$45,0)),0))))</f>
        <v/>
      </c>
      <c r="O1063" s="14">
        <f>IF(B1063="","",IF(J1063&lt;&gt;"",0,ROUND(M1063*N1063,2)))</f>
        <v/>
      </c>
      <c r="P1063" s="15">
        <f>IF(OR(B1063="",J1063&lt;&gt;""),"",IF(L1063&lt;&gt;"",L1063,IF(COUNTIFS(Invoices!$C$6:$C$305,C1063,Invoices!$E$6:$E$305,"&lt;="&amp;B1063,Invoices!$F$6:$F$305,"&gt;="&amp;B1063)=1,INDEX(Invoices!$B$6:$B$305,SUMIFS(Invoices!$O$6:$O$305,Invoices!$C$6:$C$305,C1063,Invoices!$E$6:$E$305,"&lt;="&amp;B1063,Invoices!$F$6:$F$305,"&gt;="&amp;B1063)),IF(COUNTIFS(Invoices!$C$6:$C$305,C1063,Invoices!$E$6:$E$305,"&lt;="&amp;B1063,Invoices!$F$6:$F$305,"&gt;="&amp;B1063)&gt;1,"Two invoices",""))))</f>
        <v/>
      </c>
      <c r="Q1063" s="15">
        <f>IF(B1063="","",IF(J1063&lt;&gt;"","Not billable",IF(P1063="","To invoice",IF(P1063="Two invoices","Check dates",IF(ISNA(MATCH(P1063,Invoices!$B$6:$B$305,0)),"Check number",IF(INDEX(Invoices!$M$6:$M$305,MATCH(P1063,Invoices!$B$6:$B$305,0))="Paid","Paid",IF(INDEX(Invoices!$M$6:$M$305,MATCH(P1063,Invoices!$B$6:$B$305,0))="Draft","Draft","Invoiced")))))))</f>
        <v/>
      </c>
      <c r="R1063" s="1">
        <f>IF(AND(B1063&lt;&gt;"",P1063&lt;&gt;"",P1063=Invoice!$G$4),B1063+MOD(N(F1063),1)+ROW()/10000000,"")</f>
        <v/>
      </c>
      <c r="S1063">
        <f>IF(R1063="","",IF(D1063="","Other work",D1063)&amp;IF(AND(K1063&lt;&gt;"",E1063&lt;&gt;""),", "&amp;E1063,""))</f>
        <v/>
      </c>
      <c r="T1063">
        <f>IF(R1063="","",IF(COUNTIFS(R$6:R1062,"&gt;0",S$6:S1062,S1063,N$6:N1062,N1063)=0,R1063,""))</f>
        <v/>
      </c>
      <c r="U1063">
        <f>IF(B1063="","",IF(J1063&lt;&gt;"",0,M1063))</f>
        <v/>
      </c>
    </row>
    <row r="1064">
      <c r="A1064" s="1" t="n"/>
      <c r="B1064" s="16" t="n"/>
      <c r="C1064" s="17" t="n"/>
      <c r="D1064" s="18" t="n"/>
      <c r="E1064" s="18" t="n"/>
      <c r="F1064" s="19" t="n"/>
      <c r="G1064" s="19" t="n"/>
      <c r="H1064" s="20" t="n"/>
      <c r="I1064" s="21" t="n"/>
      <c r="J1064" s="22" t="n"/>
      <c r="K1064" s="23" t="n"/>
      <c r="L1064" s="18" t="n"/>
      <c r="M1064" s="24">
        <f>IF(B1064="","",IF(AND(F1064&lt;&gt;"",G1064&lt;&gt;""),MAX(0,ROUND(MOD(G1064-F1064,1)*24-N(H1064)/60,2)),N(I1064)))</f>
        <v/>
      </c>
      <c r="N1064" s="14">
        <f>IF(B1064="","",IF(K1064&lt;&gt;"",K1064,IF(N(IFERROR(INDEX(Projects!$D$6:$D$65,MATCH(D1064,Projects!$B$6:$B$65,0)),""))&gt;0,IFERROR(INDEX(Projects!$D$6:$D$65,MATCH(D1064,Projects!$B$6:$B$65,0)),""),IFERROR(INDEX(Clients!$G$6:$G$45,MATCH(C1064,Clients!$B$6:$B$45,0)),0))))</f>
        <v/>
      </c>
      <c r="O1064" s="14">
        <f>IF(B1064="","",IF(J1064&lt;&gt;"",0,ROUND(M1064*N1064,2)))</f>
        <v/>
      </c>
      <c r="P1064" s="15">
        <f>IF(OR(B1064="",J1064&lt;&gt;""),"",IF(L1064&lt;&gt;"",L1064,IF(COUNTIFS(Invoices!$C$6:$C$305,C1064,Invoices!$E$6:$E$305,"&lt;="&amp;B1064,Invoices!$F$6:$F$305,"&gt;="&amp;B1064)=1,INDEX(Invoices!$B$6:$B$305,SUMIFS(Invoices!$O$6:$O$305,Invoices!$C$6:$C$305,C1064,Invoices!$E$6:$E$305,"&lt;="&amp;B1064,Invoices!$F$6:$F$305,"&gt;="&amp;B1064)),IF(COUNTIFS(Invoices!$C$6:$C$305,C1064,Invoices!$E$6:$E$305,"&lt;="&amp;B1064,Invoices!$F$6:$F$305,"&gt;="&amp;B1064)&gt;1,"Two invoices",""))))</f>
        <v/>
      </c>
      <c r="Q1064" s="15">
        <f>IF(B1064="","",IF(J1064&lt;&gt;"","Not billable",IF(P1064="","To invoice",IF(P1064="Two invoices","Check dates",IF(ISNA(MATCH(P1064,Invoices!$B$6:$B$305,0)),"Check number",IF(INDEX(Invoices!$M$6:$M$305,MATCH(P1064,Invoices!$B$6:$B$305,0))="Paid","Paid",IF(INDEX(Invoices!$M$6:$M$305,MATCH(P1064,Invoices!$B$6:$B$305,0))="Draft","Draft","Invoiced")))))))</f>
        <v/>
      </c>
      <c r="R1064" s="1">
        <f>IF(AND(B1064&lt;&gt;"",P1064&lt;&gt;"",P1064=Invoice!$G$4),B1064+MOD(N(F1064),1)+ROW()/10000000,"")</f>
        <v/>
      </c>
      <c r="S1064">
        <f>IF(R1064="","",IF(D1064="","Other work",D1064)&amp;IF(AND(K1064&lt;&gt;"",E1064&lt;&gt;""),", "&amp;E1064,""))</f>
        <v/>
      </c>
      <c r="T1064">
        <f>IF(R1064="","",IF(COUNTIFS(R$6:R1063,"&gt;0",S$6:S1063,S1064,N$6:N1063,N1064)=0,R1064,""))</f>
        <v/>
      </c>
      <c r="U1064">
        <f>IF(B1064="","",IF(J1064&lt;&gt;"",0,M1064))</f>
        <v/>
      </c>
    </row>
    <row r="1065">
      <c r="A1065" s="1" t="n"/>
      <c r="B1065" s="16" t="n"/>
      <c r="C1065" s="17" t="n"/>
      <c r="D1065" s="18" t="n"/>
      <c r="E1065" s="18" t="n"/>
      <c r="F1065" s="19" t="n"/>
      <c r="G1065" s="19" t="n"/>
      <c r="H1065" s="20" t="n"/>
      <c r="I1065" s="21" t="n"/>
      <c r="J1065" s="22" t="n"/>
      <c r="K1065" s="23" t="n"/>
      <c r="L1065" s="18" t="n"/>
      <c r="M1065" s="24">
        <f>IF(B1065="","",IF(AND(F1065&lt;&gt;"",G1065&lt;&gt;""),MAX(0,ROUND(MOD(G1065-F1065,1)*24-N(H1065)/60,2)),N(I1065)))</f>
        <v/>
      </c>
      <c r="N1065" s="14">
        <f>IF(B1065="","",IF(K1065&lt;&gt;"",K1065,IF(N(IFERROR(INDEX(Projects!$D$6:$D$65,MATCH(D1065,Projects!$B$6:$B$65,0)),""))&gt;0,IFERROR(INDEX(Projects!$D$6:$D$65,MATCH(D1065,Projects!$B$6:$B$65,0)),""),IFERROR(INDEX(Clients!$G$6:$G$45,MATCH(C1065,Clients!$B$6:$B$45,0)),0))))</f>
        <v/>
      </c>
      <c r="O1065" s="14">
        <f>IF(B1065="","",IF(J1065&lt;&gt;"",0,ROUND(M1065*N1065,2)))</f>
        <v/>
      </c>
      <c r="P1065" s="15">
        <f>IF(OR(B1065="",J1065&lt;&gt;""),"",IF(L1065&lt;&gt;"",L1065,IF(COUNTIFS(Invoices!$C$6:$C$305,C1065,Invoices!$E$6:$E$305,"&lt;="&amp;B1065,Invoices!$F$6:$F$305,"&gt;="&amp;B1065)=1,INDEX(Invoices!$B$6:$B$305,SUMIFS(Invoices!$O$6:$O$305,Invoices!$C$6:$C$305,C1065,Invoices!$E$6:$E$305,"&lt;="&amp;B1065,Invoices!$F$6:$F$305,"&gt;="&amp;B1065)),IF(COUNTIFS(Invoices!$C$6:$C$305,C1065,Invoices!$E$6:$E$305,"&lt;="&amp;B1065,Invoices!$F$6:$F$305,"&gt;="&amp;B1065)&gt;1,"Two invoices",""))))</f>
        <v/>
      </c>
      <c r="Q1065" s="15">
        <f>IF(B1065="","",IF(J1065&lt;&gt;"","Not billable",IF(P1065="","To invoice",IF(P1065="Two invoices","Check dates",IF(ISNA(MATCH(P1065,Invoices!$B$6:$B$305,0)),"Check number",IF(INDEX(Invoices!$M$6:$M$305,MATCH(P1065,Invoices!$B$6:$B$305,0))="Paid","Paid",IF(INDEX(Invoices!$M$6:$M$305,MATCH(P1065,Invoices!$B$6:$B$305,0))="Draft","Draft","Invoiced")))))))</f>
        <v/>
      </c>
      <c r="R1065" s="1">
        <f>IF(AND(B1065&lt;&gt;"",P1065&lt;&gt;"",P1065=Invoice!$G$4),B1065+MOD(N(F1065),1)+ROW()/10000000,"")</f>
        <v/>
      </c>
      <c r="S1065">
        <f>IF(R1065="","",IF(D1065="","Other work",D1065)&amp;IF(AND(K1065&lt;&gt;"",E1065&lt;&gt;""),", "&amp;E1065,""))</f>
        <v/>
      </c>
      <c r="T1065">
        <f>IF(R1065="","",IF(COUNTIFS(R$6:R1064,"&gt;0",S$6:S1064,S1065,N$6:N1064,N1065)=0,R1065,""))</f>
        <v/>
      </c>
      <c r="U1065">
        <f>IF(B1065="","",IF(J1065&lt;&gt;"",0,M1065))</f>
        <v/>
      </c>
    </row>
    <row r="1066">
      <c r="A1066" s="1" t="n"/>
      <c r="B1066" s="16" t="n"/>
      <c r="C1066" s="17" t="n"/>
      <c r="D1066" s="18" t="n"/>
      <c r="E1066" s="18" t="n"/>
      <c r="F1066" s="19" t="n"/>
      <c r="G1066" s="19" t="n"/>
      <c r="H1066" s="20" t="n"/>
      <c r="I1066" s="21" t="n"/>
      <c r="J1066" s="22" t="n"/>
      <c r="K1066" s="23" t="n"/>
      <c r="L1066" s="18" t="n"/>
      <c r="M1066" s="24">
        <f>IF(B1066="","",IF(AND(F1066&lt;&gt;"",G1066&lt;&gt;""),MAX(0,ROUND(MOD(G1066-F1066,1)*24-N(H1066)/60,2)),N(I1066)))</f>
        <v/>
      </c>
      <c r="N1066" s="14">
        <f>IF(B1066="","",IF(K1066&lt;&gt;"",K1066,IF(N(IFERROR(INDEX(Projects!$D$6:$D$65,MATCH(D1066,Projects!$B$6:$B$65,0)),""))&gt;0,IFERROR(INDEX(Projects!$D$6:$D$65,MATCH(D1066,Projects!$B$6:$B$65,0)),""),IFERROR(INDEX(Clients!$G$6:$G$45,MATCH(C1066,Clients!$B$6:$B$45,0)),0))))</f>
        <v/>
      </c>
      <c r="O1066" s="14">
        <f>IF(B1066="","",IF(J1066&lt;&gt;"",0,ROUND(M1066*N1066,2)))</f>
        <v/>
      </c>
      <c r="P1066" s="15">
        <f>IF(OR(B1066="",J1066&lt;&gt;""),"",IF(L1066&lt;&gt;"",L1066,IF(COUNTIFS(Invoices!$C$6:$C$305,C1066,Invoices!$E$6:$E$305,"&lt;="&amp;B1066,Invoices!$F$6:$F$305,"&gt;="&amp;B1066)=1,INDEX(Invoices!$B$6:$B$305,SUMIFS(Invoices!$O$6:$O$305,Invoices!$C$6:$C$305,C1066,Invoices!$E$6:$E$305,"&lt;="&amp;B1066,Invoices!$F$6:$F$305,"&gt;="&amp;B1066)),IF(COUNTIFS(Invoices!$C$6:$C$305,C1066,Invoices!$E$6:$E$305,"&lt;="&amp;B1066,Invoices!$F$6:$F$305,"&gt;="&amp;B1066)&gt;1,"Two invoices",""))))</f>
        <v/>
      </c>
      <c r="Q1066" s="15">
        <f>IF(B1066="","",IF(J1066&lt;&gt;"","Not billable",IF(P1066="","To invoice",IF(P1066="Two invoices","Check dates",IF(ISNA(MATCH(P1066,Invoices!$B$6:$B$305,0)),"Check number",IF(INDEX(Invoices!$M$6:$M$305,MATCH(P1066,Invoices!$B$6:$B$305,0))="Paid","Paid",IF(INDEX(Invoices!$M$6:$M$305,MATCH(P1066,Invoices!$B$6:$B$305,0))="Draft","Draft","Invoiced")))))))</f>
        <v/>
      </c>
      <c r="R1066" s="1">
        <f>IF(AND(B1066&lt;&gt;"",P1066&lt;&gt;"",P1066=Invoice!$G$4),B1066+MOD(N(F1066),1)+ROW()/10000000,"")</f>
        <v/>
      </c>
      <c r="S1066">
        <f>IF(R1066="","",IF(D1066="","Other work",D1066)&amp;IF(AND(K1066&lt;&gt;"",E1066&lt;&gt;""),", "&amp;E1066,""))</f>
        <v/>
      </c>
      <c r="T1066">
        <f>IF(R1066="","",IF(COUNTIFS(R$6:R1065,"&gt;0",S$6:S1065,S1066,N$6:N1065,N1066)=0,R1066,""))</f>
        <v/>
      </c>
      <c r="U1066">
        <f>IF(B1066="","",IF(J1066&lt;&gt;"",0,M1066))</f>
        <v/>
      </c>
    </row>
    <row r="1067">
      <c r="A1067" s="1" t="n"/>
      <c r="B1067" s="16" t="n"/>
      <c r="C1067" s="17" t="n"/>
      <c r="D1067" s="18" t="n"/>
      <c r="E1067" s="18" t="n"/>
      <c r="F1067" s="19" t="n"/>
      <c r="G1067" s="19" t="n"/>
      <c r="H1067" s="20" t="n"/>
      <c r="I1067" s="21" t="n"/>
      <c r="J1067" s="22" t="n"/>
      <c r="K1067" s="23" t="n"/>
      <c r="L1067" s="18" t="n"/>
      <c r="M1067" s="24">
        <f>IF(B1067="","",IF(AND(F1067&lt;&gt;"",G1067&lt;&gt;""),MAX(0,ROUND(MOD(G1067-F1067,1)*24-N(H1067)/60,2)),N(I1067)))</f>
        <v/>
      </c>
      <c r="N1067" s="14">
        <f>IF(B1067="","",IF(K1067&lt;&gt;"",K1067,IF(N(IFERROR(INDEX(Projects!$D$6:$D$65,MATCH(D1067,Projects!$B$6:$B$65,0)),""))&gt;0,IFERROR(INDEX(Projects!$D$6:$D$65,MATCH(D1067,Projects!$B$6:$B$65,0)),""),IFERROR(INDEX(Clients!$G$6:$G$45,MATCH(C1067,Clients!$B$6:$B$45,0)),0))))</f>
        <v/>
      </c>
      <c r="O1067" s="14">
        <f>IF(B1067="","",IF(J1067&lt;&gt;"",0,ROUND(M1067*N1067,2)))</f>
        <v/>
      </c>
      <c r="P1067" s="15">
        <f>IF(OR(B1067="",J1067&lt;&gt;""),"",IF(L1067&lt;&gt;"",L1067,IF(COUNTIFS(Invoices!$C$6:$C$305,C1067,Invoices!$E$6:$E$305,"&lt;="&amp;B1067,Invoices!$F$6:$F$305,"&gt;="&amp;B1067)=1,INDEX(Invoices!$B$6:$B$305,SUMIFS(Invoices!$O$6:$O$305,Invoices!$C$6:$C$305,C1067,Invoices!$E$6:$E$305,"&lt;="&amp;B1067,Invoices!$F$6:$F$305,"&gt;="&amp;B1067)),IF(COUNTIFS(Invoices!$C$6:$C$305,C1067,Invoices!$E$6:$E$305,"&lt;="&amp;B1067,Invoices!$F$6:$F$305,"&gt;="&amp;B1067)&gt;1,"Two invoices",""))))</f>
        <v/>
      </c>
      <c r="Q1067" s="15">
        <f>IF(B1067="","",IF(J1067&lt;&gt;"","Not billable",IF(P1067="","To invoice",IF(P1067="Two invoices","Check dates",IF(ISNA(MATCH(P1067,Invoices!$B$6:$B$305,0)),"Check number",IF(INDEX(Invoices!$M$6:$M$305,MATCH(P1067,Invoices!$B$6:$B$305,0))="Paid","Paid",IF(INDEX(Invoices!$M$6:$M$305,MATCH(P1067,Invoices!$B$6:$B$305,0))="Draft","Draft","Invoiced")))))))</f>
        <v/>
      </c>
      <c r="R1067" s="1">
        <f>IF(AND(B1067&lt;&gt;"",P1067&lt;&gt;"",P1067=Invoice!$G$4),B1067+MOD(N(F1067),1)+ROW()/10000000,"")</f>
        <v/>
      </c>
      <c r="S1067">
        <f>IF(R1067="","",IF(D1067="","Other work",D1067)&amp;IF(AND(K1067&lt;&gt;"",E1067&lt;&gt;""),", "&amp;E1067,""))</f>
        <v/>
      </c>
      <c r="T1067">
        <f>IF(R1067="","",IF(COUNTIFS(R$6:R1066,"&gt;0",S$6:S1066,S1067,N$6:N1066,N1067)=0,R1067,""))</f>
        <v/>
      </c>
      <c r="U1067">
        <f>IF(B1067="","",IF(J1067&lt;&gt;"",0,M1067))</f>
        <v/>
      </c>
    </row>
    <row r="1068">
      <c r="A1068" s="1" t="n"/>
      <c r="B1068" s="16" t="n"/>
      <c r="C1068" s="17" t="n"/>
      <c r="D1068" s="18" t="n"/>
      <c r="E1068" s="18" t="n"/>
      <c r="F1068" s="19" t="n"/>
      <c r="G1068" s="19" t="n"/>
      <c r="H1068" s="20" t="n"/>
      <c r="I1068" s="21" t="n"/>
      <c r="J1068" s="22" t="n"/>
      <c r="K1068" s="23" t="n"/>
      <c r="L1068" s="18" t="n"/>
      <c r="M1068" s="24">
        <f>IF(B1068="","",IF(AND(F1068&lt;&gt;"",G1068&lt;&gt;""),MAX(0,ROUND(MOD(G1068-F1068,1)*24-N(H1068)/60,2)),N(I1068)))</f>
        <v/>
      </c>
      <c r="N1068" s="14">
        <f>IF(B1068="","",IF(K1068&lt;&gt;"",K1068,IF(N(IFERROR(INDEX(Projects!$D$6:$D$65,MATCH(D1068,Projects!$B$6:$B$65,0)),""))&gt;0,IFERROR(INDEX(Projects!$D$6:$D$65,MATCH(D1068,Projects!$B$6:$B$65,0)),""),IFERROR(INDEX(Clients!$G$6:$G$45,MATCH(C1068,Clients!$B$6:$B$45,0)),0))))</f>
        <v/>
      </c>
      <c r="O1068" s="14">
        <f>IF(B1068="","",IF(J1068&lt;&gt;"",0,ROUND(M1068*N1068,2)))</f>
        <v/>
      </c>
      <c r="P1068" s="15">
        <f>IF(OR(B1068="",J1068&lt;&gt;""),"",IF(L1068&lt;&gt;"",L1068,IF(COUNTIFS(Invoices!$C$6:$C$305,C1068,Invoices!$E$6:$E$305,"&lt;="&amp;B1068,Invoices!$F$6:$F$305,"&gt;="&amp;B1068)=1,INDEX(Invoices!$B$6:$B$305,SUMIFS(Invoices!$O$6:$O$305,Invoices!$C$6:$C$305,C1068,Invoices!$E$6:$E$305,"&lt;="&amp;B1068,Invoices!$F$6:$F$305,"&gt;="&amp;B1068)),IF(COUNTIFS(Invoices!$C$6:$C$305,C1068,Invoices!$E$6:$E$305,"&lt;="&amp;B1068,Invoices!$F$6:$F$305,"&gt;="&amp;B1068)&gt;1,"Two invoices",""))))</f>
        <v/>
      </c>
      <c r="Q1068" s="15">
        <f>IF(B1068="","",IF(J1068&lt;&gt;"","Not billable",IF(P1068="","To invoice",IF(P1068="Two invoices","Check dates",IF(ISNA(MATCH(P1068,Invoices!$B$6:$B$305,0)),"Check number",IF(INDEX(Invoices!$M$6:$M$305,MATCH(P1068,Invoices!$B$6:$B$305,0))="Paid","Paid",IF(INDEX(Invoices!$M$6:$M$305,MATCH(P1068,Invoices!$B$6:$B$305,0))="Draft","Draft","Invoiced")))))))</f>
        <v/>
      </c>
      <c r="R1068" s="1">
        <f>IF(AND(B1068&lt;&gt;"",P1068&lt;&gt;"",P1068=Invoice!$G$4),B1068+MOD(N(F1068),1)+ROW()/10000000,"")</f>
        <v/>
      </c>
      <c r="S1068">
        <f>IF(R1068="","",IF(D1068="","Other work",D1068)&amp;IF(AND(K1068&lt;&gt;"",E1068&lt;&gt;""),", "&amp;E1068,""))</f>
        <v/>
      </c>
      <c r="T1068">
        <f>IF(R1068="","",IF(COUNTIFS(R$6:R1067,"&gt;0",S$6:S1067,S1068,N$6:N1067,N1068)=0,R1068,""))</f>
        <v/>
      </c>
      <c r="U1068">
        <f>IF(B1068="","",IF(J1068&lt;&gt;"",0,M1068))</f>
        <v/>
      </c>
    </row>
    <row r="1069">
      <c r="A1069" s="1" t="n"/>
      <c r="B1069" s="16" t="n"/>
      <c r="C1069" s="17" t="n"/>
      <c r="D1069" s="18" t="n"/>
      <c r="E1069" s="18" t="n"/>
      <c r="F1069" s="19" t="n"/>
      <c r="G1069" s="19" t="n"/>
      <c r="H1069" s="20" t="n"/>
      <c r="I1069" s="21" t="n"/>
      <c r="J1069" s="22" t="n"/>
      <c r="K1069" s="23" t="n"/>
      <c r="L1069" s="18" t="n"/>
      <c r="M1069" s="24">
        <f>IF(B1069="","",IF(AND(F1069&lt;&gt;"",G1069&lt;&gt;""),MAX(0,ROUND(MOD(G1069-F1069,1)*24-N(H1069)/60,2)),N(I1069)))</f>
        <v/>
      </c>
      <c r="N1069" s="14">
        <f>IF(B1069="","",IF(K1069&lt;&gt;"",K1069,IF(N(IFERROR(INDEX(Projects!$D$6:$D$65,MATCH(D1069,Projects!$B$6:$B$65,0)),""))&gt;0,IFERROR(INDEX(Projects!$D$6:$D$65,MATCH(D1069,Projects!$B$6:$B$65,0)),""),IFERROR(INDEX(Clients!$G$6:$G$45,MATCH(C1069,Clients!$B$6:$B$45,0)),0))))</f>
        <v/>
      </c>
      <c r="O1069" s="14">
        <f>IF(B1069="","",IF(J1069&lt;&gt;"",0,ROUND(M1069*N1069,2)))</f>
        <v/>
      </c>
      <c r="P1069" s="15">
        <f>IF(OR(B1069="",J1069&lt;&gt;""),"",IF(L1069&lt;&gt;"",L1069,IF(COUNTIFS(Invoices!$C$6:$C$305,C1069,Invoices!$E$6:$E$305,"&lt;="&amp;B1069,Invoices!$F$6:$F$305,"&gt;="&amp;B1069)=1,INDEX(Invoices!$B$6:$B$305,SUMIFS(Invoices!$O$6:$O$305,Invoices!$C$6:$C$305,C1069,Invoices!$E$6:$E$305,"&lt;="&amp;B1069,Invoices!$F$6:$F$305,"&gt;="&amp;B1069)),IF(COUNTIFS(Invoices!$C$6:$C$305,C1069,Invoices!$E$6:$E$305,"&lt;="&amp;B1069,Invoices!$F$6:$F$305,"&gt;="&amp;B1069)&gt;1,"Two invoices",""))))</f>
        <v/>
      </c>
      <c r="Q1069" s="15">
        <f>IF(B1069="","",IF(J1069&lt;&gt;"","Not billable",IF(P1069="","To invoice",IF(P1069="Two invoices","Check dates",IF(ISNA(MATCH(P1069,Invoices!$B$6:$B$305,0)),"Check number",IF(INDEX(Invoices!$M$6:$M$305,MATCH(P1069,Invoices!$B$6:$B$305,0))="Paid","Paid",IF(INDEX(Invoices!$M$6:$M$305,MATCH(P1069,Invoices!$B$6:$B$305,0))="Draft","Draft","Invoiced")))))))</f>
        <v/>
      </c>
      <c r="R1069" s="1">
        <f>IF(AND(B1069&lt;&gt;"",P1069&lt;&gt;"",P1069=Invoice!$G$4),B1069+MOD(N(F1069),1)+ROW()/10000000,"")</f>
        <v/>
      </c>
      <c r="S1069">
        <f>IF(R1069="","",IF(D1069="","Other work",D1069)&amp;IF(AND(K1069&lt;&gt;"",E1069&lt;&gt;""),", "&amp;E1069,""))</f>
        <v/>
      </c>
      <c r="T1069">
        <f>IF(R1069="","",IF(COUNTIFS(R$6:R1068,"&gt;0",S$6:S1068,S1069,N$6:N1068,N1069)=0,R1069,""))</f>
        <v/>
      </c>
      <c r="U1069">
        <f>IF(B1069="","",IF(J1069&lt;&gt;"",0,M1069))</f>
        <v/>
      </c>
    </row>
    <row r="1070">
      <c r="A1070" s="1" t="n"/>
      <c r="B1070" s="16" t="n"/>
      <c r="C1070" s="17" t="n"/>
      <c r="D1070" s="18" t="n"/>
      <c r="E1070" s="18" t="n"/>
      <c r="F1070" s="19" t="n"/>
      <c r="G1070" s="19" t="n"/>
      <c r="H1070" s="20" t="n"/>
      <c r="I1070" s="21" t="n"/>
      <c r="J1070" s="22" t="n"/>
      <c r="K1070" s="23" t="n"/>
      <c r="L1070" s="18" t="n"/>
      <c r="M1070" s="24">
        <f>IF(B1070="","",IF(AND(F1070&lt;&gt;"",G1070&lt;&gt;""),MAX(0,ROUND(MOD(G1070-F1070,1)*24-N(H1070)/60,2)),N(I1070)))</f>
        <v/>
      </c>
      <c r="N1070" s="14">
        <f>IF(B1070="","",IF(K1070&lt;&gt;"",K1070,IF(N(IFERROR(INDEX(Projects!$D$6:$D$65,MATCH(D1070,Projects!$B$6:$B$65,0)),""))&gt;0,IFERROR(INDEX(Projects!$D$6:$D$65,MATCH(D1070,Projects!$B$6:$B$65,0)),""),IFERROR(INDEX(Clients!$G$6:$G$45,MATCH(C1070,Clients!$B$6:$B$45,0)),0))))</f>
        <v/>
      </c>
      <c r="O1070" s="14">
        <f>IF(B1070="","",IF(J1070&lt;&gt;"",0,ROUND(M1070*N1070,2)))</f>
        <v/>
      </c>
      <c r="P1070" s="15">
        <f>IF(OR(B1070="",J1070&lt;&gt;""),"",IF(L1070&lt;&gt;"",L1070,IF(COUNTIFS(Invoices!$C$6:$C$305,C1070,Invoices!$E$6:$E$305,"&lt;="&amp;B1070,Invoices!$F$6:$F$305,"&gt;="&amp;B1070)=1,INDEX(Invoices!$B$6:$B$305,SUMIFS(Invoices!$O$6:$O$305,Invoices!$C$6:$C$305,C1070,Invoices!$E$6:$E$305,"&lt;="&amp;B1070,Invoices!$F$6:$F$305,"&gt;="&amp;B1070)),IF(COUNTIFS(Invoices!$C$6:$C$305,C1070,Invoices!$E$6:$E$305,"&lt;="&amp;B1070,Invoices!$F$6:$F$305,"&gt;="&amp;B1070)&gt;1,"Two invoices",""))))</f>
        <v/>
      </c>
      <c r="Q1070" s="15">
        <f>IF(B1070="","",IF(J1070&lt;&gt;"","Not billable",IF(P1070="","To invoice",IF(P1070="Two invoices","Check dates",IF(ISNA(MATCH(P1070,Invoices!$B$6:$B$305,0)),"Check number",IF(INDEX(Invoices!$M$6:$M$305,MATCH(P1070,Invoices!$B$6:$B$305,0))="Paid","Paid",IF(INDEX(Invoices!$M$6:$M$305,MATCH(P1070,Invoices!$B$6:$B$305,0))="Draft","Draft","Invoiced")))))))</f>
        <v/>
      </c>
      <c r="R1070" s="1">
        <f>IF(AND(B1070&lt;&gt;"",P1070&lt;&gt;"",P1070=Invoice!$G$4),B1070+MOD(N(F1070),1)+ROW()/10000000,"")</f>
        <v/>
      </c>
      <c r="S1070">
        <f>IF(R1070="","",IF(D1070="","Other work",D1070)&amp;IF(AND(K1070&lt;&gt;"",E1070&lt;&gt;""),", "&amp;E1070,""))</f>
        <v/>
      </c>
      <c r="T1070">
        <f>IF(R1070="","",IF(COUNTIFS(R$6:R1069,"&gt;0",S$6:S1069,S1070,N$6:N1069,N1070)=0,R1070,""))</f>
        <v/>
      </c>
      <c r="U1070">
        <f>IF(B1070="","",IF(J1070&lt;&gt;"",0,M1070))</f>
        <v/>
      </c>
    </row>
    <row r="1071">
      <c r="A1071" s="1" t="n"/>
      <c r="B1071" s="16" t="n"/>
      <c r="C1071" s="17" t="n"/>
      <c r="D1071" s="18" t="n"/>
      <c r="E1071" s="18" t="n"/>
      <c r="F1071" s="19" t="n"/>
      <c r="G1071" s="19" t="n"/>
      <c r="H1071" s="20" t="n"/>
      <c r="I1071" s="21" t="n"/>
      <c r="J1071" s="22" t="n"/>
      <c r="K1071" s="23" t="n"/>
      <c r="L1071" s="18" t="n"/>
      <c r="M1071" s="24">
        <f>IF(B1071="","",IF(AND(F1071&lt;&gt;"",G1071&lt;&gt;""),MAX(0,ROUND(MOD(G1071-F1071,1)*24-N(H1071)/60,2)),N(I1071)))</f>
        <v/>
      </c>
      <c r="N1071" s="14">
        <f>IF(B1071="","",IF(K1071&lt;&gt;"",K1071,IF(N(IFERROR(INDEX(Projects!$D$6:$D$65,MATCH(D1071,Projects!$B$6:$B$65,0)),""))&gt;0,IFERROR(INDEX(Projects!$D$6:$D$65,MATCH(D1071,Projects!$B$6:$B$65,0)),""),IFERROR(INDEX(Clients!$G$6:$G$45,MATCH(C1071,Clients!$B$6:$B$45,0)),0))))</f>
        <v/>
      </c>
      <c r="O1071" s="14">
        <f>IF(B1071="","",IF(J1071&lt;&gt;"",0,ROUND(M1071*N1071,2)))</f>
        <v/>
      </c>
      <c r="P1071" s="15">
        <f>IF(OR(B1071="",J1071&lt;&gt;""),"",IF(L1071&lt;&gt;"",L1071,IF(COUNTIFS(Invoices!$C$6:$C$305,C1071,Invoices!$E$6:$E$305,"&lt;="&amp;B1071,Invoices!$F$6:$F$305,"&gt;="&amp;B1071)=1,INDEX(Invoices!$B$6:$B$305,SUMIFS(Invoices!$O$6:$O$305,Invoices!$C$6:$C$305,C1071,Invoices!$E$6:$E$305,"&lt;="&amp;B1071,Invoices!$F$6:$F$305,"&gt;="&amp;B1071)),IF(COUNTIFS(Invoices!$C$6:$C$305,C1071,Invoices!$E$6:$E$305,"&lt;="&amp;B1071,Invoices!$F$6:$F$305,"&gt;="&amp;B1071)&gt;1,"Two invoices",""))))</f>
        <v/>
      </c>
      <c r="Q1071" s="15">
        <f>IF(B1071="","",IF(J1071&lt;&gt;"","Not billable",IF(P1071="","To invoice",IF(P1071="Two invoices","Check dates",IF(ISNA(MATCH(P1071,Invoices!$B$6:$B$305,0)),"Check number",IF(INDEX(Invoices!$M$6:$M$305,MATCH(P1071,Invoices!$B$6:$B$305,0))="Paid","Paid",IF(INDEX(Invoices!$M$6:$M$305,MATCH(P1071,Invoices!$B$6:$B$305,0))="Draft","Draft","Invoiced")))))))</f>
        <v/>
      </c>
      <c r="R1071" s="1">
        <f>IF(AND(B1071&lt;&gt;"",P1071&lt;&gt;"",P1071=Invoice!$G$4),B1071+MOD(N(F1071),1)+ROW()/10000000,"")</f>
        <v/>
      </c>
      <c r="S1071">
        <f>IF(R1071="","",IF(D1071="","Other work",D1071)&amp;IF(AND(K1071&lt;&gt;"",E1071&lt;&gt;""),", "&amp;E1071,""))</f>
        <v/>
      </c>
      <c r="T1071">
        <f>IF(R1071="","",IF(COUNTIFS(R$6:R1070,"&gt;0",S$6:S1070,S1071,N$6:N1070,N1071)=0,R1071,""))</f>
        <v/>
      </c>
      <c r="U1071">
        <f>IF(B1071="","",IF(J1071&lt;&gt;"",0,M1071))</f>
        <v/>
      </c>
    </row>
    <row r="1072">
      <c r="A1072" s="1" t="n"/>
      <c r="B1072" s="16" t="n"/>
      <c r="C1072" s="17" t="n"/>
      <c r="D1072" s="18" t="n"/>
      <c r="E1072" s="18" t="n"/>
      <c r="F1072" s="19" t="n"/>
      <c r="G1072" s="19" t="n"/>
      <c r="H1072" s="20" t="n"/>
      <c r="I1072" s="21" t="n"/>
      <c r="J1072" s="22" t="n"/>
      <c r="K1072" s="23" t="n"/>
      <c r="L1072" s="18" t="n"/>
      <c r="M1072" s="24">
        <f>IF(B1072="","",IF(AND(F1072&lt;&gt;"",G1072&lt;&gt;""),MAX(0,ROUND(MOD(G1072-F1072,1)*24-N(H1072)/60,2)),N(I1072)))</f>
        <v/>
      </c>
      <c r="N1072" s="14">
        <f>IF(B1072="","",IF(K1072&lt;&gt;"",K1072,IF(N(IFERROR(INDEX(Projects!$D$6:$D$65,MATCH(D1072,Projects!$B$6:$B$65,0)),""))&gt;0,IFERROR(INDEX(Projects!$D$6:$D$65,MATCH(D1072,Projects!$B$6:$B$65,0)),""),IFERROR(INDEX(Clients!$G$6:$G$45,MATCH(C1072,Clients!$B$6:$B$45,0)),0))))</f>
        <v/>
      </c>
      <c r="O1072" s="14">
        <f>IF(B1072="","",IF(J1072&lt;&gt;"",0,ROUND(M1072*N1072,2)))</f>
        <v/>
      </c>
      <c r="P1072" s="15">
        <f>IF(OR(B1072="",J1072&lt;&gt;""),"",IF(L1072&lt;&gt;"",L1072,IF(COUNTIFS(Invoices!$C$6:$C$305,C1072,Invoices!$E$6:$E$305,"&lt;="&amp;B1072,Invoices!$F$6:$F$305,"&gt;="&amp;B1072)=1,INDEX(Invoices!$B$6:$B$305,SUMIFS(Invoices!$O$6:$O$305,Invoices!$C$6:$C$305,C1072,Invoices!$E$6:$E$305,"&lt;="&amp;B1072,Invoices!$F$6:$F$305,"&gt;="&amp;B1072)),IF(COUNTIFS(Invoices!$C$6:$C$305,C1072,Invoices!$E$6:$E$305,"&lt;="&amp;B1072,Invoices!$F$6:$F$305,"&gt;="&amp;B1072)&gt;1,"Two invoices",""))))</f>
        <v/>
      </c>
      <c r="Q1072" s="15">
        <f>IF(B1072="","",IF(J1072&lt;&gt;"","Not billable",IF(P1072="","To invoice",IF(P1072="Two invoices","Check dates",IF(ISNA(MATCH(P1072,Invoices!$B$6:$B$305,0)),"Check number",IF(INDEX(Invoices!$M$6:$M$305,MATCH(P1072,Invoices!$B$6:$B$305,0))="Paid","Paid",IF(INDEX(Invoices!$M$6:$M$305,MATCH(P1072,Invoices!$B$6:$B$305,0))="Draft","Draft","Invoiced")))))))</f>
        <v/>
      </c>
      <c r="R1072" s="1">
        <f>IF(AND(B1072&lt;&gt;"",P1072&lt;&gt;"",P1072=Invoice!$G$4),B1072+MOD(N(F1072),1)+ROW()/10000000,"")</f>
        <v/>
      </c>
      <c r="S1072">
        <f>IF(R1072="","",IF(D1072="","Other work",D1072)&amp;IF(AND(K1072&lt;&gt;"",E1072&lt;&gt;""),", "&amp;E1072,""))</f>
        <v/>
      </c>
      <c r="T1072">
        <f>IF(R1072="","",IF(COUNTIFS(R$6:R1071,"&gt;0",S$6:S1071,S1072,N$6:N1071,N1072)=0,R1072,""))</f>
        <v/>
      </c>
      <c r="U1072">
        <f>IF(B1072="","",IF(J1072&lt;&gt;"",0,M1072))</f>
        <v/>
      </c>
    </row>
    <row r="1073">
      <c r="A1073" s="1" t="n"/>
      <c r="B1073" s="16" t="n"/>
      <c r="C1073" s="17" t="n"/>
      <c r="D1073" s="18" t="n"/>
      <c r="E1073" s="18" t="n"/>
      <c r="F1073" s="19" t="n"/>
      <c r="G1073" s="19" t="n"/>
      <c r="H1073" s="20" t="n"/>
      <c r="I1073" s="21" t="n"/>
      <c r="J1073" s="22" t="n"/>
      <c r="K1073" s="23" t="n"/>
      <c r="L1073" s="18" t="n"/>
      <c r="M1073" s="24">
        <f>IF(B1073="","",IF(AND(F1073&lt;&gt;"",G1073&lt;&gt;""),MAX(0,ROUND(MOD(G1073-F1073,1)*24-N(H1073)/60,2)),N(I1073)))</f>
        <v/>
      </c>
      <c r="N1073" s="14">
        <f>IF(B1073="","",IF(K1073&lt;&gt;"",K1073,IF(N(IFERROR(INDEX(Projects!$D$6:$D$65,MATCH(D1073,Projects!$B$6:$B$65,0)),""))&gt;0,IFERROR(INDEX(Projects!$D$6:$D$65,MATCH(D1073,Projects!$B$6:$B$65,0)),""),IFERROR(INDEX(Clients!$G$6:$G$45,MATCH(C1073,Clients!$B$6:$B$45,0)),0))))</f>
        <v/>
      </c>
      <c r="O1073" s="14">
        <f>IF(B1073="","",IF(J1073&lt;&gt;"",0,ROUND(M1073*N1073,2)))</f>
        <v/>
      </c>
      <c r="P1073" s="15">
        <f>IF(OR(B1073="",J1073&lt;&gt;""),"",IF(L1073&lt;&gt;"",L1073,IF(COUNTIFS(Invoices!$C$6:$C$305,C1073,Invoices!$E$6:$E$305,"&lt;="&amp;B1073,Invoices!$F$6:$F$305,"&gt;="&amp;B1073)=1,INDEX(Invoices!$B$6:$B$305,SUMIFS(Invoices!$O$6:$O$305,Invoices!$C$6:$C$305,C1073,Invoices!$E$6:$E$305,"&lt;="&amp;B1073,Invoices!$F$6:$F$305,"&gt;="&amp;B1073)),IF(COUNTIFS(Invoices!$C$6:$C$305,C1073,Invoices!$E$6:$E$305,"&lt;="&amp;B1073,Invoices!$F$6:$F$305,"&gt;="&amp;B1073)&gt;1,"Two invoices",""))))</f>
        <v/>
      </c>
      <c r="Q1073" s="15">
        <f>IF(B1073="","",IF(J1073&lt;&gt;"","Not billable",IF(P1073="","To invoice",IF(P1073="Two invoices","Check dates",IF(ISNA(MATCH(P1073,Invoices!$B$6:$B$305,0)),"Check number",IF(INDEX(Invoices!$M$6:$M$305,MATCH(P1073,Invoices!$B$6:$B$305,0))="Paid","Paid",IF(INDEX(Invoices!$M$6:$M$305,MATCH(P1073,Invoices!$B$6:$B$305,0))="Draft","Draft","Invoiced")))))))</f>
        <v/>
      </c>
      <c r="R1073" s="1">
        <f>IF(AND(B1073&lt;&gt;"",P1073&lt;&gt;"",P1073=Invoice!$G$4),B1073+MOD(N(F1073),1)+ROW()/10000000,"")</f>
        <v/>
      </c>
      <c r="S1073">
        <f>IF(R1073="","",IF(D1073="","Other work",D1073)&amp;IF(AND(K1073&lt;&gt;"",E1073&lt;&gt;""),", "&amp;E1073,""))</f>
        <v/>
      </c>
      <c r="T1073">
        <f>IF(R1073="","",IF(COUNTIFS(R$6:R1072,"&gt;0",S$6:S1072,S1073,N$6:N1072,N1073)=0,R1073,""))</f>
        <v/>
      </c>
      <c r="U1073">
        <f>IF(B1073="","",IF(J1073&lt;&gt;"",0,M1073))</f>
        <v/>
      </c>
    </row>
    <row r="1074">
      <c r="A1074" s="1" t="n"/>
      <c r="B1074" s="16" t="n"/>
      <c r="C1074" s="17" t="n"/>
      <c r="D1074" s="18" t="n"/>
      <c r="E1074" s="18" t="n"/>
      <c r="F1074" s="19" t="n"/>
      <c r="G1074" s="19" t="n"/>
      <c r="H1074" s="20" t="n"/>
      <c r="I1074" s="21" t="n"/>
      <c r="J1074" s="22" t="n"/>
      <c r="K1074" s="23" t="n"/>
      <c r="L1074" s="18" t="n"/>
      <c r="M1074" s="24">
        <f>IF(B1074="","",IF(AND(F1074&lt;&gt;"",G1074&lt;&gt;""),MAX(0,ROUND(MOD(G1074-F1074,1)*24-N(H1074)/60,2)),N(I1074)))</f>
        <v/>
      </c>
      <c r="N1074" s="14">
        <f>IF(B1074="","",IF(K1074&lt;&gt;"",K1074,IF(N(IFERROR(INDEX(Projects!$D$6:$D$65,MATCH(D1074,Projects!$B$6:$B$65,0)),""))&gt;0,IFERROR(INDEX(Projects!$D$6:$D$65,MATCH(D1074,Projects!$B$6:$B$65,0)),""),IFERROR(INDEX(Clients!$G$6:$G$45,MATCH(C1074,Clients!$B$6:$B$45,0)),0))))</f>
        <v/>
      </c>
      <c r="O1074" s="14">
        <f>IF(B1074="","",IF(J1074&lt;&gt;"",0,ROUND(M1074*N1074,2)))</f>
        <v/>
      </c>
      <c r="P1074" s="15">
        <f>IF(OR(B1074="",J1074&lt;&gt;""),"",IF(L1074&lt;&gt;"",L1074,IF(COUNTIFS(Invoices!$C$6:$C$305,C1074,Invoices!$E$6:$E$305,"&lt;="&amp;B1074,Invoices!$F$6:$F$305,"&gt;="&amp;B1074)=1,INDEX(Invoices!$B$6:$B$305,SUMIFS(Invoices!$O$6:$O$305,Invoices!$C$6:$C$305,C1074,Invoices!$E$6:$E$305,"&lt;="&amp;B1074,Invoices!$F$6:$F$305,"&gt;="&amp;B1074)),IF(COUNTIFS(Invoices!$C$6:$C$305,C1074,Invoices!$E$6:$E$305,"&lt;="&amp;B1074,Invoices!$F$6:$F$305,"&gt;="&amp;B1074)&gt;1,"Two invoices",""))))</f>
        <v/>
      </c>
      <c r="Q1074" s="15">
        <f>IF(B1074="","",IF(J1074&lt;&gt;"","Not billable",IF(P1074="","To invoice",IF(P1074="Two invoices","Check dates",IF(ISNA(MATCH(P1074,Invoices!$B$6:$B$305,0)),"Check number",IF(INDEX(Invoices!$M$6:$M$305,MATCH(P1074,Invoices!$B$6:$B$305,0))="Paid","Paid",IF(INDEX(Invoices!$M$6:$M$305,MATCH(P1074,Invoices!$B$6:$B$305,0))="Draft","Draft","Invoiced")))))))</f>
        <v/>
      </c>
      <c r="R1074" s="1">
        <f>IF(AND(B1074&lt;&gt;"",P1074&lt;&gt;"",P1074=Invoice!$G$4),B1074+MOD(N(F1074),1)+ROW()/10000000,"")</f>
        <v/>
      </c>
      <c r="S1074">
        <f>IF(R1074="","",IF(D1074="","Other work",D1074)&amp;IF(AND(K1074&lt;&gt;"",E1074&lt;&gt;""),", "&amp;E1074,""))</f>
        <v/>
      </c>
      <c r="T1074">
        <f>IF(R1074="","",IF(COUNTIFS(R$6:R1073,"&gt;0",S$6:S1073,S1074,N$6:N1073,N1074)=0,R1074,""))</f>
        <v/>
      </c>
      <c r="U1074">
        <f>IF(B1074="","",IF(J1074&lt;&gt;"",0,M1074))</f>
        <v/>
      </c>
    </row>
    <row r="1075">
      <c r="A1075" s="1" t="n"/>
      <c r="B1075" s="16" t="n"/>
      <c r="C1075" s="17" t="n"/>
      <c r="D1075" s="18" t="n"/>
      <c r="E1075" s="18" t="n"/>
      <c r="F1075" s="19" t="n"/>
      <c r="G1075" s="19" t="n"/>
      <c r="H1075" s="20" t="n"/>
      <c r="I1075" s="21" t="n"/>
      <c r="J1075" s="22" t="n"/>
      <c r="K1075" s="23" t="n"/>
      <c r="L1075" s="18" t="n"/>
      <c r="M1075" s="24">
        <f>IF(B1075="","",IF(AND(F1075&lt;&gt;"",G1075&lt;&gt;""),MAX(0,ROUND(MOD(G1075-F1075,1)*24-N(H1075)/60,2)),N(I1075)))</f>
        <v/>
      </c>
      <c r="N1075" s="14">
        <f>IF(B1075="","",IF(K1075&lt;&gt;"",K1075,IF(N(IFERROR(INDEX(Projects!$D$6:$D$65,MATCH(D1075,Projects!$B$6:$B$65,0)),""))&gt;0,IFERROR(INDEX(Projects!$D$6:$D$65,MATCH(D1075,Projects!$B$6:$B$65,0)),""),IFERROR(INDEX(Clients!$G$6:$G$45,MATCH(C1075,Clients!$B$6:$B$45,0)),0))))</f>
        <v/>
      </c>
      <c r="O1075" s="14">
        <f>IF(B1075="","",IF(J1075&lt;&gt;"",0,ROUND(M1075*N1075,2)))</f>
        <v/>
      </c>
      <c r="P1075" s="15">
        <f>IF(OR(B1075="",J1075&lt;&gt;""),"",IF(L1075&lt;&gt;"",L1075,IF(COUNTIFS(Invoices!$C$6:$C$305,C1075,Invoices!$E$6:$E$305,"&lt;="&amp;B1075,Invoices!$F$6:$F$305,"&gt;="&amp;B1075)=1,INDEX(Invoices!$B$6:$B$305,SUMIFS(Invoices!$O$6:$O$305,Invoices!$C$6:$C$305,C1075,Invoices!$E$6:$E$305,"&lt;="&amp;B1075,Invoices!$F$6:$F$305,"&gt;="&amp;B1075)),IF(COUNTIFS(Invoices!$C$6:$C$305,C1075,Invoices!$E$6:$E$305,"&lt;="&amp;B1075,Invoices!$F$6:$F$305,"&gt;="&amp;B1075)&gt;1,"Two invoices",""))))</f>
        <v/>
      </c>
      <c r="Q1075" s="15">
        <f>IF(B1075="","",IF(J1075&lt;&gt;"","Not billable",IF(P1075="","To invoice",IF(P1075="Two invoices","Check dates",IF(ISNA(MATCH(P1075,Invoices!$B$6:$B$305,0)),"Check number",IF(INDEX(Invoices!$M$6:$M$305,MATCH(P1075,Invoices!$B$6:$B$305,0))="Paid","Paid",IF(INDEX(Invoices!$M$6:$M$305,MATCH(P1075,Invoices!$B$6:$B$305,0))="Draft","Draft","Invoiced")))))))</f>
        <v/>
      </c>
      <c r="R1075" s="1">
        <f>IF(AND(B1075&lt;&gt;"",P1075&lt;&gt;"",P1075=Invoice!$G$4),B1075+MOD(N(F1075),1)+ROW()/10000000,"")</f>
        <v/>
      </c>
      <c r="S1075">
        <f>IF(R1075="","",IF(D1075="","Other work",D1075)&amp;IF(AND(K1075&lt;&gt;"",E1075&lt;&gt;""),", "&amp;E1075,""))</f>
        <v/>
      </c>
      <c r="T1075">
        <f>IF(R1075="","",IF(COUNTIFS(R$6:R1074,"&gt;0",S$6:S1074,S1075,N$6:N1074,N1075)=0,R1075,""))</f>
        <v/>
      </c>
      <c r="U1075">
        <f>IF(B1075="","",IF(J1075&lt;&gt;"",0,M1075))</f>
        <v/>
      </c>
    </row>
    <row r="1076">
      <c r="A1076" s="1" t="n"/>
      <c r="B1076" s="16" t="n"/>
      <c r="C1076" s="17" t="n"/>
      <c r="D1076" s="18" t="n"/>
      <c r="E1076" s="18" t="n"/>
      <c r="F1076" s="19" t="n"/>
      <c r="G1076" s="19" t="n"/>
      <c r="H1076" s="20" t="n"/>
      <c r="I1076" s="21" t="n"/>
      <c r="J1076" s="22" t="n"/>
      <c r="K1076" s="23" t="n"/>
      <c r="L1076" s="18" t="n"/>
      <c r="M1076" s="24">
        <f>IF(B1076="","",IF(AND(F1076&lt;&gt;"",G1076&lt;&gt;""),MAX(0,ROUND(MOD(G1076-F1076,1)*24-N(H1076)/60,2)),N(I1076)))</f>
        <v/>
      </c>
      <c r="N1076" s="14">
        <f>IF(B1076="","",IF(K1076&lt;&gt;"",K1076,IF(N(IFERROR(INDEX(Projects!$D$6:$D$65,MATCH(D1076,Projects!$B$6:$B$65,0)),""))&gt;0,IFERROR(INDEX(Projects!$D$6:$D$65,MATCH(D1076,Projects!$B$6:$B$65,0)),""),IFERROR(INDEX(Clients!$G$6:$G$45,MATCH(C1076,Clients!$B$6:$B$45,0)),0))))</f>
        <v/>
      </c>
      <c r="O1076" s="14">
        <f>IF(B1076="","",IF(J1076&lt;&gt;"",0,ROUND(M1076*N1076,2)))</f>
        <v/>
      </c>
      <c r="P1076" s="15">
        <f>IF(OR(B1076="",J1076&lt;&gt;""),"",IF(L1076&lt;&gt;"",L1076,IF(COUNTIFS(Invoices!$C$6:$C$305,C1076,Invoices!$E$6:$E$305,"&lt;="&amp;B1076,Invoices!$F$6:$F$305,"&gt;="&amp;B1076)=1,INDEX(Invoices!$B$6:$B$305,SUMIFS(Invoices!$O$6:$O$305,Invoices!$C$6:$C$305,C1076,Invoices!$E$6:$E$305,"&lt;="&amp;B1076,Invoices!$F$6:$F$305,"&gt;="&amp;B1076)),IF(COUNTIFS(Invoices!$C$6:$C$305,C1076,Invoices!$E$6:$E$305,"&lt;="&amp;B1076,Invoices!$F$6:$F$305,"&gt;="&amp;B1076)&gt;1,"Two invoices",""))))</f>
        <v/>
      </c>
      <c r="Q1076" s="15">
        <f>IF(B1076="","",IF(J1076&lt;&gt;"","Not billable",IF(P1076="","To invoice",IF(P1076="Two invoices","Check dates",IF(ISNA(MATCH(P1076,Invoices!$B$6:$B$305,0)),"Check number",IF(INDEX(Invoices!$M$6:$M$305,MATCH(P1076,Invoices!$B$6:$B$305,0))="Paid","Paid",IF(INDEX(Invoices!$M$6:$M$305,MATCH(P1076,Invoices!$B$6:$B$305,0))="Draft","Draft","Invoiced")))))))</f>
        <v/>
      </c>
      <c r="R1076" s="1">
        <f>IF(AND(B1076&lt;&gt;"",P1076&lt;&gt;"",P1076=Invoice!$G$4),B1076+MOD(N(F1076),1)+ROW()/10000000,"")</f>
        <v/>
      </c>
      <c r="S1076">
        <f>IF(R1076="","",IF(D1076="","Other work",D1076)&amp;IF(AND(K1076&lt;&gt;"",E1076&lt;&gt;""),", "&amp;E1076,""))</f>
        <v/>
      </c>
      <c r="T1076">
        <f>IF(R1076="","",IF(COUNTIFS(R$6:R1075,"&gt;0",S$6:S1075,S1076,N$6:N1075,N1076)=0,R1076,""))</f>
        <v/>
      </c>
      <c r="U1076">
        <f>IF(B1076="","",IF(J1076&lt;&gt;"",0,M1076))</f>
        <v/>
      </c>
    </row>
    <row r="1077">
      <c r="A1077" s="1" t="n"/>
      <c r="B1077" s="16" t="n"/>
      <c r="C1077" s="17" t="n"/>
      <c r="D1077" s="18" t="n"/>
      <c r="E1077" s="18" t="n"/>
      <c r="F1077" s="19" t="n"/>
      <c r="G1077" s="19" t="n"/>
      <c r="H1077" s="20" t="n"/>
      <c r="I1077" s="21" t="n"/>
      <c r="J1077" s="22" t="n"/>
      <c r="K1077" s="23" t="n"/>
      <c r="L1077" s="18" t="n"/>
      <c r="M1077" s="24">
        <f>IF(B1077="","",IF(AND(F1077&lt;&gt;"",G1077&lt;&gt;""),MAX(0,ROUND(MOD(G1077-F1077,1)*24-N(H1077)/60,2)),N(I1077)))</f>
        <v/>
      </c>
      <c r="N1077" s="14">
        <f>IF(B1077="","",IF(K1077&lt;&gt;"",K1077,IF(N(IFERROR(INDEX(Projects!$D$6:$D$65,MATCH(D1077,Projects!$B$6:$B$65,0)),""))&gt;0,IFERROR(INDEX(Projects!$D$6:$D$65,MATCH(D1077,Projects!$B$6:$B$65,0)),""),IFERROR(INDEX(Clients!$G$6:$G$45,MATCH(C1077,Clients!$B$6:$B$45,0)),0))))</f>
        <v/>
      </c>
      <c r="O1077" s="14">
        <f>IF(B1077="","",IF(J1077&lt;&gt;"",0,ROUND(M1077*N1077,2)))</f>
        <v/>
      </c>
      <c r="P1077" s="15">
        <f>IF(OR(B1077="",J1077&lt;&gt;""),"",IF(L1077&lt;&gt;"",L1077,IF(COUNTIFS(Invoices!$C$6:$C$305,C1077,Invoices!$E$6:$E$305,"&lt;="&amp;B1077,Invoices!$F$6:$F$305,"&gt;="&amp;B1077)=1,INDEX(Invoices!$B$6:$B$305,SUMIFS(Invoices!$O$6:$O$305,Invoices!$C$6:$C$305,C1077,Invoices!$E$6:$E$305,"&lt;="&amp;B1077,Invoices!$F$6:$F$305,"&gt;="&amp;B1077)),IF(COUNTIFS(Invoices!$C$6:$C$305,C1077,Invoices!$E$6:$E$305,"&lt;="&amp;B1077,Invoices!$F$6:$F$305,"&gt;="&amp;B1077)&gt;1,"Two invoices",""))))</f>
        <v/>
      </c>
      <c r="Q1077" s="15">
        <f>IF(B1077="","",IF(J1077&lt;&gt;"","Not billable",IF(P1077="","To invoice",IF(P1077="Two invoices","Check dates",IF(ISNA(MATCH(P1077,Invoices!$B$6:$B$305,0)),"Check number",IF(INDEX(Invoices!$M$6:$M$305,MATCH(P1077,Invoices!$B$6:$B$305,0))="Paid","Paid",IF(INDEX(Invoices!$M$6:$M$305,MATCH(P1077,Invoices!$B$6:$B$305,0))="Draft","Draft","Invoiced")))))))</f>
        <v/>
      </c>
      <c r="R1077" s="1">
        <f>IF(AND(B1077&lt;&gt;"",P1077&lt;&gt;"",P1077=Invoice!$G$4),B1077+MOD(N(F1077),1)+ROW()/10000000,"")</f>
        <v/>
      </c>
      <c r="S1077">
        <f>IF(R1077="","",IF(D1077="","Other work",D1077)&amp;IF(AND(K1077&lt;&gt;"",E1077&lt;&gt;""),", "&amp;E1077,""))</f>
        <v/>
      </c>
      <c r="T1077">
        <f>IF(R1077="","",IF(COUNTIFS(R$6:R1076,"&gt;0",S$6:S1076,S1077,N$6:N1076,N1077)=0,R1077,""))</f>
        <v/>
      </c>
      <c r="U1077">
        <f>IF(B1077="","",IF(J1077&lt;&gt;"",0,M1077))</f>
        <v/>
      </c>
    </row>
    <row r="1078">
      <c r="A1078" s="1" t="n"/>
      <c r="B1078" s="16" t="n"/>
      <c r="C1078" s="17" t="n"/>
      <c r="D1078" s="18" t="n"/>
      <c r="E1078" s="18" t="n"/>
      <c r="F1078" s="19" t="n"/>
      <c r="G1078" s="19" t="n"/>
      <c r="H1078" s="20" t="n"/>
      <c r="I1078" s="21" t="n"/>
      <c r="J1078" s="22" t="n"/>
      <c r="K1078" s="23" t="n"/>
      <c r="L1078" s="18" t="n"/>
      <c r="M1078" s="24">
        <f>IF(B1078="","",IF(AND(F1078&lt;&gt;"",G1078&lt;&gt;""),MAX(0,ROUND(MOD(G1078-F1078,1)*24-N(H1078)/60,2)),N(I1078)))</f>
        <v/>
      </c>
      <c r="N1078" s="14">
        <f>IF(B1078="","",IF(K1078&lt;&gt;"",K1078,IF(N(IFERROR(INDEX(Projects!$D$6:$D$65,MATCH(D1078,Projects!$B$6:$B$65,0)),""))&gt;0,IFERROR(INDEX(Projects!$D$6:$D$65,MATCH(D1078,Projects!$B$6:$B$65,0)),""),IFERROR(INDEX(Clients!$G$6:$G$45,MATCH(C1078,Clients!$B$6:$B$45,0)),0))))</f>
        <v/>
      </c>
      <c r="O1078" s="14">
        <f>IF(B1078="","",IF(J1078&lt;&gt;"",0,ROUND(M1078*N1078,2)))</f>
        <v/>
      </c>
      <c r="P1078" s="15">
        <f>IF(OR(B1078="",J1078&lt;&gt;""),"",IF(L1078&lt;&gt;"",L1078,IF(COUNTIFS(Invoices!$C$6:$C$305,C1078,Invoices!$E$6:$E$305,"&lt;="&amp;B1078,Invoices!$F$6:$F$305,"&gt;="&amp;B1078)=1,INDEX(Invoices!$B$6:$B$305,SUMIFS(Invoices!$O$6:$O$305,Invoices!$C$6:$C$305,C1078,Invoices!$E$6:$E$305,"&lt;="&amp;B1078,Invoices!$F$6:$F$305,"&gt;="&amp;B1078)),IF(COUNTIFS(Invoices!$C$6:$C$305,C1078,Invoices!$E$6:$E$305,"&lt;="&amp;B1078,Invoices!$F$6:$F$305,"&gt;="&amp;B1078)&gt;1,"Two invoices",""))))</f>
        <v/>
      </c>
      <c r="Q1078" s="15">
        <f>IF(B1078="","",IF(J1078&lt;&gt;"","Not billable",IF(P1078="","To invoice",IF(P1078="Two invoices","Check dates",IF(ISNA(MATCH(P1078,Invoices!$B$6:$B$305,0)),"Check number",IF(INDEX(Invoices!$M$6:$M$305,MATCH(P1078,Invoices!$B$6:$B$305,0))="Paid","Paid",IF(INDEX(Invoices!$M$6:$M$305,MATCH(P1078,Invoices!$B$6:$B$305,0))="Draft","Draft","Invoiced")))))))</f>
        <v/>
      </c>
      <c r="R1078" s="1">
        <f>IF(AND(B1078&lt;&gt;"",P1078&lt;&gt;"",P1078=Invoice!$G$4),B1078+MOD(N(F1078),1)+ROW()/10000000,"")</f>
        <v/>
      </c>
      <c r="S1078">
        <f>IF(R1078="","",IF(D1078="","Other work",D1078)&amp;IF(AND(K1078&lt;&gt;"",E1078&lt;&gt;""),", "&amp;E1078,""))</f>
        <v/>
      </c>
      <c r="T1078">
        <f>IF(R1078="","",IF(COUNTIFS(R$6:R1077,"&gt;0",S$6:S1077,S1078,N$6:N1077,N1078)=0,R1078,""))</f>
        <v/>
      </c>
      <c r="U1078">
        <f>IF(B1078="","",IF(J1078&lt;&gt;"",0,M1078))</f>
        <v/>
      </c>
    </row>
    <row r="1079">
      <c r="A1079" s="1" t="n"/>
      <c r="B1079" s="16" t="n"/>
      <c r="C1079" s="17" t="n"/>
      <c r="D1079" s="18" t="n"/>
      <c r="E1079" s="18" t="n"/>
      <c r="F1079" s="19" t="n"/>
      <c r="G1079" s="19" t="n"/>
      <c r="H1079" s="20" t="n"/>
      <c r="I1079" s="21" t="n"/>
      <c r="J1079" s="22" t="n"/>
      <c r="K1079" s="23" t="n"/>
      <c r="L1079" s="18" t="n"/>
      <c r="M1079" s="24">
        <f>IF(B1079="","",IF(AND(F1079&lt;&gt;"",G1079&lt;&gt;""),MAX(0,ROUND(MOD(G1079-F1079,1)*24-N(H1079)/60,2)),N(I1079)))</f>
        <v/>
      </c>
      <c r="N1079" s="14">
        <f>IF(B1079="","",IF(K1079&lt;&gt;"",K1079,IF(N(IFERROR(INDEX(Projects!$D$6:$D$65,MATCH(D1079,Projects!$B$6:$B$65,0)),""))&gt;0,IFERROR(INDEX(Projects!$D$6:$D$65,MATCH(D1079,Projects!$B$6:$B$65,0)),""),IFERROR(INDEX(Clients!$G$6:$G$45,MATCH(C1079,Clients!$B$6:$B$45,0)),0))))</f>
        <v/>
      </c>
      <c r="O1079" s="14">
        <f>IF(B1079="","",IF(J1079&lt;&gt;"",0,ROUND(M1079*N1079,2)))</f>
        <v/>
      </c>
      <c r="P1079" s="15">
        <f>IF(OR(B1079="",J1079&lt;&gt;""),"",IF(L1079&lt;&gt;"",L1079,IF(COUNTIFS(Invoices!$C$6:$C$305,C1079,Invoices!$E$6:$E$305,"&lt;="&amp;B1079,Invoices!$F$6:$F$305,"&gt;="&amp;B1079)=1,INDEX(Invoices!$B$6:$B$305,SUMIFS(Invoices!$O$6:$O$305,Invoices!$C$6:$C$305,C1079,Invoices!$E$6:$E$305,"&lt;="&amp;B1079,Invoices!$F$6:$F$305,"&gt;="&amp;B1079)),IF(COUNTIFS(Invoices!$C$6:$C$305,C1079,Invoices!$E$6:$E$305,"&lt;="&amp;B1079,Invoices!$F$6:$F$305,"&gt;="&amp;B1079)&gt;1,"Two invoices",""))))</f>
        <v/>
      </c>
      <c r="Q1079" s="15">
        <f>IF(B1079="","",IF(J1079&lt;&gt;"","Not billable",IF(P1079="","To invoice",IF(P1079="Two invoices","Check dates",IF(ISNA(MATCH(P1079,Invoices!$B$6:$B$305,0)),"Check number",IF(INDEX(Invoices!$M$6:$M$305,MATCH(P1079,Invoices!$B$6:$B$305,0))="Paid","Paid",IF(INDEX(Invoices!$M$6:$M$305,MATCH(P1079,Invoices!$B$6:$B$305,0))="Draft","Draft","Invoiced")))))))</f>
        <v/>
      </c>
      <c r="R1079" s="1">
        <f>IF(AND(B1079&lt;&gt;"",P1079&lt;&gt;"",P1079=Invoice!$G$4),B1079+MOD(N(F1079),1)+ROW()/10000000,"")</f>
        <v/>
      </c>
      <c r="S1079">
        <f>IF(R1079="","",IF(D1079="","Other work",D1079)&amp;IF(AND(K1079&lt;&gt;"",E1079&lt;&gt;""),", "&amp;E1079,""))</f>
        <v/>
      </c>
      <c r="T1079">
        <f>IF(R1079="","",IF(COUNTIFS(R$6:R1078,"&gt;0",S$6:S1078,S1079,N$6:N1078,N1079)=0,R1079,""))</f>
        <v/>
      </c>
      <c r="U1079">
        <f>IF(B1079="","",IF(J1079&lt;&gt;"",0,M1079))</f>
        <v/>
      </c>
    </row>
    <row r="1080">
      <c r="A1080" s="1" t="n"/>
      <c r="B1080" s="16" t="n"/>
      <c r="C1080" s="17" t="n"/>
      <c r="D1080" s="18" t="n"/>
      <c r="E1080" s="18" t="n"/>
      <c r="F1080" s="19" t="n"/>
      <c r="G1080" s="19" t="n"/>
      <c r="H1080" s="20" t="n"/>
      <c r="I1080" s="21" t="n"/>
      <c r="J1080" s="22" t="n"/>
      <c r="K1080" s="23" t="n"/>
      <c r="L1080" s="18" t="n"/>
      <c r="M1080" s="24">
        <f>IF(B1080="","",IF(AND(F1080&lt;&gt;"",G1080&lt;&gt;""),MAX(0,ROUND(MOD(G1080-F1080,1)*24-N(H1080)/60,2)),N(I1080)))</f>
        <v/>
      </c>
      <c r="N1080" s="14">
        <f>IF(B1080="","",IF(K1080&lt;&gt;"",K1080,IF(N(IFERROR(INDEX(Projects!$D$6:$D$65,MATCH(D1080,Projects!$B$6:$B$65,0)),""))&gt;0,IFERROR(INDEX(Projects!$D$6:$D$65,MATCH(D1080,Projects!$B$6:$B$65,0)),""),IFERROR(INDEX(Clients!$G$6:$G$45,MATCH(C1080,Clients!$B$6:$B$45,0)),0))))</f>
        <v/>
      </c>
      <c r="O1080" s="14">
        <f>IF(B1080="","",IF(J1080&lt;&gt;"",0,ROUND(M1080*N1080,2)))</f>
        <v/>
      </c>
      <c r="P1080" s="15">
        <f>IF(OR(B1080="",J1080&lt;&gt;""),"",IF(L1080&lt;&gt;"",L1080,IF(COUNTIFS(Invoices!$C$6:$C$305,C1080,Invoices!$E$6:$E$305,"&lt;="&amp;B1080,Invoices!$F$6:$F$305,"&gt;="&amp;B1080)=1,INDEX(Invoices!$B$6:$B$305,SUMIFS(Invoices!$O$6:$O$305,Invoices!$C$6:$C$305,C1080,Invoices!$E$6:$E$305,"&lt;="&amp;B1080,Invoices!$F$6:$F$305,"&gt;="&amp;B1080)),IF(COUNTIFS(Invoices!$C$6:$C$305,C1080,Invoices!$E$6:$E$305,"&lt;="&amp;B1080,Invoices!$F$6:$F$305,"&gt;="&amp;B1080)&gt;1,"Two invoices",""))))</f>
        <v/>
      </c>
      <c r="Q1080" s="15">
        <f>IF(B1080="","",IF(J1080&lt;&gt;"","Not billable",IF(P1080="","To invoice",IF(P1080="Two invoices","Check dates",IF(ISNA(MATCH(P1080,Invoices!$B$6:$B$305,0)),"Check number",IF(INDEX(Invoices!$M$6:$M$305,MATCH(P1080,Invoices!$B$6:$B$305,0))="Paid","Paid",IF(INDEX(Invoices!$M$6:$M$305,MATCH(P1080,Invoices!$B$6:$B$305,0))="Draft","Draft","Invoiced")))))))</f>
        <v/>
      </c>
      <c r="R1080" s="1">
        <f>IF(AND(B1080&lt;&gt;"",P1080&lt;&gt;"",P1080=Invoice!$G$4),B1080+MOD(N(F1080),1)+ROW()/10000000,"")</f>
        <v/>
      </c>
      <c r="S1080">
        <f>IF(R1080="","",IF(D1080="","Other work",D1080)&amp;IF(AND(K1080&lt;&gt;"",E1080&lt;&gt;""),", "&amp;E1080,""))</f>
        <v/>
      </c>
      <c r="T1080">
        <f>IF(R1080="","",IF(COUNTIFS(R$6:R1079,"&gt;0",S$6:S1079,S1080,N$6:N1079,N1080)=0,R1080,""))</f>
        <v/>
      </c>
      <c r="U1080">
        <f>IF(B1080="","",IF(J1080&lt;&gt;"",0,M1080))</f>
        <v/>
      </c>
    </row>
    <row r="1081">
      <c r="A1081" s="1" t="n"/>
      <c r="B1081" s="16" t="n"/>
      <c r="C1081" s="17" t="n"/>
      <c r="D1081" s="18" t="n"/>
      <c r="E1081" s="18" t="n"/>
      <c r="F1081" s="19" t="n"/>
      <c r="G1081" s="19" t="n"/>
      <c r="H1081" s="20" t="n"/>
      <c r="I1081" s="21" t="n"/>
      <c r="J1081" s="22" t="n"/>
      <c r="K1081" s="23" t="n"/>
      <c r="L1081" s="18" t="n"/>
      <c r="M1081" s="24">
        <f>IF(B1081="","",IF(AND(F1081&lt;&gt;"",G1081&lt;&gt;""),MAX(0,ROUND(MOD(G1081-F1081,1)*24-N(H1081)/60,2)),N(I1081)))</f>
        <v/>
      </c>
      <c r="N1081" s="14">
        <f>IF(B1081="","",IF(K1081&lt;&gt;"",K1081,IF(N(IFERROR(INDEX(Projects!$D$6:$D$65,MATCH(D1081,Projects!$B$6:$B$65,0)),""))&gt;0,IFERROR(INDEX(Projects!$D$6:$D$65,MATCH(D1081,Projects!$B$6:$B$65,0)),""),IFERROR(INDEX(Clients!$G$6:$G$45,MATCH(C1081,Clients!$B$6:$B$45,0)),0))))</f>
        <v/>
      </c>
      <c r="O1081" s="14">
        <f>IF(B1081="","",IF(J1081&lt;&gt;"",0,ROUND(M1081*N1081,2)))</f>
        <v/>
      </c>
      <c r="P1081" s="15">
        <f>IF(OR(B1081="",J1081&lt;&gt;""),"",IF(L1081&lt;&gt;"",L1081,IF(COUNTIFS(Invoices!$C$6:$C$305,C1081,Invoices!$E$6:$E$305,"&lt;="&amp;B1081,Invoices!$F$6:$F$305,"&gt;="&amp;B1081)=1,INDEX(Invoices!$B$6:$B$305,SUMIFS(Invoices!$O$6:$O$305,Invoices!$C$6:$C$305,C1081,Invoices!$E$6:$E$305,"&lt;="&amp;B1081,Invoices!$F$6:$F$305,"&gt;="&amp;B1081)),IF(COUNTIFS(Invoices!$C$6:$C$305,C1081,Invoices!$E$6:$E$305,"&lt;="&amp;B1081,Invoices!$F$6:$F$305,"&gt;="&amp;B1081)&gt;1,"Two invoices",""))))</f>
        <v/>
      </c>
      <c r="Q1081" s="15">
        <f>IF(B1081="","",IF(J1081&lt;&gt;"","Not billable",IF(P1081="","To invoice",IF(P1081="Two invoices","Check dates",IF(ISNA(MATCH(P1081,Invoices!$B$6:$B$305,0)),"Check number",IF(INDEX(Invoices!$M$6:$M$305,MATCH(P1081,Invoices!$B$6:$B$305,0))="Paid","Paid",IF(INDEX(Invoices!$M$6:$M$305,MATCH(P1081,Invoices!$B$6:$B$305,0))="Draft","Draft","Invoiced")))))))</f>
        <v/>
      </c>
      <c r="R1081" s="1">
        <f>IF(AND(B1081&lt;&gt;"",P1081&lt;&gt;"",P1081=Invoice!$G$4),B1081+MOD(N(F1081),1)+ROW()/10000000,"")</f>
        <v/>
      </c>
      <c r="S1081">
        <f>IF(R1081="","",IF(D1081="","Other work",D1081)&amp;IF(AND(K1081&lt;&gt;"",E1081&lt;&gt;""),", "&amp;E1081,""))</f>
        <v/>
      </c>
      <c r="T1081">
        <f>IF(R1081="","",IF(COUNTIFS(R$6:R1080,"&gt;0",S$6:S1080,S1081,N$6:N1080,N1081)=0,R1081,""))</f>
        <v/>
      </c>
      <c r="U1081">
        <f>IF(B1081="","",IF(J1081&lt;&gt;"",0,M1081))</f>
        <v/>
      </c>
    </row>
    <row r="1082">
      <c r="A1082" s="1" t="n"/>
      <c r="B1082" s="16" t="n"/>
      <c r="C1082" s="17" t="n"/>
      <c r="D1082" s="18" t="n"/>
      <c r="E1082" s="18" t="n"/>
      <c r="F1082" s="19" t="n"/>
      <c r="G1082" s="19" t="n"/>
      <c r="H1082" s="20" t="n"/>
      <c r="I1082" s="21" t="n"/>
      <c r="J1082" s="22" t="n"/>
      <c r="K1082" s="23" t="n"/>
      <c r="L1082" s="18" t="n"/>
      <c r="M1082" s="24">
        <f>IF(B1082="","",IF(AND(F1082&lt;&gt;"",G1082&lt;&gt;""),MAX(0,ROUND(MOD(G1082-F1082,1)*24-N(H1082)/60,2)),N(I1082)))</f>
        <v/>
      </c>
      <c r="N1082" s="14">
        <f>IF(B1082="","",IF(K1082&lt;&gt;"",K1082,IF(N(IFERROR(INDEX(Projects!$D$6:$D$65,MATCH(D1082,Projects!$B$6:$B$65,0)),""))&gt;0,IFERROR(INDEX(Projects!$D$6:$D$65,MATCH(D1082,Projects!$B$6:$B$65,0)),""),IFERROR(INDEX(Clients!$G$6:$G$45,MATCH(C1082,Clients!$B$6:$B$45,0)),0))))</f>
        <v/>
      </c>
      <c r="O1082" s="14">
        <f>IF(B1082="","",IF(J1082&lt;&gt;"",0,ROUND(M1082*N1082,2)))</f>
        <v/>
      </c>
      <c r="P1082" s="15">
        <f>IF(OR(B1082="",J1082&lt;&gt;""),"",IF(L1082&lt;&gt;"",L1082,IF(COUNTIFS(Invoices!$C$6:$C$305,C1082,Invoices!$E$6:$E$305,"&lt;="&amp;B1082,Invoices!$F$6:$F$305,"&gt;="&amp;B1082)=1,INDEX(Invoices!$B$6:$B$305,SUMIFS(Invoices!$O$6:$O$305,Invoices!$C$6:$C$305,C1082,Invoices!$E$6:$E$305,"&lt;="&amp;B1082,Invoices!$F$6:$F$305,"&gt;="&amp;B1082)),IF(COUNTIFS(Invoices!$C$6:$C$305,C1082,Invoices!$E$6:$E$305,"&lt;="&amp;B1082,Invoices!$F$6:$F$305,"&gt;="&amp;B1082)&gt;1,"Two invoices",""))))</f>
        <v/>
      </c>
      <c r="Q1082" s="15">
        <f>IF(B1082="","",IF(J1082&lt;&gt;"","Not billable",IF(P1082="","To invoice",IF(P1082="Two invoices","Check dates",IF(ISNA(MATCH(P1082,Invoices!$B$6:$B$305,0)),"Check number",IF(INDEX(Invoices!$M$6:$M$305,MATCH(P1082,Invoices!$B$6:$B$305,0))="Paid","Paid",IF(INDEX(Invoices!$M$6:$M$305,MATCH(P1082,Invoices!$B$6:$B$305,0))="Draft","Draft","Invoiced")))))))</f>
        <v/>
      </c>
      <c r="R1082" s="1">
        <f>IF(AND(B1082&lt;&gt;"",P1082&lt;&gt;"",P1082=Invoice!$G$4),B1082+MOD(N(F1082),1)+ROW()/10000000,"")</f>
        <v/>
      </c>
      <c r="S1082">
        <f>IF(R1082="","",IF(D1082="","Other work",D1082)&amp;IF(AND(K1082&lt;&gt;"",E1082&lt;&gt;""),", "&amp;E1082,""))</f>
        <v/>
      </c>
      <c r="T1082">
        <f>IF(R1082="","",IF(COUNTIFS(R$6:R1081,"&gt;0",S$6:S1081,S1082,N$6:N1081,N1082)=0,R1082,""))</f>
        <v/>
      </c>
      <c r="U1082">
        <f>IF(B1082="","",IF(J1082&lt;&gt;"",0,M1082))</f>
        <v/>
      </c>
    </row>
    <row r="1083">
      <c r="A1083" s="1" t="n"/>
      <c r="B1083" s="16" t="n"/>
      <c r="C1083" s="17" t="n"/>
      <c r="D1083" s="18" t="n"/>
      <c r="E1083" s="18" t="n"/>
      <c r="F1083" s="19" t="n"/>
      <c r="G1083" s="19" t="n"/>
      <c r="H1083" s="20" t="n"/>
      <c r="I1083" s="21" t="n"/>
      <c r="J1083" s="22" t="n"/>
      <c r="K1083" s="23" t="n"/>
      <c r="L1083" s="18" t="n"/>
      <c r="M1083" s="24">
        <f>IF(B1083="","",IF(AND(F1083&lt;&gt;"",G1083&lt;&gt;""),MAX(0,ROUND(MOD(G1083-F1083,1)*24-N(H1083)/60,2)),N(I1083)))</f>
        <v/>
      </c>
      <c r="N1083" s="14">
        <f>IF(B1083="","",IF(K1083&lt;&gt;"",K1083,IF(N(IFERROR(INDEX(Projects!$D$6:$D$65,MATCH(D1083,Projects!$B$6:$B$65,0)),""))&gt;0,IFERROR(INDEX(Projects!$D$6:$D$65,MATCH(D1083,Projects!$B$6:$B$65,0)),""),IFERROR(INDEX(Clients!$G$6:$G$45,MATCH(C1083,Clients!$B$6:$B$45,0)),0))))</f>
        <v/>
      </c>
      <c r="O1083" s="14">
        <f>IF(B1083="","",IF(J1083&lt;&gt;"",0,ROUND(M1083*N1083,2)))</f>
        <v/>
      </c>
      <c r="P1083" s="15">
        <f>IF(OR(B1083="",J1083&lt;&gt;""),"",IF(L1083&lt;&gt;"",L1083,IF(COUNTIFS(Invoices!$C$6:$C$305,C1083,Invoices!$E$6:$E$305,"&lt;="&amp;B1083,Invoices!$F$6:$F$305,"&gt;="&amp;B1083)=1,INDEX(Invoices!$B$6:$B$305,SUMIFS(Invoices!$O$6:$O$305,Invoices!$C$6:$C$305,C1083,Invoices!$E$6:$E$305,"&lt;="&amp;B1083,Invoices!$F$6:$F$305,"&gt;="&amp;B1083)),IF(COUNTIFS(Invoices!$C$6:$C$305,C1083,Invoices!$E$6:$E$305,"&lt;="&amp;B1083,Invoices!$F$6:$F$305,"&gt;="&amp;B1083)&gt;1,"Two invoices",""))))</f>
        <v/>
      </c>
      <c r="Q1083" s="15">
        <f>IF(B1083="","",IF(J1083&lt;&gt;"","Not billable",IF(P1083="","To invoice",IF(P1083="Two invoices","Check dates",IF(ISNA(MATCH(P1083,Invoices!$B$6:$B$305,0)),"Check number",IF(INDEX(Invoices!$M$6:$M$305,MATCH(P1083,Invoices!$B$6:$B$305,0))="Paid","Paid",IF(INDEX(Invoices!$M$6:$M$305,MATCH(P1083,Invoices!$B$6:$B$305,0))="Draft","Draft","Invoiced")))))))</f>
        <v/>
      </c>
      <c r="R1083" s="1">
        <f>IF(AND(B1083&lt;&gt;"",P1083&lt;&gt;"",P1083=Invoice!$G$4),B1083+MOD(N(F1083),1)+ROW()/10000000,"")</f>
        <v/>
      </c>
      <c r="S1083">
        <f>IF(R1083="","",IF(D1083="","Other work",D1083)&amp;IF(AND(K1083&lt;&gt;"",E1083&lt;&gt;""),", "&amp;E1083,""))</f>
        <v/>
      </c>
      <c r="T1083">
        <f>IF(R1083="","",IF(COUNTIFS(R$6:R1082,"&gt;0",S$6:S1082,S1083,N$6:N1082,N1083)=0,R1083,""))</f>
        <v/>
      </c>
      <c r="U1083">
        <f>IF(B1083="","",IF(J1083&lt;&gt;"",0,M1083))</f>
        <v/>
      </c>
    </row>
    <row r="1084">
      <c r="A1084" s="1" t="n"/>
      <c r="B1084" s="16" t="n"/>
      <c r="C1084" s="17" t="n"/>
      <c r="D1084" s="18" t="n"/>
      <c r="E1084" s="18" t="n"/>
      <c r="F1084" s="19" t="n"/>
      <c r="G1084" s="19" t="n"/>
      <c r="H1084" s="20" t="n"/>
      <c r="I1084" s="21" t="n"/>
      <c r="J1084" s="22" t="n"/>
      <c r="K1084" s="23" t="n"/>
      <c r="L1084" s="18" t="n"/>
      <c r="M1084" s="24">
        <f>IF(B1084="","",IF(AND(F1084&lt;&gt;"",G1084&lt;&gt;""),MAX(0,ROUND(MOD(G1084-F1084,1)*24-N(H1084)/60,2)),N(I1084)))</f>
        <v/>
      </c>
      <c r="N1084" s="14">
        <f>IF(B1084="","",IF(K1084&lt;&gt;"",K1084,IF(N(IFERROR(INDEX(Projects!$D$6:$D$65,MATCH(D1084,Projects!$B$6:$B$65,0)),""))&gt;0,IFERROR(INDEX(Projects!$D$6:$D$65,MATCH(D1084,Projects!$B$6:$B$65,0)),""),IFERROR(INDEX(Clients!$G$6:$G$45,MATCH(C1084,Clients!$B$6:$B$45,0)),0))))</f>
        <v/>
      </c>
      <c r="O1084" s="14">
        <f>IF(B1084="","",IF(J1084&lt;&gt;"",0,ROUND(M1084*N1084,2)))</f>
        <v/>
      </c>
      <c r="P1084" s="15">
        <f>IF(OR(B1084="",J1084&lt;&gt;""),"",IF(L1084&lt;&gt;"",L1084,IF(COUNTIFS(Invoices!$C$6:$C$305,C1084,Invoices!$E$6:$E$305,"&lt;="&amp;B1084,Invoices!$F$6:$F$305,"&gt;="&amp;B1084)=1,INDEX(Invoices!$B$6:$B$305,SUMIFS(Invoices!$O$6:$O$305,Invoices!$C$6:$C$305,C1084,Invoices!$E$6:$E$305,"&lt;="&amp;B1084,Invoices!$F$6:$F$305,"&gt;="&amp;B1084)),IF(COUNTIFS(Invoices!$C$6:$C$305,C1084,Invoices!$E$6:$E$305,"&lt;="&amp;B1084,Invoices!$F$6:$F$305,"&gt;="&amp;B1084)&gt;1,"Two invoices",""))))</f>
        <v/>
      </c>
      <c r="Q1084" s="15">
        <f>IF(B1084="","",IF(J1084&lt;&gt;"","Not billable",IF(P1084="","To invoice",IF(P1084="Two invoices","Check dates",IF(ISNA(MATCH(P1084,Invoices!$B$6:$B$305,0)),"Check number",IF(INDEX(Invoices!$M$6:$M$305,MATCH(P1084,Invoices!$B$6:$B$305,0))="Paid","Paid",IF(INDEX(Invoices!$M$6:$M$305,MATCH(P1084,Invoices!$B$6:$B$305,0))="Draft","Draft","Invoiced")))))))</f>
        <v/>
      </c>
      <c r="R1084" s="1">
        <f>IF(AND(B1084&lt;&gt;"",P1084&lt;&gt;"",P1084=Invoice!$G$4),B1084+MOD(N(F1084),1)+ROW()/10000000,"")</f>
        <v/>
      </c>
      <c r="S1084">
        <f>IF(R1084="","",IF(D1084="","Other work",D1084)&amp;IF(AND(K1084&lt;&gt;"",E1084&lt;&gt;""),", "&amp;E1084,""))</f>
        <v/>
      </c>
      <c r="T1084">
        <f>IF(R1084="","",IF(COUNTIFS(R$6:R1083,"&gt;0",S$6:S1083,S1084,N$6:N1083,N1084)=0,R1084,""))</f>
        <v/>
      </c>
      <c r="U1084">
        <f>IF(B1084="","",IF(J1084&lt;&gt;"",0,M1084))</f>
        <v/>
      </c>
    </row>
    <row r="1085">
      <c r="A1085" s="1" t="n"/>
      <c r="B1085" s="16" t="n"/>
      <c r="C1085" s="17" t="n"/>
      <c r="D1085" s="18" t="n"/>
      <c r="E1085" s="18" t="n"/>
      <c r="F1085" s="19" t="n"/>
      <c r="G1085" s="19" t="n"/>
      <c r="H1085" s="20" t="n"/>
      <c r="I1085" s="21" t="n"/>
      <c r="J1085" s="22" t="n"/>
      <c r="K1085" s="23" t="n"/>
      <c r="L1085" s="18" t="n"/>
      <c r="M1085" s="24">
        <f>IF(B1085="","",IF(AND(F1085&lt;&gt;"",G1085&lt;&gt;""),MAX(0,ROUND(MOD(G1085-F1085,1)*24-N(H1085)/60,2)),N(I1085)))</f>
        <v/>
      </c>
      <c r="N1085" s="14">
        <f>IF(B1085="","",IF(K1085&lt;&gt;"",K1085,IF(N(IFERROR(INDEX(Projects!$D$6:$D$65,MATCH(D1085,Projects!$B$6:$B$65,0)),""))&gt;0,IFERROR(INDEX(Projects!$D$6:$D$65,MATCH(D1085,Projects!$B$6:$B$65,0)),""),IFERROR(INDEX(Clients!$G$6:$G$45,MATCH(C1085,Clients!$B$6:$B$45,0)),0))))</f>
        <v/>
      </c>
      <c r="O1085" s="14">
        <f>IF(B1085="","",IF(J1085&lt;&gt;"",0,ROUND(M1085*N1085,2)))</f>
        <v/>
      </c>
      <c r="P1085" s="15">
        <f>IF(OR(B1085="",J1085&lt;&gt;""),"",IF(L1085&lt;&gt;"",L1085,IF(COUNTIFS(Invoices!$C$6:$C$305,C1085,Invoices!$E$6:$E$305,"&lt;="&amp;B1085,Invoices!$F$6:$F$305,"&gt;="&amp;B1085)=1,INDEX(Invoices!$B$6:$B$305,SUMIFS(Invoices!$O$6:$O$305,Invoices!$C$6:$C$305,C1085,Invoices!$E$6:$E$305,"&lt;="&amp;B1085,Invoices!$F$6:$F$305,"&gt;="&amp;B1085)),IF(COUNTIFS(Invoices!$C$6:$C$305,C1085,Invoices!$E$6:$E$305,"&lt;="&amp;B1085,Invoices!$F$6:$F$305,"&gt;="&amp;B1085)&gt;1,"Two invoices",""))))</f>
        <v/>
      </c>
      <c r="Q1085" s="15">
        <f>IF(B1085="","",IF(J1085&lt;&gt;"","Not billable",IF(P1085="","To invoice",IF(P1085="Two invoices","Check dates",IF(ISNA(MATCH(P1085,Invoices!$B$6:$B$305,0)),"Check number",IF(INDEX(Invoices!$M$6:$M$305,MATCH(P1085,Invoices!$B$6:$B$305,0))="Paid","Paid",IF(INDEX(Invoices!$M$6:$M$305,MATCH(P1085,Invoices!$B$6:$B$305,0))="Draft","Draft","Invoiced")))))))</f>
        <v/>
      </c>
      <c r="R1085" s="1">
        <f>IF(AND(B1085&lt;&gt;"",P1085&lt;&gt;"",P1085=Invoice!$G$4),B1085+MOD(N(F1085),1)+ROW()/10000000,"")</f>
        <v/>
      </c>
      <c r="S1085">
        <f>IF(R1085="","",IF(D1085="","Other work",D1085)&amp;IF(AND(K1085&lt;&gt;"",E1085&lt;&gt;""),", "&amp;E1085,""))</f>
        <v/>
      </c>
      <c r="T1085">
        <f>IF(R1085="","",IF(COUNTIFS(R$6:R1084,"&gt;0",S$6:S1084,S1085,N$6:N1084,N1085)=0,R1085,""))</f>
        <v/>
      </c>
      <c r="U1085">
        <f>IF(B1085="","",IF(J1085&lt;&gt;"",0,M1085))</f>
        <v/>
      </c>
    </row>
    <row r="1086">
      <c r="A1086" s="1" t="n"/>
      <c r="B1086" s="16" t="n"/>
      <c r="C1086" s="17" t="n"/>
      <c r="D1086" s="18" t="n"/>
      <c r="E1086" s="18" t="n"/>
      <c r="F1086" s="19" t="n"/>
      <c r="G1086" s="19" t="n"/>
      <c r="H1086" s="20" t="n"/>
      <c r="I1086" s="21" t="n"/>
      <c r="J1086" s="22" t="n"/>
      <c r="K1086" s="23" t="n"/>
      <c r="L1086" s="18" t="n"/>
      <c r="M1086" s="24">
        <f>IF(B1086="","",IF(AND(F1086&lt;&gt;"",G1086&lt;&gt;""),MAX(0,ROUND(MOD(G1086-F1086,1)*24-N(H1086)/60,2)),N(I1086)))</f>
        <v/>
      </c>
      <c r="N1086" s="14">
        <f>IF(B1086="","",IF(K1086&lt;&gt;"",K1086,IF(N(IFERROR(INDEX(Projects!$D$6:$D$65,MATCH(D1086,Projects!$B$6:$B$65,0)),""))&gt;0,IFERROR(INDEX(Projects!$D$6:$D$65,MATCH(D1086,Projects!$B$6:$B$65,0)),""),IFERROR(INDEX(Clients!$G$6:$G$45,MATCH(C1086,Clients!$B$6:$B$45,0)),0))))</f>
        <v/>
      </c>
      <c r="O1086" s="14">
        <f>IF(B1086="","",IF(J1086&lt;&gt;"",0,ROUND(M1086*N1086,2)))</f>
        <v/>
      </c>
      <c r="P1086" s="15">
        <f>IF(OR(B1086="",J1086&lt;&gt;""),"",IF(L1086&lt;&gt;"",L1086,IF(COUNTIFS(Invoices!$C$6:$C$305,C1086,Invoices!$E$6:$E$305,"&lt;="&amp;B1086,Invoices!$F$6:$F$305,"&gt;="&amp;B1086)=1,INDEX(Invoices!$B$6:$B$305,SUMIFS(Invoices!$O$6:$O$305,Invoices!$C$6:$C$305,C1086,Invoices!$E$6:$E$305,"&lt;="&amp;B1086,Invoices!$F$6:$F$305,"&gt;="&amp;B1086)),IF(COUNTIFS(Invoices!$C$6:$C$305,C1086,Invoices!$E$6:$E$305,"&lt;="&amp;B1086,Invoices!$F$6:$F$305,"&gt;="&amp;B1086)&gt;1,"Two invoices",""))))</f>
        <v/>
      </c>
      <c r="Q1086" s="15">
        <f>IF(B1086="","",IF(J1086&lt;&gt;"","Not billable",IF(P1086="","To invoice",IF(P1086="Two invoices","Check dates",IF(ISNA(MATCH(P1086,Invoices!$B$6:$B$305,0)),"Check number",IF(INDEX(Invoices!$M$6:$M$305,MATCH(P1086,Invoices!$B$6:$B$305,0))="Paid","Paid",IF(INDEX(Invoices!$M$6:$M$305,MATCH(P1086,Invoices!$B$6:$B$305,0))="Draft","Draft","Invoiced")))))))</f>
        <v/>
      </c>
      <c r="R1086" s="1">
        <f>IF(AND(B1086&lt;&gt;"",P1086&lt;&gt;"",P1086=Invoice!$G$4),B1086+MOD(N(F1086),1)+ROW()/10000000,"")</f>
        <v/>
      </c>
      <c r="S1086">
        <f>IF(R1086="","",IF(D1086="","Other work",D1086)&amp;IF(AND(K1086&lt;&gt;"",E1086&lt;&gt;""),", "&amp;E1086,""))</f>
        <v/>
      </c>
      <c r="T1086">
        <f>IF(R1086="","",IF(COUNTIFS(R$6:R1085,"&gt;0",S$6:S1085,S1086,N$6:N1085,N1086)=0,R1086,""))</f>
        <v/>
      </c>
      <c r="U1086">
        <f>IF(B1086="","",IF(J1086&lt;&gt;"",0,M1086))</f>
        <v/>
      </c>
    </row>
    <row r="1087">
      <c r="A1087" s="1" t="n"/>
      <c r="B1087" s="16" t="n"/>
      <c r="C1087" s="17" t="n"/>
      <c r="D1087" s="18" t="n"/>
      <c r="E1087" s="18" t="n"/>
      <c r="F1087" s="19" t="n"/>
      <c r="G1087" s="19" t="n"/>
      <c r="H1087" s="20" t="n"/>
      <c r="I1087" s="21" t="n"/>
      <c r="J1087" s="22" t="n"/>
      <c r="K1087" s="23" t="n"/>
      <c r="L1087" s="18" t="n"/>
      <c r="M1087" s="24">
        <f>IF(B1087="","",IF(AND(F1087&lt;&gt;"",G1087&lt;&gt;""),MAX(0,ROUND(MOD(G1087-F1087,1)*24-N(H1087)/60,2)),N(I1087)))</f>
        <v/>
      </c>
      <c r="N1087" s="14">
        <f>IF(B1087="","",IF(K1087&lt;&gt;"",K1087,IF(N(IFERROR(INDEX(Projects!$D$6:$D$65,MATCH(D1087,Projects!$B$6:$B$65,0)),""))&gt;0,IFERROR(INDEX(Projects!$D$6:$D$65,MATCH(D1087,Projects!$B$6:$B$65,0)),""),IFERROR(INDEX(Clients!$G$6:$G$45,MATCH(C1087,Clients!$B$6:$B$45,0)),0))))</f>
        <v/>
      </c>
      <c r="O1087" s="14">
        <f>IF(B1087="","",IF(J1087&lt;&gt;"",0,ROUND(M1087*N1087,2)))</f>
        <v/>
      </c>
      <c r="P1087" s="15">
        <f>IF(OR(B1087="",J1087&lt;&gt;""),"",IF(L1087&lt;&gt;"",L1087,IF(COUNTIFS(Invoices!$C$6:$C$305,C1087,Invoices!$E$6:$E$305,"&lt;="&amp;B1087,Invoices!$F$6:$F$305,"&gt;="&amp;B1087)=1,INDEX(Invoices!$B$6:$B$305,SUMIFS(Invoices!$O$6:$O$305,Invoices!$C$6:$C$305,C1087,Invoices!$E$6:$E$305,"&lt;="&amp;B1087,Invoices!$F$6:$F$305,"&gt;="&amp;B1087)),IF(COUNTIFS(Invoices!$C$6:$C$305,C1087,Invoices!$E$6:$E$305,"&lt;="&amp;B1087,Invoices!$F$6:$F$305,"&gt;="&amp;B1087)&gt;1,"Two invoices",""))))</f>
        <v/>
      </c>
      <c r="Q1087" s="15">
        <f>IF(B1087="","",IF(J1087&lt;&gt;"","Not billable",IF(P1087="","To invoice",IF(P1087="Two invoices","Check dates",IF(ISNA(MATCH(P1087,Invoices!$B$6:$B$305,0)),"Check number",IF(INDEX(Invoices!$M$6:$M$305,MATCH(P1087,Invoices!$B$6:$B$305,0))="Paid","Paid",IF(INDEX(Invoices!$M$6:$M$305,MATCH(P1087,Invoices!$B$6:$B$305,0))="Draft","Draft","Invoiced")))))))</f>
        <v/>
      </c>
      <c r="R1087" s="1">
        <f>IF(AND(B1087&lt;&gt;"",P1087&lt;&gt;"",P1087=Invoice!$G$4),B1087+MOD(N(F1087),1)+ROW()/10000000,"")</f>
        <v/>
      </c>
      <c r="S1087">
        <f>IF(R1087="","",IF(D1087="","Other work",D1087)&amp;IF(AND(K1087&lt;&gt;"",E1087&lt;&gt;""),", "&amp;E1087,""))</f>
        <v/>
      </c>
      <c r="T1087">
        <f>IF(R1087="","",IF(COUNTIFS(R$6:R1086,"&gt;0",S$6:S1086,S1087,N$6:N1086,N1087)=0,R1087,""))</f>
        <v/>
      </c>
      <c r="U1087">
        <f>IF(B1087="","",IF(J1087&lt;&gt;"",0,M1087))</f>
        <v/>
      </c>
    </row>
    <row r="1088">
      <c r="A1088" s="1" t="n"/>
      <c r="B1088" s="16" t="n"/>
      <c r="C1088" s="17" t="n"/>
      <c r="D1088" s="18" t="n"/>
      <c r="E1088" s="18" t="n"/>
      <c r="F1088" s="19" t="n"/>
      <c r="G1088" s="19" t="n"/>
      <c r="H1088" s="20" t="n"/>
      <c r="I1088" s="21" t="n"/>
      <c r="J1088" s="22" t="n"/>
      <c r="K1088" s="23" t="n"/>
      <c r="L1088" s="18" t="n"/>
      <c r="M1088" s="24">
        <f>IF(B1088="","",IF(AND(F1088&lt;&gt;"",G1088&lt;&gt;""),MAX(0,ROUND(MOD(G1088-F1088,1)*24-N(H1088)/60,2)),N(I1088)))</f>
        <v/>
      </c>
      <c r="N1088" s="14">
        <f>IF(B1088="","",IF(K1088&lt;&gt;"",K1088,IF(N(IFERROR(INDEX(Projects!$D$6:$D$65,MATCH(D1088,Projects!$B$6:$B$65,0)),""))&gt;0,IFERROR(INDEX(Projects!$D$6:$D$65,MATCH(D1088,Projects!$B$6:$B$65,0)),""),IFERROR(INDEX(Clients!$G$6:$G$45,MATCH(C1088,Clients!$B$6:$B$45,0)),0))))</f>
        <v/>
      </c>
      <c r="O1088" s="14">
        <f>IF(B1088="","",IF(J1088&lt;&gt;"",0,ROUND(M1088*N1088,2)))</f>
        <v/>
      </c>
      <c r="P1088" s="15">
        <f>IF(OR(B1088="",J1088&lt;&gt;""),"",IF(L1088&lt;&gt;"",L1088,IF(COUNTIFS(Invoices!$C$6:$C$305,C1088,Invoices!$E$6:$E$305,"&lt;="&amp;B1088,Invoices!$F$6:$F$305,"&gt;="&amp;B1088)=1,INDEX(Invoices!$B$6:$B$305,SUMIFS(Invoices!$O$6:$O$305,Invoices!$C$6:$C$305,C1088,Invoices!$E$6:$E$305,"&lt;="&amp;B1088,Invoices!$F$6:$F$305,"&gt;="&amp;B1088)),IF(COUNTIFS(Invoices!$C$6:$C$305,C1088,Invoices!$E$6:$E$305,"&lt;="&amp;B1088,Invoices!$F$6:$F$305,"&gt;="&amp;B1088)&gt;1,"Two invoices",""))))</f>
        <v/>
      </c>
      <c r="Q1088" s="15">
        <f>IF(B1088="","",IF(J1088&lt;&gt;"","Not billable",IF(P1088="","To invoice",IF(P1088="Two invoices","Check dates",IF(ISNA(MATCH(P1088,Invoices!$B$6:$B$305,0)),"Check number",IF(INDEX(Invoices!$M$6:$M$305,MATCH(P1088,Invoices!$B$6:$B$305,0))="Paid","Paid",IF(INDEX(Invoices!$M$6:$M$305,MATCH(P1088,Invoices!$B$6:$B$305,0))="Draft","Draft","Invoiced")))))))</f>
        <v/>
      </c>
      <c r="R1088" s="1">
        <f>IF(AND(B1088&lt;&gt;"",P1088&lt;&gt;"",P1088=Invoice!$G$4),B1088+MOD(N(F1088),1)+ROW()/10000000,"")</f>
        <v/>
      </c>
      <c r="S1088">
        <f>IF(R1088="","",IF(D1088="","Other work",D1088)&amp;IF(AND(K1088&lt;&gt;"",E1088&lt;&gt;""),", "&amp;E1088,""))</f>
        <v/>
      </c>
      <c r="T1088">
        <f>IF(R1088="","",IF(COUNTIFS(R$6:R1087,"&gt;0",S$6:S1087,S1088,N$6:N1087,N1088)=0,R1088,""))</f>
        <v/>
      </c>
      <c r="U1088">
        <f>IF(B1088="","",IF(J1088&lt;&gt;"",0,M1088))</f>
        <v/>
      </c>
    </row>
    <row r="1089">
      <c r="A1089" s="1" t="n"/>
      <c r="B1089" s="16" t="n"/>
      <c r="C1089" s="17" t="n"/>
      <c r="D1089" s="18" t="n"/>
      <c r="E1089" s="18" t="n"/>
      <c r="F1089" s="19" t="n"/>
      <c r="G1089" s="19" t="n"/>
      <c r="H1089" s="20" t="n"/>
      <c r="I1089" s="21" t="n"/>
      <c r="J1089" s="22" t="n"/>
      <c r="K1089" s="23" t="n"/>
      <c r="L1089" s="18" t="n"/>
      <c r="M1089" s="24">
        <f>IF(B1089="","",IF(AND(F1089&lt;&gt;"",G1089&lt;&gt;""),MAX(0,ROUND(MOD(G1089-F1089,1)*24-N(H1089)/60,2)),N(I1089)))</f>
        <v/>
      </c>
      <c r="N1089" s="14">
        <f>IF(B1089="","",IF(K1089&lt;&gt;"",K1089,IF(N(IFERROR(INDEX(Projects!$D$6:$D$65,MATCH(D1089,Projects!$B$6:$B$65,0)),""))&gt;0,IFERROR(INDEX(Projects!$D$6:$D$65,MATCH(D1089,Projects!$B$6:$B$65,0)),""),IFERROR(INDEX(Clients!$G$6:$G$45,MATCH(C1089,Clients!$B$6:$B$45,0)),0))))</f>
        <v/>
      </c>
      <c r="O1089" s="14">
        <f>IF(B1089="","",IF(J1089&lt;&gt;"",0,ROUND(M1089*N1089,2)))</f>
        <v/>
      </c>
      <c r="P1089" s="15">
        <f>IF(OR(B1089="",J1089&lt;&gt;""),"",IF(L1089&lt;&gt;"",L1089,IF(COUNTIFS(Invoices!$C$6:$C$305,C1089,Invoices!$E$6:$E$305,"&lt;="&amp;B1089,Invoices!$F$6:$F$305,"&gt;="&amp;B1089)=1,INDEX(Invoices!$B$6:$B$305,SUMIFS(Invoices!$O$6:$O$305,Invoices!$C$6:$C$305,C1089,Invoices!$E$6:$E$305,"&lt;="&amp;B1089,Invoices!$F$6:$F$305,"&gt;="&amp;B1089)),IF(COUNTIFS(Invoices!$C$6:$C$305,C1089,Invoices!$E$6:$E$305,"&lt;="&amp;B1089,Invoices!$F$6:$F$305,"&gt;="&amp;B1089)&gt;1,"Two invoices",""))))</f>
        <v/>
      </c>
      <c r="Q1089" s="15">
        <f>IF(B1089="","",IF(J1089&lt;&gt;"","Not billable",IF(P1089="","To invoice",IF(P1089="Two invoices","Check dates",IF(ISNA(MATCH(P1089,Invoices!$B$6:$B$305,0)),"Check number",IF(INDEX(Invoices!$M$6:$M$305,MATCH(P1089,Invoices!$B$6:$B$305,0))="Paid","Paid",IF(INDEX(Invoices!$M$6:$M$305,MATCH(P1089,Invoices!$B$6:$B$305,0))="Draft","Draft","Invoiced")))))))</f>
        <v/>
      </c>
      <c r="R1089" s="1">
        <f>IF(AND(B1089&lt;&gt;"",P1089&lt;&gt;"",P1089=Invoice!$G$4),B1089+MOD(N(F1089),1)+ROW()/10000000,"")</f>
        <v/>
      </c>
      <c r="S1089">
        <f>IF(R1089="","",IF(D1089="","Other work",D1089)&amp;IF(AND(K1089&lt;&gt;"",E1089&lt;&gt;""),", "&amp;E1089,""))</f>
        <v/>
      </c>
      <c r="T1089">
        <f>IF(R1089="","",IF(COUNTIFS(R$6:R1088,"&gt;0",S$6:S1088,S1089,N$6:N1088,N1089)=0,R1089,""))</f>
        <v/>
      </c>
      <c r="U1089">
        <f>IF(B1089="","",IF(J1089&lt;&gt;"",0,M1089))</f>
        <v/>
      </c>
    </row>
    <row r="1090">
      <c r="A1090" s="1" t="n"/>
      <c r="B1090" s="16" t="n"/>
      <c r="C1090" s="17" t="n"/>
      <c r="D1090" s="18" t="n"/>
      <c r="E1090" s="18" t="n"/>
      <c r="F1090" s="19" t="n"/>
      <c r="G1090" s="19" t="n"/>
      <c r="H1090" s="20" t="n"/>
      <c r="I1090" s="21" t="n"/>
      <c r="J1090" s="22" t="n"/>
      <c r="K1090" s="23" t="n"/>
      <c r="L1090" s="18" t="n"/>
      <c r="M1090" s="24">
        <f>IF(B1090="","",IF(AND(F1090&lt;&gt;"",G1090&lt;&gt;""),MAX(0,ROUND(MOD(G1090-F1090,1)*24-N(H1090)/60,2)),N(I1090)))</f>
        <v/>
      </c>
      <c r="N1090" s="14">
        <f>IF(B1090="","",IF(K1090&lt;&gt;"",K1090,IF(N(IFERROR(INDEX(Projects!$D$6:$D$65,MATCH(D1090,Projects!$B$6:$B$65,0)),""))&gt;0,IFERROR(INDEX(Projects!$D$6:$D$65,MATCH(D1090,Projects!$B$6:$B$65,0)),""),IFERROR(INDEX(Clients!$G$6:$G$45,MATCH(C1090,Clients!$B$6:$B$45,0)),0))))</f>
        <v/>
      </c>
      <c r="O1090" s="14">
        <f>IF(B1090="","",IF(J1090&lt;&gt;"",0,ROUND(M1090*N1090,2)))</f>
        <v/>
      </c>
      <c r="P1090" s="15">
        <f>IF(OR(B1090="",J1090&lt;&gt;""),"",IF(L1090&lt;&gt;"",L1090,IF(COUNTIFS(Invoices!$C$6:$C$305,C1090,Invoices!$E$6:$E$305,"&lt;="&amp;B1090,Invoices!$F$6:$F$305,"&gt;="&amp;B1090)=1,INDEX(Invoices!$B$6:$B$305,SUMIFS(Invoices!$O$6:$O$305,Invoices!$C$6:$C$305,C1090,Invoices!$E$6:$E$305,"&lt;="&amp;B1090,Invoices!$F$6:$F$305,"&gt;="&amp;B1090)),IF(COUNTIFS(Invoices!$C$6:$C$305,C1090,Invoices!$E$6:$E$305,"&lt;="&amp;B1090,Invoices!$F$6:$F$305,"&gt;="&amp;B1090)&gt;1,"Two invoices",""))))</f>
        <v/>
      </c>
      <c r="Q1090" s="15">
        <f>IF(B1090="","",IF(J1090&lt;&gt;"","Not billable",IF(P1090="","To invoice",IF(P1090="Two invoices","Check dates",IF(ISNA(MATCH(P1090,Invoices!$B$6:$B$305,0)),"Check number",IF(INDEX(Invoices!$M$6:$M$305,MATCH(P1090,Invoices!$B$6:$B$305,0))="Paid","Paid",IF(INDEX(Invoices!$M$6:$M$305,MATCH(P1090,Invoices!$B$6:$B$305,0))="Draft","Draft","Invoiced")))))))</f>
        <v/>
      </c>
      <c r="R1090" s="1">
        <f>IF(AND(B1090&lt;&gt;"",P1090&lt;&gt;"",P1090=Invoice!$G$4),B1090+MOD(N(F1090),1)+ROW()/10000000,"")</f>
        <v/>
      </c>
      <c r="S1090">
        <f>IF(R1090="","",IF(D1090="","Other work",D1090)&amp;IF(AND(K1090&lt;&gt;"",E1090&lt;&gt;""),", "&amp;E1090,""))</f>
        <v/>
      </c>
      <c r="T1090">
        <f>IF(R1090="","",IF(COUNTIFS(R$6:R1089,"&gt;0",S$6:S1089,S1090,N$6:N1089,N1090)=0,R1090,""))</f>
        <v/>
      </c>
      <c r="U1090">
        <f>IF(B1090="","",IF(J1090&lt;&gt;"",0,M1090))</f>
        <v/>
      </c>
    </row>
    <row r="1091">
      <c r="A1091" s="1" t="n"/>
      <c r="B1091" s="16" t="n"/>
      <c r="C1091" s="17" t="n"/>
      <c r="D1091" s="18" t="n"/>
      <c r="E1091" s="18" t="n"/>
      <c r="F1091" s="19" t="n"/>
      <c r="G1091" s="19" t="n"/>
      <c r="H1091" s="20" t="n"/>
      <c r="I1091" s="21" t="n"/>
      <c r="J1091" s="22" t="n"/>
      <c r="K1091" s="23" t="n"/>
      <c r="L1091" s="18" t="n"/>
      <c r="M1091" s="24">
        <f>IF(B1091="","",IF(AND(F1091&lt;&gt;"",G1091&lt;&gt;""),MAX(0,ROUND(MOD(G1091-F1091,1)*24-N(H1091)/60,2)),N(I1091)))</f>
        <v/>
      </c>
      <c r="N1091" s="14">
        <f>IF(B1091="","",IF(K1091&lt;&gt;"",K1091,IF(N(IFERROR(INDEX(Projects!$D$6:$D$65,MATCH(D1091,Projects!$B$6:$B$65,0)),""))&gt;0,IFERROR(INDEX(Projects!$D$6:$D$65,MATCH(D1091,Projects!$B$6:$B$65,0)),""),IFERROR(INDEX(Clients!$G$6:$G$45,MATCH(C1091,Clients!$B$6:$B$45,0)),0))))</f>
        <v/>
      </c>
      <c r="O1091" s="14">
        <f>IF(B1091="","",IF(J1091&lt;&gt;"",0,ROUND(M1091*N1091,2)))</f>
        <v/>
      </c>
      <c r="P1091" s="15">
        <f>IF(OR(B1091="",J1091&lt;&gt;""),"",IF(L1091&lt;&gt;"",L1091,IF(COUNTIFS(Invoices!$C$6:$C$305,C1091,Invoices!$E$6:$E$305,"&lt;="&amp;B1091,Invoices!$F$6:$F$305,"&gt;="&amp;B1091)=1,INDEX(Invoices!$B$6:$B$305,SUMIFS(Invoices!$O$6:$O$305,Invoices!$C$6:$C$305,C1091,Invoices!$E$6:$E$305,"&lt;="&amp;B1091,Invoices!$F$6:$F$305,"&gt;="&amp;B1091)),IF(COUNTIFS(Invoices!$C$6:$C$305,C1091,Invoices!$E$6:$E$305,"&lt;="&amp;B1091,Invoices!$F$6:$F$305,"&gt;="&amp;B1091)&gt;1,"Two invoices",""))))</f>
        <v/>
      </c>
      <c r="Q1091" s="15">
        <f>IF(B1091="","",IF(J1091&lt;&gt;"","Not billable",IF(P1091="","To invoice",IF(P1091="Two invoices","Check dates",IF(ISNA(MATCH(P1091,Invoices!$B$6:$B$305,0)),"Check number",IF(INDEX(Invoices!$M$6:$M$305,MATCH(P1091,Invoices!$B$6:$B$305,0))="Paid","Paid",IF(INDEX(Invoices!$M$6:$M$305,MATCH(P1091,Invoices!$B$6:$B$305,0))="Draft","Draft","Invoiced")))))))</f>
        <v/>
      </c>
      <c r="R1091" s="1">
        <f>IF(AND(B1091&lt;&gt;"",P1091&lt;&gt;"",P1091=Invoice!$G$4),B1091+MOD(N(F1091),1)+ROW()/10000000,"")</f>
        <v/>
      </c>
      <c r="S1091">
        <f>IF(R1091="","",IF(D1091="","Other work",D1091)&amp;IF(AND(K1091&lt;&gt;"",E1091&lt;&gt;""),", "&amp;E1091,""))</f>
        <v/>
      </c>
      <c r="T1091">
        <f>IF(R1091="","",IF(COUNTIFS(R$6:R1090,"&gt;0",S$6:S1090,S1091,N$6:N1090,N1091)=0,R1091,""))</f>
        <v/>
      </c>
      <c r="U1091">
        <f>IF(B1091="","",IF(J1091&lt;&gt;"",0,M1091))</f>
        <v/>
      </c>
    </row>
    <row r="1092">
      <c r="A1092" s="1" t="n"/>
      <c r="B1092" s="16" t="n"/>
      <c r="C1092" s="17" t="n"/>
      <c r="D1092" s="18" t="n"/>
      <c r="E1092" s="18" t="n"/>
      <c r="F1092" s="19" t="n"/>
      <c r="G1092" s="19" t="n"/>
      <c r="H1092" s="20" t="n"/>
      <c r="I1092" s="21" t="n"/>
      <c r="J1092" s="22" t="n"/>
      <c r="K1092" s="23" t="n"/>
      <c r="L1092" s="18" t="n"/>
      <c r="M1092" s="24">
        <f>IF(B1092="","",IF(AND(F1092&lt;&gt;"",G1092&lt;&gt;""),MAX(0,ROUND(MOD(G1092-F1092,1)*24-N(H1092)/60,2)),N(I1092)))</f>
        <v/>
      </c>
      <c r="N1092" s="14">
        <f>IF(B1092="","",IF(K1092&lt;&gt;"",K1092,IF(N(IFERROR(INDEX(Projects!$D$6:$D$65,MATCH(D1092,Projects!$B$6:$B$65,0)),""))&gt;0,IFERROR(INDEX(Projects!$D$6:$D$65,MATCH(D1092,Projects!$B$6:$B$65,0)),""),IFERROR(INDEX(Clients!$G$6:$G$45,MATCH(C1092,Clients!$B$6:$B$45,0)),0))))</f>
        <v/>
      </c>
      <c r="O1092" s="14">
        <f>IF(B1092="","",IF(J1092&lt;&gt;"",0,ROUND(M1092*N1092,2)))</f>
        <v/>
      </c>
      <c r="P1092" s="15">
        <f>IF(OR(B1092="",J1092&lt;&gt;""),"",IF(L1092&lt;&gt;"",L1092,IF(COUNTIFS(Invoices!$C$6:$C$305,C1092,Invoices!$E$6:$E$305,"&lt;="&amp;B1092,Invoices!$F$6:$F$305,"&gt;="&amp;B1092)=1,INDEX(Invoices!$B$6:$B$305,SUMIFS(Invoices!$O$6:$O$305,Invoices!$C$6:$C$305,C1092,Invoices!$E$6:$E$305,"&lt;="&amp;B1092,Invoices!$F$6:$F$305,"&gt;="&amp;B1092)),IF(COUNTIFS(Invoices!$C$6:$C$305,C1092,Invoices!$E$6:$E$305,"&lt;="&amp;B1092,Invoices!$F$6:$F$305,"&gt;="&amp;B1092)&gt;1,"Two invoices",""))))</f>
        <v/>
      </c>
      <c r="Q1092" s="15">
        <f>IF(B1092="","",IF(J1092&lt;&gt;"","Not billable",IF(P1092="","To invoice",IF(P1092="Two invoices","Check dates",IF(ISNA(MATCH(P1092,Invoices!$B$6:$B$305,0)),"Check number",IF(INDEX(Invoices!$M$6:$M$305,MATCH(P1092,Invoices!$B$6:$B$305,0))="Paid","Paid",IF(INDEX(Invoices!$M$6:$M$305,MATCH(P1092,Invoices!$B$6:$B$305,0))="Draft","Draft","Invoiced")))))))</f>
        <v/>
      </c>
      <c r="R1092" s="1">
        <f>IF(AND(B1092&lt;&gt;"",P1092&lt;&gt;"",P1092=Invoice!$G$4),B1092+MOD(N(F1092),1)+ROW()/10000000,"")</f>
        <v/>
      </c>
      <c r="S1092">
        <f>IF(R1092="","",IF(D1092="","Other work",D1092)&amp;IF(AND(K1092&lt;&gt;"",E1092&lt;&gt;""),", "&amp;E1092,""))</f>
        <v/>
      </c>
      <c r="T1092">
        <f>IF(R1092="","",IF(COUNTIFS(R$6:R1091,"&gt;0",S$6:S1091,S1092,N$6:N1091,N1092)=0,R1092,""))</f>
        <v/>
      </c>
      <c r="U1092">
        <f>IF(B1092="","",IF(J1092&lt;&gt;"",0,M1092))</f>
        <v/>
      </c>
    </row>
    <row r="1093">
      <c r="A1093" s="1" t="n"/>
      <c r="B1093" s="16" t="n"/>
      <c r="C1093" s="17" t="n"/>
      <c r="D1093" s="18" t="n"/>
      <c r="E1093" s="18" t="n"/>
      <c r="F1093" s="19" t="n"/>
      <c r="G1093" s="19" t="n"/>
      <c r="H1093" s="20" t="n"/>
      <c r="I1093" s="21" t="n"/>
      <c r="J1093" s="22" t="n"/>
      <c r="K1093" s="23" t="n"/>
      <c r="L1093" s="18" t="n"/>
      <c r="M1093" s="24">
        <f>IF(B1093="","",IF(AND(F1093&lt;&gt;"",G1093&lt;&gt;""),MAX(0,ROUND(MOD(G1093-F1093,1)*24-N(H1093)/60,2)),N(I1093)))</f>
        <v/>
      </c>
      <c r="N1093" s="14">
        <f>IF(B1093="","",IF(K1093&lt;&gt;"",K1093,IF(N(IFERROR(INDEX(Projects!$D$6:$D$65,MATCH(D1093,Projects!$B$6:$B$65,0)),""))&gt;0,IFERROR(INDEX(Projects!$D$6:$D$65,MATCH(D1093,Projects!$B$6:$B$65,0)),""),IFERROR(INDEX(Clients!$G$6:$G$45,MATCH(C1093,Clients!$B$6:$B$45,0)),0))))</f>
        <v/>
      </c>
      <c r="O1093" s="14">
        <f>IF(B1093="","",IF(J1093&lt;&gt;"",0,ROUND(M1093*N1093,2)))</f>
        <v/>
      </c>
      <c r="P1093" s="15">
        <f>IF(OR(B1093="",J1093&lt;&gt;""),"",IF(L1093&lt;&gt;"",L1093,IF(COUNTIFS(Invoices!$C$6:$C$305,C1093,Invoices!$E$6:$E$305,"&lt;="&amp;B1093,Invoices!$F$6:$F$305,"&gt;="&amp;B1093)=1,INDEX(Invoices!$B$6:$B$305,SUMIFS(Invoices!$O$6:$O$305,Invoices!$C$6:$C$305,C1093,Invoices!$E$6:$E$305,"&lt;="&amp;B1093,Invoices!$F$6:$F$305,"&gt;="&amp;B1093)),IF(COUNTIFS(Invoices!$C$6:$C$305,C1093,Invoices!$E$6:$E$305,"&lt;="&amp;B1093,Invoices!$F$6:$F$305,"&gt;="&amp;B1093)&gt;1,"Two invoices",""))))</f>
        <v/>
      </c>
      <c r="Q1093" s="15">
        <f>IF(B1093="","",IF(J1093&lt;&gt;"","Not billable",IF(P1093="","To invoice",IF(P1093="Two invoices","Check dates",IF(ISNA(MATCH(P1093,Invoices!$B$6:$B$305,0)),"Check number",IF(INDEX(Invoices!$M$6:$M$305,MATCH(P1093,Invoices!$B$6:$B$305,0))="Paid","Paid",IF(INDEX(Invoices!$M$6:$M$305,MATCH(P1093,Invoices!$B$6:$B$305,0))="Draft","Draft","Invoiced")))))))</f>
        <v/>
      </c>
      <c r="R1093" s="1">
        <f>IF(AND(B1093&lt;&gt;"",P1093&lt;&gt;"",P1093=Invoice!$G$4),B1093+MOD(N(F1093),1)+ROW()/10000000,"")</f>
        <v/>
      </c>
      <c r="S1093">
        <f>IF(R1093="","",IF(D1093="","Other work",D1093)&amp;IF(AND(K1093&lt;&gt;"",E1093&lt;&gt;""),", "&amp;E1093,""))</f>
        <v/>
      </c>
      <c r="T1093">
        <f>IF(R1093="","",IF(COUNTIFS(R$6:R1092,"&gt;0",S$6:S1092,S1093,N$6:N1092,N1093)=0,R1093,""))</f>
        <v/>
      </c>
      <c r="U1093">
        <f>IF(B1093="","",IF(J1093&lt;&gt;"",0,M1093))</f>
        <v/>
      </c>
    </row>
    <row r="1094">
      <c r="A1094" s="1" t="n"/>
      <c r="B1094" s="16" t="n"/>
      <c r="C1094" s="17" t="n"/>
      <c r="D1094" s="18" t="n"/>
      <c r="E1094" s="18" t="n"/>
      <c r="F1094" s="19" t="n"/>
      <c r="G1094" s="19" t="n"/>
      <c r="H1094" s="20" t="n"/>
      <c r="I1094" s="21" t="n"/>
      <c r="J1094" s="22" t="n"/>
      <c r="K1094" s="23" t="n"/>
      <c r="L1094" s="18" t="n"/>
      <c r="M1094" s="24">
        <f>IF(B1094="","",IF(AND(F1094&lt;&gt;"",G1094&lt;&gt;""),MAX(0,ROUND(MOD(G1094-F1094,1)*24-N(H1094)/60,2)),N(I1094)))</f>
        <v/>
      </c>
      <c r="N1094" s="14">
        <f>IF(B1094="","",IF(K1094&lt;&gt;"",K1094,IF(N(IFERROR(INDEX(Projects!$D$6:$D$65,MATCH(D1094,Projects!$B$6:$B$65,0)),""))&gt;0,IFERROR(INDEX(Projects!$D$6:$D$65,MATCH(D1094,Projects!$B$6:$B$65,0)),""),IFERROR(INDEX(Clients!$G$6:$G$45,MATCH(C1094,Clients!$B$6:$B$45,0)),0))))</f>
        <v/>
      </c>
      <c r="O1094" s="14">
        <f>IF(B1094="","",IF(J1094&lt;&gt;"",0,ROUND(M1094*N1094,2)))</f>
        <v/>
      </c>
      <c r="P1094" s="15">
        <f>IF(OR(B1094="",J1094&lt;&gt;""),"",IF(L1094&lt;&gt;"",L1094,IF(COUNTIFS(Invoices!$C$6:$C$305,C1094,Invoices!$E$6:$E$305,"&lt;="&amp;B1094,Invoices!$F$6:$F$305,"&gt;="&amp;B1094)=1,INDEX(Invoices!$B$6:$B$305,SUMIFS(Invoices!$O$6:$O$305,Invoices!$C$6:$C$305,C1094,Invoices!$E$6:$E$305,"&lt;="&amp;B1094,Invoices!$F$6:$F$305,"&gt;="&amp;B1094)),IF(COUNTIFS(Invoices!$C$6:$C$305,C1094,Invoices!$E$6:$E$305,"&lt;="&amp;B1094,Invoices!$F$6:$F$305,"&gt;="&amp;B1094)&gt;1,"Two invoices",""))))</f>
        <v/>
      </c>
      <c r="Q1094" s="15">
        <f>IF(B1094="","",IF(J1094&lt;&gt;"","Not billable",IF(P1094="","To invoice",IF(P1094="Two invoices","Check dates",IF(ISNA(MATCH(P1094,Invoices!$B$6:$B$305,0)),"Check number",IF(INDEX(Invoices!$M$6:$M$305,MATCH(P1094,Invoices!$B$6:$B$305,0))="Paid","Paid",IF(INDEX(Invoices!$M$6:$M$305,MATCH(P1094,Invoices!$B$6:$B$305,0))="Draft","Draft","Invoiced")))))))</f>
        <v/>
      </c>
      <c r="R1094" s="1">
        <f>IF(AND(B1094&lt;&gt;"",P1094&lt;&gt;"",P1094=Invoice!$G$4),B1094+MOD(N(F1094),1)+ROW()/10000000,"")</f>
        <v/>
      </c>
      <c r="S1094">
        <f>IF(R1094="","",IF(D1094="","Other work",D1094)&amp;IF(AND(K1094&lt;&gt;"",E1094&lt;&gt;""),", "&amp;E1094,""))</f>
        <v/>
      </c>
      <c r="T1094">
        <f>IF(R1094="","",IF(COUNTIFS(R$6:R1093,"&gt;0",S$6:S1093,S1094,N$6:N1093,N1094)=0,R1094,""))</f>
        <v/>
      </c>
      <c r="U1094">
        <f>IF(B1094="","",IF(J1094&lt;&gt;"",0,M1094))</f>
        <v/>
      </c>
    </row>
    <row r="1095">
      <c r="A1095" s="1" t="n"/>
      <c r="B1095" s="16" t="n"/>
      <c r="C1095" s="17" t="n"/>
      <c r="D1095" s="18" t="n"/>
      <c r="E1095" s="18" t="n"/>
      <c r="F1095" s="19" t="n"/>
      <c r="G1095" s="19" t="n"/>
      <c r="H1095" s="20" t="n"/>
      <c r="I1095" s="21" t="n"/>
      <c r="J1095" s="22" t="n"/>
      <c r="K1095" s="23" t="n"/>
      <c r="L1095" s="18" t="n"/>
      <c r="M1095" s="24">
        <f>IF(B1095="","",IF(AND(F1095&lt;&gt;"",G1095&lt;&gt;""),MAX(0,ROUND(MOD(G1095-F1095,1)*24-N(H1095)/60,2)),N(I1095)))</f>
        <v/>
      </c>
      <c r="N1095" s="14">
        <f>IF(B1095="","",IF(K1095&lt;&gt;"",K1095,IF(N(IFERROR(INDEX(Projects!$D$6:$D$65,MATCH(D1095,Projects!$B$6:$B$65,0)),""))&gt;0,IFERROR(INDEX(Projects!$D$6:$D$65,MATCH(D1095,Projects!$B$6:$B$65,0)),""),IFERROR(INDEX(Clients!$G$6:$G$45,MATCH(C1095,Clients!$B$6:$B$45,0)),0))))</f>
        <v/>
      </c>
      <c r="O1095" s="14">
        <f>IF(B1095="","",IF(J1095&lt;&gt;"",0,ROUND(M1095*N1095,2)))</f>
        <v/>
      </c>
      <c r="P1095" s="15">
        <f>IF(OR(B1095="",J1095&lt;&gt;""),"",IF(L1095&lt;&gt;"",L1095,IF(COUNTIFS(Invoices!$C$6:$C$305,C1095,Invoices!$E$6:$E$305,"&lt;="&amp;B1095,Invoices!$F$6:$F$305,"&gt;="&amp;B1095)=1,INDEX(Invoices!$B$6:$B$305,SUMIFS(Invoices!$O$6:$O$305,Invoices!$C$6:$C$305,C1095,Invoices!$E$6:$E$305,"&lt;="&amp;B1095,Invoices!$F$6:$F$305,"&gt;="&amp;B1095)),IF(COUNTIFS(Invoices!$C$6:$C$305,C1095,Invoices!$E$6:$E$305,"&lt;="&amp;B1095,Invoices!$F$6:$F$305,"&gt;="&amp;B1095)&gt;1,"Two invoices",""))))</f>
        <v/>
      </c>
      <c r="Q1095" s="15">
        <f>IF(B1095="","",IF(J1095&lt;&gt;"","Not billable",IF(P1095="","To invoice",IF(P1095="Two invoices","Check dates",IF(ISNA(MATCH(P1095,Invoices!$B$6:$B$305,0)),"Check number",IF(INDEX(Invoices!$M$6:$M$305,MATCH(P1095,Invoices!$B$6:$B$305,0))="Paid","Paid",IF(INDEX(Invoices!$M$6:$M$305,MATCH(P1095,Invoices!$B$6:$B$305,0))="Draft","Draft","Invoiced")))))))</f>
        <v/>
      </c>
      <c r="R1095" s="1">
        <f>IF(AND(B1095&lt;&gt;"",P1095&lt;&gt;"",P1095=Invoice!$G$4),B1095+MOD(N(F1095),1)+ROW()/10000000,"")</f>
        <v/>
      </c>
      <c r="S1095">
        <f>IF(R1095="","",IF(D1095="","Other work",D1095)&amp;IF(AND(K1095&lt;&gt;"",E1095&lt;&gt;""),", "&amp;E1095,""))</f>
        <v/>
      </c>
      <c r="T1095">
        <f>IF(R1095="","",IF(COUNTIFS(R$6:R1094,"&gt;0",S$6:S1094,S1095,N$6:N1094,N1095)=0,R1095,""))</f>
        <v/>
      </c>
      <c r="U1095">
        <f>IF(B1095="","",IF(J1095&lt;&gt;"",0,M1095))</f>
        <v/>
      </c>
    </row>
    <row r="1096">
      <c r="A1096" s="1" t="n"/>
      <c r="B1096" s="16" t="n"/>
      <c r="C1096" s="17" t="n"/>
      <c r="D1096" s="18" t="n"/>
      <c r="E1096" s="18" t="n"/>
      <c r="F1096" s="19" t="n"/>
      <c r="G1096" s="19" t="n"/>
      <c r="H1096" s="20" t="n"/>
      <c r="I1096" s="21" t="n"/>
      <c r="J1096" s="22" t="n"/>
      <c r="K1096" s="23" t="n"/>
      <c r="L1096" s="18" t="n"/>
      <c r="M1096" s="24">
        <f>IF(B1096="","",IF(AND(F1096&lt;&gt;"",G1096&lt;&gt;""),MAX(0,ROUND(MOD(G1096-F1096,1)*24-N(H1096)/60,2)),N(I1096)))</f>
        <v/>
      </c>
      <c r="N1096" s="14">
        <f>IF(B1096="","",IF(K1096&lt;&gt;"",K1096,IF(N(IFERROR(INDEX(Projects!$D$6:$D$65,MATCH(D1096,Projects!$B$6:$B$65,0)),""))&gt;0,IFERROR(INDEX(Projects!$D$6:$D$65,MATCH(D1096,Projects!$B$6:$B$65,0)),""),IFERROR(INDEX(Clients!$G$6:$G$45,MATCH(C1096,Clients!$B$6:$B$45,0)),0))))</f>
        <v/>
      </c>
      <c r="O1096" s="14">
        <f>IF(B1096="","",IF(J1096&lt;&gt;"",0,ROUND(M1096*N1096,2)))</f>
        <v/>
      </c>
      <c r="P1096" s="15">
        <f>IF(OR(B1096="",J1096&lt;&gt;""),"",IF(L1096&lt;&gt;"",L1096,IF(COUNTIFS(Invoices!$C$6:$C$305,C1096,Invoices!$E$6:$E$305,"&lt;="&amp;B1096,Invoices!$F$6:$F$305,"&gt;="&amp;B1096)=1,INDEX(Invoices!$B$6:$B$305,SUMIFS(Invoices!$O$6:$O$305,Invoices!$C$6:$C$305,C1096,Invoices!$E$6:$E$305,"&lt;="&amp;B1096,Invoices!$F$6:$F$305,"&gt;="&amp;B1096)),IF(COUNTIFS(Invoices!$C$6:$C$305,C1096,Invoices!$E$6:$E$305,"&lt;="&amp;B1096,Invoices!$F$6:$F$305,"&gt;="&amp;B1096)&gt;1,"Two invoices",""))))</f>
        <v/>
      </c>
      <c r="Q1096" s="15">
        <f>IF(B1096="","",IF(J1096&lt;&gt;"","Not billable",IF(P1096="","To invoice",IF(P1096="Two invoices","Check dates",IF(ISNA(MATCH(P1096,Invoices!$B$6:$B$305,0)),"Check number",IF(INDEX(Invoices!$M$6:$M$305,MATCH(P1096,Invoices!$B$6:$B$305,0))="Paid","Paid",IF(INDEX(Invoices!$M$6:$M$305,MATCH(P1096,Invoices!$B$6:$B$305,0))="Draft","Draft","Invoiced")))))))</f>
        <v/>
      </c>
      <c r="R1096" s="1">
        <f>IF(AND(B1096&lt;&gt;"",P1096&lt;&gt;"",P1096=Invoice!$G$4),B1096+MOD(N(F1096),1)+ROW()/10000000,"")</f>
        <v/>
      </c>
      <c r="S1096">
        <f>IF(R1096="","",IF(D1096="","Other work",D1096)&amp;IF(AND(K1096&lt;&gt;"",E1096&lt;&gt;""),", "&amp;E1096,""))</f>
        <v/>
      </c>
      <c r="T1096">
        <f>IF(R1096="","",IF(COUNTIFS(R$6:R1095,"&gt;0",S$6:S1095,S1096,N$6:N1095,N1096)=0,R1096,""))</f>
        <v/>
      </c>
      <c r="U1096">
        <f>IF(B1096="","",IF(J1096&lt;&gt;"",0,M1096))</f>
        <v/>
      </c>
    </row>
    <row r="1097">
      <c r="A1097" s="1" t="n"/>
      <c r="B1097" s="16" t="n"/>
      <c r="C1097" s="17" t="n"/>
      <c r="D1097" s="18" t="n"/>
      <c r="E1097" s="18" t="n"/>
      <c r="F1097" s="19" t="n"/>
      <c r="G1097" s="19" t="n"/>
      <c r="H1097" s="20" t="n"/>
      <c r="I1097" s="21" t="n"/>
      <c r="J1097" s="22" t="n"/>
      <c r="K1097" s="23" t="n"/>
      <c r="L1097" s="18" t="n"/>
      <c r="M1097" s="24">
        <f>IF(B1097="","",IF(AND(F1097&lt;&gt;"",G1097&lt;&gt;""),MAX(0,ROUND(MOD(G1097-F1097,1)*24-N(H1097)/60,2)),N(I1097)))</f>
        <v/>
      </c>
      <c r="N1097" s="14">
        <f>IF(B1097="","",IF(K1097&lt;&gt;"",K1097,IF(N(IFERROR(INDEX(Projects!$D$6:$D$65,MATCH(D1097,Projects!$B$6:$B$65,0)),""))&gt;0,IFERROR(INDEX(Projects!$D$6:$D$65,MATCH(D1097,Projects!$B$6:$B$65,0)),""),IFERROR(INDEX(Clients!$G$6:$G$45,MATCH(C1097,Clients!$B$6:$B$45,0)),0))))</f>
        <v/>
      </c>
      <c r="O1097" s="14">
        <f>IF(B1097="","",IF(J1097&lt;&gt;"",0,ROUND(M1097*N1097,2)))</f>
        <v/>
      </c>
      <c r="P1097" s="15">
        <f>IF(OR(B1097="",J1097&lt;&gt;""),"",IF(L1097&lt;&gt;"",L1097,IF(COUNTIFS(Invoices!$C$6:$C$305,C1097,Invoices!$E$6:$E$305,"&lt;="&amp;B1097,Invoices!$F$6:$F$305,"&gt;="&amp;B1097)=1,INDEX(Invoices!$B$6:$B$305,SUMIFS(Invoices!$O$6:$O$305,Invoices!$C$6:$C$305,C1097,Invoices!$E$6:$E$305,"&lt;="&amp;B1097,Invoices!$F$6:$F$305,"&gt;="&amp;B1097)),IF(COUNTIFS(Invoices!$C$6:$C$305,C1097,Invoices!$E$6:$E$305,"&lt;="&amp;B1097,Invoices!$F$6:$F$305,"&gt;="&amp;B1097)&gt;1,"Two invoices",""))))</f>
        <v/>
      </c>
      <c r="Q1097" s="15">
        <f>IF(B1097="","",IF(J1097&lt;&gt;"","Not billable",IF(P1097="","To invoice",IF(P1097="Two invoices","Check dates",IF(ISNA(MATCH(P1097,Invoices!$B$6:$B$305,0)),"Check number",IF(INDEX(Invoices!$M$6:$M$305,MATCH(P1097,Invoices!$B$6:$B$305,0))="Paid","Paid",IF(INDEX(Invoices!$M$6:$M$305,MATCH(P1097,Invoices!$B$6:$B$305,0))="Draft","Draft","Invoiced")))))))</f>
        <v/>
      </c>
      <c r="R1097" s="1">
        <f>IF(AND(B1097&lt;&gt;"",P1097&lt;&gt;"",P1097=Invoice!$G$4),B1097+MOD(N(F1097),1)+ROW()/10000000,"")</f>
        <v/>
      </c>
      <c r="S1097">
        <f>IF(R1097="","",IF(D1097="","Other work",D1097)&amp;IF(AND(K1097&lt;&gt;"",E1097&lt;&gt;""),", "&amp;E1097,""))</f>
        <v/>
      </c>
      <c r="T1097">
        <f>IF(R1097="","",IF(COUNTIFS(R$6:R1096,"&gt;0",S$6:S1096,S1097,N$6:N1096,N1097)=0,R1097,""))</f>
        <v/>
      </c>
      <c r="U1097">
        <f>IF(B1097="","",IF(J1097&lt;&gt;"",0,M1097))</f>
        <v/>
      </c>
    </row>
    <row r="1098">
      <c r="A1098" s="1" t="n"/>
      <c r="B1098" s="16" t="n"/>
      <c r="C1098" s="17" t="n"/>
      <c r="D1098" s="18" t="n"/>
      <c r="E1098" s="18" t="n"/>
      <c r="F1098" s="19" t="n"/>
      <c r="G1098" s="19" t="n"/>
      <c r="H1098" s="20" t="n"/>
      <c r="I1098" s="21" t="n"/>
      <c r="J1098" s="22" t="n"/>
      <c r="K1098" s="23" t="n"/>
      <c r="L1098" s="18" t="n"/>
      <c r="M1098" s="24">
        <f>IF(B1098="","",IF(AND(F1098&lt;&gt;"",G1098&lt;&gt;""),MAX(0,ROUND(MOD(G1098-F1098,1)*24-N(H1098)/60,2)),N(I1098)))</f>
        <v/>
      </c>
      <c r="N1098" s="14">
        <f>IF(B1098="","",IF(K1098&lt;&gt;"",K1098,IF(N(IFERROR(INDEX(Projects!$D$6:$D$65,MATCH(D1098,Projects!$B$6:$B$65,0)),""))&gt;0,IFERROR(INDEX(Projects!$D$6:$D$65,MATCH(D1098,Projects!$B$6:$B$65,0)),""),IFERROR(INDEX(Clients!$G$6:$G$45,MATCH(C1098,Clients!$B$6:$B$45,0)),0))))</f>
        <v/>
      </c>
      <c r="O1098" s="14">
        <f>IF(B1098="","",IF(J1098&lt;&gt;"",0,ROUND(M1098*N1098,2)))</f>
        <v/>
      </c>
      <c r="P1098" s="15">
        <f>IF(OR(B1098="",J1098&lt;&gt;""),"",IF(L1098&lt;&gt;"",L1098,IF(COUNTIFS(Invoices!$C$6:$C$305,C1098,Invoices!$E$6:$E$305,"&lt;="&amp;B1098,Invoices!$F$6:$F$305,"&gt;="&amp;B1098)=1,INDEX(Invoices!$B$6:$B$305,SUMIFS(Invoices!$O$6:$O$305,Invoices!$C$6:$C$305,C1098,Invoices!$E$6:$E$305,"&lt;="&amp;B1098,Invoices!$F$6:$F$305,"&gt;="&amp;B1098)),IF(COUNTIFS(Invoices!$C$6:$C$305,C1098,Invoices!$E$6:$E$305,"&lt;="&amp;B1098,Invoices!$F$6:$F$305,"&gt;="&amp;B1098)&gt;1,"Two invoices",""))))</f>
        <v/>
      </c>
      <c r="Q1098" s="15">
        <f>IF(B1098="","",IF(J1098&lt;&gt;"","Not billable",IF(P1098="","To invoice",IF(P1098="Two invoices","Check dates",IF(ISNA(MATCH(P1098,Invoices!$B$6:$B$305,0)),"Check number",IF(INDEX(Invoices!$M$6:$M$305,MATCH(P1098,Invoices!$B$6:$B$305,0))="Paid","Paid",IF(INDEX(Invoices!$M$6:$M$305,MATCH(P1098,Invoices!$B$6:$B$305,0))="Draft","Draft","Invoiced")))))))</f>
        <v/>
      </c>
      <c r="R1098" s="1">
        <f>IF(AND(B1098&lt;&gt;"",P1098&lt;&gt;"",P1098=Invoice!$G$4),B1098+MOD(N(F1098),1)+ROW()/10000000,"")</f>
        <v/>
      </c>
      <c r="S1098">
        <f>IF(R1098="","",IF(D1098="","Other work",D1098)&amp;IF(AND(K1098&lt;&gt;"",E1098&lt;&gt;""),", "&amp;E1098,""))</f>
        <v/>
      </c>
      <c r="T1098">
        <f>IF(R1098="","",IF(COUNTIFS(R$6:R1097,"&gt;0",S$6:S1097,S1098,N$6:N1097,N1098)=0,R1098,""))</f>
        <v/>
      </c>
      <c r="U1098">
        <f>IF(B1098="","",IF(J1098&lt;&gt;"",0,M1098))</f>
        <v/>
      </c>
    </row>
    <row r="1099">
      <c r="A1099" s="1" t="n"/>
      <c r="B1099" s="16" t="n"/>
      <c r="C1099" s="17" t="n"/>
      <c r="D1099" s="18" t="n"/>
      <c r="E1099" s="18" t="n"/>
      <c r="F1099" s="19" t="n"/>
      <c r="G1099" s="19" t="n"/>
      <c r="H1099" s="20" t="n"/>
      <c r="I1099" s="21" t="n"/>
      <c r="J1099" s="22" t="n"/>
      <c r="K1099" s="23" t="n"/>
      <c r="L1099" s="18" t="n"/>
      <c r="M1099" s="24">
        <f>IF(B1099="","",IF(AND(F1099&lt;&gt;"",G1099&lt;&gt;""),MAX(0,ROUND(MOD(G1099-F1099,1)*24-N(H1099)/60,2)),N(I1099)))</f>
        <v/>
      </c>
      <c r="N1099" s="14">
        <f>IF(B1099="","",IF(K1099&lt;&gt;"",K1099,IF(N(IFERROR(INDEX(Projects!$D$6:$D$65,MATCH(D1099,Projects!$B$6:$B$65,0)),""))&gt;0,IFERROR(INDEX(Projects!$D$6:$D$65,MATCH(D1099,Projects!$B$6:$B$65,0)),""),IFERROR(INDEX(Clients!$G$6:$G$45,MATCH(C1099,Clients!$B$6:$B$45,0)),0))))</f>
        <v/>
      </c>
      <c r="O1099" s="14">
        <f>IF(B1099="","",IF(J1099&lt;&gt;"",0,ROUND(M1099*N1099,2)))</f>
        <v/>
      </c>
      <c r="P1099" s="15">
        <f>IF(OR(B1099="",J1099&lt;&gt;""),"",IF(L1099&lt;&gt;"",L1099,IF(COUNTIFS(Invoices!$C$6:$C$305,C1099,Invoices!$E$6:$E$305,"&lt;="&amp;B1099,Invoices!$F$6:$F$305,"&gt;="&amp;B1099)=1,INDEX(Invoices!$B$6:$B$305,SUMIFS(Invoices!$O$6:$O$305,Invoices!$C$6:$C$305,C1099,Invoices!$E$6:$E$305,"&lt;="&amp;B1099,Invoices!$F$6:$F$305,"&gt;="&amp;B1099)),IF(COUNTIFS(Invoices!$C$6:$C$305,C1099,Invoices!$E$6:$E$305,"&lt;="&amp;B1099,Invoices!$F$6:$F$305,"&gt;="&amp;B1099)&gt;1,"Two invoices",""))))</f>
        <v/>
      </c>
      <c r="Q1099" s="15">
        <f>IF(B1099="","",IF(J1099&lt;&gt;"","Not billable",IF(P1099="","To invoice",IF(P1099="Two invoices","Check dates",IF(ISNA(MATCH(P1099,Invoices!$B$6:$B$305,0)),"Check number",IF(INDEX(Invoices!$M$6:$M$305,MATCH(P1099,Invoices!$B$6:$B$305,0))="Paid","Paid",IF(INDEX(Invoices!$M$6:$M$305,MATCH(P1099,Invoices!$B$6:$B$305,0))="Draft","Draft","Invoiced")))))))</f>
        <v/>
      </c>
      <c r="R1099" s="1">
        <f>IF(AND(B1099&lt;&gt;"",P1099&lt;&gt;"",P1099=Invoice!$G$4),B1099+MOD(N(F1099),1)+ROW()/10000000,"")</f>
        <v/>
      </c>
      <c r="S1099">
        <f>IF(R1099="","",IF(D1099="","Other work",D1099)&amp;IF(AND(K1099&lt;&gt;"",E1099&lt;&gt;""),", "&amp;E1099,""))</f>
        <v/>
      </c>
      <c r="T1099">
        <f>IF(R1099="","",IF(COUNTIFS(R$6:R1098,"&gt;0",S$6:S1098,S1099,N$6:N1098,N1099)=0,R1099,""))</f>
        <v/>
      </c>
      <c r="U1099">
        <f>IF(B1099="","",IF(J1099&lt;&gt;"",0,M1099))</f>
        <v/>
      </c>
    </row>
    <row r="1100">
      <c r="A1100" s="1" t="n"/>
      <c r="B1100" s="16" t="n"/>
      <c r="C1100" s="17" t="n"/>
      <c r="D1100" s="18" t="n"/>
      <c r="E1100" s="18" t="n"/>
      <c r="F1100" s="19" t="n"/>
      <c r="G1100" s="19" t="n"/>
      <c r="H1100" s="20" t="n"/>
      <c r="I1100" s="21" t="n"/>
      <c r="J1100" s="22" t="n"/>
      <c r="K1100" s="23" t="n"/>
      <c r="L1100" s="18" t="n"/>
      <c r="M1100" s="24">
        <f>IF(B1100="","",IF(AND(F1100&lt;&gt;"",G1100&lt;&gt;""),MAX(0,ROUND(MOD(G1100-F1100,1)*24-N(H1100)/60,2)),N(I1100)))</f>
        <v/>
      </c>
      <c r="N1100" s="14">
        <f>IF(B1100="","",IF(K1100&lt;&gt;"",K1100,IF(N(IFERROR(INDEX(Projects!$D$6:$D$65,MATCH(D1100,Projects!$B$6:$B$65,0)),""))&gt;0,IFERROR(INDEX(Projects!$D$6:$D$65,MATCH(D1100,Projects!$B$6:$B$65,0)),""),IFERROR(INDEX(Clients!$G$6:$G$45,MATCH(C1100,Clients!$B$6:$B$45,0)),0))))</f>
        <v/>
      </c>
      <c r="O1100" s="14">
        <f>IF(B1100="","",IF(J1100&lt;&gt;"",0,ROUND(M1100*N1100,2)))</f>
        <v/>
      </c>
      <c r="P1100" s="15">
        <f>IF(OR(B1100="",J1100&lt;&gt;""),"",IF(L1100&lt;&gt;"",L1100,IF(COUNTIFS(Invoices!$C$6:$C$305,C1100,Invoices!$E$6:$E$305,"&lt;="&amp;B1100,Invoices!$F$6:$F$305,"&gt;="&amp;B1100)=1,INDEX(Invoices!$B$6:$B$305,SUMIFS(Invoices!$O$6:$O$305,Invoices!$C$6:$C$305,C1100,Invoices!$E$6:$E$305,"&lt;="&amp;B1100,Invoices!$F$6:$F$305,"&gt;="&amp;B1100)),IF(COUNTIFS(Invoices!$C$6:$C$305,C1100,Invoices!$E$6:$E$305,"&lt;="&amp;B1100,Invoices!$F$6:$F$305,"&gt;="&amp;B1100)&gt;1,"Two invoices",""))))</f>
        <v/>
      </c>
      <c r="Q1100" s="15">
        <f>IF(B1100="","",IF(J1100&lt;&gt;"","Not billable",IF(P1100="","To invoice",IF(P1100="Two invoices","Check dates",IF(ISNA(MATCH(P1100,Invoices!$B$6:$B$305,0)),"Check number",IF(INDEX(Invoices!$M$6:$M$305,MATCH(P1100,Invoices!$B$6:$B$305,0))="Paid","Paid",IF(INDEX(Invoices!$M$6:$M$305,MATCH(P1100,Invoices!$B$6:$B$305,0))="Draft","Draft","Invoiced")))))))</f>
        <v/>
      </c>
      <c r="R1100" s="1">
        <f>IF(AND(B1100&lt;&gt;"",P1100&lt;&gt;"",P1100=Invoice!$G$4),B1100+MOD(N(F1100),1)+ROW()/10000000,"")</f>
        <v/>
      </c>
      <c r="S1100">
        <f>IF(R1100="","",IF(D1100="","Other work",D1100)&amp;IF(AND(K1100&lt;&gt;"",E1100&lt;&gt;""),", "&amp;E1100,""))</f>
        <v/>
      </c>
      <c r="T1100">
        <f>IF(R1100="","",IF(COUNTIFS(R$6:R1099,"&gt;0",S$6:S1099,S1100,N$6:N1099,N1100)=0,R1100,""))</f>
        <v/>
      </c>
      <c r="U1100">
        <f>IF(B1100="","",IF(J1100&lt;&gt;"",0,M1100))</f>
        <v/>
      </c>
    </row>
    <row r="1101">
      <c r="A1101" s="1" t="n"/>
      <c r="B1101" s="16" t="n"/>
      <c r="C1101" s="17" t="n"/>
      <c r="D1101" s="18" t="n"/>
      <c r="E1101" s="18" t="n"/>
      <c r="F1101" s="19" t="n"/>
      <c r="G1101" s="19" t="n"/>
      <c r="H1101" s="20" t="n"/>
      <c r="I1101" s="21" t="n"/>
      <c r="J1101" s="22" t="n"/>
      <c r="K1101" s="23" t="n"/>
      <c r="L1101" s="18" t="n"/>
      <c r="M1101" s="24">
        <f>IF(B1101="","",IF(AND(F1101&lt;&gt;"",G1101&lt;&gt;""),MAX(0,ROUND(MOD(G1101-F1101,1)*24-N(H1101)/60,2)),N(I1101)))</f>
        <v/>
      </c>
      <c r="N1101" s="14">
        <f>IF(B1101="","",IF(K1101&lt;&gt;"",K1101,IF(N(IFERROR(INDEX(Projects!$D$6:$D$65,MATCH(D1101,Projects!$B$6:$B$65,0)),""))&gt;0,IFERROR(INDEX(Projects!$D$6:$D$65,MATCH(D1101,Projects!$B$6:$B$65,0)),""),IFERROR(INDEX(Clients!$G$6:$G$45,MATCH(C1101,Clients!$B$6:$B$45,0)),0))))</f>
        <v/>
      </c>
      <c r="O1101" s="14">
        <f>IF(B1101="","",IF(J1101&lt;&gt;"",0,ROUND(M1101*N1101,2)))</f>
        <v/>
      </c>
      <c r="P1101" s="15">
        <f>IF(OR(B1101="",J1101&lt;&gt;""),"",IF(L1101&lt;&gt;"",L1101,IF(COUNTIFS(Invoices!$C$6:$C$305,C1101,Invoices!$E$6:$E$305,"&lt;="&amp;B1101,Invoices!$F$6:$F$305,"&gt;="&amp;B1101)=1,INDEX(Invoices!$B$6:$B$305,SUMIFS(Invoices!$O$6:$O$305,Invoices!$C$6:$C$305,C1101,Invoices!$E$6:$E$305,"&lt;="&amp;B1101,Invoices!$F$6:$F$305,"&gt;="&amp;B1101)),IF(COUNTIFS(Invoices!$C$6:$C$305,C1101,Invoices!$E$6:$E$305,"&lt;="&amp;B1101,Invoices!$F$6:$F$305,"&gt;="&amp;B1101)&gt;1,"Two invoices",""))))</f>
        <v/>
      </c>
      <c r="Q1101" s="15">
        <f>IF(B1101="","",IF(J1101&lt;&gt;"","Not billable",IF(P1101="","To invoice",IF(P1101="Two invoices","Check dates",IF(ISNA(MATCH(P1101,Invoices!$B$6:$B$305,0)),"Check number",IF(INDEX(Invoices!$M$6:$M$305,MATCH(P1101,Invoices!$B$6:$B$305,0))="Paid","Paid",IF(INDEX(Invoices!$M$6:$M$305,MATCH(P1101,Invoices!$B$6:$B$305,0))="Draft","Draft","Invoiced")))))))</f>
        <v/>
      </c>
      <c r="R1101" s="1">
        <f>IF(AND(B1101&lt;&gt;"",P1101&lt;&gt;"",P1101=Invoice!$G$4),B1101+MOD(N(F1101),1)+ROW()/10000000,"")</f>
        <v/>
      </c>
      <c r="S1101">
        <f>IF(R1101="","",IF(D1101="","Other work",D1101)&amp;IF(AND(K1101&lt;&gt;"",E1101&lt;&gt;""),", "&amp;E1101,""))</f>
        <v/>
      </c>
      <c r="T1101">
        <f>IF(R1101="","",IF(COUNTIFS(R$6:R1100,"&gt;0",S$6:S1100,S1101,N$6:N1100,N1101)=0,R1101,""))</f>
        <v/>
      </c>
      <c r="U1101">
        <f>IF(B1101="","",IF(J1101&lt;&gt;"",0,M1101))</f>
        <v/>
      </c>
    </row>
    <row r="1102">
      <c r="A1102" s="1" t="n"/>
      <c r="B1102" s="16" t="n"/>
      <c r="C1102" s="17" t="n"/>
      <c r="D1102" s="18" t="n"/>
      <c r="E1102" s="18" t="n"/>
      <c r="F1102" s="19" t="n"/>
      <c r="G1102" s="19" t="n"/>
      <c r="H1102" s="20" t="n"/>
      <c r="I1102" s="21" t="n"/>
      <c r="J1102" s="22" t="n"/>
      <c r="K1102" s="23" t="n"/>
      <c r="L1102" s="18" t="n"/>
      <c r="M1102" s="24">
        <f>IF(B1102="","",IF(AND(F1102&lt;&gt;"",G1102&lt;&gt;""),MAX(0,ROUND(MOD(G1102-F1102,1)*24-N(H1102)/60,2)),N(I1102)))</f>
        <v/>
      </c>
      <c r="N1102" s="14">
        <f>IF(B1102="","",IF(K1102&lt;&gt;"",K1102,IF(N(IFERROR(INDEX(Projects!$D$6:$D$65,MATCH(D1102,Projects!$B$6:$B$65,0)),""))&gt;0,IFERROR(INDEX(Projects!$D$6:$D$65,MATCH(D1102,Projects!$B$6:$B$65,0)),""),IFERROR(INDEX(Clients!$G$6:$G$45,MATCH(C1102,Clients!$B$6:$B$45,0)),0))))</f>
        <v/>
      </c>
      <c r="O1102" s="14">
        <f>IF(B1102="","",IF(J1102&lt;&gt;"",0,ROUND(M1102*N1102,2)))</f>
        <v/>
      </c>
      <c r="P1102" s="15">
        <f>IF(OR(B1102="",J1102&lt;&gt;""),"",IF(L1102&lt;&gt;"",L1102,IF(COUNTIFS(Invoices!$C$6:$C$305,C1102,Invoices!$E$6:$E$305,"&lt;="&amp;B1102,Invoices!$F$6:$F$305,"&gt;="&amp;B1102)=1,INDEX(Invoices!$B$6:$B$305,SUMIFS(Invoices!$O$6:$O$305,Invoices!$C$6:$C$305,C1102,Invoices!$E$6:$E$305,"&lt;="&amp;B1102,Invoices!$F$6:$F$305,"&gt;="&amp;B1102)),IF(COUNTIFS(Invoices!$C$6:$C$305,C1102,Invoices!$E$6:$E$305,"&lt;="&amp;B1102,Invoices!$F$6:$F$305,"&gt;="&amp;B1102)&gt;1,"Two invoices",""))))</f>
        <v/>
      </c>
      <c r="Q1102" s="15">
        <f>IF(B1102="","",IF(J1102&lt;&gt;"","Not billable",IF(P1102="","To invoice",IF(P1102="Two invoices","Check dates",IF(ISNA(MATCH(P1102,Invoices!$B$6:$B$305,0)),"Check number",IF(INDEX(Invoices!$M$6:$M$305,MATCH(P1102,Invoices!$B$6:$B$305,0))="Paid","Paid",IF(INDEX(Invoices!$M$6:$M$305,MATCH(P1102,Invoices!$B$6:$B$305,0))="Draft","Draft","Invoiced")))))))</f>
        <v/>
      </c>
      <c r="R1102" s="1">
        <f>IF(AND(B1102&lt;&gt;"",P1102&lt;&gt;"",P1102=Invoice!$G$4),B1102+MOD(N(F1102),1)+ROW()/10000000,"")</f>
        <v/>
      </c>
      <c r="S1102">
        <f>IF(R1102="","",IF(D1102="","Other work",D1102)&amp;IF(AND(K1102&lt;&gt;"",E1102&lt;&gt;""),", "&amp;E1102,""))</f>
        <v/>
      </c>
      <c r="T1102">
        <f>IF(R1102="","",IF(COUNTIFS(R$6:R1101,"&gt;0",S$6:S1101,S1102,N$6:N1101,N1102)=0,R1102,""))</f>
        <v/>
      </c>
      <c r="U1102">
        <f>IF(B1102="","",IF(J1102&lt;&gt;"",0,M1102))</f>
        <v/>
      </c>
    </row>
    <row r="1103">
      <c r="A1103" s="1" t="n"/>
      <c r="B1103" s="16" t="n"/>
      <c r="C1103" s="17" t="n"/>
      <c r="D1103" s="18" t="n"/>
      <c r="E1103" s="18" t="n"/>
      <c r="F1103" s="19" t="n"/>
      <c r="G1103" s="19" t="n"/>
      <c r="H1103" s="20" t="n"/>
      <c r="I1103" s="21" t="n"/>
      <c r="J1103" s="22" t="n"/>
      <c r="K1103" s="23" t="n"/>
      <c r="L1103" s="18" t="n"/>
      <c r="M1103" s="24">
        <f>IF(B1103="","",IF(AND(F1103&lt;&gt;"",G1103&lt;&gt;""),MAX(0,ROUND(MOD(G1103-F1103,1)*24-N(H1103)/60,2)),N(I1103)))</f>
        <v/>
      </c>
      <c r="N1103" s="14">
        <f>IF(B1103="","",IF(K1103&lt;&gt;"",K1103,IF(N(IFERROR(INDEX(Projects!$D$6:$D$65,MATCH(D1103,Projects!$B$6:$B$65,0)),""))&gt;0,IFERROR(INDEX(Projects!$D$6:$D$65,MATCH(D1103,Projects!$B$6:$B$65,0)),""),IFERROR(INDEX(Clients!$G$6:$G$45,MATCH(C1103,Clients!$B$6:$B$45,0)),0))))</f>
        <v/>
      </c>
      <c r="O1103" s="14">
        <f>IF(B1103="","",IF(J1103&lt;&gt;"",0,ROUND(M1103*N1103,2)))</f>
        <v/>
      </c>
      <c r="P1103" s="15">
        <f>IF(OR(B1103="",J1103&lt;&gt;""),"",IF(L1103&lt;&gt;"",L1103,IF(COUNTIFS(Invoices!$C$6:$C$305,C1103,Invoices!$E$6:$E$305,"&lt;="&amp;B1103,Invoices!$F$6:$F$305,"&gt;="&amp;B1103)=1,INDEX(Invoices!$B$6:$B$305,SUMIFS(Invoices!$O$6:$O$305,Invoices!$C$6:$C$305,C1103,Invoices!$E$6:$E$305,"&lt;="&amp;B1103,Invoices!$F$6:$F$305,"&gt;="&amp;B1103)),IF(COUNTIFS(Invoices!$C$6:$C$305,C1103,Invoices!$E$6:$E$305,"&lt;="&amp;B1103,Invoices!$F$6:$F$305,"&gt;="&amp;B1103)&gt;1,"Two invoices",""))))</f>
        <v/>
      </c>
      <c r="Q1103" s="15">
        <f>IF(B1103="","",IF(J1103&lt;&gt;"","Not billable",IF(P1103="","To invoice",IF(P1103="Two invoices","Check dates",IF(ISNA(MATCH(P1103,Invoices!$B$6:$B$305,0)),"Check number",IF(INDEX(Invoices!$M$6:$M$305,MATCH(P1103,Invoices!$B$6:$B$305,0))="Paid","Paid",IF(INDEX(Invoices!$M$6:$M$305,MATCH(P1103,Invoices!$B$6:$B$305,0))="Draft","Draft","Invoiced")))))))</f>
        <v/>
      </c>
      <c r="R1103" s="1">
        <f>IF(AND(B1103&lt;&gt;"",P1103&lt;&gt;"",P1103=Invoice!$G$4),B1103+MOD(N(F1103),1)+ROW()/10000000,"")</f>
        <v/>
      </c>
      <c r="S1103">
        <f>IF(R1103="","",IF(D1103="","Other work",D1103)&amp;IF(AND(K1103&lt;&gt;"",E1103&lt;&gt;""),", "&amp;E1103,""))</f>
        <v/>
      </c>
      <c r="T1103">
        <f>IF(R1103="","",IF(COUNTIFS(R$6:R1102,"&gt;0",S$6:S1102,S1103,N$6:N1102,N1103)=0,R1103,""))</f>
        <v/>
      </c>
      <c r="U1103">
        <f>IF(B1103="","",IF(J1103&lt;&gt;"",0,M1103))</f>
        <v/>
      </c>
    </row>
    <row r="1104">
      <c r="A1104" s="1" t="n"/>
      <c r="B1104" s="16" t="n"/>
      <c r="C1104" s="17" t="n"/>
      <c r="D1104" s="18" t="n"/>
      <c r="E1104" s="18" t="n"/>
      <c r="F1104" s="19" t="n"/>
      <c r="G1104" s="19" t="n"/>
      <c r="H1104" s="20" t="n"/>
      <c r="I1104" s="21" t="n"/>
      <c r="J1104" s="22" t="n"/>
      <c r="K1104" s="23" t="n"/>
      <c r="L1104" s="18" t="n"/>
      <c r="M1104" s="24">
        <f>IF(B1104="","",IF(AND(F1104&lt;&gt;"",G1104&lt;&gt;""),MAX(0,ROUND(MOD(G1104-F1104,1)*24-N(H1104)/60,2)),N(I1104)))</f>
        <v/>
      </c>
      <c r="N1104" s="14">
        <f>IF(B1104="","",IF(K1104&lt;&gt;"",K1104,IF(N(IFERROR(INDEX(Projects!$D$6:$D$65,MATCH(D1104,Projects!$B$6:$B$65,0)),""))&gt;0,IFERROR(INDEX(Projects!$D$6:$D$65,MATCH(D1104,Projects!$B$6:$B$65,0)),""),IFERROR(INDEX(Clients!$G$6:$G$45,MATCH(C1104,Clients!$B$6:$B$45,0)),0))))</f>
        <v/>
      </c>
      <c r="O1104" s="14">
        <f>IF(B1104="","",IF(J1104&lt;&gt;"",0,ROUND(M1104*N1104,2)))</f>
        <v/>
      </c>
      <c r="P1104" s="15">
        <f>IF(OR(B1104="",J1104&lt;&gt;""),"",IF(L1104&lt;&gt;"",L1104,IF(COUNTIFS(Invoices!$C$6:$C$305,C1104,Invoices!$E$6:$E$305,"&lt;="&amp;B1104,Invoices!$F$6:$F$305,"&gt;="&amp;B1104)=1,INDEX(Invoices!$B$6:$B$305,SUMIFS(Invoices!$O$6:$O$305,Invoices!$C$6:$C$305,C1104,Invoices!$E$6:$E$305,"&lt;="&amp;B1104,Invoices!$F$6:$F$305,"&gt;="&amp;B1104)),IF(COUNTIFS(Invoices!$C$6:$C$305,C1104,Invoices!$E$6:$E$305,"&lt;="&amp;B1104,Invoices!$F$6:$F$305,"&gt;="&amp;B1104)&gt;1,"Two invoices",""))))</f>
        <v/>
      </c>
      <c r="Q1104" s="15">
        <f>IF(B1104="","",IF(J1104&lt;&gt;"","Not billable",IF(P1104="","To invoice",IF(P1104="Two invoices","Check dates",IF(ISNA(MATCH(P1104,Invoices!$B$6:$B$305,0)),"Check number",IF(INDEX(Invoices!$M$6:$M$305,MATCH(P1104,Invoices!$B$6:$B$305,0))="Paid","Paid",IF(INDEX(Invoices!$M$6:$M$305,MATCH(P1104,Invoices!$B$6:$B$305,0))="Draft","Draft","Invoiced")))))))</f>
        <v/>
      </c>
      <c r="R1104" s="1">
        <f>IF(AND(B1104&lt;&gt;"",P1104&lt;&gt;"",P1104=Invoice!$G$4),B1104+MOD(N(F1104),1)+ROW()/10000000,"")</f>
        <v/>
      </c>
      <c r="S1104">
        <f>IF(R1104="","",IF(D1104="","Other work",D1104)&amp;IF(AND(K1104&lt;&gt;"",E1104&lt;&gt;""),", "&amp;E1104,""))</f>
        <v/>
      </c>
      <c r="T1104">
        <f>IF(R1104="","",IF(COUNTIFS(R$6:R1103,"&gt;0",S$6:S1103,S1104,N$6:N1103,N1104)=0,R1104,""))</f>
        <v/>
      </c>
      <c r="U1104">
        <f>IF(B1104="","",IF(J1104&lt;&gt;"",0,M1104))</f>
        <v/>
      </c>
    </row>
    <row r="1105">
      <c r="A1105" s="1" t="n"/>
      <c r="B1105" s="16" t="n"/>
      <c r="C1105" s="17" t="n"/>
      <c r="D1105" s="18" t="n"/>
      <c r="E1105" s="18" t="n"/>
      <c r="F1105" s="19" t="n"/>
      <c r="G1105" s="19" t="n"/>
      <c r="H1105" s="20" t="n"/>
      <c r="I1105" s="21" t="n"/>
      <c r="J1105" s="22" t="n"/>
      <c r="K1105" s="23" t="n"/>
      <c r="L1105" s="18" t="n"/>
      <c r="M1105" s="24">
        <f>IF(B1105="","",IF(AND(F1105&lt;&gt;"",G1105&lt;&gt;""),MAX(0,ROUND(MOD(G1105-F1105,1)*24-N(H1105)/60,2)),N(I1105)))</f>
        <v/>
      </c>
      <c r="N1105" s="14">
        <f>IF(B1105="","",IF(K1105&lt;&gt;"",K1105,IF(N(IFERROR(INDEX(Projects!$D$6:$D$65,MATCH(D1105,Projects!$B$6:$B$65,0)),""))&gt;0,IFERROR(INDEX(Projects!$D$6:$D$65,MATCH(D1105,Projects!$B$6:$B$65,0)),""),IFERROR(INDEX(Clients!$G$6:$G$45,MATCH(C1105,Clients!$B$6:$B$45,0)),0))))</f>
        <v/>
      </c>
      <c r="O1105" s="14">
        <f>IF(B1105="","",IF(J1105&lt;&gt;"",0,ROUND(M1105*N1105,2)))</f>
        <v/>
      </c>
      <c r="P1105" s="15">
        <f>IF(OR(B1105="",J1105&lt;&gt;""),"",IF(L1105&lt;&gt;"",L1105,IF(COUNTIFS(Invoices!$C$6:$C$305,C1105,Invoices!$E$6:$E$305,"&lt;="&amp;B1105,Invoices!$F$6:$F$305,"&gt;="&amp;B1105)=1,INDEX(Invoices!$B$6:$B$305,SUMIFS(Invoices!$O$6:$O$305,Invoices!$C$6:$C$305,C1105,Invoices!$E$6:$E$305,"&lt;="&amp;B1105,Invoices!$F$6:$F$305,"&gt;="&amp;B1105)),IF(COUNTIFS(Invoices!$C$6:$C$305,C1105,Invoices!$E$6:$E$305,"&lt;="&amp;B1105,Invoices!$F$6:$F$305,"&gt;="&amp;B1105)&gt;1,"Two invoices",""))))</f>
        <v/>
      </c>
      <c r="Q1105" s="15">
        <f>IF(B1105="","",IF(J1105&lt;&gt;"","Not billable",IF(P1105="","To invoice",IF(P1105="Two invoices","Check dates",IF(ISNA(MATCH(P1105,Invoices!$B$6:$B$305,0)),"Check number",IF(INDEX(Invoices!$M$6:$M$305,MATCH(P1105,Invoices!$B$6:$B$305,0))="Paid","Paid",IF(INDEX(Invoices!$M$6:$M$305,MATCH(P1105,Invoices!$B$6:$B$305,0))="Draft","Draft","Invoiced")))))))</f>
        <v/>
      </c>
      <c r="R1105" s="1">
        <f>IF(AND(B1105&lt;&gt;"",P1105&lt;&gt;"",P1105=Invoice!$G$4),B1105+MOD(N(F1105),1)+ROW()/10000000,"")</f>
        <v/>
      </c>
      <c r="S1105">
        <f>IF(R1105="","",IF(D1105="","Other work",D1105)&amp;IF(AND(K1105&lt;&gt;"",E1105&lt;&gt;""),", "&amp;E1105,""))</f>
        <v/>
      </c>
      <c r="T1105">
        <f>IF(R1105="","",IF(COUNTIFS(R$6:R1104,"&gt;0",S$6:S1104,S1105,N$6:N1104,N1105)=0,R1105,""))</f>
        <v/>
      </c>
      <c r="U1105">
        <f>IF(B1105="","",IF(J1105&lt;&gt;"",0,M1105))</f>
        <v/>
      </c>
    </row>
    <row r="1106">
      <c r="A1106" s="1" t="n"/>
      <c r="B1106" s="16" t="n"/>
      <c r="C1106" s="17" t="n"/>
      <c r="D1106" s="18" t="n"/>
      <c r="E1106" s="18" t="n"/>
      <c r="F1106" s="19" t="n"/>
      <c r="G1106" s="19" t="n"/>
      <c r="H1106" s="20" t="n"/>
      <c r="I1106" s="21" t="n"/>
      <c r="J1106" s="22" t="n"/>
      <c r="K1106" s="23" t="n"/>
      <c r="L1106" s="18" t="n"/>
      <c r="M1106" s="24">
        <f>IF(B1106="","",IF(AND(F1106&lt;&gt;"",G1106&lt;&gt;""),MAX(0,ROUND(MOD(G1106-F1106,1)*24-N(H1106)/60,2)),N(I1106)))</f>
        <v/>
      </c>
      <c r="N1106" s="14">
        <f>IF(B1106="","",IF(K1106&lt;&gt;"",K1106,IF(N(IFERROR(INDEX(Projects!$D$6:$D$65,MATCH(D1106,Projects!$B$6:$B$65,0)),""))&gt;0,IFERROR(INDEX(Projects!$D$6:$D$65,MATCH(D1106,Projects!$B$6:$B$65,0)),""),IFERROR(INDEX(Clients!$G$6:$G$45,MATCH(C1106,Clients!$B$6:$B$45,0)),0))))</f>
        <v/>
      </c>
      <c r="O1106" s="14">
        <f>IF(B1106="","",IF(J1106&lt;&gt;"",0,ROUND(M1106*N1106,2)))</f>
        <v/>
      </c>
      <c r="P1106" s="15">
        <f>IF(OR(B1106="",J1106&lt;&gt;""),"",IF(L1106&lt;&gt;"",L1106,IF(COUNTIFS(Invoices!$C$6:$C$305,C1106,Invoices!$E$6:$E$305,"&lt;="&amp;B1106,Invoices!$F$6:$F$305,"&gt;="&amp;B1106)=1,INDEX(Invoices!$B$6:$B$305,SUMIFS(Invoices!$O$6:$O$305,Invoices!$C$6:$C$305,C1106,Invoices!$E$6:$E$305,"&lt;="&amp;B1106,Invoices!$F$6:$F$305,"&gt;="&amp;B1106)),IF(COUNTIFS(Invoices!$C$6:$C$305,C1106,Invoices!$E$6:$E$305,"&lt;="&amp;B1106,Invoices!$F$6:$F$305,"&gt;="&amp;B1106)&gt;1,"Two invoices",""))))</f>
        <v/>
      </c>
      <c r="Q1106" s="15">
        <f>IF(B1106="","",IF(J1106&lt;&gt;"","Not billable",IF(P1106="","To invoice",IF(P1106="Two invoices","Check dates",IF(ISNA(MATCH(P1106,Invoices!$B$6:$B$305,0)),"Check number",IF(INDEX(Invoices!$M$6:$M$305,MATCH(P1106,Invoices!$B$6:$B$305,0))="Paid","Paid",IF(INDEX(Invoices!$M$6:$M$305,MATCH(P1106,Invoices!$B$6:$B$305,0))="Draft","Draft","Invoiced")))))))</f>
        <v/>
      </c>
      <c r="R1106" s="1">
        <f>IF(AND(B1106&lt;&gt;"",P1106&lt;&gt;"",P1106=Invoice!$G$4),B1106+MOD(N(F1106),1)+ROW()/10000000,"")</f>
        <v/>
      </c>
      <c r="S1106">
        <f>IF(R1106="","",IF(D1106="","Other work",D1106)&amp;IF(AND(K1106&lt;&gt;"",E1106&lt;&gt;""),", "&amp;E1106,""))</f>
        <v/>
      </c>
      <c r="T1106">
        <f>IF(R1106="","",IF(COUNTIFS(R$6:R1105,"&gt;0",S$6:S1105,S1106,N$6:N1105,N1106)=0,R1106,""))</f>
        <v/>
      </c>
      <c r="U1106">
        <f>IF(B1106="","",IF(J1106&lt;&gt;"",0,M1106))</f>
        <v/>
      </c>
    </row>
    <row r="1107">
      <c r="A1107" s="1" t="n"/>
      <c r="B1107" s="16" t="n"/>
      <c r="C1107" s="17" t="n"/>
      <c r="D1107" s="18" t="n"/>
      <c r="E1107" s="18" t="n"/>
      <c r="F1107" s="19" t="n"/>
      <c r="G1107" s="19" t="n"/>
      <c r="H1107" s="20" t="n"/>
      <c r="I1107" s="21" t="n"/>
      <c r="J1107" s="22" t="n"/>
      <c r="K1107" s="23" t="n"/>
      <c r="L1107" s="18" t="n"/>
      <c r="M1107" s="24">
        <f>IF(B1107="","",IF(AND(F1107&lt;&gt;"",G1107&lt;&gt;""),MAX(0,ROUND(MOD(G1107-F1107,1)*24-N(H1107)/60,2)),N(I1107)))</f>
        <v/>
      </c>
      <c r="N1107" s="14">
        <f>IF(B1107="","",IF(K1107&lt;&gt;"",K1107,IF(N(IFERROR(INDEX(Projects!$D$6:$D$65,MATCH(D1107,Projects!$B$6:$B$65,0)),""))&gt;0,IFERROR(INDEX(Projects!$D$6:$D$65,MATCH(D1107,Projects!$B$6:$B$65,0)),""),IFERROR(INDEX(Clients!$G$6:$G$45,MATCH(C1107,Clients!$B$6:$B$45,0)),0))))</f>
        <v/>
      </c>
      <c r="O1107" s="14">
        <f>IF(B1107="","",IF(J1107&lt;&gt;"",0,ROUND(M1107*N1107,2)))</f>
        <v/>
      </c>
      <c r="P1107" s="15">
        <f>IF(OR(B1107="",J1107&lt;&gt;""),"",IF(L1107&lt;&gt;"",L1107,IF(COUNTIFS(Invoices!$C$6:$C$305,C1107,Invoices!$E$6:$E$305,"&lt;="&amp;B1107,Invoices!$F$6:$F$305,"&gt;="&amp;B1107)=1,INDEX(Invoices!$B$6:$B$305,SUMIFS(Invoices!$O$6:$O$305,Invoices!$C$6:$C$305,C1107,Invoices!$E$6:$E$305,"&lt;="&amp;B1107,Invoices!$F$6:$F$305,"&gt;="&amp;B1107)),IF(COUNTIFS(Invoices!$C$6:$C$305,C1107,Invoices!$E$6:$E$305,"&lt;="&amp;B1107,Invoices!$F$6:$F$305,"&gt;="&amp;B1107)&gt;1,"Two invoices",""))))</f>
        <v/>
      </c>
      <c r="Q1107" s="15">
        <f>IF(B1107="","",IF(J1107&lt;&gt;"","Not billable",IF(P1107="","To invoice",IF(P1107="Two invoices","Check dates",IF(ISNA(MATCH(P1107,Invoices!$B$6:$B$305,0)),"Check number",IF(INDEX(Invoices!$M$6:$M$305,MATCH(P1107,Invoices!$B$6:$B$305,0))="Paid","Paid",IF(INDEX(Invoices!$M$6:$M$305,MATCH(P1107,Invoices!$B$6:$B$305,0))="Draft","Draft","Invoiced")))))))</f>
        <v/>
      </c>
      <c r="R1107" s="1">
        <f>IF(AND(B1107&lt;&gt;"",P1107&lt;&gt;"",P1107=Invoice!$G$4),B1107+MOD(N(F1107),1)+ROW()/10000000,"")</f>
        <v/>
      </c>
      <c r="S1107">
        <f>IF(R1107="","",IF(D1107="","Other work",D1107)&amp;IF(AND(K1107&lt;&gt;"",E1107&lt;&gt;""),", "&amp;E1107,""))</f>
        <v/>
      </c>
      <c r="T1107">
        <f>IF(R1107="","",IF(COUNTIFS(R$6:R1106,"&gt;0",S$6:S1106,S1107,N$6:N1106,N1107)=0,R1107,""))</f>
        <v/>
      </c>
      <c r="U1107">
        <f>IF(B1107="","",IF(J1107&lt;&gt;"",0,M1107))</f>
        <v/>
      </c>
    </row>
    <row r="1108">
      <c r="A1108" s="1" t="n"/>
      <c r="B1108" s="16" t="n"/>
      <c r="C1108" s="17" t="n"/>
      <c r="D1108" s="18" t="n"/>
      <c r="E1108" s="18" t="n"/>
      <c r="F1108" s="19" t="n"/>
      <c r="G1108" s="19" t="n"/>
      <c r="H1108" s="20" t="n"/>
      <c r="I1108" s="21" t="n"/>
      <c r="J1108" s="22" t="n"/>
      <c r="K1108" s="23" t="n"/>
      <c r="L1108" s="18" t="n"/>
      <c r="M1108" s="24">
        <f>IF(B1108="","",IF(AND(F1108&lt;&gt;"",G1108&lt;&gt;""),MAX(0,ROUND(MOD(G1108-F1108,1)*24-N(H1108)/60,2)),N(I1108)))</f>
        <v/>
      </c>
      <c r="N1108" s="14">
        <f>IF(B1108="","",IF(K1108&lt;&gt;"",K1108,IF(N(IFERROR(INDEX(Projects!$D$6:$D$65,MATCH(D1108,Projects!$B$6:$B$65,0)),""))&gt;0,IFERROR(INDEX(Projects!$D$6:$D$65,MATCH(D1108,Projects!$B$6:$B$65,0)),""),IFERROR(INDEX(Clients!$G$6:$G$45,MATCH(C1108,Clients!$B$6:$B$45,0)),0))))</f>
        <v/>
      </c>
      <c r="O1108" s="14">
        <f>IF(B1108="","",IF(J1108&lt;&gt;"",0,ROUND(M1108*N1108,2)))</f>
        <v/>
      </c>
      <c r="P1108" s="15">
        <f>IF(OR(B1108="",J1108&lt;&gt;""),"",IF(L1108&lt;&gt;"",L1108,IF(COUNTIFS(Invoices!$C$6:$C$305,C1108,Invoices!$E$6:$E$305,"&lt;="&amp;B1108,Invoices!$F$6:$F$305,"&gt;="&amp;B1108)=1,INDEX(Invoices!$B$6:$B$305,SUMIFS(Invoices!$O$6:$O$305,Invoices!$C$6:$C$305,C1108,Invoices!$E$6:$E$305,"&lt;="&amp;B1108,Invoices!$F$6:$F$305,"&gt;="&amp;B1108)),IF(COUNTIFS(Invoices!$C$6:$C$305,C1108,Invoices!$E$6:$E$305,"&lt;="&amp;B1108,Invoices!$F$6:$F$305,"&gt;="&amp;B1108)&gt;1,"Two invoices",""))))</f>
        <v/>
      </c>
      <c r="Q1108" s="15">
        <f>IF(B1108="","",IF(J1108&lt;&gt;"","Not billable",IF(P1108="","To invoice",IF(P1108="Two invoices","Check dates",IF(ISNA(MATCH(P1108,Invoices!$B$6:$B$305,0)),"Check number",IF(INDEX(Invoices!$M$6:$M$305,MATCH(P1108,Invoices!$B$6:$B$305,0))="Paid","Paid",IF(INDEX(Invoices!$M$6:$M$305,MATCH(P1108,Invoices!$B$6:$B$305,0))="Draft","Draft","Invoiced")))))))</f>
        <v/>
      </c>
      <c r="R1108" s="1">
        <f>IF(AND(B1108&lt;&gt;"",P1108&lt;&gt;"",P1108=Invoice!$G$4),B1108+MOD(N(F1108),1)+ROW()/10000000,"")</f>
        <v/>
      </c>
      <c r="S1108">
        <f>IF(R1108="","",IF(D1108="","Other work",D1108)&amp;IF(AND(K1108&lt;&gt;"",E1108&lt;&gt;""),", "&amp;E1108,""))</f>
        <v/>
      </c>
      <c r="T1108">
        <f>IF(R1108="","",IF(COUNTIFS(R$6:R1107,"&gt;0",S$6:S1107,S1108,N$6:N1107,N1108)=0,R1108,""))</f>
        <v/>
      </c>
      <c r="U1108">
        <f>IF(B1108="","",IF(J1108&lt;&gt;"",0,M1108))</f>
        <v/>
      </c>
    </row>
    <row r="1109">
      <c r="A1109" s="1" t="n"/>
      <c r="B1109" s="16" t="n"/>
      <c r="C1109" s="17" t="n"/>
      <c r="D1109" s="18" t="n"/>
      <c r="E1109" s="18" t="n"/>
      <c r="F1109" s="19" t="n"/>
      <c r="G1109" s="19" t="n"/>
      <c r="H1109" s="20" t="n"/>
      <c r="I1109" s="21" t="n"/>
      <c r="J1109" s="22" t="n"/>
      <c r="K1109" s="23" t="n"/>
      <c r="L1109" s="18" t="n"/>
      <c r="M1109" s="24">
        <f>IF(B1109="","",IF(AND(F1109&lt;&gt;"",G1109&lt;&gt;""),MAX(0,ROUND(MOD(G1109-F1109,1)*24-N(H1109)/60,2)),N(I1109)))</f>
        <v/>
      </c>
      <c r="N1109" s="14">
        <f>IF(B1109="","",IF(K1109&lt;&gt;"",K1109,IF(N(IFERROR(INDEX(Projects!$D$6:$D$65,MATCH(D1109,Projects!$B$6:$B$65,0)),""))&gt;0,IFERROR(INDEX(Projects!$D$6:$D$65,MATCH(D1109,Projects!$B$6:$B$65,0)),""),IFERROR(INDEX(Clients!$G$6:$G$45,MATCH(C1109,Clients!$B$6:$B$45,0)),0))))</f>
        <v/>
      </c>
      <c r="O1109" s="14">
        <f>IF(B1109="","",IF(J1109&lt;&gt;"",0,ROUND(M1109*N1109,2)))</f>
        <v/>
      </c>
      <c r="P1109" s="15">
        <f>IF(OR(B1109="",J1109&lt;&gt;""),"",IF(L1109&lt;&gt;"",L1109,IF(COUNTIFS(Invoices!$C$6:$C$305,C1109,Invoices!$E$6:$E$305,"&lt;="&amp;B1109,Invoices!$F$6:$F$305,"&gt;="&amp;B1109)=1,INDEX(Invoices!$B$6:$B$305,SUMIFS(Invoices!$O$6:$O$305,Invoices!$C$6:$C$305,C1109,Invoices!$E$6:$E$305,"&lt;="&amp;B1109,Invoices!$F$6:$F$305,"&gt;="&amp;B1109)),IF(COUNTIFS(Invoices!$C$6:$C$305,C1109,Invoices!$E$6:$E$305,"&lt;="&amp;B1109,Invoices!$F$6:$F$305,"&gt;="&amp;B1109)&gt;1,"Two invoices",""))))</f>
        <v/>
      </c>
      <c r="Q1109" s="15">
        <f>IF(B1109="","",IF(J1109&lt;&gt;"","Not billable",IF(P1109="","To invoice",IF(P1109="Two invoices","Check dates",IF(ISNA(MATCH(P1109,Invoices!$B$6:$B$305,0)),"Check number",IF(INDEX(Invoices!$M$6:$M$305,MATCH(P1109,Invoices!$B$6:$B$305,0))="Paid","Paid",IF(INDEX(Invoices!$M$6:$M$305,MATCH(P1109,Invoices!$B$6:$B$305,0))="Draft","Draft","Invoiced")))))))</f>
        <v/>
      </c>
      <c r="R1109" s="1">
        <f>IF(AND(B1109&lt;&gt;"",P1109&lt;&gt;"",P1109=Invoice!$G$4),B1109+MOD(N(F1109),1)+ROW()/10000000,"")</f>
        <v/>
      </c>
      <c r="S1109">
        <f>IF(R1109="","",IF(D1109="","Other work",D1109)&amp;IF(AND(K1109&lt;&gt;"",E1109&lt;&gt;""),", "&amp;E1109,""))</f>
        <v/>
      </c>
      <c r="T1109">
        <f>IF(R1109="","",IF(COUNTIFS(R$6:R1108,"&gt;0",S$6:S1108,S1109,N$6:N1108,N1109)=0,R1109,""))</f>
        <v/>
      </c>
      <c r="U1109">
        <f>IF(B1109="","",IF(J1109&lt;&gt;"",0,M1109))</f>
        <v/>
      </c>
    </row>
    <row r="1110">
      <c r="A1110" s="1" t="n"/>
      <c r="B1110" s="16" t="n"/>
      <c r="C1110" s="17" t="n"/>
      <c r="D1110" s="18" t="n"/>
      <c r="E1110" s="18" t="n"/>
      <c r="F1110" s="19" t="n"/>
      <c r="G1110" s="19" t="n"/>
      <c r="H1110" s="20" t="n"/>
      <c r="I1110" s="21" t="n"/>
      <c r="J1110" s="22" t="n"/>
      <c r="K1110" s="23" t="n"/>
      <c r="L1110" s="18" t="n"/>
      <c r="M1110" s="24">
        <f>IF(B1110="","",IF(AND(F1110&lt;&gt;"",G1110&lt;&gt;""),MAX(0,ROUND(MOD(G1110-F1110,1)*24-N(H1110)/60,2)),N(I1110)))</f>
        <v/>
      </c>
      <c r="N1110" s="14">
        <f>IF(B1110="","",IF(K1110&lt;&gt;"",K1110,IF(N(IFERROR(INDEX(Projects!$D$6:$D$65,MATCH(D1110,Projects!$B$6:$B$65,0)),""))&gt;0,IFERROR(INDEX(Projects!$D$6:$D$65,MATCH(D1110,Projects!$B$6:$B$65,0)),""),IFERROR(INDEX(Clients!$G$6:$G$45,MATCH(C1110,Clients!$B$6:$B$45,0)),0))))</f>
        <v/>
      </c>
      <c r="O1110" s="14">
        <f>IF(B1110="","",IF(J1110&lt;&gt;"",0,ROUND(M1110*N1110,2)))</f>
        <v/>
      </c>
      <c r="P1110" s="15">
        <f>IF(OR(B1110="",J1110&lt;&gt;""),"",IF(L1110&lt;&gt;"",L1110,IF(COUNTIFS(Invoices!$C$6:$C$305,C1110,Invoices!$E$6:$E$305,"&lt;="&amp;B1110,Invoices!$F$6:$F$305,"&gt;="&amp;B1110)=1,INDEX(Invoices!$B$6:$B$305,SUMIFS(Invoices!$O$6:$O$305,Invoices!$C$6:$C$305,C1110,Invoices!$E$6:$E$305,"&lt;="&amp;B1110,Invoices!$F$6:$F$305,"&gt;="&amp;B1110)),IF(COUNTIFS(Invoices!$C$6:$C$305,C1110,Invoices!$E$6:$E$305,"&lt;="&amp;B1110,Invoices!$F$6:$F$305,"&gt;="&amp;B1110)&gt;1,"Two invoices",""))))</f>
        <v/>
      </c>
      <c r="Q1110" s="15">
        <f>IF(B1110="","",IF(J1110&lt;&gt;"","Not billable",IF(P1110="","To invoice",IF(P1110="Two invoices","Check dates",IF(ISNA(MATCH(P1110,Invoices!$B$6:$B$305,0)),"Check number",IF(INDEX(Invoices!$M$6:$M$305,MATCH(P1110,Invoices!$B$6:$B$305,0))="Paid","Paid",IF(INDEX(Invoices!$M$6:$M$305,MATCH(P1110,Invoices!$B$6:$B$305,0))="Draft","Draft","Invoiced")))))))</f>
        <v/>
      </c>
      <c r="R1110" s="1">
        <f>IF(AND(B1110&lt;&gt;"",P1110&lt;&gt;"",P1110=Invoice!$G$4),B1110+MOD(N(F1110),1)+ROW()/10000000,"")</f>
        <v/>
      </c>
      <c r="S1110">
        <f>IF(R1110="","",IF(D1110="","Other work",D1110)&amp;IF(AND(K1110&lt;&gt;"",E1110&lt;&gt;""),", "&amp;E1110,""))</f>
        <v/>
      </c>
      <c r="T1110">
        <f>IF(R1110="","",IF(COUNTIFS(R$6:R1109,"&gt;0",S$6:S1109,S1110,N$6:N1109,N1110)=0,R1110,""))</f>
        <v/>
      </c>
      <c r="U1110">
        <f>IF(B1110="","",IF(J1110&lt;&gt;"",0,M1110))</f>
        <v/>
      </c>
    </row>
    <row r="1111">
      <c r="A1111" s="1" t="n"/>
      <c r="B1111" s="16" t="n"/>
      <c r="C1111" s="17" t="n"/>
      <c r="D1111" s="18" t="n"/>
      <c r="E1111" s="18" t="n"/>
      <c r="F1111" s="19" t="n"/>
      <c r="G1111" s="19" t="n"/>
      <c r="H1111" s="20" t="n"/>
      <c r="I1111" s="21" t="n"/>
      <c r="J1111" s="22" t="n"/>
      <c r="K1111" s="23" t="n"/>
      <c r="L1111" s="18" t="n"/>
      <c r="M1111" s="24">
        <f>IF(B1111="","",IF(AND(F1111&lt;&gt;"",G1111&lt;&gt;""),MAX(0,ROUND(MOD(G1111-F1111,1)*24-N(H1111)/60,2)),N(I1111)))</f>
        <v/>
      </c>
      <c r="N1111" s="14">
        <f>IF(B1111="","",IF(K1111&lt;&gt;"",K1111,IF(N(IFERROR(INDEX(Projects!$D$6:$D$65,MATCH(D1111,Projects!$B$6:$B$65,0)),""))&gt;0,IFERROR(INDEX(Projects!$D$6:$D$65,MATCH(D1111,Projects!$B$6:$B$65,0)),""),IFERROR(INDEX(Clients!$G$6:$G$45,MATCH(C1111,Clients!$B$6:$B$45,0)),0))))</f>
        <v/>
      </c>
      <c r="O1111" s="14">
        <f>IF(B1111="","",IF(J1111&lt;&gt;"",0,ROUND(M1111*N1111,2)))</f>
        <v/>
      </c>
      <c r="P1111" s="15">
        <f>IF(OR(B1111="",J1111&lt;&gt;""),"",IF(L1111&lt;&gt;"",L1111,IF(COUNTIFS(Invoices!$C$6:$C$305,C1111,Invoices!$E$6:$E$305,"&lt;="&amp;B1111,Invoices!$F$6:$F$305,"&gt;="&amp;B1111)=1,INDEX(Invoices!$B$6:$B$305,SUMIFS(Invoices!$O$6:$O$305,Invoices!$C$6:$C$305,C1111,Invoices!$E$6:$E$305,"&lt;="&amp;B1111,Invoices!$F$6:$F$305,"&gt;="&amp;B1111)),IF(COUNTIFS(Invoices!$C$6:$C$305,C1111,Invoices!$E$6:$E$305,"&lt;="&amp;B1111,Invoices!$F$6:$F$305,"&gt;="&amp;B1111)&gt;1,"Two invoices",""))))</f>
        <v/>
      </c>
      <c r="Q1111" s="15">
        <f>IF(B1111="","",IF(J1111&lt;&gt;"","Not billable",IF(P1111="","To invoice",IF(P1111="Two invoices","Check dates",IF(ISNA(MATCH(P1111,Invoices!$B$6:$B$305,0)),"Check number",IF(INDEX(Invoices!$M$6:$M$305,MATCH(P1111,Invoices!$B$6:$B$305,0))="Paid","Paid",IF(INDEX(Invoices!$M$6:$M$305,MATCH(P1111,Invoices!$B$6:$B$305,0))="Draft","Draft","Invoiced")))))))</f>
        <v/>
      </c>
      <c r="R1111" s="1">
        <f>IF(AND(B1111&lt;&gt;"",P1111&lt;&gt;"",P1111=Invoice!$G$4),B1111+MOD(N(F1111),1)+ROW()/10000000,"")</f>
        <v/>
      </c>
      <c r="S1111">
        <f>IF(R1111="","",IF(D1111="","Other work",D1111)&amp;IF(AND(K1111&lt;&gt;"",E1111&lt;&gt;""),", "&amp;E1111,""))</f>
        <v/>
      </c>
      <c r="T1111">
        <f>IF(R1111="","",IF(COUNTIFS(R$6:R1110,"&gt;0",S$6:S1110,S1111,N$6:N1110,N1111)=0,R1111,""))</f>
        <v/>
      </c>
      <c r="U1111">
        <f>IF(B1111="","",IF(J1111&lt;&gt;"",0,M1111))</f>
        <v/>
      </c>
    </row>
    <row r="1112">
      <c r="A1112" s="1" t="n"/>
      <c r="B1112" s="16" t="n"/>
      <c r="C1112" s="17" t="n"/>
      <c r="D1112" s="18" t="n"/>
      <c r="E1112" s="18" t="n"/>
      <c r="F1112" s="19" t="n"/>
      <c r="G1112" s="19" t="n"/>
      <c r="H1112" s="20" t="n"/>
      <c r="I1112" s="21" t="n"/>
      <c r="J1112" s="22" t="n"/>
      <c r="K1112" s="23" t="n"/>
      <c r="L1112" s="18" t="n"/>
      <c r="M1112" s="24">
        <f>IF(B1112="","",IF(AND(F1112&lt;&gt;"",G1112&lt;&gt;""),MAX(0,ROUND(MOD(G1112-F1112,1)*24-N(H1112)/60,2)),N(I1112)))</f>
        <v/>
      </c>
      <c r="N1112" s="14">
        <f>IF(B1112="","",IF(K1112&lt;&gt;"",K1112,IF(N(IFERROR(INDEX(Projects!$D$6:$D$65,MATCH(D1112,Projects!$B$6:$B$65,0)),""))&gt;0,IFERROR(INDEX(Projects!$D$6:$D$65,MATCH(D1112,Projects!$B$6:$B$65,0)),""),IFERROR(INDEX(Clients!$G$6:$G$45,MATCH(C1112,Clients!$B$6:$B$45,0)),0))))</f>
        <v/>
      </c>
      <c r="O1112" s="14">
        <f>IF(B1112="","",IF(J1112&lt;&gt;"",0,ROUND(M1112*N1112,2)))</f>
        <v/>
      </c>
      <c r="P1112" s="15">
        <f>IF(OR(B1112="",J1112&lt;&gt;""),"",IF(L1112&lt;&gt;"",L1112,IF(COUNTIFS(Invoices!$C$6:$C$305,C1112,Invoices!$E$6:$E$305,"&lt;="&amp;B1112,Invoices!$F$6:$F$305,"&gt;="&amp;B1112)=1,INDEX(Invoices!$B$6:$B$305,SUMIFS(Invoices!$O$6:$O$305,Invoices!$C$6:$C$305,C1112,Invoices!$E$6:$E$305,"&lt;="&amp;B1112,Invoices!$F$6:$F$305,"&gt;="&amp;B1112)),IF(COUNTIFS(Invoices!$C$6:$C$305,C1112,Invoices!$E$6:$E$305,"&lt;="&amp;B1112,Invoices!$F$6:$F$305,"&gt;="&amp;B1112)&gt;1,"Two invoices",""))))</f>
        <v/>
      </c>
      <c r="Q1112" s="15">
        <f>IF(B1112="","",IF(J1112&lt;&gt;"","Not billable",IF(P1112="","To invoice",IF(P1112="Two invoices","Check dates",IF(ISNA(MATCH(P1112,Invoices!$B$6:$B$305,0)),"Check number",IF(INDEX(Invoices!$M$6:$M$305,MATCH(P1112,Invoices!$B$6:$B$305,0))="Paid","Paid",IF(INDEX(Invoices!$M$6:$M$305,MATCH(P1112,Invoices!$B$6:$B$305,0))="Draft","Draft","Invoiced")))))))</f>
        <v/>
      </c>
      <c r="R1112" s="1">
        <f>IF(AND(B1112&lt;&gt;"",P1112&lt;&gt;"",P1112=Invoice!$G$4),B1112+MOD(N(F1112),1)+ROW()/10000000,"")</f>
        <v/>
      </c>
      <c r="S1112">
        <f>IF(R1112="","",IF(D1112="","Other work",D1112)&amp;IF(AND(K1112&lt;&gt;"",E1112&lt;&gt;""),", "&amp;E1112,""))</f>
        <v/>
      </c>
      <c r="T1112">
        <f>IF(R1112="","",IF(COUNTIFS(R$6:R1111,"&gt;0",S$6:S1111,S1112,N$6:N1111,N1112)=0,R1112,""))</f>
        <v/>
      </c>
      <c r="U1112">
        <f>IF(B1112="","",IF(J1112&lt;&gt;"",0,M1112))</f>
        <v/>
      </c>
    </row>
    <row r="1113">
      <c r="A1113" s="1" t="n"/>
      <c r="B1113" s="16" t="n"/>
      <c r="C1113" s="17" t="n"/>
      <c r="D1113" s="18" t="n"/>
      <c r="E1113" s="18" t="n"/>
      <c r="F1113" s="19" t="n"/>
      <c r="G1113" s="19" t="n"/>
      <c r="H1113" s="20" t="n"/>
      <c r="I1113" s="21" t="n"/>
      <c r="J1113" s="22" t="n"/>
      <c r="K1113" s="23" t="n"/>
      <c r="L1113" s="18" t="n"/>
      <c r="M1113" s="24">
        <f>IF(B1113="","",IF(AND(F1113&lt;&gt;"",G1113&lt;&gt;""),MAX(0,ROUND(MOD(G1113-F1113,1)*24-N(H1113)/60,2)),N(I1113)))</f>
        <v/>
      </c>
      <c r="N1113" s="14">
        <f>IF(B1113="","",IF(K1113&lt;&gt;"",K1113,IF(N(IFERROR(INDEX(Projects!$D$6:$D$65,MATCH(D1113,Projects!$B$6:$B$65,0)),""))&gt;0,IFERROR(INDEX(Projects!$D$6:$D$65,MATCH(D1113,Projects!$B$6:$B$65,0)),""),IFERROR(INDEX(Clients!$G$6:$G$45,MATCH(C1113,Clients!$B$6:$B$45,0)),0))))</f>
        <v/>
      </c>
      <c r="O1113" s="14">
        <f>IF(B1113="","",IF(J1113&lt;&gt;"",0,ROUND(M1113*N1113,2)))</f>
        <v/>
      </c>
      <c r="P1113" s="15">
        <f>IF(OR(B1113="",J1113&lt;&gt;""),"",IF(L1113&lt;&gt;"",L1113,IF(COUNTIFS(Invoices!$C$6:$C$305,C1113,Invoices!$E$6:$E$305,"&lt;="&amp;B1113,Invoices!$F$6:$F$305,"&gt;="&amp;B1113)=1,INDEX(Invoices!$B$6:$B$305,SUMIFS(Invoices!$O$6:$O$305,Invoices!$C$6:$C$305,C1113,Invoices!$E$6:$E$305,"&lt;="&amp;B1113,Invoices!$F$6:$F$305,"&gt;="&amp;B1113)),IF(COUNTIFS(Invoices!$C$6:$C$305,C1113,Invoices!$E$6:$E$305,"&lt;="&amp;B1113,Invoices!$F$6:$F$305,"&gt;="&amp;B1113)&gt;1,"Two invoices",""))))</f>
        <v/>
      </c>
      <c r="Q1113" s="15">
        <f>IF(B1113="","",IF(J1113&lt;&gt;"","Not billable",IF(P1113="","To invoice",IF(P1113="Two invoices","Check dates",IF(ISNA(MATCH(P1113,Invoices!$B$6:$B$305,0)),"Check number",IF(INDEX(Invoices!$M$6:$M$305,MATCH(P1113,Invoices!$B$6:$B$305,0))="Paid","Paid",IF(INDEX(Invoices!$M$6:$M$305,MATCH(P1113,Invoices!$B$6:$B$305,0))="Draft","Draft","Invoiced")))))))</f>
        <v/>
      </c>
      <c r="R1113" s="1">
        <f>IF(AND(B1113&lt;&gt;"",P1113&lt;&gt;"",P1113=Invoice!$G$4),B1113+MOD(N(F1113),1)+ROW()/10000000,"")</f>
        <v/>
      </c>
      <c r="S1113">
        <f>IF(R1113="","",IF(D1113="","Other work",D1113)&amp;IF(AND(K1113&lt;&gt;"",E1113&lt;&gt;""),", "&amp;E1113,""))</f>
        <v/>
      </c>
      <c r="T1113">
        <f>IF(R1113="","",IF(COUNTIFS(R$6:R1112,"&gt;0",S$6:S1112,S1113,N$6:N1112,N1113)=0,R1113,""))</f>
        <v/>
      </c>
      <c r="U1113">
        <f>IF(B1113="","",IF(J1113&lt;&gt;"",0,M1113))</f>
        <v/>
      </c>
    </row>
    <row r="1114">
      <c r="A1114" s="1" t="n"/>
      <c r="B1114" s="16" t="n"/>
      <c r="C1114" s="17" t="n"/>
      <c r="D1114" s="18" t="n"/>
      <c r="E1114" s="18" t="n"/>
      <c r="F1114" s="19" t="n"/>
      <c r="G1114" s="19" t="n"/>
      <c r="H1114" s="20" t="n"/>
      <c r="I1114" s="21" t="n"/>
      <c r="J1114" s="22" t="n"/>
      <c r="K1114" s="23" t="n"/>
      <c r="L1114" s="18" t="n"/>
      <c r="M1114" s="24">
        <f>IF(B1114="","",IF(AND(F1114&lt;&gt;"",G1114&lt;&gt;""),MAX(0,ROUND(MOD(G1114-F1114,1)*24-N(H1114)/60,2)),N(I1114)))</f>
        <v/>
      </c>
      <c r="N1114" s="14">
        <f>IF(B1114="","",IF(K1114&lt;&gt;"",K1114,IF(N(IFERROR(INDEX(Projects!$D$6:$D$65,MATCH(D1114,Projects!$B$6:$B$65,0)),""))&gt;0,IFERROR(INDEX(Projects!$D$6:$D$65,MATCH(D1114,Projects!$B$6:$B$65,0)),""),IFERROR(INDEX(Clients!$G$6:$G$45,MATCH(C1114,Clients!$B$6:$B$45,0)),0))))</f>
        <v/>
      </c>
      <c r="O1114" s="14">
        <f>IF(B1114="","",IF(J1114&lt;&gt;"",0,ROUND(M1114*N1114,2)))</f>
        <v/>
      </c>
      <c r="P1114" s="15">
        <f>IF(OR(B1114="",J1114&lt;&gt;""),"",IF(L1114&lt;&gt;"",L1114,IF(COUNTIFS(Invoices!$C$6:$C$305,C1114,Invoices!$E$6:$E$305,"&lt;="&amp;B1114,Invoices!$F$6:$F$305,"&gt;="&amp;B1114)=1,INDEX(Invoices!$B$6:$B$305,SUMIFS(Invoices!$O$6:$O$305,Invoices!$C$6:$C$305,C1114,Invoices!$E$6:$E$305,"&lt;="&amp;B1114,Invoices!$F$6:$F$305,"&gt;="&amp;B1114)),IF(COUNTIFS(Invoices!$C$6:$C$305,C1114,Invoices!$E$6:$E$305,"&lt;="&amp;B1114,Invoices!$F$6:$F$305,"&gt;="&amp;B1114)&gt;1,"Two invoices",""))))</f>
        <v/>
      </c>
      <c r="Q1114" s="15">
        <f>IF(B1114="","",IF(J1114&lt;&gt;"","Not billable",IF(P1114="","To invoice",IF(P1114="Two invoices","Check dates",IF(ISNA(MATCH(P1114,Invoices!$B$6:$B$305,0)),"Check number",IF(INDEX(Invoices!$M$6:$M$305,MATCH(P1114,Invoices!$B$6:$B$305,0))="Paid","Paid",IF(INDEX(Invoices!$M$6:$M$305,MATCH(P1114,Invoices!$B$6:$B$305,0))="Draft","Draft","Invoiced")))))))</f>
        <v/>
      </c>
      <c r="R1114" s="1">
        <f>IF(AND(B1114&lt;&gt;"",P1114&lt;&gt;"",P1114=Invoice!$G$4),B1114+MOD(N(F1114),1)+ROW()/10000000,"")</f>
        <v/>
      </c>
      <c r="S1114">
        <f>IF(R1114="","",IF(D1114="","Other work",D1114)&amp;IF(AND(K1114&lt;&gt;"",E1114&lt;&gt;""),", "&amp;E1114,""))</f>
        <v/>
      </c>
      <c r="T1114">
        <f>IF(R1114="","",IF(COUNTIFS(R$6:R1113,"&gt;0",S$6:S1113,S1114,N$6:N1113,N1114)=0,R1114,""))</f>
        <v/>
      </c>
      <c r="U1114">
        <f>IF(B1114="","",IF(J1114&lt;&gt;"",0,M1114))</f>
        <v/>
      </c>
    </row>
    <row r="1115">
      <c r="A1115" s="1" t="n"/>
      <c r="B1115" s="16" t="n"/>
      <c r="C1115" s="17" t="n"/>
      <c r="D1115" s="18" t="n"/>
      <c r="E1115" s="18" t="n"/>
      <c r="F1115" s="19" t="n"/>
      <c r="G1115" s="19" t="n"/>
      <c r="H1115" s="20" t="n"/>
      <c r="I1115" s="21" t="n"/>
      <c r="J1115" s="22" t="n"/>
      <c r="K1115" s="23" t="n"/>
      <c r="L1115" s="18" t="n"/>
      <c r="M1115" s="24">
        <f>IF(B1115="","",IF(AND(F1115&lt;&gt;"",G1115&lt;&gt;""),MAX(0,ROUND(MOD(G1115-F1115,1)*24-N(H1115)/60,2)),N(I1115)))</f>
        <v/>
      </c>
      <c r="N1115" s="14">
        <f>IF(B1115="","",IF(K1115&lt;&gt;"",K1115,IF(N(IFERROR(INDEX(Projects!$D$6:$D$65,MATCH(D1115,Projects!$B$6:$B$65,0)),""))&gt;0,IFERROR(INDEX(Projects!$D$6:$D$65,MATCH(D1115,Projects!$B$6:$B$65,0)),""),IFERROR(INDEX(Clients!$G$6:$G$45,MATCH(C1115,Clients!$B$6:$B$45,0)),0))))</f>
        <v/>
      </c>
      <c r="O1115" s="14">
        <f>IF(B1115="","",IF(J1115&lt;&gt;"",0,ROUND(M1115*N1115,2)))</f>
        <v/>
      </c>
      <c r="P1115" s="15">
        <f>IF(OR(B1115="",J1115&lt;&gt;""),"",IF(L1115&lt;&gt;"",L1115,IF(COUNTIFS(Invoices!$C$6:$C$305,C1115,Invoices!$E$6:$E$305,"&lt;="&amp;B1115,Invoices!$F$6:$F$305,"&gt;="&amp;B1115)=1,INDEX(Invoices!$B$6:$B$305,SUMIFS(Invoices!$O$6:$O$305,Invoices!$C$6:$C$305,C1115,Invoices!$E$6:$E$305,"&lt;="&amp;B1115,Invoices!$F$6:$F$305,"&gt;="&amp;B1115)),IF(COUNTIFS(Invoices!$C$6:$C$305,C1115,Invoices!$E$6:$E$305,"&lt;="&amp;B1115,Invoices!$F$6:$F$305,"&gt;="&amp;B1115)&gt;1,"Two invoices",""))))</f>
        <v/>
      </c>
      <c r="Q1115" s="15">
        <f>IF(B1115="","",IF(J1115&lt;&gt;"","Not billable",IF(P1115="","To invoice",IF(P1115="Two invoices","Check dates",IF(ISNA(MATCH(P1115,Invoices!$B$6:$B$305,0)),"Check number",IF(INDEX(Invoices!$M$6:$M$305,MATCH(P1115,Invoices!$B$6:$B$305,0))="Paid","Paid",IF(INDEX(Invoices!$M$6:$M$305,MATCH(P1115,Invoices!$B$6:$B$305,0))="Draft","Draft","Invoiced")))))))</f>
        <v/>
      </c>
      <c r="R1115" s="1">
        <f>IF(AND(B1115&lt;&gt;"",P1115&lt;&gt;"",P1115=Invoice!$G$4),B1115+MOD(N(F1115),1)+ROW()/10000000,"")</f>
        <v/>
      </c>
      <c r="S1115">
        <f>IF(R1115="","",IF(D1115="","Other work",D1115)&amp;IF(AND(K1115&lt;&gt;"",E1115&lt;&gt;""),", "&amp;E1115,""))</f>
        <v/>
      </c>
      <c r="T1115">
        <f>IF(R1115="","",IF(COUNTIFS(R$6:R1114,"&gt;0",S$6:S1114,S1115,N$6:N1114,N1115)=0,R1115,""))</f>
        <v/>
      </c>
      <c r="U1115">
        <f>IF(B1115="","",IF(J1115&lt;&gt;"",0,M1115))</f>
        <v/>
      </c>
    </row>
    <row r="1116">
      <c r="A1116" s="1" t="n"/>
      <c r="B1116" s="16" t="n"/>
      <c r="C1116" s="17" t="n"/>
      <c r="D1116" s="18" t="n"/>
      <c r="E1116" s="18" t="n"/>
      <c r="F1116" s="19" t="n"/>
      <c r="G1116" s="19" t="n"/>
      <c r="H1116" s="20" t="n"/>
      <c r="I1116" s="21" t="n"/>
      <c r="J1116" s="22" t="n"/>
      <c r="K1116" s="23" t="n"/>
      <c r="L1116" s="18" t="n"/>
      <c r="M1116" s="24">
        <f>IF(B1116="","",IF(AND(F1116&lt;&gt;"",G1116&lt;&gt;""),MAX(0,ROUND(MOD(G1116-F1116,1)*24-N(H1116)/60,2)),N(I1116)))</f>
        <v/>
      </c>
      <c r="N1116" s="14">
        <f>IF(B1116="","",IF(K1116&lt;&gt;"",K1116,IF(N(IFERROR(INDEX(Projects!$D$6:$D$65,MATCH(D1116,Projects!$B$6:$B$65,0)),""))&gt;0,IFERROR(INDEX(Projects!$D$6:$D$65,MATCH(D1116,Projects!$B$6:$B$65,0)),""),IFERROR(INDEX(Clients!$G$6:$G$45,MATCH(C1116,Clients!$B$6:$B$45,0)),0))))</f>
        <v/>
      </c>
      <c r="O1116" s="14">
        <f>IF(B1116="","",IF(J1116&lt;&gt;"",0,ROUND(M1116*N1116,2)))</f>
        <v/>
      </c>
      <c r="P1116" s="15">
        <f>IF(OR(B1116="",J1116&lt;&gt;""),"",IF(L1116&lt;&gt;"",L1116,IF(COUNTIFS(Invoices!$C$6:$C$305,C1116,Invoices!$E$6:$E$305,"&lt;="&amp;B1116,Invoices!$F$6:$F$305,"&gt;="&amp;B1116)=1,INDEX(Invoices!$B$6:$B$305,SUMIFS(Invoices!$O$6:$O$305,Invoices!$C$6:$C$305,C1116,Invoices!$E$6:$E$305,"&lt;="&amp;B1116,Invoices!$F$6:$F$305,"&gt;="&amp;B1116)),IF(COUNTIFS(Invoices!$C$6:$C$305,C1116,Invoices!$E$6:$E$305,"&lt;="&amp;B1116,Invoices!$F$6:$F$305,"&gt;="&amp;B1116)&gt;1,"Two invoices",""))))</f>
        <v/>
      </c>
      <c r="Q1116" s="15">
        <f>IF(B1116="","",IF(J1116&lt;&gt;"","Not billable",IF(P1116="","To invoice",IF(P1116="Two invoices","Check dates",IF(ISNA(MATCH(P1116,Invoices!$B$6:$B$305,0)),"Check number",IF(INDEX(Invoices!$M$6:$M$305,MATCH(P1116,Invoices!$B$6:$B$305,0))="Paid","Paid",IF(INDEX(Invoices!$M$6:$M$305,MATCH(P1116,Invoices!$B$6:$B$305,0))="Draft","Draft","Invoiced")))))))</f>
        <v/>
      </c>
      <c r="R1116" s="1">
        <f>IF(AND(B1116&lt;&gt;"",P1116&lt;&gt;"",P1116=Invoice!$G$4),B1116+MOD(N(F1116),1)+ROW()/10000000,"")</f>
        <v/>
      </c>
      <c r="S1116">
        <f>IF(R1116="","",IF(D1116="","Other work",D1116)&amp;IF(AND(K1116&lt;&gt;"",E1116&lt;&gt;""),", "&amp;E1116,""))</f>
        <v/>
      </c>
      <c r="T1116">
        <f>IF(R1116="","",IF(COUNTIFS(R$6:R1115,"&gt;0",S$6:S1115,S1116,N$6:N1115,N1116)=0,R1116,""))</f>
        <v/>
      </c>
      <c r="U1116">
        <f>IF(B1116="","",IF(J1116&lt;&gt;"",0,M1116))</f>
        <v/>
      </c>
    </row>
    <row r="1117">
      <c r="A1117" s="1" t="n"/>
      <c r="B1117" s="16" t="n"/>
      <c r="C1117" s="17" t="n"/>
      <c r="D1117" s="18" t="n"/>
      <c r="E1117" s="18" t="n"/>
      <c r="F1117" s="19" t="n"/>
      <c r="G1117" s="19" t="n"/>
      <c r="H1117" s="20" t="n"/>
      <c r="I1117" s="21" t="n"/>
      <c r="J1117" s="22" t="n"/>
      <c r="K1117" s="23" t="n"/>
      <c r="L1117" s="18" t="n"/>
      <c r="M1117" s="24">
        <f>IF(B1117="","",IF(AND(F1117&lt;&gt;"",G1117&lt;&gt;""),MAX(0,ROUND(MOD(G1117-F1117,1)*24-N(H1117)/60,2)),N(I1117)))</f>
        <v/>
      </c>
      <c r="N1117" s="14">
        <f>IF(B1117="","",IF(K1117&lt;&gt;"",K1117,IF(N(IFERROR(INDEX(Projects!$D$6:$D$65,MATCH(D1117,Projects!$B$6:$B$65,0)),""))&gt;0,IFERROR(INDEX(Projects!$D$6:$D$65,MATCH(D1117,Projects!$B$6:$B$65,0)),""),IFERROR(INDEX(Clients!$G$6:$G$45,MATCH(C1117,Clients!$B$6:$B$45,0)),0))))</f>
        <v/>
      </c>
      <c r="O1117" s="14">
        <f>IF(B1117="","",IF(J1117&lt;&gt;"",0,ROUND(M1117*N1117,2)))</f>
        <v/>
      </c>
      <c r="P1117" s="15">
        <f>IF(OR(B1117="",J1117&lt;&gt;""),"",IF(L1117&lt;&gt;"",L1117,IF(COUNTIFS(Invoices!$C$6:$C$305,C1117,Invoices!$E$6:$E$305,"&lt;="&amp;B1117,Invoices!$F$6:$F$305,"&gt;="&amp;B1117)=1,INDEX(Invoices!$B$6:$B$305,SUMIFS(Invoices!$O$6:$O$305,Invoices!$C$6:$C$305,C1117,Invoices!$E$6:$E$305,"&lt;="&amp;B1117,Invoices!$F$6:$F$305,"&gt;="&amp;B1117)),IF(COUNTIFS(Invoices!$C$6:$C$305,C1117,Invoices!$E$6:$E$305,"&lt;="&amp;B1117,Invoices!$F$6:$F$305,"&gt;="&amp;B1117)&gt;1,"Two invoices",""))))</f>
        <v/>
      </c>
      <c r="Q1117" s="15">
        <f>IF(B1117="","",IF(J1117&lt;&gt;"","Not billable",IF(P1117="","To invoice",IF(P1117="Two invoices","Check dates",IF(ISNA(MATCH(P1117,Invoices!$B$6:$B$305,0)),"Check number",IF(INDEX(Invoices!$M$6:$M$305,MATCH(P1117,Invoices!$B$6:$B$305,0))="Paid","Paid",IF(INDEX(Invoices!$M$6:$M$305,MATCH(P1117,Invoices!$B$6:$B$305,0))="Draft","Draft","Invoiced")))))))</f>
        <v/>
      </c>
      <c r="R1117" s="1">
        <f>IF(AND(B1117&lt;&gt;"",P1117&lt;&gt;"",P1117=Invoice!$G$4),B1117+MOD(N(F1117),1)+ROW()/10000000,"")</f>
        <v/>
      </c>
      <c r="S1117">
        <f>IF(R1117="","",IF(D1117="","Other work",D1117)&amp;IF(AND(K1117&lt;&gt;"",E1117&lt;&gt;""),", "&amp;E1117,""))</f>
        <v/>
      </c>
      <c r="T1117">
        <f>IF(R1117="","",IF(COUNTIFS(R$6:R1116,"&gt;0",S$6:S1116,S1117,N$6:N1116,N1117)=0,R1117,""))</f>
        <v/>
      </c>
      <c r="U1117">
        <f>IF(B1117="","",IF(J1117&lt;&gt;"",0,M1117))</f>
        <v/>
      </c>
    </row>
    <row r="1118">
      <c r="A1118" s="1" t="n"/>
      <c r="B1118" s="16" t="n"/>
      <c r="C1118" s="17" t="n"/>
      <c r="D1118" s="18" t="n"/>
      <c r="E1118" s="18" t="n"/>
      <c r="F1118" s="19" t="n"/>
      <c r="G1118" s="19" t="n"/>
      <c r="H1118" s="20" t="n"/>
      <c r="I1118" s="21" t="n"/>
      <c r="J1118" s="22" t="n"/>
      <c r="K1118" s="23" t="n"/>
      <c r="L1118" s="18" t="n"/>
      <c r="M1118" s="24">
        <f>IF(B1118="","",IF(AND(F1118&lt;&gt;"",G1118&lt;&gt;""),MAX(0,ROUND(MOD(G1118-F1118,1)*24-N(H1118)/60,2)),N(I1118)))</f>
        <v/>
      </c>
      <c r="N1118" s="14">
        <f>IF(B1118="","",IF(K1118&lt;&gt;"",K1118,IF(N(IFERROR(INDEX(Projects!$D$6:$D$65,MATCH(D1118,Projects!$B$6:$B$65,0)),""))&gt;0,IFERROR(INDEX(Projects!$D$6:$D$65,MATCH(D1118,Projects!$B$6:$B$65,0)),""),IFERROR(INDEX(Clients!$G$6:$G$45,MATCH(C1118,Clients!$B$6:$B$45,0)),0))))</f>
        <v/>
      </c>
      <c r="O1118" s="14">
        <f>IF(B1118="","",IF(J1118&lt;&gt;"",0,ROUND(M1118*N1118,2)))</f>
        <v/>
      </c>
      <c r="P1118" s="15">
        <f>IF(OR(B1118="",J1118&lt;&gt;""),"",IF(L1118&lt;&gt;"",L1118,IF(COUNTIFS(Invoices!$C$6:$C$305,C1118,Invoices!$E$6:$E$305,"&lt;="&amp;B1118,Invoices!$F$6:$F$305,"&gt;="&amp;B1118)=1,INDEX(Invoices!$B$6:$B$305,SUMIFS(Invoices!$O$6:$O$305,Invoices!$C$6:$C$305,C1118,Invoices!$E$6:$E$305,"&lt;="&amp;B1118,Invoices!$F$6:$F$305,"&gt;="&amp;B1118)),IF(COUNTIFS(Invoices!$C$6:$C$305,C1118,Invoices!$E$6:$E$305,"&lt;="&amp;B1118,Invoices!$F$6:$F$305,"&gt;="&amp;B1118)&gt;1,"Two invoices",""))))</f>
        <v/>
      </c>
      <c r="Q1118" s="15">
        <f>IF(B1118="","",IF(J1118&lt;&gt;"","Not billable",IF(P1118="","To invoice",IF(P1118="Two invoices","Check dates",IF(ISNA(MATCH(P1118,Invoices!$B$6:$B$305,0)),"Check number",IF(INDEX(Invoices!$M$6:$M$305,MATCH(P1118,Invoices!$B$6:$B$305,0))="Paid","Paid",IF(INDEX(Invoices!$M$6:$M$305,MATCH(P1118,Invoices!$B$6:$B$305,0))="Draft","Draft","Invoiced")))))))</f>
        <v/>
      </c>
      <c r="R1118" s="1">
        <f>IF(AND(B1118&lt;&gt;"",P1118&lt;&gt;"",P1118=Invoice!$G$4),B1118+MOD(N(F1118),1)+ROW()/10000000,"")</f>
        <v/>
      </c>
      <c r="S1118">
        <f>IF(R1118="","",IF(D1118="","Other work",D1118)&amp;IF(AND(K1118&lt;&gt;"",E1118&lt;&gt;""),", "&amp;E1118,""))</f>
        <v/>
      </c>
      <c r="T1118">
        <f>IF(R1118="","",IF(COUNTIFS(R$6:R1117,"&gt;0",S$6:S1117,S1118,N$6:N1117,N1118)=0,R1118,""))</f>
        <v/>
      </c>
      <c r="U1118">
        <f>IF(B1118="","",IF(J1118&lt;&gt;"",0,M1118))</f>
        <v/>
      </c>
    </row>
    <row r="1119">
      <c r="A1119" s="1" t="n"/>
      <c r="B1119" s="16" t="n"/>
      <c r="C1119" s="17" t="n"/>
      <c r="D1119" s="18" t="n"/>
      <c r="E1119" s="18" t="n"/>
      <c r="F1119" s="19" t="n"/>
      <c r="G1119" s="19" t="n"/>
      <c r="H1119" s="20" t="n"/>
      <c r="I1119" s="21" t="n"/>
      <c r="J1119" s="22" t="n"/>
      <c r="K1119" s="23" t="n"/>
      <c r="L1119" s="18" t="n"/>
      <c r="M1119" s="24">
        <f>IF(B1119="","",IF(AND(F1119&lt;&gt;"",G1119&lt;&gt;""),MAX(0,ROUND(MOD(G1119-F1119,1)*24-N(H1119)/60,2)),N(I1119)))</f>
        <v/>
      </c>
      <c r="N1119" s="14">
        <f>IF(B1119="","",IF(K1119&lt;&gt;"",K1119,IF(N(IFERROR(INDEX(Projects!$D$6:$D$65,MATCH(D1119,Projects!$B$6:$B$65,0)),""))&gt;0,IFERROR(INDEX(Projects!$D$6:$D$65,MATCH(D1119,Projects!$B$6:$B$65,0)),""),IFERROR(INDEX(Clients!$G$6:$G$45,MATCH(C1119,Clients!$B$6:$B$45,0)),0))))</f>
        <v/>
      </c>
      <c r="O1119" s="14">
        <f>IF(B1119="","",IF(J1119&lt;&gt;"",0,ROUND(M1119*N1119,2)))</f>
        <v/>
      </c>
      <c r="P1119" s="15">
        <f>IF(OR(B1119="",J1119&lt;&gt;""),"",IF(L1119&lt;&gt;"",L1119,IF(COUNTIFS(Invoices!$C$6:$C$305,C1119,Invoices!$E$6:$E$305,"&lt;="&amp;B1119,Invoices!$F$6:$F$305,"&gt;="&amp;B1119)=1,INDEX(Invoices!$B$6:$B$305,SUMIFS(Invoices!$O$6:$O$305,Invoices!$C$6:$C$305,C1119,Invoices!$E$6:$E$305,"&lt;="&amp;B1119,Invoices!$F$6:$F$305,"&gt;="&amp;B1119)),IF(COUNTIFS(Invoices!$C$6:$C$305,C1119,Invoices!$E$6:$E$305,"&lt;="&amp;B1119,Invoices!$F$6:$F$305,"&gt;="&amp;B1119)&gt;1,"Two invoices",""))))</f>
        <v/>
      </c>
      <c r="Q1119" s="15">
        <f>IF(B1119="","",IF(J1119&lt;&gt;"","Not billable",IF(P1119="","To invoice",IF(P1119="Two invoices","Check dates",IF(ISNA(MATCH(P1119,Invoices!$B$6:$B$305,0)),"Check number",IF(INDEX(Invoices!$M$6:$M$305,MATCH(P1119,Invoices!$B$6:$B$305,0))="Paid","Paid",IF(INDEX(Invoices!$M$6:$M$305,MATCH(P1119,Invoices!$B$6:$B$305,0))="Draft","Draft","Invoiced")))))))</f>
        <v/>
      </c>
      <c r="R1119" s="1">
        <f>IF(AND(B1119&lt;&gt;"",P1119&lt;&gt;"",P1119=Invoice!$G$4),B1119+MOD(N(F1119),1)+ROW()/10000000,"")</f>
        <v/>
      </c>
      <c r="S1119">
        <f>IF(R1119="","",IF(D1119="","Other work",D1119)&amp;IF(AND(K1119&lt;&gt;"",E1119&lt;&gt;""),", "&amp;E1119,""))</f>
        <v/>
      </c>
      <c r="T1119">
        <f>IF(R1119="","",IF(COUNTIFS(R$6:R1118,"&gt;0",S$6:S1118,S1119,N$6:N1118,N1119)=0,R1119,""))</f>
        <v/>
      </c>
      <c r="U1119">
        <f>IF(B1119="","",IF(J1119&lt;&gt;"",0,M1119))</f>
        <v/>
      </c>
    </row>
    <row r="1120">
      <c r="A1120" s="1" t="n"/>
      <c r="B1120" s="16" t="n"/>
      <c r="C1120" s="17" t="n"/>
      <c r="D1120" s="18" t="n"/>
      <c r="E1120" s="18" t="n"/>
      <c r="F1120" s="19" t="n"/>
      <c r="G1120" s="19" t="n"/>
      <c r="H1120" s="20" t="n"/>
      <c r="I1120" s="21" t="n"/>
      <c r="J1120" s="22" t="n"/>
      <c r="K1120" s="23" t="n"/>
      <c r="L1120" s="18" t="n"/>
      <c r="M1120" s="24">
        <f>IF(B1120="","",IF(AND(F1120&lt;&gt;"",G1120&lt;&gt;""),MAX(0,ROUND(MOD(G1120-F1120,1)*24-N(H1120)/60,2)),N(I1120)))</f>
        <v/>
      </c>
      <c r="N1120" s="14">
        <f>IF(B1120="","",IF(K1120&lt;&gt;"",K1120,IF(N(IFERROR(INDEX(Projects!$D$6:$D$65,MATCH(D1120,Projects!$B$6:$B$65,0)),""))&gt;0,IFERROR(INDEX(Projects!$D$6:$D$65,MATCH(D1120,Projects!$B$6:$B$65,0)),""),IFERROR(INDEX(Clients!$G$6:$G$45,MATCH(C1120,Clients!$B$6:$B$45,0)),0))))</f>
        <v/>
      </c>
      <c r="O1120" s="14">
        <f>IF(B1120="","",IF(J1120&lt;&gt;"",0,ROUND(M1120*N1120,2)))</f>
        <v/>
      </c>
      <c r="P1120" s="15">
        <f>IF(OR(B1120="",J1120&lt;&gt;""),"",IF(L1120&lt;&gt;"",L1120,IF(COUNTIFS(Invoices!$C$6:$C$305,C1120,Invoices!$E$6:$E$305,"&lt;="&amp;B1120,Invoices!$F$6:$F$305,"&gt;="&amp;B1120)=1,INDEX(Invoices!$B$6:$B$305,SUMIFS(Invoices!$O$6:$O$305,Invoices!$C$6:$C$305,C1120,Invoices!$E$6:$E$305,"&lt;="&amp;B1120,Invoices!$F$6:$F$305,"&gt;="&amp;B1120)),IF(COUNTIFS(Invoices!$C$6:$C$305,C1120,Invoices!$E$6:$E$305,"&lt;="&amp;B1120,Invoices!$F$6:$F$305,"&gt;="&amp;B1120)&gt;1,"Two invoices",""))))</f>
        <v/>
      </c>
      <c r="Q1120" s="15">
        <f>IF(B1120="","",IF(J1120&lt;&gt;"","Not billable",IF(P1120="","To invoice",IF(P1120="Two invoices","Check dates",IF(ISNA(MATCH(P1120,Invoices!$B$6:$B$305,0)),"Check number",IF(INDEX(Invoices!$M$6:$M$305,MATCH(P1120,Invoices!$B$6:$B$305,0))="Paid","Paid",IF(INDEX(Invoices!$M$6:$M$305,MATCH(P1120,Invoices!$B$6:$B$305,0))="Draft","Draft","Invoiced")))))))</f>
        <v/>
      </c>
      <c r="R1120" s="1">
        <f>IF(AND(B1120&lt;&gt;"",P1120&lt;&gt;"",P1120=Invoice!$G$4),B1120+MOD(N(F1120),1)+ROW()/10000000,"")</f>
        <v/>
      </c>
      <c r="S1120">
        <f>IF(R1120="","",IF(D1120="","Other work",D1120)&amp;IF(AND(K1120&lt;&gt;"",E1120&lt;&gt;""),", "&amp;E1120,""))</f>
        <v/>
      </c>
      <c r="T1120">
        <f>IF(R1120="","",IF(COUNTIFS(R$6:R1119,"&gt;0",S$6:S1119,S1120,N$6:N1119,N1120)=0,R1120,""))</f>
        <v/>
      </c>
      <c r="U1120">
        <f>IF(B1120="","",IF(J1120&lt;&gt;"",0,M1120))</f>
        <v/>
      </c>
    </row>
    <row r="1121">
      <c r="A1121" s="1" t="n"/>
      <c r="B1121" s="16" t="n"/>
      <c r="C1121" s="17" t="n"/>
      <c r="D1121" s="18" t="n"/>
      <c r="E1121" s="18" t="n"/>
      <c r="F1121" s="19" t="n"/>
      <c r="G1121" s="19" t="n"/>
      <c r="H1121" s="20" t="n"/>
      <c r="I1121" s="21" t="n"/>
      <c r="J1121" s="22" t="n"/>
      <c r="K1121" s="23" t="n"/>
      <c r="L1121" s="18" t="n"/>
      <c r="M1121" s="24">
        <f>IF(B1121="","",IF(AND(F1121&lt;&gt;"",G1121&lt;&gt;""),MAX(0,ROUND(MOD(G1121-F1121,1)*24-N(H1121)/60,2)),N(I1121)))</f>
        <v/>
      </c>
      <c r="N1121" s="14">
        <f>IF(B1121="","",IF(K1121&lt;&gt;"",K1121,IF(N(IFERROR(INDEX(Projects!$D$6:$D$65,MATCH(D1121,Projects!$B$6:$B$65,0)),""))&gt;0,IFERROR(INDEX(Projects!$D$6:$D$65,MATCH(D1121,Projects!$B$6:$B$65,0)),""),IFERROR(INDEX(Clients!$G$6:$G$45,MATCH(C1121,Clients!$B$6:$B$45,0)),0))))</f>
        <v/>
      </c>
      <c r="O1121" s="14">
        <f>IF(B1121="","",IF(J1121&lt;&gt;"",0,ROUND(M1121*N1121,2)))</f>
        <v/>
      </c>
      <c r="P1121" s="15">
        <f>IF(OR(B1121="",J1121&lt;&gt;""),"",IF(L1121&lt;&gt;"",L1121,IF(COUNTIFS(Invoices!$C$6:$C$305,C1121,Invoices!$E$6:$E$305,"&lt;="&amp;B1121,Invoices!$F$6:$F$305,"&gt;="&amp;B1121)=1,INDEX(Invoices!$B$6:$B$305,SUMIFS(Invoices!$O$6:$O$305,Invoices!$C$6:$C$305,C1121,Invoices!$E$6:$E$305,"&lt;="&amp;B1121,Invoices!$F$6:$F$305,"&gt;="&amp;B1121)),IF(COUNTIFS(Invoices!$C$6:$C$305,C1121,Invoices!$E$6:$E$305,"&lt;="&amp;B1121,Invoices!$F$6:$F$305,"&gt;="&amp;B1121)&gt;1,"Two invoices",""))))</f>
        <v/>
      </c>
      <c r="Q1121" s="15">
        <f>IF(B1121="","",IF(J1121&lt;&gt;"","Not billable",IF(P1121="","To invoice",IF(P1121="Two invoices","Check dates",IF(ISNA(MATCH(P1121,Invoices!$B$6:$B$305,0)),"Check number",IF(INDEX(Invoices!$M$6:$M$305,MATCH(P1121,Invoices!$B$6:$B$305,0))="Paid","Paid",IF(INDEX(Invoices!$M$6:$M$305,MATCH(P1121,Invoices!$B$6:$B$305,0))="Draft","Draft","Invoiced")))))))</f>
        <v/>
      </c>
      <c r="R1121" s="1">
        <f>IF(AND(B1121&lt;&gt;"",P1121&lt;&gt;"",P1121=Invoice!$G$4),B1121+MOD(N(F1121),1)+ROW()/10000000,"")</f>
        <v/>
      </c>
      <c r="S1121">
        <f>IF(R1121="","",IF(D1121="","Other work",D1121)&amp;IF(AND(K1121&lt;&gt;"",E1121&lt;&gt;""),", "&amp;E1121,""))</f>
        <v/>
      </c>
      <c r="T1121">
        <f>IF(R1121="","",IF(COUNTIFS(R$6:R1120,"&gt;0",S$6:S1120,S1121,N$6:N1120,N1121)=0,R1121,""))</f>
        <v/>
      </c>
      <c r="U1121">
        <f>IF(B1121="","",IF(J1121&lt;&gt;"",0,M1121))</f>
        <v/>
      </c>
    </row>
    <row r="1122">
      <c r="A1122" s="1" t="n"/>
      <c r="B1122" s="16" t="n"/>
      <c r="C1122" s="17" t="n"/>
      <c r="D1122" s="18" t="n"/>
      <c r="E1122" s="18" t="n"/>
      <c r="F1122" s="19" t="n"/>
      <c r="G1122" s="19" t="n"/>
      <c r="H1122" s="20" t="n"/>
      <c r="I1122" s="21" t="n"/>
      <c r="J1122" s="22" t="n"/>
      <c r="K1122" s="23" t="n"/>
      <c r="L1122" s="18" t="n"/>
      <c r="M1122" s="24">
        <f>IF(B1122="","",IF(AND(F1122&lt;&gt;"",G1122&lt;&gt;""),MAX(0,ROUND(MOD(G1122-F1122,1)*24-N(H1122)/60,2)),N(I1122)))</f>
        <v/>
      </c>
      <c r="N1122" s="14">
        <f>IF(B1122="","",IF(K1122&lt;&gt;"",K1122,IF(N(IFERROR(INDEX(Projects!$D$6:$D$65,MATCH(D1122,Projects!$B$6:$B$65,0)),""))&gt;0,IFERROR(INDEX(Projects!$D$6:$D$65,MATCH(D1122,Projects!$B$6:$B$65,0)),""),IFERROR(INDEX(Clients!$G$6:$G$45,MATCH(C1122,Clients!$B$6:$B$45,0)),0))))</f>
        <v/>
      </c>
      <c r="O1122" s="14">
        <f>IF(B1122="","",IF(J1122&lt;&gt;"",0,ROUND(M1122*N1122,2)))</f>
        <v/>
      </c>
      <c r="P1122" s="15">
        <f>IF(OR(B1122="",J1122&lt;&gt;""),"",IF(L1122&lt;&gt;"",L1122,IF(COUNTIFS(Invoices!$C$6:$C$305,C1122,Invoices!$E$6:$E$305,"&lt;="&amp;B1122,Invoices!$F$6:$F$305,"&gt;="&amp;B1122)=1,INDEX(Invoices!$B$6:$B$305,SUMIFS(Invoices!$O$6:$O$305,Invoices!$C$6:$C$305,C1122,Invoices!$E$6:$E$305,"&lt;="&amp;B1122,Invoices!$F$6:$F$305,"&gt;="&amp;B1122)),IF(COUNTIFS(Invoices!$C$6:$C$305,C1122,Invoices!$E$6:$E$305,"&lt;="&amp;B1122,Invoices!$F$6:$F$305,"&gt;="&amp;B1122)&gt;1,"Two invoices",""))))</f>
        <v/>
      </c>
      <c r="Q1122" s="15">
        <f>IF(B1122="","",IF(J1122&lt;&gt;"","Not billable",IF(P1122="","To invoice",IF(P1122="Two invoices","Check dates",IF(ISNA(MATCH(P1122,Invoices!$B$6:$B$305,0)),"Check number",IF(INDEX(Invoices!$M$6:$M$305,MATCH(P1122,Invoices!$B$6:$B$305,0))="Paid","Paid",IF(INDEX(Invoices!$M$6:$M$305,MATCH(P1122,Invoices!$B$6:$B$305,0))="Draft","Draft","Invoiced")))))))</f>
        <v/>
      </c>
      <c r="R1122" s="1">
        <f>IF(AND(B1122&lt;&gt;"",P1122&lt;&gt;"",P1122=Invoice!$G$4),B1122+MOD(N(F1122),1)+ROW()/10000000,"")</f>
        <v/>
      </c>
      <c r="S1122">
        <f>IF(R1122="","",IF(D1122="","Other work",D1122)&amp;IF(AND(K1122&lt;&gt;"",E1122&lt;&gt;""),", "&amp;E1122,""))</f>
        <v/>
      </c>
      <c r="T1122">
        <f>IF(R1122="","",IF(COUNTIFS(R$6:R1121,"&gt;0",S$6:S1121,S1122,N$6:N1121,N1122)=0,R1122,""))</f>
        <v/>
      </c>
      <c r="U1122">
        <f>IF(B1122="","",IF(J1122&lt;&gt;"",0,M1122))</f>
        <v/>
      </c>
    </row>
    <row r="1123">
      <c r="A1123" s="1" t="n"/>
      <c r="B1123" s="16" t="n"/>
      <c r="C1123" s="17" t="n"/>
      <c r="D1123" s="18" t="n"/>
      <c r="E1123" s="18" t="n"/>
      <c r="F1123" s="19" t="n"/>
      <c r="G1123" s="19" t="n"/>
      <c r="H1123" s="20" t="n"/>
      <c r="I1123" s="21" t="n"/>
      <c r="J1123" s="22" t="n"/>
      <c r="K1123" s="23" t="n"/>
      <c r="L1123" s="18" t="n"/>
      <c r="M1123" s="24">
        <f>IF(B1123="","",IF(AND(F1123&lt;&gt;"",G1123&lt;&gt;""),MAX(0,ROUND(MOD(G1123-F1123,1)*24-N(H1123)/60,2)),N(I1123)))</f>
        <v/>
      </c>
      <c r="N1123" s="14">
        <f>IF(B1123="","",IF(K1123&lt;&gt;"",K1123,IF(N(IFERROR(INDEX(Projects!$D$6:$D$65,MATCH(D1123,Projects!$B$6:$B$65,0)),""))&gt;0,IFERROR(INDEX(Projects!$D$6:$D$65,MATCH(D1123,Projects!$B$6:$B$65,0)),""),IFERROR(INDEX(Clients!$G$6:$G$45,MATCH(C1123,Clients!$B$6:$B$45,0)),0))))</f>
        <v/>
      </c>
      <c r="O1123" s="14">
        <f>IF(B1123="","",IF(J1123&lt;&gt;"",0,ROUND(M1123*N1123,2)))</f>
        <v/>
      </c>
      <c r="P1123" s="15">
        <f>IF(OR(B1123="",J1123&lt;&gt;""),"",IF(L1123&lt;&gt;"",L1123,IF(COUNTIFS(Invoices!$C$6:$C$305,C1123,Invoices!$E$6:$E$305,"&lt;="&amp;B1123,Invoices!$F$6:$F$305,"&gt;="&amp;B1123)=1,INDEX(Invoices!$B$6:$B$305,SUMIFS(Invoices!$O$6:$O$305,Invoices!$C$6:$C$305,C1123,Invoices!$E$6:$E$305,"&lt;="&amp;B1123,Invoices!$F$6:$F$305,"&gt;="&amp;B1123)),IF(COUNTIFS(Invoices!$C$6:$C$305,C1123,Invoices!$E$6:$E$305,"&lt;="&amp;B1123,Invoices!$F$6:$F$305,"&gt;="&amp;B1123)&gt;1,"Two invoices",""))))</f>
        <v/>
      </c>
      <c r="Q1123" s="15">
        <f>IF(B1123="","",IF(J1123&lt;&gt;"","Not billable",IF(P1123="","To invoice",IF(P1123="Two invoices","Check dates",IF(ISNA(MATCH(P1123,Invoices!$B$6:$B$305,0)),"Check number",IF(INDEX(Invoices!$M$6:$M$305,MATCH(P1123,Invoices!$B$6:$B$305,0))="Paid","Paid",IF(INDEX(Invoices!$M$6:$M$305,MATCH(P1123,Invoices!$B$6:$B$305,0))="Draft","Draft","Invoiced")))))))</f>
        <v/>
      </c>
      <c r="R1123" s="1">
        <f>IF(AND(B1123&lt;&gt;"",P1123&lt;&gt;"",P1123=Invoice!$G$4),B1123+MOD(N(F1123),1)+ROW()/10000000,"")</f>
        <v/>
      </c>
      <c r="S1123">
        <f>IF(R1123="","",IF(D1123="","Other work",D1123)&amp;IF(AND(K1123&lt;&gt;"",E1123&lt;&gt;""),", "&amp;E1123,""))</f>
        <v/>
      </c>
      <c r="T1123">
        <f>IF(R1123="","",IF(COUNTIFS(R$6:R1122,"&gt;0",S$6:S1122,S1123,N$6:N1122,N1123)=0,R1123,""))</f>
        <v/>
      </c>
      <c r="U1123">
        <f>IF(B1123="","",IF(J1123&lt;&gt;"",0,M1123))</f>
        <v/>
      </c>
    </row>
    <row r="1124">
      <c r="A1124" s="1" t="n"/>
      <c r="B1124" s="16" t="n"/>
      <c r="C1124" s="17" t="n"/>
      <c r="D1124" s="18" t="n"/>
      <c r="E1124" s="18" t="n"/>
      <c r="F1124" s="19" t="n"/>
      <c r="G1124" s="19" t="n"/>
      <c r="H1124" s="20" t="n"/>
      <c r="I1124" s="21" t="n"/>
      <c r="J1124" s="22" t="n"/>
      <c r="K1124" s="23" t="n"/>
      <c r="L1124" s="18" t="n"/>
      <c r="M1124" s="24">
        <f>IF(B1124="","",IF(AND(F1124&lt;&gt;"",G1124&lt;&gt;""),MAX(0,ROUND(MOD(G1124-F1124,1)*24-N(H1124)/60,2)),N(I1124)))</f>
        <v/>
      </c>
      <c r="N1124" s="14">
        <f>IF(B1124="","",IF(K1124&lt;&gt;"",K1124,IF(N(IFERROR(INDEX(Projects!$D$6:$D$65,MATCH(D1124,Projects!$B$6:$B$65,0)),""))&gt;0,IFERROR(INDEX(Projects!$D$6:$D$65,MATCH(D1124,Projects!$B$6:$B$65,0)),""),IFERROR(INDEX(Clients!$G$6:$G$45,MATCH(C1124,Clients!$B$6:$B$45,0)),0))))</f>
        <v/>
      </c>
      <c r="O1124" s="14">
        <f>IF(B1124="","",IF(J1124&lt;&gt;"",0,ROUND(M1124*N1124,2)))</f>
        <v/>
      </c>
      <c r="P1124" s="15">
        <f>IF(OR(B1124="",J1124&lt;&gt;""),"",IF(L1124&lt;&gt;"",L1124,IF(COUNTIFS(Invoices!$C$6:$C$305,C1124,Invoices!$E$6:$E$305,"&lt;="&amp;B1124,Invoices!$F$6:$F$305,"&gt;="&amp;B1124)=1,INDEX(Invoices!$B$6:$B$305,SUMIFS(Invoices!$O$6:$O$305,Invoices!$C$6:$C$305,C1124,Invoices!$E$6:$E$305,"&lt;="&amp;B1124,Invoices!$F$6:$F$305,"&gt;="&amp;B1124)),IF(COUNTIFS(Invoices!$C$6:$C$305,C1124,Invoices!$E$6:$E$305,"&lt;="&amp;B1124,Invoices!$F$6:$F$305,"&gt;="&amp;B1124)&gt;1,"Two invoices",""))))</f>
        <v/>
      </c>
      <c r="Q1124" s="15">
        <f>IF(B1124="","",IF(J1124&lt;&gt;"","Not billable",IF(P1124="","To invoice",IF(P1124="Two invoices","Check dates",IF(ISNA(MATCH(P1124,Invoices!$B$6:$B$305,0)),"Check number",IF(INDEX(Invoices!$M$6:$M$305,MATCH(P1124,Invoices!$B$6:$B$305,0))="Paid","Paid",IF(INDEX(Invoices!$M$6:$M$305,MATCH(P1124,Invoices!$B$6:$B$305,0))="Draft","Draft","Invoiced")))))))</f>
        <v/>
      </c>
      <c r="R1124" s="1">
        <f>IF(AND(B1124&lt;&gt;"",P1124&lt;&gt;"",P1124=Invoice!$G$4),B1124+MOD(N(F1124),1)+ROW()/10000000,"")</f>
        <v/>
      </c>
      <c r="S1124">
        <f>IF(R1124="","",IF(D1124="","Other work",D1124)&amp;IF(AND(K1124&lt;&gt;"",E1124&lt;&gt;""),", "&amp;E1124,""))</f>
        <v/>
      </c>
      <c r="T1124">
        <f>IF(R1124="","",IF(COUNTIFS(R$6:R1123,"&gt;0",S$6:S1123,S1124,N$6:N1123,N1124)=0,R1124,""))</f>
        <v/>
      </c>
      <c r="U1124">
        <f>IF(B1124="","",IF(J1124&lt;&gt;"",0,M1124))</f>
        <v/>
      </c>
    </row>
    <row r="1125">
      <c r="A1125" s="1" t="n"/>
      <c r="B1125" s="16" t="n"/>
      <c r="C1125" s="17" t="n"/>
      <c r="D1125" s="18" t="n"/>
      <c r="E1125" s="18" t="n"/>
      <c r="F1125" s="19" t="n"/>
      <c r="G1125" s="19" t="n"/>
      <c r="H1125" s="20" t="n"/>
      <c r="I1125" s="21" t="n"/>
      <c r="J1125" s="22" t="n"/>
      <c r="K1125" s="23" t="n"/>
      <c r="L1125" s="18" t="n"/>
      <c r="M1125" s="24">
        <f>IF(B1125="","",IF(AND(F1125&lt;&gt;"",G1125&lt;&gt;""),MAX(0,ROUND(MOD(G1125-F1125,1)*24-N(H1125)/60,2)),N(I1125)))</f>
        <v/>
      </c>
      <c r="N1125" s="14">
        <f>IF(B1125="","",IF(K1125&lt;&gt;"",K1125,IF(N(IFERROR(INDEX(Projects!$D$6:$D$65,MATCH(D1125,Projects!$B$6:$B$65,0)),""))&gt;0,IFERROR(INDEX(Projects!$D$6:$D$65,MATCH(D1125,Projects!$B$6:$B$65,0)),""),IFERROR(INDEX(Clients!$G$6:$G$45,MATCH(C1125,Clients!$B$6:$B$45,0)),0))))</f>
        <v/>
      </c>
      <c r="O1125" s="14">
        <f>IF(B1125="","",IF(J1125&lt;&gt;"",0,ROUND(M1125*N1125,2)))</f>
        <v/>
      </c>
      <c r="P1125" s="15">
        <f>IF(OR(B1125="",J1125&lt;&gt;""),"",IF(L1125&lt;&gt;"",L1125,IF(COUNTIFS(Invoices!$C$6:$C$305,C1125,Invoices!$E$6:$E$305,"&lt;="&amp;B1125,Invoices!$F$6:$F$305,"&gt;="&amp;B1125)=1,INDEX(Invoices!$B$6:$B$305,SUMIFS(Invoices!$O$6:$O$305,Invoices!$C$6:$C$305,C1125,Invoices!$E$6:$E$305,"&lt;="&amp;B1125,Invoices!$F$6:$F$305,"&gt;="&amp;B1125)),IF(COUNTIFS(Invoices!$C$6:$C$305,C1125,Invoices!$E$6:$E$305,"&lt;="&amp;B1125,Invoices!$F$6:$F$305,"&gt;="&amp;B1125)&gt;1,"Two invoices",""))))</f>
        <v/>
      </c>
      <c r="Q1125" s="15">
        <f>IF(B1125="","",IF(J1125&lt;&gt;"","Not billable",IF(P1125="","To invoice",IF(P1125="Two invoices","Check dates",IF(ISNA(MATCH(P1125,Invoices!$B$6:$B$305,0)),"Check number",IF(INDEX(Invoices!$M$6:$M$305,MATCH(P1125,Invoices!$B$6:$B$305,0))="Paid","Paid",IF(INDEX(Invoices!$M$6:$M$305,MATCH(P1125,Invoices!$B$6:$B$305,0))="Draft","Draft","Invoiced")))))))</f>
        <v/>
      </c>
      <c r="R1125" s="1">
        <f>IF(AND(B1125&lt;&gt;"",P1125&lt;&gt;"",P1125=Invoice!$G$4),B1125+MOD(N(F1125),1)+ROW()/10000000,"")</f>
        <v/>
      </c>
      <c r="S1125">
        <f>IF(R1125="","",IF(D1125="","Other work",D1125)&amp;IF(AND(K1125&lt;&gt;"",E1125&lt;&gt;""),", "&amp;E1125,""))</f>
        <v/>
      </c>
      <c r="T1125">
        <f>IF(R1125="","",IF(COUNTIFS(R$6:R1124,"&gt;0",S$6:S1124,S1125,N$6:N1124,N1125)=0,R1125,""))</f>
        <v/>
      </c>
      <c r="U1125">
        <f>IF(B1125="","",IF(J1125&lt;&gt;"",0,M1125))</f>
        <v/>
      </c>
    </row>
    <row r="1126">
      <c r="A1126" s="1" t="n"/>
      <c r="B1126" s="16" t="n"/>
      <c r="C1126" s="17" t="n"/>
      <c r="D1126" s="18" t="n"/>
      <c r="E1126" s="18" t="n"/>
      <c r="F1126" s="19" t="n"/>
      <c r="G1126" s="19" t="n"/>
      <c r="H1126" s="20" t="n"/>
      <c r="I1126" s="21" t="n"/>
      <c r="J1126" s="22" t="n"/>
      <c r="K1126" s="23" t="n"/>
      <c r="L1126" s="18" t="n"/>
      <c r="M1126" s="24">
        <f>IF(B1126="","",IF(AND(F1126&lt;&gt;"",G1126&lt;&gt;""),MAX(0,ROUND(MOD(G1126-F1126,1)*24-N(H1126)/60,2)),N(I1126)))</f>
        <v/>
      </c>
      <c r="N1126" s="14">
        <f>IF(B1126="","",IF(K1126&lt;&gt;"",K1126,IF(N(IFERROR(INDEX(Projects!$D$6:$D$65,MATCH(D1126,Projects!$B$6:$B$65,0)),""))&gt;0,IFERROR(INDEX(Projects!$D$6:$D$65,MATCH(D1126,Projects!$B$6:$B$65,0)),""),IFERROR(INDEX(Clients!$G$6:$G$45,MATCH(C1126,Clients!$B$6:$B$45,0)),0))))</f>
        <v/>
      </c>
      <c r="O1126" s="14">
        <f>IF(B1126="","",IF(J1126&lt;&gt;"",0,ROUND(M1126*N1126,2)))</f>
        <v/>
      </c>
      <c r="P1126" s="15">
        <f>IF(OR(B1126="",J1126&lt;&gt;""),"",IF(L1126&lt;&gt;"",L1126,IF(COUNTIFS(Invoices!$C$6:$C$305,C1126,Invoices!$E$6:$E$305,"&lt;="&amp;B1126,Invoices!$F$6:$F$305,"&gt;="&amp;B1126)=1,INDEX(Invoices!$B$6:$B$305,SUMIFS(Invoices!$O$6:$O$305,Invoices!$C$6:$C$305,C1126,Invoices!$E$6:$E$305,"&lt;="&amp;B1126,Invoices!$F$6:$F$305,"&gt;="&amp;B1126)),IF(COUNTIFS(Invoices!$C$6:$C$305,C1126,Invoices!$E$6:$E$305,"&lt;="&amp;B1126,Invoices!$F$6:$F$305,"&gt;="&amp;B1126)&gt;1,"Two invoices",""))))</f>
        <v/>
      </c>
      <c r="Q1126" s="15">
        <f>IF(B1126="","",IF(J1126&lt;&gt;"","Not billable",IF(P1126="","To invoice",IF(P1126="Two invoices","Check dates",IF(ISNA(MATCH(P1126,Invoices!$B$6:$B$305,0)),"Check number",IF(INDEX(Invoices!$M$6:$M$305,MATCH(P1126,Invoices!$B$6:$B$305,0))="Paid","Paid",IF(INDEX(Invoices!$M$6:$M$305,MATCH(P1126,Invoices!$B$6:$B$305,0))="Draft","Draft","Invoiced")))))))</f>
        <v/>
      </c>
      <c r="R1126" s="1">
        <f>IF(AND(B1126&lt;&gt;"",P1126&lt;&gt;"",P1126=Invoice!$G$4),B1126+MOD(N(F1126),1)+ROW()/10000000,"")</f>
        <v/>
      </c>
      <c r="S1126">
        <f>IF(R1126="","",IF(D1126="","Other work",D1126)&amp;IF(AND(K1126&lt;&gt;"",E1126&lt;&gt;""),", "&amp;E1126,""))</f>
        <v/>
      </c>
      <c r="T1126">
        <f>IF(R1126="","",IF(COUNTIFS(R$6:R1125,"&gt;0",S$6:S1125,S1126,N$6:N1125,N1126)=0,R1126,""))</f>
        <v/>
      </c>
      <c r="U1126">
        <f>IF(B1126="","",IF(J1126&lt;&gt;"",0,M1126))</f>
        <v/>
      </c>
    </row>
    <row r="1127">
      <c r="A1127" s="1" t="n"/>
      <c r="B1127" s="16" t="n"/>
      <c r="C1127" s="17" t="n"/>
      <c r="D1127" s="18" t="n"/>
      <c r="E1127" s="18" t="n"/>
      <c r="F1127" s="19" t="n"/>
      <c r="G1127" s="19" t="n"/>
      <c r="H1127" s="20" t="n"/>
      <c r="I1127" s="21" t="n"/>
      <c r="J1127" s="22" t="n"/>
      <c r="K1127" s="23" t="n"/>
      <c r="L1127" s="18" t="n"/>
      <c r="M1127" s="24">
        <f>IF(B1127="","",IF(AND(F1127&lt;&gt;"",G1127&lt;&gt;""),MAX(0,ROUND(MOD(G1127-F1127,1)*24-N(H1127)/60,2)),N(I1127)))</f>
        <v/>
      </c>
      <c r="N1127" s="14">
        <f>IF(B1127="","",IF(K1127&lt;&gt;"",K1127,IF(N(IFERROR(INDEX(Projects!$D$6:$D$65,MATCH(D1127,Projects!$B$6:$B$65,0)),""))&gt;0,IFERROR(INDEX(Projects!$D$6:$D$65,MATCH(D1127,Projects!$B$6:$B$65,0)),""),IFERROR(INDEX(Clients!$G$6:$G$45,MATCH(C1127,Clients!$B$6:$B$45,0)),0))))</f>
        <v/>
      </c>
      <c r="O1127" s="14">
        <f>IF(B1127="","",IF(J1127&lt;&gt;"",0,ROUND(M1127*N1127,2)))</f>
        <v/>
      </c>
      <c r="P1127" s="15">
        <f>IF(OR(B1127="",J1127&lt;&gt;""),"",IF(L1127&lt;&gt;"",L1127,IF(COUNTIFS(Invoices!$C$6:$C$305,C1127,Invoices!$E$6:$E$305,"&lt;="&amp;B1127,Invoices!$F$6:$F$305,"&gt;="&amp;B1127)=1,INDEX(Invoices!$B$6:$B$305,SUMIFS(Invoices!$O$6:$O$305,Invoices!$C$6:$C$305,C1127,Invoices!$E$6:$E$305,"&lt;="&amp;B1127,Invoices!$F$6:$F$305,"&gt;="&amp;B1127)),IF(COUNTIFS(Invoices!$C$6:$C$305,C1127,Invoices!$E$6:$E$305,"&lt;="&amp;B1127,Invoices!$F$6:$F$305,"&gt;="&amp;B1127)&gt;1,"Two invoices",""))))</f>
        <v/>
      </c>
      <c r="Q1127" s="15">
        <f>IF(B1127="","",IF(J1127&lt;&gt;"","Not billable",IF(P1127="","To invoice",IF(P1127="Two invoices","Check dates",IF(ISNA(MATCH(P1127,Invoices!$B$6:$B$305,0)),"Check number",IF(INDEX(Invoices!$M$6:$M$305,MATCH(P1127,Invoices!$B$6:$B$305,0))="Paid","Paid",IF(INDEX(Invoices!$M$6:$M$305,MATCH(P1127,Invoices!$B$6:$B$305,0))="Draft","Draft","Invoiced")))))))</f>
        <v/>
      </c>
      <c r="R1127" s="1">
        <f>IF(AND(B1127&lt;&gt;"",P1127&lt;&gt;"",P1127=Invoice!$G$4),B1127+MOD(N(F1127),1)+ROW()/10000000,"")</f>
        <v/>
      </c>
      <c r="S1127">
        <f>IF(R1127="","",IF(D1127="","Other work",D1127)&amp;IF(AND(K1127&lt;&gt;"",E1127&lt;&gt;""),", "&amp;E1127,""))</f>
        <v/>
      </c>
      <c r="T1127">
        <f>IF(R1127="","",IF(COUNTIFS(R$6:R1126,"&gt;0",S$6:S1126,S1127,N$6:N1126,N1127)=0,R1127,""))</f>
        <v/>
      </c>
      <c r="U1127">
        <f>IF(B1127="","",IF(J1127&lt;&gt;"",0,M1127))</f>
        <v/>
      </c>
    </row>
    <row r="1128">
      <c r="A1128" s="1" t="n"/>
      <c r="B1128" s="16" t="n"/>
      <c r="C1128" s="17" t="n"/>
      <c r="D1128" s="18" t="n"/>
      <c r="E1128" s="18" t="n"/>
      <c r="F1128" s="19" t="n"/>
      <c r="G1128" s="19" t="n"/>
      <c r="H1128" s="20" t="n"/>
      <c r="I1128" s="21" t="n"/>
      <c r="J1128" s="22" t="n"/>
      <c r="K1128" s="23" t="n"/>
      <c r="L1128" s="18" t="n"/>
      <c r="M1128" s="24">
        <f>IF(B1128="","",IF(AND(F1128&lt;&gt;"",G1128&lt;&gt;""),MAX(0,ROUND(MOD(G1128-F1128,1)*24-N(H1128)/60,2)),N(I1128)))</f>
        <v/>
      </c>
      <c r="N1128" s="14">
        <f>IF(B1128="","",IF(K1128&lt;&gt;"",K1128,IF(N(IFERROR(INDEX(Projects!$D$6:$D$65,MATCH(D1128,Projects!$B$6:$B$65,0)),""))&gt;0,IFERROR(INDEX(Projects!$D$6:$D$65,MATCH(D1128,Projects!$B$6:$B$65,0)),""),IFERROR(INDEX(Clients!$G$6:$G$45,MATCH(C1128,Clients!$B$6:$B$45,0)),0))))</f>
        <v/>
      </c>
      <c r="O1128" s="14">
        <f>IF(B1128="","",IF(J1128&lt;&gt;"",0,ROUND(M1128*N1128,2)))</f>
        <v/>
      </c>
      <c r="P1128" s="15">
        <f>IF(OR(B1128="",J1128&lt;&gt;""),"",IF(L1128&lt;&gt;"",L1128,IF(COUNTIFS(Invoices!$C$6:$C$305,C1128,Invoices!$E$6:$E$305,"&lt;="&amp;B1128,Invoices!$F$6:$F$305,"&gt;="&amp;B1128)=1,INDEX(Invoices!$B$6:$B$305,SUMIFS(Invoices!$O$6:$O$305,Invoices!$C$6:$C$305,C1128,Invoices!$E$6:$E$305,"&lt;="&amp;B1128,Invoices!$F$6:$F$305,"&gt;="&amp;B1128)),IF(COUNTIFS(Invoices!$C$6:$C$305,C1128,Invoices!$E$6:$E$305,"&lt;="&amp;B1128,Invoices!$F$6:$F$305,"&gt;="&amp;B1128)&gt;1,"Two invoices",""))))</f>
        <v/>
      </c>
      <c r="Q1128" s="15">
        <f>IF(B1128="","",IF(J1128&lt;&gt;"","Not billable",IF(P1128="","To invoice",IF(P1128="Two invoices","Check dates",IF(ISNA(MATCH(P1128,Invoices!$B$6:$B$305,0)),"Check number",IF(INDEX(Invoices!$M$6:$M$305,MATCH(P1128,Invoices!$B$6:$B$305,0))="Paid","Paid",IF(INDEX(Invoices!$M$6:$M$305,MATCH(P1128,Invoices!$B$6:$B$305,0))="Draft","Draft","Invoiced")))))))</f>
        <v/>
      </c>
      <c r="R1128" s="1">
        <f>IF(AND(B1128&lt;&gt;"",P1128&lt;&gt;"",P1128=Invoice!$G$4),B1128+MOD(N(F1128),1)+ROW()/10000000,"")</f>
        <v/>
      </c>
      <c r="S1128">
        <f>IF(R1128="","",IF(D1128="","Other work",D1128)&amp;IF(AND(K1128&lt;&gt;"",E1128&lt;&gt;""),", "&amp;E1128,""))</f>
        <v/>
      </c>
      <c r="T1128">
        <f>IF(R1128="","",IF(COUNTIFS(R$6:R1127,"&gt;0",S$6:S1127,S1128,N$6:N1127,N1128)=0,R1128,""))</f>
        <v/>
      </c>
      <c r="U1128">
        <f>IF(B1128="","",IF(J1128&lt;&gt;"",0,M1128))</f>
        <v/>
      </c>
    </row>
    <row r="1129">
      <c r="A1129" s="1" t="n"/>
      <c r="B1129" s="16" t="n"/>
      <c r="C1129" s="17" t="n"/>
      <c r="D1129" s="18" t="n"/>
      <c r="E1129" s="18" t="n"/>
      <c r="F1129" s="19" t="n"/>
      <c r="G1129" s="19" t="n"/>
      <c r="H1129" s="20" t="n"/>
      <c r="I1129" s="21" t="n"/>
      <c r="J1129" s="22" t="n"/>
      <c r="K1129" s="23" t="n"/>
      <c r="L1129" s="18" t="n"/>
      <c r="M1129" s="24">
        <f>IF(B1129="","",IF(AND(F1129&lt;&gt;"",G1129&lt;&gt;""),MAX(0,ROUND(MOD(G1129-F1129,1)*24-N(H1129)/60,2)),N(I1129)))</f>
        <v/>
      </c>
      <c r="N1129" s="14">
        <f>IF(B1129="","",IF(K1129&lt;&gt;"",K1129,IF(N(IFERROR(INDEX(Projects!$D$6:$D$65,MATCH(D1129,Projects!$B$6:$B$65,0)),""))&gt;0,IFERROR(INDEX(Projects!$D$6:$D$65,MATCH(D1129,Projects!$B$6:$B$65,0)),""),IFERROR(INDEX(Clients!$G$6:$G$45,MATCH(C1129,Clients!$B$6:$B$45,0)),0))))</f>
        <v/>
      </c>
      <c r="O1129" s="14">
        <f>IF(B1129="","",IF(J1129&lt;&gt;"",0,ROUND(M1129*N1129,2)))</f>
        <v/>
      </c>
      <c r="P1129" s="15">
        <f>IF(OR(B1129="",J1129&lt;&gt;""),"",IF(L1129&lt;&gt;"",L1129,IF(COUNTIFS(Invoices!$C$6:$C$305,C1129,Invoices!$E$6:$E$305,"&lt;="&amp;B1129,Invoices!$F$6:$F$305,"&gt;="&amp;B1129)=1,INDEX(Invoices!$B$6:$B$305,SUMIFS(Invoices!$O$6:$O$305,Invoices!$C$6:$C$305,C1129,Invoices!$E$6:$E$305,"&lt;="&amp;B1129,Invoices!$F$6:$F$305,"&gt;="&amp;B1129)),IF(COUNTIFS(Invoices!$C$6:$C$305,C1129,Invoices!$E$6:$E$305,"&lt;="&amp;B1129,Invoices!$F$6:$F$305,"&gt;="&amp;B1129)&gt;1,"Two invoices",""))))</f>
        <v/>
      </c>
      <c r="Q1129" s="15">
        <f>IF(B1129="","",IF(J1129&lt;&gt;"","Not billable",IF(P1129="","To invoice",IF(P1129="Two invoices","Check dates",IF(ISNA(MATCH(P1129,Invoices!$B$6:$B$305,0)),"Check number",IF(INDEX(Invoices!$M$6:$M$305,MATCH(P1129,Invoices!$B$6:$B$305,0))="Paid","Paid",IF(INDEX(Invoices!$M$6:$M$305,MATCH(P1129,Invoices!$B$6:$B$305,0))="Draft","Draft","Invoiced")))))))</f>
        <v/>
      </c>
      <c r="R1129" s="1">
        <f>IF(AND(B1129&lt;&gt;"",P1129&lt;&gt;"",P1129=Invoice!$G$4),B1129+MOD(N(F1129),1)+ROW()/10000000,"")</f>
        <v/>
      </c>
      <c r="S1129">
        <f>IF(R1129="","",IF(D1129="","Other work",D1129)&amp;IF(AND(K1129&lt;&gt;"",E1129&lt;&gt;""),", "&amp;E1129,""))</f>
        <v/>
      </c>
      <c r="T1129">
        <f>IF(R1129="","",IF(COUNTIFS(R$6:R1128,"&gt;0",S$6:S1128,S1129,N$6:N1128,N1129)=0,R1129,""))</f>
        <v/>
      </c>
      <c r="U1129">
        <f>IF(B1129="","",IF(J1129&lt;&gt;"",0,M1129))</f>
        <v/>
      </c>
    </row>
    <row r="1130">
      <c r="A1130" s="1" t="n"/>
      <c r="B1130" s="16" t="n"/>
      <c r="C1130" s="17" t="n"/>
      <c r="D1130" s="18" t="n"/>
      <c r="E1130" s="18" t="n"/>
      <c r="F1130" s="19" t="n"/>
      <c r="G1130" s="19" t="n"/>
      <c r="H1130" s="20" t="n"/>
      <c r="I1130" s="21" t="n"/>
      <c r="J1130" s="22" t="n"/>
      <c r="K1130" s="23" t="n"/>
      <c r="L1130" s="18" t="n"/>
      <c r="M1130" s="24">
        <f>IF(B1130="","",IF(AND(F1130&lt;&gt;"",G1130&lt;&gt;""),MAX(0,ROUND(MOD(G1130-F1130,1)*24-N(H1130)/60,2)),N(I1130)))</f>
        <v/>
      </c>
      <c r="N1130" s="14">
        <f>IF(B1130="","",IF(K1130&lt;&gt;"",K1130,IF(N(IFERROR(INDEX(Projects!$D$6:$D$65,MATCH(D1130,Projects!$B$6:$B$65,0)),""))&gt;0,IFERROR(INDEX(Projects!$D$6:$D$65,MATCH(D1130,Projects!$B$6:$B$65,0)),""),IFERROR(INDEX(Clients!$G$6:$G$45,MATCH(C1130,Clients!$B$6:$B$45,0)),0))))</f>
        <v/>
      </c>
      <c r="O1130" s="14">
        <f>IF(B1130="","",IF(J1130&lt;&gt;"",0,ROUND(M1130*N1130,2)))</f>
        <v/>
      </c>
      <c r="P1130" s="15">
        <f>IF(OR(B1130="",J1130&lt;&gt;""),"",IF(L1130&lt;&gt;"",L1130,IF(COUNTIFS(Invoices!$C$6:$C$305,C1130,Invoices!$E$6:$E$305,"&lt;="&amp;B1130,Invoices!$F$6:$F$305,"&gt;="&amp;B1130)=1,INDEX(Invoices!$B$6:$B$305,SUMIFS(Invoices!$O$6:$O$305,Invoices!$C$6:$C$305,C1130,Invoices!$E$6:$E$305,"&lt;="&amp;B1130,Invoices!$F$6:$F$305,"&gt;="&amp;B1130)),IF(COUNTIFS(Invoices!$C$6:$C$305,C1130,Invoices!$E$6:$E$305,"&lt;="&amp;B1130,Invoices!$F$6:$F$305,"&gt;="&amp;B1130)&gt;1,"Two invoices",""))))</f>
        <v/>
      </c>
      <c r="Q1130" s="15">
        <f>IF(B1130="","",IF(J1130&lt;&gt;"","Not billable",IF(P1130="","To invoice",IF(P1130="Two invoices","Check dates",IF(ISNA(MATCH(P1130,Invoices!$B$6:$B$305,0)),"Check number",IF(INDEX(Invoices!$M$6:$M$305,MATCH(P1130,Invoices!$B$6:$B$305,0))="Paid","Paid",IF(INDEX(Invoices!$M$6:$M$305,MATCH(P1130,Invoices!$B$6:$B$305,0))="Draft","Draft","Invoiced")))))))</f>
        <v/>
      </c>
      <c r="R1130" s="1">
        <f>IF(AND(B1130&lt;&gt;"",P1130&lt;&gt;"",P1130=Invoice!$G$4),B1130+MOD(N(F1130),1)+ROW()/10000000,"")</f>
        <v/>
      </c>
      <c r="S1130">
        <f>IF(R1130="","",IF(D1130="","Other work",D1130)&amp;IF(AND(K1130&lt;&gt;"",E1130&lt;&gt;""),", "&amp;E1130,""))</f>
        <v/>
      </c>
      <c r="T1130">
        <f>IF(R1130="","",IF(COUNTIFS(R$6:R1129,"&gt;0",S$6:S1129,S1130,N$6:N1129,N1130)=0,R1130,""))</f>
        <v/>
      </c>
      <c r="U1130">
        <f>IF(B1130="","",IF(J1130&lt;&gt;"",0,M1130))</f>
        <v/>
      </c>
    </row>
    <row r="1131">
      <c r="A1131" s="1" t="n"/>
      <c r="B1131" s="16" t="n"/>
      <c r="C1131" s="17" t="n"/>
      <c r="D1131" s="18" t="n"/>
      <c r="E1131" s="18" t="n"/>
      <c r="F1131" s="19" t="n"/>
      <c r="G1131" s="19" t="n"/>
      <c r="H1131" s="20" t="n"/>
      <c r="I1131" s="21" t="n"/>
      <c r="J1131" s="22" t="n"/>
      <c r="K1131" s="23" t="n"/>
      <c r="L1131" s="18" t="n"/>
      <c r="M1131" s="24">
        <f>IF(B1131="","",IF(AND(F1131&lt;&gt;"",G1131&lt;&gt;""),MAX(0,ROUND(MOD(G1131-F1131,1)*24-N(H1131)/60,2)),N(I1131)))</f>
        <v/>
      </c>
      <c r="N1131" s="14">
        <f>IF(B1131="","",IF(K1131&lt;&gt;"",K1131,IF(N(IFERROR(INDEX(Projects!$D$6:$D$65,MATCH(D1131,Projects!$B$6:$B$65,0)),""))&gt;0,IFERROR(INDEX(Projects!$D$6:$D$65,MATCH(D1131,Projects!$B$6:$B$65,0)),""),IFERROR(INDEX(Clients!$G$6:$G$45,MATCH(C1131,Clients!$B$6:$B$45,0)),0))))</f>
        <v/>
      </c>
      <c r="O1131" s="14">
        <f>IF(B1131="","",IF(J1131&lt;&gt;"",0,ROUND(M1131*N1131,2)))</f>
        <v/>
      </c>
      <c r="P1131" s="15">
        <f>IF(OR(B1131="",J1131&lt;&gt;""),"",IF(L1131&lt;&gt;"",L1131,IF(COUNTIFS(Invoices!$C$6:$C$305,C1131,Invoices!$E$6:$E$305,"&lt;="&amp;B1131,Invoices!$F$6:$F$305,"&gt;="&amp;B1131)=1,INDEX(Invoices!$B$6:$B$305,SUMIFS(Invoices!$O$6:$O$305,Invoices!$C$6:$C$305,C1131,Invoices!$E$6:$E$305,"&lt;="&amp;B1131,Invoices!$F$6:$F$305,"&gt;="&amp;B1131)),IF(COUNTIFS(Invoices!$C$6:$C$305,C1131,Invoices!$E$6:$E$305,"&lt;="&amp;B1131,Invoices!$F$6:$F$305,"&gt;="&amp;B1131)&gt;1,"Two invoices",""))))</f>
        <v/>
      </c>
      <c r="Q1131" s="15">
        <f>IF(B1131="","",IF(J1131&lt;&gt;"","Not billable",IF(P1131="","To invoice",IF(P1131="Two invoices","Check dates",IF(ISNA(MATCH(P1131,Invoices!$B$6:$B$305,0)),"Check number",IF(INDEX(Invoices!$M$6:$M$305,MATCH(P1131,Invoices!$B$6:$B$305,0))="Paid","Paid",IF(INDEX(Invoices!$M$6:$M$305,MATCH(P1131,Invoices!$B$6:$B$305,0))="Draft","Draft","Invoiced")))))))</f>
        <v/>
      </c>
      <c r="R1131" s="1">
        <f>IF(AND(B1131&lt;&gt;"",P1131&lt;&gt;"",P1131=Invoice!$G$4),B1131+MOD(N(F1131),1)+ROW()/10000000,"")</f>
        <v/>
      </c>
      <c r="S1131">
        <f>IF(R1131="","",IF(D1131="","Other work",D1131)&amp;IF(AND(K1131&lt;&gt;"",E1131&lt;&gt;""),", "&amp;E1131,""))</f>
        <v/>
      </c>
      <c r="T1131">
        <f>IF(R1131="","",IF(COUNTIFS(R$6:R1130,"&gt;0",S$6:S1130,S1131,N$6:N1130,N1131)=0,R1131,""))</f>
        <v/>
      </c>
      <c r="U1131">
        <f>IF(B1131="","",IF(J1131&lt;&gt;"",0,M1131))</f>
        <v/>
      </c>
    </row>
    <row r="1132">
      <c r="A1132" s="1" t="n"/>
      <c r="B1132" s="16" t="n"/>
      <c r="C1132" s="17" t="n"/>
      <c r="D1132" s="18" t="n"/>
      <c r="E1132" s="18" t="n"/>
      <c r="F1132" s="19" t="n"/>
      <c r="G1132" s="19" t="n"/>
      <c r="H1132" s="20" t="n"/>
      <c r="I1132" s="21" t="n"/>
      <c r="J1132" s="22" t="n"/>
      <c r="K1132" s="23" t="n"/>
      <c r="L1132" s="18" t="n"/>
      <c r="M1132" s="24">
        <f>IF(B1132="","",IF(AND(F1132&lt;&gt;"",G1132&lt;&gt;""),MAX(0,ROUND(MOD(G1132-F1132,1)*24-N(H1132)/60,2)),N(I1132)))</f>
        <v/>
      </c>
      <c r="N1132" s="14">
        <f>IF(B1132="","",IF(K1132&lt;&gt;"",K1132,IF(N(IFERROR(INDEX(Projects!$D$6:$D$65,MATCH(D1132,Projects!$B$6:$B$65,0)),""))&gt;0,IFERROR(INDEX(Projects!$D$6:$D$65,MATCH(D1132,Projects!$B$6:$B$65,0)),""),IFERROR(INDEX(Clients!$G$6:$G$45,MATCH(C1132,Clients!$B$6:$B$45,0)),0))))</f>
        <v/>
      </c>
      <c r="O1132" s="14">
        <f>IF(B1132="","",IF(J1132&lt;&gt;"",0,ROUND(M1132*N1132,2)))</f>
        <v/>
      </c>
      <c r="P1132" s="15">
        <f>IF(OR(B1132="",J1132&lt;&gt;""),"",IF(L1132&lt;&gt;"",L1132,IF(COUNTIFS(Invoices!$C$6:$C$305,C1132,Invoices!$E$6:$E$305,"&lt;="&amp;B1132,Invoices!$F$6:$F$305,"&gt;="&amp;B1132)=1,INDEX(Invoices!$B$6:$B$305,SUMIFS(Invoices!$O$6:$O$305,Invoices!$C$6:$C$305,C1132,Invoices!$E$6:$E$305,"&lt;="&amp;B1132,Invoices!$F$6:$F$305,"&gt;="&amp;B1132)),IF(COUNTIFS(Invoices!$C$6:$C$305,C1132,Invoices!$E$6:$E$305,"&lt;="&amp;B1132,Invoices!$F$6:$F$305,"&gt;="&amp;B1132)&gt;1,"Two invoices",""))))</f>
        <v/>
      </c>
      <c r="Q1132" s="15">
        <f>IF(B1132="","",IF(J1132&lt;&gt;"","Not billable",IF(P1132="","To invoice",IF(P1132="Two invoices","Check dates",IF(ISNA(MATCH(P1132,Invoices!$B$6:$B$305,0)),"Check number",IF(INDEX(Invoices!$M$6:$M$305,MATCH(P1132,Invoices!$B$6:$B$305,0))="Paid","Paid",IF(INDEX(Invoices!$M$6:$M$305,MATCH(P1132,Invoices!$B$6:$B$305,0))="Draft","Draft","Invoiced")))))))</f>
        <v/>
      </c>
      <c r="R1132" s="1">
        <f>IF(AND(B1132&lt;&gt;"",P1132&lt;&gt;"",P1132=Invoice!$G$4),B1132+MOD(N(F1132),1)+ROW()/10000000,"")</f>
        <v/>
      </c>
      <c r="S1132">
        <f>IF(R1132="","",IF(D1132="","Other work",D1132)&amp;IF(AND(K1132&lt;&gt;"",E1132&lt;&gt;""),", "&amp;E1132,""))</f>
        <v/>
      </c>
      <c r="T1132">
        <f>IF(R1132="","",IF(COUNTIFS(R$6:R1131,"&gt;0",S$6:S1131,S1132,N$6:N1131,N1132)=0,R1132,""))</f>
        <v/>
      </c>
      <c r="U1132">
        <f>IF(B1132="","",IF(J1132&lt;&gt;"",0,M1132))</f>
        <v/>
      </c>
    </row>
    <row r="1133">
      <c r="A1133" s="1" t="n"/>
      <c r="B1133" s="16" t="n"/>
      <c r="C1133" s="17" t="n"/>
      <c r="D1133" s="18" t="n"/>
      <c r="E1133" s="18" t="n"/>
      <c r="F1133" s="19" t="n"/>
      <c r="G1133" s="19" t="n"/>
      <c r="H1133" s="20" t="n"/>
      <c r="I1133" s="21" t="n"/>
      <c r="J1133" s="22" t="n"/>
      <c r="K1133" s="23" t="n"/>
      <c r="L1133" s="18" t="n"/>
      <c r="M1133" s="24">
        <f>IF(B1133="","",IF(AND(F1133&lt;&gt;"",G1133&lt;&gt;""),MAX(0,ROUND(MOD(G1133-F1133,1)*24-N(H1133)/60,2)),N(I1133)))</f>
        <v/>
      </c>
      <c r="N1133" s="14">
        <f>IF(B1133="","",IF(K1133&lt;&gt;"",K1133,IF(N(IFERROR(INDEX(Projects!$D$6:$D$65,MATCH(D1133,Projects!$B$6:$B$65,0)),""))&gt;0,IFERROR(INDEX(Projects!$D$6:$D$65,MATCH(D1133,Projects!$B$6:$B$65,0)),""),IFERROR(INDEX(Clients!$G$6:$G$45,MATCH(C1133,Clients!$B$6:$B$45,0)),0))))</f>
        <v/>
      </c>
      <c r="O1133" s="14">
        <f>IF(B1133="","",IF(J1133&lt;&gt;"",0,ROUND(M1133*N1133,2)))</f>
        <v/>
      </c>
      <c r="P1133" s="15">
        <f>IF(OR(B1133="",J1133&lt;&gt;""),"",IF(L1133&lt;&gt;"",L1133,IF(COUNTIFS(Invoices!$C$6:$C$305,C1133,Invoices!$E$6:$E$305,"&lt;="&amp;B1133,Invoices!$F$6:$F$305,"&gt;="&amp;B1133)=1,INDEX(Invoices!$B$6:$B$305,SUMIFS(Invoices!$O$6:$O$305,Invoices!$C$6:$C$305,C1133,Invoices!$E$6:$E$305,"&lt;="&amp;B1133,Invoices!$F$6:$F$305,"&gt;="&amp;B1133)),IF(COUNTIFS(Invoices!$C$6:$C$305,C1133,Invoices!$E$6:$E$305,"&lt;="&amp;B1133,Invoices!$F$6:$F$305,"&gt;="&amp;B1133)&gt;1,"Two invoices",""))))</f>
        <v/>
      </c>
      <c r="Q1133" s="15">
        <f>IF(B1133="","",IF(J1133&lt;&gt;"","Not billable",IF(P1133="","To invoice",IF(P1133="Two invoices","Check dates",IF(ISNA(MATCH(P1133,Invoices!$B$6:$B$305,0)),"Check number",IF(INDEX(Invoices!$M$6:$M$305,MATCH(P1133,Invoices!$B$6:$B$305,0))="Paid","Paid",IF(INDEX(Invoices!$M$6:$M$305,MATCH(P1133,Invoices!$B$6:$B$305,0))="Draft","Draft","Invoiced")))))))</f>
        <v/>
      </c>
      <c r="R1133" s="1">
        <f>IF(AND(B1133&lt;&gt;"",P1133&lt;&gt;"",P1133=Invoice!$G$4),B1133+MOD(N(F1133),1)+ROW()/10000000,"")</f>
        <v/>
      </c>
      <c r="S1133">
        <f>IF(R1133="","",IF(D1133="","Other work",D1133)&amp;IF(AND(K1133&lt;&gt;"",E1133&lt;&gt;""),", "&amp;E1133,""))</f>
        <v/>
      </c>
      <c r="T1133">
        <f>IF(R1133="","",IF(COUNTIFS(R$6:R1132,"&gt;0",S$6:S1132,S1133,N$6:N1132,N1133)=0,R1133,""))</f>
        <v/>
      </c>
      <c r="U1133">
        <f>IF(B1133="","",IF(J1133&lt;&gt;"",0,M1133))</f>
        <v/>
      </c>
    </row>
    <row r="1134">
      <c r="A1134" s="1" t="n"/>
      <c r="B1134" s="16" t="n"/>
      <c r="C1134" s="17" t="n"/>
      <c r="D1134" s="18" t="n"/>
      <c r="E1134" s="18" t="n"/>
      <c r="F1134" s="19" t="n"/>
      <c r="G1134" s="19" t="n"/>
      <c r="H1134" s="20" t="n"/>
      <c r="I1134" s="21" t="n"/>
      <c r="J1134" s="22" t="n"/>
      <c r="K1134" s="23" t="n"/>
      <c r="L1134" s="18" t="n"/>
      <c r="M1134" s="24">
        <f>IF(B1134="","",IF(AND(F1134&lt;&gt;"",G1134&lt;&gt;""),MAX(0,ROUND(MOD(G1134-F1134,1)*24-N(H1134)/60,2)),N(I1134)))</f>
        <v/>
      </c>
      <c r="N1134" s="14">
        <f>IF(B1134="","",IF(K1134&lt;&gt;"",K1134,IF(N(IFERROR(INDEX(Projects!$D$6:$D$65,MATCH(D1134,Projects!$B$6:$B$65,0)),""))&gt;0,IFERROR(INDEX(Projects!$D$6:$D$65,MATCH(D1134,Projects!$B$6:$B$65,0)),""),IFERROR(INDEX(Clients!$G$6:$G$45,MATCH(C1134,Clients!$B$6:$B$45,0)),0))))</f>
        <v/>
      </c>
      <c r="O1134" s="14">
        <f>IF(B1134="","",IF(J1134&lt;&gt;"",0,ROUND(M1134*N1134,2)))</f>
        <v/>
      </c>
      <c r="P1134" s="15">
        <f>IF(OR(B1134="",J1134&lt;&gt;""),"",IF(L1134&lt;&gt;"",L1134,IF(COUNTIFS(Invoices!$C$6:$C$305,C1134,Invoices!$E$6:$E$305,"&lt;="&amp;B1134,Invoices!$F$6:$F$305,"&gt;="&amp;B1134)=1,INDEX(Invoices!$B$6:$B$305,SUMIFS(Invoices!$O$6:$O$305,Invoices!$C$6:$C$305,C1134,Invoices!$E$6:$E$305,"&lt;="&amp;B1134,Invoices!$F$6:$F$305,"&gt;="&amp;B1134)),IF(COUNTIFS(Invoices!$C$6:$C$305,C1134,Invoices!$E$6:$E$305,"&lt;="&amp;B1134,Invoices!$F$6:$F$305,"&gt;="&amp;B1134)&gt;1,"Two invoices",""))))</f>
        <v/>
      </c>
      <c r="Q1134" s="15">
        <f>IF(B1134="","",IF(J1134&lt;&gt;"","Not billable",IF(P1134="","To invoice",IF(P1134="Two invoices","Check dates",IF(ISNA(MATCH(P1134,Invoices!$B$6:$B$305,0)),"Check number",IF(INDEX(Invoices!$M$6:$M$305,MATCH(P1134,Invoices!$B$6:$B$305,0))="Paid","Paid",IF(INDEX(Invoices!$M$6:$M$305,MATCH(P1134,Invoices!$B$6:$B$305,0))="Draft","Draft","Invoiced")))))))</f>
        <v/>
      </c>
      <c r="R1134" s="1">
        <f>IF(AND(B1134&lt;&gt;"",P1134&lt;&gt;"",P1134=Invoice!$G$4),B1134+MOD(N(F1134),1)+ROW()/10000000,"")</f>
        <v/>
      </c>
      <c r="S1134">
        <f>IF(R1134="","",IF(D1134="","Other work",D1134)&amp;IF(AND(K1134&lt;&gt;"",E1134&lt;&gt;""),", "&amp;E1134,""))</f>
        <v/>
      </c>
      <c r="T1134">
        <f>IF(R1134="","",IF(COUNTIFS(R$6:R1133,"&gt;0",S$6:S1133,S1134,N$6:N1133,N1134)=0,R1134,""))</f>
        <v/>
      </c>
      <c r="U1134">
        <f>IF(B1134="","",IF(J1134&lt;&gt;"",0,M1134))</f>
        <v/>
      </c>
    </row>
    <row r="1135">
      <c r="A1135" s="1" t="n"/>
      <c r="B1135" s="16" t="n"/>
      <c r="C1135" s="17" t="n"/>
      <c r="D1135" s="18" t="n"/>
      <c r="E1135" s="18" t="n"/>
      <c r="F1135" s="19" t="n"/>
      <c r="G1135" s="19" t="n"/>
      <c r="H1135" s="20" t="n"/>
      <c r="I1135" s="21" t="n"/>
      <c r="J1135" s="22" t="n"/>
      <c r="K1135" s="23" t="n"/>
      <c r="L1135" s="18" t="n"/>
      <c r="M1135" s="24">
        <f>IF(B1135="","",IF(AND(F1135&lt;&gt;"",G1135&lt;&gt;""),MAX(0,ROUND(MOD(G1135-F1135,1)*24-N(H1135)/60,2)),N(I1135)))</f>
        <v/>
      </c>
      <c r="N1135" s="14">
        <f>IF(B1135="","",IF(K1135&lt;&gt;"",K1135,IF(N(IFERROR(INDEX(Projects!$D$6:$D$65,MATCH(D1135,Projects!$B$6:$B$65,0)),""))&gt;0,IFERROR(INDEX(Projects!$D$6:$D$65,MATCH(D1135,Projects!$B$6:$B$65,0)),""),IFERROR(INDEX(Clients!$G$6:$G$45,MATCH(C1135,Clients!$B$6:$B$45,0)),0))))</f>
        <v/>
      </c>
      <c r="O1135" s="14">
        <f>IF(B1135="","",IF(J1135&lt;&gt;"",0,ROUND(M1135*N1135,2)))</f>
        <v/>
      </c>
      <c r="P1135" s="15">
        <f>IF(OR(B1135="",J1135&lt;&gt;""),"",IF(L1135&lt;&gt;"",L1135,IF(COUNTIFS(Invoices!$C$6:$C$305,C1135,Invoices!$E$6:$E$305,"&lt;="&amp;B1135,Invoices!$F$6:$F$305,"&gt;="&amp;B1135)=1,INDEX(Invoices!$B$6:$B$305,SUMIFS(Invoices!$O$6:$O$305,Invoices!$C$6:$C$305,C1135,Invoices!$E$6:$E$305,"&lt;="&amp;B1135,Invoices!$F$6:$F$305,"&gt;="&amp;B1135)),IF(COUNTIFS(Invoices!$C$6:$C$305,C1135,Invoices!$E$6:$E$305,"&lt;="&amp;B1135,Invoices!$F$6:$F$305,"&gt;="&amp;B1135)&gt;1,"Two invoices",""))))</f>
        <v/>
      </c>
      <c r="Q1135" s="15">
        <f>IF(B1135="","",IF(J1135&lt;&gt;"","Not billable",IF(P1135="","To invoice",IF(P1135="Two invoices","Check dates",IF(ISNA(MATCH(P1135,Invoices!$B$6:$B$305,0)),"Check number",IF(INDEX(Invoices!$M$6:$M$305,MATCH(P1135,Invoices!$B$6:$B$305,0))="Paid","Paid",IF(INDEX(Invoices!$M$6:$M$305,MATCH(P1135,Invoices!$B$6:$B$305,0))="Draft","Draft","Invoiced")))))))</f>
        <v/>
      </c>
      <c r="R1135" s="1">
        <f>IF(AND(B1135&lt;&gt;"",P1135&lt;&gt;"",P1135=Invoice!$G$4),B1135+MOD(N(F1135),1)+ROW()/10000000,"")</f>
        <v/>
      </c>
      <c r="S1135">
        <f>IF(R1135="","",IF(D1135="","Other work",D1135)&amp;IF(AND(K1135&lt;&gt;"",E1135&lt;&gt;""),", "&amp;E1135,""))</f>
        <v/>
      </c>
      <c r="T1135">
        <f>IF(R1135="","",IF(COUNTIFS(R$6:R1134,"&gt;0",S$6:S1134,S1135,N$6:N1134,N1135)=0,R1135,""))</f>
        <v/>
      </c>
      <c r="U1135">
        <f>IF(B1135="","",IF(J1135&lt;&gt;"",0,M1135))</f>
        <v/>
      </c>
    </row>
    <row r="1136">
      <c r="A1136" s="1" t="n"/>
      <c r="B1136" s="16" t="n"/>
      <c r="C1136" s="17" t="n"/>
      <c r="D1136" s="18" t="n"/>
      <c r="E1136" s="18" t="n"/>
      <c r="F1136" s="19" t="n"/>
      <c r="G1136" s="19" t="n"/>
      <c r="H1136" s="20" t="n"/>
      <c r="I1136" s="21" t="n"/>
      <c r="J1136" s="22" t="n"/>
      <c r="K1136" s="23" t="n"/>
      <c r="L1136" s="18" t="n"/>
      <c r="M1136" s="24">
        <f>IF(B1136="","",IF(AND(F1136&lt;&gt;"",G1136&lt;&gt;""),MAX(0,ROUND(MOD(G1136-F1136,1)*24-N(H1136)/60,2)),N(I1136)))</f>
        <v/>
      </c>
      <c r="N1136" s="14">
        <f>IF(B1136="","",IF(K1136&lt;&gt;"",K1136,IF(N(IFERROR(INDEX(Projects!$D$6:$D$65,MATCH(D1136,Projects!$B$6:$B$65,0)),""))&gt;0,IFERROR(INDEX(Projects!$D$6:$D$65,MATCH(D1136,Projects!$B$6:$B$65,0)),""),IFERROR(INDEX(Clients!$G$6:$G$45,MATCH(C1136,Clients!$B$6:$B$45,0)),0))))</f>
        <v/>
      </c>
      <c r="O1136" s="14">
        <f>IF(B1136="","",IF(J1136&lt;&gt;"",0,ROUND(M1136*N1136,2)))</f>
        <v/>
      </c>
      <c r="P1136" s="15">
        <f>IF(OR(B1136="",J1136&lt;&gt;""),"",IF(L1136&lt;&gt;"",L1136,IF(COUNTIFS(Invoices!$C$6:$C$305,C1136,Invoices!$E$6:$E$305,"&lt;="&amp;B1136,Invoices!$F$6:$F$305,"&gt;="&amp;B1136)=1,INDEX(Invoices!$B$6:$B$305,SUMIFS(Invoices!$O$6:$O$305,Invoices!$C$6:$C$305,C1136,Invoices!$E$6:$E$305,"&lt;="&amp;B1136,Invoices!$F$6:$F$305,"&gt;="&amp;B1136)),IF(COUNTIFS(Invoices!$C$6:$C$305,C1136,Invoices!$E$6:$E$305,"&lt;="&amp;B1136,Invoices!$F$6:$F$305,"&gt;="&amp;B1136)&gt;1,"Two invoices",""))))</f>
        <v/>
      </c>
      <c r="Q1136" s="15">
        <f>IF(B1136="","",IF(J1136&lt;&gt;"","Not billable",IF(P1136="","To invoice",IF(P1136="Two invoices","Check dates",IF(ISNA(MATCH(P1136,Invoices!$B$6:$B$305,0)),"Check number",IF(INDEX(Invoices!$M$6:$M$305,MATCH(P1136,Invoices!$B$6:$B$305,0))="Paid","Paid",IF(INDEX(Invoices!$M$6:$M$305,MATCH(P1136,Invoices!$B$6:$B$305,0))="Draft","Draft","Invoiced")))))))</f>
        <v/>
      </c>
      <c r="R1136" s="1">
        <f>IF(AND(B1136&lt;&gt;"",P1136&lt;&gt;"",P1136=Invoice!$G$4),B1136+MOD(N(F1136),1)+ROW()/10000000,"")</f>
        <v/>
      </c>
      <c r="S1136">
        <f>IF(R1136="","",IF(D1136="","Other work",D1136)&amp;IF(AND(K1136&lt;&gt;"",E1136&lt;&gt;""),", "&amp;E1136,""))</f>
        <v/>
      </c>
      <c r="T1136">
        <f>IF(R1136="","",IF(COUNTIFS(R$6:R1135,"&gt;0",S$6:S1135,S1136,N$6:N1135,N1136)=0,R1136,""))</f>
        <v/>
      </c>
      <c r="U1136">
        <f>IF(B1136="","",IF(J1136&lt;&gt;"",0,M1136))</f>
        <v/>
      </c>
    </row>
    <row r="1137">
      <c r="A1137" s="1" t="n"/>
      <c r="B1137" s="16" t="n"/>
      <c r="C1137" s="17" t="n"/>
      <c r="D1137" s="18" t="n"/>
      <c r="E1137" s="18" t="n"/>
      <c r="F1137" s="19" t="n"/>
      <c r="G1137" s="19" t="n"/>
      <c r="H1137" s="20" t="n"/>
      <c r="I1137" s="21" t="n"/>
      <c r="J1137" s="22" t="n"/>
      <c r="K1137" s="23" t="n"/>
      <c r="L1137" s="18" t="n"/>
      <c r="M1137" s="24">
        <f>IF(B1137="","",IF(AND(F1137&lt;&gt;"",G1137&lt;&gt;""),MAX(0,ROUND(MOD(G1137-F1137,1)*24-N(H1137)/60,2)),N(I1137)))</f>
        <v/>
      </c>
      <c r="N1137" s="14">
        <f>IF(B1137="","",IF(K1137&lt;&gt;"",K1137,IF(N(IFERROR(INDEX(Projects!$D$6:$D$65,MATCH(D1137,Projects!$B$6:$B$65,0)),""))&gt;0,IFERROR(INDEX(Projects!$D$6:$D$65,MATCH(D1137,Projects!$B$6:$B$65,0)),""),IFERROR(INDEX(Clients!$G$6:$G$45,MATCH(C1137,Clients!$B$6:$B$45,0)),0))))</f>
        <v/>
      </c>
      <c r="O1137" s="14">
        <f>IF(B1137="","",IF(J1137&lt;&gt;"",0,ROUND(M1137*N1137,2)))</f>
        <v/>
      </c>
      <c r="P1137" s="15">
        <f>IF(OR(B1137="",J1137&lt;&gt;""),"",IF(L1137&lt;&gt;"",L1137,IF(COUNTIFS(Invoices!$C$6:$C$305,C1137,Invoices!$E$6:$E$305,"&lt;="&amp;B1137,Invoices!$F$6:$F$305,"&gt;="&amp;B1137)=1,INDEX(Invoices!$B$6:$B$305,SUMIFS(Invoices!$O$6:$O$305,Invoices!$C$6:$C$305,C1137,Invoices!$E$6:$E$305,"&lt;="&amp;B1137,Invoices!$F$6:$F$305,"&gt;="&amp;B1137)),IF(COUNTIFS(Invoices!$C$6:$C$305,C1137,Invoices!$E$6:$E$305,"&lt;="&amp;B1137,Invoices!$F$6:$F$305,"&gt;="&amp;B1137)&gt;1,"Two invoices",""))))</f>
        <v/>
      </c>
      <c r="Q1137" s="15">
        <f>IF(B1137="","",IF(J1137&lt;&gt;"","Not billable",IF(P1137="","To invoice",IF(P1137="Two invoices","Check dates",IF(ISNA(MATCH(P1137,Invoices!$B$6:$B$305,0)),"Check number",IF(INDEX(Invoices!$M$6:$M$305,MATCH(P1137,Invoices!$B$6:$B$305,0))="Paid","Paid",IF(INDEX(Invoices!$M$6:$M$305,MATCH(P1137,Invoices!$B$6:$B$305,0))="Draft","Draft","Invoiced")))))))</f>
        <v/>
      </c>
      <c r="R1137" s="1">
        <f>IF(AND(B1137&lt;&gt;"",P1137&lt;&gt;"",P1137=Invoice!$G$4),B1137+MOD(N(F1137),1)+ROW()/10000000,"")</f>
        <v/>
      </c>
      <c r="S1137">
        <f>IF(R1137="","",IF(D1137="","Other work",D1137)&amp;IF(AND(K1137&lt;&gt;"",E1137&lt;&gt;""),", "&amp;E1137,""))</f>
        <v/>
      </c>
      <c r="T1137">
        <f>IF(R1137="","",IF(COUNTIFS(R$6:R1136,"&gt;0",S$6:S1136,S1137,N$6:N1136,N1137)=0,R1137,""))</f>
        <v/>
      </c>
      <c r="U1137">
        <f>IF(B1137="","",IF(J1137&lt;&gt;"",0,M1137))</f>
        <v/>
      </c>
    </row>
    <row r="1138">
      <c r="A1138" s="1" t="n"/>
      <c r="B1138" s="16" t="n"/>
      <c r="C1138" s="17" t="n"/>
      <c r="D1138" s="18" t="n"/>
      <c r="E1138" s="18" t="n"/>
      <c r="F1138" s="19" t="n"/>
      <c r="G1138" s="19" t="n"/>
      <c r="H1138" s="20" t="n"/>
      <c r="I1138" s="21" t="n"/>
      <c r="J1138" s="22" t="n"/>
      <c r="K1138" s="23" t="n"/>
      <c r="L1138" s="18" t="n"/>
      <c r="M1138" s="24">
        <f>IF(B1138="","",IF(AND(F1138&lt;&gt;"",G1138&lt;&gt;""),MAX(0,ROUND(MOD(G1138-F1138,1)*24-N(H1138)/60,2)),N(I1138)))</f>
        <v/>
      </c>
      <c r="N1138" s="14">
        <f>IF(B1138="","",IF(K1138&lt;&gt;"",K1138,IF(N(IFERROR(INDEX(Projects!$D$6:$D$65,MATCH(D1138,Projects!$B$6:$B$65,0)),""))&gt;0,IFERROR(INDEX(Projects!$D$6:$D$65,MATCH(D1138,Projects!$B$6:$B$65,0)),""),IFERROR(INDEX(Clients!$G$6:$G$45,MATCH(C1138,Clients!$B$6:$B$45,0)),0))))</f>
        <v/>
      </c>
      <c r="O1138" s="14">
        <f>IF(B1138="","",IF(J1138&lt;&gt;"",0,ROUND(M1138*N1138,2)))</f>
        <v/>
      </c>
      <c r="P1138" s="15">
        <f>IF(OR(B1138="",J1138&lt;&gt;""),"",IF(L1138&lt;&gt;"",L1138,IF(COUNTIFS(Invoices!$C$6:$C$305,C1138,Invoices!$E$6:$E$305,"&lt;="&amp;B1138,Invoices!$F$6:$F$305,"&gt;="&amp;B1138)=1,INDEX(Invoices!$B$6:$B$305,SUMIFS(Invoices!$O$6:$O$305,Invoices!$C$6:$C$305,C1138,Invoices!$E$6:$E$305,"&lt;="&amp;B1138,Invoices!$F$6:$F$305,"&gt;="&amp;B1138)),IF(COUNTIFS(Invoices!$C$6:$C$305,C1138,Invoices!$E$6:$E$305,"&lt;="&amp;B1138,Invoices!$F$6:$F$305,"&gt;="&amp;B1138)&gt;1,"Two invoices",""))))</f>
        <v/>
      </c>
      <c r="Q1138" s="15">
        <f>IF(B1138="","",IF(J1138&lt;&gt;"","Not billable",IF(P1138="","To invoice",IF(P1138="Two invoices","Check dates",IF(ISNA(MATCH(P1138,Invoices!$B$6:$B$305,0)),"Check number",IF(INDEX(Invoices!$M$6:$M$305,MATCH(P1138,Invoices!$B$6:$B$305,0))="Paid","Paid",IF(INDEX(Invoices!$M$6:$M$305,MATCH(P1138,Invoices!$B$6:$B$305,0))="Draft","Draft","Invoiced")))))))</f>
        <v/>
      </c>
      <c r="R1138" s="1">
        <f>IF(AND(B1138&lt;&gt;"",P1138&lt;&gt;"",P1138=Invoice!$G$4),B1138+MOD(N(F1138),1)+ROW()/10000000,"")</f>
        <v/>
      </c>
      <c r="S1138">
        <f>IF(R1138="","",IF(D1138="","Other work",D1138)&amp;IF(AND(K1138&lt;&gt;"",E1138&lt;&gt;""),", "&amp;E1138,""))</f>
        <v/>
      </c>
      <c r="T1138">
        <f>IF(R1138="","",IF(COUNTIFS(R$6:R1137,"&gt;0",S$6:S1137,S1138,N$6:N1137,N1138)=0,R1138,""))</f>
        <v/>
      </c>
      <c r="U1138">
        <f>IF(B1138="","",IF(J1138&lt;&gt;"",0,M1138))</f>
        <v/>
      </c>
    </row>
    <row r="1139">
      <c r="A1139" s="1" t="n"/>
      <c r="B1139" s="16" t="n"/>
      <c r="C1139" s="17" t="n"/>
      <c r="D1139" s="18" t="n"/>
      <c r="E1139" s="18" t="n"/>
      <c r="F1139" s="19" t="n"/>
      <c r="G1139" s="19" t="n"/>
      <c r="H1139" s="20" t="n"/>
      <c r="I1139" s="21" t="n"/>
      <c r="J1139" s="22" t="n"/>
      <c r="K1139" s="23" t="n"/>
      <c r="L1139" s="18" t="n"/>
      <c r="M1139" s="24">
        <f>IF(B1139="","",IF(AND(F1139&lt;&gt;"",G1139&lt;&gt;""),MAX(0,ROUND(MOD(G1139-F1139,1)*24-N(H1139)/60,2)),N(I1139)))</f>
        <v/>
      </c>
      <c r="N1139" s="14">
        <f>IF(B1139="","",IF(K1139&lt;&gt;"",K1139,IF(N(IFERROR(INDEX(Projects!$D$6:$D$65,MATCH(D1139,Projects!$B$6:$B$65,0)),""))&gt;0,IFERROR(INDEX(Projects!$D$6:$D$65,MATCH(D1139,Projects!$B$6:$B$65,0)),""),IFERROR(INDEX(Clients!$G$6:$G$45,MATCH(C1139,Clients!$B$6:$B$45,0)),0))))</f>
        <v/>
      </c>
      <c r="O1139" s="14">
        <f>IF(B1139="","",IF(J1139&lt;&gt;"",0,ROUND(M1139*N1139,2)))</f>
        <v/>
      </c>
      <c r="P1139" s="15">
        <f>IF(OR(B1139="",J1139&lt;&gt;""),"",IF(L1139&lt;&gt;"",L1139,IF(COUNTIFS(Invoices!$C$6:$C$305,C1139,Invoices!$E$6:$E$305,"&lt;="&amp;B1139,Invoices!$F$6:$F$305,"&gt;="&amp;B1139)=1,INDEX(Invoices!$B$6:$B$305,SUMIFS(Invoices!$O$6:$O$305,Invoices!$C$6:$C$305,C1139,Invoices!$E$6:$E$305,"&lt;="&amp;B1139,Invoices!$F$6:$F$305,"&gt;="&amp;B1139)),IF(COUNTIFS(Invoices!$C$6:$C$305,C1139,Invoices!$E$6:$E$305,"&lt;="&amp;B1139,Invoices!$F$6:$F$305,"&gt;="&amp;B1139)&gt;1,"Two invoices",""))))</f>
        <v/>
      </c>
      <c r="Q1139" s="15">
        <f>IF(B1139="","",IF(J1139&lt;&gt;"","Not billable",IF(P1139="","To invoice",IF(P1139="Two invoices","Check dates",IF(ISNA(MATCH(P1139,Invoices!$B$6:$B$305,0)),"Check number",IF(INDEX(Invoices!$M$6:$M$305,MATCH(P1139,Invoices!$B$6:$B$305,0))="Paid","Paid",IF(INDEX(Invoices!$M$6:$M$305,MATCH(P1139,Invoices!$B$6:$B$305,0))="Draft","Draft","Invoiced")))))))</f>
        <v/>
      </c>
      <c r="R1139" s="1">
        <f>IF(AND(B1139&lt;&gt;"",P1139&lt;&gt;"",P1139=Invoice!$G$4),B1139+MOD(N(F1139),1)+ROW()/10000000,"")</f>
        <v/>
      </c>
      <c r="S1139">
        <f>IF(R1139="","",IF(D1139="","Other work",D1139)&amp;IF(AND(K1139&lt;&gt;"",E1139&lt;&gt;""),", "&amp;E1139,""))</f>
        <v/>
      </c>
      <c r="T1139">
        <f>IF(R1139="","",IF(COUNTIFS(R$6:R1138,"&gt;0",S$6:S1138,S1139,N$6:N1138,N1139)=0,R1139,""))</f>
        <v/>
      </c>
      <c r="U1139">
        <f>IF(B1139="","",IF(J1139&lt;&gt;"",0,M1139))</f>
        <v/>
      </c>
    </row>
    <row r="1140">
      <c r="A1140" s="1" t="n"/>
      <c r="B1140" s="16" t="n"/>
      <c r="C1140" s="17" t="n"/>
      <c r="D1140" s="18" t="n"/>
      <c r="E1140" s="18" t="n"/>
      <c r="F1140" s="19" t="n"/>
      <c r="G1140" s="19" t="n"/>
      <c r="H1140" s="20" t="n"/>
      <c r="I1140" s="21" t="n"/>
      <c r="J1140" s="22" t="n"/>
      <c r="K1140" s="23" t="n"/>
      <c r="L1140" s="18" t="n"/>
      <c r="M1140" s="24">
        <f>IF(B1140="","",IF(AND(F1140&lt;&gt;"",G1140&lt;&gt;""),MAX(0,ROUND(MOD(G1140-F1140,1)*24-N(H1140)/60,2)),N(I1140)))</f>
        <v/>
      </c>
      <c r="N1140" s="14">
        <f>IF(B1140="","",IF(K1140&lt;&gt;"",K1140,IF(N(IFERROR(INDEX(Projects!$D$6:$D$65,MATCH(D1140,Projects!$B$6:$B$65,0)),""))&gt;0,IFERROR(INDEX(Projects!$D$6:$D$65,MATCH(D1140,Projects!$B$6:$B$65,0)),""),IFERROR(INDEX(Clients!$G$6:$G$45,MATCH(C1140,Clients!$B$6:$B$45,0)),0))))</f>
        <v/>
      </c>
      <c r="O1140" s="14">
        <f>IF(B1140="","",IF(J1140&lt;&gt;"",0,ROUND(M1140*N1140,2)))</f>
        <v/>
      </c>
      <c r="P1140" s="15">
        <f>IF(OR(B1140="",J1140&lt;&gt;""),"",IF(L1140&lt;&gt;"",L1140,IF(COUNTIFS(Invoices!$C$6:$C$305,C1140,Invoices!$E$6:$E$305,"&lt;="&amp;B1140,Invoices!$F$6:$F$305,"&gt;="&amp;B1140)=1,INDEX(Invoices!$B$6:$B$305,SUMIFS(Invoices!$O$6:$O$305,Invoices!$C$6:$C$305,C1140,Invoices!$E$6:$E$305,"&lt;="&amp;B1140,Invoices!$F$6:$F$305,"&gt;="&amp;B1140)),IF(COUNTIFS(Invoices!$C$6:$C$305,C1140,Invoices!$E$6:$E$305,"&lt;="&amp;B1140,Invoices!$F$6:$F$305,"&gt;="&amp;B1140)&gt;1,"Two invoices",""))))</f>
        <v/>
      </c>
      <c r="Q1140" s="15">
        <f>IF(B1140="","",IF(J1140&lt;&gt;"","Not billable",IF(P1140="","To invoice",IF(P1140="Two invoices","Check dates",IF(ISNA(MATCH(P1140,Invoices!$B$6:$B$305,0)),"Check number",IF(INDEX(Invoices!$M$6:$M$305,MATCH(P1140,Invoices!$B$6:$B$305,0))="Paid","Paid",IF(INDEX(Invoices!$M$6:$M$305,MATCH(P1140,Invoices!$B$6:$B$305,0))="Draft","Draft","Invoiced")))))))</f>
        <v/>
      </c>
      <c r="R1140" s="1">
        <f>IF(AND(B1140&lt;&gt;"",P1140&lt;&gt;"",P1140=Invoice!$G$4),B1140+MOD(N(F1140),1)+ROW()/10000000,"")</f>
        <v/>
      </c>
      <c r="S1140">
        <f>IF(R1140="","",IF(D1140="","Other work",D1140)&amp;IF(AND(K1140&lt;&gt;"",E1140&lt;&gt;""),", "&amp;E1140,""))</f>
        <v/>
      </c>
      <c r="T1140">
        <f>IF(R1140="","",IF(COUNTIFS(R$6:R1139,"&gt;0",S$6:S1139,S1140,N$6:N1139,N1140)=0,R1140,""))</f>
        <v/>
      </c>
      <c r="U1140">
        <f>IF(B1140="","",IF(J1140&lt;&gt;"",0,M1140))</f>
        <v/>
      </c>
    </row>
    <row r="1141">
      <c r="A1141" s="1" t="n"/>
      <c r="B1141" s="16" t="n"/>
      <c r="C1141" s="17" t="n"/>
      <c r="D1141" s="18" t="n"/>
      <c r="E1141" s="18" t="n"/>
      <c r="F1141" s="19" t="n"/>
      <c r="G1141" s="19" t="n"/>
      <c r="H1141" s="20" t="n"/>
      <c r="I1141" s="21" t="n"/>
      <c r="J1141" s="22" t="n"/>
      <c r="K1141" s="23" t="n"/>
      <c r="L1141" s="18" t="n"/>
      <c r="M1141" s="24">
        <f>IF(B1141="","",IF(AND(F1141&lt;&gt;"",G1141&lt;&gt;""),MAX(0,ROUND(MOD(G1141-F1141,1)*24-N(H1141)/60,2)),N(I1141)))</f>
        <v/>
      </c>
      <c r="N1141" s="14">
        <f>IF(B1141="","",IF(K1141&lt;&gt;"",K1141,IF(N(IFERROR(INDEX(Projects!$D$6:$D$65,MATCH(D1141,Projects!$B$6:$B$65,0)),""))&gt;0,IFERROR(INDEX(Projects!$D$6:$D$65,MATCH(D1141,Projects!$B$6:$B$65,0)),""),IFERROR(INDEX(Clients!$G$6:$G$45,MATCH(C1141,Clients!$B$6:$B$45,0)),0))))</f>
        <v/>
      </c>
      <c r="O1141" s="14">
        <f>IF(B1141="","",IF(J1141&lt;&gt;"",0,ROUND(M1141*N1141,2)))</f>
        <v/>
      </c>
      <c r="P1141" s="15">
        <f>IF(OR(B1141="",J1141&lt;&gt;""),"",IF(L1141&lt;&gt;"",L1141,IF(COUNTIFS(Invoices!$C$6:$C$305,C1141,Invoices!$E$6:$E$305,"&lt;="&amp;B1141,Invoices!$F$6:$F$305,"&gt;="&amp;B1141)=1,INDEX(Invoices!$B$6:$B$305,SUMIFS(Invoices!$O$6:$O$305,Invoices!$C$6:$C$305,C1141,Invoices!$E$6:$E$305,"&lt;="&amp;B1141,Invoices!$F$6:$F$305,"&gt;="&amp;B1141)),IF(COUNTIFS(Invoices!$C$6:$C$305,C1141,Invoices!$E$6:$E$305,"&lt;="&amp;B1141,Invoices!$F$6:$F$305,"&gt;="&amp;B1141)&gt;1,"Two invoices",""))))</f>
        <v/>
      </c>
      <c r="Q1141" s="15">
        <f>IF(B1141="","",IF(J1141&lt;&gt;"","Not billable",IF(P1141="","To invoice",IF(P1141="Two invoices","Check dates",IF(ISNA(MATCH(P1141,Invoices!$B$6:$B$305,0)),"Check number",IF(INDEX(Invoices!$M$6:$M$305,MATCH(P1141,Invoices!$B$6:$B$305,0))="Paid","Paid",IF(INDEX(Invoices!$M$6:$M$305,MATCH(P1141,Invoices!$B$6:$B$305,0))="Draft","Draft","Invoiced")))))))</f>
        <v/>
      </c>
      <c r="R1141" s="1">
        <f>IF(AND(B1141&lt;&gt;"",P1141&lt;&gt;"",P1141=Invoice!$G$4),B1141+MOD(N(F1141),1)+ROW()/10000000,"")</f>
        <v/>
      </c>
      <c r="S1141">
        <f>IF(R1141="","",IF(D1141="","Other work",D1141)&amp;IF(AND(K1141&lt;&gt;"",E1141&lt;&gt;""),", "&amp;E1141,""))</f>
        <v/>
      </c>
      <c r="T1141">
        <f>IF(R1141="","",IF(COUNTIFS(R$6:R1140,"&gt;0",S$6:S1140,S1141,N$6:N1140,N1141)=0,R1141,""))</f>
        <v/>
      </c>
      <c r="U1141">
        <f>IF(B1141="","",IF(J1141&lt;&gt;"",0,M1141))</f>
        <v/>
      </c>
    </row>
    <row r="1142">
      <c r="A1142" s="1" t="n"/>
      <c r="B1142" s="16" t="n"/>
      <c r="C1142" s="17" t="n"/>
      <c r="D1142" s="18" t="n"/>
      <c r="E1142" s="18" t="n"/>
      <c r="F1142" s="19" t="n"/>
      <c r="G1142" s="19" t="n"/>
      <c r="H1142" s="20" t="n"/>
      <c r="I1142" s="21" t="n"/>
      <c r="J1142" s="22" t="n"/>
      <c r="K1142" s="23" t="n"/>
      <c r="L1142" s="18" t="n"/>
      <c r="M1142" s="24">
        <f>IF(B1142="","",IF(AND(F1142&lt;&gt;"",G1142&lt;&gt;""),MAX(0,ROUND(MOD(G1142-F1142,1)*24-N(H1142)/60,2)),N(I1142)))</f>
        <v/>
      </c>
      <c r="N1142" s="14">
        <f>IF(B1142="","",IF(K1142&lt;&gt;"",K1142,IF(N(IFERROR(INDEX(Projects!$D$6:$D$65,MATCH(D1142,Projects!$B$6:$B$65,0)),""))&gt;0,IFERROR(INDEX(Projects!$D$6:$D$65,MATCH(D1142,Projects!$B$6:$B$65,0)),""),IFERROR(INDEX(Clients!$G$6:$G$45,MATCH(C1142,Clients!$B$6:$B$45,0)),0))))</f>
        <v/>
      </c>
      <c r="O1142" s="14">
        <f>IF(B1142="","",IF(J1142&lt;&gt;"",0,ROUND(M1142*N1142,2)))</f>
        <v/>
      </c>
      <c r="P1142" s="15">
        <f>IF(OR(B1142="",J1142&lt;&gt;""),"",IF(L1142&lt;&gt;"",L1142,IF(COUNTIFS(Invoices!$C$6:$C$305,C1142,Invoices!$E$6:$E$305,"&lt;="&amp;B1142,Invoices!$F$6:$F$305,"&gt;="&amp;B1142)=1,INDEX(Invoices!$B$6:$B$305,SUMIFS(Invoices!$O$6:$O$305,Invoices!$C$6:$C$305,C1142,Invoices!$E$6:$E$305,"&lt;="&amp;B1142,Invoices!$F$6:$F$305,"&gt;="&amp;B1142)),IF(COUNTIFS(Invoices!$C$6:$C$305,C1142,Invoices!$E$6:$E$305,"&lt;="&amp;B1142,Invoices!$F$6:$F$305,"&gt;="&amp;B1142)&gt;1,"Two invoices",""))))</f>
        <v/>
      </c>
      <c r="Q1142" s="15">
        <f>IF(B1142="","",IF(J1142&lt;&gt;"","Not billable",IF(P1142="","To invoice",IF(P1142="Two invoices","Check dates",IF(ISNA(MATCH(P1142,Invoices!$B$6:$B$305,0)),"Check number",IF(INDEX(Invoices!$M$6:$M$305,MATCH(P1142,Invoices!$B$6:$B$305,0))="Paid","Paid",IF(INDEX(Invoices!$M$6:$M$305,MATCH(P1142,Invoices!$B$6:$B$305,0))="Draft","Draft","Invoiced")))))))</f>
        <v/>
      </c>
      <c r="R1142" s="1">
        <f>IF(AND(B1142&lt;&gt;"",P1142&lt;&gt;"",P1142=Invoice!$G$4),B1142+MOD(N(F1142),1)+ROW()/10000000,"")</f>
        <v/>
      </c>
      <c r="S1142">
        <f>IF(R1142="","",IF(D1142="","Other work",D1142)&amp;IF(AND(K1142&lt;&gt;"",E1142&lt;&gt;""),", "&amp;E1142,""))</f>
        <v/>
      </c>
      <c r="T1142">
        <f>IF(R1142="","",IF(COUNTIFS(R$6:R1141,"&gt;0",S$6:S1141,S1142,N$6:N1141,N1142)=0,R1142,""))</f>
        <v/>
      </c>
      <c r="U1142">
        <f>IF(B1142="","",IF(J1142&lt;&gt;"",0,M1142))</f>
        <v/>
      </c>
    </row>
    <row r="1143">
      <c r="A1143" s="1" t="n"/>
      <c r="B1143" s="16" t="n"/>
      <c r="C1143" s="17" t="n"/>
      <c r="D1143" s="18" t="n"/>
      <c r="E1143" s="18" t="n"/>
      <c r="F1143" s="19" t="n"/>
      <c r="G1143" s="19" t="n"/>
      <c r="H1143" s="20" t="n"/>
      <c r="I1143" s="21" t="n"/>
      <c r="J1143" s="22" t="n"/>
      <c r="K1143" s="23" t="n"/>
      <c r="L1143" s="18" t="n"/>
      <c r="M1143" s="24">
        <f>IF(B1143="","",IF(AND(F1143&lt;&gt;"",G1143&lt;&gt;""),MAX(0,ROUND(MOD(G1143-F1143,1)*24-N(H1143)/60,2)),N(I1143)))</f>
        <v/>
      </c>
      <c r="N1143" s="14">
        <f>IF(B1143="","",IF(K1143&lt;&gt;"",K1143,IF(N(IFERROR(INDEX(Projects!$D$6:$D$65,MATCH(D1143,Projects!$B$6:$B$65,0)),""))&gt;0,IFERROR(INDEX(Projects!$D$6:$D$65,MATCH(D1143,Projects!$B$6:$B$65,0)),""),IFERROR(INDEX(Clients!$G$6:$G$45,MATCH(C1143,Clients!$B$6:$B$45,0)),0))))</f>
        <v/>
      </c>
      <c r="O1143" s="14">
        <f>IF(B1143="","",IF(J1143&lt;&gt;"",0,ROUND(M1143*N1143,2)))</f>
        <v/>
      </c>
      <c r="P1143" s="15">
        <f>IF(OR(B1143="",J1143&lt;&gt;""),"",IF(L1143&lt;&gt;"",L1143,IF(COUNTIFS(Invoices!$C$6:$C$305,C1143,Invoices!$E$6:$E$305,"&lt;="&amp;B1143,Invoices!$F$6:$F$305,"&gt;="&amp;B1143)=1,INDEX(Invoices!$B$6:$B$305,SUMIFS(Invoices!$O$6:$O$305,Invoices!$C$6:$C$305,C1143,Invoices!$E$6:$E$305,"&lt;="&amp;B1143,Invoices!$F$6:$F$305,"&gt;="&amp;B1143)),IF(COUNTIFS(Invoices!$C$6:$C$305,C1143,Invoices!$E$6:$E$305,"&lt;="&amp;B1143,Invoices!$F$6:$F$305,"&gt;="&amp;B1143)&gt;1,"Two invoices",""))))</f>
        <v/>
      </c>
      <c r="Q1143" s="15">
        <f>IF(B1143="","",IF(J1143&lt;&gt;"","Not billable",IF(P1143="","To invoice",IF(P1143="Two invoices","Check dates",IF(ISNA(MATCH(P1143,Invoices!$B$6:$B$305,0)),"Check number",IF(INDEX(Invoices!$M$6:$M$305,MATCH(P1143,Invoices!$B$6:$B$305,0))="Paid","Paid",IF(INDEX(Invoices!$M$6:$M$305,MATCH(P1143,Invoices!$B$6:$B$305,0))="Draft","Draft","Invoiced")))))))</f>
        <v/>
      </c>
      <c r="R1143" s="1">
        <f>IF(AND(B1143&lt;&gt;"",P1143&lt;&gt;"",P1143=Invoice!$G$4),B1143+MOD(N(F1143),1)+ROW()/10000000,"")</f>
        <v/>
      </c>
      <c r="S1143">
        <f>IF(R1143="","",IF(D1143="","Other work",D1143)&amp;IF(AND(K1143&lt;&gt;"",E1143&lt;&gt;""),", "&amp;E1143,""))</f>
        <v/>
      </c>
      <c r="T1143">
        <f>IF(R1143="","",IF(COUNTIFS(R$6:R1142,"&gt;0",S$6:S1142,S1143,N$6:N1142,N1143)=0,R1143,""))</f>
        <v/>
      </c>
      <c r="U1143">
        <f>IF(B1143="","",IF(J1143&lt;&gt;"",0,M1143))</f>
        <v/>
      </c>
    </row>
    <row r="1144">
      <c r="A1144" s="1" t="n"/>
      <c r="B1144" s="16" t="n"/>
      <c r="C1144" s="17" t="n"/>
      <c r="D1144" s="18" t="n"/>
      <c r="E1144" s="18" t="n"/>
      <c r="F1144" s="19" t="n"/>
      <c r="G1144" s="19" t="n"/>
      <c r="H1144" s="20" t="n"/>
      <c r="I1144" s="21" t="n"/>
      <c r="J1144" s="22" t="n"/>
      <c r="K1144" s="23" t="n"/>
      <c r="L1144" s="18" t="n"/>
      <c r="M1144" s="24">
        <f>IF(B1144="","",IF(AND(F1144&lt;&gt;"",G1144&lt;&gt;""),MAX(0,ROUND(MOD(G1144-F1144,1)*24-N(H1144)/60,2)),N(I1144)))</f>
        <v/>
      </c>
      <c r="N1144" s="14">
        <f>IF(B1144="","",IF(K1144&lt;&gt;"",K1144,IF(N(IFERROR(INDEX(Projects!$D$6:$D$65,MATCH(D1144,Projects!$B$6:$B$65,0)),""))&gt;0,IFERROR(INDEX(Projects!$D$6:$D$65,MATCH(D1144,Projects!$B$6:$B$65,0)),""),IFERROR(INDEX(Clients!$G$6:$G$45,MATCH(C1144,Clients!$B$6:$B$45,0)),0))))</f>
        <v/>
      </c>
      <c r="O1144" s="14">
        <f>IF(B1144="","",IF(J1144&lt;&gt;"",0,ROUND(M1144*N1144,2)))</f>
        <v/>
      </c>
      <c r="P1144" s="15">
        <f>IF(OR(B1144="",J1144&lt;&gt;""),"",IF(L1144&lt;&gt;"",L1144,IF(COUNTIFS(Invoices!$C$6:$C$305,C1144,Invoices!$E$6:$E$305,"&lt;="&amp;B1144,Invoices!$F$6:$F$305,"&gt;="&amp;B1144)=1,INDEX(Invoices!$B$6:$B$305,SUMIFS(Invoices!$O$6:$O$305,Invoices!$C$6:$C$305,C1144,Invoices!$E$6:$E$305,"&lt;="&amp;B1144,Invoices!$F$6:$F$305,"&gt;="&amp;B1144)),IF(COUNTIFS(Invoices!$C$6:$C$305,C1144,Invoices!$E$6:$E$305,"&lt;="&amp;B1144,Invoices!$F$6:$F$305,"&gt;="&amp;B1144)&gt;1,"Two invoices",""))))</f>
        <v/>
      </c>
      <c r="Q1144" s="15">
        <f>IF(B1144="","",IF(J1144&lt;&gt;"","Not billable",IF(P1144="","To invoice",IF(P1144="Two invoices","Check dates",IF(ISNA(MATCH(P1144,Invoices!$B$6:$B$305,0)),"Check number",IF(INDEX(Invoices!$M$6:$M$305,MATCH(P1144,Invoices!$B$6:$B$305,0))="Paid","Paid",IF(INDEX(Invoices!$M$6:$M$305,MATCH(P1144,Invoices!$B$6:$B$305,0))="Draft","Draft","Invoiced")))))))</f>
        <v/>
      </c>
      <c r="R1144" s="1">
        <f>IF(AND(B1144&lt;&gt;"",P1144&lt;&gt;"",P1144=Invoice!$G$4),B1144+MOD(N(F1144),1)+ROW()/10000000,"")</f>
        <v/>
      </c>
      <c r="S1144">
        <f>IF(R1144="","",IF(D1144="","Other work",D1144)&amp;IF(AND(K1144&lt;&gt;"",E1144&lt;&gt;""),", "&amp;E1144,""))</f>
        <v/>
      </c>
      <c r="T1144">
        <f>IF(R1144="","",IF(COUNTIFS(R$6:R1143,"&gt;0",S$6:S1143,S1144,N$6:N1143,N1144)=0,R1144,""))</f>
        <v/>
      </c>
      <c r="U1144">
        <f>IF(B1144="","",IF(J1144&lt;&gt;"",0,M1144))</f>
        <v/>
      </c>
    </row>
    <row r="1145">
      <c r="A1145" s="1" t="n"/>
      <c r="B1145" s="16" t="n"/>
      <c r="C1145" s="17" t="n"/>
      <c r="D1145" s="18" t="n"/>
      <c r="E1145" s="18" t="n"/>
      <c r="F1145" s="19" t="n"/>
      <c r="G1145" s="19" t="n"/>
      <c r="H1145" s="20" t="n"/>
      <c r="I1145" s="21" t="n"/>
      <c r="J1145" s="22" t="n"/>
      <c r="K1145" s="23" t="n"/>
      <c r="L1145" s="18" t="n"/>
      <c r="M1145" s="24">
        <f>IF(B1145="","",IF(AND(F1145&lt;&gt;"",G1145&lt;&gt;""),MAX(0,ROUND(MOD(G1145-F1145,1)*24-N(H1145)/60,2)),N(I1145)))</f>
        <v/>
      </c>
      <c r="N1145" s="14">
        <f>IF(B1145="","",IF(K1145&lt;&gt;"",K1145,IF(N(IFERROR(INDEX(Projects!$D$6:$D$65,MATCH(D1145,Projects!$B$6:$B$65,0)),""))&gt;0,IFERROR(INDEX(Projects!$D$6:$D$65,MATCH(D1145,Projects!$B$6:$B$65,0)),""),IFERROR(INDEX(Clients!$G$6:$G$45,MATCH(C1145,Clients!$B$6:$B$45,0)),0))))</f>
        <v/>
      </c>
      <c r="O1145" s="14">
        <f>IF(B1145="","",IF(J1145&lt;&gt;"",0,ROUND(M1145*N1145,2)))</f>
        <v/>
      </c>
      <c r="P1145" s="15">
        <f>IF(OR(B1145="",J1145&lt;&gt;""),"",IF(L1145&lt;&gt;"",L1145,IF(COUNTIFS(Invoices!$C$6:$C$305,C1145,Invoices!$E$6:$E$305,"&lt;="&amp;B1145,Invoices!$F$6:$F$305,"&gt;="&amp;B1145)=1,INDEX(Invoices!$B$6:$B$305,SUMIFS(Invoices!$O$6:$O$305,Invoices!$C$6:$C$305,C1145,Invoices!$E$6:$E$305,"&lt;="&amp;B1145,Invoices!$F$6:$F$305,"&gt;="&amp;B1145)),IF(COUNTIFS(Invoices!$C$6:$C$305,C1145,Invoices!$E$6:$E$305,"&lt;="&amp;B1145,Invoices!$F$6:$F$305,"&gt;="&amp;B1145)&gt;1,"Two invoices",""))))</f>
        <v/>
      </c>
      <c r="Q1145" s="15">
        <f>IF(B1145="","",IF(J1145&lt;&gt;"","Not billable",IF(P1145="","To invoice",IF(P1145="Two invoices","Check dates",IF(ISNA(MATCH(P1145,Invoices!$B$6:$B$305,0)),"Check number",IF(INDEX(Invoices!$M$6:$M$305,MATCH(P1145,Invoices!$B$6:$B$305,0))="Paid","Paid",IF(INDEX(Invoices!$M$6:$M$305,MATCH(P1145,Invoices!$B$6:$B$305,0))="Draft","Draft","Invoiced")))))))</f>
        <v/>
      </c>
      <c r="R1145" s="1">
        <f>IF(AND(B1145&lt;&gt;"",P1145&lt;&gt;"",P1145=Invoice!$G$4),B1145+MOD(N(F1145),1)+ROW()/10000000,"")</f>
        <v/>
      </c>
      <c r="S1145">
        <f>IF(R1145="","",IF(D1145="","Other work",D1145)&amp;IF(AND(K1145&lt;&gt;"",E1145&lt;&gt;""),", "&amp;E1145,""))</f>
        <v/>
      </c>
      <c r="T1145">
        <f>IF(R1145="","",IF(COUNTIFS(R$6:R1144,"&gt;0",S$6:S1144,S1145,N$6:N1144,N1145)=0,R1145,""))</f>
        <v/>
      </c>
      <c r="U1145">
        <f>IF(B1145="","",IF(J1145&lt;&gt;"",0,M1145))</f>
        <v/>
      </c>
    </row>
    <row r="1146">
      <c r="A1146" s="1" t="n"/>
      <c r="B1146" s="16" t="n"/>
      <c r="C1146" s="17" t="n"/>
      <c r="D1146" s="18" t="n"/>
      <c r="E1146" s="18" t="n"/>
      <c r="F1146" s="19" t="n"/>
      <c r="G1146" s="19" t="n"/>
      <c r="H1146" s="20" t="n"/>
      <c r="I1146" s="21" t="n"/>
      <c r="J1146" s="22" t="n"/>
      <c r="K1146" s="23" t="n"/>
      <c r="L1146" s="18" t="n"/>
      <c r="M1146" s="24">
        <f>IF(B1146="","",IF(AND(F1146&lt;&gt;"",G1146&lt;&gt;""),MAX(0,ROUND(MOD(G1146-F1146,1)*24-N(H1146)/60,2)),N(I1146)))</f>
        <v/>
      </c>
      <c r="N1146" s="14">
        <f>IF(B1146="","",IF(K1146&lt;&gt;"",K1146,IF(N(IFERROR(INDEX(Projects!$D$6:$D$65,MATCH(D1146,Projects!$B$6:$B$65,0)),""))&gt;0,IFERROR(INDEX(Projects!$D$6:$D$65,MATCH(D1146,Projects!$B$6:$B$65,0)),""),IFERROR(INDEX(Clients!$G$6:$G$45,MATCH(C1146,Clients!$B$6:$B$45,0)),0))))</f>
        <v/>
      </c>
      <c r="O1146" s="14">
        <f>IF(B1146="","",IF(J1146&lt;&gt;"",0,ROUND(M1146*N1146,2)))</f>
        <v/>
      </c>
      <c r="P1146" s="15">
        <f>IF(OR(B1146="",J1146&lt;&gt;""),"",IF(L1146&lt;&gt;"",L1146,IF(COUNTIFS(Invoices!$C$6:$C$305,C1146,Invoices!$E$6:$E$305,"&lt;="&amp;B1146,Invoices!$F$6:$F$305,"&gt;="&amp;B1146)=1,INDEX(Invoices!$B$6:$B$305,SUMIFS(Invoices!$O$6:$O$305,Invoices!$C$6:$C$305,C1146,Invoices!$E$6:$E$305,"&lt;="&amp;B1146,Invoices!$F$6:$F$305,"&gt;="&amp;B1146)),IF(COUNTIFS(Invoices!$C$6:$C$305,C1146,Invoices!$E$6:$E$305,"&lt;="&amp;B1146,Invoices!$F$6:$F$305,"&gt;="&amp;B1146)&gt;1,"Two invoices",""))))</f>
        <v/>
      </c>
      <c r="Q1146" s="15">
        <f>IF(B1146="","",IF(J1146&lt;&gt;"","Not billable",IF(P1146="","To invoice",IF(P1146="Two invoices","Check dates",IF(ISNA(MATCH(P1146,Invoices!$B$6:$B$305,0)),"Check number",IF(INDEX(Invoices!$M$6:$M$305,MATCH(P1146,Invoices!$B$6:$B$305,0))="Paid","Paid",IF(INDEX(Invoices!$M$6:$M$305,MATCH(P1146,Invoices!$B$6:$B$305,0))="Draft","Draft","Invoiced")))))))</f>
        <v/>
      </c>
      <c r="R1146" s="1">
        <f>IF(AND(B1146&lt;&gt;"",P1146&lt;&gt;"",P1146=Invoice!$G$4),B1146+MOD(N(F1146),1)+ROW()/10000000,"")</f>
        <v/>
      </c>
      <c r="S1146">
        <f>IF(R1146="","",IF(D1146="","Other work",D1146)&amp;IF(AND(K1146&lt;&gt;"",E1146&lt;&gt;""),", "&amp;E1146,""))</f>
        <v/>
      </c>
      <c r="T1146">
        <f>IF(R1146="","",IF(COUNTIFS(R$6:R1145,"&gt;0",S$6:S1145,S1146,N$6:N1145,N1146)=0,R1146,""))</f>
        <v/>
      </c>
      <c r="U1146">
        <f>IF(B1146="","",IF(J1146&lt;&gt;"",0,M1146))</f>
        <v/>
      </c>
    </row>
    <row r="1147">
      <c r="A1147" s="1" t="n"/>
      <c r="B1147" s="16" t="n"/>
      <c r="C1147" s="17" t="n"/>
      <c r="D1147" s="18" t="n"/>
      <c r="E1147" s="18" t="n"/>
      <c r="F1147" s="19" t="n"/>
      <c r="G1147" s="19" t="n"/>
      <c r="H1147" s="20" t="n"/>
      <c r="I1147" s="21" t="n"/>
      <c r="J1147" s="22" t="n"/>
      <c r="K1147" s="23" t="n"/>
      <c r="L1147" s="18" t="n"/>
      <c r="M1147" s="24">
        <f>IF(B1147="","",IF(AND(F1147&lt;&gt;"",G1147&lt;&gt;""),MAX(0,ROUND(MOD(G1147-F1147,1)*24-N(H1147)/60,2)),N(I1147)))</f>
        <v/>
      </c>
      <c r="N1147" s="14">
        <f>IF(B1147="","",IF(K1147&lt;&gt;"",K1147,IF(N(IFERROR(INDEX(Projects!$D$6:$D$65,MATCH(D1147,Projects!$B$6:$B$65,0)),""))&gt;0,IFERROR(INDEX(Projects!$D$6:$D$65,MATCH(D1147,Projects!$B$6:$B$65,0)),""),IFERROR(INDEX(Clients!$G$6:$G$45,MATCH(C1147,Clients!$B$6:$B$45,0)),0))))</f>
        <v/>
      </c>
      <c r="O1147" s="14">
        <f>IF(B1147="","",IF(J1147&lt;&gt;"",0,ROUND(M1147*N1147,2)))</f>
        <v/>
      </c>
      <c r="P1147" s="15">
        <f>IF(OR(B1147="",J1147&lt;&gt;""),"",IF(L1147&lt;&gt;"",L1147,IF(COUNTIFS(Invoices!$C$6:$C$305,C1147,Invoices!$E$6:$E$305,"&lt;="&amp;B1147,Invoices!$F$6:$F$305,"&gt;="&amp;B1147)=1,INDEX(Invoices!$B$6:$B$305,SUMIFS(Invoices!$O$6:$O$305,Invoices!$C$6:$C$305,C1147,Invoices!$E$6:$E$305,"&lt;="&amp;B1147,Invoices!$F$6:$F$305,"&gt;="&amp;B1147)),IF(COUNTIFS(Invoices!$C$6:$C$305,C1147,Invoices!$E$6:$E$305,"&lt;="&amp;B1147,Invoices!$F$6:$F$305,"&gt;="&amp;B1147)&gt;1,"Two invoices",""))))</f>
        <v/>
      </c>
      <c r="Q1147" s="15">
        <f>IF(B1147="","",IF(J1147&lt;&gt;"","Not billable",IF(P1147="","To invoice",IF(P1147="Two invoices","Check dates",IF(ISNA(MATCH(P1147,Invoices!$B$6:$B$305,0)),"Check number",IF(INDEX(Invoices!$M$6:$M$305,MATCH(P1147,Invoices!$B$6:$B$305,0))="Paid","Paid",IF(INDEX(Invoices!$M$6:$M$305,MATCH(P1147,Invoices!$B$6:$B$305,0))="Draft","Draft","Invoiced")))))))</f>
        <v/>
      </c>
      <c r="R1147" s="1">
        <f>IF(AND(B1147&lt;&gt;"",P1147&lt;&gt;"",P1147=Invoice!$G$4),B1147+MOD(N(F1147),1)+ROW()/10000000,"")</f>
        <v/>
      </c>
      <c r="S1147">
        <f>IF(R1147="","",IF(D1147="","Other work",D1147)&amp;IF(AND(K1147&lt;&gt;"",E1147&lt;&gt;""),", "&amp;E1147,""))</f>
        <v/>
      </c>
      <c r="T1147">
        <f>IF(R1147="","",IF(COUNTIFS(R$6:R1146,"&gt;0",S$6:S1146,S1147,N$6:N1146,N1147)=0,R1147,""))</f>
        <v/>
      </c>
      <c r="U1147">
        <f>IF(B1147="","",IF(J1147&lt;&gt;"",0,M1147))</f>
        <v/>
      </c>
    </row>
    <row r="1148">
      <c r="A1148" s="1" t="n"/>
      <c r="B1148" s="16" t="n"/>
      <c r="C1148" s="17" t="n"/>
      <c r="D1148" s="18" t="n"/>
      <c r="E1148" s="18" t="n"/>
      <c r="F1148" s="19" t="n"/>
      <c r="G1148" s="19" t="n"/>
      <c r="H1148" s="20" t="n"/>
      <c r="I1148" s="21" t="n"/>
      <c r="J1148" s="22" t="n"/>
      <c r="K1148" s="23" t="n"/>
      <c r="L1148" s="18" t="n"/>
      <c r="M1148" s="24">
        <f>IF(B1148="","",IF(AND(F1148&lt;&gt;"",G1148&lt;&gt;""),MAX(0,ROUND(MOD(G1148-F1148,1)*24-N(H1148)/60,2)),N(I1148)))</f>
        <v/>
      </c>
      <c r="N1148" s="14">
        <f>IF(B1148="","",IF(K1148&lt;&gt;"",K1148,IF(N(IFERROR(INDEX(Projects!$D$6:$D$65,MATCH(D1148,Projects!$B$6:$B$65,0)),""))&gt;0,IFERROR(INDEX(Projects!$D$6:$D$65,MATCH(D1148,Projects!$B$6:$B$65,0)),""),IFERROR(INDEX(Clients!$G$6:$G$45,MATCH(C1148,Clients!$B$6:$B$45,0)),0))))</f>
        <v/>
      </c>
      <c r="O1148" s="14">
        <f>IF(B1148="","",IF(J1148&lt;&gt;"",0,ROUND(M1148*N1148,2)))</f>
        <v/>
      </c>
      <c r="P1148" s="15">
        <f>IF(OR(B1148="",J1148&lt;&gt;""),"",IF(L1148&lt;&gt;"",L1148,IF(COUNTIFS(Invoices!$C$6:$C$305,C1148,Invoices!$E$6:$E$305,"&lt;="&amp;B1148,Invoices!$F$6:$F$305,"&gt;="&amp;B1148)=1,INDEX(Invoices!$B$6:$B$305,SUMIFS(Invoices!$O$6:$O$305,Invoices!$C$6:$C$305,C1148,Invoices!$E$6:$E$305,"&lt;="&amp;B1148,Invoices!$F$6:$F$305,"&gt;="&amp;B1148)),IF(COUNTIFS(Invoices!$C$6:$C$305,C1148,Invoices!$E$6:$E$305,"&lt;="&amp;B1148,Invoices!$F$6:$F$305,"&gt;="&amp;B1148)&gt;1,"Two invoices",""))))</f>
        <v/>
      </c>
      <c r="Q1148" s="15">
        <f>IF(B1148="","",IF(J1148&lt;&gt;"","Not billable",IF(P1148="","To invoice",IF(P1148="Two invoices","Check dates",IF(ISNA(MATCH(P1148,Invoices!$B$6:$B$305,0)),"Check number",IF(INDEX(Invoices!$M$6:$M$305,MATCH(P1148,Invoices!$B$6:$B$305,0))="Paid","Paid",IF(INDEX(Invoices!$M$6:$M$305,MATCH(P1148,Invoices!$B$6:$B$305,0))="Draft","Draft","Invoiced")))))))</f>
        <v/>
      </c>
      <c r="R1148" s="1">
        <f>IF(AND(B1148&lt;&gt;"",P1148&lt;&gt;"",P1148=Invoice!$G$4),B1148+MOD(N(F1148),1)+ROW()/10000000,"")</f>
        <v/>
      </c>
      <c r="S1148">
        <f>IF(R1148="","",IF(D1148="","Other work",D1148)&amp;IF(AND(K1148&lt;&gt;"",E1148&lt;&gt;""),", "&amp;E1148,""))</f>
        <v/>
      </c>
      <c r="T1148">
        <f>IF(R1148="","",IF(COUNTIFS(R$6:R1147,"&gt;0",S$6:S1147,S1148,N$6:N1147,N1148)=0,R1148,""))</f>
        <v/>
      </c>
      <c r="U1148">
        <f>IF(B1148="","",IF(J1148&lt;&gt;"",0,M1148))</f>
        <v/>
      </c>
    </row>
    <row r="1149">
      <c r="A1149" s="1" t="n"/>
      <c r="B1149" s="16" t="n"/>
      <c r="C1149" s="17" t="n"/>
      <c r="D1149" s="18" t="n"/>
      <c r="E1149" s="18" t="n"/>
      <c r="F1149" s="19" t="n"/>
      <c r="G1149" s="19" t="n"/>
      <c r="H1149" s="20" t="n"/>
      <c r="I1149" s="21" t="n"/>
      <c r="J1149" s="22" t="n"/>
      <c r="K1149" s="23" t="n"/>
      <c r="L1149" s="18" t="n"/>
      <c r="M1149" s="24">
        <f>IF(B1149="","",IF(AND(F1149&lt;&gt;"",G1149&lt;&gt;""),MAX(0,ROUND(MOD(G1149-F1149,1)*24-N(H1149)/60,2)),N(I1149)))</f>
        <v/>
      </c>
      <c r="N1149" s="14">
        <f>IF(B1149="","",IF(K1149&lt;&gt;"",K1149,IF(N(IFERROR(INDEX(Projects!$D$6:$D$65,MATCH(D1149,Projects!$B$6:$B$65,0)),""))&gt;0,IFERROR(INDEX(Projects!$D$6:$D$65,MATCH(D1149,Projects!$B$6:$B$65,0)),""),IFERROR(INDEX(Clients!$G$6:$G$45,MATCH(C1149,Clients!$B$6:$B$45,0)),0))))</f>
        <v/>
      </c>
      <c r="O1149" s="14">
        <f>IF(B1149="","",IF(J1149&lt;&gt;"",0,ROUND(M1149*N1149,2)))</f>
        <v/>
      </c>
      <c r="P1149" s="15">
        <f>IF(OR(B1149="",J1149&lt;&gt;""),"",IF(L1149&lt;&gt;"",L1149,IF(COUNTIFS(Invoices!$C$6:$C$305,C1149,Invoices!$E$6:$E$305,"&lt;="&amp;B1149,Invoices!$F$6:$F$305,"&gt;="&amp;B1149)=1,INDEX(Invoices!$B$6:$B$305,SUMIFS(Invoices!$O$6:$O$305,Invoices!$C$6:$C$305,C1149,Invoices!$E$6:$E$305,"&lt;="&amp;B1149,Invoices!$F$6:$F$305,"&gt;="&amp;B1149)),IF(COUNTIFS(Invoices!$C$6:$C$305,C1149,Invoices!$E$6:$E$305,"&lt;="&amp;B1149,Invoices!$F$6:$F$305,"&gt;="&amp;B1149)&gt;1,"Two invoices",""))))</f>
        <v/>
      </c>
      <c r="Q1149" s="15">
        <f>IF(B1149="","",IF(J1149&lt;&gt;"","Not billable",IF(P1149="","To invoice",IF(P1149="Two invoices","Check dates",IF(ISNA(MATCH(P1149,Invoices!$B$6:$B$305,0)),"Check number",IF(INDEX(Invoices!$M$6:$M$305,MATCH(P1149,Invoices!$B$6:$B$305,0))="Paid","Paid",IF(INDEX(Invoices!$M$6:$M$305,MATCH(P1149,Invoices!$B$6:$B$305,0))="Draft","Draft","Invoiced")))))))</f>
        <v/>
      </c>
      <c r="R1149" s="1">
        <f>IF(AND(B1149&lt;&gt;"",P1149&lt;&gt;"",P1149=Invoice!$G$4),B1149+MOD(N(F1149),1)+ROW()/10000000,"")</f>
        <v/>
      </c>
      <c r="S1149">
        <f>IF(R1149="","",IF(D1149="","Other work",D1149)&amp;IF(AND(K1149&lt;&gt;"",E1149&lt;&gt;""),", "&amp;E1149,""))</f>
        <v/>
      </c>
      <c r="T1149">
        <f>IF(R1149="","",IF(COUNTIFS(R$6:R1148,"&gt;0",S$6:S1148,S1149,N$6:N1148,N1149)=0,R1149,""))</f>
        <v/>
      </c>
      <c r="U1149">
        <f>IF(B1149="","",IF(J1149&lt;&gt;"",0,M1149))</f>
        <v/>
      </c>
    </row>
    <row r="1150">
      <c r="A1150" s="1" t="n"/>
      <c r="B1150" s="16" t="n"/>
      <c r="C1150" s="17" t="n"/>
      <c r="D1150" s="18" t="n"/>
      <c r="E1150" s="18" t="n"/>
      <c r="F1150" s="19" t="n"/>
      <c r="G1150" s="19" t="n"/>
      <c r="H1150" s="20" t="n"/>
      <c r="I1150" s="21" t="n"/>
      <c r="J1150" s="22" t="n"/>
      <c r="K1150" s="23" t="n"/>
      <c r="L1150" s="18" t="n"/>
      <c r="M1150" s="24">
        <f>IF(B1150="","",IF(AND(F1150&lt;&gt;"",G1150&lt;&gt;""),MAX(0,ROUND(MOD(G1150-F1150,1)*24-N(H1150)/60,2)),N(I1150)))</f>
        <v/>
      </c>
      <c r="N1150" s="14">
        <f>IF(B1150="","",IF(K1150&lt;&gt;"",K1150,IF(N(IFERROR(INDEX(Projects!$D$6:$D$65,MATCH(D1150,Projects!$B$6:$B$65,0)),""))&gt;0,IFERROR(INDEX(Projects!$D$6:$D$65,MATCH(D1150,Projects!$B$6:$B$65,0)),""),IFERROR(INDEX(Clients!$G$6:$G$45,MATCH(C1150,Clients!$B$6:$B$45,0)),0))))</f>
        <v/>
      </c>
      <c r="O1150" s="14">
        <f>IF(B1150="","",IF(J1150&lt;&gt;"",0,ROUND(M1150*N1150,2)))</f>
        <v/>
      </c>
      <c r="P1150" s="15">
        <f>IF(OR(B1150="",J1150&lt;&gt;""),"",IF(L1150&lt;&gt;"",L1150,IF(COUNTIFS(Invoices!$C$6:$C$305,C1150,Invoices!$E$6:$E$305,"&lt;="&amp;B1150,Invoices!$F$6:$F$305,"&gt;="&amp;B1150)=1,INDEX(Invoices!$B$6:$B$305,SUMIFS(Invoices!$O$6:$O$305,Invoices!$C$6:$C$305,C1150,Invoices!$E$6:$E$305,"&lt;="&amp;B1150,Invoices!$F$6:$F$305,"&gt;="&amp;B1150)),IF(COUNTIFS(Invoices!$C$6:$C$305,C1150,Invoices!$E$6:$E$305,"&lt;="&amp;B1150,Invoices!$F$6:$F$305,"&gt;="&amp;B1150)&gt;1,"Two invoices",""))))</f>
        <v/>
      </c>
      <c r="Q1150" s="15">
        <f>IF(B1150="","",IF(J1150&lt;&gt;"","Not billable",IF(P1150="","To invoice",IF(P1150="Two invoices","Check dates",IF(ISNA(MATCH(P1150,Invoices!$B$6:$B$305,0)),"Check number",IF(INDEX(Invoices!$M$6:$M$305,MATCH(P1150,Invoices!$B$6:$B$305,0))="Paid","Paid",IF(INDEX(Invoices!$M$6:$M$305,MATCH(P1150,Invoices!$B$6:$B$305,0))="Draft","Draft","Invoiced")))))))</f>
        <v/>
      </c>
      <c r="R1150" s="1">
        <f>IF(AND(B1150&lt;&gt;"",P1150&lt;&gt;"",P1150=Invoice!$G$4),B1150+MOD(N(F1150),1)+ROW()/10000000,"")</f>
        <v/>
      </c>
      <c r="S1150">
        <f>IF(R1150="","",IF(D1150="","Other work",D1150)&amp;IF(AND(K1150&lt;&gt;"",E1150&lt;&gt;""),", "&amp;E1150,""))</f>
        <v/>
      </c>
      <c r="T1150">
        <f>IF(R1150="","",IF(COUNTIFS(R$6:R1149,"&gt;0",S$6:S1149,S1150,N$6:N1149,N1150)=0,R1150,""))</f>
        <v/>
      </c>
      <c r="U1150">
        <f>IF(B1150="","",IF(J1150&lt;&gt;"",0,M1150))</f>
        <v/>
      </c>
    </row>
    <row r="1151">
      <c r="A1151" s="1" t="n"/>
      <c r="B1151" s="16" t="n"/>
      <c r="C1151" s="17" t="n"/>
      <c r="D1151" s="18" t="n"/>
      <c r="E1151" s="18" t="n"/>
      <c r="F1151" s="19" t="n"/>
      <c r="G1151" s="19" t="n"/>
      <c r="H1151" s="20" t="n"/>
      <c r="I1151" s="21" t="n"/>
      <c r="J1151" s="22" t="n"/>
      <c r="K1151" s="23" t="n"/>
      <c r="L1151" s="18" t="n"/>
      <c r="M1151" s="24">
        <f>IF(B1151="","",IF(AND(F1151&lt;&gt;"",G1151&lt;&gt;""),MAX(0,ROUND(MOD(G1151-F1151,1)*24-N(H1151)/60,2)),N(I1151)))</f>
        <v/>
      </c>
      <c r="N1151" s="14">
        <f>IF(B1151="","",IF(K1151&lt;&gt;"",K1151,IF(N(IFERROR(INDEX(Projects!$D$6:$D$65,MATCH(D1151,Projects!$B$6:$B$65,0)),""))&gt;0,IFERROR(INDEX(Projects!$D$6:$D$65,MATCH(D1151,Projects!$B$6:$B$65,0)),""),IFERROR(INDEX(Clients!$G$6:$G$45,MATCH(C1151,Clients!$B$6:$B$45,0)),0))))</f>
        <v/>
      </c>
      <c r="O1151" s="14">
        <f>IF(B1151="","",IF(J1151&lt;&gt;"",0,ROUND(M1151*N1151,2)))</f>
        <v/>
      </c>
      <c r="P1151" s="15">
        <f>IF(OR(B1151="",J1151&lt;&gt;""),"",IF(L1151&lt;&gt;"",L1151,IF(COUNTIFS(Invoices!$C$6:$C$305,C1151,Invoices!$E$6:$E$305,"&lt;="&amp;B1151,Invoices!$F$6:$F$305,"&gt;="&amp;B1151)=1,INDEX(Invoices!$B$6:$B$305,SUMIFS(Invoices!$O$6:$O$305,Invoices!$C$6:$C$305,C1151,Invoices!$E$6:$E$305,"&lt;="&amp;B1151,Invoices!$F$6:$F$305,"&gt;="&amp;B1151)),IF(COUNTIFS(Invoices!$C$6:$C$305,C1151,Invoices!$E$6:$E$305,"&lt;="&amp;B1151,Invoices!$F$6:$F$305,"&gt;="&amp;B1151)&gt;1,"Two invoices",""))))</f>
        <v/>
      </c>
      <c r="Q1151" s="15">
        <f>IF(B1151="","",IF(J1151&lt;&gt;"","Not billable",IF(P1151="","To invoice",IF(P1151="Two invoices","Check dates",IF(ISNA(MATCH(P1151,Invoices!$B$6:$B$305,0)),"Check number",IF(INDEX(Invoices!$M$6:$M$305,MATCH(P1151,Invoices!$B$6:$B$305,0))="Paid","Paid",IF(INDEX(Invoices!$M$6:$M$305,MATCH(P1151,Invoices!$B$6:$B$305,0))="Draft","Draft","Invoiced")))))))</f>
        <v/>
      </c>
      <c r="R1151" s="1">
        <f>IF(AND(B1151&lt;&gt;"",P1151&lt;&gt;"",P1151=Invoice!$G$4),B1151+MOD(N(F1151),1)+ROW()/10000000,"")</f>
        <v/>
      </c>
      <c r="S1151">
        <f>IF(R1151="","",IF(D1151="","Other work",D1151)&amp;IF(AND(K1151&lt;&gt;"",E1151&lt;&gt;""),", "&amp;E1151,""))</f>
        <v/>
      </c>
      <c r="T1151">
        <f>IF(R1151="","",IF(COUNTIFS(R$6:R1150,"&gt;0",S$6:S1150,S1151,N$6:N1150,N1151)=0,R1151,""))</f>
        <v/>
      </c>
      <c r="U1151">
        <f>IF(B1151="","",IF(J1151&lt;&gt;"",0,M1151))</f>
        <v/>
      </c>
    </row>
    <row r="1152">
      <c r="A1152" s="1" t="n"/>
      <c r="B1152" s="16" t="n"/>
      <c r="C1152" s="17" t="n"/>
      <c r="D1152" s="18" t="n"/>
      <c r="E1152" s="18" t="n"/>
      <c r="F1152" s="19" t="n"/>
      <c r="G1152" s="19" t="n"/>
      <c r="H1152" s="20" t="n"/>
      <c r="I1152" s="21" t="n"/>
      <c r="J1152" s="22" t="n"/>
      <c r="K1152" s="23" t="n"/>
      <c r="L1152" s="18" t="n"/>
      <c r="M1152" s="24">
        <f>IF(B1152="","",IF(AND(F1152&lt;&gt;"",G1152&lt;&gt;""),MAX(0,ROUND(MOD(G1152-F1152,1)*24-N(H1152)/60,2)),N(I1152)))</f>
        <v/>
      </c>
      <c r="N1152" s="14">
        <f>IF(B1152="","",IF(K1152&lt;&gt;"",K1152,IF(N(IFERROR(INDEX(Projects!$D$6:$D$65,MATCH(D1152,Projects!$B$6:$B$65,0)),""))&gt;0,IFERROR(INDEX(Projects!$D$6:$D$65,MATCH(D1152,Projects!$B$6:$B$65,0)),""),IFERROR(INDEX(Clients!$G$6:$G$45,MATCH(C1152,Clients!$B$6:$B$45,0)),0))))</f>
        <v/>
      </c>
      <c r="O1152" s="14">
        <f>IF(B1152="","",IF(J1152&lt;&gt;"",0,ROUND(M1152*N1152,2)))</f>
        <v/>
      </c>
      <c r="P1152" s="15">
        <f>IF(OR(B1152="",J1152&lt;&gt;""),"",IF(L1152&lt;&gt;"",L1152,IF(COUNTIFS(Invoices!$C$6:$C$305,C1152,Invoices!$E$6:$E$305,"&lt;="&amp;B1152,Invoices!$F$6:$F$305,"&gt;="&amp;B1152)=1,INDEX(Invoices!$B$6:$B$305,SUMIFS(Invoices!$O$6:$O$305,Invoices!$C$6:$C$305,C1152,Invoices!$E$6:$E$305,"&lt;="&amp;B1152,Invoices!$F$6:$F$305,"&gt;="&amp;B1152)),IF(COUNTIFS(Invoices!$C$6:$C$305,C1152,Invoices!$E$6:$E$305,"&lt;="&amp;B1152,Invoices!$F$6:$F$305,"&gt;="&amp;B1152)&gt;1,"Two invoices",""))))</f>
        <v/>
      </c>
      <c r="Q1152" s="15">
        <f>IF(B1152="","",IF(J1152&lt;&gt;"","Not billable",IF(P1152="","To invoice",IF(P1152="Two invoices","Check dates",IF(ISNA(MATCH(P1152,Invoices!$B$6:$B$305,0)),"Check number",IF(INDEX(Invoices!$M$6:$M$305,MATCH(P1152,Invoices!$B$6:$B$305,0))="Paid","Paid",IF(INDEX(Invoices!$M$6:$M$305,MATCH(P1152,Invoices!$B$6:$B$305,0))="Draft","Draft","Invoiced")))))))</f>
        <v/>
      </c>
      <c r="R1152" s="1">
        <f>IF(AND(B1152&lt;&gt;"",P1152&lt;&gt;"",P1152=Invoice!$G$4),B1152+MOD(N(F1152),1)+ROW()/10000000,"")</f>
        <v/>
      </c>
      <c r="S1152">
        <f>IF(R1152="","",IF(D1152="","Other work",D1152)&amp;IF(AND(K1152&lt;&gt;"",E1152&lt;&gt;""),", "&amp;E1152,""))</f>
        <v/>
      </c>
      <c r="T1152">
        <f>IF(R1152="","",IF(COUNTIFS(R$6:R1151,"&gt;0",S$6:S1151,S1152,N$6:N1151,N1152)=0,R1152,""))</f>
        <v/>
      </c>
      <c r="U1152">
        <f>IF(B1152="","",IF(J1152&lt;&gt;"",0,M1152))</f>
        <v/>
      </c>
    </row>
    <row r="1153">
      <c r="A1153" s="1" t="n"/>
      <c r="B1153" s="16" t="n"/>
      <c r="C1153" s="17" t="n"/>
      <c r="D1153" s="18" t="n"/>
      <c r="E1153" s="18" t="n"/>
      <c r="F1153" s="19" t="n"/>
      <c r="G1153" s="19" t="n"/>
      <c r="H1153" s="20" t="n"/>
      <c r="I1153" s="21" t="n"/>
      <c r="J1153" s="22" t="n"/>
      <c r="K1153" s="23" t="n"/>
      <c r="L1153" s="18" t="n"/>
      <c r="M1153" s="24">
        <f>IF(B1153="","",IF(AND(F1153&lt;&gt;"",G1153&lt;&gt;""),MAX(0,ROUND(MOD(G1153-F1153,1)*24-N(H1153)/60,2)),N(I1153)))</f>
        <v/>
      </c>
      <c r="N1153" s="14">
        <f>IF(B1153="","",IF(K1153&lt;&gt;"",K1153,IF(N(IFERROR(INDEX(Projects!$D$6:$D$65,MATCH(D1153,Projects!$B$6:$B$65,0)),""))&gt;0,IFERROR(INDEX(Projects!$D$6:$D$65,MATCH(D1153,Projects!$B$6:$B$65,0)),""),IFERROR(INDEX(Clients!$G$6:$G$45,MATCH(C1153,Clients!$B$6:$B$45,0)),0))))</f>
        <v/>
      </c>
      <c r="O1153" s="14">
        <f>IF(B1153="","",IF(J1153&lt;&gt;"",0,ROUND(M1153*N1153,2)))</f>
        <v/>
      </c>
      <c r="P1153" s="15">
        <f>IF(OR(B1153="",J1153&lt;&gt;""),"",IF(L1153&lt;&gt;"",L1153,IF(COUNTIFS(Invoices!$C$6:$C$305,C1153,Invoices!$E$6:$E$305,"&lt;="&amp;B1153,Invoices!$F$6:$F$305,"&gt;="&amp;B1153)=1,INDEX(Invoices!$B$6:$B$305,SUMIFS(Invoices!$O$6:$O$305,Invoices!$C$6:$C$305,C1153,Invoices!$E$6:$E$305,"&lt;="&amp;B1153,Invoices!$F$6:$F$305,"&gt;="&amp;B1153)),IF(COUNTIFS(Invoices!$C$6:$C$305,C1153,Invoices!$E$6:$E$305,"&lt;="&amp;B1153,Invoices!$F$6:$F$305,"&gt;="&amp;B1153)&gt;1,"Two invoices",""))))</f>
        <v/>
      </c>
      <c r="Q1153" s="15">
        <f>IF(B1153="","",IF(J1153&lt;&gt;"","Not billable",IF(P1153="","To invoice",IF(P1153="Two invoices","Check dates",IF(ISNA(MATCH(P1153,Invoices!$B$6:$B$305,0)),"Check number",IF(INDEX(Invoices!$M$6:$M$305,MATCH(P1153,Invoices!$B$6:$B$305,0))="Paid","Paid",IF(INDEX(Invoices!$M$6:$M$305,MATCH(P1153,Invoices!$B$6:$B$305,0))="Draft","Draft","Invoiced")))))))</f>
        <v/>
      </c>
      <c r="R1153" s="1">
        <f>IF(AND(B1153&lt;&gt;"",P1153&lt;&gt;"",P1153=Invoice!$G$4),B1153+MOD(N(F1153),1)+ROW()/10000000,"")</f>
        <v/>
      </c>
      <c r="S1153">
        <f>IF(R1153="","",IF(D1153="","Other work",D1153)&amp;IF(AND(K1153&lt;&gt;"",E1153&lt;&gt;""),", "&amp;E1153,""))</f>
        <v/>
      </c>
      <c r="T1153">
        <f>IF(R1153="","",IF(COUNTIFS(R$6:R1152,"&gt;0",S$6:S1152,S1153,N$6:N1152,N1153)=0,R1153,""))</f>
        <v/>
      </c>
      <c r="U1153">
        <f>IF(B1153="","",IF(J1153&lt;&gt;"",0,M1153))</f>
        <v/>
      </c>
    </row>
    <row r="1154">
      <c r="A1154" s="1" t="n"/>
      <c r="B1154" s="16" t="n"/>
      <c r="C1154" s="17" t="n"/>
      <c r="D1154" s="18" t="n"/>
      <c r="E1154" s="18" t="n"/>
      <c r="F1154" s="19" t="n"/>
      <c r="G1154" s="19" t="n"/>
      <c r="H1154" s="20" t="n"/>
      <c r="I1154" s="21" t="n"/>
      <c r="J1154" s="22" t="n"/>
      <c r="K1154" s="23" t="n"/>
      <c r="L1154" s="18" t="n"/>
      <c r="M1154" s="24">
        <f>IF(B1154="","",IF(AND(F1154&lt;&gt;"",G1154&lt;&gt;""),MAX(0,ROUND(MOD(G1154-F1154,1)*24-N(H1154)/60,2)),N(I1154)))</f>
        <v/>
      </c>
      <c r="N1154" s="14">
        <f>IF(B1154="","",IF(K1154&lt;&gt;"",K1154,IF(N(IFERROR(INDEX(Projects!$D$6:$D$65,MATCH(D1154,Projects!$B$6:$B$65,0)),""))&gt;0,IFERROR(INDEX(Projects!$D$6:$D$65,MATCH(D1154,Projects!$B$6:$B$65,0)),""),IFERROR(INDEX(Clients!$G$6:$G$45,MATCH(C1154,Clients!$B$6:$B$45,0)),0))))</f>
        <v/>
      </c>
      <c r="O1154" s="14">
        <f>IF(B1154="","",IF(J1154&lt;&gt;"",0,ROUND(M1154*N1154,2)))</f>
        <v/>
      </c>
      <c r="P1154" s="15">
        <f>IF(OR(B1154="",J1154&lt;&gt;""),"",IF(L1154&lt;&gt;"",L1154,IF(COUNTIFS(Invoices!$C$6:$C$305,C1154,Invoices!$E$6:$E$305,"&lt;="&amp;B1154,Invoices!$F$6:$F$305,"&gt;="&amp;B1154)=1,INDEX(Invoices!$B$6:$B$305,SUMIFS(Invoices!$O$6:$O$305,Invoices!$C$6:$C$305,C1154,Invoices!$E$6:$E$305,"&lt;="&amp;B1154,Invoices!$F$6:$F$305,"&gt;="&amp;B1154)),IF(COUNTIFS(Invoices!$C$6:$C$305,C1154,Invoices!$E$6:$E$305,"&lt;="&amp;B1154,Invoices!$F$6:$F$305,"&gt;="&amp;B1154)&gt;1,"Two invoices",""))))</f>
        <v/>
      </c>
      <c r="Q1154" s="15">
        <f>IF(B1154="","",IF(J1154&lt;&gt;"","Not billable",IF(P1154="","To invoice",IF(P1154="Two invoices","Check dates",IF(ISNA(MATCH(P1154,Invoices!$B$6:$B$305,0)),"Check number",IF(INDEX(Invoices!$M$6:$M$305,MATCH(P1154,Invoices!$B$6:$B$305,0))="Paid","Paid",IF(INDEX(Invoices!$M$6:$M$305,MATCH(P1154,Invoices!$B$6:$B$305,0))="Draft","Draft","Invoiced")))))))</f>
        <v/>
      </c>
      <c r="R1154" s="1">
        <f>IF(AND(B1154&lt;&gt;"",P1154&lt;&gt;"",P1154=Invoice!$G$4),B1154+MOD(N(F1154),1)+ROW()/10000000,"")</f>
        <v/>
      </c>
      <c r="S1154">
        <f>IF(R1154="","",IF(D1154="","Other work",D1154)&amp;IF(AND(K1154&lt;&gt;"",E1154&lt;&gt;""),", "&amp;E1154,""))</f>
        <v/>
      </c>
      <c r="T1154">
        <f>IF(R1154="","",IF(COUNTIFS(R$6:R1153,"&gt;0",S$6:S1153,S1154,N$6:N1153,N1154)=0,R1154,""))</f>
        <v/>
      </c>
      <c r="U1154">
        <f>IF(B1154="","",IF(J1154&lt;&gt;"",0,M1154))</f>
        <v/>
      </c>
    </row>
    <row r="1155">
      <c r="A1155" s="1" t="n"/>
      <c r="B1155" s="16" t="n"/>
      <c r="C1155" s="17" t="n"/>
      <c r="D1155" s="18" t="n"/>
      <c r="E1155" s="18" t="n"/>
      <c r="F1155" s="19" t="n"/>
      <c r="G1155" s="19" t="n"/>
      <c r="H1155" s="20" t="n"/>
      <c r="I1155" s="21" t="n"/>
      <c r="J1155" s="22" t="n"/>
      <c r="K1155" s="23" t="n"/>
      <c r="L1155" s="18" t="n"/>
      <c r="M1155" s="24">
        <f>IF(B1155="","",IF(AND(F1155&lt;&gt;"",G1155&lt;&gt;""),MAX(0,ROUND(MOD(G1155-F1155,1)*24-N(H1155)/60,2)),N(I1155)))</f>
        <v/>
      </c>
      <c r="N1155" s="14">
        <f>IF(B1155="","",IF(K1155&lt;&gt;"",K1155,IF(N(IFERROR(INDEX(Projects!$D$6:$D$65,MATCH(D1155,Projects!$B$6:$B$65,0)),""))&gt;0,IFERROR(INDEX(Projects!$D$6:$D$65,MATCH(D1155,Projects!$B$6:$B$65,0)),""),IFERROR(INDEX(Clients!$G$6:$G$45,MATCH(C1155,Clients!$B$6:$B$45,0)),0))))</f>
        <v/>
      </c>
      <c r="O1155" s="14">
        <f>IF(B1155="","",IF(J1155&lt;&gt;"",0,ROUND(M1155*N1155,2)))</f>
        <v/>
      </c>
      <c r="P1155" s="15">
        <f>IF(OR(B1155="",J1155&lt;&gt;""),"",IF(L1155&lt;&gt;"",L1155,IF(COUNTIFS(Invoices!$C$6:$C$305,C1155,Invoices!$E$6:$E$305,"&lt;="&amp;B1155,Invoices!$F$6:$F$305,"&gt;="&amp;B1155)=1,INDEX(Invoices!$B$6:$B$305,SUMIFS(Invoices!$O$6:$O$305,Invoices!$C$6:$C$305,C1155,Invoices!$E$6:$E$305,"&lt;="&amp;B1155,Invoices!$F$6:$F$305,"&gt;="&amp;B1155)),IF(COUNTIFS(Invoices!$C$6:$C$305,C1155,Invoices!$E$6:$E$305,"&lt;="&amp;B1155,Invoices!$F$6:$F$305,"&gt;="&amp;B1155)&gt;1,"Two invoices",""))))</f>
        <v/>
      </c>
      <c r="Q1155" s="15">
        <f>IF(B1155="","",IF(J1155&lt;&gt;"","Not billable",IF(P1155="","To invoice",IF(P1155="Two invoices","Check dates",IF(ISNA(MATCH(P1155,Invoices!$B$6:$B$305,0)),"Check number",IF(INDEX(Invoices!$M$6:$M$305,MATCH(P1155,Invoices!$B$6:$B$305,0))="Paid","Paid",IF(INDEX(Invoices!$M$6:$M$305,MATCH(P1155,Invoices!$B$6:$B$305,0))="Draft","Draft","Invoiced")))))))</f>
        <v/>
      </c>
      <c r="R1155" s="1">
        <f>IF(AND(B1155&lt;&gt;"",P1155&lt;&gt;"",P1155=Invoice!$G$4),B1155+MOD(N(F1155),1)+ROW()/10000000,"")</f>
        <v/>
      </c>
      <c r="S1155">
        <f>IF(R1155="","",IF(D1155="","Other work",D1155)&amp;IF(AND(K1155&lt;&gt;"",E1155&lt;&gt;""),", "&amp;E1155,""))</f>
        <v/>
      </c>
      <c r="T1155">
        <f>IF(R1155="","",IF(COUNTIFS(R$6:R1154,"&gt;0",S$6:S1154,S1155,N$6:N1154,N1155)=0,R1155,""))</f>
        <v/>
      </c>
      <c r="U1155">
        <f>IF(B1155="","",IF(J1155&lt;&gt;"",0,M1155))</f>
        <v/>
      </c>
    </row>
    <row r="1156">
      <c r="A1156" s="1" t="n"/>
      <c r="B1156" s="16" t="n"/>
      <c r="C1156" s="17" t="n"/>
      <c r="D1156" s="18" t="n"/>
      <c r="E1156" s="18" t="n"/>
      <c r="F1156" s="19" t="n"/>
      <c r="G1156" s="19" t="n"/>
      <c r="H1156" s="20" t="n"/>
      <c r="I1156" s="21" t="n"/>
      <c r="J1156" s="22" t="n"/>
      <c r="K1156" s="23" t="n"/>
      <c r="L1156" s="18" t="n"/>
      <c r="M1156" s="24">
        <f>IF(B1156="","",IF(AND(F1156&lt;&gt;"",G1156&lt;&gt;""),MAX(0,ROUND(MOD(G1156-F1156,1)*24-N(H1156)/60,2)),N(I1156)))</f>
        <v/>
      </c>
      <c r="N1156" s="14">
        <f>IF(B1156="","",IF(K1156&lt;&gt;"",K1156,IF(N(IFERROR(INDEX(Projects!$D$6:$D$65,MATCH(D1156,Projects!$B$6:$B$65,0)),""))&gt;0,IFERROR(INDEX(Projects!$D$6:$D$65,MATCH(D1156,Projects!$B$6:$B$65,0)),""),IFERROR(INDEX(Clients!$G$6:$G$45,MATCH(C1156,Clients!$B$6:$B$45,0)),0))))</f>
        <v/>
      </c>
      <c r="O1156" s="14">
        <f>IF(B1156="","",IF(J1156&lt;&gt;"",0,ROUND(M1156*N1156,2)))</f>
        <v/>
      </c>
      <c r="P1156" s="15">
        <f>IF(OR(B1156="",J1156&lt;&gt;""),"",IF(L1156&lt;&gt;"",L1156,IF(COUNTIFS(Invoices!$C$6:$C$305,C1156,Invoices!$E$6:$E$305,"&lt;="&amp;B1156,Invoices!$F$6:$F$305,"&gt;="&amp;B1156)=1,INDEX(Invoices!$B$6:$B$305,SUMIFS(Invoices!$O$6:$O$305,Invoices!$C$6:$C$305,C1156,Invoices!$E$6:$E$305,"&lt;="&amp;B1156,Invoices!$F$6:$F$305,"&gt;="&amp;B1156)),IF(COUNTIFS(Invoices!$C$6:$C$305,C1156,Invoices!$E$6:$E$305,"&lt;="&amp;B1156,Invoices!$F$6:$F$305,"&gt;="&amp;B1156)&gt;1,"Two invoices",""))))</f>
        <v/>
      </c>
      <c r="Q1156" s="15">
        <f>IF(B1156="","",IF(J1156&lt;&gt;"","Not billable",IF(P1156="","To invoice",IF(P1156="Two invoices","Check dates",IF(ISNA(MATCH(P1156,Invoices!$B$6:$B$305,0)),"Check number",IF(INDEX(Invoices!$M$6:$M$305,MATCH(P1156,Invoices!$B$6:$B$305,0))="Paid","Paid",IF(INDEX(Invoices!$M$6:$M$305,MATCH(P1156,Invoices!$B$6:$B$305,0))="Draft","Draft","Invoiced")))))))</f>
        <v/>
      </c>
      <c r="R1156" s="1">
        <f>IF(AND(B1156&lt;&gt;"",P1156&lt;&gt;"",P1156=Invoice!$G$4),B1156+MOD(N(F1156),1)+ROW()/10000000,"")</f>
        <v/>
      </c>
      <c r="S1156">
        <f>IF(R1156="","",IF(D1156="","Other work",D1156)&amp;IF(AND(K1156&lt;&gt;"",E1156&lt;&gt;""),", "&amp;E1156,""))</f>
        <v/>
      </c>
      <c r="T1156">
        <f>IF(R1156="","",IF(COUNTIFS(R$6:R1155,"&gt;0",S$6:S1155,S1156,N$6:N1155,N1156)=0,R1156,""))</f>
        <v/>
      </c>
      <c r="U1156">
        <f>IF(B1156="","",IF(J1156&lt;&gt;"",0,M1156))</f>
        <v/>
      </c>
    </row>
    <row r="1157">
      <c r="A1157" s="1" t="n"/>
      <c r="B1157" s="16" t="n"/>
      <c r="C1157" s="17" t="n"/>
      <c r="D1157" s="18" t="n"/>
      <c r="E1157" s="18" t="n"/>
      <c r="F1157" s="19" t="n"/>
      <c r="G1157" s="19" t="n"/>
      <c r="H1157" s="20" t="n"/>
      <c r="I1157" s="21" t="n"/>
      <c r="J1157" s="22" t="n"/>
      <c r="K1157" s="23" t="n"/>
      <c r="L1157" s="18" t="n"/>
      <c r="M1157" s="24">
        <f>IF(B1157="","",IF(AND(F1157&lt;&gt;"",G1157&lt;&gt;""),MAX(0,ROUND(MOD(G1157-F1157,1)*24-N(H1157)/60,2)),N(I1157)))</f>
        <v/>
      </c>
      <c r="N1157" s="14">
        <f>IF(B1157="","",IF(K1157&lt;&gt;"",K1157,IF(N(IFERROR(INDEX(Projects!$D$6:$D$65,MATCH(D1157,Projects!$B$6:$B$65,0)),""))&gt;0,IFERROR(INDEX(Projects!$D$6:$D$65,MATCH(D1157,Projects!$B$6:$B$65,0)),""),IFERROR(INDEX(Clients!$G$6:$G$45,MATCH(C1157,Clients!$B$6:$B$45,0)),0))))</f>
        <v/>
      </c>
      <c r="O1157" s="14">
        <f>IF(B1157="","",IF(J1157&lt;&gt;"",0,ROUND(M1157*N1157,2)))</f>
        <v/>
      </c>
      <c r="P1157" s="15">
        <f>IF(OR(B1157="",J1157&lt;&gt;""),"",IF(L1157&lt;&gt;"",L1157,IF(COUNTIFS(Invoices!$C$6:$C$305,C1157,Invoices!$E$6:$E$305,"&lt;="&amp;B1157,Invoices!$F$6:$F$305,"&gt;="&amp;B1157)=1,INDEX(Invoices!$B$6:$B$305,SUMIFS(Invoices!$O$6:$O$305,Invoices!$C$6:$C$305,C1157,Invoices!$E$6:$E$305,"&lt;="&amp;B1157,Invoices!$F$6:$F$305,"&gt;="&amp;B1157)),IF(COUNTIFS(Invoices!$C$6:$C$305,C1157,Invoices!$E$6:$E$305,"&lt;="&amp;B1157,Invoices!$F$6:$F$305,"&gt;="&amp;B1157)&gt;1,"Two invoices",""))))</f>
        <v/>
      </c>
      <c r="Q1157" s="15">
        <f>IF(B1157="","",IF(J1157&lt;&gt;"","Not billable",IF(P1157="","To invoice",IF(P1157="Two invoices","Check dates",IF(ISNA(MATCH(P1157,Invoices!$B$6:$B$305,0)),"Check number",IF(INDEX(Invoices!$M$6:$M$305,MATCH(P1157,Invoices!$B$6:$B$305,0))="Paid","Paid",IF(INDEX(Invoices!$M$6:$M$305,MATCH(P1157,Invoices!$B$6:$B$305,0))="Draft","Draft","Invoiced")))))))</f>
        <v/>
      </c>
      <c r="R1157" s="1">
        <f>IF(AND(B1157&lt;&gt;"",P1157&lt;&gt;"",P1157=Invoice!$G$4),B1157+MOD(N(F1157),1)+ROW()/10000000,"")</f>
        <v/>
      </c>
      <c r="S1157">
        <f>IF(R1157="","",IF(D1157="","Other work",D1157)&amp;IF(AND(K1157&lt;&gt;"",E1157&lt;&gt;""),", "&amp;E1157,""))</f>
        <v/>
      </c>
      <c r="T1157">
        <f>IF(R1157="","",IF(COUNTIFS(R$6:R1156,"&gt;0",S$6:S1156,S1157,N$6:N1156,N1157)=0,R1157,""))</f>
        <v/>
      </c>
      <c r="U1157">
        <f>IF(B1157="","",IF(J1157&lt;&gt;"",0,M1157))</f>
        <v/>
      </c>
    </row>
    <row r="1158">
      <c r="A1158" s="1" t="n"/>
      <c r="B1158" s="16" t="n"/>
      <c r="C1158" s="17" t="n"/>
      <c r="D1158" s="18" t="n"/>
      <c r="E1158" s="18" t="n"/>
      <c r="F1158" s="19" t="n"/>
      <c r="G1158" s="19" t="n"/>
      <c r="H1158" s="20" t="n"/>
      <c r="I1158" s="21" t="n"/>
      <c r="J1158" s="22" t="n"/>
      <c r="K1158" s="23" t="n"/>
      <c r="L1158" s="18" t="n"/>
      <c r="M1158" s="24">
        <f>IF(B1158="","",IF(AND(F1158&lt;&gt;"",G1158&lt;&gt;""),MAX(0,ROUND(MOD(G1158-F1158,1)*24-N(H1158)/60,2)),N(I1158)))</f>
        <v/>
      </c>
      <c r="N1158" s="14">
        <f>IF(B1158="","",IF(K1158&lt;&gt;"",K1158,IF(N(IFERROR(INDEX(Projects!$D$6:$D$65,MATCH(D1158,Projects!$B$6:$B$65,0)),""))&gt;0,IFERROR(INDEX(Projects!$D$6:$D$65,MATCH(D1158,Projects!$B$6:$B$65,0)),""),IFERROR(INDEX(Clients!$G$6:$G$45,MATCH(C1158,Clients!$B$6:$B$45,0)),0))))</f>
        <v/>
      </c>
      <c r="O1158" s="14">
        <f>IF(B1158="","",IF(J1158&lt;&gt;"",0,ROUND(M1158*N1158,2)))</f>
        <v/>
      </c>
      <c r="P1158" s="15">
        <f>IF(OR(B1158="",J1158&lt;&gt;""),"",IF(L1158&lt;&gt;"",L1158,IF(COUNTIFS(Invoices!$C$6:$C$305,C1158,Invoices!$E$6:$E$305,"&lt;="&amp;B1158,Invoices!$F$6:$F$305,"&gt;="&amp;B1158)=1,INDEX(Invoices!$B$6:$B$305,SUMIFS(Invoices!$O$6:$O$305,Invoices!$C$6:$C$305,C1158,Invoices!$E$6:$E$305,"&lt;="&amp;B1158,Invoices!$F$6:$F$305,"&gt;="&amp;B1158)),IF(COUNTIFS(Invoices!$C$6:$C$305,C1158,Invoices!$E$6:$E$305,"&lt;="&amp;B1158,Invoices!$F$6:$F$305,"&gt;="&amp;B1158)&gt;1,"Two invoices",""))))</f>
        <v/>
      </c>
      <c r="Q1158" s="15">
        <f>IF(B1158="","",IF(J1158&lt;&gt;"","Not billable",IF(P1158="","To invoice",IF(P1158="Two invoices","Check dates",IF(ISNA(MATCH(P1158,Invoices!$B$6:$B$305,0)),"Check number",IF(INDEX(Invoices!$M$6:$M$305,MATCH(P1158,Invoices!$B$6:$B$305,0))="Paid","Paid",IF(INDEX(Invoices!$M$6:$M$305,MATCH(P1158,Invoices!$B$6:$B$305,0))="Draft","Draft","Invoiced")))))))</f>
        <v/>
      </c>
      <c r="R1158" s="1">
        <f>IF(AND(B1158&lt;&gt;"",P1158&lt;&gt;"",P1158=Invoice!$G$4),B1158+MOD(N(F1158),1)+ROW()/10000000,"")</f>
        <v/>
      </c>
      <c r="S1158">
        <f>IF(R1158="","",IF(D1158="","Other work",D1158)&amp;IF(AND(K1158&lt;&gt;"",E1158&lt;&gt;""),", "&amp;E1158,""))</f>
        <v/>
      </c>
      <c r="T1158">
        <f>IF(R1158="","",IF(COUNTIFS(R$6:R1157,"&gt;0",S$6:S1157,S1158,N$6:N1157,N1158)=0,R1158,""))</f>
        <v/>
      </c>
      <c r="U1158">
        <f>IF(B1158="","",IF(J1158&lt;&gt;"",0,M1158))</f>
        <v/>
      </c>
    </row>
    <row r="1159">
      <c r="A1159" s="1" t="n"/>
      <c r="B1159" s="16" t="n"/>
      <c r="C1159" s="17" t="n"/>
      <c r="D1159" s="18" t="n"/>
      <c r="E1159" s="18" t="n"/>
      <c r="F1159" s="19" t="n"/>
      <c r="G1159" s="19" t="n"/>
      <c r="H1159" s="20" t="n"/>
      <c r="I1159" s="21" t="n"/>
      <c r="J1159" s="22" t="n"/>
      <c r="K1159" s="23" t="n"/>
      <c r="L1159" s="18" t="n"/>
      <c r="M1159" s="24">
        <f>IF(B1159="","",IF(AND(F1159&lt;&gt;"",G1159&lt;&gt;""),MAX(0,ROUND(MOD(G1159-F1159,1)*24-N(H1159)/60,2)),N(I1159)))</f>
        <v/>
      </c>
      <c r="N1159" s="14">
        <f>IF(B1159="","",IF(K1159&lt;&gt;"",K1159,IF(N(IFERROR(INDEX(Projects!$D$6:$D$65,MATCH(D1159,Projects!$B$6:$B$65,0)),""))&gt;0,IFERROR(INDEX(Projects!$D$6:$D$65,MATCH(D1159,Projects!$B$6:$B$65,0)),""),IFERROR(INDEX(Clients!$G$6:$G$45,MATCH(C1159,Clients!$B$6:$B$45,0)),0))))</f>
        <v/>
      </c>
      <c r="O1159" s="14">
        <f>IF(B1159="","",IF(J1159&lt;&gt;"",0,ROUND(M1159*N1159,2)))</f>
        <v/>
      </c>
      <c r="P1159" s="15">
        <f>IF(OR(B1159="",J1159&lt;&gt;""),"",IF(L1159&lt;&gt;"",L1159,IF(COUNTIFS(Invoices!$C$6:$C$305,C1159,Invoices!$E$6:$E$305,"&lt;="&amp;B1159,Invoices!$F$6:$F$305,"&gt;="&amp;B1159)=1,INDEX(Invoices!$B$6:$B$305,SUMIFS(Invoices!$O$6:$O$305,Invoices!$C$6:$C$305,C1159,Invoices!$E$6:$E$305,"&lt;="&amp;B1159,Invoices!$F$6:$F$305,"&gt;="&amp;B1159)),IF(COUNTIFS(Invoices!$C$6:$C$305,C1159,Invoices!$E$6:$E$305,"&lt;="&amp;B1159,Invoices!$F$6:$F$305,"&gt;="&amp;B1159)&gt;1,"Two invoices",""))))</f>
        <v/>
      </c>
      <c r="Q1159" s="15">
        <f>IF(B1159="","",IF(J1159&lt;&gt;"","Not billable",IF(P1159="","To invoice",IF(P1159="Two invoices","Check dates",IF(ISNA(MATCH(P1159,Invoices!$B$6:$B$305,0)),"Check number",IF(INDEX(Invoices!$M$6:$M$305,MATCH(P1159,Invoices!$B$6:$B$305,0))="Paid","Paid",IF(INDEX(Invoices!$M$6:$M$305,MATCH(P1159,Invoices!$B$6:$B$305,0))="Draft","Draft","Invoiced")))))))</f>
        <v/>
      </c>
      <c r="R1159" s="1">
        <f>IF(AND(B1159&lt;&gt;"",P1159&lt;&gt;"",P1159=Invoice!$G$4),B1159+MOD(N(F1159),1)+ROW()/10000000,"")</f>
        <v/>
      </c>
      <c r="S1159">
        <f>IF(R1159="","",IF(D1159="","Other work",D1159)&amp;IF(AND(K1159&lt;&gt;"",E1159&lt;&gt;""),", "&amp;E1159,""))</f>
        <v/>
      </c>
      <c r="T1159">
        <f>IF(R1159="","",IF(COUNTIFS(R$6:R1158,"&gt;0",S$6:S1158,S1159,N$6:N1158,N1159)=0,R1159,""))</f>
        <v/>
      </c>
      <c r="U1159">
        <f>IF(B1159="","",IF(J1159&lt;&gt;"",0,M1159))</f>
        <v/>
      </c>
    </row>
    <row r="1160">
      <c r="A1160" s="1" t="n"/>
      <c r="B1160" s="16" t="n"/>
      <c r="C1160" s="17" t="n"/>
      <c r="D1160" s="18" t="n"/>
      <c r="E1160" s="18" t="n"/>
      <c r="F1160" s="19" t="n"/>
      <c r="G1160" s="19" t="n"/>
      <c r="H1160" s="20" t="n"/>
      <c r="I1160" s="21" t="n"/>
      <c r="J1160" s="22" t="n"/>
      <c r="K1160" s="23" t="n"/>
      <c r="L1160" s="18" t="n"/>
      <c r="M1160" s="24">
        <f>IF(B1160="","",IF(AND(F1160&lt;&gt;"",G1160&lt;&gt;""),MAX(0,ROUND(MOD(G1160-F1160,1)*24-N(H1160)/60,2)),N(I1160)))</f>
        <v/>
      </c>
      <c r="N1160" s="14">
        <f>IF(B1160="","",IF(K1160&lt;&gt;"",K1160,IF(N(IFERROR(INDEX(Projects!$D$6:$D$65,MATCH(D1160,Projects!$B$6:$B$65,0)),""))&gt;0,IFERROR(INDEX(Projects!$D$6:$D$65,MATCH(D1160,Projects!$B$6:$B$65,0)),""),IFERROR(INDEX(Clients!$G$6:$G$45,MATCH(C1160,Clients!$B$6:$B$45,0)),0))))</f>
        <v/>
      </c>
      <c r="O1160" s="14">
        <f>IF(B1160="","",IF(J1160&lt;&gt;"",0,ROUND(M1160*N1160,2)))</f>
        <v/>
      </c>
      <c r="P1160" s="15">
        <f>IF(OR(B1160="",J1160&lt;&gt;""),"",IF(L1160&lt;&gt;"",L1160,IF(COUNTIFS(Invoices!$C$6:$C$305,C1160,Invoices!$E$6:$E$305,"&lt;="&amp;B1160,Invoices!$F$6:$F$305,"&gt;="&amp;B1160)=1,INDEX(Invoices!$B$6:$B$305,SUMIFS(Invoices!$O$6:$O$305,Invoices!$C$6:$C$305,C1160,Invoices!$E$6:$E$305,"&lt;="&amp;B1160,Invoices!$F$6:$F$305,"&gt;="&amp;B1160)),IF(COUNTIFS(Invoices!$C$6:$C$305,C1160,Invoices!$E$6:$E$305,"&lt;="&amp;B1160,Invoices!$F$6:$F$305,"&gt;="&amp;B1160)&gt;1,"Two invoices",""))))</f>
        <v/>
      </c>
      <c r="Q1160" s="15">
        <f>IF(B1160="","",IF(J1160&lt;&gt;"","Not billable",IF(P1160="","To invoice",IF(P1160="Two invoices","Check dates",IF(ISNA(MATCH(P1160,Invoices!$B$6:$B$305,0)),"Check number",IF(INDEX(Invoices!$M$6:$M$305,MATCH(P1160,Invoices!$B$6:$B$305,0))="Paid","Paid",IF(INDEX(Invoices!$M$6:$M$305,MATCH(P1160,Invoices!$B$6:$B$305,0))="Draft","Draft","Invoiced")))))))</f>
        <v/>
      </c>
      <c r="R1160" s="1">
        <f>IF(AND(B1160&lt;&gt;"",P1160&lt;&gt;"",P1160=Invoice!$G$4),B1160+MOD(N(F1160),1)+ROW()/10000000,"")</f>
        <v/>
      </c>
      <c r="S1160">
        <f>IF(R1160="","",IF(D1160="","Other work",D1160)&amp;IF(AND(K1160&lt;&gt;"",E1160&lt;&gt;""),", "&amp;E1160,""))</f>
        <v/>
      </c>
      <c r="T1160">
        <f>IF(R1160="","",IF(COUNTIFS(R$6:R1159,"&gt;0",S$6:S1159,S1160,N$6:N1159,N1160)=0,R1160,""))</f>
        <v/>
      </c>
      <c r="U1160">
        <f>IF(B1160="","",IF(J1160&lt;&gt;"",0,M1160))</f>
        <v/>
      </c>
    </row>
    <row r="1161">
      <c r="A1161" s="1" t="n"/>
      <c r="B1161" s="16" t="n"/>
      <c r="C1161" s="17" t="n"/>
      <c r="D1161" s="18" t="n"/>
      <c r="E1161" s="18" t="n"/>
      <c r="F1161" s="19" t="n"/>
      <c r="G1161" s="19" t="n"/>
      <c r="H1161" s="20" t="n"/>
      <c r="I1161" s="21" t="n"/>
      <c r="J1161" s="22" t="n"/>
      <c r="K1161" s="23" t="n"/>
      <c r="L1161" s="18" t="n"/>
      <c r="M1161" s="24">
        <f>IF(B1161="","",IF(AND(F1161&lt;&gt;"",G1161&lt;&gt;""),MAX(0,ROUND(MOD(G1161-F1161,1)*24-N(H1161)/60,2)),N(I1161)))</f>
        <v/>
      </c>
      <c r="N1161" s="14">
        <f>IF(B1161="","",IF(K1161&lt;&gt;"",K1161,IF(N(IFERROR(INDEX(Projects!$D$6:$D$65,MATCH(D1161,Projects!$B$6:$B$65,0)),""))&gt;0,IFERROR(INDEX(Projects!$D$6:$D$65,MATCH(D1161,Projects!$B$6:$B$65,0)),""),IFERROR(INDEX(Clients!$G$6:$G$45,MATCH(C1161,Clients!$B$6:$B$45,0)),0))))</f>
        <v/>
      </c>
      <c r="O1161" s="14">
        <f>IF(B1161="","",IF(J1161&lt;&gt;"",0,ROUND(M1161*N1161,2)))</f>
        <v/>
      </c>
      <c r="P1161" s="15">
        <f>IF(OR(B1161="",J1161&lt;&gt;""),"",IF(L1161&lt;&gt;"",L1161,IF(COUNTIFS(Invoices!$C$6:$C$305,C1161,Invoices!$E$6:$E$305,"&lt;="&amp;B1161,Invoices!$F$6:$F$305,"&gt;="&amp;B1161)=1,INDEX(Invoices!$B$6:$B$305,SUMIFS(Invoices!$O$6:$O$305,Invoices!$C$6:$C$305,C1161,Invoices!$E$6:$E$305,"&lt;="&amp;B1161,Invoices!$F$6:$F$305,"&gt;="&amp;B1161)),IF(COUNTIFS(Invoices!$C$6:$C$305,C1161,Invoices!$E$6:$E$305,"&lt;="&amp;B1161,Invoices!$F$6:$F$305,"&gt;="&amp;B1161)&gt;1,"Two invoices",""))))</f>
        <v/>
      </c>
      <c r="Q1161" s="15">
        <f>IF(B1161="","",IF(J1161&lt;&gt;"","Not billable",IF(P1161="","To invoice",IF(P1161="Two invoices","Check dates",IF(ISNA(MATCH(P1161,Invoices!$B$6:$B$305,0)),"Check number",IF(INDEX(Invoices!$M$6:$M$305,MATCH(P1161,Invoices!$B$6:$B$305,0))="Paid","Paid",IF(INDEX(Invoices!$M$6:$M$305,MATCH(P1161,Invoices!$B$6:$B$305,0))="Draft","Draft","Invoiced")))))))</f>
        <v/>
      </c>
      <c r="R1161" s="1">
        <f>IF(AND(B1161&lt;&gt;"",P1161&lt;&gt;"",P1161=Invoice!$G$4),B1161+MOD(N(F1161),1)+ROW()/10000000,"")</f>
        <v/>
      </c>
      <c r="S1161">
        <f>IF(R1161="","",IF(D1161="","Other work",D1161)&amp;IF(AND(K1161&lt;&gt;"",E1161&lt;&gt;""),", "&amp;E1161,""))</f>
        <v/>
      </c>
      <c r="T1161">
        <f>IF(R1161="","",IF(COUNTIFS(R$6:R1160,"&gt;0",S$6:S1160,S1161,N$6:N1160,N1161)=0,R1161,""))</f>
        <v/>
      </c>
      <c r="U1161">
        <f>IF(B1161="","",IF(J1161&lt;&gt;"",0,M1161))</f>
        <v/>
      </c>
    </row>
    <row r="1162">
      <c r="A1162" s="1" t="n"/>
      <c r="B1162" s="16" t="n"/>
      <c r="C1162" s="17" t="n"/>
      <c r="D1162" s="18" t="n"/>
      <c r="E1162" s="18" t="n"/>
      <c r="F1162" s="19" t="n"/>
      <c r="G1162" s="19" t="n"/>
      <c r="H1162" s="20" t="n"/>
      <c r="I1162" s="21" t="n"/>
      <c r="J1162" s="22" t="n"/>
      <c r="K1162" s="23" t="n"/>
      <c r="L1162" s="18" t="n"/>
      <c r="M1162" s="24">
        <f>IF(B1162="","",IF(AND(F1162&lt;&gt;"",G1162&lt;&gt;""),MAX(0,ROUND(MOD(G1162-F1162,1)*24-N(H1162)/60,2)),N(I1162)))</f>
        <v/>
      </c>
      <c r="N1162" s="14">
        <f>IF(B1162="","",IF(K1162&lt;&gt;"",K1162,IF(N(IFERROR(INDEX(Projects!$D$6:$D$65,MATCH(D1162,Projects!$B$6:$B$65,0)),""))&gt;0,IFERROR(INDEX(Projects!$D$6:$D$65,MATCH(D1162,Projects!$B$6:$B$65,0)),""),IFERROR(INDEX(Clients!$G$6:$G$45,MATCH(C1162,Clients!$B$6:$B$45,0)),0))))</f>
        <v/>
      </c>
      <c r="O1162" s="14">
        <f>IF(B1162="","",IF(J1162&lt;&gt;"",0,ROUND(M1162*N1162,2)))</f>
        <v/>
      </c>
      <c r="P1162" s="15">
        <f>IF(OR(B1162="",J1162&lt;&gt;""),"",IF(L1162&lt;&gt;"",L1162,IF(COUNTIFS(Invoices!$C$6:$C$305,C1162,Invoices!$E$6:$E$305,"&lt;="&amp;B1162,Invoices!$F$6:$F$305,"&gt;="&amp;B1162)=1,INDEX(Invoices!$B$6:$B$305,SUMIFS(Invoices!$O$6:$O$305,Invoices!$C$6:$C$305,C1162,Invoices!$E$6:$E$305,"&lt;="&amp;B1162,Invoices!$F$6:$F$305,"&gt;="&amp;B1162)),IF(COUNTIFS(Invoices!$C$6:$C$305,C1162,Invoices!$E$6:$E$305,"&lt;="&amp;B1162,Invoices!$F$6:$F$305,"&gt;="&amp;B1162)&gt;1,"Two invoices",""))))</f>
        <v/>
      </c>
      <c r="Q1162" s="15">
        <f>IF(B1162="","",IF(J1162&lt;&gt;"","Not billable",IF(P1162="","To invoice",IF(P1162="Two invoices","Check dates",IF(ISNA(MATCH(P1162,Invoices!$B$6:$B$305,0)),"Check number",IF(INDEX(Invoices!$M$6:$M$305,MATCH(P1162,Invoices!$B$6:$B$305,0))="Paid","Paid",IF(INDEX(Invoices!$M$6:$M$305,MATCH(P1162,Invoices!$B$6:$B$305,0))="Draft","Draft","Invoiced")))))))</f>
        <v/>
      </c>
      <c r="R1162" s="1">
        <f>IF(AND(B1162&lt;&gt;"",P1162&lt;&gt;"",P1162=Invoice!$G$4),B1162+MOD(N(F1162),1)+ROW()/10000000,"")</f>
        <v/>
      </c>
      <c r="S1162">
        <f>IF(R1162="","",IF(D1162="","Other work",D1162)&amp;IF(AND(K1162&lt;&gt;"",E1162&lt;&gt;""),", "&amp;E1162,""))</f>
        <v/>
      </c>
      <c r="T1162">
        <f>IF(R1162="","",IF(COUNTIFS(R$6:R1161,"&gt;0",S$6:S1161,S1162,N$6:N1161,N1162)=0,R1162,""))</f>
        <v/>
      </c>
      <c r="U1162">
        <f>IF(B1162="","",IF(J1162&lt;&gt;"",0,M1162))</f>
        <v/>
      </c>
    </row>
    <row r="1163">
      <c r="A1163" s="1" t="n"/>
      <c r="B1163" s="16" t="n"/>
      <c r="C1163" s="17" t="n"/>
      <c r="D1163" s="18" t="n"/>
      <c r="E1163" s="18" t="n"/>
      <c r="F1163" s="19" t="n"/>
      <c r="G1163" s="19" t="n"/>
      <c r="H1163" s="20" t="n"/>
      <c r="I1163" s="21" t="n"/>
      <c r="J1163" s="22" t="n"/>
      <c r="K1163" s="23" t="n"/>
      <c r="L1163" s="18" t="n"/>
      <c r="M1163" s="24">
        <f>IF(B1163="","",IF(AND(F1163&lt;&gt;"",G1163&lt;&gt;""),MAX(0,ROUND(MOD(G1163-F1163,1)*24-N(H1163)/60,2)),N(I1163)))</f>
        <v/>
      </c>
      <c r="N1163" s="14">
        <f>IF(B1163="","",IF(K1163&lt;&gt;"",K1163,IF(N(IFERROR(INDEX(Projects!$D$6:$D$65,MATCH(D1163,Projects!$B$6:$B$65,0)),""))&gt;0,IFERROR(INDEX(Projects!$D$6:$D$65,MATCH(D1163,Projects!$B$6:$B$65,0)),""),IFERROR(INDEX(Clients!$G$6:$G$45,MATCH(C1163,Clients!$B$6:$B$45,0)),0))))</f>
        <v/>
      </c>
      <c r="O1163" s="14">
        <f>IF(B1163="","",IF(J1163&lt;&gt;"",0,ROUND(M1163*N1163,2)))</f>
        <v/>
      </c>
      <c r="P1163" s="15">
        <f>IF(OR(B1163="",J1163&lt;&gt;""),"",IF(L1163&lt;&gt;"",L1163,IF(COUNTIFS(Invoices!$C$6:$C$305,C1163,Invoices!$E$6:$E$305,"&lt;="&amp;B1163,Invoices!$F$6:$F$305,"&gt;="&amp;B1163)=1,INDEX(Invoices!$B$6:$B$305,SUMIFS(Invoices!$O$6:$O$305,Invoices!$C$6:$C$305,C1163,Invoices!$E$6:$E$305,"&lt;="&amp;B1163,Invoices!$F$6:$F$305,"&gt;="&amp;B1163)),IF(COUNTIFS(Invoices!$C$6:$C$305,C1163,Invoices!$E$6:$E$305,"&lt;="&amp;B1163,Invoices!$F$6:$F$305,"&gt;="&amp;B1163)&gt;1,"Two invoices",""))))</f>
        <v/>
      </c>
      <c r="Q1163" s="15">
        <f>IF(B1163="","",IF(J1163&lt;&gt;"","Not billable",IF(P1163="","To invoice",IF(P1163="Two invoices","Check dates",IF(ISNA(MATCH(P1163,Invoices!$B$6:$B$305,0)),"Check number",IF(INDEX(Invoices!$M$6:$M$305,MATCH(P1163,Invoices!$B$6:$B$305,0))="Paid","Paid",IF(INDEX(Invoices!$M$6:$M$305,MATCH(P1163,Invoices!$B$6:$B$305,0))="Draft","Draft","Invoiced")))))))</f>
        <v/>
      </c>
      <c r="R1163" s="1">
        <f>IF(AND(B1163&lt;&gt;"",P1163&lt;&gt;"",P1163=Invoice!$G$4),B1163+MOD(N(F1163),1)+ROW()/10000000,"")</f>
        <v/>
      </c>
      <c r="S1163">
        <f>IF(R1163="","",IF(D1163="","Other work",D1163)&amp;IF(AND(K1163&lt;&gt;"",E1163&lt;&gt;""),", "&amp;E1163,""))</f>
        <v/>
      </c>
      <c r="T1163">
        <f>IF(R1163="","",IF(COUNTIFS(R$6:R1162,"&gt;0",S$6:S1162,S1163,N$6:N1162,N1163)=0,R1163,""))</f>
        <v/>
      </c>
      <c r="U1163">
        <f>IF(B1163="","",IF(J1163&lt;&gt;"",0,M1163))</f>
        <v/>
      </c>
    </row>
    <row r="1164">
      <c r="A1164" s="1" t="n"/>
      <c r="B1164" s="16" t="n"/>
      <c r="C1164" s="17" t="n"/>
      <c r="D1164" s="18" t="n"/>
      <c r="E1164" s="18" t="n"/>
      <c r="F1164" s="19" t="n"/>
      <c r="G1164" s="19" t="n"/>
      <c r="H1164" s="20" t="n"/>
      <c r="I1164" s="21" t="n"/>
      <c r="J1164" s="22" t="n"/>
      <c r="K1164" s="23" t="n"/>
      <c r="L1164" s="18" t="n"/>
      <c r="M1164" s="24">
        <f>IF(B1164="","",IF(AND(F1164&lt;&gt;"",G1164&lt;&gt;""),MAX(0,ROUND(MOD(G1164-F1164,1)*24-N(H1164)/60,2)),N(I1164)))</f>
        <v/>
      </c>
      <c r="N1164" s="14">
        <f>IF(B1164="","",IF(K1164&lt;&gt;"",K1164,IF(N(IFERROR(INDEX(Projects!$D$6:$D$65,MATCH(D1164,Projects!$B$6:$B$65,0)),""))&gt;0,IFERROR(INDEX(Projects!$D$6:$D$65,MATCH(D1164,Projects!$B$6:$B$65,0)),""),IFERROR(INDEX(Clients!$G$6:$G$45,MATCH(C1164,Clients!$B$6:$B$45,0)),0))))</f>
        <v/>
      </c>
      <c r="O1164" s="14">
        <f>IF(B1164="","",IF(J1164&lt;&gt;"",0,ROUND(M1164*N1164,2)))</f>
        <v/>
      </c>
      <c r="P1164" s="15">
        <f>IF(OR(B1164="",J1164&lt;&gt;""),"",IF(L1164&lt;&gt;"",L1164,IF(COUNTIFS(Invoices!$C$6:$C$305,C1164,Invoices!$E$6:$E$305,"&lt;="&amp;B1164,Invoices!$F$6:$F$305,"&gt;="&amp;B1164)=1,INDEX(Invoices!$B$6:$B$305,SUMIFS(Invoices!$O$6:$O$305,Invoices!$C$6:$C$305,C1164,Invoices!$E$6:$E$305,"&lt;="&amp;B1164,Invoices!$F$6:$F$305,"&gt;="&amp;B1164)),IF(COUNTIFS(Invoices!$C$6:$C$305,C1164,Invoices!$E$6:$E$305,"&lt;="&amp;B1164,Invoices!$F$6:$F$305,"&gt;="&amp;B1164)&gt;1,"Two invoices",""))))</f>
        <v/>
      </c>
      <c r="Q1164" s="15">
        <f>IF(B1164="","",IF(J1164&lt;&gt;"","Not billable",IF(P1164="","To invoice",IF(P1164="Two invoices","Check dates",IF(ISNA(MATCH(P1164,Invoices!$B$6:$B$305,0)),"Check number",IF(INDEX(Invoices!$M$6:$M$305,MATCH(P1164,Invoices!$B$6:$B$305,0))="Paid","Paid",IF(INDEX(Invoices!$M$6:$M$305,MATCH(P1164,Invoices!$B$6:$B$305,0))="Draft","Draft","Invoiced")))))))</f>
        <v/>
      </c>
      <c r="R1164" s="1">
        <f>IF(AND(B1164&lt;&gt;"",P1164&lt;&gt;"",P1164=Invoice!$G$4),B1164+MOD(N(F1164),1)+ROW()/10000000,"")</f>
        <v/>
      </c>
      <c r="S1164">
        <f>IF(R1164="","",IF(D1164="","Other work",D1164)&amp;IF(AND(K1164&lt;&gt;"",E1164&lt;&gt;""),", "&amp;E1164,""))</f>
        <v/>
      </c>
      <c r="T1164">
        <f>IF(R1164="","",IF(COUNTIFS(R$6:R1163,"&gt;0",S$6:S1163,S1164,N$6:N1163,N1164)=0,R1164,""))</f>
        <v/>
      </c>
      <c r="U1164">
        <f>IF(B1164="","",IF(J1164&lt;&gt;"",0,M1164))</f>
        <v/>
      </c>
    </row>
    <row r="1165">
      <c r="A1165" s="1" t="n"/>
      <c r="B1165" s="16" t="n"/>
      <c r="C1165" s="17" t="n"/>
      <c r="D1165" s="18" t="n"/>
      <c r="E1165" s="18" t="n"/>
      <c r="F1165" s="19" t="n"/>
      <c r="G1165" s="19" t="n"/>
      <c r="H1165" s="20" t="n"/>
      <c r="I1165" s="21" t="n"/>
      <c r="J1165" s="22" t="n"/>
      <c r="K1165" s="23" t="n"/>
      <c r="L1165" s="18" t="n"/>
      <c r="M1165" s="24">
        <f>IF(B1165="","",IF(AND(F1165&lt;&gt;"",G1165&lt;&gt;""),MAX(0,ROUND(MOD(G1165-F1165,1)*24-N(H1165)/60,2)),N(I1165)))</f>
        <v/>
      </c>
      <c r="N1165" s="14">
        <f>IF(B1165="","",IF(K1165&lt;&gt;"",K1165,IF(N(IFERROR(INDEX(Projects!$D$6:$D$65,MATCH(D1165,Projects!$B$6:$B$65,0)),""))&gt;0,IFERROR(INDEX(Projects!$D$6:$D$65,MATCH(D1165,Projects!$B$6:$B$65,0)),""),IFERROR(INDEX(Clients!$G$6:$G$45,MATCH(C1165,Clients!$B$6:$B$45,0)),0))))</f>
        <v/>
      </c>
      <c r="O1165" s="14">
        <f>IF(B1165="","",IF(J1165&lt;&gt;"",0,ROUND(M1165*N1165,2)))</f>
        <v/>
      </c>
      <c r="P1165" s="15">
        <f>IF(OR(B1165="",J1165&lt;&gt;""),"",IF(L1165&lt;&gt;"",L1165,IF(COUNTIFS(Invoices!$C$6:$C$305,C1165,Invoices!$E$6:$E$305,"&lt;="&amp;B1165,Invoices!$F$6:$F$305,"&gt;="&amp;B1165)=1,INDEX(Invoices!$B$6:$B$305,SUMIFS(Invoices!$O$6:$O$305,Invoices!$C$6:$C$305,C1165,Invoices!$E$6:$E$305,"&lt;="&amp;B1165,Invoices!$F$6:$F$305,"&gt;="&amp;B1165)),IF(COUNTIFS(Invoices!$C$6:$C$305,C1165,Invoices!$E$6:$E$305,"&lt;="&amp;B1165,Invoices!$F$6:$F$305,"&gt;="&amp;B1165)&gt;1,"Two invoices",""))))</f>
        <v/>
      </c>
      <c r="Q1165" s="15">
        <f>IF(B1165="","",IF(J1165&lt;&gt;"","Not billable",IF(P1165="","To invoice",IF(P1165="Two invoices","Check dates",IF(ISNA(MATCH(P1165,Invoices!$B$6:$B$305,0)),"Check number",IF(INDEX(Invoices!$M$6:$M$305,MATCH(P1165,Invoices!$B$6:$B$305,0))="Paid","Paid",IF(INDEX(Invoices!$M$6:$M$305,MATCH(P1165,Invoices!$B$6:$B$305,0))="Draft","Draft","Invoiced")))))))</f>
        <v/>
      </c>
      <c r="R1165" s="1">
        <f>IF(AND(B1165&lt;&gt;"",P1165&lt;&gt;"",P1165=Invoice!$G$4),B1165+MOD(N(F1165),1)+ROW()/10000000,"")</f>
        <v/>
      </c>
      <c r="S1165">
        <f>IF(R1165="","",IF(D1165="","Other work",D1165)&amp;IF(AND(K1165&lt;&gt;"",E1165&lt;&gt;""),", "&amp;E1165,""))</f>
        <v/>
      </c>
      <c r="T1165">
        <f>IF(R1165="","",IF(COUNTIFS(R$6:R1164,"&gt;0",S$6:S1164,S1165,N$6:N1164,N1165)=0,R1165,""))</f>
        <v/>
      </c>
      <c r="U1165">
        <f>IF(B1165="","",IF(J1165&lt;&gt;"",0,M1165))</f>
        <v/>
      </c>
    </row>
    <row r="1166">
      <c r="A1166" s="1" t="n"/>
      <c r="B1166" s="16" t="n"/>
      <c r="C1166" s="17" t="n"/>
      <c r="D1166" s="18" t="n"/>
      <c r="E1166" s="18" t="n"/>
      <c r="F1166" s="19" t="n"/>
      <c r="G1166" s="19" t="n"/>
      <c r="H1166" s="20" t="n"/>
      <c r="I1166" s="21" t="n"/>
      <c r="J1166" s="22" t="n"/>
      <c r="K1166" s="23" t="n"/>
      <c r="L1166" s="18" t="n"/>
      <c r="M1166" s="24">
        <f>IF(B1166="","",IF(AND(F1166&lt;&gt;"",G1166&lt;&gt;""),MAX(0,ROUND(MOD(G1166-F1166,1)*24-N(H1166)/60,2)),N(I1166)))</f>
        <v/>
      </c>
      <c r="N1166" s="14">
        <f>IF(B1166="","",IF(K1166&lt;&gt;"",K1166,IF(N(IFERROR(INDEX(Projects!$D$6:$D$65,MATCH(D1166,Projects!$B$6:$B$65,0)),""))&gt;0,IFERROR(INDEX(Projects!$D$6:$D$65,MATCH(D1166,Projects!$B$6:$B$65,0)),""),IFERROR(INDEX(Clients!$G$6:$G$45,MATCH(C1166,Clients!$B$6:$B$45,0)),0))))</f>
        <v/>
      </c>
      <c r="O1166" s="14">
        <f>IF(B1166="","",IF(J1166&lt;&gt;"",0,ROUND(M1166*N1166,2)))</f>
        <v/>
      </c>
      <c r="P1166" s="15">
        <f>IF(OR(B1166="",J1166&lt;&gt;""),"",IF(L1166&lt;&gt;"",L1166,IF(COUNTIFS(Invoices!$C$6:$C$305,C1166,Invoices!$E$6:$E$305,"&lt;="&amp;B1166,Invoices!$F$6:$F$305,"&gt;="&amp;B1166)=1,INDEX(Invoices!$B$6:$B$305,SUMIFS(Invoices!$O$6:$O$305,Invoices!$C$6:$C$305,C1166,Invoices!$E$6:$E$305,"&lt;="&amp;B1166,Invoices!$F$6:$F$305,"&gt;="&amp;B1166)),IF(COUNTIFS(Invoices!$C$6:$C$305,C1166,Invoices!$E$6:$E$305,"&lt;="&amp;B1166,Invoices!$F$6:$F$305,"&gt;="&amp;B1166)&gt;1,"Two invoices",""))))</f>
        <v/>
      </c>
      <c r="Q1166" s="15">
        <f>IF(B1166="","",IF(J1166&lt;&gt;"","Not billable",IF(P1166="","To invoice",IF(P1166="Two invoices","Check dates",IF(ISNA(MATCH(P1166,Invoices!$B$6:$B$305,0)),"Check number",IF(INDEX(Invoices!$M$6:$M$305,MATCH(P1166,Invoices!$B$6:$B$305,0))="Paid","Paid",IF(INDEX(Invoices!$M$6:$M$305,MATCH(P1166,Invoices!$B$6:$B$305,0))="Draft","Draft","Invoiced")))))))</f>
        <v/>
      </c>
      <c r="R1166" s="1">
        <f>IF(AND(B1166&lt;&gt;"",P1166&lt;&gt;"",P1166=Invoice!$G$4),B1166+MOD(N(F1166),1)+ROW()/10000000,"")</f>
        <v/>
      </c>
      <c r="S1166">
        <f>IF(R1166="","",IF(D1166="","Other work",D1166)&amp;IF(AND(K1166&lt;&gt;"",E1166&lt;&gt;""),", "&amp;E1166,""))</f>
        <v/>
      </c>
      <c r="T1166">
        <f>IF(R1166="","",IF(COUNTIFS(R$6:R1165,"&gt;0",S$6:S1165,S1166,N$6:N1165,N1166)=0,R1166,""))</f>
        <v/>
      </c>
      <c r="U1166">
        <f>IF(B1166="","",IF(J1166&lt;&gt;"",0,M1166))</f>
        <v/>
      </c>
    </row>
    <row r="1167">
      <c r="A1167" s="1" t="n"/>
      <c r="B1167" s="16" t="n"/>
      <c r="C1167" s="17" t="n"/>
      <c r="D1167" s="18" t="n"/>
      <c r="E1167" s="18" t="n"/>
      <c r="F1167" s="19" t="n"/>
      <c r="G1167" s="19" t="n"/>
      <c r="H1167" s="20" t="n"/>
      <c r="I1167" s="21" t="n"/>
      <c r="J1167" s="22" t="n"/>
      <c r="K1167" s="23" t="n"/>
      <c r="L1167" s="18" t="n"/>
      <c r="M1167" s="24">
        <f>IF(B1167="","",IF(AND(F1167&lt;&gt;"",G1167&lt;&gt;""),MAX(0,ROUND(MOD(G1167-F1167,1)*24-N(H1167)/60,2)),N(I1167)))</f>
        <v/>
      </c>
      <c r="N1167" s="14">
        <f>IF(B1167="","",IF(K1167&lt;&gt;"",K1167,IF(N(IFERROR(INDEX(Projects!$D$6:$D$65,MATCH(D1167,Projects!$B$6:$B$65,0)),""))&gt;0,IFERROR(INDEX(Projects!$D$6:$D$65,MATCH(D1167,Projects!$B$6:$B$65,0)),""),IFERROR(INDEX(Clients!$G$6:$G$45,MATCH(C1167,Clients!$B$6:$B$45,0)),0))))</f>
        <v/>
      </c>
      <c r="O1167" s="14">
        <f>IF(B1167="","",IF(J1167&lt;&gt;"",0,ROUND(M1167*N1167,2)))</f>
        <v/>
      </c>
      <c r="P1167" s="15">
        <f>IF(OR(B1167="",J1167&lt;&gt;""),"",IF(L1167&lt;&gt;"",L1167,IF(COUNTIFS(Invoices!$C$6:$C$305,C1167,Invoices!$E$6:$E$305,"&lt;="&amp;B1167,Invoices!$F$6:$F$305,"&gt;="&amp;B1167)=1,INDEX(Invoices!$B$6:$B$305,SUMIFS(Invoices!$O$6:$O$305,Invoices!$C$6:$C$305,C1167,Invoices!$E$6:$E$305,"&lt;="&amp;B1167,Invoices!$F$6:$F$305,"&gt;="&amp;B1167)),IF(COUNTIFS(Invoices!$C$6:$C$305,C1167,Invoices!$E$6:$E$305,"&lt;="&amp;B1167,Invoices!$F$6:$F$305,"&gt;="&amp;B1167)&gt;1,"Two invoices",""))))</f>
        <v/>
      </c>
      <c r="Q1167" s="15">
        <f>IF(B1167="","",IF(J1167&lt;&gt;"","Not billable",IF(P1167="","To invoice",IF(P1167="Two invoices","Check dates",IF(ISNA(MATCH(P1167,Invoices!$B$6:$B$305,0)),"Check number",IF(INDEX(Invoices!$M$6:$M$305,MATCH(P1167,Invoices!$B$6:$B$305,0))="Paid","Paid",IF(INDEX(Invoices!$M$6:$M$305,MATCH(P1167,Invoices!$B$6:$B$305,0))="Draft","Draft","Invoiced")))))))</f>
        <v/>
      </c>
      <c r="R1167" s="1">
        <f>IF(AND(B1167&lt;&gt;"",P1167&lt;&gt;"",P1167=Invoice!$G$4),B1167+MOD(N(F1167),1)+ROW()/10000000,"")</f>
        <v/>
      </c>
      <c r="S1167">
        <f>IF(R1167="","",IF(D1167="","Other work",D1167)&amp;IF(AND(K1167&lt;&gt;"",E1167&lt;&gt;""),", "&amp;E1167,""))</f>
        <v/>
      </c>
      <c r="T1167">
        <f>IF(R1167="","",IF(COUNTIFS(R$6:R1166,"&gt;0",S$6:S1166,S1167,N$6:N1166,N1167)=0,R1167,""))</f>
        <v/>
      </c>
      <c r="U1167">
        <f>IF(B1167="","",IF(J1167&lt;&gt;"",0,M1167))</f>
        <v/>
      </c>
    </row>
    <row r="1168">
      <c r="A1168" s="1" t="n"/>
      <c r="B1168" s="16" t="n"/>
      <c r="C1168" s="17" t="n"/>
      <c r="D1168" s="18" t="n"/>
      <c r="E1168" s="18" t="n"/>
      <c r="F1168" s="19" t="n"/>
      <c r="G1168" s="19" t="n"/>
      <c r="H1168" s="20" t="n"/>
      <c r="I1168" s="21" t="n"/>
      <c r="J1168" s="22" t="n"/>
      <c r="K1168" s="23" t="n"/>
      <c r="L1168" s="18" t="n"/>
      <c r="M1168" s="24">
        <f>IF(B1168="","",IF(AND(F1168&lt;&gt;"",G1168&lt;&gt;""),MAX(0,ROUND(MOD(G1168-F1168,1)*24-N(H1168)/60,2)),N(I1168)))</f>
        <v/>
      </c>
      <c r="N1168" s="14">
        <f>IF(B1168="","",IF(K1168&lt;&gt;"",K1168,IF(N(IFERROR(INDEX(Projects!$D$6:$D$65,MATCH(D1168,Projects!$B$6:$B$65,0)),""))&gt;0,IFERROR(INDEX(Projects!$D$6:$D$65,MATCH(D1168,Projects!$B$6:$B$65,0)),""),IFERROR(INDEX(Clients!$G$6:$G$45,MATCH(C1168,Clients!$B$6:$B$45,0)),0))))</f>
        <v/>
      </c>
      <c r="O1168" s="14">
        <f>IF(B1168="","",IF(J1168&lt;&gt;"",0,ROUND(M1168*N1168,2)))</f>
        <v/>
      </c>
      <c r="P1168" s="15">
        <f>IF(OR(B1168="",J1168&lt;&gt;""),"",IF(L1168&lt;&gt;"",L1168,IF(COUNTIFS(Invoices!$C$6:$C$305,C1168,Invoices!$E$6:$E$305,"&lt;="&amp;B1168,Invoices!$F$6:$F$305,"&gt;="&amp;B1168)=1,INDEX(Invoices!$B$6:$B$305,SUMIFS(Invoices!$O$6:$O$305,Invoices!$C$6:$C$305,C1168,Invoices!$E$6:$E$305,"&lt;="&amp;B1168,Invoices!$F$6:$F$305,"&gt;="&amp;B1168)),IF(COUNTIFS(Invoices!$C$6:$C$305,C1168,Invoices!$E$6:$E$305,"&lt;="&amp;B1168,Invoices!$F$6:$F$305,"&gt;="&amp;B1168)&gt;1,"Two invoices",""))))</f>
        <v/>
      </c>
      <c r="Q1168" s="15">
        <f>IF(B1168="","",IF(J1168&lt;&gt;"","Not billable",IF(P1168="","To invoice",IF(P1168="Two invoices","Check dates",IF(ISNA(MATCH(P1168,Invoices!$B$6:$B$305,0)),"Check number",IF(INDEX(Invoices!$M$6:$M$305,MATCH(P1168,Invoices!$B$6:$B$305,0))="Paid","Paid",IF(INDEX(Invoices!$M$6:$M$305,MATCH(P1168,Invoices!$B$6:$B$305,0))="Draft","Draft","Invoiced")))))))</f>
        <v/>
      </c>
      <c r="R1168" s="1">
        <f>IF(AND(B1168&lt;&gt;"",P1168&lt;&gt;"",P1168=Invoice!$G$4),B1168+MOD(N(F1168),1)+ROW()/10000000,"")</f>
        <v/>
      </c>
      <c r="S1168">
        <f>IF(R1168="","",IF(D1168="","Other work",D1168)&amp;IF(AND(K1168&lt;&gt;"",E1168&lt;&gt;""),", "&amp;E1168,""))</f>
        <v/>
      </c>
      <c r="T1168">
        <f>IF(R1168="","",IF(COUNTIFS(R$6:R1167,"&gt;0",S$6:S1167,S1168,N$6:N1167,N1168)=0,R1168,""))</f>
        <v/>
      </c>
      <c r="U1168">
        <f>IF(B1168="","",IF(J1168&lt;&gt;"",0,M1168))</f>
        <v/>
      </c>
    </row>
    <row r="1169">
      <c r="A1169" s="1" t="n"/>
      <c r="B1169" s="16" t="n"/>
      <c r="C1169" s="17" t="n"/>
      <c r="D1169" s="18" t="n"/>
      <c r="E1169" s="18" t="n"/>
      <c r="F1169" s="19" t="n"/>
      <c r="G1169" s="19" t="n"/>
      <c r="H1169" s="20" t="n"/>
      <c r="I1169" s="21" t="n"/>
      <c r="J1169" s="22" t="n"/>
      <c r="K1169" s="23" t="n"/>
      <c r="L1169" s="18" t="n"/>
      <c r="M1169" s="24">
        <f>IF(B1169="","",IF(AND(F1169&lt;&gt;"",G1169&lt;&gt;""),MAX(0,ROUND(MOD(G1169-F1169,1)*24-N(H1169)/60,2)),N(I1169)))</f>
        <v/>
      </c>
      <c r="N1169" s="14">
        <f>IF(B1169="","",IF(K1169&lt;&gt;"",K1169,IF(N(IFERROR(INDEX(Projects!$D$6:$D$65,MATCH(D1169,Projects!$B$6:$B$65,0)),""))&gt;0,IFERROR(INDEX(Projects!$D$6:$D$65,MATCH(D1169,Projects!$B$6:$B$65,0)),""),IFERROR(INDEX(Clients!$G$6:$G$45,MATCH(C1169,Clients!$B$6:$B$45,0)),0))))</f>
        <v/>
      </c>
      <c r="O1169" s="14">
        <f>IF(B1169="","",IF(J1169&lt;&gt;"",0,ROUND(M1169*N1169,2)))</f>
        <v/>
      </c>
      <c r="P1169" s="15">
        <f>IF(OR(B1169="",J1169&lt;&gt;""),"",IF(L1169&lt;&gt;"",L1169,IF(COUNTIFS(Invoices!$C$6:$C$305,C1169,Invoices!$E$6:$E$305,"&lt;="&amp;B1169,Invoices!$F$6:$F$305,"&gt;="&amp;B1169)=1,INDEX(Invoices!$B$6:$B$305,SUMIFS(Invoices!$O$6:$O$305,Invoices!$C$6:$C$305,C1169,Invoices!$E$6:$E$305,"&lt;="&amp;B1169,Invoices!$F$6:$F$305,"&gt;="&amp;B1169)),IF(COUNTIFS(Invoices!$C$6:$C$305,C1169,Invoices!$E$6:$E$305,"&lt;="&amp;B1169,Invoices!$F$6:$F$305,"&gt;="&amp;B1169)&gt;1,"Two invoices",""))))</f>
        <v/>
      </c>
      <c r="Q1169" s="15">
        <f>IF(B1169="","",IF(J1169&lt;&gt;"","Not billable",IF(P1169="","To invoice",IF(P1169="Two invoices","Check dates",IF(ISNA(MATCH(P1169,Invoices!$B$6:$B$305,0)),"Check number",IF(INDEX(Invoices!$M$6:$M$305,MATCH(P1169,Invoices!$B$6:$B$305,0))="Paid","Paid",IF(INDEX(Invoices!$M$6:$M$305,MATCH(P1169,Invoices!$B$6:$B$305,0))="Draft","Draft","Invoiced")))))))</f>
        <v/>
      </c>
      <c r="R1169" s="1">
        <f>IF(AND(B1169&lt;&gt;"",P1169&lt;&gt;"",P1169=Invoice!$G$4),B1169+MOD(N(F1169),1)+ROW()/10000000,"")</f>
        <v/>
      </c>
      <c r="S1169">
        <f>IF(R1169="","",IF(D1169="","Other work",D1169)&amp;IF(AND(K1169&lt;&gt;"",E1169&lt;&gt;""),", "&amp;E1169,""))</f>
        <v/>
      </c>
      <c r="T1169">
        <f>IF(R1169="","",IF(COUNTIFS(R$6:R1168,"&gt;0",S$6:S1168,S1169,N$6:N1168,N1169)=0,R1169,""))</f>
        <v/>
      </c>
      <c r="U1169">
        <f>IF(B1169="","",IF(J1169&lt;&gt;"",0,M1169))</f>
        <v/>
      </c>
    </row>
    <row r="1170">
      <c r="A1170" s="1" t="n"/>
      <c r="B1170" s="16" t="n"/>
      <c r="C1170" s="17" t="n"/>
      <c r="D1170" s="18" t="n"/>
      <c r="E1170" s="18" t="n"/>
      <c r="F1170" s="19" t="n"/>
      <c r="G1170" s="19" t="n"/>
      <c r="H1170" s="20" t="n"/>
      <c r="I1170" s="21" t="n"/>
      <c r="J1170" s="22" t="n"/>
      <c r="K1170" s="23" t="n"/>
      <c r="L1170" s="18" t="n"/>
      <c r="M1170" s="24">
        <f>IF(B1170="","",IF(AND(F1170&lt;&gt;"",G1170&lt;&gt;""),MAX(0,ROUND(MOD(G1170-F1170,1)*24-N(H1170)/60,2)),N(I1170)))</f>
        <v/>
      </c>
      <c r="N1170" s="14">
        <f>IF(B1170="","",IF(K1170&lt;&gt;"",K1170,IF(N(IFERROR(INDEX(Projects!$D$6:$D$65,MATCH(D1170,Projects!$B$6:$B$65,0)),""))&gt;0,IFERROR(INDEX(Projects!$D$6:$D$65,MATCH(D1170,Projects!$B$6:$B$65,0)),""),IFERROR(INDEX(Clients!$G$6:$G$45,MATCH(C1170,Clients!$B$6:$B$45,0)),0))))</f>
        <v/>
      </c>
      <c r="O1170" s="14">
        <f>IF(B1170="","",IF(J1170&lt;&gt;"",0,ROUND(M1170*N1170,2)))</f>
        <v/>
      </c>
      <c r="P1170" s="15">
        <f>IF(OR(B1170="",J1170&lt;&gt;""),"",IF(L1170&lt;&gt;"",L1170,IF(COUNTIFS(Invoices!$C$6:$C$305,C1170,Invoices!$E$6:$E$305,"&lt;="&amp;B1170,Invoices!$F$6:$F$305,"&gt;="&amp;B1170)=1,INDEX(Invoices!$B$6:$B$305,SUMIFS(Invoices!$O$6:$O$305,Invoices!$C$6:$C$305,C1170,Invoices!$E$6:$E$305,"&lt;="&amp;B1170,Invoices!$F$6:$F$305,"&gt;="&amp;B1170)),IF(COUNTIFS(Invoices!$C$6:$C$305,C1170,Invoices!$E$6:$E$305,"&lt;="&amp;B1170,Invoices!$F$6:$F$305,"&gt;="&amp;B1170)&gt;1,"Two invoices",""))))</f>
        <v/>
      </c>
      <c r="Q1170" s="15">
        <f>IF(B1170="","",IF(J1170&lt;&gt;"","Not billable",IF(P1170="","To invoice",IF(P1170="Two invoices","Check dates",IF(ISNA(MATCH(P1170,Invoices!$B$6:$B$305,0)),"Check number",IF(INDEX(Invoices!$M$6:$M$305,MATCH(P1170,Invoices!$B$6:$B$305,0))="Paid","Paid",IF(INDEX(Invoices!$M$6:$M$305,MATCH(P1170,Invoices!$B$6:$B$305,0))="Draft","Draft","Invoiced")))))))</f>
        <v/>
      </c>
      <c r="R1170" s="1">
        <f>IF(AND(B1170&lt;&gt;"",P1170&lt;&gt;"",P1170=Invoice!$G$4),B1170+MOD(N(F1170),1)+ROW()/10000000,"")</f>
        <v/>
      </c>
      <c r="S1170">
        <f>IF(R1170="","",IF(D1170="","Other work",D1170)&amp;IF(AND(K1170&lt;&gt;"",E1170&lt;&gt;""),", "&amp;E1170,""))</f>
        <v/>
      </c>
      <c r="T1170">
        <f>IF(R1170="","",IF(COUNTIFS(R$6:R1169,"&gt;0",S$6:S1169,S1170,N$6:N1169,N1170)=0,R1170,""))</f>
        <v/>
      </c>
      <c r="U1170">
        <f>IF(B1170="","",IF(J1170&lt;&gt;"",0,M1170))</f>
        <v/>
      </c>
    </row>
    <row r="1171">
      <c r="A1171" s="1" t="n"/>
      <c r="B1171" s="16" t="n"/>
      <c r="C1171" s="17" t="n"/>
      <c r="D1171" s="18" t="n"/>
      <c r="E1171" s="18" t="n"/>
      <c r="F1171" s="19" t="n"/>
      <c r="G1171" s="19" t="n"/>
      <c r="H1171" s="20" t="n"/>
      <c r="I1171" s="21" t="n"/>
      <c r="J1171" s="22" t="n"/>
      <c r="K1171" s="23" t="n"/>
      <c r="L1171" s="18" t="n"/>
      <c r="M1171" s="24">
        <f>IF(B1171="","",IF(AND(F1171&lt;&gt;"",G1171&lt;&gt;""),MAX(0,ROUND(MOD(G1171-F1171,1)*24-N(H1171)/60,2)),N(I1171)))</f>
        <v/>
      </c>
      <c r="N1171" s="14">
        <f>IF(B1171="","",IF(K1171&lt;&gt;"",K1171,IF(N(IFERROR(INDEX(Projects!$D$6:$D$65,MATCH(D1171,Projects!$B$6:$B$65,0)),""))&gt;0,IFERROR(INDEX(Projects!$D$6:$D$65,MATCH(D1171,Projects!$B$6:$B$65,0)),""),IFERROR(INDEX(Clients!$G$6:$G$45,MATCH(C1171,Clients!$B$6:$B$45,0)),0))))</f>
        <v/>
      </c>
      <c r="O1171" s="14">
        <f>IF(B1171="","",IF(J1171&lt;&gt;"",0,ROUND(M1171*N1171,2)))</f>
        <v/>
      </c>
      <c r="P1171" s="15">
        <f>IF(OR(B1171="",J1171&lt;&gt;""),"",IF(L1171&lt;&gt;"",L1171,IF(COUNTIFS(Invoices!$C$6:$C$305,C1171,Invoices!$E$6:$E$305,"&lt;="&amp;B1171,Invoices!$F$6:$F$305,"&gt;="&amp;B1171)=1,INDEX(Invoices!$B$6:$B$305,SUMIFS(Invoices!$O$6:$O$305,Invoices!$C$6:$C$305,C1171,Invoices!$E$6:$E$305,"&lt;="&amp;B1171,Invoices!$F$6:$F$305,"&gt;="&amp;B1171)),IF(COUNTIFS(Invoices!$C$6:$C$305,C1171,Invoices!$E$6:$E$305,"&lt;="&amp;B1171,Invoices!$F$6:$F$305,"&gt;="&amp;B1171)&gt;1,"Two invoices",""))))</f>
        <v/>
      </c>
      <c r="Q1171" s="15">
        <f>IF(B1171="","",IF(J1171&lt;&gt;"","Not billable",IF(P1171="","To invoice",IF(P1171="Two invoices","Check dates",IF(ISNA(MATCH(P1171,Invoices!$B$6:$B$305,0)),"Check number",IF(INDEX(Invoices!$M$6:$M$305,MATCH(P1171,Invoices!$B$6:$B$305,0))="Paid","Paid",IF(INDEX(Invoices!$M$6:$M$305,MATCH(P1171,Invoices!$B$6:$B$305,0))="Draft","Draft","Invoiced")))))))</f>
        <v/>
      </c>
      <c r="R1171" s="1">
        <f>IF(AND(B1171&lt;&gt;"",P1171&lt;&gt;"",P1171=Invoice!$G$4),B1171+MOD(N(F1171),1)+ROW()/10000000,"")</f>
        <v/>
      </c>
      <c r="S1171">
        <f>IF(R1171="","",IF(D1171="","Other work",D1171)&amp;IF(AND(K1171&lt;&gt;"",E1171&lt;&gt;""),", "&amp;E1171,""))</f>
        <v/>
      </c>
      <c r="T1171">
        <f>IF(R1171="","",IF(COUNTIFS(R$6:R1170,"&gt;0",S$6:S1170,S1171,N$6:N1170,N1171)=0,R1171,""))</f>
        <v/>
      </c>
      <c r="U1171">
        <f>IF(B1171="","",IF(J1171&lt;&gt;"",0,M1171))</f>
        <v/>
      </c>
    </row>
    <row r="1172">
      <c r="A1172" s="1" t="n"/>
      <c r="B1172" s="16" t="n"/>
      <c r="C1172" s="17" t="n"/>
      <c r="D1172" s="18" t="n"/>
      <c r="E1172" s="18" t="n"/>
      <c r="F1172" s="19" t="n"/>
      <c r="G1172" s="19" t="n"/>
      <c r="H1172" s="20" t="n"/>
      <c r="I1172" s="21" t="n"/>
      <c r="J1172" s="22" t="n"/>
      <c r="K1172" s="23" t="n"/>
      <c r="L1172" s="18" t="n"/>
      <c r="M1172" s="24">
        <f>IF(B1172="","",IF(AND(F1172&lt;&gt;"",G1172&lt;&gt;""),MAX(0,ROUND(MOD(G1172-F1172,1)*24-N(H1172)/60,2)),N(I1172)))</f>
        <v/>
      </c>
      <c r="N1172" s="14">
        <f>IF(B1172="","",IF(K1172&lt;&gt;"",K1172,IF(N(IFERROR(INDEX(Projects!$D$6:$D$65,MATCH(D1172,Projects!$B$6:$B$65,0)),""))&gt;0,IFERROR(INDEX(Projects!$D$6:$D$65,MATCH(D1172,Projects!$B$6:$B$65,0)),""),IFERROR(INDEX(Clients!$G$6:$G$45,MATCH(C1172,Clients!$B$6:$B$45,0)),0))))</f>
        <v/>
      </c>
      <c r="O1172" s="14">
        <f>IF(B1172="","",IF(J1172&lt;&gt;"",0,ROUND(M1172*N1172,2)))</f>
        <v/>
      </c>
      <c r="P1172" s="15">
        <f>IF(OR(B1172="",J1172&lt;&gt;""),"",IF(L1172&lt;&gt;"",L1172,IF(COUNTIFS(Invoices!$C$6:$C$305,C1172,Invoices!$E$6:$E$305,"&lt;="&amp;B1172,Invoices!$F$6:$F$305,"&gt;="&amp;B1172)=1,INDEX(Invoices!$B$6:$B$305,SUMIFS(Invoices!$O$6:$O$305,Invoices!$C$6:$C$305,C1172,Invoices!$E$6:$E$305,"&lt;="&amp;B1172,Invoices!$F$6:$F$305,"&gt;="&amp;B1172)),IF(COUNTIFS(Invoices!$C$6:$C$305,C1172,Invoices!$E$6:$E$305,"&lt;="&amp;B1172,Invoices!$F$6:$F$305,"&gt;="&amp;B1172)&gt;1,"Two invoices",""))))</f>
        <v/>
      </c>
      <c r="Q1172" s="15">
        <f>IF(B1172="","",IF(J1172&lt;&gt;"","Not billable",IF(P1172="","To invoice",IF(P1172="Two invoices","Check dates",IF(ISNA(MATCH(P1172,Invoices!$B$6:$B$305,0)),"Check number",IF(INDEX(Invoices!$M$6:$M$305,MATCH(P1172,Invoices!$B$6:$B$305,0))="Paid","Paid",IF(INDEX(Invoices!$M$6:$M$305,MATCH(P1172,Invoices!$B$6:$B$305,0))="Draft","Draft","Invoiced")))))))</f>
        <v/>
      </c>
      <c r="R1172" s="1">
        <f>IF(AND(B1172&lt;&gt;"",P1172&lt;&gt;"",P1172=Invoice!$G$4),B1172+MOD(N(F1172),1)+ROW()/10000000,"")</f>
        <v/>
      </c>
      <c r="S1172">
        <f>IF(R1172="","",IF(D1172="","Other work",D1172)&amp;IF(AND(K1172&lt;&gt;"",E1172&lt;&gt;""),", "&amp;E1172,""))</f>
        <v/>
      </c>
      <c r="T1172">
        <f>IF(R1172="","",IF(COUNTIFS(R$6:R1171,"&gt;0",S$6:S1171,S1172,N$6:N1171,N1172)=0,R1172,""))</f>
        <v/>
      </c>
      <c r="U1172">
        <f>IF(B1172="","",IF(J1172&lt;&gt;"",0,M1172))</f>
        <v/>
      </c>
    </row>
    <row r="1173">
      <c r="A1173" s="1" t="n"/>
      <c r="B1173" s="16" t="n"/>
      <c r="C1173" s="17" t="n"/>
      <c r="D1173" s="18" t="n"/>
      <c r="E1173" s="18" t="n"/>
      <c r="F1173" s="19" t="n"/>
      <c r="G1173" s="19" t="n"/>
      <c r="H1173" s="20" t="n"/>
      <c r="I1173" s="21" t="n"/>
      <c r="J1173" s="22" t="n"/>
      <c r="K1173" s="23" t="n"/>
      <c r="L1173" s="18" t="n"/>
      <c r="M1173" s="24">
        <f>IF(B1173="","",IF(AND(F1173&lt;&gt;"",G1173&lt;&gt;""),MAX(0,ROUND(MOD(G1173-F1173,1)*24-N(H1173)/60,2)),N(I1173)))</f>
        <v/>
      </c>
      <c r="N1173" s="14">
        <f>IF(B1173="","",IF(K1173&lt;&gt;"",K1173,IF(N(IFERROR(INDEX(Projects!$D$6:$D$65,MATCH(D1173,Projects!$B$6:$B$65,0)),""))&gt;0,IFERROR(INDEX(Projects!$D$6:$D$65,MATCH(D1173,Projects!$B$6:$B$65,0)),""),IFERROR(INDEX(Clients!$G$6:$G$45,MATCH(C1173,Clients!$B$6:$B$45,0)),0))))</f>
        <v/>
      </c>
      <c r="O1173" s="14">
        <f>IF(B1173="","",IF(J1173&lt;&gt;"",0,ROUND(M1173*N1173,2)))</f>
        <v/>
      </c>
      <c r="P1173" s="15">
        <f>IF(OR(B1173="",J1173&lt;&gt;""),"",IF(L1173&lt;&gt;"",L1173,IF(COUNTIFS(Invoices!$C$6:$C$305,C1173,Invoices!$E$6:$E$305,"&lt;="&amp;B1173,Invoices!$F$6:$F$305,"&gt;="&amp;B1173)=1,INDEX(Invoices!$B$6:$B$305,SUMIFS(Invoices!$O$6:$O$305,Invoices!$C$6:$C$305,C1173,Invoices!$E$6:$E$305,"&lt;="&amp;B1173,Invoices!$F$6:$F$305,"&gt;="&amp;B1173)),IF(COUNTIFS(Invoices!$C$6:$C$305,C1173,Invoices!$E$6:$E$305,"&lt;="&amp;B1173,Invoices!$F$6:$F$305,"&gt;="&amp;B1173)&gt;1,"Two invoices",""))))</f>
        <v/>
      </c>
      <c r="Q1173" s="15">
        <f>IF(B1173="","",IF(J1173&lt;&gt;"","Not billable",IF(P1173="","To invoice",IF(P1173="Two invoices","Check dates",IF(ISNA(MATCH(P1173,Invoices!$B$6:$B$305,0)),"Check number",IF(INDEX(Invoices!$M$6:$M$305,MATCH(P1173,Invoices!$B$6:$B$305,0))="Paid","Paid",IF(INDEX(Invoices!$M$6:$M$305,MATCH(P1173,Invoices!$B$6:$B$305,0))="Draft","Draft","Invoiced")))))))</f>
        <v/>
      </c>
      <c r="R1173" s="1">
        <f>IF(AND(B1173&lt;&gt;"",P1173&lt;&gt;"",P1173=Invoice!$G$4),B1173+MOD(N(F1173),1)+ROW()/10000000,"")</f>
        <v/>
      </c>
      <c r="S1173">
        <f>IF(R1173="","",IF(D1173="","Other work",D1173)&amp;IF(AND(K1173&lt;&gt;"",E1173&lt;&gt;""),", "&amp;E1173,""))</f>
        <v/>
      </c>
      <c r="T1173">
        <f>IF(R1173="","",IF(COUNTIFS(R$6:R1172,"&gt;0",S$6:S1172,S1173,N$6:N1172,N1173)=0,R1173,""))</f>
        <v/>
      </c>
      <c r="U1173">
        <f>IF(B1173="","",IF(J1173&lt;&gt;"",0,M1173))</f>
        <v/>
      </c>
    </row>
    <row r="1174">
      <c r="A1174" s="1" t="n"/>
      <c r="B1174" s="16" t="n"/>
      <c r="C1174" s="17" t="n"/>
      <c r="D1174" s="18" t="n"/>
      <c r="E1174" s="18" t="n"/>
      <c r="F1174" s="19" t="n"/>
      <c r="G1174" s="19" t="n"/>
      <c r="H1174" s="20" t="n"/>
      <c r="I1174" s="21" t="n"/>
      <c r="J1174" s="22" t="n"/>
      <c r="K1174" s="23" t="n"/>
      <c r="L1174" s="18" t="n"/>
      <c r="M1174" s="24">
        <f>IF(B1174="","",IF(AND(F1174&lt;&gt;"",G1174&lt;&gt;""),MAX(0,ROUND(MOD(G1174-F1174,1)*24-N(H1174)/60,2)),N(I1174)))</f>
        <v/>
      </c>
      <c r="N1174" s="14">
        <f>IF(B1174="","",IF(K1174&lt;&gt;"",K1174,IF(N(IFERROR(INDEX(Projects!$D$6:$D$65,MATCH(D1174,Projects!$B$6:$B$65,0)),""))&gt;0,IFERROR(INDEX(Projects!$D$6:$D$65,MATCH(D1174,Projects!$B$6:$B$65,0)),""),IFERROR(INDEX(Clients!$G$6:$G$45,MATCH(C1174,Clients!$B$6:$B$45,0)),0))))</f>
        <v/>
      </c>
      <c r="O1174" s="14">
        <f>IF(B1174="","",IF(J1174&lt;&gt;"",0,ROUND(M1174*N1174,2)))</f>
        <v/>
      </c>
      <c r="P1174" s="15">
        <f>IF(OR(B1174="",J1174&lt;&gt;""),"",IF(L1174&lt;&gt;"",L1174,IF(COUNTIFS(Invoices!$C$6:$C$305,C1174,Invoices!$E$6:$E$305,"&lt;="&amp;B1174,Invoices!$F$6:$F$305,"&gt;="&amp;B1174)=1,INDEX(Invoices!$B$6:$B$305,SUMIFS(Invoices!$O$6:$O$305,Invoices!$C$6:$C$305,C1174,Invoices!$E$6:$E$305,"&lt;="&amp;B1174,Invoices!$F$6:$F$305,"&gt;="&amp;B1174)),IF(COUNTIFS(Invoices!$C$6:$C$305,C1174,Invoices!$E$6:$E$305,"&lt;="&amp;B1174,Invoices!$F$6:$F$305,"&gt;="&amp;B1174)&gt;1,"Two invoices",""))))</f>
        <v/>
      </c>
      <c r="Q1174" s="15">
        <f>IF(B1174="","",IF(J1174&lt;&gt;"","Not billable",IF(P1174="","To invoice",IF(P1174="Two invoices","Check dates",IF(ISNA(MATCH(P1174,Invoices!$B$6:$B$305,0)),"Check number",IF(INDEX(Invoices!$M$6:$M$305,MATCH(P1174,Invoices!$B$6:$B$305,0))="Paid","Paid",IF(INDEX(Invoices!$M$6:$M$305,MATCH(P1174,Invoices!$B$6:$B$305,0))="Draft","Draft","Invoiced")))))))</f>
        <v/>
      </c>
      <c r="R1174" s="1">
        <f>IF(AND(B1174&lt;&gt;"",P1174&lt;&gt;"",P1174=Invoice!$G$4),B1174+MOD(N(F1174),1)+ROW()/10000000,"")</f>
        <v/>
      </c>
      <c r="S1174">
        <f>IF(R1174="","",IF(D1174="","Other work",D1174)&amp;IF(AND(K1174&lt;&gt;"",E1174&lt;&gt;""),", "&amp;E1174,""))</f>
        <v/>
      </c>
      <c r="T1174">
        <f>IF(R1174="","",IF(COUNTIFS(R$6:R1173,"&gt;0",S$6:S1173,S1174,N$6:N1173,N1174)=0,R1174,""))</f>
        <v/>
      </c>
      <c r="U1174">
        <f>IF(B1174="","",IF(J1174&lt;&gt;"",0,M1174))</f>
        <v/>
      </c>
    </row>
    <row r="1175">
      <c r="A1175" s="1" t="n"/>
      <c r="B1175" s="16" t="n"/>
      <c r="C1175" s="17" t="n"/>
      <c r="D1175" s="18" t="n"/>
      <c r="E1175" s="18" t="n"/>
      <c r="F1175" s="19" t="n"/>
      <c r="G1175" s="19" t="n"/>
      <c r="H1175" s="20" t="n"/>
      <c r="I1175" s="21" t="n"/>
      <c r="J1175" s="22" t="n"/>
      <c r="K1175" s="23" t="n"/>
      <c r="L1175" s="18" t="n"/>
      <c r="M1175" s="24">
        <f>IF(B1175="","",IF(AND(F1175&lt;&gt;"",G1175&lt;&gt;""),MAX(0,ROUND(MOD(G1175-F1175,1)*24-N(H1175)/60,2)),N(I1175)))</f>
        <v/>
      </c>
      <c r="N1175" s="14">
        <f>IF(B1175="","",IF(K1175&lt;&gt;"",K1175,IF(N(IFERROR(INDEX(Projects!$D$6:$D$65,MATCH(D1175,Projects!$B$6:$B$65,0)),""))&gt;0,IFERROR(INDEX(Projects!$D$6:$D$65,MATCH(D1175,Projects!$B$6:$B$65,0)),""),IFERROR(INDEX(Clients!$G$6:$G$45,MATCH(C1175,Clients!$B$6:$B$45,0)),0))))</f>
        <v/>
      </c>
      <c r="O1175" s="14">
        <f>IF(B1175="","",IF(J1175&lt;&gt;"",0,ROUND(M1175*N1175,2)))</f>
        <v/>
      </c>
      <c r="P1175" s="15">
        <f>IF(OR(B1175="",J1175&lt;&gt;""),"",IF(L1175&lt;&gt;"",L1175,IF(COUNTIFS(Invoices!$C$6:$C$305,C1175,Invoices!$E$6:$E$305,"&lt;="&amp;B1175,Invoices!$F$6:$F$305,"&gt;="&amp;B1175)=1,INDEX(Invoices!$B$6:$B$305,SUMIFS(Invoices!$O$6:$O$305,Invoices!$C$6:$C$305,C1175,Invoices!$E$6:$E$305,"&lt;="&amp;B1175,Invoices!$F$6:$F$305,"&gt;="&amp;B1175)),IF(COUNTIFS(Invoices!$C$6:$C$305,C1175,Invoices!$E$6:$E$305,"&lt;="&amp;B1175,Invoices!$F$6:$F$305,"&gt;="&amp;B1175)&gt;1,"Two invoices",""))))</f>
        <v/>
      </c>
      <c r="Q1175" s="15">
        <f>IF(B1175="","",IF(J1175&lt;&gt;"","Not billable",IF(P1175="","To invoice",IF(P1175="Two invoices","Check dates",IF(ISNA(MATCH(P1175,Invoices!$B$6:$B$305,0)),"Check number",IF(INDEX(Invoices!$M$6:$M$305,MATCH(P1175,Invoices!$B$6:$B$305,0))="Paid","Paid",IF(INDEX(Invoices!$M$6:$M$305,MATCH(P1175,Invoices!$B$6:$B$305,0))="Draft","Draft","Invoiced")))))))</f>
        <v/>
      </c>
      <c r="R1175" s="1">
        <f>IF(AND(B1175&lt;&gt;"",P1175&lt;&gt;"",P1175=Invoice!$G$4),B1175+MOD(N(F1175),1)+ROW()/10000000,"")</f>
        <v/>
      </c>
      <c r="S1175">
        <f>IF(R1175="","",IF(D1175="","Other work",D1175)&amp;IF(AND(K1175&lt;&gt;"",E1175&lt;&gt;""),", "&amp;E1175,""))</f>
        <v/>
      </c>
      <c r="T1175">
        <f>IF(R1175="","",IF(COUNTIFS(R$6:R1174,"&gt;0",S$6:S1174,S1175,N$6:N1174,N1175)=0,R1175,""))</f>
        <v/>
      </c>
      <c r="U1175">
        <f>IF(B1175="","",IF(J1175&lt;&gt;"",0,M1175))</f>
        <v/>
      </c>
    </row>
    <row r="1176">
      <c r="A1176" s="1" t="n"/>
      <c r="B1176" s="16" t="n"/>
      <c r="C1176" s="17" t="n"/>
      <c r="D1176" s="18" t="n"/>
      <c r="E1176" s="18" t="n"/>
      <c r="F1176" s="19" t="n"/>
      <c r="G1176" s="19" t="n"/>
      <c r="H1176" s="20" t="n"/>
      <c r="I1176" s="21" t="n"/>
      <c r="J1176" s="22" t="n"/>
      <c r="K1176" s="23" t="n"/>
      <c r="L1176" s="18" t="n"/>
      <c r="M1176" s="24">
        <f>IF(B1176="","",IF(AND(F1176&lt;&gt;"",G1176&lt;&gt;""),MAX(0,ROUND(MOD(G1176-F1176,1)*24-N(H1176)/60,2)),N(I1176)))</f>
        <v/>
      </c>
      <c r="N1176" s="14">
        <f>IF(B1176="","",IF(K1176&lt;&gt;"",K1176,IF(N(IFERROR(INDEX(Projects!$D$6:$D$65,MATCH(D1176,Projects!$B$6:$B$65,0)),""))&gt;0,IFERROR(INDEX(Projects!$D$6:$D$65,MATCH(D1176,Projects!$B$6:$B$65,0)),""),IFERROR(INDEX(Clients!$G$6:$G$45,MATCH(C1176,Clients!$B$6:$B$45,0)),0))))</f>
        <v/>
      </c>
      <c r="O1176" s="14">
        <f>IF(B1176="","",IF(J1176&lt;&gt;"",0,ROUND(M1176*N1176,2)))</f>
        <v/>
      </c>
      <c r="P1176" s="15">
        <f>IF(OR(B1176="",J1176&lt;&gt;""),"",IF(L1176&lt;&gt;"",L1176,IF(COUNTIFS(Invoices!$C$6:$C$305,C1176,Invoices!$E$6:$E$305,"&lt;="&amp;B1176,Invoices!$F$6:$F$305,"&gt;="&amp;B1176)=1,INDEX(Invoices!$B$6:$B$305,SUMIFS(Invoices!$O$6:$O$305,Invoices!$C$6:$C$305,C1176,Invoices!$E$6:$E$305,"&lt;="&amp;B1176,Invoices!$F$6:$F$305,"&gt;="&amp;B1176)),IF(COUNTIFS(Invoices!$C$6:$C$305,C1176,Invoices!$E$6:$E$305,"&lt;="&amp;B1176,Invoices!$F$6:$F$305,"&gt;="&amp;B1176)&gt;1,"Two invoices",""))))</f>
        <v/>
      </c>
      <c r="Q1176" s="15">
        <f>IF(B1176="","",IF(J1176&lt;&gt;"","Not billable",IF(P1176="","To invoice",IF(P1176="Two invoices","Check dates",IF(ISNA(MATCH(P1176,Invoices!$B$6:$B$305,0)),"Check number",IF(INDEX(Invoices!$M$6:$M$305,MATCH(P1176,Invoices!$B$6:$B$305,0))="Paid","Paid",IF(INDEX(Invoices!$M$6:$M$305,MATCH(P1176,Invoices!$B$6:$B$305,0))="Draft","Draft","Invoiced")))))))</f>
        <v/>
      </c>
      <c r="R1176" s="1">
        <f>IF(AND(B1176&lt;&gt;"",P1176&lt;&gt;"",P1176=Invoice!$G$4),B1176+MOD(N(F1176),1)+ROW()/10000000,"")</f>
        <v/>
      </c>
      <c r="S1176">
        <f>IF(R1176="","",IF(D1176="","Other work",D1176)&amp;IF(AND(K1176&lt;&gt;"",E1176&lt;&gt;""),", "&amp;E1176,""))</f>
        <v/>
      </c>
      <c r="T1176">
        <f>IF(R1176="","",IF(COUNTIFS(R$6:R1175,"&gt;0",S$6:S1175,S1176,N$6:N1175,N1176)=0,R1176,""))</f>
        <v/>
      </c>
      <c r="U1176">
        <f>IF(B1176="","",IF(J1176&lt;&gt;"",0,M1176))</f>
        <v/>
      </c>
    </row>
    <row r="1177">
      <c r="A1177" s="1" t="n"/>
      <c r="B1177" s="16" t="n"/>
      <c r="C1177" s="17" t="n"/>
      <c r="D1177" s="18" t="n"/>
      <c r="E1177" s="18" t="n"/>
      <c r="F1177" s="19" t="n"/>
      <c r="G1177" s="19" t="n"/>
      <c r="H1177" s="20" t="n"/>
      <c r="I1177" s="21" t="n"/>
      <c r="J1177" s="22" t="n"/>
      <c r="K1177" s="23" t="n"/>
      <c r="L1177" s="18" t="n"/>
      <c r="M1177" s="24">
        <f>IF(B1177="","",IF(AND(F1177&lt;&gt;"",G1177&lt;&gt;""),MAX(0,ROUND(MOD(G1177-F1177,1)*24-N(H1177)/60,2)),N(I1177)))</f>
        <v/>
      </c>
      <c r="N1177" s="14">
        <f>IF(B1177="","",IF(K1177&lt;&gt;"",K1177,IF(N(IFERROR(INDEX(Projects!$D$6:$D$65,MATCH(D1177,Projects!$B$6:$B$65,0)),""))&gt;0,IFERROR(INDEX(Projects!$D$6:$D$65,MATCH(D1177,Projects!$B$6:$B$65,0)),""),IFERROR(INDEX(Clients!$G$6:$G$45,MATCH(C1177,Clients!$B$6:$B$45,0)),0))))</f>
        <v/>
      </c>
      <c r="O1177" s="14">
        <f>IF(B1177="","",IF(J1177&lt;&gt;"",0,ROUND(M1177*N1177,2)))</f>
        <v/>
      </c>
      <c r="P1177" s="15">
        <f>IF(OR(B1177="",J1177&lt;&gt;""),"",IF(L1177&lt;&gt;"",L1177,IF(COUNTIFS(Invoices!$C$6:$C$305,C1177,Invoices!$E$6:$E$305,"&lt;="&amp;B1177,Invoices!$F$6:$F$305,"&gt;="&amp;B1177)=1,INDEX(Invoices!$B$6:$B$305,SUMIFS(Invoices!$O$6:$O$305,Invoices!$C$6:$C$305,C1177,Invoices!$E$6:$E$305,"&lt;="&amp;B1177,Invoices!$F$6:$F$305,"&gt;="&amp;B1177)),IF(COUNTIFS(Invoices!$C$6:$C$305,C1177,Invoices!$E$6:$E$305,"&lt;="&amp;B1177,Invoices!$F$6:$F$305,"&gt;="&amp;B1177)&gt;1,"Two invoices",""))))</f>
        <v/>
      </c>
      <c r="Q1177" s="15">
        <f>IF(B1177="","",IF(J1177&lt;&gt;"","Not billable",IF(P1177="","To invoice",IF(P1177="Two invoices","Check dates",IF(ISNA(MATCH(P1177,Invoices!$B$6:$B$305,0)),"Check number",IF(INDEX(Invoices!$M$6:$M$305,MATCH(P1177,Invoices!$B$6:$B$305,0))="Paid","Paid",IF(INDEX(Invoices!$M$6:$M$305,MATCH(P1177,Invoices!$B$6:$B$305,0))="Draft","Draft","Invoiced")))))))</f>
        <v/>
      </c>
      <c r="R1177" s="1">
        <f>IF(AND(B1177&lt;&gt;"",P1177&lt;&gt;"",P1177=Invoice!$G$4),B1177+MOD(N(F1177),1)+ROW()/10000000,"")</f>
        <v/>
      </c>
      <c r="S1177">
        <f>IF(R1177="","",IF(D1177="","Other work",D1177)&amp;IF(AND(K1177&lt;&gt;"",E1177&lt;&gt;""),", "&amp;E1177,""))</f>
        <v/>
      </c>
      <c r="T1177">
        <f>IF(R1177="","",IF(COUNTIFS(R$6:R1176,"&gt;0",S$6:S1176,S1177,N$6:N1176,N1177)=0,R1177,""))</f>
        <v/>
      </c>
      <c r="U1177">
        <f>IF(B1177="","",IF(J1177&lt;&gt;"",0,M1177))</f>
        <v/>
      </c>
    </row>
    <row r="1178">
      <c r="A1178" s="1" t="n"/>
      <c r="B1178" s="16" t="n"/>
      <c r="C1178" s="17" t="n"/>
      <c r="D1178" s="18" t="n"/>
      <c r="E1178" s="18" t="n"/>
      <c r="F1178" s="19" t="n"/>
      <c r="G1178" s="19" t="n"/>
      <c r="H1178" s="20" t="n"/>
      <c r="I1178" s="21" t="n"/>
      <c r="J1178" s="22" t="n"/>
      <c r="K1178" s="23" t="n"/>
      <c r="L1178" s="18" t="n"/>
      <c r="M1178" s="24">
        <f>IF(B1178="","",IF(AND(F1178&lt;&gt;"",G1178&lt;&gt;""),MAX(0,ROUND(MOD(G1178-F1178,1)*24-N(H1178)/60,2)),N(I1178)))</f>
        <v/>
      </c>
      <c r="N1178" s="14">
        <f>IF(B1178="","",IF(K1178&lt;&gt;"",K1178,IF(N(IFERROR(INDEX(Projects!$D$6:$D$65,MATCH(D1178,Projects!$B$6:$B$65,0)),""))&gt;0,IFERROR(INDEX(Projects!$D$6:$D$65,MATCH(D1178,Projects!$B$6:$B$65,0)),""),IFERROR(INDEX(Clients!$G$6:$G$45,MATCH(C1178,Clients!$B$6:$B$45,0)),0))))</f>
        <v/>
      </c>
      <c r="O1178" s="14">
        <f>IF(B1178="","",IF(J1178&lt;&gt;"",0,ROUND(M1178*N1178,2)))</f>
        <v/>
      </c>
      <c r="P1178" s="15">
        <f>IF(OR(B1178="",J1178&lt;&gt;""),"",IF(L1178&lt;&gt;"",L1178,IF(COUNTIFS(Invoices!$C$6:$C$305,C1178,Invoices!$E$6:$E$305,"&lt;="&amp;B1178,Invoices!$F$6:$F$305,"&gt;="&amp;B1178)=1,INDEX(Invoices!$B$6:$B$305,SUMIFS(Invoices!$O$6:$O$305,Invoices!$C$6:$C$305,C1178,Invoices!$E$6:$E$305,"&lt;="&amp;B1178,Invoices!$F$6:$F$305,"&gt;="&amp;B1178)),IF(COUNTIFS(Invoices!$C$6:$C$305,C1178,Invoices!$E$6:$E$305,"&lt;="&amp;B1178,Invoices!$F$6:$F$305,"&gt;="&amp;B1178)&gt;1,"Two invoices",""))))</f>
        <v/>
      </c>
      <c r="Q1178" s="15">
        <f>IF(B1178="","",IF(J1178&lt;&gt;"","Not billable",IF(P1178="","To invoice",IF(P1178="Two invoices","Check dates",IF(ISNA(MATCH(P1178,Invoices!$B$6:$B$305,0)),"Check number",IF(INDEX(Invoices!$M$6:$M$305,MATCH(P1178,Invoices!$B$6:$B$305,0))="Paid","Paid",IF(INDEX(Invoices!$M$6:$M$305,MATCH(P1178,Invoices!$B$6:$B$305,0))="Draft","Draft","Invoiced")))))))</f>
        <v/>
      </c>
      <c r="R1178" s="1">
        <f>IF(AND(B1178&lt;&gt;"",P1178&lt;&gt;"",P1178=Invoice!$G$4),B1178+MOD(N(F1178),1)+ROW()/10000000,"")</f>
        <v/>
      </c>
      <c r="S1178">
        <f>IF(R1178="","",IF(D1178="","Other work",D1178)&amp;IF(AND(K1178&lt;&gt;"",E1178&lt;&gt;""),", "&amp;E1178,""))</f>
        <v/>
      </c>
      <c r="T1178">
        <f>IF(R1178="","",IF(COUNTIFS(R$6:R1177,"&gt;0",S$6:S1177,S1178,N$6:N1177,N1178)=0,R1178,""))</f>
        <v/>
      </c>
      <c r="U1178">
        <f>IF(B1178="","",IF(J1178&lt;&gt;"",0,M1178))</f>
        <v/>
      </c>
    </row>
    <row r="1179">
      <c r="A1179" s="1" t="n"/>
      <c r="B1179" s="16" t="n"/>
      <c r="C1179" s="17" t="n"/>
      <c r="D1179" s="18" t="n"/>
      <c r="E1179" s="18" t="n"/>
      <c r="F1179" s="19" t="n"/>
      <c r="G1179" s="19" t="n"/>
      <c r="H1179" s="20" t="n"/>
      <c r="I1179" s="21" t="n"/>
      <c r="J1179" s="22" t="n"/>
      <c r="K1179" s="23" t="n"/>
      <c r="L1179" s="18" t="n"/>
      <c r="M1179" s="24">
        <f>IF(B1179="","",IF(AND(F1179&lt;&gt;"",G1179&lt;&gt;""),MAX(0,ROUND(MOD(G1179-F1179,1)*24-N(H1179)/60,2)),N(I1179)))</f>
        <v/>
      </c>
      <c r="N1179" s="14">
        <f>IF(B1179="","",IF(K1179&lt;&gt;"",K1179,IF(N(IFERROR(INDEX(Projects!$D$6:$D$65,MATCH(D1179,Projects!$B$6:$B$65,0)),""))&gt;0,IFERROR(INDEX(Projects!$D$6:$D$65,MATCH(D1179,Projects!$B$6:$B$65,0)),""),IFERROR(INDEX(Clients!$G$6:$G$45,MATCH(C1179,Clients!$B$6:$B$45,0)),0))))</f>
        <v/>
      </c>
      <c r="O1179" s="14">
        <f>IF(B1179="","",IF(J1179&lt;&gt;"",0,ROUND(M1179*N1179,2)))</f>
        <v/>
      </c>
      <c r="P1179" s="15">
        <f>IF(OR(B1179="",J1179&lt;&gt;""),"",IF(L1179&lt;&gt;"",L1179,IF(COUNTIFS(Invoices!$C$6:$C$305,C1179,Invoices!$E$6:$E$305,"&lt;="&amp;B1179,Invoices!$F$6:$F$305,"&gt;="&amp;B1179)=1,INDEX(Invoices!$B$6:$B$305,SUMIFS(Invoices!$O$6:$O$305,Invoices!$C$6:$C$305,C1179,Invoices!$E$6:$E$305,"&lt;="&amp;B1179,Invoices!$F$6:$F$305,"&gt;="&amp;B1179)),IF(COUNTIFS(Invoices!$C$6:$C$305,C1179,Invoices!$E$6:$E$305,"&lt;="&amp;B1179,Invoices!$F$6:$F$305,"&gt;="&amp;B1179)&gt;1,"Two invoices",""))))</f>
        <v/>
      </c>
      <c r="Q1179" s="15">
        <f>IF(B1179="","",IF(J1179&lt;&gt;"","Not billable",IF(P1179="","To invoice",IF(P1179="Two invoices","Check dates",IF(ISNA(MATCH(P1179,Invoices!$B$6:$B$305,0)),"Check number",IF(INDEX(Invoices!$M$6:$M$305,MATCH(P1179,Invoices!$B$6:$B$305,0))="Paid","Paid",IF(INDEX(Invoices!$M$6:$M$305,MATCH(P1179,Invoices!$B$6:$B$305,0))="Draft","Draft","Invoiced")))))))</f>
        <v/>
      </c>
      <c r="R1179" s="1">
        <f>IF(AND(B1179&lt;&gt;"",P1179&lt;&gt;"",P1179=Invoice!$G$4),B1179+MOD(N(F1179),1)+ROW()/10000000,"")</f>
        <v/>
      </c>
      <c r="S1179">
        <f>IF(R1179="","",IF(D1179="","Other work",D1179)&amp;IF(AND(K1179&lt;&gt;"",E1179&lt;&gt;""),", "&amp;E1179,""))</f>
        <v/>
      </c>
      <c r="T1179">
        <f>IF(R1179="","",IF(COUNTIFS(R$6:R1178,"&gt;0",S$6:S1178,S1179,N$6:N1178,N1179)=0,R1179,""))</f>
        <v/>
      </c>
      <c r="U1179">
        <f>IF(B1179="","",IF(J1179&lt;&gt;"",0,M1179))</f>
        <v/>
      </c>
    </row>
    <row r="1180">
      <c r="A1180" s="1" t="n"/>
      <c r="B1180" s="16" t="n"/>
      <c r="C1180" s="17" t="n"/>
      <c r="D1180" s="18" t="n"/>
      <c r="E1180" s="18" t="n"/>
      <c r="F1180" s="19" t="n"/>
      <c r="G1180" s="19" t="n"/>
      <c r="H1180" s="20" t="n"/>
      <c r="I1180" s="21" t="n"/>
      <c r="J1180" s="22" t="n"/>
      <c r="K1180" s="23" t="n"/>
      <c r="L1180" s="18" t="n"/>
      <c r="M1180" s="24">
        <f>IF(B1180="","",IF(AND(F1180&lt;&gt;"",G1180&lt;&gt;""),MAX(0,ROUND(MOD(G1180-F1180,1)*24-N(H1180)/60,2)),N(I1180)))</f>
        <v/>
      </c>
      <c r="N1180" s="14">
        <f>IF(B1180="","",IF(K1180&lt;&gt;"",K1180,IF(N(IFERROR(INDEX(Projects!$D$6:$D$65,MATCH(D1180,Projects!$B$6:$B$65,0)),""))&gt;0,IFERROR(INDEX(Projects!$D$6:$D$65,MATCH(D1180,Projects!$B$6:$B$65,0)),""),IFERROR(INDEX(Clients!$G$6:$G$45,MATCH(C1180,Clients!$B$6:$B$45,0)),0))))</f>
        <v/>
      </c>
      <c r="O1180" s="14">
        <f>IF(B1180="","",IF(J1180&lt;&gt;"",0,ROUND(M1180*N1180,2)))</f>
        <v/>
      </c>
      <c r="P1180" s="15">
        <f>IF(OR(B1180="",J1180&lt;&gt;""),"",IF(L1180&lt;&gt;"",L1180,IF(COUNTIFS(Invoices!$C$6:$C$305,C1180,Invoices!$E$6:$E$305,"&lt;="&amp;B1180,Invoices!$F$6:$F$305,"&gt;="&amp;B1180)=1,INDEX(Invoices!$B$6:$B$305,SUMIFS(Invoices!$O$6:$O$305,Invoices!$C$6:$C$305,C1180,Invoices!$E$6:$E$305,"&lt;="&amp;B1180,Invoices!$F$6:$F$305,"&gt;="&amp;B1180)),IF(COUNTIFS(Invoices!$C$6:$C$305,C1180,Invoices!$E$6:$E$305,"&lt;="&amp;B1180,Invoices!$F$6:$F$305,"&gt;="&amp;B1180)&gt;1,"Two invoices",""))))</f>
        <v/>
      </c>
      <c r="Q1180" s="15">
        <f>IF(B1180="","",IF(J1180&lt;&gt;"","Not billable",IF(P1180="","To invoice",IF(P1180="Two invoices","Check dates",IF(ISNA(MATCH(P1180,Invoices!$B$6:$B$305,0)),"Check number",IF(INDEX(Invoices!$M$6:$M$305,MATCH(P1180,Invoices!$B$6:$B$305,0))="Paid","Paid",IF(INDEX(Invoices!$M$6:$M$305,MATCH(P1180,Invoices!$B$6:$B$305,0))="Draft","Draft","Invoiced")))))))</f>
        <v/>
      </c>
      <c r="R1180" s="1">
        <f>IF(AND(B1180&lt;&gt;"",P1180&lt;&gt;"",P1180=Invoice!$G$4),B1180+MOD(N(F1180),1)+ROW()/10000000,"")</f>
        <v/>
      </c>
      <c r="S1180">
        <f>IF(R1180="","",IF(D1180="","Other work",D1180)&amp;IF(AND(K1180&lt;&gt;"",E1180&lt;&gt;""),", "&amp;E1180,""))</f>
        <v/>
      </c>
      <c r="T1180">
        <f>IF(R1180="","",IF(COUNTIFS(R$6:R1179,"&gt;0",S$6:S1179,S1180,N$6:N1179,N1180)=0,R1180,""))</f>
        <v/>
      </c>
      <c r="U1180">
        <f>IF(B1180="","",IF(J1180&lt;&gt;"",0,M1180))</f>
        <v/>
      </c>
    </row>
    <row r="1181">
      <c r="A1181" s="1" t="n"/>
      <c r="B1181" s="16" t="n"/>
      <c r="C1181" s="17" t="n"/>
      <c r="D1181" s="18" t="n"/>
      <c r="E1181" s="18" t="n"/>
      <c r="F1181" s="19" t="n"/>
      <c r="G1181" s="19" t="n"/>
      <c r="H1181" s="20" t="n"/>
      <c r="I1181" s="21" t="n"/>
      <c r="J1181" s="22" t="n"/>
      <c r="K1181" s="23" t="n"/>
      <c r="L1181" s="18" t="n"/>
      <c r="M1181" s="24">
        <f>IF(B1181="","",IF(AND(F1181&lt;&gt;"",G1181&lt;&gt;""),MAX(0,ROUND(MOD(G1181-F1181,1)*24-N(H1181)/60,2)),N(I1181)))</f>
        <v/>
      </c>
      <c r="N1181" s="14">
        <f>IF(B1181="","",IF(K1181&lt;&gt;"",K1181,IF(N(IFERROR(INDEX(Projects!$D$6:$D$65,MATCH(D1181,Projects!$B$6:$B$65,0)),""))&gt;0,IFERROR(INDEX(Projects!$D$6:$D$65,MATCH(D1181,Projects!$B$6:$B$65,0)),""),IFERROR(INDEX(Clients!$G$6:$G$45,MATCH(C1181,Clients!$B$6:$B$45,0)),0))))</f>
        <v/>
      </c>
      <c r="O1181" s="14">
        <f>IF(B1181="","",IF(J1181&lt;&gt;"",0,ROUND(M1181*N1181,2)))</f>
        <v/>
      </c>
      <c r="P1181" s="15">
        <f>IF(OR(B1181="",J1181&lt;&gt;""),"",IF(L1181&lt;&gt;"",L1181,IF(COUNTIFS(Invoices!$C$6:$C$305,C1181,Invoices!$E$6:$E$305,"&lt;="&amp;B1181,Invoices!$F$6:$F$305,"&gt;="&amp;B1181)=1,INDEX(Invoices!$B$6:$B$305,SUMIFS(Invoices!$O$6:$O$305,Invoices!$C$6:$C$305,C1181,Invoices!$E$6:$E$305,"&lt;="&amp;B1181,Invoices!$F$6:$F$305,"&gt;="&amp;B1181)),IF(COUNTIFS(Invoices!$C$6:$C$305,C1181,Invoices!$E$6:$E$305,"&lt;="&amp;B1181,Invoices!$F$6:$F$305,"&gt;="&amp;B1181)&gt;1,"Two invoices",""))))</f>
        <v/>
      </c>
      <c r="Q1181" s="15">
        <f>IF(B1181="","",IF(J1181&lt;&gt;"","Not billable",IF(P1181="","To invoice",IF(P1181="Two invoices","Check dates",IF(ISNA(MATCH(P1181,Invoices!$B$6:$B$305,0)),"Check number",IF(INDEX(Invoices!$M$6:$M$305,MATCH(P1181,Invoices!$B$6:$B$305,0))="Paid","Paid",IF(INDEX(Invoices!$M$6:$M$305,MATCH(P1181,Invoices!$B$6:$B$305,0))="Draft","Draft","Invoiced")))))))</f>
        <v/>
      </c>
      <c r="R1181" s="1">
        <f>IF(AND(B1181&lt;&gt;"",P1181&lt;&gt;"",P1181=Invoice!$G$4),B1181+MOD(N(F1181),1)+ROW()/10000000,"")</f>
        <v/>
      </c>
      <c r="S1181">
        <f>IF(R1181="","",IF(D1181="","Other work",D1181)&amp;IF(AND(K1181&lt;&gt;"",E1181&lt;&gt;""),", "&amp;E1181,""))</f>
        <v/>
      </c>
      <c r="T1181">
        <f>IF(R1181="","",IF(COUNTIFS(R$6:R1180,"&gt;0",S$6:S1180,S1181,N$6:N1180,N1181)=0,R1181,""))</f>
        <v/>
      </c>
      <c r="U1181">
        <f>IF(B1181="","",IF(J1181&lt;&gt;"",0,M1181))</f>
        <v/>
      </c>
    </row>
    <row r="1182">
      <c r="A1182" s="1" t="n"/>
      <c r="B1182" s="16" t="n"/>
      <c r="C1182" s="17" t="n"/>
      <c r="D1182" s="18" t="n"/>
      <c r="E1182" s="18" t="n"/>
      <c r="F1182" s="19" t="n"/>
      <c r="G1182" s="19" t="n"/>
      <c r="H1182" s="20" t="n"/>
      <c r="I1182" s="21" t="n"/>
      <c r="J1182" s="22" t="n"/>
      <c r="K1182" s="23" t="n"/>
      <c r="L1182" s="18" t="n"/>
      <c r="M1182" s="24">
        <f>IF(B1182="","",IF(AND(F1182&lt;&gt;"",G1182&lt;&gt;""),MAX(0,ROUND(MOD(G1182-F1182,1)*24-N(H1182)/60,2)),N(I1182)))</f>
        <v/>
      </c>
      <c r="N1182" s="14">
        <f>IF(B1182="","",IF(K1182&lt;&gt;"",K1182,IF(N(IFERROR(INDEX(Projects!$D$6:$D$65,MATCH(D1182,Projects!$B$6:$B$65,0)),""))&gt;0,IFERROR(INDEX(Projects!$D$6:$D$65,MATCH(D1182,Projects!$B$6:$B$65,0)),""),IFERROR(INDEX(Clients!$G$6:$G$45,MATCH(C1182,Clients!$B$6:$B$45,0)),0))))</f>
        <v/>
      </c>
      <c r="O1182" s="14">
        <f>IF(B1182="","",IF(J1182&lt;&gt;"",0,ROUND(M1182*N1182,2)))</f>
        <v/>
      </c>
      <c r="P1182" s="15">
        <f>IF(OR(B1182="",J1182&lt;&gt;""),"",IF(L1182&lt;&gt;"",L1182,IF(COUNTIFS(Invoices!$C$6:$C$305,C1182,Invoices!$E$6:$E$305,"&lt;="&amp;B1182,Invoices!$F$6:$F$305,"&gt;="&amp;B1182)=1,INDEX(Invoices!$B$6:$B$305,SUMIFS(Invoices!$O$6:$O$305,Invoices!$C$6:$C$305,C1182,Invoices!$E$6:$E$305,"&lt;="&amp;B1182,Invoices!$F$6:$F$305,"&gt;="&amp;B1182)),IF(COUNTIFS(Invoices!$C$6:$C$305,C1182,Invoices!$E$6:$E$305,"&lt;="&amp;B1182,Invoices!$F$6:$F$305,"&gt;="&amp;B1182)&gt;1,"Two invoices",""))))</f>
        <v/>
      </c>
      <c r="Q1182" s="15">
        <f>IF(B1182="","",IF(J1182&lt;&gt;"","Not billable",IF(P1182="","To invoice",IF(P1182="Two invoices","Check dates",IF(ISNA(MATCH(P1182,Invoices!$B$6:$B$305,0)),"Check number",IF(INDEX(Invoices!$M$6:$M$305,MATCH(P1182,Invoices!$B$6:$B$305,0))="Paid","Paid",IF(INDEX(Invoices!$M$6:$M$305,MATCH(P1182,Invoices!$B$6:$B$305,0))="Draft","Draft","Invoiced")))))))</f>
        <v/>
      </c>
      <c r="R1182" s="1">
        <f>IF(AND(B1182&lt;&gt;"",P1182&lt;&gt;"",P1182=Invoice!$G$4),B1182+MOD(N(F1182),1)+ROW()/10000000,"")</f>
        <v/>
      </c>
      <c r="S1182">
        <f>IF(R1182="","",IF(D1182="","Other work",D1182)&amp;IF(AND(K1182&lt;&gt;"",E1182&lt;&gt;""),", "&amp;E1182,""))</f>
        <v/>
      </c>
      <c r="T1182">
        <f>IF(R1182="","",IF(COUNTIFS(R$6:R1181,"&gt;0",S$6:S1181,S1182,N$6:N1181,N1182)=0,R1182,""))</f>
        <v/>
      </c>
      <c r="U1182">
        <f>IF(B1182="","",IF(J1182&lt;&gt;"",0,M1182))</f>
        <v/>
      </c>
    </row>
    <row r="1183">
      <c r="A1183" s="1" t="n"/>
      <c r="B1183" s="16" t="n"/>
      <c r="C1183" s="17" t="n"/>
      <c r="D1183" s="18" t="n"/>
      <c r="E1183" s="18" t="n"/>
      <c r="F1183" s="19" t="n"/>
      <c r="G1183" s="19" t="n"/>
      <c r="H1183" s="20" t="n"/>
      <c r="I1183" s="21" t="n"/>
      <c r="J1183" s="22" t="n"/>
      <c r="K1183" s="23" t="n"/>
      <c r="L1183" s="18" t="n"/>
      <c r="M1183" s="24">
        <f>IF(B1183="","",IF(AND(F1183&lt;&gt;"",G1183&lt;&gt;""),MAX(0,ROUND(MOD(G1183-F1183,1)*24-N(H1183)/60,2)),N(I1183)))</f>
        <v/>
      </c>
      <c r="N1183" s="14">
        <f>IF(B1183="","",IF(K1183&lt;&gt;"",K1183,IF(N(IFERROR(INDEX(Projects!$D$6:$D$65,MATCH(D1183,Projects!$B$6:$B$65,0)),""))&gt;0,IFERROR(INDEX(Projects!$D$6:$D$65,MATCH(D1183,Projects!$B$6:$B$65,0)),""),IFERROR(INDEX(Clients!$G$6:$G$45,MATCH(C1183,Clients!$B$6:$B$45,0)),0))))</f>
        <v/>
      </c>
      <c r="O1183" s="14">
        <f>IF(B1183="","",IF(J1183&lt;&gt;"",0,ROUND(M1183*N1183,2)))</f>
        <v/>
      </c>
      <c r="P1183" s="15">
        <f>IF(OR(B1183="",J1183&lt;&gt;""),"",IF(L1183&lt;&gt;"",L1183,IF(COUNTIFS(Invoices!$C$6:$C$305,C1183,Invoices!$E$6:$E$305,"&lt;="&amp;B1183,Invoices!$F$6:$F$305,"&gt;="&amp;B1183)=1,INDEX(Invoices!$B$6:$B$305,SUMIFS(Invoices!$O$6:$O$305,Invoices!$C$6:$C$305,C1183,Invoices!$E$6:$E$305,"&lt;="&amp;B1183,Invoices!$F$6:$F$305,"&gt;="&amp;B1183)),IF(COUNTIFS(Invoices!$C$6:$C$305,C1183,Invoices!$E$6:$E$305,"&lt;="&amp;B1183,Invoices!$F$6:$F$305,"&gt;="&amp;B1183)&gt;1,"Two invoices",""))))</f>
        <v/>
      </c>
      <c r="Q1183" s="15">
        <f>IF(B1183="","",IF(J1183&lt;&gt;"","Not billable",IF(P1183="","To invoice",IF(P1183="Two invoices","Check dates",IF(ISNA(MATCH(P1183,Invoices!$B$6:$B$305,0)),"Check number",IF(INDEX(Invoices!$M$6:$M$305,MATCH(P1183,Invoices!$B$6:$B$305,0))="Paid","Paid",IF(INDEX(Invoices!$M$6:$M$305,MATCH(P1183,Invoices!$B$6:$B$305,0))="Draft","Draft","Invoiced")))))))</f>
        <v/>
      </c>
      <c r="R1183" s="1">
        <f>IF(AND(B1183&lt;&gt;"",P1183&lt;&gt;"",P1183=Invoice!$G$4),B1183+MOD(N(F1183),1)+ROW()/10000000,"")</f>
        <v/>
      </c>
      <c r="S1183">
        <f>IF(R1183="","",IF(D1183="","Other work",D1183)&amp;IF(AND(K1183&lt;&gt;"",E1183&lt;&gt;""),", "&amp;E1183,""))</f>
        <v/>
      </c>
      <c r="T1183">
        <f>IF(R1183="","",IF(COUNTIFS(R$6:R1182,"&gt;0",S$6:S1182,S1183,N$6:N1182,N1183)=0,R1183,""))</f>
        <v/>
      </c>
      <c r="U1183">
        <f>IF(B1183="","",IF(J1183&lt;&gt;"",0,M1183))</f>
        <v/>
      </c>
    </row>
    <row r="1184">
      <c r="A1184" s="1" t="n"/>
      <c r="B1184" s="16" t="n"/>
      <c r="C1184" s="17" t="n"/>
      <c r="D1184" s="18" t="n"/>
      <c r="E1184" s="18" t="n"/>
      <c r="F1184" s="19" t="n"/>
      <c r="G1184" s="19" t="n"/>
      <c r="H1184" s="20" t="n"/>
      <c r="I1184" s="21" t="n"/>
      <c r="J1184" s="22" t="n"/>
      <c r="K1184" s="23" t="n"/>
      <c r="L1184" s="18" t="n"/>
      <c r="M1184" s="24">
        <f>IF(B1184="","",IF(AND(F1184&lt;&gt;"",G1184&lt;&gt;""),MAX(0,ROUND(MOD(G1184-F1184,1)*24-N(H1184)/60,2)),N(I1184)))</f>
        <v/>
      </c>
      <c r="N1184" s="14">
        <f>IF(B1184="","",IF(K1184&lt;&gt;"",K1184,IF(N(IFERROR(INDEX(Projects!$D$6:$D$65,MATCH(D1184,Projects!$B$6:$B$65,0)),""))&gt;0,IFERROR(INDEX(Projects!$D$6:$D$65,MATCH(D1184,Projects!$B$6:$B$65,0)),""),IFERROR(INDEX(Clients!$G$6:$G$45,MATCH(C1184,Clients!$B$6:$B$45,0)),0))))</f>
        <v/>
      </c>
      <c r="O1184" s="14">
        <f>IF(B1184="","",IF(J1184&lt;&gt;"",0,ROUND(M1184*N1184,2)))</f>
        <v/>
      </c>
      <c r="P1184" s="15">
        <f>IF(OR(B1184="",J1184&lt;&gt;""),"",IF(L1184&lt;&gt;"",L1184,IF(COUNTIFS(Invoices!$C$6:$C$305,C1184,Invoices!$E$6:$E$305,"&lt;="&amp;B1184,Invoices!$F$6:$F$305,"&gt;="&amp;B1184)=1,INDEX(Invoices!$B$6:$B$305,SUMIFS(Invoices!$O$6:$O$305,Invoices!$C$6:$C$305,C1184,Invoices!$E$6:$E$305,"&lt;="&amp;B1184,Invoices!$F$6:$F$305,"&gt;="&amp;B1184)),IF(COUNTIFS(Invoices!$C$6:$C$305,C1184,Invoices!$E$6:$E$305,"&lt;="&amp;B1184,Invoices!$F$6:$F$305,"&gt;="&amp;B1184)&gt;1,"Two invoices",""))))</f>
        <v/>
      </c>
      <c r="Q1184" s="15">
        <f>IF(B1184="","",IF(J1184&lt;&gt;"","Not billable",IF(P1184="","To invoice",IF(P1184="Two invoices","Check dates",IF(ISNA(MATCH(P1184,Invoices!$B$6:$B$305,0)),"Check number",IF(INDEX(Invoices!$M$6:$M$305,MATCH(P1184,Invoices!$B$6:$B$305,0))="Paid","Paid",IF(INDEX(Invoices!$M$6:$M$305,MATCH(P1184,Invoices!$B$6:$B$305,0))="Draft","Draft","Invoiced")))))))</f>
        <v/>
      </c>
      <c r="R1184" s="1">
        <f>IF(AND(B1184&lt;&gt;"",P1184&lt;&gt;"",P1184=Invoice!$G$4),B1184+MOD(N(F1184),1)+ROW()/10000000,"")</f>
        <v/>
      </c>
      <c r="S1184">
        <f>IF(R1184="","",IF(D1184="","Other work",D1184)&amp;IF(AND(K1184&lt;&gt;"",E1184&lt;&gt;""),", "&amp;E1184,""))</f>
        <v/>
      </c>
      <c r="T1184">
        <f>IF(R1184="","",IF(COUNTIFS(R$6:R1183,"&gt;0",S$6:S1183,S1184,N$6:N1183,N1184)=0,R1184,""))</f>
        <v/>
      </c>
      <c r="U1184">
        <f>IF(B1184="","",IF(J1184&lt;&gt;"",0,M1184))</f>
        <v/>
      </c>
    </row>
    <row r="1185">
      <c r="A1185" s="1" t="n"/>
      <c r="B1185" s="16" t="n"/>
      <c r="C1185" s="17" t="n"/>
      <c r="D1185" s="18" t="n"/>
      <c r="E1185" s="18" t="n"/>
      <c r="F1185" s="19" t="n"/>
      <c r="G1185" s="19" t="n"/>
      <c r="H1185" s="20" t="n"/>
      <c r="I1185" s="21" t="n"/>
      <c r="J1185" s="22" t="n"/>
      <c r="K1185" s="23" t="n"/>
      <c r="L1185" s="18" t="n"/>
      <c r="M1185" s="24">
        <f>IF(B1185="","",IF(AND(F1185&lt;&gt;"",G1185&lt;&gt;""),MAX(0,ROUND(MOD(G1185-F1185,1)*24-N(H1185)/60,2)),N(I1185)))</f>
        <v/>
      </c>
      <c r="N1185" s="14">
        <f>IF(B1185="","",IF(K1185&lt;&gt;"",K1185,IF(N(IFERROR(INDEX(Projects!$D$6:$D$65,MATCH(D1185,Projects!$B$6:$B$65,0)),""))&gt;0,IFERROR(INDEX(Projects!$D$6:$D$65,MATCH(D1185,Projects!$B$6:$B$65,0)),""),IFERROR(INDEX(Clients!$G$6:$G$45,MATCH(C1185,Clients!$B$6:$B$45,0)),0))))</f>
        <v/>
      </c>
      <c r="O1185" s="14">
        <f>IF(B1185="","",IF(J1185&lt;&gt;"",0,ROUND(M1185*N1185,2)))</f>
        <v/>
      </c>
      <c r="P1185" s="15">
        <f>IF(OR(B1185="",J1185&lt;&gt;""),"",IF(L1185&lt;&gt;"",L1185,IF(COUNTIFS(Invoices!$C$6:$C$305,C1185,Invoices!$E$6:$E$305,"&lt;="&amp;B1185,Invoices!$F$6:$F$305,"&gt;="&amp;B1185)=1,INDEX(Invoices!$B$6:$B$305,SUMIFS(Invoices!$O$6:$O$305,Invoices!$C$6:$C$305,C1185,Invoices!$E$6:$E$305,"&lt;="&amp;B1185,Invoices!$F$6:$F$305,"&gt;="&amp;B1185)),IF(COUNTIFS(Invoices!$C$6:$C$305,C1185,Invoices!$E$6:$E$305,"&lt;="&amp;B1185,Invoices!$F$6:$F$305,"&gt;="&amp;B1185)&gt;1,"Two invoices",""))))</f>
        <v/>
      </c>
      <c r="Q1185" s="15">
        <f>IF(B1185="","",IF(J1185&lt;&gt;"","Not billable",IF(P1185="","To invoice",IF(P1185="Two invoices","Check dates",IF(ISNA(MATCH(P1185,Invoices!$B$6:$B$305,0)),"Check number",IF(INDEX(Invoices!$M$6:$M$305,MATCH(P1185,Invoices!$B$6:$B$305,0))="Paid","Paid",IF(INDEX(Invoices!$M$6:$M$305,MATCH(P1185,Invoices!$B$6:$B$305,0))="Draft","Draft","Invoiced")))))))</f>
        <v/>
      </c>
      <c r="R1185" s="1">
        <f>IF(AND(B1185&lt;&gt;"",P1185&lt;&gt;"",P1185=Invoice!$G$4),B1185+MOD(N(F1185),1)+ROW()/10000000,"")</f>
        <v/>
      </c>
      <c r="S1185">
        <f>IF(R1185="","",IF(D1185="","Other work",D1185)&amp;IF(AND(K1185&lt;&gt;"",E1185&lt;&gt;""),", "&amp;E1185,""))</f>
        <v/>
      </c>
      <c r="T1185">
        <f>IF(R1185="","",IF(COUNTIFS(R$6:R1184,"&gt;0",S$6:S1184,S1185,N$6:N1184,N1185)=0,R1185,""))</f>
        <v/>
      </c>
      <c r="U1185">
        <f>IF(B1185="","",IF(J1185&lt;&gt;"",0,M1185))</f>
        <v/>
      </c>
    </row>
    <row r="1186">
      <c r="A1186" s="1" t="n"/>
      <c r="B1186" s="16" t="n"/>
      <c r="C1186" s="17" t="n"/>
      <c r="D1186" s="18" t="n"/>
      <c r="E1186" s="18" t="n"/>
      <c r="F1186" s="19" t="n"/>
      <c r="G1186" s="19" t="n"/>
      <c r="H1186" s="20" t="n"/>
      <c r="I1186" s="21" t="n"/>
      <c r="J1186" s="22" t="n"/>
      <c r="K1186" s="23" t="n"/>
      <c r="L1186" s="18" t="n"/>
      <c r="M1186" s="24">
        <f>IF(B1186="","",IF(AND(F1186&lt;&gt;"",G1186&lt;&gt;""),MAX(0,ROUND(MOD(G1186-F1186,1)*24-N(H1186)/60,2)),N(I1186)))</f>
        <v/>
      </c>
      <c r="N1186" s="14">
        <f>IF(B1186="","",IF(K1186&lt;&gt;"",K1186,IF(N(IFERROR(INDEX(Projects!$D$6:$D$65,MATCH(D1186,Projects!$B$6:$B$65,0)),""))&gt;0,IFERROR(INDEX(Projects!$D$6:$D$65,MATCH(D1186,Projects!$B$6:$B$65,0)),""),IFERROR(INDEX(Clients!$G$6:$G$45,MATCH(C1186,Clients!$B$6:$B$45,0)),0))))</f>
        <v/>
      </c>
      <c r="O1186" s="14">
        <f>IF(B1186="","",IF(J1186&lt;&gt;"",0,ROUND(M1186*N1186,2)))</f>
        <v/>
      </c>
      <c r="P1186" s="15">
        <f>IF(OR(B1186="",J1186&lt;&gt;""),"",IF(L1186&lt;&gt;"",L1186,IF(COUNTIFS(Invoices!$C$6:$C$305,C1186,Invoices!$E$6:$E$305,"&lt;="&amp;B1186,Invoices!$F$6:$F$305,"&gt;="&amp;B1186)=1,INDEX(Invoices!$B$6:$B$305,SUMIFS(Invoices!$O$6:$O$305,Invoices!$C$6:$C$305,C1186,Invoices!$E$6:$E$305,"&lt;="&amp;B1186,Invoices!$F$6:$F$305,"&gt;="&amp;B1186)),IF(COUNTIFS(Invoices!$C$6:$C$305,C1186,Invoices!$E$6:$E$305,"&lt;="&amp;B1186,Invoices!$F$6:$F$305,"&gt;="&amp;B1186)&gt;1,"Two invoices",""))))</f>
        <v/>
      </c>
      <c r="Q1186" s="15">
        <f>IF(B1186="","",IF(J1186&lt;&gt;"","Not billable",IF(P1186="","To invoice",IF(P1186="Two invoices","Check dates",IF(ISNA(MATCH(P1186,Invoices!$B$6:$B$305,0)),"Check number",IF(INDEX(Invoices!$M$6:$M$305,MATCH(P1186,Invoices!$B$6:$B$305,0))="Paid","Paid",IF(INDEX(Invoices!$M$6:$M$305,MATCH(P1186,Invoices!$B$6:$B$305,0))="Draft","Draft","Invoiced")))))))</f>
        <v/>
      </c>
      <c r="R1186" s="1">
        <f>IF(AND(B1186&lt;&gt;"",P1186&lt;&gt;"",P1186=Invoice!$G$4),B1186+MOD(N(F1186),1)+ROW()/10000000,"")</f>
        <v/>
      </c>
      <c r="S1186">
        <f>IF(R1186="","",IF(D1186="","Other work",D1186)&amp;IF(AND(K1186&lt;&gt;"",E1186&lt;&gt;""),", "&amp;E1186,""))</f>
        <v/>
      </c>
      <c r="T1186">
        <f>IF(R1186="","",IF(COUNTIFS(R$6:R1185,"&gt;0",S$6:S1185,S1186,N$6:N1185,N1186)=0,R1186,""))</f>
        <v/>
      </c>
      <c r="U1186">
        <f>IF(B1186="","",IF(J1186&lt;&gt;"",0,M1186))</f>
        <v/>
      </c>
    </row>
    <row r="1187">
      <c r="A1187" s="1" t="n"/>
      <c r="B1187" s="16" t="n"/>
      <c r="C1187" s="17" t="n"/>
      <c r="D1187" s="18" t="n"/>
      <c r="E1187" s="18" t="n"/>
      <c r="F1187" s="19" t="n"/>
      <c r="G1187" s="19" t="n"/>
      <c r="H1187" s="20" t="n"/>
      <c r="I1187" s="21" t="n"/>
      <c r="J1187" s="22" t="n"/>
      <c r="K1187" s="23" t="n"/>
      <c r="L1187" s="18" t="n"/>
      <c r="M1187" s="24">
        <f>IF(B1187="","",IF(AND(F1187&lt;&gt;"",G1187&lt;&gt;""),MAX(0,ROUND(MOD(G1187-F1187,1)*24-N(H1187)/60,2)),N(I1187)))</f>
        <v/>
      </c>
      <c r="N1187" s="14">
        <f>IF(B1187="","",IF(K1187&lt;&gt;"",K1187,IF(N(IFERROR(INDEX(Projects!$D$6:$D$65,MATCH(D1187,Projects!$B$6:$B$65,0)),""))&gt;0,IFERROR(INDEX(Projects!$D$6:$D$65,MATCH(D1187,Projects!$B$6:$B$65,0)),""),IFERROR(INDEX(Clients!$G$6:$G$45,MATCH(C1187,Clients!$B$6:$B$45,0)),0))))</f>
        <v/>
      </c>
      <c r="O1187" s="14">
        <f>IF(B1187="","",IF(J1187&lt;&gt;"",0,ROUND(M1187*N1187,2)))</f>
        <v/>
      </c>
      <c r="P1187" s="15">
        <f>IF(OR(B1187="",J1187&lt;&gt;""),"",IF(L1187&lt;&gt;"",L1187,IF(COUNTIFS(Invoices!$C$6:$C$305,C1187,Invoices!$E$6:$E$305,"&lt;="&amp;B1187,Invoices!$F$6:$F$305,"&gt;="&amp;B1187)=1,INDEX(Invoices!$B$6:$B$305,SUMIFS(Invoices!$O$6:$O$305,Invoices!$C$6:$C$305,C1187,Invoices!$E$6:$E$305,"&lt;="&amp;B1187,Invoices!$F$6:$F$305,"&gt;="&amp;B1187)),IF(COUNTIFS(Invoices!$C$6:$C$305,C1187,Invoices!$E$6:$E$305,"&lt;="&amp;B1187,Invoices!$F$6:$F$305,"&gt;="&amp;B1187)&gt;1,"Two invoices",""))))</f>
        <v/>
      </c>
      <c r="Q1187" s="15">
        <f>IF(B1187="","",IF(J1187&lt;&gt;"","Not billable",IF(P1187="","To invoice",IF(P1187="Two invoices","Check dates",IF(ISNA(MATCH(P1187,Invoices!$B$6:$B$305,0)),"Check number",IF(INDEX(Invoices!$M$6:$M$305,MATCH(P1187,Invoices!$B$6:$B$305,0))="Paid","Paid",IF(INDEX(Invoices!$M$6:$M$305,MATCH(P1187,Invoices!$B$6:$B$305,0))="Draft","Draft","Invoiced")))))))</f>
        <v/>
      </c>
      <c r="R1187" s="1">
        <f>IF(AND(B1187&lt;&gt;"",P1187&lt;&gt;"",P1187=Invoice!$G$4),B1187+MOD(N(F1187),1)+ROW()/10000000,"")</f>
        <v/>
      </c>
      <c r="S1187">
        <f>IF(R1187="","",IF(D1187="","Other work",D1187)&amp;IF(AND(K1187&lt;&gt;"",E1187&lt;&gt;""),", "&amp;E1187,""))</f>
        <v/>
      </c>
      <c r="T1187">
        <f>IF(R1187="","",IF(COUNTIFS(R$6:R1186,"&gt;0",S$6:S1186,S1187,N$6:N1186,N1187)=0,R1187,""))</f>
        <v/>
      </c>
      <c r="U1187">
        <f>IF(B1187="","",IF(J1187&lt;&gt;"",0,M1187))</f>
        <v/>
      </c>
    </row>
    <row r="1188">
      <c r="A1188" s="1" t="n"/>
      <c r="B1188" s="16" t="n"/>
      <c r="C1188" s="17" t="n"/>
      <c r="D1188" s="18" t="n"/>
      <c r="E1188" s="18" t="n"/>
      <c r="F1188" s="19" t="n"/>
      <c r="G1188" s="19" t="n"/>
      <c r="H1188" s="20" t="n"/>
      <c r="I1188" s="21" t="n"/>
      <c r="J1188" s="22" t="n"/>
      <c r="K1188" s="23" t="n"/>
      <c r="L1188" s="18" t="n"/>
      <c r="M1188" s="24">
        <f>IF(B1188="","",IF(AND(F1188&lt;&gt;"",G1188&lt;&gt;""),MAX(0,ROUND(MOD(G1188-F1188,1)*24-N(H1188)/60,2)),N(I1188)))</f>
        <v/>
      </c>
      <c r="N1188" s="14">
        <f>IF(B1188="","",IF(K1188&lt;&gt;"",K1188,IF(N(IFERROR(INDEX(Projects!$D$6:$D$65,MATCH(D1188,Projects!$B$6:$B$65,0)),""))&gt;0,IFERROR(INDEX(Projects!$D$6:$D$65,MATCH(D1188,Projects!$B$6:$B$65,0)),""),IFERROR(INDEX(Clients!$G$6:$G$45,MATCH(C1188,Clients!$B$6:$B$45,0)),0))))</f>
        <v/>
      </c>
      <c r="O1188" s="14">
        <f>IF(B1188="","",IF(J1188&lt;&gt;"",0,ROUND(M1188*N1188,2)))</f>
        <v/>
      </c>
      <c r="P1188" s="15">
        <f>IF(OR(B1188="",J1188&lt;&gt;""),"",IF(L1188&lt;&gt;"",L1188,IF(COUNTIFS(Invoices!$C$6:$C$305,C1188,Invoices!$E$6:$E$305,"&lt;="&amp;B1188,Invoices!$F$6:$F$305,"&gt;="&amp;B1188)=1,INDEX(Invoices!$B$6:$B$305,SUMIFS(Invoices!$O$6:$O$305,Invoices!$C$6:$C$305,C1188,Invoices!$E$6:$E$305,"&lt;="&amp;B1188,Invoices!$F$6:$F$305,"&gt;="&amp;B1188)),IF(COUNTIFS(Invoices!$C$6:$C$305,C1188,Invoices!$E$6:$E$305,"&lt;="&amp;B1188,Invoices!$F$6:$F$305,"&gt;="&amp;B1188)&gt;1,"Two invoices",""))))</f>
        <v/>
      </c>
      <c r="Q1188" s="15">
        <f>IF(B1188="","",IF(J1188&lt;&gt;"","Not billable",IF(P1188="","To invoice",IF(P1188="Two invoices","Check dates",IF(ISNA(MATCH(P1188,Invoices!$B$6:$B$305,0)),"Check number",IF(INDEX(Invoices!$M$6:$M$305,MATCH(P1188,Invoices!$B$6:$B$305,0))="Paid","Paid",IF(INDEX(Invoices!$M$6:$M$305,MATCH(P1188,Invoices!$B$6:$B$305,0))="Draft","Draft","Invoiced")))))))</f>
        <v/>
      </c>
      <c r="R1188" s="1">
        <f>IF(AND(B1188&lt;&gt;"",P1188&lt;&gt;"",P1188=Invoice!$G$4),B1188+MOD(N(F1188),1)+ROW()/10000000,"")</f>
        <v/>
      </c>
      <c r="S1188">
        <f>IF(R1188="","",IF(D1188="","Other work",D1188)&amp;IF(AND(K1188&lt;&gt;"",E1188&lt;&gt;""),", "&amp;E1188,""))</f>
        <v/>
      </c>
      <c r="T1188">
        <f>IF(R1188="","",IF(COUNTIFS(R$6:R1187,"&gt;0",S$6:S1187,S1188,N$6:N1187,N1188)=0,R1188,""))</f>
        <v/>
      </c>
      <c r="U1188">
        <f>IF(B1188="","",IF(J1188&lt;&gt;"",0,M1188))</f>
        <v/>
      </c>
    </row>
    <row r="1189">
      <c r="A1189" s="1" t="n"/>
      <c r="B1189" s="16" t="n"/>
      <c r="C1189" s="17" t="n"/>
      <c r="D1189" s="18" t="n"/>
      <c r="E1189" s="18" t="n"/>
      <c r="F1189" s="19" t="n"/>
      <c r="G1189" s="19" t="n"/>
      <c r="H1189" s="20" t="n"/>
      <c r="I1189" s="21" t="n"/>
      <c r="J1189" s="22" t="n"/>
      <c r="K1189" s="23" t="n"/>
      <c r="L1189" s="18" t="n"/>
      <c r="M1189" s="24">
        <f>IF(B1189="","",IF(AND(F1189&lt;&gt;"",G1189&lt;&gt;""),MAX(0,ROUND(MOD(G1189-F1189,1)*24-N(H1189)/60,2)),N(I1189)))</f>
        <v/>
      </c>
      <c r="N1189" s="14">
        <f>IF(B1189="","",IF(K1189&lt;&gt;"",K1189,IF(N(IFERROR(INDEX(Projects!$D$6:$D$65,MATCH(D1189,Projects!$B$6:$B$65,0)),""))&gt;0,IFERROR(INDEX(Projects!$D$6:$D$65,MATCH(D1189,Projects!$B$6:$B$65,0)),""),IFERROR(INDEX(Clients!$G$6:$G$45,MATCH(C1189,Clients!$B$6:$B$45,0)),0))))</f>
        <v/>
      </c>
      <c r="O1189" s="14">
        <f>IF(B1189="","",IF(J1189&lt;&gt;"",0,ROUND(M1189*N1189,2)))</f>
        <v/>
      </c>
      <c r="P1189" s="15">
        <f>IF(OR(B1189="",J1189&lt;&gt;""),"",IF(L1189&lt;&gt;"",L1189,IF(COUNTIFS(Invoices!$C$6:$C$305,C1189,Invoices!$E$6:$E$305,"&lt;="&amp;B1189,Invoices!$F$6:$F$305,"&gt;="&amp;B1189)=1,INDEX(Invoices!$B$6:$B$305,SUMIFS(Invoices!$O$6:$O$305,Invoices!$C$6:$C$305,C1189,Invoices!$E$6:$E$305,"&lt;="&amp;B1189,Invoices!$F$6:$F$305,"&gt;="&amp;B1189)),IF(COUNTIFS(Invoices!$C$6:$C$305,C1189,Invoices!$E$6:$E$305,"&lt;="&amp;B1189,Invoices!$F$6:$F$305,"&gt;="&amp;B1189)&gt;1,"Two invoices",""))))</f>
        <v/>
      </c>
      <c r="Q1189" s="15">
        <f>IF(B1189="","",IF(J1189&lt;&gt;"","Not billable",IF(P1189="","To invoice",IF(P1189="Two invoices","Check dates",IF(ISNA(MATCH(P1189,Invoices!$B$6:$B$305,0)),"Check number",IF(INDEX(Invoices!$M$6:$M$305,MATCH(P1189,Invoices!$B$6:$B$305,0))="Paid","Paid",IF(INDEX(Invoices!$M$6:$M$305,MATCH(P1189,Invoices!$B$6:$B$305,0))="Draft","Draft","Invoiced")))))))</f>
        <v/>
      </c>
      <c r="R1189" s="1">
        <f>IF(AND(B1189&lt;&gt;"",P1189&lt;&gt;"",P1189=Invoice!$G$4),B1189+MOD(N(F1189),1)+ROW()/10000000,"")</f>
        <v/>
      </c>
      <c r="S1189">
        <f>IF(R1189="","",IF(D1189="","Other work",D1189)&amp;IF(AND(K1189&lt;&gt;"",E1189&lt;&gt;""),", "&amp;E1189,""))</f>
        <v/>
      </c>
      <c r="T1189">
        <f>IF(R1189="","",IF(COUNTIFS(R$6:R1188,"&gt;0",S$6:S1188,S1189,N$6:N1188,N1189)=0,R1189,""))</f>
        <v/>
      </c>
      <c r="U1189">
        <f>IF(B1189="","",IF(J1189&lt;&gt;"",0,M1189))</f>
        <v/>
      </c>
    </row>
    <row r="1190">
      <c r="A1190" s="1" t="n"/>
      <c r="B1190" s="16" t="n"/>
      <c r="C1190" s="17" t="n"/>
      <c r="D1190" s="18" t="n"/>
      <c r="E1190" s="18" t="n"/>
      <c r="F1190" s="19" t="n"/>
      <c r="G1190" s="19" t="n"/>
      <c r="H1190" s="20" t="n"/>
      <c r="I1190" s="21" t="n"/>
      <c r="J1190" s="22" t="n"/>
      <c r="K1190" s="23" t="n"/>
      <c r="L1190" s="18" t="n"/>
      <c r="M1190" s="24">
        <f>IF(B1190="","",IF(AND(F1190&lt;&gt;"",G1190&lt;&gt;""),MAX(0,ROUND(MOD(G1190-F1190,1)*24-N(H1190)/60,2)),N(I1190)))</f>
        <v/>
      </c>
      <c r="N1190" s="14">
        <f>IF(B1190="","",IF(K1190&lt;&gt;"",K1190,IF(N(IFERROR(INDEX(Projects!$D$6:$D$65,MATCH(D1190,Projects!$B$6:$B$65,0)),""))&gt;0,IFERROR(INDEX(Projects!$D$6:$D$65,MATCH(D1190,Projects!$B$6:$B$65,0)),""),IFERROR(INDEX(Clients!$G$6:$G$45,MATCH(C1190,Clients!$B$6:$B$45,0)),0))))</f>
        <v/>
      </c>
      <c r="O1190" s="14">
        <f>IF(B1190="","",IF(J1190&lt;&gt;"",0,ROUND(M1190*N1190,2)))</f>
        <v/>
      </c>
      <c r="P1190" s="15">
        <f>IF(OR(B1190="",J1190&lt;&gt;""),"",IF(L1190&lt;&gt;"",L1190,IF(COUNTIFS(Invoices!$C$6:$C$305,C1190,Invoices!$E$6:$E$305,"&lt;="&amp;B1190,Invoices!$F$6:$F$305,"&gt;="&amp;B1190)=1,INDEX(Invoices!$B$6:$B$305,SUMIFS(Invoices!$O$6:$O$305,Invoices!$C$6:$C$305,C1190,Invoices!$E$6:$E$305,"&lt;="&amp;B1190,Invoices!$F$6:$F$305,"&gt;="&amp;B1190)),IF(COUNTIFS(Invoices!$C$6:$C$305,C1190,Invoices!$E$6:$E$305,"&lt;="&amp;B1190,Invoices!$F$6:$F$305,"&gt;="&amp;B1190)&gt;1,"Two invoices",""))))</f>
        <v/>
      </c>
      <c r="Q1190" s="15">
        <f>IF(B1190="","",IF(J1190&lt;&gt;"","Not billable",IF(P1190="","To invoice",IF(P1190="Two invoices","Check dates",IF(ISNA(MATCH(P1190,Invoices!$B$6:$B$305,0)),"Check number",IF(INDEX(Invoices!$M$6:$M$305,MATCH(P1190,Invoices!$B$6:$B$305,0))="Paid","Paid",IF(INDEX(Invoices!$M$6:$M$305,MATCH(P1190,Invoices!$B$6:$B$305,0))="Draft","Draft","Invoiced")))))))</f>
        <v/>
      </c>
      <c r="R1190" s="1">
        <f>IF(AND(B1190&lt;&gt;"",P1190&lt;&gt;"",P1190=Invoice!$G$4),B1190+MOD(N(F1190),1)+ROW()/10000000,"")</f>
        <v/>
      </c>
      <c r="S1190">
        <f>IF(R1190="","",IF(D1190="","Other work",D1190)&amp;IF(AND(K1190&lt;&gt;"",E1190&lt;&gt;""),", "&amp;E1190,""))</f>
        <v/>
      </c>
      <c r="T1190">
        <f>IF(R1190="","",IF(COUNTIFS(R$6:R1189,"&gt;0",S$6:S1189,S1190,N$6:N1189,N1190)=0,R1190,""))</f>
        <v/>
      </c>
      <c r="U1190">
        <f>IF(B1190="","",IF(J1190&lt;&gt;"",0,M1190))</f>
        <v/>
      </c>
    </row>
    <row r="1191">
      <c r="A1191" s="1" t="n"/>
      <c r="B1191" s="16" t="n"/>
      <c r="C1191" s="17" t="n"/>
      <c r="D1191" s="18" t="n"/>
      <c r="E1191" s="18" t="n"/>
      <c r="F1191" s="19" t="n"/>
      <c r="G1191" s="19" t="n"/>
      <c r="H1191" s="20" t="n"/>
      <c r="I1191" s="21" t="n"/>
      <c r="J1191" s="22" t="n"/>
      <c r="K1191" s="23" t="n"/>
      <c r="L1191" s="18" t="n"/>
      <c r="M1191" s="24">
        <f>IF(B1191="","",IF(AND(F1191&lt;&gt;"",G1191&lt;&gt;""),MAX(0,ROUND(MOD(G1191-F1191,1)*24-N(H1191)/60,2)),N(I1191)))</f>
        <v/>
      </c>
      <c r="N1191" s="14">
        <f>IF(B1191="","",IF(K1191&lt;&gt;"",K1191,IF(N(IFERROR(INDEX(Projects!$D$6:$D$65,MATCH(D1191,Projects!$B$6:$B$65,0)),""))&gt;0,IFERROR(INDEX(Projects!$D$6:$D$65,MATCH(D1191,Projects!$B$6:$B$65,0)),""),IFERROR(INDEX(Clients!$G$6:$G$45,MATCH(C1191,Clients!$B$6:$B$45,0)),0))))</f>
        <v/>
      </c>
      <c r="O1191" s="14">
        <f>IF(B1191="","",IF(J1191&lt;&gt;"",0,ROUND(M1191*N1191,2)))</f>
        <v/>
      </c>
      <c r="P1191" s="15">
        <f>IF(OR(B1191="",J1191&lt;&gt;""),"",IF(L1191&lt;&gt;"",L1191,IF(COUNTIFS(Invoices!$C$6:$C$305,C1191,Invoices!$E$6:$E$305,"&lt;="&amp;B1191,Invoices!$F$6:$F$305,"&gt;="&amp;B1191)=1,INDEX(Invoices!$B$6:$B$305,SUMIFS(Invoices!$O$6:$O$305,Invoices!$C$6:$C$305,C1191,Invoices!$E$6:$E$305,"&lt;="&amp;B1191,Invoices!$F$6:$F$305,"&gt;="&amp;B1191)),IF(COUNTIFS(Invoices!$C$6:$C$305,C1191,Invoices!$E$6:$E$305,"&lt;="&amp;B1191,Invoices!$F$6:$F$305,"&gt;="&amp;B1191)&gt;1,"Two invoices",""))))</f>
        <v/>
      </c>
      <c r="Q1191" s="15">
        <f>IF(B1191="","",IF(J1191&lt;&gt;"","Not billable",IF(P1191="","To invoice",IF(P1191="Two invoices","Check dates",IF(ISNA(MATCH(P1191,Invoices!$B$6:$B$305,0)),"Check number",IF(INDEX(Invoices!$M$6:$M$305,MATCH(P1191,Invoices!$B$6:$B$305,0))="Paid","Paid",IF(INDEX(Invoices!$M$6:$M$305,MATCH(P1191,Invoices!$B$6:$B$305,0))="Draft","Draft","Invoiced")))))))</f>
        <v/>
      </c>
      <c r="R1191" s="1">
        <f>IF(AND(B1191&lt;&gt;"",P1191&lt;&gt;"",P1191=Invoice!$G$4),B1191+MOD(N(F1191),1)+ROW()/10000000,"")</f>
        <v/>
      </c>
      <c r="S1191">
        <f>IF(R1191="","",IF(D1191="","Other work",D1191)&amp;IF(AND(K1191&lt;&gt;"",E1191&lt;&gt;""),", "&amp;E1191,""))</f>
        <v/>
      </c>
      <c r="T1191">
        <f>IF(R1191="","",IF(COUNTIFS(R$6:R1190,"&gt;0",S$6:S1190,S1191,N$6:N1190,N1191)=0,R1191,""))</f>
        <v/>
      </c>
      <c r="U1191">
        <f>IF(B1191="","",IF(J1191&lt;&gt;"",0,M1191))</f>
        <v/>
      </c>
    </row>
    <row r="1192">
      <c r="A1192" s="1" t="n"/>
      <c r="B1192" s="16" t="n"/>
      <c r="C1192" s="17" t="n"/>
      <c r="D1192" s="18" t="n"/>
      <c r="E1192" s="18" t="n"/>
      <c r="F1192" s="19" t="n"/>
      <c r="G1192" s="19" t="n"/>
      <c r="H1192" s="20" t="n"/>
      <c r="I1192" s="21" t="n"/>
      <c r="J1192" s="22" t="n"/>
      <c r="K1192" s="23" t="n"/>
      <c r="L1192" s="18" t="n"/>
      <c r="M1192" s="24">
        <f>IF(B1192="","",IF(AND(F1192&lt;&gt;"",G1192&lt;&gt;""),MAX(0,ROUND(MOD(G1192-F1192,1)*24-N(H1192)/60,2)),N(I1192)))</f>
        <v/>
      </c>
      <c r="N1192" s="14">
        <f>IF(B1192="","",IF(K1192&lt;&gt;"",K1192,IF(N(IFERROR(INDEX(Projects!$D$6:$D$65,MATCH(D1192,Projects!$B$6:$B$65,0)),""))&gt;0,IFERROR(INDEX(Projects!$D$6:$D$65,MATCH(D1192,Projects!$B$6:$B$65,0)),""),IFERROR(INDEX(Clients!$G$6:$G$45,MATCH(C1192,Clients!$B$6:$B$45,0)),0))))</f>
        <v/>
      </c>
      <c r="O1192" s="14">
        <f>IF(B1192="","",IF(J1192&lt;&gt;"",0,ROUND(M1192*N1192,2)))</f>
        <v/>
      </c>
      <c r="P1192" s="15">
        <f>IF(OR(B1192="",J1192&lt;&gt;""),"",IF(L1192&lt;&gt;"",L1192,IF(COUNTIFS(Invoices!$C$6:$C$305,C1192,Invoices!$E$6:$E$305,"&lt;="&amp;B1192,Invoices!$F$6:$F$305,"&gt;="&amp;B1192)=1,INDEX(Invoices!$B$6:$B$305,SUMIFS(Invoices!$O$6:$O$305,Invoices!$C$6:$C$305,C1192,Invoices!$E$6:$E$305,"&lt;="&amp;B1192,Invoices!$F$6:$F$305,"&gt;="&amp;B1192)),IF(COUNTIFS(Invoices!$C$6:$C$305,C1192,Invoices!$E$6:$E$305,"&lt;="&amp;B1192,Invoices!$F$6:$F$305,"&gt;="&amp;B1192)&gt;1,"Two invoices",""))))</f>
        <v/>
      </c>
      <c r="Q1192" s="15">
        <f>IF(B1192="","",IF(J1192&lt;&gt;"","Not billable",IF(P1192="","To invoice",IF(P1192="Two invoices","Check dates",IF(ISNA(MATCH(P1192,Invoices!$B$6:$B$305,0)),"Check number",IF(INDEX(Invoices!$M$6:$M$305,MATCH(P1192,Invoices!$B$6:$B$305,0))="Paid","Paid",IF(INDEX(Invoices!$M$6:$M$305,MATCH(P1192,Invoices!$B$6:$B$305,0))="Draft","Draft","Invoiced")))))))</f>
        <v/>
      </c>
      <c r="R1192" s="1">
        <f>IF(AND(B1192&lt;&gt;"",P1192&lt;&gt;"",P1192=Invoice!$G$4),B1192+MOD(N(F1192),1)+ROW()/10000000,"")</f>
        <v/>
      </c>
      <c r="S1192">
        <f>IF(R1192="","",IF(D1192="","Other work",D1192)&amp;IF(AND(K1192&lt;&gt;"",E1192&lt;&gt;""),", "&amp;E1192,""))</f>
        <v/>
      </c>
      <c r="T1192">
        <f>IF(R1192="","",IF(COUNTIFS(R$6:R1191,"&gt;0",S$6:S1191,S1192,N$6:N1191,N1192)=0,R1192,""))</f>
        <v/>
      </c>
      <c r="U1192">
        <f>IF(B1192="","",IF(J1192&lt;&gt;"",0,M1192))</f>
        <v/>
      </c>
    </row>
    <row r="1193">
      <c r="A1193" s="1" t="n"/>
      <c r="B1193" s="16" t="n"/>
      <c r="C1193" s="17" t="n"/>
      <c r="D1193" s="18" t="n"/>
      <c r="E1193" s="18" t="n"/>
      <c r="F1193" s="19" t="n"/>
      <c r="G1193" s="19" t="n"/>
      <c r="H1193" s="20" t="n"/>
      <c r="I1193" s="21" t="n"/>
      <c r="J1193" s="22" t="n"/>
      <c r="K1193" s="23" t="n"/>
      <c r="L1193" s="18" t="n"/>
      <c r="M1193" s="24">
        <f>IF(B1193="","",IF(AND(F1193&lt;&gt;"",G1193&lt;&gt;""),MAX(0,ROUND(MOD(G1193-F1193,1)*24-N(H1193)/60,2)),N(I1193)))</f>
        <v/>
      </c>
      <c r="N1193" s="14">
        <f>IF(B1193="","",IF(K1193&lt;&gt;"",K1193,IF(N(IFERROR(INDEX(Projects!$D$6:$D$65,MATCH(D1193,Projects!$B$6:$B$65,0)),""))&gt;0,IFERROR(INDEX(Projects!$D$6:$D$65,MATCH(D1193,Projects!$B$6:$B$65,0)),""),IFERROR(INDEX(Clients!$G$6:$G$45,MATCH(C1193,Clients!$B$6:$B$45,0)),0))))</f>
        <v/>
      </c>
      <c r="O1193" s="14">
        <f>IF(B1193="","",IF(J1193&lt;&gt;"",0,ROUND(M1193*N1193,2)))</f>
        <v/>
      </c>
      <c r="P1193" s="15">
        <f>IF(OR(B1193="",J1193&lt;&gt;""),"",IF(L1193&lt;&gt;"",L1193,IF(COUNTIFS(Invoices!$C$6:$C$305,C1193,Invoices!$E$6:$E$305,"&lt;="&amp;B1193,Invoices!$F$6:$F$305,"&gt;="&amp;B1193)=1,INDEX(Invoices!$B$6:$B$305,SUMIFS(Invoices!$O$6:$O$305,Invoices!$C$6:$C$305,C1193,Invoices!$E$6:$E$305,"&lt;="&amp;B1193,Invoices!$F$6:$F$305,"&gt;="&amp;B1193)),IF(COUNTIFS(Invoices!$C$6:$C$305,C1193,Invoices!$E$6:$E$305,"&lt;="&amp;B1193,Invoices!$F$6:$F$305,"&gt;="&amp;B1193)&gt;1,"Two invoices",""))))</f>
        <v/>
      </c>
      <c r="Q1193" s="15">
        <f>IF(B1193="","",IF(J1193&lt;&gt;"","Not billable",IF(P1193="","To invoice",IF(P1193="Two invoices","Check dates",IF(ISNA(MATCH(P1193,Invoices!$B$6:$B$305,0)),"Check number",IF(INDEX(Invoices!$M$6:$M$305,MATCH(P1193,Invoices!$B$6:$B$305,0))="Paid","Paid",IF(INDEX(Invoices!$M$6:$M$305,MATCH(P1193,Invoices!$B$6:$B$305,0))="Draft","Draft","Invoiced")))))))</f>
        <v/>
      </c>
      <c r="R1193" s="1">
        <f>IF(AND(B1193&lt;&gt;"",P1193&lt;&gt;"",P1193=Invoice!$G$4),B1193+MOD(N(F1193),1)+ROW()/10000000,"")</f>
        <v/>
      </c>
      <c r="S1193">
        <f>IF(R1193="","",IF(D1193="","Other work",D1193)&amp;IF(AND(K1193&lt;&gt;"",E1193&lt;&gt;""),", "&amp;E1193,""))</f>
        <v/>
      </c>
      <c r="T1193">
        <f>IF(R1193="","",IF(COUNTIFS(R$6:R1192,"&gt;0",S$6:S1192,S1193,N$6:N1192,N1193)=0,R1193,""))</f>
        <v/>
      </c>
      <c r="U1193">
        <f>IF(B1193="","",IF(J1193&lt;&gt;"",0,M1193))</f>
        <v/>
      </c>
    </row>
    <row r="1194">
      <c r="A1194" s="1" t="n"/>
      <c r="B1194" s="16" t="n"/>
      <c r="C1194" s="17" t="n"/>
      <c r="D1194" s="18" t="n"/>
      <c r="E1194" s="18" t="n"/>
      <c r="F1194" s="19" t="n"/>
      <c r="G1194" s="19" t="n"/>
      <c r="H1194" s="20" t="n"/>
      <c r="I1194" s="21" t="n"/>
      <c r="J1194" s="22" t="n"/>
      <c r="K1194" s="23" t="n"/>
      <c r="L1194" s="18" t="n"/>
      <c r="M1194" s="24">
        <f>IF(B1194="","",IF(AND(F1194&lt;&gt;"",G1194&lt;&gt;""),MAX(0,ROUND(MOD(G1194-F1194,1)*24-N(H1194)/60,2)),N(I1194)))</f>
        <v/>
      </c>
      <c r="N1194" s="14">
        <f>IF(B1194="","",IF(K1194&lt;&gt;"",K1194,IF(N(IFERROR(INDEX(Projects!$D$6:$D$65,MATCH(D1194,Projects!$B$6:$B$65,0)),""))&gt;0,IFERROR(INDEX(Projects!$D$6:$D$65,MATCH(D1194,Projects!$B$6:$B$65,0)),""),IFERROR(INDEX(Clients!$G$6:$G$45,MATCH(C1194,Clients!$B$6:$B$45,0)),0))))</f>
        <v/>
      </c>
      <c r="O1194" s="14">
        <f>IF(B1194="","",IF(J1194&lt;&gt;"",0,ROUND(M1194*N1194,2)))</f>
        <v/>
      </c>
      <c r="P1194" s="15">
        <f>IF(OR(B1194="",J1194&lt;&gt;""),"",IF(L1194&lt;&gt;"",L1194,IF(COUNTIFS(Invoices!$C$6:$C$305,C1194,Invoices!$E$6:$E$305,"&lt;="&amp;B1194,Invoices!$F$6:$F$305,"&gt;="&amp;B1194)=1,INDEX(Invoices!$B$6:$B$305,SUMIFS(Invoices!$O$6:$O$305,Invoices!$C$6:$C$305,C1194,Invoices!$E$6:$E$305,"&lt;="&amp;B1194,Invoices!$F$6:$F$305,"&gt;="&amp;B1194)),IF(COUNTIFS(Invoices!$C$6:$C$305,C1194,Invoices!$E$6:$E$305,"&lt;="&amp;B1194,Invoices!$F$6:$F$305,"&gt;="&amp;B1194)&gt;1,"Two invoices",""))))</f>
        <v/>
      </c>
      <c r="Q1194" s="15">
        <f>IF(B1194="","",IF(J1194&lt;&gt;"","Not billable",IF(P1194="","To invoice",IF(P1194="Two invoices","Check dates",IF(ISNA(MATCH(P1194,Invoices!$B$6:$B$305,0)),"Check number",IF(INDEX(Invoices!$M$6:$M$305,MATCH(P1194,Invoices!$B$6:$B$305,0))="Paid","Paid",IF(INDEX(Invoices!$M$6:$M$305,MATCH(P1194,Invoices!$B$6:$B$305,0))="Draft","Draft","Invoiced")))))))</f>
        <v/>
      </c>
      <c r="R1194" s="1">
        <f>IF(AND(B1194&lt;&gt;"",P1194&lt;&gt;"",P1194=Invoice!$G$4),B1194+MOD(N(F1194),1)+ROW()/10000000,"")</f>
        <v/>
      </c>
      <c r="S1194">
        <f>IF(R1194="","",IF(D1194="","Other work",D1194)&amp;IF(AND(K1194&lt;&gt;"",E1194&lt;&gt;""),", "&amp;E1194,""))</f>
        <v/>
      </c>
      <c r="T1194">
        <f>IF(R1194="","",IF(COUNTIFS(R$6:R1193,"&gt;0",S$6:S1193,S1194,N$6:N1193,N1194)=0,R1194,""))</f>
        <v/>
      </c>
      <c r="U1194">
        <f>IF(B1194="","",IF(J1194&lt;&gt;"",0,M1194))</f>
        <v/>
      </c>
    </row>
    <row r="1195">
      <c r="A1195" s="1" t="n"/>
      <c r="B1195" s="16" t="n"/>
      <c r="C1195" s="17" t="n"/>
      <c r="D1195" s="18" t="n"/>
      <c r="E1195" s="18" t="n"/>
      <c r="F1195" s="19" t="n"/>
      <c r="G1195" s="19" t="n"/>
      <c r="H1195" s="20" t="n"/>
      <c r="I1195" s="21" t="n"/>
      <c r="J1195" s="22" t="n"/>
      <c r="K1195" s="23" t="n"/>
      <c r="L1195" s="18" t="n"/>
      <c r="M1195" s="24">
        <f>IF(B1195="","",IF(AND(F1195&lt;&gt;"",G1195&lt;&gt;""),MAX(0,ROUND(MOD(G1195-F1195,1)*24-N(H1195)/60,2)),N(I1195)))</f>
        <v/>
      </c>
      <c r="N1195" s="14">
        <f>IF(B1195="","",IF(K1195&lt;&gt;"",K1195,IF(N(IFERROR(INDEX(Projects!$D$6:$D$65,MATCH(D1195,Projects!$B$6:$B$65,0)),""))&gt;0,IFERROR(INDEX(Projects!$D$6:$D$65,MATCH(D1195,Projects!$B$6:$B$65,0)),""),IFERROR(INDEX(Clients!$G$6:$G$45,MATCH(C1195,Clients!$B$6:$B$45,0)),0))))</f>
        <v/>
      </c>
      <c r="O1195" s="14">
        <f>IF(B1195="","",IF(J1195&lt;&gt;"",0,ROUND(M1195*N1195,2)))</f>
        <v/>
      </c>
      <c r="P1195" s="15">
        <f>IF(OR(B1195="",J1195&lt;&gt;""),"",IF(L1195&lt;&gt;"",L1195,IF(COUNTIFS(Invoices!$C$6:$C$305,C1195,Invoices!$E$6:$E$305,"&lt;="&amp;B1195,Invoices!$F$6:$F$305,"&gt;="&amp;B1195)=1,INDEX(Invoices!$B$6:$B$305,SUMIFS(Invoices!$O$6:$O$305,Invoices!$C$6:$C$305,C1195,Invoices!$E$6:$E$305,"&lt;="&amp;B1195,Invoices!$F$6:$F$305,"&gt;="&amp;B1195)),IF(COUNTIFS(Invoices!$C$6:$C$305,C1195,Invoices!$E$6:$E$305,"&lt;="&amp;B1195,Invoices!$F$6:$F$305,"&gt;="&amp;B1195)&gt;1,"Two invoices",""))))</f>
        <v/>
      </c>
      <c r="Q1195" s="15">
        <f>IF(B1195="","",IF(J1195&lt;&gt;"","Not billable",IF(P1195="","To invoice",IF(P1195="Two invoices","Check dates",IF(ISNA(MATCH(P1195,Invoices!$B$6:$B$305,0)),"Check number",IF(INDEX(Invoices!$M$6:$M$305,MATCH(P1195,Invoices!$B$6:$B$305,0))="Paid","Paid",IF(INDEX(Invoices!$M$6:$M$305,MATCH(P1195,Invoices!$B$6:$B$305,0))="Draft","Draft","Invoiced")))))))</f>
        <v/>
      </c>
      <c r="R1195" s="1">
        <f>IF(AND(B1195&lt;&gt;"",P1195&lt;&gt;"",P1195=Invoice!$G$4),B1195+MOD(N(F1195),1)+ROW()/10000000,"")</f>
        <v/>
      </c>
      <c r="S1195">
        <f>IF(R1195="","",IF(D1195="","Other work",D1195)&amp;IF(AND(K1195&lt;&gt;"",E1195&lt;&gt;""),", "&amp;E1195,""))</f>
        <v/>
      </c>
      <c r="T1195">
        <f>IF(R1195="","",IF(COUNTIFS(R$6:R1194,"&gt;0",S$6:S1194,S1195,N$6:N1194,N1195)=0,R1195,""))</f>
        <v/>
      </c>
      <c r="U1195">
        <f>IF(B1195="","",IF(J1195&lt;&gt;"",0,M1195))</f>
        <v/>
      </c>
    </row>
    <row r="1196">
      <c r="A1196" s="1" t="n"/>
      <c r="B1196" s="16" t="n"/>
      <c r="C1196" s="17" t="n"/>
      <c r="D1196" s="18" t="n"/>
      <c r="E1196" s="18" t="n"/>
      <c r="F1196" s="19" t="n"/>
      <c r="G1196" s="19" t="n"/>
      <c r="H1196" s="20" t="n"/>
      <c r="I1196" s="21" t="n"/>
      <c r="J1196" s="22" t="n"/>
      <c r="K1196" s="23" t="n"/>
      <c r="L1196" s="18" t="n"/>
      <c r="M1196" s="24">
        <f>IF(B1196="","",IF(AND(F1196&lt;&gt;"",G1196&lt;&gt;""),MAX(0,ROUND(MOD(G1196-F1196,1)*24-N(H1196)/60,2)),N(I1196)))</f>
        <v/>
      </c>
      <c r="N1196" s="14">
        <f>IF(B1196="","",IF(K1196&lt;&gt;"",K1196,IF(N(IFERROR(INDEX(Projects!$D$6:$D$65,MATCH(D1196,Projects!$B$6:$B$65,0)),""))&gt;0,IFERROR(INDEX(Projects!$D$6:$D$65,MATCH(D1196,Projects!$B$6:$B$65,0)),""),IFERROR(INDEX(Clients!$G$6:$G$45,MATCH(C1196,Clients!$B$6:$B$45,0)),0))))</f>
        <v/>
      </c>
      <c r="O1196" s="14">
        <f>IF(B1196="","",IF(J1196&lt;&gt;"",0,ROUND(M1196*N1196,2)))</f>
        <v/>
      </c>
      <c r="P1196" s="15">
        <f>IF(OR(B1196="",J1196&lt;&gt;""),"",IF(L1196&lt;&gt;"",L1196,IF(COUNTIFS(Invoices!$C$6:$C$305,C1196,Invoices!$E$6:$E$305,"&lt;="&amp;B1196,Invoices!$F$6:$F$305,"&gt;="&amp;B1196)=1,INDEX(Invoices!$B$6:$B$305,SUMIFS(Invoices!$O$6:$O$305,Invoices!$C$6:$C$305,C1196,Invoices!$E$6:$E$305,"&lt;="&amp;B1196,Invoices!$F$6:$F$305,"&gt;="&amp;B1196)),IF(COUNTIFS(Invoices!$C$6:$C$305,C1196,Invoices!$E$6:$E$305,"&lt;="&amp;B1196,Invoices!$F$6:$F$305,"&gt;="&amp;B1196)&gt;1,"Two invoices",""))))</f>
        <v/>
      </c>
      <c r="Q1196" s="15">
        <f>IF(B1196="","",IF(J1196&lt;&gt;"","Not billable",IF(P1196="","To invoice",IF(P1196="Two invoices","Check dates",IF(ISNA(MATCH(P1196,Invoices!$B$6:$B$305,0)),"Check number",IF(INDEX(Invoices!$M$6:$M$305,MATCH(P1196,Invoices!$B$6:$B$305,0))="Paid","Paid",IF(INDEX(Invoices!$M$6:$M$305,MATCH(P1196,Invoices!$B$6:$B$305,0))="Draft","Draft","Invoiced")))))))</f>
        <v/>
      </c>
      <c r="R1196" s="1">
        <f>IF(AND(B1196&lt;&gt;"",P1196&lt;&gt;"",P1196=Invoice!$G$4),B1196+MOD(N(F1196),1)+ROW()/10000000,"")</f>
        <v/>
      </c>
      <c r="S1196">
        <f>IF(R1196="","",IF(D1196="","Other work",D1196)&amp;IF(AND(K1196&lt;&gt;"",E1196&lt;&gt;""),", "&amp;E1196,""))</f>
        <v/>
      </c>
      <c r="T1196">
        <f>IF(R1196="","",IF(COUNTIFS(R$6:R1195,"&gt;0",S$6:S1195,S1196,N$6:N1195,N1196)=0,R1196,""))</f>
        <v/>
      </c>
      <c r="U1196">
        <f>IF(B1196="","",IF(J1196&lt;&gt;"",0,M1196))</f>
        <v/>
      </c>
    </row>
    <row r="1197">
      <c r="A1197" s="1" t="n"/>
      <c r="B1197" s="16" t="n"/>
      <c r="C1197" s="17" t="n"/>
      <c r="D1197" s="18" t="n"/>
      <c r="E1197" s="18" t="n"/>
      <c r="F1197" s="19" t="n"/>
      <c r="G1197" s="19" t="n"/>
      <c r="H1197" s="20" t="n"/>
      <c r="I1197" s="21" t="n"/>
      <c r="J1197" s="22" t="n"/>
      <c r="K1197" s="23" t="n"/>
      <c r="L1197" s="18" t="n"/>
      <c r="M1197" s="24">
        <f>IF(B1197="","",IF(AND(F1197&lt;&gt;"",G1197&lt;&gt;""),MAX(0,ROUND(MOD(G1197-F1197,1)*24-N(H1197)/60,2)),N(I1197)))</f>
        <v/>
      </c>
      <c r="N1197" s="14">
        <f>IF(B1197="","",IF(K1197&lt;&gt;"",K1197,IF(N(IFERROR(INDEX(Projects!$D$6:$D$65,MATCH(D1197,Projects!$B$6:$B$65,0)),""))&gt;0,IFERROR(INDEX(Projects!$D$6:$D$65,MATCH(D1197,Projects!$B$6:$B$65,0)),""),IFERROR(INDEX(Clients!$G$6:$G$45,MATCH(C1197,Clients!$B$6:$B$45,0)),0))))</f>
        <v/>
      </c>
      <c r="O1197" s="14">
        <f>IF(B1197="","",IF(J1197&lt;&gt;"",0,ROUND(M1197*N1197,2)))</f>
        <v/>
      </c>
      <c r="P1197" s="15">
        <f>IF(OR(B1197="",J1197&lt;&gt;""),"",IF(L1197&lt;&gt;"",L1197,IF(COUNTIFS(Invoices!$C$6:$C$305,C1197,Invoices!$E$6:$E$305,"&lt;="&amp;B1197,Invoices!$F$6:$F$305,"&gt;="&amp;B1197)=1,INDEX(Invoices!$B$6:$B$305,SUMIFS(Invoices!$O$6:$O$305,Invoices!$C$6:$C$305,C1197,Invoices!$E$6:$E$305,"&lt;="&amp;B1197,Invoices!$F$6:$F$305,"&gt;="&amp;B1197)),IF(COUNTIFS(Invoices!$C$6:$C$305,C1197,Invoices!$E$6:$E$305,"&lt;="&amp;B1197,Invoices!$F$6:$F$305,"&gt;="&amp;B1197)&gt;1,"Two invoices",""))))</f>
        <v/>
      </c>
      <c r="Q1197" s="15">
        <f>IF(B1197="","",IF(J1197&lt;&gt;"","Not billable",IF(P1197="","To invoice",IF(P1197="Two invoices","Check dates",IF(ISNA(MATCH(P1197,Invoices!$B$6:$B$305,0)),"Check number",IF(INDEX(Invoices!$M$6:$M$305,MATCH(P1197,Invoices!$B$6:$B$305,0))="Paid","Paid",IF(INDEX(Invoices!$M$6:$M$305,MATCH(P1197,Invoices!$B$6:$B$305,0))="Draft","Draft","Invoiced")))))))</f>
        <v/>
      </c>
      <c r="R1197" s="1">
        <f>IF(AND(B1197&lt;&gt;"",P1197&lt;&gt;"",P1197=Invoice!$G$4),B1197+MOD(N(F1197),1)+ROW()/10000000,"")</f>
        <v/>
      </c>
      <c r="S1197">
        <f>IF(R1197="","",IF(D1197="","Other work",D1197)&amp;IF(AND(K1197&lt;&gt;"",E1197&lt;&gt;""),", "&amp;E1197,""))</f>
        <v/>
      </c>
      <c r="T1197">
        <f>IF(R1197="","",IF(COUNTIFS(R$6:R1196,"&gt;0",S$6:S1196,S1197,N$6:N1196,N1197)=0,R1197,""))</f>
        <v/>
      </c>
      <c r="U1197">
        <f>IF(B1197="","",IF(J1197&lt;&gt;"",0,M1197))</f>
        <v/>
      </c>
    </row>
    <row r="1198">
      <c r="A1198" s="1" t="n"/>
      <c r="B1198" s="16" t="n"/>
      <c r="C1198" s="17" t="n"/>
      <c r="D1198" s="18" t="n"/>
      <c r="E1198" s="18" t="n"/>
      <c r="F1198" s="19" t="n"/>
      <c r="G1198" s="19" t="n"/>
      <c r="H1198" s="20" t="n"/>
      <c r="I1198" s="21" t="n"/>
      <c r="J1198" s="22" t="n"/>
      <c r="K1198" s="23" t="n"/>
      <c r="L1198" s="18" t="n"/>
      <c r="M1198" s="24">
        <f>IF(B1198="","",IF(AND(F1198&lt;&gt;"",G1198&lt;&gt;""),MAX(0,ROUND(MOD(G1198-F1198,1)*24-N(H1198)/60,2)),N(I1198)))</f>
        <v/>
      </c>
      <c r="N1198" s="14">
        <f>IF(B1198="","",IF(K1198&lt;&gt;"",K1198,IF(N(IFERROR(INDEX(Projects!$D$6:$D$65,MATCH(D1198,Projects!$B$6:$B$65,0)),""))&gt;0,IFERROR(INDEX(Projects!$D$6:$D$65,MATCH(D1198,Projects!$B$6:$B$65,0)),""),IFERROR(INDEX(Clients!$G$6:$G$45,MATCH(C1198,Clients!$B$6:$B$45,0)),0))))</f>
        <v/>
      </c>
      <c r="O1198" s="14">
        <f>IF(B1198="","",IF(J1198&lt;&gt;"",0,ROUND(M1198*N1198,2)))</f>
        <v/>
      </c>
      <c r="P1198" s="15">
        <f>IF(OR(B1198="",J1198&lt;&gt;""),"",IF(L1198&lt;&gt;"",L1198,IF(COUNTIFS(Invoices!$C$6:$C$305,C1198,Invoices!$E$6:$E$305,"&lt;="&amp;B1198,Invoices!$F$6:$F$305,"&gt;="&amp;B1198)=1,INDEX(Invoices!$B$6:$B$305,SUMIFS(Invoices!$O$6:$O$305,Invoices!$C$6:$C$305,C1198,Invoices!$E$6:$E$305,"&lt;="&amp;B1198,Invoices!$F$6:$F$305,"&gt;="&amp;B1198)),IF(COUNTIFS(Invoices!$C$6:$C$305,C1198,Invoices!$E$6:$E$305,"&lt;="&amp;B1198,Invoices!$F$6:$F$305,"&gt;="&amp;B1198)&gt;1,"Two invoices",""))))</f>
        <v/>
      </c>
      <c r="Q1198" s="15">
        <f>IF(B1198="","",IF(J1198&lt;&gt;"","Not billable",IF(P1198="","To invoice",IF(P1198="Two invoices","Check dates",IF(ISNA(MATCH(P1198,Invoices!$B$6:$B$305,0)),"Check number",IF(INDEX(Invoices!$M$6:$M$305,MATCH(P1198,Invoices!$B$6:$B$305,0))="Paid","Paid",IF(INDEX(Invoices!$M$6:$M$305,MATCH(P1198,Invoices!$B$6:$B$305,0))="Draft","Draft","Invoiced")))))))</f>
        <v/>
      </c>
      <c r="R1198" s="1">
        <f>IF(AND(B1198&lt;&gt;"",P1198&lt;&gt;"",P1198=Invoice!$G$4),B1198+MOD(N(F1198),1)+ROW()/10000000,"")</f>
        <v/>
      </c>
      <c r="S1198">
        <f>IF(R1198="","",IF(D1198="","Other work",D1198)&amp;IF(AND(K1198&lt;&gt;"",E1198&lt;&gt;""),", "&amp;E1198,""))</f>
        <v/>
      </c>
      <c r="T1198">
        <f>IF(R1198="","",IF(COUNTIFS(R$6:R1197,"&gt;0",S$6:S1197,S1198,N$6:N1197,N1198)=0,R1198,""))</f>
        <v/>
      </c>
      <c r="U1198">
        <f>IF(B1198="","",IF(J1198&lt;&gt;"",0,M1198))</f>
        <v/>
      </c>
    </row>
    <row r="1199">
      <c r="A1199" s="1" t="n"/>
      <c r="B1199" s="16" t="n"/>
      <c r="C1199" s="17" t="n"/>
      <c r="D1199" s="18" t="n"/>
      <c r="E1199" s="18" t="n"/>
      <c r="F1199" s="19" t="n"/>
      <c r="G1199" s="19" t="n"/>
      <c r="H1199" s="20" t="n"/>
      <c r="I1199" s="21" t="n"/>
      <c r="J1199" s="22" t="n"/>
      <c r="K1199" s="23" t="n"/>
      <c r="L1199" s="18" t="n"/>
      <c r="M1199" s="24">
        <f>IF(B1199="","",IF(AND(F1199&lt;&gt;"",G1199&lt;&gt;""),MAX(0,ROUND(MOD(G1199-F1199,1)*24-N(H1199)/60,2)),N(I1199)))</f>
        <v/>
      </c>
      <c r="N1199" s="14">
        <f>IF(B1199="","",IF(K1199&lt;&gt;"",K1199,IF(N(IFERROR(INDEX(Projects!$D$6:$D$65,MATCH(D1199,Projects!$B$6:$B$65,0)),""))&gt;0,IFERROR(INDEX(Projects!$D$6:$D$65,MATCH(D1199,Projects!$B$6:$B$65,0)),""),IFERROR(INDEX(Clients!$G$6:$G$45,MATCH(C1199,Clients!$B$6:$B$45,0)),0))))</f>
        <v/>
      </c>
      <c r="O1199" s="14">
        <f>IF(B1199="","",IF(J1199&lt;&gt;"",0,ROUND(M1199*N1199,2)))</f>
        <v/>
      </c>
      <c r="P1199" s="15">
        <f>IF(OR(B1199="",J1199&lt;&gt;""),"",IF(L1199&lt;&gt;"",L1199,IF(COUNTIFS(Invoices!$C$6:$C$305,C1199,Invoices!$E$6:$E$305,"&lt;="&amp;B1199,Invoices!$F$6:$F$305,"&gt;="&amp;B1199)=1,INDEX(Invoices!$B$6:$B$305,SUMIFS(Invoices!$O$6:$O$305,Invoices!$C$6:$C$305,C1199,Invoices!$E$6:$E$305,"&lt;="&amp;B1199,Invoices!$F$6:$F$305,"&gt;="&amp;B1199)),IF(COUNTIFS(Invoices!$C$6:$C$305,C1199,Invoices!$E$6:$E$305,"&lt;="&amp;B1199,Invoices!$F$6:$F$305,"&gt;="&amp;B1199)&gt;1,"Two invoices",""))))</f>
        <v/>
      </c>
      <c r="Q1199" s="15">
        <f>IF(B1199="","",IF(J1199&lt;&gt;"","Not billable",IF(P1199="","To invoice",IF(P1199="Two invoices","Check dates",IF(ISNA(MATCH(P1199,Invoices!$B$6:$B$305,0)),"Check number",IF(INDEX(Invoices!$M$6:$M$305,MATCH(P1199,Invoices!$B$6:$B$305,0))="Paid","Paid",IF(INDEX(Invoices!$M$6:$M$305,MATCH(P1199,Invoices!$B$6:$B$305,0))="Draft","Draft","Invoiced")))))))</f>
        <v/>
      </c>
      <c r="R1199" s="1">
        <f>IF(AND(B1199&lt;&gt;"",P1199&lt;&gt;"",P1199=Invoice!$G$4),B1199+MOD(N(F1199),1)+ROW()/10000000,"")</f>
        <v/>
      </c>
      <c r="S1199">
        <f>IF(R1199="","",IF(D1199="","Other work",D1199)&amp;IF(AND(K1199&lt;&gt;"",E1199&lt;&gt;""),", "&amp;E1199,""))</f>
        <v/>
      </c>
      <c r="T1199">
        <f>IF(R1199="","",IF(COUNTIFS(R$6:R1198,"&gt;0",S$6:S1198,S1199,N$6:N1198,N1199)=0,R1199,""))</f>
        <v/>
      </c>
      <c r="U1199">
        <f>IF(B1199="","",IF(J1199&lt;&gt;"",0,M1199))</f>
        <v/>
      </c>
    </row>
    <row r="1200">
      <c r="A1200" s="1" t="n"/>
      <c r="B1200" s="16" t="n"/>
      <c r="C1200" s="17" t="n"/>
      <c r="D1200" s="18" t="n"/>
      <c r="E1200" s="18" t="n"/>
      <c r="F1200" s="19" t="n"/>
      <c r="G1200" s="19" t="n"/>
      <c r="H1200" s="20" t="n"/>
      <c r="I1200" s="21" t="n"/>
      <c r="J1200" s="22" t="n"/>
      <c r="K1200" s="23" t="n"/>
      <c r="L1200" s="18" t="n"/>
      <c r="M1200" s="24">
        <f>IF(B1200="","",IF(AND(F1200&lt;&gt;"",G1200&lt;&gt;""),MAX(0,ROUND(MOD(G1200-F1200,1)*24-N(H1200)/60,2)),N(I1200)))</f>
        <v/>
      </c>
      <c r="N1200" s="14">
        <f>IF(B1200="","",IF(K1200&lt;&gt;"",K1200,IF(N(IFERROR(INDEX(Projects!$D$6:$D$65,MATCH(D1200,Projects!$B$6:$B$65,0)),""))&gt;0,IFERROR(INDEX(Projects!$D$6:$D$65,MATCH(D1200,Projects!$B$6:$B$65,0)),""),IFERROR(INDEX(Clients!$G$6:$G$45,MATCH(C1200,Clients!$B$6:$B$45,0)),0))))</f>
        <v/>
      </c>
      <c r="O1200" s="14">
        <f>IF(B1200="","",IF(J1200&lt;&gt;"",0,ROUND(M1200*N1200,2)))</f>
        <v/>
      </c>
      <c r="P1200" s="15">
        <f>IF(OR(B1200="",J1200&lt;&gt;""),"",IF(L1200&lt;&gt;"",L1200,IF(COUNTIFS(Invoices!$C$6:$C$305,C1200,Invoices!$E$6:$E$305,"&lt;="&amp;B1200,Invoices!$F$6:$F$305,"&gt;="&amp;B1200)=1,INDEX(Invoices!$B$6:$B$305,SUMIFS(Invoices!$O$6:$O$305,Invoices!$C$6:$C$305,C1200,Invoices!$E$6:$E$305,"&lt;="&amp;B1200,Invoices!$F$6:$F$305,"&gt;="&amp;B1200)),IF(COUNTIFS(Invoices!$C$6:$C$305,C1200,Invoices!$E$6:$E$305,"&lt;="&amp;B1200,Invoices!$F$6:$F$305,"&gt;="&amp;B1200)&gt;1,"Two invoices",""))))</f>
        <v/>
      </c>
      <c r="Q1200" s="15">
        <f>IF(B1200="","",IF(J1200&lt;&gt;"","Not billable",IF(P1200="","To invoice",IF(P1200="Two invoices","Check dates",IF(ISNA(MATCH(P1200,Invoices!$B$6:$B$305,0)),"Check number",IF(INDEX(Invoices!$M$6:$M$305,MATCH(P1200,Invoices!$B$6:$B$305,0))="Paid","Paid",IF(INDEX(Invoices!$M$6:$M$305,MATCH(P1200,Invoices!$B$6:$B$305,0))="Draft","Draft","Invoiced")))))))</f>
        <v/>
      </c>
      <c r="R1200" s="1">
        <f>IF(AND(B1200&lt;&gt;"",P1200&lt;&gt;"",P1200=Invoice!$G$4),B1200+MOD(N(F1200),1)+ROW()/10000000,"")</f>
        <v/>
      </c>
      <c r="S1200">
        <f>IF(R1200="","",IF(D1200="","Other work",D1200)&amp;IF(AND(K1200&lt;&gt;"",E1200&lt;&gt;""),", "&amp;E1200,""))</f>
        <v/>
      </c>
      <c r="T1200">
        <f>IF(R1200="","",IF(COUNTIFS(R$6:R1199,"&gt;0",S$6:S1199,S1200,N$6:N1199,N1200)=0,R1200,""))</f>
        <v/>
      </c>
      <c r="U1200">
        <f>IF(B1200="","",IF(J1200&lt;&gt;"",0,M1200))</f>
        <v/>
      </c>
    </row>
    <row r="1201">
      <c r="A1201" s="1" t="n"/>
      <c r="B1201" s="16" t="n"/>
      <c r="C1201" s="17" t="n"/>
      <c r="D1201" s="18" t="n"/>
      <c r="E1201" s="18" t="n"/>
      <c r="F1201" s="19" t="n"/>
      <c r="G1201" s="19" t="n"/>
      <c r="H1201" s="20" t="n"/>
      <c r="I1201" s="21" t="n"/>
      <c r="J1201" s="22" t="n"/>
      <c r="K1201" s="23" t="n"/>
      <c r="L1201" s="18" t="n"/>
      <c r="M1201" s="24">
        <f>IF(B1201="","",IF(AND(F1201&lt;&gt;"",G1201&lt;&gt;""),MAX(0,ROUND(MOD(G1201-F1201,1)*24-N(H1201)/60,2)),N(I1201)))</f>
        <v/>
      </c>
      <c r="N1201" s="14">
        <f>IF(B1201="","",IF(K1201&lt;&gt;"",K1201,IF(N(IFERROR(INDEX(Projects!$D$6:$D$65,MATCH(D1201,Projects!$B$6:$B$65,0)),""))&gt;0,IFERROR(INDEX(Projects!$D$6:$D$65,MATCH(D1201,Projects!$B$6:$B$65,0)),""),IFERROR(INDEX(Clients!$G$6:$G$45,MATCH(C1201,Clients!$B$6:$B$45,0)),0))))</f>
        <v/>
      </c>
      <c r="O1201" s="14">
        <f>IF(B1201="","",IF(J1201&lt;&gt;"",0,ROUND(M1201*N1201,2)))</f>
        <v/>
      </c>
      <c r="P1201" s="15">
        <f>IF(OR(B1201="",J1201&lt;&gt;""),"",IF(L1201&lt;&gt;"",L1201,IF(COUNTIFS(Invoices!$C$6:$C$305,C1201,Invoices!$E$6:$E$305,"&lt;="&amp;B1201,Invoices!$F$6:$F$305,"&gt;="&amp;B1201)=1,INDEX(Invoices!$B$6:$B$305,SUMIFS(Invoices!$O$6:$O$305,Invoices!$C$6:$C$305,C1201,Invoices!$E$6:$E$305,"&lt;="&amp;B1201,Invoices!$F$6:$F$305,"&gt;="&amp;B1201)),IF(COUNTIFS(Invoices!$C$6:$C$305,C1201,Invoices!$E$6:$E$305,"&lt;="&amp;B1201,Invoices!$F$6:$F$305,"&gt;="&amp;B1201)&gt;1,"Two invoices",""))))</f>
        <v/>
      </c>
      <c r="Q1201" s="15">
        <f>IF(B1201="","",IF(J1201&lt;&gt;"","Not billable",IF(P1201="","To invoice",IF(P1201="Two invoices","Check dates",IF(ISNA(MATCH(P1201,Invoices!$B$6:$B$305,0)),"Check number",IF(INDEX(Invoices!$M$6:$M$305,MATCH(P1201,Invoices!$B$6:$B$305,0))="Paid","Paid",IF(INDEX(Invoices!$M$6:$M$305,MATCH(P1201,Invoices!$B$6:$B$305,0))="Draft","Draft","Invoiced")))))))</f>
        <v/>
      </c>
      <c r="R1201" s="1">
        <f>IF(AND(B1201&lt;&gt;"",P1201&lt;&gt;"",P1201=Invoice!$G$4),B1201+MOD(N(F1201),1)+ROW()/10000000,"")</f>
        <v/>
      </c>
      <c r="S1201">
        <f>IF(R1201="","",IF(D1201="","Other work",D1201)&amp;IF(AND(K1201&lt;&gt;"",E1201&lt;&gt;""),", "&amp;E1201,""))</f>
        <v/>
      </c>
      <c r="T1201">
        <f>IF(R1201="","",IF(COUNTIFS(R$6:R1200,"&gt;0",S$6:S1200,S1201,N$6:N1200,N1201)=0,R1201,""))</f>
        <v/>
      </c>
      <c r="U1201">
        <f>IF(B1201="","",IF(J1201&lt;&gt;"",0,M1201))</f>
        <v/>
      </c>
    </row>
    <row r="1202">
      <c r="A1202" s="1" t="n"/>
      <c r="B1202" s="16" t="n"/>
      <c r="C1202" s="17" t="n"/>
      <c r="D1202" s="18" t="n"/>
      <c r="E1202" s="18" t="n"/>
      <c r="F1202" s="19" t="n"/>
      <c r="G1202" s="19" t="n"/>
      <c r="H1202" s="20" t="n"/>
      <c r="I1202" s="21" t="n"/>
      <c r="J1202" s="22" t="n"/>
      <c r="K1202" s="23" t="n"/>
      <c r="L1202" s="18" t="n"/>
      <c r="M1202" s="24">
        <f>IF(B1202="","",IF(AND(F1202&lt;&gt;"",G1202&lt;&gt;""),MAX(0,ROUND(MOD(G1202-F1202,1)*24-N(H1202)/60,2)),N(I1202)))</f>
        <v/>
      </c>
      <c r="N1202" s="14">
        <f>IF(B1202="","",IF(K1202&lt;&gt;"",K1202,IF(N(IFERROR(INDEX(Projects!$D$6:$D$65,MATCH(D1202,Projects!$B$6:$B$65,0)),""))&gt;0,IFERROR(INDEX(Projects!$D$6:$D$65,MATCH(D1202,Projects!$B$6:$B$65,0)),""),IFERROR(INDEX(Clients!$G$6:$G$45,MATCH(C1202,Clients!$B$6:$B$45,0)),0))))</f>
        <v/>
      </c>
      <c r="O1202" s="14">
        <f>IF(B1202="","",IF(J1202&lt;&gt;"",0,ROUND(M1202*N1202,2)))</f>
        <v/>
      </c>
      <c r="P1202" s="15">
        <f>IF(OR(B1202="",J1202&lt;&gt;""),"",IF(L1202&lt;&gt;"",L1202,IF(COUNTIFS(Invoices!$C$6:$C$305,C1202,Invoices!$E$6:$E$305,"&lt;="&amp;B1202,Invoices!$F$6:$F$305,"&gt;="&amp;B1202)=1,INDEX(Invoices!$B$6:$B$305,SUMIFS(Invoices!$O$6:$O$305,Invoices!$C$6:$C$305,C1202,Invoices!$E$6:$E$305,"&lt;="&amp;B1202,Invoices!$F$6:$F$305,"&gt;="&amp;B1202)),IF(COUNTIFS(Invoices!$C$6:$C$305,C1202,Invoices!$E$6:$E$305,"&lt;="&amp;B1202,Invoices!$F$6:$F$305,"&gt;="&amp;B1202)&gt;1,"Two invoices",""))))</f>
        <v/>
      </c>
      <c r="Q1202" s="15">
        <f>IF(B1202="","",IF(J1202&lt;&gt;"","Not billable",IF(P1202="","To invoice",IF(P1202="Two invoices","Check dates",IF(ISNA(MATCH(P1202,Invoices!$B$6:$B$305,0)),"Check number",IF(INDEX(Invoices!$M$6:$M$305,MATCH(P1202,Invoices!$B$6:$B$305,0))="Paid","Paid",IF(INDEX(Invoices!$M$6:$M$305,MATCH(P1202,Invoices!$B$6:$B$305,0))="Draft","Draft","Invoiced")))))))</f>
        <v/>
      </c>
      <c r="R1202" s="1">
        <f>IF(AND(B1202&lt;&gt;"",P1202&lt;&gt;"",P1202=Invoice!$G$4),B1202+MOD(N(F1202),1)+ROW()/10000000,"")</f>
        <v/>
      </c>
      <c r="S1202">
        <f>IF(R1202="","",IF(D1202="","Other work",D1202)&amp;IF(AND(K1202&lt;&gt;"",E1202&lt;&gt;""),", "&amp;E1202,""))</f>
        <v/>
      </c>
      <c r="T1202">
        <f>IF(R1202="","",IF(COUNTIFS(R$6:R1201,"&gt;0",S$6:S1201,S1202,N$6:N1201,N1202)=0,R1202,""))</f>
        <v/>
      </c>
      <c r="U1202">
        <f>IF(B1202="","",IF(J1202&lt;&gt;"",0,M1202))</f>
        <v/>
      </c>
    </row>
    <row r="1203">
      <c r="A1203" s="1" t="n"/>
      <c r="B1203" s="16" t="n"/>
      <c r="C1203" s="17" t="n"/>
      <c r="D1203" s="18" t="n"/>
      <c r="E1203" s="18" t="n"/>
      <c r="F1203" s="19" t="n"/>
      <c r="G1203" s="19" t="n"/>
      <c r="H1203" s="20" t="n"/>
      <c r="I1203" s="21" t="n"/>
      <c r="J1203" s="22" t="n"/>
      <c r="K1203" s="23" t="n"/>
      <c r="L1203" s="18" t="n"/>
      <c r="M1203" s="24">
        <f>IF(B1203="","",IF(AND(F1203&lt;&gt;"",G1203&lt;&gt;""),MAX(0,ROUND(MOD(G1203-F1203,1)*24-N(H1203)/60,2)),N(I1203)))</f>
        <v/>
      </c>
      <c r="N1203" s="14">
        <f>IF(B1203="","",IF(K1203&lt;&gt;"",K1203,IF(N(IFERROR(INDEX(Projects!$D$6:$D$65,MATCH(D1203,Projects!$B$6:$B$65,0)),""))&gt;0,IFERROR(INDEX(Projects!$D$6:$D$65,MATCH(D1203,Projects!$B$6:$B$65,0)),""),IFERROR(INDEX(Clients!$G$6:$G$45,MATCH(C1203,Clients!$B$6:$B$45,0)),0))))</f>
        <v/>
      </c>
      <c r="O1203" s="14">
        <f>IF(B1203="","",IF(J1203&lt;&gt;"",0,ROUND(M1203*N1203,2)))</f>
        <v/>
      </c>
      <c r="P1203" s="15">
        <f>IF(OR(B1203="",J1203&lt;&gt;""),"",IF(L1203&lt;&gt;"",L1203,IF(COUNTIFS(Invoices!$C$6:$C$305,C1203,Invoices!$E$6:$E$305,"&lt;="&amp;B1203,Invoices!$F$6:$F$305,"&gt;="&amp;B1203)=1,INDEX(Invoices!$B$6:$B$305,SUMIFS(Invoices!$O$6:$O$305,Invoices!$C$6:$C$305,C1203,Invoices!$E$6:$E$305,"&lt;="&amp;B1203,Invoices!$F$6:$F$305,"&gt;="&amp;B1203)),IF(COUNTIFS(Invoices!$C$6:$C$305,C1203,Invoices!$E$6:$E$305,"&lt;="&amp;B1203,Invoices!$F$6:$F$305,"&gt;="&amp;B1203)&gt;1,"Two invoices",""))))</f>
        <v/>
      </c>
      <c r="Q1203" s="15">
        <f>IF(B1203="","",IF(J1203&lt;&gt;"","Not billable",IF(P1203="","To invoice",IF(P1203="Two invoices","Check dates",IF(ISNA(MATCH(P1203,Invoices!$B$6:$B$305,0)),"Check number",IF(INDEX(Invoices!$M$6:$M$305,MATCH(P1203,Invoices!$B$6:$B$305,0))="Paid","Paid",IF(INDEX(Invoices!$M$6:$M$305,MATCH(P1203,Invoices!$B$6:$B$305,0))="Draft","Draft","Invoiced")))))))</f>
        <v/>
      </c>
      <c r="R1203" s="1">
        <f>IF(AND(B1203&lt;&gt;"",P1203&lt;&gt;"",P1203=Invoice!$G$4),B1203+MOD(N(F1203),1)+ROW()/10000000,"")</f>
        <v/>
      </c>
      <c r="S1203">
        <f>IF(R1203="","",IF(D1203="","Other work",D1203)&amp;IF(AND(K1203&lt;&gt;"",E1203&lt;&gt;""),", "&amp;E1203,""))</f>
        <v/>
      </c>
      <c r="T1203">
        <f>IF(R1203="","",IF(COUNTIFS(R$6:R1202,"&gt;0",S$6:S1202,S1203,N$6:N1202,N1203)=0,R1203,""))</f>
        <v/>
      </c>
      <c r="U1203">
        <f>IF(B1203="","",IF(J1203&lt;&gt;"",0,M1203))</f>
        <v/>
      </c>
    </row>
    <row r="1204">
      <c r="A1204" s="1" t="n"/>
      <c r="B1204" s="16" t="n"/>
      <c r="C1204" s="17" t="n"/>
      <c r="D1204" s="18" t="n"/>
      <c r="E1204" s="18" t="n"/>
      <c r="F1204" s="19" t="n"/>
      <c r="G1204" s="19" t="n"/>
      <c r="H1204" s="20" t="n"/>
      <c r="I1204" s="21" t="n"/>
      <c r="J1204" s="22" t="n"/>
      <c r="K1204" s="23" t="n"/>
      <c r="L1204" s="18" t="n"/>
      <c r="M1204" s="24">
        <f>IF(B1204="","",IF(AND(F1204&lt;&gt;"",G1204&lt;&gt;""),MAX(0,ROUND(MOD(G1204-F1204,1)*24-N(H1204)/60,2)),N(I1204)))</f>
        <v/>
      </c>
      <c r="N1204" s="14">
        <f>IF(B1204="","",IF(K1204&lt;&gt;"",K1204,IF(N(IFERROR(INDEX(Projects!$D$6:$D$65,MATCH(D1204,Projects!$B$6:$B$65,0)),""))&gt;0,IFERROR(INDEX(Projects!$D$6:$D$65,MATCH(D1204,Projects!$B$6:$B$65,0)),""),IFERROR(INDEX(Clients!$G$6:$G$45,MATCH(C1204,Clients!$B$6:$B$45,0)),0))))</f>
        <v/>
      </c>
      <c r="O1204" s="14">
        <f>IF(B1204="","",IF(J1204&lt;&gt;"",0,ROUND(M1204*N1204,2)))</f>
        <v/>
      </c>
      <c r="P1204" s="15">
        <f>IF(OR(B1204="",J1204&lt;&gt;""),"",IF(L1204&lt;&gt;"",L1204,IF(COUNTIFS(Invoices!$C$6:$C$305,C1204,Invoices!$E$6:$E$305,"&lt;="&amp;B1204,Invoices!$F$6:$F$305,"&gt;="&amp;B1204)=1,INDEX(Invoices!$B$6:$B$305,SUMIFS(Invoices!$O$6:$O$305,Invoices!$C$6:$C$305,C1204,Invoices!$E$6:$E$305,"&lt;="&amp;B1204,Invoices!$F$6:$F$305,"&gt;="&amp;B1204)),IF(COUNTIFS(Invoices!$C$6:$C$305,C1204,Invoices!$E$6:$E$305,"&lt;="&amp;B1204,Invoices!$F$6:$F$305,"&gt;="&amp;B1204)&gt;1,"Two invoices",""))))</f>
        <v/>
      </c>
      <c r="Q1204" s="15">
        <f>IF(B1204="","",IF(J1204&lt;&gt;"","Not billable",IF(P1204="","To invoice",IF(P1204="Two invoices","Check dates",IF(ISNA(MATCH(P1204,Invoices!$B$6:$B$305,0)),"Check number",IF(INDEX(Invoices!$M$6:$M$305,MATCH(P1204,Invoices!$B$6:$B$305,0))="Paid","Paid",IF(INDEX(Invoices!$M$6:$M$305,MATCH(P1204,Invoices!$B$6:$B$305,0))="Draft","Draft","Invoiced")))))))</f>
        <v/>
      </c>
      <c r="R1204" s="1">
        <f>IF(AND(B1204&lt;&gt;"",P1204&lt;&gt;"",P1204=Invoice!$G$4),B1204+MOD(N(F1204),1)+ROW()/10000000,"")</f>
        <v/>
      </c>
      <c r="S1204">
        <f>IF(R1204="","",IF(D1204="","Other work",D1204)&amp;IF(AND(K1204&lt;&gt;"",E1204&lt;&gt;""),", "&amp;E1204,""))</f>
        <v/>
      </c>
      <c r="T1204">
        <f>IF(R1204="","",IF(COUNTIFS(R$6:R1203,"&gt;0",S$6:S1203,S1204,N$6:N1203,N1204)=0,R1204,""))</f>
        <v/>
      </c>
      <c r="U1204">
        <f>IF(B1204="","",IF(J1204&lt;&gt;"",0,M1204))</f>
        <v/>
      </c>
    </row>
    <row r="1205">
      <c r="A1205" s="1" t="n"/>
      <c r="B1205" s="16" t="n"/>
      <c r="C1205" s="17" t="n"/>
      <c r="D1205" s="18" t="n"/>
      <c r="E1205" s="18" t="n"/>
      <c r="F1205" s="19" t="n"/>
      <c r="G1205" s="19" t="n"/>
      <c r="H1205" s="20" t="n"/>
      <c r="I1205" s="21" t="n"/>
      <c r="J1205" s="22" t="n"/>
      <c r="K1205" s="23" t="n"/>
      <c r="L1205" s="18" t="n"/>
      <c r="M1205" s="24">
        <f>IF(B1205="","",IF(AND(F1205&lt;&gt;"",G1205&lt;&gt;""),MAX(0,ROUND(MOD(G1205-F1205,1)*24-N(H1205)/60,2)),N(I1205)))</f>
        <v/>
      </c>
      <c r="N1205" s="14">
        <f>IF(B1205="","",IF(K1205&lt;&gt;"",K1205,IF(N(IFERROR(INDEX(Projects!$D$6:$D$65,MATCH(D1205,Projects!$B$6:$B$65,0)),""))&gt;0,IFERROR(INDEX(Projects!$D$6:$D$65,MATCH(D1205,Projects!$B$6:$B$65,0)),""),IFERROR(INDEX(Clients!$G$6:$G$45,MATCH(C1205,Clients!$B$6:$B$45,0)),0))))</f>
        <v/>
      </c>
      <c r="O1205" s="14">
        <f>IF(B1205="","",IF(J1205&lt;&gt;"",0,ROUND(M1205*N1205,2)))</f>
        <v/>
      </c>
      <c r="P1205" s="15">
        <f>IF(OR(B1205="",J1205&lt;&gt;""),"",IF(L1205&lt;&gt;"",L1205,IF(COUNTIFS(Invoices!$C$6:$C$305,C1205,Invoices!$E$6:$E$305,"&lt;="&amp;B1205,Invoices!$F$6:$F$305,"&gt;="&amp;B1205)=1,INDEX(Invoices!$B$6:$B$305,SUMIFS(Invoices!$O$6:$O$305,Invoices!$C$6:$C$305,C1205,Invoices!$E$6:$E$305,"&lt;="&amp;B1205,Invoices!$F$6:$F$305,"&gt;="&amp;B1205)),IF(COUNTIFS(Invoices!$C$6:$C$305,C1205,Invoices!$E$6:$E$305,"&lt;="&amp;B1205,Invoices!$F$6:$F$305,"&gt;="&amp;B1205)&gt;1,"Two invoices",""))))</f>
        <v/>
      </c>
      <c r="Q1205" s="15">
        <f>IF(B1205="","",IF(J1205&lt;&gt;"","Not billable",IF(P1205="","To invoice",IF(P1205="Two invoices","Check dates",IF(ISNA(MATCH(P1205,Invoices!$B$6:$B$305,0)),"Check number",IF(INDEX(Invoices!$M$6:$M$305,MATCH(P1205,Invoices!$B$6:$B$305,0))="Paid","Paid",IF(INDEX(Invoices!$M$6:$M$305,MATCH(P1205,Invoices!$B$6:$B$305,0))="Draft","Draft","Invoiced")))))))</f>
        <v/>
      </c>
      <c r="R1205" s="1">
        <f>IF(AND(B1205&lt;&gt;"",P1205&lt;&gt;"",P1205=Invoice!$G$4),B1205+MOD(N(F1205),1)+ROW()/10000000,"")</f>
        <v/>
      </c>
      <c r="S1205">
        <f>IF(R1205="","",IF(D1205="","Other work",D1205)&amp;IF(AND(K1205&lt;&gt;"",E1205&lt;&gt;""),", "&amp;E1205,""))</f>
        <v/>
      </c>
      <c r="T1205">
        <f>IF(R1205="","",IF(COUNTIFS(R$6:R1204,"&gt;0",S$6:S1204,S1205,N$6:N1204,N1205)=0,R1205,""))</f>
        <v/>
      </c>
      <c r="U1205">
        <f>IF(B1205="","",IF(J1205&lt;&gt;"",0,M1205))</f>
        <v/>
      </c>
    </row>
    <row r="1206">
      <c r="A1206" s="1" t="n"/>
      <c r="B1206" s="16" t="n"/>
      <c r="C1206" s="17" t="n"/>
      <c r="D1206" s="18" t="n"/>
      <c r="E1206" s="18" t="n"/>
      <c r="F1206" s="19" t="n"/>
      <c r="G1206" s="19" t="n"/>
      <c r="H1206" s="20" t="n"/>
      <c r="I1206" s="21" t="n"/>
      <c r="J1206" s="22" t="n"/>
      <c r="K1206" s="23" t="n"/>
      <c r="L1206" s="18" t="n"/>
      <c r="M1206" s="24">
        <f>IF(B1206="","",IF(AND(F1206&lt;&gt;"",G1206&lt;&gt;""),MAX(0,ROUND(MOD(G1206-F1206,1)*24-N(H1206)/60,2)),N(I1206)))</f>
        <v/>
      </c>
      <c r="N1206" s="14">
        <f>IF(B1206="","",IF(K1206&lt;&gt;"",K1206,IF(N(IFERROR(INDEX(Projects!$D$6:$D$65,MATCH(D1206,Projects!$B$6:$B$65,0)),""))&gt;0,IFERROR(INDEX(Projects!$D$6:$D$65,MATCH(D1206,Projects!$B$6:$B$65,0)),""),IFERROR(INDEX(Clients!$G$6:$G$45,MATCH(C1206,Clients!$B$6:$B$45,0)),0))))</f>
        <v/>
      </c>
      <c r="O1206" s="14">
        <f>IF(B1206="","",IF(J1206&lt;&gt;"",0,ROUND(M1206*N1206,2)))</f>
        <v/>
      </c>
      <c r="P1206" s="15">
        <f>IF(OR(B1206="",J1206&lt;&gt;""),"",IF(L1206&lt;&gt;"",L1206,IF(COUNTIFS(Invoices!$C$6:$C$305,C1206,Invoices!$E$6:$E$305,"&lt;="&amp;B1206,Invoices!$F$6:$F$305,"&gt;="&amp;B1206)=1,INDEX(Invoices!$B$6:$B$305,SUMIFS(Invoices!$O$6:$O$305,Invoices!$C$6:$C$305,C1206,Invoices!$E$6:$E$305,"&lt;="&amp;B1206,Invoices!$F$6:$F$305,"&gt;="&amp;B1206)),IF(COUNTIFS(Invoices!$C$6:$C$305,C1206,Invoices!$E$6:$E$305,"&lt;="&amp;B1206,Invoices!$F$6:$F$305,"&gt;="&amp;B1206)&gt;1,"Two invoices",""))))</f>
        <v/>
      </c>
      <c r="Q1206" s="15">
        <f>IF(B1206="","",IF(J1206&lt;&gt;"","Not billable",IF(P1206="","To invoice",IF(P1206="Two invoices","Check dates",IF(ISNA(MATCH(P1206,Invoices!$B$6:$B$305,0)),"Check number",IF(INDEX(Invoices!$M$6:$M$305,MATCH(P1206,Invoices!$B$6:$B$305,0))="Paid","Paid",IF(INDEX(Invoices!$M$6:$M$305,MATCH(P1206,Invoices!$B$6:$B$305,0))="Draft","Draft","Invoiced")))))))</f>
        <v/>
      </c>
      <c r="R1206" s="1">
        <f>IF(AND(B1206&lt;&gt;"",P1206&lt;&gt;"",P1206=Invoice!$G$4),B1206+MOD(N(F1206),1)+ROW()/10000000,"")</f>
        <v/>
      </c>
      <c r="S1206">
        <f>IF(R1206="","",IF(D1206="","Other work",D1206)&amp;IF(AND(K1206&lt;&gt;"",E1206&lt;&gt;""),", "&amp;E1206,""))</f>
        <v/>
      </c>
      <c r="T1206">
        <f>IF(R1206="","",IF(COUNTIFS(R$6:R1205,"&gt;0",S$6:S1205,S1206,N$6:N1205,N1206)=0,R1206,""))</f>
        <v/>
      </c>
      <c r="U1206">
        <f>IF(B1206="","",IF(J1206&lt;&gt;"",0,M1206))</f>
        <v/>
      </c>
    </row>
    <row r="1207">
      <c r="A1207" s="1" t="n"/>
      <c r="B1207" s="16" t="n"/>
      <c r="C1207" s="17" t="n"/>
      <c r="D1207" s="18" t="n"/>
      <c r="E1207" s="18" t="n"/>
      <c r="F1207" s="19" t="n"/>
      <c r="G1207" s="19" t="n"/>
      <c r="H1207" s="20" t="n"/>
      <c r="I1207" s="21" t="n"/>
      <c r="J1207" s="22" t="n"/>
      <c r="K1207" s="23" t="n"/>
      <c r="L1207" s="18" t="n"/>
      <c r="M1207" s="24">
        <f>IF(B1207="","",IF(AND(F1207&lt;&gt;"",G1207&lt;&gt;""),MAX(0,ROUND(MOD(G1207-F1207,1)*24-N(H1207)/60,2)),N(I1207)))</f>
        <v/>
      </c>
      <c r="N1207" s="14">
        <f>IF(B1207="","",IF(K1207&lt;&gt;"",K1207,IF(N(IFERROR(INDEX(Projects!$D$6:$D$65,MATCH(D1207,Projects!$B$6:$B$65,0)),""))&gt;0,IFERROR(INDEX(Projects!$D$6:$D$65,MATCH(D1207,Projects!$B$6:$B$65,0)),""),IFERROR(INDEX(Clients!$G$6:$G$45,MATCH(C1207,Clients!$B$6:$B$45,0)),0))))</f>
        <v/>
      </c>
      <c r="O1207" s="14">
        <f>IF(B1207="","",IF(J1207&lt;&gt;"",0,ROUND(M1207*N1207,2)))</f>
        <v/>
      </c>
      <c r="P1207" s="15">
        <f>IF(OR(B1207="",J1207&lt;&gt;""),"",IF(L1207&lt;&gt;"",L1207,IF(COUNTIFS(Invoices!$C$6:$C$305,C1207,Invoices!$E$6:$E$305,"&lt;="&amp;B1207,Invoices!$F$6:$F$305,"&gt;="&amp;B1207)=1,INDEX(Invoices!$B$6:$B$305,SUMIFS(Invoices!$O$6:$O$305,Invoices!$C$6:$C$305,C1207,Invoices!$E$6:$E$305,"&lt;="&amp;B1207,Invoices!$F$6:$F$305,"&gt;="&amp;B1207)),IF(COUNTIFS(Invoices!$C$6:$C$305,C1207,Invoices!$E$6:$E$305,"&lt;="&amp;B1207,Invoices!$F$6:$F$305,"&gt;="&amp;B1207)&gt;1,"Two invoices",""))))</f>
        <v/>
      </c>
      <c r="Q1207" s="15">
        <f>IF(B1207="","",IF(J1207&lt;&gt;"","Not billable",IF(P1207="","To invoice",IF(P1207="Two invoices","Check dates",IF(ISNA(MATCH(P1207,Invoices!$B$6:$B$305,0)),"Check number",IF(INDEX(Invoices!$M$6:$M$305,MATCH(P1207,Invoices!$B$6:$B$305,0))="Paid","Paid",IF(INDEX(Invoices!$M$6:$M$305,MATCH(P1207,Invoices!$B$6:$B$305,0))="Draft","Draft","Invoiced")))))))</f>
        <v/>
      </c>
      <c r="R1207" s="1">
        <f>IF(AND(B1207&lt;&gt;"",P1207&lt;&gt;"",P1207=Invoice!$G$4),B1207+MOD(N(F1207),1)+ROW()/10000000,"")</f>
        <v/>
      </c>
      <c r="S1207">
        <f>IF(R1207="","",IF(D1207="","Other work",D1207)&amp;IF(AND(K1207&lt;&gt;"",E1207&lt;&gt;""),", "&amp;E1207,""))</f>
        <v/>
      </c>
      <c r="T1207">
        <f>IF(R1207="","",IF(COUNTIFS(R$6:R1206,"&gt;0",S$6:S1206,S1207,N$6:N1206,N1207)=0,R1207,""))</f>
        <v/>
      </c>
      <c r="U1207">
        <f>IF(B1207="","",IF(J1207&lt;&gt;"",0,M1207))</f>
        <v/>
      </c>
    </row>
    <row r="1208">
      <c r="A1208" s="1" t="n"/>
      <c r="B1208" s="16" t="n"/>
      <c r="C1208" s="17" t="n"/>
      <c r="D1208" s="18" t="n"/>
      <c r="E1208" s="18" t="n"/>
      <c r="F1208" s="19" t="n"/>
      <c r="G1208" s="19" t="n"/>
      <c r="H1208" s="20" t="n"/>
      <c r="I1208" s="21" t="n"/>
      <c r="J1208" s="22" t="n"/>
      <c r="K1208" s="23" t="n"/>
      <c r="L1208" s="18" t="n"/>
      <c r="M1208" s="24">
        <f>IF(B1208="","",IF(AND(F1208&lt;&gt;"",G1208&lt;&gt;""),MAX(0,ROUND(MOD(G1208-F1208,1)*24-N(H1208)/60,2)),N(I1208)))</f>
        <v/>
      </c>
      <c r="N1208" s="14">
        <f>IF(B1208="","",IF(K1208&lt;&gt;"",K1208,IF(N(IFERROR(INDEX(Projects!$D$6:$D$65,MATCH(D1208,Projects!$B$6:$B$65,0)),""))&gt;0,IFERROR(INDEX(Projects!$D$6:$D$65,MATCH(D1208,Projects!$B$6:$B$65,0)),""),IFERROR(INDEX(Clients!$G$6:$G$45,MATCH(C1208,Clients!$B$6:$B$45,0)),0))))</f>
        <v/>
      </c>
      <c r="O1208" s="14">
        <f>IF(B1208="","",IF(J1208&lt;&gt;"",0,ROUND(M1208*N1208,2)))</f>
        <v/>
      </c>
      <c r="P1208" s="15">
        <f>IF(OR(B1208="",J1208&lt;&gt;""),"",IF(L1208&lt;&gt;"",L1208,IF(COUNTIFS(Invoices!$C$6:$C$305,C1208,Invoices!$E$6:$E$305,"&lt;="&amp;B1208,Invoices!$F$6:$F$305,"&gt;="&amp;B1208)=1,INDEX(Invoices!$B$6:$B$305,SUMIFS(Invoices!$O$6:$O$305,Invoices!$C$6:$C$305,C1208,Invoices!$E$6:$E$305,"&lt;="&amp;B1208,Invoices!$F$6:$F$305,"&gt;="&amp;B1208)),IF(COUNTIFS(Invoices!$C$6:$C$305,C1208,Invoices!$E$6:$E$305,"&lt;="&amp;B1208,Invoices!$F$6:$F$305,"&gt;="&amp;B1208)&gt;1,"Two invoices",""))))</f>
        <v/>
      </c>
      <c r="Q1208" s="15">
        <f>IF(B1208="","",IF(J1208&lt;&gt;"","Not billable",IF(P1208="","To invoice",IF(P1208="Two invoices","Check dates",IF(ISNA(MATCH(P1208,Invoices!$B$6:$B$305,0)),"Check number",IF(INDEX(Invoices!$M$6:$M$305,MATCH(P1208,Invoices!$B$6:$B$305,0))="Paid","Paid",IF(INDEX(Invoices!$M$6:$M$305,MATCH(P1208,Invoices!$B$6:$B$305,0))="Draft","Draft","Invoiced")))))))</f>
        <v/>
      </c>
      <c r="R1208" s="1">
        <f>IF(AND(B1208&lt;&gt;"",P1208&lt;&gt;"",P1208=Invoice!$G$4),B1208+MOD(N(F1208),1)+ROW()/10000000,"")</f>
        <v/>
      </c>
      <c r="S1208">
        <f>IF(R1208="","",IF(D1208="","Other work",D1208)&amp;IF(AND(K1208&lt;&gt;"",E1208&lt;&gt;""),", "&amp;E1208,""))</f>
        <v/>
      </c>
      <c r="T1208">
        <f>IF(R1208="","",IF(COUNTIFS(R$6:R1207,"&gt;0",S$6:S1207,S1208,N$6:N1207,N1208)=0,R1208,""))</f>
        <v/>
      </c>
      <c r="U1208">
        <f>IF(B1208="","",IF(J1208&lt;&gt;"",0,M1208))</f>
        <v/>
      </c>
    </row>
    <row r="1209">
      <c r="A1209" s="1" t="n"/>
      <c r="B1209" s="16" t="n"/>
      <c r="C1209" s="17" t="n"/>
      <c r="D1209" s="18" t="n"/>
      <c r="E1209" s="18" t="n"/>
      <c r="F1209" s="19" t="n"/>
      <c r="G1209" s="19" t="n"/>
      <c r="H1209" s="20" t="n"/>
      <c r="I1209" s="21" t="n"/>
      <c r="J1209" s="22" t="n"/>
      <c r="K1209" s="23" t="n"/>
      <c r="L1209" s="18" t="n"/>
      <c r="M1209" s="24">
        <f>IF(B1209="","",IF(AND(F1209&lt;&gt;"",G1209&lt;&gt;""),MAX(0,ROUND(MOD(G1209-F1209,1)*24-N(H1209)/60,2)),N(I1209)))</f>
        <v/>
      </c>
      <c r="N1209" s="14">
        <f>IF(B1209="","",IF(K1209&lt;&gt;"",K1209,IF(N(IFERROR(INDEX(Projects!$D$6:$D$65,MATCH(D1209,Projects!$B$6:$B$65,0)),""))&gt;0,IFERROR(INDEX(Projects!$D$6:$D$65,MATCH(D1209,Projects!$B$6:$B$65,0)),""),IFERROR(INDEX(Clients!$G$6:$G$45,MATCH(C1209,Clients!$B$6:$B$45,0)),0))))</f>
        <v/>
      </c>
      <c r="O1209" s="14">
        <f>IF(B1209="","",IF(J1209&lt;&gt;"",0,ROUND(M1209*N1209,2)))</f>
        <v/>
      </c>
      <c r="P1209" s="15">
        <f>IF(OR(B1209="",J1209&lt;&gt;""),"",IF(L1209&lt;&gt;"",L1209,IF(COUNTIFS(Invoices!$C$6:$C$305,C1209,Invoices!$E$6:$E$305,"&lt;="&amp;B1209,Invoices!$F$6:$F$305,"&gt;="&amp;B1209)=1,INDEX(Invoices!$B$6:$B$305,SUMIFS(Invoices!$O$6:$O$305,Invoices!$C$6:$C$305,C1209,Invoices!$E$6:$E$305,"&lt;="&amp;B1209,Invoices!$F$6:$F$305,"&gt;="&amp;B1209)),IF(COUNTIFS(Invoices!$C$6:$C$305,C1209,Invoices!$E$6:$E$305,"&lt;="&amp;B1209,Invoices!$F$6:$F$305,"&gt;="&amp;B1209)&gt;1,"Two invoices",""))))</f>
        <v/>
      </c>
      <c r="Q1209" s="15">
        <f>IF(B1209="","",IF(J1209&lt;&gt;"","Not billable",IF(P1209="","To invoice",IF(P1209="Two invoices","Check dates",IF(ISNA(MATCH(P1209,Invoices!$B$6:$B$305,0)),"Check number",IF(INDEX(Invoices!$M$6:$M$305,MATCH(P1209,Invoices!$B$6:$B$305,0))="Paid","Paid",IF(INDEX(Invoices!$M$6:$M$305,MATCH(P1209,Invoices!$B$6:$B$305,0))="Draft","Draft","Invoiced")))))))</f>
        <v/>
      </c>
      <c r="R1209" s="1">
        <f>IF(AND(B1209&lt;&gt;"",P1209&lt;&gt;"",P1209=Invoice!$G$4),B1209+MOD(N(F1209),1)+ROW()/10000000,"")</f>
        <v/>
      </c>
      <c r="S1209">
        <f>IF(R1209="","",IF(D1209="","Other work",D1209)&amp;IF(AND(K1209&lt;&gt;"",E1209&lt;&gt;""),", "&amp;E1209,""))</f>
        <v/>
      </c>
      <c r="T1209">
        <f>IF(R1209="","",IF(COUNTIFS(R$6:R1208,"&gt;0",S$6:S1208,S1209,N$6:N1208,N1209)=0,R1209,""))</f>
        <v/>
      </c>
      <c r="U1209">
        <f>IF(B1209="","",IF(J1209&lt;&gt;"",0,M1209))</f>
        <v/>
      </c>
    </row>
    <row r="1210">
      <c r="A1210" s="1" t="n"/>
      <c r="B1210" s="16" t="n"/>
      <c r="C1210" s="17" t="n"/>
      <c r="D1210" s="18" t="n"/>
      <c r="E1210" s="18" t="n"/>
      <c r="F1210" s="19" t="n"/>
      <c r="G1210" s="19" t="n"/>
      <c r="H1210" s="20" t="n"/>
      <c r="I1210" s="21" t="n"/>
      <c r="J1210" s="22" t="n"/>
      <c r="K1210" s="23" t="n"/>
      <c r="L1210" s="18" t="n"/>
      <c r="M1210" s="24">
        <f>IF(B1210="","",IF(AND(F1210&lt;&gt;"",G1210&lt;&gt;""),MAX(0,ROUND(MOD(G1210-F1210,1)*24-N(H1210)/60,2)),N(I1210)))</f>
        <v/>
      </c>
      <c r="N1210" s="14">
        <f>IF(B1210="","",IF(K1210&lt;&gt;"",K1210,IF(N(IFERROR(INDEX(Projects!$D$6:$D$65,MATCH(D1210,Projects!$B$6:$B$65,0)),""))&gt;0,IFERROR(INDEX(Projects!$D$6:$D$65,MATCH(D1210,Projects!$B$6:$B$65,0)),""),IFERROR(INDEX(Clients!$G$6:$G$45,MATCH(C1210,Clients!$B$6:$B$45,0)),0))))</f>
        <v/>
      </c>
      <c r="O1210" s="14">
        <f>IF(B1210="","",IF(J1210&lt;&gt;"",0,ROUND(M1210*N1210,2)))</f>
        <v/>
      </c>
      <c r="P1210" s="15">
        <f>IF(OR(B1210="",J1210&lt;&gt;""),"",IF(L1210&lt;&gt;"",L1210,IF(COUNTIFS(Invoices!$C$6:$C$305,C1210,Invoices!$E$6:$E$305,"&lt;="&amp;B1210,Invoices!$F$6:$F$305,"&gt;="&amp;B1210)=1,INDEX(Invoices!$B$6:$B$305,SUMIFS(Invoices!$O$6:$O$305,Invoices!$C$6:$C$305,C1210,Invoices!$E$6:$E$305,"&lt;="&amp;B1210,Invoices!$F$6:$F$305,"&gt;="&amp;B1210)),IF(COUNTIFS(Invoices!$C$6:$C$305,C1210,Invoices!$E$6:$E$305,"&lt;="&amp;B1210,Invoices!$F$6:$F$305,"&gt;="&amp;B1210)&gt;1,"Two invoices",""))))</f>
        <v/>
      </c>
      <c r="Q1210" s="15">
        <f>IF(B1210="","",IF(J1210&lt;&gt;"","Not billable",IF(P1210="","To invoice",IF(P1210="Two invoices","Check dates",IF(ISNA(MATCH(P1210,Invoices!$B$6:$B$305,0)),"Check number",IF(INDEX(Invoices!$M$6:$M$305,MATCH(P1210,Invoices!$B$6:$B$305,0))="Paid","Paid",IF(INDEX(Invoices!$M$6:$M$305,MATCH(P1210,Invoices!$B$6:$B$305,0))="Draft","Draft","Invoiced")))))))</f>
        <v/>
      </c>
      <c r="R1210" s="1">
        <f>IF(AND(B1210&lt;&gt;"",P1210&lt;&gt;"",P1210=Invoice!$G$4),B1210+MOD(N(F1210),1)+ROW()/10000000,"")</f>
        <v/>
      </c>
      <c r="S1210">
        <f>IF(R1210="","",IF(D1210="","Other work",D1210)&amp;IF(AND(K1210&lt;&gt;"",E1210&lt;&gt;""),", "&amp;E1210,""))</f>
        <v/>
      </c>
      <c r="T1210">
        <f>IF(R1210="","",IF(COUNTIFS(R$6:R1209,"&gt;0",S$6:S1209,S1210,N$6:N1209,N1210)=0,R1210,""))</f>
        <v/>
      </c>
      <c r="U1210">
        <f>IF(B1210="","",IF(J1210&lt;&gt;"",0,M1210))</f>
        <v/>
      </c>
    </row>
    <row r="1211">
      <c r="A1211" s="1" t="n"/>
      <c r="B1211" s="16" t="n"/>
      <c r="C1211" s="17" t="n"/>
      <c r="D1211" s="18" t="n"/>
      <c r="E1211" s="18" t="n"/>
      <c r="F1211" s="19" t="n"/>
      <c r="G1211" s="19" t="n"/>
      <c r="H1211" s="20" t="n"/>
      <c r="I1211" s="21" t="n"/>
      <c r="J1211" s="22" t="n"/>
      <c r="K1211" s="23" t="n"/>
      <c r="L1211" s="18" t="n"/>
      <c r="M1211" s="24">
        <f>IF(B1211="","",IF(AND(F1211&lt;&gt;"",G1211&lt;&gt;""),MAX(0,ROUND(MOD(G1211-F1211,1)*24-N(H1211)/60,2)),N(I1211)))</f>
        <v/>
      </c>
      <c r="N1211" s="14">
        <f>IF(B1211="","",IF(K1211&lt;&gt;"",K1211,IF(N(IFERROR(INDEX(Projects!$D$6:$D$65,MATCH(D1211,Projects!$B$6:$B$65,0)),""))&gt;0,IFERROR(INDEX(Projects!$D$6:$D$65,MATCH(D1211,Projects!$B$6:$B$65,0)),""),IFERROR(INDEX(Clients!$G$6:$G$45,MATCH(C1211,Clients!$B$6:$B$45,0)),0))))</f>
        <v/>
      </c>
      <c r="O1211" s="14">
        <f>IF(B1211="","",IF(J1211&lt;&gt;"",0,ROUND(M1211*N1211,2)))</f>
        <v/>
      </c>
      <c r="P1211" s="15">
        <f>IF(OR(B1211="",J1211&lt;&gt;""),"",IF(L1211&lt;&gt;"",L1211,IF(COUNTIFS(Invoices!$C$6:$C$305,C1211,Invoices!$E$6:$E$305,"&lt;="&amp;B1211,Invoices!$F$6:$F$305,"&gt;="&amp;B1211)=1,INDEX(Invoices!$B$6:$B$305,SUMIFS(Invoices!$O$6:$O$305,Invoices!$C$6:$C$305,C1211,Invoices!$E$6:$E$305,"&lt;="&amp;B1211,Invoices!$F$6:$F$305,"&gt;="&amp;B1211)),IF(COUNTIFS(Invoices!$C$6:$C$305,C1211,Invoices!$E$6:$E$305,"&lt;="&amp;B1211,Invoices!$F$6:$F$305,"&gt;="&amp;B1211)&gt;1,"Two invoices",""))))</f>
        <v/>
      </c>
      <c r="Q1211" s="15">
        <f>IF(B1211="","",IF(J1211&lt;&gt;"","Not billable",IF(P1211="","To invoice",IF(P1211="Two invoices","Check dates",IF(ISNA(MATCH(P1211,Invoices!$B$6:$B$305,0)),"Check number",IF(INDEX(Invoices!$M$6:$M$305,MATCH(P1211,Invoices!$B$6:$B$305,0))="Paid","Paid",IF(INDEX(Invoices!$M$6:$M$305,MATCH(P1211,Invoices!$B$6:$B$305,0))="Draft","Draft","Invoiced")))))))</f>
        <v/>
      </c>
      <c r="R1211" s="1">
        <f>IF(AND(B1211&lt;&gt;"",P1211&lt;&gt;"",P1211=Invoice!$G$4),B1211+MOD(N(F1211),1)+ROW()/10000000,"")</f>
        <v/>
      </c>
      <c r="S1211">
        <f>IF(R1211="","",IF(D1211="","Other work",D1211)&amp;IF(AND(K1211&lt;&gt;"",E1211&lt;&gt;""),", "&amp;E1211,""))</f>
        <v/>
      </c>
      <c r="T1211">
        <f>IF(R1211="","",IF(COUNTIFS(R$6:R1210,"&gt;0",S$6:S1210,S1211,N$6:N1210,N1211)=0,R1211,""))</f>
        <v/>
      </c>
      <c r="U1211">
        <f>IF(B1211="","",IF(J1211&lt;&gt;"",0,M1211))</f>
        <v/>
      </c>
    </row>
    <row r="1212">
      <c r="A1212" s="1" t="n"/>
      <c r="B1212" s="16" t="n"/>
      <c r="C1212" s="17" t="n"/>
      <c r="D1212" s="18" t="n"/>
      <c r="E1212" s="18" t="n"/>
      <c r="F1212" s="19" t="n"/>
      <c r="G1212" s="19" t="n"/>
      <c r="H1212" s="20" t="n"/>
      <c r="I1212" s="21" t="n"/>
      <c r="J1212" s="22" t="n"/>
      <c r="K1212" s="23" t="n"/>
      <c r="L1212" s="18" t="n"/>
      <c r="M1212" s="24">
        <f>IF(B1212="","",IF(AND(F1212&lt;&gt;"",G1212&lt;&gt;""),MAX(0,ROUND(MOD(G1212-F1212,1)*24-N(H1212)/60,2)),N(I1212)))</f>
        <v/>
      </c>
      <c r="N1212" s="14">
        <f>IF(B1212="","",IF(K1212&lt;&gt;"",K1212,IF(N(IFERROR(INDEX(Projects!$D$6:$D$65,MATCH(D1212,Projects!$B$6:$B$65,0)),""))&gt;0,IFERROR(INDEX(Projects!$D$6:$D$65,MATCH(D1212,Projects!$B$6:$B$65,0)),""),IFERROR(INDEX(Clients!$G$6:$G$45,MATCH(C1212,Clients!$B$6:$B$45,0)),0))))</f>
        <v/>
      </c>
      <c r="O1212" s="14">
        <f>IF(B1212="","",IF(J1212&lt;&gt;"",0,ROUND(M1212*N1212,2)))</f>
        <v/>
      </c>
      <c r="P1212" s="15">
        <f>IF(OR(B1212="",J1212&lt;&gt;""),"",IF(L1212&lt;&gt;"",L1212,IF(COUNTIFS(Invoices!$C$6:$C$305,C1212,Invoices!$E$6:$E$305,"&lt;="&amp;B1212,Invoices!$F$6:$F$305,"&gt;="&amp;B1212)=1,INDEX(Invoices!$B$6:$B$305,SUMIFS(Invoices!$O$6:$O$305,Invoices!$C$6:$C$305,C1212,Invoices!$E$6:$E$305,"&lt;="&amp;B1212,Invoices!$F$6:$F$305,"&gt;="&amp;B1212)),IF(COUNTIFS(Invoices!$C$6:$C$305,C1212,Invoices!$E$6:$E$305,"&lt;="&amp;B1212,Invoices!$F$6:$F$305,"&gt;="&amp;B1212)&gt;1,"Two invoices",""))))</f>
        <v/>
      </c>
      <c r="Q1212" s="15">
        <f>IF(B1212="","",IF(J1212&lt;&gt;"","Not billable",IF(P1212="","To invoice",IF(P1212="Two invoices","Check dates",IF(ISNA(MATCH(P1212,Invoices!$B$6:$B$305,0)),"Check number",IF(INDEX(Invoices!$M$6:$M$305,MATCH(P1212,Invoices!$B$6:$B$305,0))="Paid","Paid",IF(INDEX(Invoices!$M$6:$M$305,MATCH(P1212,Invoices!$B$6:$B$305,0))="Draft","Draft","Invoiced")))))))</f>
        <v/>
      </c>
      <c r="R1212" s="1">
        <f>IF(AND(B1212&lt;&gt;"",P1212&lt;&gt;"",P1212=Invoice!$G$4),B1212+MOD(N(F1212),1)+ROW()/10000000,"")</f>
        <v/>
      </c>
      <c r="S1212">
        <f>IF(R1212="","",IF(D1212="","Other work",D1212)&amp;IF(AND(K1212&lt;&gt;"",E1212&lt;&gt;""),", "&amp;E1212,""))</f>
        <v/>
      </c>
      <c r="T1212">
        <f>IF(R1212="","",IF(COUNTIFS(R$6:R1211,"&gt;0",S$6:S1211,S1212,N$6:N1211,N1212)=0,R1212,""))</f>
        <v/>
      </c>
      <c r="U1212">
        <f>IF(B1212="","",IF(J1212&lt;&gt;"",0,M1212))</f>
        <v/>
      </c>
    </row>
    <row r="1213">
      <c r="A1213" s="1" t="n"/>
      <c r="B1213" s="16" t="n"/>
      <c r="C1213" s="17" t="n"/>
      <c r="D1213" s="18" t="n"/>
      <c r="E1213" s="18" t="n"/>
      <c r="F1213" s="19" t="n"/>
      <c r="G1213" s="19" t="n"/>
      <c r="H1213" s="20" t="n"/>
      <c r="I1213" s="21" t="n"/>
      <c r="J1213" s="22" t="n"/>
      <c r="K1213" s="23" t="n"/>
      <c r="L1213" s="18" t="n"/>
      <c r="M1213" s="24">
        <f>IF(B1213="","",IF(AND(F1213&lt;&gt;"",G1213&lt;&gt;""),MAX(0,ROUND(MOD(G1213-F1213,1)*24-N(H1213)/60,2)),N(I1213)))</f>
        <v/>
      </c>
      <c r="N1213" s="14">
        <f>IF(B1213="","",IF(K1213&lt;&gt;"",K1213,IF(N(IFERROR(INDEX(Projects!$D$6:$D$65,MATCH(D1213,Projects!$B$6:$B$65,0)),""))&gt;0,IFERROR(INDEX(Projects!$D$6:$D$65,MATCH(D1213,Projects!$B$6:$B$65,0)),""),IFERROR(INDEX(Clients!$G$6:$G$45,MATCH(C1213,Clients!$B$6:$B$45,0)),0))))</f>
        <v/>
      </c>
      <c r="O1213" s="14">
        <f>IF(B1213="","",IF(J1213&lt;&gt;"",0,ROUND(M1213*N1213,2)))</f>
        <v/>
      </c>
      <c r="P1213" s="15">
        <f>IF(OR(B1213="",J1213&lt;&gt;""),"",IF(L1213&lt;&gt;"",L1213,IF(COUNTIFS(Invoices!$C$6:$C$305,C1213,Invoices!$E$6:$E$305,"&lt;="&amp;B1213,Invoices!$F$6:$F$305,"&gt;="&amp;B1213)=1,INDEX(Invoices!$B$6:$B$305,SUMIFS(Invoices!$O$6:$O$305,Invoices!$C$6:$C$305,C1213,Invoices!$E$6:$E$305,"&lt;="&amp;B1213,Invoices!$F$6:$F$305,"&gt;="&amp;B1213)),IF(COUNTIFS(Invoices!$C$6:$C$305,C1213,Invoices!$E$6:$E$305,"&lt;="&amp;B1213,Invoices!$F$6:$F$305,"&gt;="&amp;B1213)&gt;1,"Two invoices",""))))</f>
        <v/>
      </c>
      <c r="Q1213" s="15">
        <f>IF(B1213="","",IF(J1213&lt;&gt;"","Not billable",IF(P1213="","To invoice",IF(P1213="Two invoices","Check dates",IF(ISNA(MATCH(P1213,Invoices!$B$6:$B$305,0)),"Check number",IF(INDEX(Invoices!$M$6:$M$305,MATCH(P1213,Invoices!$B$6:$B$305,0))="Paid","Paid",IF(INDEX(Invoices!$M$6:$M$305,MATCH(P1213,Invoices!$B$6:$B$305,0))="Draft","Draft","Invoiced")))))))</f>
        <v/>
      </c>
      <c r="R1213" s="1">
        <f>IF(AND(B1213&lt;&gt;"",P1213&lt;&gt;"",P1213=Invoice!$G$4),B1213+MOD(N(F1213),1)+ROW()/10000000,"")</f>
        <v/>
      </c>
      <c r="S1213">
        <f>IF(R1213="","",IF(D1213="","Other work",D1213)&amp;IF(AND(K1213&lt;&gt;"",E1213&lt;&gt;""),", "&amp;E1213,""))</f>
        <v/>
      </c>
      <c r="T1213">
        <f>IF(R1213="","",IF(COUNTIFS(R$6:R1212,"&gt;0",S$6:S1212,S1213,N$6:N1212,N1213)=0,R1213,""))</f>
        <v/>
      </c>
      <c r="U1213">
        <f>IF(B1213="","",IF(J1213&lt;&gt;"",0,M1213))</f>
        <v/>
      </c>
    </row>
    <row r="1214">
      <c r="A1214" s="1" t="n"/>
      <c r="B1214" s="16" t="n"/>
      <c r="C1214" s="17" t="n"/>
      <c r="D1214" s="18" t="n"/>
      <c r="E1214" s="18" t="n"/>
      <c r="F1214" s="19" t="n"/>
      <c r="G1214" s="19" t="n"/>
      <c r="H1214" s="20" t="n"/>
      <c r="I1214" s="21" t="n"/>
      <c r="J1214" s="22" t="n"/>
      <c r="K1214" s="23" t="n"/>
      <c r="L1214" s="18" t="n"/>
      <c r="M1214" s="24">
        <f>IF(B1214="","",IF(AND(F1214&lt;&gt;"",G1214&lt;&gt;""),MAX(0,ROUND(MOD(G1214-F1214,1)*24-N(H1214)/60,2)),N(I1214)))</f>
        <v/>
      </c>
      <c r="N1214" s="14">
        <f>IF(B1214="","",IF(K1214&lt;&gt;"",K1214,IF(N(IFERROR(INDEX(Projects!$D$6:$D$65,MATCH(D1214,Projects!$B$6:$B$65,0)),""))&gt;0,IFERROR(INDEX(Projects!$D$6:$D$65,MATCH(D1214,Projects!$B$6:$B$65,0)),""),IFERROR(INDEX(Clients!$G$6:$G$45,MATCH(C1214,Clients!$B$6:$B$45,0)),0))))</f>
        <v/>
      </c>
      <c r="O1214" s="14">
        <f>IF(B1214="","",IF(J1214&lt;&gt;"",0,ROUND(M1214*N1214,2)))</f>
        <v/>
      </c>
      <c r="P1214" s="15">
        <f>IF(OR(B1214="",J1214&lt;&gt;""),"",IF(L1214&lt;&gt;"",L1214,IF(COUNTIFS(Invoices!$C$6:$C$305,C1214,Invoices!$E$6:$E$305,"&lt;="&amp;B1214,Invoices!$F$6:$F$305,"&gt;="&amp;B1214)=1,INDEX(Invoices!$B$6:$B$305,SUMIFS(Invoices!$O$6:$O$305,Invoices!$C$6:$C$305,C1214,Invoices!$E$6:$E$305,"&lt;="&amp;B1214,Invoices!$F$6:$F$305,"&gt;="&amp;B1214)),IF(COUNTIFS(Invoices!$C$6:$C$305,C1214,Invoices!$E$6:$E$305,"&lt;="&amp;B1214,Invoices!$F$6:$F$305,"&gt;="&amp;B1214)&gt;1,"Two invoices",""))))</f>
        <v/>
      </c>
      <c r="Q1214" s="15">
        <f>IF(B1214="","",IF(J1214&lt;&gt;"","Not billable",IF(P1214="","To invoice",IF(P1214="Two invoices","Check dates",IF(ISNA(MATCH(P1214,Invoices!$B$6:$B$305,0)),"Check number",IF(INDEX(Invoices!$M$6:$M$305,MATCH(P1214,Invoices!$B$6:$B$305,0))="Paid","Paid",IF(INDEX(Invoices!$M$6:$M$305,MATCH(P1214,Invoices!$B$6:$B$305,0))="Draft","Draft","Invoiced")))))))</f>
        <v/>
      </c>
      <c r="R1214" s="1">
        <f>IF(AND(B1214&lt;&gt;"",P1214&lt;&gt;"",P1214=Invoice!$G$4),B1214+MOD(N(F1214),1)+ROW()/10000000,"")</f>
        <v/>
      </c>
      <c r="S1214">
        <f>IF(R1214="","",IF(D1214="","Other work",D1214)&amp;IF(AND(K1214&lt;&gt;"",E1214&lt;&gt;""),", "&amp;E1214,""))</f>
        <v/>
      </c>
      <c r="T1214">
        <f>IF(R1214="","",IF(COUNTIFS(R$6:R1213,"&gt;0",S$6:S1213,S1214,N$6:N1213,N1214)=0,R1214,""))</f>
        <v/>
      </c>
      <c r="U1214">
        <f>IF(B1214="","",IF(J1214&lt;&gt;"",0,M1214))</f>
        <v/>
      </c>
    </row>
    <row r="1215">
      <c r="A1215" s="1" t="n"/>
      <c r="B1215" s="16" t="n"/>
      <c r="C1215" s="17" t="n"/>
      <c r="D1215" s="18" t="n"/>
      <c r="E1215" s="18" t="n"/>
      <c r="F1215" s="19" t="n"/>
      <c r="G1215" s="19" t="n"/>
      <c r="H1215" s="20" t="n"/>
      <c r="I1215" s="21" t="n"/>
      <c r="J1215" s="22" t="n"/>
      <c r="K1215" s="23" t="n"/>
      <c r="L1215" s="18" t="n"/>
      <c r="M1215" s="24">
        <f>IF(B1215="","",IF(AND(F1215&lt;&gt;"",G1215&lt;&gt;""),MAX(0,ROUND(MOD(G1215-F1215,1)*24-N(H1215)/60,2)),N(I1215)))</f>
        <v/>
      </c>
      <c r="N1215" s="14">
        <f>IF(B1215="","",IF(K1215&lt;&gt;"",K1215,IF(N(IFERROR(INDEX(Projects!$D$6:$D$65,MATCH(D1215,Projects!$B$6:$B$65,0)),""))&gt;0,IFERROR(INDEX(Projects!$D$6:$D$65,MATCH(D1215,Projects!$B$6:$B$65,0)),""),IFERROR(INDEX(Clients!$G$6:$G$45,MATCH(C1215,Clients!$B$6:$B$45,0)),0))))</f>
        <v/>
      </c>
      <c r="O1215" s="14">
        <f>IF(B1215="","",IF(J1215&lt;&gt;"",0,ROUND(M1215*N1215,2)))</f>
        <v/>
      </c>
      <c r="P1215" s="15">
        <f>IF(OR(B1215="",J1215&lt;&gt;""),"",IF(L1215&lt;&gt;"",L1215,IF(COUNTIFS(Invoices!$C$6:$C$305,C1215,Invoices!$E$6:$E$305,"&lt;="&amp;B1215,Invoices!$F$6:$F$305,"&gt;="&amp;B1215)=1,INDEX(Invoices!$B$6:$B$305,SUMIFS(Invoices!$O$6:$O$305,Invoices!$C$6:$C$305,C1215,Invoices!$E$6:$E$305,"&lt;="&amp;B1215,Invoices!$F$6:$F$305,"&gt;="&amp;B1215)),IF(COUNTIFS(Invoices!$C$6:$C$305,C1215,Invoices!$E$6:$E$305,"&lt;="&amp;B1215,Invoices!$F$6:$F$305,"&gt;="&amp;B1215)&gt;1,"Two invoices",""))))</f>
        <v/>
      </c>
      <c r="Q1215" s="15">
        <f>IF(B1215="","",IF(J1215&lt;&gt;"","Not billable",IF(P1215="","To invoice",IF(P1215="Two invoices","Check dates",IF(ISNA(MATCH(P1215,Invoices!$B$6:$B$305,0)),"Check number",IF(INDEX(Invoices!$M$6:$M$305,MATCH(P1215,Invoices!$B$6:$B$305,0))="Paid","Paid",IF(INDEX(Invoices!$M$6:$M$305,MATCH(P1215,Invoices!$B$6:$B$305,0))="Draft","Draft","Invoiced")))))))</f>
        <v/>
      </c>
      <c r="R1215" s="1">
        <f>IF(AND(B1215&lt;&gt;"",P1215&lt;&gt;"",P1215=Invoice!$G$4),B1215+MOD(N(F1215),1)+ROW()/10000000,"")</f>
        <v/>
      </c>
      <c r="S1215">
        <f>IF(R1215="","",IF(D1215="","Other work",D1215)&amp;IF(AND(K1215&lt;&gt;"",E1215&lt;&gt;""),", "&amp;E1215,""))</f>
        <v/>
      </c>
      <c r="T1215">
        <f>IF(R1215="","",IF(COUNTIFS(R$6:R1214,"&gt;0",S$6:S1214,S1215,N$6:N1214,N1215)=0,R1215,""))</f>
        <v/>
      </c>
      <c r="U1215">
        <f>IF(B1215="","",IF(J1215&lt;&gt;"",0,M1215))</f>
        <v/>
      </c>
    </row>
    <row r="1216">
      <c r="A1216" s="1" t="n"/>
      <c r="B1216" s="16" t="n"/>
      <c r="C1216" s="17" t="n"/>
      <c r="D1216" s="18" t="n"/>
      <c r="E1216" s="18" t="n"/>
      <c r="F1216" s="19" t="n"/>
      <c r="G1216" s="19" t="n"/>
      <c r="H1216" s="20" t="n"/>
      <c r="I1216" s="21" t="n"/>
      <c r="J1216" s="22" t="n"/>
      <c r="K1216" s="23" t="n"/>
      <c r="L1216" s="18" t="n"/>
      <c r="M1216" s="24">
        <f>IF(B1216="","",IF(AND(F1216&lt;&gt;"",G1216&lt;&gt;""),MAX(0,ROUND(MOD(G1216-F1216,1)*24-N(H1216)/60,2)),N(I1216)))</f>
        <v/>
      </c>
      <c r="N1216" s="14">
        <f>IF(B1216="","",IF(K1216&lt;&gt;"",K1216,IF(N(IFERROR(INDEX(Projects!$D$6:$D$65,MATCH(D1216,Projects!$B$6:$B$65,0)),""))&gt;0,IFERROR(INDEX(Projects!$D$6:$D$65,MATCH(D1216,Projects!$B$6:$B$65,0)),""),IFERROR(INDEX(Clients!$G$6:$G$45,MATCH(C1216,Clients!$B$6:$B$45,0)),0))))</f>
        <v/>
      </c>
      <c r="O1216" s="14">
        <f>IF(B1216="","",IF(J1216&lt;&gt;"",0,ROUND(M1216*N1216,2)))</f>
        <v/>
      </c>
      <c r="P1216" s="15">
        <f>IF(OR(B1216="",J1216&lt;&gt;""),"",IF(L1216&lt;&gt;"",L1216,IF(COUNTIFS(Invoices!$C$6:$C$305,C1216,Invoices!$E$6:$E$305,"&lt;="&amp;B1216,Invoices!$F$6:$F$305,"&gt;="&amp;B1216)=1,INDEX(Invoices!$B$6:$B$305,SUMIFS(Invoices!$O$6:$O$305,Invoices!$C$6:$C$305,C1216,Invoices!$E$6:$E$305,"&lt;="&amp;B1216,Invoices!$F$6:$F$305,"&gt;="&amp;B1216)),IF(COUNTIFS(Invoices!$C$6:$C$305,C1216,Invoices!$E$6:$E$305,"&lt;="&amp;B1216,Invoices!$F$6:$F$305,"&gt;="&amp;B1216)&gt;1,"Two invoices",""))))</f>
        <v/>
      </c>
      <c r="Q1216" s="15">
        <f>IF(B1216="","",IF(J1216&lt;&gt;"","Not billable",IF(P1216="","To invoice",IF(P1216="Two invoices","Check dates",IF(ISNA(MATCH(P1216,Invoices!$B$6:$B$305,0)),"Check number",IF(INDEX(Invoices!$M$6:$M$305,MATCH(P1216,Invoices!$B$6:$B$305,0))="Paid","Paid",IF(INDEX(Invoices!$M$6:$M$305,MATCH(P1216,Invoices!$B$6:$B$305,0))="Draft","Draft","Invoiced")))))))</f>
        <v/>
      </c>
      <c r="R1216" s="1">
        <f>IF(AND(B1216&lt;&gt;"",P1216&lt;&gt;"",P1216=Invoice!$G$4),B1216+MOD(N(F1216),1)+ROW()/10000000,"")</f>
        <v/>
      </c>
      <c r="S1216">
        <f>IF(R1216="","",IF(D1216="","Other work",D1216)&amp;IF(AND(K1216&lt;&gt;"",E1216&lt;&gt;""),", "&amp;E1216,""))</f>
        <v/>
      </c>
      <c r="T1216">
        <f>IF(R1216="","",IF(COUNTIFS(R$6:R1215,"&gt;0",S$6:S1215,S1216,N$6:N1215,N1216)=0,R1216,""))</f>
        <v/>
      </c>
      <c r="U1216">
        <f>IF(B1216="","",IF(J1216&lt;&gt;"",0,M1216))</f>
        <v/>
      </c>
    </row>
    <row r="1217">
      <c r="A1217" s="1" t="n"/>
      <c r="B1217" s="16" t="n"/>
      <c r="C1217" s="17" t="n"/>
      <c r="D1217" s="18" t="n"/>
      <c r="E1217" s="18" t="n"/>
      <c r="F1217" s="19" t="n"/>
      <c r="G1217" s="19" t="n"/>
      <c r="H1217" s="20" t="n"/>
      <c r="I1217" s="21" t="n"/>
      <c r="J1217" s="22" t="n"/>
      <c r="K1217" s="23" t="n"/>
      <c r="L1217" s="18" t="n"/>
      <c r="M1217" s="24">
        <f>IF(B1217="","",IF(AND(F1217&lt;&gt;"",G1217&lt;&gt;""),MAX(0,ROUND(MOD(G1217-F1217,1)*24-N(H1217)/60,2)),N(I1217)))</f>
        <v/>
      </c>
      <c r="N1217" s="14">
        <f>IF(B1217="","",IF(K1217&lt;&gt;"",K1217,IF(N(IFERROR(INDEX(Projects!$D$6:$D$65,MATCH(D1217,Projects!$B$6:$B$65,0)),""))&gt;0,IFERROR(INDEX(Projects!$D$6:$D$65,MATCH(D1217,Projects!$B$6:$B$65,0)),""),IFERROR(INDEX(Clients!$G$6:$G$45,MATCH(C1217,Clients!$B$6:$B$45,0)),0))))</f>
        <v/>
      </c>
      <c r="O1217" s="14">
        <f>IF(B1217="","",IF(J1217&lt;&gt;"",0,ROUND(M1217*N1217,2)))</f>
        <v/>
      </c>
      <c r="P1217" s="15">
        <f>IF(OR(B1217="",J1217&lt;&gt;""),"",IF(L1217&lt;&gt;"",L1217,IF(COUNTIFS(Invoices!$C$6:$C$305,C1217,Invoices!$E$6:$E$305,"&lt;="&amp;B1217,Invoices!$F$6:$F$305,"&gt;="&amp;B1217)=1,INDEX(Invoices!$B$6:$B$305,SUMIFS(Invoices!$O$6:$O$305,Invoices!$C$6:$C$305,C1217,Invoices!$E$6:$E$305,"&lt;="&amp;B1217,Invoices!$F$6:$F$305,"&gt;="&amp;B1217)),IF(COUNTIFS(Invoices!$C$6:$C$305,C1217,Invoices!$E$6:$E$305,"&lt;="&amp;B1217,Invoices!$F$6:$F$305,"&gt;="&amp;B1217)&gt;1,"Two invoices",""))))</f>
        <v/>
      </c>
      <c r="Q1217" s="15">
        <f>IF(B1217="","",IF(J1217&lt;&gt;"","Not billable",IF(P1217="","To invoice",IF(P1217="Two invoices","Check dates",IF(ISNA(MATCH(P1217,Invoices!$B$6:$B$305,0)),"Check number",IF(INDEX(Invoices!$M$6:$M$305,MATCH(P1217,Invoices!$B$6:$B$305,0))="Paid","Paid",IF(INDEX(Invoices!$M$6:$M$305,MATCH(P1217,Invoices!$B$6:$B$305,0))="Draft","Draft","Invoiced")))))))</f>
        <v/>
      </c>
      <c r="R1217" s="1">
        <f>IF(AND(B1217&lt;&gt;"",P1217&lt;&gt;"",P1217=Invoice!$G$4),B1217+MOD(N(F1217),1)+ROW()/10000000,"")</f>
        <v/>
      </c>
      <c r="S1217">
        <f>IF(R1217="","",IF(D1217="","Other work",D1217)&amp;IF(AND(K1217&lt;&gt;"",E1217&lt;&gt;""),", "&amp;E1217,""))</f>
        <v/>
      </c>
      <c r="T1217">
        <f>IF(R1217="","",IF(COUNTIFS(R$6:R1216,"&gt;0",S$6:S1216,S1217,N$6:N1216,N1217)=0,R1217,""))</f>
        <v/>
      </c>
      <c r="U1217">
        <f>IF(B1217="","",IF(J1217&lt;&gt;"",0,M1217))</f>
        <v/>
      </c>
    </row>
    <row r="1218">
      <c r="A1218" s="1" t="n"/>
      <c r="B1218" s="16" t="n"/>
      <c r="C1218" s="17" t="n"/>
      <c r="D1218" s="18" t="n"/>
      <c r="E1218" s="18" t="n"/>
      <c r="F1218" s="19" t="n"/>
      <c r="G1218" s="19" t="n"/>
      <c r="H1218" s="20" t="n"/>
      <c r="I1218" s="21" t="n"/>
      <c r="J1218" s="22" t="n"/>
      <c r="K1218" s="23" t="n"/>
      <c r="L1218" s="18" t="n"/>
      <c r="M1218" s="24">
        <f>IF(B1218="","",IF(AND(F1218&lt;&gt;"",G1218&lt;&gt;""),MAX(0,ROUND(MOD(G1218-F1218,1)*24-N(H1218)/60,2)),N(I1218)))</f>
        <v/>
      </c>
      <c r="N1218" s="14">
        <f>IF(B1218="","",IF(K1218&lt;&gt;"",K1218,IF(N(IFERROR(INDEX(Projects!$D$6:$D$65,MATCH(D1218,Projects!$B$6:$B$65,0)),""))&gt;0,IFERROR(INDEX(Projects!$D$6:$D$65,MATCH(D1218,Projects!$B$6:$B$65,0)),""),IFERROR(INDEX(Clients!$G$6:$G$45,MATCH(C1218,Clients!$B$6:$B$45,0)),0))))</f>
        <v/>
      </c>
      <c r="O1218" s="14">
        <f>IF(B1218="","",IF(J1218&lt;&gt;"",0,ROUND(M1218*N1218,2)))</f>
        <v/>
      </c>
      <c r="P1218" s="15">
        <f>IF(OR(B1218="",J1218&lt;&gt;""),"",IF(L1218&lt;&gt;"",L1218,IF(COUNTIFS(Invoices!$C$6:$C$305,C1218,Invoices!$E$6:$E$305,"&lt;="&amp;B1218,Invoices!$F$6:$F$305,"&gt;="&amp;B1218)=1,INDEX(Invoices!$B$6:$B$305,SUMIFS(Invoices!$O$6:$O$305,Invoices!$C$6:$C$305,C1218,Invoices!$E$6:$E$305,"&lt;="&amp;B1218,Invoices!$F$6:$F$305,"&gt;="&amp;B1218)),IF(COUNTIFS(Invoices!$C$6:$C$305,C1218,Invoices!$E$6:$E$305,"&lt;="&amp;B1218,Invoices!$F$6:$F$305,"&gt;="&amp;B1218)&gt;1,"Two invoices",""))))</f>
        <v/>
      </c>
      <c r="Q1218" s="15">
        <f>IF(B1218="","",IF(J1218&lt;&gt;"","Not billable",IF(P1218="","To invoice",IF(P1218="Two invoices","Check dates",IF(ISNA(MATCH(P1218,Invoices!$B$6:$B$305,0)),"Check number",IF(INDEX(Invoices!$M$6:$M$305,MATCH(P1218,Invoices!$B$6:$B$305,0))="Paid","Paid",IF(INDEX(Invoices!$M$6:$M$305,MATCH(P1218,Invoices!$B$6:$B$305,0))="Draft","Draft","Invoiced")))))))</f>
        <v/>
      </c>
      <c r="R1218" s="1">
        <f>IF(AND(B1218&lt;&gt;"",P1218&lt;&gt;"",P1218=Invoice!$G$4),B1218+MOD(N(F1218),1)+ROW()/10000000,"")</f>
        <v/>
      </c>
      <c r="S1218">
        <f>IF(R1218="","",IF(D1218="","Other work",D1218)&amp;IF(AND(K1218&lt;&gt;"",E1218&lt;&gt;""),", "&amp;E1218,""))</f>
        <v/>
      </c>
      <c r="T1218">
        <f>IF(R1218="","",IF(COUNTIFS(R$6:R1217,"&gt;0",S$6:S1217,S1218,N$6:N1217,N1218)=0,R1218,""))</f>
        <v/>
      </c>
      <c r="U1218">
        <f>IF(B1218="","",IF(J1218&lt;&gt;"",0,M1218))</f>
        <v/>
      </c>
    </row>
    <row r="1219">
      <c r="A1219" s="1" t="n"/>
      <c r="B1219" s="16" t="n"/>
      <c r="C1219" s="17" t="n"/>
      <c r="D1219" s="18" t="n"/>
      <c r="E1219" s="18" t="n"/>
      <c r="F1219" s="19" t="n"/>
      <c r="G1219" s="19" t="n"/>
      <c r="H1219" s="20" t="n"/>
      <c r="I1219" s="21" t="n"/>
      <c r="J1219" s="22" t="n"/>
      <c r="K1219" s="23" t="n"/>
      <c r="L1219" s="18" t="n"/>
      <c r="M1219" s="24">
        <f>IF(B1219="","",IF(AND(F1219&lt;&gt;"",G1219&lt;&gt;""),MAX(0,ROUND(MOD(G1219-F1219,1)*24-N(H1219)/60,2)),N(I1219)))</f>
        <v/>
      </c>
      <c r="N1219" s="14">
        <f>IF(B1219="","",IF(K1219&lt;&gt;"",K1219,IF(N(IFERROR(INDEX(Projects!$D$6:$D$65,MATCH(D1219,Projects!$B$6:$B$65,0)),""))&gt;0,IFERROR(INDEX(Projects!$D$6:$D$65,MATCH(D1219,Projects!$B$6:$B$65,0)),""),IFERROR(INDEX(Clients!$G$6:$G$45,MATCH(C1219,Clients!$B$6:$B$45,0)),0))))</f>
        <v/>
      </c>
      <c r="O1219" s="14">
        <f>IF(B1219="","",IF(J1219&lt;&gt;"",0,ROUND(M1219*N1219,2)))</f>
        <v/>
      </c>
      <c r="P1219" s="15">
        <f>IF(OR(B1219="",J1219&lt;&gt;""),"",IF(L1219&lt;&gt;"",L1219,IF(COUNTIFS(Invoices!$C$6:$C$305,C1219,Invoices!$E$6:$E$305,"&lt;="&amp;B1219,Invoices!$F$6:$F$305,"&gt;="&amp;B1219)=1,INDEX(Invoices!$B$6:$B$305,SUMIFS(Invoices!$O$6:$O$305,Invoices!$C$6:$C$305,C1219,Invoices!$E$6:$E$305,"&lt;="&amp;B1219,Invoices!$F$6:$F$305,"&gt;="&amp;B1219)),IF(COUNTIFS(Invoices!$C$6:$C$305,C1219,Invoices!$E$6:$E$305,"&lt;="&amp;B1219,Invoices!$F$6:$F$305,"&gt;="&amp;B1219)&gt;1,"Two invoices",""))))</f>
        <v/>
      </c>
      <c r="Q1219" s="15">
        <f>IF(B1219="","",IF(J1219&lt;&gt;"","Not billable",IF(P1219="","To invoice",IF(P1219="Two invoices","Check dates",IF(ISNA(MATCH(P1219,Invoices!$B$6:$B$305,0)),"Check number",IF(INDEX(Invoices!$M$6:$M$305,MATCH(P1219,Invoices!$B$6:$B$305,0))="Paid","Paid",IF(INDEX(Invoices!$M$6:$M$305,MATCH(P1219,Invoices!$B$6:$B$305,0))="Draft","Draft","Invoiced")))))))</f>
        <v/>
      </c>
      <c r="R1219" s="1">
        <f>IF(AND(B1219&lt;&gt;"",P1219&lt;&gt;"",P1219=Invoice!$G$4),B1219+MOD(N(F1219),1)+ROW()/10000000,"")</f>
        <v/>
      </c>
      <c r="S1219">
        <f>IF(R1219="","",IF(D1219="","Other work",D1219)&amp;IF(AND(K1219&lt;&gt;"",E1219&lt;&gt;""),", "&amp;E1219,""))</f>
        <v/>
      </c>
      <c r="T1219">
        <f>IF(R1219="","",IF(COUNTIFS(R$6:R1218,"&gt;0",S$6:S1218,S1219,N$6:N1218,N1219)=0,R1219,""))</f>
        <v/>
      </c>
      <c r="U1219">
        <f>IF(B1219="","",IF(J1219&lt;&gt;"",0,M1219))</f>
        <v/>
      </c>
    </row>
    <row r="1220">
      <c r="A1220" s="1" t="n"/>
      <c r="B1220" s="16" t="n"/>
      <c r="C1220" s="17" t="n"/>
      <c r="D1220" s="18" t="n"/>
      <c r="E1220" s="18" t="n"/>
      <c r="F1220" s="19" t="n"/>
      <c r="G1220" s="19" t="n"/>
      <c r="H1220" s="20" t="n"/>
      <c r="I1220" s="21" t="n"/>
      <c r="J1220" s="22" t="n"/>
      <c r="K1220" s="23" t="n"/>
      <c r="L1220" s="18" t="n"/>
      <c r="M1220" s="24">
        <f>IF(B1220="","",IF(AND(F1220&lt;&gt;"",G1220&lt;&gt;""),MAX(0,ROUND(MOD(G1220-F1220,1)*24-N(H1220)/60,2)),N(I1220)))</f>
        <v/>
      </c>
      <c r="N1220" s="14">
        <f>IF(B1220="","",IF(K1220&lt;&gt;"",K1220,IF(N(IFERROR(INDEX(Projects!$D$6:$D$65,MATCH(D1220,Projects!$B$6:$B$65,0)),""))&gt;0,IFERROR(INDEX(Projects!$D$6:$D$65,MATCH(D1220,Projects!$B$6:$B$65,0)),""),IFERROR(INDEX(Clients!$G$6:$G$45,MATCH(C1220,Clients!$B$6:$B$45,0)),0))))</f>
        <v/>
      </c>
      <c r="O1220" s="14">
        <f>IF(B1220="","",IF(J1220&lt;&gt;"",0,ROUND(M1220*N1220,2)))</f>
        <v/>
      </c>
      <c r="P1220" s="15">
        <f>IF(OR(B1220="",J1220&lt;&gt;""),"",IF(L1220&lt;&gt;"",L1220,IF(COUNTIFS(Invoices!$C$6:$C$305,C1220,Invoices!$E$6:$E$305,"&lt;="&amp;B1220,Invoices!$F$6:$F$305,"&gt;="&amp;B1220)=1,INDEX(Invoices!$B$6:$B$305,SUMIFS(Invoices!$O$6:$O$305,Invoices!$C$6:$C$305,C1220,Invoices!$E$6:$E$305,"&lt;="&amp;B1220,Invoices!$F$6:$F$305,"&gt;="&amp;B1220)),IF(COUNTIFS(Invoices!$C$6:$C$305,C1220,Invoices!$E$6:$E$305,"&lt;="&amp;B1220,Invoices!$F$6:$F$305,"&gt;="&amp;B1220)&gt;1,"Two invoices",""))))</f>
        <v/>
      </c>
      <c r="Q1220" s="15">
        <f>IF(B1220="","",IF(J1220&lt;&gt;"","Not billable",IF(P1220="","To invoice",IF(P1220="Two invoices","Check dates",IF(ISNA(MATCH(P1220,Invoices!$B$6:$B$305,0)),"Check number",IF(INDEX(Invoices!$M$6:$M$305,MATCH(P1220,Invoices!$B$6:$B$305,0))="Paid","Paid",IF(INDEX(Invoices!$M$6:$M$305,MATCH(P1220,Invoices!$B$6:$B$305,0))="Draft","Draft","Invoiced")))))))</f>
        <v/>
      </c>
      <c r="R1220" s="1">
        <f>IF(AND(B1220&lt;&gt;"",P1220&lt;&gt;"",P1220=Invoice!$G$4),B1220+MOD(N(F1220),1)+ROW()/10000000,"")</f>
        <v/>
      </c>
      <c r="S1220">
        <f>IF(R1220="","",IF(D1220="","Other work",D1220)&amp;IF(AND(K1220&lt;&gt;"",E1220&lt;&gt;""),", "&amp;E1220,""))</f>
        <v/>
      </c>
      <c r="T1220">
        <f>IF(R1220="","",IF(COUNTIFS(R$6:R1219,"&gt;0",S$6:S1219,S1220,N$6:N1219,N1220)=0,R1220,""))</f>
        <v/>
      </c>
      <c r="U1220">
        <f>IF(B1220="","",IF(J1220&lt;&gt;"",0,M1220))</f>
        <v/>
      </c>
    </row>
    <row r="1221">
      <c r="A1221" s="1" t="n"/>
      <c r="B1221" s="16" t="n"/>
      <c r="C1221" s="17" t="n"/>
      <c r="D1221" s="18" t="n"/>
      <c r="E1221" s="18" t="n"/>
      <c r="F1221" s="19" t="n"/>
      <c r="G1221" s="19" t="n"/>
      <c r="H1221" s="20" t="n"/>
      <c r="I1221" s="21" t="n"/>
      <c r="J1221" s="22" t="n"/>
      <c r="K1221" s="23" t="n"/>
      <c r="L1221" s="18" t="n"/>
      <c r="M1221" s="24">
        <f>IF(B1221="","",IF(AND(F1221&lt;&gt;"",G1221&lt;&gt;""),MAX(0,ROUND(MOD(G1221-F1221,1)*24-N(H1221)/60,2)),N(I1221)))</f>
        <v/>
      </c>
      <c r="N1221" s="14">
        <f>IF(B1221="","",IF(K1221&lt;&gt;"",K1221,IF(N(IFERROR(INDEX(Projects!$D$6:$D$65,MATCH(D1221,Projects!$B$6:$B$65,0)),""))&gt;0,IFERROR(INDEX(Projects!$D$6:$D$65,MATCH(D1221,Projects!$B$6:$B$65,0)),""),IFERROR(INDEX(Clients!$G$6:$G$45,MATCH(C1221,Clients!$B$6:$B$45,0)),0))))</f>
        <v/>
      </c>
      <c r="O1221" s="14">
        <f>IF(B1221="","",IF(J1221&lt;&gt;"",0,ROUND(M1221*N1221,2)))</f>
        <v/>
      </c>
      <c r="P1221" s="15">
        <f>IF(OR(B1221="",J1221&lt;&gt;""),"",IF(L1221&lt;&gt;"",L1221,IF(COUNTIFS(Invoices!$C$6:$C$305,C1221,Invoices!$E$6:$E$305,"&lt;="&amp;B1221,Invoices!$F$6:$F$305,"&gt;="&amp;B1221)=1,INDEX(Invoices!$B$6:$B$305,SUMIFS(Invoices!$O$6:$O$305,Invoices!$C$6:$C$305,C1221,Invoices!$E$6:$E$305,"&lt;="&amp;B1221,Invoices!$F$6:$F$305,"&gt;="&amp;B1221)),IF(COUNTIFS(Invoices!$C$6:$C$305,C1221,Invoices!$E$6:$E$305,"&lt;="&amp;B1221,Invoices!$F$6:$F$305,"&gt;="&amp;B1221)&gt;1,"Two invoices",""))))</f>
        <v/>
      </c>
      <c r="Q1221" s="15">
        <f>IF(B1221="","",IF(J1221&lt;&gt;"","Not billable",IF(P1221="","To invoice",IF(P1221="Two invoices","Check dates",IF(ISNA(MATCH(P1221,Invoices!$B$6:$B$305,0)),"Check number",IF(INDEX(Invoices!$M$6:$M$305,MATCH(P1221,Invoices!$B$6:$B$305,0))="Paid","Paid",IF(INDEX(Invoices!$M$6:$M$305,MATCH(P1221,Invoices!$B$6:$B$305,0))="Draft","Draft","Invoiced")))))))</f>
        <v/>
      </c>
      <c r="R1221" s="1">
        <f>IF(AND(B1221&lt;&gt;"",P1221&lt;&gt;"",P1221=Invoice!$G$4),B1221+MOD(N(F1221),1)+ROW()/10000000,"")</f>
        <v/>
      </c>
      <c r="S1221">
        <f>IF(R1221="","",IF(D1221="","Other work",D1221)&amp;IF(AND(K1221&lt;&gt;"",E1221&lt;&gt;""),", "&amp;E1221,""))</f>
        <v/>
      </c>
      <c r="T1221">
        <f>IF(R1221="","",IF(COUNTIFS(R$6:R1220,"&gt;0",S$6:S1220,S1221,N$6:N1220,N1221)=0,R1221,""))</f>
        <v/>
      </c>
      <c r="U1221">
        <f>IF(B1221="","",IF(J1221&lt;&gt;"",0,M1221))</f>
        <v/>
      </c>
    </row>
    <row r="1222">
      <c r="A1222" s="1" t="n"/>
      <c r="B1222" s="16" t="n"/>
      <c r="C1222" s="17" t="n"/>
      <c r="D1222" s="18" t="n"/>
      <c r="E1222" s="18" t="n"/>
      <c r="F1222" s="19" t="n"/>
      <c r="G1222" s="19" t="n"/>
      <c r="H1222" s="20" t="n"/>
      <c r="I1222" s="21" t="n"/>
      <c r="J1222" s="22" t="n"/>
      <c r="K1222" s="23" t="n"/>
      <c r="L1222" s="18" t="n"/>
      <c r="M1222" s="24">
        <f>IF(B1222="","",IF(AND(F1222&lt;&gt;"",G1222&lt;&gt;""),MAX(0,ROUND(MOD(G1222-F1222,1)*24-N(H1222)/60,2)),N(I1222)))</f>
        <v/>
      </c>
      <c r="N1222" s="14">
        <f>IF(B1222="","",IF(K1222&lt;&gt;"",K1222,IF(N(IFERROR(INDEX(Projects!$D$6:$D$65,MATCH(D1222,Projects!$B$6:$B$65,0)),""))&gt;0,IFERROR(INDEX(Projects!$D$6:$D$65,MATCH(D1222,Projects!$B$6:$B$65,0)),""),IFERROR(INDEX(Clients!$G$6:$G$45,MATCH(C1222,Clients!$B$6:$B$45,0)),0))))</f>
        <v/>
      </c>
      <c r="O1222" s="14">
        <f>IF(B1222="","",IF(J1222&lt;&gt;"",0,ROUND(M1222*N1222,2)))</f>
        <v/>
      </c>
      <c r="P1222" s="15">
        <f>IF(OR(B1222="",J1222&lt;&gt;""),"",IF(L1222&lt;&gt;"",L1222,IF(COUNTIFS(Invoices!$C$6:$C$305,C1222,Invoices!$E$6:$E$305,"&lt;="&amp;B1222,Invoices!$F$6:$F$305,"&gt;="&amp;B1222)=1,INDEX(Invoices!$B$6:$B$305,SUMIFS(Invoices!$O$6:$O$305,Invoices!$C$6:$C$305,C1222,Invoices!$E$6:$E$305,"&lt;="&amp;B1222,Invoices!$F$6:$F$305,"&gt;="&amp;B1222)),IF(COUNTIFS(Invoices!$C$6:$C$305,C1222,Invoices!$E$6:$E$305,"&lt;="&amp;B1222,Invoices!$F$6:$F$305,"&gt;="&amp;B1222)&gt;1,"Two invoices",""))))</f>
        <v/>
      </c>
      <c r="Q1222" s="15">
        <f>IF(B1222="","",IF(J1222&lt;&gt;"","Not billable",IF(P1222="","To invoice",IF(P1222="Two invoices","Check dates",IF(ISNA(MATCH(P1222,Invoices!$B$6:$B$305,0)),"Check number",IF(INDEX(Invoices!$M$6:$M$305,MATCH(P1222,Invoices!$B$6:$B$305,0))="Paid","Paid",IF(INDEX(Invoices!$M$6:$M$305,MATCH(P1222,Invoices!$B$6:$B$305,0))="Draft","Draft","Invoiced")))))))</f>
        <v/>
      </c>
      <c r="R1222" s="1">
        <f>IF(AND(B1222&lt;&gt;"",P1222&lt;&gt;"",P1222=Invoice!$G$4),B1222+MOD(N(F1222),1)+ROW()/10000000,"")</f>
        <v/>
      </c>
      <c r="S1222">
        <f>IF(R1222="","",IF(D1222="","Other work",D1222)&amp;IF(AND(K1222&lt;&gt;"",E1222&lt;&gt;""),", "&amp;E1222,""))</f>
        <v/>
      </c>
      <c r="T1222">
        <f>IF(R1222="","",IF(COUNTIFS(R$6:R1221,"&gt;0",S$6:S1221,S1222,N$6:N1221,N1222)=0,R1222,""))</f>
        <v/>
      </c>
      <c r="U1222">
        <f>IF(B1222="","",IF(J1222&lt;&gt;"",0,M1222))</f>
        <v/>
      </c>
    </row>
    <row r="1223">
      <c r="A1223" s="1" t="n"/>
      <c r="B1223" s="16" t="n"/>
      <c r="C1223" s="17" t="n"/>
      <c r="D1223" s="18" t="n"/>
      <c r="E1223" s="18" t="n"/>
      <c r="F1223" s="19" t="n"/>
      <c r="G1223" s="19" t="n"/>
      <c r="H1223" s="20" t="n"/>
      <c r="I1223" s="21" t="n"/>
      <c r="J1223" s="22" t="n"/>
      <c r="K1223" s="23" t="n"/>
      <c r="L1223" s="18" t="n"/>
      <c r="M1223" s="24">
        <f>IF(B1223="","",IF(AND(F1223&lt;&gt;"",G1223&lt;&gt;""),MAX(0,ROUND(MOD(G1223-F1223,1)*24-N(H1223)/60,2)),N(I1223)))</f>
        <v/>
      </c>
      <c r="N1223" s="14">
        <f>IF(B1223="","",IF(K1223&lt;&gt;"",K1223,IF(N(IFERROR(INDEX(Projects!$D$6:$D$65,MATCH(D1223,Projects!$B$6:$B$65,0)),""))&gt;0,IFERROR(INDEX(Projects!$D$6:$D$65,MATCH(D1223,Projects!$B$6:$B$65,0)),""),IFERROR(INDEX(Clients!$G$6:$G$45,MATCH(C1223,Clients!$B$6:$B$45,0)),0))))</f>
        <v/>
      </c>
      <c r="O1223" s="14">
        <f>IF(B1223="","",IF(J1223&lt;&gt;"",0,ROUND(M1223*N1223,2)))</f>
        <v/>
      </c>
      <c r="P1223" s="15">
        <f>IF(OR(B1223="",J1223&lt;&gt;""),"",IF(L1223&lt;&gt;"",L1223,IF(COUNTIFS(Invoices!$C$6:$C$305,C1223,Invoices!$E$6:$E$305,"&lt;="&amp;B1223,Invoices!$F$6:$F$305,"&gt;="&amp;B1223)=1,INDEX(Invoices!$B$6:$B$305,SUMIFS(Invoices!$O$6:$O$305,Invoices!$C$6:$C$305,C1223,Invoices!$E$6:$E$305,"&lt;="&amp;B1223,Invoices!$F$6:$F$305,"&gt;="&amp;B1223)),IF(COUNTIFS(Invoices!$C$6:$C$305,C1223,Invoices!$E$6:$E$305,"&lt;="&amp;B1223,Invoices!$F$6:$F$305,"&gt;="&amp;B1223)&gt;1,"Two invoices",""))))</f>
        <v/>
      </c>
      <c r="Q1223" s="15">
        <f>IF(B1223="","",IF(J1223&lt;&gt;"","Not billable",IF(P1223="","To invoice",IF(P1223="Two invoices","Check dates",IF(ISNA(MATCH(P1223,Invoices!$B$6:$B$305,0)),"Check number",IF(INDEX(Invoices!$M$6:$M$305,MATCH(P1223,Invoices!$B$6:$B$305,0))="Paid","Paid",IF(INDEX(Invoices!$M$6:$M$305,MATCH(P1223,Invoices!$B$6:$B$305,0))="Draft","Draft","Invoiced")))))))</f>
        <v/>
      </c>
      <c r="R1223" s="1">
        <f>IF(AND(B1223&lt;&gt;"",P1223&lt;&gt;"",P1223=Invoice!$G$4),B1223+MOD(N(F1223),1)+ROW()/10000000,"")</f>
        <v/>
      </c>
      <c r="S1223">
        <f>IF(R1223="","",IF(D1223="","Other work",D1223)&amp;IF(AND(K1223&lt;&gt;"",E1223&lt;&gt;""),", "&amp;E1223,""))</f>
        <v/>
      </c>
      <c r="T1223">
        <f>IF(R1223="","",IF(COUNTIFS(R$6:R1222,"&gt;0",S$6:S1222,S1223,N$6:N1222,N1223)=0,R1223,""))</f>
        <v/>
      </c>
      <c r="U1223">
        <f>IF(B1223="","",IF(J1223&lt;&gt;"",0,M1223))</f>
        <v/>
      </c>
    </row>
    <row r="1224">
      <c r="A1224" s="1" t="n"/>
      <c r="B1224" s="16" t="n"/>
      <c r="C1224" s="17" t="n"/>
      <c r="D1224" s="18" t="n"/>
      <c r="E1224" s="18" t="n"/>
      <c r="F1224" s="19" t="n"/>
      <c r="G1224" s="19" t="n"/>
      <c r="H1224" s="20" t="n"/>
      <c r="I1224" s="21" t="n"/>
      <c r="J1224" s="22" t="n"/>
      <c r="K1224" s="23" t="n"/>
      <c r="L1224" s="18" t="n"/>
      <c r="M1224" s="24">
        <f>IF(B1224="","",IF(AND(F1224&lt;&gt;"",G1224&lt;&gt;""),MAX(0,ROUND(MOD(G1224-F1224,1)*24-N(H1224)/60,2)),N(I1224)))</f>
        <v/>
      </c>
      <c r="N1224" s="14">
        <f>IF(B1224="","",IF(K1224&lt;&gt;"",K1224,IF(N(IFERROR(INDEX(Projects!$D$6:$D$65,MATCH(D1224,Projects!$B$6:$B$65,0)),""))&gt;0,IFERROR(INDEX(Projects!$D$6:$D$65,MATCH(D1224,Projects!$B$6:$B$65,0)),""),IFERROR(INDEX(Clients!$G$6:$G$45,MATCH(C1224,Clients!$B$6:$B$45,0)),0))))</f>
        <v/>
      </c>
      <c r="O1224" s="14">
        <f>IF(B1224="","",IF(J1224&lt;&gt;"",0,ROUND(M1224*N1224,2)))</f>
        <v/>
      </c>
      <c r="P1224" s="15">
        <f>IF(OR(B1224="",J1224&lt;&gt;""),"",IF(L1224&lt;&gt;"",L1224,IF(COUNTIFS(Invoices!$C$6:$C$305,C1224,Invoices!$E$6:$E$305,"&lt;="&amp;B1224,Invoices!$F$6:$F$305,"&gt;="&amp;B1224)=1,INDEX(Invoices!$B$6:$B$305,SUMIFS(Invoices!$O$6:$O$305,Invoices!$C$6:$C$305,C1224,Invoices!$E$6:$E$305,"&lt;="&amp;B1224,Invoices!$F$6:$F$305,"&gt;="&amp;B1224)),IF(COUNTIFS(Invoices!$C$6:$C$305,C1224,Invoices!$E$6:$E$305,"&lt;="&amp;B1224,Invoices!$F$6:$F$305,"&gt;="&amp;B1224)&gt;1,"Two invoices",""))))</f>
        <v/>
      </c>
      <c r="Q1224" s="15">
        <f>IF(B1224="","",IF(J1224&lt;&gt;"","Not billable",IF(P1224="","To invoice",IF(P1224="Two invoices","Check dates",IF(ISNA(MATCH(P1224,Invoices!$B$6:$B$305,0)),"Check number",IF(INDEX(Invoices!$M$6:$M$305,MATCH(P1224,Invoices!$B$6:$B$305,0))="Paid","Paid",IF(INDEX(Invoices!$M$6:$M$305,MATCH(P1224,Invoices!$B$6:$B$305,0))="Draft","Draft","Invoiced")))))))</f>
        <v/>
      </c>
      <c r="R1224" s="1">
        <f>IF(AND(B1224&lt;&gt;"",P1224&lt;&gt;"",P1224=Invoice!$G$4),B1224+MOD(N(F1224),1)+ROW()/10000000,"")</f>
        <v/>
      </c>
      <c r="S1224">
        <f>IF(R1224="","",IF(D1224="","Other work",D1224)&amp;IF(AND(K1224&lt;&gt;"",E1224&lt;&gt;""),", "&amp;E1224,""))</f>
        <v/>
      </c>
      <c r="T1224">
        <f>IF(R1224="","",IF(COUNTIFS(R$6:R1223,"&gt;0",S$6:S1223,S1224,N$6:N1223,N1224)=0,R1224,""))</f>
        <v/>
      </c>
      <c r="U1224">
        <f>IF(B1224="","",IF(J1224&lt;&gt;"",0,M1224))</f>
        <v/>
      </c>
    </row>
    <row r="1225">
      <c r="A1225" s="1" t="n"/>
      <c r="B1225" s="16" t="n"/>
      <c r="C1225" s="17" t="n"/>
      <c r="D1225" s="18" t="n"/>
      <c r="E1225" s="18" t="n"/>
      <c r="F1225" s="19" t="n"/>
      <c r="G1225" s="19" t="n"/>
      <c r="H1225" s="20" t="n"/>
      <c r="I1225" s="21" t="n"/>
      <c r="J1225" s="22" t="n"/>
      <c r="K1225" s="23" t="n"/>
      <c r="L1225" s="18" t="n"/>
      <c r="M1225" s="24">
        <f>IF(B1225="","",IF(AND(F1225&lt;&gt;"",G1225&lt;&gt;""),MAX(0,ROUND(MOD(G1225-F1225,1)*24-N(H1225)/60,2)),N(I1225)))</f>
        <v/>
      </c>
      <c r="N1225" s="14">
        <f>IF(B1225="","",IF(K1225&lt;&gt;"",K1225,IF(N(IFERROR(INDEX(Projects!$D$6:$D$65,MATCH(D1225,Projects!$B$6:$B$65,0)),""))&gt;0,IFERROR(INDEX(Projects!$D$6:$D$65,MATCH(D1225,Projects!$B$6:$B$65,0)),""),IFERROR(INDEX(Clients!$G$6:$G$45,MATCH(C1225,Clients!$B$6:$B$45,0)),0))))</f>
        <v/>
      </c>
      <c r="O1225" s="14">
        <f>IF(B1225="","",IF(J1225&lt;&gt;"",0,ROUND(M1225*N1225,2)))</f>
        <v/>
      </c>
      <c r="P1225" s="15">
        <f>IF(OR(B1225="",J1225&lt;&gt;""),"",IF(L1225&lt;&gt;"",L1225,IF(COUNTIFS(Invoices!$C$6:$C$305,C1225,Invoices!$E$6:$E$305,"&lt;="&amp;B1225,Invoices!$F$6:$F$305,"&gt;="&amp;B1225)=1,INDEX(Invoices!$B$6:$B$305,SUMIFS(Invoices!$O$6:$O$305,Invoices!$C$6:$C$305,C1225,Invoices!$E$6:$E$305,"&lt;="&amp;B1225,Invoices!$F$6:$F$305,"&gt;="&amp;B1225)),IF(COUNTIFS(Invoices!$C$6:$C$305,C1225,Invoices!$E$6:$E$305,"&lt;="&amp;B1225,Invoices!$F$6:$F$305,"&gt;="&amp;B1225)&gt;1,"Two invoices",""))))</f>
        <v/>
      </c>
      <c r="Q1225" s="15">
        <f>IF(B1225="","",IF(J1225&lt;&gt;"","Not billable",IF(P1225="","To invoice",IF(P1225="Two invoices","Check dates",IF(ISNA(MATCH(P1225,Invoices!$B$6:$B$305,0)),"Check number",IF(INDEX(Invoices!$M$6:$M$305,MATCH(P1225,Invoices!$B$6:$B$305,0))="Paid","Paid",IF(INDEX(Invoices!$M$6:$M$305,MATCH(P1225,Invoices!$B$6:$B$305,0))="Draft","Draft","Invoiced")))))))</f>
        <v/>
      </c>
      <c r="R1225" s="1">
        <f>IF(AND(B1225&lt;&gt;"",P1225&lt;&gt;"",P1225=Invoice!$G$4),B1225+MOD(N(F1225),1)+ROW()/10000000,"")</f>
        <v/>
      </c>
      <c r="S1225">
        <f>IF(R1225="","",IF(D1225="","Other work",D1225)&amp;IF(AND(K1225&lt;&gt;"",E1225&lt;&gt;""),", "&amp;E1225,""))</f>
        <v/>
      </c>
      <c r="T1225">
        <f>IF(R1225="","",IF(COUNTIFS(R$6:R1224,"&gt;0",S$6:S1224,S1225,N$6:N1224,N1225)=0,R1225,""))</f>
        <v/>
      </c>
      <c r="U1225">
        <f>IF(B1225="","",IF(J1225&lt;&gt;"",0,M1225))</f>
        <v/>
      </c>
    </row>
    <row r="1226">
      <c r="A1226" s="1" t="n"/>
      <c r="B1226" s="16" t="n"/>
      <c r="C1226" s="17" t="n"/>
      <c r="D1226" s="18" t="n"/>
      <c r="E1226" s="18" t="n"/>
      <c r="F1226" s="19" t="n"/>
      <c r="G1226" s="19" t="n"/>
      <c r="H1226" s="20" t="n"/>
      <c r="I1226" s="21" t="n"/>
      <c r="J1226" s="22" t="n"/>
      <c r="K1226" s="23" t="n"/>
      <c r="L1226" s="18" t="n"/>
      <c r="M1226" s="24">
        <f>IF(B1226="","",IF(AND(F1226&lt;&gt;"",G1226&lt;&gt;""),MAX(0,ROUND(MOD(G1226-F1226,1)*24-N(H1226)/60,2)),N(I1226)))</f>
        <v/>
      </c>
      <c r="N1226" s="14">
        <f>IF(B1226="","",IF(K1226&lt;&gt;"",K1226,IF(N(IFERROR(INDEX(Projects!$D$6:$D$65,MATCH(D1226,Projects!$B$6:$B$65,0)),""))&gt;0,IFERROR(INDEX(Projects!$D$6:$D$65,MATCH(D1226,Projects!$B$6:$B$65,0)),""),IFERROR(INDEX(Clients!$G$6:$G$45,MATCH(C1226,Clients!$B$6:$B$45,0)),0))))</f>
        <v/>
      </c>
      <c r="O1226" s="14">
        <f>IF(B1226="","",IF(J1226&lt;&gt;"",0,ROUND(M1226*N1226,2)))</f>
        <v/>
      </c>
      <c r="P1226" s="15">
        <f>IF(OR(B1226="",J1226&lt;&gt;""),"",IF(L1226&lt;&gt;"",L1226,IF(COUNTIFS(Invoices!$C$6:$C$305,C1226,Invoices!$E$6:$E$305,"&lt;="&amp;B1226,Invoices!$F$6:$F$305,"&gt;="&amp;B1226)=1,INDEX(Invoices!$B$6:$B$305,SUMIFS(Invoices!$O$6:$O$305,Invoices!$C$6:$C$305,C1226,Invoices!$E$6:$E$305,"&lt;="&amp;B1226,Invoices!$F$6:$F$305,"&gt;="&amp;B1226)),IF(COUNTIFS(Invoices!$C$6:$C$305,C1226,Invoices!$E$6:$E$305,"&lt;="&amp;B1226,Invoices!$F$6:$F$305,"&gt;="&amp;B1226)&gt;1,"Two invoices",""))))</f>
        <v/>
      </c>
      <c r="Q1226" s="15">
        <f>IF(B1226="","",IF(J1226&lt;&gt;"","Not billable",IF(P1226="","To invoice",IF(P1226="Two invoices","Check dates",IF(ISNA(MATCH(P1226,Invoices!$B$6:$B$305,0)),"Check number",IF(INDEX(Invoices!$M$6:$M$305,MATCH(P1226,Invoices!$B$6:$B$305,0))="Paid","Paid",IF(INDEX(Invoices!$M$6:$M$305,MATCH(P1226,Invoices!$B$6:$B$305,0))="Draft","Draft","Invoiced")))))))</f>
        <v/>
      </c>
      <c r="R1226" s="1">
        <f>IF(AND(B1226&lt;&gt;"",P1226&lt;&gt;"",P1226=Invoice!$G$4),B1226+MOD(N(F1226),1)+ROW()/10000000,"")</f>
        <v/>
      </c>
      <c r="S1226">
        <f>IF(R1226="","",IF(D1226="","Other work",D1226)&amp;IF(AND(K1226&lt;&gt;"",E1226&lt;&gt;""),", "&amp;E1226,""))</f>
        <v/>
      </c>
      <c r="T1226">
        <f>IF(R1226="","",IF(COUNTIFS(R$6:R1225,"&gt;0",S$6:S1225,S1226,N$6:N1225,N1226)=0,R1226,""))</f>
        <v/>
      </c>
      <c r="U1226">
        <f>IF(B1226="","",IF(J1226&lt;&gt;"",0,M1226))</f>
        <v/>
      </c>
    </row>
    <row r="1227">
      <c r="A1227" s="1" t="n"/>
      <c r="B1227" s="16" t="n"/>
      <c r="C1227" s="17" t="n"/>
      <c r="D1227" s="18" t="n"/>
      <c r="E1227" s="18" t="n"/>
      <c r="F1227" s="19" t="n"/>
      <c r="G1227" s="19" t="n"/>
      <c r="H1227" s="20" t="n"/>
      <c r="I1227" s="21" t="n"/>
      <c r="J1227" s="22" t="n"/>
      <c r="K1227" s="23" t="n"/>
      <c r="L1227" s="18" t="n"/>
      <c r="M1227" s="24">
        <f>IF(B1227="","",IF(AND(F1227&lt;&gt;"",G1227&lt;&gt;""),MAX(0,ROUND(MOD(G1227-F1227,1)*24-N(H1227)/60,2)),N(I1227)))</f>
        <v/>
      </c>
      <c r="N1227" s="14">
        <f>IF(B1227="","",IF(K1227&lt;&gt;"",K1227,IF(N(IFERROR(INDEX(Projects!$D$6:$D$65,MATCH(D1227,Projects!$B$6:$B$65,0)),""))&gt;0,IFERROR(INDEX(Projects!$D$6:$D$65,MATCH(D1227,Projects!$B$6:$B$65,0)),""),IFERROR(INDEX(Clients!$G$6:$G$45,MATCH(C1227,Clients!$B$6:$B$45,0)),0))))</f>
        <v/>
      </c>
      <c r="O1227" s="14">
        <f>IF(B1227="","",IF(J1227&lt;&gt;"",0,ROUND(M1227*N1227,2)))</f>
        <v/>
      </c>
      <c r="P1227" s="15">
        <f>IF(OR(B1227="",J1227&lt;&gt;""),"",IF(L1227&lt;&gt;"",L1227,IF(COUNTIFS(Invoices!$C$6:$C$305,C1227,Invoices!$E$6:$E$305,"&lt;="&amp;B1227,Invoices!$F$6:$F$305,"&gt;="&amp;B1227)=1,INDEX(Invoices!$B$6:$B$305,SUMIFS(Invoices!$O$6:$O$305,Invoices!$C$6:$C$305,C1227,Invoices!$E$6:$E$305,"&lt;="&amp;B1227,Invoices!$F$6:$F$305,"&gt;="&amp;B1227)),IF(COUNTIFS(Invoices!$C$6:$C$305,C1227,Invoices!$E$6:$E$305,"&lt;="&amp;B1227,Invoices!$F$6:$F$305,"&gt;="&amp;B1227)&gt;1,"Two invoices",""))))</f>
        <v/>
      </c>
      <c r="Q1227" s="15">
        <f>IF(B1227="","",IF(J1227&lt;&gt;"","Not billable",IF(P1227="","To invoice",IF(P1227="Two invoices","Check dates",IF(ISNA(MATCH(P1227,Invoices!$B$6:$B$305,0)),"Check number",IF(INDEX(Invoices!$M$6:$M$305,MATCH(P1227,Invoices!$B$6:$B$305,0))="Paid","Paid",IF(INDEX(Invoices!$M$6:$M$305,MATCH(P1227,Invoices!$B$6:$B$305,0))="Draft","Draft","Invoiced")))))))</f>
        <v/>
      </c>
      <c r="R1227" s="1">
        <f>IF(AND(B1227&lt;&gt;"",P1227&lt;&gt;"",P1227=Invoice!$G$4),B1227+MOD(N(F1227),1)+ROW()/10000000,"")</f>
        <v/>
      </c>
      <c r="S1227">
        <f>IF(R1227="","",IF(D1227="","Other work",D1227)&amp;IF(AND(K1227&lt;&gt;"",E1227&lt;&gt;""),", "&amp;E1227,""))</f>
        <v/>
      </c>
      <c r="T1227">
        <f>IF(R1227="","",IF(COUNTIFS(R$6:R1226,"&gt;0",S$6:S1226,S1227,N$6:N1226,N1227)=0,R1227,""))</f>
        <v/>
      </c>
      <c r="U1227">
        <f>IF(B1227="","",IF(J1227&lt;&gt;"",0,M1227))</f>
        <v/>
      </c>
    </row>
    <row r="1228">
      <c r="A1228" s="1" t="n"/>
      <c r="B1228" s="16" t="n"/>
      <c r="C1228" s="17" t="n"/>
      <c r="D1228" s="18" t="n"/>
      <c r="E1228" s="18" t="n"/>
      <c r="F1228" s="19" t="n"/>
      <c r="G1228" s="19" t="n"/>
      <c r="H1228" s="20" t="n"/>
      <c r="I1228" s="21" t="n"/>
      <c r="J1228" s="22" t="n"/>
      <c r="K1228" s="23" t="n"/>
      <c r="L1228" s="18" t="n"/>
      <c r="M1228" s="24">
        <f>IF(B1228="","",IF(AND(F1228&lt;&gt;"",G1228&lt;&gt;""),MAX(0,ROUND(MOD(G1228-F1228,1)*24-N(H1228)/60,2)),N(I1228)))</f>
        <v/>
      </c>
      <c r="N1228" s="14">
        <f>IF(B1228="","",IF(K1228&lt;&gt;"",K1228,IF(N(IFERROR(INDEX(Projects!$D$6:$D$65,MATCH(D1228,Projects!$B$6:$B$65,0)),""))&gt;0,IFERROR(INDEX(Projects!$D$6:$D$65,MATCH(D1228,Projects!$B$6:$B$65,0)),""),IFERROR(INDEX(Clients!$G$6:$G$45,MATCH(C1228,Clients!$B$6:$B$45,0)),0))))</f>
        <v/>
      </c>
      <c r="O1228" s="14">
        <f>IF(B1228="","",IF(J1228&lt;&gt;"",0,ROUND(M1228*N1228,2)))</f>
        <v/>
      </c>
      <c r="P1228" s="15">
        <f>IF(OR(B1228="",J1228&lt;&gt;""),"",IF(L1228&lt;&gt;"",L1228,IF(COUNTIFS(Invoices!$C$6:$C$305,C1228,Invoices!$E$6:$E$305,"&lt;="&amp;B1228,Invoices!$F$6:$F$305,"&gt;="&amp;B1228)=1,INDEX(Invoices!$B$6:$B$305,SUMIFS(Invoices!$O$6:$O$305,Invoices!$C$6:$C$305,C1228,Invoices!$E$6:$E$305,"&lt;="&amp;B1228,Invoices!$F$6:$F$305,"&gt;="&amp;B1228)),IF(COUNTIFS(Invoices!$C$6:$C$305,C1228,Invoices!$E$6:$E$305,"&lt;="&amp;B1228,Invoices!$F$6:$F$305,"&gt;="&amp;B1228)&gt;1,"Two invoices",""))))</f>
        <v/>
      </c>
      <c r="Q1228" s="15">
        <f>IF(B1228="","",IF(J1228&lt;&gt;"","Not billable",IF(P1228="","To invoice",IF(P1228="Two invoices","Check dates",IF(ISNA(MATCH(P1228,Invoices!$B$6:$B$305,0)),"Check number",IF(INDEX(Invoices!$M$6:$M$305,MATCH(P1228,Invoices!$B$6:$B$305,0))="Paid","Paid",IF(INDEX(Invoices!$M$6:$M$305,MATCH(P1228,Invoices!$B$6:$B$305,0))="Draft","Draft","Invoiced")))))))</f>
        <v/>
      </c>
      <c r="R1228" s="1">
        <f>IF(AND(B1228&lt;&gt;"",P1228&lt;&gt;"",P1228=Invoice!$G$4),B1228+MOD(N(F1228),1)+ROW()/10000000,"")</f>
        <v/>
      </c>
      <c r="S1228">
        <f>IF(R1228="","",IF(D1228="","Other work",D1228)&amp;IF(AND(K1228&lt;&gt;"",E1228&lt;&gt;""),", "&amp;E1228,""))</f>
        <v/>
      </c>
      <c r="T1228">
        <f>IF(R1228="","",IF(COUNTIFS(R$6:R1227,"&gt;0",S$6:S1227,S1228,N$6:N1227,N1228)=0,R1228,""))</f>
        <v/>
      </c>
      <c r="U1228">
        <f>IF(B1228="","",IF(J1228&lt;&gt;"",0,M1228))</f>
        <v/>
      </c>
    </row>
    <row r="1229">
      <c r="A1229" s="1" t="n"/>
      <c r="B1229" s="16" t="n"/>
      <c r="C1229" s="17" t="n"/>
      <c r="D1229" s="18" t="n"/>
      <c r="E1229" s="18" t="n"/>
      <c r="F1229" s="19" t="n"/>
      <c r="G1229" s="19" t="n"/>
      <c r="H1229" s="20" t="n"/>
      <c r="I1229" s="21" t="n"/>
      <c r="J1229" s="22" t="n"/>
      <c r="K1229" s="23" t="n"/>
      <c r="L1229" s="18" t="n"/>
      <c r="M1229" s="24">
        <f>IF(B1229="","",IF(AND(F1229&lt;&gt;"",G1229&lt;&gt;""),MAX(0,ROUND(MOD(G1229-F1229,1)*24-N(H1229)/60,2)),N(I1229)))</f>
        <v/>
      </c>
      <c r="N1229" s="14">
        <f>IF(B1229="","",IF(K1229&lt;&gt;"",K1229,IF(N(IFERROR(INDEX(Projects!$D$6:$D$65,MATCH(D1229,Projects!$B$6:$B$65,0)),""))&gt;0,IFERROR(INDEX(Projects!$D$6:$D$65,MATCH(D1229,Projects!$B$6:$B$65,0)),""),IFERROR(INDEX(Clients!$G$6:$G$45,MATCH(C1229,Clients!$B$6:$B$45,0)),0))))</f>
        <v/>
      </c>
      <c r="O1229" s="14">
        <f>IF(B1229="","",IF(J1229&lt;&gt;"",0,ROUND(M1229*N1229,2)))</f>
        <v/>
      </c>
      <c r="P1229" s="15">
        <f>IF(OR(B1229="",J1229&lt;&gt;""),"",IF(L1229&lt;&gt;"",L1229,IF(COUNTIFS(Invoices!$C$6:$C$305,C1229,Invoices!$E$6:$E$305,"&lt;="&amp;B1229,Invoices!$F$6:$F$305,"&gt;="&amp;B1229)=1,INDEX(Invoices!$B$6:$B$305,SUMIFS(Invoices!$O$6:$O$305,Invoices!$C$6:$C$305,C1229,Invoices!$E$6:$E$305,"&lt;="&amp;B1229,Invoices!$F$6:$F$305,"&gt;="&amp;B1229)),IF(COUNTIFS(Invoices!$C$6:$C$305,C1229,Invoices!$E$6:$E$305,"&lt;="&amp;B1229,Invoices!$F$6:$F$305,"&gt;="&amp;B1229)&gt;1,"Two invoices",""))))</f>
        <v/>
      </c>
      <c r="Q1229" s="15">
        <f>IF(B1229="","",IF(J1229&lt;&gt;"","Not billable",IF(P1229="","To invoice",IF(P1229="Two invoices","Check dates",IF(ISNA(MATCH(P1229,Invoices!$B$6:$B$305,0)),"Check number",IF(INDEX(Invoices!$M$6:$M$305,MATCH(P1229,Invoices!$B$6:$B$305,0))="Paid","Paid",IF(INDEX(Invoices!$M$6:$M$305,MATCH(P1229,Invoices!$B$6:$B$305,0))="Draft","Draft","Invoiced")))))))</f>
        <v/>
      </c>
      <c r="R1229" s="1">
        <f>IF(AND(B1229&lt;&gt;"",P1229&lt;&gt;"",P1229=Invoice!$G$4),B1229+MOD(N(F1229),1)+ROW()/10000000,"")</f>
        <v/>
      </c>
      <c r="S1229">
        <f>IF(R1229="","",IF(D1229="","Other work",D1229)&amp;IF(AND(K1229&lt;&gt;"",E1229&lt;&gt;""),", "&amp;E1229,""))</f>
        <v/>
      </c>
      <c r="T1229">
        <f>IF(R1229="","",IF(COUNTIFS(R$6:R1228,"&gt;0",S$6:S1228,S1229,N$6:N1228,N1229)=0,R1229,""))</f>
        <v/>
      </c>
      <c r="U1229">
        <f>IF(B1229="","",IF(J1229&lt;&gt;"",0,M1229))</f>
        <v/>
      </c>
    </row>
    <row r="1230">
      <c r="A1230" s="1" t="n"/>
      <c r="B1230" s="16" t="n"/>
      <c r="C1230" s="17" t="n"/>
      <c r="D1230" s="18" t="n"/>
      <c r="E1230" s="18" t="n"/>
      <c r="F1230" s="19" t="n"/>
      <c r="G1230" s="19" t="n"/>
      <c r="H1230" s="20" t="n"/>
      <c r="I1230" s="21" t="n"/>
      <c r="J1230" s="22" t="n"/>
      <c r="K1230" s="23" t="n"/>
      <c r="L1230" s="18" t="n"/>
      <c r="M1230" s="24">
        <f>IF(B1230="","",IF(AND(F1230&lt;&gt;"",G1230&lt;&gt;""),MAX(0,ROUND(MOD(G1230-F1230,1)*24-N(H1230)/60,2)),N(I1230)))</f>
        <v/>
      </c>
      <c r="N1230" s="14">
        <f>IF(B1230="","",IF(K1230&lt;&gt;"",K1230,IF(N(IFERROR(INDEX(Projects!$D$6:$D$65,MATCH(D1230,Projects!$B$6:$B$65,0)),""))&gt;0,IFERROR(INDEX(Projects!$D$6:$D$65,MATCH(D1230,Projects!$B$6:$B$65,0)),""),IFERROR(INDEX(Clients!$G$6:$G$45,MATCH(C1230,Clients!$B$6:$B$45,0)),0))))</f>
        <v/>
      </c>
      <c r="O1230" s="14">
        <f>IF(B1230="","",IF(J1230&lt;&gt;"",0,ROUND(M1230*N1230,2)))</f>
        <v/>
      </c>
      <c r="P1230" s="15">
        <f>IF(OR(B1230="",J1230&lt;&gt;""),"",IF(L1230&lt;&gt;"",L1230,IF(COUNTIFS(Invoices!$C$6:$C$305,C1230,Invoices!$E$6:$E$305,"&lt;="&amp;B1230,Invoices!$F$6:$F$305,"&gt;="&amp;B1230)=1,INDEX(Invoices!$B$6:$B$305,SUMIFS(Invoices!$O$6:$O$305,Invoices!$C$6:$C$305,C1230,Invoices!$E$6:$E$305,"&lt;="&amp;B1230,Invoices!$F$6:$F$305,"&gt;="&amp;B1230)),IF(COUNTIFS(Invoices!$C$6:$C$305,C1230,Invoices!$E$6:$E$305,"&lt;="&amp;B1230,Invoices!$F$6:$F$305,"&gt;="&amp;B1230)&gt;1,"Two invoices",""))))</f>
        <v/>
      </c>
      <c r="Q1230" s="15">
        <f>IF(B1230="","",IF(J1230&lt;&gt;"","Not billable",IF(P1230="","To invoice",IF(P1230="Two invoices","Check dates",IF(ISNA(MATCH(P1230,Invoices!$B$6:$B$305,0)),"Check number",IF(INDEX(Invoices!$M$6:$M$305,MATCH(P1230,Invoices!$B$6:$B$305,0))="Paid","Paid",IF(INDEX(Invoices!$M$6:$M$305,MATCH(P1230,Invoices!$B$6:$B$305,0))="Draft","Draft","Invoiced")))))))</f>
        <v/>
      </c>
      <c r="R1230" s="1">
        <f>IF(AND(B1230&lt;&gt;"",P1230&lt;&gt;"",P1230=Invoice!$G$4),B1230+MOD(N(F1230),1)+ROW()/10000000,"")</f>
        <v/>
      </c>
      <c r="S1230">
        <f>IF(R1230="","",IF(D1230="","Other work",D1230)&amp;IF(AND(K1230&lt;&gt;"",E1230&lt;&gt;""),", "&amp;E1230,""))</f>
        <v/>
      </c>
      <c r="T1230">
        <f>IF(R1230="","",IF(COUNTIFS(R$6:R1229,"&gt;0",S$6:S1229,S1230,N$6:N1229,N1230)=0,R1230,""))</f>
        <v/>
      </c>
      <c r="U1230">
        <f>IF(B1230="","",IF(J1230&lt;&gt;"",0,M1230))</f>
        <v/>
      </c>
    </row>
    <row r="1231">
      <c r="A1231" s="1" t="n"/>
      <c r="B1231" s="16" t="n"/>
      <c r="C1231" s="17" t="n"/>
      <c r="D1231" s="18" t="n"/>
      <c r="E1231" s="18" t="n"/>
      <c r="F1231" s="19" t="n"/>
      <c r="G1231" s="19" t="n"/>
      <c r="H1231" s="20" t="n"/>
      <c r="I1231" s="21" t="n"/>
      <c r="J1231" s="22" t="n"/>
      <c r="K1231" s="23" t="n"/>
      <c r="L1231" s="18" t="n"/>
      <c r="M1231" s="24">
        <f>IF(B1231="","",IF(AND(F1231&lt;&gt;"",G1231&lt;&gt;""),MAX(0,ROUND(MOD(G1231-F1231,1)*24-N(H1231)/60,2)),N(I1231)))</f>
        <v/>
      </c>
      <c r="N1231" s="14">
        <f>IF(B1231="","",IF(K1231&lt;&gt;"",K1231,IF(N(IFERROR(INDEX(Projects!$D$6:$D$65,MATCH(D1231,Projects!$B$6:$B$65,0)),""))&gt;0,IFERROR(INDEX(Projects!$D$6:$D$65,MATCH(D1231,Projects!$B$6:$B$65,0)),""),IFERROR(INDEX(Clients!$G$6:$G$45,MATCH(C1231,Clients!$B$6:$B$45,0)),0))))</f>
        <v/>
      </c>
      <c r="O1231" s="14">
        <f>IF(B1231="","",IF(J1231&lt;&gt;"",0,ROUND(M1231*N1231,2)))</f>
        <v/>
      </c>
      <c r="P1231" s="15">
        <f>IF(OR(B1231="",J1231&lt;&gt;""),"",IF(L1231&lt;&gt;"",L1231,IF(COUNTIFS(Invoices!$C$6:$C$305,C1231,Invoices!$E$6:$E$305,"&lt;="&amp;B1231,Invoices!$F$6:$F$305,"&gt;="&amp;B1231)=1,INDEX(Invoices!$B$6:$B$305,SUMIFS(Invoices!$O$6:$O$305,Invoices!$C$6:$C$305,C1231,Invoices!$E$6:$E$305,"&lt;="&amp;B1231,Invoices!$F$6:$F$305,"&gt;="&amp;B1231)),IF(COUNTIFS(Invoices!$C$6:$C$305,C1231,Invoices!$E$6:$E$305,"&lt;="&amp;B1231,Invoices!$F$6:$F$305,"&gt;="&amp;B1231)&gt;1,"Two invoices",""))))</f>
        <v/>
      </c>
      <c r="Q1231" s="15">
        <f>IF(B1231="","",IF(J1231&lt;&gt;"","Not billable",IF(P1231="","To invoice",IF(P1231="Two invoices","Check dates",IF(ISNA(MATCH(P1231,Invoices!$B$6:$B$305,0)),"Check number",IF(INDEX(Invoices!$M$6:$M$305,MATCH(P1231,Invoices!$B$6:$B$305,0))="Paid","Paid",IF(INDEX(Invoices!$M$6:$M$305,MATCH(P1231,Invoices!$B$6:$B$305,0))="Draft","Draft","Invoiced")))))))</f>
        <v/>
      </c>
      <c r="R1231" s="1">
        <f>IF(AND(B1231&lt;&gt;"",P1231&lt;&gt;"",P1231=Invoice!$G$4),B1231+MOD(N(F1231),1)+ROW()/10000000,"")</f>
        <v/>
      </c>
      <c r="S1231">
        <f>IF(R1231="","",IF(D1231="","Other work",D1231)&amp;IF(AND(K1231&lt;&gt;"",E1231&lt;&gt;""),", "&amp;E1231,""))</f>
        <v/>
      </c>
      <c r="T1231">
        <f>IF(R1231="","",IF(COUNTIFS(R$6:R1230,"&gt;0",S$6:S1230,S1231,N$6:N1230,N1231)=0,R1231,""))</f>
        <v/>
      </c>
      <c r="U1231">
        <f>IF(B1231="","",IF(J1231&lt;&gt;"",0,M1231))</f>
        <v/>
      </c>
    </row>
    <row r="1232">
      <c r="A1232" s="1" t="n"/>
      <c r="B1232" s="16" t="n"/>
      <c r="C1232" s="17" t="n"/>
      <c r="D1232" s="18" t="n"/>
      <c r="E1232" s="18" t="n"/>
      <c r="F1232" s="19" t="n"/>
      <c r="G1232" s="19" t="n"/>
      <c r="H1232" s="20" t="n"/>
      <c r="I1232" s="21" t="n"/>
      <c r="J1232" s="22" t="n"/>
      <c r="K1232" s="23" t="n"/>
      <c r="L1232" s="18" t="n"/>
      <c r="M1232" s="24">
        <f>IF(B1232="","",IF(AND(F1232&lt;&gt;"",G1232&lt;&gt;""),MAX(0,ROUND(MOD(G1232-F1232,1)*24-N(H1232)/60,2)),N(I1232)))</f>
        <v/>
      </c>
      <c r="N1232" s="14">
        <f>IF(B1232="","",IF(K1232&lt;&gt;"",K1232,IF(N(IFERROR(INDEX(Projects!$D$6:$D$65,MATCH(D1232,Projects!$B$6:$B$65,0)),""))&gt;0,IFERROR(INDEX(Projects!$D$6:$D$65,MATCH(D1232,Projects!$B$6:$B$65,0)),""),IFERROR(INDEX(Clients!$G$6:$G$45,MATCH(C1232,Clients!$B$6:$B$45,0)),0))))</f>
        <v/>
      </c>
      <c r="O1232" s="14">
        <f>IF(B1232="","",IF(J1232&lt;&gt;"",0,ROUND(M1232*N1232,2)))</f>
        <v/>
      </c>
      <c r="P1232" s="15">
        <f>IF(OR(B1232="",J1232&lt;&gt;""),"",IF(L1232&lt;&gt;"",L1232,IF(COUNTIFS(Invoices!$C$6:$C$305,C1232,Invoices!$E$6:$E$305,"&lt;="&amp;B1232,Invoices!$F$6:$F$305,"&gt;="&amp;B1232)=1,INDEX(Invoices!$B$6:$B$305,SUMIFS(Invoices!$O$6:$O$305,Invoices!$C$6:$C$305,C1232,Invoices!$E$6:$E$305,"&lt;="&amp;B1232,Invoices!$F$6:$F$305,"&gt;="&amp;B1232)),IF(COUNTIFS(Invoices!$C$6:$C$305,C1232,Invoices!$E$6:$E$305,"&lt;="&amp;B1232,Invoices!$F$6:$F$305,"&gt;="&amp;B1232)&gt;1,"Two invoices",""))))</f>
        <v/>
      </c>
      <c r="Q1232" s="15">
        <f>IF(B1232="","",IF(J1232&lt;&gt;"","Not billable",IF(P1232="","To invoice",IF(P1232="Two invoices","Check dates",IF(ISNA(MATCH(P1232,Invoices!$B$6:$B$305,0)),"Check number",IF(INDEX(Invoices!$M$6:$M$305,MATCH(P1232,Invoices!$B$6:$B$305,0))="Paid","Paid",IF(INDEX(Invoices!$M$6:$M$305,MATCH(P1232,Invoices!$B$6:$B$305,0))="Draft","Draft","Invoiced")))))))</f>
        <v/>
      </c>
      <c r="R1232" s="1">
        <f>IF(AND(B1232&lt;&gt;"",P1232&lt;&gt;"",P1232=Invoice!$G$4),B1232+MOD(N(F1232),1)+ROW()/10000000,"")</f>
        <v/>
      </c>
      <c r="S1232">
        <f>IF(R1232="","",IF(D1232="","Other work",D1232)&amp;IF(AND(K1232&lt;&gt;"",E1232&lt;&gt;""),", "&amp;E1232,""))</f>
        <v/>
      </c>
      <c r="T1232">
        <f>IF(R1232="","",IF(COUNTIFS(R$6:R1231,"&gt;0",S$6:S1231,S1232,N$6:N1231,N1232)=0,R1232,""))</f>
        <v/>
      </c>
      <c r="U1232">
        <f>IF(B1232="","",IF(J1232&lt;&gt;"",0,M1232))</f>
        <v/>
      </c>
    </row>
    <row r="1233">
      <c r="A1233" s="1" t="n"/>
      <c r="B1233" s="16" t="n"/>
      <c r="C1233" s="17" t="n"/>
      <c r="D1233" s="18" t="n"/>
      <c r="E1233" s="18" t="n"/>
      <c r="F1233" s="19" t="n"/>
      <c r="G1233" s="19" t="n"/>
      <c r="H1233" s="20" t="n"/>
      <c r="I1233" s="21" t="n"/>
      <c r="J1233" s="22" t="n"/>
      <c r="K1233" s="23" t="n"/>
      <c r="L1233" s="18" t="n"/>
      <c r="M1233" s="24">
        <f>IF(B1233="","",IF(AND(F1233&lt;&gt;"",G1233&lt;&gt;""),MAX(0,ROUND(MOD(G1233-F1233,1)*24-N(H1233)/60,2)),N(I1233)))</f>
        <v/>
      </c>
      <c r="N1233" s="14">
        <f>IF(B1233="","",IF(K1233&lt;&gt;"",K1233,IF(N(IFERROR(INDEX(Projects!$D$6:$D$65,MATCH(D1233,Projects!$B$6:$B$65,0)),""))&gt;0,IFERROR(INDEX(Projects!$D$6:$D$65,MATCH(D1233,Projects!$B$6:$B$65,0)),""),IFERROR(INDEX(Clients!$G$6:$G$45,MATCH(C1233,Clients!$B$6:$B$45,0)),0))))</f>
        <v/>
      </c>
      <c r="O1233" s="14">
        <f>IF(B1233="","",IF(J1233&lt;&gt;"",0,ROUND(M1233*N1233,2)))</f>
        <v/>
      </c>
      <c r="P1233" s="15">
        <f>IF(OR(B1233="",J1233&lt;&gt;""),"",IF(L1233&lt;&gt;"",L1233,IF(COUNTIFS(Invoices!$C$6:$C$305,C1233,Invoices!$E$6:$E$305,"&lt;="&amp;B1233,Invoices!$F$6:$F$305,"&gt;="&amp;B1233)=1,INDEX(Invoices!$B$6:$B$305,SUMIFS(Invoices!$O$6:$O$305,Invoices!$C$6:$C$305,C1233,Invoices!$E$6:$E$305,"&lt;="&amp;B1233,Invoices!$F$6:$F$305,"&gt;="&amp;B1233)),IF(COUNTIFS(Invoices!$C$6:$C$305,C1233,Invoices!$E$6:$E$305,"&lt;="&amp;B1233,Invoices!$F$6:$F$305,"&gt;="&amp;B1233)&gt;1,"Two invoices",""))))</f>
        <v/>
      </c>
      <c r="Q1233" s="15">
        <f>IF(B1233="","",IF(J1233&lt;&gt;"","Not billable",IF(P1233="","To invoice",IF(P1233="Two invoices","Check dates",IF(ISNA(MATCH(P1233,Invoices!$B$6:$B$305,0)),"Check number",IF(INDEX(Invoices!$M$6:$M$305,MATCH(P1233,Invoices!$B$6:$B$305,0))="Paid","Paid",IF(INDEX(Invoices!$M$6:$M$305,MATCH(P1233,Invoices!$B$6:$B$305,0))="Draft","Draft","Invoiced")))))))</f>
        <v/>
      </c>
      <c r="R1233" s="1">
        <f>IF(AND(B1233&lt;&gt;"",P1233&lt;&gt;"",P1233=Invoice!$G$4),B1233+MOD(N(F1233),1)+ROW()/10000000,"")</f>
        <v/>
      </c>
      <c r="S1233">
        <f>IF(R1233="","",IF(D1233="","Other work",D1233)&amp;IF(AND(K1233&lt;&gt;"",E1233&lt;&gt;""),", "&amp;E1233,""))</f>
        <v/>
      </c>
      <c r="T1233">
        <f>IF(R1233="","",IF(COUNTIFS(R$6:R1232,"&gt;0",S$6:S1232,S1233,N$6:N1232,N1233)=0,R1233,""))</f>
        <v/>
      </c>
      <c r="U1233">
        <f>IF(B1233="","",IF(J1233&lt;&gt;"",0,M1233))</f>
        <v/>
      </c>
    </row>
    <row r="1234">
      <c r="A1234" s="1" t="n"/>
      <c r="B1234" s="16" t="n"/>
      <c r="C1234" s="17" t="n"/>
      <c r="D1234" s="18" t="n"/>
      <c r="E1234" s="18" t="n"/>
      <c r="F1234" s="19" t="n"/>
      <c r="G1234" s="19" t="n"/>
      <c r="H1234" s="20" t="n"/>
      <c r="I1234" s="21" t="n"/>
      <c r="J1234" s="22" t="n"/>
      <c r="K1234" s="23" t="n"/>
      <c r="L1234" s="18" t="n"/>
      <c r="M1234" s="24">
        <f>IF(B1234="","",IF(AND(F1234&lt;&gt;"",G1234&lt;&gt;""),MAX(0,ROUND(MOD(G1234-F1234,1)*24-N(H1234)/60,2)),N(I1234)))</f>
        <v/>
      </c>
      <c r="N1234" s="14">
        <f>IF(B1234="","",IF(K1234&lt;&gt;"",K1234,IF(N(IFERROR(INDEX(Projects!$D$6:$D$65,MATCH(D1234,Projects!$B$6:$B$65,0)),""))&gt;0,IFERROR(INDEX(Projects!$D$6:$D$65,MATCH(D1234,Projects!$B$6:$B$65,0)),""),IFERROR(INDEX(Clients!$G$6:$G$45,MATCH(C1234,Clients!$B$6:$B$45,0)),0))))</f>
        <v/>
      </c>
      <c r="O1234" s="14">
        <f>IF(B1234="","",IF(J1234&lt;&gt;"",0,ROUND(M1234*N1234,2)))</f>
        <v/>
      </c>
      <c r="P1234" s="15">
        <f>IF(OR(B1234="",J1234&lt;&gt;""),"",IF(L1234&lt;&gt;"",L1234,IF(COUNTIFS(Invoices!$C$6:$C$305,C1234,Invoices!$E$6:$E$305,"&lt;="&amp;B1234,Invoices!$F$6:$F$305,"&gt;="&amp;B1234)=1,INDEX(Invoices!$B$6:$B$305,SUMIFS(Invoices!$O$6:$O$305,Invoices!$C$6:$C$305,C1234,Invoices!$E$6:$E$305,"&lt;="&amp;B1234,Invoices!$F$6:$F$305,"&gt;="&amp;B1234)),IF(COUNTIFS(Invoices!$C$6:$C$305,C1234,Invoices!$E$6:$E$305,"&lt;="&amp;B1234,Invoices!$F$6:$F$305,"&gt;="&amp;B1234)&gt;1,"Two invoices",""))))</f>
        <v/>
      </c>
      <c r="Q1234" s="15">
        <f>IF(B1234="","",IF(J1234&lt;&gt;"","Not billable",IF(P1234="","To invoice",IF(P1234="Two invoices","Check dates",IF(ISNA(MATCH(P1234,Invoices!$B$6:$B$305,0)),"Check number",IF(INDEX(Invoices!$M$6:$M$305,MATCH(P1234,Invoices!$B$6:$B$305,0))="Paid","Paid",IF(INDEX(Invoices!$M$6:$M$305,MATCH(P1234,Invoices!$B$6:$B$305,0))="Draft","Draft","Invoiced")))))))</f>
        <v/>
      </c>
      <c r="R1234" s="1">
        <f>IF(AND(B1234&lt;&gt;"",P1234&lt;&gt;"",P1234=Invoice!$G$4),B1234+MOD(N(F1234),1)+ROW()/10000000,"")</f>
        <v/>
      </c>
      <c r="S1234">
        <f>IF(R1234="","",IF(D1234="","Other work",D1234)&amp;IF(AND(K1234&lt;&gt;"",E1234&lt;&gt;""),", "&amp;E1234,""))</f>
        <v/>
      </c>
      <c r="T1234">
        <f>IF(R1234="","",IF(COUNTIFS(R$6:R1233,"&gt;0",S$6:S1233,S1234,N$6:N1233,N1234)=0,R1234,""))</f>
        <v/>
      </c>
      <c r="U1234">
        <f>IF(B1234="","",IF(J1234&lt;&gt;"",0,M1234))</f>
        <v/>
      </c>
    </row>
    <row r="1235">
      <c r="A1235" s="1" t="n"/>
      <c r="B1235" s="16" t="n"/>
      <c r="C1235" s="17" t="n"/>
      <c r="D1235" s="18" t="n"/>
      <c r="E1235" s="18" t="n"/>
      <c r="F1235" s="19" t="n"/>
      <c r="G1235" s="19" t="n"/>
      <c r="H1235" s="20" t="n"/>
      <c r="I1235" s="21" t="n"/>
      <c r="J1235" s="22" t="n"/>
      <c r="K1235" s="23" t="n"/>
      <c r="L1235" s="18" t="n"/>
      <c r="M1235" s="24">
        <f>IF(B1235="","",IF(AND(F1235&lt;&gt;"",G1235&lt;&gt;""),MAX(0,ROUND(MOD(G1235-F1235,1)*24-N(H1235)/60,2)),N(I1235)))</f>
        <v/>
      </c>
      <c r="N1235" s="14">
        <f>IF(B1235="","",IF(K1235&lt;&gt;"",K1235,IF(N(IFERROR(INDEX(Projects!$D$6:$D$65,MATCH(D1235,Projects!$B$6:$B$65,0)),""))&gt;0,IFERROR(INDEX(Projects!$D$6:$D$65,MATCH(D1235,Projects!$B$6:$B$65,0)),""),IFERROR(INDEX(Clients!$G$6:$G$45,MATCH(C1235,Clients!$B$6:$B$45,0)),0))))</f>
        <v/>
      </c>
      <c r="O1235" s="14">
        <f>IF(B1235="","",IF(J1235&lt;&gt;"",0,ROUND(M1235*N1235,2)))</f>
        <v/>
      </c>
      <c r="P1235" s="15">
        <f>IF(OR(B1235="",J1235&lt;&gt;""),"",IF(L1235&lt;&gt;"",L1235,IF(COUNTIFS(Invoices!$C$6:$C$305,C1235,Invoices!$E$6:$E$305,"&lt;="&amp;B1235,Invoices!$F$6:$F$305,"&gt;="&amp;B1235)=1,INDEX(Invoices!$B$6:$B$305,SUMIFS(Invoices!$O$6:$O$305,Invoices!$C$6:$C$305,C1235,Invoices!$E$6:$E$305,"&lt;="&amp;B1235,Invoices!$F$6:$F$305,"&gt;="&amp;B1235)),IF(COUNTIFS(Invoices!$C$6:$C$305,C1235,Invoices!$E$6:$E$305,"&lt;="&amp;B1235,Invoices!$F$6:$F$305,"&gt;="&amp;B1235)&gt;1,"Two invoices",""))))</f>
        <v/>
      </c>
      <c r="Q1235" s="15">
        <f>IF(B1235="","",IF(J1235&lt;&gt;"","Not billable",IF(P1235="","To invoice",IF(P1235="Two invoices","Check dates",IF(ISNA(MATCH(P1235,Invoices!$B$6:$B$305,0)),"Check number",IF(INDEX(Invoices!$M$6:$M$305,MATCH(P1235,Invoices!$B$6:$B$305,0))="Paid","Paid",IF(INDEX(Invoices!$M$6:$M$305,MATCH(P1235,Invoices!$B$6:$B$305,0))="Draft","Draft","Invoiced")))))))</f>
        <v/>
      </c>
      <c r="R1235" s="1">
        <f>IF(AND(B1235&lt;&gt;"",P1235&lt;&gt;"",P1235=Invoice!$G$4),B1235+MOD(N(F1235),1)+ROW()/10000000,"")</f>
        <v/>
      </c>
      <c r="S1235">
        <f>IF(R1235="","",IF(D1235="","Other work",D1235)&amp;IF(AND(K1235&lt;&gt;"",E1235&lt;&gt;""),", "&amp;E1235,""))</f>
        <v/>
      </c>
      <c r="T1235">
        <f>IF(R1235="","",IF(COUNTIFS(R$6:R1234,"&gt;0",S$6:S1234,S1235,N$6:N1234,N1235)=0,R1235,""))</f>
        <v/>
      </c>
      <c r="U1235">
        <f>IF(B1235="","",IF(J1235&lt;&gt;"",0,M1235))</f>
        <v/>
      </c>
    </row>
    <row r="1236">
      <c r="A1236" s="1" t="n"/>
      <c r="B1236" s="16" t="n"/>
      <c r="C1236" s="17" t="n"/>
      <c r="D1236" s="18" t="n"/>
      <c r="E1236" s="18" t="n"/>
      <c r="F1236" s="19" t="n"/>
      <c r="G1236" s="19" t="n"/>
      <c r="H1236" s="20" t="n"/>
      <c r="I1236" s="21" t="n"/>
      <c r="J1236" s="22" t="n"/>
      <c r="K1236" s="23" t="n"/>
      <c r="L1236" s="18" t="n"/>
      <c r="M1236" s="24">
        <f>IF(B1236="","",IF(AND(F1236&lt;&gt;"",G1236&lt;&gt;""),MAX(0,ROUND(MOD(G1236-F1236,1)*24-N(H1236)/60,2)),N(I1236)))</f>
        <v/>
      </c>
      <c r="N1236" s="14">
        <f>IF(B1236="","",IF(K1236&lt;&gt;"",K1236,IF(N(IFERROR(INDEX(Projects!$D$6:$D$65,MATCH(D1236,Projects!$B$6:$B$65,0)),""))&gt;0,IFERROR(INDEX(Projects!$D$6:$D$65,MATCH(D1236,Projects!$B$6:$B$65,0)),""),IFERROR(INDEX(Clients!$G$6:$G$45,MATCH(C1236,Clients!$B$6:$B$45,0)),0))))</f>
        <v/>
      </c>
      <c r="O1236" s="14">
        <f>IF(B1236="","",IF(J1236&lt;&gt;"",0,ROUND(M1236*N1236,2)))</f>
        <v/>
      </c>
      <c r="P1236" s="15">
        <f>IF(OR(B1236="",J1236&lt;&gt;""),"",IF(L1236&lt;&gt;"",L1236,IF(COUNTIFS(Invoices!$C$6:$C$305,C1236,Invoices!$E$6:$E$305,"&lt;="&amp;B1236,Invoices!$F$6:$F$305,"&gt;="&amp;B1236)=1,INDEX(Invoices!$B$6:$B$305,SUMIFS(Invoices!$O$6:$O$305,Invoices!$C$6:$C$305,C1236,Invoices!$E$6:$E$305,"&lt;="&amp;B1236,Invoices!$F$6:$F$305,"&gt;="&amp;B1236)),IF(COUNTIFS(Invoices!$C$6:$C$305,C1236,Invoices!$E$6:$E$305,"&lt;="&amp;B1236,Invoices!$F$6:$F$305,"&gt;="&amp;B1236)&gt;1,"Two invoices",""))))</f>
        <v/>
      </c>
      <c r="Q1236" s="15">
        <f>IF(B1236="","",IF(J1236&lt;&gt;"","Not billable",IF(P1236="","To invoice",IF(P1236="Two invoices","Check dates",IF(ISNA(MATCH(P1236,Invoices!$B$6:$B$305,0)),"Check number",IF(INDEX(Invoices!$M$6:$M$305,MATCH(P1236,Invoices!$B$6:$B$305,0))="Paid","Paid",IF(INDEX(Invoices!$M$6:$M$305,MATCH(P1236,Invoices!$B$6:$B$305,0))="Draft","Draft","Invoiced")))))))</f>
        <v/>
      </c>
      <c r="R1236" s="1">
        <f>IF(AND(B1236&lt;&gt;"",P1236&lt;&gt;"",P1236=Invoice!$G$4),B1236+MOD(N(F1236),1)+ROW()/10000000,"")</f>
        <v/>
      </c>
      <c r="S1236">
        <f>IF(R1236="","",IF(D1236="","Other work",D1236)&amp;IF(AND(K1236&lt;&gt;"",E1236&lt;&gt;""),", "&amp;E1236,""))</f>
        <v/>
      </c>
      <c r="T1236">
        <f>IF(R1236="","",IF(COUNTIFS(R$6:R1235,"&gt;0",S$6:S1235,S1236,N$6:N1235,N1236)=0,R1236,""))</f>
        <v/>
      </c>
      <c r="U1236">
        <f>IF(B1236="","",IF(J1236&lt;&gt;"",0,M1236))</f>
        <v/>
      </c>
    </row>
    <row r="1237">
      <c r="A1237" s="1" t="n"/>
      <c r="B1237" s="16" t="n"/>
      <c r="C1237" s="17" t="n"/>
      <c r="D1237" s="18" t="n"/>
      <c r="E1237" s="18" t="n"/>
      <c r="F1237" s="19" t="n"/>
      <c r="G1237" s="19" t="n"/>
      <c r="H1237" s="20" t="n"/>
      <c r="I1237" s="21" t="n"/>
      <c r="J1237" s="22" t="n"/>
      <c r="K1237" s="23" t="n"/>
      <c r="L1237" s="18" t="n"/>
      <c r="M1237" s="24">
        <f>IF(B1237="","",IF(AND(F1237&lt;&gt;"",G1237&lt;&gt;""),MAX(0,ROUND(MOD(G1237-F1237,1)*24-N(H1237)/60,2)),N(I1237)))</f>
        <v/>
      </c>
      <c r="N1237" s="14">
        <f>IF(B1237="","",IF(K1237&lt;&gt;"",K1237,IF(N(IFERROR(INDEX(Projects!$D$6:$D$65,MATCH(D1237,Projects!$B$6:$B$65,0)),""))&gt;0,IFERROR(INDEX(Projects!$D$6:$D$65,MATCH(D1237,Projects!$B$6:$B$65,0)),""),IFERROR(INDEX(Clients!$G$6:$G$45,MATCH(C1237,Clients!$B$6:$B$45,0)),0))))</f>
        <v/>
      </c>
      <c r="O1237" s="14">
        <f>IF(B1237="","",IF(J1237&lt;&gt;"",0,ROUND(M1237*N1237,2)))</f>
        <v/>
      </c>
      <c r="P1237" s="15">
        <f>IF(OR(B1237="",J1237&lt;&gt;""),"",IF(L1237&lt;&gt;"",L1237,IF(COUNTIFS(Invoices!$C$6:$C$305,C1237,Invoices!$E$6:$E$305,"&lt;="&amp;B1237,Invoices!$F$6:$F$305,"&gt;="&amp;B1237)=1,INDEX(Invoices!$B$6:$B$305,SUMIFS(Invoices!$O$6:$O$305,Invoices!$C$6:$C$305,C1237,Invoices!$E$6:$E$305,"&lt;="&amp;B1237,Invoices!$F$6:$F$305,"&gt;="&amp;B1237)),IF(COUNTIFS(Invoices!$C$6:$C$305,C1237,Invoices!$E$6:$E$305,"&lt;="&amp;B1237,Invoices!$F$6:$F$305,"&gt;="&amp;B1237)&gt;1,"Two invoices",""))))</f>
        <v/>
      </c>
      <c r="Q1237" s="15">
        <f>IF(B1237="","",IF(J1237&lt;&gt;"","Not billable",IF(P1237="","To invoice",IF(P1237="Two invoices","Check dates",IF(ISNA(MATCH(P1237,Invoices!$B$6:$B$305,0)),"Check number",IF(INDEX(Invoices!$M$6:$M$305,MATCH(P1237,Invoices!$B$6:$B$305,0))="Paid","Paid",IF(INDEX(Invoices!$M$6:$M$305,MATCH(P1237,Invoices!$B$6:$B$305,0))="Draft","Draft","Invoiced")))))))</f>
        <v/>
      </c>
      <c r="R1237" s="1">
        <f>IF(AND(B1237&lt;&gt;"",P1237&lt;&gt;"",P1237=Invoice!$G$4),B1237+MOD(N(F1237),1)+ROW()/10000000,"")</f>
        <v/>
      </c>
      <c r="S1237">
        <f>IF(R1237="","",IF(D1237="","Other work",D1237)&amp;IF(AND(K1237&lt;&gt;"",E1237&lt;&gt;""),", "&amp;E1237,""))</f>
        <v/>
      </c>
      <c r="T1237">
        <f>IF(R1237="","",IF(COUNTIFS(R$6:R1236,"&gt;0",S$6:S1236,S1237,N$6:N1236,N1237)=0,R1237,""))</f>
        <v/>
      </c>
      <c r="U1237">
        <f>IF(B1237="","",IF(J1237&lt;&gt;"",0,M1237))</f>
        <v/>
      </c>
    </row>
    <row r="1238">
      <c r="A1238" s="1" t="n"/>
      <c r="B1238" s="16" t="n"/>
      <c r="C1238" s="17" t="n"/>
      <c r="D1238" s="18" t="n"/>
      <c r="E1238" s="18" t="n"/>
      <c r="F1238" s="19" t="n"/>
      <c r="G1238" s="19" t="n"/>
      <c r="H1238" s="20" t="n"/>
      <c r="I1238" s="21" t="n"/>
      <c r="J1238" s="22" t="n"/>
      <c r="K1238" s="23" t="n"/>
      <c r="L1238" s="18" t="n"/>
      <c r="M1238" s="24">
        <f>IF(B1238="","",IF(AND(F1238&lt;&gt;"",G1238&lt;&gt;""),MAX(0,ROUND(MOD(G1238-F1238,1)*24-N(H1238)/60,2)),N(I1238)))</f>
        <v/>
      </c>
      <c r="N1238" s="14">
        <f>IF(B1238="","",IF(K1238&lt;&gt;"",K1238,IF(N(IFERROR(INDEX(Projects!$D$6:$D$65,MATCH(D1238,Projects!$B$6:$B$65,0)),""))&gt;0,IFERROR(INDEX(Projects!$D$6:$D$65,MATCH(D1238,Projects!$B$6:$B$65,0)),""),IFERROR(INDEX(Clients!$G$6:$G$45,MATCH(C1238,Clients!$B$6:$B$45,0)),0))))</f>
        <v/>
      </c>
      <c r="O1238" s="14">
        <f>IF(B1238="","",IF(J1238&lt;&gt;"",0,ROUND(M1238*N1238,2)))</f>
        <v/>
      </c>
      <c r="P1238" s="15">
        <f>IF(OR(B1238="",J1238&lt;&gt;""),"",IF(L1238&lt;&gt;"",L1238,IF(COUNTIFS(Invoices!$C$6:$C$305,C1238,Invoices!$E$6:$E$305,"&lt;="&amp;B1238,Invoices!$F$6:$F$305,"&gt;="&amp;B1238)=1,INDEX(Invoices!$B$6:$B$305,SUMIFS(Invoices!$O$6:$O$305,Invoices!$C$6:$C$305,C1238,Invoices!$E$6:$E$305,"&lt;="&amp;B1238,Invoices!$F$6:$F$305,"&gt;="&amp;B1238)),IF(COUNTIFS(Invoices!$C$6:$C$305,C1238,Invoices!$E$6:$E$305,"&lt;="&amp;B1238,Invoices!$F$6:$F$305,"&gt;="&amp;B1238)&gt;1,"Two invoices",""))))</f>
        <v/>
      </c>
      <c r="Q1238" s="15">
        <f>IF(B1238="","",IF(J1238&lt;&gt;"","Not billable",IF(P1238="","To invoice",IF(P1238="Two invoices","Check dates",IF(ISNA(MATCH(P1238,Invoices!$B$6:$B$305,0)),"Check number",IF(INDEX(Invoices!$M$6:$M$305,MATCH(P1238,Invoices!$B$6:$B$305,0))="Paid","Paid",IF(INDEX(Invoices!$M$6:$M$305,MATCH(P1238,Invoices!$B$6:$B$305,0))="Draft","Draft","Invoiced")))))))</f>
        <v/>
      </c>
      <c r="R1238" s="1">
        <f>IF(AND(B1238&lt;&gt;"",P1238&lt;&gt;"",P1238=Invoice!$G$4),B1238+MOD(N(F1238),1)+ROW()/10000000,"")</f>
        <v/>
      </c>
      <c r="S1238">
        <f>IF(R1238="","",IF(D1238="","Other work",D1238)&amp;IF(AND(K1238&lt;&gt;"",E1238&lt;&gt;""),", "&amp;E1238,""))</f>
        <v/>
      </c>
      <c r="T1238">
        <f>IF(R1238="","",IF(COUNTIFS(R$6:R1237,"&gt;0",S$6:S1237,S1238,N$6:N1237,N1238)=0,R1238,""))</f>
        <v/>
      </c>
      <c r="U1238">
        <f>IF(B1238="","",IF(J1238&lt;&gt;"",0,M1238))</f>
        <v/>
      </c>
    </row>
    <row r="1239">
      <c r="A1239" s="1" t="n"/>
      <c r="B1239" s="16" t="n"/>
      <c r="C1239" s="17" t="n"/>
      <c r="D1239" s="18" t="n"/>
      <c r="E1239" s="18" t="n"/>
      <c r="F1239" s="19" t="n"/>
      <c r="G1239" s="19" t="n"/>
      <c r="H1239" s="20" t="n"/>
      <c r="I1239" s="21" t="n"/>
      <c r="J1239" s="22" t="n"/>
      <c r="K1239" s="23" t="n"/>
      <c r="L1239" s="18" t="n"/>
      <c r="M1239" s="24">
        <f>IF(B1239="","",IF(AND(F1239&lt;&gt;"",G1239&lt;&gt;""),MAX(0,ROUND(MOD(G1239-F1239,1)*24-N(H1239)/60,2)),N(I1239)))</f>
        <v/>
      </c>
      <c r="N1239" s="14">
        <f>IF(B1239="","",IF(K1239&lt;&gt;"",K1239,IF(N(IFERROR(INDEX(Projects!$D$6:$D$65,MATCH(D1239,Projects!$B$6:$B$65,0)),""))&gt;0,IFERROR(INDEX(Projects!$D$6:$D$65,MATCH(D1239,Projects!$B$6:$B$65,0)),""),IFERROR(INDEX(Clients!$G$6:$G$45,MATCH(C1239,Clients!$B$6:$B$45,0)),0))))</f>
        <v/>
      </c>
      <c r="O1239" s="14">
        <f>IF(B1239="","",IF(J1239&lt;&gt;"",0,ROUND(M1239*N1239,2)))</f>
        <v/>
      </c>
      <c r="P1239" s="15">
        <f>IF(OR(B1239="",J1239&lt;&gt;""),"",IF(L1239&lt;&gt;"",L1239,IF(COUNTIFS(Invoices!$C$6:$C$305,C1239,Invoices!$E$6:$E$305,"&lt;="&amp;B1239,Invoices!$F$6:$F$305,"&gt;="&amp;B1239)=1,INDEX(Invoices!$B$6:$B$305,SUMIFS(Invoices!$O$6:$O$305,Invoices!$C$6:$C$305,C1239,Invoices!$E$6:$E$305,"&lt;="&amp;B1239,Invoices!$F$6:$F$305,"&gt;="&amp;B1239)),IF(COUNTIFS(Invoices!$C$6:$C$305,C1239,Invoices!$E$6:$E$305,"&lt;="&amp;B1239,Invoices!$F$6:$F$305,"&gt;="&amp;B1239)&gt;1,"Two invoices",""))))</f>
        <v/>
      </c>
      <c r="Q1239" s="15">
        <f>IF(B1239="","",IF(J1239&lt;&gt;"","Not billable",IF(P1239="","To invoice",IF(P1239="Two invoices","Check dates",IF(ISNA(MATCH(P1239,Invoices!$B$6:$B$305,0)),"Check number",IF(INDEX(Invoices!$M$6:$M$305,MATCH(P1239,Invoices!$B$6:$B$305,0))="Paid","Paid",IF(INDEX(Invoices!$M$6:$M$305,MATCH(P1239,Invoices!$B$6:$B$305,0))="Draft","Draft","Invoiced")))))))</f>
        <v/>
      </c>
      <c r="R1239" s="1">
        <f>IF(AND(B1239&lt;&gt;"",P1239&lt;&gt;"",P1239=Invoice!$G$4),B1239+MOD(N(F1239),1)+ROW()/10000000,"")</f>
        <v/>
      </c>
      <c r="S1239">
        <f>IF(R1239="","",IF(D1239="","Other work",D1239)&amp;IF(AND(K1239&lt;&gt;"",E1239&lt;&gt;""),", "&amp;E1239,""))</f>
        <v/>
      </c>
      <c r="T1239">
        <f>IF(R1239="","",IF(COUNTIFS(R$6:R1238,"&gt;0",S$6:S1238,S1239,N$6:N1238,N1239)=0,R1239,""))</f>
        <v/>
      </c>
      <c r="U1239">
        <f>IF(B1239="","",IF(J1239&lt;&gt;"",0,M1239))</f>
        <v/>
      </c>
    </row>
    <row r="1240">
      <c r="A1240" s="1" t="n"/>
      <c r="B1240" s="16" t="n"/>
      <c r="C1240" s="17" t="n"/>
      <c r="D1240" s="18" t="n"/>
      <c r="E1240" s="18" t="n"/>
      <c r="F1240" s="19" t="n"/>
      <c r="G1240" s="19" t="n"/>
      <c r="H1240" s="20" t="n"/>
      <c r="I1240" s="21" t="n"/>
      <c r="J1240" s="22" t="n"/>
      <c r="K1240" s="23" t="n"/>
      <c r="L1240" s="18" t="n"/>
      <c r="M1240" s="24">
        <f>IF(B1240="","",IF(AND(F1240&lt;&gt;"",G1240&lt;&gt;""),MAX(0,ROUND(MOD(G1240-F1240,1)*24-N(H1240)/60,2)),N(I1240)))</f>
        <v/>
      </c>
      <c r="N1240" s="14">
        <f>IF(B1240="","",IF(K1240&lt;&gt;"",K1240,IF(N(IFERROR(INDEX(Projects!$D$6:$D$65,MATCH(D1240,Projects!$B$6:$B$65,0)),""))&gt;0,IFERROR(INDEX(Projects!$D$6:$D$65,MATCH(D1240,Projects!$B$6:$B$65,0)),""),IFERROR(INDEX(Clients!$G$6:$G$45,MATCH(C1240,Clients!$B$6:$B$45,0)),0))))</f>
        <v/>
      </c>
      <c r="O1240" s="14">
        <f>IF(B1240="","",IF(J1240&lt;&gt;"",0,ROUND(M1240*N1240,2)))</f>
        <v/>
      </c>
      <c r="P1240" s="15">
        <f>IF(OR(B1240="",J1240&lt;&gt;""),"",IF(L1240&lt;&gt;"",L1240,IF(COUNTIFS(Invoices!$C$6:$C$305,C1240,Invoices!$E$6:$E$305,"&lt;="&amp;B1240,Invoices!$F$6:$F$305,"&gt;="&amp;B1240)=1,INDEX(Invoices!$B$6:$B$305,SUMIFS(Invoices!$O$6:$O$305,Invoices!$C$6:$C$305,C1240,Invoices!$E$6:$E$305,"&lt;="&amp;B1240,Invoices!$F$6:$F$305,"&gt;="&amp;B1240)),IF(COUNTIFS(Invoices!$C$6:$C$305,C1240,Invoices!$E$6:$E$305,"&lt;="&amp;B1240,Invoices!$F$6:$F$305,"&gt;="&amp;B1240)&gt;1,"Two invoices",""))))</f>
        <v/>
      </c>
      <c r="Q1240" s="15">
        <f>IF(B1240="","",IF(J1240&lt;&gt;"","Not billable",IF(P1240="","To invoice",IF(P1240="Two invoices","Check dates",IF(ISNA(MATCH(P1240,Invoices!$B$6:$B$305,0)),"Check number",IF(INDEX(Invoices!$M$6:$M$305,MATCH(P1240,Invoices!$B$6:$B$305,0))="Paid","Paid",IF(INDEX(Invoices!$M$6:$M$305,MATCH(P1240,Invoices!$B$6:$B$305,0))="Draft","Draft","Invoiced")))))))</f>
        <v/>
      </c>
      <c r="R1240" s="1">
        <f>IF(AND(B1240&lt;&gt;"",P1240&lt;&gt;"",P1240=Invoice!$G$4),B1240+MOD(N(F1240),1)+ROW()/10000000,"")</f>
        <v/>
      </c>
      <c r="S1240">
        <f>IF(R1240="","",IF(D1240="","Other work",D1240)&amp;IF(AND(K1240&lt;&gt;"",E1240&lt;&gt;""),", "&amp;E1240,""))</f>
        <v/>
      </c>
      <c r="T1240">
        <f>IF(R1240="","",IF(COUNTIFS(R$6:R1239,"&gt;0",S$6:S1239,S1240,N$6:N1239,N1240)=0,R1240,""))</f>
        <v/>
      </c>
      <c r="U1240">
        <f>IF(B1240="","",IF(J1240&lt;&gt;"",0,M1240))</f>
        <v/>
      </c>
    </row>
    <row r="1241">
      <c r="A1241" s="1" t="n"/>
      <c r="B1241" s="16" t="n"/>
      <c r="C1241" s="17" t="n"/>
      <c r="D1241" s="18" t="n"/>
      <c r="E1241" s="18" t="n"/>
      <c r="F1241" s="19" t="n"/>
      <c r="G1241" s="19" t="n"/>
      <c r="H1241" s="20" t="n"/>
      <c r="I1241" s="21" t="n"/>
      <c r="J1241" s="22" t="n"/>
      <c r="K1241" s="23" t="n"/>
      <c r="L1241" s="18" t="n"/>
      <c r="M1241" s="24">
        <f>IF(B1241="","",IF(AND(F1241&lt;&gt;"",G1241&lt;&gt;""),MAX(0,ROUND(MOD(G1241-F1241,1)*24-N(H1241)/60,2)),N(I1241)))</f>
        <v/>
      </c>
      <c r="N1241" s="14">
        <f>IF(B1241="","",IF(K1241&lt;&gt;"",K1241,IF(N(IFERROR(INDEX(Projects!$D$6:$D$65,MATCH(D1241,Projects!$B$6:$B$65,0)),""))&gt;0,IFERROR(INDEX(Projects!$D$6:$D$65,MATCH(D1241,Projects!$B$6:$B$65,0)),""),IFERROR(INDEX(Clients!$G$6:$G$45,MATCH(C1241,Clients!$B$6:$B$45,0)),0))))</f>
        <v/>
      </c>
      <c r="O1241" s="14">
        <f>IF(B1241="","",IF(J1241&lt;&gt;"",0,ROUND(M1241*N1241,2)))</f>
        <v/>
      </c>
      <c r="P1241" s="15">
        <f>IF(OR(B1241="",J1241&lt;&gt;""),"",IF(L1241&lt;&gt;"",L1241,IF(COUNTIFS(Invoices!$C$6:$C$305,C1241,Invoices!$E$6:$E$305,"&lt;="&amp;B1241,Invoices!$F$6:$F$305,"&gt;="&amp;B1241)=1,INDEX(Invoices!$B$6:$B$305,SUMIFS(Invoices!$O$6:$O$305,Invoices!$C$6:$C$305,C1241,Invoices!$E$6:$E$305,"&lt;="&amp;B1241,Invoices!$F$6:$F$305,"&gt;="&amp;B1241)),IF(COUNTIFS(Invoices!$C$6:$C$305,C1241,Invoices!$E$6:$E$305,"&lt;="&amp;B1241,Invoices!$F$6:$F$305,"&gt;="&amp;B1241)&gt;1,"Two invoices",""))))</f>
        <v/>
      </c>
      <c r="Q1241" s="15">
        <f>IF(B1241="","",IF(J1241&lt;&gt;"","Not billable",IF(P1241="","To invoice",IF(P1241="Two invoices","Check dates",IF(ISNA(MATCH(P1241,Invoices!$B$6:$B$305,0)),"Check number",IF(INDEX(Invoices!$M$6:$M$305,MATCH(P1241,Invoices!$B$6:$B$305,0))="Paid","Paid",IF(INDEX(Invoices!$M$6:$M$305,MATCH(P1241,Invoices!$B$6:$B$305,0))="Draft","Draft","Invoiced")))))))</f>
        <v/>
      </c>
      <c r="R1241" s="1">
        <f>IF(AND(B1241&lt;&gt;"",P1241&lt;&gt;"",P1241=Invoice!$G$4),B1241+MOD(N(F1241),1)+ROW()/10000000,"")</f>
        <v/>
      </c>
      <c r="S1241">
        <f>IF(R1241="","",IF(D1241="","Other work",D1241)&amp;IF(AND(K1241&lt;&gt;"",E1241&lt;&gt;""),", "&amp;E1241,""))</f>
        <v/>
      </c>
      <c r="T1241">
        <f>IF(R1241="","",IF(COUNTIFS(R$6:R1240,"&gt;0",S$6:S1240,S1241,N$6:N1240,N1241)=0,R1241,""))</f>
        <v/>
      </c>
      <c r="U1241">
        <f>IF(B1241="","",IF(J1241&lt;&gt;"",0,M1241))</f>
        <v/>
      </c>
    </row>
    <row r="1242">
      <c r="A1242" s="1" t="n"/>
      <c r="B1242" s="16" t="n"/>
      <c r="C1242" s="17" t="n"/>
      <c r="D1242" s="18" t="n"/>
      <c r="E1242" s="18" t="n"/>
      <c r="F1242" s="19" t="n"/>
      <c r="G1242" s="19" t="n"/>
      <c r="H1242" s="20" t="n"/>
      <c r="I1242" s="21" t="n"/>
      <c r="J1242" s="22" t="n"/>
      <c r="K1242" s="23" t="n"/>
      <c r="L1242" s="18" t="n"/>
      <c r="M1242" s="24">
        <f>IF(B1242="","",IF(AND(F1242&lt;&gt;"",G1242&lt;&gt;""),MAX(0,ROUND(MOD(G1242-F1242,1)*24-N(H1242)/60,2)),N(I1242)))</f>
        <v/>
      </c>
      <c r="N1242" s="14">
        <f>IF(B1242="","",IF(K1242&lt;&gt;"",K1242,IF(N(IFERROR(INDEX(Projects!$D$6:$D$65,MATCH(D1242,Projects!$B$6:$B$65,0)),""))&gt;0,IFERROR(INDEX(Projects!$D$6:$D$65,MATCH(D1242,Projects!$B$6:$B$65,0)),""),IFERROR(INDEX(Clients!$G$6:$G$45,MATCH(C1242,Clients!$B$6:$B$45,0)),0))))</f>
        <v/>
      </c>
      <c r="O1242" s="14">
        <f>IF(B1242="","",IF(J1242&lt;&gt;"",0,ROUND(M1242*N1242,2)))</f>
        <v/>
      </c>
      <c r="P1242" s="15">
        <f>IF(OR(B1242="",J1242&lt;&gt;""),"",IF(L1242&lt;&gt;"",L1242,IF(COUNTIFS(Invoices!$C$6:$C$305,C1242,Invoices!$E$6:$E$305,"&lt;="&amp;B1242,Invoices!$F$6:$F$305,"&gt;="&amp;B1242)=1,INDEX(Invoices!$B$6:$B$305,SUMIFS(Invoices!$O$6:$O$305,Invoices!$C$6:$C$305,C1242,Invoices!$E$6:$E$305,"&lt;="&amp;B1242,Invoices!$F$6:$F$305,"&gt;="&amp;B1242)),IF(COUNTIFS(Invoices!$C$6:$C$305,C1242,Invoices!$E$6:$E$305,"&lt;="&amp;B1242,Invoices!$F$6:$F$305,"&gt;="&amp;B1242)&gt;1,"Two invoices",""))))</f>
        <v/>
      </c>
      <c r="Q1242" s="15">
        <f>IF(B1242="","",IF(J1242&lt;&gt;"","Not billable",IF(P1242="","To invoice",IF(P1242="Two invoices","Check dates",IF(ISNA(MATCH(P1242,Invoices!$B$6:$B$305,0)),"Check number",IF(INDEX(Invoices!$M$6:$M$305,MATCH(P1242,Invoices!$B$6:$B$305,0))="Paid","Paid",IF(INDEX(Invoices!$M$6:$M$305,MATCH(P1242,Invoices!$B$6:$B$305,0))="Draft","Draft","Invoiced")))))))</f>
        <v/>
      </c>
      <c r="R1242" s="1">
        <f>IF(AND(B1242&lt;&gt;"",P1242&lt;&gt;"",P1242=Invoice!$G$4),B1242+MOD(N(F1242),1)+ROW()/10000000,"")</f>
        <v/>
      </c>
      <c r="S1242">
        <f>IF(R1242="","",IF(D1242="","Other work",D1242)&amp;IF(AND(K1242&lt;&gt;"",E1242&lt;&gt;""),", "&amp;E1242,""))</f>
        <v/>
      </c>
      <c r="T1242">
        <f>IF(R1242="","",IF(COUNTIFS(R$6:R1241,"&gt;0",S$6:S1241,S1242,N$6:N1241,N1242)=0,R1242,""))</f>
        <v/>
      </c>
      <c r="U1242">
        <f>IF(B1242="","",IF(J1242&lt;&gt;"",0,M1242))</f>
        <v/>
      </c>
    </row>
    <row r="1243">
      <c r="A1243" s="1" t="n"/>
      <c r="B1243" s="16" t="n"/>
      <c r="C1243" s="17" t="n"/>
      <c r="D1243" s="18" t="n"/>
      <c r="E1243" s="18" t="n"/>
      <c r="F1243" s="19" t="n"/>
      <c r="G1243" s="19" t="n"/>
      <c r="H1243" s="20" t="n"/>
      <c r="I1243" s="21" t="n"/>
      <c r="J1243" s="22" t="n"/>
      <c r="K1243" s="23" t="n"/>
      <c r="L1243" s="18" t="n"/>
      <c r="M1243" s="24">
        <f>IF(B1243="","",IF(AND(F1243&lt;&gt;"",G1243&lt;&gt;""),MAX(0,ROUND(MOD(G1243-F1243,1)*24-N(H1243)/60,2)),N(I1243)))</f>
        <v/>
      </c>
      <c r="N1243" s="14">
        <f>IF(B1243="","",IF(K1243&lt;&gt;"",K1243,IF(N(IFERROR(INDEX(Projects!$D$6:$D$65,MATCH(D1243,Projects!$B$6:$B$65,0)),""))&gt;0,IFERROR(INDEX(Projects!$D$6:$D$65,MATCH(D1243,Projects!$B$6:$B$65,0)),""),IFERROR(INDEX(Clients!$G$6:$G$45,MATCH(C1243,Clients!$B$6:$B$45,0)),0))))</f>
        <v/>
      </c>
      <c r="O1243" s="14">
        <f>IF(B1243="","",IF(J1243&lt;&gt;"",0,ROUND(M1243*N1243,2)))</f>
        <v/>
      </c>
      <c r="P1243" s="15">
        <f>IF(OR(B1243="",J1243&lt;&gt;""),"",IF(L1243&lt;&gt;"",L1243,IF(COUNTIFS(Invoices!$C$6:$C$305,C1243,Invoices!$E$6:$E$305,"&lt;="&amp;B1243,Invoices!$F$6:$F$305,"&gt;="&amp;B1243)=1,INDEX(Invoices!$B$6:$B$305,SUMIFS(Invoices!$O$6:$O$305,Invoices!$C$6:$C$305,C1243,Invoices!$E$6:$E$305,"&lt;="&amp;B1243,Invoices!$F$6:$F$305,"&gt;="&amp;B1243)),IF(COUNTIFS(Invoices!$C$6:$C$305,C1243,Invoices!$E$6:$E$305,"&lt;="&amp;B1243,Invoices!$F$6:$F$305,"&gt;="&amp;B1243)&gt;1,"Two invoices",""))))</f>
        <v/>
      </c>
      <c r="Q1243" s="15">
        <f>IF(B1243="","",IF(J1243&lt;&gt;"","Not billable",IF(P1243="","To invoice",IF(P1243="Two invoices","Check dates",IF(ISNA(MATCH(P1243,Invoices!$B$6:$B$305,0)),"Check number",IF(INDEX(Invoices!$M$6:$M$305,MATCH(P1243,Invoices!$B$6:$B$305,0))="Paid","Paid",IF(INDEX(Invoices!$M$6:$M$305,MATCH(P1243,Invoices!$B$6:$B$305,0))="Draft","Draft","Invoiced")))))))</f>
        <v/>
      </c>
      <c r="R1243" s="1">
        <f>IF(AND(B1243&lt;&gt;"",P1243&lt;&gt;"",P1243=Invoice!$G$4),B1243+MOD(N(F1243),1)+ROW()/10000000,"")</f>
        <v/>
      </c>
      <c r="S1243">
        <f>IF(R1243="","",IF(D1243="","Other work",D1243)&amp;IF(AND(K1243&lt;&gt;"",E1243&lt;&gt;""),", "&amp;E1243,""))</f>
        <v/>
      </c>
      <c r="T1243">
        <f>IF(R1243="","",IF(COUNTIFS(R$6:R1242,"&gt;0",S$6:S1242,S1243,N$6:N1242,N1243)=0,R1243,""))</f>
        <v/>
      </c>
      <c r="U1243">
        <f>IF(B1243="","",IF(J1243&lt;&gt;"",0,M1243))</f>
        <v/>
      </c>
    </row>
    <row r="1244">
      <c r="A1244" s="1" t="n"/>
      <c r="B1244" s="16" t="n"/>
      <c r="C1244" s="17" t="n"/>
      <c r="D1244" s="18" t="n"/>
      <c r="E1244" s="18" t="n"/>
      <c r="F1244" s="19" t="n"/>
      <c r="G1244" s="19" t="n"/>
      <c r="H1244" s="20" t="n"/>
      <c r="I1244" s="21" t="n"/>
      <c r="J1244" s="22" t="n"/>
      <c r="K1244" s="23" t="n"/>
      <c r="L1244" s="18" t="n"/>
      <c r="M1244" s="24">
        <f>IF(B1244="","",IF(AND(F1244&lt;&gt;"",G1244&lt;&gt;""),MAX(0,ROUND(MOD(G1244-F1244,1)*24-N(H1244)/60,2)),N(I1244)))</f>
        <v/>
      </c>
      <c r="N1244" s="14">
        <f>IF(B1244="","",IF(K1244&lt;&gt;"",K1244,IF(N(IFERROR(INDEX(Projects!$D$6:$D$65,MATCH(D1244,Projects!$B$6:$B$65,0)),""))&gt;0,IFERROR(INDEX(Projects!$D$6:$D$65,MATCH(D1244,Projects!$B$6:$B$65,0)),""),IFERROR(INDEX(Clients!$G$6:$G$45,MATCH(C1244,Clients!$B$6:$B$45,0)),0))))</f>
        <v/>
      </c>
      <c r="O1244" s="14">
        <f>IF(B1244="","",IF(J1244&lt;&gt;"",0,ROUND(M1244*N1244,2)))</f>
        <v/>
      </c>
      <c r="P1244" s="15">
        <f>IF(OR(B1244="",J1244&lt;&gt;""),"",IF(L1244&lt;&gt;"",L1244,IF(COUNTIFS(Invoices!$C$6:$C$305,C1244,Invoices!$E$6:$E$305,"&lt;="&amp;B1244,Invoices!$F$6:$F$305,"&gt;="&amp;B1244)=1,INDEX(Invoices!$B$6:$B$305,SUMIFS(Invoices!$O$6:$O$305,Invoices!$C$6:$C$305,C1244,Invoices!$E$6:$E$305,"&lt;="&amp;B1244,Invoices!$F$6:$F$305,"&gt;="&amp;B1244)),IF(COUNTIFS(Invoices!$C$6:$C$305,C1244,Invoices!$E$6:$E$305,"&lt;="&amp;B1244,Invoices!$F$6:$F$305,"&gt;="&amp;B1244)&gt;1,"Two invoices",""))))</f>
        <v/>
      </c>
      <c r="Q1244" s="15">
        <f>IF(B1244="","",IF(J1244&lt;&gt;"","Not billable",IF(P1244="","To invoice",IF(P1244="Two invoices","Check dates",IF(ISNA(MATCH(P1244,Invoices!$B$6:$B$305,0)),"Check number",IF(INDEX(Invoices!$M$6:$M$305,MATCH(P1244,Invoices!$B$6:$B$305,0))="Paid","Paid",IF(INDEX(Invoices!$M$6:$M$305,MATCH(P1244,Invoices!$B$6:$B$305,0))="Draft","Draft","Invoiced")))))))</f>
        <v/>
      </c>
      <c r="R1244" s="1">
        <f>IF(AND(B1244&lt;&gt;"",P1244&lt;&gt;"",P1244=Invoice!$G$4),B1244+MOD(N(F1244),1)+ROW()/10000000,"")</f>
        <v/>
      </c>
      <c r="S1244">
        <f>IF(R1244="","",IF(D1244="","Other work",D1244)&amp;IF(AND(K1244&lt;&gt;"",E1244&lt;&gt;""),", "&amp;E1244,""))</f>
        <v/>
      </c>
      <c r="T1244">
        <f>IF(R1244="","",IF(COUNTIFS(R$6:R1243,"&gt;0",S$6:S1243,S1244,N$6:N1243,N1244)=0,R1244,""))</f>
        <v/>
      </c>
      <c r="U1244">
        <f>IF(B1244="","",IF(J1244&lt;&gt;"",0,M1244))</f>
        <v/>
      </c>
    </row>
    <row r="1245">
      <c r="A1245" s="1" t="n"/>
      <c r="B1245" s="16" t="n"/>
      <c r="C1245" s="17" t="n"/>
      <c r="D1245" s="18" t="n"/>
      <c r="E1245" s="18" t="n"/>
      <c r="F1245" s="19" t="n"/>
      <c r="G1245" s="19" t="n"/>
      <c r="H1245" s="20" t="n"/>
      <c r="I1245" s="21" t="n"/>
      <c r="J1245" s="22" t="n"/>
      <c r="K1245" s="23" t="n"/>
      <c r="L1245" s="18" t="n"/>
      <c r="M1245" s="24">
        <f>IF(B1245="","",IF(AND(F1245&lt;&gt;"",G1245&lt;&gt;""),MAX(0,ROUND(MOD(G1245-F1245,1)*24-N(H1245)/60,2)),N(I1245)))</f>
        <v/>
      </c>
      <c r="N1245" s="14">
        <f>IF(B1245="","",IF(K1245&lt;&gt;"",K1245,IF(N(IFERROR(INDEX(Projects!$D$6:$D$65,MATCH(D1245,Projects!$B$6:$B$65,0)),""))&gt;0,IFERROR(INDEX(Projects!$D$6:$D$65,MATCH(D1245,Projects!$B$6:$B$65,0)),""),IFERROR(INDEX(Clients!$G$6:$G$45,MATCH(C1245,Clients!$B$6:$B$45,0)),0))))</f>
        <v/>
      </c>
      <c r="O1245" s="14">
        <f>IF(B1245="","",IF(J1245&lt;&gt;"",0,ROUND(M1245*N1245,2)))</f>
        <v/>
      </c>
      <c r="P1245" s="15">
        <f>IF(OR(B1245="",J1245&lt;&gt;""),"",IF(L1245&lt;&gt;"",L1245,IF(COUNTIFS(Invoices!$C$6:$C$305,C1245,Invoices!$E$6:$E$305,"&lt;="&amp;B1245,Invoices!$F$6:$F$305,"&gt;="&amp;B1245)=1,INDEX(Invoices!$B$6:$B$305,SUMIFS(Invoices!$O$6:$O$305,Invoices!$C$6:$C$305,C1245,Invoices!$E$6:$E$305,"&lt;="&amp;B1245,Invoices!$F$6:$F$305,"&gt;="&amp;B1245)),IF(COUNTIFS(Invoices!$C$6:$C$305,C1245,Invoices!$E$6:$E$305,"&lt;="&amp;B1245,Invoices!$F$6:$F$305,"&gt;="&amp;B1245)&gt;1,"Two invoices",""))))</f>
        <v/>
      </c>
      <c r="Q1245" s="15">
        <f>IF(B1245="","",IF(J1245&lt;&gt;"","Not billable",IF(P1245="","To invoice",IF(P1245="Two invoices","Check dates",IF(ISNA(MATCH(P1245,Invoices!$B$6:$B$305,0)),"Check number",IF(INDEX(Invoices!$M$6:$M$305,MATCH(P1245,Invoices!$B$6:$B$305,0))="Paid","Paid",IF(INDEX(Invoices!$M$6:$M$305,MATCH(P1245,Invoices!$B$6:$B$305,0))="Draft","Draft","Invoiced")))))))</f>
        <v/>
      </c>
      <c r="R1245" s="1">
        <f>IF(AND(B1245&lt;&gt;"",P1245&lt;&gt;"",P1245=Invoice!$G$4),B1245+MOD(N(F1245),1)+ROW()/10000000,"")</f>
        <v/>
      </c>
      <c r="S1245">
        <f>IF(R1245="","",IF(D1245="","Other work",D1245)&amp;IF(AND(K1245&lt;&gt;"",E1245&lt;&gt;""),", "&amp;E1245,""))</f>
        <v/>
      </c>
      <c r="T1245">
        <f>IF(R1245="","",IF(COUNTIFS(R$6:R1244,"&gt;0",S$6:S1244,S1245,N$6:N1244,N1245)=0,R1245,""))</f>
        <v/>
      </c>
      <c r="U1245">
        <f>IF(B1245="","",IF(J1245&lt;&gt;"",0,M1245))</f>
        <v/>
      </c>
    </row>
    <row r="1246">
      <c r="A1246" s="1" t="n"/>
      <c r="B1246" s="16" t="n"/>
      <c r="C1246" s="17" t="n"/>
      <c r="D1246" s="18" t="n"/>
      <c r="E1246" s="18" t="n"/>
      <c r="F1246" s="19" t="n"/>
      <c r="G1246" s="19" t="n"/>
      <c r="H1246" s="20" t="n"/>
      <c r="I1246" s="21" t="n"/>
      <c r="J1246" s="22" t="n"/>
      <c r="K1246" s="23" t="n"/>
      <c r="L1246" s="18" t="n"/>
      <c r="M1246" s="24">
        <f>IF(B1246="","",IF(AND(F1246&lt;&gt;"",G1246&lt;&gt;""),MAX(0,ROUND(MOD(G1246-F1246,1)*24-N(H1246)/60,2)),N(I1246)))</f>
        <v/>
      </c>
      <c r="N1246" s="14">
        <f>IF(B1246="","",IF(K1246&lt;&gt;"",K1246,IF(N(IFERROR(INDEX(Projects!$D$6:$D$65,MATCH(D1246,Projects!$B$6:$B$65,0)),""))&gt;0,IFERROR(INDEX(Projects!$D$6:$D$65,MATCH(D1246,Projects!$B$6:$B$65,0)),""),IFERROR(INDEX(Clients!$G$6:$G$45,MATCH(C1246,Clients!$B$6:$B$45,0)),0))))</f>
        <v/>
      </c>
      <c r="O1246" s="14">
        <f>IF(B1246="","",IF(J1246&lt;&gt;"",0,ROUND(M1246*N1246,2)))</f>
        <v/>
      </c>
      <c r="P1246" s="15">
        <f>IF(OR(B1246="",J1246&lt;&gt;""),"",IF(L1246&lt;&gt;"",L1246,IF(COUNTIFS(Invoices!$C$6:$C$305,C1246,Invoices!$E$6:$E$305,"&lt;="&amp;B1246,Invoices!$F$6:$F$305,"&gt;="&amp;B1246)=1,INDEX(Invoices!$B$6:$B$305,SUMIFS(Invoices!$O$6:$O$305,Invoices!$C$6:$C$305,C1246,Invoices!$E$6:$E$305,"&lt;="&amp;B1246,Invoices!$F$6:$F$305,"&gt;="&amp;B1246)),IF(COUNTIFS(Invoices!$C$6:$C$305,C1246,Invoices!$E$6:$E$305,"&lt;="&amp;B1246,Invoices!$F$6:$F$305,"&gt;="&amp;B1246)&gt;1,"Two invoices",""))))</f>
        <v/>
      </c>
      <c r="Q1246" s="15">
        <f>IF(B1246="","",IF(J1246&lt;&gt;"","Not billable",IF(P1246="","To invoice",IF(P1246="Two invoices","Check dates",IF(ISNA(MATCH(P1246,Invoices!$B$6:$B$305,0)),"Check number",IF(INDEX(Invoices!$M$6:$M$305,MATCH(P1246,Invoices!$B$6:$B$305,0))="Paid","Paid",IF(INDEX(Invoices!$M$6:$M$305,MATCH(P1246,Invoices!$B$6:$B$305,0))="Draft","Draft","Invoiced")))))))</f>
        <v/>
      </c>
      <c r="R1246" s="1">
        <f>IF(AND(B1246&lt;&gt;"",P1246&lt;&gt;"",P1246=Invoice!$G$4),B1246+MOD(N(F1246),1)+ROW()/10000000,"")</f>
        <v/>
      </c>
      <c r="S1246">
        <f>IF(R1246="","",IF(D1246="","Other work",D1246)&amp;IF(AND(K1246&lt;&gt;"",E1246&lt;&gt;""),", "&amp;E1246,""))</f>
        <v/>
      </c>
      <c r="T1246">
        <f>IF(R1246="","",IF(COUNTIFS(R$6:R1245,"&gt;0",S$6:S1245,S1246,N$6:N1245,N1246)=0,R1246,""))</f>
        <v/>
      </c>
      <c r="U1246">
        <f>IF(B1246="","",IF(J1246&lt;&gt;"",0,M1246))</f>
        <v/>
      </c>
    </row>
    <row r="1247">
      <c r="A1247" s="1" t="n"/>
      <c r="B1247" s="16" t="n"/>
      <c r="C1247" s="17" t="n"/>
      <c r="D1247" s="18" t="n"/>
      <c r="E1247" s="18" t="n"/>
      <c r="F1247" s="19" t="n"/>
      <c r="G1247" s="19" t="n"/>
      <c r="H1247" s="20" t="n"/>
      <c r="I1247" s="21" t="n"/>
      <c r="J1247" s="22" t="n"/>
      <c r="K1247" s="23" t="n"/>
      <c r="L1247" s="18" t="n"/>
      <c r="M1247" s="24">
        <f>IF(B1247="","",IF(AND(F1247&lt;&gt;"",G1247&lt;&gt;""),MAX(0,ROUND(MOD(G1247-F1247,1)*24-N(H1247)/60,2)),N(I1247)))</f>
        <v/>
      </c>
      <c r="N1247" s="14">
        <f>IF(B1247="","",IF(K1247&lt;&gt;"",K1247,IF(N(IFERROR(INDEX(Projects!$D$6:$D$65,MATCH(D1247,Projects!$B$6:$B$65,0)),""))&gt;0,IFERROR(INDEX(Projects!$D$6:$D$65,MATCH(D1247,Projects!$B$6:$B$65,0)),""),IFERROR(INDEX(Clients!$G$6:$G$45,MATCH(C1247,Clients!$B$6:$B$45,0)),0))))</f>
        <v/>
      </c>
      <c r="O1247" s="14">
        <f>IF(B1247="","",IF(J1247&lt;&gt;"",0,ROUND(M1247*N1247,2)))</f>
        <v/>
      </c>
      <c r="P1247" s="15">
        <f>IF(OR(B1247="",J1247&lt;&gt;""),"",IF(L1247&lt;&gt;"",L1247,IF(COUNTIFS(Invoices!$C$6:$C$305,C1247,Invoices!$E$6:$E$305,"&lt;="&amp;B1247,Invoices!$F$6:$F$305,"&gt;="&amp;B1247)=1,INDEX(Invoices!$B$6:$B$305,SUMIFS(Invoices!$O$6:$O$305,Invoices!$C$6:$C$305,C1247,Invoices!$E$6:$E$305,"&lt;="&amp;B1247,Invoices!$F$6:$F$305,"&gt;="&amp;B1247)),IF(COUNTIFS(Invoices!$C$6:$C$305,C1247,Invoices!$E$6:$E$305,"&lt;="&amp;B1247,Invoices!$F$6:$F$305,"&gt;="&amp;B1247)&gt;1,"Two invoices",""))))</f>
        <v/>
      </c>
      <c r="Q1247" s="15">
        <f>IF(B1247="","",IF(J1247&lt;&gt;"","Not billable",IF(P1247="","To invoice",IF(P1247="Two invoices","Check dates",IF(ISNA(MATCH(P1247,Invoices!$B$6:$B$305,0)),"Check number",IF(INDEX(Invoices!$M$6:$M$305,MATCH(P1247,Invoices!$B$6:$B$305,0))="Paid","Paid",IF(INDEX(Invoices!$M$6:$M$305,MATCH(P1247,Invoices!$B$6:$B$305,0))="Draft","Draft","Invoiced")))))))</f>
        <v/>
      </c>
      <c r="R1247" s="1">
        <f>IF(AND(B1247&lt;&gt;"",P1247&lt;&gt;"",P1247=Invoice!$G$4),B1247+MOD(N(F1247),1)+ROW()/10000000,"")</f>
        <v/>
      </c>
      <c r="S1247">
        <f>IF(R1247="","",IF(D1247="","Other work",D1247)&amp;IF(AND(K1247&lt;&gt;"",E1247&lt;&gt;""),", "&amp;E1247,""))</f>
        <v/>
      </c>
      <c r="T1247">
        <f>IF(R1247="","",IF(COUNTIFS(R$6:R1246,"&gt;0",S$6:S1246,S1247,N$6:N1246,N1247)=0,R1247,""))</f>
        <v/>
      </c>
      <c r="U1247">
        <f>IF(B1247="","",IF(J1247&lt;&gt;"",0,M1247))</f>
        <v/>
      </c>
    </row>
    <row r="1248">
      <c r="A1248" s="1" t="n"/>
      <c r="B1248" s="16" t="n"/>
      <c r="C1248" s="17" t="n"/>
      <c r="D1248" s="18" t="n"/>
      <c r="E1248" s="18" t="n"/>
      <c r="F1248" s="19" t="n"/>
      <c r="G1248" s="19" t="n"/>
      <c r="H1248" s="20" t="n"/>
      <c r="I1248" s="21" t="n"/>
      <c r="J1248" s="22" t="n"/>
      <c r="K1248" s="23" t="n"/>
      <c r="L1248" s="18" t="n"/>
      <c r="M1248" s="24">
        <f>IF(B1248="","",IF(AND(F1248&lt;&gt;"",G1248&lt;&gt;""),MAX(0,ROUND(MOD(G1248-F1248,1)*24-N(H1248)/60,2)),N(I1248)))</f>
        <v/>
      </c>
      <c r="N1248" s="14">
        <f>IF(B1248="","",IF(K1248&lt;&gt;"",K1248,IF(N(IFERROR(INDEX(Projects!$D$6:$D$65,MATCH(D1248,Projects!$B$6:$B$65,0)),""))&gt;0,IFERROR(INDEX(Projects!$D$6:$D$65,MATCH(D1248,Projects!$B$6:$B$65,0)),""),IFERROR(INDEX(Clients!$G$6:$G$45,MATCH(C1248,Clients!$B$6:$B$45,0)),0))))</f>
        <v/>
      </c>
      <c r="O1248" s="14">
        <f>IF(B1248="","",IF(J1248&lt;&gt;"",0,ROUND(M1248*N1248,2)))</f>
        <v/>
      </c>
      <c r="P1248" s="15">
        <f>IF(OR(B1248="",J1248&lt;&gt;""),"",IF(L1248&lt;&gt;"",L1248,IF(COUNTIFS(Invoices!$C$6:$C$305,C1248,Invoices!$E$6:$E$305,"&lt;="&amp;B1248,Invoices!$F$6:$F$305,"&gt;="&amp;B1248)=1,INDEX(Invoices!$B$6:$B$305,SUMIFS(Invoices!$O$6:$O$305,Invoices!$C$6:$C$305,C1248,Invoices!$E$6:$E$305,"&lt;="&amp;B1248,Invoices!$F$6:$F$305,"&gt;="&amp;B1248)),IF(COUNTIFS(Invoices!$C$6:$C$305,C1248,Invoices!$E$6:$E$305,"&lt;="&amp;B1248,Invoices!$F$6:$F$305,"&gt;="&amp;B1248)&gt;1,"Two invoices",""))))</f>
        <v/>
      </c>
      <c r="Q1248" s="15">
        <f>IF(B1248="","",IF(J1248&lt;&gt;"","Not billable",IF(P1248="","To invoice",IF(P1248="Two invoices","Check dates",IF(ISNA(MATCH(P1248,Invoices!$B$6:$B$305,0)),"Check number",IF(INDEX(Invoices!$M$6:$M$305,MATCH(P1248,Invoices!$B$6:$B$305,0))="Paid","Paid",IF(INDEX(Invoices!$M$6:$M$305,MATCH(P1248,Invoices!$B$6:$B$305,0))="Draft","Draft","Invoiced")))))))</f>
        <v/>
      </c>
      <c r="R1248" s="1">
        <f>IF(AND(B1248&lt;&gt;"",P1248&lt;&gt;"",P1248=Invoice!$G$4),B1248+MOD(N(F1248),1)+ROW()/10000000,"")</f>
        <v/>
      </c>
      <c r="S1248">
        <f>IF(R1248="","",IF(D1248="","Other work",D1248)&amp;IF(AND(K1248&lt;&gt;"",E1248&lt;&gt;""),", "&amp;E1248,""))</f>
        <v/>
      </c>
      <c r="T1248">
        <f>IF(R1248="","",IF(COUNTIFS(R$6:R1247,"&gt;0",S$6:S1247,S1248,N$6:N1247,N1248)=0,R1248,""))</f>
        <v/>
      </c>
      <c r="U1248">
        <f>IF(B1248="","",IF(J1248&lt;&gt;"",0,M1248))</f>
        <v/>
      </c>
    </row>
    <row r="1249">
      <c r="A1249" s="1" t="n"/>
      <c r="B1249" s="16" t="n"/>
      <c r="C1249" s="17" t="n"/>
      <c r="D1249" s="18" t="n"/>
      <c r="E1249" s="18" t="n"/>
      <c r="F1249" s="19" t="n"/>
      <c r="G1249" s="19" t="n"/>
      <c r="H1249" s="20" t="n"/>
      <c r="I1249" s="21" t="n"/>
      <c r="J1249" s="22" t="n"/>
      <c r="K1249" s="23" t="n"/>
      <c r="L1249" s="18" t="n"/>
      <c r="M1249" s="24">
        <f>IF(B1249="","",IF(AND(F1249&lt;&gt;"",G1249&lt;&gt;""),MAX(0,ROUND(MOD(G1249-F1249,1)*24-N(H1249)/60,2)),N(I1249)))</f>
        <v/>
      </c>
      <c r="N1249" s="14">
        <f>IF(B1249="","",IF(K1249&lt;&gt;"",K1249,IF(N(IFERROR(INDEX(Projects!$D$6:$D$65,MATCH(D1249,Projects!$B$6:$B$65,0)),""))&gt;0,IFERROR(INDEX(Projects!$D$6:$D$65,MATCH(D1249,Projects!$B$6:$B$65,0)),""),IFERROR(INDEX(Clients!$G$6:$G$45,MATCH(C1249,Clients!$B$6:$B$45,0)),0))))</f>
        <v/>
      </c>
      <c r="O1249" s="14">
        <f>IF(B1249="","",IF(J1249&lt;&gt;"",0,ROUND(M1249*N1249,2)))</f>
        <v/>
      </c>
      <c r="P1249" s="15">
        <f>IF(OR(B1249="",J1249&lt;&gt;""),"",IF(L1249&lt;&gt;"",L1249,IF(COUNTIFS(Invoices!$C$6:$C$305,C1249,Invoices!$E$6:$E$305,"&lt;="&amp;B1249,Invoices!$F$6:$F$305,"&gt;="&amp;B1249)=1,INDEX(Invoices!$B$6:$B$305,SUMIFS(Invoices!$O$6:$O$305,Invoices!$C$6:$C$305,C1249,Invoices!$E$6:$E$305,"&lt;="&amp;B1249,Invoices!$F$6:$F$305,"&gt;="&amp;B1249)),IF(COUNTIFS(Invoices!$C$6:$C$305,C1249,Invoices!$E$6:$E$305,"&lt;="&amp;B1249,Invoices!$F$6:$F$305,"&gt;="&amp;B1249)&gt;1,"Two invoices",""))))</f>
        <v/>
      </c>
      <c r="Q1249" s="15">
        <f>IF(B1249="","",IF(J1249&lt;&gt;"","Not billable",IF(P1249="","To invoice",IF(P1249="Two invoices","Check dates",IF(ISNA(MATCH(P1249,Invoices!$B$6:$B$305,0)),"Check number",IF(INDEX(Invoices!$M$6:$M$305,MATCH(P1249,Invoices!$B$6:$B$305,0))="Paid","Paid",IF(INDEX(Invoices!$M$6:$M$305,MATCH(P1249,Invoices!$B$6:$B$305,0))="Draft","Draft","Invoiced")))))))</f>
        <v/>
      </c>
      <c r="R1249" s="1">
        <f>IF(AND(B1249&lt;&gt;"",P1249&lt;&gt;"",P1249=Invoice!$G$4),B1249+MOD(N(F1249),1)+ROW()/10000000,"")</f>
        <v/>
      </c>
      <c r="S1249">
        <f>IF(R1249="","",IF(D1249="","Other work",D1249)&amp;IF(AND(K1249&lt;&gt;"",E1249&lt;&gt;""),", "&amp;E1249,""))</f>
        <v/>
      </c>
      <c r="T1249">
        <f>IF(R1249="","",IF(COUNTIFS(R$6:R1248,"&gt;0",S$6:S1248,S1249,N$6:N1248,N1249)=0,R1249,""))</f>
        <v/>
      </c>
      <c r="U1249">
        <f>IF(B1249="","",IF(J1249&lt;&gt;"",0,M1249))</f>
        <v/>
      </c>
    </row>
    <row r="1250">
      <c r="A1250" s="1" t="n"/>
      <c r="B1250" s="16" t="n"/>
      <c r="C1250" s="17" t="n"/>
      <c r="D1250" s="18" t="n"/>
      <c r="E1250" s="18" t="n"/>
      <c r="F1250" s="19" t="n"/>
      <c r="G1250" s="19" t="n"/>
      <c r="H1250" s="20" t="n"/>
      <c r="I1250" s="21" t="n"/>
      <c r="J1250" s="22" t="n"/>
      <c r="K1250" s="23" t="n"/>
      <c r="L1250" s="18" t="n"/>
      <c r="M1250" s="24">
        <f>IF(B1250="","",IF(AND(F1250&lt;&gt;"",G1250&lt;&gt;""),MAX(0,ROUND(MOD(G1250-F1250,1)*24-N(H1250)/60,2)),N(I1250)))</f>
        <v/>
      </c>
      <c r="N1250" s="14">
        <f>IF(B1250="","",IF(K1250&lt;&gt;"",K1250,IF(N(IFERROR(INDEX(Projects!$D$6:$D$65,MATCH(D1250,Projects!$B$6:$B$65,0)),""))&gt;0,IFERROR(INDEX(Projects!$D$6:$D$65,MATCH(D1250,Projects!$B$6:$B$65,0)),""),IFERROR(INDEX(Clients!$G$6:$G$45,MATCH(C1250,Clients!$B$6:$B$45,0)),0))))</f>
        <v/>
      </c>
      <c r="O1250" s="14">
        <f>IF(B1250="","",IF(J1250&lt;&gt;"",0,ROUND(M1250*N1250,2)))</f>
        <v/>
      </c>
      <c r="P1250" s="15">
        <f>IF(OR(B1250="",J1250&lt;&gt;""),"",IF(L1250&lt;&gt;"",L1250,IF(COUNTIFS(Invoices!$C$6:$C$305,C1250,Invoices!$E$6:$E$305,"&lt;="&amp;B1250,Invoices!$F$6:$F$305,"&gt;="&amp;B1250)=1,INDEX(Invoices!$B$6:$B$305,SUMIFS(Invoices!$O$6:$O$305,Invoices!$C$6:$C$305,C1250,Invoices!$E$6:$E$305,"&lt;="&amp;B1250,Invoices!$F$6:$F$305,"&gt;="&amp;B1250)),IF(COUNTIFS(Invoices!$C$6:$C$305,C1250,Invoices!$E$6:$E$305,"&lt;="&amp;B1250,Invoices!$F$6:$F$305,"&gt;="&amp;B1250)&gt;1,"Two invoices",""))))</f>
        <v/>
      </c>
      <c r="Q1250" s="15">
        <f>IF(B1250="","",IF(J1250&lt;&gt;"","Not billable",IF(P1250="","To invoice",IF(P1250="Two invoices","Check dates",IF(ISNA(MATCH(P1250,Invoices!$B$6:$B$305,0)),"Check number",IF(INDEX(Invoices!$M$6:$M$305,MATCH(P1250,Invoices!$B$6:$B$305,0))="Paid","Paid",IF(INDEX(Invoices!$M$6:$M$305,MATCH(P1250,Invoices!$B$6:$B$305,0))="Draft","Draft","Invoiced")))))))</f>
        <v/>
      </c>
      <c r="R1250" s="1">
        <f>IF(AND(B1250&lt;&gt;"",P1250&lt;&gt;"",P1250=Invoice!$G$4),B1250+MOD(N(F1250),1)+ROW()/10000000,"")</f>
        <v/>
      </c>
      <c r="S1250">
        <f>IF(R1250="","",IF(D1250="","Other work",D1250)&amp;IF(AND(K1250&lt;&gt;"",E1250&lt;&gt;""),", "&amp;E1250,""))</f>
        <v/>
      </c>
      <c r="T1250">
        <f>IF(R1250="","",IF(COUNTIFS(R$6:R1249,"&gt;0",S$6:S1249,S1250,N$6:N1249,N1250)=0,R1250,""))</f>
        <v/>
      </c>
      <c r="U1250">
        <f>IF(B1250="","",IF(J1250&lt;&gt;"",0,M1250))</f>
        <v/>
      </c>
    </row>
    <row r="1251">
      <c r="A1251" s="1" t="n"/>
      <c r="B1251" s="16" t="n"/>
      <c r="C1251" s="17" t="n"/>
      <c r="D1251" s="18" t="n"/>
      <c r="E1251" s="18" t="n"/>
      <c r="F1251" s="19" t="n"/>
      <c r="G1251" s="19" t="n"/>
      <c r="H1251" s="20" t="n"/>
      <c r="I1251" s="21" t="n"/>
      <c r="J1251" s="22" t="n"/>
      <c r="K1251" s="23" t="n"/>
      <c r="L1251" s="18" t="n"/>
      <c r="M1251" s="24">
        <f>IF(B1251="","",IF(AND(F1251&lt;&gt;"",G1251&lt;&gt;""),MAX(0,ROUND(MOD(G1251-F1251,1)*24-N(H1251)/60,2)),N(I1251)))</f>
        <v/>
      </c>
      <c r="N1251" s="14">
        <f>IF(B1251="","",IF(K1251&lt;&gt;"",K1251,IF(N(IFERROR(INDEX(Projects!$D$6:$D$65,MATCH(D1251,Projects!$B$6:$B$65,0)),""))&gt;0,IFERROR(INDEX(Projects!$D$6:$D$65,MATCH(D1251,Projects!$B$6:$B$65,0)),""),IFERROR(INDEX(Clients!$G$6:$G$45,MATCH(C1251,Clients!$B$6:$B$45,0)),0))))</f>
        <v/>
      </c>
      <c r="O1251" s="14">
        <f>IF(B1251="","",IF(J1251&lt;&gt;"",0,ROUND(M1251*N1251,2)))</f>
        <v/>
      </c>
      <c r="P1251" s="15">
        <f>IF(OR(B1251="",J1251&lt;&gt;""),"",IF(L1251&lt;&gt;"",L1251,IF(COUNTIFS(Invoices!$C$6:$C$305,C1251,Invoices!$E$6:$E$305,"&lt;="&amp;B1251,Invoices!$F$6:$F$305,"&gt;="&amp;B1251)=1,INDEX(Invoices!$B$6:$B$305,SUMIFS(Invoices!$O$6:$O$305,Invoices!$C$6:$C$305,C1251,Invoices!$E$6:$E$305,"&lt;="&amp;B1251,Invoices!$F$6:$F$305,"&gt;="&amp;B1251)),IF(COUNTIFS(Invoices!$C$6:$C$305,C1251,Invoices!$E$6:$E$305,"&lt;="&amp;B1251,Invoices!$F$6:$F$305,"&gt;="&amp;B1251)&gt;1,"Two invoices",""))))</f>
        <v/>
      </c>
      <c r="Q1251" s="15">
        <f>IF(B1251="","",IF(J1251&lt;&gt;"","Not billable",IF(P1251="","To invoice",IF(P1251="Two invoices","Check dates",IF(ISNA(MATCH(P1251,Invoices!$B$6:$B$305,0)),"Check number",IF(INDEX(Invoices!$M$6:$M$305,MATCH(P1251,Invoices!$B$6:$B$305,0))="Paid","Paid",IF(INDEX(Invoices!$M$6:$M$305,MATCH(P1251,Invoices!$B$6:$B$305,0))="Draft","Draft","Invoiced")))))))</f>
        <v/>
      </c>
      <c r="R1251" s="1">
        <f>IF(AND(B1251&lt;&gt;"",P1251&lt;&gt;"",P1251=Invoice!$G$4),B1251+MOD(N(F1251),1)+ROW()/10000000,"")</f>
        <v/>
      </c>
      <c r="S1251">
        <f>IF(R1251="","",IF(D1251="","Other work",D1251)&amp;IF(AND(K1251&lt;&gt;"",E1251&lt;&gt;""),", "&amp;E1251,""))</f>
        <v/>
      </c>
      <c r="T1251">
        <f>IF(R1251="","",IF(COUNTIFS(R$6:R1250,"&gt;0",S$6:S1250,S1251,N$6:N1250,N1251)=0,R1251,""))</f>
        <v/>
      </c>
      <c r="U1251">
        <f>IF(B1251="","",IF(J1251&lt;&gt;"",0,M1251))</f>
        <v/>
      </c>
    </row>
    <row r="1252">
      <c r="A1252" s="1" t="n"/>
      <c r="B1252" s="16" t="n"/>
      <c r="C1252" s="17" t="n"/>
      <c r="D1252" s="18" t="n"/>
      <c r="E1252" s="18" t="n"/>
      <c r="F1252" s="19" t="n"/>
      <c r="G1252" s="19" t="n"/>
      <c r="H1252" s="20" t="n"/>
      <c r="I1252" s="21" t="n"/>
      <c r="J1252" s="22" t="n"/>
      <c r="K1252" s="23" t="n"/>
      <c r="L1252" s="18" t="n"/>
      <c r="M1252" s="24">
        <f>IF(B1252="","",IF(AND(F1252&lt;&gt;"",G1252&lt;&gt;""),MAX(0,ROUND(MOD(G1252-F1252,1)*24-N(H1252)/60,2)),N(I1252)))</f>
        <v/>
      </c>
      <c r="N1252" s="14">
        <f>IF(B1252="","",IF(K1252&lt;&gt;"",K1252,IF(N(IFERROR(INDEX(Projects!$D$6:$D$65,MATCH(D1252,Projects!$B$6:$B$65,0)),""))&gt;0,IFERROR(INDEX(Projects!$D$6:$D$65,MATCH(D1252,Projects!$B$6:$B$65,0)),""),IFERROR(INDEX(Clients!$G$6:$G$45,MATCH(C1252,Clients!$B$6:$B$45,0)),0))))</f>
        <v/>
      </c>
      <c r="O1252" s="14">
        <f>IF(B1252="","",IF(J1252&lt;&gt;"",0,ROUND(M1252*N1252,2)))</f>
        <v/>
      </c>
      <c r="P1252" s="15">
        <f>IF(OR(B1252="",J1252&lt;&gt;""),"",IF(L1252&lt;&gt;"",L1252,IF(COUNTIFS(Invoices!$C$6:$C$305,C1252,Invoices!$E$6:$E$305,"&lt;="&amp;B1252,Invoices!$F$6:$F$305,"&gt;="&amp;B1252)=1,INDEX(Invoices!$B$6:$B$305,SUMIFS(Invoices!$O$6:$O$305,Invoices!$C$6:$C$305,C1252,Invoices!$E$6:$E$305,"&lt;="&amp;B1252,Invoices!$F$6:$F$305,"&gt;="&amp;B1252)),IF(COUNTIFS(Invoices!$C$6:$C$305,C1252,Invoices!$E$6:$E$305,"&lt;="&amp;B1252,Invoices!$F$6:$F$305,"&gt;="&amp;B1252)&gt;1,"Two invoices",""))))</f>
        <v/>
      </c>
      <c r="Q1252" s="15">
        <f>IF(B1252="","",IF(J1252&lt;&gt;"","Not billable",IF(P1252="","To invoice",IF(P1252="Two invoices","Check dates",IF(ISNA(MATCH(P1252,Invoices!$B$6:$B$305,0)),"Check number",IF(INDEX(Invoices!$M$6:$M$305,MATCH(P1252,Invoices!$B$6:$B$305,0))="Paid","Paid",IF(INDEX(Invoices!$M$6:$M$305,MATCH(P1252,Invoices!$B$6:$B$305,0))="Draft","Draft","Invoiced")))))))</f>
        <v/>
      </c>
      <c r="R1252" s="1">
        <f>IF(AND(B1252&lt;&gt;"",P1252&lt;&gt;"",P1252=Invoice!$G$4),B1252+MOD(N(F1252),1)+ROW()/10000000,"")</f>
        <v/>
      </c>
      <c r="S1252">
        <f>IF(R1252="","",IF(D1252="","Other work",D1252)&amp;IF(AND(K1252&lt;&gt;"",E1252&lt;&gt;""),", "&amp;E1252,""))</f>
        <v/>
      </c>
      <c r="T1252">
        <f>IF(R1252="","",IF(COUNTIFS(R$6:R1251,"&gt;0",S$6:S1251,S1252,N$6:N1251,N1252)=0,R1252,""))</f>
        <v/>
      </c>
      <c r="U1252">
        <f>IF(B1252="","",IF(J1252&lt;&gt;"",0,M1252))</f>
        <v/>
      </c>
    </row>
    <row r="1253">
      <c r="A1253" s="1" t="n"/>
      <c r="B1253" s="16" t="n"/>
      <c r="C1253" s="17" t="n"/>
      <c r="D1253" s="18" t="n"/>
      <c r="E1253" s="18" t="n"/>
      <c r="F1253" s="19" t="n"/>
      <c r="G1253" s="19" t="n"/>
      <c r="H1253" s="20" t="n"/>
      <c r="I1253" s="21" t="n"/>
      <c r="J1253" s="22" t="n"/>
      <c r="K1253" s="23" t="n"/>
      <c r="L1253" s="18" t="n"/>
      <c r="M1253" s="24">
        <f>IF(B1253="","",IF(AND(F1253&lt;&gt;"",G1253&lt;&gt;""),MAX(0,ROUND(MOD(G1253-F1253,1)*24-N(H1253)/60,2)),N(I1253)))</f>
        <v/>
      </c>
      <c r="N1253" s="14">
        <f>IF(B1253="","",IF(K1253&lt;&gt;"",K1253,IF(N(IFERROR(INDEX(Projects!$D$6:$D$65,MATCH(D1253,Projects!$B$6:$B$65,0)),""))&gt;0,IFERROR(INDEX(Projects!$D$6:$D$65,MATCH(D1253,Projects!$B$6:$B$65,0)),""),IFERROR(INDEX(Clients!$G$6:$G$45,MATCH(C1253,Clients!$B$6:$B$45,0)),0))))</f>
        <v/>
      </c>
      <c r="O1253" s="14">
        <f>IF(B1253="","",IF(J1253&lt;&gt;"",0,ROUND(M1253*N1253,2)))</f>
        <v/>
      </c>
      <c r="P1253" s="15">
        <f>IF(OR(B1253="",J1253&lt;&gt;""),"",IF(L1253&lt;&gt;"",L1253,IF(COUNTIFS(Invoices!$C$6:$C$305,C1253,Invoices!$E$6:$E$305,"&lt;="&amp;B1253,Invoices!$F$6:$F$305,"&gt;="&amp;B1253)=1,INDEX(Invoices!$B$6:$B$305,SUMIFS(Invoices!$O$6:$O$305,Invoices!$C$6:$C$305,C1253,Invoices!$E$6:$E$305,"&lt;="&amp;B1253,Invoices!$F$6:$F$305,"&gt;="&amp;B1253)),IF(COUNTIFS(Invoices!$C$6:$C$305,C1253,Invoices!$E$6:$E$305,"&lt;="&amp;B1253,Invoices!$F$6:$F$305,"&gt;="&amp;B1253)&gt;1,"Two invoices",""))))</f>
        <v/>
      </c>
      <c r="Q1253" s="15">
        <f>IF(B1253="","",IF(J1253&lt;&gt;"","Not billable",IF(P1253="","To invoice",IF(P1253="Two invoices","Check dates",IF(ISNA(MATCH(P1253,Invoices!$B$6:$B$305,0)),"Check number",IF(INDEX(Invoices!$M$6:$M$305,MATCH(P1253,Invoices!$B$6:$B$305,0))="Paid","Paid",IF(INDEX(Invoices!$M$6:$M$305,MATCH(P1253,Invoices!$B$6:$B$305,0))="Draft","Draft","Invoiced")))))))</f>
        <v/>
      </c>
      <c r="R1253" s="1">
        <f>IF(AND(B1253&lt;&gt;"",P1253&lt;&gt;"",P1253=Invoice!$G$4),B1253+MOD(N(F1253),1)+ROW()/10000000,"")</f>
        <v/>
      </c>
      <c r="S1253">
        <f>IF(R1253="","",IF(D1253="","Other work",D1253)&amp;IF(AND(K1253&lt;&gt;"",E1253&lt;&gt;""),", "&amp;E1253,""))</f>
        <v/>
      </c>
      <c r="T1253">
        <f>IF(R1253="","",IF(COUNTIFS(R$6:R1252,"&gt;0",S$6:S1252,S1253,N$6:N1252,N1253)=0,R1253,""))</f>
        <v/>
      </c>
      <c r="U1253">
        <f>IF(B1253="","",IF(J1253&lt;&gt;"",0,M1253))</f>
        <v/>
      </c>
    </row>
    <row r="1254">
      <c r="A1254" s="1" t="n"/>
      <c r="B1254" s="16" t="n"/>
      <c r="C1254" s="17" t="n"/>
      <c r="D1254" s="18" t="n"/>
      <c r="E1254" s="18" t="n"/>
      <c r="F1254" s="19" t="n"/>
      <c r="G1254" s="19" t="n"/>
      <c r="H1254" s="20" t="n"/>
      <c r="I1254" s="21" t="n"/>
      <c r="J1254" s="22" t="n"/>
      <c r="K1254" s="23" t="n"/>
      <c r="L1254" s="18" t="n"/>
      <c r="M1254" s="24">
        <f>IF(B1254="","",IF(AND(F1254&lt;&gt;"",G1254&lt;&gt;""),MAX(0,ROUND(MOD(G1254-F1254,1)*24-N(H1254)/60,2)),N(I1254)))</f>
        <v/>
      </c>
      <c r="N1254" s="14">
        <f>IF(B1254="","",IF(K1254&lt;&gt;"",K1254,IF(N(IFERROR(INDEX(Projects!$D$6:$D$65,MATCH(D1254,Projects!$B$6:$B$65,0)),""))&gt;0,IFERROR(INDEX(Projects!$D$6:$D$65,MATCH(D1254,Projects!$B$6:$B$65,0)),""),IFERROR(INDEX(Clients!$G$6:$G$45,MATCH(C1254,Clients!$B$6:$B$45,0)),0))))</f>
        <v/>
      </c>
      <c r="O1254" s="14">
        <f>IF(B1254="","",IF(J1254&lt;&gt;"",0,ROUND(M1254*N1254,2)))</f>
        <v/>
      </c>
      <c r="P1254" s="15">
        <f>IF(OR(B1254="",J1254&lt;&gt;""),"",IF(L1254&lt;&gt;"",L1254,IF(COUNTIFS(Invoices!$C$6:$C$305,C1254,Invoices!$E$6:$E$305,"&lt;="&amp;B1254,Invoices!$F$6:$F$305,"&gt;="&amp;B1254)=1,INDEX(Invoices!$B$6:$B$305,SUMIFS(Invoices!$O$6:$O$305,Invoices!$C$6:$C$305,C1254,Invoices!$E$6:$E$305,"&lt;="&amp;B1254,Invoices!$F$6:$F$305,"&gt;="&amp;B1254)),IF(COUNTIFS(Invoices!$C$6:$C$305,C1254,Invoices!$E$6:$E$305,"&lt;="&amp;B1254,Invoices!$F$6:$F$305,"&gt;="&amp;B1254)&gt;1,"Two invoices",""))))</f>
        <v/>
      </c>
      <c r="Q1254" s="15">
        <f>IF(B1254="","",IF(J1254&lt;&gt;"","Not billable",IF(P1254="","To invoice",IF(P1254="Two invoices","Check dates",IF(ISNA(MATCH(P1254,Invoices!$B$6:$B$305,0)),"Check number",IF(INDEX(Invoices!$M$6:$M$305,MATCH(P1254,Invoices!$B$6:$B$305,0))="Paid","Paid",IF(INDEX(Invoices!$M$6:$M$305,MATCH(P1254,Invoices!$B$6:$B$305,0))="Draft","Draft","Invoiced")))))))</f>
        <v/>
      </c>
      <c r="R1254" s="1">
        <f>IF(AND(B1254&lt;&gt;"",P1254&lt;&gt;"",P1254=Invoice!$G$4),B1254+MOD(N(F1254),1)+ROW()/10000000,"")</f>
        <v/>
      </c>
      <c r="S1254">
        <f>IF(R1254="","",IF(D1254="","Other work",D1254)&amp;IF(AND(K1254&lt;&gt;"",E1254&lt;&gt;""),", "&amp;E1254,""))</f>
        <v/>
      </c>
      <c r="T1254">
        <f>IF(R1254="","",IF(COUNTIFS(R$6:R1253,"&gt;0",S$6:S1253,S1254,N$6:N1253,N1254)=0,R1254,""))</f>
        <v/>
      </c>
      <c r="U1254">
        <f>IF(B1254="","",IF(J1254&lt;&gt;"",0,M1254))</f>
        <v/>
      </c>
    </row>
    <row r="1255">
      <c r="A1255" s="1" t="n"/>
      <c r="B1255" s="16" t="n"/>
      <c r="C1255" s="17" t="n"/>
      <c r="D1255" s="18" t="n"/>
      <c r="E1255" s="18" t="n"/>
      <c r="F1255" s="19" t="n"/>
      <c r="G1255" s="19" t="n"/>
      <c r="H1255" s="20" t="n"/>
      <c r="I1255" s="21" t="n"/>
      <c r="J1255" s="22" t="n"/>
      <c r="K1255" s="23" t="n"/>
      <c r="L1255" s="18" t="n"/>
      <c r="M1255" s="24">
        <f>IF(B1255="","",IF(AND(F1255&lt;&gt;"",G1255&lt;&gt;""),MAX(0,ROUND(MOD(G1255-F1255,1)*24-N(H1255)/60,2)),N(I1255)))</f>
        <v/>
      </c>
      <c r="N1255" s="14">
        <f>IF(B1255="","",IF(K1255&lt;&gt;"",K1255,IF(N(IFERROR(INDEX(Projects!$D$6:$D$65,MATCH(D1255,Projects!$B$6:$B$65,0)),""))&gt;0,IFERROR(INDEX(Projects!$D$6:$D$65,MATCH(D1255,Projects!$B$6:$B$65,0)),""),IFERROR(INDEX(Clients!$G$6:$G$45,MATCH(C1255,Clients!$B$6:$B$45,0)),0))))</f>
        <v/>
      </c>
      <c r="O1255" s="14">
        <f>IF(B1255="","",IF(J1255&lt;&gt;"",0,ROUND(M1255*N1255,2)))</f>
        <v/>
      </c>
      <c r="P1255" s="15">
        <f>IF(OR(B1255="",J1255&lt;&gt;""),"",IF(L1255&lt;&gt;"",L1255,IF(COUNTIFS(Invoices!$C$6:$C$305,C1255,Invoices!$E$6:$E$305,"&lt;="&amp;B1255,Invoices!$F$6:$F$305,"&gt;="&amp;B1255)=1,INDEX(Invoices!$B$6:$B$305,SUMIFS(Invoices!$O$6:$O$305,Invoices!$C$6:$C$305,C1255,Invoices!$E$6:$E$305,"&lt;="&amp;B1255,Invoices!$F$6:$F$305,"&gt;="&amp;B1255)),IF(COUNTIFS(Invoices!$C$6:$C$305,C1255,Invoices!$E$6:$E$305,"&lt;="&amp;B1255,Invoices!$F$6:$F$305,"&gt;="&amp;B1255)&gt;1,"Two invoices",""))))</f>
        <v/>
      </c>
      <c r="Q1255" s="15">
        <f>IF(B1255="","",IF(J1255&lt;&gt;"","Not billable",IF(P1255="","To invoice",IF(P1255="Two invoices","Check dates",IF(ISNA(MATCH(P1255,Invoices!$B$6:$B$305,0)),"Check number",IF(INDEX(Invoices!$M$6:$M$305,MATCH(P1255,Invoices!$B$6:$B$305,0))="Paid","Paid",IF(INDEX(Invoices!$M$6:$M$305,MATCH(P1255,Invoices!$B$6:$B$305,0))="Draft","Draft","Invoiced")))))))</f>
        <v/>
      </c>
      <c r="R1255" s="1">
        <f>IF(AND(B1255&lt;&gt;"",P1255&lt;&gt;"",P1255=Invoice!$G$4),B1255+MOD(N(F1255),1)+ROW()/10000000,"")</f>
        <v/>
      </c>
      <c r="S1255">
        <f>IF(R1255="","",IF(D1255="","Other work",D1255)&amp;IF(AND(K1255&lt;&gt;"",E1255&lt;&gt;""),", "&amp;E1255,""))</f>
        <v/>
      </c>
      <c r="T1255">
        <f>IF(R1255="","",IF(COUNTIFS(R$6:R1254,"&gt;0",S$6:S1254,S1255,N$6:N1254,N1255)=0,R1255,""))</f>
        <v/>
      </c>
      <c r="U1255">
        <f>IF(B1255="","",IF(J1255&lt;&gt;"",0,M1255))</f>
        <v/>
      </c>
    </row>
    <row r="1256">
      <c r="A1256" s="1" t="n"/>
      <c r="B1256" s="16" t="n"/>
      <c r="C1256" s="17" t="n"/>
      <c r="D1256" s="18" t="n"/>
      <c r="E1256" s="18" t="n"/>
      <c r="F1256" s="19" t="n"/>
      <c r="G1256" s="19" t="n"/>
      <c r="H1256" s="20" t="n"/>
      <c r="I1256" s="21" t="n"/>
      <c r="J1256" s="22" t="n"/>
      <c r="K1256" s="23" t="n"/>
      <c r="L1256" s="18" t="n"/>
      <c r="M1256" s="24">
        <f>IF(B1256="","",IF(AND(F1256&lt;&gt;"",G1256&lt;&gt;""),MAX(0,ROUND(MOD(G1256-F1256,1)*24-N(H1256)/60,2)),N(I1256)))</f>
        <v/>
      </c>
      <c r="N1256" s="14">
        <f>IF(B1256="","",IF(K1256&lt;&gt;"",K1256,IF(N(IFERROR(INDEX(Projects!$D$6:$D$65,MATCH(D1256,Projects!$B$6:$B$65,0)),""))&gt;0,IFERROR(INDEX(Projects!$D$6:$D$65,MATCH(D1256,Projects!$B$6:$B$65,0)),""),IFERROR(INDEX(Clients!$G$6:$G$45,MATCH(C1256,Clients!$B$6:$B$45,0)),0))))</f>
        <v/>
      </c>
      <c r="O1256" s="14">
        <f>IF(B1256="","",IF(J1256&lt;&gt;"",0,ROUND(M1256*N1256,2)))</f>
        <v/>
      </c>
      <c r="P1256" s="15">
        <f>IF(OR(B1256="",J1256&lt;&gt;""),"",IF(L1256&lt;&gt;"",L1256,IF(COUNTIFS(Invoices!$C$6:$C$305,C1256,Invoices!$E$6:$E$305,"&lt;="&amp;B1256,Invoices!$F$6:$F$305,"&gt;="&amp;B1256)=1,INDEX(Invoices!$B$6:$B$305,SUMIFS(Invoices!$O$6:$O$305,Invoices!$C$6:$C$305,C1256,Invoices!$E$6:$E$305,"&lt;="&amp;B1256,Invoices!$F$6:$F$305,"&gt;="&amp;B1256)),IF(COUNTIFS(Invoices!$C$6:$C$305,C1256,Invoices!$E$6:$E$305,"&lt;="&amp;B1256,Invoices!$F$6:$F$305,"&gt;="&amp;B1256)&gt;1,"Two invoices",""))))</f>
        <v/>
      </c>
      <c r="Q1256" s="15">
        <f>IF(B1256="","",IF(J1256&lt;&gt;"","Not billable",IF(P1256="","To invoice",IF(P1256="Two invoices","Check dates",IF(ISNA(MATCH(P1256,Invoices!$B$6:$B$305,0)),"Check number",IF(INDEX(Invoices!$M$6:$M$305,MATCH(P1256,Invoices!$B$6:$B$305,0))="Paid","Paid",IF(INDEX(Invoices!$M$6:$M$305,MATCH(P1256,Invoices!$B$6:$B$305,0))="Draft","Draft","Invoiced")))))))</f>
        <v/>
      </c>
      <c r="R1256" s="1">
        <f>IF(AND(B1256&lt;&gt;"",P1256&lt;&gt;"",P1256=Invoice!$G$4),B1256+MOD(N(F1256),1)+ROW()/10000000,"")</f>
        <v/>
      </c>
      <c r="S1256">
        <f>IF(R1256="","",IF(D1256="","Other work",D1256)&amp;IF(AND(K1256&lt;&gt;"",E1256&lt;&gt;""),", "&amp;E1256,""))</f>
        <v/>
      </c>
      <c r="T1256">
        <f>IF(R1256="","",IF(COUNTIFS(R$6:R1255,"&gt;0",S$6:S1255,S1256,N$6:N1255,N1256)=0,R1256,""))</f>
        <v/>
      </c>
      <c r="U1256">
        <f>IF(B1256="","",IF(J1256&lt;&gt;"",0,M1256))</f>
        <v/>
      </c>
    </row>
    <row r="1257">
      <c r="A1257" s="1" t="n"/>
      <c r="B1257" s="16" t="n"/>
      <c r="C1257" s="17" t="n"/>
      <c r="D1257" s="18" t="n"/>
      <c r="E1257" s="18" t="n"/>
      <c r="F1257" s="19" t="n"/>
      <c r="G1257" s="19" t="n"/>
      <c r="H1257" s="20" t="n"/>
      <c r="I1257" s="21" t="n"/>
      <c r="J1257" s="22" t="n"/>
      <c r="K1257" s="23" t="n"/>
      <c r="L1257" s="18" t="n"/>
      <c r="M1257" s="24">
        <f>IF(B1257="","",IF(AND(F1257&lt;&gt;"",G1257&lt;&gt;""),MAX(0,ROUND(MOD(G1257-F1257,1)*24-N(H1257)/60,2)),N(I1257)))</f>
        <v/>
      </c>
      <c r="N1257" s="14">
        <f>IF(B1257="","",IF(K1257&lt;&gt;"",K1257,IF(N(IFERROR(INDEX(Projects!$D$6:$D$65,MATCH(D1257,Projects!$B$6:$B$65,0)),""))&gt;0,IFERROR(INDEX(Projects!$D$6:$D$65,MATCH(D1257,Projects!$B$6:$B$65,0)),""),IFERROR(INDEX(Clients!$G$6:$G$45,MATCH(C1257,Clients!$B$6:$B$45,0)),0))))</f>
        <v/>
      </c>
      <c r="O1257" s="14">
        <f>IF(B1257="","",IF(J1257&lt;&gt;"",0,ROUND(M1257*N1257,2)))</f>
        <v/>
      </c>
      <c r="P1257" s="15">
        <f>IF(OR(B1257="",J1257&lt;&gt;""),"",IF(L1257&lt;&gt;"",L1257,IF(COUNTIFS(Invoices!$C$6:$C$305,C1257,Invoices!$E$6:$E$305,"&lt;="&amp;B1257,Invoices!$F$6:$F$305,"&gt;="&amp;B1257)=1,INDEX(Invoices!$B$6:$B$305,SUMIFS(Invoices!$O$6:$O$305,Invoices!$C$6:$C$305,C1257,Invoices!$E$6:$E$305,"&lt;="&amp;B1257,Invoices!$F$6:$F$305,"&gt;="&amp;B1257)),IF(COUNTIFS(Invoices!$C$6:$C$305,C1257,Invoices!$E$6:$E$305,"&lt;="&amp;B1257,Invoices!$F$6:$F$305,"&gt;="&amp;B1257)&gt;1,"Two invoices",""))))</f>
        <v/>
      </c>
      <c r="Q1257" s="15">
        <f>IF(B1257="","",IF(J1257&lt;&gt;"","Not billable",IF(P1257="","To invoice",IF(P1257="Two invoices","Check dates",IF(ISNA(MATCH(P1257,Invoices!$B$6:$B$305,0)),"Check number",IF(INDEX(Invoices!$M$6:$M$305,MATCH(P1257,Invoices!$B$6:$B$305,0))="Paid","Paid",IF(INDEX(Invoices!$M$6:$M$305,MATCH(P1257,Invoices!$B$6:$B$305,0))="Draft","Draft","Invoiced")))))))</f>
        <v/>
      </c>
      <c r="R1257" s="1">
        <f>IF(AND(B1257&lt;&gt;"",P1257&lt;&gt;"",P1257=Invoice!$G$4),B1257+MOD(N(F1257),1)+ROW()/10000000,"")</f>
        <v/>
      </c>
      <c r="S1257">
        <f>IF(R1257="","",IF(D1257="","Other work",D1257)&amp;IF(AND(K1257&lt;&gt;"",E1257&lt;&gt;""),", "&amp;E1257,""))</f>
        <v/>
      </c>
      <c r="T1257">
        <f>IF(R1257="","",IF(COUNTIFS(R$6:R1256,"&gt;0",S$6:S1256,S1257,N$6:N1256,N1257)=0,R1257,""))</f>
        <v/>
      </c>
      <c r="U1257">
        <f>IF(B1257="","",IF(J1257&lt;&gt;"",0,M1257))</f>
        <v/>
      </c>
    </row>
    <row r="1258">
      <c r="A1258" s="1" t="n"/>
      <c r="B1258" s="16" t="n"/>
      <c r="C1258" s="17" t="n"/>
      <c r="D1258" s="18" t="n"/>
      <c r="E1258" s="18" t="n"/>
      <c r="F1258" s="19" t="n"/>
      <c r="G1258" s="19" t="n"/>
      <c r="H1258" s="20" t="n"/>
      <c r="I1258" s="21" t="n"/>
      <c r="J1258" s="22" t="n"/>
      <c r="K1258" s="23" t="n"/>
      <c r="L1258" s="18" t="n"/>
      <c r="M1258" s="24">
        <f>IF(B1258="","",IF(AND(F1258&lt;&gt;"",G1258&lt;&gt;""),MAX(0,ROUND(MOD(G1258-F1258,1)*24-N(H1258)/60,2)),N(I1258)))</f>
        <v/>
      </c>
      <c r="N1258" s="14">
        <f>IF(B1258="","",IF(K1258&lt;&gt;"",K1258,IF(N(IFERROR(INDEX(Projects!$D$6:$D$65,MATCH(D1258,Projects!$B$6:$B$65,0)),""))&gt;0,IFERROR(INDEX(Projects!$D$6:$D$65,MATCH(D1258,Projects!$B$6:$B$65,0)),""),IFERROR(INDEX(Clients!$G$6:$G$45,MATCH(C1258,Clients!$B$6:$B$45,0)),0))))</f>
        <v/>
      </c>
      <c r="O1258" s="14">
        <f>IF(B1258="","",IF(J1258&lt;&gt;"",0,ROUND(M1258*N1258,2)))</f>
        <v/>
      </c>
      <c r="P1258" s="15">
        <f>IF(OR(B1258="",J1258&lt;&gt;""),"",IF(L1258&lt;&gt;"",L1258,IF(COUNTIFS(Invoices!$C$6:$C$305,C1258,Invoices!$E$6:$E$305,"&lt;="&amp;B1258,Invoices!$F$6:$F$305,"&gt;="&amp;B1258)=1,INDEX(Invoices!$B$6:$B$305,SUMIFS(Invoices!$O$6:$O$305,Invoices!$C$6:$C$305,C1258,Invoices!$E$6:$E$305,"&lt;="&amp;B1258,Invoices!$F$6:$F$305,"&gt;="&amp;B1258)),IF(COUNTIFS(Invoices!$C$6:$C$305,C1258,Invoices!$E$6:$E$305,"&lt;="&amp;B1258,Invoices!$F$6:$F$305,"&gt;="&amp;B1258)&gt;1,"Two invoices",""))))</f>
        <v/>
      </c>
      <c r="Q1258" s="15">
        <f>IF(B1258="","",IF(J1258&lt;&gt;"","Not billable",IF(P1258="","To invoice",IF(P1258="Two invoices","Check dates",IF(ISNA(MATCH(P1258,Invoices!$B$6:$B$305,0)),"Check number",IF(INDEX(Invoices!$M$6:$M$305,MATCH(P1258,Invoices!$B$6:$B$305,0))="Paid","Paid",IF(INDEX(Invoices!$M$6:$M$305,MATCH(P1258,Invoices!$B$6:$B$305,0))="Draft","Draft","Invoiced")))))))</f>
        <v/>
      </c>
      <c r="R1258" s="1">
        <f>IF(AND(B1258&lt;&gt;"",P1258&lt;&gt;"",P1258=Invoice!$G$4),B1258+MOD(N(F1258),1)+ROW()/10000000,"")</f>
        <v/>
      </c>
      <c r="S1258">
        <f>IF(R1258="","",IF(D1258="","Other work",D1258)&amp;IF(AND(K1258&lt;&gt;"",E1258&lt;&gt;""),", "&amp;E1258,""))</f>
        <v/>
      </c>
      <c r="T1258">
        <f>IF(R1258="","",IF(COUNTIFS(R$6:R1257,"&gt;0",S$6:S1257,S1258,N$6:N1257,N1258)=0,R1258,""))</f>
        <v/>
      </c>
      <c r="U1258">
        <f>IF(B1258="","",IF(J1258&lt;&gt;"",0,M1258))</f>
        <v/>
      </c>
    </row>
    <row r="1259">
      <c r="A1259" s="1" t="n"/>
      <c r="B1259" s="16" t="n"/>
      <c r="C1259" s="17" t="n"/>
      <c r="D1259" s="18" t="n"/>
      <c r="E1259" s="18" t="n"/>
      <c r="F1259" s="19" t="n"/>
      <c r="G1259" s="19" t="n"/>
      <c r="H1259" s="20" t="n"/>
      <c r="I1259" s="21" t="n"/>
      <c r="J1259" s="22" t="n"/>
      <c r="K1259" s="23" t="n"/>
      <c r="L1259" s="18" t="n"/>
      <c r="M1259" s="24">
        <f>IF(B1259="","",IF(AND(F1259&lt;&gt;"",G1259&lt;&gt;""),MAX(0,ROUND(MOD(G1259-F1259,1)*24-N(H1259)/60,2)),N(I1259)))</f>
        <v/>
      </c>
      <c r="N1259" s="14">
        <f>IF(B1259="","",IF(K1259&lt;&gt;"",K1259,IF(N(IFERROR(INDEX(Projects!$D$6:$D$65,MATCH(D1259,Projects!$B$6:$B$65,0)),""))&gt;0,IFERROR(INDEX(Projects!$D$6:$D$65,MATCH(D1259,Projects!$B$6:$B$65,0)),""),IFERROR(INDEX(Clients!$G$6:$G$45,MATCH(C1259,Clients!$B$6:$B$45,0)),0))))</f>
        <v/>
      </c>
      <c r="O1259" s="14">
        <f>IF(B1259="","",IF(J1259&lt;&gt;"",0,ROUND(M1259*N1259,2)))</f>
        <v/>
      </c>
      <c r="P1259" s="15">
        <f>IF(OR(B1259="",J1259&lt;&gt;""),"",IF(L1259&lt;&gt;"",L1259,IF(COUNTIFS(Invoices!$C$6:$C$305,C1259,Invoices!$E$6:$E$305,"&lt;="&amp;B1259,Invoices!$F$6:$F$305,"&gt;="&amp;B1259)=1,INDEX(Invoices!$B$6:$B$305,SUMIFS(Invoices!$O$6:$O$305,Invoices!$C$6:$C$305,C1259,Invoices!$E$6:$E$305,"&lt;="&amp;B1259,Invoices!$F$6:$F$305,"&gt;="&amp;B1259)),IF(COUNTIFS(Invoices!$C$6:$C$305,C1259,Invoices!$E$6:$E$305,"&lt;="&amp;B1259,Invoices!$F$6:$F$305,"&gt;="&amp;B1259)&gt;1,"Two invoices",""))))</f>
        <v/>
      </c>
      <c r="Q1259" s="15">
        <f>IF(B1259="","",IF(J1259&lt;&gt;"","Not billable",IF(P1259="","To invoice",IF(P1259="Two invoices","Check dates",IF(ISNA(MATCH(P1259,Invoices!$B$6:$B$305,0)),"Check number",IF(INDEX(Invoices!$M$6:$M$305,MATCH(P1259,Invoices!$B$6:$B$305,0))="Paid","Paid",IF(INDEX(Invoices!$M$6:$M$305,MATCH(P1259,Invoices!$B$6:$B$305,0))="Draft","Draft","Invoiced")))))))</f>
        <v/>
      </c>
      <c r="R1259" s="1">
        <f>IF(AND(B1259&lt;&gt;"",P1259&lt;&gt;"",P1259=Invoice!$G$4),B1259+MOD(N(F1259),1)+ROW()/10000000,"")</f>
        <v/>
      </c>
      <c r="S1259">
        <f>IF(R1259="","",IF(D1259="","Other work",D1259)&amp;IF(AND(K1259&lt;&gt;"",E1259&lt;&gt;""),", "&amp;E1259,""))</f>
        <v/>
      </c>
      <c r="T1259">
        <f>IF(R1259="","",IF(COUNTIFS(R$6:R1258,"&gt;0",S$6:S1258,S1259,N$6:N1258,N1259)=0,R1259,""))</f>
        <v/>
      </c>
      <c r="U1259">
        <f>IF(B1259="","",IF(J1259&lt;&gt;"",0,M1259))</f>
        <v/>
      </c>
    </row>
    <row r="1260">
      <c r="A1260" s="1" t="n"/>
      <c r="B1260" s="16" t="n"/>
      <c r="C1260" s="17" t="n"/>
      <c r="D1260" s="18" t="n"/>
      <c r="E1260" s="18" t="n"/>
      <c r="F1260" s="19" t="n"/>
      <c r="G1260" s="19" t="n"/>
      <c r="H1260" s="20" t="n"/>
      <c r="I1260" s="21" t="n"/>
      <c r="J1260" s="22" t="n"/>
      <c r="K1260" s="23" t="n"/>
      <c r="L1260" s="18" t="n"/>
      <c r="M1260" s="24">
        <f>IF(B1260="","",IF(AND(F1260&lt;&gt;"",G1260&lt;&gt;""),MAX(0,ROUND(MOD(G1260-F1260,1)*24-N(H1260)/60,2)),N(I1260)))</f>
        <v/>
      </c>
      <c r="N1260" s="14">
        <f>IF(B1260="","",IF(K1260&lt;&gt;"",K1260,IF(N(IFERROR(INDEX(Projects!$D$6:$D$65,MATCH(D1260,Projects!$B$6:$B$65,0)),""))&gt;0,IFERROR(INDEX(Projects!$D$6:$D$65,MATCH(D1260,Projects!$B$6:$B$65,0)),""),IFERROR(INDEX(Clients!$G$6:$G$45,MATCH(C1260,Clients!$B$6:$B$45,0)),0))))</f>
        <v/>
      </c>
      <c r="O1260" s="14">
        <f>IF(B1260="","",IF(J1260&lt;&gt;"",0,ROUND(M1260*N1260,2)))</f>
        <v/>
      </c>
      <c r="P1260" s="15">
        <f>IF(OR(B1260="",J1260&lt;&gt;""),"",IF(L1260&lt;&gt;"",L1260,IF(COUNTIFS(Invoices!$C$6:$C$305,C1260,Invoices!$E$6:$E$305,"&lt;="&amp;B1260,Invoices!$F$6:$F$305,"&gt;="&amp;B1260)=1,INDEX(Invoices!$B$6:$B$305,SUMIFS(Invoices!$O$6:$O$305,Invoices!$C$6:$C$305,C1260,Invoices!$E$6:$E$305,"&lt;="&amp;B1260,Invoices!$F$6:$F$305,"&gt;="&amp;B1260)),IF(COUNTIFS(Invoices!$C$6:$C$305,C1260,Invoices!$E$6:$E$305,"&lt;="&amp;B1260,Invoices!$F$6:$F$305,"&gt;="&amp;B1260)&gt;1,"Two invoices",""))))</f>
        <v/>
      </c>
      <c r="Q1260" s="15">
        <f>IF(B1260="","",IF(J1260&lt;&gt;"","Not billable",IF(P1260="","To invoice",IF(P1260="Two invoices","Check dates",IF(ISNA(MATCH(P1260,Invoices!$B$6:$B$305,0)),"Check number",IF(INDEX(Invoices!$M$6:$M$305,MATCH(P1260,Invoices!$B$6:$B$305,0))="Paid","Paid",IF(INDEX(Invoices!$M$6:$M$305,MATCH(P1260,Invoices!$B$6:$B$305,0))="Draft","Draft","Invoiced")))))))</f>
        <v/>
      </c>
      <c r="R1260" s="1">
        <f>IF(AND(B1260&lt;&gt;"",P1260&lt;&gt;"",P1260=Invoice!$G$4),B1260+MOD(N(F1260),1)+ROW()/10000000,"")</f>
        <v/>
      </c>
      <c r="S1260">
        <f>IF(R1260="","",IF(D1260="","Other work",D1260)&amp;IF(AND(K1260&lt;&gt;"",E1260&lt;&gt;""),", "&amp;E1260,""))</f>
        <v/>
      </c>
      <c r="T1260">
        <f>IF(R1260="","",IF(COUNTIFS(R$6:R1259,"&gt;0",S$6:S1259,S1260,N$6:N1259,N1260)=0,R1260,""))</f>
        <v/>
      </c>
      <c r="U1260">
        <f>IF(B1260="","",IF(J1260&lt;&gt;"",0,M1260))</f>
        <v/>
      </c>
    </row>
    <row r="1261">
      <c r="A1261" s="1" t="n"/>
      <c r="B1261" s="16" t="n"/>
      <c r="C1261" s="17" t="n"/>
      <c r="D1261" s="18" t="n"/>
      <c r="E1261" s="18" t="n"/>
      <c r="F1261" s="19" t="n"/>
      <c r="G1261" s="19" t="n"/>
      <c r="H1261" s="20" t="n"/>
      <c r="I1261" s="21" t="n"/>
      <c r="J1261" s="22" t="n"/>
      <c r="K1261" s="23" t="n"/>
      <c r="L1261" s="18" t="n"/>
      <c r="M1261" s="24">
        <f>IF(B1261="","",IF(AND(F1261&lt;&gt;"",G1261&lt;&gt;""),MAX(0,ROUND(MOD(G1261-F1261,1)*24-N(H1261)/60,2)),N(I1261)))</f>
        <v/>
      </c>
      <c r="N1261" s="14">
        <f>IF(B1261="","",IF(K1261&lt;&gt;"",K1261,IF(N(IFERROR(INDEX(Projects!$D$6:$D$65,MATCH(D1261,Projects!$B$6:$B$65,0)),""))&gt;0,IFERROR(INDEX(Projects!$D$6:$D$65,MATCH(D1261,Projects!$B$6:$B$65,0)),""),IFERROR(INDEX(Clients!$G$6:$G$45,MATCH(C1261,Clients!$B$6:$B$45,0)),0))))</f>
        <v/>
      </c>
      <c r="O1261" s="14">
        <f>IF(B1261="","",IF(J1261&lt;&gt;"",0,ROUND(M1261*N1261,2)))</f>
        <v/>
      </c>
      <c r="P1261" s="15">
        <f>IF(OR(B1261="",J1261&lt;&gt;""),"",IF(L1261&lt;&gt;"",L1261,IF(COUNTIFS(Invoices!$C$6:$C$305,C1261,Invoices!$E$6:$E$305,"&lt;="&amp;B1261,Invoices!$F$6:$F$305,"&gt;="&amp;B1261)=1,INDEX(Invoices!$B$6:$B$305,SUMIFS(Invoices!$O$6:$O$305,Invoices!$C$6:$C$305,C1261,Invoices!$E$6:$E$305,"&lt;="&amp;B1261,Invoices!$F$6:$F$305,"&gt;="&amp;B1261)),IF(COUNTIFS(Invoices!$C$6:$C$305,C1261,Invoices!$E$6:$E$305,"&lt;="&amp;B1261,Invoices!$F$6:$F$305,"&gt;="&amp;B1261)&gt;1,"Two invoices",""))))</f>
        <v/>
      </c>
      <c r="Q1261" s="15">
        <f>IF(B1261="","",IF(J1261&lt;&gt;"","Not billable",IF(P1261="","To invoice",IF(P1261="Two invoices","Check dates",IF(ISNA(MATCH(P1261,Invoices!$B$6:$B$305,0)),"Check number",IF(INDEX(Invoices!$M$6:$M$305,MATCH(P1261,Invoices!$B$6:$B$305,0))="Paid","Paid",IF(INDEX(Invoices!$M$6:$M$305,MATCH(P1261,Invoices!$B$6:$B$305,0))="Draft","Draft","Invoiced")))))))</f>
        <v/>
      </c>
      <c r="R1261" s="1">
        <f>IF(AND(B1261&lt;&gt;"",P1261&lt;&gt;"",P1261=Invoice!$G$4),B1261+MOD(N(F1261),1)+ROW()/10000000,"")</f>
        <v/>
      </c>
      <c r="S1261">
        <f>IF(R1261="","",IF(D1261="","Other work",D1261)&amp;IF(AND(K1261&lt;&gt;"",E1261&lt;&gt;""),", "&amp;E1261,""))</f>
        <v/>
      </c>
      <c r="T1261">
        <f>IF(R1261="","",IF(COUNTIFS(R$6:R1260,"&gt;0",S$6:S1260,S1261,N$6:N1260,N1261)=0,R1261,""))</f>
        <v/>
      </c>
      <c r="U1261">
        <f>IF(B1261="","",IF(J1261&lt;&gt;"",0,M1261))</f>
        <v/>
      </c>
    </row>
    <row r="1262">
      <c r="A1262" s="1" t="n"/>
      <c r="B1262" s="16" t="n"/>
      <c r="C1262" s="17" t="n"/>
      <c r="D1262" s="18" t="n"/>
      <c r="E1262" s="18" t="n"/>
      <c r="F1262" s="19" t="n"/>
      <c r="G1262" s="19" t="n"/>
      <c r="H1262" s="20" t="n"/>
      <c r="I1262" s="21" t="n"/>
      <c r="J1262" s="22" t="n"/>
      <c r="K1262" s="23" t="n"/>
      <c r="L1262" s="18" t="n"/>
      <c r="M1262" s="24">
        <f>IF(B1262="","",IF(AND(F1262&lt;&gt;"",G1262&lt;&gt;""),MAX(0,ROUND(MOD(G1262-F1262,1)*24-N(H1262)/60,2)),N(I1262)))</f>
        <v/>
      </c>
      <c r="N1262" s="14">
        <f>IF(B1262="","",IF(K1262&lt;&gt;"",K1262,IF(N(IFERROR(INDEX(Projects!$D$6:$D$65,MATCH(D1262,Projects!$B$6:$B$65,0)),""))&gt;0,IFERROR(INDEX(Projects!$D$6:$D$65,MATCH(D1262,Projects!$B$6:$B$65,0)),""),IFERROR(INDEX(Clients!$G$6:$G$45,MATCH(C1262,Clients!$B$6:$B$45,0)),0))))</f>
        <v/>
      </c>
      <c r="O1262" s="14">
        <f>IF(B1262="","",IF(J1262&lt;&gt;"",0,ROUND(M1262*N1262,2)))</f>
        <v/>
      </c>
      <c r="P1262" s="15">
        <f>IF(OR(B1262="",J1262&lt;&gt;""),"",IF(L1262&lt;&gt;"",L1262,IF(COUNTIFS(Invoices!$C$6:$C$305,C1262,Invoices!$E$6:$E$305,"&lt;="&amp;B1262,Invoices!$F$6:$F$305,"&gt;="&amp;B1262)=1,INDEX(Invoices!$B$6:$B$305,SUMIFS(Invoices!$O$6:$O$305,Invoices!$C$6:$C$305,C1262,Invoices!$E$6:$E$305,"&lt;="&amp;B1262,Invoices!$F$6:$F$305,"&gt;="&amp;B1262)),IF(COUNTIFS(Invoices!$C$6:$C$305,C1262,Invoices!$E$6:$E$305,"&lt;="&amp;B1262,Invoices!$F$6:$F$305,"&gt;="&amp;B1262)&gt;1,"Two invoices",""))))</f>
        <v/>
      </c>
      <c r="Q1262" s="15">
        <f>IF(B1262="","",IF(J1262&lt;&gt;"","Not billable",IF(P1262="","To invoice",IF(P1262="Two invoices","Check dates",IF(ISNA(MATCH(P1262,Invoices!$B$6:$B$305,0)),"Check number",IF(INDEX(Invoices!$M$6:$M$305,MATCH(P1262,Invoices!$B$6:$B$305,0))="Paid","Paid",IF(INDEX(Invoices!$M$6:$M$305,MATCH(P1262,Invoices!$B$6:$B$305,0))="Draft","Draft","Invoiced")))))))</f>
        <v/>
      </c>
      <c r="R1262" s="1">
        <f>IF(AND(B1262&lt;&gt;"",P1262&lt;&gt;"",P1262=Invoice!$G$4),B1262+MOD(N(F1262),1)+ROW()/10000000,"")</f>
        <v/>
      </c>
      <c r="S1262">
        <f>IF(R1262="","",IF(D1262="","Other work",D1262)&amp;IF(AND(K1262&lt;&gt;"",E1262&lt;&gt;""),", "&amp;E1262,""))</f>
        <v/>
      </c>
      <c r="T1262">
        <f>IF(R1262="","",IF(COUNTIFS(R$6:R1261,"&gt;0",S$6:S1261,S1262,N$6:N1261,N1262)=0,R1262,""))</f>
        <v/>
      </c>
      <c r="U1262">
        <f>IF(B1262="","",IF(J1262&lt;&gt;"",0,M1262))</f>
        <v/>
      </c>
    </row>
    <row r="1263">
      <c r="A1263" s="1" t="n"/>
      <c r="B1263" s="16" t="n"/>
      <c r="C1263" s="17" t="n"/>
      <c r="D1263" s="18" t="n"/>
      <c r="E1263" s="18" t="n"/>
      <c r="F1263" s="19" t="n"/>
      <c r="G1263" s="19" t="n"/>
      <c r="H1263" s="20" t="n"/>
      <c r="I1263" s="21" t="n"/>
      <c r="J1263" s="22" t="n"/>
      <c r="K1263" s="23" t="n"/>
      <c r="L1263" s="18" t="n"/>
      <c r="M1263" s="24">
        <f>IF(B1263="","",IF(AND(F1263&lt;&gt;"",G1263&lt;&gt;""),MAX(0,ROUND(MOD(G1263-F1263,1)*24-N(H1263)/60,2)),N(I1263)))</f>
        <v/>
      </c>
      <c r="N1263" s="14">
        <f>IF(B1263="","",IF(K1263&lt;&gt;"",K1263,IF(N(IFERROR(INDEX(Projects!$D$6:$D$65,MATCH(D1263,Projects!$B$6:$B$65,0)),""))&gt;0,IFERROR(INDEX(Projects!$D$6:$D$65,MATCH(D1263,Projects!$B$6:$B$65,0)),""),IFERROR(INDEX(Clients!$G$6:$G$45,MATCH(C1263,Clients!$B$6:$B$45,0)),0))))</f>
        <v/>
      </c>
      <c r="O1263" s="14">
        <f>IF(B1263="","",IF(J1263&lt;&gt;"",0,ROUND(M1263*N1263,2)))</f>
        <v/>
      </c>
      <c r="P1263" s="15">
        <f>IF(OR(B1263="",J1263&lt;&gt;""),"",IF(L1263&lt;&gt;"",L1263,IF(COUNTIFS(Invoices!$C$6:$C$305,C1263,Invoices!$E$6:$E$305,"&lt;="&amp;B1263,Invoices!$F$6:$F$305,"&gt;="&amp;B1263)=1,INDEX(Invoices!$B$6:$B$305,SUMIFS(Invoices!$O$6:$O$305,Invoices!$C$6:$C$305,C1263,Invoices!$E$6:$E$305,"&lt;="&amp;B1263,Invoices!$F$6:$F$305,"&gt;="&amp;B1263)),IF(COUNTIFS(Invoices!$C$6:$C$305,C1263,Invoices!$E$6:$E$305,"&lt;="&amp;B1263,Invoices!$F$6:$F$305,"&gt;="&amp;B1263)&gt;1,"Two invoices",""))))</f>
        <v/>
      </c>
      <c r="Q1263" s="15">
        <f>IF(B1263="","",IF(J1263&lt;&gt;"","Not billable",IF(P1263="","To invoice",IF(P1263="Two invoices","Check dates",IF(ISNA(MATCH(P1263,Invoices!$B$6:$B$305,0)),"Check number",IF(INDEX(Invoices!$M$6:$M$305,MATCH(P1263,Invoices!$B$6:$B$305,0))="Paid","Paid",IF(INDEX(Invoices!$M$6:$M$305,MATCH(P1263,Invoices!$B$6:$B$305,0))="Draft","Draft","Invoiced")))))))</f>
        <v/>
      </c>
      <c r="R1263" s="1">
        <f>IF(AND(B1263&lt;&gt;"",P1263&lt;&gt;"",P1263=Invoice!$G$4),B1263+MOD(N(F1263),1)+ROW()/10000000,"")</f>
        <v/>
      </c>
      <c r="S1263">
        <f>IF(R1263="","",IF(D1263="","Other work",D1263)&amp;IF(AND(K1263&lt;&gt;"",E1263&lt;&gt;""),", "&amp;E1263,""))</f>
        <v/>
      </c>
      <c r="T1263">
        <f>IF(R1263="","",IF(COUNTIFS(R$6:R1262,"&gt;0",S$6:S1262,S1263,N$6:N1262,N1263)=0,R1263,""))</f>
        <v/>
      </c>
      <c r="U1263">
        <f>IF(B1263="","",IF(J1263&lt;&gt;"",0,M1263))</f>
        <v/>
      </c>
    </row>
    <row r="1264">
      <c r="A1264" s="1" t="n"/>
      <c r="B1264" s="16" t="n"/>
      <c r="C1264" s="17" t="n"/>
      <c r="D1264" s="18" t="n"/>
      <c r="E1264" s="18" t="n"/>
      <c r="F1264" s="19" t="n"/>
      <c r="G1264" s="19" t="n"/>
      <c r="H1264" s="20" t="n"/>
      <c r="I1264" s="21" t="n"/>
      <c r="J1264" s="22" t="n"/>
      <c r="K1264" s="23" t="n"/>
      <c r="L1264" s="18" t="n"/>
      <c r="M1264" s="24">
        <f>IF(B1264="","",IF(AND(F1264&lt;&gt;"",G1264&lt;&gt;""),MAX(0,ROUND(MOD(G1264-F1264,1)*24-N(H1264)/60,2)),N(I1264)))</f>
        <v/>
      </c>
      <c r="N1264" s="14">
        <f>IF(B1264="","",IF(K1264&lt;&gt;"",K1264,IF(N(IFERROR(INDEX(Projects!$D$6:$D$65,MATCH(D1264,Projects!$B$6:$B$65,0)),""))&gt;0,IFERROR(INDEX(Projects!$D$6:$D$65,MATCH(D1264,Projects!$B$6:$B$65,0)),""),IFERROR(INDEX(Clients!$G$6:$G$45,MATCH(C1264,Clients!$B$6:$B$45,0)),0))))</f>
        <v/>
      </c>
      <c r="O1264" s="14">
        <f>IF(B1264="","",IF(J1264&lt;&gt;"",0,ROUND(M1264*N1264,2)))</f>
        <v/>
      </c>
      <c r="P1264" s="15">
        <f>IF(OR(B1264="",J1264&lt;&gt;""),"",IF(L1264&lt;&gt;"",L1264,IF(COUNTIFS(Invoices!$C$6:$C$305,C1264,Invoices!$E$6:$E$305,"&lt;="&amp;B1264,Invoices!$F$6:$F$305,"&gt;="&amp;B1264)=1,INDEX(Invoices!$B$6:$B$305,SUMIFS(Invoices!$O$6:$O$305,Invoices!$C$6:$C$305,C1264,Invoices!$E$6:$E$305,"&lt;="&amp;B1264,Invoices!$F$6:$F$305,"&gt;="&amp;B1264)),IF(COUNTIFS(Invoices!$C$6:$C$305,C1264,Invoices!$E$6:$E$305,"&lt;="&amp;B1264,Invoices!$F$6:$F$305,"&gt;="&amp;B1264)&gt;1,"Two invoices",""))))</f>
        <v/>
      </c>
      <c r="Q1264" s="15">
        <f>IF(B1264="","",IF(J1264&lt;&gt;"","Not billable",IF(P1264="","To invoice",IF(P1264="Two invoices","Check dates",IF(ISNA(MATCH(P1264,Invoices!$B$6:$B$305,0)),"Check number",IF(INDEX(Invoices!$M$6:$M$305,MATCH(P1264,Invoices!$B$6:$B$305,0))="Paid","Paid",IF(INDEX(Invoices!$M$6:$M$305,MATCH(P1264,Invoices!$B$6:$B$305,0))="Draft","Draft","Invoiced")))))))</f>
        <v/>
      </c>
      <c r="R1264" s="1">
        <f>IF(AND(B1264&lt;&gt;"",P1264&lt;&gt;"",P1264=Invoice!$G$4),B1264+MOD(N(F1264),1)+ROW()/10000000,"")</f>
        <v/>
      </c>
      <c r="S1264">
        <f>IF(R1264="","",IF(D1264="","Other work",D1264)&amp;IF(AND(K1264&lt;&gt;"",E1264&lt;&gt;""),", "&amp;E1264,""))</f>
        <v/>
      </c>
      <c r="T1264">
        <f>IF(R1264="","",IF(COUNTIFS(R$6:R1263,"&gt;0",S$6:S1263,S1264,N$6:N1263,N1264)=0,R1264,""))</f>
        <v/>
      </c>
      <c r="U1264">
        <f>IF(B1264="","",IF(J1264&lt;&gt;"",0,M1264))</f>
        <v/>
      </c>
    </row>
    <row r="1265">
      <c r="A1265" s="1" t="n"/>
      <c r="B1265" s="16" t="n"/>
      <c r="C1265" s="17" t="n"/>
      <c r="D1265" s="18" t="n"/>
      <c r="E1265" s="18" t="n"/>
      <c r="F1265" s="19" t="n"/>
      <c r="G1265" s="19" t="n"/>
      <c r="H1265" s="20" t="n"/>
      <c r="I1265" s="21" t="n"/>
      <c r="J1265" s="22" t="n"/>
      <c r="K1265" s="23" t="n"/>
      <c r="L1265" s="18" t="n"/>
      <c r="M1265" s="24">
        <f>IF(B1265="","",IF(AND(F1265&lt;&gt;"",G1265&lt;&gt;""),MAX(0,ROUND(MOD(G1265-F1265,1)*24-N(H1265)/60,2)),N(I1265)))</f>
        <v/>
      </c>
      <c r="N1265" s="14">
        <f>IF(B1265="","",IF(K1265&lt;&gt;"",K1265,IF(N(IFERROR(INDEX(Projects!$D$6:$D$65,MATCH(D1265,Projects!$B$6:$B$65,0)),""))&gt;0,IFERROR(INDEX(Projects!$D$6:$D$65,MATCH(D1265,Projects!$B$6:$B$65,0)),""),IFERROR(INDEX(Clients!$G$6:$G$45,MATCH(C1265,Clients!$B$6:$B$45,0)),0))))</f>
        <v/>
      </c>
      <c r="O1265" s="14">
        <f>IF(B1265="","",IF(J1265&lt;&gt;"",0,ROUND(M1265*N1265,2)))</f>
        <v/>
      </c>
      <c r="P1265" s="15">
        <f>IF(OR(B1265="",J1265&lt;&gt;""),"",IF(L1265&lt;&gt;"",L1265,IF(COUNTIFS(Invoices!$C$6:$C$305,C1265,Invoices!$E$6:$E$305,"&lt;="&amp;B1265,Invoices!$F$6:$F$305,"&gt;="&amp;B1265)=1,INDEX(Invoices!$B$6:$B$305,SUMIFS(Invoices!$O$6:$O$305,Invoices!$C$6:$C$305,C1265,Invoices!$E$6:$E$305,"&lt;="&amp;B1265,Invoices!$F$6:$F$305,"&gt;="&amp;B1265)),IF(COUNTIFS(Invoices!$C$6:$C$305,C1265,Invoices!$E$6:$E$305,"&lt;="&amp;B1265,Invoices!$F$6:$F$305,"&gt;="&amp;B1265)&gt;1,"Two invoices",""))))</f>
        <v/>
      </c>
      <c r="Q1265" s="15">
        <f>IF(B1265="","",IF(J1265&lt;&gt;"","Not billable",IF(P1265="","To invoice",IF(P1265="Two invoices","Check dates",IF(ISNA(MATCH(P1265,Invoices!$B$6:$B$305,0)),"Check number",IF(INDEX(Invoices!$M$6:$M$305,MATCH(P1265,Invoices!$B$6:$B$305,0))="Paid","Paid",IF(INDEX(Invoices!$M$6:$M$305,MATCH(P1265,Invoices!$B$6:$B$305,0))="Draft","Draft","Invoiced")))))))</f>
        <v/>
      </c>
      <c r="R1265" s="1">
        <f>IF(AND(B1265&lt;&gt;"",P1265&lt;&gt;"",P1265=Invoice!$G$4),B1265+MOD(N(F1265),1)+ROW()/10000000,"")</f>
        <v/>
      </c>
      <c r="S1265">
        <f>IF(R1265="","",IF(D1265="","Other work",D1265)&amp;IF(AND(K1265&lt;&gt;"",E1265&lt;&gt;""),", "&amp;E1265,""))</f>
        <v/>
      </c>
      <c r="T1265">
        <f>IF(R1265="","",IF(COUNTIFS(R$6:R1264,"&gt;0",S$6:S1264,S1265,N$6:N1264,N1265)=0,R1265,""))</f>
        <v/>
      </c>
      <c r="U1265">
        <f>IF(B1265="","",IF(J1265&lt;&gt;"",0,M1265))</f>
        <v/>
      </c>
    </row>
    <row r="1266">
      <c r="A1266" s="1" t="n"/>
      <c r="B1266" s="16" t="n"/>
      <c r="C1266" s="17" t="n"/>
      <c r="D1266" s="18" t="n"/>
      <c r="E1266" s="18" t="n"/>
      <c r="F1266" s="19" t="n"/>
      <c r="G1266" s="19" t="n"/>
      <c r="H1266" s="20" t="n"/>
      <c r="I1266" s="21" t="n"/>
      <c r="J1266" s="22" t="n"/>
      <c r="K1266" s="23" t="n"/>
      <c r="L1266" s="18" t="n"/>
      <c r="M1266" s="24">
        <f>IF(B1266="","",IF(AND(F1266&lt;&gt;"",G1266&lt;&gt;""),MAX(0,ROUND(MOD(G1266-F1266,1)*24-N(H1266)/60,2)),N(I1266)))</f>
        <v/>
      </c>
      <c r="N1266" s="14">
        <f>IF(B1266="","",IF(K1266&lt;&gt;"",K1266,IF(N(IFERROR(INDEX(Projects!$D$6:$D$65,MATCH(D1266,Projects!$B$6:$B$65,0)),""))&gt;0,IFERROR(INDEX(Projects!$D$6:$D$65,MATCH(D1266,Projects!$B$6:$B$65,0)),""),IFERROR(INDEX(Clients!$G$6:$G$45,MATCH(C1266,Clients!$B$6:$B$45,0)),0))))</f>
        <v/>
      </c>
      <c r="O1266" s="14">
        <f>IF(B1266="","",IF(J1266&lt;&gt;"",0,ROUND(M1266*N1266,2)))</f>
        <v/>
      </c>
      <c r="P1266" s="15">
        <f>IF(OR(B1266="",J1266&lt;&gt;""),"",IF(L1266&lt;&gt;"",L1266,IF(COUNTIFS(Invoices!$C$6:$C$305,C1266,Invoices!$E$6:$E$305,"&lt;="&amp;B1266,Invoices!$F$6:$F$305,"&gt;="&amp;B1266)=1,INDEX(Invoices!$B$6:$B$305,SUMIFS(Invoices!$O$6:$O$305,Invoices!$C$6:$C$305,C1266,Invoices!$E$6:$E$305,"&lt;="&amp;B1266,Invoices!$F$6:$F$305,"&gt;="&amp;B1266)),IF(COUNTIFS(Invoices!$C$6:$C$305,C1266,Invoices!$E$6:$E$305,"&lt;="&amp;B1266,Invoices!$F$6:$F$305,"&gt;="&amp;B1266)&gt;1,"Two invoices",""))))</f>
        <v/>
      </c>
      <c r="Q1266" s="15">
        <f>IF(B1266="","",IF(J1266&lt;&gt;"","Not billable",IF(P1266="","To invoice",IF(P1266="Two invoices","Check dates",IF(ISNA(MATCH(P1266,Invoices!$B$6:$B$305,0)),"Check number",IF(INDEX(Invoices!$M$6:$M$305,MATCH(P1266,Invoices!$B$6:$B$305,0))="Paid","Paid",IF(INDEX(Invoices!$M$6:$M$305,MATCH(P1266,Invoices!$B$6:$B$305,0))="Draft","Draft","Invoiced")))))))</f>
        <v/>
      </c>
      <c r="R1266" s="1">
        <f>IF(AND(B1266&lt;&gt;"",P1266&lt;&gt;"",P1266=Invoice!$G$4),B1266+MOD(N(F1266),1)+ROW()/10000000,"")</f>
        <v/>
      </c>
      <c r="S1266">
        <f>IF(R1266="","",IF(D1266="","Other work",D1266)&amp;IF(AND(K1266&lt;&gt;"",E1266&lt;&gt;""),", "&amp;E1266,""))</f>
        <v/>
      </c>
      <c r="T1266">
        <f>IF(R1266="","",IF(COUNTIFS(R$6:R1265,"&gt;0",S$6:S1265,S1266,N$6:N1265,N1266)=0,R1266,""))</f>
        <v/>
      </c>
      <c r="U1266">
        <f>IF(B1266="","",IF(J1266&lt;&gt;"",0,M1266))</f>
        <v/>
      </c>
    </row>
    <row r="1267">
      <c r="A1267" s="1" t="n"/>
      <c r="B1267" s="16" t="n"/>
      <c r="C1267" s="17" t="n"/>
      <c r="D1267" s="18" t="n"/>
      <c r="E1267" s="18" t="n"/>
      <c r="F1267" s="19" t="n"/>
      <c r="G1267" s="19" t="n"/>
      <c r="H1267" s="20" t="n"/>
      <c r="I1267" s="21" t="n"/>
      <c r="J1267" s="22" t="n"/>
      <c r="K1267" s="23" t="n"/>
      <c r="L1267" s="18" t="n"/>
      <c r="M1267" s="24">
        <f>IF(B1267="","",IF(AND(F1267&lt;&gt;"",G1267&lt;&gt;""),MAX(0,ROUND(MOD(G1267-F1267,1)*24-N(H1267)/60,2)),N(I1267)))</f>
        <v/>
      </c>
      <c r="N1267" s="14">
        <f>IF(B1267="","",IF(K1267&lt;&gt;"",K1267,IF(N(IFERROR(INDEX(Projects!$D$6:$D$65,MATCH(D1267,Projects!$B$6:$B$65,0)),""))&gt;0,IFERROR(INDEX(Projects!$D$6:$D$65,MATCH(D1267,Projects!$B$6:$B$65,0)),""),IFERROR(INDEX(Clients!$G$6:$G$45,MATCH(C1267,Clients!$B$6:$B$45,0)),0))))</f>
        <v/>
      </c>
      <c r="O1267" s="14">
        <f>IF(B1267="","",IF(J1267&lt;&gt;"",0,ROUND(M1267*N1267,2)))</f>
        <v/>
      </c>
      <c r="P1267" s="15">
        <f>IF(OR(B1267="",J1267&lt;&gt;""),"",IF(L1267&lt;&gt;"",L1267,IF(COUNTIFS(Invoices!$C$6:$C$305,C1267,Invoices!$E$6:$E$305,"&lt;="&amp;B1267,Invoices!$F$6:$F$305,"&gt;="&amp;B1267)=1,INDEX(Invoices!$B$6:$B$305,SUMIFS(Invoices!$O$6:$O$305,Invoices!$C$6:$C$305,C1267,Invoices!$E$6:$E$305,"&lt;="&amp;B1267,Invoices!$F$6:$F$305,"&gt;="&amp;B1267)),IF(COUNTIFS(Invoices!$C$6:$C$305,C1267,Invoices!$E$6:$E$305,"&lt;="&amp;B1267,Invoices!$F$6:$F$305,"&gt;="&amp;B1267)&gt;1,"Two invoices",""))))</f>
        <v/>
      </c>
      <c r="Q1267" s="15">
        <f>IF(B1267="","",IF(J1267&lt;&gt;"","Not billable",IF(P1267="","To invoice",IF(P1267="Two invoices","Check dates",IF(ISNA(MATCH(P1267,Invoices!$B$6:$B$305,0)),"Check number",IF(INDEX(Invoices!$M$6:$M$305,MATCH(P1267,Invoices!$B$6:$B$305,0))="Paid","Paid",IF(INDEX(Invoices!$M$6:$M$305,MATCH(P1267,Invoices!$B$6:$B$305,0))="Draft","Draft","Invoiced")))))))</f>
        <v/>
      </c>
      <c r="R1267" s="1">
        <f>IF(AND(B1267&lt;&gt;"",P1267&lt;&gt;"",P1267=Invoice!$G$4),B1267+MOD(N(F1267),1)+ROW()/10000000,"")</f>
        <v/>
      </c>
      <c r="S1267">
        <f>IF(R1267="","",IF(D1267="","Other work",D1267)&amp;IF(AND(K1267&lt;&gt;"",E1267&lt;&gt;""),", "&amp;E1267,""))</f>
        <v/>
      </c>
      <c r="T1267">
        <f>IF(R1267="","",IF(COUNTIFS(R$6:R1266,"&gt;0",S$6:S1266,S1267,N$6:N1266,N1267)=0,R1267,""))</f>
        <v/>
      </c>
      <c r="U1267">
        <f>IF(B1267="","",IF(J1267&lt;&gt;"",0,M1267))</f>
        <v/>
      </c>
    </row>
    <row r="1268">
      <c r="A1268" s="1" t="n"/>
      <c r="B1268" s="16" t="n"/>
      <c r="C1268" s="17" t="n"/>
      <c r="D1268" s="18" t="n"/>
      <c r="E1268" s="18" t="n"/>
      <c r="F1268" s="19" t="n"/>
      <c r="G1268" s="19" t="n"/>
      <c r="H1268" s="20" t="n"/>
      <c r="I1268" s="21" t="n"/>
      <c r="J1268" s="22" t="n"/>
      <c r="K1268" s="23" t="n"/>
      <c r="L1268" s="18" t="n"/>
      <c r="M1268" s="24">
        <f>IF(B1268="","",IF(AND(F1268&lt;&gt;"",G1268&lt;&gt;""),MAX(0,ROUND(MOD(G1268-F1268,1)*24-N(H1268)/60,2)),N(I1268)))</f>
        <v/>
      </c>
      <c r="N1268" s="14">
        <f>IF(B1268="","",IF(K1268&lt;&gt;"",K1268,IF(N(IFERROR(INDEX(Projects!$D$6:$D$65,MATCH(D1268,Projects!$B$6:$B$65,0)),""))&gt;0,IFERROR(INDEX(Projects!$D$6:$D$65,MATCH(D1268,Projects!$B$6:$B$65,0)),""),IFERROR(INDEX(Clients!$G$6:$G$45,MATCH(C1268,Clients!$B$6:$B$45,0)),0))))</f>
        <v/>
      </c>
      <c r="O1268" s="14">
        <f>IF(B1268="","",IF(J1268&lt;&gt;"",0,ROUND(M1268*N1268,2)))</f>
        <v/>
      </c>
      <c r="P1268" s="15">
        <f>IF(OR(B1268="",J1268&lt;&gt;""),"",IF(L1268&lt;&gt;"",L1268,IF(COUNTIFS(Invoices!$C$6:$C$305,C1268,Invoices!$E$6:$E$305,"&lt;="&amp;B1268,Invoices!$F$6:$F$305,"&gt;="&amp;B1268)=1,INDEX(Invoices!$B$6:$B$305,SUMIFS(Invoices!$O$6:$O$305,Invoices!$C$6:$C$305,C1268,Invoices!$E$6:$E$305,"&lt;="&amp;B1268,Invoices!$F$6:$F$305,"&gt;="&amp;B1268)),IF(COUNTIFS(Invoices!$C$6:$C$305,C1268,Invoices!$E$6:$E$305,"&lt;="&amp;B1268,Invoices!$F$6:$F$305,"&gt;="&amp;B1268)&gt;1,"Two invoices",""))))</f>
        <v/>
      </c>
      <c r="Q1268" s="15">
        <f>IF(B1268="","",IF(J1268&lt;&gt;"","Not billable",IF(P1268="","To invoice",IF(P1268="Two invoices","Check dates",IF(ISNA(MATCH(P1268,Invoices!$B$6:$B$305,0)),"Check number",IF(INDEX(Invoices!$M$6:$M$305,MATCH(P1268,Invoices!$B$6:$B$305,0))="Paid","Paid",IF(INDEX(Invoices!$M$6:$M$305,MATCH(P1268,Invoices!$B$6:$B$305,0))="Draft","Draft","Invoiced")))))))</f>
        <v/>
      </c>
      <c r="R1268" s="1">
        <f>IF(AND(B1268&lt;&gt;"",P1268&lt;&gt;"",P1268=Invoice!$G$4),B1268+MOD(N(F1268),1)+ROW()/10000000,"")</f>
        <v/>
      </c>
      <c r="S1268">
        <f>IF(R1268="","",IF(D1268="","Other work",D1268)&amp;IF(AND(K1268&lt;&gt;"",E1268&lt;&gt;""),", "&amp;E1268,""))</f>
        <v/>
      </c>
      <c r="T1268">
        <f>IF(R1268="","",IF(COUNTIFS(R$6:R1267,"&gt;0",S$6:S1267,S1268,N$6:N1267,N1268)=0,R1268,""))</f>
        <v/>
      </c>
      <c r="U1268">
        <f>IF(B1268="","",IF(J1268&lt;&gt;"",0,M1268))</f>
        <v/>
      </c>
    </row>
    <row r="1269">
      <c r="A1269" s="1" t="n"/>
      <c r="B1269" s="16" t="n"/>
      <c r="C1269" s="17" t="n"/>
      <c r="D1269" s="18" t="n"/>
      <c r="E1269" s="18" t="n"/>
      <c r="F1269" s="19" t="n"/>
      <c r="G1269" s="19" t="n"/>
      <c r="H1269" s="20" t="n"/>
      <c r="I1269" s="21" t="n"/>
      <c r="J1269" s="22" t="n"/>
      <c r="K1269" s="23" t="n"/>
      <c r="L1269" s="18" t="n"/>
      <c r="M1269" s="24">
        <f>IF(B1269="","",IF(AND(F1269&lt;&gt;"",G1269&lt;&gt;""),MAX(0,ROUND(MOD(G1269-F1269,1)*24-N(H1269)/60,2)),N(I1269)))</f>
        <v/>
      </c>
      <c r="N1269" s="14">
        <f>IF(B1269="","",IF(K1269&lt;&gt;"",K1269,IF(N(IFERROR(INDEX(Projects!$D$6:$D$65,MATCH(D1269,Projects!$B$6:$B$65,0)),""))&gt;0,IFERROR(INDEX(Projects!$D$6:$D$65,MATCH(D1269,Projects!$B$6:$B$65,0)),""),IFERROR(INDEX(Clients!$G$6:$G$45,MATCH(C1269,Clients!$B$6:$B$45,0)),0))))</f>
        <v/>
      </c>
      <c r="O1269" s="14">
        <f>IF(B1269="","",IF(J1269&lt;&gt;"",0,ROUND(M1269*N1269,2)))</f>
        <v/>
      </c>
      <c r="P1269" s="15">
        <f>IF(OR(B1269="",J1269&lt;&gt;""),"",IF(L1269&lt;&gt;"",L1269,IF(COUNTIFS(Invoices!$C$6:$C$305,C1269,Invoices!$E$6:$E$305,"&lt;="&amp;B1269,Invoices!$F$6:$F$305,"&gt;="&amp;B1269)=1,INDEX(Invoices!$B$6:$B$305,SUMIFS(Invoices!$O$6:$O$305,Invoices!$C$6:$C$305,C1269,Invoices!$E$6:$E$305,"&lt;="&amp;B1269,Invoices!$F$6:$F$305,"&gt;="&amp;B1269)),IF(COUNTIFS(Invoices!$C$6:$C$305,C1269,Invoices!$E$6:$E$305,"&lt;="&amp;B1269,Invoices!$F$6:$F$305,"&gt;="&amp;B1269)&gt;1,"Two invoices",""))))</f>
        <v/>
      </c>
      <c r="Q1269" s="15">
        <f>IF(B1269="","",IF(J1269&lt;&gt;"","Not billable",IF(P1269="","To invoice",IF(P1269="Two invoices","Check dates",IF(ISNA(MATCH(P1269,Invoices!$B$6:$B$305,0)),"Check number",IF(INDEX(Invoices!$M$6:$M$305,MATCH(P1269,Invoices!$B$6:$B$305,0))="Paid","Paid",IF(INDEX(Invoices!$M$6:$M$305,MATCH(P1269,Invoices!$B$6:$B$305,0))="Draft","Draft","Invoiced")))))))</f>
        <v/>
      </c>
      <c r="R1269" s="1">
        <f>IF(AND(B1269&lt;&gt;"",P1269&lt;&gt;"",P1269=Invoice!$G$4),B1269+MOD(N(F1269),1)+ROW()/10000000,"")</f>
        <v/>
      </c>
      <c r="S1269">
        <f>IF(R1269="","",IF(D1269="","Other work",D1269)&amp;IF(AND(K1269&lt;&gt;"",E1269&lt;&gt;""),", "&amp;E1269,""))</f>
        <v/>
      </c>
      <c r="T1269">
        <f>IF(R1269="","",IF(COUNTIFS(R$6:R1268,"&gt;0",S$6:S1268,S1269,N$6:N1268,N1269)=0,R1269,""))</f>
        <v/>
      </c>
      <c r="U1269">
        <f>IF(B1269="","",IF(J1269&lt;&gt;"",0,M1269))</f>
        <v/>
      </c>
    </row>
    <row r="1270">
      <c r="A1270" s="1" t="n"/>
      <c r="B1270" s="16" t="n"/>
      <c r="C1270" s="17" t="n"/>
      <c r="D1270" s="18" t="n"/>
      <c r="E1270" s="18" t="n"/>
      <c r="F1270" s="19" t="n"/>
      <c r="G1270" s="19" t="n"/>
      <c r="H1270" s="20" t="n"/>
      <c r="I1270" s="21" t="n"/>
      <c r="J1270" s="22" t="n"/>
      <c r="K1270" s="23" t="n"/>
      <c r="L1270" s="18" t="n"/>
      <c r="M1270" s="24">
        <f>IF(B1270="","",IF(AND(F1270&lt;&gt;"",G1270&lt;&gt;""),MAX(0,ROUND(MOD(G1270-F1270,1)*24-N(H1270)/60,2)),N(I1270)))</f>
        <v/>
      </c>
      <c r="N1270" s="14">
        <f>IF(B1270="","",IF(K1270&lt;&gt;"",K1270,IF(N(IFERROR(INDEX(Projects!$D$6:$D$65,MATCH(D1270,Projects!$B$6:$B$65,0)),""))&gt;0,IFERROR(INDEX(Projects!$D$6:$D$65,MATCH(D1270,Projects!$B$6:$B$65,0)),""),IFERROR(INDEX(Clients!$G$6:$G$45,MATCH(C1270,Clients!$B$6:$B$45,0)),0))))</f>
        <v/>
      </c>
      <c r="O1270" s="14">
        <f>IF(B1270="","",IF(J1270&lt;&gt;"",0,ROUND(M1270*N1270,2)))</f>
        <v/>
      </c>
      <c r="P1270" s="15">
        <f>IF(OR(B1270="",J1270&lt;&gt;""),"",IF(L1270&lt;&gt;"",L1270,IF(COUNTIFS(Invoices!$C$6:$C$305,C1270,Invoices!$E$6:$E$305,"&lt;="&amp;B1270,Invoices!$F$6:$F$305,"&gt;="&amp;B1270)=1,INDEX(Invoices!$B$6:$B$305,SUMIFS(Invoices!$O$6:$O$305,Invoices!$C$6:$C$305,C1270,Invoices!$E$6:$E$305,"&lt;="&amp;B1270,Invoices!$F$6:$F$305,"&gt;="&amp;B1270)),IF(COUNTIFS(Invoices!$C$6:$C$305,C1270,Invoices!$E$6:$E$305,"&lt;="&amp;B1270,Invoices!$F$6:$F$305,"&gt;="&amp;B1270)&gt;1,"Two invoices",""))))</f>
        <v/>
      </c>
      <c r="Q1270" s="15">
        <f>IF(B1270="","",IF(J1270&lt;&gt;"","Not billable",IF(P1270="","To invoice",IF(P1270="Two invoices","Check dates",IF(ISNA(MATCH(P1270,Invoices!$B$6:$B$305,0)),"Check number",IF(INDEX(Invoices!$M$6:$M$305,MATCH(P1270,Invoices!$B$6:$B$305,0))="Paid","Paid",IF(INDEX(Invoices!$M$6:$M$305,MATCH(P1270,Invoices!$B$6:$B$305,0))="Draft","Draft","Invoiced")))))))</f>
        <v/>
      </c>
      <c r="R1270" s="1">
        <f>IF(AND(B1270&lt;&gt;"",P1270&lt;&gt;"",P1270=Invoice!$G$4),B1270+MOD(N(F1270),1)+ROW()/10000000,"")</f>
        <v/>
      </c>
      <c r="S1270">
        <f>IF(R1270="","",IF(D1270="","Other work",D1270)&amp;IF(AND(K1270&lt;&gt;"",E1270&lt;&gt;""),", "&amp;E1270,""))</f>
        <v/>
      </c>
      <c r="T1270">
        <f>IF(R1270="","",IF(COUNTIFS(R$6:R1269,"&gt;0",S$6:S1269,S1270,N$6:N1269,N1270)=0,R1270,""))</f>
        <v/>
      </c>
      <c r="U1270">
        <f>IF(B1270="","",IF(J1270&lt;&gt;"",0,M1270))</f>
        <v/>
      </c>
    </row>
    <row r="1271">
      <c r="A1271" s="1" t="n"/>
      <c r="B1271" s="16" t="n"/>
      <c r="C1271" s="17" t="n"/>
      <c r="D1271" s="18" t="n"/>
      <c r="E1271" s="18" t="n"/>
      <c r="F1271" s="19" t="n"/>
      <c r="G1271" s="19" t="n"/>
      <c r="H1271" s="20" t="n"/>
      <c r="I1271" s="21" t="n"/>
      <c r="J1271" s="22" t="n"/>
      <c r="K1271" s="23" t="n"/>
      <c r="L1271" s="18" t="n"/>
      <c r="M1271" s="24">
        <f>IF(B1271="","",IF(AND(F1271&lt;&gt;"",G1271&lt;&gt;""),MAX(0,ROUND(MOD(G1271-F1271,1)*24-N(H1271)/60,2)),N(I1271)))</f>
        <v/>
      </c>
      <c r="N1271" s="14">
        <f>IF(B1271="","",IF(K1271&lt;&gt;"",K1271,IF(N(IFERROR(INDEX(Projects!$D$6:$D$65,MATCH(D1271,Projects!$B$6:$B$65,0)),""))&gt;0,IFERROR(INDEX(Projects!$D$6:$D$65,MATCH(D1271,Projects!$B$6:$B$65,0)),""),IFERROR(INDEX(Clients!$G$6:$G$45,MATCH(C1271,Clients!$B$6:$B$45,0)),0))))</f>
        <v/>
      </c>
      <c r="O1271" s="14">
        <f>IF(B1271="","",IF(J1271&lt;&gt;"",0,ROUND(M1271*N1271,2)))</f>
        <v/>
      </c>
      <c r="P1271" s="15">
        <f>IF(OR(B1271="",J1271&lt;&gt;""),"",IF(L1271&lt;&gt;"",L1271,IF(COUNTIFS(Invoices!$C$6:$C$305,C1271,Invoices!$E$6:$E$305,"&lt;="&amp;B1271,Invoices!$F$6:$F$305,"&gt;="&amp;B1271)=1,INDEX(Invoices!$B$6:$B$305,SUMIFS(Invoices!$O$6:$O$305,Invoices!$C$6:$C$305,C1271,Invoices!$E$6:$E$305,"&lt;="&amp;B1271,Invoices!$F$6:$F$305,"&gt;="&amp;B1271)),IF(COUNTIFS(Invoices!$C$6:$C$305,C1271,Invoices!$E$6:$E$305,"&lt;="&amp;B1271,Invoices!$F$6:$F$305,"&gt;="&amp;B1271)&gt;1,"Two invoices",""))))</f>
        <v/>
      </c>
      <c r="Q1271" s="15">
        <f>IF(B1271="","",IF(J1271&lt;&gt;"","Not billable",IF(P1271="","To invoice",IF(P1271="Two invoices","Check dates",IF(ISNA(MATCH(P1271,Invoices!$B$6:$B$305,0)),"Check number",IF(INDEX(Invoices!$M$6:$M$305,MATCH(P1271,Invoices!$B$6:$B$305,0))="Paid","Paid",IF(INDEX(Invoices!$M$6:$M$305,MATCH(P1271,Invoices!$B$6:$B$305,0))="Draft","Draft","Invoiced")))))))</f>
        <v/>
      </c>
      <c r="R1271" s="1">
        <f>IF(AND(B1271&lt;&gt;"",P1271&lt;&gt;"",P1271=Invoice!$G$4),B1271+MOD(N(F1271),1)+ROW()/10000000,"")</f>
        <v/>
      </c>
      <c r="S1271">
        <f>IF(R1271="","",IF(D1271="","Other work",D1271)&amp;IF(AND(K1271&lt;&gt;"",E1271&lt;&gt;""),", "&amp;E1271,""))</f>
        <v/>
      </c>
      <c r="T1271">
        <f>IF(R1271="","",IF(COUNTIFS(R$6:R1270,"&gt;0",S$6:S1270,S1271,N$6:N1270,N1271)=0,R1271,""))</f>
        <v/>
      </c>
      <c r="U1271">
        <f>IF(B1271="","",IF(J1271&lt;&gt;"",0,M1271))</f>
        <v/>
      </c>
    </row>
    <row r="1272">
      <c r="A1272" s="1" t="n"/>
      <c r="B1272" s="16" t="n"/>
      <c r="C1272" s="17" t="n"/>
      <c r="D1272" s="18" t="n"/>
      <c r="E1272" s="18" t="n"/>
      <c r="F1272" s="19" t="n"/>
      <c r="G1272" s="19" t="n"/>
      <c r="H1272" s="20" t="n"/>
      <c r="I1272" s="21" t="n"/>
      <c r="J1272" s="22" t="n"/>
      <c r="K1272" s="23" t="n"/>
      <c r="L1272" s="18" t="n"/>
      <c r="M1272" s="24">
        <f>IF(B1272="","",IF(AND(F1272&lt;&gt;"",G1272&lt;&gt;""),MAX(0,ROUND(MOD(G1272-F1272,1)*24-N(H1272)/60,2)),N(I1272)))</f>
        <v/>
      </c>
      <c r="N1272" s="14">
        <f>IF(B1272="","",IF(K1272&lt;&gt;"",K1272,IF(N(IFERROR(INDEX(Projects!$D$6:$D$65,MATCH(D1272,Projects!$B$6:$B$65,0)),""))&gt;0,IFERROR(INDEX(Projects!$D$6:$D$65,MATCH(D1272,Projects!$B$6:$B$65,0)),""),IFERROR(INDEX(Clients!$G$6:$G$45,MATCH(C1272,Clients!$B$6:$B$45,0)),0))))</f>
        <v/>
      </c>
      <c r="O1272" s="14">
        <f>IF(B1272="","",IF(J1272&lt;&gt;"",0,ROUND(M1272*N1272,2)))</f>
        <v/>
      </c>
      <c r="P1272" s="15">
        <f>IF(OR(B1272="",J1272&lt;&gt;""),"",IF(L1272&lt;&gt;"",L1272,IF(COUNTIFS(Invoices!$C$6:$C$305,C1272,Invoices!$E$6:$E$305,"&lt;="&amp;B1272,Invoices!$F$6:$F$305,"&gt;="&amp;B1272)=1,INDEX(Invoices!$B$6:$B$305,SUMIFS(Invoices!$O$6:$O$305,Invoices!$C$6:$C$305,C1272,Invoices!$E$6:$E$305,"&lt;="&amp;B1272,Invoices!$F$6:$F$305,"&gt;="&amp;B1272)),IF(COUNTIFS(Invoices!$C$6:$C$305,C1272,Invoices!$E$6:$E$305,"&lt;="&amp;B1272,Invoices!$F$6:$F$305,"&gt;="&amp;B1272)&gt;1,"Two invoices",""))))</f>
        <v/>
      </c>
      <c r="Q1272" s="15">
        <f>IF(B1272="","",IF(J1272&lt;&gt;"","Not billable",IF(P1272="","To invoice",IF(P1272="Two invoices","Check dates",IF(ISNA(MATCH(P1272,Invoices!$B$6:$B$305,0)),"Check number",IF(INDEX(Invoices!$M$6:$M$305,MATCH(P1272,Invoices!$B$6:$B$305,0))="Paid","Paid",IF(INDEX(Invoices!$M$6:$M$305,MATCH(P1272,Invoices!$B$6:$B$305,0))="Draft","Draft","Invoiced")))))))</f>
        <v/>
      </c>
      <c r="R1272" s="1">
        <f>IF(AND(B1272&lt;&gt;"",P1272&lt;&gt;"",P1272=Invoice!$G$4),B1272+MOD(N(F1272),1)+ROW()/10000000,"")</f>
        <v/>
      </c>
      <c r="S1272">
        <f>IF(R1272="","",IF(D1272="","Other work",D1272)&amp;IF(AND(K1272&lt;&gt;"",E1272&lt;&gt;""),", "&amp;E1272,""))</f>
        <v/>
      </c>
      <c r="T1272">
        <f>IF(R1272="","",IF(COUNTIFS(R$6:R1271,"&gt;0",S$6:S1271,S1272,N$6:N1271,N1272)=0,R1272,""))</f>
        <v/>
      </c>
      <c r="U1272">
        <f>IF(B1272="","",IF(J1272&lt;&gt;"",0,M1272))</f>
        <v/>
      </c>
    </row>
    <row r="1273">
      <c r="A1273" s="1" t="n"/>
      <c r="B1273" s="16" t="n"/>
      <c r="C1273" s="17" t="n"/>
      <c r="D1273" s="18" t="n"/>
      <c r="E1273" s="18" t="n"/>
      <c r="F1273" s="19" t="n"/>
      <c r="G1273" s="19" t="n"/>
      <c r="H1273" s="20" t="n"/>
      <c r="I1273" s="21" t="n"/>
      <c r="J1273" s="22" t="n"/>
      <c r="K1273" s="23" t="n"/>
      <c r="L1273" s="18" t="n"/>
      <c r="M1273" s="24">
        <f>IF(B1273="","",IF(AND(F1273&lt;&gt;"",G1273&lt;&gt;""),MAX(0,ROUND(MOD(G1273-F1273,1)*24-N(H1273)/60,2)),N(I1273)))</f>
        <v/>
      </c>
      <c r="N1273" s="14">
        <f>IF(B1273="","",IF(K1273&lt;&gt;"",K1273,IF(N(IFERROR(INDEX(Projects!$D$6:$D$65,MATCH(D1273,Projects!$B$6:$B$65,0)),""))&gt;0,IFERROR(INDEX(Projects!$D$6:$D$65,MATCH(D1273,Projects!$B$6:$B$65,0)),""),IFERROR(INDEX(Clients!$G$6:$G$45,MATCH(C1273,Clients!$B$6:$B$45,0)),0))))</f>
        <v/>
      </c>
      <c r="O1273" s="14">
        <f>IF(B1273="","",IF(J1273&lt;&gt;"",0,ROUND(M1273*N1273,2)))</f>
        <v/>
      </c>
      <c r="P1273" s="15">
        <f>IF(OR(B1273="",J1273&lt;&gt;""),"",IF(L1273&lt;&gt;"",L1273,IF(COUNTIFS(Invoices!$C$6:$C$305,C1273,Invoices!$E$6:$E$305,"&lt;="&amp;B1273,Invoices!$F$6:$F$305,"&gt;="&amp;B1273)=1,INDEX(Invoices!$B$6:$B$305,SUMIFS(Invoices!$O$6:$O$305,Invoices!$C$6:$C$305,C1273,Invoices!$E$6:$E$305,"&lt;="&amp;B1273,Invoices!$F$6:$F$305,"&gt;="&amp;B1273)),IF(COUNTIFS(Invoices!$C$6:$C$305,C1273,Invoices!$E$6:$E$305,"&lt;="&amp;B1273,Invoices!$F$6:$F$305,"&gt;="&amp;B1273)&gt;1,"Two invoices",""))))</f>
        <v/>
      </c>
      <c r="Q1273" s="15">
        <f>IF(B1273="","",IF(J1273&lt;&gt;"","Not billable",IF(P1273="","To invoice",IF(P1273="Two invoices","Check dates",IF(ISNA(MATCH(P1273,Invoices!$B$6:$B$305,0)),"Check number",IF(INDEX(Invoices!$M$6:$M$305,MATCH(P1273,Invoices!$B$6:$B$305,0))="Paid","Paid",IF(INDEX(Invoices!$M$6:$M$305,MATCH(P1273,Invoices!$B$6:$B$305,0))="Draft","Draft","Invoiced")))))))</f>
        <v/>
      </c>
      <c r="R1273" s="1">
        <f>IF(AND(B1273&lt;&gt;"",P1273&lt;&gt;"",P1273=Invoice!$G$4),B1273+MOD(N(F1273),1)+ROW()/10000000,"")</f>
        <v/>
      </c>
      <c r="S1273">
        <f>IF(R1273="","",IF(D1273="","Other work",D1273)&amp;IF(AND(K1273&lt;&gt;"",E1273&lt;&gt;""),", "&amp;E1273,""))</f>
        <v/>
      </c>
      <c r="T1273">
        <f>IF(R1273="","",IF(COUNTIFS(R$6:R1272,"&gt;0",S$6:S1272,S1273,N$6:N1272,N1273)=0,R1273,""))</f>
        <v/>
      </c>
      <c r="U1273">
        <f>IF(B1273="","",IF(J1273&lt;&gt;"",0,M1273))</f>
        <v/>
      </c>
    </row>
    <row r="1274">
      <c r="A1274" s="1" t="n"/>
      <c r="B1274" s="16" t="n"/>
      <c r="C1274" s="17" t="n"/>
      <c r="D1274" s="18" t="n"/>
      <c r="E1274" s="18" t="n"/>
      <c r="F1274" s="19" t="n"/>
      <c r="G1274" s="19" t="n"/>
      <c r="H1274" s="20" t="n"/>
      <c r="I1274" s="21" t="n"/>
      <c r="J1274" s="22" t="n"/>
      <c r="K1274" s="23" t="n"/>
      <c r="L1274" s="18" t="n"/>
      <c r="M1274" s="24">
        <f>IF(B1274="","",IF(AND(F1274&lt;&gt;"",G1274&lt;&gt;""),MAX(0,ROUND(MOD(G1274-F1274,1)*24-N(H1274)/60,2)),N(I1274)))</f>
        <v/>
      </c>
      <c r="N1274" s="14">
        <f>IF(B1274="","",IF(K1274&lt;&gt;"",K1274,IF(N(IFERROR(INDEX(Projects!$D$6:$D$65,MATCH(D1274,Projects!$B$6:$B$65,0)),""))&gt;0,IFERROR(INDEX(Projects!$D$6:$D$65,MATCH(D1274,Projects!$B$6:$B$65,0)),""),IFERROR(INDEX(Clients!$G$6:$G$45,MATCH(C1274,Clients!$B$6:$B$45,0)),0))))</f>
        <v/>
      </c>
      <c r="O1274" s="14">
        <f>IF(B1274="","",IF(J1274&lt;&gt;"",0,ROUND(M1274*N1274,2)))</f>
        <v/>
      </c>
      <c r="P1274" s="15">
        <f>IF(OR(B1274="",J1274&lt;&gt;""),"",IF(L1274&lt;&gt;"",L1274,IF(COUNTIFS(Invoices!$C$6:$C$305,C1274,Invoices!$E$6:$E$305,"&lt;="&amp;B1274,Invoices!$F$6:$F$305,"&gt;="&amp;B1274)=1,INDEX(Invoices!$B$6:$B$305,SUMIFS(Invoices!$O$6:$O$305,Invoices!$C$6:$C$305,C1274,Invoices!$E$6:$E$305,"&lt;="&amp;B1274,Invoices!$F$6:$F$305,"&gt;="&amp;B1274)),IF(COUNTIFS(Invoices!$C$6:$C$305,C1274,Invoices!$E$6:$E$305,"&lt;="&amp;B1274,Invoices!$F$6:$F$305,"&gt;="&amp;B1274)&gt;1,"Two invoices",""))))</f>
        <v/>
      </c>
      <c r="Q1274" s="15">
        <f>IF(B1274="","",IF(J1274&lt;&gt;"","Not billable",IF(P1274="","To invoice",IF(P1274="Two invoices","Check dates",IF(ISNA(MATCH(P1274,Invoices!$B$6:$B$305,0)),"Check number",IF(INDEX(Invoices!$M$6:$M$305,MATCH(P1274,Invoices!$B$6:$B$305,0))="Paid","Paid",IF(INDEX(Invoices!$M$6:$M$305,MATCH(P1274,Invoices!$B$6:$B$305,0))="Draft","Draft","Invoiced")))))))</f>
        <v/>
      </c>
      <c r="R1274" s="1">
        <f>IF(AND(B1274&lt;&gt;"",P1274&lt;&gt;"",P1274=Invoice!$G$4),B1274+MOD(N(F1274),1)+ROW()/10000000,"")</f>
        <v/>
      </c>
      <c r="S1274">
        <f>IF(R1274="","",IF(D1274="","Other work",D1274)&amp;IF(AND(K1274&lt;&gt;"",E1274&lt;&gt;""),", "&amp;E1274,""))</f>
        <v/>
      </c>
      <c r="T1274">
        <f>IF(R1274="","",IF(COUNTIFS(R$6:R1273,"&gt;0",S$6:S1273,S1274,N$6:N1273,N1274)=0,R1274,""))</f>
        <v/>
      </c>
      <c r="U1274">
        <f>IF(B1274="","",IF(J1274&lt;&gt;"",0,M1274))</f>
        <v/>
      </c>
    </row>
    <row r="1275">
      <c r="A1275" s="1" t="n"/>
      <c r="B1275" s="16" t="n"/>
      <c r="C1275" s="17" t="n"/>
      <c r="D1275" s="18" t="n"/>
      <c r="E1275" s="18" t="n"/>
      <c r="F1275" s="19" t="n"/>
      <c r="G1275" s="19" t="n"/>
      <c r="H1275" s="20" t="n"/>
      <c r="I1275" s="21" t="n"/>
      <c r="J1275" s="22" t="n"/>
      <c r="K1275" s="23" t="n"/>
      <c r="L1275" s="18" t="n"/>
      <c r="M1275" s="24">
        <f>IF(B1275="","",IF(AND(F1275&lt;&gt;"",G1275&lt;&gt;""),MAX(0,ROUND(MOD(G1275-F1275,1)*24-N(H1275)/60,2)),N(I1275)))</f>
        <v/>
      </c>
      <c r="N1275" s="14">
        <f>IF(B1275="","",IF(K1275&lt;&gt;"",K1275,IF(N(IFERROR(INDEX(Projects!$D$6:$D$65,MATCH(D1275,Projects!$B$6:$B$65,0)),""))&gt;0,IFERROR(INDEX(Projects!$D$6:$D$65,MATCH(D1275,Projects!$B$6:$B$65,0)),""),IFERROR(INDEX(Clients!$G$6:$G$45,MATCH(C1275,Clients!$B$6:$B$45,0)),0))))</f>
        <v/>
      </c>
      <c r="O1275" s="14">
        <f>IF(B1275="","",IF(J1275&lt;&gt;"",0,ROUND(M1275*N1275,2)))</f>
        <v/>
      </c>
      <c r="P1275" s="15">
        <f>IF(OR(B1275="",J1275&lt;&gt;""),"",IF(L1275&lt;&gt;"",L1275,IF(COUNTIFS(Invoices!$C$6:$C$305,C1275,Invoices!$E$6:$E$305,"&lt;="&amp;B1275,Invoices!$F$6:$F$305,"&gt;="&amp;B1275)=1,INDEX(Invoices!$B$6:$B$305,SUMIFS(Invoices!$O$6:$O$305,Invoices!$C$6:$C$305,C1275,Invoices!$E$6:$E$305,"&lt;="&amp;B1275,Invoices!$F$6:$F$305,"&gt;="&amp;B1275)),IF(COUNTIFS(Invoices!$C$6:$C$305,C1275,Invoices!$E$6:$E$305,"&lt;="&amp;B1275,Invoices!$F$6:$F$305,"&gt;="&amp;B1275)&gt;1,"Two invoices",""))))</f>
        <v/>
      </c>
      <c r="Q1275" s="15">
        <f>IF(B1275="","",IF(J1275&lt;&gt;"","Not billable",IF(P1275="","To invoice",IF(P1275="Two invoices","Check dates",IF(ISNA(MATCH(P1275,Invoices!$B$6:$B$305,0)),"Check number",IF(INDEX(Invoices!$M$6:$M$305,MATCH(P1275,Invoices!$B$6:$B$305,0))="Paid","Paid",IF(INDEX(Invoices!$M$6:$M$305,MATCH(P1275,Invoices!$B$6:$B$305,0))="Draft","Draft","Invoiced")))))))</f>
        <v/>
      </c>
      <c r="R1275" s="1">
        <f>IF(AND(B1275&lt;&gt;"",P1275&lt;&gt;"",P1275=Invoice!$G$4),B1275+MOD(N(F1275),1)+ROW()/10000000,"")</f>
        <v/>
      </c>
      <c r="S1275">
        <f>IF(R1275="","",IF(D1275="","Other work",D1275)&amp;IF(AND(K1275&lt;&gt;"",E1275&lt;&gt;""),", "&amp;E1275,""))</f>
        <v/>
      </c>
      <c r="T1275">
        <f>IF(R1275="","",IF(COUNTIFS(R$6:R1274,"&gt;0",S$6:S1274,S1275,N$6:N1274,N1275)=0,R1275,""))</f>
        <v/>
      </c>
      <c r="U1275">
        <f>IF(B1275="","",IF(J1275&lt;&gt;"",0,M1275))</f>
        <v/>
      </c>
    </row>
    <row r="1276">
      <c r="A1276" s="1" t="n"/>
      <c r="B1276" s="16" t="n"/>
      <c r="C1276" s="17" t="n"/>
      <c r="D1276" s="18" t="n"/>
      <c r="E1276" s="18" t="n"/>
      <c r="F1276" s="19" t="n"/>
      <c r="G1276" s="19" t="n"/>
      <c r="H1276" s="20" t="n"/>
      <c r="I1276" s="21" t="n"/>
      <c r="J1276" s="22" t="n"/>
      <c r="K1276" s="23" t="n"/>
      <c r="L1276" s="18" t="n"/>
      <c r="M1276" s="24">
        <f>IF(B1276="","",IF(AND(F1276&lt;&gt;"",G1276&lt;&gt;""),MAX(0,ROUND(MOD(G1276-F1276,1)*24-N(H1276)/60,2)),N(I1276)))</f>
        <v/>
      </c>
      <c r="N1276" s="14">
        <f>IF(B1276="","",IF(K1276&lt;&gt;"",K1276,IF(N(IFERROR(INDEX(Projects!$D$6:$D$65,MATCH(D1276,Projects!$B$6:$B$65,0)),""))&gt;0,IFERROR(INDEX(Projects!$D$6:$D$65,MATCH(D1276,Projects!$B$6:$B$65,0)),""),IFERROR(INDEX(Clients!$G$6:$G$45,MATCH(C1276,Clients!$B$6:$B$45,0)),0))))</f>
        <v/>
      </c>
      <c r="O1276" s="14">
        <f>IF(B1276="","",IF(J1276&lt;&gt;"",0,ROUND(M1276*N1276,2)))</f>
        <v/>
      </c>
      <c r="P1276" s="15">
        <f>IF(OR(B1276="",J1276&lt;&gt;""),"",IF(L1276&lt;&gt;"",L1276,IF(COUNTIFS(Invoices!$C$6:$C$305,C1276,Invoices!$E$6:$E$305,"&lt;="&amp;B1276,Invoices!$F$6:$F$305,"&gt;="&amp;B1276)=1,INDEX(Invoices!$B$6:$B$305,SUMIFS(Invoices!$O$6:$O$305,Invoices!$C$6:$C$305,C1276,Invoices!$E$6:$E$305,"&lt;="&amp;B1276,Invoices!$F$6:$F$305,"&gt;="&amp;B1276)),IF(COUNTIFS(Invoices!$C$6:$C$305,C1276,Invoices!$E$6:$E$305,"&lt;="&amp;B1276,Invoices!$F$6:$F$305,"&gt;="&amp;B1276)&gt;1,"Two invoices",""))))</f>
        <v/>
      </c>
      <c r="Q1276" s="15">
        <f>IF(B1276="","",IF(J1276&lt;&gt;"","Not billable",IF(P1276="","To invoice",IF(P1276="Two invoices","Check dates",IF(ISNA(MATCH(P1276,Invoices!$B$6:$B$305,0)),"Check number",IF(INDEX(Invoices!$M$6:$M$305,MATCH(P1276,Invoices!$B$6:$B$305,0))="Paid","Paid",IF(INDEX(Invoices!$M$6:$M$305,MATCH(P1276,Invoices!$B$6:$B$305,0))="Draft","Draft","Invoiced")))))))</f>
        <v/>
      </c>
      <c r="R1276" s="1">
        <f>IF(AND(B1276&lt;&gt;"",P1276&lt;&gt;"",P1276=Invoice!$G$4),B1276+MOD(N(F1276),1)+ROW()/10000000,"")</f>
        <v/>
      </c>
      <c r="S1276">
        <f>IF(R1276="","",IF(D1276="","Other work",D1276)&amp;IF(AND(K1276&lt;&gt;"",E1276&lt;&gt;""),", "&amp;E1276,""))</f>
        <v/>
      </c>
      <c r="T1276">
        <f>IF(R1276="","",IF(COUNTIFS(R$6:R1275,"&gt;0",S$6:S1275,S1276,N$6:N1275,N1276)=0,R1276,""))</f>
        <v/>
      </c>
      <c r="U1276">
        <f>IF(B1276="","",IF(J1276&lt;&gt;"",0,M1276))</f>
        <v/>
      </c>
    </row>
    <row r="1277">
      <c r="A1277" s="1" t="n"/>
      <c r="B1277" s="16" t="n"/>
      <c r="C1277" s="17" t="n"/>
      <c r="D1277" s="18" t="n"/>
      <c r="E1277" s="18" t="n"/>
      <c r="F1277" s="19" t="n"/>
      <c r="G1277" s="19" t="n"/>
      <c r="H1277" s="20" t="n"/>
      <c r="I1277" s="21" t="n"/>
      <c r="J1277" s="22" t="n"/>
      <c r="K1277" s="23" t="n"/>
      <c r="L1277" s="18" t="n"/>
      <c r="M1277" s="24">
        <f>IF(B1277="","",IF(AND(F1277&lt;&gt;"",G1277&lt;&gt;""),MAX(0,ROUND(MOD(G1277-F1277,1)*24-N(H1277)/60,2)),N(I1277)))</f>
        <v/>
      </c>
      <c r="N1277" s="14">
        <f>IF(B1277="","",IF(K1277&lt;&gt;"",K1277,IF(N(IFERROR(INDEX(Projects!$D$6:$D$65,MATCH(D1277,Projects!$B$6:$B$65,0)),""))&gt;0,IFERROR(INDEX(Projects!$D$6:$D$65,MATCH(D1277,Projects!$B$6:$B$65,0)),""),IFERROR(INDEX(Clients!$G$6:$G$45,MATCH(C1277,Clients!$B$6:$B$45,0)),0))))</f>
        <v/>
      </c>
      <c r="O1277" s="14">
        <f>IF(B1277="","",IF(J1277&lt;&gt;"",0,ROUND(M1277*N1277,2)))</f>
        <v/>
      </c>
      <c r="P1277" s="15">
        <f>IF(OR(B1277="",J1277&lt;&gt;""),"",IF(L1277&lt;&gt;"",L1277,IF(COUNTIFS(Invoices!$C$6:$C$305,C1277,Invoices!$E$6:$E$305,"&lt;="&amp;B1277,Invoices!$F$6:$F$305,"&gt;="&amp;B1277)=1,INDEX(Invoices!$B$6:$B$305,SUMIFS(Invoices!$O$6:$O$305,Invoices!$C$6:$C$305,C1277,Invoices!$E$6:$E$305,"&lt;="&amp;B1277,Invoices!$F$6:$F$305,"&gt;="&amp;B1277)),IF(COUNTIFS(Invoices!$C$6:$C$305,C1277,Invoices!$E$6:$E$305,"&lt;="&amp;B1277,Invoices!$F$6:$F$305,"&gt;="&amp;B1277)&gt;1,"Two invoices",""))))</f>
        <v/>
      </c>
      <c r="Q1277" s="15">
        <f>IF(B1277="","",IF(J1277&lt;&gt;"","Not billable",IF(P1277="","To invoice",IF(P1277="Two invoices","Check dates",IF(ISNA(MATCH(P1277,Invoices!$B$6:$B$305,0)),"Check number",IF(INDEX(Invoices!$M$6:$M$305,MATCH(P1277,Invoices!$B$6:$B$305,0))="Paid","Paid",IF(INDEX(Invoices!$M$6:$M$305,MATCH(P1277,Invoices!$B$6:$B$305,0))="Draft","Draft","Invoiced")))))))</f>
        <v/>
      </c>
      <c r="R1277" s="1">
        <f>IF(AND(B1277&lt;&gt;"",P1277&lt;&gt;"",P1277=Invoice!$G$4),B1277+MOD(N(F1277),1)+ROW()/10000000,"")</f>
        <v/>
      </c>
      <c r="S1277">
        <f>IF(R1277="","",IF(D1277="","Other work",D1277)&amp;IF(AND(K1277&lt;&gt;"",E1277&lt;&gt;""),", "&amp;E1277,""))</f>
        <v/>
      </c>
      <c r="T1277">
        <f>IF(R1277="","",IF(COUNTIFS(R$6:R1276,"&gt;0",S$6:S1276,S1277,N$6:N1276,N1277)=0,R1277,""))</f>
        <v/>
      </c>
      <c r="U1277">
        <f>IF(B1277="","",IF(J1277&lt;&gt;"",0,M1277))</f>
        <v/>
      </c>
    </row>
    <row r="1278">
      <c r="A1278" s="1" t="n"/>
      <c r="B1278" s="16" t="n"/>
      <c r="C1278" s="17" t="n"/>
      <c r="D1278" s="18" t="n"/>
      <c r="E1278" s="18" t="n"/>
      <c r="F1278" s="19" t="n"/>
      <c r="G1278" s="19" t="n"/>
      <c r="H1278" s="20" t="n"/>
      <c r="I1278" s="21" t="n"/>
      <c r="J1278" s="22" t="n"/>
      <c r="K1278" s="23" t="n"/>
      <c r="L1278" s="18" t="n"/>
      <c r="M1278" s="24">
        <f>IF(B1278="","",IF(AND(F1278&lt;&gt;"",G1278&lt;&gt;""),MAX(0,ROUND(MOD(G1278-F1278,1)*24-N(H1278)/60,2)),N(I1278)))</f>
        <v/>
      </c>
      <c r="N1278" s="14">
        <f>IF(B1278="","",IF(K1278&lt;&gt;"",K1278,IF(N(IFERROR(INDEX(Projects!$D$6:$D$65,MATCH(D1278,Projects!$B$6:$B$65,0)),""))&gt;0,IFERROR(INDEX(Projects!$D$6:$D$65,MATCH(D1278,Projects!$B$6:$B$65,0)),""),IFERROR(INDEX(Clients!$G$6:$G$45,MATCH(C1278,Clients!$B$6:$B$45,0)),0))))</f>
        <v/>
      </c>
      <c r="O1278" s="14">
        <f>IF(B1278="","",IF(J1278&lt;&gt;"",0,ROUND(M1278*N1278,2)))</f>
        <v/>
      </c>
      <c r="P1278" s="15">
        <f>IF(OR(B1278="",J1278&lt;&gt;""),"",IF(L1278&lt;&gt;"",L1278,IF(COUNTIFS(Invoices!$C$6:$C$305,C1278,Invoices!$E$6:$E$305,"&lt;="&amp;B1278,Invoices!$F$6:$F$305,"&gt;="&amp;B1278)=1,INDEX(Invoices!$B$6:$B$305,SUMIFS(Invoices!$O$6:$O$305,Invoices!$C$6:$C$305,C1278,Invoices!$E$6:$E$305,"&lt;="&amp;B1278,Invoices!$F$6:$F$305,"&gt;="&amp;B1278)),IF(COUNTIFS(Invoices!$C$6:$C$305,C1278,Invoices!$E$6:$E$305,"&lt;="&amp;B1278,Invoices!$F$6:$F$305,"&gt;="&amp;B1278)&gt;1,"Two invoices",""))))</f>
        <v/>
      </c>
      <c r="Q1278" s="15">
        <f>IF(B1278="","",IF(J1278&lt;&gt;"","Not billable",IF(P1278="","To invoice",IF(P1278="Two invoices","Check dates",IF(ISNA(MATCH(P1278,Invoices!$B$6:$B$305,0)),"Check number",IF(INDEX(Invoices!$M$6:$M$305,MATCH(P1278,Invoices!$B$6:$B$305,0))="Paid","Paid",IF(INDEX(Invoices!$M$6:$M$305,MATCH(P1278,Invoices!$B$6:$B$305,0))="Draft","Draft","Invoiced")))))))</f>
        <v/>
      </c>
      <c r="R1278" s="1">
        <f>IF(AND(B1278&lt;&gt;"",P1278&lt;&gt;"",P1278=Invoice!$G$4),B1278+MOD(N(F1278),1)+ROW()/10000000,"")</f>
        <v/>
      </c>
      <c r="S1278">
        <f>IF(R1278="","",IF(D1278="","Other work",D1278)&amp;IF(AND(K1278&lt;&gt;"",E1278&lt;&gt;""),", "&amp;E1278,""))</f>
        <v/>
      </c>
      <c r="T1278">
        <f>IF(R1278="","",IF(COUNTIFS(R$6:R1277,"&gt;0",S$6:S1277,S1278,N$6:N1277,N1278)=0,R1278,""))</f>
        <v/>
      </c>
      <c r="U1278">
        <f>IF(B1278="","",IF(J1278&lt;&gt;"",0,M1278))</f>
        <v/>
      </c>
    </row>
    <row r="1279">
      <c r="A1279" s="1" t="n"/>
      <c r="B1279" s="16" t="n"/>
      <c r="C1279" s="17" t="n"/>
      <c r="D1279" s="18" t="n"/>
      <c r="E1279" s="18" t="n"/>
      <c r="F1279" s="19" t="n"/>
      <c r="G1279" s="19" t="n"/>
      <c r="H1279" s="20" t="n"/>
      <c r="I1279" s="21" t="n"/>
      <c r="J1279" s="22" t="n"/>
      <c r="K1279" s="23" t="n"/>
      <c r="L1279" s="18" t="n"/>
      <c r="M1279" s="24">
        <f>IF(B1279="","",IF(AND(F1279&lt;&gt;"",G1279&lt;&gt;""),MAX(0,ROUND(MOD(G1279-F1279,1)*24-N(H1279)/60,2)),N(I1279)))</f>
        <v/>
      </c>
      <c r="N1279" s="14">
        <f>IF(B1279="","",IF(K1279&lt;&gt;"",K1279,IF(N(IFERROR(INDEX(Projects!$D$6:$D$65,MATCH(D1279,Projects!$B$6:$B$65,0)),""))&gt;0,IFERROR(INDEX(Projects!$D$6:$D$65,MATCH(D1279,Projects!$B$6:$B$65,0)),""),IFERROR(INDEX(Clients!$G$6:$G$45,MATCH(C1279,Clients!$B$6:$B$45,0)),0))))</f>
        <v/>
      </c>
      <c r="O1279" s="14">
        <f>IF(B1279="","",IF(J1279&lt;&gt;"",0,ROUND(M1279*N1279,2)))</f>
        <v/>
      </c>
      <c r="P1279" s="15">
        <f>IF(OR(B1279="",J1279&lt;&gt;""),"",IF(L1279&lt;&gt;"",L1279,IF(COUNTIFS(Invoices!$C$6:$C$305,C1279,Invoices!$E$6:$E$305,"&lt;="&amp;B1279,Invoices!$F$6:$F$305,"&gt;="&amp;B1279)=1,INDEX(Invoices!$B$6:$B$305,SUMIFS(Invoices!$O$6:$O$305,Invoices!$C$6:$C$305,C1279,Invoices!$E$6:$E$305,"&lt;="&amp;B1279,Invoices!$F$6:$F$305,"&gt;="&amp;B1279)),IF(COUNTIFS(Invoices!$C$6:$C$305,C1279,Invoices!$E$6:$E$305,"&lt;="&amp;B1279,Invoices!$F$6:$F$305,"&gt;="&amp;B1279)&gt;1,"Two invoices",""))))</f>
        <v/>
      </c>
      <c r="Q1279" s="15">
        <f>IF(B1279="","",IF(J1279&lt;&gt;"","Not billable",IF(P1279="","To invoice",IF(P1279="Two invoices","Check dates",IF(ISNA(MATCH(P1279,Invoices!$B$6:$B$305,0)),"Check number",IF(INDEX(Invoices!$M$6:$M$305,MATCH(P1279,Invoices!$B$6:$B$305,0))="Paid","Paid",IF(INDEX(Invoices!$M$6:$M$305,MATCH(P1279,Invoices!$B$6:$B$305,0))="Draft","Draft","Invoiced")))))))</f>
        <v/>
      </c>
      <c r="R1279" s="1">
        <f>IF(AND(B1279&lt;&gt;"",P1279&lt;&gt;"",P1279=Invoice!$G$4),B1279+MOD(N(F1279),1)+ROW()/10000000,"")</f>
        <v/>
      </c>
      <c r="S1279">
        <f>IF(R1279="","",IF(D1279="","Other work",D1279)&amp;IF(AND(K1279&lt;&gt;"",E1279&lt;&gt;""),", "&amp;E1279,""))</f>
        <v/>
      </c>
      <c r="T1279">
        <f>IF(R1279="","",IF(COUNTIFS(R$6:R1278,"&gt;0",S$6:S1278,S1279,N$6:N1278,N1279)=0,R1279,""))</f>
        <v/>
      </c>
      <c r="U1279">
        <f>IF(B1279="","",IF(J1279&lt;&gt;"",0,M1279))</f>
        <v/>
      </c>
    </row>
    <row r="1280">
      <c r="A1280" s="1" t="n"/>
      <c r="B1280" s="16" t="n"/>
      <c r="C1280" s="17" t="n"/>
      <c r="D1280" s="18" t="n"/>
      <c r="E1280" s="18" t="n"/>
      <c r="F1280" s="19" t="n"/>
      <c r="G1280" s="19" t="n"/>
      <c r="H1280" s="20" t="n"/>
      <c r="I1280" s="21" t="n"/>
      <c r="J1280" s="22" t="n"/>
      <c r="K1280" s="23" t="n"/>
      <c r="L1280" s="18" t="n"/>
      <c r="M1280" s="24">
        <f>IF(B1280="","",IF(AND(F1280&lt;&gt;"",G1280&lt;&gt;""),MAX(0,ROUND(MOD(G1280-F1280,1)*24-N(H1280)/60,2)),N(I1280)))</f>
        <v/>
      </c>
      <c r="N1280" s="14">
        <f>IF(B1280="","",IF(K1280&lt;&gt;"",K1280,IF(N(IFERROR(INDEX(Projects!$D$6:$D$65,MATCH(D1280,Projects!$B$6:$B$65,0)),""))&gt;0,IFERROR(INDEX(Projects!$D$6:$D$65,MATCH(D1280,Projects!$B$6:$B$65,0)),""),IFERROR(INDEX(Clients!$G$6:$G$45,MATCH(C1280,Clients!$B$6:$B$45,0)),0))))</f>
        <v/>
      </c>
      <c r="O1280" s="14">
        <f>IF(B1280="","",IF(J1280&lt;&gt;"",0,ROUND(M1280*N1280,2)))</f>
        <v/>
      </c>
      <c r="P1280" s="15">
        <f>IF(OR(B1280="",J1280&lt;&gt;""),"",IF(L1280&lt;&gt;"",L1280,IF(COUNTIFS(Invoices!$C$6:$C$305,C1280,Invoices!$E$6:$E$305,"&lt;="&amp;B1280,Invoices!$F$6:$F$305,"&gt;="&amp;B1280)=1,INDEX(Invoices!$B$6:$B$305,SUMIFS(Invoices!$O$6:$O$305,Invoices!$C$6:$C$305,C1280,Invoices!$E$6:$E$305,"&lt;="&amp;B1280,Invoices!$F$6:$F$305,"&gt;="&amp;B1280)),IF(COUNTIFS(Invoices!$C$6:$C$305,C1280,Invoices!$E$6:$E$305,"&lt;="&amp;B1280,Invoices!$F$6:$F$305,"&gt;="&amp;B1280)&gt;1,"Two invoices",""))))</f>
        <v/>
      </c>
      <c r="Q1280" s="15">
        <f>IF(B1280="","",IF(J1280&lt;&gt;"","Not billable",IF(P1280="","To invoice",IF(P1280="Two invoices","Check dates",IF(ISNA(MATCH(P1280,Invoices!$B$6:$B$305,0)),"Check number",IF(INDEX(Invoices!$M$6:$M$305,MATCH(P1280,Invoices!$B$6:$B$305,0))="Paid","Paid",IF(INDEX(Invoices!$M$6:$M$305,MATCH(P1280,Invoices!$B$6:$B$305,0))="Draft","Draft","Invoiced")))))))</f>
        <v/>
      </c>
      <c r="R1280" s="1">
        <f>IF(AND(B1280&lt;&gt;"",P1280&lt;&gt;"",P1280=Invoice!$G$4),B1280+MOD(N(F1280),1)+ROW()/10000000,"")</f>
        <v/>
      </c>
      <c r="S1280">
        <f>IF(R1280="","",IF(D1280="","Other work",D1280)&amp;IF(AND(K1280&lt;&gt;"",E1280&lt;&gt;""),", "&amp;E1280,""))</f>
        <v/>
      </c>
      <c r="T1280">
        <f>IF(R1280="","",IF(COUNTIFS(R$6:R1279,"&gt;0",S$6:S1279,S1280,N$6:N1279,N1280)=0,R1280,""))</f>
        <v/>
      </c>
      <c r="U1280">
        <f>IF(B1280="","",IF(J1280&lt;&gt;"",0,M1280))</f>
        <v/>
      </c>
    </row>
    <row r="1281">
      <c r="A1281" s="1" t="n"/>
      <c r="B1281" s="16" t="n"/>
      <c r="C1281" s="17" t="n"/>
      <c r="D1281" s="18" t="n"/>
      <c r="E1281" s="18" t="n"/>
      <c r="F1281" s="19" t="n"/>
      <c r="G1281" s="19" t="n"/>
      <c r="H1281" s="20" t="n"/>
      <c r="I1281" s="21" t="n"/>
      <c r="J1281" s="22" t="n"/>
      <c r="K1281" s="23" t="n"/>
      <c r="L1281" s="18" t="n"/>
      <c r="M1281" s="24">
        <f>IF(B1281="","",IF(AND(F1281&lt;&gt;"",G1281&lt;&gt;""),MAX(0,ROUND(MOD(G1281-F1281,1)*24-N(H1281)/60,2)),N(I1281)))</f>
        <v/>
      </c>
      <c r="N1281" s="14">
        <f>IF(B1281="","",IF(K1281&lt;&gt;"",K1281,IF(N(IFERROR(INDEX(Projects!$D$6:$D$65,MATCH(D1281,Projects!$B$6:$B$65,0)),""))&gt;0,IFERROR(INDEX(Projects!$D$6:$D$65,MATCH(D1281,Projects!$B$6:$B$65,0)),""),IFERROR(INDEX(Clients!$G$6:$G$45,MATCH(C1281,Clients!$B$6:$B$45,0)),0))))</f>
        <v/>
      </c>
      <c r="O1281" s="14">
        <f>IF(B1281="","",IF(J1281&lt;&gt;"",0,ROUND(M1281*N1281,2)))</f>
        <v/>
      </c>
      <c r="P1281" s="15">
        <f>IF(OR(B1281="",J1281&lt;&gt;""),"",IF(L1281&lt;&gt;"",L1281,IF(COUNTIFS(Invoices!$C$6:$C$305,C1281,Invoices!$E$6:$E$305,"&lt;="&amp;B1281,Invoices!$F$6:$F$305,"&gt;="&amp;B1281)=1,INDEX(Invoices!$B$6:$B$305,SUMIFS(Invoices!$O$6:$O$305,Invoices!$C$6:$C$305,C1281,Invoices!$E$6:$E$305,"&lt;="&amp;B1281,Invoices!$F$6:$F$305,"&gt;="&amp;B1281)),IF(COUNTIFS(Invoices!$C$6:$C$305,C1281,Invoices!$E$6:$E$305,"&lt;="&amp;B1281,Invoices!$F$6:$F$305,"&gt;="&amp;B1281)&gt;1,"Two invoices",""))))</f>
        <v/>
      </c>
      <c r="Q1281" s="15">
        <f>IF(B1281="","",IF(J1281&lt;&gt;"","Not billable",IF(P1281="","To invoice",IF(P1281="Two invoices","Check dates",IF(ISNA(MATCH(P1281,Invoices!$B$6:$B$305,0)),"Check number",IF(INDEX(Invoices!$M$6:$M$305,MATCH(P1281,Invoices!$B$6:$B$305,0))="Paid","Paid",IF(INDEX(Invoices!$M$6:$M$305,MATCH(P1281,Invoices!$B$6:$B$305,0))="Draft","Draft","Invoiced")))))))</f>
        <v/>
      </c>
      <c r="R1281" s="1">
        <f>IF(AND(B1281&lt;&gt;"",P1281&lt;&gt;"",P1281=Invoice!$G$4),B1281+MOD(N(F1281),1)+ROW()/10000000,"")</f>
        <v/>
      </c>
      <c r="S1281">
        <f>IF(R1281="","",IF(D1281="","Other work",D1281)&amp;IF(AND(K1281&lt;&gt;"",E1281&lt;&gt;""),", "&amp;E1281,""))</f>
        <v/>
      </c>
      <c r="T1281">
        <f>IF(R1281="","",IF(COUNTIFS(R$6:R1280,"&gt;0",S$6:S1280,S1281,N$6:N1280,N1281)=0,R1281,""))</f>
        <v/>
      </c>
      <c r="U1281">
        <f>IF(B1281="","",IF(J1281&lt;&gt;"",0,M1281))</f>
        <v/>
      </c>
    </row>
    <row r="1282">
      <c r="A1282" s="1" t="n"/>
      <c r="B1282" s="16" t="n"/>
      <c r="C1282" s="17" t="n"/>
      <c r="D1282" s="18" t="n"/>
      <c r="E1282" s="18" t="n"/>
      <c r="F1282" s="19" t="n"/>
      <c r="G1282" s="19" t="n"/>
      <c r="H1282" s="20" t="n"/>
      <c r="I1282" s="21" t="n"/>
      <c r="J1282" s="22" t="n"/>
      <c r="K1282" s="23" t="n"/>
      <c r="L1282" s="18" t="n"/>
      <c r="M1282" s="24">
        <f>IF(B1282="","",IF(AND(F1282&lt;&gt;"",G1282&lt;&gt;""),MAX(0,ROUND(MOD(G1282-F1282,1)*24-N(H1282)/60,2)),N(I1282)))</f>
        <v/>
      </c>
      <c r="N1282" s="14">
        <f>IF(B1282="","",IF(K1282&lt;&gt;"",K1282,IF(N(IFERROR(INDEX(Projects!$D$6:$D$65,MATCH(D1282,Projects!$B$6:$B$65,0)),""))&gt;0,IFERROR(INDEX(Projects!$D$6:$D$65,MATCH(D1282,Projects!$B$6:$B$65,0)),""),IFERROR(INDEX(Clients!$G$6:$G$45,MATCH(C1282,Clients!$B$6:$B$45,0)),0))))</f>
        <v/>
      </c>
      <c r="O1282" s="14">
        <f>IF(B1282="","",IF(J1282&lt;&gt;"",0,ROUND(M1282*N1282,2)))</f>
        <v/>
      </c>
      <c r="P1282" s="15">
        <f>IF(OR(B1282="",J1282&lt;&gt;""),"",IF(L1282&lt;&gt;"",L1282,IF(COUNTIFS(Invoices!$C$6:$C$305,C1282,Invoices!$E$6:$E$305,"&lt;="&amp;B1282,Invoices!$F$6:$F$305,"&gt;="&amp;B1282)=1,INDEX(Invoices!$B$6:$B$305,SUMIFS(Invoices!$O$6:$O$305,Invoices!$C$6:$C$305,C1282,Invoices!$E$6:$E$305,"&lt;="&amp;B1282,Invoices!$F$6:$F$305,"&gt;="&amp;B1282)),IF(COUNTIFS(Invoices!$C$6:$C$305,C1282,Invoices!$E$6:$E$305,"&lt;="&amp;B1282,Invoices!$F$6:$F$305,"&gt;="&amp;B1282)&gt;1,"Two invoices",""))))</f>
        <v/>
      </c>
      <c r="Q1282" s="15">
        <f>IF(B1282="","",IF(J1282&lt;&gt;"","Not billable",IF(P1282="","To invoice",IF(P1282="Two invoices","Check dates",IF(ISNA(MATCH(P1282,Invoices!$B$6:$B$305,0)),"Check number",IF(INDEX(Invoices!$M$6:$M$305,MATCH(P1282,Invoices!$B$6:$B$305,0))="Paid","Paid",IF(INDEX(Invoices!$M$6:$M$305,MATCH(P1282,Invoices!$B$6:$B$305,0))="Draft","Draft","Invoiced")))))))</f>
        <v/>
      </c>
      <c r="R1282" s="1">
        <f>IF(AND(B1282&lt;&gt;"",P1282&lt;&gt;"",P1282=Invoice!$G$4),B1282+MOD(N(F1282),1)+ROW()/10000000,"")</f>
        <v/>
      </c>
      <c r="S1282">
        <f>IF(R1282="","",IF(D1282="","Other work",D1282)&amp;IF(AND(K1282&lt;&gt;"",E1282&lt;&gt;""),", "&amp;E1282,""))</f>
        <v/>
      </c>
      <c r="T1282">
        <f>IF(R1282="","",IF(COUNTIFS(R$6:R1281,"&gt;0",S$6:S1281,S1282,N$6:N1281,N1282)=0,R1282,""))</f>
        <v/>
      </c>
      <c r="U1282">
        <f>IF(B1282="","",IF(J1282&lt;&gt;"",0,M1282))</f>
        <v/>
      </c>
    </row>
    <row r="1283">
      <c r="A1283" s="1" t="n"/>
      <c r="B1283" s="16" t="n"/>
      <c r="C1283" s="17" t="n"/>
      <c r="D1283" s="18" t="n"/>
      <c r="E1283" s="18" t="n"/>
      <c r="F1283" s="19" t="n"/>
      <c r="G1283" s="19" t="n"/>
      <c r="H1283" s="20" t="n"/>
      <c r="I1283" s="21" t="n"/>
      <c r="J1283" s="22" t="n"/>
      <c r="K1283" s="23" t="n"/>
      <c r="L1283" s="18" t="n"/>
      <c r="M1283" s="24">
        <f>IF(B1283="","",IF(AND(F1283&lt;&gt;"",G1283&lt;&gt;""),MAX(0,ROUND(MOD(G1283-F1283,1)*24-N(H1283)/60,2)),N(I1283)))</f>
        <v/>
      </c>
      <c r="N1283" s="14">
        <f>IF(B1283="","",IF(K1283&lt;&gt;"",K1283,IF(N(IFERROR(INDEX(Projects!$D$6:$D$65,MATCH(D1283,Projects!$B$6:$B$65,0)),""))&gt;0,IFERROR(INDEX(Projects!$D$6:$D$65,MATCH(D1283,Projects!$B$6:$B$65,0)),""),IFERROR(INDEX(Clients!$G$6:$G$45,MATCH(C1283,Clients!$B$6:$B$45,0)),0))))</f>
        <v/>
      </c>
      <c r="O1283" s="14">
        <f>IF(B1283="","",IF(J1283&lt;&gt;"",0,ROUND(M1283*N1283,2)))</f>
        <v/>
      </c>
      <c r="P1283" s="15">
        <f>IF(OR(B1283="",J1283&lt;&gt;""),"",IF(L1283&lt;&gt;"",L1283,IF(COUNTIFS(Invoices!$C$6:$C$305,C1283,Invoices!$E$6:$E$305,"&lt;="&amp;B1283,Invoices!$F$6:$F$305,"&gt;="&amp;B1283)=1,INDEX(Invoices!$B$6:$B$305,SUMIFS(Invoices!$O$6:$O$305,Invoices!$C$6:$C$305,C1283,Invoices!$E$6:$E$305,"&lt;="&amp;B1283,Invoices!$F$6:$F$305,"&gt;="&amp;B1283)),IF(COUNTIFS(Invoices!$C$6:$C$305,C1283,Invoices!$E$6:$E$305,"&lt;="&amp;B1283,Invoices!$F$6:$F$305,"&gt;="&amp;B1283)&gt;1,"Two invoices",""))))</f>
        <v/>
      </c>
      <c r="Q1283" s="15">
        <f>IF(B1283="","",IF(J1283&lt;&gt;"","Not billable",IF(P1283="","To invoice",IF(P1283="Two invoices","Check dates",IF(ISNA(MATCH(P1283,Invoices!$B$6:$B$305,0)),"Check number",IF(INDEX(Invoices!$M$6:$M$305,MATCH(P1283,Invoices!$B$6:$B$305,0))="Paid","Paid",IF(INDEX(Invoices!$M$6:$M$305,MATCH(P1283,Invoices!$B$6:$B$305,0))="Draft","Draft","Invoiced")))))))</f>
        <v/>
      </c>
      <c r="R1283" s="1">
        <f>IF(AND(B1283&lt;&gt;"",P1283&lt;&gt;"",P1283=Invoice!$G$4),B1283+MOD(N(F1283),1)+ROW()/10000000,"")</f>
        <v/>
      </c>
      <c r="S1283">
        <f>IF(R1283="","",IF(D1283="","Other work",D1283)&amp;IF(AND(K1283&lt;&gt;"",E1283&lt;&gt;""),", "&amp;E1283,""))</f>
        <v/>
      </c>
      <c r="T1283">
        <f>IF(R1283="","",IF(COUNTIFS(R$6:R1282,"&gt;0",S$6:S1282,S1283,N$6:N1282,N1283)=0,R1283,""))</f>
        <v/>
      </c>
      <c r="U1283">
        <f>IF(B1283="","",IF(J1283&lt;&gt;"",0,M1283))</f>
        <v/>
      </c>
    </row>
    <row r="1284">
      <c r="A1284" s="1" t="n"/>
      <c r="B1284" s="16" t="n"/>
      <c r="C1284" s="17" t="n"/>
      <c r="D1284" s="18" t="n"/>
      <c r="E1284" s="18" t="n"/>
      <c r="F1284" s="19" t="n"/>
      <c r="G1284" s="19" t="n"/>
      <c r="H1284" s="20" t="n"/>
      <c r="I1284" s="21" t="n"/>
      <c r="J1284" s="22" t="n"/>
      <c r="K1284" s="23" t="n"/>
      <c r="L1284" s="18" t="n"/>
      <c r="M1284" s="24">
        <f>IF(B1284="","",IF(AND(F1284&lt;&gt;"",G1284&lt;&gt;""),MAX(0,ROUND(MOD(G1284-F1284,1)*24-N(H1284)/60,2)),N(I1284)))</f>
        <v/>
      </c>
      <c r="N1284" s="14">
        <f>IF(B1284="","",IF(K1284&lt;&gt;"",K1284,IF(N(IFERROR(INDEX(Projects!$D$6:$D$65,MATCH(D1284,Projects!$B$6:$B$65,0)),""))&gt;0,IFERROR(INDEX(Projects!$D$6:$D$65,MATCH(D1284,Projects!$B$6:$B$65,0)),""),IFERROR(INDEX(Clients!$G$6:$G$45,MATCH(C1284,Clients!$B$6:$B$45,0)),0))))</f>
        <v/>
      </c>
      <c r="O1284" s="14">
        <f>IF(B1284="","",IF(J1284&lt;&gt;"",0,ROUND(M1284*N1284,2)))</f>
        <v/>
      </c>
      <c r="P1284" s="15">
        <f>IF(OR(B1284="",J1284&lt;&gt;""),"",IF(L1284&lt;&gt;"",L1284,IF(COUNTIFS(Invoices!$C$6:$C$305,C1284,Invoices!$E$6:$E$305,"&lt;="&amp;B1284,Invoices!$F$6:$F$305,"&gt;="&amp;B1284)=1,INDEX(Invoices!$B$6:$B$305,SUMIFS(Invoices!$O$6:$O$305,Invoices!$C$6:$C$305,C1284,Invoices!$E$6:$E$305,"&lt;="&amp;B1284,Invoices!$F$6:$F$305,"&gt;="&amp;B1284)),IF(COUNTIFS(Invoices!$C$6:$C$305,C1284,Invoices!$E$6:$E$305,"&lt;="&amp;B1284,Invoices!$F$6:$F$305,"&gt;="&amp;B1284)&gt;1,"Two invoices",""))))</f>
        <v/>
      </c>
      <c r="Q1284" s="15">
        <f>IF(B1284="","",IF(J1284&lt;&gt;"","Not billable",IF(P1284="","To invoice",IF(P1284="Two invoices","Check dates",IF(ISNA(MATCH(P1284,Invoices!$B$6:$B$305,0)),"Check number",IF(INDEX(Invoices!$M$6:$M$305,MATCH(P1284,Invoices!$B$6:$B$305,0))="Paid","Paid",IF(INDEX(Invoices!$M$6:$M$305,MATCH(P1284,Invoices!$B$6:$B$305,0))="Draft","Draft","Invoiced")))))))</f>
        <v/>
      </c>
      <c r="R1284" s="1">
        <f>IF(AND(B1284&lt;&gt;"",P1284&lt;&gt;"",P1284=Invoice!$G$4),B1284+MOD(N(F1284),1)+ROW()/10000000,"")</f>
        <v/>
      </c>
      <c r="S1284">
        <f>IF(R1284="","",IF(D1284="","Other work",D1284)&amp;IF(AND(K1284&lt;&gt;"",E1284&lt;&gt;""),", "&amp;E1284,""))</f>
        <v/>
      </c>
      <c r="T1284">
        <f>IF(R1284="","",IF(COUNTIFS(R$6:R1283,"&gt;0",S$6:S1283,S1284,N$6:N1283,N1284)=0,R1284,""))</f>
        <v/>
      </c>
      <c r="U1284">
        <f>IF(B1284="","",IF(J1284&lt;&gt;"",0,M1284))</f>
        <v/>
      </c>
    </row>
    <row r="1285">
      <c r="A1285" s="1" t="n"/>
      <c r="B1285" s="16" t="n"/>
      <c r="C1285" s="17" t="n"/>
      <c r="D1285" s="18" t="n"/>
      <c r="E1285" s="18" t="n"/>
      <c r="F1285" s="19" t="n"/>
      <c r="G1285" s="19" t="n"/>
      <c r="H1285" s="20" t="n"/>
      <c r="I1285" s="21" t="n"/>
      <c r="J1285" s="22" t="n"/>
      <c r="K1285" s="23" t="n"/>
      <c r="L1285" s="18" t="n"/>
      <c r="M1285" s="24">
        <f>IF(B1285="","",IF(AND(F1285&lt;&gt;"",G1285&lt;&gt;""),MAX(0,ROUND(MOD(G1285-F1285,1)*24-N(H1285)/60,2)),N(I1285)))</f>
        <v/>
      </c>
      <c r="N1285" s="14">
        <f>IF(B1285="","",IF(K1285&lt;&gt;"",K1285,IF(N(IFERROR(INDEX(Projects!$D$6:$D$65,MATCH(D1285,Projects!$B$6:$B$65,0)),""))&gt;0,IFERROR(INDEX(Projects!$D$6:$D$65,MATCH(D1285,Projects!$B$6:$B$65,0)),""),IFERROR(INDEX(Clients!$G$6:$G$45,MATCH(C1285,Clients!$B$6:$B$45,0)),0))))</f>
        <v/>
      </c>
      <c r="O1285" s="14">
        <f>IF(B1285="","",IF(J1285&lt;&gt;"",0,ROUND(M1285*N1285,2)))</f>
        <v/>
      </c>
      <c r="P1285" s="15">
        <f>IF(OR(B1285="",J1285&lt;&gt;""),"",IF(L1285&lt;&gt;"",L1285,IF(COUNTIFS(Invoices!$C$6:$C$305,C1285,Invoices!$E$6:$E$305,"&lt;="&amp;B1285,Invoices!$F$6:$F$305,"&gt;="&amp;B1285)=1,INDEX(Invoices!$B$6:$B$305,SUMIFS(Invoices!$O$6:$O$305,Invoices!$C$6:$C$305,C1285,Invoices!$E$6:$E$305,"&lt;="&amp;B1285,Invoices!$F$6:$F$305,"&gt;="&amp;B1285)),IF(COUNTIFS(Invoices!$C$6:$C$305,C1285,Invoices!$E$6:$E$305,"&lt;="&amp;B1285,Invoices!$F$6:$F$305,"&gt;="&amp;B1285)&gt;1,"Two invoices",""))))</f>
        <v/>
      </c>
      <c r="Q1285" s="15">
        <f>IF(B1285="","",IF(J1285&lt;&gt;"","Not billable",IF(P1285="","To invoice",IF(P1285="Two invoices","Check dates",IF(ISNA(MATCH(P1285,Invoices!$B$6:$B$305,0)),"Check number",IF(INDEX(Invoices!$M$6:$M$305,MATCH(P1285,Invoices!$B$6:$B$305,0))="Paid","Paid",IF(INDEX(Invoices!$M$6:$M$305,MATCH(P1285,Invoices!$B$6:$B$305,0))="Draft","Draft","Invoiced")))))))</f>
        <v/>
      </c>
      <c r="R1285" s="1">
        <f>IF(AND(B1285&lt;&gt;"",P1285&lt;&gt;"",P1285=Invoice!$G$4),B1285+MOD(N(F1285),1)+ROW()/10000000,"")</f>
        <v/>
      </c>
      <c r="S1285">
        <f>IF(R1285="","",IF(D1285="","Other work",D1285)&amp;IF(AND(K1285&lt;&gt;"",E1285&lt;&gt;""),", "&amp;E1285,""))</f>
        <v/>
      </c>
      <c r="T1285">
        <f>IF(R1285="","",IF(COUNTIFS(R$6:R1284,"&gt;0",S$6:S1284,S1285,N$6:N1284,N1285)=0,R1285,""))</f>
        <v/>
      </c>
      <c r="U1285">
        <f>IF(B1285="","",IF(J1285&lt;&gt;"",0,M1285))</f>
        <v/>
      </c>
    </row>
    <row r="1286">
      <c r="A1286" s="1" t="n"/>
      <c r="B1286" s="16" t="n"/>
      <c r="C1286" s="17" t="n"/>
      <c r="D1286" s="18" t="n"/>
      <c r="E1286" s="18" t="n"/>
      <c r="F1286" s="19" t="n"/>
      <c r="G1286" s="19" t="n"/>
      <c r="H1286" s="20" t="n"/>
      <c r="I1286" s="21" t="n"/>
      <c r="J1286" s="22" t="n"/>
      <c r="K1286" s="23" t="n"/>
      <c r="L1286" s="18" t="n"/>
      <c r="M1286" s="24">
        <f>IF(B1286="","",IF(AND(F1286&lt;&gt;"",G1286&lt;&gt;""),MAX(0,ROUND(MOD(G1286-F1286,1)*24-N(H1286)/60,2)),N(I1286)))</f>
        <v/>
      </c>
      <c r="N1286" s="14">
        <f>IF(B1286="","",IF(K1286&lt;&gt;"",K1286,IF(N(IFERROR(INDEX(Projects!$D$6:$D$65,MATCH(D1286,Projects!$B$6:$B$65,0)),""))&gt;0,IFERROR(INDEX(Projects!$D$6:$D$65,MATCH(D1286,Projects!$B$6:$B$65,0)),""),IFERROR(INDEX(Clients!$G$6:$G$45,MATCH(C1286,Clients!$B$6:$B$45,0)),0))))</f>
        <v/>
      </c>
      <c r="O1286" s="14">
        <f>IF(B1286="","",IF(J1286&lt;&gt;"",0,ROUND(M1286*N1286,2)))</f>
        <v/>
      </c>
      <c r="P1286" s="15">
        <f>IF(OR(B1286="",J1286&lt;&gt;""),"",IF(L1286&lt;&gt;"",L1286,IF(COUNTIFS(Invoices!$C$6:$C$305,C1286,Invoices!$E$6:$E$305,"&lt;="&amp;B1286,Invoices!$F$6:$F$305,"&gt;="&amp;B1286)=1,INDEX(Invoices!$B$6:$B$305,SUMIFS(Invoices!$O$6:$O$305,Invoices!$C$6:$C$305,C1286,Invoices!$E$6:$E$305,"&lt;="&amp;B1286,Invoices!$F$6:$F$305,"&gt;="&amp;B1286)),IF(COUNTIFS(Invoices!$C$6:$C$305,C1286,Invoices!$E$6:$E$305,"&lt;="&amp;B1286,Invoices!$F$6:$F$305,"&gt;="&amp;B1286)&gt;1,"Two invoices",""))))</f>
        <v/>
      </c>
      <c r="Q1286" s="15">
        <f>IF(B1286="","",IF(J1286&lt;&gt;"","Not billable",IF(P1286="","To invoice",IF(P1286="Two invoices","Check dates",IF(ISNA(MATCH(P1286,Invoices!$B$6:$B$305,0)),"Check number",IF(INDEX(Invoices!$M$6:$M$305,MATCH(P1286,Invoices!$B$6:$B$305,0))="Paid","Paid",IF(INDEX(Invoices!$M$6:$M$305,MATCH(P1286,Invoices!$B$6:$B$305,0))="Draft","Draft","Invoiced")))))))</f>
        <v/>
      </c>
      <c r="R1286" s="1">
        <f>IF(AND(B1286&lt;&gt;"",P1286&lt;&gt;"",P1286=Invoice!$G$4),B1286+MOD(N(F1286),1)+ROW()/10000000,"")</f>
        <v/>
      </c>
      <c r="S1286">
        <f>IF(R1286="","",IF(D1286="","Other work",D1286)&amp;IF(AND(K1286&lt;&gt;"",E1286&lt;&gt;""),", "&amp;E1286,""))</f>
        <v/>
      </c>
      <c r="T1286">
        <f>IF(R1286="","",IF(COUNTIFS(R$6:R1285,"&gt;0",S$6:S1285,S1286,N$6:N1285,N1286)=0,R1286,""))</f>
        <v/>
      </c>
      <c r="U1286">
        <f>IF(B1286="","",IF(J1286&lt;&gt;"",0,M1286))</f>
        <v/>
      </c>
    </row>
    <row r="1287">
      <c r="A1287" s="1" t="n"/>
      <c r="B1287" s="16" t="n"/>
      <c r="C1287" s="17" t="n"/>
      <c r="D1287" s="18" t="n"/>
      <c r="E1287" s="18" t="n"/>
      <c r="F1287" s="19" t="n"/>
      <c r="G1287" s="19" t="n"/>
      <c r="H1287" s="20" t="n"/>
      <c r="I1287" s="21" t="n"/>
      <c r="J1287" s="22" t="n"/>
      <c r="K1287" s="23" t="n"/>
      <c r="L1287" s="18" t="n"/>
      <c r="M1287" s="24">
        <f>IF(B1287="","",IF(AND(F1287&lt;&gt;"",G1287&lt;&gt;""),MAX(0,ROUND(MOD(G1287-F1287,1)*24-N(H1287)/60,2)),N(I1287)))</f>
        <v/>
      </c>
      <c r="N1287" s="14">
        <f>IF(B1287="","",IF(K1287&lt;&gt;"",K1287,IF(N(IFERROR(INDEX(Projects!$D$6:$D$65,MATCH(D1287,Projects!$B$6:$B$65,0)),""))&gt;0,IFERROR(INDEX(Projects!$D$6:$D$65,MATCH(D1287,Projects!$B$6:$B$65,0)),""),IFERROR(INDEX(Clients!$G$6:$G$45,MATCH(C1287,Clients!$B$6:$B$45,0)),0))))</f>
        <v/>
      </c>
      <c r="O1287" s="14">
        <f>IF(B1287="","",IF(J1287&lt;&gt;"",0,ROUND(M1287*N1287,2)))</f>
        <v/>
      </c>
      <c r="P1287" s="15">
        <f>IF(OR(B1287="",J1287&lt;&gt;""),"",IF(L1287&lt;&gt;"",L1287,IF(COUNTIFS(Invoices!$C$6:$C$305,C1287,Invoices!$E$6:$E$305,"&lt;="&amp;B1287,Invoices!$F$6:$F$305,"&gt;="&amp;B1287)=1,INDEX(Invoices!$B$6:$B$305,SUMIFS(Invoices!$O$6:$O$305,Invoices!$C$6:$C$305,C1287,Invoices!$E$6:$E$305,"&lt;="&amp;B1287,Invoices!$F$6:$F$305,"&gt;="&amp;B1287)),IF(COUNTIFS(Invoices!$C$6:$C$305,C1287,Invoices!$E$6:$E$305,"&lt;="&amp;B1287,Invoices!$F$6:$F$305,"&gt;="&amp;B1287)&gt;1,"Two invoices",""))))</f>
        <v/>
      </c>
      <c r="Q1287" s="15">
        <f>IF(B1287="","",IF(J1287&lt;&gt;"","Not billable",IF(P1287="","To invoice",IF(P1287="Two invoices","Check dates",IF(ISNA(MATCH(P1287,Invoices!$B$6:$B$305,0)),"Check number",IF(INDEX(Invoices!$M$6:$M$305,MATCH(P1287,Invoices!$B$6:$B$305,0))="Paid","Paid",IF(INDEX(Invoices!$M$6:$M$305,MATCH(P1287,Invoices!$B$6:$B$305,0))="Draft","Draft","Invoiced")))))))</f>
        <v/>
      </c>
      <c r="R1287" s="1">
        <f>IF(AND(B1287&lt;&gt;"",P1287&lt;&gt;"",P1287=Invoice!$G$4),B1287+MOD(N(F1287),1)+ROW()/10000000,"")</f>
        <v/>
      </c>
      <c r="S1287">
        <f>IF(R1287="","",IF(D1287="","Other work",D1287)&amp;IF(AND(K1287&lt;&gt;"",E1287&lt;&gt;""),", "&amp;E1287,""))</f>
        <v/>
      </c>
      <c r="T1287">
        <f>IF(R1287="","",IF(COUNTIFS(R$6:R1286,"&gt;0",S$6:S1286,S1287,N$6:N1286,N1287)=0,R1287,""))</f>
        <v/>
      </c>
      <c r="U1287">
        <f>IF(B1287="","",IF(J1287&lt;&gt;"",0,M1287))</f>
        <v/>
      </c>
    </row>
    <row r="1288">
      <c r="A1288" s="1" t="n"/>
      <c r="B1288" s="16" t="n"/>
      <c r="C1288" s="17" t="n"/>
      <c r="D1288" s="18" t="n"/>
      <c r="E1288" s="18" t="n"/>
      <c r="F1288" s="19" t="n"/>
      <c r="G1288" s="19" t="n"/>
      <c r="H1288" s="20" t="n"/>
      <c r="I1288" s="21" t="n"/>
      <c r="J1288" s="22" t="n"/>
      <c r="K1288" s="23" t="n"/>
      <c r="L1288" s="18" t="n"/>
      <c r="M1288" s="24">
        <f>IF(B1288="","",IF(AND(F1288&lt;&gt;"",G1288&lt;&gt;""),MAX(0,ROUND(MOD(G1288-F1288,1)*24-N(H1288)/60,2)),N(I1288)))</f>
        <v/>
      </c>
      <c r="N1288" s="14">
        <f>IF(B1288="","",IF(K1288&lt;&gt;"",K1288,IF(N(IFERROR(INDEX(Projects!$D$6:$D$65,MATCH(D1288,Projects!$B$6:$B$65,0)),""))&gt;0,IFERROR(INDEX(Projects!$D$6:$D$65,MATCH(D1288,Projects!$B$6:$B$65,0)),""),IFERROR(INDEX(Clients!$G$6:$G$45,MATCH(C1288,Clients!$B$6:$B$45,0)),0))))</f>
        <v/>
      </c>
      <c r="O1288" s="14">
        <f>IF(B1288="","",IF(J1288&lt;&gt;"",0,ROUND(M1288*N1288,2)))</f>
        <v/>
      </c>
      <c r="P1288" s="15">
        <f>IF(OR(B1288="",J1288&lt;&gt;""),"",IF(L1288&lt;&gt;"",L1288,IF(COUNTIFS(Invoices!$C$6:$C$305,C1288,Invoices!$E$6:$E$305,"&lt;="&amp;B1288,Invoices!$F$6:$F$305,"&gt;="&amp;B1288)=1,INDEX(Invoices!$B$6:$B$305,SUMIFS(Invoices!$O$6:$O$305,Invoices!$C$6:$C$305,C1288,Invoices!$E$6:$E$305,"&lt;="&amp;B1288,Invoices!$F$6:$F$305,"&gt;="&amp;B1288)),IF(COUNTIFS(Invoices!$C$6:$C$305,C1288,Invoices!$E$6:$E$305,"&lt;="&amp;B1288,Invoices!$F$6:$F$305,"&gt;="&amp;B1288)&gt;1,"Two invoices",""))))</f>
        <v/>
      </c>
      <c r="Q1288" s="15">
        <f>IF(B1288="","",IF(J1288&lt;&gt;"","Not billable",IF(P1288="","To invoice",IF(P1288="Two invoices","Check dates",IF(ISNA(MATCH(P1288,Invoices!$B$6:$B$305,0)),"Check number",IF(INDEX(Invoices!$M$6:$M$305,MATCH(P1288,Invoices!$B$6:$B$305,0))="Paid","Paid",IF(INDEX(Invoices!$M$6:$M$305,MATCH(P1288,Invoices!$B$6:$B$305,0))="Draft","Draft","Invoiced")))))))</f>
        <v/>
      </c>
      <c r="R1288" s="1">
        <f>IF(AND(B1288&lt;&gt;"",P1288&lt;&gt;"",P1288=Invoice!$G$4),B1288+MOD(N(F1288),1)+ROW()/10000000,"")</f>
        <v/>
      </c>
      <c r="S1288">
        <f>IF(R1288="","",IF(D1288="","Other work",D1288)&amp;IF(AND(K1288&lt;&gt;"",E1288&lt;&gt;""),", "&amp;E1288,""))</f>
        <v/>
      </c>
      <c r="T1288">
        <f>IF(R1288="","",IF(COUNTIFS(R$6:R1287,"&gt;0",S$6:S1287,S1288,N$6:N1287,N1288)=0,R1288,""))</f>
        <v/>
      </c>
      <c r="U1288">
        <f>IF(B1288="","",IF(J1288&lt;&gt;"",0,M1288))</f>
        <v/>
      </c>
    </row>
    <row r="1289">
      <c r="A1289" s="1" t="n"/>
      <c r="B1289" s="16" t="n"/>
      <c r="C1289" s="17" t="n"/>
      <c r="D1289" s="18" t="n"/>
      <c r="E1289" s="18" t="n"/>
      <c r="F1289" s="19" t="n"/>
      <c r="G1289" s="19" t="n"/>
      <c r="H1289" s="20" t="n"/>
      <c r="I1289" s="21" t="n"/>
      <c r="J1289" s="22" t="n"/>
      <c r="K1289" s="23" t="n"/>
      <c r="L1289" s="18" t="n"/>
      <c r="M1289" s="24">
        <f>IF(B1289="","",IF(AND(F1289&lt;&gt;"",G1289&lt;&gt;""),MAX(0,ROUND(MOD(G1289-F1289,1)*24-N(H1289)/60,2)),N(I1289)))</f>
        <v/>
      </c>
      <c r="N1289" s="14">
        <f>IF(B1289="","",IF(K1289&lt;&gt;"",K1289,IF(N(IFERROR(INDEX(Projects!$D$6:$D$65,MATCH(D1289,Projects!$B$6:$B$65,0)),""))&gt;0,IFERROR(INDEX(Projects!$D$6:$D$65,MATCH(D1289,Projects!$B$6:$B$65,0)),""),IFERROR(INDEX(Clients!$G$6:$G$45,MATCH(C1289,Clients!$B$6:$B$45,0)),0))))</f>
        <v/>
      </c>
      <c r="O1289" s="14">
        <f>IF(B1289="","",IF(J1289&lt;&gt;"",0,ROUND(M1289*N1289,2)))</f>
        <v/>
      </c>
      <c r="P1289" s="15">
        <f>IF(OR(B1289="",J1289&lt;&gt;""),"",IF(L1289&lt;&gt;"",L1289,IF(COUNTIFS(Invoices!$C$6:$C$305,C1289,Invoices!$E$6:$E$305,"&lt;="&amp;B1289,Invoices!$F$6:$F$305,"&gt;="&amp;B1289)=1,INDEX(Invoices!$B$6:$B$305,SUMIFS(Invoices!$O$6:$O$305,Invoices!$C$6:$C$305,C1289,Invoices!$E$6:$E$305,"&lt;="&amp;B1289,Invoices!$F$6:$F$305,"&gt;="&amp;B1289)),IF(COUNTIFS(Invoices!$C$6:$C$305,C1289,Invoices!$E$6:$E$305,"&lt;="&amp;B1289,Invoices!$F$6:$F$305,"&gt;="&amp;B1289)&gt;1,"Two invoices",""))))</f>
        <v/>
      </c>
      <c r="Q1289" s="15">
        <f>IF(B1289="","",IF(J1289&lt;&gt;"","Not billable",IF(P1289="","To invoice",IF(P1289="Two invoices","Check dates",IF(ISNA(MATCH(P1289,Invoices!$B$6:$B$305,0)),"Check number",IF(INDEX(Invoices!$M$6:$M$305,MATCH(P1289,Invoices!$B$6:$B$305,0))="Paid","Paid",IF(INDEX(Invoices!$M$6:$M$305,MATCH(P1289,Invoices!$B$6:$B$305,0))="Draft","Draft","Invoiced")))))))</f>
        <v/>
      </c>
      <c r="R1289" s="1">
        <f>IF(AND(B1289&lt;&gt;"",P1289&lt;&gt;"",P1289=Invoice!$G$4),B1289+MOD(N(F1289),1)+ROW()/10000000,"")</f>
        <v/>
      </c>
      <c r="S1289">
        <f>IF(R1289="","",IF(D1289="","Other work",D1289)&amp;IF(AND(K1289&lt;&gt;"",E1289&lt;&gt;""),", "&amp;E1289,""))</f>
        <v/>
      </c>
      <c r="T1289">
        <f>IF(R1289="","",IF(COUNTIFS(R$6:R1288,"&gt;0",S$6:S1288,S1289,N$6:N1288,N1289)=0,R1289,""))</f>
        <v/>
      </c>
      <c r="U1289">
        <f>IF(B1289="","",IF(J1289&lt;&gt;"",0,M1289))</f>
        <v/>
      </c>
    </row>
    <row r="1290">
      <c r="A1290" s="1" t="n"/>
      <c r="B1290" s="16" t="n"/>
      <c r="C1290" s="17" t="n"/>
      <c r="D1290" s="18" t="n"/>
      <c r="E1290" s="18" t="n"/>
      <c r="F1290" s="19" t="n"/>
      <c r="G1290" s="19" t="n"/>
      <c r="H1290" s="20" t="n"/>
      <c r="I1290" s="21" t="n"/>
      <c r="J1290" s="22" t="n"/>
      <c r="K1290" s="23" t="n"/>
      <c r="L1290" s="18" t="n"/>
      <c r="M1290" s="24">
        <f>IF(B1290="","",IF(AND(F1290&lt;&gt;"",G1290&lt;&gt;""),MAX(0,ROUND(MOD(G1290-F1290,1)*24-N(H1290)/60,2)),N(I1290)))</f>
        <v/>
      </c>
      <c r="N1290" s="14">
        <f>IF(B1290="","",IF(K1290&lt;&gt;"",K1290,IF(N(IFERROR(INDEX(Projects!$D$6:$D$65,MATCH(D1290,Projects!$B$6:$B$65,0)),""))&gt;0,IFERROR(INDEX(Projects!$D$6:$D$65,MATCH(D1290,Projects!$B$6:$B$65,0)),""),IFERROR(INDEX(Clients!$G$6:$G$45,MATCH(C1290,Clients!$B$6:$B$45,0)),0))))</f>
        <v/>
      </c>
      <c r="O1290" s="14">
        <f>IF(B1290="","",IF(J1290&lt;&gt;"",0,ROUND(M1290*N1290,2)))</f>
        <v/>
      </c>
      <c r="P1290" s="15">
        <f>IF(OR(B1290="",J1290&lt;&gt;""),"",IF(L1290&lt;&gt;"",L1290,IF(COUNTIFS(Invoices!$C$6:$C$305,C1290,Invoices!$E$6:$E$305,"&lt;="&amp;B1290,Invoices!$F$6:$F$305,"&gt;="&amp;B1290)=1,INDEX(Invoices!$B$6:$B$305,SUMIFS(Invoices!$O$6:$O$305,Invoices!$C$6:$C$305,C1290,Invoices!$E$6:$E$305,"&lt;="&amp;B1290,Invoices!$F$6:$F$305,"&gt;="&amp;B1290)),IF(COUNTIFS(Invoices!$C$6:$C$305,C1290,Invoices!$E$6:$E$305,"&lt;="&amp;B1290,Invoices!$F$6:$F$305,"&gt;="&amp;B1290)&gt;1,"Two invoices",""))))</f>
        <v/>
      </c>
      <c r="Q1290" s="15">
        <f>IF(B1290="","",IF(J1290&lt;&gt;"","Not billable",IF(P1290="","To invoice",IF(P1290="Two invoices","Check dates",IF(ISNA(MATCH(P1290,Invoices!$B$6:$B$305,0)),"Check number",IF(INDEX(Invoices!$M$6:$M$305,MATCH(P1290,Invoices!$B$6:$B$305,0))="Paid","Paid",IF(INDEX(Invoices!$M$6:$M$305,MATCH(P1290,Invoices!$B$6:$B$305,0))="Draft","Draft","Invoiced")))))))</f>
        <v/>
      </c>
      <c r="R1290" s="1">
        <f>IF(AND(B1290&lt;&gt;"",P1290&lt;&gt;"",P1290=Invoice!$G$4),B1290+MOD(N(F1290),1)+ROW()/10000000,"")</f>
        <v/>
      </c>
      <c r="S1290">
        <f>IF(R1290="","",IF(D1290="","Other work",D1290)&amp;IF(AND(K1290&lt;&gt;"",E1290&lt;&gt;""),", "&amp;E1290,""))</f>
        <v/>
      </c>
      <c r="T1290">
        <f>IF(R1290="","",IF(COUNTIFS(R$6:R1289,"&gt;0",S$6:S1289,S1290,N$6:N1289,N1290)=0,R1290,""))</f>
        <v/>
      </c>
      <c r="U1290">
        <f>IF(B1290="","",IF(J1290&lt;&gt;"",0,M1290))</f>
        <v/>
      </c>
    </row>
    <row r="1291">
      <c r="A1291" s="1" t="n"/>
      <c r="B1291" s="16" t="n"/>
      <c r="C1291" s="17" t="n"/>
      <c r="D1291" s="18" t="n"/>
      <c r="E1291" s="18" t="n"/>
      <c r="F1291" s="19" t="n"/>
      <c r="G1291" s="19" t="n"/>
      <c r="H1291" s="20" t="n"/>
      <c r="I1291" s="21" t="n"/>
      <c r="J1291" s="22" t="n"/>
      <c r="K1291" s="23" t="n"/>
      <c r="L1291" s="18" t="n"/>
      <c r="M1291" s="24">
        <f>IF(B1291="","",IF(AND(F1291&lt;&gt;"",G1291&lt;&gt;""),MAX(0,ROUND(MOD(G1291-F1291,1)*24-N(H1291)/60,2)),N(I1291)))</f>
        <v/>
      </c>
      <c r="N1291" s="14">
        <f>IF(B1291="","",IF(K1291&lt;&gt;"",K1291,IF(N(IFERROR(INDEX(Projects!$D$6:$D$65,MATCH(D1291,Projects!$B$6:$B$65,0)),""))&gt;0,IFERROR(INDEX(Projects!$D$6:$D$65,MATCH(D1291,Projects!$B$6:$B$65,0)),""),IFERROR(INDEX(Clients!$G$6:$G$45,MATCH(C1291,Clients!$B$6:$B$45,0)),0))))</f>
        <v/>
      </c>
      <c r="O1291" s="14">
        <f>IF(B1291="","",IF(J1291&lt;&gt;"",0,ROUND(M1291*N1291,2)))</f>
        <v/>
      </c>
      <c r="P1291" s="15">
        <f>IF(OR(B1291="",J1291&lt;&gt;""),"",IF(L1291&lt;&gt;"",L1291,IF(COUNTIFS(Invoices!$C$6:$C$305,C1291,Invoices!$E$6:$E$305,"&lt;="&amp;B1291,Invoices!$F$6:$F$305,"&gt;="&amp;B1291)=1,INDEX(Invoices!$B$6:$B$305,SUMIFS(Invoices!$O$6:$O$305,Invoices!$C$6:$C$305,C1291,Invoices!$E$6:$E$305,"&lt;="&amp;B1291,Invoices!$F$6:$F$305,"&gt;="&amp;B1291)),IF(COUNTIFS(Invoices!$C$6:$C$305,C1291,Invoices!$E$6:$E$305,"&lt;="&amp;B1291,Invoices!$F$6:$F$305,"&gt;="&amp;B1291)&gt;1,"Two invoices",""))))</f>
        <v/>
      </c>
      <c r="Q1291" s="15">
        <f>IF(B1291="","",IF(J1291&lt;&gt;"","Not billable",IF(P1291="","To invoice",IF(P1291="Two invoices","Check dates",IF(ISNA(MATCH(P1291,Invoices!$B$6:$B$305,0)),"Check number",IF(INDEX(Invoices!$M$6:$M$305,MATCH(P1291,Invoices!$B$6:$B$305,0))="Paid","Paid",IF(INDEX(Invoices!$M$6:$M$305,MATCH(P1291,Invoices!$B$6:$B$305,0))="Draft","Draft","Invoiced")))))))</f>
        <v/>
      </c>
      <c r="R1291" s="1">
        <f>IF(AND(B1291&lt;&gt;"",P1291&lt;&gt;"",P1291=Invoice!$G$4),B1291+MOD(N(F1291),1)+ROW()/10000000,"")</f>
        <v/>
      </c>
      <c r="S1291">
        <f>IF(R1291="","",IF(D1291="","Other work",D1291)&amp;IF(AND(K1291&lt;&gt;"",E1291&lt;&gt;""),", "&amp;E1291,""))</f>
        <v/>
      </c>
      <c r="T1291">
        <f>IF(R1291="","",IF(COUNTIFS(R$6:R1290,"&gt;0",S$6:S1290,S1291,N$6:N1290,N1291)=0,R1291,""))</f>
        <v/>
      </c>
      <c r="U1291">
        <f>IF(B1291="","",IF(J1291&lt;&gt;"",0,M1291))</f>
        <v/>
      </c>
    </row>
    <row r="1292">
      <c r="A1292" s="1" t="n"/>
      <c r="B1292" s="16" t="n"/>
      <c r="C1292" s="17" t="n"/>
      <c r="D1292" s="18" t="n"/>
      <c r="E1292" s="18" t="n"/>
      <c r="F1292" s="19" t="n"/>
      <c r="G1292" s="19" t="n"/>
      <c r="H1292" s="20" t="n"/>
      <c r="I1292" s="21" t="n"/>
      <c r="J1292" s="22" t="n"/>
      <c r="K1292" s="23" t="n"/>
      <c r="L1292" s="18" t="n"/>
      <c r="M1292" s="24">
        <f>IF(B1292="","",IF(AND(F1292&lt;&gt;"",G1292&lt;&gt;""),MAX(0,ROUND(MOD(G1292-F1292,1)*24-N(H1292)/60,2)),N(I1292)))</f>
        <v/>
      </c>
      <c r="N1292" s="14">
        <f>IF(B1292="","",IF(K1292&lt;&gt;"",K1292,IF(N(IFERROR(INDEX(Projects!$D$6:$D$65,MATCH(D1292,Projects!$B$6:$B$65,0)),""))&gt;0,IFERROR(INDEX(Projects!$D$6:$D$65,MATCH(D1292,Projects!$B$6:$B$65,0)),""),IFERROR(INDEX(Clients!$G$6:$G$45,MATCH(C1292,Clients!$B$6:$B$45,0)),0))))</f>
        <v/>
      </c>
      <c r="O1292" s="14">
        <f>IF(B1292="","",IF(J1292&lt;&gt;"",0,ROUND(M1292*N1292,2)))</f>
        <v/>
      </c>
      <c r="P1292" s="15">
        <f>IF(OR(B1292="",J1292&lt;&gt;""),"",IF(L1292&lt;&gt;"",L1292,IF(COUNTIFS(Invoices!$C$6:$C$305,C1292,Invoices!$E$6:$E$305,"&lt;="&amp;B1292,Invoices!$F$6:$F$305,"&gt;="&amp;B1292)=1,INDEX(Invoices!$B$6:$B$305,SUMIFS(Invoices!$O$6:$O$305,Invoices!$C$6:$C$305,C1292,Invoices!$E$6:$E$305,"&lt;="&amp;B1292,Invoices!$F$6:$F$305,"&gt;="&amp;B1292)),IF(COUNTIFS(Invoices!$C$6:$C$305,C1292,Invoices!$E$6:$E$305,"&lt;="&amp;B1292,Invoices!$F$6:$F$305,"&gt;="&amp;B1292)&gt;1,"Two invoices",""))))</f>
        <v/>
      </c>
      <c r="Q1292" s="15">
        <f>IF(B1292="","",IF(J1292&lt;&gt;"","Not billable",IF(P1292="","To invoice",IF(P1292="Two invoices","Check dates",IF(ISNA(MATCH(P1292,Invoices!$B$6:$B$305,0)),"Check number",IF(INDEX(Invoices!$M$6:$M$305,MATCH(P1292,Invoices!$B$6:$B$305,0))="Paid","Paid",IF(INDEX(Invoices!$M$6:$M$305,MATCH(P1292,Invoices!$B$6:$B$305,0))="Draft","Draft","Invoiced")))))))</f>
        <v/>
      </c>
      <c r="R1292" s="1">
        <f>IF(AND(B1292&lt;&gt;"",P1292&lt;&gt;"",P1292=Invoice!$G$4),B1292+MOD(N(F1292),1)+ROW()/10000000,"")</f>
        <v/>
      </c>
      <c r="S1292">
        <f>IF(R1292="","",IF(D1292="","Other work",D1292)&amp;IF(AND(K1292&lt;&gt;"",E1292&lt;&gt;""),", "&amp;E1292,""))</f>
        <v/>
      </c>
      <c r="T1292">
        <f>IF(R1292="","",IF(COUNTIFS(R$6:R1291,"&gt;0",S$6:S1291,S1292,N$6:N1291,N1292)=0,R1292,""))</f>
        <v/>
      </c>
      <c r="U1292">
        <f>IF(B1292="","",IF(J1292&lt;&gt;"",0,M1292))</f>
        <v/>
      </c>
    </row>
    <row r="1293">
      <c r="A1293" s="1" t="n"/>
      <c r="B1293" s="16" t="n"/>
      <c r="C1293" s="17" t="n"/>
      <c r="D1293" s="18" t="n"/>
      <c r="E1293" s="18" t="n"/>
      <c r="F1293" s="19" t="n"/>
      <c r="G1293" s="19" t="n"/>
      <c r="H1293" s="20" t="n"/>
      <c r="I1293" s="21" t="n"/>
      <c r="J1293" s="22" t="n"/>
      <c r="K1293" s="23" t="n"/>
      <c r="L1293" s="18" t="n"/>
      <c r="M1293" s="24">
        <f>IF(B1293="","",IF(AND(F1293&lt;&gt;"",G1293&lt;&gt;""),MAX(0,ROUND(MOD(G1293-F1293,1)*24-N(H1293)/60,2)),N(I1293)))</f>
        <v/>
      </c>
      <c r="N1293" s="14">
        <f>IF(B1293="","",IF(K1293&lt;&gt;"",K1293,IF(N(IFERROR(INDEX(Projects!$D$6:$D$65,MATCH(D1293,Projects!$B$6:$B$65,0)),""))&gt;0,IFERROR(INDEX(Projects!$D$6:$D$65,MATCH(D1293,Projects!$B$6:$B$65,0)),""),IFERROR(INDEX(Clients!$G$6:$G$45,MATCH(C1293,Clients!$B$6:$B$45,0)),0))))</f>
        <v/>
      </c>
      <c r="O1293" s="14">
        <f>IF(B1293="","",IF(J1293&lt;&gt;"",0,ROUND(M1293*N1293,2)))</f>
        <v/>
      </c>
      <c r="P1293" s="15">
        <f>IF(OR(B1293="",J1293&lt;&gt;""),"",IF(L1293&lt;&gt;"",L1293,IF(COUNTIFS(Invoices!$C$6:$C$305,C1293,Invoices!$E$6:$E$305,"&lt;="&amp;B1293,Invoices!$F$6:$F$305,"&gt;="&amp;B1293)=1,INDEX(Invoices!$B$6:$B$305,SUMIFS(Invoices!$O$6:$O$305,Invoices!$C$6:$C$305,C1293,Invoices!$E$6:$E$305,"&lt;="&amp;B1293,Invoices!$F$6:$F$305,"&gt;="&amp;B1293)),IF(COUNTIFS(Invoices!$C$6:$C$305,C1293,Invoices!$E$6:$E$305,"&lt;="&amp;B1293,Invoices!$F$6:$F$305,"&gt;="&amp;B1293)&gt;1,"Two invoices",""))))</f>
        <v/>
      </c>
      <c r="Q1293" s="15">
        <f>IF(B1293="","",IF(J1293&lt;&gt;"","Not billable",IF(P1293="","To invoice",IF(P1293="Two invoices","Check dates",IF(ISNA(MATCH(P1293,Invoices!$B$6:$B$305,0)),"Check number",IF(INDEX(Invoices!$M$6:$M$305,MATCH(P1293,Invoices!$B$6:$B$305,0))="Paid","Paid",IF(INDEX(Invoices!$M$6:$M$305,MATCH(P1293,Invoices!$B$6:$B$305,0))="Draft","Draft","Invoiced")))))))</f>
        <v/>
      </c>
      <c r="R1293" s="1">
        <f>IF(AND(B1293&lt;&gt;"",P1293&lt;&gt;"",P1293=Invoice!$G$4),B1293+MOD(N(F1293),1)+ROW()/10000000,"")</f>
        <v/>
      </c>
      <c r="S1293">
        <f>IF(R1293="","",IF(D1293="","Other work",D1293)&amp;IF(AND(K1293&lt;&gt;"",E1293&lt;&gt;""),", "&amp;E1293,""))</f>
        <v/>
      </c>
      <c r="T1293">
        <f>IF(R1293="","",IF(COUNTIFS(R$6:R1292,"&gt;0",S$6:S1292,S1293,N$6:N1292,N1293)=0,R1293,""))</f>
        <v/>
      </c>
      <c r="U1293">
        <f>IF(B1293="","",IF(J1293&lt;&gt;"",0,M1293))</f>
        <v/>
      </c>
    </row>
    <row r="1294">
      <c r="A1294" s="1" t="n"/>
      <c r="B1294" s="16" t="n"/>
      <c r="C1294" s="17" t="n"/>
      <c r="D1294" s="18" t="n"/>
      <c r="E1294" s="18" t="n"/>
      <c r="F1294" s="19" t="n"/>
      <c r="G1294" s="19" t="n"/>
      <c r="H1294" s="20" t="n"/>
      <c r="I1294" s="21" t="n"/>
      <c r="J1294" s="22" t="n"/>
      <c r="K1294" s="23" t="n"/>
      <c r="L1294" s="18" t="n"/>
      <c r="M1294" s="24">
        <f>IF(B1294="","",IF(AND(F1294&lt;&gt;"",G1294&lt;&gt;""),MAX(0,ROUND(MOD(G1294-F1294,1)*24-N(H1294)/60,2)),N(I1294)))</f>
        <v/>
      </c>
      <c r="N1294" s="14">
        <f>IF(B1294="","",IF(K1294&lt;&gt;"",K1294,IF(N(IFERROR(INDEX(Projects!$D$6:$D$65,MATCH(D1294,Projects!$B$6:$B$65,0)),""))&gt;0,IFERROR(INDEX(Projects!$D$6:$D$65,MATCH(D1294,Projects!$B$6:$B$65,0)),""),IFERROR(INDEX(Clients!$G$6:$G$45,MATCH(C1294,Clients!$B$6:$B$45,0)),0))))</f>
        <v/>
      </c>
      <c r="O1294" s="14">
        <f>IF(B1294="","",IF(J1294&lt;&gt;"",0,ROUND(M1294*N1294,2)))</f>
        <v/>
      </c>
      <c r="P1294" s="15">
        <f>IF(OR(B1294="",J1294&lt;&gt;""),"",IF(L1294&lt;&gt;"",L1294,IF(COUNTIFS(Invoices!$C$6:$C$305,C1294,Invoices!$E$6:$E$305,"&lt;="&amp;B1294,Invoices!$F$6:$F$305,"&gt;="&amp;B1294)=1,INDEX(Invoices!$B$6:$B$305,SUMIFS(Invoices!$O$6:$O$305,Invoices!$C$6:$C$305,C1294,Invoices!$E$6:$E$305,"&lt;="&amp;B1294,Invoices!$F$6:$F$305,"&gt;="&amp;B1294)),IF(COUNTIFS(Invoices!$C$6:$C$305,C1294,Invoices!$E$6:$E$305,"&lt;="&amp;B1294,Invoices!$F$6:$F$305,"&gt;="&amp;B1294)&gt;1,"Two invoices",""))))</f>
        <v/>
      </c>
      <c r="Q1294" s="15">
        <f>IF(B1294="","",IF(J1294&lt;&gt;"","Not billable",IF(P1294="","To invoice",IF(P1294="Two invoices","Check dates",IF(ISNA(MATCH(P1294,Invoices!$B$6:$B$305,0)),"Check number",IF(INDEX(Invoices!$M$6:$M$305,MATCH(P1294,Invoices!$B$6:$B$305,0))="Paid","Paid",IF(INDEX(Invoices!$M$6:$M$305,MATCH(P1294,Invoices!$B$6:$B$305,0))="Draft","Draft","Invoiced")))))))</f>
        <v/>
      </c>
      <c r="R1294" s="1">
        <f>IF(AND(B1294&lt;&gt;"",P1294&lt;&gt;"",P1294=Invoice!$G$4),B1294+MOD(N(F1294),1)+ROW()/10000000,"")</f>
        <v/>
      </c>
      <c r="S1294">
        <f>IF(R1294="","",IF(D1294="","Other work",D1294)&amp;IF(AND(K1294&lt;&gt;"",E1294&lt;&gt;""),", "&amp;E1294,""))</f>
        <v/>
      </c>
      <c r="T1294">
        <f>IF(R1294="","",IF(COUNTIFS(R$6:R1293,"&gt;0",S$6:S1293,S1294,N$6:N1293,N1294)=0,R1294,""))</f>
        <v/>
      </c>
      <c r="U1294">
        <f>IF(B1294="","",IF(J1294&lt;&gt;"",0,M1294))</f>
        <v/>
      </c>
    </row>
    <row r="1295">
      <c r="A1295" s="1" t="n"/>
      <c r="B1295" s="16" t="n"/>
      <c r="C1295" s="17" t="n"/>
      <c r="D1295" s="18" t="n"/>
      <c r="E1295" s="18" t="n"/>
      <c r="F1295" s="19" t="n"/>
      <c r="G1295" s="19" t="n"/>
      <c r="H1295" s="20" t="n"/>
      <c r="I1295" s="21" t="n"/>
      <c r="J1295" s="22" t="n"/>
      <c r="K1295" s="23" t="n"/>
      <c r="L1295" s="18" t="n"/>
      <c r="M1295" s="24">
        <f>IF(B1295="","",IF(AND(F1295&lt;&gt;"",G1295&lt;&gt;""),MAX(0,ROUND(MOD(G1295-F1295,1)*24-N(H1295)/60,2)),N(I1295)))</f>
        <v/>
      </c>
      <c r="N1295" s="14">
        <f>IF(B1295="","",IF(K1295&lt;&gt;"",K1295,IF(N(IFERROR(INDEX(Projects!$D$6:$D$65,MATCH(D1295,Projects!$B$6:$B$65,0)),""))&gt;0,IFERROR(INDEX(Projects!$D$6:$D$65,MATCH(D1295,Projects!$B$6:$B$65,0)),""),IFERROR(INDEX(Clients!$G$6:$G$45,MATCH(C1295,Clients!$B$6:$B$45,0)),0))))</f>
        <v/>
      </c>
      <c r="O1295" s="14">
        <f>IF(B1295="","",IF(J1295&lt;&gt;"",0,ROUND(M1295*N1295,2)))</f>
        <v/>
      </c>
      <c r="P1295" s="15">
        <f>IF(OR(B1295="",J1295&lt;&gt;""),"",IF(L1295&lt;&gt;"",L1295,IF(COUNTIFS(Invoices!$C$6:$C$305,C1295,Invoices!$E$6:$E$305,"&lt;="&amp;B1295,Invoices!$F$6:$F$305,"&gt;="&amp;B1295)=1,INDEX(Invoices!$B$6:$B$305,SUMIFS(Invoices!$O$6:$O$305,Invoices!$C$6:$C$305,C1295,Invoices!$E$6:$E$305,"&lt;="&amp;B1295,Invoices!$F$6:$F$305,"&gt;="&amp;B1295)),IF(COUNTIFS(Invoices!$C$6:$C$305,C1295,Invoices!$E$6:$E$305,"&lt;="&amp;B1295,Invoices!$F$6:$F$305,"&gt;="&amp;B1295)&gt;1,"Two invoices",""))))</f>
        <v/>
      </c>
      <c r="Q1295" s="15">
        <f>IF(B1295="","",IF(J1295&lt;&gt;"","Not billable",IF(P1295="","To invoice",IF(P1295="Two invoices","Check dates",IF(ISNA(MATCH(P1295,Invoices!$B$6:$B$305,0)),"Check number",IF(INDEX(Invoices!$M$6:$M$305,MATCH(P1295,Invoices!$B$6:$B$305,0))="Paid","Paid",IF(INDEX(Invoices!$M$6:$M$305,MATCH(P1295,Invoices!$B$6:$B$305,0))="Draft","Draft","Invoiced")))))))</f>
        <v/>
      </c>
      <c r="R1295" s="1">
        <f>IF(AND(B1295&lt;&gt;"",P1295&lt;&gt;"",P1295=Invoice!$G$4),B1295+MOD(N(F1295),1)+ROW()/10000000,"")</f>
        <v/>
      </c>
      <c r="S1295">
        <f>IF(R1295="","",IF(D1295="","Other work",D1295)&amp;IF(AND(K1295&lt;&gt;"",E1295&lt;&gt;""),", "&amp;E1295,""))</f>
        <v/>
      </c>
      <c r="T1295">
        <f>IF(R1295="","",IF(COUNTIFS(R$6:R1294,"&gt;0",S$6:S1294,S1295,N$6:N1294,N1295)=0,R1295,""))</f>
        <v/>
      </c>
      <c r="U1295">
        <f>IF(B1295="","",IF(J1295&lt;&gt;"",0,M1295))</f>
        <v/>
      </c>
    </row>
    <row r="1296">
      <c r="A1296" s="1" t="n"/>
      <c r="B1296" s="16" t="n"/>
      <c r="C1296" s="17" t="n"/>
      <c r="D1296" s="18" t="n"/>
      <c r="E1296" s="18" t="n"/>
      <c r="F1296" s="19" t="n"/>
      <c r="G1296" s="19" t="n"/>
      <c r="H1296" s="20" t="n"/>
      <c r="I1296" s="21" t="n"/>
      <c r="J1296" s="22" t="n"/>
      <c r="K1296" s="23" t="n"/>
      <c r="L1296" s="18" t="n"/>
      <c r="M1296" s="24">
        <f>IF(B1296="","",IF(AND(F1296&lt;&gt;"",G1296&lt;&gt;""),MAX(0,ROUND(MOD(G1296-F1296,1)*24-N(H1296)/60,2)),N(I1296)))</f>
        <v/>
      </c>
      <c r="N1296" s="14">
        <f>IF(B1296="","",IF(K1296&lt;&gt;"",K1296,IF(N(IFERROR(INDEX(Projects!$D$6:$D$65,MATCH(D1296,Projects!$B$6:$B$65,0)),""))&gt;0,IFERROR(INDEX(Projects!$D$6:$D$65,MATCH(D1296,Projects!$B$6:$B$65,0)),""),IFERROR(INDEX(Clients!$G$6:$G$45,MATCH(C1296,Clients!$B$6:$B$45,0)),0))))</f>
        <v/>
      </c>
      <c r="O1296" s="14">
        <f>IF(B1296="","",IF(J1296&lt;&gt;"",0,ROUND(M1296*N1296,2)))</f>
        <v/>
      </c>
      <c r="P1296" s="15">
        <f>IF(OR(B1296="",J1296&lt;&gt;""),"",IF(L1296&lt;&gt;"",L1296,IF(COUNTIFS(Invoices!$C$6:$C$305,C1296,Invoices!$E$6:$E$305,"&lt;="&amp;B1296,Invoices!$F$6:$F$305,"&gt;="&amp;B1296)=1,INDEX(Invoices!$B$6:$B$305,SUMIFS(Invoices!$O$6:$O$305,Invoices!$C$6:$C$305,C1296,Invoices!$E$6:$E$305,"&lt;="&amp;B1296,Invoices!$F$6:$F$305,"&gt;="&amp;B1296)),IF(COUNTIFS(Invoices!$C$6:$C$305,C1296,Invoices!$E$6:$E$305,"&lt;="&amp;B1296,Invoices!$F$6:$F$305,"&gt;="&amp;B1296)&gt;1,"Two invoices",""))))</f>
        <v/>
      </c>
      <c r="Q1296" s="15">
        <f>IF(B1296="","",IF(J1296&lt;&gt;"","Not billable",IF(P1296="","To invoice",IF(P1296="Two invoices","Check dates",IF(ISNA(MATCH(P1296,Invoices!$B$6:$B$305,0)),"Check number",IF(INDEX(Invoices!$M$6:$M$305,MATCH(P1296,Invoices!$B$6:$B$305,0))="Paid","Paid",IF(INDEX(Invoices!$M$6:$M$305,MATCH(P1296,Invoices!$B$6:$B$305,0))="Draft","Draft","Invoiced")))))))</f>
        <v/>
      </c>
      <c r="R1296" s="1">
        <f>IF(AND(B1296&lt;&gt;"",P1296&lt;&gt;"",P1296=Invoice!$G$4),B1296+MOD(N(F1296),1)+ROW()/10000000,"")</f>
        <v/>
      </c>
      <c r="S1296">
        <f>IF(R1296="","",IF(D1296="","Other work",D1296)&amp;IF(AND(K1296&lt;&gt;"",E1296&lt;&gt;""),", "&amp;E1296,""))</f>
        <v/>
      </c>
      <c r="T1296">
        <f>IF(R1296="","",IF(COUNTIFS(R$6:R1295,"&gt;0",S$6:S1295,S1296,N$6:N1295,N1296)=0,R1296,""))</f>
        <v/>
      </c>
      <c r="U1296">
        <f>IF(B1296="","",IF(J1296&lt;&gt;"",0,M1296))</f>
        <v/>
      </c>
    </row>
    <row r="1297">
      <c r="A1297" s="1" t="n"/>
      <c r="B1297" s="16" t="n"/>
      <c r="C1297" s="17" t="n"/>
      <c r="D1297" s="18" t="n"/>
      <c r="E1297" s="18" t="n"/>
      <c r="F1297" s="19" t="n"/>
      <c r="G1297" s="19" t="n"/>
      <c r="H1297" s="20" t="n"/>
      <c r="I1297" s="21" t="n"/>
      <c r="J1297" s="22" t="n"/>
      <c r="K1297" s="23" t="n"/>
      <c r="L1297" s="18" t="n"/>
      <c r="M1297" s="24">
        <f>IF(B1297="","",IF(AND(F1297&lt;&gt;"",G1297&lt;&gt;""),MAX(0,ROUND(MOD(G1297-F1297,1)*24-N(H1297)/60,2)),N(I1297)))</f>
        <v/>
      </c>
      <c r="N1297" s="14">
        <f>IF(B1297="","",IF(K1297&lt;&gt;"",K1297,IF(N(IFERROR(INDEX(Projects!$D$6:$D$65,MATCH(D1297,Projects!$B$6:$B$65,0)),""))&gt;0,IFERROR(INDEX(Projects!$D$6:$D$65,MATCH(D1297,Projects!$B$6:$B$65,0)),""),IFERROR(INDEX(Clients!$G$6:$G$45,MATCH(C1297,Clients!$B$6:$B$45,0)),0))))</f>
        <v/>
      </c>
      <c r="O1297" s="14">
        <f>IF(B1297="","",IF(J1297&lt;&gt;"",0,ROUND(M1297*N1297,2)))</f>
        <v/>
      </c>
      <c r="P1297" s="15">
        <f>IF(OR(B1297="",J1297&lt;&gt;""),"",IF(L1297&lt;&gt;"",L1297,IF(COUNTIFS(Invoices!$C$6:$C$305,C1297,Invoices!$E$6:$E$305,"&lt;="&amp;B1297,Invoices!$F$6:$F$305,"&gt;="&amp;B1297)=1,INDEX(Invoices!$B$6:$B$305,SUMIFS(Invoices!$O$6:$O$305,Invoices!$C$6:$C$305,C1297,Invoices!$E$6:$E$305,"&lt;="&amp;B1297,Invoices!$F$6:$F$305,"&gt;="&amp;B1297)),IF(COUNTIFS(Invoices!$C$6:$C$305,C1297,Invoices!$E$6:$E$305,"&lt;="&amp;B1297,Invoices!$F$6:$F$305,"&gt;="&amp;B1297)&gt;1,"Two invoices",""))))</f>
        <v/>
      </c>
      <c r="Q1297" s="15">
        <f>IF(B1297="","",IF(J1297&lt;&gt;"","Not billable",IF(P1297="","To invoice",IF(P1297="Two invoices","Check dates",IF(ISNA(MATCH(P1297,Invoices!$B$6:$B$305,0)),"Check number",IF(INDEX(Invoices!$M$6:$M$305,MATCH(P1297,Invoices!$B$6:$B$305,0))="Paid","Paid",IF(INDEX(Invoices!$M$6:$M$305,MATCH(P1297,Invoices!$B$6:$B$305,0))="Draft","Draft","Invoiced")))))))</f>
        <v/>
      </c>
      <c r="R1297" s="1">
        <f>IF(AND(B1297&lt;&gt;"",P1297&lt;&gt;"",P1297=Invoice!$G$4),B1297+MOD(N(F1297),1)+ROW()/10000000,"")</f>
        <v/>
      </c>
      <c r="S1297">
        <f>IF(R1297="","",IF(D1297="","Other work",D1297)&amp;IF(AND(K1297&lt;&gt;"",E1297&lt;&gt;""),", "&amp;E1297,""))</f>
        <v/>
      </c>
      <c r="T1297">
        <f>IF(R1297="","",IF(COUNTIFS(R$6:R1296,"&gt;0",S$6:S1296,S1297,N$6:N1296,N1297)=0,R1297,""))</f>
        <v/>
      </c>
      <c r="U1297">
        <f>IF(B1297="","",IF(J1297&lt;&gt;"",0,M1297))</f>
        <v/>
      </c>
    </row>
    <row r="1298">
      <c r="A1298" s="1" t="n"/>
      <c r="B1298" s="16" t="n"/>
      <c r="C1298" s="17" t="n"/>
      <c r="D1298" s="18" t="n"/>
      <c r="E1298" s="18" t="n"/>
      <c r="F1298" s="19" t="n"/>
      <c r="G1298" s="19" t="n"/>
      <c r="H1298" s="20" t="n"/>
      <c r="I1298" s="21" t="n"/>
      <c r="J1298" s="22" t="n"/>
      <c r="K1298" s="23" t="n"/>
      <c r="L1298" s="18" t="n"/>
      <c r="M1298" s="24">
        <f>IF(B1298="","",IF(AND(F1298&lt;&gt;"",G1298&lt;&gt;""),MAX(0,ROUND(MOD(G1298-F1298,1)*24-N(H1298)/60,2)),N(I1298)))</f>
        <v/>
      </c>
      <c r="N1298" s="14">
        <f>IF(B1298="","",IF(K1298&lt;&gt;"",K1298,IF(N(IFERROR(INDEX(Projects!$D$6:$D$65,MATCH(D1298,Projects!$B$6:$B$65,0)),""))&gt;0,IFERROR(INDEX(Projects!$D$6:$D$65,MATCH(D1298,Projects!$B$6:$B$65,0)),""),IFERROR(INDEX(Clients!$G$6:$G$45,MATCH(C1298,Clients!$B$6:$B$45,0)),0))))</f>
        <v/>
      </c>
      <c r="O1298" s="14">
        <f>IF(B1298="","",IF(J1298&lt;&gt;"",0,ROUND(M1298*N1298,2)))</f>
        <v/>
      </c>
      <c r="P1298" s="15">
        <f>IF(OR(B1298="",J1298&lt;&gt;""),"",IF(L1298&lt;&gt;"",L1298,IF(COUNTIFS(Invoices!$C$6:$C$305,C1298,Invoices!$E$6:$E$305,"&lt;="&amp;B1298,Invoices!$F$6:$F$305,"&gt;="&amp;B1298)=1,INDEX(Invoices!$B$6:$B$305,SUMIFS(Invoices!$O$6:$O$305,Invoices!$C$6:$C$305,C1298,Invoices!$E$6:$E$305,"&lt;="&amp;B1298,Invoices!$F$6:$F$305,"&gt;="&amp;B1298)),IF(COUNTIFS(Invoices!$C$6:$C$305,C1298,Invoices!$E$6:$E$305,"&lt;="&amp;B1298,Invoices!$F$6:$F$305,"&gt;="&amp;B1298)&gt;1,"Two invoices",""))))</f>
        <v/>
      </c>
      <c r="Q1298" s="15">
        <f>IF(B1298="","",IF(J1298&lt;&gt;"","Not billable",IF(P1298="","To invoice",IF(P1298="Two invoices","Check dates",IF(ISNA(MATCH(P1298,Invoices!$B$6:$B$305,0)),"Check number",IF(INDEX(Invoices!$M$6:$M$305,MATCH(P1298,Invoices!$B$6:$B$305,0))="Paid","Paid",IF(INDEX(Invoices!$M$6:$M$305,MATCH(P1298,Invoices!$B$6:$B$305,0))="Draft","Draft","Invoiced")))))))</f>
        <v/>
      </c>
      <c r="R1298" s="1">
        <f>IF(AND(B1298&lt;&gt;"",P1298&lt;&gt;"",P1298=Invoice!$G$4),B1298+MOD(N(F1298),1)+ROW()/10000000,"")</f>
        <v/>
      </c>
      <c r="S1298">
        <f>IF(R1298="","",IF(D1298="","Other work",D1298)&amp;IF(AND(K1298&lt;&gt;"",E1298&lt;&gt;""),", "&amp;E1298,""))</f>
        <v/>
      </c>
      <c r="T1298">
        <f>IF(R1298="","",IF(COUNTIFS(R$6:R1297,"&gt;0",S$6:S1297,S1298,N$6:N1297,N1298)=0,R1298,""))</f>
        <v/>
      </c>
      <c r="U1298">
        <f>IF(B1298="","",IF(J1298&lt;&gt;"",0,M1298))</f>
        <v/>
      </c>
    </row>
    <row r="1299">
      <c r="A1299" s="1" t="n"/>
      <c r="B1299" s="16" t="n"/>
      <c r="C1299" s="17" t="n"/>
      <c r="D1299" s="18" t="n"/>
      <c r="E1299" s="18" t="n"/>
      <c r="F1299" s="19" t="n"/>
      <c r="G1299" s="19" t="n"/>
      <c r="H1299" s="20" t="n"/>
      <c r="I1299" s="21" t="n"/>
      <c r="J1299" s="22" t="n"/>
      <c r="K1299" s="23" t="n"/>
      <c r="L1299" s="18" t="n"/>
      <c r="M1299" s="24">
        <f>IF(B1299="","",IF(AND(F1299&lt;&gt;"",G1299&lt;&gt;""),MAX(0,ROUND(MOD(G1299-F1299,1)*24-N(H1299)/60,2)),N(I1299)))</f>
        <v/>
      </c>
      <c r="N1299" s="14">
        <f>IF(B1299="","",IF(K1299&lt;&gt;"",K1299,IF(N(IFERROR(INDEX(Projects!$D$6:$D$65,MATCH(D1299,Projects!$B$6:$B$65,0)),""))&gt;0,IFERROR(INDEX(Projects!$D$6:$D$65,MATCH(D1299,Projects!$B$6:$B$65,0)),""),IFERROR(INDEX(Clients!$G$6:$G$45,MATCH(C1299,Clients!$B$6:$B$45,0)),0))))</f>
        <v/>
      </c>
      <c r="O1299" s="14">
        <f>IF(B1299="","",IF(J1299&lt;&gt;"",0,ROUND(M1299*N1299,2)))</f>
        <v/>
      </c>
      <c r="P1299" s="15">
        <f>IF(OR(B1299="",J1299&lt;&gt;""),"",IF(L1299&lt;&gt;"",L1299,IF(COUNTIFS(Invoices!$C$6:$C$305,C1299,Invoices!$E$6:$E$305,"&lt;="&amp;B1299,Invoices!$F$6:$F$305,"&gt;="&amp;B1299)=1,INDEX(Invoices!$B$6:$B$305,SUMIFS(Invoices!$O$6:$O$305,Invoices!$C$6:$C$305,C1299,Invoices!$E$6:$E$305,"&lt;="&amp;B1299,Invoices!$F$6:$F$305,"&gt;="&amp;B1299)),IF(COUNTIFS(Invoices!$C$6:$C$305,C1299,Invoices!$E$6:$E$305,"&lt;="&amp;B1299,Invoices!$F$6:$F$305,"&gt;="&amp;B1299)&gt;1,"Two invoices",""))))</f>
        <v/>
      </c>
      <c r="Q1299" s="15">
        <f>IF(B1299="","",IF(J1299&lt;&gt;"","Not billable",IF(P1299="","To invoice",IF(P1299="Two invoices","Check dates",IF(ISNA(MATCH(P1299,Invoices!$B$6:$B$305,0)),"Check number",IF(INDEX(Invoices!$M$6:$M$305,MATCH(P1299,Invoices!$B$6:$B$305,0))="Paid","Paid",IF(INDEX(Invoices!$M$6:$M$305,MATCH(P1299,Invoices!$B$6:$B$305,0))="Draft","Draft","Invoiced")))))))</f>
        <v/>
      </c>
      <c r="R1299" s="1">
        <f>IF(AND(B1299&lt;&gt;"",P1299&lt;&gt;"",P1299=Invoice!$G$4),B1299+MOD(N(F1299),1)+ROW()/10000000,"")</f>
        <v/>
      </c>
      <c r="S1299">
        <f>IF(R1299="","",IF(D1299="","Other work",D1299)&amp;IF(AND(K1299&lt;&gt;"",E1299&lt;&gt;""),", "&amp;E1299,""))</f>
        <v/>
      </c>
      <c r="T1299">
        <f>IF(R1299="","",IF(COUNTIFS(R$6:R1298,"&gt;0",S$6:S1298,S1299,N$6:N1298,N1299)=0,R1299,""))</f>
        <v/>
      </c>
      <c r="U1299">
        <f>IF(B1299="","",IF(J1299&lt;&gt;"",0,M1299))</f>
        <v/>
      </c>
    </row>
    <row r="1300">
      <c r="A1300" s="1" t="n"/>
      <c r="B1300" s="16" t="n"/>
      <c r="C1300" s="17" t="n"/>
      <c r="D1300" s="18" t="n"/>
      <c r="E1300" s="18" t="n"/>
      <c r="F1300" s="19" t="n"/>
      <c r="G1300" s="19" t="n"/>
      <c r="H1300" s="20" t="n"/>
      <c r="I1300" s="21" t="n"/>
      <c r="J1300" s="22" t="n"/>
      <c r="K1300" s="23" t="n"/>
      <c r="L1300" s="18" t="n"/>
      <c r="M1300" s="24">
        <f>IF(B1300="","",IF(AND(F1300&lt;&gt;"",G1300&lt;&gt;""),MAX(0,ROUND(MOD(G1300-F1300,1)*24-N(H1300)/60,2)),N(I1300)))</f>
        <v/>
      </c>
      <c r="N1300" s="14">
        <f>IF(B1300="","",IF(K1300&lt;&gt;"",K1300,IF(N(IFERROR(INDEX(Projects!$D$6:$D$65,MATCH(D1300,Projects!$B$6:$B$65,0)),""))&gt;0,IFERROR(INDEX(Projects!$D$6:$D$65,MATCH(D1300,Projects!$B$6:$B$65,0)),""),IFERROR(INDEX(Clients!$G$6:$G$45,MATCH(C1300,Clients!$B$6:$B$45,0)),0))))</f>
        <v/>
      </c>
      <c r="O1300" s="14">
        <f>IF(B1300="","",IF(J1300&lt;&gt;"",0,ROUND(M1300*N1300,2)))</f>
        <v/>
      </c>
      <c r="P1300" s="15">
        <f>IF(OR(B1300="",J1300&lt;&gt;""),"",IF(L1300&lt;&gt;"",L1300,IF(COUNTIFS(Invoices!$C$6:$C$305,C1300,Invoices!$E$6:$E$305,"&lt;="&amp;B1300,Invoices!$F$6:$F$305,"&gt;="&amp;B1300)=1,INDEX(Invoices!$B$6:$B$305,SUMIFS(Invoices!$O$6:$O$305,Invoices!$C$6:$C$305,C1300,Invoices!$E$6:$E$305,"&lt;="&amp;B1300,Invoices!$F$6:$F$305,"&gt;="&amp;B1300)),IF(COUNTIFS(Invoices!$C$6:$C$305,C1300,Invoices!$E$6:$E$305,"&lt;="&amp;B1300,Invoices!$F$6:$F$305,"&gt;="&amp;B1300)&gt;1,"Two invoices",""))))</f>
        <v/>
      </c>
      <c r="Q1300" s="15">
        <f>IF(B1300="","",IF(J1300&lt;&gt;"","Not billable",IF(P1300="","To invoice",IF(P1300="Two invoices","Check dates",IF(ISNA(MATCH(P1300,Invoices!$B$6:$B$305,0)),"Check number",IF(INDEX(Invoices!$M$6:$M$305,MATCH(P1300,Invoices!$B$6:$B$305,0))="Paid","Paid",IF(INDEX(Invoices!$M$6:$M$305,MATCH(P1300,Invoices!$B$6:$B$305,0))="Draft","Draft","Invoiced")))))))</f>
        <v/>
      </c>
      <c r="R1300" s="1">
        <f>IF(AND(B1300&lt;&gt;"",P1300&lt;&gt;"",P1300=Invoice!$G$4),B1300+MOD(N(F1300),1)+ROW()/10000000,"")</f>
        <v/>
      </c>
      <c r="S1300">
        <f>IF(R1300="","",IF(D1300="","Other work",D1300)&amp;IF(AND(K1300&lt;&gt;"",E1300&lt;&gt;""),", "&amp;E1300,""))</f>
        <v/>
      </c>
      <c r="T1300">
        <f>IF(R1300="","",IF(COUNTIFS(R$6:R1299,"&gt;0",S$6:S1299,S1300,N$6:N1299,N1300)=0,R1300,""))</f>
        <v/>
      </c>
      <c r="U1300">
        <f>IF(B1300="","",IF(J1300&lt;&gt;"",0,M1300))</f>
        <v/>
      </c>
    </row>
    <row r="1301">
      <c r="A1301" s="1" t="n"/>
      <c r="B1301" s="16" t="n"/>
      <c r="C1301" s="17" t="n"/>
      <c r="D1301" s="18" t="n"/>
      <c r="E1301" s="18" t="n"/>
      <c r="F1301" s="19" t="n"/>
      <c r="G1301" s="19" t="n"/>
      <c r="H1301" s="20" t="n"/>
      <c r="I1301" s="21" t="n"/>
      <c r="J1301" s="22" t="n"/>
      <c r="K1301" s="23" t="n"/>
      <c r="L1301" s="18" t="n"/>
      <c r="M1301" s="24">
        <f>IF(B1301="","",IF(AND(F1301&lt;&gt;"",G1301&lt;&gt;""),MAX(0,ROUND(MOD(G1301-F1301,1)*24-N(H1301)/60,2)),N(I1301)))</f>
        <v/>
      </c>
      <c r="N1301" s="14">
        <f>IF(B1301="","",IF(K1301&lt;&gt;"",K1301,IF(N(IFERROR(INDEX(Projects!$D$6:$D$65,MATCH(D1301,Projects!$B$6:$B$65,0)),""))&gt;0,IFERROR(INDEX(Projects!$D$6:$D$65,MATCH(D1301,Projects!$B$6:$B$65,0)),""),IFERROR(INDEX(Clients!$G$6:$G$45,MATCH(C1301,Clients!$B$6:$B$45,0)),0))))</f>
        <v/>
      </c>
      <c r="O1301" s="14">
        <f>IF(B1301="","",IF(J1301&lt;&gt;"",0,ROUND(M1301*N1301,2)))</f>
        <v/>
      </c>
      <c r="P1301" s="15">
        <f>IF(OR(B1301="",J1301&lt;&gt;""),"",IF(L1301&lt;&gt;"",L1301,IF(COUNTIFS(Invoices!$C$6:$C$305,C1301,Invoices!$E$6:$E$305,"&lt;="&amp;B1301,Invoices!$F$6:$F$305,"&gt;="&amp;B1301)=1,INDEX(Invoices!$B$6:$B$305,SUMIFS(Invoices!$O$6:$O$305,Invoices!$C$6:$C$305,C1301,Invoices!$E$6:$E$305,"&lt;="&amp;B1301,Invoices!$F$6:$F$305,"&gt;="&amp;B1301)),IF(COUNTIFS(Invoices!$C$6:$C$305,C1301,Invoices!$E$6:$E$305,"&lt;="&amp;B1301,Invoices!$F$6:$F$305,"&gt;="&amp;B1301)&gt;1,"Two invoices",""))))</f>
        <v/>
      </c>
      <c r="Q1301" s="15">
        <f>IF(B1301="","",IF(J1301&lt;&gt;"","Not billable",IF(P1301="","To invoice",IF(P1301="Two invoices","Check dates",IF(ISNA(MATCH(P1301,Invoices!$B$6:$B$305,0)),"Check number",IF(INDEX(Invoices!$M$6:$M$305,MATCH(P1301,Invoices!$B$6:$B$305,0))="Paid","Paid",IF(INDEX(Invoices!$M$6:$M$305,MATCH(P1301,Invoices!$B$6:$B$305,0))="Draft","Draft","Invoiced")))))))</f>
        <v/>
      </c>
      <c r="R1301" s="1">
        <f>IF(AND(B1301&lt;&gt;"",P1301&lt;&gt;"",P1301=Invoice!$G$4),B1301+MOD(N(F1301),1)+ROW()/10000000,"")</f>
        <v/>
      </c>
      <c r="S1301">
        <f>IF(R1301="","",IF(D1301="","Other work",D1301)&amp;IF(AND(K1301&lt;&gt;"",E1301&lt;&gt;""),", "&amp;E1301,""))</f>
        <v/>
      </c>
      <c r="T1301">
        <f>IF(R1301="","",IF(COUNTIFS(R$6:R1300,"&gt;0",S$6:S1300,S1301,N$6:N1300,N1301)=0,R1301,""))</f>
        <v/>
      </c>
      <c r="U1301">
        <f>IF(B1301="","",IF(J1301&lt;&gt;"",0,M1301))</f>
        <v/>
      </c>
    </row>
    <row r="1302">
      <c r="A1302" s="1" t="n"/>
      <c r="B1302" s="16" t="n"/>
      <c r="C1302" s="17" t="n"/>
      <c r="D1302" s="18" t="n"/>
      <c r="E1302" s="18" t="n"/>
      <c r="F1302" s="19" t="n"/>
      <c r="G1302" s="19" t="n"/>
      <c r="H1302" s="20" t="n"/>
      <c r="I1302" s="21" t="n"/>
      <c r="J1302" s="22" t="n"/>
      <c r="K1302" s="23" t="n"/>
      <c r="L1302" s="18" t="n"/>
      <c r="M1302" s="24">
        <f>IF(B1302="","",IF(AND(F1302&lt;&gt;"",G1302&lt;&gt;""),MAX(0,ROUND(MOD(G1302-F1302,1)*24-N(H1302)/60,2)),N(I1302)))</f>
        <v/>
      </c>
      <c r="N1302" s="14">
        <f>IF(B1302="","",IF(K1302&lt;&gt;"",K1302,IF(N(IFERROR(INDEX(Projects!$D$6:$D$65,MATCH(D1302,Projects!$B$6:$B$65,0)),""))&gt;0,IFERROR(INDEX(Projects!$D$6:$D$65,MATCH(D1302,Projects!$B$6:$B$65,0)),""),IFERROR(INDEX(Clients!$G$6:$G$45,MATCH(C1302,Clients!$B$6:$B$45,0)),0))))</f>
        <v/>
      </c>
      <c r="O1302" s="14">
        <f>IF(B1302="","",IF(J1302&lt;&gt;"",0,ROUND(M1302*N1302,2)))</f>
        <v/>
      </c>
      <c r="P1302" s="15">
        <f>IF(OR(B1302="",J1302&lt;&gt;""),"",IF(L1302&lt;&gt;"",L1302,IF(COUNTIFS(Invoices!$C$6:$C$305,C1302,Invoices!$E$6:$E$305,"&lt;="&amp;B1302,Invoices!$F$6:$F$305,"&gt;="&amp;B1302)=1,INDEX(Invoices!$B$6:$B$305,SUMIFS(Invoices!$O$6:$O$305,Invoices!$C$6:$C$305,C1302,Invoices!$E$6:$E$305,"&lt;="&amp;B1302,Invoices!$F$6:$F$305,"&gt;="&amp;B1302)),IF(COUNTIFS(Invoices!$C$6:$C$305,C1302,Invoices!$E$6:$E$305,"&lt;="&amp;B1302,Invoices!$F$6:$F$305,"&gt;="&amp;B1302)&gt;1,"Two invoices",""))))</f>
        <v/>
      </c>
      <c r="Q1302" s="15">
        <f>IF(B1302="","",IF(J1302&lt;&gt;"","Not billable",IF(P1302="","To invoice",IF(P1302="Two invoices","Check dates",IF(ISNA(MATCH(P1302,Invoices!$B$6:$B$305,0)),"Check number",IF(INDEX(Invoices!$M$6:$M$305,MATCH(P1302,Invoices!$B$6:$B$305,0))="Paid","Paid",IF(INDEX(Invoices!$M$6:$M$305,MATCH(P1302,Invoices!$B$6:$B$305,0))="Draft","Draft","Invoiced")))))))</f>
        <v/>
      </c>
      <c r="R1302" s="1">
        <f>IF(AND(B1302&lt;&gt;"",P1302&lt;&gt;"",P1302=Invoice!$G$4),B1302+MOD(N(F1302),1)+ROW()/10000000,"")</f>
        <v/>
      </c>
      <c r="S1302">
        <f>IF(R1302="","",IF(D1302="","Other work",D1302)&amp;IF(AND(K1302&lt;&gt;"",E1302&lt;&gt;""),", "&amp;E1302,""))</f>
        <v/>
      </c>
      <c r="T1302">
        <f>IF(R1302="","",IF(COUNTIFS(R$6:R1301,"&gt;0",S$6:S1301,S1302,N$6:N1301,N1302)=0,R1302,""))</f>
        <v/>
      </c>
      <c r="U1302">
        <f>IF(B1302="","",IF(J1302&lt;&gt;"",0,M1302))</f>
        <v/>
      </c>
    </row>
    <row r="1303">
      <c r="A1303" s="1" t="n"/>
      <c r="B1303" s="16" t="n"/>
      <c r="C1303" s="17" t="n"/>
      <c r="D1303" s="18" t="n"/>
      <c r="E1303" s="18" t="n"/>
      <c r="F1303" s="19" t="n"/>
      <c r="G1303" s="19" t="n"/>
      <c r="H1303" s="20" t="n"/>
      <c r="I1303" s="21" t="n"/>
      <c r="J1303" s="22" t="n"/>
      <c r="K1303" s="23" t="n"/>
      <c r="L1303" s="18" t="n"/>
      <c r="M1303" s="24">
        <f>IF(B1303="","",IF(AND(F1303&lt;&gt;"",G1303&lt;&gt;""),MAX(0,ROUND(MOD(G1303-F1303,1)*24-N(H1303)/60,2)),N(I1303)))</f>
        <v/>
      </c>
      <c r="N1303" s="14">
        <f>IF(B1303="","",IF(K1303&lt;&gt;"",K1303,IF(N(IFERROR(INDEX(Projects!$D$6:$D$65,MATCH(D1303,Projects!$B$6:$B$65,0)),""))&gt;0,IFERROR(INDEX(Projects!$D$6:$D$65,MATCH(D1303,Projects!$B$6:$B$65,0)),""),IFERROR(INDEX(Clients!$G$6:$G$45,MATCH(C1303,Clients!$B$6:$B$45,0)),0))))</f>
        <v/>
      </c>
      <c r="O1303" s="14">
        <f>IF(B1303="","",IF(J1303&lt;&gt;"",0,ROUND(M1303*N1303,2)))</f>
        <v/>
      </c>
      <c r="P1303" s="15">
        <f>IF(OR(B1303="",J1303&lt;&gt;""),"",IF(L1303&lt;&gt;"",L1303,IF(COUNTIFS(Invoices!$C$6:$C$305,C1303,Invoices!$E$6:$E$305,"&lt;="&amp;B1303,Invoices!$F$6:$F$305,"&gt;="&amp;B1303)=1,INDEX(Invoices!$B$6:$B$305,SUMIFS(Invoices!$O$6:$O$305,Invoices!$C$6:$C$305,C1303,Invoices!$E$6:$E$305,"&lt;="&amp;B1303,Invoices!$F$6:$F$305,"&gt;="&amp;B1303)),IF(COUNTIFS(Invoices!$C$6:$C$305,C1303,Invoices!$E$6:$E$305,"&lt;="&amp;B1303,Invoices!$F$6:$F$305,"&gt;="&amp;B1303)&gt;1,"Two invoices",""))))</f>
        <v/>
      </c>
      <c r="Q1303" s="15">
        <f>IF(B1303="","",IF(J1303&lt;&gt;"","Not billable",IF(P1303="","To invoice",IF(P1303="Two invoices","Check dates",IF(ISNA(MATCH(P1303,Invoices!$B$6:$B$305,0)),"Check number",IF(INDEX(Invoices!$M$6:$M$305,MATCH(P1303,Invoices!$B$6:$B$305,0))="Paid","Paid",IF(INDEX(Invoices!$M$6:$M$305,MATCH(P1303,Invoices!$B$6:$B$305,0))="Draft","Draft","Invoiced")))))))</f>
        <v/>
      </c>
      <c r="R1303" s="1">
        <f>IF(AND(B1303&lt;&gt;"",P1303&lt;&gt;"",P1303=Invoice!$G$4),B1303+MOD(N(F1303),1)+ROW()/10000000,"")</f>
        <v/>
      </c>
      <c r="S1303">
        <f>IF(R1303="","",IF(D1303="","Other work",D1303)&amp;IF(AND(K1303&lt;&gt;"",E1303&lt;&gt;""),", "&amp;E1303,""))</f>
        <v/>
      </c>
      <c r="T1303">
        <f>IF(R1303="","",IF(COUNTIFS(R$6:R1302,"&gt;0",S$6:S1302,S1303,N$6:N1302,N1303)=0,R1303,""))</f>
        <v/>
      </c>
      <c r="U1303">
        <f>IF(B1303="","",IF(J1303&lt;&gt;"",0,M1303))</f>
        <v/>
      </c>
    </row>
    <row r="1304">
      <c r="A1304" s="1" t="n"/>
      <c r="B1304" s="16" t="n"/>
      <c r="C1304" s="17" t="n"/>
      <c r="D1304" s="18" t="n"/>
      <c r="E1304" s="18" t="n"/>
      <c r="F1304" s="19" t="n"/>
      <c r="G1304" s="19" t="n"/>
      <c r="H1304" s="20" t="n"/>
      <c r="I1304" s="21" t="n"/>
      <c r="J1304" s="22" t="n"/>
      <c r="K1304" s="23" t="n"/>
      <c r="L1304" s="18" t="n"/>
      <c r="M1304" s="24">
        <f>IF(B1304="","",IF(AND(F1304&lt;&gt;"",G1304&lt;&gt;""),MAX(0,ROUND(MOD(G1304-F1304,1)*24-N(H1304)/60,2)),N(I1304)))</f>
        <v/>
      </c>
      <c r="N1304" s="14">
        <f>IF(B1304="","",IF(K1304&lt;&gt;"",K1304,IF(N(IFERROR(INDEX(Projects!$D$6:$D$65,MATCH(D1304,Projects!$B$6:$B$65,0)),""))&gt;0,IFERROR(INDEX(Projects!$D$6:$D$65,MATCH(D1304,Projects!$B$6:$B$65,0)),""),IFERROR(INDEX(Clients!$G$6:$G$45,MATCH(C1304,Clients!$B$6:$B$45,0)),0))))</f>
        <v/>
      </c>
      <c r="O1304" s="14">
        <f>IF(B1304="","",IF(J1304&lt;&gt;"",0,ROUND(M1304*N1304,2)))</f>
        <v/>
      </c>
      <c r="P1304" s="15">
        <f>IF(OR(B1304="",J1304&lt;&gt;""),"",IF(L1304&lt;&gt;"",L1304,IF(COUNTIFS(Invoices!$C$6:$C$305,C1304,Invoices!$E$6:$E$305,"&lt;="&amp;B1304,Invoices!$F$6:$F$305,"&gt;="&amp;B1304)=1,INDEX(Invoices!$B$6:$B$305,SUMIFS(Invoices!$O$6:$O$305,Invoices!$C$6:$C$305,C1304,Invoices!$E$6:$E$305,"&lt;="&amp;B1304,Invoices!$F$6:$F$305,"&gt;="&amp;B1304)),IF(COUNTIFS(Invoices!$C$6:$C$305,C1304,Invoices!$E$6:$E$305,"&lt;="&amp;B1304,Invoices!$F$6:$F$305,"&gt;="&amp;B1304)&gt;1,"Two invoices",""))))</f>
        <v/>
      </c>
      <c r="Q1304" s="15">
        <f>IF(B1304="","",IF(J1304&lt;&gt;"","Not billable",IF(P1304="","To invoice",IF(P1304="Two invoices","Check dates",IF(ISNA(MATCH(P1304,Invoices!$B$6:$B$305,0)),"Check number",IF(INDEX(Invoices!$M$6:$M$305,MATCH(P1304,Invoices!$B$6:$B$305,0))="Paid","Paid",IF(INDEX(Invoices!$M$6:$M$305,MATCH(P1304,Invoices!$B$6:$B$305,0))="Draft","Draft","Invoiced")))))))</f>
        <v/>
      </c>
      <c r="R1304" s="1">
        <f>IF(AND(B1304&lt;&gt;"",P1304&lt;&gt;"",P1304=Invoice!$G$4),B1304+MOD(N(F1304),1)+ROW()/10000000,"")</f>
        <v/>
      </c>
      <c r="S1304">
        <f>IF(R1304="","",IF(D1304="","Other work",D1304)&amp;IF(AND(K1304&lt;&gt;"",E1304&lt;&gt;""),", "&amp;E1304,""))</f>
        <v/>
      </c>
      <c r="T1304">
        <f>IF(R1304="","",IF(COUNTIFS(R$6:R1303,"&gt;0",S$6:S1303,S1304,N$6:N1303,N1304)=0,R1304,""))</f>
        <v/>
      </c>
      <c r="U1304">
        <f>IF(B1304="","",IF(J1304&lt;&gt;"",0,M1304))</f>
        <v/>
      </c>
    </row>
    <row r="1305">
      <c r="A1305" s="1" t="n"/>
      <c r="B1305" s="16" t="n"/>
      <c r="C1305" s="17" t="n"/>
      <c r="D1305" s="18" t="n"/>
      <c r="E1305" s="18" t="n"/>
      <c r="F1305" s="19" t="n"/>
      <c r="G1305" s="19" t="n"/>
      <c r="H1305" s="20" t="n"/>
      <c r="I1305" s="21" t="n"/>
      <c r="J1305" s="22" t="n"/>
      <c r="K1305" s="23" t="n"/>
      <c r="L1305" s="18" t="n"/>
      <c r="M1305" s="24">
        <f>IF(B1305="","",IF(AND(F1305&lt;&gt;"",G1305&lt;&gt;""),MAX(0,ROUND(MOD(G1305-F1305,1)*24-N(H1305)/60,2)),N(I1305)))</f>
        <v/>
      </c>
      <c r="N1305" s="14">
        <f>IF(B1305="","",IF(K1305&lt;&gt;"",K1305,IF(N(IFERROR(INDEX(Projects!$D$6:$D$65,MATCH(D1305,Projects!$B$6:$B$65,0)),""))&gt;0,IFERROR(INDEX(Projects!$D$6:$D$65,MATCH(D1305,Projects!$B$6:$B$65,0)),""),IFERROR(INDEX(Clients!$G$6:$G$45,MATCH(C1305,Clients!$B$6:$B$45,0)),0))))</f>
        <v/>
      </c>
      <c r="O1305" s="14">
        <f>IF(B1305="","",IF(J1305&lt;&gt;"",0,ROUND(M1305*N1305,2)))</f>
        <v/>
      </c>
      <c r="P1305" s="15">
        <f>IF(OR(B1305="",J1305&lt;&gt;""),"",IF(L1305&lt;&gt;"",L1305,IF(COUNTIFS(Invoices!$C$6:$C$305,C1305,Invoices!$E$6:$E$305,"&lt;="&amp;B1305,Invoices!$F$6:$F$305,"&gt;="&amp;B1305)=1,INDEX(Invoices!$B$6:$B$305,SUMIFS(Invoices!$O$6:$O$305,Invoices!$C$6:$C$305,C1305,Invoices!$E$6:$E$305,"&lt;="&amp;B1305,Invoices!$F$6:$F$305,"&gt;="&amp;B1305)),IF(COUNTIFS(Invoices!$C$6:$C$305,C1305,Invoices!$E$6:$E$305,"&lt;="&amp;B1305,Invoices!$F$6:$F$305,"&gt;="&amp;B1305)&gt;1,"Two invoices",""))))</f>
        <v/>
      </c>
      <c r="Q1305" s="15">
        <f>IF(B1305="","",IF(J1305&lt;&gt;"","Not billable",IF(P1305="","To invoice",IF(P1305="Two invoices","Check dates",IF(ISNA(MATCH(P1305,Invoices!$B$6:$B$305,0)),"Check number",IF(INDEX(Invoices!$M$6:$M$305,MATCH(P1305,Invoices!$B$6:$B$305,0))="Paid","Paid",IF(INDEX(Invoices!$M$6:$M$305,MATCH(P1305,Invoices!$B$6:$B$305,0))="Draft","Draft","Invoiced")))))))</f>
        <v/>
      </c>
      <c r="R1305" s="1">
        <f>IF(AND(B1305&lt;&gt;"",P1305&lt;&gt;"",P1305=Invoice!$G$4),B1305+MOD(N(F1305),1)+ROW()/10000000,"")</f>
        <v/>
      </c>
      <c r="S1305">
        <f>IF(R1305="","",IF(D1305="","Other work",D1305)&amp;IF(AND(K1305&lt;&gt;"",E1305&lt;&gt;""),", "&amp;E1305,""))</f>
        <v/>
      </c>
      <c r="T1305">
        <f>IF(R1305="","",IF(COUNTIFS(R$6:R1304,"&gt;0",S$6:S1304,S1305,N$6:N1304,N1305)=0,R1305,""))</f>
        <v/>
      </c>
      <c r="U1305">
        <f>IF(B1305="","",IF(J1305&lt;&gt;"",0,M1305))</f>
        <v/>
      </c>
    </row>
    <row r="1306">
      <c r="A1306" s="1" t="n"/>
      <c r="B1306" s="16" t="n"/>
      <c r="C1306" s="17" t="n"/>
      <c r="D1306" s="18" t="n"/>
      <c r="E1306" s="18" t="n"/>
      <c r="F1306" s="19" t="n"/>
      <c r="G1306" s="19" t="n"/>
      <c r="H1306" s="20" t="n"/>
      <c r="I1306" s="21" t="n"/>
      <c r="J1306" s="22" t="n"/>
      <c r="K1306" s="23" t="n"/>
      <c r="L1306" s="18" t="n"/>
      <c r="M1306" s="24">
        <f>IF(B1306="","",IF(AND(F1306&lt;&gt;"",G1306&lt;&gt;""),MAX(0,ROUND(MOD(G1306-F1306,1)*24-N(H1306)/60,2)),N(I1306)))</f>
        <v/>
      </c>
      <c r="N1306" s="14">
        <f>IF(B1306="","",IF(K1306&lt;&gt;"",K1306,IF(N(IFERROR(INDEX(Projects!$D$6:$D$65,MATCH(D1306,Projects!$B$6:$B$65,0)),""))&gt;0,IFERROR(INDEX(Projects!$D$6:$D$65,MATCH(D1306,Projects!$B$6:$B$65,0)),""),IFERROR(INDEX(Clients!$G$6:$G$45,MATCH(C1306,Clients!$B$6:$B$45,0)),0))))</f>
        <v/>
      </c>
      <c r="O1306" s="14">
        <f>IF(B1306="","",IF(J1306&lt;&gt;"",0,ROUND(M1306*N1306,2)))</f>
        <v/>
      </c>
      <c r="P1306" s="15">
        <f>IF(OR(B1306="",J1306&lt;&gt;""),"",IF(L1306&lt;&gt;"",L1306,IF(COUNTIFS(Invoices!$C$6:$C$305,C1306,Invoices!$E$6:$E$305,"&lt;="&amp;B1306,Invoices!$F$6:$F$305,"&gt;="&amp;B1306)=1,INDEX(Invoices!$B$6:$B$305,SUMIFS(Invoices!$O$6:$O$305,Invoices!$C$6:$C$305,C1306,Invoices!$E$6:$E$305,"&lt;="&amp;B1306,Invoices!$F$6:$F$305,"&gt;="&amp;B1306)),IF(COUNTIFS(Invoices!$C$6:$C$305,C1306,Invoices!$E$6:$E$305,"&lt;="&amp;B1306,Invoices!$F$6:$F$305,"&gt;="&amp;B1306)&gt;1,"Two invoices",""))))</f>
        <v/>
      </c>
      <c r="Q1306" s="15">
        <f>IF(B1306="","",IF(J1306&lt;&gt;"","Not billable",IF(P1306="","To invoice",IF(P1306="Two invoices","Check dates",IF(ISNA(MATCH(P1306,Invoices!$B$6:$B$305,0)),"Check number",IF(INDEX(Invoices!$M$6:$M$305,MATCH(P1306,Invoices!$B$6:$B$305,0))="Paid","Paid",IF(INDEX(Invoices!$M$6:$M$305,MATCH(P1306,Invoices!$B$6:$B$305,0))="Draft","Draft","Invoiced")))))))</f>
        <v/>
      </c>
      <c r="R1306" s="1">
        <f>IF(AND(B1306&lt;&gt;"",P1306&lt;&gt;"",P1306=Invoice!$G$4),B1306+MOD(N(F1306),1)+ROW()/10000000,"")</f>
        <v/>
      </c>
      <c r="S1306">
        <f>IF(R1306="","",IF(D1306="","Other work",D1306)&amp;IF(AND(K1306&lt;&gt;"",E1306&lt;&gt;""),", "&amp;E1306,""))</f>
        <v/>
      </c>
      <c r="T1306">
        <f>IF(R1306="","",IF(COUNTIFS(R$6:R1305,"&gt;0",S$6:S1305,S1306,N$6:N1305,N1306)=0,R1306,""))</f>
        <v/>
      </c>
      <c r="U1306">
        <f>IF(B1306="","",IF(J1306&lt;&gt;"",0,M1306))</f>
        <v/>
      </c>
    </row>
    <row r="1307">
      <c r="A1307" s="1" t="n"/>
      <c r="B1307" s="16" t="n"/>
      <c r="C1307" s="17" t="n"/>
      <c r="D1307" s="18" t="n"/>
      <c r="E1307" s="18" t="n"/>
      <c r="F1307" s="19" t="n"/>
      <c r="G1307" s="19" t="n"/>
      <c r="H1307" s="20" t="n"/>
      <c r="I1307" s="21" t="n"/>
      <c r="J1307" s="22" t="n"/>
      <c r="K1307" s="23" t="n"/>
      <c r="L1307" s="18" t="n"/>
      <c r="M1307" s="24">
        <f>IF(B1307="","",IF(AND(F1307&lt;&gt;"",G1307&lt;&gt;""),MAX(0,ROUND(MOD(G1307-F1307,1)*24-N(H1307)/60,2)),N(I1307)))</f>
        <v/>
      </c>
      <c r="N1307" s="14">
        <f>IF(B1307="","",IF(K1307&lt;&gt;"",K1307,IF(N(IFERROR(INDEX(Projects!$D$6:$D$65,MATCH(D1307,Projects!$B$6:$B$65,0)),""))&gt;0,IFERROR(INDEX(Projects!$D$6:$D$65,MATCH(D1307,Projects!$B$6:$B$65,0)),""),IFERROR(INDEX(Clients!$G$6:$G$45,MATCH(C1307,Clients!$B$6:$B$45,0)),0))))</f>
        <v/>
      </c>
      <c r="O1307" s="14">
        <f>IF(B1307="","",IF(J1307&lt;&gt;"",0,ROUND(M1307*N1307,2)))</f>
        <v/>
      </c>
      <c r="P1307" s="15">
        <f>IF(OR(B1307="",J1307&lt;&gt;""),"",IF(L1307&lt;&gt;"",L1307,IF(COUNTIFS(Invoices!$C$6:$C$305,C1307,Invoices!$E$6:$E$305,"&lt;="&amp;B1307,Invoices!$F$6:$F$305,"&gt;="&amp;B1307)=1,INDEX(Invoices!$B$6:$B$305,SUMIFS(Invoices!$O$6:$O$305,Invoices!$C$6:$C$305,C1307,Invoices!$E$6:$E$305,"&lt;="&amp;B1307,Invoices!$F$6:$F$305,"&gt;="&amp;B1307)),IF(COUNTIFS(Invoices!$C$6:$C$305,C1307,Invoices!$E$6:$E$305,"&lt;="&amp;B1307,Invoices!$F$6:$F$305,"&gt;="&amp;B1307)&gt;1,"Two invoices",""))))</f>
        <v/>
      </c>
      <c r="Q1307" s="15">
        <f>IF(B1307="","",IF(J1307&lt;&gt;"","Not billable",IF(P1307="","To invoice",IF(P1307="Two invoices","Check dates",IF(ISNA(MATCH(P1307,Invoices!$B$6:$B$305,0)),"Check number",IF(INDEX(Invoices!$M$6:$M$305,MATCH(P1307,Invoices!$B$6:$B$305,0))="Paid","Paid",IF(INDEX(Invoices!$M$6:$M$305,MATCH(P1307,Invoices!$B$6:$B$305,0))="Draft","Draft","Invoiced")))))))</f>
        <v/>
      </c>
      <c r="R1307" s="1">
        <f>IF(AND(B1307&lt;&gt;"",P1307&lt;&gt;"",P1307=Invoice!$G$4),B1307+MOD(N(F1307),1)+ROW()/10000000,"")</f>
        <v/>
      </c>
      <c r="S1307">
        <f>IF(R1307="","",IF(D1307="","Other work",D1307)&amp;IF(AND(K1307&lt;&gt;"",E1307&lt;&gt;""),", "&amp;E1307,""))</f>
        <v/>
      </c>
      <c r="T1307">
        <f>IF(R1307="","",IF(COUNTIFS(R$6:R1306,"&gt;0",S$6:S1306,S1307,N$6:N1306,N1307)=0,R1307,""))</f>
        <v/>
      </c>
      <c r="U1307">
        <f>IF(B1307="","",IF(J1307&lt;&gt;"",0,M1307))</f>
        <v/>
      </c>
    </row>
    <row r="1308">
      <c r="A1308" s="1" t="n"/>
      <c r="B1308" s="16" t="n"/>
      <c r="C1308" s="17" t="n"/>
      <c r="D1308" s="18" t="n"/>
      <c r="E1308" s="18" t="n"/>
      <c r="F1308" s="19" t="n"/>
      <c r="G1308" s="19" t="n"/>
      <c r="H1308" s="20" t="n"/>
      <c r="I1308" s="21" t="n"/>
      <c r="J1308" s="22" t="n"/>
      <c r="K1308" s="23" t="n"/>
      <c r="L1308" s="18" t="n"/>
      <c r="M1308" s="24">
        <f>IF(B1308="","",IF(AND(F1308&lt;&gt;"",G1308&lt;&gt;""),MAX(0,ROUND(MOD(G1308-F1308,1)*24-N(H1308)/60,2)),N(I1308)))</f>
        <v/>
      </c>
      <c r="N1308" s="14">
        <f>IF(B1308="","",IF(K1308&lt;&gt;"",K1308,IF(N(IFERROR(INDEX(Projects!$D$6:$D$65,MATCH(D1308,Projects!$B$6:$B$65,0)),""))&gt;0,IFERROR(INDEX(Projects!$D$6:$D$65,MATCH(D1308,Projects!$B$6:$B$65,0)),""),IFERROR(INDEX(Clients!$G$6:$G$45,MATCH(C1308,Clients!$B$6:$B$45,0)),0))))</f>
        <v/>
      </c>
      <c r="O1308" s="14">
        <f>IF(B1308="","",IF(J1308&lt;&gt;"",0,ROUND(M1308*N1308,2)))</f>
        <v/>
      </c>
      <c r="P1308" s="15">
        <f>IF(OR(B1308="",J1308&lt;&gt;""),"",IF(L1308&lt;&gt;"",L1308,IF(COUNTIFS(Invoices!$C$6:$C$305,C1308,Invoices!$E$6:$E$305,"&lt;="&amp;B1308,Invoices!$F$6:$F$305,"&gt;="&amp;B1308)=1,INDEX(Invoices!$B$6:$B$305,SUMIFS(Invoices!$O$6:$O$305,Invoices!$C$6:$C$305,C1308,Invoices!$E$6:$E$305,"&lt;="&amp;B1308,Invoices!$F$6:$F$305,"&gt;="&amp;B1308)),IF(COUNTIFS(Invoices!$C$6:$C$305,C1308,Invoices!$E$6:$E$305,"&lt;="&amp;B1308,Invoices!$F$6:$F$305,"&gt;="&amp;B1308)&gt;1,"Two invoices",""))))</f>
        <v/>
      </c>
      <c r="Q1308" s="15">
        <f>IF(B1308="","",IF(J1308&lt;&gt;"","Not billable",IF(P1308="","To invoice",IF(P1308="Two invoices","Check dates",IF(ISNA(MATCH(P1308,Invoices!$B$6:$B$305,0)),"Check number",IF(INDEX(Invoices!$M$6:$M$305,MATCH(P1308,Invoices!$B$6:$B$305,0))="Paid","Paid",IF(INDEX(Invoices!$M$6:$M$305,MATCH(P1308,Invoices!$B$6:$B$305,0))="Draft","Draft","Invoiced")))))))</f>
        <v/>
      </c>
      <c r="R1308" s="1">
        <f>IF(AND(B1308&lt;&gt;"",P1308&lt;&gt;"",P1308=Invoice!$G$4),B1308+MOD(N(F1308),1)+ROW()/10000000,"")</f>
        <v/>
      </c>
      <c r="S1308">
        <f>IF(R1308="","",IF(D1308="","Other work",D1308)&amp;IF(AND(K1308&lt;&gt;"",E1308&lt;&gt;""),", "&amp;E1308,""))</f>
        <v/>
      </c>
      <c r="T1308">
        <f>IF(R1308="","",IF(COUNTIFS(R$6:R1307,"&gt;0",S$6:S1307,S1308,N$6:N1307,N1308)=0,R1308,""))</f>
        <v/>
      </c>
      <c r="U1308">
        <f>IF(B1308="","",IF(J1308&lt;&gt;"",0,M1308))</f>
        <v/>
      </c>
    </row>
    <row r="1309">
      <c r="A1309" s="1" t="n"/>
      <c r="B1309" s="16" t="n"/>
      <c r="C1309" s="17" t="n"/>
      <c r="D1309" s="18" t="n"/>
      <c r="E1309" s="18" t="n"/>
      <c r="F1309" s="19" t="n"/>
      <c r="G1309" s="19" t="n"/>
      <c r="H1309" s="20" t="n"/>
      <c r="I1309" s="21" t="n"/>
      <c r="J1309" s="22" t="n"/>
      <c r="K1309" s="23" t="n"/>
      <c r="L1309" s="18" t="n"/>
      <c r="M1309" s="24">
        <f>IF(B1309="","",IF(AND(F1309&lt;&gt;"",G1309&lt;&gt;""),MAX(0,ROUND(MOD(G1309-F1309,1)*24-N(H1309)/60,2)),N(I1309)))</f>
        <v/>
      </c>
      <c r="N1309" s="14">
        <f>IF(B1309="","",IF(K1309&lt;&gt;"",K1309,IF(N(IFERROR(INDEX(Projects!$D$6:$D$65,MATCH(D1309,Projects!$B$6:$B$65,0)),""))&gt;0,IFERROR(INDEX(Projects!$D$6:$D$65,MATCH(D1309,Projects!$B$6:$B$65,0)),""),IFERROR(INDEX(Clients!$G$6:$G$45,MATCH(C1309,Clients!$B$6:$B$45,0)),0))))</f>
        <v/>
      </c>
      <c r="O1309" s="14">
        <f>IF(B1309="","",IF(J1309&lt;&gt;"",0,ROUND(M1309*N1309,2)))</f>
        <v/>
      </c>
      <c r="P1309" s="15">
        <f>IF(OR(B1309="",J1309&lt;&gt;""),"",IF(L1309&lt;&gt;"",L1309,IF(COUNTIFS(Invoices!$C$6:$C$305,C1309,Invoices!$E$6:$E$305,"&lt;="&amp;B1309,Invoices!$F$6:$F$305,"&gt;="&amp;B1309)=1,INDEX(Invoices!$B$6:$B$305,SUMIFS(Invoices!$O$6:$O$305,Invoices!$C$6:$C$305,C1309,Invoices!$E$6:$E$305,"&lt;="&amp;B1309,Invoices!$F$6:$F$305,"&gt;="&amp;B1309)),IF(COUNTIFS(Invoices!$C$6:$C$305,C1309,Invoices!$E$6:$E$305,"&lt;="&amp;B1309,Invoices!$F$6:$F$305,"&gt;="&amp;B1309)&gt;1,"Two invoices",""))))</f>
        <v/>
      </c>
      <c r="Q1309" s="15">
        <f>IF(B1309="","",IF(J1309&lt;&gt;"","Not billable",IF(P1309="","To invoice",IF(P1309="Two invoices","Check dates",IF(ISNA(MATCH(P1309,Invoices!$B$6:$B$305,0)),"Check number",IF(INDEX(Invoices!$M$6:$M$305,MATCH(P1309,Invoices!$B$6:$B$305,0))="Paid","Paid",IF(INDEX(Invoices!$M$6:$M$305,MATCH(P1309,Invoices!$B$6:$B$305,0))="Draft","Draft","Invoiced")))))))</f>
        <v/>
      </c>
      <c r="R1309" s="1">
        <f>IF(AND(B1309&lt;&gt;"",P1309&lt;&gt;"",P1309=Invoice!$G$4),B1309+MOD(N(F1309),1)+ROW()/10000000,"")</f>
        <v/>
      </c>
      <c r="S1309">
        <f>IF(R1309="","",IF(D1309="","Other work",D1309)&amp;IF(AND(K1309&lt;&gt;"",E1309&lt;&gt;""),", "&amp;E1309,""))</f>
        <v/>
      </c>
      <c r="T1309">
        <f>IF(R1309="","",IF(COUNTIFS(R$6:R1308,"&gt;0",S$6:S1308,S1309,N$6:N1308,N1309)=0,R1309,""))</f>
        <v/>
      </c>
      <c r="U1309">
        <f>IF(B1309="","",IF(J1309&lt;&gt;"",0,M1309))</f>
        <v/>
      </c>
    </row>
    <row r="1310">
      <c r="A1310" s="1" t="n"/>
      <c r="B1310" s="16" t="n"/>
      <c r="C1310" s="17" t="n"/>
      <c r="D1310" s="18" t="n"/>
      <c r="E1310" s="18" t="n"/>
      <c r="F1310" s="19" t="n"/>
      <c r="G1310" s="19" t="n"/>
      <c r="H1310" s="20" t="n"/>
      <c r="I1310" s="21" t="n"/>
      <c r="J1310" s="22" t="n"/>
      <c r="K1310" s="23" t="n"/>
      <c r="L1310" s="18" t="n"/>
      <c r="M1310" s="24">
        <f>IF(B1310="","",IF(AND(F1310&lt;&gt;"",G1310&lt;&gt;""),MAX(0,ROUND(MOD(G1310-F1310,1)*24-N(H1310)/60,2)),N(I1310)))</f>
        <v/>
      </c>
      <c r="N1310" s="14">
        <f>IF(B1310="","",IF(K1310&lt;&gt;"",K1310,IF(N(IFERROR(INDEX(Projects!$D$6:$D$65,MATCH(D1310,Projects!$B$6:$B$65,0)),""))&gt;0,IFERROR(INDEX(Projects!$D$6:$D$65,MATCH(D1310,Projects!$B$6:$B$65,0)),""),IFERROR(INDEX(Clients!$G$6:$G$45,MATCH(C1310,Clients!$B$6:$B$45,0)),0))))</f>
        <v/>
      </c>
      <c r="O1310" s="14">
        <f>IF(B1310="","",IF(J1310&lt;&gt;"",0,ROUND(M1310*N1310,2)))</f>
        <v/>
      </c>
      <c r="P1310" s="15">
        <f>IF(OR(B1310="",J1310&lt;&gt;""),"",IF(L1310&lt;&gt;"",L1310,IF(COUNTIFS(Invoices!$C$6:$C$305,C1310,Invoices!$E$6:$E$305,"&lt;="&amp;B1310,Invoices!$F$6:$F$305,"&gt;="&amp;B1310)=1,INDEX(Invoices!$B$6:$B$305,SUMIFS(Invoices!$O$6:$O$305,Invoices!$C$6:$C$305,C1310,Invoices!$E$6:$E$305,"&lt;="&amp;B1310,Invoices!$F$6:$F$305,"&gt;="&amp;B1310)),IF(COUNTIFS(Invoices!$C$6:$C$305,C1310,Invoices!$E$6:$E$305,"&lt;="&amp;B1310,Invoices!$F$6:$F$305,"&gt;="&amp;B1310)&gt;1,"Two invoices",""))))</f>
        <v/>
      </c>
      <c r="Q1310" s="15">
        <f>IF(B1310="","",IF(J1310&lt;&gt;"","Not billable",IF(P1310="","To invoice",IF(P1310="Two invoices","Check dates",IF(ISNA(MATCH(P1310,Invoices!$B$6:$B$305,0)),"Check number",IF(INDEX(Invoices!$M$6:$M$305,MATCH(P1310,Invoices!$B$6:$B$305,0))="Paid","Paid",IF(INDEX(Invoices!$M$6:$M$305,MATCH(P1310,Invoices!$B$6:$B$305,0))="Draft","Draft","Invoiced")))))))</f>
        <v/>
      </c>
      <c r="R1310" s="1">
        <f>IF(AND(B1310&lt;&gt;"",P1310&lt;&gt;"",P1310=Invoice!$G$4),B1310+MOD(N(F1310),1)+ROW()/10000000,"")</f>
        <v/>
      </c>
      <c r="S1310">
        <f>IF(R1310="","",IF(D1310="","Other work",D1310)&amp;IF(AND(K1310&lt;&gt;"",E1310&lt;&gt;""),", "&amp;E1310,""))</f>
        <v/>
      </c>
      <c r="T1310">
        <f>IF(R1310="","",IF(COUNTIFS(R$6:R1309,"&gt;0",S$6:S1309,S1310,N$6:N1309,N1310)=0,R1310,""))</f>
        <v/>
      </c>
      <c r="U1310">
        <f>IF(B1310="","",IF(J1310&lt;&gt;"",0,M1310))</f>
        <v/>
      </c>
    </row>
    <row r="1311">
      <c r="A1311" s="1" t="n"/>
      <c r="B1311" s="16" t="n"/>
      <c r="C1311" s="17" t="n"/>
      <c r="D1311" s="18" t="n"/>
      <c r="E1311" s="18" t="n"/>
      <c r="F1311" s="19" t="n"/>
      <c r="G1311" s="19" t="n"/>
      <c r="H1311" s="20" t="n"/>
      <c r="I1311" s="21" t="n"/>
      <c r="J1311" s="22" t="n"/>
      <c r="K1311" s="23" t="n"/>
      <c r="L1311" s="18" t="n"/>
      <c r="M1311" s="24">
        <f>IF(B1311="","",IF(AND(F1311&lt;&gt;"",G1311&lt;&gt;""),MAX(0,ROUND(MOD(G1311-F1311,1)*24-N(H1311)/60,2)),N(I1311)))</f>
        <v/>
      </c>
      <c r="N1311" s="14">
        <f>IF(B1311="","",IF(K1311&lt;&gt;"",K1311,IF(N(IFERROR(INDEX(Projects!$D$6:$D$65,MATCH(D1311,Projects!$B$6:$B$65,0)),""))&gt;0,IFERROR(INDEX(Projects!$D$6:$D$65,MATCH(D1311,Projects!$B$6:$B$65,0)),""),IFERROR(INDEX(Clients!$G$6:$G$45,MATCH(C1311,Clients!$B$6:$B$45,0)),0))))</f>
        <v/>
      </c>
      <c r="O1311" s="14">
        <f>IF(B1311="","",IF(J1311&lt;&gt;"",0,ROUND(M1311*N1311,2)))</f>
        <v/>
      </c>
      <c r="P1311" s="15">
        <f>IF(OR(B1311="",J1311&lt;&gt;""),"",IF(L1311&lt;&gt;"",L1311,IF(COUNTIFS(Invoices!$C$6:$C$305,C1311,Invoices!$E$6:$E$305,"&lt;="&amp;B1311,Invoices!$F$6:$F$305,"&gt;="&amp;B1311)=1,INDEX(Invoices!$B$6:$B$305,SUMIFS(Invoices!$O$6:$O$305,Invoices!$C$6:$C$305,C1311,Invoices!$E$6:$E$305,"&lt;="&amp;B1311,Invoices!$F$6:$F$305,"&gt;="&amp;B1311)),IF(COUNTIFS(Invoices!$C$6:$C$305,C1311,Invoices!$E$6:$E$305,"&lt;="&amp;B1311,Invoices!$F$6:$F$305,"&gt;="&amp;B1311)&gt;1,"Two invoices",""))))</f>
        <v/>
      </c>
      <c r="Q1311" s="15">
        <f>IF(B1311="","",IF(J1311&lt;&gt;"","Not billable",IF(P1311="","To invoice",IF(P1311="Two invoices","Check dates",IF(ISNA(MATCH(P1311,Invoices!$B$6:$B$305,0)),"Check number",IF(INDEX(Invoices!$M$6:$M$305,MATCH(P1311,Invoices!$B$6:$B$305,0))="Paid","Paid",IF(INDEX(Invoices!$M$6:$M$305,MATCH(P1311,Invoices!$B$6:$B$305,0))="Draft","Draft","Invoiced")))))))</f>
        <v/>
      </c>
      <c r="R1311" s="1">
        <f>IF(AND(B1311&lt;&gt;"",P1311&lt;&gt;"",P1311=Invoice!$G$4),B1311+MOD(N(F1311),1)+ROW()/10000000,"")</f>
        <v/>
      </c>
      <c r="S1311">
        <f>IF(R1311="","",IF(D1311="","Other work",D1311)&amp;IF(AND(K1311&lt;&gt;"",E1311&lt;&gt;""),", "&amp;E1311,""))</f>
        <v/>
      </c>
      <c r="T1311">
        <f>IF(R1311="","",IF(COUNTIFS(R$6:R1310,"&gt;0",S$6:S1310,S1311,N$6:N1310,N1311)=0,R1311,""))</f>
        <v/>
      </c>
      <c r="U1311">
        <f>IF(B1311="","",IF(J1311&lt;&gt;"",0,M1311))</f>
        <v/>
      </c>
    </row>
    <row r="1312">
      <c r="A1312" s="1" t="n"/>
      <c r="B1312" s="16" t="n"/>
      <c r="C1312" s="17" t="n"/>
      <c r="D1312" s="18" t="n"/>
      <c r="E1312" s="18" t="n"/>
      <c r="F1312" s="19" t="n"/>
      <c r="G1312" s="19" t="n"/>
      <c r="H1312" s="20" t="n"/>
      <c r="I1312" s="21" t="n"/>
      <c r="J1312" s="22" t="n"/>
      <c r="K1312" s="23" t="n"/>
      <c r="L1312" s="18" t="n"/>
      <c r="M1312" s="24">
        <f>IF(B1312="","",IF(AND(F1312&lt;&gt;"",G1312&lt;&gt;""),MAX(0,ROUND(MOD(G1312-F1312,1)*24-N(H1312)/60,2)),N(I1312)))</f>
        <v/>
      </c>
      <c r="N1312" s="14">
        <f>IF(B1312="","",IF(K1312&lt;&gt;"",K1312,IF(N(IFERROR(INDEX(Projects!$D$6:$D$65,MATCH(D1312,Projects!$B$6:$B$65,0)),""))&gt;0,IFERROR(INDEX(Projects!$D$6:$D$65,MATCH(D1312,Projects!$B$6:$B$65,0)),""),IFERROR(INDEX(Clients!$G$6:$G$45,MATCH(C1312,Clients!$B$6:$B$45,0)),0))))</f>
        <v/>
      </c>
      <c r="O1312" s="14">
        <f>IF(B1312="","",IF(J1312&lt;&gt;"",0,ROUND(M1312*N1312,2)))</f>
        <v/>
      </c>
      <c r="P1312" s="15">
        <f>IF(OR(B1312="",J1312&lt;&gt;""),"",IF(L1312&lt;&gt;"",L1312,IF(COUNTIFS(Invoices!$C$6:$C$305,C1312,Invoices!$E$6:$E$305,"&lt;="&amp;B1312,Invoices!$F$6:$F$305,"&gt;="&amp;B1312)=1,INDEX(Invoices!$B$6:$B$305,SUMIFS(Invoices!$O$6:$O$305,Invoices!$C$6:$C$305,C1312,Invoices!$E$6:$E$305,"&lt;="&amp;B1312,Invoices!$F$6:$F$305,"&gt;="&amp;B1312)),IF(COUNTIFS(Invoices!$C$6:$C$305,C1312,Invoices!$E$6:$E$305,"&lt;="&amp;B1312,Invoices!$F$6:$F$305,"&gt;="&amp;B1312)&gt;1,"Two invoices",""))))</f>
        <v/>
      </c>
      <c r="Q1312" s="15">
        <f>IF(B1312="","",IF(J1312&lt;&gt;"","Not billable",IF(P1312="","To invoice",IF(P1312="Two invoices","Check dates",IF(ISNA(MATCH(P1312,Invoices!$B$6:$B$305,0)),"Check number",IF(INDEX(Invoices!$M$6:$M$305,MATCH(P1312,Invoices!$B$6:$B$305,0))="Paid","Paid",IF(INDEX(Invoices!$M$6:$M$305,MATCH(P1312,Invoices!$B$6:$B$305,0))="Draft","Draft","Invoiced")))))))</f>
        <v/>
      </c>
      <c r="R1312" s="1">
        <f>IF(AND(B1312&lt;&gt;"",P1312&lt;&gt;"",P1312=Invoice!$G$4),B1312+MOD(N(F1312),1)+ROW()/10000000,"")</f>
        <v/>
      </c>
      <c r="S1312">
        <f>IF(R1312="","",IF(D1312="","Other work",D1312)&amp;IF(AND(K1312&lt;&gt;"",E1312&lt;&gt;""),", "&amp;E1312,""))</f>
        <v/>
      </c>
      <c r="T1312">
        <f>IF(R1312="","",IF(COUNTIFS(R$6:R1311,"&gt;0",S$6:S1311,S1312,N$6:N1311,N1312)=0,R1312,""))</f>
        <v/>
      </c>
      <c r="U1312">
        <f>IF(B1312="","",IF(J1312&lt;&gt;"",0,M1312))</f>
        <v/>
      </c>
    </row>
    <row r="1313">
      <c r="A1313" s="1" t="n"/>
      <c r="B1313" s="16" t="n"/>
      <c r="C1313" s="17" t="n"/>
      <c r="D1313" s="18" t="n"/>
      <c r="E1313" s="18" t="n"/>
      <c r="F1313" s="19" t="n"/>
      <c r="G1313" s="19" t="n"/>
      <c r="H1313" s="20" t="n"/>
      <c r="I1313" s="21" t="n"/>
      <c r="J1313" s="22" t="n"/>
      <c r="K1313" s="23" t="n"/>
      <c r="L1313" s="18" t="n"/>
      <c r="M1313" s="24">
        <f>IF(B1313="","",IF(AND(F1313&lt;&gt;"",G1313&lt;&gt;""),MAX(0,ROUND(MOD(G1313-F1313,1)*24-N(H1313)/60,2)),N(I1313)))</f>
        <v/>
      </c>
      <c r="N1313" s="14">
        <f>IF(B1313="","",IF(K1313&lt;&gt;"",K1313,IF(N(IFERROR(INDEX(Projects!$D$6:$D$65,MATCH(D1313,Projects!$B$6:$B$65,0)),""))&gt;0,IFERROR(INDEX(Projects!$D$6:$D$65,MATCH(D1313,Projects!$B$6:$B$65,0)),""),IFERROR(INDEX(Clients!$G$6:$G$45,MATCH(C1313,Clients!$B$6:$B$45,0)),0))))</f>
        <v/>
      </c>
      <c r="O1313" s="14">
        <f>IF(B1313="","",IF(J1313&lt;&gt;"",0,ROUND(M1313*N1313,2)))</f>
        <v/>
      </c>
      <c r="P1313" s="15">
        <f>IF(OR(B1313="",J1313&lt;&gt;""),"",IF(L1313&lt;&gt;"",L1313,IF(COUNTIFS(Invoices!$C$6:$C$305,C1313,Invoices!$E$6:$E$305,"&lt;="&amp;B1313,Invoices!$F$6:$F$305,"&gt;="&amp;B1313)=1,INDEX(Invoices!$B$6:$B$305,SUMIFS(Invoices!$O$6:$O$305,Invoices!$C$6:$C$305,C1313,Invoices!$E$6:$E$305,"&lt;="&amp;B1313,Invoices!$F$6:$F$305,"&gt;="&amp;B1313)),IF(COUNTIFS(Invoices!$C$6:$C$305,C1313,Invoices!$E$6:$E$305,"&lt;="&amp;B1313,Invoices!$F$6:$F$305,"&gt;="&amp;B1313)&gt;1,"Two invoices",""))))</f>
        <v/>
      </c>
      <c r="Q1313" s="15">
        <f>IF(B1313="","",IF(J1313&lt;&gt;"","Not billable",IF(P1313="","To invoice",IF(P1313="Two invoices","Check dates",IF(ISNA(MATCH(P1313,Invoices!$B$6:$B$305,0)),"Check number",IF(INDEX(Invoices!$M$6:$M$305,MATCH(P1313,Invoices!$B$6:$B$305,0))="Paid","Paid",IF(INDEX(Invoices!$M$6:$M$305,MATCH(P1313,Invoices!$B$6:$B$305,0))="Draft","Draft","Invoiced")))))))</f>
        <v/>
      </c>
      <c r="R1313" s="1">
        <f>IF(AND(B1313&lt;&gt;"",P1313&lt;&gt;"",P1313=Invoice!$G$4),B1313+MOD(N(F1313),1)+ROW()/10000000,"")</f>
        <v/>
      </c>
      <c r="S1313">
        <f>IF(R1313="","",IF(D1313="","Other work",D1313)&amp;IF(AND(K1313&lt;&gt;"",E1313&lt;&gt;""),", "&amp;E1313,""))</f>
        <v/>
      </c>
      <c r="T1313">
        <f>IF(R1313="","",IF(COUNTIFS(R$6:R1312,"&gt;0",S$6:S1312,S1313,N$6:N1312,N1313)=0,R1313,""))</f>
        <v/>
      </c>
      <c r="U1313">
        <f>IF(B1313="","",IF(J1313&lt;&gt;"",0,M1313))</f>
        <v/>
      </c>
    </row>
    <row r="1314">
      <c r="A1314" s="1" t="n"/>
      <c r="B1314" s="16" t="n"/>
      <c r="C1314" s="17" t="n"/>
      <c r="D1314" s="18" t="n"/>
      <c r="E1314" s="18" t="n"/>
      <c r="F1314" s="19" t="n"/>
      <c r="G1314" s="19" t="n"/>
      <c r="H1314" s="20" t="n"/>
      <c r="I1314" s="21" t="n"/>
      <c r="J1314" s="22" t="n"/>
      <c r="K1314" s="23" t="n"/>
      <c r="L1314" s="18" t="n"/>
      <c r="M1314" s="24">
        <f>IF(B1314="","",IF(AND(F1314&lt;&gt;"",G1314&lt;&gt;""),MAX(0,ROUND(MOD(G1314-F1314,1)*24-N(H1314)/60,2)),N(I1314)))</f>
        <v/>
      </c>
      <c r="N1314" s="14">
        <f>IF(B1314="","",IF(K1314&lt;&gt;"",K1314,IF(N(IFERROR(INDEX(Projects!$D$6:$D$65,MATCH(D1314,Projects!$B$6:$B$65,0)),""))&gt;0,IFERROR(INDEX(Projects!$D$6:$D$65,MATCH(D1314,Projects!$B$6:$B$65,0)),""),IFERROR(INDEX(Clients!$G$6:$G$45,MATCH(C1314,Clients!$B$6:$B$45,0)),0))))</f>
        <v/>
      </c>
      <c r="O1314" s="14">
        <f>IF(B1314="","",IF(J1314&lt;&gt;"",0,ROUND(M1314*N1314,2)))</f>
        <v/>
      </c>
      <c r="P1314" s="15">
        <f>IF(OR(B1314="",J1314&lt;&gt;""),"",IF(L1314&lt;&gt;"",L1314,IF(COUNTIFS(Invoices!$C$6:$C$305,C1314,Invoices!$E$6:$E$305,"&lt;="&amp;B1314,Invoices!$F$6:$F$305,"&gt;="&amp;B1314)=1,INDEX(Invoices!$B$6:$B$305,SUMIFS(Invoices!$O$6:$O$305,Invoices!$C$6:$C$305,C1314,Invoices!$E$6:$E$305,"&lt;="&amp;B1314,Invoices!$F$6:$F$305,"&gt;="&amp;B1314)),IF(COUNTIFS(Invoices!$C$6:$C$305,C1314,Invoices!$E$6:$E$305,"&lt;="&amp;B1314,Invoices!$F$6:$F$305,"&gt;="&amp;B1314)&gt;1,"Two invoices",""))))</f>
        <v/>
      </c>
      <c r="Q1314" s="15">
        <f>IF(B1314="","",IF(J1314&lt;&gt;"","Not billable",IF(P1314="","To invoice",IF(P1314="Two invoices","Check dates",IF(ISNA(MATCH(P1314,Invoices!$B$6:$B$305,0)),"Check number",IF(INDEX(Invoices!$M$6:$M$305,MATCH(P1314,Invoices!$B$6:$B$305,0))="Paid","Paid",IF(INDEX(Invoices!$M$6:$M$305,MATCH(P1314,Invoices!$B$6:$B$305,0))="Draft","Draft","Invoiced")))))))</f>
        <v/>
      </c>
      <c r="R1314" s="1">
        <f>IF(AND(B1314&lt;&gt;"",P1314&lt;&gt;"",P1314=Invoice!$G$4),B1314+MOD(N(F1314),1)+ROW()/10000000,"")</f>
        <v/>
      </c>
      <c r="S1314">
        <f>IF(R1314="","",IF(D1314="","Other work",D1314)&amp;IF(AND(K1314&lt;&gt;"",E1314&lt;&gt;""),", "&amp;E1314,""))</f>
        <v/>
      </c>
      <c r="T1314">
        <f>IF(R1314="","",IF(COUNTIFS(R$6:R1313,"&gt;0",S$6:S1313,S1314,N$6:N1313,N1314)=0,R1314,""))</f>
        <v/>
      </c>
      <c r="U1314">
        <f>IF(B1314="","",IF(J1314&lt;&gt;"",0,M1314))</f>
        <v/>
      </c>
    </row>
    <row r="1315">
      <c r="A1315" s="1" t="n"/>
      <c r="B1315" s="16" t="n"/>
      <c r="C1315" s="17" t="n"/>
      <c r="D1315" s="18" t="n"/>
      <c r="E1315" s="18" t="n"/>
      <c r="F1315" s="19" t="n"/>
      <c r="G1315" s="19" t="n"/>
      <c r="H1315" s="20" t="n"/>
      <c r="I1315" s="21" t="n"/>
      <c r="J1315" s="22" t="n"/>
      <c r="K1315" s="23" t="n"/>
      <c r="L1315" s="18" t="n"/>
      <c r="M1315" s="24">
        <f>IF(B1315="","",IF(AND(F1315&lt;&gt;"",G1315&lt;&gt;""),MAX(0,ROUND(MOD(G1315-F1315,1)*24-N(H1315)/60,2)),N(I1315)))</f>
        <v/>
      </c>
      <c r="N1315" s="14">
        <f>IF(B1315="","",IF(K1315&lt;&gt;"",K1315,IF(N(IFERROR(INDEX(Projects!$D$6:$D$65,MATCH(D1315,Projects!$B$6:$B$65,0)),""))&gt;0,IFERROR(INDEX(Projects!$D$6:$D$65,MATCH(D1315,Projects!$B$6:$B$65,0)),""),IFERROR(INDEX(Clients!$G$6:$G$45,MATCH(C1315,Clients!$B$6:$B$45,0)),0))))</f>
        <v/>
      </c>
      <c r="O1315" s="14">
        <f>IF(B1315="","",IF(J1315&lt;&gt;"",0,ROUND(M1315*N1315,2)))</f>
        <v/>
      </c>
      <c r="P1315" s="15">
        <f>IF(OR(B1315="",J1315&lt;&gt;""),"",IF(L1315&lt;&gt;"",L1315,IF(COUNTIFS(Invoices!$C$6:$C$305,C1315,Invoices!$E$6:$E$305,"&lt;="&amp;B1315,Invoices!$F$6:$F$305,"&gt;="&amp;B1315)=1,INDEX(Invoices!$B$6:$B$305,SUMIFS(Invoices!$O$6:$O$305,Invoices!$C$6:$C$305,C1315,Invoices!$E$6:$E$305,"&lt;="&amp;B1315,Invoices!$F$6:$F$305,"&gt;="&amp;B1315)),IF(COUNTIFS(Invoices!$C$6:$C$305,C1315,Invoices!$E$6:$E$305,"&lt;="&amp;B1315,Invoices!$F$6:$F$305,"&gt;="&amp;B1315)&gt;1,"Two invoices",""))))</f>
        <v/>
      </c>
      <c r="Q1315" s="15">
        <f>IF(B1315="","",IF(J1315&lt;&gt;"","Not billable",IF(P1315="","To invoice",IF(P1315="Two invoices","Check dates",IF(ISNA(MATCH(P1315,Invoices!$B$6:$B$305,0)),"Check number",IF(INDEX(Invoices!$M$6:$M$305,MATCH(P1315,Invoices!$B$6:$B$305,0))="Paid","Paid",IF(INDEX(Invoices!$M$6:$M$305,MATCH(P1315,Invoices!$B$6:$B$305,0))="Draft","Draft","Invoiced")))))))</f>
        <v/>
      </c>
      <c r="R1315" s="1">
        <f>IF(AND(B1315&lt;&gt;"",P1315&lt;&gt;"",P1315=Invoice!$G$4),B1315+MOD(N(F1315),1)+ROW()/10000000,"")</f>
        <v/>
      </c>
      <c r="S1315">
        <f>IF(R1315="","",IF(D1315="","Other work",D1315)&amp;IF(AND(K1315&lt;&gt;"",E1315&lt;&gt;""),", "&amp;E1315,""))</f>
        <v/>
      </c>
      <c r="T1315">
        <f>IF(R1315="","",IF(COUNTIFS(R$6:R1314,"&gt;0",S$6:S1314,S1315,N$6:N1314,N1315)=0,R1315,""))</f>
        <v/>
      </c>
      <c r="U1315">
        <f>IF(B1315="","",IF(J1315&lt;&gt;"",0,M1315))</f>
        <v/>
      </c>
    </row>
    <row r="1316">
      <c r="A1316" s="1" t="n"/>
      <c r="B1316" s="16" t="n"/>
      <c r="C1316" s="17" t="n"/>
      <c r="D1316" s="18" t="n"/>
      <c r="E1316" s="18" t="n"/>
      <c r="F1316" s="19" t="n"/>
      <c r="G1316" s="19" t="n"/>
      <c r="H1316" s="20" t="n"/>
      <c r="I1316" s="21" t="n"/>
      <c r="J1316" s="22" t="n"/>
      <c r="K1316" s="23" t="n"/>
      <c r="L1316" s="18" t="n"/>
      <c r="M1316" s="24">
        <f>IF(B1316="","",IF(AND(F1316&lt;&gt;"",G1316&lt;&gt;""),MAX(0,ROUND(MOD(G1316-F1316,1)*24-N(H1316)/60,2)),N(I1316)))</f>
        <v/>
      </c>
      <c r="N1316" s="14">
        <f>IF(B1316="","",IF(K1316&lt;&gt;"",K1316,IF(N(IFERROR(INDEX(Projects!$D$6:$D$65,MATCH(D1316,Projects!$B$6:$B$65,0)),""))&gt;0,IFERROR(INDEX(Projects!$D$6:$D$65,MATCH(D1316,Projects!$B$6:$B$65,0)),""),IFERROR(INDEX(Clients!$G$6:$G$45,MATCH(C1316,Clients!$B$6:$B$45,0)),0))))</f>
        <v/>
      </c>
      <c r="O1316" s="14">
        <f>IF(B1316="","",IF(J1316&lt;&gt;"",0,ROUND(M1316*N1316,2)))</f>
        <v/>
      </c>
      <c r="P1316" s="15">
        <f>IF(OR(B1316="",J1316&lt;&gt;""),"",IF(L1316&lt;&gt;"",L1316,IF(COUNTIFS(Invoices!$C$6:$C$305,C1316,Invoices!$E$6:$E$305,"&lt;="&amp;B1316,Invoices!$F$6:$F$305,"&gt;="&amp;B1316)=1,INDEX(Invoices!$B$6:$B$305,SUMIFS(Invoices!$O$6:$O$305,Invoices!$C$6:$C$305,C1316,Invoices!$E$6:$E$305,"&lt;="&amp;B1316,Invoices!$F$6:$F$305,"&gt;="&amp;B1316)),IF(COUNTIFS(Invoices!$C$6:$C$305,C1316,Invoices!$E$6:$E$305,"&lt;="&amp;B1316,Invoices!$F$6:$F$305,"&gt;="&amp;B1316)&gt;1,"Two invoices",""))))</f>
        <v/>
      </c>
      <c r="Q1316" s="15">
        <f>IF(B1316="","",IF(J1316&lt;&gt;"","Not billable",IF(P1316="","To invoice",IF(P1316="Two invoices","Check dates",IF(ISNA(MATCH(P1316,Invoices!$B$6:$B$305,0)),"Check number",IF(INDEX(Invoices!$M$6:$M$305,MATCH(P1316,Invoices!$B$6:$B$305,0))="Paid","Paid",IF(INDEX(Invoices!$M$6:$M$305,MATCH(P1316,Invoices!$B$6:$B$305,0))="Draft","Draft","Invoiced")))))))</f>
        <v/>
      </c>
      <c r="R1316" s="1">
        <f>IF(AND(B1316&lt;&gt;"",P1316&lt;&gt;"",P1316=Invoice!$G$4),B1316+MOD(N(F1316),1)+ROW()/10000000,"")</f>
        <v/>
      </c>
      <c r="S1316">
        <f>IF(R1316="","",IF(D1316="","Other work",D1316)&amp;IF(AND(K1316&lt;&gt;"",E1316&lt;&gt;""),", "&amp;E1316,""))</f>
        <v/>
      </c>
      <c r="T1316">
        <f>IF(R1316="","",IF(COUNTIFS(R$6:R1315,"&gt;0",S$6:S1315,S1316,N$6:N1315,N1316)=0,R1316,""))</f>
        <v/>
      </c>
      <c r="U1316">
        <f>IF(B1316="","",IF(J1316&lt;&gt;"",0,M1316))</f>
        <v/>
      </c>
    </row>
    <row r="1317">
      <c r="A1317" s="1" t="n"/>
      <c r="B1317" s="16" t="n"/>
      <c r="C1317" s="17" t="n"/>
      <c r="D1317" s="18" t="n"/>
      <c r="E1317" s="18" t="n"/>
      <c r="F1317" s="19" t="n"/>
      <c r="G1317" s="19" t="n"/>
      <c r="H1317" s="20" t="n"/>
      <c r="I1317" s="21" t="n"/>
      <c r="J1317" s="22" t="n"/>
      <c r="K1317" s="23" t="n"/>
      <c r="L1317" s="18" t="n"/>
      <c r="M1317" s="24">
        <f>IF(B1317="","",IF(AND(F1317&lt;&gt;"",G1317&lt;&gt;""),MAX(0,ROUND(MOD(G1317-F1317,1)*24-N(H1317)/60,2)),N(I1317)))</f>
        <v/>
      </c>
      <c r="N1317" s="14">
        <f>IF(B1317="","",IF(K1317&lt;&gt;"",K1317,IF(N(IFERROR(INDEX(Projects!$D$6:$D$65,MATCH(D1317,Projects!$B$6:$B$65,0)),""))&gt;0,IFERROR(INDEX(Projects!$D$6:$D$65,MATCH(D1317,Projects!$B$6:$B$65,0)),""),IFERROR(INDEX(Clients!$G$6:$G$45,MATCH(C1317,Clients!$B$6:$B$45,0)),0))))</f>
        <v/>
      </c>
      <c r="O1317" s="14">
        <f>IF(B1317="","",IF(J1317&lt;&gt;"",0,ROUND(M1317*N1317,2)))</f>
        <v/>
      </c>
      <c r="P1317" s="15">
        <f>IF(OR(B1317="",J1317&lt;&gt;""),"",IF(L1317&lt;&gt;"",L1317,IF(COUNTIFS(Invoices!$C$6:$C$305,C1317,Invoices!$E$6:$E$305,"&lt;="&amp;B1317,Invoices!$F$6:$F$305,"&gt;="&amp;B1317)=1,INDEX(Invoices!$B$6:$B$305,SUMIFS(Invoices!$O$6:$O$305,Invoices!$C$6:$C$305,C1317,Invoices!$E$6:$E$305,"&lt;="&amp;B1317,Invoices!$F$6:$F$305,"&gt;="&amp;B1317)),IF(COUNTIFS(Invoices!$C$6:$C$305,C1317,Invoices!$E$6:$E$305,"&lt;="&amp;B1317,Invoices!$F$6:$F$305,"&gt;="&amp;B1317)&gt;1,"Two invoices",""))))</f>
        <v/>
      </c>
      <c r="Q1317" s="15">
        <f>IF(B1317="","",IF(J1317&lt;&gt;"","Not billable",IF(P1317="","To invoice",IF(P1317="Two invoices","Check dates",IF(ISNA(MATCH(P1317,Invoices!$B$6:$B$305,0)),"Check number",IF(INDEX(Invoices!$M$6:$M$305,MATCH(P1317,Invoices!$B$6:$B$305,0))="Paid","Paid",IF(INDEX(Invoices!$M$6:$M$305,MATCH(P1317,Invoices!$B$6:$B$305,0))="Draft","Draft","Invoiced")))))))</f>
        <v/>
      </c>
      <c r="R1317" s="1">
        <f>IF(AND(B1317&lt;&gt;"",P1317&lt;&gt;"",P1317=Invoice!$G$4),B1317+MOD(N(F1317),1)+ROW()/10000000,"")</f>
        <v/>
      </c>
      <c r="S1317">
        <f>IF(R1317="","",IF(D1317="","Other work",D1317)&amp;IF(AND(K1317&lt;&gt;"",E1317&lt;&gt;""),", "&amp;E1317,""))</f>
        <v/>
      </c>
      <c r="T1317">
        <f>IF(R1317="","",IF(COUNTIFS(R$6:R1316,"&gt;0",S$6:S1316,S1317,N$6:N1316,N1317)=0,R1317,""))</f>
        <v/>
      </c>
      <c r="U1317">
        <f>IF(B1317="","",IF(J1317&lt;&gt;"",0,M1317))</f>
        <v/>
      </c>
    </row>
    <row r="1318">
      <c r="A1318" s="1" t="n"/>
      <c r="B1318" s="16" t="n"/>
      <c r="C1318" s="17" t="n"/>
      <c r="D1318" s="18" t="n"/>
      <c r="E1318" s="18" t="n"/>
      <c r="F1318" s="19" t="n"/>
      <c r="G1318" s="19" t="n"/>
      <c r="H1318" s="20" t="n"/>
      <c r="I1318" s="21" t="n"/>
      <c r="J1318" s="22" t="n"/>
      <c r="K1318" s="23" t="n"/>
      <c r="L1318" s="18" t="n"/>
      <c r="M1318" s="24">
        <f>IF(B1318="","",IF(AND(F1318&lt;&gt;"",G1318&lt;&gt;""),MAX(0,ROUND(MOD(G1318-F1318,1)*24-N(H1318)/60,2)),N(I1318)))</f>
        <v/>
      </c>
      <c r="N1318" s="14">
        <f>IF(B1318="","",IF(K1318&lt;&gt;"",K1318,IF(N(IFERROR(INDEX(Projects!$D$6:$D$65,MATCH(D1318,Projects!$B$6:$B$65,0)),""))&gt;0,IFERROR(INDEX(Projects!$D$6:$D$65,MATCH(D1318,Projects!$B$6:$B$65,0)),""),IFERROR(INDEX(Clients!$G$6:$G$45,MATCH(C1318,Clients!$B$6:$B$45,0)),0))))</f>
        <v/>
      </c>
      <c r="O1318" s="14">
        <f>IF(B1318="","",IF(J1318&lt;&gt;"",0,ROUND(M1318*N1318,2)))</f>
        <v/>
      </c>
      <c r="P1318" s="15">
        <f>IF(OR(B1318="",J1318&lt;&gt;""),"",IF(L1318&lt;&gt;"",L1318,IF(COUNTIFS(Invoices!$C$6:$C$305,C1318,Invoices!$E$6:$E$305,"&lt;="&amp;B1318,Invoices!$F$6:$F$305,"&gt;="&amp;B1318)=1,INDEX(Invoices!$B$6:$B$305,SUMIFS(Invoices!$O$6:$O$305,Invoices!$C$6:$C$305,C1318,Invoices!$E$6:$E$305,"&lt;="&amp;B1318,Invoices!$F$6:$F$305,"&gt;="&amp;B1318)),IF(COUNTIFS(Invoices!$C$6:$C$305,C1318,Invoices!$E$6:$E$305,"&lt;="&amp;B1318,Invoices!$F$6:$F$305,"&gt;="&amp;B1318)&gt;1,"Two invoices",""))))</f>
        <v/>
      </c>
      <c r="Q1318" s="15">
        <f>IF(B1318="","",IF(J1318&lt;&gt;"","Not billable",IF(P1318="","To invoice",IF(P1318="Two invoices","Check dates",IF(ISNA(MATCH(P1318,Invoices!$B$6:$B$305,0)),"Check number",IF(INDEX(Invoices!$M$6:$M$305,MATCH(P1318,Invoices!$B$6:$B$305,0))="Paid","Paid",IF(INDEX(Invoices!$M$6:$M$305,MATCH(P1318,Invoices!$B$6:$B$305,0))="Draft","Draft","Invoiced")))))))</f>
        <v/>
      </c>
      <c r="R1318" s="1">
        <f>IF(AND(B1318&lt;&gt;"",P1318&lt;&gt;"",P1318=Invoice!$G$4),B1318+MOD(N(F1318),1)+ROW()/10000000,"")</f>
        <v/>
      </c>
      <c r="S1318">
        <f>IF(R1318="","",IF(D1318="","Other work",D1318)&amp;IF(AND(K1318&lt;&gt;"",E1318&lt;&gt;""),", "&amp;E1318,""))</f>
        <v/>
      </c>
      <c r="T1318">
        <f>IF(R1318="","",IF(COUNTIFS(R$6:R1317,"&gt;0",S$6:S1317,S1318,N$6:N1317,N1318)=0,R1318,""))</f>
        <v/>
      </c>
      <c r="U1318">
        <f>IF(B1318="","",IF(J1318&lt;&gt;"",0,M1318))</f>
        <v/>
      </c>
    </row>
    <row r="1319">
      <c r="A1319" s="1" t="n"/>
      <c r="B1319" s="16" t="n"/>
      <c r="C1319" s="17" t="n"/>
      <c r="D1319" s="18" t="n"/>
      <c r="E1319" s="18" t="n"/>
      <c r="F1319" s="19" t="n"/>
      <c r="G1319" s="19" t="n"/>
      <c r="H1319" s="20" t="n"/>
      <c r="I1319" s="21" t="n"/>
      <c r="J1319" s="22" t="n"/>
      <c r="K1319" s="23" t="n"/>
      <c r="L1319" s="18" t="n"/>
      <c r="M1319" s="24">
        <f>IF(B1319="","",IF(AND(F1319&lt;&gt;"",G1319&lt;&gt;""),MAX(0,ROUND(MOD(G1319-F1319,1)*24-N(H1319)/60,2)),N(I1319)))</f>
        <v/>
      </c>
      <c r="N1319" s="14">
        <f>IF(B1319="","",IF(K1319&lt;&gt;"",K1319,IF(N(IFERROR(INDEX(Projects!$D$6:$D$65,MATCH(D1319,Projects!$B$6:$B$65,0)),""))&gt;0,IFERROR(INDEX(Projects!$D$6:$D$65,MATCH(D1319,Projects!$B$6:$B$65,0)),""),IFERROR(INDEX(Clients!$G$6:$G$45,MATCH(C1319,Clients!$B$6:$B$45,0)),0))))</f>
        <v/>
      </c>
      <c r="O1319" s="14">
        <f>IF(B1319="","",IF(J1319&lt;&gt;"",0,ROUND(M1319*N1319,2)))</f>
        <v/>
      </c>
      <c r="P1319" s="15">
        <f>IF(OR(B1319="",J1319&lt;&gt;""),"",IF(L1319&lt;&gt;"",L1319,IF(COUNTIFS(Invoices!$C$6:$C$305,C1319,Invoices!$E$6:$E$305,"&lt;="&amp;B1319,Invoices!$F$6:$F$305,"&gt;="&amp;B1319)=1,INDEX(Invoices!$B$6:$B$305,SUMIFS(Invoices!$O$6:$O$305,Invoices!$C$6:$C$305,C1319,Invoices!$E$6:$E$305,"&lt;="&amp;B1319,Invoices!$F$6:$F$305,"&gt;="&amp;B1319)),IF(COUNTIFS(Invoices!$C$6:$C$305,C1319,Invoices!$E$6:$E$305,"&lt;="&amp;B1319,Invoices!$F$6:$F$305,"&gt;="&amp;B1319)&gt;1,"Two invoices",""))))</f>
        <v/>
      </c>
      <c r="Q1319" s="15">
        <f>IF(B1319="","",IF(J1319&lt;&gt;"","Not billable",IF(P1319="","To invoice",IF(P1319="Two invoices","Check dates",IF(ISNA(MATCH(P1319,Invoices!$B$6:$B$305,0)),"Check number",IF(INDEX(Invoices!$M$6:$M$305,MATCH(P1319,Invoices!$B$6:$B$305,0))="Paid","Paid",IF(INDEX(Invoices!$M$6:$M$305,MATCH(P1319,Invoices!$B$6:$B$305,0))="Draft","Draft","Invoiced")))))))</f>
        <v/>
      </c>
      <c r="R1319" s="1">
        <f>IF(AND(B1319&lt;&gt;"",P1319&lt;&gt;"",P1319=Invoice!$G$4),B1319+MOD(N(F1319),1)+ROW()/10000000,"")</f>
        <v/>
      </c>
      <c r="S1319">
        <f>IF(R1319="","",IF(D1319="","Other work",D1319)&amp;IF(AND(K1319&lt;&gt;"",E1319&lt;&gt;""),", "&amp;E1319,""))</f>
        <v/>
      </c>
      <c r="T1319">
        <f>IF(R1319="","",IF(COUNTIFS(R$6:R1318,"&gt;0",S$6:S1318,S1319,N$6:N1318,N1319)=0,R1319,""))</f>
        <v/>
      </c>
      <c r="U1319">
        <f>IF(B1319="","",IF(J1319&lt;&gt;"",0,M1319))</f>
        <v/>
      </c>
    </row>
    <row r="1320">
      <c r="A1320" s="1" t="n"/>
      <c r="B1320" s="16" t="n"/>
      <c r="C1320" s="17" t="n"/>
      <c r="D1320" s="18" t="n"/>
      <c r="E1320" s="18" t="n"/>
      <c r="F1320" s="19" t="n"/>
      <c r="G1320" s="19" t="n"/>
      <c r="H1320" s="20" t="n"/>
      <c r="I1320" s="21" t="n"/>
      <c r="J1320" s="22" t="n"/>
      <c r="K1320" s="23" t="n"/>
      <c r="L1320" s="18" t="n"/>
      <c r="M1320" s="24">
        <f>IF(B1320="","",IF(AND(F1320&lt;&gt;"",G1320&lt;&gt;""),MAX(0,ROUND(MOD(G1320-F1320,1)*24-N(H1320)/60,2)),N(I1320)))</f>
        <v/>
      </c>
      <c r="N1320" s="14">
        <f>IF(B1320="","",IF(K1320&lt;&gt;"",K1320,IF(N(IFERROR(INDEX(Projects!$D$6:$D$65,MATCH(D1320,Projects!$B$6:$B$65,0)),""))&gt;0,IFERROR(INDEX(Projects!$D$6:$D$65,MATCH(D1320,Projects!$B$6:$B$65,0)),""),IFERROR(INDEX(Clients!$G$6:$G$45,MATCH(C1320,Clients!$B$6:$B$45,0)),0))))</f>
        <v/>
      </c>
      <c r="O1320" s="14">
        <f>IF(B1320="","",IF(J1320&lt;&gt;"",0,ROUND(M1320*N1320,2)))</f>
        <v/>
      </c>
      <c r="P1320" s="15">
        <f>IF(OR(B1320="",J1320&lt;&gt;""),"",IF(L1320&lt;&gt;"",L1320,IF(COUNTIFS(Invoices!$C$6:$C$305,C1320,Invoices!$E$6:$E$305,"&lt;="&amp;B1320,Invoices!$F$6:$F$305,"&gt;="&amp;B1320)=1,INDEX(Invoices!$B$6:$B$305,SUMIFS(Invoices!$O$6:$O$305,Invoices!$C$6:$C$305,C1320,Invoices!$E$6:$E$305,"&lt;="&amp;B1320,Invoices!$F$6:$F$305,"&gt;="&amp;B1320)),IF(COUNTIFS(Invoices!$C$6:$C$305,C1320,Invoices!$E$6:$E$305,"&lt;="&amp;B1320,Invoices!$F$6:$F$305,"&gt;="&amp;B1320)&gt;1,"Two invoices",""))))</f>
        <v/>
      </c>
      <c r="Q1320" s="15">
        <f>IF(B1320="","",IF(J1320&lt;&gt;"","Not billable",IF(P1320="","To invoice",IF(P1320="Two invoices","Check dates",IF(ISNA(MATCH(P1320,Invoices!$B$6:$B$305,0)),"Check number",IF(INDEX(Invoices!$M$6:$M$305,MATCH(P1320,Invoices!$B$6:$B$305,0))="Paid","Paid",IF(INDEX(Invoices!$M$6:$M$305,MATCH(P1320,Invoices!$B$6:$B$305,0))="Draft","Draft","Invoiced")))))))</f>
        <v/>
      </c>
      <c r="R1320" s="1">
        <f>IF(AND(B1320&lt;&gt;"",P1320&lt;&gt;"",P1320=Invoice!$G$4),B1320+MOD(N(F1320),1)+ROW()/10000000,"")</f>
        <v/>
      </c>
      <c r="S1320">
        <f>IF(R1320="","",IF(D1320="","Other work",D1320)&amp;IF(AND(K1320&lt;&gt;"",E1320&lt;&gt;""),", "&amp;E1320,""))</f>
        <v/>
      </c>
      <c r="T1320">
        <f>IF(R1320="","",IF(COUNTIFS(R$6:R1319,"&gt;0",S$6:S1319,S1320,N$6:N1319,N1320)=0,R1320,""))</f>
        <v/>
      </c>
      <c r="U1320">
        <f>IF(B1320="","",IF(J1320&lt;&gt;"",0,M1320))</f>
        <v/>
      </c>
    </row>
    <row r="1321">
      <c r="A1321" s="1" t="n"/>
      <c r="B1321" s="16" t="n"/>
      <c r="C1321" s="17" t="n"/>
      <c r="D1321" s="18" t="n"/>
      <c r="E1321" s="18" t="n"/>
      <c r="F1321" s="19" t="n"/>
      <c r="G1321" s="19" t="n"/>
      <c r="H1321" s="20" t="n"/>
      <c r="I1321" s="21" t="n"/>
      <c r="J1321" s="22" t="n"/>
      <c r="K1321" s="23" t="n"/>
      <c r="L1321" s="18" t="n"/>
      <c r="M1321" s="24">
        <f>IF(B1321="","",IF(AND(F1321&lt;&gt;"",G1321&lt;&gt;""),MAX(0,ROUND(MOD(G1321-F1321,1)*24-N(H1321)/60,2)),N(I1321)))</f>
        <v/>
      </c>
      <c r="N1321" s="14">
        <f>IF(B1321="","",IF(K1321&lt;&gt;"",K1321,IF(N(IFERROR(INDEX(Projects!$D$6:$D$65,MATCH(D1321,Projects!$B$6:$B$65,0)),""))&gt;0,IFERROR(INDEX(Projects!$D$6:$D$65,MATCH(D1321,Projects!$B$6:$B$65,0)),""),IFERROR(INDEX(Clients!$G$6:$G$45,MATCH(C1321,Clients!$B$6:$B$45,0)),0))))</f>
        <v/>
      </c>
      <c r="O1321" s="14">
        <f>IF(B1321="","",IF(J1321&lt;&gt;"",0,ROUND(M1321*N1321,2)))</f>
        <v/>
      </c>
      <c r="P1321" s="15">
        <f>IF(OR(B1321="",J1321&lt;&gt;""),"",IF(L1321&lt;&gt;"",L1321,IF(COUNTIFS(Invoices!$C$6:$C$305,C1321,Invoices!$E$6:$E$305,"&lt;="&amp;B1321,Invoices!$F$6:$F$305,"&gt;="&amp;B1321)=1,INDEX(Invoices!$B$6:$B$305,SUMIFS(Invoices!$O$6:$O$305,Invoices!$C$6:$C$305,C1321,Invoices!$E$6:$E$305,"&lt;="&amp;B1321,Invoices!$F$6:$F$305,"&gt;="&amp;B1321)),IF(COUNTIFS(Invoices!$C$6:$C$305,C1321,Invoices!$E$6:$E$305,"&lt;="&amp;B1321,Invoices!$F$6:$F$305,"&gt;="&amp;B1321)&gt;1,"Two invoices",""))))</f>
        <v/>
      </c>
      <c r="Q1321" s="15">
        <f>IF(B1321="","",IF(J1321&lt;&gt;"","Not billable",IF(P1321="","To invoice",IF(P1321="Two invoices","Check dates",IF(ISNA(MATCH(P1321,Invoices!$B$6:$B$305,0)),"Check number",IF(INDEX(Invoices!$M$6:$M$305,MATCH(P1321,Invoices!$B$6:$B$305,0))="Paid","Paid",IF(INDEX(Invoices!$M$6:$M$305,MATCH(P1321,Invoices!$B$6:$B$305,0))="Draft","Draft","Invoiced")))))))</f>
        <v/>
      </c>
      <c r="R1321" s="1">
        <f>IF(AND(B1321&lt;&gt;"",P1321&lt;&gt;"",P1321=Invoice!$G$4),B1321+MOD(N(F1321),1)+ROW()/10000000,"")</f>
        <v/>
      </c>
      <c r="S1321">
        <f>IF(R1321="","",IF(D1321="","Other work",D1321)&amp;IF(AND(K1321&lt;&gt;"",E1321&lt;&gt;""),", "&amp;E1321,""))</f>
        <v/>
      </c>
      <c r="T1321">
        <f>IF(R1321="","",IF(COUNTIFS(R$6:R1320,"&gt;0",S$6:S1320,S1321,N$6:N1320,N1321)=0,R1321,""))</f>
        <v/>
      </c>
      <c r="U1321">
        <f>IF(B1321="","",IF(J1321&lt;&gt;"",0,M1321))</f>
        <v/>
      </c>
    </row>
    <row r="1322">
      <c r="A1322" s="1" t="n"/>
      <c r="B1322" s="16" t="n"/>
      <c r="C1322" s="17" t="n"/>
      <c r="D1322" s="18" t="n"/>
      <c r="E1322" s="18" t="n"/>
      <c r="F1322" s="19" t="n"/>
      <c r="G1322" s="19" t="n"/>
      <c r="H1322" s="20" t="n"/>
      <c r="I1322" s="21" t="n"/>
      <c r="J1322" s="22" t="n"/>
      <c r="K1322" s="23" t="n"/>
      <c r="L1322" s="18" t="n"/>
      <c r="M1322" s="24">
        <f>IF(B1322="","",IF(AND(F1322&lt;&gt;"",G1322&lt;&gt;""),MAX(0,ROUND(MOD(G1322-F1322,1)*24-N(H1322)/60,2)),N(I1322)))</f>
        <v/>
      </c>
      <c r="N1322" s="14">
        <f>IF(B1322="","",IF(K1322&lt;&gt;"",K1322,IF(N(IFERROR(INDEX(Projects!$D$6:$D$65,MATCH(D1322,Projects!$B$6:$B$65,0)),""))&gt;0,IFERROR(INDEX(Projects!$D$6:$D$65,MATCH(D1322,Projects!$B$6:$B$65,0)),""),IFERROR(INDEX(Clients!$G$6:$G$45,MATCH(C1322,Clients!$B$6:$B$45,0)),0))))</f>
        <v/>
      </c>
      <c r="O1322" s="14">
        <f>IF(B1322="","",IF(J1322&lt;&gt;"",0,ROUND(M1322*N1322,2)))</f>
        <v/>
      </c>
      <c r="P1322" s="15">
        <f>IF(OR(B1322="",J1322&lt;&gt;""),"",IF(L1322&lt;&gt;"",L1322,IF(COUNTIFS(Invoices!$C$6:$C$305,C1322,Invoices!$E$6:$E$305,"&lt;="&amp;B1322,Invoices!$F$6:$F$305,"&gt;="&amp;B1322)=1,INDEX(Invoices!$B$6:$B$305,SUMIFS(Invoices!$O$6:$O$305,Invoices!$C$6:$C$305,C1322,Invoices!$E$6:$E$305,"&lt;="&amp;B1322,Invoices!$F$6:$F$305,"&gt;="&amp;B1322)),IF(COUNTIFS(Invoices!$C$6:$C$305,C1322,Invoices!$E$6:$E$305,"&lt;="&amp;B1322,Invoices!$F$6:$F$305,"&gt;="&amp;B1322)&gt;1,"Two invoices",""))))</f>
        <v/>
      </c>
      <c r="Q1322" s="15">
        <f>IF(B1322="","",IF(J1322&lt;&gt;"","Not billable",IF(P1322="","To invoice",IF(P1322="Two invoices","Check dates",IF(ISNA(MATCH(P1322,Invoices!$B$6:$B$305,0)),"Check number",IF(INDEX(Invoices!$M$6:$M$305,MATCH(P1322,Invoices!$B$6:$B$305,0))="Paid","Paid",IF(INDEX(Invoices!$M$6:$M$305,MATCH(P1322,Invoices!$B$6:$B$305,0))="Draft","Draft","Invoiced")))))))</f>
        <v/>
      </c>
      <c r="R1322" s="1">
        <f>IF(AND(B1322&lt;&gt;"",P1322&lt;&gt;"",P1322=Invoice!$G$4),B1322+MOD(N(F1322),1)+ROW()/10000000,"")</f>
        <v/>
      </c>
      <c r="S1322">
        <f>IF(R1322="","",IF(D1322="","Other work",D1322)&amp;IF(AND(K1322&lt;&gt;"",E1322&lt;&gt;""),", "&amp;E1322,""))</f>
        <v/>
      </c>
      <c r="T1322">
        <f>IF(R1322="","",IF(COUNTIFS(R$6:R1321,"&gt;0",S$6:S1321,S1322,N$6:N1321,N1322)=0,R1322,""))</f>
        <v/>
      </c>
      <c r="U1322">
        <f>IF(B1322="","",IF(J1322&lt;&gt;"",0,M1322))</f>
        <v/>
      </c>
    </row>
    <row r="1323">
      <c r="A1323" s="1" t="n"/>
      <c r="B1323" s="16" t="n"/>
      <c r="C1323" s="17" t="n"/>
      <c r="D1323" s="18" t="n"/>
      <c r="E1323" s="18" t="n"/>
      <c r="F1323" s="19" t="n"/>
      <c r="G1323" s="19" t="n"/>
      <c r="H1323" s="20" t="n"/>
      <c r="I1323" s="21" t="n"/>
      <c r="J1323" s="22" t="n"/>
      <c r="K1323" s="23" t="n"/>
      <c r="L1323" s="18" t="n"/>
      <c r="M1323" s="24">
        <f>IF(B1323="","",IF(AND(F1323&lt;&gt;"",G1323&lt;&gt;""),MAX(0,ROUND(MOD(G1323-F1323,1)*24-N(H1323)/60,2)),N(I1323)))</f>
        <v/>
      </c>
      <c r="N1323" s="14">
        <f>IF(B1323="","",IF(K1323&lt;&gt;"",K1323,IF(N(IFERROR(INDEX(Projects!$D$6:$D$65,MATCH(D1323,Projects!$B$6:$B$65,0)),""))&gt;0,IFERROR(INDEX(Projects!$D$6:$D$65,MATCH(D1323,Projects!$B$6:$B$65,0)),""),IFERROR(INDEX(Clients!$G$6:$G$45,MATCH(C1323,Clients!$B$6:$B$45,0)),0))))</f>
        <v/>
      </c>
      <c r="O1323" s="14">
        <f>IF(B1323="","",IF(J1323&lt;&gt;"",0,ROUND(M1323*N1323,2)))</f>
        <v/>
      </c>
      <c r="P1323" s="15">
        <f>IF(OR(B1323="",J1323&lt;&gt;""),"",IF(L1323&lt;&gt;"",L1323,IF(COUNTIFS(Invoices!$C$6:$C$305,C1323,Invoices!$E$6:$E$305,"&lt;="&amp;B1323,Invoices!$F$6:$F$305,"&gt;="&amp;B1323)=1,INDEX(Invoices!$B$6:$B$305,SUMIFS(Invoices!$O$6:$O$305,Invoices!$C$6:$C$305,C1323,Invoices!$E$6:$E$305,"&lt;="&amp;B1323,Invoices!$F$6:$F$305,"&gt;="&amp;B1323)),IF(COUNTIFS(Invoices!$C$6:$C$305,C1323,Invoices!$E$6:$E$305,"&lt;="&amp;B1323,Invoices!$F$6:$F$305,"&gt;="&amp;B1323)&gt;1,"Two invoices",""))))</f>
        <v/>
      </c>
      <c r="Q1323" s="15">
        <f>IF(B1323="","",IF(J1323&lt;&gt;"","Not billable",IF(P1323="","To invoice",IF(P1323="Two invoices","Check dates",IF(ISNA(MATCH(P1323,Invoices!$B$6:$B$305,0)),"Check number",IF(INDEX(Invoices!$M$6:$M$305,MATCH(P1323,Invoices!$B$6:$B$305,0))="Paid","Paid",IF(INDEX(Invoices!$M$6:$M$305,MATCH(P1323,Invoices!$B$6:$B$305,0))="Draft","Draft","Invoiced")))))))</f>
        <v/>
      </c>
      <c r="R1323" s="1">
        <f>IF(AND(B1323&lt;&gt;"",P1323&lt;&gt;"",P1323=Invoice!$G$4),B1323+MOD(N(F1323),1)+ROW()/10000000,"")</f>
        <v/>
      </c>
      <c r="S1323">
        <f>IF(R1323="","",IF(D1323="","Other work",D1323)&amp;IF(AND(K1323&lt;&gt;"",E1323&lt;&gt;""),", "&amp;E1323,""))</f>
        <v/>
      </c>
      <c r="T1323">
        <f>IF(R1323="","",IF(COUNTIFS(R$6:R1322,"&gt;0",S$6:S1322,S1323,N$6:N1322,N1323)=0,R1323,""))</f>
        <v/>
      </c>
      <c r="U1323">
        <f>IF(B1323="","",IF(J1323&lt;&gt;"",0,M1323))</f>
        <v/>
      </c>
    </row>
    <row r="1324">
      <c r="A1324" s="1" t="n"/>
      <c r="B1324" s="16" t="n"/>
      <c r="C1324" s="17" t="n"/>
      <c r="D1324" s="18" t="n"/>
      <c r="E1324" s="18" t="n"/>
      <c r="F1324" s="19" t="n"/>
      <c r="G1324" s="19" t="n"/>
      <c r="H1324" s="20" t="n"/>
      <c r="I1324" s="21" t="n"/>
      <c r="J1324" s="22" t="n"/>
      <c r="K1324" s="23" t="n"/>
      <c r="L1324" s="18" t="n"/>
      <c r="M1324" s="24">
        <f>IF(B1324="","",IF(AND(F1324&lt;&gt;"",G1324&lt;&gt;""),MAX(0,ROUND(MOD(G1324-F1324,1)*24-N(H1324)/60,2)),N(I1324)))</f>
        <v/>
      </c>
      <c r="N1324" s="14">
        <f>IF(B1324="","",IF(K1324&lt;&gt;"",K1324,IF(N(IFERROR(INDEX(Projects!$D$6:$D$65,MATCH(D1324,Projects!$B$6:$B$65,0)),""))&gt;0,IFERROR(INDEX(Projects!$D$6:$D$65,MATCH(D1324,Projects!$B$6:$B$65,0)),""),IFERROR(INDEX(Clients!$G$6:$G$45,MATCH(C1324,Clients!$B$6:$B$45,0)),0))))</f>
        <v/>
      </c>
      <c r="O1324" s="14">
        <f>IF(B1324="","",IF(J1324&lt;&gt;"",0,ROUND(M1324*N1324,2)))</f>
        <v/>
      </c>
      <c r="P1324" s="15">
        <f>IF(OR(B1324="",J1324&lt;&gt;""),"",IF(L1324&lt;&gt;"",L1324,IF(COUNTIFS(Invoices!$C$6:$C$305,C1324,Invoices!$E$6:$E$305,"&lt;="&amp;B1324,Invoices!$F$6:$F$305,"&gt;="&amp;B1324)=1,INDEX(Invoices!$B$6:$B$305,SUMIFS(Invoices!$O$6:$O$305,Invoices!$C$6:$C$305,C1324,Invoices!$E$6:$E$305,"&lt;="&amp;B1324,Invoices!$F$6:$F$305,"&gt;="&amp;B1324)),IF(COUNTIFS(Invoices!$C$6:$C$305,C1324,Invoices!$E$6:$E$305,"&lt;="&amp;B1324,Invoices!$F$6:$F$305,"&gt;="&amp;B1324)&gt;1,"Two invoices",""))))</f>
        <v/>
      </c>
      <c r="Q1324" s="15">
        <f>IF(B1324="","",IF(J1324&lt;&gt;"","Not billable",IF(P1324="","To invoice",IF(P1324="Two invoices","Check dates",IF(ISNA(MATCH(P1324,Invoices!$B$6:$B$305,0)),"Check number",IF(INDEX(Invoices!$M$6:$M$305,MATCH(P1324,Invoices!$B$6:$B$305,0))="Paid","Paid",IF(INDEX(Invoices!$M$6:$M$305,MATCH(P1324,Invoices!$B$6:$B$305,0))="Draft","Draft","Invoiced")))))))</f>
        <v/>
      </c>
      <c r="R1324" s="1">
        <f>IF(AND(B1324&lt;&gt;"",P1324&lt;&gt;"",P1324=Invoice!$G$4),B1324+MOD(N(F1324),1)+ROW()/10000000,"")</f>
        <v/>
      </c>
      <c r="S1324">
        <f>IF(R1324="","",IF(D1324="","Other work",D1324)&amp;IF(AND(K1324&lt;&gt;"",E1324&lt;&gt;""),", "&amp;E1324,""))</f>
        <v/>
      </c>
      <c r="T1324">
        <f>IF(R1324="","",IF(COUNTIFS(R$6:R1323,"&gt;0",S$6:S1323,S1324,N$6:N1323,N1324)=0,R1324,""))</f>
        <v/>
      </c>
      <c r="U1324">
        <f>IF(B1324="","",IF(J1324&lt;&gt;"",0,M1324))</f>
        <v/>
      </c>
    </row>
    <row r="1325">
      <c r="A1325" s="1" t="n"/>
      <c r="B1325" s="16" t="n"/>
      <c r="C1325" s="17" t="n"/>
      <c r="D1325" s="18" t="n"/>
      <c r="E1325" s="18" t="n"/>
      <c r="F1325" s="19" t="n"/>
      <c r="G1325" s="19" t="n"/>
      <c r="H1325" s="20" t="n"/>
      <c r="I1325" s="21" t="n"/>
      <c r="J1325" s="22" t="n"/>
      <c r="K1325" s="23" t="n"/>
      <c r="L1325" s="18" t="n"/>
      <c r="M1325" s="24">
        <f>IF(B1325="","",IF(AND(F1325&lt;&gt;"",G1325&lt;&gt;""),MAX(0,ROUND(MOD(G1325-F1325,1)*24-N(H1325)/60,2)),N(I1325)))</f>
        <v/>
      </c>
      <c r="N1325" s="14">
        <f>IF(B1325="","",IF(K1325&lt;&gt;"",K1325,IF(N(IFERROR(INDEX(Projects!$D$6:$D$65,MATCH(D1325,Projects!$B$6:$B$65,0)),""))&gt;0,IFERROR(INDEX(Projects!$D$6:$D$65,MATCH(D1325,Projects!$B$6:$B$65,0)),""),IFERROR(INDEX(Clients!$G$6:$G$45,MATCH(C1325,Clients!$B$6:$B$45,0)),0))))</f>
        <v/>
      </c>
      <c r="O1325" s="14">
        <f>IF(B1325="","",IF(J1325&lt;&gt;"",0,ROUND(M1325*N1325,2)))</f>
        <v/>
      </c>
      <c r="P1325" s="15">
        <f>IF(OR(B1325="",J1325&lt;&gt;""),"",IF(L1325&lt;&gt;"",L1325,IF(COUNTIFS(Invoices!$C$6:$C$305,C1325,Invoices!$E$6:$E$305,"&lt;="&amp;B1325,Invoices!$F$6:$F$305,"&gt;="&amp;B1325)=1,INDEX(Invoices!$B$6:$B$305,SUMIFS(Invoices!$O$6:$O$305,Invoices!$C$6:$C$305,C1325,Invoices!$E$6:$E$305,"&lt;="&amp;B1325,Invoices!$F$6:$F$305,"&gt;="&amp;B1325)),IF(COUNTIFS(Invoices!$C$6:$C$305,C1325,Invoices!$E$6:$E$305,"&lt;="&amp;B1325,Invoices!$F$6:$F$305,"&gt;="&amp;B1325)&gt;1,"Two invoices",""))))</f>
        <v/>
      </c>
      <c r="Q1325" s="15">
        <f>IF(B1325="","",IF(J1325&lt;&gt;"","Not billable",IF(P1325="","To invoice",IF(P1325="Two invoices","Check dates",IF(ISNA(MATCH(P1325,Invoices!$B$6:$B$305,0)),"Check number",IF(INDEX(Invoices!$M$6:$M$305,MATCH(P1325,Invoices!$B$6:$B$305,0))="Paid","Paid",IF(INDEX(Invoices!$M$6:$M$305,MATCH(P1325,Invoices!$B$6:$B$305,0))="Draft","Draft","Invoiced")))))))</f>
        <v/>
      </c>
      <c r="R1325" s="1">
        <f>IF(AND(B1325&lt;&gt;"",P1325&lt;&gt;"",P1325=Invoice!$G$4),B1325+MOD(N(F1325),1)+ROW()/10000000,"")</f>
        <v/>
      </c>
      <c r="S1325">
        <f>IF(R1325="","",IF(D1325="","Other work",D1325)&amp;IF(AND(K1325&lt;&gt;"",E1325&lt;&gt;""),", "&amp;E1325,""))</f>
        <v/>
      </c>
      <c r="T1325">
        <f>IF(R1325="","",IF(COUNTIFS(R$6:R1324,"&gt;0",S$6:S1324,S1325,N$6:N1324,N1325)=0,R1325,""))</f>
        <v/>
      </c>
      <c r="U1325">
        <f>IF(B1325="","",IF(J1325&lt;&gt;"",0,M1325))</f>
        <v/>
      </c>
    </row>
    <row r="1326">
      <c r="A1326" s="1" t="n"/>
      <c r="B1326" s="16" t="n"/>
      <c r="C1326" s="17" t="n"/>
      <c r="D1326" s="18" t="n"/>
      <c r="E1326" s="18" t="n"/>
      <c r="F1326" s="19" t="n"/>
      <c r="G1326" s="19" t="n"/>
      <c r="H1326" s="20" t="n"/>
      <c r="I1326" s="21" t="n"/>
      <c r="J1326" s="22" t="n"/>
      <c r="K1326" s="23" t="n"/>
      <c r="L1326" s="18" t="n"/>
      <c r="M1326" s="24">
        <f>IF(B1326="","",IF(AND(F1326&lt;&gt;"",G1326&lt;&gt;""),MAX(0,ROUND(MOD(G1326-F1326,1)*24-N(H1326)/60,2)),N(I1326)))</f>
        <v/>
      </c>
      <c r="N1326" s="14">
        <f>IF(B1326="","",IF(K1326&lt;&gt;"",K1326,IF(N(IFERROR(INDEX(Projects!$D$6:$D$65,MATCH(D1326,Projects!$B$6:$B$65,0)),""))&gt;0,IFERROR(INDEX(Projects!$D$6:$D$65,MATCH(D1326,Projects!$B$6:$B$65,0)),""),IFERROR(INDEX(Clients!$G$6:$G$45,MATCH(C1326,Clients!$B$6:$B$45,0)),0))))</f>
        <v/>
      </c>
      <c r="O1326" s="14">
        <f>IF(B1326="","",IF(J1326&lt;&gt;"",0,ROUND(M1326*N1326,2)))</f>
        <v/>
      </c>
      <c r="P1326" s="15">
        <f>IF(OR(B1326="",J1326&lt;&gt;""),"",IF(L1326&lt;&gt;"",L1326,IF(COUNTIFS(Invoices!$C$6:$C$305,C1326,Invoices!$E$6:$E$305,"&lt;="&amp;B1326,Invoices!$F$6:$F$305,"&gt;="&amp;B1326)=1,INDEX(Invoices!$B$6:$B$305,SUMIFS(Invoices!$O$6:$O$305,Invoices!$C$6:$C$305,C1326,Invoices!$E$6:$E$305,"&lt;="&amp;B1326,Invoices!$F$6:$F$305,"&gt;="&amp;B1326)),IF(COUNTIFS(Invoices!$C$6:$C$305,C1326,Invoices!$E$6:$E$305,"&lt;="&amp;B1326,Invoices!$F$6:$F$305,"&gt;="&amp;B1326)&gt;1,"Two invoices",""))))</f>
        <v/>
      </c>
      <c r="Q1326" s="15">
        <f>IF(B1326="","",IF(J1326&lt;&gt;"","Not billable",IF(P1326="","To invoice",IF(P1326="Two invoices","Check dates",IF(ISNA(MATCH(P1326,Invoices!$B$6:$B$305,0)),"Check number",IF(INDEX(Invoices!$M$6:$M$305,MATCH(P1326,Invoices!$B$6:$B$305,0))="Paid","Paid",IF(INDEX(Invoices!$M$6:$M$305,MATCH(P1326,Invoices!$B$6:$B$305,0))="Draft","Draft","Invoiced")))))))</f>
        <v/>
      </c>
      <c r="R1326" s="1">
        <f>IF(AND(B1326&lt;&gt;"",P1326&lt;&gt;"",P1326=Invoice!$G$4),B1326+MOD(N(F1326),1)+ROW()/10000000,"")</f>
        <v/>
      </c>
      <c r="S1326">
        <f>IF(R1326="","",IF(D1326="","Other work",D1326)&amp;IF(AND(K1326&lt;&gt;"",E1326&lt;&gt;""),", "&amp;E1326,""))</f>
        <v/>
      </c>
      <c r="T1326">
        <f>IF(R1326="","",IF(COUNTIFS(R$6:R1325,"&gt;0",S$6:S1325,S1326,N$6:N1325,N1326)=0,R1326,""))</f>
        <v/>
      </c>
      <c r="U1326">
        <f>IF(B1326="","",IF(J1326&lt;&gt;"",0,M1326))</f>
        <v/>
      </c>
    </row>
    <row r="1327">
      <c r="A1327" s="1" t="n"/>
      <c r="B1327" s="16" t="n"/>
      <c r="C1327" s="17" t="n"/>
      <c r="D1327" s="18" t="n"/>
      <c r="E1327" s="18" t="n"/>
      <c r="F1327" s="19" t="n"/>
      <c r="G1327" s="19" t="n"/>
      <c r="H1327" s="20" t="n"/>
      <c r="I1327" s="21" t="n"/>
      <c r="J1327" s="22" t="n"/>
      <c r="K1327" s="23" t="n"/>
      <c r="L1327" s="18" t="n"/>
      <c r="M1327" s="24">
        <f>IF(B1327="","",IF(AND(F1327&lt;&gt;"",G1327&lt;&gt;""),MAX(0,ROUND(MOD(G1327-F1327,1)*24-N(H1327)/60,2)),N(I1327)))</f>
        <v/>
      </c>
      <c r="N1327" s="14">
        <f>IF(B1327="","",IF(K1327&lt;&gt;"",K1327,IF(N(IFERROR(INDEX(Projects!$D$6:$D$65,MATCH(D1327,Projects!$B$6:$B$65,0)),""))&gt;0,IFERROR(INDEX(Projects!$D$6:$D$65,MATCH(D1327,Projects!$B$6:$B$65,0)),""),IFERROR(INDEX(Clients!$G$6:$G$45,MATCH(C1327,Clients!$B$6:$B$45,0)),0))))</f>
        <v/>
      </c>
      <c r="O1327" s="14">
        <f>IF(B1327="","",IF(J1327&lt;&gt;"",0,ROUND(M1327*N1327,2)))</f>
        <v/>
      </c>
      <c r="P1327" s="15">
        <f>IF(OR(B1327="",J1327&lt;&gt;""),"",IF(L1327&lt;&gt;"",L1327,IF(COUNTIFS(Invoices!$C$6:$C$305,C1327,Invoices!$E$6:$E$305,"&lt;="&amp;B1327,Invoices!$F$6:$F$305,"&gt;="&amp;B1327)=1,INDEX(Invoices!$B$6:$B$305,SUMIFS(Invoices!$O$6:$O$305,Invoices!$C$6:$C$305,C1327,Invoices!$E$6:$E$305,"&lt;="&amp;B1327,Invoices!$F$6:$F$305,"&gt;="&amp;B1327)),IF(COUNTIFS(Invoices!$C$6:$C$305,C1327,Invoices!$E$6:$E$305,"&lt;="&amp;B1327,Invoices!$F$6:$F$305,"&gt;="&amp;B1327)&gt;1,"Two invoices",""))))</f>
        <v/>
      </c>
      <c r="Q1327" s="15">
        <f>IF(B1327="","",IF(J1327&lt;&gt;"","Not billable",IF(P1327="","To invoice",IF(P1327="Two invoices","Check dates",IF(ISNA(MATCH(P1327,Invoices!$B$6:$B$305,0)),"Check number",IF(INDEX(Invoices!$M$6:$M$305,MATCH(P1327,Invoices!$B$6:$B$305,0))="Paid","Paid",IF(INDEX(Invoices!$M$6:$M$305,MATCH(P1327,Invoices!$B$6:$B$305,0))="Draft","Draft","Invoiced")))))))</f>
        <v/>
      </c>
      <c r="R1327" s="1">
        <f>IF(AND(B1327&lt;&gt;"",P1327&lt;&gt;"",P1327=Invoice!$G$4),B1327+MOD(N(F1327),1)+ROW()/10000000,"")</f>
        <v/>
      </c>
      <c r="S1327">
        <f>IF(R1327="","",IF(D1327="","Other work",D1327)&amp;IF(AND(K1327&lt;&gt;"",E1327&lt;&gt;""),", "&amp;E1327,""))</f>
        <v/>
      </c>
      <c r="T1327">
        <f>IF(R1327="","",IF(COUNTIFS(R$6:R1326,"&gt;0",S$6:S1326,S1327,N$6:N1326,N1327)=0,R1327,""))</f>
        <v/>
      </c>
      <c r="U1327">
        <f>IF(B1327="","",IF(J1327&lt;&gt;"",0,M1327))</f>
        <v/>
      </c>
    </row>
    <row r="1328">
      <c r="A1328" s="1" t="n"/>
      <c r="B1328" s="16" t="n"/>
      <c r="C1328" s="17" t="n"/>
      <c r="D1328" s="18" t="n"/>
      <c r="E1328" s="18" t="n"/>
      <c r="F1328" s="19" t="n"/>
      <c r="G1328" s="19" t="n"/>
      <c r="H1328" s="20" t="n"/>
      <c r="I1328" s="21" t="n"/>
      <c r="J1328" s="22" t="n"/>
      <c r="K1328" s="23" t="n"/>
      <c r="L1328" s="18" t="n"/>
      <c r="M1328" s="24">
        <f>IF(B1328="","",IF(AND(F1328&lt;&gt;"",G1328&lt;&gt;""),MAX(0,ROUND(MOD(G1328-F1328,1)*24-N(H1328)/60,2)),N(I1328)))</f>
        <v/>
      </c>
      <c r="N1328" s="14">
        <f>IF(B1328="","",IF(K1328&lt;&gt;"",K1328,IF(N(IFERROR(INDEX(Projects!$D$6:$D$65,MATCH(D1328,Projects!$B$6:$B$65,0)),""))&gt;0,IFERROR(INDEX(Projects!$D$6:$D$65,MATCH(D1328,Projects!$B$6:$B$65,0)),""),IFERROR(INDEX(Clients!$G$6:$G$45,MATCH(C1328,Clients!$B$6:$B$45,0)),0))))</f>
        <v/>
      </c>
      <c r="O1328" s="14">
        <f>IF(B1328="","",IF(J1328&lt;&gt;"",0,ROUND(M1328*N1328,2)))</f>
        <v/>
      </c>
      <c r="P1328" s="15">
        <f>IF(OR(B1328="",J1328&lt;&gt;""),"",IF(L1328&lt;&gt;"",L1328,IF(COUNTIFS(Invoices!$C$6:$C$305,C1328,Invoices!$E$6:$E$305,"&lt;="&amp;B1328,Invoices!$F$6:$F$305,"&gt;="&amp;B1328)=1,INDEX(Invoices!$B$6:$B$305,SUMIFS(Invoices!$O$6:$O$305,Invoices!$C$6:$C$305,C1328,Invoices!$E$6:$E$305,"&lt;="&amp;B1328,Invoices!$F$6:$F$305,"&gt;="&amp;B1328)),IF(COUNTIFS(Invoices!$C$6:$C$305,C1328,Invoices!$E$6:$E$305,"&lt;="&amp;B1328,Invoices!$F$6:$F$305,"&gt;="&amp;B1328)&gt;1,"Two invoices",""))))</f>
        <v/>
      </c>
      <c r="Q1328" s="15">
        <f>IF(B1328="","",IF(J1328&lt;&gt;"","Not billable",IF(P1328="","To invoice",IF(P1328="Two invoices","Check dates",IF(ISNA(MATCH(P1328,Invoices!$B$6:$B$305,0)),"Check number",IF(INDEX(Invoices!$M$6:$M$305,MATCH(P1328,Invoices!$B$6:$B$305,0))="Paid","Paid",IF(INDEX(Invoices!$M$6:$M$305,MATCH(P1328,Invoices!$B$6:$B$305,0))="Draft","Draft","Invoiced")))))))</f>
        <v/>
      </c>
      <c r="R1328" s="1">
        <f>IF(AND(B1328&lt;&gt;"",P1328&lt;&gt;"",P1328=Invoice!$G$4),B1328+MOD(N(F1328),1)+ROW()/10000000,"")</f>
        <v/>
      </c>
      <c r="S1328">
        <f>IF(R1328="","",IF(D1328="","Other work",D1328)&amp;IF(AND(K1328&lt;&gt;"",E1328&lt;&gt;""),", "&amp;E1328,""))</f>
        <v/>
      </c>
      <c r="T1328">
        <f>IF(R1328="","",IF(COUNTIFS(R$6:R1327,"&gt;0",S$6:S1327,S1328,N$6:N1327,N1328)=0,R1328,""))</f>
        <v/>
      </c>
      <c r="U1328">
        <f>IF(B1328="","",IF(J1328&lt;&gt;"",0,M1328))</f>
        <v/>
      </c>
    </row>
    <row r="1329">
      <c r="A1329" s="1" t="n"/>
      <c r="B1329" s="16" t="n"/>
      <c r="C1329" s="17" t="n"/>
      <c r="D1329" s="18" t="n"/>
      <c r="E1329" s="18" t="n"/>
      <c r="F1329" s="19" t="n"/>
      <c r="G1329" s="19" t="n"/>
      <c r="H1329" s="20" t="n"/>
      <c r="I1329" s="21" t="n"/>
      <c r="J1329" s="22" t="n"/>
      <c r="K1329" s="23" t="n"/>
      <c r="L1329" s="18" t="n"/>
      <c r="M1329" s="24">
        <f>IF(B1329="","",IF(AND(F1329&lt;&gt;"",G1329&lt;&gt;""),MAX(0,ROUND(MOD(G1329-F1329,1)*24-N(H1329)/60,2)),N(I1329)))</f>
        <v/>
      </c>
      <c r="N1329" s="14">
        <f>IF(B1329="","",IF(K1329&lt;&gt;"",K1329,IF(N(IFERROR(INDEX(Projects!$D$6:$D$65,MATCH(D1329,Projects!$B$6:$B$65,0)),""))&gt;0,IFERROR(INDEX(Projects!$D$6:$D$65,MATCH(D1329,Projects!$B$6:$B$65,0)),""),IFERROR(INDEX(Clients!$G$6:$G$45,MATCH(C1329,Clients!$B$6:$B$45,0)),0))))</f>
        <v/>
      </c>
      <c r="O1329" s="14">
        <f>IF(B1329="","",IF(J1329&lt;&gt;"",0,ROUND(M1329*N1329,2)))</f>
        <v/>
      </c>
      <c r="P1329" s="15">
        <f>IF(OR(B1329="",J1329&lt;&gt;""),"",IF(L1329&lt;&gt;"",L1329,IF(COUNTIFS(Invoices!$C$6:$C$305,C1329,Invoices!$E$6:$E$305,"&lt;="&amp;B1329,Invoices!$F$6:$F$305,"&gt;="&amp;B1329)=1,INDEX(Invoices!$B$6:$B$305,SUMIFS(Invoices!$O$6:$O$305,Invoices!$C$6:$C$305,C1329,Invoices!$E$6:$E$305,"&lt;="&amp;B1329,Invoices!$F$6:$F$305,"&gt;="&amp;B1329)),IF(COUNTIFS(Invoices!$C$6:$C$305,C1329,Invoices!$E$6:$E$305,"&lt;="&amp;B1329,Invoices!$F$6:$F$305,"&gt;="&amp;B1329)&gt;1,"Two invoices",""))))</f>
        <v/>
      </c>
      <c r="Q1329" s="15">
        <f>IF(B1329="","",IF(J1329&lt;&gt;"","Not billable",IF(P1329="","To invoice",IF(P1329="Two invoices","Check dates",IF(ISNA(MATCH(P1329,Invoices!$B$6:$B$305,0)),"Check number",IF(INDEX(Invoices!$M$6:$M$305,MATCH(P1329,Invoices!$B$6:$B$305,0))="Paid","Paid",IF(INDEX(Invoices!$M$6:$M$305,MATCH(P1329,Invoices!$B$6:$B$305,0))="Draft","Draft","Invoiced")))))))</f>
        <v/>
      </c>
      <c r="R1329" s="1">
        <f>IF(AND(B1329&lt;&gt;"",P1329&lt;&gt;"",P1329=Invoice!$G$4),B1329+MOD(N(F1329),1)+ROW()/10000000,"")</f>
        <v/>
      </c>
      <c r="S1329">
        <f>IF(R1329="","",IF(D1329="","Other work",D1329)&amp;IF(AND(K1329&lt;&gt;"",E1329&lt;&gt;""),", "&amp;E1329,""))</f>
        <v/>
      </c>
      <c r="T1329">
        <f>IF(R1329="","",IF(COUNTIFS(R$6:R1328,"&gt;0",S$6:S1328,S1329,N$6:N1328,N1329)=0,R1329,""))</f>
        <v/>
      </c>
      <c r="U1329">
        <f>IF(B1329="","",IF(J1329&lt;&gt;"",0,M1329))</f>
        <v/>
      </c>
    </row>
    <row r="1330">
      <c r="A1330" s="1" t="n"/>
      <c r="B1330" s="16" t="n"/>
      <c r="C1330" s="17" t="n"/>
      <c r="D1330" s="18" t="n"/>
      <c r="E1330" s="18" t="n"/>
      <c r="F1330" s="19" t="n"/>
      <c r="G1330" s="19" t="n"/>
      <c r="H1330" s="20" t="n"/>
      <c r="I1330" s="21" t="n"/>
      <c r="J1330" s="22" t="n"/>
      <c r="K1330" s="23" t="n"/>
      <c r="L1330" s="18" t="n"/>
      <c r="M1330" s="24">
        <f>IF(B1330="","",IF(AND(F1330&lt;&gt;"",G1330&lt;&gt;""),MAX(0,ROUND(MOD(G1330-F1330,1)*24-N(H1330)/60,2)),N(I1330)))</f>
        <v/>
      </c>
      <c r="N1330" s="14">
        <f>IF(B1330="","",IF(K1330&lt;&gt;"",K1330,IF(N(IFERROR(INDEX(Projects!$D$6:$D$65,MATCH(D1330,Projects!$B$6:$B$65,0)),""))&gt;0,IFERROR(INDEX(Projects!$D$6:$D$65,MATCH(D1330,Projects!$B$6:$B$65,0)),""),IFERROR(INDEX(Clients!$G$6:$G$45,MATCH(C1330,Clients!$B$6:$B$45,0)),0))))</f>
        <v/>
      </c>
      <c r="O1330" s="14">
        <f>IF(B1330="","",IF(J1330&lt;&gt;"",0,ROUND(M1330*N1330,2)))</f>
        <v/>
      </c>
      <c r="P1330" s="15">
        <f>IF(OR(B1330="",J1330&lt;&gt;""),"",IF(L1330&lt;&gt;"",L1330,IF(COUNTIFS(Invoices!$C$6:$C$305,C1330,Invoices!$E$6:$E$305,"&lt;="&amp;B1330,Invoices!$F$6:$F$305,"&gt;="&amp;B1330)=1,INDEX(Invoices!$B$6:$B$305,SUMIFS(Invoices!$O$6:$O$305,Invoices!$C$6:$C$305,C1330,Invoices!$E$6:$E$305,"&lt;="&amp;B1330,Invoices!$F$6:$F$305,"&gt;="&amp;B1330)),IF(COUNTIFS(Invoices!$C$6:$C$305,C1330,Invoices!$E$6:$E$305,"&lt;="&amp;B1330,Invoices!$F$6:$F$305,"&gt;="&amp;B1330)&gt;1,"Two invoices",""))))</f>
        <v/>
      </c>
      <c r="Q1330" s="15">
        <f>IF(B1330="","",IF(J1330&lt;&gt;"","Not billable",IF(P1330="","To invoice",IF(P1330="Two invoices","Check dates",IF(ISNA(MATCH(P1330,Invoices!$B$6:$B$305,0)),"Check number",IF(INDEX(Invoices!$M$6:$M$305,MATCH(P1330,Invoices!$B$6:$B$305,0))="Paid","Paid",IF(INDEX(Invoices!$M$6:$M$305,MATCH(P1330,Invoices!$B$6:$B$305,0))="Draft","Draft","Invoiced")))))))</f>
        <v/>
      </c>
      <c r="R1330" s="1">
        <f>IF(AND(B1330&lt;&gt;"",P1330&lt;&gt;"",P1330=Invoice!$G$4),B1330+MOD(N(F1330),1)+ROW()/10000000,"")</f>
        <v/>
      </c>
      <c r="S1330">
        <f>IF(R1330="","",IF(D1330="","Other work",D1330)&amp;IF(AND(K1330&lt;&gt;"",E1330&lt;&gt;""),", "&amp;E1330,""))</f>
        <v/>
      </c>
      <c r="T1330">
        <f>IF(R1330="","",IF(COUNTIFS(R$6:R1329,"&gt;0",S$6:S1329,S1330,N$6:N1329,N1330)=0,R1330,""))</f>
        <v/>
      </c>
      <c r="U1330">
        <f>IF(B1330="","",IF(J1330&lt;&gt;"",0,M1330))</f>
        <v/>
      </c>
    </row>
    <row r="1331">
      <c r="A1331" s="1" t="n"/>
      <c r="B1331" s="16" t="n"/>
      <c r="C1331" s="17" t="n"/>
      <c r="D1331" s="18" t="n"/>
      <c r="E1331" s="18" t="n"/>
      <c r="F1331" s="19" t="n"/>
      <c r="G1331" s="19" t="n"/>
      <c r="H1331" s="20" t="n"/>
      <c r="I1331" s="21" t="n"/>
      <c r="J1331" s="22" t="n"/>
      <c r="K1331" s="23" t="n"/>
      <c r="L1331" s="18" t="n"/>
      <c r="M1331" s="24">
        <f>IF(B1331="","",IF(AND(F1331&lt;&gt;"",G1331&lt;&gt;""),MAX(0,ROUND(MOD(G1331-F1331,1)*24-N(H1331)/60,2)),N(I1331)))</f>
        <v/>
      </c>
      <c r="N1331" s="14">
        <f>IF(B1331="","",IF(K1331&lt;&gt;"",K1331,IF(N(IFERROR(INDEX(Projects!$D$6:$D$65,MATCH(D1331,Projects!$B$6:$B$65,0)),""))&gt;0,IFERROR(INDEX(Projects!$D$6:$D$65,MATCH(D1331,Projects!$B$6:$B$65,0)),""),IFERROR(INDEX(Clients!$G$6:$G$45,MATCH(C1331,Clients!$B$6:$B$45,0)),0))))</f>
        <v/>
      </c>
      <c r="O1331" s="14">
        <f>IF(B1331="","",IF(J1331&lt;&gt;"",0,ROUND(M1331*N1331,2)))</f>
        <v/>
      </c>
      <c r="P1331" s="15">
        <f>IF(OR(B1331="",J1331&lt;&gt;""),"",IF(L1331&lt;&gt;"",L1331,IF(COUNTIFS(Invoices!$C$6:$C$305,C1331,Invoices!$E$6:$E$305,"&lt;="&amp;B1331,Invoices!$F$6:$F$305,"&gt;="&amp;B1331)=1,INDEX(Invoices!$B$6:$B$305,SUMIFS(Invoices!$O$6:$O$305,Invoices!$C$6:$C$305,C1331,Invoices!$E$6:$E$305,"&lt;="&amp;B1331,Invoices!$F$6:$F$305,"&gt;="&amp;B1331)),IF(COUNTIFS(Invoices!$C$6:$C$305,C1331,Invoices!$E$6:$E$305,"&lt;="&amp;B1331,Invoices!$F$6:$F$305,"&gt;="&amp;B1331)&gt;1,"Two invoices",""))))</f>
        <v/>
      </c>
      <c r="Q1331" s="15">
        <f>IF(B1331="","",IF(J1331&lt;&gt;"","Not billable",IF(P1331="","To invoice",IF(P1331="Two invoices","Check dates",IF(ISNA(MATCH(P1331,Invoices!$B$6:$B$305,0)),"Check number",IF(INDEX(Invoices!$M$6:$M$305,MATCH(P1331,Invoices!$B$6:$B$305,0))="Paid","Paid",IF(INDEX(Invoices!$M$6:$M$305,MATCH(P1331,Invoices!$B$6:$B$305,0))="Draft","Draft","Invoiced")))))))</f>
        <v/>
      </c>
      <c r="R1331" s="1">
        <f>IF(AND(B1331&lt;&gt;"",P1331&lt;&gt;"",P1331=Invoice!$G$4),B1331+MOD(N(F1331),1)+ROW()/10000000,"")</f>
        <v/>
      </c>
      <c r="S1331">
        <f>IF(R1331="","",IF(D1331="","Other work",D1331)&amp;IF(AND(K1331&lt;&gt;"",E1331&lt;&gt;""),", "&amp;E1331,""))</f>
        <v/>
      </c>
      <c r="T1331">
        <f>IF(R1331="","",IF(COUNTIFS(R$6:R1330,"&gt;0",S$6:S1330,S1331,N$6:N1330,N1331)=0,R1331,""))</f>
        <v/>
      </c>
      <c r="U1331">
        <f>IF(B1331="","",IF(J1331&lt;&gt;"",0,M1331))</f>
        <v/>
      </c>
    </row>
    <row r="1332">
      <c r="A1332" s="1" t="n"/>
      <c r="B1332" s="16" t="n"/>
      <c r="C1332" s="17" t="n"/>
      <c r="D1332" s="18" t="n"/>
      <c r="E1332" s="18" t="n"/>
      <c r="F1332" s="19" t="n"/>
      <c r="G1332" s="19" t="n"/>
      <c r="H1332" s="20" t="n"/>
      <c r="I1332" s="21" t="n"/>
      <c r="J1332" s="22" t="n"/>
      <c r="K1332" s="23" t="n"/>
      <c r="L1332" s="18" t="n"/>
      <c r="M1332" s="24">
        <f>IF(B1332="","",IF(AND(F1332&lt;&gt;"",G1332&lt;&gt;""),MAX(0,ROUND(MOD(G1332-F1332,1)*24-N(H1332)/60,2)),N(I1332)))</f>
        <v/>
      </c>
      <c r="N1332" s="14">
        <f>IF(B1332="","",IF(K1332&lt;&gt;"",K1332,IF(N(IFERROR(INDEX(Projects!$D$6:$D$65,MATCH(D1332,Projects!$B$6:$B$65,0)),""))&gt;0,IFERROR(INDEX(Projects!$D$6:$D$65,MATCH(D1332,Projects!$B$6:$B$65,0)),""),IFERROR(INDEX(Clients!$G$6:$G$45,MATCH(C1332,Clients!$B$6:$B$45,0)),0))))</f>
        <v/>
      </c>
      <c r="O1332" s="14">
        <f>IF(B1332="","",IF(J1332&lt;&gt;"",0,ROUND(M1332*N1332,2)))</f>
        <v/>
      </c>
      <c r="P1332" s="15">
        <f>IF(OR(B1332="",J1332&lt;&gt;""),"",IF(L1332&lt;&gt;"",L1332,IF(COUNTIFS(Invoices!$C$6:$C$305,C1332,Invoices!$E$6:$E$305,"&lt;="&amp;B1332,Invoices!$F$6:$F$305,"&gt;="&amp;B1332)=1,INDEX(Invoices!$B$6:$B$305,SUMIFS(Invoices!$O$6:$O$305,Invoices!$C$6:$C$305,C1332,Invoices!$E$6:$E$305,"&lt;="&amp;B1332,Invoices!$F$6:$F$305,"&gt;="&amp;B1332)),IF(COUNTIFS(Invoices!$C$6:$C$305,C1332,Invoices!$E$6:$E$305,"&lt;="&amp;B1332,Invoices!$F$6:$F$305,"&gt;="&amp;B1332)&gt;1,"Two invoices",""))))</f>
        <v/>
      </c>
      <c r="Q1332" s="15">
        <f>IF(B1332="","",IF(J1332&lt;&gt;"","Not billable",IF(P1332="","To invoice",IF(P1332="Two invoices","Check dates",IF(ISNA(MATCH(P1332,Invoices!$B$6:$B$305,0)),"Check number",IF(INDEX(Invoices!$M$6:$M$305,MATCH(P1332,Invoices!$B$6:$B$305,0))="Paid","Paid",IF(INDEX(Invoices!$M$6:$M$305,MATCH(P1332,Invoices!$B$6:$B$305,0))="Draft","Draft","Invoiced")))))))</f>
        <v/>
      </c>
      <c r="R1332" s="1">
        <f>IF(AND(B1332&lt;&gt;"",P1332&lt;&gt;"",P1332=Invoice!$G$4),B1332+MOD(N(F1332),1)+ROW()/10000000,"")</f>
        <v/>
      </c>
      <c r="S1332">
        <f>IF(R1332="","",IF(D1332="","Other work",D1332)&amp;IF(AND(K1332&lt;&gt;"",E1332&lt;&gt;""),", "&amp;E1332,""))</f>
        <v/>
      </c>
      <c r="T1332">
        <f>IF(R1332="","",IF(COUNTIFS(R$6:R1331,"&gt;0",S$6:S1331,S1332,N$6:N1331,N1332)=0,R1332,""))</f>
        <v/>
      </c>
      <c r="U1332">
        <f>IF(B1332="","",IF(J1332&lt;&gt;"",0,M1332))</f>
        <v/>
      </c>
    </row>
    <row r="1333">
      <c r="A1333" s="1" t="n"/>
      <c r="B1333" s="16" t="n"/>
      <c r="C1333" s="17" t="n"/>
      <c r="D1333" s="18" t="n"/>
      <c r="E1333" s="18" t="n"/>
      <c r="F1333" s="19" t="n"/>
      <c r="G1333" s="19" t="n"/>
      <c r="H1333" s="20" t="n"/>
      <c r="I1333" s="21" t="n"/>
      <c r="J1333" s="22" t="n"/>
      <c r="K1333" s="23" t="n"/>
      <c r="L1333" s="18" t="n"/>
      <c r="M1333" s="24">
        <f>IF(B1333="","",IF(AND(F1333&lt;&gt;"",G1333&lt;&gt;""),MAX(0,ROUND(MOD(G1333-F1333,1)*24-N(H1333)/60,2)),N(I1333)))</f>
        <v/>
      </c>
      <c r="N1333" s="14">
        <f>IF(B1333="","",IF(K1333&lt;&gt;"",K1333,IF(N(IFERROR(INDEX(Projects!$D$6:$D$65,MATCH(D1333,Projects!$B$6:$B$65,0)),""))&gt;0,IFERROR(INDEX(Projects!$D$6:$D$65,MATCH(D1333,Projects!$B$6:$B$65,0)),""),IFERROR(INDEX(Clients!$G$6:$G$45,MATCH(C1333,Clients!$B$6:$B$45,0)),0))))</f>
        <v/>
      </c>
      <c r="O1333" s="14">
        <f>IF(B1333="","",IF(J1333&lt;&gt;"",0,ROUND(M1333*N1333,2)))</f>
        <v/>
      </c>
      <c r="P1333" s="15">
        <f>IF(OR(B1333="",J1333&lt;&gt;""),"",IF(L1333&lt;&gt;"",L1333,IF(COUNTIFS(Invoices!$C$6:$C$305,C1333,Invoices!$E$6:$E$305,"&lt;="&amp;B1333,Invoices!$F$6:$F$305,"&gt;="&amp;B1333)=1,INDEX(Invoices!$B$6:$B$305,SUMIFS(Invoices!$O$6:$O$305,Invoices!$C$6:$C$305,C1333,Invoices!$E$6:$E$305,"&lt;="&amp;B1333,Invoices!$F$6:$F$305,"&gt;="&amp;B1333)),IF(COUNTIFS(Invoices!$C$6:$C$305,C1333,Invoices!$E$6:$E$305,"&lt;="&amp;B1333,Invoices!$F$6:$F$305,"&gt;="&amp;B1333)&gt;1,"Two invoices",""))))</f>
        <v/>
      </c>
      <c r="Q1333" s="15">
        <f>IF(B1333="","",IF(J1333&lt;&gt;"","Not billable",IF(P1333="","To invoice",IF(P1333="Two invoices","Check dates",IF(ISNA(MATCH(P1333,Invoices!$B$6:$B$305,0)),"Check number",IF(INDEX(Invoices!$M$6:$M$305,MATCH(P1333,Invoices!$B$6:$B$305,0))="Paid","Paid",IF(INDEX(Invoices!$M$6:$M$305,MATCH(P1333,Invoices!$B$6:$B$305,0))="Draft","Draft","Invoiced")))))))</f>
        <v/>
      </c>
      <c r="R1333" s="1">
        <f>IF(AND(B1333&lt;&gt;"",P1333&lt;&gt;"",P1333=Invoice!$G$4),B1333+MOD(N(F1333),1)+ROW()/10000000,"")</f>
        <v/>
      </c>
      <c r="S1333">
        <f>IF(R1333="","",IF(D1333="","Other work",D1333)&amp;IF(AND(K1333&lt;&gt;"",E1333&lt;&gt;""),", "&amp;E1333,""))</f>
        <v/>
      </c>
      <c r="T1333">
        <f>IF(R1333="","",IF(COUNTIFS(R$6:R1332,"&gt;0",S$6:S1332,S1333,N$6:N1332,N1333)=0,R1333,""))</f>
        <v/>
      </c>
      <c r="U1333">
        <f>IF(B1333="","",IF(J1333&lt;&gt;"",0,M1333))</f>
        <v/>
      </c>
    </row>
    <row r="1334">
      <c r="A1334" s="1" t="n"/>
      <c r="B1334" s="16" t="n"/>
      <c r="C1334" s="17" t="n"/>
      <c r="D1334" s="18" t="n"/>
      <c r="E1334" s="18" t="n"/>
      <c r="F1334" s="19" t="n"/>
      <c r="G1334" s="19" t="n"/>
      <c r="H1334" s="20" t="n"/>
      <c r="I1334" s="21" t="n"/>
      <c r="J1334" s="22" t="n"/>
      <c r="K1334" s="23" t="n"/>
      <c r="L1334" s="18" t="n"/>
      <c r="M1334" s="24">
        <f>IF(B1334="","",IF(AND(F1334&lt;&gt;"",G1334&lt;&gt;""),MAX(0,ROUND(MOD(G1334-F1334,1)*24-N(H1334)/60,2)),N(I1334)))</f>
        <v/>
      </c>
      <c r="N1334" s="14">
        <f>IF(B1334="","",IF(K1334&lt;&gt;"",K1334,IF(N(IFERROR(INDEX(Projects!$D$6:$D$65,MATCH(D1334,Projects!$B$6:$B$65,0)),""))&gt;0,IFERROR(INDEX(Projects!$D$6:$D$65,MATCH(D1334,Projects!$B$6:$B$65,0)),""),IFERROR(INDEX(Clients!$G$6:$G$45,MATCH(C1334,Clients!$B$6:$B$45,0)),0))))</f>
        <v/>
      </c>
      <c r="O1334" s="14">
        <f>IF(B1334="","",IF(J1334&lt;&gt;"",0,ROUND(M1334*N1334,2)))</f>
        <v/>
      </c>
      <c r="P1334" s="15">
        <f>IF(OR(B1334="",J1334&lt;&gt;""),"",IF(L1334&lt;&gt;"",L1334,IF(COUNTIFS(Invoices!$C$6:$C$305,C1334,Invoices!$E$6:$E$305,"&lt;="&amp;B1334,Invoices!$F$6:$F$305,"&gt;="&amp;B1334)=1,INDEX(Invoices!$B$6:$B$305,SUMIFS(Invoices!$O$6:$O$305,Invoices!$C$6:$C$305,C1334,Invoices!$E$6:$E$305,"&lt;="&amp;B1334,Invoices!$F$6:$F$305,"&gt;="&amp;B1334)),IF(COUNTIFS(Invoices!$C$6:$C$305,C1334,Invoices!$E$6:$E$305,"&lt;="&amp;B1334,Invoices!$F$6:$F$305,"&gt;="&amp;B1334)&gt;1,"Two invoices",""))))</f>
        <v/>
      </c>
      <c r="Q1334" s="15">
        <f>IF(B1334="","",IF(J1334&lt;&gt;"","Not billable",IF(P1334="","To invoice",IF(P1334="Two invoices","Check dates",IF(ISNA(MATCH(P1334,Invoices!$B$6:$B$305,0)),"Check number",IF(INDEX(Invoices!$M$6:$M$305,MATCH(P1334,Invoices!$B$6:$B$305,0))="Paid","Paid",IF(INDEX(Invoices!$M$6:$M$305,MATCH(P1334,Invoices!$B$6:$B$305,0))="Draft","Draft","Invoiced")))))))</f>
        <v/>
      </c>
      <c r="R1334" s="1">
        <f>IF(AND(B1334&lt;&gt;"",P1334&lt;&gt;"",P1334=Invoice!$G$4),B1334+MOD(N(F1334),1)+ROW()/10000000,"")</f>
        <v/>
      </c>
      <c r="S1334">
        <f>IF(R1334="","",IF(D1334="","Other work",D1334)&amp;IF(AND(K1334&lt;&gt;"",E1334&lt;&gt;""),", "&amp;E1334,""))</f>
        <v/>
      </c>
      <c r="T1334">
        <f>IF(R1334="","",IF(COUNTIFS(R$6:R1333,"&gt;0",S$6:S1333,S1334,N$6:N1333,N1334)=0,R1334,""))</f>
        <v/>
      </c>
      <c r="U1334">
        <f>IF(B1334="","",IF(J1334&lt;&gt;"",0,M1334))</f>
        <v/>
      </c>
    </row>
    <row r="1335">
      <c r="A1335" s="1" t="n"/>
      <c r="B1335" s="16" t="n"/>
      <c r="C1335" s="17" t="n"/>
      <c r="D1335" s="18" t="n"/>
      <c r="E1335" s="18" t="n"/>
      <c r="F1335" s="19" t="n"/>
      <c r="G1335" s="19" t="n"/>
      <c r="H1335" s="20" t="n"/>
      <c r="I1335" s="21" t="n"/>
      <c r="J1335" s="22" t="n"/>
      <c r="K1335" s="23" t="n"/>
      <c r="L1335" s="18" t="n"/>
      <c r="M1335" s="24">
        <f>IF(B1335="","",IF(AND(F1335&lt;&gt;"",G1335&lt;&gt;""),MAX(0,ROUND(MOD(G1335-F1335,1)*24-N(H1335)/60,2)),N(I1335)))</f>
        <v/>
      </c>
      <c r="N1335" s="14">
        <f>IF(B1335="","",IF(K1335&lt;&gt;"",K1335,IF(N(IFERROR(INDEX(Projects!$D$6:$D$65,MATCH(D1335,Projects!$B$6:$B$65,0)),""))&gt;0,IFERROR(INDEX(Projects!$D$6:$D$65,MATCH(D1335,Projects!$B$6:$B$65,0)),""),IFERROR(INDEX(Clients!$G$6:$G$45,MATCH(C1335,Clients!$B$6:$B$45,0)),0))))</f>
        <v/>
      </c>
      <c r="O1335" s="14">
        <f>IF(B1335="","",IF(J1335&lt;&gt;"",0,ROUND(M1335*N1335,2)))</f>
        <v/>
      </c>
      <c r="P1335" s="15">
        <f>IF(OR(B1335="",J1335&lt;&gt;""),"",IF(L1335&lt;&gt;"",L1335,IF(COUNTIFS(Invoices!$C$6:$C$305,C1335,Invoices!$E$6:$E$305,"&lt;="&amp;B1335,Invoices!$F$6:$F$305,"&gt;="&amp;B1335)=1,INDEX(Invoices!$B$6:$B$305,SUMIFS(Invoices!$O$6:$O$305,Invoices!$C$6:$C$305,C1335,Invoices!$E$6:$E$305,"&lt;="&amp;B1335,Invoices!$F$6:$F$305,"&gt;="&amp;B1335)),IF(COUNTIFS(Invoices!$C$6:$C$305,C1335,Invoices!$E$6:$E$305,"&lt;="&amp;B1335,Invoices!$F$6:$F$305,"&gt;="&amp;B1335)&gt;1,"Two invoices",""))))</f>
        <v/>
      </c>
      <c r="Q1335" s="15">
        <f>IF(B1335="","",IF(J1335&lt;&gt;"","Not billable",IF(P1335="","To invoice",IF(P1335="Two invoices","Check dates",IF(ISNA(MATCH(P1335,Invoices!$B$6:$B$305,0)),"Check number",IF(INDEX(Invoices!$M$6:$M$305,MATCH(P1335,Invoices!$B$6:$B$305,0))="Paid","Paid",IF(INDEX(Invoices!$M$6:$M$305,MATCH(P1335,Invoices!$B$6:$B$305,0))="Draft","Draft","Invoiced")))))))</f>
        <v/>
      </c>
      <c r="R1335" s="1">
        <f>IF(AND(B1335&lt;&gt;"",P1335&lt;&gt;"",P1335=Invoice!$G$4),B1335+MOD(N(F1335),1)+ROW()/10000000,"")</f>
        <v/>
      </c>
      <c r="S1335">
        <f>IF(R1335="","",IF(D1335="","Other work",D1335)&amp;IF(AND(K1335&lt;&gt;"",E1335&lt;&gt;""),", "&amp;E1335,""))</f>
        <v/>
      </c>
      <c r="T1335">
        <f>IF(R1335="","",IF(COUNTIFS(R$6:R1334,"&gt;0",S$6:S1334,S1335,N$6:N1334,N1335)=0,R1335,""))</f>
        <v/>
      </c>
      <c r="U1335">
        <f>IF(B1335="","",IF(J1335&lt;&gt;"",0,M1335))</f>
        <v/>
      </c>
    </row>
    <row r="1336">
      <c r="A1336" s="1" t="n"/>
      <c r="B1336" s="16" t="n"/>
      <c r="C1336" s="17" t="n"/>
      <c r="D1336" s="18" t="n"/>
      <c r="E1336" s="18" t="n"/>
      <c r="F1336" s="19" t="n"/>
      <c r="G1336" s="19" t="n"/>
      <c r="H1336" s="20" t="n"/>
      <c r="I1336" s="21" t="n"/>
      <c r="J1336" s="22" t="n"/>
      <c r="K1336" s="23" t="n"/>
      <c r="L1336" s="18" t="n"/>
      <c r="M1336" s="24">
        <f>IF(B1336="","",IF(AND(F1336&lt;&gt;"",G1336&lt;&gt;""),MAX(0,ROUND(MOD(G1336-F1336,1)*24-N(H1336)/60,2)),N(I1336)))</f>
        <v/>
      </c>
      <c r="N1336" s="14">
        <f>IF(B1336="","",IF(K1336&lt;&gt;"",K1336,IF(N(IFERROR(INDEX(Projects!$D$6:$D$65,MATCH(D1336,Projects!$B$6:$B$65,0)),""))&gt;0,IFERROR(INDEX(Projects!$D$6:$D$65,MATCH(D1336,Projects!$B$6:$B$65,0)),""),IFERROR(INDEX(Clients!$G$6:$G$45,MATCH(C1336,Clients!$B$6:$B$45,0)),0))))</f>
        <v/>
      </c>
      <c r="O1336" s="14">
        <f>IF(B1336="","",IF(J1336&lt;&gt;"",0,ROUND(M1336*N1336,2)))</f>
        <v/>
      </c>
      <c r="P1336" s="15">
        <f>IF(OR(B1336="",J1336&lt;&gt;""),"",IF(L1336&lt;&gt;"",L1336,IF(COUNTIFS(Invoices!$C$6:$C$305,C1336,Invoices!$E$6:$E$305,"&lt;="&amp;B1336,Invoices!$F$6:$F$305,"&gt;="&amp;B1336)=1,INDEX(Invoices!$B$6:$B$305,SUMIFS(Invoices!$O$6:$O$305,Invoices!$C$6:$C$305,C1336,Invoices!$E$6:$E$305,"&lt;="&amp;B1336,Invoices!$F$6:$F$305,"&gt;="&amp;B1336)),IF(COUNTIFS(Invoices!$C$6:$C$305,C1336,Invoices!$E$6:$E$305,"&lt;="&amp;B1336,Invoices!$F$6:$F$305,"&gt;="&amp;B1336)&gt;1,"Two invoices",""))))</f>
        <v/>
      </c>
      <c r="Q1336" s="15">
        <f>IF(B1336="","",IF(J1336&lt;&gt;"","Not billable",IF(P1336="","To invoice",IF(P1336="Two invoices","Check dates",IF(ISNA(MATCH(P1336,Invoices!$B$6:$B$305,0)),"Check number",IF(INDEX(Invoices!$M$6:$M$305,MATCH(P1336,Invoices!$B$6:$B$305,0))="Paid","Paid",IF(INDEX(Invoices!$M$6:$M$305,MATCH(P1336,Invoices!$B$6:$B$305,0))="Draft","Draft","Invoiced")))))))</f>
        <v/>
      </c>
      <c r="R1336" s="1">
        <f>IF(AND(B1336&lt;&gt;"",P1336&lt;&gt;"",P1336=Invoice!$G$4),B1336+MOD(N(F1336),1)+ROW()/10000000,"")</f>
        <v/>
      </c>
      <c r="S1336">
        <f>IF(R1336="","",IF(D1336="","Other work",D1336)&amp;IF(AND(K1336&lt;&gt;"",E1336&lt;&gt;""),", "&amp;E1336,""))</f>
        <v/>
      </c>
      <c r="T1336">
        <f>IF(R1336="","",IF(COUNTIFS(R$6:R1335,"&gt;0",S$6:S1335,S1336,N$6:N1335,N1336)=0,R1336,""))</f>
        <v/>
      </c>
      <c r="U1336">
        <f>IF(B1336="","",IF(J1336&lt;&gt;"",0,M1336))</f>
        <v/>
      </c>
    </row>
    <row r="1337">
      <c r="A1337" s="1" t="n"/>
      <c r="B1337" s="16" t="n"/>
      <c r="C1337" s="17" t="n"/>
      <c r="D1337" s="18" t="n"/>
      <c r="E1337" s="18" t="n"/>
      <c r="F1337" s="19" t="n"/>
      <c r="G1337" s="19" t="n"/>
      <c r="H1337" s="20" t="n"/>
      <c r="I1337" s="21" t="n"/>
      <c r="J1337" s="22" t="n"/>
      <c r="K1337" s="23" t="n"/>
      <c r="L1337" s="18" t="n"/>
      <c r="M1337" s="24">
        <f>IF(B1337="","",IF(AND(F1337&lt;&gt;"",G1337&lt;&gt;""),MAX(0,ROUND(MOD(G1337-F1337,1)*24-N(H1337)/60,2)),N(I1337)))</f>
        <v/>
      </c>
      <c r="N1337" s="14">
        <f>IF(B1337="","",IF(K1337&lt;&gt;"",K1337,IF(N(IFERROR(INDEX(Projects!$D$6:$D$65,MATCH(D1337,Projects!$B$6:$B$65,0)),""))&gt;0,IFERROR(INDEX(Projects!$D$6:$D$65,MATCH(D1337,Projects!$B$6:$B$65,0)),""),IFERROR(INDEX(Clients!$G$6:$G$45,MATCH(C1337,Clients!$B$6:$B$45,0)),0))))</f>
        <v/>
      </c>
      <c r="O1337" s="14">
        <f>IF(B1337="","",IF(J1337&lt;&gt;"",0,ROUND(M1337*N1337,2)))</f>
        <v/>
      </c>
      <c r="P1337" s="15">
        <f>IF(OR(B1337="",J1337&lt;&gt;""),"",IF(L1337&lt;&gt;"",L1337,IF(COUNTIFS(Invoices!$C$6:$C$305,C1337,Invoices!$E$6:$E$305,"&lt;="&amp;B1337,Invoices!$F$6:$F$305,"&gt;="&amp;B1337)=1,INDEX(Invoices!$B$6:$B$305,SUMIFS(Invoices!$O$6:$O$305,Invoices!$C$6:$C$305,C1337,Invoices!$E$6:$E$305,"&lt;="&amp;B1337,Invoices!$F$6:$F$305,"&gt;="&amp;B1337)),IF(COUNTIFS(Invoices!$C$6:$C$305,C1337,Invoices!$E$6:$E$305,"&lt;="&amp;B1337,Invoices!$F$6:$F$305,"&gt;="&amp;B1337)&gt;1,"Two invoices",""))))</f>
        <v/>
      </c>
      <c r="Q1337" s="15">
        <f>IF(B1337="","",IF(J1337&lt;&gt;"","Not billable",IF(P1337="","To invoice",IF(P1337="Two invoices","Check dates",IF(ISNA(MATCH(P1337,Invoices!$B$6:$B$305,0)),"Check number",IF(INDEX(Invoices!$M$6:$M$305,MATCH(P1337,Invoices!$B$6:$B$305,0))="Paid","Paid",IF(INDEX(Invoices!$M$6:$M$305,MATCH(P1337,Invoices!$B$6:$B$305,0))="Draft","Draft","Invoiced")))))))</f>
        <v/>
      </c>
      <c r="R1337" s="1">
        <f>IF(AND(B1337&lt;&gt;"",P1337&lt;&gt;"",P1337=Invoice!$G$4),B1337+MOD(N(F1337),1)+ROW()/10000000,"")</f>
        <v/>
      </c>
      <c r="S1337">
        <f>IF(R1337="","",IF(D1337="","Other work",D1337)&amp;IF(AND(K1337&lt;&gt;"",E1337&lt;&gt;""),", "&amp;E1337,""))</f>
        <v/>
      </c>
      <c r="T1337">
        <f>IF(R1337="","",IF(COUNTIFS(R$6:R1336,"&gt;0",S$6:S1336,S1337,N$6:N1336,N1337)=0,R1337,""))</f>
        <v/>
      </c>
      <c r="U1337">
        <f>IF(B1337="","",IF(J1337&lt;&gt;"",0,M1337))</f>
        <v/>
      </c>
    </row>
    <row r="1338">
      <c r="A1338" s="1" t="n"/>
      <c r="B1338" s="16" t="n"/>
      <c r="C1338" s="17" t="n"/>
      <c r="D1338" s="18" t="n"/>
      <c r="E1338" s="18" t="n"/>
      <c r="F1338" s="19" t="n"/>
      <c r="G1338" s="19" t="n"/>
      <c r="H1338" s="20" t="n"/>
      <c r="I1338" s="21" t="n"/>
      <c r="J1338" s="22" t="n"/>
      <c r="K1338" s="23" t="n"/>
      <c r="L1338" s="18" t="n"/>
      <c r="M1338" s="24">
        <f>IF(B1338="","",IF(AND(F1338&lt;&gt;"",G1338&lt;&gt;""),MAX(0,ROUND(MOD(G1338-F1338,1)*24-N(H1338)/60,2)),N(I1338)))</f>
        <v/>
      </c>
      <c r="N1338" s="14">
        <f>IF(B1338="","",IF(K1338&lt;&gt;"",K1338,IF(N(IFERROR(INDEX(Projects!$D$6:$D$65,MATCH(D1338,Projects!$B$6:$B$65,0)),""))&gt;0,IFERROR(INDEX(Projects!$D$6:$D$65,MATCH(D1338,Projects!$B$6:$B$65,0)),""),IFERROR(INDEX(Clients!$G$6:$G$45,MATCH(C1338,Clients!$B$6:$B$45,0)),0))))</f>
        <v/>
      </c>
      <c r="O1338" s="14">
        <f>IF(B1338="","",IF(J1338&lt;&gt;"",0,ROUND(M1338*N1338,2)))</f>
        <v/>
      </c>
      <c r="P1338" s="15">
        <f>IF(OR(B1338="",J1338&lt;&gt;""),"",IF(L1338&lt;&gt;"",L1338,IF(COUNTIFS(Invoices!$C$6:$C$305,C1338,Invoices!$E$6:$E$305,"&lt;="&amp;B1338,Invoices!$F$6:$F$305,"&gt;="&amp;B1338)=1,INDEX(Invoices!$B$6:$B$305,SUMIFS(Invoices!$O$6:$O$305,Invoices!$C$6:$C$305,C1338,Invoices!$E$6:$E$305,"&lt;="&amp;B1338,Invoices!$F$6:$F$305,"&gt;="&amp;B1338)),IF(COUNTIFS(Invoices!$C$6:$C$305,C1338,Invoices!$E$6:$E$305,"&lt;="&amp;B1338,Invoices!$F$6:$F$305,"&gt;="&amp;B1338)&gt;1,"Two invoices",""))))</f>
        <v/>
      </c>
      <c r="Q1338" s="15">
        <f>IF(B1338="","",IF(J1338&lt;&gt;"","Not billable",IF(P1338="","To invoice",IF(P1338="Two invoices","Check dates",IF(ISNA(MATCH(P1338,Invoices!$B$6:$B$305,0)),"Check number",IF(INDEX(Invoices!$M$6:$M$305,MATCH(P1338,Invoices!$B$6:$B$305,0))="Paid","Paid",IF(INDEX(Invoices!$M$6:$M$305,MATCH(P1338,Invoices!$B$6:$B$305,0))="Draft","Draft","Invoiced")))))))</f>
        <v/>
      </c>
      <c r="R1338" s="1">
        <f>IF(AND(B1338&lt;&gt;"",P1338&lt;&gt;"",P1338=Invoice!$G$4),B1338+MOD(N(F1338),1)+ROW()/10000000,"")</f>
        <v/>
      </c>
      <c r="S1338">
        <f>IF(R1338="","",IF(D1338="","Other work",D1338)&amp;IF(AND(K1338&lt;&gt;"",E1338&lt;&gt;""),", "&amp;E1338,""))</f>
        <v/>
      </c>
      <c r="T1338">
        <f>IF(R1338="","",IF(COUNTIFS(R$6:R1337,"&gt;0",S$6:S1337,S1338,N$6:N1337,N1338)=0,R1338,""))</f>
        <v/>
      </c>
      <c r="U1338">
        <f>IF(B1338="","",IF(J1338&lt;&gt;"",0,M1338))</f>
        <v/>
      </c>
    </row>
    <row r="1339">
      <c r="A1339" s="1" t="n"/>
      <c r="B1339" s="16" t="n"/>
      <c r="C1339" s="17" t="n"/>
      <c r="D1339" s="18" t="n"/>
      <c r="E1339" s="18" t="n"/>
      <c r="F1339" s="19" t="n"/>
      <c r="G1339" s="19" t="n"/>
      <c r="H1339" s="20" t="n"/>
      <c r="I1339" s="21" t="n"/>
      <c r="J1339" s="22" t="n"/>
      <c r="K1339" s="23" t="n"/>
      <c r="L1339" s="18" t="n"/>
      <c r="M1339" s="24">
        <f>IF(B1339="","",IF(AND(F1339&lt;&gt;"",G1339&lt;&gt;""),MAX(0,ROUND(MOD(G1339-F1339,1)*24-N(H1339)/60,2)),N(I1339)))</f>
        <v/>
      </c>
      <c r="N1339" s="14">
        <f>IF(B1339="","",IF(K1339&lt;&gt;"",K1339,IF(N(IFERROR(INDEX(Projects!$D$6:$D$65,MATCH(D1339,Projects!$B$6:$B$65,0)),""))&gt;0,IFERROR(INDEX(Projects!$D$6:$D$65,MATCH(D1339,Projects!$B$6:$B$65,0)),""),IFERROR(INDEX(Clients!$G$6:$G$45,MATCH(C1339,Clients!$B$6:$B$45,0)),0))))</f>
        <v/>
      </c>
      <c r="O1339" s="14">
        <f>IF(B1339="","",IF(J1339&lt;&gt;"",0,ROUND(M1339*N1339,2)))</f>
        <v/>
      </c>
      <c r="P1339" s="15">
        <f>IF(OR(B1339="",J1339&lt;&gt;""),"",IF(L1339&lt;&gt;"",L1339,IF(COUNTIFS(Invoices!$C$6:$C$305,C1339,Invoices!$E$6:$E$305,"&lt;="&amp;B1339,Invoices!$F$6:$F$305,"&gt;="&amp;B1339)=1,INDEX(Invoices!$B$6:$B$305,SUMIFS(Invoices!$O$6:$O$305,Invoices!$C$6:$C$305,C1339,Invoices!$E$6:$E$305,"&lt;="&amp;B1339,Invoices!$F$6:$F$305,"&gt;="&amp;B1339)),IF(COUNTIFS(Invoices!$C$6:$C$305,C1339,Invoices!$E$6:$E$305,"&lt;="&amp;B1339,Invoices!$F$6:$F$305,"&gt;="&amp;B1339)&gt;1,"Two invoices",""))))</f>
        <v/>
      </c>
      <c r="Q1339" s="15">
        <f>IF(B1339="","",IF(J1339&lt;&gt;"","Not billable",IF(P1339="","To invoice",IF(P1339="Two invoices","Check dates",IF(ISNA(MATCH(P1339,Invoices!$B$6:$B$305,0)),"Check number",IF(INDEX(Invoices!$M$6:$M$305,MATCH(P1339,Invoices!$B$6:$B$305,0))="Paid","Paid",IF(INDEX(Invoices!$M$6:$M$305,MATCH(P1339,Invoices!$B$6:$B$305,0))="Draft","Draft","Invoiced")))))))</f>
        <v/>
      </c>
      <c r="R1339" s="1">
        <f>IF(AND(B1339&lt;&gt;"",P1339&lt;&gt;"",P1339=Invoice!$G$4),B1339+MOD(N(F1339),1)+ROW()/10000000,"")</f>
        <v/>
      </c>
      <c r="S1339">
        <f>IF(R1339="","",IF(D1339="","Other work",D1339)&amp;IF(AND(K1339&lt;&gt;"",E1339&lt;&gt;""),", "&amp;E1339,""))</f>
        <v/>
      </c>
      <c r="T1339">
        <f>IF(R1339="","",IF(COUNTIFS(R$6:R1338,"&gt;0",S$6:S1338,S1339,N$6:N1338,N1339)=0,R1339,""))</f>
        <v/>
      </c>
      <c r="U1339">
        <f>IF(B1339="","",IF(J1339&lt;&gt;"",0,M1339))</f>
        <v/>
      </c>
    </row>
    <row r="1340">
      <c r="A1340" s="1" t="n"/>
      <c r="B1340" s="16" t="n"/>
      <c r="C1340" s="17" t="n"/>
      <c r="D1340" s="18" t="n"/>
      <c r="E1340" s="18" t="n"/>
      <c r="F1340" s="19" t="n"/>
      <c r="G1340" s="19" t="n"/>
      <c r="H1340" s="20" t="n"/>
      <c r="I1340" s="21" t="n"/>
      <c r="J1340" s="22" t="n"/>
      <c r="K1340" s="23" t="n"/>
      <c r="L1340" s="18" t="n"/>
      <c r="M1340" s="24">
        <f>IF(B1340="","",IF(AND(F1340&lt;&gt;"",G1340&lt;&gt;""),MAX(0,ROUND(MOD(G1340-F1340,1)*24-N(H1340)/60,2)),N(I1340)))</f>
        <v/>
      </c>
      <c r="N1340" s="14">
        <f>IF(B1340="","",IF(K1340&lt;&gt;"",K1340,IF(N(IFERROR(INDEX(Projects!$D$6:$D$65,MATCH(D1340,Projects!$B$6:$B$65,0)),""))&gt;0,IFERROR(INDEX(Projects!$D$6:$D$65,MATCH(D1340,Projects!$B$6:$B$65,0)),""),IFERROR(INDEX(Clients!$G$6:$G$45,MATCH(C1340,Clients!$B$6:$B$45,0)),0))))</f>
        <v/>
      </c>
      <c r="O1340" s="14">
        <f>IF(B1340="","",IF(J1340&lt;&gt;"",0,ROUND(M1340*N1340,2)))</f>
        <v/>
      </c>
      <c r="P1340" s="15">
        <f>IF(OR(B1340="",J1340&lt;&gt;""),"",IF(L1340&lt;&gt;"",L1340,IF(COUNTIFS(Invoices!$C$6:$C$305,C1340,Invoices!$E$6:$E$305,"&lt;="&amp;B1340,Invoices!$F$6:$F$305,"&gt;="&amp;B1340)=1,INDEX(Invoices!$B$6:$B$305,SUMIFS(Invoices!$O$6:$O$305,Invoices!$C$6:$C$305,C1340,Invoices!$E$6:$E$305,"&lt;="&amp;B1340,Invoices!$F$6:$F$305,"&gt;="&amp;B1340)),IF(COUNTIFS(Invoices!$C$6:$C$305,C1340,Invoices!$E$6:$E$305,"&lt;="&amp;B1340,Invoices!$F$6:$F$305,"&gt;="&amp;B1340)&gt;1,"Two invoices",""))))</f>
        <v/>
      </c>
      <c r="Q1340" s="15">
        <f>IF(B1340="","",IF(J1340&lt;&gt;"","Not billable",IF(P1340="","To invoice",IF(P1340="Two invoices","Check dates",IF(ISNA(MATCH(P1340,Invoices!$B$6:$B$305,0)),"Check number",IF(INDEX(Invoices!$M$6:$M$305,MATCH(P1340,Invoices!$B$6:$B$305,0))="Paid","Paid",IF(INDEX(Invoices!$M$6:$M$305,MATCH(P1340,Invoices!$B$6:$B$305,0))="Draft","Draft","Invoiced")))))))</f>
        <v/>
      </c>
      <c r="R1340" s="1">
        <f>IF(AND(B1340&lt;&gt;"",P1340&lt;&gt;"",P1340=Invoice!$G$4),B1340+MOD(N(F1340),1)+ROW()/10000000,"")</f>
        <v/>
      </c>
      <c r="S1340">
        <f>IF(R1340="","",IF(D1340="","Other work",D1340)&amp;IF(AND(K1340&lt;&gt;"",E1340&lt;&gt;""),", "&amp;E1340,""))</f>
        <v/>
      </c>
      <c r="T1340">
        <f>IF(R1340="","",IF(COUNTIFS(R$6:R1339,"&gt;0",S$6:S1339,S1340,N$6:N1339,N1340)=0,R1340,""))</f>
        <v/>
      </c>
      <c r="U1340">
        <f>IF(B1340="","",IF(J1340&lt;&gt;"",0,M1340))</f>
        <v/>
      </c>
    </row>
    <row r="1341">
      <c r="A1341" s="1" t="n"/>
      <c r="B1341" s="16" t="n"/>
      <c r="C1341" s="17" t="n"/>
      <c r="D1341" s="18" t="n"/>
      <c r="E1341" s="18" t="n"/>
      <c r="F1341" s="19" t="n"/>
      <c r="G1341" s="19" t="n"/>
      <c r="H1341" s="20" t="n"/>
      <c r="I1341" s="21" t="n"/>
      <c r="J1341" s="22" t="n"/>
      <c r="K1341" s="23" t="n"/>
      <c r="L1341" s="18" t="n"/>
      <c r="M1341" s="24">
        <f>IF(B1341="","",IF(AND(F1341&lt;&gt;"",G1341&lt;&gt;""),MAX(0,ROUND(MOD(G1341-F1341,1)*24-N(H1341)/60,2)),N(I1341)))</f>
        <v/>
      </c>
      <c r="N1341" s="14">
        <f>IF(B1341="","",IF(K1341&lt;&gt;"",K1341,IF(N(IFERROR(INDEX(Projects!$D$6:$D$65,MATCH(D1341,Projects!$B$6:$B$65,0)),""))&gt;0,IFERROR(INDEX(Projects!$D$6:$D$65,MATCH(D1341,Projects!$B$6:$B$65,0)),""),IFERROR(INDEX(Clients!$G$6:$G$45,MATCH(C1341,Clients!$B$6:$B$45,0)),0))))</f>
        <v/>
      </c>
      <c r="O1341" s="14">
        <f>IF(B1341="","",IF(J1341&lt;&gt;"",0,ROUND(M1341*N1341,2)))</f>
        <v/>
      </c>
      <c r="P1341" s="15">
        <f>IF(OR(B1341="",J1341&lt;&gt;""),"",IF(L1341&lt;&gt;"",L1341,IF(COUNTIFS(Invoices!$C$6:$C$305,C1341,Invoices!$E$6:$E$305,"&lt;="&amp;B1341,Invoices!$F$6:$F$305,"&gt;="&amp;B1341)=1,INDEX(Invoices!$B$6:$B$305,SUMIFS(Invoices!$O$6:$O$305,Invoices!$C$6:$C$305,C1341,Invoices!$E$6:$E$305,"&lt;="&amp;B1341,Invoices!$F$6:$F$305,"&gt;="&amp;B1341)),IF(COUNTIFS(Invoices!$C$6:$C$305,C1341,Invoices!$E$6:$E$305,"&lt;="&amp;B1341,Invoices!$F$6:$F$305,"&gt;="&amp;B1341)&gt;1,"Two invoices",""))))</f>
        <v/>
      </c>
      <c r="Q1341" s="15">
        <f>IF(B1341="","",IF(J1341&lt;&gt;"","Not billable",IF(P1341="","To invoice",IF(P1341="Two invoices","Check dates",IF(ISNA(MATCH(P1341,Invoices!$B$6:$B$305,0)),"Check number",IF(INDEX(Invoices!$M$6:$M$305,MATCH(P1341,Invoices!$B$6:$B$305,0))="Paid","Paid",IF(INDEX(Invoices!$M$6:$M$305,MATCH(P1341,Invoices!$B$6:$B$305,0))="Draft","Draft","Invoiced")))))))</f>
        <v/>
      </c>
      <c r="R1341" s="1">
        <f>IF(AND(B1341&lt;&gt;"",P1341&lt;&gt;"",P1341=Invoice!$G$4),B1341+MOD(N(F1341),1)+ROW()/10000000,"")</f>
        <v/>
      </c>
      <c r="S1341">
        <f>IF(R1341="","",IF(D1341="","Other work",D1341)&amp;IF(AND(K1341&lt;&gt;"",E1341&lt;&gt;""),", "&amp;E1341,""))</f>
        <v/>
      </c>
      <c r="T1341">
        <f>IF(R1341="","",IF(COUNTIFS(R$6:R1340,"&gt;0",S$6:S1340,S1341,N$6:N1340,N1341)=0,R1341,""))</f>
        <v/>
      </c>
      <c r="U1341">
        <f>IF(B1341="","",IF(J1341&lt;&gt;"",0,M1341))</f>
        <v/>
      </c>
    </row>
    <row r="1342">
      <c r="A1342" s="1" t="n"/>
      <c r="B1342" s="16" t="n"/>
      <c r="C1342" s="17" t="n"/>
      <c r="D1342" s="18" t="n"/>
      <c r="E1342" s="18" t="n"/>
      <c r="F1342" s="19" t="n"/>
      <c r="G1342" s="19" t="n"/>
      <c r="H1342" s="20" t="n"/>
      <c r="I1342" s="21" t="n"/>
      <c r="J1342" s="22" t="n"/>
      <c r="K1342" s="23" t="n"/>
      <c r="L1342" s="18" t="n"/>
      <c r="M1342" s="24">
        <f>IF(B1342="","",IF(AND(F1342&lt;&gt;"",G1342&lt;&gt;""),MAX(0,ROUND(MOD(G1342-F1342,1)*24-N(H1342)/60,2)),N(I1342)))</f>
        <v/>
      </c>
      <c r="N1342" s="14">
        <f>IF(B1342="","",IF(K1342&lt;&gt;"",K1342,IF(N(IFERROR(INDEX(Projects!$D$6:$D$65,MATCH(D1342,Projects!$B$6:$B$65,0)),""))&gt;0,IFERROR(INDEX(Projects!$D$6:$D$65,MATCH(D1342,Projects!$B$6:$B$65,0)),""),IFERROR(INDEX(Clients!$G$6:$G$45,MATCH(C1342,Clients!$B$6:$B$45,0)),0))))</f>
        <v/>
      </c>
      <c r="O1342" s="14">
        <f>IF(B1342="","",IF(J1342&lt;&gt;"",0,ROUND(M1342*N1342,2)))</f>
        <v/>
      </c>
      <c r="P1342" s="15">
        <f>IF(OR(B1342="",J1342&lt;&gt;""),"",IF(L1342&lt;&gt;"",L1342,IF(COUNTIFS(Invoices!$C$6:$C$305,C1342,Invoices!$E$6:$E$305,"&lt;="&amp;B1342,Invoices!$F$6:$F$305,"&gt;="&amp;B1342)=1,INDEX(Invoices!$B$6:$B$305,SUMIFS(Invoices!$O$6:$O$305,Invoices!$C$6:$C$305,C1342,Invoices!$E$6:$E$305,"&lt;="&amp;B1342,Invoices!$F$6:$F$305,"&gt;="&amp;B1342)),IF(COUNTIFS(Invoices!$C$6:$C$305,C1342,Invoices!$E$6:$E$305,"&lt;="&amp;B1342,Invoices!$F$6:$F$305,"&gt;="&amp;B1342)&gt;1,"Two invoices",""))))</f>
        <v/>
      </c>
      <c r="Q1342" s="15">
        <f>IF(B1342="","",IF(J1342&lt;&gt;"","Not billable",IF(P1342="","To invoice",IF(P1342="Two invoices","Check dates",IF(ISNA(MATCH(P1342,Invoices!$B$6:$B$305,0)),"Check number",IF(INDEX(Invoices!$M$6:$M$305,MATCH(P1342,Invoices!$B$6:$B$305,0))="Paid","Paid",IF(INDEX(Invoices!$M$6:$M$305,MATCH(P1342,Invoices!$B$6:$B$305,0))="Draft","Draft","Invoiced")))))))</f>
        <v/>
      </c>
      <c r="R1342" s="1">
        <f>IF(AND(B1342&lt;&gt;"",P1342&lt;&gt;"",P1342=Invoice!$G$4),B1342+MOD(N(F1342),1)+ROW()/10000000,"")</f>
        <v/>
      </c>
      <c r="S1342">
        <f>IF(R1342="","",IF(D1342="","Other work",D1342)&amp;IF(AND(K1342&lt;&gt;"",E1342&lt;&gt;""),", "&amp;E1342,""))</f>
        <v/>
      </c>
      <c r="T1342">
        <f>IF(R1342="","",IF(COUNTIFS(R$6:R1341,"&gt;0",S$6:S1341,S1342,N$6:N1341,N1342)=0,R1342,""))</f>
        <v/>
      </c>
      <c r="U1342">
        <f>IF(B1342="","",IF(J1342&lt;&gt;"",0,M1342))</f>
        <v/>
      </c>
    </row>
    <row r="1343">
      <c r="A1343" s="1" t="n"/>
      <c r="B1343" s="16" t="n"/>
      <c r="C1343" s="17" t="n"/>
      <c r="D1343" s="18" t="n"/>
      <c r="E1343" s="18" t="n"/>
      <c r="F1343" s="19" t="n"/>
      <c r="G1343" s="19" t="n"/>
      <c r="H1343" s="20" t="n"/>
      <c r="I1343" s="21" t="n"/>
      <c r="J1343" s="22" t="n"/>
      <c r="K1343" s="23" t="n"/>
      <c r="L1343" s="18" t="n"/>
      <c r="M1343" s="24">
        <f>IF(B1343="","",IF(AND(F1343&lt;&gt;"",G1343&lt;&gt;""),MAX(0,ROUND(MOD(G1343-F1343,1)*24-N(H1343)/60,2)),N(I1343)))</f>
        <v/>
      </c>
      <c r="N1343" s="14">
        <f>IF(B1343="","",IF(K1343&lt;&gt;"",K1343,IF(N(IFERROR(INDEX(Projects!$D$6:$D$65,MATCH(D1343,Projects!$B$6:$B$65,0)),""))&gt;0,IFERROR(INDEX(Projects!$D$6:$D$65,MATCH(D1343,Projects!$B$6:$B$65,0)),""),IFERROR(INDEX(Clients!$G$6:$G$45,MATCH(C1343,Clients!$B$6:$B$45,0)),0))))</f>
        <v/>
      </c>
      <c r="O1343" s="14">
        <f>IF(B1343="","",IF(J1343&lt;&gt;"",0,ROUND(M1343*N1343,2)))</f>
        <v/>
      </c>
      <c r="P1343" s="15">
        <f>IF(OR(B1343="",J1343&lt;&gt;""),"",IF(L1343&lt;&gt;"",L1343,IF(COUNTIFS(Invoices!$C$6:$C$305,C1343,Invoices!$E$6:$E$305,"&lt;="&amp;B1343,Invoices!$F$6:$F$305,"&gt;="&amp;B1343)=1,INDEX(Invoices!$B$6:$B$305,SUMIFS(Invoices!$O$6:$O$305,Invoices!$C$6:$C$305,C1343,Invoices!$E$6:$E$305,"&lt;="&amp;B1343,Invoices!$F$6:$F$305,"&gt;="&amp;B1343)),IF(COUNTIFS(Invoices!$C$6:$C$305,C1343,Invoices!$E$6:$E$305,"&lt;="&amp;B1343,Invoices!$F$6:$F$305,"&gt;="&amp;B1343)&gt;1,"Two invoices",""))))</f>
        <v/>
      </c>
      <c r="Q1343" s="15">
        <f>IF(B1343="","",IF(J1343&lt;&gt;"","Not billable",IF(P1343="","To invoice",IF(P1343="Two invoices","Check dates",IF(ISNA(MATCH(P1343,Invoices!$B$6:$B$305,0)),"Check number",IF(INDEX(Invoices!$M$6:$M$305,MATCH(P1343,Invoices!$B$6:$B$305,0))="Paid","Paid",IF(INDEX(Invoices!$M$6:$M$305,MATCH(P1343,Invoices!$B$6:$B$305,0))="Draft","Draft","Invoiced")))))))</f>
        <v/>
      </c>
      <c r="R1343" s="1">
        <f>IF(AND(B1343&lt;&gt;"",P1343&lt;&gt;"",P1343=Invoice!$G$4),B1343+MOD(N(F1343),1)+ROW()/10000000,"")</f>
        <v/>
      </c>
      <c r="S1343">
        <f>IF(R1343="","",IF(D1343="","Other work",D1343)&amp;IF(AND(K1343&lt;&gt;"",E1343&lt;&gt;""),", "&amp;E1343,""))</f>
        <v/>
      </c>
      <c r="T1343">
        <f>IF(R1343="","",IF(COUNTIFS(R$6:R1342,"&gt;0",S$6:S1342,S1343,N$6:N1342,N1343)=0,R1343,""))</f>
        <v/>
      </c>
      <c r="U1343">
        <f>IF(B1343="","",IF(J1343&lt;&gt;"",0,M1343))</f>
        <v/>
      </c>
    </row>
    <row r="1344">
      <c r="A1344" s="1" t="n"/>
      <c r="B1344" s="16" t="n"/>
      <c r="C1344" s="17" t="n"/>
      <c r="D1344" s="18" t="n"/>
      <c r="E1344" s="18" t="n"/>
      <c r="F1344" s="19" t="n"/>
      <c r="G1344" s="19" t="n"/>
      <c r="H1344" s="20" t="n"/>
      <c r="I1344" s="21" t="n"/>
      <c r="J1344" s="22" t="n"/>
      <c r="K1344" s="23" t="n"/>
      <c r="L1344" s="18" t="n"/>
      <c r="M1344" s="24">
        <f>IF(B1344="","",IF(AND(F1344&lt;&gt;"",G1344&lt;&gt;""),MAX(0,ROUND(MOD(G1344-F1344,1)*24-N(H1344)/60,2)),N(I1344)))</f>
        <v/>
      </c>
      <c r="N1344" s="14">
        <f>IF(B1344="","",IF(K1344&lt;&gt;"",K1344,IF(N(IFERROR(INDEX(Projects!$D$6:$D$65,MATCH(D1344,Projects!$B$6:$B$65,0)),""))&gt;0,IFERROR(INDEX(Projects!$D$6:$D$65,MATCH(D1344,Projects!$B$6:$B$65,0)),""),IFERROR(INDEX(Clients!$G$6:$G$45,MATCH(C1344,Clients!$B$6:$B$45,0)),0))))</f>
        <v/>
      </c>
      <c r="O1344" s="14">
        <f>IF(B1344="","",IF(J1344&lt;&gt;"",0,ROUND(M1344*N1344,2)))</f>
        <v/>
      </c>
      <c r="P1344" s="15">
        <f>IF(OR(B1344="",J1344&lt;&gt;""),"",IF(L1344&lt;&gt;"",L1344,IF(COUNTIFS(Invoices!$C$6:$C$305,C1344,Invoices!$E$6:$E$305,"&lt;="&amp;B1344,Invoices!$F$6:$F$305,"&gt;="&amp;B1344)=1,INDEX(Invoices!$B$6:$B$305,SUMIFS(Invoices!$O$6:$O$305,Invoices!$C$6:$C$305,C1344,Invoices!$E$6:$E$305,"&lt;="&amp;B1344,Invoices!$F$6:$F$305,"&gt;="&amp;B1344)),IF(COUNTIFS(Invoices!$C$6:$C$305,C1344,Invoices!$E$6:$E$305,"&lt;="&amp;B1344,Invoices!$F$6:$F$305,"&gt;="&amp;B1344)&gt;1,"Two invoices",""))))</f>
        <v/>
      </c>
      <c r="Q1344" s="15">
        <f>IF(B1344="","",IF(J1344&lt;&gt;"","Not billable",IF(P1344="","To invoice",IF(P1344="Two invoices","Check dates",IF(ISNA(MATCH(P1344,Invoices!$B$6:$B$305,0)),"Check number",IF(INDEX(Invoices!$M$6:$M$305,MATCH(P1344,Invoices!$B$6:$B$305,0))="Paid","Paid",IF(INDEX(Invoices!$M$6:$M$305,MATCH(P1344,Invoices!$B$6:$B$305,0))="Draft","Draft","Invoiced")))))))</f>
        <v/>
      </c>
      <c r="R1344" s="1">
        <f>IF(AND(B1344&lt;&gt;"",P1344&lt;&gt;"",P1344=Invoice!$G$4),B1344+MOD(N(F1344),1)+ROW()/10000000,"")</f>
        <v/>
      </c>
      <c r="S1344">
        <f>IF(R1344="","",IF(D1344="","Other work",D1344)&amp;IF(AND(K1344&lt;&gt;"",E1344&lt;&gt;""),", "&amp;E1344,""))</f>
        <v/>
      </c>
      <c r="T1344">
        <f>IF(R1344="","",IF(COUNTIFS(R$6:R1343,"&gt;0",S$6:S1343,S1344,N$6:N1343,N1344)=0,R1344,""))</f>
        <v/>
      </c>
      <c r="U1344">
        <f>IF(B1344="","",IF(J1344&lt;&gt;"",0,M1344))</f>
        <v/>
      </c>
    </row>
    <row r="1345">
      <c r="A1345" s="1" t="n"/>
      <c r="B1345" s="16" t="n"/>
      <c r="C1345" s="17" t="n"/>
      <c r="D1345" s="18" t="n"/>
      <c r="E1345" s="18" t="n"/>
      <c r="F1345" s="19" t="n"/>
      <c r="G1345" s="19" t="n"/>
      <c r="H1345" s="20" t="n"/>
      <c r="I1345" s="21" t="n"/>
      <c r="J1345" s="22" t="n"/>
      <c r="K1345" s="23" t="n"/>
      <c r="L1345" s="18" t="n"/>
      <c r="M1345" s="24">
        <f>IF(B1345="","",IF(AND(F1345&lt;&gt;"",G1345&lt;&gt;""),MAX(0,ROUND(MOD(G1345-F1345,1)*24-N(H1345)/60,2)),N(I1345)))</f>
        <v/>
      </c>
      <c r="N1345" s="14">
        <f>IF(B1345="","",IF(K1345&lt;&gt;"",K1345,IF(N(IFERROR(INDEX(Projects!$D$6:$D$65,MATCH(D1345,Projects!$B$6:$B$65,0)),""))&gt;0,IFERROR(INDEX(Projects!$D$6:$D$65,MATCH(D1345,Projects!$B$6:$B$65,0)),""),IFERROR(INDEX(Clients!$G$6:$G$45,MATCH(C1345,Clients!$B$6:$B$45,0)),0))))</f>
        <v/>
      </c>
      <c r="O1345" s="14">
        <f>IF(B1345="","",IF(J1345&lt;&gt;"",0,ROUND(M1345*N1345,2)))</f>
        <v/>
      </c>
      <c r="P1345" s="15">
        <f>IF(OR(B1345="",J1345&lt;&gt;""),"",IF(L1345&lt;&gt;"",L1345,IF(COUNTIFS(Invoices!$C$6:$C$305,C1345,Invoices!$E$6:$E$305,"&lt;="&amp;B1345,Invoices!$F$6:$F$305,"&gt;="&amp;B1345)=1,INDEX(Invoices!$B$6:$B$305,SUMIFS(Invoices!$O$6:$O$305,Invoices!$C$6:$C$305,C1345,Invoices!$E$6:$E$305,"&lt;="&amp;B1345,Invoices!$F$6:$F$305,"&gt;="&amp;B1345)),IF(COUNTIFS(Invoices!$C$6:$C$305,C1345,Invoices!$E$6:$E$305,"&lt;="&amp;B1345,Invoices!$F$6:$F$305,"&gt;="&amp;B1345)&gt;1,"Two invoices",""))))</f>
        <v/>
      </c>
      <c r="Q1345" s="15">
        <f>IF(B1345="","",IF(J1345&lt;&gt;"","Not billable",IF(P1345="","To invoice",IF(P1345="Two invoices","Check dates",IF(ISNA(MATCH(P1345,Invoices!$B$6:$B$305,0)),"Check number",IF(INDEX(Invoices!$M$6:$M$305,MATCH(P1345,Invoices!$B$6:$B$305,0))="Paid","Paid",IF(INDEX(Invoices!$M$6:$M$305,MATCH(P1345,Invoices!$B$6:$B$305,0))="Draft","Draft","Invoiced")))))))</f>
        <v/>
      </c>
      <c r="R1345" s="1">
        <f>IF(AND(B1345&lt;&gt;"",P1345&lt;&gt;"",P1345=Invoice!$G$4),B1345+MOD(N(F1345),1)+ROW()/10000000,"")</f>
        <v/>
      </c>
      <c r="S1345">
        <f>IF(R1345="","",IF(D1345="","Other work",D1345)&amp;IF(AND(K1345&lt;&gt;"",E1345&lt;&gt;""),", "&amp;E1345,""))</f>
        <v/>
      </c>
      <c r="T1345">
        <f>IF(R1345="","",IF(COUNTIFS(R$6:R1344,"&gt;0",S$6:S1344,S1345,N$6:N1344,N1345)=0,R1345,""))</f>
        <v/>
      </c>
      <c r="U1345">
        <f>IF(B1345="","",IF(J1345&lt;&gt;"",0,M1345))</f>
        <v/>
      </c>
    </row>
    <row r="1346">
      <c r="A1346" s="1" t="n"/>
      <c r="B1346" s="16" t="n"/>
      <c r="C1346" s="17" t="n"/>
      <c r="D1346" s="18" t="n"/>
      <c r="E1346" s="18" t="n"/>
      <c r="F1346" s="19" t="n"/>
      <c r="G1346" s="19" t="n"/>
      <c r="H1346" s="20" t="n"/>
      <c r="I1346" s="21" t="n"/>
      <c r="J1346" s="22" t="n"/>
      <c r="K1346" s="23" t="n"/>
      <c r="L1346" s="18" t="n"/>
      <c r="M1346" s="24">
        <f>IF(B1346="","",IF(AND(F1346&lt;&gt;"",G1346&lt;&gt;""),MAX(0,ROUND(MOD(G1346-F1346,1)*24-N(H1346)/60,2)),N(I1346)))</f>
        <v/>
      </c>
      <c r="N1346" s="14">
        <f>IF(B1346="","",IF(K1346&lt;&gt;"",K1346,IF(N(IFERROR(INDEX(Projects!$D$6:$D$65,MATCH(D1346,Projects!$B$6:$B$65,0)),""))&gt;0,IFERROR(INDEX(Projects!$D$6:$D$65,MATCH(D1346,Projects!$B$6:$B$65,0)),""),IFERROR(INDEX(Clients!$G$6:$G$45,MATCH(C1346,Clients!$B$6:$B$45,0)),0))))</f>
        <v/>
      </c>
      <c r="O1346" s="14">
        <f>IF(B1346="","",IF(J1346&lt;&gt;"",0,ROUND(M1346*N1346,2)))</f>
        <v/>
      </c>
      <c r="P1346" s="15">
        <f>IF(OR(B1346="",J1346&lt;&gt;""),"",IF(L1346&lt;&gt;"",L1346,IF(COUNTIFS(Invoices!$C$6:$C$305,C1346,Invoices!$E$6:$E$305,"&lt;="&amp;B1346,Invoices!$F$6:$F$305,"&gt;="&amp;B1346)=1,INDEX(Invoices!$B$6:$B$305,SUMIFS(Invoices!$O$6:$O$305,Invoices!$C$6:$C$305,C1346,Invoices!$E$6:$E$305,"&lt;="&amp;B1346,Invoices!$F$6:$F$305,"&gt;="&amp;B1346)),IF(COUNTIFS(Invoices!$C$6:$C$305,C1346,Invoices!$E$6:$E$305,"&lt;="&amp;B1346,Invoices!$F$6:$F$305,"&gt;="&amp;B1346)&gt;1,"Two invoices",""))))</f>
        <v/>
      </c>
      <c r="Q1346" s="15">
        <f>IF(B1346="","",IF(J1346&lt;&gt;"","Not billable",IF(P1346="","To invoice",IF(P1346="Two invoices","Check dates",IF(ISNA(MATCH(P1346,Invoices!$B$6:$B$305,0)),"Check number",IF(INDEX(Invoices!$M$6:$M$305,MATCH(P1346,Invoices!$B$6:$B$305,0))="Paid","Paid",IF(INDEX(Invoices!$M$6:$M$305,MATCH(P1346,Invoices!$B$6:$B$305,0))="Draft","Draft","Invoiced")))))))</f>
        <v/>
      </c>
      <c r="R1346" s="1">
        <f>IF(AND(B1346&lt;&gt;"",P1346&lt;&gt;"",P1346=Invoice!$G$4),B1346+MOD(N(F1346),1)+ROW()/10000000,"")</f>
        <v/>
      </c>
      <c r="S1346">
        <f>IF(R1346="","",IF(D1346="","Other work",D1346)&amp;IF(AND(K1346&lt;&gt;"",E1346&lt;&gt;""),", "&amp;E1346,""))</f>
        <v/>
      </c>
      <c r="T1346">
        <f>IF(R1346="","",IF(COUNTIFS(R$6:R1345,"&gt;0",S$6:S1345,S1346,N$6:N1345,N1346)=0,R1346,""))</f>
        <v/>
      </c>
      <c r="U1346">
        <f>IF(B1346="","",IF(J1346&lt;&gt;"",0,M1346))</f>
        <v/>
      </c>
    </row>
    <row r="1347">
      <c r="A1347" s="1" t="n"/>
      <c r="B1347" s="16" t="n"/>
      <c r="C1347" s="17" t="n"/>
      <c r="D1347" s="18" t="n"/>
      <c r="E1347" s="18" t="n"/>
      <c r="F1347" s="19" t="n"/>
      <c r="G1347" s="19" t="n"/>
      <c r="H1347" s="20" t="n"/>
      <c r="I1347" s="21" t="n"/>
      <c r="J1347" s="22" t="n"/>
      <c r="K1347" s="23" t="n"/>
      <c r="L1347" s="18" t="n"/>
      <c r="M1347" s="24">
        <f>IF(B1347="","",IF(AND(F1347&lt;&gt;"",G1347&lt;&gt;""),MAX(0,ROUND(MOD(G1347-F1347,1)*24-N(H1347)/60,2)),N(I1347)))</f>
        <v/>
      </c>
      <c r="N1347" s="14">
        <f>IF(B1347="","",IF(K1347&lt;&gt;"",K1347,IF(N(IFERROR(INDEX(Projects!$D$6:$D$65,MATCH(D1347,Projects!$B$6:$B$65,0)),""))&gt;0,IFERROR(INDEX(Projects!$D$6:$D$65,MATCH(D1347,Projects!$B$6:$B$65,0)),""),IFERROR(INDEX(Clients!$G$6:$G$45,MATCH(C1347,Clients!$B$6:$B$45,0)),0))))</f>
        <v/>
      </c>
      <c r="O1347" s="14">
        <f>IF(B1347="","",IF(J1347&lt;&gt;"",0,ROUND(M1347*N1347,2)))</f>
        <v/>
      </c>
      <c r="P1347" s="15">
        <f>IF(OR(B1347="",J1347&lt;&gt;""),"",IF(L1347&lt;&gt;"",L1347,IF(COUNTIFS(Invoices!$C$6:$C$305,C1347,Invoices!$E$6:$E$305,"&lt;="&amp;B1347,Invoices!$F$6:$F$305,"&gt;="&amp;B1347)=1,INDEX(Invoices!$B$6:$B$305,SUMIFS(Invoices!$O$6:$O$305,Invoices!$C$6:$C$305,C1347,Invoices!$E$6:$E$305,"&lt;="&amp;B1347,Invoices!$F$6:$F$305,"&gt;="&amp;B1347)),IF(COUNTIFS(Invoices!$C$6:$C$305,C1347,Invoices!$E$6:$E$305,"&lt;="&amp;B1347,Invoices!$F$6:$F$305,"&gt;="&amp;B1347)&gt;1,"Two invoices",""))))</f>
        <v/>
      </c>
      <c r="Q1347" s="15">
        <f>IF(B1347="","",IF(J1347&lt;&gt;"","Not billable",IF(P1347="","To invoice",IF(P1347="Two invoices","Check dates",IF(ISNA(MATCH(P1347,Invoices!$B$6:$B$305,0)),"Check number",IF(INDEX(Invoices!$M$6:$M$305,MATCH(P1347,Invoices!$B$6:$B$305,0))="Paid","Paid",IF(INDEX(Invoices!$M$6:$M$305,MATCH(P1347,Invoices!$B$6:$B$305,0))="Draft","Draft","Invoiced")))))))</f>
        <v/>
      </c>
      <c r="R1347" s="1">
        <f>IF(AND(B1347&lt;&gt;"",P1347&lt;&gt;"",P1347=Invoice!$G$4),B1347+MOD(N(F1347),1)+ROW()/10000000,"")</f>
        <v/>
      </c>
      <c r="S1347">
        <f>IF(R1347="","",IF(D1347="","Other work",D1347)&amp;IF(AND(K1347&lt;&gt;"",E1347&lt;&gt;""),", "&amp;E1347,""))</f>
        <v/>
      </c>
      <c r="T1347">
        <f>IF(R1347="","",IF(COUNTIFS(R$6:R1346,"&gt;0",S$6:S1346,S1347,N$6:N1346,N1347)=0,R1347,""))</f>
        <v/>
      </c>
      <c r="U1347">
        <f>IF(B1347="","",IF(J1347&lt;&gt;"",0,M1347))</f>
        <v/>
      </c>
    </row>
    <row r="1348">
      <c r="A1348" s="1" t="n"/>
      <c r="B1348" s="16" t="n"/>
      <c r="C1348" s="17" t="n"/>
      <c r="D1348" s="18" t="n"/>
      <c r="E1348" s="18" t="n"/>
      <c r="F1348" s="19" t="n"/>
      <c r="G1348" s="19" t="n"/>
      <c r="H1348" s="20" t="n"/>
      <c r="I1348" s="21" t="n"/>
      <c r="J1348" s="22" t="n"/>
      <c r="K1348" s="23" t="n"/>
      <c r="L1348" s="18" t="n"/>
      <c r="M1348" s="24">
        <f>IF(B1348="","",IF(AND(F1348&lt;&gt;"",G1348&lt;&gt;""),MAX(0,ROUND(MOD(G1348-F1348,1)*24-N(H1348)/60,2)),N(I1348)))</f>
        <v/>
      </c>
      <c r="N1348" s="14">
        <f>IF(B1348="","",IF(K1348&lt;&gt;"",K1348,IF(N(IFERROR(INDEX(Projects!$D$6:$D$65,MATCH(D1348,Projects!$B$6:$B$65,0)),""))&gt;0,IFERROR(INDEX(Projects!$D$6:$D$65,MATCH(D1348,Projects!$B$6:$B$65,0)),""),IFERROR(INDEX(Clients!$G$6:$G$45,MATCH(C1348,Clients!$B$6:$B$45,0)),0))))</f>
        <v/>
      </c>
      <c r="O1348" s="14">
        <f>IF(B1348="","",IF(J1348&lt;&gt;"",0,ROUND(M1348*N1348,2)))</f>
        <v/>
      </c>
      <c r="P1348" s="15">
        <f>IF(OR(B1348="",J1348&lt;&gt;""),"",IF(L1348&lt;&gt;"",L1348,IF(COUNTIFS(Invoices!$C$6:$C$305,C1348,Invoices!$E$6:$E$305,"&lt;="&amp;B1348,Invoices!$F$6:$F$305,"&gt;="&amp;B1348)=1,INDEX(Invoices!$B$6:$B$305,SUMIFS(Invoices!$O$6:$O$305,Invoices!$C$6:$C$305,C1348,Invoices!$E$6:$E$305,"&lt;="&amp;B1348,Invoices!$F$6:$F$305,"&gt;="&amp;B1348)),IF(COUNTIFS(Invoices!$C$6:$C$305,C1348,Invoices!$E$6:$E$305,"&lt;="&amp;B1348,Invoices!$F$6:$F$305,"&gt;="&amp;B1348)&gt;1,"Two invoices",""))))</f>
        <v/>
      </c>
      <c r="Q1348" s="15">
        <f>IF(B1348="","",IF(J1348&lt;&gt;"","Not billable",IF(P1348="","To invoice",IF(P1348="Two invoices","Check dates",IF(ISNA(MATCH(P1348,Invoices!$B$6:$B$305,0)),"Check number",IF(INDEX(Invoices!$M$6:$M$305,MATCH(P1348,Invoices!$B$6:$B$305,0))="Paid","Paid",IF(INDEX(Invoices!$M$6:$M$305,MATCH(P1348,Invoices!$B$6:$B$305,0))="Draft","Draft","Invoiced")))))))</f>
        <v/>
      </c>
      <c r="R1348" s="1">
        <f>IF(AND(B1348&lt;&gt;"",P1348&lt;&gt;"",P1348=Invoice!$G$4),B1348+MOD(N(F1348),1)+ROW()/10000000,"")</f>
        <v/>
      </c>
      <c r="S1348">
        <f>IF(R1348="","",IF(D1348="","Other work",D1348)&amp;IF(AND(K1348&lt;&gt;"",E1348&lt;&gt;""),", "&amp;E1348,""))</f>
        <v/>
      </c>
      <c r="T1348">
        <f>IF(R1348="","",IF(COUNTIFS(R$6:R1347,"&gt;0",S$6:S1347,S1348,N$6:N1347,N1348)=0,R1348,""))</f>
        <v/>
      </c>
      <c r="U1348">
        <f>IF(B1348="","",IF(J1348&lt;&gt;"",0,M1348))</f>
        <v/>
      </c>
    </row>
    <row r="1349">
      <c r="A1349" s="1" t="n"/>
      <c r="B1349" s="16" t="n"/>
      <c r="C1349" s="17" t="n"/>
      <c r="D1349" s="18" t="n"/>
      <c r="E1349" s="18" t="n"/>
      <c r="F1349" s="19" t="n"/>
      <c r="G1349" s="19" t="n"/>
      <c r="H1349" s="20" t="n"/>
      <c r="I1349" s="21" t="n"/>
      <c r="J1349" s="22" t="n"/>
      <c r="K1349" s="23" t="n"/>
      <c r="L1349" s="18" t="n"/>
      <c r="M1349" s="24">
        <f>IF(B1349="","",IF(AND(F1349&lt;&gt;"",G1349&lt;&gt;""),MAX(0,ROUND(MOD(G1349-F1349,1)*24-N(H1349)/60,2)),N(I1349)))</f>
        <v/>
      </c>
      <c r="N1349" s="14">
        <f>IF(B1349="","",IF(K1349&lt;&gt;"",K1349,IF(N(IFERROR(INDEX(Projects!$D$6:$D$65,MATCH(D1349,Projects!$B$6:$B$65,0)),""))&gt;0,IFERROR(INDEX(Projects!$D$6:$D$65,MATCH(D1349,Projects!$B$6:$B$65,0)),""),IFERROR(INDEX(Clients!$G$6:$G$45,MATCH(C1349,Clients!$B$6:$B$45,0)),0))))</f>
        <v/>
      </c>
      <c r="O1349" s="14">
        <f>IF(B1349="","",IF(J1349&lt;&gt;"",0,ROUND(M1349*N1349,2)))</f>
        <v/>
      </c>
      <c r="P1349" s="15">
        <f>IF(OR(B1349="",J1349&lt;&gt;""),"",IF(L1349&lt;&gt;"",L1349,IF(COUNTIFS(Invoices!$C$6:$C$305,C1349,Invoices!$E$6:$E$305,"&lt;="&amp;B1349,Invoices!$F$6:$F$305,"&gt;="&amp;B1349)=1,INDEX(Invoices!$B$6:$B$305,SUMIFS(Invoices!$O$6:$O$305,Invoices!$C$6:$C$305,C1349,Invoices!$E$6:$E$305,"&lt;="&amp;B1349,Invoices!$F$6:$F$305,"&gt;="&amp;B1349)),IF(COUNTIFS(Invoices!$C$6:$C$305,C1349,Invoices!$E$6:$E$305,"&lt;="&amp;B1349,Invoices!$F$6:$F$305,"&gt;="&amp;B1349)&gt;1,"Two invoices",""))))</f>
        <v/>
      </c>
      <c r="Q1349" s="15">
        <f>IF(B1349="","",IF(J1349&lt;&gt;"","Not billable",IF(P1349="","To invoice",IF(P1349="Two invoices","Check dates",IF(ISNA(MATCH(P1349,Invoices!$B$6:$B$305,0)),"Check number",IF(INDEX(Invoices!$M$6:$M$305,MATCH(P1349,Invoices!$B$6:$B$305,0))="Paid","Paid",IF(INDEX(Invoices!$M$6:$M$305,MATCH(P1349,Invoices!$B$6:$B$305,0))="Draft","Draft","Invoiced")))))))</f>
        <v/>
      </c>
      <c r="R1349" s="1">
        <f>IF(AND(B1349&lt;&gt;"",P1349&lt;&gt;"",P1349=Invoice!$G$4),B1349+MOD(N(F1349),1)+ROW()/10000000,"")</f>
        <v/>
      </c>
      <c r="S1349">
        <f>IF(R1349="","",IF(D1349="","Other work",D1349)&amp;IF(AND(K1349&lt;&gt;"",E1349&lt;&gt;""),", "&amp;E1349,""))</f>
        <v/>
      </c>
      <c r="T1349">
        <f>IF(R1349="","",IF(COUNTIFS(R$6:R1348,"&gt;0",S$6:S1348,S1349,N$6:N1348,N1349)=0,R1349,""))</f>
        <v/>
      </c>
      <c r="U1349">
        <f>IF(B1349="","",IF(J1349&lt;&gt;"",0,M1349))</f>
        <v/>
      </c>
    </row>
    <row r="1350">
      <c r="A1350" s="1" t="n"/>
      <c r="B1350" s="16" t="n"/>
      <c r="C1350" s="17" t="n"/>
      <c r="D1350" s="18" t="n"/>
      <c r="E1350" s="18" t="n"/>
      <c r="F1350" s="19" t="n"/>
      <c r="G1350" s="19" t="n"/>
      <c r="H1350" s="20" t="n"/>
      <c r="I1350" s="21" t="n"/>
      <c r="J1350" s="22" t="n"/>
      <c r="K1350" s="23" t="n"/>
      <c r="L1350" s="18" t="n"/>
      <c r="M1350" s="24">
        <f>IF(B1350="","",IF(AND(F1350&lt;&gt;"",G1350&lt;&gt;""),MAX(0,ROUND(MOD(G1350-F1350,1)*24-N(H1350)/60,2)),N(I1350)))</f>
        <v/>
      </c>
      <c r="N1350" s="14">
        <f>IF(B1350="","",IF(K1350&lt;&gt;"",K1350,IF(N(IFERROR(INDEX(Projects!$D$6:$D$65,MATCH(D1350,Projects!$B$6:$B$65,0)),""))&gt;0,IFERROR(INDEX(Projects!$D$6:$D$65,MATCH(D1350,Projects!$B$6:$B$65,0)),""),IFERROR(INDEX(Clients!$G$6:$G$45,MATCH(C1350,Clients!$B$6:$B$45,0)),0))))</f>
        <v/>
      </c>
      <c r="O1350" s="14">
        <f>IF(B1350="","",IF(J1350&lt;&gt;"",0,ROUND(M1350*N1350,2)))</f>
        <v/>
      </c>
      <c r="P1350" s="15">
        <f>IF(OR(B1350="",J1350&lt;&gt;""),"",IF(L1350&lt;&gt;"",L1350,IF(COUNTIFS(Invoices!$C$6:$C$305,C1350,Invoices!$E$6:$E$305,"&lt;="&amp;B1350,Invoices!$F$6:$F$305,"&gt;="&amp;B1350)=1,INDEX(Invoices!$B$6:$B$305,SUMIFS(Invoices!$O$6:$O$305,Invoices!$C$6:$C$305,C1350,Invoices!$E$6:$E$305,"&lt;="&amp;B1350,Invoices!$F$6:$F$305,"&gt;="&amp;B1350)),IF(COUNTIFS(Invoices!$C$6:$C$305,C1350,Invoices!$E$6:$E$305,"&lt;="&amp;B1350,Invoices!$F$6:$F$305,"&gt;="&amp;B1350)&gt;1,"Two invoices",""))))</f>
        <v/>
      </c>
      <c r="Q1350" s="15">
        <f>IF(B1350="","",IF(J1350&lt;&gt;"","Not billable",IF(P1350="","To invoice",IF(P1350="Two invoices","Check dates",IF(ISNA(MATCH(P1350,Invoices!$B$6:$B$305,0)),"Check number",IF(INDEX(Invoices!$M$6:$M$305,MATCH(P1350,Invoices!$B$6:$B$305,0))="Paid","Paid",IF(INDEX(Invoices!$M$6:$M$305,MATCH(P1350,Invoices!$B$6:$B$305,0))="Draft","Draft","Invoiced")))))))</f>
        <v/>
      </c>
      <c r="R1350" s="1">
        <f>IF(AND(B1350&lt;&gt;"",P1350&lt;&gt;"",P1350=Invoice!$G$4),B1350+MOD(N(F1350),1)+ROW()/10000000,"")</f>
        <v/>
      </c>
      <c r="S1350">
        <f>IF(R1350="","",IF(D1350="","Other work",D1350)&amp;IF(AND(K1350&lt;&gt;"",E1350&lt;&gt;""),", "&amp;E1350,""))</f>
        <v/>
      </c>
      <c r="T1350">
        <f>IF(R1350="","",IF(COUNTIFS(R$6:R1349,"&gt;0",S$6:S1349,S1350,N$6:N1349,N1350)=0,R1350,""))</f>
        <v/>
      </c>
      <c r="U1350">
        <f>IF(B1350="","",IF(J1350&lt;&gt;"",0,M1350))</f>
        <v/>
      </c>
    </row>
    <row r="1351">
      <c r="A1351" s="1" t="n"/>
      <c r="B1351" s="16" t="n"/>
      <c r="C1351" s="17" t="n"/>
      <c r="D1351" s="18" t="n"/>
      <c r="E1351" s="18" t="n"/>
      <c r="F1351" s="19" t="n"/>
      <c r="G1351" s="19" t="n"/>
      <c r="H1351" s="20" t="n"/>
      <c r="I1351" s="21" t="n"/>
      <c r="J1351" s="22" t="n"/>
      <c r="K1351" s="23" t="n"/>
      <c r="L1351" s="18" t="n"/>
      <c r="M1351" s="24">
        <f>IF(B1351="","",IF(AND(F1351&lt;&gt;"",G1351&lt;&gt;""),MAX(0,ROUND(MOD(G1351-F1351,1)*24-N(H1351)/60,2)),N(I1351)))</f>
        <v/>
      </c>
      <c r="N1351" s="14">
        <f>IF(B1351="","",IF(K1351&lt;&gt;"",K1351,IF(N(IFERROR(INDEX(Projects!$D$6:$D$65,MATCH(D1351,Projects!$B$6:$B$65,0)),""))&gt;0,IFERROR(INDEX(Projects!$D$6:$D$65,MATCH(D1351,Projects!$B$6:$B$65,0)),""),IFERROR(INDEX(Clients!$G$6:$G$45,MATCH(C1351,Clients!$B$6:$B$45,0)),0))))</f>
        <v/>
      </c>
      <c r="O1351" s="14">
        <f>IF(B1351="","",IF(J1351&lt;&gt;"",0,ROUND(M1351*N1351,2)))</f>
        <v/>
      </c>
      <c r="P1351" s="15">
        <f>IF(OR(B1351="",J1351&lt;&gt;""),"",IF(L1351&lt;&gt;"",L1351,IF(COUNTIFS(Invoices!$C$6:$C$305,C1351,Invoices!$E$6:$E$305,"&lt;="&amp;B1351,Invoices!$F$6:$F$305,"&gt;="&amp;B1351)=1,INDEX(Invoices!$B$6:$B$305,SUMIFS(Invoices!$O$6:$O$305,Invoices!$C$6:$C$305,C1351,Invoices!$E$6:$E$305,"&lt;="&amp;B1351,Invoices!$F$6:$F$305,"&gt;="&amp;B1351)),IF(COUNTIFS(Invoices!$C$6:$C$305,C1351,Invoices!$E$6:$E$305,"&lt;="&amp;B1351,Invoices!$F$6:$F$305,"&gt;="&amp;B1351)&gt;1,"Two invoices",""))))</f>
        <v/>
      </c>
      <c r="Q1351" s="15">
        <f>IF(B1351="","",IF(J1351&lt;&gt;"","Not billable",IF(P1351="","To invoice",IF(P1351="Two invoices","Check dates",IF(ISNA(MATCH(P1351,Invoices!$B$6:$B$305,0)),"Check number",IF(INDEX(Invoices!$M$6:$M$305,MATCH(P1351,Invoices!$B$6:$B$305,0))="Paid","Paid",IF(INDEX(Invoices!$M$6:$M$305,MATCH(P1351,Invoices!$B$6:$B$305,0))="Draft","Draft","Invoiced")))))))</f>
        <v/>
      </c>
      <c r="R1351" s="1">
        <f>IF(AND(B1351&lt;&gt;"",P1351&lt;&gt;"",P1351=Invoice!$G$4),B1351+MOD(N(F1351),1)+ROW()/10000000,"")</f>
        <v/>
      </c>
      <c r="S1351">
        <f>IF(R1351="","",IF(D1351="","Other work",D1351)&amp;IF(AND(K1351&lt;&gt;"",E1351&lt;&gt;""),", "&amp;E1351,""))</f>
        <v/>
      </c>
      <c r="T1351">
        <f>IF(R1351="","",IF(COUNTIFS(R$6:R1350,"&gt;0",S$6:S1350,S1351,N$6:N1350,N1351)=0,R1351,""))</f>
        <v/>
      </c>
      <c r="U1351">
        <f>IF(B1351="","",IF(J1351&lt;&gt;"",0,M1351))</f>
        <v/>
      </c>
    </row>
    <row r="1352">
      <c r="A1352" s="1" t="n"/>
      <c r="B1352" s="16" t="n"/>
      <c r="C1352" s="17" t="n"/>
      <c r="D1352" s="18" t="n"/>
      <c r="E1352" s="18" t="n"/>
      <c r="F1352" s="19" t="n"/>
      <c r="G1352" s="19" t="n"/>
      <c r="H1352" s="20" t="n"/>
      <c r="I1352" s="21" t="n"/>
      <c r="J1352" s="22" t="n"/>
      <c r="K1352" s="23" t="n"/>
      <c r="L1352" s="18" t="n"/>
      <c r="M1352" s="24">
        <f>IF(B1352="","",IF(AND(F1352&lt;&gt;"",G1352&lt;&gt;""),MAX(0,ROUND(MOD(G1352-F1352,1)*24-N(H1352)/60,2)),N(I1352)))</f>
        <v/>
      </c>
      <c r="N1352" s="14">
        <f>IF(B1352="","",IF(K1352&lt;&gt;"",K1352,IF(N(IFERROR(INDEX(Projects!$D$6:$D$65,MATCH(D1352,Projects!$B$6:$B$65,0)),""))&gt;0,IFERROR(INDEX(Projects!$D$6:$D$65,MATCH(D1352,Projects!$B$6:$B$65,0)),""),IFERROR(INDEX(Clients!$G$6:$G$45,MATCH(C1352,Clients!$B$6:$B$45,0)),0))))</f>
        <v/>
      </c>
      <c r="O1352" s="14">
        <f>IF(B1352="","",IF(J1352&lt;&gt;"",0,ROUND(M1352*N1352,2)))</f>
        <v/>
      </c>
      <c r="P1352" s="15">
        <f>IF(OR(B1352="",J1352&lt;&gt;""),"",IF(L1352&lt;&gt;"",L1352,IF(COUNTIFS(Invoices!$C$6:$C$305,C1352,Invoices!$E$6:$E$305,"&lt;="&amp;B1352,Invoices!$F$6:$F$305,"&gt;="&amp;B1352)=1,INDEX(Invoices!$B$6:$B$305,SUMIFS(Invoices!$O$6:$O$305,Invoices!$C$6:$C$305,C1352,Invoices!$E$6:$E$305,"&lt;="&amp;B1352,Invoices!$F$6:$F$305,"&gt;="&amp;B1352)),IF(COUNTIFS(Invoices!$C$6:$C$305,C1352,Invoices!$E$6:$E$305,"&lt;="&amp;B1352,Invoices!$F$6:$F$305,"&gt;="&amp;B1352)&gt;1,"Two invoices",""))))</f>
        <v/>
      </c>
      <c r="Q1352" s="15">
        <f>IF(B1352="","",IF(J1352&lt;&gt;"","Not billable",IF(P1352="","To invoice",IF(P1352="Two invoices","Check dates",IF(ISNA(MATCH(P1352,Invoices!$B$6:$B$305,0)),"Check number",IF(INDEX(Invoices!$M$6:$M$305,MATCH(P1352,Invoices!$B$6:$B$305,0))="Paid","Paid",IF(INDEX(Invoices!$M$6:$M$305,MATCH(P1352,Invoices!$B$6:$B$305,0))="Draft","Draft","Invoiced")))))))</f>
        <v/>
      </c>
      <c r="R1352" s="1">
        <f>IF(AND(B1352&lt;&gt;"",P1352&lt;&gt;"",P1352=Invoice!$G$4),B1352+MOD(N(F1352),1)+ROW()/10000000,"")</f>
        <v/>
      </c>
      <c r="S1352">
        <f>IF(R1352="","",IF(D1352="","Other work",D1352)&amp;IF(AND(K1352&lt;&gt;"",E1352&lt;&gt;""),", "&amp;E1352,""))</f>
        <v/>
      </c>
      <c r="T1352">
        <f>IF(R1352="","",IF(COUNTIFS(R$6:R1351,"&gt;0",S$6:S1351,S1352,N$6:N1351,N1352)=0,R1352,""))</f>
        <v/>
      </c>
      <c r="U1352">
        <f>IF(B1352="","",IF(J1352&lt;&gt;"",0,M1352))</f>
        <v/>
      </c>
    </row>
    <row r="1353">
      <c r="A1353" s="1" t="n"/>
      <c r="B1353" s="16" t="n"/>
      <c r="C1353" s="17" t="n"/>
      <c r="D1353" s="18" t="n"/>
      <c r="E1353" s="18" t="n"/>
      <c r="F1353" s="19" t="n"/>
      <c r="G1353" s="19" t="n"/>
      <c r="H1353" s="20" t="n"/>
      <c r="I1353" s="21" t="n"/>
      <c r="J1353" s="22" t="n"/>
      <c r="K1353" s="23" t="n"/>
      <c r="L1353" s="18" t="n"/>
      <c r="M1353" s="24">
        <f>IF(B1353="","",IF(AND(F1353&lt;&gt;"",G1353&lt;&gt;""),MAX(0,ROUND(MOD(G1353-F1353,1)*24-N(H1353)/60,2)),N(I1353)))</f>
        <v/>
      </c>
      <c r="N1353" s="14">
        <f>IF(B1353="","",IF(K1353&lt;&gt;"",K1353,IF(N(IFERROR(INDEX(Projects!$D$6:$D$65,MATCH(D1353,Projects!$B$6:$B$65,0)),""))&gt;0,IFERROR(INDEX(Projects!$D$6:$D$65,MATCH(D1353,Projects!$B$6:$B$65,0)),""),IFERROR(INDEX(Clients!$G$6:$G$45,MATCH(C1353,Clients!$B$6:$B$45,0)),0))))</f>
        <v/>
      </c>
      <c r="O1353" s="14">
        <f>IF(B1353="","",IF(J1353&lt;&gt;"",0,ROUND(M1353*N1353,2)))</f>
        <v/>
      </c>
      <c r="P1353" s="15">
        <f>IF(OR(B1353="",J1353&lt;&gt;""),"",IF(L1353&lt;&gt;"",L1353,IF(COUNTIFS(Invoices!$C$6:$C$305,C1353,Invoices!$E$6:$E$305,"&lt;="&amp;B1353,Invoices!$F$6:$F$305,"&gt;="&amp;B1353)=1,INDEX(Invoices!$B$6:$B$305,SUMIFS(Invoices!$O$6:$O$305,Invoices!$C$6:$C$305,C1353,Invoices!$E$6:$E$305,"&lt;="&amp;B1353,Invoices!$F$6:$F$305,"&gt;="&amp;B1353)),IF(COUNTIFS(Invoices!$C$6:$C$305,C1353,Invoices!$E$6:$E$305,"&lt;="&amp;B1353,Invoices!$F$6:$F$305,"&gt;="&amp;B1353)&gt;1,"Two invoices",""))))</f>
        <v/>
      </c>
      <c r="Q1353" s="15">
        <f>IF(B1353="","",IF(J1353&lt;&gt;"","Not billable",IF(P1353="","To invoice",IF(P1353="Two invoices","Check dates",IF(ISNA(MATCH(P1353,Invoices!$B$6:$B$305,0)),"Check number",IF(INDEX(Invoices!$M$6:$M$305,MATCH(P1353,Invoices!$B$6:$B$305,0))="Paid","Paid",IF(INDEX(Invoices!$M$6:$M$305,MATCH(P1353,Invoices!$B$6:$B$305,0))="Draft","Draft","Invoiced")))))))</f>
        <v/>
      </c>
      <c r="R1353" s="1">
        <f>IF(AND(B1353&lt;&gt;"",P1353&lt;&gt;"",P1353=Invoice!$G$4),B1353+MOD(N(F1353),1)+ROW()/10000000,"")</f>
        <v/>
      </c>
      <c r="S1353">
        <f>IF(R1353="","",IF(D1353="","Other work",D1353)&amp;IF(AND(K1353&lt;&gt;"",E1353&lt;&gt;""),", "&amp;E1353,""))</f>
        <v/>
      </c>
      <c r="T1353">
        <f>IF(R1353="","",IF(COUNTIFS(R$6:R1352,"&gt;0",S$6:S1352,S1353,N$6:N1352,N1353)=0,R1353,""))</f>
        <v/>
      </c>
      <c r="U1353">
        <f>IF(B1353="","",IF(J1353&lt;&gt;"",0,M1353))</f>
        <v/>
      </c>
    </row>
    <row r="1354">
      <c r="A1354" s="1" t="n"/>
      <c r="B1354" s="16" t="n"/>
      <c r="C1354" s="17" t="n"/>
      <c r="D1354" s="18" t="n"/>
      <c r="E1354" s="18" t="n"/>
      <c r="F1354" s="19" t="n"/>
      <c r="G1354" s="19" t="n"/>
      <c r="H1354" s="20" t="n"/>
      <c r="I1354" s="21" t="n"/>
      <c r="J1354" s="22" t="n"/>
      <c r="K1354" s="23" t="n"/>
      <c r="L1354" s="18" t="n"/>
      <c r="M1354" s="24">
        <f>IF(B1354="","",IF(AND(F1354&lt;&gt;"",G1354&lt;&gt;""),MAX(0,ROUND(MOD(G1354-F1354,1)*24-N(H1354)/60,2)),N(I1354)))</f>
        <v/>
      </c>
      <c r="N1354" s="14">
        <f>IF(B1354="","",IF(K1354&lt;&gt;"",K1354,IF(N(IFERROR(INDEX(Projects!$D$6:$D$65,MATCH(D1354,Projects!$B$6:$B$65,0)),""))&gt;0,IFERROR(INDEX(Projects!$D$6:$D$65,MATCH(D1354,Projects!$B$6:$B$65,0)),""),IFERROR(INDEX(Clients!$G$6:$G$45,MATCH(C1354,Clients!$B$6:$B$45,0)),0))))</f>
        <v/>
      </c>
      <c r="O1354" s="14">
        <f>IF(B1354="","",IF(J1354&lt;&gt;"",0,ROUND(M1354*N1354,2)))</f>
        <v/>
      </c>
      <c r="P1354" s="15">
        <f>IF(OR(B1354="",J1354&lt;&gt;""),"",IF(L1354&lt;&gt;"",L1354,IF(COUNTIFS(Invoices!$C$6:$C$305,C1354,Invoices!$E$6:$E$305,"&lt;="&amp;B1354,Invoices!$F$6:$F$305,"&gt;="&amp;B1354)=1,INDEX(Invoices!$B$6:$B$305,SUMIFS(Invoices!$O$6:$O$305,Invoices!$C$6:$C$305,C1354,Invoices!$E$6:$E$305,"&lt;="&amp;B1354,Invoices!$F$6:$F$305,"&gt;="&amp;B1354)),IF(COUNTIFS(Invoices!$C$6:$C$305,C1354,Invoices!$E$6:$E$305,"&lt;="&amp;B1354,Invoices!$F$6:$F$305,"&gt;="&amp;B1354)&gt;1,"Two invoices",""))))</f>
        <v/>
      </c>
      <c r="Q1354" s="15">
        <f>IF(B1354="","",IF(J1354&lt;&gt;"","Not billable",IF(P1354="","To invoice",IF(P1354="Two invoices","Check dates",IF(ISNA(MATCH(P1354,Invoices!$B$6:$B$305,0)),"Check number",IF(INDEX(Invoices!$M$6:$M$305,MATCH(P1354,Invoices!$B$6:$B$305,0))="Paid","Paid",IF(INDEX(Invoices!$M$6:$M$305,MATCH(P1354,Invoices!$B$6:$B$305,0))="Draft","Draft","Invoiced")))))))</f>
        <v/>
      </c>
      <c r="R1354" s="1">
        <f>IF(AND(B1354&lt;&gt;"",P1354&lt;&gt;"",P1354=Invoice!$G$4),B1354+MOD(N(F1354),1)+ROW()/10000000,"")</f>
        <v/>
      </c>
      <c r="S1354">
        <f>IF(R1354="","",IF(D1354="","Other work",D1354)&amp;IF(AND(K1354&lt;&gt;"",E1354&lt;&gt;""),", "&amp;E1354,""))</f>
        <v/>
      </c>
      <c r="T1354">
        <f>IF(R1354="","",IF(COUNTIFS(R$6:R1353,"&gt;0",S$6:S1353,S1354,N$6:N1353,N1354)=0,R1354,""))</f>
        <v/>
      </c>
      <c r="U1354">
        <f>IF(B1354="","",IF(J1354&lt;&gt;"",0,M1354))</f>
        <v/>
      </c>
    </row>
    <row r="1355">
      <c r="A1355" s="1" t="n"/>
      <c r="B1355" s="16" t="n"/>
      <c r="C1355" s="17" t="n"/>
      <c r="D1355" s="18" t="n"/>
      <c r="E1355" s="18" t="n"/>
      <c r="F1355" s="19" t="n"/>
      <c r="G1355" s="19" t="n"/>
      <c r="H1355" s="20" t="n"/>
      <c r="I1355" s="21" t="n"/>
      <c r="J1355" s="22" t="n"/>
      <c r="K1355" s="23" t="n"/>
      <c r="L1355" s="18" t="n"/>
      <c r="M1355" s="24">
        <f>IF(B1355="","",IF(AND(F1355&lt;&gt;"",G1355&lt;&gt;""),MAX(0,ROUND(MOD(G1355-F1355,1)*24-N(H1355)/60,2)),N(I1355)))</f>
        <v/>
      </c>
      <c r="N1355" s="14">
        <f>IF(B1355="","",IF(K1355&lt;&gt;"",K1355,IF(N(IFERROR(INDEX(Projects!$D$6:$D$65,MATCH(D1355,Projects!$B$6:$B$65,0)),""))&gt;0,IFERROR(INDEX(Projects!$D$6:$D$65,MATCH(D1355,Projects!$B$6:$B$65,0)),""),IFERROR(INDEX(Clients!$G$6:$G$45,MATCH(C1355,Clients!$B$6:$B$45,0)),0))))</f>
        <v/>
      </c>
      <c r="O1355" s="14">
        <f>IF(B1355="","",IF(J1355&lt;&gt;"",0,ROUND(M1355*N1355,2)))</f>
        <v/>
      </c>
      <c r="P1355" s="15">
        <f>IF(OR(B1355="",J1355&lt;&gt;""),"",IF(L1355&lt;&gt;"",L1355,IF(COUNTIFS(Invoices!$C$6:$C$305,C1355,Invoices!$E$6:$E$305,"&lt;="&amp;B1355,Invoices!$F$6:$F$305,"&gt;="&amp;B1355)=1,INDEX(Invoices!$B$6:$B$305,SUMIFS(Invoices!$O$6:$O$305,Invoices!$C$6:$C$305,C1355,Invoices!$E$6:$E$305,"&lt;="&amp;B1355,Invoices!$F$6:$F$305,"&gt;="&amp;B1355)),IF(COUNTIFS(Invoices!$C$6:$C$305,C1355,Invoices!$E$6:$E$305,"&lt;="&amp;B1355,Invoices!$F$6:$F$305,"&gt;="&amp;B1355)&gt;1,"Two invoices",""))))</f>
        <v/>
      </c>
      <c r="Q1355" s="15">
        <f>IF(B1355="","",IF(J1355&lt;&gt;"","Not billable",IF(P1355="","To invoice",IF(P1355="Two invoices","Check dates",IF(ISNA(MATCH(P1355,Invoices!$B$6:$B$305,0)),"Check number",IF(INDEX(Invoices!$M$6:$M$305,MATCH(P1355,Invoices!$B$6:$B$305,0))="Paid","Paid",IF(INDEX(Invoices!$M$6:$M$305,MATCH(P1355,Invoices!$B$6:$B$305,0))="Draft","Draft","Invoiced")))))))</f>
        <v/>
      </c>
      <c r="R1355" s="1">
        <f>IF(AND(B1355&lt;&gt;"",P1355&lt;&gt;"",P1355=Invoice!$G$4),B1355+MOD(N(F1355),1)+ROW()/10000000,"")</f>
        <v/>
      </c>
      <c r="S1355">
        <f>IF(R1355="","",IF(D1355="","Other work",D1355)&amp;IF(AND(K1355&lt;&gt;"",E1355&lt;&gt;""),", "&amp;E1355,""))</f>
        <v/>
      </c>
      <c r="T1355">
        <f>IF(R1355="","",IF(COUNTIFS(R$6:R1354,"&gt;0",S$6:S1354,S1355,N$6:N1354,N1355)=0,R1355,""))</f>
        <v/>
      </c>
      <c r="U1355">
        <f>IF(B1355="","",IF(J1355&lt;&gt;"",0,M1355))</f>
        <v/>
      </c>
    </row>
    <row r="1356">
      <c r="A1356" s="1" t="n"/>
      <c r="B1356" s="16" t="n"/>
      <c r="C1356" s="17" t="n"/>
      <c r="D1356" s="18" t="n"/>
      <c r="E1356" s="18" t="n"/>
      <c r="F1356" s="19" t="n"/>
      <c r="G1356" s="19" t="n"/>
      <c r="H1356" s="20" t="n"/>
      <c r="I1356" s="21" t="n"/>
      <c r="J1356" s="22" t="n"/>
      <c r="K1356" s="23" t="n"/>
      <c r="L1356" s="18" t="n"/>
      <c r="M1356" s="24">
        <f>IF(B1356="","",IF(AND(F1356&lt;&gt;"",G1356&lt;&gt;""),MAX(0,ROUND(MOD(G1356-F1356,1)*24-N(H1356)/60,2)),N(I1356)))</f>
        <v/>
      </c>
      <c r="N1356" s="14">
        <f>IF(B1356="","",IF(K1356&lt;&gt;"",K1356,IF(N(IFERROR(INDEX(Projects!$D$6:$D$65,MATCH(D1356,Projects!$B$6:$B$65,0)),""))&gt;0,IFERROR(INDEX(Projects!$D$6:$D$65,MATCH(D1356,Projects!$B$6:$B$65,0)),""),IFERROR(INDEX(Clients!$G$6:$G$45,MATCH(C1356,Clients!$B$6:$B$45,0)),0))))</f>
        <v/>
      </c>
      <c r="O1356" s="14">
        <f>IF(B1356="","",IF(J1356&lt;&gt;"",0,ROUND(M1356*N1356,2)))</f>
        <v/>
      </c>
      <c r="P1356" s="15">
        <f>IF(OR(B1356="",J1356&lt;&gt;""),"",IF(L1356&lt;&gt;"",L1356,IF(COUNTIFS(Invoices!$C$6:$C$305,C1356,Invoices!$E$6:$E$305,"&lt;="&amp;B1356,Invoices!$F$6:$F$305,"&gt;="&amp;B1356)=1,INDEX(Invoices!$B$6:$B$305,SUMIFS(Invoices!$O$6:$O$305,Invoices!$C$6:$C$305,C1356,Invoices!$E$6:$E$305,"&lt;="&amp;B1356,Invoices!$F$6:$F$305,"&gt;="&amp;B1356)),IF(COUNTIFS(Invoices!$C$6:$C$305,C1356,Invoices!$E$6:$E$305,"&lt;="&amp;B1356,Invoices!$F$6:$F$305,"&gt;="&amp;B1356)&gt;1,"Two invoices",""))))</f>
        <v/>
      </c>
      <c r="Q1356" s="15">
        <f>IF(B1356="","",IF(J1356&lt;&gt;"","Not billable",IF(P1356="","To invoice",IF(P1356="Two invoices","Check dates",IF(ISNA(MATCH(P1356,Invoices!$B$6:$B$305,0)),"Check number",IF(INDEX(Invoices!$M$6:$M$305,MATCH(P1356,Invoices!$B$6:$B$305,0))="Paid","Paid",IF(INDEX(Invoices!$M$6:$M$305,MATCH(P1356,Invoices!$B$6:$B$305,0))="Draft","Draft","Invoiced")))))))</f>
        <v/>
      </c>
      <c r="R1356" s="1">
        <f>IF(AND(B1356&lt;&gt;"",P1356&lt;&gt;"",P1356=Invoice!$G$4),B1356+MOD(N(F1356),1)+ROW()/10000000,"")</f>
        <v/>
      </c>
      <c r="S1356">
        <f>IF(R1356="","",IF(D1356="","Other work",D1356)&amp;IF(AND(K1356&lt;&gt;"",E1356&lt;&gt;""),", "&amp;E1356,""))</f>
        <v/>
      </c>
      <c r="T1356">
        <f>IF(R1356="","",IF(COUNTIFS(R$6:R1355,"&gt;0",S$6:S1355,S1356,N$6:N1355,N1356)=0,R1356,""))</f>
        <v/>
      </c>
      <c r="U1356">
        <f>IF(B1356="","",IF(J1356&lt;&gt;"",0,M1356))</f>
        <v/>
      </c>
    </row>
    <row r="1357">
      <c r="A1357" s="1" t="n"/>
      <c r="B1357" s="16" t="n"/>
      <c r="C1357" s="17" t="n"/>
      <c r="D1357" s="18" t="n"/>
      <c r="E1357" s="18" t="n"/>
      <c r="F1357" s="19" t="n"/>
      <c r="G1357" s="19" t="n"/>
      <c r="H1357" s="20" t="n"/>
      <c r="I1357" s="21" t="n"/>
      <c r="J1357" s="22" t="n"/>
      <c r="K1357" s="23" t="n"/>
      <c r="L1357" s="18" t="n"/>
      <c r="M1357" s="24">
        <f>IF(B1357="","",IF(AND(F1357&lt;&gt;"",G1357&lt;&gt;""),MAX(0,ROUND(MOD(G1357-F1357,1)*24-N(H1357)/60,2)),N(I1357)))</f>
        <v/>
      </c>
      <c r="N1357" s="14">
        <f>IF(B1357="","",IF(K1357&lt;&gt;"",K1357,IF(N(IFERROR(INDEX(Projects!$D$6:$D$65,MATCH(D1357,Projects!$B$6:$B$65,0)),""))&gt;0,IFERROR(INDEX(Projects!$D$6:$D$65,MATCH(D1357,Projects!$B$6:$B$65,0)),""),IFERROR(INDEX(Clients!$G$6:$G$45,MATCH(C1357,Clients!$B$6:$B$45,0)),0))))</f>
        <v/>
      </c>
      <c r="O1357" s="14">
        <f>IF(B1357="","",IF(J1357&lt;&gt;"",0,ROUND(M1357*N1357,2)))</f>
        <v/>
      </c>
      <c r="P1357" s="15">
        <f>IF(OR(B1357="",J1357&lt;&gt;""),"",IF(L1357&lt;&gt;"",L1357,IF(COUNTIFS(Invoices!$C$6:$C$305,C1357,Invoices!$E$6:$E$305,"&lt;="&amp;B1357,Invoices!$F$6:$F$305,"&gt;="&amp;B1357)=1,INDEX(Invoices!$B$6:$B$305,SUMIFS(Invoices!$O$6:$O$305,Invoices!$C$6:$C$305,C1357,Invoices!$E$6:$E$305,"&lt;="&amp;B1357,Invoices!$F$6:$F$305,"&gt;="&amp;B1357)),IF(COUNTIFS(Invoices!$C$6:$C$305,C1357,Invoices!$E$6:$E$305,"&lt;="&amp;B1357,Invoices!$F$6:$F$305,"&gt;="&amp;B1357)&gt;1,"Two invoices",""))))</f>
        <v/>
      </c>
      <c r="Q1357" s="15">
        <f>IF(B1357="","",IF(J1357&lt;&gt;"","Not billable",IF(P1357="","To invoice",IF(P1357="Two invoices","Check dates",IF(ISNA(MATCH(P1357,Invoices!$B$6:$B$305,0)),"Check number",IF(INDEX(Invoices!$M$6:$M$305,MATCH(P1357,Invoices!$B$6:$B$305,0))="Paid","Paid",IF(INDEX(Invoices!$M$6:$M$305,MATCH(P1357,Invoices!$B$6:$B$305,0))="Draft","Draft","Invoiced")))))))</f>
        <v/>
      </c>
      <c r="R1357" s="1">
        <f>IF(AND(B1357&lt;&gt;"",P1357&lt;&gt;"",P1357=Invoice!$G$4),B1357+MOD(N(F1357),1)+ROW()/10000000,"")</f>
        <v/>
      </c>
      <c r="S1357">
        <f>IF(R1357="","",IF(D1357="","Other work",D1357)&amp;IF(AND(K1357&lt;&gt;"",E1357&lt;&gt;""),", "&amp;E1357,""))</f>
        <v/>
      </c>
      <c r="T1357">
        <f>IF(R1357="","",IF(COUNTIFS(R$6:R1356,"&gt;0",S$6:S1356,S1357,N$6:N1356,N1357)=0,R1357,""))</f>
        <v/>
      </c>
      <c r="U1357">
        <f>IF(B1357="","",IF(J1357&lt;&gt;"",0,M1357))</f>
        <v/>
      </c>
    </row>
    <row r="1358">
      <c r="A1358" s="1" t="n"/>
      <c r="B1358" s="16" t="n"/>
      <c r="C1358" s="17" t="n"/>
      <c r="D1358" s="18" t="n"/>
      <c r="E1358" s="18" t="n"/>
      <c r="F1358" s="19" t="n"/>
      <c r="G1358" s="19" t="n"/>
      <c r="H1358" s="20" t="n"/>
      <c r="I1358" s="21" t="n"/>
      <c r="J1358" s="22" t="n"/>
      <c r="K1358" s="23" t="n"/>
      <c r="L1358" s="18" t="n"/>
      <c r="M1358" s="24">
        <f>IF(B1358="","",IF(AND(F1358&lt;&gt;"",G1358&lt;&gt;""),MAX(0,ROUND(MOD(G1358-F1358,1)*24-N(H1358)/60,2)),N(I1358)))</f>
        <v/>
      </c>
      <c r="N1358" s="14">
        <f>IF(B1358="","",IF(K1358&lt;&gt;"",K1358,IF(N(IFERROR(INDEX(Projects!$D$6:$D$65,MATCH(D1358,Projects!$B$6:$B$65,0)),""))&gt;0,IFERROR(INDEX(Projects!$D$6:$D$65,MATCH(D1358,Projects!$B$6:$B$65,0)),""),IFERROR(INDEX(Clients!$G$6:$G$45,MATCH(C1358,Clients!$B$6:$B$45,0)),0))))</f>
        <v/>
      </c>
      <c r="O1358" s="14">
        <f>IF(B1358="","",IF(J1358&lt;&gt;"",0,ROUND(M1358*N1358,2)))</f>
        <v/>
      </c>
      <c r="P1358" s="15">
        <f>IF(OR(B1358="",J1358&lt;&gt;""),"",IF(L1358&lt;&gt;"",L1358,IF(COUNTIFS(Invoices!$C$6:$C$305,C1358,Invoices!$E$6:$E$305,"&lt;="&amp;B1358,Invoices!$F$6:$F$305,"&gt;="&amp;B1358)=1,INDEX(Invoices!$B$6:$B$305,SUMIFS(Invoices!$O$6:$O$305,Invoices!$C$6:$C$305,C1358,Invoices!$E$6:$E$305,"&lt;="&amp;B1358,Invoices!$F$6:$F$305,"&gt;="&amp;B1358)),IF(COUNTIFS(Invoices!$C$6:$C$305,C1358,Invoices!$E$6:$E$305,"&lt;="&amp;B1358,Invoices!$F$6:$F$305,"&gt;="&amp;B1358)&gt;1,"Two invoices",""))))</f>
        <v/>
      </c>
      <c r="Q1358" s="15">
        <f>IF(B1358="","",IF(J1358&lt;&gt;"","Not billable",IF(P1358="","To invoice",IF(P1358="Two invoices","Check dates",IF(ISNA(MATCH(P1358,Invoices!$B$6:$B$305,0)),"Check number",IF(INDEX(Invoices!$M$6:$M$305,MATCH(P1358,Invoices!$B$6:$B$305,0))="Paid","Paid",IF(INDEX(Invoices!$M$6:$M$305,MATCH(P1358,Invoices!$B$6:$B$305,0))="Draft","Draft","Invoiced")))))))</f>
        <v/>
      </c>
      <c r="R1358" s="1">
        <f>IF(AND(B1358&lt;&gt;"",P1358&lt;&gt;"",P1358=Invoice!$G$4),B1358+MOD(N(F1358),1)+ROW()/10000000,"")</f>
        <v/>
      </c>
      <c r="S1358">
        <f>IF(R1358="","",IF(D1358="","Other work",D1358)&amp;IF(AND(K1358&lt;&gt;"",E1358&lt;&gt;""),", "&amp;E1358,""))</f>
        <v/>
      </c>
      <c r="T1358">
        <f>IF(R1358="","",IF(COUNTIFS(R$6:R1357,"&gt;0",S$6:S1357,S1358,N$6:N1357,N1358)=0,R1358,""))</f>
        <v/>
      </c>
      <c r="U1358">
        <f>IF(B1358="","",IF(J1358&lt;&gt;"",0,M1358))</f>
        <v/>
      </c>
    </row>
    <row r="1359">
      <c r="A1359" s="1" t="n"/>
      <c r="B1359" s="16" t="n"/>
      <c r="C1359" s="17" t="n"/>
      <c r="D1359" s="18" t="n"/>
      <c r="E1359" s="18" t="n"/>
      <c r="F1359" s="19" t="n"/>
      <c r="G1359" s="19" t="n"/>
      <c r="H1359" s="20" t="n"/>
      <c r="I1359" s="21" t="n"/>
      <c r="J1359" s="22" t="n"/>
      <c r="K1359" s="23" t="n"/>
      <c r="L1359" s="18" t="n"/>
      <c r="M1359" s="24">
        <f>IF(B1359="","",IF(AND(F1359&lt;&gt;"",G1359&lt;&gt;""),MAX(0,ROUND(MOD(G1359-F1359,1)*24-N(H1359)/60,2)),N(I1359)))</f>
        <v/>
      </c>
      <c r="N1359" s="14">
        <f>IF(B1359="","",IF(K1359&lt;&gt;"",K1359,IF(N(IFERROR(INDEX(Projects!$D$6:$D$65,MATCH(D1359,Projects!$B$6:$B$65,0)),""))&gt;0,IFERROR(INDEX(Projects!$D$6:$D$65,MATCH(D1359,Projects!$B$6:$B$65,0)),""),IFERROR(INDEX(Clients!$G$6:$G$45,MATCH(C1359,Clients!$B$6:$B$45,0)),0))))</f>
        <v/>
      </c>
      <c r="O1359" s="14">
        <f>IF(B1359="","",IF(J1359&lt;&gt;"",0,ROUND(M1359*N1359,2)))</f>
        <v/>
      </c>
      <c r="P1359" s="15">
        <f>IF(OR(B1359="",J1359&lt;&gt;""),"",IF(L1359&lt;&gt;"",L1359,IF(COUNTIFS(Invoices!$C$6:$C$305,C1359,Invoices!$E$6:$E$305,"&lt;="&amp;B1359,Invoices!$F$6:$F$305,"&gt;="&amp;B1359)=1,INDEX(Invoices!$B$6:$B$305,SUMIFS(Invoices!$O$6:$O$305,Invoices!$C$6:$C$305,C1359,Invoices!$E$6:$E$305,"&lt;="&amp;B1359,Invoices!$F$6:$F$305,"&gt;="&amp;B1359)),IF(COUNTIFS(Invoices!$C$6:$C$305,C1359,Invoices!$E$6:$E$305,"&lt;="&amp;B1359,Invoices!$F$6:$F$305,"&gt;="&amp;B1359)&gt;1,"Two invoices",""))))</f>
        <v/>
      </c>
      <c r="Q1359" s="15">
        <f>IF(B1359="","",IF(J1359&lt;&gt;"","Not billable",IF(P1359="","To invoice",IF(P1359="Two invoices","Check dates",IF(ISNA(MATCH(P1359,Invoices!$B$6:$B$305,0)),"Check number",IF(INDEX(Invoices!$M$6:$M$305,MATCH(P1359,Invoices!$B$6:$B$305,0))="Paid","Paid",IF(INDEX(Invoices!$M$6:$M$305,MATCH(P1359,Invoices!$B$6:$B$305,0))="Draft","Draft","Invoiced")))))))</f>
        <v/>
      </c>
      <c r="R1359" s="1">
        <f>IF(AND(B1359&lt;&gt;"",P1359&lt;&gt;"",P1359=Invoice!$G$4),B1359+MOD(N(F1359),1)+ROW()/10000000,"")</f>
        <v/>
      </c>
      <c r="S1359">
        <f>IF(R1359="","",IF(D1359="","Other work",D1359)&amp;IF(AND(K1359&lt;&gt;"",E1359&lt;&gt;""),", "&amp;E1359,""))</f>
        <v/>
      </c>
      <c r="T1359">
        <f>IF(R1359="","",IF(COUNTIFS(R$6:R1358,"&gt;0",S$6:S1358,S1359,N$6:N1358,N1359)=0,R1359,""))</f>
        <v/>
      </c>
      <c r="U1359">
        <f>IF(B1359="","",IF(J1359&lt;&gt;"",0,M1359))</f>
        <v/>
      </c>
    </row>
    <row r="1360">
      <c r="A1360" s="1" t="n"/>
      <c r="B1360" s="16" t="n"/>
      <c r="C1360" s="17" t="n"/>
      <c r="D1360" s="18" t="n"/>
      <c r="E1360" s="18" t="n"/>
      <c r="F1360" s="19" t="n"/>
      <c r="G1360" s="19" t="n"/>
      <c r="H1360" s="20" t="n"/>
      <c r="I1360" s="21" t="n"/>
      <c r="J1360" s="22" t="n"/>
      <c r="K1360" s="23" t="n"/>
      <c r="L1360" s="18" t="n"/>
      <c r="M1360" s="24">
        <f>IF(B1360="","",IF(AND(F1360&lt;&gt;"",G1360&lt;&gt;""),MAX(0,ROUND(MOD(G1360-F1360,1)*24-N(H1360)/60,2)),N(I1360)))</f>
        <v/>
      </c>
      <c r="N1360" s="14">
        <f>IF(B1360="","",IF(K1360&lt;&gt;"",K1360,IF(N(IFERROR(INDEX(Projects!$D$6:$D$65,MATCH(D1360,Projects!$B$6:$B$65,0)),""))&gt;0,IFERROR(INDEX(Projects!$D$6:$D$65,MATCH(D1360,Projects!$B$6:$B$65,0)),""),IFERROR(INDEX(Clients!$G$6:$G$45,MATCH(C1360,Clients!$B$6:$B$45,0)),0))))</f>
        <v/>
      </c>
      <c r="O1360" s="14">
        <f>IF(B1360="","",IF(J1360&lt;&gt;"",0,ROUND(M1360*N1360,2)))</f>
        <v/>
      </c>
      <c r="P1360" s="15">
        <f>IF(OR(B1360="",J1360&lt;&gt;""),"",IF(L1360&lt;&gt;"",L1360,IF(COUNTIFS(Invoices!$C$6:$C$305,C1360,Invoices!$E$6:$E$305,"&lt;="&amp;B1360,Invoices!$F$6:$F$305,"&gt;="&amp;B1360)=1,INDEX(Invoices!$B$6:$B$305,SUMIFS(Invoices!$O$6:$O$305,Invoices!$C$6:$C$305,C1360,Invoices!$E$6:$E$305,"&lt;="&amp;B1360,Invoices!$F$6:$F$305,"&gt;="&amp;B1360)),IF(COUNTIFS(Invoices!$C$6:$C$305,C1360,Invoices!$E$6:$E$305,"&lt;="&amp;B1360,Invoices!$F$6:$F$305,"&gt;="&amp;B1360)&gt;1,"Two invoices",""))))</f>
        <v/>
      </c>
      <c r="Q1360" s="15">
        <f>IF(B1360="","",IF(J1360&lt;&gt;"","Not billable",IF(P1360="","To invoice",IF(P1360="Two invoices","Check dates",IF(ISNA(MATCH(P1360,Invoices!$B$6:$B$305,0)),"Check number",IF(INDEX(Invoices!$M$6:$M$305,MATCH(P1360,Invoices!$B$6:$B$305,0))="Paid","Paid",IF(INDEX(Invoices!$M$6:$M$305,MATCH(P1360,Invoices!$B$6:$B$305,0))="Draft","Draft","Invoiced")))))))</f>
        <v/>
      </c>
      <c r="R1360" s="1">
        <f>IF(AND(B1360&lt;&gt;"",P1360&lt;&gt;"",P1360=Invoice!$G$4),B1360+MOD(N(F1360),1)+ROW()/10000000,"")</f>
        <v/>
      </c>
      <c r="S1360">
        <f>IF(R1360="","",IF(D1360="","Other work",D1360)&amp;IF(AND(K1360&lt;&gt;"",E1360&lt;&gt;""),", "&amp;E1360,""))</f>
        <v/>
      </c>
      <c r="T1360">
        <f>IF(R1360="","",IF(COUNTIFS(R$6:R1359,"&gt;0",S$6:S1359,S1360,N$6:N1359,N1360)=0,R1360,""))</f>
        <v/>
      </c>
      <c r="U1360">
        <f>IF(B1360="","",IF(J1360&lt;&gt;"",0,M1360))</f>
        <v/>
      </c>
    </row>
    <row r="1361">
      <c r="A1361" s="1" t="n"/>
      <c r="B1361" s="16" t="n"/>
      <c r="C1361" s="17" t="n"/>
      <c r="D1361" s="18" t="n"/>
      <c r="E1361" s="18" t="n"/>
      <c r="F1361" s="19" t="n"/>
      <c r="G1361" s="19" t="n"/>
      <c r="H1361" s="20" t="n"/>
      <c r="I1361" s="21" t="n"/>
      <c r="J1361" s="22" t="n"/>
      <c r="K1361" s="23" t="n"/>
      <c r="L1361" s="18" t="n"/>
      <c r="M1361" s="24">
        <f>IF(B1361="","",IF(AND(F1361&lt;&gt;"",G1361&lt;&gt;""),MAX(0,ROUND(MOD(G1361-F1361,1)*24-N(H1361)/60,2)),N(I1361)))</f>
        <v/>
      </c>
      <c r="N1361" s="14">
        <f>IF(B1361="","",IF(K1361&lt;&gt;"",K1361,IF(N(IFERROR(INDEX(Projects!$D$6:$D$65,MATCH(D1361,Projects!$B$6:$B$65,0)),""))&gt;0,IFERROR(INDEX(Projects!$D$6:$D$65,MATCH(D1361,Projects!$B$6:$B$65,0)),""),IFERROR(INDEX(Clients!$G$6:$G$45,MATCH(C1361,Clients!$B$6:$B$45,0)),0))))</f>
        <v/>
      </c>
      <c r="O1361" s="14">
        <f>IF(B1361="","",IF(J1361&lt;&gt;"",0,ROUND(M1361*N1361,2)))</f>
        <v/>
      </c>
      <c r="P1361" s="15">
        <f>IF(OR(B1361="",J1361&lt;&gt;""),"",IF(L1361&lt;&gt;"",L1361,IF(COUNTIFS(Invoices!$C$6:$C$305,C1361,Invoices!$E$6:$E$305,"&lt;="&amp;B1361,Invoices!$F$6:$F$305,"&gt;="&amp;B1361)=1,INDEX(Invoices!$B$6:$B$305,SUMIFS(Invoices!$O$6:$O$305,Invoices!$C$6:$C$305,C1361,Invoices!$E$6:$E$305,"&lt;="&amp;B1361,Invoices!$F$6:$F$305,"&gt;="&amp;B1361)),IF(COUNTIFS(Invoices!$C$6:$C$305,C1361,Invoices!$E$6:$E$305,"&lt;="&amp;B1361,Invoices!$F$6:$F$305,"&gt;="&amp;B1361)&gt;1,"Two invoices",""))))</f>
        <v/>
      </c>
      <c r="Q1361" s="15">
        <f>IF(B1361="","",IF(J1361&lt;&gt;"","Not billable",IF(P1361="","To invoice",IF(P1361="Two invoices","Check dates",IF(ISNA(MATCH(P1361,Invoices!$B$6:$B$305,0)),"Check number",IF(INDEX(Invoices!$M$6:$M$305,MATCH(P1361,Invoices!$B$6:$B$305,0))="Paid","Paid",IF(INDEX(Invoices!$M$6:$M$305,MATCH(P1361,Invoices!$B$6:$B$305,0))="Draft","Draft","Invoiced")))))))</f>
        <v/>
      </c>
      <c r="R1361" s="1">
        <f>IF(AND(B1361&lt;&gt;"",P1361&lt;&gt;"",P1361=Invoice!$G$4),B1361+MOD(N(F1361),1)+ROW()/10000000,"")</f>
        <v/>
      </c>
      <c r="S1361">
        <f>IF(R1361="","",IF(D1361="","Other work",D1361)&amp;IF(AND(K1361&lt;&gt;"",E1361&lt;&gt;""),", "&amp;E1361,""))</f>
        <v/>
      </c>
      <c r="T1361">
        <f>IF(R1361="","",IF(COUNTIFS(R$6:R1360,"&gt;0",S$6:S1360,S1361,N$6:N1360,N1361)=0,R1361,""))</f>
        <v/>
      </c>
      <c r="U1361">
        <f>IF(B1361="","",IF(J1361&lt;&gt;"",0,M1361))</f>
        <v/>
      </c>
    </row>
    <row r="1362">
      <c r="A1362" s="1" t="n"/>
      <c r="B1362" s="16" t="n"/>
      <c r="C1362" s="17" t="n"/>
      <c r="D1362" s="18" t="n"/>
      <c r="E1362" s="18" t="n"/>
      <c r="F1362" s="19" t="n"/>
      <c r="G1362" s="19" t="n"/>
      <c r="H1362" s="20" t="n"/>
      <c r="I1362" s="21" t="n"/>
      <c r="J1362" s="22" t="n"/>
      <c r="K1362" s="23" t="n"/>
      <c r="L1362" s="18" t="n"/>
      <c r="M1362" s="24">
        <f>IF(B1362="","",IF(AND(F1362&lt;&gt;"",G1362&lt;&gt;""),MAX(0,ROUND(MOD(G1362-F1362,1)*24-N(H1362)/60,2)),N(I1362)))</f>
        <v/>
      </c>
      <c r="N1362" s="14">
        <f>IF(B1362="","",IF(K1362&lt;&gt;"",K1362,IF(N(IFERROR(INDEX(Projects!$D$6:$D$65,MATCH(D1362,Projects!$B$6:$B$65,0)),""))&gt;0,IFERROR(INDEX(Projects!$D$6:$D$65,MATCH(D1362,Projects!$B$6:$B$65,0)),""),IFERROR(INDEX(Clients!$G$6:$G$45,MATCH(C1362,Clients!$B$6:$B$45,0)),0))))</f>
        <v/>
      </c>
      <c r="O1362" s="14">
        <f>IF(B1362="","",IF(J1362&lt;&gt;"",0,ROUND(M1362*N1362,2)))</f>
        <v/>
      </c>
      <c r="P1362" s="15">
        <f>IF(OR(B1362="",J1362&lt;&gt;""),"",IF(L1362&lt;&gt;"",L1362,IF(COUNTIFS(Invoices!$C$6:$C$305,C1362,Invoices!$E$6:$E$305,"&lt;="&amp;B1362,Invoices!$F$6:$F$305,"&gt;="&amp;B1362)=1,INDEX(Invoices!$B$6:$B$305,SUMIFS(Invoices!$O$6:$O$305,Invoices!$C$6:$C$305,C1362,Invoices!$E$6:$E$305,"&lt;="&amp;B1362,Invoices!$F$6:$F$305,"&gt;="&amp;B1362)),IF(COUNTIFS(Invoices!$C$6:$C$305,C1362,Invoices!$E$6:$E$305,"&lt;="&amp;B1362,Invoices!$F$6:$F$305,"&gt;="&amp;B1362)&gt;1,"Two invoices",""))))</f>
        <v/>
      </c>
      <c r="Q1362" s="15">
        <f>IF(B1362="","",IF(J1362&lt;&gt;"","Not billable",IF(P1362="","To invoice",IF(P1362="Two invoices","Check dates",IF(ISNA(MATCH(P1362,Invoices!$B$6:$B$305,0)),"Check number",IF(INDEX(Invoices!$M$6:$M$305,MATCH(P1362,Invoices!$B$6:$B$305,0))="Paid","Paid",IF(INDEX(Invoices!$M$6:$M$305,MATCH(P1362,Invoices!$B$6:$B$305,0))="Draft","Draft","Invoiced")))))))</f>
        <v/>
      </c>
      <c r="R1362" s="1">
        <f>IF(AND(B1362&lt;&gt;"",P1362&lt;&gt;"",P1362=Invoice!$G$4),B1362+MOD(N(F1362),1)+ROW()/10000000,"")</f>
        <v/>
      </c>
      <c r="S1362">
        <f>IF(R1362="","",IF(D1362="","Other work",D1362)&amp;IF(AND(K1362&lt;&gt;"",E1362&lt;&gt;""),", "&amp;E1362,""))</f>
        <v/>
      </c>
      <c r="T1362">
        <f>IF(R1362="","",IF(COUNTIFS(R$6:R1361,"&gt;0",S$6:S1361,S1362,N$6:N1361,N1362)=0,R1362,""))</f>
        <v/>
      </c>
      <c r="U1362">
        <f>IF(B1362="","",IF(J1362&lt;&gt;"",0,M1362))</f>
        <v/>
      </c>
    </row>
    <row r="1363">
      <c r="A1363" s="1" t="n"/>
      <c r="B1363" s="16" t="n"/>
      <c r="C1363" s="17" t="n"/>
      <c r="D1363" s="18" t="n"/>
      <c r="E1363" s="18" t="n"/>
      <c r="F1363" s="19" t="n"/>
      <c r="G1363" s="19" t="n"/>
      <c r="H1363" s="20" t="n"/>
      <c r="I1363" s="21" t="n"/>
      <c r="J1363" s="22" t="n"/>
      <c r="K1363" s="23" t="n"/>
      <c r="L1363" s="18" t="n"/>
      <c r="M1363" s="24">
        <f>IF(B1363="","",IF(AND(F1363&lt;&gt;"",G1363&lt;&gt;""),MAX(0,ROUND(MOD(G1363-F1363,1)*24-N(H1363)/60,2)),N(I1363)))</f>
        <v/>
      </c>
      <c r="N1363" s="14">
        <f>IF(B1363="","",IF(K1363&lt;&gt;"",K1363,IF(N(IFERROR(INDEX(Projects!$D$6:$D$65,MATCH(D1363,Projects!$B$6:$B$65,0)),""))&gt;0,IFERROR(INDEX(Projects!$D$6:$D$65,MATCH(D1363,Projects!$B$6:$B$65,0)),""),IFERROR(INDEX(Clients!$G$6:$G$45,MATCH(C1363,Clients!$B$6:$B$45,0)),0))))</f>
        <v/>
      </c>
      <c r="O1363" s="14">
        <f>IF(B1363="","",IF(J1363&lt;&gt;"",0,ROUND(M1363*N1363,2)))</f>
        <v/>
      </c>
      <c r="P1363" s="15">
        <f>IF(OR(B1363="",J1363&lt;&gt;""),"",IF(L1363&lt;&gt;"",L1363,IF(COUNTIFS(Invoices!$C$6:$C$305,C1363,Invoices!$E$6:$E$305,"&lt;="&amp;B1363,Invoices!$F$6:$F$305,"&gt;="&amp;B1363)=1,INDEX(Invoices!$B$6:$B$305,SUMIFS(Invoices!$O$6:$O$305,Invoices!$C$6:$C$305,C1363,Invoices!$E$6:$E$305,"&lt;="&amp;B1363,Invoices!$F$6:$F$305,"&gt;="&amp;B1363)),IF(COUNTIFS(Invoices!$C$6:$C$305,C1363,Invoices!$E$6:$E$305,"&lt;="&amp;B1363,Invoices!$F$6:$F$305,"&gt;="&amp;B1363)&gt;1,"Two invoices",""))))</f>
        <v/>
      </c>
      <c r="Q1363" s="15">
        <f>IF(B1363="","",IF(J1363&lt;&gt;"","Not billable",IF(P1363="","To invoice",IF(P1363="Two invoices","Check dates",IF(ISNA(MATCH(P1363,Invoices!$B$6:$B$305,0)),"Check number",IF(INDEX(Invoices!$M$6:$M$305,MATCH(P1363,Invoices!$B$6:$B$305,0))="Paid","Paid",IF(INDEX(Invoices!$M$6:$M$305,MATCH(P1363,Invoices!$B$6:$B$305,0))="Draft","Draft","Invoiced")))))))</f>
        <v/>
      </c>
      <c r="R1363" s="1">
        <f>IF(AND(B1363&lt;&gt;"",P1363&lt;&gt;"",P1363=Invoice!$G$4),B1363+MOD(N(F1363),1)+ROW()/10000000,"")</f>
        <v/>
      </c>
      <c r="S1363">
        <f>IF(R1363="","",IF(D1363="","Other work",D1363)&amp;IF(AND(K1363&lt;&gt;"",E1363&lt;&gt;""),", "&amp;E1363,""))</f>
        <v/>
      </c>
      <c r="T1363">
        <f>IF(R1363="","",IF(COUNTIFS(R$6:R1362,"&gt;0",S$6:S1362,S1363,N$6:N1362,N1363)=0,R1363,""))</f>
        <v/>
      </c>
      <c r="U1363">
        <f>IF(B1363="","",IF(J1363&lt;&gt;"",0,M1363))</f>
        <v/>
      </c>
    </row>
    <row r="1364">
      <c r="A1364" s="1" t="n"/>
      <c r="B1364" s="16" t="n"/>
      <c r="C1364" s="17" t="n"/>
      <c r="D1364" s="18" t="n"/>
      <c r="E1364" s="18" t="n"/>
      <c r="F1364" s="19" t="n"/>
      <c r="G1364" s="19" t="n"/>
      <c r="H1364" s="20" t="n"/>
      <c r="I1364" s="21" t="n"/>
      <c r="J1364" s="22" t="n"/>
      <c r="K1364" s="23" t="n"/>
      <c r="L1364" s="18" t="n"/>
      <c r="M1364" s="24">
        <f>IF(B1364="","",IF(AND(F1364&lt;&gt;"",G1364&lt;&gt;""),MAX(0,ROUND(MOD(G1364-F1364,1)*24-N(H1364)/60,2)),N(I1364)))</f>
        <v/>
      </c>
      <c r="N1364" s="14">
        <f>IF(B1364="","",IF(K1364&lt;&gt;"",K1364,IF(N(IFERROR(INDEX(Projects!$D$6:$D$65,MATCH(D1364,Projects!$B$6:$B$65,0)),""))&gt;0,IFERROR(INDEX(Projects!$D$6:$D$65,MATCH(D1364,Projects!$B$6:$B$65,0)),""),IFERROR(INDEX(Clients!$G$6:$G$45,MATCH(C1364,Clients!$B$6:$B$45,0)),0))))</f>
        <v/>
      </c>
      <c r="O1364" s="14">
        <f>IF(B1364="","",IF(J1364&lt;&gt;"",0,ROUND(M1364*N1364,2)))</f>
        <v/>
      </c>
      <c r="P1364" s="15">
        <f>IF(OR(B1364="",J1364&lt;&gt;""),"",IF(L1364&lt;&gt;"",L1364,IF(COUNTIFS(Invoices!$C$6:$C$305,C1364,Invoices!$E$6:$E$305,"&lt;="&amp;B1364,Invoices!$F$6:$F$305,"&gt;="&amp;B1364)=1,INDEX(Invoices!$B$6:$B$305,SUMIFS(Invoices!$O$6:$O$305,Invoices!$C$6:$C$305,C1364,Invoices!$E$6:$E$305,"&lt;="&amp;B1364,Invoices!$F$6:$F$305,"&gt;="&amp;B1364)),IF(COUNTIFS(Invoices!$C$6:$C$305,C1364,Invoices!$E$6:$E$305,"&lt;="&amp;B1364,Invoices!$F$6:$F$305,"&gt;="&amp;B1364)&gt;1,"Two invoices",""))))</f>
        <v/>
      </c>
      <c r="Q1364" s="15">
        <f>IF(B1364="","",IF(J1364&lt;&gt;"","Not billable",IF(P1364="","To invoice",IF(P1364="Two invoices","Check dates",IF(ISNA(MATCH(P1364,Invoices!$B$6:$B$305,0)),"Check number",IF(INDEX(Invoices!$M$6:$M$305,MATCH(P1364,Invoices!$B$6:$B$305,0))="Paid","Paid",IF(INDEX(Invoices!$M$6:$M$305,MATCH(P1364,Invoices!$B$6:$B$305,0))="Draft","Draft","Invoiced")))))))</f>
        <v/>
      </c>
      <c r="R1364" s="1">
        <f>IF(AND(B1364&lt;&gt;"",P1364&lt;&gt;"",P1364=Invoice!$G$4),B1364+MOD(N(F1364),1)+ROW()/10000000,"")</f>
        <v/>
      </c>
      <c r="S1364">
        <f>IF(R1364="","",IF(D1364="","Other work",D1364)&amp;IF(AND(K1364&lt;&gt;"",E1364&lt;&gt;""),", "&amp;E1364,""))</f>
        <v/>
      </c>
      <c r="T1364">
        <f>IF(R1364="","",IF(COUNTIFS(R$6:R1363,"&gt;0",S$6:S1363,S1364,N$6:N1363,N1364)=0,R1364,""))</f>
        <v/>
      </c>
      <c r="U1364">
        <f>IF(B1364="","",IF(J1364&lt;&gt;"",0,M1364))</f>
        <v/>
      </c>
    </row>
    <row r="1365">
      <c r="A1365" s="1" t="n"/>
      <c r="B1365" s="16" t="n"/>
      <c r="C1365" s="17" t="n"/>
      <c r="D1365" s="18" t="n"/>
      <c r="E1365" s="18" t="n"/>
      <c r="F1365" s="19" t="n"/>
      <c r="G1365" s="19" t="n"/>
      <c r="H1365" s="20" t="n"/>
      <c r="I1365" s="21" t="n"/>
      <c r="J1365" s="22" t="n"/>
      <c r="K1365" s="23" t="n"/>
      <c r="L1365" s="18" t="n"/>
      <c r="M1365" s="24">
        <f>IF(B1365="","",IF(AND(F1365&lt;&gt;"",G1365&lt;&gt;""),MAX(0,ROUND(MOD(G1365-F1365,1)*24-N(H1365)/60,2)),N(I1365)))</f>
        <v/>
      </c>
      <c r="N1365" s="14">
        <f>IF(B1365="","",IF(K1365&lt;&gt;"",K1365,IF(N(IFERROR(INDEX(Projects!$D$6:$D$65,MATCH(D1365,Projects!$B$6:$B$65,0)),""))&gt;0,IFERROR(INDEX(Projects!$D$6:$D$65,MATCH(D1365,Projects!$B$6:$B$65,0)),""),IFERROR(INDEX(Clients!$G$6:$G$45,MATCH(C1365,Clients!$B$6:$B$45,0)),0))))</f>
        <v/>
      </c>
      <c r="O1365" s="14">
        <f>IF(B1365="","",IF(J1365&lt;&gt;"",0,ROUND(M1365*N1365,2)))</f>
        <v/>
      </c>
      <c r="P1365" s="15">
        <f>IF(OR(B1365="",J1365&lt;&gt;""),"",IF(L1365&lt;&gt;"",L1365,IF(COUNTIFS(Invoices!$C$6:$C$305,C1365,Invoices!$E$6:$E$305,"&lt;="&amp;B1365,Invoices!$F$6:$F$305,"&gt;="&amp;B1365)=1,INDEX(Invoices!$B$6:$B$305,SUMIFS(Invoices!$O$6:$O$305,Invoices!$C$6:$C$305,C1365,Invoices!$E$6:$E$305,"&lt;="&amp;B1365,Invoices!$F$6:$F$305,"&gt;="&amp;B1365)),IF(COUNTIFS(Invoices!$C$6:$C$305,C1365,Invoices!$E$6:$E$305,"&lt;="&amp;B1365,Invoices!$F$6:$F$305,"&gt;="&amp;B1365)&gt;1,"Two invoices",""))))</f>
        <v/>
      </c>
      <c r="Q1365" s="15">
        <f>IF(B1365="","",IF(J1365&lt;&gt;"","Not billable",IF(P1365="","To invoice",IF(P1365="Two invoices","Check dates",IF(ISNA(MATCH(P1365,Invoices!$B$6:$B$305,0)),"Check number",IF(INDEX(Invoices!$M$6:$M$305,MATCH(P1365,Invoices!$B$6:$B$305,0))="Paid","Paid",IF(INDEX(Invoices!$M$6:$M$305,MATCH(P1365,Invoices!$B$6:$B$305,0))="Draft","Draft","Invoiced")))))))</f>
        <v/>
      </c>
      <c r="R1365" s="1">
        <f>IF(AND(B1365&lt;&gt;"",P1365&lt;&gt;"",P1365=Invoice!$G$4),B1365+MOD(N(F1365),1)+ROW()/10000000,"")</f>
        <v/>
      </c>
      <c r="S1365">
        <f>IF(R1365="","",IF(D1365="","Other work",D1365)&amp;IF(AND(K1365&lt;&gt;"",E1365&lt;&gt;""),", "&amp;E1365,""))</f>
        <v/>
      </c>
      <c r="T1365">
        <f>IF(R1365="","",IF(COUNTIFS(R$6:R1364,"&gt;0",S$6:S1364,S1365,N$6:N1364,N1365)=0,R1365,""))</f>
        <v/>
      </c>
      <c r="U1365">
        <f>IF(B1365="","",IF(J1365&lt;&gt;"",0,M1365))</f>
        <v/>
      </c>
    </row>
    <row r="1366">
      <c r="A1366" s="1" t="n"/>
      <c r="B1366" s="16" t="n"/>
      <c r="C1366" s="17" t="n"/>
      <c r="D1366" s="18" t="n"/>
      <c r="E1366" s="18" t="n"/>
      <c r="F1366" s="19" t="n"/>
      <c r="G1366" s="19" t="n"/>
      <c r="H1366" s="20" t="n"/>
      <c r="I1366" s="21" t="n"/>
      <c r="J1366" s="22" t="n"/>
      <c r="K1366" s="23" t="n"/>
      <c r="L1366" s="18" t="n"/>
      <c r="M1366" s="24">
        <f>IF(B1366="","",IF(AND(F1366&lt;&gt;"",G1366&lt;&gt;""),MAX(0,ROUND(MOD(G1366-F1366,1)*24-N(H1366)/60,2)),N(I1366)))</f>
        <v/>
      </c>
      <c r="N1366" s="14">
        <f>IF(B1366="","",IF(K1366&lt;&gt;"",K1366,IF(N(IFERROR(INDEX(Projects!$D$6:$D$65,MATCH(D1366,Projects!$B$6:$B$65,0)),""))&gt;0,IFERROR(INDEX(Projects!$D$6:$D$65,MATCH(D1366,Projects!$B$6:$B$65,0)),""),IFERROR(INDEX(Clients!$G$6:$G$45,MATCH(C1366,Clients!$B$6:$B$45,0)),0))))</f>
        <v/>
      </c>
      <c r="O1366" s="14">
        <f>IF(B1366="","",IF(J1366&lt;&gt;"",0,ROUND(M1366*N1366,2)))</f>
        <v/>
      </c>
      <c r="P1366" s="15">
        <f>IF(OR(B1366="",J1366&lt;&gt;""),"",IF(L1366&lt;&gt;"",L1366,IF(COUNTIFS(Invoices!$C$6:$C$305,C1366,Invoices!$E$6:$E$305,"&lt;="&amp;B1366,Invoices!$F$6:$F$305,"&gt;="&amp;B1366)=1,INDEX(Invoices!$B$6:$B$305,SUMIFS(Invoices!$O$6:$O$305,Invoices!$C$6:$C$305,C1366,Invoices!$E$6:$E$305,"&lt;="&amp;B1366,Invoices!$F$6:$F$305,"&gt;="&amp;B1366)),IF(COUNTIFS(Invoices!$C$6:$C$305,C1366,Invoices!$E$6:$E$305,"&lt;="&amp;B1366,Invoices!$F$6:$F$305,"&gt;="&amp;B1366)&gt;1,"Two invoices",""))))</f>
        <v/>
      </c>
      <c r="Q1366" s="15">
        <f>IF(B1366="","",IF(J1366&lt;&gt;"","Not billable",IF(P1366="","To invoice",IF(P1366="Two invoices","Check dates",IF(ISNA(MATCH(P1366,Invoices!$B$6:$B$305,0)),"Check number",IF(INDEX(Invoices!$M$6:$M$305,MATCH(P1366,Invoices!$B$6:$B$305,0))="Paid","Paid",IF(INDEX(Invoices!$M$6:$M$305,MATCH(P1366,Invoices!$B$6:$B$305,0))="Draft","Draft","Invoiced")))))))</f>
        <v/>
      </c>
      <c r="R1366" s="1">
        <f>IF(AND(B1366&lt;&gt;"",P1366&lt;&gt;"",P1366=Invoice!$G$4),B1366+MOD(N(F1366),1)+ROW()/10000000,"")</f>
        <v/>
      </c>
      <c r="S1366">
        <f>IF(R1366="","",IF(D1366="","Other work",D1366)&amp;IF(AND(K1366&lt;&gt;"",E1366&lt;&gt;""),", "&amp;E1366,""))</f>
        <v/>
      </c>
      <c r="T1366">
        <f>IF(R1366="","",IF(COUNTIFS(R$6:R1365,"&gt;0",S$6:S1365,S1366,N$6:N1365,N1366)=0,R1366,""))</f>
        <v/>
      </c>
      <c r="U1366">
        <f>IF(B1366="","",IF(J1366&lt;&gt;"",0,M1366))</f>
        <v/>
      </c>
    </row>
    <row r="1367">
      <c r="A1367" s="1" t="n"/>
      <c r="B1367" s="16" t="n"/>
      <c r="C1367" s="17" t="n"/>
      <c r="D1367" s="18" t="n"/>
      <c r="E1367" s="18" t="n"/>
      <c r="F1367" s="19" t="n"/>
      <c r="G1367" s="19" t="n"/>
      <c r="H1367" s="20" t="n"/>
      <c r="I1367" s="21" t="n"/>
      <c r="J1367" s="22" t="n"/>
      <c r="K1367" s="23" t="n"/>
      <c r="L1367" s="18" t="n"/>
      <c r="M1367" s="24">
        <f>IF(B1367="","",IF(AND(F1367&lt;&gt;"",G1367&lt;&gt;""),MAX(0,ROUND(MOD(G1367-F1367,1)*24-N(H1367)/60,2)),N(I1367)))</f>
        <v/>
      </c>
      <c r="N1367" s="14">
        <f>IF(B1367="","",IF(K1367&lt;&gt;"",K1367,IF(N(IFERROR(INDEX(Projects!$D$6:$D$65,MATCH(D1367,Projects!$B$6:$B$65,0)),""))&gt;0,IFERROR(INDEX(Projects!$D$6:$D$65,MATCH(D1367,Projects!$B$6:$B$65,0)),""),IFERROR(INDEX(Clients!$G$6:$G$45,MATCH(C1367,Clients!$B$6:$B$45,0)),0))))</f>
        <v/>
      </c>
      <c r="O1367" s="14">
        <f>IF(B1367="","",IF(J1367&lt;&gt;"",0,ROUND(M1367*N1367,2)))</f>
        <v/>
      </c>
      <c r="P1367" s="15">
        <f>IF(OR(B1367="",J1367&lt;&gt;""),"",IF(L1367&lt;&gt;"",L1367,IF(COUNTIFS(Invoices!$C$6:$C$305,C1367,Invoices!$E$6:$E$305,"&lt;="&amp;B1367,Invoices!$F$6:$F$305,"&gt;="&amp;B1367)=1,INDEX(Invoices!$B$6:$B$305,SUMIFS(Invoices!$O$6:$O$305,Invoices!$C$6:$C$305,C1367,Invoices!$E$6:$E$305,"&lt;="&amp;B1367,Invoices!$F$6:$F$305,"&gt;="&amp;B1367)),IF(COUNTIFS(Invoices!$C$6:$C$305,C1367,Invoices!$E$6:$E$305,"&lt;="&amp;B1367,Invoices!$F$6:$F$305,"&gt;="&amp;B1367)&gt;1,"Two invoices",""))))</f>
        <v/>
      </c>
      <c r="Q1367" s="15">
        <f>IF(B1367="","",IF(J1367&lt;&gt;"","Not billable",IF(P1367="","To invoice",IF(P1367="Two invoices","Check dates",IF(ISNA(MATCH(P1367,Invoices!$B$6:$B$305,0)),"Check number",IF(INDEX(Invoices!$M$6:$M$305,MATCH(P1367,Invoices!$B$6:$B$305,0))="Paid","Paid",IF(INDEX(Invoices!$M$6:$M$305,MATCH(P1367,Invoices!$B$6:$B$305,0))="Draft","Draft","Invoiced")))))))</f>
        <v/>
      </c>
      <c r="R1367" s="1">
        <f>IF(AND(B1367&lt;&gt;"",P1367&lt;&gt;"",P1367=Invoice!$G$4),B1367+MOD(N(F1367),1)+ROW()/10000000,"")</f>
        <v/>
      </c>
      <c r="S1367">
        <f>IF(R1367="","",IF(D1367="","Other work",D1367)&amp;IF(AND(K1367&lt;&gt;"",E1367&lt;&gt;""),", "&amp;E1367,""))</f>
        <v/>
      </c>
      <c r="T1367">
        <f>IF(R1367="","",IF(COUNTIFS(R$6:R1366,"&gt;0",S$6:S1366,S1367,N$6:N1366,N1367)=0,R1367,""))</f>
        <v/>
      </c>
      <c r="U1367">
        <f>IF(B1367="","",IF(J1367&lt;&gt;"",0,M1367))</f>
        <v/>
      </c>
    </row>
    <row r="1368">
      <c r="A1368" s="1" t="n"/>
      <c r="B1368" s="16" t="n"/>
      <c r="C1368" s="17" t="n"/>
      <c r="D1368" s="18" t="n"/>
      <c r="E1368" s="18" t="n"/>
      <c r="F1368" s="19" t="n"/>
      <c r="G1368" s="19" t="n"/>
      <c r="H1368" s="20" t="n"/>
      <c r="I1368" s="21" t="n"/>
      <c r="J1368" s="22" t="n"/>
      <c r="K1368" s="23" t="n"/>
      <c r="L1368" s="18" t="n"/>
      <c r="M1368" s="24">
        <f>IF(B1368="","",IF(AND(F1368&lt;&gt;"",G1368&lt;&gt;""),MAX(0,ROUND(MOD(G1368-F1368,1)*24-N(H1368)/60,2)),N(I1368)))</f>
        <v/>
      </c>
      <c r="N1368" s="14">
        <f>IF(B1368="","",IF(K1368&lt;&gt;"",K1368,IF(N(IFERROR(INDEX(Projects!$D$6:$D$65,MATCH(D1368,Projects!$B$6:$B$65,0)),""))&gt;0,IFERROR(INDEX(Projects!$D$6:$D$65,MATCH(D1368,Projects!$B$6:$B$65,0)),""),IFERROR(INDEX(Clients!$G$6:$G$45,MATCH(C1368,Clients!$B$6:$B$45,0)),0))))</f>
        <v/>
      </c>
      <c r="O1368" s="14">
        <f>IF(B1368="","",IF(J1368&lt;&gt;"",0,ROUND(M1368*N1368,2)))</f>
        <v/>
      </c>
      <c r="P1368" s="15">
        <f>IF(OR(B1368="",J1368&lt;&gt;""),"",IF(L1368&lt;&gt;"",L1368,IF(COUNTIFS(Invoices!$C$6:$C$305,C1368,Invoices!$E$6:$E$305,"&lt;="&amp;B1368,Invoices!$F$6:$F$305,"&gt;="&amp;B1368)=1,INDEX(Invoices!$B$6:$B$305,SUMIFS(Invoices!$O$6:$O$305,Invoices!$C$6:$C$305,C1368,Invoices!$E$6:$E$305,"&lt;="&amp;B1368,Invoices!$F$6:$F$305,"&gt;="&amp;B1368)),IF(COUNTIFS(Invoices!$C$6:$C$305,C1368,Invoices!$E$6:$E$305,"&lt;="&amp;B1368,Invoices!$F$6:$F$305,"&gt;="&amp;B1368)&gt;1,"Two invoices",""))))</f>
        <v/>
      </c>
      <c r="Q1368" s="15">
        <f>IF(B1368="","",IF(J1368&lt;&gt;"","Not billable",IF(P1368="","To invoice",IF(P1368="Two invoices","Check dates",IF(ISNA(MATCH(P1368,Invoices!$B$6:$B$305,0)),"Check number",IF(INDEX(Invoices!$M$6:$M$305,MATCH(P1368,Invoices!$B$6:$B$305,0))="Paid","Paid",IF(INDEX(Invoices!$M$6:$M$305,MATCH(P1368,Invoices!$B$6:$B$305,0))="Draft","Draft","Invoiced")))))))</f>
        <v/>
      </c>
      <c r="R1368" s="1">
        <f>IF(AND(B1368&lt;&gt;"",P1368&lt;&gt;"",P1368=Invoice!$G$4),B1368+MOD(N(F1368),1)+ROW()/10000000,"")</f>
        <v/>
      </c>
      <c r="S1368">
        <f>IF(R1368="","",IF(D1368="","Other work",D1368)&amp;IF(AND(K1368&lt;&gt;"",E1368&lt;&gt;""),", "&amp;E1368,""))</f>
        <v/>
      </c>
      <c r="T1368">
        <f>IF(R1368="","",IF(COUNTIFS(R$6:R1367,"&gt;0",S$6:S1367,S1368,N$6:N1367,N1368)=0,R1368,""))</f>
        <v/>
      </c>
      <c r="U1368">
        <f>IF(B1368="","",IF(J1368&lt;&gt;"",0,M1368))</f>
        <v/>
      </c>
    </row>
    <row r="1369">
      <c r="A1369" s="1" t="n"/>
      <c r="B1369" s="16" t="n"/>
      <c r="C1369" s="17" t="n"/>
      <c r="D1369" s="18" t="n"/>
      <c r="E1369" s="18" t="n"/>
      <c r="F1369" s="19" t="n"/>
      <c r="G1369" s="19" t="n"/>
      <c r="H1369" s="20" t="n"/>
      <c r="I1369" s="21" t="n"/>
      <c r="J1369" s="22" t="n"/>
      <c r="K1369" s="23" t="n"/>
      <c r="L1369" s="18" t="n"/>
      <c r="M1369" s="24">
        <f>IF(B1369="","",IF(AND(F1369&lt;&gt;"",G1369&lt;&gt;""),MAX(0,ROUND(MOD(G1369-F1369,1)*24-N(H1369)/60,2)),N(I1369)))</f>
        <v/>
      </c>
      <c r="N1369" s="14">
        <f>IF(B1369="","",IF(K1369&lt;&gt;"",K1369,IF(N(IFERROR(INDEX(Projects!$D$6:$D$65,MATCH(D1369,Projects!$B$6:$B$65,0)),""))&gt;0,IFERROR(INDEX(Projects!$D$6:$D$65,MATCH(D1369,Projects!$B$6:$B$65,0)),""),IFERROR(INDEX(Clients!$G$6:$G$45,MATCH(C1369,Clients!$B$6:$B$45,0)),0))))</f>
        <v/>
      </c>
      <c r="O1369" s="14">
        <f>IF(B1369="","",IF(J1369&lt;&gt;"",0,ROUND(M1369*N1369,2)))</f>
        <v/>
      </c>
      <c r="P1369" s="15">
        <f>IF(OR(B1369="",J1369&lt;&gt;""),"",IF(L1369&lt;&gt;"",L1369,IF(COUNTIFS(Invoices!$C$6:$C$305,C1369,Invoices!$E$6:$E$305,"&lt;="&amp;B1369,Invoices!$F$6:$F$305,"&gt;="&amp;B1369)=1,INDEX(Invoices!$B$6:$B$305,SUMIFS(Invoices!$O$6:$O$305,Invoices!$C$6:$C$305,C1369,Invoices!$E$6:$E$305,"&lt;="&amp;B1369,Invoices!$F$6:$F$305,"&gt;="&amp;B1369)),IF(COUNTIFS(Invoices!$C$6:$C$305,C1369,Invoices!$E$6:$E$305,"&lt;="&amp;B1369,Invoices!$F$6:$F$305,"&gt;="&amp;B1369)&gt;1,"Two invoices",""))))</f>
        <v/>
      </c>
      <c r="Q1369" s="15">
        <f>IF(B1369="","",IF(J1369&lt;&gt;"","Not billable",IF(P1369="","To invoice",IF(P1369="Two invoices","Check dates",IF(ISNA(MATCH(P1369,Invoices!$B$6:$B$305,0)),"Check number",IF(INDEX(Invoices!$M$6:$M$305,MATCH(P1369,Invoices!$B$6:$B$305,0))="Paid","Paid",IF(INDEX(Invoices!$M$6:$M$305,MATCH(P1369,Invoices!$B$6:$B$305,0))="Draft","Draft","Invoiced")))))))</f>
        <v/>
      </c>
      <c r="R1369" s="1">
        <f>IF(AND(B1369&lt;&gt;"",P1369&lt;&gt;"",P1369=Invoice!$G$4),B1369+MOD(N(F1369),1)+ROW()/10000000,"")</f>
        <v/>
      </c>
      <c r="S1369">
        <f>IF(R1369="","",IF(D1369="","Other work",D1369)&amp;IF(AND(K1369&lt;&gt;"",E1369&lt;&gt;""),", "&amp;E1369,""))</f>
        <v/>
      </c>
      <c r="T1369">
        <f>IF(R1369="","",IF(COUNTIFS(R$6:R1368,"&gt;0",S$6:S1368,S1369,N$6:N1368,N1369)=0,R1369,""))</f>
        <v/>
      </c>
      <c r="U1369">
        <f>IF(B1369="","",IF(J1369&lt;&gt;"",0,M1369))</f>
        <v/>
      </c>
    </row>
    <row r="1370">
      <c r="A1370" s="1" t="n"/>
      <c r="B1370" s="16" t="n"/>
      <c r="C1370" s="17" t="n"/>
      <c r="D1370" s="18" t="n"/>
      <c r="E1370" s="18" t="n"/>
      <c r="F1370" s="19" t="n"/>
      <c r="G1370" s="19" t="n"/>
      <c r="H1370" s="20" t="n"/>
      <c r="I1370" s="21" t="n"/>
      <c r="J1370" s="22" t="n"/>
      <c r="K1370" s="23" t="n"/>
      <c r="L1370" s="18" t="n"/>
      <c r="M1370" s="24">
        <f>IF(B1370="","",IF(AND(F1370&lt;&gt;"",G1370&lt;&gt;""),MAX(0,ROUND(MOD(G1370-F1370,1)*24-N(H1370)/60,2)),N(I1370)))</f>
        <v/>
      </c>
      <c r="N1370" s="14">
        <f>IF(B1370="","",IF(K1370&lt;&gt;"",K1370,IF(N(IFERROR(INDEX(Projects!$D$6:$D$65,MATCH(D1370,Projects!$B$6:$B$65,0)),""))&gt;0,IFERROR(INDEX(Projects!$D$6:$D$65,MATCH(D1370,Projects!$B$6:$B$65,0)),""),IFERROR(INDEX(Clients!$G$6:$G$45,MATCH(C1370,Clients!$B$6:$B$45,0)),0))))</f>
        <v/>
      </c>
      <c r="O1370" s="14">
        <f>IF(B1370="","",IF(J1370&lt;&gt;"",0,ROUND(M1370*N1370,2)))</f>
        <v/>
      </c>
      <c r="P1370" s="15">
        <f>IF(OR(B1370="",J1370&lt;&gt;""),"",IF(L1370&lt;&gt;"",L1370,IF(COUNTIFS(Invoices!$C$6:$C$305,C1370,Invoices!$E$6:$E$305,"&lt;="&amp;B1370,Invoices!$F$6:$F$305,"&gt;="&amp;B1370)=1,INDEX(Invoices!$B$6:$B$305,SUMIFS(Invoices!$O$6:$O$305,Invoices!$C$6:$C$305,C1370,Invoices!$E$6:$E$305,"&lt;="&amp;B1370,Invoices!$F$6:$F$305,"&gt;="&amp;B1370)),IF(COUNTIFS(Invoices!$C$6:$C$305,C1370,Invoices!$E$6:$E$305,"&lt;="&amp;B1370,Invoices!$F$6:$F$305,"&gt;="&amp;B1370)&gt;1,"Two invoices",""))))</f>
        <v/>
      </c>
      <c r="Q1370" s="15">
        <f>IF(B1370="","",IF(J1370&lt;&gt;"","Not billable",IF(P1370="","To invoice",IF(P1370="Two invoices","Check dates",IF(ISNA(MATCH(P1370,Invoices!$B$6:$B$305,0)),"Check number",IF(INDEX(Invoices!$M$6:$M$305,MATCH(P1370,Invoices!$B$6:$B$305,0))="Paid","Paid",IF(INDEX(Invoices!$M$6:$M$305,MATCH(P1370,Invoices!$B$6:$B$305,0))="Draft","Draft","Invoiced")))))))</f>
        <v/>
      </c>
      <c r="R1370" s="1">
        <f>IF(AND(B1370&lt;&gt;"",P1370&lt;&gt;"",P1370=Invoice!$G$4),B1370+MOD(N(F1370),1)+ROW()/10000000,"")</f>
        <v/>
      </c>
      <c r="S1370">
        <f>IF(R1370="","",IF(D1370="","Other work",D1370)&amp;IF(AND(K1370&lt;&gt;"",E1370&lt;&gt;""),", "&amp;E1370,""))</f>
        <v/>
      </c>
      <c r="T1370">
        <f>IF(R1370="","",IF(COUNTIFS(R$6:R1369,"&gt;0",S$6:S1369,S1370,N$6:N1369,N1370)=0,R1370,""))</f>
        <v/>
      </c>
      <c r="U1370">
        <f>IF(B1370="","",IF(J1370&lt;&gt;"",0,M1370))</f>
        <v/>
      </c>
    </row>
    <row r="1371">
      <c r="A1371" s="1" t="n"/>
      <c r="B1371" s="16" t="n"/>
      <c r="C1371" s="17" t="n"/>
      <c r="D1371" s="18" t="n"/>
      <c r="E1371" s="18" t="n"/>
      <c r="F1371" s="19" t="n"/>
      <c r="G1371" s="19" t="n"/>
      <c r="H1371" s="20" t="n"/>
      <c r="I1371" s="21" t="n"/>
      <c r="J1371" s="22" t="n"/>
      <c r="K1371" s="23" t="n"/>
      <c r="L1371" s="18" t="n"/>
      <c r="M1371" s="24">
        <f>IF(B1371="","",IF(AND(F1371&lt;&gt;"",G1371&lt;&gt;""),MAX(0,ROUND(MOD(G1371-F1371,1)*24-N(H1371)/60,2)),N(I1371)))</f>
        <v/>
      </c>
      <c r="N1371" s="14">
        <f>IF(B1371="","",IF(K1371&lt;&gt;"",K1371,IF(N(IFERROR(INDEX(Projects!$D$6:$D$65,MATCH(D1371,Projects!$B$6:$B$65,0)),""))&gt;0,IFERROR(INDEX(Projects!$D$6:$D$65,MATCH(D1371,Projects!$B$6:$B$65,0)),""),IFERROR(INDEX(Clients!$G$6:$G$45,MATCH(C1371,Clients!$B$6:$B$45,0)),0))))</f>
        <v/>
      </c>
      <c r="O1371" s="14">
        <f>IF(B1371="","",IF(J1371&lt;&gt;"",0,ROUND(M1371*N1371,2)))</f>
        <v/>
      </c>
      <c r="P1371" s="15">
        <f>IF(OR(B1371="",J1371&lt;&gt;""),"",IF(L1371&lt;&gt;"",L1371,IF(COUNTIFS(Invoices!$C$6:$C$305,C1371,Invoices!$E$6:$E$305,"&lt;="&amp;B1371,Invoices!$F$6:$F$305,"&gt;="&amp;B1371)=1,INDEX(Invoices!$B$6:$B$305,SUMIFS(Invoices!$O$6:$O$305,Invoices!$C$6:$C$305,C1371,Invoices!$E$6:$E$305,"&lt;="&amp;B1371,Invoices!$F$6:$F$305,"&gt;="&amp;B1371)),IF(COUNTIFS(Invoices!$C$6:$C$305,C1371,Invoices!$E$6:$E$305,"&lt;="&amp;B1371,Invoices!$F$6:$F$305,"&gt;="&amp;B1371)&gt;1,"Two invoices",""))))</f>
        <v/>
      </c>
      <c r="Q1371" s="15">
        <f>IF(B1371="","",IF(J1371&lt;&gt;"","Not billable",IF(P1371="","To invoice",IF(P1371="Two invoices","Check dates",IF(ISNA(MATCH(P1371,Invoices!$B$6:$B$305,0)),"Check number",IF(INDEX(Invoices!$M$6:$M$305,MATCH(P1371,Invoices!$B$6:$B$305,0))="Paid","Paid",IF(INDEX(Invoices!$M$6:$M$305,MATCH(P1371,Invoices!$B$6:$B$305,0))="Draft","Draft","Invoiced")))))))</f>
        <v/>
      </c>
      <c r="R1371" s="1">
        <f>IF(AND(B1371&lt;&gt;"",P1371&lt;&gt;"",P1371=Invoice!$G$4),B1371+MOD(N(F1371),1)+ROW()/10000000,"")</f>
        <v/>
      </c>
      <c r="S1371">
        <f>IF(R1371="","",IF(D1371="","Other work",D1371)&amp;IF(AND(K1371&lt;&gt;"",E1371&lt;&gt;""),", "&amp;E1371,""))</f>
        <v/>
      </c>
      <c r="T1371">
        <f>IF(R1371="","",IF(COUNTIFS(R$6:R1370,"&gt;0",S$6:S1370,S1371,N$6:N1370,N1371)=0,R1371,""))</f>
        <v/>
      </c>
      <c r="U1371">
        <f>IF(B1371="","",IF(J1371&lt;&gt;"",0,M1371))</f>
        <v/>
      </c>
    </row>
    <row r="1372">
      <c r="A1372" s="1" t="n"/>
      <c r="B1372" s="16" t="n"/>
      <c r="C1372" s="17" t="n"/>
      <c r="D1372" s="18" t="n"/>
      <c r="E1372" s="18" t="n"/>
      <c r="F1372" s="19" t="n"/>
      <c r="G1372" s="19" t="n"/>
      <c r="H1372" s="20" t="n"/>
      <c r="I1372" s="21" t="n"/>
      <c r="J1372" s="22" t="n"/>
      <c r="K1372" s="23" t="n"/>
      <c r="L1372" s="18" t="n"/>
      <c r="M1372" s="24">
        <f>IF(B1372="","",IF(AND(F1372&lt;&gt;"",G1372&lt;&gt;""),MAX(0,ROUND(MOD(G1372-F1372,1)*24-N(H1372)/60,2)),N(I1372)))</f>
        <v/>
      </c>
      <c r="N1372" s="14">
        <f>IF(B1372="","",IF(K1372&lt;&gt;"",K1372,IF(N(IFERROR(INDEX(Projects!$D$6:$D$65,MATCH(D1372,Projects!$B$6:$B$65,0)),""))&gt;0,IFERROR(INDEX(Projects!$D$6:$D$65,MATCH(D1372,Projects!$B$6:$B$65,0)),""),IFERROR(INDEX(Clients!$G$6:$G$45,MATCH(C1372,Clients!$B$6:$B$45,0)),0))))</f>
        <v/>
      </c>
      <c r="O1372" s="14">
        <f>IF(B1372="","",IF(J1372&lt;&gt;"",0,ROUND(M1372*N1372,2)))</f>
        <v/>
      </c>
      <c r="P1372" s="15">
        <f>IF(OR(B1372="",J1372&lt;&gt;""),"",IF(L1372&lt;&gt;"",L1372,IF(COUNTIFS(Invoices!$C$6:$C$305,C1372,Invoices!$E$6:$E$305,"&lt;="&amp;B1372,Invoices!$F$6:$F$305,"&gt;="&amp;B1372)=1,INDEX(Invoices!$B$6:$B$305,SUMIFS(Invoices!$O$6:$O$305,Invoices!$C$6:$C$305,C1372,Invoices!$E$6:$E$305,"&lt;="&amp;B1372,Invoices!$F$6:$F$305,"&gt;="&amp;B1372)),IF(COUNTIFS(Invoices!$C$6:$C$305,C1372,Invoices!$E$6:$E$305,"&lt;="&amp;B1372,Invoices!$F$6:$F$305,"&gt;="&amp;B1372)&gt;1,"Two invoices",""))))</f>
        <v/>
      </c>
      <c r="Q1372" s="15">
        <f>IF(B1372="","",IF(J1372&lt;&gt;"","Not billable",IF(P1372="","To invoice",IF(P1372="Two invoices","Check dates",IF(ISNA(MATCH(P1372,Invoices!$B$6:$B$305,0)),"Check number",IF(INDEX(Invoices!$M$6:$M$305,MATCH(P1372,Invoices!$B$6:$B$305,0))="Paid","Paid",IF(INDEX(Invoices!$M$6:$M$305,MATCH(P1372,Invoices!$B$6:$B$305,0))="Draft","Draft","Invoiced")))))))</f>
        <v/>
      </c>
      <c r="R1372" s="1">
        <f>IF(AND(B1372&lt;&gt;"",P1372&lt;&gt;"",P1372=Invoice!$G$4),B1372+MOD(N(F1372),1)+ROW()/10000000,"")</f>
        <v/>
      </c>
      <c r="S1372">
        <f>IF(R1372="","",IF(D1372="","Other work",D1372)&amp;IF(AND(K1372&lt;&gt;"",E1372&lt;&gt;""),", "&amp;E1372,""))</f>
        <v/>
      </c>
      <c r="T1372">
        <f>IF(R1372="","",IF(COUNTIFS(R$6:R1371,"&gt;0",S$6:S1371,S1372,N$6:N1371,N1372)=0,R1372,""))</f>
        <v/>
      </c>
      <c r="U1372">
        <f>IF(B1372="","",IF(J1372&lt;&gt;"",0,M1372))</f>
        <v/>
      </c>
    </row>
    <row r="1373">
      <c r="A1373" s="1" t="n"/>
      <c r="B1373" s="16" t="n"/>
      <c r="C1373" s="17" t="n"/>
      <c r="D1373" s="18" t="n"/>
      <c r="E1373" s="18" t="n"/>
      <c r="F1373" s="19" t="n"/>
      <c r="G1373" s="19" t="n"/>
      <c r="H1373" s="20" t="n"/>
      <c r="I1373" s="21" t="n"/>
      <c r="J1373" s="22" t="n"/>
      <c r="K1373" s="23" t="n"/>
      <c r="L1373" s="18" t="n"/>
      <c r="M1373" s="24">
        <f>IF(B1373="","",IF(AND(F1373&lt;&gt;"",G1373&lt;&gt;""),MAX(0,ROUND(MOD(G1373-F1373,1)*24-N(H1373)/60,2)),N(I1373)))</f>
        <v/>
      </c>
      <c r="N1373" s="14">
        <f>IF(B1373="","",IF(K1373&lt;&gt;"",K1373,IF(N(IFERROR(INDEX(Projects!$D$6:$D$65,MATCH(D1373,Projects!$B$6:$B$65,0)),""))&gt;0,IFERROR(INDEX(Projects!$D$6:$D$65,MATCH(D1373,Projects!$B$6:$B$65,0)),""),IFERROR(INDEX(Clients!$G$6:$G$45,MATCH(C1373,Clients!$B$6:$B$45,0)),0))))</f>
        <v/>
      </c>
      <c r="O1373" s="14">
        <f>IF(B1373="","",IF(J1373&lt;&gt;"",0,ROUND(M1373*N1373,2)))</f>
        <v/>
      </c>
      <c r="P1373" s="15">
        <f>IF(OR(B1373="",J1373&lt;&gt;""),"",IF(L1373&lt;&gt;"",L1373,IF(COUNTIFS(Invoices!$C$6:$C$305,C1373,Invoices!$E$6:$E$305,"&lt;="&amp;B1373,Invoices!$F$6:$F$305,"&gt;="&amp;B1373)=1,INDEX(Invoices!$B$6:$B$305,SUMIFS(Invoices!$O$6:$O$305,Invoices!$C$6:$C$305,C1373,Invoices!$E$6:$E$305,"&lt;="&amp;B1373,Invoices!$F$6:$F$305,"&gt;="&amp;B1373)),IF(COUNTIFS(Invoices!$C$6:$C$305,C1373,Invoices!$E$6:$E$305,"&lt;="&amp;B1373,Invoices!$F$6:$F$305,"&gt;="&amp;B1373)&gt;1,"Two invoices",""))))</f>
        <v/>
      </c>
      <c r="Q1373" s="15">
        <f>IF(B1373="","",IF(J1373&lt;&gt;"","Not billable",IF(P1373="","To invoice",IF(P1373="Two invoices","Check dates",IF(ISNA(MATCH(P1373,Invoices!$B$6:$B$305,0)),"Check number",IF(INDEX(Invoices!$M$6:$M$305,MATCH(P1373,Invoices!$B$6:$B$305,0))="Paid","Paid",IF(INDEX(Invoices!$M$6:$M$305,MATCH(P1373,Invoices!$B$6:$B$305,0))="Draft","Draft","Invoiced")))))))</f>
        <v/>
      </c>
      <c r="R1373" s="1">
        <f>IF(AND(B1373&lt;&gt;"",P1373&lt;&gt;"",P1373=Invoice!$G$4),B1373+MOD(N(F1373),1)+ROW()/10000000,"")</f>
        <v/>
      </c>
      <c r="S1373">
        <f>IF(R1373="","",IF(D1373="","Other work",D1373)&amp;IF(AND(K1373&lt;&gt;"",E1373&lt;&gt;""),", "&amp;E1373,""))</f>
        <v/>
      </c>
      <c r="T1373">
        <f>IF(R1373="","",IF(COUNTIFS(R$6:R1372,"&gt;0",S$6:S1372,S1373,N$6:N1372,N1373)=0,R1373,""))</f>
        <v/>
      </c>
      <c r="U1373">
        <f>IF(B1373="","",IF(J1373&lt;&gt;"",0,M1373))</f>
        <v/>
      </c>
    </row>
    <row r="1374">
      <c r="A1374" s="1" t="n"/>
      <c r="B1374" s="16" t="n"/>
      <c r="C1374" s="17" t="n"/>
      <c r="D1374" s="18" t="n"/>
      <c r="E1374" s="18" t="n"/>
      <c r="F1374" s="19" t="n"/>
      <c r="G1374" s="19" t="n"/>
      <c r="H1374" s="20" t="n"/>
      <c r="I1374" s="21" t="n"/>
      <c r="J1374" s="22" t="n"/>
      <c r="K1374" s="23" t="n"/>
      <c r="L1374" s="18" t="n"/>
      <c r="M1374" s="24">
        <f>IF(B1374="","",IF(AND(F1374&lt;&gt;"",G1374&lt;&gt;""),MAX(0,ROUND(MOD(G1374-F1374,1)*24-N(H1374)/60,2)),N(I1374)))</f>
        <v/>
      </c>
      <c r="N1374" s="14">
        <f>IF(B1374="","",IF(K1374&lt;&gt;"",K1374,IF(N(IFERROR(INDEX(Projects!$D$6:$D$65,MATCH(D1374,Projects!$B$6:$B$65,0)),""))&gt;0,IFERROR(INDEX(Projects!$D$6:$D$65,MATCH(D1374,Projects!$B$6:$B$65,0)),""),IFERROR(INDEX(Clients!$G$6:$G$45,MATCH(C1374,Clients!$B$6:$B$45,0)),0))))</f>
        <v/>
      </c>
      <c r="O1374" s="14">
        <f>IF(B1374="","",IF(J1374&lt;&gt;"",0,ROUND(M1374*N1374,2)))</f>
        <v/>
      </c>
      <c r="P1374" s="15">
        <f>IF(OR(B1374="",J1374&lt;&gt;""),"",IF(L1374&lt;&gt;"",L1374,IF(COUNTIFS(Invoices!$C$6:$C$305,C1374,Invoices!$E$6:$E$305,"&lt;="&amp;B1374,Invoices!$F$6:$F$305,"&gt;="&amp;B1374)=1,INDEX(Invoices!$B$6:$B$305,SUMIFS(Invoices!$O$6:$O$305,Invoices!$C$6:$C$305,C1374,Invoices!$E$6:$E$305,"&lt;="&amp;B1374,Invoices!$F$6:$F$305,"&gt;="&amp;B1374)),IF(COUNTIFS(Invoices!$C$6:$C$305,C1374,Invoices!$E$6:$E$305,"&lt;="&amp;B1374,Invoices!$F$6:$F$305,"&gt;="&amp;B1374)&gt;1,"Two invoices",""))))</f>
        <v/>
      </c>
      <c r="Q1374" s="15">
        <f>IF(B1374="","",IF(J1374&lt;&gt;"","Not billable",IF(P1374="","To invoice",IF(P1374="Two invoices","Check dates",IF(ISNA(MATCH(P1374,Invoices!$B$6:$B$305,0)),"Check number",IF(INDEX(Invoices!$M$6:$M$305,MATCH(P1374,Invoices!$B$6:$B$305,0))="Paid","Paid",IF(INDEX(Invoices!$M$6:$M$305,MATCH(P1374,Invoices!$B$6:$B$305,0))="Draft","Draft","Invoiced")))))))</f>
        <v/>
      </c>
      <c r="R1374" s="1">
        <f>IF(AND(B1374&lt;&gt;"",P1374&lt;&gt;"",P1374=Invoice!$G$4),B1374+MOD(N(F1374),1)+ROW()/10000000,"")</f>
        <v/>
      </c>
      <c r="S1374">
        <f>IF(R1374="","",IF(D1374="","Other work",D1374)&amp;IF(AND(K1374&lt;&gt;"",E1374&lt;&gt;""),", "&amp;E1374,""))</f>
        <v/>
      </c>
      <c r="T1374">
        <f>IF(R1374="","",IF(COUNTIFS(R$6:R1373,"&gt;0",S$6:S1373,S1374,N$6:N1373,N1374)=0,R1374,""))</f>
        <v/>
      </c>
      <c r="U1374">
        <f>IF(B1374="","",IF(J1374&lt;&gt;"",0,M1374))</f>
        <v/>
      </c>
    </row>
    <row r="1375">
      <c r="A1375" s="1" t="n"/>
      <c r="B1375" s="16" t="n"/>
      <c r="C1375" s="17" t="n"/>
      <c r="D1375" s="18" t="n"/>
      <c r="E1375" s="18" t="n"/>
      <c r="F1375" s="19" t="n"/>
      <c r="G1375" s="19" t="n"/>
      <c r="H1375" s="20" t="n"/>
      <c r="I1375" s="21" t="n"/>
      <c r="J1375" s="22" t="n"/>
      <c r="K1375" s="23" t="n"/>
      <c r="L1375" s="18" t="n"/>
      <c r="M1375" s="24">
        <f>IF(B1375="","",IF(AND(F1375&lt;&gt;"",G1375&lt;&gt;""),MAX(0,ROUND(MOD(G1375-F1375,1)*24-N(H1375)/60,2)),N(I1375)))</f>
        <v/>
      </c>
      <c r="N1375" s="14">
        <f>IF(B1375="","",IF(K1375&lt;&gt;"",K1375,IF(N(IFERROR(INDEX(Projects!$D$6:$D$65,MATCH(D1375,Projects!$B$6:$B$65,0)),""))&gt;0,IFERROR(INDEX(Projects!$D$6:$D$65,MATCH(D1375,Projects!$B$6:$B$65,0)),""),IFERROR(INDEX(Clients!$G$6:$G$45,MATCH(C1375,Clients!$B$6:$B$45,0)),0))))</f>
        <v/>
      </c>
      <c r="O1375" s="14">
        <f>IF(B1375="","",IF(J1375&lt;&gt;"",0,ROUND(M1375*N1375,2)))</f>
        <v/>
      </c>
      <c r="P1375" s="15">
        <f>IF(OR(B1375="",J1375&lt;&gt;""),"",IF(L1375&lt;&gt;"",L1375,IF(COUNTIFS(Invoices!$C$6:$C$305,C1375,Invoices!$E$6:$E$305,"&lt;="&amp;B1375,Invoices!$F$6:$F$305,"&gt;="&amp;B1375)=1,INDEX(Invoices!$B$6:$B$305,SUMIFS(Invoices!$O$6:$O$305,Invoices!$C$6:$C$305,C1375,Invoices!$E$6:$E$305,"&lt;="&amp;B1375,Invoices!$F$6:$F$305,"&gt;="&amp;B1375)),IF(COUNTIFS(Invoices!$C$6:$C$305,C1375,Invoices!$E$6:$E$305,"&lt;="&amp;B1375,Invoices!$F$6:$F$305,"&gt;="&amp;B1375)&gt;1,"Two invoices",""))))</f>
        <v/>
      </c>
      <c r="Q1375" s="15">
        <f>IF(B1375="","",IF(J1375&lt;&gt;"","Not billable",IF(P1375="","To invoice",IF(P1375="Two invoices","Check dates",IF(ISNA(MATCH(P1375,Invoices!$B$6:$B$305,0)),"Check number",IF(INDEX(Invoices!$M$6:$M$305,MATCH(P1375,Invoices!$B$6:$B$305,0))="Paid","Paid",IF(INDEX(Invoices!$M$6:$M$305,MATCH(P1375,Invoices!$B$6:$B$305,0))="Draft","Draft","Invoiced")))))))</f>
        <v/>
      </c>
      <c r="R1375" s="1">
        <f>IF(AND(B1375&lt;&gt;"",P1375&lt;&gt;"",P1375=Invoice!$G$4),B1375+MOD(N(F1375),1)+ROW()/10000000,"")</f>
        <v/>
      </c>
      <c r="S1375">
        <f>IF(R1375="","",IF(D1375="","Other work",D1375)&amp;IF(AND(K1375&lt;&gt;"",E1375&lt;&gt;""),", "&amp;E1375,""))</f>
        <v/>
      </c>
      <c r="T1375">
        <f>IF(R1375="","",IF(COUNTIFS(R$6:R1374,"&gt;0",S$6:S1374,S1375,N$6:N1374,N1375)=0,R1375,""))</f>
        <v/>
      </c>
      <c r="U1375">
        <f>IF(B1375="","",IF(J1375&lt;&gt;"",0,M1375))</f>
        <v/>
      </c>
    </row>
    <row r="1376">
      <c r="A1376" s="1" t="n"/>
      <c r="B1376" s="16" t="n"/>
      <c r="C1376" s="17" t="n"/>
      <c r="D1376" s="18" t="n"/>
      <c r="E1376" s="18" t="n"/>
      <c r="F1376" s="19" t="n"/>
      <c r="G1376" s="19" t="n"/>
      <c r="H1376" s="20" t="n"/>
      <c r="I1376" s="21" t="n"/>
      <c r="J1376" s="22" t="n"/>
      <c r="K1376" s="23" t="n"/>
      <c r="L1376" s="18" t="n"/>
      <c r="M1376" s="24">
        <f>IF(B1376="","",IF(AND(F1376&lt;&gt;"",G1376&lt;&gt;""),MAX(0,ROUND(MOD(G1376-F1376,1)*24-N(H1376)/60,2)),N(I1376)))</f>
        <v/>
      </c>
      <c r="N1376" s="14">
        <f>IF(B1376="","",IF(K1376&lt;&gt;"",K1376,IF(N(IFERROR(INDEX(Projects!$D$6:$D$65,MATCH(D1376,Projects!$B$6:$B$65,0)),""))&gt;0,IFERROR(INDEX(Projects!$D$6:$D$65,MATCH(D1376,Projects!$B$6:$B$65,0)),""),IFERROR(INDEX(Clients!$G$6:$G$45,MATCH(C1376,Clients!$B$6:$B$45,0)),0))))</f>
        <v/>
      </c>
      <c r="O1376" s="14">
        <f>IF(B1376="","",IF(J1376&lt;&gt;"",0,ROUND(M1376*N1376,2)))</f>
        <v/>
      </c>
      <c r="P1376" s="15">
        <f>IF(OR(B1376="",J1376&lt;&gt;""),"",IF(L1376&lt;&gt;"",L1376,IF(COUNTIFS(Invoices!$C$6:$C$305,C1376,Invoices!$E$6:$E$305,"&lt;="&amp;B1376,Invoices!$F$6:$F$305,"&gt;="&amp;B1376)=1,INDEX(Invoices!$B$6:$B$305,SUMIFS(Invoices!$O$6:$O$305,Invoices!$C$6:$C$305,C1376,Invoices!$E$6:$E$305,"&lt;="&amp;B1376,Invoices!$F$6:$F$305,"&gt;="&amp;B1376)),IF(COUNTIFS(Invoices!$C$6:$C$305,C1376,Invoices!$E$6:$E$305,"&lt;="&amp;B1376,Invoices!$F$6:$F$305,"&gt;="&amp;B1376)&gt;1,"Two invoices",""))))</f>
        <v/>
      </c>
      <c r="Q1376" s="15">
        <f>IF(B1376="","",IF(J1376&lt;&gt;"","Not billable",IF(P1376="","To invoice",IF(P1376="Two invoices","Check dates",IF(ISNA(MATCH(P1376,Invoices!$B$6:$B$305,0)),"Check number",IF(INDEX(Invoices!$M$6:$M$305,MATCH(P1376,Invoices!$B$6:$B$305,0))="Paid","Paid",IF(INDEX(Invoices!$M$6:$M$305,MATCH(P1376,Invoices!$B$6:$B$305,0))="Draft","Draft","Invoiced")))))))</f>
        <v/>
      </c>
      <c r="R1376" s="1">
        <f>IF(AND(B1376&lt;&gt;"",P1376&lt;&gt;"",P1376=Invoice!$G$4),B1376+MOD(N(F1376),1)+ROW()/10000000,"")</f>
        <v/>
      </c>
      <c r="S1376">
        <f>IF(R1376="","",IF(D1376="","Other work",D1376)&amp;IF(AND(K1376&lt;&gt;"",E1376&lt;&gt;""),", "&amp;E1376,""))</f>
        <v/>
      </c>
      <c r="T1376">
        <f>IF(R1376="","",IF(COUNTIFS(R$6:R1375,"&gt;0",S$6:S1375,S1376,N$6:N1375,N1376)=0,R1376,""))</f>
        <v/>
      </c>
      <c r="U1376">
        <f>IF(B1376="","",IF(J1376&lt;&gt;"",0,M1376))</f>
        <v/>
      </c>
    </row>
    <row r="1377">
      <c r="A1377" s="1" t="n"/>
      <c r="B1377" s="16" t="n"/>
      <c r="C1377" s="17" t="n"/>
      <c r="D1377" s="18" t="n"/>
      <c r="E1377" s="18" t="n"/>
      <c r="F1377" s="19" t="n"/>
      <c r="G1377" s="19" t="n"/>
      <c r="H1377" s="20" t="n"/>
      <c r="I1377" s="21" t="n"/>
      <c r="J1377" s="22" t="n"/>
      <c r="K1377" s="23" t="n"/>
      <c r="L1377" s="18" t="n"/>
      <c r="M1377" s="24">
        <f>IF(B1377="","",IF(AND(F1377&lt;&gt;"",G1377&lt;&gt;""),MAX(0,ROUND(MOD(G1377-F1377,1)*24-N(H1377)/60,2)),N(I1377)))</f>
        <v/>
      </c>
      <c r="N1377" s="14">
        <f>IF(B1377="","",IF(K1377&lt;&gt;"",K1377,IF(N(IFERROR(INDEX(Projects!$D$6:$D$65,MATCH(D1377,Projects!$B$6:$B$65,0)),""))&gt;0,IFERROR(INDEX(Projects!$D$6:$D$65,MATCH(D1377,Projects!$B$6:$B$65,0)),""),IFERROR(INDEX(Clients!$G$6:$G$45,MATCH(C1377,Clients!$B$6:$B$45,0)),0))))</f>
        <v/>
      </c>
      <c r="O1377" s="14">
        <f>IF(B1377="","",IF(J1377&lt;&gt;"",0,ROUND(M1377*N1377,2)))</f>
        <v/>
      </c>
      <c r="P1377" s="15">
        <f>IF(OR(B1377="",J1377&lt;&gt;""),"",IF(L1377&lt;&gt;"",L1377,IF(COUNTIFS(Invoices!$C$6:$C$305,C1377,Invoices!$E$6:$E$305,"&lt;="&amp;B1377,Invoices!$F$6:$F$305,"&gt;="&amp;B1377)=1,INDEX(Invoices!$B$6:$B$305,SUMIFS(Invoices!$O$6:$O$305,Invoices!$C$6:$C$305,C1377,Invoices!$E$6:$E$305,"&lt;="&amp;B1377,Invoices!$F$6:$F$305,"&gt;="&amp;B1377)),IF(COUNTIFS(Invoices!$C$6:$C$305,C1377,Invoices!$E$6:$E$305,"&lt;="&amp;B1377,Invoices!$F$6:$F$305,"&gt;="&amp;B1377)&gt;1,"Two invoices",""))))</f>
        <v/>
      </c>
      <c r="Q1377" s="15">
        <f>IF(B1377="","",IF(J1377&lt;&gt;"","Not billable",IF(P1377="","To invoice",IF(P1377="Two invoices","Check dates",IF(ISNA(MATCH(P1377,Invoices!$B$6:$B$305,0)),"Check number",IF(INDEX(Invoices!$M$6:$M$305,MATCH(P1377,Invoices!$B$6:$B$305,0))="Paid","Paid",IF(INDEX(Invoices!$M$6:$M$305,MATCH(P1377,Invoices!$B$6:$B$305,0))="Draft","Draft","Invoiced")))))))</f>
        <v/>
      </c>
      <c r="R1377" s="1">
        <f>IF(AND(B1377&lt;&gt;"",P1377&lt;&gt;"",P1377=Invoice!$G$4),B1377+MOD(N(F1377),1)+ROW()/10000000,"")</f>
        <v/>
      </c>
      <c r="S1377">
        <f>IF(R1377="","",IF(D1377="","Other work",D1377)&amp;IF(AND(K1377&lt;&gt;"",E1377&lt;&gt;""),", "&amp;E1377,""))</f>
        <v/>
      </c>
      <c r="T1377">
        <f>IF(R1377="","",IF(COUNTIFS(R$6:R1376,"&gt;0",S$6:S1376,S1377,N$6:N1376,N1377)=0,R1377,""))</f>
        <v/>
      </c>
      <c r="U1377">
        <f>IF(B1377="","",IF(J1377&lt;&gt;"",0,M1377))</f>
        <v/>
      </c>
    </row>
    <row r="1378">
      <c r="A1378" s="1" t="n"/>
      <c r="B1378" s="16" t="n"/>
      <c r="C1378" s="17" t="n"/>
      <c r="D1378" s="18" t="n"/>
      <c r="E1378" s="18" t="n"/>
      <c r="F1378" s="19" t="n"/>
      <c r="G1378" s="19" t="n"/>
      <c r="H1378" s="20" t="n"/>
      <c r="I1378" s="21" t="n"/>
      <c r="J1378" s="22" t="n"/>
      <c r="K1378" s="23" t="n"/>
      <c r="L1378" s="18" t="n"/>
      <c r="M1378" s="24">
        <f>IF(B1378="","",IF(AND(F1378&lt;&gt;"",G1378&lt;&gt;""),MAX(0,ROUND(MOD(G1378-F1378,1)*24-N(H1378)/60,2)),N(I1378)))</f>
        <v/>
      </c>
      <c r="N1378" s="14">
        <f>IF(B1378="","",IF(K1378&lt;&gt;"",K1378,IF(N(IFERROR(INDEX(Projects!$D$6:$D$65,MATCH(D1378,Projects!$B$6:$B$65,0)),""))&gt;0,IFERROR(INDEX(Projects!$D$6:$D$65,MATCH(D1378,Projects!$B$6:$B$65,0)),""),IFERROR(INDEX(Clients!$G$6:$G$45,MATCH(C1378,Clients!$B$6:$B$45,0)),0))))</f>
        <v/>
      </c>
      <c r="O1378" s="14">
        <f>IF(B1378="","",IF(J1378&lt;&gt;"",0,ROUND(M1378*N1378,2)))</f>
        <v/>
      </c>
      <c r="P1378" s="15">
        <f>IF(OR(B1378="",J1378&lt;&gt;""),"",IF(L1378&lt;&gt;"",L1378,IF(COUNTIFS(Invoices!$C$6:$C$305,C1378,Invoices!$E$6:$E$305,"&lt;="&amp;B1378,Invoices!$F$6:$F$305,"&gt;="&amp;B1378)=1,INDEX(Invoices!$B$6:$B$305,SUMIFS(Invoices!$O$6:$O$305,Invoices!$C$6:$C$305,C1378,Invoices!$E$6:$E$305,"&lt;="&amp;B1378,Invoices!$F$6:$F$305,"&gt;="&amp;B1378)),IF(COUNTIFS(Invoices!$C$6:$C$305,C1378,Invoices!$E$6:$E$305,"&lt;="&amp;B1378,Invoices!$F$6:$F$305,"&gt;="&amp;B1378)&gt;1,"Two invoices",""))))</f>
        <v/>
      </c>
      <c r="Q1378" s="15">
        <f>IF(B1378="","",IF(J1378&lt;&gt;"","Not billable",IF(P1378="","To invoice",IF(P1378="Two invoices","Check dates",IF(ISNA(MATCH(P1378,Invoices!$B$6:$B$305,0)),"Check number",IF(INDEX(Invoices!$M$6:$M$305,MATCH(P1378,Invoices!$B$6:$B$305,0))="Paid","Paid",IF(INDEX(Invoices!$M$6:$M$305,MATCH(P1378,Invoices!$B$6:$B$305,0))="Draft","Draft","Invoiced")))))))</f>
        <v/>
      </c>
      <c r="R1378" s="1">
        <f>IF(AND(B1378&lt;&gt;"",P1378&lt;&gt;"",P1378=Invoice!$G$4),B1378+MOD(N(F1378),1)+ROW()/10000000,"")</f>
        <v/>
      </c>
      <c r="S1378">
        <f>IF(R1378="","",IF(D1378="","Other work",D1378)&amp;IF(AND(K1378&lt;&gt;"",E1378&lt;&gt;""),", "&amp;E1378,""))</f>
        <v/>
      </c>
      <c r="T1378">
        <f>IF(R1378="","",IF(COUNTIFS(R$6:R1377,"&gt;0",S$6:S1377,S1378,N$6:N1377,N1378)=0,R1378,""))</f>
        <v/>
      </c>
      <c r="U1378">
        <f>IF(B1378="","",IF(J1378&lt;&gt;"",0,M1378))</f>
        <v/>
      </c>
    </row>
    <row r="1379">
      <c r="A1379" s="1" t="n"/>
      <c r="B1379" s="16" t="n"/>
      <c r="C1379" s="17" t="n"/>
      <c r="D1379" s="18" t="n"/>
      <c r="E1379" s="18" t="n"/>
      <c r="F1379" s="19" t="n"/>
      <c r="G1379" s="19" t="n"/>
      <c r="H1379" s="20" t="n"/>
      <c r="I1379" s="21" t="n"/>
      <c r="J1379" s="22" t="n"/>
      <c r="K1379" s="23" t="n"/>
      <c r="L1379" s="18" t="n"/>
      <c r="M1379" s="24">
        <f>IF(B1379="","",IF(AND(F1379&lt;&gt;"",G1379&lt;&gt;""),MAX(0,ROUND(MOD(G1379-F1379,1)*24-N(H1379)/60,2)),N(I1379)))</f>
        <v/>
      </c>
      <c r="N1379" s="14">
        <f>IF(B1379="","",IF(K1379&lt;&gt;"",K1379,IF(N(IFERROR(INDEX(Projects!$D$6:$D$65,MATCH(D1379,Projects!$B$6:$B$65,0)),""))&gt;0,IFERROR(INDEX(Projects!$D$6:$D$65,MATCH(D1379,Projects!$B$6:$B$65,0)),""),IFERROR(INDEX(Clients!$G$6:$G$45,MATCH(C1379,Clients!$B$6:$B$45,0)),0))))</f>
        <v/>
      </c>
      <c r="O1379" s="14">
        <f>IF(B1379="","",IF(J1379&lt;&gt;"",0,ROUND(M1379*N1379,2)))</f>
        <v/>
      </c>
      <c r="P1379" s="15">
        <f>IF(OR(B1379="",J1379&lt;&gt;""),"",IF(L1379&lt;&gt;"",L1379,IF(COUNTIFS(Invoices!$C$6:$C$305,C1379,Invoices!$E$6:$E$305,"&lt;="&amp;B1379,Invoices!$F$6:$F$305,"&gt;="&amp;B1379)=1,INDEX(Invoices!$B$6:$B$305,SUMIFS(Invoices!$O$6:$O$305,Invoices!$C$6:$C$305,C1379,Invoices!$E$6:$E$305,"&lt;="&amp;B1379,Invoices!$F$6:$F$305,"&gt;="&amp;B1379)),IF(COUNTIFS(Invoices!$C$6:$C$305,C1379,Invoices!$E$6:$E$305,"&lt;="&amp;B1379,Invoices!$F$6:$F$305,"&gt;="&amp;B1379)&gt;1,"Two invoices",""))))</f>
        <v/>
      </c>
      <c r="Q1379" s="15">
        <f>IF(B1379="","",IF(J1379&lt;&gt;"","Not billable",IF(P1379="","To invoice",IF(P1379="Two invoices","Check dates",IF(ISNA(MATCH(P1379,Invoices!$B$6:$B$305,0)),"Check number",IF(INDEX(Invoices!$M$6:$M$305,MATCH(P1379,Invoices!$B$6:$B$305,0))="Paid","Paid",IF(INDEX(Invoices!$M$6:$M$305,MATCH(P1379,Invoices!$B$6:$B$305,0))="Draft","Draft","Invoiced")))))))</f>
        <v/>
      </c>
      <c r="R1379" s="1">
        <f>IF(AND(B1379&lt;&gt;"",P1379&lt;&gt;"",P1379=Invoice!$G$4),B1379+MOD(N(F1379),1)+ROW()/10000000,"")</f>
        <v/>
      </c>
      <c r="S1379">
        <f>IF(R1379="","",IF(D1379="","Other work",D1379)&amp;IF(AND(K1379&lt;&gt;"",E1379&lt;&gt;""),", "&amp;E1379,""))</f>
        <v/>
      </c>
      <c r="T1379">
        <f>IF(R1379="","",IF(COUNTIFS(R$6:R1378,"&gt;0",S$6:S1378,S1379,N$6:N1378,N1379)=0,R1379,""))</f>
        <v/>
      </c>
      <c r="U1379">
        <f>IF(B1379="","",IF(J1379&lt;&gt;"",0,M1379))</f>
        <v/>
      </c>
    </row>
    <row r="1380">
      <c r="A1380" s="1" t="n"/>
      <c r="B1380" s="16" t="n"/>
      <c r="C1380" s="17" t="n"/>
      <c r="D1380" s="18" t="n"/>
      <c r="E1380" s="18" t="n"/>
      <c r="F1380" s="19" t="n"/>
      <c r="G1380" s="19" t="n"/>
      <c r="H1380" s="20" t="n"/>
      <c r="I1380" s="21" t="n"/>
      <c r="J1380" s="22" t="n"/>
      <c r="K1380" s="23" t="n"/>
      <c r="L1380" s="18" t="n"/>
      <c r="M1380" s="24">
        <f>IF(B1380="","",IF(AND(F1380&lt;&gt;"",G1380&lt;&gt;""),MAX(0,ROUND(MOD(G1380-F1380,1)*24-N(H1380)/60,2)),N(I1380)))</f>
        <v/>
      </c>
      <c r="N1380" s="14">
        <f>IF(B1380="","",IF(K1380&lt;&gt;"",K1380,IF(N(IFERROR(INDEX(Projects!$D$6:$D$65,MATCH(D1380,Projects!$B$6:$B$65,0)),""))&gt;0,IFERROR(INDEX(Projects!$D$6:$D$65,MATCH(D1380,Projects!$B$6:$B$65,0)),""),IFERROR(INDEX(Clients!$G$6:$G$45,MATCH(C1380,Clients!$B$6:$B$45,0)),0))))</f>
        <v/>
      </c>
      <c r="O1380" s="14">
        <f>IF(B1380="","",IF(J1380&lt;&gt;"",0,ROUND(M1380*N1380,2)))</f>
        <v/>
      </c>
      <c r="P1380" s="15">
        <f>IF(OR(B1380="",J1380&lt;&gt;""),"",IF(L1380&lt;&gt;"",L1380,IF(COUNTIFS(Invoices!$C$6:$C$305,C1380,Invoices!$E$6:$E$305,"&lt;="&amp;B1380,Invoices!$F$6:$F$305,"&gt;="&amp;B1380)=1,INDEX(Invoices!$B$6:$B$305,SUMIFS(Invoices!$O$6:$O$305,Invoices!$C$6:$C$305,C1380,Invoices!$E$6:$E$305,"&lt;="&amp;B1380,Invoices!$F$6:$F$305,"&gt;="&amp;B1380)),IF(COUNTIFS(Invoices!$C$6:$C$305,C1380,Invoices!$E$6:$E$305,"&lt;="&amp;B1380,Invoices!$F$6:$F$305,"&gt;="&amp;B1380)&gt;1,"Two invoices",""))))</f>
        <v/>
      </c>
      <c r="Q1380" s="15">
        <f>IF(B1380="","",IF(J1380&lt;&gt;"","Not billable",IF(P1380="","To invoice",IF(P1380="Two invoices","Check dates",IF(ISNA(MATCH(P1380,Invoices!$B$6:$B$305,0)),"Check number",IF(INDEX(Invoices!$M$6:$M$305,MATCH(P1380,Invoices!$B$6:$B$305,0))="Paid","Paid",IF(INDEX(Invoices!$M$6:$M$305,MATCH(P1380,Invoices!$B$6:$B$305,0))="Draft","Draft","Invoiced")))))))</f>
        <v/>
      </c>
      <c r="R1380" s="1">
        <f>IF(AND(B1380&lt;&gt;"",P1380&lt;&gt;"",P1380=Invoice!$G$4),B1380+MOD(N(F1380),1)+ROW()/10000000,"")</f>
        <v/>
      </c>
      <c r="S1380">
        <f>IF(R1380="","",IF(D1380="","Other work",D1380)&amp;IF(AND(K1380&lt;&gt;"",E1380&lt;&gt;""),", "&amp;E1380,""))</f>
        <v/>
      </c>
      <c r="T1380">
        <f>IF(R1380="","",IF(COUNTIFS(R$6:R1379,"&gt;0",S$6:S1379,S1380,N$6:N1379,N1380)=0,R1380,""))</f>
        <v/>
      </c>
      <c r="U1380">
        <f>IF(B1380="","",IF(J1380&lt;&gt;"",0,M1380))</f>
        <v/>
      </c>
    </row>
    <row r="1381">
      <c r="A1381" s="1" t="n"/>
      <c r="B1381" s="16" t="n"/>
      <c r="C1381" s="17" t="n"/>
      <c r="D1381" s="18" t="n"/>
      <c r="E1381" s="18" t="n"/>
      <c r="F1381" s="19" t="n"/>
      <c r="G1381" s="19" t="n"/>
      <c r="H1381" s="20" t="n"/>
      <c r="I1381" s="21" t="n"/>
      <c r="J1381" s="22" t="n"/>
      <c r="K1381" s="23" t="n"/>
      <c r="L1381" s="18" t="n"/>
      <c r="M1381" s="24">
        <f>IF(B1381="","",IF(AND(F1381&lt;&gt;"",G1381&lt;&gt;""),MAX(0,ROUND(MOD(G1381-F1381,1)*24-N(H1381)/60,2)),N(I1381)))</f>
        <v/>
      </c>
      <c r="N1381" s="14">
        <f>IF(B1381="","",IF(K1381&lt;&gt;"",K1381,IF(N(IFERROR(INDEX(Projects!$D$6:$D$65,MATCH(D1381,Projects!$B$6:$B$65,0)),""))&gt;0,IFERROR(INDEX(Projects!$D$6:$D$65,MATCH(D1381,Projects!$B$6:$B$65,0)),""),IFERROR(INDEX(Clients!$G$6:$G$45,MATCH(C1381,Clients!$B$6:$B$45,0)),0))))</f>
        <v/>
      </c>
      <c r="O1381" s="14">
        <f>IF(B1381="","",IF(J1381&lt;&gt;"",0,ROUND(M1381*N1381,2)))</f>
        <v/>
      </c>
      <c r="P1381" s="15">
        <f>IF(OR(B1381="",J1381&lt;&gt;""),"",IF(L1381&lt;&gt;"",L1381,IF(COUNTIFS(Invoices!$C$6:$C$305,C1381,Invoices!$E$6:$E$305,"&lt;="&amp;B1381,Invoices!$F$6:$F$305,"&gt;="&amp;B1381)=1,INDEX(Invoices!$B$6:$B$305,SUMIFS(Invoices!$O$6:$O$305,Invoices!$C$6:$C$305,C1381,Invoices!$E$6:$E$305,"&lt;="&amp;B1381,Invoices!$F$6:$F$305,"&gt;="&amp;B1381)),IF(COUNTIFS(Invoices!$C$6:$C$305,C1381,Invoices!$E$6:$E$305,"&lt;="&amp;B1381,Invoices!$F$6:$F$305,"&gt;="&amp;B1381)&gt;1,"Two invoices",""))))</f>
        <v/>
      </c>
      <c r="Q1381" s="15">
        <f>IF(B1381="","",IF(J1381&lt;&gt;"","Not billable",IF(P1381="","To invoice",IF(P1381="Two invoices","Check dates",IF(ISNA(MATCH(P1381,Invoices!$B$6:$B$305,0)),"Check number",IF(INDEX(Invoices!$M$6:$M$305,MATCH(P1381,Invoices!$B$6:$B$305,0))="Paid","Paid",IF(INDEX(Invoices!$M$6:$M$305,MATCH(P1381,Invoices!$B$6:$B$305,0))="Draft","Draft","Invoiced")))))))</f>
        <v/>
      </c>
      <c r="R1381" s="1">
        <f>IF(AND(B1381&lt;&gt;"",P1381&lt;&gt;"",P1381=Invoice!$G$4),B1381+MOD(N(F1381),1)+ROW()/10000000,"")</f>
        <v/>
      </c>
      <c r="S1381">
        <f>IF(R1381="","",IF(D1381="","Other work",D1381)&amp;IF(AND(K1381&lt;&gt;"",E1381&lt;&gt;""),", "&amp;E1381,""))</f>
        <v/>
      </c>
      <c r="T1381">
        <f>IF(R1381="","",IF(COUNTIFS(R$6:R1380,"&gt;0",S$6:S1380,S1381,N$6:N1380,N1381)=0,R1381,""))</f>
        <v/>
      </c>
      <c r="U1381">
        <f>IF(B1381="","",IF(J1381&lt;&gt;"",0,M1381))</f>
        <v/>
      </c>
    </row>
    <row r="1382">
      <c r="A1382" s="1" t="n"/>
      <c r="B1382" s="16" t="n"/>
      <c r="C1382" s="17" t="n"/>
      <c r="D1382" s="18" t="n"/>
      <c r="E1382" s="18" t="n"/>
      <c r="F1382" s="19" t="n"/>
      <c r="G1382" s="19" t="n"/>
      <c r="H1382" s="20" t="n"/>
      <c r="I1382" s="21" t="n"/>
      <c r="J1382" s="22" t="n"/>
      <c r="K1382" s="23" t="n"/>
      <c r="L1382" s="18" t="n"/>
      <c r="M1382" s="24">
        <f>IF(B1382="","",IF(AND(F1382&lt;&gt;"",G1382&lt;&gt;""),MAX(0,ROUND(MOD(G1382-F1382,1)*24-N(H1382)/60,2)),N(I1382)))</f>
        <v/>
      </c>
      <c r="N1382" s="14">
        <f>IF(B1382="","",IF(K1382&lt;&gt;"",K1382,IF(N(IFERROR(INDEX(Projects!$D$6:$D$65,MATCH(D1382,Projects!$B$6:$B$65,0)),""))&gt;0,IFERROR(INDEX(Projects!$D$6:$D$65,MATCH(D1382,Projects!$B$6:$B$65,0)),""),IFERROR(INDEX(Clients!$G$6:$G$45,MATCH(C1382,Clients!$B$6:$B$45,0)),0))))</f>
        <v/>
      </c>
      <c r="O1382" s="14">
        <f>IF(B1382="","",IF(J1382&lt;&gt;"",0,ROUND(M1382*N1382,2)))</f>
        <v/>
      </c>
      <c r="P1382" s="15">
        <f>IF(OR(B1382="",J1382&lt;&gt;""),"",IF(L1382&lt;&gt;"",L1382,IF(COUNTIFS(Invoices!$C$6:$C$305,C1382,Invoices!$E$6:$E$305,"&lt;="&amp;B1382,Invoices!$F$6:$F$305,"&gt;="&amp;B1382)=1,INDEX(Invoices!$B$6:$B$305,SUMIFS(Invoices!$O$6:$O$305,Invoices!$C$6:$C$305,C1382,Invoices!$E$6:$E$305,"&lt;="&amp;B1382,Invoices!$F$6:$F$305,"&gt;="&amp;B1382)),IF(COUNTIFS(Invoices!$C$6:$C$305,C1382,Invoices!$E$6:$E$305,"&lt;="&amp;B1382,Invoices!$F$6:$F$305,"&gt;="&amp;B1382)&gt;1,"Two invoices",""))))</f>
        <v/>
      </c>
      <c r="Q1382" s="15">
        <f>IF(B1382="","",IF(J1382&lt;&gt;"","Not billable",IF(P1382="","To invoice",IF(P1382="Two invoices","Check dates",IF(ISNA(MATCH(P1382,Invoices!$B$6:$B$305,0)),"Check number",IF(INDEX(Invoices!$M$6:$M$305,MATCH(P1382,Invoices!$B$6:$B$305,0))="Paid","Paid",IF(INDEX(Invoices!$M$6:$M$305,MATCH(P1382,Invoices!$B$6:$B$305,0))="Draft","Draft","Invoiced")))))))</f>
        <v/>
      </c>
      <c r="R1382" s="1">
        <f>IF(AND(B1382&lt;&gt;"",P1382&lt;&gt;"",P1382=Invoice!$G$4),B1382+MOD(N(F1382),1)+ROW()/10000000,"")</f>
        <v/>
      </c>
      <c r="S1382">
        <f>IF(R1382="","",IF(D1382="","Other work",D1382)&amp;IF(AND(K1382&lt;&gt;"",E1382&lt;&gt;""),", "&amp;E1382,""))</f>
        <v/>
      </c>
      <c r="T1382">
        <f>IF(R1382="","",IF(COUNTIFS(R$6:R1381,"&gt;0",S$6:S1381,S1382,N$6:N1381,N1382)=0,R1382,""))</f>
        <v/>
      </c>
      <c r="U1382">
        <f>IF(B1382="","",IF(J1382&lt;&gt;"",0,M1382))</f>
        <v/>
      </c>
    </row>
    <row r="1383">
      <c r="A1383" s="1" t="n"/>
      <c r="B1383" s="16" t="n"/>
      <c r="C1383" s="17" t="n"/>
      <c r="D1383" s="18" t="n"/>
      <c r="E1383" s="18" t="n"/>
      <c r="F1383" s="19" t="n"/>
      <c r="G1383" s="19" t="n"/>
      <c r="H1383" s="20" t="n"/>
      <c r="I1383" s="21" t="n"/>
      <c r="J1383" s="22" t="n"/>
      <c r="K1383" s="23" t="n"/>
      <c r="L1383" s="18" t="n"/>
      <c r="M1383" s="24">
        <f>IF(B1383="","",IF(AND(F1383&lt;&gt;"",G1383&lt;&gt;""),MAX(0,ROUND(MOD(G1383-F1383,1)*24-N(H1383)/60,2)),N(I1383)))</f>
        <v/>
      </c>
      <c r="N1383" s="14">
        <f>IF(B1383="","",IF(K1383&lt;&gt;"",K1383,IF(N(IFERROR(INDEX(Projects!$D$6:$D$65,MATCH(D1383,Projects!$B$6:$B$65,0)),""))&gt;0,IFERROR(INDEX(Projects!$D$6:$D$65,MATCH(D1383,Projects!$B$6:$B$65,0)),""),IFERROR(INDEX(Clients!$G$6:$G$45,MATCH(C1383,Clients!$B$6:$B$45,0)),0))))</f>
        <v/>
      </c>
      <c r="O1383" s="14">
        <f>IF(B1383="","",IF(J1383&lt;&gt;"",0,ROUND(M1383*N1383,2)))</f>
        <v/>
      </c>
      <c r="P1383" s="15">
        <f>IF(OR(B1383="",J1383&lt;&gt;""),"",IF(L1383&lt;&gt;"",L1383,IF(COUNTIFS(Invoices!$C$6:$C$305,C1383,Invoices!$E$6:$E$305,"&lt;="&amp;B1383,Invoices!$F$6:$F$305,"&gt;="&amp;B1383)=1,INDEX(Invoices!$B$6:$B$305,SUMIFS(Invoices!$O$6:$O$305,Invoices!$C$6:$C$305,C1383,Invoices!$E$6:$E$305,"&lt;="&amp;B1383,Invoices!$F$6:$F$305,"&gt;="&amp;B1383)),IF(COUNTIFS(Invoices!$C$6:$C$305,C1383,Invoices!$E$6:$E$305,"&lt;="&amp;B1383,Invoices!$F$6:$F$305,"&gt;="&amp;B1383)&gt;1,"Two invoices",""))))</f>
        <v/>
      </c>
      <c r="Q1383" s="15">
        <f>IF(B1383="","",IF(J1383&lt;&gt;"","Not billable",IF(P1383="","To invoice",IF(P1383="Two invoices","Check dates",IF(ISNA(MATCH(P1383,Invoices!$B$6:$B$305,0)),"Check number",IF(INDEX(Invoices!$M$6:$M$305,MATCH(P1383,Invoices!$B$6:$B$305,0))="Paid","Paid",IF(INDEX(Invoices!$M$6:$M$305,MATCH(P1383,Invoices!$B$6:$B$305,0))="Draft","Draft","Invoiced")))))))</f>
        <v/>
      </c>
      <c r="R1383" s="1">
        <f>IF(AND(B1383&lt;&gt;"",P1383&lt;&gt;"",P1383=Invoice!$G$4),B1383+MOD(N(F1383),1)+ROW()/10000000,"")</f>
        <v/>
      </c>
      <c r="S1383">
        <f>IF(R1383="","",IF(D1383="","Other work",D1383)&amp;IF(AND(K1383&lt;&gt;"",E1383&lt;&gt;""),", "&amp;E1383,""))</f>
        <v/>
      </c>
      <c r="T1383">
        <f>IF(R1383="","",IF(COUNTIFS(R$6:R1382,"&gt;0",S$6:S1382,S1383,N$6:N1382,N1383)=0,R1383,""))</f>
        <v/>
      </c>
      <c r="U1383">
        <f>IF(B1383="","",IF(J1383&lt;&gt;"",0,M1383))</f>
        <v/>
      </c>
    </row>
    <row r="1384">
      <c r="A1384" s="1" t="n"/>
      <c r="B1384" s="16" t="n"/>
      <c r="C1384" s="17" t="n"/>
      <c r="D1384" s="18" t="n"/>
      <c r="E1384" s="18" t="n"/>
      <c r="F1384" s="19" t="n"/>
      <c r="G1384" s="19" t="n"/>
      <c r="H1384" s="20" t="n"/>
      <c r="I1384" s="21" t="n"/>
      <c r="J1384" s="22" t="n"/>
      <c r="K1384" s="23" t="n"/>
      <c r="L1384" s="18" t="n"/>
      <c r="M1384" s="24">
        <f>IF(B1384="","",IF(AND(F1384&lt;&gt;"",G1384&lt;&gt;""),MAX(0,ROUND(MOD(G1384-F1384,1)*24-N(H1384)/60,2)),N(I1384)))</f>
        <v/>
      </c>
      <c r="N1384" s="14">
        <f>IF(B1384="","",IF(K1384&lt;&gt;"",K1384,IF(N(IFERROR(INDEX(Projects!$D$6:$D$65,MATCH(D1384,Projects!$B$6:$B$65,0)),""))&gt;0,IFERROR(INDEX(Projects!$D$6:$D$65,MATCH(D1384,Projects!$B$6:$B$65,0)),""),IFERROR(INDEX(Clients!$G$6:$G$45,MATCH(C1384,Clients!$B$6:$B$45,0)),0))))</f>
        <v/>
      </c>
      <c r="O1384" s="14">
        <f>IF(B1384="","",IF(J1384&lt;&gt;"",0,ROUND(M1384*N1384,2)))</f>
        <v/>
      </c>
      <c r="P1384" s="15">
        <f>IF(OR(B1384="",J1384&lt;&gt;""),"",IF(L1384&lt;&gt;"",L1384,IF(COUNTIFS(Invoices!$C$6:$C$305,C1384,Invoices!$E$6:$E$305,"&lt;="&amp;B1384,Invoices!$F$6:$F$305,"&gt;="&amp;B1384)=1,INDEX(Invoices!$B$6:$B$305,SUMIFS(Invoices!$O$6:$O$305,Invoices!$C$6:$C$305,C1384,Invoices!$E$6:$E$305,"&lt;="&amp;B1384,Invoices!$F$6:$F$305,"&gt;="&amp;B1384)),IF(COUNTIFS(Invoices!$C$6:$C$305,C1384,Invoices!$E$6:$E$305,"&lt;="&amp;B1384,Invoices!$F$6:$F$305,"&gt;="&amp;B1384)&gt;1,"Two invoices",""))))</f>
        <v/>
      </c>
      <c r="Q1384" s="15">
        <f>IF(B1384="","",IF(J1384&lt;&gt;"","Not billable",IF(P1384="","To invoice",IF(P1384="Two invoices","Check dates",IF(ISNA(MATCH(P1384,Invoices!$B$6:$B$305,0)),"Check number",IF(INDEX(Invoices!$M$6:$M$305,MATCH(P1384,Invoices!$B$6:$B$305,0))="Paid","Paid",IF(INDEX(Invoices!$M$6:$M$305,MATCH(P1384,Invoices!$B$6:$B$305,0))="Draft","Draft","Invoiced")))))))</f>
        <v/>
      </c>
      <c r="R1384" s="1">
        <f>IF(AND(B1384&lt;&gt;"",P1384&lt;&gt;"",P1384=Invoice!$G$4),B1384+MOD(N(F1384),1)+ROW()/10000000,"")</f>
        <v/>
      </c>
      <c r="S1384">
        <f>IF(R1384="","",IF(D1384="","Other work",D1384)&amp;IF(AND(K1384&lt;&gt;"",E1384&lt;&gt;""),", "&amp;E1384,""))</f>
        <v/>
      </c>
      <c r="T1384">
        <f>IF(R1384="","",IF(COUNTIFS(R$6:R1383,"&gt;0",S$6:S1383,S1384,N$6:N1383,N1384)=0,R1384,""))</f>
        <v/>
      </c>
      <c r="U1384">
        <f>IF(B1384="","",IF(J1384&lt;&gt;"",0,M1384))</f>
        <v/>
      </c>
    </row>
    <row r="1385">
      <c r="A1385" s="1" t="n"/>
      <c r="B1385" s="16" t="n"/>
      <c r="C1385" s="17" t="n"/>
      <c r="D1385" s="18" t="n"/>
      <c r="E1385" s="18" t="n"/>
      <c r="F1385" s="19" t="n"/>
      <c r="G1385" s="19" t="n"/>
      <c r="H1385" s="20" t="n"/>
      <c r="I1385" s="21" t="n"/>
      <c r="J1385" s="22" t="n"/>
      <c r="K1385" s="23" t="n"/>
      <c r="L1385" s="18" t="n"/>
      <c r="M1385" s="24">
        <f>IF(B1385="","",IF(AND(F1385&lt;&gt;"",G1385&lt;&gt;""),MAX(0,ROUND(MOD(G1385-F1385,1)*24-N(H1385)/60,2)),N(I1385)))</f>
        <v/>
      </c>
      <c r="N1385" s="14">
        <f>IF(B1385="","",IF(K1385&lt;&gt;"",K1385,IF(N(IFERROR(INDEX(Projects!$D$6:$D$65,MATCH(D1385,Projects!$B$6:$B$65,0)),""))&gt;0,IFERROR(INDEX(Projects!$D$6:$D$65,MATCH(D1385,Projects!$B$6:$B$65,0)),""),IFERROR(INDEX(Clients!$G$6:$G$45,MATCH(C1385,Clients!$B$6:$B$45,0)),0))))</f>
        <v/>
      </c>
      <c r="O1385" s="14">
        <f>IF(B1385="","",IF(J1385&lt;&gt;"",0,ROUND(M1385*N1385,2)))</f>
        <v/>
      </c>
      <c r="P1385" s="15">
        <f>IF(OR(B1385="",J1385&lt;&gt;""),"",IF(L1385&lt;&gt;"",L1385,IF(COUNTIFS(Invoices!$C$6:$C$305,C1385,Invoices!$E$6:$E$305,"&lt;="&amp;B1385,Invoices!$F$6:$F$305,"&gt;="&amp;B1385)=1,INDEX(Invoices!$B$6:$B$305,SUMIFS(Invoices!$O$6:$O$305,Invoices!$C$6:$C$305,C1385,Invoices!$E$6:$E$305,"&lt;="&amp;B1385,Invoices!$F$6:$F$305,"&gt;="&amp;B1385)),IF(COUNTIFS(Invoices!$C$6:$C$305,C1385,Invoices!$E$6:$E$305,"&lt;="&amp;B1385,Invoices!$F$6:$F$305,"&gt;="&amp;B1385)&gt;1,"Two invoices",""))))</f>
        <v/>
      </c>
      <c r="Q1385" s="15">
        <f>IF(B1385="","",IF(J1385&lt;&gt;"","Not billable",IF(P1385="","To invoice",IF(P1385="Two invoices","Check dates",IF(ISNA(MATCH(P1385,Invoices!$B$6:$B$305,0)),"Check number",IF(INDEX(Invoices!$M$6:$M$305,MATCH(P1385,Invoices!$B$6:$B$305,0))="Paid","Paid",IF(INDEX(Invoices!$M$6:$M$305,MATCH(P1385,Invoices!$B$6:$B$305,0))="Draft","Draft","Invoiced")))))))</f>
        <v/>
      </c>
      <c r="R1385" s="1">
        <f>IF(AND(B1385&lt;&gt;"",P1385&lt;&gt;"",P1385=Invoice!$G$4),B1385+MOD(N(F1385),1)+ROW()/10000000,"")</f>
        <v/>
      </c>
      <c r="S1385">
        <f>IF(R1385="","",IF(D1385="","Other work",D1385)&amp;IF(AND(K1385&lt;&gt;"",E1385&lt;&gt;""),", "&amp;E1385,""))</f>
        <v/>
      </c>
      <c r="T1385">
        <f>IF(R1385="","",IF(COUNTIFS(R$6:R1384,"&gt;0",S$6:S1384,S1385,N$6:N1384,N1385)=0,R1385,""))</f>
        <v/>
      </c>
      <c r="U1385">
        <f>IF(B1385="","",IF(J1385&lt;&gt;"",0,M1385))</f>
        <v/>
      </c>
    </row>
    <row r="1386">
      <c r="A1386" s="1" t="n"/>
      <c r="B1386" s="16" t="n"/>
      <c r="C1386" s="17" t="n"/>
      <c r="D1386" s="18" t="n"/>
      <c r="E1386" s="18" t="n"/>
      <c r="F1386" s="19" t="n"/>
      <c r="G1386" s="19" t="n"/>
      <c r="H1386" s="20" t="n"/>
      <c r="I1386" s="21" t="n"/>
      <c r="J1386" s="22" t="n"/>
      <c r="K1386" s="23" t="n"/>
      <c r="L1386" s="18" t="n"/>
      <c r="M1386" s="24">
        <f>IF(B1386="","",IF(AND(F1386&lt;&gt;"",G1386&lt;&gt;""),MAX(0,ROUND(MOD(G1386-F1386,1)*24-N(H1386)/60,2)),N(I1386)))</f>
        <v/>
      </c>
      <c r="N1386" s="14">
        <f>IF(B1386="","",IF(K1386&lt;&gt;"",K1386,IF(N(IFERROR(INDEX(Projects!$D$6:$D$65,MATCH(D1386,Projects!$B$6:$B$65,0)),""))&gt;0,IFERROR(INDEX(Projects!$D$6:$D$65,MATCH(D1386,Projects!$B$6:$B$65,0)),""),IFERROR(INDEX(Clients!$G$6:$G$45,MATCH(C1386,Clients!$B$6:$B$45,0)),0))))</f>
        <v/>
      </c>
      <c r="O1386" s="14">
        <f>IF(B1386="","",IF(J1386&lt;&gt;"",0,ROUND(M1386*N1386,2)))</f>
        <v/>
      </c>
      <c r="P1386" s="15">
        <f>IF(OR(B1386="",J1386&lt;&gt;""),"",IF(L1386&lt;&gt;"",L1386,IF(COUNTIFS(Invoices!$C$6:$C$305,C1386,Invoices!$E$6:$E$305,"&lt;="&amp;B1386,Invoices!$F$6:$F$305,"&gt;="&amp;B1386)=1,INDEX(Invoices!$B$6:$B$305,SUMIFS(Invoices!$O$6:$O$305,Invoices!$C$6:$C$305,C1386,Invoices!$E$6:$E$305,"&lt;="&amp;B1386,Invoices!$F$6:$F$305,"&gt;="&amp;B1386)),IF(COUNTIFS(Invoices!$C$6:$C$305,C1386,Invoices!$E$6:$E$305,"&lt;="&amp;B1386,Invoices!$F$6:$F$305,"&gt;="&amp;B1386)&gt;1,"Two invoices",""))))</f>
        <v/>
      </c>
      <c r="Q1386" s="15">
        <f>IF(B1386="","",IF(J1386&lt;&gt;"","Not billable",IF(P1386="","To invoice",IF(P1386="Two invoices","Check dates",IF(ISNA(MATCH(P1386,Invoices!$B$6:$B$305,0)),"Check number",IF(INDEX(Invoices!$M$6:$M$305,MATCH(P1386,Invoices!$B$6:$B$305,0))="Paid","Paid",IF(INDEX(Invoices!$M$6:$M$305,MATCH(P1386,Invoices!$B$6:$B$305,0))="Draft","Draft","Invoiced")))))))</f>
        <v/>
      </c>
      <c r="R1386" s="1">
        <f>IF(AND(B1386&lt;&gt;"",P1386&lt;&gt;"",P1386=Invoice!$G$4),B1386+MOD(N(F1386),1)+ROW()/10000000,"")</f>
        <v/>
      </c>
      <c r="S1386">
        <f>IF(R1386="","",IF(D1386="","Other work",D1386)&amp;IF(AND(K1386&lt;&gt;"",E1386&lt;&gt;""),", "&amp;E1386,""))</f>
        <v/>
      </c>
      <c r="T1386">
        <f>IF(R1386="","",IF(COUNTIFS(R$6:R1385,"&gt;0",S$6:S1385,S1386,N$6:N1385,N1386)=0,R1386,""))</f>
        <v/>
      </c>
      <c r="U1386">
        <f>IF(B1386="","",IF(J1386&lt;&gt;"",0,M1386))</f>
        <v/>
      </c>
    </row>
    <row r="1387">
      <c r="A1387" s="1" t="n"/>
      <c r="B1387" s="16" t="n"/>
      <c r="C1387" s="17" t="n"/>
      <c r="D1387" s="18" t="n"/>
      <c r="E1387" s="18" t="n"/>
      <c r="F1387" s="19" t="n"/>
      <c r="G1387" s="19" t="n"/>
      <c r="H1387" s="20" t="n"/>
      <c r="I1387" s="21" t="n"/>
      <c r="J1387" s="22" t="n"/>
      <c r="K1387" s="23" t="n"/>
      <c r="L1387" s="18" t="n"/>
      <c r="M1387" s="24">
        <f>IF(B1387="","",IF(AND(F1387&lt;&gt;"",G1387&lt;&gt;""),MAX(0,ROUND(MOD(G1387-F1387,1)*24-N(H1387)/60,2)),N(I1387)))</f>
        <v/>
      </c>
      <c r="N1387" s="14">
        <f>IF(B1387="","",IF(K1387&lt;&gt;"",K1387,IF(N(IFERROR(INDEX(Projects!$D$6:$D$65,MATCH(D1387,Projects!$B$6:$B$65,0)),""))&gt;0,IFERROR(INDEX(Projects!$D$6:$D$65,MATCH(D1387,Projects!$B$6:$B$65,0)),""),IFERROR(INDEX(Clients!$G$6:$G$45,MATCH(C1387,Clients!$B$6:$B$45,0)),0))))</f>
        <v/>
      </c>
      <c r="O1387" s="14">
        <f>IF(B1387="","",IF(J1387&lt;&gt;"",0,ROUND(M1387*N1387,2)))</f>
        <v/>
      </c>
      <c r="P1387" s="15">
        <f>IF(OR(B1387="",J1387&lt;&gt;""),"",IF(L1387&lt;&gt;"",L1387,IF(COUNTIFS(Invoices!$C$6:$C$305,C1387,Invoices!$E$6:$E$305,"&lt;="&amp;B1387,Invoices!$F$6:$F$305,"&gt;="&amp;B1387)=1,INDEX(Invoices!$B$6:$B$305,SUMIFS(Invoices!$O$6:$O$305,Invoices!$C$6:$C$305,C1387,Invoices!$E$6:$E$305,"&lt;="&amp;B1387,Invoices!$F$6:$F$305,"&gt;="&amp;B1387)),IF(COUNTIFS(Invoices!$C$6:$C$305,C1387,Invoices!$E$6:$E$305,"&lt;="&amp;B1387,Invoices!$F$6:$F$305,"&gt;="&amp;B1387)&gt;1,"Two invoices",""))))</f>
        <v/>
      </c>
      <c r="Q1387" s="15">
        <f>IF(B1387="","",IF(J1387&lt;&gt;"","Not billable",IF(P1387="","To invoice",IF(P1387="Two invoices","Check dates",IF(ISNA(MATCH(P1387,Invoices!$B$6:$B$305,0)),"Check number",IF(INDEX(Invoices!$M$6:$M$305,MATCH(P1387,Invoices!$B$6:$B$305,0))="Paid","Paid",IF(INDEX(Invoices!$M$6:$M$305,MATCH(P1387,Invoices!$B$6:$B$305,0))="Draft","Draft","Invoiced")))))))</f>
        <v/>
      </c>
      <c r="R1387" s="1">
        <f>IF(AND(B1387&lt;&gt;"",P1387&lt;&gt;"",P1387=Invoice!$G$4),B1387+MOD(N(F1387),1)+ROW()/10000000,"")</f>
        <v/>
      </c>
      <c r="S1387">
        <f>IF(R1387="","",IF(D1387="","Other work",D1387)&amp;IF(AND(K1387&lt;&gt;"",E1387&lt;&gt;""),", "&amp;E1387,""))</f>
        <v/>
      </c>
      <c r="T1387">
        <f>IF(R1387="","",IF(COUNTIFS(R$6:R1386,"&gt;0",S$6:S1386,S1387,N$6:N1386,N1387)=0,R1387,""))</f>
        <v/>
      </c>
      <c r="U1387">
        <f>IF(B1387="","",IF(J1387&lt;&gt;"",0,M1387))</f>
        <v/>
      </c>
    </row>
    <row r="1388">
      <c r="A1388" s="1" t="n"/>
      <c r="B1388" s="16" t="n"/>
      <c r="C1388" s="17" t="n"/>
      <c r="D1388" s="18" t="n"/>
      <c r="E1388" s="18" t="n"/>
      <c r="F1388" s="19" t="n"/>
      <c r="G1388" s="19" t="n"/>
      <c r="H1388" s="20" t="n"/>
      <c r="I1388" s="21" t="n"/>
      <c r="J1388" s="22" t="n"/>
      <c r="K1388" s="23" t="n"/>
      <c r="L1388" s="18" t="n"/>
      <c r="M1388" s="24">
        <f>IF(B1388="","",IF(AND(F1388&lt;&gt;"",G1388&lt;&gt;""),MAX(0,ROUND(MOD(G1388-F1388,1)*24-N(H1388)/60,2)),N(I1388)))</f>
        <v/>
      </c>
      <c r="N1388" s="14">
        <f>IF(B1388="","",IF(K1388&lt;&gt;"",K1388,IF(N(IFERROR(INDEX(Projects!$D$6:$D$65,MATCH(D1388,Projects!$B$6:$B$65,0)),""))&gt;0,IFERROR(INDEX(Projects!$D$6:$D$65,MATCH(D1388,Projects!$B$6:$B$65,0)),""),IFERROR(INDEX(Clients!$G$6:$G$45,MATCH(C1388,Clients!$B$6:$B$45,0)),0))))</f>
        <v/>
      </c>
      <c r="O1388" s="14">
        <f>IF(B1388="","",IF(J1388&lt;&gt;"",0,ROUND(M1388*N1388,2)))</f>
        <v/>
      </c>
      <c r="P1388" s="15">
        <f>IF(OR(B1388="",J1388&lt;&gt;""),"",IF(L1388&lt;&gt;"",L1388,IF(COUNTIFS(Invoices!$C$6:$C$305,C1388,Invoices!$E$6:$E$305,"&lt;="&amp;B1388,Invoices!$F$6:$F$305,"&gt;="&amp;B1388)=1,INDEX(Invoices!$B$6:$B$305,SUMIFS(Invoices!$O$6:$O$305,Invoices!$C$6:$C$305,C1388,Invoices!$E$6:$E$305,"&lt;="&amp;B1388,Invoices!$F$6:$F$305,"&gt;="&amp;B1388)),IF(COUNTIFS(Invoices!$C$6:$C$305,C1388,Invoices!$E$6:$E$305,"&lt;="&amp;B1388,Invoices!$F$6:$F$305,"&gt;="&amp;B1388)&gt;1,"Two invoices",""))))</f>
        <v/>
      </c>
      <c r="Q1388" s="15">
        <f>IF(B1388="","",IF(J1388&lt;&gt;"","Not billable",IF(P1388="","To invoice",IF(P1388="Two invoices","Check dates",IF(ISNA(MATCH(P1388,Invoices!$B$6:$B$305,0)),"Check number",IF(INDEX(Invoices!$M$6:$M$305,MATCH(P1388,Invoices!$B$6:$B$305,0))="Paid","Paid",IF(INDEX(Invoices!$M$6:$M$305,MATCH(P1388,Invoices!$B$6:$B$305,0))="Draft","Draft","Invoiced")))))))</f>
        <v/>
      </c>
      <c r="R1388" s="1">
        <f>IF(AND(B1388&lt;&gt;"",P1388&lt;&gt;"",P1388=Invoice!$G$4),B1388+MOD(N(F1388),1)+ROW()/10000000,"")</f>
        <v/>
      </c>
      <c r="S1388">
        <f>IF(R1388="","",IF(D1388="","Other work",D1388)&amp;IF(AND(K1388&lt;&gt;"",E1388&lt;&gt;""),", "&amp;E1388,""))</f>
        <v/>
      </c>
      <c r="T1388">
        <f>IF(R1388="","",IF(COUNTIFS(R$6:R1387,"&gt;0",S$6:S1387,S1388,N$6:N1387,N1388)=0,R1388,""))</f>
        <v/>
      </c>
      <c r="U1388">
        <f>IF(B1388="","",IF(J1388&lt;&gt;"",0,M1388))</f>
        <v/>
      </c>
    </row>
    <row r="1389">
      <c r="A1389" s="1" t="n"/>
      <c r="B1389" s="16" t="n"/>
      <c r="C1389" s="17" t="n"/>
      <c r="D1389" s="18" t="n"/>
      <c r="E1389" s="18" t="n"/>
      <c r="F1389" s="19" t="n"/>
      <c r="G1389" s="19" t="n"/>
      <c r="H1389" s="20" t="n"/>
      <c r="I1389" s="21" t="n"/>
      <c r="J1389" s="22" t="n"/>
      <c r="K1389" s="23" t="n"/>
      <c r="L1389" s="18" t="n"/>
      <c r="M1389" s="24">
        <f>IF(B1389="","",IF(AND(F1389&lt;&gt;"",G1389&lt;&gt;""),MAX(0,ROUND(MOD(G1389-F1389,1)*24-N(H1389)/60,2)),N(I1389)))</f>
        <v/>
      </c>
      <c r="N1389" s="14">
        <f>IF(B1389="","",IF(K1389&lt;&gt;"",K1389,IF(N(IFERROR(INDEX(Projects!$D$6:$D$65,MATCH(D1389,Projects!$B$6:$B$65,0)),""))&gt;0,IFERROR(INDEX(Projects!$D$6:$D$65,MATCH(D1389,Projects!$B$6:$B$65,0)),""),IFERROR(INDEX(Clients!$G$6:$G$45,MATCH(C1389,Clients!$B$6:$B$45,0)),0))))</f>
        <v/>
      </c>
      <c r="O1389" s="14">
        <f>IF(B1389="","",IF(J1389&lt;&gt;"",0,ROUND(M1389*N1389,2)))</f>
        <v/>
      </c>
      <c r="P1389" s="15">
        <f>IF(OR(B1389="",J1389&lt;&gt;""),"",IF(L1389&lt;&gt;"",L1389,IF(COUNTIFS(Invoices!$C$6:$C$305,C1389,Invoices!$E$6:$E$305,"&lt;="&amp;B1389,Invoices!$F$6:$F$305,"&gt;="&amp;B1389)=1,INDEX(Invoices!$B$6:$B$305,SUMIFS(Invoices!$O$6:$O$305,Invoices!$C$6:$C$305,C1389,Invoices!$E$6:$E$305,"&lt;="&amp;B1389,Invoices!$F$6:$F$305,"&gt;="&amp;B1389)),IF(COUNTIFS(Invoices!$C$6:$C$305,C1389,Invoices!$E$6:$E$305,"&lt;="&amp;B1389,Invoices!$F$6:$F$305,"&gt;="&amp;B1389)&gt;1,"Two invoices",""))))</f>
        <v/>
      </c>
      <c r="Q1389" s="15">
        <f>IF(B1389="","",IF(J1389&lt;&gt;"","Not billable",IF(P1389="","To invoice",IF(P1389="Two invoices","Check dates",IF(ISNA(MATCH(P1389,Invoices!$B$6:$B$305,0)),"Check number",IF(INDEX(Invoices!$M$6:$M$305,MATCH(P1389,Invoices!$B$6:$B$305,0))="Paid","Paid",IF(INDEX(Invoices!$M$6:$M$305,MATCH(P1389,Invoices!$B$6:$B$305,0))="Draft","Draft","Invoiced")))))))</f>
        <v/>
      </c>
      <c r="R1389" s="1">
        <f>IF(AND(B1389&lt;&gt;"",P1389&lt;&gt;"",P1389=Invoice!$G$4),B1389+MOD(N(F1389),1)+ROW()/10000000,"")</f>
        <v/>
      </c>
      <c r="S1389">
        <f>IF(R1389="","",IF(D1389="","Other work",D1389)&amp;IF(AND(K1389&lt;&gt;"",E1389&lt;&gt;""),", "&amp;E1389,""))</f>
        <v/>
      </c>
      <c r="T1389">
        <f>IF(R1389="","",IF(COUNTIFS(R$6:R1388,"&gt;0",S$6:S1388,S1389,N$6:N1388,N1389)=0,R1389,""))</f>
        <v/>
      </c>
      <c r="U1389">
        <f>IF(B1389="","",IF(J1389&lt;&gt;"",0,M1389))</f>
        <v/>
      </c>
    </row>
    <row r="1390">
      <c r="A1390" s="1" t="n"/>
      <c r="B1390" s="16" t="n"/>
      <c r="C1390" s="17" t="n"/>
      <c r="D1390" s="18" t="n"/>
      <c r="E1390" s="18" t="n"/>
      <c r="F1390" s="19" t="n"/>
      <c r="G1390" s="19" t="n"/>
      <c r="H1390" s="20" t="n"/>
      <c r="I1390" s="21" t="n"/>
      <c r="J1390" s="22" t="n"/>
      <c r="K1390" s="23" t="n"/>
      <c r="L1390" s="18" t="n"/>
      <c r="M1390" s="24">
        <f>IF(B1390="","",IF(AND(F1390&lt;&gt;"",G1390&lt;&gt;""),MAX(0,ROUND(MOD(G1390-F1390,1)*24-N(H1390)/60,2)),N(I1390)))</f>
        <v/>
      </c>
      <c r="N1390" s="14">
        <f>IF(B1390="","",IF(K1390&lt;&gt;"",K1390,IF(N(IFERROR(INDEX(Projects!$D$6:$D$65,MATCH(D1390,Projects!$B$6:$B$65,0)),""))&gt;0,IFERROR(INDEX(Projects!$D$6:$D$65,MATCH(D1390,Projects!$B$6:$B$65,0)),""),IFERROR(INDEX(Clients!$G$6:$G$45,MATCH(C1390,Clients!$B$6:$B$45,0)),0))))</f>
        <v/>
      </c>
      <c r="O1390" s="14">
        <f>IF(B1390="","",IF(J1390&lt;&gt;"",0,ROUND(M1390*N1390,2)))</f>
        <v/>
      </c>
      <c r="P1390" s="15">
        <f>IF(OR(B1390="",J1390&lt;&gt;""),"",IF(L1390&lt;&gt;"",L1390,IF(COUNTIFS(Invoices!$C$6:$C$305,C1390,Invoices!$E$6:$E$305,"&lt;="&amp;B1390,Invoices!$F$6:$F$305,"&gt;="&amp;B1390)=1,INDEX(Invoices!$B$6:$B$305,SUMIFS(Invoices!$O$6:$O$305,Invoices!$C$6:$C$305,C1390,Invoices!$E$6:$E$305,"&lt;="&amp;B1390,Invoices!$F$6:$F$305,"&gt;="&amp;B1390)),IF(COUNTIFS(Invoices!$C$6:$C$305,C1390,Invoices!$E$6:$E$305,"&lt;="&amp;B1390,Invoices!$F$6:$F$305,"&gt;="&amp;B1390)&gt;1,"Two invoices",""))))</f>
        <v/>
      </c>
      <c r="Q1390" s="15">
        <f>IF(B1390="","",IF(J1390&lt;&gt;"","Not billable",IF(P1390="","To invoice",IF(P1390="Two invoices","Check dates",IF(ISNA(MATCH(P1390,Invoices!$B$6:$B$305,0)),"Check number",IF(INDEX(Invoices!$M$6:$M$305,MATCH(P1390,Invoices!$B$6:$B$305,0))="Paid","Paid",IF(INDEX(Invoices!$M$6:$M$305,MATCH(P1390,Invoices!$B$6:$B$305,0))="Draft","Draft","Invoiced")))))))</f>
        <v/>
      </c>
      <c r="R1390" s="1">
        <f>IF(AND(B1390&lt;&gt;"",P1390&lt;&gt;"",P1390=Invoice!$G$4),B1390+MOD(N(F1390),1)+ROW()/10000000,"")</f>
        <v/>
      </c>
      <c r="S1390">
        <f>IF(R1390="","",IF(D1390="","Other work",D1390)&amp;IF(AND(K1390&lt;&gt;"",E1390&lt;&gt;""),", "&amp;E1390,""))</f>
        <v/>
      </c>
      <c r="T1390">
        <f>IF(R1390="","",IF(COUNTIFS(R$6:R1389,"&gt;0",S$6:S1389,S1390,N$6:N1389,N1390)=0,R1390,""))</f>
        <v/>
      </c>
      <c r="U1390">
        <f>IF(B1390="","",IF(J1390&lt;&gt;"",0,M1390))</f>
        <v/>
      </c>
    </row>
    <row r="1391">
      <c r="A1391" s="1" t="n"/>
      <c r="B1391" s="16" t="n"/>
      <c r="C1391" s="17" t="n"/>
      <c r="D1391" s="18" t="n"/>
      <c r="E1391" s="18" t="n"/>
      <c r="F1391" s="19" t="n"/>
      <c r="G1391" s="19" t="n"/>
      <c r="H1391" s="20" t="n"/>
      <c r="I1391" s="21" t="n"/>
      <c r="J1391" s="22" t="n"/>
      <c r="K1391" s="23" t="n"/>
      <c r="L1391" s="18" t="n"/>
      <c r="M1391" s="24">
        <f>IF(B1391="","",IF(AND(F1391&lt;&gt;"",G1391&lt;&gt;""),MAX(0,ROUND(MOD(G1391-F1391,1)*24-N(H1391)/60,2)),N(I1391)))</f>
        <v/>
      </c>
      <c r="N1391" s="14">
        <f>IF(B1391="","",IF(K1391&lt;&gt;"",K1391,IF(N(IFERROR(INDEX(Projects!$D$6:$D$65,MATCH(D1391,Projects!$B$6:$B$65,0)),""))&gt;0,IFERROR(INDEX(Projects!$D$6:$D$65,MATCH(D1391,Projects!$B$6:$B$65,0)),""),IFERROR(INDEX(Clients!$G$6:$G$45,MATCH(C1391,Clients!$B$6:$B$45,0)),0))))</f>
        <v/>
      </c>
      <c r="O1391" s="14">
        <f>IF(B1391="","",IF(J1391&lt;&gt;"",0,ROUND(M1391*N1391,2)))</f>
        <v/>
      </c>
      <c r="P1391" s="15">
        <f>IF(OR(B1391="",J1391&lt;&gt;""),"",IF(L1391&lt;&gt;"",L1391,IF(COUNTIFS(Invoices!$C$6:$C$305,C1391,Invoices!$E$6:$E$305,"&lt;="&amp;B1391,Invoices!$F$6:$F$305,"&gt;="&amp;B1391)=1,INDEX(Invoices!$B$6:$B$305,SUMIFS(Invoices!$O$6:$O$305,Invoices!$C$6:$C$305,C1391,Invoices!$E$6:$E$305,"&lt;="&amp;B1391,Invoices!$F$6:$F$305,"&gt;="&amp;B1391)),IF(COUNTIFS(Invoices!$C$6:$C$305,C1391,Invoices!$E$6:$E$305,"&lt;="&amp;B1391,Invoices!$F$6:$F$305,"&gt;="&amp;B1391)&gt;1,"Two invoices",""))))</f>
        <v/>
      </c>
      <c r="Q1391" s="15">
        <f>IF(B1391="","",IF(J1391&lt;&gt;"","Not billable",IF(P1391="","To invoice",IF(P1391="Two invoices","Check dates",IF(ISNA(MATCH(P1391,Invoices!$B$6:$B$305,0)),"Check number",IF(INDEX(Invoices!$M$6:$M$305,MATCH(P1391,Invoices!$B$6:$B$305,0))="Paid","Paid",IF(INDEX(Invoices!$M$6:$M$305,MATCH(P1391,Invoices!$B$6:$B$305,0))="Draft","Draft","Invoiced")))))))</f>
        <v/>
      </c>
      <c r="R1391" s="1">
        <f>IF(AND(B1391&lt;&gt;"",P1391&lt;&gt;"",P1391=Invoice!$G$4),B1391+MOD(N(F1391),1)+ROW()/10000000,"")</f>
        <v/>
      </c>
      <c r="S1391">
        <f>IF(R1391="","",IF(D1391="","Other work",D1391)&amp;IF(AND(K1391&lt;&gt;"",E1391&lt;&gt;""),", "&amp;E1391,""))</f>
        <v/>
      </c>
      <c r="T1391">
        <f>IF(R1391="","",IF(COUNTIFS(R$6:R1390,"&gt;0",S$6:S1390,S1391,N$6:N1390,N1391)=0,R1391,""))</f>
        <v/>
      </c>
      <c r="U1391">
        <f>IF(B1391="","",IF(J1391&lt;&gt;"",0,M1391))</f>
        <v/>
      </c>
    </row>
    <row r="1392">
      <c r="A1392" s="1" t="n"/>
      <c r="B1392" s="16" t="n"/>
      <c r="C1392" s="17" t="n"/>
      <c r="D1392" s="18" t="n"/>
      <c r="E1392" s="18" t="n"/>
      <c r="F1392" s="19" t="n"/>
      <c r="G1392" s="19" t="n"/>
      <c r="H1392" s="20" t="n"/>
      <c r="I1392" s="21" t="n"/>
      <c r="J1392" s="22" t="n"/>
      <c r="K1392" s="23" t="n"/>
      <c r="L1392" s="18" t="n"/>
      <c r="M1392" s="24">
        <f>IF(B1392="","",IF(AND(F1392&lt;&gt;"",G1392&lt;&gt;""),MAX(0,ROUND(MOD(G1392-F1392,1)*24-N(H1392)/60,2)),N(I1392)))</f>
        <v/>
      </c>
      <c r="N1392" s="14">
        <f>IF(B1392="","",IF(K1392&lt;&gt;"",K1392,IF(N(IFERROR(INDEX(Projects!$D$6:$D$65,MATCH(D1392,Projects!$B$6:$B$65,0)),""))&gt;0,IFERROR(INDEX(Projects!$D$6:$D$65,MATCH(D1392,Projects!$B$6:$B$65,0)),""),IFERROR(INDEX(Clients!$G$6:$G$45,MATCH(C1392,Clients!$B$6:$B$45,0)),0))))</f>
        <v/>
      </c>
      <c r="O1392" s="14">
        <f>IF(B1392="","",IF(J1392&lt;&gt;"",0,ROUND(M1392*N1392,2)))</f>
        <v/>
      </c>
      <c r="P1392" s="15">
        <f>IF(OR(B1392="",J1392&lt;&gt;""),"",IF(L1392&lt;&gt;"",L1392,IF(COUNTIFS(Invoices!$C$6:$C$305,C1392,Invoices!$E$6:$E$305,"&lt;="&amp;B1392,Invoices!$F$6:$F$305,"&gt;="&amp;B1392)=1,INDEX(Invoices!$B$6:$B$305,SUMIFS(Invoices!$O$6:$O$305,Invoices!$C$6:$C$305,C1392,Invoices!$E$6:$E$305,"&lt;="&amp;B1392,Invoices!$F$6:$F$305,"&gt;="&amp;B1392)),IF(COUNTIFS(Invoices!$C$6:$C$305,C1392,Invoices!$E$6:$E$305,"&lt;="&amp;B1392,Invoices!$F$6:$F$305,"&gt;="&amp;B1392)&gt;1,"Two invoices",""))))</f>
        <v/>
      </c>
      <c r="Q1392" s="15">
        <f>IF(B1392="","",IF(J1392&lt;&gt;"","Not billable",IF(P1392="","To invoice",IF(P1392="Two invoices","Check dates",IF(ISNA(MATCH(P1392,Invoices!$B$6:$B$305,0)),"Check number",IF(INDEX(Invoices!$M$6:$M$305,MATCH(P1392,Invoices!$B$6:$B$305,0))="Paid","Paid",IF(INDEX(Invoices!$M$6:$M$305,MATCH(P1392,Invoices!$B$6:$B$305,0))="Draft","Draft","Invoiced")))))))</f>
        <v/>
      </c>
      <c r="R1392" s="1">
        <f>IF(AND(B1392&lt;&gt;"",P1392&lt;&gt;"",P1392=Invoice!$G$4),B1392+MOD(N(F1392),1)+ROW()/10000000,"")</f>
        <v/>
      </c>
      <c r="S1392">
        <f>IF(R1392="","",IF(D1392="","Other work",D1392)&amp;IF(AND(K1392&lt;&gt;"",E1392&lt;&gt;""),", "&amp;E1392,""))</f>
        <v/>
      </c>
      <c r="T1392">
        <f>IF(R1392="","",IF(COUNTIFS(R$6:R1391,"&gt;0",S$6:S1391,S1392,N$6:N1391,N1392)=0,R1392,""))</f>
        <v/>
      </c>
      <c r="U1392">
        <f>IF(B1392="","",IF(J1392&lt;&gt;"",0,M1392))</f>
        <v/>
      </c>
    </row>
    <row r="1393">
      <c r="A1393" s="1" t="n"/>
      <c r="B1393" s="16" t="n"/>
      <c r="C1393" s="17" t="n"/>
      <c r="D1393" s="18" t="n"/>
      <c r="E1393" s="18" t="n"/>
      <c r="F1393" s="19" t="n"/>
      <c r="G1393" s="19" t="n"/>
      <c r="H1393" s="20" t="n"/>
      <c r="I1393" s="21" t="n"/>
      <c r="J1393" s="22" t="n"/>
      <c r="K1393" s="23" t="n"/>
      <c r="L1393" s="18" t="n"/>
      <c r="M1393" s="24">
        <f>IF(B1393="","",IF(AND(F1393&lt;&gt;"",G1393&lt;&gt;""),MAX(0,ROUND(MOD(G1393-F1393,1)*24-N(H1393)/60,2)),N(I1393)))</f>
        <v/>
      </c>
      <c r="N1393" s="14">
        <f>IF(B1393="","",IF(K1393&lt;&gt;"",K1393,IF(N(IFERROR(INDEX(Projects!$D$6:$D$65,MATCH(D1393,Projects!$B$6:$B$65,0)),""))&gt;0,IFERROR(INDEX(Projects!$D$6:$D$65,MATCH(D1393,Projects!$B$6:$B$65,0)),""),IFERROR(INDEX(Clients!$G$6:$G$45,MATCH(C1393,Clients!$B$6:$B$45,0)),0))))</f>
        <v/>
      </c>
      <c r="O1393" s="14">
        <f>IF(B1393="","",IF(J1393&lt;&gt;"",0,ROUND(M1393*N1393,2)))</f>
        <v/>
      </c>
      <c r="P1393" s="15">
        <f>IF(OR(B1393="",J1393&lt;&gt;""),"",IF(L1393&lt;&gt;"",L1393,IF(COUNTIFS(Invoices!$C$6:$C$305,C1393,Invoices!$E$6:$E$305,"&lt;="&amp;B1393,Invoices!$F$6:$F$305,"&gt;="&amp;B1393)=1,INDEX(Invoices!$B$6:$B$305,SUMIFS(Invoices!$O$6:$O$305,Invoices!$C$6:$C$305,C1393,Invoices!$E$6:$E$305,"&lt;="&amp;B1393,Invoices!$F$6:$F$305,"&gt;="&amp;B1393)),IF(COUNTIFS(Invoices!$C$6:$C$305,C1393,Invoices!$E$6:$E$305,"&lt;="&amp;B1393,Invoices!$F$6:$F$305,"&gt;="&amp;B1393)&gt;1,"Two invoices",""))))</f>
        <v/>
      </c>
      <c r="Q1393" s="15">
        <f>IF(B1393="","",IF(J1393&lt;&gt;"","Not billable",IF(P1393="","To invoice",IF(P1393="Two invoices","Check dates",IF(ISNA(MATCH(P1393,Invoices!$B$6:$B$305,0)),"Check number",IF(INDEX(Invoices!$M$6:$M$305,MATCH(P1393,Invoices!$B$6:$B$305,0))="Paid","Paid",IF(INDEX(Invoices!$M$6:$M$305,MATCH(P1393,Invoices!$B$6:$B$305,0))="Draft","Draft","Invoiced")))))))</f>
        <v/>
      </c>
      <c r="R1393" s="1">
        <f>IF(AND(B1393&lt;&gt;"",P1393&lt;&gt;"",P1393=Invoice!$G$4),B1393+MOD(N(F1393),1)+ROW()/10000000,"")</f>
        <v/>
      </c>
      <c r="S1393">
        <f>IF(R1393="","",IF(D1393="","Other work",D1393)&amp;IF(AND(K1393&lt;&gt;"",E1393&lt;&gt;""),", "&amp;E1393,""))</f>
        <v/>
      </c>
      <c r="T1393">
        <f>IF(R1393="","",IF(COUNTIFS(R$6:R1392,"&gt;0",S$6:S1392,S1393,N$6:N1392,N1393)=0,R1393,""))</f>
        <v/>
      </c>
      <c r="U1393">
        <f>IF(B1393="","",IF(J1393&lt;&gt;"",0,M1393))</f>
        <v/>
      </c>
    </row>
    <row r="1394">
      <c r="A1394" s="1" t="n"/>
      <c r="B1394" s="16" t="n"/>
      <c r="C1394" s="17" t="n"/>
      <c r="D1394" s="18" t="n"/>
      <c r="E1394" s="18" t="n"/>
      <c r="F1394" s="19" t="n"/>
      <c r="G1394" s="19" t="n"/>
      <c r="H1394" s="20" t="n"/>
      <c r="I1394" s="21" t="n"/>
      <c r="J1394" s="22" t="n"/>
      <c r="K1394" s="23" t="n"/>
      <c r="L1394" s="18" t="n"/>
      <c r="M1394" s="24">
        <f>IF(B1394="","",IF(AND(F1394&lt;&gt;"",G1394&lt;&gt;""),MAX(0,ROUND(MOD(G1394-F1394,1)*24-N(H1394)/60,2)),N(I1394)))</f>
        <v/>
      </c>
      <c r="N1394" s="14">
        <f>IF(B1394="","",IF(K1394&lt;&gt;"",K1394,IF(N(IFERROR(INDEX(Projects!$D$6:$D$65,MATCH(D1394,Projects!$B$6:$B$65,0)),""))&gt;0,IFERROR(INDEX(Projects!$D$6:$D$65,MATCH(D1394,Projects!$B$6:$B$65,0)),""),IFERROR(INDEX(Clients!$G$6:$G$45,MATCH(C1394,Clients!$B$6:$B$45,0)),0))))</f>
        <v/>
      </c>
      <c r="O1394" s="14">
        <f>IF(B1394="","",IF(J1394&lt;&gt;"",0,ROUND(M1394*N1394,2)))</f>
        <v/>
      </c>
      <c r="P1394" s="15">
        <f>IF(OR(B1394="",J1394&lt;&gt;""),"",IF(L1394&lt;&gt;"",L1394,IF(COUNTIFS(Invoices!$C$6:$C$305,C1394,Invoices!$E$6:$E$305,"&lt;="&amp;B1394,Invoices!$F$6:$F$305,"&gt;="&amp;B1394)=1,INDEX(Invoices!$B$6:$B$305,SUMIFS(Invoices!$O$6:$O$305,Invoices!$C$6:$C$305,C1394,Invoices!$E$6:$E$305,"&lt;="&amp;B1394,Invoices!$F$6:$F$305,"&gt;="&amp;B1394)),IF(COUNTIFS(Invoices!$C$6:$C$305,C1394,Invoices!$E$6:$E$305,"&lt;="&amp;B1394,Invoices!$F$6:$F$305,"&gt;="&amp;B1394)&gt;1,"Two invoices",""))))</f>
        <v/>
      </c>
      <c r="Q1394" s="15">
        <f>IF(B1394="","",IF(J1394&lt;&gt;"","Not billable",IF(P1394="","To invoice",IF(P1394="Two invoices","Check dates",IF(ISNA(MATCH(P1394,Invoices!$B$6:$B$305,0)),"Check number",IF(INDEX(Invoices!$M$6:$M$305,MATCH(P1394,Invoices!$B$6:$B$305,0))="Paid","Paid",IF(INDEX(Invoices!$M$6:$M$305,MATCH(P1394,Invoices!$B$6:$B$305,0))="Draft","Draft","Invoiced")))))))</f>
        <v/>
      </c>
      <c r="R1394" s="1">
        <f>IF(AND(B1394&lt;&gt;"",P1394&lt;&gt;"",P1394=Invoice!$G$4),B1394+MOD(N(F1394),1)+ROW()/10000000,"")</f>
        <v/>
      </c>
      <c r="S1394">
        <f>IF(R1394="","",IF(D1394="","Other work",D1394)&amp;IF(AND(K1394&lt;&gt;"",E1394&lt;&gt;""),", "&amp;E1394,""))</f>
        <v/>
      </c>
      <c r="T1394">
        <f>IF(R1394="","",IF(COUNTIFS(R$6:R1393,"&gt;0",S$6:S1393,S1394,N$6:N1393,N1394)=0,R1394,""))</f>
        <v/>
      </c>
      <c r="U1394">
        <f>IF(B1394="","",IF(J1394&lt;&gt;"",0,M1394))</f>
        <v/>
      </c>
    </row>
    <row r="1395">
      <c r="A1395" s="1" t="n"/>
      <c r="B1395" s="16" t="n"/>
      <c r="C1395" s="17" t="n"/>
      <c r="D1395" s="18" t="n"/>
      <c r="E1395" s="18" t="n"/>
      <c r="F1395" s="19" t="n"/>
      <c r="G1395" s="19" t="n"/>
      <c r="H1395" s="20" t="n"/>
      <c r="I1395" s="21" t="n"/>
      <c r="J1395" s="22" t="n"/>
      <c r="K1395" s="23" t="n"/>
      <c r="L1395" s="18" t="n"/>
      <c r="M1395" s="24">
        <f>IF(B1395="","",IF(AND(F1395&lt;&gt;"",G1395&lt;&gt;""),MAX(0,ROUND(MOD(G1395-F1395,1)*24-N(H1395)/60,2)),N(I1395)))</f>
        <v/>
      </c>
      <c r="N1395" s="14">
        <f>IF(B1395="","",IF(K1395&lt;&gt;"",K1395,IF(N(IFERROR(INDEX(Projects!$D$6:$D$65,MATCH(D1395,Projects!$B$6:$B$65,0)),""))&gt;0,IFERROR(INDEX(Projects!$D$6:$D$65,MATCH(D1395,Projects!$B$6:$B$65,0)),""),IFERROR(INDEX(Clients!$G$6:$G$45,MATCH(C1395,Clients!$B$6:$B$45,0)),0))))</f>
        <v/>
      </c>
      <c r="O1395" s="14">
        <f>IF(B1395="","",IF(J1395&lt;&gt;"",0,ROUND(M1395*N1395,2)))</f>
        <v/>
      </c>
      <c r="P1395" s="15">
        <f>IF(OR(B1395="",J1395&lt;&gt;""),"",IF(L1395&lt;&gt;"",L1395,IF(COUNTIFS(Invoices!$C$6:$C$305,C1395,Invoices!$E$6:$E$305,"&lt;="&amp;B1395,Invoices!$F$6:$F$305,"&gt;="&amp;B1395)=1,INDEX(Invoices!$B$6:$B$305,SUMIFS(Invoices!$O$6:$O$305,Invoices!$C$6:$C$305,C1395,Invoices!$E$6:$E$305,"&lt;="&amp;B1395,Invoices!$F$6:$F$305,"&gt;="&amp;B1395)),IF(COUNTIFS(Invoices!$C$6:$C$305,C1395,Invoices!$E$6:$E$305,"&lt;="&amp;B1395,Invoices!$F$6:$F$305,"&gt;="&amp;B1395)&gt;1,"Two invoices",""))))</f>
        <v/>
      </c>
      <c r="Q1395" s="15">
        <f>IF(B1395="","",IF(J1395&lt;&gt;"","Not billable",IF(P1395="","To invoice",IF(P1395="Two invoices","Check dates",IF(ISNA(MATCH(P1395,Invoices!$B$6:$B$305,0)),"Check number",IF(INDEX(Invoices!$M$6:$M$305,MATCH(P1395,Invoices!$B$6:$B$305,0))="Paid","Paid",IF(INDEX(Invoices!$M$6:$M$305,MATCH(P1395,Invoices!$B$6:$B$305,0))="Draft","Draft","Invoiced")))))))</f>
        <v/>
      </c>
      <c r="R1395" s="1">
        <f>IF(AND(B1395&lt;&gt;"",P1395&lt;&gt;"",P1395=Invoice!$G$4),B1395+MOD(N(F1395),1)+ROW()/10000000,"")</f>
        <v/>
      </c>
      <c r="S1395">
        <f>IF(R1395="","",IF(D1395="","Other work",D1395)&amp;IF(AND(K1395&lt;&gt;"",E1395&lt;&gt;""),", "&amp;E1395,""))</f>
        <v/>
      </c>
      <c r="T1395">
        <f>IF(R1395="","",IF(COUNTIFS(R$6:R1394,"&gt;0",S$6:S1394,S1395,N$6:N1394,N1395)=0,R1395,""))</f>
        <v/>
      </c>
      <c r="U1395">
        <f>IF(B1395="","",IF(J1395&lt;&gt;"",0,M1395))</f>
        <v/>
      </c>
    </row>
    <row r="1396">
      <c r="A1396" s="1" t="n"/>
      <c r="B1396" s="16" t="n"/>
      <c r="C1396" s="17" t="n"/>
      <c r="D1396" s="18" t="n"/>
      <c r="E1396" s="18" t="n"/>
      <c r="F1396" s="19" t="n"/>
      <c r="G1396" s="19" t="n"/>
      <c r="H1396" s="20" t="n"/>
      <c r="I1396" s="21" t="n"/>
      <c r="J1396" s="22" t="n"/>
      <c r="K1396" s="23" t="n"/>
      <c r="L1396" s="18" t="n"/>
      <c r="M1396" s="24">
        <f>IF(B1396="","",IF(AND(F1396&lt;&gt;"",G1396&lt;&gt;""),MAX(0,ROUND(MOD(G1396-F1396,1)*24-N(H1396)/60,2)),N(I1396)))</f>
        <v/>
      </c>
      <c r="N1396" s="14">
        <f>IF(B1396="","",IF(K1396&lt;&gt;"",K1396,IF(N(IFERROR(INDEX(Projects!$D$6:$D$65,MATCH(D1396,Projects!$B$6:$B$65,0)),""))&gt;0,IFERROR(INDEX(Projects!$D$6:$D$65,MATCH(D1396,Projects!$B$6:$B$65,0)),""),IFERROR(INDEX(Clients!$G$6:$G$45,MATCH(C1396,Clients!$B$6:$B$45,0)),0))))</f>
        <v/>
      </c>
      <c r="O1396" s="14">
        <f>IF(B1396="","",IF(J1396&lt;&gt;"",0,ROUND(M1396*N1396,2)))</f>
        <v/>
      </c>
      <c r="P1396" s="15">
        <f>IF(OR(B1396="",J1396&lt;&gt;""),"",IF(L1396&lt;&gt;"",L1396,IF(COUNTIFS(Invoices!$C$6:$C$305,C1396,Invoices!$E$6:$E$305,"&lt;="&amp;B1396,Invoices!$F$6:$F$305,"&gt;="&amp;B1396)=1,INDEX(Invoices!$B$6:$B$305,SUMIFS(Invoices!$O$6:$O$305,Invoices!$C$6:$C$305,C1396,Invoices!$E$6:$E$305,"&lt;="&amp;B1396,Invoices!$F$6:$F$305,"&gt;="&amp;B1396)),IF(COUNTIFS(Invoices!$C$6:$C$305,C1396,Invoices!$E$6:$E$305,"&lt;="&amp;B1396,Invoices!$F$6:$F$305,"&gt;="&amp;B1396)&gt;1,"Two invoices",""))))</f>
        <v/>
      </c>
      <c r="Q1396" s="15">
        <f>IF(B1396="","",IF(J1396&lt;&gt;"","Not billable",IF(P1396="","To invoice",IF(P1396="Two invoices","Check dates",IF(ISNA(MATCH(P1396,Invoices!$B$6:$B$305,0)),"Check number",IF(INDEX(Invoices!$M$6:$M$305,MATCH(P1396,Invoices!$B$6:$B$305,0))="Paid","Paid",IF(INDEX(Invoices!$M$6:$M$305,MATCH(P1396,Invoices!$B$6:$B$305,0))="Draft","Draft","Invoiced")))))))</f>
        <v/>
      </c>
      <c r="R1396" s="1">
        <f>IF(AND(B1396&lt;&gt;"",P1396&lt;&gt;"",P1396=Invoice!$G$4),B1396+MOD(N(F1396),1)+ROW()/10000000,"")</f>
        <v/>
      </c>
      <c r="S1396">
        <f>IF(R1396="","",IF(D1396="","Other work",D1396)&amp;IF(AND(K1396&lt;&gt;"",E1396&lt;&gt;""),", "&amp;E1396,""))</f>
        <v/>
      </c>
      <c r="T1396">
        <f>IF(R1396="","",IF(COUNTIFS(R$6:R1395,"&gt;0",S$6:S1395,S1396,N$6:N1395,N1396)=0,R1396,""))</f>
        <v/>
      </c>
      <c r="U1396">
        <f>IF(B1396="","",IF(J1396&lt;&gt;"",0,M1396))</f>
        <v/>
      </c>
    </row>
    <row r="1397">
      <c r="A1397" s="1" t="n"/>
      <c r="B1397" s="16" t="n"/>
      <c r="C1397" s="17" t="n"/>
      <c r="D1397" s="18" t="n"/>
      <c r="E1397" s="18" t="n"/>
      <c r="F1397" s="19" t="n"/>
      <c r="G1397" s="19" t="n"/>
      <c r="H1397" s="20" t="n"/>
      <c r="I1397" s="21" t="n"/>
      <c r="J1397" s="22" t="n"/>
      <c r="K1397" s="23" t="n"/>
      <c r="L1397" s="18" t="n"/>
      <c r="M1397" s="24">
        <f>IF(B1397="","",IF(AND(F1397&lt;&gt;"",G1397&lt;&gt;""),MAX(0,ROUND(MOD(G1397-F1397,1)*24-N(H1397)/60,2)),N(I1397)))</f>
        <v/>
      </c>
      <c r="N1397" s="14">
        <f>IF(B1397="","",IF(K1397&lt;&gt;"",K1397,IF(N(IFERROR(INDEX(Projects!$D$6:$D$65,MATCH(D1397,Projects!$B$6:$B$65,0)),""))&gt;0,IFERROR(INDEX(Projects!$D$6:$D$65,MATCH(D1397,Projects!$B$6:$B$65,0)),""),IFERROR(INDEX(Clients!$G$6:$G$45,MATCH(C1397,Clients!$B$6:$B$45,0)),0))))</f>
        <v/>
      </c>
      <c r="O1397" s="14">
        <f>IF(B1397="","",IF(J1397&lt;&gt;"",0,ROUND(M1397*N1397,2)))</f>
        <v/>
      </c>
      <c r="P1397" s="15">
        <f>IF(OR(B1397="",J1397&lt;&gt;""),"",IF(L1397&lt;&gt;"",L1397,IF(COUNTIFS(Invoices!$C$6:$C$305,C1397,Invoices!$E$6:$E$305,"&lt;="&amp;B1397,Invoices!$F$6:$F$305,"&gt;="&amp;B1397)=1,INDEX(Invoices!$B$6:$B$305,SUMIFS(Invoices!$O$6:$O$305,Invoices!$C$6:$C$305,C1397,Invoices!$E$6:$E$305,"&lt;="&amp;B1397,Invoices!$F$6:$F$305,"&gt;="&amp;B1397)),IF(COUNTIFS(Invoices!$C$6:$C$305,C1397,Invoices!$E$6:$E$305,"&lt;="&amp;B1397,Invoices!$F$6:$F$305,"&gt;="&amp;B1397)&gt;1,"Two invoices",""))))</f>
        <v/>
      </c>
      <c r="Q1397" s="15">
        <f>IF(B1397="","",IF(J1397&lt;&gt;"","Not billable",IF(P1397="","To invoice",IF(P1397="Two invoices","Check dates",IF(ISNA(MATCH(P1397,Invoices!$B$6:$B$305,0)),"Check number",IF(INDEX(Invoices!$M$6:$M$305,MATCH(P1397,Invoices!$B$6:$B$305,0))="Paid","Paid",IF(INDEX(Invoices!$M$6:$M$305,MATCH(P1397,Invoices!$B$6:$B$305,0))="Draft","Draft","Invoiced")))))))</f>
        <v/>
      </c>
      <c r="R1397" s="1">
        <f>IF(AND(B1397&lt;&gt;"",P1397&lt;&gt;"",P1397=Invoice!$G$4),B1397+MOD(N(F1397),1)+ROW()/10000000,"")</f>
        <v/>
      </c>
      <c r="S1397">
        <f>IF(R1397="","",IF(D1397="","Other work",D1397)&amp;IF(AND(K1397&lt;&gt;"",E1397&lt;&gt;""),", "&amp;E1397,""))</f>
        <v/>
      </c>
      <c r="T1397">
        <f>IF(R1397="","",IF(COUNTIFS(R$6:R1396,"&gt;0",S$6:S1396,S1397,N$6:N1396,N1397)=0,R1397,""))</f>
        <v/>
      </c>
      <c r="U1397">
        <f>IF(B1397="","",IF(J1397&lt;&gt;"",0,M1397))</f>
        <v/>
      </c>
    </row>
    <row r="1398">
      <c r="A1398" s="1" t="n"/>
      <c r="B1398" s="16" t="n"/>
      <c r="C1398" s="17" t="n"/>
      <c r="D1398" s="18" t="n"/>
      <c r="E1398" s="18" t="n"/>
      <c r="F1398" s="19" t="n"/>
      <c r="G1398" s="19" t="n"/>
      <c r="H1398" s="20" t="n"/>
      <c r="I1398" s="21" t="n"/>
      <c r="J1398" s="22" t="n"/>
      <c r="K1398" s="23" t="n"/>
      <c r="L1398" s="18" t="n"/>
      <c r="M1398" s="24">
        <f>IF(B1398="","",IF(AND(F1398&lt;&gt;"",G1398&lt;&gt;""),MAX(0,ROUND(MOD(G1398-F1398,1)*24-N(H1398)/60,2)),N(I1398)))</f>
        <v/>
      </c>
      <c r="N1398" s="14">
        <f>IF(B1398="","",IF(K1398&lt;&gt;"",K1398,IF(N(IFERROR(INDEX(Projects!$D$6:$D$65,MATCH(D1398,Projects!$B$6:$B$65,0)),""))&gt;0,IFERROR(INDEX(Projects!$D$6:$D$65,MATCH(D1398,Projects!$B$6:$B$65,0)),""),IFERROR(INDEX(Clients!$G$6:$G$45,MATCH(C1398,Clients!$B$6:$B$45,0)),0))))</f>
        <v/>
      </c>
      <c r="O1398" s="14">
        <f>IF(B1398="","",IF(J1398&lt;&gt;"",0,ROUND(M1398*N1398,2)))</f>
        <v/>
      </c>
      <c r="P1398" s="15">
        <f>IF(OR(B1398="",J1398&lt;&gt;""),"",IF(L1398&lt;&gt;"",L1398,IF(COUNTIFS(Invoices!$C$6:$C$305,C1398,Invoices!$E$6:$E$305,"&lt;="&amp;B1398,Invoices!$F$6:$F$305,"&gt;="&amp;B1398)=1,INDEX(Invoices!$B$6:$B$305,SUMIFS(Invoices!$O$6:$O$305,Invoices!$C$6:$C$305,C1398,Invoices!$E$6:$E$305,"&lt;="&amp;B1398,Invoices!$F$6:$F$305,"&gt;="&amp;B1398)),IF(COUNTIFS(Invoices!$C$6:$C$305,C1398,Invoices!$E$6:$E$305,"&lt;="&amp;B1398,Invoices!$F$6:$F$305,"&gt;="&amp;B1398)&gt;1,"Two invoices",""))))</f>
        <v/>
      </c>
      <c r="Q1398" s="15">
        <f>IF(B1398="","",IF(J1398&lt;&gt;"","Not billable",IF(P1398="","To invoice",IF(P1398="Two invoices","Check dates",IF(ISNA(MATCH(P1398,Invoices!$B$6:$B$305,0)),"Check number",IF(INDEX(Invoices!$M$6:$M$305,MATCH(P1398,Invoices!$B$6:$B$305,0))="Paid","Paid",IF(INDEX(Invoices!$M$6:$M$305,MATCH(P1398,Invoices!$B$6:$B$305,0))="Draft","Draft","Invoiced")))))))</f>
        <v/>
      </c>
      <c r="R1398" s="1">
        <f>IF(AND(B1398&lt;&gt;"",P1398&lt;&gt;"",P1398=Invoice!$G$4),B1398+MOD(N(F1398),1)+ROW()/10000000,"")</f>
        <v/>
      </c>
      <c r="S1398">
        <f>IF(R1398="","",IF(D1398="","Other work",D1398)&amp;IF(AND(K1398&lt;&gt;"",E1398&lt;&gt;""),", "&amp;E1398,""))</f>
        <v/>
      </c>
      <c r="T1398">
        <f>IF(R1398="","",IF(COUNTIFS(R$6:R1397,"&gt;0",S$6:S1397,S1398,N$6:N1397,N1398)=0,R1398,""))</f>
        <v/>
      </c>
      <c r="U1398">
        <f>IF(B1398="","",IF(J1398&lt;&gt;"",0,M1398))</f>
        <v/>
      </c>
    </row>
    <row r="1399">
      <c r="A1399" s="1" t="n"/>
      <c r="B1399" s="16" t="n"/>
      <c r="C1399" s="17" t="n"/>
      <c r="D1399" s="18" t="n"/>
      <c r="E1399" s="18" t="n"/>
      <c r="F1399" s="19" t="n"/>
      <c r="G1399" s="19" t="n"/>
      <c r="H1399" s="20" t="n"/>
      <c r="I1399" s="21" t="n"/>
      <c r="J1399" s="22" t="n"/>
      <c r="K1399" s="23" t="n"/>
      <c r="L1399" s="18" t="n"/>
      <c r="M1399" s="24">
        <f>IF(B1399="","",IF(AND(F1399&lt;&gt;"",G1399&lt;&gt;""),MAX(0,ROUND(MOD(G1399-F1399,1)*24-N(H1399)/60,2)),N(I1399)))</f>
        <v/>
      </c>
      <c r="N1399" s="14">
        <f>IF(B1399="","",IF(K1399&lt;&gt;"",K1399,IF(N(IFERROR(INDEX(Projects!$D$6:$D$65,MATCH(D1399,Projects!$B$6:$B$65,0)),""))&gt;0,IFERROR(INDEX(Projects!$D$6:$D$65,MATCH(D1399,Projects!$B$6:$B$65,0)),""),IFERROR(INDEX(Clients!$G$6:$G$45,MATCH(C1399,Clients!$B$6:$B$45,0)),0))))</f>
        <v/>
      </c>
      <c r="O1399" s="14">
        <f>IF(B1399="","",IF(J1399&lt;&gt;"",0,ROUND(M1399*N1399,2)))</f>
        <v/>
      </c>
      <c r="P1399" s="15">
        <f>IF(OR(B1399="",J1399&lt;&gt;""),"",IF(L1399&lt;&gt;"",L1399,IF(COUNTIFS(Invoices!$C$6:$C$305,C1399,Invoices!$E$6:$E$305,"&lt;="&amp;B1399,Invoices!$F$6:$F$305,"&gt;="&amp;B1399)=1,INDEX(Invoices!$B$6:$B$305,SUMIFS(Invoices!$O$6:$O$305,Invoices!$C$6:$C$305,C1399,Invoices!$E$6:$E$305,"&lt;="&amp;B1399,Invoices!$F$6:$F$305,"&gt;="&amp;B1399)),IF(COUNTIFS(Invoices!$C$6:$C$305,C1399,Invoices!$E$6:$E$305,"&lt;="&amp;B1399,Invoices!$F$6:$F$305,"&gt;="&amp;B1399)&gt;1,"Two invoices",""))))</f>
        <v/>
      </c>
      <c r="Q1399" s="15">
        <f>IF(B1399="","",IF(J1399&lt;&gt;"","Not billable",IF(P1399="","To invoice",IF(P1399="Two invoices","Check dates",IF(ISNA(MATCH(P1399,Invoices!$B$6:$B$305,0)),"Check number",IF(INDEX(Invoices!$M$6:$M$305,MATCH(P1399,Invoices!$B$6:$B$305,0))="Paid","Paid",IF(INDEX(Invoices!$M$6:$M$305,MATCH(P1399,Invoices!$B$6:$B$305,0))="Draft","Draft","Invoiced")))))))</f>
        <v/>
      </c>
      <c r="R1399" s="1">
        <f>IF(AND(B1399&lt;&gt;"",P1399&lt;&gt;"",P1399=Invoice!$G$4),B1399+MOD(N(F1399),1)+ROW()/10000000,"")</f>
        <v/>
      </c>
      <c r="S1399">
        <f>IF(R1399="","",IF(D1399="","Other work",D1399)&amp;IF(AND(K1399&lt;&gt;"",E1399&lt;&gt;""),", "&amp;E1399,""))</f>
        <v/>
      </c>
      <c r="T1399">
        <f>IF(R1399="","",IF(COUNTIFS(R$6:R1398,"&gt;0",S$6:S1398,S1399,N$6:N1398,N1399)=0,R1399,""))</f>
        <v/>
      </c>
      <c r="U1399">
        <f>IF(B1399="","",IF(J1399&lt;&gt;"",0,M1399))</f>
        <v/>
      </c>
    </row>
    <row r="1400">
      <c r="A1400" s="1" t="n"/>
      <c r="B1400" s="16" t="n"/>
      <c r="C1400" s="17" t="n"/>
      <c r="D1400" s="18" t="n"/>
      <c r="E1400" s="18" t="n"/>
      <c r="F1400" s="19" t="n"/>
      <c r="G1400" s="19" t="n"/>
      <c r="H1400" s="20" t="n"/>
      <c r="I1400" s="21" t="n"/>
      <c r="J1400" s="22" t="n"/>
      <c r="K1400" s="23" t="n"/>
      <c r="L1400" s="18" t="n"/>
      <c r="M1400" s="24">
        <f>IF(B1400="","",IF(AND(F1400&lt;&gt;"",G1400&lt;&gt;""),MAX(0,ROUND(MOD(G1400-F1400,1)*24-N(H1400)/60,2)),N(I1400)))</f>
        <v/>
      </c>
      <c r="N1400" s="14">
        <f>IF(B1400="","",IF(K1400&lt;&gt;"",K1400,IF(N(IFERROR(INDEX(Projects!$D$6:$D$65,MATCH(D1400,Projects!$B$6:$B$65,0)),""))&gt;0,IFERROR(INDEX(Projects!$D$6:$D$65,MATCH(D1400,Projects!$B$6:$B$65,0)),""),IFERROR(INDEX(Clients!$G$6:$G$45,MATCH(C1400,Clients!$B$6:$B$45,0)),0))))</f>
        <v/>
      </c>
      <c r="O1400" s="14">
        <f>IF(B1400="","",IF(J1400&lt;&gt;"",0,ROUND(M1400*N1400,2)))</f>
        <v/>
      </c>
      <c r="P1400" s="15">
        <f>IF(OR(B1400="",J1400&lt;&gt;""),"",IF(L1400&lt;&gt;"",L1400,IF(COUNTIFS(Invoices!$C$6:$C$305,C1400,Invoices!$E$6:$E$305,"&lt;="&amp;B1400,Invoices!$F$6:$F$305,"&gt;="&amp;B1400)=1,INDEX(Invoices!$B$6:$B$305,SUMIFS(Invoices!$O$6:$O$305,Invoices!$C$6:$C$305,C1400,Invoices!$E$6:$E$305,"&lt;="&amp;B1400,Invoices!$F$6:$F$305,"&gt;="&amp;B1400)),IF(COUNTIFS(Invoices!$C$6:$C$305,C1400,Invoices!$E$6:$E$305,"&lt;="&amp;B1400,Invoices!$F$6:$F$305,"&gt;="&amp;B1400)&gt;1,"Two invoices",""))))</f>
        <v/>
      </c>
      <c r="Q1400" s="15">
        <f>IF(B1400="","",IF(J1400&lt;&gt;"","Not billable",IF(P1400="","To invoice",IF(P1400="Two invoices","Check dates",IF(ISNA(MATCH(P1400,Invoices!$B$6:$B$305,0)),"Check number",IF(INDEX(Invoices!$M$6:$M$305,MATCH(P1400,Invoices!$B$6:$B$305,0))="Paid","Paid",IF(INDEX(Invoices!$M$6:$M$305,MATCH(P1400,Invoices!$B$6:$B$305,0))="Draft","Draft","Invoiced")))))))</f>
        <v/>
      </c>
      <c r="R1400" s="1">
        <f>IF(AND(B1400&lt;&gt;"",P1400&lt;&gt;"",P1400=Invoice!$G$4),B1400+MOD(N(F1400),1)+ROW()/10000000,"")</f>
        <v/>
      </c>
      <c r="S1400">
        <f>IF(R1400="","",IF(D1400="","Other work",D1400)&amp;IF(AND(K1400&lt;&gt;"",E1400&lt;&gt;""),", "&amp;E1400,""))</f>
        <v/>
      </c>
      <c r="T1400">
        <f>IF(R1400="","",IF(COUNTIFS(R$6:R1399,"&gt;0",S$6:S1399,S1400,N$6:N1399,N1400)=0,R1400,""))</f>
        <v/>
      </c>
      <c r="U1400">
        <f>IF(B1400="","",IF(J1400&lt;&gt;"",0,M1400))</f>
        <v/>
      </c>
    </row>
    <row r="1401">
      <c r="A1401" s="1" t="n"/>
      <c r="B1401" s="16" t="n"/>
      <c r="C1401" s="17" t="n"/>
      <c r="D1401" s="18" t="n"/>
      <c r="E1401" s="18" t="n"/>
      <c r="F1401" s="19" t="n"/>
      <c r="G1401" s="19" t="n"/>
      <c r="H1401" s="20" t="n"/>
      <c r="I1401" s="21" t="n"/>
      <c r="J1401" s="22" t="n"/>
      <c r="K1401" s="23" t="n"/>
      <c r="L1401" s="18" t="n"/>
      <c r="M1401" s="24">
        <f>IF(B1401="","",IF(AND(F1401&lt;&gt;"",G1401&lt;&gt;""),MAX(0,ROUND(MOD(G1401-F1401,1)*24-N(H1401)/60,2)),N(I1401)))</f>
        <v/>
      </c>
      <c r="N1401" s="14">
        <f>IF(B1401="","",IF(K1401&lt;&gt;"",K1401,IF(N(IFERROR(INDEX(Projects!$D$6:$D$65,MATCH(D1401,Projects!$B$6:$B$65,0)),""))&gt;0,IFERROR(INDEX(Projects!$D$6:$D$65,MATCH(D1401,Projects!$B$6:$B$65,0)),""),IFERROR(INDEX(Clients!$G$6:$G$45,MATCH(C1401,Clients!$B$6:$B$45,0)),0))))</f>
        <v/>
      </c>
      <c r="O1401" s="14">
        <f>IF(B1401="","",IF(J1401&lt;&gt;"",0,ROUND(M1401*N1401,2)))</f>
        <v/>
      </c>
      <c r="P1401" s="15">
        <f>IF(OR(B1401="",J1401&lt;&gt;""),"",IF(L1401&lt;&gt;"",L1401,IF(COUNTIFS(Invoices!$C$6:$C$305,C1401,Invoices!$E$6:$E$305,"&lt;="&amp;B1401,Invoices!$F$6:$F$305,"&gt;="&amp;B1401)=1,INDEX(Invoices!$B$6:$B$305,SUMIFS(Invoices!$O$6:$O$305,Invoices!$C$6:$C$305,C1401,Invoices!$E$6:$E$305,"&lt;="&amp;B1401,Invoices!$F$6:$F$305,"&gt;="&amp;B1401)),IF(COUNTIFS(Invoices!$C$6:$C$305,C1401,Invoices!$E$6:$E$305,"&lt;="&amp;B1401,Invoices!$F$6:$F$305,"&gt;="&amp;B1401)&gt;1,"Two invoices",""))))</f>
        <v/>
      </c>
      <c r="Q1401" s="15">
        <f>IF(B1401="","",IF(J1401&lt;&gt;"","Not billable",IF(P1401="","To invoice",IF(P1401="Two invoices","Check dates",IF(ISNA(MATCH(P1401,Invoices!$B$6:$B$305,0)),"Check number",IF(INDEX(Invoices!$M$6:$M$305,MATCH(P1401,Invoices!$B$6:$B$305,0))="Paid","Paid",IF(INDEX(Invoices!$M$6:$M$305,MATCH(P1401,Invoices!$B$6:$B$305,0))="Draft","Draft","Invoiced")))))))</f>
        <v/>
      </c>
      <c r="R1401" s="1">
        <f>IF(AND(B1401&lt;&gt;"",P1401&lt;&gt;"",P1401=Invoice!$G$4),B1401+MOD(N(F1401),1)+ROW()/10000000,"")</f>
        <v/>
      </c>
      <c r="S1401">
        <f>IF(R1401="","",IF(D1401="","Other work",D1401)&amp;IF(AND(K1401&lt;&gt;"",E1401&lt;&gt;""),", "&amp;E1401,""))</f>
        <v/>
      </c>
      <c r="T1401">
        <f>IF(R1401="","",IF(COUNTIFS(R$6:R1400,"&gt;0",S$6:S1400,S1401,N$6:N1400,N1401)=0,R1401,""))</f>
        <v/>
      </c>
      <c r="U1401">
        <f>IF(B1401="","",IF(J1401&lt;&gt;"",0,M1401))</f>
        <v/>
      </c>
    </row>
    <row r="1402">
      <c r="A1402" s="1" t="n"/>
      <c r="B1402" s="16" t="n"/>
      <c r="C1402" s="17" t="n"/>
      <c r="D1402" s="18" t="n"/>
      <c r="E1402" s="18" t="n"/>
      <c r="F1402" s="19" t="n"/>
      <c r="G1402" s="19" t="n"/>
      <c r="H1402" s="20" t="n"/>
      <c r="I1402" s="21" t="n"/>
      <c r="J1402" s="22" t="n"/>
      <c r="K1402" s="23" t="n"/>
      <c r="L1402" s="18" t="n"/>
      <c r="M1402" s="24">
        <f>IF(B1402="","",IF(AND(F1402&lt;&gt;"",G1402&lt;&gt;""),MAX(0,ROUND(MOD(G1402-F1402,1)*24-N(H1402)/60,2)),N(I1402)))</f>
        <v/>
      </c>
      <c r="N1402" s="14">
        <f>IF(B1402="","",IF(K1402&lt;&gt;"",K1402,IF(N(IFERROR(INDEX(Projects!$D$6:$D$65,MATCH(D1402,Projects!$B$6:$B$65,0)),""))&gt;0,IFERROR(INDEX(Projects!$D$6:$D$65,MATCH(D1402,Projects!$B$6:$B$65,0)),""),IFERROR(INDEX(Clients!$G$6:$G$45,MATCH(C1402,Clients!$B$6:$B$45,0)),0))))</f>
        <v/>
      </c>
      <c r="O1402" s="14">
        <f>IF(B1402="","",IF(J1402&lt;&gt;"",0,ROUND(M1402*N1402,2)))</f>
        <v/>
      </c>
      <c r="P1402" s="15">
        <f>IF(OR(B1402="",J1402&lt;&gt;""),"",IF(L1402&lt;&gt;"",L1402,IF(COUNTIFS(Invoices!$C$6:$C$305,C1402,Invoices!$E$6:$E$305,"&lt;="&amp;B1402,Invoices!$F$6:$F$305,"&gt;="&amp;B1402)=1,INDEX(Invoices!$B$6:$B$305,SUMIFS(Invoices!$O$6:$O$305,Invoices!$C$6:$C$305,C1402,Invoices!$E$6:$E$305,"&lt;="&amp;B1402,Invoices!$F$6:$F$305,"&gt;="&amp;B1402)),IF(COUNTIFS(Invoices!$C$6:$C$305,C1402,Invoices!$E$6:$E$305,"&lt;="&amp;B1402,Invoices!$F$6:$F$305,"&gt;="&amp;B1402)&gt;1,"Two invoices",""))))</f>
        <v/>
      </c>
      <c r="Q1402" s="15">
        <f>IF(B1402="","",IF(J1402&lt;&gt;"","Not billable",IF(P1402="","To invoice",IF(P1402="Two invoices","Check dates",IF(ISNA(MATCH(P1402,Invoices!$B$6:$B$305,0)),"Check number",IF(INDEX(Invoices!$M$6:$M$305,MATCH(P1402,Invoices!$B$6:$B$305,0))="Paid","Paid",IF(INDEX(Invoices!$M$6:$M$305,MATCH(P1402,Invoices!$B$6:$B$305,0))="Draft","Draft","Invoiced")))))))</f>
        <v/>
      </c>
      <c r="R1402" s="1">
        <f>IF(AND(B1402&lt;&gt;"",P1402&lt;&gt;"",P1402=Invoice!$G$4),B1402+MOD(N(F1402),1)+ROW()/10000000,"")</f>
        <v/>
      </c>
      <c r="S1402">
        <f>IF(R1402="","",IF(D1402="","Other work",D1402)&amp;IF(AND(K1402&lt;&gt;"",E1402&lt;&gt;""),", "&amp;E1402,""))</f>
        <v/>
      </c>
      <c r="T1402">
        <f>IF(R1402="","",IF(COUNTIFS(R$6:R1401,"&gt;0",S$6:S1401,S1402,N$6:N1401,N1402)=0,R1402,""))</f>
        <v/>
      </c>
      <c r="U1402">
        <f>IF(B1402="","",IF(J1402&lt;&gt;"",0,M1402))</f>
        <v/>
      </c>
    </row>
    <row r="1403">
      <c r="A1403" s="1" t="n"/>
      <c r="B1403" s="16" t="n"/>
      <c r="C1403" s="17" t="n"/>
      <c r="D1403" s="18" t="n"/>
      <c r="E1403" s="18" t="n"/>
      <c r="F1403" s="19" t="n"/>
      <c r="G1403" s="19" t="n"/>
      <c r="H1403" s="20" t="n"/>
      <c r="I1403" s="21" t="n"/>
      <c r="J1403" s="22" t="n"/>
      <c r="K1403" s="23" t="n"/>
      <c r="L1403" s="18" t="n"/>
      <c r="M1403" s="24">
        <f>IF(B1403="","",IF(AND(F1403&lt;&gt;"",G1403&lt;&gt;""),MAX(0,ROUND(MOD(G1403-F1403,1)*24-N(H1403)/60,2)),N(I1403)))</f>
        <v/>
      </c>
      <c r="N1403" s="14">
        <f>IF(B1403="","",IF(K1403&lt;&gt;"",K1403,IF(N(IFERROR(INDEX(Projects!$D$6:$D$65,MATCH(D1403,Projects!$B$6:$B$65,0)),""))&gt;0,IFERROR(INDEX(Projects!$D$6:$D$65,MATCH(D1403,Projects!$B$6:$B$65,0)),""),IFERROR(INDEX(Clients!$G$6:$G$45,MATCH(C1403,Clients!$B$6:$B$45,0)),0))))</f>
        <v/>
      </c>
      <c r="O1403" s="14">
        <f>IF(B1403="","",IF(J1403&lt;&gt;"",0,ROUND(M1403*N1403,2)))</f>
        <v/>
      </c>
      <c r="P1403" s="15">
        <f>IF(OR(B1403="",J1403&lt;&gt;""),"",IF(L1403&lt;&gt;"",L1403,IF(COUNTIFS(Invoices!$C$6:$C$305,C1403,Invoices!$E$6:$E$305,"&lt;="&amp;B1403,Invoices!$F$6:$F$305,"&gt;="&amp;B1403)=1,INDEX(Invoices!$B$6:$B$305,SUMIFS(Invoices!$O$6:$O$305,Invoices!$C$6:$C$305,C1403,Invoices!$E$6:$E$305,"&lt;="&amp;B1403,Invoices!$F$6:$F$305,"&gt;="&amp;B1403)),IF(COUNTIFS(Invoices!$C$6:$C$305,C1403,Invoices!$E$6:$E$305,"&lt;="&amp;B1403,Invoices!$F$6:$F$305,"&gt;="&amp;B1403)&gt;1,"Two invoices",""))))</f>
        <v/>
      </c>
      <c r="Q1403" s="15">
        <f>IF(B1403="","",IF(J1403&lt;&gt;"","Not billable",IF(P1403="","To invoice",IF(P1403="Two invoices","Check dates",IF(ISNA(MATCH(P1403,Invoices!$B$6:$B$305,0)),"Check number",IF(INDEX(Invoices!$M$6:$M$305,MATCH(P1403,Invoices!$B$6:$B$305,0))="Paid","Paid",IF(INDEX(Invoices!$M$6:$M$305,MATCH(P1403,Invoices!$B$6:$B$305,0))="Draft","Draft","Invoiced")))))))</f>
        <v/>
      </c>
      <c r="R1403" s="1">
        <f>IF(AND(B1403&lt;&gt;"",P1403&lt;&gt;"",P1403=Invoice!$G$4),B1403+MOD(N(F1403),1)+ROW()/10000000,"")</f>
        <v/>
      </c>
      <c r="S1403">
        <f>IF(R1403="","",IF(D1403="","Other work",D1403)&amp;IF(AND(K1403&lt;&gt;"",E1403&lt;&gt;""),", "&amp;E1403,""))</f>
        <v/>
      </c>
      <c r="T1403">
        <f>IF(R1403="","",IF(COUNTIFS(R$6:R1402,"&gt;0",S$6:S1402,S1403,N$6:N1402,N1403)=0,R1403,""))</f>
        <v/>
      </c>
      <c r="U1403">
        <f>IF(B1403="","",IF(J1403&lt;&gt;"",0,M1403))</f>
        <v/>
      </c>
    </row>
    <row r="1404">
      <c r="A1404" s="1" t="n"/>
      <c r="B1404" s="16" t="n"/>
      <c r="C1404" s="17" t="n"/>
      <c r="D1404" s="18" t="n"/>
      <c r="E1404" s="18" t="n"/>
      <c r="F1404" s="19" t="n"/>
      <c r="G1404" s="19" t="n"/>
      <c r="H1404" s="20" t="n"/>
      <c r="I1404" s="21" t="n"/>
      <c r="J1404" s="22" t="n"/>
      <c r="K1404" s="23" t="n"/>
      <c r="L1404" s="18" t="n"/>
      <c r="M1404" s="24">
        <f>IF(B1404="","",IF(AND(F1404&lt;&gt;"",G1404&lt;&gt;""),MAX(0,ROUND(MOD(G1404-F1404,1)*24-N(H1404)/60,2)),N(I1404)))</f>
        <v/>
      </c>
      <c r="N1404" s="14">
        <f>IF(B1404="","",IF(K1404&lt;&gt;"",K1404,IF(N(IFERROR(INDEX(Projects!$D$6:$D$65,MATCH(D1404,Projects!$B$6:$B$65,0)),""))&gt;0,IFERROR(INDEX(Projects!$D$6:$D$65,MATCH(D1404,Projects!$B$6:$B$65,0)),""),IFERROR(INDEX(Clients!$G$6:$G$45,MATCH(C1404,Clients!$B$6:$B$45,0)),0))))</f>
        <v/>
      </c>
      <c r="O1404" s="14">
        <f>IF(B1404="","",IF(J1404&lt;&gt;"",0,ROUND(M1404*N1404,2)))</f>
        <v/>
      </c>
      <c r="P1404" s="15">
        <f>IF(OR(B1404="",J1404&lt;&gt;""),"",IF(L1404&lt;&gt;"",L1404,IF(COUNTIFS(Invoices!$C$6:$C$305,C1404,Invoices!$E$6:$E$305,"&lt;="&amp;B1404,Invoices!$F$6:$F$305,"&gt;="&amp;B1404)=1,INDEX(Invoices!$B$6:$B$305,SUMIFS(Invoices!$O$6:$O$305,Invoices!$C$6:$C$305,C1404,Invoices!$E$6:$E$305,"&lt;="&amp;B1404,Invoices!$F$6:$F$305,"&gt;="&amp;B1404)),IF(COUNTIFS(Invoices!$C$6:$C$305,C1404,Invoices!$E$6:$E$305,"&lt;="&amp;B1404,Invoices!$F$6:$F$305,"&gt;="&amp;B1404)&gt;1,"Two invoices",""))))</f>
        <v/>
      </c>
      <c r="Q1404" s="15">
        <f>IF(B1404="","",IF(J1404&lt;&gt;"","Not billable",IF(P1404="","To invoice",IF(P1404="Two invoices","Check dates",IF(ISNA(MATCH(P1404,Invoices!$B$6:$B$305,0)),"Check number",IF(INDEX(Invoices!$M$6:$M$305,MATCH(P1404,Invoices!$B$6:$B$305,0))="Paid","Paid",IF(INDEX(Invoices!$M$6:$M$305,MATCH(P1404,Invoices!$B$6:$B$305,0))="Draft","Draft","Invoiced")))))))</f>
        <v/>
      </c>
      <c r="R1404" s="1">
        <f>IF(AND(B1404&lt;&gt;"",P1404&lt;&gt;"",P1404=Invoice!$G$4),B1404+MOD(N(F1404),1)+ROW()/10000000,"")</f>
        <v/>
      </c>
      <c r="S1404">
        <f>IF(R1404="","",IF(D1404="","Other work",D1404)&amp;IF(AND(K1404&lt;&gt;"",E1404&lt;&gt;""),", "&amp;E1404,""))</f>
        <v/>
      </c>
      <c r="T1404">
        <f>IF(R1404="","",IF(COUNTIFS(R$6:R1403,"&gt;0",S$6:S1403,S1404,N$6:N1403,N1404)=0,R1404,""))</f>
        <v/>
      </c>
      <c r="U1404">
        <f>IF(B1404="","",IF(J1404&lt;&gt;"",0,M1404))</f>
        <v/>
      </c>
    </row>
    <row r="1405">
      <c r="A1405" s="1" t="n"/>
      <c r="B1405" s="16" t="n"/>
      <c r="C1405" s="17" t="n"/>
      <c r="D1405" s="18" t="n"/>
      <c r="E1405" s="18" t="n"/>
      <c r="F1405" s="19" t="n"/>
      <c r="G1405" s="19" t="n"/>
      <c r="H1405" s="20" t="n"/>
      <c r="I1405" s="21" t="n"/>
      <c r="J1405" s="22" t="n"/>
      <c r="K1405" s="23" t="n"/>
      <c r="L1405" s="18" t="n"/>
      <c r="M1405" s="24">
        <f>IF(B1405="","",IF(AND(F1405&lt;&gt;"",G1405&lt;&gt;""),MAX(0,ROUND(MOD(G1405-F1405,1)*24-N(H1405)/60,2)),N(I1405)))</f>
        <v/>
      </c>
      <c r="N1405" s="14">
        <f>IF(B1405="","",IF(K1405&lt;&gt;"",K1405,IF(N(IFERROR(INDEX(Projects!$D$6:$D$65,MATCH(D1405,Projects!$B$6:$B$65,0)),""))&gt;0,IFERROR(INDEX(Projects!$D$6:$D$65,MATCH(D1405,Projects!$B$6:$B$65,0)),""),IFERROR(INDEX(Clients!$G$6:$G$45,MATCH(C1405,Clients!$B$6:$B$45,0)),0))))</f>
        <v/>
      </c>
      <c r="O1405" s="14">
        <f>IF(B1405="","",IF(J1405&lt;&gt;"",0,ROUND(M1405*N1405,2)))</f>
        <v/>
      </c>
      <c r="P1405" s="15">
        <f>IF(OR(B1405="",J1405&lt;&gt;""),"",IF(L1405&lt;&gt;"",L1405,IF(COUNTIFS(Invoices!$C$6:$C$305,C1405,Invoices!$E$6:$E$305,"&lt;="&amp;B1405,Invoices!$F$6:$F$305,"&gt;="&amp;B1405)=1,INDEX(Invoices!$B$6:$B$305,SUMIFS(Invoices!$O$6:$O$305,Invoices!$C$6:$C$305,C1405,Invoices!$E$6:$E$305,"&lt;="&amp;B1405,Invoices!$F$6:$F$305,"&gt;="&amp;B1405)),IF(COUNTIFS(Invoices!$C$6:$C$305,C1405,Invoices!$E$6:$E$305,"&lt;="&amp;B1405,Invoices!$F$6:$F$305,"&gt;="&amp;B1405)&gt;1,"Two invoices",""))))</f>
        <v/>
      </c>
      <c r="Q1405" s="15">
        <f>IF(B1405="","",IF(J1405&lt;&gt;"","Not billable",IF(P1405="","To invoice",IF(P1405="Two invoices","Check dates",IF(ISNA(MATCH(P1405,Invoices!$B$6:$B$305,0)),"Check number",IF(INDEX(Invoices!$M$6:$M$305,MATCH(P1405,Invoices!$B$6:$B$305,0))="Paid","Paid",IF(INDEX(Invoices!$M$6:$M$305,MATCH(P1405,Invoices!$B$6:$B$305,0))="Draft","Draft","Invoiced")))))))</f>
        <v/>
      </c>
      <c r="R1405" s="1">
        <f>IF(AND(B1405&lt;&gt;"",P1405&lt;&gt;"",P1405=Invoice!$G$4),B1405+MOD(N(F1405),1)+ROW()/10000000,"")</f>
        <v/>
      </c>
      <c r="S1405">
        <f>IF(R1405="","",IF(D1405="","Other work",D1405)&amp;IF(AND(K1405&lt;&gt;"",E1405&lt;&gt;""),", "&amp;E1405,""))</f>
        <v/>
      </c>
      <c r="T1405">
        <f>IF(R1405="","",IF(COUNTIFS(R$6:R1404,"&gt;0",S$6:S1404,S1405,N$6:N1404,N1405)=0,R1405,""))</f>
        <v/>
      </c>
      <c r="U1405">
        <f>IF(B1405="","",IF(J1405&lt;&gt;"",0,M1405))</f>
        <v/>
      </c>
    </row>
    <row r="1406">
      <c r="A1406" s="1" t="n"/>
      <c r="B1406" s="16" t="n"/>
      <c r="C1406" s="17" t="n"/>
      <c r="D1406" s="18" t="n"/>
      <c r="E1406" s="18" t="n"/>
      <c r="F1406" s="19" t="n"/>
      <c r="G1406" s="19" t="n"/>
      <c r="H1406" s="20" t="n"/>
      <c r="I1406" s="21" t="n"/>
      <c r="J1406" s="22" t="n"/>
      <c r="K1406" s="23" t="n"/>
      <c r="L1406" s="18" t="n"/>
      <c r="M1406" s="24">
        <f>IF(B1406="","",IF(AND(F1406&lt;&gt;"",G1406&lt;&gt;""),MAX(0,ROUND(MOD(G1406-F1406,1)*24-N(H1406)/60,2)),N(I1406)))</f>
        <v/>
      </c>
      <c r="N1406" s="14">
        <f>IF(B1406="","",IF(K1406&lt;&gt;"",K1406,IF(N(IFERROR(INDEX(Projects!$D$6:$D$65,MATCH(D1406,Projects!$B$6:$B$65,0)),""))&gt;0,IFERROR(INDEX(Projects!$D$6:$D$65,MATCH(D1406,Projects!$B$6:$B$65,0)),""),IFERROR(INDEX(Clients!$G$6:$G$45,MATCH(C1406,Clients!$B$6:$B$45,0)),0))))</f>
        <v/>
      </c>
      <c r="O1406" s="14">
        <f>IF(B1406="","",IF(J1406&lt;&gt;"",0,ROUND(M1406*N1406,2)))</f>
        <v/>
      </c>
      <c r="P1406" s="15">
        <f>IF(OR(B1406="",J1406&lt;&gt;""),"",IF(L1406&lt;&gt;"",L1406,IF(COUNTIFS(Invoices!$C$6:$C$305,C1406,Invoices!$E$6:$E$305,"&lt;="&amp;B1406,Invoices!$F$6:$F$305,"&gt;="&amp;B1406)=1,INDEX(Invoices!$B$6:$B$305,SUMIFS(Invoices!$O$6:$O$305,Invoices!$C$6:$C$305,C1406,Invoices!$E$6:$E$305,"&lt;="&amp;B1406,Invoices!$F$6:$F$305,"&gt;="&amp;B1406)),IF(COUNTIFS(Invoices!$C$6:$C$305,C1406,Invoices!$E$6:$E$305,"&lt;="&amp;B1406,Invoices!$F$6:$F$305,"&gt;="&amp;B1406)&gt;1,"Two invoices",""))))</f>
        <v/>
      </c>
      <c r="Q1406" s="15">
        <f>IF(B1406="","",IF(J1406&lt;&gt;"","Not billable",IF(P1406="","To invoice",IF(P1406="Two invoices","Check dates",IF(ISNA(MATCH(P1406,Invoices!$B$6:$B$305,0)),"Check number",IF(INDEX(Invoices!$M$6:$M$305,MATCH(P1406,Invoices!$B$6:$B$305,0))="Paid","Paid",IF(INDEX(Invoices!$M$6:$M$305,MATCH(P1406,Invoices!$B$6:$B$305,0))="Draft","Draft","Invoiced")))))))</f>
        <v/>
      </c>
      <c r="R1406" s="1">
        <f>IF(AND(B1406&lt;&gt;"",P1406&lt;&gt;"",P1406=Invoice!$G$4),B1406+MOD(N(F1406),1)+ROW()/10000000,"")</f>
        <v/>
      </c>
      <c r="S1406">
        <f>IF(R1406="","",IF(D1406="","Other work",D1406)&amp;IF(AND(K1406&lt;&gt;"",E1406&lt;&gt;""),", "&amp;E1406,""))</f>
        <v/>
      </c>
      <c r="T1406">
        <f>IF(R1406="","",IF(COUNTIFS(R$6:R1405,"&gt;0",S$6:S1405,S1406,N$6:N1405,N1406)=0,R1406,""))</f>
        <v/>
      </c>
      <c r="U1406">
        <f>IF(B1406="","",IF(J1406&lt;&gt;"",0,M1406))</f>
        <v/>
      </c>
    </row>
    <row r="1407">
      <c r="A1407" s="1" t="n"/>
      <c r="B1407" s="16" t="n"/>
      <c r="C1407" s="17" t="n"/>
      <c r="D1407" s="18" t="n"/>
      <c r="E1407" s="18" t="n"/>
      <c r="F1407" s="19" t="n"/>
      <c r="G1407" s="19" t="n"/>
      <c r="H1407" s="20" t="n"/>
      <c r="I1407" s="21" t="n"/>
      <c r="J1407" s="22" t="n"/>
      <c r="K1407" s="23" t="n"/>
      <c r="L1407" s="18" t="n"/>
      <c r="M1407" s="24">
        <f>IF(B1407="","",IF(AND(F1407&lt;&gt;"",G1407&lt;&gt;""),MAX(0,ROUND(MOD(G1407-F1407,1)*24-N(H1407)/60,2)),N(I1407)))</f>
        <v/>
      </c>
      <c r="N1407" s="14">
        <f>IF(B1407="","",IF(K1407&lt;&gt;"",K1407,IF(N(IFERROR(INDEX(Projects!$D$6:$D$65,MATCH(D1407,Projects!$B$6:$B$65,0)),""))&gt;0,IFERROR(INDEX(Projects!$D$6:$D$65,MATCH(D1407,Projects!$B$6:$B$65,0)),""),IFERROR(INDEX(Clients!$G$6:$G$45,MATCH(C1407,Clients!$B$6:$B$45,0)),0))))</f>
        <v/>
      </c>
      <c r="O1407" s="14">
        <f>IF(B1407="","",IF(J1407&lt;&gt;"",0,ROUND(M1407*N1407,2)))</f>
        <v/>
      </c>
      <c r="P1407" s="15">
        <f>IF(OR(B1407="",J1407&lt;&gt;""),"",IF(L1407&lt;&gt;"",L1407,IF(COUNTIFS(Invoices!$C$6:$C$305,C1407,Invoices!$E$6:$E$305,"&lt;="&amp;B1407,Invoices!$F$6:$F$305,"&gt;="&amp;B1407)=1,INDEX(Invoices!$B$6:$B$305,SUMIFS(Invoices!$O$6:$O$305,Invoices!$C$6:$C$305,C1407,Invoices!$E$6:$E$305,"&lt;="&amp;B1407,Invoices!$F$6:$F$305,"&gt;="&amp;B1407)),IF(COUNTIFS(Invoices!$C$6:$C$305,C1407,Invoices!$E$6:$E$305,"&lt;="&amp;B1407,Invoices!$F$6:$F$305,"&gt;="&amp;B1407)&gt;1,"Two invoices",""))))</f>
        <v/>
      </c>
      <c r="Q1407" s="15">
        <f>IF(B1407="","",IF(J1407&lt;&gt;"","Not billable",IF(P1407="","To invoice",IF(P1407="Two invoices","Check dates",IF(ISNA(MATCH(P1407,Invoices!$B$6:$B$305,0)),"Check number",IF(INDEX(Invoices!$M$6:$M$305,MATCH(P1407,Invoices!$B$6:$B$305,0))="Paid","Paid",IF(INDEX(Invoices!$M$6:$M$305,MATCH(P1407,Invoices!$B$6:$B$305,0))="Draft","Draft","Invoiced")))))))</f>
        <v/>
      </c>
      <c r="R1407" s="1">
        <f>IF(AND(B1407&lt;&gt;"",P1407&lt;&gt;"",P1407=Invoice!$G$4),B1407+MOD(N(F1407),1)+ROW()/10000000,"")</f>
        <v/>
      </c>
      <c r="S1407">
        <f>IF(R1407="","",IF(D1407="","Other work",D1407)&amp;IF(AND(K1407&lt;&gt;"",E1407&lt;&gt;""),", "&amp;E1407,""))</f>
        <v/>
      </c>
      <c r="T1407">
        <f>IF(R1407="","",IF(COUNTIFS(R$6:R1406,"&gt;0",S$6:S1406,S1407,N$6:N1406,N1407)=0,R1407,""))</f>
        <v/>
      </c>
      <c r="U1407">
        <f>IF(B1407="","",IF(J1407&lt;&gt;"",0,M1407))</f>
        <v/>
      </c>
    </row>
    <row r="1408">
      <c r="A1408" s="1" t="n"/>
      <c r="B1408" s="16" t="n"/>
      <c r="C1408" s="17" t="n"/>
      <c r="D1408" s="18" t="n"/>
      <c r="E1408" s="18" t="n"/>
      <c r="F1408" s="19" t="n"/>
      <c r="G1408" s="19" t="n"/>
      <c r="H1408" s="20" t="n"/>
      <c r="I1408" s="21" t="n"/>
      <c r="J1408" s="22" t="n"/>
      <c r="K1408" s="23" t="n"/>
      <c r="L1408" s="18" t="n"/>
      <c r="M1408" s="24">
        <f>IF(B1408="","",IF(AND(F1408&lt;&gt;"",G1408&lt;&gt;""),MAX(0,ROUND(MOD(G1408-F1408,1)*24-N(H1408)/60,2)),N(I1408)))</f>
        <v/>
      </c>
      <c r="N1408" s="14">
        <f>IF(B1408="","",IF(K1408&lt;&gt;"",K1408,IF(N(IFERROR(INDEX(Projects!$D$6:$D$65,MATCH(D1408,Projects!$B$6:$B$65,0)),""))&gt;0,IFERROR(INDEX(Projects!$D$6:$D$65,MATCH(D1408,Projects!$B$6:$B$65,0)),""),IFERROR(INDEX(Clients!$G$6:$G$45,MATCH(C1408,Clients!$B$6:$B$45,0)),0))))</f>
        <v/>
      </c>
      <c r="O1408" s="14">
        <f>IF(B1408="","",IF(J1408&lt;&gt;"",0,ROUND(M1408*N1408,2)))</f>
        <v/>
      </c>
      <c r="P1408" s="15">
        <f>IF(OR(B1408="",J1408&lt;&gt;""),"",IF(L1408&lt;&gt;"",L1408,IF(COUNTIFS(Invoices!$C$6:$C$305,C1408,Invoices!$E$6:$E$305,"&lt;="&amp;B1408,Invoices!$F$6:$F$305,"&gt;="&amp;B1408)=1,INDEX(Invoices!$B$6:$B$305,SUMIFS(Invoices!$O$6:$O$305,Invoices!$C$6:$C$305,C1408,Invoices!$E$6:$E$305,"&lt;="&amp;B1408,Invoices!$F$6:$F$305,"&gt;="&amp;B1408)),IF(COUNTIFS(Invoices!$C$6:$C$305,C1408,Invoices!$E$6:$E$305,"&lt;="&amp;B1408,Invoices!$F$6:$F$305,"&gt;="&amp;B1408)&gt;1,"Two invoices",""))))</f>
        <v/>
      </c>
      <c r="Q1408" s="15">
        <f>IF(B1408="","",IF(J1408&lt;&gt;"","Not billable",IF(P1408="","To invoice",IF(P1408="Two invoices","Check dates",IF(ISNA(MATCH(P1408,Invoices!$B$6:$B$305,0)),"Check number",IF(INDEX(Invoices!$M$6:$M$305,MATCH(P1408,Invoices!$B$6:$B$305,0))="Paid","Paid",IF(INDEX(Invoices!$M$6:$M$305,MATCH(P1408,Invoices!$B$6:$B$305,0))="Draft","Draft","Invoiced")))))))</f>
        <v/>
      </c>
      <c r="R1408" s="1">
        <f>IF(AND(B1408&lt;&gt;"",P1408&lt;&gt;"",P1408=Invoice!$G$4),B1408+MOD(N(F1408),1)+ROW()/10000000,"")</f>
        <v/>
      </c>
      <c r="S1408">
        <f>IF(R1408="","",IF(D1408="","Other work",D1408)&amp;IF(AND(K1408&lt;&gt;"",E1408&lt;&gt;""),", "&amp;E1408,""))</f>
        <v/>
      </c>
      <c r="T1408">
        <f>IF(R1408="","",IF(COUNTIFS(R$6:R1407,"&gt;0",S$6:S1407,S1408,N$6:N1407,N1408)=0,R1408,""))</f>
        <v/>
      </c>
      <c r="U1408">
        <f>IF(B1408="","",IF(J1408&lt;&gt;"",0,M1408))</f>
        <v/>
      </c>
    </row>
    <row r="1409">
      <c r="A1409" s="1" t="n"/>
      <c r="B1409" s="16" t="n"/>
      <c r="C1409" s="17" t="n"/>
      <c r="D1409" s="18" t="n"/>
      <c r="E1409" s="18" t="n"/>
      <c r="F1409" s="19" t="n"/>
      <c r="G1409" s="19" t="n"/>
      <c r="H1409" s="20" t="n"/>
      <c r="I1409" s="21" t="n"/>
      <c r="J1409" s="22" t="n"/>
      <c r="K1409" s="23" t="n"/>
      <c r="L1409" s="18" t="n"/>
      <c r="M1409" s="24">
        <f>IF(B1409="","",IF(AND(F1409&lt;&gt;"",G1409&lt;&gt;""),MAX(0,ROUND(MOD(G1409-F1409,1)*24-N(H1409)/60,2)),N(I1409)))</f>
        <v/>
      </c>
      <c r="N1409" s="14">
        <f>IF(B1409="","",IF(K1409&lt;&gt;"",K1409,IF(N(IFERROR(INDEX(Projects!$D$6:$D$65,MATCH(D1409,Projects!$B$6:$B$65,0)),""))&gt;0,IFERROR(INDEX(Projects!$D$6:$D$65,MATCH(D1409,Projects!$B$6:$B$65,0)),""),IFERROR(INDEX(Clients!$G$6:$G$45,MATCH(C1409,Clients!$B$6:$B$45,0)),0))))</f>
        <v/>
      </c>
      <c r="O1409" s="14">
        <f>IF(B1409="","",IF(J1409&lt;&gt;"",0,ROUND(M1409*N1409,2)))</f>
        <v/>
      </c>
      <c r="P1409" s="15">
        <f>IF(OR(B1409="",J1409&lt;&gt;""),"",IF(L1409&lt;&gt;"",L1409,IF(COUNTIFS(Invoices!$C$6:$C$305,C1409,Invoices!$E$6:$E$305,"&lt;="&amp;B1409,Invoices!$F$6:$F$305,"&gt;="&amp;B1409)=1,INDEX(Invoices!$B$6:$B$305,SUMIFS(Invoices!$O$6:$O$305,Invoices!$C$6:$C$305,C1409,Invoices!$E$6:$E$305,"&lt;="&amp;B1409,Invoices!$F$6:$F$305,"&gt;="&amp;B1409)),IF(COUNTIFS(Invoices!$C$6:$C$305,C1409,Invoices!$E$6:$E$305,"&lt;="&amp;B1409,Invoices!$F$6:$F$305,"&gt;="&amp;B1409)&gt;1,"Two invoices",""))))</f>
        <v/>
      </c>
      <c r="Q1409" s="15">
        <f>IF(B1409="","",IF(J1409&lt;&gt;"","Not billable",IF(P1409="","To invoice",IF(P1409="Two invoices","Check dates",IF(ISNA(MATCH(P1409,Invoices!$B$6:$B$305,0)),"Check number",IF(INDEX(Invoices!$M$6:$M$305,MATCH(P1409,Invoices!$B$6:$B$305,0))="Paid","Paid",IF(INDEX(Invoices!$M$6:$M$305,MATCH(P1409,Invoices!$B$6:$B$305,0))="Draft","Draft","Invoiced")))))))</f>
        <v/>
      </c>
      <c r="R1409" s="1">
        <f>IF(AND(B1409&lt;&gt;"",P1409&lt;&gt;"",P1409=Invoice!$G$4),B1409+MOD(N(F1409),1)+ROW()/10000000,"")</f>
        <v/>
      </c>
      <c r="S1409">
        <f>IF(R1409="","",IF(D1409="","Other work",D1409)&amp;IF(AND(K1409&lt;&gt;"",E1409&lt;&gt;""),", "&amp;E1409,""))</f>
        <v/>
      </c>
      <c r="T1409">
        <f>IF(R1409="","",IF(COUNTIFS(R$6:R1408,"&gt;0",S$6:S1408,S1409,N$6:N1408,N1409)=0,R1409,""))</f>
        <v/>
      </c>
      <c r="U1409">
        <f>IF(B1409="","",IF(J1409&lt;&gt;"",0,M1409))</f>
        <v/>
      </c>
    </row>
    <row r="1410">
      <c r="A1410" s="1" t="n"/>
      <c r="B1410" s="16" t="n"/>
      <c r="C1410" s="17" t="n"/>
      <c r="D1410" s="18" t="n"/>
      <c r="E1410" s="18" t="n"/>
      <c r="F1410" s="19" t="n"/>
      <c r="G1410" s="19" t="n"/>
      <c r="H1410" s="20" t="n"/>
      <c r="I1410" s="21" t="n"/>
      <c r="J1410" s="22" t="n"/>
      <c r="K1410" s="23" t="n"/>
      <c r="L1410" s="18" t="n"/>
      <c r="M1410" s="24">
        <f>IF(B1410="","",IF(AND(F1410&lt;&gt;"",G1410&lt;&gt;""),MAX(0,ROUND(MOD(G1410-F1410,1)*24-N(H1410)/60,2)),N(I1410)))</f>
        <v/>
      </c>
      <c r="N1410" s="14">
        <f>IF(B1410="","",IF(K1410&lt;&gt;"",K1410,IF(N(IFERROR(INDEX(Projects!$D$6:$D$65,MATCH(D1410,Projects!$B$6:$B$65,0)),""))&gt;0,IFERROR(INDEX(Projects!$D$6:$D$65,MATCH(D1410,Projects!$B$6:$B$65,0)),""),IFERROR(INDEX(Clients!$G$6:$G$45,MATCH(C1410,Clients!$B$6:$B$45,0)),0))))</f>
        <v/>
      </c>
      <c r="O1410" s="14">
        <f>IF(B1410="","",IF(J1410&lt;&gt;"",0,ROUND(M1410*N1410,2)))</f>
        <v/>
      </c>
      <c r="P1410" s="15">
        <f>IF(OR(B1410="",J1410&lt;&gt;""),"",IF(L1410&lt;&gt;"",L1410,IF(COUNTIFS(Invoices!$C$6:$C$305,C1410,Invoices!$E$6:$E$305,"&lt;="&amp;B1410,Invoices!$F$6:$F$305,"&gt;="&amp;B1410)=1,INDEX(Invoices!$B$6:$B$305,SUMIFS(Invoices!$O$6:$O$305,Invoices!$C$6:$C$305,C1410,Invoices!$E$6:$E$305,"&lt;="&amp;B1410,Invoices!$F$6:$F$305,"&gt;="&amp;B1410)),IF(COUNTIFS(Invoices!$C$6:$C$305,C1410,Invoices!$E$6:$E$305,"&lt;="&amp;B1410,Invoices!$F$6:$F$305,"&gt;="&amp;B1410)&gt;1,"Two invoices",""))))</f>
        <v/>
      </c>
      <c r="Q1410" s="15">
        <f>IF(B1410="","",IF(J1410&lt;&gt;"","Not billable",IF(P1410="","To invoice",IF(P1410="Two invoices","Check dates",IF(ISNA(MATCH(P1410,Invoices!$B$6:$B$305,0)),"Check number",IF(INDEX(Invoices!$M$6:$M$305,MATCH(P1410,Invoices!$B$6:$B$305,0))="Paid","Paid",IF(INDEX(Invoices!$M$6:$M$305,MATCH(P1410,Invoices!$B$6:$B$305,0))="Draft","Draft","Invoiced")))))))</f>
        <v/>
      </c>
      <c r="R1410" s="1">
        <f>IF(AND(B1410&lt;&gt;"",P1410&lt;&gt;"",P1410=Invoice!$G$4),B1410+MOD(N(F1410),1)+ROW()/10000000,"")</f>
        <v/>
      </c>
      <c r="S1410">
        <f>IF(R1410="","",IF(D1410="","Other work",D1410)&amp;IF(AND(K1410&lt;&gt;"",E1410&lt;&gt;""),", "&amp;E1410,""))</f>
        <v/>
      </c>
      <c r="T1410">
        <f>IF(R1410="","",IF(COUNTIFS(R$6:R1409,"&gt;0",S$6:S1409,S1410,N$6:N1409,N1410)=0,R1410,""))</f>
        <v/>
      </c>
      <c r="U1410">
        <f>IF(B1410="","",IF(J1410&lt;&gt;"",0,M1410))</f>
        <v/>
      </c>
    </row>
    <row r="1411">
      <c r="A1411" s="1" t="n"/>
      <c r="B1411" s="16" t="n"/>
      <c r="C1411" s="17" t="n"/>
      <c r="D1411" s="18" t="n"/>
      <c r="E1411" s="18" t="n"/>
      <c r="F1411" s="19" t="n"/>
      <c r="G1411" s="19" t="n"/>
      <c r="H1411" s="20" t="n"/>
      <c r="I1411" s="21" t="n"/>
      <c r="J1411" s="22" t="n"/>
      <c r="K1411" s="23" t="n"/>
      <c r="L1411" s="18" t="n"/>
      <c r="M1411" s="24">
        <f>IF(B1411="","",IF(AND(F1411&lt;&gt;"",G1411&lt;&gt;""),MAX(0,ROUND(MOD(G1411-F1411,1)*24-N(H1411)/60,2)),N(I1411)))</f>
        <v/>
      </c>
      <c r="N1411" s="14">
        <f>IF(B1411="","",IF(K1411&lt;&gt;"",K1411,IF(N(IFERROR(INDEX(Projects!$D$6:$D$65,MATCH(D1411,Projects!$B$6:$B$65,0)),""))&gt;0,IFERROR(INDEX(Projects!$D$6:$D$65,MATCH(D1411,Projects!$B$6:$B$65,0)),""),IFERROR(INDEX(Clients!$G$6:$G$45,MATCH(C1411,Clients!$B$6:$B$45,0)),0))))</f>
        <v/>
      </c>
      <c r="O1411" s="14">
        <f>IF(B1411="","",IF(J1411&lt;&gt;"",0,ROUND(M1411*N1411,2)))</f>
        <v/>
      </c>
      <c r="P1411" s="15">
        <f>IF(OR(B1411="",J1411&lt;&gt;""),"",IF(L1411&lt;&gt;"",L1411,IF(COUNTIFS(Invoices!$C$6:$C$305,C1411,Invoices!$E$6:$E$305,"&lt;="&amp;B1411,Invoices!$F$6:$F$305,"&gt;="&amp;B1411)=1,INDEX(Invoices!$B$6:$B$305,SUMIFS(Invoices!$O$6:$O$305,Invoices!$C$6:$C$305,C1411,Invoices!$E$6:$E$305,"&lt;="&amp;B1411,Invoices!$F$6:$F$305,"&gt;="&amp;B1411)),IF(COUNTIFS(Invoices!$C$6:$C$305,C1411,Invoices!$E$6:$E$305,"&lt;="&amp;B1411,Invoices!$F$6:$F$305,"&gt;="&amp;B1411)&gt;1,"Two invoices",""))))</f>
        <v/>
      </c>
      <c r="Q1411" s="15">
        <f>IF(B1411="","",IF(J1411&lt;&gt;"","Not billable",IF(P1411="","To invoice",IF(P1411="Two invoices","Check dates",IF(ISNA(MATCH(P1411,Invoices!$B$6:$B$305,0)),"Check number",IF(INDEX(Invoices!$M$6:$M$305,MATCH(P1411,Invoices!$B$6:$B$305,0))="Paid","Paid",IF(INDEX(Invoices!$M$6:$M$305,MATCH(P1411,Invoices!$B$6:$B$305,0))="Draft","Draft","Invoiced")))))))</f>
        <v/>
      </c>
      <c r="R1411" s="1">
        <f>IF(AND(B1411&lt;&gt;"",P1411&lt;&gt;"",P1411=Invoice!$G$4),B1411+MOD(N(F1411),1)+ROW()/10000000,"")</f>
        <v/>
      </c>
      <c r="S1411">
        <f>IF(R1411="","",IF(D1411="","Other work",D1411)&amp;IF(AND(K1411&lt;&gt;"",E1411&lt;&gt;""),", "&amp;E1411,""))</f>
        <v/>
      </c>
      <c r="T1411">
        <f>IF(R1411="","",IF(COUNTIFS(R$6:R1410,"&gt;0",S$6:S1410,S1411,N$6:N1410,N1411)=0,R1411,""))</f>
        <v/>
      </c>
      <c r="U1411">
        <f>IF(B1411="","",IF(J1411&lt;&gt;"",0,M1411))</f>
        <v/>
      </c>
    </row>
    <row r="1412">
      <c r="A1412" s="1" t="n"/>
      <c r="B1412" s="16" t="n"/>
      <c r="C1412" s="17" t="n"/>
      <c r="D1412" s="18" t="n"/>
      <c r="E1412" s="18" t="n"/>
      <c r="F1412" s="19" t="n"/>
      <c r="G1412" s="19" t="n"/>
      <c r="H1412" s="20" t="n"/>
      <c r="I1412" s="21" t="n"/>
      <c r="J1412" s="22" t="n"/>
      <c r="K1412" s="23" t="n"/>
      <c r="L1412" s="18" t="n"/>
      <c r="M1412" s="24">
        <f>IF(B1412="","",IF(AND(F1412&lt;&gt;"",G1412&lt;&gt;""),MAX(0,ROUND(MOD(G1412-F1412,1)*24-N(H1412)/60,2)),N(I1412)))</f>
        <v/>
      </c>
      <c r="N1412" s="14">
        <f>IF(B1412="","",IF(K1412&lt;&gt;"",K1412,IF(N(IFERROR(INDEX(Projects!$D$6:$D$65,MATCH(D1412,Projects!$B$6:$B$65,0)),""))&gt;0,IFERROR(INDEX(Projects!$D$6:$D$65,MATCH(D1412,Projects!$B$6:$B$65,0)),""),IFERROR(INDEX(Clients!$G$6:$G$45,MATCH(C1412,Clients!$B$6:$B$45,0)),0))))</f>
        <v/>
      </c>
      <c r="O1412" s="14">
        <f>IF(B1412="","",IF(J1412&lt;&gt;"",0,ROUND(M1412*N1412,2)))</f>
        <v/>
      </c>
      <c r="P1412" s="15">
        <f>IF(OR(B1412="",J1412&lt;&gt;""),"",IF(L1412&lt;&gt;"",L1412,IF(COUNTIFS(Invoices!$C$6:$C$305,C1412,Invoices!$E$6:$E$305,"&lt;="&amp;B1412,Invoices!$F$6:$F$305,"&gt;="&amp;B1412)=1,INDEX(Invoices!$B$6:$B$305,SUMIFS(Invoices!$O$6:$O$305,Invoices!$C$6:$C$305,C1412,Invoices!$E$6:$E$305,"&lt;="&amp;B1412,Invoices!$F$6:$F$305,"&gt;="&amp;B1412)),IF(COUNTIFS(Invoices!$C$6:$C$305,C1412,Invoices!$E$6:$E$305,"&lt;="&amp;B1412,Invoices!$F$6:$F$305,"&gt;="&amp;B1412)&gt;1,"Two invoices",""))))</f>
        <v/>
      </c>
      <c r="Q1412" s="15">
        <f>IF(B1412="","",IF(J1412&lt;&gt;"","Not billable",IF(P1412="","To invoice",IF(P1412="Two invoices","Check dates",IF(ISNA(MATCH(P1412,Invoices!$B$6:$B$305,0)),"Check number",IF(INDEX(Invoices!$M$6:$M$305,MATCH(P1412,Invoices!$B$6:$B$305,0))="Paid","Paid",IF(INDEX(Invoices!$M$6:$M$305,MATCH(P1412,Invoices!$B$6:$B$305,0))="Draft","Draft","Invoiced")))))))</f>
        <v/>
      </c>
      <c r="R1412" s="1">
        <f>IF(AND(B1412&lt;&gt;"",P1412&lt;&gt;"",P1412=Invoice!$G$4),B1412+MOD(N(F1412),1)+ROW()/10000000,"")</f>
        <v/>
      </c>
      <c r="S1412">
        <f>IF(R1412="","",IF(D1412="","Other work",D1412)&amp;IF(AND(K1412&lt;&gt;"",E1412&lt;&gt;""),", "&amp;E1412,""))</f>
        <v/>
      </c>
      <c r="T1412">
        <f>IF(R1412="","",IF(COUNTIFS(R$6:R1411,"&gt;0",S$6:S1411,S1412,N$6:N1411,N1412)=0,R1412,""))</f>
        <v/>
      </c>
      <c r="U1412">
        <f>IF(B1412="","",IF(J1412&lt;&gt;"",0,M1412))</f>
        <v/>
      </c>
    </row>
    <row r="1413">
      <c r="A1413" s="1" t="n"/>
      <c r="B1413" s="16" t="n"/>
      <c r="C1413" s="17" t="n"/>
      <c r="D1413" s="18" t="n"/>
      <c r="E1413" s="18" t="n"/>
      <c r="F1413" s="19" t="n"/>
      <c r="G1413" s="19" t="n"/>
      <c r="H1413" s="20" t="n"/>
      <c r="I1413" s="21" t="n"/>
      <c r="J1413" s="22" t="n"/>
      <c r="K1413" s="23" t="n"/>
      <c r="L1413" s="18" t="n"/>
      <c r="M1413" s="24">
        <f>IF(B1413="","",IF(AND(F1413&lt;&gt;"",G1413&lt;&gt;""),MAX(0,ROUND(MOD(G1413-F1413,1)*24-N(H1413)/60,2)),N(I1413)))</f>
        <v/>
      </c>
      <c r="N1413" s="14">
        <f>IF(B1413="","",IF(K1413&lt;&gt;"",K1413,IF(N(IFERROR(INDEX(Projects!$D$6:$D$65,MATCH(D1413,Projects!$B$6:$B$65,0)),""))&gt;0,IFERROR(INDEX(Projects!$D$6:$D$65,MATCH(D1413,Projects!$B$6:$B$65,0)),""),IFERROR(INDEX(Clients!$G$6:$G$45,MATCH(C1413,Clients!$B$6:$B$45,0)),0))))</f>
        <v/>
      </c>
      <c r="O1413" s="14">
        <f>IF(B1413="","",IF(J1413&lt;&gt;"",0,ROUND(M1413*N1413,2)))</f>
        <v/>
      </c>
      <c r="P1413" s="15">
        <f>IF(OR(B1413="",J1413&lt;&gt;""),"",IF(L1413&lt;&gt;"",L1413,IF(COUNTIFS(Invoices!$C$6:$C$305,C1413,Invoices!$E$6:$E$305,"&lt;="&amp;B1413,Invoices!$F$6:$F$305,"&gt;="&amp;B1413)=1,INDEX(Invoices!$B$6:$B$305,SUMIFS(Invoices!$O$6:$O$305,Invoices!$C$6:$C$305,C1413,Invoices!$E$6:$E$305,"&lt;="&amp;B1413,Invoices!$F$6:$F$305,"&gt;="&amp;B1413)),IF(COUNTIFS(Invoices!$C$6:$C$305,C1413,Invoices!$E$6:$E$305,"&lt;="&amp;B1413,Invoices!$F$6:$F$305,"&gt;="&amp;B1413)&gt;1,"Two invoices",""))))</f>
        <v/>
      </c>
      <c r="Q1413" s="15">
        <f>IF(B1413="","",IF(J1413&lt;&gt;"","Not billable",IF(P1413="","To invoice",IF(P1413="Two invoices","Check dates",IF(ISNA(MATCH(P1413,Invoices!$B$6:$B$305,0)),"Check number",IF(INDEX(Invoices!$M$6:$M$305,MATCH(P1413,Invoices!$B$6:$B$305,0))="Paid","Paid",IF(INDEX(Invoices!$M$6:$M$305,MATCH(P1413,Invoices!$B$6:$B$305,0))="Draft","Draft","Invoiced")))))))</f>
        <v/>
      </c>
      <c r="R1413" s="1">
        <f>IF(AND(B1413&lt;&gt;"",P1413&lt;&gt;"",P1413=Invoice!$G$4),B1413+MOD(N(F1413),1)+ROW()/10000000,"")</f>
        <v/>
      </c>
      <c r="S1413">
        <f>IF(R1413="","",IF(D1413="","Other work",D1413)&amp;IF(AND(K1413&lt;&gt;"",E1413&lt;&gt;""),", "&amp;E1413,""))</f>
        <v/>
      </c>
      <c r="T1413">
        <f>IF(R1413="","",IF(COUNTIFS(R$6:R1412,"&gt;0",S$6:S1412,S1413,N$6:N1412,N1413)=0,R1413,""))</f>
        <v/>
      </c>
      <c r="U1413">
        <f>IF(B1413="","",IF(J1413&lt;&gt;"",0,M1413))</f>
        <v/>
      </c>
    </row>
    <row r="1414">
      <c r="A1414" s="1" t="n"/>
      <c r="B1414" s="16" t="n"/>
      <c r="C1414" s="17" t="n"/>
      <c r="D1414" s="18" t="n"/>
      <c r="E1414" s="18" t="n"/>
      <c r="F1414" s="19" t="n"/>
      <c r="G1414" s="19" t="n"/>
      <c r="H1414" s="20" t="n"/>
      <c r="I1414" s="21" t="n"/>
      <c r="J1414" s="22" t="n"/>
      <c r="K1414" s="23" t="n"/>
      <c r="L1414" s="18" t="n"/>
      <c r="M1414" s="24">
        <f>IF(B1414="","",IF(AND(F1414&lt;&gt;"",G1414&lt;&gt;""),MAX(0,ROUND(MOD(G1414-F1414,1)*24-N(H1414)/60,2)),N(I1414)))</f>
        <v/>
      </c>
      <c r="N1414" s="14">
        <f>IF(B1414="","",IF(K1414&lt;&gt;"",K1414,IF(N(IFERROR(INDEX(Projects!$D$6:$D$65,MATCH(D1414,Projects!$B$6:$B$65,0)),""))&gt;0,IFERROR(INDEX(Projects!$D$6:$D$65,MATCH(D1414,Projects!$B$6:$B$65,0)),""),IFERROR(INDEX(Clients!$G$6:$G$45,MATCH(C1414,Clients!$B$6:$B$45,0)),0))))</f>
        <v/>
      </c>
      <c r="O1414" s="14">
        <f>IF(B1414="","",IF(J1414&lt;&gt;"",0,ROUND(M1414*N1414,2)))</f>
        <v/>
      </c>
      <c r="P1414" s="15">
        <f>IF(OR(B1414="",J1414&lt;&gt;""),"",IF(L1414&lt;&gt;"",L1414,IF(COUNTIFS(Invoices!$C$6:$C$305,C1414,Invoices!$E$6:$E$305,"&lt;="&amp;B1414,Invoices!$F$6:$F$305,"&gt;="&amp;B1414)=1,INDEX(Invoices!$B$6:$B$305,SUMIFS(Invoices!$O$6:$O$305,Invoices!$C$6:$C$305,C1414,Invoices!$E$6:$E$305,"&lt;="&amp;B1414,Invoices!$F$6:$F$305,"&gt;="&amp;B1414)),IF(COUNTIFS(Invoices!$C$6:$C$305,C1414,Invoices!$E$6:$E$305,"&lt;="&amp;B1414,Invoices!$F$6:$F$305,"&gt;="&amp;B1414)&gt;1,"Two invoices",""))))</f>
        <v/>
      </c>
      <c r="Q1414" s="15">
        <f>IF(B1414="","",IF(J1414&lt;&gt;"","Not billable",IF(P1414="","To invoice",IF(P1414="Two invoices","Check dates",IF(ISNA(MATCH(P1414,Invoices!$B$6:$B$305,0)),"Check number",IF(INDEX(Invoices!$M$6:$M$305,MATCH(P1414,Invoices!$B$6:$B$305,0))="Paid","Paid",IF(INDEX(Invoices!$M$6:$M$305,MATCH(P1414,Invoices!$B$6:$B$305,0))="Draft","Draft","Invoiced")))))))</f>
        <v/>
      </c>
      <c r="R1414" s="1">
        <f>IF(AND(B1414&lt;&gt;"",P1414&lt;&gt;"",P1414=Invoice!$G$4),B1414+MOD(N(F1414),1)+ROW()/10000000,"")</f>
        <v/>
      </c>
      <c r="S1414">
        <f>IF(R1414="","",IF(D1414="","Other work",D1414)&amp;IF(AND(K1414&lt;&gt;"",E1414&lt;&gt;""),", "&amp;E1414,""))</f>
        <v/>
      </c>
      <c r="T1414">
        <f>IF(R1414="","",IF(COUNTIFS(R$6:R1413,"&gt;0",S$6:S1413,S1414,N$6:N1413,N1414)=0,R1414,""))</f>
        <v/>
      </c>
      <c r="U1414">
        <f>IF(B1414="","",IF(J1414&lt;&gt;"",0,M1414))</f>
        <v/>
      </c>
    </row>
    <row r="1415">
      <c r="A1415" s="1" t="n"/>
      <c r="B1415" s="16" t="n"/>
      <c r="C1415" s="17" t="n"/>
      <c r="D1415" s="18" t="n"/>
      <c r="E1415" s="18" t="n"/>
      <c r="F1415" s="19" t="n"/>
      <c r="G1415" s="19" t="n"/>
      <c r="H1415" s="20" t="n"/>
      <c r="I1415" s="21" t="n"/>
      <c r="J1415" s="22" t="n"/>
      <c r="K1415" s="23" t="n"/>
      <c r="L1415" s="18" t="n"/>
      <c r="M1415" s="24">
        <f>IF(B1415="","",IF(AND(F1415&lt;&gt;"",G1415&lt;&gt;""),MAX(0,ROUND(MOD(G1415-F1415,1)*24-N(H1415)/60,2)),N(I1415)))</f>
        <v/>
      </c>
      <c r="N1415" s="14">
        <f>IF(B1415="","",IF(K1415&lt;&gt;"",K1415,IF(N(IFERROR(INDEX(Projects!$D$6:$D$65,MATCH(D1415,Projects!$B$6:$B$65,0)),""))&gt;0,IFERROR(INDEX(Projects!$D$6:$D$65,MATCH(D1415,Projects!$B$6:$B$65,0)),""),IFERROR(INDEX(Clients!$G$6:$G$45,MATCH(C1415,Clients!$B$6:$B$45,0)),0))))</f>
        <v/>
      </c>
      <c r="O1415" s="14">
        <f>IF(B1415="","",IF(J1415&lt;&gt;"",0,ROUND(M1415*N1415,2)))</f>
        <v/>
      </c>
      <c r="P1415" s="15">
        <f>IF(OR(B1415="",J1415&lt;&gt;""),"",IF(L1415&lt;&gt;"",L1415,IF(COUNTIFS(Invoices!$C$6:$C$305,C1415,Invoices!$E$6:$E$305,"&lt;="&amp;B1415,Invoices!$F$6:$F$305,"&gt;="&amp;B1415)=1,INDEX(Invoices!$B$6:$B$305,SUMIFS(Invoices!$O$6:$O$305,Invoices!$C$6:$C$305,C1415,Invoices!$E$6:$E$305,"&lt;="&amp;B1415,Invoices!$F$6:$F$305,"&gt;="&amp;B1415)),IF(COUNTIFS(Invoices!$C$6:$C$305,C1415,Invoices!$E$6:$E$305,"&lt;="&amp;B1415,Invoices!$F$6:$F$305,"&gt;="&amp;B1415)&gt;1,"Two invoices",""))))</f>
        <v/>
      </c>
      <c r="Q1415" s="15">
        <f>IF(B1415="","",IF(J1415&lt;&gt;"","Not billable",IF(P1415="","To invoice",IF(P1415="Two invoices","Check dates",IF(ISNA(MATCH(P1415,Invoices!$B$6:$B$305,0)),"Check number",IF(INDEX(Invoices!$M$6:$M$305,MATCH(P1415,Invoices!$B$6:$B$305,0))="Paid","Paid",IF(INDEX(Invoices!$M$6:$M$305,MATCH(P1415,Invoices!$B$6:$B$305,0))="Draft","Draft","Invoiced")))))))</f>
        <v/>
      </c>
      <c r="R1415" s="1">
        <f>IF(AND(B1415&lt;&gt;"",P1415&lt;&gt;"",P1415=Invoice!$G$4),B1415+MOD(N(F1415),1)+ROW()/10000000,"")</f>
        <v/>
      </c>
      <c r="S1415">
        <f>IF(R1415="","",IF(D1415="","Other work",D1415)&amp;IF(AND(K1415&lt;&gt;"",E1415&lt;&gt;""),", "&amp;E1415,""))</f>
        <v/>
      </c>
      <c r="T1415">
        <f>IF(R1415="","",IF(COUNTIFS(R$6:R1414,"&gt;0",S$6:S1414,S1415,N$6:N1414,N1415)=0,R1415,""))</f>
        <v/>
      </c>
      <c r="U1415">
        <f>IF(B1415="","",IF(J1415&lt;&gt;"",0,M1415))</f>
        <v/>
      </c>
    </row>
    <row r="1416">
      <c r="A1416" s="1" t="n"/>
      <c r="B1416" s="16" t="n"/>
      <c r="C1416" s="17" t="n"/>
      <c r="D1416" s="18" t="n"/>
      <c r="E1416" s="18" t="n"/>
      <c r="F1416" s="19" t="n"/>
      <c r="G1416" s="19" t="n"/>
      <c r="H1416" s="20" t="n"/>
      <c r="I1416" s="21" t="n"/>
      <c r="J1416" s="22" t="n"/>
      <c r="K1416" s="23" t="n"/>
      <c r="L1416" s="18" t="n"/>
      <c r="M1416" s="24">
        <f>IF(B1416="","",IF(AND(F1416&lt;&gt;"",G1416&lt;&gt;""),MAX(0,ROUND(MOD(G1416-F1416,1)*24-N(H1416)/60,2)),N(I1416)))</f>
        <v/>
      </c>
      <c r="N1416" s="14">
        <f>IF(B1416="","",IF(K1416&lt;&gt;"",K1416,IF(N(IFERROR(INDEX(Projects!$D$6:$D$65,MATCH(D1416,Projects!$B$6:$B$65,0)),""))&gt;0,IFERROR(INDEX(Projects!$D$6:$D$65,MATCH(D1416,Projects!$B$6:$B$65,0)),""),IFERROR(INDEX(Clients!$G$6:$G$45,MATCH(C1416,Clients!$B$6:$B$45,0)),0))))</f>
        <v/>
      </c>
      <c r="O1416" s="14">
        <f>IF(B1416="","",IF(J1416&lt;&gt;"",0,ROUND(M1416*N1416,2)))</f>
        <v/>
      </c>
      <c r="P1416" s="15">
        <f>IF(OR(B1416="",J1416&lt;&gt;""),"",IF(L1416&lt;&gt;"",L1416,IF(COUNTIFS(Invoices!$C$6:$C$305,C1416,Invoices!$E$6:$E$305,"&lt;="&amp;B1416,Invoices!$F$6:$F$305,"&gt;="&amp;B1416)=1,INDEX(Invoices!$B$6:$B$305,SUMIFS(Invoices!$O$6:$O$305,Invoices!$C$6:$C$305,C1416,Invoices!$E$6:$E$305,"&lt;="&amp;B1416,Invoices!$F$6:$F$305,"&gt;="&amp;B1416)),IF(COUNTIFS(Invoices!$C$6:$C$305,C1416,Invoices!$E$6:$E$305,"&lt;="&amp;B1416,Invoices!$F$6:$F$305,"&gt;="&amp;B1416)&gt;1,"Two invoices",""))))</f>
        <v/>
      </c>
      <c r="Q1416" s="15">
        <f>IF(B1416="","",IF(J1416&lt;&gt;"","Not billable",IF(P1416="","To invoice",IF(P1416="Two invoices","Check dates",IF(ISNA(MATCH(P1416,Invoices!$B$6:$B$305,0)),"Check number",IF(INDEX(Invoices!$M$6:$M$305,MATCH(P1416,Invoices!$B$6:$B$305,0))="Paid","Paid",IF(INDEX(Invoices!$M$6:$M$305,MATCH(P1416,Invoices!$B$6:$B$305,0))="Draft","Draft","Invoiced")))))))</f>
        <v/>
      </c>
      <c r="R1416" s="1">
        <f>IF(AND(B1416&lt;&gt;"",P1416&lt;&gt;"",P1416=Invoice!$G$4),B1416+MOD(N(F1416),1)+ROW()/10000000,"")</f>
        <v/>
      </c>
      <c r="S1416">
        <f>IF(R1416="","",IF(D1416="","Other work",D1416)&amp;IF(AND(K1416&lt;&gt;"",E1416&lt;&gt;""),", "&amp;E1416,""))</f>
        <v/>
      </c>
      <c r="T1416">
        <f>IF(R1416="","",IF(COUNTIFS(R$6:R1415,"&gt;0",S$6:S1415,S1416,N$6:N1415,N1416)=0,R1416,""))</f>
        <v/>
      </c>
      <c r="U1416">
        <f>IF(B1416="","",IF(J1416&lt;&gt;"",0,M1416))</f>
        <v/>
      </c>
    </row>
    <row r="1417">
      <c r="A1417" s="1" t="n"/>
      <c r="B1417" s="16" t="n"/>
      <c r="C1417" s="17" t="n"/>
      <c r="D1417" s="18" t="n"/>
      <c r="E1417" s="18" t="n"/>
      <c r="F1417" s="19" t="n"/>
      <c r="G1417" s="19" t="n"/>
      <c r="H1417" s="20" t="n"/>
      <c r="I1417" s="21" t="n"/>
      <c r="J1417" s="22" t="n"/>
      <c r="K1417" s="23" t="n"/>
      <c r="L1417" s="18" t="n"/>
      <c r="M1417" s="24">
        <f>IF(B1417="","",IF(AND(F1417&lt;&gt;"",G1417&lt;&gt;""),MAX(0,ROUND(MOD(G1417-F1417,1)*24-N(H1417)/60,2)),N(I1417)))</f>
        <v/>
      </c>
      <c r="N1417" s="14">
        <f>IF(B1417="","",IF(K1417&lt;&gt;"",K1417,IF(N(IFERROR(INDEX(Projects!$D$6:$D$65,MATCH(D1417,Projects!$B$6:$B$65,0)),""))&gt;0,IFERROR(INDEX(Projects!$D$6:$D$65,MATCH(D1417,Projects!$B$6:$B$65,0)),""),IFERROR(INDEX(Clients!$G$6:$G$45,MATCH(C1417,Clients!$B$6:$B$45,0)),0))))</f>
        <v/>
      </c>
      <c r="O1417" s="14">
        <f>IF(B1417="","",IF(J1417&lt;&gt;"",0,ROUND(M1417*N1417,2)))</f>
        <v/>
      </c>
      <c r="P1417" s="15">
        <f>IF(OR(B1417="",J1417&lt;&gt;""),"",IF(L1417&lt;&gt;"",L1417,IF(COUNTIFS(Invoices!$C$6:$C$305,C1417,Invoices!$E$6:$E$305,"&lt;="&amp;B1417,Invoices!$F$6:$F$305,"&gt;="&amp;B1417)=1,INDEX(Invoices!$B$6:$B$305,SUMIFS(Invoices!$O$6:$O$305,Invoices!$C$6:$C$305,C1417,Invoices!$E$6:$E$305,"&lt;="&amp;B1417,Invoices!$F$6:$F$305,"&gt;="&amp;B1417)),IF(COUNTIFS(Invoices!$C$6:$C$305,C1417,Invoices!$E$6:$E$305,"&lt;="&amp;B1417,Invoices!$F$6:$F$305,"&gt;="&amp;B1417)&gt;1,"Two invoices",""))))</f>
        <v/>
      </c>
      <c r="Q1417" s="15">
        <f>IF(B1417="","",IF(J1417&lt;&gt;"","Not billable",IF(P1417="","To invoice",IF(P1417="Two invoices","Check dates",IF(ISNA(MATCH(P1417,Invoices!$B$6:$B$305,0)),"Check number",IF(INDEX(Invoices!$M$6:$M$305,MATCH(P1417,Invoices!$B$6:$B$305,0))="Paid","Paid",IF(INDEX(Invoices!$M$6:$M$305,MATCH(P1417,Invoices!$B$6:$B$305,0))="Draft","Draft","Invoiced")))))))</f>
        <v/>
      </c>
      <c r="R1417" s="1">
        <f>IF(AND(B1417&lt;&gt;"",P1417&lt;&gt;"",P1417=Invoice!$G$4),B1417+MOD(N(F1417),1)+ROW()/10000000,"")</f>
        <v/>
      </c>
      <c r="S1417">
        <f>IF(R1417="","",IF(D1417="","Other work",D1417)&amp;IF(AND(K1417&lt;&gt;"",E1417&lt;&gt;""),", "&amp;E1417,""))</f>
        <v/>
      </c>
      <c r="T1417">
        <f>IF(R1417="","",IF(COUNTIFS(R$6:R1416,"&gt;0",S$6:S1416,S1417,N$6:N1416,N1417)=0,R1417,""))</f>
        <v/>
      </c>
      <c r="U1417">
        <f>IF(B1417="","",IF(J1417&lt;&gt;"",0,M1417))</f>
        <v/>
      </c>
    </row>
    <row r="1418">
      <c r="A1418" s="1" t="n"/>
      <c r="B1418" s="16" t="n"/>
      <c r="C1418" s="17" t="n"/>
      <c r="D1418" s="18" t="n"/>
      <c r="E1418" s="18" t="n"/>
      <c r="F1418" s="19" t="n"/>
      <c r="G1418" s="19" t="n"/>
      <c r="H1418" s="20" t="n"/>
      <c r="I1418" s="21" t="n"/>
      <c r="J1418" s="22" t="n"/>
      <c r="K1418" s="23" t="n"/>
      <c r="L1418" s="18" t="n"/>
      <c r="M1418" s="24">
        <f>IF(B1418="","",IF(AND(F1418&lt;&gt;"",G1418&lt;&gt;""),MAX(0,ROUND(MOD(G1418-F1418,1)*24-N(H1418)/60,2)),N(I1418)))</f>
        <v/>
      </c>
      <c r="N1418" s="14">
        <f>IF(B1418="","",IF(K1418&lt;&gt;"",K1418,IF(N(IFERROR(INDEX(Projects!$D$6:$D$65,MATCH(D1418,Projects!$B$6:$B$65,0)),""))&gt;0,IFERROR(INDEX(Projects!$D$6:$D$65,MATCH(D1418,Projects!$B$6:$B$65,0)),""),IFERROR(INDEX(Clients!$G$6:$G$45,MATCH(C1418,Clients!$B$6:$B$45,0)),0))))</f>
        <v/>
      </c>
      <c r="O1418" s="14">
        <f>IF(B1418="","",IF(J1418&lt;&gt;"",0,ROUND(M1418*N1418,2)))</f>
        <v/>
      </c>
      <c r="P1418" s="15">
        <f>IF(OR(B1418="",J1418&lt;&gt;""),"",IF(L1418&lt;&gt;"",L1418,IF(COUNTIFS(Invoices!$C$6:$C$305,C1418,Invoices!$E$6:$E$305,"&lt;="&amp;B1418,Invoices!$F$6:$F$305,"&gt;="&amp;B1418)=1,INDEX(Invoices!$B$6:$B$305,SUMIFS(Invoices!$O$6:$O$305,Invoices!$C$6:$C$305,C1418,Invoices!$E$6:$E$305,"&lt;="&amp;B1418,Invoices!$F$6:$F$305,"&gt;="&amp;B1418)),IF(COUNTIFS(Invoices!$C$6:$C$305,C1418,Invoices!$E$6:$E$305,"&lt;="&amp;B1418,Invoices!$F$6:$F$305,"&gt;="&amp;B1418)&gt;1,"Two invoices",""))))</f>
        <v/>
      </c>
      <c r="Q1418" s="15">
        <f>IF(B1418="","",IF(J1418&lt;&gt;"","Not billable",IF(P1418="","To invoice",IF(P1418="Two invoices","Check dates",IF(ISNA(MATCH(P1418,Invoices!$B$6:$B$305,0)),"Check number",IF(INDEX(Invoices!$M$6:$M$305,MATCH(P1418,Invoices!$B$6:$B$305,0))="Paid","Paid",IF(INDEX(Invoices!$M$6:$M$305,MATCH(P1418,Invoices!$B$6:$B$305,0))="Draft","Draft","Invoiced")))))))</f>
        <v/>
      </c>
      <c r="R1418" s="1">
        <f>IF(AND(B1418&lt;&gt;"",P1418&lt;&gt;"",P1418=Invoice!$G$4),B1418+MOD(N(F1418),1)+ROW()/10000000,"")</f>
        <v/>
      </c>
      <c r="S1418">
        <f>IF(R1418="","",IF(D1418="","Other work",D1418)&amp;IF(AND(K1418&lt;&gt;"",E1418&lt;&gt;""),", "&amp;E1418,""))</f>
        <v/>
      </c>
      <c r="T1418">
        <f>IF(R1418="","",IF(COUNTIFS(R$6:R1417,"&gt;0",S$6:S1417,S1418,N$6:N1417,N1418)=0,R1418,""))</f>
        <v/>
      </c>
      <c r="U1418">
        <f>IF(B1418="","",IF(J1418&lt;&gt;"",0,M1418))</f>
        <v/>
      </c>
    </row>
    <row r="1419">
      <c r="A1419" s="1" t="n"/>
      <c r="B1419" s="16" t="n"/>
      <c r="C1419" s="17" t="n"/>
      <c r="D1419" s="18" t="n"/>
      <c r="E1419" s="18" t="n"/>
      <c r="F1419" s="19" t="n"/>
      <c r="G1419" s="19" t="n"/>
      <c r="H1419" s="20" t="n"/>
      <c r="I1419" s="21" t="n"/>
      <c r="J1419" s="22" t="n"/>
      <c r="K1419" s="23" t="n"/>
      <c r="L1419" s="18" t="n"/>
      <c r="M1419" s="24">
        <f>IF(B1419="","",IF(AND(F1419&lt;&gt;"",G1419&lt;&gt;""),MAX(0,ROUND(MOD(G1419-F1419,1)*24-N(H1419)/60,2)),N(I1419)))</f>
        <v/>
      </c>
      <c r="N1419" s="14">
        <f>IF(B1419="","",IF(K1419&lt;&gt;"",K1419,IF(N(IFERROR(INDEX(Projects!$D$6:$D$65,MATCH(D1419,Projects!$B$6:$B$65,0)),""))&gt;0,IFERROR(INDEX(Projects!$D$6:$D$65,MATCH(D1419,Projects!$B$6:$B$65,0)),""),IFERROR(INDEX(Clients!$G$6:$G$45,MATCH(C1419,Clients!$B$6:$B$45,0)),0))))</f>
        <v/>
      </c>
      <c r="O1419" s="14">
        <f>IF(B1419="","",IF(J1419&lt;&gt;"",0,ROUND(M1419*N1419,2)))</f>
        <v/>
      </c>
      <c r="P1419" s="15">
        <f>IF(OR(B1419="",J1419&lt;&gt;""),"",IF(L1419&lt;&gt;"",L1419,IF(COUNTIFS(Invoices!$C$6:$C$305,C1419,Invoices!$E$6:$E$305,"&lt;="&amp;B1419,Invoices!$F$6:$F$305,"&gt;="&amp;B1419)=1,INDEX(Invoices!$B$6:$B$305,SUMIFS(Invoices!$O$6:$O$305,Invoices!$C$6:$C$305,C1419,Invoices!$E$6:$E$305,"&lt;="&amp;B1419,Invoices!$F$6:$F$305,"&gt;="&amp;B1419)),IF(COUNTIFS(Invoices!$C$6:$C$305,C1419,Invoices!$E$6:$E$305,"&lt;="&amp;B1419,Invoices!$F$6:$F$305,"&gt;="&amp;B1419)&gt;1,"Two invoices",""))))</f>
        <v/>
      </c>
      <c r="Q1419" s="15">
        <f>IF(B1419="","",IF(J1419&lt;&gt;"","Not billable",IF(P1419="","To invoice",IF(P1419="Two invoices","Check dates",IF(ISNA(MATCH(P1419,Invoices!$B$6:$B$305,0)),"Check number",IF(INDEX(Invoices!$M$6:$M$305,MATCH(P1419,Invoices!$B$6:$B$305,0))="Paid","Paid",IF(INDEX(Invoices!$M$6:$M$305,MATCH(P1419,Invoices!$B$6:$B$305,0))="Draft","Draft","Invoiced")))))))</f>
        <v/>
      </c>
      <c r="R1419" s="1">
        <f>IF(AND(B1419&lt;&gt;"",P1419&lt;&gt;"",P1419=Invoice!$G$4),B1419+MOD(N(F1419),1)+ROW()/10000000,"")</f>
        <v/>
      </c>
      <c r="S1419">
        <f>IF(R1419="","",IF(D1419="","Other work",D1419)&amp;IF(AND(K1419&lt;&gt;"",E1419&lt;&gt;""),", "&amp;E1419,""))</f>
        <v/>
      </c>
      <c r="T1419">
        <f>IF(R1419="","",IF(COUNTIFS(R$6:R1418,"&gt;0",S$6:S1418,S1419,N$6:N1418,N1419)=0,R1419,""))</f>
        <v/>
      </c>
      <c r="U1419">
        <f>IF(B1419="","",IF(J1419&lt;&gt;"",0,M1419))</f>
        <v/>
      </c>
    </row>
    <row r="1420">
      <c r="A1420" s="1" t="n"/>
      <c r="B1420" s="16" t="n"/>
      <c r="C1420" s="17" t="n"/>
      <c r="D1420" s="18" t="n"/>
      <c r="E1420" s="18" t="n"/>
      <c r="F1420" s="19" t="n"/>
      <c r="G1420" s="19" t="n"/>
      <c r="H1420" s="20" t="n"/>
      <c r="I1420" s="21" t="n"/>
      <c r="J1420" s="22" t="n"/>
      <c r="K1420" s="23" t="n"/>
      <c r="L1420" s="18" t="n"/>
      <c r="M1420" s="24">
        <f>IF(B1420="","",IF(AND(F1420&lt;&gt;"",G1420&lt;&gt;""),MAX(0,ROUND(MOD(G1420-F1420,1)*24-N(H1420)/60,2)),N(I1420)))</f>
        <v/>
      </c>
      <c r="N1420" s="14">
        <f>IF(B1420="","",IF(K1420&lt;&gt;"",K1420,IF(N(IFERROR(INDEX(Projects!$D$6:$D$65,MATCH(D1420,Projects!$B$6:$B$65,0)),""))&gt;0,IFERROR(INDEX(Projects!$D$6:$D$65,MATCH(D1420,Projects!$B$6:$B$65,0)),""),IFERROR(INDEX(Clients!$G$6:$G$45,MATCH(C1420,Clients!$B$6:$B$45,0)),0))))</f>
        <v/>
      </c>
      <c r="O1420" s="14">
        <f>IF(B1420="","",IF(J1420&lt;&gt;"",0,ROUND(M1420*N1420,2)))</f>
        <v/>
      </c>
      <c r="P1420" s="15">
        <f>IF(OR(B1420="",J1420&lt;&gt;""),"",IF(L1420&lt;&gt;"",L1420,IF(COUNTIFS(Invoices!$C$6:$C$305,C1420,Invoices!$E$6:$E$305,"&lt;="&amp;B1420,Invoices!$F$6:$F$305,"&gt;="&amp;B1420)=1,INDEX(Invoices!$B$6:$B$305,SUMIFS(Invoices!$O$6:$O$305,Invoices!$C$6:$C$305,C1420,Invoices!$E$6:$E$305,"&lt;="&amp;B1420,Invoices!$F$6:$F$305,"&gt;="&amp;B1420)),IF(COUNTIFS(Invoices!$C$6:$C$305,C1420,Invoices!$E$6:$E$305,"&lt;="&amp;B1420,Invoices!$F$6:$F$305,"&gt;="&amp;B1420)&gt;1,"Two invoices",""))))</f>
        <v/>
      </c>
      <c r="Q1420" s="15">
        <f>IF(B1420="","",IF(J1420&lt;&gt;"","Not billable",IF(P1420="","To invoice",IF(P1420="Two invoices","Check dates",IF(ISNA(MATCH(P1420,Invoices!$B$6:$B$305,0)),"Check number",IF(INDEX(Invoices!$M$6:$M$305,MATCH(P1420,Invoices!$B$6:$B$305,0))="Paid","Paid",IF(INDEX(Invoices!$M$6:$M$305,MATCH(P1420,Invoices!$B$6:$B$305,0))="Draft","Draft","Invoiced")))))))</f>
        <v/>
      </c>
      <c r="R1420" s="1">
        <f>IF(AND(B1420&lt;&gt;"",P1420&lt;&gt;"",P1420=Invoice!$G$4),B1420+MOD(N(F1420),1)+ROW()/10000000,"")</f>
        <v/>
      </c>
      <c r="S1420">
        <f>IF(R1420="","",IF(D1420="","Other work",D1420)&amp;IF(AND(K1420&lt;&gt;"",E1420&lt;&gt;""),", "&amp;E1420,""))</f>
        <v/>
      </c>
      <c r="T1420">
        <f>IF(R1420="","",IF(COUNTIFS(R$6:R1419,"&gt;0",S$6:S1419,S1420,N$6:N1419,N1420)=0,R1420,""))</f>
        <v/>
      </c>
      <c r="U1420">
        <f>IF(B1420="","",IF(J1420&lt;&gt;"",0,M1420))</f>
        <v/>
      </c>
    </row>
    <row r="1421">
      <c r="A1421" s="1" t="n"/>
      <c r="B1421" s="16" t="n"/>
      <c r="C1421" s="17" t="n"/>
      <c r="D1421" s="18" t="n"/>
      <c r="E1421" s="18" t="n"/>
      <c r="F1421" s="19" t="n"/>
      <c r="G1421" s="19" t="n"/>
      <c r="H1421" s="20" t="n"/>
      <c r="I1421" s="21" t="n"/>
      <c r="J1421" s="22" t="n"/>
      <c r="K1421" s="23" t="n"/>
      <c r="L1421" s="18" t="n"/>
      <c r="M1421" s="24">
        <f>IF(B1421="","",IF(AND(F1421&lt;&gt;"",G1421&lt;&gt;""),MAX(0,ROUND(MOD(G1421-F1421,1)*24-N(H1421)/60,2)),N(I1421)))</f>
        <v/>
      </c>
      <c r="N1421" s="14">
        <f>IF(B1421="","",IF(K1421&lt;&gt;"",K1421,IF(N(IFERROR(INDEX(Projects!$D$6:$D$65,MATCH(D1421,Projects!$B$6:$B$65,0)),""))&gt;0,IFERROR(INDEX(Projects!$D$6:$D$65,MATCH(D1421,Projects!$B$6:$B$65,0)),""),IFERROR(INDEX(Clients!$G$6:$G$45,MATCH(C1421,Clients!$B$6:$B$45,0)),0))))</f>
        <v/>
      </c>
      <c r="O1421" s="14">
        <f>IF(B1421="","",IF(J1421&lt;&gt;"",0,ROUND(M1421*N1421,2)))</f>
        <v/>
      </c>
      <c r="P1421" s="15">
        <f>IF(OR(B1421="",J1421&lt;&gt;""),"",IF(L1421&lt;&gt;"",L1421,IF(COUNTIFS(Invoices!$C$6:$C$305,C1421,Invoices!$E$6:$E$305,"&lt;="&amp;B1421,Invoices!$F$6:$F$305,"&gt;="&amp;B1421)=1,INDEX(Invoices!$B$6:$B$305,SUMIFS(Invoices!$O$6:$O$305,Invoices!$C$6:$C$305,C1421,Invoices!$E$6:$E$305,"&lt;="&amp;B1421,Invoices!$F$6:$F$305,"&gt;="&amp;B1421)),IF(COUNTIFS(Invoices!$C$6:$C$305,C1421,Invoices!$E$6:$E$305,"&lt;="&amp;B1421,Invoices!$F$6:$F$305,"&gt;="&amp;B1421)&gt;1,"Two invoices",""))))</f>
        <v/>
      </c>
      <c r="Q1421" s="15">
        <f>IF(B1421="","",IF(J1421&lt;&gt;"","Not billable",IF(P1421="","To invoice",IF(P1421="Two invoices","Check dates",IF(ISNA(MATCH(P1421,Invoices!$B$6:$B$305,0)),"Check number",IF(INDEX(Invoices!$M$6:$M$305,MATCH(P1421,Invoices!$B$6:$B$305,0))="Paid","Paid",IF(INDEX(Invoices!$M$6:$M$305,MATCH(P1421,Invoices!$B$6:$B$305,0))="Draft","Draft","Invoiced")))))))</f>
        <v/>
      </c>
      <c r="R1421" s="1">
        <f>IF(AND(B1421&lt;&gt;"",P1421&lt;&gt;"",P1421=Invoice!$G$4),B1421+MOD(N(F1421),1)+ROW()/10000000,"")</f>
        <v/>
      </c>
      <c r="S1421">
        <f>IF(R1421="","",IF(D1421="","Other work",D1421)&amp;IF(AND(K1421&lt;&gt;"",E1421&lt;&gt;""),", "&amp;E1421,""))</f>
        <v/>
      </c>
      <c r="T1421">
        <f>IF(R1421="","",IF(COUNTIFS(R$6:R1420,"&gt;0",S$6:S1420,S1421,N$6:N1420,N1421)=0,R1421,""))</f>
        <v/>
      </c>
      <c r="U1421">
        <f>IF(B1421="","",IF(J1421&lt;&gt;"",0,M1421))</f>
        <v/>
      </c>
    </row>
    <row r="1422">
      <c r="A1422" s="1" t="n"/>
      <c r="B1422" s="16" t="n"/>
      <c r="C1422" s="17" t="n"/>
      <c r="D1422" s="18" t="n"/>
      <c r="E1422" s="18" t="n"/>
      <c r="F1422" s="19" t="n"/>
      <c r="G1422" s="19" t="n"/>
      <c r="H1422" s="20" t="n"/>
      <c r="I1422" s="21" t="n"/>
      <c r="J1422" s="22" t="n"/>
      <c r="K1422" s="23" t="n"/>
      <c r="L1422" s="18" t="n"/>
      <c r="M1422" s="24">
        <f>IF(B1422="","",IF(AND(F1422&lt;&gt;"",G1422&lt;&gt;""),MAX(0,ROUND(MOD(G1422-F1422,1)*24-N(H1422)/60,2)),N(I1422)))</f>
        <v/>
      </c>
      <c r="N1422" s="14">
        <f>IF(B1422="","",IF(K1422&lt;&gt;"",K1422,IF(N(IFERROR(INDEX(Projects!$D$6:$D$65,MATCH(D1422,Projects!$B$6:$B$65,0)),""))&gt;0,IFERROR(INDEX(Projects!$D$6:$D$65,MATCH(D1422,Projects!$B$6:$B$65,0)),""),IFERROR(INDEX(Clients!$G$6:$G$45,MATCH(C1422,Clients!$B$6:$B$45,0)),0))))</f>
        <v/>
      </c>
      <c r="O1422" s="14">
        <f>IF(B1422="","",IF(J1422&lt;&gt;"",0,ROUND(M1422*N1422,2)))</f>
        <v/>
      </c>
      <c r="P1422" s="15">
        <f>IF(OR(B1422="",J1422&lt;&gt;""),"",IF(L1422&lt;&gt;"",L1422,IF(COUNTIFS(Invoices!$C$6:$C$305,C1422,Invoices!$E$6:$E$305,"&lt;="&amp;B1422,Invoices!$F$6:$F$305,"&gt;="&amp;B1422)=1,INDEX(Invoices!$B$6:$B$305,SUMIFS(Invoices!$O$6:$O$305,Invoices!$C$6:$C$305,C1422,Invoices!$E$6:$E$305,"&lt;="&amp;B1422,Invoices!$F$6:$F$305,"&gt;="&amp;B1422)),IF(COUNTIFS(Invoices!$C$6:$C$305,C1422,Invoices!$E$6:$E$305,"&lt;="&amp;B1422,Invoices!$F$6:$F$305,"&gt;="&amp;B1422)&gt;1,"Two invoices",""))))</f>
        <v/>
      </c>
      <c r="Q1422" s="15">
        <f>IF(B1422="","",IF(J1422&lt;&gt;"","Not billable",IF(P1422="","To invoice",IF(P1422="Two invoices","Check dates",IF(ISNA(MATCH(P1422,Invoices!$B$6:$B$305,0)),"Check number",IF(INDEX(Invoices!$M$6:$M$305,MATCH(P1422,Invoices!$B$6:$B$305,0))="Paid","Paid",IF(INDEX(Invoices!$M$6:$M$305,MATCH(P1422,Invoices!$B$6:$B$305,0))="Draft","Draft","Invoiced")))))))</f>
        <v/>
      </c>
      <c r="R1422" s="1">
        <f>IF(AND(B1422&lt;&gt;"",P1422&lt;&gt;"",P1422=Invoice!$G$4),B1422+MOD(N(F1422),1)+ROW()/10000000,"")</f>
        <v/>
      </c>
      <c r="S1422">
        <f>IF(R1422="","",IF(D1422="","Other work",D1422)&amp;IF(AND(K1422&lt;&gt;"",E1422&lt;&gt;""),", "&amp;E1422,""))</f>
        <v/>
      </c>
      <c r="T1422">
        <f>IF(R1422="","",IF(COUNTIFS(R$6:R1421,"&gt;0",S$6:S1421,S1422,N$6:N1421,N1422)=0,R1422,""))</f>
        <v/>
      </c>
      <c r="U1422">
        <f>IF(B1422="","",IF(J1422&lt;&gt;"",0,M1422))</f>
        <v/>
      </c>
    </row>
    <row r="1423">
      <c r="A1423" s="1" t="n"/>
      <c r="B1423" s="16" t="n"/>
      <c r="C1423" s="17" t="n"/>
      <c r="D1423" s="18" t="n"/>
      <c r="E1423" s="18" t="n"/>
      <c r="F1423" s="19" t="n"/>
      <c r="G1423" s="19" t="n"/>
      <c r="H1423" s="20" t="n"/>
      <c r="I1423" s="21" t="n"/>
      <c r="J1423" s="22" t="n"/>
      <c r="K1423" s="23" t="n"/>
      <c r="L1423" s="18" t="n"/>
      <c r="M1423" s="24">
        <f>IF(B1423="","",IF(AND(F1423&lt;&gt;"",G1423&lt;&gt;""),MAX(0,ROUND(MOD(G1423-F1423,1)*24-N(H1423)/60,2)),N(I1423)))</f>
        <v/>
      </c>
      <c r="N1423" s="14">
        <f>IF(B1423="","",IF(K1423&lt;&gt;"",K1423,IF(N(IFERROR(INDEX(Projects!$D$6:$D$65,MATCH(D1423,Projects!$B$6:$B$65,0)),""))&gt;0,IFERROR(INDEX(Projects!$D$6:$D$65,MATCH(D1423,Projects!$B$6:$B$65,0)),""),IFERROR(INDEX(Clients!$G$6:$G$45,MATCH(C1423,Clients!$B$6:$B$45,0)),0))))</f>
        <v/>
      </c>
      <c r="O1423" s="14">
        <f>IF(B1423="","",IF(J1423&lt;&gt;"",0,ROUND(M1423*N1423,2)))</f>
        <v/>
      </c>
      <c r="P1423" s="15">
        <f>IF(OR(B1423="",J1423&lt;&gt;""),"",IF(L1423&lt;&gt;"",L1423,IF(COUNTIFS(Invoices!$C$6:$C$305,C1423,Invoices!$E$6:$E$305,"&lt;="&amp;B1423,Invoices!$F$6:$F$305,"&gt;="&amp;B1423)=1,INDEX(Invoices!$B$6:$B$305,SUMIFS(Invoices!$O$6:$O$305,Invoices!$C$6:$C$305,C1423,Invoices!$E$6:$E$305,"&lt;="&amp;B1423,Invoices!$F$6:$F$305,"&gt;="&amp;B1423)),IF(COUNTIFS(Invoices!$C$6:$C$305,C1423,Invoices!$E$6:$E$305,"&lt;="&amp;B1423,Invoices!$F$6:$F$305,"&gt;="&amp;B1423)&gt;1,"Two invoices",""))))</f>
        <v/>
      </c>
      <c r="Q1423" s="15">
        <f>IF(B1423="","",IF(J1423&lt;&gt;"","Not billable",IF(P1423="","To invoice",IF(P1423="Two invoices","Check dates",IF(ISNA(MATCH(P1423,Invoices!$B$6:$B$305,0)),"Check number",IF(INDEX(Invoices!$M$6:$M$305,MATCH(P1423,Invoices!$B$6:$B$305,0))="Paid","Paid",IF(INDEX(Invoices!$M$6:$M$305,MATCH(P1423,Invoices!$B$6:$B$305,0))="Draft","Draft","Invoiced")))))))</f>
        <v/>
      </c>
      <c r="R1423" s="1">
        <f>IF(AND(B1423&lt;&gt;"",P1423&lt;&gt;"",P1423=Invoice!$G$4),B1423+MOD(N(F1423),1)+ROW()/10000000,"")</f>
        <v/>
      </c>
      <c r="S1423">
        <f>IF(R1423="","",IF(D1423="","Other work",D1423)&amp;IF(AND(K1423&lt;&gt;"",E1423&lt;&gt;""),", "&amp;E1423,""))</f>
        <v/>
      </c>
      <c r="T1423">
        <f>IF(R1423="","",IF(COUNTIFS(R$6:R1422,"&gt;0",S$6:S1422,S1423,N$6:N1422,N1423)=0,R1423,""))</f>
        <v/>
      </c>
      <c r="U1423">
        <f>IF(B1423="","",IF(J1423&lt;&gt;"",0,M1423))</f>
        <v/>
      </c>
    </row>
    <row r="1424">
      <c r="A1424" s="1" t="n"/>
      <c r="B1424" s="16" t="n"/>
      <c r="C1424" s="17" t="n"/>
      <c r="D1424" s="18" t="n"/>
      <c r="E1424" s="18" t="n"/>
      <c r="F1424" s="19" t="n"/>
      <c r="G1424" s="19" t="n"/>
      <c r="H1424" s="20" t="n"/>
      <c r="I1424" s="21" t="n"/>
      <c r="J1424" s="22" t="n"/>
      <c r="K1424" s="23" t="n"/>
      <c r="L1424" s="18" t="n"/>
      <c r="M1424" s="24">
        <f>IF(B1424="","",IF(AND(F1424&lt;&gt;"",G1424&lt;&gt;""),MAX(0,ROUND(MOD(G1424-F1424,1)*24-N(H1424)/60,2)),N(I1424)))</f>
        <v/>
      </c>
      <c r="N1424" s="14">
        <f>IF(B1424="","",IF(K1424&lt;&gt;"",K1424,IF(N(IFERROR(INDEX(Projects!$D$6:$D$65,MATCH(D1424,Projects!$B$6:$B$65,0)),""))&gt;0,IFERROR(INDEX(Projects!$D$6:$D$65,MATCH(D1424,Projects!$B$6:$B$65,0)),""),IFERROR(INDEX(Clients!$G$6:$G$45,MATCH(C1424,Clients!$B$6:$B$45,0)),0))))</f>
        <v/>
      </c>
      <c r="O1424" s="14">
        <f>IF(B1424="","",IF(J1424&lt;&gt;"",0,ROUND(M1424*N1424,2)))</f>
        <v/>
      </c>
      <c r="P1424" s="15">
        <f>IF(OR(B1424="",J1424&lt;&gt;""),"",IF(L1424&lt;&gt;"",L1424,IF(COUNTIFS(Invoices!$C$6:$C$305,C1424,Invoices!$E$6:$E$305,"&lt;="&amp;B1424,Invoices!$F$6:$F$305,"&gt;="&amp;B1424)=1,INDEX(Invoices!$B$6:$B$305,SUMIFS(Invoices!$O$6:$O$305,Invoices!$C$6:$C$305,C1424,Invoices!$E$6:$E$305,"&lt;="&amp;B1424,Invoices!$F$6:$F$305,"&gt;="&amp;B1424)),IF(COUNTIFS(Invoices!$C$6:$C$305,C1424,Invoices!$E$6:$E$305,"&lt;="&amp;B1424,Invoices!$F$6:$F$305,"&gt;="&amp;B1424)&gt;1,"Two invoices",""))))</f>
        <v/>
      </c>
      <c r="Q1424" s="15">
        <f>IF(B1424="","",IF(J1424&lt;&gt;"","Not billable",IF(P1424="","To invoice",IF(P1424="Two invoices","Check dates",IF(ISNA(MATCH(P1424,Invoices!$B$6:$B$305,0)),"Check number",IF(INDEX(Invoices!$M$6:$M$305,MATCH(P1424,Invoices!$B$6:$B$305,0))="Paid","Paid",IF(INDEX(Invoices!$M$6:$M$305,MATCH(P1424,Invoices!$B$6:$B$305,0))="Draft","Draft","Invoiced")))))))</f>
        <v/>
      </c>
      <c r="R1424" s="1">
        <f>IF(AND(B1424&lt;&gt;"",P1424&lt;&gt;"",P1424=Invoice!$G$4),B1424+MOD(N(F1424),1)+ROW()/10000000,"")</f>
        <v/>
      </c>
      <c r="S1424">
        <f>IF(R1424="","",IF(D1424="","Other work",D1424)&amp;IF(AND(K1424&lt;&gt;"",E1424&lt;&gt;""),", "&amp;E1424,""))</f>
        <v/>
      </c>
      <c r="T1424">
        <f>IF(R1424="","",IF(COUNTIFS(R$6:R1423,"&gt;0",S$6:S1423,S1424,N$6:N1423,N1424)=0,R1424,""))</f>
        <v/>
      </c>
      <c r="U1424">
        <f>IF(B1424="","",IF(J1424&lt;&gt;"",0,M1424))</f>
        <v/>
      </c>
    </row>
    <row r="1425">
      <c r="A1425" s="1" t="n"/>
      <c r="B1425" s="16" t="n"/>
      <c r="C1425" s="17" t="n"/>
      <c r="D1425" s="18" t="n"/>
      <c r="E1425" s="18" t="n"/>
      <c r="F1425" s="19" t="n"/>
      <c r="G1425" s="19" t="n"/>
      <c r="H1425" s="20" t="n"/>
      <c r="I1425" s="21" t="n"/>
      <c r="J1425" s="22" t="n"/>
      <c r="K1425" s="23" t="n"/>
      <c r="L1425" s="18" t="n"/>
      <c r="M1425" s="24">
        <f>IF(B1425="","",IF(AND(F1425&lt;&gt;"",G1425&lt;&gt;""),MAX(0,ROUND(MOD(G1425-F1425,1)*24-N(H1425)/60,2)),N(I1425)))</f>
        <v/>
      </c>
      <c r="N1425" s="14">
        <f>IF(B1425="","",IF(K1425&lt;&gt;"",K1425,IF(N(IFERROR(INDEX(Projects!$D$6:$D$65,MATCH(D1425,Projects!$B$6:$B$65,0)),""))&gt;0,IFERROR(INDEX(Projects!$D$6:$D$65,MATCH(D1425,Projects!$B$6:$B$65,0)),""),IFERROR(INDEX(Clients!$G$6:$G$45,MATCH(C1425,Clients!$B$6:$B$45,0)),0))))</f>
        <v/>
      </c>
      <c r="O1425" s="14">
        <f>IF(B1425="","",IF(J1425&lt;&gt;"",0,ROUND(M1425*N1425,2)))</f>
        <v/>
      </c>
      <c r="P1425" s="15">
        <f>IF(OR(B1425="",J1425&lt;&gt;""),"",IF(L1425&lt;&gt;"",L1425,IF(COUNTIFS(Invoices!$C$6:$C$305,C1425,Invoices!$E$6:$E$305,"&lt;="&amp;B1425,Invoices!$F$6:$F$305,"&gt;="&amp;B1425)=1,INDEX(Invoices!$B$6:$B$305,SUMIFS(Invoices!$O$6:$O$305,Invoices!$C$6:$C$305,C1425,Invoices!$E$6:$E$305,"&lt;="&amp;B1425,Invoices!$F$6:$F$305,"&gt;="&amp;B1425)),IF(COUNTIFS(Invoices!$C$6:$C$305,C1425,Invoices!$E$6:$E$305,"&lt;="&amp;B1425,Invoices!$F$6:$F$305,"&gt;="&amp;B1425)&gt;1,"Two invoices",""))))</f>
        <v/>
      </c>
      <c r="Q1425" s="15">
        <f>IF(B1425="","",IF(J1425&lt;&gt;"","Not billable",IF(P1425="","To invoice",IF(P1425="Two invoices","Check dates",IF(ISNA(MATCH(P1425,Invoices!$B$6:$B$305,0)),"Check number",IF(INDEX(Invoices!$M$6:$M$305,MATCH(P1425,Invoices!$B$6:$B$305,0))="Paid","Paid",IF(INDEX(Invoices!$M$6:$M$305,MATCH(P1425,Invoices!$B$6:$B$305,0))="Draft","Draft","Invoiced")))))))</f>
        <v/>
      </c>
      <c r="R1425" s="1">
        <f>IF(AND(B1425&lt;&gt;"",P1425&lt;&gt;"",P1425=Invoice!$G$4),B1425+MOD(N(F1425),1)+ROW()/10000000,"")</f>
        <v/>
      </c>
      <c r="S1425">
        <f>IF(R1425="","",IF(D1425="","Other work",D1425)&amp;IF(AND(K1425&lt;&gt;"",E1425&lt;&gt;""),", "&amp;E1425,""))</f>
        <v/>
      </c>
      <c r="T1425">
        <f>IF(R1425="","",IF(COUNTIFS(R$6:R1424,"&gt;0",S$6:S1424,S1425,N$6:N1424,N1425)=0,R1425,""))</f>
        <v/>
      </c>
      <c r="U1425">
        <f>IF(B1425="","",IF(J1425&lt;&gt;"",0,M1425))</f>
        <v/>
      </c>
    </row>
    <row r="1426">
      <c r="A1426" s="1" t="n"/>
      <c r="B1426" s="16" t="n"/>
      <c r="C1426" s="17" t="n"/>
      <c r="D1426" s="18" t="n"/>
      <c r="E1426" s="18" t="n"/>
      <c r="F1426" s="19" t="n"/>
      <c r="G1426" s="19" t="n"/>
      <c r="H1426" s="20" t="n"/>
      <c r="I1426" s="21" t="n"/>
      <c r="J1426" s="22" t="n"/>
      <c r="K1426" s="23" t="n"/>
      <c r="L1426" s="18" t="n"/>
      <c r="M1426" s="24">
        <f>IF(B1426="","",IF(AND(F1426&lt;&gt;"",G1426&lt;&gt;""),MAX(0,ROUND(MOD(G1426-F1426,1)*24-N(H1426)/60,2)),N(I1426)))</f>
        <v/>
      </c>
      <c r="N1426" s="14">
        <f>IF(B1426="","",IF(K1426&lt;&gt;"",K1426,IF(N(IFERROR(INDEX(Projects!$D$6:$D$65,MATCH(D1426,Projects!$B$6:$B$65,0)),""))&gt;0,IFERROR(INDEX(Projects!$D$6:$D$65,MATCH(D1426,Projects!$B$6:$B$65,0)),""),IFERROR(INDEX(Clients!$G$6:$G$45,MATCH(C1426,Clients!$B$6:$B$45,0)),0))))</f>
        <v/>
      </c>
      <c r="O1426" s="14">
        <f>IF(B1426="","",IF(J1426&lt;&gt;"",0,ROUND(M1426*N1426,2)))</f>
        <v/>
      </c>
      <c r="P1426" s="15">
        <f>IF(OR(B1426="",J1426&lt;&gt;""),"",IF(L1426&lt;&gt;"",L1426,IF(COUNTIFS(Invoices!$C$6:$C$305,C1426,Invoices!$E$6:$E$305,"&lt;="&amp;B1426,Invoices!$F$6:$F$305,"&gt;="&amp;B1426)=1,INDEX(Invoices!$B$6:$B$305,SUMIFS(Invoices!$O$6:$O$305,Invoices!$C$6:$C$305,C1426,Invoices!$E$6:$E$305,"&lt;="&amp;B1426,Invoices!$F$6:$F$305,"&gt;="&amp;B1426)),IF(COUNTIFS(Invoices!$C$6:$C$305,C1426,Invoices!$E$6:$E$305,"&lt;="&amp;B1426,Invoices!$F$6:$F$305,"&gt;="&amp;B1426)&gt;1,"Two invoices",""))))</f>
        <v/>
      </c>
      <c r="Q1426" s="15">
        <f>IF(B1426="","",IF(J1426&lt;&gt;"","Not billable",IF(P1426="","To invoice",IF(P1426="Two invoices","Check dates",IF(ISNA(MATCH(P1426,Invoices!$B$6:$B$305,0)),"Check number",IF(INDEX(Invoices!$M$6:$M$305,MATCH(P1426,Invoices!$B$6:$B$305,0))="Paid","Paid",IF(INDEX(Invoices!$M$6:$M$305,MATCH(P1426,Invoices!$B$6:$B$305,0))="Draft","Draft","Invoiced")))))))</f>
        <v/>
      </c>
      <c r="R1426" s="1">
        <f>IF(AND(B1426&lt;&gt;"",P1426&lt;&gt;"",P1426=Invoice!$G$4),B1426+MOD(N(F1426),1)+ROW()/10000000,"")</f>
        <v/>
      </c>
      <c r="S1426">
        <f>IF(R1426="","",IF(D1426="","Other work",D1426)&amp;IF(AND(K1426&lt;&gt;"",E1426&lt;&gt;""),", "&amp;E1426,""))</f>
        <v/>
      </c>
      <c r="T1426">
        <f>IF(R1426="","",IF(COUNTIFS(R$6:R1425,"&gt;0",S$6:S1425,S1426,N$6:N1425,N1426)=0,R1426,""))</f>
        <v/>
      </c>
      <c r="U1426">
        <f>IF(B1426="","",IF(J1426&lt;&gt;"",0,M1426))</f>
        <v/>
      </c>
    </row>
    <row r="1427">
      <c r="A1427" s="1" t="n"/>
      <c r="B1427" s="16" t="n"/>
      <c r="C1427" s="17" t="n"/>
      <c r="D1427" s="18" t="n"/>
      <c r="E1427" s="18" t="n"/>
      <c r="F1427" s="19" t="n"/>
      <c r="G1427" s="19" t="n"/>
      <c r="H1427" s="20" t="n"/>
      <c r="I1427" s="21" t="n"/>
      <c r="J1427" s="22" t="n"/>
      <c r="K1427" s="23" t="n"/>
      <c r="L1427" s="18" t="n"/>
      <c r="M1427" s="24">
        <f>IF(B1427="","",IF(AND(F1427&lt;&gt;"",G1427&lt;&gt;""),MAX(0,ROUND(MOD(G1427-F1427,1)*24-N(H1427)/60,2)),N(I1427)))</f>
        <v/>
      </c>
      <c r="N1427" s="14">
        <f>IF(B1427="","",IF(K1427&lt;&gt;"",K1427,IF(N(IFERROR(INDEX(Projects!$D$6:$D$65,MATCH(D1427,Projects!$B$6:$B$65,0)),""))&gt;0,IFERROR(INDEX(Projects!$D$6:$D$65,MATCH(D1427,Projects!$B$6:$B$65,0)),""),IFERROR(INDEX(Clients!$G$6:$G$45,MATCH(C1427,Clients!$B$6:$B$45,0)),0))))</f>
        <v/>
      </c>
      <c r="O1427" s="14">
        <f>IF(B1427="","",IF(J1427&lt;&gt;"",0,ROUND(M1427*N1427,2)))</f>
        <v/>
      </c>
      <c r="P1427" s="15">
        <f>IF(OR(B1427="",J1427&lt;&gt;""),"",IF(L1427&lt;&gt;"",L1427,IF(COUNTIFS(Invoices!$C$6:$C$305,C1427,Invoices!$E$6:$E$305,"&lt;="&amp;B1427,Invoices!$F$6:$F$305,"&gt;="&amp;B1427)=1,INDEX(Invoices!$B$6:$B$305,SUMIFS(Invoices!$O$6:$O$305,Invoices!$C$6:$C$305,C1427,Invoices!$E$6:$E$305,"&lt;="&amp;B1427,Invoices!$F$6:$F$305,"&gt;="&amp;B1427)),IF(COUNTIFS(Invoices!$C$6:$C$305,C1427,Invoices!$E$6:$E$305,"&lt;="&amp;B1427,Invoices!$F$6:$F$305,"&gt;="&amp;B1427)&gt;1,"Two invoices",""))))</f>
        <v/>
      </c>
      <c r="Q1427" s="15">
        <f>IF(B1427="","",IF(J1427&lt;&gt;"","Not billable",IF(P1427="","To invoice",IF(P1427="Two invoices","Check dates",IF(ISNA(MATCH(P1427,Invoices!$B$6:$B$305,0)),"Check number",IF(INDEX(Invoices!$M$6:$M$305,MATCH(P1427,Invoices!$B$6:$B$305,0))="Paid","Paid",IF(INDEX(Invoices!$M$6:$M$305,MATCH(P1427,Invoices!$B$6:$B$305,0))="Draft","Draft","Invoiced")))))))</f>
        <v/>
      </c>
      <c r="R1427" s="1">
        <f>IF(AND(B1427&lt;&gt;"",P1427&lt;&gt;"",P1427=Invoice!$G$4),B1427+MOD(N(F1427),1)+ROW()/10000000,"")</f>
        <v/>
      </c>
      <c r="S1427">
        <f>IF(R1427="","",IF(D1427="","Other work",D1427)&amp;IF(AND(K1427&lt;&gt;"",E1427&lt;&gt;""),", "&amp;E1427,""))</f>
        <v/>
      </c>
      <c r="T1427">
        <f>IF(R1427="","",IF(COUNTIFS(R$6:R1426,"&gt;0",S$6:S1426,S1427,N$6:N1426,N1427)=0,R1427,""))</f>
        <v/>
      </c>
      <c r="U1427">
        <f>IF(B1427="","",IF(J1427&lt;&gt;"",0,M1427))</f>
        <v/>
      </c>
    </row>
    <row r="1428">
      <c r="A1428" s="1" t="n"/>
      <c r="B1428" s="16" t="n"/>
      <c r="C1428" s="17" t="n"/>
      <c r="D1428" s="18" t="n"/>
      <c r="E1428" s="18" t="n"/>
      <c r="F1428" s="19" t="n"/>
      <c r="G1428" s="19" t="n"/>
      <c r="H1428" s="20" t="n"/>
      <c r="I1428" s="21" t="n"/>
      <c r="J1428" s="22" t="n"/>
      <c r="K1428" s="23" t="n"/>
      <c r="L1428" s="18" t="n"/>
      <c r="M1428" s="24">
        <f>IF(B1428="","",IF(AND(F1428&lt;&gt;"",G1428&lt;&gt;""),MAX(0,ROUND(MOD(G1428-F1428,1)*24-N(H1428)/60,2)),N(I1428)))</f>
        <v/>
      </c>
      <c r="N1428" s="14">
        <f>IF(B1428="","",IF(K1428&lt;&gt;"",K1428,IF(N(IFERROR(INDEX(Projects!$D$6:$D$65,MATCH(D1428,Projects!$B$6:$B$65,0)),""))&gt;0,IFERROR(INDEX(Projects!$D$6:$D$65,MATCH(D1428,Projects!$B$6:$B$65,0)),""),IFERROR(INDEX(Clients!$G$6:$G$45,MATCH(C1428,Clients!$B$6:$B$45,0)),0))))</f>
        <v/>
      </c>
      <c r="O1428" s="14">
        <f>IF(B1428="","",IF(J1428&lt;&gt;"",0,ROUND(M1428*N1428,2)))</f>
        <v/>
      </c>
      <c r="P1428" s="15">
        <f>IF(OR(B1428="",J1428&lt;&gt;""),"",IF(L1428&lt;&gt;"",L1428,IF(COUNTIFS(Invoices!$C$6:$C$305,C1428,Invoices!$E$6:$E$305,"&lt;="&amp;B1428,Invoices!$F$6:$F$305,"&gt;="&amp;B1428)=1,INDEX(Invoices!$B$6:$B$305,SUMIFS(Invoices!$O$6:$O$305,Invoices!$C$6:$C$305,C1428,Invoices!$E$6:$E$305,"&lt;="&amp;B1428,Invoices!$F$6:$F$305,"&gt;="&amp;B1428)),IF(COUNTIFS(Invoices!$C$6:$C$305,C1428,Invoices!$E$6:$E$305,"&lt;="&amp;B1428,Invoices!$F$6:$F$305,"&gt;="&amp;B1428)&gt;1,"Two invoices",""))))</f>
        <v/>
      </c>
      <c r="Q1428" s="15">
        <f>IF(B1428="","",IF(J1428&lt;&gt;"","Not billable",IF(P1428="","To invoice",IF(P1428="Two invoices","Check dates",IF(ISNA(MATCH(P1428,Invoices!$B$6:$B$305,0)),"Check number",IF(INDEX(Invoices!$M$6:$M$305,MATCH(P1428,Invoices!$B$6:$B$305,0))="Paid","Paid",IF(INDEX(Invoices!$M$6:$M$305,MATCH(P1428,Invoices!$B$6:$B$305,0))="Draft","Draft","Invoiced")))))))</f>
        <v/>
      </c>
      <c r="R1428" s="1">
        <f>IF(AND(B1428&lt;&gt;"",P1428&lt;&gt;"",P1428=Invoice!$G$4),B1428+MOD(N(F1428),1)+ROW()/10000000,"")</f>
        <v/>
      </c>
      <c r="S1428">
        <f>IF(R1428="","",IF(D1428="","Other work",D1428)&amp;IF(AND(K1428&lt;&gt;"",E1428&lt;&gt;""),", "&amp;E1428,""))</f>
        <v/>
      </c>
      <c r="T1428">
        <f>IF(R1428="","",IF(COUNTIFS(R$6:R1427,"&gt;0",S$6:S1427,S1428,N$6:N1427,N1428)=0,R1428,""))</f>
        <v/>
      </c>
      <c r="U1428">
        <f>IF(B1428="","",IF(J1428&lt;&gt;"",0,M1428))</f>
        <v/>
      </c>
    </row>
    <row r="1429">
      <c r="A1429" s="1" t="n"/>
      <c r="B1429" s="16" t="n"/>
      <c r="C1429" s="17" t="n"/>
      <c r="D1429" s="18" t="n"/>
      <c r="E1429" s="18" t="n"/>
      <c r="F1429" s="19" t="n"/>
      <c r="G1429" s="19" t="n"/>
      <c r="H1429" s="20" t="n"/>
      <c r="I1429" s="21" t="n"/>
      <c r="J1429" s="22" t="n"/>
      <c r="K1429" s="23" t="n"/>
      <c r="L1429" s="18" t="n"/>
      <c r="M1429" s="24">
        <f>IF(B1429="","",IF(AND(F1429&lt;&gt;"",G1429&lt;&gt;""),MAX(0,ROUND(MOD(G1429-F1429,1)*24-N(H1429)/60,2)),N(I1429)))</f>
        <v/>
      </c>
      <c r="N1429" s="14">
        <f>IF(B1429="","",IF(K1429&lt;&gt;"",K1429,IF(N(IFERROR(INDEX(Projects!$D$6:$D$65,MATCH(D1429,Projects!$B$6:$B$65,0)),""))&gt;0,IFERROR(INDEX(Projects!$D$6:$D$65,MATCH(D1429,Projects!$B$6:$B$65,0)),""),IFERROR(INDEX(Clients!$G$6:$G$45,MATCH(C1429,Clients!$B$6:$B$45,0)),0))))</f>
        <v/>
      </c>
      <c r="O1429" s="14">
        <f>IF(B1429="","",IF(J1429&lt;&gt;"",0,ROUND(M1429*N1429,2)))</f>
        <v/>
      </c>
      <c r="P1429" s="15">
        <f>IF(OR(B1429="",J1429&lt;&gt;""),"",IF(L1429&lt;&gt;"",L1429,IF(COUNTIFS(Invoices!$C$6:$C$305,C1429,Invoices!$E$6:$E$305,"&lt;="&amp;B1429,Invoices!$F$6:$F$305,"&gt;="&amp;B1429)=1,INDEX(Invoices!$B$6:$B$305,SUMIFS(Invoices!$O$6:$O$305,Invoices!$C$6:$C$305,C1429,Invoices!$E$6:$E$305,"&lt;="&amp;B1429,Invoices!$F$6:$F$305,"&gt;="&amp;B1429)),IF(COUNTIFS(Invoices!$C$6:$C$305,C1429,Invoices!$E$6:$E$305,"&lt;="&amp;B1429,Invoices!$F$6:$F$305,"&gt;="&amp;B1429)&gt;1,"Two invoices",""))))</f>
        <v/>
      </c>
      <c r="Q1429" s="15">
        <f>IF(B1429="","",IF(J1429&lt;&gt;"","Not billable",IF(P1429="","To invoice",IF(P1429="Two invoices","Check dates",IF(ISNA(MATCH(P1429,Invoices!$B$6:$B$305,0)),"Check number",IF(INDEX(Invoices!$M$6:$M$305,MATCH(P1429,Invoices!$B$6:$B$305,0))="Paid","Paid",IF(INDEX(Invoices!$M$6:$M$305,MATCH(P1429,Invoices!$B$6:$B$305,0))="Draft","Draft","Invoiced")))))))</f>
        <v/>
      </c>
      <c r="R1429" s="1">
        <f>IF(AND(B1429&lt;&gt;"",P1429&lt;&gt;"",P1429=Invoice!$G$4),B1429+MOD(N(F1429),1)+ROW()/10000000,"")</f>
        <v/>
      </c>
      <c r="S1429">
        <f>IF(R1429="","",IF(D1429="","Other work",D1429)&amp;IF(AND(K1429&lt;&gt;"",E1429&lt;&gt;""),", "&amp;E1429,""))</f>
        <v/>
      </c>
      <c r="T1429">
        <f>IF(R1429="","",IF(COUNTIFS(R$6:R1428,"&gt;0",S$6:S1428,S1429,N$6:N1428,N1429)=0,R1429,""))</f>
        <v/>
      </c>
      <c r="U1429">
        <f>IF(B1429="","",IF(J1429&lt;&gt;"",0,M1429))</f>
        <v/>
      </c>
    </row>
    <row r="1430">
      <c r="A1430" s="1" t="n"/>
      <c r="B1430" s="16" t="n"/>
      <c r="C1430" s="17" t="n"/>
      <c r="D1430" s="18" t="n"/>
      <c r="E1430" s="18" t="n"/>
      <c r="F1430" s="19" t="n"/>
      <c r="G1430" s="19" t="n"/>
      <c r="H1430" s="20" t="n"/>
      <c r="I1430" s="21" t="n"/>
      <c r="J1430" s="22" t="n"/>
      <c r="K1430" s="23" t="n"/>
      <c r="L1430" s="18" t="n"/>
      <c r="M1430" s="24">
        <f>IF(B1430="","",IF(AND(F1430&lt;&gt;"",G1430&lt;&gt;""),MAX(0,ROUND(MOD(G1430-F1430,1)*24-N(H1430)/60,2)),N(I1430)))</f>
        <v/>
      </c>
      <c r="N1430" s="14">
        <f>IF(B1430="","",IF(K1430&lt;&gt;"",K1430,IF(N(IFERROR(INDEX(Projects!$D$6:$D$65,MATCH(D1430,Projects!$B$6:$B$65,0)),""))&gt;0,IFERROR(INDEX(Projects!$D$6:$D$65,MATCH(D1430,Projects!$B$6:$B$65,0)),""),IFERROR(INDEX(Clients!$G$6:$G$45,MATCH(C1430,Clients!$B$6:$B$45,0)),0))))</f>
        <v/>
      </c>
      <c r="O1430" s="14">
        <f>IF(B1430="","",IF(J1430&lt;&gt;"",0,ROUND(M1430*N1430,2)))</f>
        <v/>
      </c>
      <c r="P1430" s="15">
        <f>IF(OR(B1430="",J1430&lt;&gt;""),"",IF(L1430&lt;&gt;"",L1430,IF(COUNTIFS(Invoices!$C$6:$C$305,C1430,Invoices!$E$6:$E$305,"&lt;="&amp;B1430,Invoices!$F$6:$F$305,"&gt;="&amp;B1430)=1,INDEX(Invoices!$B$6:$B$305,SUMIFS(Invoices!$O$6:$O$305,Invoices!$C$6:$C$305,C1430,Invoices!$E$6:$E$305,"&lt;="&amp;B1430,Invoices!$F$6:$F$305,"&gt;="&amp;B1430)),IF(COUNTIFS(Invoices!$C$6:$C$305,C1430,Invoices!$E$6:$E$305,"&lt;="&amp;B1430,Invoices!$F$6:$F$305,"&gt;="&amp;B1430)&gt;1,"Two invoices",""))))</f>
        <v/>
      </c>
      <c r="Q1430" s="15">
        <f>IF(B1430="","",IF(J1430&lt;&gt;"","Not billable",IF(P1430="","To invoice",IF(P1430="Two invoices","Check dates",IF(ISNA(MATCH(P1430,Invoices!$B$6:$B$305,0)),"Check number",IF(INDEX(Invoices!$M$6:$M$305,MATCH(P1430,Invoices!$B$6:$B$305,0))="Paid","Paid",IF(INDEX(Invoices!$M$6:$M$305,MATCH(P1430,Invoices!$B$6:$B$305,0))="Draft","Draft","Invoiced")))))))</f>
        <v/>
      </c>
      <c r="R1430" s="1">
        <f>IF(AND(B1430&lt;&gt;"",P1430&lt;&gt;"",P1430=Invoice!$G$4),B1430+MOD(N(F1430),1)+ROW()/10000000,"")</f>
        <v/>
      </c>
      <c r="S1430">
        <f>IF(R1430="","",IF(D1430="","Other work",D1430)&amp;IF(AND(K1430&lt;&gt;"",E1430&lt;&gt;""),", "&amp;E1430,""))</f>
        <v/>
      </c>
      <c r="T1430">
        <f>IF(R1430="","",IF(COUNTIFS(R$6:R1429,"&gt;0",S$6:S1429,S1430,N$6:N1429,N1430)=0,R1430,""))</f>
        <v/>
      </c>
      <c r="U1430">
        <f>IF(B1430="","",IF(J1430&lt;&gt;"",0,M1430))</f>
        <v/>
      </c>
    </row>
    <row r="1431">
      <c r="A1431" s="1" t="n"/>
      <c r="B1431" s="16" t="n"/>
      <c r="C1431" s="17" t="n"/>
      <c r="D1431" s="18" t="n"/>
      <c r="E1431" s="18" t="n"/>
      <c r="F1431" s="19" t="n"/>
      <c r="G1431" s="19" t="n"/>
      <c r="H1431" s="20" t="n"/>
      <c r="I1431" s="21" t="n"/>
      <c r="J1431" s="22" t="n"/>
      <c r="K1431" s="23" t="n"/>
      <c r="L1431" s="18" t="n"/>
      <c r="M1431" s="24">
        <f>IF(B1431="","",IF(AND(F1431&lt;&gt;"",G1431&lt;&gt;""),MAX(0,ROUND(MOD(G1431-F1431,1)*24-N(H1431)/60,2)),N(I1431)))</f>
        <v/>
      </c>
      <c r="N1431" s="14">
        <f>IF(B1431="","",IF(K1431&lt;&gt;"",K1431,IF(N(IFERROR(INDEX(Projects!$D$6:$D$65,MATCH(D1431,Projects!$B$6:$B$65,0)),""))&gt;0,IFERROR(INDEX(Projects!$D$6:$D$65,MATCH(D1431,Projects!$B$6:$B$65,0)),""),IFERROR(INDEX(Clients!$G$6:$G$45,MATCH(C1431,Clients!$B$6:$B$45,0)),0))))</f>
        <v/>
      </c>
      <c r="O1431" s="14">
        <f>IF(B1431="","",IF(J1431&lt;&gt;"",0,ROUND(M1431*N1431,2)))</f>
        <v/>
      </c>
      <c r="P1431" s="15">
        <f>IF(OR(B1431="",J1431&lt;&gt;""),"",IF(L1431&lt;&gt;"",L1431,IF(COUNTIFS(Invoices!$C$6:$C$305,C1431,Invoices!$E$6:$E$305,"&lt;="&amp;B1431,Invoices!$F$6:$F$305,"&gt;="&amp;B1431)=1,INDEX(Invoices!$B$6:$B$305,SUMIFS(Invoices!$O$6:$O$305,Invoices!$C$6:$C$305,C1431,Invoices!$E$6:$E$305,"&lt;="&amp;B1431,Invoices!$F$6:$F$305,"&gt;="&amp;B1431)),IF(COUNTIFS(Invoices!$C$6:$C$305,C1431,Invoices!$E$6:$E$305,"&lt;="&amp;B1431,Invoices!$F$6:$F$305,"&gt;="&amp;B1431)&gt;1,"Two invoices",""))))</f>
        <v/>
      </c>
      <c r="Q1431" s="15">
        <f>IF(B1431="","",IF(J1431&lt;&gt;"","Not billable",IF(P1431="","To invoice",IF(P1431="Two invoices","Check dates",IF(ISNA(MATCH(P1431,Invoices!$B$6:$B$305,0)),"Check number",IF(INDEX(Invoices!$M$6:$M$305,MATCH(P1431,Invoices!$B$6:$B$305,0))="Paid","Paid",IF(INDEX(Invoices!$M$6:$M$305,MATCH(P1431,Invoices!$B$6:$B$305,0))="Draft","Draft","Invoiced")))))))</f>
        <v/>
      </c>
      <c r="R1431" s="1">
        <f>IF(AND(B1431&lt;&gt;"",P1431&lt;&gt;"",P1431=Invoice!$G$4),B1431+MOD(N(F1431),1)+ROW()/10000000,"")</f>
        <v/>
      </c>
      <c r="S1431">
        <f>IF(R1431="","",IF(D1431="","Other work",D1431)&amp;IF(AND(K1431&lt;&gt;"",E1431&lt;&gt;""),", "&amp;E1431,""))</f>
        <v/>
      </c>
      <c r="T1431">
        <f>IF(R1431="","",IF(COUNTIFS(R$6:R1430,"&gt;0",S$6:S1430,S1431,N$6:N1430,N1431)=0,R1431,""))</f>
        <v/>
      </c>
      <c r="U1431">
        <f>IF(B1431="","",IF(J1431&lt;&gt;"",0,M1431))</f>
        <v/>
      </c>
    </row>
    <row r="1432">
      <c r="A1432" s="1" t="n"/>
      <c r="B1432" s="16" t="n"/>
      <c r="C1432" s="17" t="n"/>
      <c r="D1432" s="18" t="n"/>
      <c r="E1432" s="18" t="n"/>
      <c r="F1432" s="19" t="n"/>
      <c r="G1432" s="19" t="n"/>
      <c r="H1432" s="20" t="n"/>
      <c r="I1432" s="21" t="n"/>
      <c r="J1432" s="22" t="n"/>
      <c r="K1432" s="23" t="n"/>
      <c r="L1432" s="18" t="n"/>
      <c r="M1432" s="24">
        <f>IF(B1432="","",IF(AND(F1432&lt;&gt;"",G1432&lt;&gt;""),MAX(0,ROUND(MOD(G1432-F1432,1)*24-N(H1432)/60,2)),N(I1432)))</f>
        <v/>
      </c>
      <c r="N1432" s="14">
        <f>IF(B1432="","",IF(K1432&lt;&gt;"",K1432,IF(N(IFERROR(INDEX(Projects!$D$6:$D$65,MATCH(D1432,Projects!$B$6:$B$65,0)),""))&gt;0,IFERROR(INDEX(Projects!$D$6:$D$65,MATCH(D1432,Projects!$B$6:$B$65,0)),""),IFERROR(INDEX(Clients!$G$6:$G$45,MATCH(C1432,Clients!$B$6:$B$45,0)),0))))</f>
        <v/>
      </c>
      <c r="O1432" s="14">
        <f>IF(B1432="","",IF(J1432&lt;&gt;"",0,ROUND(M1432*N1432,2)))</f>
        <v/>
      </c>
      <c r="P1432" s="15">
        <f>IF(OR(B1432="",J1432&lt;&gt;""),"",IF(L1432&lt;&gt;"",L1432,IF(COUNTIFS(Invoices!$C$6:$C$305,C1432,Invoices!$E$6:$E$305,"&lt;="&amp;B1432,Invoices!$F$6:$F$305,"&gt;="&amp;B1432)=1,INDEX(Invoices!$B$6:$B$305,SUMIFS(Invoices!$O$6:$O$305,Invoices!$C$6:$C$305,C1432,Invoices!$E$6:$E$305,"&lt;="&amp;B1432,Invoices!$F$6:$F$305,"&gt;="&amp;B1432)),IF(COUNTIFS(Invoices!$C$6:$C$305,C1432,Invoices!$E$6:$E$305,"&lt;="&amp;B1432,Invoices!$F$6:$F$305,"&gt;="&amp;B1432)&gt;1,"Two invoices",""))))</f>
        <v/>
      </c>
      <c r="Q1432" s="15">
        <f>IF(B1432="","",IF(J1432&lt;&gt;"","Not billable",IF(P1432="","To invoice",IF(P1432="Two invoices","Check dates",IF(ISNA(MATCH(P1432,Invoices!$B$6:$B$305,0)),"Check number",IF(INDEX(Invoices!$M$6:$M$305,MATCH(P1432,Invoices!$B$6:$B$305,0))="Paid","Paid",IF(INDEX(Invoices!$M$6:$M$305,MATCH(P1432,Invoices!$B$6:$B$305,0))="Draft","Draft","Invoiced")))))))</f>
        <v/>
      </c>
      <c r="R1432" s="1">
        <f>IF(AND(B1432&lt;&gt;"",P1432&lt;&gt;"",P1432=Invoice!$G$4),B1432+MOD(N(F1432),1)+ROW()/10000000,"")</f>
        <v/>
      </c>
      <c r="S1432">
        <f>IF(R1432="","",IF(D1432="","Other work",D1432)&amp;IF(AND(K1432&lt;&gt;"",E1432&lt;&gt;""),", "&amp;E1432,""))</f>
        <v/>
      </c>
      <c r="T1432">
        <f>IF(R1432="","",IF(COUNTIFS(R$6:R1431,"&gt;0",S$6:S1431,S1432,N$6:N1431,N1432)=0,R1432,""))</f>
        <v/>
      </c>
      <c r="U1432">
        <f>IF(B1432="","",IF(J1432&lt;&gt;"",0,M1432))</f>
        <v/>
      </c>
    </row>
    <row r="1433">
      <c r="A1433" s="1" t="n"/>
      <c r="B1433" s="16" t="n"/>
      <c r="C1433" s="17" t="n"/>
      <c r="D1433" s="18" t="n"/>
      <c r="E1433" s="18" t="n"/>
      <c r="F1433" s="19" t="n"/>
      <c r="G1433" s="19" t="n"/>
      <c r="H1433" s="20" t="n"/>
      <c r="I1433" s="21" t="n"/>
      <c r="J1433" s="22" t="n"/>
      <c r="K1433" s="23" t="n"/>
      <c r="L1433" s="18" t="n"/>
      <c r="M1433" s="24">
        <f>IF(B1433="","",IF(AND(F1433&lt;&gt;"",G1433&lt;&gt;""),MAX(0,ROUND(MOD(G1433-F1433,1)*24-N(H1433)/60,2)),N(I1433)))</f>
        <v/>
      </c>
      <c r="N1433" s="14">
        <f>IF(B1433="","",IF(K1433&lt;&gt;"",K1433,IF(N(IFERROR(INDEX(Projects!$D$6:$D$65,MATCH(D1433,Projects!$B$6:$B$65,0)),""))&gt;0,IFERROR(INDEX(Projects!$D$6:$D$65,MATCH(D1433,Projects!$B$6:$B$65,0)),""),IFERROR(INDEX(Clients!$G$6:$G$45,MATCH(C1433,Clients!$B$6:$B$45,0)),0))))</f>
        <v/>
      </c>
      <c r="O1433" s="14">
        <f>IF(B1433="","",IF(J1433&lt;&gt;"",0,ROUND(M1433*N1433,2)))</f>
        <v/>
      </c>
      <c r="P1433" s="15">
        <f>IF(OR(B1433="",J1433&lt;&gt;""),"",IF(L1433&lt;&gt;"",L1433,IF(COUNTIFS(Invoices!$C$6:$C$305,C1433,Invoices!$E$6:$E$305,"&lt;="&amp;B1433,Invoices!$F$6:$F$305,"&gt;="&amp;B1433)=1,INDEX(Invoices!$B$6:$B$305,SUMIFS(Invoices!$O$6:$O$305,Invoices!$C$6:$C$305,C1433,Invoices!$E$6:$E$305,"&lt;="&amp;B1433,Invoices!$F$6:$F$305,"&gt;="&amp;B1433)),IF(COUNTIFS(Invoices!$C$6:$C$305,C1433,Invoices!$E$6:$E$305,"&lt;="&amp;B1433,Invoices!$F$6:$F$305,"&gt;="&amp;B1433)&gt;1,"Two invoices",""))))</f>
        <v/>
      </c>
      <c r="Q1433" s="15">
        <f>IF(B1433="","",IF(J1433&lt;&gt;"","Not billable",IF(P1433="","To invoice",IF(P1433="Two invoices","Check dates",IF(ISNA(MATCH(P1433,Invoices!$B$6:$B$305,0)),"Check number",IF(INDEX(Invoices!$M$6:$M$305,MATCH(P1433,Invoices!$B$6:$B$305,0))="Paid","Paid",IF(INDEX(Invoices!$M$6:$M$305,MATCH(P1433,Invoices!$B$6:$B$305,0))="Draft","Draft","Invoiced")))))))</f>
        <v/>
      </c>
      <c r="R1433" s="1">
        <f>IF(AND(B1433&lt;&gt;"",P1433&lt;&gt;"",P1433=Invoice!$G$4),B1433+MOD(N(F1433),1)+ROW()/10000000,"")</f>
        <v/>
      </c>
      <c r="S1433">
        <f>IF(R1433="","",IF(D1433="","Other work",D1433)&amp;IF(AND(K1433&lt;&gt;"",E1433&lt;&gt;""),", "&amp;E1433,""))</f>
        <v/>
      </c>
      <c r="T1433">
        <f>IF(R1433="","",IF(COUNTIFS(R$6:R1432,"&gt;0",S$6:S1432,S1433,N$6:N1432,N1433)=0,R1433,""))</f>
        <v/>
      </c>
      <c r="U1433">
        <f>IF(B1433="","",IF(J1433&lt;&gt;"",0,M1433))</f>
        <v/>
      </c>
    </row>
    <row r="1434">
      <c r="A1434" s="1" t="n"/>
      <c r="B1434" s="16" t="n"/>
      <c r="C1434" s="17" t="n"/>
      <c r="D1434" s="18" t="n"/>
      <c r="E1434" s="18" t="n"/>
      <c r="F1434" s="19" t="n"/>
      <c r="G1434" s="19" t="n"/>
      <c r="H1434" s="20" t="n"/>
      <c r="I1434" s="21" t="n"/>
      <c r="J1434" s="22" t="n"/>
      <c r="K1434" s="23" t="n"/>
      <c r="L1434" s="18" t="n"/>
      <c r="M1434" s="24">
        <f>IF(B1434="","",IF(AND(F1434&lt;&gt;"",G1434&lt;&gt;""),MAX(0,ROUND(MOD(G1434-F1434,1)*24-N(H1434)/60,2)),N(I1434)))</f>
        <v/>
      </c>
      <c r="N1434" s="14">
        <f>IF(B1434="","",IF(K1434&lt;&gt;"",K1434,IF(N(IFERROR(INDEX(Projects!$D$6:$D$65,MATCH(D1434,Projects!$B$6:$B$65,0)),""))&gt;0,IFERROR(INDEX(Projects!$D$6:$D$65,MATCH(D1434,Projects!$B$6:$B$65,0)),""),IFERROR(INDEX(Clients!$G$6:$G$45,MATCH(C1434,Clients!$B$6:$B$45,0)),0))))</f>
        <v/>
      </c>
      <c r="O1434" s="14">
        <f>IF(B1434="","",IF(J1434&lt;&gt;"",0,ROUND(M1434*N1434,2)))</f>
        <v/>
      </c>
      <c r="P1434" s="15">
        <f>IF(OR(B1434="",J1434&lt;&gt;""),"",IF(L1434&lt;&gt;"",L1434,IF(COUNTIFS(Invoices!$C$6:$C$305,C1434,Invoices!$E$6:$E$305,"&lt;="&amp;B1434,Invoices!$F$6:$F$305,"&gt;="&amp;B1434)=1,INDEX(Invoices!$B$6:$B$305,SUMIFS(Invoices!$O$6:$O$305,Invoices!$C$6:$C$305,C1434,Invoices!$E$6:$E$305,"&lt;="&amp;B1434,Invoices!$F$6:$F$305,"&gt;="&amp;B1434)),IF(COUNTIFS(Invoices!$C$6:$C$305,C1434,Invoices!$E$6:$E$305,"&lt;="&amp;B1434,Invoices!$F$6:$F$305,"&gt;="&amp;B1434)&gt;1,"Two invoices",""))))</f>
        <v/>
      </c>
      <c r="Q1434" s="15">
        <f>IF(B1434="","",IF(J1434&lt;&gt;"","Not billable",IF(P1434="","To invoice",IF(P1434="Two invoices","Check dates",IF(ISNA(MATCH(P1434,Invoices!$B$6:$B$305,0)),"Check number",IF(INDEX(Invoices!$M$6:$M$305,MATCH(P1434,Invoices!$B$6:$B$305,0))="Paid","Paid",IF(INDEX(Invoices!$M$6:$M$305,MATCH(P1434,Invoices!$B$6:$B$305,0))="Draft","Draft","Invoiced")))))))</f>
        <v/>
      </c>
      <c r="R1434" s="1">
        <f>IF(AND(B1434&lt;&gt;"",P1434&lt;&gt;"",P1434=Invoice!$G$4),B1434+MOD(N(F1434),1)+ROW()/10000000,"")</f>
        <v/>
      </c>
      <c r="S1434">
        <f>IF(R1434="","",IF(D1434="","Other work",D1434)&amp;IF(AND(K1434&lt;&gt;"",E1434&lt;&gt;""),", "&amp;E1434,""))</f>
        <v/>
      </c>
      <c r="T1434">
        <f>IF(R1434="","",IF(COUNTIFS(R$6:R1433,"&gt;0",S$6:S1433,S1434,N$6:N1433,N1434)=0,R1434,""))</f>
        <v/>
      </c>
      <c r="U1434">
        <f>IF(B1434="","",IF(J1434&lt;&gt;"",0,M1434))</f>
        <v/>
      </c>
    </row>
    <row r="1435">
      <c r="A1435" s="1" t="n"/>
      <c r="B1435" s="16" t="n"/>
      <c r="C1435" s="17" t="n"/>
      <c r="D1435" s="18" t="n"/>
      <c r="E1435" s="18" t="n"/>
      <c r="F1435" s="19" t="n"/>
      <c r="G1435" s="19" t="n"/>
      <c r="H1435" s="20" t="n"/>
      <c r="I1435" s="21" t="n"/>
      <c r="J1435" s="22" t="n"/>
      <c r="K1435" s="23" t="n"/>
      <c r="L1435" s="18" t="n"/>
      <c r="M1435" s="24">
        <f>IF(B1435="","",IF(AND(F1435&lt;&gt;"",G1435&lt;&gt;""),MAX(0,ROUND(MOD(G1435-F1435,1)*24-N(H1435)/60,2)),N(I1435)))</f>
        <v/>
      </c>
      <c r="N1435" s="14">
        <f>IF(B1435="","",IF(K1435&lt;&gt;"",K1435,IF(N(IFERROR(INDEX(Projects!$D$6:$D$65,MATCH(D1435,Projects!$B$6:$B$65,0)),""))&gt;0,IFERROR(INDEX(Projects!$D$6:$D$65,MATCH(D1435,Projects!$B$6:$B$65,0)),""),IFERROR(INDEX(Clients!$G$6:$G$45,MATCH(C1435,Clients!$B$6:$B$45,0)),0))))</f>
        <v/>
      </c>
      <c r="O1435" s="14">
        <f>IF(B1435="","",IF(J1435&lt;&gt;"",0,ROUND(M1435*N1435,2)))</f>
        <v/>
      </c>
      <c r="P1435" s="15">
        <f>IF(OR(B1435="",J1435&lt;&gt;""),"",IF(L1435&lt;&gt;"",L1435,IF(COUNTIFS(Invoices!$C$6:$C$305,C1435,Invoices!$E$6:$E$305,"&lt;="&amp;B1435,Invoices!$F$6:$F$305,"&gt;="&amp;B1435)=1,INDEX(Invoices!$B$6:$B$305,SUMIFS(Invoices!$O$6:$O$305,Invoices!$C$6:$C$305,C1435,Invoices!$E$6:$E$305,"&lt;="&amp;B1435,Invoices!$F$6:$F$305,"&gt;="&amp;B1435)),IF(COUNTIFS(Invoices!$C$6:$C$305,C1435,Invoices!$E$6:$E$305,"&lt;="&amp;B1435,Invoices!$F$6:$F$305,"&gt;="&amp;B1435)&gt;1,"Two invoices",""))))</f>
        <v/>
      </c>
      <c r="Q1435" s="15">
        <f>IF(B1435="","",IF(J1435&lt;&gt;"","Not billable",IF(P1435="","To invoice",IF(P1435="Two invoices","Check dates",IF(ISNA(MATCH(P1435,Invoices!$B$6:$B$305,0)),"Check number",IF(INDEX(Invoices!$M$6:$M$305,MATCH(P1435,Invoices!$B$6:$B$305,0))="Paid","Paid",IF(INDEX(Invoices!$M$6:$M$305,MATCH(P1435,Invoices!$B$6:$B$305,0))="Draft","Draft","Invoiced")))))))</f>
        <v/>
      </c>
      <c r="R1435" s="1">
        <f>IF(AND(B1435&lt;&gt;"",P1435&lt;&gt;"",P1435=Invoice!$G$4),B1435+MOD(N(F1435),1)+ROW()/10000000,"")</f>
        <v/>
      </c>
      <c r="S1435">
        <f>IF(R1435="","",IF(D1435="","Other work",D1435)&amp;IF(AND(K1435&lt;&gt;"",E1435&lt;&gt;""),", "&amp;E1435,""))</f>
        <v/>
      </c>
      <c r="T1435">
        <f>IF(R1435="","",IF(COUNTIFS(R$6:R1434,"&gt;0",S$6:S1434,S1435,N$6:N1434,N1435)=0,R1435,""))</f>
        <v/>
      </c>
      <c r="U1435">
        <f>IF(B1435="","",IF(J1435&lt;&gt;"",0,M1435))</f>
        <v/>
      </c>
    </row>
    <row r="1436">
      <c r="A1436" s="1" t="n"/>
      <c r="B1436" s="16" t="n"/>
      <c r="C1436" s="17" t="n"/>
      <c r="D1436" s="18" t="n"/>
      <c r="E1436" s="18" t="n"/>
      <c r="F1436" s="19" t="n"/>
      <c r="G1436" s="19" t="n"/>
      <c r="H1436" s="20" t="n"/>
      <c r="I1436" s="21" t="n"/>
      <c r="J1436" s="22" t="n"/>
      <c r="K1436" s="23" t="n"/>
      <c r="L1436" s="18" t="n"/>
      <c r="M1436" s="24">
        <f>IF(B1436="","",IF(AND(F1436&lt;&gt;"",G1436&lt;&gt;""),MAX(0,ROUND(MOD(G1436-F1436,1)*24-N(H1436)/60,2)),N(I1436)))</f>
        <v/>
      </c>
      <c r="N1436" s="14">
        <f>IF(B1436="","",IF(K1436&lt;&gt;"",K1436,IF(N(IFERROR(INDEX(Projects!$D$6:$D$65,MATCH(D1436,Projects!$B$6:$B$65,0)),""))&gt;0,IFERROR(INDEX(Projects!$D$6:$D$65,MATCH(D1436,Projects!$B$6:$B$65,0)),""),IFERROR(INDEX(Clients!$G$6:$G$45,MATCH(C1436,Clients!$B$6:$B$45,0)),0))))</f>
        <v/>
      </c>
      <c r="O1436" s="14">
        <f>IF(B1436="","",IF(J1436&lt;&gt;"",0,ROUND(M1436*N1436,2)))</f>
        <v/>
      </c>
      <c r="P1436" s="15">
        <f>IF(OR(B1436="",J1436&lt;&gt;""),"",IF(L1436&lt;&gt;"",L1436,IF(COUNTIFS(Invoices!$C$6:$C$305,C1436,Invoices!$E$6:$E$305,"&lt;="&amp;B1436,Invoices!$F$6:$F$305,"&gt;="&amp;B1436)=1,INDEX(Invoices!$B$6:$B$305,SUMIFS(Invoices!$O$6:$O$305,Invoices!$C$6:$C$305,C1436,Invoices!$E$6:$E$305,"&lt;="&amp;B1436,Invoices!$F$6:$F$305,"&gt;="&amp;B1436)),IF(COUNTIFS(Invoices!$C$6:$C$305,C1436,Invoices!$E$6:$E$305,"&lt;="&amp;B1436,Invoices!$F$6:$F$305,"&gt;="&amp;B1436)&gt;1,"Two invoices",""))))</f>
        <v/>
      </c>
      <c r="Q1436" s="15">
        <f>IF(B1436="","",IF(J1436&lt;&gt;"","Not billable",IF(P1436="","To invoice",IF(P1436="Two invoices","Check dates",IF(ISNA(MATCH(P1436,Invoices!$B$6:$B$305,0)),"Check number",IF(INDEX(Invoices!$M$6:$M$305,MATCH(P1436,Invoices!$B$6:$B$305,0))="Paid","Paid",IF(INDEX(Invoices!$M$6:$M$305,MATCH(P1436,Invoices!$B$6:$B$305,0))="Draft","Draft","Invoiced")))))))</f>
        <v/>
      </c>
      <c r="R1436" s="1">
        <f>IF(AND(B1436&lt;&gt;"",P1436&lt;&gt;"",P1436=Invoice!$G$4),B1436+MOD(N(F1436),1)+ROW()/10000000,"")</f>
        <v/>
      </c>
      <c r="S1436">
        <f>IF(R1436="","",IF(D1436="","Other work",D1436)&amp;IF(AND(K1436&lt;&gt;"",E1436&lt;&gt;""),", "&amp;E1436,""))</f>
        <v/>
      </c>
      <c r="T1436">
        <f>IF(R1436="","",IF(COUNTIFS(R$6:R1435,"&gt;0",S$6:S1435,S1436,N$6:N1435,N1436)=0,R1436,""))</f>
        <v/>
      </c>
      <c r="U1436">
        <f>IF(B1436="","",IF(J1436&lt;&gt;"",0,M1436))</f>
        <v/>
      </c>
    </row>
    <row r="1437">
      <c r="A1437" s="1" t="n"/>
      <c r="B1437" s="16" t="n"/>
      <c r="C1437" s="17" t="n"/>
      <c r="D1437" s="18" t="n"/>
      <c r="E1437" s="18" t="n"/>
      <c r="F1437" s="19" t="n"/>
      <c r="G1437" s="19" t="n"/>
      <c r="H1437" s="20" t="n"/>
      <c r="I1437" s="21" t="n"/>
      <c r="J1437" s="22" t="n"/>
      <c r="K1437" s="23" t="n"/>
      <c r="L1437" s="18" t="n"/>
      <c r="M1437" s="24">
        <f>IF(B1437="","",IF(AND(F1437&lt;&gt;"",G1437&lt;&gt;""),MAX(0,ROUND(MOD(G1437-F1437,1)*24-N(H1437)/60,2)),N(I1437)))</f>
        <v/>
      </c>
      <c r="N1437" s="14">
        <f>IF(B1437="","",IF(K1437&lt;&gt;"",K1437,IF(N(IFERROR(INDEX(Projects!$D$6:$D$65,MATCH(D1437,Projects!$B$6:$B$65,0)),""))&gt;0,IFERROR(INDEX(Projects!$D$6:$D$65,MATCH(D1437,Projects!$B$6:$B$65,0)),""),IFERROR(INDEX(Clients!$G$6:$G$45,MATCH(C1437,Clients!$B$6:$B$45,0)),0))))</f>
        <v/>
      </c>
      <c r="O1437" s="14">
        <f>IF(B1437="","",IF(J1437&lt;&gt;"",0,ROUND(M1437*N1437,2)))</f>
        <v/>
      </c>
      <c r="P1437" s="15">
        <f>IF(OR(B1437="",J1437&lt;&gt;""),"",IF(L1437&lt;&gt;"",L1437,IF(COUNTIFS(Invoices!$C$6:$C$305,C1437,Invoices!$E$6:$E$305,"&lt;="&amp;B1437,Invoices!$F$6:$F$305,"&gt;="&amp;B1437)=1,INDEX(Invoices!$B$6:$B$305,SUMIFS(Invoices!$O$6:$O$305,Invoices!$C$6:$C$305,C1437,Invoices!$E$6:$E$305,"&lt;="&amp;B1437,Invoices!$F$6:$F$305,"&gt;="&amp;B1437)),IF(COUNTIFS(Invoices!$C$6:$C$305,C1437,Invoices!$E$6:$E$305,"&lt;="&amp;B1437,Invoices!$F$6:$F$305,"&gt;="&amp;B1437)&gt;1,"Two invoices",""))))</f>
        <v/>
      </c>
      <c r="Q1437" s="15">
        <f>IF(B1437="","",IF(J1437&lt;&gt;"","Not billable",IF(P1437="","To invoice",IF(P1437="Two invoices","Check dates",IF(ISNA(MATCH(P1437,Invoices!$B$6:$B$305,0)),"Check number",IF(INDEX(Invoices!$M$6:$M$305,MATCH(P1437,Invoices!$B$6:$B$305,0))="Paid","Paid",IF(INDEX(Invoices!$M$6:$M$305,MATCH(P1437,Invoices!$B$6:$B$305,0))="Draft","Draft","Invoiced")))))))</f>
        <v/>
      </c>
      <c r="R1437" s="1">
        <f>IF(AND(B1437&lt;&gt;"",P1437&lt;&gt;"",P1437=Invoice!$G$4),B1437+MOD(N(F1437),1)+ROW()/10000000,"")</f>
        <v/>
      </c>
      <c r="S1437">
        <f>IF(R1437="","",IF(D1437="","Other work",D1437)&amp;IF(AND(K1437&lt;&gt;"",E1437&lt;&gt;""),", "&amp;E1437,""))</f>
        <v/>
      </c>
      <c r="T1437">
        <f>IF(R1437="","",IF(COUNTIFS(R$6:R1436,"&gt;0",S$6:S1436,S1437,N$6:N1436,N1437)=0,R1437,""))</f>
        <v/>
      </c>
      <c r="U1437">
        <f>IF(B1437="","",IF(J1437&lt;&gt;"",0,M1437))</f>
        <v/>
      </c>
    </row>
    <row r="1438">
      <c r="A1438" s="1" t="n"/>
      <c r="B1438" s="16" t="n"/>
      <c r="C1438" s="17" t="n"/>
      <c r="D1438" s="18" t="n"/>
      <c r="E1438" s="18" t="n"/>
      <c r="F1438" s="19" t="n"/>
      <c r="G1438" s="19" t="n"/>
      <c r="H1438" s="20" t="n"/>
      <c r="I1438" s="21" t="n"/>
      <c r="J1438" s="22" t="n"/>
      <c r="K1438" s="23" t="n"/>
      <c r="L1438" s="18" t="n"/>
      <c r="M1438" s="24">
        <f>IF(B1438="","",IF(AND(F1438&lt;&gt;"",G1438&lt;&gt;""),MAX(0,ROUND(MOD(G1438-F1438,1)*24-N(H1438)/60,2)),N(I1438)))</f>
        <v/>
      </c>
      <c r="N1438" s="14">
        <f>IF(B1438="","",IF(K1438&lt;&gt;"",K1438,IF(N(IFERROR(INDEX(Projects!$D$6:$D$65,MATCH(D1438,Projects!$B$6:$B$65,0)),""))&gt;0,IFERROR(INDEX(Projects!$D$6:$D$65,MATCH(D1438,Projects!$B$6:$B$65,0)),""),IFERROR(INDEX(Clients!$G$6:$G$45,MATCH(C1438,Clients!$B$6:$B$45,0)),0))))</f>
        <v/>
      </c>
      <c r="O1438" s="14">
        <f>IF(B1438="","",IF(J1438&lt;&gt;"",0,ROUND(M1438*N1438,2)))</f>
        <v/>
      </c>
      <c r="P1438" s="15">
        <f>IF(OR(B1438="",J1438&lt;&gt;""),"",IF(L1438&lt;&gt;"",L1438,IF(COUNTIFS(Invoices!$C$6:$C$305,C1438,Invoices!$E$6:$E$305,"&lt;="&amp;B1438,Invoices!$F$6:$F$305,"&gt;="&amp;B1438)=1,INDEX(Invoices!$B$6:$B$305,SUMIFS(Invoices!$O$6:$O$305,Invoices!$C$6:$C$305,C1438,Invoices!$E$6:$E$305,"&lt;="&amp;B1438,Invoices!$F$6:$F$305,"&gt;="&amp;B1438)),IF(COUNTIFS(Invoices!$C$6:$C$305,C1438,Invoices!$E$6:$E$305,"&lt;="&amp;B1438,Invoices!$F$6:$F$305,"&gt;="&amp;B1438)&gt;1,"Two invoices",""))))</f>
        <v/>
      </c>
      <c r="Q1438" s="15">
        <f>IF(B1438="","",IF(J1438&lt;&gt;"","Not billable",IF(P1438="","To invoice",IF(P1438="Two invoices","Check dates",IF(ISNA(MATCH(P1438,Invoices!$B$6:$B$305,0)),"Check number",IF(INDEX(Invoices!$M$6:$M$305,MATCH(P1438,Invoices!$B$6:$B$305,0))="Paid","Paid",IF(INDEX(Invoices!$M$6:$M$305,MATCH(P1438,Invoices!$B$6:$B$305,0))="Draft","Draft","Invoiced")))))))</f>
        <v/>
      </c>
      <c r="R1438" s="1">
        <f>IF(AND(B1438&lt;&gt;"",P1438&lt;&gt;"",P1438=Invoice!$G$4),B1438+MOD(N(F1438),1)+ROW()/10000000,"")</f>
        <v/>
      </c>
      <c r="S1438">
        <f>IF(R1438="","",IF(D1438="","Other work",D1438)&amp;IF(AND(K1438&lt;&gt;"",E1438&lt;&gt;""),", "&amp;E1438,""))</f>
        <v/>
      </c>
      <c r="T1438">
        <f>IF(R1438="","",IF(COUNTIFS(R$6:R1437,"&gt;0",S$6:S1437,S1438,N$6:N1437,N1438)=0,R1438,""))</f>
        <v/>
      </c>
      <c r="U1438">
        <f>IF(B1438="","",IF(J1438&lt;&gt;"",0,M1438))</f>
        <v/>
      </c>
    </row>
    <row r="1439">
      <c r="A1439" s="1" t="n"/>
      <c r="B1439" s="16" t="n"/>
      <c r="C1439" s="17" t="n"/>
      <c r="D1439" s="18" t="n"/>
      <c r="E1439" s="18" t="n"/>
      <c r="F1439" s="19" t="n"/>
      <c r="G1439" s="19" t="n"/>
      <c r="H1439" s="20" t="n"/>
      <c r="I1439" s="21" t="n"/>
      <c r="J1439" s="22" t="n"/>
      <c r="K1439" s="23" t="n"/>
      <c r="L1439" s="18" t="n"/>
      <c r="M1439" s="24">
        <f>IF(B1439="","",IF(AND(F1439&lt;&gt;"",G1439&lt;&gt;""),MAX(0,ROUND(MOD(G1439-F1439,1)*24-N(H1439)/60,2)),N(I1439)))</f>
        <v/>
      </c>
      <c r="N1439" s="14">
        <f>IF(B1439="","",IF(K1439&lt;&gt;"",K1439,IF(N(IFERROR(INDEX(Projects!$D$6:$D$65,MATCH(D1439,Projects!$B$6:$B$65,0)),""))&gt;0,IFERROR(INDEX(Projects!$D$6:$D$65,MATCH(D1439,Projects!$B$6:$B$65,0)),""),IFERROR(INDEX(Clients!$G$6:$G$45,MATCH(C1439,Clients!$B$6:$B$45,0)),0))))</f>
        <v/>
      </c>
      <c r="O1439" s="14">
        <f>IF(B1439="","",IF(J1439&lt;&gt;"",0,ROUND(M1439*N1439,2)))</f>
        <v/>
      </c>
      <c r="P1439" s="15">
        <f>IF(OR(B1439="",J1439&lt;&gt;""),"",IF(L1439&lt;&gt;"",L1439,IF(COUNTIFS(Invoices!$C$6:$C$305,C1439,Invoices!$E$6:$E$305,"&lt;="&amp;B1439,Invoices!$F$6:$F$305,"&gt;="&amp;B1439)=1,INDEX(Invoices!$B$6:$B$305,SUMIFS(Invoices!$O$6:$O$305,Invoices!$C$6:$C$305,C1439,Invoices!$E$6:$E$305,"&lt;="&amp;B1439,Invoices!$F$6:$F$305,"&gt;="&amp;B1439)),IF(COUNTIFS(Invoices!$C$6:$C$305,C1439,Invoices!$E$6:$E$305,"&lt;="&amp;B1439,Invoices!$F$6:$F$305,"&gt;="&amp;B1439)&gt;1,"Two invoices",""))))</f>
        <v/>
      </c>
      <c r="Q1439" s="15">
        <f>IF(B1439="","",IF(J1439&lt;&gt;"","Not billable",IF(P1439="","To invoice",IF(P1439="Two invoices","Check dates",IF(ISNA(MATCH(P1439,Invoices!$B$6:$B$305,0)),"Check number",IF(INDEX(Invoices!$M$6:$M$305,MATCH(P1439,Invoices!$B$6:$B$305,0))="Paid","Paid",IF(INDEX(Invoices!$M$6:$M$305,MATCH(P1439,Invoices!$B$6:$B$305,0))="Draft","Draft","Invoiced")))))))</f>
        <v/>
      </c>
      <c r="R1439" s="1">
        <f>IF(AND(B1439&lt;&gt;"",P1439&lt;&gt;"",P1439=Invoice!$G$4),B1439+MOD(N(F1439),1)+ROW()/10000000,"")</f>
        <v/>
      </c>
      <c r="S1439">
        <f>IF(R1439="","",IF(D1439="","Other work",D1439)&amp;IF(AND(K1439&lt;&gt;"",E1439&lt;&gt;""),", "&amp;E1439,""))</f>
        <v/>
      </c>
      <c r="T1439">
        <f>IF(R1439="","",IF(COUNTIFS(R$6:R1438,"&gt;0",S$6:S1438,S1439,N$6:N1438,N1439)=0,R1439,""))</f>
        <v/>
      </c>
      <c r="U1439">
        <f>IF(B1439="","",IF(J1439&lt;&gt;"",0,M1439))</f>
        <v/>
      </c>
    </row>
    <row r="1440">
      <c r="A1440" s="1" t="n"/>
      <c r="B1440" s="16" t="n"/>
      <c r="C1440" s="17" t="n"/>
      <c r="D1440" s="18" t="n"/>
      <c r="E1440" s="18" t="n"/>
      <c r="F1440" s="19" t="n"/>
      <c r="G1440" s="19" t="n"/>
      <c r="H1440" s="20" t="n"/>
      <c r="I1440" s="21" t="n"/>
      <c r="J1440" s="22" t="n"/>
      <c r="K1440" s="23" t="n"/>
      <c r="L1440" s="18" t="n"/>
      <c r="M1440" s="24">
        <f>IF(B1440="","",IF(AND(F1440&lt;&gt;"",G1440&lt;&gt;""),MAX(0,ROUND(MOD(G1440-F1440,1)*24-N(H1440)/60,2)),N(I1440)))</f>
        <v/>
      </c>
      <c r="N1440" s="14">
        <f>IF(B1440="","",IF(K1440&lt;&gt;"",K1440,IF(N(IFERROR(INDEX(Projects!$D$6:$D$65,MATCH(D1440,Projects!$B$6:$B$65,0)),""))&gt;0,IFERROR(INDEX(Projects!$D$6:$D$65,MATCH(D1440,Projects!$B$6:$B$65,0)),""),IFERROR(INDEX(Clients!$G$6:$G$45,MATCH(C1440,Clients!$B$6:$B$45,0)),0))))</f>
        <v/>
      </c>
      <c r="O1440" s="14">
        <f>IF(B1440="","",IF(J1440&lt;&gt;"",0,ROUND(M1440*N1440,2)))</f>
        <v/>
      </c>
      <c r="P1440" s="15">
        <f>IF(OR(B1440="",J1440&lt;&gt;""),"",IF(L1440&lt;&gt;"",L1440,IF(COUNTIFS(Invoices!$C$6:$C$305,C1440,Invoices!$E$6:$E$305,"&lt;="&amp;B1440,Invoices!$F$6:$F$305,"&gt;="&amp;B1440)=1,INDEX(Invoices!$B$6:$B$305,SUMIFS(Invoices!$O$6:$O$305,Invoices!$C$6:$C$305,C1440,Invoices!$E$6:$E$305,"&lt;="&amp;B1440,Invoices!$F$6:$F$305,"&gt;="&amp;B1440)),IF(COUNTIFS(Invoices!$C$6:$C$305,C1440,Invoices!$E$6:$E$305,"&lt;="&amp;B1440,Invoices!$F$6:$F$305,"&gt;="&amp;B1440)&gt;1,"Two invoices",""))))</f>
        <v/>
      </c>
      <c r="Q1440" s="15">
        <f>IF(B1440="","",IF(J1440&lt;&gt;"","Not billable",IF(P1440="","To invoice",IF(P1440="Two invoices","Check dates",IF(ISNA(MATCH(P1440,Invoices!$B$6:$B$305,0)),"Check number",IF(INDEX(Invoices!$M$6:$M$305,MATCH(P1440,Invoices!$B$6:$B$305,0))="Paid","Paid",IF(INDEX(Invoices!$M$6:$M$305,MATCH(P1440,Invoices!$B$6:$B$305,0))="Draft","Draft","Invoiced")))))))</f>
        <v/>
      </c>
      <c r="R1440" s="1">
        <f>IF(AND(B1440&lt;&gt;"",P1440&lt;&gt;"",P1440=Invoice!$G$4),B1440+MOD(N(F1440),1)+ROW()/10000000,"")</f>
        <v/>
      </c>
      <c r="S1440">
        <f>IF(R1440="","",IF(D1440="","Other work",D1440)&amp;IF(AND(K1440&lt;&gt;"",E1440&lt;&gt;""),", "&amp;E1440,""))</f>
        <v/>
      </c>
      <c r="T1440">
        <f>IF(R1440="","",IF(COUNTIFS(R$6:R1439,"&gt;0",S$6:S1439,S1440,N$6:N1439,N1440)=0,R1440,""))</f>
        <v/>
      </c>
      <c r="U1440">
        <f>IF(B1440="","",IF(J1440&lt;&gt;"",0,M1440))</f>
        <v/>
      </c>
    </row>
    <row r="1441">
      <c r="A1441" s="1" t="n"/>
      <c r="B1441" s="16" t="n"/>
      <c r="C1441" s="17" t="n"/>
      <c r="D1441" s="18" t="n"/>
      <c r="E1441" s="18" t="n"/>
      <c r="F1441" s="19" t="n"/>
      <c r="G1441" s="19" t="n"/>
      <c r="H1441" s="20" t="n"/>
      <c r="I1441" s="21" t="n"/>
      <c r="J1441" s="22" t="n"/>
      <c r="K1441" s="23" t="n"/>
      <c r="L1441" s="18" t="n"/>
      <c r="M1441" s="24">
        <f>IF(B1441="","",IF(AND(F1441&lt;&gt;"",G1441&lt;&gt;""),MAX(0,ROUND(MOD(G1441-F1441,1)*24-N(H1441)/60,2)),N(I1441)))</f>
        <v/>
      </c>
      <c r="N1441" s="14">
        <f>IF(B1441="","",IF(K1441&lt;&gt;"",K1441,IF(N(IFERROR(INDEX(Projects!$D$6:$D$65,MATCH(D1441,Projects!$B$6:$B$65,0)),""))&gt;0,IFERROR(INDEX(Projects!$D$6:$D$65,MATCH(D1441,Projects!$B$6:$B$65,0)),""),IFERROR(INDEX(Clients!$G$6:$G$45,MATCH(C1441,Clients!$B$6:$B$45,0)),0))))</f>
        <v/>
      </c>
      <c r="O1441" s="14">
        <f>IF(B1441="","",IF(J1441&lt;&gt;"",0,ROUND(M1441*N1441,2)))</f>
        <v/>
      </c>
      <c r="P1441" s="15">
        <f>IF(OR(B1441="",J1441&lt;&gt;""),"",IF(L1441&lt;&gt;"",L1441,IF(COUNTIFS(Invoices!$C$6:$C$305,C1441,Invoices!$E$6:$E$305,"&lt;="&amp;B1441,Invoices!$F$6:$F$305,"&gt;="&amp;B1441)=1,INDEX(Invoices!$B$6:$B$305,SUMIFS(Invoices!$O$6:$O$305,Invoices!$C$6:$C$305,C1441,Invoices!$E$6:$E$305,"&lt;="&amp;B1441,Invoices!$F$6:$F$305,"&gt;="&amp;B1441)),IF(COUNTIFS(Invoices!$C$6:$C$305,C1441,Invoices!$E$6:$E$305,"&lt;="&amp;B1441,Invoices!$F$6:$F$305,"&gt;="&amp;B1441)&gt;1,"Two invoices",""))))</f>
        <v/>
      </c>
      <c r="Q1441" s="15">
        <f>IF(B1441="","",IF(J1441&lt;&gt;"","Not billable",IF(P1441="","To invoice",IF(P1441="Two invoices","Check dates",IF(ISNA(MATCH(P1441,Invoices!$B$6:$B$305,0)),"Check number",IF(INDEX(Invoices!$M$6:$M$305,MATCH(P1441,Invoices!$B$6:$B$305,0))="Paid","Paid",IF(INDEX(Invoices!$M$6:$M$305,MATCH(P1441,Invoices!$B$6:$B$305,0))="Draft","Draft","Invoiced")))))))</f>
        <v/>
      </c>
      <c r="R1441" s="1">
        <f>IF(AND(B1441&lt;&gt;"",P1441&lt;&gt;"",P1441=Invoice!$G$4),B1441+MOD(N(F1441),1)+ROW()/10000000,"")</f>
        <v/>
      </c>
      <c r="S1441">
        <f>IF(R1441="","",IF(D1441="","Other work",D1441)&amp;IF(AND(K1441&lt;&gt;"",E1441&lt;&gt;""),", "&amp;E1441,""))</f>
        <v/>
      </c>
      <c r="T1441">
        <f>IF(R1441="","",IF(COUNTIFS(R$6:R1440,"&gt;0",S$6:S1440,S1441,N$6:N1440,N1441)=0,R1441,""))</f>
        <v/>
      </c>
      <c r="U1441">
        <f>IF(B1441="","",IF(J1441&lt;&gt;"",0,M1441))</f>
        <v/>
      </c>
    </row>
    <row r="1442">
      <c r="A1442" s="1" t="n"/>
      <c r="B1442" s="16" t="n"/>
      <c r="C1442" s="17" t="n"/>
      <c r="D1442" s="18" t="n"/>
      <c r="E1442" s="18" t="n"/>
      <c r="F1442" s="19" t="n"/>
      <c r="G1442" s="19" t="n"/>
      <c r="H1442" s="20" t="n"/>
      <c r="I1442" s="21" t="n"/>
      <c r="J1442" s="22" t="n"/>
      <c r="K1442" s="23" t="n"/>
      <c r="L1442" s="18" t="n"/>
      <c r="M1442" s="24">
        <f>IF(B1442="","",IF(AND(F1442&lt;&gt;"",G1442&lt;&gt;""),MAX(0,ROUND(MOD(G1442-F1442,1)*24-N(H1442)/60,2)),N(I1442)))</f>
        <v/>
      </c>
      <c r="N1442" s="14">
        <f>IF(B1442="","",IF(K1442&lt;&gt;"",K1442,IF(N(IFERROR(INDEX(Projects!$D$6:$D$65,MATCH(D1442,Projects!$B$6:$B$65,0)),""))&gt;0,IFERROR(INDEX(Projects!$D$6:$D$65,MATCH(D1442,Projects!$B$6:$B$65,0)),""),IFERROR(INDEX(Clients!$G$6:$G$45,MATCH(C1442,Clients!$B$6:$B$45,0)),0))))</f>
        <v/>
      </c>
      <c r="O1442" s="14">
        <f>IF(B1442="","",IF(J1442&lt;&gt;"",0,ROUND(M1442*N1442,2)))</f>
        <v/>
      </c>
      <c r="P1442" s="15">
        <f>IF(OR(B1442="",J1442&lt;&gt;""),"",IF(L1442&lt;&gt;"",L1442,IF(COUNTIFS(Invoices!$C$6:$C$305,C1442,Invoices!$E$6:$E$305,"&lt;="&amp;B1442,Invoices!$F$6:$F$305,"&gt;="&amp;B1442)=1,INDEX(Invoices!$B$6:$B$305,SUMIFS(Invoices!$O$6:$O$305,Invoices!$C$6:$C$305,C1442,Invoices!$E$6:$E$305,"&lt;="&amp;B1442,Invoices!$F$6:$F$305,"&gt;="&amp;B1442)),IF(COUNTIFS(Invoices!$C$6:$C$305,C1442,Invoices!$E$6:$E$305,"&lt;="&amp;B1442,Invoices!$F$6:$F$305,"&gt;="&amp;B1442)&gt;1,"Two invoices",""))))</f>
        <v/>
      </c>
      <c r="Q1442" s="15">
        <f>IF(B1442="","",IF(J1442&lt;&gt;"","Not billable",IF(P1442="","To invoice",IF(P1442="Two invoices","Check dates",IF(ISNA(MATCH(P1442,Invoices!$B$6:$B$305,0)),"Check number",IF(INDEX(Invoices!$M$6:$M$305,MATCH(P1442,Invoices!$B$6:$B$305,0))="Paid","Paid",IF(INDEX(Invoices!$M$6:$M$305,MATCH(P1442,Invoices!$B$6:$B$305,0))="Draft","Draft","Invoiced")))))))</f>
        <v/>
      </c>
      <c r="R1442" s="1">
        <f>IF(AND(B1442&lt;&gt;"",P1442&lt;&gt;"",P1442=Invoice!$G$4),B1442+MOD(N(F1442),1)+ROW()/10000000,"")</f>
        <v/>
      </c>
      <c r="S1442">
        <f>IF(R1442="","",IF(D1442="","Other work",D1442)&amp;IF(AND(K1442&lt;&gt;"",E1442&lt;&gt;""),", "&amp;E1442,""))</f>
        <v/>
      </c>
      <c r="T1442">
        <f>IF(R1442="","",IF(COUNTIFS(R$6:R1441,"&gt;0",S$6:S1441,S1442,N$6:N1441,N1442)=0,R1442,""))</f>
        <v/>
      </c>
      <c r="U1442">
        <f>IF(B1442="","",IF(J1442&lt;&gt;"",0,M1442))</f>
        <v/>
      </c>
    </row>
    <row r="1443">
      <c r="A1443" s="1" t="n"/>
      <c r="B1443" s="16" t="n"/>
      <c r="C1443" s="17" t="n"/>
      <c r="D1443" s="18" t="n"/>
      <c r="E1443" s="18" t="n"/>
      <c r="F1443" s="19" t="n"/>
      <c r="G1443" s="19" t="n"/>
      <c r="H1443" s="20" t="n"/>
      <c r="I1443" s="21" t="n"/>
      <c r="J1443" s="22" t="n"/>
      <c r="K1443" s="23" t="n"/>
      <c r="L1443" s="18" t="n"/>
      <c r="M1443" s="24">
        <f>IF(B1443="","",IF(AND(F1443&lt;&gt;"",G1443&lt;&gt;""),MAX(0,ROUND(MOD(G1443-F1443,1)*24-N(H1443)/60,2)),N(I1443)))</f>
        <v/>
      </c>
      <c r="N1443" s="14">
        <f>IF(B1443="","",IF(K1443&lt;&gt;"",K1443,IF(N(IFERROR(INDEX(Projects!$D$6:$D$65,MATCH(D1443,Projects!$B$6:$B$65,0)),""))&gt;0,IFERROR(INDEX(Projects!$D$6:$D$65,MATCH(D1443,Projects!$B$6:$B$65,0)),""),IFERROR(INDEX(Clients!$G$6:$G$45,MATCH(C1443,Clients!$B$6:$B$45,0)),0))))</f>
        <v/>
      </c>
      <c r="O1443" s="14">
        <f>IF(B1443="","",IF(J1443&lt;&gt;"",0,ROUND(M1443*N1443,2)))</f>
        <v/>
      </c>
      <c r="P1443" s="15">
        <f>IF(OR(B1443="",J1443&lt;&gt;""),"",IF(L1443&lt;&gt;"",L1443,IF(COUNTIFS(Invoices!$C$6:$C$305,C1443,Invoices!$E$6:$E$305,"&lt;="&amp;B1443,Invoices!$F$6:$F$305,"&gt;="&amp;B1443)=1,INDEX(Invoices!$B$6:$B$305,SUMIFS(Invoices!$O$6:$O$305,Invoices!$C$6:$C$305,C1443,Invoices!$E$6:$E$305,"&lt;="&amp;B1443,Invoices!$F$6:$F$305,"&gt;="&amp;B1443)),IF(COUNTIFS(Invoices!$C$6:$C$305,C1443,Invoices!$E$6:$E$305,"&lt;="&amp;B1443,Invoices!$F$6:$F$305,"&gt;="&amp;B1443)&gt;1,"Two invoices",""))))</f>
        <v/>
      </c>
      <c r="Q1443" s="15">
        <f>IF(B1443="","",IF(J1443&lt;&gt;"","Not billable",IF(P1443="","To invoice",IF(P1443="Two invoices","Check dates",IF(ISNA(MATCH(P1443,Invoices!$B$6:$B$305,0)),"Check number",IF(INDEX(Invoices!$M$6:$M$305,MATCH(P1443,Invoices!$B$6:$B$305,0))="Paid","Paid",IF(INDEX(Invoices!$M$6:$M$305,MATCH(P1443,Invoices!$B$6:$B$305,0))="Draft","Draft","Invoiced")))))))</f>
        <v/>
      </c>
      <c r="R1443" s="1">
        <f>IF(AND(B1443&lt;&gt;"",P1443&lt;&gt;"",P1443=Invoice!$G$4),B1443+MOD(N(F1443),1)+ROW()/10000000,"")</f>
        <v/>
      </c>
      <c r="S1443">
        <f>IF(R1443="","",IF(D1443="","Other work",D1443)&amp;IF(AND(K1443&lt;&gt;"",E1443&lt;&gt;""),", "&amp;E1443,""))</f>
        <v/>
      </c>
      <c r="T1443">
        <f>IF(R1443="","",IF(COUNTIFS(R$6:R1442,"&gt;0",S$6:S1442,S1443,N$6:N1442,N1443)=0,R1443,""))</f>
        <v/>
      </c>
      <c r="U1443">
        <f>IF(B1443="","",IF(J1443&lt;&gt;"",0,M1443))</f>
        <v/>
      </c>
    </row>
    <row r="1444">
      <c r="A1444" s="1" t="n"/>
      <c r="B1444" s="16" t="n"/>
      <c r="C1444" s="17" t="n"/>
      <c r="D1444" s="18" t="n"/>
      <c r="E1444" s="18" t="n"/>
      <c r="F1444" s="19" t="n"/>
      <c r="G1444" s="19" t="n"/>
      <c r="H1444" s="20" t="n"/>
      <c r="I1444" s="21" t="n"/>
      <c r="J1444" s="22" t="n"/>
      <c r="K1444" s="23" t="n"/>
      <c r="L1444" s="18" t="n"/>
      <c r="M1444" s="24">
        <f>IF(B1444="","",IF(AND(F1444&lt;&gt;"",G1444&lt;&gt;""),MAX(0,ROUND(MOD(G1444-F1444,1)*24-N(H1444)/60,2)),N(I1444)))</f>
        <v/>
      </c>
      <c r="N1444" s="14">
        <f>IF(B1444="","",IF(K1444&lt;&gt;"",K1444,IF(N(IFERROR(INDEX(Projects!$D$6:$D$65,MATCH(D1444,Projects!$B$6:$B$65,0)),""))&gt;0,IFERROR(INDEX(Projects!$D$6:$D$65,MATCH(D1444,Projects!$B$6:$B$65,0)),""),IFERROR(INDEX(Clients!$G$6:$G$45,MATCH(C1444,Clients!$B$6:$B$45,0)),0))))</f>
        <v/>
      </c>
      <c r="O1444" s="14">
        <f>IF(B1444="","",IF(J1444&lt;&gt;"",0,ROUND(M1444*N1444,2)))</f>
        <v/>
      </c>
      <c r="P1444" s="15">
        <f>IF(OR(B1444="",J1444&lt;&gt;""),"",IF(L1444&lt;&gt;"",L1444,IF(COUNTIFS(Invoices!$C$6:$C$305,C1444,Invoices!$E$6:$E$305,"&lt;="&amp;B1444,Invoices!$F$6:$F$305,"&gt;="&amp;B1444)=1,INDEX(Invoices!$B$6:$B$305,SUMIFS(Invoices!$O$6:$O$305,Invoices!$C$6:$C$305,C1444,Invoices!$E$6:$E$305,"&lt;="&amp;B1444,Invoices!$F$6:$F$305,"&gt;="&amp;B1444)),IF(COUNTIFS(Invoices!$C$6:$C$305,C1444,Invoices!$E$6:$E$305,"&lt;="&amp;B1444,Invoices!$F$6:$F$305,"&gt;="&amp;B1444)&gt;1,"Two invoices",""))))</f>
        <v/>
      </c>
      <c r="Q1444" s="15">
        <f>IF(B1444="","",IF(J1444&lt;&gt;"","Not billable",IF(P1444="","To invoice",IF(P1444="Two invoices","Check dates",IF(ISNA(MATCH(P1444,Invoices!$B$6:$B$305,0)),"Check number",IF(INDEX(Invoices!$M$6:$M$305,MATCH(P1444,Invoices!$B$6:$B$305,0))="Paid","Paid",IF(INDEX(Invoices!$M$6:$M$305,MATCH(P1444,Invoices!$B$6:$B$305,0))="Draft","Draft","Invoiced")))))))</f>
        <v/>
      </c>
      <c r="R1444" s="1">
        <f>IF(AND(B1444&lt;&gt;"",P1444&lt;&gt;"",P1444=Invoice!$G$4),B1444+MOD(N(F1444),1)+ROW()/10000000,"")</f>
        <v/>
      </c>
      <c r="S1444">
        <f>IF(R1444="","",IF(D1444="","Other work",D1444)&amp;IF(AND(K1444&lt;&gt;"",E1444&lt;&gt;""),", "&amp;E1444,""))</f>
        <v/>
      </c>
      <c r="T1444">
        <f>IF(R1444="","",IF(COUNTIFS(R$6:R1443,"&gt;0",S$6:S1443,S1444,N$6:N1443,N1444)=0,R1444,""))</f>
        <v/>
      </c>
      <c r="U1444">
        <f>IF(B1444="","",IF(J1444&lt;&gt;"",0,M1444))</f>
        <v/>
      </c>
    </row>
    <row r="1445">
      <c r="A1445" s="1" t="n"/>
      <c r="B1445" s="16" t="n"/>
      <c r="C1445" s="17" t="n"/>
      <c r="D1445" s="18" t="n"/>
      <c r="E1445" s="18" t="n"/>
      <c r="F1445" s="19" t="n"/>
      <c r="G1445" s="19" t="n"/>
      <c r="H1445" s="20" t="n"/>
      <c r="I1445" s="21" t="n"/>
      <c r="J1445" s="22" t="n"/>
      <c r="K1445" s="23" t="n"/>
      <c r="L1445" s="18" t="n"/>
      <c r="M1445" s="24">
        <f>IF(B1445="","",IF(AND(F1445&lt;&gt;"",G1445&lt;&gt;""),MAX(0,ROUND(MOD(G1445-F1445,1)*24-N(H1445)/60,2)),N(I1445)))</f>
        <v/>
      </c>
      <c r="N1445" s="14">
        <f>IF(B1445="","",IF(K1445&lt;&gt;"",K1445,IF(N(IFERROR(INDEX(Projects!$D$6:$D$65,MATCH(D1445,Projects!$B$6:$B$65,0)),""))&gt;0,IFERROR(INDEX(Projects!$D$6:$D$65,MATCH(D1445,Projects!$B$6:$B$65,0)),""),IFERROR(INDEX(Clients!$G$6:$G$45,MATCH(C1445,Clients!$B$6:$B$45,0)),0))))</f>
        <v/>
      </c>
      <c r="O1445" s="14">
        <f>IF(B1445="","",IF(J1445&lt;&gt;"",0,ROUND(M1445*N1445,2)))</f>
        <v/>
      </c>
      <c r="P1445" s="15">
        <f>IF(OR(B1445="",J1445&lt;&gt;""),"",IF(L1445&lt;&gt;"",L1445,IF(COUNTIFS(Invoices!$C$6:$C$305,C1445,Invoices!$E$6:$E$305,"&lt;="&amp;B1445,Invoices!$F$6:$F$305,"&gt;="&amp;B1445)=1,INDEX(Invoices!$B$6:$B$305,SUMIFS(Invoices!$O$6:$O$305,Invoices!$C$6:$C$305,C1445,Invoices!$E$6:$E$305,"&lt;="&amp;B1445,Invoices!$F$6:$F$305,"&gt;="&amp;B1445)),IF(COUNTIFS(Invoices!$C$6:$C$305,C1445,Invoices!$E$6:$E$305,"&lt;="&amp;B1445,Invoices!$F$6:$F$305,"&gt;="&amp;B1445)&gt;1,"Two invoices",""))))</f>
        <v/>
      </c>
      <c r="Q1445" s="15">
        <f>IF(B1445="","",IF(J1445&lt;&gt;"","Not billable",IF(P1445="","To invoice",IF(P1445="Two invoices","Check dates",IF(ISNA(MATCH(P1445,Invoices!$B$6:$B$305,0)),"Check number",IF(INDEX(Invoices!$M$6:$M$305,MATCH(P1445,Invoices!$B$6:$B$305,0))="Paid","Paid",IF(INDEX(Invoices!$M$6:$M$305,MATCH(P1445,Invoices!$B$6:$B$305,0))="Draft","Draft","Invoiced")))))))</f>
        <v/>
      </c>
      <c r="R1445" s="1">
        <f>IF(AND(B1445&lt;&gt;"",P1445&lt;&gt;"",P1445=Invoice!$G$4),B1445+MOD(N(F1445),1)+ROW()/10000000,"")</f>
        <v/>
      </c>
      <c r="S1445">
        <f>IF(R1445="","",IF(D1445="","Other work",D1445)&amp;IF(AND(K1445&lt;&gt;"",E1445&lt;&gt;""),", "&amp;E1445,""))</f>
        <v/>
      </c>
      <c r="T1445">
        <f>IF(R1445="","",IF(COUNTIFS(R$6:R1444,"&gt;0",S$6:S1444,S1445,N$6:N1444,N1445)=0,R1445,""))</f>
        <v/>
      </c>
      <c r="U1445">
        <f>IF(B1445="","",IF(J1445&lt;&gt;"",0,M1445))</f>
        <v/>
      </c>
    </row>
    <row r="1446">
      <c r="A1446" s="1" t="n"/>
      <c r="B1446" s="16" t="n"/>
      <c r="C1446" s="17" t="n"/>
      <c r="D1446" s="18" t="n"/>
      <c r="E1446" s="18" t="n"/>
      <c r="F1446" s="19" t="n"/>
      <c r="G1446" s="19" t="n"/>
      <c r="H1446" s="20" t="n"/>
      <c r="I1446" s="21" t="n"/>
      <c r="J1446" s="22" t="n"/>
      <c r="K1446" s="23" t="n"/>
      <c r="L1446" s="18" t="n"/>
      <c r="M1446" s="24">
        <f>IF(B1446="","",IF(AND(F1446&lt;&gt;"",G1446&lt;&gt;""),MAX(0,ROUND(MOD(G1446-F1446,1)*24-N(H1446)/60,2)),N(I1446)))</f>
        <v/>
      </c>
      <c r="N1446" s="14">
        <f>IF(B1446="","",IF(K1446&lt;&gt;"",K1446,IF(N(IFERROR(INDEX(Projects!$D$6:$D$65,MATCH(D1446,Projects!$B$6:$B$65,0)),""))&gt;0,IFERROR(INDEX(Projects!$D$6:$D$65,MATCH(D1446,Projects!$B$6:$B$65,0)),""),IFERROR(INDEX(Clients!$G$6:$G$45,MATCH(C1446,Clients!$B$6:$B$45,0)),0))))</f>
        <v/>
      </c>
      <c r="O1446" s="14">
        <f>IF(B1446="","",IF(J1446&lt;&gt;"",0,ROUND(M1446*N1446,2)))</f>
        <v/>
      </c>
      <c r="P1446" s="15">
        <f>IF(OR(B1446="",J1446&lt;&gt;""),"",IF(L1446&lt;&gt;"",L1446,IF(COUNTIFS(Invoices!$C$6:$C$305,C1446,Invoices!$E$6:$E$305,"&lt;="&amp;B1446,Invoices!$F$6:$F$305,"&gt;="&amp;B1446)=1,INDEX(Invoices!$B$6:$B$305,SUMIFS(Invoices!$O$6:$O$305,Invoices!$C$6:$C$305,C1446,Invoices!$E$6:$E$305,"&lt;="&amp;B1446,Invoices!$F$6:$F$305,"&gt;="&amp;B1446)),IF(COUNTIFS(Invoices!$C$6:$C$305,C1446,Invoices!$E$6:$E$305,"&lt;="&amp;B1446,Invoices!$F$6:$F$305,"&gt;="&amp;B1446)&gt;1,"Two invoices",""))))</f>
        <v/>
      </c>
      <c r="Q1446" s="15">
        <f>IF(B1446="","",IF(J1446&lt;&gt;"","Not billable",IF(P1446="","To invoice",IF(P1446="Two invoices","Check dates",IF(ISNA(MATCH(P1446,Invoices!$B$6:$B$305,0)),"Check number",IF(INDEX(Invoices!$M$6:$M$305,MATCH(P1446,Invoices!$B$6:$B$305,0))="Paid","Paid",IF(INDEX(Invoices!$M$6:$M$305,MATCH(P1446,Invoices!$B$6:$B$305,0))="Draft","Draft","Invoiced")))))))</f>
        <v/>
      </c>
      <c r="R1446" s="1">
        <f>IF(AND(B1446&lt;&gt;"",P1446&lt;&gt;"",P1446=Invoice!$G$4),B1446+MOD(N(F1446),1)+ROW()/10000000,"")</f>
        <v/>
      </c>
      <c r="S1446">
        <f>IF(R1446="","",IF(D1446="","Other work",D1446)&amp;IF(AND(K1446&lt;&gt;"",E1446&lt;&gt;""),", "&amp;E1446,""))</f>
        <v/>
      </c>
      <c r="T1446">
        <f>IF(R1446="","",IF(COUNTIFS(R$6:R1445,"&gt;0",S$6:S1445,S1446,N$6:N1445,N1446)=0,R1446,""))</f>
        <v/>
      </c>
      <c r="U1446">
        <f>IF(B1446="","",IF(J1446&lt;&gt;"",0,M1446))</f>
        <v/>
      </c>
    </row>
    <row r="1447">
      <c r="A1447" s="1" t="n"/>
      <c r="B1447" s="16" t="n"/>
      <c r="C1447" s="17" t="n"/>
      <c r="D1447" s="18" t="n"/>
      <c r="E1447" s="18" t="n"/>
      <c r="F1447" s="19" t="n"/>
      <c r="G1447" s="19" t="n"/>
      <c r="H1447" s="20" t="n"/>
      <c r="I1447" s="21" t="n"/>
      <c r="J1447" s="22" t="n"/>
      <c r="K1447" s="23" t="n"/>
      <c r="L1447" s="18" t="n"/>
      <c r="M1447" s="24">
        <f>IF(B1447="","",IF(AND(F1447&lt;&gt;"",G1447&lt;&gt;""),MAX(0,ROUND(MOD(G1447-F1447,1)*24-N(H1447)/60,2)),N(I1447)))</f>
        <v/>
      </c>
      <c r="N1447" s="14">
        <f>IF(B1447="","",IF(K1447&lt;&gt;"",K1447,IF(N(IFERROR(INDEX(Projects!$D$6:$D$65,MATCH(D1447,Projects!$B$6:$B$65,0)),""))&gt;0,IFERROR(INDEX(Projects!$D$6:$D$65,MATCH(D1447,Projects!$B$6:$B$65,0)),""),IFERROR(INDEX(Clients!$G$6:$G$45,MATCH(C1447,Clients!$B$6:$B$45,0)),0))))</f>
        <v/>
      </c>
      <c r="O1447" s="14">
        <f>IF(B1447="","",IF(J1447&lt;&gt;"",0,ROUND(M1447*N1447,2)))</f>
        <v/>
      </c>
      <c r="P1447" s="15">
        <f>IF(OR(B1447="",J1447&lt;&gt;""),"",IF(L1447&lt;&gt;"",L1447,IF(COUNTIFS(Invoices!$C$6:$C$305,C1447,Invoices!$E$6:$E$305,"&lt;="&amp;B1447,Invoices!$F$6:$F$305,"&gt;="&amp;B1447)=1,INDEX(Invoices!$B$6:$B$305,SUMIFS(Invoices!$O$6:$O$305,Invoices!$C$6:$C$305,C1447,Invoices!$E$6:$E$305,"&lt;="&amp;B1447,Invoices!$F$6:$F$305,"&gt;="&amp;B1447)),IF(COUNTIFS(Invoices!$C$6:$C$305,C1447,Invoices!$E$6:$E$305,"&lt;="&amp;B1447,Invoices!$F$6:$F$305,"&gt;="&amp;B1447)&gt;1,"Two invoices",""))))</f>
        <v/>
      </c>
      <c r="Q1447" s="15">
        <f>IF(B1447="","",IF(J1447&lt;&gt;"","Not billable",IF(P1447="","To invoice",IF(P1447="Two invoices","Check dates",IF(ISNA(MATCH(P1447,Invoices!$B$6:$B$305,0)),"Check number",IF(INDEX(Invoices!$M$6:$M$305,MATCH(P1447,Invoices!$B$6:$B$305,0))="Paid","Paid",IF(INDEX(Invoices!$M$6:$M$305,MATCH(P1447,Invoices!$B$6:$B$305,0))="Draft","Draft","Invoiced")))))))</f>
        <v/>
      </c>
      <c r="R1447" s="1">
        <f>IF(AND(B1447&lt;&gt;"",P1447&lt;&gt;"",P1447=Invoice!$G$4),B1447+MOD(N(F1447),1)+ROW()/10000000,"")</f>
        <v/>
      </c>
      <c r="S1447">
        <f>IF(R1447="","",IF(D1447="","Other work",D1447)&amp;IF(AND(K1447&lt;&gt;"",E1447&lt;&gt;""),", "&amp;E1447,""))</f>
        <v/>
      </c>
      <c r="T1447">
        <f>IF(R1447="","",IF(COUNTIFS(R$6:R1446,"&gt;0",S$6:S1446,S1447,N$6:N1446,N1447)=0,R1447,""))</f>
        <v/>
      </c>
      <c r="U1447">
        <f>IF(B1447="","",IF(J1447&lt;&gt;"",0,M1447))</f>
        <v/>
      </c>
    </row>
    <row r="1448">
      <c r="A1448" s="1" t="n"/>
      <c r="B1448" s="16" t="n"/>
      <c r="C1448" s="17" t="n"/>
      <c r="D1448" s="18" t="n"/>
      <c r="E1448" s="18" t="n"/>
      <c r="F1448" s="19" t="n"/>
      <c r="G1448" s="19" t="n"/>
      <c r="H1448" s="20" t="n"/>
      <c r="I1448" s="21" t="n"/>
      <c r="J1448" s="22" t="n"/>
      <c r="K1448" s="23" t="n"/>
      <c r="L1448" s="18" t="n"/>
      <c r="M1448" s="24">
        <f>IF(B1448="","",IF(AND(F1448&lt;&gt;"",G1448&lt;&gt;""),MAX(0,ROUND(MOD(G1448-F1448,1)*24-N(H1448)/60,2)),N(I1448)))</f>
        <v/>
      </c>
      <c r="N1448" s="14">
        <f>IF(B1448="","",IF(K1448&lt;&gt;"",K1448,IF(N(IFERROR(INDEX(Projects!$D$6:$D$65,MATCH(D1448,Projects!$B$6:$B$65,0)),""))&gt;0,IFERROR(INDEX(Projects!$D$6:$D$65,MATCH(D1448,Projects!$B$6:$B$65,0)),""),IFERROR(INDEX(Clients!$G$6:$G$45,MATCH(C1448,Clients!$B$6:$B$45,0)),0))))</f>
        <v/>
      </c>
      <c r="O1448" s="14">
        <f>IF(B1448="","",IF(J1448&lt;&gt;"",0,ROUND(M1448*N1448,2)))</f>
        <v/>
      </c>
      <c r="P1448" s="15">
        <f>IF(OR(B1448="",J1448&lt;&gt;""),"",IF(L1448&lt;&gt;"",L1448,IF(COUNTIFS(Invoices!$C$6:$C$305,C1448,Invoices!$E$6:$E$305,"&lt;="&amp;B1448,Invoices!$F$6:$F$305,"&gt;="&amp;B1448)=1,INDEX(Invoices!$B$6:$B$305,SUMIFS(Invoices!$O$6:$O$305,Invoices!$C$6:$C$305,C1448,Invoices!$E$6:$E$305,"&lt;="&amp;B1448,Invoices!$F$6:$F$305,"&gt;="&amp;B1448)),IF(COUNTIFS(Invoices!$C$6:$C$305,C1448,Invoices!$E$6:$E$305,"&lt;="&amp;B1448,Invoices!$F$6:$F$305,"&gt;="&amp;B1448)&gt;1,"Two invoices",""))))</f>
        <v/>
      </c>
      <c r="Q1448" s="15">
        <f>IF(B1448="","",IF(J1448&lt;&gt;"","Not billable",IF(P1448="","To invoice",IF(P1448="Two invoices","Check dates",IF(ISNA(MATCH(P1448,Invoices!$B$6:$B$305,0)),"Check number",IF(INDEX(Invoices!$M$6:$M$305,MATCH(P1448,Invoices!$B$6:$B$305,0))="Paid","Paid",IF(INDEX(Invoices!$M$6:$M$305,MATCH(P1448,Invoices!$B$6:$B$305,0))="Draft","Draft","Invoiced")))))))</f>
        <v/>
      </c>
      <c r="R1448" s="1">
        <f>IF(AND(B1448&lt;&gt;"",P1448&lt;&gt;"",P1448=Invoice!$G$4),B1448+MOD(N(F1448),1)+ROW()/10000000,"")</f>
        <v/>
      </c>
      <c r="S1448">
        <f>IF(R1448="","",IF(D1448="","Other work",D1448)&amp;IF(AND(K1448&lt;&gt;"",E1448&lt;&gt;""),", "&amp;E1448,""))</f>
        <v/>
      </c>
      <c r="T1448">
        <f>IF(R1448="","",IF(COUNTIFS(R$6:R1447,"&gt;0",S$6:S1447,S1448,N$6:N1447,N1448)=0,R1448,""))</f>
        <v/>
      </c>
      <c r="U1448">
        <f>IF(B1448="","",IF(J1448&lt;&gt;"",0,M1448))</f>
        <v/>
      </c>
    </row>
    <row r="1449">
      <c r="A1449" s="1" t="n"/>
      <c r="B1449" s="16" t="n"/>
      <c r="C1449" s="17" t="n"/>
      <c r="D1449" s="18" t="n"/>
      <c r="E1449" s="18" t="n"/>
      <c r="F1449" s="19" t="n"/>
      <c r="G1449" s="19" t="n"/>
      <c r="H1449" s="20" t="n"/>
      <c r="I1449" s="21" t="n"/>
      <c r="J1449" s="22" t="n"/>
      <c r="K1449" s="23" t="n"/>
      <c r="L1449" s="18" t="n"/>
      <c r="M1449" s="24">
        <f>IF(B1449="","",IF(AND(F1449&lt;&gt;"",G1449&lt;&gt;""),MAX(0,ROUND(MOD(G1449-F1449,1)*24-N(H1449)/60,2)),N(I1449)))</f>
        <v/>
      </c>
      <c r="N1449" s="14">
        <f>IF(B1449="","",IF(K1449&lt;&gt;"",K1449,IF(N(IFERROR(INDEX(Projects!$D$6:$D$65,MATCH(D1449,Projects!$B$6:$B$65,0)),""))&gt;0,IFERROR(INDEX(Projects!$D$6:$D$65,MATCH(D1449,Projects!$B$6:$B$65,0)),""),IFERROR(INDEX(Clients!$G$6:$G$45,MATCH(C1449,Clients!$B$6:$B$45,0)),0))))</f>
        <v/>
      </c>
      <c r="O1449" s="14">
        <f>IF(B1449="","",IF(J1449&lt;&gt;"",0,ROUND(M1449*N1449,2)))</f>
        <v/>
      </c>
      <c r="P1449" s="15">
        <f>IF(OR(B1449="",J1449&lt;&gt;""),"",IF(L1449&lt;&gt;"",L1449,IF(COUNTIFS(Invoices!$C$6:$C$305,C1449,Invoices!$E$6:$E$305,"&lt;="&amp;B1449,Invoices!$F$6:$F$305,"&gt;="&amp;B1449)=1,INDEX(Invoices!$B$6:$B$305,SUMIFS(Invoices!$O$6:$O$305,Invoices!$C$6:$C$305,C1449,Invoices!$E$6:$E$305,"&lt;="&amp;B1449,Invoices!$F$6:$F$305,"&gt;="&amp;B1449)),IF(COUNTIFS(Invoices!$C$6:$C$305,C1449,Invoices!$E$6:$E$305,"&lt;="&amp;B1449,Invoices!$F$6:$F$305,"&gt;="&amp;B1449)&gt;1,"Two invoices",""))))</f>
        <v/>
      </c>
      <c r="Q1449" s="15">
        <f>IF(B1449="","",IF(J1449&lt;&gt;"","Not billable",IF(P1449="","To invoice",IF(P1449="Two invoices","Check dates",IF(ISNA(MATCH(P1449,Invoices!$B$6:$B$305,0)),"Check number",IF(INDEX(Invoices!$M$6:$M$305,MATCH(P1449,Invoices!$B$6:$B$305,0))="Paid","Paid",IF(INDEX(Invoices!$M$6:$M$305,MATCH(P1449,Invoices!$B$6:$B$305,0))="Draft","Draft","Invoiced")))))))</f>
        <v/>
      </c>
      <c r="R1449" s="1">
        <f>IF(AND(B1449&lt;&gt;"",P1449&lt;&gt;"",P1449=Invoice!$G$4),B1449+MOD(N(F1449),1)+ROW()/10000000,"")</f>
        <v/>
      </c>
      <c r="S1449">
        <f>IF(R1449="","",IF(D1449="","Other work",D1449)&amp;IF(AND(K1449&lt;&gt;"",E1449&lt;&gt;""),", "&amp;E1449,""))</f>
        <v/>
      </c>
      <c r="T1449">
        <f>IF(R1449="","",IF(COUNTIFS(R$6:R1448,"&gt;0",S$6:S1448,S1449,N$6:N1448,N1449)=0,R1449,""))</f>
        <v/>
      </c>
      <c r="U1449">
        <f>IF(B1449="","",IF(J1449&lt;&gt;"",0,M1449))</f>
        <v/>
      </c>
    </row>
    <row r="1450">
      <c r="A1450" s="1" t="n"/>
      <c r="B1450" s="16" t="n"/>
      <c r="C1450" s="17" t="n"/>
      <c r="D1450" s="18" t="n"/>
      <c r="E1450" s="18" t="n"/>
      <c r="F1450" s="19" t="n"/>
      <c r="G1450" s="19" t="n"/>
      <c r="H1450" s="20" t="n"/>
      <c r="I1450" s="21" t="n"/>
      <c r="J1450" s="22" t="n"/>
      <c r="K1450" s="23" t="n"/>
      <c r="L1450" s="18" t="n"/>
      <c r="M1450" s="24">
        <f>IF(B1450="","",IF(AND(F1450&lt;&gt;"",G1450&lt;&gt;""),MAX(0,ROUND(MOD(G1450-F1450,1)*24-N(H1450)/60,2)),N(I1450)))</f>
        <v/>
      </c>
      <c r="N1450" s="14">
        <f>IF(B1450="","",IF(K1450&lt;&gt;"",K1450,IF(N(IFERROR(INDEX(Projects!$D$6:$D$65,MATCH(D1450,Projects!$B$6:$B$65,0)),""))&gt;0,IFERROR(INDEX(Projects!$D$6:$D$65,MATCH(D1450,Projects!$B$6:$B$65,0)),""),IFERROR(INDEX(Clients!$G$6:$G$45,MATCH(C1450,Clients!$B$6:$B$45,0)),0))))</f>
        <v/>
      </c>
      <c r="O1450" s="14">
        <f>IF(B1450="","",IF(J1450&lt;&gt;"",0,ROUND(M1450*N1450,2)))</f>
        <v/>
      </c>
      <c r="P1450" s="15">
        <f>IF(OR(B1450="",J1450&lt;&gt;""),"",IF(L1450&lt;&gt;"",L1450,IF(COUNTIFS(Invoices!$C$6:$C$305,C1450,Invoices!$E$6:$E$305,"&lt;="&amp;B1450,Invoices!$F$6:$F$305,"&gt;="&amp;B1450)=1,INDEX(Invoices!$B$6:$B$305,SUMIFS(Invoices!$O$6:$O$305,Invoices!$C$6:$C$305,C1450,Invoices!$E$6:$E$305,"&lt;="&amp;B1450,Invoices!$F$6:$F$305,"&gt;="&amp;B1450)),IF(COUNTIFS(Invoices!$C$6:$C$305,C1450,Invoices!$E$6:$E$305,"&lt;="&amp;B1450,Invoices!$F$6:$F$305,"&gt;="&amp;B1450)&gt;1,"Two invoices",""))))</f>
        <v/>
      </c>
      <c r="Q1450" s="15">
        <f>IF(B1450="","",IF(J1450&lt;&gt;"","Not billable",IF(P1450="","To invoice",IF(P1450="Two invoices","Check dates",IF(ISNA(MATCH(P1450,Invoices!$B$6:$B$305,0)),"Check number",IF(INDEX(Invoices!$M$6:$M$305,MATCH(P1450,Invoices!$B$6:$B$305,0))="Paid","Paid",IF(INDEX(Invoices!$M$6:$M$305,MATCH(P1450,Invoices!$B$6:$B$305,0))="Draft","Draft","Invoiced")))))))</f>
        <v/>
      </c>
      <c r="R1450" s="1">
        <f>IF(AND(B1450&lt;&gt;"",P1450&lt;&gt;"",P1450=Invoice!$G$4),B1450+MOD(N(F1450),1)+ROW()/10000000,"")</f>
        <v/>
      </c>
      <c r="S1450">
        <f>IF(R1450="","",IF(D1450="","Other work",D1450)&amp;IF(AND(K1450&lt;&gt;"",E1450&lt;&gt;""),", "&amp;E1450,""))</f>
        <v/>
      </c>
      <c r="T1450">
        <f>IF(R1450="","",IF(COUNTIFS(R$6:R1449,"&gt;0",S$6:S1449,S1450,N$6:N1449,N1450)=0,R1450,""))</f>
        <v/>
      </c>
      <c r="U1450">
        <f>IF(B1450="","",IF(J1450&lt;&gt;"",0,M1450))</f>
        <v/>
      </c>
    </row>
    <row r="1451">
      <c r="A1451" s="1" t="n"/>
      <c r="B1451" s="16" t="n"/>
      <c r="C1451" s="17" t="n"/>
      <c r="D1451" s="18" t="n"/>
      <c r="E1451" s="18" t="n"/>
      <c r="F1451" s="19" t="n"/>
      <c r="G1451" s="19" t="n"/>
      <c r="H1451" s="20" t="n"/>
      <c r="I1451" s="21" t="n"/>
      <c r="J1451" s="22" t="n"/>
      <c r="K1451" s="23" t="n"/>
      <c r="L1451" s="18" t="n"/>
      <c r="M1451" s="24">
        <f>IF(B1451="","",IF(AND(F1451&lt;&gt;"",G1451&lt;&gt;""),MAX(0,ROUND(MOD(G1451-F1451,1)*24-N(H1451)/60,2)),N(I1451)))</f>
        <v/>
      </c>
      <c r="N1451" s="14">
        <f>IF(B1451="","",IF(K1451&lt;&gt;"",K1451,IF(N(IFERROR(INDEX(Projects!$D$6:$D$65,MATCH(D1451,Projects!$B$6:$B$65,0)),""))&gt;0,IFERROR(INDEX(Projects!$D$6:$D$65,MATCH(D1451,Projects!$B$6:$B$65,0)),""),IFERROR(INDEX(Clients!$G$6:$G$45,MATCH(C1451,Clients!$B$6:$B$45,0)),0))))</f>
        <v/>
      </c>
      <c r="O1451" s="14">
        <f>IF(B1451="","",IF(J1451&lt;&gt;"",0,ROUND(M1451*N1451,2)))</f>
        <v/>
      </c>
      <c r="P1451" s="15">
        <f>IF(OR(B1451="",J1451&lt;&gt;""),"",IF(L1451&lt;&gt;"",L1451,IF(COUNTIFS(Invoices!$C$6:$C$305,C1451,Invoices!$E$6:$E$305,"&lt;="&amp;B1451,Invoices!$F$6:$F$305,"&gt;="&amp;B1451)=1,INDEX(Invoices!$B$6:$B$305,SUMIFS(Invoices!$O$6:$O$305,Invoices!$C$6:$C$305,C1451,Invoices!$E$6:$E$305,"&lt;="&amp;B1451,Invoices!$F$6:$F$305,"&gt;="&amp;B1451)),IF(COUNTIFS(Invoices!$C$6:$C$305,C1451,Invoices!$E$6:$E$305,"&lt;="&amp;B1451,Invoices!$F$6:$F$305,"&gt;="&amp;B1451)&gt;1,"Two invoices",""))))</f>
        <v/>
      </c>
      <c r="Q1451" s="15">
        <f>IF(B1451="","",IF(J1451&lt;&gt;"","Not billable",IF(P1451="","To invoice",IF(P1451="Two invoices","Check dates",IF(ISNA(MATCH(P1451,Invoices!$B$6:$B$305,0)),"Check number",IF(INDEX(Invoices!$M$6:$M$305,MATCH(P1451,Invoices!$B$6:$B$305,0))="Paid","Paid",IF(INDEX(Invoices!$M$6:$M$305,MATCH(P1451,Invoices!$B$6:$B$305,0))="Draft","Draft","Invoiced")))))))</f>
        <v/>
      </c>
      <c r="R1451" s="1">
        <f>IF(AND(B1451&lt;&gt;"",P1451&lt;&gt;"",P1451=Invoice!$G$4),B1451+MOD(N(F1451),1)+ROW()/10000000,"")</f>
        <v/>
      </c>
      <c r="S1451">
        <f>IF(R1451="","",IF(D1451="","Other work",D1451)&amp;IF(AND(K1451&lt;&gt;"",E1451&lt;&gt;""),", "&amp;E1451,""))</f>
        <v/>
      </c>
      <c r="T1451">
        <f>IF(R1451="","",IF(COUNTIFS(R$6:R1450,"&gt;0",S$6:S1450,S1451,N$6:N1450,N1451)=0,R1451,""))</f>
        <v/>
      </c>
      <c r="U1451">
        <f>IF(B1451="","",IF(J1451&lt;&gt;"",0,M1451))</f>
        <v/>
      </c>
    </row>
    <row r="1452">
      <c r="A1452" s="1" t="n"/>
      <c r="B1452" s="16" t="n"/>
      <c r="C1452" s="17" t="n"/>
      <c r="D1452" s="18" t="n"/>
      <c r="E1452" s="18" t="n"/>
      <c r="F1452" s="19" t="n"/>
      <c r="G1452" s="19" t="n"/>
      <c r="H1452" s="20" t="n"/>
      <c r="I1452" s="21" t="n"/>
      <c r="J1452" s="22" t="n"/>
      <c r="K1452" s="23" t="n"/>
      <c r="L1452" s="18" t="n"/>
      <c r="M1452" s="24">
        <f>IF(B1452="","",IF(AND(F1452&lt;&gt;"",G1452&lt;&gt;""),MAX(0,ROUND(MOD(G1452-F1452,1)*24-N(H1452)/60,2)),N(I1452)))</f>
        <v/>
      </c>
      <c r="N1452" s="14">
        <f>IF(B1452="","",IF(K1452&lt;&gt;"",K1452,IF(N(IFERROR(INDEX(Projects!$D$6:$D$65,MATCH(D1452,Projects!$B$6:$B$65,0)),""))&gt;0,IFERROR(INDEX(Projects!$D$6:$D$65,MATCH(D1452,Projects!$B$6:$B$65,0)),""),IFERROR(INDEX(Clients!$G$6:$G$45,MATCH(C1452,Clients!$B$6:$B$45,0)),0))))</f>
        <v/>
      </c>
      <c r="O1452" s="14">
        <f>IF(B1452="","",IF(J1452&lt;&gt;"",0,ROUND(M1452*N1452,2)))</f>
        <v/>
      </c>
      <c r="P1452" s="15">
        <f>IF(OR(B1452="",J1452&lt;&gt;""),"",IF(L1452&lt;&gt;"",L1452,IF(COUNTIFS(Invoices!$C$6:$C$305,C1452,Invoices!$E$6:$E$305,"&lt;="&amp;B1452,Invoices!$F$6:$F$305,"&gt;="&amp;B1452)=1,INDEX(Invoices!$B$6:$B$305,SUMIFS(Invoices!$O$6:$O$305,Invoices!$C$6:$C$305,C1452,Invoices!$E$6:$E$305,"&lt;="&amp;B1452,Invoices!$F$6:$F$305,"&gt;="&amp;B1452)),IF(COUNTIFS(Invoices!$C$6:$C$305,C1452,Invoices!$E$6:$E$305,"&lt;="&amp;B1452,Invoices!$F$6:$F$305,"&gt;="&amp;B1452)&gt;1,"Two invoices",""))))</f>
        <v/>
      </c>
      <c r="Q1452" s="15">
        <f>IF(B1452="","",IF(J1452&lt;&gt;"","Not billable",IF(P1452="","To invoice",IF(P1452="Two invoices","Check dates",IF(ISNA(MATCH(P1452,Invoices!$B$6:$B$305,0)),"Check number",IF(INDEX(Invoices!$M$6:$M$305,MATCH(P1452,Invoices!$B$6:$B$305,0))="Paid","Paid",IF(INDEX(Invoices!$M$6:$M$305,MATCH(P1452,Invoices!$B$6:$B$305,0))="Draft","Draft","Invoiced")))))))</f>
        <v/>
      </c>
      <c r="R1452" s="1">
        <f>IF(AND(B1452&lt;&gt;"",P1452&lt;&gt;"",P1452=Invoice!$G$4),B1452+MOD(N(F1452),1)+ROW()/10000000,"")</f>
        <v/>
      </c>
      <c r="S1452">
        <f>IF(R1452="","",IF(D1452="","Other work",D1452)&amp;IF(AND(K1452&lt;&gt;"",E1452&lt;&gt;""),", "&amp;E1452,""))</f>
        <v/>
      </c>
      <c r="T1452">
        <f>IF(R1452="","",IF(COUNTIFS(R$6:R1451,"&gt;0",S$6:S1451,S1452,N$6:N1451,N1452)=0,R1452,""))</f>
        <v/>
      </c>
      <c r="U1452">
        <f>IF(B1452="","",IF(J1452&lt;&gt;"",0,M1452))</f>
        <v/>
      </c>
    </row>
    <row r="1453">
      <c r="A1453" s="1" t="n"/>
      <c r="B1453" s="16" t="n"/>
      <c r="C1453" s="17" t="n"/>
      <c r="D1453" s="18" t="n"/>
      <c r="E1453" s="18" t="n"/>
      <c r="F1453" s="19" t="n"/>
      <c r="G1453" s="19" t="n"/>
      <c r="H1453" s="20" t="n"/>
      <c r="I1453" s="21" t="n"/>
      <c r="J1453" s="22" t="n"/>
      <c r="K1453" s="23" t="n"/>
      <c r="L1453" s="18" t="n"/>
      <c r="M1453" s="24">
        <f>IF(B1453="","",IF(AND(F1453&lt;&gt;"",G1453&lt;&gt;""),MAX(0,ROUND(MOD(G1453-F1453,1)*24-N(H1453)/60,2)),N(I1453)))</f>
        <v/>
      </c>
      <c r="N1453" s="14">
        <f>IF(B1453="","",IF(K1453&lt;&gt;"",K1453,IF(N(IFERROR(INDEX(Projects!$D$6:$D$65,MATCH(D1453,Projects!$B$6:$B$65,0)),""))&gt;0,IFERROR(INDEX(Projects!$D$6:$D$65,MATCH(D1453,Projects!$B$6:$B$65,0)),""),IFERROR(INDEX(Clients!$G$6:$G$45,MATCH(C1453,Clients!$B$6:$B$45,0)),0))))</f>
        <v/>
      </c>
      <c r="O1453" s="14">
        <f>IF(B1453="","",IF(J1453&lt;&gt;"",0,ROUND(M1453*N1453,2)))</f>
        <v/>
      </c>
      <c r="P1453" s="15">
        <f>IF(OR(B1453="",J1453&lt;&gt;""),"",IF(L1453&lt;&gt;"",L1453,IF(COUNTIFS(Invoices!$C$6:$C$305,C1453,Invoices!$E$6:$E$305,"&lt;="&amp;B1453,Invoices!$F$6:$F$305,"&gt;="&amp;B1453)=1,INDEX(Invoices!$B$6:$B$305,SUMIFS(Invoices!$O$6:$O$305,Invoices!$C$6:$C$305,C1453,Invoices!$E$6:$E$305,"&lt;="&amp;B1453,Invoices!$F$6:$F$305,"&gt;="&amp;B1453)),IF(COUNTIFS(Invoices!$C$6:$C$305,C1453,Invoices!$E$6:$E$305,"&lt;="&amp;B1453,Invoices!$F$6:$F$305,"&gt;="&amp;B1453)&gt;1,"Two invoices",""))))</f>
        <v/>
      </c>
      <c r="Q1453" s="15">
        <f>IF(B1453="","",IF(J1453&lt;&gt;"","Not billable",IF(P1453="","To invoice",IF(P1453="Two invoices","Check dates",IF(ISNA(MATCH(P1453,Invoices!$B$6:$B$305,0)),"Check number",IF(INDEX(Invoices!$M$6:$M$305,MATCH(P1453,Invoices!$B$6:$B$305,0))="Paid","Paid",IF(INDEX(Invoices!$M$6:$M$305,MATCH(P1453,Invoices!$B$6:$B$305,0))="Draft","Draft","Invoiced")))))))</f>
        <v/>
      </c>
      <c r="R1453" s="1">
        <f>IF(AND(B1453&lt;&gt;"",P1453&lt;&gt;"",P1453=Invoice!$G$4),B1453+MOD(N(F1453),1)+ROW()/10000000,"")</f>
        <v/>
      </c>
      <c r="S1453">
        <f>IF(R1453="","",IF(D1453="","Other work",D1453)&amp;IF(AND(K1453&lt;&gt;"",E1453&lt;&gt;""),", "&amp;E1453,""))</f>
        <v/>
      </c>
      <c r="T1453">
        <f>IF(R1453="","",IF(COUNTIFS(R$6:R1452,"&gt;0",S$6:S1452,S1453,N$6:N1452,N1453)=0,R1453,""))</f>
        <v/>
      </c>
      <c r="U1453">
        <f>IF(B1453="","",IF(J1453&lt;&gt;"",0,M1453))</f>
        <v/>
      </c>
    </row>
    <row r="1454">
      <c r="A1454" s="1" t="n"/>
      <c r="B1454" s="16" t="n"/>
      <c r="C1454" s="17" t="n"/>
      <c r="D1454" s="18" t="n"/>
      <c r="E1454" s="18" t="n"/>
      <c r="F1454" s="19" t="n"/>
      <c r="G1454" s="19" t="n"/>
      <c r="H1454" s="20" t="n"/>
      <c r="I1454" s="21" t="n"/>
      <c r="J1454" s="22" t="n"/>
      <c r="K1454" s="23" t="n"/>
      <c r="L1454" s="18" t="n"/>
      <c r="M1454" s="24">
        <f>IF(B1454="","",IF(AND(F1454&lt;&gt;"",G1454&lt;&gt;""),MAX(0,ROUND(MOD(G1454-F1454,1)*24-N(H1454)/60,2)),N(I1454)))</f>
        <v/>
      </c>
      <c r="N1454" s="14">
        <f>IF(B1454="","",IF(K1454&lt;&gt;"",K1454,IF(N(IFERROR(INDEX(Projects!$D$6:$D$65,MATCH(D1454,Projects!$B$6:$B$65,0)),""))&gt;0,IFERROR(INDEX(Projects!$D$6:$D$65,MATCH(D1454,Projects!$B$6:$B$65,0)),""),IFERROR(INDEX(Clients!$G$6:$G$45,MATCH(C1454,Clients!$B$6:$B$45,0)),0))))</f>
        <v/>
      </c>
      <c r="O1454" s="14">
        <f>IF(B1454="","",IF(J1454&lt;&gt;"",0,ROUND(M1454*N1454,2)))</f>
        <v/>
      </c>
      <c r="P1454" s="15">
        <f>IF(OR(B1454="",J1454&lt;&gt;""),"",IF(L1454&lt;&gt;"",L1454,IF(COUNTIFS(Invoices!$C$6:$C$305,C1454,Invoices!$E$6:$E$305,"&lt;="&amp;B1454,Invoices!$F$6:$F$305,"&gt;="&amp;B1454)=1,INDEX(Invoices!$B$6:$B$305,SUMIFS(Invoices!$O$6:$O$305,Invoices!$C$6:$C$305,C1454,Invoices!$E$6:$E$305,"&lt;="&amp;B1454,Invoices!$F$6:$F$305,"&gt;="&amp;B1454)),IF(COUNTIFS(Invoices!$C$6:$C$305,C1454,Invoices!$E$6:$E$305,"&lt;="&amp;B1454,Invoices!$F$6:$F$305,"&gt;="&amp;B1454)&gt;1,"Two invoices",""))))</f>
        <v/>
      </c>
      <c r="Q1454" s="15">
        <f>IF(B1454="","",IF(J1454&lt;&gt;"","Not billable",IF(P1454="","To invoice",IF(P1454="Two invoices","Check dates",IF(ISNA(MATCH(P1454,Invoices!$B$6:$B$305,0)),"Check number",IF(INDEX(Invoices!$M$6:$M$305,MATCH(P1454,Invoices!$B$6:$B$305,0))="Paid","Paid",IF(INDEX(Invoices!$M$6:$M$305,MATCH(P1454,Invoices!$B$6:$B$305,0))="Draft","Draft","Invoiced")))))))</f>
        <v/>
      </c>
      <c r="R1454" s="1">
        <f>IF(AND(B1454&lt;&gt;"",P1454&lt;&gt;"",P1454=Invoice!$G$4),B1454+MOD(N(F1454),1)+ROW()/10000000,"")</f>
        <v/>
      </c>
      <c r="S1454">
        <f>IF(R1454="","",IF(D1454="","Other work",D1454)&amp;IF(AND(K1454&lt;&gt;"",E1454&lt;&gt;""),", "&amp;E1454,""))</f>
        <v/>
      </c>
      <c r="T1454">
        <f>IF(R1454="","",IF(COUNTIFS(R$6:R1453,"&gt;0",S$6:S1453,S1454,N$6:N1453,N1454)=0,R1454,""))</f>
        <v/>
      </c>
      <c r="U1454">
        <f>IF(B1454="","",IF(J1454&lt;&gt;"",0,M1454))</f>
        <v/>
      </c>
    </row>
    <row r="1455">
      <c r="A1455" s="1" t="n"/>
      <c r="B1455" s="16" t="n"/>
      <c r="C1455" s="17" t="n"/>
      <c r="D1455" s="18" t="n"/>
      <c r="E1455" s="18" t="n"/>
      <c r="F1455" s="19" t="n"/>
      <c r="G1455" s="19" t="n"/>
      <c r="H1455" s="20" t="n"/>
      <c r="I1455" s="21" t="n"/>
      <c r="J1455" s="22" t="n"/>
      <c r="K1455" s="23" t="n"/>
      <c r="L1455" s="18" t="n"/>
      <c r="M1455" s="24">
        <f>IF(B1455="","",IF(AND(F1455&lt;&gt;"",G1455&lt;&gt;""),MAX(0,ROUND(MOD(G1455-F1455,1)*24-N(H1455)/60,2)),N(I1455)))</f>
        <v/>
      </c>
      <c r="N1455" s="14">
        <f>IF(B1455="","",IF(K1455&lt;&gt;"",K1455,IF(N(IFERROR(INDEX(Projects!$D$6:$D$65,MATCH(D1455,Projects!$B$6:$B$65,0)),""))&gt;0,IFERROR(INDEX(Projects!$D$6:$D$65,MATCH(D1455,Projects!$B$6:$B$65,0)),""),IFERROR(INDEX(Clients!$G$6:$G$45,MATCH(C1455,Clients!$B$6:$B$45,0)),0))))</f>
        <v/>
      </c>
      <c r="O1455" s="14">
        <f>IF(B1455="","",IF(J1455&lt;&gt;"",0,ROUND(M1455*N1455,2)))</f>
        <v/>
      </c>
      <c r="P1455" s="15">
        <f>IF(OR(B1455="",J1455&lt;&gt;""),"",IF(L1455&lt;&gt;"",L1455,IF(COUNTIFS(Invoices!$C$6:$C$305,C1455,Invoices!$E$6:$E$305,"&lt;="&amp;B1455,Invoices!$F$6:$F$305,"&gt;="&amp;B1455)=1,INDEX(Invoices!$B$6:$B$305,SUMIFS(Invoices!$O$6:$O$305,Invoices!$C$6:$C$305,C1455,Invoices!$E$6:$E$305,"&lt;="&amp;B1455,Invoices!$F$6:$F$305,"&gt;="&amp;B1455)),IF(COUNTIFS(Invoices!$C$6:$C$305,C1455,Invoices!$E$6:$E$305,"&lt;="&amp;B1455,Invoices!$F$6:$F$305,"&gt;="&amp;B1455)&gt;1,"Two invoices",""))))</f>
        <v/>
      </c>
      <c r="Q1455" s="15">
        <f>IF(B1455="","",IF(J1455&lt;&gt;"","Not billable",IF(P1455="","To invoice",IF(P1455="Two invoices","Check dates",IF(ISNA(MATCH(P1455,Invoices!$B$6:$B$305,0)),"Check number",IF(INDEX(Invoices!$M$6:$M$305,MATCH(P1455,Invoices!$B$6:$B$305,0))="Paid","Paid",IF(INDEX(Invoices!$M$6:$M$305,MATCH(P1455,Invoices!$B$6:$B$305,0))="Draft","Draft","Invoiced")))))))</f>
        <v/>
      </c>
      <c r="R1455" s="1">
        <f>IF(AND(B1455&lt;&gt;"",P1455&lt;&gt;"",P1455=Invoice!$G$4),B1455+MOD(N(F1455),1)+ROW()/10000000,"")</f>
        <v/>
      </c>
      <c r="S1455">
        <f>IF(R1455="","",IF(D1455="","Other work",D1455)&amp;IF(AND(K1455&lt;&gt;"",E1455&lt;&gt;""),", "&amp;E1455,""))</f>
        <v/>
      </c>
      <c r="T1455">
        <f>IF(R1455="","",IF(COUNTIFS(R$6:R1454,"&gt;0",S$6:S1454,S1455,N$6:N1454,N1455)=0,R1455,""))</f>
        <v/>
      </c>
      <c r="U1455">
        <f>IF(B1455="","",IF(J1455&lt;&gt;"",0,M1455))</f>
        <v/>
      </c>
    </row>
    <row r="1456">
      <c r="A1456" s="1" t="n"/>
      <c r="B1456" s="16" t="n"/>
      <c r="C1456" s="17" t="n"/>
      <c r="D1456" s="18" t="n"/>
      <c r="E1456" s="18" t="n"/>
      <c r="F1456" s="19" t="n"/>
      <c r="G1456" s="19" t="n"/>
      <c r="H1456" s="20" t="n"/>
      <c r="I1456" s="21" t="n"/>
      <c r="J1456" s="22" t="n"/>
      <c r="K1456" s="23" t="n"/>
      <c r="L1456" s="18" t="n"/>
      <c r="M1456" s="24">
        <f>IF(B1456="","",IF(AND(F1456&lt;&gt;"",G1456&lt;&gt;""),MAX(0,ROUND(MOD(G1456-F1456,1)*24-N(H1456)/60,2)),N(I1456)))</f>
        <v/>
      </c>
      <c r="N1456" s="14">
        <f>IF(B1456="","",IF(K1456&lt;&gt;"",K1456,IF(N(IFERROR(INDEX(Projects!$D$6:$D$65,MATCH(D1456,Projects!$B$6:$B$65,0)),""))&gt;0,IFERROR(INDEX(Projects!$D$6:$D$65,MATCH(D1456,Projects!$B$6:$B$65,0)),""),IFERROR(INDEX(Clients!$G$6:$G$45,MATCH(C1456,Clients!$B$6:$B$45,0)),0))))</f>
        <v/>
      </c>
      <c r="O1456" s="14">
        <f>IF(B1456="","",IF(J1456&lt;&gt;"",0,ROUND(M1456*N1456,2)))</f>
        <v/>
      </c>
      <c r="P1456" s="15">
        <f>IF(OR(B1456="",J1456&lt;&gt;""),"",IF(L1456&lt;&gt;"",L1456,IF(COUNTIFS(Invoices!$C$6:$C$305,C1456,Invoices!$E$6:$E$305,"&lt;="&amp;B1456,Invoices!$F$6:$F$305,"&gt;="&amp;B1456)=1,INDEX(Invoices!$B$6:$B$305,SUMIFS(Invoices!$O$6:$O$305,Invoices!$C$6:$C$305,C1456,Invoices!$E$6:$E$305,"&lt;="&amp;B1456,Invoices!$F$6:$F$305,"&gt;="&amp;B1456)),IF(COUNTIFS(Invoices!$C$6:$C$305,C1456,Invoices!$E$6:$E$305,"&lt;="&amp;B1456,Invoices!$F$6:$F$305,"&gt;="&amp;B1456)&gt;1,"Two invoices",""))))</f>
        <v/>
      </c>
      <c r="Q1456" s="15">
        <f>IF(B1456="","",IF(J1456&lt;&gt;"","Not billable",IF(P1456="","To invoice",IF(P1456="Two invoices","Check dates",IF(ISNA(MATCH(P1456,Invoices!$B$6:$B$305,0)),"Check number",IF(INDEX(Invoices!$M$6:$M$305,MATCH(P1456,Invoices!$B$6:$B$305,0))="Paid","Paid",IF(INDEX(Invoices!$M$6:$M$305,MATCH(P1456,Invoices!$B$6:$B$305,0))="Draft","Draft","Invoiced")))))))</f>
        <v/>
      </c>
      <c r="R1456" s="1">
        <f>IF(AND(B1456&lt;&gt;"",P1456&lt;&gt;"",P1456=Invoice!$G$4),B1456+MOD(N(F1456),1)+ROW()/10000000,"")</f>
        <v/>
      </c>
      <c r="S1456">
        <f>IF(R1456="","",IF(D1456="","Other work",D1456)&amp;IF(AND(K1456&lt;&gt;"",E1456&lt;&gt;""),", "&amp;E1456,""))</f>
        <v/>
      </c>
      <c r="T1456">
        <f>IF(R1456="","",IF(COUNTIFS(R$6:R1455,"&gt;0",S$6:S1455,S1456,N$6:N1455,N1456)=0,R1456,""))</f>
        <v/>
      </c>
      <c r="U1456">
        <f>IF(B1456="","",IF(J1456&lt;&gt;"",0,M1456))</f>
        <v/>
      </c>
    </row>
    <row r="1457">
      <c r="A1457" s="1" t="n"/>
      <c r="B1457" s="16" t="n"/>
      <c r="C1457" s="17" t="n"/>
      <c r="D1457" s="18" t="n"/>
      <c r="E1457" s="18" t="n"/>
      <c r="F1457" s="19" t="n"/>
      <c r="G1457" s="19" t="n"/>
      <c r="H1457" s="20" t="n"/>
      <c r="I1457" s="21" t="n"/>
      <c r="J1457" s="22" t="n"/>
      <c r="K1457" s="23" t="n"/>
      <c r="L1457" s="18" t="n"/>
      <c r="M1457" s="24">
        <f>IF(B1457="","",IF(AND(F1457&lt;&gt;"",G1457&lt;&gt;""),MAX(0,ROUND(MOD(G1457-F1457,1)*24-N(H1457)/60,2)),N(I1457)))</f>
        <v/>
      </c>
      <c r="N1457" s="14">
        <f>IF(B1457="","",IF(K1457&lt;&gt;"",K1457,IF(N(IFERROR(INDEX(Projects!$D$6:$D$65,MATCH(D1457,Projects!$B$6:$B$65,0)),""))&gt;0,IFERROR(INDEX(Projects!$D$6:$D$65,MATCH(D1457,Projects!$B$6:$B$65,0)),""),IFERROR(INDEX(Clients!$G$6:$G$45,MATCH(C1457,Clients!$B$6:$B$45,0)),0))))</f>
        <v/>
      </c>
      <c r="O1457" s="14">
        <f>IF(B1457="","",IF(J1457&lt;&gt;"",0,ROUND(M1457*N1457,2)))</f>
        <v/>
      </c>
      <c r="P1457" s="15">
        <f>IF(OR(B1457="",J1457&lt;&gt;""),"",IF(L1457&lt;&gt;"",L1457,IF(COUNTIFS(Invoices!$C$6:$C$305,C1457,Invoices!$E$6:$E$305,"&lt;="&amp;B1457,Invoices!$F$6:$F$305,"&gt;="&amp;B1457)=1,INDEX(Invoices!$B$6:$B$305,SUMIFS(Invoices!$O$6:$O$305,Invoices!$C$6:$C$305,C1457,Invoices!$E$6:$E$305,"&lt;="&amp;B1457,Invoices!$F$6:$F$305,"&gt;="&amp;B1457)),IF(COUNTIFS(Invoices!$C$6:$C$305,C1457,Invoices!$E$6:$E$305,"&lt;="&amp;B1457,Invoices!$F$6:$F$305,"&gt;="&amp;B1457)&gt;1,"Two invoices",""))))</f>
        <v/>
      </c>
      <c r="Q1457" s="15">
        <f>IF(B1457="","",IF(J1457&lt;&gt;"","Not billable",IF(P1457="","To invoice",IF(P1457="Two invoices","Check dates",IF(ISNA(MATCH(P1457,Invoices!$B$6:$B$305,0)),"Check number",IF(INDEX(Invoices!$M$6:$M$305,MATCH(P1457,Invoices!$B$6:$B$305,0))="Paid","Paid",IF(INDEX(Invoices!$M$6:$M$305,MATCH(P1457,Invoices!$B$6:$B$305,0))="Draft","Draft","Invoiced")))))))</f>
        <v/>
      </c>
      <c r="R1457" s="1">
        <f>IF(AND(B1457&lt;&gt;"",P1457&lt;&gt;"",P1457=Invoice!$G$4),B1457+MOD(N(F1457),1)+ROW()/10000000,"")</f>
        <v/>
      </c>
      <c r="S1457">
        <f>IF(R1457="","",IF(D1457="","Other work",D1457)&amp;IF(AND(K1457&lt;&gt;"",E1457&lt;&gt;""),", "&amp;E1457,""))</f>
        <v/>
      </c>
      <c r="T1457">
        <f>IF(R1457="","",IF(COUNTIFS(R$6:R1456,"&gt;0",S$6:S1456,S1457,N$6:N1456,N1457)=0,R1457,""))</f>
        <v/>
      </c>
      <c r="U1457">
        <f>IF(B1457="","",IF(J1457&lt;&gt;"",0,M1457))</f>
        <v/>
      </c>
    </row>
    <row r="1458">
      <c r="A1458" s="1" t="n"/>
      <c r="B1458" s="16" t="n"/>
      <c r="C1458" s="17" t="n"/>
      <c r="D1458" s="18" t="n"/>
      <c r="E1458" s="18" t="n"/>
      <c r="F1458" s="19" t="n"/>
      <c r="G1458" s="19" t="n"/>
      <c r="H1458" s="20" t="n"/>
      <c r="I1458" s="21" t="n"/>
      <c r="J1458" s="22" t="n"/>
      <c r="K1458" s="23" t="n"/>
      <c r="L1458" s="18" t="n"/>
      <c r="M1458" s="24">
        <f>IF(B1458="","",IF(AND(F1458&lt;&gt;"",G1458&lt;&gt;""),MAX(0,ROUND(MOD(G1458-F1458,1)*24-N(H1458)/60,2)),N(I1458)))</f>
        <v/>
      </c>
      <c r="N1458" s="14">
        <f>IF(B1458="","",IF(K1458&lt;&gt;"",K1458,IF(N(IFERROR(INDEX(Projects!$D$6:$D$65,MATCH(D1458,Projects!$B$6:$B$65,0)),""))&gt;0,IFERROR(INDEX(Projects!$D$6:$D$65,MATCH(D1458,Projects!$B$6:$B$65,0)),""),IFERROR(INDEX(Clients!$G$6:$G$45,MATCH(C1458,Clients!$B$6:$B$45,0)),0))))</f>
        <v/>
      </c>
      <c r="O1458" s="14">
        <f>IF(B1458="","",IF(J1458&lt;&gt;"",0,ROUND(M1458*N1458,2)))</f>
        <v/>
      </c>
      <c r="P1458" s="15">
        <f>IF(OR(B1458="",J1458&lt;&gt;""),"",IF(L1458&lt;&gt;"",L1458,IF(COUNTIFS(Invoices!$C$6:$C$305,C1458,Invoices!$E$6:$E$305,"&lt;="&amp;B1458,Invoices!$F$6:$F$305,"&gt;="&amp;B1458)=1,INDEX(Invoices!$B$6:$B$305,SUMIFS(Invoices!$O$6:$O$305,Invoices!$C$6:$C$305,C1458,Invoices!$E$6:$E$305,"&lt;="&amp;B1458,Invoices!$F$6:$F$305,"&gt;="&amp;B1458)),IF(COUNTIFS(Invoices!$C$6:$C$305,C1458,Invoices!$E$6:$E$305,"&lt;="&amp;B1458,Invoices!$F$6:$F$305,"&gt;="&amp;B1458)&gt;1,"Two invoices",""))))</f>
        <v/>
      </c>
      <c r="Q1458" s="15">
        <f>IF(B1458="","",IF(J1458&lt;&gt;"","Not billable",IF(P1458="","To invoice",IF(P1458="Two invoices","Check dates",IF(ISNA(MATCH(P1458,Invoices!$B$6:$B$305,0)),"Check number",IF(INDEX(Invoices!$M$6:$M$305,MATCH(P1458,Invoices!$B$6:$B$305,0))="Paid","Paid",IF(INDEX(Invoices!$M$6:$M$305,MATCH(P1458,Invoices!$B$6:$B$305,0))="Draft","Draft","Invoiced")))))))</f>
        <v/>
      </c>
      <c r="R1458" s="1">
        <f>IF(AND(B1458&lt;&gt;"",P1458&lt;&gt;"",P1458=Invoice!$G$4),B1458+MOD(N(F1458),1)+ROW()/10000000,"")</f>
        <v/>
      </c>
      <c r="S1458">
        <f>IF(R1458="","",IF(D1458="","Other work",D1458)&amp;IF(AND(K1458&lt;&gt;"",E1458&lt;&gt;""),", "&amp;E1458,""))</f>
        <v/>
      </c>
      <c r="T1458">
        <f>IF(R1458="","",IF(COUNTIFS(R$6:R1457,"&gt;0",S$6:S1457,S1458,N$6:N1457,N1458)=0,R1458,""))</f>
        <v/>
      </c>
      <c r="U1458">
        <f>IF(B1458="","",IF(J1458&lt;&gt;"",0,M1458))</f>
        <v/>
      </c>
    </row>
    <row r="1459">
      <c r="A1459" s="1" t="n"/>
      <c r="B1459" s="16" t="n"/>
      <c r="C1459" s="17" t="n"/>
      <c r="D1459" s="18" t="n"/>
      <c r="E1459" s="18" t="n"/>
      <c r="F1459" s="19" t="n"/>
      <c r="G1459" s="19" t="n"/>
      <c r="H1459" s="20" t="n"/>
      <c r="I1459" s="21" t="n"/>
      <c r="J1459" s="22" t="n"/>
      <c r="K1459" s="23" t="n"/>
      <c r="L1459" s="18" t="n"/>
      <c r="M1459" s="24">
        <f>IF(B1459="","",IF(AND(F1459&lt;&gt;"",G1459&lt;&gt;""),MAX(0,ROUND(MOD(G1459-F1459,1)*24-N(H1459)/60,2)),N(I1459)))</f>
        <v/>
      </c>
      <c r="N1459" s="14">
        <f>IF(B1459="","",IF(K1459&lt;&gt;"",K1459,IF(N(IFERROR(INDEX(Projects!$D$6:$D$65,MATCH(D1459,Projects!$B$6:$B$65,0)),""))&gt;0,IFERROR(INDEX(Projects!$D$6:$D$65,MATCH(D1459,Projects!$B$6:$B$65,0)),""),IFERROR(INDEX(Clients!$G$6:$G$45,MATCH(C1459,Clients!$B$6:$B$45,0)),0))))</f>
        <v/>
      </c>
      <c r="O1459" s="14">
        <f>IF(B1459="","",IF(J1459&lt;&gt;"",0,ROUND(M1459*N1459,2)))</f>
        <v/>
      </c>
      <c r="P1459" s="15">
        <f>IF(OR(B1459="",J1459&lt;&gt;""),"",IF(L1459&lt;&gt;"",L1459,IF(COUNTIFS(Invoices!$C$6:$C$305,C1459,Invoices!$E$6:$E$305,"&lt;="&amp;B1459,Invoices!$F$6:$F$305,"&gt;="&amp;B1459)=1,INDEX(Invoices!$B$6:$B$305,SUMIFS(Invoices!$O$6:$O$305,Invoices!$C$6:$C$305,C1459,Invoices!$E$6:$E$305,"&lt;="&amp;B1459,Invoices!$F$6:$F$305,"&gt;="&amp;B1459)),IF(COUNTIFS(Invoices!$C$6:$C$305,C1459,Invoices!$E$6:$E$305,"&lt;="&amp;B1459,Invoices!$F$6:$F$305,"&gt;="&amp;B1459)&gt;1,"Two invoices",""))))</f>
        <v/>
      </c>
      <c r="Q1459" s="15">
        <f>IF(B1459="","",IF(J1459&lt;&gt;"","Not billable",IF(P1459="","To invoice",IF(P1459="Two invoices","Check dates",IF(ISNA(MATCH(P1459,Invoices!$B$6:$B$305,0)),"Check number",IF(INDEX(Invoices!$M$6:$M$305,MATCH(P1459,Invoices!$B$6:$B$305,0))="Paid","Paid",IF(INDEX(Invoices!$M$6:$M$305,MATCH(P1459,Invoices!$B$6:$B$305,0))="Draft","Draft","Invoiced")))))))</f>
        <v/>
      </c>
      <c r="R1459" s="1">
        <f>IF(AND(B1459&lt;&gt;"",P1459&lt;&gt;"",P1459=Invoice!$G$4),B1459+MOD(N(F1459),1)+ROW()/10000000,"")</f>
        <v/>
      </c>
      <c r="S1459">
        <f>IF(R1459="","",IF(D1459="","Other work",D1459)&amp;IF(AND(K1459&lt;&gt;"",E1459&lt;&gt;""),", "&amp;E1459,""))</f>
        <v/>
      </c>
      <c r="T1459">
        <f>IF(R1459="","",IF(COUNTIFS(R$6:R1458,"&gt;0",S$6:S1458,S1459,N$6:N1458,N1459)=0,R1459,""))</f>
        <v/>
      </c>
      <c r="U1459">
        <f>IF(B1459="","",IF(J1459&lt;&gt;"",0,M1459))</f>
        <v/>
      </c>
    </row>
    <row r="1460">
      <c r="A1460" s="1" t="n"/>
      <c r="B1460" s="16" t="n"/>
      <c r="C1460" s="17" t="n"/>
      <c r="D1460" s="18" t="n"/>
      <c r="E1460" s="18" t="n"/>
      <c r="F1460" s="19" t="n"/>
      <c r="G1460" s="19" t="n"/>
      <c r="H1460" s="20" t="n"/>
      <c r="I1460" s="21" t="n"/>
      <c r="J1460" s="22" t="n"/>
      <c r="K1460" s="23" t="n"/>
      <c r="L1460" s="18" t="n"/>
      <c r="M1460" s="24">
        <f>IF(B1460="","",IF(AND(F1460&lt;&gt;"",G1460&lt;&gt;""),MAX(0,ROUND(MOD(G1460-F1460,1)*24-N(H1460)/60,2)),N(I1460)))</f>
        <v/>
      </c>
      <c r="N1460" s="14">
        <f>IF(B1460="","",IF(K1460&lt;&gt;"",K1460,IF(N(IFERROR(INDEX(Projects!$D$6:$D$65,MATCH(D1460,Projects!$B$6:$B$65,0)),""))&gt;0,IFERROR(INDEX(Projects!$D$6:$D$65,MATCH(D1460,Projects!$B$6:$B$65,0)),""),IFERROR(INDEX(Clients!$G$6:$G$45,MATCH(C1460,Clients!$B$6:$B$45,0)),0))))</f>
        <v/>
      </c>
      <c r="O1460" s="14">
        <f>IF(B1460="","",IF(J1460&lt;&gt;"",0,ROUND(M1460*N1460,2)))</f>
        <v/>
      </c>
      <c r="P1460" s="15">
        <f>IF(OR(B1460="",J1460&lt;&gt;""),"",IF(L1460&lt;&gt;"",L1460,IF(COUNTIFS(Invoices!$C$6:$C$305,C1460,Invoices!$E$6:$E$305,"&lt;="&amp;B1460,Invoices!$F$6:$F$305,"&gt;="&amp;B1460)=1,INDEX(Invoices!$B$6:$B$305,SUMIFS(Invoices!$O$6:$O$305,Invoices!$C$6:$C$305,C1460,Invoices!$E$6:$E$305,"&lt;="&amp;B1460,Invoices!$F$6:$F$305,"&gt;="&amp;B1460)),IF(COUNTIFS(Invoices!$C$6:$C$305,C1460,Invoices!$E$6:$E$305,"&lt;="&amp;B1460,Invoices!$F$6:$F$305,"&gt;="&amp;B1460)&gt;1,"Two invoices",""))))</f>
        <v/>
      </c>
      <c r="Q1460" s="15">
        <f>IF(B1460="","",IF(J1460&lt;&gt;"","Not billable",IF(P1460="","To invoice",IF(P1460="Two invoices","Check dates",IF(ISNA(MATCH(P1460,Invoices!$B$6:$B$305,0)),"Check number",IF(INDEX(Invoices!$M$6:$M$305,MATCH(P1460,Invoices!$B$6:$B$305,0))="Paid","Paid",IF(INDEX(Invoices!$M$6:$M$305,MATCH(P1460,Invoices!$B$6:$B$305,0))="Draft","Draft","Invoiced")))))))</f>
        <v/>
      </c>
      <c r="R1460" s="1">
        <f>IF(AND(B1460&lt;&gt;"",P1460&lt;&gt;"",P1460=Invoice!$G$4),B1460+MOD(N(F1460),1)+ROW()/10000000,"")</f>
        <v/>
      </c>
      <c r="S1460">
        <f>IF(R1460="","",IF(D1460="","Other work",D1460)&amp;IF(AND(K1460&lt;&gt;"",E1460&lt;&gt;""),", "&amp;E1460,""))</f>
        <v/>
      </c>
      <c r="T1460">
        <f>IF(R1460="","",IF(COUNTIFS(R$6:R1459,"&gt;0",S$6:S1459,S1460,N$6:N1459,N1460)=0,R1460,""))</f>
        <v/>
      </c>
      <c r="U1460">
        <f>IF(B1460="","",IF(J1460&lt;&gt;"",0,M1460))</f>
        <v/>
      </c>
    </row>
    <row r="1461">
      <c r="A1461" s="1" t="n"/>
      <c r="B1461" s="16" t="n"/>
      <c r="C1461" s="17" t="n"/>
      <c r="D1461" s="18" t="n"/>
      <c r="E1461" s="18" t="n"/>
      <c r="F1461" s="19" t="n"/>
      <c r="G1461" s="19" t="n"/>
      <c r="H1461" s="20" t="n"/>
      <c r="I1461" s="21" t="n"/>
      <c r="J1461" s="22" t="n"/>
      <c r="K1461" s="23" t="n"/>
      <c r="L1461" s="18" t="n"/>
      <c r="M1461" s="24">
        <f>IF(B1461="","",IF(AND(F1461&lt;&gt;"",G1461&lt;&gt;""),MAX(0,ROUND(MOD(G1461-F1461,1)*24-N(H1461)/60,2)),N(I1461)))</f>
        <v/>
      </c>
      <c r="N1461" s="14">
        <f>IF(B1461="","",IF(K1461&lt;&gt;"",K1461,IF(N(IFERROR(INDEX(Projects!$D$6:$D$65,MATCH(D1461,Projects!$B$6:$B$65,0)),""))&gt;0,IFERROR(INDEX(Projects!$D$6:$D$65,MATCH(D1461,Projects!$B$6:$B$65,0)),""),IFERROR(INDEX(Clients!$G$6:$G$45,MATCH(C1461,Clients!$B$6:$B$45,0)),0))))</f>
        <v/>
      </c>
      <c r="O1461" s="14">
        <f>IF(B1461="","",IF(J1461&lt;&gt;"",0,ROUND(M1461*N1461,2)))</f>
        <v/>
      </c>
      <c r="P1461" s="15">
        <f>IF(OR(B1461="",J1461&lt;&gt;""),"",IF(L1461&lt;&gt;"",L1461,IF(COUNTIFS(Invoices!$C$6:$C$305,C1461,Invoices!$E$6:$E$305,"&lt;="&amp;B1461,Invoices!$F$6:$F$305,"&gt;="&amp;B1461)=1,INDEX(Invoices!$B$6:$B$305,SUMIFS(Invoices!$O$6:$O$305,Invoices!$C$6:$C$305,C1461,Invoices!$E$6:$E$305,"&lt;="&amp;B1461,Invoices!$F$6:$F$305,"&gt;="&amp;B1461)),IF(COUNTIFS(Invoices!$C$6:$C$305,C1461,Invoices!$E$6:$E$305,"&lt;="&amp;B1461,Invoices!$F$6:$F$305,"&gt;="&amp;B1461)&gt;1,"Two invoices",""))))</f>
        <v/>
      </c>
      <c r="Q1461" s="15">
        <f>IF(B1461="","",IF(J1461&lt;&gt;"","Not billable",IF(P1461="","To invoice",IF(P1461="Two invoices","Check dates",IF(ISNA(MATCH(P1461,Invoices!$B$6:$B$305,0)),"Check number",IF(INDEX(Invoices!$M$6:$M$305,MATCH(P1461,Invoices!$B$6:$B$305,0))="Paid","Paid",IF(INDEX(Invoices!$M$6:$M$305,MATCH(P1461,Invoices!$B$6:$B$305,0))="Draft","Draft","Invoiced")))))))</f>
        <v/>
      </c>
      <c r="R1461" s="1">
        <f>IF(AND(B1461&lt;&gt;"",P1461&lt;&gt;"",P1461=Invoice!$G$4),B1461+MOD(N(F1461),1)+ROW()/10000000,"")</f>
        <v/>
      </c>
      <c r="S1461">
        <f>IF(R1461="","",IF(D1461="","Other work",D1461)&amp;IF(AND(K1461&lt;&gt;"",E1461&lt;&gt;""),", "&amp;E1461,""))</f>
        <v/>
      </c>
      <c r="T1461">
        <f>IF(R1461="","",IF(COUNTIFS(R$6:R1460,"&gt;0",S$6:S1460,S1461,N$6:N1460,N1461)=0,R1461,""))</f>
        <v/>
      </c>
      <c r="U1461">
        <f>IF(B1461="","",IF(J1461&lt;&gt;"",0,M1461))</f>
        <v/>
      </c>
    </row>
    <row r="1462">
      <c r="A1462" s="1" t="n"/>
      <c r="B1462" s="16" t="n"/>
      <c r="C1462" s="17" t="n"/>
      <c r="D1462" s="18" t="n"/>
      <c r="E1462" s="18" t="n"/>
      <c r="F1462" s="19" t="n"/>
      <c r="G1462" s="19" t="n"/>
      <c r="H1462" s="20" t="n"/>
      <c r="I1462" s="21" t="n"/>
      <c r="J1462" s="22" t="n"/>
      <c r="K1462" s="23" t="n"/>
      <c r="L1462" s="18" t="n"/>
      <c r="M1462" s="24">
        <f>IF(B1462="","",IF(AND(F1462&lt;&gt;"",G1462&lt;&gt;""),MAX(0,ROUND(MOD(G1462-F1462,1)*24-N(H1462)/60,2)),N(I1462)))</f>
        <v/>
      </c>
      <c r="N1462" s="14">
        <f>IF(B1462="","",IF(K1462&lt;&gt;"",K1462,IF(N(IFERROR(INDEX(Projects!$D$6:$D$65,MATCH(D1462,Projects!$B$6:$B$65,0)),""))&gt;0,IFERROR(INDEX(Projects!$D$6:$D$65,MATCH(D1462,Projects!$B$6:$B$65,0)),""),IFERROR(INDEX(Clients!$G$6:$G$45,MATCH(C1462,Clients!$B$6:$B$45,0)),0))))</f>
        <v/>
      </c>
      <c r="O1462" s="14">
        <f>IF(B1462="","",IF(J1462&lt;&gt;"",0,ROUND(M1462*N1462,2)))</f>
        <v/>
      </c>
      <c r="P1462" s="15">
        <f>IF(OR(B1462="",J1462&lt;&gt;""),"",IF(L1462&lt;&gt;"",L1462,IF(COUNTIFS(Invoices!$C$6:$C$305,C1462,Invoices!$E$6:$E$305,"&lt;="&amp;B1462,Invoices!$F$6:$F$305,"&gt;="&amp;B1462)=1,INDEX(Invoices!$B$6:$B$305,SUMIFS(Invoices!$O$6:$O$305,Invoices!$C$6:$C$305,C1462,Invoices!$E$6:$E$305,"&lt;="&amp;B1462,Invoices!$F$6:$F$305,"&gt;="&amp;B1462)),IF(COUNTIFS(Invoices!$C$6:$C$305,C1462,Invoices!$E$6:$E$305,"&lt;="&amp;B1462,Invoices!$F$6:$F$305,"&gt;="&amp;B1462)&gt;1,"Two invoices",""))))</f>
        <v/>
      </c>
      <c r="Q1462" s="15">
        <f>IF(B1462="","",IF(J1462&lt;&gt;"","Not billable",IF(P1462="","To invoice",IF(P1462="Two invoices","Check dates",IF(ISNA(MATCH(P1462,Invoices!$B$6:$B$305,0)),"Check number",IF(INDEX(Invoices!$M$6:$M$305,MATCH(P1462,Invoices!$B$6:$B$305,0))="Paid","Paid",IF(INDEX(Invoices!$M$6:$M$305,MATCH(P1462,Invoices!$B$6:$B$305,0))="Draft","Draft","Invoiced")))))))</f>
        <v/>
      </c>
      <c r="R1462" s="1">
        <f>IF(AND(B1462&lt;&gt;"",P1462&lt;&gt;"",P1462=Invoice!$G$4),B1462+MOD(N(F1462),1)+ROW()/10000000,"")</f>
        <v/>
      </c>
      <c r="S1462">
        <f>IF(R1462="","",IF(D1462="","Other work",D1462)&amp;IF(AND(K1462&lt;&gt;"",E1462&lt;&gt;""),", "&amp;E1462,""))</f>
        <v/>
      </c>
      <c r="T1462">
        <f>IF(R1462="","",IF(COUNTIFS(R$6:R1461,"&gt;0",S$6:S1461,S1462,N$6:N1461,N1462)=0,R1462,""))</f>
        <v/>
      </c>
      <c r="U1462">
        <f>IF(B1462="","",IF(J1462&lt;&gt;"",0,M1462))</f>
        <v/>
      </c>
    </row>
    <row r="1463">
      <c r="A1463" s="1" t="n"/>
      <c r="B1463" s="16" t="n"/>
      <c r="C1463" s="17" t="n"/>
      <c r="D1463" s="18" t="n"/>
      <c r="E1463" s="18" t="n"/>
      <c r="F1463" s="19" t="n"/>
      <c r="G1463" s="19" t="n"/>
      <c r="H1463" s="20" t="n"/>
      <c r="I1463" s="21" t="n"/>
      <c r="J1463" s="22" t="n"/>
      <c r="K1463" s="23" t="n"/>
      <c r="L1463" s="18" t="n"/>
      <c r="M1463" s="24">
        <f>IF(B1463="","",IF(AND(F1463&lt;&gt;"",G1463&lt;&gt;""),MAX(0,ROUND(MOD(G1463-F1463,1)*24-N(H1463)/60,2)),N(I1463)))</f>
        <v/>
      </c>
      <c r="N1463" s="14">
        <f>IF(B1463="","",IF(K1463&lt;&gt;"",K1463,IF(N(IFERROR(INDEX(Projects!$D$6:$D$65,MATCH(D1463,Projects!$B$6:$B$65,0)),""))&gt;0,IFERROR(INDEX(Projects!$D$6:$D$65,MATCH(D1463,Projects!$B$6:$B$65,0)),""),IFERROR(INDEX(Clients!$G$6:$G$45,MATCH(C1463,Clients!$B$6:$B$45,0)),0))))</f>
        <v/>
      </c>
      <c r="O1463" s="14">
        <f>IF(B1463="","",IF(J1463&lt;&gt;"",0,ROUND(M1463*N1463,2)))</f>
        <v/>
      </c>
      <c r="P1463" s="15">
        <f>IF(OR(B1463="",J1463&lt;&gt;""),"",IF(L1463&lt;&gt;"",L1463,IF(COUNTIFS(Invoices!$C$6:$C$305,C1463,Invoices!$E$6:$E$305,"&lt;="&amp;B1463,Invoices!$F$6:$F$305,"&gt;="&amp;B1463)=1,INDEX(Invoices!$B$6:$B$305,SUMIFS(Invoices!$O$6:$O$305,Invoices!$C$6:$C$305,C1463,Invoices!$E$6:$E$305,"&lt;="&amp;B1463,Invoices!$F$6:$F$305,"&gt;="&amp;B1463)),IF(COUNTIFS(Invoices!$C$6:$C$305,C1463,Invoices!$E$6:$E$305,"&lt;="&amp;B1463,Invoices!$F$6:$F$305,"&gt;="&amp;B1463)&gt;1,"Two invoices",""))))</f>
        <v/>
      </c>
      <c r="Q1463" s="15">
        <f>IF(B1463="","",IF(J1463&lt;&gt;"","Not billable",IF(P1463="","To invoice",IF(P1463="Two invoices","Check dates",IF(ISNA(MATCH(P1463,Invoices!$B$6:$B$305,0)),"Check number",IF(INDEX(Invoices!$M$6:$M$305,MATCH(P1463,Invoices!$B$6:$B$305,0))="Paid","Paid",IF(INDEX(Invoices!$M$6:$M$305,MATCH(P1463,Invoices!$B$6:$B$305,0))="Draft","Draft","Invoiced")))))))</f>
        <v/>
      </c>
      <c r="R1463" s="1">
        <f>IF(AND(B1463&lt;&gt;"",P1463&lt;&gt;"",P1463=Invoice!$G$4),B1463+MOD(N(F1463),1)+ROW()/10000000,"")</f>
        <v/>
      </c>
      <c r="S1463">
        <f>IF(R1463="","",IF(D1463="","Other work",D1463)&amp;IF(AND(K1463&lt;&gt;"",E1463&lt;&gt;""),", "&amp;E1463,""))</f>
        <v/>
      </c>
      <c r="T1463">
        <f>IF(R1463="","",IF(COUNTIFS(R$6:R1462,"&gt;0",S$6:S1462,S1463,N$6:N1462,N1463)=0,R1463,""))</f>
        <v/>
      </c>
      <c r="U1463">
        <f>IF(B1463="","",IF(J1463&lt;&gt;"",0,M1463))</f>
        <v/>
      </c>
    </row>
    <row r="1464">
      <c r="A1464" s="1" t="n"/>
      <c r="B1464" s="16" t="n"/>
      <c r="C1464" s="17" t="n"/>
      <c r="D1464" s="18" t="n"/>
      <c r="E1464" s="18" t="n"/>
      <c r="F1464" s="19" t="n"/>
      <c r="G1464" s="19" t="n"/>
      <c r="H1464" s="20" t="n"/>
      <c r="I1464" s="21" t="n"/>
      <c r="J1464" s="22" t="n"/>
      <c r="K1464" s="23" t="n"/>
      <c r="L1464" s="18" t="n"/>
      <c r="M1464" s="24">
        <f>IF(B1464="","",IF(AND(F1464&lt;&gt;"",G1464&lt;&gt;""),MAX(0,ROUND(MOD(G1464-F1464,1)*24-N(H1464)/60,2)),N(I1464)))</f>
        <v/>
      </c>
      <c r="N1464" s="14">
        <f>IF(B1464="","",IF(K1464&lt;&gt;"",K1464,IF(N(IFERROR(INDEX(Projects!$D$6:$D$65,MATCH(D1464,Projects!$B$6:$B$65,0)),""))&gt;0,IFERROR(INDEX(Projects!$D$6:$D$65,MATCH(D1464,Projects!$B$6:$B$65,0)),""),IFERROR(INDEX(Clients!$G$6:$G$45,MATCH(C1464,Clients!$B$6:$B$45,0)),0))))</f>
        <v/>
      </c>
      <c r="O1464" s="14">
        <f>IF(B1464="","",IF(J1464&lt;&gt;"",0,ROUND(M1464*N1464,2)))</f>
        <v/>
      </c>
      <c r="P1464" s="15">
        <f>IF(OR(B1464="",J1464&lt;&gt;""),"",IF(L1464&lt;&gt;"",L1464,IF(COUNTIFS(Invoices!$C$6:$C$305,C1464,Invoices!$E$6:$E$305,"&lt;="&amp;B1464,Invoices!$F$6:$F$305,"&gt;="&amp;B1464)=1,INDEX(Invoices!$B$6:$B$305,SUMIFS(Invoices!$O$6:$O$305,Invoices!$C$6:$C$305,C1464,Invoices!$E$6:$E$305,"&lt;="&amp;B1464,Invoices!$F$6:$F$305,"&gt;="&amp;B1464)),IF(COUNTIFS(Invoices!$C$6:$C$305,C1464,Invoices!$E$6:$E$305,"&lt;="&amp;B1464,Invoices!$F$6:$F$305,"&gt;="&amp;B1464)&gt;1,"Two invoices",""))))</f>
        <v/>
      </c>
      <c r="Q1464" s="15">
        <f>IF(B1464="","",IF(J1464&lt;&gt;"","Not billable",IF(P1464="","To invoice",IF(P1464="Two invoices","Check dates",IF(ISNA(MATCH(P1464,Invoices!$B$6:$B$305,0)),"Check number",IF(INDEX(Invoices!$M$6:$M$305,MATCH(P1464,Invoices!$B$6:$B$305,0))="Paid","Paid",IF(INDEX(Invoices!$M$6:$M$305,MATCH(P1464,Invoices!$B$6:$B$305,0))="Draft","Draft","Invoiced")))))))</f>
        <v/>
      </c>
      <c r="R1464" s="1">
        <f>IF(AND(B1464&lt;&gt;"",P1464&lt;&gt;"",P1464=Invoice!$G$4),B1464+MOD(N(F1464),1)+ROW()/10000000,"")</f>
        <v/>
      </c>
      <c r="S1464">
        <f>IF(R1464="","",IF(D1464="","Other work",D1464)&amp;IF(AND(K1464&lt;&gt;"",E1464&lt;&gt;""),", "&amp;E1464,""))</f>
        <v/>
      </c>
      <c r="T1464">
        <f>IF(R1464="","",IF(COUNTIFS(R$6:R1463,"&gt;0",S$6:S1463,S1464,N$6:N1463,N1464)=0,R1464,""))</f>
        <v/>
      </c>
      <c r="U1464">
        <f>IF(B1464="","",IF(J1464&lt;&gt;"",0,M1464))</f>
        <v/>
      </c>
    </row>
    <row r="1465">
      <c r="A1465" s="1" t="n"/>
      <c r="B1465" s="16" t="n"/>
      <c r="C1465" s="17" t="n"/>
      <c r="D1465" s="18" t="n"/>
      <c r="E1465" s="18" t="n"/>
      <c r="F1465" s="19" t="n"/>
      <c r="G1465" s="19" t="n"/>
      <c r="H1465" s="20" t="n"/>
      <c r="I1465" s="21" t="n"/>
      <c r="J1465" s="22" t="n"/>
      <c r="K1465" s="23" t="n"/>
      <c r="L1465" s="18" t="n"/>
      <c r="M1465" s="24">
        <f>IF(B1465="","",IF(AND(F1465&lt;&gt;"",G1465&lt;&gt;""),MAX(0,ROUND(MOD(G1465-F1465,1)*24-N(H1465)/60,2)),N(I1465)))</f>
        <v/>
      </c>
      <c r="N1465" s="14">
        <f>IF(B1465="","",IF(K1465&lt;&gt;"",K1465,IF(N(IFERROR(INDEX(Projects!$D$6:$D$65,MATCH(D1465,Projects!$B$6:$B$65,0)),""))&gt;0,IFERROR(INDEX(Projects!$D$6:$D$65,MATCH(D1465,Projects!$B$6:$B$65,0)),""),IFERROR(INDEX(Clients!$G$6:$G$45,MATCH(C1465,Clients!$B$6:$B$45,0)),0))))</f>
        <v/>
      </c>
      <c r="O1465" s="14">
        <f>IF(B1465="","",IF(J1465&lt;&gt;"",0,ROUND(M1465*N1465,2)))</f>
        <v/>
      </c>
      <c r="P1465" s="15">
        <f>IF(OR(B1465="",J1465&lt;&gt;""),"",IF(L1465&lt;&gt;"",L1465,IF(COUNTIFS(Invoices!$C$6:$C$305,C1465,Invoices!$E$6:$E$305,"&lt;="&amp;B1465,Invoices!$F$6:$F$305,"&gt;="&amp;B1465)=1,INDEX(Invoices!$B$6:$B$305,SUMIFS(Invoices!$O$6:$O$305,Invoices!$C$6:$C$305,C1465,Invoices!$E$6:$E$305,"&lt;="&amp;B1465,Invoices!$F$6:$F$305,"&gt;="&amp;B1465)),IF(COUNTIFS(Invoices!$C$6:$C$305,C1465,Invoices!$E$6:$E$305,"&lt;="&amp;B1465,Invoices!$F$6:$F$305,"&gt;="&amp;B1465)&gt;1,"Two invoices",""))))</f>
        <v/>
      </c>
      <c r="Q1465" s="15">
        <f>IF(B1465="","",IF(J1465&lt;&gt;"","Not billable",IF(P1465="","To invoice",IF(P1465="Two invoices","Check dates",IF(ISNA(MATCH(P1465,Invoices!$B$6:$B$305,0)),"Check number",IF(INDEX(Invoices!$M$6:$M$305,MATCH(P1465,Invoices!$B$6:$B$305,0))="Paid","Paid",IF(INDEX(Invoices!$M$6:$M$305,MATCH(P1465,Invoices!$B$6:$B$305,0))="Draft","Draft","Invoiced")))))))</f>
        <v/>
      </c>
      <c r="R1465" s="1">
        <f>IF(AND(B1465&lt;&gt;"",P1465&lt;&gt;"",P1465=Invoice!$G$4),B1465+MOD(N(F1465),1)+ROW()/10000000,"")</f>
        <v/>
      </c>
      <c r="S1465">
        <f>IF(R1465="","",IF(D1465="","Other work",D1465)&amp;IF(AND(K1465&lt;&gt;"",E1465&lt;&gt;""),", "&amp;E1465,""))</f>
        <v/>
      </c>
      <c r="T1465">
        <f>IF(R1465="","",IF(COUNTIFS(R$6:R1464,"&gt;0",S$6:S1464,S1465,N$6:N1464,N1465)=0,R1465,""))</f>
        <v/>
      </c>
      <c r="U1465">
        <f>IF(B1465="","",IF(J1465&lt;&gt;"",0,M1465))</f>
        <v/>
      </c>
    </row>
    <row r="1466">
      <c r="A1466" s="1" t="n"/>
      <c r="B1466" s="16" t="n"/>
      <c r="C1466" s="17" t="n"/>
      <c r="D1466" s="18" t="n"/>
      <c r="E1466" s="18" t="n"/>
      <c r="F1466" s="19" t="n"/>
      <c r="G1466" s="19" t="n"/>
      <c r="H1466" s="20" t="n"/>
      <c r="I1466" s="21" t="n"/>
      <c r="J1466" s="22" t="n"/>
      <c r="K1466" s="23" t="n"/>
      <c r="L1466" s="18" t="n"/>
      <c r="M1466" s="24">
        <f>IF(B1466="","",IF(AND(F1466&lt;&gt;"",G1466&lt;&gt;""),MAX(0,ROUND(MOD(G1466-F1466,1)*24-N(H1466)/60,2)),N(I1466)))</f>
        <v/>
      </c>
      <c r="N1466" s="14">
        <f>IF(B1466="","",IF(K1466&lt;&gt;"",K1466,IF(N(IFERROR(INDEX(Projects!$D$6:$D$65,MATCH(D1466,Projects!$B$6:$B$65,0)),""))&gt;0,IFERROR(INDEX(Projects!$D$6:$D$65,MATCH(D1466,Projects!$B$6:$B$65,0)),""),IFERROR(INDEX(Clients!$G$6:$G$45,MATCH(C1466,Clients!$B$6:$B$45,0)),0))))</f>
        <v/>
      </c>
      <c r="O1466" s="14">
        <f>IF(B1466="","",IF(J1466&lt;&gt;"",0,ROUND(M1466*N1466,2)))</f>
        <v/>
      </c>
      <c r="P1466" s="15">
        <f>IF(OR(B1466="",J1466&lt;&gt;""),"",IF(L1466&lt;&gt;"",L1466,IF(COUNTIFS(Invoices!$C$6:$C$305,C1466,Invoices!$E$6:$E$305,"&lt;="&amp;B1466,Invoices!$F$6:$F$305,"&gt;="&amp;B1466)=1,INDEX(Invoices!$B$6:$B$305,SUMIFS(Invoices!$O$6:$O$305,Invoices!$C$6:$C$305,C1466,Invoices!$E$6:$E$305,"&lt;="&amp;B1466,Invoices!$F$6:$F$305,"&gt;="&amp;B1466)),IF(COUNTIFS(Invoices!$C$6:$C$305,C1466,Invoices!$E$6:$E$305,"&lt;="&amp;B1466,Invoices!$F$6:$F$305,"&gt;="&amp;B1466)&gt;1,"Two invoices",""))))</f>
        <v/>
      </c>
      <c r="Q1466" s="15">
        <f>IF(B1466="","",IF(J1466&lt;&gt;"","Not billable",IF(P1466="","To invoice",IF(P1466="Two invoices","Check dates",IF(ISNA(MATCH(P1466,Invoices!$B$6:$B$305,0)),"Check number",IF(INDEX(Invoices!$M$6:$M$305,MATCH(P1466,Invoices!$B$6:$B$305,0))="Paid","Paid",IF(INDEX(Invoices!$M$6:$M$305,MATCH(P1466,Invoices!$B$6:$B$305,0))="Draft","Draft","Invoiced")))))))</f>
        <v/>
      </c>
      <c r="R1466" s="1">
        <f>IF(AND(B1466&lt;&gt;"",P1466&lt;&gt;"",P1466=Invoice!$G$4),B1466+MOD(N(F1466),1)+ROW()/10000000,"")</f>
        <v/>
      </c>
      <c r="S1466">
        <f>IF(R1466="","",IF(D1466="","Other work",D1466)&amp;IF(AND(K1466&lt;&gt;"",E1466&lt;&gt;""),", "&amp;E1466,""))</f>
        <v/>
      </c>
      <c r="T1466">
        <f>IF(R1466="","",IF(COUNTIFS(R$6:R1465,"&gt;0",S$6:S1465,S1466,N$6:N1465,N1466)=0,R1466,""))</f>
        <v/>
      </c>
      <c r="U1466">
        <f>IF(B1466="","",IF(J1466&lt;&gt;"",0,M1466))</f>
        <v/>
      </c>
    </row>
    <row r="1467">
      <c r="A1467" s="1" t="n"/>
      <c r="B1467" s="16" t="n"/>
      <c r="C1467" s="17" t="n"/>
      <c r="D1467" s="18" t="n"/>
      <c r="E1467" s="18" t="n"/>
      <c r="F1467" s="19" t="n"/>
      <c r="G1467" s="19" t="n"/>
      <c r="H1467" s="20" t="n"/>
      <c r="I1467" s="21" t="n"/>
      <c r="J1467" s="22" t="n"/>
      <c r="K1467" s="23" t="n"/>
      <c r="L1467" s="18" t="n"/>
      <c r="M1467" s="24">
        <f>IF(B1467="","",IF(AND(F1467&lt;&gt;"",G1467&lt;&gt;""),MAX(0,ROUND(MOD(G1467-F1467,1)*24-N(H1467)/60,2)),N(I1467)))</f>
        <v/>
      </c>
      <c r="N1467" s="14">
        <f>IF(B1467="","",IF(K1467&lt;&gt;"",K1467,IF(N(IFERROR(INDEX(Projects!$D$6:$D$65,MATCH(D1467,Projects!$B$6:$B$65,0)),""))&gt;0,IFERROR(INDEX(Projects!$D$6:$D$65,MATCH(D1467,Projects!$B$6:$B$65,0)),""),IFERROR(INDEX(Clients!$G$6:$G$45,MATCH(C1467,Clients!$B$6:$B$45,0)),0))))</f>
        <v/>
      </c>
      <c r="O1467" s="14">
        <f>IF(B1467="","",IF(J1467&lt;&gt;"",0,ROUND(M1467*N1467,2)))</f>
        <v/>
      </c>
      <c r="P1467" s="15">
        <f>IF(OR(B1467="",J1467&lt;&gt;""),"",IF(L1467&lt;&gt;"",L1467,IF(COUNTIFS(Invoices!$C$6:$C$305,C1467,Invoices!$E$6:$E$305,"&lt;="&amp;B1467,Invoices!$F$6:$F$305,"&gt;="&amp;B1467)=1,INDEX(Invoices!$B$6:$B$305,SUMIFS(Invoices!$O$6:$O$305,Invoices!$C$6:$C$305,C1467,Invoices!$E$6:$E$305,"&lt;="&amp;B1467,Invoices!$F$6:$F$305,"&gt;="&amp;B1467)),IF(COUNTIFS(Invoices!$C$6:$C$305,C1467,Invoices!$E$6:$E$305,"&lt;="&amp;B1467,Invoices!$F$6:$F$305,"&gt;="&amp;B1467)&gt;1,"Two invoices",""))))</f>
        <v/>
      </c>
      <c r="Q1467" s="15">
        <f>IF(B1467="","",IF(J1467&lt;&gt;"","Not billable",IF(P1467="","To invoice",IF(P1467="Two invoices","Check dates",IF(ISNA(MATCH(P1467,Invoices!$B$6:$B$305,0)),"Check number",IF(INDEX(Invoices!$M$6:$M$305,MATCH(P1467,Invoices!$B$6:$B$305,0))="Paid","Paid",IF(INDEX(Invoices!$M$6:$M$305,MATCH(P1467,Invoices!$B$6:$B$305,0))="Draft","Draft","Invoiced")))))))</f>
        <v/>
      </c>
      <c r="R1467" s="1">
        <f>IF(AND(B1467&lt;&gt;"",P1467&lt;&gt;"",P1467=Invoice!$G$4),B1467+MOD(N(F1467),1)+ROW()/10000000,"")</f>
        <v/>
      </c>
      <c r="S1467">
        <f>IF(R1467="","",IF(D1467="","Other work",D1467)&amp;IF(AND(K1467&lt;&gt;"",E1467&lt;&gt;""),", "&amp;E1467,""))</f>
        <v/>
      </c>
      <c r="T1467">
        <f>IF(R1467="","",IF(COUNTIFS(R$6:R1466,"&gt;0",S$6:S1466,S1467,N$6:N1466,N1467)=0,R1467,""))</f>
        <v/>
      </c>
      <c r="U1467">
        <f>IF(B1467="","",IF(J1467&lt;&gt;"",0,M1467))</f>
        <v/>
      </c>
    </row>
    <row r="1468">
      <c r="A1468" s="1" t="n"/>
      <c r="B1468" s="16" t="n"/>
      <c r="C1468" s="17" t="n"/>
      <c r="D1468" s="18" t="n"/>
      <c r="E1468" s="18" t="n"/>
      <c r="F1468" s="19" t="n"/>
      <c r="G1468" s="19" t="n"/>
      <c r="H1468" s="20" t="n"/>
      <c r="I1468" s="21" t="n"/>
      <c r="J1468" s="22" t="n"/>
      <c r="K1468" s="23" t="n"/>
      <c r="L1468" s="18" t="n"/>
      <c r="M1468" s="24">
        <f>IF(B1468="","",IF(AND(F1468&lt;&gt;"",G1468&lt;&gt;""),MAX(0,ROUND(MOD(G1468-F1468,1)*24-N(H1468)/60,2)),N(I1468)))</f>
        <v/>
      </c>
      <c r="N1468" s="14">
        <f>IF(B1468="","",IF(K1468&lt;&gt;"",K1468,IF(N(IFERROR(INDEX(Projects!$D$6:$D$65,MATCH(D1468,Projects!$B$6:$B$65,0)),""))&gt;0,IFERROR(INDEX(Projects!$D$6:$D$65,MATCH(D1468,Projects!$B$6:$B$65,0)),""),IFERROR(INDEX(Clients!$G$6:$G$45,MATCH(C1468,Clients!$B$6:$B$45,0)),0))))</f>
        <v/>
      </c>
      <c r="O1468" s="14">
        <f>IF(B1468="","",IF(J1468&lt;&gt;"",0,ROUND(M1468*N1468,2)))</f>
        <v/>
      </c>
      <c r="P1468" s="15">
        <f>IF(OR(B1468="",J1468&lt;&gt;""),"",IF(L1468&lt;&gt;"",L1468,IF(COUNTIFS(Invoices!$C$6:$C$305,C1468,Invoices!$E$6:$E$305,"&lt;="&amp;B1468,Invoices!$F$6:$F$305,"&gt;="&amp;B1468)=1,INDEX(Invoices!$B$6:$B$305,SUMIFS(Invoices!$O$6:$O$305,Invoices!$C$6:$C$305,C1468,Invoices!$E$6:$E$305,"&lt;="&amp;B1468,Invoices!$F$6:$F$305,"&gt;="&amp;B1468)),IF(COUNTIFS(Invoices!$C$6:$C$305,C1468,Invoices!$E$6:$E$305,"&lt;="&amp;B1468,Invoices!$F$6:$F$305,"&gt;="&amp;B1468)&gt;1,"Two invoices",""))))</f>
        <v/>
      </c>
      <c r="Q1468" s="15">
        <f>IF(B1468="","",IF(J1468&lt;&gt;"","Not billable",IF(P1468="","To invoice",IF(P1468="Two invoices","Check dates",IF(ISNA(MATCH(P1468,Invoices!$B$6:$B$305,0)),"Check number",IF(INDEX(Invoices!$M$6:$M$305,MATCH(P1468,Invoices!$B$6:$B$305,0))="Paid","Paid",IF(INDEX(Invoices!$M$6:$M$305,MATCH(P1468,Invoices!$B$6:$B$305,0))="Draft","Draft","Invoiced")))))))</f>
        <v/>
      </c>
      <c r="R1468" s="1">
        <f>IF(AND(B1468&lt;&gt;"",P1468&lt;&gt;"",P1468=Invoice!$G$4),B1468+MOD(N(F1468),1)+ROW()/10000000,"")</f>
        <v/>
      </c>
      <c r="S1468">
        <f>IF(R1468="","",IF(D1468="","Other work",D1468)&amp;IF(AND(K1468&lt;&gt;"",E1468&lt;&gt;""),", "&amp;E1468,""))</f>
        <v/>
      </c>
      <c r="T1468">
        <f>IF(R1468="","",IF(COUNTIFS(R$6:R1467,"&gt;0",S$6:S1467,S1468,N$6:N1467,N1468)=0,R1468,""))</f>
        <v/>
      </c>
      <c r="U1468">
        <f>IF(B1468="","",IF(J1468&lt;&gt;"",0,M1468))</f>
        <v/>
      </c>
    </row>
    <row r="1469">
      <c r="A1469" s="1" t="n"/>
      <c r="B1469" s="16" t="n"/>
      <c r="C1469" s="17" t="n"/>
      <c r="D1469" s="18" t="n"/>
      <c r="E1469" s="18" t="n"/>
      <c r="F1469" s="19" t="n"/>
      <c r="G1469" s="19" t="n"/>
      <c r="H1469" s="20" t="n"/>
      <c r="I1469" s="21" t="n"/>
      <c r="J1469" s="22" t="n"/>
      <c r="K1469" s="23" t="n"/>
      <c r="L1469" s="18" t="n"/>
      <c r="M1469" s="24">
        <f>IF(B1469="","",IF(AND(F1469&lt;&gt;"",G1469&lt;&gt;""),MAX(0,ROUND(MOD(G1469-F1469,1)*24-N(H1469)/60,2)),N(I1469)))</f>
        <v/>
      </c>
      <c r="N1469" s="14">
        <f>IF(B1469="","",IF(K1469&lt;&gt;"",K1469,IF(N(IFERROR(INDEX(Projects!$D$6:$D$65,MATCH(D1469,Projects!$B$6:$B$65,0)),""))&gt;0,IFERROR(INDEX(Projects!$D$6:$D$65,MATCH(D1469,Projects!$B$6:$B$65,0)),""),IFERROR(INDEX(Clients!$G$6:$G$45,MATCH(C1469,Clients!$B$6:$B$45,0)),0))))</f>
        <v/>
      </c>
      <c r="O1469" s="14">
        <f>IF(B1469="","",IF(J1469&lt;&gt;"",0,ROUND(M1469*N1469,2)))</f>
        <v/>
      </c>
      <c r="P1469" s="15">
        <f>IF(OR(B1469="",J1469&lt;&gt;""),"",IF(L1469&lt;&gt;"",L1469,IF(COUNTIFS(Invoices!$C$6:$C$305,C1469,Invoices!$E$6:$E$305,"&lt;="&amp;B1469,Invoices!$F$6:$F$305,"&gt;="&amp;B1469)=1,INDEX(Invoices!$B$6:$B$305,SUMIFS(Invoices!$O$6:$O$305,Invoices!$C$6:$C$305,C1469,Invoices!$E$6:$E$305,"&lt;="&amp;B1469,Invoices!$F$6:$F$305,"&gt;="&amp;B1469)),IF(COUNTIFS(Invoices!$C$6:$C$305,C1469,Invoices!$E$6:$E$305,"&lt;="&amp;B1469,Invoices!$F$6:$F$305,"&gt;="&amp;B1469)&gt;1,"Two invoices",""))))</f>
        <v/>
      </c>
      <c r="Q1469" s="15">
        <f>IF(B1469="","",IF(J1469&lt;&gt;"","Not billable",IF(P1469="","To invoice",IF(P1469="Two invoices","Check dates",IF(ISNA(MATCH(P1469,Invoices!$B$6:$B$305,0)),"Check number",IF(INDEX(Invoices!$M$6:$M$305,MATCH(P1469,Invoices!$B$6:$B$305,0))="Paid","Paid",IF(INDEX(Invoices!$M$6:$M$305,MATCH(P1469,Invoices!$B$6:$B$305,0))="Draft","Draft","Invoiced")))))))</f>
        <v/>
      </c>
      <c r="R1469" s="1">
        <f>IF(AND(B1469&lt;&gt;"",P1469&lt;&gt;"",P1469=Invoice!$G$4),B1469+MOD(N(F1469),1)+ROW()/10000000,"")</f>
        <v/>
      </c>
      <c r="S1469">
        <f>IF(R1469="","",IF(D1469="","Other work",D1469)&amp;IF(AND(K1469&lt;&gt;"",E1469&lt;&gt;""),", "&amp;E1469,""))</f>
        <v/>
      </c>
      <c r="T1469">
        <f>IF(R1469="","",IF(COUNTIFS(R$6:R1468,"&gt;0",S$6:S1468,S1469,N$6:N1468,N1469)=0,R1469,""))</f>
        <v/>
      </c>
      <c r="U1469">
        <f>IF(B1469="","",IF(J1469&lt;&gt;"",0,M1469))</f>
        <v/>
      </c>
    </row>
    <row r="1470">
      <c r="A1470" s="1" t="n"/>
      <c r="B1470" s="16" t="n"/>
      <c r="C1470" s="17" t="n"/>
      <c r="D1470" s="18" t="n"/>
      <c r="E1470" s="18" t="n"/>
      <c r="F1470" s="19" t="n"/>
      <c r="G1470" s="19" t="n"/>
      <c r="H1470" s="20" t="n"/>
      <c r="I1470" s="21" t="n"/>
      <c r="J1470" s="22" t="n"/>
      <c r="K1470" s="23" t="n"/>
      <c r="L1470" s="18" t="n"/>
      <c r="M1470" s="24">
        <f>IF(B1470="","",IF(AND(F1470&lt;&gt;"",G1470&lt;&gt;""),MAX(0,ROUND(MOD(G1470-F1470,1)*24-N(H1470)/60,2)),N(I1470)))</f>
        <v/>
      </c>
      <c r="N1470" s="14">
        <f>IF(B1470="","",IF(K1470&lt;&gt;"",K1470,IF(N(IFERROR(INDEX(Projects!$D$6:$D$65,MATCH(D1470,Projects!$B$6:$B$65,0)),""))&gt;0,IFERROR(INDEX(Projects!$D$6:$D$65,MATCH(D1470,Projects!$B$6:$B$65,0)),""),IFERROR(INDEX(Clients!$G$6:$G$45,MATCH(C1470,Clients!$B$6:$B$45,0)),0))))</f>
        <v/>
      </c>
      <c r="O1470" s="14">
        <f>IF(B1470="","",IF(J1470&lt;&gt;"",0,ROUND(M1470*N1470,2)))</f>
        <v/>
      </c>
      <c r="P1470" s="15">
        <f>IF(OR(B1470="",J1470&lt;&gt;""),"",IF(L1470&lt;&gt;"",L1470,IF(COUNTIFS(Invoices!$C$6:$C$305,C1470,Invoices!$E$6:$E$305,"&lt;="&amp;B1470,Invoices!$F$6:$F$305,"&gt;="&amp;B1470)=1,INDEX(Invoices!$B$6:$B$305,SUMIFS(Invoices!$O$6:$O$305,Invoices!$C$6:$C$305,C1470,Invoices!$E$6:$E$305,"&lt;="&amp;B1470,Invoices!$F$6:$F$305,"&gt;="&amp;B1470)),IF(COUNTIFS(Invoices!$C$6:$C$305,C1470,Invoices!$E$6:$E$305,"&lt;="&amp;B1470,Invoices!$F$6:$F$305,"&gt;="&amp;B1470)&gt;1,"Two invoices",""))))</f>
        <v/>
      </c>
      <c r="Q1470" s="15">
        <f>IF(B1470="","",IF(J1470&lt;&gt;"","Not billable",IF(P1470="","To invoice",IF(P1470="Two invoices","Check dates",IF(ISNA(MATCH(P1470,Invoices!$B$6:$B$305,0)),"Check number",IF(INDEX(Invoices!$M$6:$M$305,MATCH(P1470,Invoices!$B$6:$B$305,0))="Paid","Paid",IF(INDEX(Invoices!$M$6:$M$305,MATCH(P1470,Invoices!$B$6:$B$305,0))="Draft","Draft","Invoiced")))))))</f>
        <v/>
      </c>
      <c r="R1470" s="1">
        <f>IF(AND(B1470&lt;&gt;"",P1470&lt;&gt;"",P1470=Invoice!$G$4),B1470+MOD(N(F1470),1)+ROW()/10000000,"")</f>
        <v/>
      </c>
      <c r="S1470">
        <f>IF(R1470="","",IF(D1470="","Other work",D1470)&amp;IF(AND(K1470&lt;&gt;"",E1470&lt;&gt;""),", "&amp;E1470,""))</f>
        <v/>
      </c>
      <c r="T1470">
        <f>IF(R1470="","",IF(COUNTIFS(R$6:R1469,"&gt;0",S$6:S1469,S1470,N$6:N1469,N1470)=0,R1470,""))</f>
        <v/>
      </c>
      <c r="U1470">
        <f>IF(B1470="","",IF(J1470&lt;&gt;"",0,M1470))</f>
        <v/>
      </c>
    </row>
    <row r="1471">
      <c r="A1471" s="1" t="n"/>
      <c r="B1471" s="16" t="n"/>
      <c r="C1471" s="17" t="n"/>
      <c r="D1471" s="18" t="n"/>
      <c r="E1471" s="18" t="n"/>
      <c r="F1471" s="19" t="n"/>
      <c r="G1471" s="19" t="n"/>
      <c r="H1471" s="20" t="n"/>
      <c r="I1471" s="21" t="n"/>
      <c r="J1471" s="22" t="n"/>
      <c r="K1471" s="23" t="n"/>
      <c r="L1471" s="18" t="n"/>
      <c r="M1471" s="24">
        <f>IF(B1471="","",IF(AND(F1471&lt;&gt;"",G1471&lt;&gt;""),MAX(0,ROUND(MOD(G1471-F1471,1)*24-N(H1471)/60,2)),N(I1471)))</f>
        <v/>
      </c>
      <c r="N1471" s="14">
        <f>IF(B1471="","",IF(K1471&lt;&gt;"",K1471,IF(N(IFERROR(INDEX(Projects!$D$6:$D$65,MATCH(D1471,Projects!$B$6:$B$65,0)),""))&gt;0,IFERROR(INDEX(Projects!$D$6:$D$65,MATCH(D1471,Projects!$B$6:$B$65,0)),""),IFERROR(INDEX(Clients!$G$6:$G$45,MATCH(C1471,Clients!$B$6:$B$45,0)),0))))</f>
        <v/>
      </c>
      <c r="O1471" s="14">
        <f>IF(B1471="","",IF(J1471&lt;&gt;"",0,ROUND(M1471*N1471,2)))</f>
        <v/>
      </c>
      <c r="P1471" s="15">
        <f>IF(OR(B1471="",J1471&lt;&gt;""),"",IF(L1471&lt;&gt;"",L1471,IF(COUNTIFS(Invoices!$C$6:$C$305,C1471,Invoices!$E$6:$E$305,"&lt;="&amp;B1471,Invoices!$F$6:$F$305,"&gt;="&amp;B1471)=1,INDEX(Invoices!$B$6:$B$305,SUMIFS(Invoices!$O$6:$O$305,Invoices!$C$6:$C$305,C1471,Invoices!$E$6:$E$305,"&lt;="&amp;B1471,Invoices!$F$6:$F$305,"&gt;="&amp;B1471)),IF(COUNTIFS(Invoices!$C$6:$C$305,C1471,Invoices!$E$6:$E$305,"&lt;="&amp;B1471,Invoices!$F$6:$F$305,"&gt;="&amp;B1471)&gt;1,"Two invoices",""))))</f>
        <v/>
      </c>
      <c r="Q1471" s="15">
        <f>IF(B1471="","",IF(J1471&lt;&gt;"","Not billable",IF(P1471="","To invoice",IF(P1471="Two invoices","Check dates",IF(ISNA(MATCH(P1471,Invoices!$B$6:$B$305,0)),"Check number",IF(INDEX(Invoices!$M$6:$M$305,MATCH(P1471,Invoices!$B$6:$B$305,0))="Paid","Paid",IF(INDEX(Invoices!$M$6:$M$305,MATCH(P1471,Invoices!$B$6:$B$305,0))="Draft","Draft","Invoiced")))))))</f>
        <v/>
      </c>
      <c r="R1471" s="1">
        <f>IF(AND(B1471&lt;&gt;"",P1471&lt;&gt;"",P1471=Invoice!$G$4),B1471+MOD(N(F1471),1)+ROW()/10000000,"")</f>
        <v/>
      </c>
      <c r="S1471">
        <f>IF(R1471="","",IF(D1471="","Other work",D1471)&amp;IF(AND(K1471&lt;&gt;"",E1471&lt;&gt;""),", "&amp;E1471,""))</f>
        <v/>
      </c>
      <c r="T1471">
        <f>IF(R1471="","",IF(COUNTIFS(R$6:R1470,"&gt;0",S$6:S1470,S1471,N$6:N1470,N1471)=0,R1471,""))</f>
        <v/>
      </c>
      <c r="U1471">
        <f>IF(B1471="","",IF(J1471&lt;&gt;"",0,M1471))</f>
        <v/>
      </c>
    </row>
    <row r="1472">
      <c r="A1472" s="1" t="n"/>
      <c r="B1472" s="16" t="n"/>
      <c r="C1472" s="17" t="n"/>
      <c r="D1472" s="18" t="n"/>
      <c r="E1472" s="18" t="n"/>
      <c r="F1472" s="19" t="n"/>
      <c r="G1472" s="19" t="n"/>
      <c r="H1472" s="20" t="n"/>
      <c r="I1472" s="21" t="n"/>
      <c r="J1472" s="22" t="n"/>
      <c r="K1472" s="23" t="n"/>
      <c r="L1472" s="18" t="n"/>
      <c r="M1472" s="24">
        <f>IF(B1472="","",IF(AND(F1472&lt;&gt;"",G1472&lt;&gt;""),MAX(0,ROUND(MOD(G1472-F1472,1)*24-N(H1472)/60,2)),N(I1472)))</f>
        <v/>
      </c>
      <c r="N1472" s="14">
        <f>IF(B1472="","",IF(K1472&lt;&gt;"",K1472,IF(N(IFERROR(INDEX(Projects!$D$6:$D$65,MATCH(D1472,Projects!$B$6:$B$65,0)),""))&gt;0,IFERROR(INDEX(Projects!$D$6:$D$65,MATCH(D1472,Projects!$B$6:$B$65,0)),""),IFERROR(INDEX(Clients!$G$6:$G$45,MATCH(C1472,Clients!$B$6:$B$45,0)),0))))</f>
        <v/>
      </c>
      <c r="O1472" s="14">
        <f>IF(B1472="","",IF(J1472&lt;&gt;"",0,ROUND(M1472*N1472,2)))</f>
        <v/>
      </c>
      <c r="P1472" s="15">
        <f>IF(OR(B1472="",J1472&lt;&gt;""),"",IF(L1472&lt;&gt;"",L1472,IF(COUNTIFS(Invoices!$C$6:$C$305,C1472,Invoices!$E$6:$E$305,"&lt;="&amp;B1472,Invoices!$F$6:$F$305,"&gt;="&amp;B1472)=1,INDEX(Invoices!$B$6:$B$305,SUMIFS(Invoices!$O$6:$O$305,Invoices!$C$6:$C$305,C1472,Invoices!$E$6:$E$305,"&lt;="&amp;B1472,Invoices!$F$6:$F$305,"&gt;="&amp;B1472)),IF(COUNTIFS(Invoices!$C$6:$C$305,C1472,Invoices!$E$6:$E$305,"&lt;="&amp;B1472,Invoices!$F$6:$F$305,"&gt;="&amp;B1472)&gt;1,"Two invoices",""))))</f>
        <v/>
      </c>
      <c r="Q1472" s="15">
        <f>IF(B1472="","",IF(J1472&lt;&gt;"","Not billable",IF(P1472="","To invoice",IF(P1472="Two invoices","Check dates",IF(ISNA(MATCH(P1472,Invoices!$B$6:$B$305,0)),"Check number",IF(INDEX(Invoices!$M$6:$M$305,MATCH(P1472,Invoices!$B$6:$B$305,0))="Paid","Paid",IF(INDEX(Invoices!$M$6:$M$305,MATCH(P1472,Invoices!$B$6:$B$305,0))="Draft","Draft","Invoiced")))))))</f>
        <v/>
      </c>
      <c r="R1472" s="1">
        <f>IF(AND(B1472&lt;&gt;"",P1472&lt;&gt;"",P1472=Invoice!$G$4),B1472+MOD(N(F1472),1)+ROW()/10000000,"")</f>
        <v/>
      </c>
      <c r="S1472">
        <f>IF(R1472="","",IF(D1472="","Other work",D1472)&amp;IF(AND(K1472&lt;&gt;"",E1472&lt;&gt;""),", "&amp;E1472,""))</f>
        <v/>
      </c>
      <c r="T1472">
        <f>IF(R1472="","",IF(COUNTIFS(R$6:R1471,"&gt;0",S$6:S1471,S1472,N$6:N1471,N1472)=0,R1472,""))</f>
        <v/>
      </c>
      <c r="U1472">
        <f>IF(B1472="","",IF(J1472&lt;&gt;"",0,M1472))</f>
        <v/>
      </c>
    </row>
    <row r="1473">
      <c r="A1473" s="1" t="n"/>
      <c r="B1473" s="16" t="n"/>
      <c r="C1473" s="17" t="n"/>
      <c r="D1473" s="18" t="n"/>
      <c r="E1473" s="18" t="n"/>
      <c r="F1473" s="19" t="n"/>
      <c r="G1473" s="19" t="n"/>
      <c r="H1473" s="20" t="n"/>
      <c r="I1473" s="21" t="n"/>
      <c r="J1473" s="22" t="n"/>
      <c r="K1473" s="23" t="n"/>
      <c r="L1473" s="18" t="n"/>
      <c r="M1473" s="24">
        <f>IF(B1473="","",IF(AND(F1473&lt;&gt;"",G1473&lt;&gt;""),MAX(0,ROUND(MOD(G1473-F1473,1)*24-N(H1473)/60,2)),N(I1473)))</f>
        <v/>
      </c>
      <c r="N1473" s="14">
        <f>IF(B1473="","",IF(K1473&lt;&gt;"",K1473,IF(N(IFERROR(INDEX(Projects!$D$6:$D$65,MATCH(D1473,Projects!$B$6:$B$65,0)),""))&gt;0,IFERROR(INDEX(Projects!$D$6:$D$65,MATCH(D1473,Projects!$B$6:$B$65,0)),""),IFERROR(INDEX(Clients!$G$6:$G$45,MATCH(C1473,Clients!$B$6:$B$45,0)),0))))</f>
        <v/>
      </c>
      <c r="O1473" s="14">
        <f>IF(B1473="","",IF(J1473&lt;&gt;"",0,ROUND(M1473*N1473,2)))</f>
        <v/>
      </c>
      <c r="P1473" s="15">
        <f>IF(OR(B1473="",J1473&lt;&gt;""),"",IF(L1473&lt;&gt;"",L1473,IF(COUNTIFS(Invoices!$C$6:$C$305,C1473,Invoices!$E$6:$E$305,"&lt;="&amp;B1473,Invoices!$F$6:$F$305,"&gt;="&amp;B1473)=1,INDEX(Invoices!$B$6:$B$305,SUMIFS(Invoices!$O$6:$O$305,Invoices!$C$6:$C$305,C1473,Invoices!$E$6:$E$305,"&lt;="&amp;B1473,Invoices!$F$6:$F$305,"&gt;="&amp;B1473)),IF(COUNTIFS(Invoices!$C$6:$C$305,C1473,Invoices!$E$6:$E$305,"&lt;="&amp;B1473,Invoices!$F$6:$F$305,"&gt;="&amp;B1473)&gt;1,"Two invoices",""))))</f>
        <v/>
      </c>
      <c r="Q1473" s="15">
        <f>IF(B1473="","",IF(J1473&lt;&gt;"","Not billable",IF(P1473="","To invoice",IF(P1473="Two invoices","Check dates",IF(ISNA(MATCH(P1473,Invoices!$B$6:$B$305,0)),"Check number",IF(INDEX(Invoices!$M$6:$M$305,MATCH(P1473,Invoices!$B$6:$B$305,0))="Paid","Paid",IF(INDEX(Invoices!$M$6:$M$305,MATCH(P1473,Invoices!$B$6:$B$305,0))="Draft","Draft","Invoiced")))))))</f>
        <v/>
      </c>
      <c r="R1473" s="1">
        <f>IF(AND(B1473&lt;&gt;"",P1473&lt;&gt;"",P1473=Invoice!$G$4),B1473+MOD(N(F1473),1)+ROW()/10000000,"")</f>
        <v/>
      </c>
      <c r="S1473">
        <f>IF(R1473="","",IF(D1473="","Other work",D1473)&amp;IF(AND(K1473&lt;&gt;"",E1473&lt;&gt;""),", "&amp;E1473,""))</f>
        <v/>
      </c>
      <c r="T1473">
        <f>IF(R1473="","",IF(COUNTIFS(R$6:R1472,"&gt;0",S$6:S1472,S1473,N$6:N1472,N1473)=0,R1473,""))</f>
        <v/>
      </c>
      <c r="U1473">
        <f>IF(B1473="","",IF(J1473&lt;&gt;"",0,M1473))</f>
        <v/>
      </c>
    </row>
    <row r="1474">
      <c r="A1474" s="1" t="n"/>
      <c r="B1474" s="16" t="n"/>
      <c r="C1474" s="17" t="n"/>
      <c r="D1474" s="18" t="n"/>
      <c r="E1474" s="18" t="n"/>
      <c r="F1474" s="19" t="n"/>
      <c r="G1474" s="19" t="n"/>
      <c r="H1474" s="20" t="n"/>
      <c r="I1474" s="21" t="n"/>
      <c r="J1474" s="22" t="n"/>
      <c r="K1474" s="23" t="n"/>
      <c r="L1474" s="18" t="n"/>
      <c r="M1474" s="24">
        <f>IF(B1474="","",IF(AND(F1474&lt;&gt;"",G1474&lt;&gt;""),MAX(0,ROUND(MOD(G1474-F1474,1)*24-N(H1474)/60,2)),N(I1474)))</f>
        <v/>
      </c>
      <c r="N1474" s="14">
        <f>IF(B1474="","",IF(K1474&lt;&gt;"",K1474,IF(N(IFERROR(INDEX(Projects!$D$6:$D$65,MATCH(D1474,Projects!$B$6:$B$65,0)),""))&gt;0,IFERROR(INDEX(Projects!$D$6:$D$65,MATCH(D1474,Projects!$B$6:$B$65,0)),""),IFERROR(INDEX(Clients!$G$6:$G$45,MATCH(C1474,Clients!$B$6:$B$45,0)),0))))</f>
        <v/>
      </c>
      <c r="O1474" s="14">
        <f>IF(B1474="","",IF(J1474&lt;&gt;"",0,ROUND(M1474*N1474,2)))</f>
        <v/>
      </c>
      <c r="P1474" s="15">
        <f>IF(OR(B1474="",J1474&lt;&gt;""),"",IF(L1474&lt;&gt;"",L1474,IF(COUNTIFS(Invoices!$C$6:$C$305,C1474,Invoices!$E$6:$E$305,"&lt;="&amp;B1474,Invoices!$F$6:$F$305,"&gt;="&amp;B1474)=1,INDEX(Invoices!$B$6:$B$305,SUMIFS(Invoices!$O$6:$O$305,Invoices!$C$6:$C$305,C1474,Invoices!$E$6:$E$305,"&lt;="&amp;B1474,Invoices!$F$6:$F$305,"&gt;="&amp;B1474)),IF(COUNTIFS(Invoices!$C$6:$C$305,C1474,Invoices!$E$6:$E$305,"&lt;="&amp;B1474,Invoices!$F$6:$F$305,"&gt;="&amp;B1474)&gt;1,"Two invoices",""))))</f>
        <v/>
      </c>
      <c r="Q1474" s="15">
        <f>IF(B1474="","",IF(J1474&lt;&gt;"","Not billable",IF(P1474="","To invoice",IF(P1474="Two invoices","Check dates",IF(ISNA(MATCH(P1474,Invoices!$B$6:$B$305,0)),"Check number",IF(INDEX(Invoices!$M$6:$M$305,MATCH(P1474,Invoices!$B$6:$B$305,0))="Paid","Paid",IF(INDEX(Invoices!$M$6:$M$305,MATCH(P1474,Invoices!$B$6:$B$305,0))="Draft","Draft","Invoiced")))))))</f>
        <v/>
      </c>
      <c r="R1474" s="1">
        <f>IF(AND(B1474&lt;&gt;"",P1474&lt;&gt;"",P1474=Invoice!$G$4),B1474+MOD(N(F1474),1)+ROW()/10000000,"")</f>
        <v/>
      </c>
      <c r="S1474">
        <f>IF(R1474="","",IF(D1474="","Other work",D1474)&amp;IF(AND(K1474&lt;&gt;"",E1474&lt;&gt;""),", "&amp;E1474,""))</f>
        <v/>
      </c>
      <c r="T1474">
        <f>IF(R1474="","",IF(COUNTIFS(R$6:R1473,"&gt;0",S$6:S1473,S1474,N$6:N1473,N1474)=0,R1474,""))</f>
        <v/>
      </c>
      <c r="U1474">
        <f>IF(B1474="","",IF(J1474&lt;&gt;"",0,M1474))</f>
        <v/>
      </c>
    </row>
    <row r="1475">
      <c r="A1475" s="1" t="n"/>
      <c r="B1475" s="16" t="n"/>
      <c r="C1475" s="17" t="n"/>
      <c r="D1475" s="18" t="n"/>
      <c r="E1475" s="18" t="n"/>
      <c r="F1475" s="19" t="n"/>
      <c r="G1475" s="19" t="n"/>
      <c r="H1475" s="20" t="n"/>
      <c r="I1475" s="21" t="n"/>
      <c r="J1475" s="22" t="n"/>
      <c r="K1475" s="23" t="n"/>
      <c r="L1475" s="18" t="n"/>
      <c r="M1475" s="24">
        <f>IF(B1475="","",IF(AND(F1475&lt;&gt;"",G1475&lt;&gt;""),MAX(0,ROUND(MOD(G1475-F1475,1)*24-N(H1475)/60,2)),N(I1475)))</f>
        <v/>
      </c>
      <c r="N1475" s="14">
        <f>IF(B1475="","",IF(K1475&lt;&gt;"",K1475,IF(N(IFERROR(INDEX(Projects!$D$6:$D$65,MATCH(D1475,Projects!$B$6:$B$65,0)),""))&gt;0,IFERROR(INDEX(Projects!$D$6:$D$65,MATCH(D1475,Projects!$B$6:$B$65,0)),""),IFERROR(INDEX(Clients!$G$6:$G$45,MATCH(C1475,Clients!$B$6:$B$45,0)),0))))</f>
        <v/>
      </c>
      <c r="O1475" s="14">
        <f>IF(B1475="","",IF(J1475&lt;&gt;"",0,ROUND(M1475*N1475,2)))</f>
        <v/>
      </c>
      <c r="P1475" s="15">
        <f>IF(OR(B1475="",J1475&lt;&gt;""),"",IF(L1475&lt;&gt;"",L1475,IF(COUNTIFS(Invoices!$C$6:$C$305,C1475,Invoices!$E$6:$E$305,"&lt;="&amp;B1475,Invoices!$F$6:$F$305,"&gt;="&amp;B1475)=1,INDEX(Invoices!$B$6:$B$305,SUMIFS(Invoices!$O$6:$O$305,Invoices!$C$6:$C$305,C1475,Invoices!$E$6:$E$305,"&lt;="&amp;B1475,Invoices!$F$6:$F$305,"&gt;="&amp;B1475)),IF(COUNTIFS(Invoices!$C$6:$C$305,C1475,Invoices!$E$6:$E$305,"&lt;="&amp;B1475,Invoices!$F$6:$F$305,"&gt;="&amp;B1475)&gt;1,"Two invoices",""))))</f>
        <v/>
      </c>
      <c r="Q1475" s="15">
        <f>IF(B1475="","",IF(J1475&lt;&gt;"","Not billable",IF(P1475="","To invoice",IF(P1475="Two invoices","Check dates",IF(ISNA(MATCH(P1475,Invoices!$B$6:$B$305,0)),"Check number",IF(INDEX(Invoices!$M$6:$M$305,MATCH(P1475,Invoices!$B$6:$B$305,0))="Paid","Paid",IF(INDEX(Invoices!$M$6:$M$305,MATCH(P1475,Invoices!$B$6:$B$305,0))="Draft","Draft","Invoiced")))))))</f>
        <v/>
      </c>
      <c r="R1475" s="1">
        <f>IF(AND(B1475&lt;&gt;"",P1475&lt;&gt;"",P1475=Invoice!$G$4),B1475+MOD(N(F1475),1)+ROW()/10000000,"")</f>
        <v/>
      </c>
      <c r="S1475">
        <f>IF(R1475="","",IF(D1475="","Other work",D1475)&amp;IF(AND(K1475&lt;&gt;"",E1475&lt;&gt;""),", "&amp;E1475,""))</f>
        <v/>
      </c>
      <c r="T1475">
        <f>IF(R1475="","",IF(COUNTIFS(R$6:R1474,"&gt;0",S$6:S1474,S1475,N$6:N1474,N1475)=0,R1475,""))</f>
        <v/>
      </c>
      <c r="U1475">
        <f>IF(B1475="","",IF(J1475&lt;&gt;"",0,M1475))</f>
        <v/>
      </c>
    </row>
    <row r="1476">
      <c r="A1476" s="1" t="n"/>
      <c r="B1476" s="16" t="n"/>
      <c r="C1476" s="17" t="n"/>
      <c r="D1476" s="18" t="n"/>
      <c r="E1476" s="18" t="n"/>
      <c r="F1476" s="19" t="n"/>
      <c r="G1476" s="19" t="n"/>
      <c r="H1476" s="20" t="n"/>
      <c r="I1476" s="21" t="n"/>
      <c r="J1476" s="22" t="n"/>
      <c r="K1476" s="23" t="n"/>
      <c r="L1476" s="18" t="n"/>
      <c r="M1476" s="24">
        <f>IF(B1476="","",IF(AND(F1476&lt;&gt;"",G1476&lt;&gt;""),MAX(0,ROUND(MOD(G1476-F1476,1)*24-N(H1476)/60,2)),N(I1476)))</f>
        <v/>
      </c>
      <c r="N1476" s="14">
        <f>IF(B1476="","",IF(K1476&lt;&gt;"",K1476,IF(N(IFERROR(INDEX(Projects!$D$6:$D$65,MATCH(D1476,Projects!$B$6:$B$65,0)),""))&gt;0,IFERROR(INDEX(Projects!$D$6:$D$65,MATCH(D1476,Projects!$B$6:$B$65,0)),""),IFERROR(INDEX(Clients!$G$6:$G$45,MATCH(C1476,Clients!$B$6:$B$45,0)),0))))</f>
        <v/>
      </c>
      <c r="O1476" s="14">
        <f>IF(B1476="","",IF(J1476&lt;&gt;"",0,ROUND(M1476*N1476,2)))</f>
        <v/>
      </c>
      <c r="P1476" s="15">
        <f>IF(OR(B1476="",J1476&lt;&gt;""),"",IF(L1476&lt;&gt;"",L1476,IF(COUNTIFS(Invoices!$C$6:$C$305,C1476,Invoices!$E$6:$E$305,"&lt;="&amp;B1476,Invoices!$F$6:$F$305,"&gt;="&amp;B1476)=1,INDEX(Invoices!$B$6:$B$305,SUMIFS(Invoices!$O$6:$O$305,Invoices!$C$6:$C$305,C1476,Invoices!$E$6:$E$305,"&lt;="&amp;B1476,Invoices!$F$6:$F$305,"&gt;="&amp;B1476)),IF(COUNTIFS(Invoices!$C$6:$C$305,C1476,Invoices!$E$6:$E$305,"&lt;="&amp;B1476,Invoices!$F$6:$F$305,"&gt;="&amp;B1476)&gt;1,"Two invoices",""))))</f>
        <v/>
      </c>
      <c r="Q1476" s="15">
        <f>IF(B1476="","",IF(J1476&lt;&gt;"","Not billable",IF(P1476="","To invoice",IF(P1476="Two invoices","Check dates",IF(ISNA(MATCH(P1476,Invoices!$B$6:$B$305,0)),"Check number",IF(INDEX(Invoices!$M$6:$M$305,MATCH(P1476,Invoices!$B$6:$B$305,0))="Paid","Paid",IF(INDEX(Invoices!$M$6:$M$305,MATCH(P1476,Invoices!$B$6:$B$305,0))="Draft","Draft","Invoiced")))))))</f>
        <v/>
      </c>
      <c r="R1476" s="1">
        <f>IF(AND(B1476&lt;&gt;"",P1476&lt;&gt;"",P1476=Invoice!$G$4),B1476+MOD(N(F1476),1)+ROW()/10000000,"")</f>
        <v/>
      </c>
      <c r="S1476">
        <f>IF(R1476="","",IF(D1476="","Other work",D1476)&amp;IF(AND(K1476&lt;&gt;"",E1476&lt;&gt;""),", "&amp;E1476,""))</f>
        <v/>
      </c>
      <c r="T1476">
        <f>IF(R1476="","",IF(COUNTIFS(R$6:R1475,"&gt;0",S$6:S1475,S1476,N$6:N1475,N1476)=0,R1476,""))</f>
        <v/>
      </c>
      <c r="U1476">
        <f>IF(B1476="","",IF(J1476&lt;&gt;"",0,M1476))</f>
        <v/>
      </c>
    </row>
    <row r="1477">
      <c r="A1477" s="1" t="n"/>
      <c r="B1477" s="16" t="n"/>
      <c r="C1477" s="17" t="n"/>
      <c r="D1477" s="18" t="n"/>
      <c r="E1477" s="18" t="n"/>
      <c r="F1477" s="19" t="n"/>
      <c r="G1477" s="19" t="n"/>
      <c r="H1477" s="20" t="n"/>
      <c r="I1477" s="21" t="n"/>
      <c r="J1477" s="22" t="n"/>
      <c r="K1477" s="23" t="n"/>
      <c r="L1477" s="18" t="n"/>
      <c r="M1477" s="24">
        <f>IF(B1477="","",IF(AND(F1477&lt;&gt;"",G1477&lt;&gt;""),MAX(0,ROUND(MOD(G1477-F1477,1)*24-N(H1477)/60,2)),N(I1477)))</f>
        <v/>
      </c>
      <c r="N1477" s="14">
        <f>IF(B1477="","",IF(K1477&lt;&gt;"",K1477,IF(N(IFERROR(INDEX(Projects!$D$6:$D$65,MATCH(D1477,Projects!$B$6:$B$65,0)),""))&gt;0,IFERROR(INDEX(Projects!$D$6:$D$65,MATCH(D1477,Projects!$B$6:$B$65,0)),""),IFERROR(INDEX(Clients!$G$6:$G$45,MATCH(C1477,Clients!$B$6:$B$45,0)),0))))</f>
        <v/>
      </c>
      <c r="O1477" s="14">
        <f>IF(B1477="","",IF(J1477&lt;&gt;"",0,ROUND(M1477*N1477,2)))</f>
        <v/>
      </c>
      <c r="P1477" s="15">
        <f>IF(OR(B1477="",J1477&lt;&gt;""),"",IF(L1477&lt;&gt;"",L1477,IF(COUNTIFS(Invoices!$C$6:$C$305,C1477,Invoices!$E$6:$E$305,"&lt;="&amp;B1477,Invoices!$F$6:$F$305,"&gt;="&amp;B1477)=1,INDEX(Invoices!$B$6:$B$305,SUMIFS(Invoices!$O$6:$O$305,Invoices!$C$6:$C$305,C1477,Invoices!$E$6:$E$305,"&lt;="&amp;B1477,Invoices!$F$6:$F$305,"&gt;="&amp;B1477)),IF(COUNTIFS(Invoices!$C$6:$C$305,C1477,Invoices!$E$6:$E$305,"&lt;="&amp;B1477,Invoices!$F$6:$F$305,"&gt;="&amp;B1477)&gt;1,"Two invoices",""))))</f>
        <v/>
      </c>
      <c r="Q1477" s="15">
        <f>IF(B1477="","",IF(J1477&lt;&gt;"","Not billable",IF(P1477="","To invoice",IF(P1477="Two invoices","Check dates",IF(ISNA(MATCH(P1477,Invoices!$B$6:$B$305,0)),"Check number",IF(INDEX(Invoices!$M$6:$M$305,MATCH(P1477,Invoices!$B$6:$B$305,0))="Paid","Paid",IF(INDEX(Invoices!$M$6:$M$305,MATCH(P1477,Invoices!$B$6:$B$305,0))="Draft","Draft","Invoiced")))))))</f>
        <v/>
      </c>
      <c r="R1477" s="1">
        <f>IF(AND(B1477&lt;&gt;"",P1477&lt;&gt;"",P1477=Invoice!$G$4),B1477+MOD(N(F1477),1)+ROW()/10000000,"")</f>
        <v/>
      </c>
      <c r="S1477">
        <f>IF(R1477="","",IF(D1477="","Other work",D1477)&amp;IF(AND(K1477&lt;&gt;"",E1477&lt;&gt;""),", "&amp;E1477,""))</f>
        <v/>
      </c>
      <c r="T1477">
        <f>IF(R1477="","",IF(COUNTIFS(R$6:R1476,"&gt;0",S$6:S1476,S1477,N$6:N1476,N1477)=0,R1477,""))</f>
        <v/>
      </c>
      <c r="U1477">
        <f>IF(B1477="","",IF(J1477&lt;&gt;"",0,M1477))</f>
        <v/>
      </c>
    </row>
    <row r="1478">
      <c r="A1478" s="1" t="n"/>
      <c r="B1478" s="16" t="n"/>
      <c r="C1478" s="17" t="n"/>
      <c r="D1478" s="18" t="n"/>
      <c r="E1478" s="18" t="n"/>
      <c r="F1478" s="19" t="n"/>
      <c r="G1478" s="19" t="n"/>
      <c r="H1478" s="20" t="n"/>
      <c r="I1478" s="21" t="n"/>
      <c r="J1478" s="22" t="n"/>
      <c r="K1478" s="23" t="n"/>
      <c r="L1478" s="18" t="n"/>
      <c r="M1478" s="24">
        <f>IF(B1478="","",IF(AND(F1478&lt;&gt;"",G1478&lt;&gt;""),MAX(0,ROUND(MOD(G1478-F1478,1)*24-N(H1478)/60,2)),N(I1478)))</f>
        <v/>
      </c>
      <c r="N1478" s="14">
        <f>IF(B1478="","",IF(K1478&lt;&gt;"",K1478,IF(N(IFERROR(INDEX(Projects!$D$6:$D$65,MATCH(D1478,Projects!$B$6:$B$65,0)),""))&gt;0,IFERROR(INDEX(Projects!$D$6:$D$65,MATCH(D1478,Projects!$B$6:$B$65,0)),""),IFERROR(INDEX(Clients!$G$6:$G$45,MATCH(C1478,Clients!$B$6:$B$45,0)),0))))</f>
        <v/>
      </c>
      <c r="O1478" s="14">
        <f>IF(B1478="","",IF(J1478&lt;&gt;"",0,ROUND(M1478*N1478,2)))</f>
        <v/>
      </c>
      <c r="P1478" s="15">
        <f>IF(OR(B1478="",J1478&lt;&gt;""),"",IF(L1478&lt;&gt;"",L1478,IF(COUNTIFS(Invoices!$C$6:$C$305,C1478,Invoices!$E$6:$E$305,"&lt;="&amp;B1478,Invoices!$F$6:$F$305,"&gt;="&amp;B1478)=1,INDEX(Invoices!$B$6:$B$305,SUMIFS(Invoices!$O$6:$O$305,Invoices!$C$6:$C$305,C1478,Invoices!$E$6:$E$305,"&lt;="&amp;B1478,Invoices!$F$6:$F$305,"&gt;="&amp;B1478)),IF(COUNTIFS(Invoices!$C$6:$C$305,C1478,Invoices!$E$6:$E$305,"&lt;="&amp;B1478,Invoices!$F$6:$F$305,"&gt;="&amp;B1478)&gt;1,"Two invoices",""))))</f>
        <v/>
      </c>
      <c r="Q1478" s="15">
        <f>IF(B1478="","",IF(J1478&lt;&gt;"","Not billable",IF(P1478="","To invoice",IF(P1478="Two invoices","Check dates",IF(ISNA(MATCH(P1478,Invoices!$B$6:$B$305,0)),"Check number",IF(INDEX(Invoices!$M$6:$M$305,MATCH(P1478,Invoices!$B$6:$B$305,0))="Paid","Paid",IF(INDEX(Invoices!$M$6:$M$305,MATCH(P1478,Invoices!$B$6:$B$305,0))="Draft","Draft","Invoiced")))))))</f>
        <v/>
      </c>
      <c r="R1478" s="1">
        <f>IF(AND(B1478&lt;&gt;"",P1478&lt;&gt;"",P1478=Invoice!$G$4),B1478+MOD(N(F1478),1)+ROW()/10000000,"")</f>
        <v/>
      </c>
      <c r="S1478">
        <f>IF(R1478="","",IF(D1478="","Other work",D1478)&amp;IF(AND(K1478&lt;&gt;"",E1478&lt;&gt;""),", "&amp;E1478,""))</f>
        <v/>
      </c>
      <c r="T1478">
        <f>IF(R1478="","",IF(COUNTIFS(R$6:R1477,"&gt;0",S$6:S1477,S1478,N$6:N1477,N1478)=0,R1478,""))</f>
        <v/>
      </c>
      <c r="U1478">
        <f>IF(B1478="","",IF(J1478&lt;&gt;"",0,M1478))</f>
        <v/>
      </c>
    </row>
    <row r="1479">
      <c r="A1479" s="1" t="n"/>
      <c r="B1479" s="16" t="n"/>
      <c r="C1479" s="17" t="n"/>
      <c r="D1479" s="18" t="n"/>
      <c r="E1479" s="18" t="n"/>
      <c r="F1479" s="19" t="n"/>
      <c r="G1479" s="19" t="n"/>
      <c r="H1479" s="20" t="n"/>
      <c r="I1479" s="21" t="n"/>
      <c r="J1479" s="22" t="n"/>
      <c r="K1479" s="23" t="n"/>
      <c r="L1479" s="18" t="n"/>
      <c r="M1479" s="24">
        <f>IF(B1479="","",IF(AND(F1479&lt;&gt;"",G1479&lt;&gt;""),MAX(0,ROUND(MOD(G1479-F1479,1)*24-N(H1479)/60,2)),N(I1479)))</f>
        <v/>
      </c>
      <c r="N1479" s="14">
        <f>IF(B1479="","",IF(K1479&lt;&gt;"",K1479,IF(N(IFERROR(INDEX(Projects!$D$6:$D$65,MATCH(D1479,Projects!$B$6:$B$65,0)),""))&gt;0,IFERROR(INDEX(Projects!$D$6:$D$65,MATCH(D1479,Projects!$B$6:$B$65,0)),""),IFERROR(INDEX(Clients!$G$6:$G$45,MATCH(C1479,Clients!$B$6:$B$45,0)),0))))</f>
        <v/>
      </c>
      <c r="O1479" s="14">
        <f>IF(B1479="","",IF(J1479&lt;&gt;"",0,ROUND(M1479*N1479,2)))</f>
        <v/>
      </c>
      <c r="P1479" s="15">
        <f>IF(OR(B1479="",J1479&lt;&gt;""),"",IF(L1479&lt;&gt;"",L1479,IF(COUNTIFS(Invoices!$C$6:$C$305,C1479,Invoices!$E$6:$E$305,"&lt;="&amp;B1479,Invoices!$F$6:$F$305,"&gt;="&amp;B1479)=1,INDEX(Invoices!$B$6:$B$305,SUMIFS(Invoices!$O$6:$O$305,Invoices!$C$6:$C$305,C1479,Invoices!$E$6:$E$305,"&lt;="&amp;B1479,Invoices!$F$6:$F$305,"&gt;="&amp;B1479)),IF(COUNTIFS(Invoices!$C$6:$C$305,C1479,Invoices!$E$6:$E$305,"&lt;="&amp;B1479,Invoices!$F$6:$F$305,"&gt;="&amp;B1479)&gt;1,"Two invoices",""))))</f>
        <v/>
      </c>
      <c r="Q1479" s="15">
        <f>IF(B1479="","",IF(J1479&lt;&gt;"","Not billable",IF(P1479="","To invoice",IF(P1479="Two invoices","Check dates",IF(ISNA(MATCH(P1479,Invoices!$B$6:$B$305,0)),"Check number",IF(INDEX(Invoices!$M$6:$M$305,MATCH(P1479,Invoices!$B$6:$B$305,0))="Paid","Paid",IF(INDEX(Invoices!$M$6:$M$305,MATCH(P1479,Invoices!$B$6:$B$305,0))="Draft","Draft","Invoiced")))))))</f>
        <v/>
      </c>
      <c r="R1479" s="1">
        <f>IF(AND(B1479&lt;&gt;"",P1479&lt;&gt;"",P1479=Invoice!$G$4),B1479+MOD(N(F1479),1)+ROW()/10000000,"")</f>
        <v/>
      </c>
      <c r="S1479">
        <f>IF(R1479="","",IF(D1479="","Other work",D1479)&amp;IF(AND(K1479&lt;&gt;"",E1479&lt;&gt;""),", "&amp;E1479,""))</f>
        <v/>
      </c>
      <c r="T1479">
        <f>IF(R1479="","",IF(COUNTIFS(R$6:R1478,"&gt;0",S$6:S1478,S1479,N$6:N1478,N1479)=0,R1479,""))</f>
        <v/>
      </c>
      <c r="U1479">
        <f>IF(B1479="","",IF(J1479&lt;&gt;"",0,M1479))</f>
        <v/>
      </c>
    </row>
    <row r="1480">
      <c r="A1480" s="1" t="n"/>
      <c r="B1480" s="16" t="n"/>
      <c r="C1480" s="17" t="n"/>
      <c r="D1480" s="18" t="n"/>
      <c r="E1480" s="18" t="n"/>
      <c r="F1480" s="19" t="n"/>
      <c r="G1480" s="19" t="n"/>
      <c r="H1480" s="20" t="n"/>
      <c r="I1480" s="21" t="n"/>
      <c r="J1480" s="22" t="n"/>
      <c r="K1480" s="23" t="n"/>
      <c r="L1480" s="18" t="n"/>
      <c r="M1480" s="24">
        <f>IF(B1480="","",IF(AND(F1480&lt;&gt;"",G1480&lt;&gt;""),MAX(0,ROUND(MOD(G1480-F1480,1)*24-N(H1480)/60,2)),N(I1480)))</f>
        <v/>
      </c>
      <c r="N1480" s="14">
        <f>IF(B1480="","",IF(K1480&lt;&gt;"",K1480,IF(N(IFERROR(INDEX(Projects!$D$6:$D$65,MATCH(D1480,Projects!$B$6:$B$65,0)),""))&gt;0,IFERROR(INDEX(Projects!$D$6:$D$65,MATCH(D1480,Projects!$B$6:$B$65,0)),""),IFERROR(INDEX(Clients!$G$6:$G$45,MATCH(C1480,Clients!$B$6:$B$45,0)),0))))</f>
        <v/>
      </c>
      <c r="O1480" s="14">
        <f>IF(B1480="","",IF(J1480&lt;&gt;"",0,ROUND(M1480*N1480,2)))</f>
        <v/>
      </c>
      <c r="P1480" s="15">
        <f>IF(OR(B1480="",J1480&lt;&gt;""),"",IF(L1480&lt;&gt;"",L1480,IF(COUNTIFS(Invoices!$C$6:$C$305,C1480,Invoices!$E$6:$E$305,"&lt;="&amp;B1480,Invoices!$F$6:$F$305,"&gt;="&amp;B1480)=1,INDEX(Invoices!$B$6:$B$305,SUMIFS(Invoices!$O$6:$O$305,Invoices!$C$6:$C$305,C1480,Invoices!$E$6:$E$305,"&lt;="&amp;B1480,Invoices!$F$6:$F$305,"&gt;="&amp;B1480)),IF(COUNTIFS(Invoices!$C$6:$C$305,C1480,Invoices!$E$6:$E$305,"&lt;="&amp;B1480,Invoices!$F$6:$F$305,"&gt;="&amp;B1480)&gt;1,"Two invoices",""))))</f>
        <v/>
      </c>
      <c r="Q1480" s="15">
        <f>IF(B1480="","",IF(J1480&lt;&gt;"","Not billable",IF(P1480="","To invoice",IF(P1480="Two invoices","Check dates",IF(ISNA(MATCH(P1480,Invoices!$B$6:$B$305,0)),"Check number",IF(INDEX(Invoices!$M$6:$M$305,MATCH(P1480,Invoices!$B$6:$B$305,0))="Paid","Paid",IF(INDEX(Invoices!$M$6:$M$305,MATCH(P1480,Invoices!$B$6:$B$305,0))="Draft","Draft","Invoiced")))))))</f>
        <v/>
      </c>
      <c r="R1480" s="1">
        <f>IF(AND(B1480&lt;&gt;"",P1480&lt;&gt;"",P1480=Invoice!$G$4),B1480+MOD(N(F1480),1)+ROW()/10000000,"")</f>
        <v/>
      </c>
      <c r="S1480">
        <f>IF(R1480="","",IF(D1480="","Other work",D1480)&amp;IF(AND(K1480&lt;&gt;"",E1480&lt;&gt;""),", "&amp;E1480,""))</f>
        <v/>
      </c>
      <c r="T1480">
        <f>IF(R1480="","",IF(COUNTIFS(R$6:R1479,"&gt;0",S$6:S1479,S1480,N$6:N1479,N1480)=0,R1480,""))</f>
        <v/>
      </c>
      <c r="U1480">
        <f>IF(B1480="","",IF(J1480&lt;&gt;"",0,M1480))</f>
        <v/>
      </c>
    </row>
    <row r="1481">
      <c r="A1481" s="1" t="n"/>
      <c r="B1481" s="16" t="n"/>
      <c r="C1481" s="17" t="n"/>
      <c r="D1481" s="18" t="n"/>
      <c r="E1481" s="18" t="n"/>
      <c r="F1481" s="19" t="n"/>
      <c r="G1481" s="19" t="n"/>
      <c r="H1481" s="20" t="n"/>
      <c r="I1481" s="21" t="n"/>
      <c r="J1481" s="22" t="n"/>
      <c r="K1481" s="23" t="n"/>
      <c r="L1481" s="18" t="n"/>
      <c r="M1481" s="24">
        <f>IF(B1481="","",IF(AND(F1481&lt;&gt;"",G1481&lt;&gt;""),MAX(0,ROUND(MOD(G1481-F1481,1)*24-N(H1481)/60,2)),N(I1481)))</f>
        <v/>
      </c>
      <c r="N1481" s="14">
        <f>IF(B1481="","",IF(K1481&lt;&gt;"",K1481,IF(N(IFERROR(INDEX(Projects!$D$6:$D$65,MATCH(D1481,Projects!$B$6:$B$65,0)),""))&gt;0,IFERROR(INDEX(Projects!$D$6:$D$65,MATCH(D1481,Projects!$B$6:$B$65,0)),""),IFERROR(INDEX(Clients!$G$6:$G$45,MATCH(C1481,Clients!$B$6:$B$45,0)),0))))</f>
        <v/>
      </c>
      <c r="O1481" s="14">
        <f>IF(B1481="","",IF(J1481&lt;&gt;"",0,ROUND(M1481*N1481,2)))</f>
        <v/>
      </c>
      <c r="P1481" s="15">
        <f>IF(OR(B1481="",J1481&lt;&gt;""),"",IF(L1481&lt;&gt;"",L1481,IF(COUNTIFS(Invoices!$C$6:$C$305,C1481,Invoices!$E$6:$E$305,"&lt;="&amp;B1481,Invoices!$F$6:$F$305,"&gt;="&amp;B1481)=1,INDEX(Invoices!$B$6:$B$305,SUMIFS(Invoices!$O$6:$O$305,Invoices!$C$6:$C$305,C1481,Invoices!$E$6:$E$305,"&lt;="&amp;B1481,Invoices!$F$6:$F$305,"&gt;="&amp;B1481)),IF(COUNTIFS(Invoices!$C$6:$C$305,C1481,Invoices!$E$6:$E$305,"&lt;="&amp;B1481,Invoices!$F$6:$F$305,"&gt;="&amp;B1481)&gt;1,"Two invoices",""))))</f>
        <v/>
      </c>
      <c r="Q1481" s="15">
        <f>IF(B1481="","",IF(J1481&lt;&gt;"","Not billable",IF(P1481="","To invoice",IF(P1481="Two invoices","Check dates",IF(ISNA(MATCH(P1481,Invoices!$B$6:$B$305,0)),"Check number",IF(INDEX(Invoices!$M$6:$M$305,MATCH(P1481,Invoices!$B$6:$B$305,0))="Paid","Paid",IF(INDEX(Invoices!$M$6:$M$305,MATCH(P1481,Invoices!$B$6:$B$305,0))="Draft","Draft","Invoiced")))))))</f>
        <v/>
      </c>
      <c r="R1481" s="1">
        <f>IF(AND(B1481&lt;&gt;"",P1481&lt;&gt;"",P1481=Invoice!$G$4),B1481+MOD(N(F1481),1)+ROW()/10000000,"")</f>
        <v/>
      </c>
      <c r="S1481">
        <f>IF(R1481="","",IF(D1481="","Other work",D1481)&amp;IF(AND(K1481&lt;&gt;"",E1481&lt;&gt;""),", "&amp;E1481,""))</f>
        <v/>
      </c>
      <c r="T1481">
        <f>IF(R1481="","",IF(COUNTIFS(R$6:R1480,"&gt;0",S$6:S1480,S1481,N$6:N1480,N1481)=0,R1481,""))</f>
        <v/>
      </c>
      <c r="U1481">
        <f>IF(B1481="","",IF(J1481&lt;&gt;"",0,M1481))</f>
        <v/>
      </c>
    </row>
    <row r="1482">
      <c r="A1482" s="1" t="n"/>
      <c r="B1482" s="16" t="n"/>
      <c r="C1482" s="17" t="n"/>
      <c r="D1482" s="18" t="n"/>
      <c r="E1482" s="18" t="n"/>
      <c r="F1482" s="19" t="n"/>
      <c r="G1482" s="19" t="n"/>
      <c r="H1482" s="20" t="n"/>
      <c r="I1482" s="21" t="n"/>
      <c r="J1482" s="22" t="n"/>
      <c r="K1482" s="23" t="n"/>
      <c r="L1482" s="18" t="n"/>
      <c r="M1482" s="24">
        <f>IF(B1482="","",IF(AND(F1482&lt;&gt;"",G1482&lt;&gt;""),MAX(0,ROUND(MOD(G1482-F1482,1)*24-N(H1482)/60,2)),N(I1482)))</f>
        <v/>
      </c>
      <c r="N1482" s="14">
        <f>IF(B1482="","",IF(K1482&lt;&gt;"",K1482,IF(N(IFERROR(INDEX(Projects!$D$6:$D$65,MATCH(D1482,Projects!$B$6:$B$65,0)),""))&gt;0,IFERROR(INDEX(Projects!$D$6:$D$65,MATCH(D1482,Projects!$B$6:$B$65,0)),""),IFERROR(INDEX(Clients!$G$6:$G$45,MATCH(C1482,Clients!$B$6:$B$45,0)),0))))</f>
        <v/>
      </c>
      <c r="O1482" s="14">
        <f>IF(B1482="","",IF(J1482&lt;&gt;"",0,ROUND(M1482*N1482,2)))</f>
        <v/>
      </c>
      <c r="P1482" s="15">
        <f>IF(OR(B1482="",J1482&lt;&gt;""),"",IF(L1482&lt;&gt;"",L1482,IF(COUNTIFS(Invoices!$C$6:$C$305,C1482,Invoices!$E$6:$E$305,"&lt;="&amp;B1482,Invoices!$F$6:$F$305,"&gt;="&amp;B1482)=1,INDEX(Invoices!$B$6:$B$305,SUMIFS(Invoices!$O$6:$O$305,Invoices!$C$6:$C$305,C1482,Invoices!$E$6:$E$305,"&lt;="&amp;B1482,Invoices!$F$6:$F$305,"&gt;="&amp;B1482)),IF(COUNTIFS(Invoices!$C$6:$C$305,C1482,Invoices!$E$6:$E$305,"&lt;="&amp;B1482,Invoices!$F$6:$F$305,"&gt;="&amp;B1482)&gt;1,"Two invoices",""))))</f>
        <v/>
      </c>
      <c r="Q1482" s="15">
        <f>IF(B1482="","",IF(J1482&lt;&gt;"","Not billable",IF(P1482="","To invoice",IF(P1482="Two invoices","Check dates",IF(ISNA(MATCH(P1482,Invoices!$B$6:$B$305,0)),"Check number",IF(INDEX(Invoices!$M$6:$M$305,MATCH(P1482,Invoices!$B$6:$B$305,0))="Paid","Paid",IF(INDEX(Invoices!$M$6:$M$305,MATCH(P1482,Invoices!$B$6:$B$305,0))="Draft","Draft","Invoiced")))))))</f>
        <v/>
      </c>
      <c r="R1482" s="1">
        <f>IF(AND(B1482&lt;&gt;"",P1482&lt;&gt;"",P1482=Invoice!$G$4),B1482+MOD(N(F1482),1)+ROW()/10000000,"")</f>
        <v/>
      </c>
      <c r="S1482">
        <f>IF(R1482="","",IF(D1482="","Other work",D1482)&amp;IF(AND(K1482&lt;&gt;"",E1482&lt;&gt;""),", "&amp;E1482,""))</f>
        <v/>
      </c>
      <c r="T1482">
        <f>IF(R1482="","",IF(COUNTIFS(R$6:R1481,"&gt;0",S$6:S1481,S1482,N$6:N1481,N1482)=0,R1482,""))</f>
        <v/>
      </c>
      <c r="U1482">
        <f>IF(B1482="","",IF(J1482&lt;&gt;"",0,M1482))</f>
        <v/>
      </c>
    </row>
    <row r="1483">
      <c r="A1483" s="1" t="n"/>
      <c r="B1483" s="16" t="n"/>
      <c r="C1483" s="17" t="n"/>
      <c r="D1483" s="18" t="n"/>
      <c r="E1483" s="18" t="n"/>
      <c r="F1483" s="19" t="n"/>
      <c r="G1483" s="19" t="n"/>
      <c r="H1483" s="20" t="n"/>
      <c r="I1483" s="21" t="n"/>
      <c r="J1483" s="22" t="n"/>
      <c r="K1483" s="23" t="n"/>
      <c r="L1483" s="18" t="n"/>
      <c r="M1483" s="24">
        <f>IF(B1483="","",IF(AND(F1483&lt;&gt;"",G1483&lt;&gt;""),MAX(0,ROUND(MOD(G1483-F1483,1)*24-N(H1483)/60,2)),N(I1483)))</f>
        <v/>
      </c>
      <c r="N1483" s="14">
        <f>IF(B1483="","",IF(K1483&lt;&gt;"",K1483,IF(N(IFERROR(INDEX(Projects!$D$6:$D$65,MATCH(D1483,Projects!$B$6:$B$65,0)),""))&gt;0,IFERROR(INDEX(Projects!$D$6:$D$65,MATCH(D1483,Projects!$B$6:$B$65,0)),""),IFERROR(INDEX(Clients!$G$6:$G$45,MATCH(C1483,Clients!$B$6:$B$45,0)),0))))</f>
        <v/>
      </c>
      <c r="O1483" s="14">
        <f>IF(B1483="","",IF(J1483&lt;&gt;"",0,ROUND(M1483*N1483,2)))</f>
        <v/>
      </c>
      <c r="P1483" s="15">
        <f>IF(OR(B1483="",J1483&lt;&gt;""),"",IF(L1483&lt;&gt;"",L1483,IF(COUNTIFS(Invoices!$C$6:$C$305,C1483,Invoices!$E$6:$E$305,"&lt;="&amp;B1483,Invoices!$F$6:$F$305,"&gt;="&amp;B1483)=1,INDEX(Invoices!$B$6:$B$305,SUMIFS(Invoices!$O$6:$O$305,Invoices!$C$6:$C$305,C1483,Invoices!$E$6:$E$305,"&lt;="&amp;B1483,Invoices!$F$6:$F$305,"&gt;="&amp;B1483)),IF(COUNTIFS(Invoices!$C$6:$C$305,C1483,Invoices!$E$6:$E$305,"&lt;="&amp;B1483,Invoices!$F$6:$F$305,"&gt;="&amp;B1483)&gt;1,"Two invoices",""))))</f>
        <v/>
      </c>
      <c r="Q1483" s="15">
        <f>IF(B1483="","",IF(J1483&lt;&gt;"","Not billable",IF(P1483="","To invoice",IF(P1483="Two invoices","Check dates",IF(ISNA(MATCH(P1483,Invoices!$B$6:$B$305,0)),"Check number",IF(INDEX(Invoices!$M$6:$M$305,MATCH(P1483,Invoices!$B$6:$B$305,0))="Paid","Paid",IF(INDEX(Invoices!$M$6:$M$305,MATCH(P1483,Invoices!$B$6:$B$305,0))="Draft","Draft","Invoiced")))))))</f>
        <v/>
      </c>
      <c r="R1483" s="1">
        <f>IF(AND(B1483&lt;&gt;"",P1483&lt;&gt;"",P1483=Invoice!$G$4),B1483+MOD(N(F1483),1)+ROW()/10000000,"")</f>
        <v/>
      </c>
      <c r="S1483">
        <f>IF(R1483="","",IF(D1483="","Other work",D1483)&amp;IF(AND(K1483&lt;&gt;"",E1483&lt;&gt;""),", "&amp;E1483,""))</f>
        <v/>
      </c>
      <c r="T1483">
        <f>IF(R1483="","",IF(COUNTIFS(R$6:R1482,"&gt;0",S$6:S1482,S1483,N$6:N1482,N1483)=0,R1483,""))</f>
        <v/>
      </c>
      <c r="U1483">
        <f>IF(B1483="","",IF(J1483&lt;&gt;"",0,M1483))</f>
        <v/>
      </c>
    </row>
    <row r="1484">
      <c r="A1484" s="1" t="n"/>
      <c r="B1484" s="16" t="n"/>
      <c r="C1484" s="17" t="n"/>
      <c r="D1484" s="18" t="n"/>
      <c r="E1484" s="18" t="n"/>
      <c r="F1484" s="19" t="n"/>
      <c r="G1484" s="19" t="n"/>
      <c r="H1484" s="20" t="n"/>
      <c r="I1484" s="21" t="n"/>
      <c r="J1484" s="22" t="n"/>
      <c r="K1484" s="23" t="n"/>
      <c r="L1484" s="18" t="n"/>
      <c r="M1484" s="24">
        <f>IF(B1484="","",IF(AND(F1484&lt;&gt;"",G1484&lt;&gt;""),MAX(0,ROUND(MOD(G1484-F1484,1)*24-N(H1484)/60,2)),N(I1484)))</f>
        <v/>
      </c>
      <c r="N1484" s="14">
        <f>IF(B1484="","",IF(K1484&lt;&gt;"",K1484,IF(N(IFERROR(INDEX(Projects!$D$6:$D$65,MATCH(D1484,Projects!$B$6:$B$65,0)),""))&gt;0,IFERROR(INDEX(Projects!$D$6:$D$65,MATCH(D1484,Projects!$B$6:$B$65,0)),""),IFERROR(INDEX(Clients!$G$6:$G$45,MATCH(C1484,Clients!$B$6:$B$45,0)),0))))</f>
        <v/>
      </c>
      <c r="O1484" s="14">
        <f>IF(B1484="","",IF(J1484&lt;&gt;"",0,ROUND(M1484*N1484,2)))</f>
        <v/>
      </c>
      <c r="P1484" s="15">
        <f>IF(OR(B1484="",J1484&lt;&gt;""),"",IF(L1484&lt;&gt;"",L1484,IF(COUNTIFS(Invoices!$C$6:$C$305,C1484,Invoices!$E$6:$E$305,"&lt;="&amp;B1484,Invoices!$F$6:$F$305,"&gt;="&amp;B1484)=1,INDEX(Invoices!$B$6:$B$305,SUMIFS(Invoices!$O$6:$O$305,Invoices!$C$6:$C$305,C1484,Invoices!$E$6:$E$305,"&lt;="&amp;B1484,Invoices!$F$6:$F$305,"&gt;="&amp;B1484)),IF(COUNTIFS(Invoices!$C$6:$C$305,C1484,Invoices!$E$6:$E$305,"&lt;="&amp;B1484,Invoices!$F$6:$F$305,"&gt;="&amp;B1484)&gt;1,"Two invoices",""))))</f>
        <v/>
      </c>
      <c r="Q1484" s="15">
        <f>IF(B1484="","",IF(J1484&lt;&gt;"","Not billable",IF(P1484="","To invoice",IF(P1484="Two invoices","Check dates",IF(ISNA(MATCH(P1484,Invoices!$B$6:$B$305,0)),"Check number",IF(INDEX(Invoices!$M$6:$M$305,MATCH(P1484,Invoices!$B$6:$B$305,0))="Paid","Paid",IF(INDEX(Invoices!$M$6:$M$305,MATCH(P1484,Invoices!$B$6:$B$305,0))="Draft","Draft","Invoiced")))))))</f>
        <v/>
      </c>
      <c r="R1484" s="1">
        <f>IF(AND(B1484&lt;&gt;"",P1484&lt;&gt;"",P1484=Invoice!$G$4),B1484+MOD(N(F1484),1)+ROW()/10000000,"")</f>
        <v/>
      </c>
      <c r="S1484">
        <f>IF(R1484="","",IF(D1484="","Other work",D1484)&amp;IF(AND(K1484&lt;&gt;"",E1484&lt;&gt;""),", "&amp;E1484,""))</f>
        <v/>
      </c>
      <c r="T1484">
        <f>IF(R1484="","",IF(COUNTIFS(R$6:R1483,"&gt;0",S$6:S1483,S1484,N$6:N1483,N1484)=0,R1484,""))</f>
        <v/>
      </c>
      <c r="U1484">
        <f>IF(B1484="","",IF(J1484&lt;&gt;"",0,M1484))</f>
        <v/>
      </c>
    </row>
    <row r="1485">
      <c r="A1485" s="1" t="n"/>
      <c r="B1485" s="16" t="n"/>
      <c r="C1485" s="17" t="n"/>
      <c r="D1485" s="18" t="n"/>
      <c r="E1485" s="18" t="n"/>
      <c r="F1485" s="19" t="n"/>
      <c r="G1485" s="19" t="n"/>
      <c r="H1485" s="20" t="n"/>
      <c r="I1485" s="21" t="n"/>
      <c r="J1485" s="22" t="n"/>
      <c r="K1485" s="23" t="n"/>
      <c r="L1485" s="18" t="n"/>
      <c r="M1485" s="24">
        <f>IF(B1485="","",IF(AND(F1485&lt;&gt;"",G1485&lt;&gt;""),MAX(0,ROUND(MOD(G1485-F1485,1)*24-N(H1485)/60,2)),N(I1485)))</f>
        <v/>
      </c>
      <c r="N1485" s="14">
        <f>IF(B1485="","",IF(K1485&lt;&gt;"",K1485,IF(N(IFERROR(INDEX(Projects!$D$6:$D$65,MATCH(D1485,Projects!$B$6:$B$65,0)),""))&gt;0,IFERROR(INDEX(Projects!$D$6:$D$65,MATCH(D1485,Projects!$B$6:$B$65,0)),""),IFERROR(INDEX(Clients!$G$6:$G$45,MATCH(C1485,Clients!$B$6:$B$45,0)),0))))</f>
        <v/>
      </c>
      <c r="O1485" s="14">
        <f>IF(B1485="","",IF(J1485&lt;&gt;"",0,ROUND(M1485*N1485,2)))</f>
        <v/>
      </c>
      <c r="P1485" s="15">
        <f>IF(OR(B1485="",J1485&lt;&gt;""),"",IF(L1485&lt;&gt;"",L1485,IF(COUNTIFS(Invoices!$C$6:$C$305,C1485,Invoices!$E$6:$E$305,"&lt;="&amp;B1485,Invoices!$F$6:$F$305,"&gt;="&amp;B1485)=1,INDEX(Invoices!$B$6:$B$305,SUMIFS(Invoices!$O$6:$O$305,Invoices!$C$6:$C$305,C1485,Invoices!$E$6:$E$305,"&lt;="&amp;B1485,Invoices!$F$6:$F$305,"&gt;="&amp;B1485)),IF(COUNTIFS(Invoices!$C$6:$C$305,C1485,Invoices!$E$6:$E$305,"&lt;="&amp;B1485,Invoices!$F$6:$F$305,"&gt;="&amp;B1485)&gt;1,"Two invoices",""))))</f>
        <v/>
      </c>
      <c r="Q1485" s="15">
        <f>IF(B1485="","",IF(J1485&lt;&gt;"","Not billable",IF(P1485="","To invoice",IF(P1485="Two invoices","Check dates",IF(ISNA(MATCH(P1485,Invoices!$B$6:$B$305,0)),"Check number",IF(INDEX(Invoices!$M$6:$M$305,MATCH(P1485,Invoices!$B$6:$B$305,0))="Paid","Paid",IF(INDEX(Invoices!$M$6:$M$305,MATCH(P1485,Invoices!$B$6:$B$305,0))="Draft","Draft","Invoiced")))))))</f>
        <v/>
      </c>
      <c r="R1485" s="1">
        <f>IF(AND(B1485&lt;&gt;"",P1485&lt;&gt;"",P1485=Invoice!$G$4),B1485+MOD(N(F1485),1)+ROW()/10000000,"")</f>
        <v/>
      </c>
      <c r="S1485">
        <f>IF(R1485="","",IF(D1485="","Other work",D1485)&amp;IF(AND(K1485&lt;&gt;"",E1485&lt;&gt;""),", "&amp;E1485,""))</f>
        <v/>
      </c>
      <c r="T1485">
        <f>IF(R1485="","",IF(COUNTIFS(R$6:R1484,"&gt;0",S$6:S1484,S1485,N$6:N1484,N1485)=0,R1485,""))</f>
        <v/>
      </c>
      <c r="U1485">
        <f>IF(B1485="","",IF(J1485&lt;&gt;"",0,M1485))</f>
        <v/>
      </c>
    </row>
    <row r="1486">
      <c r="A1486" s="1" t="n"/>
      <c r="B1486" s="16" t="n"/>
      <c r="C1486" s="17" t="n"/>
      <c r="D1486" s="18" t="n"/>
      <c r="E1486" s="18" t="n"/>
      <c r="F1486" s="19" t="n"/>
      <c r="G1486" s="19" t="n"/>
      <c r="H1486" s="20" t="n"/>
      <c r="I1486" s="21" t="n"/>
      <c r="J1486" s="22" t="n"/>
      <c r="K1486" s="23" t="n"/>
      <c r="L1486" s="18" t="n"/>
      <c r="M1486" s="24">
        <f>IF(B1486="","",IF(AND(F1486&lt;&gt;"",G1486&lt;&gt;""),MAX(0,ROUND(MOD(G1486-F1486,1)*24-N(H1486)/60,2)),N(I1486)))</f>
        <v/>
      </c>
      <c r="N1486" s="14">
        <f>IF(B1486="","",IF(K1486&lt;&gt;"",K1486,IF(N(IFERROR(INDEX(Projects!$D$6:$D$65,MATCH(D1486,Projects!$B$6:$B$65,0)),""))&gt;0,IFERROR(INDEX(Projects!$D$6:$D$65,MATCH(D1486,Projects!$B$6:$B$65,0)),""),IFERROR(INDEX(Clients!$G$6:$G$45,MATCH(C1486,Clients!$B$6:$B$45,0)),0))))</f>
        <v/>
      </c>
      <c r="O1486" s="14">
        <f>IF(B1486="","",IF(J1486&lt;&gt;"",0,ROUND(M1486*N1486,2)))</f>
        <v/>
      </c>
      <c r="P1486" s="15">
        <f>IF(OR(B1486="",J1486&lt;&gt;""),"",IF(L1486&lt;&gt;"",L1486,IF(COUNTIFS(Invoices!$C$6:$C$305,C1486,Invoices!$E$6:$E$305,"&lt;="&amp;B1486,Invoices!$F$6:$F$305,"&gt;="&amp;B1486)=1,INDEX(Invoices!$B$6:$B$305,SUMIFS(Invoices!$O$6:$O$305,Invoices!$C$6:$C$305,C1486,Invoices!$E$6:$E$305,"&lt;="&amp;B1486,Invoices!$F$6:$F$305,"&gt;="&amp;B1486)),IF(COUNTIFS(Invoices!$C$6:$C$305,C1486,Invoices!$E$6:$E$305,"&lt;="&amp;B1486,Invoices!$F$6:$F$305,"&gt;="&amp;B1486)&gt;1,"Two invoices",""))))</f>
        <v/>
      </c>
      <c r="Q1486" s="15">
        <f>IF(B1486="","",IF(J1486&lt;&gt;"","Not billable",IF(P1486="","To invoice",IF(P1486="Two invoices","Check dates",IF(ISNA(MATCH(P1486,Invoices!$B$6:$B$305,0)),"Check number",IF(INDEX(Invoices!$M$6:$M$305,MATCH(P1486,Invoices!$B$6:$B$305,0))="Paid","Paid",IF(INDEX(Invoices!$M$6:$M$305,MATCH(P1486,Invoices!$B$6:$B$305,0))="Draft","Draft","Invoiced")))))))</f>
        <v/>
      </c>
      <c r="R1486" s="1">
        <f>IF(AND(B1486&lt;&gt;"",P1486&lt;&gt;"",P1486=Invoice!$G$4),B1486+MOD(N(F1486),1)+ROW()/10000000,"")</f>
        <v/>
      </c>
      <c r="S1486">
        <f>IF(R1486="","",IF(D1486="","Other work",D1486)&amp;IF(AND(K1486&lt;&gt;"",E1486&lt;&gt;""),", "&amp;E1486,""))</f>
        <v/>
      </c>
      <c r="T1486">
        <f>IF(R1486="","",IF(COUNTIFS(R$6:R1485,"&gt;0",S$6:S1485,S1486,N$6:N1485,N1486)=0,R1486,""))</f>
        <v/>
      </c>
      <c r="U1486">
        <f>IF(B1486="","",IF(J1486&lt;&gt;"",0,M1486))</f>
        <v/>
      </c>
    </row>
    <row r="1487">
      <c r="A1487" s="1" t="n"/>
      <c r="B1487" s="16" t="n"/>
      <c r="C1487" s="17" t="n"/>
      <c r="D1487" s="18" t="n"/>
      <c r="E1487" s="18" t="n"/>
      <c r="F1487" s="19" t="n"/>
      <c r="G1487" s="19" t="n"/>
      <c r="H1487" s="20" t="n"/>
      <c r="I1487" s="21" t="n"/>
      <c r="J1487" s="22" t="n"/>
      <c r="K1487" s="23" t="n"/>
      <c r="L1487" s="18" t="n"/>
      <c r="M1487" s="24">
        <f>IF(B1487="","",IF(AND(F1487&lt;&gt;"",G1487&lt;&gt;""),MAX(0,ROUND(MOD(G1487-F1487,1)*24-N(H1487)/60,2)),N(I1487)))</f>
        <v/>
      </c>
      <c r="N1487" s="14">
        <f>IF(B1487="","",IF(K1487&lt;&gt;"",K1487,IF(N(IFERROR(INDEX(Projects!$D$6:$D$65,MATCH(D1487,Projects!$B$6:$B$65,0)),""))&gt;0,IFERROR(INDEX(Projects!$D$6:$D$65,MATCH(D1487,Projects!$B$6:$B$65,0)),""),IFERROR(INDEX(Clients!$G$6:$G$45,MATCH(C1487,Clients!$B$6:$B$45,0)),0))))</f>
        <v/>
      </c>
      <c r="O1487" s="14">
        <f>IF(B1487="","",IF(J1487&lt;&gt;"",0,ROUND(M1487*N1487,2)))</f>
        <v/>
      </c>
      <c r="P1487" s="15">
        <f>IF(OR(B1487="",J1487&lt;&gt;""),"",IF(L1487&lt;&gt;"",L1487,IF(COUNTIFS(Invoices!$C$6:$C$305,C1487,Invoices!$E$6:$E$305,"&lt;="&amp;B1487,Invoices!$F$6:$F$305,"&gt;="&amp;B1487)=1,INDEX(Invoices!$B$6:$B$305,SUMIFS(Invoices!$O$6:$O$305,Invoices!$C$6:$C$305,C1487,Invoices!$E$6:$E$305,"&lt;="&amp;B1487,Invoices!$F$6:$F$305,"&gt;="&amp;B1487)),IF(COUNTIFS(Invoices!$C$6:$C$305,C1487,Invoices!$E$6:$E$305,"&lt;="&amp;B1487,Invoices!$F$6:$F$305,"&gt;="&amp;B1487)&gt;1,"Two invoices",""))))</f>
        <v/>
      </c>
      <c r="Q1487" s="15">
        <f>IF(B1487="","",IF(J1487&lt;&gt;"","Not billable",IF(P1487="","To invoice",IF(P1487="Two invoices","Check dates",IF(ISNA(MATCH(P1487,Invoices!$B$6:$B$305,0)),"Check number",IF(INDEX(Invoices!$M$6:$M$305,MATCH(P1487,Invoices!$B$6:$B$305,0))="Paid","Paid",IF(INDEX(Invoices!$M$6:$M$305,MATCH(P1487,Invoices!$B$6:$B$305,0))="Draft","Draft","Invoiced")))))))</f>
        <v/>
      </c>
      <c r="R1487" s="1">
        <f>IF(AND(B1487&lt;&gt;"",P1487&lt;&gt;"",P1487=Invoice!$G$4),B1487+MOD(N(F1487),1)+ROW()/10000000,"")</f>
        <v/>
      </c>
      <c r="S1487">
        <f>IF(R1487="","",IF(D1487="","Other work",D1487)&amp;IF(AND(K1487&lt;&gt;"",E1487&lt;&gt;""),", "&amp;E1487,""))</f>
        <v/>
      </c>
      <c r="T1487">
        <f>IF(R1487="","",IF(COUNTIFS(R$6:R1486,"&gt;0",S$6:S1486,S1487,N$6:N1486,N1487)=0,R1487,""))</f>
        <v/>
      </c>
      <c r="U1487">
        <f>IF(B1487="","",IF(J1487&lt;&gt;"",0,M1487))</f>
        <v/>
      </c>
    </row>
    <row r="1488">
      <c r="A1488" s="1" t="n"/>
      <c r="B1488" s="16" t="n"/>
      <c r="C1488" s="17" t="n"/>
      <c r="D1488" s="18" t="n"/>
      <c r="E1488" s="18" t="n"/>
      <c r="F1488" s="19" t="n"/>
      <c r="G1488" s="19" t="n"/>
      <c r="H1488" s="20" t="n"/>
      <c r="I1488" s="21" t="n"/>
      <c r="J1488" s="22" t="n"/>
      <c r="K1488" s="23" t="n"/>
      <c r="L1488" s="18" t="n"/>
      <c r="M1488" s="24">
        <f>IF(B1488="","",IF(AND(F1488&lt;&gt;"",G1488&lt;&gt;""),MAX(0,ROUND(MOD(G1488-F1488,1)*24-N(H1488)/60,2)),N(I1488)))</f>
        <v/>
      </c>
      <c r="N1488" s="14">
        <f>IF(B1488="","",IF(K1488&lt;&gt;"",K1488,IF(N(IFERROR(INDEX(Projects!$D$6:$D$65,MATCH(D1488,Projects!$B$6:$B$65,0)),""))&gt;0,IFERROR(INDEX(Projects!$D$6:$D$65,MATCH(D1488,Projects!$B$6:$B$65,0)),""),IFERROR(INDEX(Clients!$G$6:$G$45,MATCH(C1488,Clients!$B$6:$B$45,0)),0))))</f>
        <v/>
      </c>
      <c r="O1488" s="14">
        <f>IF(B1488="","",IF(J1488&lt;&gt;"",0,ROUND(M1488*N1488,2)))</f>
        <v/>
      </c>
      <c r="P1488" s="15">
        <f>IF(OR(B1488="",J1488&lt;&gt;""),"",IF(L1488&lt;&gt;"",L1488,IF(COUNTIFS(Invoices!$C$6:$C$305,C1488,Invoices!$E$6:$E$305,"&lt;="&amp;B1488,Invoices!$F$6:$F$305,"&gt;="&amp;B1488)=1,INDEX(Invoices!$B$6:$B$305,SUMIFS(Invoices!$O$6:$O$305,Invoices!$C$6:$C$305,C1488,Invoices!$E$6:$E$305,"&lt;="&amp;B1488,Invoices!$F$6:$F$305,"&gt;="&amp;B1488)),IF(COUNTIFS(Invoices!$C$6:$C$305,C1488,Invoices!$E$6:$E$305,"&lt;="&amp;B1488,Invoices!$F$6:$F$305,"&gt;="&amp;B1488)&gt;1,"Two invoices",""))))</f>
        <v/>
      </c>
      <c r="Q1488" s="15">
        <f>IF(B1488="","",IF(J1488&lt;&gt;"","Not billable",IF(P1488="","To invoice",IF(P1488="Two invoices","Check dates",IF(ISNA(MATCH(P1488,Invoices!$B$6:$B$305,0)),"Check number",IF(INDEX(Invoices!$M$6:$M$305,MATCH(P1488,Invoices!$B$6:$B$305,0))="Paid","Paid",IF(INDEX(Invoices!$M$6:$M$305,MATCH(P1488,Invoices!$B$6:$B$305,0))="Draft","Draft","Invoiced")))))))</f>
        <v/>
      </c>
      <c r="R1488" s="1">
        <f>IF(AND(B1488&lt;&gt;"",P1488&lt;&gt;"",P1488=Invoice!$G$4),B1488+MOD(N(F1488),1)+ROW()/10000000,"")</f>
        <v/>
      </c>
      <c r="S1488">
        <f>IF(R1488="","",IF(D1488="","Other work",D1488)&amp;IF(AND(K1488&lt;&gt;"",E1488&lt;&gt;""),", "&amp;E1488,""))</f>
        <v/>
      </c>
      <c r="T1488">
        <f>IF(R1488="","",IF(COUNTIFS(R$6:R1487,"&gt;0",S$6:S1487,S1488,N$6:N1487,N1488)=0,R1488,""))</f>
        <v/>
      </c>
      <c r="U1488">
        <f>IF(B1488="","",IF(J1488&lt;&gt;"",0,M1488))</f>
        <v/>
      </c>
    </row>
    <row r="1489">
      <c r="A1489" s="1" t="n"/>
      <c r="B1489" s="16" t="n"/>
      <c r="C1489" s="17" t="n"/>
      <c r="D1489" s="18" t="n"/>
      <c r="E1489" s="18" t="n"/>
      <c r="F1489" s="19" t="n"/>
      <c r="G1489" s="19" t="n"/>
      <c r="H1489" s="20" t="n"/>
      <c r="I1489" s="21" t="n"/>
      <c r="J1489" s="22" t="n"/>
      <c r="K1489" s="23" t="n"/>
      <c r="L1489" s="18" t="n"/>
      <c r="M1489" s="24">
        <f>IF(B1489="","",IF(AND(F1489&lt;&gt;"",G1489&lt;&gt;""),MAX(0,ROUND(MOD(G1489-F1489,1)*24-N(H1489)/60,2)),N(I1489)))</f>
        <v/>
      </c>
      <c r="N1489" s="14">
        <f>IF(B1489="","",IF(K1489&lt;&gt;"",K1489,IF(N(IFERROR(INDEX(Projects!$D$6:$D$65,MATCH(D1489,Projects!$B$6:$B$65,0)),""))&gt;0,IFERROR(INDEX(Projects!$D$6:$D$65,MATCH(D1489,Projects!$B$6:$B$65,0)),""),IFERROR(INDEX(Clients!$G$6:$G$45,MATCH(C1489,Clients!$B$6:$B$45,0)),0))))</f>
        <v/>
      </c>
      <c r="O1489" s="14">
        <f>IF(B1489="","",IF(J1489&lt;&gt;"",0,ROUND(M1489*N1489,2)))</f>
        <v/>
      </c>
      <c r="P1489" s="15">
        <f>IF(OR(B1489="",J1489&lt;&gt;""),"",IF(L1489&lt;&gt;"",L1489,IF(COUNTIFS(Invoices!$C$6:$C$305,C1489,Invoices!$E$6:$E$305,"&lt;="&amp;B1489,Invoices!$F$6:$F$305,"&gt;="&amp;B1489)=1,INDEX(Invoices!$B$6:$B$305,SUMIFS(Invoices!$O$6:$O$305,Invoices!$C$6:$C$305,C1489,Invoices!$E$6:$E$305,"&lt;="&amp;B1489,Invoices!$F$6:$F$305,"&gt;="&amp;B1489)),IF(COUNTIFS(Invoices!$C$6:$C$305,C1489,Invoices!$E$6:$E$305,"&lt;="&amp;B1489,Invoices!$F$6:$F$305,"&gt;="&amp;B1489)&gt;1,"Two invoices",""))))</f>
        <v/>
      </c>
      <c r="Q1489" s="15">
        <f>IF(B1489="","",IF(J1489&lt;&gt;"","Not billable",IF(P1489="","To invoice",IF(P1489="Two invoices","Check dates",IF(ISNA(MATCH(P1489,Invoices!$B$6:$B$305,0)),"Check number",IF(INDEX(Invoices!$M$6:$M$305,MATCH(P1489,Invoices!$B$6:$B$305,0))="Paid","Paid",IF(INDEX(Invoices!$M$6:$M$305,MATCH(P1489,Invoices!$B$6:$B$305,0))="Draft","Draft","Invoiced")))))))</f>
        <v/>
      </c>
      <c r="R1489" s="1">
        <f>IF(AND(B1489&lt;&gt;"",P1489&lt;&gt;"",P1489=Invoice!$G$4),B1489+MOD(N(F1489),1)+ROW()/10000000,"")</f>
        <v/>
      </c>
      <c r="S1489">
        <f>IF(R1489="","",IF(D1489="","Other work",D1489)&amp;IF(AND(K1489&lt;&gt;"",E1489&lt;&gt;""),", "&amp;E1489,""))</f>
        <v/>
      </c>
      <c r="T1489">
        <f>IF(R1489="","",IF(COUNTIFS(R$6:R1488,"&gt;0",S$6:S1488,S1489,N$6:N1488,N1489)=0,R1489,""))</f>
        <v/>
      </c>
      <c r="U1489">
        <f>IF(B1489="","",IF(J1489&lt;&gt;"",0,M1489))</f>
        <v/>
      </c>
    </row>
    <row r="1490">
      <c r="A1490" s="1" t="n"/>
      <c r="B1490" s="16" t="n"/>
      <c r="C1490" s="17" t="n"/>
      <c r="D1490" s="18" t="n"/>
      <c r="E1490" s="18" t="n"/>
      <c r="F1490" s="19" t="n"/>
      <c r="G1490" s="19" t="n"/>
      <c r="H1490" s="20" t="n"/>
      <c r="I1490" s="21" t="n"/>
      <c r="J1490" s="22" t="n"/>
      <c r="K1490" s="23" t="n"/>
      <c r="L1490" s="18" t="n"/>
      <c r="M1490" s="24">
        <f>IF(B1490="","",IF(AND(F1490&lt;&gt;"",G1490&lt;&gt;""),MAX(0,ROUND(MOD(G1490-F1490,1)*24-N(H1490)/60,2)),N(I1490)))</f>
        <v/>
      </c>
      <c r="N1490" s="14">
        <f>IF(B1490="","",IF(K1490&lt;&gt;"",K1490,IF(N(IFERROR(INDEX(Projects!$D$6:$D$65,MATCH(D1490,Projects!$B$6:$B$65,0)),""))&gt;0,IFERROR(INDEX(Projects!$D$6:$D$65,MATCH(D1490,Projects!$B$6:$B$65,0)),""),IFERROR(INDEX(Clients!$G$6:$G$45,MATCH(C1490,Clients!$B$6:$B$45,0)),0))))</f>
        <v/>
      </c>
      <c r="O1490" s="14">
        <f>IF(B1490="","",IF(J1490&lt;&gt;"",0,ROUND(M1490*N1490,2)))</f>
        <v/>
      </c>
      <c r="P1490" s="15">
        <f>IF(OR(B1490="",J1490&lt;&gt;""),"",IF(L1490&lt;&gt;"",L1490,IF(COUNTIFS(Invoices!$C$6:$C$305,C1490,Invoices!$E$6:$E$305,"&lt;="&amp;B1490,Invoices!$F$6:$F$305,"&gt;="&amp;B1490)=1,INDEX(Invoices!$B$6:$B$305,SUMIFS(Invoices!$O$6:$O$305,Invoices!$C$6:$C$305,C1490,Invoices!$E$6:$E$305,"&lt;="&amp;B1490,Invoices!$F$6:$F$305,"&gt;="&amp;B1490)),IF(COUNTIFS(Invoices!$C$6:$C$305,C1490,Invoices!$E$6:$E$305,"&lt;="&amp;B1490,Invoices!$F$6:$F$305,"&gt;="&amp;B1490)&gt;1,"Two invoices",""))))</f>
        <v/>
      </c>
      <c r="Q1490" s="15">
        <f>IF(B1490="","",IF(J1490&lt;&gt;"","Not billable",IF(P1490="","To invoice",IF(P1490="Two invoices","Check dates",IF(ISNA(MATCH(P1490,Invoices!$B$6:$B$305,0)),"Check number",IF(INDEX(Invoices!$M$6:$M$305,MATCH(P1490,Invoices!$B$6:$B$305,0))="Paid","Paid",IF(INDEX(Invoices!$M$6:$M$305,MATCH(P1490,Invoices!$B$6:$B$305,0))="Draft","Draft","Invoiced")))))))</f>
        <v/>
      </c>
      <c r="R1490" s="1">
        <f>IF(AND(B1490&lt;&gt;"",P1490&lt;&gt;"",P1490=Invoice!$G$4),B1490+MOD(N(F1490),1)+ROW()/10000000,"")</f>
        <v/>
      </c>
      <c r="S1490">
        <f>IF(R1490="","",IF(D1490="","Other work",D1490)&amp;IF(AND(K1490&lt;&gt;"",E1490&lt;&gt;""),", "&amp;E1490,""))</f>
        <v/>
      </c>
      <c r="T1490">
        <f>IF(R1490="","",IF(COUNTIFS(R$6:R1489,"&gt;0",S$6:S1489,S1490,N$6:N1489,N1490)=0,R1490,""))</f>
        <v/>
      </c>
      <c r="U1490">
        <f>IF(B1490="","",IF(J1490&lt;&gt;"",0,M1490))</f>
        <v/>
      </c>
    </row>
    <row r="1491">
      <c r="A1491" s="1" t="n"/>
      <c r="B1491" s="16" t="n"/>
      <c r="C1491" s="17" t="n"/>
      <c r="D1491" s="18" t="n"/>
      <c r="E1491" s="18" t="n"/>
      <c r="F1491" s="19" t="n"/>
      <c r="G1491" s="19" t="n"/>
      <c r="H1491" s="20" t="n"/>
      <c r="I1491" s="21" t="n"/>
      <c r="J1491" s="22" t="n"/>
      <c r="K1491" s="23" t="n"/>
      <c r="L1491" s="18" t="n"/>
      <c r="M1491" s="24">
        <f>IF(B1491="","",IF(AND(F1491&lt;&gt;"",G1491&lt;&gt;""),MAX(0,ROUND(MOD(G1491-F1491,1)*24-N(H1491)/60,2)),N(I1491)))</f>
        <v/>
      </c>
      <c r="N1491" s="14">
        <f>IF(B1491="","",IF(K1491&lt;&gt;"",K1491,IF(N(IFERROR(INDEX(Projects!$D$6:$D$65,MATCH(D1491,Projects!$B$6:$B$65,0)),""))&gt;0,IFERROR(INDEX(Projects!$D$6:$D$65,MATCH(D1491,Projects!$B$6:$B$65,0)),""),IFERROR(INDEX(Clients!$G$6:$G$45,MATCH(C1491,Clients!$B$6:$B$45,0)),0))))</f>
        <v/>
      </c>
      <c r="O1491" s="14">
        <f>IF(B1491="","",IF(J1491&lt;&gt;"",0,ROUND(M1491*N1491,2)))</f>
        <v/>
      </c>
      <c r="P1491" s="15">
        <f>IF(OR(B1491="",J1491&lt;&gt;""),"",IF(L1491&lt;&gt;"",L1491,IF(COUNTIFS(Invoices!$C$6:$C$305,C1491,Invoices!$E$6:$E$305,"&lt;="&amp;B1491,Invoices!$F$6:$F$305,"&gt;="&amp;B1491)=1,INDEX(Invoices!$B$6:$B$305,SUMIFS(Invoices!$O$6:$O$305,Invoices!$C$6:$C$305,C1491,Invoices!$E$6:$E$305,"&lt;="&amp;B1491,Invoices!$F$6:$F$305,"&gt;="&amp;B1491)),IF(COUNTIFS(Invoices!$C$6:$C$305,C1491,Invoices!$E$6:$E$305,"&lt;="&amp;B1491,Invoices!$F$6:$F$305,"&gt;="&amp;B1491)&gt;1,"Two invoices",""))))</f>
        <v/>
      </c>
      <c r="Q1491" s="15">
        <f>IF(B1491="","",IF(J1491&lt;&gt;"","Not billable",IF(P1491="","To invoice",IF(P1491="Two invoices","Check dates",IF(ISNA(MATCH(P1491,Invoices!$B$6:$B$305,0)),"Check number",IF(INDEX(Invoices!$M$6:$M$305,MATCH(P1491,Invoices!$B$6:$B$305,0))="Paid","Paid",IF(INDEX(Invoices!$M$6:$M$305,MATCH(P1491,Invoices!$B$6:$B$305,0))="Draft","Draft","Invoiced")))))))</f>
        <v/>
      </c>
      <c r="R1491" s="1">
        <f>IF(AND(B1491&lt;&gt;"",P1491&lt;&gt;"",P1491=Invoice!$G$4),B1491+MOD(N(F1491),1)+ROW()/10000000,"")</f>
        <v/>
      </c>
      <c r="S1491">
        <f>IF(R1491="","",IF(D1491="","Other work",D1491)&amp;IF(AND(K1491&lt;&gt;"",E1491&lt;&gt;""),", "&amp;E1491,""))</f>
        <v/>
      </c>
      <c r="T1491">
        <f>IF(R1491="","",IF(COUNTIFS(R$6:R1490,"&gt;0",S$6:S1490,S1491,N$6:N1490,N1491)=0,R1491,""))</f>
        <v/>
      </c>
      <c r="U1491">
        <f>IF(B1491="","",IF(J1491&lt;&gt;"",0,M1491))</f>
        <v/>
      </c>
    </row>
    <row r="1492">
      <c r="A1492" s="1" t="n"/>
      <c r="B1492" s="16" t="n"/>
      <c r="C1492" s="17" t="n"/>
      <c r="D1492" s="18" t="n"/>
      <c r="E1492" s="18" t="n"/>
      <c r="F1492" s="19" t="n"/>
      <c r="G1492" s="19" t="n"/>
      <c r="H1492" s="20" t="n"/>
      <c r="I1492" s="21" t="n"/>
      <c r="J1492" s="22" t="n"/>
      <c r="K1492" s="23" t="n"/>
      <c r="L1492" s="18" t="n"/>
      <c r="M1492" s="24">
        <f>IF(B1492="","",IF(AND(F1492&lt;&gt;"",G1492&lt;&gt;""),MAX(0,ROUND(MOD(G1492-F1492,1)*24-N(H1492)/60,2)),N(I1492)))</f>
        <v/>
      </c>
      <c r="N1492" s="14">
        <f>IF(B1492="","",IF(K1492&lt;&gt;"",K1492,IF(N(IFERROR(INDEX(Projects!$D$6:$D$65,MATCH(D1492,Projects!$B$6:$B$65,0)),""))&gt;0,IFERROR(INDEX(Projects!$D$6:$D$65,MATCH(D1492,Projects!$B$6:$B$65,0)),""),IFERROR(INDEX(Clients!$G$6:$G$45,MATCH(C1492,Clients!$B$6:$B$45,0)),0))))</f>
        <v/>
      </c>
      <c r="O1492" s="14">
        <f>IF(B1492="","",IF(J1492&lt;&gt;"",0,ROUND(M1492*N1492,2)))</f>
        <v/>
      </c>
      <c r="P1492" s="15">
        <f>IF(OR(B1492="",J1492&lt;&gt;""),"",IF(L1492&lt;&gt;"",L1492,IF(COUNTIFS(Invoices!$C$6:$C$305,C1492,Invoices!$E$6:$E$305,"&lt;="&amp;B1492,Invoices!$F$6:$F$305,"&gt;="&amp;B1492)=1,INDEX(Invoices!$B$6:$B$305,SUMIFS(Invoices!$O$6:$O$305,Invoices!$C$6:$C$305,C1492,Invoices!$E$6:$E$305,"&lt;="&amp;B1492,Invoices!$F$6:$F$305,"&gt;="&amp;B1492)),IF(COUNTIFS(Invoices!$C$6:$C$305,C1492,Invoices!$E$6:$E$305,"&lt;="&amp;B1492,Invoices!$F$6:$F$305,"&gt;="&amp;B1492)&gt;1,"Two invoices",""))))</f>
        <v/>
      </c>
      <c r="Q1492" s="15">
        <f>IF(B1492="","",IF(J1492&lt;&gt;"","Not billable",IF(P1492="","To invoice",IF(P1492="Two invoices","Check dates",IF(ISNA(MATCH(P1492,Invoices!$B$6:$B$305,0)),"Check number",IF(INDEX(Invoices!$M$6:$M$305,MATCH(P1492,Invoices!$B$6:$B$305,0))="Paid","Paid",IF(INDEX(Invoices!$M$6:$M$305,MATCH(P1492,Invoices!$B$6:$B$305,0))="Draft","Draft","Invoiced")))))))</f>
        <v/>
      </c>
      <c r="R1492" s="1">
        <f>IF(AND(B1492&lt;&gt;"",P1492&lt;&gt;"",P1492=Invoice!$G$4),B1492+MOD(N(F1492),1)+ROW()/10000000,"")</f>
        <v/>
      </c>
      <c r="S1492">
        <f>IF(R1492="","",IF(D1492="","Other work",D1492)&amp;IF(AND(K1492&lt;&gt;"",E1492&lt;&gt;""),", "&amp;E1492,""))</f>
        <v/>
      </c>
      <c r="T1492">
        <f>IF(R1492="","",IF(COUNTIFS(R$6:R1491,"&gt;0",S$6:S1491,S1492,N$6:N1491,N1492)=0,R1492,""))</f>
        <v/>
      </c>
      <c r="U1492">
        <f>IF(B1492="","",IF(J1492&lt;&gt;"",0,M1492))</f>
        <v/>
      </c>
    </row>
    <row r="1493">
      <c r="A1493" s="1" t="n"/>
      <c r="B1493" s="16" t="n"/>
      <c r="C1493" s="17" t="n"/>
      <c r="D1493" s="18" t="n"/>
      <c r="E1493" s="18" t="n"/>
      <c r="F1493" s="19" t="n"/>
      <c r="G1493" s="19" t="n"/>
      <c r="H1493" s="20" t="n"/>
      <c r="I1493" s="21" t="n"/>
      <c r="J1493" s="22" t="n"/>
      <c r="K1493" s="23" t="n"/>
      <c r="L1493" s="18" t="n"/>
      <c r="M1493" s="24">
        <f>IF(B1493="","",IF(AND(F1493&lt;&gt;"",G1493&lt;&gt;""),MAX(0,ROUND(MOD(G1493-F1493,1)*24-N(H1493)/60,2)),N(I1493)))</f>
        <v/>
      </c>
      <c r="N1493" s="14">
        <f>IF(B1493="","",IF(K1493&lt;&gt;"",K1493,IF(N(IFERROR(INDEX(Projects!$D$6:$D$65,MATCH(D1493,Projects!$B$6:$B$65,0)),""))&gt;0,IFERROR(INDEX(Projects!$D$6:$D$65,MATCH(D1493,Projects!$B$6:$B$65,0)),""),IFERROR(INDEX(Clients!$G$6:$G$45,MATCH(C1493,Clients!$B$6:$B$45,0)),0))))</f>
        <v/>
      </c>
      <c r="O1493" s="14">
        <f>IF(B1493="","",IF(J1493&lt;&gt;"",0,ROUND(M1493*N1493,2)))</f>
        <v/>
      </c>
      <c r="P1493" s="15">
        <f>IF(OR(B1493="",J1493&lt;&gt;""),"",IF(L1493&lt;&gt;"",L1493,IF(COUNTIFS(Invoices!$C$6:$C$305,C1493,Invoices!$E$6:$E$305,"&lt;="&amp;B1493,Invoices!$F$6:$F$305,"&gt;="&amp;B1493)=1,INDEX(Invoices!$B$6:$B$305,SUMIFS(Invoices!$O$6:$O$305,Invoices!$C$6:$C$305,C1493,Invoices!$E$6:$E$305,"&lt;="&amp;B1493,Invoices!$F$6:$F$305,"&gt;="&amp;B1493)),IF(COUNTIFS(Invoices!$C$6:$C$305,C1493,Invoices!$E$6:$E$305,"&lt;="&amp;B1493,Invoices!$F$6:$F$305,"&gt;="&amp;B1493)&gt;1,"Two invoices",""))))</f>
        <v/>
      </c>
      <c r="Q1493" s="15">
        <f>IF(B1493="","",IF(J1493&lt;&gt;"","Not billable",IF(P1493="","To invoice",IF(P1493="Two invoices","Check dates",IF(ISNA(MATCH(P1493,Invoices!$B$6:$B$305,0)),"Check number",IF(INDEX(Invoices!$M$6:$M$305,MATCH(P1493,Invoices!$B$6:$B$305,0))="Paid","Paid",IF(INDEX(Invoices!$M$6:$M$305,MATCH(P1493,Invoices!$B$6:$B$305,0))="Draft","Draft","Invoiced")))))))</f>
        <v/>
      </c>
      <c r="R1493" s="1">
        <f>IF(AND(B1493&lt;&gt;"",P1493&lt;&gt;"",P1493=Invoice!$G$4),B1493+MOD(N(F1493),1)+ROW()/10000000,"")</f>
        <v/>
      </c>
      <c r="S1493">
        <f>IF(R1493="","",IF(D1493="","Other work",D1493)&amp;IF(AND(K1493&lt;&gt;"",E1493&lt;&gt;""),", "&amp;E1493,""))</f>
        <v/>
      </c>
      <c r="T1493">
        <f>IF(R1493="","",IF(COUNTIFS(R$6:R1492,"&gt;0",S$6:S1492,S1493,N$6:N1492,N1493)=0,R1493,""))</f>
        <v/>
      </c>
      <c r="U1493">
        <f>IF(B1493="","",IF(J1493&lt;&gt;"",0,M1493))</f>
        <v/>
      </c>
    </row>
    <row r="1494">
      <c r="A1494" s="1" t="n"/>
      <c r="B1494" s="16" t="n"/>
      <c r="C1494" s="17" t="n"/>
      <c r="D1494" s="18" t="n"/>
      <c r="E1494" s="18" t="n"/>
      <c r="F1494" s="19" t="n"/>
      <c r="G1494" s="19" t="n"/>
      <c r="H1494" s="20" t="n"/>
      <c r="I1494" s="21" t="n"/>
      <c r="J1494" s="22" t="n"/>
      <c r="K1494" s="23" t="n"/>
      <c r="L1494" s="18" t="n"/>
      <c r="M1494" s="24">
        <f>IF(B1494="","",IF(AND(F1494&lt;&gt;"",G1494&lt;&gt;""),MAX(0,ROUND(MOD(G1494-F1494,1)*24-N(H1494)/60,2)),N(I1494)))</f>
        <v/>
      </c>
      <c r="N1494" s="14">
        <f>IF(B1494="","",IF(K1494&lt;&gt;"",K1494,IF(N(IFERROR(INDEX(Projects!$D$6:$D$65,MATCH(D1494,Projects!$B$6:$B$65,0)),""))&gt;0,IFERROR(INDEX(Projects!$D$6:$D$65,MATCH(D1494,Projects!$B$6:$B$65,0)),""),IFERROR(INDEX(Clients!$G$6:$G$45,MATCH(C1494,Clients!$B$6:$B$45,0)),0))))</f>
        <v/>
      </c>
      <c r="O1494" s="14">
        <f>IF(B1494="","",IF(J1494&lt;&gt;"",0,ROUND(M1494*N1494,2)))</f>
        <v/>
      </c>
      <c r="P1494" s="15">
        <f>IF(OR(B1494="",J1494&lt;&gt;""),"",IF(L1494&lt;&gt;"",L1494,IF(COUNTIFS(Invoices!$C$6:$C$305,C1494,Invoices!$E$6:$E$305,"&lt;="&amp;B1494,Invoices!$F$6:$F$305,"&gt;="&amp;B1494)=1,INDEX(Invoices!$B$6:$B$305,SUMIFS(Invoices!$O$6:$O$305,Invoices!$C$6:$C$305,C1494,Invoices!$E$6:$E$305,"&lt;="&amp;B1494,Invoices!$F$6:$F$305,"&gt;="&amp;B1494)),IF(COUNTIFS(Invoices!$C$6:$C$305,C1494,Invoices!$E$6:$E$305,"&lt;="&amp;B1494,Invoices!$F$6:$F$305,"&gt;="&amp;B1494)&gt;1,"Two invoices",""))))</f>
        <v/>
      </c>
      <c r="Q1494" s="15">
        <f>IF(B1494="","",IF(J1494&lt;&gt;"","Not billable",IF(P1494="","To invoice",IF(P1494="Two invoices","Check dates",IF(ISNA(MATCH(P1494,Invoices!$B$6:$B$305,0)),"Check number",IF(INDEX(Invoices!$M$6:$M$305,MATCH(P1494,Invoices!$B$6:$B$305,0))="Paid","Paid",IF(INDEX(Invoices!$M$6:$M$305,MATCH(P1494,Invoices!$B$6:$B$305,0))="Draft","Draft","Invoiced")))))))</f>
        <v/>
      </c>
      <c r="R1494" s="1">
        <f>IF(AND(B1494&lt;&gt;"",P1494&lt;&gt;"",P1494=Invoice!$G$4),B1494+MOD(N(F1494),1)+ROW()/10000000,"")</f>
        <v/>
      </c>
      <c r="S1494">
        <f>IF(R1494="","",IF(D1494="","Other work",D1494)&amp;IF(AND(K1494&lt;&gt;"",E1494&lt;&gt;""),", "&amp;E1494,""))</f>
        <v/>
      </c>
      <c r="T1494">
        <f>IF(R1494="","",IF(COUNTIFS(R$6:R1493,"&gt;0",S$6:S1493,S1494,N$6:N1493,N1494)=0,R1494,""))</f>
        <v/>
      </c>
      <c r="U1494">
        <f>IF(B1494="","",IF(J1494&lt;&gt;"",0,M1494))</f>
        <v/>
      </c>
    </row>
    <row r="1495">
      <c r="A1495" s="1" t="n"/>
      <c r="B1495" s="16" t="n"/>
      <c r="C1495" s="17" t="n"/>
      <c r="D1495" s="18" t="n"/>
      <c r="E1495" s="18" t="n"/>
      <c r="F1495" s="19" t="n"/>
      <c r="G1495" s="19" t="n"/>
      <c r="H1495" s="20" t="n"/>
      <c r="I1495" s="21" t="n"/>
      <c r="J1495" s="22" t="n"/>
      <c r="K1495" s="23" t="n"/>
      <c r="L1495" s="18" t="n"/>
      <c r="M1495" s="24">
        <f>IF(B1495="","",IF(AND(F1495&lt;&gt;"",G1495&lt;&gt;""),MAX(0,ROUND(MOD(G1495-F1495,1)*24-N(H1495)/60,2)),N(I1495)))</f>
        <v/>
      </c>
      <c r="N1495" s="14">
        <f>IF(B1495="","",IF(K1495&lt;&gt;"",K1495,IF(N(IFERROR(INDEX(Projects!$D$6:$D$65,MATCH(D1495,Projects!$B$6:$B$65,0)),""))&gt;0,IFERROR(INDEX(Projects!$D$6:$D$65,MATCH(D1495,Projects!$B$6:$B$65,0)),""),IFERROR(INDEX(Clients!$G$6:$G$45,MATCH(C1495,Clients!$B$6:$B$45,0)),0))))</f>
        <v/>
      </c>
      <c r="O1495" s="14">
        <f>IF(B1495="","",IF(J1495&lt;&gt;"",0,ROUND(M1495*N1495,2)))</f>
        <v/>
      </c>
      <c r="P1495" s="15">
        <f>IF(OR(B1495="",J1495&lt;&gt;""),"",IF(L1495&lt;&gt;"",L1495,IF(COUNTIFS(Invoices!$C$6:$C$305,C1495,Invoices!$E$6:$E$305,"&lt;="&amp;B1495,Invoices!$F$6:$F$305,"&gt;="&amp;B1495)=1,INDEX(Invoices!$B$6:$B$305,SUMIFS(Invoices!$O$6:$O$305,Invoices!$C$6:$C$305,C1495,Invoices!$E$6:$E$305,"&lt;="&amp;B1495,Invoices!$F$6:$F$305,"&gt;="&amp;B1495)),IF(COUNTIFS(Invoices!$C$6:$C$305,C1495,Invoices!$E$6:$E$305,"&lt;="&amp;B1495,Invoices!$F$6:$F$305,"&gt;="&amp;B1495)&gt;1,"Two invoices",""))))</f>
        <v/>
      </c>
      <c r="Q1495" s="15">
        <f>IF(B1495="","",IF(J1495&lt;&gt;"","Not billable",IF(P1495="","To invoice",IF(P1495="Two invoices","Check dates",IF(ISNA(MATCH(P1495,Invoices!$B$6:$B$305,0)),"Check number",IF(INDEX(Invoices!$M$6:$M$305,MATCH(P1495,Invoices!$B$6:$B$305,0))="Paid","Paid",IF(INDEX(Invoices!$M$6:$M$305,MATCH(P1495,Invoices!$B$6:$B$305,0))="Draft","Draft","Invoiced")))))))</f>
        <v/>
      </c>
      <c r="R1495" s="1">
        <f>IF(AND(B1495&lt;&gt;"",P1495&lt;&gt;"",P1495=Invoice!$G$4),B1495+MOD(N(F1495),1)+ROW()/10000000,"")</f>
        <v/>
      </c>
      <c r="S1495">
        <f>IF(R1495="","",IF(D1495="","Other work",D1495)&amp;IF(AND(K1495&lt;&gt;"",E1495&lt;&gt;""),", "&amp;E1495,""))</f>
        <v/>
      </c>
      <c r="T1495">
        <f>IF(R1495="","",IF(COUNTIFS(R$6:R1494,"&gt;0",S$6:S1494,S1495,N$6:N1494,N1495)=0,R1495,""))</f>
        <v/>
      </c>
      <c r="U1495">
        <f>IF(B1495="","",IF(J1495&lt;&gt;"",0,M1495))</f>
        <v/>
      </c>
    </row>
    <row r="1496">
      <c r="A1496" s="1" t="n"/>
      <c r="B1496" s="16" t="n"/>
      <c r="C1496" s="17" t="n"/>
      <c r="D1496" s="18" t="n"/>
      <c r="E1496" s="18" t="n"/>
      <c r="F1496" s="19" t="n"/>
      <c r="G1496" s="19" t="n"/>
      <c r="H1496" s="20" t="n"/>
      <c r="I1496" s="21" t="n"/>
      <c r="J1496" s="22" t="n"/>
      <c r="K1496" s="23" t="n"/>
      <c r="L1496" s="18" t="n"/>
      <c r="M1496" s="24">
        <f>IF(B1496="","",IF(AND(F1496&lt;&gt;"",G1496&lt;&gt;""),MAX(0,ROUND(MOD(G1496-F1496,1)*24-N(H1496)/60,2)),N(I1496)))</f>
        <v/>
      </c>
      <c r="N1496" s="14">
        <f>IF(B1496="","",IF(K1496&lt;&gt;"",K1496,IF(N(IFERROR(INDEX(Projects!$D$6:$D$65,MATCH(D1496,Projects!$B$6:$B$65,0)),""))&gt;0,IFERROR(INDEX(Projects!$D$6:$D$65,MATCH(D1496,Projects!$B$6:$B$65,0)),""),IFERROR(INDEX(Clients!$G$6:$G$45,MATCH(C1496,Clients!$B$6:$B$45,0)),0))))</f>
        <v/>
      </c>
      <c r="O1496" s="14">
        <f>IF(B1496="","",IF(J1496&lt;&gt;"",0,ROUND(M1496*N1496,2)))</f>
        <v/>
      </c>
      <c r="P1496" s="15">
        <f>IF(OR(B1496="",J1496&lt;&gt;""),"",IF(L1496&lt;&gt;"",L1496,IF(COUNTIFS(Invoices!$C$6:$C$305,C1496,Invoices!$E$6:$E$305,"&lt;="&amp;B1496,Invoices!$F$6:$F$305,"&gt;="&amp;B1496)=1,INDEX(Invoices!$B$6:$B$305,SUMIFS(Invoices!$O$6:$O$305,Invoices!$C$6:$C$305,C1496,Invoices!$E$6:$E$305,"&lt;="&amp;B1496,Invoices!$F$6:$F$305,"&gt;="&amp;B1496)),IF(COUNTIFS(Invoices!$C$6:$C$305,C1496,Invoices!$E$6:$E$305,"&lt;="&amp;B1496,Invoices!$F$6:$F$305,"&gt;="&amp;B1496)&gt;1,"Two invoices",""))))</f>
        <v/>
      </c>
      <c r="Q1496" s="15">
        <f>IF(B1496="","",IF(J1496&lt;&gt;"","Not billable",IF(P1496="","To invoice",IF(P1496="Two invoices","Check dates",IF(ISNA(MATCH(P1496,Invoices!$B$6:$B$305,0)),"Check number",IF(INDEX(Invoices!$M$6:$M$305,MATCH(P1496,Invoices!$B$6:$B$305,0))="Paid","Paid",IF(INDEX(Invoices!$M$6:$M$305,MATCH(P1496,Invoices!$B$6:$B$305,0))="Draft","Draft","Invoiced")))))))</f>
        <v/>
      </c>
      <c r="R1496" s="1">
        <f>IF(AND(B1496&lt;&gt;"",P1496&lt;&gt;"",P1496=Invoice!$G$4),B1496+MOD(N(F1496),1)+ROW()/10000000,"")</f>
        <v/>
      </c>
      <c r="S1496">
        <f>IF(R1496="","",IF(D1496="","Other work",D1496)&amp;IF(AND(K1496&lt;&gt;"",E1496&lt;&gt;""),", "&amp;E1496,""))</f>
        <v/>
      </c>
      <c r="T1496">
        <f>IF(R1496="","",IF(COUNTIFS(R$6:R1495,"&gt;0",S$6:S1495,S1496,N$6:N1495,N1496)=0,R1496,""))</f>
        <v/>
      </c>
      <c r="U1496">
        <f>IF(B1496="","",IF(J1496&lt;&gt;"",0,M1496))</f>
        <v/>
      </c>
    </row>
    <row r="1497">
      <c r="A1497" s="1" t="n"/>
      <c r="B1497" s="16" t="n"/>
      <c r="C1497" s="17" t="n"/>
      <c r="D1497" s="18" t="n"/>
      <c r="E1497" s="18" t="n"/>
      <c r="F1497" s="19" t="n"/>
      <c r="G1497" s="19" t="n"/>
      <c r="H1497" s="20" t="n"/>
      <c r="I1497" s="21" t="n"/>
      <c r="J1497" s="22" t="n"/>
      <c r="K1497" s="23" t="n"/>
      <c r="L1497" s="18" t="n"/>
      <c r="M1497" s="24">
        <f>IF(B1497="","",IF(AND(F1497&lt;&gt;"",G1497&lt;&gt;""),MAX(0,ROUND(MOD(G1497-F1497,1)*24-N(H1497)/60,2)),N(I1497)))</f>
        <v/>
      </c>
      <c r="N1497" s="14">
        <f>IF(B1497="","",IF(K1497&lt;&gt;"",K1497,IF(N(IFERROR(INDEX(Projects!$D$6:$D$65,MATCH(D1497,Projects!$B$6:$B$65,0)),""))&gt;0,IFERROR(INDEX(Projects!$D$6:$D$65,MATCH(D1497,Projects!$B$6:$B$65,0)),""),IFERROR(INDEX(Clients!$G$6:$G$45,MATCH(C1497,Clients!$B$6:$B$45,0)),0))))</f>
        <v/>
      </c>
      <c r="O1497" s="14">
        <f>IF(B1497="","",IF(J1497&lt;&gt;"",0,ROUND(M1497*N1497,2)))</f>
        <v/>
      </c>
      <c r="P1497" s="15">
        <f>IF(OR(B1497="",J1497&lt;&gt;""),"",IF(L1497&lt;&gt;"",L1497,IF(COUNTIFS(Invoices!$C$6:$C$305,C1497,Invoices!$E$6:$E$305,"&lt;="&amp;B1497,Invoices!$F$6:$F$305,"&gt;="&amp;B1497)=1,INDEX(Invoices!$B$6:$B$305,SUMIFS(Invoices!$O$6:$O$305,Invoices!$C$6:$C$305,C1497,Invoices!$E$6:$E$305,"&lt;="&amp;B1497,Invoices!$F$6:$F$305,"&gt;="&amp;B1497)),IF(COUNTIFS(Invoices!$C$6:$C$305,C1497,Invoices!$E$6:$E$305,"&lt;="&amp;B1497,Invoices!$F$6:$F$305,"&gt;="&amp;B1497)&gt;1,"Two invoices",""))))</f>
        <v/>
      </c>
      <c r="Q1497" s="15">
        <f>IF(B1497="","",IF(J1497&lt;&gt;"","Not billable",IF(P1497="","To invoice",IF(P1497="Two invoices","Check dates",IF(ISNA(MATCH(P1497,Invoices!$B$6:$B$305,0)),"Check number",IF(INDEX(Invoices!$M$6:$M$305,MATCH(P1497,Invoices!$B$6:$B$305,0))="Paid","Paid",IF(INDEX(Invoices!$M$6:$M$305,MATCH(P1497,Invoices!$B$6:$B$305,0))="Draft","Draft","Invoiced")))))))</f>
        <v/>
      </c>
      <c r="R1497" s="1">
        <f>IF(AND(B1497&lt;&gt;"",P1497&lt;&gt;"",P1497=Invoice!$G$4),B1497+MOD(N(F1497),1)+ROW()/10000000,"")</f>
        <v/>
      </c>
      <c r="S1497">
        <f>IF(R1497="","",IF(D1497="","Other work",D1497)&amp;IF(AND(K1497&lt;&gt;"",E1497&lt;&gt;""),", "&amp;E1497,""))</f>
        <v/>
      </c>
      <c r="T1497">
        <f>IF(R1497="","",IF(COUNTIFS(R$6:R1496,"&gt;0",S$6:S1496,S1497,N$6:N1496,N1497)=0,R1497,""))</f>
        <v/>
      </c>
      <c r="U1497">
        <f>IF(B1497="","",IF(J1497&lt;&gt;"",0,M1497))</f>
        <v/>
      </c>
    </row>
    <row r="1498">
      <c r="A1498" s="1" t="n"/>
      <c r="B1498" s="16" t="n"/>
      <c r="C1498" s="17" t="n"/>
      <c r="D1498" s="18" t="n"/>
      <c r="E1498" s="18" t="n"/>
      <c r="F1498" s="19" t="n"/>
      <c r="G1498" s="19" t="n"/>
      <c r="H1498" s="20" t="n"/>
      <c r="I1498" s="21" t="n"/>
      <c r="J1498" s="22" t="n"/>
      <c r="K1498" s="23" t="n"/>
      <c r="L1498" s="18" t="n"/>
      <c r="M1498" s="24">
        <f>IF(B1498="","",IF(AND(F1498&lt;&gt;"",G1498&lt;&gt;""),MAX(0,ROUND(MOD(G1498-F1498,1)*24-N(H1498)/60,2)),N(I1498)))</f>
        <v/>
      </c>
      <c r="N1498" s="14">
        <f>IF(B1498="","",IF(K1498&lt;&gt;"",K1498,IF(N(IFERROR(INDEX(Projects!$D$6:$D$65,MATCH(D1498,Projects!$B$6:$B$65,0)),""))&gt;0,IFERROR(INDEX(Projects!$D$6:$D$65,MATCH(D1498,Projects!$B$6:$B$65,0)),""),IFERROR(INDEX(Clients!$G$6:$G$45,MATCH(C1498,Clients!$B$6:$B$45,0)),0))))</f>
        <v/>
      </c>
      <c r="O1498" s="14">
        <f>IF(B1498="","",IF(J1498&lt;&gt;"",0,ROUND(M1498*N1498,2)))</f>
        <v/>
      </c>
      <c r="P1498" s="15">
        <f>IF(OR(B1498="",J1498&lt;&gt;""),"",IF(L1498&lt;&gt;"",L1498,IF(COUNTIFS(Invoices!$C$6:$C$305,C1498,Invoices!$E$6:$E$305,"&lt;="&amp;B1498,Invoices!$F$6:$F$305,"&gt;="&amp;B1498)=1,INDEX(Invoices!$B$6:$B$305,SUMIFS(Invoices!$O$6:$O$305,Invoices!$C$6:$C$305,C1498,Invoices!$E$6:$E$305,"&lt;="&amp;B1498,Invoices!$F$6:$F$305,"&gt;="&amp;B1498)),IF(COUNTIFS(Invoices!$C$6:$C$305,C1498,Invoices!$E$6:$E$305,"&lt;="&amp;B1498,Invoices!$F$6:$F$305,"&gt;="&amp;B1498)&gt;1,"Two invoices",""))))</f>
        <v/>
      </c>
      <c r="Q1498" s="15">
        <f>IF(B1498="","",IF(J1498&lt;&gt;"","Not billable",IF(P1498="","To invoice",IF(P1498="Two invoices","Check dates",IF(ISNA(MATCH(P1498,Invoices!$B$6:$B$305,0)),"Check number",IF(INDEX(Invoices!$M$6:$M$305,MATCH(P1498,Invoices!$B$6:$B$305,0))="Paid","Paid",IF(INDEX(Invoices!$M$6:$M$305,MATCH(P1498,Invoices!$B$6:$B$305,0))="Draft","Draft","Invoiced")))))))</f>
        <v/>
      </c>
      <c r="R1498" s="1">
        <f>IF(AND(B1498&lt;&gt;"",P1498&lt;&gt;"",P1498=Invoice!$G$4),B1498+MOD(N(F1498),1)+ROW()/10000000,"")</f>
        <v/>
      </c>
      <c r="S1498">
        <f>IF(R1498="","",IF(D1498="","Other work",D1498)&amp;IF(AND(K1498&lt;&gt;"",E1498&lt;&gt;""),", "&amp;E1498,""))</f>
        <v/>
      </c>
      <c r="T1498">
        <f>IF(R1498="","",IF(COUNTIFS(R$6:R1497,"&gt;0",S$6:S1497,S1498,N$6:N1497,N1498)=0,R1498,""))</f>
        <v/>
      </c>
      <c r="U1498">
        <f>IF(B1498="","",IF(J1498&lt;&gt;"",0,M1498))</f>
        <v/>
      </c>
    </row>
    <row r="1499">
      <c r="A1499" s="1" t="n"/>
      <c r="B1499" s="16" t="n"/>
      <c r="C1499" s="17" t="n"/>
      <c r="D1499" s="18" t="n"/>
      <c r="E1499" s="18" t="n"/>
      <c r="F1499" s="19" t="n"/>
      <c r="G1499" s="19" t="n"/>
      <c r="H1499" s="20" t="n"/>
      <c r="I1499" s="21" t="n"/>
      <c r="J1499" s="22" t="n"/>
      <c r="K1499" s="23" t="n"/>
      <c r="L1499" s="18" t="n"/>
      <c r="M1499" s="24">
        <f>IF(B1499="","",IF(AND(F1499&lt;&gt;"",G1499&lt;&gt;""),MAX(0,ROUND(MOD(G1499-F1499,1)*24-N(H1499)/60,2)),N(I1499)))</f>
        <v/>
      </c>
      <c r="N1499" s="14">
        <f>IF(B1499="","",IF(K1499&lt;&gt;"",K1499,IF(N(IFERROR(INDEX(Projects!$D$6:$D$65,MATCH(D1499,Projects!$B$6:$B$65,0)),""))&gt;0,IFERROR(INDEX(Projects!$D$6:$D$65,MATCH(D1499,Projects!$B$6:$B$65,0)),""),IFERROR(INDEX(Clients!$G$6:$G$45,MATCH(C1499,Clients!$B$6:$B$45,0)),0))))</f>
        <v/>
      </c>
      <c r="O1499" s="14">
        <f>IF(B1499="","",IF(J1499&lt;&gt;"",0,ROUND(M1499*N1499,2)))</f>
        <v/>
      </c>
      <c r="P1499" s="15">
        <f>IF(OR(B1499="",J1499&lt;&gt;""),"",IF(L1499&lt;&gt;"",L1499,IF(COUNTIFS(Invoices!$C$6:$C$305,C1499,Invoices!$E$6:$E$305,"&lt;="&amp;B1499,Invoices!$F$6:$F$305,"&gt;="&amp;B1499)=1,INDEX(Invoices!$B$6:$B$305,SUMIFS(Invoices!$O$6:$O$305,Invoices!$C$6:$C$305,C1499,Invoices!$E$6:$E$305,"&lt;="&amp;B1499,Invoices!$F$6:$F$305,"&gt;="&amp;B1499)),IF(COUNTIFS(Invoices!$C$6:$C$305,C1499,Invoices!$E$6:$E$305,"&lt;="&amp;B1499,Invoices!$F$6:$F$305,"&gt;="&amp;B1499)&gt;1,"Two invoices",""))))</f>
        <v/>
      </c>
      <c r="Q1499" s="15">
        <f>IF(B1499="","",IF(J1499&lt;&gt;"","Not billable",IF(P1499="","To invoice",IF(P1499="Two invoices","Check dates",IF(ISNA(MATCH(P1499,Invoices!$B$6:$B$305,0)),"Check number",IF(INDEX(Invoices!$M$6:$M$305,MATCH(P1499,Invoices!$B$6:$B$305,0))="Paid","Paid",IF(INDEX(Invoices!$M$6:$M$305,MATCH(P1499,Invoices!$B$6:$B$305,0))="Draft","Draft","Invoiced")))))))</f>
        <v/>
      </c>
      <c r="R1499" s="1">
        <f>IF(AND(B1499&lt;&gt;"",P1499&lt;&gt;"",P1499=Invoice!$G$4),B1499+MOD(N(F1499),1)+ROW()/10000000,"")</f>
        <v/>
      </c>
      <c r="S1499">
        <f>IF(R1499="","",IF(D1499="","Other work",D1499)&amp;IF(AND(K1499&lt;&gt;"",E1499&lt;&gt;""),", "&amp;E1499,""))</f>
        <v/>
      </c>
      <c r="T1499">
        <f>IF(R1499="","",IF(COUNTIFS(R$6:R1498,"&gt;0",S$6:S1498,S1499,N$6:N1498,N1499)=0,R1499,""))</f>
        <v/>
      </c>
      <c r="U1499">
        <f>IF(B1499="","",IF(J1499&lt;&gt;"",0,M1499))</f>
        <v/>
      </c>
    </row>
    <row r="1500">
      <c r="A1500" s="1" t="n"/>
      <c r="B1500" s="16" t="n"/>
      <c r="C1500" s="17" t="n"/>
      <c r="D1500" s="18" t="n"/>
      <c r="E1500" s="18" t="n"/>
      <c r="F1500" s="19" t="n"/>
      <c r="G1500" s="19" t="n"/>
      <c r="H1500" s="20" t="n"/>
      <c r="I1500" s="21" t="n"/>
      <c r="J1500" s="22" t="n"/>
      <c r="K1500" s="23" t="n"/>
      <c r="L1500" s="18" t="n"/>
      <c r="M1500" s="24">
        <f>IF(B1500="","",IF(AND(F1500&lt;&gt;"",G1500&lt;&gt;""),MAX(0,ROUND(MOD(G1500-F1500,1)*24-N(H1500)/60,2)),N(I1500)))</f>
        <v/>
      </c>
      <c r="N1500" s="14">
        <f>IF(B1500="","",IF(K1500&lt;&gt;"",K1500,IF(N(IFERROR(INDEX(Projects!$D$6:$D$65,MATCH(D1500,Projects!$B$6:$B$65,0)),""))&gt;0,IFERROR(INDEX(Projects!$D$6:$D$65,MATCH(D1500,Projects!$B$6:$B$65,0)),""),IFERROR(INDEX(Clients!$G$6:$G$45,MATCH(C1500,Clients!$B$6:$B$45,0)),0))))</f>
        <v/>
      </c>
      <c r="O1500" s="14">
        <f>IF(B1500="","",IF(J1500&lt;&gt;"",0,ROUND(M1500*N1500,2)))</f>
        <v/>
      </c>
      <c r="P1500" s="15">
        <f>IF(OR(B1500="",J1500&lt;&gt;""),"",IF(L1500&lt;&gt;"",L1500,IF(COUNTIFS(Invoices!$C$6:$C$305,C1500,Invoices!$E$6:$E$305,"&lt;="&amp;B1500,Invoices!$F$6:$F$305,"&gt;="&amp;B1500)=1,INDEX(Invoices!$B$6:$B$305,SUMIFS(Invoices!$O$6:$O$305,Invoices!$C$6:$C$305,C1500,Invoices!$E$6:$E$305,"&lt;="&amp;B1500,Invoices!$F$6:$F$305,"&gt;="&amp;B1500)),IF(COUNTIFS(Invoices!$C$6:$C$305,C1500,Invoices!$E$6:$E$305,"&lt;="&amp;B1500,Invoices!$F$6:$F$305,"&gt;="&amp;B1500)&gt;1,"Two invoices",""))))</f>
        <v/>
      </c>
      <c r="Q1500" s="15">
        <f>IF(B1500="","",IF(J1500&lt;&gt;"","Not billable",IF(P1500="","To invoice",IF(P1500="Two invoices","Check dates",IF(ISNA(MATCH(P1500,Invoices!$B$6:$B$305,0)),"Check number",IF(INDEX(Invoices!$M$6:$M$305,MATCH(P1500,Invoices!$B$6:$B$305,0))="Paid","Paid",IF(INDEX(Invoices!$M$6:$M$305,MATCH(P1500,Invoices!$B$6:$B$305,0))="Draft","Draft","Invoiced")))))))</f>
        <v/>
      </c>
      <c r="R1500" s="1">
        <f>IF(AND(B1500&lt;&gt;"",P1500&lt;&gt;"",P1500=Invoice!$G$4),B1500+MOD(N(F1500),1)+ROW()/10000000,"")</f>
        <v/>
      </c>
      <c r="S1500">
        <f>IF(R1500="","",IF(D1500="","Other work",D1500)&amp;IF(AND(K1500&lt;&gt;"",E1500&lt;&gt;""),", "&amp;E1500,""))</f>
        <v/>
      </c>
      <c r="T1500">
        <f>IF(R1500="","",IF(COUNTIFS(R$6:R1499,"&gt;0",S$6:S1499,S1500,N$6:N1499,N1500)=0,R1500,""))</f>
        <v/>
      </c>
      <c r="U1500">
        <f>IF(B1500="","",IF(J1500&lt;&gt;"",0,M1500))</f>
        <v/>
      </c>
    </row>
    <row r="1501">
      <c r="A1501" s="1" t="n"/>
      <c r="B1501" s="16" t="n"/>
      <c r="C1501" s="17" t="n"/>
      <c r="D1501" s="18" t="n"/>
      <c r="E1501" s="18" t="n"/>
      <c r="F1501" s="19" t="n"/>
      <c r="G1501" s="19" t="n"/>
      <c r="H1501" s="20" t="n"/>
      <c r="I1501" s="21" t="n"/>
      <c r="J1501" s="22" t="n"/>
      <c r="K1501" s="23" t="n"/>
      <c r="L1501" s="18" t="n"/>
      <c r="M1501" s="24">
        <f>IF(B1501="","",IF(AND(F1501&lt;&gt;"",G1501&lt;&gt;""),MAX(0,ROUND(MOD(G1501-F1501,1)*24-N(H1501)/60,2)),N(I1501)))</f>
        <v/>
      </c>
      <c r="N1501" s="14">
        <f>IF(B1501="","",IF(K1501&lt;&gt;"",K1501,IF(N(IFERROR(INDEX(Projects!$D$6:$D$65,MATCH(D1501,Projects!$B$6:$B$65,0)),""))&gt;0,IFERROR(INDEX(Projects!$D$6:$D$65,MATCH(D1501,Projects!$B$6:$B$65,0)),""),IFERROR(INDEX(Clients!$G$6:$G$45,MATCH(C1501,Clients!$B$6:$B$45,0)),0))))</f>
        <v/>
      </c>
      <c r="O1501" s="14">
        <f>IF(B1501="","",IF(J1501&lt;&gt;"",0,ROUND(M1501*N1501,2)))</f>
        <v/>
      </c>
      <c r="P1501" s="15">
        <f>IF(OR(B1501="",J1501&lt;&gt;""),"",IF(L1501&lt;&gt;"",L1501,IF(COUNTIFS(Invoices!$C$6:$C$305,C1501,Invoices!$E$6:$E$305,"&lt;="&amp;B1501,Invoices!$F$6:$F$305,"&gt;="&amp;B1501)=1,INDEX(Invoices!$B$6:$B$305,SUMIFS(Invoices!$O$6:$O$305,Invoices!$C$6:$C$305,C1501,Invoices!$E$6:$E$305,"&lt;="&amp;B1501,Invoices!$F$6:$F$305,"&gt;="&amp;B1501)),IF(COUNTIFS(Invoices!$C$6:$C$305,C1501,Invoices!$E$6:$E$305,"&lt;="&amp;B1501,Invoices!$F$6:$F$305,"&gt;="&amp;B1501)&gt;1,"Two invoices",""))))</f>
        <v/>
      </c>
      <c r="Q1501" s="15">
        <f>IF(B1501="","",IF(J1501&lt;&gt;"","Not billable",IF(P1501="","To invoice",IF(P1501="Two invoices","Check dates",IF(ISNA(MATCH(P1501,Invoices!$B$6:$B$305,0)),"Check number",IF(INDEX(Invoices!$M$6:$M$305,MATCH(P1501,Invoices!$B$6:$B$305,0))="Paid","Paid",IF(INDEX(Invoices!$M$6:$M$305,MATCH(P1501,Invoices!$B$6:$B$305,0))="Draft","Draft","Invoiced")))))))</f>
        <v/>
      </c>
      <c r="R1501" s="1">
        <f>IF(AND(B1501&lt;&gt;"",P1501&lt;&gt;"",P1501=Invoice!$G$4),B1501+MOD(N(F1501),1)+ROW()/10000000,"")</f>
        <v/>
      </c>
      <c r="S1501">
        <f>IF(R1501="","",IF(D1501="","Other work",D1501)&amp;IF(AND(K1501&lt;&gt;"",E1501&lt;&gt;""),", "&amp;E1501,""))</f>
        <v/>
      </c>
      <c r="T1501">
        <f>IF(R1501="","",IF(COUNTIFS(R$6:R1500,"&gt;0",S$6:S1500,S1501,N$6:N1500,N1501)=0,R1501,""))</f>
        <v/>
      </c>
      <c r="U1501">
        <f>IF(B1501="","",IF(J1501&lt;&gt;"",0,M1501))</f>
        <v/>
      </c>
    </row>
    <row r="1502">
      <c r="A1502" s="1" t="n"/>
      <c r="B1502" s="16" t="n"/>
      <c r="C1502" s="17" t="n"/>
      <c r="D1502" s="18" t="n"/>
      <c r="E1502" s="18" t="n"/>
      <c r="F1502" s="19" t="n"/>
      <c r="G1502" s="19" t="n"/>
      <c r="H1502" s="20" t="n"/>
      <c r="I1502" s="21" t="n"/>
      <c r="J1502" s="22" t="n"/>
      <c r="K1502" s="23" t="n"/>
      <c r="L1502" s="18" t="n"/>
      <c r="M1502" s="24">
        <f>IF(B1502="","",IF(AND(F1502&lt;&gt;"",G1502&lt;&gt;""),MAX(0,ROUND(MOD(G1502-F1502,1)*24-N(H1502)/60,2)),N(I1502)))</f>
        <v/>
      </c>
      <c r="N1502" s="14">
        <f>IF(B1502="","",IF(K1502&lt;&gt;"",K1502,IF(N(IFERROR(INDEX(Projects!$D$6:$D$65,MATCH(D1502,Projects!$B$6:$B$65,0)),""))&gt;0,IFERROR(INDEX(Projects!$D$6:$D$65,MATCH(D1502,Projects!$B$6:$B$65,0)),""),IFERROR(INDEX(Clients!$G$6:$G$45,MATCH(C1502,Clients!$B$6:$B$45,0)),0))))</f>
        <v/>
      </c>
      <c r="O1502" s="14">
        <f>IF(B1502="","",IF(J1502&lt;&gt;"",0,ROUND(M1502*N1502,2)))</f>
        <v/>
      </c>
      <c r="P1502" s="15">
        <f>IF(OR(B1502="",J1502&lt;&gt;""),"",IF(L1502&lt;&gt;"",L1502,IF(COUNTIFS(Invoices!$C$6:$C$305,C1502,Invoices!$E$6:$E$305,"&lt;="&amp;B1502,Invoices!$F$6:$F$305,"&gt;="&amp;B1502)=1,INDEX(Invoices!$B$6:$B$305,SUMIFS(Invoices!$O$6:$O$305,Invoices!$C$6:$C$305,C1502,Invoices!$E$6:$E$305,"&lt;="&amp;B1502,Invoices!$F$6:$F$305,"&gt;="&amp;B1502)),IF(COUNTIFS(Invoices!$C$6:$C$305,C1502,Invoices!$E$6:$E$305,"&lt;="&amp;B1502,Invoices!$F$6:$F$305,"&gt;="&amp;B1502)&gt;1,"Two invoices",""))))</f>
        <v/>
      </c>
      <c r="Q1502" s="15">
        <f>IF(B1502="","",IF(J1502&lt;&gt;"","Not billable",IF(P1502="","To invoice",IF(P1502="Two invoices","Check dates",IF(ISNA(MATCH(P1502,Invoices!$B$6:$B$305,0)),"Check number",IF(INDEX(Invoices!$M$6:$M$305,MATCH(P1502,Invoices!$B$6:$B$305,0))="Paid","Paid",IF(INDEX(Invoices!$M$6:$M$305,MATCH(P1502,Invoices!$B$6:$B$305,0))="Draft","Draft","Invoiced")))))))</f>
        <v/>
      </c>
      <c r="R1502" s="1">
        <f>IF(AND(B1502&lt;&gt;"",P1502&lt;&gt;"",P1502=Invoice!$G$4),B1502+MOD(N(F1502),1)+ROW()/10000000,"")</f>
        <v/>
      </c>
      <c r="S1502">
        <f>IF(R1502="","",IF(D1502="","Other work",D1502)&amp;IF(AND(K1502&lt;&gt;"",E1502&lt;&gt;""),", "&amp;E1502,""))</f>
        <v/>
      </c>
      <c r="T1502">
        <f>IF(R1502="","",IF(COUNTIFS(R$6:R1501,"&gt;0",S$6:S1501,S1502,N$6:N1501,N1502)=0,R1502,""))</f>
        <v/>
      </c>
      <c r="U1502">
        <f>IF(B1502="","",IF(J1502&lt;&gt;"",0,M1502))</f>
        <v/>
      </c>
    </row>
    <row r="1503">
      <c r="A1503" s="1" t="n"/>
      <c r="B1503" s="16" t="n"/>
      <c r="C1503" s="17" t="n"/>
      <c r="D1503" s="18" t="n"/>
      <c r="E1503" s="18" t="n"/>
      <c r="F1503" s="19" t="n"/>
      <c r="G1503" s="19" t="n"/>
      <c r="H1503" s="20" t="n"/>
      <c r="I1503" s="21" t="n"/>
      <c r="J1503" s="22" t="n"/>
      <c r="K1503" s="23" t="n"/>
      <c r="L1503" s="18" t="n"/>
      <c r="M1503" s="24">
        <f>IF(B1503="","",IF(AND(F1503&lt;&gt;"",G1503&lt;&gt;""),MAX(0,ROUND(MOD(G1503-F1503,1)*24-N(H1503)/60,2)),N(I1503)))</f>
        <v/>
      </c>
      <c r="N1503" s="14">
        <f>IF(B1503="","",IF(K1503&lt;&gt;"",K1503,IF(N(IFERROR(INDEX(Projects!$D$6:$D$65,MATCH(D1503,Projects!$B$6:$B$65,0)),""))&gt;0,IFERROR(INDEX(Projects!$D$6:$D$65,MATCH(D1503,Projects!$B$6:$B$65,0)),""),IFERROR(INDEX(Clients!$G$6:$G$45,MATCH(C1503,Clients!$B$6:$B$45,0)),0))))</f>
        <v/>
      </c>
      <c r="O1503" s="14">
        <f>IF(B1503="","",IF(J1503&lt;&gt;"",0,ROUND(M1503*N1503,2)))</f>
        <v/>
      </c>
      <c r="P1503" s="15">
        <f>IF(OR(B1503="",J1503&lt;&gt;""),"",IF(L1503&lt;&gt;"",L1503,IF(COUNTIFS(Invoices!$C$6:$C$305,C1503,Invoices!$E$6:$E$305,"&lt;="&amp;B1503,Invoices!$F$6:$F$305,"&gt;="&amp;B1503)=1,INDEX(Invoices!$B$6:$B$305,SUMIFS(Invoices!$O$6:$O$305,Invoices!$C$6:$C$305,C1503,Invoices!$E$6:$E$305,"&lt;="&amp;B1503,Invoices!$F$6:$F$305,"&gt;="&amp;B1503)),IF(COUNTIFS(Invoices!$C$6:$C$305,C1503,Invoices!$E$6:$E$305,"&lt;="&amp;B1503,Invoices!$F$6:$F$305,"&gt;="&amp;B1503)&gt;1,"Two invoices",""))))</f>
        <v/>
      </c>
      <c r="Q1503" s="15">
        <f>IF(B1503="","",IF(J1503&lt;&gt;"","Not billable",IF(P1503="","To invoice",IF(P1503="Two invoices","Check dates",IF(ISNA(MATCH(P1503,Invoices!$B$6:$B$305,0)),"Check number",IF(INDEX(Invoices!$M$6:$M$305,MATCH(P1503,Invoices!$B$6:$B$305,0))="Paid","Paid",IF(INDEX(Invoices!$M$6:$M$305,MATCH(P1503,Invoices!$B$6:$B$305,0))="Draft","Draft","Invoiced")))))))</f>
        <v/>
      </c>
      <c r="R1503" s="1">
        <f>IF(AND(B1503&lt;&gt;"",P1503&lt;&gt;"",P1503=Invoice!$G$4),B1503+MOD(N(F1503),1)+ROW()/10000000,"")</f>
        <v/>
      </c>
      <c r="S1503">
        <f>IF(R1503="","",IF(D1503="","Other work",D1503)&amp;IF(AND(K1503&lt;&gt;"",E1503&lt;&gt;""),", "&amp;E1503,""))</f>
        <v/>
      </c>
      <c r="T1503">
        <f>IF(R1503="","",IF(COUNTIFS(R$6:R1502,"&gt;0",S$6:S1502,S1503,N$6:N1502,N1503)=0,R1503,""))</f>
        <v/>
      </c>
      <c r="U1503">
        <f>IF(B1503="","",IF(J1503&lt;&gt;"",0,M1503))</f>
        <v/>
      </c>
    </row>
    <row r="1504">
      <c r="A1504" s="1" t="n"/>
      <c r="B1504" s="16" t="n"/>
      <c r="C1504" s="17" t="n"/>
      <c r="D1504" s="18" t="n"/>
      <c r="E1504" s="18" t="n"/>
      <c r="F1504" s="19" t="n"/>
      <c r="G1504" s="19" t="n"/>
      <c r="H1504" s="20" t="n"/>
      <c r="I1504" s="21" t="n"/>
      <c r="J1504" s="22" t="n"/>
      <c r="K1504" s="23" t="n"/>
      <c r="L1504" s="18" t="n"/>
      <c r="M1504" s="24">
        <f>IF(B1504="","",IF(AND(F1504&lt;&gt;"",G1504&lt;&gt;""),MAX(0,ROUND(MOD(G1504-F1504,1)*24-N(H1504)/60,2)),N(I1504)))</f>
        <v/>
      </c>
      <c r="N1504" s="14">
        <f>IF(B1504="","",IF(K1504&lt;&gt;"",K1504,IF(N(IFERROR(INDEX(Projects!$D$6:$D$65,MATCH(D1504,Projects!$B$6:$B$65,0)),""))&gt;0,IFERROR(INDEX(Projects!$D$6:$D$65,MATCH(D1504,Projects!$B$6:$B$65,0)),""),IFERROR(INDEX(Clients!$G$6:$G$45,MATCH(C1504,Clients!$B$6:$B$45,0)),0))))</f>
        <v/>
      </c>
      <c r="O1504" s="14">
        <f>IF(B1504="","",IF(J1504&lt;&gt;"",0,ROUND(M1504*N1504,2)))</f>
        <v/>
      </c>
      <c r="P1504" s="15">
        <f>IF(OR(B1504="",J1504&lt;&gt;""),"",IF(L1504&lt;&gt;"",L1504,IF(COUNTIFS(Invoices!$C$6:$C$305,C1504,Invoices!$E$6:$E$305,"&lt;="&amp;B1504,Invoices!$F$6:$F$305,"&gt;="&amp;B1504)=1,INDEX(Invoices!$B$6:$B$305,SUMIFS(Invoices!$O$6:$O$305,Invoices!$C$6:$C$305,C1504,Invoices!$E$6:$E$305,"&lt;="&amp;B1504,Invoices!$F$6:$F$305,"&gt;="&amp;B1504)),IF(COUNTIFS(Invoices!$C$6:$C$305,C1504,Invoices!$E$6:$E$305,"&lt;="&amp;B1504,Invoices!$F$6:$F$305,"&gt;="&amp;B1504)&gt;1,"Two invoices",""))))</f>
        <v/>
      </c>
      <c r="Q1504" s="15">
        <f>IF(B1504="","",IF(J1504&lt;&gt;"","Not billable",IF(P1504="","To invoice",IF(P1504="Two invoices","Check dates",IF(ISNA(MATCH(P1504,Invoices!$B$6:$B$305,0)),"Check number",IF(INDEX(Invoices!$M$6:$M$305,MATCH(P1504,Invoices!$B$6:$B$305,0))="Paid","Paid",IF(INDEX(Invoices!$M$6:$M$305,MATCH(P1504,Invoices!$B$6:$B$305,0))="Draft","Draft","Invoiced")))))))</f>
        <v/>
      </c>
      <c r="R1504" s="1">
        <f>IF(AND(B1504&lt;&gt;"",P1504&lt;&gt;"",P1504=Invoice!$G$4),B1504+MOD(N(F1504),1)+ROW()/10000000,"")</f>
        <v/>
      </c>
      <c r="S1504">
        <f>IF(R1504="","",IF(D1504="","Other work",D1504)&amp;IF(AND(K1504&lt;&gt;"",E1504&lt;&gt;""),", "&amp;E1504,""))</f>
        <v/>
      </c>
      <c r="T1504">
        <f>IF(R1504="","",IF(COUNTIFS(R$6:R1503,"&gt;0",S$6:S1503,S1504,N$6:N1503,N1504)=0,R1504,""))</f>
        <v/>
      </c>
      <c r="U1504">
        <f>IF(B1504="","",IF(J1504&lt;&gt;"",0,M1504))</f>
        <v/>
      </c>
    </row>
    <row r="1505">
      <c r="A1505" s="1" t="n"/>
      <c r="B1505" s="16" t="n"/>
      <c r="C1505" s="17" t="n"/>
      <c r="D1505" s="18" t="n"/>
      <c r="E1505" s="18" t="n"/>
      <c r="F1505" s="19" t="n"/>
      <c r="G1505" s="19" t="n"/>
      <c r="H1505" s="20" t="n"/>
      <c r="I1505" s="21" t="n"/>
      <c r="J1505" s="22" t="n"/>
      <c r="K1505" s="23" t="n"/>
      <c r="L1505" s="18" t="n"/>
      <c r="M1505" s="24">
        <f>IF(B1505="","",IF(AND(F1505&lt;&gt;"",G1505&lt;&gt;""),MAX(0,ROUND(MOD(G1505-F1505,1)*24-N(H1505)/60,2)),N(I1505)))</f>
        <v/>
      </c>
      <c r="N1505" s="14">
        <f>IF(B1505="","",IF(K1505&lt;&gt;"",K1505,IF(N(IFERROR(INDEX(Projects!$D$6:$D$65,MATCH(D1505,Projects!$B$6:$B$65,0)),""))&gt;0,IFERROR(INDEX(Projects!$D$6:$D$65,MATCH(D1505,Projects!$B$6:$B$65,0)),""),IFERROR(INDEX(Clients!$G$6:$G$45,MATCH(C1505,Clients!$B$6:$B$45,0)),0))))</f>
        <v/>
      </c>
      <c r="O1505" s="14">
        <f>IF(B1505="","",IF(J1505&lt;&gt;"",0,ROUND(M1505*N1505,2)))</f>
        <v/>
      </c>
      <c r="P1505" s="15">
        <f>IF(OR(B1505="",J1505&lt;&gt;""),"",IF(L1505&lt;&gt;"",L1505,IF(COUNTIFS(Invoices!$C$6:$C$305,C1505,Invoices!$E$6:$E$305,"&lt;="&amp;B1505,Invoices!$F$6:$F$305,"&gt;="&amp;B1505)=1,INDEX(Invoices!$B$6:$B$305,SUMIFS(Invoices!$O$6:$O$305,Invoices!$C$6:$C$305,C1505,Invoices!$E$6:$E$305,"&lt;="&amp;B1505,Invoices!$F$6:$F$305,"&gt;="&amp;B1505)),IF(COUNTIFS(Invoices!$C$6:$C$305,C1505,Invoices!$E$6:$E$305,"&lt;="&amp;B1505,Invoices!$F$6:$F$305,"&gt;="&amp;B1505)&gt;1,"Two invoices",""))))</f>
        <v/>
      </c>
      <c r="Q1505" s="15">
        <f>IF(B1505="","",IF(J1505&lt;&gt;"","Not billable",IF(P1505="","To invoice",IF(P1505="Two invoices","Check dates",IF(ISNA(MATCH(P1505,Invoices!$B$6:$B$305,0)),"Check number",IF(INDEX(Invoices!$M$6:$M$305,MATCH(P1505,Invoices!$B$6:$B$305,0))="Paid","Paid",IF(INDEX(Invoices!$M$6:$M$305,MATCH(P1505,Invoices!$B$6:$B$305,0))="Draft","Draft","Invoiced")))))))</f>
        <v/>
      </c>
      <c r="R1505" s="1">
        <f>IF(AND(B1505&lt;&gt;"",P1505&lt;&gt;"",P1505=Invoice!$G$4),B1505+MOD(N(F1505),1)+ROW()/10000000,"")</f>
        <v/>
      </c>
      <c r="S1505">
        <f>IF(R1505="","",IF(D1505="","Other work",D1505)&amp;IF(AND(K1505&lt;&gt;"",E1505&lt;&gt;""),", "&amp;E1505,""))</f>
        <v/>
      </c>
      <c r="T1505">
        <f>IF(R1505="","",IF(COUNTIFS(R$6:R1504,"&gt;0",S$6:S1504,S1505,N$6:N1504,N1505)=0,R1505,""))</f>
        <v/>
      </c>
      <c r="U1505">
        <f>IF(B1505="","",IF(J1505&lt;&gt;"",0,M1505))</f>
        <v/>
      </c>
    </row>
    <row r="1506">
      <c r="A1506" s="1" t="n"/>
      <c r="B1506" s="16" t="n"/>
      <c r="C1506" s="17" t="n"/>
      <c r="D1506" s="18" t="n"/>
      <c r="E1506" s="18" t="n"/>
      <c r="F1506" s="19" t="n"/>
      <c r="G1506" s="19" t="n"/>
      <c r="H1506" s="20" t="n"/>
      <c r="I1506" s="21" t="n"/>
      <c r="J1506" s="22" t="n"/>
      <c r="K1506" s="23" t="n"/>
      <c r="L1506" s="18" t="n"/>
      <c r="M1506" s="24">
        <f>IF(B1506="","",IF(AND(F1506&lt;&gt;"",G1506&lt;&gt;""),MAX(0,ROUND(MOD(G1506-F1506,1)*24-N(H1506)/60,2)),N(I1506)))</f>
        <v/>
      </c>
      <c r="N1506" s="14">
        <f>IF(B1506="","",IF(K1506&lt;&gt;"",K1506,IF(N(IFERROR(INDEX(Projects!$D$6:$D$65,MATCH(D1506,Projects!$B$6:$B$65,0)),""))&gt;0,IFERROR(INDEX(Projects!$D$6:$D$65,MATCH(D1506,Projects!$B$6:$B$65,0)),""),IFERROR(INDEX(Clients!$G$6:$G$45,MATCH(C1506,Clients!$B$6:$B$45,0)),0))))</f>
        <v/>
      </c>
      <c r="O1506" s="14">
        <f>IF(B1506="","",IF(J1506&lt;&gt;"",0,ROUND(M1506*N1506,2)))</f>
        <v/>
      </c>
      <c r="P1506" s="15">
        <f>IF(OR(B1506="",J1506&lt;&gt;""),"",IF(L1506&lt;&gt;"",L1506,IF(COUNTIFS(Invoices!$C$6:$C$305,C1506,Invoices!$E$6:$E$305,"&lt;="&amp;B1506,Invoices!$F$6:$F$305,"&gt;="&amp;B1506)=1,INDEX(Invoices!$B$6:$B$305,SUMIFS(Invoices!$O$6:$O$305,Invoices!$C$6:$C$305,C1506,Invoices!$E$6:$E$305,"&lt;="&amp;B1506,Invoices!$F$6:$F$305,"&gt;="&amp;B1506)),IF(COUNTIFS(Invoices!$C$6:$C$305,C1506,Invoices!$E$6:$E$305,"&lt;="&amp;B1506,Invoices!$F$6:$F$305,"&gt;="&amp;B1506)&gt;1,"Two invoices",""))))</f>
        <v/>
      </c>
      <c r="Q1506" s="15">
        <f>IF(B1506="","",IF(J1506&lt;&gt;"","Not billable",IF(P1506="","To invoice",IF(P1506="Two invoices","Check dates",IF(ISNA(MATCH(P1506,Invoices!$B$6:$B$305,0)),"Check number",IF(INDEX(Invoices!$M$6:$M$305,MATCH(P1506,Invoices!$B$6:$B$305,0))="Paid","Paid",IF(INDEX(Invoices!$M$6:$M$305,MATCH(P1506,Invoices!$B$6:$B$305,0))="Draft","Draft","Invoiced")))))))</f>
        <v/>
      </c>
      <c r="R1506" s="1">
        <f>IF(AND(B1506&lt;&gt;"",P1506&lt;&gt;"",P1506=Invoice!$G$4),B1506+MOD(N(F1506),1)+ROW()/10000000,"")</f>
        <v/>
      </c>
      <c r="S1506">
        <f>IF(R1506="","",IF(D1506="","Other work",D1506)&amp;IF(AND(K1506&lt;&gt;"",E1506&lt;&gt;""),", "&amp;E1506,""))</f>
        <v/>
      </c>
      <c r="T1506">
        <f>IF(R1506="","",IF(COUNTIFS(R$6:R1505,"&gt;0",S$6:S1505,S1506,N$6:N1505,N1506)=0,R1506,""))</f>
        <v/>
      </c>
      <c r="U1506">
        <f>IF(B1506="","",IF(J1506&lt;&gt;"",0,M1506))</f>
        <v/>
      </c>
    </row>
    <row r="1507">
      <c r="A1507" s="1" t="n"/>
      <c r="B1507" s="16" t="n"/>
      <c r="C1507" s="17" t="n"/>
      <c r="D1507" s="18" t="n"/>
      <c r="E1507" s="18" t="n"/>
      <c r="F1507" s="19" t="n"/>
      <c r="G1507" s="19" t="n"/>
      <c r="H1507" s="20" t="n"/>
      <c r="I1507" s="21" t="n"/>
      <c r="J1507" s="22" t="n"/>
      <c r="K1507" s="23" t="n"/>
      <c r="L1507" s="18" t="n"/>
      <c r="M1507" s="24">
        <f>IF(B1507="","",IF(AND(F1507&lt;&gt;"",G1507&lt;&gt;""),MAX(0,ROUND(MOD(G1507-F1507,1)*24-N(H1507)/60,2)),N(I1507)))</f>
        <v/>
      </c>
      <c r="N1507" s="14">
        <f>IF(B1507="","",IF(K1507&lt;&gt;"",K1507,IF(N(IFERROR(INDEX(Projects!$D$6:$D$65,MATCH(D1507,Projects!$B$6:$B$65,0)),""))&gt;0,IFERROR(INDEX(Projects!$D$6:$D$65,MATCH(D1507,Projects!$B$6:$B$65,0)),""),IFERROR(INDEX(Clients!$G$6:$G$45,MATCH(C1507,Clients!$B$6:$B$45,0)),0))))</f>
        <v/>
      </c>
      <c r="O1507" s="14">
        <f>IF(B1507="","",IF(J1507&lt;&gt;"",0,ROUND(M1507*N1507,2)))</f>
        <v/>
      </c>
      <c r="P1507" s="15">
        <f>IF(OR(B1507="",J1507&lt;&gt;""),"",IF(L1507&lt;&gt;"",L1507,IF(COUNTIFS(Invoices!$C$6:$C$305,C1507,Invoices!$E$6:$E$305,"&lt;="&amp;B1507,Invoices!$F$6:$F$305,"&gt;="&amp;B1507)=1,INDEX(Invoices!$B$6:$B$305,SUMIFS(Invoices!$O$6:$O$305,Invoices!$C$6:$C$305,C1507,Invoices!$E$6:$E$305,"&lt;="&amp;B1507,Invoices!$F$6:$F$305,"&gt;="&amp;B1507)),IF(COUNTIFS(Invoices!$C$6:$C$305,C1507,Invoices!$E$6:$E$305,"&lt;="&amp;B1507,Invoices!$F$6:$F$305,"&gt;="&amp;B1507)&gt;1,"Two invoices",""))))</f>
        <v/>
      </c>
      <c r="Q1507" s="15">
        <f>IF(B1507="","",IF(J1507&lt;&gt;"","Not billable",IF(P1507="","To invoice",IF(P1507="Two invoices","Check dates",IF(ISNA(MATCH(P1507,Invoices!$B$6:$B$305,0)),"Check number",IF(INDEX(Invoices!$M$6:$M$305,MATCH(P1507,Invoices!$B$6:$B$305,0))="Paid","Paid",IF(INDEX(Invoices!$M$6:$M$305,MATCH(P1507,Invoices!$B$6:$B$305,0))="Draft","Draft","Invoiced")))))))</f>
        <v/>
      </c>
      <c r="R1507" s="1">
        <f>IF(AND(B1507&lt;&gt;"",P1507&lt;&gt;"",P1507=Invoice!$G$4),B1507+MOD(N(F1507),1)+ROW()/10000000,"")</f>
        <v/>
      </c>
      <c r="S1507">
        <f>IF(R1507="","",IF(D1507="","Other work",D1507)&amp;IF(AND(K1507&lt;&gt;"",E1507&lt;&gt;""),", "&amp;E1507,""))</f>
        <v/>
      </c>
      <c r="T1507">
        <f>IF(R1507="","",IF(COUNTIFS(R$6:R1506,"&gt;0",S$6:S1506,S1507,N$6:N1506,N1507)=0,R1507,""))</f>
        <v/>
      </c>
      <c r="U1507">
        <f>IF(B1507="","",IF(J1507&lt;&gt;"",0,M1507))</f>
        <v/>
      </c>
    </row>
    <row r="1508">
      <c r="A1508" s="1" t="n"/>
      <c r="B1508" s="16" t="n"/>
      <c r="C1508" s="17" t="n"/>
      <c r="D1508" s="18" t="n"/>
      <c r="E1508" s="18" t="n"/>
      <c r="F1508" s="19" t="n"/>
      <c r="G1508" s="19" t="n"/>
      <c r="H1508" s="20" t="n"/>
      <c r="I1508" s="21" t="n"/>
      <c r="J1508" s="22" t="n"/>
      <c r="K1508" s="23" t="n"/>
      <c r="L1508" s="18" t="n"/>
      <c r="M1508" s="24">
        <f>IF(B1508="","",IF(AND(F1508&lt;&gt;"",G1508&lt;&gt;""),MAX(0,ROUND(MOD(G1508-F1508,1)*24-N(H1508)/60,2)),N(I1508)))</f>
        <v/>
      </c>
      <c r="N1508" s="14">
        <f>IF(B1508="","",IF(K1508&lt;&gt;"",K1508,IF(N(IFERROR(INDEX(Projects!$D$6:$D$65,MATCH(D1508,Projects!$B$6:$B$65,0)),""))&gt;0,IFERROR(INDEX(Projects!$D$6:$D$65,MATCH(D1508,Projects!$B$6:$B$65,0)),""),IFERROR(INDEX(Clients!$G$6:$G$45,MATCH(C1508,Clients!$B$6:$B$45,0)),0))))</f>
        <v/>
      </c>
      <c r="O1508" s="14">
        <f>IF(B1508="","",IF(J1508&lt;&gt;"",0,ROUND(M1508*N1508,2)))</f>
        <v/>
      </c>
      <c r="P1508" s="15">
        <f>IF(OR(B1508="",J1508&lt;&gt;""),"",IF(L1508&lt;&gt;"",L1508,IF(COUNTIFS(Invoices!$C$6:$C$305,C1508,Invoices!$E$6:$E$305,"&lt;="&amp;B1508,Invoices!$F$6:$F$305,"&gt;="&amp;B1508)=1,INDEX(Invoices!$B$6:$B$305,SUMIFS(Invoices!$O$6:$O$305,Invoices!$C$6:$C$305,C1508,Invoices!$E$6:$E$305,"&lt;="&amp;B1508,Invoices!$F$6:$F$305,"&gt;="&amp;B1508)),IF(COUNTIFS(Invoices!$C$6:$C$305,C1508,Invoices!$E$6:$E$305,"&lt;="&amp;B1508,Invoices!$F$6:$F$305,"&gt;="&amp;B1508)&gt;1,"Two invoices",""))))</f>
        <v/>
      </c>
      <c r="Q1508" s="15">
        <f>IF(B1508="","",IF(J1508&lt;&gt;"","Not billable",IF(P1508="","To invoice",IF(P1508="Two invoices","Check dates",IF(ISNA(MATCH(P1508,Invoices!$B$6:$B$305,0)),"Check number",IF(INDEX(Invoices!$M$6:$M$305,MATCH(P1508,Invoices!$B$6:$B$305,0))="Paid","Paid",IF(INDEX(Invoices!$M$6:$M$305,MATCH(P1508,Invoices!$B$6:$B$305,0))="Draft","Draft","Invoiced")))))))</f>
        <v/>
      </c>
      <c r="R1508" s="1">
        <f>IF(AND(B1508&lt;&gt;"",P1508&lt;&gt;"",P1508=Invoice!$G$4),B1508+MOD(N(F1508),1)+ROW()/10000000,"")</f>
        <v/>
      </c>
      <c r="S1508">
        <f>IF(R1508="","",IF(D1508="","Other work",D1508)&amp;IF(AND(K1508&lt;&gt;"",E1508&lt;&gt;""),", "&amp;E1508,""))</f>
        <v/>
      </c>
      <c r="T1508">
        <f>IF(R1508="","",IF(COUNTIFS(R$6:R1507,"&gt;0",S$6:S1507,S1508,N$6:N1507,N1508)=0,R1508,""))</f>
        <v/>
      </c>
      <c r="U1508">
        <f>IF(B1508="","",IF(J1508&lt;&gt;"",0,M1508))</f>
        <v/>
      </c>
    </row>
    <row r="1509">
      <c r="A1509" s="1" t="n"/>
      <c r="B1509" s="16" t="n"/>
      <c r="C1509" s="17" t="n"/>
      <c r="D1509" s="18" t="n"/>
      <c r="E1509" s="18" t="n"/>
      <c r="F1509" s="19" t="n"/>
      <c r="G1509" s="19" t="n"/>
      <c r="H1509" s="20" t="n"/>
      <c r="I1509" s="21" t="n"/>
      <c r="J1509" s="22" t="n"/>
      <c r="K1509" s="23" t="n"/>
      <c r="L1509" s="18" t="n"/>
      <c r="M1509" s="24">
        <f>IF(B1509="","",IF(AND(F1509&lt;&gt;"",G1509&lt;&gt;""),MAX(0,ROUND(MOD(G1509-F1509,1)*24-N(H1509)/60,2)),N(I1509)))</f>
        <v/>
      </c>
      <c r="N1509" s="14">
        <f>IF(B1509="","",IF(K1509&lt;&gt;"",K1509,IF(N(IFERROR(INDEX(Projects!$D$6:$D$65,MATCH(D1509,Projects!$B$6:$B$65,0)),""))&gt;0,IFERROR(INDEX(Projects!$D$6:$D$65,MATCH(D1509,Projects!$B$6:$B$65,0)),""),IFERROR(INDEX(Clients!$G$6:$G$45,MATCH(C1509,Clients!$B$6:$B$45,0)),0))))</f>
        <v/>
      </c>
      <c r="O1509" s="14">
        <f>IF(B1509="","",IF(J1509&lt;&gt;"",0,ROUND(M1509*N1509,2)))</f>
        <v/>
      </c>
      <c r="P1509" s="15">
        <f>IF(OR(B1509="",J1509&lt;&gt;""),"",IF(L1509&lt;&gt;"",L1509,IF(COUNTIFS(Invoices!$C$6:$C$305,C1509,Invoices!$E$6:$E$305,"&lt;="&amp;B1509,Invoices!$F$6:$F$305,"&gt;="&amp;B1509)=1,INDEX(Invoices!$B$6:$B$305,SUMIFS(Invoices!$O$6:$O$305,Invoices!$C$6:$C$305,C1509,Invoices!$E$6:$E$305,"&lt;="&amp;B1509,Invoices!$F$6:$F$305,"&gt;="&amp;B1509)),IF(COUNTIFS(Invoices!$C$6:$C$305,C1509,Invoices!$E$6:$E$305,"&lt;="&amp;B1509,Invoices!$F$6:$F$305,"&gt;="&amp;B1509)&gt;1,"Two invoices",""))))</f>
        <v/>
      </c>
      <c r="Q1509" s="15">
        <f>IF(B1509="","",IF(J1509&lt;&gt;"","Not billable",IF(P1509="","To invoice",IF(P1509="Two invoices","Check dates",IF(ISNA(MATCH(P1509,Invoices!$B$6:$B$305,0)),"Check number",IF(INDEX(Invoices!$M$6:$M$305,MATCH(P1509,Invoices!$B$6:$B$305,0))="Paid","Paid",IF(INDEX(Invoices!$M$6:$M$305,MATCH(P1509,Invoices!$B$6:$B$305,0))="Draft","Draft","Invoiced")))))))</f>
        <v/>
      </c>
      <c r="R1509" s="1">
        <f>IF(AND(B1509&lt;&gt;"",P1509&lt;&gt;"",P1509=Invoice!$G$4),B1509+MOD(N(F1509),1)+ROW()/10000000,"")</f>
        <v/>
      </c>
      <c r="S1509">
        <f>IF(R1509="","",IF(D1509="","Other work",D1509)&amp;IF(AND(K1509&lt;&gt;"",E1509&lt;&gt;""),", "&amp;E1509,""))</f>
        <v/>
      </c>
      <c r="T1509">
        <f>IF(R1509="","",IF(COUNTIFS(R$6:R1508,"&gt;0",S$6:S1508,S1509,N$6:N1508,N1509)=0,R1509,""))</f>
        <v/>
      </c>
      <c r="U1509">
        <f>IF(B1509="","",IF(J1509&lt;&gt;"",0,M1509))</f>
        <v/>
      </c>
    </row>
    <row r="1510">
      <c r="A1510" s="1" t="n"/>
      <c r="B1510" s="16" t="n"/>
      <c r="C1510" s="17" t="n"/>
      <c r="D1510" s="18" t="n"/>
      <c r="E1510" s="18" t="n"/>
      <c r="F1510" s="19" t="n"/>
      <c r="G1510" s="19" t="n"/>
      <c r="H1510" s="20" t="n"/>
      <c r="I1510" s="21" t="n"/>
      <c r="J1510" s="22" t="n"/>
      <c r="K1510" s="23" t="n"/>
      <c r="L1510" s="18" t="n"/>
      <c r="M1510" s="24">
        <f>IF(B1510="","",IF(AND(F1510&lt;&gt;"",G1510&lt;&gt;""),MAX(0,ROUND(MOD(G1510-F1510,1)*24-N(H1510)/60,2)),N(I1510)))</f>
        <v/>
      </c>
      <c r="N1510" s="14">
        <f>IF(B1510="","",IF(K1510&lt;&gt;"",K1510,IF(N(IFERROR(INDEX(Projects!$D$6:$D$65,MATCH(D1510,Projects!$B$6:$B$65,0)),""))&gt;0,IFERROR(INDEX(Projects!$D$6:$D$65,MATCH(D1510,Projects!$B$6:$B$65,0)),""),IFERROR(INDEX(Clients!$G$6:$G$45,MATCH(C1510,Clients!$B$6:$B$45,0)),0))))</f>
        <v/>
      </c>
      <c r="O1510" s="14">
        <f>IF(B1510="","",IF(J1510&lt;&gt;"",0,ROUND(M1510*N1510,2)))</f>
        <v/>
      </c>
      <c r="P1510" s="15">
        <f>IF(OR(B1510="",J1510&lt;&gt;""),"",IF(L1510&lt;&gt;"",L1510,IF(COUNTIFS(Invoices!$C$6:$C$305,C1510,Invoices!$E$6:$E$305,"&lt;="&amp;B1510,Invoices!$F$6:$F$305,"&gt;="&amp;B1510)=1,INDEX(Invoices!$B$6:$B$305,SUMIFS(Invoices!$O$6:$O$305,Invoices!$C$6:$C$305,C1510,Invoices!$E$6:$E$305,"&lt;="&amp;B1510,Invoices!$F$6:$F$305,"&gt;="&amp;B1510)),IF(COUNTIFS(Invoices!$C$6:$C$305,C1510,Invoices!$E$6:$E$305,"&lt;="&amp;B1510,Invoices!$F$6:$F$305,"&gt;="&amp;B1510)&gt;1,"Two invoices",""))))</f>
        <v/>
      </c>
      <c r="Q1510" s="15">
        <f>IF(B1510="","",IF(J1510&lt;&gt;"","Not billable",IF(P1510="","To invoice",IF(P1510="Two invoices","Check dates",IF(ISNA(MATCH(P1510,Invoices!$B$6:$B$305,0)),"Check number",IF(INDEX(Invoices!$M$6:$M$305,MATCH(P1510,Invoices!$B$6:$B$305,0))="Paid","Paid",IF(INDEX(Invoices!$M$6:$M$305,MATCH(P1510,Invoices!$B$6:$B$305,0))="Draft","Draft","Invoiced")))))))</f>
        <v/>
      </c>
      <c r="R1510" s="1">
        <f>IF(AND(B1510&lt;&gt;"",P1510&lt;&gt;"",P1510=Invoice!$G$4),B1510+MOD(N(F1510),1)+ROW()/10000000,"")</f>
        <v/>
      </c>
      <c r="S1510">
        <f>IF(R1510="","",IF(D1510="","Other work",D1510)&amp;IF(AND(K1510&lt;&gt;"",E1510&lt;&gt;""),", "&amp;E1510,""))</f>
        <v/>
      </c>
      <c r="T1510">
        <f>IF(R1510="","",IF(COUNTIFS(R$6:R1509,"&gt;0",S$6:S1509,S1510,N$6:N1509,N1510)=0,R1510,""))</f>
        <v/>
      </c>
      <c r="U1510">
        <f>IF(B1510="","",IF(J1510&lt;&gt;"",0,M1510))</f>
        <v/>
      </c>
    </row>
    <row r="1511">
      <c r="A1511" s="1" t="n"/>
      <c r="B1511" s="16" t="n"/>
      <c r="C1511" s="17" t="n"/>
      <c r="D1511" s="18" t="n"/>
      <c r="E1511" s="18" t="n"/>
      <c r="F1511" s="19" t="n"/>
      <c r="G1511" s="19" t="n"/>
      <c r="H1511" s="20" t="n"/>
      <c r="I1511" s="21" t="n"/>
      <c r="J1511" s="22" t="n"/>
      <c r="K1511" s="23" t="n"/>
      <c r="L1511" s="18" t="n"/>
      <c r="M1511" s="24">
        <f>IF(B1511="","",IF(AND(F1511&lt;&gt;"",G1511&lt;&gt;""),MAX(0,ROUND(MOD(G1511-F1511,1)*24-N(H1511)/60,2)),N(I1511)))</f>
        <v/>
      </c>
      <c r="N1511" s="14">
        <f>IF(B1511="","",IF(K1511&lt;&gt;"",K1511,IF(N(IFERROR(INDEX(Projects!$D$6:$D$65,MATCH(D1511,Projects!$B$6:$B$65,0)),""))&gt;0,IFERROR(INDEX(Projects!$D$6:$D$65,MATCH(D1511,Projects!$B$6:$B$65,0)),""),IFERROR(INDEX(Clients!$G$6:$G$45,MATCH(C1511,Clients!$B$6:$B$45,0)),0))))</f>
        <v/>
      </c>
      <c r="O1511" s="14">
        <f>IF(B1511="","",IF(J1511&lt;&gt;"",0,ROUND(M1511*N1511,2)))</f>
        <v/>
      </c>
      <c r="P1511" s="15">
        <f>IF(OR(B1511="",J1511&lt;&gt;""),"",IF(L1511&lt;&gt;"",L1511,IF(COUNTIFS(Invoices!$C$6:$C$305,C1511,Invoices!$E$6:$E$305,"&lt;="&amp;B1511,Invoices!$F$6:$F$305,"&gt;="&amp;B1511)=1,INDEX(Invoices!$B$6:$B$305,SUMIFS(Invoices!$O$6:$O$305,Invoices!$C$6:$C$305,C1511,Invoices!$E$6:$E$305,"&lt;="&amp;B1511,Invoices!$F$6:$F$305,"&gt;="&amp;B1511)),IF(COUNTIFS(Invoices!$C$6:$C$305,C1511,Invoices!$E$6:$E$305,"&lt;="&amp;B1511,Invoices!$F$6:$F$305,"&gt;="&amp;B1511)&gt;1,"Two invoices",""))))</f>
        <v/>
      </c>
      <c r="Q1511" s="15">
        <f>IF(B1511="","",IF(J1511&lt;&gt;"","Not billable",IF(P1511="","To invoice",IF(P1511="Two invoices","Check dates",IF(ISNA(MATCH(P1511,Invoices!$B$6:$B$305,0)),"Check number",IF(INDEX(Invoices!$M$6:$M$305,MATCH(P1511,Invoices!$B$6:$B$305,0))="Paid","Paid",IF(INDEX(Invoices!$M$6:$M$305,MATCH(P1511,Invoices!$B$6:$B$305,0))="Draft","Draft","Invoiced")))))))</f>
        <v/>
      </c>
      <c r="R1511" s="1">
        <f>IF(AND(B1511&lt;&gt;"",P1511&lt;&gt;"",P1511=Invoice!$G$4),B1511+MOD(N(F1511),1)+ROW()/10000000,"")</f>
        <v/>
      </c>
      <c r="S1511">
        <f>IF(R1511="","",IF(D1511="","Other work",D1511)&amp;IF(AND(K1511&lt;&gt;"",E1511&lt;&gt;""),", "&amp;E1511,""))</f>
        <v/>
      </c>
      <c r="T1511">
        <f>IF(R1511="","",IF(COUNTIFS(R$6:R1510,"&gt;0",S$6:S1510,S1511,N$6:N1510,N1511)=0,R1511,""))</f>
        <v/>
      </c>
      <c r="U1511">
        <f>IF(B1511="","",IF(J1511&lt;&gt;"",0,M1511))</f>
        <v/>
      </c>
    </row>
    <row r="1512">
      <c r="A1512" s="1" t="n"/>
      <c r="B1512" s="16" t="n"/>
      <c r="C1512" s="17" t="n"/>
      <c r="D1512" s="18" t="n"/>
      <c r="E1512" s="18" t="n"/>
      <c r="F1512" s="19" t="n"/>
      <c r="G1512" s="19" t="n"/>
      <c r="H1512" s="20" t="n"/>
      <c r="I1512" s="21" t="n"/>
      <c r="J1512" s="22" t="n"/>
      <c r="K1512" s="23" t="n"/>
      <c r="L1512" s="18" t="n"/>
      <c r="M1512" s="24">
        <f>IF(B1512="","",IF(AND(F1512&lt;&gt;"",G1512&lt;&gt;""),MAX(0,ROUND(MOD(G1512-F1512,1)*24-N(H1512)/60,2)),N(I1512)))</f>
        <v/>
      </c>
      <c r="N1512" s="14">
        <f>IF(B1512="","",IF(K1512&lt;&gt;"",K1512,IF(N(IFERROR(INDEX(Projects!$D$6:$D$65,MATCH(D1512,Projects!$B$6:$B$65,0)),""))&gt;0,IFERROR(INDEX(Projects!$D$6:$D$65,MATCH(D1512,Projects!$B$6:$B$65,0)),""),IFERROR(INDEX(Clients!$G$6:$G$45,MATCH(C1512,Clients!$B$6:$B$45,0)),0))))</f>
        <v/>
      </c>
      <c r="O1512" s="14">
        <f>IF(B1512="","",IF(J1512&lt;&gt;"",0,ROUND(M1512*N1512,2)))</f>
        <v/>
      </c>
      <c r="P1512" s="15">
        <f>IF(OR(B1512="",J1512&lt;&gt;""),"",IF(L1512&lt;&gt;"",L1512,IF(COUNTIFS(Invoices!$C$6:$C$305,C1512,Invoices!$E$6:$E$305,"&lt;="&amp;B1512,Invoices!$F$6:$F$305,"&gt;="&amp;B1512)=1,INDEX(Invoices!$B$6:$B$305,SUMIFS(Invoices!$O$6:$O$305,Invoices!$C$6:$C$305,C1512,Invoices!$E$6:$E$305,"&lt;="&amp;B1512,Invoices!$F$6:$F$305,"&gt;="&amp;B1512)),IF(COUNTIFS(Invoices!$C$6:$C$305,C1512,Invoices!$E$6:$E$305,"&lt;="&amp;B1512,Invoices!$F$6:$F$305,"&gt;="&amp;B1512)&gt;1,"Two invoices",""))))</f>
        <v/>
      </c>
      <c r="Q1512" s="15">
        <f>IF(B1512="","",IF(J1512&lt;&gt;"","Not billable",IF(P1512="","To invoice",IF(P1512="Two invoices","Check dates",IF(ISNA(MATCH(P1512,Invoices!$B$6:$B$305,0)),"Check number",IF(INDEX(Invoices!$M$6:$M$305,MATCH(P1512,Invoices!$B$6:$B$305,0))="Paid","Paid",IF(INDEX(Invoices!$M$6:$M$305,MATCH(P1512,Invoices!$B$6:$B$305,0))="Draft","Draft","Invoiced")))))))</f>
        <v/>
      </c>
      <c r="R1512" s="1">
        <f>IF(AND(B1512&lt;&gt;"",P1512&lt;&gt;"",P1512=Invoice!$G$4),B1512+MOD(N(F1512),1)+ROW()/10000000,"")</f>
        <v/>
      </c>
      <c r="S1512">
        <f>IF(R1512="","",IF(D1512="","Other work",D1512)&amp;IF(AND(K1512&lt;&gt;"",E1512&lt;&gt;""),", "&amp;E1512,""))</f>
        <v/>
      </c>
      <c r="T1512">
        <f>IF(R1512="","",IF(COUNTIFS(R$6:R1511,"&gt;0",S$6:S1511,S1512,N$6:N1511,N1512)=0,R1512,""))</f>
        <v/>
      </c>
      <c r="U1512">
        <f>IF(B1512="","",IF(J1512&lt;&gt;"",0,M1512))</f>
        <v/>
      </c>
    </row>
    <row r="1513">
      <c r="A1513" s="1" t="n"/>
      <c r="B1513" s="16" t="n"/>
      <c r="C1513" s="17" t="n"/>
      <c r="D1513" s="18" t="n"/>
      <c r="E1513" s="18" t="n"/>
      <c r="F1513" s="19" t="n"/>
      <c r="G1513" s="19" t="n"/>
      <c r="H1513" s="20" t="n"/>
      <c r="I1513" s="21" t="n"/>
      <c r="J1513" s="22" t="n"/>
      <c r="K1513" s="23" t="n"/>
      <c r="L1513" s="18" t="n"/>
      <c r="M1513" s="24">
        <f>IF(B1513="","",IF(AND(F1513&lt;&gt;"",G1513&lt;&gt;""),MAX(0,ROUND(MOD(G1513-F1513,1)*24-N(H1513)/60,2)),N(I1513)))</f>
        <v/>
      </c>
      <c r="N1513" s="14">
        <f>IF(B1513="","",IF(K1513&lt;&gt;"",K1513,IF(N(IFERROR(INDEX(Projects!$D$6:$D$65,MATCH(D1513,Projects!$B$6:$B$65,0)),""))&gt;0,IFERROR(INDEX(Projects!$D$6:$D$65,MATCH(D1513,Projects!$B$6:$B$65,0)),""),IFERROR(INDEX(Clients!$G$6:$G$45,MATCH(C1513,Clients!$B$6:$B$45,0)),0))))</f>
        <v/>
      </c>
      <c r="O1513" s="14">
        <f>IF(B1513="","",IF(J1513&lt;&gt;"",0,ROUND(M1513*N1513,2)))</f>
        <v/>
      </c>
      <c r="P1513" s="15">
        <f>IF(OR(B1513="",J1513&lt;&gt;""),"",IF(L1513&lt;&gt;"",L1513,IF(COUNTIFS(Invoices!$C$6:$C$305,C1513,Invoices!$E$6:$E$305,"&lt;="&amp;B1513,Invoices!$F$6:$F$305,"&gt;="&amp;B1513)=1,INDEX(Invoices!$B$6:$B$305,SUMIFS(Invoices!$O$6:$O$305,Invoices!$C$6:$C$305,C1513,Invoices!$E$6:$E$305,"&lt;="&amp;B1513,Invoices!$F$6:$F$305,"&gt;="&amp;B1513)),IF(COUNTIFS(Invoices!$C$6:$C$305,C1513,Invoices!$E$6:$E$305,"&lt;="&amp;B1513,Invoices!$F$6:$F$305,"&gt;="&amp;B1513)&gt;1,"Two invoices",""))))</f>
        <v/>
      </c>
      <c r="Q1513" s="15">
        <f>IF(B1513="","",IF(J1513&lt;&gt;"","Not billable",IF(P1513="","To invoice",IF(P1513="Two invoices","Check dates",IF(ISNA(MATCH(P1513,Invoices!$B$6:$B$305,0)),"Check number",IF(INDEX(Invoices!$M$6:$M$305,MATCH(P1513,Invoices!$B$6:$B$305,0))="Paid","Paid",IF(INDEX(Invoices!$M$6:$M$305,MATCH(P1513,Invoices!$B$6:$B$305,0))="Draft","Draft","Invoiced")))))))</f>
        <v/>
      </c>
      <c r="R1513" s="1">
        <f>IF(AND(B1513&lt;&gt;"",P1513&lt;&gt;"",P1513=Invoice!$G$4),B1513+MOD(N(F1513),1)+ROW()/10000000,"")</f>
        <v/>
      </c>
      <c r="S1513">
        <f>IF(R1513="","",IF(D1513="","Other work",D1513)&amp;IF(AND(K1513&lt;&gt;"",E1513&lt;&gt;""),", "&amp;E1513,""))</f>
        <v/>
      </c>
      <c r="T1513">
        <f>IF(R1513="","",IF(COUNTIFS(R$6:R1512,"&gt;0",S$6:S1512,S1513,N$6:N1512,N1513)=0,R1513,""))</f>
        <v/>
      </c>
      <c r="U1513">
        <f>IF(B1513="","",IF(J1513&lt;&gt;"",0,M1513))</f>
        <v/>
      </c>
    </row>
    <row r="1514">
      <c r="A1514" s="1" t="n"/>
      <c r="B1514" s="16" t="n"/>
      <c r="C1514" s="17" t="n"/>
      <c r="D1514" s="18" t="n"/>
      <c r="E1514" s="18" t="n"/>
      <c r="F1514" s="19" t="n"/>
      <c r="G1514" s="19" t="n"/>
      <c r="H1514" s="20" t="n"/>
      <c r="I1514" s="21" t="n"/>
      <c r="J1514" s="22" t="n"/>
      <c r="K1514" s="23" t="n"/>
      <c r="L1514" s="18" t="n"/>
      <c r="M1514" s="24">
        <f>IF(B1514="","",IF(AND(F1514&lt;&gt;"",G1514&lt;&gt;""),MAX(0,ROUND(MOD(G1514-F1514,1)*24-N(H1514)/60,2)),N(I1514)))</f>
        <v/>
      </c>
      <c r="N1514" s="14">
        <f>IF(B1514="","",IF(K1514&lt;&gt;"",K1514,IF(N(IFERROR(INDEX(Projects!$D$6:$D$65,MATCH(D1514,Projects!$B$6:$B$65,0)),""))&gt;0,IFERROR(INDEX(Projects!$D$6:$D$65,MATCH(D1514,Projects!$B$6:$B$65,0)),""),IFERROR(INDEX(Clients!$G$6:$G$45,MATCH(C1514,Clients!$B$6:$B$45,0)),0))))</f>
        <v/>
      </c>
      <c r="O1514" s="14">
        <f>IF(B1514="","",IF(J1514&lt;&gt;"",0,ROUND(M1514*N1514,2)))</f>
        <v/>
      </c>
      <c r="P1514" s="15">
        <f>IF(OR(B1514="",J1514&lt;&gt;""),"",IF(L1514&lt;&gt;"",L1514,IF(COUNTIFS(Invoices!$C$6:$C$305,C1514,Invoices!$E$6:$E$305,"&lt;="&amp;B1514,Invoices!$F$6:$F$305,"&gt;="&amp;B1514)=1,INDEX(Invoices!$B$6:$B$305,SUMIFS(Invoices!$O$6:$O$305,Invoices!$C$6:$C$305,C1514,Invoices!$E$6:$E$305,"&lt;="&amp;B1514,Invoices!$F$6:$F$305,"&gt;="&amp;B1514)),IF(COUNTIFS(Invoices!$C$6:$C$305,C1514,Invoices!$E$6:$E$305,"&lt;="&amp;B1514,Invoices!$F$6:$F$305,"&gt;="&amp;B1514)&gt;1,"Two invoices",""))))</f>
        <v/>
      </c>
      <c r="Q1514" s="15">
        <f>IF(B1514="","",IF(J1514&lt;&gt;"","Not billable",IF(P1514="","To invoice",IF(P1514="Two invoices","Check dates",IF(ISNA(MATCH(P1514,Invoices!$B$6:$B$305,0)),"Check number",IF(INDEX(Invoices!$M$6:$M$305,MATCH(P1514,Invoices!$B$6:$B$305,0))="Paid","Paid",IF(INDEX(Invoices!$M$6:$M$305,MATCH(P1514,Invoices!$B$6:$B$305,0))="Draft","Draft","Invoiced")))))))</f>
        <v/>
      </c>
      <c r="R1514" s="1">
        <f>IF(AND(B1514&lt;&gt;"",P1514&lt;&gt;"",P1514=Invoice!$G$4),B1514+MOD(N(F1514),1)+ROW()/10000000,"")</f>
        <v/>
      </c>
      <c r="S1514">
        <f>IF(R1514="","",IF(D1514="","Other work",D1514)&amp;IF(AND(K1514&lt;&gt;"",E1514&lt;&gt;""),", "&amp;E1514,""))</f>
        <v/>
      </c>
      <c r="T1514">
        <f>IF(R1514="","",IF(COUNTIFS(R$6:R1513,"&gt;0",S$6:S1513,S1514,N$6:N1513,N1514)=0,R1514,""))</f>
        <v/>
      </c>
      <c r="U1514">
        <f>IF(B1514="","",IF(J1514&lt;&gt;"",0,M1514))</f>
        <v/>
      </c>
    </row>
    <row r="1515">
      <c r="A1515" s="1" t="n"/>
      <c r="B1515" s="16" t="n"/>
      <c r="C1515" s="17" t="n"/>
      <c r="D1515" s="18" t="n"/>
      <c r="E1515" s="18" t="n"/>
      <c r="F1515" s="19" t="n"/>
      <c r="G1515" s="19" t="n"/>
      <c r="H1515" s="20" t="n"/>
      <c r="I1515" s="21" t="n"/>
      <c r="J1515" s="22" t="n"/>
      <c r="K1515" s="23" t="n"/>
      <c r="L1515" s="18" t="n"/>
      <c r="M1515" s="24">
        <f>IF(B1515="","",IF(AND(F1515&lt;&gt;"",G1515&lt;&gt;""),MAX(0,ROUND(MOD(G1515-F1515,1)*24-N(H1515)/60,2)),N(I1515)))</f>
        <v/>
      </c>
      <c r="N1515" s="14">
        <f>IF(B1515="","",IF(K1515&lt;&gt;"",K1515,IF(N(IFERROR(INDEX(Projects!$D$6:$D$65,MATCH(D1515,Projects!$B$6:$B$65,0)),""))&gt;0,IFERROR(INDEX(Projects!$D$6:$D$65,MATCH(D1515,Projects!$B$6:$B$65,0)),""),IFERROR(INDEX(Clients!$G$6:$G$45,MATCH(C1515,Clients!$B$6:$B$45,0)),0))))</f>
        <v/>
      </c>
      <c r="O1515" s="14">
        <f>IF(B1515="","",IF(J1515&lt;&gt;"",0,ROUND(M1515*N1515,2)))</f>
        <v/>
      </c>
      <c r="P1515" s="15">
        <f>IF(OR(B1515="",J1515&lt;&gt;""),"",IF(L1515&lt;&gt;"",L1515,IF(COUNTIFS(Invoices!$C$6:$C$305,C1515,Invoices!$E$6:$E$305,"&lt;="&amp;B1515,Invoices!$F$6:$F$305,"&gt;="&amp;B1515)=1,INDEX(Invoices!$B$6:$B$305,SUMIFS(Invoices!$O$6:$O$305,Invoices!$C$6:$C$305,C1515,Invoices!$E$6:$E$305,"&lt;="&amp;B1515,Invoices!$F$6:$F$305,"&gt;="&amp;B1515)),IF(COUNTIFS(Invoices!$C$6:$C$305,C1515,Invoices!$E$6:$E$305,"&lt;="&amp;B1515,Invoices!$F$6:$F$305,"&gt;="&amp;B1515)&gt;1,"Two invoices",""))))</f>
        <v/>
      </c>
      <c r="Q1515" s="15">
        <f>IF(B1515="","",IF(J1515&lt;&gt;"","Not billable",IF(P1515="","To invoice",IF(P1515="Two invoices","Check dates",IF(ISNA(MATCH(P1515,Invoices!$B$6:$B$305,0)),"Check number",IF(INDEX(Invoices!$M$6:$M$305,MATCH(P1515,Invoices!$B$6:$B$305,0))="Paid","Paid",IF(INDEX(Invoices!$M$6:$M$305,MATCH(P1515,Invoices!$B$6:$B$305,0))="Draft","Draft","Invoiced")))))))</f>
        <v/>
      </c>
      <c r="R1515" s="1">
        <f>IF(AND(B1515&lt;&gt;"",P1515&lt;&gt;"",P1515=Invoice!$G$4),B1515+MOD(N(F1515),1)+ROW()/10000000,"")</f>
        <v/>
      </c>
      <c r="S1515">
        <f>IF(R1515="","",IF(D1515="","Other work",D1515)&amp;IF(AND(K1515&lt;&gt;"",E1515&lt;&gt;""),", "&amp;E1515,""))</f>
        <v/>
      </c>
      <c r="T1515">
        <f>IF(R1515="","",IF(COUNTIFS(R$6:R1514,"&gt;0",S$6:S1514,S1515,N$6:N1514,N1515)=0,R1515,""))</f>
        <v/>
      </c>
      <c r="U1515">
        <f>IF(B1515="","",IF(J1515&lt;&gt;"",0,M1515))</f>
        <v/>
      </c>
    </row>
    <row r="1516">
      <c r="A1516" s="1" t="n"/>
      <c r="B1516" s="16" t="n"/>
      <c r="C1516" s="17" t="n"/>
      <c r="D1516" s="18" t="n"/>
      <c r="E1516" s="18" t="n"/>
      <c r="F1516" s="19" t="n"/>
      <c r="G1516" s="19" t="n"/>
      <c r="H1516" s="20" t="n"/>
      <c r="I1516" s="21" t="n"/>
      <c r="J1516" s="22" t="n"/>
      <c r="K1516" s="23" t="n"/>
      <c r="L1516" s="18" t="n"/>
      <c r="M1516" s="24">
        <f>IF(B1516="","",IF(AND(F1516&lt;&gt;"",G1516&lt;&gt;""),MAX(0,ROUND(MOD(G1516-F1516,1)*24-N(H1516)/60,2)),N(I1516)))</f>
        <v/>
      </c>
      <c r="N1516" s="14">
        <f>IF(B1516="","",IF(K1516&lt;&gt;"",K1516,IF(N(IFERROR(INDEX(Projects!$D$6:$D$65,MATCH(D1516,Projects!$B$6:$B$65,0)),""))&gt;0,IFERROR(INDEX(Projects!$D$6:$D$65,MATCH(D1516,Projects!$B$6:$B$65,0)),""),IFERROR(INDEX(Clients!$G$6:$G$45,MATCH(C1516,Clients!$B$6:$B$45,0)),0))))</f>
        <v/>
      </c>
      <c r="O1516" s="14">
        <f>IF(B1516="","",IF(J1516&lt;&gt;"",0,ROUND(M1516*N1516,2)))</f>
        <v/>
      </c>
      <c r="P1516" s="15">
        <f>IF(OR(B1516="",J1516&lt;&gt;""),"",IF(L1516&lt;&gt;"",L1516,IF(COUNTIFS(Invoices!$C$6:$C$305,C1516,Invoices!$E$6:$E$305,"&lt;="&amp;B1516,Invoices!$F$6:$F$305,"&gt;="&amp;B1516)=1,INDEX(Invoices!$B$6:$B$305,SUMIFS(Invoices!$O$6:$O$305,Invoices!$C$6:$C$305,C1516,Invoices!$E$6:$E$305,"&lt;="&amp;B1516,Invoices!$F$6:$F$305,"&gt;="&amp;B1516)),IF(COUNTIFS(Invoices!$C$6:$C$305,C1516,Invoices!$E$6:$E$305,"&lt;="&amp;B1516,Invoices!$F$6:$F$305,"&gt;="&amp;B1516)&gt;1,"Two invoices",""))))</f>
        <v/>
      </c>
      <c r="Q1516" s="15">
        <f>IF(B1516="","",IF(J1516&lt;&gt;"","Not billable",IF(P1516="","To invoice",IF(P1516="Two invoices","Check dates",IF(ISNA(MATCH(P1516,Invoices!$B$6:$B$305,0)),"Check number",IF(INDEX(Invoices!$M$6:$M$305,MATCH(P1516,Invoices!$B$6:$B$305,0))="Paid","Paid",IF(INDEX(Invoices!$M$6:$M$305,MATCH(P1516,Invoices!$B$6:$B$305,0))="Draft","Draft","Invoiced")))))))</f>
        <v/>
      </c>
      <c r="R1516" s="1">
        <f>IF(AND(B1516&lt;&gt;"",P1516&lt;&gt;"",P1516=Invoice!$G$4),B1516+MOD(N(F1516),1)+ROW()/10000000,"")</f>
        <v/>
      </c>
      <c r="S1516">
        <f>IF(R1516="","",IF(D1516="","Other work",D1516)&amp;IF(AND(K1516&lt;&gt;"",E1516&lt;&gt;""),", "&amp;E1516,""))</f>
        <v/>
      </c>
      <c r="T1516">
        <f>IF(R1516="","",IF(COUNTIFS(R$6:R1515,"&gt;0",S$6:S1515,S1516,N$6:N1515,N1516)=0,R1516,""))</f>
        <v/>
      </c>
      <c r="U1516">
        <f>IF(B1516="","",IF(J1516&lt;&gt;"",0,M1516))</f>
        <v/>
      </c>
    </row>
    <row r="1517">
      <c r="A1517" s="1" t="n"/>
      <c r="B1517" s="16" t="n"/>
      <c r="C1517" s="17" t="n"/>
      <c r="D1517" s="18" t="n"/>
      <c r="E1517" s="18" t="n"/>
      <c r="F1517" s="19" t="n"/>
      <c r="G1517" s="19" t="n"/>
      <c r="H1517" s="20" t="n"/>
      <c r="I1517" s="21" t="n"/>
      <c r="J1517" s="22" t="n"/>
      <c r="K1517" s="23" t="n"/>
      <c r="L1517" s="18" t="n"/>
      <c r="M1517" s="24">
        <f>IF(B1517="","",IF(AND(F1517&lt;&gt;"",G1517&lt;&gt;""),MAX(0,ROUND(MOD(G1517-F1517,1)*24-N(H1517)/60,2)),N(I1517)))</f>
        <v/>
      </c>
      <c r="N1517" s="14">
        <f>IF(B1517="","",IF(K1517&lt;&gt;"",K1517,IF(N(IFERROR(INDEX(Projects!$D$6:$D$65,MATCH(D1517,Projects!$B$6:$B$65,0)),""))&gt;0,IFERROR(INDEX(Projects!$D$6:$D$65,MATCH(D1517,Projects!$B$6:$B$65,0)),""),IFERROR(INDEX(Clients!$G$6:$G$45,MATCH(C1517,Clients!$B$6:$B$45,0)),0))))</f>
        <v/>
      </c>
      <c r="O1517" s="14">
        <f>IF(B1517="","",IF(J1517&lt;&gt;"",0,ROUND(M1517*N1517,2)))</f>
        <v/>
      </c>
      <c r="P1517" s="15">
        <f>IF(OR(B1517="",J1517&lt;&gt;""),"",IF(L1517&lt;&gt;"",L1517,IF(COUNTIFS(Invoices!$C$6:$C$305,C1517,Invoices!$E$6:$E$305,"&lt;="&amp;B1517,Invoices!$F$6:$F$305,"&gt;="&amp;B1517)=1,INDEX(Invoices!$B$6:$B$305,SUMIFS(Invoices!$O$6:$O$305,Invoices!$C$6:$C$305,C1517,Invoices!$E$6:$E$305,"&lt;="&amp;B1517,Invoices!$F$6:$F$305,"&gt;="&amp;B1517)),IF(COUNTIFS(Invoices!$C$6:$C$305,C1517,Invoices!$E$6:$E$305,"&lt;="&amp;B1517,Invoices!$F$6:$F$305,"&gt;="&amp;B1517)&gt;1,"Two invoices",""))))</f>
        <v/>
      </c>
      <c r="Q1517" s="15">
        <f>IF(B1517="","",IF(J1517&lt;&gt;"","Not billable",IF(P1517="","To invoice",IF(P1517="Two invoices","Check dates",IF(ISNA(MATCH(P1517,Invoices!$B$6:$B$305,0)),"Check number",IF(INDEX(Invoices!$M$6:$M$305,MATCH(P1517,Invoices!$B$6:$B$305,0))="Paid","Paid",IF(INDEX(Invoices!$M$6:$M$305,MATCH(P1517,Invoices!$B$6:$B$305,0))="Draft","Draft","Invoiced")))))))</f>
        <v/>
      </c>
      <c r="R1517" s="1">
        <f>IF(AND(B1517&lt;&gt;"",P1517&lt;&gt;"",P1517=Invoice!$G$4),B1517+MOD(N(F1517),1)+ROW()/10000000,"")</f>
        <v/>
      </c>
      <c r="S1517">
        <f>IF(R1517="","",IF(D1517="","Other work",D1517)&amp;IF(AND(K1517&lt;&gt;"",E1517&lt;&gt;""),", "&amp;E1517,""))</f>
        <v/>
      </c>
      <c r="T1517">
        <f>IF(R1517="","",IF(COUNTIFS(R$6:R1516,"&gt;0",S$6:S1516,S1517,N$6:N1516,N1517)=0,R1517,""))</f>
        <v/>
      </c>
      <c r="U1517">
        <f>IF(B1517="","",IF(J1517&lt;&gt;"",0,M1517))</f>
        <v/>
      </c>
    </row>
    <row r="1518">
      <c r="A1518" s="1" t="n"/>
      <c r="B1518" s="16" t="n"/>
      <c r="C1518" s="17" t="n"/>
      <c r="D1518" s="18" t="n"/>
      <c r="E1518" s="18" t="n"/>
      <c r="F1518" s="19" t="n"/>
      <c r="G1518" s="19" t="n"/>
      <c r="H1518" s="20" t="n"/>
      <c r="I1518" s="21" t="n"/>
      <c r="J1518" s="22" t="n"/>
      <c r="K1518" s="23" t="n"/>
      <c r="L1518" s="18" t="n"/>
      <c r="M1518" s="24">
        <f>IF(B1518="","",IF(AND(F1518&lt;&gt;"",G1518&lt;&gt;""),MAX(0,ROUND(MOD(G1518-F1518,1)*24-N(H1518)/60,2)),N(I1518)))</f>
        <v/>
      </c>
      <c r="N1518" s="14">
        <f>IF(B1518="","",IF(K1518&lt;&gt;"",K1518,IF(N(IFERROR(INDEX(Projects!$D$6:$D$65,MATCH(D1518,Projects!$B$6:$B$65,0)),""))&gt;0,IFERROR(INDEX(Projects!$D$6:$D$65,MATCH(D1518,Projects!$B$6:$B$65,0)),""),IFERROR(INDEX(Clients!$G$6:$G$45,MATCH(C1518,Clients!$B$6:$B$45,0)),0))))</f>
        <v/>
      </c>
      <c r="O1518" s="14">
        <f>IF(B1518="","",IF(J1518&lt;&gt;"",0,ROUND(M1518*N1518,2)))</f>
        <v/>
      </c>
      <c r="P1518" s="15">
        <f>IF(OR(B1518="",J1518&lt;&gt;""),"",IF(L1518&lt;&gt;"",L1518,IF(COUNTIFS(Invoices!$C$6:$C$305,C1518,Invoices!$E$6:$E$305,"&lt;="&amp;B1518,Invoices!$F$6:$F$305,"&gt;="&amp;B1518)=1,INDEX(Invoices!$B$6:$B$305,SUMIFS(Invoices!$O$6:$O$305,Invoices!$C$6:$C$305,C1518,Invoices!$E$6:$E$305,"&lt;="&amp;B1518,Invoices!$F$6:$F$305,"&gt;="&amp;B1518)),IF(COUNTIFS(Invoices!$C$6:$C$305,C1518,Invoices!$E$6:$E$305,"&lt;="&amp;B1518,Invoices!$F$6:$F$305,"&gt;="&amp;B1518)&gt;1,"Two invoices",""))))</f>
        <v/>
      </c>
      <c r="Q1518" s="15">
        <f>IF(B1518="","",IF(J1518&lt;&gt;"","Not billable",IF(P1518="","To invoice",IF(P1518="Two invoices","Check dates",IF(ISNA(MATCH(P1518,Invoices!$B$6:$B$305,0)),"Check number",IF(INDEX(Invoices!$M$6:$M$305,MATCH(P1518,Invoices!$B$6:$B$305,0))="Paid","Paid",IF(INDEX(Invoices!$M$6:$M$305,MATCH(P1518,Invoices!$B$6:$B$305,0))="Draft","Draft","Invoiced")))))))</f>
        <v/>
      </c>
      <c r="R1518" s="1">
        <f>IF(AND(B1518&lt;&gt;"",P1518&lt;&gt;"",P1518=Invoice!$G$4),B1518+MOD(N(F1518),1)+ROW()/10000000,"")</f>
        <v/>
      </c>
      <c r="S1518">
        <f>IF(R1518="","",IF(D1518="","Other work",D1518)&amp;IF(AND(K1518&lt;&gt;"",E1518&lt;&gt;""),", "&amp;E1518,""))</f>
        <v/>
      </c>
      <c r="T1518">
        <f>IF(R1518="","",IF(COUNTIFS(R$6:R1517,"&gt;0",S$6:S1517,S1518,N$6:N1517,N1518)=0,R1518,""))</f>
        <v/>
      </c>
      <c r="U1518">
        <f>IF(B1518="","",IF(J1518&lt;&gt;"",0,M1518))</f>
        <v/>
      </c>
    </row>
    <row r="1519">
      <c r="A1519" s="1" t="n"/>
      <c r="B1519" s="16" t="n"/>
      <c r="C1519" s="17" t="n"/>
      <c r="D1519" s="18" t="n"/>
      <c r="E1519" s="18" t="n"/>
      <c r="F1519" s="19" t="n"/>
      <c r="G1519" s="19" t="n"/>
      <c r="H1519" s="20" t="n"/>
      <c r="I1519" s="21" t="n"/>
      <c r="J1519" s="22" t="n"/>
      <c r="K1519" s="23" t="n"/>
      <c r="L1519" s="18" t="n"/>
      <c r="M1519" s="24">
        <f>IF(B1519="","",IF(AND(F1519&lt;&gt;"",G1519&lt;&gt;""),MAX(0,ROUND(MOD(G1519-F1519,1)*24-N(H1519)/60,2)),N(I1519)))</f>
        <v/>
      </c>
      <c r="N1519" s="14">
        <f>IF(B1519="","",IF(K1519&lt;&gt;"",K1519,IF(N(IFERROR(INDEX(Projects!$D$6:$D$65,MATCH(D1519,Projects!$B$6:$B$65,0)),""))&gt;0,IFERROR(INDEX(Projects!$D$6:$D$65,MATCH(D1519,Projects!$B$6:$B$65,0)),""),IFERROR(INDEX(Clients!$G$6:$G$45,MATCH(C1519,Clients!$B$6:$B$45,0)),0))))</f>
        <v/>
      </c>
      <c r="O1519" s="14">
        <f>IF(B1519="","",IF(J1519&lt;&gt;"",0,ROUND(M1519*N1519,2)))</f>
        <v/>
      </c>
      <c r="P1519" s="15">
        <f>IF(OR(B1519="",J1519&lt;&gt;""),"",IF(L1519&lt;&gt;"",L1519,IF(COUNTIFS(Invoices!$C$6:$C$305,C1519,Invoices!$E$6:$E$305,"&lt;="&amp;B1519,Invoices!$F$6:$F$305,"&gt;="&amp;B1519)=1,INDEX(Invoices!$B$6:$B$305,SUMIFS(Invoices!$O$6:$O$305,Invoices!$C$6:$C$305,C1519,Invoices!$E$6:$E$305,"&lt;="&amp;B1519,Invoices!$F$6:$F$305,"&gt;="&amp;B1519)),IF(COUNTIFS(Invoices!$C$6:$C$305,C1519,Invoices!$E$6:$E$305,"&lt;="&amp;B1519,Invoices!$F$6:$F$305,"&gt;="&amp;B1519)&gt;1,"Two invoices",""))))</f>
        <v/>
      </c>
      <c r="Q1519" s="15">
        <f>IF(B1519="","",IF(J1519&lt;&gt;"","Not billable",IF(P1519="","To invoice",IF(P1519="Two invoices","Check dates",IF(ISNA(MATCH(P1519,Invoices!$B$6:$B$305,0)),"Check number",IF(INDEX(Invoices!$M$6:$M$305,MATCH(P1519,Invoices!$B$6:$B$305,0))="Paid","Paid",IF(INDEX(Invoices!$M$6:$M$305,MATCH(P1519,Invoices!$B$6:$B$305,0))="Draft","Draft","Invoiced")))))))</f>
        <v/>
      </c>
      <c r="R1519" s="1">
        <f>IF(AND(B1519&lt;&gt;"",P1519&lt;&gt;"",P1519=Invoice!$G$4),B1519+MOD(N(F1519),1)+ROW()/10000000,"")</f>
        <v/>
      </c>
      <c r="S1519">
        <f>IF(R1519="","",IF(D1519="","Other work",D1519)&amp;IF(AND(K1519&lt;&gt;"",E1519&lt;&gt;""),", "&amp;E1519,""))</f>
        <v/>
      </c>
      <c r="T1519">
        <f>IF(R1519="","",IF(COUNTIFS(R$6:R1518,"&gt;0",S$6:S1518,S1519,N$6:N1518,N1519)=0,R1519,""))</f>
        <v/>
      </c>
      <c r="U1519">
        <f>IF(B1519="","",IF(J1519&lt;&gt;"",0,M1519))</f>
        <v/>
      </c>
    </row>
    <row r="1520">
      <c r="A1520" s="1" t="n"/>
      <c r="B1520" s="16" t="n"/>
      <c r="C1520" s="17" t="n"/>
      <c r="D1520" s="18" t="n"/>
      <c r="E1520" s="18" t="n"/>
      <c r="F1520" s="19" t="n"/>
      <c r="G1520" s="19" t="n"/>
      <c r="H1520" s="20" t="n"/>
      <c r="I1520" s="21" t="n"/>
      <c r="J1520" s="22" t="n"/>
      <c r="K1520" s="23" t="n"/>
      <c r="L1520" s="18" t="n"/>
      <c r="M1520" s="24">
        <f>IF(B1520="","",IF(AND(F1520&lt;&gt;"",G1520&lt;&gt;""),MAX(0,ROUND(MOD(G1520-F1520,1)*24-N(H1520)/60,2)),N(I1520)))</f>
        <v/>
      </c>
      <c r="N1520" s="14">
        <f>IF(B1520="","",IF(K1520&lt;&gt;"",K1520,IF(N(IFERROR(INDEX(Projects!$D$6:$D$65,MATCH(D1520,Projects!$B$6:$B$65,0)),""))&gt;0,IFERROR(INDEX(Projects!$D$6:$D$65,MATCH(D1520,Projects!$B$6:$B$65,0)),""),IFERROR(INDEX(Clients!$G$6:$G$45,MATCH(C1520,Clients!$B$6:$B$45,0)),0))))</f>
        <v/>
      </c>
      <c r="O1520" s="14">
        <f>IF(B1520="","",IF(J1520&lt;&gt;"",0,ROUND(M1520*N1520,2)))</f>
        <v/>
      </c>
      <c r="P1520" s="15">
        <f>IF(OR(B1520="",J1520&lt;&gt;""),"",IF(L1520&lt;&gt;"",L1520,IF(COUNTIFS(Invoices!$C$6:$C$305,C1520,Invoices!$E$6:$E$305,"&lt;="&amp;B1520,Invoices!$F$6:$F$305,"&gt;="&amp;B1520)=1,INDEX(Invoices!$B$6:$B$305,SUMIFS(Invoices!$O$6:$O$305,Invoices!$C$6:$C$305,C1520,Invoices!$E$6:$E$305,"&lt;="&amp;B1520,Invoices!$F$6:$F$305,"&gt;="&amp;B1520)),IF(COUNTIFS(Invoices!$C$6:$C$305,C1520,Invoices!$E$6:$E$305,"&lt;="&amp;B1520,Invoices!$F$6:$F$305,"&gt;="&amp;B1520)&gt;1,"Two invoices",""))))</f>
        <v/>
      </c>
      <c r="Q1520" s="15">
        <f>IF(B1520="","",IF(J1520&lt;&gt;"","Not billable",IF(P1520="","To invoice",IF(P1520="Two invoices","Check dates",IF(ISNA(MATCH(P1520,Invoices!$B$6:$B$305,0)),"Check number",IF(INDEX(Invoices!$M$6:$M$305,MATCH(P1520,Invoices!$B$6:$B$305,0))="Paid","Paid",IF(INDEX(Invoices!$M$6:$M$305,MATCH(P1520,Invoices!$B$6:$B$305,0))="Draft","Draft","Invoiced")))))))</f>
        <v/>
      </c>
      <c r="R1520" s="1">
        <f>IF(AND(B1520&lt;&gt;"",P1520&lt;&gt;"",P1520=Invoice!$G$4),B1520+MOD(N(F1520),1)+ROW()/10000000,"")</f>
        <v/>
      </c>
      <c r="S1520">
        <f>IF(R1520="","",IF(D1520="","Other work",D1520)&amp;IF(AND(K1520&lt;&gt;"",E1520&lt;&gt;""),", "&amp;E1520,""))</f>
        <v/>
      </c>
      <c r="T1520">
        <f>IF(R1520="","",IF(COUNTIFS(R$6:R1519,"&gt;0",S$6:S1519,S1520,N$6:N1519,N1520)=0,R1520,""))</f>
        <v/>
      </c>
      <c r="U1520">
        <f>IF(B1520="","",IF(J1520&lt;&gt;"",0,M1520))</f>
        <v/>
      </c>
    </row>
    <row r="1521">
      <c r="A1521" s="1" t="n"/>
      <c r="B1521" s="16" t="n"/>
      <c r="C1521" s="17" t="n"/>
      <c r="D1521" s="18" t="n"/>
      <c r="E1521" s="18" t="n"/>
      <c r="F1521" s="19" t="n"/>
      <c r="G1521" s="19" t="n"/>
      <c r="H1521" s="20" t="n"/>
      <c r="I1521" s="21" t="n"/>
      <c r="J1521" s="22" t="n"/>
      <c r="K1521" s="23" t="n"/>
      <c r="L1521" s="18" t="n"/>
      <c r="M1521" s="24">
        <f>IF(B1521="","",IF(AND(F1521&lt;&gt;"",G1521&lt;&gt;""),MAX(0,ROUND(MOD(G1521-F1521,1)*24-N(H1521)/60,2)),N(I1521)))</f>
        <v/>
      </c>
      <c r="N1521" s="14">
        <f>IF(B1521="","",IF(K1521&lt;&gt;"",K1521,IF(N(IFERROR(INDEX(Projects!$D$6:$D$65,MATCH(D1521,Projects!$B$6:$B$65,0)),""))&gt;0,IFERROR(INDEX(Projects!$D$6:$D$65,MATCH(D1521,Projects!$B$6:$B$65,0)),""),IFERROR(INDEX(Clients!$G$6:$G$45,MATCH(C1521,Clients!$B$6:$B$45,0)),0))))</f>
        <v/>
      </c>
      <c r="O1521" s="14">
        <f>IF(B1521="","",IF(J1521&lt;&gt;"",0,ROUND(M1521*N1521,2)))</f>
        <v/>
      </c>
      <c r="P1521" s="15">
        <f>IF(OR(B1521="",J1521&lt;&gt;""),"",IF(L1521&lt;&gt;"",L1521,IF(COUNTIFS(Invoices!$C$6:$C$305,C1521,Invoices!$E$6:$E$305,"&lt;="&amp;B1521,Invoices!$F$6:$F$305,"&gt;="&amp;B1521)=1,INDEX(Invoices!$B$6:$B$305,SUMIFS(Invoices!$O$6:$O$305,Invoices!$C$6:$C$305,C1521,Invoices!$E$6:$E$305,"&lt;="&amp;B1521,Invoices!$F$6:$F$305,"&gt;="&amp;B1521)),IF(COUNTIFS(Invoices!$C$6:$C$305,C1521,Invoices!$E$6:$E$305,"&lt;="&amp;B1521,Invoices!$F$6:$F$305,"&gt;="&amp;B1521)&gt;1,"Two invoices",""))))</f>
        <v/>
      </c>
      <c r="Q1521" s="15">
        <f>IF(B1521="","",IF(J1521&lt;&gt;"","Not billable",IF(P1521="","To invoice",IF(P1521="Two invoices","Check dates",IF(ISNA(MATCH(P1521,Invoices!$B$6:$B$305,0)),"Check number",IF(INDEX(Invoices!$M$6:$M$305,MATCH(P1521,Invoices!$B$6:$B$305,0))="Paid","Paid",IF(INDEX(Invoices!$M$6:$M$305,MATCH(P1521,Invoices!$B$6:$B$305,0))="Draft","Draft","Invoiced")))))))</f>
        <v/>
      </c>
      <c r="R1521" s="1">
        <f>IF(AND(B1521&lt;&gt;"",P1521&lt;&gt;"",P1521=Invoice!$G$4),B1521+MOD(N(F1521),1)+ROW()/10000000,"")</f>
        <v/>
      </c>
      <c r="S1521">
        <f>IF(R1521="","",IF(D1521="","Other work",D1521)&amp;IF(AND(K1521&lt;&gt;"",E1521&lt;&gt;""),", "&amp;E1521,""))</f>
        <v/>
      </c>
      <c r="T1521">
        <f>IF(R1521="","",IF(COUNTIFS(R$6:R1520,"&gt;0",S$6:S1520,S1521,N$6:N1520,N1521)=0,R1521,""))</f>
        <v/>
      </c>
      <c r="U1521">
        <f>IF(B1521="","",IF(J1521&lt;&gt;"",0,M1521))</f>
        <v/>
      </c>
    </row>
    <row r="1522">
      <c r="A1522" s="1" t="n"/>
      <c r="B1522" s="16" t="n"/>
      <c r="C1522" s="17" t="n"/>
      <c r="D1522" s="18" t="n"/>
      <c r="E1522" s="18" t="n"/>
      <c r="F1522" s="19" t="n"/>
      <c r="G1522" s="19" t="n"/>
      <c r="H1522" s="20" t="n"/>
      <c r="I1522" s="21" t="n"/>
      <c r="J1522" s="22" t="n"/>
      <c r="K1522" s="23" t="n"/>
      <c r="L1522" s="18" t="n"/>
      <c r="M1522" s="24">
        <f>IF(B1522="","",IF(AND(F1522&lt;&gt;"",G1522&lt;&gt;""),MAX(0,ROUND(MOD(G1522-F1522,1)*24-N(H1522)/60,2)),N(I1522)))</f>
        <v/>
      </c>
      <c r="N1522" s="14">
        <f>IF(B1522="","",IF(K1522&lt;&gt;"",K1522,IF(N(IFERROR(INDEX(Projects!$D$6:$D$65,MATCH(D1522,Projects!$B$6:$B$65,0)),""))&gt;0,IFERROR(INDEX(Projects!$D$6:$D$65,MATCH(D1522,Projects!$B$6:$B$65,0)),""),IFERROR(INDEX(Clients!$G$6:$G$45,MATCH(C1522,Clients!$B$6:$B$45,0)),0))))</f>
        <v/>
      </c>
      <c r="O1522" s="14">
        <f>IF(B1522="","",IF(J1522&lt;&gt;"",0,ROUND(M1522*N1522,2)))</f>
        <v/>
      </c>
      <c r="P1522" s="15">
        <f>IF(OR(B1522="",J1522&lt;&gt;""),"",IF(L1522&lt;&gt;"",L1522,IF(COUNTIFS(Invoices!$C$6:$C$305,C1522,Invoices!$E$6:$E$305,"&lt;="&amp;B1522,Invoices!$F$6:$F$305,"&gt;="&amp;B1522)=1,INDEX(Invoices!$B$6:$B$305,SUMIFS(Invoices!$O$6:$O$305,Invoices!$C$6:$C$305,C1522,Invoices!$E$6:$E$305,"&lt;="&amp;B1522,Invoices!$F$6:$F$305,"&gt;="&amp;B1522)),IF(COUNTIFS(Invoices!$C$6:$C$305,C1522,Invoices!$E$6:$E$305,"&lt;="&amp;B1522,Invoices!$F$6:$F$305,"&gt;="&amp;B1522)&gt;1,"Two invoices",""))))</f>
        <v/>
      </c>
      <c r="Q1522" s="15">
        <f>IF(B1522="","",IF(J1522&lt;&gt;"","Not billable",IF(P1522="","To invoice",IF(P1522="Two invoices","Check dates",IF(ISNA(MATCH(P1522,Invoices!$B$6:$B$305,0)),"Check number",IF(INDEX(Invoices!$M$6:$M$305,MATCH(P1522,Invoices!$B$6:$B$305,0))="Paid","Paid",IF(INDEX(Invoices!$M$6:$M$305,MATCH(P1522,Invoices!$B$6:$B$305,0))="Draft","Draft","Invoiced")))))))</f>
        <v/>
      </c>
      <c r="R1522" s="1">
        <f>IF(AND(B1522&lt;&gt;"",P1522&lt;&gt;"",P1522=Invoice!$G$4),B1522+MOD(N(F1522),1)+ROW()/10000000,"")</f>
        <v/>
      </c>
      <c r="S1522">
        <f>IF(R1522="","",IF(D1522="","Other work",D1522)&amp;IF(AND(K1522&lt;&gt;"",E1522&lt;&gt;""),", "&amp;E1522,""))</f>
        <v/>
      </c>
      <c r="T1522">
        <f>IF(R1522="","",IF(COUNTIFS(R$6:R1521,"&gt;0",S$6:S1521,S1522,N$6:N1521,N1522)=0,R1522,""))</f>
        <v/>
      </c>
      <c r="U1522">
        <f>IF(B1522="","",IF(J1522&lt;&gt;"",0,M1522))</f>
        <v/>
      </c>
    </row>
    <row r="1523">
      <c r="A1523" s="1" t="n"/>
      <c r="B1523" s="16" t="n"/>
      <c r="C1523" s="17" t="n"/>
      <c r="D1523" s="18" t="n"/>
      <c r="E1523" s="18" t="n"/>
      <c r="F1523" s="19" t="n"/>
      <c r="G1523" s="19" t="n"/>
      <c r="H1523" s="20" t="n"/>
      <c r="I1523" s="21" t="n"/>
      <c r="J1523" s="22" t="n"/>
      <c r="K1523" s="23" t="n"/>
      <c r="L1523" s="18" t="n"/>
      <c r="M1523" s="24">
        <f>IF(B1523="","",IF(AND(F1523&lt;&gt;"",G1523&lt;&gt;""),MAX(0,ROUND(MOD(G1523-F1523,1)*24-N(H1523)/60,2)),N(I1523)))</f>
        <v/>
      </c>
      <c r="N1523" s="14">
        <f>IF(B1523="","",IF(K1523&lt;&gt;"",K1523,IF(N(IFERROR(INDEX(Projects!$D$6:$D$65,MATCH(D1523,Projects!$B$6:$B$65,0)),""))&gt;0,IFERROR(INDEX(Projects!$D$6:$D$65,MATCH(D1523,Projects!$B$6:$B$65,0)),""),IFERROR(INDEX(Clients!$G$6:$G$45,MATCH(C1523,Clients!$B$6:$B$45,0)),0))))</f>
        <v/>
      </c>
      <c r="O1523" s="14">
        <f>IF(B1523="","",IF(J1523&lt;&gt;"",0,ROUND(M1523*N1523,2)))</f>
        <v/>
      </c>
      <c r="P1523" s="15">
        <f>IF(OR(B1523="",J1523&lt;&gt;""),"",IF(L1523&lt;&gt;"",L1523,IF(COUNTIFS(Invoices!$C$6:$C$305,C1523,Invoices!$E$6:$E$305,"&lt;="&amp;B1523,Invoices!$F$6:$F$305,"&gt;="&amp;B1523)=1,INDEX(Invoices!$B$6:$B$305,SUMIFS(Invoices!$O$6:$O$305,Invoices!$C$6:$C$305,C1523,Invoices!$E$6:$E$305,"&lt;="&amp;B1523,Invoices!$F$6:$F$305,"&gt;="&amp;B1523)),IF(COUNTIFS(Invoices!$C$6:$C$305,C1523,Invoices!$E$6:$E$305,"&lt;="&amp;B1523,Invoices!$F$6:$F$305,"&gt;="&amp;B1523)&gt;1,"Two invoices",""))))</f>
        <v/>
      </c>
      <c r="Q1523" s="15">
        <f>IF(B1523="","",IF(J1523&lt;&gt;"","Not billable",IF(P1523="","To invoice",IF(P1523="Two invoices","Check dates",IF(ISNA(MATCH(P1523,Invoices!$B$6:$B$305,0)),"Check number",IF(INDEX(Invoices!$M$6:$M$305,MATCH(P1523,Invoices!$B$6:$B$305,0))="Paid","Paid",IF(INDEX(Invoices!$M$6:$M$305,MATCH(P1523,Invoices!$B$6:$B$305,0))="Draft","Draft","Invoiced")))))))</f>
        <v/>
      </c>
      <c r="R1523" s="1">
        <f>IF(AND(B1523&lt;&gt;"",P1523&lt;&gt;"",P1523=Invoice!$G$4),B1523+MOD(N(F1523),1)+ROW()/10000000,"")</f>
        <v/>
      </c>
      <c r="S1523">
        <f>IF(R1523="","",IF(D1523="","Other work",D1523)&amp;IF(AND(K1523&lt;&gt;"",E1523&lt;&gt;""),", "&amp;E1523,""))</f>
        <v/>
      </c>
      <c r="T1523">
        <f>IF(R1523="","",IF(COUNTIFS(R$6:R1522,"&gt;0",S$6:S1522,S1523,N$6:N1522,N1523)=0,R1523,""))</f>
        <v/>
      </c>
      <c r="U1523">
        <f>IF(B1523="","",IF(J1523&lt;&gt;"",0,M1523))</f>
        <v/>
      </c>
    </row>
    <row r="1524">
      <c r="A1524" s="1" t="n"/>
      <c r="B1524" s="16" t="n"/>
      <c r="C1524" s="17" t="n"/>
      <c r="D1524" s="18" t="n"/>
      <c r="E1524" s="18" t="n"/>
      <c r="F1524" s="19" t="n"/>
      <c r="G1524" s="19" t="n"/>
      <c r="H1524" s="20" t="n"/>
      <c r="I1524" s="21" t="n"/>
      <c r="J1524" s="22" t="n"/>
      <c r="K1524" s="23" t="n"/>
      <c r="L1524" s="18" t="n"/>
      <c r="M1524" s="24">
        <f>IF(B1524="","",IF(AND(F1524&lt;&gt;"",G1524&lt;&gt;""),MAX(0,ROUND(MOD(G1524-F1524,1)*24-N(H1524)/60,2)),N(I1524)))</f>
        <v/>
      </c>
      <c r="N1524" s="14">
        <f>IF(B1524="","",IF(K1524&lt;&gt;"",K1524,IF(N(IFERROR(INDEX(Projects!$D$6:$D$65,MATCH(D1524,Projects!$B$6:$B$65,0)),""))&gt;0,IFERROR(INDEX(Projects!$D$6:$D$65,MATCH(D1524,Projects!$B$6:$B$65,0)),""),IFERROR(INDEX(Clients!$G$6:$G$45,MATCH(C1524,Clients!$B$6:$B$45,0)),0))))</f>
        <v/>
      </c>
      <c r="O1524" s="14">
        <f>IF(B1524="","",IF(J1524&lt;&gt;"",0,ROUND(M1524*N1524,2)))</f>
        <v/>
      </c>
      <c r="P1524" s="15">
        <f>IF(OR(B1524="",J1524&lt;&gt;""),"",IF(L1524&lt;&gt;"",L1524,IF(COUNTIFS(Invoices!$C$6:$C$305,C1524,Invoices!$E$6:$E$305,"&lt;="&amp;B1524,Invoices!$F$6:$F$305,"&gt;="&amp;B1524)=1,INDEX(Invoices!$B$6:$B$305,SUMIFS(Invoices!$O$6:$O$305,Invoices!$C$6:$C$305,C1524,Invoices!$E$6:$E$305,"&lt;="&amp;B1524,Invoices!$F$6:$F$305,"&gt;="&amp;B1524)),IF(COUNTIFS(Invoices!$C$6:$C$305,C1524,Invoices!$E$6:$E$305,"&lt;="&amp;B1524,Invoices!$F$6:$F$305,"&gt;="&amp;B1524)&gt;1,"Two invoices",""))))</f>
        <v/>
      </c>
      <c r="Q1524" s="15">
        <f>IF(B1524="","",IF(J1524&lt;&gt;"","Not billable",IF(P1524="","To invoice",IF(P1524="Two invoices","Check dates",IF(ISNA(MATCH(P1524,Invoices!$B$6:$B$305,0)),"Check number",IF(INDEX(Invoices!$M$6:$M$305,MATCH(P1524,Invoices!$B$6:$B$305,0))="Paid","Paid",IF(INDEX(Invoices!$M$6:$M$305,MATCH(P1524,Invoices!$B$6:$B$305,0))="Draft","Draft","Invoiced")))))))</f>
        <v/>
      </c>
      <c r="R1524" s="1">
        <f>IF(AND(B1524&lt;&gt;"",P1524&lt;&gt;"",P1524=Invoice!$G$4),B1524+MOD(N(F1524),1)+ROW()/10000000,"")</f>
        <v/>
      </c>
      <c r="S1524">
        <f>IF(R1524="","",IF(D1524="","Other work",D1524)&amp;IF(AND(K1524&lt;&gt;"",E1524&lt;&gt;""),", "&amp;E1524,""))</f>
        <v/>
      </c>
      <c r="T1524">
        <f>IF(R1524="","",IF(COUNTIFS(R$6:R1523,"&gt;0",S$6:S1523,S1524,N$6:N1523,N1524)=0,R1524,""))</f>
        <v/>
      </c>
      <c r="U1524">
        <f>IF(B1524="","",IF(J1524&lt;&gt;"",0,M1524))</f>
        <v/>
      </c>
    </row>
    <row r="1525">
      <c r="A1525" s="1" t="n"/>
      <c r="B1525" s="16" t="n"/>
      <c r="C1525" s="17" t="n"/>
      <c r="D1525" s="18" t="n"/>
      <c r="E1525" s="18" t="n"/>
      <c r="F1525" s="19" t="n"/>
      <c r="G1525" s="19" t="n"/>
      <c r="H1525" s="20" t="n"/>
      <c r="I1525" s="21" t="n"/>
      <c r="J1525" s="22" t="n"/>
      <c r="K1525" s="23" t="n"/>
      <c r="L1525" s="18" t="n"/>
      <c r="M1525" s="24">
        <f>IF(B1525="","",IF(AND(F1525&lt;&gt;"",G1525&lt;&gt;""),MAX(0,ROUND(MOD(G1525-F1525,1)*24-N(H1525)/60,2)),N(I1525)))</f>
        <v/>
      </c>
      <c r="N1525" s="14">
        <f>IF(B1525="","",IF(K1525&lt;&gt;"",K1525,IF(N(IFERROR(INDEX(Projects!$D$6:$D$65,MATCH(D1525,Projects!$B$6:$B$65,0)),""))&gt;0,IFERROR(INDEX(Projects!$D$6:$D$65,MATCH(D1525,Projects!$B$6:$B$65,0)),""),IFERROR(INDEX(Clients!$G$6:$G$45,MATCH(C1525,Clients!$B$6:$B$45,0)),0))))</f>
        <v/>
      </c>
      <c r="O1525" s="14">
        <f>IF(B1525="","",IF(J1525&lt;&gt;"",0,ROUND(M1525*N1525,2)))</f>
        <v/>
      </c>
      <c r="P1525" s="15">
        <f>IF(OR(B1525="",J1525&lt;&gt;""),"",IF(L1525&lt;&gt;"",L1525,IF(COUNTIFS(Invoices!$C$6:$C$305,C1525,Invoices!$E$6:$E$305,"&lt;="&amp;B1525,Invoices!$F$6:$F$305,"&gt;="&amp;B1525)=1,INDEX(Invoices!$B$6:$B$305,SUMIFS(Invoices!$O$6:$O$305,Invoices!$C$6:$C$305,C1525,Invoices!$E$6:$E$305,"&lt;="&amp;B1525,Invoices!$F$6:$F$305,"&gt;="&amp;B1525)),IF(COUNTIFS(Invoices!$C$6:$C$305,C1525,Invoices!$E$6:$E$305,"&lt;="&amp;B1525,Invoices!$F$6:$F$305,"&gt;="&amp;B1525)&gt;1,"Two invoices",""))))</f>
        <v/>
      </c>
      <c r="Q1525" s="15">
        <f>IF(B1525="","",IF(J1525&lt;&gt;"","Not billable",IF(P1525="","To invoice",IF(P1525="Two invoices","Check dates",IF(ISNA(MATCH(P1525,Invoices!$B$6:$B$305,0)),"Check number",IF(INDEX(Invoices!$M$6:$M$305,MATCH(P1525,Invoices!$B$6:$B$305,0))="Paid","Paid",IF(INDEX(Invoices!$M$6:$M$305,MATCH(P1525,Invoices!$B$6:$B$305,0))="Draft","Draft","Invoiced")))))))</f>
        <v/>
      </c>
      <c r="R1525" s="1">
        <f>IF(AND(B1525&lt;&gt;"",P1525&lt;&gt;"",P1525=Invoice!$G$4),B1525+MOD(N(F1525),1)+ROW()/10000000,"")</f>
        <v/>
      </c>
      <c r="S1525">
        <f>IF(R1525="","",IF(D1525="","Other work",D1525)&amp;IF(AND(K1525&lt;&gt;"",E1525&lt;&gt;""),", "&amp;E1525,""))</f>
        <v/>
      </c>
      <c r="T1525">
        <f>IF(R1525="","",IF(COUNTIFS(R$6:R1524,"&gt;0",S$6:S1524,S1525,N$6:N1524,N1525)=0,R1525,""))</f>
        <v/>
      </c>
      <c r="U1525">
        <f>IF(B1525="","",IF(J1525&lt;&gt;"",0,M1525))</f>
        <v/>
      </c>
    </row>
    <row r="1526">
      <c r="A1526" s="1" t="n"/>
      <c r="B1526" s="16" t="n"/>
      <c r="C1526" s="17" t="n"/>
      <c r="D1526" s="18" t="n"/>
      <c r="E1526" s="18" t="n"/>
      <c r="F1526" s="19" t="n"/>
      <c r="G1526" s="19" t="n"/>
      <c r="H1526" s="20" t="n"/>
      <c r="I1526" s="21" t="n"/>
      <c r="J1526" s="22" t="n"/>
      <c r="K1526" s="23" t="n"/>
      <c r="L1526" s="18" t="n"/>
      <c r="M1526" s="24">
        <f>IF(B1526="","",IF(AND(F1526&lt;&gt;"",G1526&lt;&gt;""),MAX(0,ROUND(MOD(G1526-F1526,1)*24-N(H1526)/60,2)),N(I1526)))</f>
        <v/>
      </c>
      <c r="N1526" s="14">
        <f>IF(B1526="","",IF(K1526&lt;&gt;"",K1526,IF(N(IFERROR(INDEX(Projects!$D$6:$D$65,MATCH(D1526,Projects!$B$6:$B$65,0)),""))&gt;0,IFERROR(INDEX(Projects!$D$6:$D$65,MATCH(D1526,Projects!$B$6:$B$65,0)),""),IFERROR(INDEX(Clients!$G$6:$G$45,MATCH(C1526,Clients!$B$6:$B$45,0)),0))))</f>
        <v/>
      </c>
      <c r="O1526" s="14">
        <f>IF(B1526="","",IF(J1526&lt;&gt;"",0,ROUND(M1526*N1526,2)))</f>
        <v/>
      </c>
      <c r="P1526" s="15">
        <f>IF(OR(B1526="",J1526&lt;&gt;""),"",IF(L1526&lt;&gt;"",L1526,IF(COUNTIFS(Invoices!$C$6:$C$305,C1526,Invoices!$E$6:$E$305,"&lt;="&amp;B1526,Invoices!$F$6:$F$305,"&gt;="&amp;B1526)=1,INDEX(Invoices!$B$6:$B$305,SUMIFS(Invoices!$O$6:$O$305,Invoices!$C$6:$C$305,C1526,Invoices!$E$6:$E$305,"&lt;="&amp;B1526,Invoices!$F$6:$F$305,"&gt;="&amp;B1526)),IF(COUNTIFS(Invoices!$C$6:$C$305,C1526,Invoices!$E$6:$E$305,"&lt;="&amp;B1526,Invoices!$F$6:$F$305,"&gt;="&amp;B1526)&gt;1,"Two invoices",""))))</f>
        <v/>
      </c>
      <c r="Q1526" s="15">
        <f>IF(B1526="","",IF(J1526&lt;&gt;"","Not billable",IF(P1526="","To invoice",IF(P1526="Two invoices","Check dates",IF(ISNA(MATCH(P1526,Invoices!$B$6:$B$305,0)),"Check number",IF(INDEX(Invoices!$M$6:$M$305,MATCH(P1526,Invoices!$B$6:$B$305,0))="Paid","Paid",IF(INDEX(Invoices!$M$6:$M$305,MATCH(P1526,Invoices!$B$6:$B$305,0))="Draft","Draft","Invoiced")))))))</f>
        <v/>
      </c>
      <c r="R1526" s="1">
        <f>IF(AND(B1526&lt;&gt;"",P1526&lt;&gt;"",P1526=Invoice!$G$4),B1526+MOD(N(F1526),1)+ROW()/10000000,"")</f>
        <v/>
      </c>
      <c r="S1526">
        <f>IF(R1526="","",IF(D1526="","Other work",D1526)&amp;IF(AND(K1526&lt;&gt;"",E1526&lt;&gt;""),", "&amp;E1526,""))</f>
        <v/>
      </c>
      <c r="T1526">
        <f>IF(R1526="","",IF(COUNTIFS(R$6:R1525,"&gt;0",S$6:S1525,S1526,N$6:N1525,N1526)=0,R1526,""))</f>
        <v/>
      </c>
      <c r="U1526">
        <f>IF(B1526="","",IF(J1526&lt;&gt;"",0,M1526))</f>
        <v/>
      </c>
    </row>
    <row r="1527">
      <c r="A1527" s="1" t="n"/>
      <c r="B1527" s="16" t="n"/>
      <c r="C1527" s="17" t="n"/>
      <c r="D1527" s="18" t="n"/>
      <c r="E1527" s="18" t="n"/>
      <c r="F1527" s="19" t="n"/>
      <c r="G1527" s="19" t="n"/>
      <c r="H1527" s="20" t="n"/>
      <c r="I1527" s="21" t="n"/>
      <c r="J1527" s="22" t="n"/>
      <c r="K1527" s="23" t="n"/>
      <c r="L1527" s="18" t="n"/>
      <c r="M1527" s="24">
        <f>IF(B1527="","",IF(AND(F1527&lt;&gt;"",G1527&lt;&gt;""),MAX(0,ROUND(MOD(G1527-F1527,1)*24-N(H1527)/60,2)),N(I1527)))</f>
        <v/>
      </c>
      <c r="N1527" s="14">
        <f>IF(B1527="","",IF(K1527&lt;&gt;"",K1527,IF(N(IFERROR(INDEX(Projects!$D$6:$D$65,MATCH(D1527,Projects!$B$6:$B$65,0)),""))&gt;0,IFERROR(INDEX(Projects!$D$6:$D$65,MATCH(D1527,Projects!$B$6:$B$65,0)),""),IFERROR(INDEX(Clients!$G$6:$G$45,MATCH(C1527,Clients!$B$6:$B$45,0)),0))))</f>
        <v/>
      </c>
      <c r="O1527" s="14">
        <f>IF(B1527="","",IF(J1527&lt;&gt;"",0,ROUND(M1527*N1527,2)))</f>
        <v/>
      </c>
      <c r="P1527" s="15">
        <f>IF(OR(B1527="",J1527&lt;&gt;""),"",IF(L1527&lt;&gt;"",L1527,IF(COUNTIFS(Invoices!$C$6:$C$305,C1527,Invoices!$E$6:$E$305,"&lt;="&amp;B1527,Invoices!$F$6:$F$305,"&gt;="&amp;B1527)=1,INDEX(Invoices!$B$6:$B$305,SUMIFS(Invoices!$O$6:$O$305,Invoices!$C$6:$C$305,C1527,Invoices!$E$6:$E$305,"&lt;="&amp;B1527,Invoices!$F$6:$F$305,"&gt;="&amp;B1527)),IF(COUNTIFS(Invoices!$C$6:$C$305,C1527,Invoices!$E$6:$E$305,"&lt;="&amp;B1527,Invoices!$F$6:$F$305,"&gt;="&amp;B1527)&gt;1,"Two invoices",""))))</f>
        <v/>
      </c>
      <c r="Q1527" s="15">
        <f>IF(B1527="","",IF(J1527&lt;&gt;"","Not billable",IF(P1527="","To invoice",IF(P1527="Two invoices","Check dates",IF(ISNA(MATCH(P1527,Invoices!$B$6:$B$305,0)),"Check number",IF(INDEX(Invoices!$M$6:$M$305,MATCH(P1527,Invoices!$B$6:$B$305,0))="Paid","Paid",IF(INDEX(Invoices!$M$6:$M$305,MATCH(P1527,Invoices!$B$6:$B$305,0))="Draft","Draft","Invoiced")))))))</f>
        <v/>
      </c>
      <c r="R1527" s="1">
        <f>IF(AND(B1527&lt;&gt;"",P1527&lt;&gt;"",P1527=Invoice!$G$4),B1527+MOD(N(F1527),1)+ROW()/10000000,"")</f>
        <v/>
      </c>
      <c r="S1527">
        <f>IF(R1527="","",IF(D1527="","Other work",D1527)&amp;IF(AND(K1527&lt;&gt;"",E1527&lt;&gt;""),", "&amp;E1527,""))</f>
        <v/>
      </c>
      <c r="T1527">
        <f>IF(R1527="","",IF(COUNTIFS(R$6:R1526,"&gt;0",S$6:S1526,S1527,N$6:N1526,N1527)=0,R1527,""))</f>
        <v/>
      </c>
      <c r="U1527">
        <f>IF(B1527="","",IF(J1527&lt;&gt;"",0,M1527))</f>
        <v/>
      </c>
    </row>
    <row r="1528">
      <c r="A1528" s="1" t="n"/>
      <c r="B1528" s="16" t="n"/>
      <c r="C1528" s="17" t="n"/>
      <c r="D1528" s="18" t="n"/>
      <c r="E1528" s="18" t="n"/>
      <c r="F1528" s="19" t="n"/>
      <c r="G1528" s="19" t="n"/>
      <c r="H1528" s="20" t="n"/>
      <c r="I1528" s="21" t="n"/>
      <c r="J1528" s="22" t="n"/>
      <c r="K1528" s="23" t="n"/>
      <c r="L1528" s="18" t="n"/>
      <c r="M1528" s="24">
        <f>IF(B1528="","",IF(AND(F1528&lt;&gt;"",G1528&lt;&gt;""),MAX(0,ROUND(MOD(G1528-F1528,1)*24-N(H1528)/60,2)),N(I1528)))</f>
        <v/>
      </c>
      <c r="N1528" s="14">
        <f>IF(B1528="","",IF(K1528&lt;&gt;"",K1528,IF(N(IFERROR(INDEX(Projects!$D$6:$D$65,MATCH(D1528,Projects!$B$6:$B$65,0)),""))&gt;0,IFERROR(INDEX(Projects!$D$6:$D$65,MATCH(D1528,Projects!$B$6:$B$65,0)),""),IFERROR(INDEX(Clients!$G$6:$G$45,MATCH(C1528,Clients!$B$6:$B$45,0)),0))))</f>
        <v/>
      </c>
      <c r="O1528" s="14">
        <f>IF(B1528="","",IF(J1528&lt;&gt;"",0,ROUND(M1528*N1528,2)))</f>
        <v/>
      </c>
      <c r="P1528" s="15">
        <f>IF(OR(B1528="",J1528&lt;&gt;""),"",IF(L1528&lt;&gt;"",L1528,IF(COUNTIFS(Invoices!$C$6:$C$305,C1528,Invoices!$E$6:$E$305,"&lt;="&amp;B1528,Invoices!$F$6:$F$305,"&gt;="&amp;B1528)=1,INDEX(Invoices!$B$6:$B$305,SUMIFS(Invoices!$O$6:$O$305,Invoices!$C$6:$C$305,C1528,Invoices!$E$6:$E$305,"&lt;="&amp;B1528,Invoices!$F$6:$F$305,"&gt;="&amp;B1528)),IF(COUNTIFS(Invoices!$C$6:$C$305,C1528,Invoices!$E$6:$E$305,"&lt;="&amp;B1528,Invoices!$F$6:$F$305,"&gt;="&amp;B1528)&gt;1,"Two invoices",""))))</f>
        <v/>
      </c>
      <c r="Q1528" s="15">
        <f>IF(B1528="","",IF(J1528&lt;&gt;"","Not billable",IF(P1528="","To invoice",IF(P1528="Two invoices","Check dates",IF(ISNA(MATCH(P1528,Invoices!$B$6:$B$305,0)),"Check number",IF(INDEX(Invoices!$M$6:$M$305,MATCH(P1528,Invoices!$B$6:$B$305,0))="Paid","Paid",IF(INDEX(Invoices!$M$6:$M$305,MATCH(P1528,Invoices!$B$6:$B$305,0))="Draft","Draft","Invoiced")))))))</f>
        <v/>
      </c>
      <c r="R1528" s="1">
        <f>IF(AND(B1528&lt;&gt;"",P1528&lt;&gt;"",P1528=Invoice!$G$4),B1528+MOD(N(F1528),1)+ROW()/10000000,"")</f>
        <v/>
      </c>
      <c r="S1528">
        <f>IF(R1528="","",IF(D1528="","Other work",D1528)&amp;IF(AND(K1528&lt;&gt;"",E1528&lt;&gt;""),", "&amp;E1528,""))</f>
        <v/>
      </c>
      <c r="T1528">
        <f>IF(R1528="","",IF(COUNTIFS(R$6:R1527,"&gt;0",S$6:S1527,S1528,N$6:N1527,N1528)=0,R1528,""))</f>
        <v/>
      </c>
      <c r="U1528">
        <f>IF(B1528="","",IF(J1528&lt;&gt;"",0,M1528))</f>
        <v/>
      </c>
    </row>
    <row r="1529">
      <c r="A1529" s="1" t="n"/>
      <c r="B1529" s="16" t="n"/>
      <c r="C1529" s="17" t="n"/>
      <c r="D1529" s="18" t="n"/>
      <c r="E1529" s="18" t="n"/>
      <c r="F1529" s="19" t="n"/>
      <c r="G1529" s="19" t="n"/>
      <c r="H1529" s="20" t="n"/>
      <c r="I1529" s="21" t="n"/>
      <c r="J1529" s="22" t="n"/>
      <c r="K1529" s="23" t="n"/>
      <c r="L1529" s="18" t="n"/>
      <c r="M1529" s="24">
        <f>IF(B1529="","",IF(AND(F1529&lt;&gt;"",G1529&lt;&gt;""),MAX(0,ROUND(MOD(G1529-F1529,1)*24-N(H1529)/60,2)),N(I1529)))</f>
        <v/>
      </c>
      <c r="N1529" s="14">
        <f>IF(B1529="","",IF(K1529&lt;&gt;"",K1529,IF(N(IFERROR(INDEX(Projects!$D$6:$D$65,MATCH(D1529,Projects!$B$6:$B$65,0)),""))&gt;0,IFERROR(INDEX(Projects!$D$6:$D$65,MATCH(D1529,Projects!$B$6:$B$65,0)),""),IFERROR(INDEX(Clients!$G$6:$G$45,MATCH(C1529,Clients!$B$6:$B$45,0)),0))))</f>
        <v/>
      </c>
      <c r="O1529" s="14">
        <f>IF(B1529="","",IF(J1529&lt;&gt;"",0,ROUND(M1529*N1529,2)))</f>
        <v/>
      </c>
      <c r="P1529" s="15">
        <f>IF(OR(B1529="",J1529&lt;&gt;""),"",IF(L1529&lt;&gt;"",L1529,IF(COUNTIFS(Invoices!$C$6:$C$305,C1529,Invoices!$E$6:$E$305,"&lt;="&amp;B1529,Invoices!$F$6:$F$305,"&gt;="&amp;B1529)=1,INDEX(Invoices!$B$6:$B$305,SUMIFS(Invoices!$O$6:$O$305,Invoices!$C$6:$C$305,C1529,Invoices!$E$6:$E$305,"&lt;="&amp;B1529,Invoices!$F$6:$F$305,"&gt;="&amp;B1529)),IF(COUNTIFS(Invoices!$C$6:$C$305,C1529,Invoices!$E$6:$E$305,"&lt;="&amp;B1529,Invoices!$F$6:$F$305,"&gt;="&amp;B1529)&gt;1,"Two invoices",""))))</f>
        <v/>
      </c>
      <c r="Q1529" s="15">
        <f>IF(B1529="","",IF(J1529&lt;&gt;"","Not billable",IF(P1529="","To invoice",IF(P1529="Two invoices","Check dates",IF(ISNA(MATCH(P1529,Invoices!$B$6:$B$305,0)),"Check number",IF(INDEX(Invoices!$M$6:$M$305,MATCH(P1529,Invoices!$B$6:$B$305,0))="Paid","Paid",IF(INDEX(Invoices!$M$6:$M$305,MATCH(P1529,Invoices!$B$6:$B$305,0))="Draft","Draft","Invoiced")))))))</f>
        <v/>
      </c>
      <c r="R1529" s="1">
        <f>IF(AND(B1529&lt;&gt;"",P1529&lt;&gt;"",P1529=Invoice!$G$4),B1529+MOD(N(F1529),1)+ROW()/10000000,"")</f>
        <v/>
      </c>
      <c r="S1529">
        <f>IF(R1529="","",IF(D1529="","Other work",D1529)&amp;IF(AND(K1529&lt;&gt;"",E1529&lt;&gt;""),", "&amp;E1529,""))</f>
        <v/>
      </c>
      <c r="T1529">
        <f>IF(R1529="","",IF(COUNTIFS(R$6:R1528,"&gt;0",S$6:S1528,S1529,N$6:N1528,N1529)=0,R1529,""))</f>
        <v/>
      </c>
      <c r="U1529">
        <f>IF(B1529="","",IF(J1529&lt;&gt;"",0,M1529))</f>
        <v/>
      </c>
    </row>
    <row r="1530">
      <c r="A1530" s="1" t="n"/>
      <c r="B1530" s="16" t="n"/>
      <c r="C1530" s="17" t="n"/>
      <c r="D1530" s="18" t="n"/>
      <c r="E1530" s="18" t="n"/>
      <c r="F1530" s="19" t="n"/>
      <c r="G1530" s="19" t="n"/>
      <c r="H1530" s="20" t="n"/>
      <c r="I1530" s="21" t="n"/>
      <c r="J1530" s="22" t="n"/>
      <c r="K1530" s="23" t="n"/>
      <c r="L1530" s="18" t="n"/>
      <c r="M1530" s="24">
        <f>IF(B1530="","",IF(AND(F1530&lt;&gt;"",G1530&lt;&gt;""),MAX(0,ROUND(MOD(G1530-F1530,1)*24-N(H1530)/60,2)),N(I1530)))</f>
        <v/>
      </c>
      <c r="N1530" s="14">
        <f>IF(B1530="","",IF(K1530&lt;&gt;"",K1530,IF(N(IFERROR(INDEX(Projects!$D$6:$D$65,MATCH(D1530,Projects!$B$6:$B$65,0)),""))&gt;0,IFERROR(INDEX(Projects!$D$6:$D$65,MATCH(D1530,Projects!$B$6:$B$65,0)),""),IFERROR(INDEX(Clients!$G$6:$G$45,MATCH(C1530,Clients!$B$6:$B$45,0)),0))))</f>
        <v/>
      </c>
      <c r="O1530" s="14">
        <f>IF(B1530="","",IF(J1530&lt;&gt;"",0,ROUND(M1530*N1530,2)))</f>
        <v/>
      </c>
      <c r="P1530" s="15">
        <f>IF(OR(B1530="",J1530&lt;&gt;""),"",IF(L1530&lt;&gt;"",L1530,IF(COUNTIFS(Invoices!$C$6:$C$305,C1530,Invoices!$E$6:$E$305,"&lt;="&amp;B1530,Invoices!$F$6:$F$305,"&gt;="&amp;B1530)=1,INDEX(Invoices!$B$6:$B$305,SUMIFS(Invoices!$O$6:$O$305,Invoices!$C$6:$C$305,C1530,Invoices!$E$6:$E$305,"&lt;="&amp;B1530,Invoices!$F$6:$F$305,"&gt;="&amp;B1530)),IF(COUNTIFS(Invoices!$C$6:$C$305,C1530,Invoices!$E$6:$E$305,"&lt;="&amp;B1530,Invoices!$F$6:$F$305,"&gt;="&amp;B1530)&gt;1,"Two invoices",""))))</f>
        <v/>
      </c>
      <c r="Q1530" s="15">
        <f>IF(B1530="","",IF(J1530&lt;&gt;"","Not billable",IF(P1530="","To invoice",IF(P1530="Two invoices","Check dates",IF(ISNA(MATCH(P1530,Invoices!$B$6:$B$305,0)),"Check number",IF(INDEX(Invoices!$M$6:$M$305,MATCH(P1530,Invoices!$B$6:$B$305,0))="Paid","Paid",IF(INDEX(Invoices!$M$6:$M$305,MATCH(P1530,Invoices!$B$6:$B$305,0))="Draft","Draft","Invoiced")))))))</f>
        <v/>
      </c>
      <c r="R1530" s="1">
        <f>IF(AND(B1530&lt;&gt;"",P1530&lt;&gt;"",P1530=Invoice!$G$4),B1530+MOD(N(F1530),1)+ROW()/10000000,"")</f>
        <v/>
      </c>
      <c r="S1530">
        <f>IF(R1530="","",IF(D1530="","Other work",D1530)&amp;IF(AND(K1530&lt;&gt;"",E1530&lt;&gt;""),", "&amp;E1530,""))</f>
        <v/>
      </c>
      <c r="T1530">
        <f>IF(R1530="","",IF(COUNTIFS(R$6:R1529,"&gt;0",S$6:S1529,S1530,N$6:N1529,N1530)=0,R1530,""))</f>
        <v/>
      </c>
      <c r="U1530">
        <f>IF(B1530="","",IF(J1530&lt;&gt;"",0,M1530))</f>
        <v/>
      </c>
    </row>
    <row r="1531">
      <c r="A1531" s="1" t="n"/>
      <c r="B1531" s="16" t="n"/>
      <c r="C1531" s="17" t="n"/>
      <c r="D1531" s="18" t="n"/>
      <c r="E1531" s="18" t="n"/>
      <c r="F1531" s="19" t="n"/>
      <c r="G1531" s="19" t="n"/>
      <c r="H1531" s="20" t="n"/>
      <c r="I1531" s="21" t="n"/>
      <c r="J1531" s="22" t="n"/>
      <c r="K1531" s="23" t="n"/>
      <c r="L1531" s="18" t="n"/>
      <c r="M1531" s="24">
        <f>IF(B1531="","",IF(AND(F1531&lt;&gt;"",G1531&lt;&gt;""),MAX(0,ROUND(MOD(G1531-F1531,1)*24-N(H1531)/60,2)),N(I1531)))</f>
        <v/>
      </c>
      <c r="N1531" s="14">
        <f>IF(B1531="","",IF(K1531&lt;&gt;"",K1531,IF(N(IFERROR(INDEX(Projects!$D$6:$D$65,MATCH(D1531,Projects!$B$6:$B$65,0)),""))&gt;0,IFERROR(INDEX(Projects!$D$6:$D$65,MATCH(D1531,Projects!$B$6:$B$65,0)),""),IFERROR(INDEX(Clients!$G$6:$G$45,MATCH(C1531,Clients!$B$6:$B$45,0)),0))))</f>
        <v/>
      </c>
      <c r="O1531" s="14">
        <f>IF(B1531="","",IF(J1531&lt;&gt;"",0,ROUND(M1531*N1531,2)))</f>
        <v/>
      </c>
      <c r="P1531" s="15">
        <f>IF(OR(B1531="",J1531&lt;&gt;""),"",IF(L1531&lt;&gt;"",L1531,IF(COUNTIFS(Invoices!$C$6:$C$305,C1531,Invoices!$E$6:$E$305,"&lt;="&amp;B1531,Invoices!$F$6:$F$305,"&gt;="&amp;B1531)=1,INDEX(Invoices!$B$6:$B$305,SUMIFS(Invoices!$O$6:$O$305,Invoices!$C$6:$C$305,C1531,Invoices!$E$6:$E$305,"&lt;="&amp;B1531,Invoices!$F$6:$F$305,"&gt;="&amp;B1531)),IF(COUNTIFS(Invoices!$C$6:$C$305,C1531,Invoices!$E$6:$E$305,"&lt;="&amp;B1531,Invoices!$F$6:$F$305,"&gt;="&amp;B1531)&gt;1,"Two invoices",""))))</f>
        <v/>
      </c>
      <c r="Q1531" s="15">
        <f>IF(B1531="","",IF(J1531&lt;&gt;"","Not billable",IF(P1531="","To invoice",IF(P1531="Two invoices","Check dates",IF(ISNA(MATCH(P1531,Invoices!$B$6:$B$305,0)),"Check number",IF(INDEX(Invoices!$M$6:$M$305,MATCH(P1531,Invoices!$B$6:$B$305,0))="Paid","Paid",IF(INDEX(Invoices!$M$6:$M$305,MATCH(P1531,Invoices!$B$6:$B$305,0))="Draft","Draft","Invoiced")))))))</f>
        <v/>
      </c>
      <c r="R1531" s="1">
        <f>IF(AND(B1531&lt;&gt;"",P1531&lt;&gt;"",P1531=Invoice!$G$4),B1531+MOD(N(F1531),1)+ROW()/10000000,"")</f>
        <v/>
      </c>
      <c r="S1531">
        <f>IF(R1531="","",IF(D1531="","Other work",D1531)&amp;IF(AND(K1531&lt;&gt;"",E1531&lt;&gt;""),", "&amp;E1531,""))</f>
        <v/>
      </c>
      <c r="T1531">
        <f>IF(R1531="","",IF(COUNTIFS(R$6:R1530,"&gt;0",S$6:S1530,S1531,N$6:N1530,N1531)=0,R1531,""))</f>
        <v/>
      </c>
      <c r="U1531">
        <f>IF(B1531="","",IF(J1531&lt;&gt;"",0,M1531))</f>
        <v/>
      </c>
    </row>
    <row r="1532">
      <c r="A1532" s="1" t="n"/>
      <c r="B1532" s="16" t="n"/>
      <c r="C1532" s="17" t="n"/>
      <c r="D1532" s="18" t="n"/>
      <c r="E1532" s="18" t="n"/>
      <c r="F1532" s="19" t="n"/>
      <c r="G1532" s="19" t="n"/>
      <c r="H1532" s="20" t="n"/>
      <c r="I1532" s="21" t="n"/>
      <c r="J1532" s="22" t="n"/>
      <c r="K1532" s="23" t="n"/>
      <c r="L1532" s="18" t="n"/>
      <c r="M1532" s="24">
        <f>IF(B1532="","",IF(AND(F1532&lt;&gt;"",G1532&lt;&gt;""),MAX(0,ROUND(MOD(G1532-F1532,1)*24-N(H1532)/60,2)),N(I1532)))</f>
        <v/>
      </c>
      <c r="N1532" s="14">
        <f>IF(B1532="","",IF(K1532&lt;&gt;"",K1532,IF(N(IFERROR(INDEX(Projects!$D$6:$D$65,MATCH(D1532,Projects!$B$6:$B$65,0)),""))&gt;0,IFERROR(INDEX(Projects!$D$6:$D$65,MATCH(D1532,Projects!$B$6:$B$65,0)),""),IFERROR(INDEX(Clients!$G$6:$G$45,MATCH(C1532,Clients!$B$6:$B$45,0)),0))))</f>
        <v/>
      </c>
      <c r="O1532" s="14">
        <f>IF(B1532="","",IF(J1532&lt;&gt;"",0,ROUND(M1532*N1532,2)))</f>
        <v/>
      </c>
      <c r="P1532" s="15">
        <f>IF(OR(B1532="",J1532&lt;&gt;""),"",IF(L1532&lt;&gt;"",L1532,IF(COUNTIFS(Invoices!$C$6:$C$305,C1532,Invoices!$E$6:$E$305,"&lt;="&amp;B1532,Invoices!$F$6:$F$305,"&gt;="&amp;B1532)=1,INDEX(Invoices!$B$6:$B$305,SUMIFS(Invoices!$O$6:$O$305,Invoices!$C$6:$C$305,C1532,Invoices!$E$6:$E$305,"&lt;="&amp;B1532,Invoices!$F$6:$F$305,"&gt;="&amp;B1532)),IF(COUNTIFS(Invoices!$C$6:$C$305,C1532,Invoices!$E$6:$E$305,"&lt;="&amp;B1532,Invoices!$F$6:$F$305,"&gt;="&amp;B1532)&gt;1,"Two invoices",""))))</f>
        <v/>
      </c>
      <c r="Q1532" s="15">
        <f>IF(B1532="","",IF(J1532&lt;&gt;"","Not billable",IF(P1532="","To invoice",IF(P1532="Two invoices","Check dates",IF(ISNA(MATCH(P1532,Invoices!$B$6:$B$305,0)),"Check number",IF(INDEX(Invoices!$M$6:$M$305,MATCH(P1532,Invoices!$B$6:$B$305,0))="Paid","Paid",IF(INDEX(Invoices!$M$6:$M$305,MATCH(P1532,Invoices!$B$6:$B$305,0))="Draft","Draft","Invoiced")))))))</f>
        <v/>
      </c>
      <c r="R1532" s="1">
        <f>IF(AND(B1532&lt;&gt;"",P1532&lt;&gt;"",P1532=Invoice!$G$4),B1532+MOD(N(F1532),1)+ROW()/10000000,"")</f>
        <v/>
      </c>
      <c r="S1532">
        <f>IF(R1532="","",IF(D1532="","Other work",D1532)&amp;IF(AND(K1532&lt;&gt;"",E1532&lt;&gt;""),", "&amp;E1532,""))</f>
        <v/>
      </c>
      <c r="T1532">
        <f>IF(R1532="","",IF(COUNTIFS(R$6:R1531,"&gt;0",S$6:S1531,S1532,N$6:N1531,N1532)=0,R1532,""))</f>
        <v/>
      </c>
      <c r="U1532">
        <f>IF(B1532="","",IF(J1532&lt;&gt;"",0,M1532))</f>
        <v/>
      </c>
    </row>
    <row r="1533">
      <c r="A1533" s="1" t="n"/>
      <c r="B1533" s="16" t="n"/>
      <c r="C1533" s="17" t="n"/>
      <c r="D1533" s="18" t="n"/>
      <c r="E1533" s="18" t="n"/>
      <c r="F1533" s="19" t="n"/>
      <c r="G1533" s="19" t="n"/>
      <c r="H1533" s="20" t="n"/>
      <c r="I1533" s="21" t="n"/>
      <c r="J1533" s="22" t="n"/>
      <c r="K1533" s="23" t="n"/>
      <c r="L1533" s="18" t="n"/>
      <c r="M1533" s="24">
        <f>IF(B1533="","",IF(AND(F1533&lt;&gt;"",G1533&lt;&gt;""),MAX(0,ROUND(MOD(G1533-F1533,1)*24-N(H1533)/60,2)),N(I1533)))</f>
        <v/>
      </c>
      <c r="N1533" s="14">
        <f>IF(B1533="","",IF(K1533&lt;&gt;"",K1533,IF(N(IFERROR(INDEX(Projects!$D$6:$D$65,MATCH(D1533,Projects!$B$6:$B$65,0)),""))&gt;0,IFERROR(INDEX(Projects!$D$6:$D$65,MATCH(D1533,Projects!$B$6:$B$65,0)),""),IFERROR(INDEX(Clients!$G$6:$G$45,MATCH(C1533,Clients!$B$6:$B$45,0)),0))))</f>
        <v/>
      </c>
      <c r="O1533" s="14">
        <f>IF(B1533="","",IF(J1533&lt;&gt;"",0,ROUND(M1533*N1533,2)))</f>
        <v/>
      </c>
      <c r="P1533" s="15">
        <f>IF(OR(B1533="",J1533&lt;&gt;""),"",IF(L1533&lt;&gt;"",L1533,IF(COUNTIFS(Invoices!$C$6:$C$305,C1533,Invoices!$E$6:$E$305,"&lt;="&amp;B1533,Invoices!$F$6:$F$305,"&gt;="&amp;B1533)=1,INDEX(Invoices!$B$6:$B$305,SUMIFS(Invoices!$O$6:$O$305,Invoices!$C$6:$C$305,C1533,Invoices!$E$6:$E$305,"&lt;="&amp;B1533,Invoices!$F$6:$F$305,"&gt;="&amp;B1533)),IF(COUNTIFS(Invoices!$C$6:$C$305,C1533,Invoices!$E$6:$E$305,"&lt;="&amp;B1533,Invoices!$F$6:$F$305,"&gt;="&amp;B1533)&gt;1,"Two invoices",""))))</f>
        <v/>
      </c>
      <c r="Q1533" s="15">
        <f>IF(B1533="","",IF(J1533&lt;&gt;"","Not billable",IF(P1533="","To invoice",IF(P1533="Two invoices","Check dates",IF(ISNA(MATCH(P1533,Invoices!$B$6:$B$305,0)),"Check number",IF(INDEX(Invoices!$M$6:$M$305,MATCH(P1533,Invoices!$B$6:$B$305,0))="Paid","Paid",IF(INDEX(Invoices!$M$6:$M$305,MATCH(P1533,Invoices!$B$6:$B$305,0))="Draft","Draft","Invoiced")))))))</f>
        <v/>
      </c>
      <c r="R1533" s="1">
        <f>IF(AND(B1533&lt;&gt;"",P1533&lt;&gt;"",P1533=Invoice!$G$4),B1533+MOD(N(F1533),1)+ROW()/10000000,"")</f>
        <v/>
      </c>
      <c r="S1533">
        <f>IF(R1533="","",IF(D1533="","Other work",D1533)&amp;IF(AND(K1533&lt;&gt;"",E1533&lt;&gt;""),", "&amp;E1533,""))</f>
        <v/>
      </c>
      <c r="T1533">
        <f>IF(R1533="","",IF(COUNTIFS(R$6:R1532,"&gt;0",S$6:S1532,S1533,N$6:N1532,N1533)=0,R1533,""))</f>
        <v/>
      </c>
      <c r="U1533">
        <f>IF(B1533="","",IF(J1533&lt;&gt;"",0,M1533))</f>
        <v/>
      </c>
    </row>
    <row r="1534">
      <c r="A1534" s="1" t="n"/>
      <c r="B1534" s="16" t="n"/>
      <c r="C1534" s="17" t="n"/>
      <c r="D1534" s="18" t="n"/>
      <c r="E1534" s="18" t="n"/>
      <c r="F1534" s="19" t="n"/>
      <c r="G1534" s="19" t="n"/>
      <c r="H1534" s="20" t="n"/>
      <c r="I1534" s="21" t="n"/>
      <c r="J1534" s="22" t="n"/>
      <c r="K1534" s="23" t="n"/>
      <c r="L1534" s="18" t="n"/>
      <c r="M1534" s="24">
        <f>IF(B1534="","",IF(AND(F1534&lt;&gt;"",G1534&lt;&gt;""),MAX(0,ROUND(MOD(G1534-F1534,1)*24-N(H1534)/60,2)),N(I1534)))</f>
        <v/>
      </c>
      <c r="N1534" s="14">
        <f>IF(B1534="","",IF(K1534&lt;&gt;"",K1534,IF(N(IFERROR(INDEX(Projects!$D$6:$D$65,MATCH(D1534,Projects!$B$6:$B$65,0)),""))&gt;0,IFERROR(INDEX(Projects!$D$6:$D$65,MATCH(D1534,Projects!$B$6:$B$65,0)),""),IFERROR(INDEX(Clients!$G$6:$G$45,MATCH(C1534,Clients!$B$6:$B$45,0)),0))))</f>
        <v/>
      </c>
      <c r="O1534" s="14">
        <f>IF(B1534="","",IF(J1534&lt;&gt;"",0,ROUND(M1534*N1534,2)))</f>
        <v/>
      </c>
      <c r="P1534" s="15">
        <f>IF(OR(B1534="",J1534&lt;&gt;""),"",IF(L1534&lt;&gt;"",L1534,IF(COUNTIFS(Invoices!$C$6:$C$305,C1534,Invoices!$E$6:$E$305,"&lt;="&amp;B1534,Invoices!$F$6:$F$305,"&gt;="&amp;B1534)=1,INDEX(Invoices!$B$6:$B$305,SUMIFS(Invoices!$O$6:$O$305,Invoices!$C$6:$C$305,C1534,Invoices!$E$6:$E$305,"&lt;="&amp;B1534,Invoices!$F$6:$F$305,"&gt;="&amp;B1534)),IF(COUNTIFS(Invoices!$C$6:$C$305,C1534,Invoices!$E$6:$E$305,"&lt;="&amp;B1534,Invoices!$F$6:$F$305,"&gt;="&amp;B1534)&gt;1,"Two invoices",""))))</f>
        <v/>
      </c>
      <c r="Q1534" s="15">
        <f>IF(B1534="","",IF(J1534&lt;&gt;"","Not billable",IF(P1534="","To invoice",IF(P1534="Two invoices","Check dates",IF(ISNA(MATCH(P1534,Invoices!$B$6:$B$305,0)),"Check number",IF(INDEX(Invoices!$M$6:$M$305,MATCH(P1534,Invoices!$B$6:$B$305,0))="Paid","Paid",IF(INDEX(Invoices!$M$6:$M$305,MATCH(P1534,Invoices!$B$6:$B$305,0))="Draft","Draft","Invoiced")))))))</f>
        <v/>
      </c>
      <c r="R1534" s="1">
        <f>IF(AND(B1534&lt;&gt;"",P1534&lt;&gt;"",P1534=Invoice!$G$4),B1534+MOD(N(F1534),1)+ROW()/10000000,"")</f>
        <v/>
      </c>
      <c r="S1534">
        <f>IF(R1534="","",IF(D1534="","Other work",D1534)&amp;IF(AND(K1534&lt;&gt;"",E1534&lt;&gt;""),", "&amp;E1534,""))</f>
        <v/>
      </c>
      <c r="T1534">
        <f>IF(R1534="","",IF(COUNTIFS(R$6:R1533,"&gt;0",S$6:S1533,S1534,N$6:N1533,N1534)=0,R1534,""))</f>
        <v/>
      </c>
      <c r="U1534">
        <f>IF(B1534="","",IF(J1534&lt;&gt;"",0,M1534))</f>
        <v/>
      </c>
    </row>
    <row r="1535">
      <c r="A1535" s="1" t="n"/>
      <c r="B1535" s="16" t="n"/>
      <c r="C1535" s="17" t="n"/>
      <c r="D1535" s="18" t="n"/>
      <c r="E1535" s="18" t="n"/>
      <c r="F1535" s="19" t="n"/>
      <c r="G1535" s="19" t="n"/>
      <c r="H1535" s="20" t="n"/>
      <c r="I1535" s="21" t="n"/>
      <c r="J1535" s="22" t="n"/>
      <c r="K1535" s="23" t="n"/>
      <c r="L1535" s="18" t="n"/>
      <c r="M1535" s="24">
        <f>IF(B1535="","",IF(AND(F1535&lt;&gt;"",G1535&lt;&gt;""),MAX(0,ROUND(MOD(G1535-F1535,1)*24-N(H1535)/60,2)),N(I1535)))</f>
        <v/>
      </c>
      <c r="N1535" s="14">
        <f>IF(B1535="","",IF(K1535&lt;&gt;"",K1535,IF(N(IFERROR(INDEX(Projects!$D$6:$D$65,MATCH(D1535,Projects!$B$6:$B$65,0)),""))&gt;0,IFERROR(INDEX(Projects!$D$6:$D$65,MATCH(D1535,Projects!$B$6:$B$65,0)),""),IFERROR(INDEX(Clients!$G$6:$G$45,MATCH(C1535,Clients!$B$6:$B$45,0)),0))))</f>
        <v/>
      </c>
      <c r="O1535" s="14">
        <f>IF(B1535="","",IF(J1535&lt;&gt;"",0,ROUND(M1535*N1535,2)))</f>
        <v/>
      </c>
      <c r="P1535" s="15">
        <f>IF(OR(B1535="",J1535&lt;&gt;""),"",IF(L1535&lt;&gt;"",L1535,IF(COUNTIFS(Invoices!$C$6:$C$305,C1535,Invoices!$E$6:$E$305,"&lt;="&amp;B1535,Invoices!$F$6:$F$305,"&gt;="&amp;B1535)=1,INDEX(Invoices!$B$6:$B$305,SUMIFS(Invoices!$O$6:$O$305,Invoices!$C$6:$C$305,C1535,Invoices!$E$6:$E$305,"&lt;="&amp;B1535,Invoices!$F$6:$F$305,"&gt;="&amp;B1535)),IF(COUNTIFS(Invoices!$C$6:$C$305,C1535,Invoices!$E$6:$E$305,"&lt;="&amp;B1535,Invoices!$F$6:$F$305,"&gt;="&amp;B1535)&gt;1,"Two invoices",""))))</f>
        <v/>
      </c>
      <c r="Q1535" s="15">
        <f>IF(B1535="","",IF(J1535&lt;&gt;"","Not billable",IF(P1535="","To invoice",IF(P1535="Two invoices","Check dates",IF(ISNA(MATCH(P1535,Invoices!$B$6:$B$305,0)),"Check number",IF(INDEX(Invoices!$M$6:$M$305,MATCH(P1535,Invoices!$B$6:$B$305,0))="Paid","Paid",IF(INDEX(Invoices!$M$6:$M$305,MATCH(P1535,Invoices!$B$6:$B$305,0))="Draft","Draft","Invoiced")))))))</f>
        <v/>
      </c>
      <c r="R1535" s="1">
        <f>IF(AND(B1535&lt;&gt;"",P1535&lt;&gt;"",P1535=Invoice!$G$4),B1535+MOD(N(F1535),1)+ROW()/10000000,"")</f>
        <v/>
      </c>
      <c r="S1535">
        <f>IF(R1535="","",IF(D1535="","Other work",D1535)&amp;IF(AND(K1535&lt;&gt;"",E1535&lt;&gt;""),", "&amp;E1535,""))</f>
        <v/>
      </c>
      <c r="T1535">
        <f>IF(R1535="","",IF(COUNTIFS(R$6:R1534,"&gt;0",S$6:S1534,S1535,N$6:N1534,N1535)=0,R1535,""))</f>
        <v/>
      </c>
      <c r="U1535">
        <f>IF(B1535="","",IF(J1535&lt;&gt;"",0,M1535))</f>
        <v/>
      </c>
    </row>
    <row r="1536">
      <c r="A1536" s="1" t="n"/>
      <c r="B1536" s="16" t="n"/>
      <c r="C1536" s="17" t="n"/>
      <c r="D1536" s="18" t="n"/>
      <c r="E1536" s="18" t="n"/>
      <c r="F1536" s="19" t="n"/>
      <c r="G1536" s="19" t="n"/>
      <c r="H1536" s="20" t="n"/>
      <c r="I1536" s="21" t="n"/>
      <c r="J1536" s="22" t="n"/>
      <c r="K1536" s="23" t="n"/>
      <c r="L1536" s="18" t="n"/>
      <c r="M1536" s="24">
        <f>IF(B1536="","",IF(AND(F1536&lt;&gt;"",G1536&lt;&gt;""),MAX(0,ROUND(MOD(G1536-F1536,1)*24-N(H1536)/60,2)),N(I1536)))</f>
        <v/>
      </c>
      <c r="N1536" s="14">
        <f>IF(B1536="","",IF(K1536&lt;&gt;"",K1536,IF(N(IFERROR(INDEX(Projects!$D$6:$D$65,MATCH(D1536,Projects!$B$6:$B$65,0)),""))&gt;0,IFERROR(INDEX(Projects!$D$6:$D$65,MATCH(D1536,Projects!$B$6:$B$65,0)),""),IFERROR(INDEX(Clients!$G$6:$G$45,MATCH(C1536,Clients!$B$6:$B$45,0)),0))))</f>
        <v/>
      </c>
      <c r="O1536" s="14">
        <f>IF(B1536="","",IF(J1536&lt;&gt;"",0,ROUND(M1536*N1536,2)))</f>
        <v/>
      </c>
      <c r="P1536" s="15">
        <f>IF(OR(B1536="",J1536&lt;&gt;""),"",IF(L1536&lt;&gt;"",L1536,IF(COUNTIFS(Invoices!$C$6:$C$305,C1536,Invoices!$E$6:$E$305,"&lt;="&amp;B1536,Invoices!$F$6:$F$305,"&gt;="&amp;B1536)=1,INDEX(Invoices!$B$6:$B$305,SUMIFS(Invoices!$O$6:$O$305,Invoices!$C$6:$C$305,C1536,Invoices!$E$6:$E$305,"&lt;="&amp;B1536,Invoices!$F$6:$F$305,"&gt;="&amp;B1536)),IF(COUNTIFS(Invoices!$C$6:$C$305,C1536,Invoices!$E$6:$E$305,"&lt;="&amp;B1536,Invoices!$F$6:$F$305,"&gt;="&amp;B1536)&gt;1,"Two invoices",""))))</f>
        <v/>
      </c>
      <c r="Q1536" s="15">
        <f>IF(B1536="","",IF(J1536&lt;&gt;"","Not billable",IF(P1536="","To invoice",IF(P1536="Two invoices","Check dates",IF(ISNA(MATCH(P1536,Invoices!$B$6:$B$305,0)),"Check number",IF(INDEX(Invoices!$M$6:$M$305,MATCH(P1536,Invoices!$B$6:$B$305,0))="Paid","Paid",IF(INDEX(Invoices!$M$6:$M$305,MATCH(P1536,Invoices!$B$6:$B$305,0))="Draft","Draft","Invoiced")))))))</f>
        <v/>
      </c>
      <c r="R1536" s="1">
        <f>IF(AND(B1536&lt;&gt;"",P1536&lt;&gt;"",P1536=Invoice!$G$4),B1536+MOD(N(F1536),1)+ROW()/10000000,"")</f>
        <v/>
      </c>
      <c r="S1536">
        <f>IF(R1536="","",IF(D1536="","Other work",D1536)&amp;IF(AND(K1536&lt;&gt;"",E1536&lt;&gt;""),", "&amp;E1536,""))</f>
        <v/>
      </c>
      <c r="T1536">
        <f>IF(R1536="","",IF(COUNTIFS(R$6:R1535,"&gt;0",S$6:S1535,S1536,N$6:N1535,N1536)=0,R1536,""))</f>
        <v/>
      </c>
      <c r="U1536">
        <f>IF(B1536="","",IF(J1536&lt;&gt;"",0,M1536))</f>
        <v/>
      </c>
    </row>
    <row r="1537">
      <c r="A1537" s="1" t="n"/>
      <c r="B1537" s="16" t="n"/>
      <c r="C1537" s="17" t="n"/>
      <c r="D1537" s="18" t="n"/>
      <c r="E1537" s="18" t="n"/>
      <c r="F1537" s="19" t="n"/>
      <c r="G1537" s="19" t="n"/>
      <c r="H1537" s="20" t="n"/>
      <c r="I1537" s="21" t="n"/>
      <c r="J1537" s="22" t="n"/>
      <c r="K1537" s="23" t="n"/>
      <c r="L1537" s="18" t="n"/>
      <c r="M1537" s="24">
        <f>IF(B1537="","",IF(AND(F1537&lt;&gt;"",G1537&lt;&gt;""),MAX(0,ROUND(MOD(G1537-F1537,1)*24-N(H1537)/60,2)),N(I1537)))</f>
        <v/>
      </c>
      <c r="N1537" s="14">
        <f>IF(B1537="","",IF(K1537&lt;&gt;"",K1537,IF(N(IFERROR(INDEX(Projects!$D$6:$D$65,MATCH(D1537,Projects!$B$6:$B$65,0)),""))&gt;0,IFERROR(INDEX(Projects!$D$6:$D$65,MATCH(D1537,Projects!$B$6:$B$65,0)),""),IFERROR(INDEX(Clients!$G$6:$G$45,MATCH(C1537,Clients!$B$6:$B$45,0)),0))))</f>
        <v/>
      </c>
      <c r="O1537" s="14">
        <f>IF(B1537="","",IF(J1537&lt;&gt;"",0,ROUND(M1537*N1537,2)))</f>
        <v/>
      </c>
      <c r="P1537" s="15">
        <f>IF(OR(B1537="",J1537&lt;&gt;""),"",IF(L1537&lt;&gt;"",L1537,IF(COUNTIFS(Invoices!$C$6:$C$305,C1537,Invoices!$E$6:$E$305,"&lt;="&amp;B1537,Invoices!$F$6:$F$305,"&gt;="&amp;B1537)=1,INDEX(Invoices!$B$6:$B$305,SUMIFS(Invoices!$O$6:$O$305,Invoices!$C$6:$C$305,C1537,Invoices!$E$6:$E$305,"&lt;="&amp;B1537,Invoices!$F$6:$F$305,"&gt;="&amp;B1537)),IF(COUNTIFS(Invoices!$C$6:$C$305,C1537,Invoices!$E$6:$E$305,"&lt;="&amp;B1537,Invoices!$F$6:$F$305,"&gt;="&amp;B1537)&gt;1,"Two invoices",""))))</f>
        <v/>
      </c>
      <c r="Q1537" s="15">
        <f>IF(B1537="","",IF(J1537&lt;&gt;"","Not billable",IF(P1537="","To invoice",IF(P1537="Two invoices","Check dates",IF(ISNA(MATCH(P1537,Invoices!$B$6:$B$305,0)),"Check number",IF(INDEX(Invoices!$M$6:$M$305,MATCH(P1537,Invoices!$B$6:$B$305,0))="Paid","Paid",IF(INDEX(Invoices!$M$6:$M$305,MATCH(P1537,Invoices!$B$6:$B$305,0))="Draft","Draft","Invoiced")))))))</f>
        <v/>
      </c>
      <c r="R1537" s="1">
        <f>IF(AND(B1537&lt;&gt;"",P1537&lt;&gt;"",P1537=Invoice!$G$4),B1537+MOD(N(F1537),1)+ROW()/10000000,"")</f>
        <v/>
      </c>
      <c r="S1537">
        <f>IF(R1537="","",IF(D1537="","Other work",D1537)&amp;IF(AND(K1537&lt;&gt;"",E1537&lt;&gt;""),", "&amp;E1537,""))</f>
        <v/>
      </c>
      <c r="T1537">
        <f>IF(R1537="","",IF(COUNTIFS(R$6:R1536,"&gt;0",S$6:S1536,S1537,N$6:N1536,N1537)=0,R1537,""))</f>
        <v/>
      </c>
      <c r="U1537">
        <f>IF(B1537="","",IF(J1537&lt;&gt;"",0,M1537))</f>
        <v/>
      </c>
    </row>
    <row r="1538">
      <c r="A1538" s="1" t="n"/>
      <c r="B1538" s="16" t="n"/>
      <c r="C1538" s="17" t="n"/>
      <c r="D1538" s="18" t="n"/>
      <c r="E1538" s="18" t="n"/>
      <c r="F1538" s="19" t="n"/>
      <c r="G1538" s="19" t="n"/>
      <c r="H1538" s="20" t="n"/>
      <c r="I1538" s="21" t="n"/>
      <c r="J1538" s="22" t="n"/>
      <c r="K1538" s="23" t="n"/>
      <c r="L1538" s="18" t="n"/>
      <c r="M1538" s="24">
        <f>IF(B1538="","",IF(AND(F1538&lt;&gt;"",G1538&lt;&gt;""),MAX(0,ROUND(MOD(G1538-F1538,1)*24-N(H1538)/60,2)),N(I1538)))</f>
        <v/>
      </c>
      <c r="N1538" s="14">
        <f>IF(B1538="","",IF(K1538&lt;&gt;"",K1538,IF(N(IFERROR(INDEX(Projects!$D$6:$D$65,MATCH(D1538,Projects!$B$6:$B$65,0)),""))&gt;0,IFERROR(INDEX(Projects!$D$6:$D$65,MATCH(D1538,Projects!$B$6:$B$65,0)),""),IFERROR(INDEX(Clients!$G$6:$G$45,MATCH(C1538,Clients!$B$6:$B$45,0)),0))))</f>
        <v/>
      </c>
      <c r="O1538" s="14">
        <f>IF(B1538="","",IF(J1538&lt;&gt;"",0,ROUND(M1538*N1538,2)))</f>
        <v/>
      </c>
      <c r="P1538" s="15">
        <f>IF(OR(B1538="",J1538&lt;&gt;""),"",IF(L1538&lt;&gt;"",L1538,IF(COUNTIFS(Invoices!$C$6:$C$305,C1538,Invoices!$E$6:$E$305,"&lt;="&amp;B1538,Invoices!$F$6:$F$305,"&gt;="&amp;B1538)=1,INDEX(Invoices!$B$6:$B$305,SUMIFS(Invoices!$O$6:$O$305,Invoices!$C$6:$C$305,C1538,Invoices!$E$6:$E$305,"&lt;="&amp;B1538,Invoices!$F$6:$F$305,"&gt;="&amp;B1538)),IF(COUNTIFS(Invoices!$C$6:$C$305,C1538,Invoices!$E$6:$E$305,"&lt;="&amp;B1538,Invoices!$F$6:$F$305,"&gt;="&amp;B1538)&gt;1,"Two invoices",""))))</f>
        <v/>
      </c>
      <c r="Q1538" s="15">
        <f>IF(B1538="","",IF(J1538&lt;&gt;"","Not billable",IF(P1538="","To invoice",IF(P1538="Two invoices","Check dates",IF(ISNA(MATCH(P1538,Invoices!$B$6:$B$305,0)),"Check number",IF(INDEX(Invoices!$M$6:$M$305,MATCH(P1538,Invoices!$B$6:$B$305,0))="Paid","Paid",IF(INDEX(Invoices!$M$6:$M$305,MATCH(P1538,Invoices!$B$6:$B$305,0))="Draft","Draft","Invoiced")))))))</f>
        <v/>
      </c>
      <c r="R1538" s="1">
        <f>IF(AND(B1538&lt;&gt;"",P1538&lt;&gt;"",P1538=Invoice!$G$4),B1538+MOD(N(F1538),1)+ROW()/10000000,"")</f>
        <v/>
      </c>
      <c r="S1538">
        <f>IF(R1538="","",IF(D1538="","Other work",D1538)&amp;IF(AND(K1538&lt;&gt;"",E1538&lt;&gt;""),", "&amp;E1538,""))</f>
        <v/>
      </c>
      <c r="T1538">
        <f>IF(R1538="","",IF(COUNTIFS(R$6:R1537,"&gt;0",S$6:S1537,S1538,N$6:N1537,N1538)=0,R1538,""))</f>
        <v/>
      </c>
      <c r="U1538">
        <f>IF(B1538="","",IF(J1538&lt;&gt;"",0,M1538))</f>
        <v/>
      </c>
    </row>
    <row r="1539">
      <c r="A1539" s="1" t="n"/>
      <c r="B1539" s="16" t="n"/>
      <c r="C1539" s="17" t="n"/>
      <c r="D1539" s="18" t="n"/>
      <c r="E1539" s="18" t="n"/>
      <c r="F1539" s="19" t="n"/>
      <c r="G1539" s="19" t="n"/>
      <c r="H1539" s="20" t="n"/>
      <c r="I1539" s="21" t="n"/>
      <c r="J1539" s="22" t="n"/>
      <c r="K1539" s="23" t="n"/>
      <c r="L1539" s="18" t="n"/>
      <c r="M1539" s="24">
        <f>IF(B1539="","",IF(AND(F1539&lt;&gt;"",G1539&lt;&gt;""),MAX(0,ROUND(MOD(G1539-F1539,1)*24-N(H1539)/60,2)),N(I1539)))</f>
        <v/>
      </c>
      <c r="N1539" s="14">
        <f>IF(B1539="","",IF(K1539&lt;&gt;"",K1539,IF(N(IFERROR(INDEX(Projects!$D$6:$D$65,MATCH(D1539,Projects!$B$6:$B$65,0)),""))&gt;0,IFERROR(INDEX(Projects!$D$6:$D$65,MATCH(D1539,Projects!$B$6:$B$65,0)),""),IFERROR(INDEX(Clients!$G$6:$G$45,MATCH(C1539,Clients!$B$6:$B$45,0)),0))))</f>
        <v/>
      </c>
      <c r="O1539" s="14">
        <f>IF(B1539="","",IF(J1539&lt;&gt;"",0,ROUND(M1539*N1539,2)))</f>
        <v/>
      </c>
      <c r="P1539" s="15">
        <f>IF(OR(B1539="",J1539&lt;&gt;""),"",IF(L1539&lt;&gt;"",L1539,IF(COUNTIFS(Invoices!$C$6:$C$305,C1539,Invoices!$E$6:$E$305,"&lt;="&amp;B1539,Invoices!$F$6:$F$305,"&gt;="&amp;B1539)=1,INDEX(Invoices!$B$6:$B$305,SUMIFS(Invoices!$O$6:$O$305,Invoices!$C$6:$C$305,C1539,Invoices!$E$6:$E$305,"&lt;="&amp;B1539,Invoices!$F$6:$F$305,"&gt;="&amp;B1539)),IF(COUNTIFS(Invoices!$C$6:$C$305,C1539,Invoices!$E$6:$E$305,"&lt;="&amp;B1539,Invoices!$F$6:$F$305,"&gt;="&amp;B1539)&gt;1,"Two invoices",""))))</f>
        <v/>
      </c>
      <c r="Q1539" s="15">
        <f>IF(B1539="","",IF(J1539&lt;&gt;"","Not billable",IF(P1539="","To invoice",IF(P1539="Two invoices","Check dates",IF(ISNA(MATCH(P1539,Invoices!$B$6:$B$305,0)),"Check number",IF(INDEX(Invoices!$M$6:$M$305,MATCH(P1539,Invoices!$B$6:$B$305,0))="Paid","Paid",IF(INDEX(Invoices!$M$6:$M$305,MATCH(P1539,Invoices!$B$6:$B$305,0))="Draft","Draft","Invoiced")))))))</f>
        <v/>
      </c>
      <c r="R1539" s="1">
        <f>IF(AND(B1539&lt;&gt;"",P1539&lt;&gt;"",P1539=Invoice!$G$4),B1539+MOD(N(F1539),1)+ROW()/10000000,"")</f>
        <v/>
      </c>
      <c r="S1539">
        <f>IF(R1539="","",IF(D1539="","Other work",D1539)&amp;IF(AND(K1539&lt;&gt;"",E1539&lt;&gt;""),", "&amp;E1539,""))</f>
        <v/>
      </c>
      <c r="T1539">
        <f>IF(R1539="","",IF(COUNTIFS(R$6:R1538,"&gt;0",S$6:S1538,S1539,N$6:N1538,N1539)=0,R1539,""))</f>
        <v/>
      </c>
      <c r="U1539">
        <f>IF(B1539="","",IF(J1539&lt;&gt;"",0,M1539))</f>
        <v/>
      </c>
    </row>
    <row r="1540">
      <c r="A1540" s="1" t="n"/>
      <c r="B1540" s="16" t="n"/>
      <c r="C1540" s="17" t="n"/>
      <c r="D1540" s="18" t="n"/>
      <c r="E1540" s="18" t="n"/>
      <c r="F1540" s="19" t="n"/>
      <c r="G1540" s="19" t="n"/>
      <c r="H1540" s="20" t="n"/>
      <c r="I1540" s="21" t="n"/>
      <c r="J1540" s="22" t="n"/>
      <c r="K1540" s="23" t="n"/>
      <c r="L1540" s="18" t="n"/>
      <c r="M1540" s="24">
        <f>IF(B1540="","",IF(AND(F1540&lt;&gt;"",G1540&lt;&gt;""),MAX(0,ROUND(MOD(G1540-F1540,1)*24-N(H1540)/60,2)),N(I1540)))</f>
        <v/>
      </c>
      <c r="N1540" s="14">
        <f>IF(B1540="","",IF(K1540&lt;&gt;"",K1540,IF(N(IFERROR(INDEX(Projects!$D$6:$D$65,MATCH(D1540,Projects!$B$6:$B$65,0)),""))&gt;0,IFERROR(INDEX(Projects!$D$6:$D$65,MATCH(D1540,Projects!$B$6:$B$65,0)),""),IFERROR(INDEX(Clients!$G$6:$G$45,MATCH(C1540,Clients!$B$6:$B$45,0)),0))))</f>
        <v/>
      </c>
      <c r="O1540" s="14">
        <f>IF(B1540="","",IF(J1540&lt;&gt;"",0,ROUND(M1540*N1540,2)))</f>
        <v/>
      </c>
      <c r="P1540" s="15">
        <f>IF(OR(B1540="",J1540&lt;&gt;""),"",IF(L1540&lt;&gt;"",L1540,IF(COUNTIFS(Invoices!$C$6:$C$305,C1540,Invoices!$E$6:$E$305,"&lt;="&amp;B1540,Invoices!$F$6:$F$305,"&gt;="&amp;B1540)=1,INDEX(Invoices!$B$6:$B$305,SUMIFS(Invoices!$O$6:$O$305,Invoices!$C$6:$C$305,C1540,Invoices!$E$6:$E$305,"&lt;="&amp;B1540,Invoices!$F$6:$F$305,"&gt;="&amp;B1540)),IF(COUNTIFS(Invoices!$C$6:$C$305,C1540,Invoices!$E$6:$E$305,"&lt;="&amp;B1540,Invoices!$F$6:$F$305,"&gt;="&amp;B1540)&gt;1,"Two invoices",""))))</f>
        <v/>
      </c>
      <c r="Q1540" s="15">
        <f>IF(B1540="","",IF(J1540&lt;&gt;"","Not billable",IF(P1540="","To invoice",IF(P1540="Two invoices","Check dates",IF(ISNA(MATCH(P1540,Invoices!$B$6:$B$305,0)),"Check number",IF(INDEX(Invoices!$M$6:$M$305,MATCH(P1540,Invoices!$B$6:$B$305,0))="Paid","Paid",IF(INDEX(Invoices!$M$6:$M$305,MATCH(P1540,Invoices!$B$6:$B$305,0))="Draft","Draft","Invoiced")))))))</f>
        <v/>
      </c>
      <c r="R1540" s="1">
        <f>IF(AND(B1540&lt;&gt;"",P1540&lt;&gt;"",P1540=Invoice!$G$4),B1540+MOD(N(F1540),1)+ROW()/10000000,"")</f>
        <v/>
      </c>
      <c r="S1540">
        <f>IF(R1540="","",IF(D1540="","Other work",D1540)&amp;IF(AND(K1540&lt;&gt;"",E1540&lt;&gt;""),", "&amp;E1540,""))</f>
        <v/>
      </c>
      <c r="T1540">
        <f>IF(R1540="","",IF(COUNTIFS(R$6:R1539,"&gt;0",S$6:S1539,S1540,N$6:N1539,N1540)=0,R1540,""))</f>
        <v/>
      </c>
      <c r="U1540">
        <f>IF(B1540="","",IF(J1540&lt;&gt;"",0,M1540))</f>
        <v/>
      </c>
    </row>
    <row r="1541">
      <c r="A1541" s="1" t="n"/>
      <c r="B1541" s="16" t="n"/>
      <c r="C1541" s="17" t="n"/>
      <c r="D1541" s="18" t="n"/>
      <c r="E1541" s="18" t="n"/>
      <c r="F1541" s="19" t="n"/>
      <c r="G1541" s="19" t="n"/>
      <c r="H1541" s="20" t="n"/>
      <c r="I1541" s="21" t="n"/>
      <c r="J1541" s="22" t="n"/>
      <c r="K1541" s="23" t="n"/>
      <c r="L1541" s="18" t="n"/>
      <c r="M1541" s="24">
        <f>IF(B1541="","",IF(AND(F1541&lt;&gt;"",G1541&lt;&gt;""),MAX(0,ROUND(MOD(G1541-F1541,1)*24-N(H1541)/60,2)),N(I1541)))</f>
        <v/>
      </c>
      <c r="N1541" s="14">
        <f>IF(B1541="","",IF(K1541&lt;&gt;"",K1541,IF(N(IFERROR(INDEX(Projects!$D$6:$D$65,MATCH(D1541,Projects!$B$6:$B$65,0)),""))&gt;0,IFERROR(INDEX(Projects!$D$6:$D$65,MATCH(D1541,Projects!$B$6:$B$65,0)),""),IFERROR(INDEX(Clients!$G$6:$G$45,MATCH(C1541,Clients!$B$6:$B$45,0)),0))))</f>
        <v/>
      </c>
      <c r="O1541" s="14">
        <f>IF(B1541="","",IF(J1541&lt;&gt;"",0,ROUND(M1541*N1541,2)))</f>
        <v/>
      </c>
      <c r="P1541" s="15">
        <f>IF(OR(B1541="",J1541&lt;&gt;""),"",IF(L1541&lt;&gt;"",L1541,IF(COUNTIFS(Invoices!$C$6:$C$305,C1541,Invoices!$E$6:$E$305,"&lt;="&amp;B1541,Invoices!$F$6:$F$305,"&gt;="&amp;B1541)=1,INDEX(Invoices!$B$6:$B$305,SUMIFS(Invoices!$O$6:$O$305,Invoices!$C$6:$C$305,C1541,Invoices!$E$6:$E$305,"&lt;="&amp;B1541,Invoices!$F$6:$F$305,"&gt;="&amp;B1541)),IF(COUNTIFS(Invoices!$C$6:$C$305,C1541,Invoices!$E$6:$E$305,"&lt;="&amp;B1541,Invoices!$F$6:$F$305,"&gt;="&amp;B1541)&gt;1,"Two invoices",""))))</f>
        <v/>
      </c>
      <c r="Q1541" s="15">
        <f>IF(B1541="","",IF(J1541&lt;&gt;"","Not billable",IF(P1541="","To invoice",IF(P1541="Two invoices","Check dates",IF(ISNA(MATCH(P1541,Invoices!$B$6:$B$305,0)),"Check number",IF(INDEX(Invoices!$M$6:$M$305,MATCH(P1541,Invoices!$B$6:$B$305,0))="Paid","Paid",IF(INDEX(Invoices!$M$6:$M$305,MATCH(P1541,Invoices!$B$6:$B$305,0))="Draft","Draft","Invoiced")))))))</f>
        <v/>
      </c>
      <c r="R1541" s="1">
        <f>IF(AND(B1541&lt;&gt;"",P1541&lt;&gt;"",P1541=Invoice!$G$4),B1541+MOD(N(F1541),1)+ROW()/10000000,"")</f>
        <v/>
      </c>
      <c r="S1541">
        <f>IF(R1541="","",IF(D1541="","Other work",D1541)&amp;IF(AND(K1541&lt;&gt;"",E1541&lt;&gt;""),", "&amp;E1541,""))</f>
        <v/>
      </c>
      <c r="T1541">
        <f>IF(R1541="","",IF(COUNTIFS(R$6:R1540,"&gt;0",S$6:S1540,S1541,N$6:N1540,N1541)=0,R1541,""))</f>
        <v/>
      </c>
      <c r="U1541">
        <f>IF(B1541="","",IF(J1541&lt;&gt;"",0,M1541))</f>
        <v/>
      </c>
    </row>
    <row r="1542">
      <c r="A1542" s="1" t="n"/>
      <c r="B1542" s="16" t="n"/>
      <c r="C1542" s="17" t="n"/>
      <c r="D1542" s="18" t="n"/>
      <c r="E1542" s="18" t="n"/>
      <c r="F1542" s="19" t="n"/>
      <c r="G1542" s="19" t="n"/>
      <c r="H1542" s="20" t="n"/>
      <c r="I1542" s="21" t="n"/>
      <c r="J1542" s="22" t="n"/>
      <c r="K1542" s="23" t="n"/>
      <c r="L1542" s="18" t="n"/>
      <c r="M1542" s="24">
        <f>IF(B1542="","",IF(AND(F1542&lt;&gt;"",G1542&lt;&gt;""),MAX(0,ROUND(MOD(G1542-F1542,1)*24-N(H1542)/60,2)),N(I1542)))</f>
        <v/>
      </c>
      <c r="N1542" s="14">
        <f>IF(B1542="","",IF(K1542&lt;&gt;"",K1542,IF(N(IFERROR(INDEX(Projects!$D$6:$D$65,MATCH(D1542,Projects!$B$6:$B$65,0)),""))&gt;0,IFERROR(INDEX(Projects!$D$6:$D$65,MATCH(D1542,Projects!$B$6:$B$65,0)),""),IFERROR(INDEX(Clients!$G$6:$G$45,MATCH(C1542,Clients!$B$6:$B$45,0)),0))))</f>
        <v/>
      </c>
      <c r="O1542" s="14">
        <f>IF(B1542="","",IF(J1542&lt;&gt;"",0,ROUND(M1542*N1542,2)))</f>
        <v/>
      </c>
      <c r="P1542" s="15">
        <f>IF(OR(B1542="",J1542&lt;&gt;""),"",IF(L1542&lt;&gt;"",L1542,IF(COUNTIFS(Invoices!$C$6:$C$305,C1542,Invoices!$E$6:$E$305,"&lt;="&amp;B1542,Invoices!$F$6:$F$305,"&gt;="&amp;B1542)=1,INDEX(Invoices!$B$6:$B$305,SUMIFS(Invoices!$O$6:$O$305,Invoices!$C$6:$C$305,C1542,Invoices!$E$6:$E$305,"&lt;="&amp;B1542,Invoices!$F$6:$F$305,"&gt;="&amp;B1542)),IF(COUNTIFS(Invoices!$C$6:$C$305,C1542,Invoices!$E$6:$E$305,"&lt;="&amp;B1542,Invoices!$F$6:$F$305,"&gt;="&amp;B1542)&gt;1,"Two invoices",""))))</f>
        <v/>
      </c>
      <c r="Q1542" s="15">
        <f>IF(B1542="","",IF(J1542&lt;&gt;"","Not billable",IF(P1542="","To invoice",IF(P1542="Two invoices","Check dates",IF(ISNA(MATCH(P1542,Invoices!$B$6:$B$305,0)),"Check number",IF(INDEX(Invoices!$M$6:$M$305,MATCH(P1542,Invoices!$B$6:$B$305,0))="Paid","Paid",IF(INDEX(Invoices!$M$6:$M$305,MATCH(P1542,Invoices!$B$6:$B$305,0))="Draft","Draft","Invoiced")))))))</f>
        <v/>
      </c>
      <c r="R1542" s="1">
        <f>IF(AND(B1542&lt;&gt;"",P1542&lt;&gt;"",P1542=Invoice!$G$4),B1542+MOD(N(F1542),1)+ROW()/10000000,"")</f>
        <v/>
      </c>
      <c r="S1542">
        <f>IF(R1542="","",IF(D1542="","Other work",D1542)&amp;IF(AND(K1542&lt;&gt;"",E1542&lt;&gt;""),", "&amp;E1542,""))</f>
        <v/>
      </c>
      <c r="T1542">
        <f>IF(R1542="","",IF(COUNTIFS(R$6:R1541,"&gt;0",S$6:S1541,S1542,N$6:N1541,N1542)=0,R1542,""))</f>
        <v/>
      </c>
      <c r="U1542">
        <f>IF(B1542="","",IF(J1542&lt;&gt;"",0,M1542))</f>
        <v/>
      </c>
    </row>
    <row r="1543">
      <c r="A1543" s="1" t="n"/>
      <c r="B1543" s="16" t="n"/>
      <c r="C1543" s="17" t="n"/>
      <c r="D1543" s="18" t="n"/>
      <c r="E1543" s="18" t="n"/>
      <c r="F1543" s="19" t="n"/>
      <c r="G1543" s="19" t="n"/>
      <c r="H1543" s="20" t="n"/>
      <c r="I1543" s="21" t="n"/>
      <c r="J1543" s="22" t="n"/>
      <c r="K1543" s="23" t="n"/>
      <c r="L1543" s="18" t="n"/>
      <c r="M1543" s="24">
        <f>IF(B1543="","",IF(AND(F1543&lt;&gt;"",G1543&lt;&gt;""),MAX(0,ROUND(MOD(G1543-F1543,1)*24-N(H1543)/60,2)),N(I1543)))</f>
        <v/>
      </c>
      <c r="N1543" s="14">
        <f>IF(B1543="","",IF(K1543&lt;&gt;"",K1543,IF(N(IFERROR(INDEX(Projects!$D$6:$D$65,MATCH(D1543,Projects!$B$6:$B$65,0)),""))&gt;0,IFERROR(INDEX(Projects!$D$6:$D$65,MATCH(D1543,Projects!$B$6:$B$65,0)),""),IFERROR(INDEX(Clients!$G$6:$G$45,MATCH(C1543,Clients!$B$6:$B$45,0)),0))))</f>
        <v/>
      </c>
      <c r="O1543" s="14">
        <f>IF(B1543="","",IF(J1543&lt;&gt;"",0,ROUND(M1543*N1543,2)))</f>
        <v/>
      </c>
      <c r="P1543" s="15">
        <f>IF(OR(B1543="",J1543&lt;&gt;""),"",IF(L1543&lt;&gt;"",L1543,IF(COUNTIFS(Invoices!$C$6:$C$305,C1543,Invoices!$E$6:$E$305,"&lt;="&amp;B1543,Invoices!$F$6:$F$305,"&gt;="&amp;B1543)=1,INDEX(Invoices!$B$6:$B$305,SUMIFS(Invoices!$O$6:$O$305,Invoices!$C$6:$C$305,C1543,Invoices!$E$6:$E$305,"&lt;="&amp;B1543,Invoices!$F$6:$F$305,"&gt;="&amp;B1543)),IF(COUNTIFS(Invoices!$C$6:$C$305,C1543,Invoices!$E$6:$E$305,"&lt;="&amp;B1543,Invoices!$F$6:$F$305,"&gt;="&amp;B1543)&gt;1,"Two invoices",""))))</f>
        <v/>
      </c>
      <c r="Q1543" s="15">
        <f>IF(B1543="","",IF(J1543&lt;&gt;"","Not billable",IF(P1543="","To invoice",IF(P1543="Two invoices","Check dates",IF(ISNA(MATCH(P1543,Invoices!$B$6:$B$305,0)),"Check number",IF(INDEX(Invoices!$M$6:$M$305,MATCH(P1543,Invoices!$B$6:$B$305,0))="Paid","Paid",IF(INDEX(Invoices!$M$6:$M$305,MATCH(P1543,Invoices!$B$6:$B$305,0))="Draft","Draft","Invoiced")))))))</f>
        <v/>
      </c>
      <c r="R1543" s="1">
        <f>IF(AND(B1543&lt;&gt;"",P1543&lt;&gt;"",P1543=Invoice!$G$4),B1543+MOD(N(F1543),1)+ROW()/10000000,"")</f>
        <v/>
      </c>
      <c r="S1543">
        <f>IF(R1543="","",IF(D1543="","Other work",D1543)&amp;IF(AND(K1543&lt;&gt;"",E1543&lt;&gt;""),", "&amp;E1543,""))</f>
        <v/>
      </c>
      <c r="T1543">
        <f>IF(R1543="","",IF(COUNTIFS(R$6:R1542,"&gt;0",S$6:S1542,S1543,N$6:N1542,N1543)=0,R1543,""))</f>
        <v/>
      </c>
      <c r="U1543">
        <f>IF(B1543="","",IF(J1543&lt;&gt;"",0,M1543))</f>
        <v/>
      </c>
    </row>
    <row r="1544">
      <c r="A1544" s="1" t="n"/>
      <c r="B1544" s="16" t="n"/>
      <c r="C1544" s="17" t="n"/>
      <c r="D1544" s="18" t="n"/>
      <c r="E1544" s="18" t="n"/>
      <c r="F1544" s="19" t="n"/>
      <c r="G1544" s="19" t="n"/>
      <c r="H1544" s="20" t="n"/>
      <c r="I1544" s="21" t="n"/>
      <c r="J1544" s="22" t="n"/>
      <c r="K1544" s="23" t="n"/>
      <c r="L1544" s="18" t="n"/>
      <c r="M1544" s="24">
        <f>IF(B1544="","",IF(AND(F1544&lt;&gt;"",G1544&lt;&gt;""),MAX(0,ROUND(MOD(G1544-F1544,1)*24-N(H1544)/60,2)),N(I1544)))</f>
        <v/>
      </c>
      <c r="N1544" s="14">
        <f>IF(B1544="","",IF(K1544&lt;&gt;"",K1544,IF(N(IFERROR(INDEX(Projects!$D$6:$D$65,MATCH(D1544,Projects!$B$6:$B$65,0)),""))&gt;0,IFERROR(INDEX(Projects!$D$6:$D$65,MATCH(D1544,Projects!$B$6:$B$65,0)),""),IFERROR(INDEX(Clients!$G$6:$G$45,MATCH(C1544,Clients!$B$6:$B$45,0)),0))))</f>
        <v/>
      </c>
      <c r="O1544" s="14">
        <f>IF(B1544="","",IF(J1544&lt;&gt;"",0,ROUND(M1544*N1544,2)))</f>
        <v/>
      </c>
      <c r="P1544" s="15">
        <f>IF(OR(B1544="",J1544&lt;&gt;""),"",IF(L1544&lt;&gt;"",L1544,IF(COUNTIFS(Invoices!$C$6:$C$305,C1544,Invoices!$E$6:$E$305,"&lt;="&amp;B1544,Invoices!$F$6:$F$305,"&gt;="&amp;B1544)=1,INDEX(Invoices!$B$6:$B$305,SUMIFS(Invoices!$O$6:$O$305,Invoices!$C$6:$C$305,C1544,Invoices!$E$6:$E$305,"&lt;="&amp;B1544,Invoices!$F$6:$F$305,"&gt;="&amp;B1544)),IF(COUNTIFS(Invoices!$C$6:$C$305,C1544,Invoices!$E$6:$E$305,"&lt;="&amp;B1544,Invoices!$F$6:$F$305,"&gt;="&amp;B1544)&gt;1,"Two invoices",""))))</f>
        <v/>
      </c>
      <c r="Q1544" s="15">
        <f>IF(B1544="","",IF(J1544&lt;&gt;"","Not billable",IF(P1544="","To invoice",IF(P1544="Two invoices","Check dates",IF(ISNA(MATCH(P1544,Invoices!$B$6:$B$305,0)),"Check number",IF(INDEX(Invoices!$M$6:$M$305,MATCH(P1544,Invoices!$B$6:$B$305,0))="Paid","Paid",IF(INDEX(Invoices!$M$6:$M$305,MATCH(P1544,Invoices!$B$6:$B$305,0))="Draft","Draft","Invoiced")))))))</f>
        <v/>
      </c>
      <c r="R1544" s="1">
        <f>IF(AND(B1544&lt;&gt;"",P1544&lt;&gt;"",P1544=Invoice!$G$4),B1544+MOD(N(F1544),1)+ROW()/10000000,"")</f>
        <v/>
      </c>
      <c r="S1544">
        <f>IF(R1544="","",IF(D1544="","Other work",D1544)&amp;IF(AND(K1544&lt;&gt;"",E1544&lt;&gt;""),", "&amp;E1544,""))</f>
        <v/>
      </c>
      <c r="T1544">
        <f>IF(R1544="","",IF(COUNTIFS(R$6:R1543,"&gt;0",S$6:S1543,S1544,N$6:N1543,N1544)=0,R1544,""))</f>
        <v/>
      </c>
      <c r="U1544">
        <f>IF(B1544="","",IF(J1544&lt;&gt;"",0,M1544))</f>
        <v/>
      </c>
    </row>
    <row r="1545">
      <c r="A1545" s="1" t="n"/>
      <c r="B1545" s="16" t="n"/>
      <c r="C1545" s="17" t="n"/>
      <c r="D1545" s="18" t="n"/>
      <c r="E1545" s="18" t="n"/>
      <c r="F1545" s="19" t="n"/>
      <c r="G1545" s="19" t="n"/>
      <c r="H1545" s="20" t="n"/>
      <c r="I1545" s="21" t="n"/>
      <c r="J1545" s="22" t="n"/>
      <c r="K1545" s="23" t="n"/>
      <c r="L1545" s="18" t="n"/>
      <c r="M1545" s="24">
        <f>IF(B1545="","",IF(AND(F1545&lt;&gt;"",G1545&lt;&gt;""),MAX(0,ROUND(MOD(G1545-F1545,1)*24-N(H1545)/60,2)),N(I1545)))</f>
        <v/>
      </c>
      <c r="N1545" s="14">
        <f>IF(B1545="","",IF(K1545&lt;&gt;"",K1545,IF(N(IFERROR(INDEX(Projects!$D$6:$D$65,MATCH(D1545,Projects!$B$6:$B$65,0)),""))&gt;0,IFERROR(INDEX(Projects!$D$6:$D$65,MATCH(D1545,Projects!$B$6:$B$65,0)),""),IFERROR(INDEX(Clients!$G$6:$G$45,MATCH(C1545,Clients!$B$6:$B$45,0)),0))))</f>
        <v/>
      </c>
      <c r="O1545" s="14">
        <f>IF(B1545="","",IF(J1545&lt;&gt;"",0,ROUND(M1545*N1545,2)))</f>
        <v/>
      </c>
      <c r="P1545" s="15">
        <f>IF(OR(B1545="",J1545&lt;&gt;""),"",IF(L1545&lt;&gt;"",L1545,IF(COUNTIFS(Invoices!$C$6:$C$305,C1545,Invoices!$E$6:$E$305,"&lt;="&amp;B1545,Invoices!$F$6:$F$305,"&gt;="&amp;B1545)=1,INDEX(Invoices!$B$6:$B$305,SUMIFS(Invoices!$O$6:$O$305,Invoices!$C$6:$C$305,C1545,Invoices!$E$6:$E$305,"&lt;="&amp;B1545,Invoices!$F$6:$F$305,"&gt;="&amp;B1545)),IF(COUNTIFS(Invoices!$C$6:$C$305,C1545,Invoices!$E$6:$E$305,"&lt;="&amp;B1545,Invoices!$F$6:$F$305,"&gt;="&amp;B1545)&gt;1,"Two invoices",""))))</f>
        <v/>
      </c>
      <c r="Q1545" s="15">
        <f>IF(B1545="","",IF(J1545&lt;&gt;"","Not billable",IF(P1545="","To invoice",IF(P1545="Two invoices","Check dates",IF(ISNA(MATCH(P1545,Invoices!$B$6:$B$305,0)),"Check number",IF(INDEX(Invoices!$M$6:$M$305,MATCH(P1545,Invoices!$B$6:$B$305,0))="Paid","Paid",IF(INDEX(Invoices!$M$6:$M$305,MATCH(P1545,Invoices!$B$6:$B$305,0))="Draft","Draft","Invoiced")))))))</f>
        <v/>
      </c>
      <c r="R1545" s="1">
        <f>IF(AND(B1545&lt;&gt;"",P1545&lt;&gt;"",P1545=Invoice!$G$4),B1545+MOD(N(F1545),1)+ROW()/10000000,"")</f>
        <v/>
      </c>
      <c r="S1545">
        <f>IF(R1545="","",IF(D1545="","Other work",D1545)&amp;IF(AND(K1545&lt;&gt;"",E1545&lt;&gt;""),", "&amp;E1545,""))</f>
        <v/>
      </c>
      <c r="T1545">
        <f>IF(R1545="","",IF(COUNTIFS(R$6:R1544,"&gt;0",S$6:S1544,S1545,N$6:N1544,N1545)=0,R1545,""))</f>
        <v/>
      </c>
      <c r="U1545">
        <f>IF(B1545="","",IF(J1545&lt;&gt;"",0,M1545))</f>
        <v/>
      </c>
    </row>
    <row r="1546">
      <c r="A1546" s="1" t="n"/>
      <c r="B1546" s="16" t="n"/>
      <c r="C1546" s="17" t="n"/>
      <c r="D1546" s="18" t="n"/>
      <c r="E1546" s="18" t="n"/>
      <c r="F1546" s="19" t="n"/>
      <c r="G1546" s="19" t="n"/>
      <c r="H1546" s="20" t="n"/>
      <c r="I1546" s="21" t="n"/>
      <c r="J1546" s="22" t="n"/>
      <c r="K1546" s="23" t="n"/>
      <c r="L1546" s="18" t="n"/>
      <c r="M1546" s="24">
        <f>IF(B1546="","",IF(AND(F1546&lt;&gt;"",G1546&lt;&gt;""),MAX(0,ROUND(MOD(G1546-F1546,1)*24-N(H1546)/60,2)),N(I1546)))</f>
        <v/>
      </c>
      <c r="N1546" s="14">
        <f>IF(B1546="","",IF(K1546&lt;&gt;"",K1546,IF(N(IFERROR(INDEX(Projects!$D$6:$D$65,MATCH(D1546,Projects!$B$6:$B$65,0)),""))&gt;0,IFERROR(INDEX(Projects!$D$6:$D$65,MATCH(D1546,Projects!$B$6:$B$65,0)),""),IFERROR(INDEX(Clients!$G$6:$G$45,MATCH(C1546,Clients!$B$6:$B$45,0)),0))))</f>
        <v/>
      </c>
      <c r="O1546" s="14">
        <f>IF(B1546="","",IF(J1546&lt;&gt;"",0,ROUND(M1546*N1546,2)))</f>
        <v/>
      </c>
      <c r="P1546" s="15">
        <f>IF(OR(B1546="",J1546&lt;&gt;""),"",IF(L1546&lt;&gt;"",L1546,IF(COUNTIFS(Invoices!$C$6:$C$305,C1546,Invoices!$E$6:$E$305,"&lt;="&amp;B1546,Invoices!$F$6:$F$305,"&gt;="&amp;B1546)=1,INDEX(Invoices!$B$6:$B$305,SUMIFS(Invoices!$O$6:$O$305,Invoices!$C$6:$C$305,C1546,Invoices!$E$6:$E$305,"&lt;="&amp;B1546,Invoices!$F$6:$F$305,"&gt;="&amp;B1546)),IF(COUNTIFS(Invoices!$C$6:$C$305,C1546,Invoices!$E$6:$E$305,"&lt;="&amp;B1546,Invoices!$F$6:$F$305,"&gt;="&amp;B1546)&gt;1,"Two invoices",""))))</f>
        <v/>
      </c>
      <c r="Q1546" s="15">
        <f>IF(B1546="","",IF(J1546&lt;&gt;"","Not billable",IF(P1546="","To invoice",IF(P1546="Two invoices","Check dates",IF(ISNA(MATCH(P1546,Invoices!$B$6:$B$305,0)),"Check number",IF(INDEX(Invoices!$M$6:$M$305,MATCH(P1546,Invoices!$B$6:$B$305,0))="Paid","Paid",IF(INDEX(Invoices!$M$6:$M$305,MATCH(P1546,Invoices!$B$6:$B$305,0))="Draft","Draft","Invoiced")))))))</f>
        <v/>
      </c>
      <c r="R1546" s="1">
        <f>IF(AND(B1546&lt;&gt;"",P1546&lt;&gt;"",P1546=Invoice!$G$4),B1546+MOD(N(F1546),1)+ROW()/10000000,"")</f>
        <v/>
      </c>
      <c r="S1546">
        <f>IF(R1546="","",IF(D1546="","Other work",D1546)&amp;IF(AND(K1546&lt;&gt;"",E1546&lt;&gt;""),", "&amp;E1546,""))</f>
        <v/>
      </c>
      <c r="T1546">
        <f>IF(R1546="","",IF(COUNTIFS(R$6:R1545,"&gt;0",S$6:S1545,S1546,N$6:N1545,N1546)=0,R1546,""))</f>
        <v/>
      </c>
      <c r="U1546">
        <f>IF(B1546="","",IF(J1546&lt;&gt;"",0,M1546))</f>
        <v/>
      </c>
    </row>
    <row r="1547">
      <c r="A1547" s="1" t="n"/>
      <c r="B1547" s="16" t="n"/>
      <c r="C1547" s="17" t="n"/>
      <c r="D1547" s="18" t="n"/>
      <c r="E1547" s="18" t="n"/>
      <c r="F1547" s="19" t="n"/>
      <c r="G1547" s="19" t="n"/>
      <c r="H1547" s="20" t="n"/>
      <c r="I1547" s="21" t="n"/>
      <c r="J1547" s="22" t="n"/>
      <c r="K1547" s="23" t="n"/>
      <c r="L1547" s="18" t="n"/>
      <c r="M1547" s="24">
        <f>IF(B1547="","",IF(AND(F1547&lt;&gt;"",G1547&lt;&gt;""),MAX(0,ROUND(MOD(G1547-F1547,1)*24-N(H1547)/60,2)),N(I1547)))</f>
        <v/>
      </c>
      <c r="N1547" s="14">
        <f>IF(B1547="","",IF(K1547&lt;&gt;"",K1547,IF(N(IFERROR(INDEX(Projects!$D$6:$D$65,MATCH(D1547,Projects!$B$6:$B$65,0)),""))&gt;0,IFERROR(INDEX(Projects!$D$6:$D$65,MATCH(D1547,Projects!$B$6:$B$65,0)),""),IFERROR(INDEX(Clients!$G$6:$G$45,MATCH(C1547,Clients!$B$6:$B$45,0)),0))))</f>
        <v/>
      </c>
      <c r="O1547" s="14">
        <f>IF(B1547="","",IF(J1547&lt;&gt;"",0,ROUND(M1547*N1547,2)))</f>
        <v/>
      </c>
      <c r="P1547" s="15">
        <f>IF(OR(B1547="",J1547&lt;&gt;""),"",IF(L1547&lt;&gt;"",L1547,IF(COUNTIFS(Invoices!$C$6:$C$305,C1547,Invoices!$E$6:$E$305,"&lt;="&amp;B1547,Invoices!$F$6:$F$305,"&gt;="&amp;B1547)=1,INDEX(Invoices!$B$6:$B$305,SUMIFS(Invoices!$O$6:$O$305,Invoices!$C$6:$C$305,C1547,Invoices!$E$6:$E$305,"&lt;="&amp;B1547,Invoices!$F$6:$F$305,"&gt;="&amp;B1547)),IF(COUNTIFS(Invoices!$C$6:$C$305,C1547,Invoices!$E$6:$E$305,"&lt;="&amp;B1547,Invoices!$F$6:$F$305,"&gt;="&amp;B1547)&gt;1,"Two invoices",""))))</f>
        <v/>
      </c>
      <c r="Q1547" s="15">
        <f>IF(B1547="","",IF(J1547&lt;&gt;"","Not billable",IF(P1547="","To invoice",IF(P1547="Two invoices","Check dates",IF(ISNA(MATCH(P1547,Invoices!$B$6:$B$305,0)),"Check number",IF(INDEX(Invoices!$M$6:$M$305,MATCH(P1547,Invoices!$B$6:$B$305,0))="Paid","Paid",IF(INDEX(Invoices!$M$6:$M$305,MATCH(P1547,Invoices!$B$6:$B$305,0))="Draft","Draft","Invoiced")))))))</f>
        <v/>
      </c>
      <c r="R1547" s="1">
        <f>IF(AND(B1547&lt;&gt;"",P1547&lt;&gt;"",P1547=Invoice!$G$4),B1547+MOD(N(F1547),1)+ROW()/10000000,"")</f>
        <v/>
      </c>
      <c r="S1547">
        <f>IF(R1547="","",IF(D1547="","Other work",D1547)&amp;IF(AND(K1547&lt;&gt;"",E1547&lt;&gt;""),", "&amp;E1547,""))</f>
        <v/>
      </c>
      <c r="T1547">
        <f>IF(R1547="","",IF(COUNTIFS(R$6:R1546,"&gt;0",S$6:S1546,S1547,N$6:N1546,N1547)=0,R1547,""))</f>
        <v/>
      </c>
      <c r="U1547">
        <f>IF(B1547="","",IF(J1547&lt;&gt;"",0,M1547))</f>
        <v/>
      </c>
    </row>
    <row r="1548">
      <c r="A1548" s="1" t="n"/>
      <c r="B1548" s="16" t="n"/>
      <c r="C1548" s="17" t="n"/>
      <c r="D1548" s="18" t="n"/>
      <c r="E1548" s="18" t="n"/>
      <c r="F1548" s="19" t="n"/>
      <c r="G1548" s="19" t="n"/>
      <c r="H1548" s="20" t="n"/>
      <c r="I1548" s="21" t="n"/>
      <c r="J1548" s="22" t="n"/>
      <c r="K1548" s="23" t="n"/>
      <c r="L1548" s="18" t="n"/>
      <c r="M1548" s="24">
        <f>IF(B1548="","",IF(AND(F1548&lt;&gt;"",G1548&lt;&gt;""),MAX(0,ROUND(MOD(G1548-F1548,1)*24-N(H1548)/60,2)),N(I1548)))</f>
        <v/>
      </c>
      <c r="N1548" s="14">
        <f>IF(B1548="","",IF(K1548&lt;&gt;"",K1548,IF(N(IFERROR(INDEX(Projects!$D$6:$D$65,MATCH(D1548,Projects!$B$6:$B$65,0)),""))&gt;0,IFERROR(INDEX(Projects!$D$6:$D$65,MATCH(D1548,Projects!$B$6:$B$65,0)),""),IFERROR(INDEX(Clients!$G$6:$G$45,MATCH(C1548,Clients!$B$6:$B$45,0)),0))))</f>
        <v/>
      </c>
      <c r="O1548" s="14">
        <f>IF(B1548="","",IF(J1548&lt;&gt;"",0,ROUND(M1548*N1548,2)))</f>
        <v/>
      </c>
      <c r="P1548" s="15">
        <f>IF(OR(B1548="",J1548&lt;&gt;""),"",IF(L1548&lt;&gt;"",L1548,IF(COUNTIFS(Invoices!$C$6:$C$305,C1548,Invoices!$E$6:$E$305,"&lt;="&amp;B1548,Invoices!$F$6:$F$305,"&gt;="&amp;B1548)=1,INDEX(Invoices!$B$6:$B$305,SUMIFS(Invoices!$O$6:$O$305,Invoices!$C$6:$C$305,C1548,Invoices!$E$6:$E$305,"&lt;="&amp;B1548,Invoices!$F$6:$F$305,"&gt;="&amp;B1548)),IF(COUNTIFS(Invoices!$C$6:$C$305,C1548,Invoices!$E$6:$E$305,"&lt;="&amp;B1548,Invoices!$F$6:$F$305,"&gt;="&amp;B1548)&gt;1,"Two invoices",""))))</f>
        <v/>
      </c>
      <c r="Q1548" s="15">
        <f>IF(B1548="","",IF(J1548&lt;&gt;"","Not billable",IF(P1548="","To invoice",IF(P1548="Two invoices","Check dates",IF(ISNA(MATCH(P1548,Invoices!$B$6:$B$305,0)),"Check number",IF(INDEX(Invoices!$M$6:$M$305,MATCH(P1548,Invoices!$B$6:$B$305,0))="Paid","Paid",IF(INDEX(Invoices!$M$6:$M$305,MATCH(P1548,Invoices!$B$6:$B$305,0))="Draft","Draft","Invoiced")))))))</f>
        <v/>
      </c>
      <c r="R1548" s="1">
        <f>IF(AND(B1548&lt;&gt;"",P1548&lt;&gt;"",P1548=Invoice!$G$4),B1548+MOD(N(F1548),1)+ROW()/10000000,"")</f>
        <v/>
      </c>
      <c r="S1548">
        <f>IF(R1548="","",IF(D1548="","Other work",D1548)&amp;IF(AND(K1548&lt;&gt;"",E1548&lt;&gt;""),", "&amp;E1548,""))</f>
        <v/>
      </c>
      <c r="T1548">
        <f>IF(R1548="","",IF(COUNTIFS(R$6:R1547,"&gt;0",S$6:S1547,S1548,N$6:N1547,N1548)=0,R1548,""))</f>
        <v/>
      </c>
      <c r="U1548">
        <f>IF(B1548="","",IF(J1548&lt;&gt;"",0,M1548))</f>
        <v/>
      </c>
    </row>
    <row r="1549">
      <c r="A1549" s="1" t="n"/>
      <c r="B1549" s="16" t="n"/>
      <c r="C1549" s="17" t="n"/>
      <c r="D1549" s="18" t="n"/>
      <c r="E1549" s="18" t="n"/>
      <c r="F1549" s="19" t="n"/>
      <c r="G1549" s="19" t="n"/>
      <c r="H1549" s="20" t="n"/>
      <c r="I1549" s="21" t="n"/>
      <c r="J1549" s="22" t="n"/>
      <c r="K1549" s="23" t="n"/>
      <c r="L1549" s="18" t="n"/>
      <c r="M1549" s="24">
        <f>IF(B1549="","",IF(AND(F1549&lt;&gt;"",G1549&lt;&gt;""),MAX(0,ROUND(MOD(G1549-F1549,1)*24-N(H1549)/60,2)),N(I1549)))</f>
        <v/>
      </c>
      <c r="N1549" s="14">
        <f>IF(B1549="","",IF(K1549&lt;&gt;"",K1549,IF(N(IFERROR(INDEX(Projects!$D$6:$D$65,MATCH(D1549,Projects!$B$6:$B$65,0)),""))&gt;0,IFERROR(INDEX(Projects!$D$6:$D$65,MATCH(D1549,Projects!$B$6:$B$65,0)),""),IFERROR(INDEX(Clients!$G$6:$G$45,MATCH(C1549,Clients!$B$6:$B$45,0)),0))))</f>
        <v/>
      </c>
      <c r="O1549" s="14">
        <f>IF(B1549="","",IF(J1549&lt;&gt;"",0,ROUND(M1549*N1549,2)))</f>
        <v/>
      </c>
      <c r="P1549" s="15">
        <f>IF(OR(B1549="",J1549&lt;&gt;""),"",IF(L1549&lt;&gt;"",L1549,IF(COUNTIFS(Invoices!$C$6:$C$305,C1549,Invoices!$E$6:$E$305,"&lt;="&amp;B1549,Invoices!$F$6:$F$305,"&gt;="&amp;B1549)=1,INDEX(Invoices!$B$6:$B$305,SUMIFS(Invoices!$O$6:$O$305,Invoices!$C$6:$C$305,C1549,Invoices!$E$6:$E$305,"&lt;="&amp;B1549,Invoices!$F$6:$F$305,"&gt;="&amp;B1549)),IF(COUNTIFS(Invoices!$C$6:$C$305,C1549,Invoices!$E$6:$E$305,"&lt;="&amp;B1549,Invoices!$F$6:$F$305,"&gt;="&amp;B1549)&gt;1,"Two invoices",""))))</f>
        <v/>
      </c>
      <c r="Q1549" s="15">
        <f>IF(B1549="","",IF(J1549&lt;&gt;"","Not billable",IF(P1549="","To invoice",IF(P1549="Two invoices","Check dates",IF(ISNA(MATCH(P1549,Invoices!$B$6:$B$305,0)),"Check number",IF(INDEX(Invoices!$M$6:$M$305,MATCH(P1549,Invoices!$B$6:$B$305,0))="Paid","Paid",IF(INDEX(Invoices!$M$6:$M$305,MATCH(P1549,Invoices!$B$6:$B$305,0))="Draft","Draft","Invoiced")))))))</f>
        <v/>
      </c>
      <c r="R1549" s="1">
        <f>IF(AND(B1549&lt;&gt;"",P1549&lt;&gt;"",P1549=Invoice!$G$4),B1549+MOD(N(F1549),1)+ROW()/10000000,"")</f>
        <v/>
      </c>
      <c r="S1549">
        <f>IF(R1549="","",IF(D1549="","Other work",D1549)&amp;IF(AND(K1549&lt;&gt;"",E1549&lt;&gt;""),", "&amp;E1549,""))</f>
        <v/>
      </c>
      <c r="T1549">
        <f>IF(R1549="","",IF(COUNTIFS(R$6:R1548,"&gt;0",S$6:S1548,S1549,N$6:N1548,N1549)=0,R1549,""))</f>
        <v/>
      </c>
      <c r="U1549">
        <f>IF(B1549="","",IF(J1549&lt;&gt;"",0,M1549))</f>
        <v/>
      </c>
    </row>
    <row r="1550">
      <c r="A1550" s="1" t="n"/>
      <c r="B1550" s="16" t="n"/>
      <c r="C1550" s="17" t="n"/>
      <c r="D1550" s="18" t="n"/>
      <c r="E1550" s="18" t="n"/>
      <c r="F1550" s="19" t="n"/>
      <c r="G1550" s="19" t="n"/>
      <c r="H1550" s="20" t="n"/>
      <c r="I1550" s="21" t="n"/>
      <c r="J1550" s="22" t="n"/>
      <c r="K1550" s="23" t="n"/>
      <c r="L1550" s="18" t="n"/>
      <c r="M1550" s="24">
        <f>IF(B1550="","",IF(AND(F1550&lt;&gt;"",G1550&lt;&gt;""),MAX(0,ROUND(MOD(G1550-F1550,1)*24-N(H1550)/60,2)),N(I1550)))</f>
        <v/>
      </c>
      <c r="N1550" s="14">
        <f>IF(B1550="","",IF(K1550&lt;&gt;"",K1550,IF(N(IFERROR(INDEX(Projects!$D$6:$D$65,MATCH(D1550,Projects!$B$6:$B$65,0)),""))&gt;0,IFERROR(INDEX(Projects!$D$6:$D$65,MATCH(D1550,Projects!$B$6:$B$65,0)),""),IFERROR(INDEX(Clients!$G$6:$G$45,MATCH(C1550,Clients!$B$6:$B$45,0)),0))))</f>
        <v/>
      </c>
      <c r="O1550" s="14">
        <f>IF(B1550="","",IF(J1550&lt;&gt;"",0,ROUND(M1550*N1550,2)))</f>
        <v/>
      </c>
      <c r="P1550" s="15">
        <f>IF(OR(B1550="",J1550&lt;&gt;""),"",IF(L1550&lt;&gt;"",L1550,IF(COUNTIFS(Invoices!$C$6:$C$305,C1550,Invoices!$E$6:$E$305,"&lt;="&amp;B1550,Invoices!$F$6:$F$305,"&gt;="&amp;B1550)=1,INDEX(Invoices!$B$6:$B$305,SUMIFS(Invoices!$O$6:$O$305,Invoices!$C$6:$C$305,C1550,Invoices!$E$6:$E$305,"&lt;="&amp;B1550,Invoices!$F$6:$F$305,"&gt;="&amp;B1550)),IF(COUNTIFS(Invoices!$C$6:$C$305,C1550,Invoices!$E$6:$E$305,"&lt;="&amp;B1550,Invoices!$F$6:$F$305,"&gt;="&amp;B1550)&gt;1,"Two invoices",""))))</f>
        <v/>
      </c>
      <c r="Q1550" s="15">
        <f>IF(B1550="","",IF(J1550&lt;&gt;"","Not billable",IF(P1550="","To invoice",IF(P1550="Two invoices","Check dates",IF(ISNA(MATCH(P1550,Invoices!$B$6:$B$305,0)),"Check number",IF(INDEX(Invoices!$M$6:$M$305,MATCH(P1550,Invoices!$B$6:$B$305,0))="Paid","Paid",IF(INDEX(Invoices!$M$6:$M$305,MATCH(P1550,Invoices!$B$6:$B$305,0))="Draft","Draft","Invoiced")))))))</f>
        <v/>
      </c>
      <c r="R1550" s="1">
        <f>IF(AND(B1550&lt;&gt;"",P1550&lt;&gt;"",P1550=Invoice!$G$4),B1550+MOD(N(F1550),1)+ROW()/10000000,"")</f>
        <v/>
      </c>
      <c r="S1550">
        <f>IF(R1550="","",IF(D1550="","Other work",D1550)&amp;IF(AND(K1550&lt;&gt;"",E1550&lt;&gt;""),", "&amp;E1550,""))</f>
        <v/>
      </c>
      <c r="T1550">
        <f>IF(R1550="","",IF(COUNTIFS(R$6:R1549,"&gt;0",S$6:S1549,S1550,N$6:N1549,N1550)=0,R1550,""))</f>
        <v/>
      </c>
      <c r="U1550">
        <f>IF(B1550="","",IF(J1550&lt;&gt;"",0,M1550))</f>
        <v/>
      </c>
    </row>
    <row r="1551">
      <c r="A1551" s="1" t="n"/>
      <c r="B1551" s="16" t="n"/>
      <c r="C1551" s="17" t="n"/>
      <c r="D1551" s="18" t="n"/>
      <c r="E1551" s="18" t="n"/>
      <c r="F1551" s="19" t="n"/>
      <c r="G1551" s="19" t="n"/>
      <c r="H1551" s="20" t="n"/>
      <c r="I1551" s="21" t="n"/>
      <c r="J1551" s="22" t="n"/>
      <c r="K1551" s="23" t="n"/>
      <c r="L1551" s="18" t="n"/>
      <c r="M1551" s="24">
        <f>IF(B1551="","",IF(AND(F1551&lt;&gt;"",G1551&lt;&gt;""),MAX(0,ROUND(MOD(G1551-F1551,1)*24-N(H1551)/60,2)),N(I1551)))</f>
        <v/>
      </c>
      <c r="N1551" s="14">
        <f>IF(B1551="","",IF(K1551&lt;&gt;"",K1551,IF(N(IFERROR(INDEX(Projects!$D$6:$D$65,MATCH(D1551,Projects!$B$6:$B$65,0)),""))&gt;0,IFERROR(INDEX(Projects!$D$6:$D$65,MATCH(D1551,Projects!$B$6:$B$65,0)),""),IFERROR(INDEX(Clients!$G$6:$G$45,MATCH(C1551,Clients!$B$6:$B$45,0)),0))))</f>
        <v/>
      </c>
      <c r="O1551" s="14">
        <f>IF(B1551="","",IF(J1551&lt;&gt;"",0,ROUND(M1551*N1551,2)))</f>
        <v/>
      </c>
      <c r="P1551" s="15">
        <f>IF(OR(B1551="",J1551&lt;&gt;""),"",IF(L1551&lt;&gt;"",L1551,IF(COUNTIFS(Invoices!$C$6:$C$305,C1551,Invoices!$E$6:$E$305,"&lt;="&amp;B1551,Invoices!$F$6:$F$305,"&gt;="&amp;B1551)=1,INDEX(Invoices!$B$6:$B$305,SUMIFS(Invoices!$O$6:$O$305,Invoices!$C$6:$C$305,C1551,Invoices!$E$6:$E$305,"&lt;="&amp;B1551,Invoices!$F$6:$F$305,"&gt;="&amp;B1551)),IF(COUNTIFS(Invoices!$C$6:$C$305,C1551,Invoices!$E$6:$E$305,"&lt;="&amp;B1551,Invoices!$F$6:$F$305,"&gt;="&amp;B1551)&gt;1,"Two invoices",""))))</f>
        <v/>
      </c>
      <c r="Q1551" s="15">
        <f>IF(B1551="","",IF(J1551&lt;&gt;"","Not billable",IF(P1551="","To invoice",IF(P1551="Two invoices","Check dates",IF(ISNA(MATCH(P1551,Invoices!$B$6:$B$305,0)),"Check number",IF(INDEX(Invoices!$M$6:$M$305,MATCH(P1551,Invoices!$B$6:$B$305,0))="Paid","Paid",IF(INDEX(Invoices!$M$6:$M$305,MATCH(P1551,Invoices!$B$6:$B$305,0))="Draft","Draft","Invoiced")))))))</f>
        <v/>
      </c>
      <c r="R1551" s="1">
        <f>IF(AND(B1551&lt;&gt;"",P1551&lt;&gt;"",P1551=Invoice!$G$4),B1551+MOD(N(F1551),1)+ROW()/10000000,"")</f>
        <v/>
      </c>
      <c r="S1551">
        <f>IF(R1551="","",IF(D1551="","Other work",D1551)&amp;IF(AND(K1551&lt;&gt;"",E1551&lt;&gt;""),", "&amp;E1551,""))</f>
        <v/>
      </c>
      <c r="T1551">
        <f>IF(R1551="","",IF(COUNTIFS(R$6:R1550,"&gt;0",S$6:S1550,S1551,N$6:N1550,N1551)=0,R1551,""))</f>
        <v/>
      </c>
      <c r="U1551">
        <f>IF(B1551="","",IF(J1551&lt;&gt;"",0,M1551))</f>
        <v/>
      </c>
    </row>
    <row r="1552">
      <c r="A1552" s="1" t="n"/>
      <c r="B1552" s="16" t="n"/>
      <c r="C1552" s="17" t="n"/>
      <c r="D1552" s="18" t="n"/>
      <c r="E1552" s="18" t="n"/>
      <c r="F1552" s="19" t="n"/>
      <c r="G1552" s="19" t="n"/>
      <c r="H1552" s="20" t="n"/>
      <c r="I1552" s="21" t="n"/>
      <c r="J1552" s="22" t="n"/>
      <c r="K1552" s="23" t="n"/>
      <c r="L1552" s="18" t="n"/>
      <c r="M1552" s="24">
        <f>IF(B1552="","",IF(AND(F1552&lt;&gt;"",G1552&lt;&gt;""),MAX(0,ROUND(MOD(G1552-F1552,1)*24-N(H1552)/60,2)),N(I1552)))</f>
        <v/>
      </c>
      <c r="N1552" s="14">
        <f>IF(B1552="","",IF(K1552&lt;&gt;"",K1552,IF(N(IFERROR(INDEX(Projects!$D$6:$D$65,MATCH(D1552,Projects!$B$6:$B$65,0)),""))&gt;0,IFERROR(INDEX(Projects!$D$6:$D$65,MATCH(D1552,Projects!$B$6:$B$65,0)),""),IFERROR(INDEX(Clients!$G$6:$G$45,MATCH(C1552,Clients!$B$6:$B$45,0)),0))))</f>
        <v/>
      </c>
      <c r="O1552" s="14">
        <f>IF(B1552="","",IF(J1552&lt;&gt;"",0,ROUND(M1552*N1552,2)))</f>
        <v/>
      </c>
      <c r="P1552" s="15">
        <f>IF(OR(B1552="",J1552&lt;&gt;""),"",IF(L1552&lt;&gt;"",L1552,IF(COUNTIFS(Invoices!$C$6:$C$305,C1552,Invoices!$E$6:$E$305,"&lt;="&amp;B1552,Invoices!$F$6:$F$305,"&gt;="&amp;B1552)=1,INDEX(Invoices!$B$6:$B$305,SUMIFS(Invoices!$O$6:$O$305,Invoices!$C$6:$C$305,C1552,Invoices!$E$6:$E$305,"&lt;="&amp;B1552,Invoices!$F$6:$F$305,"&gt;="&amp;B1552)),IF(COUNTIFS(Invoices!$C$6:$C$305,C1552,Invoices!$E$6:$E$305,"&lt;="&amp;B1552,Invoices!$F$6:$F$305,"&gt;="&amp;B1552)&gt;1,"Two invoices",""))))</f>
        <v/>
      </c>
      <c r="Q1552" s="15">
        <f>IF(B1552="","",IF(J1552&lt;&gt;"","Not billable",IF(P1552="","To invoice",IF(P1552="Two invoices","Check dates",IF(ISNA(MATCH(P1552,Invoices!$B$6:$B$305,0)),"Check number",IF(INDEX(Invoices!$M$6:$M$305,MATCH(P1552,Invoices!$B$6:$B$305,0))="Paid","Paid",IF(INDEX(Invoices!$M$6:$M$305,MATCH(P1552,Invoices!$B$6:$B$305,0))="Draft","Draft","Invoiced")))))))</f>
        <v/>
      </c>
      <c r="R1552" s="1">
        <f>IF(AND(B1552&lt;&gt;"",P1552&lt;&gt;"",P1552=Invoice!$G$4),B1552+MOD(N(F1552),1)+ROW()/10000000,"")</f>
        <v/>
      </c>
      <c r="S1552">
        <f>IF(R1552="","",IF(D1552="","Other work",D1552)&amp;IF(AND(K1552&lt;&gt;"",E1552&lt;&gt;""),", "&amp;E1552,""))</f>
        <v/>
      </c>
      <c r="T1552">
        <f>IF(R1552="","",IF(COUNTIFS(R$6:R1551,"&gt;0",S$6:S1551,S1552,N$6:N1551,N1552)=0,R1552,""))</f>
        <v/>
      </c>
      <c r="U1552">
        <f>IF(B1552="","",IF(J1552&lt;&gt;"",0,M1552))</f>
        <v/>
      </c>
    </row>
    <row r="1553">
      <c r="A1553" s="1" t="n"/>
      <c r="B1553" s="16" t="n"/>
      <c r="C1553" s="17" t="n"/>
      <c r="D1553" s="18" t="n"/>
      <c r="E1553" s="18" t="n"/>
      <c r="F1553" s="19" t="n"/>
      <c r="G1553" s="19" t="n"/>
      <c r="H1553" s="20" t="n"/>
      <c r="I1553" s="21" t="n"/>
      <c r="J1553" s="22" t="n"/>
      <c r="K1553" s="23" t="n"/>
      <c r="L1553" s="18" t="n"/>
      <c r="M1553" s="24">
        <f>IF(B1553="","",IF(AND(F1553&lt;&gt;"",G1553&lt;&gt;""),MAX(0,ROUND(MOD(G1553-F1553,1)*24-N(H1553)/60,2)),N(I1553)))</f>
        <v/>
      </c>
      <c r="N1553" s="14">
        <f>IF(B1553="","",IF(K1553&lt;&gt;"",K1553,IF(N(IFERROR(INDEX(Projects!$D$6:$D$65,MATCH(D1553,Projects!$B$6:$B$65,0)),""))&gt;0,IFERROR(INDEX(Projects!$D$6:$D$65,MATCH(D1553,Projects!$B$6:$B$65,0)),""),IFERROR(INDEX(Clients!$G$6:$G$45,MATCH(C1553,Clients!$B$6:$B$45,0)),0))))</f>
        <v/>
      </c>
      <c r="O1553" s="14">
        <f>IF(B1553="","",IF(J1553&lt;&gt;"",0,ROUND(M1553*N1553,2)))</f>
        <v/>
      </c>
      <c r="P1553" s="15">
        <f>IF(OR(B1553="",J1553&lt;&gt;""),"",IF(L1553&lt;&gt;"",L1553,IF(COUNTIFS(Invoices!$C$6:$C$305,C1553,Invoices!$E$6:$E$305,"&lt;="&amp;B1553,Invoices!$F$6:$F$305,"&gt;="&amp;B1553)=1,INDEX(Invoices!$B$6:$B$305,SUMIFS(Invoices!$O$6:$O$305,Invoices!$C$6:$C$305,C1553,Invoices!$E$6:$E$305,"&lt;="&amp;B1553,Invoices!$F$6:$F$305,"&gt;="&amp;B1553)),IF(COUNTIFS(Invoices!$C$6:$C$305,C1553,Invoices!$E$6:$E$305,"&lt;="&amp;B1553,Invoices!$F$6:$F$305,"&gt;="&amp;B1553)&gt;1,"Two invoices",""))))</f>
        <v/>
      </c>
      <c r="Q1553" s="15">
        <f>IF(B1553="","",IF(J1553&lt;&gt;"","Not billable",IF(P1553="","To invoice",IF(P1553="Two invoices","Check dates",IF(ISNA(MATCH(P1553,Invoices!$B$6:$B$305,0)),"Check number",IF(INDEX(Invoices!$M$6:$M$305,MATCH(P1553,Invoices!$B$6:$B$305,0))="Paid","Paid",IF(INDEX(Invoices!$M$6:$M$305,MATCH(P1553,Invoices!$B$6:$B$305,0))="Draft","Draft","Invoiced")))))))</f>
        <v/>
      </c>
      <c r="R1553" s="1">
        <f>IF(AND(B1553&lt;&gt;"",P1553&lt;&gt;"",P1553=Invoice!$G$4),B1553+MOD(N(F1553),1)+ROW()/10000000,"")</f>
        <v/>
      </c>
      <c r="S1553">
        <f>IF(R1553="","",IF(D1553="","Other work",D1553)&amp;IF(AND(K1553&lt;&gt;"",E1553&lt;&gt;""),", "&amp;E1553,""))</f>
        <v/>
      </c>
      <c r="T1553">
        <f>IF(R1553="","",IF(COUNTIFS(R$6:R1552,"&gt;0",S$6:S1552,S1553,N$6:N1552,N1553)=0,R1553,""))</f>
        <v/>
      </c>
      <c r="U1553">
        <f>IF(B1553="","",IF(J1553&lt;&gt;"",0,M1553))</f>
        <v/>
      </c>
    </row>
    <row r="1554">
      <c r="A1554" s="1" t="n"/>
      <c r="B1554" s="16" t="n"/>
      <c r="C1554" s="17" t="n"/>
      <c r="D1554" s="18" t="n"/>
      <c r="E1554" s="18" t="n"/>
      <c r="F1554" s="19" t="n"/>
      <c r="G1554" s="19" t="n"/>
      <c r="H1554" s="20" t="n"/>
      <c r="I1554" s="21" t="n"/>
      <c r="J1554" s="22" t="n"/>
      <c r="K1554" s="23" t="n"/>
      <c r="L1554" s="18" t="n"/>
      <c r="M1554" s="24">
        <f>IF(B1554="","",IF(AND(F1554&lt;&gt;"",G1554&lt;&gt;""),MAX(0,ROUND(MOD(G1554-F1554,1)*24-N(H1554)/60,2)),N(I1554)))</f>
        <v/>
      </c>
      <c r="N1554" s="14">
        <f>IF(B1554="","",IF(K1554&lt;&gt;"",K1554,IF(N(IFERROR(INDEX(Projects!$D$6:$D$65,MATCH(D1554,Projects!$B$6:$B$65,0)),""))&gt;0,IFERROR(INDEX(Projects!$D$6:$D$65,MATCH(D1554,Projects!$B$6:$B$65,0)),""),IFERROR(INDEX(Clients!$G$6:$G$45,MATCH(C1554,Clients!$B$6:$B$45,0)),0))))</f>
        <v/>
      </c>
      <c r="O1554" s="14">
        <f>IF(B1554="","",IF(J1554&lt;&gt;"",0,ROUND(M1554*N1554,2)))</f>
        <v/>
      </c>
      <c r="P1554" s="15">
        <f>IF(OR(B1554="",J1554&lt;&gt;""),"",IF(L1554&lt;&gt;"",L1554,IF(COUNTIFS(Invoices!$C$6:$C$305,C1554,Invoices!$E$6:$E$305,"&lt;="&amp;B1554,Invoices!$F$6:$F$305,"&gt;="&amp;B1554)=1,INDEX(Invoices!$B$6:$B$305,SUMIFS(Invoices!$O$6:$O$305,Invoices!$C$6:$C$305,C1554,Invoices!$E$6:$E$305,"&lt;="&amp;B1554,Invoices!$F$6:$F$305,"&gt;="&amp;B1554)),IF(COUNTIFS(Invoices!$C$6:$C$305,C1554,Invoices!$E$6:$E$305,"&lt;="&amp;B1554,Invoices!$F$6:$F$305,"&gt;="&amp;B1554)&gt;1,"Two invoices",""))))</f>
        <v/>
      </c>
      <c r="Q1554" s="15">
        <f>IF(B1554="","",IF(J1554&lt;&gt;"","Not billable",IF(P1554="","To invoice",IF(P1554="Two invoices","Check dates",IF(ISNA(MATCH(P1554,Invoices!$B$6:$B$305,0)),"Check number",IF(INDEX(Invoices!$M$6:$M$305,MATCH(P1554,Invoices!$B$6:$B$305,0))="Paid","Paid",IF(INDEX(Invoices!$M$6:$M$305,MATCH(P1554,Invoices!$B$6:$B$305,0))="Draft","Draft","Invoiced")))))))</f>
        <v/>
      </c>
      <c r="R1554" s="1">
        <f>IF(AND(B1554&lt;&gt;"",P1554&lt;&gt;"",P1554=Invoice!$G$4),B1554+MOD(N(F1554),1)+ROW()/10000000,"")</f>
        <v/>
      </c>
      <c r="S1554">
        <f>IF(R1554="","",IF(D1554="","Other work",D1554)&amp;IF(AND(K1554&lt;&gt;"",E1554&lt;&gt;""),", "&amp;E1554,""))</f>
        <v/>
      </c>
      <c r="T1554">
        <f>IF(R1554="","",IF(COUNTIFS(R$6:R1553,"&gt;0",S$6:S1553,S1554,N$6:N1553,N1554)=0,R1554,""))</f>
        <v/>
      </c>
      <c r="U1554">
        <f>IF(B1554="","",IF(J1554&lt;&gt;"",0,M1554))</f>
        <v/>
      </c>
    </row>
    <row r="1555">
      <c r="A1555" s="1" t="n"/>
      <c r="B1555" s="16" t="n"/>
      <c r="C1555" s="17" t="n"/>
      <c r="D1555" s="18" t="n"/>
      <c r="E1555" s="18" t="n"/>
      <c r="F1555" s="19" t="n"/>
      <c r="G1555" s="19" t="n"/>
      <c r="H1555" s="20" t="n"/>
      <c r="I1555" s="21" t="n"/>
      <c r="J1555" s="22" t="n"/>
      <c r="K1555" s="23" t="n"/>
      <c r="L1555" s="18" t="n"/>
      <c r="M1555" s="24">
        <f>IF(B1555="","",IF(AND(F1555&lt;&gt;"",G1555&lt;&gt;""),MAX(0,ROUND(MOD(G1555-F1555,1)*24-N(H1555)/60,2)),N(I1555)))</f>
        <v/>
      </c>
      <c r="N1555" s="14">
        <f>IF(B1555="","",IF(K1555&lt;&gt;"",K1555,IF(N(IFERROR(INDEX(Projects!$D$6:$D$65,MATCH(D1555,Projects!$B$6:$B$65,0)),""))&gt;0,IFERROR(INDEX(Projects!$D$6:$D$65,MATCH(D1555,Projects!$B$6:$B$65,0)),""),IFERROR(INDEX(Clients!$G$6:$G$45,MATCH(C1555,Clients!$B$6:$B$45,0)),0))))</f>
        <v/>
      </c>
      <c r="O1555" s="14">
        <f>IF(B1555="","",IF(J1555&lt;&gt;"",0,ROUND(M1555*N1555,2)))</f>
        <v/>
      </c>
      <c r="P1555" s="15">
        <f>IF(OR(B1555="",J1555&lt;&gt;""),"",IF(L1555&lt;&gt;"",L1555,IF(COUNTIFS(Invoices!$C$6:$C$305,C1555,Invoices!$E$6:$E$305,"&lt;="&amp;B1555,Invoices!$F$6:$F$305,"&gt;="&amp;B1555)=1,INDEX(Invoices!$B$6:$B$305,SUMIFS(Invoices!$O$6:$O$305,Invoices!$C$6:$C$305,C1555,Invoices!$E$6:$E$305,"&lt;="&amp;B1555,Invoices!$F$6:$F$305,"&gt;="&amp;B1555)),IF(COUNTIFS(Invoices!$C$6:$C$305,C1555,Invoices!$E$6:$E$305,"&lt;="&amp;B1555,Invoices!$F$6:$F$305,"&gt;="&amp;B1555)&gt;1,"Two invoices",""))))</f>
        <v/>
      </c>
      <c r="Q1555" s="15">
        <f>IF(B1555="","",IF(J1555&lt;&gt;"","Not billable",IF(P1555="","To invoice",IF(P1555="Two invoices","Check dates",IF(ISNA(MATCH(P1555,Invoices!$B$6:$B$305,0)),"Check number",IF(INDEX(Invoices!$M$6:$M$305,MATCH(P1555,Invoices!$B$6:$B$305,0))="Paid","Paid",IF(INDEX(Invoices!$M$6:$M$305,MATCH(P1555,Invoices!$B$6:$B$305,0))="Draft","Draft","Invoiced")))))))</f>
        <v/>
      </c>
      <c r="R1555" s="1">
        <f>IF(AND(B1555&lt;&gt;"",P1555&lt;&gt;"",P1555=Invoice!$G$4),B1555+MOD(N(F1555),1)+ROW()/10000000,"")</f>
        <v/>
      </c>
      <c r="S1555">
        <f>IF(R1555="","",IF(D1555="","Other work",D1555)&amp;IF(AND(K1555&lt;&gt;"",E1555&lt;&gt;""),", "&amp;E1555,""))</f>
        <v/>
      </c>
      <c r="T1555">
        <f>IF(R1555="","",IF(COUNTIFS(R$6:R1554,"&gt;0",S$6:S1554,S1555,N$6:N1554,N1555)=0,R1555,""))</f>
        <v/>
      </c>
      <c r="U1555">
        <f>IF(B1555="","",IF(J1555&lt;&gt;"",0,M1555))</f>
        <v/>
      </c>
    </row>
    <row r="1556">
      <c r="A1556" s="1" t="n"/>
      <c r="B1556" s="16" t="n"/>
      <c r="C1556" s="17" t="n"/>
      <c r="D1556" s="18" t="n"/>
      <c r="E1556" s="18" t="n"/>
      <c r="F1556" s="19" t="n"/>
      <c r="G1556" s="19" t="n"/>
      <c r="H1556" s="20" t="n"/>
      <c r="I1556" s="21" t="n"/>
      <c r="J1556" s="22" t="n"/>
      <c r="K1556" s="23" t="n"/>
      <c r="L1556" s="18" t="n"/>
      <c r="M1556" s="24">
        <f>IF(B1556="","",IF(AND(F1556&lt;&gt;"",G1556&lt;&gt;""),MAX(0,ROUND(MOD(G1556-F1556,1)*24-N(H1556)/60,2)),N(I1556)))</f>
        <v/>
      </c>
      <c r="N1556" s="14">
        <f>IF(B1556="","",IF(K1556&lt;&gt;"",K1556,IF(N(IFERROR(INDEX(Projects!$D$6:$D$65,MATCH(D1556,Projects!$B$6:$B$65,0)),""))&gt;0,IFERROR(INDEX(Projects!$D$6:$D$65,MATCH(D1556,Projects!$B$6:$B$65,0)),""),IFERROR(INDEX(Clients!$G$6:$G$45,MATCH(C1556,Clients!$B$6:$B$45,0)),0))))</f>
        <v/>
      </c>
      <c r="O1556" s="14">
        <f>IF(B1556="","",IF(J1556&lt;&gt;"",0,ROUND(M1556*N1556,2)))</f>
        <v/>
      </c>
      <c r="P1556" s="15">
        <f>IF(OR(B1556="",J1556&lt;&gt;""),"",IF(L1556&lt;&gt;"",L1556,IF(COUNTIFS(Invoices!$C$6:$C$305,C1556,Invoices!$E$6:$E$305,"&lt;="&amp;B1556,Invoices!$F$6:$F$305,"&gt;="&amp;B1556)=1,INDEX(Invoices!$B$6:$B$305,SUMIFS(Invoices!$O$6:$O$305,Invoices!$C$6:$C$305,C1556,Invoices!$E$6:$E$305,"&lt;="&amp;B1556,Invoices!$F$6:$F$305,"&gt;="&amp;B1556)),IF(COUNTIFS(Invoices!$C$6:$C$305,C1556,Invoices!$E$6:$E$305,"&lt;="&amp;B1556,Invoices!$F$6:$F$305,"&gt;="&amp;B1556)&gt;1,"Two invoices",""))))</f>
        <v/>
      </c>
      <c r="Q1556" s="15">
        <f>IF(B1556="","",IF(J1556&lt;&gt;"","Not billable",IF(P1556="","To invoice",IF(P1556="Two invoices","Check dates",IF(ISNA(MATCH(P1556,Invoices!$B$6:$B$305,0)),"Check number",IF(INDEX(Invoices!$M$6:$M$305,MATCH(P1556,Invoices!$B$6:$B$305,0))="Paid","Paid",IF(INDEX(Invoices!$M$6:$M$305,MATCH(P1556,Invoices!$B$6:$B$305,0))="Draft","Draft","Invoiced")))))))</f>
        <v/>
      </c>
      <c r="R1556" s="1">
        <f>IF(AND(B1556&lt;&gt;"",P1556&lt;&gt;"",P1556=Invoice!$G$4),B1556+MOD(N(F1556),1)+ROW()/10000000,"")</f>
        <v/>
      </c>
      <c r="S1556">
        <f>IF(R1556="","",IF(D1556="","Other work",D1556)&amp;IF(AND(K1556&lt;&gt;"",E1556&lt;&gt;""),", "&amp;E1556,""))</f>
        <v/>
      </c>
      <c r="T1556">
        <f>IF(R1556="","",IF(COUNTIFS(R$6:R1555,"&gt;0",S$6:S1555,S1556,N$6:N1555,N1556)=0,R1556,""))</f>
        <v/>
      </c>
      <c r="U1556">
        <f>IF(B1556="","",IF(J1556&lt;&gt;"",0,M1556))</f>
        <v/>
      </c>
    </row>
    <row r="1557">
      <c r="A1557" s="1" t="n"/>
      <c r="B1557" s="16" t="n"/>
      <c r="C1557" s="17" t="n"/>
      <c r="D1557" s="18" t="n"/>
      <c r="E1557" s="18" t="n"/>
      <c r="F1557" s="19" t="n"/>
      <c r="G1557" s="19" t="n"/>
      <c r="H1557" s="20" t="n"/>
      <c r="I1557" s="21" t="n"/>
      <c r="J1557" s="22" t="n"/>
      <c r="K1557" s="23" t="n"/>
      <c r="L1557" s="18" t="n"/>
      <c r="M1557" s="24">
        <f>IF(B1557="","",IF(AND(F1557&lt;&gt;"",G1557&lt;&gt;""),MAX(0,ROUND(MOD(G1557-F1557,1)*24-N(H1557)/60,2)),N(I1557)))</f>
        <v/>
      </c>
      <c r="N1557" s="14">
        <f>IF(B1557="","",IF(K1557&lt;&gt;"",K1557,IF(N(IFERROR(INDEX(Projects!$D$6:$D$65,MATCH(D1557,Projects!$B$6:$B$65,0)),""))&gt;0,IFERROR(INDEX(Projects!$D$6:$D$65,MATCH(D1557,Projects!$B$6:$B$65,0)),""),IFERROR(INDEX(Clients!$G$6:$G$45,MATCH(C1557,Clients!$B$6:$B$45,0)),0))))</f>
        <v/>
      </c>
      <c r="O1557" s="14">
        <f>IF(B1557="","",IF(J1557&lt;&gt;"",0,ROUND(M1557*N1557,2)))</f>
        <v/>
      </c>
      <c r="P1557" s="15">
        <f>IF(OR(B1557="",J1557&lt;&gt;""),"",IF(L1557&lt;&gt;"",L1557,IF(COUNTIFS(Invoices!$C$6:$C$305,C1557,Invoices!$E$6:$E$305,"&lt;="&amp;B1557,Invoices!$F$6:$F$305,"&gt;="&amp;B1557)=1,INDEX(Invoices!$B$6:$B$305,SUMIFS(Invoices!$O$6:$O$305,Invoices!$C$6:$C$305,C1557,Invoices!$E$6:$E$305,"&lt;="&amp;B1557,Invoices!$F$6:$F$305,"&gt;="&amp;B1557)),IF(COUNTIFS(Invoices!$C$6:$C$305,C1557,Invoices!$E$6:$E$305,"&lt;="&amp;B1557,Invoices!$F$6:$F$305,"&gt;="&amp;B1557)&gt;1,"Two invoices",""))))</f>
        <v/>
      </c>
      <c r="Q1557" s="15">
        <f>IF(B1557="","",IF(J1557&lt;&gt;"","Not billable",IF(P1557="","To invoice",IF(P1557="Two invoices","Check dates",IF(ISNA(MATCH(P1557,Invoices!$B$6:$B$305,0)),"Check number",IF(INDEX(Invoices!$M$6:$M$305,MATCH(P1557,Invoices!$B$6:$B$305,0))="Paid","Paid",IF(INDEX(Invoices!$M$6:$M$305,MATCH(P1557,Invoices!$B$6:$B$305,0))="Draft","Draft","Invoiced")))))))</f>
        <v/>
      </c>
      <c r="R1557" s="1">
        <f>IF(AND(B1557&lt;&gt;"",P1557&lt;&gt;"",P1557=Invoice!$G$4),B1557+MOD(N(F1557),1)+ROW()/10000000,"")</f>
        <v/>
      </c>
      <c r="S1557">
        <f>IF(R1557="","",IF(D1557="","Other work",D1557)&amp;IF(AND(K1557&lt;&gt;"",E1557&lt;&gt;""),", "&amp;E1557,""))</f>
        <v/>
      </c>
      <c r="T1557">
        <f>IF(R1557="","",IF(COUNTIFS(R$6:R1556,"&gt;0",S$6:S1556,S1557,N$6:N1556,N1557)=0,R1557,""))</f>
        <v/>
      </c>
      <c r="U1557">
        <f>IF(B1557="","",IF(J1557&lt;&gt;"",0,M1557))</f>
        <v/>
      </c>
    </row>
    <row r="1558">
      <c r="A1558" s="1" t="n"/>
      <c r="B1558" s="16" t="n"/>
      <c r="C1558" s="17" t="n"/>
      <c r="D1558" s="18" t="n"/>
      <c r="E1558" s="18" t="n"/>
      <c r="F1558" s="19" t="n"/>
      <c r="G1558" s="19" t="n"/>
      <c r="H1558" s="20" t="n"/>
      <c r="I1558" s="21" t="n"/>
      <c r="J1558" s="22" t="n"/>
      <c r="K1558" s="23" t="n"/>
      <c r="L1558" s="18" t="n"/>
      <c r="M1558" s="24">
        <f>IF(B1558="","",IF(AND(F1558&lt;&gt;"",G1558&lt;&gt;""),MAX(0,ROUND(MOD(G1558-F1558,1)*24-N(H1558)/60,2)),N(I1558)))</f>
        <v/>
      </c>
      <c r="N1558" s="14">
        <f>IF(B1558="","",IF(K1558&lt;&gt;"",K1558,IF(N(IFERROR(INDEX(Projects!$D$6:$D$65,MATCH(D1558,Projects!$B$6:$B$65,0)),""))&gt;0,IFERROR(INDEX(Projects!$D$6:$D$65,MATCH(D1558,Projects!$B$6:$B$65,0)),""),IFERROR(INDEX(Clients!$G$6:$G$45,MATCH(C1558,Clients!$B$6:$B$45,0)),0))))</f>
        <v/>
      </c>
      <c r="O1558" s="14">
        <f>IF(B1558="","",IF(J1558&lt;&gt;"",0,ROUND(M1558*N1558,2)))</f>
        <v/>
      </c>
      <c r="P1558" s="15">
        <f>IF(OR(B1558="",J1558&lt;&gt;""),"",IF(L1558&lt;&gt;"",L1558,IF(COUNTIFS(Invoices!$C$6:$C$305,C1558,Invoices!$E$6:$E$305,"&lt;="&amp;B1558,Invoices!$F$6:$F$305,"&gt;="&amp;B1558)=1,INDEX(Invoices!$B$6:$B$305,SUMIFS(Invoices!$O$6:$O$305,Invoices!$C$6:$C$305,C1558,Invoices!$E$6:$E$305,"&lt;="&amp;B1558,Invoices!$F$6:$F$305,"&gt;="&amp;B1558)),IF(COUNTIFS(Invoices!$C$6:$C$305,C1558,Invoices!$E$6:$E$305,"&lt;="&amp;B1558,Invoices!$F$6:$F$305,"&gt;="&amp;B1558)&gt;1,"Two invoices",""))))</f>
        <v/>
      </c>
      <c r="Q1558" s="15">
        <f>IF(B1558="","",IF(J1558&lt;&gt;"","Not billable",IF(P1558="","To invoice",IF(P1558="Two invoices","Check dates",IF(ISNA(MATCH(P1558,Invoices!$B$6:$B$305,0)),"Check number",IF(INDEX(Invoices!$M$6:$M$305,MATCH(P1558,Invoices!$B$6:$B$305,0))="Paid","Paid",IF(INDEX(Invoices!$M$6:$M$305,MATCH(P1558,Invoices!$B$6:$B$305,0))="Draft","Draft","Invoiced")))))))</f>
        <v/>
      </c>
      <c r="R1558" s="1">
        <f>IF(AND(B1558&lt;&gt;"",P1558&lt;&gt;"",P1558=Invoice!$G$4),B1558+MOD(N(F1558),1)+ROW()/10000000,"")</f>
        <v/>
      </c>
      <c r="S1558">
        <f>IF(R1558="","",IF(D1558="","Other work",D1558)&amp;IF(AND(K1558&lt;&gt;"",E1558&lt;&gt;""),", "&amp;E1558,""))</f>
        <v/>
      </c>
      <c r="T1558">
        <f>IF(R1558="","",IF(COUNTIFS(R$6:R1557,"&gt;0",S$6:S1557,S1558,N$6:N1557,N1558)=0,R1558,""))</f>
        <v/>
      </c>
      <c r="U1558">
        <f>IF(B1558="","",IF(J1558&lt;&gt;"",0,M1558))</f>
        <v/>
      </c>
    </row>
    <row r="1559">
      <c r="A1559" s="1" t="n"/>
      <c r="B1559" s="16" t="n"/>
      <c r="C1559" s="17" t="n"/>
      <c r="D1559" s="18" t="n"/>
      <c r="E1559" s="18" t="n"/>
      <c r="F1559" s="19" t="n"/>
      <c r="G1559" s="19" t="n"/>
      <c r="H1559" s="20" t="n"/>
      <c r="I1559" s="21" t="n"/>
      <c r="J1559" s="22" t="n"/>
      <c r="K1559" s="23" t="n"/>
      <c r="L1559" s="18" t="n"/>
      <c r="M1559" s="24">
        <f>IF(B1559="","",IF(AND(F1559&lt;&gt;"",G1559&lt;&gt;""),MAX(0,ROUND(MOD(G1559-F1559,1)*24-N(H1559)/60,2)),N(I1559)))</f>
        <v/>
      </c>
      <c r="N1559" s="14">
        <f>IF(B1559="","",IF(K1559&lt;&gt;"",K1559,IF(N(IFERROR(INDEX(Projects!$D$6:$D$65,MATCH(D1559,Projects!$B$6:$B$65,0)),""))&gt;0,IFERROR(INDEX(Projects!$D$6:$D$65,MATCH(D1559,Projects!$B$6:$B$65,0)),""),IFERROR(INDEX(Clients!$G$6:$G$45,MATCH(C1559,Clients!$B$6:$B$45,0)),0))))</f>
        <v/>
      </c>
      <c r="O1559" s="14">
        <f>IF(B1559="","",IF(J1559&lt;&gt;"",0,ROUND(M1559*N1559,2)))</f>
        <v/>
      </c>
      <c r="P1559" s="15">
        <f>IF(OR(B1559="",J1559&lt;&gt;""),"",IF(L1559&lt;&gt;"",L1559,IF(COUNTIFS(Invoices!$C$6:$C$305,C1559,Invoices!$E$6:$E$305,"&lt;="&amp;B1559,Invoices!$F$6:$F$305,"&gt;="&amp;B1559)=1,INDEX(Invoices!$B$6:$B$305,SUMIFS(Invoices!$O$6:$O$305,Invoices!$C$6:$C$305,C1559,Invoices!$E$6:$E$305,"&lt;="&amp;B1559,Invoices!$F$6:$F$305,"&gt;="&amp;B1559)),IF(COUNTIFS(Invoices!$C$6:$C$305,C1559,Invoices!$E$6:$E$305,"&lt;="&amp;B1559,Invoices!$F$6:$F$305,"&gt;="&amp;B1559)&gt;1,"Two invoices",""))))</f>
        <v/>
      </c>
      <c r="Q1559" s="15">
        <f>IF(B1559="","",IF(J1559&lt;&gt;"","Not billable",IF(P1559="","To invoice",IF(P1559="Two invoices","Check dates",IF(ISNA(MATCH(P1559,Invoices!$B$6:$B$305,0)),"Check number",IF(INDEX(Invoices!$M$6:$M$305,MATCH(P1559,Invoices!$B$6:$B$305,0))="Paid","Paid",IF(INDEX(Invoices!$M$6:$M$305,MATCH(P1559,Invoices!$B$6:$B$305,0))="Draft","Draft","Invoiced")))))))</f>
        <v/>
      </c>
      <c r="R1559" s="1">
        <f>IF(AND(B1559&lt;&gt;"",P1559&lt;&gt;"",P1559=Invoice!$G$4),B1559+MOD(N(F1559),1)+ROW()/10000000,"")</f>
        <v/>
      </c>
      <c r="S1559">
        <f>IF(R1559="","",IF(D1559="","Other work",D1559)&amp;IF(AND(K1559&lt;&gt;"",E1559&lt;&gt;""),", "&amp;E1559,""))</f>
        <v/>
      </c>
      <c r="T1559">
        <f>IF(R1559="","",IF(COUNTIFS(R$6:R1558,"&gt;0",S$6:S1558,S1559,N$6:N1558,N1559)=0,R1559,""))</f>
        <v/>
      </c>
      <c r="U1559">
        <f>IF(B1559="","",IF(J1559&lt;&gt;"",0,M1559))</f>
        <v/>
      </c>
    </row>
    <row r="1560">
      <c r="A1560" s="1" t="n"/>
      <c r="B1560" s="16" t="n"/>
      <c r="C1560" s="17" t="n"/>
      <c r="D1560" s="18" t="n"/>
      <c r="E1560" s="18" t="n"/>
      <c r="F1560" s="19" t="n"/>
      <c r="G1560" s="19" t="n"/>
      <c r="H1560" s="20" t="n"/>
      <c r="I1560" s="21" t="n"/>
      <c r="J1560" s="22" t="n"/>
      <c r="K1560" s="23" t="n"/>
      <c r="L1560" s="18" t="n"/>
      <c r="M1560" s="24">
        <f>IF(B1560="","",IF(AND(F1560&lt;&gt;"",G1560&lt;&gt;""),MAX(0,ROUND(MOD(G1560-F1560,1)*24-N(H1560)/60,2)),N(I1560)))</f>
        <v/>
      </c>
      <c r="N1560" s="14">
        <f>IF(B1560="","",IF(K1560&lt;&gt;"",K1560,IF(N(IFERROR(INDEX(Projects!$D$6:$D$65,MATCH(D1560,Projects!$B$6:$B$65,0)),""))&gt;0,IFERROR(INDEX(Projects!$D$6:$D$65,MATCH(D1560,Projects!$B$6:$B$65,0)),""),IFERROR(INDEX(Clients!$G$6:$G$45,MATCH(C1560,Clients!$B$6:$B$45,0)),0))))</f>
        <v/>
      </c>
      <c r="O1560" s="14">
        <f>IF(B1560="","",IF(J1560&lt;&gt;"",0,ROUND(M1560*N1560,2)))</f>
        <v/>
      </c>
      <c r="P1560" s="15">
        <f>IF(OR(B1560="",J1560&lt;&gt;""),"",IF(L1560&lt;&gt;"",L1560,IF(COUNTIFS(Invoices!$C$6:$C$305,C1560,Invoices!$E$6:$E$305,"&lt;="&amp;B1560,Invoices!$F$6:$F$305,"&gt;="&amp;B1560)=1,INDEX(Invoices!$B$6:$B$305,SUMIFS(Invoices!$O$6:$O$305,Invoices!$C$6:$C$305,C1560,Invoices!$E$6:$E$305,"&lt;="&amp;B1560,Invoices!$F$6:$F$305,"&gt;="&amp;B1560)),IF(COUNTIFS(Invoices!$C$6:$C$305,C1560,Invoices!$E$6:$E$305,"&lt;="&amp;B1560,Invoices!$F$6:$F$305,"&gt;="&amp;B1560)&gt;1,"Two invoices",""))))</f>
        <v/>
      </c>
      <c r="Q1560" s="15">
        <f>IF(B1560="","",IF(J1560&lt;&gt;"","Not billable",IF(P1560="","To invoice",IF(P1560="Two invoices","Check dates",IF(ISNA(MATCH(P1560,Invoices!$B$6:$B$305,0)),"Check number",IF(INDEX(Invoices!$M$6:$M$305,MATCH(P1560,Invoices!$B$6:$B$305,0))="Paid","Paid",IF(INDEX(Invoices!$M$6:$M$305,MATCH(P1560,Invoices!$B$6:$B$305,0))="Draft","Draft","Invoiced")))))))</f>
        <v/>
      </c>
      <c r="R1560" s="1">
        <f>IF(AND(B1560&lt;&gt;"",P1560&lt;&gt;"",P1560=Invoice!$G$4),B1560+MOD(N(F1560),1)+ROW()/10000000,"")</f>
        <v/>
      </c>
      <c r="S1560">
        <f>IF(R1560="","",IF(D1560="","Other work",D1560)&amp;IF(AND(K1560&lt;&gt;"",E1560&lt;&gt;""),", "&amp;E1560,""))</f>
        <v/>
      </c>
      <c r="T1560">
        <f>IF(R1560="","",IF(COUNTIFS(R$6:R1559,"&gt;0",S$6:S1559,S1560,N$6:N1559,N1560)=0,R1560,""))</f>
        <v/>
      </c>
      <c r="U1560">
        <f>IF(B1560="","",IF(J1560&lt;&gt;"",0,M1560))</f>
        <v/>
      </c>
    </row>
    <row r="1561">
      <c r="A1561" s="1" t="n"/>
      <c r="B1561" s="16" t="n"/>
      <c r="C1561" s="17" t="n"/>
      <c r="D1561" s="18" t="n"/>
      <c r="E1561" s="18" t="n"/>
      <c r="F1561" s="19" t="n"/>
      <c r="G1561" s="19" t="n"/>
      <c r="H1561" s="20" t="n"/>
      <c r="I1561" s="21" t="n"/>
      <c r="J1561" s="22" t="n"/>
      <c r="K1561" s="23" t="n"/>
      <c r="L1561" s="18" t="n"/>
      <c r="M1561" s="24">
        <f>IF(B1561="","",IF(AND(F1561&lt;&gt;"",G1561&lt;&gt;""),MAX(0,ROUND(MOD(G1561-F1561,1)*24-N(H1561)/60,2)),N(I1561)))</f>
        <v/>
      </c>
      <c r="N1561" s="14">
        <f>IF(B1561="","",IF(K1561&lt;&gt;"",K1561,IF(N(IFERROR(INDEX(Projects!$D$6:$D$65,MATCH(D1561,Projects!$B$6:$B$65,0)),""))&gt;0,IFERROR(INDEX(Projects!$D$6:$D$65,MATCH(D1561,Projects!$B$6:$B$65,0)),""),IFERROR(INDEX(Clients!$G$6:$G$45,MATCH(C1561,Clients!$B$6:$B$45,0)),0))))</f>
        <v/>
      </c>
      <c r="O1561" s="14">
        <f>IF(B1561="","",IF(J1561&lt;&gt;"",0,ROUND(M1561*N1561,2)))</f>
        <v/>
      </c>
      <c r="P1561" s="15">
        <f>IF(OR(B1561="",J1561&lt;&gt;""),"",IF(L1561&lt;&gt;"",L1561,IF(COUNTIFS(Invoices!$C$6:$C$305,C1561,Invoices!$E$6:$E$305,"&lt;="&amp;B1561,Invoices!$F$6:$F$305,"&gt;="&amp;B1561)=1,INDEX(Invoices!$B$6:$B$305,SUMIFS(Invoices!$O$6:$O$305,Invoices!$C$6:$C$305,C1561,Invoices!$E$6:$E$305,"&lt;="&amp;B1561,Invoices!$F$6:$F$305,"&gt;="&amp;B1561)),IF(COUNTIFS(Invoices!$C$6:$C$305,C1561,Invoices!$E$6:$E$305,"&lt;="&amp;B1561,Invoices!$F$6:$F$305,"&gt;="&amp;B1561)&gt;1,"Two invoices",""))))</f>
        <v/>
      </c>
      <c r="Q1561" s="15">
        <f>IF(B1561="","",IF(J1561&lt;&gt;"","Not billable",IF(P1561="","To invoice",IF(P1561="Two invoices","Check dates",IF(ISNA(MATCH(P1561,Invoices!$B$6:$B$305,0)),"Check number",IF(INDEX(Invoices!$M$6:$M$305,MATCH(P1561,Invoices!$B$6:$B$305,0))="Paid","Paid",IF(INDEX(Invoices!$M$6:$M$305,MATCH(P1561,Invoices!$B$6:$B$305,0))="Draft","Draft","Invoiced")))))))</f>
        <v/>
      </c>
      <c r="R1561" s="1">
        <f>IF(AND(B1561&lt;&gt;"",P1561&lt;&gt;"",P1561=Invoice!$G$4),B1561+MOD(N(F1561),1)+ROW()/10000000,"")</f>
        <v/>
      </c>
      <c r="S1561">
        <f>IF(R1561="","",IF(D1561="","Other work",D1561)&amp;IF(AND(K1561&lt;&gt;"",E1561&lt;&gt;""),", "&amp;E1561,""))</f>
        <v/>
      </c>
      <c r="T1561">
        <f>IF(R1561="","",IF(COUNTIFS(R$6:R1560,"&gt;0",S$6:S1560,S1561,N$6:N1560,N1561)=0,R1561,""))</f>
        <v/>
      </c>
      <c r="U1561">
        <f>IF(B1561="","",IF(J1561&lt;&gt;"",0,M1561))</f>
        <v/>
      </c>
    </row>
    <row r="1562">
      <c r="A1562" s="1" t="n"/>
      <c r="B1562" s="16" t="n"/>
      <c r="C1562" s="17" t="n"/>
      <c r="D1562" s="18" t="n"/>
      <c r="E1562" s="18" t="n"/>
      <c r="F1562" s="19" t="n"/>
      <c r="G1562" s="19" t="n"/>
      <c r="H1562" s="20" t="n"/>
      <c r="I1562" s="21" t="n"/>
      <c r="J1562" s="22" t="n"/>
      <c r="K1562" s="23" t="n"/>
      <c r="L1562" s="18" t="n"/>
      <c r="M1562" s="24">
        <f>IF(B1562="","",IF(AND(F1562&lt;&gt;"",G1562&lt;&gt;""),MAX(0,ROUND(MOD(G1562-F1562,1)*24-N(H1562)/60,2)),N(I1562)))</f>
        <v/>
      </c>
      <c r="N1562" s="14">
        <f>IF(B1562="","",IF(K1562&lt;&gt;"",K1562,IF(N(IFERROR(INDEX(Projects!$D$6:$D$65,MATCH(D1562,Projects!$B$6:$B$65,0)),""))&gt;0,IFERROR(INDEX(Projects!$D$6:$D$65,MATCH(D1562,Projects!$B$6:$B$65,0)),""),IFERROR(INDEX(Clients!$G$6:$G$45,MATCH(C1562,Clients!$B$6:$B$45,0)),0))))</f>
        <v/>
      </c>
      <c r="O1562" s="14">
        <f>IF(B1562="","",IF(J1562&lt;&gt;"",0,ROUND(M1562*N1562,2)))</f>
        <v/>
      </c>
      <c r="P1562" s="15">
        <f>IF(OR(B1562="",J1562&lt;&gt;""),"",IF(L1562&lt;&gt;"",L1562,IF(COUNTIFS(Invoices!$C$6:$C$305,C1562,Invoices!$E$6:$E$305,"&lt;="&amp;B1562,Invoices!$F$6:$F$305,"&gt;="&amp;B1562)=1,INDEX(Invoices!$B$6:$B$305,SUMIFS(Invoices!$O$6:$O$305,Invoices!$C$6:$C$305,C1562,Invoices!$E$6:$E$305,"&lt;="&amp;B1562,Invoices!$F$6:$F$305,"&gt;="&amp;B1562)),IF(COUNTIFS(Invoices!$C$6:$C$305,C1562,Invoices!$E$6:$E$305,"&lt;="&amp;B1562,Invoices!$F$6:$F$305,"&gt;="&amp;B1562)&gt;1,"Two invoices",""))))</f>
        <v/>
      </c>
      <c r="Q1562" s="15">
        <f>IF(B1562="","",IF(J1562&lt;&gt;"","Not billable",IF(P1562="","To invoice",IF(P1562="Two invoices","Check dates",IF(ISNA(MATCH(P1562,Invoices!$B$6:$B$305,0)),"Check number",IF(INDEX(Invoices!$M$6:$M$305,MATCH(P1562,Invoices!$B$6:$B$305,0))="Paid","Paid",IF(INDEX(Invoices!$M$6:$M$305,MATCH(P1562,Invoices!$B$6:$B$305,0))="Draft","Draft","Invoiced")))))))</f>
        <v/>
      </c>
      <c r="R1562" s="1">
        <f>IF(AND(B1562&lt;&gt;"",P1562&lt;&gt;"",P1562=Invoice!$G$4),B1562+MOD(N(F1562),1)+ROW()/10000000,"")</f>
        <v/>
      </c>
      <c r="S1562">
        <f>IF(R1562="","",IF(D1562="","Other work",D1562)&amp;IF(AND(K1562&lt;&gt;"",E1562&lt;&gt;""),", "&amp;E1562,""))</f>
        <v/>
      </c>
      <c r="T1562">
        <f>IF(R1562="","",IF(COUNTIFS(R$6:R1561,"&gt;0",S$6:S1561,S1562,N$6:N1561,N1562)=0,R1562,""))</f>
        <v/>
      </c>
      <c r="U1562">
        <f>IF(B1562="","",IF(J1562&lt;&gt;"",0,M1562))</f>
        <v/>
      </c>
    </row>
    <row r="1563">
      <c r="A1563" s="1" t="n"/>
      <c r="B1563" s="16" t="n"/>
      <c r="C1563" s="17" t="n"/>
      <c r="D1563" s="18" t="n"/>
      <c r="E1563" s="18" t="n"/>
      <c r="F1563" s="19" t="n"/>
      <c r="G1563" s="19" t="n"/>
      <c r="H1563" s="20" t="n"/>
      <c r="I1563" s="21" t="n"/>
      <c r="J1563" s="22" t="n"/>
      <c r="K1563" s="23" t="n"/>
      <c r="L1563" s="18" t="n"/>
      <c r="M1563" s="24">
        <f>IF(B1563="","",IF(AND(F1563&lt;&gt;"",G1563&lt;&gt;""),MAX(0,ROUND(MOD(G1563-F1563,1)*24-N(H1563)/60,2)),N(I1563)))</f>
        <v/>
      </c>
      <c r="N1563" s="14">
        <f>IF(B1563="","",IF(K1563&lt;&gt;"",K1563,IF(N(IFERROR(INDEX(Projects!$D$6:$D$65,MATCH(D1563,Projects!$B$6:$B$65,0)),""))&gt;0,IFERROR(INDEX(Projects!$D$6:$D$65,MATCH(D1563,Projects!$B$6:$B$65,0)),""),IFERROR(INDEX(Clients!$G$6:$G$45,MATCH(C1563,Clients!$B$6:$B$45,0)),0))))</f>
        <v/>
      </c>
      <c r="O1563" s="14">
        <f>IF(B1563="","",IF(J1563&lt;&gt;"",0,ROUND(M1563*N1563,2)))</f>
        <v/>
      </c>
      <c r="P1563" s="15">
        <f>IF(OR(B1563="",J1563&lt;&gt;""),"",IF(L1563&lt;&gt;"",L1563,IF(COUNTIFS(Invoices!$C$6:$C$305,C1563,Invoices!$E$6:$E$305,"&lt;="&amp;B1563,Invoices!$F$6:$F$305,"&gt;="&amp;B1563)=1,INDEX(Invoices!$B$6:$B$305,SUMIFS(Invoices!$O$6:$O$305,Invoices!$C$6:$C$305,C1563,Invoices!$E$6:$E$305,"&lt;="&amp;B1563,Invoices!$F$6:$F$305,"&gt;="&amp;B1563)),IF(COUNTIFS(Invoices!$C$6:$C$305,C1563,Invoices!$E$6:$E$305,"&lt;="&amp;B1563,Invoices!$F$6:$F$305,"&gt;="&amp;B1563)&gt;1,"Two invoices",""))))</f>
        <v/>
      </c>
      <c r="Q1563" s="15">
        <f>IF(B1563="","",IF(J1563&lt;&gt;"","Not billable",IF(P1563="","To invoice",IF(P1563="Two invoices","Check dates",IF(ISNA(MATCH(P1563,Invoices!$B$6:$B$305,0)),"Check number",IF(INDEX(Invoices!$M$6:$M$305,MATCH(P1563,Invoices!$B$6:$B$305,0))="Paid","Paid",IF(INDEX(Invoices!$M$6:$M$305,MATCH(P1563,Invoices!$B$6:$B$305,0))="Draft","Draft","Invoiced")))))))</f>
        <v/>
      </c>
      <c r="R1563" s="1">
        <f>IF(AND(B1563&lt;&gt;"",P1563&lt;&gt;"",P1563=Invoice!$G$4),B1563+MOD(N(F1563),1)+ROW()/10000000,"")</f>
        <v/>
      </c>
      <c r="S1563">
        <f>IF(R1563="","",IF(D1563="","Other work",D1563)&amp;IF(AND(K1563&lt;&gt;"",E1563&lt;&gt;""),", "&amp;E1563,""))</f>
        <v/>
      </c>
      <c r="T1563">
        <f>IF(R1563="","",IF(COUNTIFS(R$6:R1562,"&gt;0",S$6:S1562,S1563,N$6:N1562,N1563)=0,R1563,""))</f>
        <v/>
      </c>
      <c r="U1563">
        <f>IF(B1563="","",IF(J1563&lt;&gt;"",0,M1563))</f>
        <v/>
      </c>
    </row>
    <row r="1564">
      <c r="A1564" s="1" t="n"/>
      <c r="B1564" s="16" t="n"/>
      <c r="C1564" s="17" t="n"/>
      <c r="D1564" s="18" t="n"/>
      <c r="E1564" s="18" t="n"/>
      <c r="F1564" s="19" t="n"/>
      <c r="G1564" s="19" t="n"/>
      <c r="H1564" s="20" t="n"/>
      <c r="I1564" s="21" t="n"/>
      <c r="J1564" s="22" t="n"/>
      <c r="K1564" s="23" t="n"/>
      <c r="L1564" s="18" t="n"/>
      <c r="M1564" s="24">
        <f>IF(B1564="","",IF(AND(F1564&lt;&gt;"",G1564&lt;&gt;""),MAX(0,ROUND(MOD(G1564-F1564,1)*24-N(H1564)/60,2)),N(I1564)))</f>
        <v/>
      </c>
      <c r="N1564" s="14">
        <f>IF(B1564="","",IF(K1564&lt;&gt;"",K1564,IF(N(IFERROR(INDEX(Projects!$D$6:$D$65,MATCH(D1564,Projects!$B$6:$B$65,0)),""))&gt;0,IFERROR(INDEX(Projects!$D$6:$D$65,MATCH(D1564,Projects!$B$6:$B$65,0)),""),IFERROR(INDEX(Clients!$G$6:$G$45,MATCH(C1564,Clients!$B$6:$B$45,0)),0))))</f>
        <v/>
      </c>
      <c r="O1564" s="14">
        <f>IF(B1564="","",IF(J1564&lt;&gt;"",0,ROUND(M1564*N1564,2)))</f>
        <v/>
      </c>
      <c r="P1564" s="15">
        <f>IF(OR(B1564="",J1564&lt;&gt;""),"",IF(L1564&lt;&gt;"",L1564,IF(COUNTIFS(Invoices!$C$6:$C$305,C1564,Invoices!$E$6:$E$305,"&lt;="&amp;B1564,Invoices!$F$6:$F$305,"&gt;="&amp;B1564)=1,INDEX(Invoices!$B$6:$B$305,SUMIFS(Invoices!$O$6:$O$305,Invoices!$C$6:$C$305,C1564,Invoices!$E$6:$E$305,"&lt;="&amp;B1564,Invoices!$F$6:$F$305,"&gt;="&amp;B1564)),IF(COUNTIFS(Invoices!$C$6:$C$305,C1564,Invoices!$E$6:$E$305,"&lt;="&amp;B1564,Invoices!$F$6:$F$305,"&gt;="&amp;B1564)&gt;1,"Two invoices",""))))</f>
        <v/>
      </c>
      <c r="Q1564" s="15">
        <f>IF(B1564="","",IF(J1564&lt;&gt;"","Not billable",IF(P1564="","To invoice",IF(P1564="Two invoices","Check dates",IF(ISNA(MATCH(P1564,Invoices!$B$6:$B$305,0)),"Check number",IF(INDEX(Invoices!$M$6:$M$305,MATCH(P1564,Invoices!$B$6:$B$305,0))="Paid","Paid",IF(INDEX(Invoices!$M$6:$M$305,MATCH(P1564,Invoices!$B$6:$B$305,0))="Draft","Draft","Invoiced")))))))</f>
        <v/>
      </c>
      <c r="R1564" s="1">
        <f>IF(AND(B1564&lt;&gt;"",P1564&lt;&gt;"",P1564=Invoice!$G$4),B1564+MOD(N(F1564),1)+ROW()/10000000,"")</f>
        <v/>
      </c>
      <c r="S1564">
        <f>IF(R1564="","",IF(D1564="","Other work",D1564)&amp;IF(AND(K1564&lt;&gt;"",E1564&lt;&gt;""),", "&amp;E1564,""))</f>
        <v/>
      </c>
      <c r="T1564">
        <f>IF(R1564="","",IF(COUNTIFS(R$6:R1563,"&gt;0",S$6:S1563,S1564,N$6:N1563,N1564)=0,R1564,""))</f>
        <v/>
      </c>
      <c r="U1564">
        <f>IF(B1564="","",IF(J1564&lt;&gt;"",0,M1564))</f>
        <v/>
      </c>
    </row>
    <row r="1565">
      <c r="A1565" s="1" t="n"/>
      <c r="B1565" s="16" t="n"/>
      <c r="C1565" s="17" t="n"/>
      <c r="D1565" s="18" t="n"/>
      <c r="E1565" s="18" t="n"/>
      <c r="F1565" s="19" t="n"/>
      <c r="G1565" s="19" t="n"/>
      <c r="H1565" s="20" t="n"/>
      <c r="I1565" s="21" t="n"/>
      <c r="J1565" s="22" t="n"/>
      <c r="K1565" s="23" t="n"/>
      <c r="L1565" s="18" t="n"/>
      <c r="M1565" s="24">
        <f>IF(B1565="","",IF(AND(F1565&lt;&gt;"",G1565&lt;&gt;""),MAX(0,ROUND(MOD(G1565-F1565,1)*24-N(H1565)/60,2)),N(I1565)))</f>
        <v/>
      </c>
      <c r="N1565" s="14">
        <f>IF(B1565="","",IF(K1565&lt;&gt;"",K1565,IF(N(IFERROR(INDEX(Projects!$D$6:$D$65,MATCH(D1565,Projects!$B$6:$B$65,0)),""))&gt;0,IFERROR(INDEX(Projects!$D$6:$D$65,MATCH(D1565,Projects!$B$6:$B$65,0)),""),IFERROR(INDEX(Clients!$G$6:$G$45,MATCH(C1565,Clients!$B$6:$B$45,0)),0))))</f>
        <v/>
      </c>
      <c r="O1565" s="14">
        <f>IF(B1565="","",IF(J1565&lt;&gt;"",0,ROUND(M1565*N1565,2)))</f>
        <v/>
      </c>
      <c r="P1565" s="15">
        <f>IF(OR(B1565="",J1565&lt;&gt;""),"",IF(L1565&lt;&gt;"",L1565,IF(COUNTIFS(Invoices!$C$6:$C$305,C1565,Invoices!$E$6:$E$305,"&lt;="&amp;B1565,Invoices!$F$6:$F$305,"&gt;="&amp;B1565)=1,INDEX(Invoices!$B$6:$B$305,SUMIFS(Invoices!$O$6:$O$305,Invoices!$C$6:$C$305,C1565,Invoices!$E$6:$E$305,"&lt;="&amp;B1565,Invoices!$F$6:$F$305,"&gt;="&amp;B1565)),IF(COUNTIFS(Invoices!$C$6:$C$305,C1565,Invoices!$E$6:$E$305,"&lt;="&amp;B1565,Invoices!$F$6:$F$305,"&gt;="&amp;B1565)&gt;1,"Two invoices",""))))</f>
        <v/>
      </c>
      <c r="Q1565" s="15">
        <f>IF(B1565="","",IF(J1565&lt;&gt;"","Not billable",IF(P1565="","To invoice",IF(P1565="Two invoices","Check dates",IF(ISNA(MATCH(P1565,Invoices!$B$6:$B$305,0)),"Check number",IF(INDEX(Invoices!$M$6:$M$305,MATCH(P1565,Invoices!$B$6:$B$305,0))="Paid","Paid",IF(INDEX(Invoices!$M$6:$M$305,MATCH(P1565,Invoices!$B$6:$B$305,0))="Draft","Draft","Invoiced")))))))</f>
        <v/>
      </c>
      <c r="R1565" s="1">
        <f>IF(AND(B1565&lt;&gt;"",P1565&lt;&gt;"",P1565=Invoice!$G$4),B1565+MOD(N(F1565),1)+ROW()/10000000,"")</f>
        <v/>
      </c>
      <c r="S1565">
        <f>IF(R1565="","",IF(D1565="","Other work",D1565)&amp;IF(AND(K1565&lt;&gt;"",E1565&lt;&gt;""),", "&amp;E1565,""))</f>
        <v/>
      </c>
      <c r="T1565">
        <f>IF(R1565="","",IF(COUNTIFS(R$6:R1564,"&gt;0",S$6:S1564,S1565,N$6:N1564,N1565)=0,R1565,""))</f>
        <v/>
      </c>
      <c r="U1565">
        <f>IF(B1565="","",IF(J1565&lt;&gt;"",0,M1565))</f>
        <v/>
      </c>
    </row>
    <row r="1566">
      <c r="A1566" s="1" t="n"/>
      <c r="B1566" s="16" t="n"/>
      <c r="C1566" s="17" t="n"/>
      <c r="D1566" s="18" t="n"/>
      <c r="E1566" s="18" t="n"/>
      <c r="F1566" s="19" t="n"/>
      <c r="G1566" s="19" t="n"/>
      <c r="H1566" s="20" t="n"/>
      <c r="I1566" s="21" t="n"/>
      <c r="J1566" s="22" t="n"/>
      <c r="K1566" s="23" t="n"/>
      <c r="L1566" s="18" t="n"/>
      <c r="M1566" s="24">
        <f>IF(B1566="","",IF(AND(F1566&lt;&gt;"",G1566&lt;&gt;""),MAX(0,ROUND(MOD(G1566-F1566,1)*24-N(H1566)/60,2)),N(I1566)))</f>
        <v/>
      </c>
      <c r="N1566" s="14">
        <f>IF(B1566="","",IF(K1566&lt;&gt;"",K1566,IF(N(IFERROR(INDEX(Projects!$D$6:$D$65,MATCH(D1566,Projects!$B$6:$B$65,0)),""))&gt;0,IFERROR(INDEX(Projects!$D$6:$D$65,MATCH(D1566,Projects!$B$6:$B$65,0)),""),IFERROR(INDEX(Clients!$G$6:$G$45,MATCH(C1566,Clients!$B$6:$B$45,0)),0))))</f>
        <v/>
      </c>
      <c r="O1566" s="14">
        <f>IF(B1566="","",IF(J1566&lt;&gt;"",0,ROUND(M1566*N1566,2)))</f>
        <v/>
      </c>
      <c r="P1566" s="15">
        <f>IF(OR(B1566="",J1566&lt;&gt;""),"",IF(L1566&lt;&gt;"",L1566,IF(COUNTIFS(Invoices!$C$6:$C$305,C1566,Invoices!$E$6:$E$305,"&lt;="&amp;B1566,Invoices!$F$6:$F$305,"&gt;="&amp;B1566)=1,INDEX(Invoices!$B$6:$B$305,SUMIFS(Invoices!$O$6:$O$305,Invoices!$C$6:$C$305,C1566,Invoices!$E$6:$E$305,"&lt;="&amp;B1566,Invoices!$F$6:$F$305,"&gt;="&amp;B1566)),IF(COUNTIFS(Invoices!$C$6:$C$305,C1566,Invoices!$E$6:$E$305,"&lt;="&amp;B1566,Invoices!$F$6:$F$305,"&gt;="&amp;B1566)&gt;1,"Two invoices",""))))</f>
        <v/>
      </c>
      <c r="Q1566" s="15">
        <f>IF(B1566="","",IF(J1566&lt;&gt;"","Not billable",IF(P1566="","To invoice",IF(P1566="Two invoices","Check dates",IF(ISNA(MATCH(P1566,Invoices!$B$6:$B$305,0)),"Check number",IF(INDEX(Invoices!$M$6:$M$305,MATCH(P1566,Invoices!$B$6:$B$305,0))="Paid","Paid",IF(INDEX(Invoices!$M$6:$M$305,MATCH(P1566,Invoices!$B$6:$B$305,0))="Draft","Draft","Invoiced")))))))</f>
        <v/>
      </c>
      <c r="R1566" s="1">
        <f>IF(AND(B1566&lt;&gt;"",P1566&lt;&gt;"",P1566=Invoice!$G$4),B1566+MOD(N(F1566),1)+ROW()/10000000,"")</f>
        <v/>
      </c>
      <c r="S1566">
        <f>IF(R1566="","",IF(D1566="","Other work",D1566)&amp;IF(AND(K1566&lt;&gt;"",E1566&lt;&gt;""),", "&amp;E1566,""))</f>
        <v/>
      </c>
      <c r="T1566">
        <f>IF(R1566="","",IF(COUNTIFS(R$6:R1565,"&gt;0",S$6:S1565,S1566,N$6:N1565,N1566)=0,R1566,""))</f>
        <v/>
      </c>
      <c r="U1566">
        <f>IF(B1566="","",IF(J1566&lt;&gt;"",0,M1566))</f>
        <v/>
      </c>
    </row>
    <row r="1567">
      <c r="A1567" s="1" t="n"/>
      <c r="B1567" s="16" t="n"/>
      <c r="C1567" s="17" t="n"/>
      <c r="D1567" s="18" t="n"/>
      <c r="E1567" s="18" t="n"/>
      <c r="F1567" s="19" t="n"/>
      <c r="G1567" s="19" t="n"/>
      <c r="H1567" s="20" t="n"/>
      <c r="I1567" s="21" t="n"/>
      <c r="J1567" s="22" t="n"/>
      <c r="K1567" s="23" t="n"/>
      <c r="L1567" s="18" t="n"/>
      <c r="M1567" s="24">
        <f>IF(B1567="","",IF(AND(F1567&lt;&gt;"",G1567&lt;&gt;""),MAX(0,ROUND(MOD(G1567-F1567,1)*24-N(H1567)/60,2)),N(I1567)))</f>
        <v/>
      </c>
      <c r="N1567" s="14">
        <f>IF(B1567="","",IF(K1567&lt;&gt;"",K1567,IF(N(IFERROR(INDEX(Projects!$D$6:$D$65,MATCH(D1567,Projects!$B$6:$B$65,0)),""))&gt;0,IFERROR(INDEX(Projects!$D$6:$D$65,MATCH(D1567,Projects!$B$6:$B$65,0)),""),IFERROR(INDEX(Clients!$G$6:$G$45,MATCH(C1567,Clients!$B$6:$B$45,0)),0))))</f>
        <v/>
      </c>
      <c r="O1567" s="14">
        <f>IF(B1567="","",IF(J1567&lt;&gt;"",0,ROUND(M1567*N1567,2)))</f>
        <v/>
      </c>
      <c r="P1567" s="15">
        <f>IF(OR(B1567="",J1567&lt;&gt;""),"",IF(L1567&lt;&gt;"",L1567,IF(COUNTIFS(Invoices!$C$6:$C$305,C1567,Invoices!$E$6:$E$305,"&lt;="&amp;B1567,Invoices!$F$6:$F$305,"&gt;="&amp;B1567)=1,INDEX(Invoices!$B$6:$B$305,SUMIFS(Invoices!$O$6:$O$305,Invoices!$C$6:$C$305,C1567,Invoices!$E$6:$E$305,"&lt;="&amp;B1567,Invoices!$F$6:$F$305,"&gt;="&amp;B1567)),IF(COUNTIFS(Invoices!$C$6:$C$305,C1567,Invoices!$E$6:$E$305,"&lt;="&amp;B1567,Invoices!$F$6:$F$305,"&gt;="&amp;B1567)&gt;1,"Two invoices",""))))</f>
        <v/>
      </c>
      <c r="Q1567" s="15">
        <f>IF(B1567="","",IF(J1567&lt;&gt;"","Not billable",IF(P1567="","To invoice",IF(P1567="Two invoices","Check dates",IF(ISNA(MATCH(P1567,Invoices!$B$6:$B$305,0)),"Check number",IF(INDEX(Invoices!$M$6:$M$305,MATCH(P1567,Invoices!$B$6:$B$305,0))="Paid","Paid",IF(INDEX(Invoices!$M$6:$M$305,MATCH(P1567,Invoices!$B$6:$B$305,0))="Draft","Draft","Invoiced")))))))</f>
        <v/>
      </c>
      <c r="R1567" s="1">
        <f>IF(AND(B1567&lt;&gt;"",P1567&lt;&gt;"",P1567=Invoice!$G$4),B1567+MOD(N(F1567),1)+ROW()/10000000,"")</f>
        <v/>
      </c>
      <c r="S1567">
        <f>IF(R1567="","",IF(D1567="","Other work",D1567)&amp;IF(AND(K1567&lt;&gt;"",E1567&lt;&gt;""),", "&amp;E1567,""))</f>
        <v/>
      </c>
      <c r="T1567">
        <f>IF(R1567="","",IF(COUNTIFS(R$6:R1566,"&gt;0",S$6:S1566,S1567,N$6:N1566,N1567)=0,R1567,""))</f>
        <v/>
      </c>
      <c r="U1567">
        <f>IF(B1567="","",IF(J1567&lt;&gt;"",0,M1567))</f>
        <v/>
      </c>
    </row>
    <row r="1568">
      <c r="A1568" s="1" t="n"/>
      <c r="B1568" s="16" t="n"/>
      <c r="C1568" s="17" t="n"/>
      <c r="D1568" s="18" t="n"/>
      <c r="E1568" s="18" t="n"/>
      <c r="F1568" s="19" t="n"/>
      <c r="G1568" s="19" t="n"/>
      <c r="H1568" s="20" t="n"/>
      <c r="I1568" s="21" t="n"/>
      <c r="J1568" s="22" t="n"/>
      <c r="K1568" s="23" t="n"/>
      <c r="L1568" s="18" t="n"/>
      <c r="M1568" s="24">
        <f>IF(B1568="","",IF(AND(F1568&lt;&gt;"",G1568&lt;&gt;""),MAX(0,ROUND(MOD(G1568-F1568,1)*24-N(H1568)/60,2)),N(I1568)))</f>
        <v/>
      </c>
      <c r="N1568" s="14">
        <f>IF(B1568="","",IF(K1568&lt;&gt;"",K1568,IF(N(IFERROR(INDEX(Projects!$D$6:$D$65,MATCH(D1568,Projects!$B$6:$B$65,0)),""))&gt;0,IFERROR(INDEX(Projects!$D$6:$D$65,MATCH(D1568,Projects!$B$6:$B$65,0)),""),IFERROR(INDEX(Clients!$G$6:$G$45,MATCH(C1568,Clients!$B$6:$B$45,0)),0))))</f>
        <v/>
      </c>
      <c r="O1568" s="14">
        <f>IF(B1568="","",IF(J1568&lt;&gt;"",0,ROUND(M1568*N1568,2)))</f>
        <v/>
      </c>
      <c r="P1568" s="15">
        <f>IF(OR(B1568="",J1568&lt;&gt;""),"",IF(L1568&lt;&gt;"",L1568,IF(COUNTIFS(Invoices!$C$6:$C$305,C1568,Invoices!$E$6:$E$305,"&lt;="&amp;B1568,Invoices!$F$6:$F$305,"&gt;="&amp;B1568)=1,INDEX(Invoices!$B$6:$B$305,SUMIFS(Invoices!$O$6:$O$305,Invoices!$C$6:$C$305,C1568,Invoices!$E$6:$E$305,"&lt;="&amp;B1568,Invoices!$F$6:$F$305,"&gt;="&amp;B1568)),IF(COUNTIFS(Invoices!$C$6:$C$305,C1568,Invoices!$E$6:$E$305,"&lt;="&amp;B1568,Invoices!$F$6:$F$305,"&gt;="&amp;B1568)&gt;1,"Two invoices",""))))</f>
        <v/>
      </c>
      <c r="Q1568" s="15">
        <f>IF(B1568="","",IF(J1568&lt;&gt;"","Not billable",IF(P1568="","To invoice",IF(P1568="Two invoices","Check dates",IF(ISNA(MATCH(P1568,Invoices!$B$6:$B$305,0)),"Check number",IF(INDEX(Invoices!$M$6:$M$305,MATCH(P1568,Invoices!$B$6:$B$305,0))="Paid","Paid",IF(INDEX(Invoices!$M$6:$M$305,MATCH(P1568,Invoices!$B$6:$B$305,0))="Draft","Draft","Invoiced")))))))</f>
        <v/>
      </c>
      <c r="R1568" s="1">
        <f>IF(AND(B1568&lt;&gt;"",P1568&lt;&gt;"",P1568=Invoice!$G$4),B1568+MOD(N(F1568),1)+ROW()/10000000,"")</f>
        <v/>
      </c>
      <c r="S1568">
        <f>IF(R1568="","",IF(D1568="","Other work",D1568)&amp;IF(AND(K1568&lt;&gt;"",E1568&lt;&gt;""),", "&amp;E1568,""))</f>
        <v/>
      </c>
      <c r="T1568">
        <f>IF(R1568="","",IF(COUNTIFS(R$6:R1567,"&gt;0",S$6:S1567,S1568,N$6:N1567,N1568)=0,R1568,""))</f>
        <v/>
      </c>
      <c r="U1568">
        <f>IF(B1568="","",IF(J1568&lt;&gt;"",0,M1568))</f>
        <v/>
      </c>
    </row>
    <row r="1569">
      <c r="A1569" s="1" t="n"/>
      <c r="B1569" s="16" t="n"/>
      <c r="C1569" s="17" t="n"/>
      <c r="D1569" s="18" t="n"/>
      <c r="E1569" s="18" t="n"/>
      <c r="F1569" s="19" t="n"/>
      <c r="G1569" s="19" t="n"/>
      <c r="H1569" s="20" t="n"/>
      <c r="I1569" s="21" t="n"/>
      <c r="J1569" s="22" t="n"/>
      <c r="K1569" s="23" t="n"/>
      <c r="L1569" s="18" t="n"/>
      <c r="M1569" s="24">
        <f>IF(B1569="","",IF(AND(F1569&lt;&gt;"",G1569&lt;&gt;""),MAX(0,ROUND(MOD(G1569-F1569,1)*24-N(H1569)/60,2)),N(I1569)))</f>
        <v/>
      </c>
      <c r="N1569" s="14">
        <f>IF(B1569="","",IF(K1569&lt;&gt;"",K1569,IF(N(IFERROR(INDEX(Projects!$D$6:$D$65,MATCH(D1569,Projects!$B$6:$B$65,0)),""))&gt;0,IFERROR(INDEX(Projects!$D$6:$D$65,MATCH(D1569,Projects!$B$6:$B$65,0)),""),IFERROR(INDEX(Clients!$G$6:$G$45,MATCH(C1569,Clients!$B$6:$B$45,0)),0))))</f>
        <v/>
      </c>
      <c r="O1569" s="14">
        <f>IF(B1569="","",IF(J1569&lt;&gt;"",0,ROUND(M1569*N1569,2)))</f>
        <v/>
      </c>
      <c r="P1569" s="15">
        <f>IF(OR(B1569="",J1569&lt;&gt;""),"",IF(L1569&lt;&gt;"",L1569,IF(COUNTIFS(Invoices!$C$6:$C$305,C1569,Invoices!$E$6:$E$305,"&lt;="&amp;B1569,Invoices!$F$6:$F$305,"&gt;="&amp;B1569)=1,INDEX(Invoices!$B$6:$B$305,SUMIFS(Invoices!$O$6:$O$305,Invoices!$C$6:$C$305,C1569,Invoices!$E$6:$E$305,"&lt;="&amp;B1569,Invoices!$F$6:$F$305,"&gt;="&amp;B1569)),IF(COUNTIFS(Invoices!$C$6:$C$305,C1569,Invoices!$E$6:$E$305,"&lt;="&amp;B1569,Invoices!$F$6:$F$305,"&gt;="&amp;B1569)&gt;1,"Two invoices",""))))</f>
        <v/>
      </c>
      <c r="Q1569" s="15">
        <f>IF(B1569="","",IF(J1569&lt;&gt;"","Not billable",IF(P1569="","To invoice",IF(P1569="Two invoices","Check dates",IF(ISNA(MATCH(P1569,Invoices!$B$6:$B$305,0)),"Check number",IF(INDEX(Invoices!$M$6:$M$305,MATCH(P1569,Invoices!$B$6:$B$305,0))="Paid","Paid",IF(INDEX(Invoices!$M$6:$M$305,MATCH(P1569,Invoices!$B$6:$B$305,0))="Draft","Draft","Invoiced")))))))</f>
        <v/>
      </c>
      <c r="R1569" s="1">
        <f>IF(AND(B1569&lt;&gt;"",P1569&lt;&gt;"",P1569=Invoice!$G$4),B1569+MOD(N(F1569),1)+ROW()/10000000,"")</f>
        <v/>
      </c>
      <c r="S1569">
        <f>IF(R1569="","",IF(D1569="","Other work",D1569)&amp;IF(AND(K1569&lt;&gt;"",E1569&lt;&gt;""),", "&amp;E1569,""))</f>
        <v/>
      </c>
      <c r="T1569">
        <f>IF(R1569="","",IF(COUNTIFS(R$6:R1568,"&gt;0",S$6:S1568,S1569,N$6:N1568,N1569)=0,R1569,""))</f>
        <v/>
      </c>
      <c r="U1569">
        <f>IF(B1569="","",IF(J1569&lt;&gt;"",0,M1569))</f>
        <v/>
      </c>
    </row>
    <row r="1570">
      <c r="A1570" s="1" t="n"/>
      <c r="B1570" s="16" t="n"/>
      <c r="C1570" s="17" t="n"/>
      <c r="D1570" s="18" t="n"/>
      <c r="E1570" s="18" t="n"/>
      <c r="F1570" s="19" t="n"/>
      <c r="G1570" s="19" t="n"/>
      <c r="H1570" s="20" t="n"/>
      <c r="I1570" s="21" t="n"/>
      <c r="J1570" s="22" t="n"/>
      <c r="K1570" s="23" t="n"/>
      <c r="L1570" s="18" t="n"/>
      <c r="M1570" s="24">
        <f>IF(B1570="","",IF(AND(F1570&lt;&gt;"",G1570&lt;&gt;""),MAX(0,ROUND(MOD(G1570-F1570,1)*24-N(H1570)/60,2)),N(I1570)))</f>
        <v/>
      </c>
      <c r="N1570" s="14">
        <f>IF(B1570="","",IF(K1570&lt;&gt;"",K1570,IF(N(IFERROR(INDEX(Projects!$D$6:$D$65,MATCH(D1570,Projects!$B$6:$B$65,0)),""))&gt;0,IFERROR(INDEX(Projects!$D$6:$D$65,MATCH(D1570,Projects!$B$6:$B$65,0)),""),IFERROR(INDEX(Clients!$G$6:$G$45,MATCH(C1570,Clients!$B$6:$B$45,0)),0))))</f>
        <v/>
      </c>
      <c r="O1570" s="14">
        <f>IF(B1570="","",IF(J1570&lt;&gt;"",0,ROUND(M1570*N1570,2)))</f>
        <v/>
      </c>
      <c r="P1570" s="15">
        <f>IF(OR(B1570="",J1570&lt;&gt;""),"",IF(L1570&lt;&gt;"",L1570,IF(COUNTIFS(Invoices!$C$6:$C$305,C1570,Invoices!$E$6:$E$305,"&lt;="&amp;B1570,Invoices!$F$6:$F$305,"&gt;="&amp;B1570)=1,INDEX(Invoices!$B$6:$B$305,SUMIFS(Invoices!$O$6:$O$305,Invoices!$C$6:$C$305,C1570,Invoices!$E$6:$E$305,"&lt;="&amp;B1570,Invoices!$F$6:$F$305,"&gt;="&amp;B1570)),IF(COUNTIFS(Invoices!$C$6:$C$305,C1570,Invoices!$E$6:$E$305,"&lt;="&amp;B1570,Invoices!$F$6:$F$305,"&gt;="&amp;B1570)&gt;1,"Two invoices",""))))</f>
        <v/>
      </c>
      <c r="Q1570" s="15">
        <f>IF(B1570="","",IF(J1570&lt;&gt;"","Not billable",IF(P1570="","To invoice",IF(P1570="Two invoices","Check dates",IF(ISNA(MATCH(P1570,Invoices!$B$6:$B$305,0)),"Check number",IF(INDEX(Invoices!$M$6:$M$305,MATCH(P1570,Invoices!$B$6:$B$305,0))="Paid","Paid",IF(INDEX(Invoices!$M$6:$M$305,MATCH(P1570,Invoices!$B$6:$B$305,0))="Draft","Draft","Invoiced")))))))</f>
        <v/>
      </c>
      <c r="R1570" s="1">
        <f>IF(AND(B1570&lt;&gt;"",P1570&lt;&gt;"",P1570=Invoice!$G$4),B1570+MOD(N(F1570),1)+ROW()/10000000,"")</f>
        <v/>
      </c>
      <c r="S1570">
        <f>IF(R1570="","",IF(D1570="","Other work",D1570)&amp;IF(AND(K1570&lt;&gt;"",E1570&lt;&gt;""),", "&amp;E1570,""))</f>
        <v/>
      </c>
      <c r="T1570">
        <f>IF(R1570="","",IF(COUNTIFS(R$6:R1569,"&gt;0",S$6:S1569,S1570,N$6:N1569,N1570)=0,R1570,""))</f>
        <v/>
      </c>
      <c r="U1570">
        <f>IF(B1570="","",IF(J1570&lt;&gt;"",0,M1570))</f>
        <v/>
      </c>
    </row>
    <row r="1571">
      <c r="A1571" s="1" t="n"/>
      <c r="B1571" s="16" t="n"/>
      <c r="C1571" s="17" t="n"/>
      <c r="D1571" s="18" t="n"/>
      <c r="E1571" s="18" t="n"/>
      <c r="F1571" s="19" t="n"/>
      <c r="G1571" s="19" t="n"/>
      <c r="H1571" s="20" t="n"/>
      <c r="I1571" s="21" t="n"/>
      <c r="J1571" s="22" t="n"/>
      <c r="K1571" s="23" t="n"/>
      <c r="L1571" s="18" t="n"/>
      <c r="M1571" s="24">
        <f>IF(B1571="","",IF(AND(F1571&lt;&gt;"",G1571&lt;&gt;""),MAX(0,ROUND(MOD(G1571-F1571,1)*24-N(H1571)/60,2)),N(I1571)))</f>
        <v/>
      </c>
      <c r="N1571" s="14">
        <f>IF(B1571="","",IF(K1571&lt;&gt;"",K1571,IF(N(IFERROR(INDEX(Projects!$D$6:$D$65,MATCH(D1571,Projects!$B$6:$B$65,0)),""))&gt;0,IFERROR(INDEX(Projects!$D$6:$D$65,MATCH(D1571,Projects!$B$6:$B$65,0)),""),IFERROR(INDEX(Clients!$G$6:$G$45,MATCH(C1571,Clients!$B$6:$B$45,0)),0))))</f>
        <v/>
      </c>
      <c r="O1571" s="14">
        <f>IF(B1571="","",IF(J1571&lt;&gt;"",0,ROUND(M1571*N1571,2)))</f>
        <v/>
      </c>
      <c r="P1571" s="15">
        <f>IF(OR(B1571="",J1571&lt;&gt;""),"",IF(L1571&lt;&gt;"",L1571,IF(COUNTIFS(Invoices!$C$6:$C$305,C1571,Invoices!$E$6:$E$305,"&lt;="&amp;B1571,Invoices!$F$6:$F$305,"&gt;="&amp;B1571)=1,INDEX(Invoices!$B$6:$B$305,SUMIFS(Invoices!$O$6:$O$305,Invoices!$C$6:$C$305,C1571,Invoices!$E$6:$E$305,"&lt;="&amp;B1571,Invoices!$F$6:$F$305,"&gt;="&amp;B1571)),IF(COUNTIFS(Invoices!$C$6:$C$305,C1571,Invoices!$E$6:$E$305,"&lt;="&amp;B1571,Invoices!$F$6:$F$305,"&gt;="&amp;B1571)&gt;1,"Two invoices",""))))</f>
        <v/>
      </c>
      <c r="Q1571" s="15">
        <f>IF(B1571="","",IF(J1571&lt;&gt;"","Not billable",IF(P1571="","To invoice",IF(P1571="Two invoices","Check dates",IF(ISNA(MATCH(P1571,Invoices!$B$6:$B$305,0)),"Check number",IF(INDEX(Invoices!$M$6:$M$305,MATCH(P1571,Invoices!$B$6:$B$305,0))="Paid","Paid",IF(INDEX(Invoices!$M$6:$M$305,MATCH(P1571,Invoices!$B$6:$B$305,0))="Draft","Draft","Invoiced")))))))</f>
        <v/>
      </c>
      <c r="R1571" s="1">
        <f>IF(AND(B1571&lt;&gt;"",P1571&lt;&gt;"",P1571=Invoice!$G$4),B1571+MOD(N(F1571),1)+ROW()/10000000,"")</f>
        <v/>
      </c>
      <c r="S1571">
        <f>IF(R1571="","",IF(D1571="","Other work",D1571)&amp;IF(AND(K1571&lt;&gt;"",E1571&lt;&gt;""),", "&amp;E1571,""))</f>
        <v/>
      </c>
      <c r="T1571">
        <f>IF(R1571="","",IF(COUNTIFS(R$6:R1570,"&gt;0",S$6:S1570,S1571,N$6:N1570,N1571)=0,R1571,""))</f>
        <v/>
      </c>
      <c r="U1571">
        <f>IF(B1571="","",IF(J1571&lt;&gt;"",0,M1571))</f>
        <v/>
      </c>
    </row>
    <row r="1572">
      <c r="A1572" s="1" t="n"/>
      <c r="B1572" s="16" t="n"/>
      <c r="C1572" s="17" t="n"/>
      <c r="D1572" s="18" t="n"/>
      <c r="E1572" s="18" t="n"/>
      <c r="F1572" s="19" t="n"/>
      <c r="G1572" s="19" t="n"/>
      <c r="H1572" s="20" t="n"/>
      <c r="I1572" s="21" t="n"/>
      <c r="J1572" s="22" t="n"/>
      <c r="K1572" s="23" t="n"/>
      <c r="L1572" s="18" t="n"/>
      <c r="M1572" s="24">
        <f>IF(B1572="","",IF(AND(F1572&lt;&gt;"",G1572&lt;&gt;""),MAX(0,ROUND(MOD(G1572-F1572,1)*24-N(H1572)/60,2)),N(I1572)))</f>
        <v/>
      </c>
      <c r="N1572" s="14">
        <f>IF(B1572="","",IF(K1572&lt;&gt;"",K1572,IF(N(IFERROR(INDEX(Projects!$D$6:$D$65,MATCH(D1572,Projects!$B$6:$B$65,0)),""))&gt;0,IFERROR(INDEX(Projects!$D$6:$D$65,MATCH(D1572,Projects!$B$6:$B$65,0)),""),IFERROR(INDEX(Clients!$G$6:$G$45,MATCH(C1572,Clients!$B$6:$B$45,0)),0))))</f>
        <v/>
      </c>
      <c r="O1572" s="14">
        <f>IF(B1572="","",IF(J1572&lt;&gt;"",0,ROUND(M1572*N1572,2)))</f>
        <v/>
      </c>
      <c r="P1572" s="15">
        <f>IF(OR(B1572="",J1572&lt;&gt;""),"",IF(L1572&lt;&gt;"",L1572,IF(COUNTIFS(Invoices!$C$6:$C$305,C1572,Invoices!$E$6:$E$305,"&lt;="&amp;B1572,Invoices!$F$6:$F$305,"&gt;="&amp;B1572)=1,INDEX(Invoices!$B$6:$B$305,SUMIFS(Invoices!$O$6:$O$305,Invoices!$C$6:$C$305,C1572,Invoices!$E$6:$E$305,"&lt;="&amp;B1572,Invoices!$F$6:$F$305,"&gt;="&amp;B1572)),IF(COUNTIFS(Invoices!$C$6:$C$305,C1572,Invoices!$E$6:$E$305,"&lt;="&amp;B1572,Invoices!$F$6:$F$305,"&gt;="&amp;B1572)&gt;1,"Two invoices",""))))</f>
        <v/>
      </c>
      <c r="Q1572" s="15">
        <f>IF(B1572="","",IF(J1572&lt;&gt;"","Not billable",IF(P1572="","To invoice",IF(P1572="Two invoices","Check dates",IF(ISNA(MATCH(P1572,Invoices!$B$6:$B$305,0)),"Check number",IF(INDEX(Invoices!$M$6:$M$305,MATCH(P1572,Invoices!$B$6:$B$305,0))="Paid","Paid",IF(INDEX(Invoices!$M$6:$M$305,MATCH(P1572,Invoices!$B$6:$B$305,0))="Draft","Draft","Invoiced")))))))</f>
        <v/>
      </c>
      <c r="R1572" s="1">
        <f>IF(AND(B1572&lt;&gt;"",P1572&lt;&gt;"",P1572=Invoice!$G$4),B1572+MOD(N(F1572),1)+ROW()/10000000,"")</f>
        <v/>
      </c>
      <c r="S1572">
        <f>IF(R1572="","",IF(D1572="","Other work",D1572)&amp;IF(AND(K1572&lt;&gt;"",E1572&lt;&gt;""),", "&amp;E1572,""))</f>
        <v/>
      </c>
      <c r="T1572">
        <f>IF(R1572="","",IF(COUNTIFS(R$6:R1571,"&gt;0",S$6:S1571,S1572,N$6:N1571,N1572)=0,R1572,""))</f>
        <v/>
      </c>
      <c r="U1572">
        <f>IF(B1572="","",IF(J1572&lt;&gt;"",0,M1572))</f>
        <v/>
      </c>
    </row>
    <row r="1573">
      <c r="A1573" s="1" t="n"/>
      <c r="B1573" s="16" t="n"/>
      <c r="C1573" s="17" t="n"/>
      <c r="D1573" s="18" t="n"/>
      <c r="E1573" s="18" t="n"/>
      <c r="F1573" s="19" t="n"/>
      <c r="G1573" s="19" t="n"/>
      <c r="H1573" s="20" t="n"/>
      <c r="I1573" s="21" t="n"/>
      <c r="J1573" s="22" t="n"/>
      <c r="K1573" s="23" t="n"/>
      <c r="L1573" s="18" t="n"/>
      <c r="M1573" s="24">
        <f>IF(B1573="","",IF(AND(F1573&lt;&gt;"",G1573&lt;&gt;""),MAX(0,ROUND(MOD(G1573-F1573,1)*24-N(H1573)/60,2)),N(I1573)))</f>
        <v/>
      </c>
      <c r="N1573" s="14">
        <f>IF(B1573="","",IF(K1573&lt;&gt;"",K1573,IF(N(IFERROR(INDEX(Projects!$D$6:$D$65,MATCH(D1573,Projects!$B$6:$B$65,0)),""))&gt;0,IFERROR(INDEX(Projects!$D$6:$D$65,MATCH(D1573,Projects!$B$6:$B$65,0)),""),IFERROR(INDEX(Clients!$G$6:$G$45,MATCH(C1573,Clients!$B$6:$B$45,0)),0))))</f>
        <v/>
      </c>
      <c r="O1573" s="14">
        <f>IF(B1573="","",IF(J1573&lt;&gt;"",0,ROUND(M1573*N1573,2)))</f>
        <v/>
      </c>
      <c r="P1573" s="15">
        <f>IF(OR(B1573="",J1573&lt;&gt;""),"",IF(L1573&lt;&gt;"",L1573,IF(COUNTIFS(Invoices!$C$6:$C$305,C1573,Invoices!$E$6:$E$305,"&lt;="&amp;B1573,Invoices!$F$6:$F$305,"&gt;="&amp;B1573)=1,INDEX(Invoices!$B$6:$B$305,SUMIFS(Invoices!$O$6:$O$305,Invoices!$C$6:$C$305,C1573,Invoices!$E$6:$E$305,"&lt;="&amp;B1573,Invoices!$F$6:$F$305,"&gt;="&amp;B1573)),IF(COUNTIFS(Invoices!$C$6:$C$305,C1573,Invoices!$E$6:$E$305,"&lt;="&amp;B1573,Invoices!$F$6:$F$305,"&gt;="&amp;B1573)&gt;1,"Two invoices",""))))</f>
        <v/>
      </c>
      <c r="Q1573" s="15">
        <f>IF(B1573="","",IF(J1573&lt;&gt;"","Not billable",IF(P1573="","To invoice",IF(P1573="Two invoices","Check dates",IF(ISNA(MATCH(P1573,Invoices!$B$6:$B$305,0)),"Check number",IF(INDEX(Invoices!$M$6:$M$305,MATCH(P1573,Invoices!$B$6:$B$305,0))="Paid","Paid",IF(INDEX(Invoices!$M$6:$M$305,MATCH(P1573,Invoices!$B$6:$B$305,0))="Draft","Draft","Invoiced")))))))</f>
        <v/>
      </c>
      <c r="R1573" s="1">
        <f>IF(AND(B1573&lt;&gt;"",P1573&lt;&gt;"",P1573=Invoice!$G$4),B1573+MOD(N(F1573),1)+ROW()/10000000,"")</f>
        <v/>
      </c>
      <c r="S1573">
        <f>IF(R1573="","",IF(D1573="","Other work",D1573)&amp;IF(AND(K1573&lt;&gt;"",E1573&lt;&gt;""),", "&amp;E1573,""))</f>
        <v/>
      </c>
      <c r="T1573">
        <f>IF(R1573="","",IF(COUNTIFS(R$6:R1572,"&gt;0",S$6:S1572,S1573,N$6:N1572,N1573)=0,R1573,""))</f>
        <v/>
      </c>
      <c r="U1573">
        <f>IF(B1573="","",IF(J1573&lt;&gt;"",0,M1573))</f>
        <v/>
      </c>
    </row>
    <row r="1574">
      <c r="A1574" s="1" t="n"/>
      <c r="B1574" s="16" t="n"/>
      <c r="C1574" s="17" t="n"/>
      <c r="D1574" s="18" t="n"/>
      <c r="E1574" s="18" t="n"/>
      <c r="F1574" s="19" t="n"/>
      <c r="G1574" s="19" t="n"/>
      <c r="H1574" s="20" t="n"/>
      <c r="I1574" s="21" t="n"/>
      <c r="J1574" s="22" t="n"/>
      <c r="K1574" s="23" t="n"/>
      <c r="L1574" s="18" t="n"/>
      <c r="M1574" s="24">
        <f>IF(B1574="","",IF(AND(F1574&lt;&gt;"",G1574&lt;&gt;""),MAX(0,ROUND(MOD(G1574-F1574,1)*24-N(H1574)/60,2)),N(I1574)))</f>
        <v/>
      </c>
      <c r="N1574" s="14">
        <f>IF(B1574="","",IF(K1574&lt;&gt;"",K1574,IF(N(IFERROR(INDEX(Projects!$D$6:$D$65,MATCH(D1574,Projects!$B$6:$B$65,0)),""))&gt;0,IFERROR(INDEX(Projects!$D$6:$D$65,MATCH(D1574,Projects!$B$6:$B$65,0)),""),IFERROR(INDEX(Clients!$G$6:$G$45,MATCH(C1574,Clients!$B$6:$B$45,0)),0))))</f>
        <v/>
      </c>
      <c r="O1574" s="14">
        <f>IF(B1574="","",IF(J1574&lt;&gt;"",0,ROUND(M1574*N1574,2)))</f>
        <v/>
      </c>
      <c r="P1574" s="15">
        <f>IF(OR(B1574="",J1574&lt;&gt;""),"",IF(L1574&lt;&gt;"",L1574,IF(COUNTIFS(Invoices!$C$6:$C$305,C1574,Invoices!$E$6:$E$305,"&lt;="&amp;B1574,Invoices!$F$6:$F$305,"&gt;="&amp;B1574)=1,INDEX(Invoices!$B$6:$B$305,SUMIFS(Invoices!$O$6:$O$305,Invoices!$C$6:$C$305,C1574,Invoices!$E$6:$E$305,"&lt;="&amp;B1574,Invoices!$F$6:$F$305,"&gt;="&amp;B1574)),IF(COUNTIFS(Invoices!$C$6:$C$305,C1574,Invoices!$E$6:$E$305,"&lt;="&amp;B1574,Invoices!$F$6:$F$305,"&gt;="&amp;B1574)&gt;1,"Two invoices",""))))</f>
        <v/>
      </c>
      <c r="Q1574" s="15">
        <f>IF(B1574="","",IF(J1574&lt;&gt;"","Not billable",IF(P1574="","To invoice",IF(P1574="Two invoices","Check dates",IF(ISNA(MATCH(P1574,Invoices!$B$6:$B$305,0)),"Check number",IF(INDEX(Invoices!$M$6:$M$305,MATCH(P1574,Invoices!$B$6:$B$305,0))="Paid","Paid",IF(INDEX(Invoices!$M$6:$M$305,MATCH(P1574,Invoices!$B$6:$B$305,0))="Draft","Draft","Invoiced")))))))</f>
        <v/>
      </c>
      <c r="R1574" s="1">
        <f>IF(AND(B1574&lt;&gt;"",P1574&lt;&gt;"",P1574=Invoice!$G$4),B1574+MOD(N(F1574),1)+ROW()/10000000,"")</f>
        <v/>
      </c>
      <c r="S1574">
        <f>IF(R1574="","",IF(D1574="","Other work",D1574)&amp;IF(AND(K1574&lt;&gt;"",E1574&lt;&gt;""),", "&amp;E1574,""))</f>
        <v/>
      </c>
      <c r="T1574">
        <f>IF(R1574="","",IF(COUNTIFS(R$6:R1573,"&gt;0",S$6:S1573,S1574,N$6:N1573,N1574)=0,R1574,""))</f>
        <v/>
      </c>
      <c r="U1574">
        <f>IF(B1574="","",IF(J1574&lt;&gt;"",0,M1574))</f>
        <v/>
      </c>
    </row>
    <row r="1575">
      <c r="A1575" s="1" t="n"/>
      <c r="B1575" s="16" t="n"/>
      <c r="C1575" s="17" t="n"/>
      <c r="D1575" s="18" t="n"/>
      <c r="E1575" s="18" t="n"/>
      <c r="F1575" s="19" t="n"/>
      <c r="G1575" s="19" t="n"/>
      <c r="H1575" s="20" t="n"/>
      <c r="I1575" s="21" t="n"/>
      <c r="J1575" s="22" t="n"/>
      <c r="K1575" s="23" t="n"/>
      <c r="L1575" s="18" t="n"/>
      <c r="M1575" s="24">
        <f>IF(B1575="","",IF(AND(F1575&lt;&gt;"",G1575&lt;&gt;""),MAX(0,ROUND(MOD(G1575-F1575,1)*24-N(H1575)/60,2)),N(I1575)))</f>
        <v/>
      </c>
      <c r="N1575" s="14">
        <f>IF(B1575="","",IF(K1575&lt;&gt;"",K1575,IF(N(IFERROR(INDEX(Projects!$D$6:$D$65,MATCH(D1575,Projects!$B$6:$B$65,0)),""))&gt;0,IFERROR(INDEX(Projects!$D$6:$D$65,MATCH(D1575,Projects!$B$6:$B$65,0)),""),IFERROR(INDEX(Clients!$G$6:$G$45,MATCH(C1575,Clients!$B$6:$B$45,0)),0))))</f>
        <v/>
      </c>
      <c r="O1575" s="14">
        <f>IF(B1575="","",IF(J1575&lt;&gt;"",0,ROUND(M1575*N1575,2)))</f>
        <v/>
      </c>
      <c r="P1575" s="15">
        <f>IF(OR(B1575="",J1575&lt;&gt;""),"",IF(L1575&lt;&gt;"",L1575,IF(COUNTIFS(Invoices!$C$6:$C$305,C1575,Invoices!$E$6:$E$305,"&lt;="&amp;B1575,Invoices!$F$6:$F$305,"&gt;="&amp;B1575)=1,INDEX(Invoices!$B$6:$B$305,SUMIFS(Invoices!$O$6:$O$305,Invoices!$C$6:$C$305,C1575,Invoices!$E$6:$E$305,"&lt;="&amp;B1575,Invoices!$F$6:$F$305,"&gt;="&amp;B1575)),IF(COUNTIFS(Invoices!$C$6:$C$305,C1575,Invoices!$E$6:$E$305,"&lt;="&amp;B1575,Invoices!$F$6:$F$305,"&gt;="&amp;B1575)&gt;1,"Two invoices",""))))</f>
        <v/>
      </c>
      <c r="Q1575" s="15">
        <f>IF(B1575="","",IF(J1575&lt;&gt;"","Not billable",IF(P1575="","To invoice",IF(P1575="Two invoices","Check dates",IF(ISNA(MATCH(P1575,Invoices!$B$6:$B$305,0)),"Check number",IF(INDEX(Invoices!$M$6:$M$305,MATCH(P1575,Invoices!$B$6:$B$305,0))="Paid","Paid",IF(INDEX(Invoices!$M$6:$M$305,MATCH(P1575,Invoices!$B$6:$B$305,0))="Draft","Draft","Invoiced")))))))</f>
        <v/>
      </c>
      <c r="R1575" s="1">
        <f>IF(AND(B1575&lt;&gt;"",P1575&lt;&gt;"",P1575=Invoice!$G$4),B1575+MOD(N(F1575),1)+ROW()/10000000,"")</f>
        <v/>
      </c>
      <c r="S1575">
        <f>IF(R1575="","",IF(D1575="","Other work",D1575)&amp;IF(AND(K1575&lt;&gt;"",E1575&lt;&gt;""),", "&amp;E1575,""))</f>
        <v/>
      </c>
      <c r="T1575">
        <f>IF(R1575="","",IF(COUNTIFS(R$6:R1574,"&gt;0",S$6:S1574,S1575,N$6:N1574,N1575)=0,R1575,""))</f>
        <v/>
      </c>
      <c r="U1575">
        <f>IF(B1575="","",IF(J1575&lt;&gt;"",0,M1575))</f>
        <v/>
      </c>
    </row>
    <row r="1576">
      <c r="A1576" s="1" t="n"/>
      <c r="B1576" s="16" t="n"/>
      <c r="C1576" s="17" t="n"/>
      <c r="D1576" s="18" t="n"/>
      <c r="E1576" s="18" t="n"/>
      <c r="F1576" s="19" t="n"/>
      <c r="G1576" s="19" t="n"/>
      <c r="H1576" s="20" t="n"/>
      <c r="I1576" s="21" t="n"/>
      <c r="J1576" s="22" t="n"/>
      <c r="K1576" s="23" t="n"/>
      <c r="L1576" s="18" t="n"/>
      <c r="M1576" s="24">
        <f>IF(B1576="","",IF(AND(F1576&lt;&gt;"",G1576&lt;&gt;""),MAX(0,ROUND(MOD(G1576-F1576,1)*24-N(H1576)/60,2)),N(I1576)))</f>
        <v/>
      </c>
      <c r="N1576" s="14">
        <f>IF(B1576="","",IF(K1576&lt;&gt;"",K1576,IF(N(IFERROR(INDEX(Projects!$D$6:$D$65,MATCH(D1576,Projects!$B$6:$B$65,0)),""))&gt;0,IFERROR(INDEX(Projects!$D$6:$D$65,MATCH(D1576,Projects!$B$6:$B$65,0)),""),IFERROR(INDEX(Clients!$G$6:$G$45,MATCH(C1576,Clients!$B$6:$B$45,0)),0))))</f>
        <v/>
      </c>
      <c r="O1576" s="14">
        <f>IF(B1576="","",IF(J1576&lt;&gt;"",0,ROUND(M1576*N1576,2)))</f>
        <v/>
      </c>
      <c r="P1576" s="15">
        <f>IF(OR(B1576="",J1576&lt;&gt;""),"",IF(L1576&lt;&gt;"",L1576,IF(COUNTIFS(Invoices!$C$6:$C$305,C1576,Invoices!$E$6:$E$305,"&lt;="&amp;B1576,Invoices!$F$6:$F$305,"&gt;="&amp;B1576)=1,INDEX(Invoices!$B$6:$B$305,SUMIFS(Invoices!$O$6:$O$305,Invoices!$C$6:$C$305,C1576,Invoices!$E$6:$E$305,"&lt;="&amp;B1576,Invoices!$F$6:$F$305,"&gt;="&amp;B1576)),IF(COUNTIFS(Invoices!$C$6:$C$305,C1576,Invoices!$E$6:$E$305,"&lt;="&amp;B1576,Invoices!$F$6:$F$305,"&gt;="&amp;B1576)&gt;1,"Two invoices",""))))</f>
        <v/>
      </c>
      <c r="Q1576" s="15">
        <f>IF(B1576="","",IF(J1576&lt;&gt;"","Not billable",IF(P1576="","To invoice",IF(P1576="Two invoices","Check dates",IF(ISNA(MATCH(P1576,Invoices!$B$6:$B$305,0)),"Check number",IF(INDEX(Invoices!$M$6:$M$305,MATCH(P1576,Invoices!$B$6:$B$305,0))="Paid","Paid",IF(INDEX(Invoices!$M$6:$M$305,MATCH(P1576,Invoices!$B$6:$B$305,0))="Draft","Draft","Invoiced")))))))</f>
        <v/>
      </c>
      <c r="R1576" s="1">
        <f>IF(AND(B1576&lt;&gt;"",P1576&lt;&gt;"",P1576=Invoice!$G$4),B1576+MOD(N(F1576),1)+ROW()/10000000,"")</f>
        <v/>
      </c>
      <c r="S1576">
        <f>IF(R1576="","",IF(D1576="","Other work",D1576)&amp;IF(AND(K1576&lt;&gt;"",E1576&lt;&gt;""),", "&amp;E1576,""))</f>
        <v/>
      </c>
      <c r="T1576">
        <f>IF(R1576="","",IF(COUNTIFS(R$6:R1575,"&gt;0",S$6:S1575,S1576,N$6:N1575,N1576)=0,R1576,""))</f>
        <v/>
      </c>
      <c r="U1576">
        <f>IF(B1576="","",IF(J1576&lt;&gt;"",0,M1576))</f>
        <v/>
      </c>
    </row>
    <row r="1577">
      <c r="A1577" s="1" t="n"/>
      <c r="B1577" s="16" t="n"/>
      <c r="C1577" s="17" t="n"/>
      <c r="D1577" s="18" t="n"/>
      <c r="E1577" s="18" t="n"/>
      <c r="F1577" s="19" t="n"/>
      <c r="G1577" s="19" t="n"/>
      <c r="H1577" s="20" t="n"/>
      <c r="I1577" s="21" t="n"/>
      <c r="J1577" s="22" t="n"/>
      <c r="K1577" s="23" t="n"/>
      <c r="L1577" s="18" t="n"/>
      <c r="M1577" s="24">
        <f>IF(B1577="","",IF(AND(F1577&lt;&gt;"",G1577&lt;&gt;""),MAX(0,ROUND(MOD(G1577-F1577,1)*24-N(H1577)/60,2)),N(I1577)))</f>
        <v/>
      </c>
      <c r="N1577" s="14">
        <f>IF(B1577="","",IF(K1577&lt;&gt;"",K1577,IF(N(IFERROR(INDEX(Projects!$D$6:$D$65,MATCH(D1577,Projects!$B$6:$B$65,0)),""))&gt;0,IFERROR(INDEX(Projects!$D$6:$D$65,MATCH(D1577,Projects!$B$6:$B$65,0)),""),IFERROR(INDEX(Clients!$G$6:$G$45,MATCH(C1577,Clients!$B$6:$B$45,0)),0))))</f>
        <v/>
      </c>
      <c r="O1577" s="14">
        <f>IF(B1577="","",IF(J1577&lt;&gt;"",0,ROUND(M1577*N1577,2)))</f>
        <v/>
      </c>
      <c r="P1577" s="15">
        <f>IF(OR(B1577="",J1577&lt;&gt;""),"",IF(L1577&lt;&gt;"",L1577,IF(COUNTIFS(Invoices!$C$6:$C$305,C1577,Invoices!$E$6:$E$305,"&lt;="&amp;B1577,Invoices!$F$6:$F$305,"&gt;="&amp;B1577)=1,INDEX(Invoices!$B$6:$B$305,SUMIFS(Invoices!$O$6:$O$305,Invoices!$C$6:$C$305,C1577,Invoices!$E$6:$E$305,"&lt;="&amp;B1577,Invoices!$F$6:$F$305,"&gt;="&amp;B1577)),IF(COUNTIFS(Invoices!$C$6:$C$305,C1577,Invoices!$E$6:$E$305,"&lt;="&amp;B1577,Invoices!$F$6:$F$305,"&gt;="&amp;B1577)&gt;1,"Two invoices",""))))</f>
        <v/>
      </c>
      <c r="Q1577" s="15">
        <f>IF(B1577="","",IF(J1577&lt;&gt;"","Not billable",IF(P1577="","To invoice",IF(P1577="Two invoices","Check dates",IF(ISNA(MATCH(P1577,Invoices!$B$6:$B$305,0)),"Check number",IF(INDEX(Invoices!$M$6:$M$305,MATCH(P1577,Invoices!$B$6:$B$305,0))="Paid","Paid",IF(INDEX(Invoices!$M$6:$M$305,MATCH(P1577,Invoices!$B$6:$B$305,0))="Draft","Draft","Invoiced")))))))</f>
        <v/>
      </c>
      <c r="R1577" s="1">
        <f>IF(AND(B1577&lt;&gt;"",P1577&lt;&gt;"",P1577=Invoice!$G$4),B1577+MOD(N(F1577),1)+ROW()/10000000,"")</f>
        <v/>
      </c>
      <c r="S1577">
        <f>IF(R1577="","",IF(D1577="","Other work",D1577)&amp;IF(AND(K1577&lt;&gt;"",E1577&lt;&gt;""),", "&amp;E1577,""))</f>
        <v/>
      </c>
      <c r="T1577">
        <f>IF(R1577="","",IF(COUNTIFS(R$6:R1576,"&gt;0",S$6:S1576,S1577,N$6:N1576,N1577)=0,R1577,""))</f>
        <v/>
      </c>
      <c r="U1577">
        <f>IF(B1577="","",IF(J1577&lt;&gt;"",0,M1577))</f>
        <v/>
      </c>
    </row>
    <row r="1578">
      <c r="A1578" s="1" t="n"/>
      <c r="B1578" s="16" t="n"/>
      <c r="C1578" s="17" t="n"/>
      <c r="D1578" s="18" t="n"/>
      <c r="E1578" s="18" t="n"/>
      <c r="F1578" s="19" t="n"/>
      <c r="G1578" s="19" t="n"/>
      <c r="H1578" s="20" t="n"/>
      <c r="I1578" s="21" t="n"/>
      <c r="J1578" s="22" t="n"/>
      <c r="K1578" s="23" t="n"/>
      <c r="L1578" s="18" t="n"/>
      <c r="M1578" s="24">
        <f>IF(B1578="","",IF(AND(F1578&lt;&gt;"",G1578&lt;&gt;""),MAX(0,ROUND(MOD(G1578-F1578,1)*24-N(H1578)/60,2)),N(I1578)))</f>
        <v/>
      </c>
      <c r="N1578" s="14">
        <f>IF(B1578="","",IF(K1578&lt;&gt;"",K1578,IF(N(IFERROR(INDEX(Projects!$D$6:$D$65,MATCH(D1578,Projects!$B$6:$B$65,0)),""))&gt;0,IFERROR(INDEX(Projects!$D$6:$D$65,MATCH(D1578,Projects!$B$6:$B$65,0)),""),IFERROR(INDEX(Clients!$G$6:$G$45,MATCH(C1578,Clients!$B$6:$B$45,0)),0))))</f>
        <v/>
      </c>
      <c r="O1578" s="14">
        <f>IF(B1578="","",IF(J1578&lt;&gt;"",0,ROUND(M1578*N1578,2)))</f>
        <v/>
      </c>
      <c r="P1578" s="15">
        <f>IF(OR(B1578="",J1578&lt;&gt;""),"",IF(L1578&lt;&gt;"",L1578,IF(COUNTIFS(Invoices!$C$6:$C$305,C1578,Invoices!$E$6:$E$305,"&lt;="&amp;B1578,Invoices!$F$6:$F$305,"&gt;="&amp;B1578)=1,INDEX(Invoices!$B$6:$B$305,SUMIFS(Invoices!$O$6:$O$305,Invoices!$C$6:$C$305,C1578,Invoices!$E$6:$E$305,"&lt;="&amp;B1578,Invoices!$F$6:$F$305,"&gt;="&amp;B1578)),IF(COUNTIFS(Invoices!$C$6:$C$305,C1578,Invoices!$E$6:$E$305,"&lt;="&amp;B1578,Invoices!$F$6:$F$305,"&gt;="&amp;B1578)&gt;1,"Two invoices",""))))</f>
        <v/>
      </c>
      <c r="Q1578" s="15">
        <f>IF(B1578="","",IF(J1578&lt;&gt;"","Not billable",IF(P1578="","To invoice",IF(P1578="Two invoices","Check dates",IF(ISNA(MATCH(P1578,Invoices!$B$6:$B$305,0)),"Check number",IF(INDEX(Invoices!$M$6:$M$305,MATCH(P1578,Invoices!$B$6:$B$305,0))="Paid","Paid",IF(INDEX(Invoices!$M$6:$M$305,MATCH(P1578,Invoices!$B$6:$B$305,0))="Draft","Draft","Invoiced")))))))</f>
        <v/>
      </c>
      <c r="R1578" s="1">
        <f>IF(AND(B1578&lt;&gt;"",P1578&lt;&gt;"",P1578=Invoice!$G$4),B1578+MOD(N(F1578),1)+ROW()/10000000,"")</f>
        <v/>
      </c>
      <c r="S1578">
        <f>IF(R1578="","",IF(D1578="","Other work",D1578)&amp;IF(AND(K1578&lt;&gt;"",E1578&lt;&gt;""),", "&amp;E1578,""))</f>
        <v/>
      </c>
      <c r="T1578">
        <f>IF(R1578="","",IF(COUNTIFS(R$6:R1577,"&gt;0",S$6:S1577,S1578,N$6:N1577,N1578)=0,R1578,""))</f>
        <v/>
      </c>
      <c r="U1578">
        <f>IF(B1578="","",IF(J1578&lt;&gt;"",0,M1578))</f>
        <v/>
      </c>
    </row>
    <row r="1579">
      <c r="A1579" s="1" t="n"/>
      <c r="B1579" s="16" t="n"/>
      <c r="C1579" s="17" t="n"/>
      <c r="D1579" s="18" t="n"/>
      <c r="E1579" s="18" t="n"/>
      <c r="F1579" s="19" t="n"/>
      <c r="G1579" s="19" t="n"/>
      <c r="H1579" s="20" t="n"/>
      <c r="I1579" s="21" t="n"/>
      <c r="J1579" s="22" t="n"/>
      <c r="K1579" s="23" t="n"/>
      <c r="L1579" s="18" t="n"/>
      <c r="M1579" s="24">
        <f>IF(B1579="","",IF(AND(F1579&lt;&gt;"",G1579&lt;&gt;""),MAX(0,ROUND(MOD(G1579-F1579,1)*24-N(H1579)/60,2)),N(I1579)))</f>
        <v/>
      </c>
      <c r="N1579" s="14">
        <f>IF(B1579="","",IF(K1579&lt;&gt;"",K1579,IF(N(IFERROR(INDEX(Projects!$D$6:$D$65,MATCH(D1579,Projects!$B$6:$B$65,0)),""))&gt;0,IFERROR(INDEX(Projects!$D$6:$D$65,MATCH(D1579,Projects!$B$6:$B$65,0)),""),IFERROR(INDEX(Clients!$G$6:$G$45,MATCH(C1579,Clients!$B$6:$B$45,0)),0))))</f>
        <v/>
      </c>
      <c r="O1579" s="14">
        <f>IF(B1579="","",IF(J1579&lt;&gt;"",0,ROUND(M1579*N1579,2)))</f>
        <v/>
      </c>
      <c r="P1579" s="15">
        <f>IF(OR(B1579="",J1579&lt;&gt;""),"",IF(L1579&lt;&gt;"",L1579,IF(COUNTIFS(Invoices!$C$6:$C$305,C1579,Invoices!$E$6:$E$305,"&lt;="&amp;B1579,Invoices!$F$6:$F$305,"&gt;="&amp;B1579)=1,INDEX(Invoices!$B$6:$B$305,SUMIFS(Invoices!$O$6:$O$305,Invoices!$C$6:$C$305,C1579,Invoices!$E$6:$E$305,"&lt;="&amp;B1579,Invoices!$F$6:$F$305,"&gt;="&amp;B1579)),IF(COUNTIFS(Invoices!$C$6:$C$305,C1579,Invoices!$E$6:$E$305,"&lt;="&amp;B1579,Invoices!$F$6:$F$305,"&gt;="&amp;B1579)&gt;1,"Two invoices",""))))</f>
        <v/>
      </c>
      <c r="Q1579" s="15">
        <f>IF(B1579="","",IF(J1579&lt;&gt;"","Not billable",IF(P1579="","To invoice",IF(P1579="Two invoices","Check dates",IF(ISNA(MATCH(P1579,Invoices!$B$6:$B$305,0)),"Check number",IF(INDEX(Invoices!$M$6:$M$305,MATCH(P1579,Invoices!$B$6:$B$305,0))="Paid","Paid",IF(INDEX(Invoices!$M$6:$M$305,MATCH(P1579,Invoices!$B$6:$B$305,0))="Draft","Draft","Invoiced")))))))</f>
        <v/>
      </c>
      <c r="R1579" s="1">
        <f>IF(AND(B1579&lt;&gt;"",P1579&lt;&gt;"",P1579=Invoice!$G$4),B1579+MOD(N(F1579),1)+ROW()/10000000,"")</f>
        <v/>
      </c>
      <c r="S1579">
        <f>IF(R1579="","",IF(D1579="","Other work",D1579)&amp;IF(AND(K1579&lt;&gt;"",E1579&lt;&gt;""),", "&amp;E1579,""))</f>
        <v/>
      </c>
      <c r="T1579">
        <f>IF(R1579="","",IF(COUNTIFS(R$6:R1578,"&gt;0",S$6:S1578,S1579,N$6:N1578,N1579)=0,R1579,""))</f>
        <v/>
      </c>
      <c r="U1579">
        <f>IF(B1579="","",IF(J1579&lt;&gt;"",0,M1579))</f>
        <v/>
      </c>
    </row>
    <row r="1580">
      <c r="A1580" s="1" t="n"/>
      <c r="B1580" s="16" t="n"/>
      <c r="C1580" s="17" t="n"/>
      <c r="D1580" s="18" t="n"/>
      <c r="E1580" s="18" t="n"/>
      <c r="F1580" s="19" t="n"/>
      <c r="G1580" s="19" t="n"/>
      <c r="H1580" s="20" t="n"/>
      <c r="I1580" s="21" t="n"/>
      <c r="J1580" s="22" t="n"/>
      <c r="K1580" s="23" t="n"/>
      <c r="L1580" s="18" t="n"/>
      <c r="M1580" s="24">
        <f>IF(B1580="","",IF(AND(F1580&lt;&gt;"",G1580&lt;&gt;""),MAX(0,ROUND(MOD(G1580-F1580,1)*24-N(H1580)/60,2)),N(I1580)))</f>
        <v/>
      </c>
      <c r="N1580" s="14">
        <f>IF(B1580="","",IF(K1580&lt;&gt;"",K1580,IF(N(IFERROR(INDEX(Projects!$D$6:$D$65,MATCH(D1580,Projects!$B$6:$B$65,0)),""))&gt;0,IFERROR(INDEX(Projects!$D$6:$D$65,MATCH(D1580,Projects!$B$6:$B$65,0)),""),IFERROR(INDEX(Clients!$G$6:$G$45,MATCH(C1580,Clients!$B$6:$B$45,0)),0))))</f>
        <v/>
      </c>
      <c r="O1580" s="14">
        <f>IF(B1580="","",IF(J1580&lt;&gt;"",0,ROUND(M1580*N1580,2)))</f>
        <v/>
      </c>
      <c r="P1580" s="15">
        <f>IF(OR(B1580="",J1580&lt;&gt;""),"",IF(L1580&lt;&gt;"",L1580,IF(COUNTIFS(Invoices!$C$6:$C$305,C1580,Invoices!$E$6:$E$305,"&lt;="&amp;B1580,Invoices!$F$6:$F$305,"&gt;="&amp;B1580)=1,INDEX(Invoices!$B$6:$B$305,SUMIFS(Invoices!$O$6:$O$305,Invoices!$C$6:$C$305,C1580,Invoices!$E$6:$E$305,"&lt;="&amp;B1580,Invoices!$F$6:$F$305,"&gt;="&amp;B1580)),IF(COUNTIFS(Invoices!$C$6:$C$305,C1580,Invoices!$E$6:$E$305,"&lt;="&amp;B1580,Invoices!$F$6:$F$305,"&gt;="&amp;B1580)&gt;1,"Two invoices",""))))</f>
        <v/>
      </c>
      <c r="Q1580" s="15">
        <f>IF(B1580="","",IF(J1580&lt;&gt;"","Not billable",IF(P1580="","To invoice",IF(P1580="Two invoices","Check dates",IF(ISNA(MATCH(P1580,Invoices!$B$6:$B$305,0)),"Check number",IF(INDEX(Invoices!$M$6:$M$305,MATCH(P1580,Invoices!$B$6:$B$305,0))="Paid","Paid",IF(INDEX(Invoices!$M$6:$M$305,MATCH(P1580,Invoices!$B$6:$B$305,0))="Draft","Draft","Invoiced")))))))</f>
        <v/>
      </c>
      <c r="R1580" s="1">
        <f>IF(AND(B1580&lt;&gt;"",P1580&lt;&gt;"",P1580=Invoice!$G$4),B1580+MOD(N(F1580),1)+ROW()/10000000,"")</f>
        <v/>
      </c>
      <c r="S1580">
        <f>IF(R1580="","",IF(D1580="","Other work",D1580)&amp;IF(AND(K1580&lt;&gt;"",E1580&lt;&gt;""),", "&amp;E1580,""))</f>
        <v/>
      </c>
      <c r="T1580">
        <f>IF(R1580="","",IF(COUNTIFS(R$6:R1579,"&gt;0",S$6:S1579,S1580,N$6:N1579,N1580)=0,R1580,""))</f>
        <v/>
      </c>
      <c r="U1580">
        <f>IF(B1580="","",IF(J1580&lt;&gt;"",0,M1580))</f>
        <v/>
      </c>
    </row>
    <row r="1581">
      <c r="A1581" s="1" t="n"/>
      <c r="B1581" s="16" t="n"/>
      <c r="C1581" s="17" t="n"/>
      <c r="D1581" s="18" t="n"/>
      <c r="E1581" s="18" t="n"/>
      <c r="F1581" s="19" t="n"/>
      <c r="G1581" s="19" t="n"/>
      <c r="H1581" s="20" t="n"/>
      <c r="I1581" s="21" t="n"/>
      <c r="J1581" s="22" t="n"/>
      <c r="K1581" s="23" t="n"/>
      <c r="L1581" s="18" t="n"/>
      <c r="M1581" s="24">
        <f>IF(B1581="","",IF(AND(F1581&lt;&gt;"",G1581&lt;&gt;""),MAX(0,ROUND(MOD(G1581-F1581,1)*24-N(H1581)/60,2)),N(I1581)))</f>
        <v/>
      </c>
      <c r="N1581" s="14">
        <f>IF(B1581="","",IF(K1581&lt;&gt;"",K1581,IF(N(IFERROR(INDEX(Projects!$D$6:$D$65,MATCH(D1581,Projects!$B$6:$B$65,0)),""))&gt;0,IFERROR(INDEX(Projects!$D$6:$D$65,MATCH(D1581,Projects!$B$6:$B$65,0)),""),IFERROR(INDEX(Clients!$G$6:$G$45,MATCH(C1581,Clients!$B$6:$B$45,0)),0))))</f>
        <v/>
      </c>
      <c r="O1581" s="14">
        <f>IF(B1581="","",IF(J1581&lt;&gt;"",0,ROUND(M1581*N1581,2)))</f>
        <v/>
      </c>
      <c r="P1581" s="15">
        <f>IF(OR(B1581="",J1581&lt;&gt;""),"",IF(L1581&lt;&gt;"",L1581,IF(COUNTIFS(Invoices!$C$6:$C$305,C1581,Invoices!$E$6:$E$305,"&lt;="&amp;B1581,Invoices!$F$6:$F$305,"&gt;="&amp;B1581)=1,INDEX(Invoices!$B$6:$B$305,SUMIFS(Invoices!$O$6:$O$305,Invoices!$C$6:$C$305,C1581,Invoices!$E$6:$E$305,"&lt;="&amp;B1581,Invoices!$F$6:$F$305,"&gt;="&amp;B1581)),IF(COUNTIFS(Invoices!$C$6:$C$305,C1581,Invoices!$E$6:$E$305,"&lt;="&amp;B1581,Invoices!$F$6:$F$305,"&gt;="&amp;B1581)&gt;1,"Two invoices",""))))</f>
        <v/>
      </c>
      <c r="Q1581" s="15">
        <f>IF(B1581="","",IF(J1581&lt;&gt;"","Not billable",IF(P1581="","To invoice",IF(P1581="Two invoices","Check dates",IF(ISNA(MATCH(P1581,Invoices!$B$6:$B$305,0)),"Check number",IF(INDEX(Invoices!$M$6:$M$305,MATCH(P1581,Invoices!$B$6:$B$305,0))="Paid","Paid",IF(INDEX(Invoices!$M$6:$M$305,MATCH(P1581,Invoices!$B$6:$B$305,0))="Draft","Draft","Invoiced")))))))</f>
        <v/>
      </c>
      <c r="R1581" s="1">
        <f>IF(AND(B1581&lt;&gt;"",P1581&lt;&gt;"",P1581=Invoice!$G$4),B1581+MOD(N(F1581),1)+ROW()/10000000,"")</f>
        <v/>
      </c>
      <c r="S1581">
        <f>IF(R1581="","",IF(D1581="","Other work",D1581)&amp;IF(AND(K1581&lt;&gt;"",E1581&lt;&gt;""),", "&amp;E1581,""))</f>
        <v/>
      </c>
      <c r="T1581">
        <f>IF(R1581="","",IF(COUNTIFS(R$6:R1580,"&gt;0",S$6:S1580,S1581,N$6:N1580,N1581)=0,R1581,""))</f>
        <v/>
      </c>
      <c r="U1581">
        <f>IF(B1581="","",IF(J1581&lt;&gt;"",0,M1581))</f>
        <v/>
      </c>
    </row>
    <row r="1582">
      <c r="A1582" s="1" t="n"/>
      <c r="B1582" s="16" t="n"/>
      <c r="C1582" s="17" t="n"/>
      <c r="D1582" s="18" t="n"/>
      <c r="E1582" s="18" t="n"/>
      <c r="F1582" s="19" t="n"/>
      <c r="G1582" s="19" t="n"/>
      <c r="H1582" s="20" t="n"/>
      <c r="I1582" s="21" t="n"/>
      <c r="J1582" s="22" t="n"/>
      <c r="K1582" s="23" t="n"/>
      <c r="L1582" s="18" t="n"/>
      <c r="M1582" s="24">
        <f>IF(B1582="","",IF(AND(F1582&lt;&gt;"",G1582&lt;&gt;""),MAX(0,ROUND(MOD(G1582-F1582,1)*24-N(H1582)/60,2)),N(I1582)))</f>
        <v/>
      </c>
      <c r="N1582" s="14">
        <f>IF(B1582="","",IF(K1582&lt;&gt;"",K1582,IF(N(IFERROR(INDEX(Projects!$D$6:$D$65,MATCH(D1582,Projects!$B$6:$B$65,0)),""))&gt;0,IFERROR(INDEX(Projects!$D$6:$D$65,MATCH(D1582,Projects!$B$6:$B$65,0)),""),IFERROR(INDEX(Clients!$G$6:$G$45,MATCH(C1582,Clients!$B$6:$B$45,0)),0))))</f>
        <v/>
      </c>
      <c r="O1582" s="14">
        <f>IF(B1582="","",IF(J1582&lt;&gt;"",0,ROUND(M1582*N1582,2)))</f>
        <v/>
      </c>
      <c r="P1582" s="15">
        <f>IF(OR(B1582="",J1582&lt;&gt;""),"",IF(L1582&lt;&gt;"",L1582,IF(COUNTIFS(Invoices!$C$6:$C$305,C1582,Invoices!$E$6:$E$305,"&lt;="&amp;B1582,Invoices!$F$6:$F$305,"&gt;="&amp;B1582)=1,INDEX(Invoices!$B$6:$B$305,SUMIFS(Invoices!$O$6:$O$305,Invoices!$C$6:$C$305,C1582,Invoices!$E$6:$E$305,"&lt;="&amp;B1582,Invoices!$F$6:$F$305,"&gt;="&amp;B1582)),IF(COUNTIFS(Invoices!$C$6:$C$305,C1582,Invoices!$E$6:$E$305,"&lt;="&amp;B1582,Invoices!$F$6:$F$305,"&gt;="&amp;B1582)&gt;1,"Two invoices",""))))</f>
        <v/>
      </c>
      <c r="Q1582" s="15">
        <f>IF(B1582="","",IF(J1582&lt;&gt;"","Not billable",IF(P1582="","To invoice",IF(P1582="Two invoices","Check dates",IF(ISNA(MATCH(P1582,Invoices!$B$6:$B$305,0)),"Check number",IF(INDEX(Invoices!$M$6:$M$305,MATCH(P1582,Invoices!$B$6:$B$305,0))="Paid","Paid",IF(INDEX(Invoices!$M$6:$M$305,MATCH(P1582,Invoices!$B$6:$B$305,0))="Draft","Draft","Invoiced")))))))</f>
        <v/>
      </c>
      <c r="R1582" s="1">
        <f>IF(AND(B1582&lt;&gt;"",P1582&lt;&gt;"",P1582=Invoice!$G$4),B1582+MOD(N(F1582),1)+ROW()/10000000,"")</f>
        <v/>
      </c>
      <c r="S1582">
        <f>IF(R1582="","",IF(D1582="","Other work",D1582)&amp;IF(AND(K1582&lt;&gt;"",E1582&lt;&gt;""),", "&amp;E1582,""))</f>
        <v/>
      </c>
      <c r="T1582">
        <f>IF(R1582="","",IF(COUNTIFS(R$6:R1581,"&gt;0",S$6:S1581,S1582,N$6:N1581,N1582)=0,R1582,""))</f>
        <v/>
      </c>
      <c r="U1582">
        <f>IF(B1582="","",IF(J1582&lt;&gt;"",0,M1582))</f>
        <v/>
      </c>
    </row>
    <row r="1583">
      <c r="A1583" s="1" t="n"/>
      <c r="B1583" s="16" t="n"/>
      <c r="C1583" s="17" t="n"/>
      <c r="D1583" s="18" t="n"/>
      <c r="E1583" s="18" t="n"/>
      <c r="F1583" s="19" t="n"/>
      <c r="G1583" s="19" t="n"/>
      <c r="H1583" s="20" t="n"/>
      <c r="I1583" s="21" t="n"/>
      <c r="J1583" s="22" t="n"/>
      <c r="K1583" s="23" t="n"/>
      <c r="L1583" s="18" t="n"/>
      <c r="M1583" s="24">
        <f>IF(B1583="","",IF(AND(F1583&lt;&gt;"",G1583&lt;&gt;""),MAX(0,ROUND(MOD(G1583-F1583,1)*24-N(H1583)/60,2)),N(I1583)))</f>
        <v/>
      </c>
      <c r="N1583" s="14">
        <f>IF(B1583="","",IF(K1583&lt;&gt;"",K1583,IF(N(IFERROR(INDEX(Projects!$D$6:$D$65,MATCH(D1583,Projects!$B$6:$B$65,0)),""))&gt;0,IFERROR(INDEX(Projects!$D$6:$D$65,MATCH(D1583,Projects!$B$6:$B$65,0)),""),IFERROR(INDEX(Clients!$G$6:$G$45,MATCH(C1583,Clients!$B$6:$B$45,0)),0))))</f>
        <v/>
      </c>
      <c r="O1583" s="14">
        <f>IF(B1583="","",IF(J1583&lt;&gt;"",0,ROUND(M1583*N1583,2)))</f>
        <v/>
      </c>
      <c r="P1583" s="15">
        <f>IF(OR(B1583="",J1583&lt;&gt;""),"",IF(L1583&lt;&gt;"",L1583,IF(COUNTIFS(Invoices!$C$6:$C$305,C1583,Invoices!$E$6:$E$305,"&lt;="&amp;B1583,Invoices!$F$6:$F$305,"&gt;="&amp;B1583)=1,INDEX(Invoices!$B$6:$B$305,SUMIFS(Invoices!$O$6:$O$305,Invoices!$C$6:$C$305,C1583,Invoices!$E$6:$E$305,"&lt;="&amp;B1583,Invoices!$F$6:$F$305,"&gt;="&amp;B1583)),IF(COUNTIFS(Invoices!$C$6:$C$305,C1583,Invoices!$E$6:$E$305,"&lt;="&amp;B1583,Invoices!$F$6:$F$305,"&gt;="&amp;B1583)&gt;1,"Two invoices",""))))</f>
        <v/>
      </c>
      <c r="Q1583" s="15">
        <f>IF(B1583="","",IF(J1583&lt;&gt;"","Not billable",IF(P1583="","To invoice",IF(P1583="Two invoices","Check dates",IF(ISNA(MATCH(P1583,Invoices!$B$6:$B$305,0)),"Check number",IF(INDEX(Invoices!$M$6:$M$305,MATCH(P1583,Invoices!$B$6:$B$305,0))="Paid","Paid",IF(INDEX(Invoices!$M$6:$M$305,MATCH(P1583,Invoices!$B$6:$B$305,0))="Draft","Draft","Invoiced")))))))</f>
        <v/>
      </c>
      <c r="R1583" s="1">
        <f>IF(AND(B1583&lt;&gt;"",P1583&lt;&gt;"",P1583=Invoice!$G$4),B1583+MOD(N(F1583),1)+ROW()/10000000,"")</f>
        <v/>
      </c>
      <c r="S1583">
        <f>IF(R1583="","",IF(D1583="","Other work",D1583)&amp;IF(AND(K1583&lt;&gt;"",E1583&lt;&gt;""),", "&amp;E1583,""))</f>
        <v/>
      </c>
      <c r="T1583">
        <f>IF(R1583="","",IF(COUNTIFS(R$6:R1582,"&gt;0",S$6:S1582,S1583,N$6:N1582,N1583)=0,R1583,""))</f>
        <v/>
      </c>
      <c r="U1583">
        <f>IF(B1583="","",IF(J1583&lt;&gt;"",0,M1583))</f>
        <v/>
      </c>
    </row>
    <row r="1584">
      <c r="A1584" s="1" t="n"/>
      <c r="B1584" s="16" t="n"/>
      <c r="C1584" s="17" t="n"/>
      <c r="D1584" s="18" t="n"/>
      <c r="E1584" s="18" t="n"/>
      <c r="F1584" s="19" t="n"/>
      <c r="G1584" s="19" t="n"/>
      <c r="H1584" s="20" t="n"/>
      <c r="I1584" s="21" t="n"/>
      <c r="J1584" s="22" t="n"/>
      <c r="K1584" s="23" t="n"/>
      <c r="L1584" s="18" t="n"/>
      <c r="M1584" s="24">
        <f>IF(B1584="","",IF(AND(F1584&lt;&gt;"",G1584&lt;&gt;""),MAX(0,ROUND(MOD(G1584-F1584,1)*24-N(H1584)/60,2)),N(I1584)))</f>
        <v/>
      </c>
      <c r="N1584" s="14">
        <f>IF(B1584="","",IF(K1584&lt;&gt;"",K1584,IF(N(IFERROR(INDEX(Projects!$D$6:$D$65,MATCH(D1584,Projects!$B$6:$B$65,0)),""))&gt;0,IFERROR(INDEX(Projects!$D$6:$D$65,MATCH(D1584,Projects!$B$6:$B$65,0)),""),IFERROR(INDEX(Clients!$G$6:$G$45,MATCH(C1584,Clients!$B$6:$B$45,0)),0))))</f>
        <v/>
      </c>
      <c r="O1584" s="14">
        <f>IF(B1584="","",IF(J1584&lt;&gt;"",0,ROUND(M1584*N1584,2)))</f>
        <v/>
      </c>
      <c r="P1584" s="15">
        <f>IF(OR(B1584="",J1584&lt;&gt;""),"",IF(L1584&lt;&gt;"",L1584,IF(COUNTIFS(Invoices!$C$6:$C$305,C1584,Invoices!$E$6:$E$305,"&lt;="&amp;B1584,Invoices!$F$6:$F$305,"&gt;="&amp;B1584)=1,INDEX(Invoices!$B$6:$B$305,SUMIFS(Invoices!$O$6:$O$305,Invoices!$C$6:$C$305,C1584,Invoices!$E$6:$E$305,"&lt;="&amp;B1584,Invoices!$F$6:$F$305,"&gt;="&amp;B1584)),IF(COUNTIFS(Invoices!$C$6:$C$305,C1584,Invoices!$E$6:$E$305,"&lt;="&amp;B1584,Invoices!$F$6:$F$305,"&gt;="&amp;B1584)&gt;1,"Two invoices",""))))</f>
        <v/>
      </c>
      <c r="Q1584" s="15">
        <f>IF(B1584="","",IF(J1584&lt;&gt;"","Not billable",IF(P1584="","To invoice",IF(P1584="Two invoices","Check dates",IF(ISNA(MATCH(P1584,Invoices!$B$6:$B$305,0)),"Check number",IF(INDEX(Invoices!$M$6:$M$305,MATCH(P1584,Invoices!$B$6:$B$305,0))="Paid","Paid",IF(INDEX(Invoices!$M$6:$M$305,MATCH(P1584,Invoices!$B$6:$B$305,0))="Draft","Draft","Invoiced")))))))</f>
        <v/>
      </c>
      <c r="R1584" s="1">
        <f>IF(AND(B1584&lt;&gt;"",P1584&lt;&gt;"",P1584=Invoice!$G$4),B1584+MOD(N(F1584),1)+ROW()/10000000,"")</f>
        <v/>
      </c>
      <c r="S1584">
        <f>IF(R1584="","",IF(D1584="","Other work",D1584)&amp;IF(AND(K1584&lt;&gt;"",E1584&lt;&gt;""),", "&amp;E1584,""))</f>
        <v/>
      </c>
      <c r="T1584">
        <f>IF(R1584="","",IF(COUNTIFS(R$6:R1583,"&gt;0",S$6:S1583,S1584,N$6:N1583,N1584)=0,R1584,""))</f>
        <v/>
      </c>
      <c r="U1584">
        <f>IF(B1584="","",IF(J1584&lt;&gt;"",0,M1584))</f>
        <v/>
      </c>
    </row>
    <row r="1585">
      <c r="A1585" s="1" t="n"/>
      <c r="B1585" s="16" t="n"/>
      <c r="C1585" s="17" t="n"/>
      <c r="D1585" s="18" t="n"/>
      <c r="E1585" s="18" t="n"/>
      <c r="F1585" s="19" t="n"/>
      <c r="G1585" s="19" t="n"/>
      <c r="H1585" s="20" t="n"/>
      <c r="I1585" s="21" t="n"/>
      <c r="J1585" s="22" t="n"/>
      <c r="K1585" s="23" t="n"/>
      <c r="L1585" s="18" t="n"/>
      <c r="M1585" s="24">
        <f>IF(B1585="","",IF(AND(F1585&lt;&gt;"",G1585&lt;&gt;""),MAX(0,ROUND(MOD(G1585-F1585,1)*24-N(H1585)/60,2)),N(I1585)))</f>
        <v/>
      </c>
      <c r="N1585" s="14">
        <f>IF(B1585="","",IF(K1585&lt;&gt;"",K1585,IF(N(IFERROR(INDEX(Projects!$D$6:$D$65,MATCH(D1585,Projects!$B$6:$B$65,0)),""))&gt;0,IFERROR(INDEX(Projects!$D$6:$D$65,MATCH(D1585,Projects!$B$6:$B$65,0)),""),IFERROR(INDEX(Clients!$G$6:$G$45,MATCH(C1585,Clients!$B$6:$B$45,0)),0))))</f>
        <v/>
      </c>
      <c r="O1585" s="14">
        <f>IF(B1585="","",IF(J1585&lt;&gt;"",0,ROUND(M1585*N1585,2)))</f>
        <v/>
      </c>
      <c r="P1585" s="15">
        <f>IF(OR(B1585="",J1585&lt;&gt;""),"",IF(L1585&lt;&gt;"",L1585,IF(COUNTIFS(Invoices!$C$6:$C$305,C1585,Invoices!$E$6:$E$305,"&lt;="&amp;B1585,Invoices!$F$6:$F$305,"&gt;="&amp;B1585)=1,INDEX(Invoices!$B$6:$B$305,SUMIFS(Invoices!$O$6:$O$305,Invoices!$C$6:$C$305,C1585,Invoices!$E$6:$E$305,"&lt;="&amp;B1585,Invoices!$F$6:$F$305,"&gt;="&amp;B1585)),IF(COUNTIFS(Invoices!$C$6:$C$305,C1585,Invoices!$E$6:$E$305,"&lt;="&amp;B1585,Invoices!$F$6:$F$305,"&gt;="&amp;B1585)&gt;1,"Two invoices",""))))</f>
        <v/>
      </c>
      <c r="Q1585" s="15">
        <f>IF(B1585="","",IF(J1585&lt;&gt;"","Not billable",IF(P1585="","To invoice",IF(P1585="Two invoices","Check dates",IF(ISNA(MATCH(P1585,Invoices!$B$6:$B$305,0)),"Check number",IF(INDEX(Invoices!$M$6:$M$305,MATCH(P1585,Invoices!$B$6:$B$305,0))="Paid","Paid",IF(INDEX(Invoices!$M$6:$M$305,MATCH(P1585,Invoices!$B$6:$B$305,0))="Draft","Draft","Invoiced")))))))</f>
        <v/>
      </c>
      <c r="R1585" s="1">
        <f>IF(AND(B1585&lt;&gt;"",P1585&lt;&gt;"",P1585=Invoice!$G$4),B1585+MOD(N(F1585),1)+ROW()/10000000,"")</f>
        <v/>
      </c>
      <c r="S1585">
        <f>IF(R1585="","",IF(D1585="","Other work",D1585)&amp;IF(AND(K1585&lt;&gt;"",E1585&lt;&gt;""),", "&amp;E1585,""))</f>
        <v/>
      </c>
      <c r="T1585">
        <f>IF(R1585="","",IF(COUNTIFS(R$6:R1584,"&gt;0",S$6:S1584,S1585,N$6:N1584,N1585)=0,R1585,""))</f>
        <v/>
      </c>
      <c r="U1585">
        <f>IF(B1585="","",IF(J1585&lt;&gt;"",0,M1585))</f>
        <v/>
      </c>
    </row>
    <row r="1586">
      <c r="A1586" s="1" t="n"/>
      <c r="B1586" s="16" t="n"/>
      <c r="C1586" s="17" t="n"/>
      <c r="D1586" s="18" t="n"/>
      <c r="E1586" s="18" t="n"/>
      <c r="F1586" s="19" t="n"/>
      <c r="G1586" s="19" t="n"/>
      <c r="H1586" s="20" t="n"/>
      <c r="I1586" s="21" t="n"/>
      <c r="J1586" s="22" t="n"/>
      <c r="K1586" s="23" t="n"/>
      <c r="L1586" s="18" t="n"/>
      <c r="M1586" s="24">
        <f>IF(B1586="","",IF(AND(F1586&lt;&gt;"",G1586&lt;&gt;""),MAX(0,ROUND(MOD(G1586-F1586,1)*24-N(H1586)/60,2)),N(I1586)))</f>
        <v/>
      </c>
      <c r="N1586" s="14">
        <f>IF(B1586="","",IF(K1586&lt;&gt;"",K1586,IF(N(IFERROR(INDEX(Projects!$D$6:$D$65,MATCH(D1586,Projects!$B$6:$B$65,0)),""))&gt;0,IFERROR(INDEX(Projects!$D$6:$D$65,MATCH(D1586,Projects!$B$6:$B$65,0)),""),IFERROR(INDEX(Clients!$G$6:$G$45,MATCH(C1586,Clients!$B$6:$B$45,0)),0))))</f>
        <v/>
      </c>
      <c r="O1586" s="14">
        <f>IF(B1586="","",IF(J1586&lt;&gt;"",0,ROUND(M1586*N1586,2)))</f>
        <v/>
      </c>
      <c r="P1586" s="15">
        <f>IF(OR(B1586="",J1586&lt;&gt;""),"",IF(L1586&lt;&gt;"",L1586,IF(COUNTIFS(Invoices!$C$6:$C$305,C1586,Invoices!$E$6:$E$305,"&lt;="&amp;B1586,Invoices!$F$6:$F$305,"&gt;="&amp;B1586)=1,INDEX(Invoices!$B$6:$B$305,SUMIFS(Invoices!$O$6:$O$305,Invoices!$C$6:$C$305,C1586,Invoices!$E$6:$E$305,"&lt;="&amp;B1586,Invoices!$F$6:$F$305,"&gt;="&amp;B1586)),IF(COUNTIFS(Invoices!$C$6:$C$305,C1586,Invoices!$E$6:$E$305,"&lt;="&amp;B1586,Invoices!$F$6:$F$305,"&gt;="&amp;B1586)&gt;1,"Two invoices",""))))</f>
        <v/>
      </c>
      <c r="Q1586" s="15">
        <f>IF(B1586="","",IF(J1586&lt;&gt;"","Not billable",IF(P1586="","To invoice",IF(P1586="Two invoices","Check dates",IF(ISNA(MATCH(P1586,Invoices!$B$6:$B$305,0)),"Check number",IF(INDEX(Invoices!$M$6:$M$305,MATCH(P1586,Invoices!$B$6:$B$305,0))="Paid","Paid",IF(INDEX(Invoices!$M$6:$M$305,MATCH(P1586,Invoices!$B$6:$B$305,0))="Draft","Draft","Invoiced")))))))</f>
        <v/>
      </c>
      <c r="R1586" s="1">
        <f>IF(AND(B1586&lt;&gt;"",P1586&lt;&gt;"",P1586=Invoice!$G$4),B1586+MOD(N(F1586),1)+ROW()/10000000,"")</f>
        <v/>
      </c>
      <c r="S1586">
        <f>IF(R1586="","",IF(D1586="","Other work",D1586)&amp;IF(AND(K1586&lt;&gt;"",E1586&lt;&gt;""),", "&amp;E1586,""))</f>
        <v/>
      </c>
      <c r="T1586">
        <f>IF(R1586="","",IF(COUNTIFS(R$6:R1585,"&gt;0",S$6:S1585,S1586,N$6:N1585,N1586)=0,R1586,""))</f>
        <v/>
      </c>
      <c r="U1586">
        <f>IF(B1586="","",IF(J1586&lt;&gt;"",0,M1586))</f>
        <v/>
      </c>
    </row>
    <row r="1587">
      <c r="A1587" s="1" t="n"/>
      <c r="B1587" s="16" t="n"/>
      <c r="C1587" s="17" t="n"/>
      <c r="D1587" s="18" t="n"/>
      <c r="E1587" s="18" t="n"/>
      <c r="F1587" s="19" t="n"/>
      <c r="G1587" s="19" t="n"/>
      <c r="H1587" s="20" t="n"/>
      <c r="I1587" s="21" t="n"/>
      <c r="J1587" s="22" t="n"/>
      <c r="K1587" s="23" t="n"/>
      <c r="L1587" s="18" t="n"/>
      <c r="M1587" s="24">
        <f>IF(B1587="","",IF(AND(F1587&lt;&gt;"",G1587&lt;&gt;""),MAX(0,ROUND(MOD(G1587-F1587,1)*24-N(H1587)/60,2)),N(I1587)))</f>
        <v/>
      </c>
      <c r="N1587" s="14">
        <f>IF(B1587="","",IF(K1587&lt;&gt;"",K1587,IF(N(IFERROR(INDEX(Projects!$D$6:$D$65,MATCH(D1587,Projects!$B$6:$B$65,0)),""))&gt;0,IFERROR(INDEX(Projects!$D$6:$D$65,MATCH(D1587,Projects!$B$6:$B$65,0)),""),IFERROR(INDEX(Clients!$G$6:$G$45,MATCH(C1587,Clients!$B$6:$B$45,0)),0))))</f>
        <v/>
      </c>
      <c r="O1587" s="14">
        <f>IF(B1587="","",IF(J1587&lt;&gt;"",0,ROUND(M1587*N1587,2)))</f>
        <v/>
      </c>
      <c r="P1587" s="15">
        <f>IF(OR(B1587="",J1587&lt;&gt;""),"",IF(L1587&lt;&gt;"",L1587,IF(COUNTIFS(Invoices!$C$6:$C$305,C1587,Invoices!$E$6:$E$305,"&lt;="&amp;B1587,Invoices!$F$6:$F$305,"&gt;="&amp;B1587)=1,INDEX(Invoices!$B$6:$B$305,SUMIFS(Invoices!$O$6:$O$305,Invoices!$C$6:$C$305,C1587,Invoices!$E$6:$E$305,"&lt;="&amp;B1587,Invoices!$F$6:$F$305,"&gt;="&amp;B1587)),IF(COUNTIFS(Invoices!$C$6:$C$305,C1587,Invoices!$E$6:$E$305,"&lt;="&amp;B1587,Invoices!$F$6:$F$305,"&gt;="&amp;B1587)&gt;1,"Two invoices",""))))</f>
        <v/>
      </c>
      <c r="Q1587" s="15">
        <f>IF(B1587="","",IF(J1587&lt;&gt;"","Not billable",IF(P1587="","To invoice",IF(P1587="Two invoices","Check dates",IF(ISNA(MATCH(P1587,Invoices!$B$6:$B$305,0)),"Check number",IF(INDEX(Invoices!$M$6:$M$305,MATCH(P1587,Invoices!$B$6:$B$305,0))="Paid","Paid",IF(INDEX(Invoices!$M$6:$M$305,MATCH(P1587,Invoices!$B$6:$B$305,0))="Draft","Draft","Invoiced")))))))</f>
        <v/>
      </c>
      <c r="R1587" s="1">
        <f>IF(AND(B1587&lt;&gt;"",P1587&lt;&gt;"",P1587=Invoice!$G$4),B1587+MOD(N(F1587),1)+ROW()/10000000,"")</f>
        <v/>
      </c>
      <c r="S1587">
        <f>IF(R1587="","",IF(D1587="","Other work",D1587)&amp;IF(AND(K1587&lt;&gt;"",E1587&lt;&gt;""),", "&amp;E1587,""))</f>
        <v/>
      </c>
      <c r="T1587">
        <f>IF(R1587="","",IF(COUNTIFS(R$6:R1586,"&gt;0",S$6:S1586,S1587,N$6:N1586,N1587)=0,R1587,""))</f>
        <v/>
      </c>
      <c r="U1587">
        <f>IF(B1587="","",IF(J1587&lt;&gt;"",0,M1587))</f>
        <v/>
      </c>
    </row>
    <row r="1588">
      <c r="A1588" s="1" t="n"/>
      <c r="B1588" s="16" t="n"/>
      <c r="C1588" s="17" t="n"/>
      <c r="D1588" s="18" t="n"/>
      <c r="E1588" s="18" t="n"/>
      <c r="F1588" s="19" t="n"/>
      <c r="G1588" s="19" t="n"/>
      <c r="H1588" s="20" t="n"/>
      <c r="I1588" s="21" t="n"/>
      <c r="J1588" s="22" t="n"/>
      <c r="K1588" s="23" t="n"/>
      <c r="L1588" s="18" t="n"/>
      <c r="M1588" s="24">
        <f>IF(B1588="","",IF(AND(F1588&lt;&gt;"",G1588&lt;&gt;""),MAX(0,ROUND(MOD(G1588-F1588,1)*24-N(H1588)/60,2)),N(I1588)))</f>
        <v/>
      </c>
      <c r="N1588" s="14">
        <f>IF(B1588="","",IF(K1588&lt;&gt;"",K1588,IF(N(IFERROR(INDEX(Projects!$D$6:$D$65,MATCH(D1588,Projects!$B$6:$B$65,0)),""))&gt;0,IFERROR(INDEX(Projects!$D$6:$D$65,MATCH(D1588,Projects!$B$6:$B$65,0)),""),IFERROR(INDEX(Clients!$G$6:$G$45,MATCH(C1588,Clients!$B$6:$B$45,0)),0))))</f>
        <v/>
      </c>
      <c r="O1588" s="14">
        <f>IF(B1588="","",IF(J1588&lt;&gt;"",0,ROUND(M1588*N1588,2)))</f>
        <v/>
      </c>
      <c r="P1588" s="15">
        <f>IF(OR(B1588="",J1588&lt;&gt;""),"",IF(L1588&lt;&gt;"",L1588,IF(COUNTIFS(Invoices!$C$6:$C$305,C1588,Invoices!$E$6:$E$305,"&lt;="&amp;B1588,Invoices!$F$6:$F$305,"&gt;="&amp;B1588)=1,INDEX(Invoices!$B$6:$B$305,SUMIFS(Invoices!$O$6:$O$305,Invoices!$C$6:$C$305,C1588,Invoices!$E$6:$E$305,"&lt;="&amp;B1588,Invoices!$F$6:$F$305,"&gt;="&amp;B1588)),IF(COUNTIFS(Invoices!$C$6:$C$305,C1588,Invoices!$E$6:$E$305,"&lt;="&amp;B1588,Invoices!$F$6:$F$305,"&gt;="&amp;B1588)&gt;1,"Two invoices",""))))</f>
        <v/>
      </c>
      <c r="Q1588" s="15">
        <f>IF(B1588="","",IF(J1588&lt;&gt;"","Not billable",IF(P1588="","To invoice",IF(P1588="Two invoices","Check dates",IF(ISNA(MATCH(P1588,Invoices!$B$6:$B$305,0)),"Check number",IF(INDEX(Invoices!$M$6:$M$305,MATCH(P1588,Invoices!$B$6:$B$305,0))="Paid","Paid",IF(INDEX(Invoices!$M$6:$M$305,MATCH(P1588,Invoices!$B$6:$B$305,0))="Draft","Draft","Invoiced")))))))</f>
        <v/>
      </c>
      <c r="R1588" s="1">
        <f>IF(AND(B1588&lt;&gt;"",P1588&lt;&gt;"",P1588=Invoice!$G$4),B1588+MOD(N(F1588),1)+ROW()/10000000,"")</f>
        <v/>
      </c>
      <c r="S1588">
        <f>IF(R1588="","",IF(D1588="","Other work",D1588)&amp;IF(AND(K1588&lt;&gt;"",E1588&lt;&gt;""),", "&amp;E1588,""))</f>
        <v/>
      </c>
      <c r="T1588">
        <f>IF(R1588="","",IF(COUNTIFS(R$6:R1587,"&gt;0",S$6:S1587,S1588,N$6:N1587,N1588)=0,R1588,""))</f>
        <v/>
      </c>
      <c r="U1588">
        <f>IF(B1588="","",IF(J1588&lt;&gt;"",0,M1588))</f>
        <v/>
      </c>
    </row>
    <row r="1589">
      <c r="A1589" s="1" t="n"/>
      <c r="B1589" s="16" t="n"/>
      <c r="C1589" s="17" t="n"/>
      <c r="D1589" s="18" t="n"/>
      <c r="E1589" s="18" t="n"/>
      <c r="F1589" s="19" t="n"/>
      <c r="G1589" s="19" t="n"/>
      <c r="H1589" s="20" t="n"/>
      <c r="I1589" s="21" t="n"/>
      <c r="J1589" s="22" t="n"/>
      <c r="K1589" s="23" t="n"/>
      <c r="L1589" s="18" t="n"/>
      <c r="M1589" s="24">
        <f>IF(B1589="","",IF(AND(F1589&lt;&gt;"",G1589&lt;&gt;""),MAX(0,ROUND(MOD(G1589-F1589,1)*24-N(H1589)/60,2)),N(I1589)))</f>
        <v/>
      </c>
      <c r="N1589" s="14">
        <f>IF(B1589="","",IF(K1589&lt;&gt;"",K1589,IF(N(IFERROR(INDEX(Projects!$D$6:$D$65,MATCH(D1589,Projects!$B$6:$B$65,0)),""))&gt;0,IFERROR(INDEX(Projects!$D$6:$D$65,MATCH(D1589,Projects!$B$6:$B$65,0)),""),IFERROR(INDEX(Clients!$G$6:$G$45,MATCH(C1589,Clients!$B$6:$B$45,0)),0))))</f>
        <v/>
      </c>
      <c r="O1589" s="14">
        <f>IF(B1589="","",IF(J1589&lt;&gt;"",0,ROUND(M1589*N1589,2)))</f>
        <v/>
      </c>
      <c r="P1589" s="15">
        <f>IF(OR(B1589="",J1589&lt;&gt;""),"",IF(L1589&lt;&gt;"",L1589,IF(COUNTIFS(Invoices!$C$6:$C$305,C1589,Invoices!$E$6:$E$305,"&lt;="&amp;B1589,Invoices!$F$6:$F$305,"&gt;="&amp;B1589)=1,INDEX(Invoices!$B$6:$B$305,SUMIFS(Invoices!$O$6:$O$305,Invoices!$C$6:$C$305,C1589,Invoices!$E$6:$E$305,"&lt;="&amp;B1589,Invoices!$F$6:$F$305,"&gt;="&amp;B1589)),IF(COUNTIFS(Invoices!$C$6:$C$305,C1589,Invoices!$E$6:$E$305,"&lt;="&amp;B1589,Invoices!$F$6:$F$305,"&gt;="&amp;B1589)&gt;1,"Two invoices",""))))</f>
        <v/>
      </c>
      <c r="Q1589" s="15">
        <f>IF(B1589="","",IF(J1589&lt;&gt;"","Not billable",IF(P1589="","To invoice",IF(P1589="Two invoices","Check dates",IF(ISNA(MATCH(P1589,Invoices!$B$6:$B$305,0)),"Check number",IF(INDEX(Invoices!$M$6:$M$305,MATCH(P1589,Invoices!$B$6:$B$305,0))="Paid","Paid",IF(INDEX(Invoices!$M$6:$M$305,MATCH(P1589,Invoices!$B$6:$B$305,0))="Draft","Draft","Invoiced")))))))</f>
        <v/>
      </c>
      <c r="R1589" s="1">
        <f>IF(AND(B1589&lt;&gt;"",P1589&lt;&gt;"",P1589=Invoice!$G$4),B1589+MOD(N(F1589),1)+ROW()/10000000,"")</f>
        <v/>
      </c>
      <c r="S1589">
        <f>IF(R1589="","",IF(D1589="","Other work",D1589)&amp;IF(AND(K1589&lt;&gt;"",E1589&lt;&gt;""),", "&amp;E1589,""))</f>
        <v/>
      </c>
      <c r="T1589">
        <f>IF(R1589="","",IF(COUNTIFS(R$6:R1588,"&gt;0",S$6:S1588,S1589,N$6:N1588,N1589)=0,R1589,""))</f>
        <v/>
      </c>
      <c r="U1589">
        <f>IF(B1589="","",IF(J1589&lt;&gt;"",0,M1589))</f>
        <v/>
      </c>
    </row>
    <row r="1590">
      <c r="A1590" s="1" t="n"/>
      <c r="B1590" s="16" t="n"/>
      <c r="C1590" s="17" t="n"/>
      <c r="D1590" s="18" t="n"/>
      <c r="E1590" s="18" t="n"/>
      <c r="F1590" s="19" t="n"/>
      <c r="G1590" s="19" t="n"/>
      <c r="H1590" s="20" t="n"/>
      <c r="I1590" s="21" t="n"/>
      <c r="J1590" s="22" t="n"/>
      <c r="K1590" s="23" t="n"/>
      <c r="L1590" s="18" t="n"/>
      <c r="M1590" s="24">
        <f>IF(B1590="","",IF(AND(F1590&lt;&gt;"",G1590&lt;&gt;""),MAX(0,ROUND(MOD(G1590-F1590,1)*24-N(H1590)/60,2)),N(I1590)))</f>
        <v/>
      </c>
      <c r="N1590" s="14">
        <f>IF(B1590="","",IF(K1590&lt;&gt;"",K1590,IF(N(IFERROR(INDEX(Projects!$D$6:$D$65,MATCH(D1590,Projects!$B$6:$B$65,0)),""))&gt;0,IFERROR(INDEX(Projects!$D$6:$D$65,MATCH(D1590,Projects!$B$6:$B$65,0)),""),IFERROR(INDEX(Clients!$G$6:$G$45,MATCH(C1590,Clients!$B$6:$B$45,0)),0))))</f>
        <v/>
      </c>
      <c r="O1590" s="14">
        <f>IF(B1590="","",IF(J1590&lt;&gt;"",0,ROUND(M1590*N1590,2)))</f>
        <v/>
      </c>
      <c r="P1590" s="15">
        <f>IF(OR(B1590="",J1590&lt;&gt;""),"",IF(L1590&lt;&gt;"",L1590,IF(COUNTIFS(Invoices!$C$6:$C$305,C1590,Invoices!$E$6:$E$305,"&lt;="&amp;B1590,Invoices!$F$6:$F$305,"&gt;="&amp;B1590)=1,INDEX(Invoices!$B$6:$B$305,SUMIFS(Invoices!$O$6:$O$305,Invoices!$C$6:$C$305,C1590,Invoices!$E$6:$E$305,"&lt;="&amp;B1590,Invoices!$F$6:$F$305,"&gt;="&amp;B1590)),IF(COUNTIFS(Invoices!$C$6:$C$305,C1590,Invoices!$E$6:$E$305,"&lt;="&amp;B1590,Invoices!$F$6:$F$305,"&gt;="&amp;B1590)&gt;1,"Two invoices",""))))</f>
        <v/>
      </c>
      <c r="Q1590" s="15">
        <f>IF(B1590="","",IF(J1590&lt;&gt;"","Not billable",IF(P1590="","To invoice",IF(P1590="Two invoices","Check dates",IF(ISNA(MATCH(P1590,Invoices!$B$6:$B$305,0)),"Check number",IF(INDEX(Invoices!$M$6:$M$305,MATCH(P1590,Invoices!$B$6:$B$305,0))="Paid","Paid",IF(INDEX(Invoices!$M$6:$M$305,MATCH(P1590,Invoices!$B$6:$B$305,0))="Draft","Draft","Invoiced")))))))</f>
        <v/>
      </c>
      <c r="R1590" s="1">
        <f>IF(AND(B1590&lt;&gt;"",P1590&lt;&gt;"",P1590=Invoice!$G$4),B1590+MOD(N(F1590),1)+ROW()/10000000,"")</f>
        <v/>
      </c>
      <c r="S1590">
        <f>IF(R1590="","",IF(D1590="","Other work",D1590)&amp;IF(AND(K1590&lt;&gt;"",E1590&lt;&gt;""),", "&amp;E1590,""))</f>
        <v/>
      </c>
      <c r="T1590">
        <f>IF(R1590="","",IF(COUNTIFS(R$6:R1589,"&gt;0",S$6:S1589,S1590,N$6:N1589,N1590)=0,R1590,""))</f>
        <v/>
      </c>
      <c r="U1590">
        <f>IF(B1590="","",IF(J1590&lt;&gt;"",0,M1590))</f>
        <v/>
      </c>
    </row>
    <row r="1591">
      <c r="A1591" s="1" t="n"/>
      <c r="B1591" s="16" t="n"/>
      <c r="C1591" s="17" t="n"/>
      <c r="D1591" s="18" t="n"/>
      <c r="E1591" s="18" t="n"/>
      <c r="F1591" s="19" t="n"/>
      <c r="G1591" s="19" t="n"/>
      <c r="H1591" s="20" t="n"/>
      <c r="I1591" s="21" t="n"/>
      <c r="J1591" s="22" t="n"/>
      <c r="K1591" s="23" t="n"/>
      <c r="L1591" s="18" t="n"/>
      <c r="M1591" s="24">
        <f>IF(B1591="","",IF(AND(F1591&lt;&gt;"",G1591&lt;&gt;""),MAX(0,ROUND(MOD(G1591-F1591,1)*24-N(H1591)/60,2)),N(I1591)))</f>
        <v/>
      </c>
      <c r="N1591" s="14">
        <f>IF(B1591="","",IF(K1591&lt;&gt;"",K1591,IF(N(IFERROR(INDEX(Projects!$D$6:$D$65,MATCH(D1591,Projects!$B$6:$B$65,0)),""))&gt;0,IFERROR(INDEX(Projects!$D$6:$D$65,MATCH(D1591,Projects!$B$6:$B$65,0)),""),IFERROR(INDEX(Clients!$G$6:$G$45,MATCH(C1591,Clients!$B$6:$B$45,0)),0))))</f>
        <v/>
      </c>
      <c r="O1591" s="14">
        <f>IF(B1591="","",IF(J1591&lt;&gt;"",0,ROUND(M1591*N1591,2)))</f>
        <v/>
      </c>
      <c r="P1591" s="15">
        <f>IF(OR(B1591="",J1591&lt;&gt;""),"",IF(L1591&lt;&gt;"",L1591,IF(COUNTIFS(Invoices!$C$6:$C$305,C1591,Invoices!$E$6:$E$305,"&lt;="&amp;B1591,Invoices!$F$6:$F$305,"&gt;="&amp;B1591)=1,INDEX(Invoices!$B$6:$B$305,SUMIFS(Invoices!$O$6:$O$305,Invoices!$C$6:$C$305,C1591,Invoices!$E$6:$E$305,"&lt;="&amp;B1591,Invoices!$F$6:$F$305,"&gt;="&amp;B1591)),IF(COUNTIFS(Invoices!$C$6:$C$305,C1591,Invoices!$E$6:$E$305,"&lt;="&amp;B1591,Invoices!$F$6:$F$305,"&gt;="&amp;B1591)&gt;1,"Two invoices",""))))</f>
        <v/>
      </c>
      <c r="Q1591" s="15">
        <f>IF(B1591="","",IF(J1591&lt;&gt;"","Not billable",IF(P1591="","To invoice",IF(P1591="Two invoices","Check dates",IF(ISNA(MATCH(P1591,Invoices!$B$6:$B$305,0)),"Check number",IF(INDEX(Invoices!$M$6:$M$305,MATCH(P1591,Invoices!$B$6:$B$305,0))="Paid","Paid",IF(INDEX(Invoices!$M$6:$M$305,MATCH(P1591,Invoices!$B$6:$B$305,0))="Draft","Draft","Invoiced")))))))</f>
        <v/>
      </c>
      <c r="R1591" s="1">
        <f>IF(AND(B1591&lt;&gt;"",P1591&lt;&gt;"",P1591=Invoice!$G$4),B1591+MOD(N(F1591),1)+ROW()/10000000,"")</f>
        <v/>
      </c>
      <c r="S1591">
        <f>IF(R1591="","",IF(D1591="","Other work",D1591)&amp;IF(AND(K1591&lt;&gt;"",E1591&lt;&gt;""),", "&amp;E1591,""))</f>
        <v/>
      </c>
      <c r="T1591">
        <f>IF(R1591="","",IF(COUNTIFS(R$6:R1590,"&gt;0",S$6:S1590,S1591,N$6:N1590,N1591)=0,R1591,""))</f>
        <v/>
      </c>
      <c r="U1591">
        <f>IF(B1591="","",IF(J1591&lt;&gt;"",0,M1591))</f>
        <v/>
      </c>
    </row>
    <row r="1592">
      <c r="A1592" s="1" t="n"/>
      <c r="B1592" s="16" t="n"/>
      <c r="C1592" s="17" t="n"/>
      <c r="D1592" s="18" t="n"/>
      <c r="E1592" s="18" t="n"/>
      <c r="F1592" s="19" t="n"/>
      <c r="G1592" s="19" t="n"/>
      <c r="H1592" s="20" t="n"/>
      <c r="I1592" s="21" t="n"/>
      <c r="J1592" s="22" t="n"/>
      <c r="K1592" s="23" t="n"/>
      <c r="L1592" s="18" t="n"/>
      <c r="M1592" s="24">
        <f>IF(B1592="","",IF(AND(F1592&lt;&gt;"",G1592&lt;&gt;""),MAX(0,ROUND(MOD(G1592-F1592,1)*24-N(H1592)/60,2)),N(I1592)))</f>
        <v/>
      </c>
      <c r="N1592" s="14">
        <f>IF(B1592="","",IF(K1592&lt;&gt;"",K1592,IF(N(IFERROR(INDEX(Projects!$D$6:$D$65,MATCH(D1592,Projects!$B$6:$B$65,0)),""))&gt;0,IFERROR(INDEX(Projects!$D$6:$D$65,MATCH(D1592,Projects!$B$6:$B$65,0)),""),IFERROR(INDEX(Clients!$G$6:$G$45,MATCH(C1592,Clients!$B$6:$B$45,0)),0))))</f>
        <v/>
      </c>
      <c r="O1592" s="14">
        <f>IF(B1592="","",IF(J1592&lt;&gt;"",0,ROUND(M1592*N1592,2)))</f>
        <v/>
      </c>
      <c r="P1592" s="15">
        <f>IF(OR(B1592="",J1592&lt;&gt;""),"",IF(L1592&lt;&gt;"",L1592,IF(COUNTIFS(Invoices!$C$6:$C$305,C1592,Invoices!$E$6:$E$305,"&lt;="&amp;B1592,Invoices!$F$6:$F$305,"&gt;="&amp;B1592)=1,INDEX(Invoices!$B$6:$B$305,SUMIFS(Invoices!$O$6:$O$305,Invoices!$C$6:$C$305,C1592,Invoices!$E$6:$E$305,"&lt;="&amp;B1592,Invoices!$F$6:$F$305,"&gt;="&amp;B1592)),IF(COUNTIFS(Invoices!$C$6:$C$305,C1592,Invoices!$E$6:$E$305,"&lt;="&amp;B1592,Invoices!$F$6:$F$305,"&gt;="&amp;B1592)&gt;1,"Two invoices",""))))</f>
        <v/>
      </c>
      <c r="Q1592" s="15">
        <f>IF(B1592="","",IF(J1592&lt;&gt;"","Not billable",IF(P1592="","To invoice",IF(P1592="Two invoices","Check dates",IF(ISNA(MATCH(P1592,Invoices!$B$6:$B$305,0)),"Check number",IF(INDEX(Invoices!$M$6:$M$305,MATCH(P1592,Invoices!$B$6:$B$305,0))="Paid","Paid",IF(INDEX(Invoices!$M$6:$M$305,MATCH(P1592,Invoices!$B$6:$B$305,0))="Draft","Draft","Invoiced")))))))</f>
        <v/>
      </c>
      <c r="R1592" s="1">
        <f>IF(AND(B1592&lt;&gt;"",P1592&lt;&gt;"",P1592=Invoice!$G$4),B1592+MOD(N(F1592),1)+ROW()/10000000,"")</f>
        <v/>
      </c>
      <c r="S1592">
        <f>IF(R1592="","",IF(D1592="","Other work",D1592)&amp;IF(AND(K1592&lt;&gt;"",E1592&lt;&gt;""),", "&amp;E1592,""))</f>
        <v/>
      </c>
      <c r="T1592">
        <f>IF(R1592="","",IF(COUNTIFS(R$6:R1591,"&gt;0",S$6:S1591,S1592,N$6:N1591,N1592)=0,R1592,""))</f>
        <v/>
      </c>
      <c r="U1592">
        <f>IF(B1592="","",IF(J1592&lt;&gt;"",0,M1592))</f>
        <v/>
      </c>
    </row>
    <row r="1593">
      <c r="A1593" s="1" t="n"/>
      <c r="B1593" s="16" t="n"/>
      <c r="C1593" s="17" t="n"/>
      <c r="D1593" s="18" t="n"/>
      <c r="E1593" s="18" t="n"/>
      <c r="F1593" s="19" t="n"/>
      <c r="G1593" s="19" t="n"/>
      <c r="H1593" s="20" t="n"/>
      <c r="I1593" s="21" t="n"/>
      <c r="J1593" s="22" t="n"/>
      <c r="K1593" s="23" t="n"/>
      <c r="L1593" s="18" t="n"/>
      <c r="M1593" s="24">
        <f>IF(B1593="","",IF(AND(F1593&lt;&gt;"",G1593&lt;&gt;""),MAX(0,ROUND(MOD(G1593-F1593,1)*24-N(H1593)/60,2)),N(I1593)))</f>
        <v/>
      </c>
      <c r="N1593" s="14">
        <f>IF(B1593="","",IF(K1593&lt;&gt;"",K1593,IF(N(IFERROR(INDEX(Projects!$D$6:$D$65,MATCH(D1593,Projects!$B$6:$B$65,0)),""))&gt;0,IFERROR(INDEX(Projects!$D$6:$D$65,MATCH(D1593,Projects!$B$6:$B$65,0)),""),IFERROR(INDEX(Clients!$G$6:$G$45,MATCH(C1593,Clients!$B$6:$B$45,0)),0))))</f>
        <v/>
      </c>
      <c r="O1593" s="14">
        <f>IF(B1593="","",IF(J1593&lt;&gt;"",0,ROUND(M1593*N1593,2)))</f>
        <v/>
      </c>
      <c r="P1593" s="15">
        <f>IF(OR(B1593="",J1593&lt;&gt;""),"",IF(L1593&lt;&gt;"",L1593,IF(COUNTIFS(Invoices!$C$6:$C$305,C1593,Invoices!$E$6:$E$305,"&lt;="&amp;B1593,Invoices!$F$6:$F$305,"&gt;="&amp;B1593)=1,INDEX(Invoices!$B$6:$B$305,SUMIFS(Invoices!$O$6:$O$305,Invoices!$C$6:$C$305,C1593,Invoices!$E$6:$E$305,"&lt;="&amp;B1593,Invoices!$F$6:$F$305,"&gt;="&amp;B1593)),IF(COUNTIFS(Invoices!$C$6:$C$305,C1593,Invoices!$E$6:$E$305,"&lt;="&amp;B1593,Invoices!$F$6:$F$305,"&gt;="&amp;B1593)&gt;1,"Two invoices",""))))</f>
        <v/>
      </c>
      <c r="Q1593" s="15">
        <f>IF(B1593="","",IF(J1593&lt;&gt;"","Not billable",IF(P1593="","To invoice",IF(P1593="Two invoices","Check dates",IF(ISNA(MATCH(P1593,Invoices!$B$6:$B$305,0)),"Check number",IF(INDEX(Invoices!$M$6:$M$305,MATCH(P1593,Invoices!$B$6:$B$305,0))="Paid","Paid",IF(INDEX(Invoices!$M$6:$M$305,MATCH(P1593,Invoices!$B$6:$B$305,0))="Draft","Draft","Invoiced")))))))</f>
        <v/>
      </c>
      <c r="R1593" s="1">
        <f>IF(AND(B1593&lt;&gt;"",P1593&lt;&gt;"",P1593=Invoice!$G$4),B1593+MOD(N(F1593),1)+ROW()/10000000,"")</f>
        <v/>
      </c>
      <c r="S1593">
        <f>IF(R1593="","",IF(D1593="","Other work",D1593)&amp;IF(AND(K1593&lt;&gt;"",E1593&lt;&gt;""),", "&amp;E1593,""))</f>
        <v/>
      </c>
      <c r="T1593">
        <f>IF(R1593="","",IF(COUNTIFS(R$6:R1592,"&gt;0",S$6:S1592,S1593,N$6:N1592,N1593)=0,R1593,""))</f>
        <v/>
      </c>
      <c r="U1593">
        <f>IF(B1593="","",IF(J1593&lt;&gt;"",0,M1593))</f>
        <v/>
      </c>
    </row>
    <row r="1594">
      <c r="A1594" s="1" t="n"/>
      <c r="B1594" s="16" t="n"/>
      <c r="C1594" s="17" t="n"/>
      <c r="D1594" s="18" t="n"/>
      <c r="E1594" s="18" t="n"/>
      <c r="F1594" s="19" t="n"/>
      <c r="G1594" s="19" t="n"/>
      <c r="H1594" s="20" t="n"/>
      <c r="I1594" s="21" t="n"/>
      <c r="J1594" s="22" t="n"/>
      <c r="K1594" s="23" t="n"/>
      <c r="L1594" s="18" t="n"/>
      <c r="M1594" s="24">
        <f>IF(B1594="","",IF(AND(F1594&lt;&gt;"",G1594&lt;&gt;""),MAX(0,ROUND(MOD(G1594-F1594,1)*24-N(H1594)/60,2)),N(I1594)))</f>
        <v/>
      </c>
      <c r="N1594" s="14">
        <f>IF(B1594="","",IF(K1594&lt;&gt;"",K1594,IF(N(IFERROR(INDEX(Projects!$D$6:$D$65,MATCH(D1594,Projects!$B$6:$B$65,0)),""))&gt;0,IFERROR(INDEX(Projects!$D$6:$D$65,MATCH(D1594,Projects!$B$6:$B$65,0)),""),IFERROR(INDEX(Clients!$G$6:$G$45,MATCH(C1594,Clients!$B$6:$B$45,0)),0))))</f>
        <v/>
      </c>
      <c r="O1594" s="14">
        <f>IF(B1594="","",IF(J1594&lt;&gt;"",0,ROUND(M1594*N1594,2)))</f>
        <v/>
      </c>
      <c r="P1594" s="15">
        <f>IF(OR(B1594="",J1594&lt;&gt;""),"",IF(L1594&lt;&gt;"",L1594,IF(COUNTIFS(Invoices!$C$6:$C$305,C1594,Invoices!$E$6:$E$305,"&lt;="&amp;B1594,Invoices!$F$6:$F$305,"&gt;="&amp;B1594)=1,INDEX(Invoices!$B$6:$B$305,SUMIFS(Invoices!$O$6:$O$305,Invoices!$C$6:$C$305,C1594,Invoices!$E$6:$E$305,"&lt;="&amp;B1594,Invoices!$F$6:$F$305,"&gt;="&amp;B1594)),IF(COUNTIFS(Invoices!$C$6:$C$305,C1594,Invoices!$E$6:$E$305,"&lt;="&amp;B1594,Invoices!$F$6:$F$305,"&gt;="&amp;B1594)&gt;1,"Two invoices",""))))</f>
        <v/>
      </c>
      <c r="Q1594" s="15">
        <f>IF(B1594="","",IF(J1594&lt;&gt;"","Not billable",IF(P1594="","To invoice",IF(P1594="Two invoices","Check dates",IF(ISNA(MATCH(P1594,Invoices!$B$6:$B$305,0)),"Check number",IF(INDEX(Invoices!$M$6:$M$305,MATCH(P1594,Invoices!$B$6:$B$305,0))="Paid","Paid",IF(INDEX(Invoices!$M$6:$M$305,MATCH(P1594,Invoices!$B$6:$B$305,0))="Draft","Draft","Invoiced")))))))</f>
        <v/>
      </c>
      <c r="R1594" s="1">
        <f>IF(AND(B1594&lt;&gt;"",P1594&lt;&gt;"",P1594=Invoice!$G$4),B1594+MOD(N(F1594),1)+ROW()/10000000,"")</f>
        <v/>
      </c>
      <c r="S1594">
        <f>IF(R1594="","",IF(D1594="","Other work",D1594)&amp;IF(AND(K1594&lt;&gt;"",E1594&lt;&gt;""),", "&amp;E1594,""))</f>
        <v/>
      </c>
      <c r="T1594">
        <f>IF(R1594="","",IF(COUNTIFS(R$6:R1593,"&gt;0",S$6:S1593,S1594,N$6:N1593,N1594)=0,R1594,""))</f>
        <v/>
      </c>
      <c r="U1594">
        <f>IF(B1594="","",IF(J1594&lt;&gt;"",0,M1594))</f>
        <v/>
      </c>
    </row>
    <row r="1595">
      <c r="A1595" s="1" t="n"/>
      <c r="B1595" s="16" t="n"/>
      <c r="C1595" s="17" t="n"/>
      <c r="D1595" s="18" t="n"/>
      <c r="E1595" s="18" t="n"/>
      <c r="F1595" s="19" t="n"/>
      <c r="G1595" s="19" t="n"/>
      <c r="H1595" s="20" t="n"/>
      <c r="I1595" s="21" t="n"/>
      <c r="J1595" s="22" t="n"/>
      <c r="K1595" s="23" t="n"/>
      <c r="L1595" s="18" t="n"/>
      <c r="M1595" s="24">
        <f>IF(B1595="","",IF(AND(F1595&lt;&gt;"",G1595&lt;&gt;""),MAX(0,ROUND(MOD(G1595-F1595,1)*24-N(H1595)/60,2)),N(I1595)))</f>
        <v/>
      </c>
      <c r="N1595" s="14">
        <f>IF(B1595="","",IF(K1595&lt;&gt;"",K1595,IF(N(IFERROR(INDEX(Projects!$D$6:$D$65,MATCH(D1595,Projects!$B$6:$B$65,0)),""))&gt;0,IFERROR(INDEX(Projects!$D$6:$D$65,MATCH(D1595,Projects!$B$6:$B$65,0)),""),IFERROR(INDEX(Clients!$G$6:$G$45,MATCH(C1595,Clients!$B$6:$B$45,0)),0))))</f>
        <v/>
      </c>
      <c r="O1595" s="14">
        <f>IF(B1595="","",IF(J1595&lt;&gt;"",0,ROUND(M1595*N1595,2)))</f>
        <v/>
      </c>
      <c r="P1595" s="15">
        <f>IF(OR(B1595="",J1595&lt;&gt;""),"",IF(L1595&lt;&gt;"",L1595,IF(COUNTIFS(Invoices!$C$6:$C$305,C1595,Invoices!$E$6:$E$305,"&lt;="&amp;B1595,Invoices!$F$6:$F$305,"&gt;="&amp;B1595)=1,INDEX(Invoices!$B$6:$B$305,SUMIFS(Invoices!$O$6:$O$305,Invoices!$C$6:$C$305,C1595,Invoices!$E$6:$E$305,"&lt;="&amp;B1595,Invoices!$F$6:$F$305,"&gt;="&amp;B1595)),IF(COUNTIFS(Invoices!$C$6:$C$305,C1595,Invoices!$E$6:$E$305,"&lt;="&amp;B1595,Invoices!$F$6:$F$305,"&gt;="&amp;B1595)&gt;1,"Two invoices",""))))</f>
        <v/>
      </c>
      <c r="Q1595" s="15">
        <f>IF(B1595="","",IF(J1595&lt;&gt;"","Not billable",IF(P1595="","To invoice",IF(P1595="Two invoices","Check dates",IF(ISNA(MATCH(P1595,Invoices!$B$6:$B$305,0)),"Check number",IF(INDEX(Invoices!$M$6:$M$305,MATCH(P1595,Invoices!$B$6:$B$305,0))="Paid","Paid",IF(INDEX(Invoices!$M$6:$M$305,MATCH(P1595,Invoices!$B$6:$B$305,0))="Draft","Draft","Invoiced")))))))</f>
        <v/>
      </c>
      <c r="R1595" s="1">
        <f>IF(AND(B1595&lt;&gt;"",P1595&lt;&gt;"",P1595=Invoice!$G$4),B1595+MOD(N(F1595),1)+ROW()/10000000,"")</f>
        <v/>
      </c>
      <c r="S1595">
        <f>IF(R1595="","",IF(D1595="","Other work",D1595)&amp;IF(AND(K1595&lt;&gt;"",E1595&lt;&gt;""),", "&amp;E1595,""))</f>
        <v/>
      </c>
      <c r="T1595">
        <f>IF(R1595="","",IF(COUNTIFS(R$6:R1594,"&gt;0",S$6:S1594,S1595,N$6:N1594,N1595)=0,R1595,""))</f>
        <v/>
      </c>
      <c r="U1595">
        <f>IF(B1595="","",IF(J1595&lt;&gt;"",0,M1595))</f>
        <v/>
      </c>
    </row>
    <row r="1596">
      <c r="A1596" s="1" t="n"/>
      <c r="B1596" s="16" t="n"/>
      <c r="C1596" s="17" t="n"/>
      <c r="D1596" s="18" t="n"/>
      <c r="E1596" s="18" t="n"/>
      <c r="F1596" s="19" t="n"/>
      <c r="G1596" s="19" t="n"/>
      <c r="H1596" s="20" t="n"/>
      <c r="I1596" s="21" t="n"/>
      <c r="J1596" s="22" t="n"/>
      <c r="K1596" s="23" t="n"/>
      <c r="L1596" s="18" t="n"/>
      <c r="M1596" s="24">
        <f>IF(B1596="","",IF(AND(F1596&lt;&gt;"",G1596&lt;&gt;""),MAX(0,ROUND(MOD(G1596-F1596,1)*24-N(H1596)/60,2)),N(I1596)))</f>
        <v/>
      </c>
      <c r="N1596" s="14">
        <f>IF(B1596="","",IF(K1596&lt;&gt;"",K1596,IF(N(IFERROR(INDEX(Projects!$D$6:$D$65,MATCH(D1596,Projects!$B$6:$B$65,0)),""))&gt;0,IFERROR(INDEX(Projects!$D$6:$D$65,MATCH(D1596,Projects!$B$6:$B$65,0)),""),IFERROR(INDEX(Clients!$G$6:$G$45,MATCH(C1596,Clients!$B$6:$B$45,0)),0))))</f>
        <v/>
      </c>
      <c r="O1596" s="14">
        <f>IF(B1596="","",IF(J1596&lt;&gt;"",0,ROUND(M1596*N1596,2)))</f>
        <v/>
      </c>
      <c r="P1596" s="15">
        <f>IF(OR(B1596="",J1596&lt;&gt;""),"",IF(L1596&lt;&gt;"",L1596,IF(COUNTIFS(Invoices!$C$6:$C$305,C1596,Invoices!$E$6:$E$305,"&lt;="&amp;B1596,Invoices!$F$6:$F$305,"&gt;="&amp;B1596)=1,INDEX(Invoices!$B$6:$B$305,SUMIFS(Invoices!$O$6:$O$305,Invoices!$C$6:$C$305,C1596,Invoices!$E$6:$E$305,"&lt;="&amp;B1596,Invoices!$F$6:$F$305,"&gt;="&amp;B1596)),IF(COUNTIFS(Invoices!$C$6:$C$305,C1596,Invoices!$E$6:$E$305,"&lt;="&amp;B1596,Invoices!$F$6:$F$305,"&gt;="&amp;B1596)&gt;1,"Two invoices",""))))</f>
        <v/>
      </c>
      <c r="Q1596" s="15">
        <f>IF(B1596="","",IF(J1596&lt;&gt;"","Not billable",IF(P1596="","To invoice",IF(P1596="Two invoices","Check dates",IF(ISNA(MATCH(P1596,Invoices!$B$6:$B$305,0)),"Check number",IF(INDEX(Invoices!$M$6:$M$305,MATCH(P1596,Invoices!$B$6:$B$305,0))="Paid","Paid",IF(INDEX(Invoices!$M$6:$M$305,MATCH(P1596,Invoices!$B$6:$B$305,0))="Draft","Draft","Invoiced")))))))</f>
        <v/>
      </c>
      <c r="R1596" s="1">
        <f>IF(AND(B1596&lt;&gt;"",P1596&lt;&gt;"",P1596=Invoice!$G$4),B1596+MOD(N(F1596),1)+ROW()/10000000,"")</f>
        <v/>
      </c>
      <c r="S1596">
        <f>IF(R1596="","",IF(D1596="","Other work",D1596)&amp;IF(AND(K1596&lt;&gt;"",E1596&lt;&gt;""),", "&amp;E1596,""))</f>
        <v/>
      </c>
      <c r="T1596">
        <f>IF(R1596="","",IF(COUNTIFS(R$6:R1595,"&gt;0",S$6:S1595,S1596,N$6:N1595,N1596)=0,R1596,""))</f>
        <v/>
      </c>
      <c r="U1596">
        <f>IF(B1596="","",IF(J1596&lt;&gt;"",0,M1596))</f>
        <v/>
      </c>
    </row>
    <row r="1597">
      <c r="A1597" s="1" t="n"/>
      <c r="B1597" s="16" t="n"/>
      <c r="C1597" s="17" t="n"/>
      <c r="D1597" s="18" t="n"/>
      <c r="E1597" s="18" t="n"/>
      <c r="F1597" s="19" t="n"/>
      <c r="G1597" s="19" t="n"/>
      <c r="H1597" s="20" t="n"/>
      <c r="I1597" s="21" t="n"/>
      <c r="J1597" s="22" t="n"/>
      <c r="K1597" s="23" t="n"/>
      <c r="L1597" s="18" t="n"/>
      <c r="M1597" s="24">
        <f>IF(B1597="","",IF(AND(F1597&lt;&gt;"",G1597&lt;&gt;""),MAX(0,ROUND(MOD(G1597-F1597,1)*24-N(H1597)/60,2)),N(I1597)))</f>
        <v/>
      </c>
      <c r="N1597" s="14">
        <f>IF(B1597="","",IF(K1597&lt;&gt;"",K1597,IF(N(IFERROR(INDEX(Projects!$D$6:$D$65,MATCH(D1597,Projects!$B$6:$B$65,0)),""))&gt;0,IFERROR(INDEX(Projects!$D$6:$D$65,MATCH(D1597,Projects!$B$6:$B$65,0)),""),IFERROR(INDEX(Clients!$G$6:$G$45,MATCH(C1597,Clients!$B$6:$B$45,0)),0))))</f>
        <v/>
      </c>
      <c r="O1597" s="14">
        <f>IF(B1597="","",IF(J1597&lt;&gt;"",0,ROUND(M1597*N1597,2)))</f>
        <v/>
      </c>
      <c r="P1597" s="15">
        <f>IF(OR(B1597="",J1597&lt;&gt;""),"",IF(L1597&lt;&gt;"",L1597,IF(COUNTIFS(Invoices!$C$6:$C$305,C1597,Invoices!$E$6:$E$305,"&lt;="&amp;B1597,Invoices!$F$6:$F$305,"&gt;="&amp;B1597)=1,INDEX(Invoices!$B$6:$B$305,SUMIFS(Invoices!$O$6:$O$305,Invoices!$C$6:$C$305,C1597,Invoices!$E$6:$E$305,"&lt;="&amp;B1597,Invoices!$F$6:$F$305,"&gt;="&amp;B1597)),IF(COUNTIFS(Invoices!$C$6:$C$305,C1597,Invoices!$E$6:$E$305,"&lt;="&amp;B1597,Invoices!$F$6:$F$305,"&gt;="&amp;B1597)&gt;1,"Two invoices",""))))</f>
        <v/>
      </c>
      <c r="Q1597" s="15">
        <f>IF(B1597="","",IF(J1597&lt;&gt;"","Not billable",IF(P1597="","To invoice",IF(P1597="Two invoices","Check dates",IF(ISNA(MATCH(P1597,Invoices!$B$6:$B$305,0)),"Check number",IF(INDEX(Invoices!$M$6:$M$305,MATCH(P1597,Invoices!$B$6:$B$305,0))="Paid","Paid",IF(INDEX(Invoices!$M$6:$M$305,MATCH(P1597,Invoices!$B$6:$B$305,0))="Draft","Draft","Invoiced")))))))</f>
        <v/>
      </c>
      <c r="R1597" s="1">
        <f>IF(AND(B1597&lt;&gt;"",P1597&lt;&gt;"",P1597=Invoice!$G$4),B1597+MOD(N(F1597),1)+ROW()/10000000,"")</f>
        <v/>
      </c>
      <c r="S1597">
        <f>IF(R1597="","",IF(D1597="","Other work",D1597)&amp;IF(AND(K1597&lt;&gt;"",E1597&lt;&gt;""),", "&amp;E1597,""))</f>
        <v/>
      </c>
      <c r="T1597">
        <f>IF(R1597="","",IF(COUNTIFS(R$6:R1596,"&gt;0",S$6:S1596,S1597,N$6:N1596,N1597)=0,R1597,""))</f>
        <v/>
      </c>
      <c r="U1597">
        <f>IF(B1597="","",IF(J1597&lt;&gt;"",0,M1597))</f>
        <v/>
      </c>
    </row>
    <row r="1598">
      <c r="A1598" s="1" t="n"/>
      <c r="B1598" s="16" t="n"/>
      <c r="C1598" s="17" t="n"/>
      <c r="D1598" s="18" t="n"/>
      <c r="E1598" s="18" t="n"/>
      <c r="F1598" s="19" t="n"/>
      <c r="G1598" s="19" t="n"/>
      <c r="H1598" s="20" t="n"/>
      <c r="I1598" s="21" t="n"/>
      <c r="J1598" s="22" t="n"/>
      <c r="K1598" s="23" t="n"/>
      <c r="L1598" s="18" t="n"/>
      <c r="M1598" s="24">
        <f>IF(B1598="","",IF(AND(F1598&lt;&gt;"",G1598&lt;&gt;""),MAX(0,ROUND(MOD(G1598-F1598,1)*24-N(H1598)/60,2)),N(I1598)))</f>
        <v/>
      </c>
      <c r="N1598" s="14">
        <f>IF(B1598="","",IF(K1598&lt;&gt;"",K1598,IF(N(IFERROR(INDEX(Projects!$D$6:$D$65,MATCH(D1598,Projects!$B$6:$B$65,0)),""))&gt;0,IFERROR(INDEX(Projects!$D$6:$D$65,MATCH(D1598,Projects!$B$6:$B$65,0)),""),IFERROR(INDEX(Clients!$G$6:$G$45,MATCH(C1598,Clients!$B$6:$B$45,0)),0))))</f>
        <v/>
      </c>
      <c r="O1598" s="14">
        <f>IF(B1598="","",IF(J1598&lt;&gt;"",0,ROUND(M1598*N1598,2)))</f>
        <v/>
      </c>
      <c r="P1598" s="15">
        <f>IF(OR(B1598="",J1598&lt;&gt;""),"",IF(L1598&lt;&gt;"",L1598,IF(COUNTIFS(Invoices!$C$6:$C$305,C1598,Invoices!$E$6:$E$305,"&lt;="&amp;B1598,Invoices!$F$6:$F$305,"&gt;="&amp;B1598)=1,INDEX(Invoices!$B$6:$B$305,SUMIFS(Invoices!$O$6:$O$305,Invoices!$C$6:$C$305,C1598,Invoices!$E$6:$E$305,"&lt;="&amp;B1598,Invoices!$F$6:$F$305,"&gt;="&amp;B1598)),IF(COUNTIFS(Invoices!$C$6:$C$305,C1598,Invoices!$E$6:$E$305,"&lt;="&amp;B1598,Invoices!$F$6:$F$305,"&gt;="&amp;B1598)&gt;1,"Two invoices",""))))</f>
        <v/>
      </c>
      <c r="Q1598" s="15">
        <f>IF(B1598="","",IF(J1598&lt;&gt;"","Not billable",IF(P1598="","To invoice",IF(P1598="Two invoices","Check dates",IF(ISNA(MATCH(P1598,Invoices!$B$6:$B$305,0)),"Check number",IF(INDEX(Invoices!$M$6:$M$305,MATCH(P1598,Invoices!$B$6:$B$305,0))="Paid","Paid",IF(INDEX(Invoices!$M$6:$M$305,MATCH(P1598,Invoices!$B$6:$B$305,0))="Draft","Draft","Invoiced")))))))</f>
        <v/>
      </c>
      <c r="R1598" s="1">
        <f>IF(AND(B1598&lt;&gt;"",P1598&lt;&gt;"",P1598=Invoice!$G$4),B1598+MOD(N(F1598),1)+ROW()/10000000,"")</f>
        <v/>
      </c>
      <c r="S1598">
        <f>IF(R1598="","",IF(D1598="","Other work",D1598)&amp;IF(AND(K1598&lt;&gt;"",E1598&lt;&gt;""),", "&amp;E1598,""))</f>
        <v/>
      </c>
      <c r="T1598">
        <f>IF(R1598="","",IF(COUNTIFS(R$6:R1597,"&gt;0",S$6:S1597,S1598,N$6:N1597,N1598)=0,R1598,""))</f>
        <v/>
      </c>
      <c r="U1598">
        <f>IF(B1598="","",IF(J1598&lt;&gt;"",0,M1598))</f>
        <v/>
      </c>
    </row>
    <row r="1599">
      <c r="A1599" s="1" t="n"/>
      <c r="B1599" s="16" t="n"/>
      <c r="C1599" s="17" t="n"/>
      <c r="D1599" s="18" t="n"/>
      <c r="E1599" s="18" t="n"/>
      <c r="F1599" s="19" t="n"/>
      <c r="G1599" s="19" t="n"/>
      <c r="H1599" s="20" t="n"/>
      <c r="I1599" s="21" t="n"/>
      <c r="J1599" s="22" t="n"/>
      <c r="K1599" s="23" t="n"/>
      <c r="L1599" s="18" t="n"/>
      <c r="M1599" s="24">
        <f>IF(B1599="","",IF(AND(F1599&lt;&gt;"",G1599&lt;&gt;""),MAX(0,ROUND(MOD(G1599-F1599,1)*24-N(H1599)/60,2)),N(I1599)))</f>
        <v/>
      </c>
      <c r="N1599" s="14">
        <f>IF(B1599="","",IF(K1599&lt;&gt;"",K1599,IF(N(IFERROR(INDEX(Projects!$D$6:$D$65,MATCH(D1599,Projects!$B$6:$B$65,0)),""))&gt;0,IFERROR(INDEX(Projects!$D$6:$D$65,MATCH(D1599,Projects!$B$6:$B$65,0)),""),IFERROR(INDEX(Clients!$G$6:$G$45,MATCH(C1599,Clients!$B$6:$B$45,0)),0))))</f>
        <v/>
      </c>
      <c r="O1599" s="14">
        <f>IF(B1599="","",IF(J1599&lt;&gt;"",0,ROUND(M1599*N1599,2)))</f>
        <v/>
      </c>
      <c r="P1599" s="15">
        <f>IF(OR(B1599="",J1599&lt;&gt;""),"",IF(L1599&lt;&gt;"",L1599,IF(COUNTIFS(Invoices!$C$6:$C$305,C1599,Invoices!$E$6:$E$305,"&lt;="&amp;B1599,Invoices!$F$6:$F$305,"&gt;="&amp;B1599)=1,INDEX(Invoices!$B$6:$B$305,SUMIFS(Invoices!$O$6:$O$305,Invoices!$C$6:$C$305,C1599,Invoices!$E$6:$E$305,"&lt;="&amp;B1599,Invoices!$F$6:$F$305,"&gt;="&amp;B1599)),IF(COUNTIFS(Invoices!$C$6:$C$305,C1599,Invoices!$E$6:$E$305,"&lt;="&amp;B1599,Invoices!$F$6:$F$305,"&gt;="&amp;B1599)&gt;1,"Two invoices",""))))</f>
        <v/>
      </c>
      <c r="Q1599" s="15">
        <f>IF(B1599="","",IF(J1599&lt;&gt;"","Not billable",IF(P1599="","To invoice",IF(P1599="Two invoices","Check dates",IF(ISNA(MATCH(P1599,Invoices!$B$6:$B$305,0)),"Check number",IF(INDEX(Invoices!$M$6:$M$305,MATCH(P1599,Invoices!$B$6:$B$305,0))="Paid","Paid",IF(INDEX(Invoices!$M$6:$M$305,MATCH(P1599,Invoices!$B$6:$B$305,0))="Draft","Draft","Invoiced")))))))</f>
        <v/>
      </c>
      <c r="R1599" s="1">
        <f>IF(AND(B1599&lt;&gt;"",P1599&lt;&gt;"",P1599=Invoice!$G$4),B1599+MOD(N(F1599),1)+ROW()/10000000,"")</f>
        <v/>
      </c>
      <c r="S1599">
        <f>IF(R1599="","",IF(D1599="","Other work",D1599)&amp;IF(AND(K1599&lt;&gt;"",E1599&lt;&gt;""),", "&amp;E1599,""))</f>
        <v/>
      </c>
      <c r="T1599">
        <f>IF(R1599="","",IF(COUNTIFS(R$6:R1598,"&gt;0",S$6:S1598,S1599,N$6:N1598,N1599)=0,R1599,""))</f>
        <v/>
      </c>
      <c r="U1599">
        <f>IF(B1599="","",IF(J1599&lt;&gt;"",0,M1599))</f>
        <v/>
      </c>
    </row>
    <row r="1600">
      <c r="A1600" s="1" t="n"/>
      <c r="B1600" s="16" t="n"/>
      <c r="C1600" s="17" t="n"/>
      <c r="D1600" s="18" t="n"/>
      <c r="E1600" s="18" t="n"/>
      <c r="F1600" s="19" t="n"/>
      <c r="G1600" s="19" t="n"/>
      <c r="H1600" s="20" t="n"/>
      <c r="I1600" s="21" t="n"/>
      <c r="J1600" s="22" t="n"/>
      <c r="K1600" s="23" t="n"/>
      <c r="L1600" s="18" t="n"/>
      <c r="M1600" s="24">
        <f>IF(B1600="","",IF(AND(F1600&lt;&gt;"",G1600&lt;&gt;""),MAX(0,ROUND(MOD(G1600-F1600,1)*24-N(H1600)/60,2)),N(I1600)))</f>
        <v/>
      </c>
      <c r="N1600" s="14">
        <f>IF(B1600="","",IF(K1600&lt;&gt;"",K1600,IF(N(IFERROR(INDEX(Projects!$D$6:$D$65,MATCH(D1600,Projects!$B$6:$B$65,0)),""))&gt;0,IFERROR(INDEX(Projects!$D$6:$D$65,MATCH(D1600,Projects!$B$6:$B$65,0)),""),IFERROR(INDEX(Clients!$G$6:$G$45,MATCH(C1600,Clients!$B$6:$B$45,0)),0))))</f>
        <v/>
      </c>
      <c r="O1600" s="14">
        <f>IF(B1600="","",IF(J1600&lt;&gt;"",0,ROUND(M1600*N1600,2)))</f>
        <v/>
      </c>
      <c r="P1600" s="15">
        <f>IF(OR(B1600="",J1600&lt;&gt;""),"",IF(L1600&lt;&gt;"",L1600,IF(COUNTIFS(Invoices!$C$6:$C$305,C1600,Invoices!$E$6:$E$305,"&lt;="&amp;B1600,Invoices!$F$6:$F$305,"&gt;="&amp;B1600)=1,INDEX(Invoices!$B$6:$B$305,SUMIFS(Invoices!$O$6:$O$305,Invoices!$C$6:$C$305,C1600,Invoices!$E$6:$E$305,"&lt;="&amp;B1600,Invoices!$F$6:$F$305,"&gt;="&amp;B1600)),IF(COUNTIFS(Invoices!$C$6:$C$305,C1600,Invoices!$E$6:$E$305,"&lt;="&amp;B1600,Invoices!$F$6:$F$305,"&gt;="&amp;B1600)&gt;1,"Two invoices",""))))</f>
        <v/>
      </c>
      <c r="Q1600" s="15">
        <f>IF(B1600="","",IF(J1600&lt;&gt;"","Not billable",IF(P1600="","To invoice",IF(P1600="Two invoices","Check dates",IF(ISNA(MATCH(P1600,Invoices!$B$6:$B$305,0)),"Check number",IF(INDEX(Invoices!$M$6:$M$305,MATCH(P1600,Invoices!$B$6:$B$305,0))="Paid","Paid",IF(INDEX(Invoices!$M$6:$M$305,MATCH(P1600,Invoices!$B$6:$B$305,0))="Draft","Draft","Invoiced")))))))</f>
        <v/>
      </c>
      <c r="R1600" s="1">
        <f>IF(AND(B1600&lt;&gt;"",P1600&lt;&gt;"",P1600=Invoice!$G$4),B1600+MOD(N(F1600),1)+ROW()/10000000,"")</f>
        <v/>
      </c>
      <c r="S1600">
        <f>IF(R1600="","",IF(D1600="","Other work",D1600)&amp;IF(AND(K1600&lt;&gt;"",E1600&lt;&gt;""),", "&amp;E1600,""))</f>
        <v/>
      </c>
      <c r="T1600">
        <f>IF(R1600="","",IF(COUNTIFS(R$6:R1599,"&gt;0",S$6:S1599,S1600,N$6:N1599,N1600)=0,R1600,""))</f>
        <v/>
      </c>
      <c r="U1600">
        <f>IF(B1600="","",IF(J1600&lt;&gt;"",0,M1600))</f>
        <v/>
      </c>
    </row>
    <row r="1601">
      <c r="A1601" s="1" t="n"/>
      <c r="B1601" s="16" t="n"/>
      <c r="C1601" s="17" t="n"/>
      <c r="D1601" s="18" t="n"/>
      <c r="E1601" s="18" t="n"/>
      <c r="F1601" s="19" t="n"/>
      <c r="G1601" s="19" t="n"/>
      <c r="H1601" s="20" t="n"/>
      <c r="I1601" s="21" t="n"/>
      <c r="J1601" s="22" t="n"/>
      <c r="K1601" s="23" t="n"/>
      <c r="L1601" s="18" t="n"/>
      <c r="M1601" s="24">
        <f>IF(B1601="","",IF(AND(F1601&lt;&gt;"",G1601&lt;&gt;""),MAX(0,ROUND(MOD(G1601-F1601,1)*24-N(H1601)/60,2)),N(I1601)))</f>
        <v/>
      </c>
      <c r="N1601" s="14">
        <f>IF(B1601="","",IF(K1601&lt;&gt;"",K1601,IF(N(IFERROR(INDEX(Projects!$D$6:$D$65,MATCH(D1601,Projects!$B$6:$B$65,0)),""))&gt;0,IFERROR(INDEX(Projects!$D$6:$D$65,MATCH(D1601,Projects!$B$6:$B$65,0)),""),IFERROR(INDEX(Clients!$G$6:$G$45,MATCH(C1601,Clients!$B$6:$B$45,0)),0))))</f>
        <v/>
      </c>
      <c r="O1601" s="14">
        <f>IF(B1601="","",IF(J1601&lt;&gt;"",0,ROUND(M1601*N1601,2)))</f>
        <v/>
      </c>
      <c r="P1601" s="15">
        <f>IF(OR(B1601="",J1601&lt;&gt;""),"",IF(L1601&lt;&gt;"",L1601,IF(COUNTIFS(Invoices!$C$6:$C$305,C1601,Invoices!$E$6:$E$305,"&lt;="&amp;B1601,Invoices!$F$6:$F$305,"&gt;="&amp;B1601)=1,INDEX(Invoices!$B$6:$B$305,SUMIFS(Invoices!$O$6:$O$305,Invoices!$C$6:$C$305,C1601,Invoices!$E$6:$E$305,"&lt;="&amp;B1601,Invoices!$F$6:$F$305,"&gt;="&amp;B1601)),IF(COUNTIFS(Invoices!$C$6:$C$305,C1601,Invoices!$E$6:$E$305,"&lt;="&amp;B1601,Invoices!$F$6:$F$305,"&gt;="&amp;B1601)&gt;1,"Two invoices",""))))</f>
        <v/>
      </c>
      <c r="Q1601" s="15">
        <f>IF(B1601="","",IF(J1601&lt;&gt;"","Not billable",IF(P1601="","To invoice",IF(P1601="Two invoices","Check dates",IF(ISNA(MATCH(P1601,Invoices!$B$6:$B$305,0)),"Check number",IF(INDEX(Invoices!$M$6:$M$305,MATCH(P1601,Invoices!$B$6:$B$305,0))="Paid","Paid",IF(INDEX(Invoices!$M$6:$M$305,MATCH(P1601,Invoices!$B$6:$B$305,0))="Draft","Draft","Invoiced")))))))</f>
        <v/>
      </c>
      <c r="R1601" s="1">
        <f>IF(AND(B1601&lt;&gt;"",P1601&lt;&gt;"",P1601=Invoice!$G$4),B1601+MOD(N(F1601),1)+ROW()/10000000,"")</f>
        <v/>
      </c>
      <c r="S1601">
        <f>IF(R1601="","",IF(D1601="","Other work",D1601)&amp;IF(AND(K1601&lt;&gt;"",E1601&lt;&gt;""),", "&amp;E1601,""))</f>
        <v/>
      </c>
      <c r="T1601">
        <f>IF(R1601="","",IF(COUNTIFS(R$6:R1600,"&gt;0",S$6:S1600,S1601,N$6:N1600,N1601)=0,R1601,""))</f>
        <v/>
      </c>
      <c r="U1601">
        <f>IF(B1601="","",IF(J1601&lt;&gt;"",0,M1601))</f>
        <v/>
      </c>
    </row>
    <row r="1602">
      <c r="A1602" s="1" t="n"/>
      <c r="B1602" s="16" t="n"/>
      <c r="C1602" s="17" t="n"/>
      <c r="D1602" s="18" t="n"/>
      <c r="E1602" s="18" t="n"/>
      <c r="F1602" s="19" t="n"/>
      <c r="G1602" s="19" t="n"/>
      <c r="H1602" s="20" t="n"/>
      <c r="I1602" s="21" t="n"/>
      <c r="J1602" s="22" t="n"/>
      <c r="K1602" s="23" t="n"/>
      <c r="L1602" s="18" t="n"/>
      <c r="M1602" s="24">
        <f>IF(B1602="","",IF(AND(F1602&lt;&gt;"",G1602&lt;&gt;""),MAX(0,ROUND(MOD(G1602-F1602,1)*24-N(H1602)/60,2)),N(I1602)))</f>
        <v/>
      </c>
      <c r="N1602" s="14">
        <f>IF(B1602="","",IF(K1602&lt;&gt;"",K1602,IF(N(IFERROR(INDEX(Projects!$D$6:$D$65,MATCH(D1602,Projects!$B$6:$B$65,0)),""))&gt;0,IFERROR(INDEX(Projects!$D$6:$D$65,MATCH(D1602,Projects!$B$6:$B$65,0)),""),IFERROR(INDEX(Clients!$G$6:$G$45,MATCH(C1602,Clients!$B$6:$B$45,0)),0))))</f>
        <v/>
      </c>
      <c r="O1602" s="14">
        <f>IF(B1602="","",IF(J1602&lt;&gt;"",0,ROUND(M1602*N1602,2)))</f>
        <v/>
      </c>
      <c r="P1602" s="15">
        <f>IF(OR(B1602="",J1602&lt;&gt;""),"",IF(L1602&lt;&gt;"",L1602,IF(COUNTIFS(Invoices!$C$6:$C$305,C1602,Invoices!$E$6:$E$305,"&lt;="&amp;B1602,Invoices!$F$6:$F$305,"&gt;="&amp;B1602)=1,INDEX(Invoices!$B$6:$B$305,SUMIFS(Invoices!$O$6:$O$305,Invoices!$C$6:$C$305,C1602,Invoices!$E$6:$E$305,"&lt;="&amp;B1602,Invoices!$F$6:$F$305,"&gt;="&amp;B1602)),IF(COUNTIFS(Invoices!$C$6:$C$305,C1602,Invoices!$E$6:$E$305,"&lt;="&amp;B1602,Invoices!$F$6:$F$305,"&gt;="&amp;B1602)&gt;1,"Two invoices",""))))</f>
        <v/>
      </c>
      <c r="Q1602" s="15">
        <f>IF(B1602="","",IF(J1602&lt;&gt;"","Not billable",IF(P1602="","To invoice",IF(P1602="Two invoices","Check dates",IF(ISNA(MATCH(P1602,Invoices!$B$6:$B$305,0)),"Check number",IF(INDEX(Invoices!$M$6:$M$305,MATCH(P1602,Invoices!$B$6:$B$305,0))="Paid","Paid",IF(INDEX(Invoices!$M$6:$M$305,MATCH(P1602,Invoices!$B$6:$B$305,0))="Draft","Draft","Invoiced")))))))</f>
        <v/>
      </c>
      <c r="R1602" s="1">
        <f>IF(AND(B1602&lt;&gt;"",P1602&lt;&gt;"",P1602=Invoice!$G$4),B1602+MOD(N(F1602),1)+ROW()/10000000,"")</f>
        <v/>
      </c>
      <c r="S1602">
        <f>IF(R1602="","",IF(D1602="","Other work",D1602)&amp;IF(AND(K1602&lt;&gt;"",E1602&lt;&gt;""),", "&amp;E1602,""))</f>
        <v/>
      </c>
      <c r="T1602">
        <f>IF(R1602="","",IF(COUNTIFS(R$6:R1601,"&gt;0",S$6:S1601,S1602,N$6:N1601,N1602)=0,R1602,""))</f>
        <v/>
      </c>
      <c r="U1602">
        <f>IF(B1602="","",IF(J1602&lt;&gt;"",0,M1602))</f>
        <v/>
      </c>
    </row>
    <row r="1603">
      <c r="A1603" s="1" t="n"/>
      <c r="B1603" s="16" t="n"/>
      <c r="C1603" s="17" t="n"/>
      <c r="D1603" s="18" t="n"/>
      <c r="E1603" s="18" t="n"/>
      <c r="F1603" s="19" t="n"/>
      <c r="G1603" s="19" t="n"/>
      <c r="H1603" s="20" t="n"/>
      <c r="I1603" s="21" t="n"/>
      <c r="J1603" s="22" t="n"/>
      <c r="K1603" s="23" t="n"/>
      <c r="L1603" s="18" t="n"/>
      <c r="M1603" s="24">
        <f>IF(B1603="","",IF(AND(F1603&lt;&gt;"",G1603&lt;&gt;""),MAX(0,ROUND(MOD(G1603-F1603,1)*24-N(H1603)/60,2)),N(I1603)))</f>
        <v/>
      </c>
      <c r="N1603" s="14">
        <f>IF(B1603="","",IF(K1603&lt;&gt;"",K1603,IF(N(IFERROR(INDEX(Projects!$D$6:$D$65,MATCH(D1603,Projects!$B$6:$B$65,0)),""))&gt;0,IFERROR(INDEX(Projects!$D$6:$D$65,MATCH(D1603,Projects!$B$6:$B$65,0)),""),IFERROR(INDEX(Clients!$G$6:$G$45,MATCH(C1603,Clients!$B$6:$B$45,0)),0))))</f>
        <v/>
      </c>
      <c r="O1603" s="14">
        <f>IF(B1603="","",IF(J1603&lt;&gt;"",0,ROUND(M1603*N1603,2)))</f>
        <v/>
      </c>
      <c r="P1603" s="15">
        <f>IF(OR(B1603="",J1603&lt;&gt;""),"",IF(L1603&lt;&gt;"",L1603,IF(COUNTIFS(Invoices!$C$6:$C$305,C1603,Invoices!$E$6:$E$305,"&lt;="&amp;B1603,Invoices!$F$6:$F$305,"&gt;="&amp;B1603)=1,INDEX(Invoices!$B$6:$B$305,SUMIFS(Invoices!$O$6:$O$305,Invoices!$C$6:$C$305,C1603,Invoices!$E$6:$E$305,"&lt;="&amp;B1603,Invoices!$F$6:$F$305,"&gt;="&amp;B1603)),IF(COUNTIFS(Invoices!$C$6:$C$305,C1603,Invoices!$E$6:$E$305,"&lt;="&amp;B1603,Invoices!$F$6:$F$305,"&gt;="&amp;B1603)&gt;1,"Two invoices",""))))</f>
        <v/>
      </c>
      <c r="Q1603" s="15">
        <f>IF(B1603="","",IF(J1603&lt;&gt;"","Not billable",IF(P1603="","To invoice",IF(P1603="Two invoices","Check dates",IF(ISNA(MATCH(P1603,Invoices!$B$6:$B$305,0)),"Check number",IF(INDEX(Invoices!$M$6:$M$305,MATCH(P1603,Invoices!$B$6:$B$305,0))="Paid","Paid",IF(INDEX(Invoices!$M$6:$M$305,MATCH(P1603,Invoices!$B$6:$B$305,0))="Draft","Draft","Invoiced")))))))</f>
        <v/>
      </c>
      <c r="R1603" s="1">
        <f>IF(AND(B1603&lt;&gt;"",P1603&lt;&gt;"",P1603=Invoice!$G$4),B1603+MOD(N(F1603),1)+ROW()/10000000,"")</f>
        <v/>
      </c>
      <c r="S1603">
        <f>IF(R1603="","",IF(D1603="","Other work",D1603)&amp;IF(AND(K1603&lt;&gt;"",E1603&lt;&gt;""),", "&amp;E1603,""))</f>
        <v/>
      </c>
      <c r="T1603">
        <f>IF(R1603="","",IF(COUNTIFS(R$6:R1602,"&gt;0",S$6:S1602,S1603,N$6:N1602,N1603)=0,R1603,""))</f>
        <v/>
      </c>
      <c r="U1603">
        <f>IF(B1603="","",IF(J1603&lt;&gt;"",0,M1603))</f>
        <v/>
      </c>
    </row>
    <row r="1604">
      <c r="A1604" s="1" t="n"/>
      <c r="B1604" s="16" t="n"/>
      <c r="C1604" s="17" t="n"/>
      <c r="D1604" s="18" t="n"/>
      <c r="E1604" s="18" t="n"/>
      <c r="F1604" s="19" t="n"/>
      <c r="G1604" s="19" t="n"/>
      <c r="H1604" s="20" t="n"/>
      <c r="I1604" s="21" t="n"/>
      <c r="J1604" s="22" t="n"/>
      <c r="K1604" s="23" t="n"/>
      <c r="L1604" s="18" t="n"/>
      <c r="M1604" s="24">
        <f>IF(B1604="","",IF(AND(F1604&lt;&gt;"",G1604&lt;&gt;""),MAX(0,ROUND(MOD(G1604-F1604,1)*24-N(H1604)/60,2)),N(I1604)))</f>
        <v/>
      </c>
      <c r="N1604" s="14">
        <f>IF(B1604="","",IF(K1604&lt;&gt;"",K1604,IF(N(IFERROR(INDEX(Projects!$D$6:$D$65,MATCH(D1604,Projects!$B$6:$B$65,0)),""))&gt;0,IFERROR(INDEX(Projects!$D$6:$D$65,MATCH(D1604,Projects!$B$6:$B$65,0)),""),IFERROR(INDEX(Clients!$G$6:$G$45,MATCH(C1604,Clients!$B$6:$B$45,0)),0))))</f>
        <v/>
      </c>
      <c r="O1604" s="14">
        <f>IF(B1604="","",IF(J1604&lt;&gt;"",0,ROUND(M1604*N1604,2)))</f>
        <v/>
      </c>
      <c r="P1604" s="15">
        <f>IF(OR(B1604="",J1604&lt;&gt;""),"",IF(L1604&lt;&gt;"",L1604,IF(COUNTIFS(Invoices!$C$6:$C$305,C1604,Invoices!$E$6:$E$305,"&lt;="&amp;B1604,Invoices!$F$6:$F$305,"&gt;="&amp;B1604)=1,INDEX(Invoices!$B$6:$B$305,SUMIFS(Invoices!$O$6:$O$305,Invoices!$C$6:$C$305,C1604,Invoices!$E$6:$E$305,"&lt;="&amp;B1604,Invoices!$F$6:$F$305,"&gt;="&amp;B1604)),IF(COUNTIFS(Invoices!$C$6:$C$305,C1604,Invoices!$E$6:$E$305,"&lt;="&amp;B1604,Invoices!$F$6:$F$305,"&gt;="&amp;B1604)&gt;1,"Two invoices",""))))</f>
        <v/>
      </c>
      <c r="Q1604" s="15">
        <f>IF(B1604="","",IF(J1604&lt;&gt;"","Not billable",IF(P1604="","To invoice",IF(P1604="Two invoices","Check dates",IF(ISNA(MATCH(P1604,Invoices!$B$6:$B$305,0)),"Check number",IF(INDEX(Invoices!$M$6:$M$305,MATCH(P1604,Invoices!$B$6:$B$305,0))="Paid","Paid",IF(INDEX(Invoices!$M$6:$M$305,MATCH(P1604,Invoices!$B$6:$B$305,0))="Draft","Draft","Invoiced")))))))</f>
        <v/>
      </c>
      <c r="R1604" s="1">
        <f>IF(AND(B1604&lt;&gt;"",P1604&lt;&gt;"",P1604=Invoice!$G$4),B1604+MOD(N(F1604),1)+ROW()/10000000,"")</f>
        <v/>
      </c>
      <c r="S1604">
        <f>IF(R1604="","",IF(D1604="","Other work",D1604)&amp;IF(AND(K1604&lt;&gt;"",E1604&lt;&gt;""),", "&amp;E1604,""))</f>
        <v/>
      </c>
      <c r="T1604">
        <f>IF(R1604="","",IF(COUNTIFS(R$6:R1603,"&gt;0",S$6:S1603,S1604,N$6:N1603,N1604)=0,R1604,""))</f>
        <v/>
      </c>
      <c r="U1604">
        <f>IF(B1604="","",IF(J1604&lt;&gt;"",0,M1604))</f>
        <v/>
      </c>
    </row>
    <row r="1605">
      <c r="A1605" s="1" t="n"/>
      <c r="B1605" s="16" t="n"/>
      <c r="C1605" s="17" t="n"/>
      <c r="D1605" s="18" t="n"/>
      <c r="E1605" s="18" t="n"/>
      <c r="F1605" s="19" t="n"/>
      <c r="G1605" s="19" t="n"/>
      <c r="H1605" s="20" t="n"/>
      <c r="I1605" s="21" t="n"/>
      <c r="J1605" s="22" t="n"/>
      <c r="K1605" s="23" t="n"/>
      <c r="L1605" s="18" t="n"/>
      <c r="M1605" s="24">
        <f>IF(B1605="","",IF(AND(F1605&lt;&gt;"",G1605&lt;&gt;""),MAX(0,ROUND(MOD(G1605-F1605,1)*24-N(H1605)/60,2)),N(I1605)))</f>
        <v/>
      </c>
      <c r="N1605" s="14">
        <f>IF(B1605="","",IF(K1605&lt;&gt;"",K1605,IF(N(IFERROR(INDEX(Projects!$D$6:$D$65,MATCH(D1605,Projects!$B$6:$B$65,0)),""))&gt;0,IFERROR(INDEX(Projects!$D$6:$D$65,MATCH(D1605,Projects!$B$6:$B$65,0)),""),IFERROR(INDEX(Clients!$G$6:$G$45,MATCH(C1605,Clients!$B$6:$B$45,0)),0))))</f>
        <v/>
      </c>
      <c r="O1605" s="14">
        <f>IF(B1605="","",IF(J1605&lt;&gt;"",0,ROUND(M1605*N1605,2)))</f>
        <v/>
      </c>
      <c r="P1605" s="15">
        <f>IF(OR(B1605="",J1605&lt;&gt;""),"",IF(L1605&lt;&gt;"",L1605,IF(COUNTIFS(Invoices!$C$6:$C$305,C1605,Invoices!$E$6:$E$305,"&lt;="&amp;B1605,Invoices!$F$6:$F$305,"&gt;="&amp;B1605)=1,INDEX(Invoices!$B$6:$B$305,SUMIFS(Invoices!$O$6:$O$305,Invoices!$C$6:$C$305,C1605,Invoices!$E$6:$E$305,"&lt;="&amp;B1605,Invoices!$F$6:$F$305,"&gt;="&amp;B1605)),IF(COUNTIFS(Invoices!$C$6:$C$305,C1605,Invoices!$E$6:$E$305,"&lt;="&amp;B1605,Invoices!$F$6:$F$305,"&gt;="&amp;B1605)&gt;1,"Two invoices",""))))</f>
        <v/>
      </c>
      <c r="Q1605" s="15">
        <f>IF(B1605="","",IF(J1605&lt;&gt;"","Not billable",IF(P1605="","To invoice",IF(P1605="Two invoices","Check dates",IF(ISNA(MATCH(P1605,Invoices!$B$6:$B$305,0)),"Check number",IF(INDEX(Invoices!$M$6:$M$305,MATCH(P1605,Invoices!$B$6:$B$305,0))="Paid","Paid",IF(INDEX(Invoices!$M$6:$M$305,MATCH(P1605,Invoices!$B$6:$B$305,0))="Draft","Draft","Invoiced")))))))</f>
        <v/>
      </c>
      <c r="R1605" s="1">
        <f>IF(AND(B1605&lt;&gt;"",P1605&lt;&gt;"",P1605=Invoice!$G$4),B1605+MOD(N(F1605),1)+ROW()/10000000,"")</f>
        <v/>
      </c>
      <c r="S1605">
        <f>IF(R1605="","",IF(D1605="","Other work",D1605)&amp;IF(AND(K1605&lt;&gt;"",E1605&lt;&gt;""),", "&amp;E1605,""))</f>
        <v/>
      </c>
      <c r="T1605">
        <f>IF(R1605="","",IF(COUNTIFS(R$6:R1604,"&gt;0",S$6:S1604,S1605,N$6:N1604,N1605)=0,R1605,""))</f>
        <v/>
      </c>
      <c r="U1605">
        <f>IF(B1605="","",IF(J1605&lt;&gt;"",0,M1605))</f>
        <v/>
      </c>
    </row>
    <row r="1606">
      <c r="A1606" s="1" t="n"/>
      <c r="B1606" s="16" t="n"/>
      <c r="C1606" s="17" t="n"/>
      <c r="D1606" s="18" t="n"/>
      <c r="E1606" s="18" t="n"/>
      <c r="F1606" s="19" t="n"/>
      <c r="G1606" s="19" t="n"/>
      <c r="H1606" s="20" t="n"/>
      <c r="I1606" s="21" t="n"/>
      <c r="J1606" s="22" t="n"/>
      <c r="K1606" s="23" t="n"/>
      <c r="L1606" s="18" t="n"/>
      <c r="M1606" s="24">
        <f>IF(B1606="","",IF(AND(F1606&lt;&gt;"",G1606&lt;&gt;""),MAX(0,ROUND(MOD(G1606-F1606,1)*24-N(H1606)/60,2)),N(I1606)))</f>
        <v/>
      </c>
      <c r="N1606" s="14">
        <f>IF(B1606="","",IF(K1606&lt;&gt;"",K1606,IF(N(IFERROR(INDEX(Projects!$D$6:$D$65,MATCH(D1606,Projects!$B$6:$B$65,0)),""))&gt;0,IFERROR(INDEX(Projects!$D$6:$D$65,MATCH(D1606,Projects!$B$6:$B$65,0)),""),IFERROR(INDEX(Clients!$G$6:$G$45,MATCH(C1606,Clients!$B$6:$B$45,0)),0))))</f>
        <v/>
      </c>
      <c r="O1606" s="14">
        <f>IF(B1606="","",IF(J1606&lt;&gt;"",0,ROUND(M1606*N1606,2)))</f>
        <v/>
      </c>
      <c r="P1606" s="15">
        <f>IF(OR(B1606="",J1606&lt;&gt;""),"",IF(L1606&lt;&gt;"",L1606,IF(COUNTIFS(Invoices!$C$6:$C$305,C1606,Invoices!$E$6:$E$305,"&lt;="&amp;B1606,Invoices!$F$6:$F$305,"&gt;="&amp;B1606)=1,INDEX(Invoices!$B$6:$B$305,SUMIFS(Invoices!$O$6:$O$305,Invoices!$C$6:$C$305,C1606,Invoices!$E$6:$E$305,"&lt;="&amp;B1606,Invoices!$F$6:$F$305,"&gt;="&amp;B1606)),IF(COUNTIFS(Invoices!$C$6:$C$305,C1606,Invoices!$E$6:$E$305,"&lt;="&amp;B1606,Invoices!$F$6:$F$305,"&gt;="&amp;B1606)&gt;1,"Two invoices",""))))</f>
        <v/>
      </c>
      <c r="Q1606" s="15">
        <f>IF(B1606="","",IF(J1606&lt;&gt;"","Not billable",IF(P1606="","To invoice",IF(P1606="Two invoices","Check dates",IF(ISNA(MATCH(P1606,Invoices!$B$6:$B$305,0)),"Check number",IF(INDEX(Invoices!$M$6:$M$305,MATCH(P1606,Invoices!$B$6:$B$305,0))="Paid","Paid",IF(INDEX(Invoices!$M$6:$M$305,MATCH(P1606,Invoices!$B$6:$B$305,0))="Draft","Draft","Invoiced")))))))</f>
        <v/>
      </c>
      <c r="R1606" s="1">
        <f>IF(AND(B1606&lt;&gt;"",P1606&lt;&gt;"",P1606=Invoice!$G$4),B1606+MOD(N(F1606),1)+ROW()/10000000,"")</f>
        <v/>
      </c>
      <c r="S1606">
        <f>IF(R1606="","",IF(D1606="","Other work",D1606)&amp;IF(AND(K1606&lt;&gt;"",E1606&lt;&gt;""),", "&amp;E1606,""))</f>
        <v/>
      </c>
      <c r="T1606">
        <f>IF(R1606="","",IF(COUNTIFS(R$6:R1605,"&gt;0",S$6:S1605,S1606,N$6:N1605,N1606)=0,R1606,""))</f>
        <v/>
      </c>
      <c r="U1606">
        <f>IF(B1606="","",IF(J1606&lt;&gt;"",0,M1606))</f>
        <v/>
      </c>
    </row>
    <row r="1607">
      <c r="A1607" s="1" t="n"/>
      <c r="B1607" s="16" t="n"/>
      <c r="C1607" s="17" t="n"/>
      <c r="D1607" s="18" t="n"/>
      <c r="E1607" s="18" t="n"/>
      <c r="F1607" s="19" t="n"/>
      <c r="G1607" s="19" t="n"/>
      <c r="H1607" s="20" t="n"/>
      <c r="I1607" s="21" t="n"/>
      <c r="J1607" s="22" t="n"/>
      <c r="K1607" s="23" t="n"/>
      <c r="L1607" s="18" t="n"/>
      <c r="M1607" s="24">
        <f>IF(B1607="","",IF(AND(F1607&lt;&gt;"",G1607&lt;&gt;""),MAX(0,ROUND(MOD(G1607-F1607,1)*24-N(H1607)/60,2)),N(I1607)))</f>
        <v/>
      </c>
      <c r="N1607" s="14">
        <f>IF(B1607="","",IF(K1607&lt;&gt;"",K1607,IF(N(IFERROR(INDEX(Projects!$D$6:$D$65,MATCH(D1607,Projects!$B$6:$B$65,0)),""))&gt;0,IFERROR(INDEX(Projects!$D$6:$D$65,MATCH(D1607,Projects!$B$6:$B$65,0)),""),IFERROR(INDEX(Clients!$G$6:$G$45,MATCH(C1607,Clients!$B$6:$B$45,0)),0))))</f>
        <v/>
      </c>
      <c r="O1607" s="14">
        <f>IF(B1607="","",IF(J1607&lt;&gt;"",0,ROUND(M1607*N1607,2)))</f>
        <v/>
      </c>
      <c r="P1607" s="15">
        <f>IF(OR(B1607="",J1607&lt;&gt;""),"",IF(L1607&lt;&gt;"",L1607,IF(COUNTIFS(Invoices!$C$6:$C$305,C1607,Invoices!$E$6:$E$305,"&lt;="&amp;B1607,Invoices!$F$6:$F$305,"&gt;="&amp;B1607)=1,INDEX(Invoices!$B$6:$B$305,SUMIFS(Invoices!$O$6:$O$305,Invoices!$C$6:$C$305,C1607,Invoices!$E$6:$E$305,"&lt;="&amp;B1607,Invoices!$F$6:$F$305,"&gt;="&amp;B1607)),IF(COUNTIFS(Invoices!$C$6:$C$305,C1607,Invoices!$E$6:$E$305,"&lt;="&amp;B1607,Invoices!$F$6:$F$305,"&gt;="&amp;B1607)&gt;1,"Two invoices",""))))</f>
        <v/>
      </c>
      <c r="Q1607" s="15">
        <f>IF(B1607="","",IF(J1607&lt;&gt;"","Not billable",IF(P1607="","To invoice",IF(P1607="Two invoices","Check dates",IF(ISNA(MATCH(P1607,Invoices!$B$6:$B$305,0)),"Check number",IF(INDEX(Invoices!$M$6:$M$305,MATCH(P1607,Invoices!$B$6:$B$305,0))="Paid","Paid",IF(INDEX(Invoices!$M$6:$M$305,MATCH(P1607,Invoices!$B$6:$B$305,0))="Draft","Draft","Invoiced")))))))</f>
        <v/>
      </c>
      <c r="R1607" s="1">
        <f>IF(AND(B1607&lt;&gt;"",P1607&lt;&gt;"",P1607=Invoice!$G$4),B1607+MOD(N(F1607),1)+ROW()/10000000,"")</f>
        <v/>
      </c>
      <c r="S1607">
        <f>IF(R1607="","",IF(D1607="","Other work",D1607)&amp;IF(AND(K1607&lt;&gt;"",E1607&lt;&gt;""),", "&amp;E1607,""))</f>
        <v/>
      </c>
      <c r="T1607">
        <f>IF(R1607="","",IF(COUNTIFS(R$6:R1606,"&gt;0",S$6:S1606,S1607,N$6:N1606,N1607)=0,R1607,""))</f>
        <v/>
      </c>
      <c r="U1607">
        <f>IF(B1607="","",IF(J1607&lt;&gt;"",0,M1607))</f>
        <v/>
      </c>
    </row>
    <row r="1608">
      <c r="A1608" s="1" t="n"/>
      <c r="B1608" s="16" t="n"/>
      <c r="C1608" s="17" t="n"/>
      <c r="D1608" s="18" t="n"/>
      <c r="E1608" s="18" t="n"/>
      <c r="F1608" s="19" t="n"/>
      <c r="G1608" s="19" t="n"/>
      <c r="H1608" s="20" t="n"/>
      <c r="I1608" s="21" t="n"/>
      <c r="J1608" s="22" t="n"/>
      <c r="K1608" s="23" t="n"/>
      <c r="L1608" s="18" t="n"/>
      <c r="M1608" s="24">
        <f>IF(B1608="","",IF(AND(F1608&lt;&gt;"",G1608&lt;&gt;""),MAX(0,ROUND(MOD(G1608-F1608,1)*24-N(H1608)/60,2)),N(I1608)))</f>
        <v/>
      </c>
      <c r="N1608" s="14">
        <f>IF(B1608="","",IF(K1608&lt;&gt;"",K1608,IF(N(IFERROR(INDEX(Projects!$D$6:$D$65,MATCH(D1608,Projects!$B$6:$B$65,0)),""))&gt;0,IFERROR(INDEX(Projects!$D$6:$D$65,MATCH(D1608,Projects!$B$6:$B$65,0)),""),IFERROR(INDEX(Clients!$G$6:$G$45,MATCH(C1608,Clients!$B$6:$B$45,0)),0))))</f>
        <v/>
      </c>
      <c r="O1608" s="14">
        <f>IF(B1608="","",IF(J1608&lt;&gt;"",0,ROUND(M1608*N1608,2)))</f>
        <v/>
      </c>
      <c r="P1608" s="15">
        <f>IF(OR(B1608="",J1608&lt;&gt;""),"",IF(L1608&lt;&gt;"",L1608,IF(COUNTIFS(Invoices!$C$6:$C$305,C1608,Invoices!$E$6:$E$305,"&lt;="&amp;B1608,Invoices!$F$6:$F$305,"&gt;="&amp;B1608)=1,INDEX(Invoices!$B$6:$B$305,SUMIFS(Invoices!$O$6:$O$305,Invoices!$C$6:$C$305,C1608,Invoices!$E$6:$E$305,"&lt;="&amp;B1608,Invoices!$F$6:$F$305,"&gt;="&amp;B1608)),IF(COUNTIFS(Invoices!$C$6:$C$305,C1608,Invoices!$E$6:$E$305,"&lt;="&amp;B1608,Invoices!$F$6:$F$305,"&gt;="&amp;B1608)&gt;1,"Two invoices",""))))</f>
        <v/>
      </c>
      <c r="Q1608" s="15">
        <f>IF(B1608="","",IF(J1608&lt;&gt;"","Not billable",IF(P1608="","To invoice",IF(P1608="Two invoices","Check dates",IF(ISNA(MATCH(P1608,Invoices!$B$6:$B$305,0)),"Check number",IF(INDEX(Invoices!$M$6:$M$305,MATCH(P1608,Invoices!$B$6:$B$305,0))="Paid","Paid",IF(INDEX(Invoices!$M$6:$M$305,MATCH(P1608,Invoices!$B$6:$B$305,0))="Draft","Draft","Invoiced")))))))</f>
        <v/>
      </c>
      <c r="R1608" s="1">
        <f>IF(AND(B1608&lt;&gt;"",P1608&lt;&gt;"",P1608=Invoice!$G$4),B1608+MOD(N(F1608),1)+ROW()/10000000,"")</f>
        <v/>
      </c>
      <c r="S1608">
        <f>IF(R1608="","",IF(D1608="","Other work",D1608)&amp;IF(AND(K1608&lt;&gt;"",E1608&lt;&gt;""),", "&amp;E1608,""))</f>
        <v/>
      </c>
      <c r="T1608">
        <f>IF(R1608="","",IF(COUNTIFS(R$6:R1607,"&gt;0",S$6:S1607,S1608,N$6:N1607,N1608)=0,R1608,""))</f>
        <v/>
      </c>
      <c r="U1608">
        <f>IF(B1608="","",IF(J1608&lt;&gt;"",0,M1608))</f>
        <v/>
      </c>
    </row>
    <row r="1609">
      <c r="A1609" s="1" t="n"/>
      <c r="B1609" s="16" t="n"/>
      <c r="C1609" s="17" t="n"/>
      <c r="D1609" s="18" t="n"/>
      <c r="E1609" s="18" t="n"/>
      <c r="F1609" s="19" t="n"/>
      <c r="G1609" s="19" t="n"/>
      <c r="H1609" s="20" t="n"/>
      <c r="I1609" s="21" t="n"/>
      <c r="J1609" s="22" t="n"/>
      <c r="K1609" s="23" t="n"/>
      <c r="L1609" s="18" t="n"/>
      <c r="M1609" s="24">
        <f>IF(B1609="","",IF(AND(F1609&lt;&gt;"",G1609&lt;&gt;""),MAX(0,ROUND(MOD(G1609-F1609,1)*24-N(H1609)/60,2)),N(I1609)))</f>
        <v/>
      </c>
      <c r="N1609" s="14">
        <f>IF(B1609="","",IF(K1609&lt;&gt;"",K1609,IF(N(IFERROR(INDEX(Projects!$D$6:$D$65,MATCH(D1609,Projects!$B$6:$B$65,0)),""))&gt;0,IFERROR(INDEX(Projects!$D$6:$D$65,MATCH(D1609,Projects!$B$6:$B$65,0)),""),IFERROR(INDEX(Clients!$G$6:$G$45,MATCH(C1609,Clients!$B$6:$B$45,0)),0))))</f>
        <v/>
      </c>
      <c r="O1609" s="14">
        <f>IF(B1609="","",IF(J1609&lt;&gt;"",0,ROUND(M1609*N1609,2)))</f>
        <v/>
      </c>
      <c r="P1609" s="15">
        <f>IF(OR(B1609="",J1609&lt;&gt;""),"",IF(L1609&lt;&gt;"",L1609,IF(COUNTIFS(Invoices!$C$6:$C$305,C1609,Invoices!$E$6:$E$305,"&lt;="&amp;B1609,Invoices!$F$6:$F$305,"&gt;="&amp;B1609)=1,INDEX(Invoices!$B$6:$B$305,SUMIFS(Invoices!$O$6:$O$305,Invoices!$C$6:$C$305,C1609,Invoices!$E$6:$E$305,"&lt;="&amp;B1609,Invoices!$F$6:$F$305,"&gt;="&amp;B1609)),IF(COUNTIFS(Invoices!$C$6:$C$305,C1609,Invoices!$E$6:$E$305,"&lt;="&amp;B1609,Invoices!$F$6:$F$305,"&gt;="&amp;B1609)&gt;1,"Two invoices",""))))</f>
        <v/>
      </c>
      <c r="Q1609" s="15">
        <f>IF(B1609="","",IF(J1609&lt;&gt;"","Not billable",IF(P1609="","To invoice",IF(P1609="Two invoices","Check dates",IF(ISNA(MATCH(P1609,Invoices!$B$6:$B$305,0)),"Check number",IF(INDEX(Invoices!$M$6:$M$305,MATCH(P1609,Invoices!$B$6:$B$305,0))="Paid","Paid",IF(INDEX(Invoices!$M$6:$M$305,MATCH(P1609,Invoices!$B$6:$B$305,0))="Draft","Draft","Invoiced")))))))</f>
        <v/>
      </c>
      <c r="R1609" s="1">
        <f>IF(AND(B1609&lt;&gt;"",P1609&lt;&gt;"",P1609=Invoice!$G$4),B1609+MOD(N(F1609),1)+ROW()/10000000,"")</f>
        <v/>
      </c>
      <c r="S1609">
        <f>IF(R1609="","",IF(D1609="","Other work",D1609)&amp;IF(AND(K1609&lt;&gt;"",E1609&lt;&gt;""),", "&amp;E1609,""))</f>
        <v/>
      </c>
      <c r="T1609">
        <f>IF(R1609="","",IF(COUNTIFS(R$6:R1608,"&gt;0",S$6:S1608,S1609,N$6:N1608,N1609)=0,R1609,""))</f>
        <v/>
      </c>
      <c r="U1609">
        <f>IF(B1609="","",IF(J1609&lt;&gt;"",0,M1609))</f>
        <v/>
      </c>
    </row>
    <row r="1610">
      <c r="A1610" s="1" t="n"/>
      <c r="B1610" s="16" t="n"/>
      <c r="C1610" s="17" t="n"/>
      <c r="D1610" s="18" t="n"/>
      <c r="E1610" s="18" t="n"/>
      <c r="F1610" s="19" t="n"/>
      <c r="G1610" s="19" t="n"/>
      <c r="H1610" s="20" t="n"/>
      <c r="I1610" s="21" t="n"/>
      <c r="J1610" s="22" t="n"/>
      <c r="K1610" s="23" t="n"/>
      <c r="L1610" s="18" t="n"/>
      <c r="M1610" s="24">
        <f>IF(B1610="","",IF(AND(F1610&lt;&gt;"",G1610&lt;&gt;""),MAX(0,ROUND(MOD(G1610-F1610,1)*24-N(H1610)/60,2)),N(I1610)))</f>
        <v/>
      </c>
      <c r="N1610" s="14">
        <f>IF(B1610="","",IF(K1610&lt;&gt;"",K1610,IF(N(IFERROR(INDEX(Projects!$D$6:$D$65,MATCH(D1610,Projects!$B$6:$B$65,0)),""))&gt;0,IFERROR(INDEX(Projects!$D$6:$D$65,MATCH(D1610,Projects!$B$6:$B$65,0)),""),IFERROR(INDEX(Clients!$G$6:$G$45,MATCH(C1610,Clients!$B$6:$B$45,0)),0))))</f>
        <v/>
      </c>
      <c r="O1610" s="14">
        <f>IF(B1610="","",IF(J1610&lt;&gt;"",0,ROUND(M1610*N1610,2)))</f>
        <v/>
      </c>
      <c r="P1610" s="15">
        <f>IF(OR(B1610="",J1610&lt;&gt;""),"",IF(L1610&lt;&gt;"",L1610,IF(COUNTIFS(Invoices!$C$6:$C$305,C1610,Invoices!$E$6:$E$305,"&lt;="&amp;B1610,Invoices!$F$6:$F$305,"&gt;="&amp;B1610)=1,INDEX(Invoices!$B$6:$B$305,SUMIFS(Invoices!$O$6:$O$305,Invoices!$C$6:$C$305,C1610,Invoices!$E$6:$E$305,"&lt;="&amp;B1610,Invoices!$F$6:$F$305,"&gt;="&amp;B1610)),IF(COUNTIFS(Invoices!$C$6:$C$305,C1610,Invoices!$E$6:$E$305,"&lt;="&amp;B1610,Invoices!$F$6:$F$305,"&gt;="&amp;B1610)&gt;1,"Two invoices",""))))</f>
        <v/>
      </c>
      <c r="Q1610" s="15">
        <f>IF(B1610="","",IF(J1610&lt;&gt;"","Not billable",IF(P1610="","To invoice",IF(P1610="Two invoices","Check dates",IF(ISNA(MATCH(P1610,Invoices!$B$6:$B$305,0)),"Check number",IF(INDEX(Invoices!$M$6:$M$305,MATCH(P1610,Invoices!$B$6:$B$305,0))="Paid","Paid",IF(INDEX(Invoices!$M$6:$M$305,MATCH(P1610,Invoices!$B$6:$B$305,0))="Draft","Draft","Invoiced")))))))</f>
        <v/>
      </c>
      <c r="R1610" s="1">
        <f>IF(AND(B1610&lt;&gt;"",P1610&lt;&gt;"",P1610=Invoice!$G$4),B1610+MOD(N(F1610),1)+ROW()/10000000,"")</f>
        <v/>
      </c>
      <c r="S1610">
        <f>IF(R1610="","",IF(D1610="","Other work",D1610)&amp;IF(AND(K1610&lt;&gt;"",E1610&lt;&gt;""),", "&amp;E1610,""))</f>
        <v/>
      </c>
      <c r="T1610">
        <f>IF(R1610="","",IF(COUNTIFS(R$6:R1609,"&gt;0",S$6:S1609,S1610,N$6:N1609,N1610)=0,R1610,""))</f>
        <v/>
      </c>
      <c r="U1610">
        <f>IF(B1610="","",IF(J1610&lt;&gt;"",0,M1610))</f>
        <v/>
      </c>
    </row>
    <row r="1611">
      <c r="A1611" s="1" t="n"/>
      <c r="B1611" s="16" t="n"/>
      <c r="C1611" s="17" t="n"/>
      <c r="D1611" s="18" t="n"/>
      <c r="E1611" s="18" t="n"/>
      <c r="F1611" s="19" t="n"/>
      <c r="G1611" s="19" t="n"/>
      <c r="H1611" s="20" t="n"/>
      <c r="I1611" s="21" t="n"/>
      <c r="J1611" s="22" t="n"/>
      <c r="K1611" s="23" t="n"/>
      <c r="L1611" s="18" t="n"/>
      <c r="M1611" s="24">
        <f>IF(B1611="","",IF(AND(F1611&lt;&gt;"",G1611&lt;&gt;""),MAX(0,ROUND(MOD(G1611-F1611,1)*24-N(H1611)/60,2)),N(I1611)))</f>
        <v/>
      </c>
      <c r="N1611" s="14">
        <f>IF(B1611="","",IF(K1611&lt;&gt;"",K1611,IF(N(IFERROR(INDEX(Projects!$D$6:$D$65,MATCH(D1611,Projects!$B$6:$B$65,0)),""))&gt;0,IFERROR(INDEX(Projects!$D$6:$D$65,MATCH(D1611,Projects!$B$6:$B$65,0)),""),IFERROR(INDEX(Clients!$G$6:$G$45,MATCH(C1611,Clients!$B$6:$B$45,0)),0))))</f>
        <v/>
      </c>
      <c r="O1611" s="14">
        <f>IF(B1611="","",IF(J1611&lt;&gt;"",0,ROUND(M1611*N1611,2)))</f>
        <v/>
      </c>
      <c r="P1611" s="15">
        <f>IF(OR(B1611="",J1611&lt;&gt;""),"",IF(L1611&lt;&gt;"",L1611,IF(COUNTIFS(Invoices!$C$6:$C$305,C1611,Invoices!$E$6:$E$305,"&lt;="&amp;B1611,Invoices!$F$6:$F$305,"&gt;="&amp;B1611)=1,INDEX(Invoices!$B$6:$B$305,SUMIFS(Invoices!$O$6:$O$305,Invoices!$C$6:$C$305,C1611,Invoices!$E$6:$E$305,"&lt;="&amp;B1611,Invoices!$F$6:$F$305,"&gt;="&amp;B1611)),IF(COUNTIFS(Invoices!$C$6:$C$305,C1611,Invoices!$E$6:$E$305,"&lt;="&amp;B1611,Invoices!$F$6:$F$305,"&gt;="&amp;B1611)&gt;1,"Two invoices",""))))</f>
        <v/>
      </c>
      <c r="Q1611" s="15">
        <f>IF(B1611="","",IF(J1611&lt;&gt;"","Not billable",IF(P1611="","To invoice",IF(P1611="Two invoices","Check dates",IF(ISNA(MATCH(P1611,Invoices!$B$6:$B$305,0)),"Check number",IF(INDEX(Invoices!$M$6:$M$305,MATCH(P1611,Invoices!$B$6:$B$305,0))="Paid","Paid",IF(INDEX(Invoices!$M$6:$M$305,MATCH(P1611,Invoices!$B$6:$B$305,0))="Draft","Draft","Invoiced")))))))</f>
        <v/>
      </c>
      <c r="R1611" s="1">
        <f>IF(AND(B1611&lt;&gt;"",P1611&lt;&gt;"",P1611=Invoice!$G$4),B1611+MOD(N(F1611),1)+ROW()/10000000,"")</f>
        <v/>
      </c>
      <c r="S1611">
        <f>IF(R1611="","",IF(D1611="","Other work",D1611)&amp;IF(AND(K1611&lt;&gt;"",E1611&lt;&gt;""),", "&amp;E1611,""))</f>
        <v/>
      </c>
      <c r="T1611">
        <f>IF(R1611="","",IF(COUNTIFS(R$6:R1610,"&gt;0",S$6:S1610,S1611,N$6:N1610,N1611)=0,R1611,""))</f>
        <v/>
      </c>
      <c r="U1611">
        <f>IF(B1611="","",IF(J1611&lt;&gt;"",0,M1611))</f>
        <v/>
      </c>
    </row>
    <row r="1612">
      <c r="A1612" s="1" t="n"/>
      <c r="B1612" s="16" t="n"/>
      <c r="C1612" s="17" t="n"/>
      <c r="D1612" s="18" t="n"/>
      <c r="E1612" s="18" t="n"/>
      <c r="F1612" s="19" t="n"/>
      <c r="G1612" s="19" t="n"/>
      <c r="H1612" s="20" t="n"/>
      <c r="I1612" s="21" t="n"/>
      <c r="J1612" s="22" t="n"/>
      <c r="K1612" s="23" t="n"/>
      <c r="L1612" s="18" t="n"/>
      <c r="M1612" s="24">
        <f>IF(B1612="","",IF(AND(F1612&lt;&gt;"",G1612&lt;&gt;""),MAX(0,ROUND(MOD(G1612-F1612,1)*24-N(H1612)/60,2)),N(I1612)))</f>
        <v/>
      </c>
      <c r="N1612" s="14">
        <f>IF(B1612="","",IF(K1612&lt;&gt;"",K1612,IF(N(IFERROR(INDEX(Projects!$D$6:$D$65,MATCH(D1612,Projects!$B$6:$B$65,0)),""))&gt;0,IFERROR(INDEX(Projects!$D$6:$D$65,MATCH(D1612,Projects!$B$6:$B$65,0)),""),IFERROR(INDEX(Clients!$G$6:$G$45,MATCH(C1612,Clients!$B$6:$B$45,0)),0))))</f>
        <v/>
      </c>
      <c r="O1612" s="14">
        <f>IF(B1612="","",IF(J1612&lt;&gt;"",0,ROUND(M1612*N1612,2)))</f>
        <v/>
      </c>
      <c r="P1612" s="15">
        <f>IF(OR(B1612="",J1612&lt;&gt;""),"",IF(L1612&lt;&gt;"",L1612,IF(COUNTIFS(Invoices!$C$6:$C$305,C1612,Invoices!$E$6:$E$305,"&lt;="&amp;B1612,Invoices!$F$6:$F$305,"&gt;="&amp;B1612)=1,INDEX(Invoices!$B$6:$B$305,SUMIFS(Invoices!$O$6:$O$305,Invoices!$C$6:$C$305,C1612,Invoices!$E$6:$E$305,"&lt;="&amp;B1612,Invoices!$F$6:$F$305,"&gt;="&amp;B1612)),IF(COUNTIFS(Invoices!$C$6:$C$305,C1612,Invoices!$E$6:$E$305,"&lt;="&amp;B1612,Invoices!$F$6:$F$305,"&gt;="&amp;B1612)&gt;1,"Two invoices",""))))</f>
        <v/>
      </c>
      <c r="Q1612" s="15">
        <f>IF(B1612="","",IF(J1612&lt;&gt;"","Not billable",IF(P1612="","To invoice",IF(P1612="Two invoices","Check dates",IF(ISNA(MATCH(P1612,Invoices!$B$6:$B$305,0)),"Check number",IF(INDEX(Invoices!$M$6:$M$305,MATCH(P1612,Invoices!$B$6:$B$305,0))="Paid","Paid",IF(INDEX(Invoices!$M$6:$M$305,MATCH(P1612,Invoices!$B$6:$B$305,0))="Draft","Draft","Invoiced")))))))</f>
        <v/>
      </c>
      <c r="R1612" s="1">
        <f>IF(AND(B1612&lt;&gt;"",P1612&lt;&gt;"",P1612=Invoice!$G$4),B1612+MOD(N(F1612),1)+ROW()/10000000,"")</f>
        <v/>
      </c>
      <c r="S1612">
        <f>IF(R1612="","",IF(D1612="","Other work",D1612)&amp;IF(AND(K1612&lt;&gt;"",E1612&lt;&gt;""),", "&amp;E1612,""))</f>
        <v/>
      </c>
      <c r="T1612">
        <f>IF(R1612="","",IF(COUNTIFS(R$6:R1611,"&gt;0",S$6:S1611,S1612,N$6:N1611,N1612)=0,R1612,""))</f>
        <v/>
      </c>
      <c r="U1612">
        <f>IF(B1612="","",IF(J1612&lt;&gt;"",0,M1612))</f>
        <v/>
      </c>
    </row>
    <row r="1613">
      <c r="A1613" s="1" t="n"/>
      <c r="B1613" s="16" t="n"/>
      <c r="C1613" s="17" t="n"/>
      <c r="D1613" s="18" t="n"/>
      <c r="E1613" s="18" t="n"/>
      <c r="F1613" s="19" t="n"/>
      <c r="G1613" s="19" t="n"/>
      <c r="H1613" s="20" t="n"/>
      <c r="I1613" s="21" t="n"/>
      <c r="J1613" s="22" t="n"/>
      <c r="K1613" s="23" t="n"/>
      <c r="L1613" s="18" t="n"/>
      <c r="M1613" s="24">
        <f>IF(B1613="","",IF(AND(F1613&lt;&gt;"",G1613&lt;&gt;""),MAX(0,ROUND(MOD(G1613-F1613,1)*24-N(H1613)/60,2)),N(I1613)))</f>
        <v/>
      </c>
      <c r="N1613" s="14">
        <f>IF(B1613="","",IF(K1613&lt;&gt;"",K1613,IF(N(IFERROR(INDEX(Projects!$D$6:$D$65,MATCH(D1613,Projects!$B$6:$B$65,0)),""))&gt;0,IFERROR(INDEX(Projects!$D$6:$D$65,MATCH(D1613,Projects!$B$6:$B$65,0)),""),IFERROR(INDEX(Clients!$G$6:$G$45,MATCH(C1613,Clients!$B$6:$B$45,0)),0))))</f>
        <v/>
      </c>
      <c r="O1613" s="14">
        <f>IF(B1613="","",IF(J1613&lt;&gt;"",0,ROUND(M1613*N1613,2)))</f>
        <v/>
      </c>
      <c r="P1613" s="15">
        <f>IF(OR(B1613="",J1613&lt;&gt;""),"",IF(L1613&lt;&gt;"",L1613,IF(COUNTIFS(Invoices!$C$6:$C$305,C1613,Invoices!$E$6:$E$305,"&lt;="&amp;B1613,Invoices!$F$6:$F$305,"&gt;="&amp;B1613)=1,INDEX(Invoices!$B$6:$B$305,SUMIFS(Invoices!$O$6:$O$305,Invoices!$C$6:$C$305,C1613,Invoices!$E$6:$E$305,"&lt;="&amp;B1613,Invoices!$F$6:$F$305,"&gt;="&amp;B1613)),IF(COUNTIFS(Invoices!$C$6:$C$305,C1613,Invoices!$E$6:$E$305,"&lt;="&amp;B1613,Invoices!$F$6:$F$305,"&gt;="&amp;B1613)&gt;1,"Two invoices",""))))</f>
        <v/>
      </c>
      <c r="Q1613" s="15">
        <f>IF(B1613="","",IF(J1613&lt;&gt;"","Not billable",IF(P1613="","To invoice",IF(P1613="Two invoices","Check dates",IF(ISNA(MATCH(P1613,Invoices!$B$6:$B$305,0)),"Check number",IF(INDEX(Invoices!$M$6:$M$305,MATCH(P1613,Invoices!$B$6:$B$305,0))="Paid","Paid",IF(INDEX(Invoices!$M$6:$M$305,MATCH(P1613,Invoices!$B$6:$B$305,0))="Draft","Draft","Invoiced")))))))</f>
        <v/>
      </c>
      <c r="R1613" s="1">
        <f>IF(AND(B1613&lt;&gt;"",P1613&lt;&gt;"",P1613=Invoice!$G$4),B1613+MOD(N(F1613),1)+ROW()/10000000,"")</f>
        <v/>
      </c>
      <c r="S1613">
        <f>IF(R1613="","",IF(D1613="","Other work",D1613)&amp;IF(AND(K1613&lt;&gt;"",E1613&lt;&gt;""),", "&amp;E1613,""))</f>
        <v/>
      </c>
      <c r="T1613">
        <f>IF(R1613="","",IF(COUNTIFS(R$6:R1612,"&gt;0",S$6:S1612,S1613,N$6:N1612,N1613)=0,R1613,""))</f>
        <v/>
      </c>
      <c r="U1613">
        <f>IF(B1613="","",IF(J1613&lt;&gt;"",0,M1613))</f>
        <v/>
      </c>
    </row>
    <row r="1614">
      <c r="A1614" s="1" t="n"/>
      <c r="B1614" s="16" t="n"/>
      <c r="C1614" s="17" t="n"/>
      <c r="D1614" s="18" t="n"/>
      <c r="E1614" s="18" t="n"/>
      <c r="F1614" s="19" t="n"/>
      <c r="G1614" s="19" t="n"/>
      <c r="H1614" s="20" t="n"/>
      <c r="I1614" s="21" t="n"/>
      <c r="J1614" s="22" t="n"/>
      <c r="K1614" s="23" t="n"/>
      <c r="L1614" s="18" t="n"/>
      <c r="M1614" s="24">
        <f>IF(B1614="","",IF(AND(F1614&lt;&gt;"",G1614&lt;&gt;""),MAX(0,ROUND(MOD(G1614-F1614,1)*24-N(H1614)/60,2)),N(I1614)))</f>
        <v/>
      </c>
      <c r="N1614" s="14">
        <f>IF(B1614="","",IF(K1614&lt;&gt;"",K1614,IF(N(IFERROR(INDEX(Projects!$D$6:$D$65,MATCH(D1614,Projects!$B$6:$B$65,0)),""))&gt;0,IFERROR(INDEX(Projects!$D$6:$D$65,MATCH(D1614,Projects!$B$6:$B$65,0)),""),IFERROR(INDEX(Clients!$G$6:$G$45,MATCH(C1614,Clients!$B$6:$B$45,0)),0))))</f>
        <v/>
      </c>
      <c r="O1614" s="14">
        <f>IF(B1614="","",IF(J1614&lt;&gt;"",0,ROUND(M1614*N1614,2)))</f>
        <v/>
      </c>
      <c r="P1614" s="15">
        <f>IF(OR(B1614="",J1614&lt;&gt;""),"",IF(L1614&lt;&gt;"",L1614,IF(COUNTIFS(Invoices!$C$6:$C$305,C1614,Invoices!$E$6:$E$305,"&lt;="&amp;B1614,Invoices!$F$6:$F$305,"&gt;="&amp;B1614)=1,INDEX(Invoices!$B$6:$B$305,SUMIFS(Invoices!$O$6:$O$305,Invoices!$C$6:$C$305,C1614,Invoices!$E$6:$E$305,"&lt;="&amp;B1614,Invoices!$F$6:$F$305,"&gt;="&amp;B1614)),IF(COUNTIFS(Invoices!$C$6:$C$305,C1614,Invoices!$E$6:$E$305,"&lt;="&amp;B1614,Invoices!$F$6:$F$305,"&gt;="&amp;B1614)&gt;1,"Two invoices",""))))</f>
        <v/>
      </c>
      <c r="Q1614" s="15">
        <f>IF(B1614="","",IF(J1614&lt;&gt;"","Not billable",IF(P1614="","To invoice",IF(P1614="Two invoices","Check dates",IF(ISNA(MATCH(P1614,Invoices!$B$6:$B$305,0)),"Check number",IF(INDEX(Invoices!$M$6:$M$305,MATCH(P1614,Invoices!$B$6:$B$305,0))="Paid","Paid",IF(INDEX(Invoices!$M$6:$M$305,MATCH(P1614,Invoices!$B$6:$B$305,0))="Draft","Draft","Invoiced")))))))</f>
        <v/>
      </c>
      <c r="R1614" s="1">
        <f>IF(AND(B1614&lt;&gt;"",P1614&lt;&gt;"",P1614=Invoice!$G$4),B1614+MOD(N(F1614),1)+ROW()/10000000,"")</f>
        <v/>
      </c>
      <c r="S1614">
        <f>IF(R1614="","",IF(D1614="","Other work",D1614)&amp;IF(AND(K1614&lt;&gt;"",E1614&lt;&gt;""),", "&amp;E1614,""))</f>
        <v/>
      </c>
      <c r="T1614">
        <f>IF(R1614="","",IF(COUNTIFS(R$6:R1613,"&gt;0",S$6:S1613,S1614,N$6:N1613,N1614)=0,R1614,""))</f>
        <v/>
      </c>
      <c r="U1614">
        <f>IF(B1614="","",IF(J1614&lt;&gt;"",0,M1614))</f>
        <v/>
      </c>
    </row>
    <row r="1615">
      <c r="A1615" s="1" t="n"/>
      <c r="B1615" s="16" t="n"/>
      <c r="C1615" s="17" t="n"/>
      <c r="D1615" s="18" t="n"/>
      <c r="E1615" s="18" t="n"/>
      <c r="F1615" s="19" t="n"/>
      <c r="G1615" s="19" t="n"/>
      <c r="H1615" s="20" t="n"/>
      <c r="I1615" s="21" t="n"/>
      <c r="J1615" s="22" t="n"/>
      <c r="K1615" s="23" t="n"/>
      <c r="L1615" s="18" t="n"/>
      <c r="M1615" s="24">
        <f>IF(B1615="","",IF(AND(F1615&lt;&gt;"",G1615&lt;&gt;""),MAX(0,ROUND(MOD(G1615-F1615,1)*24-N(H1615)/60,2)),N(I1615)))</f>
        <v/>
      </c>
      <c r="N1615" s="14">
        <f>IF(B1615="","",IF(K1615&lt;&gt;"",K1615,IF(N(IFERROR(INDEX(Projects!$D$6:$D$65,MATCH(D1615,Projects!$B$6:$B$65,0)),""))&gt;0,IFERROR(INDEX(Projects!$D$6:$D$65,MATCH(D1615,Projects!$B$6:$B$65,0)),""),IFERROR(INDEX(Clients!$G$6:$G$45,MATCH(C1615,Clients!$B$6:$B$45,0)),0))))</f>
        <v/>
      </c>
      <c r="O1615" s="14">
        <f>IF(B1615="","",IF(J1615&lt;&gt;"",0,ROUND(M1615*N1615,2)))</f>
        <v/>
      </c>
      <c r="P1615" s="15">
        <f>IF(OR(B1615="",J1615&lt;&gt;""),"",IF(L1615&lt;&gt;"",L1615,IF(COUNTIFS(Invoices!$C$6:$C$305,C1615,Invoices!$E$6:$E$305,"&lt;="&amp;B1615,Invoices!$F$6:$F$305,"&gt;="&amp;B1615)=1,INDEX(Invoices!$B$6:$B$305,SUMIFS(Invoices!$O$6:$O$305,Invoices!$C$6:$C$305,C1615,Invoices!$E$6:$E$305,"&lt;="&amp;B1615,Invoices!$F$6:$F$305,"&gt;="&amp;B1615)),IF(COUNTIFS(Invoices!$C$6:$C$305,C1615,Invoices!$E$6:$E$305,"&lt;="&amp;B1615,Invoices!$F$6:$F$305,"&gt;="&amp;B1615)&gt;1,"Two invoices",""))))</f>
        <v/>
      </c>
      <c r="Q1615" s="15">
        <f>IF(B1615="","",IF(J1615&lt;&gt;"","Not billable",IF(P1615="","To invoice",IF(P1615="Two invoices","Check dates",IF(ISNA(MATCH(P1615,Invoices!$B$6:$B$305,0)),"Check number",IF(INDEX(Invoices!$M$6:$M$305,MATCH(P1615,Invoices!$B$6:$B$305,0))="Paid","Paid",IF(INDEX(Invoices!$M$6:$M$305,MATCH(P1615,Invoices!$B$6:$B$305,0))="Draft","Draft","Invoiced")))))))</f>
        <v/>
      </c>
      <c r="R1615" s="1">
        <f>IF(AND(B1615&lt;&gt;"",P1615&lt;&gt;"",P1615=Invoice!$G$4),B1615+MOD(N(F1615),1)+ROW()/10000000,"")</f>
        <v/>
      </c>
      <c r="S1615">
        <f>IF(R1615="","",IF(D1615="","Other work",D1615)&amp;IF(AND(K1615&lt;&gt;"",E1615&lt;&gt;""),", "&amp;E1615,""))</f>
        <v/>
      </c>
      <c r="T1615">
        <f>IF(R1615="","",IF(COUNTIFS(R$6:R1614,"&gt;0",S$6:S1614,S1615,N$6:N1614,N1615)=0,R1615,""))</f>
        <v/>
      </c>
      <c r="U1615">
        <f>IF(B1615="","",IF(J1615&lt;&gt;"",0,M1615))</f>
        <v/>
      </c>
    </row>
    <row r="1616">
      <c r="A1616" s="1" t="n"/>
      <c r="B1616" s="16" t="n"/>
      <c r="C1616" s="17" t="n"/>
      <c r="D1616" s="18" t="n"/>
      <c r="E1616" s="18" t="n"/>
      <c r="F1616" s="19" t="n"/>
      <c r="G1616" s="19" t="n"/>
      <c r="H1616" s="20" t="n"/>
      <c r="I1616" s="21" t="n"/>
      <c r="J1616" s="22" t="n"/>
      <c r="K1616" s="23" t="n"/>
      <c r="L1616" s="18" t="n"/>
      <c r="M1616" s="24">
        <f>IF(B1616="","",IF(AND(F1616&lt;&gt;"",G1616&lt;&gt;""),MAX(0,ROUND(MOD(G1616-F1616,1)*24-N(H1616)/60,2)),N(I1616)))</f>
        <v/>
      </c>
      <c r="N1616" s="14">
        <f>IF(B1616="","",IF(K1616&lt;&gt;"",K1616,IF(N(IFERROR(INDEX(Projects!$D$6:$D$65,MATCH(D1616,Projects!$B$6:$B$65,0)),""))&gt;0,IFERROR(INDEX(Projects!$D$6:$D$65,MATCH(D1616,Projects!$B$6:$B$65,0)),""),IFERROR(INDEX(Clients!$G$6:$G$45,MATCH(C1616,Clients!$B$6:$B$45,0)),0))))</f>
        <v/>
      </c>
      <c r="O1616" s="14">
        <f>IF(B1616="","",IF(J1616&lt;&gt;"",0,ROUND(M1616*N1616,2)))</f>
        <v/>
      </c>
      <c r="P1616" s="15">
        <f>IF(OR(B1616="",J1616&lt;&gt;""),"",IF(L1616&lt;&gt;"",L1616,IF(COUNTIFS(Invoices!$C$6:$C$305,C1616,Invoices!$E$6:$E$305,"&lt;="&amp;B1616,Invoices!$F$6:$F$305,"&gt;="&amp;B1616)=1,INDEX(Invoices!$B$6:$B$305,SUMIFS(Invoices!$O$6:$O$305,Invoices!$C$6:$C$305,C1616,Invoices!$E$6:$E$305,"&lt;="&amp;B1616,Invoices!$F$6:$F$305,"&gt;="&amp;B1616)),IF(COUNTIFS(Invoices!$C$6:$C$305,C1616,Invoices!$E$6:$E$305,"&lt;="&amp;B1616,Invoices!$F$6:$F$305,"&gt;="&amp;B1616)&gt;1,"Two invoices",""))))</f>
        <v/>
      </c>
      <c r="Q1616" s="15">
        <f>IF(B1616="","",IF(J1616&lt;&gt;"","Not billable",IF(P1616="","To invoice",IF(P1616="Two invoices","Check dates",IF(ISNA(MATCH(P1616,Invoices!$B$6:$B$305,0)),"Check number",IF(INDEX(Invoices!$M$6:$M$305,MATCH(P1616,Invoices!$B$6:$B$305,0))="Paid","Paid",IF(INDEX(Invoices!$M$6:$M$305,MATCH(P1616,Invoices!$B$6:$B$305,0))="Draft","Draft","Invoiced")))))))</f>
        <v/>
      </c>
      <c r="R1616" s="1">
        <f>IF(AND(B1616&lt;&gt;"",P1616&lt;&gt;"",P1616=Invoice!$G$4),B1616+MOD(N(F1616),1)+ROW()/10000000,"")</f>
        <v/>
      </c>
      <c r="S1616">
        <f>IF(R1616="","",IF(D1616="","Other work",D1616)&amp;IF(AND(K1616&lt;&gt;"",E1616&lt;&gt;""),", "&amp;E1616,""))</f>
        <v/>
      </c>
      <c r="T1616">
        <f>IF(R1616="","",IF(COUNTIFS(R$6:R1615,"&gt;0",S$6:S1615,S1616,N$6:N1615,N1616)=0,R1616,""))</f>
        <v/>
      </c>
      <c r="U1616">
        <f>IF(B1616="","",IF(J1616&lt;&gt;"",0,M1616))</f>
        <v/>
      </c>
    </row>
    <row r="1617">
      <c r="A1617" s="1" t="n"/>
      <c r="B1617" s="16" t="n"/>
      <c r="C1617" s="17" t="n"/>
      <c r="D1617" s="18" t="n"/>
      <c r="E1617" s="18" t="n"/>
      <c r="F1617" s="19" t="n"/>
      <c r="G1617" s="19" t="n"/>
      <c r="H1617" s="20" t="n"/>
      <c r="I1617" s="21" t="n"/>
      <c r="J1617" s="22" t="n"/>
      <c r="K1617" s="23" t="n"/>
      <c r="L1617" s="18" t="n"/>
      <c r="M1617" s="24">
        <f>IF(B1617="","",IF(AND(F1617&lt;&gt;"",G1617&lt;&gt;""),MAX(0,ROUND(MOD(G1617-F1617,1)*24-N(H1617)/60,2)),N(I1617)))</f>
        <v/>
      </c>
      <c r="N1617" s="14">
        <f>IF(B1617="","",IF(K1617&lt;&gt;"",K1617,IF(N(IFERROR(INDEX(Projects!$D$6:$D$65,MATCH(D1617,Projects!$B$6:$B$65,0)),""))&gt;0,IFERROR(INDEX(Projects!$D$6:$D$65,MATCH(D1617,Projects!$B$6:$B$65,0)),""),IFERROR(INDEX(Clients!$G$6:$G$45,MATCH(C1617,Clients!$B$6:$B$45,0)),0))))</f>
        <v/>
      </c>
      <c r="O1617" s="14">
        <f>IF(B1617="","",IF(J1617&lt;&gt;"",0,ROUND(M1617*N1617,2)))</f>
        <v/>
      </c>
      <c r="P1617" s="15">
        <f>IF(OR(B1617="",J1617&lt;&gt;""),"",IF(L1617&lt;&gt;"",L1617,IF(COUNTIFS(Invoices!$C$6:$C$305,C1617,Invoices!$E$6:$E$305,"&lt;="&amp;B1617,Invoices!$F$6:$F$305,"&gt;="&amp;B1617)=1,INDEX(Invoices!$B$6:$B$305,SUMIFS(Invoices!$O$6:$O$305,Invoices!$C$6:$C$305,C1617,Invoices!$E$6:$E$305,"&lt;="&amp;B1617,Invoices!$F$6:$F$305,"&gt;="&amp;B1617)),IF(COUNTIFS(Invoices!$C$6:$C$305,C1617,Invoices!$E$6:$E$305,"&lt;="&amp;B1617,Invoices!$F$6:$F$305,"&gt;="&amp;B1617)&gt;1,"Two invoices",""))))</f>
        <v/>
      </c>
      <c r="Q1617" s="15">
        <f>IF(B1617="","",IF(J1617&lt;&gt;"","Not billable",IF(P1617="","To invoice",IF(P1617="Two invoices","Check dates",IF(ISNA(MATCH(P1617,Invoices!$B$6:$B$305,0)),"Check number",IF(INDEX(Invoices!$M$6:$M$305,MATCH(P1617,Invoices!$B$6:$B$305,0))="Paid","Paid",IF(INDEX(Invoices!$M$6:$M$305,MATCH(P1617,Invoices!$B$6:$B$305,0))="Draft","Draft","Invoiced")))))))</f>
        <v/>
      </c>
      <c r="R1617" s="1">
        <f>IF(AND(B1617&lt;&gt;"",P1617&lt;&gt;"",P1617=Invoice!$G$4),B1617+MOD(N(F1617),1)+ROW()/10000000,"")</f>
        <v/>
      </c>
      <c r="S1617">
        <f>IF(R1617="","",IF(D1617="","Other work",D1617)&amp;IF(AND(K1617&lt;&gt;"",E1617&lt;&gt;""),", "&amp;E1617,""))</f>
        <v/>
      </c>
      <c r="T1617">
        <f>IF(R1617="","",IF(COUNTIFS(R$6:R1616,"&gt;0",S$6:S1616,S1617,N$6:N1616,N1617)=0,R1617,""))</f>
        <v/>
      </c>
      <c r="U1617">
        <f>IF(B1617="","",IF(J1617&lt;&gt;"",0,M1617))</f>
        <v/>
      </c>
    </row>
    <row r="1618">
      <c r="A1618" s="1" t="n"/>
      <c r="B1618" s="16" t="n"/>
      <c r="C1618" s="17" t="n"/>
      <c r="D1618" s="18" t="n"/>
      <c r="E1618" s="18" t="n"/>
      <c r="F1618" s="19" t="n"/>
      <c r="G1618" s="19" t="n"/>
      <c r="H1618" s="20" t="n"/>
      <c r="I1618" s="21" t="n"/>
      <c r="J1618" s="22" t="n"/>
      <c r="K1618" s="23" t="n"/>
      <c r="L1618" s="18" t="n"/>
      <c r="M1618" s="24">
        <f>IF(B1618="","",IF(AND(F1618&lt;&gt;"",G1618&lt;&gt;""),MAX(0,ROUND(MOD(G1618-F1618,1)*24-N(H1618)/60,2)),N(I1618)))</f>
        <v/>
      </c>
      <c r="N1618" s="14">
        <f>IF(B1618="","",IF(K1618&lt;&gt;"",K1618,IF(N(IFERROR(INDEX(Projects!$D$6:$D$65,MATCH(D1618,Projects!$B$6:$B$65,0)),""))&gt;0,IFERROR(INDEX(Projects!$D$6:$D$65,MATCH(D1618,Projects!$B$6:$B$65,0)),""),IFERROR(INDEX(Clients!$G$6:$G$45,MATCH(C1618,Clients!$B$6:$B$45,0)),0))))</f>
        <v/>
      </c>
      <c r="O1618" s="14">
        <f>IF(B1618="","",IF(J1618&lt;&gt;"",0,ROUND(M1618*N1618,2)))</f>
        <v/>
      </c>
      <c r="P1618" s="15">
        <f>IF(OR(B1618="",J1618&lt;&gt;""),"",IF(L1618&lt;&gt;"",L1618,IF(COUNTIFS(Invoices!$C$6:$C$305,C1618,Invoices!$E$6:$E$305,"&lt;="&amp;B1618,Invoices!$F$6:$F$305,"&gt;="&amp;B1618)=1,INDEX(Invoices!$B$6:$B$305,SUMIFS(Invoices!$O$6:$O$305,Invoices!$C$6:$C$305,C1618,Invoices!$E$6:$E$305,"&lt;="&amp;B1618,Invoices!$F$6:$F$305,"&gt;="&amp;B1618)),IF(COUNTIFS(Invoices!$C$6:$C$305,C1618,Invoices!$E$6:$E$305,"&lt;="&amp;B1618,Invoices!$F$6:$F$305,"&gt;="&amp;B1618)&gt;1,"Two invoices",""))))</f>
        <v/>
      </c>
      <c r="Q1618" s="15">
        <f>IF(B1618="","",IF(J1618&lt;&gt;"","Not billable",IF(P1618="","To invoice",IF(P1618="Two invoices","Check dates",IF(ISNA(MATCH(P1618,Invoices!$B$6:$B$305,0)),"Check number",IF(INDEX(Invoices!$M$6:$M$305,MATCH(P1618,Invoices!$B$6:$B$305,0))="Paid","Paid",IF(INDEX(Invoices!$M$6:$M$305,MATCH(P1618,Invoices!$B$6:$B$305,0))="Draft","Draft","Invoiced")))))))</f>
        <v/>
      </c>
      <c r="R1618" s="1">
        <f>IF(AND(B1618&lt;&gt;"",P1618&lt;&gt;"",P1618=Invoice!$G$4),B1618+MOD(N(F1618),1)+ROW()/10000000,"")</f>
        <v/>
      </c>
      <c r="S1618">
        <f>IF(R1618="","",IF(D1618="","Other work",D1618)&amp;IF(AND(K1618&lt;&gt;"",E1618&lt;&gt;""),", "&amp;E1618,""))</f>
        <v/>
      </c>
      <c r="T1618">
        <f>IF(R1618="","",IF(COUNTIFS(R$6:R1617,"&gt;0",S$6:S1617,S1618,N$6:N1617,N1618)=0,R1618,""))</f>
        <v/>
      </c>
      <c r="U1618">
        <f>IF(B1618="","",IF(J1618&lt;&gt;"",0,M1618))</f>
        <v/>
      </c>
    </row>
    <row r="1619">
      <c r="A1619" s="1" t="n"/>
      <c r="B1619" s="16" t="n"/>
      <c r="C1619" s="17" t="n"/>
      <c r="D1619" s="18" t="n"/>
      <c r="E1619" s="18" t="n"/>
      <c r="F1619" s="19" t="n"/>
      <c r="G1619" s="19" t="n"/>
      <c r="H1619" s="20" t="n"/>
      <c r="I1619" s="21" t="n"/>
      <c r="J1619" s="22" t="n"/>
      <c r="K1619" s="23" t="n"/>
      <c r="L1619" s="18" t="n"/>
      <c r="M1619" s="24">
        <f>IF(B1619="","",IF(AND(F1619&lt;&gt;"",G1619&lt;&gt;""),MAX(0,ROUND(MOD(G1619-F1619,1)*24-N(H1619)/60,2)),N(I1619)))</f>
        <v/>
      </c>
      <c r="N1619" s="14">
        <f>IF(B1619="","",IF(K1619&lt;&gt;"",K1619,IF(N(IFERROR(INDEX(Projects!$D$6:$D$65,MATCH(D1619,Projects!$B$6:$B$65,0)),""))&gt;0,IFERROR(INDEX(Projects!$D$6:$D$65,MATCH(D1619,Projects!$B$6:$B$65,0)),""),IFERROR(INDEX(Clients!$G$6:$G$45,MATCH(C1619,Clients!$B$6:$B$45,0)),0))))</f>
        <v/>
      </c>
      <c r="O1619" s="14">
        <f>IF(B1619="","",IF(J1619&lt;&gt;"",0,ROUND(M1619*N1619,2)))</f>
        <v/>
      </c>
      <c r="P1619" s="15">
        <f>IF(OR(B1619="",J1619&lt;&gt;""),"",IF(L1619&lt;&gt;"",L1619,IF(COUNTIFS(Invoices!$C$6:$C$305,C1619,Invoices!$E$6:$E$305,"&lt;="&amp;B1619,Invoices!$F$6:$F$305,"&gt;="&amp;B1619)=1,INDEX(Invoices!$B$6:$B$305,SUMIFS(Invoices!$O$6:$O$305,Invoices!$C$6:$C$305,C1619,Invoices!$E$6:$E$305,"&lt;="&amp;B1619,Invoices!$F$6:$F$305,"&gt;="&amp;B1619)),IF(COUNTIFS(Invoices!$C$6:$C$305,C1619,Invoices!$E$6:$E$305,"&lt;="&amp;B1619,Invoices!$F$6:$F$305,"&gt;="&amp;B1619)&gt;1,"Two invoices",""))))</f>
        <v/>
      </c>
      <c r="Q1619" s="15">
        <f>IF(B1619="","",IF(J1619&lt;&gt;"","Not billable",IF(P1619="","To invoice",IF(P1619="Two invoices","Check dates",IF(ISNA(MATCH(P1619,Invoices!$B$6:$B$305,0)),"Check number",IF(INDEX(Invoices!$M$6:$M$305,MATCH(P1619,Invoices!$B$6:$B$305,0))="Paid","Paid",IF(INDEX(Invoices!$M$6:$M$305,MATCH(P1619,Invoices!$B$6:$B$305,0))="Draft","Draft","Invoiced")))))))</f>
        <v/>
      </c>
      <c r="R1619" s="1">
        <f>IF(AND(B1619&lt;&gt;"",P1619&lt;&gt;"",P1619=Invoice!$G$4),B1619+MOD(N(F1619),1)+ROW()/10000000,"")</f>
        <v/>
      </c>
      <c r="S1619">
        <f>IF(R1619="","",IF(D1619="","Other work",D1619)&amp;IF(AND(K1619&lt;&gt;"",E1619&lt;&gt;""),", "&amp;E1619,""))</f>
        <v/>
      </c>
      <c r="T1619">
        <f>IF(R1619="","",IF(COUNTIFS(R$6:R1618,"&gt;0",S$6:S1618,S1619,N$6:N1618,N1619)=0,R1619,""))</f>
        <v/>
      </c>
      <c r="U1619">
        <f>IF(B1619="","",IF(J1619&lt;&gt;"",0,M1619))</f>
        <v/>
      </c>
    </row>
    <row r="1620">
      <c r="A1620" s="1" t="n"/>
      <c r="B1620" s="16" t="n"/>
      <c r="C1620" s="17" t="n"/>
      <c r="D1620" s="18" t="n"/>
      <c r="E1620" s="18" t="n"/>
      <c r="F1620" s="19" t="n"/>
      <c r="G1620" s="19" t="n"/>
      <c r="H1620" s="20" t="n"/>
      <c r="I1620" s="21" t="n"/>
      <c r="J1620" s="22" t="n"/>
      <c r="K1620" s="23" t="n"/>
      <c r="L1620" s="18" t="n"/>
      <c r="M1620" s="24">
        <f>IF(B1620="","",IF(AND(F1620&lt;&gt;"",G1620&lt;&gt;""),MAX(0,ROUND(MOD(G1620-F1620,1)*24-N(H1620)/60,2)),N(I1620)))</f>
        <v/>
      </c>
      <c r="N1620" s="14">
        <f>IF(B1620="","",IF(K1620&lt;&gt;"",K1620,IF(N(IFERROR(INDEX(Projects!$D$6:$D$65,MATCH(D1620,Projects!$B$6:$B$65,0)),""))&gt;0,IFERROR(INDEX(Projects!$D$6:$D$65,MATCH(D1620,Projects!$B$6:$B$65,0)),""),IFERROR(INDEX(Clients!$G$6:$G$45,MATCH(C1620,Clients!$B$6:$B$45,0)),0))))</f>
        <v/>
      </c>
      <c r="O1620" s="14">
        <f>IF(B1620="","",IF(J1620&lt;&gt;"",0,ROUND(M1620*N1620,2)))</f>
        <v/>
      </c>
      <c r="P1620" s="15">
        <f>IF(OR(B1620="",J1620&lt;&gt;""),"",IF(L1620&lt;&gt;"",L1620,IF(COUNTIFS(Invoices!$C$6:$C$305,C1620,Invoices!$E$6:$E$305,"&lt;="&amp;B1620,Invoices!$F$6:$F$305,"&gt;="&amp;B1620)=1,INDEX(Invoices!$B$6:$B$305,SUMIFS(Invoices!$O$6:$O$305,Invoices!$C$6:$C$305,C1620,Invoices!$E$6:$E$305,"&lt;="&amp;B1620,Invoices!$F$6:$F$305,"&gt;="&amp;B1620)),IF(COUNTIFS(Invoices!$C$6:$C$305,C1620,Invoices!$E$6:$E$305,"&lt;="&amp;B1620,Invoices!$F$6:$F$305,"&gt;="&amp;B1620)&gt;1,"Two invoices",""))))</f>
        <v/>
      </c>
      <c r="Q1620" s="15">
        <f>IF(B1620="","",IF(J1620&lt;&gt;"","Not billable",IF(P1620="","To invoice",IF(P1620="Two invoices","Check dates",IF(ISNA(MATCH(P1620,Invoices!$B$6:$B$305,0)),"Check number",IF(INDEX(Invoices!$M$6:$M$305,MATCH(P1620,Invoices!$B$6:$B$305,0))="Paid","Paid",IF(INDEX(Invoices!$M$6:$M$305,MATCH(P1620,Invoices!$B$6:$B$305,0))="Draft","Draft","Invoiced")))))))</f>
        <v/>
      </c>
      <c r="R1620" s="1">
        <f>IF(AND(B1620&lt;&gt;"",P1620&lt;&gt;"",P1620=Invoice!$G$4),B1620+MOD(N(F1620),1)+ROW()/10000000,"")</f>
        <v/>
      </c>
      <c r="S1620">
        <f>IF(R1620="","",IF(D1620="","Other work",D1620)&amp;IF(AND(K1620&lt;&gt;"",E1620&lt;&gt;""),", "&amp;E1620,""))</f>
        <v/>
      </c>
      <c r="T1620">
        <f>IF(R1620="","",IF(COUNTIFS(R$6:R1619,"&gt;0",S$6:S1619,S1620,N$6:N1619,N1620)=0,R1620,""))</f>
        <v/>
      </c>
      <c r="U1620">
        <f>IF(B1620="","",IF(J1620&lt;&gt;"",0,M1620))</f>
        <v/>
      </c>
    </row>
    <row r="1621">
      <c r="A1621" s="1" t="n"/>
      <c r="B1621" s="16" t="n"/>
      <c r="C1621" s="17" t="n"/>
      <c r="D1621" s="18" t="n"/>
      <c r="E1621" s="18" t="n"/>
      <c r="F1621" s="19" t="n"/>
      <c r="G1621" s="19" t="n"/>
      <c r="H1621" s="20" t="n"/>
      <c r="I1621" s="21" t="n"/>
      <c r="J1621" s="22" t="n"/>
      <c r="K1621" s="23" t="n"/>
      <c r="L1621" s="18" t="n"/>
      <c r="M1621" s="24">
        <f>IF(B1621="","",IF(AND(F1621&lt;&gt;"",G1621&lt;&gt;""),MAX(0,ROUND(MOD(G1621-F1621,1)*24-N(H1621)/60,2)),N(I1621)))</f>
        <v/>
      </c>
      <c r="N1621" s="14">
        <f>IF(B1621="","",IF(K1621&lt;&gt;"",K1621,IF(N(IFERROR(INDEX(Projects!$D$6:$D$65,MATCH(D1621,Projects!$B$6:$B$65,0)),""))&gt;0,IFERROR(INDEX(Projects!$D$6:$D$65,MATCH(D1621,Projects!$B$6:$B$65,0)),""),IFERROR(INDEX(Clients!$G$6:$G$45,MATCH(C1621,Clients!$B$6:$B$45,0)),0))))</f>
        <v/>
      </c>
      <c r="O1621" s="14">
        <f>IF(B1621="","",IF(J1621&lt;&gt;"",0,ROUND(M1621*N1621,2)))</f>
        <v/>
      </c>
      <c r="P1621" s="15">
        <f>IF(OR(B1621="",J1621&lt;&gt;""),"",IF(L1621&lt;&gt;"",L1621,IF(COUNTIFS(Invoices!$C$6:$C$305,C1621,Invoices!$E$6:$E$305,"&lt;="&amp;B1621,Invoices!$F$6:$F$305,"&gt;="&amp;B1621)=1,INDEX(Invoices!$B$6:$B$305,SUMIFS(Invoices!$O$6:$O$305,Invoices!$C$6:$C$305,C1621,Invoices!$E$6:$E$305,"&lt;="&amp;B1621,Invoices!$F$6:$F$305,"&gt;="&amp;B1621)),IF(COUNTIFS(Invoices!$C$6:$C$305,C1621,Invoices!$E$6:$E$305,"&lt;="&amp;B1621,Invoices!$F$6:$F$305,"&gt;="&amp;B1621)&gt;1,"Two invoices",""))))</f>
        <v/>
      </c>
      <c r="Q1621" s="15">
        <f>IF(B1621="","",IF(J1621&lt;&gt;"","Not billable",IF(P1621="","To invoice",IF(P1621="Two invoices","Check dates",IF(ISNA(MATCH(P1621,Invoices!$B$6:$B$305,0)),"Check number",IF(INDEX(Invoices!$M$6:$M$305,MATCH(P1621,Invoices!$B$6:$B$305,0))="Paid","Paid",IF(INDEX(Invoices!$M$6:$M$305,MATCH(P1621,Invoices!$B$6:$B$305,0))="Draft","Draft","Invoiced")))))))</f>
        <v/>
      </c>
      <c r="R1621" s="1">
        <f>IF(AND(B1621&lt;&gt;"",P1621&lt;&gt;"",P1621=Invoice!$G$4),B1621+MOD(N(F1621),1)+ROW()/10000000,"")</f>
        <v/>
      </c>
      <c r="S1621">
        <f>IF(R1621="","",IF(D1621="","Other work",D1621)&amp;IF(AND(K1621&lt;&gt;"",E1621&lt;&gt;""),", "&amp;E1621,""))</f>
        <v/>
      </c>
      <c r="T1621">
        <f>IF(R1621="","",IF(COUNTIFS(R$6:R1620,"&gt;0",S$6:S1620,S1621,N$6:N1620,N1621)=0,R1621,""))</f>
        <v/>
      </c>
      <c r="U1621">
        <f>IF(B1621="","",IF(J1621&lt;&gt;"",0,M1621))</f>
        <v/>
      </c>
    </row>
    <row r="1622">
      <c r="A1622" s="1" t="n"/>
      <c r="B1622" s="16" t="n"/>
      <c r="C1622" s="17" t="n"/>
      <c r="D1622" s="18" t="n"/>
      <c r="E1622" s="18" t="n"/>
      <c r="F1622" s="19" t="n"/>
      <c r="G1622" s="19" t="n"/>
      <c r="H1622" s="20" t="n"/>
      <c r="I1622" s="21" t="n"/>
      <c r="J1622" s="22" t="n"/>
      <c r="K1622" s="23" t="n"/>
      <c r="L1622" s="18" t="n"/>
      <c r="M1622" s="24">
        <f>IF(B1622="","",IF(AND(F1622&lt;&gt;"",G1622&lt;&gt;""),MAX(0,ROUND(MOD(G1622-F1622,1)*24-N(H1622)/60,2)),N(I1622)))</f>
        <v/>
      </c>
      <c r="N1622" s="14">
        <f>IF(B1622="","",IF(K1622&lt;&gt;"",K1622,IF(N(IFERROR(INDEX(Projects!$D$6:$D$65,MATCH(D1622,Projects!$B$6:$B$65,0)),""))&gt;0,IFERROR(INDEX(Projects!$D$6:$D$65,MATCH(D1622,Projects!$B$6:$B$65,0)),""),IFERROR(INDEX(Clients!$G$6:$G$45,MATCH(C1622,Clients!$B$6:$B$45,0)),0))))</f>
        <v/>
      </c>
      <c r="O1622" s="14">
        <f>IF(B1622="","",IF(J1622&lt;&gt;"",0,ROUND(M1622*N1622,2)))</f>
        <v/>
      </c>
      <c r="P1622" s="15">
        <f>IF(OR(B1622="",J1622&lt;&gt;""),"",IF(L1622&lt;&gt;"",L1622,IF(COUNTIFS(Invoices!$C$6:$C$305,C1622,Invoices!$E$6:$E$305,"&lt;="&amp;B1622,Invoices!$F$6:$F$305,"&gt;="&amp;B1622)=1,INDEX(Invoices!$B$6:$B$305,SUMIFS(Invoices!$O$6:$O$305,Invoices!$C$6:$C$305,C1622,Invoices!$E$6:$E$305,"&lt;="&amp;B1622,Invoices!$F$6:$F$305,"&gt;="&amp;B1622)),IF(COUNTIFS(Invoices!$C$6:$C$305,C1622,Invoices!$E$6:$E$305,"&lt;="&amp;B1622,Invoices!$F$6:$F$305,"&gt;="&amp;B1622)&gt;1,"Two invoices",""))))</f>
        <v/>
      </c>
      <c r="Q1622" s="15">
        <f>IF(B1622="","",IF(J1622&lt;&gt;"","Not billable",IF(P1622="","To invoice",IF(P1622="Two invoices","Check dates",IF(ISNA(MATCH(P1622,Invoices!$B$6:$B$305,0)),"Check number",IF(INDEX(Invoices!$M$6:$M$305,MATCH(P1622,Invoices!$B$6:$B$305,0))="Paid","Paid",IF(INDEX(Invoices!$M$6:$M$305,MATCH(P1622,Invoices!$B$6:$B$305,0))="Draft","Draft","Invoiced")))))))</f>
        <v/>
      </c>
      <c r="R1622" s="1">
        <f>IF(AND(B1622&lt;&gt;"",P1622&lt;&gt;"",P1622=Invoice!$G$4),B1622+MOD(N(F1622),1)+ROW()/10000000,"")</f>
        <v/>
      </c>
      <c r="S1622">
        <f>IF(R1622="","",IF(D1622="","Other work",D1622)&amp;IF(AND(K1622&lt;&gt;"",E1622&lt;&gt;""),", "&amp;E1622,""))</f>
        <v/>
      </c>
      <c r="T1622">
        <f>IF(R1622="","",IF(COUNTIFS(R$6:R1621,"&gt;0",S$6:S1621,S1622,N$6:N1621,N1622)=0,R1622,""))</f>
        <v/>
      </c>
      <c r="U1622">
        <f>IF(B1622="","",IF(J1622&lt;&gt;"",0,M1622))</f>
        <v/>
      </c>
    </row>
    <row r="1623">
      <c r="A1623" s="1" t="n"/>
      <c r="B1623" s="16" t="n"/>
      <c r="C1623" s="17" t="n"/>
      <c r="D1623" s="18" t="n"/>
      <c r="E1623" s="18" t="n"/>
      <c r="F1623" s="19" t="n"/>
      <c r="G1623" s="19" t="n"/>
      <c r="H1623" s="20" t="n"/>
      <c r="I1623" s="21" t="n"/>
      <c r="J1623" s="22" t="n"/>
      <c r="K1623" s="23" t="n"/>
      <c r="L1623" s="18" t="n"/>
      <c r="M1623" s="24">
        <f>IF(B1623="","",IF(AND(F1623&lt;&gt;"",G1623&lt;&gt;""),MAX(0,ROUND(MOD(G1623-F1623,1)*24-N(H1623)/60,2)),N(I1623)))</f>
        <v/>
      </c>
      <c r="N1623" s="14">
        <f>IF(B1623="","",IF(K1623&lt;&gt;"",K1623,IF(N(IFERROR(INDEX(Projects!$D$6:$D$65,MATCH(D1623,Projects!$B$6:$B$65,0)),""))&gt;0,IFERROR(INDEX(Projects!$D$6:$D$65,MATCH(D1623,Projects!$B$6:$B$65,0)),""),IFERROR(INDEX(Clients!$G$6:$G$45,MATCH(C1623,Clients!$B$6:$B$45,0)),0))))</f>
        <v/>
      </c>
      <c r="O1623" s="14">
        <f>IF(B1623="","",IF(J1623&lt;&gt;"",0,ROUND(M1623*N1623,2)))</f>
        <v/>
      </c>
      <c r="P1623" s="15">
        <f>IF(OR(B1623="",J1623&lt;&gt;""),"",IF(L1623&lt;&gt;"",L1623,IF(COUNTIFS(Invoices!$C$6:$C$305,C1623,Invoices!$E$6:$E$305,"&lt;="&amp;B1623,Invoices!$F$6:$F$305,"&gt;="&amp;B1623)=1,INDEX(Invoices!$B$6:$B$305,SUMIFS(Invoices!$O$6:$O$305,Invoices!$C$6:$C$305,C1623,Invoices!$E$6:$E$305,"&lt;="&amp;B1623,Invoices!$F$6:$F$305,"&gt;="&amp;B1623)),IF(COUNTIFS(Invoices!$C$6:$C$305,C1623,Invoices!$E$6:$E$305,"&lt;="&amp;B1623,Invoices!$F$6:$F$305,"&gt;="&amp;B1623)&gt;1,"Two invoices",""))))</f>
        <v/>
      </c>
      <c r="Q1623" s="15">
        <f>IF(B1623="","",IF(J1623&lt;&gt;"","Not billable",IF(P1623="","To invoice",IF(P1623="Two invoices","Check dates",IF(ISNA(MATCH(P1623,Invoices!$B$6:$B$305,0)),"Check number",IF(INDEX(Invoices!$M$6:$M$305,MATCH(P1623,Invoices!$B$6:$B$305,0))="Paid","Paid",IF(INDEX(Invoices!$M$6:$M$305,MATCH(P1623,Invoices!$B$6:$B$305,0))="Draft","Draft","Invoiced")))))))</f>
        <v/>
      </c>
      <c r="R1623" s="1">
        <f>IF(AND(B1623&lt;&gt;"",P1623&lt;&gt;"",P1623=Invoice!$G$4),B1623+MOD(N(F1623),1)+ROW()/10000000,"")</f>
        <v/>
      </c>
      <c r="S1623">
        <f>IF(R1623="","",IF(D1623="","Other work",D1623)&amp;IF(AND(K1623&lt;&gt;"",E1623&lt;&gt;""),", "&amp;E1623,""))</f>
        <v/>
      </c>
      <c r="T1623">
        <f>IF(R1623="","",IF(COUNTIFS(R$6:R1622,"&gt;0",S$6:S1622,S1623,N$6:N1622,N1623)=0,R1623,""))</f>
        <v/>
      </c>
      <c r="U1623">
        <f>IF(B1623="","",IF(J1623&lt;&gt;"",0,M1623))</f>
        <v/>
      </c>
    </row>
    <row r="1624">
      <c r="A1624" s="1" t="n"/>
      <c r="B1624" s="16" t="n"/>
      <c r="C1624" s="17" t="n"/>
      <c r="D1624" s="18" t="n"/>
      <c r="E1624" s="18" t="n"/>
      <c r="F1624" s="19" t="n"/>
      <c r="G1624" s="19" t="n"/>
      <c r="H1624" s="20" t="n"/>
      <c r="I1624" s="21" t="n"/>
      <c r="J1624" s="22" t="n"/>
      <c r="K1624" s="23" t="n"/>
      <c r="L1624" s="18" t="n"/>
      <c r="M1624" s="24">
        <f>IF(B1624="","",IF(AND(F1624&lt;&gt;"",G1624&lt;&gt;""),MAX(0,ROUND(MOD(G1624-F1624,1)*24-N(H1624)/60,2)),N(I1624)))</f>
        <v/>
      </c>
      <c r="N1624" s="14">
        <f>IF(B1624="","",IF(K1624&lt;&gt;"",K1624,IF(N(IFERROR(INDEX(Projects!$D$6:$D$65,MATCH(D1624,Projects!$B$6:$B$65,0)),""))&gt;0,IFERROR(INDEX(Projects!$D$6:$D$65,MATCH(D1624,Projects!$B$6:$B$65,0)),""),IFERROR(INDEX(Clients!$G$6:$G$45,MATCH(C1624,Clients!$B$6:$B$45,0)),0))))</f>
        <v/>
      </c>
      <c r="O1624" s="14">
        <f>IF(B1624="","",IF(J1624&lt;&gt;"",0,ROUND(M1624*N1624,2)))</f>
        <v/>
      </c>
      <c r="P1624" s="15">
        <f>IF(OR(B1624="",J1624&lt;&gt;""),"",IF(L1624&lt;&gt;"",L1624,IF(COUNTIFS(Invoices!$C$6:$C$305,C1624,Invoices!$E$6:$E$305,"&lt;="&amp;B1624,Invoices!$F$6:$F$305,"&gt;="&amp;B1624)=1,INDEX(Invoices!$B$6:$B$305,SUMIFS(Invoices!$O$6:$O$305,Invoices!$C$6:$C$305,C1624,Invoices!$E$6:$E$305,"&lt;="&amp;B1624,Invoices!$F$6:$F$305,"&gt;="&amp;B1624)),IF(COUNTIFS(Invoices!$C$6:$C$305,C1624,Invoices!$E$6:$E$305,"&lt;="&amp;B1624,Invoices!$F$6:$F$305,"&gt;="&amp;B1624)&gt;1,"Two invoices",""))))</f>
        <v/>
      </c>
      <c r="Q1624" s="15">
        <f>IF(B1624="","",IF(J1624&lt;&gt;"","Not billable",IF(P1624="","To invoice",IF(P1624="Two invoices","Check dates",IF(ISNA(MATCH(P1624,Invoices!$B$6:$B$305,0)),"Check number",IF(INDEX(Invoices!$M$6:$M$305,MATCH(P1624,Invoices!$B$6:$B$305,0))="Paid","Paid",IF(INDEX(Invoices!$M$6:$M$305,MATCH(P1624,Invoices!$B$6:$B$305,0))="Draft","Draft","Invoiced")))))))</f>
        <v/>
      </c>
      <c r="R1624" s="1">
        <f>IF(AND(B1624&lt;&gt;"",P1624&lt;&gt;"",P1624=Invoice!$G$4),B1624+MOD(N(F1624),1)+ROW()/10000000,"")</f>
        <v/>
      </c>
      <c r="S1624">
        <f>IF(R1624="","",IF(D1624="","Other work",D1624)&amp;IF(AND(K1624&lt;&gt;"",E1624&lt;&gt;""),", "&amp;E1624,""))</f>
        <v/>
      </c>
      <c r="T1624">
        <f>IF(R1624="","",IF(COUNTIFS(R$6:R1623,"&gt;0",S$6:S1623,S1624,N$6:N1623,N1624)=0,R1624,""))</f>
        <v/>
      </c>
      <c r="U1624">
        <f>IF(B1624="","",IF(J1624&lt;&gt;"",0,M1624))</f>
        <v/>
      </c>
    </row>
    <row r="1625">
      <c r="A1625" s="1" t="n"/>
      <c r="B1625" s="16" t="n"/>
      <c r="C1625" s="17" t="n"/>
      <c r="D1625" s="18" t="n"/>
      <c r="E1625" s="18" t="n"/>
      <c r="F1625" s="19" t="n"/>
      <c r="G1625" s="19" t="n"/>
      <c r="H1625" s="20" t="n"/>
      <c r="I1625" s="21" t="n"/>
      <c r="J1625" s="22" t="n"/>
      <c r="K1625" s="23" t="n"/>
      <c r="L1625" s="18" t="n"/>
      <c r="M1625" s="24">
        <f>IF(B1625="","",IF(AND(F1625&lt;&gt;"",G1625&lt;&gt;""),MAX(0,ROUND(MOD(G1625-F1625,1)*24-N(H1625)/60,2)),N(I1625)))</f>
        <v/>
      </c>
      <c r="N1625" s="14">
        <f>IF(B1625="","",IF(K1625&lt;&gt;"",K1625,IF(N(IFERROR(INDEX(Projects!$D$6:$D$65,MATCH(D1625,Projects!$B$6:$B$65,0)),""))&gt;0,IFERROR(INDEX(Projects!$D$6:$D$65,MATCH(D1625,Projects!$B$6:$B$65,0)),""),IFERROR(INDEX(Clients!$G$6:$G$45,MATCH(C1625,Clients!$B$6:$B$45,0)),0))))</f>
        <v/>
      </c>
      <c r="O1625" s="14">
        <f>IF(B1625="","",IF(J1625&lt;&gt;"",0,ROUND(M1625*N1625,2)))</f>
        <v/>
      </c>
      <c r="P1625" s="15">
        <f>IF(OR(B1625="",J1625&lt;&gt;""),"",IF(L1625&lt;&gt;"",L1625,IF(COUNTIFS(Invoices!$C$6:$C$305,C1625,Invoices!$E$6:$E$305,"&lt;="&amp;B1625,Invoices!$F$6:$F$305,"&gt;="&amp;B1625)=1,INDEX(Invoices!$B$6:$B$305,SUMIFS(Invoices!$O$6:$O$305,Invoices!$C$6:$C$305,C1625,Invoices!$E$6:$E$305,"&lt;="&amp;B1625,Invoices!$F$6:$F$305,"&gt;="&amp;B1625)),IF(COUNTIFS(Invoices!$C$6:$C$305,C1625,Invoices!$E$6:$E$305,"&lt;="&amp;B1625,Invoices!$F$6:$F$305,"&gt;="&amp;B1625)&gt;1,"Two invoices",""))))</f>
        <v/>
      </c>
      <c r="Q1625" s="15">
        <f>IF(B1625="","",IF(J1625&lt;&gt;"","Not billable",IF(P1625="","To invoice",IF(P1625="Two invoices","Check dates",IF(ISNA(MATCH(P1625,Invoices!$B$6:$B$305,0)),"Check number",IF(INDEX(Invoices!$M$6:$M$305,MATCH(P1625,Invoices!$B$6:$B$305,0))="Paid","Paid",IF(INDEX(Invoices!$M$6:$M$305,MATCH(P1625,Invoices!$B$6:$B$305,0))="Draft","Draft","Invoiced")))))))</f>
        <v/>
      </c>
      <c r="R1625" s="1">
        <f>IF(AND(B1625&lt;&gt;"",P1625&lt;&gt;"",P1625=Invoice!$G$4),B1625+MOD(N(F1625),1)+ROW()/10000000,"")</f>
        <v/>
      </c>
      <c r="S1625">
        <f>IF(R1625="","",IF(D1625="","Other work",D1625)&amp;IF(AND(K1625&lt;&gt;"",E1625&lt;&gt;""),", "&amp;E1625,""))</f>
        <v/>
      </c>
      <c r="T1625">
        <f>IF(R1625="","",IF(COUNTIFS(R$6:R1624,"&gt;0",S$6:S1624,S1625,N$6:N1624,N1625)=0,R1625,""))</f>
        <v/>
      </c>
      <c r="U1625">
        <f>IF(B1625="","",IF(J1625&lt;&gt;"",0,M1625))</f>
        <v/>
      </c>
    </row>
    <row r="1626">
      <c r="A1626" s="1" t="n"/>
      <c r="B1626" s="16" t="n"/>
      <c r="C1626" s="17" t="n"/>
      <c r="D1626" s="18" t="n"/>
      <c r="E1626" s="18" t="n"/>
      <c r="F1626" s="19" t="n"/>
      <c r="G1626" s="19" t="n"/>
      <c r="H1626" s="20" t="n"/>
      <c r="I1626" s="21" t="n"/>
      <c r="J1626" s="22" t="n"/>
      <c r="K1626" s="23" t="n"/>
      <c r="L1626" s="18" t="n"/>
      <c r="M1626" s="24">
        <f>IF(B1626="","",IF(AND(F1626&lt;&gt;"",G1626&lt;&gt;""),MAX(0,ROUND(MOD(G1626-F1626,1)*24-N(H1626)/60,2)),N(I1626)))</f>
        <v/>
      </c>
      <c r="N1626" s="14">
        <f>IF(B1626="","",IF(K1626&lt;&gt;"",K1626,IF(N(IFERROR(INDEX(Projects!$D$6:$D$65,MATCH(D1626,Projects!$B$6:$B$65,0)),""))&gt;0,IFERROR(INDEX(Projects!$D$6:$D$65,MATCH(D1626,Projects!$B$6:$B$65,0)),""),IFERROR(INDEX(Clients!$G$6:$G$45,MATCH(C1626,Clients!$B$6:$B$45,0)),0))))</f>
        <v/>
      </c>
      <c r="O1626" s="14">
        <f>IF(B1626="","",IF(J1626&lt;&gt;"",0,ROUND(M1626*N1626,2)))</f>
        <v/>
      </c>
      <c r="P1626" s="15">
        <f>IF(OR(B1626="",J1626&lt;&gt;""),"",IF(L1626&lt;&gt;"",L1626,IF(COUNTIFS(Invoices!$C$6:$C$305,C1626,Invoices!$E$6:$E$305,"&lt;="&amp;B1626,Invoices!$F$6:$F$305,"&gt;="&amp;B1626)=1,INDEX(Invoices!$B$6:$B$305,SUMIFS(Invoices!$O$6:$O$305,Invoices!$C$6:$C$305,C1626,Invoices!$E$6:$E$305,"&lt;="&amp;B1626,Invoices!$F$6:$F$305,"&gt;="&amp;B1626)),IF(COUNTIFS(Invoices!$C$6:$C$305,C1626,Invoices!$E$6:$E$305,"&lt;="&amp;B1626,Invoices!$F$6:$F$305,"&gt;="&amp;B1626)&gt;1,"Two invoices",""))))</f>
        <v/>
      </c>
      <c r="Q1626" s="15">
        <f>IF(B1626="","",IF(J1626&lt;&gt;"","Not billable",IF(P1626="","To invoice",IF(P1626="Two invoices","Check dates",IF(ISNA(MATCH(P1626,Invoices!$B$6:$B$305,0)),"Check number",IF(INDEX(Invoices!$M$6:$M$305,MATCH(P1626,Invoices!$B$6:$B$305,0))="Paid","Paid",IF(INDEX(Invoices!$M$6:$M$305,MATCH(P1626,Invoices!$B$6:$B$305,0))="Draft","Draft","Invoiced")))))))</f>
        <v/>
      </c>
      <c r="R1626" s="1">
        <f>IF(AND(B1626&lt;&gt;"",P1626&lt;&gt;"",P1626=Invoice!$G$4),B1626+MOD(N(F1626),1)+ROW()/10000000,"")</f>
        <v/>
      </c>
      <c r="S1626">
        <f>IF(R1626="","",IF(D1626="","Other work",D1626)&amp;IF(AND(K1626&lt;&gt;"",E1626&lt;&gt;""),", "&amp;E1626,""))</f>
        <v/>
      </c>
      <c r="T1626">
        <f>IF(R1626="","",IF(COUNTIFS(R$6:R1625,"&gt;0",S$6:S1625,S1626,N$6:N1625,N1626)=0,R1626,""))</f>
        <v/>
      </c>
      <c r="U1626">
        <f>IF(B1626="","",IF(J1626&lt;&gt;"",0,M1626))</f>
        <v/>
      </c>
    </row>
    <row r="1627">
      <c r="A1627" s="1" t="n"/>
      <c r="B1627" s="16" t="n"/>
      <c r="C1627" s="17" t="n"/>
      <c r="D1627" s="18" t="n"/>
      <c r="E1627" s="18" t="n"/>
      <c r="F1627" s="19" t="n"/>
      <c r="G1627" s="19" t="n"/>
      <c r="H1627" s="20" t="n"/>
      <c r="I1627" s="21" t="n"/>
      <c r="J1627" s="22" t="n"/>
      <c r="K1627" s="23" t="n"/>
      <c r="L1627" s="18" t="n"/>
      <c r="M1627" s="24">
        <f>IF(B1627="","",IF(AND(F1627&lt;&gt;"",G1627&lt;&gt;""),MAX(0,ROUND(MOD(G1627-F1627,1)*24-N(H1627)/60,2)),N(I1627)))</f>
        <v/>
      </c>
      <c r="N1627" s="14">
        <f>IF(B1627="","",IF(K1627&lt;&gt;"",K1627,IF(N(IFERROR(INDEX(Projects!$D$6:$D$65,MATCH(D1627,Projects!$B$6:$B$65,0)),""))&gt;0,IFERROR(INDEX(Projects!$D$6:$D$65,MATCH(D1627,Projects!$B$6:$B$65,0)),""),IFERROR(INDEX(Clients!$G$6:$G$45,MATCH(C1627,Clients!$B$6:$B$45,0)),0))))</f>
        <v/>
      </c>
      <c r="O1627" s="14">
        <f>IF(B1627="","",IF(J1627&lt;&gt;"",0,ROUND(M1627*N1627,2)))</f>
        <v/>
      </c>
      <c r="P1627" s="15">
        <f>IF(OR(B1627="",J1627&lt;&gt;""),"",IF(L1627&lt;&gt;"",L1627,IF(COUNTIFS(Invoices!$C$6:$C$305,C1627,Invoices!$E$6:$E$305,"&lt;="&amp;B1627,Invoices!$F$6:$F$305,"&gt;="&amp;B1627)=1,INDEX(Invoices!$B$6:$B$305,SUMIFS(Invoices!$O$6:$O$305,Invoices!$C$6:$C$305,C1627,Invoices!$E$6:$E$305,"&lt;="&amp;B1627,Invoices!$F$6:$F$305,"&gt;="&amp;B1627)),IF(COUNTIFS(Invoices!$C$6:$C$305,C1627,Invoices!$E$6:$E$305,"&lt;="&amp;B1627,Invoices!$F$6:$F$305,"&gt;="&amp;B1627)&gt;1,"Two invoices",""))))</f>
        <v/>
      </c>
      <c r="Q1627" s="15">
        <f>IF(B1627="","",IF(J1627&lt;&gt;"","Not billable",IF(P1627="","To invoice",IF(P1627="Two invoices","Check dates",IF(ISNA(MATCH(P1627,Invoices!$B$6:$B$305,0)),"Check number",IF(INDEX(Invoices!$M$6:$M$305,MATCH(P1627,Invoices!$B$6:$B$305,0))="Paid","Paid",IF(INDEX(Invoices!$M$6:$M$305,MATCH(P1627,Invoices!$B$6:$B$305,0))="Draft","Draft","Invoiced")))))))</f>
        <v/>
      </c>
      <c r="R1627" s="1">
        <f>IF(AND(B1627&lt;&gt;"",P1627&lt;&gt;"",P1627=Invoice!$G$4),B1627+MOD(N(F1627),1)+ROW()/10000000,"")</f>
        <v/>
      </c>
      <c r="S1627">
        <f>IF(R1627="","",IF(D1627="","Other work",D1627)&amp;IF(AND(K1627&lt;&gt;"",E1627&lt;&gt;""),", "&amp;E1627,""))</f>
        <v/>
      </c>
      <c r="T1627">
        <f>IF(R1627="","",IF(COUNTIFS(R$6:R1626,"&gt;0",S$6:S1626,S1627,N$6:N1626,N1627)=0,R1627,""))</f>
        <v/>
      </c>
      <c r="U1627">
        <f>IF(B1627="","",IF(J1627&lt;&gt;"",0,M1627))</f>
        <v/>
      </c>
    </row>
    <row r="1628">
      <c r="A1628" s="1" t="n"/>
      <c r="B1628" s="16" t="n"/>
      <c r="C1628" s="17" t="n"/>
      <c r="D1628" s="18" t="n"/>
      <c r="E1628" s="18" t="n"/>
      <c r="F1628" s="19" t="n"/>
      <c r="G1628" s="19" t="n"/>
      <c r="H1628" s="20" t="n"/>
      <c r="I1628" s="21" t="n"/>
      <c r="J1628" s="22" t="n"/>
      <c r="K1628" s="23" t="n"/>
      <c r="L1628" s="18" t="n"/>
      <c r="M1628" s="24">
        <f>IF(B1628="","",IF(AND(F1628&lt;&gt;"",G1628&lt;&gt;""),MAX(0,ROUND(MOD(G1628-F1628,1)*24-N(H1628)/60,2)),N(I1628)))</f>
        <v/>
      </c>
      <c r="N1628" s="14">
        <f>IF(B1628="","",IF(K1628&lt;&gt;"",K1628,IF(N(IFERROR(INDEX(Projects!$D$6:$D$65,MATCH(D1628,Projects!$B$6:$B$65,0)),""))&gt;0,IFERROR(INDEX(Projects!$D$6:$D$65,MATCH(D1628,Projects!$B$6:$B$65,0)),""),IFERROR(INDEX(Clients!$G$6:$G$45,MATCH(C1628,Clients!$B$6:$B$45,0)),0))))</f>
        <v/>
      </c>
      <c r="O1628" s="14">
        <f>IF(B1628="","",IF(J1628&lt;&gt;"",0,ROUND(M1628*N1628,2)))</f>
        <v/>
      </c>
      <c r="P1628" s="15">
        <f>IF(OR(B1628="",J1628&lt;&gt;""),"",IF(L1628&lt;&gt;"",L1628,IF(COUNTIFS(Invoices!$C$6:$C$305,C1628,Invoices!$E$6:$E$305,"&lt;="&amp;B1628,Invoices!$F$6:$F$305,"&gt;="&amp;B1628)=1,INDEX(Invoices!$B$6:$B$305,SUMIFS(Invoices!$O$6:$O$305,Invoices!$C$6:$C$305,C1628,Invoices!$E$6:$E$305,"&lt;="&amp;B1628,Invoices!$F$6:$F$305,"&gt;="&amp;B1628)),IF(COUNTIFS(Invoices!$C$6:$C$305,C1628,Invoices!$E$6:$E$305,"&lt;="&amp;B1628,Invoices!$F$6:$F$305,"&gt;="&amp;B1628)&gt;1,"Two invoices",""))))</f>
        <v/>
      </c>
      <c r="Q1628" s="15">
        <f>IF(B1628="","",IF(J1628&lt;&gt;"","Not billable",IF(P1628="","To invoice",IF(P1628="Two invoices","Check dates",IF(ISNA(MATCH(P1628,Invoices!$B$6:$B$305,0)),"Check number",IF(INDEX(Invoices!$M$6:$M$305,MATCH(P1628,Invoices!$B$6:$B$305,0))="Paid","Paid",IF(INDEX(Invoices!$M$6:$M$305,MATCH(P1628,Invoices!$B$6:$B$305,0))="Draft","Draft","Invoiced")))))))</f>
        <v/>
      </c>
      <c r="R1628" s="1">
        <f>IF(AND(B1628&lt;&gt;"",P1628&lt;&gt;"",P1628=Invoice!$G$4),B1628+MOD(N(F1628),1)+ROW()/10000000,"")</f>
        <v/>
      </c>
      <c r="S1628">
        <f>IF(R1628="","",IF(D1628="","Other work",D1628)&amp;IF(AND(K1628&lt;&gt;"",E1628&lt;&gt;""),", "&amp;E1628,""))</f>
        <v/>
      </c>
      <c r="T1628">
        <f>IF(R1628="","",IF(COUNTIFS(R$6:R1627,"&gt;0",S$6:S1627,S1628,N$6:N1627,N1628)=0,R1628,""))</f>
        <v/>
      </c>
      <c r="U1628">
        <f>IF(B1628="","",IF(J1628&lt;&gt;"",0,M1628))</f>
        <v/>
      </c>
    </row>
    <row r="1629">
      <c r="A1629" s="1" t="n"/>
      <c r="B1629" s="16" t="n"/>
      <c r="C1629" s="17" t="n"/>
      <c r="D1629" s="18" t="n"/>
      <c r="E1629" s="18" t="n"/>
      <c r="F1629" s="19" t="n"/>
      <c r="G1629" s="19" t="n"/>
      <c r="H1629" s="20" t="n"/>
      <c r="I1629" s="21" t="n"/>
      <c r="J1629" s="22" t="n"/>
      <c r="K1629" s="23" t="n"/>
      <c r="L1629" s="18" t="n"/>
      <c r="M1629" s="24">
        <f>IF(B1629="","",IF(AND(F1629&lt;&gt;"",G1629&lt;&gt;""),MAX(0,ROUND(MOD(G1629-F1629,1)*24-N(H1629)/60,2)),N(I1629)))</f>
        <v/>
      </c>
      <c r="N1629" s="14">
        <f>IF(B1629="","",IF(K1629&lt;&gt;"",K1629,IF(N(IFERROR(INDEX(Projects!$D$6:$D$65,MATCH(D1629,Projects!$B$6:$B$65,0)),""))&gt;0,IFERROR(INDEX(Projects!$D$6:$D$65,MATCH(D1629,Projects!$B$6:$B$65,0)),""),IFERROR(INDEX(Clients!$G$6:$G$45,MATCH(C1629,Clients!$B$6:$B$45,0)),0))))</f>
        <v/>
      </c>
      <c r="O1629" s="14">
        <f>IF(B1629="","",IF(J1629&lt;&gt;"",0,ROUND(M1629*N1629,2)))</f>
        <v/>
      </c>
      <c r="P1629" s="15">
        <f>IF(OR(B1629="",J1629&lt;&gt;""),"",IF(L1629&lt;&gt;"",L1629,IF(COUNTIFS(Invoices!$C$6:$C$305,C1629,Invoices!$E$6:$E$305,"&lt;="&amp;B1629,Invoices!$F$6:$F$305,"&gt;="&amp;B1629)=1,INDEX(Invoices!$B$6:$B$305,SUMIFS(Invoices!$O$6:$O$305,Invoices!$C$6:$C$305,C1629,Invoices!$E$6:$E$305,"&lt;="&amp;B1629,Invoices!$F$6:$F$305,"&gt;="&amp;B1629)),IF(COUNTIFS(Invoices!$C$6:$C$305,C1629,Invoices!$E$6:$E$305,"&lt;="&amp;B1629,Invoices!$F$6:$F$305,"&gt;="&amp;B1629)&gt;1,"Two invoices",""))))</f>
        <v/>
      </c>
      <c r="Q1629" s="15">
        <f>IF(B1629="","",IF(J1629&lt;&gt;"","Not billable",IF(P1629="","To invoice",IF(P1629="Two invoices","Check dates",IF(ISNA(MATCH(P1629,Invoices!$B$6:$B$305,0)),"Check number",IF(INDEX(Invoices!$M$6:$M$305,MATCH(P1629,Invoices!$B$6:$B$305,0))="Paid","Paid",IF(INDEX(Invoices!$M$6:$M$305,MATCH(P1629,Invoices!$B$6:$B$305,0))="Draft","Draft","Invoiced")))))))</f>
        <v/>
      </c>
      <c r="R1629" s="1">
        <f>IF(AND(B1629&lt;&gt;"",P1629&lt;&gt;"",P1629=Invoice!$G$4),B1629+MOD(N(F1629),1)+ROW()/10000000,"")</f>
        <v/>
      </c>
      <c r="S1629">
        <f>IF(R1629="","",IF(D1629="","Other work",D1629)&amp;IF(AND(K1629&lt;&gt;"",E1629&lt;&gt;""),", "&amp;E1629,""))</f>
        <v/>
      </c>
      <c r="T1629">
        <f>IF(R1629="","",IF(COUNTIFS(R$6:R1628,"&gt;0",S$6:S1628,S1629,N$6:N1628,N1629)=0,R1629,""))</f>
        <v/>
      </c>
      <c r="U1629">
        <f>IF(B1629="","",IF(J1629&lt;&gt;"",0,M1629))</f>
        <v/>
      </c>
    </row>
    <row r="1630">
      <c r="A1630" s="1" t="n"/>
      <c r="B1630" s="16" t="n"/>
      <c r="C1630" s="17" t="n"/>
      <c r="D1630" s="18" t="n"/>
      <c r="E1630" s="18" t="n"/>
      <c r="F1630" s="19" t="n"/>
      <c r="G1630" s="19" t="n"/>
      <c r="H1630" s="20" t="n"/>
      <c r="I1630" s="21" t="n"/>
      <c r="J1630" s="22" t="n"/>
      <c r="K1630" s="23" t="n"/>
      <c r="L1630" s="18" t="n"/>
      <c r="M1630" s="24">
        <f>IF(B1630="","",IF(AND(F1630&lt;&gt;"",G1630&lt;&gt;""),MAX(0,ROUND(MOD(G1630-F1630,1)*24-N(H1630)/60,2)),N(I1630)))</f>
        <v/>
      </c>
      <c r="N1630" s="14">
        <f>IF(B1630="","",IF(K1630&lt;&gt;"",K1630,IF(N(IFERROR(INDEX(Projects!$D$6:$D$65,MATCH(D1630,Projects!$B$6:$B$65,0)),""))&gt;0,IFERROR(INDEX(Projects!$D$6:$D$65,MATCH(D1630,Projects!$B$6:$B$65,0)),""),IFERROR(INDEX(Clients!$G$6:$G$45,MATCH(C1630,Clients!$B$6:$B$45,0)),0))))</f>
        <v/>
      </c>
      <c r="O1630" s="14">
        <f>IF(B1630="","",IF(J1630&lt;&gt;"",0,ROUND(M1630*N1630,2)))</f>
        <v/>
      </c>
      <c r="P1630" s="15">
        <f>IF(OR(B1630="",J1630&lt;&gt;""),"",IF(L1630&lt;&gt;"",L1630,IF(COUNTIFS(Invoices!$C$6:$C$305,C1630,Invoices!$E$6:$E$305,"&lt;="&amp;B1630,Invoices!$F$6:$F$305,"&gt;="&amp;B1630)=1,INDEX(Invoices!$B$6:$B$305,SUMIFS(Invoices!$O$6:$O$305,Invoices!$C$6:$C$305,C1630,Invoices!$E$6:$E$305,"&lt;="&amp;B1630,Invoices!$F$6:$F$305,"&gt;="&amp;B1630)),IF(COUNTIFS(Invoices!$C$6:$C$305,C1630,Invoices!$E$6:$E$305,"&lt;="&amp;B1630,Invoices!$F$6:$F$305,"&gt;="&amp;B1630)&gt;1,"Two invoices",""))))</f>
        <v/>
      </c>
      <c r="Q1630" s="15">
        <f>IF(B1630="","",IF(J1630&lt;&gt;"","Not billable",IF(P1630="","To invoice",IF(P1630="Two invoices","Check dates",IF(ISNA(MATCH(P1630,Invoices!$B$6:$B$305,0)),"Check number",IF(INDEX(Invoices!$M$6:$M$305,MATCH(P1630,Invoices!$B$6:$B$305,0))="Paid","Paid",IF(INDEX(Invoices!$M$6:$M$305,MATCH(P1630,Invoices!$B$6:$B$305,0))="Draft","Draft","Invoiced")))))))</f>
        <v/>
      </c>
      <c r="R1630" s="1">
        <f>IF(AND(B1630&lt;&gt;"",P1630&lt;&gt;"",P1630=Invoice!$G$4),B1630+MOD(N(F1630),1)+ROW()/10000000,"")</f>
        <v/>
      </c>
      <c r="S1630">
        <f>IF(R1630="","",IF(D1630="","Other work",D1630)&amp;IF(AND(K1630&lt;&gt;"",E1630&lt;&gt;""),", "&amp;E1630,""))</f>
        <v/>
      </c>
      <c r="T1630">
        <f>IF(R1630="","",IF(COUNTIFS(R$6:R1629,"&gt;0",S$6:S1629,S1630,N$6:N1629,N1630)=0,R1630,""))</f>
        <v/>
      </c>
      <c r="U1630">
        <f>IF(B1630="","",IF(J1630&lt;&gt;"",0,M1630))</f>
        <v/>
      </c>
    </row>
    <row r="1631">
      <c r="A1631" s="1" t="n"/>
      <c r="B1631" s="16" t="n"/>
      <c r="C1631" s="17" t="n"/>
      <c r="D1631" s="18" t="n"/>
      <c r="E1631" s="18" t="n"/>
      <c r="F1631" s="19" t="n"/>
      <c r="G1631" s="19" t="n"/>
      <c r="H1631" s="20" t="n"/>
      <c r="I1631" s="21" t="n"/>
      <c r="J1631" s="22" t="n"/>
      <c r="K1631" s="23" t="n"/>
      <c r="L1631" s="18" t="n"/>
      <c r="M1631" s="24">
        <f>IF(B1631="","",IF(AND(F1631&lt;&gt;"",G1631&lt;&gt;""),MAX(0,ROUND(MOD(G1631-F1631,1)*24-N(H1631)/60,2)),N(I1631)))</f>
        <v/>
      </c>
      <c r="N1631" s="14">
        <f>IF(B1631="","",IF(K1631&lt;&gt;"",K1631,IF(N(IFERROR(INDEX(Projects!$D$6:$D$65,MATCH(D1631,Projects!$B$6:$B$65,0)),""))&gt;0,IFERROR(INDEX(Projects!$D$6:$D$65,MATCH(D1631,Projects!$B$6:$B$65,0)),""),IFERROR(INDEX(Clients!$G$6:$G$45,MATCH(C1631,Clients!$B$6:$B$45,0)),0))))</f>
        <v/>
      </c>
      <c r="O1631" s="14">
        <f>IF(B1631="","",IF(J1631&lt;&gt;"",0,ROUND(M1631*N1631,2)))</f>
        <v/>
      </c>
      <c r="P1631" s="15">
        <f>IF(OR(B1631="",J1631&lt;&gt;""),"",IF(L1631&lt;&gt;"",L1631,IF(COUNTIFS(Invoices!$C$6:$C$305,C1631,Invoices!$E$6:$E$305,"&lt;="&amp;B1631,Invoices!$F$6:$F$305,"&gt;="&amp;B1631)=1,INDEX(Invoices!$B$6:$B$305,SUMIFS(Invoices!$O$6:$O$305,Invoices!$C$6:$C$305,C1631,Invoices!$E$6:$E$305,"&lt;="&amp;B1631,Invoices!$F$6:$F$305,"&gt;="&amp;B1631)),IF(COUNTIFS(Invoices!$C$6:$C$305,C1631,Invoices!$E$6:$E$305,"&lt;="&amp;B1631,Invoices!$F$6:$F$305,"&gt;="&amp;B1631)&gt;1,"Two invoices",""))))</f>
        <v/>
      </c>
      <c r="Q1631" s="15">
        <f>IF(B1631="","",IF(J1631&lt;&gt;"","Not billable",IF(P1631="","To invoice",IF(P1631="Two invoices","Check dates",IF(ISNA(MATCH(P1631,Invoices!$B$6:$B$305,0)),"Check number",IF(INDEX(Invoices!$M$6:$M$305,MATCH(P1631,Invoices!$B$6:$B$305,0))="Paid","Paid",IF(INDEX(Invoices!$M$6:$M$305,MATCH(P1631,Invoices!$B$6:$B$305,0))="Draft","Draft","Invoiced")))))))</f>
        <v/>
      </c>
      <c r="R1631" s="1">
        <f>IF(AND(B1631&lt;&gt;"",P1631&lt;&gt;"",P1631=Invoice!$G$4),B1631+MOD(N(F1631),1)+ROW()/10000000,"")</f>
        <v/>
      </c>
      <c r="S1631">
        <f>IF(R1631="","",IF(D1631="","Other work",D1631)&amp;IF(AND(K1631&lt;&gt;"",E1631&lt;&gt;""),", "&amp;E1631,""))</f>
        <v/>
      </c>
      <c r="T1631">
        <f>IF(R1631="","",IF(COUNTIFS(R$6:R1630,"&gt;0",S$6:S1630,S1631,N$6:N1630,N1631)=0,R1631,""))</f>
        <v/>
      </c>
      <c r="U1631">
        <f>IF(B1631="","",IF(J1631&lt;&gt;"",0,M1631))</f>
        <v/>
      </c>
    </row>
    <row r="1632">
      <c r="A1632" s="1" t="n"/>
      <c r="B1632" s="16" t="n"/>
      <c r="C1632" s="17" t="n"/>
      <c r="D1632" s="18" t="n"/>
      <c r="E1632" s="18" t="n"/>
      <c r="F1632" s="19" t="n"/>
      <c r="G1632" s="19" t="n"/>
      <c r="H1632" s="20" t="n"/>
      <c r="I1632" s="21" t="n"/>
      <c r="J1632" s="22" t="n"/>
      <c r="K1632" s="23" t="n"/>
      <c r="L1632" s="18" t="n"/>
      <c r="M1632" s="24">
        <f>IF(B1632="","",IF(AND(F1632&lt;&gt;"",G1632&lt;&gt;""),MAX(0,ROUND(MOD(G1632-F1632,1)*24-N(H1632)/60,2)),N(I1632)))</f>
        <v/>
      </c>
      <c r="N1632" s="14">
        <f>IF(B1632="","",IF(K1632&lt;&gt;"",K1632,IF(N(IFERROR(INDEX(Projects!$D$6:$D$65,MATCH(D1632,Projects!$B$6:$B$65,0)),""))&gt;0,IFERROR(INDEX(Projects!$D$6:$D$65,MATCH(D1632,Projects!$B$6:$B$65,0)),""),IFERROR(INDEX(Clients!$G$6:$G$45,MATCH(C1632,Clients!$B$6:$B$45,0)),0))))</f>
        <v/>
      </c>
      <c r="O1632" s="14">
        <f>IF(B1632="","",IF(J1632&lt;&gt;"",0,ROUND(M1632*N1632,2)))</f>
        <v/>
      </c>
      <c r="P1632" s="15">
        <f>IF(OR(B1632="",J1632&lt;&gt;""),"",IF(L1632&lt;&gt;"",L1632,IF(COUNTIFS(Invoices!$C$6:$C$305,C1632,Invoices!$E$6:$E$305,"&lt;="&amp;B1632,Invoices!$F$6:$F$305,"&gt;="&amp;B1632)=1,INDEX(Invoices!$B$6:$B$305,SUMIFS(Invoices!$O$6:$O$305,Invoices!$C$6:$C$305,C1632,Invoices!$E$6:$E$305,"&lt;="&amp;B1632,Invoices!$F$6:$F$305,"&gt;="&amp;B1632)),IF(COUNTIFS(Invoices!$C$6:$C$305,C1632,Invoices!$E$6:$E$305,"&lt;="&amp;B1632,Invoices!$F$6:$F$305,"&gt;="&amp;B1632)&gt;1,"Two invoices",""))))</f>
        <v/>
      </c>
      <c r="Q1632" s="15">
        <f>IF(B1632="","",IF(J1632&lt;&gt;"","Not billable",IF(P1632="","To invoice",IF(P1632="Two invoices","Check dates",IF(ISNA(MATCH(P1632,Invoices!$B$6:$B$305,0)),"Check number",IF(INDEX(Invoices!$M$6:$M$305,MATCH(P1632,Invoices!$B$6:$B$305,0))="Paid","Paid",IF(INDEX(Invoices!$M$6:$M$305,MATCH(P1632,Invoices!$B$6:$B$305,0))="Draft","Draft","Invoiced")))))))</f>
        <v/>
      </c>
      <c r="R1632" s="1">
        <f>IF(AND(B1632&lt;&gt;"",P1632&lt;&gt;"",P1632=Invoice!$G$4),B1632+MOD(N(F1632),1)+ROW()/10000000,"")</f>
        <v/>
      </c>
      <c r="S1632">
        <f>IF(R1632="","",IF(D1632="","Other work",D1632)&amp;IF(AND(K1632&lt;&gt;"",E1632&lt;&gt;""),", "&amp;E1632,""))</f>
        <v/>
      </c>
      <c r="T1632">
        <f>IF(R1632="","",IF(COUNTIFS(R$6:R1631,"&gt;0",S$6:S1631,S1632,N$6:N1631,N1632)=0,R1632,""))</f>
        <v/>
      </c>
      <c r="U1632">
        <f>IF(B1632="","",IF(J1632&lt;&gt;"",0,M1632))</f>
        <v/>
      </c>
    </row>
    <row r="1633">
      <c r="A1633" s="1" t="n"/>
      <c r="B1633" s="16" t="n"/>
      <c r="C1633" s="17" t="n"/>
      <c r="D1633" s="18" t="n"/>
      <c r="E1633" s="18" t="n"/>
      <c r="F1633" s="19" t="n"/>
      <c r="G1633" s="19" t="n"/>
      <c r="H1633" s="20" t="n"/>
      <c r="I1633" s="21" t="n"/>
      <c r="J1633" s="22" t="n"/>
      <c r="K1633" s="23" t="n"/>
      <c r="L1633" s="18" t="n"/>
      <c r="M1633" s="24">
        <f>IF(B1633="","",IF(AND(F1633&lt;&gt;"",G1633&lt;&gt;""),MAX(0,ROUND(MOD(G1633-F1633,1)*24-N(H1633)/60,2)),N(I1633)))</f>
        <v/>
      </c>
      <c r="N1633" s="14">
        <f>IF(B1633="","",IF(K1633&lt;&gt;"",K1633,IF(N(IFERROR(INDEX(Projects!$D$6:$D$65,MATCH(D1633,Projects!$B$6:$B$65,0)),""))&gt;0,IFERROR(INDEX(Projects!$D$6:$D$65,MATCH(D1633,Projects!$B$6:$B$65,0)),""),IFERROR(INDEX(Clients!$G$6:$G$45,MATCH(C1633,Clients!$B$6:$B$45,0)),0))))</f>
        <v/>
      </c>
      <c r="O1633" s="14">
        <f>IF(B1633="","",IF(J1633&lt;&gt;"",0,ROUND(M1633*N1633,2)))</f>
        <v/>
      </c>
      <c r="P1633" s="15">
        <f>IF(OR(B1633="",J1633&lt;&gt;""),"",IF(L1633&lt;&gt;"",L1633,IF(COUNTIFS(Invoices!$C$6:$C$305,C1633,Invoices!$E$6:$E$305,"&lt;="&amp;B1633,Invoices!$F$6:$F$305,"&gt;="&amp;B1633)=1,INDEX(Invoices!$B$6:$B$305,SUMIFS(Invoices!$O$6:$O$305,Invoices!$C$6:$C$305,C1633,Invoices!$E$6:$E$305,"&lt;="&amp;B1633,Invoices!$F$6:$F$305,"&gt;="&amp;B1633)),IF(COUNTIFS(Invoices!$C$6:$C$305,C1633,Invoices!$E$6:$E$305,"&lt;="&amp;B1633,Invoices!$F$6:$F$305,"&gt;="&amp;B1633)&gt;1,"Two invoices",""))))</f>
        <v/>
      </c>
      <c r="Q1633" s="15">
        <f>IF(B1633="","",IF(J1633&lt;&gt;"","Not billable",IF(P1633="","To invoice",IF(P1633="Two invoices","Check dates",IF(ISNA(MATCH(P1633,Invoices!$B$6:$B$305,0)),"Check number",IF(INDEX(Invoices!$M$6:$M$305,MATCH(P1633,Invoices!$B$6:$B$305,0))="Paid","Paid",IF(INDEX(Invoices!$M$6:$M$305,MATCH(P1633,Invoices!$B$6:$B$305,0))="Draft","Draft","Invoiced")))))))</f>
        <v/>
      </c>
      <c r="R1633" s="1">
        <f>IF(AND(B1633&lt;&gt;"",P1633&lt;&gt;"",P1633=Invoice!$G$4),B1633+MOD(N(F1633),1)+ROW()/10000000,"")</f>
        <v/>
      </c>
      <c r="S1633">
        <f>IF(R1633="","",IF(D1633="","Other work",D1633)&amp;IF(AND(K1633&lt;&gt;"",E1633&lt;&gt;""),", "&amp;E1633,""))</f>
        <v/>
      </c>
      <c r="T1633">
        <f>IF(R1633="","",IF(COUNTIFS(R$6:R1632,"&gt;0",S$6:S1632,S1633,N$6:N1632,N1633)=0,R1633,""))</f>
        <v/>
      </c>
      <c r="U1633">
        <f>IF(B1633="","",IF(J1633&lt;&gt;"",0,M1633))</f>
        <v/>
      </c>
    </row>
    <row r="1634">
      <c r="A1634" s="1" t="n"/>
      <c r="B1634" s="16" t="n"/>
      <c r="C1634" s="17" t="n"/>
      <c r="D1634" s="18" t="n"/>
      <c r="E1634" s="18" t="n"/>
      <c r="F1634" s="19" t="n"/>
      <c r="G1634" s="19" t="n"/>
      <c r="H1634" s="20" t="n"/>
      <c r="I1634" s="21" t="n"/>
      <c r="J1634" s="22" t="n"/>
      <c r="K1634" s="23" t="n"/>
      <c r="L1634" s="18" t="n"/>
      <c r="M1634" s="24">
        <f>IF(B1634="","",IF(AND(F1634&lt;&gt;"",G1634&lt;&gt;""),MAX(0,ROUND(MOD(G1634-F1634,1)*24-N(H1634)/60,2)),N(I1634)))</f>
        <v/>
      </c>
      <c r="N1634" s="14">
        <f>IF(B1634="","",IF(K1634&lt;&gt;"",K1634,IF(N(IFERROR(INDEX(Projects!$D$6:$D$65,MATCH(D1634,Projects!$B$6:$B$65,0)),""))&gt;0,IFERROR(INDEX(Projects!$D$6:$D$65,MATCH(D1634,Projects!$B$6:$B$65,0)),""),IFERROR(INDEX(Clients!$G$6:$G$45,MATCH(C1634,Clients!$B$6:$B$45,0)),0))))</f>
        <v/>
      </c>
      <c r="O1634" s="14">
        <f>IF(B1634="","",IF(J1634&lt;&gt;"",0,ROUND(M1634*N1634,2)))</f>
        <v/>
      </c>
      <c r="P1634" s="15">
        <f>IF(OR(B1634="",J1634&lt;&gt;""),"",IF(L1634&lt;&gt;"",L1634,IF(COUNTIFS(Invoices!$C$6:$C$305,C1634,Invoices!$E$6:$E$305,"&lt;="&amp;B1634,Invoices!$F$6:$F$305,"&gt;="&amp;B1634)=1,INDEX(Invoices!$B$6:$B$305,SUMIFS(Invoices!$O$6:$O$305,Invoices!$C$6:$C$305,C1634,Invoices!$E$6:$E$305,"&lt;="&amp;B1634,Invoices!$F$6:$F$305,"&gt;="&amp;B1634)),IF(COUNTIFS(Invoices!$C$6:$C$305,C1634,Invoices!$E$6:$E$305,"&lt;="&amp;B1634,Invoices!$F$6:$F$305,"&gt;="&amp;B1634)&gt;1,"Two invoices",""))))</f>
        <v/>
      </c>
      <c r="Q1634" s="15">
        <f>IF(B1634="","",IF(J1634&lt;&gt;"","Not billable",IF(P1634="","To invoice",IF(P1634="Two invoices","Check dates",IF(ISNA(MATCH(P1634,Invoices!$B$6:$B$305,0)),"Check number",IF(INDEX(Invoices!$M$6:$M$305,MATCH(P1634,Invoices!$B$6:$B$305,0))="Paid","Paid",IF(INDEX(Invoices!$M$6:$M$305,MATCH(P1634,Invoices!$B$6:$B$305,0))="Draft","Draft","Invoiced")))))))</f>
        <v/>
      </c>
      <c r="R1634" s="1">
        <f>IF(AND(B1634&lt;&gt;"",P1634&lt;&gt;"",P1634=Invoice!$G$4),B1634+MOD(N(F1634),1)+ROW()/10000000,"")</f>
        <v/>
      </c>
      <c r="S1634">
        <f>IF(R1634="","",IF(D1634="","Other work",D1634)&amp;IF(AND(K1634&lt;&gt;"",E1634&lt;&gt;""),", "&amp;E1634,""))</f>
        <v/>
      </c>
      <c r="T1634">
        <f>IF(R1634="","",IF(COUNTIFS(R$6:R1633,"&gt;0",S$6:S1633,S1634,N$6:N1633,N1634)=0,R1634,""))</f>
        <v/>
      </c>
      <c r="U1634">
        <f>IF(B1634="","",IF(J1634&lt;&gt;"",0,M1634))</f>
        <v/>
      </c>
    </row>
    <row r="1635">
      <c r="A1635" s="1" t="n"/>
      <c r="B1635" s="16" t="n"/>
      <c r="C1635" s="17" t="n"/>
      <c r="D1635" s="18" t="n"/>
      <c r="E1635" s="18" t="n"/>
      <c r="F1635" s="19" t="n"/>
      <c r="G1635" s="19" t="n"/>
      <c r="H1635" s="20" t="n"/>
      <c r="I1635" s="21" t="n"/>
      <c r="J1635" s="22" t="n"/>
      <c r="K1635" s="23" t="n"/>
      <c r="L1635" s="18" t="n"/>
      <c r="M1635" s="24">
        <f>IF(B1635="","",IF(AND(F1635&lt;&gt;"",G1635&lt;&gt;""),MAX(0,ROUND(MOD(G1635-F1635,1)*24-N(H1635)/60,2)),N(I1635)))</f>
        <v/>
      </c>
      <c r="N1635" s="14">
        <f>IF(B1635="","",IF(K1635&lt;&gt;"",K1635,IF(N(IFERROR(INDEX(Projects!$D$6:$D$65,MATCH(D1635,Projects!$B$6:$B$65,0)),""))&gt;0,IFERROR(INDEX(Projects!$D$6:$D$65,MATCH(D1635,Projects!$B$6:$B$65,0)),""),IFERROR(INDEX(Clients!$G$6:$G$45,MATCH(C1635,Clients!$B$6:$B$45,0)),0))))</f>
        <v/>
      </c>
      <c r="O1635" s="14">
        <f>IF(B1635="","",IF(J1635&lt;&gt;"",0,ROUND(M1635*N1635,2)))</f>
        <v/>
      </c>
      <c r="P1635" s="15">
        <f>IF(OR(B1635="",J1635&lt;&gt;""),"",IF(L1635&lt;&gt;"",L1635,IF(COUNTIFS(Invoices!$C$6:$C$305,C1635,Invoices!$E$6:$E$305,"&lt;="&amp;B1635,Invoices!$F$6:$F$305,"&gt;="&amp;B1635)=1,INDEX(Invoices!$B$6:$B$305,SUMIFS(Invoices!$O$6:$O$305,Invoices!$C$6:$C$305,C1635,Invoices!$E$6:$E$305,"&lt;="&amp;B1635,Invoices!$F$6:$F$305,"&gt;="&amp;B1635)),IF(COUNTIFS(Invoices!$C$6:$C$305,C1635,Invoices!$E$6:$E$305,"&lt;="&amp;B1635,Invoices!$F$6:$F$305,"&gt;="&amp;B1635)&gt;1,"Two invoices",""))))</f>
        <v/>
      </c>
      <c r="Q1635" s="15">
        <f>IF(B1635="","",IF(J1635&lt;&gt;"","Not billable",IF(P1635="","To invoice",IF(P1635="Two invoices","Check dates",IF(ISNA(MATCH(P1635,Invoices!$B$6:$B$305,0)),"Check number",IF(INDEX(Invoices!$M$6:$M$305,MATCH(P1635,Invoices!$B$6:$B$305,0))="Paid","Paid",IF(INDEX(Invoices!$M$6:$M$305,MATCH(P1635,Invoices!$B$6:$B$305,0))="Draft","Draft","Invoiced")))))))</f>
        <v/>
      </c>
      <c r="R1635" s="1">
        <f>IF(AND(B1635&lt;&gt;"",P1635&lt;&gt;"",P1635=Invoice!$G$4),B1635+MOD(N(F1635),1)+ROW()/10000000,"")</f>
        <v/>
      </c>
      <c r="S1635">
        <f>IF(R1635="","",IF(D1635="","Other work",D1635)&amp;IF(AND(K1635&lt;&gt;"",E1635&lt;&gt;""),", "&amp;E1635,""))</f>
        <v/>
      </c>
      <c r="T1635">
        <f>IF(R1635="","",IF(COUNTIFS(R$6:R1634,"&gt;0",S$6:S1634,S1635,N$6:N1634,N1635)=0,R1635,""))</f>
        <v/>
      </c>
      <c r="U1635">
        <f>IF(B1635="","",IF(J1635&lt;&gt;"",0,M1635))</f>
        <v/>
      </c>
    </row>
    <row r="1636">
      <c r="A1636" s="1" t="n"/>
      <c r="B1636" s="16" t="n"/>
      <c r="C1636" s="17" t="n"/>
      <c r="D1636" s="18" t="n"/>
      <c r="E1636" s="18" t="n"/>
      <c r="F1636" s="19" t="n"/>
      <c r="G1636" s="19" t="n"/>
      <c r="H1636" s="20" t="n"/>
      <c r="I1636" s="21" t="n"/>
      <c r="J1636" s="22" t="n"/>
      <c r="K1636" s="23" t="n"/>
      <c r="L1636" s="18" t="n"/>
      <c r="M1636" s="24">
        <f>IF(B1636="","",IF(AND(F1636&lt;&gt;"",G1636&lt;&gt;""),MAX(0,ROUND(MOD(G1636-F1636,1)*24-N(H1636)/60,2)),N(I1636)))</f>
        <v/>
      </c>
      <c r="N1636" s="14">
        <f>IF(B1636="","",IF(K1636&lt;&gt;"",K1636,IF(N(IFERROR(INDEX(Projects!$D$6:$D$65,MATCH(D1636,Projects!$B$6:$B$65,0)),""))&gt;0,IFERROR(INDEX(Projects!$D$6:$D$65,MATCH(D1636,Projects!$B$6:$B$65,0)),""),IFERROR(INDEX(Clients!$G$6:$G$45,MATCH(C1636,Clients!$B$6:$B$45,0)),0))))</f>
        <v/>
      </c>
      <c r="O1636" s="14">
        <f>IF(B1636="","",IF(J1636&lt;&gt;"",0,ROUND(M1636*N1636,2)))</f>
        <v/>
      </c>
      <c r="P1636" s="15">
        <f>IF(OR(B1636="",J1636&lt;&gt;""),"",IF(L1636&lt;&gt;"",L1636,IF(COUNTIFS(Invoices!$C$6:$C$305,C1636,Invoices!$E$6:$E$305,"&lt;="&amp;B1636,Invoices!$F$6:$F$305,"&gt;="&amp;B1636)=1,INDEX(Invoices!$B$6:$B$305,SUMIFS(Invoices!$O$6:$O$305,Invoices!$C$6:$C$305,C1636,Invoices!$E$6:$E$305,"&lt;="&amp;B1636,Invoices!$F$6:$F$305,"&gt;="&amp;B1636)),IF(COUNTIFS(Invoices!$C$6:$C$305,C1636,Invoices!$E$6:$E$305,"&lt;="&amp;B1636,Invoices!$F$6:$F$305,"&gt;="&amp;B1636)&gt;1,"Two invoices",""))))</f>
        <v/>
      </c>
      <c r="Q1636" s="15">
        <f>IF(B1636="","",IF(J1636&lt;&gt;"","Not billable",IF(P1636="","To invoice",IF(P1636="Two invoices","Check dates",IF(ISNA(MATCH(P1636,Invoices!$B$6:$B$305,0)),"Check number",IF(INDEX(Invoices!$M$6:$M$305,MATCH(P1636,Invoices!$B$6:$B$305,0))="Paid","Paid",IF(INDEX(Invoices!$M$6:$M$305,MATCH(P1636,Invoices!$B$6:$B$305,0))="Draft","Draft","Invoiced")))))))</f>
        <v/>
      </c>
      <c r="R1636" s="1">
        <f>IF(AND(B1636&lt;&gt;"",P1636&lt;&gt;"",P1636=Invoice!$G$4),B1636+MOD(N(F1636),1)+ROW()/10000000,"")</f>
        <v/>
      </c>
      <c r="S1636">
        <f>IF(R1636="","",IF(D1636="","Other work",D1636)&amp;IF(AND(K1636&lt;&gt;"",E1636&lt;&gt;""),", "&amp;E1636,""))</f>
        <v/>
      </c>
      <c r="T1636">
        <f>IF(R1636="","",IF(COUNTIFS(R$6:R1635,"&gt;0",S$6:S1635,S1636,N$6:N1635,N1636)=0,R1636,""))</f>
        <v/>
      </c>
      <c r="U1636">
        <f>IF(B1636="","",IF(J1636&lt;&gt;"",0,M1636))</f>
        <v/>
      </c>
    </row>
    <row r="1637">
      <c r="A1637" s="1" t="n"/>
      <c r="B1637" s="16" t="n"/>
      <c r="C1637" s="17" t="n"/>
      <c r="D1637" s="18" t="n"/>
      <c r="E1637" s="18" t="n"/>
      <c r="F1637" s="19" t="n"/>
      <c r="G1637" s="19" t="n"/>
      <c r="H1637" s="20" t="n"/>
      <c r="I1637" s="21" t="n"/>
      <c r="J1637" s="22" t="n"/>
      <c r="K1637" s="23" t="n"/>
      <c r="L1637" s="18" t="n"/>
      <c r="M1637" s="24">
        <f>IF(B1637="","",IF(AND(F1637&lt;&gt;"",G1637&lt;&gt;""),MAX(0,ROUND(MOD(G1637-F1637,1)*24-N(H1637)/60,2)),N(I1637)))</f>
        <v/>
      </c>
      <c r="N1637" s="14">
        <f>IF(B1637="","",IF(K1637&lt;&gt;"",K1637,IF(N(IFERROR(INDEX(Projects!$D$6:$D$65,MATCH(D1637,Projects!$B$6:$B$65,0)),""))&gt;0,IFERROR(INDEX(Projects!$D$6:$D$65,MATCH(D1637,Projects!$B$6:$B$65,0)),""),IFERROR(INDEX(Clients!$G$6:$G$45,MATCH(C1637,Clients!$B$6:$B$45,0)),0))))</f>
        <v/>
      </c>
      <c r="O1637" s="14">
        <f>IF(B1637="","",IF(J1637&lt;&gt;"",0,ROUND(M1637*N1637,2)))</f>
        <v/>
      </c>
      <c r="P1637" s="15">
        <f>IF(OR(B1637="",J1637&lt;&gt;""),"",IF(L1637&lt;&gt;"",L1637,IF(COUNTIFS(Invoices!$C$6:$C$305,C1637,Invoices!$E$6:$E$305,"&lt;="&amp;B1637,Invoices!$F$6:$F$305,"&gt;="&amp;B1637)=1,INDEX(Invoices!$B$6:$B$305,SUMIFS(Invoices!$O$6:$O$305,Invoices!$C$6:$C$305,C1637,Invoices!$E$6:$E$305,"&lt;="&amp;B1637,Invoices!$F$6:$F$305,"&gt;="&amp;B1637)),IF(COUNTIFS(Invoices!$C$6:$C$305,C1637,Invoices!$E$6:$E$305,"&lt;="&amp;B1637,Invoices!$F$6:$F$305,"&gt;="&amp;B1637)&gt;1,"Two invoices",""))))</f>
        <v/>
      </c>
      <c r="Q1637" s="15">
        <f>IF(B1637="","",IF(J1637&lt;&gt;"","Not billable",IF(P1637="","To invoice",IF(P1637="Two invoices","Check dates",IF(ISNA(MATCH(P1637,Invoices!$B$6:$B$305,0)),"Check number",IF(INDEX(Invoices!$M$6:$M$305,MATCH(P1637,Invoices!$B$6:$B$305,0))="Paid","Paid",IF(INDEX(Invoices!$M$6:$M$305,MATCH(P1637,Invoices!$B$6:$B$305,0))="Draft","Draft","Invoiced")))))))</f>
        <v/>
      </c>
      <c r="R1637" s="1">
        <f>IF(AND(B1637&lt;&gt;"",P1637&lt;&gt;"",P1637=Invoice!$G$4),B1637+MOD(N(F1637),1)+ROW()/10000000,"")</f>
        <v/>
      </c>
      <c r="S1637">
        <f>IF(R1637="","",IF(D1637="","Other work",D1637)&amp;IF(AND(K1637&lt;&gt;"",E1637&lt;&gt;""),", "&amp;E1637,""))</f>
        <v/>
      </c>
      <c r="T1637">
        <f>IF(R1637="","",IF(COUNTIFS(R$6:R1636,"&gt;0",S$6:S1636,S1637,N$6:N1636,N1637)=0,R1637,""))</f>
        <v/>
      </c>
      <c r="U1637">
        <f>IF(B1637="","",IF(J1637&lt;&gt;"",0,M1637))</f>
        <v/>
      </c>
    </row>
    <row r="1638">
      <c r="A1638" s="1" t="n"/>
      <c r="B1638" s="16" t="n"/>
      <c r="C1638" s="17" t="n"/>
      <c r="D1638" s="18" t="n"/>
      <c r="E1638" s="18" t="n"/>
      <c r="F1638" s="19" t="n"/>
      <c r="G1638" s="19" t="n"/>
      <c r="H1638" s="20" t="n"/>
      <c r="I1638" s="21" t="n"/>
      <c r="J1638" s="22" t="n"/>
      <c r="K1638" s="23" t="n"/>
      <c r="L1638" s="18" t="n"/>
      <c r="M1638" s="24">
        <f>IF(B1638="","",IF(AND(F1638&lt;&gt;"",G1638&lt;&gt;""),MAX(0,ROUND(MOD(G1638-F1638,1)*24-N(H1638)/60,2)),N(I1638)))</f>
        <v/>
      </c>
      <c r="N1638" s="14">
        <f>IF(B1638="","",IF(K1638&lt;&gt;"",K1638,IF(N(IFERROR(INDEX(Projects!$D$6:$D$65,MATCH(D1638,Projects!$B$6:$B$65,0)),""))&gt;0,IFERROR(INDEX(Projects!$D$6:$D$65,MATCH(D1638,Projects!$B$6:$B$65,0)),""),IFERROR(INDEX(Clients!$G$6:$G$45,MATCH(C1638,Clients!$B$6:$B$45,0)),0))))</f>
        <v/>
      </c>
      <c r="O1638" s="14">
        <f>IF(B1638="","",IF(J1638&lt;&gt;"",0,ROUND(M1638*N1638,2)))</f>
        <v/>
      </c>
      <c r="P1638" s="15">
        <f>IF(OR(B1638="",J1638&lt;&gt;""),"",IF(L1638&lt;&gt;"",L1638,IF(COUNTIFS(Invoices!$C$6:$C$305,C1638,Invoices!$E$6:$E$305,"&lt;="&amp;B1638,Invoices!$F$6:$F$305,"&gt;="&amp;B1638)=1,INDEX(Invoices!$B$6:$B$305,SUMIFS(Invoices!$O$6:$O$305,Invoices!$C$6:$C$305,C1638,Invoices!$E$6:$E$305,"&lt;="&amp;B1638,Invoices!$F$6:$F$305,"&gt;="&amp;B1638)),IF(COUNTIFS(Invoices!$C$6:$C$305,C1638,Invoices!$E$6:$E$305,"&lt;="&amp;B1638,Invoices!$F$6:$F$305,"&gt;="&amp;B1638)&gt;1,"Two invoices",""))))</f>
        <v/>
      </c>
      <c r="Q1638" s="15">
        <f>IF(B1638="","",IF(J1638&lt;&gt;"","Not billable",IF(P1638="","To invoice",IF(P1638="Two invoices","Check dates",IF(ISNA(MATCH(P1638,Invoices!$B$6:$B$305,0)),"Check number",IF(INDEX(Invoices!$M$6:$M$305,MATCH(P1638,Invoices!$B$6:$B$305,0))="Paid","Paid",IF(INDEX(Invoices!$M$6:$M$305,MATCH(P1638,Invoices!$B$6:$B$305,0))="Draft","Draft","Invoiced")))))))</f>
        <v/>
      </c>
      <c r="R1638" s="1">
        <f>IF(AND(B1638&lt;&gt;"",P1638&lt;&gt;"",P1638=Invoice!$G$4),B1638+MOD(N(F1638),1)+ROW()/10000000,"")</f>
        <v/>
      </c>
      <c r="S1638">
        <f>IF(R1638="","",IF(D1638="","Other work",D1638)&amp;IF(AND(K1638&lt;&gt;"",E1638&lt;&gt;""),", "&amp;E1638,""))</f>
        <v/>
      </c>
      <c r="T1638">
        <f>IF(R1638="","",IF(COUNTIFS(R$6:R1637,"&gt;0",S$6:S1637,S1638,N$6:N1637,N1638)=0,R1638,""))</f>
        <v/>
      </c>
      <c r="U1638">
        <f>IF(B1638="","",IF(J1638&lt;&gt;"",0,M1638))</f>
        <v/>
      </c>
    </row>
    <row r="1639">
      <c r="A1639" s="1" t="n"/>
      <c r="B1639" s="16" t="n"/>
      <c r="C1639" s="17" t="n"/>
      <c r="D1639" s="18" t="n"/>
      <c r="E1639" s="18" t="n"/>
      <c r="F1639" s="19" t="n"/>
      <c r="G1639" s="19" t="n"/>
      <c r="H1639" s="20" t="n"/>
      <c r="I1639" s="21" t="n"/>
      <c r="J1639" s="22" t="n"/>
      <c r="K1639" s="23" t="n"/>
      <c r="L1639" s="18" t="n"/>
      <c r="M1639" s="24">
        <f>IF(B1639="","",IF(AND(F1639&lt;&gt;"",G1639&lt;&gt;""),MAX(0,ROUND(MOD(G1639-F1639,1)*24-N(H1639)/60,2)),N(I1639)))</f>
        <v/>
      </c>
      <c r="N1639" s="14">
        <f>IF(B1639="","",IF(K1639&lt;&gt;"",K1639,IF(N(IFERROR(INDEX(Projects!$D$6:$D$65,MATCH(D1639,Projects!$B$6:$B$65,0)),""))&gt;0,IFERROR(INDEX(Projects!$D$6:$D$65,MATCH(D1639,Projects!$B$6:$B$65,0)),""),IFERROR(INDEX(Clients!$G$6:$G$45,MATCH(C1639,Clients!$B$6:$B$45,0)),0))))</f>
        <v/>
      </c>
      <c r="O1639" s="14">
        <f>IF(B1639="","",IF(J1639&lt;&gt;"",0,ROUND(M1639*N1639,2)))</f>
        <v/>
      </c>
      <c r="P1639" s="15">
        <f>IF(OR(B1639="",J1639&lt;&gt;""),"",IF(L1639&lt;&gt;"",L1639,IF(COUNTIFS(Invoices!$C$6:$C$305,C1639,Invoices!$E$6:$E$305,"&lt;="&amp;B1639,Invoices!$F$6:$F$305,"&gt;="&amp;B1639)=1,INDEX(Invoices!$B$6:$B$305,SUMIFS(Invoices!$O$6:$O$305,Invoices!$C$6:$C$305,C1639,Invoices!$E$6:$E$305,"&lt;="&amp;B1639,Invoices!$F$6:$F$305,"&gt;="&amp;B1639)),IF(COUNTIFS(Invoices!$C$6:$C$305,C1639,Invoices!$E$6:$E$305,"&lt;="&amp;B1639,Invoices!$F$6:$F$305,"&gt;="&amp;B1639)&gt;1,"Two invoices",""))))</f>
        <v/>
      </c>
      <c r="Q1639" s="15">
        <f>IF(B1639="","",IF(J1639&lt;&gt;"","Not billable",IF(P1639="","To invoice",IF(P1639="Two invoices","Check dates",IF(ISNA(MATCH(P1639,Invoices!$B$6:$B$305,0)),"Check number",IF(INDEX(Invoices!$M$6:$M$305,MATCH(P1639,Invoices!$B$6:$B$305,0))="Paid","Paid",IF(INDEX(Invoices!$M$6:$M$305,MATCH(P1639,Invoices!$B$6:$B$305,0))="Draft","Draft","Invoiced")))))))</f>
        <v/>
      </c>
      <c r="R1639" s="1">
        <f>IF(AND(B1639&lt;&gt;"",P1639&lt;&gt;"",P1639=Invoice!$G$4),B1639+MOD(N(F1639),1)+ROW()/10000000,"")</f>
        <v/>
      </c>
      <c r="S1639">
        <f>IF(R1639="","",IF(D1639="","Other work",D1639)&amp;IF(AND(K1639&lt;&gt;"",E1639&lt;&gt;""),", "&amp;E1639,""))</f>
        <v/>
      </c>
      <c r="T1639">
        <f>IF(R1639="","",IF(COUNTIFS(R$6:R1638,"&gt;0",S$6:S1638,S1639,N$6:N1638,N1639)=0,R1639,""))</f>
        <v/>
      </c>
      <c r="U1639">
        <f>IF(B1639="","",IF(J1639&lt;&gt;"",0,M1639))</f>
        <v/>
      </c>
    </row>
    <row r="1640">
      <c r="A1640" s="1" t="n"/>
      <c r="B1640" s="16" t="n"/>
      <c r="C1640" s="17" t="n"/>
      <c r="D1640" s="18" t="n"/>
      <c r="E1640" s="18" t="n"/>
      <c r="F1640" s="19" t="n"/>
      <c r="G1640" s="19" t="n"/>
      <c r="H1640" s="20" t="n"/>
      <c r="I1640" s="21" t="n"/>
      <c r="J1640" s="22" t="n"/>
      <c r="K1640" s="23" t="n"/>
      <c r="L1640" s="18" t="n"/>
      <c r="M1640" s="24">
        <f>IF(B1640="","",IF(AND(F1640&lt;&gt;"",G1640&lt;&gt;""),MAX(0,ROUND(MOD(G1640-F1640,1)*24-N(H1640)/60,2)),N(I1640)))</f>
        <v/>
      </c>
      <c r="N1640" s="14">
        <f>IF(B1640="","",IF(K1640&lt;&gt;"",K1640,IF(N(IFERROR(INDEX(Projects!$D$6:$D$65,MATCH(D1640,Projects!$B$6:$B$65,0)),""))&gt;0,IFERROR(INDEX(Projects!$D$6:$D$65,MATCH(D1640,Projects!$B$6:$B$65,0)),""),IFERROR(INDEX(Clients!$G$6:$G$45,MATCH(C1640,Clients!$B$6:$B$45,0)),0))))</f>
        <v/>
      </c>
      <c r="O1640" s="14">
        <f>IF(B1640="","",IF(J1640&lt;&gt;"",0,ROUND(M1640*N1640,2)))</f>
        <v/>
      </c>
      <c r="P1640" s="15">
        <f>IF(OR(B1640="",J1640&lt;&gt;""),"",IF(L1640&lt;&gt;"",L1640,IF(COUNTIFS(Invoices!$C$6:$C$305,C1640,Invoices!$E$6:$E$305,"&lt;="&amp;B1640,Invoices!$F$6:$F$305,"&gt;="&amp;B1640)=1,INDEX(Invoices!$B$6:$B$305,SUMIFS(Invoices!$O$6:$O$305,Invoices!$C$6:$C$305,C1640,Invoices!$E$6:$E$305,"&lt;="&amp;B1640,Invoices!$F$6:$F$305,"&gt;="&amp;B1640)),IF(COUNTIFS(Invoices!$C$6:$C$305,C1640,Invoices!$E$6:$E$305,"&lt;="&amp;B1640,Invoices!$F$6:$F$305,"&gt;="&amp;B1640)&gt;1,"Two invoices",""))))</f>
        <v/>
      </c>
      <c r="Q1640" s="15">
        <f>IF(B1640="","",IF(J1640&lt;&gt;"","Not billable",IF(P1640="","To invoice",IF(P1640="Two invoices","Check dates",IF(ISNA(MATCH(P1640,Invoices!$B$6:$B$305,0)),"Check number",IF(INDEX(Invoices!$M$6:$M$305,MATCH(P1640,Invoices!$B$6:$B$305,0))="Paid","Paid",IF(INDEX(Invoices!$M$6:$M$305,MATCH(P1640,Invoices!$B$6:$B$305,0))="Draft","Draft","Invoiced")))))))</f>
        <v/>
      </c>
      <c r="R1640" s="1">
        <f>IF(AND(B1640&lt;&gt;"",P1640&lt;&gt;"",P1640=Invoice!$G$4),B1640+MOD(N(F1640),1)+ROW()/10000000,"")</f>
        <v/>
      </c>
      <c r="S1640">
        <f>IF(R1640="","",IF(D1640="","Other work",D1640)&amp;IF(AND(K1640&lt;&gt;"",E1640&lt;&gt;""),", "&amp;E1640,""))</f>
        <v/>
      </c>
      <c r="T1640">
        <f>IF(R1640="","",IF(COUNTIFS(R$6:R1639,"&gt;0",S$6:S1639,S1640,N$6:N1639,N1640)=0,R1640,""))</f>
        <v/>
      </c>
      <c r="U1640">
        <f>IF(B1640="","",IF(J1640&lt;&gt;"",0,M1640))</f>
        <v/>
      </c>
    </row>
    <row r="1641">
      <c r="A1641" s="1" t="n"/>
      <c r="B1641" s="16" t="n"/>
      <c r="C1641" s="17" t="n"/>
      <c r="D1641" s="18" t="n"/>
      <c r="E1641" s="18" t="n"/>
      <c r="F1641" s="19" t="n"/>
      <c r="G1641" s="19" t="n"/>
      <c r="H1641" s="20" t="n"/>
      <c r="I1641" s="21" t="n"/>
      <c r="J1641" s="22" t="n"/>
      <c r="K1641" s="23" t="n"/>
      <c r="L1641" s="18" t="n"/>
      <c r="M1641" s="24">
        <f>IF(B1641="","",IF(AND(F1641&lt;&gt;"",G1641&lt;&gt;""),MAX(0,ROUND(MOD(G1641-F1641,1)*24-N(H1641)/60,2)),N(I1641)))</f>
        <v/>
      </c>
      <c r="N1641" s="14">
        <f>IF(B1641="","",IF(K1641&lt;&gt;"",K1641,IF(N(IFERROR(INDEX(Projects!$D$6:$D$65,MATCH(D1641,Projects!$B$6:$B$65,0)),""))&gt;0,IFERROR(INDEX(Projects!$D$6:$D$65,MATCH(D1641,Projects!$B$6:$B$65,0)),""),IFERROR(INDEX(Clients!$G$6:$G$45,MATCH(C1641,Clients!$B$6:$B$45,0)),0))))</f>
        <v/>
      </c>
      <c r="O1641" s="14">
        <f>IF(B1641="","",IF(J1641&lt;&gt;"",0,ROUND(M1641*N1641,2)))</f>
        <v/>
      </c>
      <c r="P1641" s="15">
        <f>IF(OR(B1641="",J1641&lt;&gt;""),"",IF(L1641&lt;&gt;"",L1641,IF(COUNTIFS(Invoices!$C$6:$C$305,C1641,Invoices!$E$6:$E$305,"&lt;="&amp;B1641,Invoices!$F$6:$F$305,"&gt;="&amp;B1641)=1,INDEX(Invoices!$B$6:$B$305,SUMIFS(Invoices!$O$6:$O$305,Invoices!$C$6:$C$305,C1641,Invoices!$E$6:$E$305,"&lt;="&amp;B1641,Invoices!$F$6:$F$305,"&gt;="&amp;B1641)),IF(COUNTIFS(Invoices!$C$6:$C$305,C1641,Invoices!$E$6:$E$305,"&lt;="&amp;B1641,Invoices!$F$6:$F$305,"&gt;="&amp;B1641)&gt;1,"Two invoices",""))))</f>
        <v/>
      </c>
      <c r="Q1641" s="15">
        <f>IF(B1641="","",IF(J1641&lt;&gt;"","Not billable",IF(P1641="","To invoice",IF(P1641="Two invoices","Check dates",IF(ISNA(MATCH(P1641,Invoices!$B$6:$B$305,0)),"Check number",IF(INDEX(Invoices!$M$6:$M$305,MATCH(P1641,Invoices!$B$6:$B$305,0))="Paid","Paid",IF(INDEX(Invoices!$M$6:$M$305,MATCH(P1641,Invoices!$B$6:$B$305,0))="Draft","Draft","Invoiced")))))))</f>
        <v/>
      </c>
      <c r="R1641" s="1">
        <f>IF(AND(B1641&lt;&gt;"",P1641&lt;&gt;"",P1641=Invoice!$G$4),B1641+MOD(N(F1641),1)+ROW()/10000000,"")</f>
        <v/>
      </c>
      <c r="S1641">
        <f>IF(R1641="","",IF(D1641="","Other work",D1641)&amp;IF(AND(K1641&lt;&gt;"",E1641&lt;&gt;""),", "&amp;E1641,""))</f>
        <v/>
      </c>
      <c r="T1641">
        <f>IF(R1641="","",IF(COUNTIFS(R$6:R1640,"&gt;0",S$6:S1640,S1641,N$6:N1640,N1641)=0,R1641,""))</f>
        <v/>
      </c>
      <c r="U1641">
        <f>IF(B1641="","",IF(J1641&lt;&gt;"",0,M1641))</f>
        <v/>
      </c>
    </row>
    <row r="1642">
      <c r="A1642" s="1" t="n"/>
      <c r="B1642" s="16" t="n"/>
      <c r="C1642" s="17" t="n"/>
      <c r="D1642" s="18" t="n"/>
      <c r="E1642" s="18" t="n"/>
      <c r="F1642" s="19" t="n"/>
      <c r="G1642" s="19" t="n"/>
      <c r="H1642" s="20" t="n"/>
      <c r="I1642" s="21" t="n"/>
      <c r="J1642" s="22" t="n"/>
      <c r="K1642" s="23" t="n"/>
      <c r="L1642" s="18" t="n"/>
      <c r="M1642" s="24">
        <f>IF(B1642="","",IF(AND(F1642&lt;&gt;"",G1642&lt;&gt;""),MAX(0,ROUND(MOD(G1642-F1642,1)*24-N(H1642)/60,2)),N(I1642)))</f>
        <v/>
      </c>
      <c r="N1642" s="14">
        <f>IF(B1642="","",IF(K1642&lt;&gt;"",K1642,IF(N(IFERROR(INDEX(Projects!$D$6:$D$65,MATCH(D1642,Projects!$B$6:$B$65,0)),""))&gt;0,IFERROR(INDEX(Projects!$D$6:$D$65,MATCH(D1642,Projects!$B$6:$B$65,0)),""),IFERROR(INDEX(Clients!$G$6:$G$45,MATCH(C1642,Clients!$B$6:$B$45,0)),0))))</f>
        <v/>
      </c>
      <c r="O1642" s="14">
        <f>IF(B1642="","",IF(J1642&lt;&gt;"",0,ROUND(M1642*N1642,2)))</f>
        <v/>
      </c>
      <c r="P1642" s="15">
        <f>IF(OR(B1642="",J1642&lt;&gt;""),"",IF(L1642&lt;&gt;"",L1642,IF(COUNTIFS(Invoices!$C$6:$C$305,C1642,Invoices!$E$6:$E$305,"&lt;="&amp;B1642,Invoices!$F$6:$F$305,"&gt;="&amp;B1642)=1,INDEX(Invoices!$B$6:$B$305,SUMIFS(Invoices!$O$6:$O$305,Invoices!$C$6:$C$305,C1642,Invoices!$E$6:$E$305,"&lt;="&amp;B1642,Invoices!$F$6:$F$305,"&gt;="&amp;B1642)),IF(COUNTIFS(Invoices!$C$6:$C$305,C1642,Invoices!$E$6:$E$305,"&lt;="&amp;B1642,Invoices!$F$6:$F$305,"&gt;="&amp;B1642)&gt;1,"Two invoices",""))))</f>
        <v/>
      </c>
      <c r="Q1642" s="15">
        <f>IF(B1642="","",IF(J1642&lt;&gt;"","Not billable",IF(P1642="","To invoice",IF(P1642="Two invoices","Check dates",IF(ISNA(MATCH(P1642,Invoices!$B$6:$B$305,0)),"Check number",IF(INDEX(Invoices!$M$6:$M$305,MATCH(P1642,Invoices!$B$6:$B$305,0))="Paid","Paid",IF(INDEX(Invoices!$M$6:$M$305,MATCH(P1642,Invoices!$B$6:$B$305,0))="Draft","Draft","Invoiced")))))))</f>
        <v/>
      </c>
      <c r="R1642" s="1">
        <f>IF(AND(B1642&lt;&gt;"",P1642&lt;&gt;"",P1642=Invoice!$G$4),B1642+MOD(N(F1642),1)+ROW()/10000000,"")</f>
        <v/>
      </c>
      <c r="S1642">
        <f>IF(R1642="","",IF(D1642="","Other work",D1642)&amp;IF(AND(K1642&lt;&gt;"",E1642&lt;&gt;""),", "&amp;E1642,""))</f>
        <v/>
      </c>
      <c r="T1642">
        <f>IF(R1642="","",IF(COUNTIFS(R$6:R1641,"&gt;0",S$6:S1641,S1642,N$6:N1641,N1642)=0,R1642,""))</f>
        <v/>
      </c>
      <c r="U1642">
        <f>IF(B1642="","",IF(J1642&lt;&gt;"",0,M1642))</f>
        <v/>
      </c>
    </row>
    <row r="1643">
      <c r="A1643" s="1" t="n"/>
      <c r="B1643" s="16" t="n"/>
      <c r="C1643" s="17" t="n"/>
      <c r="D1643" s="18" t="n"/>
      <c r="E1643" s="18" t="n"/>
      <c r="F1643" s="19" t="n"/>
      <c r="G1643" s="19" t="n"/>
      <c r="H1643" s="20" t="n"/>
      <c r="I1643" s="21" t="n"/>
      <c r="J1643" s="22" t="n"/>
      <c r="K1643" s="23" t="n"/>
      <c r="L1643" s="18" t="n"/>
      <c r="M1643" s="24">
        <f>IF(B1643="","",IF(AND(F1643&lt;&gt;"",G1643&lt;&gt;""),MAX(0,ROUND(MOD(G1643-F1643,1)*24-N(H1643)/60,2)),N(I1643)))</f>
        <v/>
      </c>
      <c r="N1643" s="14">
        <f>IF(B1643="","",IF(K1643&lt;&gt;"",K1643,IF(N(IFERROR(INDEX(Projects!$D$6:$D$65,MATCH(D1643,Projects!$B$6:$B$65,0)),""))&gt;0,IFERROR(INDEX(Projects!$D$6:$D$65,MATCH(D1643,Projects!$B$6:$B$65,0)),""),IFERROR(INDEX(Clients!$G$6:$G$45,MATCH(C1643,Clients!$B$6:$B$45,0)),0))))</f>
        <v/>
      </c>
      <c r="O1643" s="14">
        <f>IF(B1643="","",IF(J1643&lt;&gt;"",0,ROUND(M1643*N1643,2)))</f>
        <v/>
      </c>
      <c r="P1643" s="15">
        <f>IF(OR(B1643="",J1643&lt;&gt;""),"",IF(L1643&lt;&gt;"",L1643,IF(COUNTIFS(Invoices!$C$6:$C$305,C1643,Invoices!$E$6:$E$305,"&lt;="&amp;B1643,Invoices!$F$6:$F$305,"&gt;="&amp;B1643)=1,INDEX(Invoices!$B$6:$B$305,SUMIFS(Invoices!$O$6:$O$305,Invoices!$C$6:$C$305,C1643,Invoices!$E$6:$E$305,"&lt;="&amp;B1643,Invoices!$F$6:$F$305,"&gt;="&amp;B1643)),IF(COUNTIFS(Invoices!$C$6:$C$305,C1643,Invoices!$E$6:$E$305,"&lt;="&amp;B1643,Invoices!$F$6:$F$305,"&gt;="&amp;B1643)&gt;1,"Two invoices",""))))</f>
        <v/>
      </c>
      <c r="Q1643" s="15">
        <f>IF(B1643="","",IF(J1643&lt;&gt;"","Not billable",IF(P1643="","To invoice",IF(P1643="Two invoices","Check dates",IF(ISNA(MATCH(P1643,Invoices!$B$6:$B$305,0)),"Check number",IF(INDEX(Invoices!$M$6:$M$305,MATCH(P1643,Invoices!$B$6:$B$305,0))="Paid","Paid",IF(INDEX(Invoices!$M$6:$M$305,MATCH(P1643,Invoices!$B$6:$B$305,0))="Draft","Draft","Invoiced")))))))</f>
        <v/>
      </c>
      <c r="R1643" s="1">
        <f>IF(AND(B1643&lt;&gt;"",P1643&lt;&gt;"",P1643=Invoice!$G$4),B1643+MOD(N(F1643),1)+ROW()/10000000,"")</f>
        <v/>
      </c>
      <c r="S1643">
        <f>IF(R1643="","",IF(D1643="","Other work",D1643)&amp;IF(AND(K1643&lt;&gt;"",E1643&lt;&gt;""),", "&amp;E1643,""))</f>
        <v/>
      </c>
      <c r="T1643">
        <f>IF(R1643="","",IF(COUNTIFS(R$6:R1642,"&gt;0",S$6:S1642,S1643,N$6:N1642,N1643)=0,R1643,""))</f>
        <v/>
      </c>
      <c r="U1643">
        <f>IF(B1643="","",IF(J1643&lt;&gt;"",0,M1643))</f>
        <v/>
      </c>
    </row>
    <row r="1644">
      <c r="A1644" s="1" t="n"/>
      <c r="B1644" s="16" t="n"/>
      <c r="C1644" s="17" t="n"/>
      <c r="D1644" s="18" t="n"/>
      <c r="E1644" s="18" t="n"/>
      <c r="F1644" s="19" t="n"/>
      <c r="G1644" s="19" t="n"/>
      <c r="H1644" s="20" t="n"/>
      <c r="I1644" s="21" t="n"/>
      <c r="J1644" s="22" t="n"/>
      <c r="K1644" s="23" t="n"/>
      <c r="L1644" s="18" t="n"/>
      <c r="M1644" s="24">
        <f>IF(B1644="","",IF(AND(F1644&lt;&gt;"",G1644&lt;&gt;""),MAX(0,ROUND(MOD(G1644-F1644,1)*24-N(H1644)/60,2)),N(I1644)))</f>
        <v/>
      </c>
      <c r="N1644" s="14">
        <f>IF(B1644="","",IF(K1644&lt;&gt;"",K1644,IF(N(IFERROR(INDEX(Projects!$D$6:$D$65,MATCH(D1644,Projects!$B$6:$B$65,0)),""))&gt;0,IFERROR(INDEX(Projects!$D$6:$D$65,MATCH(D1644,Projects!$B$6:$B$65,0)),""),IFERROR(INDEX(Clients!$G$6:$G$45,MATCH(C1644,Clients!$B$6:$B$45,0)),0))))</f>
        <v/>
      </c>
      <c r="O1644" s="14">
        <f>IF(B1644="","",IF(J1644&lt;&gt;"",0,ROUND(M1644*N1644,2)))</f>
        <v/>
      </c>
      <c r="P1644" s="15">
        <f>IF(OR(B1644="",J1644&lt;&gt;""),"",IF(L1644&lt;&gt;"",L1644,IF(COUNTIFS(Invoices!$C$6:$C$305,C1644,Invoices!$E$6:$E$305,"&lt;="&amp;B1644,Invoices!$F$6:$F$305,"&gt;="&amp;B1644)=1,INDEX(Invoices!$B$6:$B$305,SUMIFS(Invoices!$O$6:$O$305,Invoices!$C$6:$C$305,C1644,Invoices!$E$6:$E$305,"&lt;="&amp;B1644,Invoices!$F$6:$F$305,"&gt;="&amp;B1644)),IF(COUNTIFS(Invoices!$C$6:$C$305,C1644,Invoices!$E$6:$E$305,"&lt;="&amp;B1644,Invoices!$F$6:$F$305,"&gt;="&amp;B1644)&gt;1,"Two invoices",""))))</f>
        <v/>
      </c>
      <c r="Q1644" s="15">
        <f>IF(B1644="","",IF(J1644&lt;&gt;"","Not billable",IF(P1644="","To invoice",IF(P1644="Two invoices","Check dates",IF(ISNA(MATCH(P1644,Invoices!$B$6:$B$305,0)),"Check number",IF(INDEX(Invoices!$M$6:$M$305,MATCH(P1644,Invoices!$B$6:$B$305,0))="Paid","Paid",IF(INDEX(Invoices!$M$6:$M$305,MATCH(P1644,Invoices!$B$6:$B$305,0))="Draft","Draft","Invoiced")))))))</f>
        <v/>
      </c>
      <c r="R1644" s="1">
        <f>IF(AND(B1644&lt;&gt;"",P1644&lt;&gt;"",P1644=Invoice!$G$4),B1644+MOD(N(F1644),1)+ROW()/10000000,"")</f>
        <v/>
      </c>
      <c r="S1644">
        <f>IF(R1644="","",IF(D1644="","Other work",D1644)&amp;IF(AND(K1644&lt;&gt;"",E1644&lt;&gt;""),", "&amp;E1644,""))</f>
        <v/>
      </c>
      <c r="T1644">
        <f>IF(R1644="","",IF(COUNTIFS(R$6:R1643,"&gt;0",S$6:S1643,S1644,N$6:N1643,N1644)=0,R1644,""))</f>
        <v/>
      </c>
      <c r="U1644">
        <f>IF(B1644="","",IF(J1644&lt;&gt;"",0,M1644))</f>
        <v/>
      </c>
    </row>
    <row r="1645">
      <c r="A1645" s="1" t="n"/>
      <c r="B1645" s="16" t="n"/>
      <c r="C1645" s="17" t="n"/>
      <c r="D1645" s="18" t="n"/>
      <c r="E1645" s="18" t="n"/>
      <c r="F1645" s="19" t="n"/>
      <c r="G1645" s="19" t="n"/>
      <c r="H1645" s="20" t="n"/>
      <c r="I1645" s="21" t="n"/>
      <c r="J1645" s="22" t="n"/>
      <c r="K1645" s="23" t="n"/>
      <c r="L1645" s="18" t="n"/>
      <c r="M1645" s="24">
        <f>IF(B1645="","",IF(AND(F1645&lt;&gt;"",G1645&lt;&gt;""),MAX(0,ROUND(MOD(G1645-F1645,1)*24-N(H1645)/60,2)),N(I1645)))</f>
        <v/>
      </c>
      <c r="N1645" s="14">
        <f>IF(B1645="","",IF(K1645&lt;&gt;"",K1645,IF(N(IFERROR(INDEX(Projects!$D$6:$D$65,MATCH(D1645,Projects!$B$6:$B$65,0)),""))&gt;0,IFERROR(INDEX(Projects!$D$6:$D$65,MATCH(D1645,Projects!$B$6:$B$65,0)),""),IFERROR(INDEX(Clients!$G$6:$G$45,MATCH(C1645,Clients!$B$6:$B$45,0)),0))))</f>
        <v/>
      </c>
      <c r="O1645" s="14">
        <f>IF(B1645="","",IF(J1645&lt;&gt;"",0,ROUND(M1645*N1645,2)))</f>
        <v/>
      </c>
      <c r="P1645" s="15">
        <f>IF(OR(B1645="",J1645&lt;&gt;""),"",IF(L1645&lt;&gt;"",L1645,IF(COUNTIFS(Invoices!$C$6:$C$305,C1645,Invoices!$E$6:$E$305,"&lt;="&amp;B1645,Invoices!$F$6:$F$305,"&gt;="&amp;B1645)=1,INDEX(Invoices!$B$6:$B$305,SUMIFS(Invoices!$O$6:$O$305,Invoices!$C$6:$C$305,C1645,Invoices!$E$6:$E$305,"&lt;="&amp;B1645,Invoices!$F$6:$F$305,"&gt;="&amp;B1645)),IF(COUNTIFS(Invoices!$C$6:$C$305,C1645,Invoices!$E$6:$E$305,"&lt;="&amp;B1645,Invoices!$F$6:$F$305,"&gt;="&amp;B1645)&gt;1,"Two invoices",""))))</f>
        <v/>
      </c>
      <c r="Q1645" s="15">
        <f>IF(B1645="","",IF(J1645&lt;&gt;"","Not billable",IF(P1645="","To invoice",IF(P1645="Two invoices","Check dates",IF(ISNA(MATCH(P1645,Invoices!$B$6:$B$305,0)),"Check number",IF(INDEX(Invoices!$M$6:$M$305,MATCH(P1645,Invoices!$B$6:$B$305,0))="Paid","Paid",IF(INDEX(Invoices!$M$6:$M$305,MATCH(P1645,Invoices!$B$6:$B$305,0))="Draft","Draft","Invoiced")))))))</f>
        <v/>
      </c>
      <c r="R1645" s="1">
        <f>IF(AND(B1645&lt;&gt;"",P1645&lt;&gt;"",P1645=Invoice!$G$4),B1645+MOD(N(F1645),1)+ROW()/10000000,"")</f>
        <v/>
      </c>
      <c r="S1645">
        <f>IF(R1645="","",IF(D1645="","Other work",D1645)&amp;IF(AND(K1645&lt;&gt;"",E1645&lt;&gt;""),", "&amp;E1645,""))</f>
        <v/>
      </c>
      <c r="T1645">
        <f>IF(R1645="","",IF(COUNTIFS(R$6:R1644,"&gt;0",S$6:S1644,S1645,N$6:N1644,N1645)=0,R1645,""))</f>
        <v/>
      </c>
      <c r="U1645">
        <f>IF(B1645="","",IF(J1645&lt;&gt;"",0,M1645))</f>
        <v/>
      </c>
    </row>
    <row r="1646">
      <c r="A1646" s="1" t="n"/>
      <c r="B1646" s="16" t="n"/>
      <c r="C1646" s="17" t="n"/>
      <c r="D1646" s="18" t="n"/>
      <c r="E1646" s="18" t="n"/>
      <c r="F1646" s="19" t="n"/>
      <c r="G1646" s="19" t="n"/>
      <c r="H1646" s="20" t="n"/>
      <c r="I1646" s="21" t="n"/>
      <c r="J1646" s="22" t="n"/>
      <c r="K1646" s="23" t="n"/>
      <c r="L1646" s="18" t="n"/>
      <c r="M1646" s="24">
        <f>IF(B1646="","",IF(AND(F1646&lt;&gt;"",G1646&lt;&gt;""),MAX(0,ROUND(MOD(G1646-F1646,1)*24-N(H1646)/60,2)),N(I1646)))</f>
        <v/>
      </c>
      <c r="N1646" s="14">
        <f>IF(B1646="","",IF(K1646&lt;&gt;"",K1646,IF(N(IFERROR(INDEX(Projects!$D$6:$D$65,MATCH(D1646,Projects!$B$6:$B$65,0)),""))&gt;0,IFERROR(INDEX(Projects!$D$6:$D$65,MATCH(D1646,Projects!$B$6:$B$65,0)),""),IFERROR(INDEX(Clients!$G$6:$G$45,MATCH(C1646,Clients!$B$6:$B$45,0)),0))))</f>
        <v/>
      </c>
      <c r="O1646" s="14">
        <f>IF(B1646="","",IF(J1646&lt;&gt;"",0,ROUND(M1646*N1646,2)))</f>
        <v/>
      </c>
      <c r="P1646" s="15">
        <f>IF(OR(B1646="",J1646&lt;&gt;""),"",IF(L1646&lt;&gt;"",L1646,IF(COUNTIFS(Invoices!$C$6:$C$305,C1646,Invoices!$E$6:$E$305,"&lt;="&amp;B1646,Invoices!$F$6:$F$305,"&gt;="&amp;B1646)=1,INDEX(Invoices!$B$6:$B$305,SUMIFS(Invoices!$O$6:$O$305,Invoices!$C$6:$C$305,C1646,Invoices!$E$6:$E$305,"&lt;="&amp;B1646,Invoices!$F$6:$F$305,"&gt;="&amp;B1646)),IF(COUNTIFS(Invoices!$C$6:$C$305,C1646,Invoices!$E$6:$E$305,"&lt;="&amp;B1646,Invoices!$F$6:$F$305,"&gt;="&amp;B1646)&gt;1,"Two invoices",""))))</f>
        <v/>
      </c>
      <c r="Q1646" s="15">
        <f>IF(B1646="","",IF(J1646&lt;&gt;"","Not billable",IF(P1646="","To invoice",IF(P1646="Two invoices","Check dates",IF(ISNA(MATCH(P1646,Invoices!$B$6:$B$305,0)),"Check number",IF(INDEX(Invoices!$M$6:$M$305,MATCH(P1646,Invoices!$B$6:$B$305,0))="Paid","Paid",IF(INDEX(Invoices!$M$6:$M$305,MATCH(P1646,Invoices!$B$6:$B$305,0))="Draft","Draft","Invoiced")))))))</f>
        <v/>
      </c>
      <c r="R1646" s="1">
        <f>IF(AND(B1646&lt;&gt;"",P1646&lt;&gt;"",P1646=Invoice!$G$4),B1646+MOD(N(F1646),1)+ROW()/10000000,"")</f>
        <v/>
      </c>
      <c r="S1646">
        <f>IF(R1646="","",IF(D1646="","Other work",D1646)&amp;IF(AND(K1646&lt;&gt;"",E1646&lt;&gt;""),", "&amp;E1646,""))</f>
        <v/>
      </c>
      <c r="T1646">
        <f>IF(R1646="","",IF(COUNTIFS(R$6:R1645,"&gt;0",S$6:S1645,S1646,N$6:N1645,N1646)=0,R1646,""))</f>
        <v/>
      </c>
      <c r="U1646">
        <f>IF(B1646="","",IF(J1646&lt;&gt;"",0,M1646))</f>
        <v/>
      </c>
    </row>
    <row r="1647">
      <c r="A1647" s="1" t="n"/>
      <c r="B1647" s="16" t="n"/>
      <c r="C1647" s="17" t="n"/>
      <c r="D1647" s="18" t="n"/>
      <c r="E1647" s="18" t="n"/>
      <c r="F1647" s="19" t="n"/>
      <c r="G1647" s="19" t="n"/>
      <c r="H1647" s="20" t="n"/>
      <c r="I1647" s="21" t="n"/>
      <c r="J1647" s="22" t="n"/>
      <c r="K1647" s="23" t="n"/>
      <c r="L1647" s="18" t="n"/>
      <c r="M1647" s="24">
        <f>IF(B1647="","",IF(AND(F1647&lt;&gt;"",G1647&lt;&gt;""),MAX(0,ROUND(MOD(G1647-F1647,1)*24-N(H1647)/60,2)),N(I1647)))</f>
        <v/>
      </c>
      <c r="N1647" s="14">
        <f>IF(B1647="","",IF(K1647&lt;&gt;"",K1647,IF(N(IFERROR(INDEX(Projects!$D$6:$D$65,MATCH(D1647,Projects!$B$6:$B$65,0)),""))&gt;0,IFERROR(INDEX(Projects!$D$6:$D$65,MATCH(D1647,Projects!$B$6:$B$65,0)),""),IFERROR(INDEX(Clients!$G$6:$G$45,MATCH(C1647,Clients!$B$6:$B$45,0)),0))))</f>
        <v/>
      </c>
      <c r="O1647" s="14">
        <f>IF(B1647="","",IF(J1647&lt;&gt;"",0,ROUND(M1647*N1647,2)))</f>
        <v/>
      </c>
      <c r="P1647" s="15">
        <f>IF(OR(B1647="",J1647&lt;&gt;""),"",IF(L1647&lt;&gt;"",L1647,IF(COUNTIFS(Invoices!$C$6:$C$305,C1647,Invoices!$E$6:$E$305,"&lt;="&amp;B1647,Invoices!$F$6:$F$305,"&gt;="&amp;B1647)=1,INDEX(Invoices!$B$6:$B$305,SUMIFS(Invoices!$O$6:$O$305,Invoices!$C$6:$C$305,C1647,Invoices!$E$6:$E$305,"&lt;="&amp;B1647,Invoices!$F$6:$F$305,"&gt;="&amp;B1647)),IF(COUNTIFS(Invoices!$C$6:$C$305,C1647,Invoices!$E$6:$E$305,"&lt;="&amp;B1647,Invoices!$F$6:$F$305,"&gt;="&amp;B1647)&gt;1,"Two invoices",""))))</f>
        <v/>
      </c>
      <c r="Q1647" s="15">
        <f>IF(B1647="","",IF(J1647&lt;&gt;"","Not billable",IF(P1647="","To invoice",IF(P1647="Two invoices","Check dates",IF(ISNA(MATCH(P1647,Invoices!$B$6:$B$305,0)),"Check number",IF(INDEX(Invoices!$M$6:$M$305,MATCH(P1647,Invoices!$B$6:$B$305,0))="Paid","Paid",IF(INDEX(Invoices!$M$6:$M$305,MATCH(P1647,Invoices!$B$6:$B$305,0))="Draft","Draft","Invoiced")))))))</f>
        <v/>
      </c>
      <c r="R1647" s="1">
        <f>IF(AND(B1647&lt;&gt;"",P1647&lt;&gt;"",P1647=Invoice!$G$4),B1647+MOD(N(F1647),1)+ROW()/10000000,"")</f>
        <v/>
      </c>
      <c r="S1647">
        <f>IF(R1647="","",IF(D1647="","Other work",D1647)&amp;IF(AND(K1647&lt;&gt;"",E1647&lt;&gt;""),", "&amp;E1647,""))</f>
        <v/>
      </c>
      <c r="T1647">
        <f>IF(R1647="","",IF(COUNTIFS(R$6:R1646,"&gt;0",S$6:S1646,S1647,N$6:N1646,N1647)=0,R1647,""))</f>
        <v/>
      </c>
      <c r="U1647">
        <f>IF(B1647="","",IF(J1647&lt;&gt;"",0,M1647))</f>
        <v/>
      </c>
    </row>
    <row r="1648">
      <c r="A1648" s="1" t="n"/>
      <c r="B1648" s="16" t="n"/>
      <c r="C1648" s="17" t="n"/>
      <c r="D1648" s="18" t="n"/>
      <c r="E1648" s="18" t="n"/>
      <c r="F1648" s="19" t="n"/>
      <c r="G1648" s="19" t="n"/>
      <c r="H1648" s="20" t="n"/>
      <c r="I1648" s="21" t="n"/>
      <c r="J1648" s="22" t="n"/>
      <c r="K1648" s="23" t="n"/>
      <c r="L1648" s="18" t="n"/>
      <c r="M1648" s="24">
        <f>IF(B1648="","",IF(AND(F1648&lt;&gt;"",G1648&lt;&gt;""),MAX(0,ROUND(MOD(G1648-F1648,1)*24-N(H1648)/60,2)),N(I1648)))</f>
        <v/>
      </c>
      <c r="N1648" s="14">
        <f>IF(B1648="","",IF(K1648&lt;&gt;"",K1648,IF(N(IFERROR(INDEX(Projects!$D$6:$D$65,MATCH(D1648,Projects!$B$6:$B$65,0)),""))&gt;0,IFERROR(INDEX(Projects!$D$6:$D$65,MATCH(D1648,Projects!$B$6:$B$65,0)),""),IFERROR(INDEX(Clients!$G$6:$G$45,MATCH(C1648,Clients!$B$6:$B$45,0)),0))))</f>
        <v/>
      </c>
      <c r="O1648" s="14">
        <f>IF(B1648="","",IF(J1648&lt;&gt;"",0,ROUND(M1648*N1648,2)))</f>
        <v/>
      </c>
      <c r="P1648" s="15">
        <f>IF(OR(B1648="",J1648&lt;&gt;""),"",IF(L1648&lt;&gt;"",L1648,IF(COUNTIFS(Invoices!$C$6:$C$305,C1648,Invoices!$E$6:$E$305,"&lt;="&amp;B1648,Invoices!$F$6:$F$305,"&gt;="&amp;B1648)=1,INDEX(Invoices!$B$6:$B$305,SUMIFS(Invoices!$O$6:$O$305,Invoices!$C$6:$C$305,C1648,Invoices!$E$6:$E$305,"&lt;="&amp;B1648,Invoices!$F$6:$F$305,"&gt;="&amp;B1648)),IF(COUNTIFS(Invoices!$C$6:$C$305,C1648,Invoices!$E$6:$E$305,"&lt;="&amp;B1648,Invoices!$F$6:$F$305,"&gt;="&amp;B1648)&gt;1,"Two invoices",""))))</f>
        <v/>
      </c>
      <c r="Q1648" s="15">
        <f>IF(B1648="","",IF(J1648&lt;&gt;"","Not billable",IF(P1648="","To invoice",IF(P1648="Two invoices","Check dates",IF(ISNA(MATCH(P1648,Invoices!$B$6:$B$305,0)),"Check number",IF(INDEX(Invoices!$M$6:$M$305,MATCH(P1648,Invoices!$B$6:$B$305,0))="Paid","Paid",IF(INDEX(Invoices!$M$6:$M$305,MATCH(P1648,Invoices!$B$6:$B$305,0))="Draft","Draft","Invoiced")))))))</f>
        <v/>
      </c>
      <c r="R1648" s="1">
        <f>IF(AND(B1648&lt;&gt;"",P1648&lt;&gt;"",P1648=Invoice!$G$4),B1648+MOD(N(F1648),1)+ROW()/10000000,"")</f>
        <v/>
      </c>
      <c r="S1648">
        <f>IF(R1648="","",IF(D1648="","Other work",D1648)&amp;IF(AND(K1648&lt;&gt;"",E1648&lt;&gt;""),", "&amp;E1648,""))</f>
        <v/>
      </c>
      <c r="T1648">
        <f>IF(R1648="","",IF(COUNTIFS(R$6:R1647,"&gt;0",S$6:S1647,S1648,N$6:N1647,N1648)=0,R1648,""))</f>
        <v/>
      </c>
      <c r="U1648">
        <f>IF(B1648="","",IF(J1648&lt;&gt;"",0,M1648))</f>
        <v/>
      </c>
    </row>
    <row r="1649">
      <c r="A1649" s="1" t="n"/>
      <c r="B1649" s="16" t="n"/>
      <c r="C1649" s="17" t="n"/>
      <c r="D1649" s="18" t="n"/>
      <c r="E1649" s="18" t="n"/>
      <c r="F1649" s="19" t="n"/>
      <c r="G1649" s="19" t="n"/>
      <c r="H1649" s="20" t="n"/>
      <c r="I1649" s="21" t="n"/>
      <c r="J1649" s="22" t="n"/>
      <c r="K1649" s="23" t="n"/>
      <c r="L1649" s="18" t="n"/>
      <c r="M1649" s="24">
        <f>IF(B1649="","",IF(AND(F1649&lt;&gt;"",G1649&lt;&gt;""),MAX(0,ROUND(MOD(G1649-F1649,1)*24-N(H1649)/60,2)),N(I1649)))</f>
        <v/>
      </c>
      <c r="N1649" s="14">
        <f>IF(B1649="","",IF(K1649&lt;&gt;"",K1649,IF(N(IFERROR(INDEX(Projects!$D$6:$D$65,MATCH(D1649,Projects!$B$6:$B$65,0)),""))&gt;0,IFERROR(INDEX(Projects!$D$6:$D$65,MATCH(D1649,Projects!$B$6:$B$65,0)),""),IFERROR(INDEX(Clients!$G$6:$G$45,MATCH(C1649,Clients!$B$6:$B$45,0)),0))))</f>
        <v/>
      </c>
      <c r="O1649" s="14">
        <f>IF(B1649="","",IF(J1649&lt;&gt;"",0,ROUND(M1649*N1649,2)))</f>
        <v/>
      </c>
      <c r="P1649" s="15">
        <f>IF(OR(B1649="",J1649&lt;&gt;""),"",IF(L1649&lt;&gt;"",L1649,IF(COUNTIFS(Invoices!$C$6:$C$305,C1649,Invoices!$E$6:$E$305,"&lt;="&amp;B1649,Invoices!$F$6:$F$305,"&gt;="&amp;B1649)=1,INDEX(Invoices!$B$6:$B$305,SUMIFS(Invoices!$O$6:$O$305,Invoices!$C$6:$C$305,C1649,Invoices!$E$6:$E$305,"&lt;="&amp;B1649,Invoices!$F$6:$F$305,"&gt;="&amp;B1649)),IF(COUNTIFS(Invoices!$C$6:$C$305,C1649,Invoices!$E$6:$E$305,"&lt;="&amp;B1649,Invoices!$F$6:$F$305,"&gt;="&amp;B1649)&gt;1,"Two invoices",""))))</f>
        <v/>
      </c>
      <c r="Q1649" s="15">
        <f>IF(B1649="","",IF(J1649&lt;&gt;"","Not billable",IF(P1649="","To invoice",IF(P1649="Two invoices","Check dates",IF(ISNA(MATCH(P1649,Invoices!$B$6:$B$305,0)),"Check number",IF(INDEX(Invoices!$M$6:$M$305,MATCH(P1649,Invoices!$B$6:$B$305,0))="Paid","Paid",IF(INDEX(Invoices!$M$6:$M$305,MATCH(P1649,Invoices!$B$6:$B$305,0))="Draft","Draft","Invoiced")))))))</f>
        <v/>
      </c>
      <c r="R1649" s="1">
        <f>IF(AND(B1649&lt;&gt;"",P1649&lt;&gt;"",P1649=Invoice!$G$4),B1649+MOD(N(F1649),1)+ROW()/10000000,"")</f>
        <v/>
      </c>
      <c r="S1649">
        <f>IF(R1649="","",IF(D1649="","Other work",D1649)&amp;IF(AND(K1649&lt;&gt;"",E1649&lt;&gt;""),", "&amp;E1649,""))</f>
        <v/>
      </c>
      <c r="T1649">
        <f>IF(R1649="","",IF(COUNTIFS(R$6:R1648,"&gt;0",S$6:S1648,S1649,N$6:N1648,N1649)=0,R1649,""))</f>
        <v/>
      </c>
      <c r="U1649">
        <f>IF(B1649="","",IF(J1649&lt;&gt;"",0,M1649))</f>
        <v/>
      </c>
    </row>
    <row r="1650">
      <c r="A1650" s="1" t="n"/>
      <c r="B1650" s="16" t="n"/>
      <c r="C1650" s="17" t="n"/>
      <c r="D1650" s="18" t="n"/>
      <c r="E1650" s="18" t="n"/>
      <c r="F1650" s="19" t="n"/>
      <c r="G1650" s="19" t="n"/>
      <c r="H1650" s="20" t="n"/>
      <c r="I1650" s="21" t="n"/>
      <c r="J1650" s="22" t="n"/>
      <c r="K1650" s="23" t="n"/>
      <c r="L1650" s="18" t="n"/>
      <c r="M1650" s="24">
        <f>IF(B1650="","",IF(AND(F1650&lt;&gt;"",G1650&lt;&gt;""),MAX(0,ROUND(MOD(G1650-F1650,1)*24-N(H1650)/60,2)),N(I1650)))</f>
        <v/>
      </c>
      <c r="N1650" s="14">
        <f>IF(B1650="","",IF(K1650&lt;&gt;"",K1650,IF(N(IFERROR(INDEX(Projects!$D$6:$D$65,MATCH(D1650,Projects!$B$6:$B$65,0)),""))&gt;0,IFERROR(INDEX(Projects!$D$6:$D$65,MATCH(D1650,Projects!$B$6:$B$65,0)),""),IFERROR(INDEX(Clients!$G$6:$G$45,MATCH(C1650,Clients!$B$6:$B$45,0)),0))))</f>
        <v/>
      </c>
      <c r="O1650" s="14">
        <f>IF(B1650="","",IF(J1650&lt;&gt;"",0,ROUND(M1650*N1650,2)))</f>
        <v/>
      </c>
      <c r="P1650" s="15">
        <f>IF(OR(B1650="",J1650&lt;&gt;""),"",IF(L1650&lt;&gt;"",L1650,IF(COUNTIFS(Invoices!$C$6:$C$305,C1650,Invoices!$E$6:$E$305,"&lt;="&amp;B1650,Invoices!$F$6:$F$305,"&gt;="&amp;B1650)=1,INDEX(Invoices!$B$6:$B$305,SUMIFS(Invoices!$O$6:$O$305,Invoices!$C$6:$C$305,C1650,Invoices!$E$6:$E$305,"&lt;="&amp;B1650,Invoices!$F$6:$F$305,"&gt;="&amp;B1650)),IF(COUNTIFS(Invoices!$C$6:$C$305,C1650,Invoices!$E$6:$E$305,"&lt;="&amp;B1650,Invoices!$F$6:$F$305,"&gt;="&amp;B1650)&gt;1,"Two invoices",""))))</f>
        <v/>
      </c>
      <c r="Q1650" s="15">
        <f>IF(B1650="","",IF(J1650&lt;&gt;"","Not billable",IF(P1650="","To invoice",IF(P1650="Two invoices","Check dates",IF(ISNA(MATCH(P1650,Invoices!$B$6:$B$305,0)),"Check number",IF(INDEX(Invoices!$M$6:$M$305,MATCH(P1650,Invoices!$B$6:$B$305,0))="Paid","Paid",IF(INDEX(Invoices!$M$6:$M$305,MATCH(P1650,Invoices!$B$6:$B$305,0))="Draft","Draft","Invoiced")))))))</f>
        <v/>
      </c>
      <c r="R1650" s="1">
        <f>IF(AND(B1650&lt;&gt;"",P1650&lt;&gt;"",P1650=Invoice!$G$4),B1650+MOD(N(F1650),1)+ROW()/10000000,"")</f>
        <v/>
      </c>
      <c r="S1650">
        <f>IF(R1650="","",IF(D1650="","Other work",D1650)&amp;IF(AND(K1650&lt;&gt;"",E1650&lt;&gt;""),", "&amp;E1650,""))</f>
        <v/>
      </c>
      <c r="T1650">
        <f>IF(R1650="","",IF(COUNTIFS(R$6:R1649,"&gt;0",S$6:S1649,S1650,N$6:N1649,N1650)=0,R1650,""))</f>
        <v/>
      </c>
      <c r="U1650">
        <f>IF(B1650="","",IF(J1650&lt;&gt;"",0,M1650))</f>
        <v/>
      </c>
    </row>
    <row r="1651">
      <c r="A1651" s="1" t="n"/>
      <c r="B1651" s="16" t="n"/>
      <c r="C1651" s="17" t="n"/>
      <c r="D1651" s="18" t="n"/>
      <c r="E1651" s="18" t="n"/>
      <c r="F1651" s="19" t="n"/>
      <c r="G1651" s="19" t="n"/>
      <c r="H1651" s="20" t="n"/>
      <c r="I1651" s="21" t="n"/>
      <c r="J1651" s="22" t="n"/>
      <c r="K1651" s="23" t="n"/>
      <c r="L1651" s="18" t="n"/>
      <c r="M1651" s="24">
        <f>IF(B1651="","",IF(AND(F1651&lt;&gt;"",G1651&lt;&gt;""),MAX(0,ROUND(MOD(G1651-F1651,1)*24-N(H1651)/60,2)),N(I1651)))</f>
        <v/>
      </c>
      <c r="N1651" s="14">
        <f>IF(B1651="","",IF(K1651&lt;&gt;"",K1651,IF(N(IFERROR(INDEX(Projects!$D$6:$D$65,MATCH(D1651,Projects!$B$6:$B$65,0)),""))&gt;0,IFERROR(INDEX(Projects!$D$6:$D$65,MATCH(D1651,Projects!$B$6:$B$65,0)),""),IFERROR(INDEX(Clients!$G$6:$G$45,MATCH(C1651,Clients!$B$6:$B$45,0)),0))))</f>
        <v/>
      </c>
      <c r="O1651" s="14">
        <f>IF(B1651="","",IF(J1651&lt;&gt;"",0,ROUND(M1651*N1651,2)))</f>
        <v/>
      </c>
      <c r="P1651" s="15">
        <f>IF(OR(B1651="",J1651&lt;&gt;""),"",IF(L1651&lt;&gt;"",L1651,IF(COUNTIFS(Invoices!$C$6:$C$305,C1651,Invoices!$E$6:$E$305,"&lt;="&amp;B1651,Invoices!$F$6:$F$305,"&gt;="&amp;B1651)=1,INDEX(Invoices!$B$6:$B$305,SUMIFS(Invoices!$O$6:$O$305,Invoices!$C$6:$C$305,C1651,Invoices!$E$6:$E$305,"&lt;="&amp;B1651,Invoices!$F$6:$F$305,"&gt;="&amp;B1651)),IF(COUNTIFS(Invoices!$C$6:$C$305,C1651,Invoices!$E$6:$E$305,"&lt;="&amp;B1651,Invoices!$F$6:$F$305,"&gt;="&amp;B1651)&gt;1,"Two invoices",""))))</f>
        <v/>
      </c>
      <c r="Q1651" s="15">
        <f>IF(B1651="","",IF(J1651&lt;&gt;"","Not billable",IF(P1651="","To invoice",IF(P1651="Two invoices","Check dates",IF(ISNA(MATCH(P1651,Invoices!$B$6:$B$305,0)),"Check number",IF(INDEX(Invoices!$M$6:$M$305,MATCH(P1651,Invoices!$B$6:$B$305,0))="Paid","Paid",IF(INDEX(Invoices!$M$6:$M$305,MATCH(P1651,Invoices!$B$6:$B$305,0))="Draft","Draft","Invoiced")))))))</f>
        <v/>
      </c>
      <c r="R1651" s="1">
        <f>IF(AND(B1651&lt;&gt;"",P1651&lt;&gt;"",P1651=Invoice!$G$4),B1651+MOD(N(F1651),1)+ROW()/10000000,"")</f>
        <v/>
      </c>
      <c r="S1651">
        <f>IF(R1651="","",IF(D1651="","Other work",D1651)&amp;IF(AND(K1651&lt;&gt;"",E1651&lt;&gt;""),", "&amp;E1651,""))</f>
        <v/>
      </c>
      <c r="T1651">
        <f>IF(R1651="","",IF(COUNTIFS(R$6:R1650,"&gt;0",S$6:S1650,S1651,N$6:N1650,N1651)=0,R1651,""))</f>
        <v/>
      </c>
      <c r="U1651">
        <f>IF(B1651="","",IF(J1651&lt;&gt;"",0,M1651))</f>
        <v/>
      </c>
    </row>
    <row r="1652">
      <c r="A1652" s="1" t="n"/>
      <c r="B1652" s="16" t="n"/>
      <c r="C1652" s="17" t="n"/>
      <c r="D1652" s="18" t="n"/>
      <c r="E1652" s="18" t="n"/>
      <c r="F1652" s="19" t="n"/>
      <c r="G1652" s="19" t="n"/>
      <c r="H1652" s="20" t="n"/>
      <c r="I1652" s="21" t="n"/>
      <c r="J1652" s="22" t="n"/>
      <c r="K1652" s="23" t="n"/>
      <c r="L1652" s="18" t="n"/>
      <c r="M1652" s="24">
        <f>IF(B1652="","",IF(AND(F1652&lt;&gt;"",G1652&lt;&gt;""),MAX(0,ROUND(MOD(G1652-F1652,1)*24-N(H1652)/60,2)),N(I1652)))</f>
        <v/>
      </c>
      <c r="N1652" s="14">
        <f>IF(B1652="","",IF(K1652&lt;&gt;"",K1652,IF(N(IFERROR(INDEX(Projects!$D$6:$D$65,MATCH(D1652,Projects!$B$6:$B$65,0)),""))&gt;0,IFERROR(INDEX(Projects!$D$6:$D$65,MATCH(D1652,Projects!$B$6:$B$65,0)),""),IFERROR(INDEX(Clients!$G$6:$G$45,MATCH(C1652,Clients!$B$6:$B$45,0)),0))))</f>
        <v/>
      </c>
      <c r="O1652" s="14">
        <f>IF(B1652="","",IF(J1652&lt;&gt;"",0,ROUND(M1652*N1652,2)))</f>
        <v/>
      </c>
      <c r="P1652" s="15">
        <f>IF(OR(B1652="",J1652&lt;&gt;""),"",IF(L1652&lt;&gt;"",L1652,IF(COUNTIFS(Invoices!$C$6:$C$305,C1652,Invoices!$E$6:$E$305,"&lt;="&amp;B1652,Invoices!$F$6:$F$305,"&gt;="&amp;B1652)=1,INDEX(Invoices!$B$6:$B$305,SUMIFS(Invoices!$O$6:$O$305,Invoices!$C$6:$C$305,C1652,Invoices!$E$6:$E$305,"&lt;="&amp;B1652,Invoices!$F$6:$F$305,"&gt;="&amp;B1652)),IF(COUNTIFS(Invoices!$C$6:$C$305,C1652,Invoices!$E$6:$E$305,"&lt;="&amp;B1652,Invoices!$F$6:$F$305,"&gt;="&amp;B1652)&gt;1,"Two invoices",""))))</f>
        <v/>
      </c>
      <c r="Q1652" s="15">
        <f>IF(B1652="","",IF(J1652&lt;&gt;"","Not billable",IF(P1652="","To invoice",IF(P1652="Two invoices","Check dates",IF(ISNA(MATCH(P1652,Invoices!$B$6:$B$305,0)),"Check number",IF(INDEX(Invoices!$M$6:$M$305,MATCH(P1652,Invoices!$B$6:$B$305,0))="Paid","Paid",IF(INDEX(Invoices!$M$6:$M$305,MATCH(P1652,Invoices!$B$6:$B$305,0))="Draft","Draft","Invoiced")))))))</f>
        <v/>
      </c>
      <c r="R1652" s="1">
        <f>IF(AND(B1652&lt;&gt;"",P1652&lt;&gt;"",P1652=Invoice!$G$4),B1652+MOD(N(F1652),1)+ROW()/10000000,"")</f>
        <v/>
      </c>
      <c r="S1652">
        <f>IF(R1652="","",IF(D1652="","Other work",D1652)&amp;IF(AND(K1652&lt;&gt;"",E1652&lt;&gt;""),", "&amp;E1652,""))</f>
        <v/>
      </c>
      <c r="T1652">
        <f>IF(R1652="","",IF(COUNTIFS(R$6:R1651,"&gt;0",S$6:S1651,S1652,N$6:N1651,N1652)=0,R1652,""))</f>
        <v/>
      </c>
      <c r="U1652">
        <f>IF(B1652="","",IF(J1652&lt;&gt;"",0,M1652))</f>
        <v/>
      </c>
    </row>
    <row r="1653">
      <c r="A1653" s="1" t="n"/>
      <c r="B1653" s="16" t="n"/>
      <c r="C1653" s="17" t="n"/>
      <c r="D1653" s="18" t="n"/>
      <c r="E1653" s="18" t="n"/>
      <c r="F1653" s="19" t="n"/>
      <c r="G1653" s="19" t="n"/>
      <c r="H1653" s="20" t="n"/>
      <c r="I1653" s="21" t="n"/>
      <c r="J1653" s="22" t="n"/>
      <c r="K1653" s="23" t="n"/>
      <c r="L1653" s="18" t="n"/>
      <c r="M1653" s="24">
        <f>IF(B1653="","",IF(AND(F1653&lt;&gt;"",G1653&lt;&gt;""),MAX(0,ROUND(MOD(G1653-F1653,1)*24-N(H1653)/60,2)),N(I1653)))</f>
        <v/>
      </c>
      <c r="N1653" s="14">
        <f>IF(B1653="","",IF(K1653&lt;&gt;"",K1653,IF(N(IFERROR(INDEX(Projects!$D$6:$D$65,MATCH(D1653,Projects!$B$6:$B$65,0)),""))&gt;0,IFERROR(INDEX(Projects!$D$6:$D$65,MATCH(D1653,Projects!$B$6:$B$65,0)),""),IFERROR(INDEX(Clients!$G$6:$G$45,MATCH(C1653,Clients!$B$6:$B$45,0)),0))))</f>
        <v/>
      </c>
      <c r="O1653" s="14">
        <f>IF(B1653="","",IF(J1653&lt;&gt;"",0,ROUND(M1653*N1653,2)))</f>
        <v/>
      </c>
      <c r="P1653" s="15">
        <f>IF(OR(B1653="",J1653&lt;&gt;""),"",IF(L1653&lt;&gt;"",L1653,IF(COUNTIFS(Invoices!$C$6:$C$305,C1653,Invoices!$E$6:$E$305,"&lt;="&amp;B1653,Invoices!$F$6:$F$305,"&gt;="&amp;B1653)=1,INDEX(Invoices!$B$6:$B$305,SUMIFS(Invoices!$O$6:$O$305,Invoices!$C$6:$C$305,C1653,Invoices!$E$6:$E$305,"&lt;="&amp;B1653,Invoices!$F$6:$F$305,"&gt;="&amp;B1653)),IF(COUNTIFS(Invoices!$C$6:$C$305,C1653,Invoices!$E$6:$E$305,"&lt;="&amp;B1653,Invoices!$F$6:$F$305,"&gt;="&amp;B1653)&gt;1,"Two invoices",""))))</f>
        <v/>
      </c>
      <c r="Q1653" s="15">
        <f>IF(B1653="","",IF(J1653&lt;&gt;"","Not billable",IF(P1653="","To invoice",IF(P1653="Two invoices","Check dates",IF(ISNA(MATCH(P1653,Invoices!$B$6:$B$305,0)),"Check number",IF(INDEX(Invoices!$M$6:$M$305,MATCH(P1653,Invoices!$B$6:$B$305,0))="Paid","Paid",IF(INDEX(Invoices!$M$6:$M$305,MATCH(P1653,Invoices!$B$6:$B$305,0))="Draft","Draft","Invoiced")))))))</f>
        <v/>
      </c>
      <c r="R1653" s="1">
        <f>IF(AND(B1653&lt;&gt;"",P1653&lt;&gt;"",P1653=Invoice!$G$4),B1653+MOD(N(F1653),1)+ROW()/10000000,"")</f>
        <v/>
      </c>
      <c r="S1653">
        <f>IF(R1653="","",IF(D1653="","Other work",D1653)&amp;IF(AND(K1653&lt;&gt;"",E1653&lt;&gt;""),", "&amp;E1653,""))</f>
        <v/>
      </c>
      <c r="T1653">
        <f>IF(R1653="","",IF(COUNTIFS(R$6:R1652,"&gt;0",S$6:S1652,S1653,N$6:N1652,N1653)=0,R1653,""))</f>
        <v/>
      </c>
      <c r="U1653">
        <f>IF(B1653="","",IF(J1653&lt;&gt;"",0,M1653))</f>
        <v/>
      </c>
    </row>
    <row r="1654">
      <c r="A1654" s="1" t="n"/>
      <c r="B1654" s="16" t="n"/>
      <c r="C1654" s="17" t="n"/>
      <c r="D1654" s="18" t="n"/>
      <c r="E1654" s="18" t="n"/>
      <c r="F1654" s="19" t="n"/>
      <c r="G1654" s="19" t="n"/>
      <c r="H1654" s="20" t="n"/>
      <c r="I1654" s="21" t="n"/>
      <c r="J1654" s="22" t="n"/>
      <c r="K1654" s="23" t="n"/>
      <c r="L1654" s="18" t="n"/>
      <c r="M1654" s="24">
        <f>IF(B1654="","",IF(AND(F1654&lt;&gt;"",G1654&lt;&gt;""),MAX(0,ROUND(MOD(G1654-F1654,1)*24-N(H1654)/60,2)),N(I1654)))</f>
        <v/>
      </c>
      <c r="N1654" s="14">
        <f>IF(B1654="","",IF(K1654&lt;&gt;"",K1654,IF(N(IFERROR(INDEX(Projects!$D$6:$D$65,MATCH(D1654,Projects!$B$6:$B$65,0)),""))&gt;0,IFERROR(INDEX(Projects!$D$6:$D$65,MATCH(D1654,Projects!$B$6:$B$65,0)),""),IFERROR(INDEX(Clients!$G$6:$G$45,MATCH(C1654,Clients!$B$6:$B$45,0)),0))))</f>
        <v/>
      </c>
      <c r="O1654" s="14">
        <f>IF(B1654="","",IF(J1654&lt;&gt;"",0,ROUND(M1654*N1654,2)))</f>
        <v/>
      </c>
      <c r="P1654" s="15">
        <f>IF(OR(B1654="",J1654&lt;&gt;""),"",IF(L1654&lt;&gt;"",L1654,IF(COUNTIFS(Invoices!$C$6:$C$305,C1654,Invoices!$E$6:$E$305,"&lt;="&amp;B1654,Invoices!$F$6:$F$305,"&gt;="&amp;B1654)=1,INDEX(Invoices!$B$6:$B$305,SUMIFS(Invoices!$O$6:$O$305,Invoices!$C$6:$C$305,C1654,Invoices!$E$6:$E$305,"&lt;="&amp;B1654,Invoices!$F$6:$F$305,"&gt;="&amp;B1654)),IF(COUNTIFS(Invoices!$C$6:$C$305,C1654,Invoices!$E$6:$E$305,"&lt;="&amp;B1654,Invoices!$F$6:$F$305,"&gt;="&amp;B1654)&gt;1,"Two invoices",""))))</f>
        <v/>
      </c>
      <c r="Q1654" s="15">
        <f>IF(B1654="","",IF(J1654&lt;&gt;"","Not billable",IF(P1654="","To invoice",IF(P1654="Two invoices","Check dates",IF(ISNA(MATCH(P1654,Invoices!$B$6:$B$305,0)),"Check number",IF(INDEX(Invoices!$M$6:$M$305,MATCH(P1654,Invoices!$B$6:$B$305,0))="Paid","Paid",IF(INDEX(Invoices!$M$6:$M$305,MATCH(P1654,Invoices!$B$6:$B$305,0))="Draft","Draft","Invoiced")))))))</f>
        <v/>
      </c>
      <c r="R1654" s="1">
        <f>IF(AND(B1654&lt;&gt;"",P1654&lt;&gt;"",P1654=Invoice!$G$4),B1654+MOD(N(F1654),1)+ROW()/10000000,"")</f>
        <v/>
      </c>
      <c r="S1654">
        <f>IF(R1654="","",IF(D1654="","Other work",D1654)&amp;IF(AND(K1654&lt;&gt;"",E1654&lt;&gt;""),", "&amp;E1654,""))</f>
        <v/>
      </c>
      <c r="T1654">
        <f>IF(R1654="","",IF(COUNTIFS(R$6:R1653,"&gt;0",S$6:S1653,S1654,N$6:N1653,N1654)=0,R1654,""))</f>
        <v/>
      </c>
      <c r="U1654">
        <f>IF(B1654="","",IF(J1654&lt;&gt;"",0,M1654))</f>
        <v/>
      </c>
    </row>
    <row r="1655">
      <c r="A1655" s="1" t="n"/>
      <c r="B1655" s="16" t="n"/>
      <c r="C1655" s="17" t="n"/>
      <c r="D1655" s="18" t="n"/>
      <c r="E1655" s="18" t="n"/>
      <c r="F1655" s="19" t="n"/>
      <c r="G1655" s="19" t="n"/>
      <c r="H1655" s="20" t="n"/>
      <c r="I1655" s="21" t="n"/>
      <c r="J1655" s="22" t="n"/>
      <c r="K1655" s="23" t="n"/>
      <c r="L1655" s="18" t="n"/>
      <c r="M1655" s="24">
        <f>IF(B1655="","",IF(AND(F1655&lt;&gt;"",G1655&lt;&gt;""),MAX(0,ROUND(MOD(G1655-F1655,1)*24-N(H1655)/60,2)),N(I1655)))</f>
        <v/>
      </c>
      <c r="N1655" s="14">
        <f>IF(B1655="","",IF(K1655&lt;&gt;"",K1655,IF(N(IFERROR(INDEX(Projects!$D$6:$D$65,MATCH(D1655,Projects!$B$6:$B$65,0)),""))&gt;0,IFERROR(INDEX(Projects!$D$6:$D$65,MATCH(D1655,Projects!$B$6:$B$65,0)),""),IFERROR(INDEX(Clients!$G$6:$G$45,MATCH(C1655,Clients!$B$6:$B$45,0)),0))))</f>
        <v/>
      </c>
      <c r="O1655" s="14">
        <f>IF(B1655="","",IF(J1655&lt;&gt;"",0,ROUND(M1655*N1655,2)))</f>
        <v/>
      </c>
      <c r="P1655" s="15">
        <f>IF(OR(B1655="",J1655&lt;&gt;""),"",IF(L1655&lt;&gt;"",L1655,IF(COUNTIFS(Invoices!$C$6:$C$305,C1655,Invoices!$E$6:$E$305,"&lt;="&amp;B1655,Invoices!$F$6:$F$305,"&gt;="&amp;B1655)=1,INDEX(Invoices!$B$6:$B$305,SUMIFS(Invoices!$O$6:$O$305,Invoices!$C$6:$C$305,C1655,Invoices!$E$6:$E$305,"&lt;="&amp;B1655,Invoices!$F$6:$F$305,"&gt;="&amp;B1655)),IF(COUNTIFS(Invoices!$C$6:$C$305,C1655,Invoices!$E$6:$E$305,"&lt;="&amp;B1655,Invoices!$F$6:$F$305,"&gt;="&amp;B1655)&gt;1,"Two invoices",""))))</f>
        <v/>
      </c>
      <c r="Q1655" s="15">
        <f>IF(B1655="","",IF(J1655&lt;&gt;"","Not billable",IF(P1655="","To invoice",IF(P1655="Two invoices","Check dates",IF(ISNA(MATCH(P1655,Invoices!$B$6:$B$305,0)),"Check number",IF(INDEX(Invoices!$M$6:$M$305,MATCH(P1655,Invoices!$B$6:$B$305,0))="Paid","Paid",IF(INDEX(Invoices!$M$6:$M$305,MATCH(P1655,Invoices!$B$6:$B$305,0))="Draft","Draft","Invoiced")))))))</f>
        <v/>
      </c>
      <c r="R1655" s="1">
        <f>IF(AND(B1655&lt;&gt;"",P1655&lt;&gt;"",P1655=Invoice!$G$4),B1655+MOD(N(F1655),1)+ROW()/10000000,"")</f>
        <v/>
      </c>
      <c r="S1655">
        <f>IF(R1655="","",IF(D1655="","Other work",D1655)&amp;IF(AND(K1655&lt;&gt;"",E1655&lt;&gt;""),", "&amp;E1655,""))</f>
        <v/>
      </c>
      <c r="T1655">
        <f>IF(R1655="","",IF(COUNTIFS(R$6:R1654,"&gt;0",S$6:S1654,S1655,N$6:N1654,N1655)=0,R1655,""))</f>
        <v/>
      </c>
      <c r="U1655">
        <f>IF(B1655="","",IF(J1655&lt;&gt;"",0,M1655))</f>
        <v/>
      </c>
    </row>
    <row r="1656">
      <c r="A1656" s="1" t="n"/>
      <c r="B1656" s="16" t="n"/>
      <c r="C1656" s="17" t="n"/>
      <c r="D1656" s="18" t="n"/>
      <c r="E1656" s="18" t="n"/>
      <c r="F1656" s="19" t="n"/>
      <c r="G1656" s="19" t="n"/>
      <c r="H1656" s="20" t="n"/>
      <c r="I1656" s="21" t="n"/>
      <c r="J1656" s="22" t="n"/>
      <c r="K1656" s="23" t="n"/>
      <c r="L1656" s="18" t="n"/>
      <c r="M1656" s="24">
        <f>IF(B1656="","",IF(AND(F1656&lt;&gt;"",G1656&lt;&gt;""),MAX(0,ROUND(MOD(G1656-F1656,1)*24-N(H1656)/60,2)),N(I1656)))</f>
        <v/>
      </c>
      <c r="N1656" s="14">
        <f>IF(B1656="","",IF(K1656&lt;&gt;"",K1656,IF(N(IFERROR(INDEX(Projects!$D$6:$D$65,MATCH(D1656,Projects!$B$6:$B$65,0)),""))&gt;0,IFERROR(INDEX(Projects!$D$6:$D$65,MATCH(D1656,Projects!$B$6:$B$65,0)),""),IFERROR(INDEX(Clients!$G$6:$G$45,MATCH(C1656,Clients!$B$6:$B$45,0)),0))))</f>
        <v/>
      </c>
      <c r="O1656" s="14">
        <f>IF(B1656="","",IF(J1656&lt;&gt;"",0,ROUND(M1656*N1656,2)))</f>
        <v/>
      </c>
      <c r="P1656" s="15">
        <f>IF(OR(B1656="",J1656&lt;&gt;""),"",IF(L1656&lt;&gt;"",L1656,IF(COUNTIFS(Invoices!$C$6:$C$305,C1656,Invoices!$E$6:$E$305,"&lt;="&amp;B1656,Invoices!$F$6:$F$305,"&gt;="&amp;B1656)=1,INDEX(Invoices!$B$6:$B$305,SUMIFS(Invoices!$O$6:$O$305,Invoices!$C$6:$C$305,C1656,Invoices!$E$6:$E$305,"&lt;="&amp;B1656,Invoices!$F$6:$F$305,"&gt;="&amp;B1656)),IF(COUNTIFS(Invoices!$C$6:$C$305,C1656,Invoices!$E$6:$E$305,"&lt;="&amp;B1656,Invoices!$F$6:$F$305,"&gt;="&amp;B1656)&gt;1,"Two invoices",""))))</f>
        <v/>
      </c>
      <c r="Q1656" s="15">
        <f>IF(B1656="","",IF(J1656&lt;&gt;"","Not billable",IF(P1656="","To invoice",IF(P1656="Two invoices","Check dates",IF(ISNA(MATCH(P1656,Invoices!$B$6:$B$305,0)),"Check number",IF(INDEX(Invoices!$M$6:$M$305,MATCH(P1656,Invoices!$B$6:$B$305,0))="Paid","Paid",IF(INDEX(Invoices!$M$6:$M$305,MATCH(P1656,Invoices!$B$6:$B$305,0))="Draft","Draft","Invoiced")))))))</f>
        <v/>
      </c>
      <c r="R1656" s="1">
        <f>IF(AND(B1656&lt;&gt;"",P1656&lt;&gt;"",P1656=Invoice!$G$4),B1656+MOD(N(F1656),1)+ROW()/10000000,"")</f>
        <v/>
      </c>
      <c r="S1656">
        <f>IF(R1656="","",IF(D1656="","Other work",D1656)&amp;IF(AND(K1656&lt;&gt;"",E1656&lt;&gt;""),", "&amp;E1656,""))</f>
        <v/>
      </c>
      <c r="T1656">
        <f>IF(R1656="","",IF(COUNTIFS(R$6:R1655,"&gt;0",S$6:S1655,S1656,N$6:N1655,N1656)=0,R1656,""))</f>
        <v/>
      </c>
      <c r="U1656">
        <f>IF(B1656="","",IF(J1656&lt;&gt;"",0,M1656))</f>
        <v/>
      </c>
    </row>
    <row r="1657">
      <c r="A1657" s="1" t="n"/>
      <c r="B1657" s="16" t="n"/>
      <c r="C1657" s="17" t="n"/>
      <c r="D1657" s="18" t="n"/>
      <c r="E1657" s="18" t="n"/>
      <c r="F1657" s="19" t="n"/>
      <c r="G1657" s="19" t="n"/>
      <c r="H1657" s="20" t="n"/>
      <c r="I1657" s="21" t="n"/>
      <c r="J1657" s="22" t="n"/>
      <c r="K1657" s="23" t="n"/>
      <c r="L1657" s="18" t="n"/>
      <c r="M1657" s="24">
        <f>IF(B1657="","",IF(AND(F1657&lt;&gt;"",G1657&lt;&gt;""),MAX(0,ROUND(MOD(G1657-F1657,1)*24-N(H1657)/60,2)),N(I1657)))</f>
        <v/>
      </c>
      <c r="N1657" s="14">
        <f>IF(B1657="","",IF(K1657&lt;&gt;"",K1657,IF(N(IFERROR(INDEX(Projects!$D$6:$D$65,MATCH(D1657,Projects!$B$6:$B$65,0)),""))&gt;0,IFERROR(INDEX(Projects!$D$6:$D$65,MATCH(D1657,Projects!$B$6:$B$65,0)),""),IFERROR(INDEX(Clients!$G$6:$G$45,MATCH(C1657,Clients!$B$6:$B$45,0)),0))))</f>
        <v/>
      </c>
      <c r="O1657" s="14">
        <f>IF(B1657="","",IF(J1657&lt;&gt;"",0,ROUND(M1657*N1657,2)))</f>
        <v/>
      </c>
      <c r="P1657" s="15">
        <f>IF(OR(B1657="",J1657&lt;&gt;""),"",IF(L1657&lt;&gt;"",L1657,IF(COUNTIFS(Invoices!$C$6:$C$305,C1657,Invoices!$E$6:$E$305,"&lt;="&amp;B1657,Invoices!$F$6:$F$305,"&gt;="&amp;B1657)=1,INDEX(Invoices!$B$6:$B$305,SUMIFS(Invoices!$O$6:$O$305,Invoices!$C$6:$C$305,C1657,Invoices!$E$6:$E$305,"&lt;="&amp;B1657,Invoices!$F$6:$F$305,"&gt;="&amp;B1657)),IF(COUNTIFS(Invoices!$C$6:$C$305,C1657,Invoices!$E$6:$E$305,"&lt;="&amp;B1657,Invoices!$F$6:$F$305,"&gt;="&amp;B1657)&gt;1,"Two invoices",""))))</f>
        <v/>
      </c>
      <c r="Q1657" s="15">
        <f>IF(B1657="","",IF(J1657&lt;&gt;"","Not billable",IF(P1657="","To invoice",IF(P1657="Two invoices","Check dates",IF(ISNA(MATCH(P1657,Invoices!$B$6:$B$305,0)),"Check number",IF(INDEX(Invoices!$M$6:$M$305,MATCH(P1657,Invoices!$B$6:$B$305,0))="Paid","Paid",IF(INDEX(Invoices!$M$6:$M$305,MATCH(P1657,Invoices!$B$6:$B$305,0))="Draft","Draft","Invoiced")))))))</f>
        <v/>
      </c>
      <c r="R1657" s="1">
        <f>IF(AND(B1657&lt;&gt;"",P1657&lt;&gt;"",P1657=Invoice!$G$4),B1657+MOD(N(F1657),1)+ROW()/10000000,"")</f>
        <v/>
      </c>
      <c r="S1657">
        <f>IF(R1657="","",IF(D1657="","Other work",D1657)&amp;IF(AND(K1657&lt;&gt;"",E1657&lt;&gt;""),", "&amp;E1657,""))</f>
        <v/>
      </c>
      <c r="T1657">
        <f>IF(R1657="","",IF(COUNTIFS(R$6:R1656,"&gt;0",S$6:S1656,S1657,N$6:N1656,N1657)=0,R1657,""))</f>
        <v/>
      </c>
      <c r="U1657">
        <f>IF(B1657="","",IF(J1657&lt;&gt;"",0,M1657))</f>
        <v/>
      </c>
    </row>
    <row r="1658">
      <c r="A1658" s="1" t="n"/>
      <c r="B1658" s="16" t="n"/>
      <c r="C1658" s="17" t="n"/>
      <c r="D1658" s="18" t="n"/>
      <c r="E1658" s="18" t="n"/>
      <c r="F1658" s="19" t="n"/>
      <c r="G1658" s="19" t="n"/>
      <c r="H1658" s="20" t="n"/>
      <c r="I1658" s="21" t="n"/>
      <c r="J1658" s="22" t="n"/>
      <c r="K1658" s="23" t="n"/>
      <c r="L1658" s="18" t="n"/>
      <c r="M1658" s="24">
        <f>IF(B1658="","",IF(AND(F1658&lt;&gt;"",G1658&lt;&gt;""),MAX(0,ROUND(MOD(G1658-F1658,1)*24-N(H1658)/60,2)),N(I1658)))</f>
        <v/>
      </c>
      <c r="N1658" s="14">
        <f>IF(B1658="","",IF(K1658&lt;&gt;"",K1658,IF(N(IFERROR(INDEX(Projects!$D$6:$D$65,MATCH(D1658,Projects!$B$6:$B$65,0)),""))&gt;0,IFERROR(INDEX(Projects!$D$6:$D$65,MATCH(D1658,Projects!$B$6:$B$65,0)),""),IFERROR(INDEX(Clients!$G$6:$G$45,MATCH(C1658,Clients!$B$6:$B$45,0)),0))))</f>
        <v/>
      </c>
      <c r="O1658" s="14">
        <f>IF(B1658="","",IF(J1658&lt;&gt;"",0,ROUND(M1658*N1658,2)))</f>
        <v/>
      </c>
      <c r="P1658" s="15">
        <f>IF(OR(B1658="",J1658&lt;&gt;""),"",IF(L1658&lt;&gt;"",L1658,IF(COUNTIFS(Invoices!$C$6:$C$305,C1658,Invoices!$E$6:$E$305,"&lt;="&amp;B1658,Invoices!$F$6:$F$305,"&gt;="&amp;B1658)=1,INDEX(Invoices!$B$6:$B$305,SUMIFS(Invoices!$O$6:$O$305,Invoices!$C$6:$C$305,C1658,Invoices!$E$6:$E$305,"&lt;="&amp;B1658,Invoices!$F$6:$F$305,"&gt;="&amp;B1658)),IF(COUNTIFS(Invoices!$C$6:$C$305,C1658,Invoices!$E$6:$E$305,"&lt;="&amp;B1658,Invoices!$F$6:$F$305,"&gt;="&amp;B1658)&gt;1,"Two invoices",""))))</f>
        <v/>
      </c>
      <c r="Q1658" s="15">
        <f>IF(B1658="","",IF(J1658&lt;&gt;"","Not billable",IF(P1658="","To invoice",IF(P1658="Two invoices","Check dates",IF(ISNA(MATCH(P1658,Invoices!$B$6:$B$305,0)),"Check number",IF(INDEX(Invoices!$M$6:$M$305,MATCH(P1658,Invoices!$B$6:$B$305,0))="Paid","Paid",IF(INDEX(Invoices!$M$6:$M$305,MATCH(P1658,Invoices!$B$6:$B$305,0))="Draft","Draft","Invoiced")))))))</f>
        <v/>
      </c>
      <c r="R1658" s="1">
        <f>IF(AND(B1658&lt;&gt;"",P1658&lt;&gt;"",P1658=Invoice!$G$4),B1658+MOD(N(F1658),1)+ROW()/10000000,"")</f>
        <v/>
      </c>
      <c r="S1658">
        <f>IF(R1658="","",IF(D1658="","Other work",D1658)&amp;IF(AND(K1658&lt;&gt;"",E1658&lt;&gt;""),", "&amp;E1658,""))</f>
        <v/>
      </c>
      <c r="T1658">
        <f>IF(R1658="","",IF(COUNTIFS(R$6:R1657,"&gt;0",S$6:S1657,S1658,N$6:N1657,N1658)=0,R1658,""))</f>
        <v/>
      </c>
      <c r="U1658">
        <f>IF(B1658="","",IF(J1658&lt;&gt;"",0,M1658))</f>
        <v/>
      </c>
    </row>
    <row r="1659">
      <c r="A1659" s="1" t="n"/>
      <c r="B1659" s="16" t="n"/>
      <c r="C1659" s="17" t="n"/>
      <c r="D1659" s="18" t="n"/>
      <c r="E1659" s="18" t="n"/>
      <c r="F1659" s="19" t="n"/>
      <c r="G1659" s="19" t="n"/>
      <c r="H1659" s="20" t="n"/>
      <c r="I1659" s="21" t="n"/>
      <c r="J1659" s="22" t="n"/>
      <c r="K1659" s="23" t="n"/>
      <c r="L1659" s="18" t="n"/>
      <c r="M1659" s="24">
        <f>IF(B1659="","",IF(AND(F1659&lt;&gt;"",G1659&lt;&gt;""),MAX(0,ROUND(MOD(G1659-F1659,1)*24-N(H1659)/60,2)),N(I1659)))</f>
        <v/>
      </c>
      <c r="N1659" s="14">
        <f>IF(B1659="","",IF(K1659&lt;&gt;"",K1659,IF(N(IFERROR(INDEX(Projects!$D$6:$D$65,MATCH(D1659,Projects!$B$6:$B$65,0)),""))&gt;0,IFERROR(INDEX(Projects!$D$6:$D$65,MATCH(D1659,Projects!$B$6:$B$65,0)),""),IFERROR(INDEX(Clients!$G$6:$G$45,MATCH(C1659,Clients!$B$6:$B$45,0)),0))))</f>
        <v/>
      </c>
      <c r="O1659" s="14">
        <f>IF(B1659="","",IF(J1659&lt;&gt;"",0,ROUND(M1659*N1659,2)))</f>
        <v/>
      </c>
      <c r="P1659" s="15">
        <f>IF(OR(B1659="",J1659&lt;&gt;""),"",IF(L1659&lt;&gt;"",L1659,IF(COUNTIFS(Invoices!$C$6:$C$305,C1659,Invoices!$E$6:$E$305,"&lt;="&amp;B1659,Invoices!$F$6:$F$305,"&gt;="&amp;B1659)=1,INDEX(Invoices!$B$6:$B$305,SUMIFS(Invoices!$O$6:$O$305,Invoices!$C$6:$C$305,C1659,Invoices!$E$6:$E$305,"&lt;="&amp;B1659,Invoices!$F$6:$F$305,"&gt;="&amp;B1659)),IF(COUNTIFS(Invoices!$C$6:$C$305,C1659,Invoices!$E$6:$E$305,"&lt;="&amp;B1659,Invoices!$F$6:$F$305,"&gt;="&amp;B1659)&gt;1,"Two invoices",""))))</f>
        <v/>
      </c>
      <c r="Q1659" s="15">
        <f>IF(B1659="","",IF(J1659&lt;&gt;"","Not billable",IF(P1659="","To invoice",IF(P1659="Two invoices","Check dates",IF(ISNA(MATCH(P1659,Invoices!$B$6:$B$305,0)),"Check number",IF(INDEX(Invoices!$M$6:$M$305,MATCH(P1659,Invoices!$B$6:$B$305,0))="Paid","Paid",IF(INDEX(Invoices!$M$6:$M$305,MATCH(P1659,Invoices!$B$6:$B$305,0))="Draft","Draft","Invoiced")))))))</f>
        <v/>
      </c>
      <c r="R1659" s="1">
        <f>IF(AND(B1659&lt;&gt;"",P1659&lt;&gt;"",P1659=Invoice!$G$4),B1659+MOD(N(F1659),1)+ROW()/10000000,"")</f>
        <v/>
      </c>
      <c r="S1659">
        <f>IF(R1659="","",IF(D1659="","Other work",D1659)&amp;IF(AND(K1659&lt;&gt;"",E1659&lt;&gt;""),", "&amp;E1659,""))</f>
        <v/>
      </c>
      <c r="T1659">
        <f>IF(R1659="","",IF(COUNTIFS(R$6:R1658,"&gt;0",S$6:S1658,S1659,N$6:N1658,N1659)=0,R1659,""))</f>
        <v/>
      </c>
      <c r="U1659">
        <f>IF(B1659="","",IF(J1659&lt;&gt;"",0,M1659))</f>
        <v/>
      </c>
    </row>
    <row r="1660">
      <c r="A1660" s="1" t="n"/>
      <c r="B1660" s="16" t="n"/>
      <c r="C1660" s="17" t="n"/>
      <c r="D1660" s="18" t="n"/>
      <c r="E1660" s="18" t="n"/>
      <c r="F1660" s="19" t="n"/>
      <c r="G1660" s="19" t="n"/>
      <c r="H1660" s="20" t="n"/>
      <c r="I1660" s="21" t="n"/>
      <c r="J1660" s="22" t="n"/>
      <c r="K1660" s="23" t="n"/>
      <c r="L1660" s="18" t="n"/>
      <c r="M1660" s="24">
        <f>IF(B1660="","",IF(AND(F1660&lt;&gt;"",G1660&lt;&gt;""),MAX(0,ROUND(MOD(G1660-F1660,1)*24-N(H1660)/60,2)),N(I1660)))</f>
        <v/>
      </c>
      <c r="N1660" s="14">
        <f>IF(B1660="","",IF(K1660&lt;&gt;"",K1660,IF(N(IFERROR(INDEX(Projects!$D$6:$D$65,MATCH(D1660,Projects!$B$6:$B$65,0)),""))&gt;0,IFERROR(INDEX(Projects!$D$6:$D$65,MATCH(D1660,Projects!$B$6:$B$65,0)),""),IFERROR(INDEX(Clients!$G$6:$G$45,MATCH(C1660,Clients!$B$6:$B$45,0)),0))))</f>
        <v/>
      </c>
      <c r="O1660" s="14">
        <f>IF(B1660="","",IF(J1660&lt;&gt;"",0,ROUND(M1660*N1660,2)))</f>
        <v/>
      </c>
      <c r="P1660" s="15">
        <f>IF(OR(B1660="",J1660&lt;&gt;""),"",IF(L1660&lt;&gt;"",L1660,IF(COUNTIFS(Invoices!$C$6:$C$305,C1660,Invoices!$E$6:$E$305,"&lt;="&amp;B1660,Invoices!$F$6:$F$305,"&gt;="&amp;B1660)=1,INDEX(Invoices!$B$6:$B$305,SUMIFS(Invoices!$O$6:$O$305,Invoices!$C$6:$C$305,C1660,Invoices!$E$6:$E$305,"&lt;="&amp;B1660,Invoices!$F$6:$F$305,"&gt;="&amp;B1660)),IF(COUNTIFS(Invoices!$C$6:$C$305,C1660,Invoices!$E$6:$E$305,"&lt;="&amp;B1660,Invoices!$F$6:$F$305,"&gt;="&amp;B1660)&gt;1,"Two invoices",""))))</f>
        <v/>
      </c>
      <c r="Q1660" s="15">
        <f>IF(B1660="","",IF(J1660&lt;&gt;"","Not billable",IF(P1660="","To invoice",IF(P1660="Two invoices","Check dates",IF(ISNA(MATCH(P1660,Invoices!$B$6:$B$305,0)),"Check number",IF(INDEX(Invoices!$M$6:$M$305,MATCH(P1660,Invoices!$B$6:$B$305,0))="Paid","Paid",IF(INDEX(Invoices!$M$6:$M$305,MATCH(P1660,Invoices!$B$6:$B$305,0))="Draft","Draft","Invoiced")))))))</f>
        <v/>
      </c>
      <c r="R1660" s="1">
        <f>IF(AND(B1660&lt;&gt;"",P1660&lt;&gt;"",P1660=Invoice!$G$4),B1660+MOD(N(F1660),1)+ROW()/10000000,"")</f>
        <v/>
      </c>
      <c r="S1660">
        <f>IF(R1660="","",IF(D1660="","Other work",D1660)&amp;IF(AND(K1660&lt;&gt;"",E1660&lt;&gt;""),", "&amp;E1660,""))</f>
        <v/>
      </c>
      <c r="T1660">
        <f>IF(R1660="","",IF(COUNTIFS(R$6:R1659,"&gt;0",S$6:S1659,S1660,N$6:N1659,N1660)=0,R1660,""))</f>
        <v/>
      </c>
      <c r="U1660">
        <f>IF(B1660="","",IF(J1660&lt;&gt;"",0,M1660))</f>
        <v/>
      </c>
    </row>
    <row r="1661">
      <c r="A1661" s="1" t="n"/>
      <c r="B1661" s="16" t="n"/>
      <c r="C1661" s="17" t="n"/>
      <c r="D1661" s="18" t="n"/>
      <c r="E1661" s="18" t="n"/>
      <c r="F1661" s="19" t="n"/>
      <c r="G1661" s="19" t="n"/>
      <c r="H1661" s="20" t="n"/>
      <c r="I1661" s="21" t="n"/>
      <c r="J1661" s="22" t="n"/>
      <c r="K1661" s="23" t="n"/>
      <c r="L1661" s="18" t="n"/>
      <c r="M1661" s="24">
        <f>IF(B1661="","",IF(AND(F1661&lt;&gt;"",G1661&lt;&gt;""),MAX(0,ROUND(MOD(G1661-F1661,1)*24-N(H1661)/60,2)),N(I1661)))</f>
        <v/>
      </c>
      <c r="N1661" s="14">
        <f>IF(B1661="","",IF(K1661&lt;&gt;"",K1661,IF(N(IFERROR(INDEX(Projects!$D$6:$D$65,MATCH(D1661,Projects!$B$6:$B$65,0)),""))&gt;0,IFERROR(INDEX(Projects!$D$6:$D$65,MATCH(D1661,Projects!$B$6:$B$65,0)),""),IFERROR(INDEX(Clients!$G$6:$G$45,MATCH(C1661,Clients!$B$6:$B$45,0)),0))))</f>
        <v/>
      </c>
      <c r="O1661" s="14">
        <f>IF(B1661="","",IF(J1661&lt;&gt;"",0,ROUND(M1661*N1661,2)))</f>
        <v/>
      </c>
      <c r="P1661" s="15">
        <f>IF(OR(B1661="",J1661&lt;&gt;""),"",IF(L1661&lt;&gt;"",L1661,IF(COUNTIFS(Invoices!$C$6:$C$305,C1661,Invoices!$E$6:$E$305,"&lt;="&amp;B1661,Invoices!$F$6:$F$305,"&gt;="&amp;B1661)=1,INDEX(Invoices!$B$6:$B$305,SUMIFS(Invoices!$O$6:$O$305,Invoices!$C$6:$C$305,C1661,Invoices!$E$6:$E$305,"&lt;="&amp;B1661,Invoices!$F$6:$F$305,"&gt;="&amp;B1661)),IF(COUNTIFS(Invoices!$C$6:$C$305,C1661,Invoices!$E$6:$E$305,"&lt;="&amp;B1661,Invoices!$F$6:$F$305,"&gt;="&amp;B1661)&gt;1,"Two invoices",""))))</f>
        <v/>
      </c>
      <c r="Q1661" s="15">
        <f>IF(B1661="","",IF(J1661&lt;&gt;"","Not billable",IF(P1661="","To invoice",IF(P1661="Two invoices","Check dates",IF(ISNA(MATCH(P1661,Invoices!$B$6:$B$305,0)),"Check number",IF(INDEX(Invoices!$M$6:$M$305,MATCH(P1661,Invoices!$B$6:$B$305,0))="Paid","Paid",IF(INDEX(Invoices!$M$6:$M$305,MATCH(P1661,Invoices!$B$6:$B$305,0))="Draft","Draft","Invoiced")))))))</f>
        <v/>
      </c>
      <c r="R1661" s="1">
        <f>IF(AND(B1661&lt;&gt;"",P1661&lt;&gt;"",P1661=Invoice!$G$4),B1661+MOD(N(F1661),1)+ROW()/10000000,"")</f>
        <v/>
      </c>
      <c r="S1661">
        <f>IF(R1661="","",IF(D1661="","Other work",D1661)&amp;IF(AND(K1661&lt;&gt;"",E1661&lt;&gt;""),", "&amp;E1661,""))</f>
        <v/>
      </c>
      <c r="T1661">
        <f>IF(R1661="","",IF(COUNTIFS(R$6:R1660,"&gt;0",S$6:S1660,S1661,N$6:N1660,N1661)=0,R1661,""))</f>
        <v/>
      </c>
      <c r="U1661">
        <f>IF(B1661="","",IF(J1661&lt;&gt;"",0,M1661))</f>
        <v/>
      </c>
    </row>
    <row r="1662">
      <c r="A1662" s="1" t="n"/>
      <c r="B1662" s="16" t="n"/>
      <c r="C1662" s="17" t="n"/>
      <c r="D1662" s="18" t="n"/>
      <c r="E1662" s="18" t="n"/>
      <c r="F1662" s="19" t="n"/>
      <c r="G1662" s="19" t="n"/>
      <c r="H1662" s="20" t="n"/>
      <c r="I1662" s="21" t="n"/>
      <c r="J1662" s="22" t="n"/>
      <c r="K1662" s="23" t="n"/>
      <c r="L1662" s="18" t="n"/>
      <c r="M1662" s="24">
        <f>IF(B1662="","",IF(AND(F1662&lt;&gt;"",G1662&lt;&gt;""),MAX(0,ROUND(MOD(G1662-F1662,1)*24-N(H1662)/60,2)),N(I1662)))</f>
        <v/>
      </c>
      <c r="N1662" s="14">
        <f>IF(B1662="","",IF(K1662&lt;&gt;"",K1662,IF(N(IFERROR(INDEX(Projects!$D$6:$D$65,MATCH(D1662,Projects!$B$6:$B$65,0)),""))&gt;0,IFERROR(INDEX(Projects!$D$6:$D$65,MATCH(D1662,Projects!$B$6:$B$65,0)),""),IFERROR(INDEX(Clients!$G$6:$G$45,MATCH(C1662,Clients!$B$6:$B$45,0)),0))))</f>
        <v/>
      </c>
      <c r="O1662" s="14">
        <f>IF(B1662="","",IF(J1662&lt;&gt;"",0,ROUND(M1662*N1662,2)))</f>
        <v/>
      </c>
      <c r="P1662" s="15">
        <f>IF(OR(B1662="",J1662&lt;&gt;""),"",IF(L1662&lt;&gt;"",L1662,IF(COUNTIFS(Invoices!$C$6:$C$305,C1662,Invoices!$E$6:$E$305,"&lt;="&amp;B1662,Invoices!$F$6:$F$305,"&gt;="&amp;B1662)=1,INDEX(Invoices!$B$6:$B$305,SUMIFS(Invoices!$O$6:$O$305,Invoices!$C$6:$C$305,C1662,Invoices!$E$6:$E$305,"&lt;="&amp;B1662,Invoices!$F$6:$F$305,"&gt;="&amp;B1662)),IF(COUNTIFS(Invoices!$C$6:$C$305,C1662,Invoices!$E$6:$E$305,"&lt;="&amp;B1662,Invoices!$F$6:$F$305,"&gt;="&amp;B1662)&gt;1,"Two invoices",""))))</f>
        <v/>
      </c>
      <c r="Q1662" s="15">
        <f>IF(B1662="","",IF(J1662&lt;&gt;"","Not billable",IF(P1662="","To invoice",IF(P1662="Two invoices","Check dates",IF(ISNA(MATCH(P1662,Invoices!$B$6:$B$305,0)),"Check number",IF(INDEX(Invoices!$M$6:$M$305,MATCH(P1662,Invoices!$B$6:$B$305,0))="Paid","Paid",IF(INDEX(Invoices!$M$6:$M$305,MATCH(P1662,Invoices!$B$6:$B$305,0))="Draft","Draft","Invoiced")))))))</f>
        <v/>
      </c>
      <c r="R1662" s="1">
        <f>IF(AND(B1662&lt;&gt;"",P1662&lt;&gt;"",P1662=Invoice!$G$4),B1662+MOD(N(F1662),1)+ROW()/10000000,"")</f>
        <v/>
      </c>
      <c r="S1662">
        <f>IF(R1662="","",IF(D1662="","Other work",D1662)&amp;IF(AND(K1662&lt;&gt;"",E1662&lt;&gt;""),", "&amp;E1662,""))</f>
        <v/>
      </c>
      <c r="T1662">
        <f>IF(R1662="","",IF(COUNTIFS(R$6:R1661,"&gt;0",S$6:S1661,S1662,N$6:N1661,N1662)=0,R1662,""))</f>
        <v/>
      </c>
      <c r="U1662">
        <f>IF(B1662="","",IF(J1662&lt;&gt;"",0,M1662))</f>
        <v/>
      </c>
    </row>
    <row r="1663">
      <c r="A1663" s="1" t="n"/>
      <c r="B1663" s="16" t="n"/>
      <c r="C1663" s="17" t="n"/>
      <c r="D1663" s="18" t="n"/>
      <c r="E1663" s="18" t="n"/>
      <c r="F1663" s="19" t="n"/>
      <c r="G1663" s="19" t="n"/>
      <c r="H1663" s="20" t="n"/>
      <c r="I1663" s="21" t="n"/>
      <c r="J1663" s="22" t="n"/>
      <c r="K1663" s="23" t="n"/>
      <c r="L1663" s="18" t="n"/>
      <c r="M1663" s="24">
        <f>IF(B1663="","",IF(AND(F1663&lt;&gt;"",G1663&lt;&gt;""),MAX(0,ROUND(MOD(G1663-F1663,1)*24-N(H1663)/60,2)),N(I1663)))</f>
        <v/>
      </c>
      <c r="N1663" s="14">
        <f>IF(B1663="","",IF(K1663&lt;&gt;"",K1663,IF(N(IFERROR(INDEX(Projects!$D$6:$D$65,MATCH(D1663,Projects!$B$6:$B$65,0)),""))&gt;0,IFERROR(INDEX(Projects!$D$6:$D$65,MATCH(D1663,Projects!$B$6:$B$65,0)),""),IFERROR(INDEX(Clients!$G$6:$G$45,MATCH(C1663,Clients!$B$6:$B$45,0)),0))))</f>
        <v/>
      </c>
      <c r="O1663" s="14">
        <f>IF(B1663="","",IF(J1663&lt;&gt;"",0,ROUND(M1663*N1663,2)))</f>
        <v/>
      </c>
      <c r="P1663" s="15">
        <f>IF(OR(B1663="",J1663&lt;&gt;""),"",IF(L1663&lt;&gt;"",L1663,IF(COUNTIFS(Invoices!$C$6:$C$305,C1663,Invoices!$E$6:$E$305,"&lt;="&amp;B1663,Invoices!$F$6:$F$305,"&gt;="&amp;B1663)=1,INDEX(Invoices!$B$6:$B$305,SUMIFS(Invoices!$O$6:$O$305,Invoices!$C$6:$C$305,C1663,Invoices!$E$6:$E$305,"&lt;="&amp;B1663,Invoices!$F$6:$F$305,"&gt;="&amp;B1663)),IF(COUNTIFS(Invoices!$C$6:$C$305,C1663,Invoices!$E$6:$E$305,"&lt;="&amp;B1663,Invoices!$F$6:$F$305,"&gt;="&amp;B1663)&gt;1,"Two invoices",""))))</f>
        <v/>
      </c>
      <c r="Q1663" s="15">
        <f>IF(B1663="","",IF(J1663&lt;&gt;"","Not billable",IF(P1663="","To invoice",IF(P1663="Two invoices","Check dates",IF(ISNA(MATCH(P1663,Invoices!$B$6:$B$305,0)),"Check number",IF(INDEX(Invoices!$M$6:$M$305,MATCH(P1663,Invoices!$B$6:$B$305,0))="Paid","Paid",IF(INDEX(Invoices!$M$6:$M$305,MATCH(P1663,Invoices!$B$6:$B$305,0))="Draft","Draft","Invoiced")))))))</f>
        <v/>
      </c>
      <c r="R1663" s="1">
        <f>IF(AND(B1663&lt;&gt;"",P1663&lt;&gt;"",P1663=Invoice!$G$4),B1663+MOD(N(F1663),1)+ROW()/10000000,"")</f>
        <v/>
      </c>
      <c r="S1663">
        <f>IF(R1663="","",IF(D1663="","Other work",D1663)&amp;IF(AND(K1663&lt;&gt;"",E1663&lt;&gt;""),", "&amp;E1663,""))</f>
        <v/>
      </c>
      <c r="T1663">
        <f>IF(R1663="","",IF(COUNTIFS(R$6:R1662,"&gt;0",S$6:S1662,S1663,N$6:N1662,N1663)=0,R1663,""))</f>
        <v/>
      </c>
      <c r="U1663">
        <f>IF(B1663="","",IF(J1663&lt;&gt;"",0,M1663))</f>
        <v/>
      </c>
    </row>
    <row r="1664">
      <c r="A1664" s="1" t="n"/>
      <c r="B1664" s="16" t="n"/>
      <c r="C1664" s="17" t="n"/>
      <c r="D1664" s="18" t="n"/>
      <c r="E1664" s="18" t="n"/>
      <c r="F1664" s="19" t="n"/>
      <c r="G1664" s="19" t="n"/>
      <c r="H1664" s="20" t="n"/>
      <c r="I1664" s="21" t="n"/>
      <c r="J1664" s="22" t="n"/>
      <c r="K1664" s="23" t="n"/>
      <c r="L1664" s="18" t="n"/>
      <c r="M1664" s="24">
        <f>IF(B1664="","",IF(AND(F1664&lt;&gt;"",G1664&lt;&gt;""),MAX(0,ROUND(MOD(G1664-F1664,1)*24-N(H1664)/60,2)),N(I1664)))</f>
        <v/>
      </c>
      <c r="N1664" s="14">
        <f>IF(B1664="","",IF(K1664&lt;&gt;"",K1664,IF(N(IFERROR(INDEX(Projects!$D$6:$D$65,MATCH(D1664,Projects!$B$6:$B$65,0)),""))&gt;0,IFERROR(INDEX(Projects!$D$6:$D$65,MATCH(D1664,Projects!$B$6:$B$65,0)),""),IFERROR(INDEX(Clients!$G$6:$G$45,MATCH(C1664,Clients!$B$6:$B$45,0)),0))))</f>
        <v/>
      </c>
      <c r="O1664" s="14">
        <f>IF(B1664="","",IF(J1664&lt;&gt;"",0,ROUND(M1664*N1664,2)))</f>
        <v/>
      </c>
      <c r="P1664" s="15">
        <f>IF(OR(B1664="",J1664&lt;&gt;""),"",IF(L1664&lt;&gt;"",L1664,IF(COUNTIFS(Invoices!$C$6:$C$305,C1664,Invoices!$E$6:$E$305,"&lt;="&amp;B1664,Invoices!$F$6:$F$305,"&gt;="&amp;B1664)=1,INDEX(Invoices!$B$6:$B$305,SUMIFS(Invoices!$O$6:$O$305,Invoices!$C$6:$C$305,C1664,Invoices!$E$6:$E$305,"&lt;="&amp;B1664,Invoices!$F$6:$F$305,"&gt;="&amp;B1664)),IF(COUNTIFS(Invoices!$C$6:$C$305,C1664,Invoices!$E$6:$E$305,"&lt;="&amp;B1664,Invoices!$F$6:$F$305,"&gt;="&amp;B1664)&gt;1,"Two invoices",""))))</f>
        <v/>
      </c>
      <c r="Q1664" s="15">
        <f>IF(B1664="","",IF(J1664&lt;&gt;"","Not billable",IF(P1664="","To invoice",IF(P1664="Two invoices","Check dates",IF(ISNA(MATCH(P1664,Invoices!$B$6:$B$305,0)),"Check number",IF(INDEX(Invoices!$M$6:$M$305,MATCH(P1664,Invoices!$B$6:$B$305,0))="Paid","Paid",IF(INDEX(Invoices!$M$6:$M$305,MATCH(P1664,Invoices!$B$6:$B$305,0))="Draft","Draft","Invoiced")))))))</f>
        <v/>
      </c>
      <c r="R1664" s="1">
        <f>IF(AND(B1664&lt;&gt;"",P1664&lt;&gt;"",P1664=Invoice!$G$4),B1664+MOD(N(F1664),1)+ROW()/10000000,"")</f>
        <v/>
      </c>
      <c r="S1664">
        <f>IF(R1664="","",IF(D1664="","Other work",D1664)&amp;IF(AND(K1664&lt;&gt;"",E1664&lt;&gt;""),", "&amp;E1664,""))</f>
        <v/>
      </c>
      <c r="T1664">
        <f>IF(R1664="","",IF(COUNTIFS(R$6:R1663,"&gt;0",S$6:S1663,S1664,N$6:N1663,N1664)=0,R1664,""))</f>
        <v/>
      </c>
      <c r="U1664">
        <f>IF(B1664="","",IF(J1664&lt;&gt;"",0,M1664))</f>
        <v/>
      </c>
    </row>
    <row r="1665">
      <c r="A1665" s="1" t="n"/>
      <c r="B1665" s="16" t="n"/>
      <c r="C1665" s="17" t="n"/>
      <c r="D1665" s="18" t="n"/>
      <c r="E1665" s="18" t="n"/>
      <c r="F1665" s="19" t="n"/>
      <c r="G1665" s="19" t="n"/>
      <c r="H1665" s="20" t="n"/>
      <c r="I1665" s="21" t="n"/>
      <c r="J1665" s="22" t="n"/>
      <c r="K1665" s="23" t="n"/>
      <c r="L1665" s="18" t="n"/>
      <c r="M1665" s="24">
        <f>IF(B1665="","",IF(AND(F1665&lt;&gt;"",G1665&lt;&gt;""),MAX(0,ROUND(MOD(G1665-F1665,1)*24-N(H1665)/60,2)),N(I1665)))</f>
        <v/>
      </c>
      <c r="N1665" s="14">
        <f>IF(B1665="","",IF(K1665&lt;&gt;"",K1665,IF(N(IFERROR(INDEX(Projects!$D$6:$D$65,MATCH(D1665,Projects!$B$6:$B$65,0)),""))&gt;0,IFERROR(INDEX(Projects!$D$6:$D$65,MATCH(D1665,Projects!$B$6:$B$65,0)),""),IFERROR(INDEX(Clients!$G$6:$G$45,MATCH(C1665,Clients!$B$6:$B$45,0)),0))))</f>
        <v/>
      </c>
      <c r="O1665" s="14">
        <f>IF(B1665="","",IF(J1665&lt;&gt;"",0,ROUND(M1665*N1665,2)))</f>
        <v/>
      </c>
      <c r="P1665" s="15">
        <f>IF(OR(B1665="",J1665&lt;&gt;""),"",IF(L1665&lt;&gt;"",L1665,IF(COUNTIFS(Invoices!$C$6:$C$305,C1665,Invoices!$E$6:$E$305,"&lt;="&amp;B1665,Invoices!$F$6:$F$305,"&gt;="&amp;B1665)=1,INDEX(Invoices!$B$6:$B$305,SUMIFS(Invoices!$O$6:$O$305,Invoices!$C$6:$C$305,C1665,Invoices!$E$6:$E$305,"&lt;="&amp;B1665,Invoices!$F$6:$F$305,"&gt;="&amp;B1665)),IF(COUNTIFS(Invoices!$C$6:$C$305,C1665,Invoices!$E$6:$E$305,"&lt;="&amp;B1665,Invoices!$F$6:$F$305,"&gt;="&amp;B1665)&gt;1,"Two invoices",""))))</f>
        <v/>
      </c>
      <c r="Q1665" s="15">
        <f>IF(B1665="","",IF(J1665&lt;&gt;"","Not billable",IF(P1665="","To invoice",IF(P1665="Two invoices","Check dates",IF(ISNA(MATCH(P1665,Invoices!$B$6:$B$305,0)),"Check number",IF(INDEX(Invoices!$M$6:$M$305,MATCH(P1665,Invoices!$B$6:$B$305,0))="Paid","Paid",IF(INDEX(Invoices!$M$6:$M$305,MATCH(P1665,Invoices!$B$6:$B$305,0))="Draft","Draft","Invoiced")))))))</f>
        <v/>
      </c>
      <c r="R1665" s="1">
        <f>IF(AND(B1665&lt;&gt;"",P1665&lt;&gt;"",P1665=Invoice!$G$4),B1665+MOD(N(F1665),1)+ROW()/10000000,"")</f>
        <v/>
      </c>
      <c r="S1665">
        <f>IF(R1665="","",IF(D1665="","Other work",D1665)&amp;IF(AND(K1665&lt;&gt;"",E1665&lt;&gt;""),", "&amp;E1665,""))</f>
        <v/>
      </c>
      <c r="T1665">
        <f>IF(R1665="","",IF(COUNTIFS(R$6:R1664,"&gt;0",S$6:S1664,S1665,N$6:N1664,N1665)=0,R1665,""))</f>
        <v/>
      </c>
      <c r="U1665">
        <f>IF(B1665="","",IF(J1665&lt;&gt;"",0,M1665))</f>
        <v/>
      </c>
    </row>
    <row r="1666">
      <c r="A1666" s="1" t="n"/>
      <c r="B1666" s="16" t="n"/>
      <c r="C1666" s="17" t="n"/>
      <c r="D1666" s="18" t="n"/>
      <c r="E1666" s="18" t="n"/>
      <c r="F1666" s="19" t="n"/>
      <c r="G1666" s="19" t="n"/>
      <c r="H1666" s="20" t="n"/>
      <c r="I1666" s="21" t="n"/>
      <c r="J1666" s="22" t="n"/>
      <c r="K1666" s="23" t="n"/>
      <c r="L1666" s="18" t="n"/>
      <c r="M1666" s="24">
        <f>IF(B1666="","",IF(AND(F1666&lt;&gt;"",G1666&lt;&gt;""),MAX(0,ROUND(MOD(G1666-F1666,1)*24-N(H1666)/60,2)),N(I1666)))</f>
        <v/>
      </c>
      <c r="N1666" s="14">
        <f>IF(B1666="","",IF(K1666&lt;&gt;"",K1666,IF(N(IFERROR(INDEX(Projects!$D$6:$D$65,MATCH(D1666,Projects!$B$6:$B$65,0)),""))&gt;0,IFERROR(INDEX(Projects!$D$6:$D$65,MATCH(D1666,Projects!$B$6:$B$65,0)),""),IFERROR(INDEX(Clients!$G$6:$G$45,MATCH(C1666,Clients!$B$6:$B$45,0)),0))))</f>
        <v/>
      </c>
      <c r="O1666" s="14">
        <f>IF(B1666="","",IF(J1666&lt;&gt;"",0,ROUND(M1666*N1666,2)))</f>
        <v/>
      </c>
      <c r="P1666" s="15">
        <f>IF(OR(B1666="",J1666&lt;&gt;""),"",IF(L1666&lt;&gt;"",L1666,IF(COUNTIFS(Invoices!$C$6:$C$305,C1666,Invoices!$E$6:$E$305,"&lt;="&amp;B1666,Invoices!$F$6:$F$305,"&gt;="&amp;B1666)=1,INDEX(Invoices!$B$6:$B$305,SUMIFS(Invoices!$O$6:$O$305,Invoices!$C$6:$C$305,C1666,Invoices!$E$6:$E$305,"&lt;="&amp;B1666,Invoices!$F$6:$F$305,"&gt;="&amp;B1666)),IF(COUNTIFS(Invoices!$C$6:$C$305,C1666,Invoices!$E$6:$E$305,"&lt;="&amp;B1666,Invoices!$F$6:$F$305,"&gt;="&amp;B1666)&gt;1,"Two invoices",""))))</f>
        <v/>
      </c>
      <c r="Q1666" s="15">
        <f>IF(B1666="","",IF(J1666&lt;&gt;"","Not billable",IF(P1666="","To invoice",IF(P1666="Two invoices","Check dates",IF(ISNA(MATCH(P1666,Invoices!$B$6:$B$305,0)),"Check number",IF(INDEX(Invoices!$M$6:$M$305,MATCH(P1666,Invoices!$B$6:$B$305,0))="Paid","Paid",IF(INDEX(Invoices!$M$6:$M$305,MATCH(P1666,Invoices!$B$6:$B$305,0))="Draft","Draft","Invoiced")))))))</f>
        <v/>
      </c>
      <c r="R1666" s="1">
        <f>IF(AND(B1666&lt;&gt;"",P1666&lt;&gt;"",P1666=Invoice!$G$4),B1666+MOD(N(F1666),1)+ROW()/10000000,"")</f>
        <v/>
      </c>
      <c r="S1666">
        <f>IF(R1666="","",IF(D1666="","Other work",D1666)&amp;IF(AND(K1666&lt;&gt;"",E1666&lt;&gt;""),", "&amp;E1666,""))</f>
        <v/>
      </c>
      <c r="T1666">
        <f>IF(R1666="","",IF(COUNTIFS(R$6:R1665,"&gt;0",S$6:S1665,S1666,N$6:N1665,N1666)=0,R1666,""))</f>
        <v/>
      </c>
      <c r="U1666">
        <f>IF(B1666="","",IF(J1666&lt;&gt;"",0,M1666))</f>
        <v/>
      </c>
    </row>
    <row r="1667">
      <c r="A1667" s="1" t="n"/>
      <c r="B1667" s="16" t="n"/>
      <c r="C1667" s="17" t="n"/>
      <c r="D1667" s="18" t="n"/>
      <c r="E1667" s="18" t="n"/>
      <c r="F1667" s="19" t="n"/>
      <c r="G1667" s="19" t="n"/>
      <c r="H1667" s="20" t="n"/>
      <c r="I1667" s="21" t="n"/>
      <c r="J1667" s="22" t="n"/>
      <c r="K1667" s="23" t="n"/>
      <c r="L1667" s="18" t="n"/>
      <c r="M1667" s="24">
        <f>IF(B1667="","",IF(AND(F1667&lt;&gt;"",G1667&lt;&gt;""),MAX(0,ROUND(MOD(G1667-F1667,1)*24-N(H1667)/60,2)),N(I1667)))</f>
        <v/>
      </c>
      <c r="N1667" s="14">
        <f>IF(B1667="","",IF(K1667&lt;&gt;"",K1667,IF(N(IFERROR(INDEX(Projects!$D$6:$D$65,MATCH(D1667,Projects!$B$6:$B$65,0)),""))&gt;0,IFERROR(INDEX(Projects!$D$6:$D$65,MATCH(D1667,Projects!$B$6:$B$65,0)),""),IFERROR(INDEX(Clients!$G$6:$G$45,MATCH(C1667,Clients!$B$6:$B$45,0)),0))))</f>
        <v/>
      </c>
      <c r="O1667" s="14">
        <f>IF(B1667="","",IF(J1667&lt;&gt;"",0,ROUND(M1667*N1667,2)))</f>
        <v/>
      </c>
      <c r="P1667" s="15">
        <f>IF(OR(B1667="",J1667&lt;&gt;""),"",IF(L1667&lt;&gt;"",L1667,IF(COUNTIFS(Invoices!$C$6:$C$305,C1667,Invoices!$E$6:$E$305,"&lt;="&amp;B1667,Invoices!$F$6:$F$305,"&gt;="&amp;B1667)=1,INDEX(Invoices!$B$6:$B$305,SUMIFS(Invoices!$O$6:$O$305,Invoices!$C$6:$C$305,C1667,Invoices!$E$6:$E$305,"&lt;="&amp;B1667,Invoices!$F$6:$F$305,"&gt;="&amp;B1667)),IF(COUNTIFS(Invoices!$C$6:$C$305,C1667,Invoices!$E$6:$E$305,"&lt;="&amp;B1667,Invoices!$F$6:$F$305,"&gt;="&amp;B1667)&gt;1,"Two invoices",""))))</f>
        <v/>
      </c>
      <c r="Q1667" s="15">
        <f>IF(B1667="","",IF(J1667&lt;&gt;"","Not billable",IF(P1667="","To invoice",IF(P1667="Two invoices","Check dates",IF(ISNA(MATCH(P1667,Invoices!$B$6:$B$305,0)),"Check number",IF(INDEX(Invoices!$M$6:$M$305,MATCH(P1667,Invoices!$B$6:$B$305,0))="Paid","Paid",IF(INDEX(Invoices!$M$6:$M$305,MATCH(P1667,Invoices!$B$6:$B$305,0))="Draft","Draft","Invoiced")))))))</f>
        <v/>
      </c>
      <c r="R1667" s="1">
        <f>IF(AND(B1667&lt;&gt;"",P1667&lt;&gt;"",P1667=Invoice!$G$4),B1667+MOD(N(F1667),1)+ROW()/10000000,"")</f>
        <v/>
      </c>
      <c r="S1667">
        <f>IF(R1667="","",IF(D1667="","Other work",D1667)&amp;IF(AND(K1667&lt;&gt;"",E1667&lt;&gt;""),", "&amp;E1667,""))</f>
        <v/>
      </c>
      <c r="T1667">
        <f>IF(R1667="","",IF(COUNTIFS(R$6:R1666,"&gt;0",S$6:S1666,S1667,N$6:N1666,N1667)=0,R1667,""))</f>
        <v/>
      </c>
      <c r="U1667">
        <f>IF(B1667="","",IF(J1667&lt;&gt;"",0,M1667))</f>
        <v/>
      </c>
    </row>
    <row r="1668">
      <c r="A1668" s="1" t="n"/>
      <c r="B1668" s="16" t="n"/>
      <c r="C1668" s="17" t="n"/>
      <c r="D1668" s="18" t="n"/>
      <c r="E1668" s="18" t="n"/>
      <c r="F1668" s="19" t="n"/>
      <c r="G1668" s="19" t="n"/>
      <c r="H1668" s="20" t="n"/>
      <c r="I1668" s="21" t="n"/>
      <c r="J1668" s="22" t="n"/>
      <c r="K1668" s="23" t="n"/>
      <c r="L1668" s="18" t="n"/>
      <c r="M1668" s="24">
        <f>IF(B1668="","",IF(AND(F1668&lt;&gt;"",G1668&lt;&gt;""),MAX(0,ROUND(MOD(G1668-F1668,1)*24-N(H1668)/60,2)),N(I1668)))</f>
        <v/>
      </c>
      <c r="N1668" s="14">
        <f>IF(B1668="","",IF(K1668&lt;&gt;"",K1668,IF(N(IFERROR(INDEX(Projects!$D$6:$D$65,MATCH(D1668,Projects!$B$6:$B$65,0)),""))&gt;0,IFERROR(INDEX(Projects!$D$6:$D$65,MATCH(D1668,Projects!$B$6:$B$65,0)),""),IFERROR(INDEX(Clients!$G$6:$G$45,MATCH(C1668,Clients!$B$6:$B$45,0)),0))))</f>
        <v/>
      </c>
      <c r="O1668" s="14">
        <f>IF(B1668="","",IF(J1668&lt;&gt;"",0,ROUND(M1668*N1668,2)))</f>
        <v/>
      </c>
      <c r="P1668" s="15">
        <f>IF(OR(B1668="",J1668&lt;&gt;""),"",IF(L1668&lt;&gt;"",L1668,IF(COUNTIFS(Invoices!$C$6:$C$305,C1668,Invoices!$E$6:$E$305,"&lt;="&amp;B1668,Invoices!$F$6:$F$305,"&gt;="&amp;B1668)=1,INDEX(Invoices!$B$6:$B$305,SUMIFS(Invoices!$O$6:$O$305,Invoices!$C$6:$C$305,C1668,Invoices!$E$6:$E$305,"&lt;="&amp;B1668,Invoices!$F$6:$F$305,"&gt;="&amp;B1668)),IF(COUNTIFS(Invoices!$C$6:$C$305,C1668,Invoices!$E$6:$E$305,"&lt;="&amp;B1668,Invoices!$F$6:$F$305,"&gt;="&amp;B1668)&gt;1,"Two invoices",""))))</f>
        <v/>
      </c>
      <c r="Q1668" s="15">
        <f>IF(B1668="","",IF(J1668&lt;&gt;"","Not billable",IF(P1668="","To invoice",IF(P1668="Two invoices","Check dates",IF(ISNA(MATCH(P1668,Invoices!$B$6:$B$305,0)),"Check number",IF(INDEX(Invoices!$M$6:$M$305,MATCH(P1668,Invoices!$B$6:$B$305,0))="Paid","Paid",IF(INDEX(Invoices!$M$6:$M$305,MATCH(P1668,Invoices!$B$6:$B$305,0))="Draft","Draft","Invoiced")))))))</f>
        <v/>
      </c>
      <c r="R1668" s="1">
        <f>IF(AND(B1668&lt;&gt;"",P1668&lt;&gt;"",P1668=Invoice!$G$4),B1668+MOD(N(F1668),1)+ROW()/10000000,"")</f>
        <v/>
      </c>
      <c r="S1668">
        <f>IF(R1668="","",IF(D1668="","Other work",D1668)&amp;IF(AND(K1668&lt;&gt;"",E1668&lt;&gt;""),", "&amp;E1668,""))</f>
        <v/>
      </c>
      <c r="T1668">
        <f>IF(R1668="","",IF(COUNTIFS(R$6:R1667,"&gt;0",S$6:S1667,S1668,N$6:N1667,N1668)=0,R1668,""))</f>
        <v/>
      </c>
      <c r="U1668">
        <f>IF(B1668="","",IF(J1668&lt;&gt;"",0,M1668))</f>
        <v/>
      </c>
    </row>
    <row r="1669">
      <c r="A1669" s="1" t="n"/>
      <c r="B1669" s="16" t="n"/>
      <c r="C1669" s="17" t="n"/>
      <c r="D1669" s="18" t="n"/>
      <c r="E1669" s="18" t="n"/>
      <c r="F1669" s="19" t="n"/>
      <c r="G1669" s="19" t="n"/>
      <c r="H1669" s="20" t="n"/>
      <c r="I1669" s="21" t="n"/>
      <c r="J1669" s="22" t="n"/>
      <c r="K1669" s="23" t="n"/>
      <c r="L1669" s="18" t="n"/>
      <c r="M1669" s="24">
        <f>IF(B1669="","",IF(AND(F1669&lt;&gt;"",G1669&lt;&gt;""),MAX(0,ROUND(MOD(G1669-F1669,1)*24-N(H1669)/60,2)),N(I1669)))</f>
        <v/>
      </c>
      <c r="N1669" s="14">
        <f>IF(B1669="","",IF(K1669&lt;&gt;"",K1669,IF(N(IFERROR(INDEX(Projects!$D$6:$D$65,MATCH(D1669,Projects!$B$6:$B$65,0)),""))&gt;0,IFERROR(INDEX(Projects!$D$6:$D$65,MATCH(D1669,Projects!$B$6:$B$65,0)),""),IFERROR(INDEX(Clients!$G$6:$G$45,MATCH(C1669,Clients!$B$6:$B$45,0)),0))))</f>
        <v/>
      </c>
      <c r="O1669" s="14">
        <f>IF(B1669="","",IF(J1669&lt;&gt;"",0,ROUND(M1669*N1669,2)))</f>
        <v/>
      </c>
      <c r="P1669" s="15">
        <f>IF(OR(B1669="",J1669&lt;&gt;""),"",IF(L1669&lt;&gt;"",L1669,IF(COUNTIFS(Invoices!$C$6:$C$305,C1669,Invoices!$E$6:$E$305,"&lt;="&amp;B1669,Invoices!$F$6:$F$305,"&gt;="&amp;B1669)=1,INDEX(Invoices!$B$6:$B$305,SUMIFS(Invoices!$O$6:$O$305,Invoices!$C$6:$C$305,C1669,Invoices!$E$6:$E$305,"&lt;="&amp;B1669,Invoices!$F$6:$F$305,"&gt;="&amp;B1669)),IF(COUNTIFS(Invoices!$C$6:$C$305,C1669,Invoices!$E$6:$E$305,"&lt;="&amp;B1669,Invoices!$F$6:$F$305,"&gt;="&amp;B1669)&gt;1,"Two invoices",""))))</f>
        <v/>
      </c>
      <c r="Q1669" s="15">
        <f>IF(B1669="","",IF(J1669&lt;&gt;"","Not billable",IF(P1669="","To invoice",IF(P1669="Two invoices","Check dates",IF(ISNA(MATCH(P1669,Invoices!$B$6:$B$305,0)),"Check number",IF(INDEX(Invoices!$M$6:$M$305,MATCH(P1669,Invoices!$B$6:$B$305,0))="Paid","Paid",IF(INDEX(Invoices!$M$6:$M$305,MATCH(P1669,Invoices!$B$6:$B$305,0))="Draft","Draft","Invoiced")))))))</f>
        <v/>
      </c>
      <c r="R1669" s="1">
        <f>IF(AND(B1669&lt;&gt;"",P1669&lt;&gt;"",P1669=Invoice!$G$4),B1669+MOD(N(F1669),1)+ROW()/10000000,"")</f>
        <v/>
      </c>
      <c r="S1669">
        <f>IF(R1669="","",IF(D1669="","Other work",D1669)&amp;IF(AND(K1669&lt;&gt;"",E1669&lt;&gt;""),", "&amp;E1669,""))</f>
        <v/>
      </c>
      <c r="T1669">
        <f>IF(R1669="","",IF(COUNTIFS(R$6:R1668,"&gt;0",S$6:S1668,S1669,N$6:N1668,N1669)=0,R1669,""))</f>
        <v/>
      </c>
      <c r="U1669">
        <f>IF(B1669="","",IF(J1669&lt;&gt;"",0,M1669))</f>
        <v/>
      </c>
    </row>
    <row r="1670">
      <c r="A1670" s="1" t="n"/>
      <c r="B1670" s="16" t="n"/>
      <c r="C1670" s="17" t="n"/>
      <c r="D1670" s="18" t="n"/>
      <c r="E1670" s="18" t="n"/>
      <c r="F1670" s="19" t="n"/>
      <c r="G1670" s="19" t="n"/>
      <c r="H1670" s="20" t="n"/>
      <c r="I1670" s="21" t="n"/>
      <c r="J1670" s="22" t="n"/>
      <c r="K1670" s="23" t="n"/>
      <c r="L1670" s="18" t="n"/>
      <c r="M1670" s="24">
        <f>IF(B1670="","",IF(AND(F1670&lt;&gt;"",G1670&lt;&gt;""),MAX(0,ROUND(MOD(G1670-F1670,1)*24-N(H1670)/60,2)),N(I1670)))</f>
        <v/>
      </c>
      <c r="N1670" s="14">
        <f>IF(B1670="","",IF(K1670&lt;&gt;"",K1670,IF(N(IFERROR(INDEX(Projects!$D$6:$D$65,MATCH(D1670,Projects!$B$6:$B$65,0)),""))&gt;0,IFERROR(INDEX(Projects!$D$6:$D$65,MATCH(D1670,Projects!$B$6:$B$65,0)),""),IFERROR(INDEX(Clients!$G$6:$G$45,MATCH(C1670,Clients!$B$6:$B$45,0)),0))))</f>
        <v/>
      </c>
      <c r="O1670" s="14">
        <f>IF(B1670="","",IF(J1670&lt;&gt;"",0,ROUND(M1670*N1670,2)))</f>
        <v/>
      </c>
      <c r="P1670" s="15">
        <f>IF(OR(B1670="",J1670&lt;&gt;""),"",IF(L1670&lt;&gt;"",L1670,IF(COUNTIFS(Invoices!$C$6:$C$305,C1670,Invoices!$E$6:$E$305,"&lt;="&amp;B1670,Invoices!$F$6:$F$305,"&gt;="&amp;B1670)=1,INDEX(Invoices!$B$6:$B$305,SUMIFS(Invoices!$O$6:$O$305,Invoices!$C$6:$C$305,C1670,Invoices!$E$6:$E$305,"&lt;="&amp;B1670,Invoices!$F$6:$F$305,"&gt;="&amp;B1670)),IF(COUNTIFS(Invoices!$C$6:$C$305,C1670,Invoices!$E$6:$E$305,"&lt;="&amp;B1670,Invoices!$F$6:$F$305,"&gt;="&amp;B1670)&gt;1,"Two invoices",""))))</f>
        <v/>
      </c>
      <c r="Q1670" s="15">
        <f>IF(B1670="","",IF(J1670&lt;&gt;"","Not billable",IF(P1670="","To invoice",IF(P1670="Two invoices","Check dates",IF(ISNA(MATCH(P1670,Invoices!$B$6:$B$305,0)),"Check number",IF(INDEX(Invoices!$M$6:$M$305,MATCH(P1670,Invoices!$B$6:$B$305,0))="Paid","Paid",IF(INDEX(Invoices!$M$6:$M$305,MATCH(P1670,Invoices!$B$6:$B$305,0))="Draft","Draft","Invoiced")))))))</f>
        <v/>
      </c>
      <c r="R1670" s="1">
        <f>IF(AND(B1670&lt;&gt;"",P1670&lt;&gt;"",P1670=Invoice!$G$4),B1670+MOD(N(F1670),1)+ROW()/10000000,"")</f>
        <v/>
      </c>
      <c r="S1670">
        <f>IF(R1670="","",IF(D1670="","Other work",D1670)&amp;IF(AND(K1670&lt;&gt;"",E1670&lt;&gt;""),", "&amp;E1670,""))</f>
        <v/>
      </c>
      <c r="T1670">
        <f>IF(R1670="","",IF(COUNTIFS(R$6:R1669,"&gt;0",S$6:S1669,S1670,N$6:N1669,N1670)=0,R1670,""))</f>
        <v/>
      </c>
      <c r="U1670">
        <f>IF(B1670="","",IF(J1670&lt;&gt;"",0,M1670))</f>
        <v/>
      </c>
    </row>
    <row r="1671">
      <c r="A1671" s="1" t="n"/>
      <c r="B1671" s="16" t="n"/>
      <c r="C1671" s="17" t="n"/>
      <c r="D1671" s="18" t="n"/>
      <c r="E1671" s="18" t="n"/>
      <c r="F1671" s="19" t="n"/>
      <c r="G1671" s="19" t="n"/>
      <c r="H1671" s="20" t="n"/>
      <c r="I1671" s="21" t="n"/>
      <c r="J1671" s="22" t="n"/>
      <c r="K1671" s="23" t="n"/>
      <c r="L1671" s="18" t="n"/>
      <c r="M1671" s="24">
        <f>IF(B1671="","",IF(AND(F1671&lt;&gt;"",G1671&lt;&gt;""),MAX(0,ROUND(MOD(G1671-F1671,1)*24-N(H1671)/60,2)),N(I1671)))</f>
        <v/>
      </c>
      <c r="N1671" s="14">
        <f>IF(B1671="","",IF(K1671&lt;&gt;"",K1671,IF(N(IFERROR(INDEX(Projects!$D$6:$D$65,MATCH(D1671,Projects!$B$6:$B$65,0)),""))&gt;0,IFERROR(INDEX(Projects!$D$6:$D$65,MATCH(D1671,Projects!$B$6:$B$65,0)),""),IFERROR(INDEX(Clients!$G$6:$G$45,MATCH(C1671,Clients!$B$6:$B$45,0)),0))))</f>
        <v/>
      </c>
      <c r="O1671" s="14">
        <f>IF(B1671="","",IF(J1671&lt;&gt;"",0,ROUND(M1671*N1671,2)))</f>
        <v/>
      </c>
      <c r="P1671" s="15">
        <f>IF(OR(B1671="",J1671&lt;&gt;""),"",IF(L1671&lt;&gt;"",L1671,IF(COUNTIFS(Invoices!$C$6:$C$305,C1671,Invoices!$E$6:$E$305,"&lt;="&amp;B1671,Invoices!$F$6:$F$305,"&gt;="&amp;B1671)=1,INDEX(Invoices!$B$6:$B$305,SUMIFS(Invoices!$O$6:$O$305,Invoices!$C$6:$C$305,C1671,Invoices!$E$6:$E$305,"&lt;="&amp;B1671,Invoices!$F$6:$F$305,"&gt;="&amp;B1671)),IF(COUNTIFS(Invoices!$C$6:$C$305,C1671,Invoices!$E$6:$E$305,"&lt;="&amp;B1671,Invoices!$F$6:$F$305,"&gt;="&amp;B1671)&gt;1,"Two invoices",""))))</f>
        <v/>
      </c>
      <c r="Q1671" s="15">
        <f>IF(B1671="","",IF(J1671&lt;&gt;"","Not billable",IF(P1671="","To invoice",IF(P1671="Two invoices","Check dates",IF(ISNA(MATCH(P1671,Invoices!$B$6:$B$305,0)),"Check number",IF(INDEX(Invoices!$M$6:$M$305,MATCH(P1671,Invoices!$B$6:$B$305,0))="Paid","Paid",IF(INDEX(Invoices!$M$6:$M$305,MATCH(P1671,Invoices!$B$6:$B$305,0))="Draft","Draft","Invoiced")))))))</f>
        <v/>
      </c>
      <c r="R1671" s="1">
        <f>IF(AND(B1671&lt;&gt;"",P1671&lt;&gt;"",P1671=Invoice!$G$4),B1671+MOD(N(F1671),1)+ROW()/10000000,"")</f>
        <v/>
      </c>
      <c r="S1671">
        <f>IF(R1671="","",IF(D1671="","Other work",D1671)&amp;IF(AND(K1671&lt;&gt;"",E1671&lt;&gt;""),", "&amp;E1671,""))</f>
        <v/>
      </c>
      <c r="T1671">
        <f>IF(R1671="","",IF(COUNTIFS(R$6:R1670,"&gt;0",S$6:S1670,S1671,N$6:N1670,N1671)=0,R1671,""))</f>
        <v/>
      </c>
      <c r="U1671">
        <f>IF(B1671="","",IF(J1671&lt;&gt;"",0,M1671))</f>
        <v/>
      </c>
    </row>
    <row r="1672">
      <c r="A1672" s="1" t="n"/>
      <c r="B1672" s="16" t="n"/>
      <c r="C1672" s="17" t="n"/>
      <c r="D1672" s="18" t="n"/>
      <c r="E1672" s="18" t="n"/>
      <c r="F1672" s="19" t="n"/>
      <c r="G1672" s="19" t="n"/>
      <c r="H1672" s="20" t="n"/>
      <c r="I1672" s="21" t="n"/>
      <c r="J1672" s="22" t="n"/>
      <c r="K1672" s="23" t="n"/>
      <c r="L1672" s="18" t="n"/>
      <c r="M1672" s="24">
        <f>IF(B1672="","",IF(AND(F1672&lt;&gt;"",G1672&lt;&gt;""),MAX(0,ROUND(MOD(G1672-F1672,1)*24-N(H1672)/60,2)),N(I1672)))</f>
        <v/>
      </c>
      <c r="N1672" s="14">
        <f>IF(B1672="","",IF(K1672&lt;&gt;"",K1672,IF(N(IFERROR(INDEX(Projects!$D$6:$D$65,MATCH(D1672,Projects!$B$6:$B$65,0)),""))&gt;0,IFERROR(INDEX(Projects!$D$6:$D$65,MATCH(D1672,Projects!$B$6:$B$65,0)),""),IFERROR(INDEX(Clients!$G$6:$G$45,MATCH(C1672,Clients!$B$6:$B$45,0)),0))))</f>
        <v/>
      </c>
      <c r="O1672" s="14">
        <f>IF(B1672="","",IF(J1672&lt;&gt;"",0,ROUND(M1672*N1672,2)))</f>
        <v/>
      </c>
      <c r="P1672" s="15">
        <f>IF(OR(B1672="",J1672&lt;&gt;""),"",IF(L1672&lt;&gt;"",L1672,IF(COUNTIFS(Invoices!$C$6:$C$305,C1672,Invoices!$E$6:$E$305,"&lt;="&amp;B1672,Invoices!$F$6:$F$305,"&gt;="&amp;B1672)=1,INDEX(Invoices!$B$6:$B$305,SUMIFS(Invoices!$O$6:$O$305,Invoices!$C$6:$C$305,C1672,Invoices!$E$6:$E$305,"&lt;="&amp;B1672,Invoices!$F$6:$F$305,"&gt;="&amp;B1672)),IF(COUNTIFS(Invoices!$C$6:$C$305,C1672,Invoices!$E$6:$E$305,"&lt;="&amp;B1672,Invoices!$F$6:$F$305,"&gt;="&amp;B1672)&gt;1,"Two invoices",""))))</f>
        <v/>
      </c>
      <c r="Q1672" s="15">
        <f>IF(B1672="","",IF(J1672&lt;&gt;"","Not billable",IF(P1672="","To invoice",IF(P1672="Two invoices","Check dates",IF(ISNA(MATCH(P1672,Invoices!$B$6:$B$305,0)),"Check number",IF(INDEX(Invoices!$M$6:$M$305,MATCH(P1672,Invoices!$B$6:$B$305,0))="Paid","Paid",IF(INDEX(Invoices!$M$6:$M$305,MATCH(P1672,Invoices!$B$6:$B$305,0))="Draft","Draft","Invoiced")))))))</f>
        <v/>
      </c>
      <c r="R1672" s="1">
        <f>IF(AND(B1672&lt;&gt;"",P1672&lt;&gt;"",P1672=Invoice!$G$4),B1672+MOD(N(F1672),1)+ROW()/10000000,"")</f>
        <v/>
      </c>
      <c r="S1672">
        <f>IF(R1672="","",IF(D1672="","Other work",D1672)&amp;IF(AND(K1672&lt;&gt;"",E1672&lt;&gt;""),", "&amp;E1672,""))</f>
        <v/>
      </c>
      <c r="T1672">
        <f>IF(R1672="","",IF(COUNTIFS(R$6:R1671,"&gt;0",S$6:S1671,S1672,N$6:N1671,N1672)=0,R1672,""))</f>
        <v/>
      </c>
      <c r="U1672">
        <f>IF(B1672="","",IF(J1672&lt;&gt;"",0,M1672))</f>
        <v/>
      </c>
    </row>
    <row r="1673">
      <c r="A1673" s="1" t="n"/>
      <c r="B1673" s="16" t="n"/>
      <c r="C1673" s="17" t="n"/>
      <c r="D1673" s="18" t="n"/>
      <c r="E1673" s="18" t="n"/>
      <c r="F1673" s="19" t="n"/>
      <c r="G1673" s="19" t="n"/>
      <c r="H1673" s="20" t="n"/>
      <c r="I1673" s="21" t="n"/>
      <c r="J1673" s="22" t="n"/>
      <c r="K1673" s="23" t="n"/>
      <c r="L1673" s="18" t="n"/>
      <c r="M1673" s="24">
        <f>IF(B1673="","",IF(AND(F1673&lt;&gt;"",G1673&lt;&gt;""),MAX(0,ROUND(MOD(G1673-F1673,1)*24-N(H1673)/60,2)),N(I1673)))</f>
        <v/>
      </c>
      <c r="N1673" s="14">
        <f>IF(B1673="","",IF(K1673&lt;&gt;"",K1673,IF(N(IFERROR(INDEX(Projects!$D$6:$D$65,MATCH(D1673,Projects!$B$6:$B$65,0)),""))&gt;0,IFERROR(INDEX(Projects!$D$6:$D$65,MATCH(D1673,Projects!$B$6:$B$65,0)),""),IFERROR(INDEX(Clients!$G$6:$G$45,MATCH(C1673,Clients!$B$6:$B$45,0)),0))))</f>
        <v/>
      </c>
      <c r="O1673" s="14">
        <f>IF(B1673="","",IF(J1673&lt;&gt;"",0,ROUND(M1673*N1673,2)))</f>
        <v/>
      </c>
      <c r="P1673" s="15">
        <f>IF(OR(B1673="",J1673&lt;&gt;""),"",IF(L1673&lt;&gt;"",L1673,IF(COUNTIFS(Invoices!$C$6:$C$305,C1673,Invoices!$E$6:$E$305,"&lt;="&amp;B1673,Invoices!$F$6:$F$305,"&gt;="&amp;B1673)=1,INDEX(Invoices!$B$6:$B$305,SUMIFS(Invoices!$O$6:$O$305,Invoices!$C$6:$C$305,C1673,Invoices!$E$6:$E$305,"&lt;="&amp;B1673,Invoices!$F$6:$F$305,"&gt;="&amp;B1673)),IF(COUNTIFS(Invoices!$C$6:$C$305,C1673,Invoices!$E$6:$E$305,"&lt;="&amp;B1673,Invoices!$F$6:$F$305,"&gt;="&amp;B1673)&gt;1,"Two invoices",""))))</f>
        <v/>
      </c>
      <c r="Q1673" s="15">
        <f>IF(B1673="","",IF(J1673&lt;&gt;"","Not billable",IF(P1673="","To invoice",IF(P1673="Two invoices","Check dates",IF(ISNA(MATCH(P1673,Invoices!$B$6:$B$305,0)),"Check number",IF(INDEX(Invoices!$M$6:$M$305,MATCH(P1673,Invoices!$B$6:$B$305,0))="Paid","Paid",IF(INDEX(Invoices!$M$6:$M$305,MATCH(P1673,Invoices!$B$6:$B$305,0))="Draft","Draft","Invoiced")))))))</f>
        <v/>
      </c>
      <c r="R1673" s="1">
        <f>IF(AND(B1673&lt;&gt;"",P1673&lt;&gt;"",P1673=Invoice!$G$4),B1673+MOD(N(F1673),1)+ROW()/10000000,"")</f>
        <v/>
      </c>
      <c r="S1673">
        <f>IF(R1673="","",IF(D1673="","Other work",D1673)&amp;IF(AND(K1673&lt;&gt;"",E1673&lt;&gt;""),", "&amp;E1673,""))</f>
        <v/>
      </c>
      <c r="T1673">
        <f>IF(R1673="","",IF(COUNTIFS(R$6:R1672,"&gt;0",S$6:S1672,S1673,N$6:N1672,N1673)=0,R1673,""))</f>
        <v/>
      </c>
      <c r="U1673">
        <f>IF(B1673="","",IF(J1673&lt;&gt;"",0,M1673))</f>
        <v/>
      </c>
    </row>
    <row r="1674">
      <c r="A1674" s="1" t="n"/>
      <c r="B1674" s="16" t="n"/>
      <c r="C1674" s="17" t="n"/>
      <c r="D1674" s="18" t="n"/>
      <c r="E1674" s="18" t="n"/>
      <c r="F1674" s="19" t="n"/>
      <c r="G1674" s="19" t="n"/>
      <c r="H1674" s="20" t="n"/>
      <c r="I1674" s="21" t="n"/>
      <c r="J1674" s="22" t="n"/>
      <c r="K1674" s="23" t="n"/>
      <c r="L1674" s="18" t="n"/>
      <c r="M1674" s="24">
        <f>IF(B1674="","",IF(AND(F1674&lt;&gt;"",G1674&lt;&gt;""),MAX(0,ROUND(MOD(G1674-F1674,1)*24-N(H1674)/60,2)),N(I1674)))</f>
        <v/>
      </c>
      <c r="N1674" s="14">
        <f>IF(B1674="","",IF(K1674&lt;&gt;"",K1674,IF(N(IFERROR(INDEX(Projects!$D$6:$D$65,MATCH(D1674,Projects!$B$6:$B$65,0)),""))&gt;0,IFERROR(INDEX(Projects!$D$6:$D$65,MATCH(D1674,Projects!$B$6:$B$65,0)),""),IFERROR(INDEX(Clients!$G$6:$G$45,MATCH(C1674,Clients!$B$6:$B$45,0)),0))))</f>
        <v/>
      </c>
      <c r="O1674" s="14">
        <f>IF(B1674="","",IF(J1674&lt;&gt;"",0,ROUND(M1674*N1674,2)))</f>
        <v/>
      </c>
      <c r="P1674" s="15">
        <f>IF(OR(B1674="",J1674&lt;&gt;""),"",IF(L1674&lt;&gt;"",L1674,IF(COUNTIFS(Invoices!$C$6:$C$305,C1674,Invoices!$E$6:$E$305,"&lt;="&amp;B1674,Invoices!$F$6:$F$305,"&gt;="&amp;B1674)=1,INDEX(Invoices!$B$6:$B$305,SUMIFS(Invoices!$O$6:$O$305,Invoices!$C$6:$C$305,C1674,Invoices!$E$6:$E$305,"&lt;="&amp;B1674,Invoices!$F$6:$F$305,"&gt;="&amp;B1674)),IF(COUNTIFS(Invoices!$C$6:$C$305,C1674,Invoices!$E$6:$E$305,"&lt;="&amp;B1674,Invoices!$F$6:$F$305,"&gt;="&amp;B1674)&gt;1,"Two invoices",""))))</f>
        <v/>
      </c>
      <c r="Q1674" s="15">
        <f>IF(B1674="","",IF(J1674&lt;&gt;"","Not billable",IF(P1674="","To invoice",IF(P1674="Two invoices","Check dates",IF(ISNA(MATCH(P1674,Invoices!$B$6:$B$305,0)),"Check number",IF(INDEX(Invoices!$M$6:$M$305,MATCH(P1674,Invoices!$B$6:$B$305,0))="Paid","Paid",IF(INDEX(Invoices!$M$6:$M$305,MATCH(P1674,Invoices!$B$6:$B$305,0))="Draft","Draft","Invoiced")))))))</f>
        <v/>
      </c>
      <c r="R1674" s="1">
        <f>IF(AND(B1674&lt;&gt;"",P1674&lt;&gt;"",P1674=Invoice!$G$4),B1674+MOD(N(F1674),1)+ROW()/10000000,"")</f>
        <v/>
      </c>
      <c r="S1674">
        <f>IF(R1674="","",IF(D1674="","Other work",D1674)&amp;IF(AND(K1674&lt;&gt;"",E1674&lt;&gt;""),", "&amp;E1674,""))</f>
        <v/>
      </c>
      <c r="T1674">
        <f>IF(R1674="","",IF(COUNTIFS(R$6:R1673,"&gt;0",S$6:S1673,S1674,N$6:N1673,N1674)=0,R1674,""))</f>
        <v/>
      </c>
      <c r="U1674">
        <f>IF(B1674="","",IF(J1674&lt;&gt;"",0,M1674))</f>
        <v/>
      </c>
    </row>
    <row r="1675">
      <c r="A1675" s="1" t="n"/>
      <c r="B1675" s="16" t="n"/>
      <c r="C1675" s="17" t="n"/>
      <c r="D1675" s="18" t="n"/>
      <c r="E1675" s="18" t="n"/>
      <c r="F1675" s="19" t="n"/>
      <c r="G1675" s="19" t="n"/>
      <c r="H1675" s="20" t="n"/>
      <c r="I1675" s="21" t="n"/>
      <c r="J1675" s="22" t="n"/>
      <c r="K1675" s="23" t="n"/>
      <c r="L1675" s="18" t="n"/>
      <c r="M1675" s="24">
        <f>IF(B1675="","",IF(AND(F1675&lt;&gt;"",G1675&lt;&gt;""),MAX(0,ROUND(MOD(G1675-F1675,1)*24-N(H1675)/60,2)),N(I1675)))</f>
        <v/>
      </c>
      <c r="N1675" s="14">
        <f>IF(B1675="","",IF(K1675&lt;&gt;"",K1675,IF(N(IFERROR(INDEX(Projects!$D$6:$D$65,MATCH(D1675,Projects!$B$6:$B$65,0)),""))&gt;0,IFERROR(INDEX(Projects!$D$6:$D$65,MATCH(D1675,Projects!$B$6:$B$65,0)),""),IFERROR(INDEX(Clients!$G$6:$G$45,MATCH(C1675,Clients!$B$6:$B$45,0)),0))))</f>
        <v/>
      </c>
      <c r="O1675" s="14">
        <f>IF(B1675="","",IF(J1675&lt;&gt;"",0,ROUND(M1675*N1675,2)))</f>
        <v/>
      </c>
      <c r="P1675" s="15">
        <f>IF(OR(B1675="",J1675&lt;&gt;""),"",IF(L1675&lt;&gt;"",L1675,IF(COUNTIFS(Invoices!$C$6:$C$305,C1675,Invoices!$E$6:$E$305,"&lt;="&amp;B1675,Invoices!$F$6:$F$305,"&gt;="&amp;B1675)=1,INDEX(Invoices!$B$6:$B$305,SUMIFS(Invoices!$O$6:$O$305,Invoices!$C$6:$C$305,C1675,Invoices!$E$6:$E$305,"&lt;="&amp;B1675,Invoices!$F$6:$F$305,"&gt;="&amp;B1675)),IF(COUNTIFS(Invoices!$C$6:$C$305,C1675,Invoices!$E$6:$E$305,"&lt;="&amp;B1675,Invoices!$F$6:$F$305,"&gt;="&amp;B1675)&gt;1,"Two invoices",""))))</f>
        <v/>
      </c>
      <c r="Q1675" s="15">
        <f>IF(B1675="","",IF(J1675&lt;&gt;"","Not billable",IF(P1675="","To invoice",IF(P1675="Two invoices","Check dates",IF(ISNA(MATCH(P1675,Invoices!$B$6:$B$305,0)),"Check number",IF(INDEX(Invoices!$M$6:$M$305,MATCH(P1675,Invoices!$B$6:$B$305,0))="Paid","Paid",IF(INDEX(Invoices!$M$6:$M$305,MATCH(P1675,Invoices!$B$6:$B$305,0))="Draft","Draft","Invoiced")))))))</f>
        <v/>
      </c>
      <c r="R1675" s="1">
        <f>IF(AND(B1675&lt;&gt;"",P1675&lt;&gt;"",P1675=Invoice!$G$4),B1675+MOD(N(F1675),1)+ROW()/10000000,"")</f>
        <v/>
      </c>
      <c r="S1675">
        <f>IF(R1675="","",IF(D1675="","Other work",D1675)&amp;IF(AND(K1675&lt;&gt;"",E1675&lt;&gt;""),", "&amp;E1675,""))</f>
        <v/>
      </c>
      <c r="T1675">
        <f>IF(R1675="","",IF(COUNTIFS(R$6:R1674,"&gt;0",S$6:S1674,S1675,N$6:N1674,N1675)=0,R1675,""))</f>
        <v/>
      </c>
      <c r="U1675">
        <f>IF(B1675="","",IF(J1675&lt;&gt;"",0,M1675))</f>
        <v/>
      </c>
    </row>
    <row r="1676">
      <c r="A1676" s="1" t="n"/>
      <c r="B1676" s="16" t="n"/>
      <c r="C1676" s="17" t="n"/>
      <c r="D1676" s="18" t="n"/>
      <c r="E1676" s="18" t="n"/>
      <c r="F1676" s="19" t="n"/>
      <c r="G1676" s="19" t="n"/>
      <c r="H1676" s="20" t="n"/>
      <c r="I1676" s="21" t="n"/>
      <c r="J1676" s="22" t="n"/>
      <c r="K1676" s="23" t="n"/>
      <c r="L1676" s="18" t="n"/>
      <c r="M1676" s="24">
        <f>IF(B1676="","",IF(AND(F1676&lt;&gt;"",G1676&lt;&gt;""),MAX(0,ROUND(MOD(G1676-F1676,1)*24-N(H1676)/60,2)),N(I1676)))</f>
        <v/>
      </c>
      <c r="N1676" s="14">
        <f>IF(B1676="","",IF(K1676&lt;&gt;"",K1676,IF(N(IFERROR(INDEX(Projects!$D$6:$D$65,MATCH(D1676,Projects!$B$6:$B$65,0)),""))&gt;0,IFERROR(INDEX(Projects!$D$6:$D$65,MATCH(D1676,Projects!$B$6:$B$65,0)),""),IFERROR(INDEX(Clients!$G$6:$G$45,MATCH(C1676,Clients!$B$6:$B$45,0)),0))))</f>
        <v/>
      </c>
      <c r="O1676" s="14">
        <f>IF(B1676="","",IF(J1676&lt;&gt;"",0,ROUND(M1676*N1676,2)))</f>
        <v/>
      </c>
      <c r="P1676" s="15">
        <f>IF(OR(B1676="",J1676&lt;&gt;""),"",IF(L1676&lt;&gt;"",L1676,IF(COUNTIFS(Invoices!$C$6:$C$305,C1676,Invoices!$E$6:$E$305,"&lt;="&amp;B1676,Invoices!$F$6:$F$305,"&gt;="&amp;B1676)=1,INDEX(Invoices!$B$6:$B$305,SUMIFS(Invoices!$O$6:$O$305,Invoices!$C$6:$C$305,C1676,Invoices!$E$6:$E$305,"&lt;="&amp;B1676,Invoices!$F$6:$F$305,"&gt;="&amp;B1676)),IF(COUNTIFS(Invoices!$C$6:$C$305,C1676,Invoices!$E$6:$E$305,"&lt;="&amp;B1676,Invoices!$F$6:$F$305,"&gt;="&amp;B1676)&gt;1,"Two invoices",""))))</f>
        <v/>
      </c>
      <c r="Q1676" s="15">
        <f>IF(B1676="","",IF(J1676&lt;&gt;"","Not billable",IF(P1676="","To invoice",IF(P1676="Two invoices","Check dates",IF(ISNA(MATCH(P1676,Invoices!$B$6:$B$305,0)),"Check number",IF(INDEX(Invoices!$M$6:$M$305,MATCH(P1676,Invoices!$B$6:$B$305,0))="Paid","Paid",IF(INDEX(Invoices!$M$6:$M$305,MATCH(P1676,Invoices!$B$6:$B$305,0))="Draft","Draft","Invoiced")))))))</f>
        <v/>
      </c>
      <c r="R1676" s="1">
        <f>IF(AND(B1676&lt;&gt;"",P1676&lt;&gt;"",P1676=Invoice!$G$4),B1676+MOD(N(F1676),1)+ROW()/10000000,"")</f>
        <v/>
      </c>
      <c r="S1676">
        <f>IF(R1676="","",IF(D1676="","Other work",D1676)&amp;IF(AND(K1676&lt;&gt;"",E1676&lt;&gt;""),", "&amp;E1676,""))</f>
        <v/>
      </c>
      <c r="T1676">
        <f>IF(R1676="","",IF(COUNTIFS(R$6:R1675,"&gt;0",S$6:S1675,S1676,N$6:N1675,N1676)=0,R1676,""))</f>
        <v/>
      </c>
      <c r="U1676">
        <f>IF(B1676="","",IF(J1676&lt;&gt;"",0,M1676))</f>
        <v/>
      </c>
    </row>
    <row r="1677">
      <c r="A1677" s="1" t="n"/>
      <c r="B1677" s="16" t="n"/>
      <c r="C1677" s="17" t="n"/>
      <c r="D1677" s="18" t="n"/>
      <c r="E1677" s="18" t="n"/>
      <c r="F1677" s="19" t="n"/>
      <c r="G1677" s="19" t="n"/>
      <c r="H1677" s="20" t="n"/>
      <c r="I1677" s="21" t="n"/>
      <c r="J1677" s="22" t="n"/>
      <c r="K1677" s="23" t="n"/>
      <c r="L1677" s="18" t="n"/>
      <c r="M1677" s="24">
        <f>IF(B1677="","",IF(AND(F1677&lt;&gt;"",G1677&lt;&gt;""),MAX(0,ROUND(MOD(G1677-F1677,1)*24-N(H1677)/60,2)),N(I1677)))</f>
        <v/>
      </c>
      <c r="N1677" s="14">
        <f>IF(B1677="","",IF(K1677&lt;&gt;"",K1677,IF(N(IFERROR(INDEX(Projects!$D$6:$D$65,MATCH(D1677,Projects!$B$6:$B$65,0)),""))&gt;0,IFERROR(INDEX(Projects!$D$6:$D$65,MATCH(D1677,Projects!$B$6:$B$65,0)),""),IFERROR(INDEX(Clients!$G$6:$G$45,MATCH(C1677,Clients!$B$6:$B$45,0)),0))))</f>
        <v/>
      </c>
      <c r="O1677" s="14">
        <f>IF(B1677="","",IF(J1677&lt;&gt;"",0,ROUND(M1677*N1677,2)))</f>
        <v/>
      </c>
      <c r="P1677" s="15">
        <f>IF(OR(B1677="",J1677&lt;&gt;""),"",IF(L1677&lt;&gt;"",L1677,IF(COUNTIFS(Invoices!$C$6:$C$305,C1677,Invoices!$E$6:$E$305,"&lt;="&amp;B1677,Invoices!$F$6:$F$305,"&gt;="&amp;B1677)=1,INDEX(Invoices!$B$6:$B$305,SUMIFS(Invoices!$O$6:$O$305,Invoices!$C$6:$C$305,C1677,Invoices!$E$6:$E$305,"&lt;="&amp;B1677,Invoices!$F$6:$F$305,"&gt;="&amp;B1677)),IF(COUNTIFS(Invoices!$C$6:$C$305,C1677,Invoices!$E$6:$E$305,"&lt;="&amp;B1677,Invoices!$F$6:$F$305,"&gt;="&amp;B1677)&gt;1,"Two invoices",""))))</f>
        <v/>
      </c>
      <c r="Q1677" s="15">
        <f>IF(B1677="","",IF(J1677&lt;&gt;"","Not billable",IF(P1677="","To invoice",IF(P1677="Two invoices","Check dates",IF(ISNA(MATCH(P1677,Invoices!$B$6:$B$305,0)),"Check number",IF(INDEX(Invoices!$M$6:$M$305,MATCH(P1677,Invoices!$B$6:$B$305,0))="Paid","Paid",IF(INDEX(Invoices!$M$6:$M$305,MATCH(P1677,Invoices!$B$6:$B$305,0))="Draft","Draft","Invoiced")))))))</f>
        <v/>
      </c>
      <c r="R1677" s="1">
        <f>IF(AND(B1677&lt;&gt;"",P1677&lt;&gt;"",P1677=Invoice!$G$4),B1677+MOD(N(F1677),1)+ROW()/10000000,"")</f>
        <v/>
      </c>
      <c r="S1677">
        <f>IF(R1677="","",IF(D1677="","Other work",D1677)&amp;IF(AND(K1677&lt;&gt;"",E1677&lt;&gt;""),", "&amp;E1677,""))</f>
        <v/>
      </c>
      <c r="T1677">
        <f>IF(R1677="","",IF(COUNTIFS(R$6:R1676,"&gt;0",S$6:S1676,S1677,N$6:N1676,N1677)=0,R1677,""))</f>
        <v/>
      </c>
      <c r="U1677">
        <f>IF(B1677="","",IF(J1677&lt;&gt;"",0,M1677))</f>
        <v/>
      </c>
    </row>
    <row r="1678">
      <c r="A1678" s="1" t="n"/>
      <c r="B1678" s="16" t="n"/>
      <c r="C1678" s="17" t="n"/>
      <c r="D1678" s="18" t="n"/>
      <c r="E1678" s="18" t="n"/>
      <c r="F1678" s="19" t="n"/>
      <c r="G1678" s="19" t="n"/>
      <c r="H1678" s="20" t="n"/>
      <c r="I1678" s="21" t="n"/>
      <c r="J1678" s="22" t="n"/>
      <c r="K1678" s="23" t="n"/>
      <c r="L1678" s="18" t="n"/>
      <c r="M1678" s="24">
        <f>IF(B1678="","",IF(AND(F1678&lt;&gt;"",G1678&lt;&gt;""),MAX(0,ROUND(MOD(G1678-F1678,1)*24-N(H1678)/60,2)),N(I1678)))</f>
        <v/>
      </c>
      <c r="N1678" s="14">
        <f>IF(B1678="","",IF(K1678&lt;&gt;"",K1678,IF(N(IFERROR(INDEX(Projects!$D$6:$D$65,MATCH(D1678,Projects!$B$6:$B$65,0)),""))&gt;0,IFERROR(INDEX(Projects!$D$6:$D$65,MATCH(D1678,Projects!$B$6:$B$65,0)),""),IFERROR(INDEX(Clients!$G$6:$G$45,MATCH(C1678,Clients!$B$6:$B$45,0)),0))))</f>
        <v/>
      </c>
      <c r="O1678" s="14">
        <f>IF(B1678="","",IF(J1678&lt;&gt;"",0,ROUND(M1678*N1678,2)))</f>
        <v/>
      </c>
      <c r="P1678" s="15">
        <f>IF(OR(B1678="",J1678&lt;&gt;""),"",IF(L1678&lt;&gt;"",L1678,IF(COUNTIFS(Invoices!$C$6:$C$305,C1678,Invoices!$E$6:$E$305,"&lt;="&amp;B1678,Invoices!$F$6:$F$305,"&gt;="&amp;B1678)=1,INDEX(Invoices!$B$6:$B$305,SUMIFS(Invoices!$O$6:$O$305,Invoices!$C$6:$C$305,C1678,Invoices!$E$6:$E$305,"&lt;="&amp;B1678,Invoices!$F$6:$F$305,"&gt;="&amp;B1678)),IF(COUNTIFS(Invoices!$C$6:$C$305,C1678,Invoices!$E$6:$E$305,"&lt;="&amp;B1678,Invoices!$F$6:$F$305,"&gt;="&amp;B1678)&gt;1,"Two invoices",""))))</f>
        <v/>
      </c>
      <c r="Q1678" s="15">
        <f>IF(B1678="","",IF(J1678&lt;&gt;"","Not billable",IF(P1678="","To invoice",IF(P1678="Two invoices","Check dates",IF(ISNA(MATCH(P1678,Invoices!$B$6:$B$305,0)),"Check number",IF(INDEX(Invoices!$M$6:$M$305,MATCH(P1678,Invoices!$B$6:$B$305,0))="Paid","Paid",IF(INDEX(Invoices!$M$6:$M$305,MATCH(P1678,Invoices!$B$6:$B$305,0))="Draft","Draft","Invoiced")))))))</f>
        <v/>
      </c>
      <c r="R1678" s="1">
        <f>IF(AND(B1678&lt;&gt;"",P1678&lt;&gt;"",P1678=Invoice!$G$4),B1678+MOD(N(F1678),1)+ROW()/10000000,"")</f>
        <v/>
      </c>
      <c r="S1678">
        <f>IF(R1678="","",IF(D1678="","Other work",D1678)&amp;IF(AND(K1678&lt;&gt;"",E1678&lt;&gt;""),", "&amp;E1678,""))</f>
        <v/>
      </c>
      <c r="T1678">
        <f>IF(R1678="","",IF(COUNTIFS(R$6:R1677,"&gt;0",S$6:S1677,S1678,N$6:N1677,N1678)=0,R1678,""))</f>
        <v/>
      </c>
      <c r="U1678">
        <f>IF(B1678="","",IF(J1678&lt;&gt;"",0,M1678))</f>
        <v/>
      </c>
    </row>
    <row r="1679">
      <c r="A1679" s="1" t="n"/>
      <c r="B1679" s="16" t="n"/>
      <c r="C1679" s="17" t="n"/>
      <c r="D1679" s="18" t="n"/>
      <c r="E1679" s="18" t="n"/>
      <c r="F1679" s="19" t="n"/>
      <c r="G1679" s="19" t="n"/>
      <c r="H1679" s="20" t="n"/>
      <c r="I1679" s="21" t="n"/>
      <c r="J1679" s="22" t="n"/>
      <c r="K1679" s="23" t="n"/>
      <c r="L1679" s="18" t="n"/>
      <c r="M1679" s="24">
        <f>IF(B1679="","",IF(AND(F1679&lt;&gt;"",G1679&lt;&gt;""),MAX(0,ROUND(MOD(G1679-F1679,1)*24-N(H1679)/60,2)),N(I1679)))</f>
        <v/>
      </c>
      <c r="N1679" s="14">
        <f>IF(B1679="","",IF(K1679&lt;&gt;"",K1679,IF(N(IFERROR(INDEX(Projects!$D$6:$D$65,MATCH(D1679,Projects!$B$6:$B$65,0)),""))&gt;0,IFERROR(INDEX(Projects!$D$6:$D$65,MATCH(D1679,Projects!$B$6:$B$65,0)),""),IFERROR(INDEX(Clients!$G$6:$G$45,MATCH(C1679,Clients!$B$6:$B$45,0)),0))))</f>
        <v/>
      </c>
      <c r="O1679" s="14">
        <f>IF(B1679="","",IF(J1679&lt;&gt;"",0,ROUND(M1679*N1679,2)))</f>
        <v/>
      </c>
      <c r="P1679" s="15">
        <f>IF(OR(B1679="",J1679&lt;&gt;""),"",IF(L1679&lt;&gt;"",L1679,IF(COUNTIFS(Invoices!$C$6:$C$305,C1679,Invoices!$E$6:$E$305,"&lt;="&amp;B1679,Invoices!$F$6:$F$305,"&gt;="&amp;B1679)=1,INDEX(Invoices!$B$6:$B$305,SUMIFS(Invoices!$O$6:$O$305,Invoices!$C$6:$C$305,C1679,Invoices!$E$6:$E$305,"&lt;="&amp;B1679,Invoices!$F$6:$F$305,"&gt;="&amp;B1679)),IF(COUNTIFS(Invoices!$C$6:$C$305,C1679,Invoices!$E$6:$E$305,"&lt;="&amp;B1679,Invoices!$F$6:$F$305,"&gt;="&amp;B1679)&gt;1,"Two invoices",""))))</f>
        <v/>
      </c>
      <c r="Q1679" s="15">
        <f>IF(B1679="","",IF(J1679&lt;&gt;"","Not billable",IF(P1679="","To invoice",IF(P1679="Two invoices","Check dates",IF(ISNA(MATCH(P1679,Invoices!$B$6:$B$305,0)),"Check number",IF(INDEX(Invoices!$M$6:$M$305,MATCH(P1679,Invoices!$B$6:$B$305,0))="Paid","Paid",IF(INDEX(Invoices!$M$6:$M$305,MATCH(P1679,Invoices!$B$6:$B$305,0))="Draft","Draft","Invoiced")))))))</f>
        <v/>
      </c>
      <c r="R1679" s="1">
        <f>IF(AND(B1679&lt;&gt;"",P1679&lt;&gt;"",P1679=Invoice!$G$4),B1679+MOD(N(F1679),1)+ROW()/10000000,"")</f>
        <v/>
      </c>
      <c r="S1679">
        <f>IF(R1679="","",IF(D1679="","Other work",D1679)&amp;IF(AND(K1679&lt;&gt;"",E1679&lt;&gt;""),", "&amp;E1679,""))</f>
        <v/>
      </c>
      <c r="T1679">
        <f>IF(R1679="","",IF(COUNTIFS(R$6:R1678,"&gt;0",S$6:S1678,S1679,N$6:N1678,N1679)=0,R1679,""))</f>
        <v/>
      </c>
      <c r="U1679">
        <f>IF(B1679="","",IF(J1679&lt;&gt;"",0,M1679))</f>
        <v/>
      </c>
    </row>
    <row r="1680">
      <c r="A1680" s="1" t="n"/>
      <c r="B1680" s="16" t="n"/>
      <c r="C1680" s="17" t="n"/>
      <c r="D1680" s="18" t="n"/>
      <c r="E1680" s="18" t="n"/>
      <c r="F1680" s="19" t="n"/>
      <c r="G1680" s="19" t="n"/>
      <c r="H1680" s="20" t="n"/>
      <c r="I1680" s="21" t="n"/>
      <c r="J1680" s="22" t="n"/>
      <c r="K1680" s="23" t="n"/>
      <c r="L1680" s="18" t="n"/>
      <c r="M1680" s="24">
        <f>IF(B1680="","",IF(AND(F1680&lt;&gt;"",G1680&lt;&gt;""),MAX(0,ROUND(MOD(G1680-F1680,1)*24-N(H1680)/60,2)),N(I1680)))</f>
        <v/>
      </c>
      <c r="N1680" s="14">
        <f>IF(B1680="","",IF(K1680&lt;&gt;"",K1680,IF(N(IFERROR(INDEX(Projects!$D$6:$D$65,MATCH(D1680,Projects!$B$6:$B$65,0)),""))&gt;0,IFERROR(INDEX(Projects!$D$6:$D$65,MATCH(D1680,Projects!$B$6:$B$65,0)),""),IFERROR(INDEX(Clients!$G$6:$G$45,MATCH(C1680,Clients!$B$6:$B$45,0)),0))))</f>
        <v/>
      </c>
      <c r="O1680" s="14">
        <f>IF(B1680="","",IF(J1680&lt;&gt;"",0,ROUND(M1680*N1680,2)))</f>
        <v/>
      </c>
      <c r="P1680" s="15">
        <f>IF(OR(B1680="",J1680&lt;&gt;""),"",IF(L1680&lt;&gt;"",L1680,IF(COUNTIFS(Invoices!$C$6:$C$305,C1680,Invoices!$E$6:$E$305,"&lt;="&amp;B1680,Invoices!$F$6:$F$305,"&gt;="&amp;B1680)=1,INDEX(Invoices!$B$6:$B$305,SUMIFS(Invoices!$O$6:$O$305,Invoices!$C$6:$C$305,C1680,Invoices!$E$6:$E$305,"&lt;="&amp;B1680,Invoices!$F$6:$F$305,"&gt;="&amp;B1680)),IF(COUNTIFS(Invoices!$C$6:$C$305,C1680,Invoices!$E$6:$E$305,"&lt;="&amp;B1680,Invoices!$F$6:$F$305,"&gt;="&amp;B1680)&gt;1,"Two invoices",""))))</f>
        <v/>
      </c>
      <c r="Q1680" s="15">
        <f>IF(B1680="","",IF(J1680&lt;&gt;"","Not billable",IF(P1680="","To invoice",IF(P1680="Two invoices","Check dates",IF(ISNA(MATCH(P1680,Invoices!$B$6:$B$305,0)),"Check number",IF(INDEX(Invoices!$M$6:$M$305,MATCH(P1680,Invoices!$B$6:$B$305,0))="Paid","Paid",IF(INDEX(Invoices!$M$6:$M$305,MATCH(P1680,Invoices!$B$6:$B$305,0))="Draft","Draft","Invoiced")))))))</f>
        <v/>
      </c>
      <c r="R1680" s="1">
        <f>IF(AND(B1680&lt;&gt;"",P1680&lt;&gt;"",P1680=Invoice!$G$4),B1680+MOD(N(F1680),1)+ROW()/10000000,"")</f>
        <v/>
      </c>
      <c r="S1680">
        <f>IF(R1680="","",IF(D1680="","Other work",D1680)&amp;IF(AND(K1680&lt;&gt;"",E1680&lt;&gt;""),", "&amp;E1680,""))</f>
        <v/>
      </c>
      <c r="T1680">
        <f>IF(R1680="","",IF(COUNTIFS(R$6:R1679,"&gt;0",S$6:S1679,S1680,N$6:N1679,N1680)=0,R1680,""))</f>
        <v/>
      </c>
      <c r="U1680">
        <f>IF(B1680="","",IF(J1680&lt;&gt;"",0,M1680))</f>
        <v/>
      </c>
    </row>
    <row r="1681">
      <c r="A1681" s="1" t="n"/>
      <c r="B1681" s="16" t="n"/>
      <c r="C1681" s="17" t="n"/>
      <c r="D1681" s="18" t="n"/>
      <c r="E1681" s="18" t="n"/>
      <c r="F1681" s="19" t="n"/>
      <c r="G1681" s="19" t="n"/>
      <c r="H1681" s="20" t="n"/>
      <c r="I1681" s="21" t="n"/>
      <c r="J1681" s="22" t="n"/>
      <c r="K1681" s="23" t="n"/>
      <c r="L1681" s="18" t="n"/>
      <c r="M1681" s="24">
        <f>IF(B1681="","",IF(AND(F1681&lt;&gt;"",G1681&lt;&gt;""),MAX(0,ROUND(MOD(G1681-F1681,1)*24-N(H1681)/60,2)),N(I1681)))</f>
        <v/>
      </c>
      <c r="N1681" s="14">
        <f>IF(B1681="","",IF(K1681&lt;&gt;"",K1681,IF(N(IFERROR(INDEX(Projects!$D$6:$D$65,MATCH(D1681,Projects!$B$6:$B$65,0)),""))&gt;0,IFERROR(INDEX(Projects!$D$6:$D$65,MATCH(D1681,Projects!$B$6:$B$65,0)),""),IFERROR(INDEX(Clients!$G$6:$G$45,MATCH(C1681,Clients!$B$6:$B$45,0)),0))))</f>
        <v/>
      </c>
      <c r="O1681" s="14">
        <f>IF(B1681="","",IF(J1681&lt;&gt;"",0,ROUND(M1681*N1681,2)))</f>
        <v/>
      </c>
      <c r="P1681" s="15">
        <f>IF(OR(B1681="",J1681&lt;&gt;""),"",IF(L1681&lt;&gt;"",L1681,IF(COUNTIFS(Invoices!$C$6:$C$305,C1681,Invoices!$E$6:$E$305,"&lt;="&amp;B1681,Invoices!$F$6:$F$305,"&gt;="&amp;B1681)=1,INDEX(Invoices!$B$6:$B$305,SUMIFS(Invoices!$O$6:$O$305,Invoices!$C$6:$C$305,C1681,Invoices!$E$6:$E$305,"&lt;="&amp;B1681,Invoices!$F$6:$F$305,"&gt;="&amp;B1681)),IF(COUNTIFS(Invoices!$C$6:$C$305,C1681,Invoices!$E$6:$E$305,"&lt;="&amp;B1681,Invoices!$F$6:$F$305,"&gt;="&amp;B1681)&gt;1,"Two invoices",""))))</f>
        <v/>
      </c>
      <c r="Q1681" s="15">
        <f>IF(B1681="","",IF(J1681&lt;&gt;"","Not billable",IF(P1681="","To invoice",IF(P1681="Two invoices","Check dates",IF(ISNA(MATCH(P1681,Invoices!$B$6:$B$305,0)),"Check number",IF(INDEX(Invoices!$M$6:$M$305,MATCH(P1681,Invoices!$B$6:$B$305,0))="Paid","Paid",IF(INDEX(Invoices!$M$6:$M$305,MATCH(P1681,Invoices!$B$6:$B$305,0))="Draft","Draft","Invoiced")))))))</f>
        <v/>
      </c>
      <c r="R1681" s="1">
        <f>IF(AND(B1681&lt;&gt;"",P1681&lt;&gt;"",P1681=Invoice!$G$4),B1681+MOD(N(F1681),1)+ROW()/10000000,"")</f>
        <v/>
      </c>
      <c r="S1681">
        <f>IF(R1681="","",IF(D1681="","Other work",D1681)&amp;IF(AND(K1681&lt;&gt;"",E1681&lt;&gt;""),", "&amp;E1681,""))</f>
        <v/>
      </c>
      <c r="T1681">
        <f>IF(R1681="","",IF(COUNTIFS(R$6:R1680,"&gt;0",S$6:S1680,S1681,N$6:N1680,N1681)=0,R1681,""))</f>
        <v/>
      </c>
      <c r="U1681">
        <f>IF(B1681="","",IF(J1681&lt;&gt;"",0,M1681))</f>
        <v/>
      </c>
    </row>
    <row r="1682">
      <c r="A1682" s="1" t="n"/>
      <c r="B1682" s="16" t="n"/>
      <c r="C1682" s="17" t="n"/>
      <c r="D1682" s="18" t="n"/>
      <c r="E1682" s="18" t="n"/>
      <c r="F1682" s="19" t="n"/>
      <c r="G1682" s="19" t="n"/>
      <c r="H1682" s="20" t="n"/>
      <c r="I1682" s="21" t="n"/>
      <c r="J1682" s="22" t="n"/>
      <c r="K1682" s="23" t="n"/>
      <c r="L1682" s="18" t="n"/>
      <c r="M1682" s="24">
        <f>IF(B1682="","",IF(AND(F1682&lt;&gt;"",G1682&lt;&gt;""),MAX(0,ROUND(MOD(G1682-F1682,1)*24-N(H1682)/60,2)),N(I1682)))</f>
        <v/>
      </c>
      <c r="N1682" s="14">
        <f>IF(B1682="","",IF(K1682&lt;&gt;"",K1682,IF(N(IFERROR(INDEX(Projects!$D$6:$D$65,MATCH(D1682,Projects!$B$6:$B$65,0)),""))&gt;0,IFERROR(INDEX(Projects!$D$6:$D$65,MATCH(D1682,Projects!$B$6:$B$65,0)),""),IFERROR(INDEX(Clients!$G$6:$G$45,MATCH(C1682,Clients!$B$6:$B$45,0)),0))))</f>
        <v/>
      </c>
      <c r="O1682" s="14">
        <f>IF(B1682="","",IF(J1682&lt;&gt;"",0,ROUND(M1682*N1682,2)))</f>
        <v/>
      </c>
      <c r="P1682" s="15">
        <f>IF(OR(B1682="",J1682&lt;&gt;""),"",IF(L1682&lt;&gt;"",L1682,IF(COUNTIFS(Invoices!$C$6:$C$305,C1682,Invoices!$E$6:$E$305,"&lt;="&amp;B1682,Invoices!$F$6:$F$305,"&gt;="&amp;B1682)=1,INDEX(Invoices!$B$6:$B$305,SUMIFS(Invoices!$O$6:$O$305,Invoices!$C$6:$C$305,C1682,Invoices!$E$6:$E$305,"&lt;="&amp;B1682,Invoices!$F$6:$F$305,"&gt;="&amp;B1682)),IF(COUNTIFS(Invoices!$C$6:$C$305,C1682,Invoices!$E$6:$E$305,"&lt;="&amp;B1682,Invoices!$F$6:$F$305,"&gt;="&amp;B1682)&gt;1,"Two invoices",""))))</f>
        <v/>
      </c>
      <c r="Q1682" s="15">
        <f>IF(B1682="","",IF(J1682&lt;&gt;"","Not billable",IF(P1682="","To invoice",IF(P1682="Two invoices","Check dates",IF(ISNA(MATCH(P1682,Invoices!$B$6:$B$305,0)),"Check number",IF(INDEX(Invoices!$M$6:$M$305,MATCH(P1682,Invoices!$B$6:$B$305,0))="Paid","Paid",IF(INDEX(Invoices!$M$6:$M$305,MATCH(P1682,Invoices!$B$6:$B$305,0))="Draft","Draft","Invoiced")))))))</f>
        <v/>
      </c>
      <c r="R1682" s="1">
        <f>IF(AND(B1682&lt;&gt;"",P1682&lt;&gt;"",P1682=Invoice!$G$4),B1682+MOD(N(F1682),1)+ROW()/10000000,"")</f>
        <v/>
      </c>
      <c r="S1682">
        <f>IF(R1682="","",IF(D1682="","Other work",D1682)&amp;IF(AND(K1682&lt;&gt;"",E1682&lt;&gt;""),", "&amp;E1682,""))</f>
        <v/>
      </c>
      <c r="T1682">
        <f>IF(R1682="","",IF(COUNTIFS(R$6:R1681,"&gt;0",S$6:S1681,S1682,N$6:N1681,N1682)=0,R1682,""))</f>
        <v/>
      </c>
      <c r="U1682">
        <f>IF(B1682="","",IF(J1682&lt;&gt;"",0,M1682))</f>
        <v/>
      </c>
    </row>
    <row r="1683">
      <c r="A1683" s="1" t="n"/>
      <c r="B1683" s="16" t="n"/>
      <c r="C1683" s="17" t="n"/>
      <c r="D1683" s="18" t="n"/>
      <c r="E1683" s="18" t="n"/>
      <c r="F1683" s="19" t="n"/>
      <c r="G1683" s="19" t="n"/>
      <c r="H1683" s="20" t="n"/>
      <c r="I1683" s="21" t="n"/>
      <c r="J1683" s="22" t="n"/>
      <c r="K1683" s="23" t="n"/>
      <c r="L1683" s="18" t="n"/>
      <c r="M1683" s="24">
        <f>IF(B1683="","",IF(AND(F1683&lt;&gt;"",G1683&lt;&gt;""),MAX(0,ROUND(MOD(G1683-F1683,1)*24-N(H1683)/60,2)),N(I1683)))</f>
        <v/>
      </c>
      <c r="N1683" s="14">
        <f>IF(B1683="","",IF(K1683&lt;&gt;"",K1683,IF(N(IFERROR(INDEX(Projects!$D$6:$D$65,MATCH(D1683,Projects!$B$6:$B$65,0)),""))&gt;0,IFERROR(INDEX(Projects!$D$6:$D$65,MATCH(D1683,Projects!$B$6:$B$65,0)),""),IFERROR(INDEX(Clients!$G$6:$G$45,MATCH(C1683,Clients!$B$6:$B$45,0)),0))))</f>
        <v/>
      </c>
      <c r="O1683" s="14">
        <f>IF(B1683="","",IF(J1683&lt;&gt;"",0,ROUND(M1683*N1683,2)))</f>
        <v/>
      </c>
      <c r="P1683" s="15">
        <f>IF(OR(B1683="",J1683&lt;&gt;""),"",IF(L1683&lt;&gt;"",L1683,IF(COUNTIFS(Invoices!$C$6:$C$305,C1683,Invoices!$E$6:$E$305,"&lt;="&amp;B1683,Invoices!$F$6:$F$305,"&gt;="&amp;B1683)=1,INDEX(Invoices!$B$6:$B$305,SUMIFS(Invoices!$O$6:$O$305,Invoices!$C$6:$C$305,C1683,Invoices!$E$6:$E$305,"&lt;="&amp;B1683,Invoices!$F$6:$F$305,"&gt;="&amp;B1683)),IF(COUNTIFS(Invoices!$C$6:$C$305,C1683,Invoices!$E$6:$E$305,"&lt;="&amp;B1683,Invoices!$F$6:$F$305,"&gt;="&amp;B1683)&gt;1,"Two invoices",""))))</f>
        <v/>
      </c>
      <c r="Q1683" s="15">
        <f>IF(B1683="","",IF(J1683&lt;&gt;"","Not billable",IF(P1683="","To invoice",IF(P1683="Two invoices","Check dates",IF(ISNA(MATCH(P1683,Invoices!$B$6:$B$305,0)),"Check number",IF(INDEX(Invoices!$M$6:$M$305,MATCH(P1683,Invoices!$B$6:$B$305,0))="Paid","Paid",IF(INDEX(Invoices!$M$6:$M$305,MATCH(P1683,Invoices!$B$6:$B$305,0))="Draft","Draft","Invoiced")))))))</f>
        <v/>
      </c>
      <c r="R1683" s="1">
        <f>IF(AND(B1683&lt;&gt;"",P1683&lt;&gt;"",P1683=Invoice!$G$4),B1683+MOD(N(F1683),1)+ROW()/10000000,"")</f>
        <v/>
      </c>
      <c r="S1683">
        <f>IF(R1683="","",IF(D1683="","Other work",D1683)&amp;IF(AND(K1683&lt;&gt;"",E1683&lt;&gt;""),", "&amp;E1683,""))</f>
        <v/>
      </c>
      <c r="T1683">
        <f>IF(R1683="","",IF(COUNTIFS(R$6:R1682,"&gt;0",S$6:S1682,S1683,N$6:N1682,N1683)=0,R1683,""))</f>
        <v/>
      </c>
      <c r="U1683">
        <f>IF(B1683="","",IF(J1683&lt;&gt;"",0,M1683))</f>
        <v/>
      </c>
    </row>
    <row r="1684">
      <c r="A1684" s="1" t="n"/>
      <c r="B1684" s="16" t="n"/>
      <c r="C1684" s="17" t="n"/>
      <c r="D1684" s="18" t="n"/>
      <c r="E1684" s="18" t="n"/>
      <c r="F1684" s="19" t="n"/>
      <c r="G1684" s="19" t="n"/>
      <c r="H1684" s="20" t="n"/>
      <c r="I1684" s="21" t="n"/>
      <c r="J1684" s="22" t="n"/>
      <c r="K1684" s="23" t="n"/>
      <c r="L1684" s="18" t="n"/>
      <c r="M1684" s="24">
        <f>IF(B1684="","",IF(AND(F1684&lt;&gt;"",G1684&lt;&gt;""),MAX(0,ROUND(MOD(G1684-F1684,1)*24-N(H1684)/60,2)),N(I1684)))</f>
        <v/>
      </c>
      <c r="N1684" s="14">
        <f>IF(B1684="","",IF(K1684&lt;&gt;"",K1684,IF(N(IFERROR(INDEX(Projects!$D$6:$D$65,MATCH(D1684,Projects!$B$6:$B$65,0)),""))&gt;0,IFERROR(INDEX(Projects!$D$6:$D$65,MATCH(D1684,Projects!$B$6:$B$65,0)),""),IFERROR(INDEX(Clients!$G$6:$G$45,MATCH(C1684,Clients!$B$6:$B$45,0)),0))))</f>
        <v/>
      </c>
      <c r="O1684" s="14">
        <f>IF(B1684="","",IF(J1684&lt;&gt;"",0,ROUND(M1684*N1684,2)))</f>
        <v/>
      </c>
      <c r="P1684" s="15">
        <f>IF(OR(B1684="",J1684&lt;&gt;""),"",IF(L1684&lt;&gt;"",L1684,IF(COUNTIFS(Invoices!$C$6:$C$305,C1684,Invoices!$E$6:$E$305,"&lt;="&amp;B1684,Invoices!$F$6:$F$305,"&gt;="&amp;B1684)=1,INDEX(Invoices!$B$6:$B$305,SUMIFS(Invoices!$O$6:$O$305,Invoices!$C$6:$C$305,C1684,Invoices!$E$6:$E$305,"&lt;="&amp;B1684,Invoices!$F$6:$F$305,"&gt;="&amp;B1684)),IF(COUNTIFS(Invoices!$C$6:$C$305,C1684,Invoices!$E$6:$E$305,"&lt;="&amp;B1684,Invoices!$F$6:$F$305,"&gt;="&amp;B1684)&gt;1,"Two invoices",""))))</f>
        <v/>
      </c>
      <c r="Q1684" s="15">
        <f>IF(B1684="","",IF(J1684&lt;&gt;"","Not billable",IF(P1684="","To invoice",IF(P1684="Two invoices","Check dates",IF(ISNA(MATCH(P1684,Invoices!$B$6:$B$305,0)),"Check number",IF(INDEX(Invoices!$M$6:$M$305,MATCH(P1684,Invoices!$B$6:$B$305,0))="Paid","Paid",IF(INDEX(Invoices!$M$6:$M$305,MATCH(P1684,Invoices!$B$6:$B$305,0))="Draft","Draft","Invoiced")))))))</f>
        <v/>
      </c>
      <c r="R1684" s="1">
        <f>IF(AND(B1684&lt;&gt;"",P1684&lt;&gt;"",P1684=Invoice!$G$4),B1684+MOD(N(F1684),1)+ROW()/10000000,"")</f>
        <v/>
      </c>
      <c r="S1684">
        <f>IF(R1684="","",IF(D1684="","Other work",D1684)&amp;IF(AND(K1684&lt;&gt;"",E1684&lt;&gt;""),", "&amp;E1684,""))</f>
        <v/>
      </c>
      <c r="T1684">
        <f>IF(R1684="","",IF(COUNTIFS(R$6:R1683,"&gt;0",S$6:S1683,S1684,N$6:N1683,N1684)=0,R1684,""))</f>
        <v/>
      </c>
      <c r="U1684">
        <f>IF(B1684="","",IF(J1684&lt;&gt;"",0,M1684))</f>
        <v/>
      </c>
    </row>
    <row r="1685">
      <c r="A1685" s="1" t="n"/>
      <c r="B1685" s="16" t="n"/>
      <c r="C1685" s="17" t="n"/>
      <c r="D1685" s="18" t="n"/>
      <c r="E1685" s="18" t="n"/>
      <c r="F1685" s="19" t="n"/>
      <c r="G1685" s="19" t="n"/>
      <c r="H1685" s="20" t="n"/>
      <c r="I1685" s="21" t="n"/>
      <c r="J1685" s="22" t="n"/>
      <c r="K1685" s="23" t="n"/>
      <c r="L1685" s="18" t="n"/>
      <c r="M1685" s="24">
        <f>IF(B1685="","",IF(AND(F1685&lt;&gt;"",G1685&lt;&gt;""),MAX(0,ROUND(MOD(G1685-F1685,1)*24-N(H1685)/60,2)),N(I1685)))</f>
        <v/>
      </c>
      <c r="N1685" s="14">
        <f>IF(B1685="","",IF(K1685&lt;&gt;"",K1685,IF(N(IFERROR(INDEX(Projects!$D$6:$D$65,MATCH(D1685,Projects!$B$6:$B$65,0)),""))&gt;0,IFERROR(INDEX(Projects!$D$6:$D$65,MATCH(D1685,Projects!$B$6:$B$65,0)),""),IFERROR(INDEX(Clients!$G$6:$G$45,MATCH(C1685,Clients!$B$6:$B$45,0)),0))))</f>
        <v/>
      </c>
      <c r="O1685" s="14">
        <f>IF(B1685="","",IF(J1685&lt;&gt;"",0,ROUND(M1685*N1685,2)))</f>
        <v/>
      </c>
      <c r="P1685" s="15">
        <f>IF(OR(B1685="",J1685&lt;&gt;""),"",IF(L1685&lt;&gt;"",L1685,IF(COUNTIFS(Invoices!$C$6:$C$305,C1685,Invoices!$E$6:$E$305,"&lt;="&amp;B1685,Invoices!$F$6:$F$305,"&gt;="&amp;B1685)=1,INDEX(Invoices!$B$6:$B$305,SUMIFS(Invoices!$O$6:$O$305,Invoices!$C$6:$C$305,C1685,Invoices!$E$6:$E$305,"&lt;="&amp;B1685,Invoices!$F$6:$F$305,"&gt;="&amp;B1685)),IF(COUNTIFS(Invoices!$C$6:$C$305,C1685,Invoices!$E$6:$E$305,"&lt;="&amp;B1685,Invoices!$F$6:$F$305,"&gt;="&amp;B1685)&gt;1,"Two invoices",""))))</f>
        <v/>
      </c>
      <c r="Q1685" s="15">
        <f>IF(B1685="","",IF(J1685&lt;&gt;"","Not billable",IF(P1685="","To invoice",IF(P1685="Two invoices","Check dates",IF(ISNA(MATCH(P1685,Invoices!$B$6:$B$305,0)),"Check number",IF(INDEX(Invoices!$M$6:$M$305,MATCH(P1685,Invoices!$B$6:$B$305,0))="Paid","Paid",IF(INDEX(Invoices!$M$6:$M$305,MATCH(P1685,Invoices!$B$6:$B$305,0))="Draft","Draft","Invoiced")))))))</f>
        <v/>
      </c>
      <c r="R1685" s="1">
        <f>IF(AND(B1685&lt;&gt;"",P1685&lt;&gt;"",P1685=Invoice!$G$4),B1685+MOD(N(F1685),1)+ROW()/10000000,"")</f>
        <v/>
      </c>
      <c r="S1685">
        <f>IF(R1685="","",IF(D1685="","Other work",D1685)&amp;IF(AND(K1685&lt;&gt;"",E1685&lt;&gt;""),", "&amp;E1685,""))</f>
        <v/>
      </c>
      <c r="T1685">
        <f>IF(R1685="","",IF(COUNTIFS(R$6:R1684,"&gt;0",S$6:S1684,S1685,N$6:N1684,N1685)=0,R1685,""))</f>
        <v/>
      </c>
      <c r="U1685">
        <f>IF(B1685="","",IF(J1685&lt;&gt;"",0,M1685))</f>
        <v/>
      </c>
    </row>
    <row r="1686">
      <c r="A1686" s="1" t="n"/>
      <c r="B1686" s="16" t="n"/>
      <c r="C1686" s="17" t="n"/>
      <c r="D1686" s="18" t="n"/>
      <c r="E1686" s="18" t="n"/>
      <c r="F1686" s="19" t="n"/>
      <c r="G1686" s="19" t="n"/>
      <c r="H1686" s="20" t="n"/>
      <c r="I1686" s="21" t="n"/>
      <c r="J1686" s="22" t="n"/>
      <c r="K1686" s="23" t="n"/>
      <c r="L1686" s="18" t="n"/>
      <c r="M1686" s="24">
        <f>IF(B1686="","",IF(AND(F1686&lt;&gt;"",G1686&lt;&gt;""),MAX(0,ROUND(MOD(G1686-F1686,1)*24-N(H1686)/60,2)),N(I1686)))</f>
        <v/>
      </c>
      <c r="N1686" s="14">
        <f>IF(B1686="","",IF(K1686&lt;&gt;"",K1686,IF(N(IFERROR(INDEX(Projects!$D$6:$D$65,MATCH(D1686,Projects!$B$6:$B$65,0)),""))&gt;0,IFERROR(INDEX(Projects!$D$6:$D$65,MATCH(D1686,Projects!$B$6:$B$65,0)),""),IFERROR(INDEX(Clients!$G$6:$G$45,MATCH(C1686,Clients!$B$6:$B$45,0)),0))))</f>
        <v/>
      </c>
      <c r="O1686" s="14">
        <f>IF(B1686="","",IF(J1686&lt;&gt;"",0,ROUND(M1686*N1686,2)))</f>
        <v/>
      </c>
      <c r="P1686" s="15">
        <f>IF(OR(B1686="",J1686&lt;&gt;""),"",IF(L1686&lt;&gt;"",L1686,IF(COUNTIFS(Invoices!$C$6:$C$305,C1686,Invoices!$E$6:$E$305,"&lt;="&amp;B1686,Invoices!$F$6:$F$305,"&gt;="&amp;B1686)=1,INDEX(Invoices!$B$6:$B$305,SUMIFS(Invoices!$O$6:$O$305,Invoices!$C$6:$C$305,C1686,Invoices!$E$6:$E$305,"&lt;="&amp;B1686,Invoices!$F$6:$F$305,"&gt;="&amp;B1686)),IF(COUNTIFS(Invoices!$C$6:$C$305,C1686,Invoices!$E$6:$E$305,"&lt;="&amp;B1686,Invoices!$F$6:$F$305,"&gt;="&amp;B1686)&gt;1,"Two invoices",""))))</f>
        <v/>
      </c>
      <c r="Q1686" s="15">
        <f>IF(B1686="","",IF(J1686&lt;&gt;"","Not billable",IF(P1686="","To invoice",IF(P1686="Two invoices","Check dates",IF(ISNA(MATCH(P1686,Invoices!$B$6:$B$305,0)),"Check number",IF(INDEX(Invoices!$M$6:$M$305,MATCH(P1686,Invoices!$B$6:$B$305,0))="Paid","Paid",IF(INDEX(Invoices!$M$6:$M$305,MATCH(P1686,Invoices!$B$6:$B$305,0))="Draft","Draft","Invoiced")))))))</f>
        <v/>
      </c>
      <c r="R1686" s="1">
        <f>IF(AND(B1686&lt;&gt;"",P1686&lt;&gt;"",P1686=Invoice!$G$4),B1686+MOD(N(F1686),1)+ROW()/10000000,"")</f>
        <v/>
      </c>
      <c r="S1686">
        <f>IF(R1686="","",IF(D1686="","Other work",D1686)&amp;IF(AND(K1686&lt;&gt;"",E1686&lt;&gt;""),", "&amp;E1686,""))</f>
        <v/>
      </c>
      <c r="T1686">
        <f>IF(R1686="","",IF(COUNTIFS(R$6:R1685,"&gt;0",S$6:S1685,S1686,N$6:N1685,N1686)=0,R1686,""))</f>
        <v/>
      </c>
      <c r="U1686">
        <f>IF(B1686="","",IF(J1686&lt;&gt;"",0,M1686))</f>
        <v/>
      </c>
    </row>
    <row r="1687">
      <c r="A1687" s="1" t="n"/>
      <c r="B1687" s="16" t="n"/>
      <c r="C1687" s="17" t="n"/>
      <c r="D1687" s="18" t="n"/>
      <c r="E1687" s="18" t="n"/>
      <c r="F1687" s="19" t="n"/>
      <c r="G1687" s="19" t="n"/>
      <c r="H1687" s="20" t="n"/>
      <c r="I1687" s="21" t="n"/>
      <c r="J1687" s="22" t="n"/>
      <c r="K1687" s="23" t="n"/>
      <c r="L1687" s="18" t="n"/>
      <c r="M1687" s="24">
        <f>IF(B1687="","",IF(AND(F1687&lt;&gt;"",G1687&lt;&gt;""),MAX(0,ROUND(MOD(G1687-F1687,1)*24-N(H1687)/60,2)),N(I1687)))</f>
        <v/>
      </c>
      <c r="N1687" s="14">
        <f>IF(B1687="","",IF(K1687&lt;&gt;"",K1687,IF(N(IFERROR(INDEX(Projects!$D$6:$D$65,MATCH(D1687,Projects!$B$6:$B$65,0)),""))&gt;0,IFERROR(INDEX(Projects!$D$6:$D$65,MATCH(D1687,Projects!$B$6:$B$65,0)),""),IFERROR(INDEX(Clients!$G$6:$G$45,MATCH(C1687,Clients!$B$6:$B$45,0)),0))))</f>
        <v/>
      </c>
      <c r="O1687" s="14">
        <f>IF(B1687="","",IF(J1687&lt;&gt;"",0,ROUND(M1687*N1687,2)))</f>
        <v/>
      </c>
      <c r="P1687" s="15">
        <f>IF(OR(B1687="",J1687&lt;&gt;""),"",IF(L1687&lt;&gt;"",L1687,IF(COUNTIFS(Invoices!$C$6:$C$305,C1687,Invoices!$E$6:$E$305,"&lt;="&amp;B1687,Invoices!$F$6:$F$305,"&gt;="&amp;B1687)=1,INDEX(Invoices!$B$6:$B$305,SUMIFS(Invoices!$O$6:$O$305,Invoices!$C$6:$C$305,C1687,Invoices!$E$6:$E$305,"&lt;="&amp;B1687,Invoices!$F$6:$F$305,"&gt;="&amp;B1687)),IF(COUNTIFS(Invoices!$C$6:$C$305,C1687,Invoices!$E$6:$E$305,"&lt;="&amp;B1687,Invoices!$F$6:$F$305,"&gt;="&amp;B1687)&gt;1,"Two invoices",""))))</f>
        <v/>
      </c>
      <c r="Q1687" s="15">
        <f>IF(B1687="","",IF(J1687&lt;&gt;"","Not billable",IF(P1687="","To invoice",IF(P1687="Two invoices","Check dates",IF(ISNA(MATCH(P1687,Invoices!$B$6:$B$305,0)),"Check number",IF(INDEX(Invoices!$M$6:$M$305,MATCH(P1687,Invoices!$B$6:$B$305,0))="Paid","Paid",IF(INDEX(Invoices!$M$6:$M$305,MATCH(P1687,Invoices!$B$6:$B$305,0))="Draft","Draft","Invoiced")))))))</f>
        <v/>
      </c>
      <c r="R1687" s="1">
        <f>IF(AND(B1687&lt;&gt;"",P1687&lt;&gt;"",P1687=Invoice!$G$4),B1687+MOD(N(F1687),1)+ROW()/10000000,"")</f>
        <v/>
      </c>
      <c r="S1687">
        <f>IF(R1687="","",IF(D1687="","Other work",D1687)&amp;IF(AND(K1687&lt;&gt;"",E1687&lt;&gt;""),", "&amp;E1687,""))</f>
        <v/>
      </c>
      <c r="T1687">
        <f>IF(R1687="","",IF(COUNTIFS(R$6:R1686,"&gt;0",S$6:S1686,S1687,N$6:N1686,N1687)=0,R1687,""))</f>
        <v/>
      </c>
      <c r="U1687">
        <f>IF(B1687="","",IF(J1687&lt;&gt;"",0,M1687))</f>
        <v/>
      </c>
    </row>
    <row r="1688">
      <c r="A1688" s="1" t="n"/>
      <c r="B1688" s="16" t="n"/>
      <c r="C1688" s="17" t="n"/>
      <c r="D1688" s="18" t="n"/>
      <c r="E1688" s="18" t="n"/>
      <c r="F1688" s="19" t="n"/>
      <c r="G1688" s="19" t="n"/>
      <c r="H1688" s="20" t="n"/>
      <c r="I1688" s="21" t="n"/>
      <c r="J1688" s="22" t="n"/>
      <c r="K1688" s="23" t="n"/>
      <c r="L1688" s="18" t="n"/>
      <c r="M1688" s="24">
        <f>IF(B1688="","",IF(AND(F1688&lt;&gt;"",G1688&lt;&gt;""),MAX(0,ROUND(MOD(G1688-F1688,1)*24-N(H1688)/60,2)),N(I1688)))</f>
        <v/>
      </c>
      <c r="N1688" s="14">
        <f>IF(B1688="","",IF(K1688&lt;&gt;"",K1688,IF(N(IFERROR(INDEX(Projects!$D$6:$D$65,MATCH(D1688,Projects!$B$6:$B$65,0)),""))&gt;0,IFERROR(INDEX(Projects!$D$6:$D$65,MATCH(D1688,Projects!$B$6:$B$65,0)),""),IFERROR(INDEX(Clients!$G$6:$G$45,MATCH(C1688,Clients!$B$6:$B$45,0)),0))))</f>
        <v/>
      </c>
      <c r="O1688" s="14">
        <f>IF(B1688="","",IF(J1688&lt;&gt;"",0,ROUND(M1688*N1688,2)))</f>
        <v/>
      </c>
      <c r="P1688" s="15">
        <f>IF(OR(B1688="",J1688&lt;&gt;""),"",IF(L1688&lt;&gt;"",L1688,IF(COUNTIFS(Invoices!$C$6:$C$305,C1688,Invoices!$E$6:$E$305,"&lt;="&amp;B1688,Invoices!$F$6:$F$305,"&gt;="&amp;B1688)=1,INDEX(Invoices!$B$6:$B$305,SUMIFS(Invoices!$O$6:$O$305,Invoices!$C$6:$C$305,C1688,Invoices!$E$6:$E$305,"&lt;="&amp;B1688,Invoices!$F$6:$F$305,"&gt;="&amp;B1688)),IF(COUNTIFS(Invoices!$C$6:$C$305,C1688,Invoices!$E$6:$E$305,"&lt;="&amp;B1688,Invoices!$F$6:$F$305,"&gt;="&amp;B1688)&gt;1,"Two invoices",""))))</f>
        <v/>
      </c>
      <c r="Q1688" s="15">
        <f>IF(B1688="","",IF(J1688&lt;&gt;"","Not billable",IF(P1688="","To invoice",IF(P1688="Two invoices","Check dates",IF(ISNA(MATCH(P1688,Invoices!$B$6:$B$305,0)),"Check number",IF(INDEX(Invoices!$M$6:$M$305,MATCH(P1688,Invoices!$B$6:$B$305,0))="Paid","Paid",IF(INDEX(Invoices!$M$6:$M$305,MATCH(P1688,Invoices!$B$6:$B$305,0))="Draft","Draft","Invoiced")))))))</f>
        <v/>
      </c>
      <c r="R1688" s="1">
        <f>IF(AND(B1688&lt;&gt;"",P1688&lt;&gt;"",P1688=Invoice!$G$4),B1688+MOD(N(F1688),1)+ROW()/10000000,"")</f>
        <v/>
      </c>
      <c r="S1688">
        <f>IF(R1688="","",IF(D1688="","Other work",D1688)&amp;IF(AND(K1688&lt;&gt;"",E1688&lt;&gt;""),", "&amp;E1688,""))</f>
        <v/>
      </c>
      <c r="T1688">
        <f>IF(R1688="","",IF(COUNTIFS(R$6:R1687,"&gt;0",S$6:S1687,S1688,N$6:N1687,N1688)=0,R1688,""))</f>
        <v/>
      </c>
      <c r="U1688">
        <f>IF(B1688="","",IF(J1688&lt;&gt;"",0,M1688))</f>
        <v/>
      </c>
    </row>
    <row r="1689">
      <c r="A1689" s="1" t="n"/>
      <c r="B1689" s="16" t="n"/>
      <c r="C1689" s="17" t="n"/>
      <c r="D1689" s="18" t="n"/>
      <c r="E1689" s="18" t="n"/>
      <c r="F1689" s="19" t="n"/>
      <c r="G1689" s="19" t="n"/>
      <c r="H1689" s="20" t="n"/>
      <c r="I1689" s="21" t="n"/>
      <c r="J1689" s="22" t="n"/>
      <c r="K1689" s="23" t="n"/>
      <c r="L1689" s="18" t="n"/>
      <c r="M1689" s="24">
        <f>IF(B1689="","",IF(AND(F1689&lt;&gt;"",G1689&lt;&gt;""),MAX(0,ROUND(MOD(G1689-F1689,1)*24-N(H1689)/60,2)),N(I1689)))</f>
        <v/>
      </c>
      <c r="N1689" s="14">
        <f>IF(B1689="","",IF(K1689&lt;&gt;"",K1689,IF(N(IFERROR(INDEX(Projects!$D$6:$D$65,MATCH(D1689,Projects!$B$6:$B$65,0)),""))&gt;0,IFERROR(INDEX(Projects!$D$6:$D$65,MATCH(D1689,Projects!$B$6:$B$65,0)),""),IFERROR(INDEX(Clients!$G$6:$G$45,MATCH(C1689,Clients!$B$6:$B$45,0)),0))))</f>
        <v/>
      </c>
      <c r="O1689" s="14">
        <f>IF(B1689="","",IF(J1689&lt;&gt;"",0,ROUND(M1689*N1689,2)))</f>
        <v/>
      </c>
      <c r="P1689" s="15">
        <f>IF(OR(B1689="",J1689&lt;&gt;""),"",IF(L1689&lt;&gt;"",L1689,IF(COUNTIFS(Invoices!$C$6:$C$305,C1689,Invoices!$E$6:$E$305,"&lt;="&amp;B1689,Invoices!$F$6:$F$305,"&gt;="&amp;B1689)=1,INDEX(Invoices!$B$6:$B$305,SUMIFS(Invoices!$O$6:$O$305,Invoices!$C$6:$C$305,C1689,Invoices!$E$6:$E$305,"&lt;="&amp;B1689,Invoices!$F$6:$F$305,"&gt;="&amp;B1689)),IF(COUNTIFS(Invoices!$C$6:$C$305,C1689,Invoices!$E$6:$E$305,"&lt;="&amp;B1689,Invoices!$F$6:$F$305,"&gt;="&amp;B1689)&gt;1,"Two invoices",""))))</f>
        <v/>
      </c>
      <c r="Q1689" s="15">
        <f>IF(B1689="","",IF(J1689&lt;&gt;"","Not billable",IF(P1689="","To invoice",IF(P1689="Two invoices","Check dates",IF(ISNA(MATCH(P1689,Invoices!$B$6:$B$305,0)),"Check number",IF(INDEX(Invoices!$M$6:$M$305,MATCH(P1689,Invoices!$B$6:$B$305,0))="Paid","Paid",IF(INDEX(Invoices!$M$6:$M$305,MATCH(P1689,Invoices!$B$6:$B$305,0))="Draft","Draft","Invoiced")))))))</f>
        <v/>
      </c>
      <c r="R1689" s="1">
        <f>IF(AND(B1689&lt;&gt;"",P1689&lt;&gt;"",P1689=Invoice!$G$4),B1689+MOD(N(F1689),1)+ROW()/10000000,"")</f>
        <v/>
      </c>
      <c r="S1689">
        <f>IF(R1689="","",IF(D1689="","Other work",D1689)&amp;IF(AND(K1689&lt;&gt;"",E1689&lt;&gt;""),", "&amp;E1689,""))</f>
        <v/>
      </c>
      <c r="T1689">
        <f>IF(R1689="","",IF(COUNTIFS(R$6:R1688,"&gt;0",S$6:S1688,S1689,N$6:N1688,N1689)=0,R1689,""))</f>
        <v/>
      </c>
      <c r="U1689">
        <f>IF(B1689="","",IF(J1689&lt;&gt;"",0,M1689))</f>
        <v/>
      </c>
    </row>
    <row r="1690">
      <c r="A1690" s="1" t="n"/>
      <c r="B1690" s="16" t="n"/>
      <c r="C1690" s="17" t="n"/>
      <c r="D1690" s="18" t="n"/>
      <c r="E1690" s="18" t="n"/>
      <c r="F1690" s="19" t="n"/>
      <c r="G1690" s="19" t="n"/>
      <c r="H1690" s="20" t="n"/>
      <c r="I1690" s="21" t="n"/>
      <c r="J1690" s="22" t="n"/>
      <c r="K1690" s="23" t="n"/>
      <c r="L1690" s="18" t="n"/>
      <c r="M1690" s="24">
        <f>IF(B1690="","",IF(AND(F1690&lt;&gt;"",G1690&lt;&gt;""),MAX(0,ROUND(MOD(G1690-F1690,1)*24-N(H1690)/60,2)),N(I1690)))</f>
        <v/>
      </c>
      <c r="N1690" s="14">
        <f>IF(B1690="","",IF(K1690&lt;&gt;"",K1690,IF(N(IFERROR(INDEX(Projects!$D$6:$D$65,MATCH(D1690,Projects!$B$6:$B$65,0)),""))&gt;0,IFERROR(INDEX(Projects!$D$6:$D$65,MATCH(D1690,Projects!$B$6:$B$65,0)),""),IFERROR(INDEX(Clients!$G$6:$G$45,MATCH(C1690,Clients!$B$6:$B$45,0)),0))))</f>
        <v/>
      </c>
      <c r="O1690" s="14">
        <f>IF(B1690="","",IF(J1690&lt;&gt;"",0,ROUND(M1690*N1690,2)))</f>
        <v/>
      </c>
      <c r="P1690" s="15">
        <f>IF(OR(B1690="",J1690&lt;&gt;""),"",IF(L1690&lt;&gt;"",L1690,IF(COUNTIFS(Invoices!$C$6:$C$305,C1690,Invoices!$E$6:$E$305,"&lt;="&amp;B1690,Invoices!$F$6:$F$305,"&gt;="&amp;B1690)=1,INDEX(Invoices!$B$6:$B$305,SUMIFS(Invoices!$O$6:$O$305,Invoices!$C$6:$C$305,C1690,Invoices!$E$6:$E$305,"&lt;="&amp;B1690,Invoices!$F$6:$F$305,"&gt;="&amp;B1690)),IF(COUNTIFS(Invoices!$C$6:$C$305,C1690,Invoices!$E$6:$E$305,"&lt;="&amp;B1690,Invoices!$F$6:$F$305,"&gt;="&amp;B1690)&gt;1,"Two invoices",""))))</f>
        <v/>
      </c>
      <c r="Q1690" s="15">
        <f>IF(B1690="","",IF(J1690&lt;&gt;"","Not billable",IF(P1690="","To invoice",IF(P1690="Two invoices","Check dates",IF(ISNA(MATCH(P1690,Invoices!$B$6:$B$305,0)),"Check number",IF(INDEX(Invoices!$M$6:$M$305,MATCH(P1690,Invoices!$B$6:$B$305,0))="Paid","Paid",IF(INDEX(Invoices!$M$6:$M$305,MATCH(P1690,Invoices!$B$6:$B$305,0))="Draft","Draft","Invoiced")))))))</f>
        <v/>
      </c>
      <c r="R1690" s="1">
        <f>IF(AND(B1690&lt;&gt;"",P1690&lt;&gt;"",P1690=Invoice!$G$4),B1690+MOD(N(F1690),1)+ROW()/10000000,"")</f>
        <v/>
      </c>
      <c r="S1690">
        <f>IF(R1690="","",IF(D1690="","Other work",D1690)&amp;IF(AND(K1690&lt;&gt;"",E1690&lt;&gt;""),", "&amp;E1690,""))</f>
        <v/>
      </c>
      <c r="T1690">
        <f>IF(R1690="","",IF(COUNTIFS(R$6:R1689,"&gt;0",S$6:S1689,S1690,N$6:N1689,N1690)=0,R1690,""))</f>
        <v/>
      </c>
      <c r="U1690">
        <f>IF(B1690="","",IF(J1690&lt;&gt;"",0,M1690))</f>
        <v/>
      </c>
    </row>
    <row r="1691">
      <c r="A1691" s="1" t="n"/>
      <c r="B1691" s="16" t="n"/>
      <c r="C1691" s="17" t="n"/>
      <c r="D1691" s="18" t="n"/>
      <c r="E1691" s="18" t="n"/>
      <c r="F1691" s="19" t="n"/>
      <c r="G1691" s="19" t="n"/>
      <c r="H1691" s="20" t="n"/>
      <c r="I1691" s="21" t="n"/>
      <c r="J1691" s="22" t="n"/>
      <c r="K1691" s="23" t="n"/>
      <c r="L1691" s="18" t="n"/>
      <c r="M1691" s="24">
        <f>IF(B1691="","",IF(AND(F1691&lt;&gt;"",G1691&lt;&gt;""),MAX(0,ROUND(MOD(G1691-F1691,1)*24-N(H1691)/60,2)),N(I1691)))</f>
        <v/>
      </c>
      <c r="N1691" s="14">
        <f>IF(B1691="","",IF(K1691&lt;&gt;"",K1691,IF(N(IFERROR(INDEX(Projects!$D$6:$D$65,MATCH(D1691,Projects!$B$6:$B$65,0)),""))&gt;0,IFERROR(INDEX(Projects!$D$6:$D$65,MATCH(D1691,Projects!$B$6:$B$65,0)),""),IFERROR(INDEX(Clients!$G$6:$G$45,MATCH(C1691,Clients!$B$6:$B$45,0)),0))))</f>
        <v/>
      </c>
      <c r="O1691" s="14">
        <f>IF(B1691="","",IF(J1691&lt;&gt;"",0,ROUND(M1691*N1691,2)))</f>
        <v/>
      </c>
      <c r="P1691" s="15">
        <f>IF(OR(B1691="",J1691&lt;&gt;""),"",IF(L1691&lt;&gt;"",L1691,IF(COUNTIFS(Invoices!$C$6:$C$305,C1691,Invoices!$E$6:$E$305,"&lt;="&amp;B1691,Invoices!$F$6:$F$305,"&gt;="&amp;B1691)=1,INDEX(Invoices!$B$6:$B$305,SUMIFS(Invoices!$O$6:$O$305,Invoices!$C$6:$C$305,C1691,Invoices!$E$6:$E$305,"&lt;="&amp;B1691,Invoices!$F$6:$F$305,"&gt;="&amp;B1691)),IF(COUNTIFS(Invoices!$C$6:$C$305,C1691,Invoices!$E$6:$E$305,"&lt;="&amp;B1691,Invoices!$F$6:$F$305,"&gt;="&amp;B1691)&gt;1,"Two invoices",""))))</f>
        <v/>
      </c>
      <c r="Q1691" s="15">
        <f>IF(B1691="","",IF(J1691&lt;&gt;"","Not billable",IF(P1691="","To invoice",IF(P1691="Two invoices","Check dates",IF(ISNA(MATCH(P1691,Invoices!$B$6:$B$305,0)),"Check number",IF(INDEX(Invoices!$M$6:$M$305,MATCH(P1691,Invoices!$B$6:$B$305,0))="Paid","Paid",IF(INDEX(Invoices!$M$6:$M$305,MATCH(P1691,Invoices!$B$6:$B$305,0))="Draft","Draft","Invoiced")))))))</f>
        <v/>
      </c>
      <c r="R1691" s="1">
        <f>IF(AND(B1691&lt;&gt;"",P1691&lt;&gt;"",P1691=Invoice!$G$4),B1691+MOD(N(F1691),1)+ROW()/10000000,"")</f>
        <v/>
      </c>
      <c r="S1691">
        <f>IF(R1691="","",IF(D1691="","Other work",D1691)&amp;IF(AND(K1691&lt;&gt;"",E1691&lt;&gt;""),", "&amp;E1691,""))</f>
        <v/>
      </c>
      <c r="T1691">
        <f>IF(R1691="","",IF(COUNTIFS(R$6:R1690,"&gt;0",S$6:S1690,S1691,N$6:N1690,N1691)=0,R1691,""))</f>
        <v/>
      </c>
      <c r="U1691">
        <f>IF(B1691="","",IF(J1691&lt;&gt;"",0,M1691))</f>
        <v/>
      </c>
    </row>
    <row r="1692">
      <c r="A1692" s="1" t="n"/>
      <c r="B1692" s="16" t="n"/>
      <c r="C1692" s="17" t="n"/>
      <c r="D1692" s="18" t="n"/>
      <c r="E1692" s="18" t="n"/>
      <c r="F1692" s="19" t="n"/>
      <c r="G1692" s="19" t="n"/>
      <c r="H1692" s="20" t="n"/>
      <c r="I1692" s="21" t="n"/>
      <c r="J1692" s="22" t="n"/>
      <c r="K1692" s="23" t="n"/>
      <c r="L1692" s="18" t="n"/>
      <c r="M1692" s="24">
        <f>IF(B1692="","",IF(AND(F1692&lt;&gt;"",G1692&lt;&gt;""),MAX(0,ROUND(MOD(G1692-F1692,1)*24-N(H1692)/60,2)),N(I1692)))</f>
        <v/>
      </c>
      <c r="N1692" s="14">
        <f>IF(B1692="","",IF(K1692&lt;&gt;"",K1692,IF(N(IFERROR(INDEX(Projects!$D$6:$D$65,MATCH(D1692,Projects!$B$6:$B$65,0)),""))&gt;0,IFERROR(INDEX(Projects!$D$6:$D$65,MATCH(D1692,Projects!$B$6:$B$65,0)),""),IFERROR(INDEX(Clients!$G$6:$G$45,MATCH(C1692,Clients!$B$6:$B$45,0)),0))))</f>
        <v/>
      </c>
      <c r="O1692" s="14">
        <f>IF(B1692="","",IF(J1692&lt;&gt;"",0,ROUND(M1692*N1692,2)))</f>
        <v/>
      </c>
      <c r="P1692" s="15">
        <f>IF(OR(B1692="",J1692&lt;&gt;""),"",IF(L1692&lt;&gt;"",L1692,IF(COUNTIFS(Invoices!$C$6:$C$305,C1692,Invoices!$E$6:$E$305,"&lt;="&amp;B1692,Invoices!$F$6:$F$305,"&gt;="&amp;B1692)=1,INDEX(Invoices!$B$6:$B$305,SUMIFS(Invoices!$O$6:$O$305,Invoices!$C$6:$C$305,C1692,Invoices!$E$6:$E$305,"&lt;="&amp;B1692,Invoices!$F$6:$F$305,"&gt;="&amp;B1692)),IF(COUNTIFS(Invoices!$C$6:$C$305,C1692,Invoices!$E$6:$E$305,"&lt;="&amp;B1692,Invoices!$F$6:$F$305,"&gt;="&amp;B1692)&gt;1,"Two invoices",""))))</f>
        <v/>
      </c>
      <c r="Q1692" s="15">
        <f>IF(B1692="","",IF(J1692&lt;&gt;"","Not billable",IF(P1692="","To invoice",IF(P1692="Two invoices","Check dates",IF(ISNA(MATCH(P1692,Invoices!$B$6:$B$305,0)),"Check number",IF(INDEX(Invoices!$M$6:$M$305,MATCH(P1692,Invoices!$B$6:$B$305,0))="Paid","Paid",IF(INDEX(Invoices!$M$6:$M$305,MATCH(P1692,Invoices!$B$6:$B$305,0))="Draft","Draft","Invoiced")))))))</f>
        <v/>
      </c>
      <c r="R1692" s="1">
        <f>IF(AND(B1692&lt;&gt;"",P1692&lt;&gt;"",P1692=Invoice!$G$4),B1692+MOD(N(F1692),1)+ROW()/10000000,"")</f>
        <v/>
      </c>
      <c r="S1692">
        <f>IF(R1692="","",IF(D1692="","Other work",D1692)&amp;IF(AND(K1692&lt;&gt;"",E1692&lt;&gt;""),", "&amp;E1692,""))</f>
        <v/>
      </c>
      <c r="T1692">
        <f>IF(R1692="","",IF(COUNTIFS(R$6:R1691,"&gt;0",S$6:S1691,S1692,N$6:N1691,N1692)=0,R1692,""))</f>
        <v/>
      </c>
      <c r="U1692">
        <f>IF(B1692="","",IF(J1692&lt;&gt;"",0,M1692))</f>
        <v/>
      </c>
    </row>
    <row r="1693">
      <c r="A1693" s="1" t="n"/>
      <c r="B1693" s="16" t="n"/>
      <c r="C1693" s="17" t="n"/>
      <c r="D1693" s="18" t="n"/>
      <c r="E1693" s="18" t="n"/>
      <c r="F1693" s="19" t="n"/>
      <c r="G1693" s="19" t="n"/>
      <c r="H1693" s="20" t="n"/>
      <c r="I1693" s="21" t="n"/>
      <c r="J1693" s="22" t="n"/>
      <c r="K1693" s="23" t="n"/>
      <c r="L1693" s="18" t="n"/>
      <c r="M1693" s="24">
        <f>IF(B1693="","",IF(AND(F1693&lt;&gt;"",G1693&lt;&gt;""),MAX(0,ROUND(MOD(G1693-F1693,1)*24-N(H1693)/60,2)),N(I1693)))</f>
        <v/>
      </c>
      <c r="N1693" s="14">
        <f>IF(B1693="","",IF(K1693&lt;&gt;"",K1693,IF(N(IFERROR(INDEX(Projects!$D$6:$D$65,MATCH(D1693,Projects!$B$6:$B$65,0)),""))&gt;0,IFERROR(INDEX(Projects!$D$6:$D$65,MATCH(D1693,Projects!$B$6:$B$65,0)),""),IFERROR(INDEX(Clients!$G$6:$G$45,MATCH(C1693,Clients!$B$6:$B$45,0)),0))))</f>
        <v/>
      </c>
      <c r="O1693" s="14">
        <f>IF(B1693="","",IF(J1693&lt;&gt;"",0,ROUND(M1693*N1693,2)))</f>
        <v/>
      </c>
      <c r="P1693" s="15">
        <f>IF(OR(B1693="",J1693&lt;&gt;""),"",IF(L1693&lt;&gt;"",L1693,IF(COUNTIFS(Invoices!$C$6:$C$305,C1693,Invoices!$E$6:$E$305,"&lt;="&amp;B1693,Invoices!$F$6:$F$305,"&gt;="&amp;B1693)=1,INDEX(Invoices!$B$6:$B$305,SUMIFS(Invoices!$O$6:$O$305,Invoices!$C$6:$C$305,C1693,Invoices!$E$6:$E$305,"&lt;="&amp;B1693,Invoices!$F$6:$F$305,"&gt;="&amp;B1693)),IF(COUNTIFS(Invoices!$C$6:$C$305,C1693,Invoices!$E$6:$E$305,"&lt;="&amp;B1693,Invoices!$F$6:$F$305,"&gt;="&amp;B1693)&gt;1,"Two invoices",""))))</f>
        <v/>
      </c>
      <c r="Q1693" s="15">
        <f>IF(B1693="","",IF(J1693&lt;&gt;"","Not billable",IF(P1693="","To invoice",IF(P1693="Two invoices","Check dates",IF(ISNA(MATCH(P1693,Invoices!$B$6:$B$305,0)),"Check number",IF(INDEX(Invoices!$M$6:$M$305,MATCH(P1693,Invoices!$B$6:$B$305,0))="Paid","Paid",IF(INDEX(Invoices!$M$6:$M$305,MATCH(P1693,Invoices!$B$6:$B$305,0))="Draft","Draft","Invoiced")))))))</f>
        <v/>
      </c>
      <c r="R1693" s="1">
        <f>IF(AND(B1693&lt;&gt;"",P1693&lt;&gt;"",P1693=Invoice!$G$4),B1693+MOD(N(F1693),1)+ROW()/10000000,"")</f>
        <v/>
      </c>
      <c r="S1693">
        <f>IF(R1693="","",IF(D1693="","Other work",D1693)&amp;IF(AND(K1693&lt;&gt;"",E1693&lt;&gt;""),", "&amp;E1693,""))</f>
        <v/>
      </c>
      <c r="T1693">
        <f>IF(R1693="","",IF(COUNTIFS(R$6:R1692,"&gt;0",S$6:S1692,S1693,N$6:N1692,N1693)=0,R1693,""))</f>
        <v/>
      </c>
      <c r="U1693">
        <f>IF(B1693="","",IF(J1693&lt;&gt;"",0,M1693))</f>
        <v/>
      </c>
    </row>
    <row r="1694">
      <c r="A1694" s="1" t="n"/>
      <c r="B1694" s="16" t="n"/>
      <c r="C1694" s="17" t="n"/>
      <c r="D1694" s="18" t="n"/>
      <c r="E1694" s="18" t="n"/>
      <c r="F1694" s="19" t="n"/>
      <c r="G1694" s="19" t="n"/>
      <c r="H1694" s="20" t="n"/>
      <c r="I1694" s="21" t="n"/>
      <c r="J1694" s="22" t="n"/>
      <c r="K1694" s="23" t="n"/>
      <c r="L1694" s="18" t="n"/>
      <c r="M1694" s="24">
        <f>IF(B1694="","",IF(AND(F1694&lt;&gt;"",G1694&lt;&gt;""),MAX(0,ROUND(MOD(G1694-F1694,1)*24-N(H1694)/60,2)),N(I1694)))</f>
        <v/>
      </c>
      <c r="N1694" s="14">
        <f>IF(B1694="","",IF(K1694&lt;&gt;"",K1694,IF(N(IFERROR(INDEX(Projects!$D$6:$D$65,MATCH(D1694,Projects!$B$6:$B$65,0)),""))&gt;0,IFERROR(INDEX(Projects!$D$6:$D$65,MATCH(D1694,Projects!$B$6:$B$65,0)),""),IFERROR(INDEX(Clients!$G$6:$G$45,MATCH(C1694,Clients!$B$6:$B$45,0)),0))))</f>
        <v/>
      </c>
      <c r="O1694" s="14">
        <f>IF(B1694="","",IF(J1694&lt;&gt;"",0,ROUND(M1694*N1694,2)))</f>
        <v/>
      </c>
      <c r="P1694" s="15">
        <f>IF(OR(B1694="",J1694&lt;&gt;""),"",IF(L1694&lt;&gt;"",L1694,IF(COUNTIFS(Invoices!$C$6:$C$305,C1694,Invoices!$E$6:$E$305,"&lt;="&amp;B1694,Invoices!$F$6:$F$305,"&gt;="&amp;B1694)=1,INDEX(Invoices!$B$6:$B$305,SUMIFS(Invoices!$O$6:$O$305,Invoices!$C$6:$C$305,C1694,Invoices!$E$6:$E$305,"&lt;="&amp;B1694,Invoices!$F$6:$F$305,"&gt;="&amp;B1694)),IF(COUNTIFS(Invoices!$C$6:$C$305,C1694,Invoices!$E$6:$E$305,"&lt;="&amp;B1694,Invoices!$F$6:$F$305,"&gt;="&amp;B1694)&gt;1,"Two invoices",""))))</f>
        <v/>
      </c>
      <c r="Q1694" s="15">
        <f>IF(B1694="","",IF(J1694&lt;&gt;"","Not billable",IF(P1694="","To invoice",IF(P1694="Two invoices","Check dates",IF(ISNA(MATCH(P1694,Invoices!$B$6:$B$305,0)),"Check number",IF(INDEX(Invoices!$M$6:$M$305,MATCH(P1694,Invoices!$B$6:$B$305,0))="Paid","Paid",IF(INDEX(Invoices!$M$6:$M$305,MATCH(P1694,Invoices!$B$6:$B$305,0))="Draft","Draft","Invoiced")))))))</f>
        <v/>
      </c>
      <c r="R1694" s="1">
        <f>IF(AND(B1694&lt;&gt;"",P1694&lt;&gt;"",P1694=Invoice!$G$4),B1694+MOD(N(F1694),1)+ROW()/10000000,"")</f>
        <v/>
      </c>
      <c r="S1694">
        <f>IF(R1694="","",IF(D1694="","Other work",D1694)&amp;IF(AND(K1694&lt;&gt;"",E1694&lt;&gt;""),", "&amp;E1694,""))</f>
        <v/>
      </c>
      <c r="T1694">
        <f>IF(R1694="","",IF(COUNTIFS(R$6:R1693,"&gt;0",S$6:S1693,S1694,N$6:N1693,N1694)=0,R1694,""))</f>
        <v/>
      </c>
      <c r="U1694">
        <f>IF(B1694="","",IF(J1694&lt;&gt;"",0,M1694))</f>
        <v/>
      </c>
    </row>
    <row r="1695">
      <c r="A1695" s="1" t="n"/>
      <c r="B1695" s="16" t="n"/>
      <c r="C1695" s="17" t="n"/>
      <c r="D1695" s="18" t="n"/>
      <c r="E1695" s="18" t="n"/>
      <c r="F1695" s="19" t="n"/>
      <c r="G1695" s="19" t="n"/>
      <c r="H1695" s="20" t="n"/>
      <c r="I1695" s="21" t="n"/>
      <c r="J1695" s="22" t="n"/>
      <c r="K1695" s="23" t="n"/>
      <c r="L1695" s="18" t="n"/>
      <c r="M1695" s="24">
        <f>IF(B1695="","",IF(AND(F1695&lt;&gt;"",G1695&lt;&gt;""),MAX(0,ROUND(MOD(G1695-F1695,1)*24-N(H1695)/60,2)),N(I1695)))</f>
        <v/>
      </c>
      <c r="N1695" s="14">
        <f>IF(B1695="","",IF(K1695&lt;&gt;"",K1695,IF(N(IFERROR(INDEX(Projects!$D$6:$D$65,MATCH(D1695,Projects!$B$6:$B$65,0)),""))&gt;0,IFERROR(INDEX(Projects!$D$6:$D$65,MATCH(D1695,Projects!$B$6:$B$65,0)),""),IFERROR(INDEX(Clients!$G$6:$G$45,MATCH(C1695,Clients!$B$6:$B$45,0)),0))))</f>
        <v/>
      </c>
      <c r="O1695" s="14">
        <f>IF(B1695="","",IF(J1695&lt;&gt;"",0,ROUND(M1695*N1695,2)))</f>
        <v/>
      </c>
      <c r="P1695" s="15">
        <f>IF(OR(B1695="",J1695&lt;&gt;""),"",IF(L1695&lt;&gt;"",L1695,IF(COUNTIFS(Invoices!$C$6:$C$305,C1695,Invoices!$E$6:$E$305,"&lt;="&amp;B1695,Invoices!$F$6:$F$305,"&gt;="&amp;B1695)=1,INDEX(Invoices!$B$6:$B$305,SUMIFS(Invoices!$O$6:$O$305,Invoices!$C$6:$C$305,C1695,Invoices!$E$6:$E$305,"&lt;="&amp;B1695,Invoices!$F$6:$F$305,"&gt;="&amp;B1695)),IF(COUNTIFS(Invoices!$C$6:$C$305,C1695,Invoices!$E$6:$E$305,"&lt;="&amp;B1695,Invoices!$F$6:$F$305,"&gt;="&amp;B1695)&gt;1,"Two invoices",""))))</f>
        <v/>
      </c>
      <c r="Q1695" s="15">
        <f>IF(B1695="","",IF(J1695&lt;&gt;"","Not billable",IF(P1695="","To invoice",IF(P1695="Two invoices","Check dates",IF(ISNA(MATCH(P1695,Invoices!$B$6:$B$305,0)),"Check number",IF(INDEX(Invoices!$M$6:$M$305,MATCH(P1695,Invoices!$B$6:$B$305,0))="Paid","Paid",IF(INDEX(Invoices!$M$6:$M$305,MATCH(P1695,Invoices!$B$6:$B$305,0))="Draft","Draft","Invoiced")))))))</f>
        <v/>
      </c>
      <c r="R1695" s="1">
        <f>IF(AND(B1695&lt;&gt;"",P1695&lt;&gt;"",P1695=Invoice!$G$4),B1695+MOD(N(F1695),1)+ROW()/10000000,"")</f>
        <v/>
      </c>
      <c r="S1695">
        <f>IF(R1695="","",IF(D1695="","Other work",D1695)&amp;IF(AND(K1695&lt;&gt;"",E1695&lt;&gt;""),", "&amp;E1695,""))</f>
        <v/>
      </c>
      <c r="T1695">
        <f>IF(R1695="","",IF(COUNTIFS(R$6:R1694,"&gt;0",S$6:S1694,S1695,N$6:N1694,N1695)=0,R1695,""))</f>
        <v/>
      </c>
      <c r="U1695">
        <f>IF(B1695="","",IF(J1695&lt;&gt;"",0,M1695))</f>
        <v/>
      </c>
    </row>
    <row r="1696">
      <c r="A1696" s="1" t="n"/>
      <c r="B1696" s="16" t="n"/>
      <c r="C1696" s="17" t="n"/>
      <c r="D1696" s="18" t="n"/>
      <c r="E1696" s="18" t="n"/>
      <c r="F1696" s="19" t="n"/>
      <c r="G1696" s="19" t="n"/>
      <c r="H1696" s="20" t="n"/>
      <c r="I1696" s="21" t="n"/>
      <c r="J1696" s="22" t="n"/>
      <c r="K1696" s="23" t="n"/>
      <c r="L1696" s="18" t="n"/>
      <c r="M1696" s="24">
        <f>IF(B1696="","",IF(AND(F1696&lt;&gt;"",G1696&lt;&gt;""),MAX(0,ROUND(MOD(G1696-F1696,1)*24-N(H1696)/60,2)),N(I1696)))</f>
        <v/>
      </c>
      <c r="N1696" s="14">
        <f>IF(B1696="","",IF(K1696&lt;&gt;"",K1696,IF(N(IFERROR(INDEX(Projects!$D$6:$D$65,MATCH(D1696,Projects!$B$6:$B$65,0)),""))&gt;0,IFERROR(INDEX(Projects!$D$6:$D$65,MATCH(D1696,Projects!$B$6:$B$65,0)),""),IFERROR(INDEX(Clients!$G$6:$G$45,MATCH(C1696,Clients!$B$6:$B$45,0)),0))))</f>
        <v/>
      </c>
      <c r="O1696" s="14">
        <f>IF(B1696="","",IF(J1696&lt;&gt;"",0,ROUND(M1696*N1696,2)))</f>
        <v/>
      </c>
      <c r="P1696" s="15">
        <f>IF(OR(B1696="",J1696&lt;&gt;""),"",IF(L1696&lt;&gt;"",L1696,IF(COUNTIFS(Invoices!$C$6:$C$305,C1696,Invoices!$E$6:$E$305,"&lt;="&amp;B1696,Invoices!$F$6:$F$305,"&gt;="&amp;B1696)=1,INDEX(Invoices!$B$6:$B$305,SUMIFS(Invoices!$O$6:$O$305,Invoices!$C$6:$C$305,C1696,Invoices!$E$6:$E$305,"&lt;="&amp;B1696,Invoices!$F$6:$F$305,"&gt;="&amp;B1696)),IF(COUNTIFS(Invoices!$C$6:$C$305,C1696,Invoices!$E$6:$E$305,"&lt;="&amp;B1696,Invoices!$F$6:$F$305,"&gt;="&amp;B1696)&gt;1,"Two invoices",""))))</f>
        <v/>
      </c>
      <c r="Q1696" s="15">
        <f>IF(B1696="","",IF(J1696&lt;&gt;"","Not billable",IF(P1696="","To invoice",IF(P1696="Two invoices","Check dates",IF(ISNA(MATCH(P1696,Invoices!$B$6:$B$305,0)),"Check number",IF(INDEX(Invoices!$M$6:$M$305,MATCH(P1696,Invoices!$B$6:$B$305,0))="Paid","Paid",IF(INDEX(Invoices!$M$6:$M$305,MATCH(P1696,Invoices!$B$6:$B$305,0))="Draft","Draft","Invoiced")))))))</f>
        <v/>
      </c>
      <c r="R1696" s="1">
        <f>IF(AND(B1696&lt;&gt;"",P1696&lt;&gt;"",P1696=Invoice!$G$4),B1696+MOD(N(F1696),1)+ROW()/10000000,"")</f>
        <v/>
      </c>
      <c r="S1696">
        <f>IF(R1696="","",IF(D1696="","Other work",D1696)&amp;IF(AND(K1696&lt;&gt;"",E1696&lt;&gt;""),", "&amp;E1696,""))</f>
        <v/>
      </c>
      <c r="T1696">
        <f>IF(R1696="","",IF(COUNTIFS(R$6:R1695,"&gt;0",S$6:S1695,S1696,N$6:N1695,N1696)=0,R1696,""))</f>
        <v/>
      </c>
      <c r="U1696">
        <f>IF(B1696="","",IF(J1696&lt;&gt;"",0,M1696))</f>
        <v/>
      </c>
    </row>
    <row r="1697">
      <c r="A1697" s="1" t="n"/>
      <c r="B1697" s="16" t="n"/>
      <c r="C1697" s="17" t="n"/>
      <c r="D1697" s="18" t="n"/>
      <c r="E1697" s="18" t="n"/>
      <c r="F1697" s="19" t="n"/>
      <c r="G1697" s="19" t="n"/>
      <c r="H1697" s="20" t="n"/>
      <c r="I1697" s="21" t="n"/>
      <c r="J1697" s="22" t="n"/>
      <c r="K1697" s="23" t="n"/>
      <c r="L1697" s="18" t="n"/>
      <c r="M1697" s="24">
        <f>IF(B1697="","",IF(AND(F1697&lt;&gt;"",G1697&lt;&gt;""),MAX(0,ROUND(MOD(G1697-F1697,1)*24-N(H1697)/60,2)),N(I1697)))</f>
        <v/>
      </c>
      <c r="N1697" s="14">
        <f>IF(B1697="","",IF(K1697&lt;&gt;"",K1697,IF(N(IFERROR(INDEX(Projects!$D$6:$D$65,MATCH(D1697,Projects!$B$6:$B$65,0)),""))&gt;0,IFERROR(INDEX(Projects!$D$6:$D$65,MATCH(D1697,Projects!$B$6:$B$65,0)),""),IFERROR(INDEX(Clients!$G$6:$G$45,MATCH(C1697,Clients!$B$6:$B$45,0)),0))))</f>
        <v/>
      </c>
      <c r="O1697" s="14">
        <f>IF(B1697="","",IF(J1697&lt;&gt;"",0,ROUND(M1697*N1697,2)))</f>
        <v/>
      </c>
      <c r="P1697" s="15">
        <f>IF(OR(B1697="",J1697&lt;&gt;""),"",IF(L1697&lt;&gt;"",L1697,IF(COUNTIFS(Invoices!$C$6:$C$305,C1697,Invoices!$E$6:$E$305,"&lt;="&amp;B1697,Invoices!$F$6:$F$305,"&gt;="&amp;B1697)=1,INDEX(Invoices!$B$6:$B$305,SUMIFS(Invoices!$O$6:$O$305,Invoices!$C$6:$C$305,C1697,Invoices!$E$6:$E$305,"&lt;="&amp;B1697,Invoices!$F$6:$F$305,"&gt;="&amp;B1697)),IF(COUNTIFS(Invoices!$C$6:$C$305,C1697,Invoices!$E$6:$E$305,"&lt;="&amp;B1697,Invoices!$F$6:$F$305,"&gt;="&amp;B1697)&gt;1,"Two invoices",""))))</f>
        <v/>
      </c>
      <c r="Q1697" s="15">
        <f>IF(B1697="","",IF(J1697&lt;&gt;"","Not billable",IF(P1697="","To invoice",IF(P1697="Two invoices","Check dates",IF(ISNA(MATCH(P1697,Invoices!$B$6:$B$305,0)),"Check number",IF(INDEX(Invoices!$M$6:$M$305,MATCH(P1697,Invoices!$B$6:$B$305,0))="Paid","Paid",IF(INDEX(Invoices!$M$6:$M$305,MATCH(P1697,Invoices!$B$6:$B$305,0))="Draft","Draft","Invoiced")))))))</f>
        <v/>
      </c>
      <c r="R1697" s="1">
        <f>IF(AND(B1697&lt;&gt;"",P1697&lt;&gt;"",P1697=Invoice!$G$4),B1697+MOD(N(F1697),1)+ROW()/10000000,"")</f>
        <v/>
      </c>
      <c r="S1697">
        <f>IF(R1697="","",IF(D1697="","Other work",D1697)&amp;IF(AND(K1697&lt;&gt;"",E1697&lt;&gt;""),", "&amp;E1697,""))</f>
        <v/>
      </c>
      <c r="T1697">
        <f>IF(R1697="","",IF(COUNTIFS(R$6:R1696,"&gt;0",S$6:S1696,S1697,N$6:N1696,N1697)=0,R1697,""))</f>
        <v/>
      </c>
      <c r="U1697">
        <f>IF(B1697="","",IF(J1697&lt;&gt;"",0,M1697))</f>
        <v/>
      </c>
    </row>
    <row r="1698">
      <c r="A1698" s="1" t="n"/>
      <c r="B1698" s="16" t="n"/>
      <c r="C1698" s="17" t="n"/>
      <c r="D1698" s="18" t="n"/>
      <c r="E1698" s="18" t="n"/>
      <c r="F1698" s="19" t="n"/>
      <c r="G1698" s="19" t="n"/>
      <c r="H1698" s="20" t="n"/>
      <c r="I1698" s="21" t="n"/>
      <c r="J1698" s="22" t="n"/>
      <c r="K1698" s="23" t="n"/>
      <c r="L1698" s="18" t="n"/>
      <c r="M1698" s="24">
        <f>IF(B1698="","",IF(AND(F1698&lt;&gt;"",G1698&lt;&gt;""),MAX(0,ROUND(MOD(G1698-F1698,1)*24-N(H1698)/60,2)),N(I1698)))</f>
        <v/>
      </c>
      <c r="N1698" s="14">
        <f>IF(B1698="","",IF(K1698&lt;&gt;"",K1698,IF(N(IFERROR(INDEX(Projects!$D$6:$D$65,MATCH(D1698,Projects!$B$6:$B$65,0)),""))&gt;0,IFERROR(INDEX(Projects!$D$6:$D$65,MATCH(D1698,Projects!$B$6:$B$65,0)),""),IFERROR(INDEX(Clients!$G$6:$G$45,MATCH(C1698,Clients!$B$6:$B$45,0)),0))))</f>
        <v/>
      </c>
      <c r="O1698" s="14">
        <f>IF(B1698="","",IF(J1698&lt;&gt;"",0,ROUND(M1698*N1698,2)))</f>
        <v/>
      </c>
      <c r="P1698" s="15">
        <f>IF(OR(B1698="",J1698&lt;&gt;""),"",IF(L1698&lt;&gt;"",L1698,IF(COUNTIFS(Invoices!$C$6:$C$305,C1698,Invoices!$E$6:$E$305,"&lt;="&amp;B1698,Invoices!$F$6:$F$305,"&gt;="&amp;B1698)=1,INDEX(Invoices!$B$6:$B$305,SUMIFS(Invoices!$O$6:$O$305,Invoices!$C$6:$C$305,C1698,Invoices!$E$6:$E$305,"&lt;="&amp;B1698,Invoices!$F$6:$F$305,"&gt;="&amp;B1698)),IF(COUNTIFS(Invoices!$C$6:$C$305,C1698,Invoices!$E$6:$E$305,"&lt;="&amp;B1698,Invoices!$F$6:$F$305,"&gt;="&amp;B1698)&gt;1,"Two invoices",""))))</f>
        <v/>
      </c>
      <c r="Q1698" s="15">
        <f>IF(B1698="","",IF(J1698&lt;&gt;"","Not billable",IF(P1698="","To invoice",IF(P1698="Two invoices","Check dates",IF(ISNA(MATCH(P1698,Invoices!$B$6:$B$305,0)),"Check number",IF(INDEX(Invoices!$M$6:$M$305,MATCH(P1698,Invoices!$B$6:$B$305,0))="Paid","Paid",IF(INDEX(Invoices!$M$6:$M$305,MATCH(P1698,Invoices!$B$6:$B$305,0))="Draft","Draft","Invoiced")))))))</f>
        <v/>
      </c>
      <c r="R1698" s="1">
        <f>IF(AND(B1698&lt;&gt;"",P1698&lt;&gt;"",P1698=Invoice!$G$4),B1698+MOD(N(F1698),1)+ROW()/10000000,"")</f>
        <v/>
      </c>
      <c r="S1698">
        <f>IF(R1698="","",IF(D1698="","Other work",D1698)&amp;IF(AND(K1698&lt;&gt;"",E1698&lt;&gt;""),", "&amp;E1698,""))</f>
        <v/>
      </c>
      <c r="T1698">
        <f>IF(R1698="","",IF(COUNTIFS(R$6:R1697,"&gt;0",S$6:S1697,S1698,N$6:N1697,N1698)=0,R1698,""))</f>
        <v/>
      </c>
      <c r="U1698">
        <f>IF(B1698="","",IF(J1698&lt;&gt;"",0,M1698))</f>
        <v/>
      </c>
    </row>
    <row r="1699">
      <c r="A1699" s="1" t="n"/>
      <c r="B1699" s="16" t="n"/>
      <c r="C1699" s="17" t="n"/>
      <c r="D1699" s="18" t="n"/>
      <c r="E1699" s="18" t="n"/>
      <c r="F1699" s="19" t="n"/>
      <c r="G1699" s="19" t="n"/>
      <c r="H1699" s="20" t="n"/>
      <c r="I1699" s="21" t="n"/>
      <c r="J1699" s="22" t="n"/>
      <c r="K1699" s="23" t="n"/>
      <c r="L1699" s="18" t="n"/>
      <c r="M1699" s="24">
        <f>IF(B1699="","",IF(AND(F1699&lt;&gt;"",G1699&lt;&gt;""),MAX(0,ROUND(MOD(G1699-F1699,1)*24-N(H1699)/60,2)),N(I1699)))</f>
        <v/>
      </c>
      <c r="N1699" s="14">
        <f>IF(B1699="","",IF(K1699&lt;&gt;"",K1699,IF(N(IFERROR(INDEX(Projects!$D$6:$D$65,MATCH(D1699,Projects!$B$6:$B$65,0)),""))&gt;0,IFERROR(INDEX(Projects!$D$6:$D$65,MATCH(D1699,Projects!$B$6:$B$65,0)),""),IFERROR(INDEX(Clients!$G$6:$G$45,MATCH(C1699,Clients!$B$6:$B$45,0)),0))))</f>
        <v/>
      </c>
      <c r="O1699" s="14">
        <f>IF(B1699="","",IF(J1699&lt;&gt;"",0,ROUND(M1699*N1699,2)))</f>
        <v/>
      </c>
      <c r="P1699" s="15">
        <f>IF(OR(B1699="",J1699&lt;&gt;""),"",IF(L1699&lt;&gt;"",L1699,IF(COUNTIFS(Invoices!$C$6:$C$305,C1699,Invoices!$E$6:$E$305,"&lt;="&amp;B1699,Invoices!$F$6:$F$305,"&gt;="&amp;B1699)=1,INDEX(Invoices!$B$6:$B$305,SUMIFS(Invoices!$O$6:$O$305,Invoices!$C$6:$C$305,C1699,Invoices!$E$6:$E$305,"&lt;="&amp;B1699,Invoices!$F$6:$F$305,"&gt;="&amp;B1699)),IF(COUNTIFS(Invoices!$C$6:$C$305,C1699,Invoices!$E$6:$E$305,"&lt;="&amp;B1699,Invoices!$F$6:$F$305,"&gt;="&amp;B1699)&gt;1,"Two invoices",""))))</f>
        <v/>
      </c>
      <c r="Q1699" s="15">
        <f>IF(B1699="","",IF(J1699&lt;&gt;"","Not billable",IF(P1699="","To invoice",IF(P1699="Two invoices","Check dates",IF(ISNA(MATCH(P1699,Invoices!$B$6:$B$305,0)),"Check number",IF(INDEX(Invoices!$M$6:$M$305,MATCH(P1699,Invoices!$B$6:$B$305,0))="Paid","Paid",IF(INDEX(Invoices!$M$6:$M$305,MATCH(P1699,Invoices!$B$6:$B$305,0))="Draft","Draft","Invoiced")))))))</f>
        <v/>
      </c>
      <c r="R1699" s="1">
        <f>IF(AND(B1699&lt;&gt;"",P1699&lt;&gt;"",P1699=Invoice!$G$4),B1699+MOD(N(F1699),1)+ROW()/10000000,"")</f>
        <v/>
      </c>
      <c r="S1699">
        <f>IF(R1699="","",IF(D1699="","Other work",D1699)&amp;IF(AND(K1699&lt;&gt;"",E1699&lt;&gt;""),", "&amp;E1699,""))</f>
        <v/>
      </c>
      <c r="T1699">
        <f>IF(R1699="","",IF(COUNTIFS(R$6:R1698,"&gt;0",S$6:S1698,S1699,N$6:N1698,N1699)=0,R1699,""))</f>
        <v/>
      </c>
      <c r="U1699">
        <f>IF(B1699="","",IF(J1699&lt;&gt;"",0,M1699))</f>
        <v/>
      </c>
    </row>
    <row r="1700">
      <c r="A1700" s="1" t="n"/>
      <c r="B1700" s="16" t="n"/>
      <c r="C1700" s="17" t="n"/>
      <c r="D1700" s="18" t="n"/>
      <c r="E1700" s="18" t="n"/>
      <c r="F1700" s="19" t="n"/>
      <c r="G1700" s="19" t="n"/>
      <c r="H1700" s="20" t="n"/>
      <c r="I1700" s="21" t="n"/>
      <c r="J1700" s="22" t="n"/>
      <c r="K1700" s="23" t="n"/>
      <c r="L1700" s="18" t="n"/>
      <c r="M1700" s="24">
        <f>IF(B1700="","",IF(AND(F1700&lt;&gt;"",G1700&lt;&gt;""),MAX(0,ROUND(MOD(G1700-F1700,1)*24-N(H1700)/60,2)),N(I1700)))</f>
        <v/>
      </c>
      <c r="N1700" s="14">
        <f>IF(B1700="","",IF(K1700&lt;&gt;"",K1700,IF(N(IFERROR(INDEX(Projects!$D$6:$D$65,MATCH(D1700,Projects!$B$6:$B$65,0)),""))&gt;0,IFERROR(INDEX(Projects!$D$6:$D$65,MATCH(D1700,Projects!$B$6:$B$65,0)),""),IFERROR(INDEX(Clients!$G$6:$G$45,MATCH(C1700,Clients!$B$6:$B$45,0)),0))))</f>
        <v/>
      </c>
      <c r="O1700" s="14">
        <f>IF(B1700="","",IF(J1700&lt;&gt;"",0,ROUND(M1700*N1700,2)))</f>
        <v/>
      </c>
      <c r="P1700" s="15">
        <f>IF(OR(B1700="",J1700&lt;&gt;""),"",IF(L1700&lt;&gt;"",L1700,IF(COUNTIFS(Invoices!$C$6:$C$305,C1700,Invoices!$E$6:$E$305,"&lt;="&amp;B1700,Invoices!$F$6:$F$305,"&gt;="&amp;B1700)=1,INDEX(Invoices!$B$6:$B$305,SUMIFS(Invoices!$O$6:$O$305,Invoices!$C$6:$C$305,C1700,Invoices!$E$6:$E$305,"&lt;="&amp;B1700,Invoices!$F$6:$F$305,"&gt;="&amp;B1700)),IF(COUNTIFS(Invoices!$C$6:$C$305,C1700,Invoices!$E$6:$E$305,"&lt;="&amp;B1700,Invoices!$F$6:$F$305,"&gt;="&amp;B1700)&gt;1,"Two invoices",""))))</f>
        <v/>
      </c>
      <c r="Q1700" s="15">
        <f>IF(B1700="","",IF(J1700&lt;&gt;"","Not billable",IF(P1700="","To invoice",IF(P1700="Two invoices","Check dates",IF(ISNA(MATCH(P1700,Invoices!$B$6:$B$305,0)),"Check number",IF(INDEX(Invoices!$M$6:$M$305,MATCH(P1700,Invoices!$B$6:$B$305,0))="Paid","Paid",IF(INDEX(Invoices!$M$6:$M$305,MATCH(P1700,Invoices!$B$6:$B$305,0))="Draft","Draft","Invoiced")))))))</f>
        <v/>
      </c>
      <c r="R1700" s="1">
        <f>IF(AND(B1700&lt;&gt;"",P1700&lt;&gt;"",P1700=Invoice!$G$4),B1700+MOD(N(F1700),1)+ROW()/10000000,"")</f>
        <v/>
      </c>
      <c r="S1700">
        <f>IF(R1700="","",IF(D1700="","Other work",D1700)&amp;IF(AND(K1700&lt;&gt;"",E1700&lt;&gt;""),", "&amp;E1700,""))</f>
        <v/>
      </c>
      <c r="T1700">
        <f>IF(R1700="","",IF(COUNTIFS(R$6:R1699,"&gt;0",S$6:S1699,S1700,N$6:N1699,N1700)=0,R1700,""))</f>
        <v/>
      </c>
      <c r="U1700">
        <f>IF(B1700="","",IF(J1700&lt;&gt;"",0,M1700))</f>
        <v/>
      </c>
    </row>
    <row r="1701">
      <c r="A1701" s="1" t="n"/>
      <c r="B1701" s="16" t="n"/>
      <c r="C1701" s="17" t="n"/>
      <c r="D1701" s="18" t="n"/>
      <c r="E1701" s="18" t="n"/>
      <c r="F1701" s="19" t="n"/>
      <c r="G1701" s="19" t="n"/>
      <c r="H1701" s="20" t="n"/>
      <c r="I1701" s="21" t="n"/>
      <c r="J1701" s="22" t="n"/>
      <c r="K1701" s="23" t="n"/>
      <c r="L1701" s="18" t="n"/>
      <c r="M1701" s="24">
        <f>IF(B1701="","",IF(AND(F1701&lt;&gt;"",G1701&lt;&gt;""),MAX(0,ROUND(MOD(G1701-F1701,1)*24-N(H1701)/60,2)),N(I1701)))</f>
        <v/>
      </c>
      <c r="N1701" s="14">
        <f>IF(B1701="","",IF(K1701&lt;&gt;"",K1701,IF(N(IFERROR(INDEX(Projects!$D$6:$D$65,MATCH(D1701,Projects!$B$6:$B$65,0)),""))&gt;0,IFERROR(INDEX(Projects!$D$6:$D$65,MATCH(D1701,Projects!$B$6:$B$65,0)),""),IFERROR(INDEX(Clients!$G$6:$G$45,MATCH(C1701,Clients!$B$6:$B$45,0)),0))))</f>
        <v/>
      </c>
      <c r="O1701" s="14">
        <f>IF(B1701="","",IF(J1701&lt;&gt;"",0,ROUND(M1701*N1701,2)))</f>
        <v/>
      </c>
      <c r="P1701" s="15">
        <f>IF(OR(B1701="",J1701&lt;&gt;""),"",IF(L1701&lt;&gt;"",L1701,IF(COUNTIFS(Invoices!$C$6:$C$305,C1701,Invoices!$E$6:$E$305,"&lt;="&amp;B1701,Invoices!$F$6:$F$305,"&gt;="&amp;B1701)=1,INDEX(Invoices!$B$6:$B$305,SUMIFS(Invoices!$O$6:$O$305,Invoices!$C$6:$C$305,C1701,Invoices!$E$6:$E$305,"&lt;="&amp;B1701,Invoices!$F$6:$F$305,"&gt;="&amp;B1701)),IF(COUNTIFS(Invoices!$C$6:$C$305,C1701,Invoices!$E$6:$E$305,"&lt;="&amp;B1701,Invoices!$F$6:$F$305,"&gt;="&amp;B1701)&gt;1,"Two invoices",""))))</f>
        <v/>
      </c>
      <c r="Q1701" s="15">
        <f>IF(B1701="","",IF(J1701&lt;&gt;"","Not billable",IF(P1701="","To invoice",IF(P1701="Two invoices","Check dates",IF(ISNA(MATCH(P1701,Invoices!$B$6:$B$305,0)),"Check number",IF(INDEX(Invoices!$M$6:$M$305,MATCH(P1701,Invoices!$B$6:$B$305,0))="Paid","Paid",IF(INDEX(Invoices!$M$6:$M$305,MATCH(P1701,Invoices!$B$6:$B$305,0))="Draft","Draft","Invoiced")))))))</f>
        <v/>
      </c>
      <c r="R1701" s="1">
        <f>IF(AND(B1701&lt;&gt;"",P1701&lt;&gt;"",P1701=Invoice!$G$4),B1701+MOD(N(F1701),1)+ROW()/10000000,"")</f>
        <v/>
      </c>
      <c r="S1701">
        <f>IF(R1701="","",IF(D1701="","Other work",D1701)&amp;IF(AND(K1701&lt;&gt;"",E1701&lt;&gt;""),", "&amp;E1701,""))</f>
        <v/>
      </c>
      <c r="T1701">
        <f>IF(R1701="","",IF(COUNTIFS(R$6:R1700,"&gt;0",S$6:S1700,S1701,N$6:N1700,N1701)=0,R1701,""))</f>
        <v/>
      </c>
      <c r="U1701">
        <f>IF(B1701="","",IF(J1701&lt;&gt;"",0,M1701))</f>
        <v/>
      </c>
    </row>
    <row r="1702">
      <c r="A1702" s="1" t="n"/>
      <c r="B1702" s="16" t="n"/>
      <c r="C1702" s="17" t="n"/>
      <c r="D1702" s="18" t="n"/>
      <c r="E1702" s="18" t="n"/>
      <c r="F1702" s="19" t="n"/>
      <c r="G1702" s="19" t="n"/>
      <c r="H1702" s="20" t="n"/>
      <c r="I1702" s="21" t="n"/>
      <c r="J1702" s="22" t="n"/>
      <c r="K1702" s="23" t="n"/>
      <c r="L1702" s="18" t="n"/>
      <c r="M1702" s="24">
        <f>IF(B1702="","",IF(AND(F1702&lt;&gt;"",G1702&lt;&gt;""),MAX(0,ROUND(MOD(G1702-F1702,1)*24-N(H1702)/60,2)),N(I1702)))</f>
        <v/>
      </c>
      <c r="N1702" s="14">
        <f>IF(B1702="","",IF(K1702&lt;&gt;"",K1702,IF(N(IFERROR(INDEX(Projects!$D$6:$D$65,MATCH(D1702,Projects!$B$6:$B$65,0)),""))&gt;0,IFERROR(INDEX(Projects!$D$6:$D$65,MATCH(D1702,Projects!$B$6:$B$65,0)),""),IFERROR(INDEX(Clients!$G$6:$G$45,MATCH(C1702,Clients!$B$6:$B$45,0)),0))))</f>
        <v/>
      </c>
      <c r="O1702" s="14">
        <f>IF(B1702="","",IF(J1702&lt;&gt;"",0,ROUND(M1702*N1702,2)))</f>
        <v/>
      </c>
      <c r="P1702" s="15">
        <f>IF(OR(B1702="",J1702&lt;&gt;""),"",IF(L1702&lt;&gt;"",L1702,IF(COUNTIFS(Invoices!$C$6:$C$305,C1702,Invoices!$E$6:$E$305,"&lt;="&amp;B1702,Invoices!$F$6:$F$305,"&gt;="&amp;B1702)=1,INDEX(Invoices!$B$6:$B$305,SUMIFS(Invoices!$O$6:$O$305,Invoices!$C$6:$C$305,C1702,Invoices!$E$6:$E$305,"&lt;="&amp;B1702,Invoices!$F$6:$F$305,"&gt;="&amp;B1702)),IF(COUNTIFS(Invoices!$C$6:$C$305,C1702,Invoices!$E$6:$E$305,"&lt;="&amp;B1702,Invoices!$F$6:$F$305,"&gt;="&amp;B1702)&gt;1,"Two invoices",""))))</f>
        <v/>
      </c>
      <c r="Q1702" s="15">
        <f>IF(B1702="","",IF(J1702&lt;&gt;"","Not billable",IF(P1702="","To invoice",IF(P1702="Two invoices","Check dates",IF(ISNA(MATCH(P1702,Invoices!$B$6:$B$305,0)),"Check number",IF(INDEX(Invoices!$M$6:$M$305,MATCH(P1702,Invoices!$B$6:$B$305,0))="Paid","Paid",IF(INDEX(Invoices!$M$6:$M$305,MATCH(P1702,Invoices!$B$6:$B$305,0))="Draft","Draft","Invoiced")))))))</f>
        <v/>
      </c>
      <c r="R1702" s="1">
        <f>IF(AND(B1702&lt;&gt;"",P1702&lt;&gt;"",P1702=Invoice!$G$4),B1702+MOD(N(F1702),1)+ROW()/10000000,"")</f>
        <v/>
      </c>
      <c r="S1702">
        <f>IF(R1702="","",IF(D1702="","Other work",D1702)&amp;IF(AND(K1702&lt;&gt;"",E1702&lt;&gt;""),", "&amp;E1702,""))</f>
        <v/>
      </c>
      <c r="T1702">
        <f>IF(R1702="","",IF(COUNTIFS(R$6:R1701,"&gt;0",S$6:S1701,S1702,N$6:N1701,N1702)=0,R1702,""))</f>
        <v/>
      </c>
      <c r="U1702">
        <f>IF(B1702="","",IF(J1702&lt;&gt;"",0,M1702))</f>
        <v/>
      </c>
    </row>
    <row r="1703">
      <c r="A1703" s="1" t="n"/>
      <c r="B1703" s="16" t="n"/>
      <c r="C1703" s="17" t="n"/>
      <c r="D1703" s="18" t="n"/>
      <c r="E1703" s="18" t="n"/>
      <c r="F1703" s="19" t="n"/>
      <c r="G1703" s="19" t="n"/>
      <c r="H1703" s="20" t="n"/>
      <c r="I1703" s="21" t="n"/>
      <c r="J1703" s="22" t="n"/>
      <c r="K1703" s="23" t="n"/>
      <c r="L1703" s="18" t="n"/>
      <c r="M1703" s="24">
        <f>IF(B1703="","",IF(AND(F1703&lt;&gt;"",G1703&lt;&gt;""),MAX(0,ROUND(MOD(G1703-F1703,1)*24-N(H1703)/60,2)),N(I1703)))</f>
        <v/>
      </c>
      <c r="N1703" s="14">
        <f>IF(B1703="","",IF(K1703&lt;&gt;"",K1703,IF(N(IFERROR(INDEX(Projects!$D$6:$D$65,MATCH(D1703,Projects!$B$6:$B$65,0)),""))&gt;0,IFERROR(INDEX(Projects!$D$6:$D$65,MATCH(D1703,Projects!$B$6:$B$65,0)),""),IFERROR(INDEX(Clients!$G$6:$G$45,MATCH(C1703,Clients!$B$6:$B$45,0)),0))))</f>
        <v/>
      </c>
      <c r="O1703" s="14">
        <f>IF(B1703="","",IF(J1703&lt;&gt;"",0,ROUND(M1703*N1703,2)))</f>
        <v/>
      </c>
      <c r="P1703" s="15">
        <f>IF(OR(B1703="",J1703&lt;&gt;""),"",IF(L1703&lt;&gt;"",L1703,IF(COUNTIFS(Invoices!$C$6:$C$305,C1703,Invoices!$E$6:$E$305,"&lt;="&amp;B1703,Invoices!$F$6:$F$305,"&gt;="&amp;B1703)=1,INDEX(Invoices!$B$6:$B$305,SUMIFS(Invoices!$O$6:$O$305,Invoices!$C$6:$C$305,C1703,Invoices!$E$6:$E$305,"&lt;="&amp;B1703,Invoices!$F$6:$F$305,"&gt;="&amp;B1703)),IF(COUNTIFS(Invoices!$C$6:$C$305,C1703,Invoices!$E$6:$E$305,"&lt;="&amp;B1703,Invoices!$F$6:$F$305,"&gt;="&amp;B1703)&gt;1,"Two invoices",""))))</f>
        <v/>
      </c>
      <c r="Q1703" s="15">
        <f>IF(B1703="","",IF(J1703&lt;&gt;"","Not billable",IF(P1703="","To invoice",IF(P1703="Two invoices","Check dates",IF(ISNA(MATCH(P1703,Invoices!$B$6:$B$305,0)),"Check number",IF(INDEX(Invoices!$M$6:$M$305,MATCH(P1703,Invoices!$B$6:$B$305,0))="Paid","Paid",IF(INDEX(Invoices!$M$6:$M$305,MATCH(P1703,Invoices!$B$6:$B$305,0))="Draft","Draft","Invoiced")))))))</f>
        <v/>
      </c>
      <c r="R1703" s="1">
        <f>IF(AND(B1703&lt;&gt;"",P1703&lt;&gt;"",P1703=Invoice!$G$4),B1703+MOD(N(F1703),1)+ROW()/10000000,"")</f>
        <v/>
      </c>
      <c r="S1703">
        <f>IF(R1703="","",IF(D1703="","Other work",D1703)&amp;IF(AND(K1703&lt;&gt;"",E1703&lt;&gt;""),", "&amp;E1703,""))</f>
        <v/>
      </c>
      <c r="T1703">
        <f>IF(R1703="","",IF(COUNTIFS(R$6:R1702,"&gt;0",S$6:S1702,S1703,N$6:N1702,N1703)=0,R1703,""))</f>
        <v/>
      </c>
      <c r="U1703">
        <f>IF(B1703="","",IF(J1703&lt;&gt;"",0,M1703))</f>
        <v/>
      </c>
    </row>
    <row r="1704">
      <c r="A1704" s="1" t="n"/>
      <c r="B1704" s="16" t="n"/>
      <c r="C1704" s="17" t="n"/>
      <c r="D1704" s="18" t="n"/>
      <c r="E1704" s="18" t="n"/>
      <c r="F1704" s="19" t="n"/>
      <c r="G1704" s="19" t="n"/>
      <c r="H1704" s="20" t="n"/>
      <c r="I1704" s="21" t="n"/>
      <c r="J1704" s="22" t="n"/>
      <c r="K1704" s="23" t="n"/>
      <c r="L1704" s="18" t="n"/>
      <c r="M1704" s="24">
        <f>IF(B1704="","",IF(AND(F1704&lt;&gt;"",G1704&lt;&gt;""),MAX(0,ROUND(MOD(G1704-F1704,1)*24-N(H1704)/60,2)),N(I1704)))</f>
        <v/>
      </c>
      <c r="N1704" s="14">
        <f>IF(B1704="","",IF(K1704&lt;&gt;"",K1704,IF(N(IFERROR(INDEX(Projects!$D$6:$D$65,MATCH(D1704,Projects!$B$6:$B$65,0)),""))&gt;0,IFERROR(INDEX(Projects!$D$6:$D$65,MATCH(D1704,Projects!$B$6:$B$65,0)),""),IFERROR(INDEX(Clients!$G$6:$G$45,MATCH(C1704,Clients!$B$6:$B$45,0)),0))))</f>
        <v/>
      </c>
      <c r="O1704" s="14">
        <f>IF(B1704="","",IF(J1704&lt;&gt;"",0,ROUND(M1704*N1704,2)))</f>
        <v/>
      </c>
      <c r="P1704" s="15">
        <f>IF(OR(B1704="",J1704&lt;&gt;""),"",IF(L1704&lt;&gt;"",L1704,IF(COUNTIFS(Invoices!$C$6:$C$305,C1704,Invoices!$E$6:$E$305,"&lt;="&amp;B1704,Invoices!$F$6:$F$305,"&gt;="&amp;B1704)=1,INDEX(Invoices!$B$6:$B$305,SUMIFS(Invoices!$O$6:$O$305,Invoices!$C$6:$C$305,C1704,Invoices!$E$6:$E$305,"&lt;="&amp;B1704,Invoices!$F$6:$F$305,"&gt;="&amp;B1704)),IF(COUNTIFS(Invoices!$C$6:$C$305,C1704,Invoices!$E$6:$E$305,"&lt;="&amp;B1704,Invoices!$F$6:$F$305,"&gt;="&amp;B1704)&gt;1,"Two invoices",""))))</f>
        <v/>
      </c>
      <c r="Q1704" s="15">
        <f>IF(B1704="","",IF(J1704&lt;&gt;"","Not billable",IF(P1704="","To invoice",IF(P1704="Two invoices","Check dates",IF(ISNA(MATCH(P1704,Invoices!$B$6:$B$305,0)),"Check number",IF(INDEX(Invoices!$M$6:$M$305,MATCH(P1704,Invoices!$B$6:$B$305,0))="Paid","Paid",IF(INDEX(Invoices!$M$6:$M$305,MATCH(P1704,Invoices!$B$6:$B$305,0))="Draft","Draft","Invoiced")))))))</f>
        <v/>
      </c>
      <c r="R1704" s="1">
        <f>IF(AND(B1704&lt;&gt;"",P1704&lt;&gt;"",P1704=Invoice!$G$4),B1704+MOD(N(F1704),1)+ROW()/10000000,"")</f>
        <v/>
      </c>
      <c r="S1704">
        <f>IF(R1704="","",IF(D1704="","Other work",D1704)&amp;IF(AND(K1704&lt;&gt;"",E1704&lt;&gt;""),", "&amp;E1704,""))</f>
        <v/>
      </c>
      <c r="T1704">
        <f>IF(R1704="","",IF(COUNTIFS(R$6:R1703,"&gt;0",S$6:S1703,S1704,N$6:N1703,N1704)=0,R1704,""))</f>
        <v/>
      </c>
      <c r="U1704">
        <f>IF(B1704="","",IF(J1704&lt;&gt;"",0,M1704))</f>
        <v/>
      </c>
    </row>
    <row r="1705">
      <c r="A1705" s="1" t="n"/>
      <c r="B1705" s="16" t="n"/>
      <c r="C1705" s="17" t="n"/>
      <c r="D1705" s="18" t="n"/>
      <c r="E1705" s="18" t="n"/>
      <c r="F1705" s="19" t="n"/>
      <c r="G1705" s="19" t="n"/>
      <c r="H1705" s="20" t="n"/>
      <c r="I1705" s="21" t="n"/>
      <c r="J1705" s="22" t="n"/>
      <c r="K1705" s="23" t="n"/>
      <c r="L1705" s="18" t="n"/>
      <c r="M1705" s="24">
        <f>IF(B1705="","",IF(AND(F1705&lt;&gt;"",G1705&lt;&gt;""),MAX(0,ROUND(MOD(G1705-F1705,1)*24-N(H1705)/60,2)),N(I1705)))</f>
        <v/>
      </c>
      <c r="N1705" s="14">
        <f>IF(B1705="","",IF(K1705&lt;&gt;"",K1705,IF(N(IFERROR(INDEX(Projects!$D$6:$D$65,MATCH(D1705,Projects!$B$6:$B$65,0)),""))&gt;0,IFERROR(INDEX(Projects!$D$6:$D$65,MATCH(D1705,Projects!$B$6:$B$65,0)),""),IFERROR(INDEX(Clients!$G$6:$G$45,MATCH(C1705,Clients!$B$6:$B$45,0)),0))))</f>
        <v/>
      </c>
      <c r="O1705" s="14">
        <f>IF(B1705="","",IF(J1705&lt;&gt;"",0,ROUND(M1705*N1705,2)))</f>
        <v/>
      </c>
      <c r="P1705" s="15">
        <f>IF(OR(B1705="",J1705&lt;&gt;""),"",IF(L1705&lt;&gt;"",L1705,IF(COUNTIFS(Invoices!$C$6:$C$305,C1705,Invoices!$E$6:$E$305,"&lt;="&amp;B1705,Invoices!$F$6:$F$305,"&gt;="&amp;B1705)=1,INDEX(Invoices!$B$6:$B$305,SUMIFS(Invoices!$O$6:$O$305,Invoices!$C$6:$C$305,C1705,Invoices!$E$6:$E$305,"&lt;="&amp;B1705,Invoices!$F$6:$F$305,"&gt;="&amp;B1705)),IF(COUNTIFS(Invoices!$C$6:$C$305,C1705,Invoices!$E$6:$E$305,"&lt;="&amp;B1705,Invoices!$F$6:$F$305,"&gt;="&amp;B1705)&gt;1,"Two invoices",""))))</f>
        <v/>
      </c>
      <c r="Q1705" s="15">
        <f>IF(B1705="","",IF(J1705&lt;&gt;"","Not billable",IF(P1705="","To invoice",IF(P1705="Two invoices","Check dates",IF(ISNA(MATCH(P1705,Invoices!$B$6:$B$305,0)),"Check number",IF(INDEX(Invoices!$M$6:$M$305,MATCH(P1705,Invoices!$B$6:$B$305,0))="Paid","Paid",IF(INDEX(Invoices!$M$6:$M$305,MATCH(P1705,Invoices!$B$6:$B$305,0))="Draft","Draft","Invoiced")))))))</f>
        <v/>
      </c>
      <c r="R1705" s="1">
        <f>IF(AND(B1705&lt;&gt;"",P1705&lt;&gt;"",P1705=Invoice!$G$4),B1705+MOD(N(F1705),1)+ROW()/10000000,"")</f>
        <v/>
      </c>
      <c r="S1705">
        <f>IF(R1705="","",IF(D1705="","Other work",D1705)&amp;IF(AND(K1705&lt;&gt;"",E1705&lt;&gt;""),", "&amp;E1705,""))</f>
        <v/>
      </c>
      <c r="T1705">
        <f>IF(R1705="","",IF(COUNTIFS(R$6:R1704,"&gt;0",S$6:S1704,S1705,N$6:N1704,N1705)=0,R1705,""))</f>
        <v/>
      </c>
      <c r="U1705">
        <f>IF(B1705="","",IF(J1705&lt;&gt;"",0,M1705))</f>
        <v/>
      </c>
    </row>
    <row r="1706">
      <c r="A1706" s="1" t="n"/>
      <c r="B1706" s="16" t="n"/>
      <c r="C1706" s="17" t="n"/>
      <c r="D1706" s="18" t="n"/>
      <c r="E1706" s="18" t="n"/>
      <c r="F1706" s="19" t="n"/>
      <c r="G1706" s="19" t="n"/>
      <c r="H1706" s="20" t="n"/>
      <c r="I1706" s="21" t="n"/>
      <c r="J1706" s="22" t="n"/>
      <c r="K1706" s="23" t="n"/>
      <c r="L1706" s="18" t="n"/>
      <c r="M1706" s="24">
        <f>IF(B1706="","",IF(AND(F1706&lt;&gt;"",G1706&lt;&gt;""),MAX(0,ROUND(MOD(G1706-F1706,1)*24-N(H1706)/60,2)),N(I1706)))</f>
        <v/>
      </c>
      <c r="N1706" s="14">
        <f>IF(B1706="","",IF(K1706&lt;&gt;"",K1706,IF(N(IFERROR(INDEX(Projects!$D$6:$D$65,MATCH(D1706,Projects!$B$6:$B$65,0)),""))&gt;0,IFERROR(INDEX(Projects!$D$6:$D$65,MATCH(D1706,Projects!$B$6:$B$65,0)),""),IFERROR(INDEX(Clients!$G$6:$G$45,MATCH(C1706,Clients!$B$6:$B$45,0)),0))))</f>
        <v/>
      </c>
      <c r="O1706" s="14">
        <f>IF(B1706="","",IF(J1706&lt;&gt;"",0,ROUND(M1706*N1706,2)))</f>
        <v/>
      </c>
      <c r="P1706" s="15">
        <f>IF(OR(B1706="",J1706&lt;&gt;""),"",IF(L1706&lt;&gt;"",L1706,IF(COUNTIFS(Invoices!$C$6:$C$305,C1706,Invoices!$E$6:$E$305,"&lt;="&amp;B1706,Invoices!$F$6:$F$305,"&gt;="&amp;B1706)=1,INDEX(Invoices!$B$6:$B$305,SUMIFS(Invoices!$O$6:$O$305,Invoices!$C$6:$C$305,C1706,Invoices!$E$6:$E$305,"&lt;="&amp;B1706,Invoices!$F$6:$F$305,"&gt;="&amp;B1706)),IF(COUNTIFS(Invoices!$C$6:$C$305,C1706,Invoices!$E$6:$E$305,"&lt;="&amp;B1706,Invoices!$F$6:$F$305,"&gt;="&amp;B1706)&gt;1,"Two invoices",""))))</f>
        <v/>
      </c>
      <c r="Q1706" s="15">
        <f>IF(B1706="","",IF(J1706&lt;&gt;"","Not billable",IF(P1706="","To invoice",IF(P1706="Two invoices","Check dates",IF(ISNA(MATCH(P1706,Invoices!$B$6:$B$305,0)),"Check number",IF(INDEX(Invoices!$M$6:$M$305,MATCH(P1706,Invoices!$B$6:$B$305,0))="Paid","Paid",IF(INDEX(Invoices!$M$6:$M$305,MATCH(P1706,Invoices!$B$6:$B$305,0))="Draft","Draft","Invoiced")))))))</f>
        <v/>
      </c>
      <c r="R1706" s="1">
        <f>IF(AND(B1706&lt;&gt;"",P1706&lt;&gt;"",P1706=Invoice!$G$4),B1706+MOD(N(F1706),1)+ROW()/10000000,"")</f>
        <v/>
      </c>
      <c r="S1706">
        <f>IF(R1706="","",IF(D1706="","Other work",D1706)&amp;IF(AND(K1706&lt;&gt;"",E1706&lt;&gt;""),", "&amp;E1706,""))</f>
        <v/>
      </c>
      <c r="T1706">
        <f>IF(R1706="","",IF(COUNTIFS(R$6:R1705,"&gt;0",S$6:S1705,S1706,N$6:N1705,N1706)=0,R1706,""))</f>
        <v/>
      </c>
      <c r="U1706">
        <f>IF(B1706="","",IF(J1706&lt;&gt;"",0,M1706))</f>
        <v/>
      </c>
    </row>
    <row r="1707">
      <c r="A1707" s="1" t="n"/>
      <c r="B1707" s="16" t="n"/>
      <c r="C1707" s="17" t="n"/>
      <c r="D1707" s="18" t="n"/>
      <c r="E1707" s="18" t="n"/>
      <c r="F1707" s="19" t="n"/>
      <c r="G1707" s="19" t="n"/>
      <c r="H1707" s="20" t="n"/>
      <c r="I1707" s="21" t="n"/>
      <c r="J1707" s="22" t="n"/>
      <c r="K1707" s="23" t="n"/>
      <c r="L1707" s="18" t="n"/>
      <c r="M1707" s="24">
        <f>IF(B1707="","",IF(AND(F1707&lt;&gt;"",G1707&lt;&gt;""),MAX(0,ROUND(MOD(G1707-F1707,1)*24-N(H1707)/60,2)),N(I1707)))</f>
        <v/>
      </c>
      <c r="N1707" s="14">
        <f>IF(B1707="","",IF(K1707&lt;&gt;"",K1707,IF(N(IFERROR(INDEX(Projects!$D$6:$D$65,MATCH(D1707,Projects!$B$6:$B$65,0)),""))&gt;0,IFERROR(INDEX(Projects!$D$6:$D$65,MATCH(D1707,Projects!$B$6:$B$65,0)),""),IFERROR(INDEX(Clients!$G$6:$G$45,MATCH(C1707,Clients!$B$6:$B$45,0)),0))))</f>
        <v/>
      </c>
      <c r="O1707" s="14">
        <f>IF(B1707="","",IF(J1707&lt;&gt;"",0,ROUND(M1707*N1707,2)))</f>
        <v/>
      </c>
      <c r="P1707" s="15">
        <f>IF(OR(B1707="",J1707&lt;&gt;""),"",IF(L1707&lt;&gt;"",L1707,IF(COUNTIFS(Invoices!$C$6:$C$305,C1707,Invoices!$E$6:$E$305,"&lt;="&amp;B1707,Invoices!$F$6:$F$305,"&gt;="&amp;B1707)=1,INDEX(Invoices!$B$6:$B$305,SUMIFS(Invoices!$O$6:$O$305,Invoices!$C$6:$C$305,C1707,Invoices!$E$6:$E$305,"&lt;="&amp;B1707,Invoices!$F$6:$F$305,"&gt;="&amp;B1707)),IF(COUNTIFS(Invoices!$C$6:$C$305,C1707,Invoices!$E$6:$E$305,"&lt;="&amp;B1707,Invoices!$F$6:$F$305,"&gt;="&amp;B1707)&gt;1,"Two invoices",""))))</f>
        <v/>
      </c>
      <c r="Q1707" s="15">
        <f>IF(B1707="","",IF(J1707&lt;&gt;"","Not billable",IF(P1707="","To invoice",IF(P1707="Two invoices","Check dates",IF(ISNA(MATCH(P1707,Invoices!$B$6:$B$305,0)),"Check number",IF(INDEX(Invoices!$M$6:$M$305,MATCH(P1707,Invoices!$B$6:$B$305,0))="Paid","Paid",IF(INDEX(Invoices!$M$6:$M$305,MATCH(P1707,Invoices!$B$6:$B$305,0))="Draft","Draft","Invoiced")))))))</f>
        <v/>
      </c>
      <c r="R1707" s="1">
        <f>IF(AND(B1707&lt;&gt;"",P1707&lt;&gt;"",P1707=Invoice!$G$4),B1707+MOD(N(F1707),1)+ROW()/10000000,"")</f>
        <v/>
      </c>
      <c r="S1707">
        <f>IF(R1707="","",IF(D1707="","Other work",D1707)&amp;IF(AND(K1707&lt;&gt;"",E1707&lt;&gt;""),", "&amp;E1707,""))</f>
        <v/>
      </c>
      <c r="T1707">
        <f>IF(R1707="","",IF(COUNTIFS(R$6:R1706,"&gt;0",S$6:S1706,S1707,N$6:N1706,N1707)=0,R1707,""))</f>
        <v/>
      </c>
      <c r="U1707">
        <f>IF(B1707="","",IF(J1707&lt;&gt;"",0,M1707))</f>
        <v/>
      </c>
    </row>
    <row r="1708">
      <c r="A1708" s="1" t="n"/>
      <c r="B1708" s="16" t="n"/>
      <c r="C1708" s="17" t="n"/>
      <c r="D1708" s="18" t="n"/>
      <c r="E1708" s="18" t="n"/>
      <c r="F1708" s="19" t="n"/>
      <c r="G1708" s="19" t="n"/>
      <c r="H1708" s="20" t="n"/>
      <c r="I1708" s="21" t="n"/>
      <c r="J1708" s="22" t="n"/>
      <c r="K1708" s="23" t="n"/>
      <c r="L1708" s="18" t="n"/>
      <c r="M1708" s="24">
        <f>IF(B1708="","",IF(AND(F1708&lt;&gt;"",G1708&lt;&gt;""),MAX(0,ROUND(MOD(G1708-F1708,1)*24-N(H1708)/60,2)),N(I1708)))</f>
        <v/>
      </c>
      <c r="N1708" s="14">
        <f>IF(B1708="","",IF(K1708&lt;&gt;"",K1708,IF(N(IFERROR(INDEX(Projects!$D$6:$D$65,MATCH(D1708,Projects!$B$6:$B$65,0)),""))&gt;0,IFERROR(INDEX(Projects!$D$6:$D$65,MATCH(D1708,Projects!$B$6:$B$65,0)),""),IFERROR(INDEX(Clients!$G$6:$G$45,MATCH(C1708,Clients!$B$6:$B$45,0)),0))))</f>
        <v/>
      </c>
      <c r="O1708" s="14">
        <f>IF(B1708="","",IF(J1708&lt;&gt;"",0,ROUND(M1708*N1708,2)))</f>
        <v/>
      </c>
      <c r="P1708" s="15">
        <f>IF(OR(B1708="",J1708&lt;&gt;""),"",IF(L1708&lt;&gt;"",L1708,IF(COUNTIFS(Invoices!$C$6:$C$305,C1708,Invoices!$E$6:$E$305,"&lt;="&amp;B1708,Invoices!$F$6:$F$305,"&gt;="&amp;B1708)=1,INDEX(Invoices!$B$6:$B$305,SUMIFS(Invoices!$O$6:$O$305,Invoices!$C$6:$C$305,C1708,Invoices!$E$6:$E$305,"&lt;="&amp;B1708,Invoices!$F$6:$F$305,"&gt;="&amp;B1708)),IF(COUNTIFS(Invoices!$C$6:$C$305,C1708,Invoices!$E$6:$E$305,"&lt;="&amp;B1708,Invoices!$F$6:$F$305,"&gt;="&amp;B1708)&gt;1,"Two invoices",""))))</f>
        <v/>
      </c>
      <c r="Q1708" s="15">
        <f>IF(B1708="","",IF(J1708&lt;&gt;"","Not billable",IF(P1708="","To invoice",IF(P1708="Two invoices","Check dates",IF(ISNA(MATCH(P1708,Invoices!$B$6:$B$305,0)),"Check number",IF(INDEX(Invoices!$M$6:$M$305,MATCH(P1708,Invoices!$B$6:$B$305,0))="Paid","Paid",IF(INDEX(Invoices!$M$6:$M$305,MATCH(P1708,Invoices!$B$6:$B$305,0))="Draft","Draft","Invoiced")))))))</f>
        <v/>
      </c>
      <c r="R1708" s="1">
        <f>IF(AND(B1708&lt;&gt;"",P1708&lt;&gt;"",P1708=Invoice!$G$4),B1708+MOD(N(F1708),1)+ROW()/10000000,"")</f>
        <v/>
      </c>
      <c r="S1708">
        <f>IF(R1708="","",IF(D1708="","Other work",D1708)&amp;IF(AND(K1708&lt;&gt;"",E1708&lt;&gt;""),", "&amp;E1708,""))</f>
        <v/>
      </c>
      <c r="T1708">
        <f>IF(R1708="","",IF(COUNTIFS(R$6:R1707,"&gt;0",S$6:S1707,S1708,N$6:N1707,N1708)=0,R1708,""))</f>
        <v/>
      </c>
      <c r="U1708">
        <f>IF(B1708="","",IF(J1708&lt;&gt;"",0,M1708))</f>
        <v/>
      </c>
    </row>
    <row r="1709">
      <c r="A1709" s="1" t="n"/>
      <c r="B1709" s="16" t="n"/>
      <c r="C1709" s="17" t="n"/>
      <c r="D1709" s="18" t="n"/>
      <c r="E1709" s="18" t="n"/>
      <c r="F1709" s="19" t="n"/>
      <c r="G1709" s="19" t="n"/>
      <c r="H1709" s="20" t="n"/>
      <c r="I1709" s="21" t="n"/>
      <c r="J1709" s="22" t="n"/>
      <c r="K1709" s="23" t="n"/>
      <c r="L1709" s="18" t="n"/>
      <c r="M1709" s="24">
        <f>IF(B1709="","",IF(AND(F1709&lt;&gt;"",G1709&lt;&gt;""),MAX(0,ROUND(MOD(G1709-F1709,1)*24-N(H1709)/60,2)),N(I1709)))</f>
        <v/>
      </c>
      <c r="N1709" s="14">
        <f>IF(B1709="","",IF(K1709&lt;&gt;"",K1709,IF(N(IFERROR(INDEX(Projects!$D$6:$D$65,MATCH(D1709,Projects!$B$6:$B$65,0)),""))&gt;0,IFERROR(INDEX(Projects!$D$6:$D$65,MATCH(D1709,Projects!$B$6:$B$65,0)),""),IFERROR(INDEX(Clients!$G$6:$G$45,MATCH(C1709,Clients!$B$6:$B$45,0)),0))))</f>
        <v/>
      </c>
      <c r="O1709" s="14">
        <f>IF(B1709="","",IF(J1709&lt;&gt;"",0,ROUND(M1709*N1709,2)))</f>
        <v/>
      </c>
      <c r="P1709" s="15">
        <f>IF(OR(B1709="",J1709&lt;&gt;""),"",IF(L1709&lt;&gt;"",L1709,IF(COUNTIFS(Invoices!$C$6:$C$305,C1709,Invoices!$E$6:$E$305,"&lt;="&amp;B1709,Invoices!$F$6:$F$305,"&gt;="&amp;B1709)=1,INDEX(Invoices!$B$6:$B$305,SUMIFS(Invoices!$O$6:$O$305,Invoices!$C$6:$C$305,C1709,Invoices!$E$6:$E$305,"&lt;="&amp;B1709,Invoices!$F$6:$F$305,"&gt;="&amp;B1709)),IF(COUNTIFS(Invoices!$C$6:$C$305,C1709,Invoices!$E$6:$E$305,"&lt;="&amp;B1709,Invoices!$F$6:$F$305,"&gt;="&amp;B1709)&gt;1,"Two invoices",""))))</f>
        <v/>
      </c>
      <c r="Q1709" s="15">
        <f>IF(B1709="","",IF(J1709&lt;&gt;"","Not billable",IF(P1709="","To invoice",IF(P1709="Two invoices","Check dates",IF(ISNA(MATCH(P1709,Invoices!$B$6:$B$305,0)),"Check number",IF(INDEX(Invoices!$M$6:$M$305,MATCH(P1709,Invoices!$B$6:$B$305,0))="Paid","Paid",IF(INDEX(Invoices!$M$6:$M$305,MATCH(P1709,Invoices!$B$6:$B$305,0))="Draft","Draft","Invoiced")))))))</f>
        <v/>
      </c>
      <c r="R1709" s="1">
        <f>IF(AND(B1709&lt;&gt;"",P1709&lt;&gt;"",P1709=Invoice!$G$4),B1709+MOD(N(F1709),1)+ROW()/10000000,"")</f>
        <v/>
      </c>
      <c r="S1709">
        <f>IF(R1709="","",IF(D1709="","Other work",D1709)&amp;IF(AND(K1709&lt;&gt;"",E1709&lt;&gt;""),", "&amp;E1709,""))</f>
        <v/>
      </c>
      <c r="T1709">
        <f>IF(R1709="","",IF(COUNTIFS(R$6:R1708,"&gt;0",S$6:S1708,S1709,N$6:N1708,N1709)=0,R1709,""))</f>
        <v/>
      </c>
      <c r="U1709">
        <f>IF(B1709="","",IF(J1709&lt;&gt;"",0,M1709))</f>
        <v/>
      </c>
    </row>
    <row r="1710">
      <c r="A1710" s="1" t="n"/>
      <c r="B1710" s="16" t="n"/>
      <c r="C1710" s="17" t="n"/>
      <c r="D1710" s="18" t="n"/>
      <c r="E1710" s="18" t="n"/>
      <c r="F1710" s="19" t="n"/>
      <c r="G1710" s="19" t="n"/>
      <c r="H1710" s="20" t="n"/>
      <c r="I1710" s="21" t="n"/>
      <c r="J1710" s="22" t="n"/>
      <c r="K1710" s="23" t="n"/>
      <c r="L1710" s="18" t="n"/>
      <c r="M1710" s="24">
        <f>IF(B1710="","",IF(AND(F1710&lt;&gt;"",G1710&lt;&gt;""),MAX(0,ROUND(MOD(G1710-F1710,1)*24-N(H1710)/60,2)),N(I1710)))</f>
        <v/>
      </c>
      <c r="N1710" s="14">
        <f>IF(B1710="","",IF(K1710&lt;&gt;"",K1710,IF(N(IFERROR(INDEX(Projects!$D$6:$D$65,MATCH(D1710,Projects!$B$6:$B$65,0)),""))&gt;0,IFERROR(INDEX(Projects!$D$6:$D$65,MATCH(D1710,Projects!$B$6:$B$65,0)),""),IFERROR(INDEX(Clients!$G$6:$G$45,MATCH(C1710,Clients!$B$6:$B$45,0)),0))))</f>
        <v/>
      </c>
      <c r="O1710" s="14">
        <f>IF(B1710="","",IF(J1710&lt;&gt;"",0,ROUND(M1710*N1710,2)))</f>
        <v/>
      </c>
      <c r="P1710" s="15">
        <f>IF(OR(B1710="",J1710&lt;&gt;""),"",IF(L1710&lt;&gt;"",L1710,IF(COUNTIFS(Invoices!$C$6:$C$305,C1710,Invoices!$E$6:$E$305,"&lt;="&amp;B1710,Invoices!$F$6:$F$305,"&gt;="&amp;B1710)=1,INDEX(Invoices!$B$6:$B$305,SUMIFS(Invoices!$O$6:$O$305,Invoices!$C$6:$C$305,C1710,Invoices!$E$6:$E$305,"&lt;="&amp;B1710,Invoices!$F$6:$F$305,"&gt;="&amp;B1710)),IF(COUNTIFS(Invoices!$C$6:$C$305,C1710,Invoices!$E$6:$E$305,"&lt;="&amp;B1710,Invoices!$F$6:$F$305,"&gt;="&amp;B1710)&gt;1,"Two invoices",""))))</f>
        <v/>
      </c>
      <c r="Q1710" s="15">
        <f>IF(B1710="","",IF(J1710&lt;&gt;"","Not billable",IF(P1710="","To invoice",IF(P1710="Two invoices","Check dates",IF(ISNA(MATCH(P1710,Invoices!$B$6:$B$305,0)),"Check number",IF(INDEX(Invoices!$M$6:$M$305,MATCH(P1710,Invoices!$B$6:$B$305,0))="Paid","Paid",IF(INDEX(Invoices!$M$6:$M$305,MATCH(P1710,Invoices!$B$6:$B$305,0))="Draft","Draft","Invoiced")))))))</f>
        <v/>
      </c>
      <c r="R1710" s="1">
        <f>IF(AND(B1710&lt;&gt;"",P1710&lt;&gt;"",P1710=Invoice!$G$4),B1710+MOD(N(F1710),1)+ROW()/10000000,"")</f>
        <v/>
      </c>
      <c r="S1710">
        <f>IF(R1710="","",IF(D1710="","Other work",D1710)&amp;IF(AND(K1710&lt;&gt;"",E1710&lt;&gt;""),", "&amp;E1710,""))</f>
        <v/>
      </c>
      <c r="T1710">
        <f>IF(R1710="","",IF(COUNTIFS(R$6:R1709,"&gt;0",S$6:S1709,S1710,N$6:N1709,N1710)=0,R1710,""))</f>
        <v/>
      </c>
      <c r="U1710">
        <f>IF(B1710="","",IF(J1710&lt;&gt;"",0,M1710))</f>
        <v/>
      </c>
    </row>
    <row r="1711">
      <c r="A1711" s="1" t="n"/>
      <c r="B1711" s="16" t="n"/>
      <c r="C1711" s="17" t="n"/>
      <c r="D1711" s="18" t="n"/>
      <c r="E1711" s="18" t="n"/>
      <c r="F1711" s="19" t="n"/>
      <c r="G1711" s="19" t="n"/>
      <c r="H1711" s="20" t="n"/>
      <c r="I1711" s="21" t="n"/>
      <c r="J1711" s="22" t="n"/>
      <c r="K1711" s="23" t="n"/>
      <c r="L1711" s="18" t="n"/>
      <c r="M1711" s="24">
        <f>IF(B1711="","",IF(AND(F1711&lt;&gt;"",G1711&lt;&gt;""),MAX(0,ROUND(MOD(G1711-F1711,1)*24-N(H1711)/60,2)),N(I1711)))</f>
        <v/>
      </c>
      <c r="N1711" s="14">
        <f>IF(B1711="","",IF(K1711&lt;&gt;"",K1711,IF(N(IFERROR(INDEX(Projects!$D$6:$D$65,MATCH(D1711,Projects!$B$6:$B$65,0)),""))&gt;0,IFERROR(INDEX(Projects!$D$6:$D$65,MATCH(D1711,Projects!$B$6:$B$65,0)),""),IFERROR(INDEX(Clients!$G$6:$G$45,MATCH(C1711,Clients!$B$6:$B$45,0)),0))))</f>
        <v/>
      </c>
      <c r="O1711" s="14">
        <f>IF(B1711="","",IF(J1711&lt;&gt;"",0,ROUND(M1711*N1711,2)))</f>
        <v/>
      </c>
      <c r="P1711" s="15">
        <f>IF(OR(B1711="",J1711&lt;&gt;""),"",IF(L1711&lt;&gt;"",L1711,IF(COUNTIFS(Invoices!$C$6:$C$305,C1711,Invoices!$E$6:$E$305,"&lt;="&amp;B1711,Invoices!$F$6:$F$305,"&gt;="&amp;B1711)=1,INDEX(Invoices!$B$6:$B$305,SUMIFS(Invoices!$O$6:$O$305,Invoices!$C$6:$C$305,C1711,Invoices!$E$6:$E$305,"&lt;="&amp;B1711,Invoices!$F$6:$F$305,"&gt;="&amp;B1711)),IF(COUNTIFS(Invoices!$C$6:$C$305,C1711,Invoices!$E$6:$E$305,"&lt;="&amp;B1711,Invoices!$F$6:$F$305,"&gt;="&amp;B1711)&gt;1,"Two invoices",""))))</f>
        <v/>
      </c>
      <c r="Q1711" s="15">
        <f>IF(B1711="","",IF(J1711&lt;&gt;"","Not billable",IF(P1711="","To invoice",IF(P1711="Two invoices","Check dates",IF(ISNA(MATCH(P1711,Invoices!$B$6:$B$305,0)),"Check number",IF(INDEX(Invoices!$M$6:$M$305,MATCH(P1711,Invoices!$B$6:$B$305,0))="Paid","Paid",IF(INDEX(Invoices!$M$6:$M$305,MATCH(P1711,Invoices!$B$6:$B$305,0))="Draft","Draft","Invoiced")))))))</f>
        <v/>
      </c>
      <c r="R1711" s="1">
        <f>IF(AND(B1711&lt;&gt;"",P1711&lt;&gt;"",P1711=Invoice!$G$4),B1711+MOD(N(F1711),1)+ROW()/10000000,"")</f>
        <v/>
      </c>
      <c r="S1711">
        <f>IF(R1711="","",IF(D1711="","Other work",D1711)&amp;IF(AND(K1711&lt;&gt;"",E1711&lt;&gt;""),", "&amp;E1711,""))</f>
        <v/>
      </c>
      <c r="T1711">
        <f>IF(R1711="","",IF(COUNTIFS(R$6:R1710,"&gt;0",S$6:S1710,S1711,N$6:N1710,N1711)=0,R1711,""))</f>
        <v/>
      </c>
      <c r="U1711">
        <f>IF(B1711="","",IF(J1711&lt;&gt;"",0,M1711))</f>
        <v/>
      </c>
    </row>
    <row r="1712">
      <c r="A1712" s="1" t="n"/>
      <c r="B1712" s="16" t="n"/>
      <c r="C1712" s="17" t="n"/>
      <c r="D1712" s="18" t="n"/>
      <c r="E1712" s="18" t="n"/>
      <c r="F1712" s="19" t="n"/>
      <c r="G1712" s="19" t="n"/>
      <c r="H1712" s="20" t="n"/>
      <c r="I1712" s="21" t="n"/>
      <c r="J1712" s="22" t="n"/>
      <c r="K1712" s="23" t="n"/>
      <c r="L1712" s="18" t="n"/>
      <c r="M1712" s="24">
        <f>IF(B1712="","",IF(AND(F1712&lt;&gt;"",G1712&lt;&gt;""),MAX(0,ROUND(MOD(G1712-F1712,1)*24-N(H1712)/60,2)),N(I1712)))</f>
        <v/>
      </c>
      <c r="N1712" s="14">
        <f>IF(B1712="","",IF(K1712&lt;&gt;"",K1712,IF(N(IFERROR(INDEX(Projects!$D$6:$D$65,MATCH(D1712,Projects!$B$6:$B$65,0)),""))&gt;0,IFERROR(INDEX(Projects!$D$6:$D$65,MATCH(D1712,Projects!$B$6:$B$65,0)),""),IFERROR(INDEX(Clients!$G$6:$G$45,MATCH(C1712,Clients!$B$6:$B$45,0)),0))))</f>
        <v/>
      </c>
      <c r="O1712" s="14">
        <f>IF(B1712="","",IF(J1712&lt;&gt;"",0,ROUND(M1712*N1712,2)))</f>
        <v/>
      </c>
      <c r="P1712" s="15">
        <f>IF(OR(B1712="",J1712&lt;&gt;""),"",IF(L1712&lt;&gt;"",L1712,IF(COUNTIFS(Invoices!$C$6:$C$305,C1712,Invoices!$E$6:$E$305,"&lt;="&amp;B1712,Invoices!$F$6:$F$305,"&gt;="&amp;B1712)=1,INDEX(Invoices!$B$6:$B$305,SUMIFS(Invoices!$O$6:$O$305,Invoices!$C$6:$C$305,C1712,Invoices!$E$6:$E$305,"&lt;="&amp;B1712,Invoices!$F$6:$F$305,"&gt;="&amp;B1712)),IF(COUNTIFS(Invoices!$C$6:$C$305,C1712,Invoices!$E$6:$E$305,"&lt;="&amp;B1712,Invoices!$F$6:$F$305,"&gt;="&amp;B1712)&gt;1,"Two invoices",""))))</f>
        <v/>
      </c>
      <c r="Q1712" s="15">
        <f>IF(B1712="","",IF(J1712&lt;&gt;"","Not billable",IF(P1712="","To invoice",IF(P1712="Two invoices","Check dates",IF(ISNA(MATCH(P1712,Invoices!$B$6:$B$305,0)),"Check number",IF(INDEX(Invoices!$M$6:$M$305,MATCH(P1712,Invoices!$B$6:$B$305,0))="Paid","Paid",IF(INDEX(Invoices!$M$6:$M$305,MATCH(P1712,Invoices!$B$6:$B$305,0))="Draft","Draft","Invoiced")))))))</f>
        <v/>
      </c>
      <c r="R1712" s="1">
        <f>IF(AND(B1712&lt;&gt;"",P1712&lt;&gt;"",P1712=Invoice!$G$4),B1712+MOD(N(F1712),1)+ROW()/10000000,"")</f>
        <v/>
      </c>
      <c r="S1712">
        <f>IF(R1712="","",IF(D1712="","Other work",D1712)&amp;IF(AND(K1712&lt;&gt;"",E1712&lt;&gt;""),", "&amp;E1712,""))</f>
        <v/>
      </c>
      <c r="T1712">
        <f>IF(R1712="","",IF(COUNTIFS(R$6:R1711,"&gt;0",S$6:S1711,S1712,N$6:N1711,N1712)=0,R1712,""))</f>
        <v/>
      </c>
      <c r="U1712">
        <f>IF(B1712="","",IF(J1712&lt;&gt;"",0,M1712))</f>
        <v/>
      </c>
    </row>
    <row r="1713">
      <c r="A1713" s="1" t="n"/>
      <c r="B1713" s="16" t="n"/>
      <c r="C1713" s="17" t="n"/>
      <c r="D1713" s="18" t="n"/>
      <c r="E1713" s="18" t="n"/>
      <c r="F1713" s="19" t="n"/>
      <c r="G1713" s="19" t="n"/>
      <c r="H1713" s="20" t="n"/>
      <c r="I1713" s="21" t="n"/>
      <c r="J1713" s="22" t="n"/>
      <c r="K1713" s="23" t="n"/>
      <c r="L1713" s="18" t="n"/>
      <c r="M1713" s="24">
        <f>IF(B1713="","",IF(AND(F1713&lt;&gt;"",G1713&lt;&gt;""),MAX(0,ROUND(MOD(G1713-F1713,1)*24-N(H1713)/60,2)),N(I1713)))</f>
        <v/>
      </c>
      <c r="N1713" s="14">
        <f>IF(B1713="","",IF(K1713&lt;&gt;"",K1713,IF(N(IFERROR(INDEX(Projects!$D$6:$D$65,MATCH(D1713,Projects!$B$6:$B$65,0)),""))&gt;0,IFERROR(INDEX(Projects!$D$6:$D$65,MATCH(D1713,Projects!$B$6:$B$65,0)),""),IFERROR(INDEX(Clients!$G$6:$G$45,MATCH(C1713,Clients!$B$6:$B$45,0)),0))))</f>
        <v/>
      </c>
      <c r="O1713" s="14">
        <f>IF(B1713="","",IF(J1713&lt;&gt;"",0,ROUND(M1713*N1713,2)))</f>
        <v/>
      </c>
      <c r="P1713" s="15">
        <f>IF(OR(B1713="",J1713&lt;&gt;""),"",IF(L1713&lt;&gt;"",L1713,IF(COUNTIFS(Invoices!$C$6:$C$305,C1713,Invoices!$E$6:$E$305,"&lt;="&amp;B1713,Invoices!$F$6:$F$305,"&gt;="&amp;B1713)=1,INDEX(Invoices!$B$6:$B$305,SUMIFS(Invoices!$O$6:$O$305,Invoices!$C$6:$C$305,C1713,Invoices!$E$6:$E$305,"&lt;="&amp;B1713,Invoices!$F$6:$F$305,"&gt;="&amp;B1713)),IF(COUNTIFS(Invoices!$C$6:$C$305,C1713,Invoices!$E$6:$E$305,"&lt;="&amp;B1713,Invoices!$F$6:$F$305,"&gt;="&amp;B1713)&gt;1,"Two invoices",""))))</f>
        <v/>
      </c>
      <c r="Q1713" s="15">
        <f>IF(B1713="","",IF(J1713&lt;&gt;"","Not billable",IF(P1713="","To invoice",IF(P1713="Two invoices","Check dates",IF(ISNA(MATCH(P1713,Invoices!$B$6:$B$305,0)),"Check number",IF(INDEX(Invoices!$M$6:$M$305,MATCH(P1713,Invoices!$B$6:$B$305,0))="Paid","Paid",IF(INDEX(Invoices!$M$6:$M$305,MATCH(P1713,Invoices!$B$6:$B$305,0))="Draft","Draft","Invoiced")))))))</f>
        <v/>
      </c>
      <c r="R1713" s="1">
        <f>IF(AND(B1713&lt;&gt;"",P1713&lt;&gt;"",P1713=Invoice!$G$4),B1713+MOD(N(F1713),1)+ROW()/10000000,"")</f>
        <v/>
      </c>
      <c r="S1713">
        <f>IF(R1713="","",IF(D1713="","Other work",D1713)&amp;IF(AND(K1713&lt;&gt;"",E1713&lt;&gt;""),", "&amp;E1713,""))</f>
        <v/>
      </c>
      <c r="T1713">
        <f>IF(R1713="","",IF(COUNTIFS(R$6:R1712,"&gt;0",S$6:S1712,S1713,N$6:N1712,N1713)=0,R1713,""))</f>
        <v/>
      </c>
      <c r="U1713">
        <f>IF(B1713="","",IF(J1713&lt;&gt;"",0,M1713))</f>
        <v/>
      </c>
    </row>
    <row r="1714">
      <c r="A1714" s="1" t="n"/>
      <c r="B1714" s="16" t="n"/>
      <c r="C1714" s="17" t="n"/>
      <c r="D1714" s="18" t="n"/>
      <c r="E1714" s="18" t="n"/>
      <c r="F1714" s="19" t="n"/>
      <c r="G1714" s="19" t="n"/>
      <c r="H1714" s="20" t="n"/>
      <c r="I1714" s="21" t="n"/>
      <c r="J1714" s="22" t="n"/>
      <c r="K1714" s="23" t="n"/>
      <c r="L1714" s="18" t="n"/>
      <c r="M1714" s="24">
        <f>IF(B1714="","",IF(AND(F1714&lt;&gt;"",G1714&lt;&gt;""),MAX(0,ROUND(MOD(G1714-F1714,1)*24-N(H1714)/60,2)),N(I1714)))</f>
        <v/>
      </c>
      <c r="N1714" s="14">
        <f>IF(B1714="","",IF(K1714&lt;&gt;"",K1714,IF(N(IFERROR(INDEX(Projects!$D$6:$D$65,MATCH(D1714,Projects!$B$6:$B$65,0)),""))&gt;0,IFERROR(INDEX(Projects!$D$6:$D$65,MATCH(D1714,Projects!$B$6:$B$65,0)),""),IFERROR(INDEX(Clients!$G$6:$G$45,MATCH(C1714,Clients!$B$6:$B$45,0)),0))))</f>
        <v/>
      </c>
      <c r="O1714" s="14">
        <f>IF(B1714="","",IF(J1714&lt;&gt;"",0,ROUND(M1714*N1714,2)))</f>
        <v/>
      </c>
      <c r="P1714" s="15">
        <f>IF(OR(B1714="",J1714&lt;&gt;""),"",IF(L1714&lt;&gt;"",L1714,IF(COUNTIFS(Invoices!$C$6:$C$305,C1714,Invoices!$E$6:$E$305,"&lt;="&amp;B1714,Invoices!$F$6:$F$305,"&gt;="&amp;B1714)=1,INDEX(Invoices!$B$6:$B$305,SUMIFS(Invoices!$O$6:$O$305,Invoices!$C$6:$C$305,C1714,Invoices!$E$6:$E$305,"&lt;="&amp;B1714,Invoices!$F$6:$F$305,"&gt;="&amp;B1714)),IF(COUNTIFS(Invoices!$C$6:$C$305,C1714,Invoices!$E$6:$E$305,"&lt;="&amp;B1714,Invoices!$F$6:$F$305,"&gt;="&amp;B1714)&gt;1,"Two invoices",""))))</f>
        <v/>
      </c>
      <c r="Q1714" s="15">
        <f>IF(B1714="","",IF(J1714&lt;&gt;"","Not billable",IF(P1714="","To invoice",IF(P1714="Two invoices","Check dates",IF(ISNA(MATCH(P1714,Invoices!$B$6:$B$305,0)),"Check number",IF(INDEX(Invoices!$M$6:$M$305,MATCH(P1714,Invoices!$B$6:$B$305,0))="Paid","Paid",IF(INDEX(Invoices!$M$6:$M$305,MATCH(P1714,Invoices!$B$6:$B$305,0))="Draft","Draft","Invoiced")))))))</f>
        <v/>
      </c>
      <c r="R1714" s="1">
        <f>IF(AND(B1714&lt;&gt;"",P1714&lt;&gt;"",P1714=Invoice!$G$4),B1714+MOD(N(F1714),1)+ROW()/10000000,"")</f>
        <v/>
      </c>
      <c r="S1714">
        <f>IF(R1714="","",IF(D1714="","Other work",D1714)&amp;IF(AND(K1714&lt;&gt;"",E1714&lt;&gt;""),", "&amp;E1714,""))</f>
        <v/>
      </c>
      <c r="T1714">
        <f>IF(R1714="","",IF(COUNTIFS(R$6:R1713,"&gt;0",S$6:S1713,S1714,N$6:N1713,N1714)=0,R1714,""))</f>
        <v/>
      </c>
      <c r="U1714">
        <f>IF(B1714="","",IF(J1714&lt;&gt;"",0,M1714))</f>
        <v/>
      </c>
    </row>
    <row r="1715">
      <c r="A1715" s="1" t="n"/>
      <c r="B1715" s="16" t="n"/>
      <c r="C1715" s="17" t="n"/>
      <c r="D1715" s="18" t="n"/>
      <c r="E1715" s="18" t="n"/>
      <c r="F1715" s="19" t="n"/>
      <c r="G1715" s="19" t="n"/>
      <c r="H1715" s="20" t="n"/>
      <c r="I1715" s="21" t="n"/>
      <c r="J1715" s="22" t="n"/>
      <c r="K1715" s="23" t="n"/>
      <c r="L1715" s="18" t="n"/>
      <c r="M1715" s="24">
        <f>IF(B1715="","",IF(AND(F1715&lt;&gt;"",G1715&lt;&gt;""),MAX(0,ROUND(MOD(G1715-F1715,1)*24-N(H1715)/60,2)),N(I1715)))</f>
        <v/>
      </c>
      <c r="N1715" s="14">
        <f>IF(B1715="","",IF(K1715&lt;&gt;"",K1715,IF(N(IFERROR(INDEX(Projects!$D$6:$D$65,MATCH(D1715,Projects!$B$6:$B$65,0)),""))&gt;0,IFERROR(INDEX(Projects!$D$6:$D$65,MATCH(D1715,Projects!$B$6:$B$65,0)),""),IFERROR(INDEX(Clients!$G$6:$G$45,MATCH(C1715,Clients!$B$6:$B$45,0)),0))))</f>
        <v/>
      </c>
      <c r="O1715" s="14">
        <f>IF(B1715="","",IF(J1715&lt;&gt;"",0,ROUND(M1715*N1715,2)))</f>
        <v/>
      </c>
      <c r="P1715" s="15">
        <f>IF(OR(B1715="",J1715&lt;&gt;""),"",IF(L1715&lt;&gt;"",L1715,IF(COUNTIFS(Invoices!$C$6:$C$305,C1715,Invoices!$E$6:$E$305,"&lt;="&amp;B1715,Invoices!$F$6:$F$305,"&gt;="&amp;B1715)=1,INDEX(Invoices!$B$6:$B$305,SUMIFS(Invoices!$O$6:$O$305,Invoices!$C$6:$C$305,C1715,Invoices!$E$6:$E$305,"&lt;="&amp;B1715,Invoices!$F$6:$F$305,"&gt;="&amp;B1715)),IF(COUNTIFS(Invoices!$C$6:$C$305,C1715,Invoices!$E$6:$E$305,"&lt;="&amp;B1715,Invoices!$F$6:$F$305,"&gt;="&amp;B1715)&gt;1,"Two invoices",""))))</f>
        <v/>
      </c>
      <c r="Q1715" s="15">
        <f>IF(B1715="","",IF(J1715&lt;&gt;"","Not billable",IF(P1715="","To invoice",IF(P1715="Two invoices","Check dates",IF(ISNA(MATCH(P1715,Invoices!$B$6:$B$305,0)),"Check number",IF(INDEX(Invoices!$M$6:$M$305,MATCH(P1715,Invoices!$B$6:$B$305,0))="Paid","Paid",IF(INDEX(Invoices!$M$6:$M$305,MATCH(P1715,Invoices!$B$6:$B$305,0))="Draft","Draft","Invoiced")))))))</f>
        <v/>
      </c>
      <c r="R1715" s="1">
        <f>IF(AND(B1715&lt;&gt;"",P1715&lt;&gt;"",P1715=Invoice!$G$4),B1715+MOD(N(F1715),1)+ROW()/10000000,"")</f>
        <v/>
      </c>
      <c r="S1715">
        <f>IF(R1715="","",IF(D1715="","Other work",D1715)&amp;IF(AND(K1715&lt;&gt;"",E1715&lt;&gt;""),", "&amp;E1715,""))</f>
        <v/>
      </c>
      <c r="T1715">
        <f>IF(R1715="","",IF(COUNTIFS(R$6:R1714,"&gt;0",S$6:S1714,S1715,N$6:N1714,N1715)=0,R1715,""))</f>
        <v/>
      </c>
      <c r="U1715">
        <f>IF(B1715="","",IF(J1715&lt;&gt;"",0,M1715))</f>
        <v/>
      </c>
    </row>
    <row r="1716">
      <c r="A1716" s="1" t="n"/>
      <c r="B1716" s="16" t="n"/>
      <c r="C1716" s="17" t="n"/>
      <c r="D1716" s="18" t="n"/>
      <c r="E1716" s="18" t="n"/>
      <c r="F1716" s="19" t="n"/>
      <c r="G1716" s="19" t="n"/>
      <c r="H1716" s="20" t="n"/>
      <c r="I1716" s="21" t="n"/>
      <c r="J1716" s="22" t="n"/>
      <c r="K1716" s="23" t="n"/>
      <c r="L1716" s="18" t="n"/>
      <c r="M1716" s="24">
        <f>IF(B1716="","",IF(AND(F1716&lt;&gt;"",G1716&lt;&gt;""),MAX(0,ROUND(MOD(G1716-F1716,1)*24-N(H1716)/60,2)),N(I1716)))</f>
        <v/>
      </c>
      <c r="N1716" s="14">
        <f>IF(B1716="","",IF(K1716&lt;&gt;"",K1716,IF(N(IFERROR(INDEX(Projects!$D$6:$D$65,MATCH(D1716,Projects!$B$6:$B$65,0)),""))&gt;0,IFERROR(INDEX(Projects!$D$6:$D$65,MATCH(D1716,Projects!$B$6:$B$65,0)),""),IFERROR(INDEX(Clients!$G$6:$G$45,MATCH(C1716,Clients!$B$6:$B$45,0)),0))))</f>
        <v/>
      </c>
      <c r="O1716" s="14">
        <f>IF(B1716="","",IF(J1716&lt;&gt;"",0,ROUND(M1716*N1716,2)))</f>
        <v/>
      </c>
      <c r="P1716" s="15">
        <f>IF(OR(B1716="",J1716&lt;&gt;""),"",IF(L1716&lt;&gt;"",L1716,IF(COUNTIFS(Invoices!$C$6:$C$305,C1716,Invoices!$E$6:$E$305,"&lt;="&amp;B1716,Invoices!$F$6:$F$305,"&gt;="&amp;B1716)=1,INDEX(Invoices!$B$6:$B$305,SUMIFS(Invoices!$O$6:$O$305,Invoices!$C$6:$C$305,C1716,Invoices!$E$6:$E$305,"&lt;="&amp;B1716,Invoices!$F$6:$F$305,"&gt;="&amp;B1716)),IF(COUNTIFS(Invoices!$C$6:$C$305,C1716,Invoices!$E$6:$E$305,"&lt;="&amp;B1716,Invoices!$F$6:$F$305,"&gt;="&amp;B1716)&gt;1,"Two invoices",""))))</f>
        <v/>
      </c>
      <c r="Q1716" s="15">
        <f>IF(B1716="","",IF(J1716&lt;&gt;"","Not billable",IF(P1716="","To invoice",IF(P1716="Two invoices","Check dates",IF(ISNA(MATCH(P1716,Invoices!$B$6:$B$305,0)),"Check number",IF(INDEX(Invoices!$M$6:$M$305,MATCH(P1716,Invoices!$B$6:$B$305,0))="Paid","Paid",IF(INDEX(Invoices!$M$6:$M$305,MATCH(P1716,Invoices!$B$6:$B$305,0))="Draft","Draft","Invoiced")))))))</f>
        <v/>
      </c>
      <c r="R1716" s="1">
        <f>IF(AND(B1716&lt;&gt;"",P1716&lt;&gt;"",P1716=Invoice!$G$4),B1716+MOD(N(F1716),1)+ROW()/10000000,"")</f>
        <v/>
      </c>
      <c r="S1716">
        <f>IF(R1716="","",IF(D1716="","Other work",D1716)&amp;IF(AND(K1716&lt;&gt;"",E1716&lt;&gt;""),", "&amp;E1716,""))</f>
        <v/>
      </c>
      <c r="T1716">
        <f>IF(R1716="","",IF(COUNTIFS(R$6:R1715,"&gt;0",S$6:S1715,S1716,N$6:N1715,N1716)=0,R1716,""))</f>
        <v/>
      </c>
      <c r="U1716">
        <f>IF(B1716="","",IF(J1716&lt;&gt;"",0,M1716))</f>
        <v/>
      </c>
    </row>
    <row r="1717">
      <c r="A1717" s="1" t="n"/>
      <c r="B1717" s="16" t="n"/>
      <c r="C1717" s="17" t="n"/>
      <c r="D1717" s="18" t="n"/>
      <c r="E1717" s="18" t="n"/>
      <c r="F1717" s="19" t="n"/>
      <c r="G1717" s="19" t="n"/>
      <c r="H1717" s="20" t="n"/>
      <c r="I1717" s="21" t="n"/>
      <c r="J1717" s="22" t="n"/>
      <c r="K1717" s="23" t="n"/>
      <c r="L1717" s="18" t="n"/>
      <c r="M1717" s="24">
        <f>IF(B1717="","",IF(AND(F1717&lt;&gt;"",G1717&lt;&gt;""),MAX(0,ROUND(MOD(G1717-F1717,1)*24-N(H1717)/60,2)),N(I1717)))</f>
        <v/>
      </c>
      <c r="N1717" s="14">
        <f>IF(B1717="","",IF(K1717&lt;&gt;"",K1717,IF(N(IFERROR(INDEX(Projects!$D$6:$D$65,MATCH(D1717,Projects!$B$6:$B$65,0)),""))&gt;0,IFERROR(INDEX(Projects!$D$6:$D$65,MATCH(D1717,Projects!$B$6:$B$65,0)),""),IFERROR(INDEX(Clients!$G$6:$G$45,MATCH(C1717,Clients!$B$6:$B$45,0)),0))))</f>
        <v/>
      </c>
      <c r="O1717" s="14">
        <f>IF(B1717="","",IF(J1717&lt;&gt;"",0,ROUND(M1717*N1717,2)))</f>
        <v/>
      </c>
      <c r="P1717" s="15">
        <f>IF(OR(B1717="",J1717&lt;&gt;""),"",IF(L1717&lt;&gt;"",L1717,IF(COUNTIFS(Invoices!$C$6:$C$305,C1717,Invoices!$E$6:$E$305,"&lt;="&amp;B1717,Invoices!$F$6:$F$305,"&gt;="&amp;B1717)=1,INDEX(Invoices!$B$6:$B$305,SUMIFS(Invoices!$O$6:$O$305,Invoices!$C$6:$C$305,C1717,Invoices!$E$6:$E$305,"&lt;="&amp;B1717,Invoices!$F$6:$F$305,"&gt;="&amp;B1717)),IF(COUNTIFS(Invoices!$C$6:$C$305,C1717,Invoices!$E$6:$E$305,"&lt;="&amp;B1717,Invoices!$F$6:$F$305,"&gt;="&amp;B1717)&gt;1,"Two invoices",""))))</f>
        <v/>
      </c>
      <c r="Q1717" s="15">
        <f>IF(B1717="","",IF(J1717&lt;&gt;"","Not billable",IF(P1717="","To invoice",IF(P1717="Two invoices","Check dates",IF(ISNA(MATCH(P1717,Invoices!$B$6:$B$305,0)),"Check number",IF(INDEX(Invoices!$M$6:$M$305,MATCH(P1717,Invoices!$B$6:$B$305,0))="Paid","Paid",IF(INDEX(Invoices!$M$6:$M$305,MATCH(P1717,Invoices!$B$6:$B$305,0))="Draft","Draft","Invoiced")))))))</f>
        <v/>
      </c>
      <c r="R1717" s="1">
        <f>IF(AND(B1717&lt;&gt;"",P1717&lt;&gt;"",P1717=Invoice!$G$4),B1717+MOD(N(F1717),1)+ROW()/10000000,"")</f>
        <v/>
      </c>
      <c r="S1717">
        <f>IF(R1717="","",IF(D1717="","Other work",D1717)&amp;IF(AND(K1717&lt;&gt;"",E1717&lt;&gt;""),", "&amp;E1717,""))</f>
        <v/>
      </c>
      <c r="T1717">
        <f>IF(R1717="","",IF(COUNTIFS(R$6:R1716,"&gt;0",S$6:S1716,S1717,N$6:N1716,N1717)=0,R1717,""))</f>
        <v/>
      </c>
      <c r="U1717">
        <f>IF(B1717="","",IF(J1717&lt;&gt;"",0,M1717))</f>
        <v/>
      </c>
    </row>
    <row r="1718">
      <c r="A1718" s="1" t="n"/>
      <c r="B1718" s="16" t="n"/>
      <c r="C1718" s="17" t="n"/>
      <c r="D1718" s="18" t="n"/>
      <c r="E1718" s="18" t="n"/>
      <c r="F1718" s="19" t="n"/>
      <c r="G1718" s="19" t="n"/>
      <c r="H1718" s="20" t="n"/>
      <c r="I1718" s="21" t="n"/>
      <c r="J1718" s="22" t="n"/>
      <c r="K1718" s="23" t="n"/>
      <c r="L1718" s="18" t="n"/>
      <c r="M1718" s="24">
        <f>IF(B1718="","",IF(AND(F1718&lt;&gt;"",G1718&lt;&gt;""),MAX(0,ROUND(MOD(G1718-F1718,1)*24-N(H1718)/60,2)),N(I1718)))</f>
        <v/>
      </c>
      <c r="N1718" s="14">
        <f>IF(B1718="","",IF(K1718&lt;&gt;"",K1718,IF(N(IFERROR(INDEX(Projects!$D$6:$D$65,MATCH(D1718,Projects!$B$6:$B$65,0)),""))&gt;0,IFERROR(INDEX(Projects!$D$6:$D$65,MATCH(D1718,Projects!$B$6:$B$65,0)),""),IFERROR(INDEX(Clients!$G$6:$G$45,MATCH(C1718,Clients!$B$6:$B$45,0)),0))))</f>
        <v/>
      </c>
      <c r="O1718" s="14">
        <f>IF(B1718="","",IF(J1718&lt;&gt;"",0,ROUND(M1718*N1718,2)))</f>
        <v/>
      </c>
      <c r="P1718" s="15">
        <f>IF(OR(B1718="",J1718&lt;&gt;""),"",IF(L1718&lt;&gt;"",L1718,IF(COUNTIFS(Invoices!$C$6:$C$305,C1718,Invoices!$E$6:$E$305,"&lt;="&amp;B1718,Invoices!$F$6:$F$305,"&gt;="&amp;B1718)=1,INDEX(Invoices!$B$6:$B$305,SUMIFS(Invoices!$O$6:$O$305,Invoices!$C$6:$C$305,C1718,Invoices!$E$6:$E$305,"&lt;="&amp;B1718,Invoices!$F$6:$F$305,"&gt;="&amp;B1718)),IF(COUNTIFS(Invoices!$C$6:$C$305,C1718,Invoices!$E$6:$E$305,"&lt;="&amp;B1718,Invoices!$F$6:$F$305,"&gt;="&amp;B1718)&gt;1,"Two invoices",""))))</f>
        <v/>
      </c>
      <c r="Q1718" s="15">
        <f>IF(B1718="","",IF(J1718&lt;&gt;"","Not billable",IF(P1718="","To invoice",IF(P1718="Two invoices","Check dates",IF(ISNA(MATCH(P1718,Invoices!$B$6:$B$305,0)),"Check number",IF(INDEX(Invoices!$M$6:$M$305,MATCH(P1718,Invoices!$B$6:$B$305,0))="Paid","Paid",IF(INDEX(Invoices!$M$6:$M$305,MATCH(P1718,Invoices!$B$6:$B$305,0))="Draft","Draft","Invoiced")))))))</f>
        <v/>
      </c>
      <c r="R1718" s="1">
        <f>IF(AND(B1718&lt;&gt;"",P1718&lt;&gt;"",P1718=Invoice!$G$4),B1718+MOD(N(F1718),1)+ROW()/10000000,"")</f>
        <v/>
      </c>
      <c r="S1718">
        <f>IF(R1718="","",IF(D1718="","Other work",D1718)&amp;IF(AND(K1718&lt;&gt;"",E1718&lt;&gt;""),", "&amp;E1718,""))</f>
        <v/>
      </c>
      <c r="T1718">
        <f>IF(R1718="","",IF(COUNTIFS(R$6:R1717,"&gt;0",S$6:S1717,S1718,N$6:N1717,N1718)=0,R1718,""))</f>
        <v/>
      </c>
      <c r="U1718">
        <f>IF(B1718="","",IF(J1718&lt;&gt;"",0,M1718))</f>
        <v/>
      </c>
    </row>
    <row r="1719">
      <c r="A1719" s="1" t="n"/>
      <c r="B1719" s="16" t="n"/>
      <c r="C1719" s="17" t="n"/>
      <c r="D1719" s="18" t="n"/>
      <c r="E1719" s="18" t="n"/>
      <c r="F1719" s="19" t="n"/>
      <c r="G1719" s="19" t="n"/>
      <c r="H1719" s="20" t="n"/>
      <c r="I1719" s="21" t="n"/>
      <c r="J1719" s="22" t="n"/>
      <c r="K1719" s="23" t="n"/>
      <c r="L1719" s="18" t="n"/>
      <c r="M1719" s="24">
        <f>IF(B1719="","",IF(AND(F1719&lt;&gt;"",G1719&lt;&gt;""),MAX(0,ROUND(MOD(G1719-F1719,1)*24-N(H1719)/60,2)),N(I1719)))</f>
        <v/>
      </c>
      <c r="N1719" s="14">
        <f>IF(B1719="","",IF(K1719&lt;&gt;"",K1719,IF(N(IFERROR(INDEX(Projects!$D$6:$D$65,MATCH(D1719,Projects!$B$6:$B$65,0)),""))&gt;0,IFERROR(INDEX(Projects!$D$6:$D$65,MATCH(D1719,Projects!$B$6:$B$65,0)),""),IFERROR(INDEX(Clients!$G$6:$G$45,MATCH(C1719,Clients!$B$6:$B$45,0)),0))))</f>
        <v/>
      </c>
      <c r="O1719" s="14">
        <f>IF(B1719="","",IF(J1719&lt;&gt;"",0,ROUND(M1719*N1719,2)))</f>
        <v/>
      </c>
      <c r="P1719" s="15">
        <f>IF(OR(B1719="",J1719&lt;&gt;""),"",IF(L1719&lt;&gt;"",L1719,IF(COUNTIFS(Invoices!$C$6:$C$305,C1719,Invoices!$E$6:$E$305,"&lt;="&amp;B1719,Invoices!$F$6:$F$305,"&gt;="&amp;B1719)=1,INDEX(Invoices!$B$6:$B$305,SUMIFS(Invoices!$O$6:$O$305,Invoices!$C$6:$C$305,C1719,Invoices!$E$6:$E$305,"&lt;="&amp;B1719,Invoices!$F$6:$F$305,"&gt;="&amp;B1719)),IF(COUNTIFS(Invoices!$C$6:$C$305,C1719,Invoices!$E$6:$E$305,"&lt;="&amp;B1719,Invoices!$F$6:$F$305,"&gt;="&amp;B1719)&gt;1,"Two invoices",""))))</f>
        <v/>
      </c>
      <c r="Q1719" s="15">
        <f>IF(B1719="","",IF(J1719&lt;&gt;"","Not billable",IF(P1719="","To invoice",IF(P1719="Two invoices","Check dates",IF(ISNA(MATCH(P1719,Invoices!$B$6:$B$305,0)),"Check number",IF(INDEX(Invoices!$M$6:$M$305,MATCH(P1719,Invoices!$B$6:$B$305,0))="Paid","Paid",IF(INDEX(Invoices!$M$6:$M$305,MATCH(P1719,Invoices!$B$6:$B$305,0))="Draft","Draft","Invoiced")))))))</f>
        <v/>
      </c>
      <c r="R1719" s="1">
        <f>IF(AND(B1719&lt;&gt;"",P1719&lt;&gt;"",P1719=Invoice!$G$4),B1719+MOD(N(F1719),1)+ROW()/10000000,"")</f>
        <v/>
      </c>
      <c r="S1719">
        <f>IF(R1719="","",IF(D1719="","Other work",D1719)&amp;IF(AND(K1719&lt;&gt;"",E1719&lt;&gt;""),", "&amp;E1719,""))</f>
        <v/>
      </c>
      <c r="T1719">
        <f>IF(R1719="","",IF(COUNTIFS(R$6:R1718,"&gt;0",S$6:S1718,S1719,N$6:N1718,N1719)=0,R1719,""))</f>
        <v/>
      </c>
      <c r="U1719">
        <f>IF(B1719="","",IF(J1719&lt;&gt;"",0,M1719))</f>
        <v/>
      </c>
    </row>
    <row r="1720">
      <c r="A1720" s="1" t="n"/>
      <c r="B1720" s="16" t="n"/>
      <c r="C1720" s="17" t="n"/>
      <c r="D1720" s="18" t="n"/>
      <c r="E1720" s="18" t="n"/>
      <c r="F1720" s="19" t="n"/>
      <c r="G1720" s="19" t="n"/>
      <c r="H1720" s="20" t="n"/>
      <c r="I1720" s="21" t="n"/>
      <c r="J1720" s="22" t="n"/>
      <c r="K1720" s="23" t="n"/>
      <c r="L1720" s="18" t="n"/>
      <c r="M1720" s="24">
        <f>IF(B1720="","",IF(AND(F1720&lt;&gt;"",G1720&lt;&gt;""),MAX(0,ROUND(MOD(G1720-F1720,1)*24-N(H1720)/60,2)),N(I1720)))</f>
        <v/>
      </c>
      <c r="N1720" s="14">
        <f>IF(B1720="","",IF(K1720&lt;&gt;"",K1720,IF(N(IFERROR(INDEX(Projects!$D$6:$D$65,MATCH(D1720,Projects!$B$6:$B$65,0)),""))&gt;0,IFERROR(INDEX(Projects!$D$6:$D$65,MATCH(D1720,Projects!$B$6:$B$65,0)),""),IFERROR(INDEX(Clients!$G$6:$G$45,MATCH(C1720,Clients!$B$6:$B$45,0)),0))))</f>
        <v/>
      </c>
      <c r="O1720" s="14">
        <f>IF(B1720="","",IF(J1720&lt;&gt;"",0,ROUND(M1720*N1720,2)))</f>
        <v/>
      </c>
      <c r="P1720" s="15">
        <f>IF(OR(B1720="",J1720&lt;&gt;""),"",IF(L1720&lt;&gt;"",L1720,IF(COUNTIFS(Invoices!$C$6:$C$305,C1720,Invoices!$E$6:$E$305,"&lt;="&amp;B1720,Invoices!$F$6:$F$305,"&gt;="&amp;B1720)=1,INDEX(Invoices!$B$6:$B$305,SUMIFS(Invoices!$O$6:$O$305,Invoices!$C$6:$C$305,C1720,Invoices!$E$6:$E$305,"&lt;="&amp;B1720,Invoices!$F$6:$F$305,"&gt;="&amp;B1720)),IF(COUNTIFS(Invoices!$C$6:$C$305,C1720,Invoices!$E$6:$E$305,"&lt;="&amp;B1720,Invoices!$F$6:$F$305,"&gt;="&amp;B1720)&gt;1,"Two invoices",""))))</f>
        <v/>
      </c>
      <c r="Q1720" s="15">
        <f>IF(B1720="","",IF(J1720&lt;&gt;"","Not billable",IF(P1720="","To invoice",IF(P1720="Two invoices","Check dates",IF(ISNA(MATCH(P1720,Invoices!$B$6:$B$305,0)),"Check number",IF(INDEX(Invoices!$M$6:$M$305,MATCH(P1720,Invoices!$B$6:$B$305,0))="Paid","Paid",IF(INDEX(Invoices!$M$6:$M$305,MATCH(P1720,Invoices!$B$6:$B$305,0))="Draft","Draft","Invoiced")))))))</f>
        <v/>
      </c>
      <c r="R1720" s="1">
        <f>IF(AND(B1720&lt;&gt;"",P1720&lt;&gt;"",P1720=Invoice!$G$4),B1720+MOD(N(F1720),1)+ROW()/10000000,"")</f>
        <v/>
      </c>
      <c r="S1720">
        <f>IF(R1720="","",IF(D1720="","Other work",D1720)&amp;IF(AND(K1720&lt;&gt;"",E1720&lt;&gt;""),", "&amp;E1720,""))</f>
        <v/>
      </c>
      <c r="T1720">
        <f>IF(R1720="","",IF(COUNTIFS(R$6:R1719,"&gt;0",S$6:S1719,S1720,N$6:N1719,N1720)=0,R1720,""))</f>
        <v/>
      </c>
      <c r="U1720">
        <f>IF(B1720="","",IF(J1720&lt;&gt;"",0,M1720))</f>
        <v/>
      </c>
    </row>
    <row r="1721">
      <c r="A1721" s="1" t="n"/>
      <c r="B1721" s="16" t="n"/>
      <c r="C1721" s="17" t="n"/>
      <c r="D1721" s="18" t="n"/>
      <c r="E1721" s="18" t="n"/>
      <c r="F1721" s="19" t="n"/>
      <c r="G1721" s="19" t="n"/>
      <c r="H1721" s="20" t="n"/>
      <c r="I1721" s="21" t="n"/>
      <c r="J1721" s="22" t="n"/>
      <c r="K1721" s="23" t="n"/>
      <c r="L1721" s="18" t="n"/>
      <c r="M1721" s="24">
        <f>IF(B1721="","",IF(AND(F1721&lt;&gt;"",G1721&lt;&gt;""),MAX(0,ROUND(MOD(G1721-F1721,1)*24-N(H1721)/60,2)),N(I1721)))</f>
        <v/>
      </c>
      <c r="N1721" s="14">
        <f>IF(B1721="","",IF(K1721&lt;&gt;"",K1721,IF(N(IFERROR(INDEX(Projects!$D$6:$D$65,MATCH(D1721,Projects!$B$6:$B$65,0)),""))&gt;0,IFERROR(INDEX(Projects!$D$6:$D$65,MATCH(D1721,Projects!$B$6:$B$65,0)),""),IFERROR(INDEX(Clients!$G$6:$G$45,MATCH(C1721,Clients!$B$6:$B$45,0)),0))))</f>
        <v/>
      </c>
      <c r="O1721" s="14">
        <f>IF(B1721="","",IF(J1721&lt;&gt;"",0,ROUND(M1721*N1721,2)))</f>
        <v/>
      </c>
      <c r="P1721" s="15">
        <f>IF(OR(B1721="",J1721&lt;&gt;""),"",IF(L1721&lt;&gt;"",L1721,IF(COUNTIFS(Invoices!$C$6:$C$305,C1721,Invoices!$E$6:$E$305,"&lt;="&amp;B1721,Invoices!$F$6:$F$305,"&gt;="&amp;B1721)=1,INDEX(Invoices!$B$6:$B$305,SUMIFS(Invoices!$O$6:$O$305,Invoices!$C$6:$C$305,C1721,Invoices!$E$6:$E$305,"&lt;="&amp;B1721,Invoices!$F$6:$F$305,"&gt;="&amp;B1721)),IF(COUNTIFS(Invoices!$C$6:$C$305,C1721,Invoices!$E$6:$E$305,"&lt;="&amp;B1721,Invoices!$F$6:$F$305,"&gt;="&amp;B1721)&gt;1,"Two invoices",""))))</f>
        <v/>
      </c>
      <c r="Q1721" s="15">
        <f>IF(B1721="","",IF(J1721&lt;&gt;"","Not billable",IF(P1721="","To invoice",IF(P1721="Two invoices","Check dates",IF(ISNA(MATCH(P1721,Invoices!$B$6:$B$305,0)),"Check number",IF(INDEX(Invoices!$M$6:$M$305,MATCH(P1721,Invoices!$B$6:$B$305,0))="Paid","Paid",IF(INDEX(Invoices!$M$6:$M$305,MATCH(P1721,Invoices!$B$6:$B$305,0))="Draft","Draft","Invoiced")))))))</f>
        <v/>
      </c>
      <c r="R1721" s="1">
        <f>IF(AND(B1721&lt;&gt;"",P1721&lt;&gt;"",P1721=Invoice!$G$4),B1721+MOD(N(F1721),1)+ROW()/10000000,"")</f>
        <v/>
      </c>
      <c r="S1721">
        <f>IF(R1721="","",IF(D1721="","Other work",D1721)&amp;IF(AND(K1721&lt;&gt;"",E1721&lt;&gt;""),", "&amp;E1721,""))</f>
        <v/>
      </c>
      <c r="T1721">
        <f>IF(R1721="","",IF(COUNTIFS(R$6:R1720,"&gt;0",S$6:S1720,S1721,N$6:N1720,N1721)=0,R1721,""))</f>
        <v/>
      </c>
      <c r="U1721">
        <f>IF(B1721="","",IF(J1721&lt;&gt;"",0,M1721))</f>
        <v/>
      </c>
    </row>
    <row r="1722">
      <c r="A1722" s="1" t="n"/>
      <c r="B1722" s="16" t="n"/>
      <c r="C1722" s="17" t="n"/>
      <c r="D1722" s="18" t="n"/>
      <c r="E1722" s="18" t="n"/>
      <c r="F1722" s="19" t="n"/>
      <c r="G1722" s="19" t="n"/>
      <c r="H1722" s="20" t="n"/>
      <c r="I1722" s="21" t="n"/>
      <c r="J1722" s="22" t="n"/>
      <c r="K1722" s="23" t="n"/>
      <c r="L1722" s="18" t="n"/>
      <c r="M1722" s="24">
        <f>IF(B1722="","",IF(AND(F1722&lt;&gt;"",G1722&lt;&gt;""),MAX(0,ROUND(MOD(G1722-F1722,1)*24-N(H1722)/60,2)),N(I1722)))</f>
        <v/>
      </c>
      <c r="N1722" s="14">
        <f>IF(B1722="","",IF(K1722&lt;&gt;"",K1722,IF(N(IFERROR(INDEX(Projects!$D$6:$D$65,MATCH(D1722,Projects!$B$6:$B$65,0)),""))&gt;0,IFERROR(INDEX(Projects!$D$6:$D$65,MATCH(D1722,Projects!$B$6:$B$65,0)),""),IFERROR(INDEX(Clients!$G$6:$G$45,MATCH(C1722,Clients!$B$6:$B$45,0)),0))))</f>
        <v/>
      </c>
      <c r="O1722" s="14">
        <f>IF(B1722="","",IF(J1722&lt;&gt;"",0,ROUND(M1722*N1722,2)))</f>
        <v/>
      </c>
      <c r="P1722" s="15">
        <f>IF(OR(B1722="",J1722&lt;&gt;""),"",IF(L1722&lt;&gt;"",L1722,IF(COUNTIFS(Invoices!$C$6:$C$305,C1722,Invoices!$E$6:$E$305,"&lt;="&amp;B1722,Invoices!$F$6:$F$305,"&gt;="&amp;B1722)=1,INDEX(Invoices!$B$6:$B$305,SUMIFS(Invoices!$O$6:$O$305,Invoices!$C$6:$C$305,C1722,Invoices!$E$6:$E$305,"&lt;="&amp;B1722,Invoices!$F$6:$F$305,"&gt;="&amp;B1722)),IF(COUNTIFS(Invoices!$C$6:$C$305,C1722,Invoices!$E$6:$E$305,"&lt;="&amp;B1722,Invoices!$F$6:$F$305,"&gt;="&amp;B1722)&gt;1,"Two invoices",""))))</f>
        <v/>
      </c>
      <c r="Q1722" s="15">
        <f>IF(B1722="","",IF(J1722&lt;&gt;"","Not billable",IF(P1722="","To invoice",IF(P1722="Two invoices","Check dates",IF(ISNA(MATCH(P1722,Invoices!$B$6:$B$305,0)),"Check number",IF(INDEX(Invoices!$M$6:$M$305,MATCH(P1722,Invoices!$B$6:$B$305,0))="Paid","Paid",IF(INDEX(Invoices!$M$6:$M$305,MATCH(P1722,Invoices!$B$6:$B$305,0))="Draft","Draft","Invoiced")))))))</f>
        <v/>
      </c>
      <c r="R1722" s="1">
        <f>IF(AND(B1722&lt;&gt;"",P1722&lt;&gt;"",P1722=Invoice!$G$4),B1722+MOD(N(F1722),1)+ROW()/10000000,"")</f>
        <v/>
      </c>
      <c r="S1722">
        <f>IF(R1722="","",IF(D1722="","Other work",D1722)&amp;IF(AND(K1722&lt;&gt;"",E1722&lt;&gt;""),", "&amp;E1722,""))</f>
        <v/>
      </c>
      <c r="T1722">
        <f>IF(R1722="","",IF(COUNTIFS(R$6:R1721,"&gt;0",S$6:S1721,S1722,N$6:N1721,N1722)=0,R1722,""))</f>
        <v/>
      </c>
      <c r="U1722">
        <f>IF(B1722="","",IF(J1722&lt;&gt;"",0,M1722))</f>
        <v/>
      </c>
    </row>
    <row r="1723">
      <c r="A1723" s="1" t="n"/>
      <c r="B1723" s="16" t="n"/>
      <c r="C1723" s="17" t="n"/>
      <c r="D1723" s="18" t="n"/>
      <c r="E1723" s="18" t="n"/>
      <c r="F1723" s="19" t="n"/>
      <c r="G1723" s="19" t="n"/>
      <c r="H1723" s="20" t="n"/>
      <c r="I1723" s="21" t="n"/>
      <c r="J1723" s="22" t="n"/>
      <c r="K1723" s="23" t="n"/>
      <c r="L1723" s="18" t="n"/>
      <c r="M1723" s="24">
        <f>IF(B1723="","",IF(AND(F1723&lt;&gt;"",G1723&lt;&gt;""),MAX(0,ROUND(MOD(G1723-F1723,1)*24-N(H1723)/60,2)),N(I1723)))</f>
        <v/>
      </c>
      <c r="N1723" s="14">
        <f>IF(B1723="","",IF(K1723&lt;&gt;"",K1723,IF(N(IFERROR(INDEX(Projects!$D$6:$D$65,MATCH(D1723,Projects!$B$6:$B$65,0)),""))&gt;0,IFERROR(INDEX(Projects!$D$6:$D$65,MATCH(D1723,Projects!$B$6:$B$65,0)),""),IFERROR(INDEX(Clients!$G$6:$G$45,MATCH(C1723,Clients!$B$6:$B$45,0)),0))))</f>
        <v/>
      </c>
      <c r="O1723" s="14">
        <f>IF(B1723="","",IF(J1723&lt;&gt;"",0,ROUND(M1723*N1723,2)))</f>
        <v/>
      </c>
      <c r="P1723" s="15">
        <f>IF(OR(B1723="",J1723&lt;&gt;""),"",IF(L1723&lt;&gt;"",L1723,IF(COUNTIFS(Invoices!$C$6:$C$305,C1723,Invoices!$E$6:$E$305,"&lt;="&amp;B1723,Invoices!$F$6:$F$305,"&gt;="&amp;B1723)=1,INDEX(Invoices!$B$6:$B$305,SUMIFS(Invoices!$O$6:$O$305,Invoices!$C$6:$C$305,C1723,Invoices!$E$6:$E$305,"&lt;="&amp;B1723,Invoices!$F$6:$F$305,"&gt;="&amp;B1723)),IF(COUNTIFS(Invoices!$C$6:$C$305,C1723,Invoices!$E$6:$E$305,"&lt;="&amp;B1723,Invoices!$F$6:$F$305,"&gt;="&amp;B1723)&gt;1,"Two invoices",""))))</f>
        <v/>
      </c>
      <c r="Q1723" s="15">
        <f>IF(B1723="","",IF(J1723&lt;&gt;"","Not billable",IF(P1723="","To invoice",IF(P1723="Two invoices","Check dates",IF(ISNA(MATCH(P1723,Invoices!$B$6:$B$305,0)),"Check number",IF(INDEX(Invoices!$M$6:$M$305,MATCH(P1723,Invoices!$B$6:$B$305,0))="Paid","Paid",IF(INDEX(Invoices!$M$6:$M$305,MATCH(P1723,Invoices!$B$6:$B$305,0))="Draft","Draft","Invoiced")))))))</f>
        <v/>
      </c>
      <c r="R1723" s="1">
        <f>IF(AND(B1723&lt;&gt;"",P1723&lt;&gt;"",P1723=Invoice!$G$4),B1723+MOD(N(F1723),1)+ROW()/10000000,"")</f>
        <v/>
      </c>
      <c r="S1723">
        <f>IF(R1723="","",IF(D1723="","Other work",D1723)&amp;IF(AND(K1723&lt;&gt;"",E1723&lt;&gt;""),", "&amp;E1723,""))</f>
        <v/>
      </c>
      <c r="T1723">
        <f>IF(R1723="","",IF(COUNTIFS(R$6:R1722,"&gt;0",S$6:S1722,S1723,N$6:N1722,N1723)=0,R1723,""))</f>
        <v/>
      </c>
      <c r="U1723">
        <f>IF(B1723="","",IF(J1723&lt;&gt;"",0,M1723))</f>
        <v/>
      </c>
    </row>
    <row r="1724">
      <c r="A1724" s="1" t="n"/>
      <c r="B1724" s="16" t="n"/>
      <c r="C1724" s="17" t="n"/>
      <c r="D1724" s="18" t="n"/>
      <c r="E1724" s="18" t="n"/>
      <c r="F1724" s="19" t="n"/>
      <c r="G1724" s="19" t="n"/>
      <c r="H1724" s="20" t="n"/>
      <c r="I1724" s="21" t="n"/>
      <c r="J1724" s="22" t="n"/>
      <c r="K1724" s="23" t="n"/>
      <c r="L1724" s="18" t="n"/>
      <c r="M1724" s="24">
        <f>IF(B1724="","",IF(AND(F1724&lt;&gt;"",G1724&lt;&gt;""),MAX(0,ROUND(MOD(G1724-F1724,1)*24-N(H1724)/60,2)),N(I1724)))</f>
        <v/>
      </c>
      <c r="N1724" s="14">
        <f>IF(B1724="","",IF(K1724&lt;&gt;"",K1724,IF(N(IFERROR(INDEX(Projects!$D$6:$D$65,MATCH(D1724,Projects!$B$6:$B$65,0)),""))&gt;0,IFERROR(INDEX(Projects!$D$6:$D$65,MATCH(D1724,Projects!$B$6:$B$65,0)),""),IFERROR(INDEX(Clients!$G$6:$G$45,MATCH(C1724,Clients!$B$6:$B$45,0)),0))))</f>
        <v/>
      </c>
      <c r="O1724" s="14">
        <f>IF(B1724="","",IF(J1724&lt;&gt;"",0,ROUND(M1724*N1724,2)))</f>
        <v/>
      </c>
      <c r="P1724" s="15">
        <f>IF(OR(B1724="",J1724&lt;&gt;""),"",IF(L1724&lt;&gt;"",L1724,IF(COUNTIFS(Invoices!$C$6:$C$305,C1724,Invoices!$E$6:$E$305,"&lt;="&amp;B1724,Invoices!$F$6:$F$305,"&gt;="&amp;B1724)=1,INDEX(Invoices!$B$6:$B$305,SUMIFS(Invoices!$O$6:$O$305,Invoices!$C$6:$C$305,C1724,Invoices!$E$6:$E$305,"&lt;="&amp;B1724,Invoices!$F$6:$F$305,"&gt;="&amp;B1724)),IF(COUNTIFS(Invoices!$C$6:$C$305,C1724,Invoices!$E$6:$E$305,"&lt;="&amp;B1724,Invoices!$F$6:$F$305,"&gt;="&amp;B1724)&gt;1,"Two invoices",""))))</f>
        <v/>
      </c>
      <c r="Q1724" s="15">
        <f>IF(B1724="","",IF(J1724&lt;&gt;"","Not billable",IF(P1724="","To invoice",IF(P1724="Two invoices","Check dates",IF(ISNA(MATCH(P1724,Invoices!$B$6:$B$305,0)),"Check number",IF(INDEX(Invoices!$M$6:$M$305,MATCH(P1724,Invoices!$B$6:$B$305,0))="Paid","Paid",IF(INDEX(Invoices!$M$6:$M$305,MATCH(P1724,Invoices!$B$6:$B$305,0))="Draft","Draft","Invoiced")))))))</f>
        <v/>
      </c>
      <c r="R1724" s="1">
        <f>IF(AND(B1724&lt;&gt;"",P1724&lt;&gt;"",P1724=Invoice!$G$4),B1724+MOD(N(F1724),1)+ROW()/10000000,"")</f>
        <v/>
      </c>
      <c r="S1724">
        <f>IF(R1724="","",IF(D1724="","Other work",D1724)&amp;IF(AND(K1724&lt;&gt;"",E1724&lt;&gt;""),", "&amp;E1724,""))</f>
        <v/>
      </c>
      <c r="T1724">
        <f>IF(R1724="","",IF(COUNTIFS(R$6:R1723,"&gt;0",S$6:S1723,S1724,N$6:N1723,N1724)=0,R1724,""))</f>
        <v/>
      </c>
      <c r="U1724">
        <f>IF(B1724="","",IF(J1724&lt;&gt;"",0,M1724))</f>
        <v/>
      </c>
    </row>
    <row r="1725">
      <c r="A1725" s="1" t="n"/>
      <c r="B1725" s="16" t="n"/>
      <c r="C1725" s="17" t="n"/>
      <c r="D1725" s="18" t="n"/>
      <c r="E1725" s="18" t="n"/>
      <c r="F1725" s="19" t="n"/>
      <c r="G1725" s="19" t="n"/>
      <c r="H1725" s="20" t="n"/>
      <c r="I1725" s="21" t="n"/>
      <c r="J1725" s="22" t="n"/>
      <c r="K1725" s="23" t="n"/>
      <c r="L1725" s="18" t="n"/>
      <c r="M1725" s="24">
        <f>IF(B1725="","",IF(AND(F1725&lt;&gt;"",G1725&lt;&gt;""),MAX(0,ROUND(MOD(G1725-F1725,1)*24-N(H1725)/60,2)),N(I1725)))</f>
        <v/>
      </c>
      <c r="N1725" s="14">
        <f>IF(B1725="","",IF(K1725&lt;&gt;"",K1725,IF(N(IFERROR(INDEX(Projects!$D$6:$D$65,MATCH(D1725,Projects!$B$6:$B$65,0)),""))&gt;0,IFERROR(INDEX(Projects!$D$6:$D$65,MATCH(D1725,Projects!$B$6:$B$65,0)),""),IFERROR(INDEX(Clients!$G$6:$G$45,MATCH(C1725,Clients!$B$6:$B$45,0)),0))))</f>
        <v/>
      </c>
      <c r="O1725" s="14">
        <f>IF(B1725="","",IF(J1725&lt;&gt;"",0,ROUND(M1725*N1725,2)))</f>
        <v/>
      </c>
      <c r="P1725" s="15">
        <f>IF(OR(B1725="",J1725&lt;&gt;""),"",IF(L1725&lt;&gt;"",L1725,IF(COUNTIFS(Invoices!$C$6:$C$305,C1725,Invoices!$E$6:$E$305,"&lt;="&amp;B1725,Invoices!$F$6:$F$305,"&gt;="&amp;B1725)=1,INDEX(Invoices!$B$6:$B$305,SUMIFS(Invoices!$O$6:$O$305,Invoices!$C$6:$C$305,C1725,Invoices!$E$6:$E$305,"&lt;="&amp;B1725,Invoices!$F$6:$F$305,"&gt;="&amp;B1725)),IF(COUNTIFS(Invoices!$C$6:$C$305,C1725,Invoices!$E$6:$E$305,"&lt;="&amp;B1725,Invoices!$F$6:$F$305,"&gt;="&amp;B1725)&gt;1,"Two invoices",""))))</f>
        <v/>
      </c>
      <c r="Q1725" s="15">
        <f>IF(B1725="","",IF(J1725&lt;&gt;"","Not billable",IF(P1725="","To invoice",IF(P1725="Two invoices","Check dates",IF(ISNA(MATCH(P1725,Invoices!$B$6:$B$305,0)),"Check number",IF(INDEX(Invoices!$M$6:$M$305,MATCH(P1725,Invoices!$B$6:$B$305,0))="Paid","Paid",IF(INDEX(Invoices!$M$6:$M$305,MATCH(P1725,Invoices!$B$6:$B$305,0))="Draft","Draft","Invoiced")))))))</f>
        <v/>
      </c>
      <c r="R1725" s="1">
        <f>IF(AND(B1725&lt;&gt;"",P1725&lt;&gt;"",P1725=Invoice!$G$4),B1725+MOD(N(F1725),1)+ROW()/10000000,"")</f>
        <v/>
      </c>
      <c r="S1725">
        <f>IF(R1725="","",IF(D1725="","Other work",D1725)&amp;IF(AND(K1725&lt;&gt;"",E1725&lt;&gt;""),", "&amp;E1725,""))</f>
        <v/>
      </c>
      <c r="T1725">
        <f>IF(R1725="","",IF(COUNTIFS(R$6:R1724,"&gt;0",S$6:S1724,S1725,N$6:N1724,N1725)=0,R1725,""))</f>
        <v/>
      </c>
      <c r="U1725">
        <f>IF(B1725="","",IF(J1725&lt;&gt;"",0,M1725))</f>
        <v/>
      </c>
    </row>
    <row r="1726">
      <c r="A1726" s="1" t="n"/>
      <c r="B1726" s="16" t="n"/>
      <c r="C1726" s="17" t="n"/>
      <c r="D1726" s="18" t="n"/>
      <c r="E1726" s="18" t="n"/>
      <c r="F1726" s="19" t="n"/>
      <c r="G1726" s="19" t="n"/>
      <c r="H1726" s="20" t="n"/>
      <c r="I1726" s="21" t="n"/>
      <c r="J1726" s="22" t="n"/>
      <c r="K1726" s="23" t="n"/>
      <c r="L1726" s="18" t="n"/>
      <c r="M1726" s="24">
        <f>IF(B1726="","",IF(AND(F1726&lt;&gt;"",G1726&lt;&gt;""),MAX(0,ROUND(MOD(G1726-F1726,1)*24-N(H1726)/60,2)),N(I1726)))</f>
        <v/>
      </c>
      <c r="N1726" s="14">
        <f>IF(B1726="","",IF(K1726&lt;&gt;"",K1726,IF(N(IFERROR(INDEX(Projects!$D$6:$D$65,MATCH(D1726,Projects!$B$6:$B$65,0)),""))&gt;0,IFERROR(INDEX(Projects!$D$6:$D$65,MATCH(D1726,Projects!$B$6:$B$65,0)),""),IFERROR(INDEX(Clients!$G$6:$G$45,MATCH(C1726,Clients!$B$6:$B$45,0)),0))))</f>
        <v/>
      </c>
      <c r="O1726" s="14">
        <f>IF(B1726="","",IF(J1726&lt;&gt;"",0,ROUND(M1726*N1726,2)))</f>
        <v/>
      </c>
      <c r="P1726" s="15">
        <f>IF(OR(B1726="",J1726&lt;&gt;""),"",IF(L1726&lt;&gt;"",L1726,IF(COUNTIFS(Invoices!$C$6:$C$305,C1726,Invoices!$E$6:$E$305,"&lt;="&amp;B1726,Invoices!$F$6:$F$305,"&gt;="&amp;B1726)=1,INDEX(Invoices!$B$6:$B$305,SUMIFS(Invoices!$O$6:$O$305,Invoices!$C$6:$C$305,C1726,Invoices!$E$6:$E$305,"&lt;="&amp;B1726,Invoices!$F$6:$F$305,"&gt;="&amp;B1726)),IF(COUNTIFS(Invoices!$C$6:$C$305,C1726,Invoices!$E$6:$E$305,"&lt;="&amp;B1726,Invoices!$F$6:$F$305,"&gt;="&amp;B1726)&gt;1,"Two invoices",""))))</f>
        <v/>
      </c>
      <c r="Q1726" s="15">
        <f>IF(B1726="","",IF(J1726&lt;&gt;"","Not billable",IF(P1726="","To invoice",IF(P1726="Two invoices","Check dates",IF(ISNA(MATCH(P1726,Invoices!$B$6:$B$305,0)),"Check number",IF(INDEX(Invoices!$M$6:$M$305,MATCH(P1726,Invoices!$B$6:$B$305,0))="Paid","Paid",IF(INDEX(Invoices!$M$6:$M$305,MATCH(P1726,Invoices!$B$6:$B$305,0))="Draft","Draft","Invoiced")))))))</f>
        <v/>
      </c>
      <c r="R1726" s="1">
        <f>IF(AND(B1726&lt;&gt;"",P1726&lt;&gt;"",P1726=Invoice!$G$4),B1726+MOD(N(F1726),1)+ROW()/10000000,"")</f>
        <v/>
      </c>
      <c r="S1726">
        <f>IF(R1726="","",IF(D1726="","Other work",D1726)&amp;IF(AND(K1726&lt;&gt;"",E1726&lt;&gt;""),", "&amp;E1726,""))</f>
        <v/>
      </c>
      <c r="T1726">
        <f>IF(R1726="","",IF(COUNTIFS(R$6:R1725,"&gt;0",S$6:S1725,S1726,N$6:N1725,N1726)=0,R1726,""))</f>
        <v/>
      </c>
      <c r="U1726">
        <f>IF(B1726="","",IF(J1726&lt;&gt;"",0,M1726))</f>
        <v/>
      </c>
    </row>
    <row r="1727">
      <c r="A1727" s="1" t="n"/>
      <c r="B1727" s="16" t="n"/>
      <c r="C1727" s="17" t="n"/>
      <c r="D1727" s="18" t="n"/>
      <c r="E1727" s="18" t="n"/>
      <c r="F1727" s="19" t="n"/>
      <c r="G1727" s="19" t="n"/>
      <c r="H1727" s="20" t="n"/>
      <c r="I1727" s="21" t="n"/>
      <c r="J1727" s="22" t="n"/>
      <c r="K1727" s="23" t="n"/>
      <c r="L1727" s="18" t="n"/>
      <c r="M1727" s="24">
        <f>IF(B1727="","",IF(AND(F1727&lt;&gt;"",G1727&lt;&gt;""),MAX(0,ROUND(MOD(G1727-F1727,1)*24-N(H1727)/60,2)),N(I1727)))</f>
        <v/>
      </c>
      <c r="N1727" s="14">
        <f>IF(B1727="","",IF(K1727&lt;&gt;"",K1727,IF(N(IFERROR(INDEX(Projects!$D$6:$D$65,MATCH(D1727,Projects!$B$6:$B$65,0)),""))&gt;0,IFERROR(INDEX(Projects!$D$6:$D$65,MATCH(D1727,Projects!$B$6:$B$65,0)),""),IFERROR(INDEX(Clients!$G$6:$G$45,MATCH(C1727,Clients!$B$6:$B$45,0)),0))))</f>
        <v/>
      </c>
      <c r="O1727" s="14">
        <f>IF(B1727="","",IF(J1727&lt;&gt;"",0,ROUND(M1727*N1727,2)))</f>
        <v/>
      </c>
      <c r="P1727" s="15">
        <f>IF(OR(B1727="",J1727&lt;&gt;""),"",IF(L1727&lt;&gt;"",L1727,IF(COUNTIFS(Invoices!$C$6:$C$305,C1727,Invoices!$E$6:$E$305,"&lt;="&amp;B1727,Invoices!$F$6:$F$305,"&gt;="&amp;B1727)=1,INDEX(Invoices!$B$6:$B$305,SUMIFS(Invoices!$O$6:$O$305,Invoices!$C$6:$C$305,C1727,Invoices!$E$6:$E$305,"&lt;="&amp;B1727,Invoices!$F$6:$F$305,"&gt;="&amp;B1727)),IF(COUNTIFS(Invoices!$C$6:$C$305,C1727,Invoices!$E$6:$E$305,"&lt;="&amp;B1727,Invoices!$F$6:$F$305,"&gt;="&amp;B1727)&gt;1,"Two invoices",""))))</f>
        <v/>
      </c>
      <c r="Q1727" s="15">
        <f>IF(B1727="","",IF(J1727&lt;&gt;"","Not billable",IF(P1727="","To invoice",IF(P1727="Two invoices","Check dates",IF(ISNA(MATCH(P1727,Invoices!$B$6:$B$305,0)),"Check number",IF(INDEX(Invoices!$M$6:$M$305,MATCH(P1727,Invoices!$B$6:$B$305,0))="Paid","Paid",IF(INDEX(Invoices!$M$6:$M$305,MATCH(P1727,Invoices!$B$6:$B$305,0))="Draft","Draft","Invoiced")))))))</f>
        <v/>
      </c>
      <c r="R1727" s="1">
        <f>IF(AND(B1727&lt;&gt;"",P1727&lt;&gt;"",P1727=Invoice!$G$4),B1727+MOD(N(F1727),1)+ROW()/10000000,"")</f>
        <v/>
      </c>
      <c r="S1727">
        <f>IF(R1727="","",IF(D1727="","Other work",D1727)&amp;IF(AND(K1727&lt;&gt;"",E1727&lt;&gt;""),", "&amp;E1727,""))</f>
        <v/>
      </c>
      <c r="T1727">
        <f>IF(R1727="","",IF(COUNTIFS(R$6:R1726,"&gt;0",S$6:S1726,S1727,N$6:N1726,N1727)=0,R1727,""))</f>
        <v/>
      </c>
      <c r="U1727">
        <f>IF(B1727="","",IF(J1727&lt;&gt;"",0,M1727))</f>
        <v/>
      </c>
    </row>
    <row r="1728">
      <c r="A1728" s="1" t="n"/>
      <c r="B1728" s="16" t="n"/>
      <c r="C1728" s="17" t="n"/>
      <c r="D1728" s="18" t="n"/>
      <c r="E1728" s="18" t="n"/>
      <c r="F1728" s="19" t="n"/>
      <c r="G1728" s="19" t="n"/>
      <c r="H1728" s="20" t="n"/>
      <c r="I1728" s="21" t="n"/>
      <c r="J1728" s="22" t="n"/>
      <c r="K1728" s="23" t="n"/>
      <c r="L1728" s="18" t="n"/>
      <c r="M1728" s="24">
        <f>IF(B1728="","",IF(AND(F1728&lt;&gt;"",G1728&lt;&gt;""),MAX(0,ROUND(MOD(G1728-F1728,1)*24-N(H1728)/60,2)),N(I1728)))</f>
        <v/>
      </c>
      <c r="N1728" s="14">
        <f>IF(B1728="","",IF(K1728&lt;&gt;"",K1728,IF(N(IFERROR(INDEX(Projects!$D$6:$D$65,MATCH(D1728,Projects!$B$6:$B$65,0)),""))&gt;0,IFERROR(INDEX(Projects!$D$6:$D$65,MATCH(D1728,Projects!$B$6:$B$65,0)),""),IFERROR(INDEX(Clients!$G$6:$G$45,MATCH(C1728,Clients!$B$6:$B$45,0)),0))))</f>
        <v/>
      </c>
      <c r="O1728" s="14">
        <f>IF(B1728="","",IF(J1728&lt;&gt;"",0,ROUND(M1728*N1728,2)))</f>
        <v/>
      </c>
      <c r="P1728" s="15">
        <f>IF(OR(B1728="",J1728&lt;&gt;""),"",IF(L1728&lt;&gt;"",L1728,IF(COUNTIFS(Invoices!$C$6:$C$305,C1728,Invoices!$E$6:$E$305,"&lt;="&amp;B1728,Invoices!$F$6:$F$305,"&gt;="&amp;B1728)=1,INDEX(Invoices!$B$6:$B$305,SUMIFS(Invoices!$O$6:$O$305,Invoices!$C$6:$C$305,C1728,Invoices!$E$6:$E$305,"&lt;="&amp;B1728,Invoices!$F$6:$F$305,"&gt;="&amp;B1728)),IF(COUNTIFS(Invoices!$C$6:$C$305,C1728,Invoices!$E$6:$E$305,"&lt;="&amp;B1728,Invoices!$F$6:$F$305,"&gt;="&amp;B1728)&gt;1,"Two invoices",""))))</f>
        <v/>
      </c>
      <c r="Q1728" s="15">
        <f>IF(B1728="","",IF(J1728&lt;&gt;"","Not billable",IF(P1728="","To invoice",IF(P1728="Two invoices","Check dates",IF(ISNA(MATCH(P1728,Invoices!$B$6:$B$305,0)),"Check number",IF(INDEX(Invoices!$M$6:$M$305,MATCH(P1728,Invoices!$B$6:$B$305,0))="Paid","Paid",IF(INDEX(Invoices!$M$6:$M$305,MATCH(P1728,Invoices!$B$6:$B$305,0))="Draft","Draft","Invoiced")))))))</f>
        <v/>
      </c>
      <c r="R1728" s="1">
        <f>IF(AND(B1728&lt;&gt;"",P1728&lt;&gt;"",P1728=Invoice!$G$4),B1728+MOD(N(F1728),1)+ROW()/10000000,"")</f>
        <v/>
      </c>
      <c r="S1728">
        <f>IF(R1728="","",IF(D1728="","Other work",D1728)&amp;IF(AND(K1728&lt;&gt;"",E1728&lt;&gt;""),", "&amp;E1728,""))</f>
        <v/>
      </c>
      <c r="T1728">
        <f>IF(R1728="","",IF(COUNTIFS(R$6:R1727,"&gt;0",S$6:S1727,S1728,N$6:N1727,N1728)=0,R1728,""))</f>
        <v/>
      </c>
      <c r="U1728">
        <f>IF(B1728="","",IF(J1728&lt;&gt;"",0,M1728))</f>
        <v/>
      </c>
    </row>
    <row r="1729">
      <c r="A1729" s="1" t="n"/>
      <c r="B1729" s="16" t="n"/>
      <c r="C1729" s="17" t="n"/>
      <c r="D1729" s="18" t="n"/>
      <c r="E1729" s="18" t="n"/>
      <c r="F1729" s="19" t="n"/>
      <c r="G1729" s="19" t="n"/>
      <c r="H1729" s="20" t="n"/>
      <c r="I1729" s="21" t="n"/>
      <c r="J1729" s="22" t="n"/>
      <c r="K1729" s="23" t="n"/>
      <c r="L1729" s="18" t="n"/>
      <c r="M1729" s="24">
        <f>IF(B1729="","",IF(AND(F1729&lt;&gt;"",G1729&lt;&gt;""),MAX(0,ROUND(MOD(G1729-F1729,1)*24-N(H1729)/60,2)),N(I1729)))</f>
        <v/>
      </c>
      <c r="N1729" s="14">
        <f>IF(B1729="","",IF(K1729&lt;&gt;"",K1729,IF(N(IFERROR(INDEX(Projects!$D$6:$D$65,MATCH(D1729,Projects!$B$6:$B$65,0)),""))&gt;0,IFERROR(INDEX(Projects!$D$6:$D$65,MATCH(D1729,Projects!$B$6:$B$65,0)),""),IFERROR(INDEX(Clients!$G$6:$G$45,MATCH(C1729,Clients!$B$6:$B$45,0)),0))))</f>
        <v/>
      </c>
      <c r="O1729" s="14">
        <f>IF(B1729="","",IF(J1729&lt;&gt;"",0,ROUND(M1729*N1729,2)))</f>
        <v/>
      </c>
      <c r="P1729" s="15">
        <f>IF(OR(B1729="",J1729&lt;&gt;""),"",IF(L1729&lt;&gt;"",L1729,IF(COUNTIFS(Invoices!$C$6:$C$305,C1729,Invoices!$E$6:$E$305,"&lt;="&amp;B1729,Invoices!$F$6:$F$305,"&gt;="&amp;B1729)=1,INDEX(Invoices!$B$6:$B$305,SUMIFS(Invoices!$O$6:$O$305,Invoices!$C$6:$C$305,C1729,Invoices!$E$6:$E$305,"&lt;="&amp;B1729,Invoices!$F$6:$F$305,"&gt;="&amp;B1729)),IF(COUNTIFS(Invoices!$C$6:$C$305,C1729,Invoices!$E$6:$E$305,"&lt;="&amp;B1729,Invoices!$F$6:$F$305,"&gt;="&amp;B1729)&gt;1,"Two invoices",""))))</f>
        <v/>
      </c>
      <c r="Q1729" s="15">
        <f>IF(B1729="","",IF(J1729&lt;&gt;"","Not billable",IF(P1729="","To invoice",IF(P1729="Two invoices","Check dates",IF(ISNA(MATCH(P1729,Invoices!$B$6:$B$305,0)),"Check number",IF(INDEX(Invoices!$M$6:$M$305,MATCH(P1729,Invoices!$B$6:$B$305,0))="Paid","Paid",IF(INDEX(Invoices!$M$6:$M$305,MATCH(P1729,Invoices!$B$6:$B$305,0))="Draft","Draft","Invoiced")))))))</f>
        <v/>
      </c>
      <c r="R1729" s="1">
        <f>IF(AND(B1729&lt;&gt;"",P1729&lt;&gt;"",P1729=Invoice!$G$4),B1729+MOD(N(F1729),1)+ROW()/10000000,"")</f>
        <v/>
      </c>
      <c r="S1729">
        <f>IF(R1729="","",IF(D1729="","Other work",D1729)&amp;IF(AND(K1729&lt;&gt;"",E1729&lt;&gt;""),", "&amp;E1729,""))</f>
        <v/>
      </c>
      <c r="T1729">
        <f>IF(R1729="","",IF(COUNTIFS(R$6:R1728,"&gt;0",S$6:S1728,S1729,N$6:N1728,N1729)=0,R1729,""))</f>
        <v/>
      </c>
      <c r="U1729">
        <f>IF(B1729="","",IF(J1729&lt;&gt;"",0,M1729))</f>
        <v/>
      </c>
    </row>
    <row r="1730">
      <c r="A1730" s="1" t="n"/>
      <c r="B1730" s="16" t="n"/>
      <c r="C1730" s="17" t="n"/>
      <c r="D1730" s="18" t="n"/>
      <c r="E1730" s="18" t="n"/>
      <c r="F1730" s="19" t="n"/>
      <c r="G1730" s="19" t="n"/>
      <c r="H1730" s="20" t="n"/>
      <c r="I1730" s="21" t="n"/>
      <c r="J1730" s="22" t="n"/>
      <c r="K1730" s="23" t="n"/>
      <c r="L1730" s="18" t="n"/>
      <c r="M1730" s="24">
        <f>IF(B1730="","",IF(AND(F1730&lt;&gt;"",G1730&lt;&gt;""),MAX(0,ROUND(MOD(G1730-F1730,1)*24-N(H1730)/60,2)),N(I1730)))</f>
        <v/>
      </c>
      <c r="N1730" s="14">
        <f>IF(B1730="","",IF(K1730&lt;&gt;"",K1730,IF(N(IFERROR(INDEX(Projects!$D$6:$D$65,MATCH(D1730,Projects!$B$6:$B$65,0)),""))&gt;0,IFERROR(INDEX(Projects!$D$6:$D$65,MATCH(D1730,Projects!$B$6:$B$65,0)),""),IFERROR(INDEX(Clients!$G$6:$G$45,MATCH(C1730,Clients!$B$6:$B$45,0)),0))))</f>
        <v/>
      </c>
      <c r="O1730" s="14">
        <f>IF(B1730="","",IF(J1730&lt;&gt;"",0,ROUND(M1730*N1730,2)))</f>
        <v/>
      </c>
      <c r="P1730" s="15">
        <f>IF(OR(B1730="",J1730&lt;&gt;""),"",IF(L1730&lt;&gt;"",L1730,IF(COUNTIFS(Invoices!$C$6:$C$305,C1730,Invoices!$E$6:$E$305,"&lt;="&amp;B1730,Invoices!$F$6:$F$305,"&gt;="&amp;B1730)=1,INDEX(Invoices!$B$6:$B$305,SUMIFS(Invoices!$O$6:$O$305,Invoices!$C$6:$C$305,C1730,Invoices!$E$6:$E$305,"&lt;="&amp;B1730,Invoices!$F$6:$F$305,"&gt;="&amp;B1730)),IF(COUNTIFS(Invoices!$C$6:$C$305,C1730,Invoices!$E$6:$E$305,"&lt;="&amp;B1730,Invoices!$F$6:$F$305,"&gt;="&amp;B1730)&gt;1,"Two invoices",""))))</f>
        <v/>
      </c>
      <c r="Q1730" s="15">
        <f>IF(B1730="","",IF(J1730&lt;&gt;"","Not billable",IF(P1730="","To invoice",IF(P1730="Two invoices","Check dates",IF(ISNA(MATCH(P1730,Invoices!$B$6:$B$305,0)),"Check number",IF(INDEX(Invoices!$M$6:$M$305,MATCH(P1730,Invoices!$B$6:$B$305,0))="Paid","Paid",IF(INDEX(Invoices!$M$6:$M$305,MATCH(P1730,Invoices!$B$6:$B$305,0))="Draft","Draft","Invoiced")))))))</f>
        <v/>
      </c>
      <c r="R1730" s="1">
        <f>IF(AND(B1730&lt;&gt;"",P1730&lt;&gt;"",P1730=Invoice!$G$4),B1730+MOD(N(F1730),1)+ROW()/10000000,"")</f>
        <v/>
      </c>
      <c r="S1730">
        <f>IF(R1730="","",IF(D1730="","Other work",D1730)&amp;IF(AND(K1730&lt;&gt;"",E1730&lt;&gt;""),", "&amp;E1730,""))</f>
        <v/>
      </c>
      <c r="T1730">
        <f>IF(R1730="","",IF(COUNTIFS(R$6:R1729,"&gt;0",S$6:S1729,S1730,N$6:N1729,N1730)=0,R1730,""))</f>
        <v/>
      </c>
      <c r="U1730">
        <f>IF(B1730="","",IF(J1730&lt;&gt;"",0,M1730))</f>
        <v/>
      </c>
    </row>
    <row r="1731">
      <c r="A1731" s="1" t="n"/>
      <c r="B1731" s="16" t="n"/>
      <c r="C1731" s="17" t="n"/>
      <c r="D1731" s="18" t="n"/>
      <c r="E1731" s="18" t="n"/>
      <c r="F1731" s="19" t="n"/>
      <c r="G1731" s="19" t="n"/>
      <c r="H1731" s="20" t="n"/>
      <c r="I1731" s="21" t="n"/>
      <c r="J1731" s="22" t="n"/>
      <c r="K1731" s="23" t="n"/>
      <c r="L1731" s="18" t="n"/>
      <c r="M1731" s="24">
        <f>IF(B1731="","",IF(AND(F1731&lt;&gt;"",G1731&lt;&gt;""),MAX(0,ROUND(MOD(G1731-F1731,1)*24-N(H1731)/60,2)),N(I1731)))</f>
        <v/>
      </c>
      <c r="N1731" s="14">
        <f>IF(B1731="","",IF(K1731&lt;&gt;"",K1731,IF(N(IFERROR(INDEX(Projects!$D$6:$D$65,MATCH(D1731,Projects!$B$6:$B$65,0)),""))&gt;0,IFERROR(INDEX(Projects!$D$6:$D$65,MATCH(D1731,Projects!$B$6:$B$65,0)),""),IFERROR(INDEX(Clients!$G$6:$G$45,MATCH(C1731,Clients!$B$6:$B$45,0)),0))))</f>
        <v/>
      </c>
      <c r="O1731" s="14">
        <f>IF(B1731="","",IF(J1731&lt;&gt;"",0,ROUND(M1731*N1731,2)))</f>
        <v/>
      </c>
      <c r="P1731" s="15">
        <f>IF(OR(B1731="",J1731&lt;&gt;""),"",IF(L1731&lt;&gt;"",L1731,IF(COUNTIFS(Invoices!$C$6:$C$305,C1731,Invoices!$E$6:$E$305,"&lt;="&amp;B1731,Invoices!$F$6:$F$305,"&gt;="&amp;B1731)=1,INDEX(Invoices!$B$6:$B$305,SUMIFS(Invoices!$O$6:$O$305,Invoices!$C$6:$C$305,C1731,Invoices!$E$6:$E$305,"&lt;="&amp;B1731,Invoices!$F$6:$F$305,"&gt;="&amp;B1731)),IF(COUNTIFS(Invoices!$C$6:$C$305,C1731,Invoices!$E$6:$E$305,"&lt;="&amp;B1731,Invoices!$F$6:$F$305,"&gt;="&amp;B1731)&gt;1,"Two invoices",""))))</f>
        <v/>
      </c>
      <c r="Q1731" s="15">
        <f>IF(B1731="","",IF(J1731&lt;&gt;"","Not billable",IF(P1731="","To invoice",IF(P1731="Two invoices","Check dates",IF(ISNA(MATCH(P1731,Invoices!$B$6:$B$305,0)),"Check number",IF(INDEX(Invoices!$M$6:$M$305,MATCH(P1731,Invoices!$B$6:$B$305,0))="Paid","Paid",IF(INDEX(Invoices!$M$6:$M$305,MATCH(P1731,Invoices!$B$6:$B$305,0))="Draft","Draft","Invoiced")))))))</f>
        <v/>
      </c>
      <c r="R1731" s="1">
        <f>IF(AND(B1731&lt;&gt;"",P1731&lt;&gt;"",P1731=Invoice!$G$4),B1731+MOD(N(F1731),1)+ROW()/10000000,"")</f>
        <v/>
      </c>
      <c r="S1731">
        <f>IF(R1731="","",IF(D1731="","Other work",D1731)&amp;IF(AND(K1731&lt;&gt;"",E1731&lt;&gt;""),", "&amp;E1731,""))</f>
        <v/>
      </c>
      <c r="T1731">
        <f>IF(R1731="","",IF(COUNTIFS(R$6:R1730,"&gt;0",S$6:S1730,S1731,N$6:N1730,N1731)=0,R1731,""))</f>
        <v/>
      </c>
      <c r="U1731">
        <f>IF(B1731="","",IF(J1731&lt;&gt;"",0,M1731))</f>
        <v/>
      </c>
    </row>
    <row r="1732">
      <c r="A1732" s="1" t="n"/>
      <c r="B1732" s="16" t="n"/>
      <c r="C1732" s="17" t="n"/>
      <c r="D1732" s="18" t="n"/>
      <c r="E1732" s="18" t="n"/>
      <c r="F1732" s="19" t="n"/>
      <c r="G1732" s="19" t="n"/>
      <c r="H1732" s="20" t="n"/>
      <c r="I1732" s="21" t="n"/>
      <c r="J1732" s="22" t="n"/>
      <c r="K1732" s="23" t="n"/>
      <c r="L1732" s="18" t="n"/>
      <c r="M1732" s="24">
        <f>IF(B1732="","",IF(AND(F1732&lt;&gt;"",G1732&lt;&gt;""),MAX(0,ROUND(MOD(G1732-F1732,1)*24-N(H1732)/60,2)),N(I1732)))</f>
        <v/>
      </c>
      <c r="N1732" s="14">
        <f>IF(B1732="","",IF(K1732&lt;&gt;"",K1732,IF(N(IFERROR(INDEX(Projects!$D$6:$D$65,MATCH(D1732,Projects!$B$6:$B$65,0)),""))&gt;0,IFERROR(INDEX(Projects!$D$6:$D$65,MATCH(D1732,Projects!$B$6:$B$65,0)),""),IFERROR(INDEX(Clients!$G$6:$G$45,MATCH(C1732,Clients!$B$6:$B$45,0)),0))))</f>
        <v/>
      </c>
      <c r="O1732" s="14">
        <f>IF(B1732="","",IF(J1732&lt;&gt;"",0,ROUND(M1732*N1732,2)))</f>
        <v/>
      </c>
      <c r="P1732" s="15">
        <f>IF(OR(B1732="",J1732&lt;&gt;""),"",IF(L1732&lt;&gt;"",L1732,IF(COUNTIFS(Invoices!$C$6:$C$305,C1732,Invoices!$E$6:$E$305,"&lt;="&amp;B1732,Invoices!$F$6:$F$305,"&gt;="&amp;B1732)=1,INDEX(Invoices!$B$6:$B$305,SUMIFS(Invoices!$O$6:$O$305,Invoices!$C$6:$C$305,C1732,Invoices!$E$6:$E$305,"&lt;="&amp;B1732,Invoices!$F$6:$F$305,"&gt;="&amp;B1732)),IF(COUNTIFS(Invoices!$C$6:$C$305,C1732,Invoices!$E$6:$E$305,"&lt;="&amp;B1732,Invoices!$F$6:$F$305,"&gt;="&amp;B1732)&gt;1,"Two invoices",""))))</f>
        <v/>
      </c>
      <c r="Q1732" s="15">
        <f>IF(B1732="","",IF(J1732&lt;&gt;"","Not billable",IF(P1732="","To invoice",IF(P1732="Two invoices","Check dates",IF(ISNA(MATCH(P1732,Invoices!$B$6:$B$305,0)),"Check number",IF(INDEX(Invoices!$M$6:$M$305,MATCH(P1732,Invoices!$B$6:$B$305,0))="Paid","Paid",IF(INDEX(Invoices!$M$6:$M$305,MATCH(P1732,Invoices!$B$6:$B$305,0))="Draft","Draft","Invoiced")))))))</f>
        <v/>
      </c>
      <c r="R1732" s="1">
        <f>IF(AND(B1732&lt;&gt;"",P1732&lt;&gt;"",P1732=Invoice!$G$4),B1732+MOD(N(F1732),1)+ROW()/10000000,"")</f>
        <v/>
      </c>
      <c r="S1732">
        <f>IF(R1732="","",IF(D1732="","Other work",D1732)&amp;IF(AND(K1732&lt;&gt;"",E1732&lt;&gt;""),", "&amp;E1732,""))</f>
        <v/>
      </c>
      <c r="T1732">
        <f>IF(R1732="","",IF(COUNTIFS(R$6:R1731,"&gt;0",S$6:S1731,S1732,N$6:N1731,N1732)=0,R1732,""))</f>
        <v/>
      </c>
      <c r="U1732">
        <f>IF(B1732="","",IF(J1732&lt;&gt;"",0,M1732))</f>
        <v/>
      </c>
    </row>
    <row r="1733">
      <c r="A1733" s="1" t="n"/>
      <c r="B1733" s="16" t="n"/>
      <c r="C1733" s="17" t="n"/>
      <c r="D1733" s="18" t="n"/>
      <c r="E1733" s="18" t="n"/>
      <c r="F1733" s="19" t="n"/>
      <c r="G1733" s="19" t="n"/>
      <c r="H1733" s="20" t="n"/>
      <c r="I1733" s="21" t="n"/>
      <c r="J1733" s="22" t="n"/>
      <c r="K1733" s="23" t="n"/>
      <c r="L1733" s="18" t="n"/>
      <c r="M1733" s="24">
        <f>IF(B1733="","",IF(AND(F1733&lt;&gt;"",G1733&lt;&gt;""),MAX(0,ROUND(MOD(G1733-F1733,1)*24-N(H1733)/60,2)),N(I1733)))</f>
        <v/>
      </c>
      <c r="N1733" s="14">
        <f>IF(B1733="","",IF(K1733&lt;&gt;"",K1733,IF(N(IFERROR(INDEX(Projects!$D$6:$D$65,MATCH(D1733,Projects!$B$6:$B$65,0)),""))&gt;0,IFERROR(INDEX(Projects!$D$6:$D$65,MATCH(D1733,Projects!$B$6:$B$65,0)),""),IFERROR(INDEX(Clients!$G$6:$G$45,MATCH(C1733,Clients!$B$6:$B$45,0)),0))))</f>
        <v/>
      </c>
      <c r="O1733" s="14">
        <f>IF(B1733="","",IF(J1733&lt;&gt;"",0,ROUND(M1733*N1733,2)))</f>
        <v/>
      </c>
      <c r="P1733" s="15">
        <f>IF(OR(B1733="",J1733&lt;&gt;""),"",IF(L1733&lt;&gt;"",L1733,IF(COUNTIFS(Invoices!$C$6:$C$305,C1733,Invoices!$E$6:$E$305,"&lt;="&amp;B1733,Invoices!$F$6:$F$305,"&gt;="&amp;B1733)=1,INDEX(Invoices!$B$6:$B$305,SUMIFS(Invoices!$O$6:$O$305,Invoices!$C$6:$C$305,C1733,Invoices!$E$6:$E$305,"&lt;="&amp;B1733,Invoices!$F$6:$F$305,"&gt;="&amp;B1733)),IF(COUNTIFS(Invoices!$C$6:$C$305,C1733,Invoices!$E$6:$E$305,"&lt;="&amp;B1733,Invoices!$F$6:$F$305,"&gt;="&amp;B1733)&gt;1,"Two invoices",""))))</f>
        <v/>
      </c>
      <c r="Q1733" s="15">
        <f>IF(B1733="","",IF(J1733&lt;&gt;"","Not billable",IF(P1733="","To invoice",IF(P1733="Two invoices","Check dates",IF(ISNA(MATCH(P1733,Invoices!$B$6:$B$305,0)),"Check number",IF(INDEX(Invoices!$M$6:$M$305,MATCH(P1733,Invoices!$B$6:$B$305,0))="Paid","Paid",IF(INDEX(Invoices!$M$6:$M$305,MATCH(P1733,Invoices!$B$6:$B$305,0))="Draft","Draft","Invoiced")))))))</f>
        <v/>
      </c>
      <c r="R1733" s="1">
        <f>IF(AND(B1733&lt;&gt;"",P1733&lt;&gt;"",P1733=Invoice!$G$4),B1733+MOD(N(F1733),1)+ROW()/10000000,"")</f>
        <v/>
      </c>
      <c r="S1733">
        <f>IF(R1733="","",IF(D1733="","Other work",D1733)&amp;IF(AND(K1733&lt;&gt;"",E1733&lt;&gt;""),", "&amp;E1733,""))</f>
        <v/>
      </c>
      <c r="T1733">
        <f>IF(R1733="","",IF(COUNTIFS(R$6:R1732,"&gt;0",S$6:S1732,S1733,N$6:N1732,N1733)=0,R1733,""))</f>
        <v/>
      </c>
      <c r="U1733">
        <f>IF(B1733="","",IF(J1733&lt;&gt;"",0,M1733))</f>
        <v/>
      </c>
    </row>
    <row r="1734">
      <c r="A1734" s="1" t="n"/>
      <c r="B1734" s="16" t="n"/>
      <c r="C1734" s="17" t="n"/>
      <c r="D1734" s="18" t="n"/>
      <c r="E1734" s="18" t="n"/>
      <c r="F1734" s="19" t="n"/>
      <c r="G1734" s="19" t="n"/>
      <c r="H1734" s="20" t="n"/>
      <c r="I1734" s="21" t="n"/>
      <c r="J1734" s="22" t="n"/>
      <c r="K1734" s="23" t="n"/>
      <c r="L1734" s="18" t="n"/>
      <c r="M1734" s="24">
        <f>IF(B1734="","",IF(AND(F1734&lt;&gt;"",G1734&lt;&gt;""),MAX(0,ROUND(MOD(G1734-F1734,1)*24-N(H1734)/60,2)),N(I1734)))</f>
        <v/>
      </c>
      <c r="N1734" s="14">
        <f>IF(B1734="","",IF(K1734&lt;&gt;"",K1734,IF(N(IFERROR(INDEX(Projects!$D$6:$D$65,MATCH(D1734,Projects!$B$6:$B$65,0)),""))&gt;0,IFERROR(INDEX(Projects!$D$6:$D$65,MATCH(D1734,Projects!$B$6:$B$65,0)),""),IFERROR(INDEX(Clients!$G$6:$G$45,MATCH(C1734,Clients!$B$6:$B$45,0)),0))))</f>
        <v/>
      </c>
      <c r="O1734" s="14">
        <f>IF(B1734="","",IF(J1734&lt;&gt;"",0,ROUND(M1734*N1734,2)))</f>
        <v/>
      </c>
      <c r="P1734" s="15">
        <f>IF(OR(B1734="",J1734&lt;&gt;""),"",IF(L1734&lt;&gt;"",L1734,IF(COUNTIFS(Invoices!$C$6:$C$305,C1734,Invoices!$E$6:$E$305,"&lt;="&amp;B1734,Invoices!$F$6:$F$305,"&gt;="&amp;B1734)=1,INDEX(Invoices!$B$6:$B$305,SUMIFS(Invoices!$O$6:$O$305,Invoices!$C$6:$C$305,C1734,Invoices!$E$6:$E$305,"&lt;="&amp;B1734,Invoices!$F$6:$F$305,"&gt;="&amp;B1734)),IF(COUNTIFS(Invoices!$C$6:$C$305,C1734,Invoices!$E$6:$E$305,"&lt;="&amp;B1734,Invoices!$F$6:$F$305,"&gt;="&amp;B1734)&gt;1,"Two invoices",""))))</f>
        <v/>
      </c>
      <c r="Q1734" s="15">
        <f>IF(B1734="","",IF(J1734&lt;&gt;"","Not billable",IF(P1734="","To invoice",IF(P1734="Two invoices","Check dates",IF(ISNA(MATCH(P1734,Invoices!$B$6:$B$305,0)),"Check number",IF(INDEX(Invoices!$M$6:$M$305,MATCH(P1734,Invoices!$B$6:$B$305,0))="Paid","Paid",IF(INDEX(Invoices!$M$6:$M$305,MATCH(P1734,Invoices!$B$6:$B$305,0))="Draft","Draft","Invoiced")))))))</f>
        <v/>
      </c>
      <c r="R1734" s="1">
        <f>IF(AND(B1734&lt;&gt;"",P1734&lt;&gt;"",P1734=Invoice!$G$4),B1734+MOD(N(F1734),1)+ROW()/10000000,"")</f>
        <v/>
      </c>
      <c r="S1734">
        <f>IF(R1734="","",IF(D1734="","Other work",D1734)&amp;IF(AND(K1734&lt;&gt;"",E1734&lt;&gt;""),", "&amp;E1734,""))</f>
        <v/>
      </c>
      <c r="T1734">
        <f>IF(R1734="","",IF(COUNTIFS(R$6:R1733,"&gt;0",S$6:S1733,S1734,N$6:N1733,N1734)=0,R1734,""))</f>
        <v/>
      </c>
      <c r="U1734">
        <f>IF(B1734="","",IF(J1734&lt;&gt;"",0,M1734))</f>
        <v/>
      </c>
    </row>
    <row r="1735">
      <c r="A1735" s="1" t="n"/>
      <c r="B1735" s="16" t="n"/>
      <c r="C1735" s="17" t="n"/>
      <c r="D1735" s="18" t="n"/>
      <c r="E1735" s="18" t="n"/>
      <c r="F1735" s="19" t="n"/>
      <c r="G1735" s="19" t="n"/>
      <c r="H1735" s="20" t="n"/>
      <c r="I1735" s="21" t="n"/>
      <c r="J1735" s="22" t="n"/>
      <c r="K1735" s="23" t="n"/>
      <c r="L1735" s="18" t="n"/>
      <c r="M1735" s="24">
        <f>IF(B1735="","",IF(AND(F1735&lt;&gt;"",G1735&lt;&gt;""),MAX(0,ROUND(MOD(G1735-F1735,1)*24-N(H1735)/60,2)),N(I1735)))</f>
        <v/>
      </c>
      <c r="N1735" s="14">
        <f>IF(B1735="","",IF(K1735&lt;&gt;"",K1735,IF(N(IFERROR(INDEX(Projects!$D$6:$D$65,MATCH(D1735,Projects!$B$6:$B$65,0)),""))&gt;0,IFERROR(INDEX(Projects!$D$6:$D$65,MATCH(D1735,Projects!$B$6:$B$65,0)),""),IFERROR(INDEX(Clients!$G$6:$G$45,MATCH(C1735,Clients!$B$6:$B$45,0)),0))))</f>
        <v/>
      </c>
      <c r="O1735" s="14">
        <f>IF(B1735="","",IF(J1735&lt;&gt;"",0,ROUND(M1735*N1735,2)))</f>
        <v/>
      </c>
      <c r="P1735" s="15">
        <f>IF(OR(B1735="",J1735&lt;&gt;""),"",IF(L1735&lt;&gt;"",L1735,IF(COUNTIFS(Invoices!$C$6:$C$305,C1735,Invoices!$E$6:$E$305,"&lt;="&amp;B1735,Invoices!$F$6:$F$305,"&gt;="&amp;B1735)=1,INDEX(Invoices!$B$6:$B$305,SUMIFS(Invoices!$O$6:$O$305,Invoices!$C$6:$C$305,C1735,Invoices!$E$6:$E$305,"&lt;="&amp;B1735,Invoices!$F$6:$F$305,"&gt;="&amp;B1735)),IF(COUNTIFS(Invoices!$C$6:$C$305,C1735,Invoices!$E$6:$E$305,"&lt;="&amp;B1735,Invoices!$F$6:$F$305,"&gt;="&amp;B1735)&gt;1,"Two invoices",""))))</f>
        <v/>
      </c>
      <c r="Q1735" s="15">
        <f>IF(B1735="","",IF(J1735&lt;&gt;"","Not billable",IF(P1735="","To invoice",IF(P1735="Two invoices","Check dates",IF(ISNA(MATCH(P1735,Invoices!$B$6:$B$305,0)),"Check number",IF(INDEX(Invoices!$M$6:$M$305,MATCH(P1735,Invoices!$B$6:$B$305,0))="Paid","Paid",IF(INDEX(Invoices!$M$6:$M$305,MATCH(P1735,Invoices!$B$6:$B$305,0))="Draft","Draft","Invoiced")))))))</f>
        <v/>
      </c>
      <c r="R1735" s="1">
        <f>IF(AND(B1735&lt;&gt;"",P1735&lt;&gt;"",P1735=Invoice!$G$4),B1735+MOD(N(F1735),1)+ROW()/10000000,"")</f>
        <v/>
      </c>
      <c r="S1735">
        <f>IF(R1735="","",IF(D1735="","Other work",D1735)&amp;IF(AND(K1735&lt;&gt;"",E1735&lt;&gt;""),", "&amp;E1735,""))</f>
        <v/>
      </c>
      <c r="T1735">
        <f>IF(R1735="","",IF(COUNTIFS(R$6:R1734,"&gt;0",S$6:S1734,S1735,N$6:N1734,N1735)=0,R1735,""))</f>
        <v/>
      </c>
      <c r="U1735">
        <f>IF(B1735="","",IF(J1735&lt;&gt;"",0,M1735))</f>
        <v/>
      </c>
    </row>
    <row r="1736">
      <c r="A1736" s="1" t="n"/>
      <c r="B1736" s="16" t="n"/>
      <c r="C1736" s="17" t="n"/>
      <c r="D1736" s="18" t="n"/>
      <c r="E1736" s="18" t="n"/>
      <c r="F1736" s="19" t="n"/>
      <c r="G1736" s="19" t="n"/>
      <c r="H1736" s="20" t="n"/>
      <c r="I1736" s="21" t="n"/>
      <c r="J1736" s="22" t="n"/>
      <c r="K1736" s="23" t="n"/>
      <c r="L1736" s="18" t="n"/>
      <c r="M1736" s="24">
        <f>IF(B1736="","",IF(AND(F1736&lt;&gt;"",G1736&lt;&gt;""),MAX(0,ROUND(MOD(G1736-F1736,1)*24-N(H1736)/60,2)),N(I1736)))</f>
        <v/>
      </c>
      <c r="N1736" s="14">
        <f>IF(B1736="","",IF(K1736&lt;&gt;"",K1736,IF(N(IFERROR(INDEX(Projects!$D$6:$D$65,MATCH(D1736,Projects!$B$6:$B$65,0)),""))&gt;0,IFERROR(INDEX(Projects!$D$6:$D$65,MATCH(D1736,Projects!$B$6:$B$65,0)),""),IFERROR(INDEX(Clients!$G$6:$G$45,MATCH(C1736,Clients!$B$6:$B$45,0)),0))))</f>
        <v/>
      </c>
      <c r="O1736" s="14">
        <f>IF(B1736="","",IF(J1736&lt;&gt;"",0,ROUND(M1736*N1736,2)))</f>
        <v/>
      </c>
      <c r="P1736" s="15">
        <f>IF(OR(B1736="",J1736&lt;&gt;""),"",IF(L1736&lt;&gt;"",L1736,IF(COUNTIFS(Invoices!$C$6:$C$305,C1736,Invoices!$E$6:$E$305,"&lt;="&amp;B1736,Invoices!$F$6:$F$305,"&gt;="&amp;B1736)=1,INDEX(Invoices!$B$6:$B$305,SUMIFS(Invoices!$O$6:$O$305,Invoices!$C$6:$C$305,C1736,Invoices!$E$6:$E$305,"&lt;="&amp;B1736,Invoices!$F$6:$F$305,"&gt;="&amp;B1736)),IF(COUNTIFS(Invoices!$C$6:$C$305,C1736,Invoices!$E$6:$E$305,"&lt;="&amp;B1736,Invoices!$F$6:$F$305,"&gt;="&amp;B1736)&gt;1,"Two invoices",""))))</f>
        <v/>
      </c>
      <c r="Q1736" s="15">
        <f>IF(B1736="","",IF(J1736&lt;&gt;"","Not billable",IF(P1736="","To invoice",IF(P1736="Two invoices","Check dates",IF(ISNA(MATCH(P1736,Invoices!$B$6:$B$305,0)),"Check number",IF(INDEX(Invoices!$M$6:$M$305,MATCH(P1736,Invoices!$B$6:$B$305,0))="Paid","Paid",IF(INDEX(Invoices!$M$6:$M$305,MATCH(P1736,Invoices!$B$6:$B$305,0))="Draft","Draft","Invoiced")))))))</f>
        <v/>
      </c>
      <c r="R1736" s="1">
        <f>IF(AND(B1736&lt;&gt;"",P1736&lt;&gt;"",P1736=Invoice!$G$4),B1736+MOD(N(F1736),1)+ROW()/10000000,"")</f>
        <v/>
      </c>
      <c r="S1736">
        <f>IF(R1736="","",IF(D1736="","Other work",D1736)&amp;IF(AND(K1736&lt;&gt;"",E1736&lt;&gt;""),", "&amp;E1736,""))</f>
        <v/>
      </c>
      <c r="T1736">
        <f>IF(R1736="","",IF(COUNTIFS(R$6:R1735,"&gt;0",S$6:S1735,S1736,N$6:N1735,N1736)=0,R1736,""))</f>
        <v/>
      </c>
      <c r="U1736">
        <f>IF(B1736="","",IF(J1736&lt;&gt;"",0,M1736))</f>
        <v/>
      </c>
    </row>
    <row r="1737">
      <c r="A1737" s="1" t="n"/>
      <c r="B1737" s="16" t="n"/>
      <c r="C1737" s="17" t="n"/>
      <c r="D1737" s="18" t="n"/>
      <c r="E1737" s="18" t="n"/>
      <c r="F1737" s="19" t="n"/>
      <c r="G1737" s="19" t="n"/>
      <c r="H1737" s="20" t="n"/>
      <c r="I1737" s="21" t="n"/>
      <c r="J1737" s="22" t="n"/>
      <c r="K1737" s="23" t="n"/>
      <c r="L1737" s="18" t="n"/>
      <c r="M1737" s="24">
        <f>IF(B1737="","",IF(AND(F1737&lt;&gt;"",G1737&lt;&gt;""),MAX(0,ROUND(MOD(G1737-F1737,1)*24-N(H1737)/60,2)),N(I1737)))</f>
        <v/>
      </c>
      <c r="N1737" s="14">
        <f>IF(B1737="","",IF(K1737&lt;&gt;"",K1737,IF(N(IFERROR(INDEX(Projects!$D$6:$D$65,MATCH(D1737,Projects!$B$6:$B$65,0)),""))&gt;0,IFERROR(INDEX(Projects!$D$6:$D$65,MATCH(D1737,Projects!$B$6:$B$65,0)),""),IFERROR(INDEX(Clients!$G$6:$G$45,MATCH(C1737,Clients!$B$6:$B$45,0)),0))))</f>
        <v/>
      </c>
      <c r="O1737" s="14">
        <f>IF(B1737="","",IF(J1737&lt;&gt;"",0,ROUND(M1737*N1737,2)))</f>
        <v/>
      </c>
      <c r="P1737" s="15">
        <f>IF(OR(B1737="",J1737&lt;&gt;""),"",IF(L1737&lt;&gt;"",L1737,IF(COUNTIFS(Invoices!$C$6:$C$305,C1737,Invoices!$E$6:$E$305,"&lt;="&amp;B1737,Invoices!$F$6:$F$305,"&gt;="&amp;B1737)=1,INDEX(Invoices!$B$6:$B$305,SUMIFS(Invoices!$O$6:$O$305,Invoices!$C$6:$C$305,C1737,Invoices!$E$6:$E$305,"&lt;="&amp;B1737,Invoices!$F$6:$F$305,"&gt;="&amp;B1737)),IF(COUNTIFS(Invoices!$C$6:$C$305,C1737,Invoices!$E$6:$E$305,"&lt;="&amp;B1737,Invoices!$F$6:$F$305,"&gt;="&amp;B1737)&gt;1,"Two invoices",""))))</f>
        <v/>
      </c>
      <c r="Q1737" s="15">
        <f>IF(B1737="","",IF(J1737&lt;&gt;"","Not billable",IF(P1737="","To invoice",IF(P1737="Two invoices","Check dates",IF(ISNA(MATCH(P1737,Invoices!$B$6:$B$305,0)),"Check number",IF(INDEX(Invoices!$M$6:$M$305,MATCH(P1737,Invoices!$B$6:$B$305,0))="Paid","Paid",IF(INDEX(Invoices!$M$6:$M$305,MATCH(P1737,Invoices!$B$6:$B$305,0))="Draft","Draft","Invoiced")))))))</f>
        <v/>
      </c>
      <c r="R1737" s="1">
        <f>IF(AND(B1737&lt;&gt;"",P1737&lt;&gt;"",P1737=Invoice!$G$4),B1737+MOD(N(F1737),1)+ROW()/10000000,"")</f>
        <v/>
      </c>
      <c r="S1737">
        <f>IF(R1737="","",IF(D1737="","Other work",D1737)&amp;IF(AND(K1737&lt;&gt;"",E1737&lt;&gt;""),", "&amp;E1737,""))</f>
        <v/>
      </c>
      <c r="T1737">
        <f>IF(R1737="","",IF(COUNTIFS(R$6:R1736,"&gt;0",S$6:S1736,S1737,N$6:N1736,N1737)=0,R1737,""))</f>
        <v/>
      </c>
      <c r="U1737">
        <f>IF(B1737="","",IF(J1737&lt;&gt;"",0,M1737))</f>
        <v/>
      </c>
    </row>
    <row r="1738">
      <c r="A1738" s="1" t="n"/>
      <c r="B1738" s="16" t="n"/>
      <c r="C1738" s="17" t="n"/>
      <c r="D1738" s="18" t="n"/>
      <c r="E1738" s="18" t="n"/>
      <c r="F1738" s="19" t="n"/>
      <c r="G1738" s="19" t="n"/>
      <c r="H1738" s="20" t="n"/>
      <c r="I1738" s="21" t="n"/>
      <c r="J1738" s="22" t="n"/>
      <c r="K1738" s="23" t="n"/>
      <c r="L1738" s="18" t="n"/>
      <c r="M1738" s="24">
        <f>IF(B1738="","",IF(AND(F1738&lt;&gt;"",G1738&lt;&gt;""),MAX(0,ROUND(MOD(G1738-F1738,1)*24-N(H1738)/60,2)),N(I1738)))</f>
        <v/>
      </c>
      <c r="N1738" s="14">
        <f>IF(B1738="","",IF(K1738&lt;&gt;"",K1738,IF(N(IFERROR(INDEX(Projects!$D$6:$D$65,MATCH(D1738,Projects!$B$6:$B$65,0)),""))&gt;0,IFERROR(INDEX(Projects!$D$6:$D$65,MATCH(D1738,Projects!$B$6:$B$65,0)),""),IFERROR(INDEX(Clients!$G$6:$G$45,MATCH(C1738,Clients!$B$6:$B$45,0)),0))))</f>
        <v/>
      </c>
      <c r="O1738" s="14">
        <f>IF(B1738="","",IF(J1738&lt;&gt;"",0,ROUND(M1738*N1738,2)))</f>
        <v/>
      </c>
      <c r="P1738" s="15">
        <f>IF(OR(B1738="",J1738&lt;&gt;""),"",IF(L1738&lt;&gt;"",L1738,IF(COUNTIFS(Invoices!$C$6:$C$305,C1738,Invoices!$E$6:$E$305,"&lt;="&amp;B1738,Invoices!$F$6:$F$305,"&gt;="&amp;B1738)=1,INDEX(Invoices!$B$6:$B$305,SUMIFS(Invoices!$O$6:$O$305,Invoices!$C$6:$C$305,C1738,Invoices!$E$6:$E$305,"&lt;="&amp;B1738,Invoices!$F$6:$F$305,"&gt;="&amp;B1738)),IF(COUNTIFS(Invoices!$C$6:$C$305,C1738,Invoices!$E$6:$E$305,"&lt;="&amp;B1738,Invoices!$F$6:$F$305,"&gt;="&amp;B1738)&gt;1,"Two invoices",""))))</f>
        <v/>
      </c>
      <c r="Q1738" s="15">
        <f>IF(B1738="","",IF(J1738&lt;&gt;"","Not billable",IF(P1738="","To invoice",IF(P1738="Two invoices","Check dates",IF(ISNA(MATCH(P1738,Invoices!$B$6:$B$305,0)),"Check number",IF(INDEX(Invoices!$M$6:$M$305,MATCH(P1738,Invoices!$B$6:$B$305,0))="Paid","Paid",IF(INDEX(Invoices!$M$6:$M$305,MATCH(P1738,Invoices!$B$6:$B$305,0))="Draft","Draft","Invoiced")))))))</f>
        <v/>
      </c>
      <c r="R1738" s="1">
        <f>IF(AND(B1738&lt;&gt;"",P1738&lt;&gt;"",P1738=Invoice!$G$4),B1738+MOD(N(F1738),1)+ROW()/10000000,"")</f>
        <v/>
      </c>
      <c r="S1738">
        <f>IF(R1738="","",IF(D1738="","Other work",D1738)&amp;IF(AND(K1738&lt;&gt;"",E1738&lt;&gt;""),", "&amp;E1738,""))</f>
        <v/>
      </c>
      <c r="T1738">
        <f>IF(R1738="","",IF(COUNTIFS(R$6:R1737,"&gt;0",S$6:S1737,S1738,N$6:N1737,N1738)=0,R1738,""))</f>
        <v/>
      </c>
      <c r="U1738">
        <f>IF(B1738="","",IF(J1738&lt;&gt;"",0,M1738))</f>
        <v/>
      </c>
    </row>
    <row r="1739">
      <c r="A1739" s="1" t="n"/>
      <c r="B1739" s="16" t="n"/>
      <c r="C1739" s="17" t="n"/>
      <c r="D1739" s="18" t="n"/>
      <c r="E1739" s="18" t="n"/>
      <c r="F1739" s="19" t="n"/>
      <c r="G1739" s="19" t="n"/>
      <c r="H1739" s="20" t="n"/>
      <c r="I1739" s="21" t="n"/>
      <c r="J1739" s="22" t="n"/>
      <c r="K1739" s="23" t="n"/>
      <c r="L1739" s="18" t="n"/>
      <c r="M1739" s="24">
        <f>IF(B1739="","",IF(AND(F1739&lt;&gt;"",G1739&lt;&gt;""),MAX(0,ROUND(MOD(G1739-F1739,1)*24-N(H1739)/60,2)),N(I1739)))</f>
        <v/>
      </c>
      <c r="N1739" s="14">
        <f>IF(B1739="","",IF(K1739&lt;&gt;"",K1739,IF(N(IFERROR(INDEX(Projects!$D$6:$D$65,MATCH(D1739,Projects!$B$6:$B$65,0)),""))&gt;0,IFERROR(INDEX(Projects!$D$6:$D$65,MATCH(D1739,Projects!$B$6:$B$65,0)),""),IFERROR(INDEX(Clients!$G$6:$G$45,MATCH(C1739,Clients!$B$6:$B$45,0)),0))))</f>
        <v/>
      </c>
      <c r="O1739" s="14">
        <f>IF(B1739="","",IF(J1739&lt;&gt;"",0,ROUND(M1739*N1739,2)))</f>
        <v/>
      </c>
      <c r="P1739" s="15">
        <f>IF(OR(B1739="",J1739&lt;&gt;""),"",IF(L1739&lt;&gt;"",L1739,IF(COUNTIFS(Invoices!$C$6:$C$305,C1739,Invoices!$E$6:$E$305,"&lt;="&amp;B1739,Invoices!$F$6:$F$305,"&gt;="&amp;B1739)=1,INDEX(Invoices!$B$6:$B$305,SUMIFS(Invoices!$O$6:$O$305,Invoices!$C$6:$C$305,C1739,Invoices!$E$6:$E$305,"&lt;="&amp;B1739,Invoices!$F$6:$F$305,"&gt;="&amp;B1739)),IF(COUNTIFS(Invoices!$C$6:$C$305,C1739,Invoices!$E$6:$E$305,"&lt;="&amp;B1739,Invoices!$F$6:$F$305,"&gt;="&amp;B1739)&gt;1,"Two invoices",""))))</f>
        <v/>
      </c>
      <c r="Q1739" s="15">
        <f>IF(B1739="","",IF(J1739&lt;&gt;"","Not billable",IF(P1739="","To invoice",IF(P1739="Two invoices","Check dates",IF(ISNA(MATCH(P1739,Invoices!$B$6:$B$305,0)),"Check number",IF(INDEX(Invoices!$M$6:$M$305,MATCH(P1739,Invoices!$B$6:$B$305,0))="Paid","Paid",IF(INDEX(Invoices!$M$6:$M$305,MATCH(P1739,Invoices!$B$6:$B$305,0))="Draft","Draft","Invoiced")))))))</f>
        <v/>
      </c>
      <c r="R1739" s="1">
        <f>IF(AND(B1739&lt;&gt;"",P1739&lt;&gt;"",P1739=Invoice!$G$4),B1739+MOD(N(F1739),1)+ROW()/10000000,"")</f>
        <v/>
      </c>
      <c r="S1739">
        <f>IF(R1739="","",IF(D1739="","Other work",D1739)&amp;IF(AND(K1739&lt;&gt;"",E1739&lt;&gt;""),", "&amp;E1739,""))</f>
        <v/>
      </c>
      <c r="T1739">
        <f>IF(R1739="","",IF(COUNTIFS(R$6:R1738,"&gt;0",S$6:S1738,S1739,N$6:N1738,N1739)=0,R1739,""))</f>
        <v/>
      </c>
      <c r="U1739">
        <f>IF(B1739="","",IF(J1739&lt;&gt;"",0,M1739))</f>
        <v/>
      </c>
    </row>
    <row r="1740">
      <c r="A1740" s="1" t="n"/>
      <c r="B1740" s="16" t="n"/>
      <c r="C1740" s="17" t="n"/>
      <c r="D1740" s="18" t="n"/>
      <c r="E1740" s="18" t="n"/>
      <c r="F1740" s="19" t="n"/>
      <c r="G1740" s="19" t="n"/>
      <c r="H1740" s="20" t="n"/>
      <c r="I1740" s="21" t="n"/>
      <c r="J1740" s="22" t="n"/>
      <c r="K1740" s="23" t="n"/>
      <c r="L1740" s="18" t="n"/>
      <c r="M1740" s="24">
        <f>IF(B1740="","",IF(AND(F1740&lt;&gt;"",G1740&lt;&gt;""),MAX(0,ROUND(MOD(G1740-F1740,1)*24-N(H1740)/60,2)),N(I1740)))</f>
        <v/>
      </c>
      <c r="N1740" s="14">
        <f>IF(B1740="","",IF(K1740&lt;&gt;"",K1740,IF(N(IFERROR(INDEX(Projects!$D$6:$D$65,MATCH(D1740,Projects!$B$6:$B$65,0)),""))&gt;0,IFERROR(INDEX(Projects!$D$6:$D$65,MATCH(D1740,Projects!$B$6:$B$65,0)),""),IFERROR(INDEX(Clients!$G$6:$G$45,MATCH(C1740,Clients!$B$6:$B$45,0)),0))))</f>
        <v/>
      </c>
      <c r="O1740" s="14">
        <f>IF(B1740="","",IF(J1740&lt;&gt;"",0,ROUND(M1740*N1740,2)))</f>
        <v/>
      </c>
      <c r="P1740" s="15">
        <f>IF(OR(B1740="",J1740&lt;&gt;""),"",IF(L1740&lt;&gt;"",L1740,IF(COUNTIFS(Invoices!$C$6:$C$305,C1740,Invoices!$E$6:$E$305,"&lt;="&amp;B1740,Invoices!$F$6:$F$305,"&gt;="&amp;B1740)=1,INDEX(Invoices!$B$6:$B$305,SUMIFS(Invoices!$O$6:$O$305,Invoices!$C$6:$C$305,C1740,Invoices!$E$6:$E$305,"&lt;="&amp;B1740,Invoices!$F$6:$F$305,"&gt;="&amp;B1740)),IF(COUNTIFS(Invoices!$C$6:$C$305,C1740,Invoices!$E$6:$E$305,"&lt;="&amp;B1740,Invoices!$F$6:$F$305,"&gt;="&amp;B1740)&gt;1,"Two invoices",""))))</f>
        <v/>
      </c>
      <c r="Q1740" s="15">
        <f>IF(B1740="","",IF(J1740&lt;&gt;"","Not billable",IF(P1740="","To invoice",IF(P1740="Two invoices","Check dates",IF(ISNA(MATCH(P1740,Invoices!$B$6:$B$305,0)),"Check number",IF(INDEX(Invoices!$M$6:$M$305,MATCH(P1740,Invoices!$B$6:$B$305,0))="Paid","Paid",IF(INDEX(Invoices!$M$6:$M$305,MATCH(P1740,Invoices!$B$6:$B$305,0))="Draft","Draft","Invoiced")))))))</f>
        <v/>
      </c>
      <c r="R1740" s="1">
        <f>IF(AND(B1740&lt;&gt;"",P1740&lt;&gt;"",P1740=Invoice!$G$4),B1740+MOD(N(F1740),1)+ROW()/10000000,"")</f>
        <v/>
      </c>
      <c r="S1740">
        <f>IF(R1740="","",IF(D1740="","Other work",D1740)&amp;IF(AND(K1740&lt;&gt;"",E1740&lt;&gt;""),", "&amp;E1740,""))</f>
        <v/>
      </c>
      <c r="T1740">
        <f>IF(R1740="","",IF(COUNTIFS(R$6:R1739,"&gt;0",S$6:S1739,S1740,N$6:N1739,N1740)=0,R1740,""))</f>
        <v/>
      </c>
      <c r="U1740">
        <f>IF(B1740="","",IF(J1740&lt;&gt;"",0,M1740))</f>
        <v/>
      </c>
    </row>
    <row r="1741">
      <c r="A1741" s="1" t="n"/>
      <c r="B1741" s="16" t="n"/>
      <c r="C1741" s="17" t="n"/>
      <c r="D1741" s="18" t="n"/>
      <c r="E1741" s="18" t="n"/>
      <c r="F1741" s="19" t="n"/>
      <c r="G1741" s="19" t="n"/>
      <c r="H1741" s="20" t="n"/>
      <c r="I1741" s="21" t="n"/>
      <c r="J1741" s="22" t="n"/>
      <c r="K1741" s="23" t="n"/>
      <c r="L1741" s="18" t="n"/>
      <c r="M1741" s="24">
        <f>IF(B1741="","",IF(AND(F1741&lt;&gt;"",G1741&lt;&gt;""),MAX(0,ROUND(MOD(G1741-F1741,1)*24-N(H1741)/60,2)),N(I1741)))</f>
        <v/>
      </c>
      <c r="N1741" s="14">
        <f>IF(B1741="","",IF(K1741&lt;&gt;"",K1741,IF(N(IFERROR(INDEX(Projects!$D$6:$D$65,MATCH(D1741,Projects!$B$6:$B$65,0)),""))&gt;0,IFERROR(INDEX(Projects!$D$6:$D$65,MATCH(D1741,Projects!$B$6:$B$65,0)),""),IFERROR(INDEX(Clients!$G$6:$G$45,MATCH(C1741,Clients!$B$6:$B$45,0)),0))))</f>
        <v/>
      </c>
      <c r="O1741" s="14">
        <f>IF(B1741="","",IF(J1741&lt;&gt;"",0,ROUND(M1741*N1741,2)))</f>
        <v/>
      </c>
      <c r="P1741" s="15">
        <f>IF(OR(B1741="",J1741&lt;&gt;""),"",IF(L1741&lt;&gt;"",L1741,IF(COUNTIFS(Invoices!$C$6:$C$305,C1741,Invoices!$E$6:$E$305,"&lt;="&amp;B1741,Invoices!$F$6:$F$305,"&gt;="&amp;B1741)=1,INDEX(Invoices!$B$6:$B$305,SUMIFS(Invoices!$O$6:$O$305,Invoices!$C$6:$C$305,C1741,Invoices!$E$6:$E$305,"&lt;="&amp;B1741,Invoices!$F$6:$F$305,"&gt;="&amp;B1741)),IF(COUNTIFS(Invoices!$C$6:$C$305,C1741,Invoices!$E$6:$E$305,"&lt;="&amp;B1741,Invoices!$F$6:$F$305,"&gt;="&amp;B1741)&gt;1,"Two invoices",""))))</f>
        <v/>
      </c>
      <c r="Q1741" s="15">
        <f>IF(B1741="","",IF(J1741&lt;&gt;"","Not billable",IF(P1741="","To invoice",IF(P1741="Two invoices","Check dates",IF(ISNA(MATCH(P1741,Invoices!$B$6:$B$305,0)),"Check number",IF(INDEX(Invoices!$M$6:$M$305,MATCH(P1741,Invoices!$B$6:$B$305,0))="Paid","Paid",IF(INDEX(Invoices!$M$6:$M$305,MATCH(P1741,Invoices!$B$6:$B$305,0))="Draft","Draft","Invoiced")))))))</f>
        <v/>
      </c>
      <c r="R1741" s="1">
        <f>IF(AND(B1741&lt;&gt;"",P1741&lt;&gt;"",P1741=Invoice!$G$4),B1741+MOD(N(F1741),1)+ROW()/10000000,"")</f>
        <v/>
      </c>
      <c r="S1741">
        <f>IF(R1741="","",IF(D1741="","Other work",D1741)&amp;IF(AND(K1741&lt;&gt;"",E1741&lt;&gt;""),", "&amp;E1741,""))</f>
        <v/>
      </c>
      <c r="T1741">
        <f>IF(R1741="","",IF(COUNTIFS(R$6:R1740,"&gt;0",S$6:S1740,S1741,N$6:N1740,N1741)=0,R1741,""))</f>
        <v/>
      </c>
      <c r="U1741">
        <f>IF(B1741="","",IF(J1741&lt;&gt;"",0,M1741))</f>
        <v/>
      </c>
    </row>
    <row r="1742">
      <c r="A1742" s="1" t="n"/>
      <c r="B1742" s="16" t="n"/>
      <c r="C1742" s="17" t="n"/>
      <c r="D1742" s="18" t="n"/>
      <c r="E1742" s="18" t="n"/>
      <c r="F1742" s="19" t="n"/>
      <c r="G1742" s="19" t="n"/>
      <c r="H1742" s="20" t="n"/>
      <c r="I1742" s="21" t="n"/>
      <c r="J1742" s="22" t="n"/>
      <c r="K1742" s="23" t="n"/>
      <c r="L1742" s="18" t="n"/>
      <c r="M1742" s="24">
        <f>IF(B1742="","",IF(AND(F1742&lt;&gt;"",G1742&lt;&gt;""),MAX(0,ROUND(MOD(G1742-F1742,1)*24-N(H1742)/60,2)),N(I1742)))</f>
        <v/>
      </c>
      <c r="N1742" s="14">
        <f>IF(B1742="","",IF(K1742&lt;&gt;"",K1742,IF(N(IFERROR(INDEX(Projects!$D$6:$D$65,MATCH(D1742,Projects!$B$6:$B$65,0)),""))&gt;0,IFERROR(INDEX(Projects!$D$6:$D$65,MATCH(D1742,Projects!$B$6:$B$65,0)),""),IFERROR(INDEX(Clients!$G$6:$G$45,MATCH(C1742,Clients!$B$6:$B$45,0)),0))))</f>
        <v/>
      </c>
      <c r="O1742" s="14">
        <f>IF(B1742="","",IF(J1742&lt;&gt;"",0,ROUND(M1742*N1742,2)))</f>
        <v/>
      </c>
      <c r="P1742" s="15">
        <f>IF(OR(B1742="",J1742&lt;&gt;""),"",IF(L1742&lt;&gt;"",L1742,IF(COUNTIFS(Invoices!$C$6:$C$305,C1742,Invoices!$E$6:$E$305,"&lt;="&amp;B1742,Invoices!$F$6:$F$305,"&gt;="&amp;B1742)=1,INDEX(Invoices!$B$6:$B$305,SUMIFS(Invoices!$O$6:$O$305,Invoices!$C$6:$C$305,C1742,Invoices!$E$6:$E$305,"&lt;="&amp;B1742,Invoices!$F$6:$F$305,"&gt;="&amp;B1742)),IF(COUNTIFS(Invoices!$C$6:$C$305,C1742,Invoices!$E$6:$E$305,"&lt;="&amp;B1742,Invoices!$F$6:$F$305,"&gt;="&amp;B1742)&gt;1,"Two invoices",""))))</f>
        <v/>
      </c>
      <c r="Q1742" s="15">
        <f>IF(B1742="","",IF(J1742&lt;&gt;"","Not billable",IF(P1742="","To invoice",IF(P1742="Two invoices","Check dates",IF(ISNA(MATCH(P1742,Invoices!$B$6:$B$305,0)),"Check number",IF(INDEX(Invoices!$M$6:$M$305,MATCH(P1742,Invoices!$B$6:$B$305,0))="Paid","Paid",IF(INDEX(Invoices!$M$6:$M$305,MATCH(P1742,Invoices!$B$6:$B$305,0))="Draft","Draft","Invoiced")))))))</f>
        <v/>
      </c>
      <c r="R1742" s="1">
        <f>IF(AND(B1742&lt;&gt;"",P1742&lt;&gt;"",P1742=Invoice!$G$4),B1742+MOD(N(F1742),1)+ROW()/10000000,"")</f>
        <v/>
      </c>
      <c r="S1742">
        <f>IF(R1742="","",IF(D1742="","Other work",D1742)&amp;IF(AND(K1742&lt;&gt;"",E1742&lt;&gt;""),", "&amp;E1742,""))</f>
        <v/>
      </c>
      <c r="T1742">
        <f>IF(R1742="","",IF(COUNTIFS(R$6:R1741,"&gt;0",S$6:S1741,S1742,N$6:N1741,N1742)=0,R1742,""))</f>
        <v/>
      </c>
      <c r="U1742">
        <f>IF(B1742="","",IF(J1742&lt;&gt;"",0,M1742))</f>
        <v/>
      </c>
    </row>
    <row r="1743">
      <c r="A1743" s="1" t="n"/>
      <c r="B1743" s="16" t="n"/>
      <c r="C1743" s="17" t="n"/>
      <c r="D1743" s="18" t="n"/>
      <c r="E1743" s="18" t="n"/>
      <c r="F1743" s="19" t="n"/>
      <c r="G1743" s="19" t="n"/>
      <c r="H1743" s="20" t="n"/>
      <c r="I1743" s="21" t="n"/>
      <c r="J1743" s="22" t="n"/>
      <c r="K1743" s="23" t="n"/>
      <c r="L1743" s="18" t="n"/>
      <c r="M1743" s="24">
        <f>IF(B1743="","",IF(AND(F1743&lt;&gt;"",G1743&lt;&gt;""),MAX(0,ROUND(MOD(G1743-F1743,1)*24-N(H1743)/60,2)),N(I1743)))</f>
        <v/>
      </c>
      <c r="N1743" s="14">
        <f>IF(B1743="","",IF(K1743&lt;&gt;"",K1743,IF(N(IFERROR(INDEX(Projects!$D$6:$D$65,MATCH(D1743,Projects!$B$6:$B$65,0)),""))&gt;0,IFERROR(INDEX(Projects!$D$6:$D$65,MATCH(D1743,Projects!$B$6:$B$65,0)),""),IFERROR(INDEX(Clients!$G$6:$G$45,MATCH(C1743,Clients!$B$6:$B$45,0)),0))))</f>
        <v/>
      </c>
      <c r="O1743" s="14">
        <f>IF(B1743="","",IF(J1743&lt;&gt;"",0,ROUND(M1743*N1743,2)))</f>
        <v/>
      </c>
      <c r="P1743" s="15">
        <f>IF(OR(B1743="",J1743&lt;&gt;""),"",IF(L1743&lt;&gt;"",L1743,IF(COUNTIFS(Invoices!$C$6:$C$305,C1743,Invoices!$E$6:$E$305,"&lt;="&amp;B1743,Invoices!$F$6:$F$305,"&gt;="&amp;B1743)=1,INDEX(Invoices!$B$6:$B$305,SUMIFS(Invoices!$O$6:$O$305,Invoices!$C$6:$C$305,C1743,Invoices!$E$6:$E$305,"&lt;="&amp;B1743,Invoices!$F$6:$F$305,"&gt;="&amp;B1743)),IF(COUNTIFS(Invoices!$C$6:$C$305,C1743,Invoices!$E$6:$E$305,"&lt;="&amp;B1743,Invoices!$F$6:$F$305,"&gt;="&amp;B1743)&gt;1,"Two invoices",""))))</f>
        <v/>
      </c>
      <c r="Q1743" s="15">
        <f>IF(B1743="","",IF(J1743&lt;&gt;"","Not billable",IF(P1743="","To invoice",IF(P1743="Two invoices","Check dates",IF(ISNA(MATCH(P1743,Invoices!$B$6:$B$305,0)),"Check number",IF(INDEX(Invoices!$M$6:$M$305,MATCH(P1743,Invoices!$B$6:$B$305,0))="Paid","Paid",IF(INDEX(Invoices!$M$6:$M$305,MATCH(P1743,Invoices!$B$6:$B$305,0))="Draft","Draft","Invoiced")))))))</f>
        <v/>
      </c>
      <c r="R1743" s="1">
        <f>IF(AND(B1743&lt;&gt;"",P1743&lt;&gt;"",P1743=Invoice!$G$4),B1743+MOD(N(F1743),1)+ROW()/10000000,"")</f>
        <v/>
      </c>
      <c r="S1743">
        <f>IF(R1743="","",IF(D1743="","Other work",D1743)&amp;IF(AND(K1743&lt;&gt;"",E1743&lt;&gt;""),", "&amp;E1743,""))</f>
        <v/>
      </c>
      <c r="T1743">
        <f>IF(R1743="","",IF(COUNTIFS(R$6:R1742,"&gt;0",S$6:S1742,S1743,N$6:N1742,N1743)=0,R1743,""))</f>
        <v/>
      </c>
      <c r="U1743">
        <f>IF(B1743="","",IF(J1743&lt;&gt;"",0,M1743))</f>
        <v/>
      </c>
    </row>
    <row r="1744">
      <c r="A1744" s="1" t="n"/>
      <c r="B1744" s="16" t="n"/>
      <c r="C1744" s="17" t="n"/>
      <c r="D1744" s="18" t="n"/>
      <c r="E1744" s="18" t="n"/>
      <c r="F1744" s="19" t="n"/>
      <c r="G1744" s="19" t="n"/>
      <c r="H1744" s="20" t="n"/>
      <c r="I1744" s="21" t="n"/>
      <c r="J1744" s="22" t="n"/>
      <c r="K1744" s="23" t="n"/>
      <c r="L1744" s="18" t="n"/>
      <c r="M1744" s="24">
        <f>IF(B1744="","",IF(AND(F1744&lt;&gt;"",G1744&lt;&gt;""),MAX(0,ROUND(MOD(G1744-F1744,1)*24-N(H1744)/60,2)),N(I1744)))</f>
        <v/>
      </c>
      <c r="N1744" s="14">
        <f>IF(B1744="","",IF(K1744&lt;&gt;"",K1744,IF(N(IFERROR(INDEX(Projects!$D$6:$D$65,MATCH(D1744,Projects!$B$6:$B$65,0)),""))&gt;0,IFERROR(INDEX(Projects!$D$6:$D$65,MATCH(D1744,Projects!$B$6:$B$65,0)),""),IFERROR(INDEX(Clients!$G$6:$G$45,MATCH(C1744,Clients!$B$6:$B$45,0)),0))))</f>
        <v/>
      </c>
      <c r="O1744" s="14">
        <f>IF(B1744="","",IF(J1744&lt;&gt;"",0,ROUND(M1744*N1744,2)))</f>
        <v/>
      </c>
      <c r="P1744" s="15">
        <f>IF(OR(B1744="",J1744&lt;&gt;""),"",IF(L1744&lt;&gt;"",L1744,IF(COUNTIFS(Invoices!$C$6:$C$305,C1744,Invoices!$E$6:$E$305,"&lt;="&amp;B1744,Invoices!$F$6:$F$305,"&gt;="&amp;B1744)=1,INDEX(Invoices!$B$6:$B$305,SUMIFS(Invoices!$O$6:$O$305,Invoices!$C$6:$C$305,C1744,Invoices!$E$6:$E$305,"&lt;="&amp;B1744,Invoices!$F$6:$F$305,"&gt;="&amp;B1744)),IF(COUNTIFS(Invoices!$C$6:$C$305,C1744,Invoices!$E$6:$E$305,"&lt;="&amp;B1744,Invoices!$F$6:$F$305,"&gt;="&amp;B1744)&gt;1,"Two invoices",""))))</f>
        <v/>
      </c>
      <c r="Q1744" s="15">
        <f>IF(B1744="","",IF(J1744&lt;&gt;"","Not billable",IF(P1744="","To invoice",IF(P1744="Two invoices","Check dates",IF(ISNA(MATCH(P1744,Invoices!$B$6:$B$305,0)),"Check number",IF(INDEX(Invoices!$M$6:$M$305,MATCH(P1744,Invoices!$B$6:$B$305,0))="Paid","Paid",IF(INDEX(Invoices!$M$6:$M$305,MATCH(P1744,Invoices!$B$6:$B$305,0))="Draft","Draft","Invoiced")))))))</f>
        <v/>
      </c>
      <c r="R1744" s="1">
        <f>IF(AND(B1744&lt;&gt;"",P1744&lt;&gt;"",P1744=Invoice!$G$4),B1744+MOD(N(F1744),1)+ROW()/10000000,"")</f>
        <v/>
      </c>
      <c r="S1744">
        <f>IF(R1744="","",IF(D1744="","Other work",D1744)&amp;IF(AND(K1744&lt;&gt;"",E1744&lt;&gt;""),", "&amp;E1744,""))</f>
        <v/>
      </c>
      <c r="T1744">
        <f>IF(R1744="","",IF(COUNTIFS(R$6:R1743,"&gt;0",S$6:S1743,S1744,N$6:N1743,N1744)=0,R1744,""))</f>
        <v/>
      </c>
      <c r="U1744">
        <f>IF(B1744="","",IF(J1744&lt;&gt;"",0,M1744))</f>
        <v/>
      </c>
    </row>
    <row r="1745">
      <c r="A1745" s="1" t="n"/>
      <c r="B1745" s="16" t="n"/>
      <c r="C1745" s="17" t="n"/>
      <c r="D1745" s="18" t="n"/>
      <c r="E1745" s="18" t="n"/>
      <c r="F1745" s="19" t="n"/>
      <c r="G1745" s="19" t="n"/>
      <c r="H1745" s="20" t="n"/>
      <c r="I1745" s="21" t="n"/>
      <c r="J1745" s="22" t="n"/>
      <c r="K1745" s="23" t="n"/>
      <c r="L1745" s="18" t="n"/>
      <c r="M1745" s="24">
        <f>IF(B1745="","",IF(AND(F1745&lt;&gt;"",G1745&lt;&gt;""),MAX(0,ROUND(MOD(G1745-F1745,1)*24-N(H1745)/60,2)),N(I1745)))</f>
        <v/>
      </c>
      <c r="N1745" s="14">
        <f>IF(B1745="","",IF(K1745&lt;&gt;"",K1745,IF(N(IFERROR(INDEX(Projects!$D$6:$D$65,MATCH(D1745,Projects!$B$6:$B$65,0)),""))&gt;0,IFERROR(INDEX(Projects!$D$6:$D$65,MATCH(D1745,Projects!$B$6:$B$65,0)),""),IFERROR(INDEX(Clients!$G$6:$G$45,MATCH(C1745,Clients!$B$6:$B$45,0)),0))))</f>
        <v/>
      </c>
      <c r="O1745" s="14">
        <f>IF(B1745="","",IF(J1745&lt;&gt;"",0,ROUND(M1745*N1745,2)))</f>
        <v/>
      </c>
      <c r="P1745" s="15">
        <f>IF(OR(B1745="",J1745&lt;&gt;""),"",IF(L1745&lt;&gt;"",L1745,IF(COUNTIFS(Invoices!$C$6:$C$305,C1745,Invoices!$E$6:$E$305,"&lt;="&amp;B1745,Invoices!$F$6:$F$305,"&gt;="&amp;B1745)=1,INDEX(Invoices!$B$6:$B$305,SUMIFS(Invoices!$O$6:$O$305,Invoices!$C$6:$C$305,C1745,Invoices!$E$6:$E$305,"&lt;="&amp;B1745,Invoices!$F$6:$F$305,"&gt;="&amp;B1745)),IF(COUNTIFS(Invoices!$C$6:$C$305,C1745,Invoices!$E$6:$E$305,"&lt;="&amp;B1745,Invoices!$F$6:$F$305,"&gt;="&amp;B1745)&gt;1,"Two invoices",""))))</f>
        <v/>
      </c>
      <c r="Q1745" s="15">
        <f>IF(B1745="","",IF(J1745&lt;&gt;"","Not billable",IF(P1745="","To invoice",IF(P1745="Two invoices","Check dates",IF(ISNA(MATCH(P1745,Invoices!$B$6:$B$305,0)),"Check number",IF(INDEX(Invoices!$M$6:$M$305,MATCH(P1745,Invoices!$B$6:$B$305,0))="Paid","Paid",IF(INDEX(Invoices!$M$6:$M$305,MATCH(P1745,Invoices!$B$6:$B$305,0))="Draft","Draft","Invoiced")))))))</f>
        <v/>
      </c>
      <c r="R1745" s="1">
        <f>IF(AND(B1745&lt;&gt;"",P1745&lt;&gt;"",P1745=Invoice!$G$4),B1745+MOD(N(F1745),1)+ROW()/10000000,"")</f>
        <v/>
      </c>
      <c r="S1745">
        <f>IF(R1745="","",IF(D1745="","Other work",D1745)&amp;IF(AND(K1745&lt;&gt;"",E1745&lt;&gt;""),", "&amp;E1745,""))</f>
        <v/>
      </c>
      <c r="T1745">
        <f>IF(R1745="","",IF(COUNTIFS(R$6:R1744,"&gt;0",S$6:S1744,S1745,N$6:N1744,N1745)=0,R1745,""))</f>
        <v/>
      </c>
      <c r="U1745">
        <f>IF(B1745="","",IF(J1745&lt;&gt;"",0,M1745))</f>
        <v/>
      </c>
    </row>
    <row r="1746">
      <c r="A1746" s="1" t="n"/>
      <c r="B1746" s="16" t="n"/>
      <c r="C1746" s="17" t="n"/>
      <c r="D1746" s="18" t="n"/>
      <c r="E1746" s="18" t="n"/>
      <c r="F1746" s="19" t="n"/>
      <c r="G1746" s="19" t="n"/>
      <c r="H1746" s="20" t="n"/>
      <c r="I1746" s="21" t="n"/>
      <c r="J1746" s="22" t="n"/>
      <c r="K1746" s="23" t="n"/>
      <c r="L1746" s="18" t="n"/>
      <c r="M1746" s="24">
        <f>IF(B1746="","",IF(AND(F1746&lt;&gt;"",G1746&lt;&gt;""),MAX(0,ROUND(MOD(G1746-F1746,1)*24-N(H1746)/60,2)),N(I1746)))</f>
        <v/>
      </c>
      <c r="N1746" s="14">
        <f>IF(B1746="","",IF(K1746&lt;&gt;"",K1746,IF(N(IFERROR(INDEX(Projects!$D$6:$D$65,MATCH(D1746,Projects!$B$6:$B$65,0)),""))&gt;0,IFERROR(INDEX(Projects!$D$6:$D$65,MATCH(D1746,Projects!$B$6:$B$65,0)),""),IFERROR(INDEX(Clients!$G$6:$G$45,MATCH(C1746,Clients!$B$6:$B$45,0)),0))))</f>
        <v/>
      </c>
      <c r="O1746" s="14">
        <f>IF(B1746="","",IF(J1746&lt;&gt;"",0,ROUND(M1746*N1746,2)))</f>
        <v/>
      </c>
      <c r="P1746" s="15">
        <f>IF(OR(B1746="",J1746&lt;&gt;""),"",IF(L1746&lt;&gt;"",L1746,IF(COUNTIFS(Invoices!$C$6:$C$305,C1746,Invoices!$E$6:$E$305,"&lt;="&amp;B1746,Invoices!$F$6:$F$305,"&gt;="&amp;B1746)=1,INDEX(Invoices!$B$6:$B$305,SUMIFS(Invoices!$O$6:$O$305,Invoices!$C$6:$C$305,C1746,Invoices!$E$6:$E$305,"&lt;="&amp;B1746,Invoices!$F$6:$F$305,"&gt;="&amp;B1746)),IF(COUNTIFS(Invoices!$C$6:$C$305,C1746,Invoices!$E$6:$E$305,"&lt;="&amp;B1746,Invoices!$F$6:$F$305,"&gt;="&amp;B1746)&gt;1,"Two invoices",""))))</f>
        <v/>
      </c>
      <c r="Q1746" s="15">
        <f>IF(B1746="","",IF(J1746&lt;&gt;"","Not billable",IF(P1746="","To invoice",IF(P1746="Two invoices","Check dates",IF(ISNA(MATCH(P1746,Invoices!$B$6:$B$305,0)),"Check number",IF(INDEX(Invoices!$M$6:$M$305,MATCH(P1746,Invoices!$B$6:$B$305,0))="Paid","Paid",IF(INDEX(Invoices!$M$6:$M$305,MATCH(P1746,Invoices!$B$6:$B$305,0))="Draft","Draft","Invoiced")))))))</f>
        <v/>
      </c>
      <c r="R1746" s="1">
        <f>IF(AND(B1746&lt;&gt;"",P1746&lt;&gt;"",P1746=Invoice!$G$4),B1746+MOD(N(F1746),1)+ROW()/10000000,"")</f>
        <v/>
      </c>
      <c r="S1746">
        <f>IF(R1746="","",IF(D1746="","Other work",D1746)&amp;IF(AND(K1746&lt;&gt;"",E1746&lt;&gt;""),", "&amp;E1746,""))</f>
        <v/>
      </c>
      <c r="T1746">
        <f>IF(R1746="","",IF(COUNTIFS(R$6:R1745,"&gt;0",S$6:S1745,S1746,N$6:N1745,N1746)=0,R1746,""))</f>
        <v/>
      </c>
      <c r="U1746">
        <f>IF(B1746="","",IF(J1746&lt;&gt;"",0,M1746))</f>
        <v/>
      </c>
    </row>
    <row r="1747">
      <c r="A1747" s="1" t="n"/>
      <c r="B1747" s="16" t="n"/>
      <c r="C1747" s="17" t="n"/>
      <c r="D1747" s="18" t="n"/>
      <c r="E1747" s="18" t="n"/>
      <c r="F1747" s="19" t="n"/>
      <c r="G1747" s="19" t="n"/>
      <c r="H1747" s="20" t="n"/>
      <c r="I1747" s="21" t="n"/>
      <c r="J1747" s="22" t="n"/>
      <c r="K1747" s="23" t="n"/>
      <c r="L1747" s="18" t="n"/>
      <c r="M1747" s="24">
        <f>IF(B1747="","",IF(AND(F1747&lt;&gt;"",G1747&lt;&gt;""),MAX(0,ROUND(MOD(G1747-F1747,1)*24-N(H1747)/60,2)),N(I1747)))</f>
        <v/>
      </c>
      <c r="N1747" s="14">
        <f>IF(B1747="","",IF(K1747&lt;&gt;"",K1747,IF(N(IFERROR(INDEX(Projects!$D$6:$D$65,MATCH(D1747,Projects!$B$6:$B$65,0)),""))&gt;0,IFERROR(INDEX(Projects!$D$6:$D$65,MATCH(D1747,Projects!$B$6:$B$65,0)),""),IFERROR(INDEX(Clients!$G$6:$G$45,MATCH(C1747,Clients!$B$6:$B$45,0)),0))))</f>
        <v/>
      </c>
      <c r="O1747" s="14">
        <f>IF(B1747="","",IF(J1747&lt;&gt;"",0,ROUND(M1747*N1747,2)))</f>
        <v/>
      </c>
      <c r="P1747" s="15">
        <f>IF(OR(B1747="",J1747&lt;&gt;""),"",IF(L1747&lt;&gt;"",L1747,IF(COUNTIFS(Invoices!$C$6:$C$305,C1747,Invoices!$E$6:$E$305,"&lt;="&amp;B1747,Invoices!$F$6:$F$305,"&gt;="&amp;B1747)=1,INDEX(Invoices!$B$6:$B$305,SUMIFS(Invoices!$O$6:$O$305,Invoices!$C$6:$C$305,C1747,Invoices!$E$6:$E$305,"&lt;="&amp;B1747,Invoices!$F$6:$F$305,"&gt;="&amp;B1747)),IF(COUNTIFS(Invoices!$C$6:$C$305,C1747,Invoices!$E$6:$E$305,"&lt;="&amp;B1747,Invoices!$F$6:$F$305,"&gt;="&amp;B1747)&gt;1,"Two invoices",""))))</f>
        <v/>
      </c>
      <c r="Q1747" s="15">
        <f>IF(B1747="","",IF(J1747&lt;&gt;"","Not billable",IF(P1747="","To invoice",IF(P1747="Two invoices","Check dates",IF(ISNA(MATCH(P1747,Invoices!$B$6:$B$305,0)),"Check number",IF(INDEX(Invoices!$M$6:$M$305,MATCH(P1747,Invoices!$B$6:$B$305,0))="Paid","Paid",IF(INDEX(Invoices!$M$6:$M$305,MATCH(P1747,Invoices!$B$6:$B$305,0))="Draft","Draft","Invoiced")))))))</f>
        <v/>
      </c>
      <c r="R1747" s="1">
        <f>IF(AND(B1747&lt;&gt;"",P1747&lt;&gt;"",P1747=Invoice!$G$4),B1747+MOD(N(F1747),1)+ROW()/10000000,"")</f>
        <v/>
      </c>
      <c r="S1747">
        <f>IF(R1747="","",IF(D1747="","Other work",D1747)&amp;IF(AND(K1747&lt;&gt;"",E1747&lt;&gt;""),", "&amp;E1747,""))</f>
        <v/>
      </c>
      <c r="T1747">
        <f>IF(R1747="","",IF(COUNTIFS(R$6:R1746,"&gt;0",S$6:S1746,S1747,N$6:N1746,N1747)=0,R1747,""))</f>
        <v/>
      </c>
      <c r="U1747">
        <f>IF(B1747="","",IF(J1747&lt;&gt;"",0,M1747))</f>
        <v/>
      </c>
    </row>
    <row r="1748">
      <c r="A1748" s="1" t="n"/>
      <c r="B1748" s="16" t="n"/>
      <c r="C1748" s="17" t="n"/>
      <c r="D1748" s="18" t="n"/>
      <c r="E1748" s="18" t="n"/>
      <c r="F1748" s="19" t="n"/>
      <c r="G1748" s="19" t="n"/>
      <c r="H1748" s="20" t="n"/>
      <c r="I1748" s="21" t="n"/>
      <c r="J1748" s="22" t="n"/>
      <c r="K1748" s="23" t="n"/>
      <c r="L1748" s="18" t="n"/>
      <c r="M1748" s="24">
        <f>IF(B1748="","",IF(AND(F1748&lt;&gt;"",G1748&lt;&gt;""),MAX(0,ROUND(MOD(G1748-F1748,1)*24-N(H1748)/60,2)),N(I1748)))</f>
        <v/>
      </c>
      <c r="N1748" s="14">
        <f>IF(B1748="","",IF(K1748&lt;&gt;"",K1748,IF(N(IFERROR(INDEX(Projects!$D$6:$D$65,MATCH(D1748,Projects!$B$6:$B$65,0)),""))&gt;0,IFERROR(INDEX(Projects!$D$6:$D$65,MATCH(D1748,Projects!$B$6:$B$65,0)),""),IFERROR(INDEX(Clients!$G$6:$G$45,MATCH(C1748,Clients!$B$6:$B$45,0)),0))))</f>
        <v/>
      </c>
      <c r="O1748" s="14">
        <f>IF(B1748="","",IF(J1748&lt;&gt;"",0,ROUND(M1748*N1748,2)))</f>
        <v/>
      </c>
      <c r="P1748" s="15">
        <f>IF(OR(B1748="",J1748&lt;&gt;""),"",IF(L1748&lt;&gt;"",L1748,IF(COUNTIFS(Invoices!$C$6:$C$305,C1748,Invoices!$E$6:$E$305,"&lt;="&amp;B1748,Invoices!$F$6:$F$305,"&gt;="&amp;B1748)=1,INDEX(Invoices!$B$6:$B$305,SUMIFS(Invoices!$O$6:$O$305,Invoices!$C$6:$C$305,C1748,Invoices!$E$6:$E$305,"&lt;="&amp;B1748,Invoices!$F$6:$F$305,"&gt;="&amp;B1748)),IF(COUNTIFS(Invoices!$C$6:$C$305,C1748,Invoices!$E$6:$E$305,"&lt;="&amp;B1748,Invoices!$F$6:$F$305,"&gt;="&amp;B1748)&gt;1,"Two invoices",""))))</f>
        <v/>
      </c>
      <c r="Q1748" s="15">
        <f>IF(B1748="","",IF(J1748&lt;&gt;"","Not billable",IF(P1748="","To invoice",IF(P1748="Two invoices","Check dates",IF(ISNA(MATCH(P1748,Invoices!$B$6:$B$305,0)),"Check number",IF(INDEX(Invoices!$M$6:$M$305,MATCH(P1748,Invoices!$B$6:$B$305,0))="Paid","Paid",IF(INDEX(Invoices!$M$6:$M$305,MATCH(P1748,Invoices!$B$6:$B$305,0))="Draft","Draft","Invoiced")))))))</f>
        <v/>
      </c>
      <c r="R1748" s="1">
        <f>IF(AND(B1748&lt;&gt;"",P1748&lt;&gt;"",P1748=Invoice!$G$4),B1748+MOD(N(F1748),1)+ROW()/10000000,"")</f>
        <v/>
      </c>
      <c r="S1748">
        <f>IF(R1748="","",IF(D1748="","Other work",D1748)&amp;IF(AND(K1748&lt;&gt;"",E1748&lt;&gt;""),", "&amp;E1748,""))</f>
        <v/>
      </c>
      <c r="T1748">
        <f>IF(R1748="","",IF(COUNTIFS(R$6:R1747,"&gt;0",S$6:S1747,S1748,N$6:N1747,N1748)=0,R1748,""))</f>
        <v/>
      </c>
      <c r="U1748">
        <f>IF(B1748="","",IF(J1748&lt;&gt;"",0,M1748))</f>
        <v/>
      </c>
    </row>
    <row r="1749">
      <c r="A1749" s="1" t="n"/>
      <c r="B1749" s="16" t="n"/>
      <c r="C1749" s="17" t="n"/>
      <c r="D1749" s="18" t="n"/>
      <c r="E1749" s="18" t="n"/>
      <c r="F1749" s="19" t="n"/>
      <c r="G1749" s="19" t="n"/>
      <c r="H1749" s="20" t="n"/>
      <c r="I1749" s="21" t="n"/>
      <c r="J1749" s="22" t="n"/>
      <c r="K1749" s="23" t="n"/>
      <c r="L1749" s="18" t="n"/>
      <c r="M1749" s="24">
        <f>IF(B1749="","",IF(AND(F1749&lt;&gt;"",G1749&lt;&gt;""),MAX(0,ROUND(MOD(G1749-F1749,1)*24-N(H1749)/60,2)),N(I1749)))</f>
        <v/>
      </c>
      <c r="N1749" s="14">
        <f>IF(B1749="","",IF(K1749&lt;&gt;"",K1749,IF(N(IFERROR(INDEX(Projects!$D$6:$D$65,MATCH(D1749,Projects!$B$6:$B$65,0)),""))&gt;0,IFERROR(INDEX(Projects!$D$6:$D$65,MATCH(D1749,Projects!$B$6:$B$65,0)),""),IFERROR(INDEX(Clients!$G$6:$G$45,MATCH(C1749,Clients!$B$6:$B$45,0)),0))))</f>
        <v/>
      </c>
      <c r="O1749" s="14">
        <f>IF(B1749="","",IF(J1749&lt;&gt;"",0,ROUND(M1749*N1749,2)))</f>
        <v/>
      </c>
      <c r="P1749" s="15">
        <f>IF(OR(B1749="",J1749&lt;&gt;""),"",IF(L1749&lt;&gt;"",L1749,IF(COUNTIFS(Invoices!$C$6:$C$305,C1749,Invoices!$E$6:$E$305,"&lt;="&amp;B1749,Invoices!$F$6:$F$305,"&gt;="&amp;B1749)=1,INDEX(Invoices!$B$6:$B$305,SUMIFS(Invoices!$O$6:$O$305,Invoices!$C$6:$C$305,C1749,Invoices!$E$6:$E$305,"&lt;="&amp;B1749,Invoices!$F$6:$F$305,"&gt;="&amp;B1749)),IF(COUNTIFS(Invoices!$C$6:$C$305,C1749,Invoices!$E$6:$E$305,"&lt;="&amp;B1749,Invoices!$F$6:$F$305,"&gt;="&amp;B1749)&gt;1,"Two invoices",""))))</f>
        <v/>
      </c>
      <c r="Q1749" s="15">
        <f>IF(B1749="","",IF(J1749&lt;&gt;"","Not billable",IF(P1749="","To invoice",IF(P1749="Two invoices","Check dates",IF(ISNA(MATCH(P1749,Invoices!$B$6:$B$305,0)),"Check number",IF(INDEX(Invoices!$M$6:$M$305,MATCH(P1749,Invoices!$B$6:$B$305,0))="Paid","Paid",IF(INDEX(Invoices!$M$6:$M$305,MATCH(P1749,Invoices!$B$6:$B$305,0))="Draft","Draft","Invoiced")))))))</f>
        <v/>
      </c>
      <c r="R1749" s="1">
        <f>IF(AND(B1749&lt;&gt;"",P1749&lt;&gt;"",P1749=Invoice!$G$4),B1749+MOD(N(F1749),1)+ROW()/10000000,"")</f>
        <v/>
      </c>
      <c r="S1749">
        <f>IF(R1749="","",IF(D1749="","Other work",D1749)&amp;IF(AND(K1749&lt;&gt;"",E1749&lt;&gt;""),", "&amp;E1749,""))</f>
        <v/>
      </c>
      <c r="T1749">
        <f>IF(R1749="","",IF(COUNTIFS(R$6:R1748,"&gt;0",S$6:S1748,S1749,N$6:N1748,N1749)=0,R1749,""))</f>
        <v/>
      </c>
      <c r="U1749">
        <f>IF(B1749="","",IF(J1749&lt;&gt;"",0,M1749))</f>
        <v/>
      </c>
    </row>
    <row r="1750">
      <c r="A1750" s="1" t="n"/>
      <c r="B1750" s="16" t="n"/>
      <c r="C1750" s="17" t="n"/>
      <c r="D1750" s="18" t="n"/>
      <c r="E1750" s="18" t="n"/>
      <c r="F1750" s="19" t="n"/>
      <c r="G1750" s="19" t="n"/>
      <c r="H1750" s="20" t="n"/>
      <c r="I1750" s="21" t="n"/>
      <c r="J1750" s="22" t="n"/>
      <c r="K1750" s="23" t="n"/>
      <c r="L1750" s="18" t="n"/>
      <c r="M1750" s="24">
        <f>IF(B1750="","",IF(AND(F1750&lt;&gt;"",G1750&lt;&gt;""),MAX(0,ROUND(MOD(G1750-F1750,1)*24-N(H1750)/60,2)),N(I1750)))</f>
        <v/>
      </c>
      <c r="N1750" s="14">
        <f>IF(B1750="","",IF(K1750&lt;&gt;"",K1750,IF(N(IFERROR(INDEX(Projects!$D$6:$D$65,MATCH(D1750,Projects!$B$6:$B$65,0)),""))&gt;0,IFERROR(INDEX(Projects!$D$6:$D$65,MATCH(D1750,Projects!$B$6:$B$65,0)),""),IFERROR(INDEX(Clients!$G$6:$G$45,MATCH(C1750,Clients!$B$6:$B$45,0)),0))))</f>
        <v/>
      </c>
      <c r="O1750" s="14">
        <f>IF(B1750="","",IF(J1750&lt;&gt;"",0,ROUND(M1750*N1750,2)))</f>
        <v/>
      </c>
      <c r="P1750" s="15">
        <f>IF(OR(B1750="",J1750&lt;&gt;""),"",IF(L1750&lt;&gt;"",L1750,IF(COUNTIFS(Invoices!$C$6:$C$305,C1750,Invoices!$E$6:$E$305,"&lt;="&amp;B1750,Invoices!$F$6:$F$305,"&gt;="&amp;B1750)=1,INDEX(Invoices!$B$6:$B$305,SUMIFS(Invoices!$O$6:$O$305,Invoices!$C$6:$C$305,C1750,Invoices!$E$6:$E$305,"&lt;="&amp;B1750,Invoices!$F$6:$F$305,"&gt;="&amp;B1750)),IF(COUNTIFS(Invoices!$C$6:$C$305,C1750,Invoices!$E$6:$E$305,"&lt;="&amp;B1750,Invoices!$F$6:$F$305,"&gt;="&amp;B1750)&gt;1,"Two invoices",""))))</f>
        <v/>
      </c>
      <c r="Q1750" s="15">
        <f>IF(B1750="","",IF(J1750&lt;&gt;"","Not billable",IF(P1750="","To invoice",IF(P1750="Two invoices","Check dates",IF(ISNA(MATCH(P1750,Invoices!$B$6:$B$305,0)),"Check number",IF(INDEX(Invoices!$M$6:$M$305,MATCH(P1750,Invoices!$B$6:$B$305,0))="Paid","Paid",IF(INDEX(Invoices!$M$6:$M$305,MATCH(P1750,Invoices!$B$6:$B$305,0))="Draft","Draft","Invoiced")))))))</f>
        <v/>
      </c>
      <c r="R1750" s="1">
        <f>IF(AND(B1750&lt;&gt;"",P1750&lt;&gt;"",P1750=Invoice!$G$4),B1750+MOD(N(F1750),1)+ROW()/10000000,"")</f>
        <v/>
      </c>
      <c r="S1750">
        <f>IF(R1750="","",IF(D1750="","Other work",D1750)&amp;IF(AND(K1750&lt;&gt;"",E1750&lt;&gt;""),", "&amp;E1750,""))</f>
        <v/>
      </c>
      <c r="T1750">
        <f>IF(R1750="","",IF(COUNTIFS(R$6:R1749,"&gt;0",S$6:S1749,S1750,N$6:N1749,N1750)=0,R1750,""))</f>
        <v/>
      </c>
      <c r="U1750">
        <f>IF(B1750="","",IF(J1750&lt;&gt;"",0,M1750))</f>
        <v/>
      </c>
    </row>
    <row r="1751">
      <c r="A1751" s="1" t="n"/>
      <c r="B1751" s="16" t="n"/>
      <c r="C1751" s="17" t="n"/>
      <c r="D1751" s="18" t="n"/>
      <c r="E1751" s="18" t="n"/>
      <c r="F1751" s="19" t="n"/>
      <c r="G1751" s="19" t="n"/>
      <c r="H1751" s="20" t="n"/>
      <c r="I1751" s="21" t="n"/>
      <c r="J1751" s="22" t="n"/>
      <c r="K1751" s="23" t="n"/>
      <c r="L1751" s="18" t="n"/>
      <c r="M1751" s="24">
        <f>IF(B1751="","",IF(AND(F1751&lt;&gt;"",G1751&lt;&gt;""),MAX(0,ROUND(MOD(G1751-F1751,1)*24-N(H1751)/60,2)),N(I1751)))</f>
        <v/>
      </c>
      <c r="N1751" s="14">
        <f>IF(B1751="","",IF(K1751&lt;&gt;"",K1751,IF(N(IFERROR(INDEX(Projects!$D$6:$D$65,MATCH(D1751,Projects!$B$6:$B$65,0)),""))&gt;0,IFERROR(INDEX(Projects!$D$6:$D$65,MATCH(D1751,Projects!$B$6:$B$65,0)),""),IFERROR(INDEX(Clients!$G$6:$G$45,MATCH(C1751,Clients!$B$6:$B$45,0)),0))))</f>
        <v/>
      </c>
      <c r="O1751" s="14">
        <f>IF(B1751="","",IF(J1751&lt;&gt;"",0,ROUND(M1751*N1751,2)))</f>
        <v/>
      </c>
      <c r="P1751" s="15">
        <f>IF(OR(B1751="",J1751&lt;&gt;""),"",IF(L1751&lt;&gt;"",L1751,IF(COUNTIFS(Invoices!$C$6:$C$305,C1751,Invoices!$E$6:$E$305,"&lt;="&amp;B1751,Invoices!$F$6:$F$305,"&gt;="&amp;B1751)=1,INDEX(Invoices!$B$6:$B$305,SUMIFS(Invoices!$O$6:$O$305,Invoices!$C$6:$C$305,C1751,Invoices!$E$6:$E$305,"&lt;="&amp;B1751,Invoices!$F$6:$F$305,"&gt;="&amp;B1751)),IF(COUNTIFS(Invoices!$C$6:$C$305,C1751,Invoices!$E$6:$E$305,"&lt;="&amp;B1751,Invoices!$F$6:$F$305,"&gt;="&amp;B1751)&gt;1,"Two invoices",""))))</f>
        <v/>
      </c>
      <c r="Q1751" s="15">
        <f>IF(B1751="","",IF(J1751&lt;&gt;"","Not billable",IF(P1751="","To invoice",IF(P1751="Two invoices","Check dates",IF(ISNA(MATCH(P1751,Invoices!$B$6:$B$305,0)),"Check number",IF(INDEX(Invoices!$M$6:$M$305,MATCH(P1751,Invoices!$B$6:$B$305,0))="Paid","Paid",IF(INDEX(Invoices!$M$6:$M$305,MATCH(P1751,Invoices!$B$6:$B$305,0))="Draft","Draft","Invoiced")))))))</f>
        <v/>
      </c>
      <c r="R1751" s="1">
        <f>IF(AND(B1751&lt;&gt;"",P1751&lt;&gt;"",P1751=Invoice!$G$4),B1751+MOD(N(F1751),1)+ROW()/10000000,"")</f>
        <v/>
      </c>
      <c r="S1751">
        <f>IF(R1751="","",IF(D1751="","Other work",D1751)&amp;IF(AND(K1751&lt;&gt;"",E1751&lt;&gt;""),", "&amp;E1751,""))</f>
        <v/>
      </c>
      <c r="T1751">
        <f>IF(R1751="","",IF(COUNTIFS(R$6:R1750,"&gt;0",S$6:S1750,S1751,N$6:N1750,N1751)=0,R1751,""))</f>
        <v/>
      </c>
      <c r="U1751">
        <f>IF(B1751="","",IF(J1751&lt;&gt;"",0,M1751))</f>
        <v/>
      </c>
    </row>
    <row r="1752">
      <c r="A1752" s="1" t="n"/>
      <c r="B1752" s="16" t="n"/>
      <c r="C1752" s="17" t="n"/>
      <c r="D1752" s="18" t="n"/>
      <c r="E1752" s="18" t="n"/>
      <c r="F1752" s="19" t="n"/>
      <c r="G1752" s="19" t="n"/>
      <c r="H1752" s="20" t="n"/>
      <c r="I1752" s="21" t="n"/>
      <c r="J1752" s="22" t="n"/>
      <c r="K1752" s="23" t="n"/>
      <c r="L1752" s="18" t="n"/>
      <c r="M1752" s="24">
        <f>IF(B1752="","",IF(AND(F1752&lt;&gt;"",G1752&lt;&gt;""),MAX(0,ROUND(MOD(G1752-F1752,1)*24-N(H1752)/60,2)),N(I1752)))</f>
        <v/>
      </c>
      <c r="N1752" s="14">
        <f>IF(B1752="","",IF(K1752&lt;&gt;"",K1752,IF(N(IFERROR(INDEX(Projects!$D$6:$D$65,MATCH(D1752,Projects!$B$6:$B$65,0)),""))&gt;0,IFERROR(INDEX(Projects!$D$6:$D$65,MATCH(D1752,Projects!$B$6:$B$65,0)),""),IFERROR(INDEX(Clients!$G$6:$G$45,MATCH(C1752,Clients!$B$6:$B$45,0)),0))))</f>
        <v/>
      </c>
      <c r="O1752" s="14">
        <f>IF(B1752="","",IF(J1752&lt;&gt;"",0,ROUND(M1752*N1752,2)))</f>
        <v/>
      </c>
      <c r="P1752" s="15">
        <f>IF(OR(B1752="",J1752&lt;&gt;""),"",IF(L1752&lt;&gt;"",L1752,IF(COUNTIFS(Invoices!$C$6:$C$305,C1752,Invoices!$E$6:$E$305,"&lt;="&amp;B1752,Invoices!$F$6:$F$305,"&gt;="&amp;B1752)=1,INDEX(Invoices!$B$6:$B$305,SUMIFS(Invoices!$O$6:$O$305,Invoices!$C$6:$C$305,C1752,Invoices!$E$6:$E$305,"&lt;="&amp;B1752,Invoices!$F$6:$F$305,"&gt;="&amp;B1752)),IF(COUNTIFS(Invoices!$C$6:$C$305,C1752,Invoices!$E$6:$E$305,"&lt;="&amp;B1752,Invoices!$F$6:$F$305,"&gt;="&amp;B1752)&gt;1,"Two invoices",""))))</f>
        <v/>
      </c>
      <c r="Q1752" s="15">
        <f>IF(B1752="","",IF(J1752&lt;&gt;"","Not billable",IF(P1752="","To invoice",IF(P1752="Two invoices","Check dates",IF(ISNA(MATCH(P1752,Invoices!$B$6:$B$305,0)),"Check number",IF(INDEX(Invoices!$M$6:$M$305,MATCH(P1752,Invoices!$B$6:$B$305,0))="Paid","Paid",IF(INDEX(Invoices!$M$6:$M$305,MATCH(P1752,Invoices!$B$6:$B$305,0))="Draft","Draft","Invoiced")))))))</f>
        <v/>
      </c>
      <c r="R1752" s="1">
        <f>IF(AND(B1752&lt;&gt;"",P1752&lt;&gt;"",P1752=Invoice!$G$4),B1752+MOD(N(F1752),1)+ROW()/10000000,"")</f>
        <v/>
      </c>
      <c r="S1752">
        <f>IF(R1752="","",IF(D1752="","Other work",D1752)&amp;IF(AND(K1752&lt;&gt;"",E1752&lt;&gt;""),", "&amp;E1752,""))</f>
        <v/>
      </c>
      <c r="T1752">
        <f>IF(R1752="","",IF(COUNTIFS(R$6:R1751,"&gt;0",S$6:S1751,S1752,N$6:N1751,N1752)=0,R1752,""))</f>
        <v/>
      </c>
      <c r="U1752">
        <f>IF(B1752="","",IF(J1752&lt;&gt;"",0,M1752))</f>
        <v/>
      </c>
    </row>
    <row r="1753">
      <c r="A1753" s="1" t="n"/>
      <c r="B1753" s="16" t="n"/>
      <c r="C1753" s="17" t="n"/>
      <c r="D1753" s="18" t="n"/>
      <c r="E1753" s="18" t="n"/>
      <c r="F1753" s="19" t="n"/>
      <c r="G1753" s="19" t="n"/>
      <c r="H1753" s="20" t="n"/>
      <c r="I1753" s="21" t="n"/>
      <c r="J1753" s="22" t="n"/>
      <c r="K1753" s="23" t="n"/>
      <c r="L1753" s="18" t="n"/>
      <c r="M1753" s="24">
        <f>IF(B1753="","",IF(AND(F1753&lt;&gt;"",G1753&lt;&gt;""),MAX(0,ROUND(MOD(G1753-F1753,1)*24-N(H1753)/60,2)),N(I1753)))</f>
        <v/>
      </c>
      <c r="N1753" s="14">
        <f>IF(B1753="","",IF(K1753&lt;&gt;"",K1753,IF(N(IFERROR(INDEX(Projects!$D$6:$D$65,MATCH(D1753,Projects!$B$6:$B$65,0)),""))&gt;0,IFERROR(INDEX(Projects!$D$6:$D$65,MATCH(D1753,Projects!$B$6:$B$65,0)),""),IFERROR(INDEX(Clients!$G$6:$G$45,MATCH(C1753,Clients!$B$6:$B$45,0)),0))))</f>
        <v/>
      </c>
      <c r="O1753" s="14">
        <f>IF(B1753="","",IF(J1753&lt;&gt;"",0,ROUND(M1753*N1753,2)))</f>
        <v/>
      </c>
      <c r="P1753" s="15">
        <f>IF(OR(B1753="",J1753&lt;&gt;""),"",IF(L1753&lt;&gt;"",L1753,IF(COUNTIFS(Invoices!$C$6:$C$305,C1753,Invoices!$E$6:$E$305,"&lt;="&amp;B1753,Invoices!$F$6:$F$305,"&gt;="&amp;B1753)=1,INDEX(Invoices!$B$6:$B$305,SUMIFS(Invoices!$O$6:$O$305,Invoices!$C$6:$C$305,C1753,Invoices!$E$6:$E$305,"&lt;="&amp;B1753,Invoices!$F$6:$F$305,"&gt;="&amp;B1753)),IF(COUNTIFS(Invoices!$C$6:$C$305,C1753,Invoices!$E$6:$E$305,"&lt;="&amp;B1753,Invoices!$F$6:$F$305,"&gt;="&amp;B1753)&gt;1,"Two invoices",""))))</f>
        <v/>
      </c>
      <c r="Q1753" s="15">
        <f>IF(B1753="","",IF(J1753&lt;&gt;"","Not billable",IF(P1753="","To invoice",IF(P1753="Two invoices","Check dates",IF(ISNA(MATCH(P1753,Invoices!$B$6:$B$305,0)),"Check number",IF(INDEX(Invoices!$M$6:$M$305,MATCH(P1753,Invoices!$B$6:$B$305,0))="Paid","Paid",IF(INDEX(Invoices!$M$6:$M$305,MATCH(P1753,Invoices!$B$6:$B$305,0))="Draft","Draft","Invoiced")))))))</f>
        <v/>
      </c>
      <c r="R1753" s="1">
        <f>IF(AND(B1753&lt;&gt;"",P1753&lt;&gt;"",P1753=Invoice!$G$4),B1753+MOD(N(F1753),1)+ROW()/10000000,"")</f>
        <v/>
      </c>
      <c r="S1753">
        <f>IF(R1753="","",IF(D1753="","Other work",D1753)&amp;IF(AND(K1753&lt;&gt;"",E1753&lt;&gt;""),", "&amp;E1753,""))</f>
        <v/>
      </c>
      <c r="T1753">
        <f>IF(R1753="","",IF(COUNTIFS(R$6:R1752,"&gt;0",S$6:S1752,S1753,N$6:N1752,N1753)=0,R1753,""))</f>
        <v/>
      </c>
      <c r="U1753">
        <f>IF(B1753="","",IF(J1753&lt;&gt;"",0,M1753))</f>
        <v/>
      </c>
    </row>
    <row r="1754">
      <c r="A1754" s="1" t="n"/>
      <c r="B1754" s="16" t="n"/>
      <c r="C1754" s="17" t="n"/>
      <c r="D1754" s="18" t="n"/>
      <c r="E1754" s="18" t="n"/>
      <c r="F1754" s="19" t="n"/>
      <c r="G1754" s="19" t="n"/>
      <c r="H1754" s="20" t="n"/>
      <c r="I1754" s="21" t="n"/>
      <c r="J1754" s="22" t="n"/>
      <c r="K1754" s="23" t="n"/>
      <c r="L1754" s="18" t="n"/>
      <c r="M1754" s="24">
        <f>IF(B1754="","",IF(AND(F1754&lt;&gt;"",G1754&lt;&gt;""),MAX(0,ROUND(MOD(G1754-F1754,1)*24-N(H1754)/60,2)),N(I1754)))</f>
        <v/>
      </c>
      <c r="N1754" s="14">
        <f>IF(B1754="","",IF(K1754&lt;&gt;"",K1754,IF(N(IFERROR(INDEX(Projects!$D$6:$D$65,MATCH(D1754,Projects!$B$6:$B$65,0)),""))&gt;0,IFERROR(INDEX(Projects!$D$6:$D$65,MATCH(D1754,Projects!$B$6:$B$65,0)),""),IFERROR(INDEX(Clients!$G$6:$G$45,MATCH(C1754,Clients!$B$6:$B$45,0)),0))))</f>
        <v/>
      </c>
      <c r="O1754" s="14">
        <f>IF(B1754="","",IF(J1754&lt;&gt;"",0,ROUND(M1754*N1754,2)))</f>
        <v/>
      </c>
      <c r="P1754" s="15">
        <f>IF(OR(B1754="",J1754&lt;&gt;""),"",IF(L1754&lt;&gt;"",L1754,IF(COUNTIFS(Invoices!$C$6:$C$305,C1754,Invoices!$E$6:$E$305,"&lt;="&amp;B1754,Invoices!$F$6:$F$305,"&gt;="&amp;B1754)=1,INDEX(Invoices!$B$6:$B$305,SUMIFS(Invoices!$O$6:$O$305,Invoices!$C$6:$C$305,C1754,Invoices!$E$6:$E$305,"&lt;="&amp;B1754,Invoices!$F$6:$F$305,"&gt;="&amp;B1754)),IF(COUNTIFS(Invoices!$C$6:$C$305,C1754,Invoices!$E$6:$E$305,"&lt;="&amp;B1754,Invoices!$F$6:$F$305,"&gt;="&amp;B1754)&gt;1,"Two invoices",""))))</f>
        <v/>
      </c>
      <c r="Q1754" s="15">
        <f>IF(B1754="","",IF(J1754&lt;&gt;"","Not billable",IF(P1754="","To invoice",IF(P1754="Two invoices","Check dates",IF(ISNA(MATCH(P1754,Invoices!$B$6:$B$305,0)),"Check number",IF(INDEX(Invoices!$M$6:$M$305,MATCH(P1754,Invoices!$B$6:$B$305,0))="Paid","Paid",IF(INDEX(Invoices!$M$6:$M$305,MATCH(P1754,Invoices!$B$6:$B$305,0))="Draft","Draft","Invoiced")))))))</f>
        <v/>
      </c>
      <c r="R1754" s="1">
        <f>IF(AND(B1754&lt;&gt;"",P1754&lt;&gt;"",P1754=Invoice!$G$4),B1754+MOD(N(F1754),1)+ROW()/10000000,"")</f>
        <v/>
      </c>
      <c r="S1754">
        <f>IF(R1754="","",IF(D1754="","Other work",D1754)&amp;IF(AND(K1754&lt;&gt;"",E1754&lt;&gt;""),", "&amp;E1754,""))</f>
        <v/>
      </c>
      <c r="T1754">
        <f>IF(R1754="","",IF(COUNTIFS(R$6:R1753,"&gt;0",S$6:S1753,S1754,N$6:N1753,N1754)=0,R1754,""))</f>
        <v/>
      </c>
      <c r="U1754">
        <f>IF(B1754="","",IF(J1754&lt;&gt;"",0,M1754))</f>
        <v/>
      </c>
    </row>
    <row r="1755">
      <c r="A1755" s="1" t="n"/>
      <c r="B1755" s="16" t="n"/>
      <c r="C1755" s="17" t="n"/>
      <c r="D1755" s="18" t="n"/>
      <c r="E1755" s="18" t="n"/>
      <c r="F1755" s="19" t="n"/>
      <c r="G1755" s="19" t="n"/>
      <c r="H1755" s="20" t="n"/>
      <c r="I1755" s="21" t="n"/>
      <c r="J1755" s="22" t="n"/>
      <c r="K1755" s="23" t="n"/>
      <c r="L1755" s="18" t="n"/>
      <c r="M1755" s="24">
        <f>IF(B1755="","",IF(AND(F1755&lt;&gt;"",G1755&lt;&gt;""),MAX(0,ROUND(MOD(G1755-F1755,1)*24-N(H1755)/60,2)),N(I1755)))</f>
        <v/>
      </c>
      <c r="N1755" s="14">
        <f>IF(B1755="","",IF(K1755&lt;&gt;"",K1755,IF(N(IFERROR(INDEX(Projects!$D$6:$D$65,MATCH(D1755,Projects!$B$6:$B$65,0)),""))&gt;0,IFERROR(INDEX(Projects!$D$6:$D$65,MATCH(D1755,Projects!$B$6:$B$65,0)),""),IFERROR(INDEX(Clients!$G$6:$G$45,MATCH(C1755,Clients!$B$6:$B$45,0)),0))))</f>
        <v/>
      </c>
      <c r="O1755" s="14">
        <f>IF(B1755="","",IF(J1755&lt;&gt;"",0,ROUND(M1755*N1755,2)))</f>
        <v/>
      </c>
      <c r="P1755" s="15">
        <f>IF(OR(B1755="",J1755&lt;&gt;""),"",IF(L1755&lt;&gt;"",L1755,IF(COUNTIFS(Invoices!$C$6:$C$305,C1755,Invoices!$E$6:$E$305,"&lt;="&amp;B1755,Invoices!$F$6:$F$305,"&gt;="&amp;B1755)=1,INDEX(Invoices!$B$6:$B$305,SUMIFS(Invoices!$O$6:$O$305,Invoices!$C$6:$C$305,C1755,Invoices!$E$6:$E$305,"&lt;="&amp;B1755,Invoices!$F$6:$F$305,"&gt;="&amp;B1755)),IF(COUNTIFS(Invoices!$C$6:$C$305,C1755,Invoices!$E$6:$E$305,"&lt;="&amp;B1755,Invoices!$F$6:$F$305,"&gt;="&amp;B1755)&gt;1,"Two invoices",""))))</f>
        <v/>
      </c>
      <c r="Q1755" s="15">
        <f>IF(B1755="","",IF(J1755&lt;&gt;"","Not billable",IF(P1755="","To invoice",IF(P1755="Two invoices","Check dates",IF(ISNA(MATCH(P1755,Invoices!$B$6:$B$305,0)),"Check number",IF(INDEX(Invoices!$M$6:$M$305,MATCH(P1755,Invoices!$B$6:$B$305,0))="Paid","Paid",IF(INDEX(Invoices!$M$6:$M$305,MATCH(P1755,Invoices!$B$6:$B$305,0))="Draft","Draft","Invoiced")))))))</f>
        <v/>
      </c>
      <c r="R1755" s="1">
        <f>IF(AND(B1755&lt;&gt;"",P1755&lt;&gt;"",P1755=Invoice!$G$4),B1755+MOD(N(F1755),1)+ROW()/10000000,"")</f>
        <v/>
      </c>
      <c r="S1755">
        <f>IF(R1755="","",IF(D1755="","Other work",D1755)&amp;IF(AND(K1755&lt;&gt;"",E1755&lt;&gt;""),", "&amp;E1755,""))</f>
        <v/>
      </c>
      <c r="T1755">
        <f>IF(R1755="","",IF(COUNTIFS(R$6:R1754,"&gt;0",S$6:S1754,S1755,N$6:N1754,N1755)=0,R1755,""))</f>
        <v/>
      </c>
      <c r="U1755">
        <f>IF(B1755="","",IF(J1755&lt;&gt;"",0,M1755))</f>
        <v/>
      </c>
    </row>
    <row r="1756">
      <c r="A1756" s="1" t="n"/>
      <c r="B1756" s="16" t="n"/>
      <c r="C1756" s="17" t="n"/>
      <c r="D1756" s="18" t="n"/>
      <c r="E1756" s="18" t="n"/>
      <c r="F1756" s="19" t="n"/>
      <c r="G1756" s="19" t="n"/>
      <c r="H1756" s="20" t="n"/>
      <c r="I1756" s="21" t="n"/>
      <c r="J1756" s="22" t="n"/>
      <c r="K1756" s="23" t="n"/>
      <c r="L1756" s="18" t="n"/>
      <c r="M1756" s="24">
        <f>IF(B1756="","",IF(AND(F1756&lt;&gt;"",G1756&lt;&gt;""),MAX(0,ROUND(MOD(G1756-F1756,1)*24-N(H1756)/60,2)),N(I1756)))</f>
        <v/>
      </c>
      <c r="N1756" s="14">
        <f>IF(B1756="","",IF(K1756&lt;&gt;"",K1756,IF(N(IFERROR(INDEX(Projects!$D$6:$D$65,MATCH(D1756,Projects!$B$6:$B$65,0)),""))&gt;0,IFERROR(INDEX(Projects!$D$6:$D$65,MATCH(D1756,Projects!$B$6:$B$65,0)),""),IFERROR(INDEX(Clients!$G$6:$G$45,MATCH(C1756,Clients!$B$6:$B$45,0)),0))))</f>
        <v/>
      </c>
      <c r="O1756" s="14">
        <f>IF(B1756="","",IF(J1756&lt;&gt;"",0,ROUND(M1756*N1756,2)))</f>
        <v/>
      </c>
      <c r="P1756" s="15">
        <f>IF(OR(B1756="",J1756&lt;&gt;""),"",IF(L1756&lt;&gt;"",L1756,IF(COUNTIFS(Invoices!$C$6:$C$305,C1756,Invoices!$E$6:$E$305,"&lt;="&amp;B1756,Invoices!$F$6:$F$305,"&gt;="&amp;B1756)=1,INDEX(Invoices!$B$6:$B$305,SUMIFS(Invoices!$O$6:$O$305,Invoices!$C$6:$C$305,C1756,Invoices!$E$6:$E$305,"&lt;="&amp;B1756,Invoices!$F$6:$F$305,"&gt;="&amp;B1756)),IF(COUNTIFS(Invoices!$C$6:$C$305,C1756,Invoices!$E$6:$E$305,"&lt;="&amp;B1756,Invoices!$F$6:$F$305,"&gt;="&amp;B1756)&gt;1,"Two invoices",""))))</f>
        <v/>
      </c>
      <c r="Q1756" s="15">
        <f>IF(B1756="","",IF(J1756&lt;&gt;"","Not billable",IF(P1756="","To invoice",IF(P1756="Two invoices","Check dates",IF(ISNA(MATCH(P1756,Invoices!$B$6:$B$305,0)),"Check number",IF(INDEX(Invoices!$M$6:$M$305,MATCH(P1756,Invoices!$B$6:$B$305,0))="Paid","Paid",IF(INDEX(Invoices!$M$6:$M$305,MATCH(P1756,Invoices!$B$6:$B$305,0))="Draft","Draft","Invoiced")))))))</f>
        <v/>
      </c>
      <c r="R1756" s="1">
        <f>IF(AND(B1756&lt;&gt;"",P1756&lt;&gt;"",P1756=Invoice!$G$4),B1756+MOD(N(F1756),1)+ROW()/10000000,"")</f>
        <v/>
      </c>
      <c r="S1756">
        <f>IF(R1756="","",IF(D1756="","Other work",D1756)&amp;IF(AND(K1756&lt;&gt;"",E1756&lt;&gt;""),", "&amp;E1756,""))</f>
        <v/>
      </c>
      <c r="T1756">
        <f>IF(R1756="","",IF(COUNTIFS(R$6:R1755,"&gt;0",S$6:S1755,S1756,N$6:N1755,N1756)=0,R1756,""))</f>
        <v/>
      </c>
      <c r="U1756">
        <f>IF(B1756="","",IF(J1756&lt;&gt;"",0,M1756))</f>
        <v/>
      </c>
    </row>
    <row r="1757">
      <c r="A1757" s="1" t="n"/>
      <c r="B1757" s="16" t="n"/>
      <c r="C1757" s="17" t="n"/>
      <c r="D1757" s="18" t="n"/>
      <c r="E1757" s="18" t="n"/>
      <c r="F1757" s="19" t="n"/>
      <c r="G1757" s="19" t="n"/>
      <c r="H1757" s="20" t="n"/>
      <c r="I1757" s="21" t="n"/>
      <c r="J1757" s="22" t="n"/>
      <c r="K1757" s="23" t="n"/>
      <c r="L1757" s="18" t="n"/>
      <c r="M1757" s="24">
        <f>IF(B1757="","",IF(AND(F1757&lt;&gt;"",G1757&lt;&gt;""),MAX(0,ROUND(MOD(G1757-F1757,1)*24-N(H1757)/60,2)),N(I1757)))</f>
        <v/>
      </c>
      <c r="N1757" s="14">
        <f>IF(B1757="","",IF(K1757&lt;&gt;"",K1757,IF(N(IFERROR(INDEX(Projects!$D$6:$D$65,MATCH(D1757,Projects!$B$6:$B$65,0)),""))&gt;0,IFERROR(INDEX(Projects!$D$6:$D$65,MATCH(D1757,Projects!$B$6:$B$65,0)),""),IFERROR(INDEX(Clients!$G$6:$G$45,MATCH(C1757,Clients!$B$6:$B$45,0)),0))))</f>
        <v/>
      </c>
      <c r="O1757" s="14">
        <f>IF(B1757="","",IF(J1757&lt;&gt;"",0,ROUND(M1757*N1757,2)))</f>
        <v/>
      </c>
      <c r="P1757" s="15">
        <f>IF(OR(B1757="",J1757&lt;&gt;""),"",IF(L1757&lt;&gt;"",L1757,IF(COUNTIFS(Invoices!$C$6:$C$305,C1757,Invoices!$E$6:$E$305,"&lt;="&amp;B1757,Invoices!$F$6:$F$305,"&gt;="&amp;B1757)=1,INDEX(Invoices!$B$6:$B$305,SUMIFS(Invoices!$O$6:$O$305,Invoices!$C$6:$C$305,C1757,Invoices!$E$6:$E$305,"&lt;="&amp;B1757,Invoices!$F$6:$F$305,"&gt;="&amp;B1757)),IF(COUNTIFS(Invoices!$C$6:$C$305,C1757,Invoices!$E$6:$E$305,"&lt;="&amp;B1757,Invoices!$F$6:$F$305,"&gt;="&amp;B1757)&gt;1,"Two invoices",""))))</f>
        <v/>
      </c>
      <c r="Q1757" s="15">
        <f>IF(B1757="","",IF(J1757&lt;&gt;"","Not billable",IF(P1757="","To invoice",IF(P1757="Two invoices","Check dates",IF(ISNA(MATCH(P1757,Invoices!$B$6:$B$305,0)),"Check number",IF(INDEX(Invoices!$M$6:$M$305,MATCH(P1757,Invoices!$B$6:$B$305,0))="Paid","Paid",IF(INDEX(Invoices!$M$6:$M$305,MATCH(P1757,Invoices!$B$6:$B$305,0))="Draft","Draft","Invoiced")))))))</f>
        <v/>
      </c>
      <c r="R1757" s="1">
        <f>IF(AND(B1757&lt;&gt;"",P1757&lt;&gt;"",P1757=Invoice!$G$4),B1757+MOD(N(F1757),1)+ROW()/10000000,"")</f>
        <v/>
      </c>
      <c r="S1757">
        <f>IF(R1757="","",IF(D1757="","Other work",D1757)&amp;IF(AND(K1757&lt;&gt;"",E1757&lt;&gt;""),", "&amp;E1757,""))</f>
        <v/>
      </c>
      <c r="T1757">
        <f>IF(R1757="","",IF(COUNTIFS(R$6:R1756,"&gt;0",S$6:S1756,S1757,N$6:N1756,N1757)=0,R1757,""))</f>
        <v/>
      </c>
      <c r="U1757">
        <f>IF(B1757="","",IF(J1757&lt;&gt;"",0,M1757))</f>
        <v/>
      </c>
    </row>
    <row r="1758">
      <c r="A1758" s="1" t="n"/>
      <c r="B1758" s="16" t="n"/>
      <c r="C1758" s="17" t="n"/>
      <c r="D1758" s="18" t="n"/>
      <c r="E1758" s="18" t="n"/>
      <c r="F1758" s="19" t="n"/>
      <c r="G1758" s="19" t="n"/>
      <c r="H1758" s="20" t="n"/>
      <c r="I1758" s="21" t="n"/>
      <c r="J1758" s="22" t="n"/>
      <c r="K1758" s="23" t="n"/>
      <c r="L1758" s="18" t="n"/>
      <c r="M1758" s="24">
        <f>IF(B1758="","",IF(AND(F1758&lt;&gt;"",G1758&lt;&gt;""),MAX(0,ROUND(MOD(G1758-F1758,1)*24-N(H1758)/60,2)),N(I1758)))</f>
        <v/>
      </c>
      <c r="N1758" s="14">
        <f>IF(B1758="","",IF(K1758&lt;&gt;"",K1758,IF(N(IFERROR(INDEX(Projects!$D$6:$D$65,MATCH(D1758,Projects!$B$6:$B$65,0)),""))&gt;0,IFERROR(INDEX(Projects!$D$6:$D$65,MATCH(D1758,Projects!$B$6:$B$65,0)),""),IFERROR(INDEX(Clients!$G$6:$G$45,MATCH(C1758,Clients!$B$6:$B$45,0)),0))))</f>
        <v/>
      </c>
      <c r="O1758" s="14">
        <f>IF(B1758="","",IF(J1758&lt;&gt;"",0,ROUND(M1758*N1758,2)))</f>
        <v/>
      </c>
      <c r="P1758" s="15">
        <f>IF(OR(B1758="",J1758&lt;&gt;""),"",IF(L1758&lt;&gt;"",L1758,IF(COUNTIFS(Invoices!$C$6:$C$305,C1758,Invoices!$E$6:$E$305,"&lt;="&amp;B1758,Invoices!$F$6:$F$305,"&gt;="&amp;B1758)=1,INDEX(Invoices!$B$6:$B$305,SUMIFS(Invoices!$O$6:$O$305,Invoices!$C$6:$C$305,C1758,Invoices!$E$6:$E$305,"&lt;="&amp;B1758,Invoices!$F$6:$F$305,"&gt;="&amp;B1758)),IF(COUNTIFS(Invoices!$C$6:$C$305,C1758,Invoices!$E$6:$E$305,"&lt;="&amp;B1758,Invoices!$F$6:$F$305,"&gt;="&amp;B1758)&gt;1,"Two invoices",""))))</f>
        <v/>
      </c>
      <c r="Q1758" s="15">
        <f>IF(B1758="","",IF(J1758&lt;&gt;"","Not billable",IF(P1758="","To invoice",IF(P1758="Two invoices","Check dates",IF(ISNA(MATCH(P1758,Invoices!$B$6:$B$305,0)),"Check number",IF(INDEX(Invoices!$M$6:$M$305,MATCH(P1758,Invoices!$B$6:$B$305,0))="Paid","Paid",IF(INDEX(Invoices!$M$6:$M$305,MATCH(P1758,Invoices!$B$6:$B$305,0))="Draft","Draft","Invoiced")))))))</f>
        <v/>
      </c>
      <c r="R1758" s="1">
        <f>IF(AND(B1758&lt;&gt;"",P1758&lt;&gt;"",P1758=Invoice!$G$4),B1758+MOD(N(F1758),1)+ROW()/10000000,"")</f>
        <v/>
      </c>
      <c r="S1758">
        <f>IF(R1758="","",IF(D1758="","Other work",D1758)&amp;IF(AND(K1758&lt;&gt;"",E1758&lt;&gt;""),", "&amp;E1758,""))</f>
        <v/>
      </c>
      <c r="T1758">
        <f>IF(R1758="","",IF(COUNTIFS(R$6:R1757,"&gt;0",S$6:S1757,S1758,N$6:N1757,N1758)=0,R1758,""))</f>
        <v/>
      </c>
      <c r="U1758">
        <f>IF(B1758="","",IF(J1758&lt;&gt;"",0,M1758))</f>
        <v/>
      </c>
    </row>
    <row r="1759">
      <c r="A1759" s="1" t="n"/>
      <c r="B1759" s="16" t="n"/>
      <c r="C1759" s="17" t="n"/>
      <c r="D1759" s="18" t="n"/>
      <c r="E1759" s="18" t="n"/>
      <c r="F1759" s="19" t="n"/>
      <c r="G1759" s="19" t="n"/>
      <c r="H1759" s="20" t="n"/>
      <c r="I1759" s="21" t="n"/>
      <c r="J1759" s="22" t="n"/>
      <c r="K1759" s="23" t="n"/>
      <c r="L1759" s="18" t="n"/>
      <c r="M1759" s="24">
        <f>IF(B1759="","",IF(AND(F1759&lt;&gt;"",G1759&lt;&gt;""),MAX(0,ROUND(MOD(G1759-F1759,1)*24-N(H1759)/60,2)),N(I1759)))</f>
        <v/>
      </c>
      <c r="N1759" s="14">
        <f>IF(B1759="","",IF(K1759&lt;&gt;"",K1759,IF(N(IFERROR(INDEX(Projects!$D$6:$D$65,MATCH(D1759,Projects!$B$6:$B$65,0)),""))&gt;0,IFERROR(INDEX(Projects!$D$6:$D$65,MATCH(D1759,Projects!$B$6:$B$65,0)),""),IFERROR(INDEX(Clients!$G$6:$G$45,MATCH(C1759,Clients!$B$6:$B$45,0)),0))))</f>
        <v/>
      </c>
      <c r="O1759" s="14">
        <f>IF(B1759="","",IF(J1759&lt;&gt;"",0,ROUND(M1759*N1759,2)))</f>
        <v/>
      </c>
      <c r="P1759" s="15">
        <f>IF(OR(B1759="",J1759&lt;&gt;""),"",IF(L1759&lt;&gt;"",L1759,IF(COUNTIFS(Invoices!$C$6:$C$305,C1759,Invoices!$E$6:$E$305,"&lt;="&amp;B1759,Invoices!$F$6:$F$305,"&gt;="&amp;B1759)=1,INDEX(Invoices!$B$6:$B$305,SUMIFS(Invoices!$O$6:$O$305,Invoices!$C$6:$C$305,C1759,Invoices!$E$6:$E$305,"&lt;="&amp;B1759,Invoices!$F$6:$F$305,"&gt;="&amp;B1759)),IF(COUNTIFS(Invoices!$C$6:$C$305,C1759,Invoices!$E$6:$E$305,"&lt;="&amp;B1759,Invoices!$F$6:$F$305,"&gt;="&amp;B1759)&gt;1,"Two invoices",""))))</f>
        <v/>
      </c>
      <c r="Q1759" s="15">
        <f>IF(B1759="","",IF(J1759&lt;&gt;"","Not billable",IF(P1759="","To invoice",IF(P1759="Two invoices","Check dates",IF(ISNA(MATCH(P1759,Invoices!$B$6:$B$305,0)),"Check number",IF(INDEX(Invoices!$M$6:$M$305,MATCH(P1759,Invoices!$B$6:$B$305,0))="Paid","Paid",IF(INDEX(Invoices!$M$6:$M$305,MATCH(P1759,Invoices!$B$6:$B$305,0))="Draft","Draft","Invoiced")))))))</f>
        <v/>
      </c>
      <c r="R1759" s="1">
        <f>IF(AND(B1759&lt;&gt;"",P1759&lt;&gt;"",P1759=Invoice!$G$4),B1759+MOD(N(F1759),1)+ROW()/10000000,"")</f>
        <v/>
      </c>
      <c r="S1759">
        <f>IF(R1759="","",IF(D1759="","Other work",D1759)&amp;IF(AND(K1759&lt;&gt;"",E1759&lt;&gt;""),", "&amp;E1759,""))</f>
        <v/>
      </c>
      <c r="T1759">
        <f>IF(R1759="","",IF(COUNTIFS(R$6:R1758,"&gt;0",S$6:S1758,S1759,N$6:N1758,N1759)=0,R1759,""))</f>
        <v/>
      </c>
      <c r="U1759">
        <f>IF(B1759="","",IF(J1759&lt;&gt;"",0,M1759))</f>
        <v/>
      </c>
    </row>
    <row r="1760">
      <c r="A1760" s="1" t="n"/>
      <c r="B1760" s="16" t="n"/>
      <c r="C1760" s="17" t="n"/>
      <c r="D1760" s="18" t="n"/>
      <c r="E1760" s="18" t="n"/>
      <c r="F1760" s="19" t="n"/>
      <c r="G1760" s="19" t="n"/>
      <c r="H1760" s="20" t="n"/>
      <c r="I1760" s="21" t="n"/>
      <c r="J1760" s="22" t="n"/>
      <c r="K1760" s="23" t="n"/>
      <c r="L1760" s="18" t="n"/>
      <c r="M1760" s="24">
        <f>IF(B1760="","",IF(AND(F1760&lt;&gt;"",G1760&lt;&gt;""),MAX(0,ROUND(MOD(G1760-F1760,1)*24-N(H1760)/60,2)),N(I1760)))</f>
        <v/>
      </c>
      <c r="N1760" s="14">
        <f>IF(B1760="","",IF(K1760&lt;&gt;"",K1760,IF(N(IFERROR(INDEX(Projects!$D$6:$D$65,MATCH(D1760,Projects!$B$6:$B$65,0)),""))&gt;0,IFERROR(INDEX(Projects!$D$6:$D$65,MATCH(D1760,Projects!$B$6:$B$65,0)),""),IFERROR(INDEX(Clients!$G$6:$G$45,MATCH(C1760,Clients!$B$6:$B$45,0)),0))))</f>
        <v/>
      </c>
      <c r="O1760" s="14">
        <f>IF(B1760="","",IF(J1760&lt;&gt;"",0,ROUND(M1760*N1760,2)))</f>
        <v/>
      </c>
      <c r="P1760" s="15">
        <f>IF(OR(B1760="",J1760&lt;&gt;""),"",IF(L1760&lt;&gt;"",L1760,IF(COUNTIFS(Invoices!$C$6:$C$305,C1760,Invoices!$E$6:$E$305,"&lt;="&amp;B1760,Invoices!$F$6:$F$305,"&gt;="&amp;B1760)=1,INDEX(Invoices!$B$6:$B$305,SUMIFS(Invoices!$O$6:$O$305,Invoices!$C$6:$C$305,C1760,Invoices!$E$6:$E$305,"&lt;="&amp;B1760,Invoices!$F$6:$F$305,"&gt;="&amp;B1760)),IF(COUNTIFS(Invoices!$C$6:$C$305,C1760,Invoices!$E$6:$E$305,"&lt;="&amp;B1760,Invoices!$F$6:$F$305,"&gt;="&amp;B1760)&gt;1,"Two invoices",""))))</f>
        <v/>
      </c>
      <c r="Q1760" s="15">
        <f>IF(B1760="","",IF(J1760&lt;&gt;"","Not billable",IF(P1760="","To invoice",IF(P1760="Two invoices","Check dates",IF(ISNA(MATCH(P1760,Invoices!$B$6:$B$305,0)),"Check number",IF(INDEX(Invoices!$M$6:$M$305,MATCH(P1760,Invoices!$B$6:$B$305,0))="Paid","Paid",IF(INDEX(Invoices!$M$6:$M$305,MATCH(P1760,Invoices!$B$6:$B$305,0))="Draft","Draft","Invoiced")))))))</f>
        <v/>
      </c>
      <c r="R1760" s="1">
        <f>IF(AND(B1760&lt;&gt;"",P1760&lt;&gt;"",P1760=Invoice!$G$4),B1760+MOD(N(F1760),1)+ROW()/10000000,"")</f>
        <v/>
      </c>
      <c r="S1760">
        <f>IF(R1760="","",IF(D1760="","Other work",D1760)&amp;IF(AND(K1760&lt;&gt;"",E1760&lt;&gt;""),", "&amp;E1760,""))</f>
        <v/>
      </c>
      <c r="T1760">
        <f>IF(R1760="","",IF(COUNTIFS(R$6:R1759,"&gt;0",S$6:S1759,S1760,N$6:N1759,N1760)=0,R1760,""))</f>
        <v/>
      </c>
      <c r="U1760">
        <f>IF(B1760="","",IF(J1760&lt;&gt;"",0,M1760))</f>
        <v/>
      </c>
    </row>
    <row r="1761">
      <c r="A1761" s="1" t="n"/>
      <c r="B1761" s="16" t="n"/>
      <c r="C1761" s="17" t="n"/>
      <c r="D1761" s="18" t="n"/>
      <c r="E1761" s="18" t="n"/>
      <c r="F1761" s="19" t="n"/>
      <c r="G1761" s="19" t="n"/>
      <c r="H1761" s="20" t="n"/>
      <c r="I1761" s="21" t="n"/>
      <c r="J1761" s="22" t="n"/>
      <c r="K1761" s="23" t="n"/>
      <c r="L1761" s="18" t="n"/>
      <c r="M1761" s="24">
        <f>IF(B1761="","",IF(AND(F1761&lt;&gt;"",G1761&lt;&gt;""),MAX(0,ROUND(MOD(G1761-F1761,1)*24-N(H1761)/60,2)),N(I1761)))</f>
        <v/>
      </c>
      <c r="N1761" s="14">
        <f>IF(B1761="","",IF(K1761&lt;&gt;"",K1761,IF(N(IFERROR(INDEX(Projects!$D$6:$D$65,MATCH(D1761,Projects!$B$6:$B$65,0)),""))&gt;0,IFERROR(INDEX(Projects!$D$6:$D$65,MATCH(D1761,Projects!$B$6:$B$65,0)),""),IFERROR(INDEX(Clients!$G$6:$G$45,MATCH(C1761,Clients!$B$6:$B$45,0)),0))))</f>
        <v/>
      </c>
      <c r="O1761" s="14">
        <f>IF(B1761="","",IF(J1761&lt;&gt;"",0,ROUND(M1761*N1761,2)))</f>
        <v/>
      </c>
      <c r="P1761" s="15">
        <f>IF(OR(B1761="",J1761&lt;&gt;""),"",IF(L1761&lt;&gt;"",L1761,IF(COUNTIFS(Invoices!$C$6:$C$305,C1761,Invoices!$E$6:$E$305,"&lt;="&amp;B1761,Invoices!$F$6:$F$305,"&gt;="&amp;B1761)=1,INDEX(Invoices!$B$6:$B$305,SUMIFS(Invoices!$O$6:$O$305,Invoices!$C$6:$C$305,C1761,Invoices!$E$6:$E$305,"&lt;="&amp;B1761,Invoices!$F$6:$F$305,"&gt;="&amp;B1761)),IF(COUNTIFS(Invoices!$C$6:$C$305,C1761,Invoices!$E$6:$E$305,"&lt;="&amp;B1761,Invoices!$F$6:$F$305,"&gt;="&amp;B1761)&gt;1,"Two invoices",""))))</f>
        <v/>
      </c>
      <c r="Q1761" s="15">
        <f>IF(B1761="","",IF(J1761&lt;&gt;"","Not billable",IF(P1761="","To invoice",IF(P1761="Two invoices","Check dates",IF(ISNA(MATCH(P1761,Invoices!$B$6:$B$305,0)),"Check number",IF(INDEX(Invoices!$M$6:$M$305,MATCH(P1761,Invoices!$B$6:$B$305,0))="Paid","Paid",IF(INDEX(Invoices!$M$6:$M$305,MATCH(P1761,Invoices!$B$6:$B$305,0))="Draft","Draft","Invoiced")))))))</f>
        <v/>
      </c>
      <c r="R1761" s="1">
        <f>IF(AND(B1761&lt;&gt;"",P1761&lt;&gt;"",P1761=Invoice!$G$4),B1761+MOD(N(F1761),1)+ROW()/10000000,"")</f>
        <v/>
      </c>
      <c r="S1761">
        <f>IF(R1761="","",IF(D1761="","Other work",D1761)&amp;IF(AND(K1761&lt;&gt;"",E1761&lt;&gt;""),", "&amp;E1761,""))</f>
        <v/>
      </c>
      <c r="T1761">
        <f>IF(R1761="","",IF(COUNTIFS(R$6:R1760,"&gt;0",S$6:S1760,S1761,N$6:N1760,N1761)=0,R1761,""))</f>
        <v/>
      </c>
      <c r="U1761">
        <f>IF(B1761="","",IF(J1761&lt;&gt;"",0,M1761))</f>
        <v/>
      </c>
    </row>
    <row r="1762">
      <c r="A1762" s="1" t="n"/>
      <c r="B1762" s="16" t="n"/>
      <c r="C1762" s="17" t="n"/>
      <c r="D1762" s="18" t="n"/>
      <c r="E1762" s="18" t="n"/>
      <c r="F1762" s="19" t="n"/>
      <c r="G1762" s="19" t="n"/>
      <c r="H1762" s="20" t="n"/>
      <c r="I1762" s="21" t="n"/>
      <c r="J1762" s="22" t="n"/>
      <c r="K1762" s="23" t="n"/>
      <c r="L1762" s="18" t="n"/>
      <c r="M1762" s="24">
        <f>IF(B1762="","",IF(AND(F1762&lt;&gt;"",G1762&lt;&gt;""),MAX(0,ROUND(MOD(G1762-F1762,1)*24-N(H1762)/60,2)),N(I1762)))</f>
        <v/>
      </c>
      <c r="N1762" s="14">
        <f>IF(B1762="","",IF(K1762&lt;&gt;"",K1762,IF(N(IFERROR(INDEX(Projects!$D$6:$D$65,MATCH(D1762,Projects!$B$6:$B$65,0)),""))&gt;0,IFERROR(INDEX(Projects!$D$6:$D$65,MATCH(D1762,Projects!$B$6:$B$65,0)),""),IFERROR(INDEX(Clients!$G$6:$G$45,MATCH(C1762,Clients!$B$6:$B$45,0)),0))))</f>
        <v/>
      </c>
      <c r="O1762" s="14">
        <f>IF(B1762="","",IF(J1762&lt;&gt;"",0,ROUND(M1762*N1762,2)))</f>
        <v/>
      </c>
      <c r="P1762" s="15">
        <f>IF(OR(B1762="",J1762&lt;&gt;""),"",IF(L1762&lt;&gt;"",L1762,IF(COUNTIFS(Invoices!$C$6:$C$305,C1762,Invoices!$E$6:$E$305,"&lt;="&amp;B1762,Invoices!$F$6:$F$305,"&gt;="&amp;B1762)=1,INDEX(Invoices!$B$6:$B$305,SUMIFS(Invoices!$O$6:$O$305,Invoices!$C$6:$C$305,C1762,Invoices!$E$6:$E$305,"&lt;="&amp;B1762,Invoices!$F$6:$F$305,"&gt;="&amp;B1762)),IF(COUNTIFS(Invoices!$C$6:$C$305,C1762,Invoices!$E$6:$E$305,"&lt;="&amp;B1762,Invoices!$F$6:$F$305,"&gt;="&amp;B1762)&gt;1,"Two invoices",""))))</f>
        <v/>
      </c>
      <c r="Q1762" s="15">
        <f>IF(B1762="","",IF(J1762&lt;&gt;"","Not billable",IF(P1762="","To invoice",IF(P1762="Two invoices","Check dates",IF(ISNA(MATCH(P1762,Invoices!$B$6:$B$305,0)),"Check number",IF(INDEX(Invoices!$M$6:$M$305,MATCH(P1762,Invoices!$B$6:$B$305,0))="Paid","Paid",IF(INDEX(Invoices!$M$6:$M$305,MATCH(P1762,Invoices!$B$6:$B$305,0))="Draft","Draft","Invoiced")))))))</f>
        <v/>
      </c>
      <c r="R1762" s="1">
        <f>IF(AND(B1762&lt;&gt;"",P1762&lt;&gt;"",P1762=Invoice!$G$4),B1762+MOD(N(F1762),1)+ROW()/10000000,"")</f>
        <v/>
      </c>
      <c r="S1762">
        <f>IF(R1762="","",IF(D1762="","Other work",D1762)&amp;IF(AND(K1762&lt;&gt;"",E1762&lt;&gt;""),", "&amp;E1762,""))</f>
        <v/>
      </c>
      <c r="T1762">
        <f>IF(R1762="","",IF(COUNTIFS(R$6:R1761,"&gt;0",S$6:S1761,S1762,N$6:N1761,N1762)=0,R1762,""))</f>
        <v/>
      </c>
      <c r="U1762">
        <f>IF(B1762="","",IF(J1762&lt;&gt;"",0,M1762))</f>
        <v/>
      </c>
    </row>
    <row r="1763">
      <c r="A1763" s="1" t="n"/>
      <c r="B1763" s="16" t="n"/>
      <c r="C1763" s="17" t="n"/>
      <c r="D1763" s="18" t="n"/>
      <c r="E1763" s="18" t="n"/>
      <c r="F1763" s="19" t="n"/>
      <c r="G1763" s="19" t="n"/>
      <c r="H1763" s="20" t="n"/>
      <c r="I1763" s="21" t="n"/>
      <c r="J1763" s="22" t="n"/>
      <c r="K1763" s="23" t="n"/>
      <c r="L1763" s="18" t="n"/>
      <c r="M1763" s="24">
        <f>IF(B1763="","",IF(AND(F1763&lt;&gt;"",G1763&lt;&gt;""),MAX(0,ROUND(MOD(G1763-F1763,1)*24-N(H1763)/60,2)),N(I1763)))</f>
        <v/>
      </c>
      <c r="N1763" s="14">
        <f>IF(B1763="","",IF(K1763&lt;&gt;"",K1763,IF(N(IFERROR(INDEX(Projects!$D$6:$D$65,MATCH(D1763,Projects!$B$6:$B$65,0)),""))&gt;0,IFERROR(INDEX(Projects!$D$6:$D$65,MATCH(D1763,Projects!$B$6:$B$65,0)),""),IFERROR(INDEX(Clients!$G$6:$G$45,MATCH(C1763,Clients!$B$6:$B$45,0)),0))))</f>
        <v/>
      </c>
      <c r="O1763" s="14">
        <f>IF(B1763="","",IF(J1763&lt;&gt;"",0,ROUND(M1763*N1763,2)))</f>
        <v/>
      </c>
      <c r="P1763" s="15">
        <f>IF(OR(B1763="",J1763&lt;&gt;""),"",IF(L1763&lt;&gt;"",L1763,IF(COUNTIFS(Invoices!$C$6:$C$305,C1763,Invoices!$E$6:$E$305,"&lt;="&amp;B1763,Invoices!$F$6:$F$305,"&gt;="&amp;B1763)=1,INDEX(Invoices!$B$6:$B$305,SUMIFS(Invoices!$O$6:$O$305,Invoices!$C$6:$C$305,C1763,Invoices!$E$6:$E$305,"&lt;="&amp;B1763,Invoices!$F$6:$F$305,"&gt;="&amp;B1763)),IF(COUNTIFS(Invoices!$C$6:$C$305,C1763,Invoices!$E$6:$E$305,"&lt;="&amp;B1763,Invoices!$F$6:$F$305,"&gt;="&amp;B1763)&gt;1,"Two invoices",""))))</f>
        <v/>
      </c>
      <c r="Q1763" s="15">
        <f>IF(B1763="","",IF(J1763&lt;&gt;"","Not billable",IF(P1763="","To invoice",IF(P1763="Two invoices","Check dates",IF(ISNA(MATCH(P1763,Invoices!$B$6:$B$305,0)),"Check number",IF(INDEX(Invoices!$M$6:$M$305,MATCH(P1763,Invoices!$B$6:$B$305,0))="Paid","Paid",IF(INDEX(Invoices!$M$6:$M$305,MATCH(P1763,Invoices!$B$6:$B$305,0))="Draft","Draft","Invoiced")))))))</f>
        <v/>
      </c>
      <c r="R1763" s="1">
        <f>IF(AND(B1763&lt;&gt;"",P1763&lt;&gt;"",P1763=Invoice!$G$4),B1763+MOD(N(F1763),1)+ROW()/10000000,"")</f>
        <v/>
      </c>
      <c r="S1763">
        <f>IF(R1763="","",IF(D1763="","Other work",D1763)&amp;IF(AND(K1763&lt;&gt;"",E1763&lt;&gt;""),", "&amp;E1763,""))</f>
        <v/>
      </c>
      <c r="T1763">
        <f>IF(R1763="","",IF(COUNTIFS(R$6:R1762,"&gt;0",S$6:S1762,S1763,N$6:N1762,N1763)=0,R1763,""))</f>
        <v/>
      </c>
      <c r="U1763">
        <f>IF(B1763="","",IF(J1763&lt;&gt;"",0,M1763))</f>
        <v/>
      </c>
    </row>
    <row r="1764">
      <c r="A1764" s="1" t="n"/>
      <c r="B1764" s="16" t="n"/>
      <c r="C1764" s="17" t="n"/>
      <c r="D1764" s="18" t="n"/>
      <c r="E1764" s="18" t="n"/>
      <c r="F1764" s="19" t="n"/>
      <c r="G1764" s="19" t="n"/>
      <c r="H1764" s="20" t="n"/>
      <c r="I1764" s="21" t="n"/>
      <c r="J1764" s="22" t="n"/>
      <c r="K1764" s="23" t="n"/>
      <c r="L1764" s="18" t="n"/>
      <c r="M1764" s="24">
        <f>IF(B1764="","",IF(AND(F1764&lt;&gt;"",G1764&lt;&gt;""),MAX(0,ROUND(MOD(G1764-F1764,1)*24-N(H1764)/60,2)),N(I1764)))</f>
        <v/>
      </c>
      <c r="N1764" s="14">
        <f>IF(B1764="","",IF(K1764&lt;&gt;"",K1764,IF(N(IFERROR(INDEX(Projects!$D$6:$D$65,MATCH(D1764,Projects!$B$6:$B$65,0)),""))&gt;0,IFERROR(INDEX(Projects!$D$6:$D$65,MATCH(D1764,Projects!$B$6:$B$65,0)),""),IFERROR(INDEX(Clients!$G$6:$G$45,MATCH(C1764,Clients!$B$6:$B$45,0)),0))))</f>
        <v/>
      </c>
      <c r="O1764" s="14">
        <f>IF(B1764="","",IF(J1764&lt;&gt;"",0,ROUND(M1764*N1764,2)))</f>
        <v/>
      </c>
      <c r="P1764" s="15">
        <f>IF(OR(B1764="",J1764&lt;&gt;""),"",IF(L1764&lt;&gt;"",L1764,IF(COUNTIFS(Invoices!$C$6:$C$305,C1764,Invoices!$E$6:$E$305,"&lt;="&amp;B1764,Invoices!$F$6:$F$305,"&gt;="&amp;B1764)=1,INDEX(Invoices!$B$6:$B$305,SUMIFS(Invoices!$O$6:$O$305,Invoices!$C$6:$C$305,C1764,Invoices!$E$6:$E$305,"&lt;="&amp;B1764,Invoices!$F$6:$F$305,"&gt;="&amp;B1764)),IF(COUNTIFS(Invoices!$C$6:$C$305,C1764,Invoices!$E$6:$E$305,"&lt;="&amp;B1764,Invoices!$F$6:$F$305,"&gt;="&amp;B1764)&gt;1,"Two invoices",""))))</f>
        <v/>
      </c>
      <c r="Q1764" s="15">
        <f>IF(B1764="","",IF(J1764&lt;&gt;"","Not billable",IF(P1764="","To invoice",IF(P1764="Two invoices","Check dates",IF(ISNA(MATCH(P1764,Invoices!$B$6:$B$305,0)),"Check number",IF(INDEX(Invoices!$M$6:$M$305,MATCH(P1764,Invoices!$B$6:$B$305,0))="Paid","Paid",IF(INDEX(Invoices!$M$6:$M$305,MATCH(P1764,Invoices!$B$6:$B$305,0))="Draft","Draft","Invoiced")))))))</f>
        <v/>
      </c>
      <c r="R1764" s="1">
        <f>IF(AND(B1764&lt;&gt;"",P1764&lt;&gt;"",P1764=Invoice!$G$4),B1764+MOD(N(F1764),1)+ROW()/10000000,"")</f>
        <v/>
      </c>
      <c r="S1764">
        <f>IF(R1764="","",IF(D1764="","Other work",D1764)&amp;IF(AND(K1764&lt;&gt;"",E1764&lt;&gt;""),", "&amp;E1764,""))</f>
        <v/>
      </c>
      <c r="T1764">
        <f>IF(R1764="","",IF(COUNTIFS(R$6:R1763,"&gt;0",S$6:S1763,S1764,N$6:N1763,N1764)=0,R1764,""))</f>
        <v/>
      </c>
      <c r="U1764">
        <f>IF(B1764="","",IF(J1764&lt;&gt;"",0,M1764))</f>
        <v/>
      </c>
    </row>
    <row r="1765">
      <c r="A1765" s="1" t="n"/>
      <c r="B1765" s="16" t="n"/>
      <c r="C1765" s="17" t="n"/>
      <c r="D1765" s="18" t="n"/>
      <c r="E1765" s="18" t="n"/>
      <c r="F1765" s="19" t="n"/>
      <c r="G1765" s="19" t="n"/>
      <c r="H1765" s="20" t="n"/>
      <c r="I1765" s="21" t="n"/>
      <c r="J1765" s="22" t="n"/>
      <c r="K1765" s="23" t="n"/>
      <c r="L1765" s="18" t="n"/>
      <c r="M1765" s="24">
        <f>IF(B1765="","",IF(AND(F1765&lt;&gt;"",G1765&lt;&gt;""),MAX(0,ROUND(MOD(G1765-F1765,1)*24-N(H1765)/60,2)),N(I1765)))</f>
        <v/>
      </c>
      <c r="N1765" s="14">
        <f>IF(B1765="","",IF(K1765&lt;&gt;"",K1765,IF(N(IFERROR(INDEX(Projects!$D$6:$D$65,MATCH(D1765,Projects!$B$6:$B$65,0)),""))&gt;0,IFERROR(INDEX(Projects!$D$6:$D$65,MATCH(D1765,Projects!$B$6:$B$65,0)),""),IFERROR(INDEX(Clients!$G$6:$G$45,MATCH(C1765,Clients!$B$6:$B$45,0)),0))))</f>
        <v/>
      </c>
      <c r="O1765" s="14">
        <f>IF(B1765="","",IF(J1765&lt;&gt;"",0,ROUND(M1765*N1765,2)))</f>
        <v/>
      </c>
      <c r="P1765" s="15">
        <f>IF(OR(B1765="",J1765&lt;&gt;""),"",IF(L1765&lt;&gt;"",L1765,IF(COUNTIFS(Invoices!$C$6:$C$305,C1765,Invoices!$E$6:$E$305,"&lt;="&amp;B1765,Invoices!$F$6:$F$305,"&gt;="&amp;B1765)=1,INDEX(Invoices!$B$6:$B$305,SUMIFS(Invoices!$O$6:$O$305,Invoices!$C$6:$C$305,C1765,Invoices!$E$6:$E$305,"&lt;="&amp;B1765,Invoices!$F$6:$F$305,"&gt;="&amp;B1765)),IF(COUNTIFS(Invoices!$C$6:$C$305,C1765,Invoices!$E$6:$E$305,"&lt;="&amp;B1765,Invoices!$F$6:$F$305,"&gt;="&amp;B1765)&gt;1,"Two invoices",""))))</f>
        <v/>
      </c>
      <c r="Q1765" s="15">
        <f>IF(B1765="","",IF(J1765&lt;&gt;"","Not billable",IF(P1765="","To invoice",IF(P1765="Two invoices","Check dates",IF(ISNA(MATCH(P1765,Invoices!$B$6:$B$305,0)),"Check number",IF(INDEX(Invoices!$M$6:$M$305,MATCH(P1765,Invoices!$B$6:$B$305,0))="Paid","Paid",IF(INDEX(Invoices!$M$6:$M$305,MATCH(P1765,Invoices!$B$6:$B$305,0))="Draft","Draft","Invoiced")))))))</f>
        <v/>
      </c>
      <c r="R1765" s="1">
        <f>IF(AND(B1765&lt;&gt;"",P1765&lt;&gt;"",P1765=Invoice!$G$4),B1765+MOD(N(F1765),1)+ROW()/10000000,"")</f>
        <v/>
      </c>
      <c r="S1765">
        <f>IF(R1765="","",IF(D1765="","Other work",D1765)&amp;IF(AND(K1765&lt;&gt;"",E1765&lt;&gt;""),", "&amp;E1765,""))</f>
        <v/>
      </c>
      <c r="T1765">
        <f>IF(R1765="","",IF(COUNTIFS(R$6:R1764,"&gt;0",S$6:S1764,S1765,N$6:N1764,N1765)=0,R1765,""))</f>
        <v/>
      </c>
      <c r="U1765">
        <f>IF(B1765="","",IF(J1765&lt;&gt;"",0,M1765))</f>
        <v/>
      </c>
    </row>
    <row r="1766">
      <c r="A1766" s="1" t="n"/>
      <c r="B1766" s="16" t="n"/>
      <c r="C1766" s="17" t="n"/>
      <c r="D1766" s="18" t="n"/>
      <c r="E1766" s="18" t="n"/>
      <c r="F1766" s="19" t="n"/>
      <c r="G1766" s="19" t="n"/>
      <c r="H1766" s="20" t="n"/>
      <c r="I1766" s="21" t="n"/>
      <c r="J1766" s="22" t="n"/>
      <c r="K1766" s="23" t="n"/>
      <c r="L1766" s="18" t="n"/>
      <c r="M1766" s="24">
        <f>IF(B1766="","",IF(AND(F1766&lt;&gt;"",G1766&lt;&gt;""),MAX(0,ROUND(MOD(G1766-F1766,1)*24-N(H1766)/60,2)),N(I1766)))</f>
        <v/>
      </c>
      <c r="N1766" s="14">
        <f>IF(B1766="","",IF(K1766&lt;&gt;"",K1766,IF(N(IFERROR(INDEX(Projects!$D$6:$D$65,MATCH(D1766,Projects!$B$6:$B$65,0)),""))&gt;0,IFERROR(INDEX(Projects!$D$6:$D$65,MATCH(D1766,Projects!$B$6:$B$65,0)),""),IFERROR(INDEX(Clients!$G$6:$G$45,MATCH(C1766,Clients!$B$6:$B$45,0)),0))))</f>
        <v/>
      </c>
      <c r="O1766" s="14">
        <f>IF(B1766="","",IF(J1766&lt;&gt;"",0,ROUND(M1766*N1766,2)))</f>
        <v/>
      </c>
      <c r="P1766" s="15">
        <f>IF(OR(B1766="",J1766&lt;&gt;""),"",IF(L1766&lt;&gt;"",L1766,IF(COUNTIFS(Invoices!$C$6:$C$305,C1766,Invoices!$E$6:$E$305,"&lt;="&amp;B1766,Invoices!$F$6:$F$305,"&gt;="&amp;B1766)=1,INDEX(Invoices!$B$6:$B$305,SUMIFS(Invoices!$O$6:$O$305,Invoices!$C$6:$C$305,C1766,Invoices!$E$6:$E$305,"&lt;="&amp;B1766,Invoices!$F$6:$F$305,"&gt;="&amp;B1766)),IF(COUNTIFS(Invoices!$C$6:$C$305,C1766,Invoices!$E$6:$E$305,"&lt;="&amp;B1766,Invoices!$F$6:$F$305,"&gt;="&amp;B1766)&gt;1,"Two invoices",""))))</f>
        <v/>
      </c>
      <c r="Q1766" s="15">
        <f>IF(B1766="","",IF(J1766&lt;&gt;"","Not billable",IF(P1766="","To invoice",IF(P1766="Two invoices","Check dates",IF(ISNA(MATCH(P1766,Invoices!$B$6:$B$305,0)),"Check number",IF(INDEX(Invoices!$M$6:$M$305,MATCH(P1766,Invoices!$B$6:$B$305,0))="Paid","Paid",IF(INDEX(Invoices!$M$6:$M$305,MATCH(P1766,Invoices!$B$6:$B$305,0))="Draft","Draft","Invoiced")))))))</f>
        <v/>
      </c>
      <c r="R1766" s="1">
        <f>IF(AND(B1766&lt;&gt;"",P1766&lt;&gt;"",P1766=Invoice!$G$4),B1766+MOD(N(F1766),1)+ROW()/10000000,"")</f>
        <v/>
      </c>
      <c r="S1766">
        <f>IF(R1766="","",IF(D1766="","Other work",D1766)&amp;IF(AND(K1766&lt;&gt;"",E1766&lt;&gt;""),", "&amp;E1766,""))</f>
        <v/>
      </c>
      <c r="T1766">
        <f>IF(R1766="","",IF(COUNTIFS(R$6:R1765,"&gt;0",S$6:S1765,S1766,N$6:N1765,N1766)=0,R1766,""))</f>
        <v/>
      </c>
      <c r="U1766">
        <f>IF(B1766="","",IF(J1766&lt;&gt;"",0,M1766))</f>
        <v/>
      </c>
    </row>
    <row r="1767">
      <c r="A1767" s="1" t="n"/>
      <c r="B1767" s="16" t="n"/>
      <c r="C1767" s="17" t="n"/>
      <c r="D1767" s="18" t="n"/>
      <c r="E1767" s="18" t="n"/>
      <c r="F1767" s="19" t="n"/>
      <c r="G1767" s="19" t="n"/>
      <c r="H1767" s="20" t="n"/>
      <c r="I1767" s="21" t="n"/>
      <c r="J1767" s="22" t="n"/>
      <c r="K1767" s="23" t="n"/>
      <c r="L1767" s="18" t="n"/>
      <c r="M1767" s="24">
        <f>IF(B1767="","",IF(AND(F1767&lt;&gt;"",G1767&lt;&gt;""),MAX(0,ROUND(MOD(G1767-F1767,1)*24-N(H1767)/60,2)),N(I1767)))</f>
        <v/>
      </c>
      <c r="N1767" s="14">
        <f>IF(B1767="","",IF(K1767&lt;&gt;"",K1767,IF(N(IFERROR(INDEX(Projects!$D$6:$D$65,MATCH(D1767,Projects!$B$6:$B$65,0)),""))&gt;0,IFERROR(INDEX(Projects!$D$6:$D$65,MATCH(D1767,Projects!$B$6:$B$65,0)),""),IFERROR(INDEX(Clients!$G$6:$G$45,MATCH(C1767,Clients!$B$6:$B$45,0)),0))))</f>
        <v/>
      </c>
      <c r="O1767" s="14">
        <f>IF(B1767="","",IF(J1767&lt;&gt;"",0,ROUND(M1767*N1767,2)))</f>
        <v/>
      </c>
      <c r="P1767" s="15">
        <f>IF(OR(B1767="",J1767&lt;&gt;""),"",IF(L1767&lt;&gt;"",L1767,IF(COUNTIFS(Invoices!$C$6:$C$305,C1767,Invoices!$E$6:$E$305,"&lt;="&amp;B1767,Invoices!$F$6:$F$305,"&gt;="&amp;B1767)=1,INDEX(Invoices!$B$6:$B$305,SUMIFS(Invoices!$O$6:$O$305,Invoices!$C$6:$C$305,C1767,Invoices!$E$6:$E$305,"&lt;="&amp;B1767,Invoices!$F$6:$F$305,"&gt;="&amp;B1767)),IF(COUNTIFS(Invoices!$C$6:$C$305,C1767,Invoices!$E$6:$E$305,"&lt;="&amp;B1767,Invoices!$F$6:$F$305,"&gt;="&amp;B1767)&gt;1,"Two invoices",""))))</f>
        <v/>
      </c>
      <c r="Q1767" s="15">
        <f>IF(B1767="","",IF(J1767&lt;&gt;"","Not billable",IF(P1767="","To invoice",IF(P1767="Two invoices","Check dates",IF(ISNA(MATCH(P1767,Invoices!$B$6:$B$305,0)),"Check number",IF(INDEX(Invoices!$M$6:$M$305,MATCH(P1767,Invoices!$B$6:$B$305,0))="Paid","Paid",IF(INDEX(Invoices!$M$6:$M$305,MATCH(P1767,Invoices!$B$6:$B$305,0))="Draft","Draft","Invoiced")))))))</f>
        <v/>
      </c>
      <c r="R1767" s="1">
        <f>IF(AND(B1767&lt;&gt;"",P1767&lt;&gt;"",P1767=Invoice!$G$4),B1767+MOD(N(F1767),1)+ROW()/10000000,"")</f>
        <v/>
      </c>
      <c r="S1767">
        <f>IF(R1767="","",IF(D1767="","Other work",D1767)&amp;IF(AND(K1767&lt;&gt;"",E1767&lt;&gt;""),", "&amp;E1767,""))</f>
        <v/>
      </c>
      <c r="T1767">
        <f>IF(R1767="","",IF(COUNTIFS(R$6:R1766,"&gt;0",S$6:S1766,S1767,N$6:N1766,N1767)=0,R1767,""))</f>
        <v/>
      </c>
      <c r="U1767">
        <f>IF(B1767="","",IF(J1767&lt;&gt;"",0,M1767))</f>
        <v/>
      </c>
    </row>
    <row r="1768">
      <c r="A1768" s="1" t="n"/>
      <c r="B1768" s="16" t="n"/>
      <c r="C1768" s="17" t="n"/>
      <c r="D1768" s="18" t="n"/>
      <c r="E1768" s="18" t="n"/>
      <c r="F1768" s="19" t="n"/>
      <c r="G1768" s="19" t="n"/>
      <c r="H1768" s="20" t="n"/>
      <c r="I1768" s="21" t="n"/>
      <c r="J1768" s="22" t="n"/>
      <c r="K1768" s="23" t="n"/>
      <c r="L1768" s="18" t="n"/>
      <c r="M1768" s="24">
        <f>IF(B1768="","",IF(AND(F1768&lt;&gt;"",G1768&lt;&gt;""),MAX(0,ROUND(MOD(G1768-F1768,1)*24-N(H1768)/60,2)),N(I1768)))</f>
        <v/>
      </c>
      <c r="N1768" s="14">
        <f>IF(B1768="","",IF(K1768&lt;&gt;"",K1768,IF(N(IFERROR(INDEX(Projects!$D$6:$D$65,MATCH(D1768,Projects!$B$6:$B$65,0)),""))&gt;0,IFERROR(INDEX(Projects!$D$6:$D$65,MATCH(D1768,Projects!$B$6:$B$65,0)),""),IFERROR(INDEX(Clients!$G$6:$G$45,MATCH(C1768,Clients!$B$6:$B$45,0)),0))))</f>
        <v/>
      </c>
      <c r="O1768" s="14">
        <f>IF(B1768="","",IF(J1768&lt;&gt;"",0,ROUND(M1768*N1768,2)))</f>
        <v/>
      </c>
      <c r="P1768" s="15">
        <f>IF(OR(B1768="",J1768&lt;&gt;""),"",IF(L1768&lt;&gt;"",L1768,IF(COUNTIFS(Invoices!$C$6:$C$305,C1768,Invoices!$E$6:$E$305,"&lt;="&amp;B1768,Invoices!$F$6:$F$305,"&gt;="&amp;B1768)=1,INDEX(Invoices!$B$6:$B$305,SUMIFS(Invoices!$O$6:$O$305,Invoices!$C$6:$C$305,C1768,Invoices!$E$6:$E$305,"&lt;="&amp;B1768,Invoices!$F$6:$F$305,"&gt;="&amp;B1768)),IF(COUNTIFS(Invoices!$C$6:$C$305,C1768,Invoices!$E$6:$E$305,"&lt;="&amp;B1768,Invoices!$F$6:$F$305,"&gt;="&amp;B1768)&gt;1,"Two invoices",""))))</f>
        <v/>
      </c>
      <c r="Q1768" s="15">
        <f>IF(B1768="","",IF(J1768&lt;&gt;"","Not billable",IF(P1768="","To invoice",IF(P1768="Two invoices","Check dates",IF(ISNA(MATCH(P1768,Invoices!$B$6:$B$305,0)),"Check number",IF(INDEX(Invoices!$M$6:$M$305,MATCH(P1768,Invoices!$B$6:$B$305,0))="Paid","Paid",IF(INDEX(Invoices!$M$6:$M$305,MATCH(P1768,Invoices!$B$6:$B$305,0))="Draft","Draft","Invoiced")))))))</f>
        <v/>
      </c>
      <c r="R1768" s="1">
        <f>IF(AND(B1768&lt;&gt;"",P1768&lt;&gt;"",P1768=Invoice!$G$4),B1768+MOD(N(F1768),1)+ROW()/10000000,"")</f>
        <v/>
      </c>
      <c r="S1768">
        <f>IF(R1768="","",IF(D1768="","Other work",D1768)&amp;IF(AND(K1768&lt;&gt;"",E1768&lt;&gt;""),", "&amp;E1768,""))</f>
        <v/>
      </c>
      <c r="T1768">
        <f>IF(R1768="","",IF(COUNTIFS(R$6:R1767,"&gt;0",S$6:S1767,S1768,N$6:N1767,N1768)=0,R1768,""))</f>
        <v/>
      </c>
      <c r="U1768">
        <f>IF(B1768="","",IF(J1768&lt;&gt;"",0,M1768))</f>
        <v/>
      </c>
    </row>
    <row r="1769">
      <c r="A1769" s="1" t="n"/>
      <c r="B1769" s="16" t="n"/>
      <c r="C1769" s="17" t="n"/>
      <c r="D1769" s="18" t="n"/>
      <c r="E1769" s="18" t="n"/>
      <c r="F1769" s="19" t="n"/>
      <c r="G1769" s="19" t="n"/>
      <c r="H1769" s="20" t="n"/>
      <c r="I1769" s="21" t="n"/>
      <c r="J1769" s="22" t="n"/>
      <c r="K1769" s="23" t="n"/>
      <c r="L1769" s="18" t="n"/>
      <c r="M1769" s="24">
        <f>IF(B1769="","",IF(AND(F1769&lt;&gt;"",G1769&lt;&gt;""),MAX(0,ROUND(MOD(G1769-F1769,1)*24-N(H1769)/60,2)),N(I1769)))</f>
        <v/>
      </c>
      <c r="N1769" s="14">
        <f>IF(B1769="","",IF(K1769&lt;&gt;"",K1769,IF(N(IFERROR(INDEX(Projects!$D$6:$D$65,MATCH(D1769,Projects!$B$6:$B$65,0)),""))&gt;0,IFERROR(INDEX(Projects!$D$6:$D$65,MATCH(D1769,Projects!$B$6:$B$65,0)),""),IFERROR(INDEX(Clients!$G$6:$G$45,MATCH(C1769,Clients!$B$6:$B$45,0)),0))))</f>
        <v/>
      </c>
      <c r="O1769" s="14">
        <f>IF(B1769="","",IF(J1769&lt;&gt;"",0,ROUND(M1769*N1769,2)))</f>
        <v/>
      </c>
      <c r="P1769" s="15">
        <f>IF(OR(B1769="",J1769&lt;&gt;""),"",IF(L1769&lt;&gt;"",L1769,IF(COUNTIFS(Invoices!$C$6:$C$305,C1769,Invoices!$E$6:$E$305,"&lt;="&amp;B1769,Invoices!$F$6:$F$305,"&gt;="&amp;B1769)=1,INDEX(Invoices!$B$6:$B$305,SUMIFS(Invoices!$O$6:$O$305,Invoices!$C$6:$C$305,C1769,Invoices!$E$6:$E$305,"&lt;="&amp;B1769,Invoices!$F$6:$F$305,"&gt;="&amp;B1769)),IF(COUNTIFS(Invoices!$C$6:$C$305,C1769,Invoices!$E$6:$E$305,"&lt;="&amp;B1769,Invoices!$F$6:$F$305,"&gt;="&amp;B1769)&gt;1,"Two invoices",""))))</f>
        <v/>
      </c>
      <c r="Q1769" s="15">
        <f>IF(B1769="","",IF(J1769&lt;&gt;"","Not billable",IF(P1769="","To invoice",IF(P1769="Two invoices","Check dates",IF(ISNA(MATCH(P1769,Invoices!$B$6:$B$305,0)),"Check number",IF(INDEX(Invoices!$M$6:$M$305,MATCH(P1769,Invoices!$B$6:$B$305,0))="Paid","Paid",IF(INDEX(Invoices!$M$6:$M$305,MATCH(P1769,Invoices!$B$6:$B$305,0))="Draft","Draft","Invoiced")))))))</f>
        <v/>
      </c>
      <c r="R1769" s="1">
        <f>IF(AND(B1769&lt;&gt;"",P1769&lt;&gt;"",P1769=Invoice!$G$4),B1769+MOD(N(F1769),1)+ROW()/10000000,"")</f>
        <v/>
      </c>
      <c r="S1769">
        <f>IF(R1769="","",IF(D1769="","Other work",D1769)&amp;IF(AND(K1769&lt;&gt;"",E1769&lt;&gt;""),", "&amp;E1769,""))</f>
        <v/>
      </c>
      <c r="T1769">
        <f>IF(R1769="","",IF(COUNTIFS(R$6:R1768,"&gt;0",S$6:S1768,S1769,N$6:N1768,N1769)=0,R1769,""))</f>
        <v/>
      </c>
      <c r="U1769">
        <f>IF(B1769="","",IF(J1769&lt;&gt;"",0,M1769))</f>
        <v/>
      </c>
    </row>
    <row r="1770">
      <c r="A1770" s="1" t="n"/>
      <c r="B1770" s="16" t="n"/>
      <c r="C1770" s="17" t="n"/>
      <c r="D1770" s="18" t="n"/>
      <c r="E1770" s="18" t="n"/>
      <c r="F1770" s="19" t="n"/>
      <c r="G1770" s="19" t="n"/>
      <c r="H1770" s="20" t="n"/>
      <c r="I1770" s="21" t="n"/>
      <c r="J1770" s="22" t="n"/>
      <c r="K1770" s="23" t="n"/>
      <c r="L1770" s="18" t="n"/>
      <c r="M1770" s="24">
        <f>IF(B1770="","",IF(AND(F1770&lt;&gt;"",G1770&lt;&gt;""),MAX(0,ROUND(MOD(G1770-F1770,1)*24-N(H1770)/60,2)),N(I1770)))</f>
        <v/>
      </c>
      <c r="N1770" s="14">
        <f>IF(B1770="","",IF(K1770&lt;&gt;"",K1770,IF(N(IFERROR(INDEX(Projects!$D$6:$D$65,MATCH(D1770,Projects!$B$6:$B$65,0)),""))&gt;0,IFERROR(INDEX(Projects!$D$6:$D$65,MATCH(D1770,Projects!$B$6:$B$65,0)),""),IFERROR(INDEX(Clients!$G$6:$G$45,MATCH(C1770,Clients!$B$6:$B$45,0)),0))))</f>
        <v/>
      </c>
      <c r="O1770" s="14">
        <f>IF(B1770="","",IF(J1770&lt;&gt;"",0,ROUND(M1770*N1770,2)))</f>
        <v/>
      </c>
      <c r="P1770" s="15">
        <f>IF(OR(B1770="",J1770&lt;&gt;""),"",IF(L1770&lt;&gt;"",L1770,IF(COUNTIFS(Invoices!$C$6:$C$305,C1770,Invoices!$E$6:$E$305,"&lt;="&amp;B1770,Invoices!$F$6:$F$305,"&gt;="&amp;B1770)=1,INDEX(Invoices!$B$6:$B$305,SUMIFS(Invoices!$O$6:$O$305,Invoices!$C$6:$C$305,C1770,Invoices!$E$6:$E$305,"&lt;="&amp;B1770,Invoices!$F$6:$F$305,"&gt;="&amp;B1770)),IF(COUNTIFS(Invoices!$C$6:$C$305,C1770,Invoices!$E$6:$E$305,"&lt;="&amp;B1770,Invoices!$F$6:$F$305,"&gt;="&amp;B1770)&gt;1,"Two invoices",""))))</f>
        <v/>
      </c>
      <c r="Q1770" s="15">
        <f>IF(B1770="","",IF(J1770&lt;&gt;"","Not billable",IF(P1770="","To invoice",IF(P1770="Two invoices","Check dates",IF(ISNA(MATCH(P1770,Invoices!$B$6:$B$305,0)),"Check number",IF(INDEX(Invoices!$M$6:$M$305,MATCH(P1770,Invoices!$B$6:$B$305,0))="Paid","Paid",IF(INDEX(Invoices!$M$6:$M$305,MATCH(P1770,Invoices!$B$6:$B$305,0))="Draft","Draft","Invoiced")))))))</f>
        <v/>
      </c>
      <c r="R1770" s="1">
        <f>IF(AND(B1770&lt;&gt;"",P1770&lt;&gt;"",P1770=Invoice!$G$4),B1770+MOD(N(F1770),1)+ROW()/10000000,"")</f>
        <v/>
      </c>
      <c r="S1770">
        <f>IF(R1770="","",IF(D1770="","Other work",D1770)&amp;IF(AND(K1770&lt;&gt;"",E1770&lt;&gt;""),", "&amp;E1770,""))</f>
        <v/>
      </c>
      <c r="T1770">
        <f>IF(R1770="","",IF(COUNTIFS(R$6:R1769,"&gt;0",S$6:S1769,S1770,N$6:N1769,N1770)=0,R1770,""))</f>
        <v/>
      </c>
      <c r="U1770">
        <f>IF(B1770="","",IF(J1770&lt;&gt;"",0,M1770))</f>
        <v/>
      </c>
    </row>
    <row r="1771">
      <c r="A1771" s="1" t="n"/>
      <c r="B1771" s="16" t="n"/>
      <c r="C1771" s="17" t="n"/>
      <c r="D1771" s="18" t="n"/>
      <c r="E1771" s="18" t="n"/>
      <c r="F1771" s="19" t="n"/>
      <c r="G1771" s="19" t="n"/>
      <c r="H1771" s="20" t="n"/>
      <c r="I1771" s="21" t="n"/>
      <c r="J1771" s="22" t="n"/>
      <c r="K1771" s="23" t="n"/>
      <c r="L1771" s="18" t="n"/>
      <c r="M1771" s="24">
        <f>IF(B1771="","",IF(AND(F1771&lt;&gt;"",G1771&lt;&gt;""),MAX(0,ROUND(MOD(G1771-F1771,1)*24-N(H1771)/60,2)),N(I1771)))</f>
        <v/>
      </c>
      <c r="N1771" s="14">
        <f>IF(B1771="","",IF(K1771&lt;&gt;"",K1771,IF(N(IFERROR(INDEX(Projects!$D$6:$D$65,MATCH(D1771,Projects!$B$6:$B$65,0)),""))&gt;0,IFERROR(INDEX(Projects!$D$6:$D$65,MATCH(D1771,Projects!$B$6:$B$65,0)),""),IFERROR(INDEX(Clients!$G$6:$G$45,MATCH(C1771,Clients!$B$6:$B$45,0)),0))))</f>
        <v/>
      </c>
      <c r="O1771" s="14">
        <f>IF(B1771="","",IF(J1771&lt;&gt;"",0,ROUND(M1771*N1771,2)))</f>
        <v/>
      </c>
      <c r="P1771" s="15">
        <f>IF(OR(B1771="",J1771&lt;&gt;""),"",IF(L1771&lt;&gt;"",L1771,IF(COUNTIFS(Invoices!$C$6:$C$305,C1771,Invoices!$E$6:$E$305,"&lt;="&amp;B1771,Invoices!$F$6:$F$305,"&gt;="&amp;B1771)=1,INDEX(Invoices!$B$6:$B$305,SUMIFS(Invoices!$O$6:$O$305,Invoices!$C$6:$C$305,C1771,Invoices!$E$6:$E$305,"&lt;="&amp;B1771,Invoices!$F$6:$F$305,"&gt;="&amp;B1771)),IF(COUNTIFS(Invoices!$C$6:$C$305,C1771,Invoices!$E$6:$E$305,"&lt;="&amp;B1771,Invoices!$F$6:$F$305,"&gt;="&amp;B1771)&gt;1,"Two invoices",""))))</f>
        <v/>
      </c>
      <c r="Q1771" s="15">
        <f>IF(B1771="","",IF(J1771&lt;&gt;"","Not billable",IF(P1771="","To invoice",IF(P1771="Two invoices","Check dates",IF(ISNA(MATCH(P1771,Invoices!$B$6:$B$305,0)),"Check number",IF(INDEX(Invoices!$M$6:$M$305,MATCH(P1771,Invoices!$B$6:$B$305,0))="Paid","Paid",IF(INDEX(Invoices!$M$6:$M$305,MATCH(P1771,Invoices!$B$6:$B$305,0))="Draft","Draft","Invoiced")))))))</f>
        <v/>
      </c>
      <c r="R1771" s="1">
        <f>IF(AND(B1771&lt;&gt;"",P1771&lt;&gt;"",P1771=Invoice!$G$4),B1771+MOD(N(F1771),1)+ROW()/10000000,"")</f>
        <v/>
      </c>
      <c r="S1771">
        <f>IF(R1771="","",IF(D1771="","Other work",D1771)&amp;IF(AND(K1771&lt;&gt;"",E1771&lt;&gt;""),", "&amp;E1771,""))</f>
        <v/>
      </c>
      <c r="T1771">
        <f>IF(R1771="","",IF(COUNTIFS(R$6:R1770,"&gt;0",S$6:S1770,S1771,N$6:N1770,N1771)=0,R1771,""))</f>
        <v/>
      </c>
      <c r="U1771">
        <f>IF(B1771="","",IF(J1771&lt;&gt;"",0,M1771))</f>
        <v/>
      </c>
    </row>
    <row r="1772">
      <c r="A1772" s="1" t="n"/>
      <c r="B1772" s="16" t="n"/>
      <c r="C1772" s="17" t="n"/>
      <c r="D1772" s="18" t="n"/>
      <c r="E1772" s="18" t="n"/>
      <c r="F1772" s="19" t="n"/>
      <c r="G1772" s="19" t="n"/>
      <c r="H1772" s="20" t="n"/>
      <c r="I1772" s="21" t="n"/>
      <c r="J1772" s="22" t="n"/>
      <c r="K1772" s="23" t="n"/>
      <c r="L1772" s="18" t="n"/>
      <c r="M1772" s="24">
        <f>IF(B1772="","",IF(AND(F1772&lt;&gt;"",G1772&lt;&gt;""),MAX(0,ROUND(MOD(G1772-F1772,1)*24-N(H1772)/60,2)),N(I1772)))</f>
        <v/>
      </c>
      <c r="N1772" s="14">
        <f>IF(B1772="","",IF(K1772&lt;&gt;"",K1772,IF(N(IFERROR(INDEX(Projects!$D$6:$D$65,MATCH(D1772,Projects!$B$6:$B$65,0)),""))&gt;0,IFERROR(INDEX(Projects!$D$6:$D$65,MATCH(D1772,Projects!$B$6:$B$65,0)),""),IFERROR(INDEX(Clients!$G$6:$G$45,MATCH(C1772,Clients!$B$6:$B$45,0)),0))))</f>
        <v/>
      </c>
      <c r="O1772" s="14">
        <f>IF(B1772="","",IF(J1772&lt;&gt;"",0,ROUND(M1772*N1772,2)))</f>
        <v/>
      </c>
      <c r="P1772" s="15">
        <f>IF(OR(B1772="",J1772&lt;&gt;""),"",IF(L1772&lt;&gt;"",L1772,IF(COUNTIFS(Invoices!$C$6:$C$305,C1772,Invoices!$E$6:$E$305,"&lt;="&amp;B1772,Invoices!$F$6:$F$305,"&gt;="&amp;B1772)=1,INDEX(Invoices!$B$6:$B$305,SUMIFS(Invoices!$O$6:$O$305,Invoices!$C$6:$C$305,C1772,Invoices!$E$6:$E$305,"&lt;="&amp;B1772,Invoices!$F$6:$F$305,"&gt;="&amp;B1772)),IF(COUNTIFS(Invoices!$C$6:$C$305,C1772,Invoices!$E$6:$E$305,"&lt;="&amp;B1772,Invoices!$F$6:$F$305,"&gt;="&amp;B1772)&gt;1,"Two invoices",""))))</f>
        <v/>
      </c>
      <c r="Q1772" s="15">
        <f>IF(B1772="","",IF(J1772&lt;&gt;"","Not billable",IF(P1772="","To invoice",IF(P1772="Two invoices","Check dates",IF(ISNA(MATCH(P1772,Invoices!$B$6:$B$305,0)),"Check number",IF(INDEX(Invoices!$M$6:$M$305,MATCH(P1772,Invoices!$B$6:$B$305,0))="Paid","Paid",IF(INDEX(Invoices!$M$6:$M$305,MATCH(P1772,Invoices!$B$6:$B$305,0))="Draft","Draft","Invoiced")))))))</f>
        <v/>
      </c>
      <c r="R1772" s="1">
        <f>IF(AND(B1772&lt;&gt;"",P1772&lt;&gt;"",P1772=Invoice!$G$4),B1772+MOD(N(F1772),1)+ROW()/10000000,"")</f>
        <v/>
      </c>
      <c r="S1772">
        <f>IF(R1772="","",IF(D1772="","Other work",D1772)&amp;IF(AND(K1772&lt;&gt;"",E1772&lt;&gt;""),", "&amp;E1772,""))</f>
        <v/>
      </c>
      <c r="T1772">
        <f>IF(R1772="","",IF(COUNTIFS(R$6:R1771,"&gt;0",S$6:S1771,S1772,N$6:N1771,N1772)=0,R1772,""))</f>
        <v/>
      </c>
      <c r="U1772">
        <f>IF(B1772="","",IF(J1772&lt;&gt;"",0,M1772))</f>
        <v/>
      </c>
    </row>
    <row r="1773">
      <c r="A1773" s="1" t="n"/>
      <c r="B1773" s="16" t="n"/>
      <c r="C1773" s="17" t="n"/>
      <c r="D1773" s="18" t="n"/>
      <c r="E1773" s="18" t="n"/>
      <c r="F1773" s="19" t="n"/>
      <c r="G1773" s="19" t="n"/>
      <c r="H1773" s="20" t="n"/>
      <c r="I1773" s="21" t="n"/>
      <c r="J1773" s="22" t="n"/>
      <c r="K1773" s="23" t="n"/>
      <c r="L1773" s="18" t="n"/>
      <c r="M1773" s="24">
        <f>IF(B1773="","",IF(AND(F1773&lt;&gt;"",G1773&lt;&gt;""),MAX(0,ROUND(MOD(G1773-F1773,1)*24-N(H1773)/60,2)),N(I1773)))</f>
        <v/>
      </c>
      <c r="N1773" s="14">
        <f>IF(B1773="","",IF(K1773&lt;&gt;"",K1773,IF(N(IFERROR(INDEX(Projects!$D$6:$D$65,MATCH(D1773,Projects!$B$6:$B$65,0)),""))&gt;0,IFERROR(INDEX(Projects!$D$6:$D$65,MATCH(D1773,Projects!$B$6:$B$65,0)),""),IFERROR(INDEX(Clients!$G$6:$G$45,MATCH(C1773,Clients!$B$6:$B$45,0)),0))))</f>
        <v/>
      </c>
      <c r="O1773" s="14">
        <f>IF(B1773="","",IF(J1773&lt;&gt;"",0,ROUND(M1773*N1773,2)))</f>
        <v/>
      </c>
      <c r="P1773" s="15">
        <f>IF(OR(B1773="",J1773&lt;&gt;""),"",IF(L1773&lt;&gt;"",L1773,IF(COUNTIFS(Invoices!$C$6:$C$305,C1773,Invoices!$E$6:$E$305,"&lt;="&amp;B1773,Invoices!$F$6:$F$305,"&gt;="&amp;B1773)=1,INDEX(Invoices!$B$6:$B$305,SUMIFS(Invoices!$O$6:$O$305,Invoices!$C$6:$C$305,C1773,Invoices!$E$6:$E$305,"&lt;="&amp;B1773,Invoices!$F$6:$F$305,"&gt;="&amp;B1773)),IF(COUNTIFS(Invoices!$C$6:$C$305,C1773,Invoices!$E$6:$E$305,"&lt;="&amp;B1773,Invoices!$F$6:$F$305,"&gt;="&amp;B1773)&gt;1,"Two invoices",""))))</f>
        <v/>
      </c>
      <c r="Q1773" s="15">
        <f>IF(B1773="","",IF(J1773&lt;&gt;"","Not billable",IF(P1773="","To invoice",IF(P1773="Two invoices","Check dates",IF(ISNA(MATCH(P1773,Invoices!$B$6:$B$305,0)),"Check number",IF(INDEX(Invoices!$M$6:$M$305,MATCH(P1773,Invoices!$B$6:$B$305,0))="Paid","Paid",IF(INDEX(Invoices!$M$6:$M$305,MATCH(P1773,Invoices!$B$6:$B$305,0))="Draft","Draft","Invoiced")))))))</f>
        <v/>
      </c>
      <c r="R1773" s="1">
        <f>IF(AND(B1773&lt;&gt;"",P1773&lt;&gt;"",P1773=Invoice!$G$4),B1773+MOD(N(F1773),1)+ROW()/10000000,"")</f>
        <v/>
      </c>
      <c r="S1773">
        <f>IF(R1773="","",IF(D1773="","Other work",D1773)&amp;IF(AND(K1773&lt;&gt;"",E1773&lt;&gt;""),", "&amp;E1773,""))</f>
        <v/>
      </c>
      <c r="T1773">
        <f>IF(R1773="","",IF(COUNTIFS(R$6:R1772,"&gt;0",S$6:S1772,S1773,N$6:N1772,N1773)=0,R1773,""))</f>
        <v/>
      </c>
      <c r="U1773">
        <f>IF(B1773="","",IF(J1773&lt;&gt;"",0,M1773))</f>
        <v/>
      </c>
    </row>
    <row r="1774">
      <c r="A1774" s="1" t="n"/>
      <c r="B1774" s="16" t="n"/>
      <c r="C1774" s="17" t="n"/>
      <c r="D1774" s="18" t="n"/>
      <c r="E1774" s="18" t="n"/>
      <c r="F1774" s="19" t="n"/>
      <c r="G1774" s="19" t="n"/>
      <c r="H1774" s="20" t="n"/>
      <c r="I1774" s="21" t="n"/>
      <c r="J1774" s="22" t="n"/>
      <c r="K1774" s="23" t="n"/>
      <c r="L1774" s="18" t="n"/>
      <c r="M1774" s="24">
        <f>IF(B1774="","",IF(AND(F1774&lt;&gt;"",G1774&lt;&gt;""),MAX(0,ROUND(MOD(G1774-F1774,1)*24-N(H1774)/60,2)),N(I1774)))</f>
        <v/>
      </c>
      <c r="N1774" s="14">
        <f>IF(B1774="","",IF(K1774&lt;&gt;"",K1774,IF(N(IFERROR(INDEX(Projects!$D$6:$D$65,MATCH(D1774,Projects!$B$6:$B$65,0)),""))&gt;0,IFERROR(INDEX(Projects!$D$6:$D$65,MATCH(D1774,Projects!$B$6:$B$65,0)),""),IFERROR(INDEX(Clients!$G$6:$G$45,MATCH(C1774,Clients!$B$6:$B$45,0)),0))))</f>
        <v/>
      </c>
      <c r="O1774" s="14">
        <f>IF(B1774="","",IF(J1774&lt;&gt;"",0,ROUND(M1774*N1774,2)))</f>
        <v/>
      </c>
      <c r="P1774" s="15">
        <f>IF(OR(B1774="",J1774&lt;&gt;""),"",IF(L1774&lt;&gt;"",L1774,IF(COUNTIFS(Invoices!$C$6:$C$305,C1774,Invoices!$E$6:$E$305,"&lt;="&amp;B1774,Invoices!$F$6:$F$305,"&gt;="&amp;B1774)=1,INDEX(Invoices!$B$6:$B$305,SUMIFS(Invoices!$O$6:$O$305,Invoices!$C$6:$C$305,C1774,Invoices!$E$6:$E$305,"&lt;="&amp;B1774,Invoices!$F$6:$F$305,"&gt;="&amp;B1774)),IF(COUNTIFS(Invoices!$C$6:$C$305,C1774,Invoices!$E$6:$E$305,"&lt;="&amp;B1774,Invoices!$F$6:$F$305,"&gt;="&amp;B1774)&gt;1,"Two invoices",""))))</f>
        <v/>
      </c>
      <c r="Q1774" s="15">
        <f>IF(B1774="","",IF(J1774&lt;&gt;"","Not billable",IF(P1774="","To invoice",IF(P1774="Two invoices","Check dates",IF(ISNA(MATCH(P1774,Invoices!$B$6:$B$305,0)),"Check number",IF(INDEX(Invoices!$M$6:$M$305,MATCH(P1774,Invoices!$B$6:$B$305,0))="Paid","Paid",IF(INDEX(Invoices!$M$6:$M$305,MATCH(P1774,Invoices!$B$6:$B$305,0))="Draft","Draft","Invoiced")))))))</f>
        <v/>
      </c>
      <c r="R1774" s="1">
        <f>IF(AND(B1774&lt;&gt;"",P1774&lt;&gt;"",P1774=Invoice!$G$4),B1774+MOD(N(F1774),1)+ROW()/10000000,"")</f>
        <v/>
      </c>
      <c r="S1774">
        <f>IF(R1774="","",IF(D1774="","Other work",D1774)&amp;IF(AND(K1774&lt;&gt;"",E1774&lt;&gt;""),", "&amp;E1774,""))</f>
        <v/>
      </c>
      <c r="T1774">
        <f>IF(R1774="","",IF(COUNTIFS(R$6:R1773,"&gt;0",S$6:S1773,S1774,N$6:N1773,N1774)=0,R1774,""))</f>
        <v/>
      </c>
      <c r="U1774">
        <f>IF(B1774="","",IF(J1774&lt;&gt;"",0,M1774))</f>
        <v/>
      </c>
    </row>
    <row r="1775">
      <c r="A1775" s="1" t="n"/>
      <c r="B1775" s="16" t="n"/>
      <c r="C1775" s="17" t="n"/>
      <c r="D1775" s="18" t="n"/>
      <c r="E1775" s="18" t="n"/>
      <c r="F1775" s="19" t="n"/>
      <c r="G1775" s="19" t="n"/>
      <c r="H1775" s="20" t="n"/>
      <c r="I1775" s="21" t="n"/>
      <c r="J1775" s="22" t="n"/>
      <c r="K1775" s="23" t="n"/>
      <c r="L1775" s="18" t="n"/>
      <c r="M1775" s="24">
        <f>IF(B1775="","",IF(AND(F1775&lt;&gt;"",G1775&lt;&gt;""),MAX(0,ROUND(MOD(G1775-F1775,1)*24-N(H1775)/60,2)),N(I1775)))</f>
        <v/>
      </c>
      <c r="N1775" s="14">
        <f>IF(B1775="","",IF(K1775&lt;&gt;"",K1775,IF(N(IFERROR(INDEX(Projects!$D$6:$D$65,MATCH(D1775,Projects!$B$6:$B$65,0)),""))&gt;0,IFERROR(INDEX(Projects!$D$6:$D$65,MATCH(D1775,Projects!$B$6:$B$65,0)),""),IFERROR(INDEX(Clients!$G$6:$G$45,MATCH(C1775,Clients!$B$6:$B$45,0)),0))))</f>
        <v/>
      </c>
      <c r="O1775" s="14">
        <f>IF(B1775="","",IF(J1775&lt;&gt;"",0,ROUND(M1775*N1775,2)))</f>
        <v/>
      </c>
      <c r="P1775" s="15">
        <f>IF(OR(B1775="",J1775&lt;&gt;""),"",IF(L1775&lt;&gt;"",L1775,IF(COUNTIFS(Invoices!$C$6:$C$305,C1775,Invoices!$E$6:$E$305,"&lt;="&amp;B1775,Invoices!$F$6:$F$305,"&gt;="&amp;B1775)=1,INDEX(Invoices!$B$6:$B$305,SUMIFS(Invoices!$O$6:$O$305,Invoices!$C$6:$C$305,C1775,Invoices!$E$6:$E$305,"&lt;="&amp;B1775,Invoices!$F$6:$F$305,"&gt;="&amp;B1775)),IF(COUNTIFS(Invoices!$C$6:$C$305,C1775,Invoices!$E$6:$E$305,"&lt;="&amp;B1775,Invoices!$F$6:$F$305,"&gt;="&amp;B1775)&gt;1,"Two invoices",""))))</f>
        <v/>
      </c>
      <c r="Q1775" s="15">
        <f>IF(B1775="","",IF(J1775&lt;&gt;"","Not billable",IF(P1775="","To invoice",IF(P1775="Two invoices","Check dates",IF(ISNA(MATCH(P1775,Invoices!$B$6:$B$305,0)),"Check number",IF(INDEX(Invoices!$M$6:$M$305,MATCH(P1775,Invoices!$B$6:$B$305,0))="Paid","Paid",IF(INDEX(Invoices!$M$6:$M$305,MATCH(P1775,Invoices!$B$6:$B$305,0))="Draft","Draft","Invoiced")))))))</f>
        <v/>
      </c>
      <c r="R1775" s="1">
        <f>IF(AND(B1775&lt;&gt;"",P1775&lt;&gt;"",P1775=Invoice!$G$4),B1775+MOD(N(F1775),1)+ROW()/10000000,"")</f>
        <v/>
      </c>
      <c r="S1775">
        <f>IF(R1775="","",IF(D1775="","Other work",D1775)&amp;IF(AND(K1775&lt;&gt;"",E1775&lt;&gt;""),", "&amp;E1775,""))</f>
        <v/>
      </c>
      <c r="T1775">
        <f>IF(R1775="","",IF(COUNTIFS(R$6:R1774,"&gt;0",S$6:S1774,S1775,N$6:N1774,N1775)=0,R1775,""))</f>
        <v/>
      </c>
      <c r="U1775">
        <f>IF(B1775="","",IF(J1775&lt;&gt;"",0,M1775))</f>
        <v/>
      </c>
    </row>
    <row r="1776">
      <c r="A1776" s="1" t="n"/>
      <c r="B1776" s="16" t="n"/>
      <c r="C1776" s="17" t="n"/>
      <c r="D1776" s="18" t="n"/>
      <c r="E1776" s="18" t="n"/>
      <c r="F1776" s="19" t="n"/>
      <c r="G1776" s="19" t="n"/>
      <c r="H1776" s="20" t="n"/>
      <c r="I1776" s="21" t="n"/>
      <c r="J1776" s="22" t="n"/>
      <c r="K1776" s="23" t="n"/>
      <c r="L1776" s="18" t="n"/>
      <c r="M1776" s="24">
        <f>IF(B1776="","",IF(AND(F1776&lt;&gt;"",G1776&lt;&gt;""),MAX(0,ROUND(MOD(G1776-F1776,1)*24-N(H1776)/60,2)),N(I1776)))</f>
        <v/>
      </c>
      <c r="N1776" s="14">
        <f>IF(B1776="","",IF(K1776&lt;&gt;"",K1776,IF(N(IFERROR(INDEX(Projects!$D$6:$D$65,MATCH(D1776,Projects!$B$6:$B$65,0)),""))&gt;0,IFERROR(INDEX(Projects!$D$6:$D$65,MATCH(D1776,Projects!$B$6:$B$65,0)),""),IFERROR(INDEX(Clients!$G$6:$G$45,MATCH(C1776,Clients!$B$6:$B$45,0)),0))))</f>
        <v/>
      </c>
      <c r="O1776" s="14">
        <f>IF(B1776="","",IF(J1776&lt;&gt;"",0,ROUND(M1776*N1776,2)))</f>
        <v/>
      </c>
      <c r="P1776" s="15">
        <f>IF(OR(B1776="",J1776&lt;&gt;""),"",IF(L1776&lt;&gt;"",L1776,IF(COUNTIFS(Invoices!$C$6:$C$305,C1776,Invoices!$E$6:$E$305,"&lt;="&amp;B1776,Invoices!$F$6:$F$305,"&gt;="&amp;B1776)=1,INDEX(Invoices!$B$6:$B$305,SUMIFS(Invoices!$O$6:$O$305,Invoices!$C$6:$C$305,C1776,Invoices!$E$6:$E$305,"&lt;="&amp;B1776,Invoices!$F$6:$F$305,"&gt;="&amp;B1776)),IF(COUNTIFS(Invoices!$C$6:$C$305,C1776,Invoices!$E$6:$E$305,"&lt;="&amp;B1776,Invoices!$F$6:$F$305,"&gt;="&amp;B1776)&gt;1,"Two invoices",""))))</f>
        <v/>
      </c>
      <c r="Q1776" s="15">
        <f>IF(B1776="","",IF(J1776&lt;&gt;"","Not billable",IF(P1776="","To invoice",IF(P1776="Two invoices","Check dates",IF(ISNA(MATCH(P1776,Invoices!$B$6:$B$305,0)),"Check number",IF(INDEX(Invoices!$M$6:$M$305,MATCH(P1776,Invoices!$B$6:$B$305,0))="Paid","Paid",IF(INDEX(Invoices!$M$6:$M$305,MATCH(P1776,Invoices!$B$6:$B$305,0))="Draft","Draft","Invoiced")))))))</f>
        <v/>
      </c>
      <c r="R1776" s="1">
        <f>IF(AND(B1776&lt;&gt;"",P1776&lt;&gt;"",P1776=Invoice!$G$4),B1776+MOD(N(F1776),1)+ROW()/10000000,"")</f>
        <v/>
      </c>
      <c r="S1776">
        <f>IF(R1776="","",IF(D1776="","Other work",D1776)&amp;IF(AND(K1776&lt;&gt;"",E1776&lt;&gt;""),", "&amp;E1776,""))</f>
        <v/>
      </c>
      <c r="T1776">
        <f>IF(R1776="","",IF(COUNTIFS(R$6:R1775,"&gt;0",S$6:S1775,S1776,N$6:N1775,N1776)=0,R1776,""))</f>
        <v/>
      </c>
      <c r="U1776">
        <f>IF(B1776="","",IF(J1776&lt;&gt;"",0,M1776))</f>
        <v/>
      </c>
    </row>
    <row r="1777">
      <c r="A1777" s="1" t="n"/>
      <c r="B1777" s="16" t="n"/>
      <c r="C1777" s="17" t="n"/>
      <c r="D1777" s="18" t="n"/>
      <c r="E1777" s="18" t="n"/>
      <c r="F1777" s="19" t="n"/>
      <c r="G1777" s="19" t="n"/>
      <c r="H1777" s="20" t="n"/>
      <c r="I1777" s="21" t="n"/>
      <c r="J1777" s="22" t="n"/>
      <c r="K1777" s="23" t="n"/>
      <c r="L1777" s="18" t="n"/>
      <c r="M1777" s="24">
        <f>IF(B1777="","",IF(AND(F1777&lt;&gt;"",G1777&lt;&gt;""),MAX(0,ROUND(MOD(G1777-F1777,1)*24-N(H1777)/60,2)),N(I1777)))</f>
        <v/>
      </c>
      <c r="N1777" s="14">
        <f>IF(B1777="","",IF(K1777&lt;&gt;"",K1777,IF(N(IFERROR(INDEX(Projects!$D$6:$D$65,MATCH(D1777,Projects!$B$6:$B$65,0)),""))&gt;0,IFERROR(INDEX(Projects!$D$6:$D$65,MATCH(D1777,Projects!$B$6:$B$65,0)),""),IFERROR(INDEX(Clients!$G$6:$G$45,MATCH(C1777,Clients!$B$6:$B$45,0)),0))))</f>
        <v/>
      </c>
      <c r="O1777" s="14">
        <f>IF(B1777="","",IF(J1777&lt;&gt;"",0,ROUND(M1777*N1777,2)))</f>
        <v/>
      </c>
      <c r="P1777" s="15">
        <f>IF(OR(B1777="",J1777&lt;&gt;""),"",IF(L1777&lt;&gt;"",L1777,IF(COUNTIFS(Invoices!$C$6:$C$305,C1777,Invoices!$E$6:$E$305,"&lt;="&amp;B1777,Invoices!$F$6:$F$305,"&gt;="&amp;B1777)=1,INDEX(Invoices!$B$6:$B$305,SUMIFS(Invoices!$O$6:$O$305,Invoices!$C$6:$C$305,C1777,Invoices!$E$6:$E$305,"&lt;="&amp;B1777,Invoices!$F$6:$F$305,"&gt;="&amp;B1777)),IF(COUNTIFS(Invoices!$C$6:$C$305,C1777,Invoices!$E$6:$E$305,"&lt;="&amp;B1777,Invoices!$F$6:$F$305,"&gt;="&amp;B1777)&gt;1,"Two invoices",""))))</f>
        <v/>
      </c>
      <c r="Q1777" s="15">
        <f>IF(B1777="","",IF(J1777&lt;&gt;"","Not billable",IF(P1777="","To invoice",IF(P1777="Two invoices","Check dates",IF(ISNA(MATCH(P1777,Invoices!$B$6:$B$305,0)),"Check number",IF(INDEX(Invoices!$M$6:$M$305,MATCH(P1777,Invoices!$B$6:$B$305,0))="Paid","Paid",IF(INDEX(Invoices!$M$6:$M$305,MATCH(P1777,Invoices!$B$6:$B$305,0))="Draft","Draft","Invoiced")))))))</f>
        <v/>
      </c>
      <c r="R1777" s="1">
        <f>IF(AND(B1777&lt;&gt;"",P1777&lt;&gt;"",P1777=Invoice!$G$4),B1777+MOD(N(F1777),1)+ROW()/10000000,"")</f>
        <v/>
      </c>
      <c r="S1777">
        <f>IF(R1777="","",IF(D1777="","Other work",D1777)&amp;IF(AND(K1777&lt;&gt;"",E1777&lt;&gt;""),", "&amp;E1777,""))</f>
        <v/>
      </c>
      <c r="T1777">
        <f>IF(R1777="","",IF(COUNTIFS(R$6:R1776,"&gt;0",S$6:S1776,S1777,N$6:N1776,N1777)=0,R1777,""))</f>
        <v/>
      </c>
      <c r="U1777">
        <f>IF(B1777="","",IF(J1777&lt;&gt;"",0,M1777))</f>
        <v/>
      </c>
    </row>
    <row r="1778">
      <c r="A1778" s="1" t="n"/>
      <c r="B1778" s="16" t="n"/>
      <c r="C1778" s="17" t="n"/>
      <c r="D1778" s="18" t="n"/>
      <c r="E1778" s="18" t="n"/>
      <c r="F1778" s="19" t="n"/>
      <c r="G1778" s="19" t="n"/>
      <c r="H1778" s="20" t="n"/>
      <c r="I1778" s="21" t="n"/>
      <c r="J1778" s="22" t="n"/>
      <c r="K1778" s="23" t="n"/>
      <c r="L1778" s="18" t="n"/>
      <c r="M1778" s="24">
        <f>IF(B1778="","",IF(AND(F1778&lt;&gt;"",G1778&lt;&gt;""),MAX(0,ROUND(MOD(G1778-F1778,1)*24-N(H1778)/60,2)),N(I1778)))</f>
        <v/>
      </c>
      <c r="N1778" s="14">
        <f>IF(B1778="","",IF(K1778&lt;&gt;"",K1778,IF(N(IFERROR(INDEX(Projects!$D$6:$D$65,MATCH(D1778,Projects!$B$6:$B$65,0)),""))&gt;0,IFERROR(INDEX(Projects!$D$6:$D$65,MATCH(D1778,Projects!$B$6:$B$65,0)),""),IFERROR(INDEX(Clients!$G$6:$G$45,MATCH(C1778,Clients!$B$6:$B$45,0)),0))))</f>
        <v/>
      </c>
      <c r="O1778" s="14">
        <f>IF(B1778="","",IF(J1778&lt;&gt;"",0,ROUND(M1778*N1778,2)))</f>
        <v/>
      </c>
      <c r="P1778" s="15">
        <f>IF(OR(B1778="",J1778&lt;&gt;""),"",IF(L1778&lt;&gt;"",L1778,IF(COUNTIFS(Invoices!$C$6:$C$305,C1778,Invoices!$E$6:$E$305,"&lt;="&amp;B1778,Invoices!$F$6:$F$305,"&gt;="&amp;B1778)=1,INDEX(Invoices!$B$6:$B$305,SUMIFS(Invoices!$O$6:$O$305,Invoices!$C$6:$C$305,C1778,Invoices!$E$6:$E$305,"&lt;="&amp;B1778,Invoices!$F$6:$F$305,"&gt;="&amp;B1778)),IF(COUNTIFS(Invoices!$C$6:$C$305,C1778,Invoices!$E$6:$E$305,"&lt;="&amp;B1778,Invoices!$F$6:$F$305,"&gt;="&amp;B1778)&gt;1,"Two invoices",""))))</f>
        <v/>
      </c>
      <c r="Q1778" s="15">
        <f>IF(B1778="","",IF(J1778&lt;&gt;"","Not billable",IF(P1778="","To invoice",IF(P1778="Two invoices","Check dates",IF(ISNA(MATCH(P1778,Invoices!$B$6:$B$305,0)),"Check number",IF(INDEX(Invoices!$M$6:$M$305,MATCH(P1778,Invoices!$B$6:$B$305,0))="Paid","Paid",IF(INDEX(Invoices!$M$6:$M$305,MATCH(P1778,Invoices!$B$6:$B$305,0))="Draft","Draft","Invoiced")))))))</f>
        <v/>
      </c>
      <c r="R1778" s="1">
        <f>IF(AND(B1778&lt;&gt;"",P1778&lt;&gt;"",P1778=Invoice!$G$4),B1778+MOD(N(F1778),1)+ROW()/10000000,"")</f>
        <v/>
      </c>
      <c r="S1778">
        <f>IF(R1778="","",IF(D1778="","Other work",D1778)&amp;IF(AND(K1778&lt;&gt;"",E1778&lt;&gt;""),", "&amp;E1778,""))</f>
        <v/>
      </c>
      <c r="T1778">
        <f>IF(R1778="","",IF(COUNTIFS(R$6:R1777,"&gt;0",S$6:S1777,S1778,N$6:N1777,N1778)=0,R1778,""))</f>
        <v/>
      </c>
      <c r="U1778">
        <f>IF(B1778="","",IF(J1778&lt;&gt;"",0,M1778))</f>
        <v/>
      </c>
    </row>
    <row r="1779">
      <c r="A1779" s="1" t="n"/>
      <c r="B1779" s="16" t="n"/>
      <c r="C1779" s="17" t="n"/>
      <c r="D1779" s="18" t="n"/>
      <c r="E1779" s="18" t="n"/>
      <c r="F1779" s="19" t="n"/>
      <c r="G1779" s="19" t="n"/>
      <c r="H1779" s="20" t="n"/>
      <c r="I1779" s="21" t="n"/>
      <c r="J1779" s="22" t="n"/>
      <c r="K1779" s="23" t="n"/>
      <c r="L1779" s="18" t="n"/>
      <c r="M1779" s="24">
        <f>IF(B1779="","",IF(AND(F1779&lt;&gt;"",G1779&lt;&gt;""),MAX(0,ROUND(MOD(G1779-F1779,1)*24-N(H1779)/60,2)),N(I1779)))</f>
        <v/>
      </c>
      <c r="N1779" s="14">
        <f>IF(B1779="","",IF(K1779&lt;&gt;"",K1779,IF(N(IFERROR(INDEX(Projects!$D$6:$D$65,MATCH(D1779,Projects!$B$6:$B$65,0)),""))&gt;0,IFERROR(INDEX(Projects!$D$6:$D$65,MATCH(D1779,Projects!$B$6:$B$65,0)),""),IFERROR(INDEX(Clients!$G$6:$G$45,MATCH(C1779,Clients!$B$6:$B$45,0)),0))))</f>
        <v/>
      </c>
      <c r="O1779" s="14">
        <f>IF(B1779="","",IF(J1779&lt;&gt;"",0,ROUND(M1779*N1779,2)))</f>
        <v/>
      </c>
      <c r="P1779" s="15">
        <f>IF(OR(B1779="",J1779&lt;&gt;""),"",IF(L1779&lt;&gt;"",L1779,IF(COUNTIFS(Invoices!$C$6:$C$305,C1779,Invoices!$E$6:$E$305,"&lt;="&amp;B1779,Invoices!$F$6:$F$305,"&gt;="&amp;B1779)=1,INDEX(Invoices!$B$6:$B$305,SUMIFS(Invoices!$O$6:$O$305,Invoices!$C$6:$C$305,C1779,Invoices!$E$6:$E$305,"&lt;="&amp;B1779,Invoices!$F$6:$F$305,"&gt;="&amp;B1779)),IF(COUNTIFS(Invoices!$C$6:$C$305,C1779,Invoices!$E$6:$E$305,"&lt;="&amp;B1779,Invoices!$F$6:$F$305,"&gt;="&amp;B1779)&gt;1,"Two invoices",""))))</f>
        <v/>
      </c>
      <c r="Q1779" s="15">
        <f>IF(B1779="","",IF(J1779&lt;&gt;"","Not billable",IF(P1779="","To invoice",IF(P1779="Two invoices","Check dates",IF(ISNA(MATCH(P1779,Invoices!$B$6:$B$305,0)),"Check number",IF(INDEX(Invoices!$M$6:$M$305,MATCH(P1779,Invoices!$B$6:$B$305,0))="Paid","Paid",IF(INDEX(Invoices!$M$6:$M$305,MATCH(P1779,Invoices!$B$6:$B$305,0))="Draft","Draft","Invoiced")))))))</f>
        <v/>
      </c>
      <c r="R1779" s="1">
        <f>IF(AND(B1779&lt;&gt;"",P1779&lt;&gt;"",P1779=Invoice!$G$4),B1779+MOD(N(F1779),1)+ROW()/10000000,"")</f>
        <v/>
      </c>
      <c r="S1779">
        <f>IF(R1779="","",IF(D1779="","Other work",D1779)&amp;IF(AND(K1779&lt;&gt;"",E1779&lt;&gt;""),", "&amp;E1779,""))</f>
        <v/>
      </c>
      <c r="T1779">
        <f>IF(R1779="","",IF(COUNTIFS(R$6:R1778,"&gt;0",S$6:S1778,S1779,N$6:N1778,N1779)=0,R1779,""))</f>
        <v/>
      </c>
      <c r="U1779">
        <f>IF(B1779="","",IF(J1779&lt;&gt;"",0,M1779))</f>
        <v/>
      </c>
    </row>
    <row r="1780">
      <c r="A1780" s="1" t="n"/>
      <c r="B1780" s="16" t="n"/>
      <c r="C1780" s="17" t="n"/>
      <c r="D1780" s="18" t="n"/>
      <c r="E1780" s="18" t="n"/>
      <c r="F1780" s="19" t="n"/>
      <c r="G1780" s="19" t="n"/>
      <c r="H1780" s="20" t="n"/>
      <c r="I1780" s="21" t="n"/>
      <c r="J1780" s="22" t="n"/>
      <c r="K1780" s="23" t="n"/>
      <c r="L1780" s="18" t="n"/>
      <c r="M1780" s="24">
        <f>IF(B1780="","",IF(AND(F1780&lt;&gt;"",G1780&lt;&gt;""),MAX(0,ROUND(MOD(G1780-F1780,1)*24-N(H1780)/60,2)),N(I1780)))</f>
        <v/>
      </c>
      <c r="N1780" s="14">
        <f>IF(B1780="","",IF(K1780&lt;&gt;"",K1780,IF(N(IFERROR(INDEX(Projects!$D$6:$D$65,MATCH(D1780,Projects!$B$6:$B$65,0)),""))&gt;0,IFERROR(INDEX(Projects!$D$6:$D$65,MATCH(D1780,Projects!$B$6:$B$65,0)),""),IFERROR(INDEX(Clients!$G$6:$G$45,MATCH(C1780,Clients!$B$6:$B$45,0)),0))))</f>
        <v/>
      </c>
      <c r="O1780" s="14">
        <f>IF(B1780="","",IF(J1780&lt;&gt;"",0,ROUND(M1780*N1780,2)))</f>
        <v/>
      </c>
      <c r="P1780" s="15">
        <f>IF(OR(B1780="",J1780&lt;&gt;""),"",IF(L1780&lt;&gt;"",L1780,IF(COUNTIFS(Invoices!$C$6:$C$305,C1780,Invoices!$E$6:$E$305,"&lt;="&amp;B1780,Invoices!$F$6:$F$305,"&gt;="&amp;B1780)=1,INDEX(Invoices!$B$6:$B$305,SUMIFS(Invoices!$O$6:$O$305,Invoices!$C$6:$C$305,C1780,Invoices!$E$6:$E$305,"&lt;="&amp;B1780,Invoices!$F$6:$F$305,"&gt;="&amp;B1780)),IF(COUNTIFS(Invoices!$C$6:$C$305,C1780,Invoices!$E$6:$E$305,"&lt;="&amp;B1780,Invoices!$F$6:$F$305,"&gt;="&amp;B1780)&gt;1,"Two invoices",""))))</f>
        <v/>
      </c>
      <c r="Q1780" s="15">
        <f>IF(B1780="","",IF(J1780&lt;&gt;"","Not billable",IF(P1780="","To invoice",IF(P1780="Two invoices","Check dates",IF(ISNA(MATCH(P1780,Invoices!$B$6:$B$305,0)),"Check number",IF(INDEX(Invoices!$M$6:$M$305,MATCH(P1780,Invoices!$B$6:$B$305,0))="Paid","Paid",IF(INDEX(Invoices!$M$6:$M$305,MATCH(P1780,Invoices!$B$6:$B$305,0))="Draft","Draft","Invoiced")))))))</f>
        <v/>
      </c>
      <c r="R1780" s="1">
        <f>IF(AND(B1780&lt;&gt;"",P1780&lt;&gt;"",P1780=Invoice!$G$4),B1780+MOD(N(F1780),1)+ROW()/10000000,"")</f>
        <v/>
      </c>
      <c r="S1780">
        <f>IF(R1780="","",IF(D1780="","Other work",D1780)&amp;IF(AND(K1780&lt;&gt;"",E1780&lt;&gt;""),", "&amp;E1780,""))</f>
        <v/>
      </c>
      <c r="T1780">
        <f>IF(R1780="","",IF(COUNTIFS(R$6:R1779,"&gt;0",S$6:S1779,S1780,N$6:N1779,N1780)=0,R1780,""))</f>
        <v/>
      </c>
      <c r="U1780">
        <f>IF(B1780="","",IF(J1780&lt;&gt;"",0,M1780))</f>
        <v/>
      </c>
    </row>
    <row r="1781">
      <c r="A1781" s="1" t="n"/>
      <c r="B1781" s="16" t="n"/>
      <c r="C1781" s="17" t="n"/>
      <c r="D1781" s="18" t="n"/>
      <c r="E1781" s="18" t="n"/>
      <c r="F1781" s="19" t="n"/>
      <c r="G1781" s="19" t="n"/>
      <c r="H1781" s="20" t="n"/>
      <c r="I1781" s="21" t="n"/>
      <c r="J1781" s="22" t="n"/>
      <c r="K1781" s="23" t="n"/>
      <c r="L1781" s="18" t="n"/>
      <c r="M1781" s="24">
        <f>IF(B1781="","",IF(AND(F1781&lt;&gt;"",G1781&lt;&gt;""),MAX(0,ROUND(MOD(G1781-F1781,1)*24-N(H1781)/60,2)),N(I1781)))</f>
        <v/>
      </c>
      <c r="N1781" s="14">
        <f>IF(B1781="","",IF(K1781&lt;&gt;"",K1781,IF(N(IFERROR(INDEX(Projects!$D$6:$D$65,MATCH(D1781,Projects!$B$6:$B$65,0)),""))&gt;0,IFERROR(INDEX(Projects!$D$6:$D$65,MATCH(D1781,Projects!$B$6:$B$65,0)),""),IFERROR(INDEX(Clients!$G$6:$G$45,MATCH(C1781,Clients!$B$6:$B$45,0)),0))))</f>
        <v/>
      </c>
      <c r="O1781" s="14">
        <f>IF(B1781="","",IF(J1781&lt;&gt;"",0,ROUND(M1781*N1781,2)))</f>
        <v/>
      </c>
      <c r="P1781" s="15">
        <f>IF(OR(B1781="",J1781&lt;&gt;""),"",IF(L1781&lt;&gt;"",L1781,IF(COUNTIFS(Invoices!$C$6:$C$305,C1781,Invoices!$E$6:$E$305,"&lt;="&amp;B1781,Invoices!$F$6:$F$305,"&gt;="&amp;B1781)=1,INDEX(Invoices!$B$6:$B$305,SUMIFS(Invoices!$O$6:$O$305,Invoices!$C$6:$C$305,C1781,Invoices!$E$6:$E$305,"&lt;="&amp;B1781,Invoices!$F$6:$F$305,"&gt;="&amp;B1781)),IF(COUNTIFS(Invoices!$C$6:$C$305,C1781,Invoices!$E$6:$E$305,"&lt;="&amp;B1781,Invoices!$F$6:$F$305,"&gt;="&amp;B1781)&gt;1,"Two invoices",""))))</f>
        <v/>
      </c>
      <c r="Q1781" s="15">
        <f>IF(B1781="","",IF(J1781&lt;&gt;"","Not billable",IF(P1781="","To invoice",IF(P1781="Two invoices","Check dates",IF(ISNA(MATCH(P1781,Invoices!$B$6:$B$305,0)),"Check number",IF(INDEX(Invoices!$M$6:$M$305,MATCH(P1781,Invoices!$B$6:$B$305,0))="Paid","Paid",IF(INDEX(Invoices!$M$6:$M$305,MATCH(P1781,Invoices!$B$6:$B$305,0))="Draft","Draft","Invoiced")))))))</f>
        <v/>
      </c>
      <c r="R1781" s="1">
        <f>IF(AND(B1781&lt;&gt;"",P1781&lt;&gt;"",P1781=Invoice!$G$4),B1781+MOD(N(F1781),1)+ROW()/10000000,"")</f>
        <v/>
      </c>
      <c r="S1781">
        <f>IF(R1781="","",IF(D1781="","Other work",D1781)&amp;IF(AND(K1781&lt;&gt;"",E1781&lt;&gt;""),", "&amp;E1781,""))</f>
        <v/>
      </c>
      <c r="T1781">
        <f>IF(R1781="","",IF(COUNTIFS(R$6:R1780,"&gt;0",S$6:S1780,S1781,N$6:N1780,N1781)=0,R1781,""))</f>
        <v/>
      </c>
      <c r="U1781">
        <f>IF(B1781="","",IF(J1781&lt;&gt;"",0,M1781))</f>
        <v/>
      </c>
    </row>
    <row r="1782">
      <c r="A1782" s="1" t="n"/>
      <c r="B1782" s="16" t="n"/>
      <c r="C1782" s="17" t="n"/>
      <c r="D1782" s="18" t="n"/>
      <c r="E1782" s="18" t="n"/>
      <c r="F1782" s="19" t="n"/>
      <c r="G1782" s="19" t="n"/>
      <c r="H1782" s="20" t="n"/>
      <c r="I1782" s="21" t="n"/>
      <c r="J1782" s="22" t="n"/>
      <c r="K1782" s="23" t="n"/>
      <c r="L1782" s="18" t="n"/>
      <c r="M1782" s="24">
        <f>IF(B1782="","",IF(AND(F1782&lt;&gt;"",G1782&lt;&gt;""),MAX(0,ROUND(MOD(G1782-F1782,1)*24-N(H1782)/60,2)),N(I1782)))</f>
        <v/>
      </c>
      <c r="N1782" s="14">
        <f>IF(B1782="","",IF(K1782&lt;&gt;"",K1782,IF(N(IFERROR(INDEX(Projects!$D$6:$D$65,MATCH(D1782,Projects!$B$6:$B$65,0)),""))&gt;0,IFERROR(INDEX(Projects!$D$6:$D$65,MATCH(D1782,Projects!$B$6:$B$65,0)),""),IFERROR(INDEX(Clients!$G$6:$G$45,MATCH(C1782,Clients!$B$6:$B$45,0)),0))))</f>
        <v/>
      </c>
      <c r="O1782" s="14">
        <f>IF(B1782="","",IF(J1782&lt;&gt;"",0,ROUND(M1782*N1782,2)))</f>
        <v/>
      </c>
      <c r="P1782" s="15">
        <f>IF(OR(B1782="",J1782&lt;&gt;""),"",IF(L1782&lt;&gt;"",L1782,IF(COUNTIFS(Invoices!$C$6:$C$305,C1782,Invoices!$E$6:$E$305,"&lt;="&amp;B1782,Invoices!$F$6:$F$305,"&gt;="&amp;B1782)=1,INDEX(Invoices!$B$6:$B$305,SUMIFS(Invoices!$O$6:$O$305,Invoices!$C$6:$C$305,C1782,Invoices!$E$6:$E$305,"&lt;="&amp;B1782,Invoices!$F$6:$F$305,"&gt;="&amp;B1782)),IF(COUNTIFS(Invoices!$C$6:$C$305,C1782,Invoices!$E$6:$E$305,"&lt;="&amp;B1782,Invoices!$F$6:$F$305,"&gt;="&amp;B1782)&gt;1,"Two invoices",""))))</f>
        <v/>
      </c>
      <c r="Q1782" s="15">
        <f>IF(B1782="","",IF(J1782&lt;&gt;"","Not billable",IF(P1782="","To invoice",IF(P1782="Two invoices","Check dates",IF(ISNA(MATCH(P1782,Invoices!$B$6:$B$305,0)),"Check number",IF(INDEX(Invoices!$M$6:$M$305,MATCH(P1782,Invoices!$B$6:$B$305,0))="Paid","Paid",IF(INDEX(Invoices!$M$6:$M$305,MATCH(P1782,Invoices!$B$6:$B$305,0))="Draft","Draft","Invoiced")))))))</f>
        <v/>
      </c>
      <c r="R1782" s="1">
        <f>IF(AND(B1782&lt;&gt;"",P1782&lt;&gt;"",P1782=Invoice!$G$4),B1782+MOD(N(F1782),1)+ROW()/10000000,"")</f>
        <v/>
      </c>
      <c r="S1782">
        <f>IF(R1782="","",IF(D1782="","Other work",D1782)&amp;IF(AND(K1782&lt;&gt;"",E1782&lt;&gt;""),", "&amp;E1782,""))</f>
        <v/>
      </c>
      <c r="T1782">
        <f>IF(R1782="","",IF(COUNTIFS(R$6:R1781,"&gt;0",S$6:S1781,S1782,N$6:N1781,N1782)=0,R1782,""))</f>
        <v/>
      </c>
      <c r="U1782">
        <f>IF(B1782="","",IF(J1782&lt;&gt;"",0,M1782))</f>
        <v/>
      </c>
    </row>
    <row r="1783">
      <c r="A1783" s="1" t="n"/>
      <c r="B1783" s="16" t="n"/>
      <c r="C1783" s="17" t="n"/>
      <c r="D1783" s="18" t="n"/>
      <c r="E1783" s="18" t="n"/>
      <c r="F1783" s="19" t="n"/>
      <c r="G1783" s="19" t="n"/>
      <c r="H1783" s="20" t="n"/>
      <c r="I1783" s="21" t="n"/>
      <c r="J1783" s="22" t="n"/>
      <c r="K1783" s="23" t="n"/>
      <c r="L1783" s="18" t="n"/>
      <c r="M1783" s="24">
        <f>IF(B1783="","",IF(AND(F1783&lt;&gt;"",G1783&lt;&gt;""),MAX(0,ROUND(MOD(G1783-F1783,1)*24-N(H1783)/60,2)),N(I1783)))</f>
        <v/>
      </c>
      <c r="N1783" s="14">
        <f>IF(B1783="","",IF(K1783&lt;&gt;"",K1783,IF(N(IFERROR(INDEX(Projects!$D$6:$D$65,MATCH(D1783,Projects!$B$6:$B$65,0)),""))&gt;0,IFERROR(INDEX(Projects!$D$6:$D$65,MATCH(D1783,Projects!$B$6:$B$65,0)),""),IFERROR(INDEX(Clients!$G$6:$G$45,MATCH(C1783,Clients!$B$6:$B$45,0)),0))))</f>
        <v/>
      </c>
      <c r="O1783" s="14">
        <f>IF(B1783="","",IF(J1783&lt;&gt;"",0,ROUND(M1783*N1783,2)))</f>
        <v/>
      </c>
      <c r="P1783" s="15">
        <f>IF(OR(B1783="",J1783&lt;&gt;""),"",IF(L1783&lt;&gt;"",L1783,IF(COUNTIFS(Invoices!$C$6:$C$305,C1783,Invoices!$E$6:$E$305,"&lt;="&amp;B1783,Invoices!$F$6:$F$305,"&gt;="&amp;B1783)=1,INDEX(Invoices!$B$6:$B$305,SUMIFS(Invoices!$O$6:$O$305,Invoices!$C$6:$C$305,C1783,Invoices!$E$6:$E$305,"&lt;="&amp;B1783,Invoices!$F$6:$F$305,"&gt;="&amp;B1783)),IF(COUNTIFS(Invoices!$C$6:$C$305,C1783,Invoices!$E$6:$E$305,"&lt;="&amp;B1783,Invoices!$F$6:$F$305,"&gt;="&amp;B1783)&gt;1,"Two invoices",""))))</f>
        <v/>
      </c>
      <c r="Q1783" s="15">
        <f>IF(B1783="","",IF(J1783&lt;&gt;"","Not billable",IF(P1783="","To invoice",IF(P1783="Two invoices","Check dates",IF(ISNA(MATCH(P1783,Invoices!$B$6:$B$305,0)),"Check number",IF(INDEX(Invoices!$M$6:$M$305,MATCH(P1783,Invoices!$B$6:$B$305,0))="Paid","Paid",IF(INDEX(Invoices!$M$6:$M$305,MATCH(P1783,Invoices!$B$6:$B$305,0))="Draft","Draft","Invoiced")))))))</f>
        <v/>
      </c>
      <c r="R1783" s="1">
        <f>IF(AND(B1783&lt;&gt;"",P1783&lt;&gt;"",P1783=Invoice!$G$4),B1783+MOD(N(F1783),1)+ROW()/10000000,"")</f>
        <v/>
      </c>
      <c r="S1783">
        <f>IF(R1783="","",IF(D1783="","Other work",D1783)&amp;IF(AND(K1783&lt;&gt;"",E1783&lt;&gt;""),", "&amp;E1783,""))</f>
        <v/>
      </c>
      <c r="T1783">
        <f>IF(R1783="","",IF(COUNTIFS(R$6:R1782,"&gt;0",S$6:S1782,S1783,N$6:N1782,N1783)=0,R1783,""))</f>
        <v/>
      </c>
      <c r="U1783">
        <f>IF(B1783="","",IF(J1783&lt;&gt;"",0,M1783))</f>
        <v/>
      </c>
    </row>
    <row r="1784">
      <c r="A1784" s="1" t="n"/>
      <c r="B1784" s="16" t="n"/>
      <c r="C1784" s="17" t="n"/>
      <c r="D1784" s="18" t="n"/>
      <c r="E1784" s="18" t="n"/>
      <c r="F1784" s="19" t="n"/>
      <c r="G1784" s="19" t="n"/>
      <c r="H1784" s="20" t="n"/>
      <c r="I1784" s="21" t="n"/>
      <c r="J1784" s="22" t="n"/>
      <c r="K1784" s="23" t="n"/>
      <c r="L1784" s="18" t="n"/>
      <c r="M1784" s="24">
        <f>IF(B1784="","",IF(AND(F1784&lt;&gt;"",G1784&lt;&gt;""),MAX(0,ROUND(MOD(G1784-F1784,1)*24-N(H1784)/60,2)),N(I1784)))</f>
        <v/>
      </c>
      <c r="N1784" s="14">
        <f>IF(B1784="","",IF(K1784&lt;&gt;"",K1784,IF(N(IFERROR(INDEX(Projects!$D$6:$D$65,MATCH(D1784,Projects!$B$6:$B$65,0)),""))&gt;0,IFERROR(INDEX(Projects!$D$6:$D$65,MATCH(D1784,Projects!$B$6:$B$65,0)),""),IFERROR(INDEX(Clients!$G$6:$G$45,MATCH(C1784,Clients!$B$6:$B$45,0)),0))))</f>
        <v/>
      </c>
      <c r="O1784" s="14">
        <f>IF(B1784="","",IF(J1784&lt;&gt;"",0,ROUND(M1784*N1784,2)))</f>
        <v/>
      </c>
      <c r="P1784" s="15">
        <f>IF(OR(B1784="",J1784&lt;&gt;""),"",IF(L1784&lt;&gt;"",L1784,IF(COUNTIFS(Invoices!$C$6:$C$305,C1784,Invoices!$E$6:$E$305,"&lt;="&amp;B1784,Invoices!$F$6:$F$305,"&gt;="&amp;B1784)=1,INDEX(Invoices!$B$6:$B$305,SUMIFS(Invoices!$O$6:$O$305,Invoices!$C$6:$C$305,C1784,Invoices!$E$6:$E$305,"&lt;="&amp;B1784,Invoices!$F$6:$F$305,"&gt;="&amp;B1784)),IF(COUNTIFS(Invoices!$C$6:$C$305,C1784,Invoices!$E$6:$E$305,"&lt;="&amp;B1784,Invoices!$F$6:$F$305,"&gt;="&amp;B1784)&gt;1,"Two invoices",""))))</f>
        <v/>
      </c>
      <c r="Q1784" s="15">
        <f>IF(B1784="","",IF(J1784&lt;&gt;"","Not billable",IF(P1784="","To invoice",IF(P1784="Two invoices","Check dates",IF(ISNA(MATCH(P1784,Invoices!$B$6:$B$305,0)),"Check number",IF(INDEX(Invoices!$M$6:$M$305,MATCH(P1784,Invoices!$B$6:$B$305,0))="Paid","Paid",IF(INDEX(Invoices!$M$6:$M$305,MATCH(P1784,Invoices!$B$6:$B$305,0))="Draft","Draft","Invoiced")))))))</f>
        <v/>
      </c>
      <c r="R1784" s="1">
        <f>IF(AND(B1784&lt;&gt;"",P1784&lt;&gt;"",P1784=Invoice!$G$4),B1784+MOD(N(F1784),1)+ROW()/10000000,"")</f>
        <v/>
      </c>
      <c r="S1784">
        <f>IF(R1784="","",IF(D1784="","Other work",D1784)&amp;IF(AND(K1784&lt;&gt;"",E1784&lt;&gt;""),", "&amp;E1784,""))</f>
        <v/>
      </c>
      <c r="T1784">
        <f>IF(R1784="","",IF(COUNTIFS(R$6:R1783,"&gt;0",S$6:S1783,S1784,N$6:N1783,N1784)=0,R1784,""))</f>
        <v/>
      </c>
      <c r="U1784">
        <f>IF(B1784="","",IF(J1784&lt;&gt;"",0,M1784))</f>
        <v/>
      </c>
    </row>
    <row r="1785">
      <c r="A1785" s="1" t="n"/>
      <c r="B1785" s="16" t="n"/>
      <c r="C1785" s="17" t="n"/>
      <c r="D1785" s="18" t="n"/>
      <c r="E1785" s="18" t="n"/>
      <c r="F1785" s="19" t="n"/>
      <c r="G1785" s="19" t="n"/>
      <c r="H1785" s="20" t="n"/>
      <c r="I1785" s="21" t="n"/>
      <c r="J1785" s="22" t="n"/>
      <c r="K1785" s="23" t="n"/>
      <c r="L1785" s="18" t="n"/>
      <c r="M1785" s="24">
        <f>IF(B1785="","",IF(AND(F1785&lt;&gt;"",G1785&lt;&gt;""),MAX(0,ROUND(MOD(G1785-F1785,1)*24-N(H1785)/60,2)),N(I1785)))</f>
        <v/>
      </c>
      <c r="N1785" s="14">
        <f>IF(B1785="","",IF(K1785&lt;&gt;"",K1785,IF(N(IFERROR(INDEX(Projects!$D$6:$D$65,MATCH(D1785,Projects!$B$6:$B$65,0)),""))&gt;0,IFERROR(INDEX(Projects!$D$6:$D$65,MATCH(D1785,Projects!$B$6:$B$65,0)),""),IFERROR(INDEX(Clients!$G$6:$G$45,MATCH(C1785,Clients!$B$6:$B$45,0)),0))))</f>
        <v/>
      </c>
      <c r="O1785" s="14">
        <f>IF(B1785="","",IF(J1785&lt;&gt;"",0,ROUND(M1785*N1785,2)))</f>
        <v/>
      </c>
      <c r="P1785" s="15">
        <f>IF(OR(B1785="",J1785&lt;&gt;""),"",IF(L1785&lt;&gt;"",L1785,IF(COUNTIFS(Invoices!$C$6:$C$305,C1785,Invoices!$E$6:$E$305,"&lt;="&amp;B1785,Invoices!$F$6:$F$305,"&gt;="&amp;B1785)=1,INDEX(Invoices!$B$6:$B$305,SUMIFS(Invoices!$O$6:$O$305,Invoices!$C$6:$C$305,C1785,Invoices!$E$6:$E$305,"&lt;="&amp;B1785,Invoices!$F$6:$F$305,"&gt;="&amp;B1785)),IF(COUNTIFS(Invoices!$C$6:$C$305,C1785,Invoices!$E$6:$E$305,"&lt;="&amp;B1785,Invoices!$F$6:$F$305,"&gt;="&amp;B1785)&gt;1,"Two invoices",""))))</f>
        <v/>
      </c>
      <c r="Q1785" s="15">
        <f>IF(B1785="","",IF(J1785&lt;&gt;"","Not billable",IF(P1785="","To invoice",IF(P1785="Two invoices","Check dates",IF(ISNA(MATCH(P1785,Invoices!$B$6:$B$305,0)),"Check number",IF(INDEX(Invoices!$M$6:$M$305,MATCH(P1785,Invoices!$B$6:$B$305,0))="Paid","Paid",IF(INDEX(Invoices!$M$6:$M$305,MATCH(P1785,Invoices!$B$6:$B$305,0))="Draft","Draft","Invoiced")))))))</f>
        <v/>
      </c>
      <c r="R1785" s="1">
        <f>IF(AND(B1785&lt;&gt;"",P1785&lt;&gt;"",P1785=Invoice!$G$4),B1785+MOD(N(F1785),1)+ROW()/10000000,"")</f>
        <v/>
      </c>
      <c r="S1785">
        <f>IF(R1785="","",IF(D1785="","Other work",D1785)&amp;IF(AND(K1785&lt;&gt;"",E1785&lt;&gt;""),", "&amp;E1785,""))</f>
        <v/>
      </c>
      <c r="T1785">
        <f>IF(R1785="","",IF(COUNTIFS(R$6:R1784,"&gt;0",S$6:S1784,S1785,N$6:N1784,N1785)=0,R1785,""))</f>
        <v/>
      </c>
      <c r="U1785">
        <f>IF(B1785="","",IF(J1785&lt;&gt;"",0,M1785))</f>
        <v/>
      </c>
    </row>
    <row r="1786">
      <c r="A1786" s="1" t="n"/>
      <c r="B1786" s="16" t="n"/>
      <c r="C1786" s="17" t="n"/>
      <c r="D1786" s="18" t="n"/>
      <c r="E1786" s="18" t="n"/>
      <c r="F1786" s="19" t="n"/>
      <c r="G1786" s="19" t="n"/>
      <c r="H1786" s="20" t="n"/>
      <c r="I1786" s="21" t="n"/>
      <c r="J1786" s="22" t="n"/>
      <c r="K1786" s="23" t="n"/>
      <c r="L1786" s="18" t="n"/>
      <c r="M1786" s="24">
        <f>IF(B1786="","",IF(AND(F1786&lt;&gt;"",G1786&lt;&gt;""),MAX(0,ROUND(MOD(G1786-F1786,1)*24-N(H1786)/60,2)),N(I1786)))</f>
        <v/>
      </c>
      <c r="N1786" s="14">
        <f>IF(B1786="","",IF(K1786&lt;&gt;"",K1786,IF(N(IFERROR(INDEX(Projects!$D$6:$D$65,MATCH(D1786,Projects!$B$6:$B$65,0)),""))&gt;0,IFERROR(INDEX(Projects!$D$6:$D$65,MATCH(D1786,Projects!$B$6:$B$65,0)),""),IFERROR(INDEX(Clients!$G$6:$G$45,MATCH(C1786,Clients!$B$6:$B$45,0)),0))))</f>
        <v/>
      </c>
      <c r="O1786" s="14">
        <f>IF(B1786="","",IF(J1786&lt;&gt;"",0,ROUND(M1786*N1786,2)))</f>
        <v/>
      </c>
      <c r="P1786" s="15">
        <f>IF(OR(B1786="",J1786&lt;&gt;""),"",IF(L1786&lt;&gt;"",L1786,IF(COUNTIFS(Invoices!$C$6:$C$305,C1786,Invoices!$E$6:$E$305,"&lt;="&amp;B1786,Invoices!$F$6:$F$305,"&gt;="&amp;B1786)=1,INDEX(Invoices!$B$6:$B$305,SUMIFS(Invoices!$O$6:$O$305,Invoices!$C$6:$C$305,C1786,Invoices!$E$6:$E$305,"&lt;="&amp;B1786,Invoices!$F$6:$F$305,"&gt;="&amp;B1786)),IF(COUNTIFS(Invoices!$C$6:$C$305,C1786,Invoices!$E$6:$E$305,"&lt;="&amp;B1786,Invoices!$F$6:$F$305,"&gt;="&amp;B1786)&gt;1,"Two invoices",""))))</f>
        <v/>
      </c>
      <c r="Q1786" s="15">
        <f>IF(B1786="","",IF(J1786&lt;&gt;"","Not billable",IF(P1786="","To invoice",IF(P1786="Two invoices","Check dates",IF(ISNA(MATCH(P1786,Invoices!$B$6:$B$305,0)),"Check number",IF(INDEX(Invoices!$M$6:$M$305,MATCH(P1786,Invoices!$B$6:$B$305,0))="Paid","Paid",IF(INDEX(Invoices!$M$6:$M$305,MATCH(P1786,Invoices!$B$6:$B$305,0))="Draft","Draft","Invoiced")))))))</f>
        <v/>
      </c>
      <c r="R1786" s="1">
        <f>IF(AND(B1786&lt;&gt;"",P1786&lt;&gt;"",P1786=Invoice!$G$4),B1786+MOD(N(F1786),1)+ROW()/10000000,"")</f>
        <v/>
      </c>
      <c r="S1786">
        <f>IF(R1786="","",IF(D1786="","Other work",D1786)&amp;IF(AND(K1786&lt;&gt;"",E1786&lt;&gt;""),", "&amp;E1786,""))</f>
        <v/>
      </c>
      <c r="T1786">
        <f>IF(R1786="","",IF(COUNTIFS(R$6:R1785,"&gt;0",S$6:S1785,S1786,N$6:N1785,N1786)=0,R1786,""))</f>
        <v/>
      </c>
      <c r="U1786">
        <f>IF(B1786="","",IF(J1786&lt;&gt;"",0,M1786))</f>
        <v/>
      </c>
    </row>
    <row r="1787">
      <c r="A1787" s="1" t="n"/>
      <c r="B1787" s="16" t="n"/>
      <c r="C1787" s="17" t="n"/>
      <c r="D1787" s="18" t="n"/>
      <c r="E1787" s="18" t="n"/>
      <c r="F1787" s="19" t="n"/>
      <c r="G1787" s="19" t="n"/>
      <c r="H1787" s="20" t="n"/>
      <c r="I1787" s="21" t="n"/>
      <c r="J1787" s="22" t="n"/>
      <c r="K1787" s="23" t="n"/>
      <c r="L1787" s="18" t="n"/>
      <c r="M1787" s="24">
        <f>IF(B1787="","",IF(AND(F1787&lt;&gt;"",G1787&lt;&gt;""),MAX(0,ROUND(MOD(G1787-F1787,1)*24-N(H1787)/60,2)),N(I1787)))</f>
        <v/>
      </c>
      <c r="N1787" s="14">
        <f>IF(B1787="","",IF(K1787&lt;&gt;"",K1787,IF(N(IFERROR(INDEX(Projects!$D$6:$D$65,MATCH(D1787,Projects!$B$6:$B$65,0)),""))&gt;0,IFERROR(INDEX(Projects!$D$6:$D$65,MATCH(D1787,Projects!$B$6:$B$65,0)),""),IFERROR(INDEX(Clients!$G$6:$G$45,MATCH(C1787,Clients!$B$6:$B$45,0)),0))))</f>
        <v/>
      </c>
      <c r="O1787" s="14">
        <f>IF(B1787="","",IF(J1787&lt;&gt;"",0,ROUND(M1787*N1787,2)))</f>
        <v/>
      </c>
      <c r="P1787" s="15">
        <f>IF(OR(B1787="",J1787&lt;&gt;""),"",IF(L1787&lt;&gt;"",L1787,IF(COUNTIFS(Invoices!$C$6:$C$305,C1787,Invoices!$E$6:$E$305,"&lt;="&amp;B1787,Invoices!$F$6:$F$305,"&gt;="&amp;B1787)=1,INDEX(Invoices!$B$6:$B$305,SUMIFS(Invoices!$O$6:$O$305,Invoices!$C$6:$C$305,C1787,Invoices!$E$6:$E$305,"&lt;="&amp;B1787,Invoices!$F$6:$F$305,"&gt;="&amp;B1787)),IF(COUNTIFS(Invoices!$C$6:$C$305,C1787,Invoices!$E$6:$E$305,"&lt;="&amp;B1787,Invoices!$F$6:$F$305,"&gt;="&amp;B1787)&gt;1,"Two invoices",""))))</f>
        <v/>
      </c>
      <c r="Q1787" s="15">
        <f>IF(B1787="","",IF(J1787&lt;&gt;"","Not billable",IF(P1787="","To invoice",IF(P1787="Two invoices","Check dates",IF(ISNA(MATCH(P1787,Invoices!$B$6:$B$305,0)),"Check number",IF(INDEX(Invoices!$M$6:$M$305,MATCH(P1787,Invoices!$B$6:$B$305,0))="Paid","Paid",IF(INDEX(Invoices!$M$6:$M$305,MATCH(P1787,Invoices!$B$6:$B$305,0))="Draft","Draft","Invoiced")))))))</f>
        <v/>
      </c>
      <c r="R1787" s="1">
        <f>IF(AND(B1787&lt;&gt;"",P1787&lt;&gt;"",P1787=Invoice!$G$4),B1787+MOD(N(F1787),1)+ROW()/10000000,"")</f>
        <v/>
      </c>
      <c r="S1787">
        <f>IF(R1787="","",IF(D1787="","Other work",D1787)&amp;IF(AND(K1787&lt;&gt;"",E1787&lt;&gt;""),", "&amp;E1787,""))</f>
        <v/>
      </c>
      <c r="T1787">
        <f>IF(R1787="","",IF(COUNTIFS(R$6:R1786,"&gt;0",S$6:S1786,S1787,N$6:N1786,N1787)=0,R1787,""))</f>
        <v/>
      </c>
      <c r="U1787">
        <f>IF(B1787="","",IF(J1787&lt;&gt;"",0,M1787))</f>
        <v/>
      </c>
    </row>
    <row r="1788">
      <c r="A1788" s="1" t="n"/>
      <c r="B1788" s="16" t="n"/>
      <c r="C1788" s="17" t="n"/>
      <c r="D1788" s="18" t="n"/>
      <c r="E1788" s="18" t="n"/>
      <c r="F1788" s="19" t="n"/>
      <c r="G1788" s="19" t="n"/>
      <c r="H1788" s="20" t="n"/>
      <c r="I1788" s="21" t="n"/>
      <c r="J1788" s="22" t="n"/>
      <c r="K1788" s="23" t="n"/>
      <c r="L1788" s="18" t="n"/>
      <c r="M1788" s="24">
        <f>IF(B1788="","",IF(AND(F1788&lt;&gt;"",G1788&lt;&gt;""),MAX(0,ROUND(MOD(G1788-F1788,1)*24-N(H1788)/60,2)),N(I1788)))</f>
        <v/>
      </c>
      <c r="N1788" s="14">
        <f>IF(B1788="","",IF(K1788&lt;&gt;"",K1788,IF(N(IFERROR(INDEX(Projects!$D$6:$D$65,MATCH(D1788,Projects!$B$6:$B$65,0)),""))&gt;0,IFERROR(INDEX(Projects!$D$6:$D$65,MATCH(D1788,Projects!$B$6:$B$65,0)),""),IFERROR(INDEX(Clients!$G$6:$G$45,MATCH(C1788,Clients!$B$6:$B$45,0)),0))))</f>
        <v/>
      </c>
      <c r="O1788" s="14">
        <f>IF(B1788="","",IF(J1788&lt;&gt;"",0,ROUND(M1788*N1788,2)))</f>
        <v/>
      </c>
      <c r="P1788" s="15">
        <f>IF(OR(B1788="",J1788&lt;&gt;""),"",IF(L1788&lt;&gt;"",L1788,IF(COUNTIFS(Invoices!$C$6:$C$305,C1788,Invoices!$E$6:$E$305,"&lt;="&amp;B1788,Invoices!$F$6:$F$305,"&gt;="&amp;B1788)=1,INDEX(Invoices!$B$6:$B$305,SUMIFS(Invoices!$O$6:$O$305,Invoices!$C$6:$C$305,C1788,Invoices!$E$6:$E$305,"&lt;="&amp;B1788,Invoices!$F$6:$F$305,"&gt;="&amp;B1788)),IF(COUNTIFS(Invoices!$C$6:$C$305,C1788,Invoices!$E$6:$E$305,"&lt;="&amp;B1788,Invoices!$F$6:$F$305,"&gt;="&amp;B1788)&gt;1,"Two invoices",""))))</f>
        <v/>
      </c>
      <c r="Q1788" s="15">
        <f>IF(B1788="","",IF(J1788&lt;&gt;"","Not billable",IF(P1788="","To invoice",IF(P1788="Two invoices","Check dates",IF(ISNA(MATCH(P1788,Invoices!$B$6:$B$305,0)),"Check number",IF(INDEX(Invoices!$M$6:$M$305,MATCH(P1788,Invoices!$B$6:$B$305,0))="Paid","Paid",IF(INDEX(Invoices!$M$6:$M$305,MATCH(P1788,Invoices!$B$6:$B$305,0))="Draft","Draft","Invoiced")))))))</f>
        <v/>
      </c>
      <c r="R1788" s="1">
        <f>IF(AND(B1788&lt;&gt;"",P1788&lt;&gt;"",P1788=Invoice!$G$4),B1788+MOD(N(F1788),1)+ROW()/10000000,"")</f>
        <v/>
      </c>
      <c r="S1788">
        <f>IF(R1788="","",IF(D1788="","Other work",D1788)&amp;IF(AND(K1788&lt;&gt;"",E1788&lt;&gt;""),", "&amp;E1788,""))</f>
        <v/>
      </c>
      <c r="T1788">
        <f>IF(R1788="","",IF(COUNTIFS(R$6:R1787,"&gt;0",S$6:S1787,S1788,N$6:N1787,N1788)=0,R1788,""))</f>
        <v/>
      </c>
      <c r="U1788">
        <f>IF(B1788="","",IF(J1788&lt;&gt;"",0,M1788))</f>
        <v/>
      </c>
    </row>
    <row r="1789">
      <c r="A1789" s="1" t="n"/>
      <c r="B1789" s="16" t="n"/>
      <c r="C1789" s="17" t="n"/>
      <c r="D1789" s="18" t="n"/>
      <c r="E1789" s="18" t="n"/>
      <c r="F1789" s="19" t="n"/>
      <c r="G1789" s="19" t="n"/>
      <c r="H1789" s="20" t="n"/>
      <c r="I1789" s="21" t="n"/>
      <c r="J1789" s="22" t="n"/>
      <c r="K1789" s="23" t="n"/>
      <c r="L1789" s="18" t="n"/>
      <c r="M1789" s="24">
        <f>IF(B1789="","",IF(AND(F1789&lt;&gt;"",G1789&lt;&gt;""),MAX(0,ROUND(MOD(G1789-F1789,1)*24-N(H1789)/60,2)),N(I1789)))</f>
        <v/>
      </c>
      <c r="N1789" s="14">
        <f>IF(B1789="","",IF(K1789&lt;&gt;"",K1789,IF(N(IFERROR(INDEX(Projects!$D$6:$D$65,MATCH(D1789,Projects!$B$6:$B$65,0)),""))&gt;0,IFERROR(INDEX(Projects!$D$6:$D$65,MATCH(D1789,Projects!$B$6:$B$65,0)),""),IFERROR(INDEX(Clients!$G$6:$G$45,MATCH(C1789,Clients!$B$6:$B$45,0)),0))))</f>
        <v/>
      </c>
      <c r="O1789" s="14">
        <f>IF(B1789="","",IF(J1789&lt;&gt;"",0,ROUND(M1789*N1789,2)))</f>
        <v/>
      </c>
      <c r="P1789" s="15">
        <f>IF(OR(B1789="",J1789&lt;&gt;""),"",IF(L1789&lt;&gt;"",L1789,IF(COUNTIFS(Invoices!$C$6:$C$305,C1789,Invoices!$E$6:$E$305,"&lt;="&amp;B1789,Invoices!$F$6:$F$305,"&gt;="&amp;B1789)=1,INDEX(Invoices!$B$6:$B$305,SUMIFS(Invoices!$O$6:$O$305,Invoices!$C$6:$C$305,C1789,Invoices!$E$6:$E$305,"&lt;="&amp;B1789,Invoices!$F$6:$F$305,"&gt;="&amp;B1789)),IF(COUNTIFS(Invoices!$C$6:$C$305,C1789,Invoices!$E$6:$E$305,"&lt;="&amp;B1789,Invoices!$F$6:$F$305,"&gt;="&amp;B1789)&gt;1,"Two invoices",""))))</f>
        <v/>
      </c>
      <c r="Q1789" s="15">
        <f>IF(B1789="","",IF(J1789&lt;&gt;"","Not billable",IF(P1789="","To invoice",IF(P1789="Two invoices","Check dates",IF(ISNA(MATCH(P1789,Invoices!$B$6:$B$305,0)),"Check number",IF(INDEX(Invoices!$M$6:$M$305,MATCH(P1789,Invoices!$B$6:$B$305,0))="Paid","Paid",IF(INDEX(Invoices!$M$6:$M$305,MATCH(P1789,Invoices!$B$6:$B$305,0))="Draft","Draft","Invoiced")))))))</f>
        <v/>
      </c>
      <c r="R1789" s="1">
        <f>IF(AND(B1789&lt;&gt;"",P1789&lt;&gt;"",P1789=Invoice!$G$4),B1789+MOD(N(F1789),1)+ROW()/10000000,"")</f>
        <v/>
      </c>
      <c r="S1789">
        <f>IF(R1789="","",IF(D1789="","Other work",D1789)&amp;IF(AND(K1789&lt;&gt;"",E1789&lt;&gt;""),", "&amp;E1789,""))</f>
        <v/>
      </c>
      <c r="T1789">
        <f>IF(R1789="","",IF(COUNTIFS(R$6:R1788,"&gt;0",S$6:S1788,S1789,N$6:N1788,N1789)=0,R1789,""))</f>
        <v/>
      </c>
      <c r="U1789">
        <f>IF(B1789="","",IF(J1789&lt;&gt;"",0,M1789))</f>
        <v/>
      </c>
    </row>
    <row r="1790">
      <c r="A1790" s="1" t="n"/>
      <c r="B1790" s="16" t="n"/>
      <c r="C1790" s="17" t="n"/>
      <c r="D1790" s="18" t="n"/>
      <c r="E1790" s="18" t="n"/>
      <c r="F1790" s="19" t="n"/>
      <c r="G1790" s="19" t="n"/>
      <c r="H1790" s="20" t="n"/>
      <c r="I1790" s="21" t="n"/>
      <c r="J1790" s="22" t="n"/>
      <c r="K1790" s="23" t="n"/>
      <c r="L1790" s="18" t="n"/>
      <c r="M1790" s="24">
        <f>IF(B1790="","",IF(AND(F1790&lt;&gt;"",G1790&lt;&gt;""),MAX(0,ROUND(MOD(G1790-F1790,1)*24-N(H1790)/60,2)),N(I1790)))</f>
        <v/>
      </c>
      <c r="N1790" s="14">
        <f>IF(B1790="","",IF(K1790&lt;&gt;"",K1790,IF(N(IFERROR(INDEX(Projects!$D$6:$D$65,MATCH(D1790,Projects!$B$6:$B$65,0)),""))&gt;0,IFERROR(INDEX(Projects!$D$6:$D$65,MATCH(D1790,Projects!$B$6:$B$65,0)),""),IFERROR(INDEX(Clients!$G$6:$G$45,MATCH(C1790,Clients!$B$6:$B$45,0)),0))))</f>
        <v/>
      </c>
      <c r="O1790" s="14">
        <f>IF(B1790="","",IF(J1790&lt;&gt;"",0,ROUND(M1790*N1790,2)))</f>
        <v/>
      </c>
      <c r="P1790" s="15">
        <f>IF(OR(B1790="",J1790&lt;&gt;""),"",IF(L1790&lt;&gt;"",L1790,IF(COUNTIFS(Invoices!$C$6:$C$305,C1790,Invoices!$E$6:$E$305,"&lt;="&amp;B1790,Invoices!$F$6:$F$305,"&gt;="&amp;B1790)=1,INDEX(Invoices!$B$6:$B$305,SUMIFS(Invoices!$O$6:$O$305,Invoices!$C$6:$C$305,C1790,Invoices!$E$6:$E$305,"&lt;="&amp;B1790,Invoices!$F$6:$F$305,"&gt;="&amp;B1790)),IF(COUNTIFS(Invoices!$C$6:$C$305,C1790,Invoices!$E$6:$E$305,"&lt;="&amp;B1790,Invoices!$F$6:$F$305,"&gt;="&amp;B1790)&gt;1,"Two invoices",""))))</f>
        <v/>
      </c>
      <c r="Q1790" s="15">
        <f>IF(B1790="","",IF(J1790&lt;&gt;"","Not billable",IF(P1790="","To invoice",IF(P1790="Two invoices","Check dates",IF(ISNA(MATCH(P1790,Invoices!$B$6:$B$305,0)),"Check number",IF(INDEX(Invoices!$M$6:$M$305,MATCH(P1790,Invoices!$B$6:$B$305,0))="Paid","Paid",IF(INDEX(Invoices!$M$6:$M$305,MATCH(P1790,Invoices!$B$6:$B$305,0))="Draft","Draft","Invoiced")))))))</f>
        <v/>
      </c>
      <c r="R1790" s="1">
        <f>IF(AND(B1790&lt;&gt;"",P1790&lt;&gt;"",P1790=Invoice!$G$4),B1790+MOD(N(F1790),1)+ROW()/10000000,"")</f>
        <v/>
      </c>
      <c r="S1790">
        <f>IF(R1790="","",IF(D1790="","Other work",D1790)&amp;IF(AND(K1790&lt;&gt;"",E1790&lt;&gt;""),", "&amp;E1790,""))</f>
        <v/>
      </c>
      <c r="T1790">
        <f>IF(R1790="","",IF(COUNTIFS(R$6:R1789,"&gt;0",S$6:S1789,S1790,N$6:N1789,N1790)=0,R1790,""))</f>
        <v/>
      </c>
      <c r="U1790">
        <f>IF(B1790="","",IF(J1790&lt;&gt;"",0,M1790))</f>
        <v/>
      </c>
    </row>
    <row r="1791">
      <c r="A1791" s="1" t="n"/>
      <c r="B1791" s="16" t="n"/>
      <c r="C1791" s="17" t="n"/>
      <c r="D1791" s="18" t="n"/>
      <c r="E1791" s="18" t="n"/>
      <c r="F1791" s="19" t="n"/>
      <c r="G1791" s="19" t="n"/>
      <c r="H1791" s="20" t="n"/>
      <c r="I1791" s="21" t="n"/>
      <c r="J1791" s="22" t="n"/>
      <c r="K1791" s="23" t="n"/>
      <c r="L1791" s="18" t="n"/>
      <c r="M1791" s="24">
        <f>IF(B1791="","",IF(AND(F1791&lt;&gt;"",G1791&lt;&gt;""),MAX(0,ROUND(MOD(G1791-F1791,1)*24-N(H1791)/60,2)),N(I1791)))</f>
        <v/>
      </c>
      <c r="N1791" s="14">
        <f>IF(B1791="","",IF(K1791&lt;&gt;"",K1791,IF(N(IFERROR(INDEX(Projects!$D$6:$D$65,MATCH(D1791,Projects!$B$6:$B$65,0)),""))&gt;0,IFERROR(INDEX(Projects!$D$6:$D$65,MATCH(D1791,Projects!$B$6:$B$65,0)),""),IFERROR(INDEX(Clients!$G$6:$G$45,MATCH(C1791,Clients!$B$6:$B$45,0)),0))))</f>
        <v/>
      </c>
      <c r="O1791" s="14">
        <f>IF(B1791="","",IF(J1791&lt;&gt;"",0,ROUND(M1791*N1791,2)))</f>
        <v/>
      </c>
      <c r="P1791" s="15">
        <f>IF(OR(B1791="",J1791&lt;&gt;""),"",IF(L1791&lt;&gt;"",L1791,IF(COUNTIFS(Invoices!$C$6:$C$305,C1791,Invoices!$E$6:$E$305,"&lt;="&amp;B1791,Invoices!$F$6:$F$305,"&gt;="&amp;B1791)=1,INDEX(Invoices!$B$6:$B$305,SUMIFS(Invoices!$O$6:$O$305,Invoices!$C$6:$C$305,C1791,Invoices!$E$6:$E$305,"&lt;="&amp;B1791,Invoices!$F$6:$F$305,"&gt;="&amp;B1791)),IF(COUNTIFS(Invoices!$C$6:$C$305,C1791,Invoices!$E$6:$E$305,"&lt;="&amp;B1791,Invoices!$F$6:$F$305,"&gt;="&amp;B1791)&gt;1,"Two invoices",""))))</f>
        <v/>
      </c>
      <c r="Q1791" s="15">
        <f>IF(B1791="","",IF(J1791&lt;&gt;"","Not billable",IF(P1791="","To invoice",IF(P1791="Two invoices","Check dates",IF(ISNA(MATCH(P1791,Invoices!$B$6:$B$305,0)),"Check number",IF(INDEX(Invoices!$M$6:$M$305,MATCH(P1791,Invoices!$B$6:$B$305,0))="Paid","Paid",IF(INDEX(Invoices!$M$6:$M$305,MATCH(P1791,Invoices!$B$6:$B$305,0))="Draft","Draft","Invoiced")))))))</f>
        <v/>
      </c>
      <c r="R1791" s="1">
        <f>IF(AND(B1791&lt;&gt;"",P1791&lt;&gt;"",P1791=Invoice!$G$4),B1791+MOD(N(F1791),1)+ROW()/10000000,"")</f>
        <v/>
      </c>
      <c r="S1791">
        <f>IF(R1791="","",IF(D1791="","Other work",D1791)&amp;IF(AND(K1791&lt;&gt;"",E1791&lt;&gt;""),", "&amp;E1791,""))</f>
        <v/>
      </c>
      <c r="T1791">
        <f>IF(R1791="","",IF(COUNTIFS(R$6:R1790,"&gt;0",S$6:S1790,S1791,N$6:N1790,N1791)=0,R1791,""))</f>
        <v/>
      </c>
      <c r="U1791">
        <f>IF(B1791="","",IF(J1791&lt;&gt;"",0,M1791))</f>
        <v/>
      </c>
    </row>
    <row r="1792">
      <c r="A1792" s="1" t="n"/>
      <c r="B1792" s="16" t="n"/>
      <c r="C1792" s="17" t="n"/>
      <c r="D1792" s="18" t="n"/>
      <c r="E1792" s="18" t="n"/>
      <c r="F1792" s="19" t="n"/>
      <c r="G1792" s="19" t="n"/>
      <c r="H1792" s="20" t="n"/>
      <c r="I1792" s="21" t="n"/>
      <c r="J1792" s="22" t="n"/>
      <c r="K1792" s="23" t="n"/>
      <c r="L1792" s="18" t="n"/>
      <c r="M1792" s="24">
        <f>IF(B1792="","",IF(AND(F1792&lt;&gt;"",G1792&lt;&gt;""),MAX(0,ROUND(MOD(G1792-F1792,1)*24-N(H1792)/60,2)),N(I1792)))</f>
        <v/>
      </c>
      <c r="N1792" s="14">
        <f>IF(B1792="","",IF(K1792&lt;&gt;"",K1792,IF(N(IFERROR(INDEX(Projects!$D$6:$D$65,MATCH(D1792,Projects!$B$6:$B$65,0)),""))&gt;0,IFERROR(INDEX(Projects!$D$6:$D$65,MATCH(D1792,Projects!$B$6:$B$65,0)),""),IFERROR(INDEX(Clients!$G$6:$G$45,MATCH(C1792,Clients!$B$6:$B$45,0)),0))))</f>
        <v/>
      </c>
      <c r="O1792" s="14">
        <f>IF(B1792="","",IF(J1792&lt;&gt;"",0,ROUND(M1792*N1792,2)))</f>
        <v/>
      </c>
      <c r="P1792" s="15">
        <f>IF(OR(B1792="",J1792&lt;&gt;""),"",IF(L1792&lt;&gt;"",L1792,IF(COUNTIFS(Invoices!$C$6:$C$305,C1792,Invoices!$E$6:$E$305,"&lt;="&amp;B1792,Invoices!$F$6:$F$305,"&gt;="&amp;B1792)=1,INDEX(Invoices!$B$6:$B$305,SUMIFS(Invoices!$O$6:$O$305,Invoices!$C$6:$C$305,C1792,Invoices!$E$6:$E$305,"&lt;="&amp;B1792,Invoices!$F$6:$F$305,"&gt;="&amp;B1792)),IF(COUNTIFS(Invoices!$C$6:$C$305,C1792,Invoices!$E$6:$E$305,"&lt;="&amp;B1792,Invoices!$F$6:$F$305,"&gt;="&amp;B1792)&gt;1,"Two invoices",""))))</f>
        <v/>
      </c>
      <c r="Q1792" s="15">
        <f>IF(B1792="","",IF(J1792&lt;&gt;"","Not billable",IF(P1792="","To invoice",IF(P1792="Two invoices","Check dates",IF(ISNA(MATCH(P1792,Invoices!$B$6:$B$305,0)),"Check number",IF(INDEX(Invoices!$M$6:$M$305,MATCH(P1792,Invoices!$B$6:$B$305,0))="Paid","Paid",IF(INDEX(Invoices!$M$6:$M$305,MATCH(P1792,Invoices!$B$6:$B$305,0))="Draft","Draft","Invoiced")))))))</f>
        <v/>
      </c>
      <c r="R1792" s="1">
        <f>IF(AND(B1792&lt;&gt;"",P1792&lt;&gt;"",P1792=Invoice!$G$4),B1792+MOD(N(F1792),1)+ROW()/10000000,"")</f>
        <v/>
      </c>
      <c r="S1792">
        <f>IF(R1792="","",IF(D1792="","Other work",D1792)&amp;IF(AND(K1792&lt;&gt;"",E1792&lt;&gt;""),", "&amp;E1792,""))</f>
        <v/>
      </c>
      <c r="T1792">
        <f>IF(R1792="","",IF(COUNTIFS(R$6:R1791,"&gt;0",S$6:S1791,S1792,N$6:N1791,N1792)=0,R1792,""))</f>
        <v/>
      </c>
      <c r="U1792">
        <f>IF(B1792="","",IF(J1792&lt;&gt;"",0,M1792))</f>
        <v/>
      </c>
    </row>
    <row r="1793">
      <c r="A1793" s="1" t="n"/>
      <c r="B1793" s="16" t="n"/>
      <c r="C1793" s="17" t="n"/>
      <c r="D1793" s="18" t="n"/>
      <c r="E1793" s="18" t="n"/>
      <c r="F1793" s="19" t="n"/>
      <c r="G1793" s="19" t="n"/>
      <c r="H1793" s="20" t="n"/>
      <c r="I1793" s="21" t="n"/>
      <c r="J1793" s="22" t="n"/>
      <c r="K1793" s="23" t="n"/>
      <c r="L1793" s="18" t="n"/>
      <c r="M1793" s="24">
        <f>IF(B1793="","",IF(AND(F1793&lt;&gt;"",G1793&lt;&gt;""),MAX(0,ROUND(MOD(G1793-F1793,1)*24-N(H1793)/60,2)),N(I1793)))</f>
        <v/>
      </c>
      <c r="N1793" s="14">
        <f>IF(B1793="","",IF(K1793&lt;&gt;"",K1793,IF(N(IFERROR(INDEX(Projects!$D$6:$D$65,MATCH(D1793,Projects!$B$6:$B$65,0)),""))&gt;0,IFERROR(INDEX(Projects!$D$6:$D$65,MATCH(D1793,Projects!$B$6:$B$65,0)),""),IFERROR(INDEX(Clients!$G$6:$G$45,MATCH(C1793,Clients!$B$6:$B$45,0)),0))))</f>
        <v/>
      </c>
      <c r="O1793" s="14">
        <f>IF(B1793="","",IF(J1793&lt;&gt;"",0,ROUND(M1793*N1793,2)))</f>
        <v/>
      </c>
      <c r="P1793" s="15">
        <f>IF(OR(B1793="",J1793&lt;&gt;""),"",IF(L1793&lt;&gt;"",L1793,IF(COUNTIFS(Invoices!$C$6:$C$305,C1793,Invoices!$E$6:$E$305,"&lt;="&amp;B1793,Invoices!$F$6:$F$305,"&gt;="&amp;B1793)=1,INDEX(Invoices!$B$6:$B$305,SUMIFS(Invoices!$O$6:$O$305,Invoices!$C$6:$C$305,C1793,Invoices!$E$6:$E$305,"&lt;="&amp;B1793,Invoices!$F$6:$F$305,"&gt;="&amp;B1793)),IF(COUNTIFS(Invoices!$C$6:$C$305,C1793,Invoices!$E$6:$E$305,"&lt;="&amp;B1793,Invoices!$F$6:$F$305,"&gt;="&amp;B1793)&gt;1,"Two invoices",""))))</f>
        <v/>
      </c>
      <c r="Q1793" s="15">
        <f>IF(B1793="","",IF(J1793&lt;&gt;"","Not billable",IF(P1793="","To invoice",IF(P1793="Two invoices","Check dates",IF(ISNA(MATCH(P1793,Invoices!$B$6:$B$305,0)),"Check number",IF(INDEX(Invoices!$M$6:$M$305,MATCH(P1793,Invoices!$B$6:$B$305,0))="Paid","Paid",IF(INDEX(Invoices!$M$6:$M$305,MATCH(P1793,Invoices!$B$6:$B$305,0))="Draft","Draft","Invoiced")))))))</f>
        <v/>
      </c>
      <c r="R1793" s="1">
        <f>IF(AND(B1793&lt;&gt;"",P1793&lt;&gt;"",P1793=Invoice!$G$4),B1793+MOD(N(F1793),1)+ROW()/10000000,"")</f>
        <v/>
      </c>
      <c r="S1793">
        <f>IF(R1793="","",IF(D1793="","Other work",D1793)&amp;IF(AND(K1793&lt;&gt;"",E1793&lt;&gt;""),", "&amp;E1793,""))</f>
        <v/>
      </c>
      <c r="T1793">
        <f>IF(R1793="","",IF(COUNTIFS(R$6:R1792,"&gt;0",S$6:S1792,S1793,N$6:N1792,N1793)=0,R1793,""))</f>
        <v/>
      </c>
      <c r="U1793">
        <f>IF(B1793="","",IF(J1793&lt;&gt;"",0,M1793))</f>
        <v/>
      </c>
    </row>
    <row r="1794">
      <c r="A1794" s="1" t="n"/>
      <c r="B1794" s="16" t="n"/>
      <c r="C1794" s="17" t="n"/>
      <c r="D1794" s="18" t="n"/>
      <c r="E1794" s="18" t="n"/>
      <c r="F1794" s="19" t="n"/>
      <c r="G1794" s="19" t="n"/>
      <c r="H1794" s="20" t="n"/>
      <c r="I1794" s="21" t="n"/>
      <c r="J1794" s="22" t="n"/>
      <c r="K1794" s="23" t="n"/>
      <c r="L1794" s="18" t="n"/>
      <c r="M1794" s="24">
        <f>IF(B1794="","",IF(AND(F1794&lt;&gt;"",G1794&lt;&gt;""),MAX(0,ROUND(MOD(G1794-F1794,1)*24-N(H1794)/60,2)),N(I1794)))</f>
        <v/>
      </c>
      <c r="N1794" s="14">
        <f>IF(B1794="","",IF(K1794&lt;&gt;"",K1794,IF(N(IFERROR(INDEX(Projects!$D$6:$D$65,MATCH(D1794,Projects!$B$6:$B$65,0)),""))&gt;0,IFERROR(INDEX(Projects!$D$6:$D$65,MATCH(D1794,Projects!$B$6:$B$65,0)),""),IFERROR(INDEX(Clients!$G$6:$G$45,MATCH(C1794,Clients!$B$6:$B$45,0)),0))))</f>
        <v/>
      </c>
      <c r="O1794" s="14">
        <f>IF(B1794="","",IF(J1794&lt;&gt;"",0,ROUND(M1794*N1794,2)))</f>
        <v/>
      </c>
      <c r="P1794" s="15">
        <f>IF(OR(B1794="",J1794&lt;&gt;""),"",IF(L1794&lt;&gt;"",L1794,IF(COUNTIFS(Invoices!$C$6:$C$305,C1794,Invoices!$E$6:$E$305,"&lt;="&amp;B1794,Invoices!$F$6:$F$305,"&gt;="&amp;B1794)=1,INDEX(Invoices!$B$6:$B$305,SUMIFS(Invoices!$O$6:$O$305,Invoices!$C$6:$C$305,C1794,Invoices!$E$6:$E$305,"&lt;="&amp;B1794,Invoices!$F$6:$F$305,"&gt;="&amp;B1794)),IF(COUNTIFS(Invoices!$C$6:$C$305,C1794,Invoices!$E$6:$E$305,"&lt;="&amp;B1794,Invoices!$F$6:$F$305,"&gt;="&amp;B1794)&gt;1,"Two invoices",""))))</f>
        <v/>
      </c>
      <c r="Q1794" s="15">
        <f>IF(B1794="","",IF(J1794&lt;&gt;"","Not billable",IF(P1794="","To invoice",IF(P1794="Two invoices","Check dates",IF(ISNA(MATCH(P1794,Invoices!$B$6:$B$305,0)),"Check number",IF(INDEX(Invoices!$M$6:$M$305,MATCH(P1794,Invoices!$B$6:$B$305,0))="Paid","Paid",IF(INDEX(Invoices!$M$6:$M$305,MATCH(P1794,Invoices!$B$6:$B$305,0))="Draft","Draft","Invoiced")))))))</f>
        <v/>
      </c>
      <c r="R1794" s="1">
        <f>IF(AND(B1794&lt;&gt;"",P1794&lt;&gt;"",P1794=Invoice!$G$4),B1794+MOD(N(F1794),1)+ROW()/10000000,"")</f>
        <v/>
      </c>
      <c r="S1794">
        <f>IF(R1794="","",IF(D1794="","Other work",D1794)&amp;IF(AND(K1794&lt;&gt;"",E1794&lt;&gt;""),", "&amp;E1794,""))</f>
        <v/>
      </c>
      <c r="T1794">
        <f>IF(R1794="","",IF(COUNTIFS(R$6:R1793,"&gt;0",S$6:S1793,S1794,N$6:N1793,N1794)=0,R1794,""))</f>
        <v/>
      </c>
      <c r="U1794">
        <f>IF(B1794="","",IF(J1794&lt;&gt;"",0,M1794))</f>
        <v/>
      </c>
    </row>
    <row r="1795">
      <c r="A1795" s="1" t="n"/>
      <c r="B1795" s="16" t="n"/>
      <c r="C1795" s="17" t="n"/>
      <c r="D1795" s="18" t="n"/>
      <c r="E1795" s="18" t="n"/>
      <c r="F1795" s="19" t="n"/>
      <c r="G1795" s="19" t="n"/>
      <c r="H1795" s="20" t="n"/>
      <c r="I1795" s="21" t="n"/>
      <c r="J1795" s="22" t="n"/>
      <c r="K1795" s="23" t="n"/>
      <c r="L1795" s="18" t="n"/>
      <c r="M1795" s="24">
        <f>IF(B1795="","",IF(AND(F1795&lt;&gt;"",G1795&lt;&gt;""),MAX(0,ROUND(MOD(G1795-F1795,1)*24-N(H1795)/60,2)),N(I1795)))</f>
        <v/>
      </c>
      <c r="N1795" s="14">
        <f>IF(B1795="","",IF(K1795&lt;&gt;"",K1795,IF(N(IFERROR(INDEX(Projects!$D$6:$D$65,MATCH(D1795,Projects!$B$6:$B$65,0)),""))&gt;0,IFERROR(INDEX(Projects!$D$6:$D$65,MATCH(D1795,Projects!$B$6:$B$65,0)),""),IFERROR(INDEX(Clients!$G$6:$G$45,MATCH(C1795,Clients!$B$6:$B$45,0)),0))))</f>
        <v/>
      </c>
      <c r="O1795" s="14">
        <f>IF(B1795="","",IF(J1795&lt;&gt;"",0,ROUND(M1795*N1795,2)))</f>
        <v/>
      </c>
      <c r="P1795" s="15">
        <f>IF(OR(B1795="",J1795&lt;&gt;""),"",IF(L1795&lt;&gt;"",L1795,IF(COUNTIFS(Invoices!$C$6:$C$305,C1795,Invoices!$E$6:$E$305,"&lt;="&amp;B1795,Invoices!$F$6:$F$305,"&gt;="&amp;B1795)=1,INDEX(Invoices!$B$6:$B$305,SUMIFS(Invoices!$O$6:$O$305,Invoices!$C$6:$C$305,C1795,Invoices!$E$6:$E$305,"&lt;="&amp;B1795,Invoices!$F$6:$F$305,"&gt;="&amp;B1795)),IF(COUNTIFS(Invoices!$C$6:$C$305,C1795,Invoices!$E$6:$E$305,"&lt;="&amp;B1795,Invoices!$F$6:$F$305,"&gt;="&amp;B1795)&gt;1,"Two invoices",""))))</f>
        <v/>
      </c>
      <c r="Q1795" s="15">
        <f>IF(B1795="","",IF(J1795&lt;&gt;"","Not billable",IF(P1795="","To invoice",IF(P1795="Two invoices","Check dates",IF(ISNA(MATCH(P1795,Invoices!$B$6:$B$305,0)),"Check number",IF(INDEX(Invoices!$M$6:$M$305,MATCH(P1795,Invoices!$B$6:$B$305,0))="Paid","Paid",IF(INDEX(Invoices!$M$6:$M$305,MATCH(P1795,Invoices!$B$6:$B$305,0))="Draft","Draft","Invoiced")))))))</f>
        <v/>
      </c>
      <c r="R1795" s="1">
        <f>IF(AND(B1795&lt;&gt;"",P1795&lt;&gt;"",P1795=Invoice!$G$4),B1795+MOD(N(F1795),1)+ROW()/10000000,"")</f>
        <v/>
      </c>
      <c r="S1795">
        <f>IF(R1795="","",IF(D1795="","Other work",D1795)&amp;IF(AND(K1795&lt;&gt;"",E1795&lt;&gt;""),", "&amp;E1795,""))</f>
        <v/>
      </c>
      <c r="T1795">
        <f>IF(R1795="","",IF(COUNTIFS(R$6:R1794,"&gt;0",S$6:S1794,S1795,N$6:N1794,N1795)=0,R1795,""))</f>
        <v/>
      </c>
      <c r="U1795">
        <f>IF(B1795="","",IF(J1795&lt;&gt;"",0,M1795))</f>
        <v/>
      </c>
    </row>
    <row r="1796">
      <c r="A1796" s="1" t="n"/>
      <c r="B1796" s="16" t="n"/>
      <c r="C1796" s="17" t="n"/>
      <c r="D1796" s="18" t="n"/>
      <c r="E1796" s="18" t="n"/>
      <c r="F1796" s="19" t="n"/>
      <c r="G1796" s="19" t="n"/>
      <c r="H1796" s="20" t="n"/>
      <c r="I1796" s="21" t="n"/>
      <c r="J1796" s="22" t="n"/>
      <c r="K1796" s="23" t="n"/>
      <c r="L1796" s="18" t="n"/>
      <c r="M1796" s="24">
        <f>IF(B1796="","",IF(AND(F1796&lt;&gt;"",G1796&lt;&gt;""),MAX(0,ROUND(MOD(G1796-F1796,1)*24-N(H1796)/60,2)),N(I1796)))</f>
        <v/>
      </c>
      <c r="N1796" s="14">
        <f>IF(B1796="","",IF(K1796&lt;&gt;"",K1796,IF(N(IFERROR(INDEX(Projects!$D$6:$D$65,MATCH(D1796,Projects!$B$6:$B$65,0)),""))&gt;0,IFERROR(INDEX(Projects!$D$6:$D$65,MATCH(D1796,Projects!$B$6:$B$65,0)),""),IFERROR(INDEX(Clients!$G$6:$G$45,MATCH(C1796,Clients!$B$6:$B$45,0)),0))))</f>
        <v/>
      </c>
      <c r="O1796" s="14">
        <f>IF(B1796="","",IF(J1796&lt;&gt;"",0,ROUND(M1796*N1796,2)))</f>
        <v/>
      </c>
      <c r="P1796" s="15">
        <f>IF(OR(B1796="",J1796&lt;&gt;""),"",IF(L1796&lt;&gt;"",L1796,IF(COUNTIFS(Invoices!$C$6:$C$305,C1796,Invoices!$E$6:$E$305,"&lt;="&amp;B1796,Invoices!$F$6:$F$305,"&gt;="&amp;B1796)=1,INDEX(Invoices!$B$6:$B$305,SUMIFS(Invoices!$O$6:$O$305,Invoices!$C$6:$C$305,C1796,Invoices!$E$6:$E$305,"&lt;="&amp;B1796,Invoices!$F$6:$F$305,"&gt;="&amp;B1796)),IF(COUNTIFS(Invoices!$C$6:$C$305,C1796,Invoices!$E$6:$E$305,"&lt;="&amp;B1796,Invoices!$F$6:$F$305,"&gt;="&amp;B1796)&gt;1,"Two invoices",""))))</f>
        <v/>
      </c>
      <c r="Q1796" s="15">
        <f>IF(B1796="","",IF(J1796&lt;&gt;"","Not billable",IF(P1796="","To invoice",IF(P1796="Two invoices","Check dates",IF(ISNA(MATCH(P1796,Invoices!$B$6:$B$305,0)),"Check number",IF(INDEX(Invoices!$M$6:$M$305,MATCH(P1796,Invoices!$B$6:$B$305,0))="Paid","Paid",IF(INDEX(Invoices!$M$6:$M$305,MATCH(P1796,Invoices!$B$6:$B$305,0))="Draft","Draft","Invoiced")))))))</f>
        <v/>
      </c>
      <c r="R1796" s="1">
        <f>IF(AND(B1796&lt;&gt;"",P1796&lt;&gt;"",P1796=Invoice!$G$4),B1796+MOD(N(F1796),1)+ROW()/10000000,"")</f>
        <v/>
      </c>
      <c r="S1796">
        <f>IF(R1796="","",IF(D1796="","Other work",D1796)&amp;IF(AND(K1796&lt;&gt;"",E1796&lt;&gt;""),", "&amp;E1796,""))</f>
        <v/>
      </c>
      <c r="T1796">
        <f>IF(R1796="","",IF(COUNTIFS(R$6:R1795,"&gt;0",S$6:S1795,S1796,N$6:N1795,N1796)=0,R1796,""))</f>
        <v/>
      </c>
      <c r="U1796">
        <f>IF(B1796="","",IF(J1796&lt;&gt;"",0,M1796))</f>
        <v/>
      </c>
    </row>
    <row r="1797">
      <c r="A1797" s="1" t="n"/>
      <c r="B1797" s="16" t="n"/>
      <c r="C1797" s="17" t="n"/>
      <c r="D1797" s="18" t="n"/>
      <c r="E1797" s="18" t="n"/>
      <c r="F1797" s="19" t="n"/>
      <c r="G1797" s="19" t="n"/>
      <c r="H1797" s="20" t="n"/>
      <c r="I1797" s="21" t="n"/>
      <c r="J1797" s="22" t="n"/>
      <c r="K1797" s="23" t="n"/>
      <c r="L1797" s="18" t="n"/>
      <c r="M1797" s="24">
        <f>IF(B1797="","",IF(AND(F1797&lt;&gt;"",G1797&lt;&gt;""),MAX(0,ROUND(MOD(G1797-F1797,1)*24-N(H1797)/60,2)),N(I1797)))</f>
        <v/>
      </c>
      <c r="N1797" s="14">
        <f>IF(B1797="","",IF(K1797&lt;&gt;"",K1797,IF(N(IFERROR(INDEX(Projects!$D$6:$D$65,MATCH(D1797,Projects!$B$6:$B$65,0)),""))&gt;0,IFERROR(INDEX(Projects!$D$6:$D$65,MATCH(D1797,Projects!$B$6:$B$65,0)),""),IFERROR(INDEX(Clients!$G$6:$G$45,MATCH(C1797,Clients!$B$6:$B$45,0)),0))))</f>
        <v/>
      </c>
      <c r="O1797" s="14">
        <f>IF(B1797="","",IF(J1797&lt;&gt;"",0,ROUND(M1797*N1797,2)))</f>
        <v/>
      </c>
      <c r="P1797" s="15">
        <f>IF(OR(B1797="",J1797&lt;&gt;""),"",IF(L1797&lt;&gt;"",L1797,IF(COUNTIFS(Invoices!$C$6:$C$305,C1797,Invoices!$E$6:$E$305,"&lt;="&amp;B1797,Invoices!$F$6:$F$305,"&gt;="&amp;B1797)=1,INDEX(Invoices!$B$6:$B$305,SUMIFS(Invoices!$O$6:$O$305,Invoices!$C$6:$C$305,C1797,Invoices!$E$6:$E$305,"&lt;="&amp;B1797,Invoices!$F$6:$F$305,"&gt;="&amp;B1797)),IF(COUNTIFS(Invoices!$C$6:$C$305,C1797,Invoices!$E$6:$E$305,"&lt;="&amp;B1797,Invoices!$F$6:$F$305,"&gt;="&amp;B1797)&gt;1,"Two invoices",""))))</f>
        <v/>
      </c>
      <c r="Q1797" s="15">
        <f>IF(B1797="","",IF(J1797&lt;&gt;"","Not billable",IF(P1797="","To invoice",IF(P1797="Two invoices","Check dates",IF(ISNA(MATCH(P1797,Invoices!$B$6:$B$305,0)),"Check number",IF(INDEX(Invoices!$M$6:$M$305,MATCH(P1797,Invoices!$B$6:$B$305,0))="Paid","Paid",IF(INDEX(Invoices!$M$6:$M$305,MATCH(P1797,Invoices!$B$6:$B$305,0))="Draft","Draft","Invoiced")))))))</f>
        <v/>
      </c>
      <c r="R1797" s="1">
        <f>IF(AND(B1797&lt;&gt;"",P1797&lt;&gt;"",P1797=Invoice!$G$4),B1797+MOD(N(F1797),1)+ROW()/10000000,"")</f>
        <v/>
      </c>
      <c r="S1797">
        <f>IF(R1797="","",IF(D1797="","Other work",D1797)&amp;IF(AND(K1797&lt;&gt;"",E1797&lt;&gt;""),", "&amp;E1797,""))</f>
        <v/>
      </c>
      <c r="T1797">
        <f>IF(R1797="","",IF(COUNTIFS(R$6:R1796,"&gt;0",S$6:S1796,S1797,N$6:N1796,N1797)=0,R1797,""))</f>
        <v/>
      </c>
      <c r="U1797">
        <f>IF(B1797="","",IF(J1797&lt;&gt;"",0,M1797))</f>
        <v/>
      </c>
    </row>
    <row r="1798">
      <c r="A1798" s="1" t="n"/>
      <c r="B1798" s="16" t="n"/>
      <c r="C1798" s="17" t="n"/>
      <c r="D1798" s="18" t="n"/>
      <c r="E1798" s="18" t="n"/>
      <c r="F1798" s="19" t="n"/>
      <c r="G1798" s="19" t="n"/>
      <c r="H1798" s="20" t="n"/>
      <c r="I1798" s="21" t="n"/>
      <c r="J1798" s="22" t="n"/>
      <c r="K1798" s="23" t="n"/>
      <c r="L1798" s="18" t="n"/>
      <c r="M1798" s="24">
        <f>IF(B1798="","",IF(AND(F1798&lt;&gt;"",G1798&lt;&gt;""),MAX(0,ROUND(MOD(G1798-F1798,1)*24-N(H1798)/60,2)),N(I1798)))</f>
        <v/>
      </c>
      <c r="N1798" s="14">
        <f>IF(B1798="","",IF(K1798&lt;&gt;"",K1798,IF(N(IFERROR(INDEX(Projects!$D$6:$D$65,MATCH(D1798,Projects!$B$6:$B$65,0)),""))&gt;0,IFERROR(INDEX(Projects!$D$6:$D$65,MATCH(D1798,Projects!$B$6:$B$65,0)),""),IFERROR(INDEX(Clients!$G$6:$G$45,MATCH(C1798,Clients!$B$6:$B$45,0)),0))))</f>
        <v/>
      </c>
      <c r="O1798" s="14">
        <f>IF(B1798="","",IF(J1798&lt;&gt;"",0,ROUND(M1798*N1798,2)))</f>
        <v/>
      </c>
      <c r="P1798" s="15">
        <f>IF(OR(B1798="",J1798&lt;&gt;""),"",IF(L1798&lt;&gt;"",L1798,IF(COUNTIFS(Invoices!$C$6:$C$305,C1798,Invoices!$E$6:$E$305,"&lt;="&amp;B1798,Invoices!$F$6:$F$305,"&gt;="&amp;B1798)=1,INDEX(Invoices!$B$6:$B$305,SUMIFS(Invoices!$O$6:$O$305,Invoices!$C$6:$C$305,C1798,Invoices!$E$6:$E$305,"&lt;="&amp;B1798,Invoices!$F$6:$F$305,"&gt;="&amp;B1798)),IF(COUNTIFS(Invoices!$C$6:$C$305,C1798,Invoices!$E$6:$E$305,"&lt;="&amp;B1798,Invoices!$F$6:$F$305,"&gt;="&amp;B1798)&gt;1,"Two invoices",""))))</f>
        <v/>
      </c>
      <c r="Q1798" s="15">
        <f>IF(B1798="","",IF(J1798&lt;&gt;"","Not billable",IF(P1798="","To invoice",IF(P1798="Two invoices","Check dates",IF(ISNA(MATCH(P1798,Invoices!$B$6:$B$305,0)),"Check number",IF(INDEX(Invoices!$M$6:$M$305,MATCH(P1798,Invoices!$B$6:$B$305,0))="Paid","Paid",IF(INDEX(Invoices!$M$6:$M$305,MATCH(P1798,Invoices!$B$6:$B$305,0))="Draft","Draft","Invoiced")))))))</f>
        <v/>
      </c>
      <c r="R1798" s="1">
        <f>IF(AND(B1798&lt;&gt;"",P1798&lt;&gt;"",P1798=Invoice!$G$4),B1798+MOD(N(F1798),1)+ROW()/10000000,"")</f>
        <v/>
      </c>
      <c r="S1798">
        <f>IF(R1798="","",IF(D1798="","Other work",D1798)&amp;IF(AND(K1798&lt;&gt;"",E1798&lt;&gt;""),", "&amp;E1798,""))</f>
        <v/>
      </c>
      <c r="T1798">
        <f>IF(R1798="","",IF(COUNTIFS(R$6:R1797,"&gt;0",S$6:S1797,S1798,N$6:N1797,N1798)=0,R1798,""))</f>
        <v/>
      </c>
      <c r="U1798">
        <f>IF(B1798="","",IF(J1798&lt;&gt;"",0,M1798))</f>
        <v/>
      </c>
    </row>
    <row r="1799">
      <c r="A1799" s="1" t="n"/>
      <c r="B1799" s="16" t="n"/>
      <c r="C1799" s="17" t="n"/>
      <c r="D1799" s="18" t="n"/>
      <c r="E1799" s="18" t="n"/>
      <c r="F1799" s="19" t="n"/>
      <c r="G1799" s="19" t="n"/>
      <c r="H1799" s="20" t="n"/>
      <c r="I1799" s="21" t="n"/>
      <c r="J1799" s="22" t="n"/>
      <c r="K1799" s="23" t="n"/>
      <c r="L1799" s="18" t="n"/>
      <c r="M1799" s="24">
        <f>IF(B1799="","",IF(AND(F1799&lt;&gt;"",G1799&lt;&gt;""),MAX(0,ROUND(MOD(G1799-F1799,1)*24-N(H1799)/60,2)),N(I1799)))</f>
        <v/>
      </c>
      <c r="N1799" s="14">
        <f>IF(B1799="","",IF(K1799&lt;&gt;"",K1799,IF(N(IFERROR(INDEX(Projects!$D$6:$D$65,MATCH(D1799,Projects!$B$6:$B$65,0)),""))&gt;0,IFERROR(INDEX(Projects!$D$6:$D$65,MATCH(D1799,Projects!$B$6:$B$65,0)),""),IFERROR(INDEX(Clients!$G$6:$G$45,MATCH(C1799,Clients!$B$6:$B$45,0)),0))))</f>
        <v/>
      </c>
      <c r="O1799" s="14">
        <f>IF(B1799="","",IF(J1799&lt;&gt;"",0,ROUND(M1799*N1799,2)))</f>
        <v/>
      </c>
      <c r="P1799" s="15">
        <f>IF(OR(B1799="",J1799&lt;&gt;""),"",IF(L1799&lt;&gt;"",L1799,IF(COUNTIFS(Invoices!$C$6:$C$305,C1799,Invoices!$E$6:$E$305,"&lt;="&amp;B1799,Invoices!$F$6:$F$305,"&gt;="&amp;B1799)=1,INDEX(Invoices!$B$6:$B$305,SUMIFS(Invoices!$O$6:$O$305,Invoices!$C$6:$C$305,C1799,Invoices!$E$6:$E$305,"&lt;="&amp;B1799,Invoices!$F$6:$F$305,"&gt;="&amp;B1799)),IF(COUNTIFS(Invoices!$C$6:$C$305,C1799,Invoices!$E$6:$E$305,"&lt;="&amp;B1799,Invoices!$F$6:$F$305,"&gt;="&amp;B1799)&gt;1,"Two invoices",""))))</f>
        <v/>
      </c>
      <c r="Q1799" s="15">
        <f>IF(B1799="","",IF(J1799&lt;&gt;"","Not billable",IF(P1799="","To invoice",IF(P1799="Two invoices","Check dates",IF(ISNA(MATCH(P1799,Invoices!$B$6:$B$305,0)),"Check number",IF(INDEX(Invoices!$M$6:$M$305,MATCH(P1799,Invoices!$B$6:$B$305,0))="Paid","Paid",IF(INDEX(Invoices!$M$6:$M$305,MATCH(P1799,Invoices!$B$6:$B$305,0))="Draft","Draft","Invoiced")))))))</f>
        <v/>
      </c>
      <c r="R1799" s="1">
        <f>IF(AND(B1799&lt;&gt;"",P1799&lt;&gt;"",P1799=Invoice!$G$4),B1799+MOD(N(F1799),1)+ROW()/10000000,"")</f>
        <v/>
      </c>
      <c r="S1799">
        <f>IF(R1799="","",IF(D1799="","Other work",D1799)&amp;IF(AND(K1799&lt;&gt;"",E1799&lt;&gt;""),", "&amp;E1799,""))</f>
        <v/>
      </c>
      <c r="T1799">
        <f>IF(R1799="","",IF(COUNTIFS(R$6:R1798,"&gt;0",S$6:S1798,S1799,N$6:N1798,N1799)=0,R1799,""))</f>
        <v/>
      </c>
      <c r="U1799">
        <f>IF(B1799="","",IF(J1799&lt;&gt;"",0,M1799))</f>
        <v/>
      </c>
    </row>
    <row r="1800">
      <c r="A1800" s="1" t="n"/>
      <c r="B1800" s="16" t="n"/>
      <c r="C1800" s="17" t="n"/>
      <c r="D1800" s="18" t="n"/>
      <c r="E1800" s="18" t="n"/>
      <c r="F1800" s="19" t="n"/>
      <c r="G1800" s="19" t="n"/>
      <c r="H1800" s="20" t="n"/>
      <c r="I1800" s="21" t="n"/>
      <c r="J1800" s="22" t="n"/>
      <c r="K1800" s="23" t="n"/>
      <c r="L1800" s="18" t="n"/>
      <c r="M1800" s="24">
        <f>IF(B1800="","",IF(AND(F1800&lt;&gt;"",G1800&lt;&gt;""),MAX(0,ROUND(MOD(G1800-F1800,1)*24-N(H1800)/60,2)),N(I1800)))</f>
        <v/>
      </c>
      <c r="N1800" s="14">
        <f>IF(B1800="","",IF(K1800&lt;&gt;"",K1800,IF(N(IFERROR(INDEX(Projects!$D$6:$D$65,MATCH(D1800,Projects!$B$6:$B$65,0)),""))&gt;0,IFERROR(INDEX(Projects!$D$6:$D$65,MATCH(D1800,Projects!$B$6:$B$65,0)),""),IFERROR(INDEX(Clients!$G$6:$G$45,MATCH(C1800,Clients!$B$6:$B$45,0)),0))))</f>
        <v/>
      </c>
      <c r="O1800" s="14">
        <f>IF(B1800="","",IF(J1800&lt;&gt;"",0,ROUND(M1800*N1800,2)))</f>
        <v/>
      </c>
      <c r="P1800" s="15">
        <f>IF(OR(B1800="",J1800&lt;&gt;""),"",IF(L1800&lt;&gt;"",L1800,IF(COUNTIFS(Invoices!$C$6:$C$305,C1800,Invoices!$E$6:$E$305,"&lt;="&amp;B1800,Invoices!$F$6:$F$305,"&gt;="&amp;B1800)=1,INDEX(Invoices!$B$6:$B$305,SUMIFS(Invoices!$O$6:$O$305,Invoices!$C$6:$C$305,C1800,Invoices!$E$6:$E$305,"&lt;="&amp;B1800,Invoices!$F$6:$F$305,"&gt;="&amp;B1800)),IF(COUNTIFS(Invoices!$C$6:$C$305,C1800,Invoices!$E$6:$E$305,"&lt;="&amp;B1800,Invoices!$F$6:$F$305,"&gt;="&amp;B1800)&gt;1,"Two invoices",""))))</f>
        <v/>
      </c>
      <c r="Q1800" s="15">
        <f>IF(B1800="","",IF(J1800&lt;&gt;"","Not billable",IF(P1800="","To invoice",IF(P1800="Two invoices","Check dates",IF(ISNA(MATCH(P1800,Invoices!$B$6:$B$305,0)),"Check number",IF(INDEX(Invoices!$M$6:$M$305,MATCH(P1800,Invoices!$B$6:$B$305,0))="Paid","Paid",IF(INDEX(Invoices!$M$6:$M$305,MATCH(P1800,Invoices!$B$6:$B$305,0))="Draft","Draft","Invoiced")))))))</f>
        <v/>
      </c>
      <c r="R1800" s="1">
        <f>IF(AND(B1800&lt;&gt;"",P1800&lt;&gt;"",P1800=Invoice!$G$4),B1800+MOD(N(F1800),1)+ROW()/10000000,"")</f>
        <v/>
      </c>
      <c r="S1800">
        <f>IF(R1800="","",IF(D1800="","Other work",D1800)&amp;IF(AND(K1800&lt;&gt;"",E1800&lt;&gt;""),", "&amp;E1800,""))</f>
        <v/>
      </c>
      <c r="T1800">
        <f>IF(R1800="","",IF(COUNTIFS(R$6:R1799,"&gt;0",S$6:S1799,S1800,N$6:N1799,N1800)=0,R1800,""))</f>
        <v/>
      </c>
      <c r="U1800">
        <f>IF(B1800="","",IF(J1800&lt;&gt;"",0,M1800))</f>
        <v/>
      </c>
    </row>
    <row r="1801">
      <c r="A1801" s="1" t="n"/>
      <c r="B1801" s="16" t="n"/>
      <c r="C1801" s="17" t="n"/>
      <c r="D1801" s="18" t="n"/>
      <c r="E1801" s="18" t="n"/>
      <c r="F1801" s="19" t="n"/>
      <c r="G1801" s="19" t="n"/>
      <c r="H1801" s="20" t="n"/>
      <c r="I1801" s="21" t="n"/>
      <c r="J1801" s="22" t="n"/>
      <c r="K1801" s="23" t="n"/>
      <c r="L1801" s="18" t="n"/>
      <c r="M1801" s="24">
        <f>IF(B1801="","",IF(AND(F1801&lt;&gt;"",G1801&lt;&gt;""),MAX(0,ROUND(MOD(G1801-F1801,1)*24-N(H1801)/60,2)),N(I1801)))</f>
        <v/>
      </c>
      <c r="N1801" s="14">
        <f>IF(B1801="","",IF(K1801&lt;&gt;"",K1801,IF(N(IFERROR(INDEX(Projects!$D$6:$D$65,MATCH(D1801,Projects!$B$6:$B$65,0)),""))&gt;0,IFERROR(INDEX(Projects!$D$6:$D$65,MATCH(D1801,Projects!$B$6:$B$65,0)),""),IFERROR(INDEX(Clients!$G$6:$G$45,MATCH(C1801,Clients!$B$6:$B$45,0)),0))))</f>
        <v/>
      </c>
      <c r="O1801" s="14">
        <f>IF(B1801="","",IF(J1801&lt;&gt;"",0,ROUND(M1801*N1801,2)))</f>
        <v/>
      </c>
      <c r="P1801" s="15">
        <f>IF(OR(B1801="",J1801&lt;&gt;""),"",IF(L1801&lt;&gt;"",L1801,IF(COUNTIFS(Invoices!$C$6:$C$305,C1801,Invoices!$E$6:$E$305,"&lt;="&amp;B1801,Invoices!$F$6:$F$305,"&gt;="&amp;B1801)=1,INDEX(Invoices!$B$6:$B$305,SUMIFS(Invoices!$O$6:$O$305,Invoices!$C$6:$C$305,C1801,Invoices!$E$6:$E$305,"&lt;="&amp;B1801,Invoices!$F$6:$F$305,"&gt;="&amp;B1801)),IF(COUNTIFS(Invoices!$C$6:$C$305,C1801,Invoices!$E$6:$E$305,"&lt;="&amp;B1801,Invoices!$F$6:$F$305,"&gt;="&amp;B1801)&gt;1,"Two invoices",""))))</f>
        <v/>
      </c>
      <c r="Q1801" s="15">
        <f>IF(B1801="","",IF(J1801&lt;&gt;"","Not billable",IF(P1801="","To invoice",IF(P1801="Two invoices","Check dates",IF(ISNA(MATCH(P1801,Invoices!$B$6:$B$305,0)),"Check number",IF(INDEX(Invoices!$M$6:$M$305,MATCH(P1801,Invoices!$B$6:$B$305,0))="Paid","Paid",IF(INDEX(Invoices!$M$6:$M$305,MATCH(P1801,Invoices!$B$6:$B$305,0))="Draft","Draft","Invoiced")))))))</f>
        <v/>
      </c>
      <c r="R1801" s="1">
        <f>IF(AND(B1801&lt;&gt;"",P1801&lt;&gt;"",P1801=Invoice!$G$4),B1801+MOD(N(F1801),1)+ROW()/10000000,"")</f>
        <v/>
      </c>
      <c r="S1801">
        <f>IF(R1801="","",IF(D1801="","Other work",D1801)&amp;IF(AND(K1801&lt;&gt;"",E1801&lt;&gt;""),", "&amp;E1801,""))</f>
        <v/>
      </c>
      <c r="T1801">
        <f>IF(R1801="","",IF(COUNTIFS(R$6:R1800,"&gt;0",S$6:S1800,S1801,N$6:N1800,N1801)=0,R1801,""))</f>
        <v/>
      </c>
      <c r="U1801">
        <f>IF(B1801="","",IF(J1801&lt;&gt;"",0,M1801))</f>
        <v/>
      </c>
    </row>
    <row r="1802">
      <c r="A1802" s="1" t="n"/>
      <c r="B1802" s="16" t="n"/>
      <c r="C1802" s="17" t="n"/>
      <c r="D1802" s="18" t="n"/>
      <c r="E1802" s="18" t="n"/>
      <c r="F1802" s="19" t="n"/>
      <c r="G1802" s="19" t="n"/>
      <c r="H1802" s="20" t="n"/>
      <c r="I1802" s="21" t="n"/>
      <c r="J1802" s="22" t="n"/>
      <c r="K1802" s="23" t="n"/>
      <c r="L1802" s="18" t="n"/>
      <c r="M1802" s="24">
        <f>IF(B1802="","",IF(AND(F1802&lt;&gt;"",G1802&lt;&gt;""),MAX(0,ROUND(MOD(G1802-F1802,1)*24-N(H1802)/60,2)),N(I1802)))</f>
        <v/>
      </c>
      <c r="N1802" s="14">
        <f>IF(B1802="","",IF(K1802&lt;&gt;"",K1802,IF(N(IFERROR(INDEX(Projects!$D$6:$D$65,MATCH(D1802,Projects!$B$6:$B$65,0)),""))&gt;0,IFERROR(INDEX(Projects!$D$6:$D$65,MATCH(D1802,Projects!$B$6:$B$65,0)),""),IFERROR(INDEX(Clients!$G$6:$G$45,MATCH(C1802,Clients!$B$6:$B$45,0)),0))))</f>
        <v/>
      </c>
      <c r="O1802" s="14">
        <f>IF(B1802="","",IF(J1802&lt;&gt;"",0,ROUND(M1802*N1802,2)))</f>
        <v/>
      </c>
      <c r="P1802" s="15">
        <f>IF(OR(B1802="",J1802&lt;&gt;""),"",IF(L1802&lt;&gt;"",L1802,IF(COUNTIFS(Invoices!$C$6:$C$305,C1802,Invoices!$E$6:$E$305,"&lt;="&amp;B1802,Invoices!$F$6:$F$305,"&gt;="&amp;B1802)=1,INDEX(Invoices!$B$6:$B$305,SUMIFS(Invoices!$O$6:$O$305,Invoices!$C$6:$C$305,C1802,Invoices!$E$6:$E$305,"&lt;="&amp;B1802,Invoices!$F$6:$F$305,"&gt;="&amp;B1802)),IF(COUNTIFS(Invoices!$C$6:$C$305,C1802,Invoices!$E$6:$E$305,"&lt;="&amp;B1802,Invoices!$F$6:$F$305,"&gt;="&amp;B1802)&gt;1,"Two invoices",""))))</f>
        <v/>
      </c>
      <c r="Q1802" s="15">
        <f>IF(B1802="","",IF(J1802&lt;&gt;"","Not billable",IF(P1802="","To invoice",IF(P1802="Two invoices","Check dates",IF(ISNA(MATCH(P1802,Invoices!$B$6:$B$305,0)),"Check number",IF(INDEX(Invoices!$M$6:$M$305,MATCH(P1802,Invoices!$B$6:$B$305,0))="Paid","Paid",IF(INDEX(Invoices!$M$6:$M$305,MATCH(P1802,Invoices!$B$6:$B$305,0))="Draft","Draft","Invoiced")))))))</f>
        <v/>
      </c>
      <c r="R1802" s="1">
        <f>IF(AND(B1802&lt;&gt;"",P1802&lt;&gt;"",P1802=Invoice!$G$4),B1802+MOD(N(F1802),1)+ROW()/10000000,"")</f>
        <v/>
      </c>
      <c r="S1802">
        <f>IF(R1802="","",IF(D1802="","Other work",D1802)&amp;IF(AND(K1802&lt;&gt;"",E1802&lt;&gt;""),", "&amp;E1802,""))</f>
        <v/>
      </c>
      <c r="T1802">
        <f>IF(R1802="","",IF(COUNTIFS(R$6:R1801,"&gt;0",S$6:S1801,S1802,N$6:N1801,N1802)=0,R1802,""))</f>
        <v/>
      </c>
      <c r="U1802">
        <f>IF(B1802="","",IF(J1802&lt;&gt;"",0,M1802))</f>
        <v/>
      </c>
    </row>
    <row r="1803">
      <c r="A1803" s="1" t="n"/>
      <c r="B1803" s="16" t="n"/>
      <c r="C1803" s="17" t="n"/>
      <c r="D1803" s="18" t="n"/>
      <c r="E1803" s="18" t="n"/>
      <c r="F1803" s="19" t="n"/>
      <c r="G1803" s="19" t="n"/>
      <c r="H1803" s="20" t="n"/>
      <c r="I1803" s="21" t="n"/>
      <c r="J1803" s="22" t="n"/>
      <c r="K1803" s="23" t="n"/>
      <c r="L1803" s="18" t="n"/>
      <c r="M1803" s="24">
        <f>IF(B1803="","",IF(AND(F1803&lt;&gt;"",G1803&lt;&gt;""),MAX(0,ROUND(MOD(G1803-F1803,1)*24-N(H1803)/60,2)),N(I1803)))</f>
        <v/>
      </c>
      <c r="N1803" s="14">
        <f>IF(B1803="","",IF(K1803&lt;&gt;"",K1803,IF(N(IFERROR(INDEX(Projects!$D$6:$D$65,MATCH(D1803,Projects!$B$6:$B$65,0)),""))&gt;0,IFERROR(INDEX(Projects!$D$6:$D$65,MATCH(D1803,Projects!$B$6:$B$65,0)),""),IFERROR(INDEX(Clients!$G$6:$G$45,MATCH(C1803,Clients!$B$6:$B$45,0)),0))))</f>
        <v/>
      </c>
      <c r="O1803" s="14">
        <f>IF(B1803="","",IF(J1803&lt;&gt;"",0,ROUND(M1803*N1803,2)))</f>
        <v/>
      </c>
      <c r="P1803" s="15">
        <f>IF(OR(B1803="",J1803&lt;&gt;""),"",IF(L1803&lt;&gt;"",L1803,IF(COUNTIFS(Invoices!$C$6:$C$305,C1803,Invoices!$E$6:$E$305,"&lt;="&amp;B1803,Invoices!$F$6:$F$305,"&gt;="&amp;B1803)=1,INDEX(Invoices!$B$6:$B$305,SUMIFS(Invoices!$O$6:$O$305,Invoices!$C$6:$C$305,C1803,Invoices!$E$6:$E$305,"&lt;="&amp;B1803,Invoices!$F$6:$F$305,"&gt;="&amp;B1803)),IF(COUNTIFS(Invoices!$C$6:$C$305,C1803,Invoices!$E$6:$E$305,"&lt;="&amp;B1803,Invoices!$F$6:$F$305,"&gt;="&amp;B1803)&gt;1,"Two invoices",""))))</f>
        <v/>
      </c>
      <c r="Q1803" s="15">
        <f>IF(B1803="","",IF(J1803&lt;&gt;"","Not billable",IF(P1803="","To invoice",IF(P1803="Two invoices","Check dates",IF(ISNA(MATCH(P1803,Invoices!$B$6:$B$305,0)),"Check number",IF(INDEX(Invoices!$M$6:$M$305,MATCH(P1803,Invoices!$B$6:$B$305,0))="Paid","Paid",IF(INDEX(Invoices!$M$6:$M$305,MATCH(P1803,Invoices!$B$6:$B$305,0))="Draft","Draft","Invoiced")))))))</f>
        <v/>
      </c>
      <c r="R1803" s="1">
        <f>IF(AND(B1803&lt;&gt;"",P1803&lt;&gt;"",P1803=Invoice!$G$4),B1803+MOD(N(F1803),1)+ROW()/10000000,"")</f>
        <v/>
      </c>
      <c r="S1803">
        <f>IF(R1803="","",IF(D1803="","Other work",D1803)&amp;IF(AND(K1803&lt;&gt;"",E1803&lt;&gt;""),", "&amp;E1803,""))</f>
        <v/>
      </c>
      <c r="T1803">
        <f>IF(R1803="","",IF(COUNTIFS(R$6:R1802,"&gt;0",S$6:S1802,S1803,N$6:N1802,N1803)=0,R1803,""))</f>
        <v/>
      </c>
      <c r="U1803">
        <f>IF(B1803="","",IF(J1803&lt;&gt;"",0,M1803))</f>
        <v/>
      </c>
    </row>
    <row r="1804">
      <c r="A1804" s="1" t="n"/>
      <c r="B1804" s="16" t="n"/>
      <c r="C1804" s="17" t="n"/>
      <c r="D1804" s="18" t="n"/>
      <c r="E1804" s="18" t="n"/>
      <c r="F1804" s="19" t="n"/>
      <c r="G1804" s="19" t="n"/>
      <c r="H1804" s="20" t="n"/>
      <c r="I1804" s="21" t="n"/>
      <c r="J1804" s="22" t="n"/>
      <c r="K1804" s="23" t="n"/>
      <c r="L1804" s="18" t="n"/>
      <c r="M1804" s="24">
        <f>IF(B1804="","",IF(AND(F1804&lt;&gt;"",G1804&lt;&gt;""),MAX(0,ROUND(MOD(G1804-F1804,1)*24-N(H1804)/60,2)),N(I1804)))</f>
        <v/>
      </c>
      <c r="N1804" s="14">
        <f>IF(B1804="","",IF(K1804&lt;&gt;"",K1804,IF(N(IFERROR(INDEX(Projects!$D$6:$D$65,MATCH(D1804,Projects!$B$6:$B$65,0)),""))&gt;0,IFERROR(INDEX(Projects!$D$6:$D$65,MATCH(D1804,Projects!$B$6:$B$65,0)),""),IFERROR(INDEX(Clients!$G$6:$G$45,MATCH(C1804,Clients!$B$6:$B$45,0)),0))))</f>
        <v/>
      </c>
      <c r="O1804" s="14">
        <f>IF(B1804="","",IF(J1804&lt;&gt;"",0,ROUND(M1804*N1804,2)))</f>
        <v/>
      </c>
      <c r="P1804" s="15">
        <f>IF(OR(B1804="",J1804&lt;&gt;""),"",IF(L1804&lt;&gt;"",L1804,IF(COUNTIFS(Invoices!$C$6:$C$305,C1804,Invoices!$E$6:$E$305,"&lt;="&amp;B1804,Invoices!$F$6:$F$305,"&gt;="&amp;B1804)=1,INDEX(Invoices!$B$6:$B$305,SUMIFS(Invoices!$O$6:$O$305,Invoices!$C$6:$C$305,C1804,Invoices!$E$6:$E$305,"&lt;="&amp;B1804,Invoices!$F$6:$F$305,"&gt;="&amp;B1804)),IF(COUNTIFS(Invoices!$C$6:$C$305,C1804,Invoices!$E$6:$E$305,"&lt;="&amp;B1804,Invoices!$F$6:$F$305,"&gt;="&amp;B1804)&gt;1,"Two invoices",""))))</f>
        <v/>
      </c>
      <c r="Q1804" s="15">
        <f>IF(B1804="","",IF(J1804&lt;&gt;"","Not billable",IF(P1804="","To invoice",IF(P1804="Two invoices","Check dates",IF(ISNA(MATCH(P1804,Invoices!$B$6:$B$305,0)),"Check number",IF(INDEX(Invoices!$M$6:$M$305,MATCH(P1804,Invoices!$B$6:$B$305,0))="Paid","Paid",IF(INDEX(Invoices!$M$6:$M$305,MATCH(P1804,Invoices!$B$6:$B$305,0))="Draft","Draft","Invoiced")))))))</f>
        <v/>
      </c>
      <c r="R1804" s="1">
        <f>IF(AND(B1804&lt;&gt;"",P1804&lt;&gt;"",P1804=Invoice!$G$4),B1804+MOD(N(F1804),1)+ROW()/10000000,"")</f>
        <v/>
      </c>
      <c r="S1804">
        <f>IF(R1804="","",IF(D1804="","Other work",D1804)&amp;IF(AND(K1804&lt;&gt;"",E1804&lt;&gt;""),", "&amp;E1804,""))</f>
        <v/>
      </c>
      <c r="T1804">
        <f>IF(R1804="","",IF(COUNTIFS(R$6:R1803,"&gt;0",S$6:S1803,S1804,N$6:N1803,N1804)=0,R1804,""))</f>
        <v/>
      </c>
      <c r="U1804">
        <f>IF(B1804="","",IF(J1804&lt;&gt;"",0,M1804))</f>
        <v/>
      </c>
    </row>
    <row r="1805">
      <c r="A1805" s="1" t="n"/>
      <c r="B1805" s="16" t="n"/>
      <c r="C1805" s="17" t="n"/>
      <c r="D1805" s="18" t="n"/>
      <c r="E1805" s="18" t="n"/>
      <c r="F1805" s="19" t="n"/>
      <c r="G1805" s="19" t="n"/>
      <c r="H1805" s="20" t="n"/>
      <c r="I1805" s="21" t="n"/>
      <c r="J1805" s="22" t="n"/>
      <c r="K1805" s="23" t="n"/>
      <c r="L1805" s="18" t="n"/>
      <c r="M1805" s="24">
        <f>IF(B1805="","",IF(AND(F1805&lt;&gt;"",G1805&lt;&gt;""),MAX(0,ROUND(MOD(G1805-F1805,1)*24-N(H1805)/60,2)),N(I1805)))</f>
        <v/>
      </c>
      <c r="N1805" s="14">
        <f>IF(B1805="","",IF(K1805&lt;&gt;"",K1805,IF(N(IFERROR(INDEX(Projects!$D$6:$D$65,MATCH(D1805,Projects!$B$6:$B$65,0)),""))&gt;0,IFERROR(INDEX(Projects!$D$6:$D$65,MATCH(D1805,Projects!$B$6:$B$65,0)),""),IFERROR(INDEX(Clients!$G$6:$G$45,MATCH(C1805,Clients!$B$6:$B$45,0)),0))))</f>
        <v/>
      </c>
      <c r="O1805" s="14">
        <f>IF(B1805="","",IF(J1805&lt;&gt;"",0,ROUND(M1805*N1805,2)))</f>
        <v/>
      </c>
      <c r="P1805" s="15">
        <f>IF(OR(B1805="",J1805&lt;&gt;""),"",IF(L1805&lt;&gt;"",L1805,IF(COUNTIFS(Invoices!$C$6:$C$305,C1805,Invoices!$E$6:$E$305,"&lt;="&amp;B1805,Invoices!$F$6:$F$305,"&gt;="&amp;B1805)=1,INDEX(Invoices!$B$6:$B$305,SUMIFS(Invoices!$O$6:$O$305,Invoices!$C$6:$C$305,C1805,Invoices!$E$6:$E$305,"&lt;="&amp;B1805,Invoices!$F$6:$F$305,"&gt;="&amp;B1805)),IF(COUNTIFS(Invoices!$C$6:$C$305,C1805,Invoices!$E$6:$E$305,"&lt;="&amp;B1805,Invoices!$F$6:$F$305,"&gt;="&amp;B1805)&gt;1,"Two invoices",""))))</f>
        <v/>
      </c>
      <c r="Q1805" s="15">
        <f>IF(B1805="","",IF(J1805&lt;&gt;"","Not billable",IF(P1805="","To invoice",IF(P1805="Two invoices","Check dates",IF(ISNA(MATCH(P1805,Invoices!$B$6:$B$305,0)),"Check number",IF(INDEX(Invoices!$M$6:$M$305,MATCH(P1805,Invoices!$B$6:$B$305,0))="Paid","Paid",IF(INDEX(Invoices!$M$6:$M$305,MATCH(P1805,Invoices!$B$6:$B$305,0))="Draft","Draft","Invoiced")))))))</f>
        <v/>
      </c>
      <c r="R1805" s="1">
        <f>IF(AND(B1805&lt;&gt;"",P1805&lt;&gt;"",P1805=Invoice!$G$4),B1805+MOD(N(F1805),1)+ROW()/10000000,"")</f>
        <v/>
      </c>
      <c r="S1805">
        <f>IF(R1805="","",IF(D1805="","Other work",D1805)&amp;IF(AND(K1805&lt;&gt;"",E1805&lt;&gt;""),", "&amp;E1805,""))</f>
        <v/>
      </c>
      <c r="T1805">
        <f>IF(R1805="","",IF(COUNTIFS(R$6:R1804,"&gt;0",S$6:S1804,S1805,N$6:N1804,N1805)=0,R1805,""))</f>
        <v/>
      </c>
      <c r="U1805">
        <f>IF(B1805="","",IF(J1805&lt;&gt;"",0,M1805))</f>
        <v/>
      </c>
    </row>
    <row r="1806">
      <c r="A1806" s="1" t="n"/>
      <c r="B1806" s="16" t="n"/>
      <c r="C1806" s="17" t="n"/>
      <c r="D1806" s="18" t="n"/>
      <c r="E1806" s="18" t="n"/>
      <c r="F1806" s="19" t="n"/>
      <c r="G1806" s="19" t="n"/>
      <c r="H1806" s="20" t="n"/>
      <c r="I1806" s="21" t="n"/>
      <c r="J1806" s="22" t="n"/>
      <c r="K1806" s="23" t="n"/>
      <c r="L1806" s="18" t="n"/>
      <c r="M1806" s="24">
        <f>IF(B1806="","",IF(AND(F1806&lt;&gt;"",G1806&lt;&gt;""),MAX(0,ROUND(MOD(G1806-F1806,1)*24-N(H1806)/60,2)),N(I1806)))</f>
        <v/>
      </c>
      <c r="N1806" s="14">
        <f>IF(B1806="","",IF(K1806&lt;&gt;"",K1806,IF(N(IFERROR(INDEX(Projects!$D$6:$D$65,MATCH(D1806,Projects!$B$6:$B$65,0)),""))&gt;0,IFERROR(INDEX(Projects!$D$6:$D$65,MATCH(D1806,Projects!$B$6:$B$65,0)),""),IFERROR(INDEX(Clients!$G$6:$G$45,MATCH(C1806,Clients!$B$6:$B$45,0)),0))))</f>
        <v/>
      </c>
      <c r="O1806" s="14">
        <f>IF(B1806="","",IF(J1806&lt;&gt;"",0,ROUND(M1806*N1806,2)))</f>
        <v/>
      </c>
      <c r="P1806" s="15">
        <f>IF(OR(B1806="",J1806&lt;&gt;""),"",IF(L1806&lt;&gt;"",L1806,IF(COUNTIFS(Invoices!$C$6:$C$305,C1806,Invoices!$E$6:$E$305,"&lt;="&amp;B1806,Invoices!$F$6:$F$305,"&gt;="&amp;B1806)=1,INDEX(Invoices!$B$6:$B$305,SUMIFS(Invoices!$O$6:$O$305,Invoices!$C$6:$C$305,C1806,Invoices!$E$6:$E$305,"&lt;="&amp;B1806,Invoices!$F$6:$F$305,"&gt;="&amp;B1806)),IF(COUNTIFS(Invoices!$C$6:$C$305,C1806,Invoices!$E$6:$E$305,"&lt;="&amp;B1806,Invoices!$F$6:$F$305,"&gt;="&amp;B1806)&gt;1,"Two invoices",""))))</f>
        <v/>
      </c>
      <c r="Q1806" s="15">
        <f>IF(B1806="","",IF(J1806&lt;&gt;"","Not billable",IF(P1806="","To invoice",IF(P1806="Two invoices","Check dates",IF(ISNA(MATCH(P1806,Invoices!$B$6:$B$305,0)),"Check number",IF(INDEX(Invoices!$M$6:$M$305,MATCH(P1806,Invoices!$B$6:$B$305,0))="Paid","Paid",IF(INDEX(Invoices!$M$6:$M$305,MATCH(P1806,Invoices!$B$6:$B$305,0))="Draft","Draft","Invoiced")))))))</f>
        <v/>
      </c>
      <c r="R1806" s="1">
        <f>IF(AND(B1806&lt;&gt;"",P1806&lt;&gt;"",P1806=Invoice!$G$4),B1806+MOD(N(F1806),1)+ROW()/10000000,"")</f>
        <v/>
      </c>
      <c r="S1806">
        <f>IF(R1806="","",IF(D1806="","Other work",D1806)&amp;IF(AND(K1806&lt;&gt;"",E1806&lt;&gt;""),", "&amp;E1806,""))</f>
        <v/>
      </c>
      <c r="T1806">
        <f>IF(R1806="","",IF(COUNTIFS(R$6:R1805,"&gt;0",S$6:S1805,S1806,N$6:N1805,N1806)=0,R1806,""))</f>
        <v/>
      </c>
      <c r="U1806">
        <f>IF(B1806="","",IF(J1806&lt;&gt;"",0,M1806))</f>
        <v/>
      </c>
    </row>
    <row r="1807">
      <c r="A1807" s="1" t="n"/>
      <c r="B1807" s="16" t="n"/>
      <c r="C1807" s="17" t="n"/>
      <c r="D1807" s="18" t="n"/>
      <c r="E1807" s="18" t="n"/>
      <c r="F1807" s="19" t="n"/>
      <c r="G1807" s="19" t="n"/>
      <c r="H1807" s="20" t="n"/>
      <c r="I1807" s="21" t="n"/>
      <c r="J1807" s="22" t="n"/>
      <c r="K1807" s="23" t="n"/>
      <c r="L1807" s="18" t="n"/>
      <c r="M1807" s="24">
        <f>IF(B1807="","",IF(AND(F1807&lt;&gt;"",G1807&lt;&gt;""),MAX(0,ROUND(MOD(G1807-F1807,1)*24-N(H1807)/60,2)),N(I1807)))</f>
        <v/>
      </c>
      <c r="N1807" s="14">
        <f>IF(B1807="","",IF(K1807&lt;&gt;"",K1807,IF(N(IFERROR(INDEX(Projects!$D$6:$D$65,MATCH(D1807,Projects!$B$6:$B$65,0)),""))&gt;0,IFERROR(INDEX(Projects!$D$6:$D$65,MATCH(D1807,Projects!$B$6:$B$65,0)),""),IFERROR(INDEX(Clients!$G$6:$G$45,MATCH(C1807,Clients!$B$6:$B$45,0)),0))))</f>
        <v/>
      </c>
      <c r="O1807" s="14">
        <f>IF(B1807="","",IF(J1807&lt;&gt;"",0,ROUND(M1807*N1807,2)))</f>
        <v/>
      </c>
      <c r="P1807" s="15">
        <f>IF(OR(B1807="",J1807&lt;&gt;""),"",IF(L1807&lt;&gt;"",L1807,IF(COUNTIFS(Invoices!$C$6:$C$305,C1807,Invoices!$E$6:$E$305,"&lt;="&amp;B1807,Invoices!$F$6:$F$305,"&gt;="&amp;B1807)=1,INDEX(Invoices!$B$6:$B$305,SUMIFS(Invoices!$O$6:$O$305,Invoices!$C$6:$C$305,C1807,Invoices!$E$6:$E$305,"&lt;="&amp;B1807,Invoices!$F$6:$F$305,"&gt;="&amp;B1807)),IF(COUNTIFS(Invoices!$C$6:$C$305,C1807,Invoices!$E$6:$E$305,"&lt;="&amp;B1807,Invoices!$F$6:$F$305,"&gt;="&amp;B1807)&gt;1,"Two invoices",""))))</f>
        <v/>
      </c>
      <c r="Q1807" s="15">
        <f>IF(B1807="","",IF(J1807&lt;&gt;"","Not billable",IF(P1807="","To invoice",IF(P1807="Two invoices","Check dates",IF(ISNA(MATCH(P1807,Invoices!$B$6:$B$305,0)),"Check number",IF(INDEX(Invoices!$M$6:$M$305,MATCH(P1807,Invoices!$B$6:$B$305,0))="Paid","Paid",IF(INDEX(Invoices!$M$6:$M$305,MATCH(P1807,Invoices!$B$6:$B$305,0))="Draft","Draft","Invoiced")))))))</f>
        <v/>
      </c>
      <c r="R1807" s="1">
        <f>IF(AND(B1807&lt;&gt;"",P1807&lt;&gt;"",P1807=Invoice!$G$4),B1807+MOD(N(F1807),1)+ROW()/10000000,"")</f>
        <v/>
      </c>
      <c r="S1807">
        <f>IF(R1807="","",IF(D1807="","Other work",D1807)&amp;IF(AND(K1807&lt;&gt;"",E1807&lt;&gt;""),", "&amp;E1807,""))</f>
        <v/>
      </c>
      <c r="T1807">
        <f>IF(R1807="","",IF(COUNTIFS(R$6:R1806,"&gt;0",S$6:S1806,S1807,N$6:N1806,N1807)=0,R1807,""))</f>
        <v/>
      </c>
      <c r="U1807">
        <f>IF(B1807="","",IF(J1807&lt;&gt;"",0,M1807))</f>
        <v/>
      </c>
    </row>
    <row r="1808">
      <c r="A1808" s="1" t="n"/>
      <c r="B1808" s="16" t="n"/>
      <c r="C1808" s="17" t="n"/>
      <c r="D1808" s="18" t="n"/>
      <c r="E1808" s="18" t="n"/>
      <c r="F1808" s="19" t="n"/>
      <c r="G1808" s="19" t="n"/>
      <c r="H1808" s="20" t="n"/>
      <c r="I1808" s="21" t="n"/>
      <c r="J1808" s="22" t="n"/>
      <c r="K1808" s="23" t="n"/>
      <c r="L1808" s="18" t="n"/>
      <c r="M1808" s="24">
        <f>IF(B1808="","",IF(AND(F1808&lt;&gt;"",G1808&lt;&gt;""),MAX(0,ROUND(MOD(G1808-F1808,1)*24-N(H1808)/60,2)),N(I1808)))</f>
        <v/>
      </c>
      <c r="N1808" s="14">
        <f>IF(B1808="","",IF(K1808&lt;&gt;"",K1808,IF(N(IFERROR(INDEX(Projects!$D$6:$D$65,MATCH(D1808,Projects!$B$6:$B$65,0)),""))&gt;0,IFERROR(INDEX(Projects!$D$6:$D$65,MATCH(D1808,Projects!$B$6:$B$65,0)),""),IFERROR(INDEX(Clients!$G$6:$G$45,MATCH(C1808,Clients!$B$6:$B$45,0)),0))))</f>
        <v/>
      </c>
      <c r="O1808" s="14">
        <f>IF(B1808="","",IF(J1808&lt;&gt;"",0,ROUND(M1808*N1808,2)))</f>
        <v/>
      </c>
      <c r="P1808" s="15">
        <f>IF(OR(B1808="",J1808&lt;&gt;""),"",IF(L1808&lt;&gt;"",L1808,IF(COUNTIFS(Invoices!$C$6:$C$305,C1808,Invoices!$E$6:$E$305,"&lt;="&amp;B1808,Invoices!$F$6:$F$305,"&gt;="&amp;B1808)=1,INDEX(Invoices!$B$6:$B$305,SUMIFS(Invoices!$O$6:$O$305,Invoices!$C$6:$C$305,C1808,Invoices!$E$6:$E$305,"&lt;="&amp;B1808,Invoices!$F$6:$F$305,"&gt;="&amp;B1808)),IF(COUNTIFS(Invoices!$C$6:$C$305,C1808,Invoices!$E$6:$E$305,"&lt;="&amp;B1808,Invoices!$F$6:$F$305,"&gt;="&amp;B1808)&gt;1,"Two invoices",""))))</f>
        <v/>
      </c>
      <c r="Q1808" s="15">
        <f>IF(B1808="","",IF(J1808&lt;&gt;"","Not billable",IF(P1808="","To invoice",IF(P1808="Two invoices","Check dates",IF(ISNA(MATCH(P1808,Invoices!$B$6:$B$305,0)),"Check number",IF(INDEX(Invoices!$M$6:$M$305,MATCH(P1808,Invoices!$B$6:$B$305,0))="Paid","Paid",IF(INDEX(Invoices!$M$6:$M$305,MATCH(P1808,Invoices!$B$6:$B$305,0))="Draft","Draft","Invoiced")))))))</f>
        <v/>
      </c>
      <c r="R1808" s="1">
        <f>IF(AND(B1808&lt;&gt;"",P1808&lt;&gt;"",P1808=Invoice!$G$4),B1808+MOD(N(F1808),1)+ROW()/10000000,"")</f>
        <v/>
      </c>
      <c r="S1808">
        <f>IF(R1808="","",IF(D1808="","Other work",D1808)&amp;IF(AND(K1808&lt;&gt;"",E1808&lt;&gt;""),", "&amp;E1808,""))</f>
        <v/>
      </c>
      <c r="T1808">
        <f>IF(R1808="","",IF(COUNTIFS(R$6:R1807,"&gt;0",S$6:S1807,S1808,N$6:N1807,N1808)=0,R1808,""))</f>
        <v/>
      </c>
      <c r="U1808">
        <f>IF(B1808="","",IF(J1808&lt;&gt;"",0,M1808))</f>
        <v/>
      </c>
    </row>
    <row r="1809">
      <c r="A1809" s="1" t="n"/>
      <c r="B1809" s="16" t="n"/>
      <c r="C1809" s="17" t="n"/>
      <c r="D1809" s="18" t="n"/>
      <c r="E1809" s="18" t="n"/>
      <c r="F1809" s="19" t="n"/>
      <c r="G1809" s="19" t="n"/>
      <c r="H1809" s="20" t="n"/>
      <c r="I1809" s="21" t="n"/>
      <c r="J1809" s="22" t="n"/>
      <c r="K1809" s="23" t="n"/>
      <c r="L1809" s="18" t="n"/>
      <c r="M1809" s="24">
        <f>IF(B1809="","",IF(AND(F1809&lt;&gt;"",G1809&lt;&gt;""),MAX(0,ROUND(MOD(G1809-F1809,1)*24-N(H1809)/60,2)),N(I1809)))</f>
        <v/>
      </c>
      <c r="N1809" s="14">
        <f>IF(B1809="","",IF(K1809&lt;&gt;"",K1809,IF(N(IFERROR(INDEX(Projects!$D$6:$D$65,MATCH(D1809,Projects!$B$6:$B$65,0)),""))&gt;0,IFERROR(INDEX(Projects!$D$6:$D$65,MATCH(D1809,Projects!$B$6:$B$65,0)),""),IFERROR(INDEX(Clients!$G$6:$G$45,MATCH(C1809,Clients!$B$6:$B$45,0)),0))))</f>
        <v/>
      </c>
      <c r="O1809" s="14">
        <f>IF(B1809="","",IF(J1809&lt;&gt;"",0,ROUND(M1809*N1809,2)))</f>
        <v/>
      </c>
      <c r="P1809" s="15">
        <f>IF(OR(B1809="",J1809&lt;&gt;""),"",IF(L1809&lt;&gt;"",L1809,IF(COUNTIFS(Invoices!$C$6:$C$305,C1809,Invoices!$E$6:$E$305,"&lt;="&amp;B1809,Invoices!$F$6:$F$305,"&gt;="&amp;B1809)=1,INDEX(Invoices!$B$6:$B$305,SUMIFS(Invoices!$O$6:$O$305,Invoices!$C$6:$C$305,C1809,Invoices!$E$6:$E$305,"&lt;="&amp;B1809,Invoices!$F$6:$F$305,"&gt;="&amp;B1809)),IF(COUNTIFS(Invoices!$C$6:$C$305,C1809,Invoices!$E$6:$E$305,"&lt;="&amp;B1809,Invoices!$F$6:$F$305,"&gt;="&amp;B1809)&gt;1,"Two invoices",""))))</f>
        <v/>
      </c>
      <c r="Q1809" s="15">
        <f>IF(B1809="","",IF(J1809&lt;&gt;"","Not billable",IF(P1809="","To invoice",IF(P1809="Two invoices","Check dates",IF(ISNA(MATCH(P1809,Invoices!$B$6:$B$305,0)),"Check number",IF(INDEX(Invoices!$M$6:$M$305,MATCH(P1809,Invoices!$B$6:$B$305,0))="Paid","Paid",IF(INDEX(Invoices!$M$6:$M$305,MATCH(P1809,Invoices!$B$6:$B$305,0))="Draft","Draft","Invoiced")))))))</f>
        <v/>
      </c>
      <c r="R1809" s="1">
        <f>IF(AND(B1809&lt;&gt;"",P1809&lt;&gt;"",P1809=Invoice!$G$4),B1809+MOD(N(F1809),1)+ROW()/10000000,"")</f>
        <v/>
      </c>
      <c r="S1809">
        <f>IF(R1809="","",IF(D1809="","Other work",D1809)&amp;IF(AND(K1809&lt;&gt;"",E1809&lt;&gt;""),", "&amp;E1809,""))</f>
        <v/>
      </c>
      <c r="T1809">
        <f>IF(R1809="","",IF(COUNTIFS(R$6:R1808,"&gt;0",S$6:S1808,S1809,N$6:N1808,N1809)=0,R1809,""))</f>
        <v/>
      </c>
      <c r="U1809">
        <f>IF(B1809="","",IF(J1809&lt;&gt;"",0,M1809))</f>
        <v/>
      </c>
    </row>
    <row r="1810">
      <c r="A1810" s="1" t="n"/>
      <c r="B1810" s="16" t="n"/>
      <c r="C1810" s="17" t="n"/>
      <c r="D1810" s="18" t="n"/>
      <c r="E1810" s="18" t="n"/>
      <c r="F1810" s="19" t="n"/>
      <c r="G1810" s="19" t="n"/>
      <c r="H1810" s="20" t="n"/>
      <c r="I1810" s="21" t="n"/>
      <c r="J1810" s="22" t="n"/>
      <c r="K1810" s="23" t="n"/>
      <c r="L1810" s="18" t="n"/>
      <c r="M1810" s="24">
        <f>IF(B1810="","",IF(AND(F1810&lt;&gt;"",G1810&lt;&gt;""),MAX(0,ROUND(MOD(G1810-F1810,1)*24-N(H1810)/60,2)),N(I1810)))</f>
        <v/>
      </c>
      <c r="N1810" s="14">
        <f>IF(B1810="","",IF(K1810&lt;&gt;"",K1810,IF(N(IFERROR(INDEX(Projects!$D$6:$D$65,MATCH(D1810,Projects!$B$6:$B$65,0)),""))&gt;0,IFERROR(INDEX(Projects!$D$6:$D$65,MATCH(D1810,Projects!$B$6:$B$65,0)),""),IFERROR(INDEX(Clients!$G$6:$G$45,MATCH(C1810,Clients!$B$6:$B$45,0)),0))))</f>
        <v/>
      </c>
      <c r="O1810" s="14">
        <f>IF(B1810="","",IF(J1810&lt;&gt;"",0,ROUND(M1810*N1810,2)))</f>
        <v/>
      </c>
      <c r="P1810" s="15">
        <f>IF(OR(B1810="",J1810&lt;&gt;""),"",IF(L1810&lt;&gt;"",L1810,IF(COUNTIFS(Invoices!$C$6:$C$305,C1810,Invoices!$E$6:$E$305,"&lt;="&amp;B1810,Invoices!$F$6:$F$305,"&gt;="&amp;B1810)=1,INDEX(Invoices!$B$6:$B$305,SUMIFS(Invoices!$O$6:$O$305,Invoices!$C$6:$C$305,C1810,Invoices!$E$6:$E$305,"&lt;="&amp;B1810,Invoices!$F$6:$F$305,"&gt;="&amp;B1810)),IF(COUNTIFS(Invoices!$C$6:$C$305,C1810,Invoices!$E$6:$E$305,"&lt;="&amp;B1810,Invoices!$F$6:$F$305,"&gt;="&amp;B1810)&gt;1,"Two invoices",""))))</f>
        <v/>
      </c>
      <c r="Q1810" s="15">
        <f>IF(B1810="","",IF(J1810&lt;&gt;"","Not billable",IF(P1810="","To invoice",IF(P1810="Two invoices","Check dates",IF(ISNA(MATCH(P1810,Invoices!$B$6:$B$305,0)),"Check number",IF(INDEX(Invoices!$M$6:$M$305,MATCH(P1810,Invoices!$B$6:$B$305,0))="Paid","Paid",IF(INDEX(Invoices!$M$6:$M$305,MATCH(P1810,Invoices!$B$6:$B$305,0))="Draft","Draft","Invoiced")))))))</f>
        <v/>
      </c>
      <c r="R1810" s="1">
        <f>IF(AND(B1810&lt;&gt;"",P1810&lt;&gt;"",P1810=Invoice!$G$4),B1810+MOD(N(F1810),1)+ROW()/10000000,"")</f>
        <v/>
      </c>
      <c r="S1810">
        <f>IF(R1810="","",IF(D1810="","Other work",D1810)&amp;IF(AND(K1810&lt;&gt;"",E1810&lt;&gt;""),", "&amp;E1810,""))</f>
        <v/>
      </c>
      <c r="T1810">
        <f>IF(R1810="","",IF(COUNTIFS(R$6:R1809,"&gt;0",S$6:S1809,S1810,N$6:N1809,N1810)=0,R1810,""))</f>
        <v/>
      </c>
      <c r="U1810">
        <f>IF(B1810="","",IF(J1810&lt;&gt;"",0,M1810))</f>
        <v/>
      </c>
    </row>
    <row r="1811">
      <c r="A1811" s="1" t="n"/>
      <c r="B1811" s="16" t="n"/>
      <c r="C1811" s="17" t="n"/>
      <c r="D1811" s="18" t="n"/>
      <c r="E1811" s="18" t="n"/>
      <c r="F1811" s="19" t="n"/>
      <c r="G1811" s="19" t="n"/>
      <c r="H1811" s="20" t="n"/>
      <c r="I1811" s="21" t="n"/>
      <c r="J1811" s="22" t="n"/>
      <c r="K1811" s="23" t="n"/>
      <c r="L1811" s="18" t="n"/>
      <c r="M1811" s="24">
        <f>IF(B1811="","",IF(AND(F1811&lt;&gt;"",G1811&lt;&gt;""),MAX(0,ROUND(MOD(G1811-F1811,1)*24-N(H1811)/60,2)),N(I1811)))</f>
        <v/>
      </c>
      <c r="N1811" s="14">
        <f>IF(B1811="","",IF(K1811&lt;&gt;"",K1811,IF(N(IFERROR(INDEX(Projects!$D$6:$D$65,MATCH(D1811,Projects!$B$6:$B$65,0)),""))&gt;0,IFERROR(INDEX(Projects!$D$6:$D$65,MATCH(D1811,Projects!$B$6:$B$65,0)),""),IFERROR(INDEX(Clients!$G$6:$G$45,MATCH(C1811,Clients!$B$6:$B$45,0)),0))))</f>
        <v/>
      </c>
      <c r="O1811" s="14">
        <f>IF(B1811="","",IF(J1811&lt;&gt;"",0,ROUND(M1811*N1811,2)))</f>
        <v/>
      </c>
      <c r="P1811" s="15">
        <f>IF(OR(B1811="",J1811&lt;&gt;""),"",IF(L1811&lt;&gt;"",L1811,IF(COUNTIFS(Invoices!$C$6:$C$305,C1811,Invoices!$E$6:$E$305,"&lt;="&amp;B1811,Invoices!$F$6:$F$305,"&gt;="&amp;B1811)=1,INDEX(Invoices!$B$6:$B$305,SUMIFS(Invoices!$O$6:$O$305,Invoices!$C$6:$C$305,C1811,Invoices!$E$6:$E$305,"&lt;="&amp;B1811,Invoices!$F$6:$F$305,"&gt;="&amp;B1811)),IF(COUNTIFS(Invoices!$C$6:$C$305,C1811,Invoices!$E$6:$E$305,"&lt;="&amp;B1811,Invoices!$F$6:$F$305,"&gt;="&amp;B1811)&gt;1,"Two invoices",""))))</f>
        <v/>
      </c>
      <c r="Q1811" s="15">
        <f>IF(B1811="","",IF(J1811&lt;&gt;"","Not billable",IF(P1811="","To invoice",IF(P1811="Two invoices","Check dates",IF(ISNA(MATCH(P1811,Invoices!$B$6:$B$305,0)),"Check number",IF(INDEX(Invoices!$M$6:$M$305,MATCH(P1811,Invoices!$B$6:$B$305,0))="Paid","Paid",IF(INDEX(Invoices!$M$6:$M$305,MATCH(P1811,Invoices!$B$6:$B$305,0))="Draft","Draft","Invoiced")))))))</f>
        <v/>
      </c>
      <c r="R1811" s="1">
        <f>IF(AND(B1811&lt;&gt;"",P1811&lt;&gt;"",P1811=Invoice!$G$4),B1811+MOD(N(F1811),1)+ROW()/10000000,"")</f>
        <v/>
      </c>
      <c r="S1811">
        <f>IF(R1811="","",IF(D1811="","Other work",D1811)&amp;IF(AND(K1811&lt;&gt;"",E1811&lt;&gt;""),", "&amp;E1811,""))</f>
        <v/>
      </c>
      <c r="T1811">
        <f>IF(R1811="","",IF(COUNTIFS(R$6:R1810,"&gt;0",S$6:S1810,S1811,N$6:N1810,N1811)=0,R1811,""))</f>
        <v/>
      </c>
      <c r="U1811">
        <f>IF(B1811="","",IF(J1811&lt;&gt;"",0,M1811))</f>
        <v/>
      </c>
    </row>
    <row r="1812">
      <c r="A1812" s="1" t="n"/>
      <c r="B1812" s="16" t="n"/>
      <c r="C1812" s="17" t="n"/>
      <c r="D1812" s="18" t="n"/>
      <c r="E1812" s="18" t="n"/>
      <c r="F1812" s="19" t="n"/>
      <c r="G1812" s="19" t="n"/>
      <c r="H1812" s="20" t="n"/>
      <c r="I1812" s="21" t="n"/>
      <c r="J1812" s="22" t="n"/>
      <c r="K1812" s="23" t="n"/>
      <c r="L1812" s="18" t="n"/>
      <c r="M1812" s="24">
        <f>IF(B1812="","",IF(AND(F1812&lt;&gt;"",G1812&lt;&gt;""),MAX(0,ROUND(MOD(G1812-F1812,1)*24-N(H1812)/60,2)),N(I1812)))</f>
        <v/>
      </c>
      <c r="N1812" s="14">
        <f>IF(B1812="","",IF(K1812&lt;&gt;"",K1812,IF(N(IFERROR(INDEX(Projects!$D$6:$D$65,MATCH(D1812,Projects!$B$6:$B$65,0)),""))&gt;0,IFERROR(INDEX(Projects!$D$6:$D$65,MATCH(D1812,Projects!$B$6:$B$65,0)),""),IFERROR(INDEX(Clients!$G$6:$G$45,MATCH(C1812,Clients!$B$6:$B$45,0)),0))))</f>
        <v/>
      </c>
      <c r="O1812" s="14">
        <f>IF(B1812="","",IF(J1812&lt;&gt;"",0,ROUND(M1812*N1812,2)))</f>
        <v/>
      </c>
      <c r="P1812" s="15">
        <f>IF(OR(B1812="",J1812&lt;&gt;""),"",IF(L1812&lt;&gt;"",L1812,IF(COUNTIFS(Invoices!$C$6:$C$305,C1812,Invoices!$E$6:$E$305,"&lt;="&amp;B1812,Invoices!$F$6:$F$305,"&gt;="&amp;B1812)=1,INDEX(Invoices!$B$6:$B$305,SUMIFS(Invoices!$O$6:$O$305,Invoices!$C$6:$C$305,C1812,Invoices!$E$6:$E$305,"&lt;="&amp;B1812,Invoices!$F$6:$F$305,"&gt;="&amp;B1812)),IF(COUNTIFS(Invoices!$C$6:$C$305,C1812,Invoices!$E$6:$E$305,"&lt;="&amp;B1812,Invoices!$F$6:$F$305,"&gt;="&amp;B1812)&gt;1,"Two invoices",""))))</f>
        <v/>
      </c>
      <c r="Q1812" s="15">
        <f>IF(B1812="","",IF(J1812&lt;&gt;"","Not billable",IF(P1812="","To invoice",IF(P1812="Two invoices","Check dates",IF(ISNA(MATCH(P1812,Invoices!$B$6:$B$305,0)),"Check number",IF(INDEX(Invoices!$M$6:$M$305,MATCH(P1812,Invoices!$B$6:$B$305,0))="Paid","Paid",IF(INDEX(Invoices!$M$6:$M$305,MATCH(P1812,Invoices!$B$6:$B$305,0))="Draft","Draft","Invoiced")))))))</f>
        <v/>
      </c>
      <c r="R1812" s="1">
        <f>IF(AND(B1812&lt;&gt;"",P1812&lt;&gt;"",P1812=Invoice!$G$4),B1812+MOD(N(F1812),1)+ROW()/10000000,"")</f>
        <v/>
      </c>
      <c r="S1812">
        <f>IF(R1812="","",IF(D1812="","Other work",D1812)&amp;IF(AND(K1812&lt;&gt;"",E1812&lt;&gt;""),", "&amp;E1812,""))</f>
        <v/>
      </c>
      <c r="T1812">
        <f>IF(R1812="","",IF(COUNTIFS(R$6:R1811,"&gt;0",S$6:S1811,S1812,N$6:N1811,N1812)=0,R1812,""))</f>
        <v/>
      </c>
      <c r="U1812">
        <f>IF(B1812="","",IF(J1812&lt;&gt;"",0,M1812))</f>
        <v/>
      </c>
    </row>
    <row r="1813">
      <c r="A1813" s="1" t="n"/>
      <c r="B1813" s="16" t="n"/>
      <c r="C1813" s="17" t="n"/>
      <c r="D1813" s="18" t="n"/>
      <c r="E1813" s="18" t="n"/>
      <c r="F1813" s="19" t="n"/>
      <c r="G1813" s="19" t="n"/>
      <c r="H1813" s="20" t="n"/>
      <c r="I1813" s="21" t="n"/>
      <c r="J1813" s="22" t="n"/>
      <c r="K1813" s="23" t="n"/>
      <c r="L1813" s="18" t="n"/>
      <c r="M1813" s="24">
        <f>IF(B1813="","",IF(AND(F1813&lt;&gt;"",G1813&lt;&gt;""),MAX(0,ROUND(MOD(G1813-F1813,1)*24-N(H1813)/60,2)),N(I1813)))</f>
        <v/>
      </c>
      <c r="N1813" s="14">
        <f>IF(B1813="","",IF(K1813&lt;&gt;"",K1813,IF(N(IFERROR(INDEX(Projects!$D$6:$D$65,MATCH(D1813,Projects!$B$6:$B$65,0)),""))&gt;0,IFERROR(INDEX(Projects!$D$6:$D$65,MATCH(D1813,Projects!$B$6:$B$65,0)),""),IFERROR(INDEX(Clients!$G$6:$G$45,MATCH(C1813,Clients!$B$6:$B$45,0)),0))))</f>
        <v/>
      </c>
      <c r="O1813" s="14">
        <f>IF(B1813="","",IF(J1813&lt;&gt;"",0,ROUND(M1813*N1813,2)))</f>
        <v/>
      </c>
      <c r="P1813" s="15">
        <f>IF(OR(B1813="",J1813&lt;&gt;""),"",IF(L1813&lt;&gt;"",L1813,IF(COUNTIFS(Invoices!$C$6:$C$305,C1813,Invoices!$E$6:$E$305,"&lt;="&amp;B1813,Invoices!$F$6:$F$305,"&gt;="&amp;B1813)=1,INDEX(Invoices!$B$6:$B$305,SUMIFS(Invoices!$O$6:$O$305,Invoices!$C$6:$C$305,C1813,Invoices!$E$6:$E$305,"&lt;="&amp;B1813,Invoices!$F$6:$F$305,"&gt;="&amp;B1813)),IF(COUNTIFS(Invoices!$C$6:$C$305,C1813,Invoices!$E$6:$E$305,"&lt;="&amp;B1813,Invoices!$F$6:$F$305,"&gt;="&amp;B1813)&gt;1,"Two invoices",""))))</f>
        <v/>
      </c>
      <c r="Q1813" s="15">
        <f>IF(B1813="","",IF(J1813&lt;&gt;"","Not billable",IF(P1813="","To invoice",IF(P1813="Two invoices","Check dates",IF(ISNA(MATCH(P1813,Invoices!$B$6:$B$305,0)),"Check number",IF(INDEX(Invoices!$M$6:$M$305,MATCH(P1813,Invoices!$B$6:$B$305,0))="Paid","Paid",IF(INDEX(Invoices!$M$6:$M$305,MATCH(P1813,Invoices!$B$6:$B$305,0))="Draft","Draft","Invoiced")))))))</f>
        <v/>
      </c>
      <c r="R1813" s="1">
        <f>IF(AND(B1813&lt;&gt;"",P1813&lt;&gt;"",P1813=Invoice!$G$4),B1813+MOD(N(F1813),1)+ROW()/10000000,"")</f>
        <v/>
      </c>
      <c r="S1813">
        <f>IF(R1813="","",IF(D1813="","Other work",D1813)&amp;IF(AND(K1813&lt;&gt;"",E1813&lt;&gt;""),", "&amp;E1813,""))</f>
        <v/>
      </c>
      <c r="T1813">
        <f>IF(R1813="","",IF(COUNTIFS(R$6:R1812,"&gt;0",S$6:S1812,S1813,N$6:N1812,N1813)=0,R1813,""))</f>
        <v/>
      </c>
      <c r="U1813">
        <f>IF(B1813="","",IF(J1813&lt;&gt;"",0,M1813))</f>
        <v/>
      </c>
    </row>
    <row r="1814">
      <c r="A1814" s="1" t="n"/>
      <c r="B1814" s="16" t="n"/>
      <c r="C1814" s="17" t="n"/>
      <c r="D1814" s="18" t="n"/>
      <c r="E1814" s="18" t="n"/>
      <c r="F1814" s="19" t="n"/>
      <c r="G1814" s="19" t="n"/>
      <c r="H1814" s="20" t="n"/>
      <c r="I1814" s="21" t="n"/>
      <c r="J1814" s="22" t="n"/>
      <c r="K1814" s="23" t="n"/>
      <c r="L1814" s="18" t="n"/>
      <c r="M1814" s="24">
        <f>IF(B1814="","",IF(AND(F1814&lt;&gt;"",G1814&lt;&gt;""),MAX(0,ROUND(MOD(G1814-F1814,1)*24-N(H1814)/60,2)),N(I1814)))</f>
        <v/>
      </c>
      <c r="N1814" s="14">
        <f>IF(B1814="","",IF(K1814&lt;&gt;"",K1814,IF(N(IFERROR(INDEX(Projects!$D$6:$D$65,MATCH(D1814,Projects!$B$6:$B$65,0)),""))&gt;0,IFERROR(INDEX(Projects!$D$6:$D$65,MATCH(D1814,Projects!$B$6:$B$65,0)),""),IFERROR(INDEX(Clients!$G$6:$G$45,MATCH(C1814,Clients!$B$6:$B$45,0)),0))))</f>
        <v/>
      </c>
      <c r="O1814" s="14">
        <f>IF(B1814="","",IF(J1814&lt;&gt;"",0,ROUND(M1814*N1814,2)))</f>
        <v/>
      </c>
      <c r="P1814" s="15">
        <f>IF(OR(B1814="",J1814&lt;&gt;""),"",IF(L1814&lt;&gt;"",L1814,IF(COUNTIFS(Invoices!$C$6:$C$305,C1814,Invoices!$E$6:$E$305,"&lt;="&amp;B1814,Invoices!$F$6:$F$305,"&gt;="&amp;B1814)=1,INDEX(Invoices!$B$6:$B$305,SUMIFS(Invoices!$O$6:$O$305,Invoices!$C$6:$C$305,C1814,Invoices!$E$6:$E$305,"&lt;="&amp;B1814,Invoices!$F$6:$F$305,"&gt;="&amp;B1814)),IF(COUNTIFS(Invoices!$C$6:$C$305,C1814,Invoices!$E$6:$E$305,"&lt;="&amp;B1814,Invoices!$F$6:$F$305,"&gt;="&amp;B1814)&gt;1,"Two invoices",""))))</f>
        <v/>
      </c>
      <c r="Q1814" s="15">
        <f>IF(B1814="","",IF(J1814&lt;&gt;"","Not billable",IF(P1814="","To invoice",IF(P1814="Two invoices","Check dates",IF(ISNA(MATCH(P1814,Invoices!$B$6:$B$305,0)),"Check number",IF(INDEX(Invoices!$M$6:$M$305,MATCH(P1814,Invoices!$B$6:$B$305,0))="Paid","Paid",IF(INDEX(Invoices!$M$6:$M$305,MATCH(P1814,Invoices!$B$6:$B$305,0))="Draft","Draft","Invoiced")))))))</f>
        <v/>
      </c>
      <c r="R1814" s="1">
        <f>IF(AND(B1814&lt;&gt;"",P1814&lt;&gt;"",P1814=Invoice!$G$4),B1814+MOD(N(F1814),1)+ROW()/10000000,"")</f>
        <v/>
      </c>
      <c r="S1814">
        <f>IF(R1814="","",IF(D1814="","Other work",D1814)&amp;IF(AND(K1814&lt;&gt;"",E1814&lt;&gt;""),", "&amp;E1814,""))</f>
        <v/>
      </c>
      <c r="T1814">
        <f>IF(R1814="","",IF(COUNTIFS(R$6:R1813,"&gt;0",S$6:S1813,S1814,N$6:N1813,N1814)=0,R1814,""))</f>
        <v/>
      </c>
      <c r="U1814">
        <f>IF(B1814="","",IF(J1814&lt;&gt;"",0,M1814))</f>
        <v/>
      </c>
    </row>
    <row r="1815">
      <c r="A1815" s="1" t="n"/>
      <c r="B1815" s="16" t="n"/>
      <c r="C1815" s="17" t="n"/>
      <c r="D1815" s="18" t="n"/>
      <c r="E1815" s="18" t="n"/>
      <c r="F1815" s="19" t="n"/>
      <c r="G1815" s="19" t="n"/>
      <c r="H1815" s="20" t="n"/>
      <c r="I1815" s="21" t="n"/>
      <c r="J1815" s="22" t="n"/>
      <c r="K1815" s="23" t="n"/>
      <c r="L1815" s="18" t="n"/>
      <c r="M1815" s="24">
        <f>IF(B1815="","",IF(AND(F1815&lt;&gt;"",G1815&lt;&gt;""),MAX(0,ROUND(MOD(G1815-F1815,1)*24-N(H1815)/60,2)),N(I1815)))</f>
        <v/>
      </c>
      <c r="N1815" s="14">
        <f>IF(B1815="","",IF(K1815&lt;&gt;"",K1815,IF(N(IFERROR(INDEX(Projects!$D$6:$D$65,MATCH(D1815,Projects!$B$6:$B$65,0)),""))&gt;0,IFERROR(INDEX(Projects!$D$6:$D$65,MATCH(D1815,Projects!$B$6:$B$65,0)),""),IFERROR(INDEX(Clients!$G$6:$G$45,MATCH(C1815,Clients!$B$6:$B$45,0)),0))))</f>
        <v/>
      </c>
      <c r="O1815" s="14">
        <f>IF(B1815="","",IF(J1815&lt;&gt;"",0,ROUND(M1815*N1815,2)))</f>
        <v/>
      </c>
      <c r="P1815" s="15">
        <f>IF(OR(B1815="",J1815&lt;&gt;""),"",IF(L1815&lt;&gt;"",L1815,IF(COUNTIFS(Invoices!$C$6:$C$305,C1815,Invoices!$E$6:$E$305,"&lt;="&amp;B1815,Invoices!$F$6:$F$305,"&gt;="&amp;B1815)=1,INDEX(Invoices!$B$6:$B$305,SUMIFS(Invoices!$O$6:$O$305,Invoices!$C$6:$C$305,C1815,Invoices!$E$6:$E$305,"&lt;="&amp;B1815,Invoices!$F$6:$F$305,"&gt;="&amp;B1815)),IF(COUNTIFS(Invoices!$C$6:$C$305,C1815,Invoices!$E$6:$E$305,"&lt;="&amp;B1815,Invoices!$F$6:$F$305,"&gt;="&amp;B1815)&gt;1,"Two invoices",""))))</f>
        <v/>
      </c>
      <c r="Q1815" s="15">
        <f>IF(B1815="","",IF(J1815&lt;&gt;"","Not billable",IF(P1815="","To invoice",IF(P1815="Two invoices","Check dates",IF(ISNA(MATCH(P1815,Invoices!$B$6:$B$305,0)),"Check number",IF(INDEX(Invoices!$M$6:$M$305,MATCH(P1815,Invoices!$B$6:$B$305,0))="Paid","Paid",IF(INDEX(Invoices!$M$6:$M$305,MATCH(P1815,Invoices!$B$6:$B$305,0))="Draft","Draft","Invoiced")))))))</f>
        <v/>
      </c>
      <c r="R1815" s="1">
        <f>IF(AND(B1815&lt;&gt;"",P1815&lt;&gt;"",P1815=Invoice!$G$4),B1815+MOD(N(F1815),1)+ROW()/10000000,"")</f>
        <v/>
      </c>
      <c r="S1815">
        <f>IF(R1815="","",IF(D1815="","Other work",D1815)&amp;IF(AND(K1815&lt;&gt;"",E1815&lt;&gt;""),", "&amp;E1815,""))</f>
        <v/>
      </c>
      <c r="T1815">
        <f>IF(R1815="","",IF(COUNTIFS(R$6:R1814,"&gt;0",S$6:S1814,S1815,N$6:N1814,N1815)=0,R1815,""))</f>
        <v/>
      </c>
      <c r="U1815">
        <f>IF(B1815="","",IF(J1815&lt;&gt;"",0,M1815))</f>
        <v/>
      </c>
    </row>
    <row r="1816">
      <c r="A1816" s="1" t="n"/>
      <c r="B1816" s="16" t="n"/>
      <c r="C1816" s="17" t="n"/>
      <c r="D1816" s="18" t="n"/>
      <c r="E1816" s="18" t="n"/>
      <c r="F1816" s="19" t="n"/>
      <c r="G1816" s="19" t="n"/>
      <c r="H1816" s="20" t="n"/>
      <c r="I1816" s="21" t="n"/>
      <c r="J1816" s="22" t="n"/>
      <c r="K1816" s="23" t="n"/>
      <c r="L1816" s="18" t="n"/>
      <c r="M1816" s="24">
        <f>IF(B1816="","",IF(AND(F1816&lt;&gt;"",G1816&lt;&gt;""),MAX(0,ROUND(MOD(G1816-F1816,1)*24-N(H1816)/60,2)),N(I1816)))</f>
        <v/>
      </c>
      <c r="N1816" s="14">
        <f>IF(B1816="","",IF(K1816&lt;&gt;"",K1816,IF(N(IFERROR(INDEX(Projects!$D$6:$D$65,MATCH(D1816,Projects!$B$6:$B$65,0)),""))&gt;0,IFERROR(INDEX(Projects!$D$6:$D$65,MATCH(D1816,Projects!$B$6:$B$65,0)),""),IFERROR(INDEX(Clients!$G$6:$G$45,MATCH(C1816,Clients!$B$6:$B$45,0)),0))))</f>
        <v/>
      </c>
      <c r="O1816" s="14">
        <f>IF(B1816="","",IF(J1816&lt;&gt;"",0,ROUND(M1816*N1816,2)))</f>
        <v/>
      </c>
      <c r="P1816" s="15">
        <f>IF(OR(B1816="",J1816&lt;&gt;""),"",IF(L1816&lt;&gt;"",L1816,IF(COUNTIFS(Invoices!$C$6:$C$305,C1816,Invoices!$E$6:$E$305,"&lt;="&amp;B1816,Invoices!$F$6:$F$305,"&gt;="&amp;B1816)=1,INDEX(Invoices!$B$6:$B$305,SUMIFS(Invoices!$O$6:$O$305,Invoices!$C$6:$C$305,C1816,Invoices!$E$6:$E$305,"&lt;="&amp;B1816,Invoices!$F$6:$F$305,"&gt;="&amp;B1816)),IF(COUNTIFS(Invoices!$C$6:$C$305,C1816,Invoices!$E$6:$E$305,"&lt;="&amp;B1816,Invoices!$F$6:$F$305,"&gt;="&amp;B1816)&gt;1,"Two invoices",""))))</f>
        <v/>
      </c>
      <c r="Q1816" s="15">
        <f>IF(B1816="","",IF(J1816&lt;&gt;"","Not billable",IF(P1816="","To invoice",IF(P1816="Two invoices","Check dates",IF(ISNA(MATCH(P1816,Invoices!$B$6:$B$305,0)),"Check number",IF(INDEX(Invoices!$M$6:$M$305,MATCH(P1816,Invoices!$B$6:$B$305,0))="Paid","Paid",IF(INDEX(Invoices!$M$6:$M$305,MATCH(P1816,Invoices!$B$6:$B$305,0))="Draft","Draft","Invoiced")))))))</f>
        <v/>
      </c>
      <c r="R1816" s="1">
        <f>IF(AND(B1816&lt;&gt;"",P1816&lt;&gt;"",P1816=Invoice!$G$4),B1816+MOD(N(F1816),1)+ROW()/10000000,"")</f>
        <v/>
      </c>
      <c r="S1816">
        <f>IF(R1816="","",IF(D1816="","Other work",D1816)&amp;IF(AND(K1816&lt;&gt;"",E1816&lt;&gt;""),", "&amp;E1816,""))</f>
        <v/>
      </c>
      <c r="T1816">
        <f>IF(R1816="","",IF(COUNTIFS(R$6:R1815,"&gt;0",S$6:S1815,S1816,N$6:N1815,N1816)=0,R1816,""))</f>
        <v/>
      </c>
      <c r="U1816">
        <f>IF(B1816="","",IF(J1816&lt;&gt;"",0,M1816))</f>
        <v/>
      </c>
    </row>
    <row r="1817">
      <c r="A1817" s="1" t="n"/>
      <c r="B1817" s="16" t="n"/>
      <c r="C1817" s="17" t="n"/>
      <c r="D1817" s="18" t="n"/>
      <c r="E1817" s="18" t="n"/>
      <c r="F1817" s="19" t="n"/>
      <c r="G1817" s="19" t="n"/>
      <c r="H1817" s="20" t="n"/>
      <c r="I1817" s="21" t="n"/>
      <c r="J1817" s="22" t="n"/>
      <c r="K1817" s="23" t="n"/>
      <c r="L1817" s="18" t="n"/>
      <c r="M1817" s="24">
        <f>IF(B1817="","",IF(AND(F1817&lt;&gt;"",G1817&lt;&gt;""),MAX(0,ROUND(MOD(G1817-F1817,1)*24-N(H1817)/60,2)),N(I1817)))</f>
        <v/>
      </c>
      <c r="N1817" s="14">
        <f>IF(B1817="","",IF(K1817&lt;&gt;"",K1817,IF(N(IFERROR(INDEX(Projects!$D$6:$D$65,MATCH(D1817,Projects!$B$6:$B$65,0)),""))&gt;0,IFERROR(INDEX(Projects!$D$6:$D$65,MATCH(D1817,Projects!$B$6:$B$65,0)),""),IFERROR(INDEX(Clients!$G$6:$G$45,MATCH(C1817,Clients!$B$6:$B$45,0)),0))))</f>
        <v/>
      </c>
      <c r="O1817" s="14">
        <f>IF(B1817="","",IF(J1817&lt;&gt;"",0,ROUND(M1817*N1817,2)))</f>
        <v/>
      </c>
      <c r="P1817" s="15">
        <f>IF(OR(B1817="",J1817&lt;&gt;""),"",IF(L1817&lt;&gt;"",L1817,IF(COUNTIFS(Invoices!$C$6:$C$305,C1817,Invoices!$E$6:$E$305,"&lt;="&amp;B1817,Invoices!$F$6:$F$305,"&gt;="&amp;B1817)=1,INDEX(Invoices!$B$6:$B$305,SUMIFS(Invoices!$O$6:$O$305,Invoices!$C$6:$C$305,C1817,Invoices!$E$6:$E$305,"&lt;="&amp;B1817,Invoices!$F$6:$F$305,"&gt;="&amp;B1817)),IF(COUNTIFS(Invoices!$C$6:$C$305,C1817,Invoices!$E$6:$E$305,"&lt;="&amp;B1817,Invoices!$F$6:$F$305,"&gt;="&amp;B1817)&gt;1,"Two invoices",""))))</f>
        <v/>
      </c>
      <c r="Q1817" s="15">
        <f>IF(B1817="","",IF(J1817&lt;&gt;"","Not billable",IF(P1817="","To invoice",IF(P1817="Two invoices","Check dates",IF(ISNA(MATCH(P1817,Invoices!$B$6:$B$305,0)),"Check number",IF(INDEX(Invoices!$M$6:$M$305,MATCH(P1817,Invoices!$B$6:$B$305,0))="Paid","Paid",IF(INDEX(Invoices!$M$6:$M$305,MATCH(P1817,Invoices!$B$6:$B$305,0))="Draft","Draft","Invoiced")))))))</f>
        <v/>
      </c>
      <c r="R1817" s="1">
        <f>IF(AND(B1817&lt;&gt;"",P1817&lt;&gt;"",P1817=Invoice!$G$4),B1817+MOD(N(F1817),1)+ROW()/10000000,"")</f>
        <v/>
      </c>
      <c r="S1817">
        <f>IF(R1817="","",IF(D1817="","Other work",D1817)&amp;IF(AND(K1817&lt;&gt;"",E1817&lt;&gt;""),", "&amp;E1817,""))</f>
        <v/>
      </c>
      <c r="T1817">
        <f>IF(R1817="","",IF(COUNTIFS(R$6:R1816,"&gt;0",S$6:S1816,S1817,N$6:N1816,N1817)=0,R1817,""))</f>
        <v/>
      </c>
      <c r="U1817">
        <f>IF(B1817="","",IF(J1817&lt;&gt;"",0,M1817))</f>
        <v/>
      </c>
    </row>
    <row r="1818">
      <c r="A1818" s="1" t="n"/>
      <c r="B1818" s="16" t="n"/>
      <c r="C1818" s="17" t="n"/>
      <c r="D1818" s="18" t="n"/>
      <c r="E1818" s="18" t="n"/>
      <c r="F1818" s="19" t="n"/>
      <c r="G1818" s="19" t="n"/>
      <c r="H1818" s="20" t="n"/>
      <c r="I1818" s="21" t="n"/>
      <c r="J1818" s="22" t="n"/>
      <c r="K1818" s="23" t="n"/>
      <c r="L1818" s="18" t="n"/>
      <c r="M1818" s="24">
        <f>IF(B1818="","",IF(AND(F1818&lt;&gt;"",G1818&lt;&gt;""),MAX(0,ROUND(MOD(G1818-F1818,1)*24-N(H1818)/60,2)),N(I1818)))</f>
        <v/>
      </c>
      <c r="N1818" s="14">
        <f>IF(B1818="","",IF(K1818&lt;&gt;"",K1818,IF(N(IFERROR(INDEX(Projects!$D$6:$D$65,MATCH(D1818,Projects!$B$6:$B$65,0)),""))&gt;0,IFERROR(INDEX(Projects!$D$6:$D$65,MATCH(D1818,Projects!$B$6:$B$65,0)),""),IFERROR(INDEX(Clients!$G$6:$G$45,MATCH(C1818,Clients!$B$6:$B$45,0)),0))))</f>
        <v/>
      </c>
      <c r="O1818" s="14">
        <f>IF(B1818="","",IF(J1818&lt;&gt;"",0,ROUND(M1818*N1818,2)))</f>
        <v/>
      </c>
      <c r="P1818" s="15">
        <f>IF(OR(B1818="",J1818&lt;&gt;""),"",IF(L1818&lt;&gt;"",L1818,IF(COUNTIFS(Invoices!$C$6:$C$305,C1818,Invoices!$E$6:$E$305,"&lt;="&amp;B1818,Invoices!$F$6:$F$305,"&gt;="&amp;B1818)=1,INDEX(Invoices!$B$6:$B$305,SUMIFS(Invoices!$O$6:$O$305,Invoices!$C$6:$C$305,C1818,Invoices!$E$6:$E$305,"&lt;="&amp;B1818,Invoices!$F$6:$F$305,"&gt;="&amp;B1818)),IF(COUNTIFS(Invoices!$C$6:$C$305,C1818,Invoices!$E$6:$E$305,"&lt;="&amp;B1818,Invoices!$F$6:$F$305,"&gt;="&amp;B1818)&gt;1,"Two invoices",""))))</f>
        <v/>
      </c>
      <c r="Q1818" s="15">
        <f>IF(B1818="","",IF(J1818&lt;&gt;"","Not billable",IF(P1818="","To invoice",IF(P1818="Two invoices","Check dates",IF(ISNA(MATCH(P1818,Invoices!$B$6:$B$305,0)),"Check number",IF(INDEX(Invoices!$M$6:$M$305,MATCH(P1818,Invoices!$B$6:$B$305,0))="Paid","Paid",IF(INDEX(Invoices!$M$6:$M$305,MATCH(P1818,Invoices!$B$6:$B$305,0))="Draft","Draft","Invoiced")))))))</f>
        <v/>
      </c>
      <c r="R1818" s="1">
        <f>IF(AND(B1818&lt;&gt;"",P1818&lt;&gt;"",P1818=Invoice!$G$4),B1818+MOD(N(F1818),1)+ROW()/10000000,"")</f>
        <v/>
      </c>
      <c r="S1818">
        <f>IF(R1818="","",IF(D1818="","Other work",D1818)&amp;IF(AND(K1818&lt;&gt;"",E1818&lt;&gt;""),", "&amp;E1818,""))</f>
        <v/>
      </c>
      <c r="T1818">
        <f>IF(R1818="","",IF(COUNTIFS(R$6:R1817,"&gt;0",S$6:S1817,S1818,N$6:N1817,N1818)=0,R1818,""))</f>
        <v/>
      </c>
      <c r="U1818">
        <f>IF(B1818="","",IF(J1818&lt;&gt;"",0,M1818))</f>
        <v/>
      </c>
    </row>
    <row r="1819">
      <c r="A1819" s="1" t="n"/>
      <c r="B1819" s="16" t="n"/>
      <c r="C1819" s="17" t="n"/>
      <c r="D1819" s="18" t="n"/>
      <c r="E1819" s="18" t="n"/>
      <c r="F1819" s="19" t="n"/>
      <c r="G1819" s="19" t="n"/>
      <c r="H1819" s="20" t="n"/>
      <c r="I1819" s="21" t="n"/>
      <c r="J1819" s="22" t="n"/>
      <c r="K1819" s="23" t="n"/>
      <c r="L1819" s="18" t="n"/>
      <c r="M1819" s="24">
        <f>IF(B1819="","",IF(AND(F1819&lt;&gt;"",G1819&lt;&gt;""),MAX(0,ROUND(MOD(G1819-F1819,1)*24-N(H1819)/60,2)),N(I1819)))</f>
        <v/>
      </c>
      <c r="N1819" s="14">
        <f>IF(B1819="","",IF(K1819&lt;&gt;"",K1819,IF(N(IFERROR(INDEX(Projects!$D$6:$D$65,MATCH(D1819,Projects!$B$6:$B$65,0)),""))&gt;0,IFERROR(INDEX(Projects!$D$6:$D$65,MATCH(D1819,Projects!$B$6:$B$65,0)),""),IFERROR(INDEX(Clients!$G$6:$G$45,MATCH(C1819,Clients!$B$6:$B$45,0)),0))))</f>
        <v/>
      </c>
      <c r="O1819" s="14">
        <f>IF(B1819="","",IF(J1819&lt;&gt;"",0,ROUND(M1819*N1819,2)))</f>
        <v/>
      </c>
      <c r="P1819" s="15">
        <f>IF(OR(B1819="",J1819&lt;&gt;""),"",IF(L1819&lt;&gt;"",L1819,IF(COUNTIFS(Invoices!$C$6:$C$305,C1819,Invoices!$E$6:$E$305,"&lt;="&amp;B1819,Invoices!$F$6:$F$305,"&gt;="&amp;B1819)=1,INDEX(Invoices!$B$6:$B$305,SUMIFS(Invoices!$O$6:$O$305,Invoices!$C$6:$C$305,C1819,Invoices!$E$6:$E$305,"&lt;="&amp;B1819,Invoices!$F$6:$F$305,"&gt;="&amp;B1819)),IF(COUNTIFS(Invoices!$C$6:$C$305,C1819,Invoices!$E$6:$E$305,"&lt;="&amp;B1819,Invoices!$F$6:$F$305,"&gt;="&amp;B1819)&gt;1,"Two invoices",""))))</f>
        <v/>
      </c>
      <c r="Q1819" s="15">
        <f>IF(B1819="","",IF(J1819&lt;&gt;"","Not billable",IF(P1819="","To invoice",IF(P1819="Two invoices","Check dates",IF(ISNA(MATCH(P1819,Invoices!$B$6:$B$305,0)),"Check number",IF(INDEX(Invoices!$M$6:$M$305,MATCH(P1819,Invoices!$B$6:$B$305,0))="Paid","Paid",IF(INDEX(Invoices!$M$6:$M$305,MATCH(P1819,Invoices!$B$6:$B$305,0))="Draft","Draft","Invoiced")))))))</f>
        <v/>
      </c>
      <c r="R1819" s="1">
        <f>IF(AND(B1819&lt;&gt;"",P1819&lt;&gt;"",P1819=Invoice!$G$4),B1819+MOD(N(F1819),1)+ROW()/10000000,"")</f>
        <v/>
      </c>
      <c r="S1819">
        <f>IF(R1819="","",IF(D1819="","Other work",D1819)&amp;IF(AND(K1819&lt;&gt;"",E1819&lt;&gt;""),", "&amp;E1819,""))</f>
        <v/>
      </c>
      <c r="T1819">
        <f>IF(R1819="","",IF(COUNTIFS(R$6:R1818,"&gt;0",S$6:S1818,S1819,N$6:N1818,N1819)=0,R1819,""))</f>
        <v/>
      </c>
      <c r="U1819">
        <f>IF(B1819="","",IF(J1819&lt;&gt;"",0,M1819))</f>
        <v/>
      </c>
    </row>
    <row r="1820">
      <c r="A1820" s="1" t="n"/>
      <c r="B1820" s="16" t="n"/>
      <c r="C1820" s="17" t="n"/>
      <c r="D1820" s="18" t="n"/>
      <c r="E1820" s="18" t="n"/>
      <c r="F1820" s="19" t="n"/>
      <c r="G1820" s="19" t="n"/>
      <c r="H1820" s="20" t="n"/>
      <c r="I1820" s="21" t="n"/>
      <c r="J1820" s="22" t="n"/>
      <c r="K1820" s="23" t="n"/>
      <c r="L1820" s="18" t="n"/>
      <c r="M1820" s="24">
        <f>IF(B1820="","",IF(AND(F1820&lt;&gt;"",G1820&lt;&gt;""),MAX(0,ROUND(MOD(G1820-F1820,1)*24-N(H1820)/60,2)),N(I1820)))</f>
        <v/>
      </c>
      <c r="N1820" s="14">
        <f>IF(B1820="","",IF(K1820&lt;&gt;"",K1820,IF(N(IFERROR(INDEX(Projects!$D$6:$D$65,MATCH(D1820,Projects!$B$6:$B$65,0)),""))&gt;0,IFERROR(INDEX(Projects!$D$6:$D$65,MATCH(D1820,Projects!$B$6:$B$65,0)),""),IFERROR(INDEX(Clients!$G$6:$G$45,MATCH(C1820,Clients!$B$6:$B$45,0)),0))))</f>
        <v/>
      </c>
      <c r="O1820" s="14">
        <f>IF(B1820="","",IF(J1820&lt;&gt;"",0,ROUND(M1820*N1820,2)))</f>
        <v/>
      </c>
      <c r="P1820" s="15">
        <f>IF(OR(B1820="",J1820&lt;&gt;""),"",IF(L1820&lt;&gt;"",L1820,IF(COUNTIFS(Invoices!$C$6:$C$305,C1820,Invoices!$E$6:$E$305,"&lt;="&amp;B1820,Invoices!$F$6:$F$305,"&gt;="&amp;B1820)=1,INDEX(Invoices!$B$6:$B$305,SUMIFS(Invoices!$O$6:$O$305,Invoices!$C$6:$C$305,C1820,Invoices!$E$6:$E$305,"&lt;="&amp;B1820,Invoices!$F$6:$F$305,"&gt;="&amp;B1820)),IF(COUNTIFS(Invoices!$C$6:$C$305,C1820,Invoices!$E$6:$E$305,"&lt;="&amp;B1820,Invoices!$F$6:$F$305,"&gt;="&amp;B1820)&gt;1,"Two invoices",""))))</f>
        <v/>
      </c>
      <c r="Q1820" s="15">
        <f>IF(B1820="","",IF(J1820&lt;&gt;"","Not billable",IF(P1820="","To invoice",IF(P1820="Two invoices","Check dates",IF(ISNA(MATCH(P1820,Invoices!$B$6:$B$305,0)),"Check number",IF(INDEX(Invoices!$M$6:$M$305,MATCH(P1820,Invoices!$B$6:$B$305,0))="Paid","Paid",IF(INDEX(Invoices!$M$6:$M$305,MATCH(P1820,Invoices!$B$6:$B$305,0))="Draft","Draft","Invoiced")))))))</f>
        <v/>
      </c>
      <c r="R1820" s="1">
        <f>IF(AND(B1820&lt;&gt;"",P1820&lt;&gt;"",P1820=Invoice!$G$4),B1820+MOD(N(F1820),1)+ROW()/10000000,"")</f>
        <v/>
      </c>
      <c r="S1820">
        <f>IF(R1820="","",IF(D1820="","Other work",D1820)&amp;IF(AND(K1820&lt;&gt;"",E1820&lt;&gt;""),", "&amp;E1820,""))</f>
        <v/>
      </c>
      <c r="T1820">
        <f>IF(R1820="","",IF(COUNTIFS(R$6:R1819,"&gt;0",S$6:S1819,S1820,N$6:N1819,N1820)=0,R1820,""))</f>
        <v/>
      </c>
      <c r="U1820">
        <f>IF(B1820="","",IF(J1820&lt;&gt;"",0,M1820))</f>
        <v/>
      </c>
    </row>
    <row r="1821">
      <c r="A1821" s="1" t="n"/>
      <c r="B1821" s="16" t="n"/>
      <c r="C1821" s="17" t="n"/>
      <c r="D1821" s="18" t="n"/>
      <c r="E1821" s="18" t="n"/>
      <c r="F1821" s="19" t="n"/>
      <c r="G1821" s="19" t="n"/>
      <c r="H1821" s="20" t="n"/>
      <c r="I1821" s="21" t="n"/>
      <c r="J1821" s="22" t="n"/>
      <c r="K1821" s="23" t="n"/>
      <c r="L1821" s="18" t="n"/>
      <c r="M1821" s="24">
        <f>IF(B1821="","",IF(AND(F1821&lt;&gt;"",G1821&lt;&gt;""),MAX(0,ROUND(MOD(G1821-F1821,1)*24-N(H1821)/60,2)),N(I1821)))</f>
        <v/>
      </c>
      <c r="N1821" s="14">
        <f>IF(B1821="","",IF(K1821&lt;&gt;"",K1821,IF(N(IFERROR(INDEX(Projects!$D$6:$D$65,MATCH(D1821,Projects!$B$6:$B$65,0)),""))&gt;0,IFERROR(INDEX(Projects!$D$6:$D$65,MATCH(D1821,Projects!$B$6:$B$65,0)),""),IFERROR(INDEX(Clients!$G$6:$G$45,MATCH(C1821,Clients!$B$6:$B$45,0)),0))))</f>
        <v/>
      </c>
      <c r="O1821" s="14">
        <f>IF(B1821="","",IF(J1821&lt;&gt;"",0,ROUND(M1821*N1821,2)))</f>
        <v/>
      </c>
      <c r="P1821" s="15">
        <f>IF(OR(B1821="",J1821&lt;&gt;""),"",IF(L1821&lt;&gt;"",L1821,IF(COUNTIFS(Invoices!$C$6:$C$305,C1821,Invoices!$E$6:$E$305,"&lt;="&amp;B1821,Invoices!$F$6:$F$305,"&gt;="&amp;B1821)=1,INDEX(Invoices!$B$6:$B$305,SUMIFS(Invoices!$O$6:$O$305,Invoices!$C$6:$C$305,C1821,Invoices!$E$6:$E$305,"&lt;="&amp;B1821,Invoices!$F$6:$F$305,"&gt;="&amp;B1821)),IF(COUNTIFS(Invoices!$C$6:$C$305,C1821,Invoices!$E$6:$E$305,"&lt;="&amp;B1821,Invoices!$F$6:$F$305,"&gt;="&amp;B1821)&gt;1,"Two invoices",""))))</f>
        <v/>
      </c>
      <c r="Q1821" s="15">
        <f>IF(B1821="","",IF(J1821&lt;&gt;"","Not billable",IF(P1821="","To invoice",IF(P1821="Two invoices","Check dates",IF(ISNA(MATCH(P1821,Invoices!$B$6:$B$305,0)),"Check number",IF(INDEX(Invoices!$M$6:$M$305,MATCH(P1821,Invoices!$B$6:$B$305,0))="Paid","Paid",IF(INDEX(Invoices!$M$6:$M$305,MATCH(P1821,Invoices!$B$6:$B$305,0))="Draft","Draft","Invoiced")))))))</f>
        <v/>
      </c>
      <c r="R1821" s="1">
        <f>IF(AND(B1821&lt;&gt;"",P1821&lt;&gt;"",P1821=Invoice!$G$4),B1821+MOD(N(F1821),1)+ROW()/10000000,"")</f>
        <v/>
      </c>
      <c r="S1821">
        <f>IF(R1821="","",IF(D1821="","Other work",D1821)&amp;IF(AND(K1821&lt;&gt;"",E1821&lt;&gt;""),", "&amp;E1821,""))</f>
        <v/>
      </c>
      <c r="T1821">
        <f>IF(R1821="","",IF(COUNTIFS(R$6:R1820,"&gt;0",S$6:S1820,S1821,N$6:N1820,N1821)=0,R1821,""))</f>
        <v/>
      </c>
      <c r="U1821">
        <f>IF(B1821="","",IF(J1821&lt;&gt;"",0,M1821))</f>
        <v/>
      </c>
    </row>
    <row r="1822">
      <c r="A1822" s="1" t="n"/>
      <c r="B1822" s="16" t="n"/>
      <c r="C1822" s="17" t="n"/>
      <c r="D1822" s="18" t="n"/>
      <c r="E1822" s="18" t="n"/>
      <c r="F1822" s="19" t="n"/>
      <c r="G1822" s="19" t="n"/>
      <c r="H1822" s="20" t="n"/>
      <c r="I1822" s="21" t="n"/>
      <c r="J1822" s="22" t="n"/>
      <c r="K1822" s="23" t="n"/>
      <c r="L1822" s="18" t="n"/>
      <c r="M1822" s="24">
        <f>IF(B1822="","",IF(AND(F1822&lt;&gt;"",G1822&lt;&gt;""),MAX(0,ROUND(MOD(G1822-F1822,1)*24-N(H1822)/60,2)),N(I1822)))</f>
        <v/>
      </c>
      <c r="N1822" s="14">
        <f>IF(B1822="","",IF(K1822&lt;&gt;"",K1822,IF(N(IFERROR(INDEX(Projects!$D$6:$D$65,MATCH(D1822,Projects!$B$6:$B$65,0)),""))&gt;0,IFERROR(INDEX(Projects!$D$6:$D$65,MATCH(D1822,Projects!$B$6:$B$65,0)),""),IFERROR(INDEX(Clients!$G$6:$G$45,MATCH(C1822,Clients!$B$6:$B$45,0)),0))))</f>
        <v/>
      </c>
      <c r="O1822" s="14">
        <f>IF(B1822="","",IF(J1822&lt;&gt;"",0,ROUND(M1822*N1822,2)))</f>
        <v/>
      </c>
      <c r="P1822" s="15">
        <f>IF(OR(B1822="",J1822&lt;&gt;""),"",IF(L1822&lt;&gt;"",L1822,IF(COUNTIFS(Invoices!$C$6:$C$305,C1822,Invoices!$E$6:$E$305,"&lt;="&amp;B1822,Invoices!$F$6:$F$305,"&gt;="&amp;B1822)=1,INDEX(Invoices!$B$6:$B$305,SUMIFS(Invoices!$O$6:$O$305,Invoices!$C$6:$C$305,C1822,Invoices!$E$6:$E$305,"&lt;="&amp;B1822,Invoices!$F$6:$F$305,"&gt;="&amp;B1822)),IF(COUNTIFS(Invoices!$C$6:$C$305,C1822,Invoices!$E$6:$E$305,"&lt;="&amp;B1822,Invoices!$F$6:$F$305,"&gt;="&amp;B1822)&gt;1,"Two invoices",""))))</f>
        <v/>
      </c>
      <c r="Q1822" s="15">
        <f>IF(B1822="","",IF(J1822&lt;&gt;"","Not billable",IF(P1822="","To invoice",IF(P1822="Two invoices","Check dates",IF(ISNA(MATCH(P1822,Invoices!$B$6:$B$305,0)),"Check number",IF(INDEX(Invoices!$M$6:$M$305,MATCH(P1822,Invoices!$B$6:$B$305,0))="Paid","Paid",IF(INDEX(Invoices!$M$6:$M$305,MATCH(P1822,Invoices!$B$6:$B$305,0))="Draft","Draft","Invoiced")))))))</f>
        <v/>
      </c>
      <c r="R1822" s="1">
        <f>IF(AND(B1822&lt;&gt;"",P1822&lt;&gt;"",P1822=Invoice!$G$4),B1822+MOD(N(F1822),1)+ROW()/10000000,"")</f>
        <v/>
      </c>
      <c r="S1822">
        <f>IF(R1822="","",IF(D1822="","Other work",D1822)&amp;IF(AND(K1822&lt;&gt;"",E1822&lt;&gt;""),", "&amp;E1822,""))</f>
        <v/>
      </c>
      <c r="T1822">
        <f>IF(R1822="","",IF(COUNTIFS(R$6:R1821,"&gt;0",S$6:S1821,S1822,N$6:N1821,N1822)=0,R1822,""))</f>
        <v/>
      </c>
      <c r="U1822">
        <f>IF(B1822="","",IF(J1822&lt;&gt;"",0,M1822))</f>
        <v/>
      </c>
    </row>
    <row r="1823">
      <c r="A1823" s="1" t="n"/>
      <c r="B1823" s="16" t="n"/>
      <c r="C1823" s="17" t="n"/>
      <c r="D1823" s="18" t="n"/>
      <c r="E1823" s="18" t="n"/>
      <c r="F1823" s="19" t="n"/>
      <c r="G1823" s="19" t="n"/>
      <c r="H1823" s="20" t="n"/>
      <c r="I1823" s="21" t="n"/>
      <c r="J1823" s="22" t="n"/>
      <c r="K1823" s="23" t="n"/>
      <c r="L1823" s="18" t="n"/>
      <c r="M1823" s="24">
        <f>IF(B1823="","",IF(AND(F1823&lt;&gt;"",G1823&lt;&gt;""),MAX(0,ROUND(MOD(G1823-F1823,1)*24-N(H1823)/60,2)),N(I1823)))</f>
        <v/>
      </c>
      <c r="N1823" s="14">
        <f>IF(B1823="","",IF(K1823&lt;&gt;"",K1823,IF(N(IFERROR(INDEX(Projects!$D$6:$D$65,MATCH(D1823,Projects!$B$6:$B$65,0)),""))&gt;0,IFERROR(INDEX(Projects!$D$6:$D$65,MATCH(D1823,Projects!$B$6:$B$65,0)),""),IFERROR(INDEX(Clients!$G$6:$G$45,MATCH(C1823,Clients!$B$6:$B$45,0)),0))))</f>
        <v/>
      </c>
      <c r="O1823" s="14">
        <f>IF(B1823="","",IF(J1823&lt;&gt;"",0,ROUND(M1823*N1823,2)))</f>
        <v/>
      </c>
      <c r="P1823" s="15">
        <f>IF(OR(B1823="",J1823&lt;&gt;""),"",IF(L1823&lt;&gt;"",L1823,IF(COUNTIFS(Invoices!$C$6:$C$305,C1823,Invoices!$E$6:$E$305,"&lt;="&amp;B1823,Invoices!$F$6:$F$305,"&gt;="&amp;B1823)=1,INDEX(Invoices!$B$6:$B$305,SUMIFS(Invoices!$O$6:$O$305,Invoices!$C$6:$C$305,C1823,Invoices!$E$6:$E$305,"&lt;="&amp;B1823,Invoices!$F$6:$F$305,"&gt;="&amp;B1823)),IF(COUNTIFS(Invoices!$C$6:$C$305,C1823,Invoices!$E$6:$E$305,"&lt;="&amp;B1823,Invoices!$F$6:$F$305,"&gt;="&amp;B1823)&gt;1,"Two invoices",""))))</f>
        <v/>
      </c>
      <c r="Q1823" s="15">
        <f>IF(B1823="","",IF(J1823&lt;&gt;"","Not billable",IF(P1823="","To invoice",IF(P1823="Two invoices","Check dates",IF(ISNA(MATCH(P1823,Invoices!$B$6:$B$305,0)),"Check number",IF(INDEX(Invoices!$M$6:$M$305,MATCH(P1823,Invoices!$B$6:$B$305,0))="Paid","Paid",IF(INDEX(Invoices!$M$6:$M$305,MATCH(P1823,Invoices!$B$6:$B$305,0))="Draft","Draft","Invoiced")))))))</f>
        <v/>
      </c>
      <c r="R1823" s="1">
        <f>IF(AND(B1823&lt;&gt;"",P1823&lt;&gt;"",P1823=Invoice!$G$4),B1823+MOD(N(F1823),1)+ROW()/10000000,"")</f>
        <v/>
      </c>
      <c r="S1823">
        <f>IF(R1823="","",IF(D1823="","Other work",D1823)&amp;IF(AND(K1823&lt;&gt;"",E1823&lt;&gt;""),", "&amp;E1823,""))</f>
        <v/>
      </c>
      <c r="T1823">
        <f>IF(R1823="","",IF(COUNTIFS(R$6:R1822,"&gt;0",S$6:S1822,S1823,N$6:N1822,N1823)=0,R1823,""))</f>
        <v/>
      </c>
      <c r="U1823">
        <f>IF(B1823="","",IF(J1823&lt;&gt;"",0,M1823))</f>
        <v/>
      </c>
    </row>
    <row r="1824">
      <c r="A1824" s="1" t="n"/>
      <c r="B1824" s="16" t="n"/>
      <c r="C1824" s="17" t="n"/>
      <c r="D1824" s="18" t="n"/>
      <c r="E1824" s="18" t="n"/>
      <c r="F1824" s="19" t="n"/>
      <c r="G1824" s="19" t="n"/>
      <c r="H1824" s="20" t="n"/>
      <c r="I1824" s="21" t="n"/>
      <c r="J1824" s="22" t="n"/>
      <c r="K1824" s="23" t="n"/>
      <c r="L1824" s="18" t="n"/>
      <c r="M1824" s="24">
        <f>IF(B1824="","",IF(AND(F1824&lt;&gt;"",G1824&lt;&gt;""),MAX(0,ROUND(MOD(G1824-F1824,1)*24-N(H1824)/60,2)),N(I1824)))</f>
        <v/>
      </c>
      <c r="N1824" s="14">
        <f>IF(B1824="","",IF(K1824&lt;&gt;"",K1824,IF(N(IFERROR(INDEX(Projects!$D$6:$D$65,MATCH(D1824,Projects!$B$6:$B$65,0)),""))&gt;0,IFERROR(INDEX(Projects!$D$6:$D$65,MATCH(D1824,Projects!$B$6:$B$65,0)),""),IFERROR(INDEX(Clients!$G$6:$G$45,MATCH(C1824,Clients!$B$6:$B$45,0)),0))))</f>
        <v/>
      </c>
      <c r="O1824" s="14">
        <f>IF(B1824="","",IF(J1824&lt;&gt;"",0,ROUND(M1824*N1824,2)))</f>
        <v/>
      </c>
      <c r="P1824" s="15">
        <f>IF(OR(B1824="",J1824&lt;&gt;""),"",IF(L1824&lt;&gt;"",L1824,IF(COUNTIFS(Invoices!$C$6:$C$305,C1824,Invoices!$E$6:$E$305,"&lt;="&amp;B1824,Invoices!$F$6:$F$305,"&gt;="&amp;B1824)=1,INDEX(Invoices!$B$6:$B$305,SUMIFS(Invoices!$O$6:$O$305,Invoices!$C$6:$C$305,C1824,Invoices!$E$6:$E$305,"&lt;="&amp;B1824,Invoices!$F$6:$F$305,"&gt;="&amp;B1824)),IF(COUNTIFS(Invoices!$C$6:$C$305,C1824,Invoices!$E$6:$E$305,"&lt;="&amp;B1824,Invoices!$F$6:$F$305,"&gt;="&amp;B1824)&gt;1,"Two invoices",""))))</f>
        <v/>
      </c>
      <c r="Q1824" s="15">
        <f>IF(B1824="","",IF(J1824&lt;&gt;"","Not billable",IF(P1824="","To invoice",IF(P1824="Two invoices","Check dates",IF(ISNA(MATCH(P1824,Invoices!$B$6:$B$305,0)),"Check number",IF(INDEX(Invoices!$M$6:$M$305,MATCH(P1824,Invoices!$B$6:$B$305,0))="Paid","Paid",IF(INDEX(Invoices!$M$6:$M$305,MATCH(P1824,Invoices!$B$6:$B$305,0))="Draft","Draft","Invoiced")))))))</f>
        <v/>
      </c>
      <c r="R1824" s="1">
        <f>IF(AND(B1824&lt;&gt;"",P1824&lt;&gt;"",P1824=Invoice!$G$4),B1824+MOD(N(F1824),1)+ROW()/10000000,"")</f>
        <v/>
      </c>
      <c r="S1824">
        <f>IF(R1824="","",IF(D1824="","Other work",D1824)&amp;IF(AND(K1824&lt;&gt;"",E1824&lt;&gt;""),", "&amp;E1824,""))</f>
        <v/>
      </c>
      <c r="T1824">
        <f>IF(R1824="","",IF(COUNTIFS(R$6:R1823,"&gt;0",S$6:S1823,S1824,N$6:N1823,N1824)=0,R1824,""))</f>
        <v/>
      </c>
      <c r="U1824">
        <f>IF(B1824="","",IF(J1824&lt;&gt;"",0,M1824))</f>
        <v/>
      </c>
    </row>
    <row r="1825">
      <c r="A1825" s="1" t="n"/>
      <c r="B1825" s="16" t="n"/>
      <c r="C1825" s="17" t="n"/>
      <c r="D1825" s="18" t="n"/>
      <c r="E1825" s="18" t="n"/>
      <c r="F1825" s="19" t="n"/>
      <c r="G1825" s="19" t="n"/>
      <c r="H1825" s="20" t="n"/>
      <c r="I1825" s="21" t="n"/>
      <c r="J1825" s="22" t="n"/>
      <c r="K1825" s="23" t="n"/>
      <c r="L1825" s="18" t="n"/>
      <c r="M1825" s="24">
        <f>IF(B1825="","",IF(AND(F1825&lt;&gt;"",G1825&lt;&gt;""),MAX(0,ROUND(MOD(G1825-F1825,1)*24-N(H1825)/60,2)),N(I1825)))</f>
        <v/>
      </c>
      <c r="N1825" s="14">
        <f>IF(B1825="","",IF(K1825&lt;&gt;"",K1825,IF(N(IFERROR(INDEX(Projects!$D$6:$D$65,MATCH(D1825,Projects!$B$6:$B$65,0)),""))&gt;0,IFERROR(INDEX(Projects!$D$6:$D$65,MATCH(D1825,Projects!$B$6:$B$65,0)),""),IFERROR(INDEX(Clients!$G$6:$G$45,MATCH(C1825,Clients!$B$6:$B$45,0)),0))))</f>
        <v/>
      </c>
      <c r="O1825" s="14">
        <f>IF(B1825="","",IF(J1825&lt;&gt;"",0,ROUND(M1825*N1825,2)))</f>
        <v/>
      </c>
      <c r="P1825" s="15">
        <f>IF(OR(B1825="",J1825&lt;&gt;""),"",IF(L1825&lt;&gt;"",L1825,IF(COUNTIFS(Invoices!$C$6:$C$305,C1825,Invoices!$E$6:$E$305,"&lt;="&amp;B1825,Invoices!$F$6:$F$305,"&gt;="&amp;B1825)=1,INDEX(Invoices!$B$6:$B$305,SUMIFS(Invoices!$O$6:$O$305,Invoices!$C$6:$C$305,C1825,Invoices!$E$6:$E$305,"&lt;="&amp;B1825,Invoices!$F$6:$F$305,"&gt;="&amp;B1825)),IF(COUNTIFS(Invoices!$C$6:$C$305,C1825,Invoices!$E$6:$E$305,"&lt;="&amp;B1825,Invoices!$F$6:$F$305,"&gt;="&amp;B1825)&gt;1,"Two invoices",""))))</f>
        <v/>
      </c>
      <c r="Q1825" s="15">
        <f>IF(B1825="","",IF(J1825&lt;&gt;"","Not billable",IF(P1825="","To invoice",IF(P1825="Two invoices","Check dates",IF(ISNA(MATCH(P1825,Invoices!$B$6:$B$305,0)),"Check number",IF(INDEX(Invoices!$M$6:$M$305,MATCH(P1825,Invoices!$B$6:$B$305,0))="Paid","Paid",IF(INDEX(Invoices!$M$6:$M$305,MATCH(P1825,Invoices!$B$6:$B$305,0))="Draft","Draft","Invoiced")))))))</f>
        <v/>
      </c>
      <c r="R1825" s="1">
        <f>IF(AND(B1825&lt;&gt;"",P1825&lt;&gt;"",P1825=Invoice!$G$4),B1825+MOD(N(F1825),1)+ROW()/10000000,"")</f>
        <v/>
      </c>
      <c r="S1825">
        <f>IF(R1825="","",IF(D1825="","Other work",D1825)&amp;IF(AND(K1825&lt;&gt;"",E1825&lt;&gt;""),", "&amp;E1825,""))</f>
        <v/>
      </c>
      <c r="T1825">
        <f>IF(R1825="","",IF(COUNTIFS(R$6:R1824,"&gt;0",S$6:S1824,S1825,N$6:N1824,N1825)=0,R1825,""))</f>
        <v/>
      </c>
      <c r="U1825">
        <f>IF(B1825="","",IF(J1825&lt;&gt;"",0,M1825))</f>
        <v/>
      </c>
    </row>
    <row r="1826">
      <c r="A1826" s="1" t="n"/>
      <c r="B1826" s="16" t="n"/>
      <c r="C1826" s="17" t="n"/>
      <c r="D1826" s="18" t="n"/>
      <c r="E1826" s="18" t="n"/>
      <c r="F1826" s="19" t="n"/>
      <c r="G1826" s="19" t="n"/>
      <c r="H1826" s="20" t="n"/>
      <c r="I1826" s="21" t="n"/>
      <c r="J1826" s="22" t="n"/>
      <c r="K1826" s="23" t="n"/>
      <c r="L1826" s="18" t="n"/>
      <c r="M1826" s="24">
        <f>IF(B1826="","",IF(AND(F1826&lt;&gt;"",G1826&lt;&gt;""),MAX(0,ROUND(MOD(G1826-F1826,1)*24-N(H1826)/60,2)),N(I1826)))</f>
        <v/>
      </c>
      <c r="N1826" s="14">
        <f>IF(B1826="","",IF(K1826&lt;&gt;"",K1826,IF(N(IFERROR(INDEX(Projects!$D$6:$D$65,MATCH(D1826,Projects!$B$6:$B$65,0)),""))&gt;0,IFERROR(INDEX(Projects!$D$6:$D$65,MATCH(D1826,Projects!$B$6:$B$65,0)),""),IFERROR(INDEX(Clients!$G$6:$G$45,MATCH(C1826,Clients!$B$6:$B$45,0)),0))))</f>
        <v/>
      </c>
      <c r="O1826" s="14">
        <f>IF(B1826="","",IF(J1826&lt;&gt;"",0,ROUND(M1826*N1826,2)))</f>
        <v/>
      </c>
      <c r="P1826" s="15">
        <f>IF(OR(B1826="",J1826&lt;&gt;""),"",IF(L1826&lt;&gt;"",L1826,IF(COUNTIFS(Invoices!$C$6:$C$305,C1826,Invoices!$E$6:$E$305,"&lt;="&amp;B1826,Invoices!$F$6:$F$305,"&gt;="&amp;B1826)=1,INDEX(Invoices!$B$6:$B$305,SUMIFS(Invoices!$O$6:$O$305,Invoices!$C$6:$C$305,C1826,Invoices!$E$6:$E$305,"&lt;="&amp;B1826,Invoices!$F$6:$F$305,"&gt;="&amp;B1826)),IF(COUNTIFS(Invoices!$C$6:$C$305,C1826,Invoices!$E$6:$E$305,"&lt;="&amp;B1826,Invoices!$F$6:$F$305,"&gt;="&amp;B1826)&gt;1,"Two invoices",""))))</f>
        <v/>
      </c>
      <c r="Q1826" s="15">
        <f>IF(B1826="","",IF(J1826&lt;&gt;"","Not billable",IF(P1826="","To invoice",IF(P1826="Two invoices","Check dates",IF(ISNA(MATCH(P1826,Invoices!$B$6:$B$305,0)),"Check number",IF(INDEX(Invoices!$M$6:$M$305,MATCH(P1826,Invoices!$B$6:$B$305,0))="Paid","Paid",IF(INDEX(Invoices!$M$6:$M$305,MATCH(P1826,Invoices!$B$6:$B$305,0))="Draft","Draft","Invoiced")))))))</f>
        <v/>
      </c>
      <c r="R1826" s="1">
        <f>IF(AND(B1826&lt;&gt;"",P1826&lt;&gt;"",P1826=Invoice!$G$4),B1826+MOD(N(F1826),1)+ROW()/10000000,"")</f>
        <v/>
      </c>
      <c r="S1826">
        <f>IF(R1826="","",IF(D1826="","Other work",D1826)&amp;IF(AND(K1826&lt;&gt;"",E1826&lt;&gt;""),", "&amp;E1826,""))</f>
        <v/>
      </c>
      <c r="T1826">
        <f>IF(R1826="","",IF(COUNTIFS(R$6:R1825,"&gt;0",S$6:S1825,S1826,N$6:N1825,N1826)=0,R1826,""))</f>
        <v/>
      </c>
      <c r="U1826">
        <f>IF(B1826="","",IF(J1826&lt;&gt;"",0,M1826))</f>
        <v/>
      </c>
    </row>
    <row r="1827">
      <c r="A1827" s="1" t="n"/>
      <c r="B1827" s="16" t="n"/>
      <c r="C1827" s="17" t="n"/>
      <c r="D1827" s="18" t="n"/>
      <c r="E1827" s="18" t="n"/>
      <c r="F1827" s="19" t="n"/>
      <c r="G1827" s="19" t="n"/>
      <c r="H1827" s="20" t="n"/>
      <c r="I1827" s="21" t="n"/>
      <c r="J1827" s="22" t="n"/>
      <c r="K1827" s="23" t="n"/>
      <c r="L1827" s="18" t="n"/>
      <c r="M1827" s="24">
        <f>IF(B1827="","",IF(AND(F1827&lt;&gt;"",G1827&lt;&gt;""),MAX(0,ROUND(MOD(G1827-F1827,1)*24-N(H1827)/60,2)),N(I1827)))</f>
        <v/>
      </c>
      <c r="N1827" s="14">
        <f>IF(B1827="","",IF(K1827&lt;&gt;"",K1827,IF(N(IFERROR(INDEX(Projects!$D$6:$D$65,MATCH(D1827,Projects!$B$6:$B$65,0)),""))&gt;0,IFERROR(INDEX(Projects!$D$6:$D$65,MATCH(D1827,Projects!$B$6:$B$65,0)),""),IFERROR(INDEX(Clients!$G$6:$G$45,MATCH(C1827,Clients!$B$6:$B$45,0)),0))))</f>
        <v/>
      </c>
      <c r="O1827" s="14">
        <f>IF(B1827="","",IF(J1827&lt;&gt;"",0,ROUND(M1827*N1827,2)))</f>
        <v/>
      </c>
      <c r="P1827" s="15">
        <f>IF(OR(B1827="",J1827&lt;&gt;""),"",IF(L1827&lt;&gt;"",L1827,IF(COUNTIFS(Invoices!$C$6:$C$305,C1827,Invoices!$E$6:$E$305,"&lt;="&amp;B1827,Invoices!$F$6:$F$305,"&gt;="&amp;B1827)=1,INDEX(Invoices!$B$6:$B$305,SUMIFS(Invoices!$O$6:$O$305,Invoices!$C$6:$C$305,C1827,Invoices!$E$6:$E$305,"&lt;="&amp;B1827,Invoices!$F$6:$F$305,"&gt;="&amp;B1827)),IF(COUNTIFS(Invoices!$C$6:$C$305,C1827,Invoices!$E$6:$E$305,"&lt;="&amp;B1827,Invoices!$F$6:$F$305,"&gt;="&amp;B1827)&gt;1,"Two invoices",""))))</f>
        <v/>
      </c>
      <c r="Q1827" s="15">
        <f>IF(B1827="","",IF(J1827&lt;&gt;"","Not billable",IF(P1827="","To invoice",IF(P1827="Two invoices","Check dates",IF(ISNA(MATCH(P1827,Invoices!$B$6:$B$305,0)),"Check number",IF(INDEX(Invoices!$M$6:$M$305,MATCH(P1827,Invoices!$B$6:$B$305,0))="Paid","Paid",IF(INDEX(Invoices!$M$6:$M$305,MATCH(P1827,Invoices!$B$6:$B$305,0))="Draft","Draft","Invoiced")))))))</f>
        <v/>
      </c>
      <c r="R1827" s="1">
        <f>IF(AND(B1827&lt;&gt;"",P1827&lt;&gt;"",P1827=Invoice!$G$4),B1827+MOD(N(F1827),1)+ROW()/10000000,"")</f>
        <v/>
      </c>
      <c r="S1827">
        <f>IF(R1827="","",IF(D1827="","Other work",D1827)&amp;IF(AND(K1827&lt;&gt;"",E1827&lt;&gt;""),", "&amp;E1827,""))</f>
        <v/>
      </c>
      <c r="T1827">
        <f>IF(R1827="","",IF(COUNTIFS(R$6:R1826,"&gt;0",S$6:S1826,S1827,N$6:N1826,N1827)=0,R1827,""))</f>
        <v/>
      </c>
      <c r="U1827">
        <f>IF(B1827="","",IF(J1827&lt;&gt;"",0,M1827))</f>
        <v/>
      </c>
    </row>
    <row r="1828">
      <c r="A1828" s="1" t="n"/>
      <c r="B1828" s="16" t="n"/>
      <c r="C1828" s="17" t="n"/>
      <c r="D1828" s="18" t="n"/>
      <c r="E1828" s="18" t="n"/>
      <c r="F1828" s="19" t="n"/>
      <c r="G1828" s="19" t="n"/>
      <c r="H1828" s="20" t="n"/>
      <c r="I1828" s="21" t="n"/>
      <c r="J1828" s="22" t="n"/>
      <c r="K1828" s="23" t="n"/>
      <c r="L1828" s="18" t="n"/>
      <c r="M1828" s="24">
        <f>IF(B1828="","",IF(AND(F1828&lt;&gt;"",G1828&lt;&gt;""),MAX(0,ROUND(MOD(G1828-F1828,1)*24-N(H1828)/60,2)),N(I1828)))</f>
        <v/>
      </c>
      <c r="N1828" s="14">
        <f>IF(B1828="","",IF(K1828&lt;&gt;"",K1828,IF(N(IFERROR(INDEX(Projects!$D$6:$D$65,MATCH(D1828,Projects!$B$6:$B$65,0)),""))&gt;0,IFERROR(INDEX(Projects!$D$6:$D$65,MATCH(D1828,Projects!$B$6:$B$65,0)),""),IFERROR(INDEX(Clients!$G$6:$G$45,MATCH(C1828,Clients!$B$6:$B$45,0)),0))))</f>
        <v/>
      </c>
      <c r="O1828" s="14">
        <f>IF(B1828="","",IF(J1828&lt;&gt;"",0,ROUND(M1828*N1828,2)))</f>
        <v/>
      </c>
      <c r="P1828" s="15">
        <f>IF(OR(B1828="",J1828&lt;&gt;""),"",IF(L1828&lt;&gt;"",L1828,IF(COUNTIFS(Invoices!$C$6:$C$305,C1828,Invoices!$E$6:$E$305,"&lt;="&amp;B1828,Invoices!$F$6:$F$305,"&gt;="&amp;B1828)=1,INDEX(Invoices!$B$6:$B$305,SUMIFS(Invoices!$O$6:$O$305,Invoices!$C$6:$C$305,C1828,Invoices!$E$6:$E$305,"&lt;="&amp;B1828,Invoices!$F$6:$F$305,"&gt;="&amp;B1828)),IF(COUNTIFS(Invoices!$C$6:$C$305,C1828,Invoices!$E$6:$E$305,"&lt;="&amp;B1828,Invoices!$F$6:$F$305,"&gt;="&amp;B1828)&gt;1,"Two invoices",""))))</f>
        <v/>
      </c>
      <c r="Q1828" s="15">
        <f>IF(B1828="","",IF(J1828&lt;&gt;"","Not billable",IF(P1828="","To invoice",IF(P1828="Two invoices","Check dates",IF(ISNA(MATCH(P1828,Invoices!$B$6:$B$305,0)),"Check number",IF(INDEX(Invoices!$M$6:$M$305,MATCH(P1828,Invoices!$B$6:$B$305,0))="Paid","Paid",IF(INDEX(Invoices!$M$6:$M$305,MATCH(P1828,Invoices!$B$6:$B$305,0))="Draft","Draft","Invoiced")))))))</f>
        <v/>
      </c>
      <c r="R1828" s="1">
        <f>IF(AND(B1828&lt;&gt;"",P1828&lt;&gt;"",P1828=Invoice!$G$4),B1828+MOD(N(F1828),1)+ROW()/10000000,"")</f>
        <v/>
      </c>
      <c r="S1828">
        <f>IF(R1828="","",IF(D1828="","Other work",D1828)&amp;IF(AND(K1828&lt;&gt;"",E1828&lt;&gt;""),", "&amp;E1828,""))</f>
        <v/>
      </c>
      <c r="T1828">
        <f>IF(R1828="","",IF(COUNTIFS(R$6:R1827,"&gt;0",S$6:S1827,S1828,N$6:N1827,N1828)=0,R1828,""))</f>
        <v/>
      </c>
      <c r="U1828">
        <f>IF(B1828="","",IF(J1828&lt;&gt;"",0,M1828))</f>
        <v/>
      </c>
    </row>
    <row r="1829">
      <c r="A1829" s="1" t="n"/>
      <c r="B1829" s="16" t="n"/>
      <c r="C1829" s="17" t="n"/>
      <c r="D1829" s="18" t="n"/>
      <c r="E1829" s="18" t="n"/>
      <c r="F1829" s="19" t="n"/>
      <c r="G1829" s="19" t="n"/>
      <c r="H1829" s="20" t="n"/>
      <c r="I1829" s="21" t="n"/>
      <c r="J1829" s="22" t="n"/>
      <c r="K1829" s="23" t="n"/>
      <c r="L1829" s="18" t="n"/>
      <c r="M1829" s="24">
        <f>IF(B1829="","",IF(AND(F1829&lt;&gt;"",G1829&lt;&gt;""),MAX(0,ROUND(MOD(G1829-F1829,1)*24-N(H1829)/60,2)),N(I1829)))</f>
        <v/>
      </c>
      <c r="N1829" s="14">
        <f>IF(B1829="","",IF(K1829&lt;&gt;"",K1829,IF(N(IFERROR(INDEX(Projects!$D$6:$D$65,MATCH(D1829,Projects!$B$6:$B$65,0)),""))&gt;0,IFERROR(INDEX(Projects!$D$6:$D$65,MATCH(D1829,Projects!$B$6:$B$65,0)),""),IFERROR(INDEX(Clients!$G$6:$G$45,MATCH(C1829,Clients!$B$6:$B$45,0)),0))))</f>
        <v/>
      </c>
      <c r="O1829" s="14">
        <f>IF(B1829="","",IF(J1829&lt;&gt;"",0,ROUND(M1829*N1829,2)))</f>
        <v/>
      </c>
      <c r="P1829" s="15">
        <f>IF(OR(B1829="",J1829&lt;&gt;""),"",IF(L1829&lt;&gt;"",L1829,IF(COUNTIFS(Invoices!$C$6:$C$305,C1829,Invoices!$E$6:$E$305,"&lt;="&amp;B1829,Invoices!$F$6:$F$305,"&gt;="&amp;B1829)=1,INDEX(Invoices!$B$6:$B$305,SUMIFS(Invoices!$O$6:$O$305,Invoices!$C$6:$C$305,C1829,Invoices!$E$6:$E$305,"&lt;="&amp;B1829,Invoices!$F$6:$F$305,"&gt;="&amp;B1829)),IF(COUNTIFS(Invoices!$C$6:$C$305,C1829,Invoices!$E$6:$E$305,"&lt;="&amp;B1829,Invoices!$F$6:$F$305,"&gt;="&amp;B1829)&gt;1,"Two invoices",""))))</f>
        <v/>
      </c>
      <c r="Q1829" s="15">
        <f>IF(B1829="","",IF(J1829&lt;&gt;"","Not billable",IF(P1829="","To invoice",IF(P1829="Two invoices","Check dates",IF(ISNA(MATCH(P1829,Invoices!$B$6:$B$305,0)),"Check number",IF(INDEX(Invoices!$M$6:$M$305,MATCH(P1829,Invoices!$B$6:$B$305,0))="Paid","Paid",IF(INDEX(Invoices!$M$6:$M$305,MATCH(P1829,Invoices!$B$6:$B$305,0))="Draft","Draft","Invoiced")))))))</f>
        <v/>
      </c>
      <c r="R1829" s="1">
        <f>IF(AND(B1829&lt;&gt;"",P1829&lt;&gt;"",P1829=Invoice!$G$4),B1829+MOD(N(F1829),1)+ROW()/10000000,"")</f>
        <v/>
      </c>
      <c r="S1829">
        <f>IF(R1829="","",IF(D1829="","Other work",D1829)&amp;IF(AND(K1829&lt;&gt;"",E1829&lt;&gt;""),", "&amp;E1829,""))</f>
        <v/>
      </c>
      <c r="T1829">
        <f>IF(R1829="","",IF(COUNTIFS(R$6:R1828,"&gt;0",S$6:S1828,S1829,N$6:N1828,N1829)=0,R1829,""))</f>
        <v/>
      </c>
      <c r="U1829">
        <f>IF(B1829="","",IF(J1829&lt;&gt;"",0,M1829))</f>
        <v/>
      </c>
    </row>
    <row r="1830">
      <c r="A1830" s="1" t="n"/>
      <c r="B1830" s="16" t="n"/>
      <c r="C1830" s="17" t="n"/>
      <c r="D1830" s="18" t="n"/>
      <c r="E1830" s="18" t="n"/>
      <c r="F1830" s="19" t="n"/>
      <c r="G1830" s="19" t="n"/>
      <c r="H1830" s="20" t="n"/>
      <c r="I1830" s="21" t="n"/>
      <c r="J1830" s="22" t="n"/>
      <c r="K1830" s="23" t="n"/>
      <c r="L1830" s="18" t="n"/>
      <c r="M1830" s="24">
        <f>IF(B1830="","",IF(AND(F1830&lt;&gt;"",G1830&lt;&gt;""),MAX(0,ROUND(MOD(G1830-F1830,1)*24-N(H1830)/60,2)),N(I1830)))</f>
        <v/>
      </c>
      <c r="N1830" s="14">
        <f>IF(B1830="","",IF(K1830&lt;&gt;"",K1830,IF(N(IFERROR(INDEX(Projects!$D$6:$D$65,MATCH(D1830,Projects!$B$6:$B$65,0)),""))&gt;0,IFERROR(INDEX(Projects!$D$6:$D$65,MATCH(D1830,Projects!$B$6:$B$65,0)),""),IFERROR(INDEX(Clients!$G$6:$G$45,MATCH(C1830,Clients!$B$6:$B$45,0)),0))))</f>
        <v/>
      </c>
      <c r="O1830" s="14">
        <f>IF(B1830="","",IF(J1830&lt;&gt;"",0,ROUND(M1830*N1830,2)))</f>
        <v/>
      </c>
      <c r="P1830" s="15">
        <f>IF(OR(B1830="",J1830&lt;&gt;""),"",IF(L1830&lt;&gt;"",L1830,IF(COUNTIFS(Invoices!$C$6:$C$305,C1830,Invoices!$E$6:$E$305,"&lt;="&amp;B1830,Invoices!$F$6:$F$305,"&gt;="&amp;B1830)=1,INDEX(Invoices!$B$6:$B$305,SUMIFS(Invoices!$O$6:$O$305,Invoices!$C$6:$C$305,C1830,Invoices!$E$6:$E$305,"&lt;="&amp;B1830,Invoices!$F$6:$F$305,"&gt;="&amp;B1830)),IF(COUNTIFS(Invoices!$C$6:$C$305,C1830,Invoices!$E$6:$E$305,"&lt;="&amp;B1830,Invoices!$F$6:$F$305,"&gt;="&amp;B1830)&gt;1,"Two invoices",""))))</f>
        <v/>
      </c>
      <c r="Q1830" s="15">
        <f>IF(B1830="","",IF(J1830&lt;&gt;"","Not billable",IF(P1830="","To invoice",IF(P1830="Two invoices","Check dates",IF(ISNA(MATCH(P1830,Invoices!$B$6:$B$305,0)),"Check number",IF(INDEX(Invoices!$M$6:$M$305,MATCH(P1830,Invoices!$B$6:$B$305,0))="Paid","Paid",IF(INDEX(Invoices!$M$6:$M$305,MATCH(P1830,Invoices!$B$6:$B$305,0))="Draft","Draft","Invoiced")))))))</f>
        <v/>
      </c>
      <c r="R1830" s="1">
        <f>IF(AND(B1830&lt;&gt;"",P1830&lt;&gt;"",P1830=Invoice!$G$4),B1830+MOD(N(F1830),1)+ROW()/10000000,"")</f>
        <v/>
      </c>
      <c r="S1830">
        <f>IF(R1830="","",IF(D1830="","Other work",D1830)&amp;IF(AND(K1830&lt;&gt;"",E1830&lt;&gt;""),", "&amp;E1830,""))</f>
        <v/>
      </c>
      <c r="T1830">
        <f>IF(R1830="","",IF(COUNTIFS(R$6:R1829,"&gt;0",S$6:S1829,S1830,N$6:N1829,N1830)=0,R1830,""))</f>
        <v/>
      </c>
      <c r="U1830">
        <f>IF(B1830="","",IF(J1830&lt;&gt;"",0,M1830))</f>
        <v/>
      </c>
    </row>
    <row r="1831">
      <c r="A1831" s="1" t="n"/>
      <c r="B1831" s="16" t="n"/>
      <c r="C1831" s="17" t="n"/>
      <c r="D1831" s="18" t="n"/>
      <c r="E1831" s="18" t="n"/>
      <c r="F1831" s="19" t="n"/>
      <c r="G1831" s="19" t="n"/>
      <c r="H1831" s="20" t="n"/>
      <c r="I1831" s="21" t="n"/>
      <c r="J1831" s="22" t="n"/>
      <c r="K1831" s="23" t="n"/>
      <c r="L1831" s="18" t="n"/>
      <c r="M1831" s="24">
        <f>IF(B1831="","",IF(AND(F1831&lt;&gt;"",G1831&lt;&gt;""),MAX(0,ROUND(MOD(G1831-F1831,1)*24-N(H1831)/60,2)),N(I1831)))</f>
        <v/>
      </c>
      <c r="N1831" s="14">
        <f>IF(B1831="","",IF(K1831&lt;&gt;"",K1831,IF(N(IFERROR(INDEX(Projects!$D$6:$D$65,MATCH(D1831,Projects!$B$6:$B$65,0)),""))&gt;0,IFERROR(INDEX(Projects!$D$6:$D$65,MATCH(D1831,Projects!$B$6:$B$65,0)),""),IFERROR(INDEX(Clients!$G$6:$G$45,MATCH(C1831,Clients!$B$6:$B$45,0)),0))))</f>
        <v/>
      </c>
      <c r="O1831" s="14">
        <f>IF(B1831="","",IF(J1831&lt;&gt;"",0,ROUND(M1831*N1831,2)))</f>
        <v/>
      </c>
      <c r="P1831" s="15">
        <f>IF(OR(B1831="",J1831&lt;&gt;""),"",IF(L1831&lt;&gt;"",L1831,IF(COUNTIFS(Invoices!$C$6:$C$305,C1831,Invoices!$E$6:$E$305,"&lt;="&amp;B1831,Invoices!$F$6:$F$305,"&gt;="&amp;B1831)=1,INDEX(Invoices!$B$6:$B$305,SUMIFS(Invoices!$O$6:$O$305,Invoices!$C$6:$C$305,C1831,Invoices!$E$6:$E$305,"&lt;="&amp;B1831,Invoices!$F$6:$F$305,"&gt;="&amp;B1831)),IF(COUNTIFS(Invoices!$C$6:$C$305,C1831,Invoices!$E$6:$E$305,"&lt;="&amp;B1831,Invoices!$F$6:$F$305,"&gt;="&amp;B1831)&gt;1,"Two invoices",""))))</f>
        <v/>
      </c>
      <c r="Q1831" s="15">
        <f>IF(B1831="","",IF(J1831&lt;&gt;"","Not billable",IF(P1831="","To invoice",IF(P1831="Two invoices","Check dates",IF(ISNA(MATCH(P1831,Invoices!$B$6:$B$305,0)),"Check number",IF(INDEX(Invoices!$M$6:$M$305,MATCH(P1831,Invoices!$B$6:$B$305,0))="Paid","Paid",IF(INDEX(Invoices!$M$6:$M$305,MATCH(P1831,Invoices!$B$6:$B$305,0))="Draft","Draft","Invoiced")))))))</f>
        <v/>
      </c>
      <c r="R1831" s="1">
        <f>IF(AND(B1831&lt;&gt;"",P1831&lt;&gt;"",P1831=Invoice!$G$4),B1831+MOD(N(F1831),1)+ROW()/10000000,"")</f>
        <v/>
      </c>
      <c r="S1831">
        <f>IF(R1831="","",IF(D1831="","Other work",D1831)&amp;IF(AND(K1831&lt;&gt;"",E1831&lt;&gt;""),", "&amp;E1831,""))</f>
        <v/>
      </c>
      <c r="T1831">
        <f>IF(R1831="","",IF(COUNTIFS(R$6:R1830,"&gt;0",S$6:S1830,S1831,N$6:N1830,N1831)=0,R1831,""))</f>
        <v/>
      </c>
      <c r="U1831">
        <f>IF(B1831="","",IF(J1831&lt;&gt;"",0,M1831))</f>
        <v/>
      </c>
    </row>
    <row r="1832">
      <c r="A1832" s="1" t="n"/>
      <c r="B1832" s="16" t="n"/>
      <c r="C1832" s="17" t="n"/>
      <c r="D1832" s="18" t="n"/>
      <c r="E1832" s="18" t="n"/>
      <c r="F1832" s="19" t="n"/>
      <c r="G1832" s="19" t="n"/>
      <c r="H1832" s="20" t="n"/>
      <c r="I1832" s="21" t="n"/>
      <c r="J1832" s="22" t="n"/>
      <c r="K1832" s="23" t="n"/>
      <c r="L1832" s="18" t="n"/>
      <c r="M1832" s="24">
        <f>IF(B1832="","",IF(AND(F1832&lt;&gt;"",G1832&lt;&gt;""),MAX(0,ROUND(MOD(G1832-F1832,1)*24-N(H1832)/60,2)),N(I1832)))</f>
        <v/>
      </c>
      <c r="N1832" s="14">
        <f>IF(B1832="","",IF(K1832&lt;&gt;"",K1832,IF(N(IFERROR(INDEX(Projects!$D$6:$D$65,MATCH(D1832,Projects!$B$6:$B$65,0)),""))&gt;0,IFERROR(INDEX(Projects!$D$6:$D$65,MATCH(D1832,Projects!$B$6:$B$65,0)),""),IFERROR(INDEX(Clients!$G$6:$G$45,MATCH(C1832,Clients!$B$6:$B$45,0)),0))))</f>
        <v/>
      </c>
      <c r="O1832" s="14">
        <f>IF(B1832="","",IF(J1832&lt;&gt;"",0,ROUND(M1832*N1832,2)))</f>
        <v/>
      </c>
      <c r="P1832" s="15">
        <f>IF(OR(B1832="",J1832&lt;&gt;""),"",IF(L1832&lt;&gt;"",L1832,IF(COUNTIFS(Invoices!$C$6:$C$305,C1832,Invoices!$E$6:$E$305,"&lt;="&amp;B1832,Invoices!$F$6:$F$305,"&gt;="&amp;B1832)=1,INDEX(Invoices!$B$6:$B$305,SUMIFS(Invoices!$O$6:$O$305,Invoices!$C$6:$C$305,C1832,Invoices!$E$6:$E$305,"&lt;="&amp;B1832,Invoices!$F$6:$F$305,"&gt;="&amp;B1832)),IF(COUNTIFS(Invoices!$C$6:$C$305,C1832,Invoices!$E$6:$E$305,"&lt;="&amp;B1832,Invoices!$F$6:$F$305,"&gt;="&amp;B1832)&gt;1,"Two invoices",""))))</f>
        <v/>
      </c>
      <c r="Q1832" s="15">
        <f>IF(B1832="","",IF(J1832&lt;&gt;"","Not billable",IF(P1832="","To invoice",IF(P1832="Two invoices","Check dates",IF(ISNA(MATCH(P1832,Invoices!$B$6:$B$305,0)),"Check number",IF(INDEX(Invoices!$M$6:$M$305,MATCH(P1832,Invoices!$B$6:$B$305,0))="Paid","Paid",IF(INDEX(Invoices!$M$6:$M$305,MATCH(P1832,Invoices!$B$6:$B$305,0))="Draft","Draft","Invoiced")))))))</f>
        <v/>
      </c>
      <c r="R1832" s="1">
        <f>IF(AND(B1832&lt;&gt;"",P1832&lt;&gt;"",P1832=Invoice!$G$4),B1832+MOD(N(F1832),1)+ROW()/10000000,"")</f>
        <v/>
      </c>
      <c r="S1832">
        <f>IF(R1832="","",IF(D1832="","Other work",D1832)&amp;IF(AND(K1832&lt;&gt;"",E1832&lt;&gt;""),", "&amp;E1832,""))</f>
        <v/>
      </c>
      <c r="T1832">
        <f>IF(R1832="","",IF(COUNTIFS(R$6:R1831,"&gt;0",S$6:S1831,S1832,N$6:N1831,N1832)=0,R1832,""))</f>
        <v/>
      </c>
      <c r="U1832">
        <f>IF(B1832="","",IF(J1832&lt;&gt;"",0,M1832))</f>
        <v/>
      </c>
    </row>
    <row r="1833">
      <c r="A1833" s="1" t="n"/>
      <c r="B1833" s="16" t="n"/>
      <c r="C1833" s="17" t="n"/>
      <c r="D1833" s="18" t="n"/>
      <c r="E1833" s="18" t="n"/>
      <c r="F1833" s="19" t="n"/>
      <c r="G1833" s="19" t="n"/>
      <c r="H1833" s="20" t="n"/>
      <c r="I1833" s="21" t="n"/>
      <c r="J1833" s="22" t="n"/>
      <c r="K1833" s="23" t="n"/>
      <c r="L1833" s="18" t="n"/>
      <c r="M1833" s="24">
        <f>IF(B1833="","",IF(AND(F1833&lt;&gt;"",G1833&lt;&gt;""),MAX(0,ROUND(MOD(G1833-F1833,1)*24-N(H1833)/60,2)),N(I1833)))</f>
        <v/>
      </c>
      <c r="N1833" s="14">
        <f>IF(B1833="","",IF(K1833&lt;&gt;"",K1833,IF(N(IFERROR(INDEX(Projects!$D$6:$D$65,MATCH(D1833,Projects!$B$6:$B$65,0)),""))&gt;0,IFERROR(INDEX(Projects!$D$6:$D$65,MATCH(D1833,Projects!$B$6:$B$65,0)),""),IFERROR(INDEX(Clients!$G$6:$G$45,MATCH(C1833,Clients!$B$6:$B$45,0)),0))))</f>
        <v/>
      </c>
      <c r="O1833" s="14">
        <f>IF(B1833="","",IF(J1833&lt;&gt;"",0,ROUND(M1833*N1833,2)))</f>
        <v/>
      </c>
      <c r="P1833" s="15">
        <f>IF(OR(B1833="",J1833&lt;&gt;""),"",IF(L1833&lt;&gt;"",L1833,IF(COUNTIFS(Invoices!$C$6:$C$305,C1833,Invoices!$E$6:$E$305,"&lt;="&amp;B1833,Invoices!$F$6:$F$305,"&gt;="&amp;B1833)=1,INDEX(Invoices!$B$6:$B$305,SUMIFS(Invoices!$O$6:$O$305,Invoices!$C$6:$C$305,C1833,Invoices!$E$6:$E$305,"&lt;="&amp;B1833,Invoices!$F$6:$F$305,"&gt;="&amp;B1833)),IF(COUNTIFS(Invoices!$C$6:$C$305,C1833,Invoices!$E$6:$E$305,"&lt;="&amp;B1833,Invoices!$F$6:$F$305,"&gt;="&amp;B1833)&gt;1,"Two invoices",""))))</f>
        <v/>
      </c>
      <c r="Q1833" s="15">
        <f>IF(B1833="","",IF(J1833&lt;&gt;"","Not billable",IF(P1833="","To invoice",IF(P1833="Two invoices","Check dates",IF(ISNA(MATCH(P1833,Invoices!$B$6:$B$305,0)),"Check number",IF(INDEX(Invoices!$M$6:$M$305,MATCH(P1833,Invoices!$B$6:$B$305,0))="Paid","Paid",IF(INDEX(Invoices!$M$6:$M$305,MATCH(P1833,Invoices!$B$6:$B$305,0))="Draft","Draft","Invoiced")))))))</f>
        <v/>
      </c>
      <c r="R1833" s="1">
        <f>IF(AND(B1833&lt;&gt;"",P1833&lt;&gt;"",P1833=Invoice!$G$4),B1833+MOD(N(F1833),1)+ROW()/10000000,"")</f>
        <v/>
      </c>
      <c r="S1833">
        <f>IF(R1833="","",IF(D1833="","Other work",D1833)&amp;IF(AND(K1833&lt;&gt;"",E1833&lt;&gt;""),", "&amp;E1833,""))</f>
        <v/>
      </c>
      <c r="T1833">
        <f>IF(R1833="","",IF(COUNTIFS(R$6:R1832,"&gt;0",S$6:S1832,S1833,N$6:N1832,N1833)=0,R1833,""))</f>
        <v/>
      </c>
      <c r="U1833">
        <f>IF(B1833="","",IF(J1833&lt;&gt;"",0,M1833))</f>
        <v/>
      </c>
    </row>
    <row r="1834">
      <c r="A1834" s="1" t="n"/>
      <c r="B1834" s="16" t="n"/>
      <c r="C1834" s="17" t="n"/>
      <c r="D1834" s="18" t="n"/>
      <c r="E1834" s="18" t="n"/>
      <c r="F1834" s="19" t="n"/>
      <c r="G1834" s="19" t="n"/>
      <c r="H1834" s="20" t="n"/>
      <c r="I1834" s="21" t="n"/>
      <c r="J1834" s="22" t="n"/>
      <c r="K1834" s="23" t="n"/>
      <c r="L1834" s="18" t="n"/>
      <c r="M1834" s="24">
        <f>IF(B1834="","",IF(AND(F1834&lt;&gt;"",G1834&lt;&gt;""),MAX(0,ROUND(MOD(G1834-F1834,1)*24-N(H1834)/60,2)),N(I1834)))</f>
        <v/>
      </c>
      <c r="N1834" s="14">
        <f>IF(B1834="","",IF(K1834&lt;&gt;"",K1834,IF(N(IFERROR(INDEX(Projects!$D$6:$D$65,MATCH(D1834,Projects!$B$6:$B$65,0)),""))&gt;0,IFERROR(INDEX(Projects!$D$6:$D$65,MATCH(D1834,Projects!$B$6:$B$65,0)),""),IFERROR(INDEX(Clients!$G$6:$G$45,MATCH(C1834,Clients!$B$6:$B$45,0)),0))))</f>
        <v/>
      </c>
      <c r="O1834" s="14">
        <f>IF(B1834="","",IF(J1834&lt;&gt;"",0,ROUND(M1834*N1834,2)))</f>
        <v/>
      </c>
      <c r="P1834" s="15">
        <f>IF(OR(B1834="",J1834&lt;&gt;""),"",IF(L1834&lt;&gt;"",L1834,IF(COUNTIFS(Invoices!$C$6:$C$305,C1834,Invoices!$E$6:$E$305,"&lt;="&amp;B1834,Invoices!$F$6:$F$305,"&gt;="&amp;B1834)=1,INDEX(Invoices!$B$6:$B$305,SUMIFS(Invoices!$O$6:$O$305,Invoices!$C$6:$C$305,C1834,Invoices!$E$6:$E$305,"&lt;="&amp;B1834,Invoices!$F$6:$F$305,"&gt;="&amp;B1834)),IF(COUNTIFS(Invoices!$C$6:$C$305,C1834,Invoices!$E$6:$E$305,"&lt;="&amp;B1834,Invoices!$F$6:$F$305,"&gt;="&amp;B1834)&gt;1,"Two invoices",""))))</f>
        <v/>
      </c>
      <c r="Q1834" s="15">
        <f>IF(B1834="","",IF(J1834&lt;&gt;"","Not billable",IF(P1834="","To invoice",IF(P1834="Two invoices","Check dates",IF(ISNA(MATCH(P1834,Invoices!$B$6:$B$305,0)),"Check number",IF(INDEX(Invoices!$M$6:$M$305,MATCH(P1834,Invoices!$B$6:$B$305,0))="Paid","Paid",IF(INDEX(Invoices!$M$6:$M$305,MATCH(P1834,Invoices!$B$6:$B$305,0))="Draft","Draft","Invoiced")))))))</f>
        <v/>
      </c>
      <c r="R1834" s="1">
        <f>IF(AND(B1834&lt;&gt;"",P1834&lt;&gt;"",P1834=Invoice!$G$4),B1834+MOD(N(F1834),1)+ROW()/10000000,"")</f>
        <v/>
      </c>
      <c r="S1834">
        <f>IF(R1834="","",IF(D1834="","Other work",D1834)&amp;IF(AND(K1834&lt;&gt;"",E1834&lt;&gt;""),", "&amp;E1834,""))</f>
        <v/>
      </c>
      <c r="T1834">
        <f>IF(R1834="","",IF(COUNTIFS(R$6:R1833,"&gt;0",S$6:S1833,S1834,N$6:N1833,N1834)=0,R1834,""))</f>
        <v/>
      </c>
      <c r="U1834">
        <f>IF(B1834="","",IF(J1834&lt;&gt;"",0,M1834))</f>
        <v/>
      </c>
    </row>
    <row r="1835">
      <c r="A1835" s="1" t="n"/>
      <c r="B1835" s="16" t="n"/>
      <c r="C1835" s="17" t="n"/>
      <c r="D1835" s="18" t="n"/>
      <c r="E1835" s="18" t="n"/>
      <c r="F1835" s="19" t="n"/>
      <c r="G1835" s="19" t="n"/>
      <c r="H1835" s="20" t="n"/>
      <c r="I1835" s="21" t="n"/>
      <c r="J1835" s="22" t="n"/>
      <c r="K1835" s="23" t="n"/>
      <c r="L1835" s="18" t="n"/>
      <c r="M1835" s="24">
        <f>IF(B1835="","",IF(AND(F1835&lt;&gt;"",G1835&lt;&gt;""),MAX(0,ROUND(MOD(G1835-F1835,1)*24-N(H1835)/60,2)),N(I1835)))</f>
        <v/>
      </c>
      <c r="N1835" s="14">
        <f>IF(B1835="","",IF(K1835&lt;&gt;"",K1835,IF(N(IFERROR(INDEX(Projects!$D$6:$D$65,MATCH(D1835,Projects!$B$6:$B$65,0)),""))&gt;0,IFERROR(INDEX(Projects!$D$6:$D$65,MATCH(D1835,Projects!$B$6:$B$65,0)),""),IFERROR(INDEX(Clients!$G$6:$G$45,MATCH(C1835,Clients!$B$6:$B$45,0)),0))))</f>
        <v/>
      </c>
      <c r="O1835" s="14">
        <f>IF(B1835="","",IF(J1835&lt;&gt;"",0,ROUND(M1835*N1835,2)))</f>
        <v/>
      </c>
      <c r="P1835" s="15">
        <f>IF(OR(B1835="",J1835&lt;&gt;""),"",IF(L1835&lt;&gt;"",L1835,IF(COUNTIFS(Invoices!$C$6:$C$305,C1835,Invoices!$E$6:$E$305,"&lt;="&amp;B1835,Invoices!$F$6:$F$305,"&gt;="&amp;B1835)=1,INDEX(Invoices!$B$6:$B$305,SUMIFS(Invoices!$O$6:$O$305,Invoices!$C$6:$C$305,C1835,Invoices!$E$6:$E$305,"&lt;="&amp;B1835,Invoices!$F$6:$F$305,"&gt;="&amp;B1835)),IF(COUNTIFS(Invoices!$C$6:$C$305,C1835,Invoices!$E$6:$E$305,"&lt;="&amp;B1835,Invoices!$F$6:$F$305,"&gt;="&amp;B1835)&gt;1,"Two invoices",""))))</f>
        <v/>
      </c>
      <c r="Q1835" s="15">
        <f>IF(B1835="","",IF(J1835&lt;&gt;"","Not billable",IF(P1835="","To invoice",IF(P1835="Two invoices","Check dates",IF(ISNA(MATCH(P1835,Invoices!$B$6:$B$305,0)),"Check number",IF(INDEX(Invoices!$M$6:$M$305,MATCH(P1835,Invoices!$B$6:$B$305,0))="Paid","Paid",IF(INDEX(Invoices!$M$6:$M$305,MATCH(P1835,Invoices!$B$6:$B$305,0))="Draft","Draft","Invoiced")))))))</f>
        <v/>
      </c>
      <c r="R1835" s="1">
        <f>IF(AND(B1835&lt;&gt;"",P1835&lt;&gt;"",P1835=Invoice!$G$4),B1835+MOD(N(F1835),1)+ROW()/10000000,"")</f>
        <v/>
      </c>
      <c r="S1835">
        <f>IF(R1835="","",IF(D1835="","Other work",D1835)&amp;IF(AND(K1835&lt;&gt;"",E1835&lt;&gt;""),", "&amp;E1835,""))</f>
        <v/>
      </c>
      <c r="T1835">
        <f>IF(R1835="","",IF(COUNTIFS(R$6:R1834,"&gt;0",S$6:S1834,S1835,N$6:N1834,N1835)=0,R1835,""))</f>
        <v/>
      </c>
      <c r="U1835">
        <f>IF(B1835="","",IF(J1835&lt;&gt;"",0,M1835))</f>
        <v/>
      </c>
    </row>
    <row r="1836">
      <c r="A1836" s="1" t="n"/>
      <c r="B1836" s="16" t="n"/>
      <c r="C1836" s="17" t="n"/>
      <c r="D1836" s="18" t="n"/>
      <c r="E1836" s="18" t="n"/>
      <c r="F1836" s="19" t="n"/>
      <c r="G1836" s="19" t="n"/>
      <c r="H1836" s="20" t="n"/>
      <c r="I1836" s="21" t="n"/>
      <c r="J1836" s="22" t="n"/>
      <c r="K1836" s="23" t="n"/>
      <c r="L1836" s="18" t="n"/>
      <c r="M1836" s="24">
        <f>IF(B1836="","",IF(AND(F1836&lt;&gt;"",G1836&lt;&gt;""),MAX(0,ROUND(MOD(G1836-F1836,1)*24-N(H1836)/60,2)),N(I1836)))</f>
        <v/>
      </c>
      <c r="N1836" s="14">
        <f>IF(B1836="","",IF(K1836&lt;&gt;"",K1836,IF(N(IFERROR(INDEX(Projects!$D$6:$D$65,MATCH(D1836,Projects!$B$6:$B$65,0)),""))&gt;0,IFERROR(INDEX(Projects!$D$6:$D$65,MATCH(D1836,Projects!$B$6:$B$65,0)),""),IFERROR(INDEX(Clients!$G$6:$G$45,MATCH(C1836,Clients!$B$6:$B$45,0)),0))))</f>
        <v/>
      </c>
      <c r="O1836" s="14">
        <f>IF(B1836="","",IF(J1836&lt;&gt;"",0,ROUND(M1836*N1836,2)))</f>
        <v/>
      </c>
      <c r="P1836" s="15">
        <f>IF(OR(B1836="",J1836&lt;&gt;""),"",IF(L1836&lt;&gt;"",L1836,IF(COUNTIFS(Invoices!$C$6:$C$305,C1836,Invoices!$E$6:$E$305,"&lt;="&amp;B1836,Invoices!$F$6:$F$305,"&gt;="&amp;B1836)=1,INDEX(Invoices!$B$6:$B$305,SUMIFS(Invoices!$O$6:$O$305,Invoices!$C$6:$C$305,C1836,Invoices!$E$6:$E$305,"&lt;="&amp;B1836,Invoices!$F$6:$F$305,"&gt;="&amp;B1836)),IF(COUNTIFS(Invoices!$C$6:$C$305,C1836,Invoices!$E$6:$E$305,"&lt;="&amp;B1836,Invoices!$F$6:$F$305,"&gt;="&amp;B1836)&gt;1,"Two invoices",""))))</f>
        <v/>
      </c>
      <c r="Q1836" s="15">
        <f>IF(B1836="","",IF(J1836&lt;&gt;"","Not billable",IF(P1836="","To invoice",IF(P1836="Two invoices","Check dates",IF(ISNA(MATCH(P1836,Invoices!$B$6:$B$305,0)),"Check number",IF(INDEX(Invoices!$M$6:$M$305,MATCH(P1836,Invoices!$B$6:$B$305,0))="Paid","Paid",IF(INDEX(Invoices!$M$6:$M$305,MATCH(P1836,Invoices!$B$6:$B$305,0))="Draft","Draft","Invoiced")))))))</f>
        <v/>
      </c>
      <c r="R1836" s="1">
        <f>IF(AND(B1836&lt;&gt;"",P1836&lt;&gt;"",P1836=Invoice!$G$4),B1836+MOD(N(F1836),1)+ROW()/10000000,"")</f>
        <v/>
      </c>
      <c r="S1836">
        <f>IF(R1836="","",IF(D1836="","Other work",D1836)&amp;IF(AND(K1836&lt;&gt;"",E1836&lt;&gt;""),", "&amp;E1836,""))</f>
        <v/>
      </c>
      <c r="T1836">
        <f>IF(R1836="","",IF(COUNTIFS(R$6:R1835,"&gt;0",S$6:S1835,S1836,N$6:N1835,N1836)=0,R1836,""))</f>
        <v/>
      </c>
      <c r="U1836">
        <f>IF(B1836="","",IF(J1836&lt;&gt;"",0,M1836))</f>
        <v/>
      </c>
    </row>
    <row r="1837">
      <c r="A1837" s="1" t="n"/>
      <c r="B1837" s="16" t="n"/>
      <c r="C1837" s="17" t="n"/>
      <c r="D1837" s="18" t="n"/>
      <c r="E1837" s="18" t="n"/>
      <c r="F1837" s="19" t="n"/>
      <c r="G1837" s="19" t="n"/>
      <c r="H1837" s="20" t="n"/>
      <c r="I1837" s="21" t="n"/>
      <c r="J1837" s="22" t="n"/>
      <c r="K1837" s="23" t="n"/>
      <c r="L1837" s="18" t="n"/>
      <c r="M1837" s="24">
        <f>IF(B1837="","",IF(AND(F1837&lt;&gt;"",G1837&lt;&gt;""),MAX(0,ROUND(MOD(G1837-F1837,1)*24-N(H1837)/60,2)),N(I1837)))</f>
        <v/>
      </c>
      <c r="N1837" s="14">
        <f>IF(B1837="","",IF(K1837&lt;&gt;"",K1837,IF(N(IFERROR(INDEX(Projects!$D$6:$D$65,MATCH(D1837,Projects!$B$6:$B$65,0)),""))&gt;0,IFERROR(INDEX(Projects!$D$6:$D$65,MATCH(D1837,Projects!$B$6:$B$65,0)),""),IFERROR(INDEX(Clients!$G$6:$G$45,MATCH(C1837,Clients!$B$6:$B$45,0)),0))))</f>
        <v/>
      </c>
      <c r="O1837" s="14">
        <f>IF(B1837="","",IF(J1837&lt;&gt;"",0,ROUND(M1837*N1837,2)))</f>
        <v/>
      </c>
      <c r="P1837" s="15">
        <f>IF(OR(B1837="",J1837&lt;&gt;""),"",IF(L1837&lt;&gt;"",L1837,IF(COUNTIFS(Invoices!$C$6:$C$305,C1837,Invoices!$E$6:$E$305,"&lt;="&amp;B1837,Invoices!$F$6:$F$305,"&gt;="&amp;B1837)=1,INDEX(Invoices!$B$6:$B$305,SUMIFS(Invoices!$O$6:$O$305,Invoices!$C$6:$C$305,C1837,Invoices!$E$6:$E$305,"&lt;="&amp;B1837,Invoices!$F$6:$F$305,"&gt;="&amp;B1837)),IF(COUNTIFS(Invoices!$C$6:$C$305,C1837,Invoices!$E$6:$E$305,"&lt;="&amp;B1837,Invoices!$F$6:$F$305,"&gt;="&amp;B1837)&gt;1,"Two invoices",""))))</f>
        <v/>
      </c>
      <c r="Q1837" s="15">
        <f>IF(B1837="","",IF(J1837&lt;&gt;"","Not billable",IF(P1837="","To invoice",IF(P1837="Two invoices","Check dates",IF(ISNA(MATCH(P1837,Invoices!$B$6:$B$305,0)),"Check number",IF(INDEX(Invoices!$M$6:$M$305,MATCH(P1837,Invoices!$B$6:$B$305,0))="Paid","Paid",IF(INDEX(Invoices!$M$6:$M$305,MATCH(P1837,Invoices!$B$6:$B$305,0))="Draft","Draft","Invoiced")))))))</f>
        <v/>
      </c>
      <c r="R1837" s="1">
        <f>IF(AND(B1837&lt;&gt;"",P1837&lt;&gt;"",P1837=Invoice!$G$4),B1837+MOD(N(F1837),1)+ROW()/10000000,"")</f>
        <v/>
      </c>
      <c r="S1837">
        <f>IF(R1837="","",IF(D1837="","Other work",D1837)&amp;IF(AND(K1837&lt;&gt;"",E1837&lt;&gt;""),", "&amp;E1837,""))</f>
        <v/>
      </c>
      <c r="T1837">
        <f>IF(R1837="","",IF(COUNTIFS(R$6:R1836,"&gt;0",S$6:S1836,S1837,N$6:N1836,N1837)=0,R1837,""))</f>
        <v/>
      </c>
      <c r="U1837">
        <f>IF(B1837="","",IF(J1837&lt;&gt;"",0,M1837))</f>
        <v/>
      </c>
    </row>
    <row r="1838">
      <c r="A1838" s="1" t="n"/>
      <c r="B1838" s="16" t="n"/>
      <c r="C1838" s="17" t="n"/>
      <c r="D1838" s="18" t="n"/>
      <c r="E1838" s="18" t="n"/>
      <c r="F1838" s="19" t="n"/>
      <c r="G1838" s="19" t="n"/>
      <c r="H1838" s="20" t="n"/>
      <c r="I1838" s="21" t="n"/>
      <c r="J1838" s="22" t="n"/>
      <c r="K1838" s="23" t="n"/>
      <c r="L1838" s="18" t="n"/>
      <c r="M1838" s="24">
        <f>IF(B1838="","",IF(AND(F1838&lt;&gt;"",G1838&lt;&gt;""),MAX(0,ROUND(MOD(G1838-F1838,1)*24-N(H1838)/60,2)),N(I1838)))</f>
        <v/>
      </c>
      <c r="N1838" s="14">
        <f>IF(B1838="","",IF(K1838&lt;&gt;"",K1838,IF(N(IFERROR(INDEX(Projects!$D$6:$D$65,MATCH(D1838,Projects!$B$6:$B$65,0)),""))&gt;0,IFERROR(INDEX(Projects!$D$6:$D$65,MATCH(D1838,Projects!$B$6:$B$65,0)),""),IFERROR(INDEX(Clients!$G$6:$G$45,MATCH(C1838,Clients!$B$6:$B$45,0)),0))))</f>
        <v/>
      </c>
      <c r="O1838" s="14">
        <f>IF(B1838="","",IF(J1838&lt;&gt;"",0,ROUND(M1838*N1838,2)))</f>
        <v/>
      </c>
      <c r="P1838" s="15">
        <f>IF(OR(B1838="",J1838&lt;&gt;""),"",IF(L1838&lt;&gt;"",L1838,IF(COUNTIFS(Invoices!$C$6:$C$305,C1838,Invoices!$E$6:$E$305,"&lt;="&amp;B1838,Invoices!$F$6:$F$305,"&gt;="&amp;B1838)=1,INDEX(Invoices!$B$6:$B$305,SUMIFS(Invoices!$O$6:$O$305,Invoices!$C$6:$C$305,C1838,Invoices!$E$6:$E$305,"&lt;="&amp;B1838,Invoices!$F$6:$F$305,"&gt;="&amp;B1838)),IF(COUNTIFS(Invoices!$C$6:$C$305,C1838,Invoices!$E$6:$E$305,"&lt;="&amp;B1838,Invoices!$F$6:$F$305,"&gt;="&amp;B1838)&gt;1,"Two invoices",""))))</f>
        <v/>
      </c>
      <c r="Q1838" s="15">
        <f>IF(B1838="","",IF(J1838&lt;&gt;"","Not billable",IF(P1838="","To invoice",IF(P1838="Two invoices","Check dates",IF(ISNA(MATCH(P1838,Invoices!$B$6:$B$305,0)),"Check number",IF(INDEX(Invoices!$M$6:$M$305,MATCH(P1838,Invoices!$B$6:$B$305,0))="Paid","Paid",IF(INDEX(Invoices!$M$6:$M$305,MATCH(P1838,Invoices!$B$6:$B$305,0))="Draft","Draft","Invoiced")))))))</f>
        <v/>
      </c>
      <c r="R1838" s="1">
        <f>IF(AND(B1838&lt;&gt;"",P1838&lt;&gt;"",P1838=Invoice!$G$4),B1838+MOD(N(F1838),1)+ROW()/10000000,"")</f>
        <v/>
      </c>
      <c r="S1838">
        <f>IF(R1838="","",IF(D1838="","Other work",D1838)&amp;IF(AND(K1838&lt;&gt;"",E1838&lt;&gt;""),", "&amp;E1838,""))</f>
        <v/>
      </c>
      <c r="T1838">
        <f>IF(R1838="","",IF(COUNTIFS(R$6:R1837,"&gt;0",S$6:S1837,S1838,N$6:N1837,N1838)=0,R1838,""))</f>
        <v/>
      </c>
      <c r="U1838">
        <f>IF(B1838="","",IF(J1838&lt;&gt;"",0,M1838))</f>
        <v/>
      </c>
    </row>
    <row r="1839">
      <c r="A1839" s="1" t="n"/>
      <c r="B1839" s="16" t="n"/>
      <c r="C1839" s="17" t="n"/>
      <c r="D1839" s="18" t="n"/>
      <c r="E1839" s="18" t="n"/>
      <c r="F1839" s="19" t="n"/>
      <c r="G1839" s="19" t="n"/>
      <c r="H1839" s="20" t="n"/>
      <c r="I1839" s="21" t="n"/>
      <c r="J1839" s="22" t="n"/>
      <c r="K1839" s="23" t="n"/>
      <c r="L1839" s="18" t="n"/>
      <c r="M1839" s="24">
        <f>IF(B1839="","",IF(AND(F1839&lt;&gt;"",G1839&lt;&gt;""),MAX(0,ROUND(MOD(G1839-F1839,1)*24-N(H1839)/60,2)),N(I1839)))</f>
        <v/>
      </c>
      <c r="N1839" s="14">
        <f>IF(B1839="","",IF(K1839&lt;&gt;"",K1839,IF(N(IFERROR(INDEX(Projects!$D$6:$D$65,MATCH(D1839,Projects!$B$6:$B$65,0)),""))&gt;0,IFERROR(INDEX(Projects!$D$6:$D$65,MATCH(D1839,Projects!$B$6:$B$65,0)),""),IFERROR(INDEX(Clients!$G$6:$G$45,MATCH(C1839,Clients!$B$6:$B$45,0)),0))))</f>
        <v/>
      </c>
      <c r="O1839" s="14">
        <f>IF(B1839="","",IF(J1839&lt;&gt;"",0,ROUND(M1839*N1839,2)))</f>
        <v/>
      </c>
      <c r="P1839" s="15">
        <f>IF(OR(B1839="",J1839&lt;&gt;""),"",IF(L1839&lt;&gt;"",L1839,IF(COUNTIFS(Invoices!$C$6:$C$305,C1839,Invoices!$E$6:$E$305,"&lt;="&amp;B1839,Invoices!$F$6:$F$305,"&gt;="&amp;B1839)=1,INDEX(Invoices!$B$6:$B$305,SUMIFS(Invoices!$O$6:$O$305,Invoices!$C$6:$C$305,C1839,Invoices!$E$6:$E$305,"&lt;="&amp;B1839,Invoices!$F$6:$F$305,"&gt;="&amp;B1839)),IF(COUNTIFS(Invoices!$C$6:$C$305,C1839,Invoices!$E$6:$E$305,"&lt;="&amp;B1839,Invoices!$F$6:$F$305,"&gt;="&amp;B1839)&gt;1,"Two invoices",""))))</f>
        <v/>
      </c>
      <c r="Q1839" s="15">
        <f>IF(B1839="","",IF(J1839&lt;&gt;"","Not billable",IF(P1839="","To invoice",IF(P1839="Two invoices","Check dates",IF(ISNA(MATCH(P1839,Invoices!$B$6:$B$305,0)),"Check number",IF(INDEX(Invoices!$M$6:$M$305,MATCH(P1839,Invoices!$B$6:$B$305,0))="Paid","Paid",IF(INDEX(Invoices!$M$6:$M$305,MATCH(P1839,Invoices!$B$6:$B$305,0))="Draft","Draft","Invoiced")))))))</f>
        <v/>
      </c>
      <c r="R1839" s="1">
        <f>IF(AND(B1839&lt;&gt;"",P1839&lt;&gt;"",P1839=Invoice!$G$4),B1839+MOD(N(F1839),1)+ROW()/10000000,"")</f>
        <v/>
      </c>
      <c r="S1839">
        <f>IF(R1839="","",IF(D1839="","Other work",D1839)&amp;IF(AND(K1839&lt;&gt;"",E1839&lt;&gt;""),", "&amp;E1839,""))</f>
        <v/>
      </c>
      <c r="T1839">
        <f>IF(R1839="","",IF(COUNTIFS(R$6:R1838,"&gt;0",S$6:S1838,S1839,N$6:N1838,N1839)=0,R1839,""))</f>
        <v/>
      </c>
      <c r="U1839">
        <f>IF(B1839="","",IF(J1839&lt;&gt;"",0,M1839))</f>
        <v/>
      </c>
    </row>
    <row r="1840">
      <c r="A1840" s="1" t="n"/>
      <c r="B1840" s="16" t="n"/>
      <c r="C1840" s="17" t="n"/>
      <c r="D1840" s="18" t="n"/>
      <c r="E1840" s="18" t="n"/>
      <c r="F1840" s="19" t="n"/>
      <c r="G1840" s="19" t="n"/>
      <c r="H1840" s="20" t="n"/>
      <c r="I1840" s="21" t="n"/>
      <c r="J1840" s="22" t="n"/>
      <c r="K1840" s="23" t="n"/>
      <c r="L1840" s="18" t="n"/>
      <c r="M1840" s="24">
        <f>IF(B1840="","",IF(AND(F1840&lt;&gt;"",G1840&lt;&gt;""),MAX(0,ROUND(MOD(G1840-F1840,1)*24-N(H1840)/60,2)),N(I1840)))</f>
        <v/>
      </c>
      <c r="N1840" s="14">
        <f>IF(B1840="","",IF(K1840&lt;&gt;"",K1840,IF(N(IFERROR(INDEX(Projects!$D$6:$D$65,MATCH(D1840,Projects!$B$6:$B$65,0)),""))&gt;0,IFERROR(INDEX(Projects!$D$6:$D$65,MATCH(D1840,Projects!$B$6:$B$65,0)),""),IFERROR(INDEX(Clients!$G$6:$G$45,MATCH(C1840,Clients!$B$6:$B$45,0)),0))))</f>
        <v/>
      </c>
      <c r="O1840" s="14">
        <f>IF(B1840="","",IF(J1840&lt;&gt;"",0,ROUND(M1840*N1840,2)))</f>
        <v/>
      </c>
      <c r="P1840" s="15">
        <f>IF(OR(B1840="",J1840&lt;&gt;""),"",IF(L1840&lt;&gt;"",L1840,IF(COUNTIFS(Invoices!$C$6:$C$305,C1840,Invoices!$E$6:$E$305,"&lt;="&amp;B1840,Invoices!$F$6:$F$305,"&gt;="&amp;B1840)=1,INDEX(Invoices!$B$6:$B$305,SUMIFS(Invoices!$O$6:$O$305,Invoices!$C$6:$C$305,C1840,Invoices!$E$6:$E$305,"&lt;="&amp;B1840,Invoices!$F$6:$F$305,"&gt;="&amp;B1840)),IF(COUNTIFS(Invoices!$C$6:$C$305,C1840,Invoices!$E$6:$E$305,"&lt;="&amp;B1840,Invoices!$F$6:$F$305,"&gt;="&amp;B1840)&gt;1,"Two invoices",""))))</f>
        <v/>
      </c>
      <c r="Q1840" s="15">
        <f>IF(B1840="","",IF(J1840&lt;&gt;"","Not billable",IF(P1840="","To invoice",IF(P1840="Two invoices","Check dates",IF(ISNA(MATCH(P1840,Invoices!$B$6:$B$305,0)),"Check number",IF(INDEX(Invoices!$M$6:$M$305,MATCH(P1840,Invoices!$B$6:$B$305,0))="Paid","Paid",IF(INDEX(Invoices!$M$6:$M$305,MATCH(P1840,Invoices!$B$6:$B$305,0))="Draft","Draft","Invoiced")))))))</f>
        <v/>
      </c>
      <c r="R1840" s="1">
        <f>IF(AND(B1840&lt;&gt;"",P1840&lt;&gt;"",P1840=Invoice!$G$4),B1840+MOD(N(F1840),1)+ROW()/10000000,"")</f>
        <v/>
      </c>
      <c r="S1840">
        <f>IF(R1840="","",IF(D1840="","Other work",D1840)&amp;IF(AND(K1840&lt;&gt;"",E1840&lt;&gt;""),", "&amp;E1840,""))</f>
        <v/>
      </c>
      <c r="T1840">
        <f>IF(R1840="","",IF(COUNTIFS(R$6:R1839,"&gt;0",S$6:S1839,S1840,N$6:N1839,N1840)=0,R1840,""))</f>
        <v/>
      </c>
      <c r="U1840">
        <f>IF(B1840="","",IF(J1840&lt;&gt;"",0,M1840))</f>
        <v/>
      </c>
    </row>
    <row r="1841">
      <c r="A1841" s="1" t="n"/>
      <c r="B1841" s="16" t="n"/>
      <c r="C1841" s="17" t="n"/>
      <c r="D1841" s="18" t="n"/>
      <c r="E1841" s="18" t="n"/>
      <c r="F1841" s="19" t="n"/>
      <c r="G1841" s="19" t="n"/>
      <c r="H1841" s="20" t="n"/>
      <c r="I1841" s="21" t="n"/>
      <c r="J1841" s="22" t="n"/>
      <c r="K1841" s="23" t="n"/>
      <c r="L1841" s="18" t="n"/>
      <c r="M1841" s="24">
        <f>IF(B1841="","",IF(AND(F1841&lt;&gt;"",G1841&lt;&gt;""),MAX(0,ROUND(MOD(G1841-F1841,1)*24-N(H1841)/60,2)),N(I1841)))</f>
        <v/>
      </c>
      <c r="N1841" s="14">
        <f>IF(B1841="","",IF(K1841&lt;&gt;"",K1841,IF(N(IFERROR(INDEX(Projects!$D$6:$D$65,MATCH(D1841,Projects!$B$6:$B$65,0)),""))&gt;0,IFERROR(INDEX(Projects!$D$6:$D$65,MATCH(D1841,Projects!$B$6:$B$65,0)),""),IFERROR(INDEX(Clients!$G$6:$G$45,MATCH(C1841,Clients!$B$6:$B$45,0)),0))))</f>
        <v/>
      </c>
      <c r="O1841" s="14">
        <f>IF(B1841="","",IF(J1841&lt;&gt;"",0,ROUND(M1841*N1841,2)))</f>
        <v/>
      </c>
      <c r="P1841" s="15">
        <f>IF(OR(B1841="",J1841&lt;&gt;""),"",IF(L1841&lt;&gt;"",L1841,IF(COUNTIFS(Invoices!$C$6:$C$305,C1841,Invoices!$E$6:$E$305,"&lt;="&amp;B1841,Invoices!$F$6:$F$305,"&gt;="&amp;B1841)=1,INDEX(Invoices!$B$6:$B$305,SUMIFS(Invoices!$O$6:$O$305,Invoices!$C$6:$C$305,C1841,Invoices!$E$6:$E$305,"&lt;="&amp;B1841,Invoices!$F$6:$F$305,"&gt;="&amp;B1841)),IF(COUNTIFS(Invoices!$C$6:$C$305,C1841,Invoices!$E$6:$E$305,"&lt;="&amp;B1841,Invoices!$F$6:$F$305,"&gt;="&amp;B1841)&gt;1,"Two invoices",""))))</f>
        <v/>
      </c>
      <c r="Q1841" s="15">
        <f>IF(B1841="","",IF(J1841&lt;&gt;"","Not billable",IF(P1841="","To invoice",IF(P1841="Two invoices","Check dates",IF(ISNA(MATCH(P1841,Invoices!$B$6:$B$305,0)),"Check number",IF(INDEX(Invoices!$M$6:$M$305,MATCH(P1841,Invoices!$B$6:$B$305,0))="Paid","Paid",IF(INDEX(Invoices!$M$6:$M$305,MATCH(P1841,Invoices!$B$6:$B$305,0))="Draft","Draft","Invoiced")))))))</f>
        <v/>
      </c>
      <c r="R1841" s="1">
        <f>IF(AND(B1841&lt;&gt;"",P1841&lt;&gt;"",P1841=Invoice!$G$4),B1841+MOD(N(F1841),1)+ROW()/10000000,"")</f>
        <v/>
      </c>
      <c r="S1841">
        <f>IF(R1841="","",IF(D1841="","Other work",D1841)&amp;IF(AND(K1841&lt;&gt;"",E1841&lt;&gt;""),", "&amp;E1841,""))</f>
        <v/>
      </c>
      <c r="T1841">
        <f>IF(R1841="","",IF(COUNTIFS(R$6:R1840,"&gt;0",S$6:S1840,S1841,N$6:N1840,N1841)=0,R1841,""))</f>
        <v/>
      </c>
      <c r="U1841">
        <f>IF(B1841="","",IF(J1841&lt;&gt;"",0,M1841))</f>
        <v/>
      </c>
    </row>
    <row r="1842">
      <c r="A1842" s="1" t="n"/>
      <c r="B1842" s="16" t="n"/>
      <c r="C1842" s="17" t="n"/>
      <c r="D1842" s="18" t="n"/>
      <c r="E1842" s="18" t="n"/>
      <c r="F1842" s="19" t="n"/>
      <c r="G1842" s="19" t="n"/>
      <c r="H1842" s="20" t="n"/>
      <c r="I1842" s="21" t="n"/>
      <c r="J1842" s="22" t="n"/>
      <c r="K1842" s="23" t="n"/>
      <c r="L1842" s="18" t="n"/>
      <c r="M1842" s="24">
        <f>IF(B1842="","",IF(AND(F1842&lt;&gt;"",G1842&lt;&gt;""),MAX(0,ROUND(MOD(G1842-F1842,1)*24-N(H1842)/60,2)),N(I1842)))</f>
        <v/>
      </c>
      <c r="N1842" s="14">
        <f>IF(B1842="","",IF(K1842&lt;&gt;"",K1842,IF(N(IFERROR(INDEX(Projects!$D$6:$D$65,MATCH(D1842,Projects!$B$6:$B$65,0)),""))&gt;0,IFERROR(INDEX(Projects!$D$6:$D$65,MATCH(D1842,Projects!$B$6:$B$65,0)),""),IFERROR(INDEX(Clients!$G$6:$G$45,MATCH(C1842,Clients!$B$6:$B$45,0)),0))))</f>
        <v/>
      </c>
      <c r="O1842" s="14">
        <f>IF(B1842="","",IF(J1842&lt;&gt;"",0,ROUND(M1842*N1842,2)))</f>
        <v/>
      </c>
      <c r="P1842" s="15">
        <f>IF(OR(B1842="",J1842&lt;&gt;""),"",IF(L1842&lt;&gt;"",L1842,IF(COUNTIFS(Invoices!$C$6:$C$305,C1842,Invoices!$E$6:$E$305,"&lt;="&amp;B1842,Invoices!$F$6:$F$305,"&gt;="&amp;B1842)=1,INDEX(Invoices!$B$6:$B$305,SUMIFS(Invoices!$O$6:$O$305,Invoices!$C$6:$C$305,C1842,Invoices!$E$6:$E$305,"&lt;="&amp;B1842,Invoices!$F$6:$F$305,"&gt;="&amp;B1842)),IF(COUNTIFS(Invoices!$C$6:$C$305,C1842,Invoices!$E$6:$E$305,"&lt;="&amp;B1842,Invoices!$F$6:$F$305,"&gt;="&amp;B1842)&gt;1,"Two invoices",""))))</f>
        <v/>
      </c>
      <c r="Q1842" s="15">
        <f>IF(B1842="","",IF(J1842&lt;&gt;"","Not billable",IF(P1842="","To invoice",IF(P1842="Two invoices","Check dates",IF(ISNA(MATCH(P1842,Invoices!$B$6:$B$305,0)),"Check number",IF(INDEX(Invoices!$M$6:$M$305,MATCH(P1842,Invoices!$B$6:$B$305,0))="Paid","Paid",IF(INDEX(Invoices!$M$6:$M$305,MATCH(P1842,Invoices!$B$6:$B$305,0))="Draft","Draft","Invoiced")))))))</f>
        <v/>
      </c>
      <c r="R1842" s="1">
        <f>IF(AND(B1842&lt;&gt;"",P1842&lt;&gt;"",P1842=Invoice!$G$4),B1842+MOD(N(F1842),1)+ROW()/10000000,"")</f>
        <v/>
      </c>
      <c r="S1842">
        <f>IF(R1842="","",IF(D1842="","Other work",D1842)&amp;IF(AND(K1842&lt;&gt;"",E1842&lt;&gt;""),", "&amp;E1842,""))</f>
        <v/>
      </c>
      <c r="T1842">
        <f>IF(R1842="","",IF(COUNTIFS(R$6:R1841,"&gt;0",S$6:S1841,S1842,N$6:N1841,N1842)=0,R1842,""))</f>
        <v/>
      </c>
      <c r="U1842">
        <f>IF(B1842="","",IF(J1842&lt;&gt;"",0,M1842))</f>
        <v/>
      </c>
    </row>
    <row r="1843">
      <c r="A1843" s="1" t="n"/>
      <c r="B1843" s="16" t="n"/>
      <c r="C1843" s="17" t="n"/>
      <c r="D1843" s="18" t="n"/>
      <c r="E1843" s="18" t="n"/>
      <c r="F1843" s="19" t="n"/>
      <c r="G1843" s="19" t="n"/>
      <c r="H1843" s="20" t="n"/>
      <c r="I1843" s="21" t="n"/>
      <c r="J1843" s="22" t="n"/>
      <c r="K1843" s="23" t="n"/>
      <c r="L1843" s="18" t="n"/>
      <c r="M1843" s="24">
        <f>IF(B1843="","",IF(AND(F1843&lt;&gt;"",G1843&lt;&gt;""),MAX(0,ROUND(MOD(G1843-F1843,1)*24-N(H1843)/60,2)),N(I1843)))</f>
        <v/>
      </c>
      <c r="N1843" s="14">
        <f>IF(B1843="","",IF(K1843&lt;&gt;"",K1843,IF(N(IFERROR(INDEX(Projects!$D$6:$D$65,MATCH(D1843,Projects!$B$6:$B$65,0)),""))&gt;0,IFERROR(INDEX(Projects!$D$6:$D$65,MATCH(D1843,Projects!$B$6:$B$65,0)),""),IFERROR(INDEX(Clients!$G$6:$G$45,MATCH(C1843,Clients!$B$6:$B$45,0)),0))))</f>
        <v/>
      </c>
      <c r="O1843" s="14">
        <f>IF(B1843="","",IF(J1843&lt;&gt;"",0,ROUND(M1843*N1843,2)))</f>
        <v/>
      </c>
      <c r="P1843" s="15">
        <f>IF(OR(B1843="",J1843&lt;&gt;""),"",IF(L1843&lt;&gt;"",L1843,IF(COUNTIFS(Invoices!$C$6:$C$305,C1843,Invoices!$E$6:$E$305,"&lt;="&amp;B1843,Invoices!$F$6:$F$305,"&gt;="&amp;B1843)=1,INDEX(Invoices!$B$6:$B$305,SUMIFS(Invoices!$O$6:$O$305,Invoices!$C$6:$C$305,C1843,Invoices!$E$6:$E$305,"&lt;="&amp;B1843,Invoices!$F$6:$F$305,"&gt;="&amp;B1843)),IF(COUNTIFS(Invoices!$C$6:$C$305,C1843,Invoices!$E$6:$E$305,"&lt;="&amp;B1843,Invoices!$F$6:$F$305,"&gt;="&amp;B1843)&gt;1,"Two invoices",""))))</f>
        <v/>
      </c>
      <c r="Q1843" s="15">
        <f>IF(B1843="","",IF(J1843&lt;&gt;"","Not billable",IF(P1843="","To invoice",IF(P1843="Two invoices","Check dates",IF(ISNA(MATCH(P1843,Invoices!$B$6:$B$305,0)),"Check number",IF(INDEX(Invoices!$M$6:$M$305,MATCH(P1843,Invoices!$B$6:$B$305,0))="Paid","Paid",IF(INDEX(Invoices!$M$6:$M$305,MATCH(P1843,Invoices!$B$6:$B$305,0))="Draft","Draft","Invoiced")))))))</f>
        <v/>
      </c>
      <c r="R1843" s="1">
        <f>IF(AND(B1843&lt;&gt;"",P1843&lt;&gt;"",P1843=Invoice!$G$4),B1843+MOD(N(F1843),1)+ROW()/10000000,"")</f>
        <v/>
      </c>
      <c r="S1843">
        <f>IF(R1843="","",IF(D1843="","Other work",D1843)&amp;IF(AND(K1843&lt;&gt;"",E1843&lt;&gt;""),", "&amp;E1843,""))</f>
        <v/>
      </c>
      <c r="T1843">
        <f>IF(R1843="","",IF(COUNTIFS(R$6:R1842,"&gt;0",S$6:S1842,S1843,N$6:N1842,N1843)=0,R1843,""))</f>
        <v/>
      </c>
      <c r="U1843">
        <f>IF(B1843="","",IF(J1843&lt;&gt;"",0,M1843))</f>
        <v/>
      </c>
    </row>
    <row r="1844">
      <c r="A1844" s="1" t="n"/>
      <c r="B1844" s="16" t="n"/>
      <c r="C1844" s="17" t="n"/>
      <c r="D1844" s="18" t="n"/>
      <c r="E1844" s="18" t="n"/>
      <c r="F1844" s="19" t="n"/>
      <c r="G1844" s="19" t="n"/>
      <c r="H1844" s="20" t="n"/>
      <c r="I1844" s="21" t="n"/>
      <c r="J1844" s="22" t="n"/>
      <c r="K1844" s="23" t="n"/>
      <c r="L1844" s="18" t="n"/>
      <c r="M1844" s="24">
        <f>IF(B1844="","",IF(AND(F1844&lt;&gt;"",G1844&lt;&gt;""),MAX(0,ROUND(MOD(G1844-F1844,1)*24-N(H1844)/60,2)),N(I1844)))</f>
        <v/>
      </c>
      <c r="N1844" s="14">
        <f>IF(B1844="","",IF(K1844&lt;&gt;"",K1844,IF(N(IFERROR(INDEX(Projects!$D$6:$D$65,MATCH(D1844,Projects!$B$6:$B$65,0)),""))&gt;0,IFERROR(INDEX(Projects!$D$6:$D$65,MATCH(D1844,Projects!$B$6:$B$65,0)),""),IFERROR(INDEX(Clients!$G$6:$G$45,MATCH(C1844,Clients!$B$6:$B$45,0)),0))))</f>
        <v/>
      </c>
      <c r="O1844" s="14">
        <f>IF(B1844="","",IF(J1844&lt;&gt;"",0,ROUND(M1844*N1844,2)))</f>
        <v/>
      </c>
      <c r="P1844" s="15">
        <f>IF(OR(B1844="",J1844&lt;&gt;""),"",IF(L1844&lt;&gt;"",L1844,IF(COUNTIFS(Invoices!$C$6:$C$305,C1844,Invoices!$E$6:$E$305,"&lt;="&amp;B1844,Invoices!$F$6:$F$305,"&gt;="&amp;B1844)=1,INDEX(Invoices!$B$6:$B$305,SUMIFS(Invoices!$O$6:$O$305,Invoices!$C$6:$C$305,C1844,Invoices!$E$6:$E$305,"&lt;="&amp;B1844,Invoices!$F$6:$F$305,"&gt;="&amp;B1844)),IF(COUNTIFS(Invoices!$C$6:$C$305,C1844,Invoices!$E$6:$E$305,"&lt;="&amp;B1844,Invoices!$F$6:$F$305,"&gt;="&amp;B1844)&gt;1,"Two invoices",""))))</f>
        <v/>
      </c>
      <c r="Q1844" s="15">
        <f>IF(B1844="","",IF(J1844&lt;&gt;"","Not billable",IF(P1844="","To invoice",IF(P1844="Two invoices","Check dates",IF(ISNA(MATCH(P1844,Invoices!$B$6:$B$305,0)),"Check number",IF(INDEX(Invoices!$M$6:$M$305,MATCH(P1844,Invoices!$B$6:$B$305,0))="Paid","Paid",IF(INDEX(Invoices!$M$6:$M$305,MATCH(P1844,Invoices!$B$6:$B$305,0))="Draft","Draft","Invoiced")))))))</f>
        <v/>
      </c>
      <c r="R1844" s="1">
        <f>IF(AND(B1844&lt;&gt;"",P1844&lt;&gt;"",P1844=Invoice!$G$4),B1844+MOD(N(F1844),1)+ROW()/10000000,"")</f>
        <v/>
      </c>
      <c r="S1844">
        <f>IF(R1844="","",IF(D1844="","Other work",D1844)&amp;IF(AND(K1844&lt;&gt;"",E1844&lt;&gt;""),", "&amp;E1844,""))</f>
        <v/>
      </c>
      <c r="T1844">
        <f>IF(R1844="","",IF(COUNTIFS(R$6:R1843,"&gt;0",S$6:S1843,S1844,N$6:N1843,N1844)=0,R1844,""))</f>
        <v/>
      </c>
      <c r="U1844">
        <f>IF(B1844="","",IF(J1844&lt;&gt;"",0,M1844))</f>
        <v/>
      </c>
    </row>
    <row r="1845">
      <c r="A1845" s="1" t="n"/>
      <c r="B1845" s="16" t="n"/>
      <c r="C1845" s="17" t="n"/>
      <c r="D1845" s="18" t="n"/>
      <c r="E1845" s="18" t="n"/>
      <c r="F1845" s="19" t="n"/>
      <c r="G1845" s="19" t="n"/>
      <c r="H1845" s="20" t="n"/>
      <c r="I1845" s="21" t="n"/>
      <c r="J1845" s="22" t="n"/>
      <c r="K1845" s="23" t="n"/>
      <c r="L1845" s="18" t="n"/>
      <c r="M1845" s="24">
        <f>IF(B1845="","",IF(AND(F1845&lt;&gt;"",G1845&lt;&gt;""),MAX(0,ROUND(MOD(G1845-F1845,1)*24-N(H1845)/60,2)),N(I1845)))</f>
        <v/>
      </c>
      <c r="N1845" s="14">
        <f>IF(B1845="","",IF(K1845&lt;&gt;"",K1845,IF(N(IFERROR(INDEX(Projects!$D$6:$D$65,MATCH(D1845,Projects!$B$6:$B$65,0)),""))&gt;0,IFERROR(INDEX(Projects!$D$6:$D$65,MATCH(D1845,Projects!$B$6:$B$65,0)),""),IFERROR(INDEX(Clients!$G$6:$G$45,MATCH(C1845,Clients!$B$6:$B$45,0)),0))))</f>
        <v/>
      </c>
      <c r="O1845" s="14">
        <f>IF(B1845="","",IF(J1845&lt;&gt;"",0,ROUND(M1845*N1845,2)))</f>
        <v/>
      </c>
      <c r="P1845" s="15">
        <f>IF(OR(B1845="",J1845&lt;&gt;""),"",IF(L1845&lt;&gt;"",L1845,IF(COUNTIFS(Invoices!$C$6:$C$305,C1845,Invoices!$E$6:$E$305,"&lt;="&amp;B1845,Invoices!$F$6:$F$305,"&gt;="&amp;B1845)=1,INDEX(Invoices!$B$6:$B$305,SUMIFS(Invoices!$O$6:$O$305,Invoices!$C$6:$C$305,C1845,Invoices!$E$6:$E$305,"&lt;="&amp;B1845,Invoices!$F$6:$F$305,"&gt;="&amp;B1845)),IF(COUNTIFS(Invoices!$C$6:$C$305,C1845,Invoices!$E$6:$E$305,"&lt;="&amp;B1845,Invoices!$F$6:$F$305,"&gt;="&amp;B1845)&gt;1,"Two invoices",""))))</f>
        <v/>
      </c>
      <c r="Q1845" s="15">
        <f>IF(B1845="","",IF(J1845&lt;&gt;"","Not billable",IF(P1845="","To invoice",IF(P1845="Two invoices","Check dates",IF(ISNA(MATCH(P1845,Invoices!$B$6:$B$305,0)),"Check number",IF(INDEX(Invoices!$M$6:$M$305,MATCH(P1845,Invoices!$B$6:$B$305,0))="Paid","Paid",IF(INDEX(Invoices!$M$6:$M$305,MATCH(P1845,Invoices!$B$6:$B$305,0))="Draft","Draft","Invoiced")))))))</f>
        <v/>
      </c>
      <c r="R1845" s="1">
        <f>IF(AND(B1845&lt;&gt;"",P1845&lt;&gt;"",P1845=Invoice!$G$4),B1845+MOD(N(F1845),1)+ROW()/10000000,"")</f>
        <v/>
      </c>
      <c r="S1845">
        <f>IF(R1845="","",IF(D1845="","Other work",D1845)&amp;IF(AND(K1845&lt;&gt;"",E1845&lt;&gt;""),", "&amp;E1845,""))</f>
        <v/>
      </c>
      <c r="T1845">
        <f>IF(R1845="","",IF(COUNTIFS(R$6:R1844,"&gt;0",S$6:S1844,S1845,N$6:N1844,N1845)=0,R1845,""))</f>
        <v/>
      </c>
      <c r="U1845">
        <f>IF(B1845="","",IF(J1845&lt;&gt;"",0,M1845))</f>
        <v/>
      </c>
    </row>
    <row r="1846">
      <c r="A1846" s="1" t="n"/>
      <c r="B1846" s="16" t="n"/>
      <c r="C1846" s="17" t="n"/>
      <c r="D1846" s="18" t="n"/>
      <c r="E1846" s="18" t="n"/>
      <c r="F1846" s="19" t="n"/>
      <c r="G1846" s="19" t="n"/>
      <c r="H1846" s="20" t="n"/>
      <c r="I1846" s="21" t="n"/>
      <c r="J1846" s="22" t="n"/>
      <c r="K1846" s="23" t="n"/>
      <c r="L1846" s="18" t="n"/>
      <c r="M1846" s="24">
        <f>IF(B1846="","",IF(AND(F1846&lt;&gt;"",G1846&lt;&gt;""),MAX(0,ROUND(MOD(G1846-F1846,1)*24-N(H1846)/60,2)),N(I1846)))</f>
        <v/>
      </c>
      <c r="N1846" s="14">
        <f>IF(B1846="","",IF(K1846&lt;&gt;"",K1846,IF(N(IFERROR(INDEX(Projects!$D$6:$D$65,MATCH(D1846,Projects!$B$6:$B$65,0)),""))&gt;0,IFERROR(INDEX(Projects!$D$6:$D$65,MATCH(D1846,Projects!$B$6:$B$65,0)),""),IFERROR(INDEX(Clients!$G$6:$G$45,MATCH(C1846,Clients!$B$6:$B$45,0)),0))))</f>
        <v/>
      </c>
      <c r="O1846" s="14">
        <f>IF(B1846="","",IF(J1846&lt;&gt;"",0,ROUND(M1846*N1846,2)))</f>
        <v/>
      </c>
      <c r="P1846" s="15">
        <f>IF(OR(B1846="",J1846&lt;&gt;""),"",IF(L1846&lt;&gt;"",L1846,IF(COUNTIFS(Invoices!$C$6:$C$305,C1846,Invoices!$E$6:$E$305,"&lt;="&amp;B1846,Invoices!$F$6:$F$305,"&gt;="&amp;B1846)=1,INDEX(Invoices!$B$6:$B$305,SUMIFS(Invoices!$O$6:$O$305,Invoices!$C$6:$C$305,C1846,Invoices!$E$6:$E$305,"&lt;="&amp;B1846,Invoices!$F$6:$F$305,"&gt;="&amp;B1846)),IF(COUNTIFS(Invoices!$C$6:$C$305,C1846,Invoices!$E$6:$E$305,"&lt;="&amp;B1846,Invoices!$F$6:$F$305,"&gt;="&amp;B1846)&gt;1,"Two invoices",""))))</f>
        <v/>
      </c>
      <c r="Q1846" s="15">
        <f>IF(B1846="","",IF(J1846&lt;&gt;"","Not billable",IF(P1846="","To invoice",IF(P1846="Two invoices","Check dates",IF(ISNA(MATCH(P1846,Invoices!$B$6:$B$305,0)),"Check number",IF(INDEX(Invoices!$M$6:$M$305,MATCH(P1846,Invoices!$B$6:$B$305,0))="Paid","Paid",IF(INDEX(Invoices!$M$6:$M$305,MATCH(P1846,Invoices!$B$6:$B$305,0))="Draft","Draft","Invoiced")))))))</f>
        <v/>
      </c>
      <c r="R1846" s="1">
        <f>IF(AND(B1846&lt;&gt;"",P1846&lt;&gt;"",P1846=Invoice!$G$4),B1846+MOD(N(F1846),1)+ROW()/10000000,"")</f>
        <v/>
      </c>
      <c r="S1846">
        <f>IF(R1846="","",IF(D1846="","Other work",D1846)&amp;IF(AND(K1846&lt;&gt;"",E1846&lt;&gt;""),", "&amp;E1846,""))</f>
        <v/>
      </c>
      <c r="T1846">
        <f>IF(R1846="","",IF(COUNTIFS(R$6:R1845,"&gt;0",S$6:S1845,S1846,N$6:N1845,N1846)=0,R1846,""))</f>
        <v/>
      </c>
      <c r="U1846">
        <f>IF(B1846="","",IF(J1846&lt;&gt;"",0,M1846))</f>
        <v/>
      </c>
    </row>
    <row r="1847">
      <c r="A1847" s="1" t="n"/>
      <c r="B1847" s="16" t="n"/>
      <c r="C1847" s="17" t="n"/>
      <c r="D1847" s="18" t="n"/>
      <c r="E1847" s="18" t="n"/>
      <c r="F1847" s="19" t="n"/>
      <c r="G1847" s="19" t="n"/>
      <c r="H1847" s="20" t="n"/>
      <c r="I1847" s="21" t="n"/>
      <c r="J1847" s="22" t="n"/>
      <c r="K1847" s="23" t="n"/>
      <c r="L1847" s="18" t="n"/>
      <c r="M1847" s="24">
        <f>IF(B1847="","",IF(AND(F1847&lt;&gt;"",G1847&lt;&gt;""),MAX(0,ROUND(MOD(G1847-F1847,1)*24-N(H1847)/60,2)),N(I1847)))</f>
        <v/>
      </c>
      <c r="N1847" s="14">
        <f>IF(B1847="","",IF(K1847&lt;&gt;"",K1847,IF(N(IFERROR(INDEX(Projects!$D$6:$D$65,MATCH(D1847,Projects!$B$6:$B$65,0)),""))&gt;0,IFERROR(INDEX(Projects!$D$6:$D$65,MATCH(D1847,Projects!$B$6:$B$65,0)),""),IFERROR(INDEX(Clients!$G$6:$G$45,MATCH(C1847,Clients!$B$6:$B$45,0)),0))))</f>
        <v/>
      </c>
      <c r="O1847" s="14">
        <f>IF(B1847="","",IF(J1847&lt;&gt;"",0,ROUND(M1847*N1847,2)))</f>
        <v/>
      </c>
      <c r="P1847" s="15">
        <f>IF(OR(B1847="",J1847&lt;&gt;""),"",IF(L1847&lt;&gt;"",L1847,IF(COUNTIFS(Invoices!$C$6:$C$305,C1847,Invoices!$E$6:$E$305,"&lt;="&amp;B1847,Invoices!$F$6:$F$305,"&gt;="&amp;B1847)=1,INDEX(Invoices!$B$6:$B$305,SUMIFS(Invoices!$O$6:$O$305,Invoices!$C$6:$C$305,C1847,Invoices!$E$6:$E$305,"&lt;="&amp;B1847,Invoices!$F$6:$F$305,"&gt;="&amp;B1847)),IF(COUNTIFS(Invoices!$C$6:$C$305,C1847,Invoices!$E$6:$E$305,"&lt;="&amp;B1847,Invoices!$F$6:$F$305,"&gt;="&amp;B1847)&gt;1,"Two invoices",""))))</f>
        <v/>
      </c>
      <c r="Q1847" s="15">
        <f>IF(B1847="","",IF(J1847&lt;&gt;"","Not billable",IF(P1847="","To invoice",IF(P1847="Two invoices","Check dates",IF(ISNA(MATCH(P1847,Invoices!$B$6:$B$305,0)),"Check number",IF(INDEX(Invoices!$M$6:$M$305,MATCH(P1847,Invoices!$B$6:$B$305,0))="Paid","Paid",IF(INDEX(Invoices!$M$6:$M$305,MATCH(P1847,Invoices!$B$6:$B$305,0))="Draft","Draft","Invoiced")))))))</f>
        <v/>
      </c>
      <c r="R1847" s="1">
        <f>IF(AND(B1847&lt;&gt;"",P1847&lt;&gt;"",P1847=Invoice!$G$4),B1847+MOD(N(F1847),1)+ROW()/10000000,"")</f>
        <v/>
      </c>
      <c r="S1847">
        <f>IF(R1847="","",IF(D1847="","Other work",D1847)&amp;IF(AND(K1847&lt;&gt;"",E1847&lt;&gt;""),", "&amp;E1847,""))</f>
        <v/>
      </c>
      <c r="T1847">
        <f>IF(R1847="","",IF(COUNTIFS(R$6:R1846,"&gt;0",S$6:S1846,S1847,N$6:N1846,N1847)=0,R1847,""))</f>
        <v/>
      </c>
      <c r="U1847">
        <f>IF(B1847="","",IF(J1847&lt;&gt;"",0,M1847))</f>
        <v/>
      </c>
    </row>
    <row r="1848">
      <c r="A1848" s="1" t="n"/>
      <c r="B1848" s="16" t="n"/>
      <c r="C1848" s="17" t="n"/>
      <c r="D1848" s="18" t="n"/>
      <c r="E1848" s="18" t="n"/>
      <c r="F1848" s="19" t="n"/>
      <c r="G1848" s="19" t="n"/>
      <c r="H1848" s="20" t="n"/>
      <c r="I1848" s="21" t="n"/>
      <c r="J1848" s="22" t="n"/>
      <c r="K1848" s="23" t="n"/>
      <c r="L1848" s="18" t="n"/>
      <c r="M1848" s="24">
        <f>IF(B1848="","",IF(AND(F1848&lt;&gt;"",G1848&lt;&gt;""),MAX(0,ROUND(MOD(G1848-F1848,1)*24-N(H1848)/60,2)),N(I1848)))</f>
        <v/>
      </c>
      <c r="N1848" s="14">
        <f>IF(B1848="","",IF(K1848&lt;&gt;"",K1848,IF(N(IFERROR(INDEX(Projects!$D$6:$D$65,MATCH(D1848,Projects!$B$6:$B$65,0)),""))&gt;0,IFERROR(INDEX(Projects!$D$6:$D$65,MATCH(D1848,Projects!$B$6:$B$65,0)),""),IFERROR(INDEX(Clients!$G$6:$G$45,MATCH(C1848,Clients!$B$6:$B$45,0)),0))))</f>
        <v/>
      </c>
      <c r="O1848" s="14">
        <f>IF(B1848="","",IF(J1848&lt;&gt;"",0,ROUND(M1848*N1848,2)))</f>
        <v/>
      </c>
      <c r="P1848" s="15">
        <f>IF(OR(B1848="",J1848&lt;&gt;""),"",IF(L1848&lt;&gt;"",L1848,IF(COUNTIFS(Invoices!$C$6:$C$305,C1848,Invoices!$E$6:$E$305,"&lt;="&amp;B1848,Invoices!$F$6:$F$305,"&gt;="&amp;B1848)=1,INDEX(Invoices!$B$6:$B$305,SUMIFS(Invoices!$O$6:$O$305,Invoices!$C$6:$C$305,C1848,Invoices!$E$6:$E$305,"&lt;="&amp;B1848,Invoices!$F$6:$F$305,"&gt;="&amp;B1848)),IF(COUNTIFS(Invoices!$C$6:$C$305,C1848,Invoices!$E$6:$E$305,"&lt;="&amp;B1848,Invoices!$F$6:$F$305,"&gt;="&amp;B1848)&gt;1,"Two invoices",""))))</f>
        <v/>
      </c>
      <c r="Q1848" s="15">
        <f>IF(B1848="","",IF(J1848&lt;&gt;"","Not billable",IF(P1848="","To invoice",IF(P1848="Two invoices","Check dates",IF(ISNA(MATCH(P1848,Invoices!$B$6:$B$305,0)),"Check number",IF(INDEX(Invoices!$M$6:$M$305,MATCH(P1848,Invoices!$B$6:$B$305,0))="Paid","Paid",IF(INDEX(Invoices!$M$6:$M$305,MATCH(P1848,Invoices!$B$6:$B$305,0))="Draft","Draft","Invoiced")))))))</f>
        <v/>
      </c>
      <c r="R1848" s="1">
        <f>IF(AND(B1848&lt;&gt;"",P1848&lt;&gt;"",P1848=Invoice!$G$4),B1848+MOD(N(F1848),1)+ROW()/10000000,"")</f>
        <v/>
      </c>
      <c r="S1848">
        <f>IF(R1848="","",IF(D1848="","Other work",D1848)&amp;IF(AND(K1848&lt;&gt;"",E1848&lt;&gt;""),", "&amp;E1848,""))</f>
        <v/>
      </c>
      <c r="T1848">
        <f>IF(R1848="","",IF(COUNTIFS(R$6:R1847,"&gt;0",S$6:S1847,S1848,N$6:N1847,N1848)=0,R1848,""))</f>
        <v/>
      </c>
      <c r="U1848">
        <f>IF(B1848="","",IF(J1848&lt;&gt;"",0,M1848))</f>
        <v/>
      </c>
    </row>
    <row r="1849">
      <c r="A1849" s="1" t="n"/>
      <c r="B1849" s="16" t="n"/>
      <c r="C1849" s="17" t="n"/>
      <c r="D1849" s="18" t="n"/>
      <c r="E1849" s="18" t="n"/>
      <c r="F1849" s="19" t="n"/>
      <c r="G1849" s="19" t="n"/>
      <c r="H1849" s="20" t="n"/>
      <c r="I1849" s="21" t="n"/>
      <c r="J1849" s="22" t="n"/>
      <c r="K1849" s="23" t="n"/>
      <c r="L1849" s="18" t="n"/>
      <c r="M1849" s="24">
        <f>IF(B1849="","",IF(AND(F1849&lt;&gt;"",G1849&lt;&gt;""),MAX(0,ROUND(MOD(G1849-F1849,1)*24-N(H1849)/60,2)),N(I1849)))</f>
        <v/>
      </c>
      <c r="N1849" s="14">
        <f>IF(B1849="","",IF(K1849&lt;&gt;"",K1849,IF(N(IFERROR(INDEX(Projects!$D$6:$D$65,MATCH(D1849,Projects!$B$6:$B$65,0)),""))&gt;0,IFERROR(INDEX(Projects!$D$6:$D$65,MATCH(D1849,Projects!$B$6:$B$65,0)),""),IFERROR(INDEX(Clients!$G$6:$G$45,MATCH(C1849,Clients!$B$6:$B$45,0)),0))))</f>
        <v/>
      </c>
      <c r="O1849" s="14">
        <f>IF(B1849="","",IF(J1849&lt;&gt;"",0,ROUND(M1849*N1849,2)))</f>
        <v/>
      </c>
      <c r="P1849" s="15">
        <f>IF(OR(B1849="",J1849&lt;&gt;""),"",IF(L1849&lt;&gt;"",L1849,IF(COUNTIFS(Invoices!$C$6:$C$305,C1849,Invoices!$E$6:$E$305,"&lt;="&amp;B1849,Invoices!$F$6:$F$305,"&gt;="&amp;B1849)=1,INDEX(Invoices!$B$6:$B$305,SUMIFS(Invoices!$O$6:$O$305,Invoices!$C$6:$C$305,C1849,Invoices!$E$6:$E$305,"&lt;="&amp;B1849,Invoices!$F$6:$F$305,"&gt;="&amp;B1849)),IF(COUNTIFS(Invoices!$C$6:$C$305,C1849,Invoices!$E$6:$E$305,"&lt;="&amp;B1849,Invoices!$F$6:$F$305,"&gt;="&amp;B1849)&gt;1,"Two invoices",""))))</f>
        <v/>
      </c>
      <c r="Q1849" s="15">
        <f>IF(B1849="","",IF(J1849&lt;&gt;"","Not billable",IF(P1849="","To invoice",IF(P1849="Two invoices","Check dates",IF(ISNA(MATCH(P1849,Invoices!$B$6:$B$305,0)),"Check number",IF(INDEX(Invoices!$M$6:$M$305,MATCH(P1849,Invoices!$B$6:$B$305,0))="Paid","Paid",IF(INDEX(Invoices!$M$6:$M$305,MATCH(P1849,Invoices!$B$6:$B$305,0))="Draft","Draft","Invoiced")))))))</f>
        <v/>
      </c>
      <c r="R1849" s="1">
        <f>IF(AND(B1849&lt;&gt;"",P1849&lt;&gt;"",P1849=Invoice!$G$4),B1849+MOD(N(F1849),1)+ROW()/10000000,"")</f>
        <v/>
      </c>
      <c r="S1849">
        <f>IF(R1849="","",IF(D1849="","Other work",D1849)&amp;IF(AND(K1849&lt;&gt;"",E1849&lt;&gt;""),", "&amp;E1849,""))</f>
        <v/>
      </c>
      <c r="T1849">
        <f>IF(R1849="","",IF(COUNTIFS(R$6:R1848,"&gt;0",S$6:S1848,S1849,N$6:N1848,N1849)=0,R1849,""))</f>
        <v/>
      </c>
      <c r="U1849">
        <f>IF(B1849="","",IF(J1849&lt;&gt;"",0,M1849))</f>
        <v/>
      </c>
    </row>
    <row r="1850">
      <c r="A1850" s="1" t="n"/>
      <c r="B1850" s="16" t="n"/>
      <c r="C1850" s="17" t="n"/>
      <c r="D1850" s="18" t="n"/>
      <c r="E1850" s="18" t="n"/>
      <c r="F1850" s="19" t="n"/>
      <c r="G1850" s="19" t="n"/>
      <c r="H1850" s="20" t="n"/>
      <c r="I1850" s="21" t="n"/>
      <c r="J1850" s="22" t="n"/>
      <c r="K1850" s="23" t="n"/>
      <c r="L1850" s="18" t="n"/>
      <c r="M1850" s="24">
        <f>IF(B1850="","",IF(AND(F1850&lt;&gt;"",G1850&lt;&gt;""),MAX(0,ROUND(MOD(G1850-F1850,1)*24-N(H1850)/60,2)),N(I1850)))</f>
        <v/>
      </c>
      <c r="N1850" s="14">
        <f>IF(B1850="","",IF(K1850&lt;&gt;"",K1850,IF(N(IFERROR(INDEX(Projects!$D$6:$D$65,MATCH(D1850,Projects!$B$6:$B$65,0)),""))&gt;0,IFERROR(INDEX(Projects!$D$6:$D$65,MATCH(D1850,Projects!$B$6:$B$65,0)),""),IFERROR(INDEX(Clients!$G$6:$G$45,MATCH(C1850,Clients!$B$6:$B$45,0)),0))))</f>
        <v/>
      </c>
      <c r="O1850" s="14">
        <f>IF(B1850="","",IF(J1850&lt;&gt;"",0,ROUND(M1850*N1850,2)))</f>
        <v/>
      </c>
      <c r="P1850" s="15">
        <f>IF(OR(B1850="",J1850&lt;&gt;""),"",IF(L1850&lt;&gt;"",L1850,IF(COUNTIFS(Invoices!$C$6:$C$305,C1850,Invoices!$E$6:$E$305,"&lt;="&amp;B1850,Invoices!$F$6:$F$305,"&gt;="&amp;B1850)=1,INDEX(Invoices!$B$6:$B$305,SUMIFS(Invoices!$O$6:$O$305,Invoices!$C$6:$C$305,C1850,Invoices!$E$6:$E$305,"&lt;="&amp;B1850,Invoices!$F$6:$F$305,"&gt;="&amp;B1850)),IF(COUNTIFS(Invoices!$C$6:$C$305,C1850,Invoices!$E$6:$E$305,"&lt;="&amp;B1850,Invoices!$F$6:$F$305,"&gt;="&amp;B1850)&gt;1,"Two invoices",""))))</f>
        <v/>
      </c>
      <c r="Q1850" s="15">
        <f>IF(B1850="","",IF(J1850&lt;&gt;"","Not billable",IF(P1850="","To invoice",IF(P1850="Two invoices","Check dates",IF(ISNA(MATCH(P1850,Invoices!$B$6:$B$305,0)),"Check number",IF(INDEX(Invoices!$M$6:$M$305,MATCH(P1850,Invoices!$B$6:$B$305,0))="Paid","Paid",IF(INDEX(Invoices!$M$6:$M$305,MATCH(P1850,Invoices!$B$6:$B$305,0))="Draft","Draft","Invoiced")))))))</f>
        <v/>
      </c>
      <c r="R1850" s="1">
        <f>IF(AND(B1850&lt;&gt;"",P1850&lt;&gt;"",P1850=Invoice!$G$4),B1850+MOD(N(F1850),1)+ROW()/10000000,"")</f>
        <v/>
      </c>
      <c r="S1850">
        <f>IF(R1850="","",IF(D1850="","Other work",D1850)&amp;IF(AND(K1850&lt;&gt;"",E1850&lt;&gt;""),", "&amp;E1850,""))</f>
        <v/>
      </c>
      <c r="T1850">
        <f>IF(R1850="","",IF(COUNTIFS(R$6:R1849,"&gt;0",S$6:S1849,S1850,N$6:N1849,N1850)=0,R1850,""))</f>
        <v/>
      </c>
      <c r="U1850">
        <f>IF(B1850="","",IF(J1850&lt;&gt;"",0,M1850))</f>
        <v/>
      </c>
    </row>
    <row r="1851">
      <c r="A1851" s="1" t="n"/>
      <c r="B1851" s="16" t="n"/>
      <c r="C1851" s="17" t="n"/>
      <c r="D1851" s="18" t="n"/>
      <c r="E1851" s="18" t="n"/>
      <c r="F1851" s="19" t="n"/>
      <c r="G1851" s="19" t="n"/>
      <c r="H1851" s="20" t="n"/>
      <c r="I1851" s="21" t="n"/>
      <c r="J1851" s="22" t="n"/>
      <c r="K1851" s="23" t="n"/>
      <c r="L1851" s="18" t="n"/>
      <c r="M1851" s="24">
        <f>IF(B1851="","",IF(AND(F1851&lt;&gt;"",G1851&lt;&gt;""),MAX(0,ROUND(MOD(G1851-F1851,1)*24-N(H1851)/60,2)),N(I1851)))</f>
        <v/>
      </c>
      <c r="N1851" s="14">
        <f>IF(B1851="","",IF(K1851&lt;&gt;"",K1851,IF(N(IFERROR(INDEX(Projects!$D$6:$D$65,MATCH(D1851,Projects!$B$6:$B$65,0)),""))&gt;0,IFERROR(INDEX(Projects!$D$6:$D$65,MATCH(D1851,Projects!$B$6:$B$65,0)),""),IFERROR(INDEX(Clients!$G$6:$G$45,MATCH(C1851,Clients!$B$6:$B$45,0)),0))))</f>
        <v/>
      </c>
      <c r="O1851" s="14">
        <f>IF(B1851="","",IF(J1851&lt;&gt;"",0,ROUND(M1851*N1851,2)))</f>
        <v/>
      </c>
      <c r="P1851" s="15">
        <f>IF(OR(B1851="",J1851&lt;&gt;""),"",IF(L1851&lt;&gt;"",L1851,IF(COUNTIFS(Invoices!$C$6:$C$305,C1851,Invoices!$E$6:$E$305,"&lt;="&amp;B1851,Invoices!$F$6:$F$305,"&gt;="&amp;B1851)=1,INDEX(Invoices!$B$6:$B$305,SUMIFS(Invoices!$O$6:$O$305,Invoices!$C$6:$C$305,C1851,Invoices!$E$6:$E$305,"&lt;="&amp;B1851,Invoices!$F$6:$F$305,"&gt;="&amp;B1851)),IF(COUNTIFS(Invoices!$C$6:$C$305,C1851,Invoices!$E$6:$E$305,"&lt;="&amp;B1851,Invoices!$F$6:$F$305,"&gt;="&amp;B1851)&gt;1,"Two invoices",""))))</f>
        <v/>
      </c>
      <c r="Q1851" s="15">
        <f>IF(B1851="","",IF(J1851&lt;&gt;"","Not billable",IF(P1851="","To invoice",IF(P1851="Two invoices","Check dates",IF(ISNA(MATCH(P1851,Invoices!$B$6:$B$305,0)),"Check number",IF(INDEX(Invoices!$M$6:$M$305,MATCH(P1851,Invoices!$B$6:$B$305,0))="Paid","Paid",IF(INDEX(Invoices!$M$6:$M$305,MATCH(P1851,Invoices!$B$6:$B$305,0))="Draft","Draft","Invoiced")))))))</f>
        <v/>
      </c>
      <c r="R1851" s="1">
        <f>IF(AND(B1851&lt;&gt;"",P1851&lt;&gt;"",P1851=Invoice!$G$4),B1851+MOD(N(F1851),1)+ROW()/10000000,"")</f>
        <v/>
      </c>
      <c r="S1851">
        <f>IF(R1851="","",IF(D1851="","Other work",D1851)&amp;IF(AND(K1851&lt;&gt;"",E1851&lt;&gt;""),", "&amp;E1851,""))</f>
        <v/>
      </c>
      <c r="T1851">
        <f>IF(R1851="","",IF(COUNTIFS(R$6:R1850,"&gt;0",S$6:S1850,S1851,N$6:N1850,N1851)=0,R1851,""))</f>
        <v/>
      </c>
      <c r="U1851">
        <f>IF(B1851="","",IF(J1851&lt;&gt;"",0,M1851))</f>
        <v/>
      </c>
    </row>
    <row r="1852">
      <c r="A1852" s="1" t="n"/>
      <c r="B1852" s="16" t="n"/>
      <c r="C1852" s="17" t="n"/>
      <c r="D1852" s="18" t="n"/>
      <c r="E1852" s="18" t="n"/>
      <c r="F1852" s="19" t="n"/>
      <c r="G1852" s="19" t="n"/>
      <c r="H1852" s="20" t="n"/>
      <c r="I1852" s="21" t="n"/>
      <c r="J1852" s="22" t="n"/>
      <c r="K1852" s="23" t="n"/>
      <c r="L1852" s="18" t="n"/>
      <c r="M1852" s="24">
        <f>IF(B1852="","",IF(AND(F1852&lt;&gt;"",G1852&lt;&gt;""),MAX(0,ROUND(MOD(G1852-F1852,1)*24-N(H1852)/60,2)),N(I1852)))</f>
        <v/>
      </c>
      <c r="N1852" s="14">
        <f>IF(B1852="","",IF(K1852&lt;&gt;"",K1852,IF(N(IFERROR(INDEX(Projects!$D$6:$D$65,MATCH(D1852,Projects!$B$6:$B$65,0)),""))&gt;0,IFERROR(INDEX(Projects!$D$6:$D$65,MATCH(D1852,Projects!$B$6:$B$65,0)),""),IFERROR(INDEX(Clients!$G$6:$G$45,MATCH(C1852,Clients!$B$6:$B$45,0)),0))))</f>
        <v/>
      </c>
      <c r="O1852" s="14">
        <f>IF(B1852="","",IF(J1852&lt;&gt;"",0,ROUND(M1852*N1852,2)))</f>
        <v/>
      </c>
      <c r="P1852" s="15">
        <f>IF(OR(B1852="",J1852&lt;&gt;""),"",IF(L1852&lt;&gt;"",L1852,IF(COUNTIFS(Invoices!$C$6:$C$305,C1852,Invoices!$E$6:$E$305,"&lt;="&amp;B1852,Invoices!$F$6:$F$305,"&gt;="&amp;B1852)=1,INDEX(Invoices!$B$6:$B$305,SUMIFS(Invoices!$O$6:$O$305,Invoices!$C$6:$C$305,C1852,Invoices!$E$6:$E$305,"&lt;="&amp;B1852,Invoices!$F$6:$F$305,"&gt;="&amp;B1852)),IF(COUNTIFS(Invoices!$C$6:$C$305,C1852,Invoices!$E$6:$E$305,"&lt;="&amp;B1852,Invoices!$F$6:$F$305,"&gt;="&amp;B1852)&gt;1,"Two invoices",""))))</f>
        <v/>
      </c>
      <c r="Q1852" s="15">
        <f>IF(B1852="","",IF(J1852&lt;&gt;"","Not billable",IF(P1852="","To invoice",IF(P1852="Two invoices","Check dates",IF(ISNA(MATCH(P1852,Invoices!$B$6:$B$305,0)),"Check number",IF(INDEX(Invoices!$M$6:$M$305,MATCH(P1852,Invoices!$B$6:$B$305,0))="Paid","Paid",IF(INDEX(Invoices!$M$6:$M$305,MATCH(P1852,Invoices!$B$6:$B$305,0))="Draft","Draft","Invoiced")))))))</f>
        <v/>
      </c>
      <c r="R1852" s="1">
        <f>IF(AND(B1852&lt;&gt;"",P1852&lt;&gt;"",P1852=Invoice!$G$4),B1852+MOD(N(F1852),1)+ROW()/10000000,"")</f>
        <v/>
      </c>
      <c r="S1852">
        <f>IF(R1852="","",IF(D1852="","Other work",D1852)&amp;IF(AND(K1852&lt;&gt;"",E1852&lt;&gt;""),", "&amp;E1852,""))</f>
        <v/>
      </c>
      <c r="T1852">
        <f>IF(R1852="","",IF(COUNTIFS(R$6:R1851,"&gt;0",S$6:S1851,S1852,N$6:N1851,N1852)=0,R1852,""))</f>
        <v/>
      </c>
      <c r="U1852">
        <f>IF(B1852="","",IF(J1852&lt;&gt;"",0,M1852))</f>
        <v/>
      </c>
    </row>
    <row r="1853">
      <c r="A1853" s="1" t="n"/>
      <c r="B1853" s="16" t="n"/>
      <c r="C1853" s="17" t="n"/>
      <c r="D1853" s="18" t="n"/>
      <c r="E1853" s="18" t="n"/>
      <c r="F1853" s="19" t="n"/>
      <c r="G1853" s="19" t="n"/>
      <c r="H1853" s="20" t="n"/>
      <c r="I1853" s="21" t="n"/>
      <c r="J1853" s="22" t="n"/>
      <c r="K1853" s="23" t="n"/>
      <c r="L1853" s="18" t="n"/>
      <c r="M1853" s="24">
        <f>IF(B1853="","",IF(AND(F1853&lt;&gt;"",G1853&lt;&gt;""),MAX(0,ROUND(MOD(G1853-F1853,1)*24-N(H1853)/60,2)),N(I1853)))</f>
        <v/>
      </c>
      <c r="N1853" s="14">
        <f>IF(B1853="","",IF(K1853&lt;&gt;"",K1853,IF(N(IFERROR(INDEX(Projects!$D$6:$D$65,MATCH(D1853,Projects!$B$6:$B$65,0)),""))&gt;0,IFERROR(INDEX(Projects!$D$6:$D$65,MATCH(D1853,Projects!$B$6:$B$65,0)),""),IFERROR(INDEX(Clients!$G$6:$G$45,MATCH(C1853,Clients!$B$6:$B$45,0)),0))))</f>
        <v/>
      </c>
      <c r="O1853" s="14">
        <f>IF(B1853="","",IF(J1853&lt;&gt;"",0,ROUND(M1853*N1853,2)))</f>
        <v/>
      </c>
      <c r="P1853" s="15">
        <f>IF(OR(B1853="",J1853&lt;&gt;""),"",IF(L1853&lt;&gt;"",L1853,IF(COUNTIFS(Invoices!$C$6:$C$305,C1853,Invoices!$E$6:$E$305,"&lt;="&amp;B1853,Invoices!$F$6:$F$305,"&gt;="&amp;B1853)=1,INDEX(Invoices!$B$6:$B$305,SUMIFS(Invoices!$O$6:$O$305,Invoices!$C$6:$C$305,C1853,Invoices!$E$6:$E$305,"&lt;="&amp;B1853,Invoices!$F$6:$F$305,"&gt;="&amp;B1853)),IF(COUNTIFS(Invoices!$C$6:$C$305,C1853,Invoices!$E$6:$E$305,"&lt;="&amp;B1853,Invoices!$F$6:$F$305,"&gt;="&amp;B1853)&gt;1,"Two invoices",""))))</f>
        <v/>
      </c>
      <c r="Q1853" s="15">
        <f>IF(B1853="","",IF(J1853&lt;&gt;"","Not billable",IF(P1853="","To invoice",IF(P1853="Two invoices","Check dates",IF(ISNA(MATCH(P1853,Invoices!$B$6:$B$305,0)),"Check number",IF(INDEX(Invoices!$M$6:$M$305,MATCH(P1853,Invoices!$B$6:$B$305,0))="Paid","Paid",IF(INDEX(Invoices!$M$6:$M$305,MATCH(P1853,Invoices!$B$6:$B$305,0))="Draft","Draft","Invoiced")))))))</f>
        <v/>
      </c>
      <c r="R1853" s="1">
        <f>IF(AND(B1853&lt;&gt;"",P1853&lt;&gt;"",P1853=Invoice!$G$4),B1853+MOD(N(F1853),1)+ROW()/10000000,"")</f>
        <v/>
      </c>
      <c r="S1853">
        <f>IF(R1853="","",IF(D1853="","Other work",D1853)&amp;IF(AND(K1853&lt;&gt;"",E1853&lt;&gt;""),", "&amp;E1853,""))</f>
        <v/>
      </c>
      <c r="T1853">
        <f>IF(R1853="","",IF(COUNTIFS(R$6:R1852,"&gt;0",S$6:S1852,S1853,N$6:N1852,N1853)=0,R1853,""))</f>
        <v/>
      </c>
      <c r="U1853">
        <f>IF(B1853="","",IF(J1853&lt;&gt;"",0,M1853))</f>
        <v/>
      </c>
    </row>
    <row r="1854">
      <c r="A1854" s="1" t="n"/>
      <c r="B1854" s="16" t="n"/>
      <c r="C1854" s="17" t="n"/>
      <c r="D1854" s="18" t="n"/>
      <c r="E1854" s="18" t="n"/>
      <c r="F1854" s="19" t="n"/>
      <c r="G1854" s="19" t="n"/>
      <c r="H1854" s="20" t="n"/>
      <c r="I1854" s="21" t="n"/>
      <c r="J1854" s="22" t="n"/>
      <c r="K1854" s="23" t="n"/>
      <c r="L1854" s="18" t="n"/>
      <c r="M1854" s="24">
        <f>IF(B1854="","",IF(AND(F1854&lt;&gt;"",G1854&lt;&gt;""),MAX(0,ROUND(MOD(G1854-F1854,1)*24-N(H1854)/60,2)),N(I1854)))</f>
        <v/>
      </c>
      <c r="N1854" s="14">
        <f>IF(B1854="","",IF(K1854&lt;&gt;"",K1854,IF(N(IFERROR(INDEX(Projects!$D$6:$D$65,MATCH(D1854,Projects!$B$6:$B$65,0)),""))&gt;0,IFERROR(INDEX(Projects!$D$6:$D$65,MATCH(D1854,Projects!$B$6:$B$65,0)),""),IFERROR(INDEX(Clients!$G$6:$G$45,MATCH(C1854,Clients!$B$6:$B$45,0)),0))))</f>
        <v/>
      </c>
      <c r="O1854" s="14">
        <f>IF(B1854="","",IF(J1854&lt;&gt;"",0,ROUND(M1854*N1854,2)))</f>
        <v/>
      </c>
      <c r="P1854" s="15">
        <f>IF(OR(B1854="",J1854&lt;&gt;""),"",IF(L1854&lt;&gt;"",L1854,IF(COUNTIFS(Invoices!$C$6:$C$305,C1854,Invoices!$E$6:$E$305,"&lt;="&amp;B1854,Invoices!$F$6:$F$305,"&gt;="&amp;B1854)=1,INDEX(Invoices!$B$6:$B$305,SUMIFS(Invoices!$O$6:$O$305,Invoices!$C$6:$C$305,C1854,Invoices!$E$6:$E$305,"&lt;="&amp;B1854,Invoices!$F$6:$F$305,"&gt;="&amp;B1854)),IF(COUNTIFS(Invoices!$C$6:$C$305,C1854,Invoices!$E$6:$E$305,"&lt;="&amp;B1854,Invoices!$F$6:$F$305,"&gt;="&amp;B1854)&gt;1,"Two invoices",""))))</f>
        <v/>
      </c>
      <c r="Q1854" s="15">
        <f>IF(B1854="","",IF(J1854&lt;&gt;"","Not billable",IF(P1854="","To invoice",IF(P1854="Two invoices","Check dates",IF(ISNA(MATCH(P1854,Invoices!$B$6:$B$305,0)),"Check number",IF(INDEX(Invoices!$M$6:$M$305,MATCH(P1854,Invoices!$B$6:$B$305,0))="Paid","Paid",IF(INDEX(Invoices!$M$6:$M$305,MATCH(P1854,Invoices!$B$6:$B$305,0))="Draft","Draft","Invoiced")))))))</f>
        <v/>
      </c>
      <c r="R1854" s="1">
        <f>IF(AND(B1854&lt;&gt;"",P1854&lt;&gt;"",P1854=Invoice!$G$4),B1854+MOD(N(F1854),1)+ROW()/10000000,"")</f>
        <v/>
      </c>
      <c r="S1854">
        <f>IF(R1854="","",IF(D1854="","Other work",D1854)&amp;IF(AND(K1854&lt;&gt;"",E1854&lt;&gt;""),", "&amp;E1854,""))</f>
        <v/>
      </c>
      <c r="T1854">
        <f>IF(R1854="","",IF(COUNTIFS(R$6:R1853,"&gt;0",S$6:S1853,S1854,N$6:N1853,N1854)=0,R1854,""))</f>
        <v/>
      </c>
      <c r="U1854">
        <f>IF(B1854="","",IF(J1854&lt;&gt;"",0,M1854))</f>
        <v/>
      </c>
    </row>
    <row r="1855">
      <c r="A1855" s="1" t="n"/>
      <c r="B1855" s="16" t="n"/>
      <c r="C1855" s="17" t="n"/>
      <c r="D1855" s="18" t="n"/>
      <c r="E1855" s="18" t="n"/>
      <c r="F1855" s="19" t="n"/>
      <c r="G1855" s="19" t="n"/>
      <c r="H1855" s="20" t="n"/>
      <c r="I1855" s="21" t="n"/>
      <c r="J1855" s="22" t="n"/>
      <c r="K1855" s="23" t="n"/>
      <c r="L1855" s="18" t="n"/>
      <c r="M1855" s="24">
        <f>IF(B1855="","",IF(AND(F1855&lt;&gt;"",G1855&lt;&gt;""),MAX(0,ROUND(MOD(G1855-F1855,1)*24-N(H1855)/60,2)),N(I1855)))</f>
        <v/>
      </c>
      <c r="N1855" s="14">
        <f>IF(B1855="","",IF(K1855&lt;&gt;"",K1855,IF(N(IFERROR(INDEX(Projects!$D$6:$D$65,MATCH(D1855,Projects!$B$6:$B$65,0)),""))&gt;0,IFERROR(INDEX(Projects!$D$6:$D$65,MATCH(D1855,Projects!$B$6:$B$65,0)),""),IFERROR(INDEX(Clients!$G$6:$G$45,MATCH(C1855,Clients!$B$6:$B$45,0)),0))))</f>
        <v/>
      </c>
      <c r="O1855" s="14">
        <f>IF(B1855="","",IF(J1855&lt;&gt;"",0,ROUND(M1855*N1855,2)))</f>
        <v/>
      </c>
      <c r="P1855" s="15">
        <f>IF(OR(B1855="",J1855&lt;&gt;""),"",IF(L1855&lt;&gt;"",L1855,IF(COUNTIFS(Invoices!$C$6:$C$305,C1855,Invoices!$E$6:$E$305,"&lt;="&amp;B1855,Invoices!$F$6:$F$305,"&gt;="&amp;B1855)=1,INDEX(Invoices!$B$6:$B$305,SUMIFS(Invoices!$O$6:$O$305,Invoices!$C$6:$C$305,C1855,Invoices!$E$6:$E$305,"&lt;="&amp;B1855,Invoices!$F$6:$F$305,"&gt;="&amp;B1855)),IF(COUNTIFS(Invoices!$C$6:$C$305,C1855,Invoices!$E$6:$E$305,"&lt;="&amp;B1855,Invoices!$F$6:$F$305,"&gt;="&amp;B1855)&gt;1,"Two invoices",""))))</f>
        <v/>
      </c>
      <c r="Q1855" s="15">
        <f>IF(B1855="","",IF(J1855&lt;&gt;"","Not billable",IF(P1855="","To invoice",IF(P1855="Two invoices","Check dates",IF(ISNA(MATCH(P1855,Invoices!$B$6:$B$305,0)),"Check number",IF(INDEX(Invoices!$M$6:$M$305,MATCH(P1855,Invoices!$B$6:$B$305,0))="Paid","Paid",IF(INDEX(Invoices!$M$6:$M$305,MATCH(P1855,Invoices!$B$6:$B$305,0))="Draft","Draft","Invoiced")))))))</f>
        <v/>
      </c>
      <c r="R1855" s="1">
        <f>IF(AND(B1855&lt;&gt;"",P1855&lt;&gt;"",P1855=Invoice!$G$4),B1855+MOD(N(F1855),1)+ROW()/10000000,"")</f>
        <v/>
      </c>
      <c r="S1855">
        <f>IF(R1855="","",IF(D1855="","Other work",D1855)&amp;IF(AND(K1855&lt;&gt;"",E1855&lt;&gt;""),", "&amp;E1855,""))</f>
        <v/>
      </c>
      <c r="T1855">
        <f>IF(R1855="","",IF(COUNTIFS(R$6:R1854,"&gt;0",S$6:S1854,S1855,N$6:N1854,N1855)=0,R1855,""))</f>
        <v/>
      </c>
      <c r="U1855">
        <f>IF(B1855="","",IF(J1855&lt;&gt;"",0,M1855))</f>
        <v/>
      </c>
    </row>
    <row r="1856">
      <c r="A1856" s="1" t="n"/>
      <c r="B1856" s="16" t="n"/>
      <c r="C1856" s="17" t="n"/>
      <c r="D1856" s="18" t="n"/>
      <c r="E1856" s="18" t="n"/>
      <c r="F1856" s="19" t="n"/>
      <c r="G1856" s="19" t="n"/>
      <c r="H1856" s="20" t="n"/>
      <c r="I1856" s="21" t="n"/>
      <c r="J1856" s="22" t="n"/>
      <c r="K1856" s="23" t="n"/>
      <c r="L1856" s="18" t="n"/>
      <c r="M1856" s="24">
        <f>IF(B1856="","",IF(AND(F1856&lt;&gt;"",G1856&lt;&gt;""),MAX(0,ROUND(MOD(G1856-F1856,1)*24-N(H1856)/60,2)),N(I1856)))</f>
        <v/>
      </c>
      <c r="N1856" s="14">
        <f>IF(B1856="","",IF(K1856&lt;&gt;"",K1856,IF(N(IFERROR(INDEX(Projects!$D$6:$D$65,MATCH(D1856,Projects!$B$6:$B$65,0)),""))&gt;0,IFERROR(INDEX(Projects!$D$6:$D$65,MATCH(D1856,Projects!$B$6:$B$65,0)),""),IFERROR(INDEX(Clients!$G$6:$G$45,MATCH(C1856,Clients!$B$6:$B$45,0)),0))))</f>
        <v/>
      </c>
      <c r="O1856" s="14">
        <f>IF(B1856="","",IF(J1856&lt;&gt;"",0,ROUND(M1856*N1856,2)))</f>
        <v/>
      </c>
      <c r="P1856" s="15">
        <f>IF(OR(B1856="",J1856&lt;&gt;""),"",IF(L1856&lt;&gt;"",L1856,IF(COUNTIFS(Invoices!$C$6:$C$305,C1856,Invoices!$E$6:$E$305,"&lt;="&amp;B1856,Invoices!$F$6:$F$305,"&gt;="&amp;B1856)=1,INDEX(Invoices!$B$6:$B$305,SUMIFS(Invoices!$O$6:$O$305,Invoices!$C$6:$C$305,C1856,Invoices!$E$6:$E$305,"&lt;="&amp;B1856,Invoices!$F$6:$F$305,"&gt;="&amp;B1856)),IF(COUNTIFS(Invoices!$C$6:$C$305,C1856,Invoices!$E$6:$E$305,"&lt;="&amp;B1856,Invoices!$F$6:$F$305,"&gt;="&amp;B1856)&gt;1,"Two invoices",""))))</f>
        <v/>
      </c>
      <c r="Q1856" s="15">
        <f>IF(B1856="","",IF(J1856&lt;&gt;"","Not billable",IF(P1856="","To invoice",IF(P1856="Two invoices","Check dates",IF(ISNA(MATCH(P1856,Invoices!$B$6:$B$305,0)),"Check number",IF(INDEX(Invoices!$M$6:$M$305,MATCH(P1856,Invoices!$B$6:$B$305,0))="Paid","Paid",IF(INDEX(Invoices!$M$6:$M$305,MATCH(P1856,Invoices!$B$6:$B$305,0))="Draft","Draft","Invoiced")))))))</f>
        <v/>
      </c>
      <c r="R1856" s="1">
        <f>IF(AND(B1856&lt;&gt;"",P1856&lt;&gt;"",P1856=Invoice!$G$4),B1856+MOD(N(F1856),1)+ROW()/10000000,"")</f>
        <v/>
      </c>
      <c r="S1856">
        <f>IF(R1856="","",IF(D1856="","Other work",D1856)&amp;IF(AND(K1856&lt;&gt;"",E1856&lt;&gt;""),", "&amp;E1856,""))</f>
        <v/>
      </c>
      <c r="T1856">
        <f>IF(R1856="","",IF(COUNTIFS(R$6:R1855,"&gt;0",S$6:S1855,S1856,N$6:N1855,N1856)=0,R1856,""))</f>
        <v/>
      </c>
      <c r="U1856">
        <f>IF(B1856="","",IF(J1856&lt;&gt;"",0,M1856))</f>
        <v/>
      </c>
    </row>
    <row r="1857">
      <c r="A1857" s="1" t="n"/>
      <c r="B1857" s="16" t="n"/>
      <c r="C1857" s="17" t="n"/>
      <c r="D1857" s="18" t="n"/>
      <c r="E1857" s="18" t="n"/>
      <c r="F1857" s="19" t="n"/>
      <c r="G1857" s="19" t="n"/>
      <c r="H1857" s="20" t="n"/>
      <c r="I1857" s="21" t="n"/>
      <c r="J1857" s="22" t="n"/>
      <c r="K1857" s="23" t="n"/>
      <c r="L1857" s="18" t="n"/>
      <c r="M1857" s="24">
        <f>IF(B1857="","",IF(AND(F1857&lt;&gt;"",G1857&lt;&gt;""),MAX(0,ROUND(MOD(G1857-F1857,1)*24-N(H1857)/60,2)),N(I1857)))</f>
        <v/>
      </c>
      <c r="N1857" s="14">
        <f>IF(B1857="","",IF(K1857&lt;&gt;"",K1857,IF(N(IFERROR(INDEX(Projects!$D$6:$D$65,MATCH(D1857,Projects!$B$6:$B$65,0)),""))&gt;0,IFERROR(INDEX(Projects!$D$6:$D$65,MATCH(D1857,Projects!$B$6:$B$65,0)),""),IFERROR(INDEX(Clients!$G$6:$G$45,MATCH(C1857,Clients!$B$6:$B$45,0)),0))))</f>
        <v/>
      </c>
      <c r="O1857" s="14">
        <f>IF(B1857="","",IF(J1857&lt;&gt;"",0,ROUND(M1857*N1857,2)))</f>
        <v/>
      </c>
      <c r="P1857" s="15">
        <f>IF(OR(B1857="",J1857&lt;&gt;""),"",IF(L1857&lt;&gt;"",L1857,IF(COUNTIFS(Invoices!$C$6:$C$305,C1857,Invoices!$E$6:$E$305,"&lt;="&amp;B1857,Invoices!$F$6:$F$305,"&gt;="&amp;B1857)=1,INDEX(Invoices!$B$6:$B$305,SUMIFS(Invoices!$O$6:$O$305,Invoices!$C$6:$C$305,C1857,Invoices!$E$6:$E$305,"&lt;="&amp;B1857,Invoices!$F$6:$F$305,"&gt;="&amp;B1857)),IF(COUNTIFS(Invoices!$C$6:$C$305,C1857,Invoices!$E$6:$E$305,"&lt;="&amp;B1857,Invoices!$F$6:$F$305,"&gt;="&amp;B1857)&gt;1,"Two invoices",""))))</f>
        <v/>
      </c>
      <c r="Q1857" s="15">
        <f>IF(B1857="","",IF(J1857&lt;&gt;"","Not billable",IF(P1857="","To invoice",IF(P1857="Two invoices","Check dates",IF(ISNA(MATCH(P1857,Invoices!$B$6:$B$305,0)),"Check number",IF(INDEX(Invoices!$M$6:$M$305,MATCH(P1857,Invoices!$B$6:$B$305,0))="Paid","Paid",IF(INDEX(Invoices!$M$6:$M$305,MATCH(P1857,Invoices!$B$6:$B$305,0))="Draft","Draft","Invoiced")))))))</f>
        <v/>
      </c>
      <c r="R1857" s="1">
        <f>IF(AND(B1857&lt;&gt;"",P1857&lt;&gt;"",P1857=Invoice!$G$4),B1857+MOD(N(F1857),1)+ROW()/10000000,"")</f>
        <v/>
      </c>
      <c r="S1857">
        <f>IF(R1857="","",IF(D1857="","Other work",D1857)&amp;IF(AND(K1857&lt;&gt;"",E1857&lt;&gt;""),", "&amp;E1857,""))</f>
        <v/>
      </c>
      <c r="T1857">
        <f>IF(R1857="","",IF(COUNTIFS(R$6:R1856,"&gt;0",S$6:S1856,S1857,N$6:N1856,N1857)=0,R1857,""))</f>
        <v/>
      </c>
      <c r="U1857">
        <f>IF(B1857="","",IF(J1857&lt;&gt;"",0,M1857))</f>
        <v/>
      </c>
    </row>
    <row r="1858">
      <c r="A1858" s="1" t="n"/>
      <c r="B1858" s="16" t="n"/>
      <c r="C1858" s="17" t="n"/>
      <c r="D1858" s="18" t="n"/>
      <c r="E1858" s="18" t="n"/>
      <c r="F1858" s="19" t="n"/>
      <c r="G1858" s="19" t="n"/>
      <c r="H1858" s="20" t="n"/>
      <c r="I1858" s="21" t="n"/>
      <c r="J1858" s="22" t="n"/>
      <c r="K1858" s="23" t="n"/>
      <c r="L1858" s="18" t="n"/>
      <c r="M1858" s="24">
        <f>IF(B1858="","",IF(AND(F1858&lt;&gt;"",G1858&lt;&gt;""),MAX(0,ROUND(MOD(G1858-F1858,1)*24-N(H1858)/60,2)),N(I1858)))</f>
        <v/>
      </c>
      <c r="N1858" s="14">
        <f>IF(B1858="","",IF(K1858&lt;&gt;"",K1858,IF(N(IFERROR(INDEX(Projects!$D$6:$D$65,MATCH(D1858,Projects!$B$6:$B$65,0)),""))&gt;0,IFERROR(INDEX(Projects!$D$6:$D$65,MATCH(D1858,Projects!$B$6:$B$65,0)),""),IFERROR(INDEX(Clients!$G$6:$G$45,MATCH(C1858,Clients!$B$6:$B$45,0)),0))))</f>
        <v/>
      </c>
      <c r="O1858" s="14">
        <f>IF(B1858="","",IF(J1858&lt;&gt;"",0,ROUND(M1858*N1858,2)))</f>
        <v/>
      </c>
      <c r="P1858" s="15">
        <f>IF(OR(B1858="",J1858&lt;&gt;""),"",IF(L1858&lt;&gt;"",L1858,IF(COUNTIFS(Invoices!$C$6:$C$305,C1858,Invoices!$E$6:$E$305,"&lt;="&amp;B1858,Invoices!$F$6:$F$305,"&gt;="&amp;B1858)=1,INDEX(Invoices!$B$6:$B$305,SUMIFS(Invoices!$O$6:$O$305,Invoices!$C$6:$C$305,C1858,Invoices!$E$6:$E$305,"&lt;="&amp;B1858,Invoices!$F$6:$F$305,"&gt;="&amp;B1858)),IF(COUNTIFS(Invoices!$C$6:$C$305,C1858,Invoices!$E$6:$E$305,"&lt;="&amp;B1858,Invoices!$F$6:$F$305,"&gt;="&amp;B1858)&gt;1,"Two invoices",""))))</f>
        <v/>
      </c>
      <c r="Q1858" s="15">
        <f>IF(B1858="","",IF(J1858&lt;&gt;"","Not billable",IF(P1858="","To invoice",IF(P1858="Two invoices","Check dates",IF(ISNA(MATCH(P1858,Invoices!$B$6:$B$305,0)),"Check number",IF(INDEX(Invoices!$M$6:$M$305,MATCH(P1858,Invoices!$B$6:$B$305,0))="Paid","Paid",IF(INDEX(Invoices!$M$6:$M$305,MATCH(P1858,Invoices!$B$6:$B$305,0))="Draft","Draft","Invoiced")))))))</f>
        <v/>
      </c>
      <c r="R1858" s="1">
        <f>IF(AND(B1858&lt;&gt;"",P1858&lt;&gt;"",P1858=Invoice!$G$4),B1858+MOD(N(F1858),1)+ROW()/10000000,"")</f>
        <v/>
      </c>
      <c r="S1858">
        <f>IF(R1858="","",IF(D1858="","Other work",D1858)&amp;IF(AND(K1858&lt;&gt;"",E1858&lt;&gt;""),", "&amp;E1858,""))</f>
        <v/>
      </c>
      <c r="T1858">
        <f>IF(R1858="","",IF(COUNTIFS(R$6:R1857,"&gt;0",S$6:S1857,S1858,N$6:N1857,N1858)=0,R1858,""))</f>
        <v/>
      </c>
      <c r="U1858">
        <f>IF(B1858="","",IF(J1858&lt;&gt;"",0,M1858))</f>
        <v/>
      </c>
    </row>
    <row r="1859">
      <c r="A1859" s="1" t="n"/>
      <c r="B1859" s="16" t="n"/>
      <c r="C1859" s="17" t="n"/>
      <c r="D1859" s="18" t="n"/>
      <c r="E1859" s="18" t="n"/>
      <c r="F1859" s="19" t="n"/>
      <c r="G1859" s="19" t="n"/>
      <c r="H1859" s="20" t="n"/>
      <c r="I1859" s="21" t="n"/>
      <c r="J1859" s="22" t="n"/>
      <c r="K1859" s="23" t="n"/>
      <c r="L1859" s="18" t="n"/>
      <c r="M1859" s="24">
        <f>IF(B1859="","",IF(AND(F1859&lt;&gt;"",G1859&lt;&gt;""),MAX(0,ROUND(MOD(G1859-F1859,1)*24-N(H1859)/60,2)),N(I1859)))</f>
        <v/>
      </c>
      <c r="N1859" s="14">
        <f>IF(B1859="","",IF(K1859&lt;&gt;"",K1859,IF(N(IFERROR(INDEX(Projects!$D$6:$D$65,MATCH(D1859,Projects!$B$6:$B$65,0)),""))&gt;0,IFERROR(INDEX(Projects!$D$6:$D$65,MATCH(D1859,Projects!$B$6:$B$65,0)),""),IFERROR(INDEX(Clients!$G$6:$G$45,MATCH(C1859,Clients!$B$6:$B$45,0)),0))))</f>
        <v/>
      </c>
      <c r="O1859" s="14">
        <f>IF(B1859="","",IF(J1859&lt;&gt;"",0,ROUND(M1859*N1859,2)))</f>
        <v/>
      </c>
      <c r="P1859" s="15">
        <f>IF(OR(B1859="",J1859&lt;&gt;""),"",IF(L1859&lt;&gt;"",L1859,IF(COUNTIFS(Invoices!$C$6:$C$305,C1859,Invoices!$E$6:$E$305,"&lt;="&amp;B1859,Invoices!$F$6:$F$305,"&gt;="&amp;B1859)=1,INDEX(Invoices!$B$6:$B$305,SUMIFS(Invoices!$O$6:$O$305,Invoices!$C$6:$C$305,C1859,Invoices!$E$6:$E$305,"&lt;="&amp;B1859,Invoices!$F$6:$F$305,"&gt;="&amp;B1859)),IF(COUNTIFS(Invoices!$C$6:$C$305,C1859,Invoices!$E$6:$E$305,"&lt;="&amp;B1859,Invoices!$F$6:$F$305,"&gt;="&amp;B1859)&gt;1,"Two invoices",""))))</f>
        <v/>
      </c>
      <c r="Q1859" s="15">
        <f>IF(B1859="","",IF(J1859&lt;&gt;"","Not billable",IF(P1859="","To invoice",IF(P1859="Two invoices","Check dates",IF(ISNA(MATCH(P1859,Invoices!$B$6:$B$305,0)),"Check number",IF(INDEX(Invoices!$M$6:$M$305,MATCH(P1859,Invoices!$B$6:$B$305,0))="Paid","Paid",IF(INDEX(Invoices!$M$6:$M$305,MATCH(P1859,Invoices!$B$6:$B$305,0))="Draft","Draft","Invoiced")))))))</f>
        <v/>
      </c>
      <c r="R1859" s="1">
        <f>IF(AND(B1859&lt;&gt;"",P1859&lt;&gt;"",P1859=Invoice!$G$4),B1859+MOD(N(F1859),1)+ROW()/10000000,"")</f>
        <v/>
      </c>
      <c r="S1859">
        <f>IF(R1859="","",IF(D1859="","Other work",D1859)&amp;IF(AND(K1859&lt;&gt;"",E1859&lt;&gt;""),", "&amp;E1859,""))</f>
        <v/>
      </c>
      <c r="T1859">
        <f>IF(R1859="","",IF(COUNTIFS(R$6:R1858,"&gt;0",S$6:S1858,S1859,N$6:N1858,N1859)=0,R1859,""))</f>
        <v/>
      </c>
      <c r="U1859">
        <f>IF(B1859="","",IF(J1859&lt;&gt;"",0,M1859))</f>
        <v/>
      </c>
    </row>
    <row r="1860">
      <c r="A1860" s="1" t="n"/>
      <c r="B1860" s="16" t="n"/>
      <c r="C1860" s="17" t="n"/>
      <c r="D1860" s="18" t="n"/>
      <c r="E1860" s="18" t="n"/>
      <c r="F1860" s="19" t="n"/>
      <c r="G1860" s="19" t="n"/>
      <c r="H1860" s="20" t="n"/>
      <c r="I1860" s="21" t="n"/>
      <c r="J1860" s="22" t="n"/>
      <c r="K1860" s="23" t="n"/>
      <c r="L1860" s="18" t="n"/>
      <c r="M1860" s="24">
        <f>IF(B1860="","",IF(AND(F1860&lt;&gt;"",G1860&lt;&gt;""),MAX(0,ROUND(MOD(G1860-F1860,1)*24-N(H1860)/60,2)),N(I1860)))</f>
        <v/>
      </c>
      <c r="N1860" s="14">
        <f>IF(B1860="","",IF(K1860&lt;&gt;"",K1860,IF(N(IFERROR(INDEX(Projects!$D$6:$D$65,MATCH(D1860,Projects!$B$6:$B$65,0)),""))&gt;0,IFERROR(INDEX(Projects!$D$6:$D$65,MATCH(D1860,Projects!$B$6:$B$65,0)),""),IFERROR(INDEX(Clients!$G$6:$G$45,MATCH(C1860,Clients!$B$6:$B$45,0)),0))))</f>
        <v/>
      </c>
      <c r="O1860" s="14">
        <f>IF(B1860="","",IF(J1860&lt;&gt;"",0,ROUND(M1860*N1860,2)))</f>
        <v/>
      </c>
      <c r="P1860" s="15">
        <f>IF(OR(B1860="",J1860&lt;&gt;""),"",IF(L1860&lt;&gt;"",L1860,IF(COUNTIFS(Invoices!$C$6:$C$305,C1860,Invoices!$E$6:$E$305,"&lt;="&amp;B1860,Invoices!$F$6:$F$305,"&gt;="&amp;B1860)=1,INDEX(Invoices!$B$6:$B$305,SUMIFS(Invoices!$O$6:$O$305,Invoices!$C$6:$C$305,C1860,Invoices!$E$6:$E$305,"&lt;="&amp;B1860,Invoices!$F$6:$F$305,"&gt;="&amp;B1860)),IF(COUNTIFS(Invoices!$C$6:$C$305,C1860,Invoices!$E$6:$E$305,"&lt;="&amp;B1860,Invoices!$F$6:$F$305,"&gt;="&amp;B1860)&gt;1,"Two invoices",""))))</f>
        <v/>
      </c>
      <c r="Q1860" s="15">
        <f>IF(B1860="","",IF(J1860&lt;&gt;"","Not billable",IF(P1860="","To invoice",IF(P1860="Two invoices","Check dates",IF(ISNA(MATCH(P1860,Invoices!$B$6:$B$305,0)),"Check number",IF(INDEX(Invoices!$M$6:$M$305,MATCH(P1860,Invoices!$B$6:$B$305,0))="Paid","Paid",IF(INDEX(Invoices!$M$6:$M$305,MATCH(P1860,Invoices!$B$6:$B$305,0))="Draft","Draft","Invoiced")))))))</f>
        <v/>
      </c>
      <c r="R1860" s="1">
        <f>IF(AND(B1860&lt;&gt;"",P1860&lt;&gt;"",P1860=Invoice!$G$4),B1860+MOD(N(F1860),1)+ROW()/10000000,"")</f>
        <v/>
      </c>
      <c r="S1860">
        <f>IF(R1860="","",IF(D1860="","Other work",D1860)&amp;IF(AND(K1860&lt;&gt;"",E1860&lt;&gt;""),", "&amp;E1860,""))</f>
        <v/>
      </c>
      <c r="T1860">
        <f>IF(R1860="","",IF(COUNTIFS(R$6:R1859,"&gt;0",S$6:S1859,S1860,N$6:N1859,N1860)=0,R1860,""))</f>
        <v/>
      </c>
      <c r="U1860">
        <f>IF(B1860="","",IF(J1860&lt;&gt;"",0,M1860))</f>
        <v/>
      </c>
    </row>
    <row r="1861">
      <c r="A1861" s="1" t="n"/>
      <c r="B1861" s="16" t="n"/>
      <c r="C1861" s="17" t="n"/>
      <c r="D1861" s="18" t="n"/>
      <c r="E1861" s="18" t="n"/>
      <c r="F1861" s="19" t="n"/>
      <c r="G1861" s="19" t="n"/>
      <c r="H1861" s="20" t="n"/>
      <c r="I1861" s="21" t="n"/>
      <c r="J1861" s="22" t="n"/>
      <c r="K1861" s="23" t="n"/>
      <c r="L1861" s="18" t="n"/>
      <c r="M1861" s="24">
        <f>IF(B1861="","",IF(AND(F1861&lt;&gt;"",G1861&lt;&gt;""),MAX(0,ROUND(MOD(G1861-F1861,1)*24-N(H1861)/60,2)),N(I1861)))</f>
        <v/>
      </c>
      <c r="N1861" s="14">
        <f>IF(B1861="","",IF(K1861&lt;&gt;"",K1861,IF(N(IFERROR(INDEX(Projects!$D$6:$D$65,MATCH(D1861,Projects!$B$6:$B$65,0)),""))&gt;0,IFERROR(INDEX(Projects!$D$6:$D$65,MATCH(D1861,Projects!$B$6:$B$65,0)),""),IFERROR(INDEX(Clients!$G$6:$G$45,MATCH(C1861,Clients!$B$6:$B$45,0)),0))))</f>
        <v/>
      </c>
      <c r="O1861" s="14">
        <f>IF(B1861="","",IF(J1861&lt;&gt;"",0,ROUND(M1861*N1861,2)))</f>
        <v/>
      </c>
      <c r="P1861" s="15">
        <f>IF(OR(B1861="",J1861&lt;&gt;""),"",IF(L1861&lt;&gt;"",L1861,IF(COUNTIFS(Invoices!$C$6:$C$305,C1861,Invoices!$E$6:$E$305,"&lt;="&amp;B1861,Invoices!$F$6:$F$305,"&gt;="&amp;B1861)=1,INDEX(Invoices!$B$6:$B$305,SUMIFS(Invoices!$O$6:$O$305,Invoices!$C$6:$C$305,C1861,Invoices!$E$6:$E$305,"&lt;="&amp;B1861,Invoices!$F$6:$F$305,"&gt;="&amp;B1861)),IF(COUNTIFS(Invoices!$C$6:$C$305,C1861,Invoices!$E$6:$E$305,"&lt;="&amp;B1861,Invoices!$F$6:$F$305,"&gt;="&amp;B1861)&gt;1,"Two invoices",""))))</f>
        <v/>
      </c>
      <c r="Q1861" s="15">
        <f>IF(B1861="","",IF(J1861&lt;&gt;"","Not billable",IF(P1861="","To invoice",IF(P1861="Two invoices","Check dates",IF(ISNA(MATCH(P1861,Invoices!$B$6:$B$305,0)),"Check number",IF(INDEX(Invoices!$M$6:$M$305,MATCH(P1861,Invoices!$B$6:$B$305,0))="Paid","Paid",IF(INDEX(Invoices!$M$6:$M$305,MATCH(P1861,Invoices!$B$6:$B$305,0))="Draft","Draft","Invoiced")))))))</f>
        <v/>
      </c>
      <c r="R1861" s="1">
        <f>IF(AND(B1861&lt;&gt;"",P1861&lt;&gt;"",P1861=Invoice!$G$4),B1861+MOD(N(F1861),1)+ROW()/10000000,"")</f>
        <v/>
      </c>
      <c r="S1861">
        <f>IF(R1861="","",IF(D1861="","Other work",D1861)&amp;IF(AND(K1861&lt;&gt;"",E1861&lt;&gt;""),", "&amp;E1861,""))</f>
        <v/>
      </c>
      <c r="T1861">
        <f>IF(R1861="","",IF(COUNTIFS(R$6:R1860,"&gt;0",S$6:S1860,S1861,N$6:N1860,N1861)=0,R1861,""))</f>
        <v/>
      </c>
      <c r="U1861">
        <f>IF(B1861="","",IF(J1861&lt;&gt;"",0,M1861))</f>
        <v/>
      </c>
    </row>
    <row r="1862">
      <c r="A1862" s="1" t="n"/>
      <c r="B1862" s="16" t="n"/>
      <c r="C1862" s="17" t="n"/>
      <c r="D1862" s="18" t="n"/>
      <c r="E1862" s="18" t="n"/>
      <c r="F1862" s="19" t="n"/>
      <c r="G1862" s="19" t="n"/>
      <c r="H1862" s="20" t="n"/>
      <c r="I1862" s="21" t="n"/>
      <c r="J1862" s="22" t="n"/>
      <c r="K1862" s="23" t="n"/>
      <c r="L1862" s="18" t="n"/>
      <c r="M1862" s="24">
        <f>IF(B1862="","",IF(AND(F1862&lt;&gt;"",G1862&lt;&gt;""),MAX(0,ROUND(MOD(G1862-F1862,1)*24-N(H1862)/60,2)),N(I1862)))</f>
        <v/>
      </c>
      <c r="N1862" s="14">
        <f>IF(B1862="","",IF(K1862&lt;&gt;"",K1862,IF(N(IFERROR(INDEX(Projects!$D$6:$D$65,MATCH(D1862,Projects!$B$6:$B$65,0)),""))&gt;0,IFERROR(INDEX(Projects!$D$6:$D$65,MATCH(D1862,Projects!$B$6:$B$65,0)),""),IFERROR(INDEX(Clients!$G$6:$G$45,MATCH(C1862,Clients!$B$6:$B$45,0)),0))))</f>
        <v/>
      </c>
      <c r="O1862" s="14">
        <f>IF(B1862="","",IF(J1862&lt;&gt;"",0,ROUND(M1862*N1862,2)))</f>
        <v/>
      </c>
      <c r="P1862" s="15">
        <f>IF(OR(B1862="",J1862&lt;&gt;""),"",IF(L1862&lt;&gt;"",L1862,IF(COUNTIFS(Invoices!$C$6:$C$305,C1862,Invoices!$E$6:$E$305,"&lt;="&amp;B1862,Invoices!$F$6:$F$305,"&gt;="&amp;B1862)=1,INDEX(Invoices!$B$6:$B$305,SUMIFS(Invoices!$O$6:$O$305,Invoices!$C$6:$C$305,C1862,Invoices!$E$6:$E$305,"&lt;="&amp;B1862,Invoices!$F$6:$F$305,"&gt;="&amp;B1862)),IF(COUNTIFS(Invoices!$C$6:$C$305,C1862,Invoices!$E$6:$E$305,"&lt;="&amp;B1862,Invoices!$F$6:$F$305,"&gt;="&amp;B1862)&gt;1,"Two invoices",""))))</f>
        <v/>
      </c>
      <c r="Q1862" s="15">
        <f>IF(B1862="","",IF(J1862&lt;&gt;"","Not billable",IF(P1862="","To invoice",IF(P1862="Two invoices","Check dates",IF(ISNA(MATCH(P1862,Invoices!$B$6:$B$305,0)),"Check number",IF(INDEX(Invoices!$M$6:$M$305,MATCH(P1862,Invoices!$B$6:$B$305,0))="Paid","Paid",IF(INDEX(Invoices!$M$6:$M$305,MATCH(P1862,Invoices!$B$6:$B$305,0))="Draft","Draft","Invoiced")))))))</f>
        <v/>
      </c>
      <c r="R1862" s="1">
        <f>IF(AND(B1862&lt;&gt;"",P1862&lt;&gt;"",P1862=Invoice!$G$4),B1862+MOD(N(F1862),1)+ROW()/10000000,"")</f>
        <v/>
      </c>
      <c r="S1862">
        <f>IF(R1862="","",IF(D1862="","Other work",D1862)&amp;IF(AND(K1862&lt;&gt;"",E1862&lt;&gt;""),", "&amp;E1862,""))</f>
        <v/>
      </c>
      <c r="T1862">
        <f>IF(R1862="","",IF(COUNTIFS(R$6:R1861,"&gt;0",S$6:S1861,S1862,N$6:N1861,N1862)=0,R1862,""))</f>
        <v/>
      </c>
      <c r="U1862">
        <f>IF(B1862="","",IF(J1862&lt;&gt;"",0,M1862))</f>
        <v/>
      </c>
    </row>
    <row r="1863">
      <c r="A1863" s="1" t="n"/>
      <c r="B1863" s="16" t="n"/>
      <c r="C1863" s="17" t="n"/>
      <c r="D1863" s="18" t="n"/>
      <c r="E1863" s="18" t="n"/>
      <c r="F1863" s="19" t="n"/>
      <c r="G1863" s="19" t="n"/>
      <c r="H1863" s="20" t="n"/>
      <c r="I1863" s="21" t="n"/>
      <c r="J1863" s="22" t="n"/>
      <c r="K1863" s="23" t="n"/>
      <c r="L1863" s="18" t="n"/>
      <c r="M1863" s="24">
        <f>IF(B1863="","",IF(AND(F1863&lt;&gt;"",G1863&lt;&gt;""),MAX(0,ROUND(MOD(G1863-F1863,1)*24-N(H1863)/60,2)),N(I1863)))</f>
        <v/>
      </c>
      <c r="N1863" s="14">
        <f>IF(B1863="","",IF(K1863&lt;&gt;"",K1863,IF(N(IFERROR(INDEX(Projects!$D$6:$D$65,MATCH(D1863,Projects!$B$6:$B$65,0)),""))&gt;0,IFERROR(INDEX(Projects!$D$6:$D$65,MATCH(D1863,Projects!$B$6:$B$65,0)),""),IFERROR(INDEX(Clients!$G$6:$G$45,MATCH(C1863,Clients!$B$6:$B$45,0)),0))))</f>
        <v/>
      </c>
      <c r="O1863" s="14">
        <f>IF(B1863="","",IF(J1863&lt;&gt;"",0,ROUND(M1863*N1863,2)))</f>
        <v/>
      </c>
      <c r="P1863" s="15">
        <f>IF(OR(B1863="",J1863&lt;&gt;""),"",IF(L1863&lt;&gt;"",L1863,IF(COUNTIFS(Invoices!$C$6:$C$305,C1863,Invoices!$E$6:$E$305,"&lt;="&amp;B1863,Invoices!$F$6:$F$305,"&gt;="&amp;B1863)=1,INDEX(Invoices!$B$6:$B$305,SUMIFS(Invoices!$O$6:$O$305,Invoices!$C$6:$C$305,C1863,Invoices!$E$6:$E$305,"&lt;="&amp;B1863,Invoices!$F$6:$F$305,"&gt;="&amp;B1863)),IF(COUNTIFS(Invoices!$C$6:$C$305,C1863,Invoices!$E$6:$E$305,"&lt;="&amp;B1863,Invoices!$F$6:$F$305,"&gt;="&amp;B1863)&gt;1,"Two invoices",""))))</f>
        <v/>
      </c>
      <c r="Q1863" s="15">
        <f>IF(B1863="","",IF(J1863&lt;&gt;"","Not billable",IF(P1863="","To invoice",IF(P1863="Two invoices","Check dates",IF(ISNA(MATCH(P1863,Invoices!$B$6:$B$305,0)),"Check number",IF(INDEX(Invoices!$M$6:$M$305,MATCH(P1863,Invoices!$B$6:$B$305,0))="Paid","Paid",IF(INDEX(Invoices!$M$6:$M$305,MATCH(P1863,Invoices!$B$6:$B$305,0))="Draft","Draft","Invoiced")))))))</f>
        <v/>
      </c>
      <c r="R1863" s="1">
        <f>IF(AND(B1863&lt;&gt;"",P1863&lt;&gt;"",P1863=Invoice!$G$4),B1863+MOD(N(F1863),1)+ROW()/10000000,"")</f>
        <v/>
      </c>
      <c r="S1863">
        <f>IF(R1863="","",IF(D1863="","Other work",D1863)&amp;IF(AND(K1863&lt;&gt;"",E1863&lt;&gt;""),", "&amp;E1863,""))</f>
        <v/>
      </c>
      <c r="T1863">
        <f>IF(R1863="","",IF(COUNTIFS(R$6:R1862,"&gt;0",S$6:S1862,S1863,N$6:N1862,N1863)=0,R1863,""))</f>
        <v/>
      </c>
      <c r="U1863">
        <f>IF(B1863="","",IF(J1863&lt;&gt;"",0,M1863))</f>
        <v/>
      </c>
    </row>
    <row r="1864">
      <c r="A1864" s="1" t="n"/>
      <c r="B1864" s="16" t="n"/>
      <c r="C1864" s="17" t="n"/>
      <c r="D1864" s="18" t="n"/>
      <c r="E1864" s="18" t="n"/>
      <c r="F1864" s="19" t="n"/>
      <c r="G1864" s="19" t="n"/>
      <c r="H1864" s="20" t="n"/>
      <c r="I1864" s="21" t="n"/>
      <c r="J1864" s="22" t="n"/>
      <c r="K1864" s="23" t="n"/>
      <c r="L1864" s="18" t="n"/>
      <c r="M1864" s="24">
        <f>IF(B1864="","",IF(AND(F1864&lt;&gt;"",G1864&lt;&gt;""),MAX(0,ROUND(MOD(G1864-F1864,1)*24-N(H1864)/60,2)),N(I1864)))</f>
        <v/>
      </c>
      <c r="N1864" s="14">
        <f>IF(B1864="","",IF(K1864&lt;&gt;"",K1864,IF(N(IFERROR(INDEX(Projects!$D$6:$D$65,MATCH(D1864,Projects!$B$6:$B$65,0)),""))&gt;0,IFERROR(INDEX(Projects!$D$6:$D$65,MATCH(D1864,Projects!$B$6:$B$65,0)),""),IFERROR(INDEX(Clients!$G$6:$G$45,MATCH(C1864,Clients!$B$6:$B$45,0)),0))))</f>
        <v/>
      </c>
      <c r="O1864" s="14">
        <f>IF(B1864="","",IF(J1864&lt;&gt;"",0,ROUND(M1864*N1864,2)))</f>
        <v/>
      </c>
      <c r="P1864" s="15">
        <f>IF(OR(B1864="",J1864&lt;&gt;""),"",IF(L1864&lt;&gt;"",L1864,IF(COUNTIFS(Invoices!$C$6:$C$305,C1864,Invoices!$E$6:$E$305,"&lt;="&amp;B1864,Invoices!$F$6:$F$305,"&gt;="&amp;B1864)=1,INDEX(Invoices!$B$6:$B$305,SUMIFS(Invoices!$O$6:$O$305,Invoices!$C$6:$C$305,C1864,Invoices!$E$6:$E$305,"&lt;="&amp;B1864,Invoices!$F$6:$F$305,"&gt;="&amp;B1864)),IF(COUNTIFS(Invoices!$C$6:$C$305,C1864,Invoices!$E$6:$E$305,"&lt;="&amp;B1864,Invoices!$F$6:$F$305,"&gt;="&amp;B1864)&gt;1,"Two invoices",""))))</f>
        <v/>
      </c>
      <c r="Q1864" s="15">
        <f>IF(B1864="","",IF(J1864&lt;&gt;"","Not billable",IF(P1864="","To invoice",IF(P1864="Two invoices","Check dates",IF(ISNA(MATCH(P1864,Invoices!$B$6:$B$305,0)),"Check number",IF(INDEX(Invoices!$M$6:$M$305,MATCH(P1864,Invoices!$B$6:$B$305,0))="Paid","Paid",IF(INDEX(Invoices!$M$6:$M$305,MATCH(P1864,Invoices!$B$6:$B$305,0))="Draft","Draft","Invoiced")))))))</f>
        <v/>
      </c>
      <c r="R1864" s="1">
        <f>IF(AND(B1864&lt;&gt;"",P1864&lt;&gt;"",P1864=Invoice!$G$4),B1864+MOD(N(F1864),1)+ROW()/10000000,"")</f>
        <v/>
      </c>
      <c r="S1864">
        <f>IF(R1864="","",IF(D1864="","Other work",D1864)&amp;IF(AND(K1864&lt;&gt;"",E1864&lt;&gt;""),", "&amp;E1864,""))</f>
        <v/>
      </c>
      <c r="T1864">
        <f>IF(R1864="","",IF(COUNTIFS(R$6:R1863,"&gt;0",S$6:S1863,S1864,N$6:N1863,N1864)=0,R1864,""))</f>
        <v/>
      </c>
      <c r="U1864">
        <f>IF(B1864="","",IF(J1864&lt;&gt;"",0,M1864))</f>
        <v/>
      </c>
    </row>
    <row r="1865">
      <c r="A1865" s="1" t="n"/>
      <c r="B1865" s="16" t="n"/>
      <c r="C1865" s="17" t="n"/>
      <c r="D1865" s="18" t="n"/>
      <c r="E1865" s="18" t="n"/>
      <c r="F1865" s="19" t="n"/>
      <c r="G1865" s="19" t="n"/>
      <c r="H1865" s="20" t="n"/>
      <c r="I1865" s="21" t="n"/>
      <c r="J1865" s="22" t="n"/>
      <c r="K1865" s="23" t="n"/>
      <c r="L1865" s="18" t="n"/>
      <c r="M1865" s="24">
        <f>IF(B1865="","",IF(AND(F1865&lt;&gt;"",G1865&lt;&gt;""),MAX(0,ROUND(MOD(G1865-F1865,1)*24-N(H1865)/60,2)),N(I1865)))</f>
        <v/>
      </c>
      <c r="N1865" s="14">
        <f>IF(B1865="","",IF(K1865&lt;&gt;"",K1865,IF(N(IFERROR(INDEX(Projects!$D$6:$D$65,MATCH(D1865,Projects!$B$6:$B$65,0)),""))&gt;0,IFERROR(INDEX(Projects!$D$6:$D$65,MATCH(D1865,Projects!$B$6:$B$65,0)),""),IFERROR(INDEX(Clients!$G$6:$G$45,MATCH(C1865,Clients!$B$6:$B$45,0)),0))))</f>
        <v/>
      </c>
      <c r="O1865" s="14">
        <f>IF(B1865="","",IF(J1865&lt;&gt;"",0,ROUND(M1865*N1865,2)))</f>
        <v/>
      </c>
      <c r="P1865" s="15">
        <f>IF(OR(B1865="",J1865&lt;&gt;""),"",IF(L1865&lt;&gt;"",L1865,IF(COUNTIFS(Invoices!$C$6:$C$305,C1865,Invoices!$E$6:$E$305,"&lt;="&amp;B1865,Invoices!$F$6:$F$305,"&gt;="&amp;B1865)=1,INDEX(Invoices!$B$6:$B$305,SUMIFS(Invoices!$O$6:$O$305,Invoices!$C$6:$C$305,C1865,Invoices!$E$6:$E$305,"&lt;="&amp;B1865,Invoices!$F$6:$F$305,"&gt;="&amp;B1865)),IF(COUNTIFS(Invoices!$C$6:$C$305,C1865,Invoices!$E$6:$E$305,"&lt;="&amp;B1865,Invoices!$F$6:$F$305,"&gt;="&amp;B1865)&gt;1,"Two invoices",""))))</f>
        <v/>
      </c>
      <c r="Q1865" s="15">
        <f>IF(B1865="","",IF(J1865&lt;&gt;"","Not billable",IF(P1865="","To invoice",IF(P1865="Two invoices","Check dates",IF(ISNA(MATCH(P1865,Invoices!$B$6:$B$305,0)),"Check number",IF(INDEX(Invoices!$M$6:$M$305,MATCH(P1865,Invoices!$B$6:$B$305,0))="Paid","Paid",IF(INDEX(Invoices!$M$6:$M$305,MATCH(P1865,Invoices!$B$6:$B$305,0))="Draft","Draft","Invoiced")))))))</f>
        <v/>
      </c>
      <c r="R1865" s="1">
        <f>IF(AND(B1865&lt;&gt;"",P1865&lt;&gt;"",P1865=Invoice!$G$4),B1865+MOD(N(F1865),1)+ROW()/10000000,"")</f>
        <v/>
      </c>
      <c r="S1865">
        <f>IF(R1865="","",IF(D1865="","Other work",D1865)&amp;IF(AND(K1865&lt;&gt;"",E1865&lt;&gt;""),", "&amp;E1865,""))</f>
        <v/>
      </c>
      <c r="T1865">
        <f>IF(R1865="","",IF(COUNTIFS(R$6:R1864,"&gt;0",S$6:S1864,S1865,N$6:N1864,N1865)=0,R1865,""))</f>
        <v/>
      </c>
      <c r="U1865">
        <f>IF(B1865="","",IF(J1865&lt;&gt;"",0,M1865))</f>
        <v/>
      </c>
    </row>
    <row r="1866">
      <c r="A1866" s="1" t="n"/>
      <c r="B1866" s="16" t="n"/>
      <c r="C1866" s="17" t="n"/>
      <c r="D1866" s="18" t="n"/>
      <c r="E1866" s="18" t="n"/>
      <c r="F1866" s="19" t="n"/>
      <c r="G1866" s="19" t="n"/>
      <c r="H1866" s="20" t="n"/>
      <c r="I1866" s="21" t="n"/>
      <c r="J1866" s="22" t="n"/>
      <c r="K1866" s="23" t="n"/>
      <c r="L1866" s="18" t="n"/>
      <c r="M1866" s="24">
        <f>IF(B1866="","",IF(AND(F1866&lt;&gt;"",G1866&lt;&gt;""),MAX(0,ROUND(MOD(G1866-F1866,1)*24-N(H1866)/60,2)),N(I1866)))</f>
        <v/>
      </c>
      <c r="N1866" s="14">
        <f>IF(B1866="","",IF(K1866&lt;&gt;"",K1866,IF(N(IFERROR(INDEX(Projects!$D$6:$D$65,MATCH(D1866,Projects!$B$6:$B$65,0)),""))&gt;0,IFERROR(INDEX(Projects!$D$6:$D$65,MATCH(D1866,Projects!$B$6:$B$65,0)),""),IFERROR(INDEX(Clients!$G$6:$G$45,MATCH(C1866,Clients!$B$6:$B$45,0)),0))))</f>
        <v/>
      </c>
      <c r="O1866" s="14">
        <f>IF(B1866="","",IF(J1866&lt;&gt;"",0,ROUND(M1866*N1866,2)))</f>
        <v/>
      </c>
      <c r="P1866" s="15">
        <f>IF(OR(B1866="",J1866&lt;&gt;""),"",IF(L1866&lt;&gt;"",L1866,IF(COUNTIFS(Invoices!$C$6:$C$305,C1866,Invoices!$E$6:$E$305,"&lt;="&amp;B1866,Invoices!$F$6:$F$305,"&gt;="&amp;B1866)=1,INDEX(Invoices!$B$6:$B$305,SUMIFS(Invoices!$O$6:$O$305,Invoices!$C$6:$C$305,C1866,Invoices!$E$6:$E$305,"&lt;="&amp;B1866,Invoices!$F$6:$F$305,"&gt;="&amp;B1866)),IF(COUNTIFS(Invoices!$C$6:$C$305,C1866,Invoices!$E$6:$E$305,"&lt;="&amp;B1866,Invoices!$F$6:$F$305,"&gt;="&amp;B1866)&gt;1,"Two invoices",""))))</f>
        <v/>
      </c>
      <c r="Q1866" s="15">
        <f>IF(B1866="","",IF(J1866&lt;&gt;"","Not billable",IF(P1866="","To invoice",IF(P1866="Two invoices","Check dates",IF(ISNA(MATCH(P1866,Invoices!$B$6:$B$305,0)),"Check number",IF(INDEX(Invoices!$M$6:$M$305,MATCH(P1866,Invoices!$B$6:$B$305,0))="Paid","Paid",IF(INDEX(Invoices!$M$6:$M$305,MATCH(P1866,Invoices!$B$6:$B$305,0))="Draft","Draft","Invoiced")))))))</f>
        <v/>
      </c>
      <c r="R1866" s="1">
        <f>IF(AND(B1866&lt;&gt;"",P1866&lt;&gt;"",P1866=Invoice!$G$4),B1866+MOD(N(F1866),1)+ROW()/10000000,"")</f>
        <v/>
      </c>
      <c r="S1866">
        <f>IF(R1866="","",IF(D1866="","Other work",D1866)&amp;IF(AND(K1866&lt;&gt;"",E1866&lt;&gt;""),", "&amp;E1866,""))</f>
        <v/>
      </c>
      <c r="T1866">
        <f>IF(R1866="","",IF(COUNTIFS(R$6:R1865,"&gt;0",S$6:S1865,S1866,N$6:N1865,N1866)=0,R1866,""))</f>
        <v/>
      </c>
      <c r="U1866">
        <f>IF(B1866="","",IF(J1866&lt;&gt;"",0,M1866))</f>
        <v/>
      </c>
    </row>
    <row r="1867">
      <c r="A1867" s="1" t="n"/>
      <c r="B1867" s="16" t="n"/>
      <c r="C1867" s="17" t="n"/>
      <c r="D1867" s="18" t="n"/>
      <c r="E1867" s="18" t="n"/>
      <c r="F1867" s="19" t="n"/>
      <c r="G1867" s="19" t="n"/>
      <c r="H1867" s="20" t="n"/>
      <c r="I1867" s="21" t="n"/>
      <c r="J1867" s="22" t="n"/>
      <c r="K1867" s="23" t="n"/>
      <c r="L1867" s="18" t="n"/>
      <c r="M1867" s="24">
        <f>IF(B1867="","",IF(AND(F1867&lt;&gt;"",G1867&lt;&gt;""),MAX(0,ROUND(MOD(G1867-F1867,1)*24-N(H1867)/60,2)),N(I1867)))</f>
        <v/>
      </c>
      <c r="N1867" s="14">
        <f>IF(B1867="","",IF(K1867&lt;&gt;"",K1867,IF(N(IFERROR(INDEX(Projects!$D$6:$D$65,MATCH(D1867,Projects!$B$6:$B$65,0)),""))&gt;0,IFERROR(INDEX(Projects!$D$6:$D$65,MATCH(D1867,Projects!$B$6:$B$65,0)),""),IFERROR(INDEX(Clients!$G$6:$G$45,MATCH(C1867,Clients!$B$6:$B$45,0)),0))))</f>
        <v/>
      </c>
      <c r="O1867" s="14">
        <f>IF(B1867="","",IF(J1867&lt;&gt;"",0,ROUND(M1867*N1867,2)))</f>
        <v/>
      </c>
      <c r="P1867" s="15">
        <f>IF(OR(B1867="",J1867&lt;&gt;""),"",IF(L1867&lt;&gt;"",L1867,IF(COUNTIFS(Invoices!$C$6:$C$305,C1867,Invoices!$E$6:$E$305,"&lt;="&amp;B1867,Invoices!$F$6:$F$305,"&gt;="&amp;B1867)=1,INDEX(Invoices!$B$6:$B$305,SUMIFS(Invoices!$O$6:$O$305,Invoices!$C$6:$C$305,C1867,Invoices!$E$6:$E$305,"&lt;="&amp;B1867,Invoices!$F$6:$F$305,"&gt;="&amp;B1867)),IF(COUNTIFS(Invoices!$C$6:$C$305,C1867,Invoices!$E$6:$E$305,"&lt;="&amp;B1867,Invoices!$F$6:$F$305,"&gt;="&amp;B1867)&gt;1,"Two invoices",""))))</f>
        <v/>
      </c>
      <c r="Q1867" s="15">
        <f>IF(B1867="","",IF(J1867&lt;&gt;"","Not billable",IF(P1867="","To invoice",IF(P1867="Two invoices","Check dates",IF(ISNA(MATCH(P1867,Invoices!$B$6:$B$305,0)),"Check number",IF(INDEX(Invoices!$M$6:$M$305,MATCH(P1867,Invoices!$B$6:$B$305,0))="Paid","Paid",IF(INDEX(Invoices!$M$6:$M$305,MATCH(P1867,Invoices!$B$6:$B$305,0))="Draft","Draft","Invoiced")))))))</f>
        <v/>
      </c>
      <c r="R1867" s="1">
        <f>IF(AND(B1867&lt;&gt;"",P1867&lt;&gt;"",P1867=Invoice!$G$4),B1867+MOD(N(F1867),1)+ROW()/10000000,"")</f>
        <v/>
      </c>
      <c r="S1867">
        <f>IF(R1867="","",IF(D1867="","Other work",D1867)&amp;IF(AND(K1867&lt;&gt;"",E1867&lt;&gt;""),", "&amp;E1867,""))</f>
        <v/>
      </c>
      <c r="T1867">
        <f>IF(R1867="","",IF(COUNTIFS(R$6:R1866,"&gt;0",S$6:S1866,S1867,N$6:N1866,N1867)=0,R1867,""))</f>
        <v/>
      </c>
      <c r="U1867">
        <f>IF(B1867="","",IF(J1867&lt;&gt;"",0,M1867))</f>
        <v/>
      </c>
    </row>
    <row r="1868">
      <c r="A1868" s="1" t="n"/>
      <c r="B1868" s="16" t="n"/>
      <c r="C1868" s="17" t="n"/>
      <c r="D1868" s="18" t="n"/>
      <c r="E1868" s="18" t="n"/>
      <c r="F1868" s="19" t="n"/>
      <c r="G1868" s="19" t="n"/>
      <c r="H1868" s="20" t="n"/>
      <c r="I1868" s="21" t="n"/>
      <c r="J1868" s="22" t="n"/>
      <c r="K1868" s="23" t="n"/>
      <c r="L1868" s="18" t="n"/>
      <c r="M1868" s="24">
        <f>IF(B1868="","",IF(AND(F1868&lt;&gt;"",G1868&lt;&gt;""),MAX(0,ROUND(MOD(G1868-F1868,1)*24-N(H1868)/60,2)),N(I1868)))</f>
        <v/>
      </c>
      <c r="N1868" s="14">
        <f>IF(B1868="","",IF(K1868&lt;&gt;"",K1868,IF(N(IFERROR(INDEX(Projects!$D$6:$D$65,MATCH(D1868,Projects!$B$6:$B$65,0)),""))&gt;0,IFERROR(INDEX(Projects!$D$6:$D$65,MATCH(D1868,Projects!$B$6:$B$65,0)),""),IFERROR(INDEX(Clients!$G$6:$G$45,MATCH(C1868,Clients!$B$6:$B$45,0)),0))))</f>
        <v/>
      </c>
      <c r="O1868" s="14">
        <f>IF(B1868="","",IF(J1868&lt;&gt;"",0,ROUND(M1868*N1868,2)))</f>
        <v/>
      </c>
      <c r="P1868" s="15">
        <f>IF(OR(B1868="",J1868&lt;&gt;""),"",IF(L1868&lt;&gt;"",L1868,IF(COUNTIFS(Invoices!$C$6:$C$305,C1868,Invoices!$E$6:$E$305,"&lt;="&amp;B1868,Invoices!$F$6:$F$305,"&gt;="&amp;B1868)=1,INDEX(Invoices!$B$6:$B$305,SUMIFS(Invoices!$O$6:$O$305,Invoices!$C$6:$C$305,C1868,Invoices!$E$6:$E$305,"&lt;="&amp;B1868,Invoices!$F$6:$F$305,"&gt;="&amp;B1868)),IF(COUNTIFS(Invoices!$C$6:$C$305,C1868,Invoices!$E$6:$E$305,"&lt;="&amp;B1868,Invoices!$F$6:$F$305,"&gt;="&amp;B1868)&gt;1,"Two invoices",""))))</f>
        <v/>
      </c>
      <c r="Q1868" s="15">
        <f>IF(B1868="","",IF(J1868&lt;&gt;"","Not billable",IF(P1868="","To invoice",IF(P1868="Two invoices","Check dates",IF(ISNA(MATCH(P1868,Invoices!$B$6:$B$305,0)),"Check number",IF(INDEX(Invoices!$M$6:$M$305,MATCH(P1868,Invoices!$B$6:$B$305,0))="Paid","Paid",IF(INDEX(Invoices!$M$6:$M$305,MATCH(P1868,Invoices!$B$6:$B$305,0))="Draft","Draft","Invoiced")))))))</f>
        <v/>
      </c>
      <c r="R1868" s="1">
        <f>IF(AND(B1868&lt;&gt;"",P1868&lt;&gt;"",P1868=Invoice!$G$4),B1868+MOD(N(F1868),1)+ROW()/10000000,"")</f>
        <v/>
      </c>
      <c r="S1868">
        <f>IF(R1868="","",IF(D1868="","Other work",D1868)&amp;IF(AND(K1868&lt;&gt;"",E1868&lt;&gt;""),", "&amp;E1868,""))</f>
        <v/>
      </c>
      <c r="T1868">
        <f>IF(R1868="","",IF(COUNTIFS(R$6:R1867,"&gt;0",S$6:S1867,S1868,N$6:N1867,N1868)=0,R1868,""))</f>
        <v/>
      </c>
      <c r="U1868">
        <f>IF(B1868="","",IF(J1868&lt;&gt;"",0,M1868))</f>
        <v/>
      </c>
    </row>
    <row r="1869">
      <c r="A1869" s="1" t="n"/>
      <c r="B1869" s="16" t="n"/>
      <c r="C1869" s="17" t="n"/>
      <c r="D1869" s="18" t="n"/>
      <c r="E1869" s="18" t="n"/>
      <c r="F1869" s="19" t="n"/>
      <c r="G1869" s="19" t="n"/>
      <c r="H1869" s="20" t="n"/>
      <c r="I1869" s="21" t="n"/>
      <c r="J1869" s="22" t="n"/>
      <c r="K1869" s="23" t="n"/>
      <c r="L1869" s="18" t="n"/>
      <c r="M1869" s="24">
        <f>IF(B1869="","",IF(AND(F1869&lt;&gt;"",G1869&lt;&gt;""),MAX(0,ROUND(MOD(G1869-F1869,1)*24-N(H1869)/60,2)),N(I1869)))</f>
        <v/>
      </c>
      <c r="N1869" s="14">
        <f>IF(B1869="","",IF(K1869&lt;&gt;"",K1869,IF(N(IFERROR(INDEX(Projects!$D$6:$D$65,MATCH(D1869,Projects!$B$6:$B$65,0)),""))&gt;0,IFERROR(INDEX(Projects!$D$6:$D$65,MATCH(D1869,Projects!$B$6:$B$65,0)),""),IFERROR(INDEX(Clients!$G$6:$G$45,MATCH(C1869,Clients!$B$6:$B$45,0)),0))))</f>
        <v/>
      </c>
      <c r="O1869" s="14">
        <f>IF(B1869="","",IF(J1869&lt;&gt;"",0,ROUND(M1869*N1869,2)))</f>
        <v/>
      </c>
      <c r="P1869" s="15">
        <f>IF(OR(B1869="",J1869&lt;&gt;""),"",IF(L1869&lt;&gt;"",L1869,IF(COUNTIFS(Invoices!$C$6:$C$305,C1869,Invoices!$E$6:$E$305,"&lt;="&amp;B1869,Invoices!$F$6:$F$305,"&gt;="&amp;B1869)=1,INDEX(Invoices!$B$6:$B$305,SUMIFS(Invoices!$O$6:$O$305,Invoices!$C$6:$C$305,C1869,Invoices!$E$6:$E$305,"&lt;="&amp;B1869,Invoices!$F$6:$F$305,"&gt;="&amp;B1869)),IF(COUNTIFS(Invoices!$C$6:$C$305,C1869,Invoices!$E$6:$E$305,"&lt;="&amp;B1869,Invoices!$F$6:$F$305,"&gt;="&amp;B1869)&gt;1,"Two invoices",""))))</f>
        <v/>
      </c>
      <c r="Q1869" s="15">
        <f>IF(B1869="","",IF(J1869&lt;&gt;"","Not billable",IF(P1869="","To invoice",IF(P1869="Two invoices","Check dates",IF(ISNA(MATCH(P1869,Invoices!$B$6:$B$305,0)),"Check number",IF(INDEX(Invoices!$M$6:$M$305,MATCH(P1869,Invoices!$B$6:$B$305,0))="Paid","Paid",IF(INDEX(Invoices!$M$6:$M$305,MATCH(P1869,Invoices!$B$6:$B$305,0))="Draft","Draft","Invoiced")))))))</f>
        <v/>
      </c>
      <c r="R1869" s="1">
        <f>IF(AND(B1869&lt;&gt;"",P1869&lt;&gt;"",P1869=Invoice!$G$4),B1869+MOD(N(F1869),1)+ROW()/10000000,"")</f>
        <v/>
      </c>
      <c r="S1869">
        <f>IF(R1869="","",IF(D1869="","Other work",D1869)&amp;IF(AND(K1869&lt;&gt;"",E1869&lt;&gt;""),", "&amp;E1869,""))</f>
        <v/>
      </c>
      <c r="T1869">
        <f>IF(R1869="","",IF(COUNTIFS(R$6:R1868,"&gt;0",S$6:S1868,S1869,N$6:N1868,N1869)=0,R1869,""))</f>
        <v/>
      </c>
      <c r="U1869">
        <f>IF(B1869="","",IF(J1869&lt;&gt;"",0,M1869))</f>
        <v/>
      </c>
    </row>
    <row r="1870">
      <c r="A1870" s="1" t="n"/>
      <c r="B1870" s="16" t="n"/>
      <c r="C1870" s="17" t="n"/>
      <c r="D1870" s="18" t="n"/>
      <c r="E1870" s="18" t="n"/>
      <c r="F1870" s="19" t="n"/>
      <c r="G1870" s="19" t="n"/>
      <c r="H1870" s="20" t="n"/>
      <c r="I1870" s="21" t="n"/>
      <c r="J1870" s="22" t="n"/>
      <c r="K1870" s="23" t="n"/>
      <c r="L1870" s="18" t="n"/>
      <c r="M1870" s="24">
        <f>IF(B1870="","",IF(AND(F1870&lt;&gt;"",G1870&lt;&gt;""),MAX(0,ROUND(MOD(G1870-F1870,1)*24-N(H1870)/60,2)),N(I1870)))</f>
        <v/>
      </c>
      <c r="N1870" s="14">
        <f>IF(B1870="","",IF(K1870&lt;&gt;"",K1870,IF(N(IFERROR(INDEX(Projects!$D$6:$D$65,MATCH(D1870,Projects!$B$6:$B$65,0)),""))&gt;0,IFERROR(INDEX(Projects!$D$6:$D$65,MATCH(D1870,Projects!$B$6:$B$65,0)),""),IFERROR(INDEX(Clients!$G$6:$G$45,MATCH(C1870,Clients!$B$6:$B$45,0)),0))))</f>
        <v/>
      </c>
      <c r="O1870" s="14">
        <f>IF(B1870="","",IF(J1870&lt;&gt;"",0,ROUND(M1870*N1870,2)))</f>
        <v/>
      </c>
      <c r="P1870" s="15">
        <f>IF(OR(B1870="",J1870&lt;&gt;""),"",IF(L1870&lt;&gt;"",L1870,IF(COUNTIFS(Invoices!$C$6:$C$305,C1870,Invoices!$E$6:$E$305,"&lt;="&amp;B1870,Invoices!$F$6:$F$305,"&gt;="&amp;B1870)=1,INDEX(Invoices!$B$6:$B$305,SUMIFS(Invoices!$O$6:$O$305,Invoices!$C$6:$C$305,C1870,Invoices!$E$6:$E$305,"&lt;="&amp;B1870,Invoices!$F$6:$F$305,"&gt;="&amp;B1870)),IF(COUNTIFS(Invoices!$C$6:$C$305,C1870,Invoices!$E$6:$E$305,"&lt;="&amp;B1870,Invoices!$F$6:$F$305,"&gt;="&amp;B1870)&gt;1,"Two invoices",""))))</f>
        <v/>
      </c>
      <c r="Q1870" s="15">
        <f>IF(B1870="","",IF(J1870&lt;&gt;"","Not billable",IF(P1870="","To invoice",IF(P1870="Two invoices","Check dates",IF(ISNA(MATCH(P1870,Invoices!$B$6:$B$305,0)),"Check number",IF(INDEX(Invoices!$M$6:$M$305,MATCH(P1870,Invoices!$B$6:$B$305,0))="Paid","Paid",IF(INDEX(Invoices!$M$6:$M$305,MATCH(P1870,Invoices!$B$6:$B$305,0))="Draft","Draft","Invoiced")))))))</f>
        <v/>
      </c>
      <c r="R1870" s="1">
        <f>IF(AND(B1870&lt;&gt;"",P1870&lt;&gt;"",P1870=Invoice!$G$4),B1870+MOD(N(F1870),1)+ROW()/10000000,"")</f>
        <v/>
      </c>
      <c r="S1870">
        <f>IF(R1870="","",IF(D1870="","Other work",D1870)&amp;IF(AND(K1870&lt;&gt;"",E1870&lt;&gt;""),", "&amp;E1870,""))</f>
        <v/>
      </c>
      <c r="T1870">
        <f>IF(R1870="","",IF(COUNTIFS(R$6:R1869,"&gt;0",S$6:S1869,S1870,N$6:N1869,N1870)=0,R1870,""))</f>
        <v/>
      </c>
      <c r="U1870">
        <f>IF(B1870="","",IF(J1870&lt;&gt;"",0,M1870))</f>
        <v/>
      </c>
    </row>
    <row r="1871">
      <c r="A1871" s="1" t="n"/>
      <c r="B1871" s="16" t="n"/>
      <c r="C1871" s="17" t="n"/>
      <c r="D1871" s="18" t="n"/>
      <c r="E1871" s="18" t="n"/>
      <c r="F1871" s="19" t="n"/>
      <c r="G1871" s="19" t="n"/>
      <c r="H1871" s="20" t="n"/>
      <c r="I1871" s="21" t="n"/>
      <c r="J1871" s="22" t="n"/>
      <c r="K1871" s="23" t="n"/>
      <c r="L1871" s="18" t="n"/>
      <c r="M1871" s="24">
        <f>IF(B1871="","",IF(AND(F1871&lt;&gt;"",G1871&lt;&gt;""),MAX(0,ROUND(MOD(G1871-F1871,1)*24-N(H1871)/60,2)),N(I1871)))</f>
        <v/>
      </c>
      <c r="N1871" s="14">
        <f>IF(B1871="","",IF(K1871&lt;&gt;"",K1871,IF(N(IFERROR(INDEX(Projects!$D$6:$D$65,MATCH(D1871,Projects!$B$6:$B$65,0)),""))&gt;0,IFERROR(INDEX(Projects!$D$6:$D$65,MATCH(D1871,Projects!$B$6:$B$65,0)),""),IFERROR(INDEX(Clients!$G$6:$G$45,MATCH(C1871,Clients!$B$6:$B$45,0)),0))))</f>
        <v/>
      </c>
      <c r="O1871" s="14">
        <f>IF(B1871="","",IF(J1871&lt;&gt;"",0,ROUND(M1871*N1871,2)))</f>
        <v/>
      </c>
      <c r="P1871" s="15">
        <f>IF(OR(B1871="",J1871&lt;&gt;""),"",IF(L1871&lt;&gt;"",L1871,IF(COUNTIFS(Invoices!$C$6:$C$305,C1871,Invoices!$E$6:$E$305,"&lt;="&amp;B1871,Invoices!$F$6:$F$305,"&gt;="&amp;B1871)=1,INDEX(Invoices!$B$6:$B$305,SUMIFS(Invoices!$O$6:$O$305,Invoices!$C$6:$C$305,C1871,Invoices!$E$6:$E$305,"&lt;="&amp;B1871,Invoices!$F$6:$F$305,"&gt;="&amp;B1871)),IF(COUNTIFS(Invoices!$C$6:$C$305,C1871,Invoices!$E$6:$E$305,"&lt;="&amp;B1871,Invoices!$F$6:$F$305,"&gt;="&amp;B1871)&gt;1,"Two invoices",""))))</f>
        <v/>
      </c>
      <c r="Q1871" s="15">
        <f>IF(B1871="","",IF(J1871&lt;&gt;"","Not billable",IF(P1871="","To invoice",IF(P1871="Two invoices","Check dates",IF(ISNA(MATCH(P1871,Invoices!$B$6:$B$305,0)),"Check number",IF(INDEX(Invoices!$M$6:$M$305,MATCH(P1871,Invoices!$B$6:$B$305,0))="Paid","Paid",IF(INDEX(Invoices!$M$6:$M$305,MATCH(P1871,Invoices!$B$6:$B$305,0))="Draft","Draft","Invoiced")))))))</f>
        <v/>
      </c>
      <c r="R1871" s="1">
        <f>IF(AND(B1871&lt;&gt;"",P1871&lt;&gt;"",P1871=Invoice!$G$4),B1871+MOD(N(F1871),1)+ROW()/10000000,"")</f>
        <v/>
      </c>
      <c r="S1871">
        <f>IF(R1871="","",IF(D1871="","Other work",D1871)&amp;IF(AND(K1871&lt;&gt;"",E1871&lt;&gt;""),", "&amp;E1871,""))</f>
        <v/>
      </c>
      <c r="T1871">
        <f>IF(R1871="","",IF(COUNTIFS(R$6:R1870,"&gt;0",S$6:S1870,S1871,N$6:N1870,N1871)=0,R1871,""))</f>
        <v/>
      </c>
      <c r="U1871">
        <f>IF(B1871="","",IF(J1871&lt;&gt;"",0,M1871))</f>
        <v/>
      </c>
    </row>
    <row r="1872">
      <c r="A1872" s="1" t="n"/>
      <c r="B1872" s="16" t="n"/>
      <c r="C1872" s="17" t="n"/>
      <c r="D1872" s="18" t="n"/>
      <c r="E1872" s="18" t="n"/>
      <c r="F1872" s="19" t="n"/>
      <c r="G1872" s="19" t="n"/>
      <c r="H1872" s="20" t="n"/>
      <c r="I1872" s="21" t="n"/>
      <c r="J1872" s="22" t="n"/>
      <c r="K1872" s="23" t="n"/>
      <c r="L1872" s="18" t="n"/>
      <c r="M1872" s="24">
        <f>IF(B1872="","",IF(AND(F1872&lt;&gt;"",G1872&lt;&gt;""),MAX(0,ROUND(MOD(G1872-F1872,1)*24-N(H1872)/60,2)),N(I1872)))</f>
        <v/>
      </c>
      <c r="N1872" s="14">
        <f>IF(B1872="","",IF(K1872&lt;&gt;"",K1872,IF(N(IFERROR(INDEX(Projects!$D$6:$D$65,MATCH(D1872,Projects!$B$6:$B$65,0)),""))&gt;0,IFERROR(INDEX(Projects!$D$6:$D$65,MATCH(D1872,Projects!$B$6:$B$65,0)),""),IFERROR(INDEX(Clients!$G$6:$G$45,MATCH(C1872,Clients!$B$6:$B$45,0)),0))))</f>
        <v/>
      </c>
      <c r="O1872" s="14">
        <f>IF(B1872="","",IF(J1872&lt;&gt;"",0,ROUND(M1872*N1872,2)))</f>
        <v/>
      </c>
      <c r="P1872" s="15">
        <f>IF(OR(B1872="",J1872&lt;&gt;""),"",IF(L1872&lt;&gt;"",L1872,IF(COUNTIFS(Invoices!$C$6:$C$305,C1872,Invoices!$E$6:$E$305,"&lt;="&amp;B1872,Invoices!$F$6:$F$305,"&gt;="&amp;B1872)=1,INDEX(Invoices!$B$6:$B$305,SUMIFS(Invoices!$O$6:$O$305,Invoices!$C$6:$C$305,C1872,Invoices!$E$6:$E$305,"&lt;="&amp;B1872,Invoices!$F$6:$F$305,"&gt;="&amp;B1872)),IF(COUNTIFS(Invoices!$C$6:$C$305,C1872,Invoices!$E$6:$E$305,"&lt;="&amp;B1872,Invoices!$F$6:$F$305,"&gt;="&amp;B1872)&gt;1,"Two invoices",""))))</f>
        <v/>
      </c>
      <c r="Q1872" s="15">
        <f>IF(B1872="","",IF(J1872&lt;&gt;"","Not billable",IF(P1872="","To invoice",IF(P1872="Two invoices","Check dates",IF(ISNA(MATCH(P1872,Invoices!$B$6:$B$305,0)),"Check number",IF(INDEX(Invoices!$M$6:$M$305,MATCH(P1872,Invoices!$B$6:$B$305,0))="Paid","Paid",IF(INDEX(Invoices!$M$6:$M$305,MATCH(P1872,Invoices!$B$6:$B$305,0))="Draft","Draft","Invoiced")))))))</f>
        <v/>
      </c>
      <c r="R1872" s="1">
        <f>IF(AND(B1872&lt;&gt;"",P1872&lt;&gt;"",P1872=Invoice!$G$4),B1872+MOD(N(F1872),1)+ROW()/10000000,"")</f>
        <v/>
      </c>
      <c r="S1872">
        <f>IF(R1872="","",IF(D1872="","Other work",D1872)&amp;IF(AND(K1872&lt;&gt;"",E1872&lt;&gt;""),", "&amp;E1872,""))</f>
        <v/>
      </c>
      <c r="T1872">
        <f>IF(R1872="","",IF(COUNTIFS(R$6:R1871,"&gt;0",S$6:S1871,S1872,N$6:N1871,N1872)=0,R1872,""))</f>
        <v/>
      </c>
      <c r="U1872">
        <f>IF(B1872="","",IF(J1872&lt;&gt;"",0,M1872))</f>
        <v/>
      </c>
    </row>
    <row r="1873">
      <c r="A1873" s="1" t="n"/>
      <c r="B1873" s="16" t="n"/>
      <c r="C1873" s="17" t="n"/>
      <c r="D1873" s="18" t="n"/>
      <c r="E1873" s="18" t="n"/>
      <c r="F1873" s="19" t="n"/>
      <c r="G1873" s="19" t="n"/>
      <c r="H1873" s="20" t="n"/>
      <c r="I1873" s="21" t="n"/>
      <c r="J1873" s="22" t="n"/>
      <c r="K1873" s="23" t="n"/>
      <c r="L1873" s="18" t="n"/>
      <c r="M1873" s="24">
        <f>IF(B1873="","",IF(AND(F1873&lt;&gt;"",G1873&lt;&gt;""),MAX(0,ROUND(MOD(G1873-F1873,1)*24-N(H1873)/60,2)),N(I1873)))</f>
        <v/>
      </c>
      <c r="N1873" s="14">
        <f>IF(B1873="","",IF(K1873&lt;&gt;"",K1873,IF(N(IFERROR(INDEX(Projects!$D$6:$D$65,MATCH(D1873,Projects!$B$6:$B$65,0)),""))&gt;0,IFERROR(INDEX(Projects!$D$6:$D$65,MATCH(D1873,Projects!$B$6:$B$65,0)),""),IFERROR(INDEX(Clients!$G$6:$G$45,MATCH(C1873,Clients!$B$6:$B$45,0)),0))))</f>
        <v/>
      </c>
      <c r="O1873" s="14">
        <f>IF(B1873="","",IF(J1873&lt;&gt;"",0,ROUND(M1873*N1873,2)))</f>
        <v/>
      </c>
      <c r="P1873" s="15">
        <f>IF(OR(B1873="",J1873&lt;&gt;""),"",IF(L1873&lt;&gt;"",L1873,IF(COUNTIFS(Invoices!$C$6:$C$305,C1873,Invoices!$E$6:$E$305,"&lt;="&amp;B1873,Invoices!$F$6:$F$305,"&gt;="&amp;B1873)=1,INDEX(Invoices!$B$6:$B$305,SUMIFS(Invoices!$O$6:$O$305,Invoices!$C$6:$C$305,C1873,Invoices!$E$6:$E$305,"&lt;="&amp;B1873,Invoices!$F$6:$F$305,"&gt;="&amp;B1873)),IF(COUNTIFS(Invoices!$C$6:$C$305,C1873,Invoices!$E$6:$E$305,"&lt;="&amp;B1873,Invoices!$F$6:$F$305,"&gt;="&amp;B1873)&gt;1,"Two invoices",""))))</f>
        <v/>
      </c>
      <c r="Q1873" s="15">
        <f>IF(B1873="","",IF(J1873&lt;&gt;"","Not billable",IF(P1873="","To invoice",IF(P1873="Two invoices","Check dates",IF(ISNA(MATCH(P1873,Invoices!$B$6:$B$305,0)),"Check number",IF(INDEX(Invoices!$M$6:$M$305,MATCH(P1873,Invoices!$B$6:$B$305,0))="Paid","Paid",IF(INDEX(Invoices!$M$6:$M$305,MATCH(P1873,Invoices!$B$6:$B$305,0))="Draft","Draft","Invoiced")))))))</f>
        <v/>
      </c>
      <c r="R1873" s="1">
        <f>IF(AND(B1873&lt;&gt;"",P1873&lt;&gt;"",P1873=Invoice!$G$4),B1873+MOD(N(F1873),1)+ROW()/10000000,"")</f>
        <v/>
      </c>
      <c r="S1873">
        <f>IF(R1873="","",IF(D1873="","Other work",D1873)&amp;IF(AND(K1873&lt;&gt;"",E1873&lt;&gt;""),", "&amp;E1873,""))</f>
        <v/>
      </c>
      <c r="T1873">
        <f>IF(R1873="","",IF(COUNTIFS(R$6:R1872,"&gt;0",S$6:S1872,S1873,N$6:N1872,N1873)=0,R1873,""))</f>
        <v/>
      </c>
      <c r="U1873">
        <f>IF(B1873="","",IF(J1873&lt;&gt;"",0,M1873))</f>
        <v/>
      </c>
    </row>
    <row r="1874">
      <c r="A1874" s="1" t="n"/>
      <c r="B1874" s="16" t="n"/>
      <c r="C1874" s="17" t="n"/>
      <c r="D1874" s="18" t="n"/>
      <c r="E1874" s="18" t="n"/>
      <c r="F1874" s="19" t="n"/>
      <c r="G1874" s="19" t="n"/>
      <c r="H1874" s="20" t="n"/>
      <c r="I1874" s="21" t="n"/>
      <c r="J1874" s="22" t="n"/>
      <c r="K1874" s="23" t="n"/>
      <c r="L1874" s="18" t="n"/>
      <c r="M1874" s="24">
        <f>IF(B1874="","",IF(AND(F1874&lt;&gt;"",G1874&lt;&gt;""),MAX(0,ROUND(MOD(G1874-F1874,1)*24-N(H1874)/60,2)),N(I1874)))</f>
        <v/>
      </c>
      <c r="N1874" s="14">
        <f>IF(B1874="","",IF(K1874&lt;&gt;"",K1874,IF(N(IFERROR(INDEX(Projects!$D$6:$D$65,MATCH(D1874,Projects!$B$6:$B$65,0)),""))&gt;0,IFERROR(INDEX(Projects!$D$6:$D$65,MATCH(D1874,Projects!$B$6:$B$65,0)),""),IFERROR(INDEX(Clients!$G$6:$G$45,MATCH(C1874,Clients!$B$6:$B$45,0)),0))))</f>
        <v/>
      </c>
      <c r="O1874" s="14">
        <f>IF(B1874="","",IF(J1874&lt;&gt;"",0,ROUND(M1874*N1874,2)))</f>
        <v/>
      </c>
      <c r="P1874" s="15">
        <f>IF(OR(B1874="",J1874&lt;&gt;""),"",IF(L1874&lt;&gt;"",L1874,IF(COUNTIFS(Invoices!$C$6:$C$305,C1874,Invoices!$E$6:$E$305,"&lt;="&amp;B1874,Invoices!$F$6:$F$305,"&gt;="&amp;B1874)=1,INDEX(Invoices!$B$6:$B$305,SUMIFS(Invoices!$O$6:$O$305,Invoices!$C$6:$C$305,C1874,Invoices!$E$6:$E$305,"&lt;="&amp;B1874,Invoices!$F$6:$F$305,"&gt;="&amp;B1874)),IF(COUNTIFS(Invoices!$C$6:$C$305,C1874,Invoices!$E$6:$E$305,"&lt;="&amp;B1874,Invoices!$F$6:$F$305,"&gt;="&amp;B1874)&gt;1,"Two invoices",""))))</f>
        <v/>
      </c>
      <c r="Q1874" s="15">
        <f>IF(B1874="","",IF(J1874&lt;&gt;"","Not billable",IF(P1874="","To invoice",IF(P1874="Two invoices","Check dates",IF(ISNA(MATCH(P1874,Invoices!$B$6:$B$305,0)),"Check number",IF(INDEX(Invoices!$M$6:$M$305,MATCH(P1874,Invoices!$B$6:$B$305,0))="Paid","Paid",IF(INDEX(Invoices!$M$6:$M$305,MATCH(P1874,Invoices!$B$6:$B$305,0))="Draft","Draft","Invoiced")))))))</f>
        <v/>
      </c>
      <c r="R1874" s="1">
        <f>IF(AND(B1874&lt;&gt;"",P1874&lt;&gt;"",P1874=Invoice!$G$4),B1874+MOD(N(F1874),1)+ROW()/10000000,"")</f>
        <v/>
      </c>
      <c r="S1874">
        <f>IF(R1874="","",IF(D1874="","Other work",D1874)&amp;IF(AND(K1874&lt;&gt;"",E1874&lt;&gt;""),", "&amp;E1874,""))</f>
        <v/>
      </c>
      <c r="T1874">
        <f>IF(R1874="","",IF(COUNTIFS(R$6:R1873,"&gt;0",S$6:S1873,S1874,N$6:N1873,N1874)=0,R1874,""))</f>
        <v/>
      </c>
      <c r="U1874">
        <f>IF(B1874="","",IF(J1874&lt;&gt;"",0,M1874))</f>
        <v/>
      </c>
    </row>
    <row r="1875">
      <c r="A1875" s="1" t="n"/>
      <c r="B1875" s="16" t="n"/>
      <c r="C1875" s="17" t="n"/>
      <c r="D1875" s="18" t="n"/>
      <c r="E1875" s="18" t="n"/>
      <c r="F1875" s="19" t="n"/>
      <c r="G1875" s="19" t="n"/>
      <c r="H1875" s="20" t="n"/>
      <c r="I1875" s="21" t="n"/>
      <c r="J1875" s="22" t="n"/>
      <c r="K1875" s="23" t="n"/>
      <c r="L1875" s="18" t="n"/>
      <c r="M1875" s="24">
        <f>IF(B1875="","",IF(AND(F1875&lt;&gt;"",G1875&lt;&gt;""),MAX(0,ROUND(MOD(G1875-F1875,1)*24-N(H1875)/60,2)),N(I1875)))</f>
        <v/>
      </c>
      <c r="N1875" s="14">
        <f>IF(B1875="","",IF(K1875&lt;&gt;"",K1875,IF(N(IFERROR(INDEX(Projects!$D$6:$D$65,MATCH(D1875,Projects!$B$6:$B$65,0)),""))&gt;0,IFERROR(INDEX(Projects!$D$6:$D$65,MATCH(D1875,Projects!$B$6:$B$65,0)),""),IFERROR(INDEX(Clients!$G$6:$G$45,MATCH(C1875,Clients!$B$6:$B$45,0)),0))))</f>
        <v/>
      </c>
      <c r="O1875" s="14">
        <f>IF(B1875="","",IF(J1875&lt;&gt;"",0,ROUND(M1875*N1875,2)))</f>
        <v/>
      </c>
      <c r="P1875" s="15">
        <f>IF(OR(B1875="",J1875&lt;&gt;""),"",IF(L1875&lt;&gt;"",L1875,IF(COUNTIFS(Invoices!$C$6:$C$305,C1875,Invoices!$E$6:$E$305,"&lt;="&amp;B1875,Invoices!$F$6:$F$305,"&gt;="&amp;B1875)=1,INDEX(Invoices!$B$6:$B$305,SUMIFS(Invoices!$O$6:$O$305,Invoices!$C$6:$C$305,C1875,Invoices!$E$6:$E$305,"&lt;="&amp;B1875,Invoices!$F$6:$F$305,"&gt;="&amp;B1875)),IF(COUNTIFS(Invoices!$C$6:$C$305,C1875,Invoices!$E$6:$E$305,"&lt;="&amp;B1875,Invoices!$F$6:$F$305,"&gt;="&amp;B1875)&gt;1,"Two invoices",""))))</f>
        <v/>
      </c>
      <c r="Q1875" s="15">
        <f>IF(B1875="","",IF(J1875&lt;&gt;"","Not billable",IF(P1875="","To invoice",IF(P1875="Two invoices","Check dates",IF(ISNA(MATCH(P1875,Invoices!$B$6:$B$305,0)),"Check number",IF(INDEX(Invoices!$M$6:$M$305,MATCH(P1875,Invoices!$B$6:$B$305,0))="Paid","Paid",IF(INDEX(Invoices!$M$6:$M$305,MATCH(P1875,Invoices!$B$6:$B$305,0))="Draft","Draft","Invoiced")))))))</f>
        <v/>
      </c>
      <c r="R1875" s="1">
        <f>IF(AND(B1875&lt;&gt;"",P1875&lt;&gt;"",P1875=Invoice!$G$4),B1875+MOD(N(F1875),1)+ROW()/10000000,"")</f>
        <v/>
      </c>
      <c r="S1875">
        <f>IF(R1875="","",IF(D1875="","Other work",D1875)&amp;IF(AND(K1875&lt;&gt;"",E1875&lt;&gt;""),", "&amp;E1875,""))</f>
        <v/>
      </c>
      <c r="T1875">
        <f>IF(R1875="","",IF(COUNTIFS(R$6:R1874,"&gt;0",S$6:S1874,S1875,N$6:N1874,N1875)=0,R1875,""))</f>
        <v/>
      </c>
      <c r="U1875">
        <f>IF(B1875="","",IF(J1875&lt;&gt;"",0,M1875))</f>
        <v/>
      </c>
    </row>
    <row r="1876">
      <c r="A1876" s="1" t="n"/>
      <c r="B1876" s="16" t="n"/>
      <c r="C1876" s="17" t="n"/>
      <c r="D1876" s="18" t="n"/>
      <c r="E1876" s="18" t="n"/>
      <c r="F1876" s="19" t="n"/>
      <c r="G1876" s="19" t="n"/>
      <c r="H1876" s="20" t="n"/>
      <c r="I1876" s="21" t="n"/>
      <c r="J1876" s="22" t="n"/>
      <c r="K1876" s="23" t="n"/>
      <c r="L1876" s="18" t="n"/>
      <c r="M1876" s="24">
        <f>IF(B1876="","",IF(AND(F1876&lt;&gt;"",G1876&lt;&gt;""),MAX(0,ROUND(MOD(G1876-F1876,1)*24-N(H1876)/60,2)),N(I1876)))</f>
        <v/>
      </c>
      <c r="N1876" s="14">
        <f>IF(B1876="","",IF(K1876&lt;&gt;"",K1876,IF(N(IFERROR(INDEX(Projects!$D$6:$D$65,MATCH(D1876,Projects!$B$6:$B$65,0)),""))&gt;0,IFERROR(INDEX(Projects!$D$6:$D$65,MATCH(D1876,Projects!$B$6:$B$65,0)),""),IFERROR(INDEX(Clients!$G$6:$G$45,MATCH(C1876,Clients!$B$6:$B$45,0)),0))))</f>
        <v/>
      </c>
      <c r="O1876" s="14">
        <f>IF(B1876="","",IF(J1876&lt;&gt;"",0,ROUND(M1876*N1876,2)))</f>
        <v/>
      </c>
      <c r="P1876" s="15">
        <f>IF(OR(B1876="",J1876&lt;&gt;""),"",IF(L1876&lt;&gt;"",L1876,IF(COUNTIFS(Invoices!$C$6:$C$305,C1876,Invoices!$E$6:$E$305,"&lt;="&amp;B1876,Invoices!$F$6:$F$305,"&gt;="&amp;B1876)=1,INDEX(Invoices!$B$6:$B$305,SUMIFS(Invoices!$O$6:$O$305,Invoices!$C$6:$C$305,C1876,Invoices!$E$6:$E$305,"&lt;="&amp;B1876,Invoices!$F$6:$F$305,"&gt;="&amp;B1876)),IF(COUNTIFS(Invoices!$C$6:$C$305,C1876,Invoices!$E$6:$E$305,"&lt;="&amp;B1876,Invoices!$F$6:$F$305,"&gt;="&amp;B1876)&gt;1,"Two invoices",""))))</f>
        <v/>
      </c>
      <c r="Q1876" s="15">
        <f>IF(B1876="","",IF(J1876&lt;&gt;"","Not billable",IF(P1876="","To invoice",IF(P1876="Two invoices","Check dates",IF(ISNA(MATCH(P1876,Invoices!$B$6:$B$305,0)),"Check number",IF(INDEX(Invoices!$M$6:$M$305,MATCH(P1876,Invoices!$B$6:$B$305,0))="Paid","Paid",IF(INDEX(Invoices!$M$6:$M$305,MATCH(P1876,Invoices!$B$6:$B$305,0))="Draft","Draft","Invoiced")))))))</f>
        <v/>
      </c>
      <c r="R1876" s="1">
        <f>IF(AND(B1876&lt;&gt;"",P1876&lt;&gt;"",P1876=Invoice!$G$4),B1876+MOD(N(F1876),1)+ROW()/10000000,"")</f>
        <v/>
      </c>
      <c r="S1876">
        <f>IF(R1876="","",IF(D1876="","Other work",D1876)&amp;IF(AND(K1876&lt;&gt;"",E1876&lt;&gt;""),", "&amp;E1876,""))</f>
        <v/>
      </c>
      <c r="T1876">
        <f>IF(R1876="","",IF(COUNTIFS(R$6:R1875,"&gt;0",S$6:S1875,S1876,N$6:N1875,N1876)=0,R1876,""))</f>
        <v/>
      </c>
      <c r="U1876">
        <f>IF(B1876="","",IF(J1876&lt;&gt;"",0,M1876))</f>
        <v/>
      </c>
    </row>
    <row r="1877">
      <c r="A1877" s="1" t="n"/>
      <c r="B1877" s="16" t="n"/>
      <c r="C1877" s="17" t="n"/>
      <c r="D1877" s="18" t="n"/>
      <c r="E1877" s="18" t="n"/>
      <c r="F1877" s="19" t="n"/>
      <c r="G1877" s="19" t="n"/>
      <c r="H1877" s="20" t="n"/>
      <c r="I1877" s="21" t="n"/>
      <c r="J1877" s="22" t="n"/>
      <c r="K1877" s="23" t="n"/>
      <c r="L1877" s="18" t="n"/>
      <c r="M1877" s="24">
        <f>IF(B1877="","",IF(AND(F1877&lt;&gt;"",G1877&lt;&gt;""),MAX(0,ROUND(MOD(G1877-F1877,1)*24-N(H1877)/60,2)),N(I1877)))</f>
        <v/>
      </c>
      <c r="N1877" s="14">
        <f>IF(B1877="","",IF(K1877&lt;&gt;"",K1877,IF(N(IFERROR(INDEX(Projects!$D$6:$D$65,MATCH(D1877,Projects!$B$6:$B$65,0)),""))&gt;0,IFERROR(INDEX(Projects!$D$6:$D$65,MATCH(D1877,Projects!$B$6:$B$65,0)),""),IFERROR(INDEX(Clients!$G$6:$G$45,MATCH(C1877,Clients!$B$6:$B$45,0)),0))))</f>
        <v/>
      </c>
      <c r="O1877" s="14">
        <f>IF(B1877="","",IF(J1877&lt;&gt;"",0,ROUND(M1877*N1877,2)))</f>
        <v/>
      </c>
      <c r="P1877" s="15">
        <f>IF(OR(B1877="",J1877&lt;&gt;""),"",IF(L1877&lt;&gt;"",L1877,IF(COUNTIFS(Invoices!$C$6:$C$305,C1877,Invoices!$E$6:$E$305,"&lt;="&amp;B1877,Invoices!$F$6:$F$305,"&gt;="&amp;B1877)=1,INDEX(Invoices!$B$6:$B$305,SUMIFS(Invoices!$O$6:$O$305,Invoices!$C$6:$C$305,C1877,Invoices!$E$6:$E$305,"&lt;="&amp;B1877,Invoices!$F$6:$F$305,"&gt;="&amp;B1877)),IF(COUNTIFS(Invoices!$C$6:$C$305,C1877,Invoices!$E$6:$E$305,"&lt;="&amp;B1877,Invoices!$F$6:$F$305,"&gt;="&amp;B1877)&gt;1,"Two invoices",""))))</f>
        <v/>
      </c>
      <c r="Q1877" s="15">
        <f>IF(B1877="","",IF(J1877&lt;&gt;"","Not billable",IF(P1877="","To invoice",IF(P1877="Two invoices","Check dates",IF(ISNA(MATCH(P1877,Invoices!$B$6:$B$305,0)),"Check number",IF(INDEX(Invoices!$M$6:$M$305,MATCH(P1877,Invoices!$B$6:$B$305,0))="Paid","Paid",IF(INDEX(Invoices!$M$6:$M$305,MATCH(P1877,Invoices!$B$6:$B$305,0))="Draft","Draft","Invoiced")))))))</f>
        <v/>
      </c>
      <c r="R1877" s="1">
        <f>IF(AND(B1877&lt;&gt;"",P1877&lt;&gt;"",P1877=Invoice!$G$4),B1877+MOD(N(F1877),1)+ROW()/10000000,"")</f>
        <v/>
      </c>
      <c r="S1877">
        <f>IF(R1877="","",IF(D1877="","Other work",D1877)&amp;IF(AND(K1877&lt;&gt;"",E1877&lt;&gt;""),", "&amp;E1877,""))</f>
        <v/>
      </c>
      <c r="T1877">
        <f>IF(R1877="","",IF(COUNTIFS(R$6:R1876,"&gt;0",S$6:S1876,S1877,N$6:N1876,N1877)=0,R1877,""))</f>
        <v/>
      </c>
      <c r="U1877">
        <f>IF(B1877="","",IF(J1877&lt;&gt;"",0,M1877))</f>
        <v/>
      </c>
    </row>
    <row r="1878">
      <c r="A1878" s="1" t="n"/>
      <c r="B1878" s="16" t="n"/>
      <c r="C1878" s="17" t="n"/>
      <c r="D1878" s="18" t="n"/>
      <c r="E1878" s="18" t="n"/>
      <c r="F1878" s="19" t="n"/>
      <c r="G1878" s="19" t="n"/>
      <c r="H1878" s="20" t="n"/>
      <c r="I1878" s="21" t="n"/>
      <c r="J1878" s="22" t="n"/>
      <c r="K1878" s="23" t="n"/>
      <c r="L1878" s="18" t="n"/>
      <c r="M1878" s="24">
        <f>IF(B1878="","",IF(AND(F1878&lt;&gt;"",G1878&lt;&gt;""),MAX(0,ROUND(MOD(G1878-F1878,1)*24-N(H1878)/60,2)),N(I1878)))</f>
        <v/>
      </c>
      <c r="N1878" s="14">
        <f>IF(B1878="","",IF(K1878&lt;&gt;"",K1878,IF(N(IFERROR(INDEX(Projects!$D$6:$D$65,MATCH(D1878,Projects!$B$6:$B$65,0)),""))&gt;0,IFERROR(INDEX(Projects!$D$6:$D$65,MATCH(D1878,Projects!$B$6:$B$65,0)),""),IFERROR(INDEX(Clients!$G$6:$G$45,MATCH(C1878,Clients!$B$6:$B$45,0)),0))))</f>
        <v/>
      </c>
      <c r="O1878" s="14">
        <f>IF(B1878="","",IF(J1878&lt;&gt;"",0,ROUND(M1878*N1878,2)))</f>
        <v/>
      </c>
      <c r="P1878" s="15">
        <f>IF(OR(B1878="",J1878&lt;&gt;""),"",IF(L1878&lt;&gt;"",L1878,IF(COUNTIFS(Invoices!$C$6:$C$305,C1878,Invoices!$E$6:$E$305,"&lt;="&amp;B1878,Invoices!$F$6:$F$305,"&gt;="&amp;B1878)=1,INDEX(Invoices!$B$6:$B$305,SUMIFS(Invoices!$O$6:$O$305,Invoices!$C$6:$C$305,C1878,Invoices!$E$6:$E$305,"&lt;="&amp;B1878,Invoices!$F$6:$F$305,"&gt;="&amp;B1878)),IF(COUNTIFS(Invoices!$C$6:$C$305,C1878,Invoices!$E$6:$E$305,"&lt;="&amp;B1878,Invoices!$F$6:$F$305,"&gt;="&amp;B1878)&gt;1,"Two invoices",""))))</f>
        <v/>
      </c>
      <c r="Q1878" s="15">
        <f>IF(B1878="","",IF(J1878&lt;&gt;"","Not billable",IF(P1878="","To invoice",IF(P1878="Two invoices","Check dates",IF(ISNA(MATCH(P1878,Invoices!$B$6:$B$305,0)),"Check number",IF(INDEX(Invoices!$M$6:$M$305,MATCH(P1878,Invoices!$B$6:$B$305,0))="Paid","Paid",IF(INDEX(Invoices!$M$6:$M$305,MATCH(P1878,Invoices!$B$6:$B$305,0))="Draft","Draft","Invoiced")))))))</f>
        <v/>
      </c>
      <c r="R1878" s="1">
        <f>IF(AND(B1878&lt;&gt;"",P1878&lt;&gt;"",P1878=Invoice!$G$4),B1878+MOD(N(F1878),1)+ROW()/10000000,"")</f>
        <v/>
      </c>
      <c r="S1878">
        <f>IF(R1878="","",IF(D1878="","Other work",D1878)&amp;IF(AND(K1878&lt;&gt;"",E1878&lt;&gt;""),", "&amp;E1878,""))</f>
        <v/>
      </c>
      <c r="T1878">
        <f>IF(R1878="","",IF(COUNTIFS(R$6:R1877,"&gt;0",S$6:S1877,S1878,N$6:N1877,N1878)=0,R1878,""))</f>
        <v/>
      </c>
      <c r="U1878">
        <f>IF(B1878="","",IF(J1878&lt;&gt;"",0,M1878))</f>
        <v/>
      </c>
    </row>
    <row r="1879">
      <c r="A1879" s="1" t="n"/>
      <c r="B1879" s="16" t="n"/>
      <c r="C1879" s="17" t="n"/>
      <c r="D1879" s="18" t="n"/>
      <c r="E1879" s="18" t="n"/>
      <c r="F1879" s="19" t="n"/>
      <c r="G1879" s="19" t="n"/>
      <c r="H1879" s="20" t="n"/>
      <c r="I1879" s="21" t="n"/>
      <c r="J1879" s="22" t="n"/>
      <c r="K1879" s="23" t="n"/>
      <c r="L1879" s="18" t="n"/>
      <c r="M1879" s="24">
        <f>IF(B1879="","",IF(AND(F1879&lt;&gt;"",G1879&lt;&gt;""),MAX(0,ROUND(MOD(G1879-F1879,1)*24-N(H1879)/60,2)),N(I1879)))</f>
        <v/>
      </c>
      <c r="N1879" s="14">
        <f>IF(B1879="","",IF(K1879&lt;&gt;"",K1879,IF(N(IFERROR(INDEX(Projects!$D$6:$D$65,MATCH(D1879,Projects!$B$6:$B$65,0)),""))&gt;0,IFERROR(INDEX(Projects!$D$6:$D$65,MATCH(D1879,Projects!$B$6:$B$65,0)),""),IFERROR(INDEX(Clients!$G$6:$G$45,MATCH(C1879,Clients!$B$6:$B$45,0)),0))))</f>
        <v/>
      </c>
      <c r="O1879" s="14">
        <f>IF(B1879="","",IF(J1879&lt;&gt;"",0,ROUND(M1879*N1879,2)))</f>
        <v/>
      </c>
      <c r="P1879" s="15">
        <f>IF(OR(B1879="",J1879&lt;&gt;""),"",IF(L1879&lt;&gt;"",L1879,IF(COUNTIFS(Invoices!$C$6:$C$305,C1879,Invoices!$E$6:$E$305,"&lt;="&amp;B1879,Invoices!$F$6:$F$305,"&gt;="&amp;B1879)=1,INDEX(Invoices!$B$6:$B$305,SUMIFS(Invoices!$O$6:$O$305,Invoices!$C$6:$C$305,C1879,Invoices!$E$6:$E$305,"&lt;="&amp;B1879,Invoices!$F$6:$F$305,"&gt;="&amp;B1879)),IF(COUNTIFS(Invoices!$C$6:$C$305,C1879,Invoices!$E$6:$E$305,"&lt;="&amp;B1879,Invoices!$F$6:$F$305,"&gt;="&amp;B1879)&gt;1,"Two invoices",""))))</f>
        <v/>
      </c>
      <c r="Q1879" s="15">
        <f>IF(B1879="","",IF(J1879&lt;&gt;"","Not billable",IF(P1879="","To invoice",IF(P1879="Two invoices","Check dates",IF(ISNA(MATCH(P1879,Invoices!$B$6:$B$305,0)),"Check number",IF(INDEX(Invoices!$M$6:$M$305,MATCH(P1879,Invoices!$B$6:$B$305,0))="Paid","Paid",IF(INDEX(Invoices!$M$6:$M$305,MATCH(P1879,Invoices!$B$6:$B$305,0))="Draft","Draft","Invoiced")))))))</f>
        <v/>
      </c>
      <c r="R1879" s="1">
        <f>IF(AND(B1879&lt;&gt;"",P1879&lt;&gt;"",P1879=Invoice!$G$4),B1879+MOD(N(F1879),1)+ROW()/10000000,"")</f>
        <v/>
      </c>
      <c r="S1879">
        <f>IF(R1879="","",IF(D1879="","Other work",D1879)&amp;IF(AND(K1879&lt;&gt;"",E1879&lt;&gt;""),", "&amp;E1879,""))</f>
        <v/>
      </c>
      <c r="T1879">
        <f>IF(R1879="","",IF(COUNTIFS(R$6:R1878,"&gt;0",S$6:S1878,S1879,N$6:N1878,N1879)=0,R1879,""))</f>
        <v/>
      </c>
      <c r="U1879">
        <f>IF(B1879="","",IF(J1879&lt;&gt;"",0,M1879))</f>
        <v/>
      </c>
    </row>
    <row r="1880">
      <c r="A1880" s="1" t="n"/>
      <c r="B1880" s="16" t="n"/>
      <c r="C1880" s="17" t="n"/>
      <c r="D1880" s="18" t="n"/>
      <c r="E1880" s="18" t="n"/>
      <c r="F1880" s="19" t="n"/>
      <c r="G1880" s="19" t="n"/>
      <c r="H1880" s="20" t="n"/>
      <c r="I1880" s="21" t="n"/>
      <c r="J1880" s="22" t="n"/>
      <c r="K1880" s="23" t="n"/>
      <c r="L1880" s="18" t="n"/>
      <c r="M1880" s="24">
        <f>IF(B1880="","",IF(AND(F1880&lt;&gt;"",G1880&lt;&gt;""),MAX(0,ROUND(MOD(G1880-F1880,1)*24-N(H1880)/60,2)),N(I1880)))</f>
        <v/>
      </c>
      <c r="N1880" s="14">
        <f>IF(B1880="","",IF(K1880&lt;&gt;"",K1880,IF(N(IFERROR(INDEX(Projects!$D$6:$D$65,MATCH(D1880,Projects!$B$6:$B$65,0)),""))&gt;0,IFERROR(INDEX(Projects!$D$6:$D$65,MATCH(D1880,Projects!$B$6:$B$65,0)),""),IFERROR(INDEX(Clients!$G$6:$G$45,MATCH(C1880,Clients!$B$6:$B$45,0)),0))))</f>
        <v/>
      </c>
      <c r="O1880" s="14">
        <f>IF(B1880="","",IF(J1880&lt;&gt;"",0,ROUND(M1880*N1880,2)))</f>
        <v/>
      </c>
      <c r="P1880" s="15">
        <f>IF(OR(B1880="",J1880&lt;&gt;""),"",IF(L1880&lt;&gt;"",L1880,IF(COUNTIFS(Invoices!$C$6:$C$305,C1880,Invoices!$E$6:$E$305,"&lt;="&amp;B1880,Invoices!$F$6:$F$305,"&gt;="&amp;B1880)=1,INDEX(Invoices!$B$6:$B$305,SUMIFS(Invoices!$O$6:$O$305,Invoices!$C$6:$C$305,C1880,Invoices!$E$6:$E$305,"&lt;="&amp;B1880,Invoices!$F$6:$F$305,"&gt;="&amp;B1880)),IF(COUNTIFS(Invoices!$C$6:$C$305,C1880,Invoices!$E$6:$E$305,"&lt;="&amp;B1880,Invoices!$F$6:$F$305,"&gt;="&amp;B1880)&gt;1,"Two invoices",""))))</f>
        <v/>
      </c>
      <c r="Q1880" s="15">
        <f>IF(B1880="","",IF(J1880&lt;&gt;"","Not billable",IF(P1880="","To invoice",IF(P1880="Two invoices","Check dates",IF(ISNA(MATCH(P1880,Invoices!$B$6:$B$305,0)),"Check number",IF(INDEX(Invoices!$M$6:$M$305,MATCH(P1880,Invoices!$B$6:$B$305,0))="Paid","Paid",IF(INDEX(Invoices!$M$6:$M$305,MATCH(P1880,Invoices!$B$6:$B$305,0))="Draft","Draft","Invoiced")))))))</f>
        <v/>
      </c>
      <c r="R1880" s="1">
        <f>IF(AND(B1880&lt;&gt;"",P1880&lt;&gt;"",P1880=Invoice!$G$4),B1880+MOD(N(F1880),1)+ROW()/10000000,"")</f>
        <v/>
      </c>
      <c r="S1880">
        <f>IF(R1880="","",IF(D1880="","Other work",D1880)&amp;IF(AND(K1880&lt;&gt;"",E1880&lt;&gt;""),", "&amp;E1880,""))</f>
        <v/>
      </c>
      <c r="T1880">
        <f>IF(R1880="","",IF(COUNTIFS(R$6:R1879,"&gt;0",S$6:S1879,S1880,N$6:N1879,N1880)=0,R1880,""))</f>
        <v/>
      </c>
      <c r="U1880">
        <f>IF(B1880="","",IF(J1880&lt;&gt;"",0,M1880))</f>
        <v/>
      </c>
    </row>
    <row r="1881">
      <c r="A1881" s="1" t="n"/>
      <c r="B1881" s="16" t="n"/>
      <c r="C1881" s="17" t="n"/>
      <c r="D1881" s="18" t="n"/>
      <c r="E1881" s="18" t="n"/>
      <c r="F1881" s="19" t="n"/>
      <c r="G1881" s="19" t="n"/>
      <c r="H1881" s="20" t="n"/>
      <c r="I1881" s="21" t="n"/>
      <c r="J1881" s="22" t="n"/>
      <c r="K1881" s="23" t="n"/>
      <c r="L1881" s="18" t="n"/>
      <c r="M1881" s="24">
        <f>IF(B1881="","",IF(AND(F1881&lt;&gt;"",G1881&lt;&gt;""),MAX(0,ROUND(MOD(G1881-F1881,1)*24-N(H1881)/60,2)),N(I1881)))</f>
        <v/>
      </c>
      <c r="N1881" s="14">
        <f>IF(B1881="","",IF(K1881&lt;&gt;"",K1881,IF(N(IFERROR(INDEX(Projects!$D$6:$D$65,MATCH(D1881,Projects!$B$6:$B$65,0)),""))&gt;0,IFERROR(INDEX(Projects!$D$6:$D$65,MATCH(D1881,Projects!$B$6:$B$65,0)),""),IFERROR(INDEX(Clients!$G$6:$G$45,MATCH(C1881,Clients!$B$6:$B$45,0)),0))))</f>
        <v/>
      </c>
      <c r="O1881" s="14">
        <f>IF(B1881="","",IF(J1881&lt;&gt;"",0,ROUND(M1881*N1881,2)))</f>
        <v/>
      </c>
      <c r="P1881" s="15">
        <f>IF(OR(B1881="",J1881&lt;&gt;""),"",IF(L1881&lt;&gt;"",L1881,IF(COUNTIFS(Invoices!$C$6:$C$305,C1881,Invoices!$E$6:$E$305,"&lt;="&amp;B1881,Invoices!$F$6:$F$305,"&gt;="&amp;B1881)=1,INDEX(Invoices!$B$6:$B$305,SUMIFS(Invoices!$O$6:$O$305,Invoices!$C$6:$C$305,C1881,Invoices!$E$6:$E$305,"&lt;="&amp;B1881,Invoices!$F$6:$F$305,"&gt;="&amp;B1881)),IF(COUNTIFS(Invoices!$C$6:$C$305,C1881,Invoices!$E$6:$E$305,"&lt;="&amp;B1881,Invoices!$F$6:$F$305,"&gt;="&amp;B1881)&gt;1,"Two invoices",""))))</f>
        <v/>
      </c>
      <c r="Q1881" s="15">
        <f>IF(B1881="","",IF(J1881&lt;&gt;"","Not billable",IF(P1881="","To invoice",IF(P1881="Two invoices","Check dates",IF(ISNA(MATCH(P1881,Invoices!$B$6:$B$305,0)),"Check number",IF(INDEX(Invoices!$M$6:$M$305,MATCH(P1881,Invoices!$B$6:$B$305,0))="Paid","Paid",IF(INDEX(Invoices!$M$6:$M$305,MATCH(P1881,Invoices!$B$6:$B$305,0))="Draft","Draft","Invoiced")))))))</f>
        <v/>
      </c>
      <c r="R1881" s="1">
        <f>IF(AND(B1881&lt;&gt;"",P1881&lt;&gt;"",P1881=Invoice!$G$4),B1881+MOD(N(F1881),1)+ROW()/10000000,"")</f>
        <v/>
      </c>
      <c r="S1881">
        <f>IF(R1881="","",IF(D1881="","Other work",D1881)&amp;IF(AND(K1881&lt;&gt;"",E1881&lt;&gt;""),", "&amp;E1881,""))</f>
        <v/>
      </c>
      <c r="T1881">
        <f>IF(R1881="","",IF(COUNTIFS(R$6:R1880,"&gt;0",S$6:S1880,S1881,N$6:N1880,N1881)=0,R1881,""))</f>
        <v/>
      </c>
      <c r="U1881">
        <f>IF(B1881="","",IF(J1881&lt;&gt;"",0,M1881))</f>
        <v/>
      </c>
    </row>
    <row r="1882">
      <c r="A1882" s="1" t="n"/>
      <c r="B1882" s="16" t="n"/>
      <c r="C1882" s="17" t="n"/>
      <c r="D1882" s="18" t="n"/>
      <c r="E1882" s="18" t="n"/>
      <c r="F1882" s="19" t="n"/>
      <c r="G1882" s="19" t="n"/>
      <c r="H1882" s="20" t="n"/>
      <c r="I1882" s="21" t="n"/>
      <c r="J1882" s="22" t="n"/>
      <c r="K1882" s="23" t="n"/>
      <c r="L1882" s="18" t="n"/>
      <c r="M1882" s="24">
        <f>IF(B1882="","",IF(AND(F1882&lt;&gt;"",G1882&lt;&gt;""),MAX(0,ROUND(MOD(G1882-F1882,1)*24-N(H1882)/60,2)),N(I1882)))</f>
        <v/>
      </c>
      <c r="N1882" s="14">
        <f>IF(B1882="","",IF(K1882&lt;&gt;"",K1882,IF(N(IFERROR(INDEX(Projects!$D$6:$D$65,MATCH(D1882,Projects!$B$6:$B$65,0)),""))&gt;0,IFERROR(INDEX(Projects!$D$6:$D$65,MATCH(D1882,Projects!$B$6:$B$65,0)),""),IFERROR(INDEX(Clients!$G$6:$G$45,MATCH(C1882,Clients!$B$6:$B$45,0)),0))))</f>
        <v/>
      </c>
      <c r="O1882" s="14">
        <f>IF(B1882="","",IF(J1882&lt;&gt;"",0,ROUND(M1882*N1882,2)))</f>
        <v/>
      </c>
      <c r="P1882" s="15">
        <f>IF(OR(B1882="",J1882&lt;&gt;""),"",IF(L1882&lt;&gt;"",L1882,IF(COUNTIFS(Invoices!$C$6:$C$305,C1882,Invoices!$E$6:$E$305,"&lt;="&amp;B1882,Invoices!$F$6:$F$305,"&gt;="&amp;B1882)=1,INDEX(Invoices!$B$6:$B$305,SUMIFS(Invoices!$O$6:$O$305,Invoices!$C$6:$C$305,C1882,Invoices!$E$6:$E$305,"&lt;="&amp;B1882,Invoices!$F$6:$F$305,"&gt;="&amp;B1882)),IF(COUNTIFS(Invoices!$C$6:$C$305,C1882,Invoices!$E$6:$E$305,"&lt;="&amp;B1882,Invoices!$F$6:$F$305,"&gt;="&amp;B1882)&gt;1,"Two invoices",""))))</f>
        <v/>
      </c>
      <c r="Q1882" s="15">
        <f>IF(B1882="","",IF(J1882&lt;&gt;"","Not billable",IF(P1882="","To invoice",IF(P1882="Two invoices","Check dates",IF(ISNA(MATCH(P1882,Invoices!$B$6:$B$305,0)),"Check number",IF(INDEX(Invoices!$M$6:$M$305,MATCH(P1882,Invoices!$B$6:$B$305,0))="Paid","Paid",IF(INDEX(Invoices!$M$6:$M$305,MATCH(P1882,Invoices!$B$6:$B$305,0))="Draft","Draft","Invoiced")))))))</f>
        <v/>
      </c>
      <c r="R1882" s="1">
        <f>IF(AND(B1882&lt;&gt;"",P1882&lt;&gt;"",P1882=Invoice!$G$4),B1882+MOD(N(F1882),1)+ROW()/10000000,"")</f>
        <v/>
      </c>
      <c r="S1882">
        <f>IF(R1882="","",IF(D1882="","Other work",D1882)&amp;IF(AND(K1882&lt;&gt;"",E1882&lt;&gt;""),", "&amp;E1882,""))</f>
        <v/>
      </c>
      <c r="T1882">
        <f>IF(R1882="","",IF(COUNTIFS(R$6:R1881,"&gt;0",S$6:S1881,S1882,N$6:N1881,N1882)=0,R1882,""))</f>
        <v/>
      </c>
      <c r="U1882">
        <f>IF(B1882="","",IF(J1882&lt;&gt;"",0,M1882))</f>
        <v/>
      </c>
    </row>
    <row r="1883">
      <c r="A1883" s="1" t="n"/>
      <c r="B1883" s="16" t="n"/>
      <c r="C1883" s="17" t="n"/>
      <c r="D1883" s="18" t="n"/>
      <c r="E1883" s="18" t="n"/>
      <c r="F1883" s="19" t="n"/>
      <c r="G1883" s="19" t="n"/>
      <c r="H1883" s="20" t="n"/>
      <c r="I1883" s="21" t="n"/>
      <c r="J1883" s="22" t="n"/>
      <c r="K1883" s="23" t="n"/>
      <c r="L1883" s="18" t="n"/>
      <c r="M1883" s="24">
        <f>IF(B1883="","",IF(AND(F1883&lt;&gt;"",G1883&lt;&gt;""),MAX(0,ROUND(MOD(G1883-F1883,1)*24-N(H1883)/60,2)),N(I1883)))</f>
        <v/>
      </c>
      <c r="N1883" s="14">
        <f>IF(B1883="","",IF(K1883&lt;&gt;"",K1883,IF(N(IFERROR(INDEX(Projects!$D$6:$D$65,MATCH(D1883,Projects!$B$6:$B$65,0)),""))&gt;0,IFERROR(INDEX(Projects!$D$6:$D$65,MATCH(D1883,Projects!$B$6:$B$65,0)),""),IFERROR(INDEX(Clients!$G$6:$G$45,MATCH(C1883,Clients!$B$6:$B$45,0)),0))))</f>
        <v/>
      </c>
      <c r="O1883" s="14">
        <f>IF(B1883="","",IF(J1883&lt;&gt;"",0,ROUND(M1883*N1883,2)))</f>
        <v/>
      </c>
      <c r="P1883" s="15">
        <f>IF(OR(B1883="",J1883&lt;&gt;""),"",IF(L1883&lt;&gt;"",L1883,IF(COUNTIFS(Invoices!$C$6:$C$305,C1883,Invoices!$E$6:$E$305,"&lt;="&amp;B1883,Invoices!$F$6:$F$305,"&gt;="&amp;B1883)=1,INDEX(Invoices!$B$6:$B$305,SUMIFS(Invoices!$O$6:$O$305,Invoices!$C$6:$C$305,C1883,Invoices!$E$6:$E$305,"&lt;="&amp;B1883,Invoices!$F$6:$F$305,"&gt;="&amp;B1883)),IF(COUNTIFS(Invoices!$C$6:$C$305,C1883,Invoices!$E$6:$E$305,"&lt;="&amp;B1883,Invoices!$F$6:$F$305,"&gt;="&amp;B1883)&gt;1,"Two invoices",""))))</f>
        <v/>
      </c>
      <c r="Q1883" s="15">
        <f>IF(B1883="","",IF(J1883&lt;&gt;"","Not billable",IF(P1883="","To invoice",IF(P1883="Two invoices","Check dates",IF(ISNA(MATCH(P1883,Invoices!$B$6:$B$305,0)),"Check number",IF(INDEX(Invoices!$M$6:$M$305,MATCH(P1883,Invoices!$B$6:$B$305,0))="Paid","Paid",IF(INDEX(Invoices!$M$6:$M$305,MATCH(P1883,Invoices!$B$6:$B$305,0))="Draft","Draft","Invoiced")))))))</f>
        <v/>
      </c>
      <c r="R1883" s="1">
        <f>IF(AND(B1883&lt;&gt;"",P1883&lt;&gt;"",P1883=Invoice!$G$4),B1883+MOD(N(F1883),1)+ROW()/10000000,"")</f>
        <v/>
      </c>
      <c r="S1883">
        <f>IF(R1883="","",IF(D1883="","Other work",D1883)&amp;IF(AND(K1883&lt;&gt;"",E1883&lt;&gt;""),", "&amp;E1883,""))</f>
        <v/>
      </c>
      <c r="T1883">
        <f>IF(R1883="","",IF(COUNTIFS(R$6:R1882,"&gt;0",S$6:S1882,S1883,N$6:N1882,N1883)=0,R1883,""))</f>
        <v/>
      </c>
      <c r="U1883">
        <f>IF(B1883="","",IF(J1883&lt;&gt;"",0,M1883))</f>
        <v/>
      </c>
    </row>
    <row r="1884">
      <c r="A1884" s="1" t="n"/>
      <c r="B1884" s="16" t="n"/>
      <c r="C1884" s="17" t="n"/>
      <c r="D1884" s="18" t="n"/>
      <c r="E1884" s="18" t="n"/>
      <c r="F1884" s="19" t="n"/>
      <c r="G1884" s="19" t="n"/>
      <c r="H1884" s="20" t="n"/>
      <c r="I1884" s="21" t="n"/>
      <c r="J1884" s="22" t="n"/>
      <c r="K1884" s="23" t="n"/>
      <c r="L1884" s="18" t="n"/>
      <c r="M1884" s="24">
        <f>IF(B1884="","",IF(AND(F1884&lt;&gt;"",G1884&lt;&gt;""),MAX(0,ROUND(MOD(G1884-F1884,1)*24-N(H1884)/60,2)),N(I1884)))</f>
        <v/>
      </c>
      <c r="N1884" s="14">
        <f>IF(B1884="","",IF(K1884&lt;&gt;"",K1884,IF(N(IFERROR(INDEX(Projects!$D$6:$D$65,MATCH(D1884,Projects!$B$6:$B$65,0)),""))&gt;0,IFERROR(INDEX(Projects!$D$6:$D$65,MATCH(D1884,Projects!$B$6:$B$65,0)),""),IFERROR(INDEX(Clients!$G$6:$G$45,MATCH(C1884,Clients!$B$6:$B$45,0)),0))))</f>
        <v/>
      </c>
      <c r="O1884" s="14">
        <f>IF(B1884="","",IF(J1884&lt;&gt;"",0,ROUND(M1884*N1884,2)))</f>
        <v/>
      </c>
      <c r="P1884" s="15">
        <f>IF(OR(B1884="",J1884&lt;&gt;""),"",IF(L1884&lt;&gt;"",L1884,IF(COUNTIFS(Invoices!$C$6:$C$305,C1884,Invoices!$E$6:$E$305,"&lt;="&amp;B1884,Invoices!$F$6:$F$305,"&gt;="&amp;B1884)=1,INDEX(Invoices!$B$6:$B$305,SUMIFS(Invoices!$O$6:$O$305,Invoices!$C$6:$C$305,C1884,Invoices!$E$6:$E$305,"&lt;="&amp;B1884,Invoices!$F$6:$F$305,"&gt;="&amp;B1884)),IF(COUNTIFS(Invoices!$C$6:$C$305,C1884,Invoices!$E$6:$E$305,"&lt;="&amp;B1884,Invoices!$F$6:$F$305,"&gt;="&amp;B1884)&gt;1,"Two invoices",""))))</f>
        <v/>
      </c>
      <c r="Q1884" s="15">
        <f>IF(B1884="","",IF(J1884&lt;&gt;"","Not billable",IF(P1884="","To invoice",IF(P1884="Two invoices","Check dates",IF(ISNA(MATCH(P1884,Invoices!$B$6:$B$305,0)),"Check number",IF(INDEX(Invoices!$M$6:$M$305,MATCH(P1884,Invoices!$B$6:$B$305,0))="Paid","Paid",IF(INDEX(Invoices!$M$6:$M$305,MATCH(P1884,Invoices!$B$6:$B$305,0))="Draft","Draft","Invoiced")))))))</f>
        <v/>
      </c>
      <c r="R1884" s="1">
        <f>IF(AND(B1884&lt;&gt;"",P1884&lt;&gt;"",P1884=Invoice!$G$4),B1884+MOD(N(F1884),1)+ROW()/10000000,"")</f>
        <v/>
      </c>
      <c r="S1884">
        <f>IF(R1884="","",IF(D1884="","Other work",D1884)&amp;IF(AND(K1884&lt;&gt;"",E1884&lt;&gt;""),", "&amp;E1884,""))</f>
        <v/>
      </c>
      <c r="T1884">
        <f>IF(R1884="","",IF(COUNTIFS(R$6:R1883,"&gt;0",S$6:S1883,S1884,N$6:N1883,N1884)=0,R1884,""))</f>
        <v/>
      </c>
      <c r="U1884">
        <f>IF(B1884="","",IF(J1884&lt;&gt;"",0,M1884))</f>
        <v/>
      </c>
    </row>
    <row r="1885">
      <c r="A1885" s="1" t="n"/>
      <c r="B1885" s="16" t="n"/>
      <c r="C1885" s="17" t="n"/>
      <c r="D1885" s="18" t="n"/>
      <c r="E1885" s="18" t="n"/>
      <c r="F1885" s="19" t="n"/>
      <c r="G1885" s="19" t="n"/>
      <c r="H1885" s="20" t="n"/>
      <c r="I1885" s="21" t="n"/>
      <c r="J1885" s="22" t="n"/>
      <c r="K1885" s="23" t="n"/>
      <c r="L1885" s="18" t="n"/>
      <c r="M1885" s="24">
        <f>IF(B1885="","",IF(AND(F1885&lt;&gt;"",G1885&lt;&gt;""),MAX(0,ROUND(MOD(G1885-F1885,1)*24-N(H1885)/60,2)),N(I1885)))</f>
        <v/>
      </c>
      <c r="N1885" s="14">
        <f>IF(B1885="","",IF(K1885&lt;&gt;"",K1885,IF(N(IFERROR(INDEX(Projects!$D$6:$D$65,MATCH(D1885,Projects!$B$6:$B$65,0)),""))&gt;0,IFERROR(INDEX(Projects!$D$6:$D$65,MATCH(D1885,Projects!$B$6:$B$65,0)),""),IFERROR(INDEX(Clients!$G$6:$G$45,MATCH(C1885,Clients!$B$6:$B$45,0)),0))))</f>
        <v/>
      </c>
      <c r="O1885" s="14">
        <f>IF(B1885="","",IF(J1885&lt;&gt;"",0,ROUND(M1885*N1885,2)))</f>
        <v/>
      </c>
      <c r="P1885" s="15">
        <f>IF(OR(B1885="",J1885&lt;&gt;""),"",IF(L1885&lt;&gt;"",L1885,IF(COUNTIFS(Invoices!$C$6:$C$305,C1885,Invoices!$E$6:$E$305,"&lt;="&amp;B1885,Invoices!$F$6:$F$305,"&gt;="&amp;B1885)=1,INDEX(Invoices!$B$6:$B$305,SUMIFS(Invoices!$O$6:$O$305,Invoices!$C$6:$C$305,C1885,Invoices!$E$6:$E$305,"&lt;="&amp;B1885,Invoices!$F$6:$F$305,"&gt;="&amp;B1885)),IF(COUNTIFS(Invoices!$C$6:$C$305,C1885,Invoices!$E$6:$E$305,"&lt;="&amp;B1885,Invoices!$F$6:$F$305,"&gt;="&amp;B1885)&gt;1,"Two invoices",""))))</f>
        <v/>
      </c>
      <c r="Q1885" s="15">
        <f>IF(B1885="","",IF(J1885&lt;&gt;"","Not billable",IF(P1885="","To invoice",IF(P1885="Two invoices","Check dates",IF(ISNA(MATCH(P1885,Invoices!$B$6:$B$305,0)),"Check number",IF(INDEX(Invoices!$M$6:$M$305,MATCH(P1885,Invoices!$B$6:$B$305,0))="Paid","Paid",IF(INDEX(Invoices!$M$6:$M$305,MATCH(P1885,Invoices!$B$6:$B$305,0))="Draft","Draft","Invoiced")))))))</f>
        <v/>
      </c>
      <c r="R1885" s="1">
        <f>IF(AND(B1885&lt;&gt;"",P1885&lt;&gt;"",P1885=Invoice!$G$4),B1885+MOD(N(F1885),1)+ROW()/10000000,"")</f>
        <v/>
      </c>
      <c r="S1885">
        <f>IF(R1885="","",IF(D1885="","Other work",D1885)&amp;IF(AND(K1885&lt;&gt;"",E1885&lt;&gt;""),", "&amp;E1885,""))</f>
        <v/>
      </c>
      <c r="T1885">
        <f>IF(R1885="","",IF(COUNTIFS(R$6:R1884,"&gt;0",S$6:S1884,S1885,N$6:N1884,N1885)=0,R1885,""))</f>
        <v/>
      </c>
      <c r="U1885">
        <f>IF(B1885="","",IF(J1885&lt;&gt;"",0,M1885))</f>
        <v/>
      </c>
    </row>
    <row r="1886">
      <c r="A1886" s="1" t="n"/>
      <c r="B1886" s="16" t="n"/>
      <c r="C1886" s="17" t="n"/>
      <c r="D1886" s="18" t="n"/>
      <c r="E1886" s="18" t="n"/>
      <c r="F1886" s="19" t="n"/>
      <c r="G1886" s="19" t="n"/>
      <c r="H1886" s="20" t="n"/>
      <c r="I1886" s="21" t="n"/>
      <c r="J1886" s="22" t="n"/>
      <c r="K1886" s="23" t="n"/>
      <c r="L1886" s="18" t="n"/>
      <c r="M1886" s="24">
        <f>IF(B1886="","",IF(AND(F1886&lt;&gt;"",G1886&lt;&gt;""),MAX(0,ROUND(MOD(G1886-F1886,1)*24-N(H1886)/60,2)),N(I1886)))</f>
        <v/>
      </c>
      <c r="N1886" s="14">
        <f>IF(B1886="","",IF(K1886&lt;&gt;"",K1886,IF(N(IFERROR(INDEX(Projects!$D$6:$D$65,MATCH(D1886,Projects!$B$6:$B$65,0)),""))&gt;0,IFERROR(INDEX(Projects!$D$6:$D$65,MATCH(D1886,Projects!$B$6:$B$65,0)),""),IFERROR(INDEX(Clients!$G$6:$G$45,MATCH(C1886,Clients!$B$6:$B$45,0)),0))))</f>
        <v/>
      </c>
      <c r="O1886" s="14">
        <f>IF(B1886="","",IF(J1886&lt;&gt;"",0,ROUND(M1886*N1886,2)))</f>
        <v/>
      </c>
      <c r="P1886" s="15">
        <f>IF(OR(B1886="",J1886&lt;&gt;""),"",IF(L1886&lt;&gt;"",L1886,IF(COUNTIFS(Invoices!$C$6:$C$305,C1886,Invoices!$E$6:$E$305,"&lt;="&amp;B1886,Invoices!$F$6:$F$305,"&gt;="&amp;B1886)=1,INDEX(Invoices!$B$6:$B$305,SUMIFS(Invoices!$O$6:$O$305,Invoices!$C$6:$C$305,C1886,Invoices!$E$6:$E$305,"&lt;="&amp;B1886,Invoices!$F$6:$F$305,"&gt;="&amp;B1886)),IF(COUNTIFS(Invoices!$C$6:$C$305,C1886,Invoices!$E$6:$E$305,"&lt;="&amp;B1886,Invoices!$F$6:$F$305,"&gt;="&amp;B1886)&gt;1,"Two invoices",""))))</f>
        <v/>
      </c>
      <c r="Q1886" s="15">
        <f>IF(B1886="","",IF(J1886&lt;&gt;"","Not billable",IF(P1886="","To invoice",IF(P1886="Two invoices","Check dates",IF(ISNA(MATCH(P1886,Invoices!$B$6:$B$305,0)),"Check number",IF(INDEX(Invoices!$M$6:$M$305,MATCH(P1886,Invoices!$B$6:$B$305,0))="Paid","Paid",IF(INDEX(Invoices!$M$6:$M$305,MATCH(P1886,Invoices!$B$6:$B$305,0))="Draft","Draft","Invoiced")))))))</f>
        <v/>
      </c>
      <c r="R1886" s="1">
        <f>IF(AND(B1886&lt;&gt;"",P1886&lt;&gt;"",P1886=Invoice!$G$4),B1886+MOD(N(F1886),1)+ROW()/10000000,"")</f>
        <v/>
      </c>
      <c r="S1886">
        <f>IF(R1886="","",IF(D1886="","Other work",D1886)&amp;IF(AND(K1886&lt;&gt;"",E1886&lt;&gt;""),", "&amp;E1886,""))</f>
        <v/>
      </c>
      <c r="T1886">
        <f>IF(R1886="","",IF(COUNTIFS(R$6:R1885,"&gt;0",S$6:S1885,S1886,N$6:N1885,N1886)=0,R1886,""))</f>
        <v/>
      </c>
      <c r="U1886">
        <f>IF(B1886="","",IF(J1886&lt;&gt;"",0,M1886))</f>
        <v/>
      </c>
    </row>
    <row r="1887">
      <c r="A1887" s="1" t="n"/>
      <c r="B1887" s="16" t="n"/>
      <c r="C1887" s="17" t="n"/>
      <c r="D1887" s="18" t="n"/>
      <c r="E1887" s="18" t="n"/>
      <c r="F1887" s="19" t="n"/>
      <c r="G1887" s="19" t="n"/>
      <c r="H1887" s="20" t="n"/>
      <c r="I1887" s="21" t="n"/>
      <c r="J1887" s="22" t="n"/>
      <c r="K1887" s="23" t="n"/>
      <c r="L1887" s="18" t="n"/>
      <c r="M1887" s="24">
        <f>IF(B1887="","",IF(AND(F1887&lt;&gt;"",G1887&lt;&gt;""),MAX(0,ROUND(MOD(G1887-F1887,1)*24-N(H1887)/60,2)),N(I1887)))</f>
        <v/>
      </c>
      <c r="N1887" s="14">
        <f>IF(B1887="","",IF(K1887&lt;&gt;"",K1887,IF(N(IFERROR(INDEX(Projects!$D$6:$D$65,MATCH(D1887,Projects!$B$6:$B$65,0)),""))&gt;0,IFERROR(INDEX(Projects!$D$6:$D$65,MATCH(D1887,Projects!$B$6:$B$65,0)),""),IFERROR(INDEX(Clients!$G$6:$G$45,MATCH(C1887,Clients!$B$6:$B$45,0)),0))))</f>
        <v/>
      </c>
      <c r="O1887" s="14">
        <f>IF(B1887="","",IF(J1887&lt;&gt;"",0,ROUND(M1887*N1887,2)))</f>
        <v/>
      </c>
      <c r="P1887" s="15">
        <f>IF(OR(B1887="",J1887&lt;&gt;""),"",IF(L1887&lt;&gt;"",L1887,IF(COUNTIFS(Invoices!$C$6:$C$305,C1887,Invoices!$E$6:$E$305,"&lt;="&amp;B1887,Invoices!$F$6:$F$305,"&gt;="&amp;B1887)=1,INDEX(Invoices!$B$6:$B$305,SUMIFS(Invoices!$O$6:$O$305,Invoices!$C$6:$C$305,C1887,Invoices!$E$6:$E$305,"&lt;="&amp;B1887,Invoices!$F$6:$F$305,"&gt;="&amp;B1887)),IF(COUNTIFS(Invoices!$C$6:$C$305,C1887,Invoices!$E$6:$E$305,"&lt;="&amp;B1887,Invoices!$F$6:$F$305,"&gt;="&amp;B1887)&gt;1,"Two invoices",""))))</f>
        <v/>
      </c>
      <c r="Q1887" s="15">
        <f>IF(B1887="","",IF(J1887&lt;&gt;"","Not billable",IF(P1887="","To invoice",IF(P1887="Two invoices","Check dates",IF(ISNA(MATCH(P1887,Invoices!$B$6:$B$305,0)),"Check number",IF(INDEX(Invoices!$M$6:$M$305,MATCH(P1887,Invoices!$B$6:$B$305,0))="Paid","Paid",IF(INDEX(Invoices!$M$6:$M$305,MATCH(P1887,Invoices!$B$6:$B$305,0))="Draft","Draft","Invoiced")))))))</f>
        <v/>
      </c>
      <c r="R1887" s="1">
        <f>IF(AND(B1887&lt;&gt;"",P1887&lt;&gt;"",P1887=Invoice!$G$4),B1887+MOD(N(F1887),1)+ROW()/10000000,"")</f>
        <v/>
      </c>
      <c r="S1887">
        <f>IF(R1887="","",IF(D1887="","Other work",D1887)&amp;IF(AND(K1887&lt;&gt;"",E1887&lt;&gt;""),", "&amp;E1887,""))</f>
        <v/>
      </c>
      <c r="T1887">
        <f>IF(R1887="","",IF(COUNTIFS(R$6:R1886,"&gt;0",S$6:S1886,S1887,N$6:N1886,N1887)=0,R1887,""))</f>
        <v/>
      </c>
      <c r="U1887">
        <f>IF(B1887="","",IF(J1887&lt;&gt;"",0,M1887))</f>
        <v/>
      </c>
    </row>
    <row r="1888">
      <c r="A1888" s="1" t="n"/>
      <c r="B1888" s="16" t="n"/>
      <c r="C1888" s="17" t="n"/>
      <c r="D1888" s="18" t="n"/>
      <c r="E1888" s="18" t="n"/>
      <c r="F1888" s="19" t="n"/>
      <c r="G1888" s="19" t="n"/>
      <c r="H1888" s="20" t="n"/>
      <c r="I1888" s="21" t="n"/>
      <c r="J1888" s="22" t="n"/>
      <c r="K1888" s="23" t="n"/>
      <c r="L1888" s="18" t="n"/>
      <c r="M1888" s="24">
        <f>IF(B1888="","",IF(AND(F1888&lt;&gt;"",G1888&lt;&gt;""),MAX(0,ROUND(MOD(G1888-F1888,1)*24-N(H1888)/60,2)),N(I1888)))</f>
        <v/>
      </c>
      <c r="N1888" s="14">
        <f>IF(B1888="","",IF(K1888&lt;&gt;"",K1888,IF(N(IFERROR(INDEX(Projects!$D$6:$D$65,MATCH(D1888,Projects!$B$6:$B$65,0)),""))&gt;0,IFERROR(INDEX(Projects!$D$6:$D$65,MATCH(D1888,Projects!$B$6:$B$65,0)),""),IFERROR(INDEX(Clients!$G$6:$G$45,MATCH(C1888,Clients!$B$6:$B$45,0)),0))))</f>
        <v/>
      </c>
      <c r="O1888" s="14">
        <f>IF(B1888="","",IF(J1888&lt;&gt;"",0,ROUND(M1888*N1888,2)))</f>
        <v/>
      </c>
      <c r="P1888" s="15">
        <f>IF(OR(B1888="",J1888&lt;&gt;""),"",IF(L1888&lt;&gt;"",L1888,IF(COUNTIFS(Invoices!$C$6:$C$305,C1888,Invoices!$E$6:$E$305,"&lt;="&amp;B1888,Invoices!$F$6:$F$305,"&gt;="&amp;B1888)=1,INDEX(Invoices!$B$6:$B$305,SUMIFS(Invoices!$O$6:$O$305,Invoices!$C$6:$C$305,C1888,Invoices!$E$6:$E$305,"&lt;="&amp;B1888,Invoices!$F$6:$F$305,"&gt;="&amp;B1888)),IF(COUNTIFS(Invoices!$C$6:$C$305,C1888,Invoices!$E$6:$E$305,"&lt;="&amp;B1888,Invoices!$F$6:$F$305,"&gt;="&amp;B1888)&gt;1,"Two invoices",""))))</f>
        <v/>
      </c>
      <c r="Q1888" s="15">
        <f>IF(B1888="","",IF(J1888&lt;&gt;"","Not billable",IF(P1888="","To invoice",IF(P1888="Two invoices","Check dates",IF(ISNA(MATCH(P1888,Invoices!$B$6:$B$305,0)),"Check number",IF(INDEX(Invoices!$M$6:$M$305,MATCH(P1888,Invoices!$B$6:$B$305,0))="Paid","Paid",IF(INDEX(Invoices!$M$6:$M$305,MATCH(P1888,Invoices!$B$6:$B$305,0))="Draft","Draft","Invoiced")))))))</f>
        <v/>
      </c>
      <c r="R1888" s="1">
        <f>IF(AND(B1888&lt;&gt;"",P1888&lt;&gt;"",P1888=Invoice!$G$4),B1888+MOD(N(F1888),1)+ROW()/10000000,"")</f>
        <v/>
      </c>
      <c r="S1888">
        <f>IF(R1888="","",IF(D1888="","Other work",D1888)&amp;IF(AND(K1888&lt;&gt;"",E1888&lt;&gt;""),", "&amp;E1888,""))</f>
        <v/>
      </c>
      <c r="T1888">
        <f>IF(R1888="","",IF(COUNTIFS(R$6:R1887,"&gt;0",S$6:S1887,S1888,N$6:N1887,N1888)=0,R1888,""))</f>
        <v/>
      </c>
      <c r="U1888">
        <f>IF(B1888="","",IF(J1888&lt;&gt;"",0,M1888))</f>
        <v/>
      </c>
    </row>
    <row r="1889">
      <c r="A1889" s="1" t="n"/>
      <c r="B1889" s="16" t="n"/>
      <c r="C1889" s="17" t="n"/>
      <c r="D1889" s="18" t="n"/>
      <c r="E1889" s="18" t="n"/>
      <c r="F1889" s="19" t="n"/>
      <c r="G1889" s="19" t="n"/>
      <c r="H1889" s="20" t="n"/>
      <c r="I1889" s="21" t="n"/>
      <c r="J1889" s="22" t="n"/>
      <c r="K1889" s="23" t="n"/>
      <c r="L1889" s="18" t="n"/>
      <c r="M1889" s="24">
        <f>IF(B1889="","",IF(AND(F1889&lt;&gt;"",G1889&lt;&gt;""),MAX(0,ROUND(MOD(G1889-F1889,1)*24-N(H1889)/60,2)),N(I1889)))</f>
        <v/>
      </c>
      <c r="N1889" s="14">
        <f>IF(B1889="","",IF(K1889&lt;&gt;"",K1889,IF(N(IFERROR(INDEX(Projects!$D$6:$D$65,MATCH(D1889,Projects!$B$6:$B$65,0)),""))&gt;0,IFERROR(INDEX(Projects!$D$6:$D$65,MATCH(D1889,Projects!$B$6:$B$65,0)),""),IFERROR(INDEX(Clients!$G$6:$G$45,MATCH(C1889,Clients!$B$6:$B$45,0)),0))))</f>
        <v/>
      </c>
      <c r="O1889" s="14">
        <f>IF(B1889="","",IF(J1889&lt;&gt;"",0,ROUND(M1889*N1889,2)))</f>
        <v/>
      </c>
      <c r="P1889" s="15">
        <f>IF(OR(B1889="",J1889&lt;&gt;""),"",IF(L1889&lt;&gt;"",L1889,IF(COUNTIFS(Invoices!$C$6:$C$305,C1889,Invoices!$E$6:$E$305,"&lt;="&amp;B1889,Invoices!$F$6:$F$305,"&gt;="&amp;B1889)=1,INDEX(Invoices!$B$6:$B$305,SUMIFS(Invoices!$O$6:$O$305,Invoices!$C$6:$C$305,C1889,Invoices!$E$6:$E$305,"&lt;="&amp;B1889,Invoices!$F$6:$F$305,"&gt;="&amp;B1889)),IF(COUNTIFS(Invoices!$C$6:$C$305,C1889,Invoices!$E$6:$E$305,"&lt;="&amp;B1889,Invoices!$F$6:$F$305,"&gt;="&amp;B1889)&gt;1,"Two invoices",""))))</f>
        <v/>
      </c>
      <c r="Q1889" s="15">
        <f>IF(B1889="","",IF(J1889&lt;&gt;"","Not billable",IF(P1889="","To invoice",IF(P1889="Two invoices","Check dates",IF(ISNA(MATCH(P1889,Invoices!$B$6:$B$305,0)),"Check number",IF(INDEX(Invoices!$M$6:$M$305,MATCH(P1889,Invoices!$B$6:$B$305,0))="Paid","Paid",IF(INDEX(Invoices!$M$6:$M$305,MATCH(P1889,Invoices!$B$6:$B$305,0))="Draft","Draft","Invoiced")))))))</f>
        <v/>
      </c>
      <c r="R1889" s="1">
        <f>IF(AND(B1889&lt;&gt;"",P1889&lt;&gt;"",P1889=Invoice!$G$4),B1889+MOD(N(F1889),1)+ROW()/10000000,"")</f>
        <v/>
      </c>
      <c r="S1889">
        <f>IF(R1889="","",IF(D1889="","Other work",D1889)&amp;IF(AND(K1889&lt;&gt;"",E1889&lt;&gt;""),", "&amp;E1889,""))</f>
        <v/>
      </c>
      <c r="T1889">
        <f>IF(R1889="","",IF(COUNTIFS(R$6:R1888,"&gt;0",S$6:S1888,S1889,N$6:N1888,N1889)=0,R1889,""))</f>
        <v/>
      </c>
      <c r="U1889">
        <f>IF(B1889="","",IF(J1889&lt;&gt;"",0,M1889))</f>
        <v/>
      </c>
    </row>
    <row r="1890">
      <c r="A1890" s="1" t="n"/>
      <c r="B1890" s="16" t="n"/>
      <c r="C1890" s="17" t="n"/>
      <c r="D1890" s="18" t="n"/>
      <c r="E1890" s="18" t="n"/>
      <c r="F1890" s="19" t="n"/>
      <c r="G1890" s="19" t="n"/>
      <c r="H1890" s="20" t="n"/>
      <c r="I1890" s="21" t="n"/>
      <c r="J1890" s="22" t="n"/>
      <c r="K1890" s="23" t="n"/>
      <c r="L1890" s="18" t="n"/>
      <c r="M1890" s="24">
        <f>IF(B1890="","",IF(AND(F1890&lt;&gt;"",G1890&lt;&gt;""),MAX(0,ROUND(MOD(G1890-F1890,1)*24-N(H1890)/60,2)),N(I1890)))</f>
        <v/>
      </c>
      <c r="N1890" s="14">
        <f>IF(B1890="","",IF(K1890&lt;&gt;"",K1890,IF(N(IFERROR(INDEX(Projects!$D$6:$D$65,MATCH(D1890,Projects!$B$6:$B$65,0)),""))&gt;0,IFERROR(INDEX(Projects!$D$6:$D$65,MATCH(D1890,Projects!$B$6:$B$65,0)),""),IFERROR(INDEX(Clients!$G$6:$G$45,MATCH(C1890,Clients!$B$6:$B$45,0)),0))))</f>
        <v/>
      </c>
      <c r="O1890" s="14">
        <f>IF(B1890="","",IF(J1890&lt;&gt;"",0,ROUND(M1890*N1890,2)))</f>
        <v/>
      </c>
      <c r="P1890" s="15">
        <f>IF(OR(B1890="",J1890&lt;&gt;""),"",IF(L1890&lt;&gt;"",L1890,IF(COUNTIFS(Invoices!$C$6:$C$305,C1890,Invoices!$E$6:$E$305,"&lt;="&amp;B1890,Invoices!$F$6:$F$305,"&gt;="&amp;B1890)=1,INDEX(Invoices!$B$6:$B$305,SUMIFS(Invoices!$O$6:$O$305,Invoices!$C$6:$C$305,C1890,Invoices!$E$6:$E$305,"&lt;="&amp;B1890,Invoices!$F$6:$F$305,"&gt;="&amp;B1890)),IF(COUNTIFS(Invoices!$C$6:$C$305,C1890,Invoices!$E$6:$E$305,"&lt;="&amp;B1890,Invoices!$F$6:$F$305,"&gt;="&amp;B1890)&gt;1,"Two invoices",""))))</f>
        <v/>
      </c>
      <c r="Q1890" s="15">
        <f>IF(B1890="","",IF(J1890&lt;&gt;"","Not billable",IF(P1890="","To invoice",IF(P1890="Two invoices","Check dates",IF(ISNA(MATCH(P1890,Invoices!$B$6:$B$305,0)),"Check number",IF(INDEX(Invoices!$M$6:$M$305,MATCH(P1890,Invoices!$B$6:$B$305,0))="Paid","Paid",IF(INDEX(Invoices!$M$6:$M$305,MATCH(P1890,Invoices!$B$6:$B$305,0))="Draft","Draft","Invoiced")))))))</f>
        <v/>
      </c>
      <c r="R1890" s="1">
        <f>IF(AND(B1890&lt;&gt;"",P1890&lt;&gt;"",P1890=Invoice!$G$4),B1890+MOD(N(F1890),1)+ROW()/10000000,"")</f>
        <v/>
      </c>
      <c r="S1890">
        <f>IF(R1890="","",IF(D1890="","Other work",D1890)&amp;IF(AND(K1890&lt;&gt;"",E1890&lt;&gt;""),", "&amp;E1890,""))</f>
        <v/>
      </c>
      <c r="T1890">
        <f>IF(R1890="","",IF(COUNTIFS(R$6:R1889,"&gt;0",S$6:S1889,S1890,N$6:N1889,N1890)=0,R1890,""))</f>
        <v/>
      </c>
      <c r="U1890">
        <f>IF(B1890="","",IF(J1890&lt;&gt;"",0,M1890))</f>
        <v/>
      </c>
    </row>
    <row r="1891">
      <c r="A1891" s="1" t="n"/>
      <c r="B1891" s="16" t="n"/>
      <c r="C1891" s="17" t="n"/>
      <c r="D1891" s="18" t="n"/>
      <c r="E1891" s="18" t="n"/>
      <c r="F1891" s="19" t="n"/>
      <c r="G1891" s="19" t="n"/>
      <c r="H1891" s="20" t="n"/>
      <c r="I1891" s="21" t="n"/>
      <c r="J1891" s="22" t="n"/>
      <c r="K1891" s="23" t="n"/>
      <c r="L1891" s="18" t="n"/>
      <c r="M1891" s="24">
        <f>IF(B1891="","",IF(AND(F1891&lt;&gt;"",G1891&lt;&gt;""),MAX(0,ROUND(MOD(G1891-F1891,1)*24-N(H1891)/60,2)),N(I1891)))</f>
        <v/>
      </c>
      <c r="N1891" s="14">
        <f>IF(B1891="","",IF(K1891&lt;&gt;"",K1891,IF(N(IFERROR(INDEX(Projects!$D$6:$D$65,MATCH(D1891,Projects!$B$6:$B$65,0)),""))&gt;0,IFERROR(INDEX(Projects!$D$6:$D$65,MATCH(D1891,Projects!$B$6:$B$65,0)),""),IFERROR(INDEX(Clients!$G$6:$G$45,MATCH(C1891,Clients!$B$6:$B$45,0)),0))))</f>
        <v/>
      </c>
      <c r="O1891" s="14">
        <f>IF(B1891="","",IF(J1891&lt;&gt;"",0,ROUND(M1891*N1891,2)))</f>
        <v/>
      </c>
      <c r="P1891" s="15">
        <f>IF(OR(B1891="",J1891&lt;&gt;""),"",IF(L1891&lt;&gt;"",L1891,IF(COUNTIFS(Invoices!$C$6:$C$305,C1891,Invoices!$E$6:$E$305,"&lt;="&amp;B1891,Invoices!$F$6:$F$305,"&gt;="&amp;B1891)=1,INDEX(Invoices!$B$6:$B$305,SUMIFS(Invoices!$O$6:$O$305,Invoices!$C$6:$C$305,C1891,Invoices!$E$6:$E$305,"&lt;="&amp;B1891,Invoices!$F$6:$F$305,"&gt;="&amp;B1891)),IF(COUNTIFS(Invoices!$C$6:$C$305,C1891,Invoices!$E$6:$E$305,"&lt;="&amp;B1891,Invoices!$F$6:$F$305,"&gt;="&amp;B1891)&gt;1,"Two invoices",""))))</f>
        <v/>
      </c>
      <c r="Q1891" s="15">
        <f>IF(B1891="","",IF(J1891&lt;&gt;"","Not billable",IF(P1891="","To invoice",IF(P1891="Two invoices","Check dates",IF(ISNA(MATCH(P1891,Invoices!$B$6:$B$305,0)),"Check number",IF(INDEX(Invoices!$M$6:$M$305,MATCH(P1891,Invoices!$B$6:$B$305,0))="Paid","Paid",IF(INDEX(Invoices!$M$6:$M$305,MATCH(P1891,Invoices!$B$6:$B$305,0))="Draft","Draft","Invoiced")))))))</f>
        <v/>
      </c>
      <c r="R1891" s="1">
        <f>IF(AND(B1891&lt;&gt;"",P1891&lt;&gt;"",P1891=Invoice!$G$4),B1891+MOD(N(F1891),1)+ROW()/10000000,"")</f>
        <v/>
      </c>
      <c r="S1891">
        <f>IF(R1891="","",IF(D1891="","Other work",D1891)&amp;IF(AND(K1891&lt;&gt;"",E1891&lt;&gt;""),", "&amp;E1891,""))</f>
        <v/>
      </c>
      <c r="T1891">
        <f>IF(R1891="","",IF(COUNTIFS(R$6:R1890,"&gt;0",S$6:S1890,S1891,N$6:N1890,N1891)=0,R1891,""))</f>
        <v/>
      </c>
      <c r="U1891">
        <f>IF(B1891="","",IF(J1891&lt;&gt;"",0,M1891))</f>
        <v/>
      </c>
    </row>
    <row r="1892">
      <c r="A1892" s="1" t="n"/>
      <c r="B1892" s="16" t="n"/>
      <c r="C1892" s="17" t="n"/>
      <c r="D1892" s="18" t="n"/>
      <c r="E1892" s="18" t="n"/>
      <c r="F1892" s="19" t="n"/>
      <c r="G1892" s="19" t="n"/>
      <c r="H1892" s="20" t="n"/>
      <c r="I1892" s="21" t="n"/>
      <c r="J1892" s="22" t="n"/>
      <c r="K1892" s="23" t="n"/>
      <c r="L1892" s="18" t="n"/>
      <c r="M1892" s="24">
        <f>IF(B1892="","",IF(AND(F1892&lt;&gt;"",G1892&lt;&gt;""),MAX(0,ROUND(MOD(G1892-F1892,1)*24-N(H1892)/60,2)),N(I1892)))</f>
        <v/>
      </c>
      <c r="N1892" s="14">
        <f>IF(B1892="","",IF(K1892&lt;&gt;"",K1892,IF(N(IFERROR(INDEX(Projects!$D$6:$D$65,MATCH(D1892,Projects!$B$6:$B$65,0)),""))&gt;0,IFERROR(INDEX(Projects!$D$6:$D$65,MATCH(D1892,Projects!$B$6:$B$65,0)),""),IFERROR(INDEX(Clients!$G$6:$G$45,MATCH(C1892,Clients!$B$6:$B$45,0)),0))))</f>
        <v/>
      </c>
      <c r="O1892" s="14">
        <f>IF(B1892="","",IF(J1892&lt;&gt;"",0,ROUND(M1892*N1892,2)))</f>
        <v/>
      </c>
      <c r="P1892" s="15">
        <f>IF(OR(B1892="",J1892&lt;&gt;""),"",IF(L1892&lt;&gt;"",L1892,IF(COUNTIFS(Invoices!$C$6:$C$305,C1892,Invoices!$E$6:$E$305,"&lt;="&amp;B1892,Invoices!$F$6:$F$305,"&gt;="&amp;B1892)=1,INDEX(Invoices!$B$6:$B$305,SUMIFS(Invoices!$O$6:$O$305,Invoices!$C$6:$C$305,C1892,Invoices!$E$6:$E$305,"&lt;="&amp;B1892,Invoices!$F$6:$F$305,"&gt;="&amp;B1892)),IF(COUNTIFS(Invoices!$C$6:$C$305,C1892,Invoices!$E$6:$E$305,"&lt;="&amp;B1892,Invoices!$F$6:$F$305,"&gt;="&amp;B1892)&gt;1,"Two invoices",""))))</f>
        <v/>
      </c>
      <c r="Q1892" s="15">
        <f>IF(B1892="","",IF(J1892&lt;&gt;"","Not billable",IF(P1892="","To invoice",IF(P1892="Two invoices","Check dates",IF(ISNA(MATCH(P1892,Invoices!$B$6:$B$305,0)),"Check number",IF(INDEX(Invoices!$M$6:$M$305,MATCH(P1892,Invoices!$B$6:$B$305,0))="Paid","Paid",IF(INDEX(Invoices!$M$6:$M$305,MATCH(P1892,Invoices!$B$6:$B$305,0))="Draft","Draft","Invoiced")))))))</f>
        <v/>
      </c>
      <c r="R1892" s="1">
        <f>IF(AND(B1892&lt;&gt;"",P1892&lt;&gt;"",P1892=Invoice!$G$4),B1892+MOD(N(F1892),1)+ROW()/10000000,"")</f>
        <v/>
      </c>
      <c r="S1892">
        <f>IF(R1892="","",IF(D1892="","Other work",D1892)&amp;IF(AND(K1892&lt;&gt;"",E1892&lt;&gt;""),", "&amp;E1892,""))</f>
        <v/>
      </c>
      <c r="T1892">
        <f>IF(R1892="","",IF(COUNTIFS(R$6:R1891,"&gt;0",S$6:S1891,S1892,N$6:N1891,N1892)=0,R1892,""))</f>
        <v/>
      </c>
      <c r="U1892">
        <f>IF(B1892="","",IF(J1892&lt;&gt;"",0,M1892))</f>
        <v/>
      </c>
    </row>
    <row r="1893">
      <c r="A1893" s="1" t="n"/>
      <c r="B1893" s="16" t="n"/>
      <c r="C1893" s="17" t="n"/>
      <c r="D1893" s="18" t="n"/>
      <c r="E1893" s="18" t="n"/>
      <c r="F1893" s="19" t="n"/>
      <c r="G1893" s="19" t="n"/>
      <c r="H1893" s="20" t="n"/>
      <c r="I1893" s="21" t="n"/>
      <c r="J1893" s="22" t="n"/>
      <c r="K1893" s="23" t="n"/>
      <c r="L1893" s="18" t="n"/>
      <c r="M1893" s="24">
        <f>IF(B1893="","",IF(AND(F1893&lt;&gt;"",G1893&lt;&gt;""),MAX(0,ROUND(MOD(G1893-F1893,1)*24-N(H1893)/60,2)),N(I1893)))</f>
        <v/>
      </c>
      <c r="N1893" s="14">
        <f>IF(B1893="","",IF(K1893&lt;&gt;"",K1893,IF(N(IFERROR(INDEX(Projects!$D$6:$D$65,MATCH(D1893,Projects!$B$6:$B$65,0)),""))&gt;0,IFERROR(INDEX(Projects!$D$6:$D$65,MATCH(D1893,Projects!$B$6:$B$65,0)),""),IFERROR(INDEX(Clients!$G$6:$G$45,MATCH(C1893,Clients!$B$6:$B$45,0)),0))))</f>
        <v/>
      </c>
      <c r="O1893" s="14">
        <f>IF(B1893="","",IF(J1893&lt;&gt;"",0,ROUND(M1893*N1893,2)))</f>
        <v/>
      </c>
      <c r="P1893" s="15">
        <f>IF(OR(B1893="",J1893&lt;&gt;""),"",IF(L1893&lt;&gt;"",L1893,IF(COUNTIFS(Invoices!$C$6:$C$305,C1893,Invoices!$E$6:$E$305,"&lt;="&amp;B1893,Invoices!$F$6:$F$305,"&gt;="&amp;B1893)=1,INDEX(Invoices!$B$6:$B$305,SUMIFS(Invoices!$O$6:$O$305,Invoices!$C$6:$C$305,C1893,Invoices!$E$6:$E$305,"&lt;="&amp;B1893,Invoices!$F$6:$F$305,"&gt;="&amp;B1893)),IF(COUNTIFS(Invoices!$C$6:$C$305,C1893,Invoices!$E$6:$E$305,"&lt;="&amp;B1893,Invoices!$F$6:$F$305,"&gt;="&amp;B1893)&gt;1,"Two invoices",""))))</f>
        <v/>
      </c>
      <c r="Q1893" s="15">
        <f>IF(B1893="","",IF(J1893&lt;&gt;"","Not billable",IF(P1893="","To invoice",IF(P1893="Two invoices","Check dates",IF(ISNA(MATCH(P1893,Invoices!$B$6:$B$305,0)),"Check number",IF(INDEX(Invoices!$M$6:$M$305,MATCH(P1893,Invoices!$B$6:$B$305,0))="Paid","Paid",IF(INDEX(Invoices!$M$6:$M$305,MATCH(P1893,Invoices!$B$6:$B$305,0))="Draft","Draft","Invoiced")))))))</f>
        <v/>
      </c>
      <c r="R1893" s="1">
        <f>IF(AND(B1893&lt;&gt;"",P1893&lt;&gt;"",P1893=Invoice!$G$4),B1893+MOD(N(F1893),1)+ROW()/10000000,"")</f>
        <v/>
      </c>
      <c r="S1893">
        <f>IF(R1893="","",IF(D1893="","Other work",D1893)&amp;IF(AND(K1893&lt;&gt;"",E1893&lt;&gt;""),", "&amp;E1893,""))</f>
        <v/>
      </c>
      <c r="T1893">
        <f>IF(R1893="","",IF(COUNTIFS(R$6:R1892,"&gt;0",S$6:S1892,S1893,N$6:N1892,N1893)=0,R1893,""))</f>
        <v/>
      </c>
      <c r="U1893">
        <f>IF(B1893="","",IF(J1893&lt;&gt;"",0,M1893))</f>
        <v/>
      </c>
    </row>
    <row r="1894">
      <c r="A1894" s="1" t="n"/>
      <c r="B1894" s="16" t="n"/>
      <c r="C1894" s="17" t="n"/>
      <c r="D1894" s="18" t="n"/>
      <c r="E1894" s="18" t="n"/>
      <c r="F1894" s="19" t="n"/>
      <c r="G1894" s="19" t="n"/>
      <c r="H1894" s="20" t="n"/>
      <c r="I1894" s="21" t="n"/>
      <c r="J1894" s="22" t="n"/>
      <c r="K1894" s="23" t="n"/>
      <c r="L1894" s="18" t="n"/>
      <c r="M1894" s="24">
        <f>IF(B1894="","",IF(AND(F1894&lt;&gt;"",G1894&lt;&gt;""),MAX(0,ROUND(MOD(G1894-F1894,1)*24-N(H1894)/60,2)),N(I1894)))</f>
        <v/>
      </c>
      <c r="N1894" s="14">
        <f>IF(B1894="","",IF(K1894&lt;&gt;"",K1894,IF(N(IFERROR(INDEX(Projects!$D$6:$D$65,MATCH(D1894,Projects!$B$6:$B$65,0)),""))&gt;0,IFERROR(INDEX(Projects!$D$6:$D$65,MATCH(D1894,Projects!$B$6:$B$65,0)),""),IFERROR(INDEX(Clients!$G$6:$G$45,MATCH(C1894,Clients!$B$6:$B$45,0)),0))))</f>
        <v/>
      </c>
      <c r="O1894" s="14">
        <f>IF(B1894="","",IF(J1894&lt;&gt;"",0,ROUND(M1894*N1894,2)))</f>
        <v/>
      </c>
      <c r="P1894" s="15">
        <f>IF(OR(B1894="",J1894&lt;&gt;""),"",IF(L1894&lt;&gt;"",L1894,IF(COUNTIFS(Invoices!$C$6:$C$305,C1894,Invoices!$E$6:$E$305,"&lt;="&amp;B1894,Invoices!$F$6:$F$305,"&gt;="&amp;B1894)=1,INDEX(Invoices!$B$6:$B$305,SUMIFS(Invoices!$O$6:$O$305,Invoices!$C$6:$C$305,C1894,Invoices!$E$6:$E$305,"&lt;="&amp;B1894,Invoices!$F$6:$F$305,"&gt;="&amp;B1894)),IF(COUNTIFS(Invoices!$C$6:$C$305,C1894,Invoices!$E$6:$E$305,"&lt;="&amp;B1894,Invoices!$F$6:$F$305,"&gt;="&amp;B1894)&gt;1,"Two invoices",""))))</f>
        <v/>
      </c>
      <c r="Q1894" s="15">
        <f>IF(B1894="","",IF(J1894&lt;&gt;"","Not billable",IF(P1894="","To invoice",IF(P1894="Two invoices","Check dates",IF(ISNA(MATCH(P1894,Invoices!$B$6:$B$305,0)),"Check number",IF(INDEX(Invoices!$M$6:$M$305,MATCH(P1894,Invoices!$B$6:$B$305,0))="Paid","Paid",IF(INDEX(Invoices!$M$6:$M$305,MATCH(P1894,Invoices!$B$6:$B$305,0))="Draft","Draft","Invoiced")))))))</f>
        <v/>
      </c>
      <c r="R1894" s="1">
        <f>IF(AND(B1894&lt;&gt;"",P1894&lt;&gt;"",P1894=Invoice!$G$4),B1894+MOD(N(F1894),1)+ROW()/10000000,"")</f>
        <v/>
      </c>
      <c r="S1894">
        <f>IF(R1894="","",IF(D1894="","Other work",D1894)&amp;IF(AND(K1894&lt;&gt;"",E1894&lt;&gt;""),", "&amp;E1894,""))</f>
        <v/>
      </c>
      <c r="T1894">
        <f>IF(R1894="","",IF(COUNTIFS(R$6:R1893,"&gt;0",S$6:S1893,S1894,N$6:N1893,N1894)=0,R1894,""))</f>
        <v/>
      </c>
      <c r="U1894">
        <f>IF(B1894="","",IF(J1894&lt;&gt;"",0,M1894))</f>
        <v/>
      </c>
    </row>
    <row r="1895">
      <c r="A1895" s="1" t="n"/>
      <c r="B1895" s="16" t="n"/>
      <c r="C1895" s="17" t="n"/>
      <c r="D1895" s="18" t="n"/>
      <c r="E1895" s="18" t="n"/>
      <c r="F1895" s="19" t="n"/>
      <c r="G1895" s="19" t="n"/>
      <c r="H1895" s="20" t="n"/>
      <c r="I1895" s="21" t="n"/>
      <c r="J1895" s="22" t="n"/>
      <c r="K1895" s="23" t="n"/>
      <c r="L1895" s="18" t="n"/>
      <c r="M1895" s="24">
        <f>IF(B1895="","",IF(AND(F1895&lt;&gt;"",G1895&lt;&gt;""),MAX(0,ROUND(MOD(G1895-F1895,1)*24-N(H1895)/60,2)),N(I1895)))</f>
        <v/>
      </c>
      <c r="N1895" s="14">
        <f>IF(B1895="","",IF(K1895&lt;&gt;"",K1895,IF(N(IFERROR(INDEX(Projects!$D$6:$D$65,MATCH(D1895,Projects!$B$6:$B$65,0)),""))&gt;0,IFERROR(INDEX(Projects!$D$6:$D$65,MATCH(D1895,Projects!$B$6:$B$65,0)),""),IFERROR(INDEX(Clients!$G$6:$G$45,MATCH(C1895,Clients!$B$6:$B$45,0)),0))))</f>
        <v/>
      </c>
      <c r="O1895" s="14">
        <f>IF(B1895="","",IF(J1895&lt;&gt;"",0,ROUND(M1895*N1895,2)))</f>
        <v/>
      </c>
      <c r="P1895" s="15">
        <f>IF(OR(B1895="",J1895&lt;&gt;""),"",IF(L1895&lt;&gt;"",L1895,IF(COUNTIFS(Invoices!$C$6:$C$305,C1895,Invoices!$E$6:$E$305,"&lt;="&amp;B1895,Invoices!$F$6:$F$305,"&gt;="&amp;B1895)=1,INDEX(Invoices!$B$6:$B$305,SUMIFS(Invoices!$O$6:$O$305,Invoices!$C$6:$C$305,C1895,Invoices!$E$6:$E$305,"&lt;="&amp;B1895,Invoices!$F$6:$F$305,"&gt;="&amp;B1895)),IF(COUNTIFS(Invoices!$C$6:$C$305,C1895,Invoices!$E$6:$E$305,"&lt;="&amp;B1895,Invoices!$F$6:$F$305,"&gt;="&amp;B1895)&gt;1,"Two invoices",""))))</f>
        <v/>
      </c>
      <c r="Q1895" s="15">
        <f>IF(B1895="","",IF(J1895&lt;&gt;"","Not billable",IF(P1895="","To invoice",IF(P1895="Two invoices","Check dates",IF(ISNA(MATCH(P1895,Invoices!$B$6:$B$305,0)),"Check number",IF(INDEX(Invoices!$M$6:$M$305,MATCH(P1895,Invoices!$B$6:$B$305,0))="Paid","Paid",IF(INDEX(Invoices!$M$6:$M$305,MATCH(P1895,Invoices!$B$6:$B$305,0))="Draft","Draft","Invoiced")))))))</f>
        <v/>
      </c>
      <c r="R1895" s="1">
        <f>IF(AND(B1895&lt;&gt;"",P1895&lt;&gt;"",P1895=Invoice!$G$4),B1895+MOD(N(F1895),1)+ROW()/10000000,"")</f>
        <v/>
      </c>
      <c r="S1895">
        <f>IF(R1895="","",IF(D1895="","Other work",D1895)&amp;IF(AND(K1895&lt;&gt;"",E1895&lt;&gt;""),", "&amp;E1895,""))</f>
        <v/>
      </c>
      <c r="T1895">
        <f>IF(R1895="","",IF(COUNTIFS(R$6:R1894,"&gt;0",S$6:S1894,S1895,N$6:N1894,N1895)=0,R1895,""))</f>
        <v/>
      </c>
      <c r="U1895">
        <f>IF(B1895="","",IF(J1895&lt;&gt;"",0,M1895))</f>
        <v/>
      </c>
    </row>
    <row r="1896">
      <c r="A1896" s="1" t="n"/>
      <c r="B1896" s="16" t="n"/>
      <c r="C1896" s="17" t="n"/>
      <c r="D1896" s="18" t="n"/>
      <c r="E1896" s="18" t="n"/>
      <c r="F1896" s="19" t="n"/>
      <c r="G1896" s="19" t="n"/>
      <c r="H1896" s="20" t="n"/>
      <c r="I1896" s="21" t="n"/>
      <c r="J1896" s="22" t="n"/>
      <c r="K1896" s="23" t="n"/>
      <c r="L1896" s="18" t="n"/>
      <c r="M1896" s="24">
        <f>IF(B1896="","",IF(AND(F1896&lt;&gt;"",G1896&lt;&gt;""),MAX(0,ROUND(MOD(G1896-F1896,1)*24-N(H1896)/60,2)),N(I1896)))</f>
        <v/>
      </c>
      <c r="N1896" s="14">
        <f>IF(B1896="","",IF(K1896&lt;&gt;"",K1896,IF(N(IFERROR(INDEX(Projects!$D$6:$D$65,MATCH(D1896,Projects!$B$6:$B$65,0)),""))&gt;0,IFERROR(INDEX(Projects!$D$6:$D$65,MATCH(D1896,Projects!$B$6:$B$65,0)),""),IFERROR(INDEX(Clients!$G$6:$G$45,MATCH(C1896,Clients!$B$6:$B$45,0)),0))))</f>
        <v/>
      </c>
      <c r="O1896" s="14">
        <f>IF(B1896="","",IF(J1896&lt;&gt;"",0,ROUND(M1896*N1896,2)))</f>
        <v/>
      </c>
      <c r="P1896" s="15">
        <f>IF(OR(B1896="",J1896&lt;&gt;""),"",IF(L1896&lt;&gt;"",L1896,IF(COUNTIFS(Invoices!$C$6:$C$305,C1896,Invoices!$E$6:$E$305,"&lt;="&amp;B1896,Invoices!$F$6:$F$305,"&gt;="&amp;B1896)=1,INDEX(Invoices!$B$6:$B$305,SUMIFS(Invoices!$O$6:$O$305,Invoices!$C$6:$C$305,C1896,Invoices!$E$6:$E$305,"&lt;="&amp;B1896,Invoices!$F$6:$F$305,"&gt;="&amp;B1896)),IF(COUNTIFS(Invoices!$C$6:$C$305,C1896,Invoices!$E$6:$E$305,"&lt;="&amp;B1896,Invoices!$F$6:$F$305,"&gt;="&amp;B1896)&gt;1,"Two invoices",""))))</f>
        <v/>
      </c>
      <c r="Q1896" s="15">
        <f>IF(B1896="","",IF(J1896&lt;&gt;"","Not billable",IF(P1896="","To invoice",IF(P1896="Two invoices","Check dates",IF(ISNA(MATCH(P1896,Invoices!$B$6:$B$305,0)),"Check number",IF(INDEX(Invoices!$M$6:$M$305,MATCH(P1896,Invoices!$B$6:$B$305,0))="Paid","Paid",IF(INDEX(Invoices!$M$6:$M$305,MATCH(P1896,Invoices!$B$6:$B$305,0))="Draft","Draft","Invoiced")))))))</f>
        <v/>
      </c>
      <c r="R1896" s="1">
        <f>IF(AND(B1896&lt;&gt;"",P1896&lt;&gt;"",P1896=Invoice!$G$4),B1896+MOD(N(F1896),1)+ROW()/10000000,"")</f>
        <v/>
      </c>
      <c r="S1896">
        <f>IF(R1896="","",IF(D1896="","Other work",D1896)&amp;IF(AND(K1896&lt;&gt;"",E1896&lt;&gt;""),", "&amp;E1896,""))</f>
        <v/>
      </c>
      <c r="T1896">
        <f>IF(R1896="","",IF(COUNTIFS(R$6:R1895,"&gt;0",S$6:S1895,S1896,N$6:N1895,N1896)=0,R1896,""))</f>
        <v/>
      </c>
      <c r="U1896">
        <f>IF(B1896="","",IF(J1896&lt;&gt;"",0,M1896))</f>
        <v/>
      </c>
    </row>
    <row r="1897">
      <c r="A1897" s="1" t="n"/>
      <c r="B1897" s="16" t="n"/>
      <c r="C1897" s="17" t="n"/>
      <c r="D1897" s="18" t="n"/>
      <c r="E1897" s="18" t="n"/>
      <c r="F1897" s="19" t="n"/>
      <c r="G1897" s="19" t="n"/>
      <c r="H1897" s="20" t="n"/>
      <c r="I1897" s="21" t="n"/>
      <c r="J1897" s="22" t="n"/>
      <c r="K1897" s="23" t="n"/>
      <c r="L1897" s="18" t="n"/>
      <c r="M1897" s="24">
        <f>IF(B1897="","",IF(AND(F1897&lt;&gt;"",G1897&lt;&gt;""),MAX(0,ROUND(MOD(G1897-F1897,1)*24-N(H1897)/60,2)),N(I1897)))</f>
        <v/>
      </c>
      <c r="N1897" s="14">
        <f>IF(B1897="","",IF(K1897&lt;&gt;"",K1897,IF(N(IFERROR(INDEX(Projects!$D$6:$D$65,MATCH(D1897,Projects!$B$6:$B$65,0)),""))&gt;0,IFERROR(INDEX(Projects!$D$6:$D$65,MATCH(D1897,Projects!$B$6:$B$65,0)),""),IFERROR(INDEX(Clients!$G$6:$G$45,MATCH(C1897,Clients!$B$6:$B$45,0)),0))))</f>
        <v/>
      </c>
      <c r="O1897" s="14">
        <f>IF(B1897="","",IF(J1897&lt;&gt;"",0,ROUND(M1897*N1897,2)))</f>
        <v/>
      </c>
      <c r="P1897" s="15">
        <f>IF(OR(B1897="",J1897&lt;&gt;""),"",IF(L1897&lt;&gt;"",L1897,IF(COUNTIFS(Invoices!$C$6:$C$305,C1897,Invoices!$E$6:$E$305,"&lt;="&amp;B1897,Invoices!$F$6:$F$305,"&gt;="&amp;B1897)=1,INDEX(Invoices!$B$6:$B$305,SUMIFS(Invoices!$O$6:$O$305,Invoices!$C$6:$C$305,C1897,Invoices!$E$6:$E$305,"&lt;="&amp;B1897,Invoices!$F$6:$F$305,"&gt;="&amp;B1897)),IF(COUNTIFS(Invoices!$C$6:$C$305,C1897,Invoices!$E$6:$E$305,"&lt;="&amp;B1897,Invoices!$F$6:$F$305,"&gt;="&amp;B1897)&gt;1,"Two invoices",""))))</f>
        <v/>
      </c>
      <c r="Q1897" s="15">
        <f>IF(B1897="","",IF(J1897&lt;&gt;"","Not billable",IF(P1897="","To invoice",IF(P1897="Two invoices","Check dates",IF(ISNA(MATCH(P1897,Invoices!$B$6:$B$305,0)),"Check number",IF(INDEX(Invoices!$M$6:$M$305,MATCH(P1897,Invoices!$B$6:$B$305,0))="Paid","Paid",IF(INDEX(Invoices!$M$6:$M$305,MATCH(P1897,Invoices!$B$6:$B$305,0))="Draft","Draft","Invoiced")))))))</f>
        <v/>
      </c>
      <c r="R1897" s="1">
        <f>IF(AND(B1897&lt;&gt;"",P1897&lt;&gt;"",P1897=Invoice!$G$4),B1897+MOD(N(F1897),1)+ROW()/10000000,"")</f>
        <v/>
      </c>
      <c r="S1897">
        <f>IF(R1897="","",IF(D1897="","Other work",D1897)&amp;IF(AND(K1897&lt;&gt;"",E1897&lt;&gt;""),", "&amp;E1897,""))</f>
        <v/>
      </c>
      <c r="T1897">
        <f>IF(R1897="","",IF(COUNTIFS(R$6:R1896,"&gt;0",S$6:S1896,S1897,N$6:N1896,N1897)=0,R1897,""))</f>
        <v/>
      </c>
      <c r="U1897">
        <f>IF(B1897="","",IF(J1897&lt;&gt;"",0,M1897))</f>
        <v/>
      </c>
    </row>
    <row r="1898">
      <c r="A1898" s="1" t="n"/>
      <c r="B1898" s="16" t="n"/>
      <c r="C1898" s="17" t="n"/>
      <c r="D1898" s="18" t="n"/>
      <c r="E1898" s="18" t="n"/>
      <c r="F1898" s="19" t="n"/>
      <c r="G1898" s="19" t="n"/>
      <c r="H1898" s="20" t="n"/>
      <c r="I1898" s="21" t="n"/>
      <c r="J1898" s="22" t="n"/>
      <c r="K1898" s="23" t="n"/>
      <c r="L1898" s="18" t="n"/>
      <c r="M1898" s="24">
        <f>IF(B1898="","",IF(AND(F1898&lt;&gt;"",G1898&lt;&gt;""),MAX(0,ROUND(MOD(G1898-F1898,1)*24-N(H1898)/60,2)),N(I1898)))</f>
        <v/>
      </c>
      <c r="N1898" s="14">
        <f>IF(B1898="","",IF(K1898&lt;&gt;"",K1898,IF(N(IFERROR(INDEX(Projects!$D$6:$D$65,MATCH(D1898,Projects!$B$6:$B$65,0)),""))&gt;0,IFERROR(INDEX(Projects!$D$6:$D$65,MATCH(D1898,Projects!$B$6:$B$65,0)),""),IFERROR(INDEX(Clients!$G$6:$G$45,MATCH(C1898,Clients!$B$6:$B$45,0)),0))))</f>
        <v/>
      </c>
      <c r="O1898" s="14">
        <f>IF(B1898="","",IF(J1898&lt;&gt;"",0,ROUND(M1898*N1898,2)))</f>
        <v/>
      </c>
      <c r="P1898" s="15">
        <f>IF(OR(B1898="",J1898&lt;&gt;""),"",IF(L1898&lt;&gt;"",L1898,IF(COUNTIFS(Invoices!$C$6:$C$305,C1898,Invoices!$E$6:$E$305,"&lt;="&amp;B1898,Invoices!$F$6:$F$305,"&gt;="&amp;B1898)=1,INDEX(Invoices!$B$6:$B$305,SUMIFS(Invoices!$O$6:$O$305,Invoices!$C$6:$C$305,C1898,Invoices!$E$6:$E$305,"&lt;="&amp;B1898,Invoices!$F$6:$F$305,"&gt;="&amp;B1898)),IF(COUNTIFS(Invoices!$C$6:$C$305,C1898,Invoices!$E$6:$E$305,"&lt;="&amp;B1898,Invoices!$F$6:$F$305,"&gt;="&amp;B1898)&gt;1,"Two invoices",""))))</f>
        <v/>
      </c>
      <c r="Q1898" s="15">
        <f>IF(B1898="","",IF(J1898&lt;&gt;"","Not billable",IF(P1898="","To invoice",IF(P1898="Two invoices","Check dates",IF(ISNA(MATCH(P1898,Invoices!$B$6:$B$305,0)),"Check number",IF(INDEX(Invoices!$M$6:$M$305,MATCH(P1898,Invoices!$B$6:$B$305,0))="Paid","Paid",IF(INDEX(Invoices!$M$6:$M$305,MATCH(P1898,Invoices!$B$6:$B$305,0))="Draft","Draft","Invoiced")))))))</f>
        <v/>
      </c>
      <c r="R1898" s="1">
        <f>IF(AND(B1898&lt;&gt;"",P1898&lt;&gt;"",P1898=Invoice!$G$4),B1898+MOD(N(F1898),1)+ROW()/10000000,"")</f>
        <v/>
      </c>
      <c r="S1898">
        <f>IF(R1898="","",IF(D1898="","Other work",D1898)&amp;IF(AND(K1898&lt;&gt;"",E1898&lt;&gt;""),", "&amp;E1898,""))</f>
        <v/>
      </c>
      <c r="T1898">
        <f>IF(R1898="","",IF(COUNTIFS(R$6:R1897,"&gt;0",S$6:S1897,S1898,N$6:N1897,N1898)=0,R1898,""))</f>
        <v/>
      </c>
      <c r="U1898">
        <f>IF(B1898="","",IF(J1898&lt;&gt;"",0,M1898))</f>
        <v/>
      </c>
    </row>
    <row r="1899">
      <c r="A1899" s="1" t="n"/>
      <c r="B1899" s="16" t="n"/>
      <c r="C1899" s="17" t="n"/>
      <c r="D1899" s="18" t="n"/>
      <c r="E1899" s="18" t="n"/>
      <c r="F1899" s="19" t="n"/>
      <c r="G1899" s="19" t="n"/>
      <c r="H1899" s="20" t="n"/>
      <c r="I1899" s="21" t="n"/>
      <c r="J1899" s="22" t="n"/>
      <c r="K1899" s="23" t="n"/>
      <c r="L1899" s="18" t="n"/>
      <c r="M1899" s="24">
        <f>IF(B1899="","",IF(AND(F1899&lt;&gt;"",G1899&lt;&gt;""),MAX(0,ROUND(MOD(G1899-F1899,1)*24-N(H1899)/60,2)),N(I1899)))</f>
        <v/>
      </c>
      <c r="N1899" s="14">
        <f>IF(B1899="","",IF(K1899&lt;&gt;"",K1899,IF(N(IFERROR(INDEX(Projects!$D$6:$D$65,MATCH(D1899,Projects!$B$6:$B$65,0)),""))&gt;0,IFERROR(INDEX(Projects!$D$6:$D$65,MATCH(D1899,Projects!$B$6:$B$65,0)),""),IFERROR(INDEX(Clients!$G$6:$G$45,MATCH(C1899,Clients!$B$6:$B$45,0)),0))))</f>
        <v/>
      </c>
      <c r="O1899" s="14">
        <f>IF(B1899="","",IF(J1899&lt;&gt;"",0,ROUND(M1899*N1899,2)))</f>
        <v/>
      </c>
      <c r="P1899" s="15">
        <f>IF(OR(B1899="",J1899&lt;&gt;""),"",IF(L1899&lt;&gt;"",L1899,IF(COUNTIFS(Invoices!$C$6:$C$305,C1899,Invoices!$E$6:$E$305,"&lt;="&amp;B1899,Invoices!$F$6:$F$305,"&gt;="&amp;B1899)=1,INDEX(Invoices!$B$6:$B$305,SUMIFS(Invoices!$O$6:$O$305,Invoices!$C$6:$C$305,C1899,Invoices!$E$6:$E$305,"&lt;="&amp;B1899,Invoices!$F$6:$F$305,"&gt;="&amp;B1899)),IF(COUNTIFS(Invoices!$C$6:$C$305,C1899,Invoices!$E$6:$E$305,"&lt;="&amp;B1899,Invoices!$F$6:$F$305,"&gt;="&amp;B1899)&gt;1,"Two invoices",""))))</f>
        <v/>
      </c>
      <c r="Q1899" s="15">
        <f>IF(B1899="","",IF(J1899&lt;&gt;"","Not billable",IF(P1899="","To invoice",IF(P1899="Two invoices","Check dates",IF(ISNA(MATCH(P1899,Invoices!$B$6:$B$305,0)),"Check number",IF(INDEX(Invoices!$M$6:$M$305,MATCH(P1899,Invoices!$B$6:$B$305,0))="Paid","Paid",IF(INDEX(Invoices!$M$6:$M$305,MATCH(P1899,Invoices!$B$6:$B$305,0))="Draft","Draft","Invoiced")))))))</f>
        <v/>
      </c>
      <c r="R1899" s="1">
        <f>IF(AND(B1899&lt;&gt;"",P1899&lt;&gt;"",P1899=Invoice!$G$4),B1899+MOD(N(F1899),1)+ROW()/10000000,"")</f>
        <v/>
      </c>
      <c r="S1899">
        <f>IF(R1899="","",IF(D1899="","Other work",D1899)&amp;IF(AND(K1899&lt;&gt;"",E1899&lt;&gt;""),", "&amp;E1899,""))</f>
        <v/>
      </c>
      <c r="T1899">
        <f>IF(R1899="","",IF(COUNTIFS(R$6:R1898,"&gt;0",S$6:S1898,S1899,N$6:N1898,N1899)=0,R1899,""))</f>
        <v/>
      </c>
      <c r="U1899">
        <f>IF(B1899="","",IF(J1899&lt;&gt;"",0,M1899))</f>
        <v/>
      </c>
    </row>
    <row r="1900">
      <c r="A1900" s="1" t="n"/>
      <c r="B1900" s="16" t="n"/>
      <c r="C1900" s="17" t="n"/>
      <c r="D1900" s="18" t="n"/>
      <c r="E1900" s="18" t="n"/>
      <c r="F1900" s="19" t="n"/>
      <c r="G1900" s="19" t="n"/>
      <c r="H1900" s="20" t="n"/>
      <c r="I1900" s="21" t="n"/>
      <c r="J1900" s="22" t="n"/>
      <c r="K1900" s="23" t="n"/>
      <c r="L1900" s="18" t="n"/>
      <c r="M1900" s="24">
        <f>IF(B1900="","",IF(AND(F1900&lt;&gt;"",G1900&lt;&gt;""),MAX(0,ROUND(MOD(G1900-F1900,1)*24-N(H1900)/60,2)),N(I1900)))</f>
        <v/>
      </c>
      <c r="N1900" s="14">
        <f>IF(B1900="","",IF(K1900&lt;&gt;"",K1900,IF(N(IFERROR(INDEX(Projects!$D$6:$D$65,MATCH(D1900,Projects!$B$6:$B$65,0)),""))&gt;0,IFERROR(INDEX(Projects!$D$6:$D$65,MATCH(D1900,Projects!$B$6:$B$65,0)),""),IFERROR(INDEX(Clients!$G$6:$G$45,MATCH(C1900,Clients!$B$6:$B$45,0)),0))))</f>
        <v/>
      </c>
      <c r="O1900" s="14">
        <f>IF(B1900="","",IF(J1900&lt;&gt;"",0,ROUND(M1900*N1900,2)))</f>
        <v/>
      </c>
      <c r="P1900" s="15">
        <f>IF(OR(B1900="",J1900&lt;&gt;""),"",IF(L1900&lt;&gt;"",L1900,IF(COUNTIFS(Invoices!$C$6:$C$305,C1900,Invoices!$E$6:$E$305,"&lt;="&amp;B1900,Invoices!$F$6:$F$305,"&gt;="&amp;B1900)=1,INDEX(Invoices!$B$6:$B$305,SUMIFS(Invoices!$O$6:$O$305,Invoices!$C$6:$C$305,C1900,Invoices!$E$6:$E$305,"&lt;="&amp;B1900,Invoices!$F$6:$F$305,"&gt;="&amp;B1900)),IF(COUNTIFS(Invoices!$C$6:$C$305,C1900,Invoices!$E$6:$E$305,"&lt;="&amp;B1900,Invoices!$F$6:$F$305,"&gt;="&amp;B1900)&gt;1,"Two invoices",""))))</f>
        <v/>
      </c>
      <c r="Q1900" s="15">
        <f>IF(B1900="","",IF(J1900&lt;&gt;"","Not billable",IF(P1900="","To invoice",IF(P1900="Two invoices","Check dates",IF(ISNA(MATCH(P1900,Invoices!$B$6:$B$305,0)),"Check number",IF(INDEX(Invoices!$M$6:$M$305,MATCH(P1900,Invoices!$B$6:$B$305,0))="Paid","Paid",IF(INDEX(Invoices!$M$6:$M$305,MATCH(P1900,Invoices!$B$6:$B$305,0))="Draft","Draft","Invoiced")))))))</f>
        <v/>
      </c>
      <c r="R1900" s="1">
        <f>IF(AND(B1900&lt;&gt;"",P1900&lt;&gt;"",P1900=Invoice!$G$4),B1900+MOD(N(F1900),1)+ROW()/10000000,"")</f>
        <v/>
      </c>
      <c r="S1900">
        <f>IF(R1900="","",IF(D1900="","Other work",D1900)&amp;IF(AND(K1900&lt;&gt;"",E1900&lt;&gt;""),", "&amp;E1900,""))</f>
        <v/>
      </c>
      <c r="T1900">
        <f>IF(R1900="","",IF(COUNTIFS(R$6:R1899,"&gt;0",S$6:S1899,S1900,N$6:N1899,N1900)=0,R1900,""))</f>
        <v/>
      </c>
      <c r="U1900">
        <f>IF(B1900="","",IF(J1900&lt;&gt;"",0,M1900))</f>
        <v/>
      </c>
    </row>
    <row r="1901">
      <c r="A1901" s="1" t="n"/>
      <c r="B1901" s="16" t="n"/>
      <c r="C1901" s="17" t="n"/>
      <c r="D1901" s="18" t="n"/>
      <c r="E1901" s="18" t="n"/>
      <c r="F1901" s="19" t="n"/>
      <c r="G1901" s="19" t="n"/>
      <c r="H1901" s="20" t="n"/>
      <c r="I1901" s="21" t="n"/>
      <c r="J1901" s="22" t="n"/>
      <c r="K1901" s="23" t="n"/>
      <c r="L1901" s="18" t="n"/>
      <c r="M1901" s="24">
        <f>IF(B1901="","",IF(AND(F1901&lt;&gt;"",G1901&lt;&gt;""),MAX(0,ROUND(MOD(G1901-F1901,1)*24-N(H1901)/60,2)),N(I1901)))</f>
        <v/>
      </c>
      <c r="N1901" s="14">
        <f>IF(B1901="","",IF(K1901&lt;&gt;"",K1901,IF(N(IFERROR(INDEX(Projects!$D$6:$D$65,MATCH(D1901,Projects!$B$6:$B$65,0)),""))&gt;0,IFERROR(INDEX(Projects!$D$6:$D$65,MATCH(D1901,Projects!$B$6:$B$65,0)),""),IFERROR(INDEX(Clients!$G$6:$G$45,MATCH(C1901,Clients!$B$6:$B$45,0)),0))))</f>
        <v/>
      </c>
      <c r="O1901" s="14">
        <f>IF(B1901="","",IF(J1901&lt;&gt;"",0,ROUND(M1901*N1901,2)))</f>
        <v/>
      </c>
      <c r="P1901" s="15">
        <f>IF(OR(B1901="",J1901&lt;&gt;""),"",IF(L1901&lt;&gt;"",L1901,IF(COUNTIFS(Invoices!$C$6:$C$305,C1901,Invoices!$E$6:$E$305,"&lt;="&amp;B1901,Invoices!$F$6:$F$305,"&gt;="&amp;B1901)=1,INDEX(Invoices!$B$6:$B$305,SUMIFS(Invoices!$O$6:$O$305,Invoices!$C$6:$C$305,C1901,Invoices!$E$6:$E$305,"&lt;="&amp;B1901,Invoices!$F$6:$F$305,"&gt;="&amp;B1901)),IF(COUNTIFS(Invoices!$C$6:$C$305,C1901,Invoices!$E$6:$E$305,"&lt;="&amp;B1901,Invoices!$F$6:$F$305,"&gt;="&amp;B1901)&gt;1,"Two invoices",""))))</f>
        <v/>
      </c>
      <c r="Q1901" s="15">
        <f>IF(B1901="","",IF(J1901&lt;&gt;"","Not billable",IF(P1901="","To invoice",IF(P1901="Two invoices","Check dates",IF(ISNA(MATCH(P1901,Invoices!$B$6:$B$305,0)),"Check number",IF(INDEX(Invoices!$M$6:$M$305,MATCH(P1901,Invoices!$B$6:$B$305,0))="Paid","Paid",IF(INDEX(Invoices!$M$6:$M$305,MATCH(P1901,Invoices!$B$6:$B$305,0))="Draft","Draft","Invoiced")))))))</f>
        <v/>
      </c>
      <c r="R1901" s="1">
        <f>IF(AND(B1901&lt;&gt;"",P1901&lt;&gt;"",P1901=Invoice!$G$4),B1901+MOD(N(F1901),1)+ROW()/10000000,"")</f>
        <v/>
      </c>
      <c r="S1901">
        <f>IF(R1901="","",IF(D1901="","Other work",D1901)&amp;IF(AND(K1901&lt;&gt;"",E1901&lt;&gt;""),", "&amp;E1901,""))</f>
        <v/>
      </c>
      <c r="T1901">
        <f>IF(R1901="","",IF(COUNTIFS(R$6:R1900,"&gt;0",S$6:S1900,S1901,N$6:N1900,N1901)=0,R1901,""))</f>
        <v/>
      </c>
      <c r="U1901">
        <f>IF(B1901="","",IF(J1901&lt;&gt;"",0,M1901))</f>
        <v/>
      </c>
    </row>
    <row r="1902">
      <c r="A1902" s="1" t="n"/>
      <c r="B1902" s="16" t="n"/>
      <c r="C1902" s="17" t="n"/>
      <c r="D1902" s="18" t="n"/>
      <c r="E1902" s="18" t="n"/>
      <c r="F1902" s="19" t="n"/>
      <c r="G1902" s="19" t="n"/>
      <c r="H1902" s="20" t="n"/>
      <c r="I1902" s="21" t="n"/>
      <c r="J1902" s="22" t="n"/>
      <c r="K1902" s="23" t="n"/>
      <c r="L1902" s="18" t="n"/>
      <c r="M1902" s="24">
        <f>IF(B1902="","",IF(AND(F1902&lt;&gt;"",G1902&lt;&gt;""),MAX(0,ROUND(MOD(G1902-F1902,1)*24-N(H1902)/60,2)),N(I1902)))</f>
        <v/>
      </c>
      <c r="N1902" s="14">
        <f>IF(B1902="","",IF(K1902&lt;&gt;"",K1902,IF(N(IFERROR(INDEX(Projects!$D$6:$D$65,MATCH(D1902,Projects!$B$6:$B$65,0)),""))&gt;0,IFERROR(INDEX(Projects!$D$6:$D$65,MATCH(D1902,Projects!$B$6:$B$65,0)),""),IFERROR(INDEX(Clients!$G$6:$G$45,MATCH(C1902,Clients!$B$6:$B$45,0)),0))))</f>
        <v/>
      </c>
      <c r="O1902" s="14">
        <f>IF(B1902="","",IF(J1902&lt;&gt;"",0,ROUND(M1902*N1902,2)))</f>
        <v/>
      </c>
      <c r="P1902" s="15">
        <f>IF(OR(B1902="",J1902&lt;&gt;""),"",IF(L1902&lt;&gt;"",L1902,IF(COUNTIFS(Invoices!$C$6:$C$305,C1902,Invoices!$E$6:$E$305,"&lt;="&amp;B1902,Invoices!$F$6:$F$305,"&gt;="&amp;B1902)=1,INDEX(Invoices!$B$6:$B$305,SUMIFS(Invoices!$O$6:$O$305,Invoices!$C$6:$C$305,C1902,Invoices!$E$6:$E$305,"&lt;="&amp;B1902,Invoices!$F$6:$F$305,"&gt;="&amp;B1902)),IF(COUNTIFS(Invoices!$C$6:$C$305,C1902,Invoices!$E$6:$E$305,"&lt;="&amp;B1902,Invoices!$F$6:$F$305,"&gt;="&amp;B1902)&gt;1,"Two invoices",""))))</f>
        <v/>
      </c>
      <c r="Q1902" s="15">
        <f>IF(B1902="","",IF(J1902&lt;&gt;"","Not billable",IF(P1902="","To invoice",IF(P1902="Two invoices","Check dates",IF(ISNA(MATCH(P1902,Invoices!$B$6:$B$305,0)),"Check number",IF(INDEX(Invoices!$M$6:$M$305,MATCH(P1902,Invoices!$B$6:$B$305,0))="Paid","Paid",IF(INDEX(Invoices!$M$6:$M$305,MATCH(P1902,Invoices!$B$6:$B$305,0))="Draft","Draft","Invoiced")))))))</f>
        <v/>
      </c>
      <c r="R1902" s="1">
        <f>IF(AND(B1902&lt;&gt;"",P1902&lt;&gt;"",P1902=Invoice!$G$4),B1902+MOD(N(F1902),1)+ROW()/10000000,"")</f>
        <v/>
      </c>
      <c r="S1902">
        <f>IF(R1902="","",IF(D1902="","Other work",D1902)&amp;IF(AND(K1902&lt;&gt;"",E1902&lt;&gt;""),", "&amp;E1902,""))</f>
        <v/>
      </c>
      <c r="T1902">
        <f>IF(R1902="","",IF(COUNTIFS(R$6:R1901,"&gt;0",S$6:S1901,S1902,N$6:N1901,N1902)=0,R1902,""))</f>
        <v/>
      </c>
      <c r="U1902">
        <f>IF(B1902="","",IF(J1902&lt;&gt;"",0,M1902))</f>
        <v/>
      </c>
    </row>
    <row r="1903">
      <c r="A1903" s="1" t="n"/>
      <c r="B1903" s="16" t="n"/>
      <c r="C1903" s="17" t="n"/>
      <c r="D1903" s="18" t="n"/>
      <c r="E1903" s="18" t="n"/>
      <c r="F1903" s="19" t="n"/>
      <c r="G1903" s="19" t="n"/>
      <c r="H1903" s="20" t="n"/>
      <c r="I1903" s="21" t="n"/>
      <c r="J1903" s="22" t="n"/>
      <c r="K1903" s="23" t="n"/>
      <c r="L1903" s="18" t="n"/>
      <c r="M1903" s="24">
        <f>IF(B1903="","",IF(AND(F1903&lt;&gt;"",G1903&lt;&gt;""),MAX(0,ROUND(MOD(G1903-F1903,1)*24-N(H1903)/60,2)),N(I1903)))</f>
        <v/>
      </c>
      <c r="N1903" s="14">
        <f>IF(B1903="","",IF(K1903&lt;&gt;"",K1903,IF(N(IFERROR(INDEX(Projects!$D$6:$D$65,MATCH(D1903,Projects!$B$6:$B$65,0)),""))&gt;0,IFERROR(INDEX(Projects!$D$6:$D$65,MATCH(D1903,Projects!$B$6:$B$65,0)),""),IFERROR(INDEX(Clients!$G$6:$G$45,MATCH(C1903,Clients!$B$6:$B$45,0)),0))))</f>
        <v/>
      </c>
      <c r="O1903" s="14">
        <f>IF(B1903="","",IF(J1903&lt;&gt;"",0,ROUND(M1903*N1903,2)))</f>
        <v/>
      </c>
      <c r="P1903" s="15">
        <f>IF(OR(B1903="",J1903&lt;&gt;""),"",IF(L1903&lt;&gt;"",L1903,IF(COUNTIFS(Invoices!$C$6:$C$305,C1903,Invoices!$E$6:$E$305,"&lt;="&amp;B1903,Invoices!$F$6:$F$305,"&gt;="&amp;B1903)=1,INDEX(Invoices!$B$6:$B$305,SUMIFS(Invoices!$O$6:$O$305,Invoices!$C$6:$C$305,C1903,Invoices!$E$6:$E$305,"&lt;="&amp;B1903,Invoices!$F$6:$F$305,"&gt;="&amp;B1903)),IF(COUNTIFS(Invoices!$C$6:$C$305,C1903,Invoices!$E$6:$E$305,"&lt;="&amp;B1903,Invoices!$F$6:$F$305,"&gt;="&amp;B1903)&gt;1,"Two invoices",""))))</f>
        <v/>
      </c>
      <c r="Q1903" s="15">
        <f>IF(B1903="","",IF(J1903&lt;&gt;"","Not billable",IF(P1903="","To invoice",IF(P1903="Two invoices","Check dates",IF(ISNA(MATCH(P1903,Invoices!$B$6:$B$305,0)),"Check number",IF(INDEX(Invoices!$M$6:$M$305,MATCH(P1903,Invoices!$B$6:$B$305,0))="Paid","Paid",IF(INDEX(Invoices!$M$6:$M$305,MATCH(P1903,Invoices!$B$6:$B$305,0))="Draft","Draft","Invoiced")))))))</f>
        <v/>
      </c>
      <c r="R1903" s="1">
        <f>IF(AND(B1903&lt;&gt;"",P1903&lt;&gt;"",P1903=Invoice!$G$4),B1903+MOD(N(F1903),1)+ROW()/10000000,"")</f>
        <v/>
      </c>
      <c r="S1903">
        <f>IF(R1903="","",IF(D1903="","Other work",D1903)&amp;IF(AND(K1903&lt;&gt;"",E1903&lt;&gt;""),", "&amp;E1903,""))</f>
        <v/>
      </c>
      <c r="T1903">
        <f>IF(R1903="","",IF(COUNTIFS(R$6:R1902,"&gt;0",S$6:S1902,S1903,N$6:N1902,N1903)=0,R1903,""))</f>
        <v/>
      </c>
      <c r="U1903">
        <f>IF(B1903="","",IF(J1903&lt;&gt;"",0,M1903))</f>
        <v/>
      </c>
    </row>
    <row r="1904">
      <c r="A1904" s="1" t="n"/>
      <c r="B1904" s="16" t="n"/>
      <c r="C1904" s="17" t="n"/>
      <c r="D1904" s="18" t="n"/>
      <c r="E1904" s="18" t="n"/>
      <c r="F1904" s="19" t="n"/>
      <c r="G1904" s="19" t="n"/>
      <c r="H1904" s="20" t="n"/>
      <c r="I1904" s="21" t="n"/>
      <c r="J1904" s="22" t="n"/>
      <c r="K1904" s="23" t="n"/>
      <c r="L1904" s="18" t="n"/>
      <c r="M1904" s="24">
        <f>IF(B1904="","",IF(AND(F1904&lt;&gt;"",G1904&lt;&gt;""),MAX(0,ROUND(MOD(G1904-F1904,1)*24-N(H1904)/60,2)),N(I1904)))</f>
        <v/>
      </c>
      <c r="N1904" s="14">
        <f>IF(B1904="","",IF(K1904&lt;&gt;"",K1904,IF(N(IFERROR(INDEX(Projects!$D$6:$D$65,MATCH(D1904,Projects!$B$6:$B$65,0)),""))&gt;0,IFERROR(INDEX(Projects!$D$6:$D$65,MATCH(D1904,Projects!$B$6:$B$65,0)),""),IFERROR(INDEX(Clients!$G$6:$G$45,MATCH(C1904,Clients!$B$6:$B$45,0)),0))))</f>
        <v/>
      </c>
      <c r="O1904" s="14">
        <f>IF(B1904="","",IF(J1904&lt;&gt;"",0,ROUND(M1904*N1904,2)))</f>
        <v/>
      </c>
      <c r="P1904" s="15">
        <f>IF(OR(B1904="",J1904&lt;&gt;""),"",IF(L1904&lt;&gt;"",L1904,IF(COUNTIFS(Invoices!$C$6:$C$305,C1904,Invoices!$E$6:$E$305,"&lt;="&amp;B1904,Invoices!$F$6:$F$305,"&gt;="&amp;B1904)=1,INDEX(Invoices!$B$6:$B$305,SUMIFS(Invoices!$O$6:$O$305,Invoices!$C$6:$C$305,C1904,Invoices!$E$6:$E$305,"&lt;="&amp;B1904,Invoices!$F$6:$F$305,"&gt;="&amp;B1904)),IF(COUNTIFS(Invoices!$C$6:$C$305,C1904,Invoices!$E$6:$E$305,"&lt;="&amp;B1904,Invoices!$F$6:$F$305,"&gt;="&amp;B1904)&gt;1,"Two invoices",""))))</f>
        <v/>
      </c>
      <c r="Q1904" s="15">
        <f>IF(B1904="","",IF(J1904&lt;&gt;"","Not billable",IF(P1904="","To invoice",IF(P1904="Two invoices","Check dates",IF(ISNA(MATCH(P1904,Invoices!$B$6:$B$305,0)),"Check number",IF(INDEX(Invoices!$M$6:$M$305,MATCH(P1904,Invoices!$B$6:$B$305,0))="Paid","Paid",IF(INDEX(Invoices!$M$6:$M$305,MATCH(P1904,Invoices!$B$6:$B$305,0))="Draft","Draft","Invoiced")))))))</f>
        <v/>
      </c>
      <c r="R1904" s="1">
        <f>IF(AND(B1904&lt;&gt;"",P1904&lt;&gt;"",P1904=Invoice!$G$4),B1904+MOD(N(F1904),1)+ROW()/10000000,"")</f>
        <v/>
      </c>
      <c r="S1904">
        <f>IF(R1904="","",IF(D1904="","Other work",D1904)&amp;IF(AND(K1904&lt;&gt;"",E1904&lt;&gt;""),", "&amp;E1904,""))</f>
        <v/>
      </c>
      <c r="T1904">
        <f>IF(R1904="","",IF(COUNTIFS(R$6:R1903,"&gt;0",S$6:S1903,S1904,N$6:N1903,N1904)=0,R1904,""))</f>
        <v/>
      </c>
      <c r="U1904">
        <f>IF(B1904="","",IF(J1904&lt;&gt;"",0,M1904))</f>
        <v/>
      </c>
    </row>
    <row r="1905">
      <c r="A1905" s="1" t="n"/>
      <c r="B1905" s="16" t="n"/>
      <c r="C1905" s="17" t="n"/>
      <c r="D1905" s="18" t="n"/>
      <c r="E1905" s="18" t="n"/>
      <c r="F1905" s="19" t="n"/>
      <c r="G1905" s="19" t="n"/>
      <c r="H1905" s="20" t="n"/>
      <c r="I1905" s="21" t="n"/>
      <c r="J1905" s="22" t="n"/>
      <c r="K1905" s="23" t="n"/>
      <c r="L1905" s="18" t="n"/>
      <c r="M1905" s="24">
        <f>IF(B1905="","",IF(AND(F1905&lt;&gt;"",G1905&lt;&gt;""),MAX(0,ROUND(MOD(G1905-F1905,1)*24-N(H1905)/60,2)),N(I1905)))</f>
        <v/>
      </c>
      <c r="N1905" s="14">
        <f>IF(B1905="","",IF(K1905&lt;&gt;"",K1905,IF(N(IFERROR(INDEX(Projects!$D$6:$D$65,MATCH(D1905,Projects!$B$6:$B$65,0)),""))&gt;0,IFERROR(INDEX(Projects!$D$6:$D$65,MATCH(D1905,Projects!$B$6:$B$65,0)),""),IFERROR(INDEX(Clients!$G$6:$G$45,MATCH(C1905,Clients!$B$6:$B$45,0)),0))))</f>
        <v/>
      </c>
      <c r="O1905" s="14">
        <f>IF(B1905="","",IF(J1905&lt;&gt;"",0,ROUND(M1905*N1905,2)))</f>
        <v/>
      </c>
      <c r="P1905" s="15">
        <f>IF(OR(B1905="",J1905&lt;&gt;""),"",IF(L1905&lt;&gt;"",L1905,IF(COUNTIFS(Invoices!$C$6:$C$305,C1905,Invoices!$E$6:$E$305,"&lt;="&amp;B1905,Invoices!$F$6:$F$305,"&gt;="&amp;B1905)=1,INDEX(Invoices!$B$6:$B$305,SUMIFS(Invoices!$O$6:$O$305,Invoices!$C$6:$C$305,C1905,Invoices!$E$6:$E$305,"&lt;="&amp;B1905,Invoices!$F$6:$F$305,"&gt;="&amp;B1905)),IF(COUNTIFS(Invoices!$C$6:$C$305,C1905,Invoices!$E$6:$E$305,"&lt;="&amp;B1905,Invoices!$F$6:$F$305,"&gt;="&amp;B1905)&gt;1,"Two invoices",""))))</f>
        <v/>
      </c>
      <c r="Q1905" s="15">
        <f>IF(B1905="","",IF(J1905&lt;&gt;"","Not billable",IF(P1905="","To invoice",IF(P1905="Two invoices","Check dates",IF(ISNA(MATCH(P1905,Invoices!$B$6:$B$305,0)),"Check number",IF(INDEX(Invoices!$M$6:$M$305,MATCH(P1905,Invoices!$B$6:$B$305,0))="Paid","Paid",IF(INDEX(Invoices!$M$6:$M$305,MATCH(P1905,Invoices!$B$6:$B$305,0))="Draft","Draft","Invoiced")))))))</f>
        <v/>
      </c>
      <c r="R1905" s="1">
        <f>IF(AND(B1905&lt;&gt;"",P1905&lt;&gt;"",P1905=Invoice!$G$4),B1905+MOD(N(F1905),1)+ROW()/10000000,"")</f>
        <v/>
      </c>
      <c r="S1905">
        <f>IF(R1905="","",IF(D1905="","Other work",D1905)&amp;IF(AND(K1905&lt;&gt;"",E1905&lt;&gt;""),", "&amp;E1905,""))</f>
        <v/>
      </c>
      <c r="T1905">
        <f>IF(R1905="","",IF(COUNTIFS(R$6:R1904,"&gt;0",S$6:S1904,S1905,N$6:N1904,N1905)=0,R1905,""))</f>
        <v/>
      </c>
      <c r="U1905">
        <f>IF(B1905="","",IF(J1905&lt;&gt;"",0,M1905))</f>
        <v/>
      </c>
    </row>
    <row r="1906">
      <c r="A1906" s="1" t="n"/>
      <c r="B1906" s="16" t="n"/>
      <c r="C1906" s="17" t="n"/>
      <c r="D1906" s="18" t="n"/>
      <c r="E1906" s="18" t="n"/>
      <c r="F1906" s="19" t="n"/>
      <c r="G1906" s="19" t="n"/>
      <c r="H1906" s="20" t="n"/>
      <c r="I1906" s="21" t="n"/>
      <c r="J1906" s="22" t="n"/>
      <c r="K1906" s="23" t="n"/>
      <c r="L1906" s="18" t="n"/>
      <c r="M1906" s="24">
        <f>IF(B1906="","",IF(AND(F1906&lt;&gt;"",G1906&lt;&gt;""),MAX(0,ROUND(MOD(G1906-F1906,1)*24-N(H1906)/60,2)),N(I1906)))</f>
        <v/>
      </c>
      <c r="N1906" s="14">
        <f>IF(B1906="","",IF(K1906&lt;&gt;"",K1906,IF(N(IFERROR(INDEX(Projects!$D$6:$D$65,MATCH(D1906,Projects!$B$6:$B$65,0)),""))&gt;0,IFERROR(INDEX(Projects!$D$6:$D$65,MATCH(D1906,Projects!$B$6:$B$65,0)),""),IFERROR(INDEX(Clients!$G$6:$G$45,MATCH(C1906,Clients!$B$6:$B$45,0)),0))))</f>
        <v/>
      </c>
      <c r="O1906" s="14">
        <f>IF(B1906="","",IF(J1906&lt;&gt;"",0,ROUND(M1906*N1906,2)))</f>
        <v/>
      </c>
      <c r="P1906" s="15">
        <f>IF(OR(B1906="",J1906&lt;&gt;""),"",IF(L1906&lt;&gt;"",L1906,IF(COUNTIFS(Invoices!$C$6:$C$305,C1906,Invoices!$E$6:$E$305,"&lt;="&amp;B1906,Invoices!$F$6:$F$305,"&gt;="&amp;B1906)=1,INDEX(Invoices!$B$6:$B$305,SUMIFS(Invoices!$O$6:$O$305,Invoices!$C$6:$C$305,C1906,Invoices!$E$6:$E$305,"&lt;="&amp;B1906,Invoices!$F$6:$F$305,"&gt;="&amp;B1906)),IF(COUNTIFS(Invoices!$C$6:$C$305,C1906,Invoices!$E$6:$E$305,"&lt;="&amp;B1906,Invoices!$F$6:$F$305,"&gt;="&amp;B1906)&gt;1,"Two invoices",""))))</f>
        <v/>
      </c>
      <c r="Q1906" s="15">
        <f>IF(B1906="","",IF(J1906&lt;&gt;"","Not billable",IF(P1906="","To invoice",IF(P1906="Two invoices","Check dates",IF(ISNA(MATCH(P1906,Invoices!$B$6:$B$305,0)),"Check number",IF(INDEX(Invoices!$M$6:$M$305,MATCH(P1906,Invoices!$B$6:$B$305,0))="Paid","Paid",IF(INDEX(Invoices!$M$6:$M$305,MATCH(P1906,Invoices!$B$6:$B$305,0))="Draft","Draft","Invoiced")))))))</f>
        <v/>
      </c>
      <c r="R1906" s="1">
        <f>IF(AND(B1906&lt;&gt;"",P1906&lt;&gt;"",P1906=Invoice!$G$4),B1906+MOD(N(F1906),1)+ROW()/10000000,"")</f>
        <v/>
      </c>
      <c r="S1906">
        <f>IF(R1906="","",IF(D1906="","Other work",D1906)&amp;IF(AND(K1906&lt;&gt;"",E1906&lt;&gt;""),", "&amp;E1906,""))</f>
        <v/>
      </c>
      <c r="T1906">
        <f>IF(R1906="","",IF(COUNTIFS(R$6:R1905,"&gt;0",S$6:S1905,S1906,N$6:N1905,N1906)=0,R1906,""))</f>
        <v/>
      </c>
      <c r="U1906">
        <f>IF(B1906="","",IF(J1906&lt;&gt;"",0,M1906))</f>
        <v/>
      </c>
    </row>
    <row r="1907">
      <c r="A1907" s="1" t="n"/>
      <c r="B1907" s="16" t="n"/>
      <c r="C1907" s="17" t="n"/>
      <c r="D1907" s="18" t="n"/>
      <c r="E1907" s="18" t="n"/>
      <c r="F1907" s="19" t="n"/>
      <c r="G1907" s="19" t="n"/>
      <c r="H1907" s="20" t="n"/>
      <c r="I1907" s="21" t="n"/>
      <c r="J1907" s="22" t="n"/>
      <c r="K1907" s="23" t="n"/>
      <c r="L1907" s="18" t="n"/>
      <c r="M1907" s="24">
        <f>IF(B1907="","",IF(AND(F1907&lt;&gt;"",G1907&lt;&gt;""),MAX(0,ROUND(MOD(G1907-F1907,1)*24-N(H1907)/60,2)),N(I1907)))</f>
        <v/>
      </c>
      <c r="N1907" s="14">
        <f>IF(B1907="","",IF(K1907&lt;&gt;"",K1907,IF(N(IFERROR(INDEX(Projects!$D$6:$D$65,MATCH(D1907,Projects!$B$6:$B$65,0)),""))&gt;0,IFERROR(INDEX(Projects!$D$6:$D$65,MATCH(D1907,Projects!$B$6:$B$65,0)),""),IFERROR(INDEX(Clients!$G$6:$G$45,MATCH(C1907,Clients!$B$6:$B$45,0)),0))))</f>
        <v/>
      </c>
      <c r="O1907" s="14">
        <f>IF(B1907="","",IF(J1907&lt;&gt;"",0,ROUND(M1907*N1907,2)))</f>
        <v/>
      </c>
      <c r="P1907" s="15">
        <f>IF(OR(B1907="",J1907&lt;&gt;""),"",IF(L1907&lt;&gt;"",L1907,IF(COUNTIFS(Invoices!$C$6:$C$305,C1907,Invoices!$E$6:$E$305,"&lt;="&amp;B1907,Invoices!$F$6:$F$305,"&gt;="&amp;B1907)=1,INDEX(Invoices!$B$6:$B$305,SUMIFS(Invoices!$O$6:$O$305,Invoices!$C$6:$C$305,C1907,Invoices!$E$6:$E$305,"&lt;="&amp;B1907,Invoices!$F$6:$F$305,"&gt;="&amp;B1907)),IF(COUNTIFS(Invoices!$C$6:$C$305,C1907,Invoices!$E$6:$E$305,"&lt;="&amp;B1907,Invoices!$F$6:$F$305,"&gt;="&amp;B1907)&gt;1,"Two invoices",""))))</f>
        <v/>
      </c>
      <c r="Q1907" s="15">
        <f>IF(B1907="","",IF(J1907&lt;&gt;"","Not billable",IF(P1907="","To invoice",IF(P1907="Two invoices","Check dates",IF(ISNA(MATCH(P1907,Invoices!$B$6:$B$305,0)),"Check number",IF(INDEX(Invoices!$M$6:$M$305,MATCH(P1907,Invoices!$B$6:$B$305,0))="Paid","Paid",IF(INDEX(Invoices!$M$6:$M$305,MATCH(P1907,Invoices!$B$6:$B$305,0))="Draft","Draft","Invoiced")))))))</f>
        <v/>
      </c>
      <c r="R1907" s="1">
        <f>IF(AND(B1907&lt;&gt;"",P1907&lt;&gt;"",P1907=Invoice!$G$4),B1907+MOD(N(F1907),1)+ROW()/10000000,"")</f>
        <v/>
      </c>
      <c r="S1907">
        <f>IF(R1907="","",IF(D1907="","Other work",D1907)&amp;IF(AND(K1907&lt;&gt;"",E1907&lt;&gt;""),", "&amp;E1907,""))</f>
        <v/>
      </c>
      <c r="T1907">
        <f>IF(R1907="","",IF(COUNTIFS(R$6:R1906,"&gt;0",S$6:S1906,S1907,N$6:N1906,N1907)=0,R1907,""))</f>
        <v/>
      </c>
      <c r="U1907">
        <f>IF(B1907="","",IF(J1907&lt;&gt;"",0,M1907))</f>
        <v/>
      </c>
    </row>
    <row r="1908">
      <c r="A1908" s="1" t="n"/>
      <c r="B1908" s="16" t="n"/>
      <c r="C1908" s="17" t="n"/>
      <c r="D1908" s="18" t="n"/>
      <c r="E1908" s="18" t="n"/>
      <c r="F1908" s="19" t="n"/>
      <c r="G1908" s="19" t="n"/>
      <c r="H1908" s="20" t="n"/>
      <c r="I1908" s="21" t="n"/>
      <c r="J1908" s="22" t="n"/>
      <c r="K1908" s="23" t="n"/>
      <c r="L1908" s="18" t="n"/>
      <c r="M1908" s="24">
        <f>IF(B1908="","",IF(AND(F1908&lt;&gt;"",G1908&lt;&gt;""),MAX(0,ROUND(MOD(G1908-F1908,1)*24-N(H1908)/60,2)),N(I1908)))</f>
        <v/>
      </c>
      <c r="N1908" s="14">
        <f>IF(B1908="","",IF(K1908&lt;&gt;"",K1908,IF(N(IFERROR(INDEX(Projects!$D$6:$D$65,MATCH(D1908,Projects!$B$6:$B$65,0)),""))&gt;0,IFERROR(INDEX(Projects!$D$6:$D$65,MATCH(D1908,Projects!$B$6:$B$65,0)),""),IFERROR(INDEX(Clients!$G$6:$G$45,MATCH(C1908,Clients!$B$6:$B$45,0)),0))))</f>
        <v/>
      </c>
      <c r="O1908" s="14">
        <f>IF(B1908="","",IF(J1908&lt;&gt;"",0,ROUND(M1908*N1908,2)))</f>
        <v/>
      </c>
      <c r="P1908" s="15">
        <f>IF(OR(B1908="",J1908&lt;&gt;""),"",IF(L1908&lt;&gt;"",L1908,IF(COUNTIFS(Invoices!$C$6:$C$305,C1908,Invoices!$E$6:$E$305,"&lt;="&amp;B1908,Invoices!$F$6:$F$305,"&gt;="&amp;B1908)=1,INDEX(Invoices!$B$6:$B$305,SUMIFS(Invoices!$O$6:$O$305,Invoices!$C$6:$C$305,C1908,Invoices!$E$6:$E$305,"&lt;="&amp;B1908,Invoices!$F$6:$F$305,"&gt;="&amp;B1908)),IF(COUNTIFS(Invoices!$C$6:$C$305,C1908,Invoices!$E$6:$E$305,"&lt;="&amp;B1908,Invoices!$F$6:$F$305,"&gt;="&amp;B1908)&gt;1,"Two invoices",""))))</f>
        <v/>
      </c>
      <c r="Q1908" s="15">
        <f>IF(B1908="","",IF(J1908&lt;&gt;"","Not billable",IF(P1908="","To invoice",IF(P1908="Two invoices","Check dates",IF(ISNA(MATCH(P1908,Invoices!$B$6:$B$305,0)),"Check number",IF(INDEX(Invoices!$M$6:$M$305,MATCH(P1908,Invoices!$B$6:$B$305,0))="Paid","Paid",IF(INDEX(Invoices!$M$6:$M$305,MATCH(P1908,Invoices!$B$6:$B$305,0))="Draft","Draft","Invoiced")))))))</f>
        <v/>
      </c>
      <c r="R1908" s="1">
        <f>IF(AND(B1908&lt;&gt;"",P1908&lt;&gt;"",P1908=Invoice!$G$4),B1908+MOD(N(F1908),1)+ROW()/10000000,"")</f>
        <v/>
      </c>
      <c r="S1908">
        <f>IF(R1908="","",IF(D1908="","Other work",D1908)&amp;IF(AND(K1908&lt;&gt;"",E1908&lt;&gt;""),", "&amp;E1908,""))</f>
        <v/>
      </c>
      <c r="T1908">
        <f>IF(R1908="","",IF(COUNTIFS(R$6:R1907,"&gt;0",S$6:S1907,S1908,N$6:N1907,N1908)=0,R1908,""))</f>
        <v/>
      </c>
      <c r="U1908">
        <f>IF(B1908="","",IF(J1908&lt;&gt;"",0,M1908))</f>
        <v/>
      </c>
    </row>
    <row r="1909">
      <c r="A1909" s="1" t="n"/>
      <c r="B1909" s="16" t="n"/>
      <c r="C1909" s="17" t="n"/>
      <c r="D1909" s="18" t="n"/>
      <c r="E1909" s="18" t="n"/>
      <c r="F1909" s="19" t="n"/>
      <c r="G1909" s="19" t="n"/>
      <c r="H1909" s="20" t="n"/>
      <c r="I1909" s="21" t="n"/>
      <c r="J1909" s="22" t="n"/>
      <c r="K1909" s="23" t="n"/>
      <c r="L1909" s="18" t="n"/>
      <c r="M1909" s="24">
        <f>IF(B1909="","",IF(AND(F1909&lt;&gt;"",G1909&lt;&gt;""),MAX(0,ROUND(MOD(G1909-F1909,1)*24-N(H1909)/60,2)),N(I1909)))</f>
        <v/>
      </c>
      <c r="N1909" s="14">
        <f>IF(B1909="","",IF(K1909&lt;&gt;"",K1909,IF(N(IFERROR(INDEX(Projects!$D$6:$D$65,MATCH(D1909,Projects!$B$6:$B$65,0)),""))&gt;0,IFERROR(INDEX(Projects!$D$6:$D$65,MATCH(D1909,Projects!$B$6:$B$65,0)),""),IFERROR(INDEX(Clients!$G$6:$G$45,MATCH(C1909,Clients!$B$6:$B$45,0)),0))))</f>
        <v/>
      </c>
      <c r="O1909" s="14">
        <f>IF(B1909="","",IF(J1909&lt;&gt;"",0,ROUND(M1909*N1909,2)))</f>
        <v/>
      </c>
      <c r="P1909" s="15">
        <f>IF(OR(B1909="",J1909&lt;&gt;""),"",IF(L1909&lt;&gt;"",L1909,IF(COUNTIFS(Invoices!$C$6:$C$305,C1909,Invoices!$E$6:$E$305,"&lt;="&amp;B1909,Invoices!$F$6:$F$305,"&gt;="&amp;B1909)=1,INDEX(Invoices!$B$6:$B$305,SUMIFS(Invoices!$O$6:$O$305,Invoices!$C$6:$C$305,C1909,Invoices!$E$6:$E$305,"&lt;="&amp;B1909,Invoices!$F$6:$F$305,"&gt;="&amp;B1909)),IF(COUNTIFS(Invoices!$C$6:$C$305,C1909,Invoices!$E$6:$E$305,"&lt;="&amp;B1909,Invoices!$F$6:$F$305,"&gt;="&amp;B1909)&gt;1,"Two invoices",""))))</f>
        <v/>
      </c>
      <c r="Q1909" s="15">
        <f>IF(B1909="","",IF(J1909&lt;&gt;"","Not billable",IF(P1909="","To invoice",IF(P1909="Two invoices","Check dates",IF(ISNA(MATCH(P1909,Invoices!$B$6:$B$305,0)),"Check number",IF(INDEX(Invoices!$M$6:$M$305,MATCH(P1909,Invoices!$B$6:$B$305,0))="Paid","Paid",IF(INDEX(Invoices!$M$6:$M$305,MATCH(P1909,Invoices!$B$6:$B$305,0))="Draft","Draft","Invoiced")))))))</f>
        <v/>
      </c>
      <c r="R1909" s="1">
        <f>IF(AND(B1909&lt;&gt;"",P1909&lt;&gt;"",P1909=Invoice!$G$4),B1909+MOD(N(F1909),1)+ROW()/10000000,"")</f>
        <v/>
      </c>
      <c r="S1909">
        <f>IF(R1909="","",IF(D1909="","Other work",D1909)&amp;IF(AND(K1909&lt;&gt;"",E1909&lt;&gt;""),", "&amp;E1909,""))</f>
        <v/>
      </c>
      <c r="T1909">
        <f>IF(R1909="","",IF(COUNTIFS(R$6:R1908,"&gt;0",S$6:S1908,S1909,N$6:N1908,N1909)=0,R1909,""))</f>
        <v/>
      </c>
      <c r="U1909">
        <f>IF(B1909="","",IF(J1909&lt;&gt;"",0,M1909))</f>
        <v/>
      </c>
    </row>
    <row r="1910">
      <c r="A1910" s="1" t="n"/>
      <c r="B1910" s="16" t="n"/>
      <c r="C1910" s="17" t="n"/>
      <c r="D1910" s="18" t="n"/>
      <c r="E1910" s="18" t="n"/>
      <c r="F1910" s="19" t="n"/>
      <c r="G1910" s="19" t="n"/>
      <c r="H1910" s="20" t="n"/>
      <c r="I1910" s="21" t="n"/>
      <c r="J1910" s="22" t="n"/>
      <c r="K1910" s="23" t="n"/>
      <c r="L1910" s="18" t="n"/>
      <c r="M1910" s="24">
        <f>IF(B1910="","",IF(AND(F1910&lt;&gt;"",G1910&lt;&gt;""),MAX(0,ROUND(MOD(G1910-F1910,1)*24-N(H1910)/60,2)),N(I1910)))</f>
        <v/>
      </c>
      <c r="N1910" s="14">
        <f>IF(B1910="","",IF(K1910&lt;&gt;"",K1910,IF(N(IFERROR(INDEX(Projects!$D$6:$D$65,MATCH(D1910,Projects!$B$6:$B$65,0)),""))&gt;0,IFERROR(INDEX(Projects!$D$6:$D$65,MATCH(D1910,Projects!$B$6:$B$65,0)),""),IFERROR(INDEX(Clients!$G$6:$G$45,MATCH(C1910,Clients!$B$6:$B$45,0)),0))))</f>
        <v/>
      </c>
      <c r="O1910" s="14">
        <f>IF(B1910="","",IF(J1910&lt;&gt;"",0,ROUND(M1910*N1910,2)))</f>
        <v/>
      </c>
      <c r="P1910" s="15">
        <f>IF(OR(B1910="",J1910&lt;&gt;""),"",IF(L1910&lt;&gt;"",L1910,IF(COUNTIFS(Invoices!$C$6:$C$305,C1910,Invoices!$E$6:$E$305,"&lt;="&amp;B1910,Invoices!$F$6:$F$305,"&gt;="&amp;B1910)=1,INDEX(Invoices!$B$6:$B$305,SUMIFS(Invoices!$O$6:$O$305,Invoices!$C$6:$C$305,C1910,Invoices!$E$6:$E$305,"&lt;="&amp;B1910,Invoices!$F$6:$F$305,"&gt;="&amp;B1910)),IF(COUNTIFS(Invoices!$C$6:$C$305,C1910,Invoices!$E$6:$E$305,"&lt;="&amp;B1910,Invoices!$F$6:$F$305,"&gt;="&amp;B1910)&gt;1,"Two invoices",""))))</f>
        <v/>
      </c>
      <c r="Q1910" s="15">
        <f>IF(B1910="","",IF(J1910&lt;&gt;"","Not billable",IF(P1910="","To invoice",IF(P1910="Two invoices","Check dates",IF(ISNA(MATCH(P1910,Invoices!$B$6:$B$305,0)),"Check number",IF(INDEX(Invoices!$M$6:$M$305,MATCH(P1910,Invoices!$B$6:$B$305,0))="Paid","Paid",IF(INDEX(Invoices!$M$6:$M$305,MATCH(P1910,Invoices!$B$6:$B$305,0))="Draft","Draft","Invoiced")))))))</f>
        <v/>
      </c>
      <c r="R1910" s="1">
        <f>IF(AND(B1910&lt;&gt;"",P1910&lt;&gt;"",P1910=Invoice!$G$4),B1910+MOD(N(F1910),1)+ROW()/10000000,"")</f>
        <v/>
      </c>
      <c r="S1910">
        <f>IF(R1910="","",IF(D1910="","Other work",D1910)&amp;IF(AND(K1910&lt;&gt;"",E1910&lt;&gt;""),", "&amp;E1910,""))</f>
        <v/>
      </c>
      <c r="T1910">
        <f>IF(R1910="","",IF(COUNTIFS(R$6:R1909,"&gt;0",S$6:S1909,S1910,N$6:N1909,N1910)=0,R1910,""))</f>
        <v/>
      </c>
      <c r="U1910">
        <f>IF(B1910="","",IF(J1910&lt;&gt;"",0,M1910))</f>
        <v/>
      </c>
    </row>
    <row r="1911">
      <c r="A1911" s="1" t="n"/>
      <c r="B1911" s="16" t="n"/>
      <c r="C1911" s="17" t="n"/>
      <c r="D1911" s="18" t="n"/>
      <c r="E1911" s="18" t="n"/>
      <c r="F1911" s="19" t="n"/>
      <c r="G1911" s="19" t="n"/>
      <c r="H1911" s="20" t="n"/>
      <c r="I1911" s="21" t="n"/>
      <c r="J1911" s="22" t="n"/>
      <c r="K1911" s="23" t="n"/>
      <c r="L1911" s="18" t="n"/>
      <c r="M1911" s="24">
        <f>IF(B1911="","",IF(AND(F1911&lt;&gt;"",G1911&lt;&gt;""),MAX(0,ROUND(MOD(G1911-F1911,1)*24-N(H1911)/60,2)),N(I1911)))</f>
        <v/>
      </c>
      <c r="N1911" s="14">
        <f>IF(B1911="","",IF(K1911&lt;&gt;"",K1911,IF(N(IFERROR(INDEX(Projects!$D$6:$D$65,MATCH(D1911,Projects!$B$6:$B$65,0)),""))&gt;0,IFERROR(INDEX(Projects!$D$6:$D$65,MATCH(D1911,Projects!$B$6:$B$65,0)),""),IFERROR(INDEX(Clients!$G$6:$G$45,MATCH(C1911,Clients!$B$6:$B$45,0)),0))))</f>
        <v/>
      </c>
      <c r="O1911" s="14">
        <f>IF(B1911="","",IF(J1911&lt;&gt;"",0,ROUND(M1911*N1911,2)))</f>
        <v/>
      </c>
      <c r="P1911" s="15">
        <f>IF(OR(B1911="",J1911&lt;&gt;""),"",IF(L1911&lt;&gt;"",L1911,IF(COUNTIFS(Invoices!$C$6:$C$305,C1911,Invoices!$E$6:$E$305,"&lt;="&amp;B1911,Invoices!$F$6:$F$305,"&gt;="&amp;B1911)=1,INDEX(Invoices!$B$6:$B$305,SUMIFS(Invoices!$O$6:$O$305,Invoices!$C$6:$C$305,C1911,Invoices!$E$6:$E$305,"&lt;="&amp;B1911,Invoices!$F$6:$F$305,"&gt;="&amp;B1911)),IF(COUNTIFS(Invoices!$C$6:$C$305,C1911,Invoices!$E$6:$E$305,"&lt;="&amp;B1911,Invoices!$F$6:$F$305,"&gt;="&amp;B1911)&gt;1,"Two invoices",""))))</f>
        <v/>
      </c>
      <c r="Q1911" s="15">
        <f>IF(B1911="","",IF(J1911&lt;&gt;"","Not billable",IF(P1911="","To invoice",IF(P1911="Two invoices","Check dates",IF(ISNA(MATCH(P1911,Invoices!$B$6:$B$305,0)),"Check number",IF(INDEX(Invoices!$M$6:$M$305,MATCH(P1911,Invoices!$B$6:$B$305,0))="Paid","Paid",IF(INDEX(Invoices!$M$6:$M$305,MATCH(P1911,Invoices!$B$6:$B$305,0))="Draft","Draft","Invoiced")))))))</f>
        <v/>
      </c>
      <c r="R1911" s="1">
        <f>IF(AND(B1911&lt;&gt;"",P1911&lt;&gt;"",P1911=Invoice!$G$4),B1911+MOD(N(F1911),1)+ROW()/10000000,"")</f>
        <v/>
      </c>
      <c r="S1911">
        <f>IF(R1911="","",IF(D1911="","Other work",D1911)&amp;IF(AND(K1911&lt;&gt;"",E1911&lt;&gt;""),", "&amp;E1911,""))</f>
        <v/>
      </c>
      <c r="T1911">
        <f>IF(R1911="","",IF(COUNTIFS(R$6:R1910,"&gt;0",S$6:S1910,S1911,N$6:N1910,N1911)=0,R1911,""))</f>
        <v/>
      </c>
      <c r="U1911">
        <f>IF(B1911="","",IF(J1911&lt;&gt;"",0,M1911))</f>
        <v/>
      </c>
    </row>
    <row r="1912">
      <c r="A1912" s="1" t="n"/>
      <c r="B1912" s="16" t="n"/>
      <c r="C1912" s="17" t="n"/>
      <c r="D1912" s="18" t="n"/>
      <c r="E1912" s="18" t="n"/>
      <c r="F1912" s="19" t="n"/>
      <c r="G1912" s="19" t="n"/>
      <c r="H1912" s="20" t="n"/>
      <c r="I1912" s="21" t="n"/>
      <c r="J1912" s="22" t="n"/>
      <c r="K1912" s="23" t="n"/>
      <c r="L1912" s="18" t="n"/>
      <c r="M1912" s="24">
        <f>IF(B1912="","",IF(AND(F1912&lt;&gt;"",G1912&lt;&gt;""),MAX(0,ROUND(MOD(G1912-F1912,1)*24-N(H1912)/60,2)),N(I1912)))</f>
        <v/>
      </c>
      <c r="N1912" s="14">
        <f>IF(B1912="","",IF(K1912&lt;&gt;"",K1912,IF(N(IFERROR(INDEX(Projects!$D$6:$D$65,MATCH(D1912,Projects!$B$6:$B$65,0)),""))&gt;0,IFERROR(INDEX(Projects!$D$6:$D$65,MATCH(D1912,Projects!$B$6:$B$65,0)),""),IFERROR(INDEX(Clients!$G$6:$G$45,MATCH(C1912,Clients!$B$6:$B$45,0)),0))))</f>
        <v/>
      </c>
      <c r="O1912" s="14">
        <f>IF(B1912="","",IF(J1912&lt;&gt;"",0,ROUND(M1912*N1912,2)))</f>
        <v/>
      </c>
      <c r="P1912" s="15">
        <f>IF(OR(B1912="",J1912&lt;&gt;""),"",IF(L1912&lt;&gt;"",L1912,IF(COUNTIFS(Invoices!$C$6:$C$305,C1912,Invoices!$E$6:$E$305,"&lt;="&amp;B1912,Invoices!$F$6:$F$305,"&gt;="&amp;B1912)=1,INDEX(Invoices!$B$6:$B$305,SUMIFS(Invoices!$O$6:$O$305,Invoices!$C$6:$C$305,C1912,Invoices!$E$6:$E$305,"&lt;="&amp;B1912,Invoices!$F$6:$F$305,"&gt;="&amp;B1912)),IF(COUNTIFS(Invoices!$C$6:$C$305,C1912,Invoices!$E$6:$E$305,"&lt;="&amp;B1912,Invoices!$F$6:$F$305,"&gt;="&amp;B1912)&gt;1,"Two invoices",""))))</f>
        <v/>
      </c>
      <c r="Q1912" s="15">
        <f>IF(B1912="","",IF(J1912&lt;&gt;"","Not billable",IF(P1912="","To invoice",IF(P1912="Two invoices","Check dates",IF(ISNA(MATCH(P1912,Invoices!$B$6:$B$305,0)),"Check number",IF(INDEX(Invoices!$M$6:$M$305,MATCH(P1912,Invoices!$B$6:$B$305,0))="Paid","Paid",IF(INDEX(Invoices!$M$6:$M$305,MATCH(P1912,Invoices!$B$6:$B$305,0))="Draft","Draft","Invoiced")))))))</f>
        <v/>
      </c>
      <c r="R1912" s="1">
        <f>IF(AND(B1912&lt;&gt;"",P1912&lt;&gt;"",P1912=Invoice!$G$4),B1912+MOD(N(F1912),1)+ROW()/10000000,"")</f>
        <v/>
      </c>
      <c r="S1912">
        <f>IF(R1912="","",IF(D1912="","Other work",D1912)&amp;IF(AND(K1912&lt;&gt;"",E1912&lt;&gt;""),", "&amp;E1912,""))</f>
        <v/>
      </c>
      <c r="T1912">
        <f>IF(R1912="","",IF(COUNTIFS(R$6:R1911,"&gt;0",S$6:S1911,S1912,N$6:N1911,N1912)=0,R1912,""))</f>
        <v/>
      </c>
      <c r="U1912">
        <f>IF(B1912="","",IF(J1912&lt;&gt;"",0,M1912))</f>
        <v/>
      </c>
    </row>
    <row r="1913">
      <c r="A1913" s="1" t="n"/>
      <c r="B1913" s="16" t="n"/>
      <c r="C1913" s="17" t="n"/>
      <c r="D1913" s="18" t="n"/>
      <c r="E1913" s="18" t="n"/>
      <c r="F1913" s="19" t="n"/>
      <c r="G1913" s="19" t="n"/>
      <c r="H1913" s="20" t="n"/>
      <c r="I1913" s="21" t="n"/>
      <c r="J1913" s="22" t="n"/>
      <c r="K1913" s="23" t="n"/>
      <c r="L1913" s="18" t="n"/>
      <c r="M1913" s="24">
        <f>IF(B1913="","",IF(AND(F1913&lt;&gt;"",G1913&lt;&gt;""),MAX(0,ROUND(MOD(G1913-F1913,1)*24-N(H1913)/60,2)),N(I1913)))</f>
        <v/>
      </c>
      <c r="N1913" s="14">
        <f>IF(B1913="","",IF(K1913&lt;&gt;"",K1913,IF(N(IFERROR(INDEX(Projects!$D$6:$D$65,MATCH(D1913,Projects!$B$6:$B$65,0)),""))&gt;0,IFERROR(INDEX(Projects!$D$6:$D$65,MATCH(D1913,Projects!$B$6:$B$65,0)),""),IFERROR(INDEX(Clients!$G$6:$G$45,MATCH(C1913,Clients!$B$6:$B$45,0)),0))))</f>
        <v/>
      </c>
      <c r="O1913" s="14">
        <f>IF(B1913="","",IF(J1913&lt;&gt;"",0,ROUND(M1913*N1913,2)))</f>
        <v/>
      </c>
      <c r="P1913" s="15">
        <f>IF(OR(B1913="",J1913&lt;&gt;""),"",IF(L1913&lt;&gt;"",L1913,IF(COUNTIFS(Invoices!$C$6:$C$305,C1913,Invoices!$E$6:$E$305,"&lt;="&amp;B1913,Invoices!$F$6:$F$305,"&gt;="&amp;B1913)=1,INDEX(Invoices!$B$6:$B$305,SUMIFS(Invoices!$O$6:$O$305,Invoices!$C$6:$C$305,C1913,Invoices!$E$6:$E$305,"&lt;="&amp;B1913,Invoices!$F$6:$F$305,"&gt;="&amp;B1913)),IF(COUNTIFS(Invoices!$C$6:$C$305,C1913,Invoices!$E$6:$E$305,"&lt;="&amp;B1913,Invoices!$F$6:$F$305,"&gt;="&amp;B1913)&gt;1,"Two invoices",""))))</f>
        <v/>
      </c>
      <c r="Q1913" s="15">
        <f>IF(B1913="","",IF(J1913&lt;&gt;"","Not billable",IF(P1913="","To invoice",IF(P1913="Two invoices","Check dates",IF(ISNA(MATCH(P1913,Invoices!$B$6:$B$305,0)),"Check number",IF(INDEX(Invoices!$M$6:$M$305,MATCH(P1913,Invoices!$B$6:$B$305,0))="Paid","Paid",IF(INDEX(Invoices!$M$6:$M$305,MATCH(P1913,Invoices!$B$6:$B$305,0))="Draft","Draft","Invoiced")))))))</f>
        <v/>
      </c>
      <c r="R1913" s="1">
        <f>IF(AND(B1913&lt;&gt;"",P1913&lt;&gt;"",P1913=Invoice!$G$4),B1913+MOD(N(F1913),1)+ROW()/10000000,"")</f>
        <v/>
      </c>
      <c r="S1913">
        <f>IF(R1913="","",IF(D1913="","Other work",D1913)&amp;IF(AND(K1913&lt;&gt;"",E1913&lt;&gt;""),", "&amp;E1913,""))</f>
        <v/>
      </c>
      <c r="T1913">
        <f>IF(R1913="","",IF(COUNTIFS(R$6:R1912,"&gt;0",S$6:S1912,S1913,N$6:N1912,N1913)=0,R1913,""))</f>
        <v/>
      </c>
      <c r="U1913">
        <f>IF(B1913="","",IF(J1913&lt;&gt;"",0,M1913))</f>
        <v/>
      </c>
    </row>
    <row r="1914">
      <c r="A1914" s="1" t="n"/>
      <c r="B1914" s="16" t="n"/>
      <c r="C1914" s="17" t="n"/>
      <c r="D1914" s="18" t="n"/>
      <c r="E1914" s="18" t="n"/>
      <c r="F1914" s="19" t="n"/>
      <c r="G1914" s="19" t="n"/>
      <c r="H1914" s="20" t="n"/>
      <c r="I1914" s="21" t="n"/>
      <c r="J1914" s="22" t="n"/>
      <c r="K1914" s="23" t="n"/>
      <c r="L1914" s="18" t="n"/>
      <c r="M1914" s="24">
        <f>IF(B1914="","",IF(AND(F1914&lt;&gt;"",G1914&lt;&gt;""),MAX(0,ROUND(MOD(G1914-F1914,1)*24-N(H1914)/60,2)),N(I1914)))</f>
        <v/>
      </c>
      <c r="N1914" s="14">
        <f>IF(B1914="","",IF(K1914&lt;&gt;"",K1914,IF(N(IFERROR(INDEX(Projects!$D$6:$D$65,MATCH(D1914,Projects!$B$6:$B$65,0)),""))&gt;0,IFERROR(INDEX(Projects!$D$6:$D$65,MATCH(D1914,Projects!$B$6:$B$65,0)),""),IFERROR(INDEX(Clients!$G$6:$G$45,MATCH(C1914,Clients!$B$6:$B$45,0)),0))))</f>
        <v/>
      </c>
      <c r="O1914" s="14">
        <f>IF(B1914="","",IF(J1914&lt;&gt;"",0,ROUND(M1914*N1914,2)))</f>
        <v/>
      </c>
      <c r="P1914" s="15">
        <f>IF(OR(B1914="",J1914&lt;&gt;""),"",IF(L1914&lt;&gt;"",L1914,IF(COUNTIFS(Invoices!$C$6:$C$305,C1914,Invoices!$E$6:$E$305,"&lt;="&amp;B1914,Invoices!$F$6:$F$305,"&gt;="&amp;B1914)=1,INDEX(Invoices!$B$6:$B$305,SUMIFS(Invoices!$O$6:$O$305,Invoices!$C$6:$C$305,C1914,Invoices!$E$6:$E$305,"&lt;="&amp;B1914,Invoices!$F$6:$F$305,"&gt;="&amp;B1914)),IF(COUNTIFS(Invoices!$C$6:$C$305,C1914,Invoices!$E$6:$E$305,"&lt;="&amp;B1914,Invoices!$F$6:$F$305,"&gt;="&amp;B1914)&gt;1,"Two invoices",""))))</f>
        <v/>
      </c>
      <c r="Q1914" s="15">
        <f>IF(B1914="","",IF(J1914&lt;&gt;"","Not billable",IF(P1914="","To invoice",IF(P1914="Two invoices","Check dates",IF(ISNA(MATCH(P1914,Invoices!$B$6:$B$305,0)),"Check number",IF(INDEX(Invoices!$M$6:$M$305,MATCH(P1914,Invoices!$B$6:$B$305,0))="Paid","Paid",IF(INDEX(Invoices!$M$6:$M$305,MATCH(P1914,Invoices!$B$6:$B$305,0))="Draft","Draft","Invoiced")))))))</f>
        <v/>
      </c>
      <c r="R1914" s="1">
        <f>IF(AND(B1914&lt;&gt;"",P1914&lt;&gt;"",P1914=Invoice!$G$4),B1914+MOD(N(F1914),1)+ROW()/10000000,"")</f>
        <v/>
      </c>
      <c r="S1914">
        <f>IF(R1914="","",IF(D1914="","Other work",D1914)&amp;IF(AND(K1914&lt;&gt;"",E1914&lt;&gt;""),", "&amp;E1914,""))</f>
        <v/>
      </c>
      <c r="T1914">
        <f>IF(R1914="","",IF(COUNTIFS(R$6:R1913,"&gt;0",S$6:S1913,S1914,N$6:N1913,N1914)=0,R1914,""))</f>
        <v/>
      </c>
      <c r="U1914">
        <f>IF(B1914="","",IF(J1914&lt;&gt;"",0,M1914))</f>
        <v/>
      </c>
    </row>
    <row r="1915">
      <c r="A1915" s="1" t="n"/>
      <c r="B1915" s="16" t="n"/>
      <c r="C1915" s="17" t="n"/>
      <c r="D1915" s="18" t="n"/>
      <c r="E1915" s="18" t="n"/>
      <c r="F1915" s="19" t="n"/>
      <c r="G1915" s="19" t="n"/>
      <c r="H1915" s="20" t="n"/>
      <c r="I1915" s="21" t="n"/>
      <c r="J1915" s="22" t="n"/>
      <c r="K1915" s="23" t="n"/>
      <c r="L1915" s="18" t="n"/>
      <c r="M1915" s="24">
        <f>IF(B1915="","",IF(AND(F1915&lt;&gt;"",G1915&lt;&gt;""),MAX(0,ROUND(MOD(G1915-F1915,1)*24-N(H1915)/60,2)),N(I1915)))</f>
        <v/>
      </c>
      <c r="N1915" s="14">
        <f>IF(B1915="","",IF(K1915&lt;&gt;"",K1915,IF(N(IFERROR(INDEX(Projects!$D$6:$D$65,MATCH(D1915,Projects!$B$6:$B$65,0)),""))&gt;0,IFERROR(INDEX(Projects!$D$6:$D$65,MATCH(D1915,Projects!$B$6:$B$65,0)),""),IFERROR(INDEX(Clients!$G$6:$G$45,MATCH(C1915,Clients!$B$6:$B$45,0)),0))))</f>
        <v/>
      </c>
      <c r="O1915" s="14">
        <f>IF(B1915="","",IF(J1915&lt;&gt;"",0,ROUND(M1915*N1915,2)))</f>
        <v/>
      </c>
      <c r="P1915" s="15">
        <f>IF(OR(B1915="",J1915&lt;&gt;""),"",IF(L1915&lt;&gt;"",L1915,IF(COUNTIFS(Invoices!$C$6:$C$305,C1915,Invoices!$E$6:$E$305,"&lt;="&amp;B1915,Invoices!$F$6:$F$305,"&gt;="&amp;B1915)=1,INDEX(Invoices!$B$6:$B$305,SUMIFS(Invoices!$O$6:$O$305,Invoices!$C$6:$C$305,C1915,Invoices!$E$6:$E$305,"&lt;="&amp;B1915,Invoices!$F$6:$F$305,"&gt;="&amp;B1915)),IF(COUNTIFS(Invoices!$C$6:$C$305,C1915,Invoices!$E$6:$E$305,"&lt;="&amp;B1915,Invoices!$F$6:$F$305,"&gt;="&amp;B1915)&gt;1,"Two invoices",""))))</f>
        <v/>
      </c>
      <c r="Q1915" s="15">
        <f>IF(B1915="","",IF(J1915&lt;&gt;"","Not billable",IF(P1915="","To invoice",IF(P1915="Two invoices","Check dates",IF(ISNA(MATCH(P1915,Invoices!$B$6:$B$305,0)),"Check number",IF(INDEX(Invoices!$M$6:$M$305,MATCH(P1915,Invoices!$B$6:$B$305,0))="Paid","Paid",IF(INDEX(Invoices!$M$6:$M$305,MATCH(P1915,Invoices!$B$6:$B$305,0))="Draft","Draft","Invoiced")))))))</f>
        <v/>
      </c>
      <c r="R1915" s="1">
        <f>IF(AND(B1915&lt;&gt;"",P1915&lt;&gt;"",P1915=Invoice!$G$4),B1915+MOD(N(F1915),1)+ROW()/10000000,"")</f>
        <v/>
      </c>
      <c r="S1915">
        <f>IF(R1915="","",IF(D1915="","Other work",D1915)&amp;IF(AND(K1915&lt;&gt;"",E1915&lt;&gt;""),", "&amp;E1915,""))</f>
        <v/>
      </c>
      <c r="T1915">
        <f>IF(R1915="","",IF(COUNTIFS(R$6:R1914,"&gt;0",S$6:S1914,S1915,N$6:N1914,N1915)=0,R1915,""))</f>
        <v/>
      </c>
      <c r="U1915">
        <f>IF(B1915="","",IF(J1915&lt;&gt;"",0,M1915))</f>
        <v/>
      </c>
    </row>
    <row r="1916">
      <c r="A1916" s="1" t="n"/>
      <c r="B1916" s="16" t="n"/>
      <c r="C1916" s="17" t="n"/>
      <c r="D1916" s="18" t="n"/>
      <c r="E1916" s="18" t="n"/>
      <c r="F1916" s="19" t="n"/>
      <c r="G1916" s="19" t="n"/>
      <c r="H1916" s="20" t="n"/>
      <c r="I1916" s="21" t="n"/>
      <c r="J1916" s="22" t="n"/>
      <c r="K1916" s="23" t="n"/>
      <c r="L1916" s="18" t="n"/>
      <c r="M1916" s="24">
        <f>IF(B1916="","",IF(AND(F1916&lt;&gt;"",G1916&lt;&gt;""),MAX(0,ROUND(MOD(G1916-F1916,1)*24-N(H1916)/60,2)),N(I1916)))</f>
        <v/>
      </c>
      <c r="N1916" s="14">
        <f>IF(B1916="","",IF(K1916&lt;&gt;"",K1916,IF(N(IFERROR(INDEX(Projects!$D$6:$D$65,MATCH(D1916,Projects!$B$6:$B$65,0)),""))&gt;0,IFERROR(INDEX(Projects!$D$6:$D$65,MATCH(D1916,Projects!$B$6:$B$65,0)),""),IFERROR(INDEX(Clients!$G$6:$G$45,MATCH(C1916,Clients!$B$6:$B$45,0)),0))))</f>
        <v/>
      </c>
      <c r="O1916" s="14">
        <f>IF(B1916="","",IF(J1916&lt;&gt;"",0,ROUND(M1916*N1916,2)))</f>
        <v/>
      </c>
      <c r="P1916" s="15">
        <f>IF(OR(B1916="",J1916&lt;&gt;""),"",IF(L1916&lt;&gt;"",L1916,IF(COUNTIFS(Invoices!$C$6:$C$305,C1916,Invoices!$E$6:$E$305,"&lt;="&amp;B1916,Invoices!$F$6:$F$305,"&gt;="&amp;B1916)=1,INDEX(Invoices!$B$6:$B$305,SUMIFS(Invoices!$O$6:$O$305,Invoices!$C$6:$C$305,C1916,Invoices!$E$6:$E$305,"&lt;="&amp;B1916,Invoices!$F$6:$F$305,"&gt;="&amp;B1916)),IF(COUNTIFS(Invoices!$C$6:$C$305,C1916,Invoices!$E$6:$E$305,"&lt;="&amp;B1916,Invoices!$F$6:$F$305,"&gt;="&amp;B1916)&gt;1,"Two invoices",""))))</f>
        <v/>
      </c>
      <c r="Q1916" s="15">
        <f>IF(B1916="","",IF(J1916&lt;&gt;"","Not billable",IF(P1916="","To invoice",IF(P1916="Two invoices","Check dates",IF(ISNA(MATCH(P1916,Invoices!$B$6:$B$305,0)),"Check number",IF(INDEX(Invoices!$M$6:$M$305,MATCH(P1916,Invoices!$B$6:$B$305,0))="Paid","Paid",IF(INDEX(Invoices!$M$6:$M$305,MATCH(P1916,Invoices!$B$6:$B$305,0))="Draft","Draft","Invoiced")))))))</f>
        <v/>
      </c>
      <c r="R1916" s="1">
        <f>IF(AND(B1916&lt;&gt;"",P1916&lt;&gt;"",P1916=Invoice!$G$4),B1916+MOD(N(F1916),1)+ROW()/10000000,"")</f>
        <v/>
      </c>
      <c r="S1916">
        <f>IF(R1916="","",IF(D1916="","Other work",D1916)&amp;IF(AND(K1916&lt;&gt;"",E1916&lt;&gt;""),", "&amp;E1916,""))</f>
        <v/>
      </c>
      <c r="T1916">
        <f>IF(R1916="","",IF(COUNTIFS(R$6:R1915,"&gt;0",S$6:S1915,S1916,N$6:N1915,N1916)=0,R1916,""))</f>
        <v/>
      </c>
      <c r="U1916">
        <f>IF(B1916="","",IF(J1916&lt;&gt;"",0,M1916))</f>
        <v/>
      </c>
    </row>
    <row r="1917">
      <c r="A1917" s="1" t="n"/>
      <c r="B1917" s="16" t="n"/>
      <c r="C1917" s="17" t="n"/>
      <c r="D1917" s="18" t="n"/>
      <c r="E1917" s="18" t="n"/>
      <c r="F1917" s="19" t="n"/>
      <c r="G1917" s="19" t="n"/>
      <c r="H1917" s="20" t="n"/>
      <c r="I1917" s="21" t="n"/>
      <c r="J1917" s="22" t="n"/>
      <c r="K1917" s="23" t="n"/>
      <c r="L1917" s="18" t="n"/>
      <c r="M1917" s="24">
        <f>IF(B1917="","",IF(AND(F1917&lt;&gt;"",G1917&lt;&gt;""),MAX(0,ROUND(MOD(G1917-F1917,1)*24-N(H1917)/60,2)),N(I1917)))</f>
        <v/>
      </c>
      <c r="N1917" s="14">
        <f>IF(B1917="","",IF(K1917&lt;&gt;"",K1917,IF(N(IFERROR(INDEX(Projects!$D$6:$D$65,MATCH(D1917,Projects!$B$6:$B$65,0)),""))&gt;0,IFERROR(INDEX(Projects!$D$6:$D$65,MATCH(D1917,Projects!$B$6:$B$65,0)),""),IFERROR(INDEX(Clients!$G$6:$G$45,MATCH(C1917,Clients!$B$6:$B$45,0)),0))))</f>
        <v/>
      </c>
      <c r="O1917" s="14">
        <f>IF(B1917="","",IF(J1917&lt;&gt;"",0,ROUND(M1917*N1917,2)))</f>
        <v/>
      </c>
      <c r="P1917" s="15">
        <f>IF(OR(B1917="",J1917&lt;&gt;""),"",IF(L1917&lt;&gt;"",L1917,IF(COUNTIFS(Invoices!$C$6:$C$305,C1917,Invoices!$E$6:$E$305,"&lt;="&amp;B1917,Invoices!$F$6:$F$305,"&gt;="&amp;B1917)=1,INDEX(Invoices!$B$6:$B$305,SUMIFS(Invoices!$O$6:$O$305,Invoices!$C$6:$C$305,C1917,Invoices!$E$6:$E$305,"&lt;="&amp;B1917,Invoices!$F$6:$F$305,"&gt;="&amp;B1917)),IF(COUNTIFS(Invoices!$C$6:$C$305,C1917,Invoices!$E$6:$E$305,"&lt;="&amp;B1917,Invoices!$F$6:$F$305,"&gt;="&amp;B1917)&gt;1,"Two invoices",""))))</f>
        <v/>
      </c>
      <c r="Q1917" s="15">
        <f>IF(B1917="","",IF(J1917&lt;&gt;"","Not billable",IF(P1917="","To invoice",IF(P1917="Two invoices","Check dates",IF(ISNA(MATCH(P1917,Invoices!$B$6:$B$305,0)),"Check number",IF(INDEX(Invoices!$M$6:$M$305,MATCH(P1917,Invoices!$B$6:$B$305,0))="Paid","Paid",IF(INDEX(Invoices!$M$6:$M$305,MATCH(P1917,Invoices!$B$6:$B$305,0))="Draft","Draft","Invoiced")))))))</f>
        <v/>
      </c>
      <c r="R1917" s="1">
        <f>IF(AND(B1917&lt;&gt;"",P1917&lt;&gt;"",P1917=Invoice!$G$4),B1917+MOD(N(F1917),1)+ROW()/10000000,"")</f>
        <v/>
      </c>
      <c r="S1917">
        <f>IF(R1917="","",IF(D1917="","Other work",D1917)&amp;IF(AND(K1917&lt;&gt;"",E1917&lt;&gt;""),", "&amp;E1917,""))</f>
        <v/>
      </c>
      <c r="T1917">
        <f>IF(R1917="","",IF(COUNTIFS(R$6:R1916,"&gt;0",S$6:S1916,S1917,N$6:N1916,N1917)=0,R1917,""))</f>
        <v/>
      </c>
      <c r="U1917">
        <f>IF(B1917="","",IF(J1917&lt;&gt;"",0,M1917))</f>
        <v/>
      </c>
    </row>
    <row r="1918">
      <c r="A1918" s="1" t="n"/>
      <c r="B1918" s="16" t="n"/>
      <c r="C1918" s="17" t="n"/>
      <c r="D1918" s="18" t="n"/>
      <c r="E1918" s="18" t="n"/>
      <c r="F1918" s="19" t="n"/>
      <c r="G1918" s="19" t="n"/>
      <c r="H1918" s="20" t="n"/>
      <c r="I1918" s="21" t="n"/>
      <c r="J1918" s="22" t="n"/>
      <c r="K1918" s="23" t="n"/>
      <c r="L1918" s="18" t="n"/>
      <c r="M1918" s="24">
        <f>IF(B1918="","",IF(AND(F1918&lt;&gt;"",G1918&lt;&gt;""),MAX(0,ROUND(MOD(G1918-F1918,1)*24-N(H1918)/60,2)),N(I1918)))</f>
        <v/>
      </c>
      <c r="N1918" s="14">
        <f>IF(B1918="","",IF(K1918&lt;&gt;"",K1918,IF(N(IFERROR(INDEX(Projects!$D$6:$D$65,MATCH(D1918,Projects!$B$6:$B$65,0)),""))&gt;0,IFERROR(INDEX(Projects!$D$6:$D$65,MATCH(D1918,Projects!$B$6:$B$65,0)),""),IFERROR(INDEX(Clients!$G$6:$G$45,MATCH(C1918,Clients!$B$6:$B$45,0)),0))))</f>
        <v/>
      </c>
      <c r="O1918" s="14">
        <f>IF(B1918="","",IF(J1918&lt;&gt;"",0,ROUND(M1918*N1918,2)))</f>
        <v/>
      </c>
      <c r="P1918" s="15">
        <f>IF(OR(B1918="",J1918&lt;&gt;""),"",IF(L1918&lt;&gt;"",L1918,IF(COUNTIFS(Invoices!$C$6:$C$305,C1918,Invoices!$E$6:$E$305,"&lt;="&amp;B1918,Invoices!$F$6:$F$305,"&gt;="&amp;B1918)=1,INDEX(Invoices!$B$6:$B$305,SUMIFS(Invoices!$O$6:$O$305,Invoices!$C$6:$C$305,C1918,Invoices!$E$6:$E$305,"&lt;="&amp;B1918,Invoices!$F$6:$F$305,"&gt;="&amp;B1918)),IF(COUNTIFS(Invoices!$C$6:$C$305,C1918,Invoices!$E$6:$E$305,"&lt;="&amp;B1918,Invoices!$F$6:$F$305,"&gt;="&amp;B1918)&gt;1,"Two invoices",""))))</f>
        <v/>
      </c>
      <c r="Q1918" s="15">
        <f>IF(B1918="","",IF(J1918&lt;&gt;"","Not billable",IF(P1918="","To invoice",IF(P1918="Two invoices","Check dates",IF(ISNA(MATCH(P1918,Invoices!$B$6:$B$305,0)),"Check number",IF(INDEX(Invoices!$M$6:$M$305,MATCH(P1918,Invoices!$B$6:$B$305,0))="Paid","Paid",IF(INDEX(Invoices!$M$6:$M$305,MATCH(P1918,Invoices!$B$6:$B$305,0))="Draft","Draft","Invoiced")))))))</f>
        <v/>
      </c>
      <c r="R1918" s="1">
        <f>IF(AND(B1918&lt;&gt;"",P1918&lt;&gt;"",P1918=Invoice!$G$4),B1918+MOD(N(F1918),1)+ROW()/10000000,"")</f>
        <v/>
      </c>
      <c r="S1918">
        <f>IF(R1918="","",IF(D1918="","Other work",D1918)&amp;IF(AND(K1918&lt;&gt;"",E1918&lt;&gt;""),", "&amp;E1918,""))</f>
        <v/>
      </c>
      <c r="T1918">
        <f>IF(R1918="","",IF(COUNTIFS(R$6:R1917,"&gt;0",S$6:S1917,S1918,N$6:N1917,N1918)=0,R1918,""))</f>
        <v/>
      </c>
      <c r="U1918">
        <f>IF(B1918="","",IF(J1918&lt;&gt;"",0,M1918))</f>
        <v/>
      </c>
    </row>
    <row r="1919">
      <c r="A1919" s="1" t="n"/>
      <c r="B1919" s="16" t="n"/>
      <c r="C1919" s="17" t="n"/>
      <c r="D1919" s="18" t="n"/>
      <c r="E1919" s="18" t="n"/>
      <c r="F1919" s="19" t="n"/>
      <c r="G1919" s="19" t="n"/>
      <c r="H1919" s="20" t="n"/>
      <c r="I1919" s="21" t="n"/>
      <c r="J1919" s="22" t="n"/>
      <c r="K1919" s="23" t="n"/>
      <c r="L1919" s="18" t="n"/>
      <c r="M1919" s="24">
        <f>IF(B1919="","",IF(AND(F1919&lt;&gt;"",G1919&lt;&gt;""),MAX(0,ROUND(MOD(G1919-F1919,1)*24-N(H1919)/60,2)),N(I1919)))</f>
        <v/>
      </c>
      <c r="N1919" s="14">
        <f>IF(B1919="","",IF(K1919&lt;&gt;"",K1919,IF(N(IFERROR(INDEX(Projects!$D$6:$D$65,MATCH(D1919,Projects!$B$6:$B$65,0)),""))&gt;0,IFERROR(INDEX(Projects!$D$6:$D$65,MATCH(D1919,Projects!$B$6:$B$65,0)),""),IFERROR(INDEX(Clients!$G$6:$G$45,MATCH(C1919,Clients!$B$6:$B$45,0)),0))))</f>
        <v/>
      </c>
      <c r="O1919" s="14">
        <f>IF(B1919="","",IF(J1919&lt;&gt;"",0,ROUND(M1919*N1919,2)))</f>
        <v/>
      </c>
      <c r="P1919" s="15">
        <f>IF(OR(B1919="",J1919&lt;&gt;""),"",IF(L1919&lt;&gt;"",L1919,IF(COUNTIFS(Invoices!$C$6:$C$305,C1919,Invoices!$E$6:$E$305,"&lt;="&amp;B1919,Invoices!$F$6:$F$305,"&gt;="&amp;B1919)=1,INDEX(Invoices!$B$6:$B$305,SUMIFS(Invoices!$O$6:$O$305,Invoices!$C$6:$C$305,C1919,Invoices!$E$6:$E$305,"&lt;="&amp;B1919,Invoices!$F$6:$F$305,"&gt;="&amp;B1919)),IF(COUNTIFS(Invoices!$C$6:$C$305,C1919,Invoices!$E$6:$E$305,"&lt;="&amp;B1919,Invoices!$F$6:$F$305,"&gt;="&amp;B1919)&gt;1,"Two invoices",""))))</f>
        <v/>
      </c>
      <c r="Q1919" s="15">
        <f>IF(B1919="","",IF(J1919&lt;&gt;"","Not billable",IF(P1919="","To invoice",IF(P1919="Two invoices","Check dates",IF(ISNA(MATCH(P1919,Invoices!$B$6:$B$305,0)),"Check number",IF(INDEX(Invoices!$M$6:$M$305,MATCH(P1919,Invoices!$B$6:$B$305,0))="Paid","Paid",IF(INDEX(Invoices!$M$6:$M$305,MATCH(P1919,Invoices!$B$6:$B$305,0))="Draft","Draft","Invoiced")))))))</f>
        <v/>
      </c>
      <c r="R1919" s="1">
        <f>IF(AND(B1919&lt;&gt;"",P1919&lt;&gt;"",P1919=Invoice!$G$4),B1919+MOD(N(F1919),1)+ROW()/10000000,"")</f>
        <v/>
      </c>
      <c r="S1919">
        <f>IF(R1919="","",IF(D1919="","Other work",D1919)&amp;IF(AND(K1919&lt;&gt;"",E1919&lt;&gt;""),", "&amp;E1919,""))</f>
        <v/>
      </c>
      <c r="T1919">
        <f>IF(R1919="","",IF(COUNTIFS(R$6:R1918,"&gt;0",S$6:S1918,S1919,N$6:N1918,N1919)=0,R1919,""))</f>
        <v/>
      </c>
      <c r="U1919">
        <f>IF(B1919="","",IF(J1919&lt;&gt;"",0,M1919))</f>
        <v/>
      </c>
    </row>
    <row r="1920">
      <c r="A1920" s="1" t="n"/>
      <c r="B1920" s="16" t="n"/>
      <c r="C1920" s="17" t="n"/>
      <c r="D1920" s="18" t="n"/>
      <c r="E1920" s="18" t="n"/>
      <c r="F1920" s="19" t="n"/>
      <c r="G1920" s="19" t="n"/>
      <c r="H1920" s="20" t="n"/>
      <c r="I1920" s="21" t="n"/>
      <c r="J1920" s="22" t="n"/>
      <c r="K1920" s="23" t="n"/>
      <c r="L1920" s="18" t="n"/>
      <c r="M1920" s="24">
        <f>IF(B1920="","",IF(AND(F1920&lt;&gt;"",G1920&lt;&gt;""),MAX(0,ROUND(MOD(G1920-F1920,1)*24-N(H1920)/60,2)),N(I1920)))</f>
        <v/>
      </c>
      <c r="N1920" s="14">
        <f>IF(B1920="","",IF(K1920&lt;&gt;"",K1920,IF(N(IFERROR(INDEX(Projects!$D$6:$D$65,MATCH(D1920,Projects!$B$6:$B$65,0)),""))&gt;0,IFERROR(INDEX(Projects!$D$6:$D$65,MATCH(D1920,Projects!$B$6:$B$65,0)),""),IFERROR(INDEX(Clients!$G$6:$G$45,MATCH(C1920,Clients!$B$6:$B$45,0)),0))))</f>
        <v/>
      </c>
      <c r="O1920" s="14">
        <f>IF(B1920="","",IF(J1920&lt;&gt;"",0,ROUND(M1920*N1920,2)))</f>
        <v/>
      </c>
      <c r="P1920" s="15">
        <f>IF(OR(B1920="",J1920&lt;&gt;""),"",IF(L1920&lt;&gt;"",L1920,IF(COUNTIFS(Invoices!$C$6:$C$305,C1920,Invoices!$E$6:$E$305,"&lt;="&amp;B1920,Invoices!$F$6:$F$305,"&gt;="&amp;B1920)=1,INDEX(Invoices!$B$6:$B$305,SUMIFS(Invoices!$O$6:$O$305,Invoices!$C$6:$C$305,C1920,Invoices!$E$6:$E$305,"&lt;="&amp;B1920,Invoices!$F$6:$F$305,"&gt;="&amp;B1920)),IF(COUNTIFS(Invoices!$C$6:$C$305,C1920,Invoices!$E$6:$E$305,"&lt;="&amp;B1920,Invoices!$F$6:$F$305,"&gt;="&amp;B1920)&gt;1,"Two invoices",""))))</f>
        <v/>
      </c>
      <c r="Q1920" s="15">
        <f>IF(B1920="","",IF(J1920&lt;&gt;"","Not billable",IF(P1920="","To invoice",IF(P1920="Two invoices","Check dates",IF(ISNA(MATCH(P1920,Invoices!$B$6:$B$305,0)),"Check number",IF(INDEX(Invoices!$M$6:$M$305,MATCH(P1920,Invoices!$B$6:$B$305,0))="Paid","Paid",IF(INDEX(Invoices!$M$6:$M$305,MATCH(P1920,Invoices!$B$6:$B$305,0))="Draft","Draft","Invoiced")))))))</f>
        <v/>
      </c>
      <c r="R1920" s="1">
        <f>IF(AND(B1920&lt;&gt;"",P1920&lt;&gt;"",P1920=Invoice!$G$4),B1920+MOD(N(F1920),1)+ROW()/10000000,"")</f>
        <v/>
      </c>
      <c r="S1920">
        <f>IF(R1920="","",IF(D1920="","Other work",D1920)&amp;IF(AND(K1920&lt;&gt;"",E1920&lt;&gt;""),", "&amp;E1920,""))</f>
        <v/>
      </c>
      <c r="T1920">
        <f>IF(R1920="","",IF(COUNTIFS(R$6:R1919,"&gt;0",S$6:S1919,S1920,N$6:N1919,N1920)=0,R1920,""))</f>
        <v/>
      </c>
      <c r="U1920">
        <f>IF(B1920="","",IF(J1920&lt;&gt;"",0,M1920))</f>
        <v/>
      </c>
    </row>
    <row r="1921">
      <c r="A1921" s="1" t="n"/>
      <c r="B1921" s="16" t="n"/>
      <c r="C1921" s="17" t="n"/>
      <c r="D1921" s="18" t="n"/>
      <c r="E1921" s="18" t="n"/>
      <c r="F1921" s="19" t="n"/>
      <c r="G1921" s="19" t="n"/>
      <c r="H1921" s="20" t="n"/>
      <c r="I1921" s="21" t="n"/>
      <c r="J1921" s="22" t="n"/>
      <c r="K1921" s="23" t="n"/>
      <c r="L1921" s="18" t="n"/>
      <c r="M1921" s="24">
        <f>IF(B1921="","",IF(AND(F1921&lt;&gt;"",G1921&lt;&gt;""),MAX(0,ROUND(MOD(G1921-F1921,1)*24-N(H1921)/60,2)),N(I1921)))</f>
        <v/>
      </c>
      <c r="N1921" s="14">
        <f>IF(B1921="","",IF(K1921&lt;&gt;"",K1921,IF(N(IFERROR(INDEX(Projects!$D$6:$D$65,MATCH(D1921,Projects!$B$6:$B$65,0)),""))&gt;0,IFERROR(INDEX(Projects!$D$6:$D$65,MATCH(D1921,Projects!$B$6:$B$65,0)),""),IFERROR(INDEX(Clients!$G$6:$G$45,MATCH(C1921,Clients!$B$6:$B$45,0)),0))))</f>
        <v/>
      </c>
      <c r="O1921" s="14">
        <f>IF(B1921="","",IF(J1921&lt;&gt;"",0,ROUND(M1921*N1921,2)))</f>
        <v/>
      </c>
      <c r="P1921" s="15">
        <f>IF(OR(B1921="",J1921&lt;&gt;""),"",IF(L1921&lt;&gt;"",L1921,IF(COUNTIFS(Invoices!$C$6:$C$305,C1921,Invoices!$E$6:$E$305,"&lt;="&amp;B1921,Invoices!$F$6:$F$305,"&gt;="&amp;B1921)=1,INDEX(Invoices!$B$6:$B$305,SUMIFS(Invoices!$O$6:$O$305,Invoices!$C$6:$C$305,C1921,Invoices!$E$6:$E$305,"&lt;="&amp;B1921,Invoices!$F$6:$F$305,"&gt;="&amp;B1921)),IF(COUNTIFS(Invoices!$C$6:$C$305,C1921,Invoices!$E$6:$E$305,"&lt;="&amp;B1921,Invoices!$F$6:$F$305,"&gt;="&amp;B1921)&gt;1,"Two invoices",""))))</f>
        <v/>
      </c>
      <c r="Q1921" s="15">
        <f>IF(B1921="","",IF(J1921&lt;&gt;"","Not billable",IF(P1921="","To invoice",IF(P1921="Two invoices","Check dates",IF(ISNA(MATCH(P1921,Invoices!$B$6:$B$305,0)),"Check number",IF(INDEX(Invoices!$M$6:$M$305,MATCH(P1921,Invoices!$B$6:$B$305,0))="Paid","Paid",IF(INDEX(Invoices!$M$6:$M$305,MATCH(P1921,Invoices!$B$6:$B$305,0))="Draft","Draft","Invoiced")))))))</f>
        <v/>
      </c>
      <c r="R1921" s="1">
        <f>IF(AND(B1921&lt;&gt;"",P1921&lt;&gt;"",P1921=Invoice!$G$4),B1921+MOD(N(F1921),1)+ROW()/10000000,"")</f>
        <v/>
      </c>
      <c r="S1921">
        <f>IF(R1921="","",IF(D1921="","Other work",D1921)&amp;IF(AND(K1921&lt;&gt;"",E1921&lt;&gt;""),", "&amp;E1921,""))</f>
        <v/>
      </c>
      <c r="T1921">
        <f>IF(R1921="","",IF(COUNTIFS(R$6:R1920,"&gt;0",S$6:S1920,S1921,N$6:N1920,N1921)=0,R1921,""))</f>
        <v/>
      </c>
      <c r="U1921">
        <f>IF(B1921="","",IF(J1921&lt;&gt;"",0,M1921))</f>
        <v/>
      </c>
    </row>
    <row r="1922">
      <c r="A1922" s="1" t="n"/>
      <c r="B1922" s="16" t="n"/>
      <c r="C1922" s="17" t="n"/>
      <c r="D1922" s="18" t="n"/>
      <c r="E1922" s="18" t="n"/>
      <c r="F1922" s="19" t="n"/>
      <c r="G1922" s="19" t="n"/>
      <c r="H1922" s="20" t="n"/>
      <c r="I1922" s="21" t="n"/>
      <c r="J1922" s="22" t="n"/>
      <c r="K1922" s="23" t="n"/>
      <c r="L1922" s="18" t="n"/>
      <c r="M1922" s="24">
        <f>IF(B1922="","",IF(AND(F1922&lt;&gt;"",G1922&lt;&gt;""),MAX(0,ROUND(MOD(G1922-F1922,1)*24-N(H1922)/60,2)),N(I1922)))</f>
        <v/>
      </c>
      <c r="N1922" s="14">
        <f>IF(B1922="","",IF(K1922&lt;&gt;"",K1922,IF(N(IFERROR(INDEX(Projects!$D$6:$D$65,MATCH(D1922,Projects!$B$6:$B$65,0)),""))&gt;0,IFERROR(INDEX(Projects!$D$6:$D$65,MATCH(D1922,Projects!$B$6:$B$65,0)),""),IFERROR(INDEX(Clients!$G$6:$G$45,MATCH(C1922,Clients!$B$6:$B$45,0)),0))))</f>
        <v/>
      </c>
      <c r="O1922" s="14">
        <f>IF(B1922="","",IF(J1922&lt;&gt;"",0,ROUND(M1922*N1922,2)))</f>
        <v/>
      </c>
      <c r="P1922" s="15">
        <f>IF(OR(B1922="",J1922&lt;&gt;""),"",IF(L1922&lt;&gt;"",L1922,IF(COUNTIFS(Invoices!$C$6:$C$305,C1922,Invoices!$E$6:$E$305,"&lt;="&amp;B1922,Invoices!$F$6:$F$305,"&gt;="&amp;B1922)=1,INDEX(Invoices!$B$6:$B$305,SUMIFS(Invoices!$O$6:$O$305,Invoices!$C$6:$C$305,C1922,Invoices!$E$6:$E$305,"&lt;="&amp;B1922,Invoices!$F$6:$F$305,"&gt;="&amp;B1922)),IF(COUNTIFS(Invoices!$C$6:$C$305,C1922,Invoices!$E$6:$E$305,"&lt;="&amp;B1922,Invoices!$F$6:$F$305,"&gt;="&amp;B1922)&gt;1,"Two invoices",""))))</f>
        <v/>
      </c>
      <c r="Q1922" s="15">
        <f>IF(B1922="","",IF(J1922&lt;&gt;"","Not billable",IF(P1922="","To invoice",IF(P1922="Two invoices","Check dates",IF(ISNA(MATCH(P1922,Invoices!$B$6:$B$305,0)),"Check number",IF(INDEX(Invoices!$M$6:$M$305,MATCH(P1922,Invoices!$B$6:$B$305,0))="Paid","Paid",IF(INDEX(Invoices!$M$6:$M$305,MATCH(P1922,Invoices!$B$6:$B$305,0))="Draft","Draft","Invoiced")))))))</f>
        <v/>
      </c>
      <c r="R1922" s="1">
        <f>IF(AND(B1922&lt;&gt;"",P1922&lt;&gt;"",P1922=Invoice!$G$4),B1922+MOD(N(F1922),1)+ROW()/10000000,"")</f>
        <v/>
      </c>
      <c r="S1922">
        <f>IF(R1922="","",IF(D1922="","Other work",D1922)&amp;IF(AND(K1922&lt;&gt;"",E1922&lt;&gt;""),", "&amp;E1922,""))</f>
        <v/>
      </c>
      <c r="T1922">
        <f>IF(R1922="","",IF(COUNTIFS(R$6:R1921,"&gt;0",S$6:S1921,S1922,N$6:N1921,N1922)=0,R1922,""))</f>
        <v/>
      </c>
      <c r="U1922">
        <f>IF(B1922="","",IF(J1922&lt;&gt;"",0,M1922))</f>
        <v/>
      </c>
    </row>
    <row r="1923">
      <c r="A1923" s="1" t="n"/>
      <c r="B1923" s="16" t="n"/>
      <c r="C1923" s="17" t="n"/>
      <c r="D1923" s="18" t="n"/>
      <c r="E1923" s="18" t="n"/>
      <c r="F1923" s="19" t="n"/>
      <c r="G1923" s="19" t="n"/>
      <c r="H1923" s="20" t="n"/>
      <c r="I1923" s="21" t="n"/>
      <c r="J1923" s="22" t="n"/>
      <c r="K1923" s="23" t="n"/>
      <c r="L1923" s="18" t="n"/>
      <c r="M1923" s="24">
        <f>IF(B1923="","",IF(AND(F1923&lt;&gt;"",G1923&lt;&gt;""),MAX(0,ROUND(MOD(G1923-F1923,1)*24-N(H1923)/60,2)),N(I1923)))</f>
        <v/>
      </c>
      <c r="N1923" s="14">
        <f>IF(B1923="","",IF(K1923&lt;&gt;"",K1923,IF(N(IFERROR(INDEX(Projects!$D$6:$D$65,MATCH(D1923,Projects!$B$6:$B$65,0)),""))&gt;0,IFERROR(INDEX(Projects!$D$6:$D$65,MATCH(D1923,Projects!$B$6:$B$65,0)),""),IFERROR(INDEX(Clients!$G$6:$G$45,MATCH(C1923,Clients!$B$6:$B$45,0)),0))))</f>
        <v/>
      </c>
      <c r="O1923" s="14">
        <f>IF(B1923="","",IF(J1923&lt;&gt;"",0,ROUND(M1923*N1923,2)))</f>
        <v/>
      </c>
      <c r="P1923" s="15">
        <f>IF(OR(B1923="",J1923&lt;&gt;""),"",IF(L1923&lt;&gt;"",L1923,IF(COUNTIFS(Invoices!$C$6:$C$305,C1923,Invoices!$E$6:$E$305,"&lt;="&amp;B1923,Invoices!$F$6:$F$305,"&gt;="&amp;B1923)=1,INDEX(Invoices!$B$6:$B$305,SUMIFS(Invoices!$O$6:$O$305,Invoices!$C$6:$C$305,C1923,Invoices!$E$6:$E$305,"&lt;="&amp;B1923,Invoices!$F$6:$F$305,"&gt;="&amp;B1923)),IF(COUNTIFS(Invoices!$C$6:$C$305,C1923,Invoices!$E$6:$E$305,"&lt;="&amp;B1923,Invoices!$F$6:$F$305,"&gt;="&amp;B1923)&gt;1,"Two invoices",""))))</f>
        <v/>
      </c>
      <c r="Q1923" s="15">
        <f>IF(B1923="","",IF(J1923&lt;&gt;"","Not billable",IF(P1923="","To invoice",IF(P1923="Two invoices","Check dates",IF(ISNA(MATCH(P1923,Invoices!$B$6:$B$305,0)),"Check number",IF(INDEX(Invoices!$M$6:$M$305,MATCH(P1923,Invoices!$B$6:$B$305,0))="Paid","Paid",IF(INDEX(Invoices!$M$6:$M$305,MATCH(P1923,Invoices!$B$6:$B$305,0))="Draft","Draft","Invoiced")))))))</f>
        <v/>
      </c>
      <c r="R1923" s="1">
        <f>IF(AND(B1923&lt;&gt;"",P1923&lt;&gt;"",P1923=Invoice!$G$4),B1923+MOD(N(F1923),1)+ROW()/10000000,"")</f>
        <v/>
      </c>
      <c r="S1923">
        <f>IF(R1923="","",IF(D1923="","Other work",D1923)&amp;IF(AND(K1923&lt;&gt;"",E1923&lt;&gt;""),", "&amp;E1923,""))</f>
        <v/>
      </c>
      <c r="T1923">
        <f>IF(R1923="","",IF(COUNTIFS(R$6:R1922,"&gt;0",S$6:S1922,S1923,N$6:N1922,N1923)=0,R1923,""))</f>
        <v/>
      </c>
      <c r="U1923">
        <f>IF(B1923="","",IF(J1923&lt;&gt;"",0,M1923))</f>
        <v/>
      </c>
    </row>
    <row r="1924">
      <c r="A1924" s="1" t="n"/>
      <c r="B1924" s="16" t="n"/>
      <c r="C1924" s="17" t="n"/>
      <c r="D1924" s="18" t="n"/>
      <c r="E1924" s="18" t="n"/>
      <c r="F1924" s="19" t="n"/>
      <c r="G1924" s="19" t="n"/>
      <c r="H1924" s="20" t="n"/>
      <c r="I1924" s="21" t="n"/>
      <c r="J1924" s="22" t="n"/>
      <c r="K1924" s="23" t="n"/>
      <c r="L1924" s="18" t="n"/>
      <c r="M1924" s="24">
        <f>IF(B1924="","",IF(AND(F1924&lt;&gt;"",G1924&lt;&gt;""),MAX(0,ROUND(MOD(G1924-F1924,1)*24-N(H1924)/60,2)),N(I1924)))</f>
        <v/>
      </c>
      <c r="N1924" s="14">
        <f>IF(B1924="","",IF(K1924&lt;&gt;"",K1924,IF(N(IFERROR(INDEX(Projects!$D$6:$D$65,MATCH(D1924,Projects!$B$6:$B$65,0)),""))&gt;0,IFERROR(INDEX(Projects!$D$6:$D$65,MATCH(D1924,Projects!$B$6:$B$65,0)),""),IFERROR(INDEX(Clients!$G$6:$G$45,MATCH(C1924,Clients!$B$6:$B$45,0)),0))))</f>
        <v/>
      </c>
      <c r="O1924" s="14">
        <f>IF(B1924="","",IF(J1924&lt;&gt;"",0,ROUND(M1924*N1924,2)))</f>
        <v/>
      </c>
      <c r="P1924" s="15">
        <f>IF(OR(B1924="",J1924&lt;&gt;""),"",IF(L1924&lt;&gt;"",L1924,IF(COUNTIFS(Invoices!$C$6:$C$305,C1924,Invoices!$E$6:$E$305,"&lt;="&amp;B1924,Invoices!$F$6:$F$305,"&gt;="&amp;B1924)=1,INDEX(Invoices!$B$6:$B$305,SUMIFS(Invoices!$O$6:$O$305,Invoices!$C$6:$C$305,C1924,Invoices!$E$6:$E$305,"&lt;="&amp;B1924,Invoices!$F$6:$F$305,"&gt;="&amp;B1924)),IF(COUNTIFS(Invoices!$C$6:$C$305,C1924,Invoices!$E$6:$E$305,"&lt;="&amp;B1924,Invoices!$F$6:$F$305,"&gt;="&amp;B1924)&gt;1,"Two invoices",""))))</f>
        <v/>
      </c>
      <c r="Q1924" s="15">
        <f>IF(B1924="","",IF(J1924&lt;&gt;"","Not billable",IF(P1924="","To invoice",IF(P1924="Two invoices","Check dates",IF(ISNA(MATCH(P1924,Invoices!$B$6:$B$305,0)),"Check number",IF(INDEX(Invoices!$M$6:$M$305,MATCH(P1924,Invoices!$B$6:$B$305,0))="Paid","Paid",IF(INDEX(Invoices!$M$6:$M$305,MATCH(P1924,Invoices!$B$6:$B$305,0))="Draft","Draft","Invoiced")))))))</f>
        <v/>
      </c>
      <c r="R1924" s="1">
        <f>IF(AND(B1924&lt;&gt;"",P1924&lt;&gt;"",P1924=Invoice!$G$4),B1924+MOD(N(F1924),1)+ROW()/10000000,"")</f>
        <v/>
      </c>
      <c r="S1924">
        <f>IF(R1924="","",IF(D1924="","Other work",D1924)&amp;IF(AND(K1924&lt;&gt;"",E1924&lt;&gt;""),", "&amp;E1924,""))</f>
        <v/>
      </c>
      <c r="T1924">
        <f>IF(R1924="","",IF(COUNTIFS(R$6:R1923,"&gt;0",S$6:S1923,S1924,N$6:N1923,N1924)=0,R1924,""))</f>
        <v/>
      </c>
      <c r="U1924">
        <f>IF(B1924="","",IF(J1924&lt;&gt;"",0,M1924))</f>
        <v/>
      </c>
    </row>
    <row r="1925">
      <c r="A1925" s="1" t="n"/>
      <c r="B1925" s="16" t="n"/>
      <c r="C1925" s="17" t="n"/>
      <c r="D1925" s="18" t="n"/>
      <c r="E1925" s="18" t="n"/>
      <c r="F1925" s="19" t="n"/>
      <c r="G1925" s="19" t="n"/>
      <c r="H1925" s="20" t="n"/>
      <c r="I1925" s="21" t="n"/>
      <c r="J1925" s="22" t="n"/>
      <c r="K1925" s="23" t="n"/>
      <c r="L1925" s="18" t="n"/>
      <c r="M1925" s="24">
        <f>IF(B1925="","",IF(AND(F1925&lt;&gt;"",G1925&lt;&gt;""),MAX(0,ROUND(MOD(G1925-F1925,1)*24-N(H1925)/60,2)),N(I1925)))</f>
        <v/>
      </c>
      <c r="N1925" s="14">
        <f>IF(B1925="","",IF(K1925&lt;&gt;"",K1925,IF(N(IFERROR(INDEX(Projects!$D$6:$D$65,MATCH(D1925,Projects!$B$6:$B$65,0)),""))&gt;0,IFERROR(INDEX(Projects!$D$6:$D$65,MATCH(D1925,Projects!$B$6:$B$65,0)),""),IFERROR(INDEX(Clients!$G$6:$G$45,MATCH(C1925,Clients!$B$6:$B$45,0)),0))))</f>
        <v/>
      </c>
      <c r="O1925" s="14">
        <f>IF(B1925="","",IF(J1925&lt;&gt;"",0,ROUND(M1925*N1925,2)))</f>
        <v/>
      </c>
      <c r="P1925" s="15">
        <f>IF(OR(B1925="",J1925&lt;&gt;""),"",IF(L1925&lt;&gt;"",L1925,IF(COUNTIFS(Invoices!$C$6:$C$305,C1925,Invoices!$E$6:$E$305,"&lt;="&amp;B1925,Invoices!$F$6:$F$305,"&gt;="&amp;B1925)=1,INDEX(Invoices!$B$6:$B$305,SUMIFS(Invoices!$O$6:$O$305,Invoices!$C$6:$C$305,C1925,Invoices!$E$6:$E$305,"&lt;="&amp;B1925,Invoices!$F$6:$F$305,"&gt;="&amp;B1925)),IF(COUNTIFS(Invoices!$C$6:$C$305,C1925,Invoices!$E$6:$E$305,"&lt;="&amp;B1925,Invoices!$F$6:$F$305,"&gt;="&amp;B1925)&gt;1,"Two invoices",""))))</f>
        <v/>
      </c>
      <c r="Q1925" s="15">
        <f>IF(B1925="","",IF(J1925&lt;&gt;"","Not billable",IF(P1925="","To invoice",IF(P1925="Two invoices","Check dates",IF(ISNA(MATCH(P1925,Invoices!$B$6:$B$305,0)),"Check number",IF(INDEX(Invoices!$M$6:$M$305,MATCH(P1925,Invoices!$B$6:$B$305,0))="Paid","Paid",IF(INDEX(Invoices!$M$6:$M$305,MATCH(P1925,Invoices!$B$6:$B$305,0))="Draft","Draft","Invoiced")))))))</f>
        <v/>
      </c>
      <c r="R1925" s="1">
        <f>IF(AND(B1925&lt;&gt;"",P1925&lt;&gt;"",P1925=Invoice!$G$4),B1925+MOD(N(F1925),1)+ROW()/10000000,"")</f>
        <v/>
      </c>
      <c r="S1925">
        <f>IF(R1925="","",IF(D1925="","Other work",D1925)&amp;IF(AND(K1925&lt;&gt;"",E1925&lt;&gt;""),", "&amp;E1925,""))</f>
        <v/>
      </c>
      <c r="T1925">
        <f>IF(R1925="","",IF(COUNTIFS(R$6:R1924,"&gt;0",S$6:S1924,S1925,N$6:N1924,N1925)=0,R1925,""))</f>
        <v/>
      </c>
      <c r="U1925">
        <f>IF(B1925="","",IF(J1925&lt;&gt;"",0,M1925))</f>
        <v/>
      </c>
    </row>
    <row r="1926">
      <c r="A1926" s="1" t="n"/>
      <c r="B1926" s="16" t="n"/>
      <c r="C1926" s="17" t="n"/>
      <c r="D1926" s="18" t="n"/>
      <c r="E1926" s="18" t="n"/>
      <c r="F1926" s="19" t="n"/>
      <c r="G1926" s="19" t="n"/>
      <c r="H1926" s="20" t="n"/>
      <c r="I1926" s="21" t="n"/>
      <c r="J1926" s="22" t="n"/>
      <c r="K1926" s="23" t="n"/>
      <c r="L1926" s="18" t="n"/>
      <c r="M1926" s="24">
        <f>IF(B1926="","",IF(AND(F1926&lt;&gt;"",G1926&lt;&gt;""),MAX(0,ROUND(MOD(G1926-F1926,1)*24-N(H1926)/60,2)),N(I1926)))</f>
        <v/>
      </c>
      <c r="N1926" s="14">
        <f>IF(B1926="","",IF(K1926&lt;&gt;"",K1926,IF(N(IFERROR(INDEX(Projects!$D$6:$D$65,MATCH(D1926,Projects!$B$6:$B$65,0)),""))&gt;0,IFERROR(INDEX(Projects!$D$6:$D$65,MATCH(D1926,Projects!$B$6:$B$65,0)),""),IFERROR(INDEX(Clients!$G$6:$G$45,MATCH(C1926,Clients!$B$6:$B$45,0)),0))))</f>
        <v/>
      </c>
      <c r="O1926" s="14">
        <f>IF(B1926="","",IF(J1926&lt;&gt;"",0,ROUND(M1926*N1926,2)))</f>
        <v/>
      </c>
      <c r="P1926" s="15">
        <f>IF(OR(B1926="",J1926&lt;&gt;""),"",IF(L1926&lt;&gt;"",L1926,IF(COUNTIFS(Invoices!$C$6:$C$305,C1926,Invoices!$E$6:$E$305,"&lt;="&amp;B1926,Invoices!$F$6:$F$305,"&gt;="&amp;B1926)=1,INDEX(Invoices!$B$6:$B$305,SUMIFS(Invoices!$O$6:$O$305,Invoices!$C$6:$C$305,C1926,Invoices!$E$6:$E$305,"&lt;="&amp;B1926,Invoices!$F$6:$F$305,"&gt;="&amp;B1926)),IF(COUNTIFS(Invoices!$C$6:$C$305,C1926,Invoices!$E$6:$E$305,"&lt;="&amp;B1926,Invoices!$F$6:$F$305,"&gt;="&amp;B1926)&gt;1,"Two invoices",""))))</f>
        <v/>
      </c>
      <c r="Q1926" s="15">
        <f>IF(B1926="","",IF(J1926&lt;&gt;"","Not billable",IF(P1926="","To invoice",IF(P1926="Two invoices","Check dates",IF(ISNA(MATCH(P1926,Invoices!$B$6:$B$305,0)),"Check number",IF(INDEX(Invoices!$M$6:$M$305,MATCH(P1926,Invoices!$B$6:$B$305,0))="Paid","Paid",IF(INDEX(Invoices!$M$6:$M$305,MATCH(P1926,Invoices!$B$6:$B$305,0))="Draft","Draft","Invoiced")))))))</f>
        <v/>
      </c>
      <c r="R1926" s="1">
        <f>IF(AND(B1926&lt;&gt;"",P1926&lt;&gt;"",P1926=Invoice!$G$4),B1926+MOD(N(F1926),1)+ROW()/10000000,"")</f>
        <v/>
      </c>
      <c r="S1926">
        <f>IF(R1926="","",IF(D1926="","Other work",D1926)&amp;IF(AND(K1926&lt;&gt;"",E1926&lt;&gt;""),", "&amp;E1926,""))</f>
        <v/>
      </c>
      <c r="T1926">
        <f>IF(R1926="","",IF(COUNTIFS(R$6:R1925,"&gt;0",S$6:S1925,S1926,N$6:N1925,N1926)=0,R1926,""))</f>
        <v/>
      </c>
      <c r="U1926">
        <f>IF(B1926="","",IF(J1926&lt;&gt;"",0,M1926))</f>
        <v/>
      </c>
    </row>
    <row r="1927">
      <c r="A1927" s="1" t="n"/>
      <c r="B1927" s="16" t="n"/>
      <c r="C1927" s="17" t="n"/>
      <c r="D1927" s="18" t="n"/>
      <c r="E1927" s="18" t="n"/>
      <c r="F1927" s="19" t="n"/>
      <c r="G1927" s="19" t="n"/>
      <c r="H1927" s="20" t="n"/>
      <c r="I1927" s="21" t="n"/>
      <c r="J1927" s="22" t="n"/>
      <c r="K1927" s="23" t="n"/>
      <c r="L1927" s="18" t="n"/>
      <c r="M1927" s="24">
        <f>IF(B1927="","",IF(AND(F1927&lt;&gt;"",G1927&lt;&gt;""),MAX(0,ROUND(MOD(G1927-F1927,1)*24-N(H1927)/60,2)),N(I1927)))</f>
        <v/>
      </c>
      <c r="N1927" s="14">
        <f>IF(B1927="","",IF(K1927&lt;&gt;"",K1927,IF(N(IFERROR(INDEX(Projects!$D$6:$D$65,MATCH(D1927,Projects!$B$6:$B$65,0)),""))&gt;0,IFERROR(INDEX(Projects!$D$6:$D$65,MATCH(D1927,Projects!$B$6:$B$65,0)),""),IFERROR(INDEX(Clients!$G$6:$G$45,MATCH(C1927,Clients!$B$6:$B$45,0)),0))))</f>
        <v/>
      </c>
      <c r="O1927" s="14">
        <f>IF(B1927="","",IF(J1927&lt;&gt;"",0,ROUND(M1927*N1927,2)))</f>
        <v/>
      </c>
      <c r="P1927" s="15">
        <f>IF(OR(B1927="",J1927&lt;&gt;""),"",IF(L1927&lt;&gt;"",L1927,IF(COUNTIFS(Invoices!$C$6:$C$305,C1927,Invoices!$E$6:$E$305,"&lt;="&amp;B1927,Invoices!$F$6:$F$305,"&gt;="&amp;B1927)=1,INDEX(Invoices!$B$6:$B$305,SUMIFS(Invoices!$O$6:$O$305,Invoices!$C$6:$C$305,C1927,Invoices!$E$6:$E$305,"&lt;="&amp;B1927,Invoices!$F$6:$F$305,"&gt;="&amp;B1927)),IF(COUNTIFS(Invoices!$C$6:$C$305,C1927,Invoices!$E$6:$E$305,"&lt;="&amp;B1927,Invoices!$F$6:$F$305,"&gt;="&amp;B1927)&gt;1,"Two invoices",""))))</f>
        <v/>
      </c>
      <c r="Q1927" s="15">
        <f>IF(B1927="","",IF(J1927&lt;&gt;"","Not billable",IF(P1927="","To invoice",IF(P1927="Two invoices","Check dates",IF(ISNA(MATCH(P1927,Invoices!$B$6:$B$305,0)),"Check number",IF(INDEX(Invoices!$M$6:$M$305,MATCH(P1927,Invoices!$B$6:$B$305,0))="Paid","Paid",IF(INDEX(Invoices!$M$6:$M$305,MATCH(P1927,Invoices!$B$6:$B$305,0))="Draft","Draft","Invoiced")))))))</f>
        <v/>
      </c>
      <c r="R1927" s="1">
        <f>IF(AND(B1927&lt;&gt;"",P1927&lt;&gt;"",P1927=Invoice!$G$4),B1927+MOD(N(F1927),1)+ROW()/10000000,"")</f>
        <v/>
      </c>
      <c r="S1927">
        <f>IF(R1927="","",IF(D1927="","Other work",D1927)&amp;IF(AND(K1927&lt;&gt;"",E1927&lt;&gt;""),", "&amp;E1927,""))</f>
        <v/>
      </c>
      <c r="T1927">
        <f>IF(R1927="","",IF(COUNTIFS(R$6:R1926,"&gt;0",S$6:S1926,S1927,N$6:N1926,N1927)=0,R1927,""))</f>
        <v/>
      </c>
      <c r="U1927">
        <f>IF(B1927="","",IF(J1927&lt;&gt;"",0,M1927))</f>
        <v/>
      </c>
    </row>
    <row r="1928">
      <c r="A1928" s="1" t="n"/>
      <c r="B1928" s="16" t="n"/>
      <c r="C1928" s="17" t="n"/>
      <c r="D1928" s="18" t="n"/>
      <c r="E1928" s="18" t="n"/>
      <c r="F1928" s="19" t="n"/>
      <c r="G1928" s="19" t="n"/>
      <c r="H1928" s="20" t="n"/>
      <c r="I1928" s="21" t="n"/>
      <c r="J1928" s="22" t="n"/>
      <c r="K1928" s="23" t="n"/>
      <c r="L1928" s="18" t="n"/>
      <c r="M1928" s="24">
        <f>IF(B1928="","",IF(AND(F1928&lt;&gt;"",G1928&lt;&gt;""),MAX(0,ROUND(MOD(G1928-F1928,1)*24-N(H1928)/60,2)),N(I1928)))</f>
        <v/>
      </c>
      <c r="N1928" s="14">
        <f>IF(B1928="","",IF(K1928&lt;&gt;"",K1928,IF(N(IFERROR(INDEX(Projects!$D$6:$D$65,MATCH(D1928,Projects!$B$6:$B$65,0)),""))&gt;0,IFERROR(INDEX(Projects!$D$6:$D$65,MATCH(D1928,Projects!$B$6:$B$65,0)),""),IFERROR(INDEX(Clients!$G$6:$G$45,MATCH(C1928,Clients!$B$6:$B$45,0)),0))))</f>
        <v/>
      </c>
      <c r="O1928" s="14">
        <f>IF(B1928="","",IF(J1928&lt;&gt;"",0,ROUND(M1928*N1928,2)))</f>
        <v/>
      </c>
      <c r="P1928" s="15">
        <f>IF(OR(B1928="",J1928&lt;&gt;""),"",IF(L1928&lt;&gt;"",L1928,IF(COUNTIFS(Invoices!$C$6:$C$305,C1928,Invoices!$E$6:$E$305,"&lt;="&amp;B1928,Invoices!$F$6:$F$305,"&gt;="&amp;B1928)=1,INDEX(Invoices!$B$6:$B$305,SUMIFS(Invoices!$O$6:$O$305,Invoices!$C$6:$C$305,C1928,Invoices!$E$6:$E$305,"&lt;="&amp;B1928,Invoices!$F$6:$F$305,"&gt;="&amp;B1928)),IF(COUNTIFS(Invoices!$C$6:$C$305,C1928,Invoices!$E$6:$E$305,"&lt;="&amp;B1928,Invoices!$F$6:$F$305,"&gt;="&amp;B1928)&gt;1,"Two invoices",""))))</f>
        <v/>
      </c>
      <c r="Q1928" s="15">
        <f>IF(B1928="","",IF(J1928&lt;&gt;"","Not billable",IF(P1928="","To invoice",IF(P1928="Two invoices","Check dates",IF(ISNA(MATCH(P1928,Invoices!$B$6:$B$305,0)),"Check number",IF(INDEX(Invoices!$M$6:$M$305,MATCH(P1928,Invoices!$B$6:$B$305,0))="Paid","Paid",IF(INDEX(Invoices!$M$6:$M$305,MATCH(P1928,Invoices!$B$6:$B$305,0))="Draft","Draft","Invoiced")))))))</f>
        <v/>
      </c>
      <c r="R1928" s="1">
        <f>IF(AND(B1928&lt;&gt;"",P1928&lt;&gt;"",P1928=Invoice!$G$4),B1928+MOD(N(F1928),1)+ROW()/10000000,"")</f>
        <v/>
      </c>
      <c r="S1928">
        <f>IF(R1928="","",IF(D1928="","Other work",D1928)&amp;IF(AND(K1928&lt;&gt;"",E1928&lt;&gt;""),", "&amp;E1928,""))</f>
        <v/>
      </c>
      <c r="T1928">
        <f>IF(R1928="","",IF(COUNTIFS(R$6:R1927,"&gt;0",S$6:S1927,S1928,N$6:N1927,N1928)=0,R1928,""))</f>
        <v/>
      </c>
      <c r="U1928">
        <f>IF(B1928="","",IF(J1928&lt;&gt;"",0,M1928))</f>
        <v/>
      </c>
    </row>
    <row r="1929">
      <c r="A1929" s="1" t="n"/>
      <c r="B1929" s="16" t="n"/>
      <c r="C1929" s="17" t="n"/>
      <c r="D1929" s="18" t="n"/>
      <c r="E1929" s="18" t="n"/>
      <c r="F1929" s="19" t="n"/>
      <c r="G1929" s="19" t="n"/>
      <c r="H1929" s="20" t="n"/>
      <c r="I1929" s="21" t="n"/>
      <c r="J1929" s="22" t="n"/>
      <c r="K1929" s="23" t="n"/>
      <c r="L1929" s="18" t="n"/>
      <c r="M1929" s="24">
        <f>IF(B1929="","",IF(AND(F1929&lt;&gt;"",G1929&lt;&gt;""),MAX(0,ROUND(MOD(G1929-F1929,1)*24-N(H1929)/60,2)),N(I1929)))</f>
        <v/>
      </c>
      <c r="N1929" s="14">
        <f>IF(B1929="","",IF(K1929&lt;&gt;"",K1929,IF(N(IFERROR(INDEX(Projects!$D$6:$D$65,MATCH(D1929,Projects!$B$6:$B$65,0)),""))&gt;0,IFERROR(INDEX(Projects!$D$6:$D$65,MATCH(D1929,Projects!$B$6:$B$65,0)),""),IFERROR(INDEX(Clients!$G$6:$G$45,MATCH(C1929,Clients!$B$6:$B$45,0)),0))))</f>
        <v/>
      </c>
      <c r="O1929" s="14">
        <f>IF(B1929="","",IF(J1929&lt;&gt;"",0,ROUND(M1929*N1929,2)))</f>
        <v/>
      </c>
      <c r="P1929" s="15">
        <f>IF(OR(B1929="",J1929&lt;&gt;""),"",IF(L1929&lt;&gt;"",L1929,IF(COUNTIFS(Invoices!$C$6:$C$305,C1929,Invoices!$E$6:$E$305,"&lt;="&amp;B1929,Invoices!$F$6:$F$305,"&gt;="&amp;B1929)=1,INDEX(Invoices!$B$6:$B$305,SUMIFS(Invoices!$O$6:$O$305,Invoices!$C$6:$C$305,C1929,Invoices!$E$6:$E$305,"&lt;="&amp;B1929,Invoices!$F$6:$F$305,"&gt;="&amp;B1929)),IF(COUNTIFS(Invoices!$C$6:$C$305,C1929,Invoices!$E$6:$E$305,"&lt;="&amp;B1929,Invoices!$F$6:$F$305,"&gt;="&amp;B1929)&gt;1,"Two invoices",""))))</f>
        <v/>
      </c>
      <c r="Q1929" s="15">
        <f>IF(B1929="","",IF(J1929&lt;&gt;"","Not billable",IF(P1929="","To invoice",IF(P1929="Two invoices","Check dates",IF(ISNA(MATCH(P1929,Invoices!$B$6:$B$305,0)),"Check number",IF(INDEX(Invoices!$M$6:$M$305,MATCH(P1929,Invoices!$B$6:$B$305,0))="Paid","Paid",IF(INDEX(Invoices!$M$6:$M$305,MATCH(P1929,Invoices!$B$6:$B$305,0))="Draft","Draft","Invoiced")))))))</f>
        <v/>
      </c>
      <c r="R1929" s="1">
        <f>IF(AND(B1929&lt;&gt;"",P1929&lt;&gt;"",P1929=Invoice!$G$4),B1929+MOD(N(F1929),1)+ROW()/10000000,"")</f>
        <v/>
      </c>
      <c r="S1929">
        <f>IF(R1929="","",IF(D1929="","Other work",D1929)&amp;IF(AND(K1929&lt;&gt;"",E1929&lt;&gt;""),", "&amp;E1929,""))</f>
        <v/>
      </c>
      <c r="T1929">
        <f>IF(R1929="","",IF(COUNTIFS(R$6:R1928,"&gt;0",S$6:S1928,S1929,N$6:N1928,N1929)=0,R1929,""))</f>
        <v/>
      </c>
      <c r="U1929">
        <f>IF(B1929="","",IF(J1929&lt;&gt;"",0,M1929))</f>
        <v/>
      </c>
    </row>
    <row r="1930">
      <c r="A1930" s="1" t="n"/>
      <c r="B1930" s="16" t="n"/>
      <c r="C1930" s="17" t="n"/>
      <c r="D1930" s="18" t="n"/>
      <c r="E1930" s="18" t="n"/>
      <c r="F1930" s="19" t="n"/>
      <c r="G1930" s="19" t="n"/>
      <c r="H1930" s="20" t="n"/>
      <c r="I1930" s="21" t="n"/>
      <c r="J1930" s="22" t="n"/>
      <c r="K1930" s="23" t="n"/>
      <c r="L1930" s="18" t="n"/>
      <c r="M1930" s="24">
        <f>IF(B1930="","",IF(AND(F1930&lt;&gt;"",G1930&lt;&gt;""),MAX(0,ROUND(MOD(G1930-F1930,1)*24-N(H1930)/60,2)),N(I1930)))</f>
        <v/>
      </c>
      <c r="N1930" s="14">
        <f>IF(B1930="","",IF(K1930&lt;&gt;"",K1930,IF(N(IFERROR(INDEX(Projects!$D$6:$D$65,MATCH(D1930,Projects!$B$6:$B$65,0)),""))&gt;0,IFERROR(INDEX(Projects!$D$6:$D$65,MATCH(D1930,Projects!$B$6:$B$65,0)),""),IFERROR(INDEX(Clients!$G$6:$G$45,MATCH(C1930,Clients!$B$6:$B$45,0)),0))))</f>
        <v/>
      </c>
      <c r="O1930" s="14">
        <f>IF(B1930="","",IF(J1930&lt;&gt;"",0,ROUND(M1930*N1930,2)))</f>
        <v/>
      </c>
      <c r="P1930" s="15">
        <f>IF(OR(B1930="",J1930&lt;&gt;""),"",IF(L1930&lt;&gt;"",L1930,IF(COUNTIFS(Invoices!$C$6:$C$305,C1930,Invoices!$E$6:$E$305,"&lt;="&amp;B1930,Invoices!$F$6:$F$305,"&gt;="&amp;B1930)=1,INDEX(Invoices!$B$6:$B$305,SUMIFS(Invoices!$O$6:$O$305,Invoices!$C$6:$C$305,C1930,Invoices!$E$6:$E$305,"&lt;="&amp;B1930,Invoices!$F$6:$F$305,"&gt;="&amp;B1930)),IF(COUNTIFS(Invoices!$C$6:$C$305,C1930,Invoices!$E$6:$E$305,"&lt;="&amp;B1930,Invoices!$F$6:$F$305,"&gt;="&amp;B1930)&gt;1,"Two invoices",""))))</f>
        <v/>
      </c>
      <c r="Q1930" s="15">
        <f>IF(B1930="","",IF(J1930&lt;&gt;"","Not billable",IF(P1930="","To invoice",IF(P1930="Two invoices","Check dates",IF(ISNA(MATCH(P1930,Invoices!$B$6:$B$305,0)),"Check number",IF(INDEX(Invoices!$M$6:$M$305,MATCH(P1930,Invoices!$B$6:$B$305,0))="Paid","Paid",IF(INDEX(Invoices!$M$6:$M$305,MATCH(P1930,Invoices!$B$6:$B$305,0))="Draft","Draft","Invoiced")))))))</f>
        <v/>
      </c>
      <c r="R1930" s="1">
        <f>IF(AND(B1930&lt;&gt;"",P1930&lt;&gt;"",P1930=Invoice!$G$4),B1930+MOD(N(F1930),1)+ROW()/10000000,"")</f>
        <v/>
      </c>
      <c r="S1930">
        <f>IF(R1930="","",IF(D1930="","Other work",D1930)&amp;IF(AND(K1930&lt;&gt;"",E1930&lt;&gt;""),", "&amp;E1930,""))</f>
        <v/>
      </c>
      <c r="T1930">
        <f>IF(R1930="","",IF(COUNTIFS(R$6:R1929,"&gt;0",S$6:S1929,S1930,N$6:N1929,N1930)=0,R1930,""))</f>
        <v/>
      </c>
      <c r="U1930">
        <f>IF(B1930="","",IF(J1930&lt;&gt;"",0,M1930))</f>
        <v/>
      </c>
    </row>
    <row r="1931">
      <c r="A1931" s="1" t="n"/>
      <c r="B1931" s="16" t="n"/>
      <c r="C1931" s="17" t="n"/>
      <c r="D1931" s="18" t="n"/>
      <c r="E1931" s="18" t="n"/>
      <c r="F1931" s="19" t="n"/>
      <c r="G1931" s="19" t="n"/>
      <c r="H1931" s="20" t="n"/>
      <c r="I1931" s="21" t="n"/>
      <c r="J1931" s="22" t="n"/>
      <c r="K1931" s="23" t="n"/>
      <c r="L1931" s="18" t="n"/>
      <c r="M1931" s="24">
        <f>IF(B1931="","",IF(AND(F1931&lt;&gt;"",G1931&lt;&gt;""),MAX(0,ROUND(MOD(G1931-F1931,1)*24-N(H1931)/60,2)),N(I1931)))</f>
        <v/>
      </c>
      <c r="N1931" s="14">
        <f>IF(B1931="","",IF(K1931&lt;&gt;"",K1931,IF(N(IFERROR(INDEX(Projects!$D$6:$D$65,MATCH(D1931,Projects!$B$6:$B$65,0)),""))&gt;0,IFERROR(INDEX(Projects!$D$6:$D$65,MATCH(D1931,Projects!$B$6:$B$65,0)),""),IFERROR(INDEX(Clients!$G$6:$G$45,MATCH(C1931,Clients!$B$6:$B$45,0)),0))))</f>
        <v/>
      </c>
      <c r="O1931" s="14">
        <f>IF(B1931="","",IF(J1931&lt;&gt;"",0,ROUND(M1931*N1931,2)))</f>
        <v/>
      </c>
      <c r="P1931" s="15">
        <f>IF(OR(B1931="",J1931&lt;&gt;""),"",IF(L1931&lt;&gt;"",L1931,IF(COUNTIFS(Invoices!$C$6:$C$305,C1931,Invoices!$E$6:$E$305,"&lt;="&amp;B1931,Invoices!$F$6:$F$305,"&gt;="&amp;B1931)=1,INDEX(Invoices!$B$6:$B$305,SUMIFS(Invoices!$O$6:$O$305,Invoices!$C$6:$C$305,C1931,Invoices!$E$6:$E$305,"&lt;="&amp;B1931,Invoices!$F$6:$F$305,"&gt;="&amp;B1931)),IF(COUNTIFS(Invoices!$C$6:$C$305,C1931,Invoices!$E$6:$E$305,"&lt;="&amp;B1931,Invoices!$F$6:$F$305,"&gt;="&amp;B1931)&gt;1,"Two invoices",""))))</f>
        <v/>
      </c>
      <c r="Q1931" s="15">
        <f>IF(B1931="","",IF(J1931&lt;&gt;"","Not billable",IF(P1931="","To invoice",IF(P1931="Two invoices","Check dates",IF(ISNA(MATCH(P1931,Invoices!$B$6:$B$305,0)),"Check number",IF(INDEX(Invoices!$M$6:$M$305,MATCH(P1931,Invoices!$B$6:$B$305,0))="Paid","Paid",IF(INDEX(Invoices!$M$6:$M$305,MATCH(P1931,Invoices!$B$6:$B$305,0))="Draft","Draft","Invoiced")))))))</f>
        <v/>
      </c>
      <c r="R1931" s="1">
        <f>IF(AND(B1931&lt;&gt;"",P1931&lt;&gt;"",P1931=Invoice!$G$4),B1931+MOD(N(F1931),1)+ROW()/10000000,"")</f>
        <v/>
      </c>
      <c r="S1931">
        <f>IF(R1931="","",IF(D1931="","Other work",D1931)&amp;IF(AND(K1931&lt;&gt;"",E1931&lt;&gt;""),", "&amp;E1931,""))</f>
        <v/>
      </c>
      <c r="T1931">
        <f>IF(R1931="","",IF(COUNTIFS(R$6:R1930,"&gt;0",S$6:S1930,S1931,N$6:N1930,N1931)=0,R1931,""))</f>
        <v/>
      </c>
      <c r="U1931">
        <f>IF(B1931="","",IF(J1931&lt;&gt;"",0,M1931))</f>
        <v/>
      </c>
    </row>
    <row r="1932">
      <c r="A1932" s="1" t="n"/>
      <c r="B1932" s="16" t="n"/>
      <c r="C1932" s="17" t="n"/>
      <c r="D1932" s="18" t="n"/>
      <c r="E1932" s="18" t="n"/>
      <c r="F1932" s="19" t="n"/>
      <c r="G1932" s="19" t="n"/>
      <c r="H1932" s="20" t="n"/>
      <c r="I1932" s="21" t="n"/>
      <c r="J1932" s="22" t="n"/>
      <c r="K1932" s="23" t="n"/>
      <c r="L1932" s="18" t="n"/>
      <c r="M1932" s="24">
        <f>IF(B1932="","",IF(AND(F1932&lt;&gt;"",G1932&lt;&gt;""),MAX(0,ROUND(MOD(G1932-F1932,1)*24-N(H1932)/60,2)),N(I1932)))</f>
        <v/>
      </c>
      <c r="N1932" s="14">
        <f>IF(B1932="","",IF(K1932&lt;&gt;"",K1932,IF(N(IFERROR(INDEX(Projects!$D$6:$D$65,MATCH(D1932,Projects!$B$6:$B$65,0)),""))&gt;0,IFERROR(INDEX(Projects!$D$6:$D$65,MATCH(D1932,Projects!$B$6:$B$65,0)),""),IFERROR(INDEX(Clients!$G$6:$G$45,MATCH(C1932,Clients!$B$6:$B$45,0)),0))))</f>
        <v/>
      </c>
      <c r="O1932" s="14">
        <f>IF(B1932="","",IF(J1932&lt;&gt;"",0,ROUND(M1932*N1932,2)))</f>
        <v/>
      </c>
      <c r="P1932" s="15">
        <f>IF(OR(B1932="",J1932&lt;&gt;""),"",IF(L1932&lt;&gt;"",L1932,IF(COUNTIFS(Invoices!$C$6:$C$305,C1932,Invoices!$E$6:$E$305,"&lt;="&amp;B1932,Invoices!$F$6:$F$305,"&gt;="&amp;B1932)=1,INDEX(Invoices!$B$6:$B$305,SUMIFS(Invoices!$O$6:$O$305,Invoices!$C$6:$C$305,C1932,Invoices!$E$6:$E$305,"&lt;="&amp;B1932,Invoices!$F$6:$F$305,"&gt;="&amp;B1932)),IF(COUNTIFS(Invoices!$C$6:$C$305,C1932,Invoices!$E$6:$E$305,"&lt;="&amp;B1932,Invoices!$F$6:$F$305,"&gt;="&amp;B1932)&gt;1,"Two invoices",""))))</f>
        <v/>
      </c>
      <c r="Q1932" s="15">
        <f>IF(B1932="","",IF(J1932&lt;&gt;"","Not billable",IF(P1932="","To invoice",IF(P1932="Two invoices","Check dates",IF(ISNA(MATCH(P1932,Invoices!$B$6:$B$305,0)),"Check number",IF(INDEX(Invoices!$M$6:$M$305,MATCH(P1932,Invoices!$B$6:$B$305,0))="Paid","Paid",IF(INDEX(Invoices!$M$6:$M$305,MATCH(P1932,Invoices!$B$6:$B$305,0))="Draft","Draft","Invoiced")))))))</f>
        <v/>
      </c>
      <c r="R1932" s="1">
        <f>IF(AND(B1932&lt;&gt;"",P1932&lt;&gt;"",P1932=Invoice!$G$4),B1932+MOD(N(F1932),1)+ROW()/10000000,"")</f>
        <v/>
      </c>
      <c r="S1932">
        <f>IF(R1932="","",IF(D1932="","Other work",D1932)&amp;IF(AND(K1932&lt;&gt;"",E1932&lt;&gt;""),", "&amp;E1932,""))</f>
        <v/>
      </c>
      <c r="T1932">
        <f>IF(R1932="","",IF(COUNTIFS(R$6:R1931,"&gt;0",S$6:S1931,S1932,N$6:N1931,N1932)=0,R1932,""))</f>
        <v/>
      </c>
      <c r="U1932">
        <f>IF(B1932="","",IF(J1932&lt;&gt;"",0,M1932))</f>
        <v/>
      </c>
    </row>
    <row r="1933">
      <c r="A1933" s="1" t="n"/>
      <c r="B1933" s="16" t="n"/>
      <c r="C1933" s="17" t="n"/>
      <c r="D1933" s="18" t="n"/>
      <c r="E1933" s="18" t="n"/>
      <c r="F1933" s="19" t="n"/>
      <c r="G1933" s="19" t="n"/>
      <c r="H1933" s="20" t="n"/>
      <c r="I1933" s="21" t="n"/>
      <c r="J1933" s="22" t="n"/>
      <c r="K1933" s="23" t="n"/>
      <c r="L1933" s="18" t="n"/>
      <c r="M1933" s="24">
        <f>IF(B1933="","",IF(AND(F1933&lt;&gt;"",G1933&lt;&gt;""),MAX(0,ROUND(MOD(G1933-F1933,1)*24-N(H1933)/60,2)),N(I1933)))</f>
        <v/>
      </c>
      <c r="N1933" s="14">
        <f>IF(B1933="","",IF(K1933&lt;&gt;"",K1933,IF(N(IFERROR(INDEX(Projects!$D$6:$D$65,MATCH(D1933,Projects!$B$6:$B$65,0)),""))&gt;0,IFERROR(INDEX(Projects!$D$6:$D$65,MATCH(D1933,Projects!$B$6:$B$65,0)),""),IFERROR(INDEX(Clients!$G$6:$G$45,MATCH(C1933,Clients!$B$6:$B$45,0)),0))))</f>
        <v/>
      </c>
      <c r="O1933" s="14">
        <f>IF(B1933="","",IF(J1933&lt;&gt;"",0,ROUND(M1933*N1933,2)))</f>
        <v/>
      </c>
      <c r="P1933" s="15">
        <f>IF(OR(B1933="",J1933&lt;&gt;""),"",IF(L1933&lt;&gt;"",L1933,IF(COUNTIFS(Invoices!$C$6:$C$305,C1933,Invoices!$E$6:$E$305,"&lt;="&amp;B1933,Invoices!$F$6:$F$305,"&gt;="&amp;B1933)=1,INDEX(Invoices!$B$6:$B$305,SUMIFS(Invoices!$O$6:$O$305,Invoices!$C$6:$C$305,C1933,Invoices!$E$6:$E$305,"&lt;="&amp;B1933,Invoices!$F$6:$F$305,"&gt;="&amp;B1933)),IF(COUNTIFS(Invoices!$C$6:$C$305,C1933,Invoices!$E$6:$E$305,"&lt;="&amp;B1933,Invoices!$F$6:$F$305,"&gt;="&amp;B1933)&gt;1,"Two invoices",""))))</f>
        <v/>
      </c>
      <c r="Q1933" s="15">
        <f>IF(B1933="","",IF(J1933&lt;&gt;"","Not billable",IF(P1933="","To invoice",IF(P1933="Two invoices","Check dates",IF(ISNA(MATCH(P1933,Invoices!$B$6:$B$305,0)),"Check number",IF(INDEX(Invoices!$M$6:$M$305,MATCH(P1933,Invoices!$B$6:$B$305,0))="Paid","Paid",IF(INDEX(Invoices!$M$6:$M$305,MATCH(P1933,Invoices!$B$6:$B$305,0))="Draft","Draft","Invoiced")))))))</f>
        <v/>
      </c>
      <c r="R1933" s="1">
        <f>IF(AND(B1933&lt;&gt;"",P1933&lt;&gt;"",P1933=Invoice!$G$4),B1933+MOD(N(F1933),1)+ROW()/10000000,"")</f>
        <v/>
      </c>
      <c r="S1933">
        <f>IF(R1933="","",IF(D1933="","Other work",D1933)&amp;IF(AND(K1933&lt;&gt;"",E1933&lt;&gt;""),", "&amp;E1933,""))</f>
        <v/>
      </c>
      <c r="T1933">
        <f>IF(R1933="","",IF(COUNTIFS(R$6:R1932,"&gt;0",S$6:S1932,S1933,N$6:N1932,N1933)=0,R1933,""))</f>
        <v/>
      </c>
      <c r="U1933">
        <f>IF(B1933="","",IF(J1933&lt;&gt;"",0,M1933))</f>
        <v/>
      </c>
    </row>
    <row r="1934">
      <c r="A1934" s="1" t="n"/>
      <c r="B1934" s="16" t="n"/>
      <c r="C1934" s="17" t="n"/>
      <c r="D1934" s="18" t="n"/>
      <c r="E1934" s="18" t="n"/>
      <c r="F1934" s="19" t="n"/>
      <c r="G1934" s="19" t="n"/>
      <c r="H1934" s="20" t="n"/>
      <c r="I1934" s="21" t="n"/>
      <c r="J1934" s="22" t="n"/>
      <c r="K1934" s="23" t="n"/>
      <c r="L1934" s="18" t="n"/>
      <c r="M1934" s="24">
        <f>IF(B1934="","",IF(AND(F1934&lt;&gt;"",G1934&lt;&gt;""),MAX(0,ROUND(MOD(G1934-F1934,1)*24-N(H1934)/60,2)),N(I1934)))</f>
        <v/>
      </c>
      <c r="N1934" s="14">
        <f>IF(B1934="","",IF(K1934&lt;&gt;"",K1934,IF(N(IFERROR(INDEX(Projects!$D$6:$D$65,MATCH(D1934,Projects!$B$6:$B$65,0)),""))&gt;0,IFERROR(INDEX(Projects!$D$6:$D$65,MATCH(D1934,Projects!$B$6:$B$65,0)),""),IFERROR(INDEX(Clients!$G$6:$G$45,MATCH(C1934,Clients!$B$6:$B$45,0)),0))))</f>
        <v/>
      </c>
      <c r="O1934" s="14">
        <f>IF(B1934="","",IF(J1934&lt;&gt;"",0,ROUND(M1934*N1934,2)))</f>
        <v/>
      </c>
      <c r="P1934" s="15">
        <f>IF(OR(B1934="",J1934&lt;&gt;""),"",IF(L1934&lt;&gt;"",L1934,IF(COUNTIFS(Invoices!$C$6:$C$305,C1934,Invoices!$E$6:$E$305,"&lt;="&amp;B1934,Invoices!$F$6:$F$305,"&gt;="&amp;B1934)=1,INDEX(Invoices!$B$6:$B$305,SUMIFS(Invoices!$O$6:$O$305,Invoices!$C$6:$C$305,C1934,Invoices!$E$6:$E$305,"&lt;="&amp;B1934,Invoices!$F$6:$F$305,"&gt;="&amp;B1934)),IF(COUNTIFS(Invoices!$C$6:$C$305,C1934,Invoices!$E$6:$E$305,"&lt;="&amp;B1934,Invoices!$F$6:$F$305,"&gt;="&amp;B1934)&gt;1,"Two invoices",""))))</f>
        <v/>
      </c>
      <c r="Q1934" s="15">
        <f>IF(B1934="","",IF(J1934&lt;&gt;"","Not billable",IF(P1934="","To invoice",IF(P1934="Two invoices","Check dates",IF(ISNA(MATCH(P1934,Invoices!$B$6:$B$305,0)),"Check number",IF(INDEX(Invoices!$M$6:$M$305,MATCH(P1934,Invoices!$B$6:$B$305,0))="Paid","Paid",IF(INDEX(Invoices!$M$6:$M$305,MATCH(P1934,Invoices!$B$6:$B$305,0))="Draft","Draft","Invoiced")))))))</f>
        <v/>
      </c>
      <c r="R1934" s="1">
        <f>IF(AND(B1934&lt;&gt;"",P1934&lt;&gt;"",P1934=Invoice!$G$4),B1934+MOD(N(F1934),1)+ROW()/10000000,"")</f>
        <v/>
      </c>
      <c r="S1934">
        <f>IF(R1934="","",IF(D1934="","Other work",D1934)&amp;IF(AND(K1934&lt;&gt;"",E1934&lt;&gt;""),", "&amp;E1934,""))</f>
        <v/>
      </c>
      <c r="T1934">
        <f>IF(R1934="","",IF(COUNTIFS(R$6:R1933,"&gt;0",S$6:S1933,S1934,N$6:N1933,N1934)=0,R1934,""))</f>
        <v/>
      </c>
      <c r="U1934">
        <f>IF(B1934="","",IF(J1934&lt;&gt;"",0,M1934))</f>
        <v/>
      </c>
    </row>
    <row r="1935">
      <c r="A1935" s="1" t="n"/>
      <c r="B1935" s="16" t="n"/>
      <c r="C1935" s="17" t="n"/>
      <c r="D1935" s="18" t="n"/>
      <c r="E1935" s="18" t="n"/>
      <c r="F1935" s="19" t="n"/>
      <c r="G1935" s="19" t="n"/>
      <c r="H1935" s="20" t="n"/>
      <c r="I1935" s="21" t="n"/>
      <c r="J1935" s="22" t="n"/>
      <c r="K1935" s="23" t="n"/>
      <c r="L1935" s="18" t="n"/>
      <c r="M1935" s="24">
        <f>IF(B1935="","",IF(AND(F1935&lt;&gt;"",G1935&lt;&gt;""),MAX(0,ROUND(MOD(G1935-F1935,1)*24-N(H1935)/60,2)),N(I1935)))</f>
        <v/>
      </c>
      <c r="N1935" s="14">
        <f>IF(B1935="","",IF(K1935&lt;&gt;"",K1935,IF(N(IFERROR(INDEX(Projects!$D$6:$D$65,MATCH(D1935,Projects!$B$6:$B$65,0)),""))&gt;0,IFERROR(INDEX(Projects!$D$6:$D$65,MATCH(D1935,Projects!$B$6:$B$65,0)),""),IFERROR(INDEX(Clients!$G$6:$G$45,MATCH(C1935,Clients!$B$6:$B$45,0)),0))))</f>
        <v/>
      </c>
      <c r="O1935" s="14">
        <f>IF(B1935="","",IF(J1935&lt;&gt;"",0,ROUND(M1935*N1935,2)))</f>
        <v/>
      </c>
      <c r="P1935" s="15">
        <f>IF(OR(B1935="",J1935&lt;&gt;""),"",IF(L1935&lt;&gt;"",L1935,IF(COUNTIFS(Invoices!$C$6:$C$305,C1935,Invoices!$E$6:$E$305,"&lt;="&amp;B1935,Invoices!$F$6:$F$305,"&gt;="&amp;B1935)=1,INDEX(Invoices!$B$6:$B$305,SUMIFS(Invoices!$O$6:$O$305,Invoices!$C$6:$C$305,C1935,Invoices!$E$6:$E$305,"&lt;="&amp;B1935,Invoices!$F$6:$F$305,"&gt;="&amp;B1935)),IF(COUNTIFS(Invoices!$C$6:$C$305,C1935,Invoices!$E$6:$E$305,"&lt;="&amp;B1935,Invoices!$F$6:$F$305,"&gt;="&amp;B1935)&gt;1,"Two invoices",""))))</f>
        <v/>
      </c>
      <c r="Q1935" s="15">
        <f>IF(B1935="","",IF(J1935&lt;&gt;"","Not billable",IF(P1935="","To invoice",IF(P1935="Two invoices","Check dates",IF(ISNA(MATCH(P1935,Invoices!$B$6:$B$305,0)),"Check number",IF(INDEX(Invoices!$M$6:$M$305,MATCH(P1935,Invoices!$B$6:$B$305,0))="Paid","Paid",IF(INDEX(Invoices!$M$6:$M$305,MATCH(P1935,Invoices!$B$6:$B$305,0))="Draft","Draft","Invoiced")))))))</f>
        <v/>
      </c>
      <c r="R1935" s="1">
        <f>IF(AND(B1935&lt;&gt;"",P1935&lt;&gt;"",P1935=Invoice!$G$4),B1935+MOD(N(F1935),1)+ROW()/10000000,"")</f>
        <v/>
      </c>
      <c r="S1935">
        <f>IF(R1935="","",IF(D1935="","Other work",D1935)&amp;IF(AND(K1935&lt;&gt;"",E1935&lt;&gt;""),", "&amp;E1935,""))</f>
        <v/>
      </c>
      <c r="T1935">
        <f>IF(R1935="","",IF(COUNTIFS(R$6:R1934,"&gt;0",S$6:S1934,S1935,N$6:N1934,N1935)=0,R1935,""))</f>
        <v/>
      </c>
      <c r="U1935">
        <f>IF(B1935="","",IF(J1935&lt;&gt;"",0,M1935))</f>
        <v/>
      </c>
    </row>
    <row r="1936">
      <c r="A1936" s="1" t="n"/>
      <c r="B1936" s="16" t="n"/>
      <c r="C1936" s="17" t="n"/>
      <c r="D1936" s="18" t="n"/>
      <c r="E1936" s="18" t="n"/>
      <c r="F1936" s="19" t="n"/>
      <c r="G1936" s="19" t="n"/>
      <c r="H1936" s="20" t="n"/>
      <c r="I1936" s="21" t="n"/>
      <c r="J1936" s="22" t="n"/>
      <c r="K1936" s="23" t="n"/>
      <c r="L1936" s="18" t="n"/>
      <c r="M1936" s="24">
        <f>IF(B1936="","",IF(AND(F1936&lt;&gt;"",G1936&lt;&gt;""),MAX(0,ROUND(MOD(G1936-F1936,1)*24-N(H1936)/60,2)),N(I1936)))</f>
        <v/>
      </c>
      <c r="N1936" s="14">
        <f>IF(B1936="","",IF(K1936&lt;&gt;"",K1936,IF(N(IFERROR(INDEX(Projects!$D$6:$D$65,MATCH(D1936,Projects!$B$6:$B$65,0)),""))&gt;0,IFERROR(INDEX(Projects!$D$6:$D$65,MATCH(D1936,Projects!$B$6:$B$65,0)),""),IFERROR(INDEX(Clients!$G$6:$G$45,MATCH(C1936,Clients!$B$6:$B$45,0)),0))))</f>
        <v/>
      </c>
      <c r="O1936" s="14">
        <f>IF(B1936="","",IF(J1936&lt;&gt;"",0,ROUND(M1936*N1936,2)))</f>
        <v/>
      </c>
      <c r="P1936" s="15">
        <f>IF(OR(B1936="",J1936&lt;&gt;""),"",IF(L1936&lt;&gt;"",L1936,IF(COUNTIFS(Invoices!$C$6:$C$305,C1936,Invoices!$E$6:$E$305,"&lt;="&amp;B1936,Invoices!$F$6:$F$305,"&gt;="&amp;B1936)=1,INDEX(Invoices!$B$6:$B$305,SUMIFS(Invoices!$O$6:$O$305,Invoices!$C$6:$C$305,C1936,Invoices!$E$6:$E$305,"&lt;="&amp;B1936,Invoices!$F$6:$F$305,"&gt;="&amp;B1936)),IF(COUNTIFS(Invoices!$C$6:$C$305,C1936,Invoices!$E$6:$E$305,"&lt;="&amp;B1936,Invoices!$F$6:$F$305,"&gt;="&amp;B1936)&gt;1,"Two invoices",""))))</f>
        <v/>
      </c>
      <c r="Q1936" s="15">
        <f>IF(B1936="","",IF(J1936&lt;&gt;"","Not billable",IF(P1936="","To invoice",IF(P1936="Two invoices","Check dates",IF(ISNA(MATCH(P1936,Invoices!$B$6:$B$305,0)),"Check number",IF(INDEX(Invoices!$M$6:$M$305,MATCH(P1936,Invoices!$B$6:$B$305,0))="Paid","Paid",IF(INDEX(Invoices!$M$6:$M$305,MATCH(P1936,Invoices!$B$6:$B$305,0))="Draft","Draft","Invoiced")))))))</f>
        <v/>
      </c>
      <c r="R1936" s="1">
        <f>IF(AND(B1936&lt;&gt;"",P1936&lt;&gt;"",P1936=Invoice!$G$4),B1936+MOD(N(F1936),1)+ROW()/10000000,"")</f>
        <v/>
      </c>
      <c r="S1936">
        <f>IF(R1936="","",IF(D1936="","Other work",D1936)&amp;IF(AND(K1936&lt;&gt;"",E1936&lt;&gt;""),", "&amp;E1936,""))</f>
        <v/>
      </c>
      <c r="T1936">
        <f>IF(R1936="","",IF(COUNTIFS(R$6:R1935,"&gt;0",S$6:S1935,S1936,N$6:N1935,N1936)=0,R1936,""))</f>
        <v/>
      </c>
      <c r="U1936">
        <f>IF(B1936="","",IF(J1936&lt;&gt;"",0,M1936))</f>
        <v/>
      </c>
    </row>
    <row r="1937">
      <c r="A1937" s="1" t="n"/>
      <c r="B1937" s="16" t="n"/>
      <c r="C1937" s="17" t="n"/>
      <c r="D1937" s="18" t="n"/>
      <c r="E1937" s="18" t="n"/>
      <c r="F1937" s="19" t="n"/>
      <c r="G1937" s="19" t="n"/>
      <c r="H1937" s="20" t="n"/>
      <c r="I1937" s="21" t="n"/>
      <c r="J1937" s="22" t="n"/>
      <c r="K1937" s="23" t="n"/>
      <c r="L1937" s="18" t="n"/>
      <c r="M1937" s="24">
        <f>IF(B1937="","",IF(AND(F1937&lt;&gt;"",G1937&lt;&gt;""),MAX(0,ROUND(MOD(G1937-F1937,1)*24-N(H1937)/60,2)),N(I1937)))</f>
        <v/>
      </c>
      <c r="N1937" s="14">
        <f>IF(B1937="","",IF(K1937&lt;&gt;"",K1937,IF(N(IFERROR(INDEX(Projects!$D$6:$D$65,MATCH(D1937,Projects!$B$6:$B$65,0)),""))&gt;0,IFERROR(INDEX(Projects!$D$6:$D$65,MATCH(D1937,Projects!$B$6:$B$65,0)),""),IFERROR(INDEX(Clients!$G$6:$G$45,MATCH(C1937,Clients!$B$6:$B$45,0)),0))))</f>
        <v/>
      </c>
      <c r="O1937" s="14">
        <f>IF(B1937="","",IF(J1937&lt;&gt;"",0,ROUND(M1937*N1937,2)))</f>
        <v/>
      </c>
      <c r="P1937" s="15">
        <f>IF(OR(B1937="",J1937&lt;&gt;""),"",IF(L1937&lt;&gt;"",L1937,IF(COUNTIFS(Invoices!$C$6:$C$305,C1937,Invoices!$E$6:$E$305,"&lt;="&amp;B1937,Invoices!$F$6:$F$305,"&gt;="&amp;B1937)=1,INDEX(Invoices!$B$6:$B$305,SUMIFS(Invoices!$O$6:$O$305,Invoices!$C$6:$C$305,C1937,Invoices!$E$6:$E$305,"&lt;="&amp;B1937,Invoices!$F$6:$F$305,"&gt;="&amp;B1937)),IF(COUNTIFS(Invoices!$C$6:$C$305,C1937,Invoices!$E$6:$E$305,"&lt;="&amp;B1937,Invoices!$F$6:$F$305,"&gt;="&amp;B1937)&gt;1,"Two invoices",""))))</f>
        <v/>
      </c>
      <c r="Q1937" s="15">
        <f>IF(B1937="","",IF(J1937&lt;&gt;"","Not billable",IF(P1937="","To invoice",IF(P1937="Two invoices","Check dates",IF(ISNA(MATCH(P1937,Invoices!$B$6:$B$305,0)),"Check number",IF(INDEX(Invoices!$M$6:$M$305,MATCH(P1937,Invoices!$B$6:$B$305,0))="Paid","Paid",IF(INDEX(Invoices!$M$6:$M$305,MATCH(P1937,Invoices!$B$6:$B$305,0))="Draft","Draft","Invoiced")))))))</f>
        <v/>
      </c>
      <c r="R1937" s="1">
        <f>IF(AND(B1937&lt;&gt;"",P1937&lt;&gt;"",P1937=Invoice!$G$4),B1937+MOD(N(F1937),1)+ROW()/10000000,"")</f>
        <v/>
      </c>
      <c r="S1937">
        <f>IF(R1937="","",IF(D1937="","Other work",D1937)&amp;IF(AND(K1937&lt;&gt;"",E1937&lt;&gt;""),", "&amp;E1937,""))</f>
        <v/>
      </c>
      <c r="T1937">
        <f>IF(R1937="","",IF(COUNTIFS(R$6:R1936,"&gt;0",S$6:S1936,S1937,N$6:N1936,N1937)=0,R1937,""))</f>
        <v/>
      </c>
      <c r="U1937">
        <f>IF(B1937="","",IF(J1937&lt;&gt;"",0,M1937))</f>
        <v/>
      </c>
    </row>
    <row r="1938">
      <c r="A1938" s="1" t="n"/>
      <c r="B1938" s="16" t="n"/>
      <c r="C1938" s="17" t="n"/>
      <c r="D1938" s="18" t="n"/>
      <c r="E1938" s="18" t="n"/>
      <c r="F1938" s="19" t="n"/>
      <c r="G1938" s="19" t="n"/>
      <c r="H1938" s="20" t="n"/>
      <c r="I1938" s="21" t="n"/>
      <c r="J1938" s="22" t="n"/>
      <c r="K1938" s="23" t="n"/>
      <c r="L1938" s="18" t="n"/>
      <c r="M1938" s="24">
        <f>IF(B1938="","",IF(AND(F1938&lt;&gt;"",G1938&lt;&gt;""),MAX(0,ROUND(MOD(G1938-F1938,1)*24-N(H1938)/60,2)),N(I1938)))</f>
        <v/>
      </c>
      <c r="N1938" s="14">
        <f>IF(B1938="","",IF(K1938&lt;&gt;"",K1938,IF(N(IFERROR(INDEX(Projects!$D$6:$D$65,MATCH(D1938,Projects!$B$6:$B$65,0)),""))&gt;0,IFERROR(INDEX(Projects!$D$6:$D$65,MATCH(D1938,Projects!$B$6:$B$65,0)),""),IFERROR(INDEX(Clients!$G$6:$G$45,MATCH(C1938,Clients!$B$6:$B$45,0)),0))))</f>
        <v/>
      </c>
      <c r="O1938" s="14">
        <f>IF(B1938="","",IF(J1938&lt;&gt;"",0,ROUND(M1938*N1938,2)))</f>
        <v/>
      </c>
      <c r="P1938" s="15">
        <f>IF(OR(B1938="",J1938&lt;&gt;""),"",IF(L1938&lt;&gt;"",L1938,IF(COUNTIFS(Invoices!$C$6:$C$305,C1938,Invoices!$E$6:$E$305,"&lt;="&amp;B1938,Invoices!$F$6:$F$305,"&gt;="&amp;B1938)=1,INDEX(Invoices!$B$6:$B$305,SUMIFS(Invoices!$O$6:$O$305,Invoices!$C$6:$C$305,C1938,Invoices!$E$6:$E$305,"&lt;="&amp;B1938,Invoices!$F$6:$F$305,"&gt;="&amp;B1938)),IF(COUNTIFS(Invoices!$C$6:$C$305,C1938,Invoices!$E$6:$E$305,"&lt;="&amp;B1938,Invoices!$F$6:$F$305,"&gt;="&amp;B1938)&gt;1,"Two invoices",""))))</f>
        <v/>
      </c>
      <c r="Q1938" s="15">
        <f>IF(B1938="","",IF(J1938&lt;&gt;"","Not billable",IF(P1938="","To invoice",IF(P1938="Two invoices","Check dates",IF(ISNA(MATCH(P1938,Invoices!$B$6:$B$305,0)),"Check number",IF(INDEX(Invoices!$M$6:$M$305,MATCH(P1938,Invoices!$B$6:$B$305,0))="Paid","Paid",IF(INDEX(Invoices!$M$6:$M$305,MATCH(P1938,Invoices!$B$6:$B$305,0))="Draft","Draft","Invoiced")))))))</f>
        <v/>
      </c>
      <c r="R1938" s="1">
        <f>IF(AND(B1938&lt;&gt;"",P1938&lt;&gt;"",P1938=Invoice!$G$4),B1938+MOD(N(F1938),1)+ROW()/10000000,"")</f>
        <v/>
      </c>
      <c r="S1938">
        <f>IF(R1938="","",IF(D1938="","Other work",D1938)&amp;IF(AND(K1938&lt;&gt;"",E1938&lt;&gt;""),", "&amp;E1938,""))</f>
        <v/>
      </c>
      <c r="T1938">
        <f>IF(R1938="","",IF(COUNTIFS(R$6:R1937,"&gt;0",S$6:S1937,S1938,N$6:N1937,N1938)=0,R1938,""))</f>
        <v/>
      </c>
      <c r="U1938">
        <f>IF(B1938="","",IF(J1938&lt;&gt;"",0,M1938))</f>
        <v/>
      </c>
    </row>
    <row r="1939">
      <c r="A1939" s="1" t="n"/>
      <c r="B1939" s="16" t="n"/>
      <c r="C1939" s="17" t="n"/>
      <c r="D1939" s="18" t="n"/>
      <c r="E1939" s="18" t="n"/>
      <c r="F1939" s="19" t="n"/>
      <c r="G1939" s="19" t="n"/>
      <c r="H1939" s="20" t="n"/>
      <c r="I1939" s="21" t="n"/>
      <c r="J1939" s="22" t="n"/>
      <c r="K1939" s="23" t="n"/>
      <c r="L1939" s="18" t="n"/>
      <c r="M1939" s="24">
        <f>IF(B1939="","",IF(AND(F1939&lt;&gt;"",G1939&lt;&gt;""),MAX(0,ROUND(MOD(G1939-F1939,1)*24-N(H1939)/60,2)),N(I1939)))</f>
        <v/>
      </c>
      <c r="N1939" s="14">
        <f>IF(B1939="","",IF(K1939&lt;&gt;"",K1939,IF(N(IFERROR(INDEX(Projects!$D$6:$D$65,MATCH(D1939,Projects!$B$6:$B$65,0)),""))&gt;0,IFERROR(INDEX(Projects!$D$6:$D$65,MATCH(D1939,Projects!$B$6:$B$65,0)),""),IFERROR(INDEX(Clients!$G$6:$G$45,MATCH(C1939,Clients!$B$6:$B$45,0)),0))))</f>
        <v/>
      </c>
      <c r="O1939" s="14">
        <f>IF(B1939="","",IF(J1939&lt;&gt;"",0,ROUND(M1939*N1939,2)))</f>
        <v/>
      </c>
      <c r="P1939" s="15">
        <f>IF(OR(B1939="",J1939&lt;&gt;""),"",IF(L1939&lt;&gt;"",L1939,IF(COUNTIFS(Invoices!$C$6:$C$305,C1939,Invoices!$E$6:$E$305,"&lt;="&amp;B1939,Invoices!$F$6:$F$305,"&gt;="&amp;B1939)=1,INDEX(Invoices!$B$6:$B$305,SUMIFS(Invoices!$O$6:$O$305,Invoices!$C$6:$C$305,C1939,Invoices!$E$6:$E$305,"&lt;="&amp;B1939,Invoices!$F$6:$F$305,"&gt;="&amp;B1939)),IF(COUNTIFS(Invoices!$C$6:$C$305,C1939,Invoices!$E$6:$E$305,"&lt;="&amp;B1939,Invoices!$F$6:$F$305,"&gt;="&amp;B1939)&gt;1,"Two invoices",""))))</f>
        <v/>
      </c>
      <c r="Q1939" s="15">
        <f>IF(B1939="","",IF(J1939&lt;&gt;"","Not billable",IF(P1939="","To invoice",IF(P1939="Two invoices","Check dates",IF(ISNA(MATCH(P1939,Invoices!$B$6:$B$305,0)),"Check number",IF(INDEX(Invoices!$M$6:$M$305,MATCH(P1939,Invoices!$B$6:$B$305,0))="Paid","Paid",IF(INDEX(Invoices!$M$6:$M$305,MATCH(P1939,Invoices!$B$6:$B$305,0))="Draft","Draft","Invoiced")))))))</f>
        <v/>
      </c>
      <c r="R1939" s="1">
        <f>IF(AND(B1939&lt;&gt;"",P1939&lt;&gt;"",P1939=Invoice!$G$4),B1939+MOD(N(F1939),1)+ROW()/10000000,"")</f>
        <v/>
      </c>
      <c r="S1939">
        <f>IF(R1939="","",IF(D1939="","Other work",D1939)&amp;IF(AND(K1939&lt;&gt;"",E1939&lt;&gt;""),", "&amp;E1939,""))</f>
        <v/>
      </c>
      <c r="T1939">
        <f>IF(R1939="","",IF(COUNTIFS(R$6:R1938,"&gt;0",S$6:S1938,S1939,N$6:N1938,N1939)=0,R1939,""))</f>
        <v/>
      </c>
      <c r="U1939">
        <f>IF(B1939="","",IF(J1939&lt;&gt;"",0,M1939))</f>
        <v/>
      </c>
    </row>
    <row r="1940">
      <c r="A1940" s="1" t="n"/>
      <c r="B1940" s="16" t="n"/>
      <c r="C1940" s="17" t="n"/>
      <c r="D1940" s="18" t="n"/>
      <c r="E1940" s="18" t="n"/>
      <c r="F1940" s="19" t="n"/>
      <c r="G1940" s="19" t="n"/>
      <c r="H1940" s="20" t="n"/>
      <c r="I1940" s="21" t="n"/>
      <c r="J1940" s="22" t="n"/>
      <c r="K1940" s="23" t="n"/>
      <c r="L1940" s="18" t="n"/>
      <c r="M1940" s="24">
        <f>IF(B1940="","",IF(AND(F1940&lt;&gt;"",G1940&lt;&gt;""),MAX(0,ROUND(MOD(G1940-F1940,1)*24-N(H1940)/60,2)),N(I1940)))</f>
        <v/>
      </c>
      <c r="N1940" s="14">
        <f>IF(B1940="","",IF(K1940&lt;&gt;"",K1940,IF(N(IFERROR(INDEX(Projects!$D$6:$D$65,MATCH(D1940,Projects!$B$6:$B$65,0)),""))&gt;0,IFERROR(INDEX(Projects!$D$6:$D$65,MATCH(D1940,Projects!$B$6:$B$65,0)),""),IFERROR(INDEX(Clients!$G$6:$G$45,MATCH(C1940,Clients!$B$6:$B$45,0)),0))))</f>
        <v/>
      </c>
      <c r="O1940" s="14">
        <f>IF(B1940="","",IF(J1940&lt;&gt;"",0,ROUND(M1940*N1940,2)))</f>
        <v/>
      </c>
      <c r="P1940" s="15">
        <f>IF(OR(B1940="",J1940&lt;&gt;""),"",IF(L1940&lt;&gt;"",L1940,IF(COUNTIFS(Invoices!$C$6:$C$305,C1940,Invoices!$E$6:$E$305,"&lt;="&amp;B1940,Invoices!$F$6:$F$305,"&gt;="&amp;B1940)=1,INDEX(Invoices!$B$6:$B$305,SUMIFS(Invoices!$O$6:$O$305,Invoices!$C$6:$C$305,C1940,Invoices!$E$6:$E$305,"&lt;="&amp;B1940,Invoices!$F$6:$F$305,"&gt;="&amp;B1940)),IF(COUNTIFS(Invoices!$C$6:$C$305,C1940,Invoices!$E$6:$E$305,"&lt;="&amp;B1940,Invoices!$F$6:$F$305,"&gt;="&amp;B1940)&gt;1,"Two invoices",""))))</f>
        <v/>
      </c>
      <c r="Q1940" s="15">
        <f>IF(B1940="","",IF(J1940&lt;&gt;"","Not billable",IF(P1940="","To invoice",IF(P1940="Two invoices","Check dates",IF(ISNA(MATCH(P1940,Invoices!$B$6:$B$305,0)),"Check number",IF(INDEX(Invoices!$M$6:$M$305,MATCH(P1940,Invoices!$B$6:$B$305,0))="Paid","Paid",IF(INDEX(Invoices!$M$6:$M$305,MATCH(P1940,Invoices!$B$6:$B$305,0))="Draft","Draft","Invoiced")))))))</f>
        <v/>
      </c>
      <c r="R1940" s="1">
        <f>IF(AND(B1940&lt;&gt;"",P1940&lt;&gt;"",P1940=Invoice!$G$4),B1940+MOD(N(F1940),1)+ROW()/10000000,"")</f>
        <v/>
      </c>
      <c r="S1940">
        <f>IF(R1940="","",IF(D1940="","Other work",D1940)&amp;IF(AND(K1940&lt;&gt;"",E1940&lt;&gt;""),", "&amp;E1940,""))</f>
        <v/>
      </c>
      <c r="T1940">
        <f>IF(R1940="","",IF(COUNTIFS(R$6:R1939,"&gt;0",S$6:S1939,S1940,N$6:N1939,N1940)=0,R1940,""))</f>
        <v/>
      </c>
      <c r="U1940">
        <f>IF(B1940="","",IF(J1940&lt;&gt;"",0,M1940))</f>
        <v/>
      </c>
    </row>
    <row r="1941">
      <c r="A1941" s="1" t="n"/>
      <c r="B1941" s="16" t="n"/>
      <c r="C1941" s="17" t="n"/>
      <c r="D1941" s="18" t="n"/>
      <c r="E1941" s="18" t="n"/>
      <c r="F1941" s="19" t="n"/>
      <c r="G1941" s="19" t="n"/>
      <c r="H1941" s="20" t="n"/>
      <c r="I1941" s="21" t="n"/>
      <c r="J1941" s="22" t="n"/>
      <c r="K1941" s="23" t="n"/>
      <c r="L1941" s="18" t="n"/>
      <c r="M1941" s="24">
        <f>IF(B1941="","",IF(AND(F1941&lt;&gt;"",G1941&lt;&gt;""),MAX(0,ROUND(MOD(G1941-F1941,1)*24-N(H1941)/60,2)),N(I1941)))</f>
        <v/>
      </c>
      <c r="N1941" s="14">
        <f>IF(B1941="","",IF(K1941&lt;&gt;"",K1941,IF(N(IFERROR(INDEX(Projects!$D$6:$D$65,MATCH(D1941,Projects!$B$6:$B$65,0)),""))&gt;0,IFERROR(INDEX(Projects!$D$6:$D$65,MATCH(D1941,Projects!$B$6:$B$65,0)),""),IFERROR(INDEX(Clients!$G$6:$G$45,MATCH(C1941,Clients!$B$6:$B$45,0)),0))))</f>
        <v/>
      </c>
      <c r="O1941" s="14">
        <f>IF(B1941="","",IF(J1941&lt;&gt;"",0,ROUND(M1941*N1941,2)))</f>
        <v/>
      </c>
      <c r="P1941" s="15">
        <f>IF(OR(B1941="",J1941&lt;&gt;""),"",IF(L1941&lt;&gt;"",L1941,IF(COUNTIFS(Invoices!$C$6:$C$305,C1941,Invoices!$E$6:$E$305,"&lt;="&amp;B1941,Invoices!$F$6:$F$305,"&gt;="&amp;B1941)=1,INDEX(Invoices!$B$6:$B$305,SUMIFS(Invoices!$O$6:$O$305,Invoices!$C$6:$C$305,C1941,Invoices!$E$6:$E$305,"&lt;="&amp;B1941,Invoices!$F$6:$F$305,"&gt;="&amp;B1941)),IF(COUNTIFS(Invoices!$C$6:$C$305,C1941,Invoices!$E$6:$E$305,"&lt;="&amp;B1941,Invoices!$F$6:$F$305,"&gt;="&amp;B1941)&gt;1,"Two invoices",""))))</f>
        <v/>
      </c>
      <c r="Q1941" s="15">
        <f>IF(B1941="","",IF(J1941&lt;&gt;"","Not billable",IF(P1941="","To invoice",IF(P1941="Two invoices","Check dates",IF(ISNA(MATCH(P1941,Invoices!$B$6:$B$305,0)),"Check number",IF(INDEX(Invoices!$M$6:$M$305,MATCH(P1941,Invoices!$B$6:$B$305,0))="Paid","Paid",IF(INDEX(Invoices!$M$6:$M$305,MATCH(P1941,Invoices!$B$6:$B$305,0))="Draft","Draft","Invoiced")))))))</f>
        <v/>
      </c>
      <c r="R1941" s="1">
        <f>IF(AND(B1941&lt;&gt;"",P1941&lt;&gt;"",P1941=Invoice!$G$4),B1941+MOD(N(F1941),1)+ROW()/10000000,"")</f>
        <v/>
      </c>
      <c r="S1941">
        <f>IF(R1941="","",IF(D1941="","Other work",D1941)&amp;IF(AND(K1941&lt;&gt;"",E1941&lt;&gt;""),", "&amp;E1941,""))</f>
        <v/>
      </c>
      <c r="T1941">
        <f>IF(R1941="","",IF(COUNTIFS(R$6:R1940,"&gt;0",S$6:S1940,S1941,N$6:N1940,N1941)=0,R1941,""))</f>
        <v/>
      </c>
      <c r="U1941">
        <f>IF(B1941="","",IF(J1941&lt;&gt;"",0,M1941))</f>
        <v/>
      </c>
    </row>
    <row r="1942">
      <c r="A1942" s="1" t="n"/>
      <c r="B1942" s="16" t="n"/>
      <c r="C1942" s="17" t="n"/>
      <c r="D1942" s="18" t="n"/>
      <c r="E1942" s="18" t="n"/>
      <c r="F1942" s="19" t="n"/>
      <c r="G1942" s="19" t="n"/>
      <c r="H1942" s="20" t="n"/>
      <c r="I1942" s="21" t="n"/>
      <c r="J1942" s="22" t="n"/>
      <c r="K1942" s="23" t="n"/>
      <c r="L1942" s="18" t="n"/>
      <c r="M1942" s="24">
        <f>IF(B1942="","",IF(AND(F1942&lt;&gt;"",G1942&lt;&gt;""),MAX(0,ROUND(MOD(G1942-F1942,1)*24-N(H1942)/60,2)),N(I1942)))</f>
        <v/>
      </c>
      <c r="N1942" s="14">
        <f>IF(B1942="","",IF(K1942&lt;&gt;"",K1942,IF(N(IFERROR(INDEX(Projects!$D$6:$D$65,MATCH(D1942,Projects!$B$6:$B$65,0)),""))&gt;0,IFERROR(INDEX(Projects!$D$6:$D$65,MATCH(D1942,Projects!$B$6:$B$65,0)),""),IFERROR(INDEX(Clients!$G$6:$G$45,MATCH(C1942,Clients!$B$6:$B$45,0)),0))))</f>
        <v/>
      </c>
      <c r="O1942" s="14">
        <f>IF(B1942="","",IF(J1942&lt;&gt;"",0,ROUND(M1942*N1942,2)))</f>
        <v/>
      </c>
      <c r="P1942" s="15">
        <f>IF(OR(B1942="",J1942&lt;&gt;""),"",IF(L1942&lt;&gt;"",L1942,IF(COUNTIFS(Invoices!$C$6:$C$305,C1942,Invoices!$E$6:$E$305,"&lt;="&amp;B1942,Invoices!$F$6:$F$305,"&gt;="&amp;B1942)=1,INDEX(Invoices!$B$6:$B$305,SUMIFS(Invoices!$O$6:$O$305,Invoices!$C$6:$C$305,C1942,Invoices!$E$6:$E$305,"&lt;="&amp;B1942,Invoices!$F$6:$F$305,"&gt;="&amp;B1942)),IF(COUNTIFS(Invoices!$C$6:$C$305,C1942,Invoices!$E$6:$E$305,"&lt;="&amp;B1942,Invoices!$F$6:$F$305,"&gt;="&amp;B1942)&gt;1,"Two invoices",""))))</f>
        <v/>
      </c>
      <c r="Q1942" s="15">
        <f>IF(B1942="","",IF(J1942&lt;&gt;"","Not billable",IF(P1942="","To invoice",IF(P1942="Two invoices","Check dates",IF(ISNA(MATCH(P1942,Invoices!$B$6:$B$305,0)),"Check number",IF(INDEX(Invoices!$M$6:$M$305,MATCH(P1942,Invoices!$B$6:$B$305,0))="Paid","Paid",IF(INDEX(Invoices!$M$6:$M$305,MATCH(P1942,Invoices!$B$6:$B$305,0))="Draft","Draft","Invoiced")))))))</f>
        <v/>
      </c>
      <c r="R1942" s="1">
        <f>IF(AND(B1942&lt;&gt;"",P1942&lt;&gt;"",P1942=Invoice!$G$4),B1942+MOD(N(F1942),1)+ROW()/10000000,"")</f>
        <v/>
      </c>
      <c r="S1942">
        <f>IF(R1942="","",IF(D1942="","Other work",D1942)&amp;IF(AND(K1942&lt;&gt;"",E1942&lt;&gt;""),", "&amp;E1942,""))</f>
        <v/>
      </c>
      <c r="T1942">
        <f>IF(R1942="","",IF(COUNTIFS(R$6:R1941,"&gt;0",S$6:S1941,S1942,N$6:N1941,N1942)=0,R1942,""))</f>
        <v/>
      </c>
      <c r="U1942">
        <f>IF(B1942="","",IF(J1942&lt;&gt;"",0,M1942))</f>
        <v/>
      </c>
    </row>
    <row r="1943">
      <c r="A1943" s="1" t="n"/>
      <c r="B1943" s="16" t="n"/>
      <c r="C1943" s="17" t="n"/>
      <c r="D1943" s="18" t="n"/>
      <c r="E1943" s="18" t="n"/>
      <c r="F1943" s="19" t="n"/>
      <c r="G1943" s="19" t="n"/>
      <c r="H1943" s="20" t="n"/>
      <c r="I1943" s="21" t="n"/>
      <c r="J1943" s="22" t="n"/>
      <c r="K1943" s="23" t="n"/>
      <c r="L1943" s="18" t="n"/>
      <c r="M1943" s="24">
        <f>IF(B1943="","",IF(AND(F1943&lt;&gt;"",G1943&lt;&gt;""),MAX(0,ROUND(MOD(G1943-F1943,1)*24-N(H1943)/60,2)),N(I1943)))</f>
        <v/>
      </c>
      <c r="N1943" s="14">
        <f>IF(B1943="","",IF(K1943&lt;&gt;"",K1943,IF(N(IFERROR(INDEX(Projects!$D$6:$D$65,MATCH(D1943,Projects!$B$6:$B$65,0)),""))&gt;0,IFERROR(INDEX(Projects!$D$6:$D$65,MATCH(D1943,Projects!$B$6:$B$65,0)),""),IFERROR(INDEX(Clients!$G$6:$G$45,MATCH(C1943,Clients!$B$6:$B$45,0)),0))))</f>
        <v/>
      </c>
      <c r="O1943" s="14">
        <f>IF(B1943="","",IF(J1943&lt;&gt;"",0,ROUND(M1943*N1943,2)))</f>
        <v/>
      </c>
      <c r="P1943" s="15">
        <f>IF(OR(B1943="",J1943&lt;&gt;""),"",IF(L1943&lt;&gt;"",L1943,IF(COUNTIFS(Invoices!$C$6:$C$305,C1943,Invoices!$E$6:$E$305,"&lt;="&amp;B1943,Invoices!$F$6:$F$305,"&gt;="&amp;B1943)=1,INDEX(Invoices!$B$6:$B$305,SUMIFS(Invoices!$O$6:$O$305,Invoices!$C$6:$C$305,C1943,Invoices!$E$6:$E$305,"&lt;="&amp;B1943,Invoices!$F$6:$F$305,"&gt;="&amp;B1943)),IF(COUNTIFS(Invoices!$C$6:$C$305,C1943,Invoices!$E$6:$E$305,"&lt;="&amp;B1943,Invoices!$F$6:$F$305,"&gt;="&amp;B1943)&gt;1,"Two invoices",""))))</f>
        <v/>
      </c>
      <c r="Q1943" s="15">
        <f>IF(B1943="","",IF(J1943&lt;&gt;"","Not billable",IF(P1943="","To invoice",IF(P1943="Two invoices","Check dates",IF(ISNA(MATCH(P1943,Invoices!$B$6:$B$305,0)),"Check number",IF(INDEX(Invoices!$M$6:$M$305,MATCH(P1943,Invoices!$B$6:$B$305,0))="Paid","Paid",IF(INDEX(Invoices!$M$6:$M$305,MATCH(P1943,Invoices!$B$6:$B$305,0))="Draft","Draft","Invoiced")))))))</f>
        <v/>
      </c>
      <c r="R1943" s="1">
        <f>IF(AND(B1943&lt;&gt;"",P1943&lt;&gt;"",P1943=Invoice!$G$4),B1943+MOD(N(F1943),1)+ROW()/10000000,"")</f>
        <v/>
      </c>
      <c r="S1943">
        <f>IF(R1943="","",IF(D1943="","Other work",D1943)&amp;IF(AND(K1943&lt;&gt;"",E1943&lt;&gt;""),", "&amp;E1943,""))</f>
        <v/>
      </c>
      <c r="T1943">
        <f>IF(R1943="","",IF(COUNTIFS(R$6:R1942,"&gt;0",S$6:S1942,S1943,N$6:N1942,N1943)=0,R1943,""))</f>
        <v/>
      </c>
      <c r="U1943">
        <f>IF(B1943="","",IF(J1943&lt;&gt;"",0,M1943))</f>
        <v/>
      </c>
    </row>
    <row r="1944">
      <c r="A1944" s="1" t="n"/>
      <c r="B1944" s="16" t="n"/>
      <c r="C1944" s="17" t="n"/>
      <c r="D1944" s="18" t="n"/>
      <c r="E1944" s="18" t="n"/>
      <c r="F1944" s="19" t="n"/>
      <c r="G1944" s="19" t="n"/>
      <c r="H1944" s="20" t="n"/>
      <c r="I1944" s="21" t="n"/>
      <c r="J1944" s="22" t="n"/>
      <c r="K1944" s="23" t="n"/>
      <c r="L1944" s="18" t="n"/>
      <c r="M1944" s="24">
        <f>IF(B1944="","",IF(AND(F1944&lt;&gt;"",G1944&lt;&gt;""),MAX(0,ROUND(MOD(G1944-F1944,1)*24-N(H1944)/60,2)),N(I1944)))</f>
        <v/>
      </c>
      <c r="N1944" s="14">
        <f>IF(B1944="","",IF(K1944&lt;&gt;"",K1944,IF(N(IFERROR(INDEX(Projects!$D$6:$D$65,MATCH(D1944,Projects!$B$6:$B$65,0)),""))&gt;0,IFERROR(INDEX(Projects!$D$6:$D$65,MATCH(D1944,Projects!$B$6:$B$65,0)),""),IFERROR(INDEX(Clients!$G$6:$G$45,MATCH(C1944,Clients!$B$6:$B$45,0)),0))))</f>
        <v/>
      </c>
      <c r="O1944" s="14">
        <f>IF(B1944="","",IF(J1944&lt;&gt;"",0,ROUND(M1944*N1944,2)))</f>
        <v/>
      </c>
      <c r="P1944" s="15">
        <f>IF(OR(B1944="",J1944&lt;&gt;""),"",IF(L1944&lt;&gt;"",L1944,IF(COUNTIFS(Invoices!$C$6:$C$305,C1944,Invoices!$E$6:$E$305,"&lt;="&amp;B1944,Invoices!$F$6:$F$305,"&gt;="&amp;B1944)=1,INDEX(Invoices!$B$6:$B$305,SUMIFS(Invoices!$O$6:$O$305,Invoices!$C$6:$C$305,C1944,Invoices!$E$6:$E$305,"&lt;="&amp;B1944,Invoices!$F$6:$F$305,"&gt;="&amp;B1944)),IF(COUNTIFS(Invoices!$C$6:$C$305,C1944,Invoices!$E$6:$E$305,"&lt;="&amp;B1944,Invoices!$F$6:$F$305,"&gt;="&amp;B1944)&gt;1,"Two invoices",""))))</f>
        <v/>
      </c>
      <c r="Q1944" s="15">
        <f>IF(B1944="","",IF(J1944&lt;&gt;"","Not billable",IF(P1944="","To invoice",IF(P1944="Two invoices","Check dates",IF(ISNA(MATCH(P1944,Invoices!$B$6:$B$305,0)),"Check number",IF(INDEX(Invoices!$M$6:$M$305,MATCH(P1944,Invoices!$B$6:$B$305,0))="Paid","Paid",IF(INDEX(Invoices!$M$6:$M$305,MATCH(P1944,Invoices!$B$6:$B$305,0))="Draft","Draft","Invoiced")))))))</f>
        <v/>
      </c>
      <c r="R1944" s="1">
        <f>IF(AND(B1944&lt;&gt;"",P1944&lt;&gt;"",P1944=Invoice!$G$4),B1944+MOD(N(F1944),1)+ROW()/10000000,"")</f>
        <v/>
      </c>
      <c r="S1944">
        <f>IF(R1944="","",IF(D1944="","Other work",D1944)&amp;IF(AND(K1944&lt;&gt;"",E1944&lt;&gt;""),", "&amp;E1944,""))</f>
        <v/>
      </c>
      <c r="T1944">
        <f>IF(R1944="","",IF(COUNTIFS(R$6:R1943,"&gt;0",S$6:S1943,S1944,N$6:N1943,N1944)=0,R1944,""))</f>
        <v/>
      </c>
      <c r="U1944">
        <f>IF(B1944="","",IF(J1944&lt;&gt;"",0,M1944))</f>
        <v/>
      </c>
    </row>
    <row r="1945">
      <c r="A1945" s="1" t="n"/>
      <c r="B1945" s="16" t="n"/>
      <c r="C1945" s="17" t="n"/>
      <c r="D1945" s="18" t="n"/>
      <c r="E1945" s="18" t="n"/>
      <c r="F1945" s="19" t="n"/>
      <c r="G1945" s="19" t="n"/>
      <c r="H1945" s="20" t="n"/>
      <c r="I1945" s="21" t="n"/>
      <c r="J1945" s="22" t="n"/>
      <c r="K1945" s="23" t="n"/>
      <c r="L1945" s="18" t="n"/>
      <c r="M1945" s="24">
        <f>IF(B1945="","",IF(AND(F1945&lt;&gt;"",G1945&lt;&gt;""),MAX(0,ROUND(MOD(G1945-F1945,1)*24-N(H1945)/60,2)),N(I1945)))</f>
        <v/>
      </c>
      <c r="N1945" s="14">
        <f>IF(B1945="","",IF(K1945&lt;&gt;"",K1945,IF(N(IFERROR(INDEX(Projects!$D$6:$D$65,MATCH(D1945,Projects!$B$6:$B$65,0)),""))&gt;0,IFERROR(INDEX(Projects!$D$6:$D$65,MATCH(D1945,Projects!$B$6:$B$65,0)),""),IFERROR(INDEX(Clients!$G$6:$G$45,MATCH(C1945,Clients!$B$6:$B$45,0)),0))))</f>
        <v/>
      </c>
      <c r="O1945" s="14">
        <f>IF(B1945="","",IF(J1945&lt;&gt;"",0,ROUND(M1945*N1945,2)))</f>
        <v/>
      </c>
      <c r="P1945" s="15">
        <f>IF(OR(B1945="",J1945&lt;&gt;""),"",IF(L1945&lt;&gt;"",L1945,IF(COUNTIFS(Invoices!$C$6:$C$305,C1945,Invoices!$E$6:$E$305,"&lt;="&amp;B1945,Invoices!$F$6:$F$305,"&gt;="&amp;B1945)=1,INDEX(Invoices!$B$6:$B$305,SUMIFS(Invoices!$O$6:$O$305,Invoices!$C$6:$C$305,C1945,Invoices!$E$6:$E$305,"&lt;="&amp;B1945,Invoices!$F$6:$F$305,"&gt;="&amp;B1945)),IF(COUNTIFS(Invoices!$C$6:$C$305,C1945,Invoices!$E$6:$E$305,"&lt;="&amp;B1945,Invoices!$F$6:$F$305,"&gt;="&amp;B1945)&gt;1,"Two invoices",""))))</f>
        <v/>
      </c>
      <c r="Q1945" s="15">
        <f>IF(B1945="","",IF(J1945&lt;&gt;"","Not billable",IF(P1945="","To invoice",IF(P1945="Two invoices","Check dates",IF(ISNA(MATCH(P1945,Invoices!$B$6:$B$305,0)),"Check number",IF(INDEX(Invoices!$M$6:$M$305,MATCH(P1945,Invoices!$B$6:$B$305,0))="Paid","Paid",IF(INDEX(Invoices!$M$6:$M$305,MATCH(P1945,Invoices!$B$6:$B$305,0))="Draft","Draft","Invoiced")))))))</f>
        <v/>
      </c>
      <c r="R1945" s="1">
        <f>IF(AND(B1945&lt;&gt;"",P1945&lt;&gt;"",P1945=Invoice!$G$4),B1945+MOD(N(F1945),1)+ROW()/10000000,"")</f>
        <v/>
      </c>
      <c r="S1945">
        <f>IF(R1945="","",IF(D1945="","Other work",D1945)&amp;IF(AND(K1945&lt;&gt;"",E1945&lt;&gt;""),", "&amp;E1945,""))</f>
        <v/>
      </c>
      <c r="T1945">
        <f>IF(R1945="","",IF(COUNTIFS(R$6:R1944,"&gt;0",S$6:S1944,S1945,N$6:N1944,N1945)=0,R1945,""))</f>
        <v/>
      </c>
      <c r="U1945">
        <f>IF(B1945="","",IF(J1945&lt;&gt;"",0,M1945))</f>
        <v/>
      </c>
    </row>
    <row r="1946">
      <c r="A1946" s="1" t="n"/>
      <c r="B1946" s="16" t="n"/>
      <c r="C1946" s="17" t="n"/>
      <c r="D1946" s="18" t="n"/>
      <c r="E1946" s="18" t="n"/>
      <c r="F1946" s="19" t="n"/>
      <c r="G1946" s="19" t="n"/>
      <c r="H1946" s="20" t="n"/>
      <c r="I1946" s="21" t="n"/>
      <c r="J1946" s="22" t="n"/>
      <c r="K1946" s="23" t="n"/>
      <c r="L1946" s="18" t="n"/>
      <c r="M1946" s="24">
        <f>IF(B1946="","",IF(AND(F1946&lt;&gt;"",G1946&lt;&gt;""),MAX(0,ROUND(MOD(G1946-F1946,1)*24-N(H1946)/60,2)),N(I1946)))</f>
        <v/>
      </c>
      <c r="N1946" s="14">
        <f>IF(B1946="","",IF(K1946&lt;&gt;"",K1946,IF(N(IFERROR(INDEX(Projects!$D$6:$D$65,MATCH(D1946,Projects!$B$6:$B$65,0)),""))&gt;0,IFERROR(INDEX(Projects!$D$6:$D$65,MATCH(D1946,Projects!$B$6:$B$65,0)),""),IFERROR(INDEX(Clients!$G$6:$G$45,MATCH(C1946,Clients!$B$6:$B$45,0)),0))))</f>
        <v/>
      </c>
      <c r="O1946" s="14">
        <f>IF(B1946="","",IF(J1946&lt;&gt;"",0,ROUND(M1946*N1946,2)))</f>
        <v/>
      </c>
      <c r="P1946" s="15">
        <f>IF(OR(B1946="",J1946&lt;&gt;""),"",IF(L1946&lt;&gt;"",L1946,IF(COUNTIFS(Invoices!$C$6:$C$305,C1946,Invoices!$E$6:$E$305,"&lt;="&amp;B1946,Invoices!$F$6:$F$305,"&gt;="&amp;B1946)=1,INDEX(Invoices!$B$6:$B$305,SUMIFS(Invoices!$O$6:$O$305,Invoices!$C$6:$C$305,C1946,Invoices!$E$6:$E$305,"&lt;="&amp;B1946,Invoices!$F$6:$F$305,"&gt;="&amp;B1946)),IF(COUNTIFS(Invoices!$C$6:$C$305,C1946,Invoices!$E$6:$E$305,"&lt;="&amp;B1946,Invoices!$F$6:$F$305,"&gt;="&amp;B1946)&gt;1,"Two invoices",""))))</f>
        <v/>
      </c>
      <c r="Q1946" s="15">
        <f>IF(B1946="","",IF(J1946&lt;&gt;"","Not billable",IF(P1946="","To invoice",IF(P1946="Two invoices","Check dates",IF(ISNA(MATCH(P1946,Invoices!$B$6:$B$305,0)),"Check number",IF(INDEX(Invoices!$M$6:$M$305,MATCH(P1946,Invoices!$B$6:$B$305,0))="Paid","Paid",IF(INDEX(Invoices!$M$6:$M$305,MATCH(P1946,Invoices!$B$6:$B$305,0))="Draft","Draft","Invoiced")))))))</f>
        <v/>
      </c>
      <c r="R1946" s="1">
        <f>IF(AND(B1946&lt;&gt;"",P1946&lt;&gt;"",P1946=Invoice!$G$4),B1946+MOD(N(F1946),1)+ROW()/10000000,"")</f>
        <v/>
      </c>
      <c r="S1946">
        <f>IF(R1946="","",IF(D1946="","Other work",D1946)&amp;IF(AND(K1946&lt;&gt;"",E1946&lt;&gt;""),", "&amp;E1946,""))</f>
        <v/>
      </c>
      <c r="T1946">
        <f>IF(R1946="","",IF(COUNTIFS(R$6:R1945,"&gt;0",S$6:S1945,S1946,N$6:N1945,N1946)=0,R1946,""))</f>
        <v/>
      </c>
      <c r="U1946">
        <f>IF(B1946="","",IF(J1946&lt;&gt;"",0,M1946))</f>
        <v/>
      </c>
    </row>
    <row r="1947">
      <c r="A1947" s="1" t="n"/>
      <c r="B1947" s="16" t="n"/>
      <c r="C1947" s="17" t="n"/>
      <c r="D1947" s="18" t="n"/>
      <c r="E1947" s="18" t="n"/>
      <c r="F1947" s="19" t="n"/>
      <c r="G1947" s="19" t="n"/>
      <c r="H1947" s="20" t="n"/>
      <c r="I1947" s="21" t="n"/>
      <c r="J1947" s="22" t="n"/>
      <c r="K1947" s="23" t="n"/>
      <c r="L1947" s="18" t="n"/>
      <c r="M1947" s="24">
        <f>IF(B1947="","",IF(AND(F1947&lt;&gt;"",G1947&lt;&gt;""),MAX(0,ROUND(MOD(G1947-F1947,1)*24-N(H1947)/60,2)),N(I1947)))</f>
        <v/>
      </c>
      <c r="N1947" s="14">
        <f>IF(B1947="","",IF(K1947&lt;&gt;"",K1947,IF(N(IFERROR(INDEX(Projects!$D$6:$D$65,MATCH(D1947,Projects!$B$6:$B$65,0)),""))&gt;0,IFERROR(INDEX(Projects!$D$6:$D$65,MATCH(D1947,Projects!$B$6:$B$65,0)),""),IFERROR(INDEX(Clients!$G$6:$G$45,MATCH(C1947,Clients!$B$6:$B$45,0)),0))))</f>
        <v/>
      </c>
      <c r="O1947" s="14">
        <f>IF(B1947="","",IF(J1947&lt;&gt;"",0,ROUND(M1947*N1947,2)))</f>
        <v/>
      </c>
      <c r="P1947" s="15">
        <f>IF(OR(B1947="",J1947&lt;&gt;""),"",IF(L1947&lt;&gt;"",L1947,IF(COUNTIFS(Invoices!$C$6:$C$305,C1947,Invoices!$E$6:$E$305,"&lt;="&amp;B1947,Invoices!$F$6:$F$305,"&gt;="&amp;B1947)=1,INDEX(Invoices!$B$6:$B$305,SUMIFS(Invoices!$O$6:$O$305,Invoices!$C$6:$C$305,C1947,Invoices!$E$6:$E$305,"&lt;="&amp;B1947,Invoices!$F$6:$F$305,"&gt;="&amp;B1947)),IF(COUNTIFS(Invoices!$C$6:$C$305,C1947,Invoices!$E$6:$E$305,"&lt;="&amp;B1947,Invoices!$F$6:$F$305,"&gt;="&amp;B1947)&gt;1,"Two invoices",""))))</f>
        <v/>
      </c>
      <c r="Q1947" s="15">
        <f>IF(B1947="","",IF(J1947&lt;&gt;"","Not billable",IF(P1947="","To invoice",IF(P1947="Two invoices","Check dates",IF(ISNA(MATCH(P1947,Invoices!$B$6:$B$305,0)),"Check number",IF(INDEX(Invoices!$M$6:$M$305,MATCH(P1947,Invoices!$B$6:$B$305,0))="Paid","Paid",IF(INDEX(Invoices!$M$6:$M$305,MATCH(P1947,Invoices!$B$6:$B$305,0))="Draft","Draft","Invoiced")))))))</f>
        <v/>
      </c>
      <c r="R1947" s="1">
        <f>IF(AND(B1947&lt;&gt;"",P1947&lt;&gt;"",P1947=Invoice!$G$4),B1947+MOD(N(F1947),1)+ROW()/10000000,"")</f>
        <v/>
      </c>
      <c r="S1947">
        <f>IF(R1947="","",IF(D1947="","Other work",D1947)&amp;IF(AND(K1947&lt;&gt;"",E1947&lt;&gt;""),", "&amp;E1947,""))</f>
        <v/>
      </c>
      <c r="T1947">
        <f>IF(R1947="","",IF(COUNTIFS(R$6:R1946,"&gt;0",S$6:S1946,S1947,N$6:N1946,N1947)=0,R1947,""))</f>
        <v/>
      </c>
      <c r="U1947">
        <f>IF(B1947="","",IF(J1947&lt;&gt;"",0,M1947))</f>
        <v/>
      </c>
    </row>
    <row r="1948">
      <c r="A1948" s="1" t="n"/>
      <c r="B1948" s="16" t="n"/>
      <c r="C1948" s="17" t="n"/>
      <c r="D1948" s="18" t="n"/>
      <c r="E1948" s="18" t="n"/>
      <c r="F1948" s="19" t="n"/>
      <c r="G1948" s="19" t="n"/>
      <c r="H1948" s="20" t="n"/>
      <c r="I1948" s="21" t="n"/>
      <c r="J1948" s="22" t="n"/>
      <c r="K1948" s="23" t="n"/>
      <c r="L1948" s="18" t="n"/>
      <c r="M1948" s="24">
        <f>IF(B1948="","",IF(AND(F1948&lt;&gt;"",G1948&lt;&gt;""),MAX(0,ROUND(MOD(G1948-F1948,1)*24-N(H1948)/60,2)),N(I1948)))</f>
        <v/>
      </c>
      <c r="N1948" s="14">
        <f>IF(B1948="","",IF(K1948&lt;&gt;"",K1948,IF(N(IFERROR(INDEX(Projects!$D$6:$D$65,MATCH(D1948,Projects!$B$6:$B$65,0)),""))&gt;0,IFERROR(INDEX(Projects!$D$6:$D$65,MATCH(D1948,Projects!$B$6:$B$65,0)),""),IFERROR(INDEX(Clients!$G$6:$G$45,MATCH(C1948,Clients!$B$6:$B$45,0)),0))))</f>
        <v/>
      </c>
      <c r="O1948" s="14">
        <f>IF(B1948="","",IF(J1948&lt;&gt;"",0,ROUND(M1948*N1948,2)))</f>
        <v/>
      </c>
      <c r="P1948" s="15">
        <f>IF(OR(B1948="",J1948&lt;&gt;""),"",IF(L1948&lt;&gt;"",L1948,IF(COUNTIFS(Invoices!$C$6:$C$305,C1948,Invoices!$E$6:$E$305,"&lt;="&amp;B1948,Invoices!$F$6:$F$305,"&gt;="&amp;B1948)=1,INDEX(Invoices!$B$6:$B$305,SUMIFS(Invoices!$O$6:$O$305,Invoices!$C$6:$C$305,C1948,Invoices!$E$6:$E$305,"&lt;="&amp;B1948,Invoices!$F$6:$F$305,"&gt;="&amp;B1948)),IF(COUNTIFS(Invoices!$C$6:$C$305,C1948,Invoices!$E$6:$E$305,"&lt;="&amp;B1948,Invoices!$F$6:$F$305,"&gt;="&amp;B1948)&gt;1,"Two invoices",""))))</f>
        <v/>
      </c>
      <c r="Q1948" s="15">
        <f>IF(B1948="","",IF(J1948&lt;&gt;"","Not billable",IF(P1948="","To invoice",IF(P1948="Two invoices","Check dates",IF(ISNA(MATCH(P1948,Invoices!$B$6:$B$305,0)),"Check number",IF(INDEX(Invoices!$M$6:$M$305,MATCH(P1948,Invoices!$B$6:$B$305,0))="Paid","Paid",IF(INDEX(Invoices!$M$6:$M$305,MATCH(P1948,Invoices!$B$6:$B$305,0))="Draft","Draft","Invoiced")))))))</f>
        <v/>
      </c>
      <c r="R1948" s="1">
        <f>IF(AND(B1948&lt;&gt;"",P1948&lt;&gt;"",P1948=Invoice!$G$4),B1948+MOD(N(F1948),1)+ROW()/10000000,"")</f>
        <v/>
      </c>
      <c r="S1948">
        <f>IF(R1948="","",IF(D1948="","Other work",D1948)&amp;IF(AND(K1948&lt;&gt;"",E1948&lt;&gt;""),", "&amp;E1948,""))</f>
        <v/>
      </c>
      <c r="T1948">
        <f>IF(R1948="","",IF(COUNTIFS(R$6:R1947,"&gt;0",S$6:S1947,S1948,N$6:N1947,N1948)=0,R1948,""))</f>
        <v/>
      </c>
      <c r="U1948">
        <f>IF(B1948="","",IF(J1948&lt;&gt;"",0,M1948))</f>
        <v/>
      </c>
    </row>
    <row r="1949">
      <c r="A1949" s="1" t="n"/>
      <c r="B1949" s="16" t="n"/>
      <c r="C1949" s="17" t="n"/>
      <c r="D1949" s="18" t="n"/>
      <c r="E1949" s="18" t="n"/>
      <c r="F1949" s="19" t="n"/>
      <c r="G1949" s="19" t="n"/>
      <c r="H1949" s="20" t="n"/>
      <c r="I1949" s="21" t="n"/>
      <c r="J1949" s="22" t="n"/>
      <c r="K1949" s="23" t="n"/>
      <c r="L1949" s="18" t="n"/>
      <c r="M1949" s="24">
        <f>IF(B1949="","",IF(AND(F1949&lt;&gt;"",G1949&lt;&gt;""),MAX(0,ROUND(MOD(G1949-F1949,1)*24-N(H1949)/60,2)),N(I1949)))</f>
        <v/>
      </c>
      <c r="N1949" s="14">
        <f>IF(B1949="","",IF(K1949&lt;&gt;"",K1949,IF(N(IFERROR(INDEX(Projects!$D$6:$D$65,MATCH(D1949,Projects!$B$6:$B$65,0)),""))&gt;0,IFERROR(INDEX(Projects!$D$6:$D$65,MATCH(D1949,Projects!$B$6:$B$65,0)),""),IFERROR(INDEX(Clients!$G$6:$G$45,MATCH(C1949,Clients!$B$6:$B$45,0)),0))))</f>
        <v/>
      </c>
      <c r="O1949" s="14">
        <f>IF(B1949="","",IF(J1949&lt;&gt;"",0,ROUND(M1949*N1949,2)))</f>
        <v/>
      </c>
      <c r="P1949" s="15">
        <f>IF(OR(B1949="",J1949&lt;&gt;""),"",IF(L1949&lt;&gt;"",L1949,IF(COUNTIFS(Invoices!$C$6:$C$305,C1949,Invoices!$E$6:$E$305,"&lt;="&amp;B1949,Invoices!$F$6:$F$305,"&gt;="&amp;B1949)=1,INDEX(Invoices!$B$6:$B$305,SUMIFS(Invoices!$O$6:$O$305,Invoices!$C$6:$C$305,C1949,Invoices!$E$6:$E$305,"&lt;="&amp;B1949,Invoices!$F$6:$F$305,"&gt;="&amp;B1949)),IF(COUNTIFS(Invoices!$C$6:$C$305,C1949,Invoices!$E$6:$E$305,"&lt;="&amp;B1949,Invoices!$F$6:$F$305,"&gt;="&amp;B1949)&gt;1,"Two invoices",""))))</f>
        <v/>
      </c>
      <c r="Q1949" s="15">
        <f>IF(B1949="","",IF(J1949&lt;&gt;"","Not billable",IF(P1949="","To invoice",IF(P1949="Two invoices","Check dates",IF(ISNA(MATCH(P1949,Invoices!$B$6:$B$305,0)),"Check number",IF(INDEX(Invoices!$M$6:$M$305,MATCH(P1949,Invoices!$B$6:$B$305,0))="Paid","Paid",IF(INDEX(Invoices!$M$6:$M$305,MATCH(P1949,Invoices!$B$6:$B$305,0))="Draft","Draft","Invoiced")))))))</f>
        <v/>
      </c>
      <c r="R1949" s="1">
        <f>IF(AND(B1949&lt;&gt;"",P1949&lt;&gt;"",P1949=Invoice!$G$4),B1949+MOD(N(F1949),1)+ROW()/10000000,"")</f>
        <v/>
      </c>
      <c r="S1949">
        <f>IF(R1949="","",IF(D1949="","Other work",D1949)&amp;IF(AND(K1949&lt;&gt;"",E1949&lt;&gt;""),", "&amp;E1949,""))</f>
        <v/>
      </c>
      <c r="T1949">
        <f>IF(R1949="","",IF(COUNTIFS(R$6:R1948,"&gt;0",S$6:S1948,S1949,N$6:N1948,N1949)=0,R1949,""))</f>
        <v/>
      </c>
      <c r="U1949">
        <f>IF(B1949="","",IF(J1949&lt;&gt;"",0,M1949))</f>
        <v/>
      </c>
    </row>
    <row r="1950">
      <c r="A1950" s="1" t="n"/>
      <c r="B1950" s="16" t="n"/>
      <c r="C1950" s="17" t="n"/>
      <c r="D1950" s="18" t="n"/>
      <c r="E1950" s="18" t="n"/>
      <c r="F1950" s="19" t="n"/>
      <c r="G1950" s="19" t="n"/>
      <c r="H1950" s="20" t="n"/>
      <c r="I1950" s="21" t="n"/>
      <c r="J1950" s="22" t="n"/>
      <c r="K1950" s="23" t="n"/>
      <c r="L1950" s="18" t="n"/>
      <c r="M1950" s="24">
        <f>IF(B1950="","",IF(AND(F1950&lt;&gt;"",G1950&lt;&gt;""),MAX(0,ROUND(MOD(G1950-F1950,1)*24-N(H1950)/60,2)),N(I1950)))</f>
        <v/>
      </c>
      <c r="N1950" s="14">
        <f>IF(B1950="","",IF(K1950&lt;&gt;"",K1950,IF(N(IFERROR(INDEX(Projects!$D$6:$D$65,MATCH(D1950,Projects!$B$6:$B$65,0)),""))&gt;0,IFERROR(INDEX(Projects!$D$6:$D$65,MATCH(D1950,Projects!$B$6:$B$65,0)),""),IFERROR(INDEX(Clients!$G$6:$G$45,MATCH(C1950,Clients!$B$6:$B$45,0)),0))))</f>
        <v/>
      </c>
      <c r="O1950" s="14">
        <f>IF(B1950="","",IF(J1950&lt;&gt;"",0,ROUND(M1950*N1950,2)))</f>
        <v/>
      </c>
      <c r="P1950" s="15">
        <f>IF(OR(B1950="",J1950&lt;&gt;""),"",IF(L1950&lt;&gt;"",L1950,IF(COUNTIFS(Invoices!$C$6:$C$305,C1950,Invoices!$E$6:$E$305,"&lt;="&amp;B1950,Invoices!$F$6:$F$305,"&gt;="&amp;B1950)=1,INDEX(Invoices!$B$6:$B$305,SUMIFS(Invoices!$O$6:$O$305,Invoices!$C$6:$C$305,C1950,Invoices!$E$6:$E$305,"&lt;="&amp;B1950,Invoices!$F$6:$F$305,"&gt;="&amp;B1950)),IF(COUNTIFS(Invoices!$C$6:$C$305,C1950,Invoices!$E$6:$E$305,"&lt;="&amp;B1950,Invoices!$F$6:$F$305,"&gt;="&amp;B1950)&gt;1,"Two invoices",""))))</f>
        <v/>
      </c>
      <c r="Q1950" s="15">
        <f>IF(B1950="","",IF(J1950&lt;&gt;"","Not billable",IF(P1950="","To invoice",IF(P1950="Two invoices","Check dates",IF(ISNA(MATCH(P1950,Invoices!$B$6:$B$305,0)),"Check number",IF(INDEX(Invoices!$M$6:$M$305,MATCH(P1950,Invoices!$B$6:$B$305,0))="Paid","Paid",IF(INDEX(Invoices!$M$6:$M$305,MATCH(P1950,Invoices!$B$6:$B$305,0))="Draft","Draft","Invoiced")))))))</f>
        <v/>
      </c>
      <c r="R1950" s="1">
        <f>IF(AND(B1950&lt;&gt;"",P1950&lt;&gt;"",P1950=Invoice!$G$4),B1950+MOD(N(F1950),1)+ROW()/10000000,"")</f>
        <v/>
      </c>
      <c r="S1950">
        <f>IF(R1950="","",IF(D1950="","Other work",D1950)&amp;IF(AND(K1950&lt;&gt;"",E1950&lt;&gt;""),", "&amp;E1950,""))</f>
        <v/>
      </c>
      <c r="T1950">
        <f>IF(R1950="","",IF(COUNTIFS(R$6:R1949,"&gt;0",S$6:S1949,S1950,N$6:N1949,N1950)=0,R1950,""))</f>
        <v/>
      </c>
      <c r="U1950">
        <f>IF(B1950="","",IF(J1950&lt;&gt;"",0,M1950))</f>
        <v/>
      </c>
    </row>
    <row r="1951">
      <c r="A1951" s="1" t="n"/>
      <c r="B1951" s="16" t="n"/>
      <c r="C1951" s="17" t="n"/>
      <c r="D1951" s="18" t="n"/>
      <c r="E1951" s="18" t="n"/>
      <c r="F1951" s="19" t="n"/>
      <c r="G1951" s="19" t="n"/>
      <c r="H1951" s="20" t="n"/>
      <c r="I1951" s="21" t="n"/>
      <c r="J1951" s="22" t="n"/>
      <c r="K1951" s="23" t="n"/>
      <c r="L1951" s="18" t="n"/>
      <c r="M1951" s="24">
        <f>IF(B1951="","",IF(AND(F1951&lt;&gt;"",G1951&lt;&gt;""),MAX(0,ROUND(MOD(G1951-F1951,1)*24-N(H1951)/60,2)),N(I1951)))</f>
        <v/>
      </c>
      <c r="N1951" s="14">
        <f>IF(B1951="","",IF(K1951&lt;&gt;"",K1951,IF(N(IFERROR(INDEX(Projects!$D$6:$D$65,MATCH(D1951,Projects!$B$6:$B$65,0)),""))&gt;0,IFERROR(INDEX(Projects!$D$6:$D$65,MATCH(D1951,Projects!$B$6:$B$65,0)),""),IFERROR(INDEX(Clients!$G$6:$G$45,MATCH(C1951,Clients!$B$6:$B$45,0)),0))))</f>
        <v/>
      </c>
      <c r="O1951" s="14">
        <f>IF(B1951="","",IF(J1951&lt;&gt;"",0,ROUND(M1951*N1951,2)))</f>
        <v/>
      </c>
      <c r="P1951" s="15">
        <f>IF(OR(B1951="",J1951&lt;&gt;""),"",IF(L1951&lt;&gt;"",L1951,IF(COUNTIFS(Invoices!$C$6:$C$305,C1951,Invoices!$E$6:$E$305,"&lt;="&amp;B1951,Invoices!$F$6:$F$305,"&gt;="&amp;B1951)=1,INDEX(Invoices!$B$6:$B$305,SUMIFS(Invoices!$O$6:$O$305,Invoices!$C$6:$C$305,C1951,Invoices!$E$6:$E$305,"&lt;="&amp;B1951,Invoices!$F$6:$F$305,"&gt;="&amp;B1951)),IF(COUNTIFS(Invoices!$C$6:$C$305,C1951,Invoices!$E$6:$E$305,"&lt;="&amp;B1951,Invoices!$F$6:$F$305,"&gt;="&amp;B1951)&gt;1,"Two invoices",""))))</f>
        <v/>
      </c>
      <c r="Q1951" s="15">
        <f>IF(B1951="","",IF(J1951&lt;&gt;"","Not billable",IF(P1951="","To invoice",IF(P1951="Two invoices","Check dates",IF(ISNA(MATCH(P1951,Invoices!$B$6:$B$305,0)),"Check number",IF(INDEX(Invoices!$M$6:$M$305,MATCH(P1951,Invoices!$B$6:$B$305,0))="Paid","Paid",IF(INDEX(Invoices!$M$6:$M$305,MATCH(P1951,Invoices!$B$6:$B$305,0))="Draft","Draft","Invoiced")))))))</f>
        <v/>
      </c>
      <c r="R1951" s="1">
        <f>IF(AND(B1951&lt;&gt;"",P1951&lt;&gt;"",P1951=Invoice!$G$4),B1951+MOD(N(F1951),1)+ROW()/10000000,"")</f>
        <v/>
      </c>
      <c r="S1951">
        <f>IF(R1951="","",IF(D1951="","Other work",D1951)&amp;IF(AND(K1951&lt;&gt;"",E1951&lt;&gt;""),", "&amp;E1951,""))</f>
        <v/>
      </c>
      <c r="T1951">
        <f>IF(R1951="","",IF(COUNTIFS(R$6:R1950,"&gt;0",S$6:S1950,S1951,N$6:N1950,N1951)=0,R1951,""))</f>
        <v/>
      </c>
      <c r="U1951">
        <f>IF(B1951="","",IF(J1951&lt;&gt;"",0,M1951))</f>
        <v/>
      </c>
    </row>
    <row r="1952">
      <c r="A1952" s="1" t="n"/>
      <c r="B1952" s="16" t="n"/>
      <c r="C1952" s="17" t="n"/>
      <c r="D1952" s="18" t="n"/>
      <c r="E1952" s="18" t="n"/>
      <c r="F1952" s="19" t="n"/>
      <c r="G1952" s="19" t="n"/>
      <c r="H1952" s="20" t="n"/>
      <c r="I1952" s="21" t="n"/>
      <c r="J1952" s="22" t="n"/>
      <c r="K1952" s="23" t="n"/>
      <c r="L1952" s="18" t="n"/>
      <c r="M1952" s="24">
        <f>IF(B1952="","",IF(AND(F1952&lt;&gt;"",G1952&lt;&gt;""),MAX(0,ROUND(MOD(G1952-F1952,1)*24-N(H1952)/60,2)),N(I1952)))</f>
        <v/>
      </c>
      <c r="N1952" s="14">
        <f>IF(B1952="","",IF(K1952&lt;&gt;"",K1952,IF(N(IFERROR(INDEX(Projects!$D$6:$D$65,MATCH(D1952,Projects!$B$6:$B$65,0)),""))&gt;0,IFERROR(INDEX(Projects!$D$6:$D$65,MATCH(D1952,Projects!$B$6:$B$65,0)),""),IFERROR(INDEX(Clients!$G$6:$G$45,MATCH(C1952,Clients!$B$6:$B$45,0)),0))))</f>
        <v/>
      </c>
      <c r="O1952" s="14">
        <f>IF(B1952="","",IF(J1952&lt;&gt;"",0,ROUND(M1952*N1952,2)))</f>
        <v/>
      </c>
      <c r="P1952" s="15">
        <f>IF(OR(B1952="",J1952&lt;&gt;""),"",IF(L1952&lt;&gt;"",L1952,IF(COUNTIFS(Invoices!$C$6:$C$305,C1952,Invoices!$E$6:$E$305,"&lt;="&amp;B1952,Invoices!$F$6:$F$305,"&gt;="&amp;B1952)=1,INDEX(Invoices!$B$6:$B$305,SUMIFS(Invoices!$O$6:$O$305,Invoices!$C$6:$C$305,C1952,Invoices!$E$6:$E$305,"&lt;="&amp;B1952,Invoices!$F$6:$F$305,"&gt;="&amp;B1952)),IF(COUNTIFS(Invoices!$C$6:$C$305,C1952,Invoices!$E$6:$E$305,"&lt;="&amp;B1952,Invoices!$F$6:$F$305,"&gt;="&amp;B1952)&gt;1,"Two invoices",""))))</f>
        <v/>
      </c>
      <c r="Q1952" s="15">
        <f>IF(B1952="","",IF(J1952&lt;&gt;"","Not billable",IF(P1952="","To invoice",IF(P1952="Two invoices","Check dates",IF(ISNA(MATCH(P1952,Invoices!$B$6:$B$305,0)),"Check number",IF(INDEX(Invoices!$M$6:$M$305,MATCH(P1952,Invoices!$B$6:$B$305,0))="Paid","Paid",IF(INDEX(Invoices!$M$6:$M$305,MATCH(P1952,Invoices!$B$6:$B$305,0))="Draft","Draft","Invoiced")))))))</f>
        <v/>
      </c>
      <c r="R1952" s="1">
        <f>IF(AND(B1952&lt;&gt;"",P1952&lt;&gt;"",P1952=Invoice!$G$4),B1952+MOD(N(F1952),1)+ROW()/10000000,"")</f>
        <v/>
      </c>
      <c r="S1952">
        <f>IF(R1952="","",IF(D1952="","Other work",D1952)&amp;IF(AND(K1952&lt;&gt;"",E1952&lt;&gt;""),", "&amp;E1952,""))</f>
        <v/>
      </c>
      <c r="T1952">
        <f>IF(R1952="","",IF(COUNTIFS(R$6:R1951,"&gt;0",S$6:S1951,S1952,N$6:N1951,N1952)=0,R1952,""))</f>
        <v/>
      </c>
      <c r="U1952">
        <f>IF(B1952="","",IF(J1952&lt;&gt;"",0,M1952))</f>
        <v/>
      </c>
    </row>
    <row r="1953">
      <c r="A1953" s="1" t="n"/>
      <c r="B1953" s="16" t="n"/>
      <c r="C1953" s="17" t="n"/>
      <c r="D1953" s="18" t="n"/>
      <c r="E1953" s="18" t="n"/>
      <c r="F1953" s="19" t="n"/>
      <c r="G1953" s="19" t="n"/>
      <c r="H1953" s="20" t="n"/>
      <c r="I1953" s="21" t="n"/>
      <c r="J1953" s="22" t="n"/>
      <c r="K1953" s="23" t="n"/>
      <c r="L1953" s="18" t="n"/>
      <c r="M1953" s="24">
        <f>IF(B1953="","",IF(AND(F1953&lt;&gt;"",G1953&lt;&gt;""),MAX(0,ROUND(MOD(G1953-F1953,1)*24-N(H1953)/60,2)),N(I1953)))</f>
        <v/>
      </c>
      <c r="N1953" s="14">
        <f>IF(B1953="","",IF(K1953&lt;&gt;"",K1953,IF(N(IFERROR(INDEX(Projects!$D$6:$D$65,MATCH(D1953,Projects!$B$6:$B$65,0)),""))&gt;0,IFERROR(INDEX(Projects!$D$6:$D$65,MATCH(D1953,Projects!$B$6:$B$65,0)),""),IFERROR(INDEX(Clients!$G$6:$G$45,MATCH(C1953,Clients!$B$6:$B$45,0)),0))))</f>
        <v/>
      </c>
      <c r="O1953" s="14">
        <f>IF(B1953="","",IF(J1953&lt;&gt;"",0,ROUND(M1953*N1953,2)))</f>
        <v/>
      </c>
      <c r="P1953" s="15">
        <f>IF(OR(B1953="",J1953&lt;&gt;""),"",IF(L1953&lt;&gt;"",L1953,IF(COUNTIFS(Invoices!$C$6:$C$305,C1953,Invoices!$E$6:$E$305,"&lt;="&amp;B1953,Invoices!$F$6:$F$305,"&gt;="&amp;B1953)=1,INDEX(Invoices!$B$6:$B$305,SUMIFS(Invoices!$O$6:$O$305,Invoices!$C$6:$C$305,C1953,Invoices!$E$6:$E$305,"&lt;="&amp;B1953,Invoices!$F$6:$F$305,"&gt;="&amp;B1953)),IF(COUNTIFS(Invoices!$C$6:$C$305,C1953,Invoices!$E$6:$E$305,"&lt;="&amp;B1953,Invoices!$F$6:$F$305,"&gt;="&amp;B1953)&gt;1,"Two invoices",""))))</f>
        <v/>
      </c>
      <c r="Q1953" s="15">
        <f>IF(B1953="","",IF(J1953&lt;&gt;"","Not billable",IF(P1953="","To invoice",IF(P1953="Two invoices","Check dates",IF(ISNA(MATCH(P1953,Invoices!$B$6:$B$305,0)),"Check number",IF(INDEX(Invoices!$M$6:$M$305,MATCH(P1953,Invoices!$B$6:$B$305,0))="Paid","Paid",IF(INDEX(Invoices!$M$6:$M$305,MATCH(P1953,Invoices!$B$6:$B$305,0))="Draft","Draft","Invoiced")))))))</f>
        <v/>
      </c>
      <c r="R1953" s="1">
        <f>IF(AND(B1953&lt;&gt;"",P1953&lt;&gt;"",P1953=Invoice!$G$4),B1953+MOD(N(F1953),1)+ROW()/10000000,"")</f>
        <v/>
      </c>
      <c r="S1953">
        <f>IF(R1953="","",IF(D1953="","Other work",D1953)&amp;IF(AND(K1953&lt;&gt;"",E1953&lt;&gt;""),", "&amp;E1953,""))</f>
        <v/>
      </c>
      <c r="T1953">
        <f>IF(R1953="","",IF(COUNTIFS(R$6:R1952,"&gt;0",S$6:S1952,S1953,N$6:N1952,N1953)=0,R1953,""))</f>
        <v/>
      </c>
      <c r="U1953">
        <f>IF(B1953="","",IF(J1953&lt;&gt;"",0,M1953))</f>
        <v/>
      </c>
    </row>
    <row r="1954">
      <c r="A1954" s="1" t="n"/>
      <c r="B1954" s="16" t="n"/>
      <c r="C1954" s="17" t="n"/>
      <c r="D1954" s="18" t="n"/>
      <c r="E1954" s="18" t="n"/>
      <c r="F1954" s="19" t="n"/>
      <c r="G1954" s="19" t="n"/>
      <c r="H1954" s="20" t="n"/>
      <c r="I1954" s="21" t="n"/>
      <c r="J1954" s="22" t="n"/>
      <c r="K1954" s="23" t="n"/>
      <c r="L1954" s="18" t="n"/>
      <c r="M1954" s="24">
        <f>IF(B1954="","",IF(AND(F1954&lt;&gt;"",G1954&lt;&gt;""),MAX(0,ROUND(MOD(G1954-F1954,1)*24-N(H1954)/60,2)),N(I1954)))</f>
        <v/>
      </c>
      <c r="N1954" s="14">
        <f>IF(B1954="","",IF(K1954&lt;&gt;"",K1954,IF(N(IFERROR(INDEX(Projects!$D$6:$D$65,MATCH(D1954,Projects!$B$6:$B$65,0)),""))&gt;0,IFERROR(INDEX(Projects!$D$6:$D$65,MATCH(D1954,Projects!$B$6:$B$65,0)),""),IFERROR(INDEX(Clients!$G$6:$G$45,MATCH(C1954,Clients!$B$6:$B$45,0)),0))))</f>
        <v/>
      </c>
      <c r="O1954" s="14">
        <f>IF(B1954="","",IF(J1954&lt;&gt;"",0,ROUND(M1954*N1954,2)))</f>
        <v/>
      </c>
      <c r="P1954" s="15">
        <f>IF(OR(B1954="",J1954&lt;&gt;""),"",IF(L1954&lt;&gt;"",L1954,IF(COUNTIFS(Invoices!$C$6:$C$305,C1954,Invoices!$E$6:$E$305,"&lt;="&amp;B1954,Invoices!$F$6:$F$305,"&gt;="&amp;B1954)=1,INDEX(Invoices!$B$6:$B$305,SUMIFS(Invoices!$O$6:$O$305,Invoices!$C$6:$C$305,C1954,Invoices!$E$6:$E$305,"&lt;="&amp;B1954,Invoices!$F$6:$F$305,"&gt;="&amp;B1954)),IF(COUNTIFS(Invoices!$C$6:$C$305,C1954,Invoices!$E$6:$E$305,"&lt;="&amp;B1954,Invoices!$F$6:$F$305,"&gt;="&amp;B1954)&gt;1,"Two invoices",""))))</f>
        <v/>
      </c>
      <c r="Q1954" s="15">
        <f>IF(B1954="","",IF(J1954&lt;&gt;"","Not billable",IF(P1954="","To invoice",IF(P1954="Two invoices","Check dates",IF(ISNA(MATCH(P1954,Invoices!$B$6:$B$305,0)),"Check number",IF(INDEX(Invoices!$M$6:$M$305,MATCH(P1954,Invoices!$B$6:$B$305,0))="Paid","Paid",IF(INDEX(Invoices!$M$6:$M$305,MATCH(P1954,Invoices!$B$6:$B$305,0))="Draft","Draft","Invoiced")))))))</f>
        <v/>
      </c>
      <c r="R1954" s="1">
        <f>IF(AND(B1954&lt;&gt;"",P1954&lt;&gt;"",P1954=Invoice!$G$4),B1954+MOD(N(F1954),1)+ROW()/10000000,"")</f>
        <v/>
      </c>
      <c r="S1954">
        <f>IF(R1954="","",IF(D1954="","Other work",D1954)&amp;IF(AND(K1954&lt;&gt;"",E1954&lt;&gt;""),", "&amp;E1954,""))</f>
        <v/>
      </c>
      <c r="T1954">
        <f>IF(R1954="","",IF(COUNTIFS(R$6:R1953,"&gt;0",S$6:S1953,S1954,N$6:N1953,N1954)=0,R1954,""))</f>
        <v/>
      </c>
      <c r="U1954">
        <f>IF(B1954="","",IF(J1954&lt;&gt;"",0,M1954))</f>
        <v/>
      </c>
    </row>
    <row r="1955">
      <c r="A1955" s="1" t="n"/>
      <c r="B1955" s="16" t="n"/>
      <c r="C1955" s="17" t="n"/>
      <c r="D1955" s="18" t="n"/>
      <c r="E1955" s="18" t="n"/>
      <c r="F1955" s="19" t="n"/>
      <c r="G1955" s="19" t="n"/>
      <c r="H1955" s="20" t="n"/>
      <c r="I1955" s="21" t="n"/>
      <c r="J1955" s="22" t="n"/>
      <c r="K1955" s="23" t="n"/>
      <c r="L1955" s="18" t="n"/>
      <c r="M1955" s="24">
        <f>IF(B1955="","",IF(AND(F1955&lt;&gt;"",G1955&lt;&gt;""),MAX(0,ROUND(MOD(G1955-F1955,1)*24-N(H1955)/60,2)),N(I1955)))</f>
        <v/>
      </c>
      <c r="N1955" s="14">
        <f>IF(B1955="","",IF(K1955&lt;&gt;"",K1955,IF(N(IFERROR(INDEX(Projects!$D$6:$D$65,MATCH(D1955,Projects!$B$6:$B$65,0)),""))&gt;0,IFERROR(INDEX(Projects!$D$6:$D$65,MATCH(D1955,Projects!$B$6:$B$65,0)),""),IFERROR(INDEX(Clients!$G$6:$G$45,MATCH(C1955,Clients!$B$6:$B$45,0)),0))))</f>
        <v/>
      </c>
      <c r="O1955" s="14">
        <f>IF(B1955="","",IF(J1955&lt;&gt;"",0,ROUND(M1955*N1955,2)))</f>
        <v/>
      </c>
      <c r="P1955" s="15">
        <f>IF(OR(B1955="",J1955&lt;&gt;""),"",IF(L1955&lt;&gt;"",L1955,IF(COUNTIFS(Invoices!$C$6:$C$305,C1955,Invoices!$E$6:$E$305,"&lt;="&amp;B1955,Invoices!$F$6:$F$305,"&gt;="&amp;B1955)=1,INDEX(Invoices!$B$6:$B$305,SUMIFS(Invoices!$O$6:$O$305,Invoices!$C$6:$C$305,C1955,Invoices!$E$6:$E$305,"&lt;="&amp;B1955,Invoices!$F$6:$F$305,"&gt;="&amp;B1955)),IF(COUNTIFS(Invoices!$C$6:$C$305,C1955,Invoices!$E$6:$E$305,"&lt;="&amp;B1955,Invoices!$F$6:$F$305,"&gt;="&amp;B1955)&gt;1,"Two invoices",""))))</f>
        <v/>
      </c>
      <c r="Q1955" s="15">
        <f>IF(B1955="","",IF(J1955&lt;&gt;"","Not billable",IF(P1955="","To invoice",IF(P1955="Two invoices","Check dates",IF(ISNA(MATCH(P1955,Invoices!$B$6:$B$305,0)),"Check number",IF(INDEX(Invoices!$M$6:$M$305,MATCH(P1955,Invoices!$B$6:$B$305,0))="Paid","Paid",IF(INDEX(Invoices!$M$6:$M$305,MATCH(P1955,Invoices!$B$6:$B$305,0))="Draft","Draft","Invoiced")))))))</f>
        <v/>
      </c>
      <c r="R1955" s="1">
        <f>IF(AND(B1955&lt;&gt;"",P1955&lt;&gt;"",P1955=Invoice!$G$4),B1955+MOD(N(F1955),1)+ROW()/10000000,"")</f>
        <v/>
      </c>
      <c r="S1955">
        <f>IF(R1955="","",IF(D1955="","Other work",D1955)&amp;IF(AND(K1955&lt;&gt;"",E1955&lt;&gt;""),", "&amp;E1955,""))</f>
        <v/>
      </c>
      <c r="T1955">
        <f>IF(R1955="","",IF(COUNTIFS(R$6:R1954,"&gt;0",S$6:S1954,S1955,N$6:N1954,N1955)=0,R1955,""))</f>
        <v/>
      </c>
      <c r="U1955">
        <f>IF(B1955="","",IF(J1955&lt;&gt;"",0,M1955))</f>
        <v/>
      </c>
    </row>
    <row r="1956">
      <c r="A1956" s="1" t="n"/>
      <c r="B1956" s="16" t="n"/>
      <c r="C1956" s="17" t="n"/>
      <c r="D1956" s="18" t="n"/>
      <c r="E1956" s="18" t="n"/>
      <c r="F1956" s="19" t="n"/>
      <c r="G1956" s="19" t="n"/>
      <c r="H1956" s="20" t="n"/>
      <c r="I1956" s="21" t="n"/>
      <c r="J1956" s="22" t="n"/>
      <c r="K1956" s="23" t="n"/>
      <c r="L1956" s="18" t="n"/>
      <c r="M1956" s="24">
        <f>IF(B1956="","",IF(AND(F1956&lt;&gt;"",G1956&lt;&gt;""),MAX(0,ROUND(MOD(G1956-F1956,1)*24-N(H1956)/60,2)),N(I1956)))</f>
        <v/>
      </c>
      <c r="N1956" s="14">
        <f>IF(B1956="","",IF(K1956&lt;&gt;"",K1956,IF(N(IFERROR(INDEX(Projects!$D$6:$D$65,MATCH(D1956,Projects!$B$6:$B$65,0)),""))&gt;0,IFERROR(INDEX(Projects!$D$6:$D$65,MATCH(D1956,Projects!$B$6:$B$65,0)),""),IFERROR(INDEX(Clients!$G$6:$G$45,MATCH(C1956,Clients!$B$6:$B$45,0)),0))))</f>
        <v/>
      </c>
      <c r="O1956" s="14">
        <f>IF(B1956="","",IF(J1956&lt;&gt;"",0,ROUND(M1956*N1956,2)))</f>
        <v/>
      </c>
      <c r="P1956" s="15">
        <f>IF(OR(B1956="",J1956&lt;&gt;""),"",IF(L1956&lt;&gt;"",L1956,IF(COUNTIFS(Invoices!$C$6:$C$305,C1956,Invoices!$E$6:$E$305,"&lt;="&amp;B1956,Invoices!$F$6:$F$305,"&gt;="&amp;B1956)=1,INDEX(Invoices!$B$6:$B$305,SUMIFS(Invoices!$O$6:$O$305,Invoices!$C$6:$C$305,C1956,Invoices!$E$6:$E$305,"&lt;="&amp;B1956,Invoices!$F$6:$F$305,"&gt;="&amp;B1956)),IF(COUNTIFS(Invoices!$C$6:$C$305,C1956,Invoices!$E$6:$E$305,"&lt;="&amp;B1956,Invoices!$F$6:$F$305,"&gt;="&amp;B1956)&gt;1,"Two invoices",""))))</f>
        <v/>
      </c>
      <c r="Q1956" s="15">
        <f>IF(B1956="","",IF(J1956&lt;&gt;"","Not billable",IF(P1956="","To invoice",IF(P1956="Two invoices","Check dates",IF(ISNA(MATCH(P1956,Invoices!$B$6:$B$305,0)),"Check number",IF(INDEX(Invoices!$M$6:$M$305,MATCH(P1956,Invoices!$B$6:$B$305,0))="Paid","Paid",IF(INDEX(Invoices!$M$6:$M$305,MATCH(P1956,Invoices!$B$6:$B$305,0))="Draft","Draft","Invoiced")))))))</f>
        <v/>
      </c>
      <c r="R1956" s="1">
        <f>IF(AND(B1956&lt;&gt;"",P1956&lt;&gt;"",P1956=Invoice!$G$4),B1956+MOD(N(F1956),1)+ROW()/10000000,"")</f>
        <v/>
      </c>
      <c r="S1956">
        <f>IF(R1956="","",IF(D1956="","Other work",D1956)&amp;IF(AND(K1956&lt;&gt;"",E1956&lt;&gt;""),", "&amp;E1956,""))</f>
        <v/>
      </c>
      <c r="T1956">
        <f>IF(R1956="","",IF(COUNTIFS(R$6:R1955,"&gt;0",S$6:S1955,S1956,N$6:N1955,N1956)=0,R1956,""))</f>
        <v/>
      </c>
      <c r="U1956">
        <f>IF(B1956="","",IF(J1956&lt;&gt;"",0,M1956))</f>
        <v/>
      </c>
    </row>
    <row r="1957">
      <c r="A1957" s="1" t="n"/>
      <c r="B1957" s="16" t="n"/>
      <c r="C1957" s="17" t="n"/>
      <c r="D1957" s="18" t="n"/>
      <c r="E1957" s="18" t="n"/>
      <c r="F1957" s="19" t="n"/>
      <c r="G1957" s="19" t="n"/>
      <c r="H1957" s="20" t="n"/>
      <c r="I1957" s="21" t="n"/>
      <c r="J1957" s="22" t="n"/>
      <c r="K1957" s="23" t="n"/>
      <c r="L1957" s="18" t="n"/>
      <c r="M1957" s="24">
        <f>IF(B1957="","",IF(AND(F1957&lt;&gt;"",G1957&lt;&gt;""),MAX(0,ROUND(MOD(G1957-F1957,1)*24-N(H1957)/60,2)),N(I1957)))</f>
        <v/>
      </c>
      <c r="N1957" s="14">
        <f>IF(B1957="","",IF(K1957&lt;&gt;"",K1957,IF(N(IFERROR(INDEX(Projects!$D$6:$D$65,MATCH(D1957,Projects!$B$6:$B$65,0)),""))&gt;0,IFERROR(INDEX(Projects!$D$6:$D$65,MATCH(D1957,Projects!$B$6:$B$65,0)),""),IFERROR(INDEX(Clients!$G$6:$G$45,MATCH(C1957,Clients!$B$6:$B$45,0)),0))))</f>
        <v/>
      </c>
      <c r="O1957" s="14">
        <f>IF(B1957="","",IF(J1957&lt;&gt;"",0,ROUND(M1957*N1957,2)))</f>
        <v/>
      </c>
      <c r="P1957" s="15">
        <f>IF(OR(B1957="",J1957&lt;&gt;""),"",IF(L1957&lt;&gt;"",L1957,IF(COUNTIFS(Invoices!$C$6:$C$305,C1957,Invoices!$E$6:$E$305,"&lt;="&amp;B1957,Invoices!$F$6:$F$305,"&gt;="&amp;B1957)=1,INDEX(Invoices!$B$6:$B$305,SUMIFS(Invoices!$O$6:$O$305,Invoices!$C$6:$C$305,C1957,Invoices!$E$6:$E$305,"&lt;="&amp;B1957,Invoices!$F$6:$F$305,"&gt;="&amp;B1957)),IF(COUNTIFS(Invoices!$C$6:$C$305,C1957,Invoices!$E$6:$E$305,"&lt;="&amp;B1957,Invoices!$F$6:$F$305,"&gt;="&amp;B1957)&gt;1,"Two invoices",""))))</f>
        <v/>
      </c>
      <c r="Q1957" s="15">
        <f>IF(B1957="","",IF(J1957&lt;&gt;"","Not billable",IF(P1957="","To invoice",IF(P1957="Two invoices","Check dates",IF(ISNA(MATCH(P1957,Invoices!$B$6:$B$305,0)),"Check number",IF(INDEX(Invoices!$M$6:$M$305,MATCH(P1957,Invoices!$B$6:$B$305,0))="Paid","Paid",IF(INDEX(Invoices!$M$6:$M$305,MATCH(P1957,Invoices!$B$6:$B$305,0))="Draft","Draft","Invoiced")))))))</f>
        <v/>
      </c>
      <c r="R1957" s="1">
        <f>IF(AND(B1957&lt;&gt;"",P1957&lt;&gt;"",P1957=Invoice!$G$4),B1957+MOD(N(F1957),1)+ROW()/10000000,"")</f>
        <v/>
      </c>
      <c r="S1957">
        <f>IF(R1957="","",IF(D1957="","Other work",D1957)&amp;IF(AND(K1957&lt;&gt;"",E1957&lt;&gt;""),", "&amp;E1957,""))</f>
        <v/>
      </c>
      <c r="T1957">
        <f>IF(R1957="","",IF(COUNTIFS(R$6:R1956,"&gt;0",S$6:S1956,S1957,N$6:N1956,N1957)=0,R1957,""))</f>
        <v/>
      </c>
      <c r="U1957">
        <f>IF(B1957="","",IF(J1957&lt;&gt;"",0,M1957))</f>
        <v/>
      </c>
    </row>
    <row r="1958">
      <c r="A1958" s="1" t="n"/>
      <c r="B1958" s="16" t="n"/>
      <c r="C1958" s="17" t="n"/>
      <c r="D1958" s="18" t="n"/>
      <c r="E1958" s="18" t="n"/>
      <c r="F1958" s="19" t="n"/>
      <c r="G1958" s="19" t="n"/>
      <c r="H1958" s="20" t="n"/>
      <c r="I1958" s="21" t="n"/>
      <c r="J1958" s="22" t="n"/>
      <c r="K1958" s="23" t="n"/>
      <c r="L1958" s="18" t="n"/>
      <c r="M1958" s="24">
        <f>IF(B1958="","",IF(AND(F1958&lt;&gt;"",G1958&lt;&gt;""),MAX(0,ROUND(MOD(G1958-F1958,1)*24-N(H1958)/60,2)),N(I1958)))</f>
        <v/>
      </c>
      <c r="N1958" s="14">
        <f>IF(B1958="","",IF(K1958&lt;&gt;"",K1958,IF(N(IFERROR(INDEX(Projects!$D$6:$D$65,MATCH(D1958,Projects!$B$6:$B$65,0)),""))&gt;0,IFERROR(INDEX(Projects!$D$6:$D$65,MATCH(D1958,Projects!$B$6:$B$65,0)),""),IFERROR(INDEX(Clients!$G$6:$G$45,MATCH(C1958,Clients!$B$6:$B$45,0)),0))))</f>
        <v/>
      </c>
      <c r="O1958" s="14">
        <f>IF(B1958="","",IF(J1958&lt;&gt;"",0,ROUND(M1958*N1958,2)))</f>
        <v/>
      </c>
      <c r="P1958" s="15">
        <f>IF(OR(B1958="",J1958&lt;&gt;""),"",IF(L1958&lt;&gt;"",L1958,IF(COUNTIFS(Invoices!$C$6:$C$305,C1958,Invoices!$E$6:$E$305,"&lt;="&amp;B1958,Invoices!$F$6:$F$305,"&gt;="&amp;B1958)=1,INDEX(Invoices!$B$6:$B$305,SUMIFS(Invoices!$O$6:$O$305,Invoices!$C$6:$C$305,C1958,Invoices!$E$6:$E$305,"&lt;="&amp;B1958,Invoices!$F$6:$F$305,"&gt;="&amp;B1958)),IF(COUNTIFS(Invoices!$C$6:$C$305,C1958,Invoices!$E$6:$E$305,"&lt;="&amp;B1958,Invoices!$F$6:$F$305,"&gt;="&amp;B1958)&gt;1,"Two invoices",""))))</f>
        <v/>
      </c>
      <c r="Q1958" s="15">
        <f>IF(B1958="","",IF(J1958&lt;&gt;"","Not billable",IF(P1958="","To invoice",IF(P1958="Two invoices","Check dates",IF(ISNA(MATCH(P1958,Invoices!$B$6:$B$305,0)),"Check number",IF(INDEX(Invoices!$M$6:$M$305,MATCH(P1958,Invoices!$B$6:$B$305,0))="Paid","Paid",IF(INDEX(Invoices!$M$6:$M$305,MATCH(P1958,Invoices!$B$6:$B$305,0))="Draft","Draft","Invoiced")))))))</f>
        <v/>
      </c>
      <c r="R1958" s="1">
        <f>IF(AND(B1958&lt;&gt;"",P1958&lt;&gt;"",P1958=Invoice!$G$4),B1958+MOD(N(F1958),1)+ROW()/10000000,"")</f>
        <v/>
      </c>
      <c r="S1958">
        <f>IF(R1958="","",IF(D1958="","Other work",D1958)&amp;IF(AND(K1958&lt;&gt;"",E1958&lt;&gt;""),", "&amp;E1958,""))</f>
        <v/>
      </c>
      <c r="T1958">
        <f>IF(R1958="","",IF(COUNTIFS(R$6:R1957,"&gt;0",S$6:S1957,S1958,N$6:N1957,N1958)=0,R1958,""))</f>
        <v/>
      </c>
      <c r="U1958">
        <f>IF(B1958="","",IF(J1958&lt;&gt;"",0,M1958))</f>
        <v/>
      </c>
    </row>
    <row r="1959">
      <c r="A1959" s="1" t="n"/>
      <c r="B1959" s="16" t="n"/>
      <c r="C1959" s="17" t="n"/>
      <c r="D1959" s="18" t="n"/>
      <c r="E1959" s="18" t="n"/>
      <c r="F1959" s="19" t="n"/>
      <c r="G1959" s="19" t="n"/>
      <c r="H1959" s="20" t="n"/>
      <c r="I1959" s="21" t="n"/>
      <c r="J1959" s="22" t="n"/>
      <c r="K1959" s="23" t="n"/>
      <c r="L1959" s="18" t="n"/>
      <c r="M1959" s="24">
        <f>IF(B1959="","",IF(AND(F1959&lt;&gt;"",G1959&lt;&gt;""),MAX(0,ROUND(MOD(G1959-F1959,1)*24-N(H1959)/60,2)),N(I1959)))</f>
        <v/>
      </c>
      <c r="N1959" s="14">
        <f>IF(B1959="","",IF(K1959&lt;&gt;"",K1959,IF(N(IFERROR(INDEX(Projects!$D$6:$D$65,MATCH(D1959,Projects!$B$6:$B$65,0)),""))&gt;0,IFERROR(INDEX(Projects!$D$6:$D$65,MATCH(D1959,Projects!$B$6:$B$65,0)),""),IFERROR(INDEX(Clients!$G$6:$G$45,MATCH(C1959,Clients!$B$6:$B$45,0)),0))))</f>
        <v/>
      </c>
      <c r="O1959" s="14">
        <f>IF(B1959="","",IF(J1959&lt;&gt;"",0,ROUND(M1959*N1959,2)))</f>
        <v/>
      </c>
      <c r="P1959" s="15">
        <f>IF(OR(B1959="",J1959&lt;&gt;""),"",IF(L1959&lt;&gt;"",L1959,IF(COUNTIFS(Invoices!$C$6:$C$305,C1959,Invoices!$E$6:$E$305,"&lt;="&amp;B1959,Invoices!$F$6:$F$305,"&gt;="&amp;B1959)=1,INDEX(Invoices!$B$6:$B$305,SUMIFS(Invoices!$O$6:$O$305,Invoices!$C$6:$C$305,C1959,Invoices!$E$6:$E$305,"&lt;="&amp;B1959,Invoices!$F$6:$F$305,"&gt;="&amp;B1959)),IF(COUNTIFS(Invoices!$C$6:$C$305,C1959,Invoices!$E$6:$E$305,"&lt;="&amp;B1959,Invoices!$F$6:$F$305,"&gt;="&amp;B1959)&gt;1,"Two invoices",""))))</f>
        <v/>
      </c>
      <c r="Q1959" s="15">
        <f>IF(B1959="","",IF(J1959&lt;&gt;"","Not billable",IF(P1959="","To invoice",IF(P1959="Two invoices","Check dates",IF(ISNA(MATCH(P1959,Invoices!$B$6:$B$305,0)),"Check number",IF(INDEX(Invoices!$M$6:$M$305,MATCH(P1959,Invoices!$B$6:$B$305,0))="Paid","Paid",IF(INDEX(Invoices!$M$6:$M$305,MATCH(P1959,Invoices!$B$6:$B$305,0))="Draft","Draft","Invoiced")))))))</f>
        <v/>
      </c>
      <c r="R1959" s="1">
        <f>IF(AND(B1959&lt;&gt;"",P1959&lt;&gt;"",P1959=Invoice!$G$4),B1959+MOD(N(F1959),1)+ROW()/10000000,"")</f>
        <v/>
      </c>
      <c r="S1959">
        <f>IF(R1959="","",IF(D1959="","Other work",D1959)&amp;IF(AND(K1959&lt;&gt;"",E1959&lt;&gt;""),", "&amp;E1959,""))</f>
        <v/>
      </c>
      <c r="T1959">
        <f>IF(R1959="","",IF(COUNTIFS(R$6:R1958,"&gt;0",S$6:S1958,S1959,N$6:N1958,N1959)=0,R1959,""))</f>
        <v/>
      </c>
      <c r="U1959">
        <f>IF(B1959="","",IF(J1959&lt;&gt;"",0,M1959))</f>
        <v/>
      </c>
    </row>
    <row r="1960">
      <c r="A1960" s="1" t="n"/>
      <c r="B1960" s="16" t="n"/>
      <c r="C1960" s="17" t="n"/>
      <c r="D1960" s="18" t="n"/>
      <c r="E1960" s="18" t="n"/>
      <c r="F1960" s="19" t="n"/>
      <c r="G1960" s="19" t="n"/>
      <c r="H1960" s="20" t="n"/>
      <c r="I1960" s="21" t="n"/>
      <c r="J1960" s="22" t="n"/>
      <c r="K1960" s="23" t="n"/>
      <c r="L1960" s="18" t="n"/>
      <c r="M1960" s="24">
        <f>IF(B1960="","",IF(AND(F1960&lt;&gt;"",G1960&lt;&gt;""),MAX(0,ROUND(MOD(G1960-F1960,1)*24-N(H1960)/60,2)),N(I1960)))</f>
        <v/>
      </c>
      <c r="N1960" s="14">
        <f>IF(B1960="","",IF(K1960&lt;&gt;"",K1960,IF(N(IFERROR(INDEX(Projects!$D$6:$D$65,MATCH(D1960,Projects!$B$6:$B$65,0)),""))&gt;0,IFERROR(INDEX(Projects!$D$6:$D$65,MATCH(D1960,Projects!$B$6:$B$65,0)),""),IFERROR(INDEX(Clients!$G$6:$G$45,MATCH(C1960,Clients!$B$6:$B$45,0)),0))))</f>
        <v/>
      </c>
      <c r="O1960" s="14">
        <f>IF(B1960="","",IF(J1960&lt;&gt;"",0,ROUND(M1960*N1960,2)))</f>
        <v/>
      </c>
      <c r="P1960" s="15">
        <f>IF(OR(B1960="",J1960&lt;&gt;""),"",IF(L1960&lt;&gt;"",L1960,IF(COUNTIFS(Invoices!$C$6:$C$305,C1960,Invoices!$E$6:$E$305,"&lt;="&amp;B1960,Invoices!$F$6:$F$305,"&gt;="&amp;B1960)=1,INDEX(Invoices!$B$6:$B$305,SUMIFS(Invoices!$O$6:$O$305,Invoices!$C$6:$C$305,C1960,Invoices!$E$6:$E$305,"&lt;="&amp;B1960,Invoices!$F$6:$F$305,"&gt;="&amp;B1960)),IF(COUNTIFS(Invoices!$C$6:$C$305,C1960,Invoices!$E$6:$E$305,"&lt;="&amp;B1960,Invoices!$F$6:$F$305,"&gt;="&amp;B1960)&gt;1,"Two invoices",""))))</f>
        <v/>
      </c>
      <c r="Q1960" s="15">
        <f>IF(B1960="","",IF(J1960&lt;&gt;"","Not billable",IF(P1960="","To invoice",IF(P1960="Two invoices","Check dates",IF(ISNA(MATCH(P1960,Invoices!$B$6:$B$305,0)),"Check number",IF(INDEX(Invoices!$M$6:$M$305,MATCH(P1960,Invoices!$B$6:$B$305,0))="Paid","Paid",IF(INDEX(Invoices!$M$6:$M$305,MATCH(P1960,Invoices!$B$6:$B$305,0))="Draft","Draft","Invoiced")))))))</f>
        <v/>
      </c>
      <c r="R1960" s="1">
        <f>IF(AND(B1960&lt;&gt;"",P1960&lt;&gt;"",P1960=Invoice!$G$4),B1960+MOD(N(F1960),1)+ROW()/10000000,"")</f>
        <v/>
      </c>
      <c r="S1960">
        <f>IF(R1960="","",IF(D1960="","Other work",D1960)&amp;IF(AND(K1960&lt;&gt;"",E1960&lt;&gt;""),", "&amp;E1960,""))</f>
        <v/>
      </c>
      <c r="T1960">
        <f>IF(R1960="","",IF(COUNTIFS(R$6:R1959,"&gt;0",S$6:S1959,S1960,N$6:N1959,N1960)=0,R1960,""))</f>
        <v/>
      </c>
      <c r="U1960">
        <f>IF(B1960="","",IF(J1960&lt;&gt;"",0,M1960))</f>
        <v/>
      </c>
    </row>
    <row r="1961">
      <c r="A1961" s="1" t="n"/>
      <c r="B1961" s="16" t="n"/>
      <c r="C1961" s="17" t="n"/>
      <c r="D1961" s="18" t="n"/>
      <c r="E1961" s="18" t="n"/>
      <c r="F1961" s="19" t="n"/>
      <c r="G1961" s="19" t="n"/>
      <c r="H1961" s="20" t="n"/>
      <c r="I1961" s="21" t="n"/>
      <c r="J1961" s="22" t="n"/>
      <c r="K1961" s="23" t="n"/>
      <c r="L1961" s="18" t="n"/>
      <c r="M1961" s="24">
        <f>IF(B1961="","",IF(AND(F1961&lt;&gt;"",G1961&lt;&gt;""),MAX(0,ROUND(MOD(G1961-F1961,1)*24-N(H1961)/60,2)),N(I1961)))</f>
        <v/>
      </c>
      <c r="N1961" s="14">
        <f>IF(B1961="","",IF(K1961&lt;&gt;"",K1961,IF(N(IFERROR(INDEX(Projects!$D$6:$D$65,MATCH(D1961,Projects!$B$6:$B$65,0)),""))&gt;0,IFERROR(INDEX(Projects!$D$6:$D$65,MATCH(D1961,Projects!$B$6:$B$65,0)),""),IFERROR(INDEX(Clients!$G$6:$G$45,MATCH(C1961,Clients!$B$6:$B$45,0)),0))))</f>
        <v/>
      </c>
      <c r="O1961" s="14">
        <f>IF(B1961="","",IF(J1961&lt;&gt;"",0,ROUND(M1961*N1961,2)))</f>
        <v/>
      </c>
      <c r="P1961" s="15">
        <f>IF(OR(B1961="",J1961&lt;&gt;""),"",IF(L1961&lt;&gt;"",L1961,IF(COUNTIFS(Invoices!$C$6:$C$305,C1961,Invoices!$E$6:$E$305,"&lt;="&amp;B1961,Invoices!$F$6:$F$305,"&gt;="&amp;B1961)=1,INDEX(Invoices!$B$6:$B$305,SUMIFS(Invoices!$O$6:$O$305,Invoices!$C$6:$C$305,C1961,Invoices!$E$6:$E$305,"&lt;="&amp;B1961,Invoices!$F$6:$F$305,"&gt;="&amp;B1961)),IF(COUNTIFS(Invoices!$C$6:$C$305,C1961,Invoices!$E$6:$E$305,"&lt;="&amp;B1961,Invoices!$F$6:$F$305,"&gt;="&amp;B1961)&gt;1,"Two invoices",""))))</f>
        <v/>
      </c>
      <c r="Q1961" s="15">
        <f>IF(B1961="","",IF(J1961&lt;&gt;"","Not billable",IF(P1961="","To invoice",IF(P1961="Two invoices","Check dates",IF(ISNA(MATCH(P1961,Invoices!$B$6:$B$305,0)),"Check number",IF(INDEX(Invoices!$M$6:$M$305,MATCH(P1961,Invoices!$B$6:$B$305,0))="Paid","Paid",IF(INDEX(Invoices!$M$6:$M$305,MATCH(P1961,Invoices!$B$6:$B$305,0))="Draft","Draft","Invoiced")))))))</f>
        <v/>
      </c>
      <c r="R1961" s="1">
        <f>IF(AND(B1961&lt;&gt;"",P1961&lt;&gt;"",P1961=Invoice!$G$4),B1961+MOD(N(F1961),1)+ROW()/10000000,"")</f>
        <v/>
      </c>
      <c r="S1961">
        <f>IF(R1961="","",IF(D1961="","Other work",D1961)&amp;IF(AND(K1961&lt;&gt;"",E1961&lt;&gt;""),", "&amp;E1961,""))</f>
        <v/>
      </c>
      <c r="T1961">
        <f>IF(R1961="","",IF(COUNTIFS(R$6:R1960,"&gt;0",S$6:S1960,S1961,N$6:N1960,N1961)=0,R1961,""))</f>
        <v/>
      </c>
      <c r="U1961">
        <f>IF(B1961="","",IF(J1961&lt;&gt;"",0,M1961))</f>
        <v/>
      </c>
    </row>
    <row r="1962">
      <c r="A1962" s="1" t="n"/>
      <c r="B1962" s="16" t="n"/>
      <c r="C1962" s="17" t="n"/>
      <c r="D1962" s="18" t="n"/>
      <c r="E1962" s="18" t="n"/>
      <c r="F1962" s="19" t="n"/>
      <c r="G1962" s="19" t="n"/>
      <c r="H1962" s="20" t="n"/>
      <c r="I1962" s="21" t="n"/>
      <c r="J1962" s="22" t="n"/>
      <c r="K1962" s="23" t="n"/>
      <c r="L1962" s="18" t="n"/>
      <c r="M1962" s="24">
        <f>IF(B1962="","",IF(AND(F1962&lt;&gt;"",G1962&lt;&gt;""),MAX(0,ROUND(MOD(G1962-F1962,1)*24-N(H1962)/60,2)),N(I1962)))</f>
        <v/>
      </c>
      <c r="N1962" s="14">
        <f>IF(B1962="","",IF(K1962&lt;&gt;"",K1962,IF(N(IFERROR(INDEX(Projects!$D$6:$D$65,MATCH(D1962,Projects!$B$6:$B$65,0)),""))&gt;0,IFERROR(INDEX(Projects!$D$6:$D$65,MATCH(D1962,Projects!$B$6:$B$65,0)),""),IFERROR(INDEX(Clients!$G$6:$G$45,MATCH(C1962,Clients!$B$6:$B$45,0)),0))))</f>
        <v/>
      </c>
      <c r="O1962" s="14">
        <f>IF(B1962="","",IF(J1962&lt;&gt;"",0,ROUND(M1962*N1962,2)))</f>
        <v/>
      </c>
      <c r="P1962" s="15">
        <f>IF(OR(B1962="",J1962&lt;&gt;""),"",IF(L1962&lt;&gt;"",L1962,IF(COUNTIFS(Invoices!$C$6:$C$305,C1962,Invoices!$E$6:$E$305,"&lt;="&amp;B1962,Invoices!$F$6:$F$305,"&gt;="&amp;B1962)=1,INDEX(Invoices!$B$6:$B$305,SUMIFS(Invoices!$O$6:$O$305,Invoices!$C$6:$C$305,C1962,Invoices!$E$6:$E$305,"&lt;="&amp;B1962,Invoices!$F$6:$F$305,"&gt;="&amp;B1962)),IF(COUNTIFS(Invoices!$C$6:$C$305,C1962,Invoices!$E$6:$E$305,"&lt;="&amp;B1962,Invoices!$F$6:$F$305,"&gt;="&amp;B1962)&gt;1,"Two invoices",""))))</f>
        <v/>
      </c>
      <c r="Q1962" s="15">
        <f>IF(B1962="","",IF(J1962&lt;&gt;"","Not billable",IF(P1962="","To invoice",IF(P1962="Two invoices","Check dates",IF(ISNA(MATCH(P1962,Invoices!$B$6:$B$305,0)),"Check number",IF(INDEX(Invoices!$M$6:$M$305,MATCH(P1962,Invoices!$B$6:$B$305,0))="Paid","Paid",IF(INDEX(Invoices!$M$6:$M$305,MATCH(P1962,Invoices!$B$6:$B$305,0))="Draft","Draft","Invoiced")))))))</f>
        <v/>
      </c>
      <c r="R1962" s="1">
        <f>IF(AND(B1962&lt;&gt;"",P1962&lt;&gt;"",P1962=Invoice!$G$4),B1962+MOD(N(F1962),1)+ROW()/10000000,"")</f>
        <v/>
      </c>
      <c r="S1962">
        <f>IF(R1962="","",IF(D1962="","Other work",D1962)&amp;IF(AND(K1962&lt;&gt;"",E1962&lt;&gt;""),", "&amp;E1962,""))</f>
        <v/>
      </c>
      <c r="T1962">
        <f>IF(R1962="","",IF(COUNTIFS(R$6:R1961,"&gt;0",S$6:S1961,S1962,N$6:N1961,N1962)=0,R1962,""))</f>
        <v/>
      </c>
      <c r="U1962">
        <f>IF(B1962="","",IF(J1962&lt;&gt;"",0,M1962))</f>
        <v/>
      </c>
    </row>
    <row r="1963">
      <c r="A1963" s="1" t="n"/>
      <c r="B1963" s="16" t="n"/>
      <c r="C1963" s="17" t="n"/>
      <c r="D1963" s="18" t="n"/>
      <c r="E1963" s="18" t="n"/>
      <c r="F1963" s="19" t="n"/>
      <c r="G1963" s="19" t="n"/>
      <c r="H1963" s="20" t="n"/>
      <c r="I1963" s="21" t="n"/>
      <c r="J1963" s="22" t="n"/>
      <c r="K1963" s="23" t="n"/>
      <c r="L1963" s="18" t="n"/>
      <c r="M1963" s="24">
        <f>IF(B1963="","",IF(AND(F1963&lt;&gt;"",G1963&lt;&gt;""),MAX(0,ROUND(MOD(G1963-F1963,1)*24-N(H1963)/60,2)),N(I1963)))</f>
        <v/>
      </c>
      <c r="N1963" s="14">
        <f>IF(B1963="","",IF(K1963&lt;&gt;"",K1963,IF(N(IFERROR(INDEX(Projects!$D$6:$D$65,MATCH(D1963,Projects!$B$6:$B$65,0)),""))&gt;0,IFERROR(INDEX(Projects!$D$6:$D$65,MATCH(D1963,Projects!$B$6:$B$65,0)),""),IFERROR(INDEX(Clients!$G$6:$G$45,MATCH(C1963,Clients!$B$6:$B$45,0)),0))))</f>
        <v/>
      </c>
      <c r="O1963" s="14">
        <f>IF(B1963="","",IF(J1963&lt;&gt;"",0,ROUND(M1963*N1963,2)))</f>
        <v/>
      </c>
      <c r="P1963" s="15">
        <f>IF(OR(B1963="",J1963&lt;&gt;""),"",IF(L1963&lt;&gt;"",L1963,IF(COUNTIFS(Invoices!$C$6:$C$305,C1963,Invoices!$E$6:$E$305,"&lt;="&amp;B1963,Invoices!$F$6:$F$305,"&gt;="&amp;B1963)=1,INDEX(Invoices!$B$6:$B$305,SUMIFS(Invoices!$O$6:$O$305,Invoices!$C$6:$C$305,C1963,Invoices!$E$6:$E$305,"&lt;="&amp;B1963,Invoices!$F$6:$F$305,"&gt;="&amp;B1963)),IF(COUNTIFS(Invoices!$C$6:$C$305,C1963,Invoices!$E$6:$E$305,"&lt;="&amp;B1963,Invoices!$F$6:$F$305,"&gt;="&amp;B1963)&gt;1,"Two invoices",""))))</f>
        <v/>
      </c>
      <c r="Q1963" s="15">
        <f>IF(B1963="","",IF(J1963&lt;&gt;"","Not billable",IF(P1963="","To invoice",IF(P1963="Two invoices","Check dates",IF(ISNA(MATCH(P1963,Invoices!$B$6:$B$305,0)),"Check number",IF(INDEX(Invoices!$M$6:$M$305,MATCH(P1963,Invoices!$B$6:$B$305,0))="Paid","Paid",IF(INDEX(Invoices!$M$6:$M$305,MATCH(P1963,Invoices!$B$6:$B$305,0))="Draft","Draft","Invoiced")))))))</f>
        <v/>
      </c>
      <c r="R1963" s="1">
        <f>IF(AND(B1963&lt;&gt;"",P1963&lt;&gt;"",P1963=Invoice!$G$4),B1963+MOD(N(F1963),1)+ROW()/10000000,"")</f>
        <v/>
      </c>
      <c r="S1963">
        <f>IF(R1963="","",IF(D1963="","Other work",D1963)&amp;IF(AND(K1963&lt;&gt;"",E1963&lt;&gt;""),", "&amp;E1963,""))</f>
        <v/>
      </c>
      <c r="T1963">
        <f>IF(R1963="","",IF(COUNTIFS(R$6:R1962,"&gt;0",S$6:S1962,S1963,N$6:N1962,N1963)=0,R1963,""))</f>
        <v/>
      </c>
      <c r="U1963">
        <f>IF(B1963="","",IF(J1963&lt;&gt;"",0,M1963))</f>
        <v/>
      </c>
    </row>
    <row r="1964">
      <c r="A1964" s="1" t="n"/>
      <c r="B1964" s="16" t="n"/>
      <c r="C1964" s="17" t="n"/>
      <c r="D1964" s="18" t="n"/>
      <c r="E1964" s="18" t="n"/>
      <c r="F1964" s="19" t="n"/>
      <c r="G1964" s="19" t="n"/>
      <c r="H1964" s="20" t="n"/>
      <c r="I1964" s="21" t="n"/>
      <c r="J1964" s="22" t="n"/>
      <c r="K1964" s="23" t="n"/>
      <c r="L1964" s="18" t="n"/>
      <c r="M1964" s="24">
        <f>IF(B1964="","",IF(AND(F1964&lt;&gt;"",G1964&lt;&gt;""),MAX(0,ROUND(MOD(G1964-F1964,1)*24-N(H1964)/60,2)),N(I1964)))</f>
        <v/>
      </c>
      <c r="N1964" s="14">
        <f>IF(B1964="","",IF(K1964&lt;&gt;"",K1964,IF(N(IFERROR(INDEX(Projects!$D$6:$D$65,MATCH(D1964,Projects!$B$6:$B$65,0)),""))&gt;0,IFERROR(INDEX(Projects!$D$6:$D$65,MATCH(D1964,Projects!$B$6:$B$65,0)),""),IFERROR(INDEX(Clients!$G$6:$G$45,MATCH(C1964,Clients!$B$6:$B$45,0)),0))))</f>
        <v/>
      </c>
      <c r="O1964" s="14">
        <f>IF(B1964="","",IF(J1964&lt;&gt;"",0,ROUND(M1964*N1964,2)))</f>
        <v/>
      </c>
      <c r="P1964" s="15">
        <f>IF(OR(B1964="",J1964&lt;&gt;""),"",IF(L1964&lt;&gt;"",L1964,IF(COUNTIFS(Invoices!$C$6:$C$305,C1964,Invoices!$E$6:$E$305,"&lt;="&amp;B1964,Invoices!$F$6:$F$305,"&gt;="&amp;B1964)=1,INDEX(Invoices!$B$6:$B$305,SUMIFS(Invoices!$O$6:$O$305,Invoices!$C$6:$C$305,C1964,Invoices!$E$6:$E$305,"&lt;="&amp;B1964,Invoices!$F$6:$F$305,"&gt;="&amp;B1964)),IF(COUNTIFS(Invoices!$C$6:$C$305,C1964,Invoices!$E$6:$E$305,"&lt;="&amp;B1964,Invoices!$F$6:$F$305,"&gt;="&amp;B1964)&gt;1,"Two invoices",""))))</f>
        <v/>
      </c>
      <c r="Q1964" s="15">
        <f>IF(B1964="","",IF(J1964&lt;&gt;"","Not billable",IF(P1964="","To invoice",IF(P1964="Two invoices","Check dates",IF(ISNA(MATCH(P1964,Invoices!$B$6:$B$305,0)),"Check number",IF(INDEX(Invoices!$M$6:$M$305,MATCH(P1964,Invoices!$B$6:$B$305,0))="Paid","Paid",IF(INDEX(Invoices!$M$6:$M$305,MATCH(P1964,Invoices!$B$6:$B$305,0))="Draft","Draft","Invoiced")))))))</f>
        <v/>
      </c>
      <c r="R1964" s="1">
        <f>IF(AND(B1964&lt;&gt;"",P1964&lt;&gt;"",P1964=Invoice!$G$4),B1964+MOD(N(F1964),1)+ROW()/10000000,"")</f>
        <v/>
      </c>
      <c r="S1964">
        <f>IF(R1964="","",IF(D1964="","Other work",D1964)&amp;IF(AND(K1964&lt;&gt;"",E1964&lt;&gt;""),", "&amp;E1964,""))</f>
        <v/>
      </c>
      <c r="T1964">
        <f>IF(R1964="","",IF(COUNTIFS(R$6:R1963,"&gt;0",S$6:S1963,S1964,N$6:N1963,N1964)=0,R1964,""))</f>
        <v/>
      </c>
      <c r="U1964">
        <f>IF(B1964="","",IF(J1964&lt;&gt;"",0,M1964))</f>
        <v/>
      </c>
    </row>
    <row r="1965">
      <c r="A1965" s="1" t="n"/>
      <c r="B1965" s="16" t="n"/>
      <c r="C1965" s="17" t="n"/>
      <c r="D1965" s="18" t="n"/>
      <c r="E1965" s="18" t="n"/>
      <c r="F1965" s="19" t="n"/>
      <c r="G1965" s="19" t="n"/>
      <c r="H1965" s="20" t="n"/>
      <c r="I1965" s="21" t="n"/>
      <c r="J1965" s="22" t="n"/>
      <c r="K1965" s="23" t="n"/>
      <c r="L1965" s="18" t="n"/>
      <c r="M1965" s="24">
        <f>IF(B1965="","",IF(AND(F1965&lt;&gt;"",G1965&lt;&gt;""),MAX(0,ROUND(MOD(G1965-F1965,1)*24-N(H1965)/60,2)),N(I1965)))</f>
        <v/>
      </c>
      <c r="N1965" s="14">
        <f>IF(B1965="","",IF(K1965&lt;&gt;"",K1965,IF(N(IFERROR(INDEX(Projects!$D$6:$D$65,MATCH(D1965,Projects!$B$6:$B$65,0)),""))&gt;0,IFERROR(INDEX(Projects!$D$6:$D$65,MATCH(D1965,Projects!$B$6:$B$65,0)),""),IFERROR(INDEX(Clients!$G$6:$G$45,MATCH(C1965,Clients!$B$6:$B$45,0)),0))))</f>
        <v/>
      </c>
      <c r="O1965" s="14">
        <f>IF(B1965="","",IF(J1965&lt;&gt;"",0,ROUND(M1965*N1965,2)))</f>
        <v/>
      </c>
      <c r="P1965" s="15">
        <f>IF(OR(B1965="",J1965&lt;&gt;""),"",IF(L1965&lt;&gt;"",L1965,IF(COUNTIFS(Invoices!$C$6:$C$305,C1965,Invoices!$E$6:$E$305,"&lt;="&amp;B1965,Invoices!$F$6:$F$305,"&gt;="&amp;B1965)=1,INDEX(Invoices!$B$6:$B$305,SUMIFS(Invoices!$O$6:$O$305,Invoices!$C$6:$C$305,C1965,Invoices!$E$6:$E$305,"&lt;="&amp;B1965,Invoices!$F$6:$F$305,"&gt;="&amp;B1965)),IF(COUNTIFS(Invoices!$C$6:$C$305,C1965,Invoices!$E$6:$E$305,"&lt;="&amp;B1965,Invoices!$F$6:$F$305,"&gt;="&amp;B1965)&gt;1,"Two invoices",""))))</f>
        <v/>
      </c>
      <c r="Q1965" s="15">
        <f>IF(B1965="","",IF(J1965&lt;&gt;"","Not billable",IF(P1965="","To invoice",IF(P1965="Two invoices","Check dates",IF(ISNA(MATCH(P1965,Invoices!$B$6:$B$305,0)),"Check number",IF(INDEX(Invoices!$M$6:$M$305,MATCH(P1965,Invoices!$B$6:$B$305,0))="Paid","Paid",IF(INDEX(Invoices!$M$6:$M$305,MATCH(P1965,Invoices!$B$6:$B$305,0))="Draft","Draft","Invoiced")))))))</f>
        <v/>
      </c>
      <c r="R1965" s="1">
        <f>IF(AND(B1965&lt;&gt;"",P1965&lt;&gt;"",P1965=Invoice!$G$4),B1965+MOD(N(F1965),1)+ROW()/10000000,"")</f>
        <v/>
      </c>
      <c r="S1965">
        <f>IF(R1965="","",IF(D1965="","Other work",D1965)&amp;IF(AND(K1965&lt;&gt;"",E1965&lt;&gt;""),", "&amp;E1965,""))</f>
        <v/>
      </c>
      <c r="T1965">
        <f>IF(R1965="","",IF(COUNTIFS(R$6:R1964,"&gt;0",S$6:S1964,S1965,N$6:N1964,N1965)=0,R1965,""))</f>
        <v/>
      </c>
      <c r="U1965">
        <f>IF(B1965="","",IF(J1965&lt;&gt;"",0,M1965))</f>
        <v/>
      </c>
    </row>
    <row r="1966">
      <c r="A1966" s="1" t="n"/>
      <c r="B1966" s="16" t="n"/>
      <c r="C1966" s="17" t="n"/>
      <c r="D1966" s="18" t="n"/>
      <c r="E1966" s="18" t="n"/>
      <c r="F1966" s="19" t="n"/>
      <c r="G1966" s="19" t="n"/>
      <c r="H1966" s="20" t="n"/>
      <c r="I1966" s="21" t="n"/>
      <c r="J1966" s="22" t="n"/>
      <c r="K1966" s="23" t="n"/>
      <c r="L1966" s="18" t="n"/>
      <c r="M1966" s="24">
        <f>IF(B1966="","",IF(AND(F1966&lt;&gt;"",G1966&lt;&gt;""),MAX(0,ROUND(MOD(G1966-F1966,1)*24-N(H1966)/60,2)),N(I1966)))</f>
        <v/>
      </c>
      <c r="N1966" s="14">
        <f>IF(B1966="","",IF(K1966&lt;&gt;"",K1966,IF(N(IFERROR(INDEX(Projects!$D$6:$D$65,MATCH(D1966,Projects!$B$6:$B$65,0)),""))&gt;0,IFERROR(INDEX(Projects!$D$6:$D$65,MATCH(D1966,Projects!$B$6:$B$65,0)),""),IFERROR(INDEX(Clients!$G$6:$G$45,MATCH(C1966,Clients!$B$6:$B$45,0)),0))))</f>
        <v/>
      </c>
      <c r="O1966" s="14">
        <f>IF(B1966="","",IF(J1966&lt;&gt;"",0,ROUND(M1966*N1966,2)))</f>
        <v/>
      </c>
      <c r="P1966" s="15">
        <f>IF(OR(B1966="",J1966&lt;&gt;""),"",IF(L1966&lt;&gt;"",L1966,IF(COUNTIFS(Invoices!$C$6:$C$305,C1966,Invoices!$E$6:$E$305,"&lt;="&amp;B1966,Invoices!$F$6:$F$305,"&gt;="&amp;B1966)=1,INDEX(Invoices!$B$6:$B$305,SUMIFS(Invoices!$O$6:$O$305,Invoices!$C$6:$C$305,C1966,Invoices!$E$6:$E$305,"&lt;="&amp;B1966,Invoices!$F$6:$F$305,"&gt;="&amp;B1966)),IF(COUNTIFS(Invoices!$C$6:$C$305,C1966,Invoices!$E$6:$E$305,"&lt;="&amp;B1966,Invoices!$F$6:$F$305,"&gt;="&amp;B1966)&gt;1,"Two invoices",""))))</f>
        <v/>
      </c>
      <c r="Q1966" s="15">
        <f>IF(B1966="","",IF(J1966&lt;&gt;"","Not billable",IF(P1966="","To invoice",IF(P1966="Two invoices","Check dates",IF(ISNA(MATCH(P1966,Invoices!$B$6:$B$305,0)),"Check number",IF(INDEX(Invoices!$M$6:$M$305,MATCH(P1966,Invoices!$B$6:$B$305,0))="Paid","Paid",IF(INDEX(Invoices!$M$6:$M$305,MATCH(P1966,Invoices!$B$6:$B$305,0))="Draft","Draft","Invoiced")))))))</f>
        <v/>
      </c>
      <c r="R1966" s="1">
        <f>IF(AND(B1966&lt;&gt;"",P1966&lt;&gt;"",P1966=Invoice!$G$4),B1966+MOD(N(F1966),1)+ROW()/10000000,"")</f>
        <v/>
      </c>
      <c r="S1966">
        <f>IF(R1966="","",IF(D1966="","Other work",D1966)&amp;IF(AND(K1966&lt;&gt;"",E1966&lt;&gt;""),", "&amp;E1966,""))</f>
        <v/>
      </c>
      <c r="T1966">
        <f>IF(R1966="","",IF(COUNTIFS(R$6:R1965,"&gt;0",S$6:S1965,S1966,N$6:N1965,N1966)=0,R1966,""))</f>
        <v/>
      </c>
      <c r="U1966">
        <f>IF(B1966="","",IF(J1966&lt;&gt;"",0,M1966))</f>
        <v/>
      </c>
    </row>
    <row r="1967">
      <c r="A1967" s="1" t="n"/>
      <c r="B1967" s="16" t="n"/>
      <c r="C1967" s="17" t="n"/>
      <c r="D1967" s="18" t="n"/>
      <c r="E1967" s="18" t="n"/>
      <c r="F1967" s="19" t="n"/>
      <c r="G1967" s="19" t="n"/>
      <c r="H1967" s="20" t="n"/>
      <c r="I1967" s="21" t="n"/>
      <c r="J1967" s="22" t="n"/>
      <c r="K1967" s="23" t="n"/>
      <c r="L1967" s="18" t="n"/>
      <c r="M1967" s="24">
        <f>IF(B1967="","",IF(AND(F1967&lt;&gt;"",G1967&lt;&gt;""),MAX(0,ROUND(MOD(G1967-F1967,1)*24-N(H1967)/60,2)),N(I1967)))</f>
        <v/>
      </c>
      <c r="N1967" s="14">
        <f>IF(B1967="","",IF(K1967&lt;&gt;"",K1967,IF(N(IFERROR(INDEX(Projects!$D$6:$D$65,MATCH(D1967,Projects!$B$6:$B$65,0)),""))&gt;0,IFERROR(INDEX(Projects!$D$6:$D$65,MATCH(D1967,Projects!$B$6:$B$65,0)),""),IFERROR(INDEX(Clients!$G$6:$G$45,MATCH(C1967,Clients!$B$6:$B$45,0)),0))))</f>
        <v/>
      </c>
      <c r="O1967" s="14">
        <f>IF(B1967="","",IF(J1967&lt;&gt;"",0,ROUND(M1967*N1967,2)))</f>
        <v/>
      </c>
      <c r="P1967" s="15">
        <f>IF(OR(B1967="",J1967&lt;&gt;""),"",IF(L1967&lt;&gt;"",L1967,IF(COUNTIFS(Invoices!$C$6:$C$305,C1967,Invoices!$E$6:$E$305,"&lt;="&amp;B1967,Invoices!$F$6:$F$305,"&gt;="&amp;B1967)=1,INDEX(Invoices!$B$6:$B$305,SUMIFS(Invoices!$O$6:$O$305,Invoices!$C$6:$C$305,C1967,Invoices!$E$6:$E$305,"&lt;="&amp;B1967,Invoices!$F$6:$F$305,"&gt;="&amp;B1967)),IF(COUNTIFS(Invoices!$C$6:$C$305,C1967,Invoices!$E$6:$E$305,"&lt;="&amp;B1967,Invoices!$F$6:$F$305,"&gt;="&amp;B1967)&gt;1,"Two invoices",""))))</f>
        <v/>
      </c>
      <c r="Q1967" s="15">
        <f>IF(B1967="","",IF(J1967&lt;&gt;"","Not billable",IF(P1967="","To invoice",IF(P1967="Two invoices","Check dates",IF(ISNA(MATCH(P1967,Invoices!$B$6:$B$305,0)),"Check number",IF(INDEX(Invoices!$M$6:$M$305,MATCH(P1967,Invoices!$B$6:$B$305,0))="Paid","Paid",IF(INDEX(Invoices!$M$6:$M$305,MATCH(P1967,Invoices!$B$6:$B$305,0))="Draft","Draft","Invoiced")))))))</f>
        <v/>
      </c>
      <c r="R1967" s="1">
        <f>IF(AND(B1967&lt;&gt;"",P1967&lt;&gt;"",P1967=Invoice!$G$4),B1967+MOD(N(F1967),1)+ROW()/10000000,"")</f>
        <v/>
      </c>
      <c r="S1967">
        <f>IF(R1967="","",IF(D1967="","Other work",D1967)&amp;IF(AND(K1967&lt;&gt;"",E1967&lt;&gt;""),", "&amp;E1967,""))</f>
        <v/>
      </c>
      <c r="T1967">
        <f>IF(R1967="","",IF(COUNTIFS(R$6:R1966,"&gt;0",S$6:S1966,S1967,N$6:N1966,N1967)=0,R1967,""))</f>
        <v/>
      </c>
      <c r="U1967">
        <f>IF(B1967="","",IF(J1967&lt;&gt;"",0,M1967))</f>
        <v/>
      </c>
    </row>
    <row r="1968">
      <c r="A1968" s="1" t="n"/>
      <c r="B1968" s="16" t="n"/>
      <c r="C1968" s="17" t="n"/>
      <c r="D1968" s="18" t="n"/>
      <c r="E1968" s="18" t="n"/>
      <c r="F1968" s="19" t="n"/>
      <c r="G1968" s="19" t="n"/>
      <c r="H1968" s="20" t="n"/>
      <c r="I1968" s="21" t="n"/>
      <c r="J1968" s="22" t="n"/>
      <c r="K1968" s="23" t="n"/>
      <c r="L1968" s="18" t="n"/>
      <c r="M1968" s="24">
        <f>IF(B1968="","",IF(AND(F1968&lt;&gt;"",G1968&lt;&gt;""),MAX(0,ROUND(MOD(G1968-F1968,1)*24-N(H1968)/60,2)),N(I1968)))</f>
        <v/>
      </c>
      <c r="N1968" s="14">
        <f>IF(B1968="","",IF(K1968&lt;&gt;"",K1968,IF(N(IFERROR(INDEX(Projects!$D$6:$D$65,MATCH(D1968,Projects!$B$6:$B$65,0)),""))&gt;0,IFERROR(INDEX(Projects!$D$6:$D$65,MATCH(D1968,Projects!$B$6:$B$65,0)),""),IFERROR(INDEX(Clients!$G$6:$G$45,MATCH(C1968,Clients!$B$6:$B$45,0)),0))))</f>
        <v/>
      </c>
      <c r="O1968" s="14">
        <f>IF(B1968="","",IF(J1968&lt;&gt;"",0,ROUND(M1968*N1968,2)))</f>
        <v/>
      </c>
      <c r="P1968" s="15">
        <f>IF(OR(B1968="",J1968&lt;&gt;""),"",IF(L1968&lt;&gt;"",L1968,IF(COUNTIFS(Invoices!$C$6:$C$305,C1968,Invoices!$E$6:$E$305,"&lt;="&amp;B1968,Invoices!$F$6:$F$305,"&gt;="&amp;B1968)=1,INDEX(Invoices!$B$6:$B$305,SUMIFS(Invoices!$O$6:$O$305,Invoices!$C$6:$C$305,C1968,Invoices!$E$6:$E$305,"&lt;="&amp;B1968,Invoices!$F$6:$F$305,"&gt;="&amp;B1968)),IF(COUNTIFS(Invoices!$C$6:$C$305,C1968,Invoices!$E$6:$E$305,"&lt;="&amp;B1968,Invoices!$F$6:$F$305,"&gt;="&amp;B1968)&gt;1,"Two invoices",""))))</f>
        <v/>
      </c>
      <c r="Q1968" s="15">
        <f>IF(B1968="","",IF(J1968&lt;&gt;"","Not billable",IF(P1968="","To invoice",IF(P1968="Two invoices","Check dates",IF(ISNA(MATCH(P1968,Invoices!$B$6:$B$305,0)),"Check number",IF(INDEX(Invoices!$M$6:$M$305,MATCH(P1968,Invoices!$B$6:$B$305,0))="Paid","Paid",IF(INDEX(Invoices!$M$6:$M$305,MATCH(P1968,Invoices!$B$6:$B$305,0))="Draft","Draft","Invoiced")))))))</f>
        <v/>
      </c>
      <c r="R1968" s="1">
        <f>IF(AND(B1968&lt;&gt;"",P1968&lt;&gt;"",P1968=Invoice!$G$4),B1968+MOD(N(F1968),1)+ROW()/10000000,"")</f>
        <v/>
      </c>
      <c r="S1968">
        <f>IF(R1968="","",IF(D1968="","Other work",D1968)&amp;IF(AND(K1968&lt;&gt;"",E1968&lt;&gt;""),", "&amp;E1968,""))</f>
        <v/>
      </c>
      <c r="T1968">
        <f>IF(R1968="","",IF(COUNTIFS(R$6:R1967,"&gt;0",S$6:S1967,S1968,N$6:N1967,N1968)=0,R1968,""))</f>
        <v/>
      </c>
      <c r="U1968">
        <f>IF(B1968="","",IF(J1968&lt;&gt;"",0,M1968))</f>
        <v/>
      </c>
    </row>
    <row r="1969">
      <c r="A1969" s="1" t="n"/>
      <c r="B1969" s="16" t="n"/>
      <c r="C1969" s="17" t="n"/>
      <c r="D1969" s="18" t="n"/>
      <c r="E1969" s="18" t="n"/>
      <c r="F1969" s="19" t="n"/>
      <c r="G1969" s="19" t="n"/>
      <c r="H1969" s="20" t="n"/>
      <c r="I1969" s="21" t="n"/>
      <c r="J1969" s="22" t="n"/>
      <c r="K1969" s="23" t="n"/>
      <c r="L1969" s="18" t="n"/>
      <c r="M1969" s="24">
        <f>IF(B1969="","",IF(AND(F1969&lt;&gt;"",G1969&lt;&gt;""),MAX(0,ROUND(MOD(G1969-F1969,1)*24-N(H1969)/60,2)),N(I1969)))</f>
        <v/>
      </c>
      <c r="N1969" s="14">
        <f>IF(B1969="","",IF(K1969&lt;&gt;"",K1969,IF(N(IFERROR(INDEX(Projects!$D$6:$D$65,MATCH(D1969,Projects!$B$6:$B$65,0)),""))&gt;0,IFERROR(INDEX(Projects!$D$6:$D$65,MATCH(D1969,Projects!$B$6:$B$65,0)),""),IFERROR(INDEX(Clients!$G$6:$G$45,MATCH(C1969,Clients!$B$6:$B$45,0)),0))))</f>
        <v/>
      </c>
      <c r="O1969" s="14">
        <f>IF(B1969="","",IF(J1969&lt;&gt;"",0,ROUND(M1969*N1969,2)))</f>
        <v/>
      </c>
      <c r="P1969" s="15">
        <f>IF(OR(B1969="",J1969&lt;&gt;""),"",IF(L1969&lt;&gt;"",L1969,IF(COUNTIFS(Invoices!$C$6:$C$305,C1969,Invoices!$E$6:$E$305,"&lt;="&amp;B1969,Invoices!$F$6:$F$305,"&gt;="&amp;B1969)=1,INDEX(Invoices!$B$6:$B$305,SUMIFS(Invoices!$O$6:$O$305,Invoices!$C$6:$C$305,C1969,Invoices!$E$6:$E$305,"&lt;="&amp;B1969,Invoices!$F$6:$F$305,"&gt;="&amp;B1969)),IF(COUNTIFS(Invoices!$C$6:$C$305,C1969,Invoices!$E$6:$E$305,"&lt;="&amp;B1969,Invoices!$F$6:$F$305,"&gt;="&amp;B1969)&gt;1,"Two invoices",""))))</f>
        <v/>
      </c>
      <c r="Q1969" s="15">
        <f>IF(B1969="","",IF(J1969&lt;&gt;"","Not billable",IF(P1969="","To invoice",IF(P1969="Two invoices","Check dates",IF(ISNA(MATCH(P1969,Invoices!$B$6:$B$305,0)),"Check number",IF(INDEX(Invoices!$M$6:$M$305,MATCH(P1969,Invoices!$B$6:$B$305,0))="Paid","Paid",IF(INDEX(Invoices!$M$6:$M$305,MATCH(P1969,Invoices!$B$6:$B$305,0))="Draft","Draft","Invoiced")))))))</f>
        <v/>
      </c>
      <c r="R1969" s="1">
        <f>IF(AND(B1969&lt;&gt;"",P1969&lt;&gt;"",P1969=Invoice!$G$4),B1969+MOD(N(F1969),1)+ROW()/10000000,"")</f>
        <v/>
      </c>
      <c r="S1969">
        <f>IF(R1969="","",IF(D1969="","Other work",D1969)&amp;IF(AND(K1969&lt;&gt;"",E1969&lt;&gt;""),", "&amp;E1969,""))</f>
        <v/>
      </c>
      <c r="T1969">
        <f>IF(R1969="","",IF(COUNTIFS(R$6:R1968,"&gt;0",S$6:S1968,S1969,N$6:N1968,N1969)=0,R1969,""))</f>
        <v/>
      </c>
      <c r="U1969">
        <f>IF(B1969="","",IF(J1969&lt;&gt;"",0,M1969))</f>
        <v/>
      </c>
    </row>
    <row r="1970">
      <c r="A1970" s="1" t="n"/>
      <c r="B1970" s="16" t="n"/>
      <c r="C1970" s="17" t="n"/>
      <c r="D1970" s="18" t="n"/>
      <c r="E1970" s="18" t="n"/>
      <c r="F1970" s="19" t="n"/>
      <c r="G1970" s="19" t="n"/>
      <c r="H1970" s="20" t="n"/>
      <c r="I1970" s="21" t="n"/>
      <c r="J1970" s="22" t="n"/>
      <c r="K1970" s="23" t="n"/>
      <c r="L1970" s="18" t="n"/>
      <c r="M1970" s="24">
        <f>IF(B1970="","",IF(AND(F1970&lt;&gt;"",G1970&lt;&gt;""),MAX(0,ROUND(MOD(G1970-F1970,1)*24-N(H1970)/60,2)),N(I1970)))</f>
        <v/>
      </c>
      <c r="N1970" s="14">
        <f>IF(B1970="","",IF(K1970&lt;&gt;"",K1970,IF(N(IFERROR(INDEX(Projects!$D$6:$D$65,MATCH(D1970,Projects!$B$6:$B$65,0)),""))&gt;0,IFERROR(INDEX(Projects!$D$6:$D$65,MATCH(D1970,Projects!$B$6:$B$65,0)),""),IFERROR(INDEX(Clients!$G$6:$G$45,MATCH(C1970,Clients!$B$6:$B$45,0)),0))))</f>
        <v/>
      </c>
      <c r="O1970" s="14">
        <f>IF(B1970="","",IF(J1970&lt;&gt;"",0,ROUND(M1970*N1970,2)))</f>
        <v/>
      </c>
      <c r="P1970" s="15">
        <f>IF(OR(B1970="",J1970&lt;&gt;""),"",IF(L1970&lt;&gt;"",L1970,IF(COUNTIFS(Invoices!$C$6:$C$305,C1970,Invoices!$E$6:$E$305,"&lt;="&amp;B1970,Invoices!$F$6:$F$305,"&gt;="&amp;B1970)=1,INDEX(Invoices!$B$6:$B$305,SUMIFS(Invoices!$O$6:$O$305,Invoices!$C$6:$C$305,C1970,Invoices!$E$6:$E$305,"&lt;="&amp;B1970,Invoices!$F$6:$F$305,"&gt;="&amp;B1970)),IF(COUNTIFS(Invoices!$C$6:$C$305,C1970,Invoices!$E$6:$E$305,"&lt;="&amp;B1970,Invoices!$F$6:$F$305,"&gt;="&amp;B1970)&gt;1,"Two invoices",""))))</f>
        <v/>
      </c>
      <c r="Q1970" s="15">
        <f>IF(B1970="","",IF(J1970&lt;&gt;"","Not billable",IF(P1970="","To invoice",IF(P1970="Two invoices","Check dates",IF(ISNA(MATCH(P1970,Invoices!$B$6:$B$305,0)),"Check number",IF(INDEX(Invoices!$M$6:$M$305,MATCH(P1970,Invoices!$B$6:$B$305,0))="Paid","Paid",IF(INDEX(Invoices!$M$6:$M$305,MATCH(P1970,Invoices!$B$6:$B$305,0))="Draft","Draft","Invoiced")))))))</f>
        <v/>
      </c>
      <c r="R1970" s="1">
        <f>IF(AND(B1970&lt;&gt;"",P1970&lt;&gt;"",P1970=Invoice!$G$4),B1970+MOD(N(F1970),1)+ROW()/10000000,"")</f>
        <v/>
      </c>
      <c r="S1970">
        <f>IF(R1970="","",IF(D1970="","Other work",D1970)&amp;IF(AND(K1970&lt;&gt;"",E1970&lt;&gt;""),", "&amp;E1970,""))</f>
        <v/>
      </c>
      <c r="T1970">
        <f>IF(R1970="","",IF(COUNTIFS(R$6:R1969,"&gt;0",S$6:S1969,S1970,N$6:N1969,N1970)=0,R1970,""))</f>
        <v/>
      </c>
      <c r="U1970">
        <f>IF(B1970="","",IF(J1970&lt;&gt;"",0,M1970))</f>
        <v/>
      </c>
    </row>
    <row r="1971">
      <c r="A1971" s="1" t="n"/>
      <c r="B1971" s="16" t="n"/>
      <c r="C1971" s="17" t="n"/>
      <c r="D1971" s="18" t="n"/>
      <c r="E1971" s="18" t="n"/>
      <c r="F1971" s="19" t="n"/>
      <c r="G1971" s="19" t="n"/>
      <c r="H1971" s="20" t="n"/>
      <c r="I1971" s="21" t="n"/>
      <c r="J1971" s="22" t="n"/>
      <c r="K1971" s="23" t="n"/>
      <c r="L1971" s="18" t="n"/>
      <c r="M1971" s="24">
        <f>IF(B1971="","",IF(AND(F1971&lt;&gt;"",G1971&lt;&gt;""),MAX(0,ROUND(MOD(G1971-F1971,1)*24-N(H1971)/60,2)),N(I1971)))</f>
        <v/>
      </c>
      <c r="N1971" s="14">
        <f>IF(B1971="","",IF(K1971&lt;&gt;"",K1971,IF(N(IFERROR(INDEX(Projects!$D$6:$D$65,MATCH(D1971,Projects!$B$6:$B$65,0)),""))&gt;0,IFERROR(INDEX(Projects!$D$6:$D$65,MATCH(D1971,Projects!$B$6:$B$65,0)),""),IFERROR(INDEX(Clients!$G$6:$G$45,MATCH(C1971,Clients!$B$6:$B$45,0)),0))))</f>
        <v/>
      </c>
      <c r="O1971" s="14">
        <f>IF(B1971="","",IF(J1971&lt;&gt;"",0,ROUND(M1971*N1971,2)))</f>
        <v/>
      </c>
      <c r="P1971" s="15">
        <f>IF(OR(B1971="",J1971&lt;&gt;""),"",IF(L1971&lt;&gt;"",L1971,IF(COUNTIFS(Invoices!$C$6:$C$305,C1971,Invoices!$E$6:$E$305,"&lt;="&amp;B1971,Invoices!$F$6:$F$305,"&gt;="&amp;B1971)=1,INDEX(Invoices!$B$6:$B$305,SUMIFS(Invoices!$O$6:$O$305,Invoices!$C$6:$C$305,C1971,Invoices!$E$6:$E$305,"&lt;="&amp;B1971,Invoices!$F$6:$F$305,"&gt;="&amp;B1971)),IF(COUNTIFS(Invoices!$C$6:$C$305,C1971,Invoices!$E$6:$E$305,"&lt;="&amp;B1971,Invoices!$F$6:$F$305,"&gt;="&amp;B1971)&gt;1,"Two invoices",""))))</f>
        <v/>
      </c>
      <c r="Q1971" s="15">
        <f>IF(B1971="","",IF(J1971&lt;&gt;"","Not billable",IF(P1971="","To invoice",IF(P1971="Two invoices","Check dates",IF(ISNA(MATCH(P1971,Invoices!$B$6:$B$305,0)),"Check number",IF(INDEX(Invoices!$M$6:$M$305,MATCH(P1971,Invoices!$B$6:$B$305,0))="Paid","Paid",IF(INDEX(Invoices!$M$6:$M$305,MATCH(P1971,Invoices!$B$6:$B$305,0))="Draft","Draft","Invoiced")))))))</f>
        <v/>
      </c>
      <c r="R1971" s="1">
        <f>IF(AND(B1971&lt;&gt;"",P1971&lt;&gt;"",P1971=Invoice!$G$4),B1971+MOD(N(F1971),1)+ROW()/10000000,"")</f>
        <v/>
      </c>
      <c r="S1971">
        <f>IF(R1971="","",IF(D1971="","Other work",D1971)&amp;IF(AND(K1971&lt;&gt;"",E1971&lt;&gt;""),", "&amp;E1971,""))</f>
        <v/>
      </c>
      <c r="T1971">
        <f>IF(R1971="","",IF(COUNTIFS(R$6:R1970,"&gt;0",S$6:S1970,S1971,N$6:N1970,N1971)=0,R1971,""))</f>
        <v/>
      </c>
      <c r="U1971">
        <f>IF(B1971="","",IF(J1971&lt;&gt;"",0,M1971))</f>
        <v/>
      </c>
    </row>
    <row r="1972">
      <c r="A1972" s="1" t="n"/>
      <c r="B1972" s="16" t="n"/>
      <c r="C1972" s="17" t="n"/>
      <c r="D1972" s="18" t="n"/>
      <c r="E1972" s="18" t="n"/>
      <c r="F1972" s="19" t="n"/>
      <c r="G1972" s="19" t="n"/>
      <c r="H1972" s="20" t="n"/>
      <c r="I1972" s="21" t="n"/>
      <c r="J1972" s="22" t="n"/>
      <c r="K1972" s="23" t="n"/>
      <c r="L1972" s="18" t="n"/>
      <c r="M1972" s="24">
        <f>IF(B1972="","",IF(AND(F1972&lt;&gt;"",G1972&lt;&gt;""),MAX(0,ROUND(MOD(G1972-F1972,1)*24-N(H1972)/60,2)),N(I1972)))</f>
        <v/>
      </c>
      <c r="N1972" s="14">
        <f>IF(B1972="","",IF(K1972&lt;&gt;"",K1972,IF(N(IFERROR(INDEX(Projects!$D$6:$D$65,MATCH(D1972,Projects!$B$6:$B$65,0)),""))&gt;0,IFERROR(INDEX(Projects!$D$6:$D$65,MATCH(D1972,Projects!$B$6:$B$65,0)),""),IFERROR(INDEX(Clients!$G$6:$G$45,MATCH(C1972,Clients!$B$6:$B$45,0)),0))))</f>
        <v/>
      </c>
      <c r="O1972" s="14">
        <f>IF(B1972="","",IF(J1972&lt;&gt;"",0,ROUND(M1972*N1972,2)))</f>
        <v/>
      </c>
      <c r="P1972" s="15">
        <f>IF(OR(B1972="",J1972&lt;&gt;""),"",IF(L1972&lt;&gt;"",L1972,IF(COUNTIFS(Invoices!$C$6:$C$305,C1972,Invoices!$E$6:$E$305,"&lt;="&amp;B1972,Invoices!$F$6:$F$305,"&gt;="&amp;B1972)=1,INDEX(Invoices!$B$6:$B$305,SUMIFS(Invoices!$O$6:$O$305,Invoices!$C$6:$C$305,C1972,Invoices!$E$6:$E$305,"&lt;="&amp;B1972,Invoices!$F$6:$F$305,"&gt;="&amp;B1972)),IF(COUNTIFS(Invoices!$C$6:$C$305,C1972,Invoices!$E$6:$E$305,"&lt;="&amp;B1972,Invoices!$F$6:$F$305,"&gt;="&amp;B1972)&gt;1,"Two invoices",""))))</f>
        <v/>
      </c>
      <c r="Q1972" s="15">
        <f>IF(B1972="","",IF(J1972&lt;&gt;"","Not billable",IF(P1972="","To invoice",IF(P1972="Two invoices","Check dates",IF(ISNA(MATCH(P1972,Invoices!$B$6:$B$305,0)),"Check number",IF(INDEX(Invoices!$M$6:$M$305,MATCH(P1972,Invoices!$B$6:$B$305,0))="Paid","Paid",IF(INDEX(Invoices!$M$6:$M$305,MATCH(P1972,Invoices!$B$6:$B$305,0))="Draft","Draft","Invoiced")))))))</f>
        <v/>
      </c>
      <c r="R1972" s="1">
        <f>IF(AND(B1972&lt;&gt;"",P1972&lt;&gt;"",P1972=Invoice!$G$4),B1972+MOD(N(F1972),1)+ROW()/10000000,"")</f>
        <v/>
      </c>
      <c r="S1972">
        <f>IF(R1972="","",IF(D1972="","Other work",D1972)&amp;IF(AND(K1972&lt;&gt;"",E1972&lt;&gt;""),", "&amp;E1972,""))</f>
        <v/>
      </c>
      <c r="T1972">
        <f>IF(R1972="","",IF(COUNTIFS(R$6:R1971,"&gt;0",S$6:S1971,S1972,N$6:N1971,N1972)=0,R1972,""))</f>
        <v/>
      </c>
      <c r="U1972">
        <f>IF(B1972="","",IF(J1972&lt;&gt;"",0,M1972))</f>
        <v/>
      </c>
    </row>
    <row r="1973">
      <c r="A1973" s="1" t="n"/>
      <c r="B1973" s="16" t="n"/>
      <c r="C1973" s="17" t="n"/>
      <c r="D1973" s="18" t="n"/>
      <c r="E1973" s="18" t="n"/>
      <c r="F1973" s="19" t="n"/>
      <c r="G1973" s="19" t="n"/>
      <c r="H1973" s="20" t="n"/>
      <c r="I1973" s="21" t="n"/>
      <c r="J1973" s="22" t="n"/>
      <c r="K1973" s="23" t="n"/>
      <c r="L1973" s="18" t="n"/>
      <c r="M1973" s="24">
        <f>IF(B1973="","",IF(AND(F1973&lt;&gt;"",G1973&lt;&gt;""),MAX(0,ROUND(MOD(G1973-F1973,1)*24-N(H1973)/60,2)),N(I1973)))</f>
        <v/>
      </c>
      <c r="N1973" s="14">
        <f>IF(B1973="","",IF(K1973&lt;&gt;"",K1973,IF(N(IFERROR(INDEX(Projects!$D$6:$D$65,MATCH(D1973,Projects!$B$6:$B$65,0)),""))&gt;0,IFERROR(INDEX(Projects!$D$6:$D$65,MATCH(D1973,Projects!$B$6:$B$65,0)),""),IFERROR(INDEX(Clients!$G$6:$G$45,MATCH(C1973,Clients!$B$6:$B$45,0)),0))))</f>
        <v/>
      </c>
      <c r="O1973" s="14">
        <f>IF(B1973="","",IF(J1973&lt;&gt;"",0,ROUND(M1973*N1973,2)))</f>
        <v/>
      </c>
      <c r="P1973" s="15">
        <f>IF(OR(B1973="",J1973&lt;&gt;""),"",IF(L1973&lt;&gt;"",L1973,IF(COUNTIFS(Invoices!$C$6:$C$305,C1973,Invoices!$E$6:$E$305,"&lt;="&amp;B1973,Invoices!$F$6:$F$305,"&gt;="&amp;B1973)=1,INDEX(Invoices!$B$6:$B$305,SUMIFS(Invoices!$O$6:$O$305,Invoices!$C$6:$C$305,C1973,Invoices!$E$6:$E$305,"&lt;="&amp;B1973,Invoices!$F$6:$F$305,"&gt;="&amp;B1973)),IF(COUNTIFS(Invoices!$C$6:$C$305,C1973,Invoices!$E$6:$E$305,"&lt;="&amp;B1973,Invoices!$F$6:$F$305,"&gt;="&amp;B1973)&gt;1,"Two invoices",""))))</f>
        <v/>
      </c>
      <c r="Q1973" s="15">
        <f>IF(B1973="","",IF(J1973&lt;&gt;"","Not billable",IF(P1973="","To invoice",IF(P1973="Two invoices","Check dates",IF(ISNA(MATCH(P1973,Invoices!$B$6:$B$305,0)),"Check number",IF(INDEX(Invoices!$M$6:$M$305,MATCH(P1973,Invoices!$B$6:$B$305,0))="Paid","Paid",IF(INDEX(Invoices!$M$6:$M$305,MATCH(P1973,Invoices!$B$6:$B$305,0))="Draft","Draft","Invoiced")))))))</f>
        <v/>
      </c>
      <c r="R1973" s="1">
        <f>IF(AND(B1973&lt;&gt;"",P1973&lt;&gt;"",P1973=Invoice!$G$4),B1973+MOD(N(F1973),1)+ROW()/10000000,"")</f>
        <v/>
      </c>
      <c r="S1973">
        <f>IF(R1973="","",IF(D1973="","Other work",D1973)&amp;IF(AND(K1973&lt;&gt;"",E1973&lt;&gt;""),", "&amp;E1973,""))</f>
        <v/>
      </c>
      <c r="T1973">
        <f>IF(R1973="","",IF(COUNTIFS(R$6:R1972,"&gt;0",S$6:S1972,S1973,N$6:N1972,N1973)=0,R1973,""))</f>
        <v/>
      </c>
      <c r="U1973">
        <f>IF(B1973="","",IF(J1973&lt;&gt;"",0,M1973))</f>
        <v/>
      </c>
    </row>
    <row r="1974">
      <c r="A1974" s="1" t="n"/>
      <c r="B1974" s="16" t="n"/>
      <c r="C1974" s="17" t="n"/>
      <c r="D1974" s="18" t="n"/>
      <c r="E1974" s="18" t="n"/>
      <c r="F1974" s="19" t="n"/>
      <c r="G1974" s="19" t="n"/>
      <c r="H1974" s="20" t="n"/>
      <c r="I1974" s="21" t="n"/>
      <c r="J1974" s="22" t="n"/>
      <c r="K1974" s="23" t="n"/>
      <c r="L1974" s="18" t="n"/>
      <c r="M1974" s="24">
        <f>IF(B1974="","",IF(AND(F1974&lt;&gt;"",G1974&lt;&gt;""),MAX(0,ROUND(MOD(G1974-F1974,1)*24-N(H1974)/60,2)),N(I1974)))</f>
        <v/>
      </c>
      <c r="N1974" s="14">
        <f>IF(B1974="","",IF(K1974&lt;&gt;"",K1974,IF(N(IFERROR(INDEX(Projects!$D$6:$D$65,MATCH(D1974,Projects!$B$6:$B$65,0)),""))&gt;0,IFERROR(INDEX(Projects!$D$6:$D$65,MATCH(D1974,Projects!$B$6:$B$65,0)),""),IFERROR(INDEX(Clients!$G$6:$G$45,MATCH(C1974,Clients!$B$6:$B$45,0)),0))))</f>
        <v/>
      </c>
      <c r="O1974" s="14">
        <f>IF(B1974="","",IF(J1974&lt;&gt;"",0,ROUND(M1974*N1974,2)))</f>
        <v/>
      </c>
      <c r="P1974" s="15">
        <f>IF(OR(B1974="",J1974&lt;&gt;""),"",IF(L1974&lt;&gt;"",L1974,IF(COUNTIFS(Invoices!$C$6:$C$305,C1974,Invoices!$E$6:$E$305,"&lt;="&amp;B1974,Invoices!$F$6:$F$305,"&gt;="&amp;B1974)=1,INDEX(Invoices!$B$6:$B$305,SUMIFS(Invoices!$O$6:$O$305,Invoices!$C$6:$C$305,C1974,Invoices!$E$6:$E$305,"&lt;="&amp;B1974,Invoices!$F$6:$F$305,"&gt;="&amp;B1974)),IF(COUNTIFS(Invoices!$C$6:$C$305,C1974,Invoices!$E$6:$E$305,"&lt;="&amp;B1974,Invoices!$F$6:$F$305,"&gt;="&amp;B1974)&gt;1,"Two invoices",""))))</f>
        <v/>
      </c>
      <c r="Q1974" s="15">
        <f>IF(B1974="","",IF(J1974&lt;&gt;"","Not billable",IF(P1974="","To invoice",IF(P1974="Two invoices","Check dates",IF(ISNA(MATCH(P1974,Invoices!$B$6:$B$305,0)),"Check number",IF(INDEX(Invoices!$M$6:$M$305,MATCH(P1974,Invoices!$B$6:$B$305,0))="Paid","Paid",IF(INDEX(Invoices!$M$6:$M$305,MATCH(P1974,Invoices!$B$6:$B$305,0))="Draft","Draft","Invoiced")))))))</f>
        <v/>
      </c>
      <c r="R1974" s="1">
        <f>IF(AND(B1974&lt;&gt;"",P1974&lt;&gt;"",P1974=Invoice!$G$4),B1974+MOD(N(F1974),1)+ROW()/10000000,"")</f>
        <v/>
      </c>
      <c r="S1974">
        <f>IF(R1974="","",IF(D1974="","Other work",D1974)&amp;IF(AND(K1974&lt;&gt;"",E1974&lt;&gt;""),", "&amp;E1974,""))</f>
        <v/>
      </c>
      <c r="T1974">
        <f>IF(R1974="","",IF(COUNTIFS(R$6:R1973,"&gt;0",S$6:S1973,S1974,N$6:N1973,N1974)=0,R1974,""))</f>
        <v/>
      </c>
      <c r="U1974">
        <f>IF(B1974="","",IF(J1974&lt;&gt;"",0,M1974))</f>
        <v/>
      </c>
    </row>
    <row r="1975">
      <c r="A1975" s="1" t="n"/>
      <c r="B1975" s="16" t="n"/>
      <c r="C1975" s="17" t="n"/>
      <c r="D1975" s="18" t="n"/>
      <c r="E1975" s="18" t="n"/>
      <c r="F1975" s="19" t="n"/>
      <c r="G1975" s="19" t="n"/>
      <c r="H1975" s="20" t="n"/>
      <c r="I1975" s="21" t="n"/>
      <c r="J1975" s="22" t="n"/>
      <c r="K1975" s="23" t="n"/>
      <c r="L1975" s="18" t="n"/>
      <c r="M1975" s="24">
        <f>IF(B1975="","",IF(AND(F1975&lt;&gt;"",G1975&lt;&gt;""),MAX(0,ROUND(MOD(G1975-F1975,1)*24-N(H1975)/60,2)),N(I1975)))</f>
        <v/>
      </c>
      <c r="N1975" s="14">
        <f>IF(B1975="","",IF(K1975&lt;&gt;"",K1975,IF(N(IFERROR(INDEX(Projects!$D$6:$D$65,MATCH(D1975,Projects!$B$6:$B$65,0)),""))&gt;0,IFERROR(INDEX(Projects!$D$6:$D$65,MATCH(D1975,Projects!$B$6:$B$65,0)),""),IFERROR(INDEX(Clients!$G$6:$G$45,MATCH(C1975,Clients!$B$6:$B$45,0)),0))))</f>
        <v/>
      </c>
      <c r="O1975" s="14">
        <f>IF(B1975="","",IF(J1975&lt;&gt;"",0,ROUND(M1975*N1975,2)))</f>
        <v/>
      </c>
      <c r="P1975" s="15">
        <f>IF(OR(B1975="",J1975&lt;&gt;""),"",IF(L1975&lt;&gt;"",L1975,IF(COUNTIFS(Invoices!$C$6:$C$305,C1975,Invoices!$E$6:$E$305,"&lt;="&amp;B1975,Invoices!$F$6:$F$305,"&gt;="&amp;B1975)=1,INDEX(Invoices!$B$6:$B$305,SUMIFS(Invoices!$O$6:$O$305,Invoices!$C$6:$C$305,C1975,Invoices!$E$6:$E$305,"&lt;="&amp;B1975,Invoices!$F$6:$F$305,"&gt;="&amp;B1975)),IF(COUNTIFS(Invoices!$C$6:$C$305,C1975,Invoices!$E$6:$E$305,"&lt;="&amp;B1975,Invoices!$F$6:$F$305,"&gt;="&amp;B1975)&gt;1,"Two invoices",""))))</f>
        <v/>
      </c>
      <c r="Q1975" s="15">
        <f>IF(B1975="","",IF(J1975&lt;&gt;"","Not billable",IF(P1975="","To invoice",IF(P1975="Two invoices","Check dates",IF(ISNA(MATCH(P1975,Invoices!$B$6:$B$305,0)),"Check number",IF(INDEX(Invoices!$M$6:$M$305,MATCH(P1975,Invoices!$B$6:$B$305,0))="Paid","Paid",IF(INDEX(Invoices!$M$6:$M$305,MATCH(P1975,Invoices!$B$6:$B$305,0))="Draft","Draft","Invoiced")))))))</f>
        <v/>
      </c>
      <c r="R1975" s="1">
        <f>IF(AND(B1975&lt;&gt;"",P1975&lt;&gt;"",P1975=Invoice!$G$4),B1975+MOD(N(F1975),1)+ROW()/10000000,"")</f>
        <v/>
      </c>
      <c r="S1975">
        <f>IF(R1975="","",IF(D1975="","Other work",D1975)&amp;IF(AND(K1975&lt;&gt;"",E1975&lt;&gt;""),", "&amp;E1975,""))</f>
        <v/>
      </c>
      <c r="T1975">
        <f>IF(R1975="","",IF(COUNTIFS(R$6:R1974,"&gt;0",S$6:S1974,S1975,N$6:N1974,N1975)=0,R1975,""))</f>
        <v/>
      </c>
      <c r="U1975">
        <f>IF(B1975="","",IF(J1975&lt;&gt;"",0,M1975))</f>
        <v/>
      </c>
    </row>
    <row r="1976">
      <c r="A1976" s="1" t="n"/>
      <c r="B1976" s="16" t="n"/>
      <c r="C1976" s="17" t="n"/>
      <c r="D1976" s="18" t="n"/>
      <c r="E1976" s="18" t="n"/>
      <c r="F1976" s="19" t="n"/>
      <c r="G1976" s="19" t="n"/>
      <c r="H1976" s="20" t="n"/>
      <c r="I1976" s="21" t="n"/>
      <c r="J1976" s="22" t="n"/>
      <c r="K1976" s="23" t="n"/>
      <c r="L1976" s="18" t="n"/>
      <c r="M1976" s="24">
        <f>IF(B1976="","",IF(AND(F1976&lt;&gt;"",G1976&lt;&gt;""),MAX(0,ROUND(MOD(G1976-F1976,1)*24-N(H1976)/60,2)),N(I1976)))</f>
        <v/>
      </c>
      <c r="N1976" s="14">
        <f>IF(B1976="","",IF(K1976&lt;&gt;"",K1976,IF(N(IFERROR(INDEX(Projects!$D$6:$D$65,MATCH(D1976,Projects!$B$6:$B$65,0)),""))&gt;0,IFERROR(INDEX(Projects!$D$6:$D$65,MATCH(D1976,Projects!$B$6:$B$65,0)),""),IFERROR(INDEX(Clients!$G$6:$G$45,MATCH(C1976,Clients!$B$6:$B$45,0)),0))))</f>
        <v/>
      </c>
      <c r="O1976" s="14">
        <f>IF(B1976="","",IF(J1976&lt;&gt;"",0,ROUND(M1976*N1976,2)))</f>
        <v/>
      </c>
      <c r="P1976" s="15">
        <f>IF(OR(B1976="",J1976&lt;&gt;""),"",IF(L1976&lt;&gt;"",L1976,IF(COUNTIFS(Invoices!$C$6:$C$305,C1976,Invoices!$E$6:$E$305,"&lt;="&amp;B1976,Invoices!$F$6:$F$305,"&gt;="&amp;B1976)=1,INDEX(Invoices!$B$6:$B$305,SUMIFS(Invoices!$O$6:$O$305,Invoices!$C$6:$C$305,C1976,Invoices!$E$6:$E$305,"&lt;="&amp;B1976,Invoices!$F$6:$F$305,"&gt;="&amp;B1976)),IF(COUNTIFS(Invoices!$C$6:$C$305,C1976,Invoices!$E$6:$E$305,"&lt;="&amp;B1976,Invoices!$F$6:$F$305,"&gt;="&amp;B1976)&gt;1,"Two invoices",""))))</f>
        <v/>
      </c>
      <c r="Q1976" s="15">
        <f>IF(B1976="","",IF(J1976&lt;&gt;"","Not billable",IF(P1976="","To invoice",IF(P1976="Two invoices","Check dates",IF(ISNA(MATCH(P1976,Invoices!$B$6:$B$305,0)),"Check number",IF(INDEX(Invoices!$M$6:$M$305,MATCH(P1976,Invoices!$B$6:$B$305,0))="Paid","Paid",IF(INDEX(Invoices!$M$6:$M$305,MATCH(P1976,Invoices!$B$6:$B$305,0))="Draft","Draft","Invoiced")))))))</f>
        <v/>
      </c>
      <c r="R1976" s="1">
        <f>IF(AND(B1976&lt;&gt;"",P1976&lt;&gt;"",P1976=Invoice!$G$4),B1976+MOD(N(F1976),1)+ROW()/10000000,"")</f>
        <v/>
      </c>
      <c r="S1976">
        <f>IF(R1976="","",IF(D1976="","Other work",D1976)&amp;IF(AND(K1976&lt;&gt;"",E1976&lt;&gt;""),", "&amp;E1976,""))</f>
        <v/>
      </c>
      <c r="T1976">
        <f>IF(R1976="","",IF(COUNTIFS(R$6:R1975,"&gt;0",S$6:S1975,S1976,N$6:N1975,N1976)=0,R1976,""))</f>
        <v/>
      </c>
      <c r="U1976">
        <f>IF(B1976="","",IF(J1976&lt;&gt;"",0,M1976))</f>
        <v/>
      </c>
    </row>
    <row r="1977">
      <c r="A1977" s="1" t="n"/>
      <c r="B1977" s="16" t="n"/>
      <c r="C1977" s="17" t="n"/>
      <c r="D1977" s="18" t="n"/>
      <c r="E1977" s="18" t="n"/>
      <c r="F1977" s="19" t="n"/>
      <c r="G1977" s="19" t="n"/>
      <c r="H1977" s="20" t="n"/>
      <c r="I1977" s="21" t="n"/>
      <c r="J1977" s="22" t="n"/>
      <c r="K1977" s="23" t="n"/>
      <c r="L1977" s="18" t="n"/>
      <c r="M1977" s="24">
        <f>IF(B1977="","",IF(AND(F1977&lt;&gt;"",G1977&lt;&gt;""),MAX(0,ROUND(MOD(G1977-F1977,1)*24-N(H1977)/60,2)),N(I1977)))</f>
        <v/>
      </c>
      <c r="N1977" s="14">
        <f>IF(B1977="","",IF(K1977&lt;&gt;"",K1977,IF(N(IFERROR(INDEX(Projects!$D$6:$D$65,MATCH(D1977,Projects!$B$6:$B$65,0)),""))&gt;0,IFERROR(INDEX(Projects!$D$6:$D$65,MATCH(D1977,Projects!$B$6:$B$65,0)),""),IFERROR(INDEX(Clients!$G$6:$G$45,MATCH(C1977,Clients!$B$6:$B$45,0)),0))))</f>
        <v/>
      </c>
      <c r="O1977" s="14">
        <f>IF(B1977="","",IF(J1977&lt;&gt;"",0,ROUND(M1977*N1977,2)))</f>
        <v/>
      </c>
      <c r="P1977" s="15">
        <f>IF(OR(B1977="",J1977&lt;&gt;""),"",IF(L1977&lt;&gt;"",L1977,IF(COUNTIFS(Invoices!$C$6:$C$305,C1977,Invoices!$E$6:$E$305,"&lt;="&amp;B1977,Invoices!$F$6:$F$305,"&gt;="&amp;B1977)=1,INDEX(Invoices!$B$6:$B$305,SUMIFS(Invoices!$O$6:$O$305,Invoices!$C$6:$C$305,C1977,Invoices!$E$6:$E$305,"&lt;="&amp;B1977,Invoices!$F$6:$F$305,"&gt;="&amp;B1977)),IF(COUNTIFS(Invoices!$C$6:$C$305,C1977,Invoices!$E$6:$E$305,"&lt;="&amp;B1977,Invoices!$F$6:$F$305,"&gt;="&amp;B1977)&gt;1,"Two invoices",""))))</f>
        <v/>
      </c>
      <c r="Q1977" s="15">
        <f>IF(B1977="","",IF(J1977&lt;&gt;"","Not billable",IF(P1977="","To invoice",IF(P1977="Two invoices","Check dates",IF(ISNA(MATCH(P1977,Invoices!$B$6:$B$305,0)),"Check number",IF(INDEX(Invoices!$M$6:$M$305,MATCH(P1977,Invoices!$B$6:$B$305,0))="Paid","Paid",IF(INDEX(Invoices!$M$6:$M$305,MATCH(P1977,Invoices!$B$6:$B$305,0))="Draft","Draft","Invoiced")))))))</f>
        <v/>
      </c>
      <c r="R1977" s="1">
        <f>IF(AND(B1977&lt;&gt;"",P1977&lt;&gt;"",P1977=Invoice!$G$4),B1977+MOD(N(F1977),1)+ROW()/10000000,"")</f>
        <v/>
      </c>
      <c r="S1977">
        <f>IF(R1977="","",IF(D1977="","Other work",D1977)&amp;IF(AND(K1977&lt;&gt;"",E1977&lt;&gt;""),", "&amp;E1977,""))</f>
        <v/>
      </c>
      <c r="T1977">
        <f>IF(R1977="","",IF(COUNTIFS(R$6:R1976,"&gt;0",S$6:S1976,S1977,N$6:N1976,N1977)=0,R1977,""))</f>
        <v/>
      </c>
      <c r="U1977">
        <f>IF(B1977="","",IF(J1977&lt;&gt;"",0,M1977))</f>
        <v/>
      </c>
    </row>
    <row r="1978">
      <c r="A1978" s="1" t="n"/>
      <c r="B1978" s="16" t="n"/>
      <c r="C1978" s="17" t="n"/>
      <c r="D1978" s="18" t="n"/>
      <c r="E1978" s="18" t="n"/>
      <c r="F1978" s="19" t="n"/>
      <c r="G1978" s="19" t="n"/>
      <c r="H1978" s="20" t="n"/>
      <c r="I1978" s="21" t="n"/>
      <c r="J1978" s="22" t="n"/>
      <c r="K1978" s="23" t="n"/>
      <c r="L1978" s="18" t="n"/>
      <c r="M1978" s="24">
        <f>IF(B1978="","",IF(AND(F1978&lt;&gt;"",G1978&lt;&gt;""),MAX(0,ROUND(MOD(G1978-F1978,1)*24-N(H1978)/60,2)),N(I1978)))</f>
        <v/>
      </c>
      <c r="N1978" s="14">
        <f>IF(B1978="","",IF(K1978&lt;&gt;"",K1978,IF(N(IFERROR(INDEX(Projects!$D$6:$D$65,MATCH(D1978,Projects!$B$6:$B$65,0)),""))&gt;0,IFERROR(INDEX(Projects!$D$6:$D$65,MATCH(D1978,Projects!$B$6:$B$65,0)),""),IFERROR(INDEX(Clients!$G$6:$G$45,MATCH(C1978,Clients!$B$6:$B$45,0)),0))))</f>
        <v/>
      </c>
      <c r="O1978" s="14">
        <f>IF(B1978="","",IF(J1978&lt;&gt;"",0,ROUND(M1978*N1978,2)))</f>
        <v/>
      </c>
      <c r="P1978" s="15">
        <f>IF(OR(B1978="",J1978&lt;&gt;""),"",IF(L1978&lt;&gt;"",L1978,IF(COUNTIFS(Invoices!$C$6:$C$305,C1978,Invoices!$E$6:$E$305,"&lt;="&amp;B1978,Invoices!$F$6:$F$305,"&gt;="&amp;B1978)=1,INDEX(Invoices!$B$6:$B$305,SUMIFS(Invoices!$O$6:$O$305,Invoices!$C$6:$C$305,C1978,Invoices!$E$6:$E$305,"&lt;="&amp;B1978,Invoices!$F$6:$F$305,"&gt;="&amp;B1978)),IF(COUNTIFS(Invoices!$C$6:$C$305,C1978,Invoices!$E$6:$E$305,"&lt;="&amp;B1978,Invoices!$F$6:$F$305,"&gt;="&amp;B1978)&gt;1,"Two invoices",""))))</f>
        <v/>
      </c>
      <c r="Q1978" s="15">
        <f>IF(B1978="","",IF(J1978&lt;&gt;"","Not billable",IF(P1978="","To invoice",IF(P1978="Two invoices","Check dates",IF(ISNA(MATCH(P1978,Invoices!$B$6:$B$305,0)),"Check number",IF(INDEX(Invoices!$M$6:$M$305,MATCH(P1978,Invoices!$B$6:$B$305,0))="Paid","Paid",IF(INDEX(Invoices!$M$6:$M$305,MATCH(P1978,Invoices!$B$6:$B$305,0))="Draft","Draft","Invoiced")))))))</f>
        <v/>
      </c>
      <c r="R1978" s="1">
        <f>IF(AND(B1978&lt;&gt;"",P1978&lt;&gt;"",P1978=Invoice!$G$4),B1978+MOD(N(F1978),1)+ROW()/10000000,"")</f>
        <v/>
      </c>
      <c r="S1978">
        <f>IF(R1978="","",IF(D1978="","Other work",D1978)&amp;IF(AND(K1978&lt;&gt;"",E1978&lt;&gt;""),", "&amp;E1978,""))</f>
        <v/>
      </c>
      <c r="T1978">
        <f>IF(R1978="","",IF(COUNTIFS(R$6:R1977,"&gt;0",S$6:S1977,S1978,N$6:N1977,N1978)=0,R1978,""))</f>
        <v/>
      </c>
      <c r="U1978">
        <f>IF(B1978="","",IF(J1978&lt;&gt;"",0,M1978))</f>
        <v/>
      </c>
    </row>
    <row r="1979">
      <c r="A1979" s="1" t="n"/>
      <c r="B1979" s="16" t="n"/>
      <c r="C1979" s="17" t="n"/>
      <c r="D1979" s="18" t="n"/>
      <c r="E1979" s="18" t="n"/>
      <c r="F1979" s="19" t="n"/>
      <c r="G1979" s="19" t="n"/>
      <c r="H1979" s="20" t="n"/>
      <c r="I1979" s="21" t="n"/>
      <c r="J1979" s="22" t="n"/>
      <c r="K1979" s="23" t="n"/>
      <c r="L1979" s="18" t="n"/>
      <c r="M1979" s="24">
        <f>IF(B1979="","",IF(AND(F1979&lt;&gt;"",G1979&lt;&gt;""),MAX(0,ROUND(MOD(G1979-F1979,1)*24-N(H1979)/60,2)),N(I1979)))</f>
        <v/>
      </c>
      <c r="N1979" s="14">
        <f>IF(B1979="","",IF(K1979&lt;&gt;"",K1979,IF(N(IFERROR(INDEX(Projects!$D$6:$D$65,MATCH(D1979,Projects!$B$6:$B$65,0)),""))&gt;0,IFERROR(INDEX(Projects!$D$6:$D$65,MATCH(D1979,Projects!$B$6:$B$65,0)),""),IFERROR(INDEX(Clients!$G$6:$G$45,MATCH(C1979,Clients!$B$6:$B$45,0)),0))))</f>
        <v/>
      </c>
      <c r="O1979" s="14">
        <f>IF(B1979="","",IF(J1979&lt;&gt;"",0,ROUND(M1979*N1979,2)))</f>
        <v/>
      </c>
      <c r="P1979" s="15">
        <f>IF(OR(B1979="",J1979&lt;&gt;""),"",IF(L1979&lt;&gt;"",L1979,IF(COUNTIFS(Invoices!$C$6:$C$305,C1979,Invoices!$E$6:$E$305,"&lt;="&amp;B1979,Invoices!$F$6:$F$305,"&gt;="&amp;B1979)=1,INDEX(Invoices!$B$6:$B$305,SUMIFS(Invoices!$O$6:$O$305,Invoices!$C$6:$C$305,C1979,Invoices!$E$6:$E$305,"&lt;="&amp;B1979,Invoices!$F$6:$F$305,"&gt;="&amp;B1979)),IF(COUNTIFS(Invoices!$C$6:$C$305,C1979,Invoices!$E$6:$E$305,"&lt;="&amp;B1979,Invoices!$F$6:$F$305,"&gt;="&amp;B1979)&gt;1,"Two invoices",""))))</f>
        <v/>
      </c>
      <c r="Q1979" s="15">
        <f>IF(B1979="","",IF(J1979&lt;&gt;"","Not billable",IF(P1979="","To invoice",IF(P1979="Two invoices","Check dates",IF(ISNA(MATCH(P1979,Invoices!$B$6:$B$305,0)),"Check number",IF(INDEX(Invoices!$M$6:$M$305,MATCH(P1979,Invoices!$B$6:$B$305,0))="Paid","Paid",IF(INDEX(Invoices!$M$6:$M$305,MATCH(P1979,Invoices!$B$6:$B$305,0))="Draft","Draft","Invoiced")))))))</f>
        <v/>
      </c>
      <c r="R1979" s="1">
        <f>IF(AND(B1979&lt;&gt;"",P1979&lt;&gt;"",P1979=Invoice!$G$4),B1979+MOD(N(F1979),1)+ROW()/10000000,"")</f>
        <v/>
      </c>
      <c r="S1979">
        <f>IF(R1979="","",IF(D1979="","Other work",D1979)&amp;IF(AND(K1979&lt;&gt;"",E1979&lt;&gt;""),", "&amp;E1979,""))</f>
        <v/>
      </c>
      <c r="T1979">
        <f>IF(R1979="","",IF(COUNTIFS(R$6:R1978,"&gt;0",S$6:S1978,S1979,N$6:N1978,N1979)=0,R1979,""))</f>
        <v/>
      </c>
      <c r="U1979">
        <f>IF(B1979="","",IF(J1979&lt;&gt;"",0,M1979))</f>
        <v/>
      </c>
    </row>
    <row r="1980">
      <c r="A1980" s="1" t="n"/>
      <c r="B1980" s="16" t="n"/>
      <c r="C1980" s="17" t="n"/>
      <c r="D1980" s="18" t="n"/>
      <c r="E1980" s="18" t="n"/>
      <c r="F1980" s="19" t="n"/>
      <c r="G1980" s="19" t="n"/>
      <c r="H1980" s="20" t="n"/>
      <c r="I1980" s="21" t="n"/>
      <c r="J1980" s="22" t="n"/>
      <c r="K1980" s="23" t="n"/>
      <c r="L1980" s="18" t="n"/>
      <c r="M1980" s="24">
        <f>IF(B1980="","",IF(AND(F1980&lt;&gt;"",G1980&lt;&gt;""),MAX(0,ROUND(MOD(G1980-F1980,1)*24-N(H1980)/60,2)),N(I1980)))</f>
        <v/>
      </c>
      <c r="N1980" s="14">
        <f>IF(B1980="","",IF(K1980&lt;&gt;"",K1980,IF(N(IFERROR(INDEX(Projects!$D$6:$D$65,MATCH(D1980,Projects!$B$6:$B$65,0)),""))&gt;0,IFERROR(INDEX(Projects!$D$6:$D$65,MATCH(D1980,Projects!$B$6:$B$65,0)),""),IFERROR(INDEX(Clients!$G$6:$G$45,MATCH(C1980,Clients!$B$6:$B$45,0)),0))))</f>
        <v/>
      </c>
      <c r="O1980" s="14">
        <f>IF(B1980="","",IF(J1980&lt;&gt;"",0,ROUND(M1980*N1980,2)))</f>
        <v/>
      </c>
      <c r="P1980" s="15">
        <f>IF(OR(B1980="",J1980&lt;&gt;""),"",IF(L1980&lt;&gt;"",L1980,IF(COUNTIFS(Invoices!$C$6:$C$305,C1980,Invoices!$E$6:$E$305,"&lt;="&amp;B1980,Invoices!$F$6:$F$305,"&gt;="&amp;B1980)=1,INDEX(Invoices!$B$6:$B$305,SUMIFS(Invoices!$O$6:$O$305,Invoices!$C$6:$C$305,C1980,Invoices!$E$6:$E$305,"&lt;="&amp;B1980,Invoices!$F$6:$F$305,"&gt;="&amp;B1980)),IF(COUNTIFS(Invoices!$C$6:$C$305,C1980,Invoices!$E$6:$E$305,"&lt;="&amp;B1980,Invoices!$F$6:$F$305,"&gt;="&amp;B1980)&gt;1,"Two invoices",""))))</f>
        <v/>
      </c>
      <c r="Q1980" s="15">
        <f>IF(B1980="","",IF(J1980&lt;&gt;"","Not billable",IF(P1980="","To invoice",IF(P1980="Two invoices","Check dates",IF(ISNA(MATCH(P1980,Invoices!$B$6:$B$305,0)),"Check number",IF(INDEX(Invoices!$M$6:$M$305,MATCH(P1980,Invoices!$B$6:$B$305,0))="Paid","Paid",IF(INDEX(Invoices!$M$6:$M$305,MATCH(P1980,Invoices!$B$6:$B$305,0))="Draft","Draft","Invoiced")))))))</f>
        <v/>
      </c>
      <c r="R1980" s="1">
        <f>IF(AND(B1980&lt;&gt;"",P1980&lt;&gt;"",P1980=Invoice!$G$4),B1980+MOD(N(F1980),1)+ROW()/10000000,"")</f>
        <v/>
      </c>
      <c r="S1980">
        <f>IF(R1980="","",IF(D1980="","Other work",D1980)&amp;IF(AND(K1980&lt;&gt;"",E1980&lt;&gt;""),", "&amp;E1980,""))</f>
        <v/>
      </c>
      <c r="T1980">
        <f>IF(R1980="","",IF(COUNTIFS(R$6:R1979,"&gt;0",S$6:S1979,S1980,N$6:N1979,N1980)=0,R1980,""))</f>
        <v/>
      </c>
      <c r="U1980">
        <f>IF(B1980="","",IF(J1980&lt;&gt;"",0,M1980))</f>
        <v/>
      </c>
    </row>
    <row r="1981">
      <c r="A1981" s="1" t="n"/>
      <c r="B1981" s="16" t="n"/>
      <c r="C1981" s="17" t="n"/>
      <c r="D1981" s="18" t="n"/>
      <c r="E1981" s="18" t="n"/>
      <c r="F1981" s="19" t="n"/>
      <c r="G1981" s="19" t="n"/>
      <c r="H1981" s="20" t="n"/>
      <c r="I1981" s="21" t="n"/>
      <c r="J1981" s="22" t="n"/>
      <c r="K1981" s="23" t="n"/>
      <c r="L1981" s="18" t="n"/>
      <c r="M1981" s="24">
        <f>IF(B1981="","",IF(AND(F1981&lt;&gt;"",G1981&lt;&gt;""),MAX(0,ROUND(MOD(G1981-F1981,1)*24-N(H1981)/60,2)),N(I1981)))</f>
        <v/>
      </c>
      <c r="N1981" s="14">
        <f>IF(B1981="","",IF(K1981&lt;&gt;"",K1981,IF(N(IFERROR(INDEX(Projects!$D$6:$D$65,MATCH(D1981,Projects!$B$6:$B$65,0)),""))&gt;0,IFERROR(INDEX(Projects!$D$6:$D$65,MATCH(D1981,Projects!$B$6:$B$65,0)),""),IFERROR(INDEX(Clients!$G$6:$G$45,MATCH(C1981,Clients!$B$6:$B$45,0)),0))))</f>
        <v/>
      </c>
      <c r="O1981" s="14">
        <f>IF(B1981="","",IF(J1981&lt;&gt;"",0,ROUND(M1981*N1981,2)))</f>
        <v/>
      </c>
      <c r="P1981" s="15">
        <f>IF(OR(B1981="",J1981&lt;&gt;""),"",IF(L1981&lt;&gt;"",L1981,IF(COUNTIFS(Invoices!$C$6:$C$305,C1981,Invoices!$E$6:$E$305,"&lt;="&amp;B1981,Invoices!$F$6:$F$305,"&gt;="&amp;B1981)=1,INDEX(Invoices!$B$6:$B$305,SUMIFS(Invoices!$O$6:$O$305,Invoices!$C$6:$C$305,C1981,Invoices!$E$6:$E$305,"&lt;="&amp;B1981,Invoices!$F$6:$F$305,"&gt;="&amp;B1981)),IF(COUNTIFS(Invoices!$C$6:$C$305,C1981,Invoices!$E$6:$E$305,"&lt;="&amp;B1981,Invoices!$F$6:$F$305,"&gt;="&amp;B1981)&gt;1,"Two invoices",""))))</f>
        <v/>
      </c>
      <c r="Q1981" s="15">
        <f>IF(B1981="","",IF(J1981&lt;&gt;"","Not billable",IF(P1981="","To invoice",IF(P1981="Two invoices","Check dates",IF(ISNA(MATCH(P1981,Invoices!$B$6:$B$305,0)),"Check number",IF(INDEX(Invoices!$M$6:$M$305,MATCH(P1981,Invoices!$B$6:$B$305,0))="Paid","Paid",IF(INDEX(Invoices!$M$6:$M$305,MATCH(P1981,Invoices!$B$6:$B$305,0))="Draft","Draft","Invoiced")))))))</f>
        <v/>
      </c>
      <c r="R1981" s="1">
        <f>IF(AND(B1981&lt;&gt;"",P1981&lt;&gt;"",P1981=Invoice!$G$4),B1981+MOD(N(F1981),1)+ROW()/10000000,"")</f>
        <v/>
      </c>
      <c r="S1981">
        <f>IF(R1981="","",IF(D1981="","Other work",D1981)&amp;IF(AND(K1981&lt;&gt;"",E1981&lt;&gt;""),", "&amp;E1981,""))</f>
        <v/>
      </c>
      <c r="T1981">
        <f>IF(R1981="","",IF(COUNTIFS(R$6:R1980,"&gt;0",S$6:S1980,S1981,N$6:N1980,N1981)=0,R1981,""))</f>
        <v/>
      </c>
      <c r="U1981">
        <f>IF(B1981="","",IF(J1981&lt;&gt;"",0,M1981))</f>
        <v/>
      </c>
    </row>
    <row r="1982">
      <c r="A1982" s="1" t="n"/>
      <c r="B1982" s="16" t="n"/>
      <c r="C1982" s="17" t="n"/>
      <c r="D1982" s="18" t="n"/>
      <c r="E1982" s="18" t="n"/>
      <c r="F1982" s="19" t="n"/>
      <c r="G1982" s="19" t="n"/>
      <c r="H1982" s="20" t="n"/>
      <c r="I1982" s="21" t="n"/>
      <c r="J1982" s="22" t="n"/>
      <c r="K1982" s="23" t="n"/>
      <c r="L1982" s="18" t="n"/>
      <c r="M1982" s="24">
        <f>IF(B1982="","",IF(AND(F1982&lt;&gt;"",G1982&lt;&gt;""),MAX(0,ROUND(MOD(G1982-F1982,1)*24-N(H1982)/60,2)),N(I1982)))</f>
        <v/>
      </c>
      <c r="N1982" s="14">
        <f>IF(B1982="","",IF(K1982&lt;&gt;"",K1982,IF(N(IFERROR(INDEX(Projects!$D$6:$D$65,MATCH(D1982,Projects!$B$6:$B$65,0)),""))&gt;0,IFERROR(INDEX(Projects!$D$6:$D$65,MATCH(D1982,Projects!$B$6:$B$65,0)),""),IFERROR(INDEX(Clients!$G$6:$G$45,MATCH(C1982,Clients!$B$6:$B$45,0)),0))))</f>
        <v/>
      </c>
      <c r="O1982" s="14">
        <f>IF(B1982="","",IF(J1982&lt;&gt;"",0,ROUND(M1982*N1982,2)))</f>
        <v/>
      </c>
      <c r="P1982" s="15">
        <f>IF(OR(B1982="",J1982&lt;&gt;""),"",IF(L1982&lt;&gt;"",L1982,IF(COUNTIFS(Invoices!$C$6:$C$305,C1982,Invoices!$E$6:$E$305,"&lt;="&amp;B1982,Invoices!$F$6:$F$305,"&gt;="&amp;B1982)=1,INDEX(Invoices!$B$6:$B$305,SUMIFS(Invoices!$O$6:$O$305,Invoices!$C$6:$C$305,C1982,Invoices!$E$6:$E$305,"&lt;="&amp;B1982,Invoices!$F$6:$F$305,"&gt;="&amp;B1982)),IF(COUNTIFS(Invoices!$C$6:$C$305,C1982,Invoices!$E$6:$E$305,"&lt;="&amp;B1982,Invoices!$F$6:$F$305,"&gt;="&amp;B1982)&gt;1,"Two invoices",""))))</f>
        <v/>
      </c>
      <c r="Q1982" s="15">
        <f>IF(B1982="","",IF(J1982&lt;&gt;"","Not billable",IF(P1982="","To invoice",IF(P1982="Two invoices","Check dates",IF(ISNA(MATCH(P1982,Invoices!$B$6:$B$305,0)),"Check number",IF(INDEX(Invoices!$M$6:$M$305,MATCH(P1982,Invoices!$B$6:$B$305,0))="Paid","Paid",IF(INDEX(Invoices!$M$6:$M$305,MATCH(P1982,Invoices!$B$6:$B$305,0))="Draft","Draft","Invoiced")))))))</f>
        <v/>
      </c>
      <c r="R1982" s="1">
        <f>IF(AND(B1982&lt;&gt;"",P1982&lt;&gt;"",P1982=Invoice!$G$4),B1982+MOD(N(F1982),1)+ROW()/10000000,"")</f>
        <v/>
      </c>
      <c r="S1982">
        <f>IF(R1982="","",IF(D1982="","Other work",D1982)&amp;IF(AND(K1982&lt;&gt;"",E1982&lt;&gt;""),", "&amp;E1982,""))</f>
        <v/>
      </c>
      <c r="T1982">
        <f>IF(R1982="","",IF(COUNTIFS(R$6:R1981,"&gt;0",S$6:S1981,S1982,N$6:N1981,N1982)=0,R1982,""))</f>
        <v/>
      </c>
      <c r="U1982">
        <f>IF(B1982="","",IF(J1982&lt;&gt;"",0,M1982))</f>
        <v/>
      </c>
    </row>
    <row r="1983">
      <c r="A1983" s="1" t="n"/>
      <c r="B1983" s="16" t="n"/>
      <c r="C1983" s="17" t="n"/>
      <c r="D1983" s="18" t="n"/>
      <c r="E1983" s="18" t="n"/>
      <c r="F1983" s="19" t="n"/>
      <c r="G1983" s="19" t="n"/>
      <c r="H1983" s="20" t="n"/>
      <c r="I1983" s="21" t="n"/>
      <c r="J1983" s="22" t="n"/>
      <c r="K1983" s="23" t="n"/>
      <c r="L1983" s="18" t="n"/>
      <c r="M1983" s="24">
        <f>IF(B1983="","",IF(AND(F1983&lt;&gt;"",G1983&lt;&gt;""),MAX(0,ROUND(MOD(G1983-F1983,1)*24-N(H1983)/60,2)),N(I1983)))</f>
        <v/>
      </c>
      <c r="N1983" s="14">
        <f>IF(B1983="","",IF(K1983&lt;&gt;"",K1983,IF(N(IFERROR(INDEX(Projects!$D$6:$D$65,MATCH(D1983,Projects!$B$6:$B$65,0)),""))&gt;0,IFERROR(INDEX(Projects!$D$6:$D$65,MATCH(D1983,Projects!$B$6:$B$65,0)),""),IFERROR(INDEX(Clients!$G$6:$G$45,MATCH(C1983,Clients!$B$6:$B$45,0)),0))))</f>
        <v/>
      </c>
      <c r="O1983" s="14">
        <f>IF(B1983="","",IF(J1983&lt;&gt;"",0,ROUND(M1983*N1983,2)))</f>
        <v/>
      </c>
      <c r="P1983" s="15">
        <f>IF(OR(B1983="",J1983&lt;&gt;""),"",IF(L1983&lt;&gt;"",L1983,IF(COUNTIFS(Invoices!$C$6:$C$305,C1983,Invoices!$E$6:$E$305,"&lt;="&amp;B1983,Invoices!$F$6:$F$305,"&gt;="&amp;B1983)=1,INDEX(Invoices!$B$6:$B$305,SUMIFS(Invoices!$O$6:$O$305,Invoices!$C$6:$C$305,C1983,Invoices!$E$6:$E$305,"&lt;="&amp;B1983,Invoices!$F$6:$F$305,"&gt;="&amp;B1983)),IF(COUNTIFS(Invoices!$C$6:$C$305,C1983,Invoices!$E$6:$E$305,"&lt;="&amp;B1983,Invoices!$F$6:$F$305,"&gt;="&amp;B1983)&gt;1,"Two invoices",""))))</f>
        <v/>
      </c>
      <c r="Q1983" s="15">
        <f>IF(B1983="","",IF(J1983&lt;&gt;"","Not billable",IF(P1983="","To invoice",IF(P1983="Two invoices","Check dates",IF(ISNA(MATCH(P1983,Invoices!$B$6:$B$305,0)),"Check number",IF(INDEX(Invoices!$M$6:$M$305,MATCH(P1983,Invoices!$B$6:$B$305,0))="Paid","Paid",IF(INDEX(Invoices!$M$6:$M$305,MATCH(P1983,Invoices!$B$6:$B$305,0))="Draft","Draft","Invoiced")))))))</f>
        <v/>
      </c>
      <c r="R1983" s="1">
        <f>IF(AND(B1983&lt;&gt;"",P1983&lt;&gt;"",P1983=Invoice!$G$4),B1983+MOD(N(F1983),1)+ROW()/10000000,"")</f>
        <v/>
      </c>
      <c r="S1983">
        <f>IF(R1983="","",IF(D1983="","Other work",D1983)&amp;IF(AND(K1983&lt;&gt;"",E1983&lt;&gt;""),", "&amp;E1983,""))</f>
        <v/>
      </c>
      <c r="T1983">
        <f>IF(R1983="","",IF(COUNTIFS(R$6:R1982,"&gt;0",S$6:S1982,S1983,N$6:N1982,N1983)=0,R1983,""))</f>
        <v/>
      </c>
      <c r="U1983">
        <f>IF(B1983="","",IF(J1983&lt;&gt;"",0,M1983))</f>
        <v/>
      </c>
    </row>
    <row r="1984">
      <c r="A1984" s="1" t="n"/>
      <c r="B1984" s="16" t="n"/>
      <c r="C1984" s="17" t="n"/>
      <c r="D1984" s="18" t="n"/>
      <c r="E1984" s="18" t="n"/>
      <c r="F1984" s="19" t="n"/>
      <c r="G1984" s="19" t="n"/>
      <c r="H1984" s="20" t="n"/>
      <c r="I1984" s="21" t="n"/>
      <c r="J1984" s="22" t="n"/>
      <c r="K1984" s="23" t="n"/>
      <c r="L1984" s="18" t="n"/>
      <c r="M1984" s="24">
        <f>IF(B1984="","",IF(AND(F1984&lt;&gt;"",G1984&lt;&gt;""),MAX(0,ROUND(MOD(G1984-F1984,1)*24-N(H1984)/60,2)),N(I1984)))</f>
        <v/>
      </c>
      <c r="N1984" s="14">
        <f>IF(B1984="","",IF(K1984&lt;&gt;"",K1984,IF(N(IFERROR(INDEX(Projects!$D$6:$D$65,MATCH(D1984,Projects!$B$6:$B$65,0)),""))&gt;0,IFERROR(INDEX(Projects!$D$6:$D$65,MATCH(D1984,Projects!$B$6:$B$65,0)),""),IFERROR(INDEX(Clients!$G$6:$G$45,MATCH(C1984,Clients!$B$6:$B$45,0)),0))))</f>
        <v/>
      </c>
      <c r="O1984" s="14">
        <f>IF(B1984="","",IF(J1984&lt;&gt;"",0,ROUND(M1984*N1984,2)))</f>
        <v/>
      </c>
      <c r="P1984" s="15">
        <f>IF(OR(B1984="",J1984&lt;&gt;""),"",IF(L1984&lt;&gt;"",L1984,IF(COUNTIFS(Invoices!$C$6:$C$305,C1984,Invoices!$E$6:$E$305,"&lt;="&amp;B1984,Invoices!$F$6:$F$305,"&gt;="&amp;B1984)=1,INDEX(Invoices!$B$6:$B$305,SUMIFS(Invoices!$O$6:$O$305,Invoices!$C$6:$C$305,C1984,Invoices!$E$6:$E$305,"&lt;="&amp;B1984,Invoices!$F$6:$F$305,"&gt;="&amp;B1984)),IF(COUNTIFS(Invoices!$C$6:$C$305,C1984,Invoices!$E$6:$E$305,"&lt;="&amp;B1984,Invoices!$F$6:$F$305,"&gt;="&amp;B1984)&gt;1,"Two invoices",""))))</f>
        <v/>
      </c>
      <c r="Q1984" s="15">
        <f>IF(B1984="","",IF(J1984&lt;&gt;"","Not billable",IF(P1984="","To invoice",IF(P1984="Two invoices","Check dates",IF(ISNA(MATCH(P1984,Invoices!$B$6:$B$305,0)),"Check number",IF(INDEX(Invoices!$M$6:$M$305,MATCH(P1984,Invoices!$B$6:$B$305,0))="Paid","Paid",IF(INDEX(Invoices!$M$6:$M$305,MATCH(P1984,Invoices!$B$6:$B$305,0))="Draft","Draft","Invoiced")))))))</f>
        <v/>
      </c>
      <c r="R1984" s="1">
        <f>IF(AND(B1984&lt;&gt;"",P1984&lt;&gt;"",P1984=Invoice!$G$4),B1984+MOD(N(F1984),1)+ROW()/10000000,"")</f>
        <v/>
      </c>
      <c r="S1984">
        <f>IF(R1984="","",IF(D1984="","Other work",D1984)&amp;IF(AND(K1984&lt;&gt;"",E1984&lt;&gt;""),", "&amp;E1984,""))</f>
        <v/>
      </c>
      <c r="T1984">
        <f>IF(R1984="","",IF(COUNTIFS(R$6:R1983,"&gt;0",S$6:S1983,S1984,N$6:N1983,N1984)=0,R1984,""))</f>
        <v/>
      </c>
      <c r="U1984">
        <f>IF(B1984="","",IF(J1984&lt;&gt;"",0,M1984))</f>
        <v/>
      </c>
    </row>
    <row r="1985">
      <c r="A1985" s="1" t="n"/>
      <c r="B1985" s="16" t="n"/>
      <c r="C1985" s="17" t="n"/>
      <c r="D1985" s="18" t="n"/>
      <c r="E1985" s="18" t="n"/>
      <c r="F1985" s="19" t="n"/>
      <c r="G1985" s="19" t="n"/>
      <c r="H1985" s="20" t="n"/>
      <c r="I1985" s="21" t="n"/>
      <c r="J1985" s="22" t="n"/>
      <c r="K1985" s="23" t="n"/>
      <c r="L1985" s="18" t="n"/>
      <c r="M1985" s="24">
        <f>IF(B1985="","",IF(AND(F1985&lt;&gt;"",G1985&lt;&gt;""),MAX(0,ROUND(MOD(G1985-F1985,1)*24-N(H1985)/60,2)),N(I1985)))</f>
        <v/>
      </c>
      <c r="N1985" s="14">
        <f>IF(B1985="","",IF(K1985&lt;&gt;"",K1985,IF(N(IFERROR(INDEX(Projects!$D$6:$D$65,MATCH(D1985,Projects!$B$6:$B$65,0)),""))&gt;0,IFERROR(INDEX(Projects!$D$6:$D$65,MATCH(D1985,Projects!$B$6:$B$65,0)),""),IFERROR(INDEX(Clients!$G$6:$G$45,MATCH(C1985,Clients!$B$6:$B$45,0)),0))))</f>
        <v/>
      </c>
      <c r="O1985" s="14">
        <f>IF(B1985="","",IF(J1985&lt;&gt;"",0,ROUND(M1985*N1985,2)))</f>
        <v/>
      </c>
      <c r="P1985" s="15">
        <f>IF(OR(B1985="",J1985&lt;&gt;""),"",IF(L1985&lt;&gt;"",L1985,IF(COUNTIFS(Invoices!$C$6:$C$305,C1985,Invoices!$E$6:$E$305,"&lt;="&amp;B1985,Invoices!$F$6:$F$305,"&gt;="&amp;B1985)=1,INDEX(Invoices!$B$6:$B$305,SUMIFS(Invoices!$O$6:$O$305,Invoices!$C$6:$C$305,C1985,Invoices!$E$6:$E$305,"&lt;="&amp;B1985,Invoices!$F$6:$F$305,"&gt;="&amp;B1985)),IF(COUNTIFS(Invoices!$C$6:$C$305,C1985,Invoices!$E$6:$E$305,"&lt;="&amp;B1985,Invoices!$F$6:$F$305,"&gt;="&amp;B1985)&gt;1,"Two invoices",""))))</f>
        <v/>
      </c>
      <c r="Q1985" s="15">
        <f>IF(B1985="","",IF(J1985&lt;&gt;"","Not billable",IF(P1985="","To invoice",IF(P1985="Two invoices","Check dates",IF(ISNA(MATCH(P1985,Invoices!$B$6:$B$305,0)),"Check number",IF(INDEX(Invoices!$M$6:$M$305,MATCH(P1985,Invoices!$B$6:$B$305,0))="Paid","Paid",IF(INDEX(Invoices!$M$6:$M$305,MATCH(P1985,Invoices!$B$6:$B$305,0))="Draft","Draft","Invoiced")))))))</f>
        <v/>
      </c>
      <c r="R1985" s="1">
        <f>IF(AND(B1985&lt;&gt;"",P1985&lt;&gt;"",P1985=Invoice!$G$4),B1985+MOD(N(F1985),1)+ROW()/10000000,"")</f>
        <v/>
      </c>
      <c r="S1985">
        <f>IF(R1985="","",IF(D1985="","Other work",D1985)&amp;IF(AND(K1985&lt;&gt;"",E1985&lt;&gt;""),", "&amp;E1985,""))</f>
        <v/>
      </c>
      <c r="T1985">
        <f>IF(R1985="","",IF(COUNTIFS(R$6:R1984,"&gt;0",S$6:S1984,S1985,N$6:N1984,N1985)=0,R1985,""))</f>
        <v/>
      </c>
      <c r="U1985">
        <f>IF(B1985="","",IF(J1985&lt;&gt;"",0,M1985))</f>
        <v/>
      </c>
    </row>
    <row r="1986">
      <c r="A1986" s="1" t="n"/>
      <c r="B1986" s="16" t="n"/>
      <c r="C1986" s="17" t="n"/>
      <c r="D1986" s="18" t="n"/>
      <c r="E1986" s="18" t="n"/>
      <c r="F1986" s="19" t="n"/>
      <c r="G1986" s="19" t="n"/>
      <c r="H1986" s="20" t="n"/>
      <c r="I1986" s="21" t="n"/>
      <c r="J1986" s="22" t="n"/>
      <c r="K1986" s="23" t="n"/>
      <c r="L1986" s="18" t="n"/>
      <c r="M1986" s="24">
        <f>IF(B1986="","",IF(AND(F1986&lt;&gt;"",G1986&lt;&gt;""),MAX(0,ROUND(MOD(G1986-F1986,1)*24-N(H1986)/60,2)),N(I1986)))</f>
        <v/>
      </c>
      <c r="N1986" s="14">
        <f>IF(B1986="","",IF(K1986&lt;&gt;"",K1986,IF(N(IFERROR(INDEX(Projects!$D$6:$D$65,MATCH(D1986,Projects!$B$6:$B$65,0)),""))&gt;0,IFERROR(INDEX(Projects!$D$6:$D$65,MATCH(D1986,Projects!$B$6:$B$65,0)),""),IFERROR(INDEX(Clients!$G$6:$G$45,MATCH(C1986,Clients!$B$6:$B$45,0)),0))))</f>
        <v/>
      </c>
      <c r="O1986" s="14">
        <f>IF(B1986="","",IF(J1986&lt;&gt;"",0,ROUND(M1986*N1986,2)))</f>
        <v/>
      </c>
      <c r="P1986" s="15">
        <f>IF(OR(B1986="",J1986&lt;&gt;""),"",IF(L1986&lt;&gt;"",L1986,IF(COUNTIFS(Invoices!$C$6:$C$305,C1986,Invoices!$E$6:$E$305,"&lt;="&amp;B1986,Invoices!$F$6:$F$305,"&gt;="&amp;B1986)=1,INDEX(Invoices!$B$6:$B$305,SUMIFS(Invoices!$O$6:$O$305,Invoices!$C$6:$C$305,C1986,Invoices!$E$6:$E$305,"&lt;="&amp;B1986,Invoices!$F$6:$F$305,"&gt;="&amp;B1986)),IF(COUNTIFS(Invoices!$C$6:$C$305,C1986,Invoices!$E$6:$E$305,"&lt;="&amp;B1986,Invoices!$F$6:$F$305,"&gt;="&amp;B1986)&gt;1,"Two invoices",""))))</f>
        <v/>
      </c>
      <c r="Q1986" s="15">
        <f>IF(B1986="","",IF(J1986&lt;&gt;"","Not billable",IF(P1986="","To invoice",IF(P1986="Two invoices","Check dates",IF(ISNA(MATCH(P1986,Invoices!$B$6:$B$305,0)),"Check number",IF(INDEX(Invoices!$M$6:$M$305,MATCH(P1986,Invoices!$B$6:$B$305,0))="Paid","Paid",IF(INDEX(Invoices!$M$6:$M$305,MATCH(P1986,Invoices!$B$6:$B$305,0))="Draft","Draft","Invoiced")))))))</f>
        <v/>
      </c>
      <c r="R1986" s="1">
        <f>IF(AND(B1986&lt;&gt;"",P1986&lt;&gt;"",P1986=Invoice!$G$4),B1986+MOD(N(F1986),1)+ROW()/10000000,"")</f>
        <v/>
      </c>
      <c r="S1986">
        <f>IF(R1986="","",IF(D1986="","Other work",D1986)&amp;IF(AND(K1986&lt;&gt;"",E1986&lt;&gt;""),", "&amp;E1986,""))</f>
        <v/>
      </c>
      <c r="T1986">
        <f>IF(R1986="","",IF(COUNTIFS(R$6:R1985,"&gt;0",S$6:S1985,S1986,N$6:N1985,N1986)=0,R1986,""))</f>
        <v/>
      </c>
      <c r="U1986">
        <f>IF(B1986="","",IF(J1986&lt;&gt;"",0,M1986))</f>
        <v/>
      </c>
    </row>
    <row r="1987">
      <c r="A1987" s="1" t="n"/>
      <c r="B1987" s="16" t="n"/>
      <c r="C1987" s="17" t="n"/>
      <c r="D1987" s="18" t="n"/>
      <c r="E1987" s="18" t="n"/>
      <c r="F1987" s="19" t="n"/>
      <c r="G1987" s="19" t="n"/>
      <c r="H1987" s="20" t="n"/>
      <c r="I1987" s="21" t="n"/>
      <c r="J1987" s="22" t="n"/>
      <c r="K1987" s="23" t="n"/>
      <c r="L1987" s="18" t="n"/>
      <c r="M1987" s="24">
        <f>IF(B1987="","",IF(AND(F1987&lt;&gt;"",G1987&lt;&gt;""),MAX(0,ROUND(MOD(G1987-F1987,1)*24-N(H1987)/60,2)),N(I1987)))</f>
        <v/>
      </c>
      <c r="N1987" s="14">
        <f>IF(B1987="","",IF(K1987&lt;&gt;"",K1987,IF(N(IFERROR(INDEX(Projects!$D$6:$D$65,MATCH(D1987,Projects!$B$6:$B$65,0)),""))&gt;0,IFERROR(INDEX(Projects!$D$6:$D$65,MATCH(D1987,Projects!$B$6:$B$65,0)),""),IFERROR(INDEX(Clients!$G$6:$G$45,MATCH(C1987,Clients!$B$6:$B$45,0)),0))))</f>
        <v/>
      </c>
      <c r="O1987" s="14">
        <f>IF(B1987="","",IF(J1987&lt;&gt;"",0,ROUND(M1987*N1987,2)))</f>
        <v/>
      </c>
      <c r="P1987" s="15">
        <f>IF(OR(B1987="",J1987&lt;&gt;""),"",IF(L1987&lt;&gt;"",L1987,IF(COUNTIFS(Invoices!$C$6:$C$305,C1987,Invoices!$E$6:$E$305,"&lt;="&amp;B1987,Invoices!$F$6:$F$305,"&gt;="&amp;B1987)=1,INDEX(Invoices!$B$6:$B$305,SUMIFS(Invoices!$O$6:$O$305,Invoices!$C$6:$C$305,C1987,Invoices!$E$6:$E$305,"&lt;="&amp;B1987,Invoices!$F$6:$F$305,"&gt;="&amp;B1987)),IF(COUNTIFS(Invoices!$C$6:$C$305,C1987,Invoices!$E$6:$E$305,"&lt;="&amp;B1987,Invoices!$F$6:$F$305,"&gt;="&amp;B1987)&gt;1,"Two invoices",""))))</f>
        <v/>
      </c>
      <c r="Q1987" s="15">
        <f>IF(B1987="","",IF(J1987&lt;&gt;"","Not billable",IF(P1987="","To invoice",IF(P1987="Two invoices","Check dates",IF(ISNA(MATCH(P1987,Invoices!$B$6:$B$305,0)),"Check number",IF(INDEX(Invoices!$M$6:$M$305,MATCH(P1987,Invoices!$B$6:$B$305,0))="Paid","Paid",IF(INDEX(Invoices!$M$6:$M$305,MATCH(P1987,Invoices!$B$6:$B$305,0))="Draft","Draft","Invoiced")))))))</f>
        <v/>
      </c>
      <c r="R1987" s="1">
        <f>IF(AND(B1987&lt;&gt;"",P1987&lt;&gt;"",P1987=Invoice!$G$4),B1987+MOD(N(F1987),1)+ROW()/10000000,"")</f>
        <v/>
      </c>
      <c r="S1987">
        <f>IF(R1987="","",IF(D1987="","Other work",D1987)&amp;IF(AND(K1987&lt;&gt;"",E1987&lt;&gt;""),", "&amp;E1987,""))</f>
        <v/>
      </c>
      <c r="T1987">
        <f>IF(R1987="","",IF(COUNTIFS(R$6:R1986,"&gt;0",S$6:S1986,S1987,N$6:N1986,N1987)=0,R1987,""))</f>
        <v/>
      </c>
      <c r="U1987">
        <f>IF(B1987="","",IF(J1987&lt;&gt;"",0,M1987))</f>
        <v/>
      </c>
    </row>
    <row r="1988">
      <c r="A1988" s="1" t="n"/>
      <c r="B1988" s="16" t="n"/>
      <c r="C1988" s="17" t="n"/>
      <c r="D1988" s="18" t="n"/>
      <c r="E1988" s="18" t="n"/>
      <c r="F1988" s="19" t="n"/>
      <c r="G1988" s="19" t="n"/>
      <c r="H1988" s="20" t="n"/>
      <c r="I1988" s="21" t="n"/>
      <c r="J1988" s="22" t="n"/>
      <c r="K1988" s="23" t="n"/>
      <c r="L1988" s="18" t="n"/>
      <c r="M1988" s="24">
        <f>IF(B1988="","",IF(AND(F1988&lt;&gt;"",G1988&lt;&gt;""),MAX(0,ROUND(MOD(G1988-F1988,1)*24-N(H1988)/60,2)),N(I1988)))</f>
        <v/>
      </c>
      <c r="N1988" s="14">
        <f>IF(B1988="","",IF(K1988&lt;&gt;"",K1988,IF(N(IFERROR(INDEX(Projects!$D$6:$D$65,MATCH(D1988,Projects!$B$6:$B$65,0)),""))&gt;0,IFERROR(INDEX(Projects!$D$6:$D$65,MATCH(D1988,Projects!$B$6:$B$65,0)),""),IFERROR(INDEX(Clients!$G$6:$G$45,MATCH(C1988,Clients!$B$6:$B$45,0)),0))))</f>
        <v/>
      </c>
      <c r="O1988" s="14">
        <f>IF(B1988="","",IF(J1988&lt;&gt;"",0,ROUND(M1988*N1988,2)))</f>
        <v/>
      </c>
      <c r="P1988" s="15">
        <f>IF(OR(B1988="",J1988&lt;&gt;""),"",IF(L1988&lt;&gt;"",L1988,IF(COUNTIFS(Invoices!$C$6:$C$305,C1988,Invoices!$E$6:$E$305,"&lt;="&amp;B1988,Invoices!$F$6:$F$305,"&gt;="&amp;B1988)=1,INDEX(Invoices!$B$6:$B$305,SUMIFS(Invoices!$O$6:$O$305,Invoices!$C$6:$C$305,C1988,Invoices!$E$6:$E$305,"&lt;="&amp;B1988,Invoices!$F$6:$F$305,"&gt;="&amp;B1988)),IF(COUNTIFS(Invoices!$C$6:$C$305,C1988,Invoices!$E$6:$E$305,"&lt;="&amp;B1988,Invoices!$F$6:$F$305,"&gt;="&amp;B1988)&gt;1,"Two invoices",""))))</f>
        <v/>
      </c>
      <c r="Q1988" s="15">
        <f>IF(B1988="","",IF(J1988&lt;&gt;"","Not billable",IF(P1988="","To invoice",IF(P1988="Two invoices","Check dates",IF(ISNA(MATCH(P1988,Invoices!$B$6:$B$305,0)),"Check number",IF(INDEX(Invoices!$M$6:$M$305,MATCH(P1988,Invoices!$B$6:$B$305,0))="Paid","Paid",IF(INDEX(Invoices!$M$6:$M$305,MATCH(P1988,Invoices!$B$6:$B$305,0))="Draft","Draft","Invoiced")))))))</f>
        <v/>
      </c>
      <c r="R1988" s="1">
        <f>IF(AND(B1988&lt;&gt;"",P1988&lt;&gt;"",P1988=Invoice!$G$4),B1988+MOD(N(F1988),1)+ROW()/10000000,"")</f>
        <v/>
      </c>
      <c r="S1988">
        <f>IF(R1988="","",IF(D1988="","Other work",D1988)&amp;IF(AND(K1988&lt;&gt;"",E1988&lt;&gt;""),", "&amp;E1988,""))</f>
        <v/>
      </c>
      <c r="T1988">
        <f>IF(R1988="","",IF(COUNTIFS(R$6:R1987,"&gt;0",S$6:S1987,S1988,N$6:N1987,N1988)=0,R1988,""))</f>
        <v/>
      </c>
      <c r="U1988">
        <f>IF(B1988="","",IF(J1988&lt;&gt;"",0,M1988))</f>
        <v/>
      </c>
    </row>
    <row r="1989">
      <c r="A1989" s="1" t="n"/>
      <c r="B1989" s="16" t="n"/>
      <c r="C1989" s="17" t="n"/>
      <c r="D1989" s="18" t="n"/>
      <c r="E1989" s="18" t="n"/>
      <c r="F1989" s="19" t="n"/>
      <c r="G1989" s="19" t="n"/>
      <c r="H1989" s="20" t="n"/>
      <c r="I1989" s="21" t="n"/>
      <c r="J1989" s="22" t="n"/>
      <c r="K1989" s="23" t="n"/>
      <c r="L1989" s="18" t="n"/>
      <c r="M1989" s="24">
        <f>IF(B1989="","",IF(AND(F1989&lt;&gt;"",G1989&lt;&gt;""),MAX(0,ROUND(MOD(G1989-F1989,1)*24-N(H1989)/60,2)),N(I1989)))</f>
        <v/>
      </c>
      <c r="N1989" s="14">
        <f>IF(B1989="","",IF(K1989&lt;&gt;"",K1989,IF(N(IFERROR(INDEX(Projects!$D$6:$D$65,MATCH(D1989,Projects!$B$6:$B$65,0)),""))&gt;0,IFERROR(INDEX(Projects!$D$6:$D$65,MATCH(D1989,Projects!$B$6:$B$65,0)),""),IFERROR(INDEX(Clients!$G$6:$G$45,MATCH(C1989,Clients!$B$6:$B$45,0)),0))))</f>
        <v/>
      </c>
      <c r="O1989" s="14">
        <f>IF(B1989="","",IF(J1989&lt;&gt;"",0,ROUND(M1989*N1989,2)))</f>
        <v/>
      </c>
      <c r="P1989" s="15">
        <f>IF(OR(B1989="",J1989&lt;&gt;""),"",IF(L1989&lt;&gt;"",L1989,IF(COUNTIFS(Invoices!$C$6:$C$305,C1989,Invoices!$E$6:$E$305,"&lt;="&amp;B1989,Invoices!$F$6:$F$305,"&gt;="&amp;B1989)=1,INDEX(Invoices!$B$6:$B$305,SUMIFS(Invoices!$O$6:$O$305,Invoices!$C$6:$C$305,C1989,Invoices!$E$6:$E$305,"&lt;="&amp;B1989,Invoices!$F$6:$F$305,"&gt;="&amp;B1989)),IF(COUNTIFS(Invoices!$C$6:$C$305,C1989,Invoices!$E$6:$E$305,"&lt;="&amp;B1989,Invoices!$F$6:$F$305,"&gt;="&amp;B1989)&gt;1,"Two invoices",""))))</f>
        <v/>
      </c>
      <c r="Q1989" s="15">
        <f>IF(B1989="","",IF(J1989&lt;&gt;"","Not billable",IF(P1989="","To invoice",IF(P1989="Two invoices","Check dates",IF(ISNA(MATCH(P1989,Invoices!$B$6:$B$305,0)),"Check number",IF(INDEX(Invoices!$M$6:$M$305,MATCH(P1989,Invoices!$B$6:$B$305,0))="Paid","Paid",IF(INDEX(Invoices!$M$6:$M$305,MATCH(P1989,Invoices!$B$6:$B$305,0))="Draft","Draft","Invoiced")))))))</f>
        <v/>
      </c>
      <c r="R1989" s="1">
        <f>IF(AND(B1989&lt;&gt;"",P1989&lt;&gt;"",P1989=Invoice!$G$4),B1989+MOD(N(F1989),1)+ROW()/10000000,"")</f>
        <v/>
      </c>
      <c r="S1989">
        <f>IF(R1989="","",IF(D1989="","Other work",D1989)&amp;IF(AND(K1989&lt;&gt;"",E1989&lt;&gt;""),", "&amp;E1989,""))</f>
        <v/>
      </c>
      <c r="T1989">
        <f>IF(R1989="","",IF(COUNTIFS(R$6:R1988,"&gt;0",S$6:S1988,S1989,N$6:N1988,N1989)=0,R1989,""))</f>
        <v/>
      </c>
      <c r="U1989">
        <f>IF(B1989="","",IF(J1989&lt;&gt;"",0,M1989))</f>
        <v/>
      </c>
    </row>
    <row r="1990">
      <c r="A1990" s="1" t="n"/>
      <c r="B1990" s="16" t="n"/>
      <c r="C1990" s="17" t="n"/>
      <c r="D1990" s="18" t="n"/>
      <c r="E1990" s="18" t="n"/>
      <c r="F1990" s="19" t="n"/>
      <c r="G1990" s="19" t="n"/>
      <c r="H1990" s="20" t="n"/>
      <c r="I1990" s="21" t="n"/>
      <c r="J1990" s="22" t="n"/>
      <c r="K1990" s="23" t="n"/>
      <c r="L1990" s="18" t="n"/>
      <c r="M1990" s="24">
        <f>IF(B1990="","",IF(AND(F1990&lt;&gt;"",G1990&lt;&gt;""),MAX(0,ROUND(MOD(G1990-F1990,1)*24-N(H1990)/60,2)),N(I1990)))</f>
        <v/>
      </c>
      <c r="N1990" s="14">
        <f>IF(B1990="","",IF(K1990&lt;&gt;"",K1990,IF(N(IFERROR(INDEX(Projects!$D$6:$D$65,MATCH(D1990,Projects!$B$6:$B$65,0)),""))&gt;0,IFERROR(INDEX(Projects!$D$6:$D$65,MATCH(D1990,Projects!$B$6:$B$65,0)),""),IFERROR(INDEX(Clients!$G$6:$G$45,MATCH(C1990,Clients!$B$6:$B$45,0)),0))))</f>
        <v/>
      </c>
      <c r="O1990" s="14">
        <f>IF(B1990="","",IF(J1990&lt;&gt;"",0,ROUND(M1990*N1990,2)))</f>
        <v/>
      </c>
      <c r="P1990" s="15">
        <f>IF(OR(B1990="",J1990&lt;&gt;""),"",IF(L1990&lt;&gt;"",L1990,IF(COUNTIFS(Invoices!$C$6:$C$305,C1990,Invoices!$E$6:$E$305,"&lt;="&amp;B1990,Invoices!$F$6:$F$305,"&gt;="&amp;B1990)=1,INDEX(Invoices!$B$6:$B$305,SUMIFS(Invoices!$O$6:$O$305,Invoices!$C$6:$C$305,C1990,Invoices!$E$6:$E$305,"&lt;="&amp;B1990,Invoices!$F$6:$F$305,"&gt;="&amp;B1990)),IF(COUNTIFS(Invoices!$C$6:$C$305,C1990,Invoices!$E$6:$E$305,"&lt;="&amp;B1990,Invoices!$F$6:$F$305,"&gt;="&amp;B1990)&gt;1,"Two invoices",""))))</f>
        <v/>
      </c>
      <c r="Q1990" s="15">
        <f>IF(B1990="","",IF(J1990&lt;&gt;"","Not billable",IF(P1990="","To invoice",IF(P1990="Two invoices","Check dates",IF(ISNA(MATCH(P1990,Invoices!$B$6:$B$305,0)),"Check number",IF(INDEX(Invoices!$M$6:$M$305,MATCH(P1990,Invoices!$B$6:$B$305,0))="Paid","Paid",IF(INDEX(Invoices!$M$6:$M$305,MATCH(P1990,Invoices!$B$6:$B$305,0))="Draft","Draft","Invoiced")))))))</f>
        <v/>
      </c>
      <c r="R1990" s="1">
        <f>IF(AND(B1990&lt;&gt;"",P1990&lt;&gt;"",P1990=Invoice!$G$4),B1990+MOD(N(F1990),1)+ROW()/10000000,"")</f>
        <v/>
      </c>
      <c r="S1990">
        <f>IF(R1990="","",IF(D1990="","Other work",D1990)&amp;IF(AND(K1990&lt;&gt;"",E1990&lt;&gt;""),", "&amp;E1990,""))</f>
        <v/>
      </c>
      <c r="T1990">
        <f>IF(R1990="","",IF(COUNTIFS(R$6:R1989,"&gt;0",S$6:S1989,S1990,N$6:N1989,N1990)=0,R1990,""))</f>
        <v/>
      </c>
      <c r="U1990">
        <f>IF(B1990="","",IF(J1990&lt;&gt;"",0,M1990))</f>
        <v/>
      </c>
    </row>
    <row r="1991">
      <c r="A1991" s="1" t="n"/>
      <c r="B1991" s="16" t="n"/>
      <c r="C1991" s="17" t="n"/>
      <c r="D1991" s="18" t="n"/>
      <c r="E1991" s="18" t="n"/>
      <c r="F1991" s="19" t="n"/>
      <c r="G1991" s="19" t="n"/>
      <c r="H1991" s="20" t="n"/>
      <c r="I1991" s="21" t="n"/>
      <c r="J1991" s="22" t="n"/>
      <c r="K1991" s="23" t="n"/>
      <c r="L1991" s="18" t="n"/>
      <c r="M1991" s="24">
        <f>IF(B1991="","",IF(AND(F1991&lt;&gt;"",G1991&lt;&gt;""),MAX(0,ROUND(MOD(G1991-F1991,1)*24-N(H1991)/60,2)),N(I1991)))</f>
        <v/>
      </c>
      <c r="N1991" s="14">
        <f>IF(B1991="","",IF(K1991&lt;&gt;"",K1991,IF(N(IFERROR(INDEX(Projects!$D$6:$D$65,MATCH(D1991,Projects!$B$6:$B$65,0)),""))&gt;0,IFERROR(INDEX(Projects!$D$6:$D$65,MATCH(D1991,Projects!$B$6:$B$65,0)),""),IFERROR(INDEX(Clients!$G$6:$G$45,MATCH(C1991,Clients!$B$6:$B$45,0)),0))))</f>
        <v/>
      </c>
      <c r="O1991" s="14">
        <f>IF(B1991="","",IF(J1991&lt;&gt;"",0,ROUND(M1991*N1991,2)))</f>
        <v/>
      </c>
      <c r="P1991" s="15">
        <f>IF(OR(B1991="",J1991&lt;&gt;""),"",IF(L1991&lt;&gt;"",L1991,IF(COUNTIFS(Invoices!$C$6:$C$305,C1991,Invoices!$E$6:$E$305,"&lt;="&amp;B1991,Invoices!$F$6:$F$305,"&gt;="&amp;B1991)=1,INDEX(Invoices!$B$6:$B$305,SUMIFS(Invoices!$O$6:$O$305,Invoices!$C$6:$C$305,C1991,Invoices!$E$6:$E$305,"&lt;="&amp;B1991,Invoices!$F$6:$F$305,"&gt;="&amp;B1991)),IF(COUNTIFS(Invoices!$C$6:$C$305,C1991,Invoices!$E$6:$E$305,"&lt;="&amp;B1991,Invoices!$F$6:$F$305,"&gt;="&amp;B1991)&gt;1,"Two invoices",""))))</f>
        <v/>
      </c>
      <c r="Q1991" s="15">
        <f>IF(B1991="","",IF(J1991&lt;&gt;"","Not billable",IF(P1991="","To invoice",IF(P1991="Two invoices","Check dates",IF(ISNA(MATCH(P1991,Invoices!$B$6:$B$305,0)),"Check number",IF(INDEX(Invoices!$M$6:$M$305,MATCH(P1991,Invoices!$B$6:$B$305,0))="Paid","Paid",IF(INDEX(Invoices!$M$6:$M$305,MATCH(P1991,Invoices!$B$6:$B$305,0))="Draft","Draft","Invoiced")))))))</f>
        <v/>
      </c>
      <c r="R1991" s="1">
        <f>IF(AND(B1991&lt;&gt;"",P1991&lt;&gt;"",P1991=Invoice!$G$4),B1991+MOD(N(F1991),1)+ROW()/10000000,"")</f>
        <v/>
      </c>
      <c r="S1991">
        <f>IF(R1991="","",IF(D1991="","Other work",D1991)&amp;IF(AND(K1991&lt;&gt;"",E1991&lt;&gt;""),", "&amp;E1991,""))</f>
        <v/>
      </c>
      <c r="T1991">
        <f>IF(R1991="","",IF(COUNTIFS(R$6:R1990,"&gt;0",S$6:S1990,S1991,N$6:N1990,N1991)=0,R1991,""))</f>
        <v/>
      </c>
      <c r="U1991">
        <f>IF(B1991="","",IF(J1991&lt;&gt;"",0,M1991))</f>
        <v/>
      </c>
    </row>
    <row r="1992">
      <c r="A1992" s="1" t="n"/>
      <c r="B1992" s="16" t="n"/>
      <c r="C1992" s="17" t="n"/>
      <c r="D1992" s="18" t="n"/>
      <c r="E1992" s="18" t="n"/>
      <c r="F1992" s="19" t="n"/>
      <c r="G1992" s="19" t="n"/>
      <c r="H1992" s="20" t="n"/>
      <c r="I1992" s="21" t="n"/>
      <c r="J1992" s="22" t="n"/>
      <c r="K1992" s="23" t="n"/>
      <c r="L1992" s="18" t="n"/>
      <c r="M1992" s="24">
        <f>IF(B1992="","",IF(AND(F1992&lt;&gt;"",G1992&lt;&gt;""),MAX(0,ROUND(MOD(G1992-F1992,1)*24-N(H1992)/60,2)),N(I1992)))</f>
        <v/>
      </c>
      <c r="N1992" s="14">
        <f>IF(B1992="","",IF(K1992&lt;&gt;"",K1992,IF(N(IFERROR(INDEX(Projects!$D$6:$D$65,MATCH(D1992,Projects!$B$6:$B$65,0)),""))&gt;0,IFERROR(INDEX(Projects!$D$6:$D$65,MATCH(D1992,Projects!$B$6:$B$65,0)),""),IFERROR(INDEX(Clients!$G$6:$G$45,MATCH(C1992,Clients!$B$6:$B$45,0)),0))))</f>
        <v/>
      </c>
      <c r="O1992" s="14">
        <f>IF(B1992="","",IF(J1992&lt;&gt;"",0,ROUND(M1992*N1992,2)))</f>
        <v/>
      </c>
      <c r="P1992" s="15">
        <f>IF(OR(B1992="",J1992&lt;&gt;""),"",IF(L1992&lt;&gt;"",L1992,IF(COUNTIFS(Invoices!$C$6:$C$305,C1992,Invoices!$E$6:$E$305,"&lt;="&amp;B1992,Invoices!$F$6:$F$305,"&gt;="&amp;B1992)=1,INDEX(Invoices!$B$6:$B$305,SUMIFS(Invoices!$O$6:$O$305,Invoices!$C$6:$C$305,C1992,Invoices!$E$6:$E$305,"&lt;="&amp;B1992,Invoices!$F$6:$F$305,"&gt;="&amp;B1992)),IF(COUNTIFS(Invoices!$C$6:$C$305,C1992,Invoices!$E$6:$E$305,"&lt;="&amp;B1992,Invoices!$F$6:$F$305,"&gt;="&amp;B1992)&gt;1,"Two invoices",""))))</f>
        <v/>
      </c>
      <c r="Q1992" s="15">
        <f>IF(B1992="","",IF(J1992&lt;&gt;"","Not billable",IF(P1992="","To invoice",IF(P1992="Two invoices","Check dates",IF(ISNA(MATCH(P1992,Invoices!$B$6:$B$305,0)),"Check number",IF(INDEX(Invoices!$M$6:$M$305,MATCH(P1992,Invoices!$B$6:$B$305,0))="Paid","Paid",IF(INDEX(Invoices!$M$6:$M$305,MATCH(P1992,Invoices!$B$6:$B$305,0))="Draft","Draft","Invoiced")))))))</f>
        <v/>
      </c>
      <c r="R1992" s="1">
        <f>IF(AND(B1992&lt;&gt;"",P1992&lt;&gt;"",P1992=Invoice!$G$4),B1992+MOD(N(F1992),1)+ROW()/10000000,"")</f>
        <v/>
      </c>
      <c r="S1992">
        <f>IF(R1992="","",IF(D1992="","Other work",D1992)&amp;IF(AND(K1992&lt;&gt;"",E1992&lt;&gt;""),", "&amp;E1992,""))</f>
        <v/>
      </c>
      <c r="T1992">
        <f>IF(R1992="","",IF(COUNTIFS(R$6:R1991,"&gt;0",S$6:S1991,S1992,N$6:N1991,N1992)=0,R1992,""))</f>
        <v/>
      </c>
      <c r="U1992">
        <f>IF(B1992="","",IF(J1992&lt;&gt;"",0,M1992))</f>
        <v/>
      </c>
    </row>
    <row r="1993">
      <c r="A1993" s="1" t="n"/>
      <c r="B1993" s="16" t="n"/>
      <c r="C1993" s="17" t="n"/>
      <c r="D1993" s="18" t="n"/>
      <c r="E1993" s="18" t="n"/>
      <c r="F1993" s="19" t="n"/>
      <c r="G1993" s="19" t="n"/>
      <c r="H1993" s="20" t="n"/>
      <c r="I1993" s="21" t="n"/>
      <c r="J1993" s="22" t="n"/>
      <c r="K1993" s="23" t="n"/>
      <c r="L1993" s="18" t="n"/>
      <c r="M1993" s="24">
        <f>IF(B1993="","",IF(AND(F1993&lt;&gt;"",G1993&lt;&gt;""),MAX(0,ROUND(MOD(G1993-F1993,1)*24-N(H1993)/60,2)),N(I1993)))</f>
        <v/>
      </c>
      <c r="N1993" s="14">
        <f>IF(B1993="","",IF(K1993&lt;&gt;"",K1993,IF(N(IFERROR(INDEX(Projects!$D$6:$D$65,MATCH(D1993,Projects!$B$6:$B$65,0)),""))&gt;0,IFERROR(INDEX(Projects!$D$6:$D$65,MATCH(D1993,Projects!$B$6:$B$65,0)),""),IFERROR(INDEX(Clients!$G$6:$G$45,MATCH(C1993,Clients!$B$6:$B$45,0)),0))))</f>
        <v/>
      </c>
      <c r="O1993" s="14">
        <f>IF(B1993="","",IF(J1993&lt;&gt;"",0,ROUND(M1993*N1993,2)))</f>
        <v/>
      </c>
      <c r="P1993" s="15">
        <f>IF(OR(B1993="",J1993&lt;&gt;""),"",IF(L1993&lt;&gt;"",L1993,IF(COUNTIFS(Invoices!$C$6:$C$305,C1993,Invoices!$E$6:$E$305,"&lt;="&amp;B1993,Invoices!$F$6:$F$305,"&gt;="&amp;B1993)=1,INDEX(Invoices!$B$6:$B$305,SUMIFS(Invoices!$O$6:$O$305,Invoices!$C$6:$C$305,C1993,Invoices!$E$6:$E$305,"&lt;="&amp;B1993,Invoices!$F$6:$F$305,"&gt;="&amp;B1993)),IF(COUNTIFS(Invoices!$C$6:$C$305,C1993,Invoices!$E$6:$E$305,"&lt;="&amp;B1993,Invoices!$F$6:$F$305,"&gt;="&amp;B1993)&gt;1,"Two invoices",""))))</f>
        <v/>
      </c>
      <c r="Q1993" s="15">
        <f>IF(B1993="","",IF(J1993&lt;&gt;"","Not billable",IF(P1993="","To invoice",IF(P1993="Two invoices","Check dates",IF(ISNA(MATCH(P1993,Invoices!$B$6:$B$305,0)),"Check number",IF(INDEX(Invoices!$M$6:$M$305,MATCH(P1993,Invoices!$B$6:$B$305,0))="Paid","Paid",IF(INDEX(Invoices!$M$6:$M$305,MATCH(P1993,Invoices!$B$6:$B$305,0))="Draft","Draft","Invoiced")))))))</f>
        <v/>
      </c>
      <c r="R1993" s="1">
        <f>IF(AND(B1993&lt;&gt;"",P1993&lt;&gt;"",P1993=Invoice!$G$4),B1993+MOD(N(F1993),1)+ROW()/10000000,"")</f>
        <v/>
      </c>
      <c r="S1993">
        <f>IF(R1993="","",IF(D1993="","Other work",D1993)&amp;IF(AND(K1993&lt;&gt;"",E1993&lt;&gt;""),", "&amp;E1993,""))</f>
        <v/>
      </c>
      <c r="T1993">
        <f>IF(R1993="","",IF(COUNTIFS(R$6:R1992,"&gt;0",S$6:S1992,S1993,N$6:N1992,N1993)=0,R1993,""))</f>
        <v/>
      </c>
      <c r="U1993">
        <f>IF(B1993="","",IF(J1993&lt;&gt;"",0,M1993))</f>
        <v/>
      </c>
    </row>
    <row r="1994">
      <c r="A1994" s="1" t="n"/>
      <c r="B1994" s="16" t="n"/>
      <c r="C1994" s="17" t="n"/>
      <c r="D1994" s="18" t="n"/>
      <c r="E1994" s="18" t="n"/>
      <c r="F1994" s="19" t="n"/>
      <c r="G1994" s="19" t="n"/>
      <c r="H1994" s="20" t="n"/>
      <c r="I1994" s="21" t="n"/>
      <c r="J1994" s="22" t="n"/>
      <c r="K1994" s="23" t="n"/>
      <c r="L1994" s="18" t="n"/>
      <c r="M1994" s="24">
        <f>IF(B1994="","",IF(AND(F1994&lt;&gt;"",G1994&lt;&gt;""),MAX(0,ROUND(MOD(G1994-F1994,1)*24-N(H1994)/60,2)),N(I1994)))</f>
        <v/>
      </c>
      <c r="N1994" s="14">
        <f>IF(B1994="","",IF(K1994&lt;&gt;"",K1994,IF(N(IFERROR(INDEX(Projects!$D$6:$D$65,MATCH(D1994,Projects!$B$6:$B$65,0)),""))&gt;0,IFERROR(INDEX(Projects!$D$6:$D$65,MATCH(D1994,Projects!$B$6:$B$65,0)),""),IFERROR(INDEX(Clients!$G$6:$G$45,MATCH(C1994,Clients!$B$6:$B$45,0)),0))))</f>
        <v/>
      </c>
      <c r="O1994" s="14">
        <f>IF(B1994="","",IF(J1994&lt;&gt;"",0,ROUND(M1994*N1994,2)))</f>
        <v/>
      </c>
      <c r="P1994" s="15">
        <f>IF(OR(B1994="",J1994&lt;&gt;""),"",IF(L1994&lt;&gt;"",L1994,IF(COUNTIFS(Invoices!$C$6:$C$305,C1994,Invoices!$E$6:$E$305,"&lt;="&amp;B1994,Invoices!$F$6:$F$305,"&gt;="&amp;B1994)=1,INDEX(Invoices!$B$6:$B$305,SUMIFS(Invoices!$O$6:$O$305,Invoices!$C$6:$C$305,C1994,Invoices!$E$6:$E$305,"&lt;="&amp;B1994,Invoices!$F$6:$F$305,"&gt;="&amp;B1994)),IF(COUNTIFS(Invoices!$C$6:$C$305,C1994,Invoices!$E$6:$E$305,"&lt;="&amp;B1994,Invoices!$F$6:$F$305,"&gt;="&amp;B1994)&gt;1,"Two invoices",""))))</f>
        <v/>
      </c>
      <c r="Q1994" s="15">
        <f>IF(B1994="","",IF(J1994&lt;&gt;"","Not billable",IF(P1994="","To invoice",IF(P1994="Two invoices","Check dates",IF(ISNA(MATCH(P1994,Invoices!$B$6:$B$305,0)),"Check number",IF(INDEX(Invoices!$M$6:$M$305,MATCH(P1994,Invoices!$B$6:$B$305,0))="Paid","Paid",IF(INDEX(Invoices!$M$6:$M$305,MATCH(P1994,Invoices!$B$6:$B$305,0))="Draft","Draft","Invoiced")))))))</f>
        <v/>
      </c>
      <c r="R1994" s="1">
        <f>IF(AND(B1994&lt;&gt;"",P1994&lt;&gt;"",P1994=Invoice!$G$4),B1994+MOD(N(F1994),1)+ROW()/10000000,"")</f>
        <v/>
      </c>
      <c r="S1994">
        <f>IF(R1994="","",IF(D1994="","Other work",D1994)&amp;IF(AND(K1994&lt;&gt;"",E1994&lt;&gt;""),", "&amp;E1994,""))</f>
        <v/>
      </c>
      <c r="T1994">
        <f>IF(R1994="","",IF(COUNTIFS(R$6:R1993,"&gt;0",S$6:S1993,S1994,N$6:N1993,N1994)=0,R1994,""))</f>
        <v/>
      </c>
      <c r="U1994">
        <f>IF(B1994="","",IF(J1994&lt;&gt;"",0,M1994))</f>
        <v/>
      </c>
    </row>
    <row r="1995">
      <c r="A1995" s="1" t="n"/>
      <c r="B1995" s="16" t="n"/>
      <c r="C1995" s="17" t="n"/>
      <c r="D1995" s="18" t="n"/>
      <c r="E1995" s="18" t="n"/>
      <c r="F1995" s="19" t="n"/>
      <c r="G1995" s="19" t="n"/>
      <c r="H1995" s="20" t="n"/>
      <c r="I1995" s="21" t="n"/>
      <c r="J1995" s="22" t="n"/>
      <c r="K1995" s="23" t="n"/>
      <c r="L1995" s="18" t="n"/>
      <c r="M1995" s="24">
        <f>IF(B1995="","",IF(AND(F1995&lt;&gt;"",G1995&lt;&gt;""),MAX(0,ROUND(MOD(G1995-F1995,1)*24-N(H1995)/60,2)),N(I1995)))</f>
        <v/>
      </c>
      <c r="N1995" s="14">
        <f>IF(B1995="","",IF(K1995&lt;&gt;"",K1995,IF(N(IFERROR(INDEX(Projects!$D$6:$D$65,MATCH(D1995,Projects!$B$6:$B$65,0)),""))&gt;0,IFERROR(INDEX(Projects!$D$6:$D$65,MATCH(D1995,Projects!$B$6:$B$65,0)),""),IFERROR(INDEX(Clients!$G$6:$G$45,MATCH(C1995,Clients!$B$6:$B$45,0)),0))))</f>
        <v/>
      </c>
      <c r="O1995" s="14">
        <f>IF(B1995="","",IF(J1995&lt;&gt;"",0,ROUND(M1995*N1995,2)))</f>
        <v/>
      </c>
      <c r="P1995" s="15">
        <f>IF(OR(B1995="",J1995&lt;&gt;""),"",IF(L1995&lt;&gt;"",L1995,IF(COUNTIFS(Invoices!$C$6:$C$305,C1995,Invoices!$E$6:$E$305,"&lt;="&amp;B1995,Invoices!$F$6:$F$305,"&gt;="&amp;B1995)=1,INDEX(Invoices!$B$6:$B$305,SUMIFS(Invoices!$O$6:$O$305,Invoices!$C$6:$C$305,C1995,Invoices!$E$6:$E$305,"&lt;="&amp;B1995,Invoices!$F$6:$F$305,"&gt;="&amp;B1995)),IF(COUNTIFS(Invoices!$C$6:$C$305,C1995,Invoices!$E$6:$E$305,"&lt;="&amp;B1995,Invoices!$F$6:$F$305,"&gt;="&amp;B1995)&gt;1,"Two invoices",""))))</f>
        <v/>
      </c>
      <c r="Q1995" s="15">
        <f>IF(B1995="","",IF(J1995&lt;&gt;"","Not billable",IF(P1995="","To invoice",IF(P1995="Two invoices","Check dates",IF(ISNA(MATCH(P1995,Invoices!$B$6:$B$305,0)),"Check number",IF(INDEX(Invoices!$M$6:$M$305,MATCH(P1995,Invoices!$B$6:$B$305,0))="Paid","Paid",IF(INDEX(Invoices!$M$6:$M$305,MATCH(P1995,Invoices!$B$6:$B$305,0))="Draft","Draft","Invoiced")))))))</f>
        <v/>
      </c>
      <c r="R1995" s="1">
        <f>IF(AND(B1995&lt;&gt;"",P1995&lt;&gt;"",P1995=Invoice!$G$4),B1995+MOD(N(F1995),1)+ROW()/10000000,"")</f>
        <v/>
      </c>
      <c r="S1995">
        <f>IF(R1995="","",IF(D1995="","Other work",D1995)&amp;IF(AND(K1995&lt;&gt;"",E1995&lt;&gt;""),", "&amp;E1995,""))</f>
        <v/>
      </c>
      <c r="T1995">
        <f>IF(R1995="","",IF(COUNTIFS(R$6:R1994,"&gt;0",S$6:S1994,S1995,N$6:N1994,N1995)=0,R1995,""))</f>
        <v/>
      </c>
      <c r="U1995">
        <f>IF(B1995="","",IF(J1995&lt;&gt;"",0,M1995))</f>
        <v/>
      </c>
    </row>
    <row r="1996">
      <c r="A1996" s="1" t="n"/>
      <c r="B1996" s="16" t="n"/>
      <c r="C1996" s="17" t="n"/>
      <c r="D1996" s="18" t="n"/>
      <c r="E1996" s="18" t="n"/>
      <c r="F1996" s="19" t="n"/>
      <c r="G1996" s="19" t="n"/>
      <c r="H1996" s="20" t="n"/>
      <c r="I1996" s="21" t="n"/>
      <c r="J1996" s="22" t="n"/>
      <c r="K1996" s="23" t="n"/>
      <c r="L1996" s="18" t="n"/>
      <c r="M1996" s="24">
        <f>IF(B1996="","",IF(AND(F1996&lt;&gt;"",G1996&lt;&gt;""),MAX(0,ROUND(MOD(G1996-F1996,1)*24-N(H1996)/60,2)),N(I1996)))</f>
        <v/>
      </c>
      <c r="N1996" s="14">
        <f>IF(B1996="","",IF(K1996&lt;&gt;"",K1996,IF(N(IFERROR(INDEX(Projects!$D$6:$D$65,MATCH(D1996,Projects!$B$6:$B$65,0)),""))&gt;0,IFERROR(INDEX(Projects!$D$6:$D$65,MATCH(D1996,Projects!$B$6:$B$65,0)),""),IFERROR(INDEX(Clients!$G$6:$G$45,MATCH(C1996,Clients!$B$6:$B$45,0)),0))))</f>
        <v/>
      </c>
      <c r="O1996" s="14">
        <f>IF(B1996="","",IF(J1996&lt;&gt;"",0,ROUND(M1996*N1996,2)))</f>
        <v/>
      </c>
      <c r="P1996" s="15">
        <f>IF(OR(B1996="",J1996&lt;&gt;""),"",IF(L1996&lt;&gt;"",L1996,IF(COUNTIFS(Invoices!$C$6:$C$305,C1996,Invoices!$E$6:$E$305,"&lt;="&amp;B1996,Invoices!$F$6:$F$305,"&gt;="&amp;B1996)=1,INDEX(Invoices!$B$6:$B$305,SUMIFS(Invoices!$O$6:$O$305,Invoices!$C$6:$C$305,C1996,Invoices!$E$6:$E$305,"&lt;="&amp;B1996,Invoices!$F$6:$F$305,"&gt;="&amp;B1996)),IF(COUNTIFS(Invoices!$C$6:$C$305,C1996,Invoices!$E$6:$E$305,"&lt;="&amp;B1996,Invoices!$F$6:$F$305,"&gt;="&amp;B1996)&gt;1,"Two invoices",""))))</f>
        <v/>
      </c>
      <c r="Q1996" s="15">
        <f>IF(B1996="","",IF(J1996&lt;&gt;"","Not billable",IF(P1996="","To invoice",IF(P1996="Two invoices","Check dates",IF(ISNA(MATCH(P1996,Invoices!$B$6:$B$305,0)),"Check number",IF(INDEX(Invoices!$M$6:$M$305,MATCH(P1996,Invoices!$B$6:$B$305,0))="Paid","Paid",IF(INDEX(Invoices!$M$6:$M$305,MATCH(P1996,Invoices!$B$6:$B$305,0))="Draft","Draft","Invoiced")))))))</f>
        <v/>
      </c>
      <c r="R1996" s="1">
        <f>IF(AND(B1996&lt;&gt;"",P1996&lt;&gt;"",P1996=Invoice!$G$4),B1996+MOD(N(F1996),1)+ROW()/10000000,"")</f>
        <v/>
      </c>
      <c r="S1996">
        <f>IF(R1996="","",IF(D1996="","Other work",D1996)&amp;IF(AND(K1996&lt;&gt;"",E1996&lt;&gt;""),", "&amp;E1996,""))</f>
        <v/>
      </c>
      <c r="T1996">
        <f>IF(R1996="","",IF(COUNTIFS(R$6:R1995,"&gt;0",S$6:S1995,S1996,N$6:N1995,N1996)=0,R1996,""))</f>
        <v/>
      </c>
      <c r="U1996">
        <f>IF(B1996="","",IF(J1996&lt;&gt;"",0,M1996))</f>
        <v/>
      </c>
    </row>
    <row r="1997">
      <c r="A1997" s="1" t="n"/>
      <c r="B1997" s="16" t="n"/>
      <c r="C1997" s="17" t="n"/>
      <c r="D1997" s="18" t="n"/>
      <c r="E1997" s="18" t="n"/>
      <c r="F1997" s="19" t="n"/>
      <c r="G1997" s="19" t="n"/>
      <c r="H1997" s="20" t="n"/>
      <c r="I1997" s="21" t="n"/>
      <c r="J1997" s="22" t="n"/>
      <c r="K1997" s="23" t="n"/>
      <c r="L1997" s="18" t="n"/>
      <c r="M1997" s="24">
        <f>IF(B1997="","",IF(AND(F1997&lt;&gt;"",G1997&lt;&gt;""),MAX(0,ROUND(MOD(G1997-F1997,1)*24-N(H1997)/60,2)),N(I1997)))</f>
        <v/>
      </c>
      <c r="N1997" s="14">
        <f>IF(B1997="","",IF(K1997&lt;&gt;"",K1997,IF(N(IFERROR(INDEX(Projects!$D$6:$D$65,MATCH(D1997,Projects!$B$6:$B$65,0)),""))&gt;0,IFERROR(INDEX(Projects!$D$6:$D$65,MATCH(D1997,Projects!$B$6:$B$65,0)),""),IFERROR(INDEX(Clients!$G$6:$G$45,MATCH(C1997,Clients!$B$6:$B$45,0)),0))))</f>
        <v/>
      </c>
      <c r="O1997" s="14">
        <f>IF(B1997="","",IF(J1997&lt;&gt;"",0,ROUND(M1997*N1997,2)))</f>
        <v/>
      </c>
      <c r="P1997" s="15">
        <f>IF(OR(B1997="",J1997&lt;&gt;""),"",IF(L1997&lt;&gt;"",L1997,IF(COUNTIFS(Invoices!$C$6:$C$305,C1997,Invoices!$E$6:$E$305,"&lt;="&amp;B1997,Invoices!$F$6:$F$305,"&gt;="&amp;B1997)=1,INDEX(Invoices!$B$6:$B$305,SUMIFS(Invoices!$O$6:$O$305,Invoices!$C$6:$C$305,C1997,Invoices!$E$6:$E$305,"&lt;="&amp;B1997,Invoices!$F$6:$F$305,"&gt;="&amp;B1997)),IF(COUNTIFS(Invoices!$C$6:$C$305,C1997,Invoices!$E$6:$E$305,"&lt;="&amp;B1997,Invoices!$F$6:$F$305,"&gt;="&amp;B1997)&gt;1,"Two invoices",""))))</f>
        <v/>
      </c>
      <c r="Q1997" s="15">
        <f>IF(B1997="","",IF(J1997&lt;&gt;"","Not billable",IF(P1997="","To invoice",IF(P1997="Two invoices","Check dates",IF(ISNA(MATCH(P1997,Invoices!$B$6:$B$305,0)),"Check number",IF(INDEX(Invoices!$M$6:$M$305,MATCH(P1997,Invoices!$B$6:$B$305,0))="Paid","Paid",IF(INDEX(Invoices!$M$6:$M$305,MATCH(P1997,Invoices!$B$6:$B$305,0))="Draft","Draft","Invoiced")))))))</f>
        <v/>
      </c>
      <c r="R1997" s="1">
        <f>IF(AND(B1997&lt;&gt;"",P1997&lt;&gt;"",P1997=Invoice!$G$4),B1997+MOD(N(F1997),1)+ROW()/10000000,"")</f>
        <v/>
      </c>
      <c r="S1997">
        <f>IF(R1997="","",IF(D1997="","Other work",D1997)&amp;IF(AND(K1997&lt;&gt;"",E1997&lt;&gt;""),", "&amp;E1997,""))</f>
        <v/>
      </c>
      <c r="T1997">
        <f>IF(R1997="","",IF(COUNTIFS(R$6:R1996,"&gt;0",S$6:S1996,S1997,N$6:N1996,N1997)=0,R1997,""))</f>
        <v/>
      </c>
      <c r="U1997">
        <f>IF(B1997="","",IF(J1997&lt;&gt;"",0,M1997))</f>
        <v/>
      </c>
    </row>
    <row r="1998">
      <c r="A1998" s="1" t="n"/>
      <c r="B1998" s="16" t="n"/>
      <c r="C1998" s="17" t="n"/>
      <c r="D1998" s="18" t="n"/>
      <c r="E1998" s="18" t="n"/>
      <c r="F1998" s="19" t="n"/>
      <c r="G1998" s="19" t="n"/>
      <c r="H1998" s="20" t="n"/>
      <c r="I1998" s="21" t="n"/>
      <c r="J1998" s="22" t="n"/>
      <c r="K1998" s="23" t="n"/>
      <c r="L1998" s="18" t="n"/>
      <c r="M1998" s="24">
        <f>IF(B1998="","",IF(AND(F1998&lt;&gt;"",G1998&lt;&gt;""),MAX(0,ROUND(MOD(G1998-F1998,1)*24-N(H1998)/60,2)),N(I1998)))</f>
        <v/>
      </c>
      <c r="N1998" s="14">
        <f>IF(B1998="","",IF(K1998&lt;&gt;"",K1998,IF(N(IFERROR(INDEX(Projects!$D$6:$D$65,MATCH(D1998,Projects!$B$6:$B$65,0)),""))&gt;0,IFERROR(INDEX(Projects!$D$6:$D$65,MATCH(D1998,Projects!$B$6:$B$65,0)),""),IFERROR(INDEX(Clients!$G$6:$G$45,MATCH(C1998,Clients!$B$6:$B$45,0)),0))))</f>
        <v/>
      </c>
      <c r="O1998" s="14">
        <f>IF(B1998="","",IF(J1998&lt;&gt;"",0,ROUND(M1998*N1998,2)))</f>
        <v/>
      </c>
      <c r="P1998" s="15">
        <f>IF(OR(B1998="",J1998&lt;&gt;""),"",IF(L1998&lt;&gt;"",L1998,IF(COUNTIFS(Invoices!$C$6:$C$305,C1998,Invoices!$E$6:$E$305,"&lt;="&amp;B1998,Invoices!$F$6:$F$305,"&gt;="&amp;B1998)=1,INDEX(Invoices!$B$6:$B$305,SUMIFS(Invoices!$O$6:$O$305,Invoices!$C$6:$C$305,C1998,Invoices!$E$6:$E$305,"&lt;="&amp;B1998,Invoices!$F$6:$F$305,"&gt;="&amp;B1998)),IF(COUNTIFS(Invoices!$C$6:$C$305,C1998,Invoices!$E$6:$E$305,"&lt;="&amp;B1998,Invoices!$F$6:$F$305,"&gt;="&amp;B1998)&gt;1,"Two invoices",""))))</f>
        <v/>
      </c>
      <c r="Q1998" s="15">
        <f>IF(B1998="","",IF(J1998&lt;&gt;"","Not billable",IF(P1998="","To invoice",IF(P1998="Two invoices","Check dates",IF(ISNA(MATCH(P1998,Invoices!$B$6:$B$305,0)),"Check number",IF(INDEX(Invoices!$M$6:$M$305,MATCH(P1998,Invoices!$B$6:$B$305,0))="Paid","Paid",IF(INDEX(Invoices!$M$6:$M$305,MATCH(P1998,Invoices!$B$6:$B$305,0))="Draft","Draft","Invoiced")))))))</f>
        <v/>
      </c>
      <c r="R1998" s="1">
        <f>IF(AND(B1998&lt;&gt;"",P1998&lt;&gt;"",P1998=Invoice!$G$4),B1998+MOD(N(F1998),1)+ROW()/10000000,"")</f>
        <v/>
      </c>
      <c r="S1998">
        <f>IF(R1998="","",IF(D1998="","Other work",D1998)&amp;IF(AND(K1998&lt;&gt;"",E1998&lt;&gt;""),", "&amp;E1998,""))</f>
        <v/>
      </c>
      <c r="T1998">
        <f>IF(R1998="","",IF(COUNTIFS(R$6:R1997,"&gt;0",S$6:S1997,S1998,N$6:N1997,N1998)=0,R1998,""))</f>
        <v/>
      </c>
      <c r="U1998">
        <f>IF(B1998="","",IF(J1998&lt;&gt;"",0,M1998))</f>
        <v/>
      </c>
    </row>
    <row r="1999">
      <c r="A1999" s="1" t="n"/>
      <c r="B1999" s="16" t="n"/>
      <c r="C1999" s="17" t="n"/>
      <c r="D1999" s="18" t="n"/>
      <c r="E1999" s="18" t="n"/>
      <c r="F1999" s="19" t="n"/>
      <c r="G1999" s="19" t="n"/>
      <c r="H1999" s="20" t="n"/>
      <c r="I1999" s="21" t="n"/>
      <c r="J1999" s="22" t="n"/>
      <c r="K1999" s="23" t="n"/>
      <c r="L1999" s="18" t="n"/>
      <c r="M1999" s="24">
        <f>IF(B1999="","",IF(AND(F1999&lt;&gt;"",G1999&lt;&gt;""),MAX(0,ROUND(MOD(G1999-F1999,1)*24-N(H1999)/60,2)),N(I1999)))</f>
        <v/>
      </c>
      <c r="N1999" s="14">
        <f>IF(B1999="","",IF(K1999&lt;&gt;"",K1999,IF(N(IFERROR(INDEX(Projects!$D$6:$D$65,MATCH(D1999,Projects!$B$6:$B$65,0)),""))&gt;0,IFERROR(INDEX(Projects!$D$6:$D$65,MATCH(D1999,Projects!$B$6:$B$65,0)),""),IFERROR(INDEX(Clients!$G$6:$G$45,MATCH(C1999,Clients!$B$6:$B$45,0)),0))))</f>
        <v/>
      </c>
      <c r="O1999" s="14">
        <f>IF(B1999="","",IF(J1999&lt;&gt;"",0,ROUND(M1999*N1999,2)))</f>
        <v/>
      </c>
      <c r="P1999" s="15">
        <f>IF(OR(B1999="",J1999&lt;&gt;""),"",IF(L1999&lt;&gt;"",L1999,IF(COUNTIFS(Invoices!$C$6:$C$305,C1999,Invoices!$E$6:$E$305,"&lt;="&amp;B1999,Invoices!$F$6:$F$305,"&gt;="&amp;B1999)=1,INDEX(Invoices!$B$6:$B$305,SUMIFS(Invoices!$O$6:$O$305,Invoices!$C$6:$C$305,C1999,Invoices!$E$6:$E$305,"&lt;="&amp;B1999,Invoices!$F$6:$F$305,"&gt;="&amp;B1999)),IF(COUNTIFS(Invoices!$C$6:$C$305,C1999,Invoices!$E$6:$E$305,"&lt;="&amp;B1999,Invoices!$F$6:$F$305,"&gt;="&amp;B1999)&gt;1,"Two invoices",""))))</f>
        <v/>
      </c>
      <c r="Q1999" s="15">
        <f>IF(B1999="","",IF(J1999&lt;&gt;"","Not billable",IF(P1999="","To invoice",IF(P1999="Two invoices","Check dates",IF(ISNA(MATCH(P1999,Invoices!$B$6:$B$305,0)),"Check number",IF(INDEX(Invoices!$M$6:$M$305,MATCH(P1999,Invoices!$B$6:$B$305,0))="Paid","Paid",IF(INDEX(Invoices!$M$6:$M$305,MATCH(P1999,Invoices!$B$6:$B$305,0))="Draft","Draft","Invoiced")))))))</f>
        <v/>
      </c>
      <c r="R1999" s="1">
        <f>IF(AND(B1999&lt;&gt;"",P1999&lt;&gt;"",P1999=Invoice!$G$4),B1999+MOD(N(F1999),1)+ROW()/10000000,"")</f>
        <v/>
      </c>
      <c r="S1999">
        <f>IF(R1999="","",IF(D1999="","Other work",D1999)&amp;IF(AND(K1999&lt;&gt;"",E1999&lt;&gt;""),", "&amp;E1999,""))</f>
        <v/>
      </c>
      <c r="T1999">
        <f>IF(R1999="","",IF(COUNTIFS(R$6:R1998,"&gt;0",S$6:S1998,S1999,N$6:N1998,N1999)=0,R1999,""))</f>
        <v/>
      </c>
      <c r="U1999">
        <f>IF(B1999="","",IF(J1999&lt;&gt;"",0,M1999))</f>
        <v/>
      </c>
    </row>
    <row r="2000">
      <c r="A2000" s="1" t="n"/>
      <c r="B2000" s="16" t="n"/>
      <c r="C2000" s="17" t="n"/>
      <c r="D2000" s="18" t="n"/>
      <c r="E2000" s="18" t="n"/>
      <c r="F2000" s="19" t="n"/>
      <c r="G2000" s="19" t="n"/>
      <c r="H2000" s="20" t="n"/>
      <c r="I2000" s="21" t="n"/>
      <c r="J2000" s="22" t="n"/>
      <c r="K2000" s="23" t="n"/>
      <c r="L2000" s="18" t="n"/>
      <c r="M2000" s="24">
        <f>IF(B2000="","",IF(AND(F2000&lt;&gt;"",G2000&lt;&gt;""),MAX(0,ROUND(MOD(G2000-F2000,1)*24-N(H2000)/60,2)),N(I2000)))</f>
        <v/>
      </c>
      <c r="N2000" s="14">
        <f>IF(B2000="","",IF(K2000&lt;&gt;"",K2000,IF(N(IFERROR(INDEX(Projects!$D$6:$D$65,MATCH(D2000,Projects!$B$6:$B$65,0)),""))&gt;0,IFERROR(INDEX(Projects!$D$6:$D$65,MATCH(D2000,Projects!$B$6:$B$65,0)),""),IFERROR(INDEX(Clients!$G$6:$G$45,MATCH(C2000,Clients!$B$6:$B$45,0)),0))))</f>
        <v/>
      </c>
      <c r="O2000" s="14">
        <f>IF(B2000="","",IF(J2000&lt;&gt;"",0,ROUND(M2000*N2000,2)))</f>
        <v/>
      </c>
      <c r="P2000" s="15">
        <f>IF(OR(B2000="",J2000&lt;&gt;""),"",IF(L2000&lt;&gt;"",L2000,IF(COUNTIFS(Invoices!$C$6:$C$305,C2000,Invoices!$E$6:$E$305,"&lt;="&amp;B2000,Invoices!$F$6:$F$305,"&gt;="&amp;B2000)=1,INDEX(Invoices!$B$6:$B$305,SUMIFS(Invoices!$O$6:$O$305,Invoices!$C$6:$C$305,C2000,Invoices!$E$6:$E$305,"&lt;="&amp;B2000,Invoices!$F$6:$F$305,"&gt;="&amp;B2000)),IF(COUNTIFS(Invoices!$C$6:$C$305,C2000,Invoices!$E$6:$E$305,"&lt;="&amp;B2000,Invoices!$F$6:$F$305,"&gt;="&amp;B2000)&gt;1,"Two invoices",""))))</f>
        <v/>
      </c>
      <c r="Q2000" s="15">
        <f>IF(B2000="","",IF(J2000&lt;&gt;"","Not billable",IF(P2000="","To invoice",IF(P2000="Two invoices","Check dates",IF(ISNA(MATCH(P2000,Invoices!$B$6:$B$305,0)),"Check number",IF(INDEX(Invoices!$M$6:$M$305,MATCH(P2000,Invoices!$B$6:$B$305,0))="Paid","Paid",IF(INDEX(Invoices!$M$6:$M$305,MATCH(P2000,Invoices!$B$6:$B$305,0))="Draft","Draft","Invoiced")))))))</f>
        <v/>
      </c>
      <c r="R2000" s="1">
        <f>IF(AND(B2000&lt;&gt;"",P2000&lt;&gt;"",P2000=Invoice!$G$4),B2000+MOD(N(F2000),1)+ROW()/10000000,"")</f>
        <v/>
      </c>
      <c r="S2000">
        <f>IF(R2000="","",IF(D2000="","Other work",D2000)&amp;IF(AND(K2000&lt;&gt;"",E2000&lt;&gt;""),", "&amp;E2000,""))</f>
        <v/>
      </c>
      <c r="T2000">
        <f>IF(R2000="","",IF(COUNTIFS(R$6:R1999,"&gt;0",S$6:S1999,S2000,N$6:N1999,N2000)=0,R2000,""))</f>
        <v/>
      </c>
      <c r="U2000">
        <f>IF(B2000="","",IF(J2000&lt;&gt;"",0,M2000))</f>
        <v/>
      </c>
    </row>
    <row r="2001">
      <c r="A2001" s="1" t="n"/>
      <c r="B2001" s="16" t="n"/>
      <c r="C2001" s="17" t="n"/>
      <c r="D2001" s="18" t="n"/>
      <c r="E2001" s="18" t="n"/>
      <c r="F2001" s="19" t="n"/>
      <c r="G2001" s="19" t="n"/>
      <c r="H2001" s="20" t="n"/>
      <c r="I2001" s="21" t="n"/>
      <c r="J2001" s="22" t="n"/>
      <c r="K2001" s="23" t="n"/>
      <c r="L2001" s="18" t="n"/>
      <c r="M2001" s="24">
        <f>IF(B2001="","",IF(AND(F2001&lt;&gt;"",G2001&lt;&gt;""),MAX(0,ROUND(MOD(G2001-F2001,1)*24-N(H2001)/60,2)),N(I2001)))</f>
        <v/>
      </c>
      <c r="N2001" s="14">
        <f>IF(B2001="","",IF(K2001&lt;&gt;"",K2001,IF(N(IFERROR(INDEX(Projects!$D$6:$D$65,MATCH(D2001,Projects!$B$6:$B$65,0)),""))&gt;0,IFERROR(INDEX(Projects!$D$6:$D$65,MATCH(D2001,Projects!$B$6:$B$65,0)),""),IFERROR(INDEX(Clients!$G$6:$G$45,MATCH(C2001,Clients!$B$6:$B$45,0)),0))))</f>
        <v/>
      </c>
      <c r="O2001" s="14">
        <f>IF(B2001="","",IF(J2001&lt;&gt;"",0,ROUND(M2001*N2001,2)))</f>
        <v/>
      </c>
      <c r="P2001" s="15">
        <f>IF(OR(B2001="",J2001&lt;&gt;""),"",IF(L2001&lt;&gt;"",L2001,IF(COUNTIFS(Invoices!$C$6:$C$305,C2001,Invoices!$E$6:$E$305,"&lt;="&amp;B2001,Invoices!$F$6:$F$305,"&gt;="&amp;B2001)=1,INDEX(Invoices!$B$6:$B$305,SUMIFS(Invoices!$O$6:$O$305,Invoices!$C$6:$C$305,C2001,Invoices!$E$6:$E$305,"&lt;="&amp;B2001,Invoices!$F$6:$F$305,"&gt;="&amp;B2001)),IF(COUNTIFS(Invoices!$C$6:$C$305,C2001,Invoices!$E$6:$E$305,"&lt;="&amp;B2001,Invoices!$F$6:$F$305,"&gt;="&amp;B2001)&gt;1,"Two invoices",""))))</f>
        <v/>
      </c>
      <c r="Q2001" s="15">
        <f>IF(B2001="","",IF(J2001&lt;&gt;"","Not billable",IF(P2001="","To invoice",IF(P2001="Two invoices","Check dates",IF(ISNA(MATCH(P2001,Invoices!$B$6:$B$305,0)),"Check number",IF(INDEX(Invoices!$M$6:$M$305,MATCH(P2001,Invoices!$B$6:$B$305,0))="Paid","Paid",IF(INDEX(Invoices!$M$6:$M$305,MATCH(P2001,Invoices!$B$6:$B$305,0))="Draft","Draft","Invoiced")))))))</f>
        <v/>
      </c>
      <c r="R2001" s="1">
        <f>IF(AND(B2001&lt;&gt;"",P2001&lt;&gt;"",P2001=Invoice!$G$4),B2001+MOD(N(F2001),1)+ROW()/10000000,"")</f>
        <v/>
      </c>
      <c r="S2001">
        <f>IF(R2001="","",IF(D2001="","Other work",D2001)&amp;IF(AND(K2001&lt;&gt;"",E2001&lt;&gt;""),", "&amp;E2001,""))</f>
        <v/>
      </c>
      <c r="T2001">
        <f>IF(R2001="","",IF(COUNTIFS(R$6:R2000,"&gt;0",S$6:S2000,S2001,N$6:N2000,N2001)=0,R2001,""))</f>
        <v/>
      </c>
      <c r="U2001">
        <f>IF(B2001="","",IF(J2001&lt;&gt;"",0,M2001))</f>
        <v/>
      </c>
    </row>
    <row r="2002">
      <c r="A2002" s="1" t="n"/>
      <c r="B2002" s="16" t="n"/>
      <c r="C2002" s="17" t="n"/>
      <c r="D2002" s="18" t="n"/>
      <c r="E2002" s="18" t="n"/>
      <c r="F2002" s="19" t="n"/>
      <c r="G2002" s="19" t="n"/>
      <c r="H2002" s="20" t="n"/>
      <c r="I2002" s="21" t="n"/>
      <c r="J2002" s="22" t="n"/>
      <c r="K2002" s="23" t="n"/>
      <c r="L2002" s="18" t="n"/>
      <c r="M2002" s="24">
        <f>IF(B2002="","",IF(AND(F2002&lt;&gt;"",G2002&lt;&gt;""),MAX(0,ROUND(MOD(G2002-F2002,1)*24-N(H2002)/60,2)),N(I2002)))</f>
        <v/>
      </c>
      <c r="N2002" s="14">
        <f>IF(B2002="","",IF(K2002&lt;&gt;"",K2002,IF(N(IFERROR(INDEX(Projects!$D$6:$D$65,MATCH(D2002,Projects!$B$6:$B$65,0)),""))&gt;0,IFERROR(INDEX(Projects!$D$6:$D$65,MATCH(D2002,Projects!$B$6:$B$65,0)),""),IFERROR(INDEX(Clients!$G$6:$G$45,MATCH(C2002,Clients!$B$6:$B$45,0)),0))))</f>
        <v/>
      </c>
      <c r="O2002" s="14">
        <f>IF(B2002="","",IF(J2002&lt;&gt;"",0,ROUND(M2002*N2002,2)))</f>
        <v/>
      </c>
      <c r="P2002" s="15">
        <f>IF(OR(B2002="",J2002&lt;&gt;""),"",IF(L2002&lt;&gt;"",L2002,IF(COUNTIFS(Invoices!$C$6:$C$305,C2002,Invoices!$E$6:$E$305,"&lt;="&amp;B2002,Invoices!$F$6:$F$305,"&gt;="&amp;B2002)=1,INDEX(Invoices!$B$6:$B$305,SUMIFS(Invoices!$O$6:$O$305,Invoices!$C$6:$C$305,C2002,Invoices!$E$6:$E$305,"&lt;="&amp;B2002,Invoices!$F$6:$F$305,"&gt;="&amp;B2002)),IF(COUNTIFS(Invoices!$C$6:$C$305,C2002,Invoices!$E$6:$E$305,"&lt;="&amp;B2002,Invoices!$F$6:$F$305,"&gt;="&amp;B2002)&gt;1,"Two invoices",""))))</f>
        <v/>
      </c>
      <c r="Q2002" s="15">
        <f>IF(B2002="","",IF(J2002&lt;&gt;"","Not billable",IF(P2002="","To invoice",IF(P2002="Two invoices","Check dates",IF(ISNA(MATCH(P2002,Invoices!$B$6:$B$305,0)),"Check number",IF(INDEX(Invoices!$M$6:$M$305,MATCH(P2002,Invoices!$B$6:$B$305,0))="Paid","Paid",IF(INDEX(Invoices!$M$6:$M$305,MATCH(P2002,Invoices!$B$6:$B$305,0))="Draft","Draft","Invoiced")))))))</f>
        <v/>
      </c>
      <c r="R2002" s="1">
        <f>IF(AND(B2002&lt;&gt;"",P2002&lt;&gt;"",P2002=Invoice!$G$4),B2002+MOD(N(F2002),1)+ROW()/10000000,"")</f>
        <v/>
      </c>
      <c r="S2002">
        <f>IF(R2002="","",IF(D2002="","Other work",D2002)&amp;IF(AND(K2002&lt;&gt;"",E2002&lt;&gt;""),", "&amp;E2002,""))</f>
        <v/>
      </c>
      <c r="T2002">
        <f>IF(R2002="","",IF(COUNTIFS(R$6:R2001,"&gt;0",S$6:S2001,S2002,N$6:N2001,N2002)=0,R2002,""))</f>
        <v/>
      </c>
      <c r="U2002">
        <f>IF(B2002="","",IF(J2002&lt;&gt;"",0,M2002))</f>
        <v/>
      </c>
    </row>
    <row r="2003">
      <c r="A2003" s="1" t="n"/>
      <c r="B2003" s="16" t="n"/>
      <c r="C2003" s="17" t="n"/>
      <c r="D2003" s="18" t="n"/>
      <c r="E2003" s="18" t="n"/>
      <c r="F2003" s="19" t="n"/>
      <c r="G2003" s="19" t="n"/>
      <c r="H2003" s="20" t="n"/>
      <c r="I2003" s="21" t="n"/>
      <c r="J2003" s="22" t="n"/>
      <c r="K2003" s="23" t="n"/>
      <c r="L2003" s="18" t="n"/>
      <c r="M2003" s="24">
        <f>IF(B2003="","",IF(AND(F2003&lt;&gt;"",G2003&lt;&gt;""),MAX(0,ROUND(MOD(G2003-F2003,1)*24-N(H2003)/60,2)),N(I2003)))</f>
        <v/>
      </c>
      <c r="N2003" s="14">
        <f>IF(B2003="","",IF(K2003&lt;&gt;"",K2003,IF(N(IFERROR(INDEX(Projects!$D$6:$D$65,MATCH(D2003,Projects!$B$6:$B$65,0)),""))&gt;0,IFERROR(INDEX(Projects!$D$6:$D$65,MATCH(D2003,Projects!$B$6:$B$65,0)),""),IFERROR(INDEX(Clients!$G$6:$G$45,MATCH(C2003,Clients!$B$6:$B$45,0)),0))))</f>
        <v/>
      </c>
      <c r="O2003" s="14">
        <f>IF(B2003="","",IF(J2003&lt;&gt;"",0,ROUND(M2003*N2003,2)))</f>
        <v/>
      </c>
      <c r="P2003" s="15">
        <f>IF(OR(B2003="",J2003&lt;&gt;""),"",IF(L2003&lt;&gt;"",L2003,IF(COUNTIFS(Invoices!$C$6:$C$305,C2003,Invoices!$E$6:$E$305,"&lt;="&amp;B2003,Invoices!$F$6:$F$305,"&gt;="&amp;B2003)=1,INDEX(Invoices!$B$6:$B$305,SUMIFS(Invoices!$O$6:$O$305,Invoices!$C$6:$C$305,C2003,Invoices!$E$6:$E$305,"&lt;="&amp;B2003,Invoices!$F$6:$F$305,"&gt;="&amp;B2003)),IF(COUNTIFS(Invoices!$C$6:$C$305,C2003,Invoices!$E$6:$E$305,"&lt;="&amp;B2003,Invoices!$F$6:$F$305,"&gt;="&amp;B2003)&gt;1,"Two invoices",""))))</f>
        <v/>
      </c>
      <c r="Q2003" s="15">
        <f>IF(B2003="","",IF(J2003&lt;&gt;"","Not billable",IF(P2003="","To invoice",IF(P2003="Two invoices","Check dates",IF(ISNA(MATCH(P2003,Invoices!$B$6:$B$305,0)),"Check number",IF(INDEX(Invoices!$M$6:$M$305,MATCH(P2003,Invoices!$B$6:$B$305,0))="Paid","Paid",IF(INDEX(Invoices!$M$6:$M$305,MATCH(P2003,Invoices!$B$6:$B$305,0))="Draft","Draft","Invoiced")))))))</f>
        <v/>
      </c>
      <c r="R2003" s="1">
        <f>IF(AND(B2003&lt;&gt;"",P2003&lt;&gt;"",P2003=Invoice!$G$4),B2003+MOD(N(F2003),1)+ROW()/10000000,"")</f>
        <v/>
      </c>
      <c r="S2003">
        <f>IF(R2003="","",IF(D2003="","Other work",D2003)&amp;IF(AND(K2003&lt;&gt;"",E2003&lt;&gt;""),", "&amp;E2003,""))</f>
        <v/>
      </c>
      <c r="T2003">
        <f>IF(R2003="","",IF(COUNTIFS(R$6:R2002,"&gt;0",S$6:S2002,S2003,N$6:N2002,N2003)=0,R2003,""))</f>
        <v/>
      </c>
      <c r="U2003">
        <f>IF(B2003="","",IF(J2003&lt;&gt;"",0,M2003))</f>
        <v/>
      </c>
    </row>
    <row r="2004">
      <c r="A2004" s="1" t="n"/>
      <c r="B2004" s="16" t="n"/>
      <c r="C2004" s="17" t="n"/>
      <c r="D2004" s="18" t="n"/>
      <c r="E2004" s="18" t="n"/>
      <c r="F2004" s="19" t="n"/>
      <c r="G2004" s="19" t="n"/>
      <c r="H2004" s="20" t="n"/>
      <c r="I2004" s="21" t="n"/>
      <c r="J2004" s="22" t="n"/>
      <c r="K2004" s="23" t="n"/>
      <c r="L2004" s="18" t="n"/>
      <c r="M2004" s="24">
        <f>IF(B2004="","",IF(AND(F2004&lt;&gt;"",G2004&lt;&gt;""),MAX(0,ROUND(MOD(G2004-F2004,1)*24-N(H2004)/60,2)),N(I2004)))</f>
        <v/>
      </c>
      <c r="N2004" s="14">
        <f>IF(B2004="","",IF(K2004&lt;&gt;"",K2004,IF(N(IFERROR(INDEX(Projects!$D$6:$D$65,MATCH(D2004,Projects!$B$6:$B$65,0)),""))&gt;0,IFERROR(INDEX(Projects!$D$6:$D$65,MATCH(D2004,Projects!$B$6:$B$65,0)),""),IFERROR(INDEX(Clients!$G$6:$G$45,MATCH(C2004,Clients!$B$6:$B$45,0)),0))))</f>
        <v/>
      </c>
      <c r="O2004" s="14">
        <f>IF(B2004="","",IF(J2004&lt;&gt;"",0,ROUND(M2004*N2004,2)))</f>
        <v/>
      </c>
      <c r="P2004" s="15">
        <f>IF(OR(B2004="",J2004&lt;&gt;""),"",IF(L2004&lt;&gt;"",L2004,IF(COUNTIFS(Invoices!$C$6:$C$305,C2004,Invoices!$E$6:$E$305,"&lt;="&amp;B2004,Invoices!$F$6:$F$305,"&gt;="&amp;B2004)=1,INDEX(Invoices!$B$6:$B$305,SUMIFS(Invoices!$O$6:$O$305,Invoices!$C$6:$C$305,C2004,Invoices!$E$6:$E$305,"&lt;="&amp;B2004,Invoices!$F$6:$F$305,"&gt;="&amp;B2004)),IF(COUNTIFS(Invoices!$C$6:$C$305,C2004,Invoices!$E$6:$E$305,"&lt;="&amp;B2004,Invoices!$F$6:$F$305,"&gt;="&amp;B2004)&gt;1,"Two invoices",""))))</f>
        <v/>
      </c>
      <c r="Q2004" s="15">
        <f>IF(B2004="","",IF(J2004&lt;&gt;"","Not billable",IF(P2004="","To invoice",IF(P2004="Two invoices","Check dates",IF(ISNA(MATCH(P2004,Invoices!$B$6:$B$305,0)),"Check number",IF(INDEX(Invoices!$M$6:$M$305,MATCH(P2004,Invoices!$B$6:$B$305,0))="Paid","Paid",IF(INDEX(Invoices!$M$6:$M$305,MATCH(P2004,Invoices!$B$6:$B$305,0))="Draft","Draft","Invoiced")))))))</f>
        <v/>
      </c>
      <c r="R2004" s="1">
        <f>IF(AND(B2004&lt;&gt;"",P2004&lt;&gt;"",P2004=Invoice!$G$4),B2004+MOD(N(F2004),1)+ROW()/10000000,"")</f>
        <v/>
      </c>
      <c r="S2004">
        <f>IF(R2004="","",IF(D2004="","Other work",D2004)&amp;IF(AND(K2004&lt;&gt;"",E2004&lt;&gt;""),", "&amp;E2004,""))</f>
        <v/>
      </c>
      <c r="T2004">
        <f>IF(R2004="","",IF(COUNTIFS(R$6:R2003,"&gt;0",S$6:S2003,S2004,N$6:N2003,N2004)=0,R2004,""))</f>
        <v/>
      </c>
      <c r="U2004">
        <f>IF(B2004="","",IF(J2004&lt;&gt;"",0,M2004))</f>
        <v/>
      </c>
    </row>
    <row r="2005">
      <c r="A2005" s="1" t="n"/>
      <c r="B2005" s="16" t="n"/>
      <c r="C2005" s="17" t="n"/>
      <c r="D2005" s="18" t="n"/>
      <c r="E2005" s="18" t="n"/>
      <c r="F2005" s="19" t="n"/>
      <c r="G2005" s="19" t="n"/>
      <c r="H2005" s="20" t="n"/>
      <c r="I2005" s="21" t="n"/>
      <c r="J2005" s="22" t="n"/>
      <c r="K2005" s="23" t="n"/>
      <c r="L2005" s="18" t="n"/>
      <c r="M2005" s="24">
        <f>IF(B2005="","",IF(AND(F2005&lt;&gt;"",G2005&lt;&gt;""),MAX(0,ROUND(MOD(G2005-F2005,1)*24-N(H2005)/60,2)),N(I2005)))</f>
        <v/>
      </c>
      <c r="N2005" s="14">
        <f>IF(B2005="","",IF(K2005&lt;&gt;"",K2005,IF(N(IFERROR(INDEX(Projects!$D$6:$D$65,MATCH(D2005,Projects!$B$6:$B$65,0)),""))&gt;0,IFERROR(INDEX(Projects!$D$6:$D$65,MATCH(D2005,Projects!$B$6:$B$65,0)),""),IFERROR(INDEX(Clients!$G$6:$G$45,MATCH(C2005,Clients!$B$6:$B$45,0)),0))))</f>
        <v/>
      </c>
      <c r="O2005" s="14">
        <f>IF(B2005="","",IF(J2005&lt;&gt;"",0,ROUND(M2005*N2005,2)))</f>
        <v/>
      </c>
      <c r="P2005" s="15">
        <f>IF(OR(B2005="",J2005&lt;&gt;""),"",IF(L2005&lt;&gt;"",L2005,IF(COUNTIFS(Invoices!$C$6:$C$305,C2005,Invoices!$E$6:$E$305,"&lt;="&amp;B2005,Invoices!$F$6:$F$305,"&gt;="&amp;B2005)=1,INDEX(Invoices!$B$6:$B$305,SUMIFS(Invoices!$O$6:$O$305,Invoices!$C$6:$C$305,C2005,Invoices!$E$6:$E$305,"&lt;="&amp;B2005,Invoices!$F$6:$F$305,"&gt;="&amp;B2005)),IF(COUNTIFS(Invoices!$C$6:$C$305,C2005,Invoices!$E$6:$E$305,"&lt;="&amp;B2005,Invoices!$F$6:$F$305,"&gt;="&amp;B2005)&gt;1,"Two invoices",""))))</f>
        <v/>
      </c>
      <c r="Q2005" s="15">
        <f>IF(B2005="","",IF(J2005&lt;&gt;"","Not billable",IF(P2005="","To invoice",IF(P2005="Two invoices","Check dates",IF(ISNA(MATCH(P2005,Invoices!$B$6:$B$305,0)),"Check number",IF(INDEX(Invoices!$M$6:$M$305,MATCH(P2005,Invoices!$B$6:$B$305,0))="Paid","Paid",IF(INDEX(Invoices!$M$6:$M$305,MATCH(P2005,Invoices!$B$6:$B$305,0))="Draft","Draft","Invoiced")))))))</f>
        <v/>
      </c>
      <c r="R2005" s="1">
        <f>IF(AND(B2005&lt;&gt;"",P2005&lt;&gt;"",P2005=Invoice!$G$4),B2005+MOD(N(F2005),1)+ROW()/10000000,"")</f>
        <v/>
      </c>
      <c r="S2005">
        <f>IF(R2005="","",IF(D2005="","Other work",D2005)&amp;IF(AND(K2005&lt;&gt;"",E2005&lt;&gt;""),", "&amp;E2005,""))</f>
        <v/>
      </c>
      <c r="T2005">
        <f>IF(R2005="","",IF(COUNTIFS(R$6:R2004,"&gt;0",S$6:S2004,S2005,N$6:N2004,N2005)=0,R2005,""))</f>
        <v/>
      </c>
      <c r="U2005">
        <f>IF(B2005="","",IF(J2005&lt;&gt;"",0,M2005))</f>
        <v/>
      </c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n"/>
      <c r="I2006" s="1" t="n"/>
      <c r="J2006" s="1" t="n"/>
      <c r="K2006" s="1" t="n"/>
      <c r="L2006" s="1" t="n"/>
      <c r="M2006" s="1" t="n"/>
      <c r="N2006" s="1" t="n"/>
      <c r="O2006" s="1" t="n"/>
      <c r="P2006" s="1" t="n"/>
      <c r="Q2006" s="1" t="n"/>
      <c r="R2006" s="1" t="n"/>
    </row>
  </sheetData>
  <conditionalFormatting sqref="Q6:Q2005">
    <cfRule type="expression" priority="1" dxfId="2">
      <formula>Q6="To invoice"</formula>
    </cfRule>
    <cfRule type="expression" priority="2" dxfId="2">
      <formula>Q6="Draft"</formula>
    </cfRule>
    <cfRule type="expression" priority="3" dxfId="0">
      <formula>Q6="Invoiced"</formula>
    </cfRule>
    <cfRule type="expression" priority="4" dxfId="3">
      <formula>Q6="Paid"</formula>
    </cfRule>
    <cfRule type="expression" priority="5" dxfId="1">
      <formula>LEFT(Q6,5)="Check"</formula>
    </cfRule>
  </conditionalFormatting>
  <conditionalFormatting sqref="B6:Q2005">
    <cfRule type="expression" priority="6" dxfId="4">
      <formula>$J6&lt;&gt;""</formula>
    </cfRule>
  </conditionalFormatting>
  <dataValidations count="3">
    <dataValidation sqref="C6:C2005" showDropDown="0" showInputMessage="0" showErrorMessage="1" allowBlank="1" type="list">
      <formula1>=Clients!$B$6:$B$45</formula1>
    </dataValidation>
    <dataValidation sqref="D6:D2005" showDropDown="0" showInputMessage="0" showErrorMessage="0" allowBlank="1" type="list">
      <formula1>=Projects!$B$6:$B$65</formula1>
    </dataValidation>
    <dataValidation sqref="L6:L2005" showDropDown="0" showInputMessage="0" showErrorMessage="1" allowBlank="1" type="list">
      <formula1>=Invoices!$B$6:$B$305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13" customWidth="1" min="4" max="4"/>
    <col width="12" customWidth="1" min="5" max="5"/>
    <col width="12" customWidth="1" min="6" max="6"/>
    <col width="9" customWidth="1" min="7" max="7"/>
    <col width="12" customWidth="1" min="8" max="8"/>
    <col width="10" customWidth="1" min="9" max="9"/>
    <col width="12" customWidth="1" min="10" max="10"/>
    <col width="13" customWidth="1" min="11" max="11"/>
    <col width="13" customWidth="1" min="12" max="12"/>
    <col width="16" customWidth="1" min="13" max="13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Invoices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One line per invoice. The work of that client in those dates goes on it by itself. Type the day it is paid.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9" t="inlineStr">
        <is>
          <t>Number</t>
        </is>
      </c>
      <c r="C5" s="9" t="inlineStr">
        <is>
          <t>Client</t>
        </is>
      </c>
      <c r="D5" s="9" t="inlineStr">
        <is>
          <t>Date</t>
        </is>
      </c>
      <c r="E5" s="9" t="inlineStr">
        <is>
          <t>Work from</t>
        </is>
      </c>
      <c r="F5" s="9" t="inlineStr">
        <is>
          <t>Work to</t>
        </is>
      </c>
      <c r="G5" s="9" t="inlineStr">
        <is>
          <t>Hours</t>
        </is>
      </c>
      <c r="H5" s="9" t="inlineStr">
        <is>
          <t>Before tax</t>
        </is>
      </c>
      <c r="I5" s="9" t="inlineStr">
        <is>
          <t>Tax</t>
        </is>
      </c>
      <c r="J5" s="9" t="inlineStr">
        <is>
          <t>Total</t>
        </is>
      </c>
      <c r="K5" s="9" t="inlineStr">
        <is>
          <t>Due</t>
        </is>
      </c>
      <c r="L5" s="9" t="inlineStr">
        <is>
          <t>Paid on</t>
        </is>
      </c>
      <c r="M5" s="9" t="inlineStr">
        <is>
          <t>Status</t>
        </is>
      </c>
      <c r="N5" s="1" t="n"/>
    </row>
    <row r="6">
      <c r="A6" s="1" t="n"/>
      <c r="B6" s="17" t="inlineStr">
        <is>
          <t>RDS-2026-001</t>
        </is>
      </c>
      <c r="C6" s="18" t="inlineStr">
        <is>
          <t>Harbour Books</t>
        </is>
      </c>
      <c r="D6" s="16" t="n">
        <v>46143</v>
      </c>
      <c r="E6" s="16" t="n">
        <v>46113</v>
      </c>
      <c r="F6" s="16" t="n">
        <v>46142</v>
      </c>
      <c r="G6" s="25">
        <f>IF(B6="","",SUMIFS(Timesheet!$M$6:$M$2005,Timesheet!$P$6:$P$2005,B6))</f>
        <v/>
      </c>
      <c r="H6" s="14">
        <f>IF(B6="","",SUMIFS(Timesheet!$O$6:$O$2005,Timesheet!$P$6:$P$2005,B6))</f>
        <v/>
      </c>
      <c r="I6" s="14">
        <f>IF(B6="","",ROUND(H6*N(Settings!$C$12),2))</f>
        <v/>
      </c>
      <c r="J6" s="26">
        <f>IF(B6="","",H6+I6)</f>
        <v/>
      </c>
      <c r="K6" s="27">
        <f>IF(OR(B6="",D6=""),"",D6+IFERROR(IF(INDEX(Clients!$H$6:$H$45,MATCH(C6,Clients!$B$6:$B$45,0))="",N(Settings!$C$13),INDEX(Clients!$H$6:$H$45,MATCH(C6,Clients!$B$6:$B$45,0))),N(Settings!$C$13)))</f>
        <v/>
      </c>
      <c r="L6" s="16" t="n">
        <v>46168</v>
      </c>
      <c r="M6" s="15">
        <f>IF(B6="","",IF(L6&lt;&gt;"","Paid",IF(D6="","Draft",IF(K6&lt;TODAY(),"Overdue "&amp;(TODAY()-K6)&amp;IF(TODAY()-K6=1," day"," days"),"Waiting"))))</f>
        <v/>
      </c>
      <c r="N6" s="1" t="n"/>
      <c r="O6">
        <f>IF(B6="","",ROW()-5)</f>
        <v/>
      </c>
      <c r="P6">
        <f>IF(OR(B6="",L6&lt;&gt;"",D6=""),"",K6+ROW()/10000000)</f>
        <v/>
      </c>
    </row>
    <row r="7">
      <c r="A7" s="1" t="n"/>
      <c r="B7" s="17" t="inlineStr">
        <is>
          <t>RDS-2026-002</t>
        </is>
      </c>
      <c r="C7" s="18" t="inlineStr">
        <is>
          <t>Greenleaf Studio</t>
        </is>
      </c>
      <c r="D7" s="16" t="n">
        <v>46143</v>
      </c>
      <c r="E7" s="16" t="n">
        <v>46113</v>
      </c>
      <c r="F7" s="16" t="n">
        <v>46142</v>
      </c>
      <c r="G7" s="25">
        <f>IF(B7="","",SUMIFS(Timesheet!$M$6:$M$2005,Timesheet!$P$6:$P$2005,B7))</f>
        <v/>
      </c>
      <c r="H7" s="14">
        <f>IF(B7="","",SUMIFS(Timesheet!$O$6:$O$2005,Timesheet!$P$6:$P$2005,B7))</f>
        <v/>
      </c>
      <c r="I7" s="14">
        <f>IF(B7="","",ROUND(H7*N(Settings!$C$12),2))</f>
        <v/>
      </c>
      <c r="J7" s="26">
        <f>IF(B7="","",H7+I7)</f>
        <v/>
      </c>
      <c r="K7" s="27">
        <f>IF(OR(B7="",D7=""),"",D7+IFERROR(IF(INDEX(Clients!$H$6:$H$45,MATCH(C7,Clients!$B$6:$B$45,0))="",N(Settings!$C$13),INDEX(Clients!$H$6:$H$45,MATCH(C7,Clients!$B$6:$B$45,0))),N(Settings!$C$13)))</f>
        <v/>
      </c>
      <c r="L7" s="16" t="n">
        <v>46155</v>
      </c>
      <c r="M7" s="15">
        <f>IF(B7="","",IF(L7&lt;&gt;"","Paid",IF(D7="","Draft",IF(K7&lt;TODAY(),"Overdue "&amp;(TODAY()-K7)&amp;IF(TODAY()-K7=1," day"," days"),"Waiting"))))</f>
        <v/>
      </c>
      <c r="N7" s="1" t="n"/>
      <c r="O7">
        <f>IF(B7="","",ROW()-5)</f>
        <v/>
      </c>
      <c r="P7">
        <f>IF(OR(B7="",L7&lt;&gt;"",D7=""),"",K7+ROW()/10000000)</f>
        <v/>
      </c>
    </row>
    <row r="8">
      <c r="A8" s="1" t="n"/>
      <c r="B8" s="17" t="inlineStr">
        <is>
          <t>RDS-2026-003</t>
        </is>
      </c>
      <c r="C8" s="18" t="inlineStr">
        <is>
          <t>Harbour Books</t>
        </is>
      </c>
      <c r="D8" s="16" t="n">
        <v>46174</v>
      </c>
      <c r="E8" s="16" t="n">
        <v>46143</v>
      </c>
      <c r="F8" s="16" t="n">
        <v>46173</v>
      </c>
      <c r="G8" s="25">
        <f>IF(B8="","",SUMIFS(Timesheet!$M$6:$M$2005,Timesheet!$P$6:$P$2005,B8))</f>
        <v/>
      </c>
      <c r="H8" s="14">
        <f>IF(B8="","",SUMIFS(Timesheet!$O$6:$O$2005,Timesheet!$P$6:$P$2005,B8))</f>
        <v/>
      </c>
      <c r="I8" s="14">
        <f>IF(B8="","",ROUND(H8*N(Settings!$C$12),2))</f>
        <v/>
      </c>
      <c r="J8" s="26">
        <f>IF(B8="","",H8+I8)</f>
        <v/>
      </c>
      <c r="K8" s="27">
        <f>IF(OR(B8="",D8=""),"",D8+IFERROR(IF(INDEX(Clients!$H$6:$H$45,MATCH(C8,Clients!$B$6:$B$45,0))="",N(Settings!$C$13),INDEX(Clients!$H$6:$H$45,MATCH(C8,Clients!$B$6:$B$45,0))),N(Settings!$C$13)))</f>
        <v/>
      </c>
      <c r="L8" s="16" t="n">
        <v>46199</v>
      </c>
      <c r="M8" s="15">
        <f>IF(B8="","",IF(L8&lt;&gt;"","Paid",IF(D8="","Draft",IF(K8&lt;TODAY(),"Overdue "&amp;(TODAY()-K8)&amp;IF(TODAY()-K8=1," day"," days"),"Waiting"))))</f>
        <v/>
      </c>
      <c r="N8" s="1" t="n"/>
      <c r="O8">
        <f>IF(B8="","",ROW()-5)</f>
        <v/>
      </c>
      <c r="P8">
        <f>IF(OR(B8="",L8&lt;&gt;"",D8=""),"",K8+ROW()/10000000)</f>
        <v/>
      </c>
    </row>
    <row r="9">
      <c r="A9" s="1" t="n"/>
      <c r="B9" s="17" t="inlineStr">
        <is>
          <t>RDS-2026-004</t>
        </is>
      </c>
      <c r="C9" s="18" t="inlineStr">
        <is>
          <t>Greenleaf Studio</t>
        </is>
      </c>
      <c r="D9" s="16" t="n">
        <v>46174</v>
      </c>
      <c r="E9" s="16" t="n">
        <v>46143</v>
      </c>
      <c r="F9" s="16" t="n">
        <v>46173</v>
      </c>
      <c r="G9" s="25">
        <f>IF(B9="","",SUMIFS(Timesheet!$M$6:$M$2005,Timesheet!$P$6:$P$2005,B9))</f>
        <v/>
      </c>
      <c r="H9" s="14">
        <f>IF(B9="","",SUMIFS(Timesheet!$O$6:$O$2005,Timesheet!$P$6:$P$2005,B9))</f>
        <v/>
      </c>
      <c r="I9" s="14">
        <f>IF(B9="","",ROUND(H9*N(Settings!$C$12),2))</f>
        <v/>
      </c>
      <c r="J9" s="26">
        <f>IF(B9="","",H9+I9)</f>
        <v/>
      </c>
      <c r="K9" s="27">
        <f>IF(OR(B9="",D9=""),"",D9+IFERROR(IF(INDEX(Clients!$H$6:$H$45,MATCH(C9,Clients!$B$6:$B$45,0))="",N(Settings!$C$13),INDEX(Clients!$H$6:$H$45,MATCH(C9,Clients!$B$6:$B$45,0))),N(Settings!$C$13)))</f>
        <v/>
      </c>
      <c r="L9" s="16" t="n">
        <v>46185</v>
      </c>
      <c r="M9" s="15">
        <f>IF(B9="","",IF(L9&lt;&gt;"","Paid",IF(D9="","Draft",IF(K9&lt;TODAY(),"Overdue "&amp;(TODAY()-K9)&amp;IF(TODAY()-K9=1," day"," days"),"Waiting"))))</f>
        <v/>
      </c>
      <c r="N9" s="1" t="n"/>
      <c r="O9">
        <f>IF(B9="","",ROW()-5)</f>
        <v/>
      </c>
      <c r="P9">
        <f>IF(OR(B9="",L9&lt;&gt;"",D9=""),"",K9+ROW()/10000000)</f>
        <v/>
      </c>
    </row>
    <row r="10">
      <c r="A10" s="1" t="n"/>
      <c r="B10" s="17" t="inlineStr">
        <is>
          <t>RDS-2026-005</t>
        </is>
      </c>
      <c r="C10" s="18" t="inlineStr">
        <is>
          <t>Harbour Books</t>
        </is>
      </c>
      <c r="D10" s="16" t="n">
        <v>46204</v>
      </c>
      <c r="E10" s="16" t="n">
        <v>46174</v>
      </c>
      <c r="F10" s="16" t="n">
        <v>46203</v>
      </c>
      <c r="G10" s="25">
        <f>IF(B10="","",SUMIFS(Timesheet!$M$6:$M$2005,Timesheet!$P$6:$P$2005,B10))</f>
        <v/>
      </c>
      <c r="H10" s="14">
        <f>IF(B10="","",SUMIFS(Timesheet!$O$6:$O$2005,Timesheet!$P$6:$P$2005,B10))</f>
        <v/>
      </c>
      <c r="I10" s="14">
        <f>IF(B10="","",ROUND(H10*N(Settings!$C$12),2))</f>
        <v/>
      </c>
      <c r="J10" s="26">
        <f>IF(B10="","",H10+I10)</f>
        <v/>
      </c>
      <c r="K10" s="27">
        <f>IF(OR(B10="",D10=""),"",D10+IFERROR(IF(INDEX(Clients!$H$6:$H$45,MATCH(C10,Clients!$B$6:$B$45,0))="",N(Settings!$C$13),INDEX(Clients!$H$6:$H$45,MATCH(C10,Clients!$B$6:$B$45,0))),N(Settings!$C$13)))</f>
        <v/>
      </c>
      <c r="L10" s="16" t="n">
        <v>46232</v>
      </c>
      <c r="M10" s="15">
        <f>IF(B10="","",IF(L10&lt;&gt;"","Paid",IF(D10="","Draft",IF(K10&lt;TODAY(),"Overdue "&amp;(TODAY()-K10)&amp;IF(TODAY()-K10=1," day"," days"),"Waiting"))))</f>
        <v/>
      </c>
      <c r="N10" s="1" t="n"/>
      <c r="O10">
        <f>IF(B10="","",ROW()-5)</f>
        <v/>
      </c>
      <c r="P10">
        <f>IF(OR(B10="",L10&lt;&gt;"",D10=""),"",K10+ROW()/10000000)</f>
        <v/>
      </c>
    </row>
    <row r="11">
      <c r="A11" s="1" t="n"/>
      <c r="B11" s="17" t="inlineStr">
        <is>
          <t>RDS-2026-006</t>
        </is>
      </c>
      <c r="C11" s="18" t="inlineStr">
        <is>
          <t>Greenleaf Studio</t>
        </is>
      </c>
      <c r="D11" s="16" t="n">
        <v>46204</v>
      </c>
      <c r="E11" s="16" t="n">
        <v>46174</v>
      </c>
      <c r="F11" s="16" t="n">
        <v>46203</v>
      </c>
      <c r="G11" s="25">
        <f>IF(B11="","",SUMIFS(Timesheet!$M$6:$M$2005,Timesheet!$P$6:$P$2005,B11))</f>
        <v/>
      </c>
      <c r="H11" s="14">
        <f>IF(B11="","",SUMIFS(Timesheet!$O$6:$O$2005,Timesheet!$P$6:$P$2005,B11))</f>
        <v/>
      </c>
      <c r="I11" s="14">
        <f>IF(B11="","",ROUND(H11*N(Settings!$C$12),2))</f>
        <v/>
      </c>
      <c r="J11" s="26">
        <f>IF(B11="","",H11+I11)</f>
        <v/>
      </c>
      <c r="K11" s="27">
        <f>IF(OR(B11="",D11=""),"",D11+IFERROR(IF(INDEX(Clients!$H$6:$H$45,MATCH(C11,Clients!$B$6:$B$45,0))="",N(Settings!$C$13),INDEX(Clients!$H$6:$H$45,MATCH(C11,Clients!$B$6:$B$45,0))),N(Settings!$C$13)))</f>
        <v/>
      </c>
      <c r="L11" s="16" t="n">
        <v>46216</v>
      </c>
      <c r="M11" s="15">
        <f>IF(B11="","",IF(L11&lt;&gt;"","Paid",IF(D11="","Draft",IF(K11&lt;TODAY(),"Overdue "&amp;(TODAY()-K11)&amp;IF(TODAY()-K11=1," day"," days"),"Waiting"))))</f>
        <v/>
      </c>
      <c r="N11" s="1" t="n"/>
      <c r="O11">
        <f>IF(B11="","",ROW()-5)</f>
        <v/>
      </c>
      <c r="P11">
        <f>IF(OR(B11="",L11&lt;&gt;"",D11=""),"",K11+ROW()/10000000)</f>
        <v/>
      </c>
    </row>
    <row r="12">
      <c r="A12" s="1" t="n"/>
      <c r="B12" s="17" t="inlineStr">
        <is>
          <t>RDS-2026-007</t>
        </is>
      </c>
      <c r="C12" s="18" t="inlineStr">
        <is>
          <t>Harbour Books</t>
        </is>
      </c>
      <c r="D12" s="16" t="n">
        <v>46235</v>
      </c>
      <c r="E12" s="16" t="n">
        <v>46204</v>
      </c>
      <c r="F12" s="16" t="n">
        <v>46234</v>
      </c>
      <c r="G12" s="25">
        <f>IF(B12="","",SUMIFS(Timesheet!$M$6:$M$2005,Timesheet!$P$6:$P$2005,B12))</f>
        <v/>
      </c>
      <c r="H12" s="14">
        <f>IF(B12="","",SUMIFS(Timesheet!$O$6:$O$2005,Timesheet!$P$6:$P$2005,B12))</f>
        <v/>
      </c>
      <c r="I12" s="14">
        <f>IF(B12="","",ROUND(H12*N(Settings!$C$12),2))</f>
        <v/>
      </c>
      <c r="J12" s="26">
        <f>IF(B12="","",H12+I12)</f>
        <v/>
      </c>
      <c r="K12" s="27">
        <f>IF(OR(B12="",D12=""),"",D12+IFERROR(IF(INDEX(Clients!$H$6:$H$45,MATCH(C12,Clients!$B$6:$B$45,0))="",N(Settings!$C$13),INDEX(Clients!$H$6:$H$45,MATCH(C12,Clients!$B$6:$B$45,0))),N(Settings!$C$13)))</f>
        <v/>
      </c>
      <c r="L12" s="16" t="n">
        <v>46263</v>
      </c>
      <c r="M12" s="15">
        <f>IF(B12="","",IF(L12&lt;&gt;"","Paid",IF(D12="","Draft",IF(K12&lt;TODAY(),"Overdue "&amp;(TODAY()-K12)&amp;IF(TODAY()-K12=1," day"," days"),"Waiting"))))</f>
        <v/>
      </c>
      <c r="N12" s="1" t="n"/>
      <c r="O12">
        <f>IF(B12="","",ROW()-5)</f>
        <v/>
      </c>
      <c r="P12">
        <f>IF(OR(B12="",L12&lt;&gt;"",D12=""),"",K12+ROW()/10000000)</f>
        <v/>
      </c>
    </row>
    <row r="13">
      <c r="A13" s="1" t="n"/>
      <c r="B13" s="17" t="inlineStr">
        <is>
          <t>RDS-2026-008</t>
        </is>
      </c>
      <c r="C13" s="18" t="inlineStr">
        <is>
          <t>Greenleaf Studio</t>
        </is>
      </c>
      <c r="D13" s="16" t="n">
        <v>46235</v>
      </c>
      <c r="E13" s="16" t="n">
        <v>46204</v>
      </c>
      <c r="F13" s="16" t="n">
        <v>46234</v>
      </c>
      <c r="G13" s="25">
        <f>IF(B13="","",SUMIFS(Timesheet!$M$6:$M$2005,Timesheet!$P$6:$P$2005,B13))</f>
        <v/>
      </c>
      <c r="H13" s="14">
        <f>IF(B13="","",SUMIFS(Timesheet!$O$6:$O$2005,Timesheet!$P$6:$P$2005,B13))</f>
        <v/>
      </c>
      <c r="I13" s="14">
        <f>IF(B13="","",ROUND(H13*N(Settings!$C$12),2))</f>
        <v/>
      </c>
      <c r="J13" s="26">
        <f>IF(B13="","",H13+I13)</f>
        <v/>
      </c>
      <c r="K13" s="27">
        <f>IF(OR(B13="",D13=""),"",D13+IFERROR(IF(INDEX(Clients!$H$6:$H$45,MATCH(C13,Clients!$B$6:$B$45,0))="",N(Settings!$C$13),INDEX(Clients!$H$6:$H$45,MATCH(C13,Clients!$B$6:$B$45,0))),N(Settings!$C$13)))</f>
        <v/>
      </c>
      <c r="L13" s="16" t="n">
        <v>46244</v>
      </c>
      <c r="M13" s="15">
        <f>IF(B13="","",IF(L13&lt;&gt;"","Paid",IF(D13="","Draft",IF(K13&lt;TODAY(),"Overdue "&amp;(TODAY()-K13)&amp;IF(TODAY()-K13=1," day"," days"),"Waiting"))))</f>
        <v/>
      </c>
      <c r="N13" s="1" t="n"/>
      <c r="O13">
        <f>IF(B13="","",ROW()-5)</f>
        <v/>
      </c>
      <c r="P13">
        <f>IF(OR(B13="",L13&lt;&gt;"",D13=""),"",K13+ROW()/10000000)</f>
        <v/>
      </c>
    </row>
    <row r="14">
      <c r="A14" s="1" t="n"/>
      <c r="B14" s="17" t="inlineStr">
        <is>
          <t>RDS-2026-009</t>
        </is>
      </c>
      <c r="C14" s="18" t="inlineStr">
        <is>
          <t>Harbour Books</t>
        </is>
      </c>
      <c r="D14" s="16" t="n">
        <v>46266</v>
      </c>
      <c r="E14" s="16" t="n">
        <v>46235</v>
      </c>
      <c r="F14" s="16" t="n">
        <v>46265</v>
      </c>
      <c r="G14" s="25">
        <f>IF(B14="","",SUMIFS(Timesheet!$M$6:$M$2005,Timesheet!$P$6:$P$2005,B14))</f>
        <v/>
      </c>
      <c r="H14" s="14">
        <f>IF(B14="","",SUMIFS(Timesheet!$O$6:$O$2005,Timesheet!$P$6:$P$2005,B14))</f>
        <v/>
      </c>
      <c r="I14" s="14">
        <f>IF(B14="","",ROUND(H14*N(Settings!$C$12),2))</f>
        <v/>
      </c>
      <c r="J14" s="26">
        <f>IF(B14="","",H14+I14)</f>
        <v/>
      </c>
      <c r="K14" s="27">
        <f>IF(OR(B14="",D14=""),"",D14+IFERROR(IF(INDEX(Clients!$H$6:$H$45,MATCH(C14,Clients!$B$6:$B$45,0))="",N(Settings!$C$13),INDEX(Clients!$H$6:$H$45,MATCH(C14,Clients!$B$6:$B$45,0))),N(Settings!$C$13)))</f>
        <v/>
      </c>
      <c r="L14" s="16" t="n"/>
      <c r="M14" s="15">
        <f>IF(B14="","",IF(L14&lt;&gt;"","Paid",IF(D14="","Draft",IF(K14&lt;TODAY(),"Overdue "&amp;(TODAY()-K14)&amp;IF(TODAY()-K14=1," day"," days"),"Waiting"))))</f>
        <v/>
      </c>
      <c r="N14" s="1" t="n"/>
      <c r="O14">
        <f>IF(B14="","",ROW()-5)</f>
        <v/>
      </c>
      <c r="P14">
        <f>IF(OR(B14="",L14&lt;&gt;"",D14=""),"",K14+ROW()/10000000)</f>
        <v/>
      </c>
    </row>
    <row r="15">
      <c r="A15" s="1" t="n"/>
      <c r="B15" s="17" t="inlineStr">
        <is>
          <t>RDS-2026-010</t>
        </is>
      </c>
      <c r="C15" s="18" t="inlineStr">
        <is>
          <t>Greenleaf Studio</t>
        </is>
      </c>
      <c r="D15" s="16" t="n">
        <v>46266</v>
      </c>
      <c r="E15" s="16" t="n">
        <v>46235</v>
      </c>
      <c r="F15" s="16" t="n">
        <v>46265</v>
      </c>
      <c r="G15" s="25">
        <f>IF(B15="","",SUMIFS(Timesheet!$M$6:$M$2005,Timesheet!$P$6:$P$2005,B15))</f>
        <v/>
      </c>
      <c r="H15" s="14">
        <f>IF(B15="","",SUMIFS(Timesheet!$O$6:$O$2005,Timesheet!$P$6:$P$2005,B15))</f>
        <v/>
      </c>
      <c r="I15" s="14">
        <f>IF(B15="","",ROUND(H15*N(Settings!$C$12),2))</f>
        <v/>
      </c>
      <c r="J15" s="26">
        <f>IF(B15="","",H15+I15)</f>
        <v/>
      </c>
      <c r="K15" s="27">
        <f>IF(OR(B15="",D15=""),"",D15+IFERROR(IF(INDEX(Clients!$H$6:$H$45,MATCH(C15,Clients!$B$6:$B$45,0))="",N(Settings!$C$13),INDEX(Clients!$H$6:$H$45,MATCH(C15,Clients!$B$6:$B$45,0))),N(Settings!$C$13)))</f>
        <v/>
      </c>
      <c r="L15" s="16" t="n">
        <v>46279</v>
      </c>
      <c r="M15" s="15">
        <f>IF(B15="","",IF(L15&lt;&gt;"","Paid",IF(D15="","Draft",IF(K15&lt;TODAY(),"Overdue "&amp;(TODAY()-K15)&amp;IF(TODAY()-K15=1," day"," days"),"Waiting"))))</f>
        <v/>
      </c>
      <c r="N15" s="1" t="n"/>
      <c r="O15">
        <f>IF(B15="","",ROW()-5)</f>
        <v/>
      </c>
      <c r="P15">
        <f>IF(OR(B15="",L15&lt;&gt;"",D15=""),"",K15+ROW()/10000000)</f>
        <v/>
      </c>
    </row>
    <row r="16">
      <c r="A16" s="1" t="n"/>
      <c r="B16" s="17" t="inlineStr">
        <is>
          <t>RDS-2026-011</t>
        </is>
      </c>
      <c r="C16" s="18" t="inlineStr">
        <is>
          <t>Atlas Fitness</t>
        </is>
      </c>
      <c r="D16" s="16" t="n">
        <v>46266</v>
      </c>
      <c r="E16" s="16" t="n">
        <v>46235</v>
      </c>
      <c r="F16" s="16" t="n">
        <v>46265</v>
      </c>
      <c r="G16" s="25">
        <f>IF(B16="","",SUMIFS(Timesheet!$M$6:$M$2005,Timesheet!$P$6:$P$2005,B16))</f>
        <v/>
      </c>
      <c r="H16" s="14">
        <f>IF(B16="","",SUMIFS(Timesheet!$O$6:$O$2005,Timesheet!$P$6:$P$2005,B16))</f>
        <v/>
      </c>
      <c r="I16" s="14">
        <f>IF(B16="","",ROUND(H16*N(Settings!$C$12),2))</f>
        <v/>
      </c>
      <c r="J16" s="26">
        <f>IF(B16="","",H16+I16)</f>
        <v/>
      </c>
      <c r="K16" s="27">
        <f>IF(OR(B16="",D16=""),"",D16+IFERROR(IF(INDEX(Clients!$H$6:$H$45,MATCH(C16,Clients!$B$6:$B$45,0))="",N(Settings!$C$13),INDEX(Clients!$H$6:$H$45,MATCH(C16,Clients!$B$6:$B$45,0))),N(Settings!$C$13)))</f>
        <v/>
      </c>
      <c r="L16" s="16" t="n"/>
      <c r="M16" s="15">
        <f>IF(B16="","",IF(L16&lt;&gt;"","Paid",IF(D16="","Draft",IF(K16&lt;TODAY(),"Overdue "&amp;(TODAY()-K16)&amp;IF(TODAY()-K16=1," day"," days"),"Waiting"))))</f>
        <v/>
      </c>
      <c r="N16" s="1" t="n"/>
      <c r="O16">
        <f>IF(B16="","",ROW()-5)</f>
        <v/>
      </c>
      <c r="P16">
        <f>IF(OR(B16="",L16&lt;&gt;"",D16=""),"",K16+ROW()/10000000)</f>
        <v/>
      </c>
    </row>
    <row r="17">
      <c r="A17" s="1" t="n"/>
      <c r="B17" s="17" t="n"/>
      <c r="C17" s="18" t="n"/>
      <c r="D17" s="16" t="n"/>
      <c r="E17" s="16" t="n"/>
      <c r="F17" s="16" t="n"/>
      <c r="G17" s="25">
        <f>IF(B17="","",SUMIFS(Timesheet!$M$6:$M$2005,Timesheet!$P$6:$P$2005,B17))</f>
        <v/>
      </c>
      <c r="H17" s="14">
        <f>IF(B17="","",SUMIFS(Timesheet!$O$6:$O$2005,Timesheet!$P$6:$P$2005,B17))</f>
        <v/>
      </c>
      <c r="I17" s="14">
        <f>IF(B17="","",ROUND(H17*N(Settings!$C$12),2))</f>
        <v/>
      </c>
      <c r="J17" s="26">
        <f>IF(B17="","",H17+I17)</f>
        <v/>
      </c>
      <c r="K17" s="27">
        <f>IF(OR(B17="",D17=""),"",D17+IFERROR(IF(INDEX(Clients!$H$6:$H$45,MATCH(C17,Clients!$B$6:$B$45,0))="",N(Settings!$C$13),INDEX(Clients!$H$6:$H$45,MATCH(C17,Clients!$B$6:$B$45,0))),N(Settings!$C$13)))</f>
        <v/>
      </c>
      <c r="L17" s="16" t="n"/>
      <c r="M17" s="15">
        <f>IF(B17="","",IF(L17&lt;&gt;"","Paid",IF(D17="","Draft",IF(K17&lt;TODAY(),"Overdue "&amp;(TODAY()-K17)&amp;IF(TODAY()-K17=1," day"," days"),"Waiting"))))</f>
        <v/>
      </c>
      <c r="N17" s="1" t="n"/>
      <c r="O17">
        <f>IF(B17="","",ROW()-5)</f>
        <v/>
      </c>
      <c r="P17">
        <f>IF(OR(B17="",L17&lt;&gt;"",D17=""),"",K17+ROW()/10000000)</f>
        <v/>
      </c>
    </row>
    <row r="18">
      <c r="A18" s="1" t="n"/>
      <c r="B18" s="17" t="n"/>
      <c r="C18" s="18" t="n"/>
      <c r="D18" s="16" t="n"/>
      <c r="E18" s="16" t="n"/>
      <c r="F18" s="16" t="n"/>
      <c r="G18" s="25">
        <f>IF(B18="","",SUMIFS(Timesheet!$M$6:$M$2005,Timesheet!$P$6:$P$2005,B18))</f>
        <v/>
      </c>
      <c r="H18" s="14">
        <f>IF(B18="","",SUMIFS(Timesheet!$O$6:$O$2005,Timesheet!$P$6:$P$2005,B18))</f>
        <v/>
      </c>
      <c r="I18" s="14">
        <f>IF(B18="","",ROUND(H18*N(Settings!$C$12),2))</f>
        <v/>
      </c>
      <c r="J18" s="26">
        <f>IF(B18="","",H18+I18)</f>
        <v/>
      </c>
      <c r="K18" s="27">
        <f>IF(OR(B18="",D18=""),"",D18+IFERROR(IF(INDEX(Clients!$H$6:$H$45,MATCH(C18,Clients!$B$6:$B$45,0))="",N(Settings!$C$13),INDEX(Clients!$H$6:$H$45,MATCH(C18,Clients!$B$6:$B$45,0))),N(Settings!$C$13)))</f>
        <v/>
      </c>
      <c r="L18" s="16" t="n"/>
      <c r="M18" s="15">
        <f>IF(B18="","",IF(L18&lt;&gt;"","Paid",IF(D18="","Draft",IF(K18&lt;TODAY(),"Overdue "&amp;(TODAY()-K18)&amp;IF(TODAY()-K18=1," day"," days"),"Waiting"))))</f>
        <v/>
      </c>
      <c r="N18" s="1" t="n"/>
      <c r="O18">
        <f>IF(B18="","",ROW()-5)</f>
        <v/>
      </c>
      <c r="P18">
        <f>IF(OR(B18="",L18&lt;&gt;"",D18=""),"",K18+ROW()/10000000)</f>
        <v/>
      </c>
    </row>
    <row r="19">
      <c r="A19" s="1" t="n"/>
      <c r="B19" s="17" t="n"/>
      <c r="C19" s="18" t="n"/>
      <c r="D19" s="16" t="n"/>
      <c r="E19" s="16" t="n"/>
      <c r="F19" s="16" t="n"/>
      <c r="G19" s="25">
        <f>IF(B19="","",SUMIFS(Timesheet!$M$6:$M$2005,Timesheet!$P$6:$P$2005,B19))</f>
        <v/>
      </c>
      <c r="H19" s="14">
        <f>IF(B19="","",SUMIFS(Timesheet!$O$6:$O$2005,Timesheet!$P$6:$P$2005,B19))</f>
        <v/>
      </c>
      <c r="I19" s="14">
        <f>IF(B19="","",ROUND(H19*N(Settings!$C$12),2))</f>
        <v/>
      </c>
      <c r="J19" s="26">
        <f>IF(B19="","",H19+I19)</f>
        <v/>
      </c>
      <c r="K19" s="27">
        <f>IF(OR(B19="",D19=""),"",D19+IFERROR(IF(INDEX(Clients!$H$6:$H$45,MATCH(C19,Clients!$B$6:$B$45,0))="",N(Settings!$C$13),INDEX(Clients!$H$6:$H$45,MATCH(C19,Clients!$B$6:$B$45,0))),N(Settings!$C$13)))</f>
        <v/>
      </c>
      <c r="L19" s="16" t="n"/>
      <c r="M19" s="15">
        <f>IF(B19="","",IF(L19&lt;&gt;"","Paid",IF(D19="","Draft",IF(K19&lt;TODAY(),"Overdue "&amp;(TODAY()-K19)&amp;IF(TODAY()-K19=1," day"," days"),"Waiting"))))</f>
        <v/>
      </c>
      <c r="N19" s="1" t="n"/>
      <c r="O19">
        <f>IF(B19="","",ROW()-5)</f>
        <v/>
      </c>
      <c r="P19">
        <f>IF(OR(B19="",L19&lt;&gt;"",D19=""),"",K19+ROW()/10000000)</f>
        <v/>
      </c>
    </row>
    <row r="20">
      <c r="A20" s="1" t="n"/>
      <c r="B20" s="17" t="n"/>
      <c r="C20" s="18" t="n"/>
      <c r="D20" s="16" t="n"/>
      <c r="E20" s="16" t="n"/>
      <c r="F20" s="16" t="n"/>
      <c r="G20" s="25">
        <f>IF(B20="","",SUMIFS(Timesheet!$M$6:$M$2005,Timesheet!$P$6:$P$2005,B20))</f>
        <v/>
      </c>
      <c r="H20" s="14">
        <f>IF(B20="","",SUMIFS(Timesheet!$O$6:$O$2005,Timesheet!$P$6:$P$2005,B20))</f>
        <v/>
      </c>
      <c r="I20" s="14">
        <f>IF(B20="","",ROUND(H20*N(Settings!$C$12),2))</f>
        <v/>
      </c>
      <c r="J20" s="26">
        <f>IF(B20="","",H20+I20)</f>
        <v/>
      </c>
      <c r="K20" s="27">
        <f>IF(OR(B20="",D20=""),"",D20+IFERROR(IF(INDEX(Clients!$H$6:$H$45,MATCH(C20,Clients!$B$6:$B$45,0))="",N(Settings!$C$13),INDEX(Clients!$H$6:$H$45,MATCH(C20,Clients!$B$6:$B$45,0))),N(Settings!$C$13)))</f>
        <v/>
      </c>
      <c r="L20" s="16" t="n"/>
      <c r="M20" s="15">
        <f>IF(B20="","",IF(L20&lt;&gt;"","Paid",IF(D20="","Draft",IF(K20&lt;TODAY(),"Overdue "&amp;(TODAY()-K20)&amp;IF(TODAY()-K20=1," day"," days"),"Waiting"))))</f>
        <v/>
      </c>
      <c r="N20" s="1" t="n"/>
      <c r="O20">
        <f>IF(B20="","",ROW()-5)</f>
        <v/>
      </c>
      <c r="P20">
        <f>IF(OR(B20="",L20&lt;&gt;"",D20=""),"",K20+ROW()/10000000)</f>
        <v/>
      </c>
    </row>
    <row r="21">
      <c r="A21" s="1" t="n"/>
      <c r="B21" s="17" t="n"/>
      <c r="C21" s="18" t="n"/>
      <c r="D21" s="16" t="n"/>
      <c r="E21" s="16" t="n"/>
      <c r="F21" s="16" t="n"/>
      <c r="G21" s="25">
        <f>IF(B21="","",SUMIFS(Timesheet!$M$6:$M$2005,Timesheet!$P$6:$P$2005,B21))</f>
        <v/>
      </c>
      <c r="H21" s="14">
        <f>IF(B21="","",SUMIFS(Timesheet!$O$6:$O$2005,Timesheet!$P$6:$P$2005,B21))</f>
        <v/>
      </c>
      <c r="I21" s="14">
        <f>IF(B21="","",ROUND(H21*N(Settings!$C$12),2))</f>
        <v/>
      </c>
      <c r="J21" s="26">
        <f>IF(B21="","",H21+I21)</f>
        <v/>
      </c>
      <c r="K21" s="27">
        <f>IF(OR(B21="",D21=""),"",D21+IFERROR(IF(INDEX(Clients!$H$6:$H$45,MATCH(C21,Clients!$B$6:$B$45,0))="",N(Settings!$C$13),INDEX(Clients!$H$6:$H$45,MATCH(C21,Clients!$B$6:$B$45,0))),N(Settings!$C$13)))</f>
        <v/>
      </c>
      <c r="L21" s="16" t="n"/>
      <c r="M21" s="15">
        <f>IF(B21="","",IF(L21&lt;&gt;"","Paid",IF(D21="","Draft",IF(K21&lt;TODAY(),"Overdue "&amp;(TODAY()-K21)&amp;IF(TODAY()-K21=1," day"," days"),"Waiting"))))</f>
        <v/>
      </c>
      <c r="N21" s="1" t="n"/>
      <c r="O21">
        <f>IF(B21="","",ROW()-5)</f>
        <v/>
      </c>
      <c r="P21">
        <f>IF(OR(B21="",L21&lt;&gt;"",D21=""),"",K21+ROW()/10000000)</f>
        <v/>
      </c>
    </row>
    <row r="22">
      <c r="A22" s="1" t="n"/>
      <c r="B22" s="17" t="n"/>
      <c r="C22" s="18" t="n"/>
      <c r="D22" s="16" t="n"/>
      <c r="E22" s="16" t="n"/>
      <c r="F22" s="16" t="n"/>
      <c r="G22" s="25">
        <f>IF(B22="","",SUMIFS(Timesheet!$M$6:$M$2005,Timesheet!$P$6:$P$2005,B22))</f>
        <v/>
      </c>
      <c r="H22" s="14">
        <f>IF(B22="","",SUMIFS(Timesheet!$O$6:$O$2005,Timesheet!$P$6:$P$2005,B22))</f>
        <v/>
      </c>
      <c r="I22" s="14">
        <f>IF(B22="","",ROUND(H22*N(Settings!$C$12),2))</f>
        <v/>
      </c>
      <c r="J22" s="26">
        <f>IF(B22="","",H22+I22)</f>
        <v/>
      </c>
      <c r="K22" s="27">
        <f>IF(OR(B22="",D22=""),"",D22+IFERROR(IF(INDEX(Clients!$H$6:$H$45,MATCH(C22,Clients!$B$6:$B$45,0))="",N(Settings!$C$13),INDEX(Clients!$H$6:$H$45,MATCH(C22,Clients!$B$6:$B$45,0))),N(Settings!$C$13)))</f>
        <v/>
      </c>
      <c r="L22" s="16" t="n"/>
      <c r="M22" s="15">
        <f>IF(B22="","",IF(L22&lt;&gt;"","Paid",IF(D22="","Draft",IF(K22&lt;TODAY(),"Overdue "&amp;(TODAY()-K22)&amp;IF(TODAY()-K22=1," day"," days"),"Waiting"))))</f>
        <v/>
      </c>
      <c r="N22" s="1" t="n"/>
      <c r="O22">
        <f>IF(B22="","",ROW()-5)</f>
        <v/>
      </c>
      <c r="P22">
        <f>IF(OR(B22="",L22&lt;&gt;"",D22=""),"",K22+ROW()/10000000)</f>
        <v/>
      </c>
    </row>
    <row r="23">
      <c r="A23" s="1" t="n"/>
      <c r="B23" s="17" t="n"/>
      <c r="C23" s="18" t="n"/>
      <c r="D23" s="16" t="n"/>
      <c r="E23" s="16" t="n"/>
      <c r="F23" s="16" t="n"/>
      <c r="G23" s="25">
        <f>IF(B23="","",SUMIFS(Timesheet!$M$6:$M$2005,Timesheet!$P$6:$P$2005,B23))</f>
        <v/>
      </c>
      <c r="H23" s="14">
        <f>IF(B23="","",SUMIFS(Timesheet!$O$6:$O$2005,Timesheet!$P$6:$P$2005,B23))</f>
        <v/>
      </c>
      <c r="I23" s="14">
        <f>IF(B23="","",ROUND(H23*N(Settings!$C$12),2))</f>
        <v/>
      </c>
      <c r="J23" s="26">
        <f>IF(B23="","",H23+I23)</f>
        <v/>
      </c>
      <c r="K23" s="27">
        <f>IF(OR(B23="",D23=""),"",D23+IFERROR(IF(INDEX(Clients!$H$6:$H$45,MATCH(C23,Clients!$B$6:$B$45,0))="",N(Settings!$C$13),INDEX(Clients!$H$6:$H$45,MATCH(C23,Clients!$B$6:$B$45,0))),N(Settings!$C$13)))</f>
        <v/>
      </c>
      <c r="L23" s="16" t="n"/>
      <c r="M23" s="15">
        <f>IF(B23="","",IF(L23&lt;&gt;"","Paid",IF(D23="","Draft",IF(K23&lt;TODAY(),"Overdue "&amp;(TODAY()-K23)&amp;IF(TODAY()-K23=1," day"," days"),"Waiting"))))</f>
        <v/>
      </c>
      <c r="N23" s="1" t="n"/>
      <c r="O23">
        <f>IF(B23="","",ROW()-5)</f>
        <v/>
      </c>
      <c r="P23">
        <f>IF(OR(B23="",L23&lt;&gt;"",D23=""),"",K23+ROW()/10000000)</f>
        <v/>
      </c>
    </row>
    <row r="24">
      <c r="A24" s="1" t="n"/>
      <c r="B24" s="17" t="n"/>
      <c r="C24" s="18" t="n"/>
      <c r="D24" s="16" t="n"/>
      <c r="E24" s="16" t="n"/>
      <c r="F24" s="16" t="n"/>
      <c r="G24" s="25">
        <f>IF(B24="","",SUMIFS(Timesheet!$M$6:$M$2005,Timesheet!$P$6:$P$2005,B24))</f>
        <v/>
      </c>
      <c r="H24" s="14">
        <f>IF(B24="","",SUMIFS(Timesheet!$O$6:$O$2005,Timesheet!$P$6:$P$2005,B24))</f>
        <v/>
      </c>
      <c r="I24" s="14">
        <f>IF(B24="","",ROUND(H24*N(Settings!$C$12),2))</f>
        <v/>
      </c>
      <c r="J24" s="26">
        <f>IF(B24="","",H24+I24)</f>
        <v/>
      </c>
      <c r="K24" s="27">
        <f>IF(OR(B24="",D24=""),"",D24+IFERROR(IF(INDEX(Clients!$H$6:$H$45,MATCH(C24,Clients!$B$6:$B$45,0))="",N(Settings!$C$13),INDEX(Clients!$H$6:$H$45,MATCH(C24,Clients!$B$6:$B$45,0))),N(Settings!$C$13)))</f>
        <v/>
      </c>
      <c r="L24" s="16" t="n"/>
      <c r="M24" s="15">
        <f>IF(B24="","",IF(L24&lt;&gt;"","Paid",IF(D24="","Draft",IF(K24&lt;TODAY(),"Overdue "&amp;(TODAY()-K24)&amp;IF(TODAY()-K24=1," day"," days"),"Waiting"))))</f>
        <v/>
      </c>
      <c r="N24" s="1" t="n"/>
      <c r="O24">
        <f>IF(B24="","",ROW()-5)</f>
        <v/>
      </c>
      <c r="P24">
        <f>IF(OR(B24="",L24&lt;&gt;"",D24=""),"",K24+ROW()/10000000)</f>
        <v/>
      </c>
    </row>
    <row r="25">
      <c r="A25" s="1" t="n"/>
      <c r="B25" s="17" t="n"/>
      <c r="C25" s="18" t="n"/>
      <c r="D25" s="16" t="n"/>
      <c r="E25" s="16" t="n"/>
      <c r="F25" s="16" t="n"/>
      <c r="G25" s="25">
        <f>IF(B25="","",SUMIFS(Timesheet!$M$6:$M$2005,Timesheet!$P$6:$P$2005,B25))</f>
        <v/>
      </c>
      <c r="H25" s="14">
        <f>IF(B25="","",SUMIFS(Timesheet!$O$6:$O$2005,Timesheet!$P$6:$P$2005,B25))</f>
        <v/>
      </c>
      <c r="I25" s="14">
        <f>IF(B25="","",ROUND(H25*N(Settings!$C$12),2))</f>
        <v/>
      </c>
      <c r="J25" s="26">
        <f>IF(B25="","",H25+I25)</f>
        <v/>
      </c>
      <c r="K25" s="27">
        <f>IF(OR(B25="",D25=""),"",D25+IFERROR(IF(INDEX(Clients!$H$6:$H$45,MATCH(C25,Clients!$B$6:$B$45,0))="",N(Settings!$C$13),INDEX(Clients!$H$6:$H$45,MATCH(C25,Clients!$B$6:$B$45,0))),N(Settings!$C$13)))</f>
        <v/>
      </c>
      <c r="L25" s="16" t="n"/>
      <c r="M25" s="15">
        <f>IF(B25="","",IF(L25&lt;&gt;"","Paid",IF(D25="","Draft",IF(K25&lt;TODAY(),"Overdue "&amp;(TODAY()-K25)&amp;IF(TODAY()-K25=1," day"," days"),"Waiting"))))</f>
        <v/>
      </c>
      <c r="N25" s="1" t="n"/>
      <c r="O25">
        <f>IF(B25="","",ROW()-5)</f>
        <v/>
      </c>
      <c r="P25">
        <f>IF(OR(B25="",L25&lt;&gt;"",D25=""),"",K25+ROW()/10000000)</f>
        <v/>
      </c>
    </row>
    <row r="26">
      <c r="A26" s="1" t="n"/>
      <c r="B26" s="17" t="n"/>
      <c r="C26" s="18" t="n"/>
      <c r="D26" s="16" t="n"/>
      <c r="E26" s="16" t="n"/>
      <c r="F26" s="16" t="n"/>
      <c r="G26" s="25">
        <f>IF(B26="","",SUMIFS(Timesheet!$M$6:$M$2005,Timesheet!$P$6:$P$2005,B26))</f>
        <v/>
      </c>
      <c r="H26" s="14">
        <f>IF(B26="","",SUMIFS(Timesheet!$O$6:$O$2005,Timesheet!$P$6:$P$2005,B26))</f>
        <v/>
      </c>
      <c r="I26" s="14">
        <f>IF(B26="","",ROUND(H26*N(Settings!$C$12),2))</f>
        <v/>
      </c>
      <c r="J26" s="26">
        <f>IF(B26="","",H26+I26)</f>
        <v/>
      </c>
      <c r="K26" s="27">
        <f>IF(OR(B26="",D26=""),"",D26+IFERROR(IF(INDEX(Clients!$H$6:$H$45,MATCH(C26,Clients!$B$6:$B$45,0))="",N(Settings!$C$13),INDEX(Clients!$H$6:$H$45,MATCH(C26,Clients!$B$6:$B$45,0))),N(Settings!$C$13)))</f>
        <v/>
      </c>
      <c r="L26" s="16" t="n"/>
      <c r="M26" s="15">
        <f>IF(B26="","",IF(L26&lt;&gt;"","Paid",IF(D26="","Draft",IF(K26&lt;TODAY(),"Overdue "&amp;(TODAY()-K26)&amp;IF(TODAY()-K26=1," day"," days"),"Waiting"))))</f>
        <v/>
      </c>
      <c r="N26" s="1" t="n"/>
      <c r="O26">
        <f>IF(B26="","",ROW()-5)</f>
        <v/>
      </c>
      <c r="P26">
        <f>IF(OR(B26="",L26&lt;&gt;"",D26=""),"",K26+ROW()/10000000)</f>
        <v/>
      </c>
    </row>
    <row r="27">
      <c r="A27" s="1" t="n"/>
      <c r="B27" s="17" t="n"/>
      <c r="C27" s="18" t="n"/>
      <c r="D27" s="16" t="n"/>
      <c r="E27" s="16" t="n"/>
      <c r="F27" s="16" t="n"/>
      <c r="G27" s="25">
        <f>IF(B27="","",SUMIFS(Timesheet!$M$6:$M$2005,Timesheet!$P$6:$P$2005,B27))</f>
        <v/>
      </c>
      <c r="H27" s="14">
        <f>IF(B27="","",SUMIFS(Timesheet!$O$6:$O$2005,Timesheet!$P$6:$P$2005,B27))</f>
        <v/>
      </c>
      <c r="I27" s="14">
        <f>IF(B27="","",ROUND(H27*N(Settings!$C$12),2))</f>
        <v/>
      </c>
      <c r="J27" s="26">
        <f>IF(B27="","",H27+I27)</f>
        <v/>
      </c>
      <c r="K27" s="27">
        <f>IF(OR(B27="",D27=""),"",D27+IFERROR(IF(INDEX(Clients!$H$6:$H$45,MATCH(C27,Clients!$B$6:$B$45,0))="",N(Settings!$C$13),INDEX(Clients!$H$6:$H$45,MATCH(C27,Clients!$B$6:$B$45,0))),N(Settings!$C$13)))</f>
        <v/>
      </c>
      <c r="L27" s="16" t="n"/>
      <c r="M27" s="15">
        <f>IF(B27="","",IF(L27&lt;&gt;"","Paid",IF(D27="","Draft",IF(K27&lt;TODAY(),"Overdue "&amp;(TODAY()-K27)&amp;IF(TODAY()-K27=1," day"," days"),"Waiting"))))</f>
        <v/>
      </c>
      <c r="N27" s="1" t="n"/>
      <c r="O27">
        <f>IF(B27="","",ROW()-5)</f>
        <v/>
      </c>
      <c r="P27">
        <f>IF(OR(B27="",L27&lt;&gt;"",D27=""),"",K27+ROW()/10000000)</f>
        <v/>
      </c>
    </row>
    <row r="28">
      <c r="A28" s="1" t="n"/>
      <c r="B28" s="17" t="n"/>
      <c r="C28" s="18" t="n"/>
      <c r="D28" s="16" t="n"/>
      <c r="E28" s="16" t="n"/>
      <c r="F28" s="16" t="n"/>
      <c r="G28" s="25">
        <f>IF(B28="","",SUMIFS(Timesheet!$M$6:$M$2005,Timesheet!$P$6:$P$2005,B28))</f>
        <v/>
      </c>
      <c r="H28" s="14">
        <f>IF(B28="","",SUMIFS(Timesheet!$O$6:$O$2005,Timesheet!$P$6:$P$2005,B28))</f>
        <v/>
      </c>
      <c r="I28" s="14">
        <f>IF(B28="","",ROUND(H28*N(Settings!$C$12),2))</f>
        <v/>
      </c>
      <c r="J28" s="26">
        <f>IF(B28="","",H28+I28)</f>
        <v/>
      </c>
      <c r="K28" s="27">
        <f>IF(OR(B28="",D28=""),"",D28+IFERROR(IF(INDEX(Clients!$H$6:$H$45,MATCH(C28,Clients!$B$6:$B$45,0))="",N(Settings!$C$13),INDEX(Clients!$H$6:$H$45,MATCH(C28,Clients!$B$6:$B$45,0))),N(Settings!$C$13)))</f>
        <v/>
      </c>
      <c r="L28" s="16" t="n"/>
      <c r="M28" s="15">
        <f>IF(B28="","",IF(L28&lt;&gt;"","Paid",IF(D28="","Draft",IF(K28&lt;TODAY(),"Overdue "&amp;(TODAY()-K28)&amp;IF(TODAY()-K28=1," day"," days"),"Waiting"))))</f>
        <v/>
      </c>
      <c r="N28" s="1" t="n"/>
      <c r="O28">
        <f>IF(B28="","",ROW()-5)</f>
        <v/>
      </c>
      <c r="P28">
        <f>IF(OR(B28="",L28&lt;&gt;"",D28=""),"",K28+ROW()/10000000)</f>
        <v/>
      </c>
    </row>
    <row r="29">
      <c r="A29" s="1" t="n"/>
      <c r="B29" s="17" t="n"/>
      <c r="C29" s="18" t="n"/>
      <c r="D29" s="16" t="n"/>
      <c r="E29" s="16" t="n"/>
      <c r="F29" s="16" t="n"/>
      <c r="G29" s="25">
        <f>IF(B29="","",SUMIFS(Timesheet!$M$6:$M$2005,Timesheet!$P$6:$P$2005,B29))</f>
        <v/>
      </c>
      <c r="H29" s="14">
        <f>IF(B29="","",SUMIFS(Timesheet!$O$6:$O$2005,Timesheet!$P$6:$P$2005,B29))</f>
        <v/>
      </c>
      <c r="I29" s="14">
        <f>IF(B29="","",ROUND(H29*N(Settings!$C$12),2))</f>
        <v/>
      </c>
      <c r="J29" s="26">
        <f>IF(B29="","",H29+I29)</f>
        <v/>
      </c>
      <c r="K29" s="27">
        <f>IF(OR(B29="",D29=""),"",D29+IFERROR(IF(INDEX(Clients!$H$6:$H$45,MATCH(C29,Clients!$B$6:$B$45,0))="",N(Settings!$C$13),INDEX(Clients!$H$6:$H$45,MATCH(C29,Clients!$B$6:$B$45,0))),N(Settings!$C$13)))</f>
        <v/>
      </c>
      <c r="L29" s="16" t="n"/>
      <c r="M29" s="15">
        <f>IF(B29="","",IF(L29&lt;&gt;"","Paid",IF(D29="","Draft",IF(K29&lt;TODAY(),"Overdue "&amp;(TODAY()-K29)&amp;IF(TODAY()-K29=1," day"," days"),"Waiting"))))</f>
        <v/>
      </c>
      <c r="N29" s="1" t="n"/>
      <c r="O29">
        <f>IF(B29="","",ROW()-5)</f>
        <v/>
      </c>
      <c r="P29">
        <f>IF(OR(B29="",L29&lt;&gt;"",D29=""),"",K29+ROW()/10000000)</f>
        <v/>
      </c>
    </row>
    <row r="30">
      <c r="A30" s="1" t="n"/>
      <c r="B30" s="17" t="n"/>
      <c r="C30" s="18" t="n"/>
      <c r="D30" s="16" t="n"/>
      <c r="E30" s="16" t="n"/>
      <c r="F30" s="16" t="n"/>
      <c r="G30" s="25">
        <f>IF(B30="","",SUMIFS(Timesheet!$M$6:$M$2005,Timesheet!$P$6:$P$2005,B30))</f>
        <v/>
      </c>
      <c r="H30" s="14">
        <f>IF(B30="","",SUMIFS(Timesheet!$O$6:$O$2005,Timesheet!$P$6:$P$2005,B30))</f>
        <v/>
      </c>
      <c r="I30" s="14">
        <f>IF(B30="","",ROUND(H30*N(Settings!$C$12),2))</f>
        <v/>
      </c>
      <c r="J30" s="26">
        <f>IF(B30="","",H30+I30)</f>
        <v/>
      </c>
      <c r="K30" s="27">
        <f>IF(OR(B30="",D30=""),"",D30+IFERROR(IF(INDEX(Clients!$H$6:$H$45,MATCH(C30,Clients!$B$6:$B$45,0))="",N(Settings!$C$13),INDEX(Clients!$H$6:$H$45,MATCH(C30,Clients!$B$6:$B$45,0))),N(Settings!$C$13)))</f>
        <v/>
      </c>
      <c r="L30" s="16" t="n"/>
      <c r="M30" s="15">
        <f>IF(B30="","",IF(L30&lt;&gt;"","Paid",IF(D30="","Draft",IF(K30&lt;TODAY(),"Overdue "&amp;(TODAY()-K30)&amp;IF(TODAY()-K30=1," day"," days"),"Waiting"))))</f>
        <v/>
      </c>
      <c r="N30" s="1" t="n"/>
      <c r="O30">
        <f>IF(B30="","",ROW()-5)</f>
        <v/>
      </c>
      <c r="P30">
        <f>IF(OR(B30="",L30&lt;&gt;"",D30=""),"",K30+ROW()/10000000)</f>
        <v/>
      </c>
    </row>
    <row r="31">
      <c r="A31" s="1" t="n"/>
      <c r="B31" s="17" t="n"/>
      <c r="C31" s="18" t="n"/>
      <c r="D31" s="16" t="n"/>
      <c r="E31" s="16" t="n"/>
      <c r="F31" s="16" t="n"/>
      <c r="G31" s="25">
        <f>IF(B31="","",SUMIFS(Timesheet!$M$6:$M$2005,Timesheet!$P$6:$P$2005,B31))</f>
        <v/>
      </c>
      <c r="H31" s="14">
        <f>IF(B31="","",SUMIFS(Timesheet!$O$6:$O$2005,Timesheet!$P$6:$P$2005,B31))</f>
        <v/>
      </c>
      <c r="I31" s="14">
        <f>IF(B31="","",ROUND(H31*N(Settings!$C$12),2))</f>
        <v/>
      </c>
      <c r="J31" s="26">
        <f>IF(B31="","",H31+I31)</f>
        <v/>
      </c>
      <c r="K31" s="27">
        <f>IF(OR(B31="",D31=""),"",D31+IFERROR(IF(INDEX(Clients!$H$6:$H$45,MATCH(C31,Clients!$B$6:$B$45,0))="",N(Settings!$C$13),INDEX(Clients!$H$6:$H$45,MATCH(C31,Clients!$B$6:$B$45,0))),N(Settings!$C$13)))</f>
        <v/>
      </c>
      <c r="L31" s="16" t="n"/>
      <c r="M31" s="15">
        <f>IF(B31="","",IF(L31&lt;&gt;"","Paid",IF(D31="","Draft",IF(K31&lt;TODAY(),"Overdue "&amp;(TODAY()-K31)&amp;IF(TODAY()-K31=1," day"," days"),"Waiting"))))</f>
        <v/>
      </c>
      <c r="N31" s="1" t="n"/>
      <c r="O31">
        <f>IF(B31="","",ROW()-5)</f>
        <v/>
      </c>
      <c r="P31">
        <f>IF(OR(B31="",L31&lt;&gt;"",D31=""),"",K31+ROW()/10000000)</f>
        <v/>
      </c>
    </row>
    <row r="32">
      <c r="A32" s="1" t="n"/>
      <c r="B32" s="17" t="n"/>
      <c r="C32" s="18" t="n"/>
      <c r="D32" s="16" t="n"/>
      <c r="E32" s="16" t="n"/>
      <c r="F32" s="16" t="n"/>
      <c r="G32" s="25">
        <f>IF(B32="","",SUMIFS(Timesheet!$M$6:$M$2005,Timesheet!$P$6:$P$2005,B32))</f>
        <v/>
      </c>
      <c r="H32" s="14">
        <f>IF(B32="","",SUMIFS(Timesheet!$O$6:$O$2005,Timesheet!$P$6:$P$2005,B32))</f>
        <v/>
      </c>
      <c r="I32" s="14">
        <f>IF(B32="","",ROUND(H32*N(Settings!$C$12),2))</f>
        <v/>
      </c>
      <c r="J32" s="26">
        <f>IF(B32="","",H32+I32)</f>
        <v/>
      </c>
      <c r="K32" s="27">
        <f>IF(OR(B32="",D32=""),"",D32+IFERROR(IF(INDEX(Clients!$H$6:$H$45,MATCH(C32,Clients!$B$6:$B$45,0))="",N(Settings!$C$13),INDEX(Clients!$H$6:$H$45,MATCH(C32,Clients!$B$6:$B$45,0))),N(Settings!$C$13)))</f>
        <v/>
      </c>
      <c r="L32" s="16" t="n"/>
      <c r="M32" s="15">
        <f>IF(B32="","",IF(L32&lt;&gt;"","Paid",IF(D32="","Draft",IF(K32&lt;TODAY(),"Overdue "&amp;(TODAY()-K32)&amp;IF(TODAY()-K32=1," day"," days"),"Waiting"))))</f>
        <v/>
      </c>
      <c r="N32" s="1" t="n"/>
      <c r="O32">
        <f>IF(B32="","",ROW()-5)</f>
        <v/>
      </c>
      <c r="P32">
        <f>IF(OR(B32="",L32&lt;&gt;"",D32=""),"",K32+ROW()/10000000)</f>
        <v/>
      </c>
    </row>
    <row r="33">
      <c r="A33" s="1" t="n"/>
      <c r="B33" s="17" t="n"/>
      <c r="C33" s="18" t="n"/>
      <c r="D33" s="16" t="n"/>
      <c r="E33" s="16" t="n"/>
      <c r="F33" s="16" t="n"/>
      <c r="G33" s="25">
        <f>IF(B33="","",SUMIFS(Timesheet!$M$6:$M$2005,Timesheet!$P$6:$P$2005,B33))</f>
        <v/>
      </c>
      <c r="H33" s="14">
        <f>IF(B33="","",SUMIFS(Timesheet!$O$6:$O$2005,Timesheet!$P$6:$P$2005,B33))</f>
        <v/>
      </c>
      <c r="I33" s="14">
        <f>IF(B33="","",ROUND(H33*N(Settings!$C$12),2))</f>
        <v/>
      </c>
      <c r="J33" s="26">
        <f>IF(B33="","",H33+I33)</f>
        <v/>
      </c>
      <c r="K33" s="27">
        <f>IF(OR(B33="",D33=""),"",D33+IFERROR(IF(INDEX(Clients!$H$6:$H$45,MATCH(C33,Clients!$B$6:$B$45,0))="",N(Settings!$C$13),INDEX(Clients!$H$6:$H$45,MATCH(C33,Clients!$B$6:$B$45,0))),N(Settings!$C$13)))</f>
        <v/>
      </c>
      <c r="L33" s="16" t="n"/>
      <c r="M33" s="15">
        <f>IF(B33="","",IF(L33&lt;&gt;"","Paid",IF(D33="","Draft",IF(K33&lt;TODAY(),"Overdue "&amp;(TODAY()-K33)&amp;IF(TODAY()-K33=1," day"," days"),"Waiting"))))</f>
        <v/>
      </c>
      <c r="N33" s="1" t="n"/>
      <c r="O33">
        <f>IF(B33="","",ROW()-5)</f>
        <v/>
      </c>
      <c r="P33">
        <f>IF(OR(B33="",L33&lt;&gt;"",D33=""),"",K33+ROW()/10000000)</f>
        <v/>
      </c>
    </row>
    <row r="34">
      <c r="A34" s="1" t="n"/>
      <c r="B34" s="17" t="n"/>
      <c r="C34" s="18" t="n"/>
      <c r="D34" s="16" t="n"/>
      <c r="E34" s="16" t="n"/>
      <c r="F34" s="16" t="n"/>
      <c r="G34" s="25">
        <f>IF(B34="","",SUMIFS(Timesheet!$M$6:$M$2005,Timesheet!$P$6:$P$2005,B34))</f>
        <v/>
      </c>
      <c r="H34" s="14">
        <f>IF(B34="","",SUMIFS(Timesheet!$O$6:$O$2005,Timesheet!$P$6:$P$2005,B34))</f>
        <v/>
      </c>
      <c r="I34" s="14">
        <f>IF(B34="","",ROUND(H34*N(Settings!$C$12),2))</f>
        <v/>
      </c>
      <c r="J34" s="26">
        <f>IF(B34="","",H34+I34)</f>
        <v/>
      </c>
      <c r="K34" s="27">
        <f>IF(OR(B34="",D34=""),"",D34+IFERROR(IF(INDEX(Clients!$H$6:$H$45,MATCH(C34,Clients!$B$6:$B$45,0))="",N(Settings!$C$13),INDEX(Clients!$H$6:$H$45,MATCH(C34,Clients!$B$6:$B$45,0))),N(Settings!$C$13)))</f>
        <v/>
      </c>
      <c r="L34" s="16" t="n"/>
      <c r="M34" s="15">
        <f>IF(B34="","",IF(L34&lt;&gt;"","Paid",IF(D34="","Draft",IF(K34&lt;TODAY(),"Overdue "&amp;(TODAY()-K34)&amp;IF(TODAY()-K34=1," day"," days"),"Waiting"))))</f>
        <v/>
      </c>
      <c r="N34" s="1" t="n"/>
      <c r="O34">
        <f>IF(B34="","",ROW()-5)</f>
        <v/>
      </c>
      <c r="P34">
        <f>IF(OR(B34="",L34&lt;&gt;"",D34=""),"",K34+ROW()/10000000)</f>
        <v/>
      </c>
    </row>
    <row r="35">
      <c r="A35" s="1" t="n"/>
      <c r="B35" s="17" t="n"/>
      <c r="C35" s="18" t="n"/>
      <c r="D35" s="16" t="n"/>
      <c r="E35" s="16" t="n"/>
      <c r="F35" s="16" t="n"/>
      <c r="G35" s="25">
        <f>IF(B35="","",SUMIFS(Timesheet!$M$6:$M$2005,Timesheet!$P$6:$P$2005,B35))</f>
        <v/>
      </c>
      <c r="H35" s="14">
        <f>IF(B35="","",SUMIFS(Timesheet!$O$6:$O$2005,Timesheet!$P$6:$P$2005,B35))</f>
        <v/>
      </c>
      <c r="I35" s="14">
        <f>IF(B35="","",ROUND(H35*N(Settings!$C$12),2))</f>
        <v/>
      </c>
      <c r="J35" s="26">
        <f>IF(B35="","",H35+I35)</f>
        <v/>
      </c>
      <c r="K35" s="27">
        <f>IF(OR(B35="",D35=""),"",D35+IFERROR(IF(INDEX(Clients!$H$6:$H$45,MATCH(C35,Clients!$B$6:$B$45,0))="",N(Settings!$C$13),INDEX(Clients!$H$6:$H$45,MATCH(C35,Clients!$B$6:$B$45,0))),N(Settings!$C$13)))</f>
        <v/>
      </c>
      <c r="L35" s="16" t="n"/>
      <c r="M35" s="15">
        <f>IF(B35="","",IF(L35&lt;&gt;"","Paid",IF(D35="","Draft",IF(K35&lt;TODAY(),"Overdue "&amp;(TODAY()-K35)&amp;IF(TODAY()-K35=1," day"," days"),"Waiting"))))</f>
        <v/>
      </c>
      <c r="N35" s="1" t="n"/>
      <c r="O35">
        <f>IF(B35="","",ROW()-5)</f>
        <v/>
      </c>
      <c r="P35">
        <f>IF(OR(B35="",L35&lt;&gt;"",D35=""),"",K35+ROW()/10000000)</f>
        <v/>
      </c>
    </row>
    <row r="36">
      <c r="A36" s="1" t="n"/>
      <c r="B36" s="17" t="n"/>
      <c r="C36" s="18" t="n"/>
      <c r="D36" s="16" t="n"/>
      <c r="E36" s="16" t="n"/>
      <c r="F36" s="16" t="n"/>
      <c r="G36" s="25">
        <f>IF(B36="","",SUMIFS(Timesheet!$M$6:$M$2005,Timesheet!$P$6:$P$2005,B36))</f>
        <v/>
      </c>
      <c r="H36" s="14">
        <f>IF(B36="","",SUMIFS(Timesheet!$O$6:$O$2005,Timesheet!$P$6:$P$2005,B36))</f>
        <v/>
      </c>
      <c r="I36" s="14">
        <f>IF(B36="","",ROUND(H36*N(Settings!$C$12),2))</f>
        <v/>
      </c>
      <c r="J36" s="26">
        <f>IF(B36="","",H36+I36)</f>
        <v/>
      </c>
      <c r="K36" s="27">
        <f>IF(OR(B36="",D36=""),"",D36+IFERROR(IF(INDEX(Clients!$H$6:$H$45,MATCH(C36,Clients!$B$6:$B$45,0))="",N(Settings!$C$13),INDEX(Clients!$H$6:$H$45,MATCH(C36,Clients!$B$6:$B$45,0))),N(Settings!$C$13)))</f>
        <v/>
      </c>
      <c r="L36" s="16" t="n"/>
      <c r="M36" s="15">
        <f>IF(B36="","",IF(L36&lt;&gt;"","Paid",IF(D36="","Draft",IF(K36&lt;TODAY(),"Overdue "&amp;(TODAY()-K36)&amp;IF(TODAY()-K36=1," day"," days"),"Waiting"))))</f>
        <v/>
      </c>
      <c r="N36" s="1" t="n"/>
      <c r="O36">
        <f>IF(B36="","",ROW()-5)</f>
        <v/>
      </c>
      <c r="P36">
        <f>IF(OR(B36="",L36&lt;&gt;"",D36=""),"",K36+ROW()/10000000)</f>
        <v/>
      </c>
    </row>
    <row r="37">
      <c r="A37" s="1" t="n"/>
      <c r="B37" s="17" t="n"/>
      <c r="C37" s="18" t="n"/>
      <c r="D37" s="16" t="n"/>
      <c r="E37" s="16" t="n"/>
      <c r="F37" s="16" t="n"/>
      <c r="G37" s="25">
        <f>IF(B37="","",SUMIFS(Timesheet!$M$6:$M$2005,Timesheet!$P$6:$P$2005,B37))</f>
        <v/>
      </c>
      <c r="H37" s="14">
        <f>IF(B37="","",SUMIFS(Timesheet!$O$6:$O$2005,Timesheet!$P$6:$P$2005,B37))</f>
        <v/>
      </c>
      <c r="I37" s="14">
        <f>IF(B37="","",ROUND(H37*N(Settings!$C$12),2))</f>
        <v/>
      </c>
      <c r="J37" s="26">
        <f>IF(B37="","",H37+I37)</f>
        <v/>
      </c>
      <c r="K37" s="27">
        <f>IF(OR(B37="",D37=""),"",D37+IFERROR(IF(INDEX(Clients!$H$6:$H$45,MATCH(C37,Clients!$B$6:$B$45,0))="",N(Settings!$C$13),INDEX(Clients!$H$6:$H$45,MATCH(C37,Clients!$B$6:$B$45,0))),N(Settings!$C$13)))</f>
        <v/>
      </c>
      <c r="L37" s="16" t="n"/>
      <c r="M37" s="15">
        <f>IF(B37="","",IF(L37&lt;&gt;"","Paid",IF(D37="","Draft",IF(K37&lt;TODAY(),"Overdue "&amp;(TODAY()-K37)&amp;IF(TODAY()-K37=1," day"," days"),"Waiting"))))</f>
        <v/>
      </c>
      <c r="N37" s="1" t="n"/>
      <c r="O37">
        <f>IF(B37="","",ROW()-5)</f>
        <v/>
      </c>
      <c r="P37">
        <f>IF(OR(B37="",L37&lt;&gt;"",D37=""),"",K37+ROW()/10000000)</f>
        <v/>
      </c>
    </row>
    <row r="38">
      <c r="A38" s="1" t="n"/>
      <c r="B38" s="17" t="n"/>
      <c r="C38" s="18" t="n"/>
      <c r="D38" s="16" t="n"/>
      <c r="E38" s="16" t="n"/>
      <c r="F38" s="16" t="n"/>
      <c r="G38" s="25">
        <f>IF(B38="","",SUMIFS(Timesheet!$M$6:$M$2005,Timesheet!$P$6:$P$2005,B38))</f>
        <v/>
      </c>
      <c r="H38" s="14">
        <f>IF(B38="","",SUMIFS(Timesheet!$O$6:$O$2005,Timesheet!$P$6:$P$2005,B38))</f>
        <v/>
      </c>
      <c r="I38" s="14">
        <f>IF(B38="","",ROUND(H38*N(Settings!$C$12),2))</f>
        <v/>
      </c>
      <c r="J38" s="26">
        <f>IF(B38="","",H38+I38)</f>
        <v/>
      </c>
      <c r="K38" s="27">
        <f>IF(OR(B38="",D38=""),"",D38+IFERROR(IF(INDEX(Clients!$H$6:$H$45,MATCH(C38,Clients!$B$6:$B$45,0))="",N(Settings!$C$13),INDEX(Clients!$H$6:$H$45,MATCH(C38,Clients!$B$6:$B$45,0))),N(Settings!$C$13)))</f>
        <v/>
      </c>
      <c r="L38" s="16" t="n"/>
      <c r="M38" s="15">
        <f>IF(B38="","",IF(L38&lt;&gt;"","Paid",IF(D38="","Draft",IF(K38&lt;TODAY(),"Overdue "&amp;(TODAY()-K38)&amp;IF(TODAY()-K38=1," day"," days"),"Waiting"))))</f>
        <v/>
      </c>
      <c r="N38" s="1" t="n"/>
      <c r="O38">
        <f>IF(B38="","",ROW()-5)</f>
        <v/>
      </c>
      <c r="P38">
        <f>IF(OR(B38="",L38&lt;&gt;"",D38=""),"",K38+ROW()/10000000)</f>
        <v/>
      </c>
    </row>
    <row r="39">
      <c r="A39" s="1" t="n"/>
      <c r="B39" s="17" t="n"/>
      <c r="C39" s="18" t="n"/>
      <c r="D39" s="16" t="n"/>
      <c r="E39" s="16" t="n"/>
      <c r="F39" s="16" t="n"/>
      <c r="G39" s="25">
        <f>IF(B39="","",SUMIFS(Timesheet!$M$6:$M$2005,Timesheet!$P$6:$P$2005,B39))</f>
        <v/>
      </c>
      <c r="H39" s="14">
        <f>IF(B39="","",SUMIFS(Timesheet!$O$6:$O$2005,Timesheet!$P$6:$P$2005,B39))</f>
        <v/>
      </c>
      <c r="I39" s="14">
        <f>IF(B39="","",ROUND(H39*N(Settings!$C$12),2))</f>
        <v/>
      </c>
      <c r="J39" s="26">
        <f>IF(B39="","",H39+I39)</f>
        <v/>
      </c>
      <c r="K39" s="27">
        <f>IF(OR(B39="",D39=""),"",D39+IFERROR(IF(INDEX(Clients!$H$6:$H$45,MATCH(C39,Clients!$B$6:$B$45,0))="",N(Settings!$C$13),INDEX(Clients!$H$6:$H$45,MATCH(C39,Clients!$B$6:$B$45,0))),N(Settings!$C$13)))</f>
        <v/>
      </c>
      <c r="L39" s="16" t="n"/>
      <c r="M39" s="15">
        <f>IF(B39="","",IF(L39&lt;&gt;"","Paid",IF(D39="","Draft",IF(K39&lt;TODAY(),"Overdue "&amp;(TODAY()-K39)&amp;IF(TODAY()-K39=1," day"," days"),"Waiting"))))</f>
        <v/>
      </c>
      <c r="N39" s="1" t="n"/>
      <c r="O39">
        <f>IF(B39="","",ROW()-5)</f>
        <v/>
      </c>
      <c r="P39">
        <f>IF(OR(B39="",L39&lt;&gt;"",D39=""),"",K39+ROW()/10000000)</f>
        <v/>
      </c>
    </row>
    <row r="40">
      <c r="A40" s="1" t="n"/>
      <c r="B40" s="17" t="n"/>
      <c r="C40" s="18" t="n"/>
      <c r="D40" s="16" t="n"/>
      <c r="E40" s="16" t="n"/>
      <c r="F40" s="16" t="n"/>
      <c r="G40" s="25">
        <f>IF(B40="","",SUMIFS(Timesheet!$M$6:$M$2005,Timesheet!$P$6:$P$2005,B40))</f>
        <v/>
      </c>
      <c r="H40" s="14">
        <f>IF(B40="","",SUMIFS(Timesheet!$O$6:$O$2005,Timesheet!$P$6:$P$2005,B40))</f>
        <v/>
      </c>
      <c r="I40" s="14">
        <f>IF(B40="","",ROUND(H40*N(Settings!$C$12),2))</f>
        <v/>
      </c>
      <c r="J40" s="26">
        <f>IF(B40="","",H40+I40)</f>
        <v/>
      </c>
      <c r="K40" s="27">
        <f>IF(OR(B40="",D40=""),"",D40+IFERROR(IF(INDEX(Clients!$H$6:$H$45,MATCH(C40,Clients!$B$6:$B$45,0))="",N(Settings!$C$13),INDEX(Clients!$H$6:$H$45,MATCH(C40,Clients!$B$6:$B$45,0))),N(Settings!$C$13)))</f>
        <v/>
      </c>
      <c r="L40" s="16" t="n"/>
      <c r="M40" s="15">
        <f>IF(B40="","",IF(L40&lt;&gt;"","Paid",IF(D40="","Draft",IF(K40&lt;TODAY(),"Overdue "&amp;(TODAY()-K40)&amp;IF(TODAY()-K40=1," day"," days"),"Waiting"))))</f>
        <v/>
      </c>
      <c r="N40" s="1" t="n"/>
      <c r="O40">
        <f>IF(B40="","",ROW()-5)</f>
        <v/>
      </c>
      <c r="P40">
        <f>IF(OR(B40="",L40&lt;&gt;"",D40=""),"",K40+ROW()/10000000)</f>
        <v/>
      </c>
    </row>
    <row r="41">
      <c r="A41" s="1" t="n"/>
      <c r="B41" s="17" t="n"/>
      <c r="C41" s="18" t="n"/>
      <c r="D41" s="16" t="n"/>
      <c r="E41" s="16" t="n"/>
      <c r="F41" s="16" t="n"/>
      <c r="G41" s="25">
        <f>IF(B41="","",SUMIFS(Timesheet!$M$6:$M$2005,Timesheet!$P$6:$P$2005,B41))</f>
        <v/>
      </c>
      <c r="H41" s="14">
        <f>IF(B41="","",SUMIFS(Timesheet!$O$6:$O$2005,Timesheet!$P$6:$P$2005,B41))</f>
        <v/>
      </c>
      <c r="I41" s="14">
        <f>IF(B41="","",ROUND(H41*N(Settings!$C$12),2))</f>
        <v/>
      </c>
      <c r="J41" s="26">
        <f>IF(B41="","",H41+I41)</f>
        <v/>
      </c>
      <c r="K41" s="27">
        <f>IF(OR(B41="",D41=""),"",D41+IFERROR(IF(INDEX(Clients!$H$6:$H$45,MATCH(C41,Clients!$B$6:$B$45,0))="",N(Settings!$C$13),INDEX(Clients!$H$6:$H$45,MATCH(C41,Clients!$B$6:$B$45,0))),N(Settings!$C$13)))</f>
        <v/>
      </c>
      <c r="L41" s="16" t="n"/>
      <c r="M41" s="15">
        <f>IF(B41="","",IF(L41&lt;&gt;"","Paid",IF(D41="","Draft",IF(K41&lt;TODAY(),"Overdue "&amp;(TODAY()-K41)&amp;IF(TODAY()-K41=1," day"," days"),"Waiting"))))</f>
        <v/>
      </c>
      <c r="N41" s="1" t="n"/>
      <c r="O41">
        <f>IF(B41="","",ROW()-5)</f>
        <v/>
      </c>
      <c r="P41">
        <f>IF(OR(B41="",L41&lt;&gt;"",D41=""),"",K41+ROW()/10000000)</f>
        <v/>
      </c>
    </row>
    <row r="42">
      <c r="A42" s="1" t="n"/>
      <c r="B42" s="17" t="n"/>
      <c r="C42" s="18" t="n"/>
      <c r="D42" s="16" t="n"/>
      <c r="E42" s="16" t="n"/>
      <c r="F42" s="16" t="n"/>
      <c r="G42" s="25">
        <f>IF(B42="","",SUMIFS(Timesheet!$M$6:$M$2005,Timesheet!$P$6:$P$2005,B42))</f>
        <v/>
      </c>
      <c r="H42" s="14">
        <f>IF(B42="","",SUMIFS(Timesheet!$O$6:$O$2005,Timesheet!$P$6:$P$2005,B42))</f>
        <v/>
      </c>
      <c r="I42" s="14">
        <f>IF(B42="","",ROUND(H42*N(Settings!$C$12),2))</f>
        <v/>
      </c>
      <c r="J42" s="26">
        <f>IF(B42="","",H42+I42)</f>
        <v/>
      </c>
      <c r="K42" s="27">
        <f>IF(OR(B42="",D42=""),"",D42+IFERROR(IF(INDEX(Clients!$H$6:$H$45,MATCH(C42,Clients!$B$6:$B$45,0))="",N(Settings!$C$13),INDEX(Clients!$H$6:$H$45,MATCH(C42,Clients!$B$6:$B$45,0))),N(Settings!$C$13)))</f>
        <v/>
      </c>
      <c r="L42" s="16" t="n"/>
      <c r="M42" s="15">
        <f>IF(B42="","",IF(L42&lt;&gt;"","Paid",IF(D42="","Draft",IF(K42&lt;TODAY(),"Overdue "&amp;(TODAY()-K42)&amp;IF(TODAY()-K42=1," day"," days"),"Waiting"))))</f>
        <v/>
      </c>
      <c r="N42" s="1" t="n"/>
      <c r="O42">
        <f>IF(B42="","",ROW()-5)</f>
        <v/>
      </c>
      <c r="P42">
        <f>IF(OR(B42="",L42&lt;&gt;"",D42=""),"",K42+ROW()/10000000)</f>
        <v/>
      </c>
    </row>
    <row r="43">
      <c r="A43" s="1" t="n"/>
      <c r="B43" s="17" t="n"/>
      <c r="C43" s="18" t="n"/>
      <c r="D43" s="16" t="n"/>
      <c r="E43" s="16" t="n"/>
      <c r="F43" s="16" t="n"/>
      <c r="G43" s="25">
        <f>IF(B43="","",SUMIFS(Timesheet!$M$6:$M$2005,Timesheet!$P$6:$P$2005,B43))</f>
        <v/>
      </c>
      <c r="H43" s="14">
        <f>IF(B43="","",SUMIFS(Timesheet!$O$6:$O$2005,Timesheet!$P$6:$P$2005,B43))</f>
        <v/>
      </c>
      <c r="I43" s="14">
        <f>IF(B43="","",ROUND(H43*N(Settings!$C$12),2))</f>
        <v/>
      </c>
      <c r="J43" s="26">
        <f>IF(B43="","",H43+I43)</f>
        <v/>
      </c>
      <c r="K43" s="27">
        <f>IF(OR(B43="",D43=""),"",D43+IFERROR(IF(INDEX(Clients!$H$6:$H$45,MATCH(C43,Clients!$B$6:$B$45,0))="",N(Settings!$C$13),INDEX(Clients!$H$6:$H$45,MATCH(C43,Clients!$B$6:$B$45,0))),N(Settings!$C$13)))</f>
        <v/>
      </c>
      <c r="L43" s="16" t="n"/>
      <c r="M43" s="15">
        <f>IF(B43="","",IF(L43&lt;&gt;"","Paid",IF(D43="","Draft",IF(K43&lt;TODAY(),"Overdue "&amp;(TODAY()-K43)&amp;IF(TODAY()-K43=1," day"," days"),"Waiting"))))</f>
        <v/>
      </c>
      <c r="N43" s="1" t="n"/>
      <c r="O43">
        <f>IF(B43="","",ROW()-5)</f>
        <v/>
      </c>
      <c r="P43">
        <f>IF(OR(B43="",L43&lt;&gt;"",D43=""),"",K43+ROW()/10000000)</f>
        <v/>
      </c>
    </row>
    <row r="44">
      <c r="A44" s="1" t="n"/>
      <c r="B44" s="17" t="n"/>
      <c r="C44" s="18" t="n"/>
      <c r="D44" s="16" t="n"/>
      <c r="E44" s="16" t="n"/>
      <c r="F44" s="16" t="n"/>
      <c r="G44" s="25">
        <f>IF(B44="","",SUMIFS(Timesheet!$M$6:$M$2005,Timesheet!$P$6:$P$2005,B44))</f>
        <v/>
      </c>
      <c r="H44" s="14">
        <f>IF(B44="","",SUMIFS(Timesheet!$O$6:$O$2005,Timesheet!$P$6:$P$2005,B44))</f>
        <v/>
      </c>
      <c r="I44" s="14">
        <f>IF(B44="","",ROUND(H44*N(Settings!$C$12),2))</f>
        <v/>
      </c>
      <c r="J44" s="26">
        <f>IF(B44="","",H44+I44)</f>
        <v/>
      </c>
      <c r="K44" s="27">
        <f>IF(OR(B44="",D44=""),"",D44+IFERROR(IF(INDEX(Clients!$H$6:$H$45,MATCH(C44,Clients!$B$6:$B$45,0))="",N(Settings!$C$13),INDEX(Clients!$H$6:$H$45,MATCH(C44,Clients!$B$6:$B$45,0))),N(Settings!$C$13)))</f>
        <v/>
      </c>
      <c r="L44" s="16" t="n"/>
      <c r="M44" s="15">
        <f>IF(B44="","",IF(L44&lt;&gt;"","Paid",IF(D44="","Draft",IF(K44&lt;TODAY(),"Overdue "&amp;(TODAY()-K44)&amp;IF(TODAY()-K44=1," day"," days"),"Waiting"))))</f>
        <v/>
      </c>
      <c r="N44" s="1" t="n"/>
      <c r="O44">
        <f>IF(B44="","",ROW()-5)</f>
        <v/>
      </c>
      <c r="P44">
        <f>IF(OR(B44="",L44&lt;&gt;"",D44=""),"",K44+ROW()/10000000)</f>
        <v/>
      </c>
    </row>
    <row r="45">
      <c r="A45" s="1" t="n"/>
      <c r="B45" s="17" t="n"/>
      <c r="C45" s="18" t="n"/>
      <c r="D45" s="16" t="n"/>
      <c r="E45" s="16" t="n"/>
      <c r="F45" s="16" t="n"/>
      <c r="G45" s="25">
        <f>IF(B45="","",SUMIFS(Timesheet!$M$6:$M$2005,Timesheet!$P$6:$P$2005,B45))</f>
        <v/>
      </c>
      <c r="H45" s="14">
        <f>IF(B45="","",SUMIFS(Timesheet!$O$6:$O$2005,Timesheet!$P$6:$P$2005,B45))</f>
        <v/>
      </c>
      <c r="I45" s="14">
        <f>IF(B45="","",ROUND(H45*N(Settings!$C$12),2))</f>
        <v/>
      </c>
      <c r="J45" s="26">
        <f>IF(B45="","",H45+I45)</f>
        <v/>
      </c>
      <c r="K45" s="27">
        <f>IF(OR(B45="",D45=""),"",D45+IFERROR(IF(INDEX(Clients!$H$6:$H$45,MATCH(C45,Clients!$B$6:$B$45,0))="",N(Settings!$C$13),INDEX(Clients!$H$6:$H$45,MATCH(C45,Clients!$B$6:$B$45,0))),N(Settings!$C$13)))</f>
        <v/>
      </c>
      <c r="L45" s="16" t="n"/>
      <c r="M45" s="15">
        <f>IF(B45="","",IF(L45&lt;&gt;"","Paid",IF(D45="","Draft",IF(K45&lt;TODAY(),"Overdue "&amp;(TODAY()-K45)&amp;IF(TODAY()-K45=1," day"," days"),"Waiting"))))</f>
        <v/>
      </c>
      <c r="N45" s="1" t="n"/>
      <c r="O45">
        <f>IF(B45="","",ROW()-5)</f>
        <v/>
      </c>
      <c r="P45">
        <f>IF(OR(B45="",L45&lt;&gt;"",D45=""),"",K45+ROW()/10000000)</f>
        <v/>
      </c>
    </row>
    <row r="46">
      <c r="A46" s="1" t="n"/>
      <c r="B46" s="17" t="n"/>
      <c r="C46" s="18" t="n"/>
      <c r="D46" s="16" t="n"/>
      <c r="E46" s="16" t="n"/>
      <c r="F46" s="16" t="n"/>
      <c r="G46" s="25">
        <f>IF(B46="","",SUMIFS(Timesheet!$M$6:$M$2005,Timesheet!$P$6:$P$2005,B46))</f>
        <v/>
      </c>
      <c r="H46" s="14">
        <f>IF(B46="","",SUMIFS(Timesheet!$O$6:$O$2005,Timesheet!$P$6:$P$2005,B46))</f>
        <v/>
      </c>
      <c r="I46" s="14">
        <f>IF(B46="","",ROUND(H46*N(Settings!$C$12),2))</f>
        <v/>
      </c>
      <c r="J46" s="26">
        <f>IF(B46="","",H46+I46)</f>
        <v/>
      </c>
      <c r="K46" s="27">
        <f>IF(OR(B46="",D46=""),"",D46+IFERROR(IF(INDEX(Clients!$H$6:$H$45,MATCH(C46,Clients!$B$6:$B$45,0))="",N(Settings!$C$13),INDEX(Clients!$H$6:$H$45,MATCH(C46,Clients!$B$6:$B$45,0))),N(Settings!$C$13)))</f>
        <v/>
      </c>
      <c r="L46" s="16" t="n"/>
      <c r="M46" s="15">
        <f>IF(B46="","",IF(L46&lt;&gt;"","Paid",IF(D46="","Draft",IF(K46&lt;TODAY(),"Overdue "&amp;(TODAY()-K46)&amp;IF(TODAY()-K46=1," day"," days"),"Waiting"))))</f>
        <v/>
      </c>
      <c r="N46" s="1" t="n"/>
      <c r="O46">
        <f>IF(B46="","",ROW()-5)</f>
        <v/>
      </c>
      <c r="P46">
        <f>IF(OR(B46="",L46&lt;&gt;"",D46=""),"",K46+ROW()/10000000)</f>
        <v/>
      </c>
    </row>
    <row r="47">
      <c r="A47" s="1" t="n"/>
      <c r="B47" s="17" t="n"/>
      <c r="C47" s="18" t="n"/>
      <c r="D47" s="16" t="n"/>
      <c r="E47" s="16" t="n"/>
      <c r="F47" s="16" t="n"/>
      <c r="G47" s="25">
        <f>IF(B47="","",SUMIFS(Timesheet!$M$6:$M$2005,Timesheet!$P$6:$P$2005,B47))</f>
        <v/>
      </c>
      <c r="H47" s="14">
        <f>IF(B47="","",SUMIFS(Timesheet!$O$6:$O$2005,Timesheet!$P$6:$P$2005,B47))</f>
        <v/>
      </c>
      <c r="I47" s="14">
        <f>IF(B47="","",ROUND(H47*N(Settings!$C$12),2))</f>
        <v/>
      </c>
      <c r="J47" s="26">
        <f>IF(B47="","",H47+I47)</f>
        <v/>
      </c>
      <c r="K47" s="27">
        <f>IF(OR(B47="",D47=""),"",D47+IFERROR(IF(INDEX(Clients!$H$6:$H$45,MATCH(C47,Clients!$B$6:$B$45,0))="",N(Settings!$C$13),INDEX(Clients!$H$6:$H$45,MATCH(C47,Clients!$B$6:$B$45,0))),N(Settings!$C$13)))</f>
        <v/>
      </c>
      <c r="L47" s="16" t="n"/>
      <c r="M47" s="15">
        <f>IF(B47="","",IF(L47&lt;&gt;"","Paid",IF(D47="","Draft",IF(K47&lt;TODAY(),"Overdue "&amp;(TODAY()-K47)&amp;IF(TODAY()-K47=1," day"," days"),"Waiting"))))</f>
        <v/>
      </c>
      <c r="N47" s="1" t="n"/>
      <c r="O47">
        <f>IF(B47="","",ROW()-5)</f>
        <v/>
      </c>
      <c r="P47">
        <f>IF(OR(B47="",L47&lt;&gt;"",D47=""),"",K47+ROW()/10000000)</f>
        <v/>
      </c>
    </row>
    <row r="48">
      <c r="A48" s="1" t="n"/>
      <c r="B48" s="17" t="n"/>
      <c r="C48" s="18" t="n"/>
      <c r="D48" s="16" t="n"/>
      <c r="E48" s="16" t="n"/>
      <c r="F48" s="16" t="n"/>
      <c r="G48" s="25">
        <f>IF(B48="","",SUMIFS(Timesheet!$M$6:$M$2005,Timesheet!$P$6:$P$2005,B48))</f>
        <v/>
      </c>
      <c r="H48" s="14">
        <f>IF(B48="","",SUMIFS(Timesheet!$O$6:$O$2005,Timesheet!$P$6:$P$2005,B48))</f>
        <v/>
      </c>
      <c r="I48" s="14">
        <f>IF(B48="","",ROUND(H48*N(Settings!$C$12),2))</f>
        <v/>
      </c>
      <c r="J48" s="26">
        <f>IF(B48="","",H48+I48)</f>
        <v/>
      </c>
      <c r="K48" s="27">
        <f>IF(OR(B48="",D48=""),"",D48+IFERROR(IF(INDEX(Clients!$H$6:$H$45,MATCH(C48,Clients!$B$6:$B$45,0))="",N(Settings!$C$13),INDEX(Clients!$H$6:$H$45,MATCH(C48,Clients!$B$6:$B$45,0))),N(Settings!$C$13)))</f>
        <v/>
      </c>
      <c r="L48" s="16" t="n"/>
      <c r="M48" s="15">
        <f>IF(B48="","",IF(L48&lt;&gt;"","Paid",IF(D48="","Draft",IF(K48&lt;TODAY(),"Overdue "&amp;(TODAY()-K48)&amp;IF(TODAY()-K48=1," day"," days"),"Waiting"))))</f>
        <v/>
      </c>
      <c r="N48" s="1" t="n"/>
      <c r="O48">
        <f>IF(B48="","",ROW()-5)</f>
        <v/>
      </c>
      <c r="P48">
        <f>IF(OR(B48="",L48&lt;&gt;"",D48=""),"",K48+ROW()/10000000)</f>
        <v/>
      </c>
    </row>
    <row r="49">
      <c r="A49" s="1" t="n"/>
      <c r="B49" s="17" t="n"/>
      <c r="C49" s="18" t="n"/>
      <c r="D49" s="16" t="n"/>
      <c r="E49" s="16" t="n"/>
      <c r="F49" s="16" t="n"/>
      <c r="G49" s="25">
        <f>IF(B49="","",SUMIFS(Timesheet!$M$6:$M$2005,Timesheet!$P$6:$P$2005,B49))</f>
        <v/>
      </c>
      <c r="H49" s="14">
        <f>IF(B49="","",SUMIFS(Timesheet!$O$6:$O$2005,Timesheet!$P$6:$P$2005,B49))</f>
        <v/>
      </c>
      <c r="I49" s="14">
        <f>IF(B49="","",ROUND(H49*N(Settings!$C$12),2))</f>
        <v/>
      </c>
      <c r="J49" s="26">
        <f>IF(B49="","",H49+I49)</f>
        <v/>
      </c>
      <c r="K49" s="27">
        <f>IF(OR(B49="",D49=""),"",D49+IFERROR(IF(INDEX(Clients!$H$6:$H$45,MATCH(C49,Clients!$B$6:$B$45,0))="",N(Settings!$C$13),INDEX(Clients!$H$6:$H$45,MATCH(C49,Clients!$B$6:$B$45,0))),N(Settings!$C$13)))</f>
        <v/>
      </c>
      <c r="L49" s="16" t="n"/>
      <c r="M49" s="15">
        <f>IF(B49="","",IF(L49&lt;&gt;"","Paid",IF(D49="","Draft",IF(K49&lt;TODAY(),"Overdue "&amp;(TODAY()-K49)&amp;IF(TODAY()-K49=1," day"," days"),"Waiting"))))</f>
        <v/>
      </c>
      <c r="N49" s="1" t="n"/>
      <c r="O49">
        <f>IF(B49="","",ROW()-5)</f>
        <v/>
      </c>
      <c r="P49">
        <f>IF(OR(B49="",L49&lt;&gt;"",D49=""),"",K49+ROW()/10000000)</f>
        <v/>
      </c>
    </row>
    <row r="50">
      <c r="A50" s="1" t="n"/>
      <c r="B50" s="17" t="n"/>
      <c r="C50" s="18" t="n"/>
      <c r="D50" s="16" t="n"/>
      <c r="E50" s="16" t="n"/>
      <c r="F50" s="16" t="n"/>
      <c r="G50" s="25">
        <f>IF(B50="","",SUMIFS(Timesheet!$M$6:$M$2005,Timesheet!$P$6:$P$2005,B50))</f>
        <v/>
      </c>
      <c r="H50" s="14">
        <f>IF(B50="","",SUMIFS(Timesheet!$O$6:$O$2005,Timesheet!$P$6:$P$2005,B50))</f>
        <v/>
      </c>
      <c r="I50" s="14">
        <f>IF(B50="","",ROUND(H50*N(Settings!$C$12),2))</f>
        <v/>
      </c>
      <c r="J50" s="26">
        <f>IF(B50="","",H50+I50)</f>
        <v/>
      </c>
      <c r="K50" s="27">
        <f>IF(OR(B50="",D50=""),"",D50+IFERROR(IF(INDEX(Clients!$H$6:$H$45,MATCH(C50,Clients!$B$6:$B$45,0))="",N(Settings!$C$13),INDEX(Clients!$H$6:$H$45,MATCH(C50,Clients!$B$6:$B$45,0))),N(Settings!$C$13)))</f>
        <v/>
      </c>
      <c r="L50" s="16" t="n"/>
      <c r="M50" s="15">
        <f>IF(B50="","",IF(L50&lt;&gt;"","Paid",IF(D50="","Draft",IF(K50&lt;TODAY(),"Overdue "&amp;(TODAY()-K50)&amp;IF(TODAY()-K50=1," day"," days"),"Waiting"))))</f>
        <v/>
      </c>
      <c r="N50" s="1" t="n"/>
      <c r="O50">
        <f>IF(B50="","",ROW()-5)</f>
        <v/>
      </c>
      <c r="P50">
        <f>IF(OR(B50="",L50&lt;&gt;"",D50=""),"",K50+ROW()/10000000)</f>
        <v/>
      </c>
    </row>
    <row r="51">
      <c r="A51" s="1" t="n"/>
      <c r="B51" s="17" t="n"/>
      <c r="C51" s="18" t="n"/>
      <c r="D51" s="16" t="n"/>
      <c r="E51" s="16" t="n"/>
      <c r="F51" s="16" t="n"/>
      <c r="G51" s="25">
        <f>IF(B51="","",SUMIFS(Timesheet!$M$6:$M$2005,Timesheet!$P$6:$P$2005,B51))</f>
        <v/>
      </c>
      <c r="H51" s="14">
        <f>IF(B51="","",SUMIFS(Timesheet!$O$6:$O$2005,Timesheet!$P$6:$P$2005,B51))</f>
        <v/>
      </c>
      <c r="I51" s="14">
        <f>IF(B51="","",ROUND(H51*N(Settings!$C$12),2))</f>
        <v/>
      </c>
      <c r="J51" s="26">
        <f>IF(B51="","",H51+I51)</f>
        <v/>
      </c>
      <c r="K51" s="27">
        <f>IF(OR(B51="",D51=""),"",D51+IFERROR(IF(INDEX(Clients!$H$6:$H$45,MATCH(C51,Clients!$B$6:$B$45,0))="",N(Settings!$C$13),INDEX(Clients!$H$6:$H$45,MATCH(C51,Clients!$B$6:$B$45,0))),N(Settings!$C$13)))</f>
        <v/>
      </c>
      <c r="L51" s="16" t="n"/>
      <c r="M51" s="15">
        <f>IF(B51="","",IF(L51&lt;&gt;"","Paid",IF(D51="","Draft",IF(K51&lt;TODAY(),"Overdue "&amp;(TODAY()-K51)&amp;IF(TODAY()-K51=1," day"," days"),"Waiting"))))</f>
        <v/>
      </c>
      <c r="N51" s="1" t="n"/>
      <c r="O51">
        <f>IF(B51="","",ROW()-5)</f>
        <v/>
      </c>
      <c r="P51">
        <f>IF(OR(B51="",L51&lt;&gt;"",D51=""),"",K51+ROW()/10000000)</f>
        <v/>
      </c>
    </row>
    <row r="52">
      <c r="A52" s="1" t="n"/>
      <c r="B52" s="17" t="n"/>
      <c r="C52" s="18" t="n"/>
      <c r="D52" s="16" t="n"/>
      <c r="E52" s="16" t="n"/>
      <c r="F52" s="16" t="n"/>
      <c r="G52" s="25">
        <f>IF(B52="","",SUMIFS(Timesheet!$M$6:$M$2005,Timesheet!$P$6:$P$2005,B52))</f>
        <v/>
      </c>
      <c r="H52" s="14">
        <f>IF(B52="","",SUMIFS(Timesheet!$O$6:$O$2005,Timesheet!$P$6:$P$2005,B52))</f>
        <v/>
      </c>
      <c r="I52" s="14">
        <f>IF(B52="","",ROUND(H52*N(Settings!$C$12),2))</f>
        <v/>
      </c>
      <c r="J52" s="26">
        <f>IF(B52="","",H52+I52)</f>
        <v/>
      </c>
      <c r="K52" s="27">
        <f>IF(OR(B52="",D52=""),"",D52+IFERROR(IF(INDEX(Clients!$H$6:$H$45,MATCH(C52,Clients!$B$6:$B$45,0))="",N(Settings!$C$13),INDEX(Clients!$H$6:$H$45,MATCH(C52,Clients!$B$6:$B$45,0))),N(Settings!$C$13)))</f>
        <v/>
      </c>
      <c r="L52" s="16" t="n"/>
      <c r="M52" s="15">
        <f>IF(B52="","",IF(L52&lt;&gt;"","Paid",IF(D52="","Draft",IF(K52&lt;TODAY(),"Overdue "&amp;(TODAY()-K52)&amp;IF(TODAY()-K52=1," day"," days"),"Waiting"))))</f>
        <v/>
      </c>
      <c r="N52" s="1" t="n"/>
      <c r="O52">
        <f>IF(B52="","",ROW()-5)</f>
        <v/>
      </c>
      <c r="P52">
        <f>IF(OR(B52="",L52&lt;&gt;"",D52=""),"",K52+ROW()/10000000)</f>
        <v/>
      </c>
    </row>
    <row r="53">
      <c r="A53" s="1" t="n"/>
      <c r="B53" s="17" t="n"/>
      <c r="C53" s="18" t="n"/>
      <c r="D53" s="16" t="n"/>
      <c r="E53" s="16" t="n"/>
      <c r="F53" s="16" t="n"/>
      <c r="G53" s="25">
        <f>IF(B53="","",SUMIFS(Timesheet!$M$6:$M$2005,Timesheet!$P$6:$P$2005,B53))</f>
        <v/>
      </c>
      <c r="H53" s="14">
        <f>IF(B53="","",SUMIFS(Timesheet!$O$6:$O$2005,Timesheet!$P$6:$P$2005,B53))</f>
        <v/>
      </c>
      <c r="I53" s="14">
        <f>IF(B53="","",ROUND(H53*N(Settings!$C$12),2))</f>
        <v/>
      </c>
      <c r="J53" s="26">
        <f>IF(B53="","",H53+I53)</f>
        <v/>
      </c>
      <c r="K53" s="27">
        <f>IF(OR(B53="",D53=""),"",D53+IFERROR(IF(INDEX(Clients!$H$6:$H$45,MATCH(C53,Clients!$B$6:$B$45,0))="",N(Settings!$C$13),INDEX(Clients!$H$6:$H$45,MATCH(C53,Clients!$B$6:$B$45,0))),N(Settings!$C$13)))</f>
        <v/>
      </c>
      <c r="L53" s="16" t="n"/>
      <c r="M53" s="15">
        <f>IF(B53="","",IF(L53&lt;&gt;"","Paid",IF(D53="","Draft",IF(K53&lt;TODAY(),"Overdue "&amp;(TODAY()-K53)&amp;IF(TODAY()-K53=1," day"," days"),"Waiting"))))</f>
        <v/>
      </c>
      <c r="N53" s="1" t="n"/>
      <c r="O53">
        <f>IF(B53="","",ROW()-5)</f>
        <v/>
      </c>
      <c r="P53">
        <f>IF(OR(B53="",L53&lt;&gt;"",D53=""),"",K53+ROW()/10000000)</f>
        <v/>
      </c>
    </row>
    <row r="54">
      <c r="A54" s="1" t="n"/>
      <c r="B54" s="17" t="n"/>
      <c r="C54" s="18" t="n"/>
      <c r="D54" s="16" t="n"/>
      <c r="E54" s="16" t="n"/>
      <c r="F54" s="16" t="n"/>
      <c r="G54" s="25">
        <f>IF(B54="","",SUMIFS(Timesheet!$M$6:$M$2005,Timesheet!$P$6:$P$2005,B54))</f>
        <v/>
      </c>
      <c r="H54" s="14">
        <f>IF(B54="","",SUMIFS(Timesheet!$O$6:$O$2005,Timesheet!$P$6:$P$2005,B54))</f>
        <v/>
      </c>
      <c r="I54" s="14">
        <f>IF(B54="","",ROUND(H54*N(Settings!$C$12),2))</f>
        <v/>
      </c>
      <c r="J54" s="26">
        <f>IF(B54="","",H54+I54)</f>
        <v/>
      </c>
      <c r="K54" s="27">
        <f>IF(OR(B54="",D54=""),"",D54+IFERROR(IF(INDEX(Clients!$H$6:$H$45,MATCH(C54,Clients!$B$6:$B$45,0))="",N(Settings!$C$13),INDEX(Clients!$H$6:$H$45,MATCH(C54,Clients!$B$6:$B$45,0))),N(Settings!$C$13)))</f>
        <v/>
      </c>
      <c r="L54" s="16" t="n"/>
      <c r="M54" s="15">
        <f>IF(B54="","",IF(L54&lt;&gt;"","Paid",IF(D54="","Draft",IF(K54&lt;TODAY(),"Overdue "&amp;(TODAY()-K54)&amp;IF(TODAY()-K54=1," day"," days"),"Waiting"))))</f>
        <v/>
      </c>
      <c r="N54" s="1" t="n"/>
      <c r="O54">
        <f>IF(B54="","",ROW()-5)</f>
        <v/>
      </c>
      <c r="P54">
        <f>IF(OR(B54="",L54&lt;&gt;"",D54=""),"",K54+ROW()/10000000)</f>
        <v/>
      </c>
    </row>
    <row r="55">
      <c r="A55" s="1" t="n"/>
      <c r="B55" s="17" t="n"/>
      <c r="C55" s="18" t="n"/>
      <c r="D55" s="16" t="n"/>
      <c r="E55" s="16" t="n"/>
      <c r="F55" s="16" t="n"/>
      <c r="G55" s="25">
        <f>IF(B55="","",SUMIFS(Timesheet!$M$6:$M$2005,Timesheet!$P$6:$P$2005,B55))</f>
        <v/>
      </c>
      <c r="H55" s="14">
        <f>IF(B55="","",SUMIFS(Timesheet!$O$6:$O$2005,Timesheet!$P$6:$P$2005,B55))</f>
        <v/>
      </c>
      <c r="I55" s="14">
        <f>IF(B55="","",ROUND(H55*N(Settings!$C$12),2))</f>
        <v/>
      </c>
      <c r="J55" s="26">
        <f>IF(B55="","",H55+I55)</f>
        <v/>
      </c>
      <c r="K55" s="27">
        <f>IF(OR(B55="",D55=""),"",D55+IFERROR(IF(INDEX(Clients!$H$6:$H$45,MATCH(C55,Clients!$B$6:$B$45,0))="",N(Settings!$C$13),INDEX(Clients!$H$6:$H$45,MATCH(C55,Clients!$B$6:$B$45,0))),N(Settings!$C$13)))</f>
        <v/>
      </c>
      <c r="L55" s="16" t="n"/>
      <c r="M55" s="15">
        <f>IF(B55="","",IF(L55&lt;&gt;"","Paid",IF(D55="","Draft",IF(K55&lt;TODAY(),"Overdue "&amp;(TODAY()-K55)&amp;IF(TODAY()-K55=1," day"," days"),"Waiting"))))</f>
        <v/>
      </c>
      <c r="N55" s="1" t="n"/>
      <c r="O55">
        <f>IF(B55="","",ROW()-5)</f>
        <v/>
      </c>
      <c r="P55">
        <f>IF(OR(B55="",L55&lt;&gt;"",D55=""),"",K55+ROW()/10000000)</f>
        <v/>
      </c>
    </row>
    <row r="56">
      <c r="A56" s="1" t="n"/>
      <c r="B56" s="17" t="n"/>
      <c r="C56" s="18" t="n"/>
      <c r="D56" s="16" t="n"/>
      <c r="E56" s="16" t="n"/>
      <c r="F56" s="16" t="n"/>
      <c r="G56" s="25">
        <f>IF(B56="","",SUMIFS(Timesheet!$M$6:$M$2005,Timesheet!$P$6:$P$2005,B56))</f>
        <v/>
      </c>
      <c r="H56" s="14">
        <f>IF(B56="","",SUMIFS(Timesheet!$O$6:$O$2005,Timesheet!$P$6:$P$2005,B56))</f>
        <v/>
      </c>
      <c r="I56" s="14">
        <f>IF(B56="","",ROUND(H56*N(Settings!$C$12),2))</f>
        <v/>
      </c>
      <c r="J56" s="26">
        <f>IF(B56="","",H56+I56)</f>
        <v/>
      </c>
      <c r="K56" s="27">
        <f>IF(OR(B56="",D56=""),"",D56+IFERROR(IF(INDEX(Clients!$H$6:$H$45,MATCH(C56,Clients!$B$6:$B$45,0))="",N(Settings!$C$13),INDEX(Clients!$H$6:$H$45,MATCH(C56,Clients!$B$6:$B$45,0))),N(Settings!$C$13)))</f>
        <v/>
      </c>
      <c r="L56" s="16" t="n"/>
      <c r="M56" s="15">
        <f>IF(B56="","",IF(L56&lt;&gt;"","Paid",IF(D56="","Draft",IF(K56&lt;TODAY(),"Overdue "&amp;(TODAY()-K56)&amp;IF(TODAY()-K56=1," day"," days"),"Waiting"))))</f>
        <v/>
      </c>
      <c r="N56" s="1" t="n"/>
      <c r="O56">
        <f>IF(B56="","",ROW()-5)</f>
        <v/>
      </c>
      <c r="P56">
        <f>IF(OR(B56="",L56&lt;&gt;"",D56=""),"",K56+ROW()/10000000)</f>
        <v/>
      </c>
    </row>
    <row r="57">
      <c r="A57" s="1" t="n"/>
      <c r="B57" s="17" t="n"/>
      <c r="C57" s="18" t="n"/>
      <c r="D57" s="16" t="n"/>
      <c r="E57" s="16" t="n"/>
      <c r="F57" s="16" t="n"/>
      <c r="G57" s="25">
        <f>IF(B57="","",SUMIFS(Timesheet!$M$6:$M$2005,Timesheet!$P$6:$P$2005,B57))</f>
        <v/>
      </c>
      <c r="H57" s="14">
        <f>IF(B57="","",SUMIFS(Timesheet!$O$6:$O$2005,Timesheet!$P$6:$P$2005,B57))</f>
        <v/>
      </c>
      <c r="I57" s="14">
        <f>IF(B57="","",ROUND(H57*N(Settings!$C$12),2))</f>
        <v/>
      </c>
      <c r="J57" s="26">
        <f>IF(B57="","",H57+I57)</f>
        <v/>
      </c>
      <c r="K57" s="27">
        <f>IF(OR(B57="",D57=""),"",D57+IFERROR(IF(INDEX(Clients!$H$6:$H$45,MATCH(C57,Clients!$B$6:$B$45,0))="",N(Settings!$C$13),INDEX(Clients!$H$6:$H$45,MATCH(C57,Clients!$B$6:$B$45,0))),N(Settings!$C$13)))</f>
        <v/>
      </c>
      <c r="L57" s="16" t="n"/>
      <c r="M57" s="15">
        <f>IF(B57="","",IF(L57&lt;&gt;"","Paid",IF(D57="","Draft",IF(K57&lt;TODAY(),"Overdue "&amp;(TODAY()-K57)&amp;IF(TODAY()-K57=1," day"," days"),"Waiting"))))</f>
        <v/>
      </c>
      <c r="N57" s="1" t="n"/>
      <c r="O57">
        <f>IF(B57="","",ROW()-5)</f>
        <v/>
      </c>
      <c r="P57">
        <f>IF(OR(B57="",L57&lt;&gt;"",D57=""),"",K57+ROW()/10000000)</f>
        <v/>
      </c>
    </row>
    <row r="58">
      <c r="A58" s="1" t="n"/>
      <c r="B58" s="17" t="n"/>
      <c r="C58" s="18" t="n"/>
      <c r="D58" s="16" t="n"/>
      <c r="E58" s="16" t="n"/>
      <c r="F58" s="16" t="n"/>
      <c r="G58" s="25">
        <f>IF(B58="","",SUMIFS(Timesheet!$M$6:$M$2005,Timesheet!$P$6:$P$2005,B58))</f>
        <v/>
      </c>
      <c r="H58" s="14">
        <f>IF(B58="","",SUMIFS(Timesheet!$O$6:$O$2005,Timesheet!$P$6:$P$2005,B58))</f>
        <v/>
      </c>
      <c r="I58" s="14">
        <f>IF(B58="","",ROUND(H58*N(Settings!$C$12),2))</f>
        <v/>
      </c>
      <c r="J58" s="26">
        <f>IF(B58="","",H58+I58)</f>
        <v/>
      </c>
      <c r="K58" s="27">
        <f>IF(OR(B58="",D58=""),"",D58+IFERROR(IF(INDEX(Clients!$H$6:$H$45,MATCH(C58,Clients!$B$6:$B$45,0))="",N(Settings!$C$13),INDEX(Clients!$H$6:$H$45,MATCH(C58,Clients!$B$6:$B$45,0))),N(Settings!$C$13)))</f>
        <v/>
      </c>
      <c r="L58" s="16" t="n"/>
      <c r="M58" s="15">
        <f>IF(B58="","",IF(L58&lt;&gt;"","Paid",IF(D58="","Draft",IF(K58&lt;TODAY(),"Overdue "&amp;(TODAY()-K58)&amp;IF(TODAY()-K58=1," day"," days"),"Waiting"))))</f>
        <v/>
      </c>
      <c r="N58" s="1" t="n"/>
      <c r="O58">
        <f>IF(B58="","",ROW()-5)</f>
        <v/>
      </c>
      <c r="P58">
        <f>IF(OR(B58="",L58&lt;&gt;"",D58=""),"",K58+ROW()/10000000)</f>
        <v/>
      </c>
    </row>
    <row r="59">
      <c r="A59" s="1" t="n"/>
      <c r="B59" s="17" t="n"/>
      <c r="C59" s="18" t="n"/>
      <c r="D59" s="16" t="n"/>
      <c r="E59" s="16" t="n"/>
      <c r="F59" s="16" t="n"/>
      <c r="G59" s="25">
        <f>IF(B59="","",SUMIFS(Timesheet!$M$6:$M$2005,Timesheet!$P$6:$P$2005,B59))</f>
        <v/>
      </c>
      <c r="H59" s="14">
        <f>IF(B59="","",SUMIFS(Timesheet!$O$6:$O$2005,Timesheet!$P$6:$P$2005,B59))</f>
        <v/>
      </c>
      <c r="I59" s="14">
        <f>IF(B59="","",ROUND(H59*N(Settings!$C$12),2))</f>
        <v/>
      </c>
      <c r="J59" s="26">
        <f>IF(B59="","",H59+I59)</f>
        <v/>
      </c>
      <c r="K59" s="27">
        <f>IF(OR(B59="",D59=""),"",D59+IFERROR(IF(INDEX(Clients!$H$6:$H$45,MATCH(C59,Clients!$B$6:$B$45,0))="",N(Settings!$C$13),INDEX(Clients!$H$6:$H$45,MATCH(C59,Clients!$B$6:$B$45,0))),N(Settings!$C$13)))</f>
        <v/>
      </c>
      <c r="L59" s="16" t="n"/>
      <c r="M59" s="15">
        <f>IF(B59="","",IF(L59&lt;&gt;"","Paid",IF(D59="","Draft",IF(K59&lt;TODAY(),"Overdue "&amp;(TODAY()-K59)&amp;IF(TODAY()-K59=1," day"," days"),"Waiting"))))</f>
        <v/>
      </c>
      <c r="N59" s="1" t="n"/>
      <c r="O59">
        <f>IF(B59="","",ROW()-5)</f>
        <v/>
      </c>
      <c r="P59">
        <f>IF(OR(B59="",L59&lt;&gt;"",D59=""),"",K59+ROW()/10000000)</f>
        <v/>
      </c>
    </row>
    <row r="60">
      <c r="A60" s="1" t="n"/>
      <c r="B60" s="17" t="n"/>
      <c r="C60" s="18" t="n"/>
      <c r="D60" s="16" t="n"/>
      <c r="E60" s="16" t="n"/>
      <c r="F60" s="16" t="n"/>
      <c r="G60" s="25">
        <f>IF(B60="","",SUMIFS(Timesheet!$M$6:$M$2005,Timesheet!$P$6:$P$2005,B60))</f>
        <v/>
      </c>
      <c r="H60" s="14">
        <f>IF(B60="","",SUMIFS(Timesheet!$O$6:$O$2005,Timesheet!$P$6:$P$2005,B60))</f>
        <v/>
      </c>
      <c r="I60" s="14">
        <f>IF(B60="","",ROUND(H60*N(Settings!$C$12),2))</f>
        <v/>
      </c>
      <c r="J60" s="26">
        <f>IF(B60="","",H60+I60)</f>
        <v/>
      </c>
      <c r="K60" s="27">
        <f>IF(OR(B60="",D60=""),"",D60+IFERROR(IF(INDEX(Clients!$H$6:$H$45,MATCH(C60,Clients!$B$6:$B$45,0))="",N(Settings!$C$13),INDEX(Clients!$H$6:$H$45,MATCH(C60,Clients!$B$6:$B$45,0))),N(Settings!$C$13)))</f>
        <v/>
      </c>
      <c r="L60" s="16" t="n"/>
      <c r="M60" s="15">
        <f>IF(B60="","",IF(L60&lt;&gt;"","Paid",IF(D60="","Draft",IF(K60&lt;TODAY(),"Overdue "&amp;(TODAY()-K60)&amp;IF(TODAY()-K60=1," day"," days"),"Waiting"))))</f>
        <v/>
      </c>
      <c r="N60" s="1" t="n"/>
      <c r="O60">
        <f>IF(B60="","",ROW()-5)</f>
        <v/>
      </c>
      <c r="P60">
        <f>IF(OR(B60="",L60&lt;&gt;"",D60=""),"",K60+ROW()/10000000)</f>
        <v/>
      </c>
    </row>
    <row r="61">
      <c r="A61" s="1" t="n"/>
      <c r="B61" s="17" t="n"/>
      <c r="C61" s="18" t="n"/>
      <c r="D61" s="16" t="n"/>
      <c r="E61" s="16" t="n"/>
      <c r="F61" s="16" t="n"/>
      <c r="G61" s="25">
        <f>IF(B61="","",SUMIFS(Timesheet!$M$6:$M$2005,Timesheet!$P$6:$P$2005,B61))</f>
        <v/>
      </c>
      <c r="H61" s="14">
        <f>IF(B61="","",SUMIFS(Timesheet!$O$6:$O$2005,Timesheet!$P$6:$P$2005,B61))</f>
        <v/>
      </c>
      <c r="I61" s="14">
        <f>IF(B61="","",ROUND(H61*N(Settings!$C$12),2))</f>
        <v/>
      </c>
      <c r="J61" s="26">
        <f>IF(B61="","",H61+I61)</f>
        <v/>
      </c>
      <c r="K61" s="27">
        <f>IF(OR(B61="",D61=""),"",D61+IFERROR(IF(INDEX(Clients!$H$6:$H$45,MATCH(C61,Clients!$B$6:$B$45,0))="",N(Settings!$C$13),INDEX(Clients!$H$6:$H$45,MATCH(C61,Clients!$B$6:$B$45,0))),N(Settings!$C$13)))</f>
        <v/>
      </c>
      <c r="L61" s="16" t="n"/>
      <c r="M61" s="15">
        <f>IF(B61="","",IF(L61&lt;&gt;"","Paid",IF(D61="","Draft",IF(K61&lt;TODAY(),"Overdue "&amp;(TODAY()-K61)&amp;IF(TODAY()-K61=1," day"," days"),"Waiting"))))</f>
        <v/>
      </c>
      <c r="N61" s="1" t="n"/>
      <c r="O61">
        <f>IF(B61="","",ROW()-5)</f>
        <v/>
      </c>
      <c r="P61">
        <f>IF(OR(B61="",L61&lt;&gt;"",D61=""),"",K61+ROW()/10000000)</f>
        <v/>
      </c>
    </row>
    <row r="62">
      <c r="A62" s="1" t="n"/>
      <c r="B62" s="17" t="n"/>
      <c r="C62" s="18" t="n"/>
      <c r="D62" s="16" t="n"/>
      <c r="E62" s="16" t="n"/>
      <c r="F62" s="16" t="n"/>
      <c r="G62" s="25">
        <f>IF(B62="","",SUMIFS(Timesheet!$M$6:$M$2005,Timesheet!$P$6:$P$2005,B62))</f>
        <v/>
      </c>
      <c r="H62" s="14">
        <f>IF(B62="","",SUMIFS(Timesheet!$O$6:$O$2005,Timesheet!$P$6:$P$2005,B62))</f>
        <v/>
      </c>
      <c r="I62" s="14">
        <f>IF(B62="","",ROUND(H62*N(Settings!$C$12),2))</f>
        <v/>
      </c>
      <c r="J62" s="26">
        <f>IF(B62="","",H62+I62)</f>
        <v/>
      </c>
      <c r="K62" s="27">
        <f>IF(OR(B62="",D62=""),"",D62+IFERROR(IF(INDEX(Clients!$H$6:$H$45,MATCH(C62,Clients!$B$6:$B$45,0))="",N(Settings!$C$13),INDEX(Clients!$H$6:$H$45,MATCH(C62,Clients!$B$6:$B$45,0))),N(Settings!$C$13)))</f>
        <v/>
      </c>
      <c r="L62" s="16" t="n"/>
      <c r="M62" s="15">
        <f>IF(B62="","",IF(L62&lt;&gt;"","Paid",IF(D62="","Draft",IF(K62&lt;TODAY(),"Overdue "&amp;(TODAY()-K62)&amp;IF(TODAY()-K62=1," day"," days"),"Waiting"))))</f>
        <v/>
      </c>
      <c r="N62" s="1" t="n"/>
      <c r="O62">
        <f>IF(B62="","",ROW()-5)</f>
        <v/>
      </c>
      <c r="P62">
        <f>IF(OR(B62="",L62&lt;&gt;"",D62=""),"",K62+ROW()/10000000)</f>
        <v/>
      </c>
    </row>
    <row r="63">
      <c r="A63" s="1" t="n"/>
      <c r="B63" s="17" t="n"/>
      <c r="C63" s="18" t="n"/>
      <c r="D63" s="16" t="n"/>
      <c r="E63" s="16" t="n"/>
      <c r="F63" s="16" t="n"/>
      <c r="G63" s="25">
        <f>IF(B63="","",SUMIFS(Timesheet!$M$6:$M$2005,Timesheet!$P$6:$P$2005,B63))</f>
        <v/>
      </c>
      <c r="H63" s="14">
        <f>IF(B63="","",SUMIFS(Timesheet!$O$6:$O$2005,Timesheet!$P$6:$P$2005,B63))</f>
        <v/>
      </c>
      <c r="I63" s="14">
        <f>IF(B63="","",ROUND(H63*N(Settings!$C$12),2))</f>
        <v/>
      </c>
      <c r="J63" s="26">
        <f>IF(B63="","",H63+I63)</f>
        <v/>
      </c>
      <c r="K63" s="27">
        <f>IF(OR(B63="",D63=""),"",D63+IFERROR(IF(INDEX(Clients!$H$6:$H$45,MATCH(C63,Clients!$B$6:$B$45,0))="",N(Settings!$C$13),INDEX(Clients!$H$6:$H$45,MATCH(C63,Clients!$B$6:$B$45,0))),N(Settings!$C$13)))</f>
        <v/>
      </c>
      <c r="L63" s="16" t="n"/>
      <c r="M63" s="15">
        <f>IF(B63="","",IF(L63&lt;&gt;"","Paid",IF(D63="","Draft",IF(K63&lt;TODAY(),"Overdue "&amp;(TODAY()-K63)&amp;IF(TODAY()-K63=1," day"," days"),"Waiting"))))</f>
        <v/>
      </c>
      <c r="N63" s="1" t="n"/>
      <c r="O63">
        <f>IF(B63="","",ROW()-5)</f>
        <v/>
      </c>
      <c r="P63">
        <f>IF(OR(B63="",L63&lt;&gt;"",D63=""),"",K63+ROW()/10000000)</f>
        <v/>
      </c>
    </row>
    <row r="64">
      <c r="A64" s="1" t="n"/>
      <c r="B64" s="17" t="n"/>
      <c r="C64" s="18" t="n"/>
      <c r="D64" s="16" t="n"/>
      <c r="E64" s="16" t="n"/>
      <c r="F64" s="16" t="n"/>
      <c r="G64" s="25">
        <f>IF(B64="","",SUMIFS(Timesheet!$M$6:$M$2005,Timesheet!$P$6:$P$2005,B64))</f>
        <v/>
      </c>
      <c r="H64" s="14">
        <f>IF(B64="","",SUMIFS(Timesheet!$O$6:$O$2005,Timesheet!$P$6:$P$2005,B64))</f>
        <v/>
      </c>
      <c r="I64" s="14">
        <f>IF(B64="","",ROUND(H64*N(Settings!$C$12),2))</f>
        <v/>
      </c>
      <c r="J64" s="26">
        <f>IF(B64="","",H64+I64)</f>
        <v/>
      </c>
      <c r="K64" s="27">
        <f>IF(OR(B64="",D64=""),"",D64+IFERROR(IF(INDEX(Clients!$H$6:$H$45,MATCH(C64,Clients!$B$6:$B$45,0))="",N(Settings!$C$13),INDEX(Clients!$H$6:$H$45,MATCH(C64,Clients!$B$6:$B$45,0))),N(Settings!$C$13)))</f>
        <v/>
      </c>
      <c r="L64" s="16" t="n"/>
      <c r="M64" s="15">
        <f>IF(B64="","",IF(L64&lt;&gt;"","Paid",IF(D64="","Draft",IF(K64&lt;TODAY(),"Overdue "&amp;(TODAY()-K64)&amp;IF(TODAY()-K64=1," day"," days"),"Waiting"))))</f>
        <v/>
      </c>
      <c r="N64" s="1" t="n"/>
      <c r="O64">
        <f>IF(B64="","",ROW()-5)</f>
        <v/>
      </c>
      <c r="P64">
        <f>IF(OR(B64="",L64&lt;&gt;"",D64=""),"",K64+ROW()/10000000)</f>
        <v/>
      </c>
    </row>
    <row r="65">
      <c r="A65" s="1" t="n"/>
      <c r="B65" s="17" t="n"/>
      <c r="C65" s="18" t="n"/>
      <c r="D65" s="16" t="n"/>
      <c r="E65" s="16" t="n"/>
      <c r="F65" s="16" t="n"/>
      <c r="G65" s="25">
        <f>IF(B65="","",SUMIFS(Timesheet!$M$6:$M$2005,Timesheet!$P$6:$P$2005,B65))</f>
        <v/>
      </c>
      <c r="H65" s="14">
        <f>IF(B65="","",SUMIFS(Timesheet!$O$6:$O$2005,Timesheet!$P$6:$P$2005,B65))</f>
        <v/>
      </c>
      <c r="I65" s="14">
        <f>IF(B65="","",ROUND(H65*N(Settings!$C$12),2))</f>
        <v/>
      </c>
      <c r="J65" s="26">
        <f>IF(B65="","",H65+I65)</f>
        <v/>
      </c>
      <c r="K65" s="27">
        <f>IF(OR(B65="",D65=""),"",D65+IFERROR(IF(INDEX(Clients!$H$6:$H$45,MATCH(C65,Clients!$B$6:$B$45,0))="",N(Settings!$C$13),INDEX(Clients!$H$6:$H$45,MATCH(C65,Clients!$B$6:$B$45,0))),N(Settings!$C$13)))</f>
        <v/>
      </c>
      <c r="L65" s="16" t="n"/>
      <c r="M65" s="15">
        <f>IF(B65="","",IF(L65&lt;&gt;"","Paid",IF(D65="","Draft",IF(K65&lt;TODAY(),"Overdue "&amp;(TODAY()-K65)&amp;IF(TODAY()-K65=1," day"," days"),"Waiting"))))</f>
        <v/>
      </c>
      <c r="N65" s="1" t="n"/>
      <c r="O65">
        <f>IF(B65="","",ROW()-5)</f>
        <v/>
      </c>
      <c r="P65">
        <f>IF(OR(B65="",L65&lt;&gt;"",D65=""),"",K65+ROW()/10000000)</f>
        <v/>
      </c>
    </row>
    <row r="66">
      <c r="A66" s="1" t="n"/>
      <c r="B66" s="17" t="n"/>
      <c r="C66" s="18" t="n"/>
      <c r="D66" s="16" t="n"/>
      <c r="E66" s="16" t="n"/>
      <c r="F66" s="16" t="n"/>
      <c r="G66" s="25">
        <f>IF(B66="","",SUMIFS(Timesheet!$M$6:$M$2005,Timesheet!$P$6:$P$2005,B66))</f>
        <v/>
      </c>
      <c r="H66" s="14">
        <f>IF(B66="","",SUMIFS(Timesheet!$O$6:$O$2005,Timesheet!$P$6:$P$2005,B66))</f>
        <v/>
      </c>
      <c r="I66" s="14">
        <f>IF(B66="","",ROUND(H66*N(Settings!$C$12),2))</f>
        <v/>
      </c>
      <c r="J66" s="26">
        <f>IF(B66="","",H66+I66)</f>
        <v/>
      </c>
      <c r="K66" s="27">
        <f>IF(OR(B66="",D66=""),"",D66+IFERROR(IF(INDEX(Clients!$H$6:$H$45,MATCH(C66,Clients!$B$6:$B$45,0))="",N(Settings!$C$13),INDEX(Clients!$H$6:$H$45,MATCH(C66,Clients!$B$6:$B$45,0))),N(Settings!$C$13)))</f>
        <v/>
      </c>
      <c r="L66" s="16" t="n"/>
      <c r="M66" s="15">
        <f>IF(B66="","",IF(L66&lt;&gt;"","Paid",IF(D66="","Draft",IF(K66&lt;TODAY(),"Overdue "&amp;(TODAY()-K66)&amp;IF(TODAY()-K66=1," day"," days"),"Waiting"))))</f>
        <v/>
      </c>
      <c r="N66" s="1" t="n"/>
      <c r="O66">
        <f>IF(B66="","",ROW()-5)</f>
        <v/>
      </c>
      <c r="P66">
        <f>IF(OR(B66="",L66&lt;&gt;"",D66=""),"",K66+ROW()/10000000)</f>
        <v/>
      </c>
    </row>
    <row r="67">
      <c r="A67" s="1" t="n"/>
      <c r="B67" s="17" t="n"/>
      <c r="C67" s="18" t="n"/>
      <c r="D67" s="16" t="n"/>
      <c r="E67" s="16" t="n"/>
      <c r="F67" s="16" t="n"/>
      <c r="G67" s="25">
        <f>IF(B67="","",SUMIFS(Timesheet!$M$6:$M$2005,Timesheet!$P$6:$P$2005,B67))</f>
        <v/>
      </c>
      <c r="H67" s="14">
        <f>IF(B67="","",SUMIFS(Timesheet!$O$6:$O$2005,Timesheet!$P$6:$P$2005,B67))</f>
        <v/>
      </c>
      <c r="I67" s="14">
        <f>IF(B67="","",ROUND(H67*N(Settings!$C$12),2))</f>
        <v/>
      </c>
      <c r="J67" s="26">
        <f>IF(B67="","",H67+I67)</f>
        <v/>
      </c>
      <c r="K67" s="27">
        <f>IF(OR(B67="",D67=""),"",D67+IFERROR(IF(INDEX(Clients!$H$6:$H$45,MATCH(C67,Clients!$B$6:$B$45,0))="",N(Settings!$C$13),INDEX(Clients!$H$6:$H$45,MATCH(C67,Clients!$B$6:$B$45,0))),N(Settings!$C$13)))</f>
        <v/>
      </c>
      <c r="L67" s="16" t="n"/>
      <c r="M67" s="15">
        <f>IF(B67="","",IF(L67&lt;&gt;"","Paid",IF(D67="","Draft",IF(K67&lt;TODAY(),"Overdue "&amp;(TODAY()-K67)&amp;IF(TODAY()-K67=1," day"," days"),"Waiting"))))</f>
        <v/>
      </c>
      <c r="N67" s="1" t="n"/>
      <c r="O67">
        <f>IF(B67="","",ROW()-5)</f>
        <v/>
      </c>
      <c r="P67">
        <f>IF(OR(B67="",L67&lt;&gt;"",D67=""),"",K67+ROW()/10000000)</f>
        <v/>
      </c>
    </row>
    <row r="68">
      <c r="A68" s="1" t="n"/>
      <c r="B68" s="17" t="n"/>
      <c r="C68" s="18" t="n"/>
      <c r="D68" s="16" t="n"/>
      <c r="E68" s="16" t="n"/>
      <c r="F68" s="16" t="n"/>
      <c r="G68" s="25">
        <f>IF(B68="","",SUMIFS(Timesheet!$M$6:$M$2005,Timesheet!$P$6:$P$2005,B68))</f>
        <v/>
      </c>
      <c r="H68" s="14">
        <f>IF(B68="","",SUMIFS(Timesheet!$O$6:$O$2005,Timesheet!$P$6:$P$2005,B68))</f>
        <v/>
      </c>
      <c r="I68" s="14">
        <f>IF(B68="","",ROUND(H68*N(Settings!$C$12),2))</f>
        <v/>
      </c>
      <c r="J68" s="26">
        <f>IF(B68="","",H68+I68)</f>
        <v/>
      </c>
      <c r="K68" s="27">
        <f>IF(OR(B68="",D68=""),"",D68+IFERROR(IF(INDEX(Clients!$H$6:$H$45,MATCH(C68,Clients!$B$6:$B$45,0))="",N(Settings!$C$13),INDEX(Clients!$H$6:$H$45,MATCH(C68,Clients!$B$6:$B$45,0))),N(Settings!$C$13)))</f>
        <v/>
      </c>
      <c r="L68" s="16" t="n"/>
      <c r="M68" s="15">
        <f>IF(B68="","",IF(L68&lt;&gt;"","Paid",IF(D68="","Draft",IF(K68&lt;TODAY(),"Overdue "&amp;(TODAY()-K68)&amp;IF(TODAY()-K68=1," day"," days"),"Waiting"))))</f>
        <v/>
      </c>
      <c r="N68" s="1" t="n"/>
      <c r="O68">
        <f>IF(B68="","",ROW()-5)</f>
        <v/>
      </c>
      <c r="P68">
        <f>IF(OR(B68="",L68&lt;&gt;"",D68=""),"",K68+ROW()/10000000)</f>
        <v/>
      </c>
    </row>
    <row r="69">
      <c r="A69" s="1" t="n"/>
      <c r="B69" s="17" t="n"/>
      <c r="C69" s="18" t="n"/>
      <c r="D69" s="16" t="n"/>
      <c r="E69" s="16" t="n"/>
      <c r="F69" s="16" t="n"/>
      <c r="G69" s="25">
        <f>IF(B69="","",SUMIFS(Timesheet!$M$6:$M$2005,Timesheet!$P$6:$P$2005,B69))</f>
        <v/>
      </c>
      <c r="H69" s="14">
        <f>IF(B69="","",SUMIFS(Timesheet!$O$6:$O$2005,Timesheet!$P$6:$P$2005,B69))</f>
        <v/>
      </c>
      <c r="I69" s="14">
        <f>IF(B69="","",ROUND(H69*N(Settings!$C$12),2))</f>
        <v/>
      </c>
      <c r="J69" s="26">
        <f>IF(B69="","",H69+I69)</f>
        <v/>
      </c>
      <c r="K69" s="27">
        <f>IF(OR(B69="",D69=""),"",D69+IFERROR(IF(INDEX(Clients!$H$6:$H$45,MATCH(C69,Clients!$B$6:$B$45,0))="",N(Settings!$C$13),INDEX(Clients!$H$6:$H$45,MATCH(C69,Clients!$B$6:$B$45,0))),N(Settings!$C$13)))</f>
        <v/>
      </c>
      <c r="L69" s="16" t="n"/>
      <c r="M69" s="15">
        <f>IF(B69="","",IF(L69&lt;&gt;"","Paid",IF(D69="","Draft",IF(K69&lt;TODAY(),"Overdue "&amp;(TODAY()-K69)&amp;IF(TODAY()-K69=1," day"," days"),"Waiting"))))</f>
        <v/>
      </c>
      <c r="N69" s="1" t="n"/>
      <c r="O69">
        <f>IF(B69="","",ROW()-5)</f>
        <v/>
      </c>
      <c r="P69">
        <f>IF(OR(B69="",L69&lt;&gt;"",D69=""),"",K69+ROW()/10000000)</f>
        <v/>
      </c>
    </row>
    <row r="70">
      <c r="A70" s="1" t="n"/>
      <c r="B70" s="17" t="n"/>
      <c r="C70" s="18" t="n"/>
      <c r="D70" s="16" t="n"/>
      <c r="E70" s="16" t="n"/>
      <c r="F70" s="16" t="n"/>
      <c r="G70" s="25">
        <f>IF(B70="","",SUMIFS(Timesheet!$M$6:$M$2005,Timesheet!$P$6:$P$2005,B70))</f>
        <v/>
      </c>
      <c r="H70" s="14">
        <f>IF(B70="","",SUMIFS(Timesheet!$O$6:$O$2005,Timesheet!$P$6:$P$2005,B70))</f>
        <v/>
      </c>
      <c r="I70" s="14">
        <f>IF(B70="","",ROUND(H70*N(Settings!$C$12),2))</f>
        <v/>
      </c>
      <c r="J70" s="26">
        <f>IF(B70="","",H70+I70)</f>
        <v/>
      </c>
      <c r="K70" s="27">
        <f>IF(OR(B70="",D70=""),"",D70+IFERROR(IF(INDEX(Clients!$H$6:$H$45,MATCH(C70,Clients!$B$6:$B$45,0))="",N(Settings!$C$13),INDEX(Clients!$H$6:$H$45,MATCH(C70,Clients!$B$6:$B$45,0))),N(Settings!$C$13)))</f>
        <v/>
      </c>
      <c r="L70" s="16" t="n"/>
      <c r="M70" s="15">
        <f>IF(B70="","",IF(L70&lt;&gt;"","Paid",IF(D70="","Draft",IF(K70&lt;TODAY(),"Overdue "&amp;(TODAY()-K70)&amp;IF(TODAY()-K70=1," day"," days"),"Waiting"))))</f>
        <v/>
      </c>
      <c r="N70" s="1" t="n"/>
      <c r="O70">
        <f>IF(B70="","",ROW()-5)</f>
        <v/>
      </c>
      <c r="P70">
        <f>IF(OR(B70="",L70&lt;&gt;"",D70=""),"",K70+ROW()/10000000)</f>
        <v/>
      </c>
    </row>
    <row r="71">
      <c r="A71" s="1" t="n"/>
      <c r="B71" s="17" t="n"/>
      <c r="C71" s="18" t="n"/>
      <c r="D71" s="16" t="n"/>
      <c r="E71" s="16" t="n"/>
      <c r="F71" s="16" t="n"/>
      <c r="G71" s="25">
        <f>IF(B71="","",SUMIFS(Timesheet!$M$6:$M$2005,Timesheet!$P$6:$P$2005,B71))</f>
        <v/>
      </c>
      <c r="H71" s="14">
        <f>IF(B71="","",SUMIFS(Timesheet!$O$6:$O$2005,Timesheet!$P$6:$P$2005,B71))</f>
        <v/>
      </c>
      <c r="I71" s="14">
        <f>IF(B71="","",ROUND(H71*N(Settings!$C$12),2))</f>
        <v/>
      </c>
      <c r="J71" s="26">
        <f>IF(B71="","",H71+I71)</f>
        <v/>
      </c>
      <c r="K71" s="27">
        <f>IF(OR(B71="",D71=""),"",D71+IFERROR(IF(INDEX(Clients!$H$6:$H$45,MATCH(C71,Clients!$B$6:$B$45,0))="",N(Settings!$C$13),INDEX(Clients!$H$6:$H$45,MATCH(C71,Clients!$B$6:$B$45,0))),N(Settings!$C$13)))</f>
        <v/>
      </c>
      <c r="L71" s="16" t="n"/>
      <c r="M71" s="15">
        <f>IF(B71="","",IF(L71&lt;&gt;"","Paid",IF(D71="","Draft",IF(K71&lt;TODAY(),"Overdue "&amp;(TODAY()-K71)&amp;IF(TODAY()-K71=1," day"," days"),"Waiting"))))</f>
        <v/>
      </c>
      <c r="N71" s="1" t="n"/>
      <c r="O71">
        <f>IF(B71="","",ROW()-5)</f>
        <v/>
      </c>
      <c r="P71">
        <f>IF(OR(B71="",L71&lt;&gt;"",D71=""),"",K71+ROW()/10000000)</f>
        <v/>
      </c>
    </row>
    <row r="72">
      <c r="A72" s="1" t="n"/>
      <c r="B72" s="17" t="n"/>
      <c r="C72" s="18" t="n"/>
      <c r="D72" s="16" t="n"/>
      <c r="E72" s="16" t="n"/>
      <c r="F72" s="16" t="n"/>
      <c r="G72" s="25">
        <f>IF(B72="","",SUMIFS(Timesheet!$M$6:$M$2005,Timesheet!$P$6:$P$2005,B72))</f>
        <v/>
      </c>
      <c r="H72" s="14">
        <f>IF(B72="","",SUMIFS(Timesheet!$O$6:$O$2005,Timesheet!$P$6:$P$2005,B72))</f>
        <v/>
      </c>
      <c r="I72" s="14">
        <f>IF(B72="","",ROUND(H72*N(Settings!$C$12),2))</f>
        <v/>
      </c>
      <c r="J72" s="26">
        <f>IF(B72="","",H72+I72)</f>
        <v/>
      </c>
      <c r="K72" s="27">
        <f>IF(OR(B72="",D72=""),"",D72+IFERROR(IF(INDEX(Clients!$H$6:$H$45,MATCH(C72,Clients!$B$6:$B$45,0))="",N(Settings!$C$13),INDEX(Clients!$H$6:$H$45,MATCH(C72,Clients!$B$6:$B$45,0))),N(Settings!$C$13)))</f>
        <v/>
      </c>
      <c r="L72" s="16" t="n"/>
      <c r="M72" s="15">
        <f>IF(B72="","",IF(L72&lt;&gt;"","Paid",IF(D72="","Draft",IF(K72&lt;TODAY(),"Overdue "&amp;(TODAY()-K72)&amp;IF(TODAY()-K72=1," day"," days"),"Waiting"))))</f>
        <v/>
      </c>
      <c r="N72" s="1" t="n"/>
      <c r="O72">
        <f>IF(B72="","",ROW()-5)</f>
        <v/>
      </c>
      <c r="P72">
        <f>IF(OR(B72="",L72&lt;&gt;"",D72=""),"",K72+ROW()/10000000)</f>
        <v/>
      </c>
    </row>
    <row r="73">
      <c r="A73" s="1" t="n"/>
      <c r="B73" s="17" t="n"/>
      <c r="C73" s="18" t="n"/>
      <c r="D73" s="16" t="n"/>
      <c r="E73" s="16" t="n"/>
      <c r="F73" s="16" t="n"/>
      <c r="G73" s="25">
        <f>IF(B73="","",SUMIFS(Timesheet!$M$6:$M$2005,Timesheet!$P$6:$P$2005,B73))</f>
        <v/>
      </c>
      <c r="H73" s="14">
        <f>IF(B73="","",SUMIFS(Timesheet!$O$6:$O$2005,Timesheet!$P$6:$P$2005,B73))</f>
        <v/>
      </c>
      <c r="I73" s="14">
        <f>IF(B73="","",ROUND(H73*N(Settings!$C$12),2))</f>
        <v/>
      </c>
      <c r="J73" s="26">
        <f>IF(B73="","",H73+I73)</f>
        <v/>
      </c>
      <c r="K73" s="27">
        <f>IF(OR(B73="",D73=""),"",D73+IFERROR(IF(INDEX(Clients!$H$6:$H$45,MATCH(C73,Clients!$B$6:$B$45,0))="",N(Settings!$C$13),INDEX(Clients!$H$6:$H$45,MATCH(C73,Clients!$B$6:$B$45,0))),N(Settings!$C$13)))</f>
        <v/>
      </c>
      <c r="L73" s="16" t="n"/>
      <c r="M73" s="15">
        <f>IF(B73="","",IF(L73&lt;&gt;"","Paid",IF(D73="","Draft",IF(K73&lt;TODAY(),"Overdue "&amp;(TODAY()-K73)&amp;IF(TODAY()-K73=1," day"," days"),"Waiting"))))</f>
        <v/>
      </c>
      <c r="N73" s="1" t="n"/>
      <c r="O73">
        <f>IF(B73="","",ROW()-5)</f>
        <v/>
      </c>
      <c r="P73">
        <f>IF(OR(B73="",L73&lt;&gt;"",D73=""),"",K73+ROW()/10000000)</f>
        <v/>
      </c>
    </row>
    <row r="74">
      <c r="A74" s="1" t="n"/>
      <c r="B74" s="17" t="n"/>
      <c r="C74" s="18" t="n"/>
      <c r="D74" s="16" t="n"/>
      <c r="E74" s="16" t="n"/>
      <c r="F74" s="16" t="n"/>
      <c r="G74" s="25">
        <f>IF(B74="","",SUMIFS(Timesheet!$M$6:$M$2005,Timesheet!$P$6:$P$2005,B74))</f>
        <v/>
      </c>
      <c r="H74" s="14">
        <f>IF(B74="","",SUMIFS(Timesheet!$O$6:$O$2005,Timesheet!$P$6:$P$2005,B74))</f>
        <v/>
      </c>
      <c r="I74" s="14">
        <f>IF(B74="","",ROUND(H74*N(Settings!$C$12),2))</f>
        <v/>
      </c>
      <c r="J74" s="26">
        <f>IF(B74="","",H74+I74)</f>
        <v/>
      </c>
      <c r="K74" s="27">
        <f>IF(OR(B74="",D74=""),"",D74+IFERROR(IF(INDEX(Clients!$H$6:$H$45,MATCH(C74,Clients!$B$6:$B$45,0))="",N(Settings!$C$13),INDEX(Clients!$H$6:$H$45,MATCH(C74,Clients!$B$6:$B$45,0))),N(Settings!$C$13)))</f>
        <v/>
      </c>
      <c r="L74" s="16" t="n"/>
      <c r="M74" s="15">
        <f>IF(B74="","",IF(L74&lt;&gt;"","Paid",IF(D74="","Draft",IF(K74&lt;TODAY(),"Overdue "&amp;(TODAY()-K74)&amp;IF(TODAY()-K74=1," day"," days"),"Waiting"))))</f>
        <v/>
      </c>
      <c r="N74" s="1" t="n"/>
      <c r="O74">
        <f>IF(B74="","",ROW()-5)</f>
        <v/>
      </c>
      <c r="P74">
        <f>IF(OR(B74="",L74&lt;&gt;"",D74=""),"",K74+ROW()/10000000)</f>
        <v/>
      </c>
    </row>
    <row r="75">
      <c r="A75" s="1" t="n"/>
      <c r="B75" s="17" t="n"/>
      <c r="C75" s="18" t="n"/>
      <c r="D75" s="16" t="n"/>
      <c r="E75" s="16" t="n"/>
      <c r="F75" s="16" t="n"/>
      <c r="G75" s="25">
        <f>IF(B75="","",SUMIFS(Timesheet!$M$6:$M$2005,Timesheet!$P$6:$P$2005,B75))</f>
        <v/>
      </c>
      <c r="H75" s="14">
        <f>IF(B75="","",SUMIFS(Timesheet!$O$6:$O$2005,Timesheet!$P$6:$P$2005,B75))</f>
        <v/>
      </c>
      <c r="I75" s="14">
        <f>IF(B75="","",ROUND(H75*N(Settings!$C$12),2))</f>
        <v/>
      </c>
      <c r="J75" s="26">
        <f>IF(B75="","",H75+I75)</f>
        <v/>
      </c>
      <c r="K75" s="27">
        <f>IF(OR(B75="",D75=""),"",D75+IFERROR(IF(INDEX(Clients!$H$6:$H$45,MATCH(C75,Clients!$B$6:$B$45,0))="",N(Settings!$C$13),INDEX(Clients!$H$6:$H$45,MATCH(C75,Clients!$B$6:$B$45,0))),N(Settings!$C$13)))</f>
        <v/>
      </c>
      <c r="L75" s="16" t="n"/>
      <c r="M75" s="15">
        <f>IF(B75="","",IF(L75&lt;&gt;"","Paid",IF(D75="","Draft",IF(K75&lt;TODAY(),"Overdue "&amp;(TODAY()-K75)&amp;IF(TODAY()-K75=1," day"," days"),"Waiting"))))</f>
        <v/>
      </c>
      <c r="N75" s="1" t="n"/>
      <c r="O75">
        <f>IF(B75="","",ROW()-5)</f>
        <v/>
      </c>
      <c r="P75">
        <f>IF(OR(B75="",L75&lt;&gt;"",D75=""),"",K75+ROW()/10000000)</f>
        <v/>
      </c>
    </row>
    <row r="76">
      <c r="A76" s="1" t="n"/>
      <c r="B76" s="17" t="n"/>
      <c r="C76" s="18" t="n"/>
      <c r="D76" s="16" t="n"/>
      <c r="E76" s="16" t="n"/>
      <c r="F76" s="16" t="n"/>
      <c r="G76" s="25">
        <f>IF(B76="","",SUMIFS(Timesheet!$M$6:$M$2005,Timesheet!$P$6:$P$2005,B76))</f>
        <v/>
      </c>
      <c r="H76" s="14">
        <f>IF(B76="","",SUMIFS(Timesheet!$O$6:$O$2005,Timesheet!$P$6:$P$2005,B76))</f>
        <v/>
      </c>
      <c r="I76" s="14">
        <f>IF(B76="","",ROUND(H76*N(Settings!$C$12),2))</f>
        <v/>
      </c>
      <c r="J76" s="26">
        <f>IF(B76="","",H76+I76)</f>
        <v/>
      </c>
      <c r="K76" s="27">
        <f>IF(OR(B76="",D76=""),"",D76+IFERROR(IF(INDEX(Clients!$H$6:$H$45,MATCH(C76,Clients!$B$6:$B$45,0))="",N(Settings!$C$13),INDEX(Clients!$H$6:$H$45,MATCH(C76,Clients!$B$6:$B$45,0))),N(Settings!$C$13)))</f>
        <v/>
      </c>
      <c r="L76" s="16" t="n"/>
      <c r="M76" s="15">
        <f>IF(B76="","",IF(L76&lt;&gt;"","Paid",IF(D76="","Draft",IF(K76&lt;TODAY(),"Overdue "&amp;(TODAY()-K76)&amp;IF(TODAY()-K76=1," day"," days"),"Waiting"))))</f>
        <v/>
      </c>
      <c r="N76" s="1" t="n"/>
      <c r="O76">
        <f>IF(B76="","",ROW()-5)</f>
        <v/>
      </c>
      <c r="P76">
        <f>IF(OR(B76="",L76&lt;&gt;"",D76=""),"",K76+ROW()/10000000)</f>
        <v/>
      </c>
    </row>
    <row r="77">
      <c r="A77" s="1" t="n"/>
      <c r="B77" s="17" t="n"/>
      <c r="C77" s="18" t="n"/>
      <c r="D77" s="16" t="n"/>
      <c r="E77" s="16" t="n"/>
      <c r="F77" s="16" t="n"/>
      <c r="G77" s="25">
        <f>IF(B77="","",SUMIFS(Timesheet!$M$6:$M$2005,Timesheet!$P$6:$P$2005,B77))</f>
        <v/>
      </c>
      <c r="H77" s="14">
        <f>IF(B77="","",SUMIFS(Timesheet!$O$6:$O$2005,Timesheet!$P$6:$P$2005,B77))</f>
        <v/>
      </c>
      <c r="I77" s="14">
        <f>IF(B77="","",ROUND(H77*N(Settings!$C$12),2))</f>
        <v/>
      </c>
      <c r="J77" s="26">
        <f>IF(B77="","",H77+I77)</f>
        <v/>
      </c>
      <c r="K77" s="27">
        <f>IF(OR(B77="",D77=""),"",D77+IFERROR(IF(INDEX(Clients!$H$6:$H$45,MATCH(C77,Clients!$B$6:$B$45,0))="",N(Settings!$C$13),INDEX(Clients!$H$6:$H$45,MATCH(C77,Clients!$B$6:$B$45,0))),N(Settings!$C$13)))</f>
        <v/>
      </c>
      <c r="L77" s="16" t="n"/>
      <c r="M77" s="15">
        <f>IF(B77="","",IF(L77&lt;&gt;"","Paid",IF(D77="","Draft",IF(K77&lt;TODAY(),"Overdue "&amp;(TODAY()-K77)&amp;IF(TODAY()-K77=1," day"," days"),"Waiting"))))</f>
        <v/>
      </c>
      <c r="N77" s="1" t="n"/>
      <c r="O77">
        <f>IF(B77="","",ROW()-5)</f>
        <v/>
      </c>
      <c r="P77">
        <f>IF(OR(B77="",L77&lt;&gt;"",D77=""),"",K77+ROW()/10000000)</f>
        <v/>
      </c>
    </row>
    <row r="78">
      <c r="A78" s="1" t="n"/>
      <c r="B78" s="17" t="n"/>
      <c r="C78" s="18" t="n"/>
      <c r="D78" s="16" t="n"/>
      <c r="E78" s="16" t="n"/>
      <c r="F78" s="16" t="n"/>
      <c r="G78" s="25">
        <f>IF(B78="","",SUMIFS(Timesheet!$M$6:$M$2005,Timesheet!$P$6:$P$2005,B78))</f>
        <v/>
      </c>
      <c r="H78" s="14">
        <f>IF(B78="","",SUMIFS(Timesheet!$O$6:$O$2005,Timesheet!$P$6:$P$2005,B78))</f>
        <v/>
      </c>
      <c r="I78" s="14">
        <f>IF(B78="","",ROUND(H78*N(Settings!$C$12),2))</f>
        <v/>
      </c>
      <c r="J78" s="26">
        <f>IF(B78="","",H78+I78)</f>
        <v/>
      </c>
      <c r="K78" s="27">
        <f>IF(OR(B78="",D78=""),"",D78+IFERROR(IF(INDEX(Clients!$H$6:$H$45,MATCH(C78,Clients!$B$6:$B$45,0))="",N(Settings!$C$13),INDEX(Clients!$H$6:$H$45,MATCH(C78,Clients!$B$6:$B$45,0))),N(Settings!$C$13)))</f>
        <v/>
      </c>
      <c r="L78" s="16" t="n"/>
      <c r="M78" s="15">
        <f>IF(B78="","",IF(L78&lt;&gt;"","Paid",IF(D78="","Draft",IF(K78&lt;TODAY(),"Overdue "&amp;(TODAY()-K78)&amp;IF(TODAY()-K78=1," day"," days"),"Waiting"))))</f>
        <v/>
      </c>
      <c r="N78" s="1" t="n"/>
      <c r="O78">
        <f>IF(B78="","",ROW()-5)</f>
        <v/>
      </c>
      <c r="P78">
        <f>IF(OR(B78="",L78&lt;&gt;"",D78=""),"",K78+ROW()/10000000)</f>
        <v/>
      </c>
    </row>
    <row r="79">
      <c r="A79" s="1" t="n"/>
      <c r="B79" s="17" t="n"/>
      <c r="C79" s="18" t="n"/>
      <c r="D79" s="16" t="n"/>
      <c r="E79" s="16" t="n"/>
      <c r="F79" s="16" t="n"/>
      <c r="G79" s="25">
        <f>IF(B79="","",SUMIFS(Timesheet!$M$6:$M$2005,Timesheet!$P$6:$P$2005,B79))</f>
        <v/>
      </c>
      <c r="H79" s="14">
        <f>IF(B79="","",SUMIFS(Timesheet!$O$6:$O$2005,Timesheet!$P$6:$P$2005,B79))</f>
        <v/>
      </c>
      <c r="I79" s="14">
        <f>IF(B79="","",ROUND(H79*N(Settings!$C$12),2))</f>
        <v/>
      </c>
      <c r="J79" s="26">
        <f>IF(B79="","",H79+I79)</f>
        <v/>
      </c>
      <c r="K79" s="27">
        <f>IF(OR(B79="",D79=""),"",D79+IFERROR(IF(INDEX(Clients!$H$6:$H$45,MATCH(C79,Clients!$B$6:$B$45,0))="",N(Settings!$C$13),INDEX(Clients!$H$6:$H$45,MATCH(C79,Clients!$B$6:$B$45,0))),N(Settings!$C$13)))</f>
        <v/>
      </c>
      <c r="L79" s="16" t="n"/>
      <c r="M79" s="15">
        <f>IF(B79="","",IF(L79&lt;&gt;"","Paid",IF(D79="","Draft",IF(K79&lt;TODAY(),"Overdue "&amp;(TODAY()-K79)&amp;IF(TODAY()-K79=1," day"," days"),"Waiting"))))</f>
        <v/>
      </c>
      <c r="N79" s="1" t="n"/>
      <c r="O79">
        <f>IF(B79="","",ROW()-5)</f>
        <v/>
      </c>
      <c r="P79">
        <f>IF(OR(B79="",L79&lt;&gt;"",D79=""),"",K79+ROW()/10000000)</f>
        <v/>
      </c>
    </row>
    <row r="80">
      <c r="A80" s="1" t="n"/>
      <c r="B80" s="17" t="n"/>
      <c r="C80" s="18" t="n"/>
      <c r="D80" s="16" t="n"/>
      <c r="E80" s="16" t="n"/>
      <c r="F80" s="16" t="n"/>
      <c r="G80" s="25">
        <f>IF(B80="","",SUMIFS(Timesheet!$M$6:$M$2005,Timesheet!$P$6:$P$2005,B80))</f>
        <v/>
      </c>
      <c r="H80" s="14">
        <f>IF(B80="","",SUMIFS(Timesheet!$O$6:$O$2005,Timesheet!$P$6:$P$2005,B80))</f>
        <v/>
      </c>
      <c r="I80" s="14">
        <f>IF(B80="","",ROUND(H80*N(Settings!$C$12),2))</f>
        <v/>
      </c>
      <c r="J80" s="26">
        <f>IF(B80="","",H80+I80)</f>
        <v/>
      </c>
      <c r="K80" s="27">
        <f>IF(OR(B80="",D80=""),"",D80+IFERROR(IF(INDEX(Clients!$H$6:$H$45,MATCH(C80,Clients!$B$6:$B$45,0))="",N(Settings!$C$13),INDEX(Clients!$H$6:$H$45,MATCH(C80,Clients!$B$6:$B$45,0))),N(Settings!$C$13)))</f>
        <v/>
      </c>
      <c r="L80" s="16" t="n"/>
      <c r="M80" s="15">
        <f>IF(B80="","",IF(L80&lt;&gt;"","Paid",IF(D80="","Draft",IF(K80&lt;TODAY(),"Overdue "&amp;(TODAY()-K80)&amp;IF(TODAY()-K80=1," day"," days"),"Waiting"))))</f>
        <v/>
      </c>
      <c r="N80" s="1" t="n"/>
      <c r="O80">
        <f>IF(B80="","",ROW()-5)</f>
        <v/>
      </c>
      <c r="P80">
        <f>IF(OR(B80="",L80&lt;&gt;"",D80=""),"",K80+ROW()/10000000)</f>
        <v/>
      </c>
    </row>
    <row r="81">
      <c r="A81" s="1" t="n"/>
      <c r="B81" s="17" t="n"/>
      <c r="C81" s="18" t="n"/>
      <c r="D81" s="16" t="n"/>
      <c r="E81" s="16" t="n"/>
      <c r="F81" s="16" t="n"/>
      <c r="G81" s="25">
        <f>IF(B81="","",SUMIFS(Timesheet!$M$6:$M$2005,Timesheet!$P$6:$P$2005,B81))</f>
        <v/>
      </c>
      <c r="H81" s="14">
        <f>IF(B81="","",SUMIFS(Timesheet!$O$6:$O$2005,Timesheet!$P$6:$P$2005,B81))</f>
        <v/>
      </c>
      <c r="I81" s="14">
        <f>IF(B81="","",ROUND(H81*N(Settings!$C$12),2))</f>
        <v/>
      </c>
      <c r="J81" s="26">
        <f>IF(B81="","",H81+I81)</f>
        <v/>
      </c>
      <c r="K81" s="27">
        <f>IF(OR(B81="",D81=""),"",D81+IFERROR(IF(INDEX(Clients!$H$6:$H$45,MATCH(C81,Clients!$B$6:$B$45,0))="",N(Settings!$C$13),INDEX(Clients!$H$6:$H$45,MATCH(C81,Clients!$B$6:$B$45,0))),N(Settings!$C$13)))</f>
        <v/>
      </c>
      <c r="L81" s="16" t="n"/>
      <c r="M81" s="15">
        <f>IF(B81="","",IF(L81&lt;&gt;"","Paid",IF(D81="","Draft",IF(K81&lt;TODAY(),"Overdue "&amp;(TODAY()-K81)&amp;IF(TODAY()-K81=1," day"," days"),"Waiting"))))</f>
        <v/>
      </c>
      <c r="N81" s="1" t="n"/>
      <c r="O81">
        <f>IF(B81="","",ROW()-5)</f>
        <v/>
      </c>
      <c r="P81">
        <f>IF(OR(B81="",L81&lt;&gt;"",D81=""),"",K81+ROW()/10000000)</f>
        <v/>
      </c>
    </row>
    <row r="82">
      <c r="A82" s="1" t="n"/>
      <c r="B82" s="17" t="n"/>
      <c r="C82" s="18" t="n"/>
      <c r="D82" s="16" t="n"/>
      <c r="E82" s="16" t="n"/>
      <c r="F82" s="16" t="n"/>
      <c r="G82" s="25">
        <f>IF(B82="","",SUMIFS(Timesheet!$M$6:$M$2005,Timesheet!$P$6:$P$2005,B82))</f>
        <v/>
      </c>
      <c r="H82" s="14">
        <f>IF(B82="","",SUMIFS(Timesheet!$O$6:$O$2005,Timesheet!$P$6:$P$2005,B82))</f>
        <v/>
      </c>
      <c r="I82" s="14">
        <f>IF(B82="","",ROUND(H82*N(Settings!$C$12),2))</f>
        <v/>
      </c>
      <c r="J82" s="26">
        <f>IF(B82="","",H82+I82)</f>
        <v/>
      </c>
      <c r="K82" s="27">
        <f>IF(OR(B82="",D82=""),"",D82+IFERROR(IF(INDEX(Clients!$H$6:$H$45,MATCH(C82,Clients!$B$6:$B$45,0))="",N(Settings!$C$13),INDEX(Clients!$H$6:$H$45,MATCH(C82,Clients!$B$6:$B$45,0))),N(Settings!$C$13)))</f>
        <v/>
      </c>
      <c r="L82" s="16" t="n"/>
      <c r="M82" s="15">
        <f>IF(B82="","",IF(L82&lt;&gt;"","Paid",IF(D82="","Draft",IF(K82&lt;TODAY(),"Overdue "&amp;(TODAY()-K82)&amp;IF(TODAY()-K82=1," day"," days"),"Waiting"))))</f>
        <v/>
      </c>
      <c r="N82" s="1" t="n"/>
      <c r="O82">
        <f>IF(B82="","",ROW()-5)</f>
        <v/>
      </c>
      <c r="P82">
        <f>IF(OR(B82="",L82&lt;&gt;"",D82=""),"",K82+ROW()/10000000)</f>
        <v/>
      </c>
    </row>
    <row r="83">
      <c r="A83" s="1" t="n"/>
      <c r="B83" s="17" t="n"/>
      <c r="C83" s="18" t="n"/>
      <c r="D83" s="16" t="n"/>
      <c r="E83" s="16" t="n"/>
      <c r="F83" s="16" t="n"/>
      <c r="G83" s="25">
        <f>IF(B83="","",SUMIFS(Timesheet!$M$6:$M$2005,Timesheet!$P$6:$P$2005,B83))</f>
        <v/>
      </c>
      <c r="H83" s="14">
        <f>IF(B83="","",SUMIFS(Timesheet!$O$6:$O$2005,Timesheet!$P$6:$P$2005,B83))</f>
        <v/>
      </c>
      <c r="I83" s="14">
        <f>IF(B83="","",ROUND(H83*N(Settings!$C$12),2))</f>
        <v/>
      </c>
      <c r="J83" s="26">
        <f>IF(B83="","",H83+I83)</f>
        <v/>
      </c>
      <c r="K83" s="27">
        <f>IF(OR(B83="",D83=""),"",D83+IFERROR(IF(INDEX(Clients!$H$6:$H$45,MATCH(C83,Clients!$B$6:$B$45,0))="",N(Settings!$C$13),INDEX(Clients!$H$6:$H$45,MATCH(C83,Clients!$B$6:$B$45,0))),N(Settings!$C$13)))</f>
        <v/>
      </c>
      <c r="L83" s="16" t="n"/>
      <c r="M83" s="15">
        <f>IF(B83="","",IF(L83&lt;&gt;"","Paid",IF(D83="","Draft",IF(K83&lt;TODAY(),"Overdue "&amp;(TODAY()-K83)&amp;IF(TODAY()-K83=1," day"," days"),"Waiting"))))</f>
        <v/>
      </c>
      <c r="N83" s="1" t="n"/>
      <c r="O83">
        <f>IF(B83="","",ROW()-5)</f>
        <v/>
      </c>
      <c r="P83">
        <f>IF(OR(B83="",L83&lt;&gt;"",D83=""),"",K83+ROW()/10000000)</f>
        <v/>
      </c>
    </row>
    <row r="84">
      <c r="A84" s="1" t="n"/>
      <c r="B84" s="17" t="n"/>
      <c r="C84" s="18" t="n"/>
      <c r="D84" s="16" t="n"/>
      <c r="E84" s="16" t="n"/>
      <c r="F84" s="16" t="n"/>
      <c r="G84" s="25">
        <f>IF(B84="","",SUMIFS(Timesheet!$M$6:$M$2005,Timesheet!$P$6:$P$2005,B84))</f>
        <v/>
      </c>
      <c r="H84" s="14">
        <f>IF(B84="","",SUMIFS(Timesheet!$O$6:$O$2005,Timesheet!$P$6:$P$2005,B84))</f>
        <v/>
      </c>
      <c r="I84" s="14">
        <f>IF(B84="","",ROUND(H84*N(Settings!$C$12),2))</f>
        <v/>
      </c>
      <c r="J84" s="26">
        <f>IF(B84="","",H84+I84)</f>
        <v/>
      </c>
      <c r="K84" s="27">
        <f>IF(OR(B84="",D84=""),"",D84+IFERROR(IF(INDEX(Clients!$H$6:$H$45,MATCH(C84,Clients!$B$6:$B$45,0))="",N(Settings!$C$13),INDEX(Clients!$H$6:$H$45,MATCH(C84,Clients!$B$6:$B$45,0))),N(Settings!$C$13)))</f>
        <v/>
      </c>
      <c r="L84" s="16" t="n"/>
      <c r="M84" s="15">
        <f>IF(B84="","",IF(L84&lt;&gt;"","Paid",IF(D84="","Draft",IF(K84&lt;TODAY(),"Overdue "&amp;(TODAY()-K84)&amp;IF(TODAY()-K84=1," day"," days"),"Waiting"))))</f>
        <v/>
      </c>
      <c r="N84" s="1" t="n"/>
      <c r="O84">
        <f>IF(B84="","",ROW()-5)</f>
        <v/>
      </c>
      <c r="P84">
        <f>IF(OR(B84="",L84&lt;&gt;"",D84=""),"",K84+ROW()/10000000)</f>
        <v/>
      </c>
    </row>
    <row r="85">
      <c r="A85" s="1" t="n"/>
      <c r="B85" s="17" t="n"/>
      <c r="C85" s="18" t="n"/>
      <c r="D85" s="16" t="n"/>
      <c r="E85" s="16" t="n"/>
      <c r="F85" s="16" t="n"/>
      <c r="G85" s="25">
        <f>IF(B85="","",SUMIFS(Timesheet!$M$6:$M$2005,Timesheet!$P$6:$P$2005,B85))</f>
        <v/>
      </c>
      <c r="H85" s="14">
        <f>IF(B85="","",SUMIFS(Timesheet!$O$6:$O$2005,Timesheet!$P$6:$P$2005,B85))</f>
        <v/>
      </c>
      <c r="I85" s="14">
        <f>IF(B85="","",ROUND(H85*N(Settings!$C$12),2))</f>
        <v/>
      </c>
      <c r="J85" s="26">
        <f>IF(B85="","",H85+I85)</f>
        <v/>
      </c>
      <c r="K85" s="27">
        <f>IF(OR(B85="",D85=""),"",D85+IFERROR(IF(INDEX(Clients!$H$6:$H$45,MATCH(C85,Clients!$B$6:$B$45,0))="",N(Settings!$C$13),INDEX(Clients!$H$6:$H$45,MATCH(C85,Clients!$B$6:$B$45,0))),N(Settings!$C$13)))</f>
        <v/>
      </c>
      <c r="L85" s="16" t="n"/>
      <c r="M85" s="15">
        <f>IF(B85="","",IF(L85&lt;&gt;"","Paid",IF(D85="","Draft",IF(K85&lt;TODAY(),"Overdue "&amp;(TODAY()-K85)&amp;IF(TODAY()-K85=1," day"," days"),"Waiting"))))</f>
        <v/>
      </c>
      <c r="N85" s="1" t="n"/>
      <c r="O85">
        <f>IF(B85="","",ROW()-5)</f>
        <v/>
      </c>
      <c r="P85">
        <f>IF(OR(B85="",L85&lt;&gt;"",D85=""),"",K85+ROW()/10000000)</f>
        <v/>
      </c>
    </row>
    <row r="86">
      <c r="A86" s="1" t="n"/>
      <c r="B86" s="17" t="n"/>
      <c r="C86" s="18" t="n"/>
      <c r="D86" s="16" t="n"/>
      <c r="E86" s="16" t="n"/>
      <c r="F86" s="16" t="n"/>
      <c r="G86" s="25">
        <f>IF(B86="","",SUMIFS(Timesheet!$M$6:$M$2005,Timesheet!$P$6:$P$2005,B86))</f>
        <v/>
      </c>
      <c r="H86" s="14">
        <f>IF(B86="","",SUMIFS(Timesheet!$O$6:$O$2005,Timesheet!$P$6:$P$2005,B86))</f>
        <v/>
      </c>
      <c r="I86" s="14">
        <f>IF(B86="","",ROUND(H86*N(Settings!$C$12),2))</f>
        <v/>
      </c>
      <c r="J86" s="26">
        <f>IF(B86="","",H86+I86)</f>
        <v/>
      </c>
      <c r="K86" s="27">
        <f>IF(OR(B86="",D86=""),"",D86+IFERROR(IF(INDEX(Clients!$H$6:$H$45,MATCH(C86,Clients!$B$6:$B$45,0))="",N(Settings!$C$13),INDEX(Clients!$H$6:$H$45,MATCH(C86,Clients!$B$6:$B$45,0))),N(Settings!$C$13)))</f>
        <v/>
      </c>
      <c r="L86" s="16" t="n"/>
      <c r="M86" s="15">
        <f>IF(B86="","",IF(L86&lt;&gt;"","Paid",IF(D86="","Draft",IF(K86&lt;TODAY(),"Overdue "&amp;(TODAY()-K86)&amp;IF(TODAY()-K86=1," day"," days"),"Waiting"))))</f>
        <v/>
      </c>
      <c r="N86" s="1" t="n"/>
      <c r="O86">
        <f>IF(B86="","",ROW()-5)</f>
        <v/>
      </c>
      <c r="P86">
        <f>IF(OR(B86="",L86&lt;&gt;"",D86=""),"",K86+ROW()/10000000)</f>
        <v/>
      </c>
    </row>
    <row r="87">
      <c r="A87" s="1" t="n"/>
      <c r="B87" s="17" t="n"/>
      <c r="C87" s="18" t="n"/>
      <c r="D87" s="16" t="n"/>
      <c r="E87" s="16" t="n"/>
      <c r="F87" s="16" t="n"/>
      <c r="G87" s="25">
        <f>IF(B87="","",SUMIFS(Timesheet!$M$6:$M$2005,Timesheet!$P$6:$P$2005,B87))</f>
        <v/>
      </c>
      <c r="H87" s="14">
        <f>IF(B87="","",SUMIFS(Timesheet!$O$6:$O$2005,Timesheet!$P$6:$P$2005,B87))</f>
        <v/>
      </c>
      <c r="I87" s="14">
        <f>IF(B87="","",ROUND(H87*N(Settings!$C$12),2))</f>
        <v/>
      </c>
      <c r="J87" s="26">
        <f>IF(B87="","",H87+I87)</f>
        <v/>
      </c>
      <c r="K87" s="27">
        <f>IF(OR(B87="",D87=""),"",D87+IFERROR(IF(INDEX(Clients!$H$6:$H$45,MATCH(C87,Clients!$B$6:$B$45,0))="",N(Settings!$C$13),INDEX(Clients!$H$6:$H$45,MATCH(C87,Clients!$B$6:$B$45,0))),N(Settings!$C$13)))</f>
        <v/>
      </c>
      <c r="L87" s="16" t="n"/>
      <c r="M87" s="15">
        <f>IF(B87="","",IF(L87&lt;&gt;"","Paid",IF(D87="","Draft",IF(K87&lt;TODAY(),"Overdue "&amp;(TODAY()-K87)&amp;IF(TODAY()-K87=1," day"," days"),"Waiting"))))</f>
        <v/>
      </c>
      <c r="N87" s="1" t="n"/>
      <c r="O87">
        <f>IF(B87="","",ROW()-5)</f>
        <v/>
      </c>
      <c r="P87">
        <f>IF(OR(B87="",L87&lt;&gt;"",D87=""),"",K87+ROW()/10000000)</f>
        <v/>
      </c>
    </row>
    <row r="88">
      <c r="A88" s="1" t="n"/>
      <c r="B88" s="17" t="n"/>
      <c r="C88" s="18" t="n"/>
      <c r="D88" s="16" t="n"/>
      <c r="E88" s="16" t="n"/>
      <c r="F88" s="16" t="n"/>
      <c r="G88" s="25">
        <f>IF(B88="","",SUMIFS(Timesheet!$M$6:$M$2005,Timesheet!$P$6:$P$2005,B88))</f>
        <v/>
      </c>
      <c r="H88" s="14">
        <f>IF(B88="","",SUMIFS(Timesheet!$O$6:$O$2005,Timesheet!$P$6:$P$2005,B88))</f>
        <v/>
      </c>
      <c r="I88" s="14">
        <f>IF(B88="","",ROUND(H88*N(Settings!$C$12),2))</f>
        <v/>
      </c>
      <c r="J88" s="26">
        <f>IF(B88="","",H88+I88)</f>
        <v/>
      </c>
      <c r="K88" s="27">
        <f>IF(OR(B88="",D88=""),"",D88+IFERROR(IF(INDEX(Clients!$H$6:$H$45,MATCH(C88,Clients!$B$6:$B$45,0))="",N(Settings!$C$13),INDEX(Clients!$H$6:$H$45,MATCH(C88,Clients!$B$6:$B$45,0))),N(Settings!$C$13)))</f>
        <v/>
      </c>
      <c r="L88" s="16" t="n"/>
      <c r="M88" s="15">
        <f>IF(B88="","",IF(L88&lt;&gt;"","Paid",IF(D88="","Draft",IF(K88&lt;TODAY(),"Overdue "&amp;(TODAY()-K88)&amp;IF(TODAY()-K88=1," day"," days"),"Waiting"))))</f>
        <v/>
      </c>
      <c r="N88" s="1" t="n"/>
      <c r="O88">
        <f>IF(B88="","",ROW()-5)</f>
        <v/>
      </c>
      <c r="P88">
        <f>IF(OR(B88="",L88&lt;&gt;"",D88=""),"",K88+ROW()/10000000)</f>
        <v/>
      </c>
    </row>
    <row r="89">
      <c r="A89" s="1" t="n"/>
      <c r="B89" s="17" t="n"/>
      <c r="C89" s="18" t="n"/>
      <c r="D89" s="16" t="n"/>
      <c r="E89" s="16" t="n"/>
      <c r="F89" s="16" t="n"/>
      <c r="G89" s="25">
        <f>IF(B89="","",SUMIFS(Timesheet!$M$6:$M$2005,Timesheet!$P$6:$P$2005,B89))</f>
        <v/>
      </c>
      <c r="H89" s="14">
        <f>IF(B89="","",SUMIFS(Timesheet!$O$6:$O$2005,Timesheet!$P$6:$P$2005,B89))</f>
        <v/>
      </c>
      <c r="I89" s="14">
        <f>IF(B89="","",ROUND(H89*N(Settings!$C$12),2))</f>
        <v/>
      </c>
      <c r="J89" s="26">
        <f>IF(B89="","",H89+I89)</f>
        <v/>
      </c>
      <c r="K89" s="27">
        <f>IF(OR(B89="",D89=""),"",D89+IFERROR(IF(INDEX(Clients!$H$6:$H$45,MATCH(C89,Clients!$B$6:$B$45,0))="",N(Settings!$C$13),INDEX(Clients!$H$6:$H$45,MATCH(C89,Clients!$B$6:$B$45,0))),N(Settings!$C$13)))</f>
        <v/>
      </c>
      <c r="L89" s="16" t="n"/>
      <c r="M89" s="15">
        <f>IF(B89="","",IF(L89&lt;&gt;"","Paid",IF(D89="","Draft",IF(K89&lt;TODAY(),"Overdue "&amp;(TODAY()-K89)&amp;IF(TODAY()-K89=1," day"," days"),"Waiting"))))</f>
        <v/>
      </c>
      <c r="N89" s="1" t="n"/>
      <c r="O89">
        <f>IF(B89="","",ROW()-5)</f>
        <v/>
      </c>
      <c r="P89">
        <f>IF(OR(B89="",L89&lt;&gt;"",D89=""),"",K89+ROW()/10000000)</f>
        <v/>
      </c>
    </row>
    <row r="90">
      <c r="A90" s="1" t="n"/>
      <c r="B90" s="17" t="n"/>
      <c r="C90" s="18" t="n"/>
      <c r="D90" s="16" t="n"/>
      <c r="E90" s="16" t="n"/>
      <c r="F90" s="16" t="n"/>
      <c r="G90" s="25">
        <f>IF(B90="","",SUMIFS(Timesheet!$M$6:$M$2005,Timesheet!$P$6:$P$2005,B90))</f>
        <v/>
      </c>
      <c r="H90" s="14">
        <f>IF(B90="","",SUMIFS(Timesheet!$O$6:$O$2005,Timesheet!$P$6:$P$2005,B90))</f>
        <v/>
      </c>
      <c r="I90" s="14">
        <f>IF(B90="","",ROUND(H90*N(Settings!$C$12),2))</f>
        <v/>
      </c>
      <c r="J90" s="26">
        <f>IF(B90="","",H90+I90)</f>
        <v/>
      </c>
      <c r="K90" s="27">
        <f>IF(OR(B90="",D90=""),"",D90+IFERROR(IF(INDEX(Clients!$H$6:$H$45,MATCH(C90,Clients!$B$6:$B$45,0))="",N(Settings!$C$13),INDEX(Clients!$H$6:$H$45,MATCH(C90,Clients!$B$6:$B$45,0))),N(Settings!$C$13)))</f>
        <v/>
      </c>
      <c r="L90" s="16" t="n"/>
      <c r="M90" s="15">
        <f>IF(B90="","",IF(L90&lt;&gt;"","Paid",IF(D90="","Draft",IF(K90&lt;TODAY(),"Overdue "&amp;(TODAY()-K90)&amp;IF(TODAY()-K90=1," day"," days"),"Waiting"))))</f>
        <v/>
      </c>
      <c r="N90" s="1" t="n"/>
      <c r="O90">
        <f>IF(B90="","",ROW()-5)</f>
        <v/>
      </c>
      <c r="P90">
        <f>IF(OR(B90="",L90&lt;&gt;"",D90=""),"",K90+ROW()/10000000)</f>
        <v/>
      </c>
    </row>
    <row r="91">
      <c r="A91" s="1" t="n"/>
      <c r="B91" s="17" t="n"/>
      <c r="C91" s="18" t="n"/>
      <c r="D91" s="16" t="n"/>
      <c r="E91" s="16" t="n"/>
      <c r="F91" s="16" t="n"/>
      <c r="G91" s="25">
        <f>IF(B91="","",SUMIFS(Timesheet!$M$6:$M$2005,Timesheet!$P$6:$P$2005,B91))</f>
        <v/>
      </c>
      <c r="H91" s="14">
        <f>IF(B91="","",SUMIFS(Timesheet!$O$6:$O$2005,Timesheet!$P$6:$P$2005,B91))</f>
        <v/>
      </c>
      <c r="I91" s="14">
        <f>IF(B91="","",ROUND(H91*N(Settings!$C$12),2))</f>
        <v/>
      </c>
      <c r="J91" s="26">
        <f>IF(B91="","",H91+I91)</f>
        <v/>
      </c>
      <c r="K91" s="27">
        <f>IF(OR(B91="",D91=""),"",D91+IFERROR(IF(INDEX(Clients!$H$6:$H$45,MATCH(C91,Clients!$B$6:$B$45,0))="",N(Settings!$C$13),INDEX(Clients!$H$6:$H$45,MATCH(C91,Clients!$B$6:$B$45,0))),N(Settings!$C$13)))</f>
        <v/>
      </c>
      <c r="L91" s="16" t="n"/>
      <c r="M91" s="15">
        <f>IF(B91="","",IF(L91&lt;&gt;"","Paid",IF(D91="","Draft",IF(K91&lt;TODAY(),"Overdue "&amp;(TODAY()-K91)&amp;IF(TODAY()-K91=1," day"," days"),"Waiting"))))</f>
        <v/>
      </c>
      <c r="N91" s="1" t="n"/>
      <c r="O91">
        <f>IF(B91="","",ROW()-5)</f>
        <v/>
      </c>
      <c r="P91">
        <f>IF(OR(B91="",L91&lt;&gt;"",D91=""),"",K91+ROW()/10000000)</f>
        <v/>
      </c>
    </row>
    <row r="92">
      <c r="A92" s="1" t="n"/>
      <c r="B92" s="17" t="n"/>
      <c r="C92" s="18" t="n"/>
      <c r="D92" s="16" t="n"/>
      <c r="E92" s="16" t="n"/>
      <c r="F92" s="16" t="n"/>
      <c r="G92" s="25">
        <f>IF(B92="","",SUMIFS(Timesheet!$M$6:$M$2005,Timesheet!$P$6:$P$2005,B92))</f>
        <v/>
      </c>
      <c r="H92" s="14">
        <f>IF(B92="","",SUMIFS(Timesheet!$O$6:$O$2005,Timesheet!$P$6:$P$2005,B92))</f>
        <v/>
      </c>
      <c r="I92" s="14">
        <f>IF(B92="","",ROUND(H92*N(Settings!$C$12),2))</f>
        <v/>
      </c>
      <c r="J92" s="26">
        <f>IF(B92="","",H92+I92)</f>
        <v/>
      </c>
      <c r="K92" s="27">
        <f>IF(OR(B92="",D92=""),"",D92+IFERROR(IF(INDEX(Clients!$H$6:$H$45,MATCH(C92,Clients!$B$6:$B$45,0))="",N(Settings!$C$13),INDEX(Clients!$H$6:$H$45,MATCH(C92,Clients!$B$6:$B$45,0))),N(Settings!$C$13)))</f>
        <v/>
      </c>
      <c r="L92" s="16" t="n"/>
      <c r="M92" s="15">
        <f>IF(B92="","",IF(L92&lt;&gt;"","Paid",IF(D92="","Draft",IF(K92&lt;TODAY(),"Overdue "&amp;(TODAY()-K92)&amp;IF(TODAY()-K92=1," day"," days"),"Waiting"))))</f>
        <v/>
      </c>
      <c r="N92" s="1" t="n"/>
      <c r="O92">
        <f>IF(B92="","",ROW()-5)</f>
        <v/>
      </c>
      <c r="P92">
        <f>IF(OR(B92="",L92&lt;&gt;"",D92=""),"",K92+ROW()/10000000)</f>
        <v/>
      </c>
    </row>
    <row r="93">
      <c r="A93" s="1" t="n"/>
      <c r="B93" s="17" t="n"/>
      <c r="C93" s="18" t="n"/>
      <c r="D93" s="16" t="n"/>
      <c r="E93" s="16" t="n"/>
      <c r="F93" s="16" t="n"/>
      <c r="G93" s="25">
        <f>IF(B93="","",SUMIFS(Timesheet!$M$6:$M$2005,Timesheet!$P$6:$P$2005,B93))</f>
        <v/>
      </c>
      <c r="H93" s="14">
        <f>IF(B93="","",SUMIFS(Timesheet!$O$6:$O$2005,Timesheet!$P$6:$P$2005,B93))</f>
        <v/>
      </c>
      <c r="I93" s="14">
        <f>IF(B93="","",ROUND(H93*N(Settings!$C$12),2))</f>
        <v/>
      </c>
      <c r="J93" s="26">
        <f>IF(B93="","",H93+I93)</f>
        <v/>
      </c>
      <c r="K93" s="27">
        <f>IF(OR(B93="",D93=""),"",D93+IFERROR(IF(INDEX(Clients!$H$6:$H$45,MATCH(C93,Clients!$B$6:$B$45,0))="",N(Settings!$C$13),INDEX(Clients!$H$6:$H$45,MATCH(C93,Clients!$B$6:$B$45,0))),N(Settings!$C$13)))</f>
        <v/>
      </c>
      <c r="L93" s="16" t="n"/>
      <c r="M93" s="15">
        <f>IF(B93="","",IF(L93&lt;&gt;"","Paid",IF(D93="","Draft",IF(K93&lt;TODAY(),"Overdue "&amp;(TODAY()-K93)&amp;IF(TODAY()-K93=1," day"," days"),"Waiting"))))</f>
        <v/>
      </c>
      <c r="N93" s="1" t="n"/>
      <c r="O93">
        <f>IF(B93="","",ROW()-5)</f>
        <v/>
      </c>
      <c r="P93">
        <f>IF(OR(B93="",L93&lt;&gt;"",D93=""),"",K93+ROW()/10000000)</f>
        <v/>
      </c>
    </row>
    <row r="94">
      <c r="A94" s="1" t="n"/>
      <c r="B94" s="17" t="n"/>
      <c r="C94" s="18" t="n"/>
      <c r="D94" s="16" t="n"/>
      <c r="E94" s="16" t="n"/>
      <c r="F94" s="16" t="n"/>
      <c r="G94" s="25">
        <f>IF(B94="","",SUMIFS(Timesheet!$M$6:$M$2005,Timesheet!$P$6:$P$2005,B94))</f>
        <v/>
      </c>
      <c r="H94" s="14">
        <f>IF(B94="","",SUMIFS(Timesheet!$O$6:$O$2005,Timesheet!$P$6:$P$2005,B94))</f>
        <v/>
      </c>
      <c r="I94" s="14">
        <f>IF(B94="","",ROUND(H94*N(Settings!$C$12),2))</f>
        <v/>
      </c>
      <c r="J94" s="26">
        <f>IF(B94="","",H94+I94)</f>
        <v/>
      </c>
      <c r="K94" s="27">
        <f>IF(OR(B94="",D94=""),"",D94+IFERROR(IF(INDEX(Clients!$H$6:$H$45,MATCH(C94,Clients!$B$6:$B$45,0))="",N(Settings!$C$13),INDEX(Clients!$H$6:$H$45,MATCH(C94,Clients!$B$6:$B$45,0))),N(Settings!$C$13)))</f>
        <v/>
      </c>
      <c r="L94" s="16" t="n"/>
      <c r="M94" s="15">
        <f>IF(B94="","",IF(L94&lt;&gt;"","Paid",IF(D94="","Draft",IF(K94&lt;TODAY(),"Overdue "&amp;(TODAY()-K94)&amp;IF(TODAY()-K94=1," day"," days"),"Waiting"))))</f>
        <v/>
      </c>
      <c r="N94" s="1" t="n"/>
      <c r="O94">
        <f>IF(B94="","",ROW()-5)</f>
        <v/>
      </c>
      <c r="P94">
        <f>IF(OR(B94="",L94&lt;&gt;"",D94=""),"",K94+ROW()/10000000)</f>
        <v/>
      </c>
    </row>
    <row r="95">
      <c r="A95" s="1" t="n"/>
      <c r="B95" s="17" t="n"/>
      <c r="C95" s="18" t="n"/>
      <c r="D95" s="16" t="n"/>
      <c r="E95" s="16" t="n"/>
      <c r="F95" s="16" t="n"/>
      <c r="G95" s="25">
        <f>IF(B95="","",SUMIFS(Timesheet!$M$6:$M$2005,Timesheet!$P$6:$P$2005,B95))</f>
        <v/>
      </c>
      <c r="H95" s="14">
        <f>IF(B95="","",SUMIFS(Timesheet!$O$6:$O$2005,Timesheet!$P$6:$P$2005,B95))</f>
        <v/>
      </c>
      <c r="I95" s="14">
        <f>IF(B95="","",ROUND(H95*N(Settings!$C$12),2))</f>
        <v/>
      </c>
      <c r="J95" s="26">
        <f>IF(B95="","",H95+I95)</f>
        <v/>
      </c>
      <c r="K95" s="27">
        <f>IF(OR(B95="",D95=""),"",D95+IFERROR(IF(INDEX(Clients!$H$6:$H$45,MATCH(C95,Clients!$B$6:$B$45,0))="",N(Settings!$C$13),INDEX(Clients!$H$6:$H$45,MATCH(C95,Clients!$B$6:$B$45,0))),N(Settings!$C$13)))</f>
        <v/>
      </c>
      <c r="L95" s="16" t="n"/>
      <c r="M95" s="15">
        <f>IF(B95="","",IF(L95&lt;&gt;"","Paid",IF(D95="","Draft",IF(K95&lt;TODAY(),"Overdue "&amp;(TODAY()-K95)&amp;IF(TODAY()-K95=1," day"," days"),"Waiting"))))</f>
        <v/>
      </c>
      <c r="N95" s="1" t="n"/>
      <c r="O95">
        <f>IF(B95="","",ROW()-5)</f>
        <v/>
      </c>
      <c r="P95">
        <f>IF(OR(B95="",L95&lt;&gt;"",D95=""),"",K95+ROW()/10000000)</f>
        <v/>
      </c>
    </row>
    <row r="96">
      <c r="A96" s="1" t="n"/>
      <c r="B96" s="17" t="n"/>
      <c r="C96" s="18" t="n"/>
      <c r="D96" s="16" t="n"/>
      <c r="E96" s="16" t="n"/>
      <c r="F96" s="16" t="n"/>
      <c r="G96" s="25">
        <f>IF(B96="","",SUMIFS(Timesheet!$M$6:$M$2005,Timesheet!$P$6:$P$2005,B96))</f>
        <v/>
      </c>
      <c r="H96" s="14">
        <f>IF(B96="","",SUMIFS(Timesheet!$O$6:$O$2005,Timesheet!$P$6:$P$2005,B96))</f>
        <v/>
      </c>
      <c r="I96" s="14">
        <f>IF(B96="","",ROUND(H96*N(Settings!$C$12),2))</f>
        <v/>
      </c>
      <c r="J96" s="26">
        <f>IF(B96="","",H96+I96)</f>
        <v/>
      </c>
      <c r="K96" s="27">
        <f>IF(OR(B96="",D96=""),"",D96+IFERROR(IF(INDEX(Clients!$H$6:$H$45,MATCH(C96,Clients!$B$6:$B$45,0))="",N(Settings!$C$13),INDEX(Clients!$H$6:$H$45,MATCH(C96,Clients!$B$6:$B$45,0))),N(Settings!$C$13)))</f>
        <v/>
      </c>
      <c r="L96" s="16" t="n"/>
      <c r="M96" s="15">
        <f>IF(B96="","",IF(L96&lt;&gt;"","Paid",IF(D96="","Draft",IF(K96&lt;TODAY(),"Overdue "&amp;(TODAY()-K96)&amp;IF(TODAY()-K96=1," day"," days"),"Waiting"))))</f>
        <v/>
      </c>
      <c r="N96" s="1" t="n"/>
      <c r="O96">
        <f>IF(B96="","",ROW()-5)</f>
        <v/>
      </c>
      <c r="P96">
        <f>IF(OR(B96="",L96&lt;&gt;"",D96=""),"",K96+ROW()/10000000)</f>
        <v/>
      </c>
    </row>
    <row r="97">
      <c r="A97" s="1" t="n"/>
      <c r="B97" s="17" t="n"/>
      <c r="C97" s="18" t="n"/>
      <c r="D97" s="16" t="n"/>
      <c r="E97" s="16" t="n"/>
      <c r="F97" s="16" t="n"/>
      <c r="G97" s="25">
        <f>IF(B97="","",SUMIFS(Timesheet!$M$6:$M$2005,Timesheet!$P$6:$P$2005,B97))</f>
        <v/>
      </c>
      <c r="H97" s="14">
        <f>IF(B97="","",SUMIFS(Timesheet!$O$6:$O$2005,Timesheet!$P$6:$P$2005,B97))</f>
        <v/>
      </c>
      <c r="I97" s="14">
        <f>IF(B97="","",ROUND(H97*N(Settings!$C$12),2))</f>
        <v/>
      </c>
      <c r="J97" s="26">
        <f>IF(B97="","",H97+I97)</f>
        <v/>
      </c>
      <c r="K97" s="27">
        <f>IF(OR(B97="",D97=""),"",D97+IFERROR(IF(INDEX(Clients!$H$6:$H$45,MATCH(C97,Clients!$B$6:$B$45,0))="",N(Settings!$C$13),INDEX(Clients!$H$6:$H$45,MATCH(C97,Clients!$B$6:$B$45,0))),N(Settings!$C$13)))</f>
        <v/>
      </c>
      <c r="L97" s="16" t="n"/>
      <c r="M97" s="15">
        <f>IF(B97="","",IF(L97&lt;&gt;"","Paid",IF(D97="","Draft",IF(K97&lt;TODAY(),"Overdue "&amp;(TODAY()-K97)&amp;IF(TODAY()-K97=1," day"," days"),"Waiting"))))</f>
        <v/>
      </c>
      <c r="N97" s="1" t="n"/>
      <c r="O97">
        <f>IF(B97="","",ROW()-5)</f>
        <v/>
      </c>
      <c r="P97">
        <f>IF(OR(B97="",L97&lt;&gt;"",D97=""),"",K97+ROW()/10000000)</f>
        <v/>
      </c>
    </row>
    <row r="98">
      <c r="A98" s="1" t="n"/>
      <c r="B98" s="17" t="n"/>
      <c r="C98" s="18" t="n"/>
      <c r="D98" s="16" t="n"/>
      <c r="E98" s="16" t="n"/>
      <c r="F98" s="16" t="n"/>
      <c r="G98" s="25">
        <f>IF(B98="","",SUMIFS(Timesheet!$M$6:$M$2005,Timesheet!$P$6:$P$2005,B98))</f>
        <v/>
      </c>
      <c r="H98" s="14">
        <f>IF(B98="","",SUMIFS(Timesheet!$O$6:$O$2005,Timesheet!$P$6:$P$2005,B98))</f>
        <v/>
      </c>
      <c r="I98" s="14">
        <f>IF(B98="","",ROUND(H98*N(Settings!$C$12),2))</f>
        <v/>
      </c>
      <c r="J98" s="26">
        <f>IF(B98="","",H98+I98)</f>
        <v/>
      </c>
      <c r="K98" s="27">
        <f>IF(OR(B98="",D98=""),"",D98+IFERROR(IF(INDEX(Clients!$H$6:$H$45,MATCH(C98,Clients!$B$6:$B$45,0))="",N(Settings!$C$13),INDEX(Clients!$H$6:$H$45,MATCH(C98,Clients!$B$6:$B$45,0))),N(Settings!$C$13)))</f>
        <v/>
      </c>
      <c r="L98" s="16" t="n"/>
      <c r="M98" s="15">
        <f>IF(B98="","",IF(L98&lt;&gt;"","Paid",IF(D98="","Draft",IF(K98&lt;TODAY(),"Overdue "&amp;(TODAY()-K98)&amp;IF(TODAY()-K98=1," day"," days"),"Waiting"))))</f>
        <v/>
      </c>
      <c r="N98" s="1" t="n"/>
      <c r="O98">
        <f>IF(B98="","",ROW()-5)</f>
        <v/>
      </c>
      <c r="P98">
        <f>IF(OR(B98="",L98&lt;&gt;"",D98=""),"",K98+ROW()/10000000)</f>
        <v/>
      </c>
    </row>
    <row r="99">
      <c r="A99" s="1" t="n"/>
      <c r="B99" s="17" t="n"/>
      <c r="C99" s="18" t="n"/>
      <c r="D99" s="16" t="n"/>
      <c r="E99" s="16" t="n"/>
      <c r="F99" s="16" t="n"/>
      <c r="G99" s="25">
        <f>IF(B99="","",SUMIFS(Timesheet!$M$6:$M$2005,Timesheet!$P$6:$P$2005,B99))</f>
        <v/>
      </c>
      <c r="H99" s="14">
        <f>IF(B99="","",SUMIFS(Timesheet!$O$6:$O$2005,Timesheet!$P$6:$P$2005,B99))</f>
        <v/>
      </c>
      <c r="I99" s="14">
        <f>IF(B99="","",ROUND(H99*N(Settings!$C$12),2))</f>
        <v/>
      </c>
      <c r="J99" s="26">
        <f>IF(B99="","",H99+I99)</f>
        <v/>
      </c>
      <c r="K99" s="27">
        <f>IF(OR(B99="",D99=""),"",D99+IFERROR(IF(INDEX(Clients!$H$6:$H$45,MATCH(C99,Clients!$B$6:$B$45,0))="",N(Settings!$C$13),INDEX(Clients!$H$6:$H$45,MATCH(C99,Clients!$B$6:$B$45,0))),N(Settings!$C$13)))</f>
        <v/>
      </c>
      <c r="L99" s="16" t="n"/>
      <c r="M99" s="15">
        <f>IF(B99="","",IF(L99&lt;&gt;"","Paid",IF(D99="","Draft",IF(K99&lt;TODAY(),"Overdue "&amp;(TODAY()-K99)&amp;IF(TODAY()-K99=1," day"," days"),"Waiting"))))</f>
        <v/>
      </c>
      <c r="N99" s="1" t="n"/>
      <c r="O99">
        <f>IF(B99="","",ROW()-5)</f>
        <v/>
      </c>
      <c r="P99">
        <f>IF(OR(B99="",L99&lt;&gt;"",D99=""),"",K99+ROW()/10000000)</f>
        <v/>
      </c>
    </row>
    <row r="100">
      <c r="A100" s="1" t="n"/>
      <c r="B100" s="17" t="n"/>
      <c r="C100" s="18" t="n"/>
      <c r="D100" s="16" t="n"/>
      <c r="E100" s="16" t="n"/>
      <c r="F100" s="16" t="n"/>
      <c r="G100" s="25">
        <f>IF(B100="","",SUMIFS(Timesheet!$M$6:$M$2005,Timesheet!$P$6:$P$2005,B100))</f>
        <v/>
      </c>
      <c r="H100" s="14">
        <f>IF(B100="","",SUMIFS(Timesheet!$O$6:$O$2005,Timesheet!$P$6:$P$2005,B100))</f>
        <v/>
      </c>
      <c r="I100" s="14">
        <f>IF(B100="","",ROUND(H100*N(Settings!$C$12),2))</f>
        <v/>
      </c>
      <c r="J100" s="26">
        <f>IF(B100="","",H100+I100)</f>
        <v/>
      </c>
      <c r="K100" s="27">
        <f>IF(OR(B100="",D100=""),"",D100+IFERROR(IF(INDEX(Clients!$H$6:$H$45,MATCH(C100,Clients!$B$6:$B$45,0))="",N(Settings!$C$13),INDEX(Clients!$H$6:$H$45,MATCH(C100,Clients!$B$6:$B$45,0))),N(Settings!$C$13)))</f>
        <v/>
      </c>
      <c r="L100" s="16" t="n"/>
      <c r="M100" s="15">
        <f>IF(B100="","",IF(L100&lt;&gt;"","Paid",IF(D100="","Draft",IF(K100&lt;TODAY(),"Overdue "&amp;(TODAY()-K100)&amp;IF(TODAY()-K100=1," day"," days"),"Waiting"))))</f>
        <v/>
      </c>
      <c r="N100" s="1" t="n"/>
      <c r="O100">
        <f>IF(B100="","",ROW()-5)</f>
        <v/>
      </c>
      <c r="P100">
        <f>IF(OR(B100="",L100&lt;&gt;"",D100=""),"",K100+ROW()/10000000)</f>
        <v/>
      </c>
    </row>
    <row r="101">
      <c r="A101" s="1" t="n"/>
      <c r="B101" s="17" t="n"/>
      <c r="C101" s="18" t="n"/>
      <c r="D101" s="16" t="n"/>
      <c r="E101" s="16" t="n"/>
      <c r="F101" s="16" t="n"/>
      <c r="G101" s="25">
        <f>IF(B101="","",SUMIFS(Timesheet!$M$6:$M$2005,Timesheet!$P$6:$P$2005,B101))</f>
        <v/>
      </c>
      <c r="H101" s="14">
        <f>IF(B101="","",SUMIFS(Timesheet!$O$6:$O$2005,Timesheet!$P$6:$P$2005,B101))</f>
        <v/>
      </c>
      <c r="I101" s="14">
        <f>IF(B101="","",ROUND(H101*N(Settings!$C$12),2))</f>
        <v/>
      </c>
      <c r="J101" s="26">
        <f>IF(B101="","",H101+I101)</f>
        <v/>
      </c>
      <c r="K101" s="27">
        <f>IF(OR(B101="",D101=""),"",D101+IFERROR(IF(INDEX(Clients!$H$6:$H$45,MATCH(C101,Clients!$B$6:$B$45,0))="",N(Settings!$C$13),INDEX(Clients!$H$6:$H$45,MATCH(C101,Clients!$B$6:$B$45,0))),N(Settings!$C$13)))</f>
        <v/>
      </c>
      <c r="L101" s="16" t="n"/>
      <c r="M101" s="15">
        <f>IF(B101="","",IF(L101&lt;&gt;"","Paid",IF(D101="","Draft",IF(K101&lt;TODAY(),"Overdue "&amp;(TODAY()-K101)&amp;IF(TODAY()-K101=1," day"," days"),"Waiting"))))</f>
        <v/>
      </c>
      <c r="N101" s="1" t="n"/>
      <c r="O101">
        <f>IF(B101="","",ROW()-5)</f>
        <v/>
      </c>
      <c r="P101">
        <f>IF(OR(B101="",L101&lt;&gt;"",D101=""),"",K101+ROW()/10000000)</f>
        <v/>
      </c>
    </row>
    <row r="102">
      <c r="A102" s="1" t="n"/>
      <c r="B102" s="17" t="n"/>
      <c r="C102" s="18" t="n"/>
      <c r="D102" s="16" t="n"/>
      <c r="E102" s="16" t="n"/>
      <c r="F102" s="16" t="n"/>
      <c r="G102" s="25">
        <f>IF(B102="","",SUMIFS(Timesheet!$M$6:$M$2005,Timesheet!$P$6:$P$2005,B102))</f>
        <v/>
      </c>
      <c r="H102" s="14">
        <f>IF(B102="","",SUMIFS(Timesheet!$O$6:$O$2005,Timesheet!$P$6:$P$2005,B102))</f>
        <v/>
      </c>
      <c r="I102" s="14">
        <f>IF(B102="","",ROUND(H102*N(Settings!$C$12),2))</f>
        <v/>
      </c>
      <c r="J102" s="26">
        <f>IF(B102="","",H102+I102)</f>
        <v/>
      </c>
      <c r="K102" s="27">
        <f>IF(OR(B102="",D102=""),"",D102+IFERROR(IF(INDEX(Clients!$H$6:$H$45,MATCH(C102,Clients!$B$6:$B$45,0))="",N(Settings!$C$13),INDEX(Clients!$H$6:$H$45,MATCH(C102,Clients!$B$6:$B$45,0))),N(Settings!$C$13)))</f>
        <v/>
      </c>
      <c r="L102" s="16" t="n"/>
      <c r="M102" s="15">
        <f>IF(B102="","",IF(L102&lt;&gt;"","Paid",IF(D102="","Draft",IF(K102&lt;TODAY(),"Overdue "&amp;(TODAY()-K102)&amp;IF(TODAY()-K102=1," day"," days"),"Waiting"))))</f>
        <v/>
      </c>
      <c r="N102" s="1" t="n"/>
      <c r="O102">
        <f>IF(B102="","",ROW()-5)</f>
        <v/>
      </c>
      <c r="P102">
        <f>IF(OR(B102="",L102&lt;&gt;"",D102=""),"",K102+ROW()/10000000)</f>
        <v/>
      </c>
    </row>
    <row r="103">
      <c r="A103" s="1" t="n"/>
      <c r="B103" s="17" t="n"/>
      <c r="C103" s="18" t="n"/>
      <c r="D103" s="16" t="n"/>
      <c r="E103" s="16" t="n"/>
      <c r="F103" s="16" t="n"/>
      <c r="G103" s="25">
        <f>IF(B103="","",SUMIFS(Timesheet!$M$6:$M$2005,Timesheet!$P$6:$P$2005,B103))</f>
        <v/>
      </c>
      <c r="H103" s="14">
        <f>IF(B103="","",SUMIFS(Timesheet!$O$6:$O$2005,Timesheet!$P$6:$P$2005,B103))</f>
        <v/>
      </c>
      <c r="I103" s="14">
        <f>IF(B103="","",ROUND(H103*N(Settings!$C$12),2))</f>
        <v/>
      </c>
      <c r="J103" s="26">
        <f>IF(B103="","",H103+I103)</f>
        <v/>
      </c>
      <c r="K103" s="27">
        <f>IF(OR(B103="",D103=""),"",D103+IFERROR(IF(INDEX(Clients!$H$6:$H$45,MATCH(C103,Clients!$B$6:$B$45,0))="",N(Settings!$C$13),INDEX(Clients!$H$6:$H$45,MATCH(C103,Clients!$B$6:$B$45,0))),N(Settings!$C$13)))</f>
        <v/>
      </c>
      <c r="L103" s="16" t="n"/>
      <c r="M103" s="15">
        <f>IF(B103="","",IF(L103&lt;&gt;"","Paid",IF(D103="","Draft",IF(K103&lt;TODAY(),"Overdue "&amp;(TODAY()-K103)&amp;IF(TODAY()-K103=1," day"," days"),"Waiting"))))</f>
        <v/>
      </c>
      <c r="N103" s="1" t="n"/>
      <c r="O103">
        <f>IF(B103="","",ROW()-5)</f>
        <v/>
      </c>
      <c r="P103">
        <f>IF(OR(B103="",L103&lt;&gt;"",D103=""),"",K103+ROW()/10000000)</f>
        <v/>
      </c>
    </row>
    <row r="104">
      <c r="A104" s="1" t="n"/>
      <c r="B104" s="17" t="n"/>
      <c r="C104" s="18" t="n"/>
      <c r="D104" s="16" t="n"/>
      <c r="E104" s="16" t="n"/>
      <c r="F104" s="16" t="n"/>
      <c r="G104" s="25">
        <f>IF(B104="","",SUMIFS(Timesheet!$M$6:$M$2005,Timesheet!$P$6:$P$2005,B104))</f>
        <v/>
      </c>
      <c r="H104" s="14">
        <f>IF(B104="","",SUMIFS(Timesheet!$O$6:$O$2005,Timesheet!$P$6:$P$2005,B104))</f>
        <v/>
      </c>
      <c r="I104" s="14">
        <f>IF(B104="","",ROUND(H104*N(Settings!$C$12),2))</f>
        <v/>
      </c>
      <c r="J104" s="26">
        <f>IF(B104="","",H104+I104)</f>
        <v/>
      </c>
      <c r="K104" s="27">
        <f>IF(OR(B104="",D104=""),"",D104+IFERROR(IF(INDEX(Clients!$H$6:$H$45,MATCH(C104,Clients!$B$6:$B$45,0))="",N(Settings!$C$13),INDEX(Clients!$H$6:$H$45,MATCH(C104,Clients!$B$6:$B$45,0))),N(Settings!$C$13)))</f>
        <v/>
      </c>
      <c r="L104" s="16" t="n"/>
      <c r="M104" s="15">
        <f>IF(B104="","",IF(L104&lt;&gt;"","Paid",IF(D104="","Draft",IF(K104&lt;TODAY(),"Overdue "&amp;(TODAY()-K104)&amp;IF(TODAY()-K104=1," day"," days"),"Waiting"))))</f>
        <v/>
      </c>
      <c r="N104" s="1" t="n"/>
      <c r="O104">
        <f>IF(B104="","",ROW()-5)</f>
        <v/>
      </c>
      <c r="P104">
        <f>IF(OR(B104="",L104&lt;&gt;"",D104=""),"",K104+ROW()/10000000)</f>
        <v/>
      </c>
    </row>
    <row r="105">
      <c r="A105" s="1" t="n"/>
      <c r="B105" s="17" t="n"/>
      <c r="C105" s="18" t="n"/>
      <c r="D105" s="16" t="n"/>
      <c r="E105" s="16" t="n"/>
      <c r="F105" s="16" t="n"/>
      <c r="G105" s="25">
        <f>IF(B105="","",SUMIFS(Timesheet!$M$6:$M$2005,Timesheet!$P$6:$P$2005,B105))</f>
        <v/>
      </c>
      <c r="H105" s="14">
        <f>IF(B105="","",SUMIFS(Timesheet!$O$6:$O$2005,Timesheet!$P$6:$P$2005,B105))</f>
        <v/>
      </c>
      <c r="I105" s="14">
        <f>IF(B105="","",ROUND(H105*N(Settings!$C$12),2))</f>
        <v/>
      </c>
      <c r="J105" s="26">
        <f>IF(B105="","",H105+I105)</f>
        <v/>
      </c>
      <c r="K105" s="27">
        <f>IF(OR(B105="",D105=""),"",D105+IFERROR(IF(INDEX(Clients!$H$6:$H$45,MATCH(C105,Clients!$B$6:$B$45,0))="",N(Settings!$C$13),INDEX(Clients!$H$6:$H$45,MATCH(C105,Clients!$B$6:$B$45,0))),N(Settings!$C$13)))</f>
        <v/>
      </c>
      <c r="L105" s="16" t="n"/>
      <c r="M105" s="15">
        <f>IF(B105="","",IF(L105&lt;&gt;"","Paid",IF(D105="","Draft",IF(K105&lt;TODAY(),"Overdue "&amp;(TODAY()-K105)&amp;IF(TODAY()-K105=1," day"," days"),"Waiting"))))</f>
        <v/>
      </c>
      <c r="N105" s="1" t="n"/>
      <c r="O105">
        <f>IF(B105="","",ROW()-5)</f>
        <v/>
      </c>
      <c r="P105">
        <f>IF(OR(B105="",L105&lt;&gt;"",D105=""),"",K105+ROW()/10000000)</f>
        <v/>
      </c>
    </row>
    <row r="106">
      <c r="A106" s="1" t="n"/>
      <c r="B106" s="17" t="n"/>
      <c r="C106" s="18" t="n"/>
      <c r="D106" s="16" t="n"/>
      <c r="E106" s="16" t="n"/>
      <c r="F106" s="16" t="n"/>
      <c r="G106" s="25">
        <f>IF(B106="","",SUMIFS(Timesheet!$M$6:$M$2005,Timesheet!$P$6:$P$2005,B106))</f>
        <v/>
      </c>
      <c r="H106" s="14">
        <f>IF(B106="","",SUMIFS(Timesheet!$O$6:$O$2005,Timesheet!$P$6:$P$2005,B106))</f>
        <v/>
      </c>
      <c r="I106" s="14">
        <f>IF(B106="","",ROUND(H106*N(Settings!$C$12),2))</f>
        <v/>
      </c>
      <c r="J106" s="26">
        <f>IF(B106="","",H106+I106)</f>
        <v/>
      </c>
      <c r="K106" s="27">
        <f>IF(OR(B106="",D106=""),"",D106+IFERROR(IF(INDEX(Clients!$H$6:$H$45,MATCH(C106,Clients!$B$6:$B$45,0))="",N(Settings!$C$13),INDEX(Clients!$H$6:$H$45,MATCH(C106,Clients!$B$6:$B$45,0))),N(Settings!$C$13)))</f>
        <v/>
      </c>
      <c r="L106" s="16" t="n"/>
      <c r="M106" s="15">
        <f>IF(B106="","",IF(L106&lt;&gt;"","Paid",IF(D106="","Draft",IF(K106&lt;TODAY(),"Overdue "&amp;(TODAY()-K106)&amp;IF(TODAY()-K106=1," day"," days"),"Waiting"))))</f>
        <v/>
      </c>
      <c r="N106" s="1" t="n"/>
      <c r="O106">
        <f>IF(B106="","",ROW()-5)</f>
        <v/>
      </c>
      <c r="P106">
        <f>IF(OR(B106="",L106&lt;&gt;"",D106=""),"",K106+ROW()/10000000)</f>
        <v/>
      </c>
    </row>
    <row r="107">
      <c r="A107" s="1" t="n"/>
      <c r="B107" s="17" t="n"/>
      <c r="C107" s="18" t="n"/>
      <c r="D107" s="16" t="n"/>
      <c r="E107" s="16" t="n"/>
      <c r="F107" s="16" t="n"/>
      <c r="G107" s="25">
        <f>IF(B107="","",SUMIFS(Timesheet!$M$6:$M$2005,Timesheet!$P$6:$P$2005,B107))</f>
        <v/>
      </c>
      <c r="H107" s="14">
        <f>IF(B107="","",SUMIFS(Timesheet!$O$6:$O$2005,Timesheet!$P$6:$P$2005,B107))</f>
        <v/>
      </c>
      <c r="I107" s="14">
        <f>IF(B107="","",ROUND(H107*N(Settings!$C$12),2))</f>
        <v/>
      </c>
      <c r="J107" s="26">
        <f>IF(B107="","",H107+I107)</f>
        <v/>
      </c>
      <c r="K107" s="27">
        <f>IF(OR(B107="",D107=""),"",D107+IFERROR(IF(INDEX(Clients!$H$6:$H$45,MATCH(C107,Clients!$B$6:$B$45,0))="",N(Settings!$C$13),INDEX(Clients!$H$6:$H$45,MATCH(C107,Clients!$B$6:$B$45,0))),N(Settings!$C$13)))</f>
        <v/>
      </c>
      <c r="L107" s="16" t="n"/>
      <c r="M107" s="15">
        <f>IF(B107="","",IF(L107&lt;&gt;"","Paid",IF(D107="","Draft",IF(K107&lt;TODAY(),"Overdue "&amp;(TODAY()-K107)&amp;IF(TODAY()-K107=1," day"," days"),"Waiting"))))</f>
        <v/>
      </c>
      <c r="N107" s="1" t="n"/>
      <c r="O107">
        <f>IF(B107="","",ROW()-5)</f>
        <v/>
      </c>
      <c r="P107">
        <f>IF(OR(B107="",L107&lt;&gt;"",D107=""),"",K107+ROW()/10000000)</f>
        <v/>
      </c>
    </row>
    <row r="108">
      <c r="A108" s="1" t="n"/>
      <c r="B108" s="17" t="n"/>
      <c r="C108" s="18" t="n"/>
      <c r="D108" s="16" t="n"/>
      <c r="E108" s="16" t="n"/>
      <c r="F108" s="16" t="n"/>
      <c r="G108" s="25">
        <f>IF(B108="","",SUMIFS(Timesheet!$M$6:$M$2005,Timesheet!$P$6:$P$2005,B108))</f>
        <v/>
      </c>
      <c r="H108" s="14">
        <f>IF(B108="","",SUMIFS(Timesheet!$O$6:$O$2005,Timesheet!$P$6:$P$2005,B108))</f>
        <v/>
      </c>
      <c r="I108" s="14">
        <f>IF(B108="","",ROUND(H108*N(Settings!$C$12),2))</f>
        <v/>
      </c>
      <c r="J108" s="26">
        <f>IF(B108="","",H108+I108)</f>
        <v/>
      </c>
      <c r="K108" s="27">
        <f>IF(OR(B108="",D108=""),"",D108+IFERROR(IF(INDEX(Clients!$H$6:$H$45,MATCH(C108,Clients!$B$6:$B$45,0))="",N(Settings!$C$13),INDEX(Clients!$H$6:$H$45,MATCH(C108,Clients!$B$6:$B$45,0))),N(Settings!$C$13)))</f>
        <v/>
      </c>
      <c r="L108" s="16" t="n"/>
      <c r="M108" s="15">
        <f>IF(B108="","",IF(L108&lt;&gt;"","Paid",IF(D108="","Draft",IF(K108&lt;TODAY(),"Overdue "&amp;(TODAY()-K108)&amp;IF(TODAY()-K108=1," day"," days"),"Waiting"))))</f>
        <v/>
      </c>
      <c r="N108" s="1" t="n"/>
      <c r="O108">
        <f>IF(B108="","",ROW()-5)</f>
        <v/>
      </c>
      <c r="P108">
        <f>IF(OR(B108="",L108&lt;&gt;"",D108=""),"",K108+ROW()/10000000)</f>
        <v/>
      </c>
    </row>
    <row r="109">
      <c r="A109" s="1" t="n"/>
      <c r="B109" s="17" t="n"/>
      <c r="C109" s="18" t="n"/>
      <c r="D109" s="16" t="n"/>
      <c r="E109" s="16" t="n"/>
      <c r="F109" s="16" t="n"/>
      <c r="G109" s="25">
        <f>IF(B109="","",SUMIFS(Timesheet!$M$6:$M$2005,Timesheet!$P$6:$P$2005,B109))</f>
        <v/>
      </c>
      <c r="H109" s="14">
        <f>IF(B109="","",SUMIFS(Timesheet!$O$6:$O$2005,Timesheet!$P$6:$P$2005,B109))</f>
        <v/>
      </c>
      <c r="I109" s="14">
        <f>IF(B109="","",ROUND(H109*N(Settings!$C$12),2))</f>
        <v/>
      </c>
      <c r="J109" s="26">
        <f>IF(B109="","",H109+I109)</f>
        <v/>
      </c>
      <c r="K109" s="27">
        <f>IF(OR(B109="",D109=""),"",D109+IFERROR(IF(INDEX(Clients!$H$6:$H$45,MATCH(C109,Clients!$B$6:$B$45,0))="",N(Settings!$C$13),INDEX(Clients!$H$6:$H$45,MATCH(C109,Clients!$B$6:$B$45,0))),N(Settings!$C$13)))</f>
        <v/>
      </c>
      <c r="L109" s="16" t="n"/>
      <c r="M109" s="15">
        <f>IF(B109="","",IF(L109&lt;&gt;"","Paid",IF(D109="","Draft",IF(K109&lt;TODAY(),"Overdue "&amp;(TODAY()-K109)&amp;IF(TODAY()-K109=1," day"," days"),"Waiting"))))</f>
        <v/>
      </c>
      <c r="N109" s="1" t="n"/>
      <c r="O109">
        <f>IF(B109="","",ROW()-5)</f>
        <v/>
      </c>
      <c r="P109">
        <f>IF(OR(B109="",L109&lt;&gt;"",D109=""),"",K109+ROW()/10000000)</f>
        <v/>
      </c>
    </row>
    <row r="110">
      <c r="A110" s="1" t="n"/>
      <c r="B110" s="17" t="n"/>
      <c r="C110" s="18" t="n"/>
      <c r="D110" s="16" t="n"/>
      <c r="E110" s="16" t="n"/>
      <c r="F110" s="16" t="n"/>
      <c r="G110" s="25">
        <f>IF(B110="","",SUMIFS(Timesheet!$M$6:$M$2005,Timesheet!$P$6:$P$2005,B110))</f>
        <v/>
      </c>
      <c r="H110" s="14">
        <f>IF(B110="","",SUMIFS(Timesheet!$O$6:$O$2005,Timesheet!$P$6:$P$2005,B110))</f>
        <v/>
      </c>
      <c r="I110" s="14">
        <f>IF(B110="","",ROUND(H110*N(Settings!$C$12),2))</f>
        <v/>
      </c>
      <c r="J110" s="26">
        <f>IF(B110="","",H110+I110)</f>
        <v/>
      </c>
      <c r="K110" s="27">
        <f>IF(OR(B110="",D110=""),"",D110+IFERROR(IF(INDEX(Clients!$H$6:$H$45,MATCH(C110,Clients!$B$6:$B$45,0))="",N(Settings!$C$13),INDEX(Clients!$H$6:$H$45,MATCH(C110,Clients!$B$6:$B$45,0))),N(Settings!$C$13)))</f>
        <v/>
      </c>
      <c r="L110" s="16" t="n"/>
      <c r="M110" s="15">
        <f>IF(B110="","",IF(L110&lt;&gt;"","Paid",IF(D110="","Draft",IF(K110&lt;TODAY(),"Overdue "&amp;(TODAY()-K110)&amp;IF(TODAY()-K110=1," day"," days"),"Waiting"))))</f>
        <v/>
      </c>
      <c r="N110" s="1" t="n"/>
      <c r="O110">
        <f>IF(B110="","",ROW()-5)</f>
        <v/>
      </c>
      <c r="P110">
        <f>IF(OR(B110="",L110&lt;&gt;"",D110=""),"",K110+ROW()/10000000)</f>
        <v/>
      </c>
    </row>
    <row r="111">
      <c r="A111" s="1" t="n"/>
      <c r="B111" s="17" t="n"/>
      <c r="C111" s="18" t="n"/>
      <c r="D111" s="16" t="n"/>
      <c r="E111" s="16" t="n"/>
      <c r="F111" s="16" t="n"/>
      <c r="G111" s="25">
        <f>IF(B111="","",SUMIFS(Timesheet!$M$6:$M$2005,Timesheet!$P$6:$P$2005,B111))</f>
        <v/>
      </c>
      <c r="H111" s="14">
        <f>IF(B111="","",SUMIFS(Timesheet!$O$6:$O$2005,Timesheet!$P$6:$P$2005,B111))</f>
        <v/>
      </c>
      <c r="I111" s="14">
        <f>IF(B111="","",ROUND(H111*N(Settings!$C$12),2))</f>
        <v/>
      </c>
      <c r="J111" s="26">
        <f>IF(B111="","",H111+I111)</f>
        <v/>
      </c>
      <c r="K111" s="27">
        <f>IF(OR(B111="",D111=""),"",D111+IFERROR(IF(INDEX(Clients!$H$6:$H$45,MATCH(C111,Clients!$B$6:$B$45,0))="",N(Settings!$C$13),INDEX(Clients!$H$6:$H$45,MATCH(C111,Clients!$B$6:$B$45,0))),N(Settings!$C$13)))</f>
        <v/>
      </c>
      <c r="L111" s="16" t="n"/>
      <c r="M111" s="15">
        <f>IF(B111="","",IF(L111&lt;&gt;"","Paid",IF(D111="","Draft",IF(K111&lt;TODAY(),"Overdue "&amp;(TODAY()-K111)&amp;IF(TODAY()-K111=1," day"," days"),"Waiting"))))</f>
        <v/>
      </c>
      <c r="N111" s="1" t="n"/>
      <c r="O111">
        <f>IF(B111="","",ROW()-5)</f>
        <v/>
      </c>
      <c r="P111">
        <f>IF(OR(B111="",L111&lt;&gt;"",D111=""),"",K111+ROW()/10000000)</f>
        <v/>
      </c>
    </row>
    <row r="112">
      <c r="A112" s="1" t="n"/>
      <c r="B112" s="17" t="n"/>
      <c r="C112" s="18" t="n"/>
      <c r="D112" s="16" t="n"/>
      <c r="E112" s="16" t="n"/>
      <c r="F112" s="16" t="n"/>
      <c r="G112" s="25">
        <f>IF(B112="","",SUMIFS(Timesheet!$M$6:$M$2005,Timesheet!$P$6:$P$2005,B112))</f>
        <v/>
      </c>
      <c r="H112" s="14">
        <f>IF(B112="","",SUMIFS(Timesheet!$O$6:$O$2005,Timesheet!$P$6:$P$2005,B112))</f>
        <v/>
      </c>
      <c r="I112" s="14">
        <f>IF(B112="","",ROUND(H112*N(Settings!$C$12),2))</f>
        <v/>
      </c>
      <c r="J112" s="26">
        <f>IF(B112="","",H112+I112)</f>
        <v/>
      </c>
      <c r="K112" s="27">
        <f>IF(OR(B112="",D112=""),"",D112+IFERROR(IF(INDEX(Clients!$H$6:$H$45,MATCH(C112,Clients!$B$6:$B$45,0))="",N(Settings!$C$13),INDEX(Clients!$H$6:$H$45,MATCH(C112,Clients!$B$6:$B$45,0))),N(Settings!$C$13)))</f>
        <v/>
      </c>
      <c r="L112" s="16" t="n"/>
      <c r="M112" s="15">
        <f>IF(B112="","",IF(L112&lt;&gt;"","Paid",IF(D112="","Draft",IF(K112&lt;TODAY(),"Overdue "&amp;(TODAY()-K112)&amp;IF(TODAY()-K112=1," day"," days"),"Waiting"))))</f>
        <v/>
      </c>
      <c r="N112" s="1" t="n"/>
      <c r="O112">
        <f>IF(B112="","",ROW()-5)</f>
        <v/>
      </c>
      <c r="P112">
        <f>IF(OR(B112="",L112&lt;&gt;"",D112=""),"",K112+ROW()/10000000)</f>
        <v/>
      </c>
    </row>
    <row r="113">
      <c r="A113" s="1" t="n"/>
      <c r="B113" s="17" t="n"/>
      <c r="C113" s="18" t="n"/>
      <c r="D113" s="16" t="n"/>
      <c r="E113" s="16" t="n"/>
      <c r="F113" s="16" t="n"/>
      <c r="G113" s="25">
        <f>IF(B113="","",SUMIFS(Timesheet!$M$6:$M$2005,Timesheet!$P$6:$P$2005,B113))</f>
        <v/>
      </c>
      <c r="H113" s="14">
        <f>IF(B113="","",SUMIFS(Timesheet!$O$6:$O$2005,Timesheet!$P$6:$P$2005,B113))</f>
        <v/>
      </c>
      <c r="I113" s="14">
        <f>IF(B113="","",ROUND(H113*N(Settings!$C$12),2))</f>
        <v/>
      </c>
      <c r="J113" s="26">
        <f>IF(B113="","",H113+I113)</f>
        <v/>
      </c>
      <c r="K113" s="27">
        <f>IF(OR(B113="",D113=""),"",D113+IFERROR(IF(INDEX(Clients!$H$6:$H$45,MATCH(C113,Clients!$B$6:$B$45,0))="",N(Settings!$C$13),INDEX(Clients!$H$6:$H$45,MATCH(C113,Clients!$B$6:$B$45,0))),N(Settings!$C$13)))</f>
        <v/>
      </c>
      <c r="L113" s="16" t="n"/>
      <c r="M113" s="15">
        <f>IF(B113="","",IF(L113&lt;&gt;"","Paid",IF(D113="","Draft",IF(K113&lt;TODAY(),"Overdue "&amp;(TODAY()-K113)&amp;IF(TODAY()-K113=1," day"," days"),"Waiting"))))</f>
        <v/>
      </c>
      <c r="N113" s="1" t="n"/>
      <c r="O113">
        <f>IF(B113="","",ROW()-5)</f>
        <v/>
      </c>
      <c r="P113">
        <f>IF(OR(B113="",L113&lt;&gt;"",D113=""),"",K113+ROW()/10000000)</f>
        <v/>
      </c>
    </row>
    <row r="114">
      <c r="A114" s="1" t="n"/>
      <c r="B114" s="17" t="n"/>
      <c r="C114" s="18" t="n"/>
      <c r="D114" s="16" t="n"/>
      <c r="E114" s="16" t="n"/>
      <c r="F114" s="16" t="n"/>
      <c r="G114" s="25">
        <f>IF(B114="","",SUMIFS(Timesheet!$M$6:$M$2005,Timesheet!$P$6:$P$2005,B114))</f>
        <v/>
      </c>
      <c r="H114" s="14">
        <f>IF(B114="","",SUMIFS(Timesheet!$O$6:$O$2005,Timesheet!$P$6:$P$2005,B114))</f>
        <v/>
      </c>
      <c r="I114" s="14">
        <f>IF(B114="","",ROUND(H114*N(Settings!$C$12),2))</f>
        <v/>
      </c>
      <c r="J114" s="26">
        <f>IF(B114="","",H114+I114)</f>
        <v/>
      </c>
      <c r="K114" s="27">
        <f>IF(OR(B114="",D114=""),"",D114+IFERROR(IF(INDEX(Clients!$H$6:$H$45,MATCH(C114,Clients!$B$6:$B$45,0))="",N(Settings!$C$13),INDEX(Clients!$H$6:$H$45,MATCH(C114,Clients!$B$6:$B$45,0))),N(Settings!$C$13)))</f>
        <v/>
      </c>
      <c r="L114" s="16" t="n"/>
      <c r="M114" s="15">
        <f>IF(B114="","",IF(L114&lt;&gt;"","Paid",IF(D114="","Draft",IF(K114&lt;TODAY(),"Overdue "&amp;(TODAY()-K114)&amp;IF(TODAY()-K114=1," day"," days"),"Waiting"))))</f>
        <v/>
      </c>
      <c r="N114" s="1" t="n"/>
      <c r="O114">
        <f>IF(B114="","",ROW()-5)</f>
        <v/>
      </c>
      <c r="P114">
        <f>IF(OR(B114="",L114&lt;&gt;"",D114=""),"",K114+ROW()/10000000)</f>
        <v/>
      </c>
    </row>
    <row r="115">
      <c r="A115" s="1" t="n"/>
      <c r="B115" s="17" t="n"/>
      <c r="C115" s="18" t="n"/>
      <c r="D115" s="16" t="n"/>
      <c r="E115" s="16" t="n"/>
      <c r="F115" s="16" t="n"/>
      <c r="G115" s="25">
        <f>IF(B115="","",SUMIFS(Timesheet!$M$6:$M$2005,Timesheet!$P$6:$P$2005,B115))</f>
        <v/>
      </c>
      <c r="H115" s="14">
        <f>IF(B115="","",SUMIFS(Timesheet!$O$6:$O$2005,Timesheet!$P$6:$P$2005,B115))</f>
        <v/>
      </c>
      <c r="I115" s="14">
        <f>IF(B115="","",ROUND(H115*N(Settings!$C$12),2))</f>
        <v/>
      </c>
      <c r="J115" s="26">
        <f>IF(B115="","",H115+I115)</f>
        <v/>
      </c>
      <c r="K115" s="27">
        <f>IF(OR(B115="",D115=""),"",D115+IFERROR(IF(INDEX(Clients!$H$6:$H$45,MATCH(C115,Clients!$B$6:$B$45,0))="",N(Settings!$C$13),INDEX(Clients!$H$6:$H$45,MATCH(C115,Clients!$B$6:$B$45,0))),N(Settings!$C$13)))</f>
        <v/>
      </c>
      <c r="L115" s="16" t="n"/>
      <c r="M115" s="15">
        <f>IF(B115="","",IF(L115&lt;&gt;"","Paid",IF(D115="","Draft",IF(K115&lt;TODAY(),"Overdue "&amp;(TODAY()-K115)&amp;IF(TODAY()-K115=1," day"," days"),"Waiting"))))</f>
        <v/>
      </c>
      <c r="N115" s="1" t="n"/>
      <c r="O115">
        <f>IF(B115="","",ROW()-5)</f>
        <v/>
      </c>
      <c r="P115">
        <f>IF(OR(B115="",L115&lt;&gt;"",D115=""),"",K115+ROW()/10000000)</f>
        <v/>
      </c>
    </row>
    <row r="116">
      <c r="A116" s="1" t="n"/>
      <c r="B116" s="17" t="n"/>
      <c r="C116" s="18" t="n"/>
      <c r="D116" s="16" t="n"/>
      <c r="E116" s="16" t="n"/>
      <c r="F116" s="16" t="n"/>
      <c r="G116" s="25">
        <f>IF(B116="","",SUMIFS(Timesheet!$M$6:$M$2005,Timesheet!$P$6:$P$2005,B116))</f>
        <v/>
      </c>
      <c r="H116" s="14">
        <f>IF(B116="","",SUMIFS(Timesheet!$O$6:$O$2005,Timesheet!$P$6:$P$2005,B116))</f>
        <v/>
      </c>
      <c r="I116" s="14">
        <f>IF(B116="","",ROUND(H116*N(Settings!$C$12),2))</f>
        <v/>
      </c>
      <c r="J116" s="26">
        <f>IF(B116="","",H116+I116)</f>
        <v/>
      </c>
      <c r="K116" s="27">
        <f>IF(OR(B116="",D116=""),"",D116+IFERROR(IF(INDEX(Clients!$H$6:$H$45,MATCH(C116,Clients!$B$6:$B$45,0))="",N(Settings!$C$13),INDEX(Clients!$H$6:$H$45,MATCH(C116,Clients!$B$6:$B$45,0))),N(Settings!$C$13)))</f>
        <v/>
      </c>
      <c r="L116" s="16" t="n"/>
      <c r="M116" s="15">
        <f>IF(B116="","",IF(L116&lt;&gt;"","Paid",IF(D116="","Draft",IF(K116&lt;TODAY(),"Overdue "&amp;(TODAY()-K116)&amp;IF(TODAY()-K116=1," day"," days"),"Waiting"))))</f>
        <v/>
      </c>
      <c r="N116" s="1" t="n"/>
      <c r="O116">
        <f>IF(B116="","",ROW()-5)</f>
        <v/>
      </c>
      <c r="P116">
        <f>IF(OR(B116="",L116&lt;&gt;"",D116=""),"",K116+ROW()/10000000)</f>
        <v/>
      </c>
    </row>
    <row r="117">
      <c r="A117" s="1" t="n"/>
      <c r="B117" s="17" t="n"/>
      <c r="C117" s="18" t="n"/>
      <c r="D117" s="16" t="n"/>
      <c r="E117" s="16" t="n"/>
      <c r="F117" s="16" t="n"/>
      <c r="G117" s="25">
        <f>IF(B117="","",SUMIFS(Timesheet!$M$6:$M$2005,Timesheet!$P$6:$P$2005,B117))</f>
        <v/>
      </c>
      <c r="H117" s="14">
        <f>IF(B117="","",SUMIFS(Timesheet!$O$6:$O$2005,Timesheet!$P$6:$P$2005,B117))</f>
        <v/>
      </c>
      <c r="I117" s="14">
        <f>IF(B117="","",ROUND(H117*N(Settings!$C$12),2))</f>
        <v/>
      </c>
      <c r="J117" s="26">
        <f>IF(B117="","",H117+I117)</f>
        <v/>
      </c>
      <c r="K117" s="27">
        <f>IF(OR(B117="",D117=""),"",D117+IFERROR(IF(INDEX(Clients!$H$6:$H$45,MATCH(C117,Clients!$B$6:$B$45,0))="",N(Settings!$C$13),INDEX(Clients!$H$6:$H$45,MATCH(C117,Clients!$B$6:$B$45,0))),N(Settings!$C$13)))</f>
        <v/>
      </c>
      <c r="L117" s="16" t="n"/>
      <c r="M117" s="15">
        <f>IF(B117="","",IF(L117&lt;&gt;"","Paid",IF(D117="","Draft",IF(K117&lt;TODAY(),"Overdue "&amp;(TODAY()-K117)&amp;IF(TODAY()-K117=1," day"," days"),"Waiting"))))</f>
        <v/>
      </c>
      <c r="N117" s="1" t="n"/>
      <c r="O117">
        <f>IF(B117="","",ROW()-5)</f>
        <v/>
      </c>
      <c r="P117">
        <f>IF(OR(B117="",L117&lt;&gt;"",D117=""),"",K117+ROW()/10000000)</f>
        <v/>
      </c>
    </row>
    <row r="118">
      <c r="A118" s="1" t="n"/>
      <c r="B118" s="17" t="n"/>
      <c r="C118" s="18" t="n"/>
      <c r="D118" s="16" t="n"/>
      <c r="E118" s="16" t="n"/>
      <c r="F118" s="16" t="n"/>
      <c r="G118" s="25">
        <f>IF(B118="","",SUMIFS(Timesheet!$M$6:$M$2005,Timesheet!$P$6:$P$2005,B118))</f>
        <v/>
      </c>
      <c r="H118" s="14">
        <f>IF(B118="","",SUMIFS(Timesheet!$O$6:$O$2005,Timesheet!$P$6:$P$2005,B118))</f>
        <v/>
      </c>
      <c r="I118" s="14">
        <f>IF(B118="","",ROUND(H118*N(Settings!$C$12),2))</f>
        <v/>
      </c>
      <c r="J118" s="26">
        <f>IF(B118="","",H118+I118)</f>
        <v/>
      </c>
      <c r="K118" s="27">
        <f>IF(OR(B118="",D118=""),"",D118+IFERROR(IF(INDEX(Clients!$H$6:$H$45,MATCH(C118,Clients!$B$6:$B$45,0))="",N(Settings!$C$13),INDEX(Clients!$H$6:$H$45,MATCH(C118,Clients!$B$6:$B$45,0))),N(Settings!$C$13)))</f>
        <v/>
      </c>
      <c r="L118" s="16" t="n"/>
      <c r="M118" s="15">
        <f>IF(B118="","",IF(L118&lt;&gt;"","Paid",IF(D118="","Draft",IF(K118&lt;TODAY(),"Overdue "&amp;(TODAY()-K118)&amp;IF(TODAY()-K118=1," day"," days"),"Waiting"))))</f>
        <v/>
      </c>
      <c r="N118" s="1" t="n"/>
      <c r="O118">
        <f>IF(B118="","",ROW()-5)</f>
        <v/>
      </c>
      <c r="P118">
        <f>IF(OR(B118="",L118&lt;&gt;"",D118=""),"",K118+ROW()/10000000)</f>
        <v/>
      </c>
    </row>
    <row r="119">
      <c r="A119" s="1" t="n"/>
      <c r="B119" s="17" t="n"/>
      <c r="C119" s="18" t="n"/>
      <c r="D119" s="16" t="n"/>
      <c r="E119" s="16" t="n"/>
      <c r="F119" s="16" t="n"/>
      <c r="G119" s="25">
        <f>IF(B119="","",SUMIFS(Timesheet!$M$6:$M$2005,Timesheet!$P$6:$P$2005,B119))</f>
        <v/>
      </c>
      <c r="H119" s="14">
        <f>IF(B119="","",SUMIFS(Timesheet!$O$6:$O$2005,Timesheet!$P$6:$P$2005,B119))</f>
        <v/>
      </c>
      <c r="I119" s="14">
        <f>IF(B119="","",ROUND(H119*N(Settings!$C$12),2))</f>
        <v/>
      </c>
      <c r="J119" s="26">
        <f>IF(B119="","",H119+I119)</f>
        <v/>
      </c>
      <c r="K119" s="27">
        <f>IF(OR(B119="",D119=""),"",D119+IFERROR(IF(INDEX(Clients!$H$6:$H$45,MATCH(C119,Clients!$B$6:$B$45,0))="",N(Settings!$C$13),INDEX(Clients!$H$6:$H$45,MATCH(C119,Clients!$B$6:$B$45,0))),N(Settings!$C$13)))</f>
        <v/>
      </c>
      <c r="L119" s="16" t="n"/>
      <c r="M119" s="15">
        <f>IF(B119="","",IF(L119&lt;&gt;"","Paid",IF(D119="","Draft",IF(K119&lt;TODAY(),"Overdue "&amp;(TODAY()-K119)&amp;IF(TODAY()-K119=1," day"," days"),"Waiting"))))</f>
        <v/>
      </c>
      <c r="N119" s="1" t="n"/>
      <c r="O119">
        <f>IF(B119="","",ROW()-5)</f>
        <v/>
      </c>
      <c r="P119">
        <f>IF(OR(B119="",L119&lt;&gt;"",D119=""),"",K119+ROW()/10000000)</f>
        <v/>
      </c>
    </row>
    <row r="120">
      <c r="A120" s="1" t="n"/>
      <c r="B120" s="17" t="n"/>
      <c r="C120" s="18" t="n"/>
      <c r="D120" s="16" t="n"/>
      <c r="E120" s="16" t="n"/>
      <c r="F120" s="16" t="n"/>
      <c r="G120" s="25">
        <f>IF(B120="","",SUMIFS(Timesheet!$M$6:$M$2005,Timesheet!$P$6:$P$2005,B120))</f>
        <v/>
      </c>
      <c r="H120" s="14">
        <f>IF(B120="","",SUMIFS(Timesheet!$O$6:$O$2005,Timesheet!$P$6:$P$2005,B120))</f>
        <v/>
      </c>
      <c r="I120" s="14">
        <f>IF(B120="","",ROUND(H120*N(Settings!$C$12),2))</f>
        <v/>
      </c>
      <c r="J120" s="26">
        <f>IF(B120="","",H120+I120)</f>
        <v/>
      </c>
      <c r="K120" s="27">
        <f>IF(OR(B120="",D120=""),"",D120+IFERROR(IF(INDEX(Clients!$H$6:$H$45,MATCH(C120,Clients!$B$6:$B$45,0))="",N(Settings!$C$13),INDEX(Clients!$H$6:$H$45,MATCH(C120,Clients!$B$6:$B$45,0))),N(Settings!$C$13)))</f>
        <v/>
      </c>
      <c r="L120" s="16" t="n"/>
      <c r="M120" s="15">
        <f>IF(B120="","",IF(L120&lt;&gt;"","Paid",IF(D120="","Draft",IF(K120&lt;TODAY(),"Overdue "&amp;(TODAY()-K120)&amp;IF(TODAY()-K120=1," day"," days"),"Waiting"))))</f>
        <v/>
      </c>
      <c r="N120" s="1" t="n"/>
      <c r="O120">
        <f>IF(B120="","",ROW()-5)</f>
        <v/>
      </c>
      <c r="P120">
        <f>IF(OR(B120="",L120&lt;&gt;"",D120=""),"",K120+ROW()/10000000)</f>
        <v/>
      </c>
    </row>
    <row r="121">
      <c r="A121" s="1" t="n"/>
      <c r="B121" s="17" t="n"/>
      <c r="C121" s="18" t="n"/>
      <c r="D121" s="16" t="n"/>
      <c r="E121" s="16" t="n"/>
      <c r="F121" s="16" t="n"/>
      <c r="G121" s="25">
        <f>IF(B121="","",SUMIFS(Timesheet!$M$6:$M$2005,Timesheet!$P$6:$P$2005,B121))</f>
        <v/>
      </c>
      <c r="H121" s="14">
        <f>IF(B121="","",SUMIFS(Timesheet!$O$6:$O$2005,Timesheet!$P$6:$P$2005,B121))</f>
        <v/>
      </c>
      <c r="I121" s="14">
        <f>IF(B121="","",ROUND(H121*N(Settings!$C$12),2))</f>
        <v/>
      </c>
      <c r="J121" s="26">
        <f>IF(B121="","",H121+I121)</f>
        <v/>
      </c>
      <c r="K121" s="27">
        <f>IF(OR(B121="",D121=""),"",D121+IFERROR(IF(INDEX(Clients!$H$6:$H$45,MATCH(C121,Clients!$B$6:$B$45,0))="",N(Settings!$C$13),INDEX(Clients!$H$6:$H$45,MATCH(C121,Clients!$B$6:$B$45,0))),N(Settings!$C$13)))</f>
        <v/>
      </c>
      <c r="L121" s="16" t="n"/>
      <c r="M121" s="15">
        <f>IF(B121="","",IF(L121&lt;&gt;"","Paid",IF(D121="","Draft",IF(K121&lt;TODAY(),"Overdue "&amp;(TODAY()-K121)&amp;IF(TODAY()-K121=1," day"," days"),"Waiting"))))</f>
        <v/>
      </c>
      <c r="N121" s="1" t="n"/>
      <c r="O121">
        <f>IF(B121="","",ROW()-5)</f>
        <v/>
      </c>
      <c r="P121">
        <f>IF(OR(B121="",L121&lt;&gt;"",D121=""),"",K121+ROW()/10000000)</f>
        <v/>
      </c>
    </row>
    <row r="122">
      <c r="A122" s="1" t="n"/>
      <c r="B122" s="17" t="n"/>
      <c r="C122" s="18" t="n"/>
      <c r="D122" s="16" t="n"/>
      <c r="E122" s="16" t="n"/>
      <c r="F122" s="16" t="n"/>
      <c r="G122" s="25">
        <f>IF(B122="","",SUMIFS(Timesheet!$M$6:$M$2005,Timesheet!$P$6:$P$2005,B122))</f>
        <v/>
      </c>
      <c r="H122" s="14">
        <f>IF(B122="","",SUMIFS(Timesheet!$O$6:$O$2005,Timesheet!$P$6:$P$2005,B122))</f>
        <v/>
      </c>
      <c r="I122" s="14">
        <f>IF(B122="","",ROUND(H122*N(Settings!$C$12),2))</f>
        <v/>
      </c>
      <c r="J122" s="26">
        <f>IF(B122="","",H122+I122)</f>
        <v/>
      </c>
      <c r="K122" s="27">
        <f>IF(OR(B122="",D122=""),"",D122+IFERROR(IF(INDEX(Clients!$H$6:$H$45,MATCH(C122,Clients!$B$6:$B$45,0))="",N(Settings!$C$13),INDEX(Clients!$H$6:$H$45,MATCH(C122,Clients!$B$6:$B$45,0))),N(Settings!$C$13)))</f>
        <v/>
      </c>
      <c r="L122" s="16" t="n"/>
      <c r="M122" s="15">
        <f>IF(B122="","",IF(L122&lt;&gt;"","Paid",IF(D122="","Draft",IF(K122&lt;TODAY(),"Overdue "&amp;(TODAY()-K122)&amp;IF(TODAY()-K122=1," day"," days"),"Waiting"))))</f>
        <v/>
      </c>
      <c r="N122" s="1" t="n"/>
      <c r="O122">
        <f>IF(B122="","",ROW()-5)</f>
        <v/>
      </c>
      <c r="P122">
        <f>IF(OR(B122="",L122&lt;&gt;"",D122=""),"",K122+ROW()/10000000)</f>
        <v/>
      </c>
    </row>
    <row r="123">
      <c r="A123" s="1" t="n"/>
      <c r="B123" s="17" t="n"/>
      <c r="C123" s="18" t="n"/>
      <c r="D123" s="16" t="n"/>
      <c r="E123" s="16" t="n"/>
      <c r="F123" s="16" t="n"/>
      <c r="G123" s="25">
        <f>IF(B123="","",SUMIFS(Timesheet!$M$6:$M$2005,Timesheet!$P$6:$P$2005,B123))</f>
        <v/>
      </c>
      <c r="H123" s="14">
        <f>IF(B123="","",SUMIFS(Timesheet!$O$6:$O$2005,Timesheet!$P$6:$P$2005,B123))</f>
        <v/>
      </c>
      <c r="I123" s="14">
        <f>IF(B123="","",ROUND(H123*N(Settings!$C$12),2))</f>
        <v/>
      </c>
      <c r="J123" s="26">
        <f>IF(B123="","",H123+I123)</f>
        <v/>
      </c>
      <c r="K123" s="27">
        <f>IF(OR(B123="",D123=""),"",D123+IFERROR(IF(INDEX(Clients!$H$6:$H$45,MATCH(C123,Clients!$B$6:$B$45,0))="",N(Settings!$C$13),INDEX(Clients!$H$6:$H$45,MATCH(C123,Clients!$B$6:$B$45,0))),N(Settings!$C$13)))</f>
        <v/>
      </c>
      <c r="L123" s="16" t="n"/>
      <c r="M123" s="15">
        <f>IF(B123="","",IF(L123&lt;&gt;"","Paid",IF(D123="","Draft",IF(K123&lt;TODAY(),"Overdue "&amp;(TODAY()-K123)&amp;IF(TODAY()-K123=1," day"," days"),"Waiting"))))</f>
        <v/>
      </c>
      <c r="N123" s="1" t="n"/>
      <c r="O123">
        <f>IF(B123="","",ROW()-5)</f>
        <v/>
      </c>
      <c r="P123">
        <f>IF(OR(B123="",L123&lt;&gt;"",D123=""),"",K123+ROW()/10000000)</f>
        <v/>
      </c>
    </row>
    <row r="124">
      <c r="A124" s="1" t="n"/>
      <c r="B124" s="17" t="n"/>
      <c r="C124" s="18" t="n"/>
      <c r="D124" s="16" t="n"/>
      <c r="E124" s="16" t="n"/>
      <c r="F124" s="16" t="n"/>
      <c r="G124" s="25">
        <f>IF(B124="","",SUMIFS(Timesheet!$M$6:$M$2005,Timesheet!$P$6:$P$2005,B124))</f>
        <v/>
      </c>
      <c r="H124" s="14">
        <f>IF(B124="","",SUMIFS(Timesheet!$O$6:$O$2005,Timesheet!$P$6:$P$2005,B124))</f>
        <v/>
      </c>
      <c r="I124" s="14">
        <f>IF(B124="","",ROUND(H124*N(Settings!$C$12),2))</f>
        <v/>
      </c>
      <c r="J124" s="26">
        <f>IF(B124="","",H124+I124)</f>
        <v/>
      </c>
      <c r="K124" s="27">
        <f>IF(OR(B124="",D124=""),"",D124+IFERROR(IF(INDEX(Clients!$H$6:$H$45,MATCH(C124,Clients!$B$6:$B$45,0))="",N(Settings!$C$13),INDEX(Clients!$H$6:$H$45,MATCH(C124,Clients!$B$6:$B$45,0))),N(Settings!$C$13)))</f>
        <v/>
      </c>
      <c r="L124" s="16" t="n"/>
      <c r="M124" s="15">
        <f>IF(B124="","",IF(L124&lt;&gt;"","Paid",IF(D124="","Draft",IF(K124&lt;TODAY(),"Overdue "&amp;(TODAY()-K124)&amp;IF(TODAY()-K124=1," day"," days"),"Waiting"))))</f>
        <v/>
      </c>
      <c r="N124" s="1" t="n"/>
      <c r="O124">
        <f>IF(B124="","",ROW()-5)</f>
        <v/>
      </c>
      <c r="P124">
        <f>IF(OR(B124="",L124&lt;&gt;"",D124=""),"",K124+ROW()/10000000)</f>
        <v/>
      </c>
    </row>
    <row r="125">
      <c r="A125" s="1" t="n"/>
      <c r="B125" s="17" t="n"/>
      <c r="C125" s="18" t="n"/>
      <c r="D125" s="16" t="n"/>
      <c r="E125" s="16" t="n"/>
      <c r="F125" s="16" t="n"/>
      <c r="G125" s="25">
        <f>IF(B125="","",SUMIFS(Timesheet!$M$6:$M$2005,Timesheet!$P$6:$P$2005,B125))</f>
        <v/>
      </c>
      <c r="H125" s="14">
        <f>IF(B125="","",SUMIFS(Timesheet!$O$6:$O$2005,Timesheet!$P$6:$P$2005,B125))</f>
        <v/>
      </c>
      <c r="I125" s="14">
        <f>IF(B125="","",ROUND(H125*N(Settings!$C$12),2))</f>
        <v/>
      </c>
      <c r="J125" s="26">
        <f>IF(B125="","",H125+I125)</f>
        <v/>
      </c>
      <c r="K125" s="27">
        <f>IF(OR(B125="",D125=""),"",D125+IFERROR(IF(INDEX(Clients!$H$6:$H$45,MATCH(C125,Clients!$B$6:$B$45,0))="",N(Settings!$C$13),INDEX(Clients!$H$6:$H$45,MATCH(C125,Clients!$B$6:$B$45,0))),N(Settings!$C$13)))</f>
        <v/>
      </c>
      <c r="L125" s="16" t="n"/>
      <c r="M125" s="15">
        <f>IF(B125="","",IF(L125&lt;&gt;"","Paid",IF(D125="","Draft",IF(K125&lt;TODAY(),"Overdue "&amp;(TODAY()-K125)&amp;IF(TODAY()-K125=1," day"," days"),"Waiting"))))</f>
        <v/>
      </c>
      <c r="N125" s="1" t="n"/>
      <c r="O125">
        <f>IF(B125="","",ROW()-5)</f>
        <v/>
      </c>
      <c r="P125">
        <f>IF(OR(B125="",L125&lt;&gt;"",D125=""),"",K125+ROW()/10000000)</f>
        <v/>
      </c>
    </row>
    <row r="126">
      <c r="A126" s="1" t="n"/>
      <c r="B126" s="17" t="n"/>
      <c r="C126" s="18" t="n"/>
      <c r="D126" s="16" t="n"/>
      <c r="E126" s="16" t="n"/>
      <c r="F126" s="16" t="n"/>
      <c r="G126" s="25">
        <f>IF(B126="","",SUMIFS(Timesheet!$M$6:$M$2005,Timesheet!$P$6:$P$2005,B126))</f>
        <v/>
      </c>
      <c r="H126" s="14">
        <f>IF(B126="","",SUMIFS(Timesheet!$O$6:$O$2005,Timesheet!$P$6:$P$2005,B126))</f>
        <v/>
      </c>
      <c r="I126" s="14">
        <f>IF(B126="","",ROUND(H126*N(Settings!$C$12),2))</f>
        <v/>
      </c>
      <c r="J126" s="26">
        <f>IF(B126="","",H126+I126)</f>
        <v/>
      </c>
      <c r="K126" s="27">
        <f>IF(OR(B126="",D126=""),"",D126+IFERROR(IF(INDEX(Clients!$H$6:$H$45,MATCH(C126,Clients!$B$6:$B$45,0))="",N(Settings!$C$13),INDEX(Clients!$H$6:$H$45,MATCH(C126,Clients!$B$6:$B$45,0))),N(Settings!$C$13)))</f>
        <v/>
      </c>
      <c r="L126" s="16" t="n"/>
      <c r="M126" s="15">
        <f>IF(B126="","",IF(L126&lt;&gt;"","Paid",IF(D126="","Draft",IF(K126&lt;TODAY(),"Overdue "&amp;(TODAY()-K126)&amp;IF(TODAY()-K126=1," day"," days"),"Waiting"))))</f>
        <v/>
      </c>
      <c r="N126" s="1" t="n"/>
      <c r="O126">
        <f>IF(B126="","",ROW()-5)</f>
        <v/>
      </c>
      <c r="P126">
        <f>IF(OR(B126="",L126&lt;&gt;"",D126=""),"",K126+ROW()/10000000)</f>
        <v/>
      </c>
    </row>
    <row r="127">
      <c r="A127" s="1" t="n"/>
      <c r="B127" s="17" t="n"/>
      <c r="C127" s="18" t="n"/>
      <c r="D127" s="16" t="n"/>
      <c r="E127" s="16" t="n"/>
      <c r="F127" s="16" t="n"/>
      <c r="G127" s="25">
        <f>IF(B127="","",SUMIFS(Timesheet!$M$6:$M$2005,Timesheet!$P$6:$P$2005,B127))</f>
        <v/>
      </c>
      <c r="H127" s="14">
        <f>IF(B127="","",SUMIFS(Timesheet!$O$6:$O$2005,Timesheet!$P$6:$P$2005,B127))</f>
        <v/>
      </c>
      <c r="I127" s="14">
        <f>IF(B127="","",ROUND(H127*N(Settings!$C$12),2))</f>
        <v/>
      </c>
      <c r="J127" s="26">
        <f>IF(B127="","",H127+I127)</f>
        <v/>
      </c>
      <c r="K127" s="27">
        <f>IF(OR(B127="",D127=""),"",D127+IFERROR(IF(INDEX(Clients!$H$6:$H$45,MATCH(C127,Clients!$B$6:$B$45,0))="",N(Settings!$C$13),INDEX(Clients!$H$6:$H$45,MATCH(C127,Clients!$B$6:$B$45,0))),N(Settings!$C$13)))</f>
        <v/>
      </c>
      <c r="L127" s="16" t="n"/>
      <c r="M127" s="15">
        <f>IF(B127="","",IF(L127&lt;&gt;"","Paid",IF(D127="","Draft",IF(K127&lt;TODAY(),"Overdue "&amp;(TODAY()-K127)&amp;IF(TODAY()-K127=1," day"," days"),"Waiting"))))</f>
        <v/>
      </c>
      <c r="N127" s="1" t="n"/>
      <c r="O127">
        <f>IF(B127="","",ROW()-5)</f>
        <v/>
      </c>
      <c r="P127">
        <f>IF(OR(B127="",L127&lt;&gt;"",D127=""),"",K127+ROW()/10000000)</f>
        <v/>
      </c>
    </row>
    <row r="128">
      <c r="A128" s="1" t="n"/>
      <c r="B128" s="17" t="n"/>
      <c r="C128" s="18" t="n"/>
      <c r="D128" s="16" t="n"/>
      <c r="E128" s="16" t="n"/>
      <c r="F128" s="16" t="n"/>
      <c r="G128" s="25">
        <f>IF(B128="","",SUMIFS(Timesheet!$M$6:$M$2005,Timesheet!$P$6:$P$2005,B128))</f>
        <v/>
      </c>
      <c r="H128" s="14">
        <f>IF(B128="","",SUMIFS(Timesheet!$O$6:$O$2005,Timesheet!$P$6:$P$2005,B128))</f>
        <v/>
      </c>
      <c r="I128" s="14">
        <f>IF(B128="","",ROUND(H128*N(Settings!$C$12),2))</f>
        <v/>
      </c>
      <c r="J128" s="26">
        <f>IF(B128="","",H128+I128)</f>
        <v/>
      </c>
      <c r="K128" s="27">
        <f>IF(OR(B128="",D128=""),"",D128+IFERROR(IF(INDEX(Clients!$H$6:$H$45,MATCH(C128,Clients!$B$6:$B$45,0))="",N(Settings!$C$13),INDEX(Clients!$H$6:$H$45,MATCH(C128,Clients!$B$6:$B$45,0))),N(Settings!$C$13)))</f>
        <v/>
      </c>
      <c r="L128" s="16" t="n"/>
      <c r="M128" s="15">
        <f>IF(B128="","",IF(L128&lt;&gt;"","Paid",IF(D128="","Draft",IF(K128&lt;TODAY(),"Overdue "&amp;(TODAY()-K128)&amp;IF(TODAY()-K128=1," day"," days"),"Waiting"))))</f>
        <v/>
      </c>
      <c r="N128" s="1" t="n"/>
      <c r="O128">
        <f>IF(B128="","",ROW()-5)</f>
        <v/>
      </c>
      <c r="P128">
        <f>IF(OR(B128="",L128&lt;&gt;"",D128=""),"",K128+ROW()/10000000)</f>
        <v/>
      </c>
    </row>
    <row r="129">
      <c r="A129" s="1" t="n"/>
      <c r="B129" s="17" t="n"/>
      <c r="C129" s="18" t="n"/>
      <c r="D129" s="16" t="n"/>
      <c r="E129" s="16" t="n"/>
      <c r="F129" s="16" t="n"/>
      <c r="G129" s="25">
        <f>IF(B129="","",SUMIFS(Timesheet!$M$6:$M$2005,Timesheet!$P$6:$P$2005,B129))</f>
        <v/>
      </c>
      <c r="H129" s="14">
        <f>IF(B129="","",SUMIFS(Timesheet!$O$6:$O$2005,Timesheet!$P$6:$P$2005,B129))</f>
        <v/>
      </c>
      <c r="I129" s="14">
        <f>IF(B129="","",ROUND(H129*N(Settings!$C$12),2))</f>
        <v/>
      </c>
      <c r="J129" s="26">
        <f>IF(B129="","",H129+I129)</f>
        <v/>
      </c>
      <c r="K129" s="27">
        <f>IF(OR(B129="",D129=""),"",D129+IFERROR(IF(INDEX(Clients!$H$6:$H$45,MATCH(C129,Clients!$B$6:$B$45,0))="",N(Settings!$C$13),INDEX(Clients!$H$6:$H$45,MATCH(C129,Clients!$B$6:$B$45,0))),N(Settings!$C$13)))</f>
        <v/>
      </c>
      <c r="L129" s="16" t="n"/>
      <c r="M129" s="15">
        <f>IF(B129="","",IF(L129&lt;&gt;"","Paid",IF(D129="","Draft",IF(K129&lt;TODAY(),"Overdue "&amp;(TODAY()-K129)&amp;IF(TODAY()-K129=1," day"," days"),"Waiting"))))</f>
        <v/>
      </c>
      <c r="N129" s="1" t="n"/>
      <c r="O129">
        <f>IF(B129="","",ROW()-5)</f>
        <v/>
      </c>
      <c r="P129">
        <f>IF(OR(B129="",L129&lt;&gt;"",D129=""),"",K129+ROW()/10000000)</f>
        <v/>
      </c>
    </row>
    <row r="130">
      <c r="A130" s="1" t="n"/>
      <c r="B130" s="17" t="n"/>
      <c r="C130" s="18" t="n"/>
      <c r="D130" s="16" t="n"/>
      <c r="E130" s="16" t="n"/>
      <c r="F130" s="16" t="n"/>
      <c r="G130" s="25">
        <f>IF(B130="","",SUMIFS(Timesheet!$M$6:$M$2005,Timesheet!$P$6:$P$2005,B130))</f>
        <v/>
      </c>
      <c r="H130" s="14">
        <f>IF(B130="","",SUMIFS(Timesheet!$O$6:$O$2005,Timesheet!$P$6:$P$2005,B130))</f>
        <v/>
      </c>
      <c r="I130" s="14">
        <f>IF(B130="","",ROUND(H130*N(Settings!$C$12),2))</f>
        <v/>
      </c>
      <c r="J130" s="26">
        <f>IF(B130="","",H130+I130)</f>
        <v/>
      </c>
      <c r="K130" s="27">
        <f>IF(OR(B130="",D130=""),"",D130+IFERROR(IF(INDEX(Clients!$H$6:$H$45,MATCH(C130,Clients!$B$6:$B$45,0))="",N(Settings!$C$13),INDEX(Clients!$H$6:$H$45,MATCH(C130,Clients!$B$6:$B$45,0))),N(Settings!$C$13)))</f>
        <v/>
      </c>
      <c r="L130" s="16" t="n"/>
      <c r="M130" s="15">
        <f>IF(B130="","",IF(L130&lt;&gt;"","Paid",IF(D130="","Draft",IF(K130&lt;TODAY(),"Overdue "&amp;(TODAY()-K130)&amp;IF(TODAY()-K130=1," day"," days"),"Waiting"))))</f>
        <v/>
      </c>
      <c r="N130" s="1" t="n"/>
      <c r="O130">
        <f>IF(B130="","",ROW()-5)</f>
        <v/>
      </c>
      <c r="P130">
        <f>IF(OR(B130="",L130&lt;&gt;"",D130=""),"",K130+ROW()/10000000)</f>
        <v/>
      </c>
    </row>
    <row r="131">
      <c r="A131" s="1" t="n"/>
      <c r="B131" s="17" t="n"/>
      <c r="C131" s="18" t="n"/>
      <c r="D131" s="16" t="n"/>
      <c r="E131" s="16" t="n"/>
      <c r="F131" s="16" t="n"/>
      <c r="G131" s="25">
        <f>IF(B131="","",SUMIFS(Timesheet!$M$6:$M$2005,Timesheet!$P$6:$P$2005,B131))</f>
        <v/>
      </c>
      <c r="H131" s="14">
        <f>IF(B131="","",SUMIFS(Timesheet!$O$6:$O$2005,Timesheet!$P$6:$P$2005,B131))</f>
        <v/>
      </c>
      <c r="I131" s="14">
        <f>IF(B131="","",ROUND(H131*N(Settings!$C$12),2))</f>
        <v/>
      </c>
      <c r="J131" s="26">
        <f>IF(B131="","",H131+I131)</f>
        <v/>
      </c>
      <c r="K131" s="27">
        <f>IF(OR(B131="",D131=""),"",D131+IFERROR(IF(INDEX(Clients!$H$6:$H$45,MATCH(C131,Clients!$B$6:$B$45,0))="",N(Settings!$C$13),INDEX(Clients!$H$6:$H$45,MATCH(C131,Clients!$B$6:$B$45,0))),N(Settings!$C$13)))</f>
        <v/>
      </c>
      <c r="L131" s="16" t="n"/>
      <c r="M131" s="15">
        <f>IF(B131="","",IF(L131&lt;&gt;"","Paid",IF(D131="","Draft",IF(K131&lt;TODAY(),"Overdue "&amp;(TODAY()-K131)&amp;IF(TODAY()-K131=1," day"," days"),"Waiting"))))</f>
        <v/>
      </c>
      <c r="N131" s="1" t="n"/>
      <c r="O131">
        <f>IF(B131="","",ROW()-5)</f>
        <v/>
      </c>
      <c r="P131">
        <f>IF(OR(B131="",L131&lt;&gt;"",D131=""),"",K131+ROW()/10000000)</f>
        <v/>
      </c>
    </row>
    <row r="132">
      <c r="A132" s="1" t="n"/>
      <c r="B132" s="17" t="n"/>
      <c r="C132" s="18" t="n"/>
      <c r="D132" s="16" t="n"/>
      <c r="E132" s="16" t="n"/>
      <c r="F132" s="16" t="n"/>
      <c r="G132" s="25">
        <f>IF(B132="","",SUMIFS(Timesheet!$M$6:$M$2005,Timesheet!$P$6:$P$2005,B132))</f>
        <v/>
      </c>
      <c r="H132" s="14">
        <f>IF(B132="","",SUMIFS(Timesheet!$O$6:$O$2005,Timesheet!$P$6:$P$2005,B132))</f>
        <v/>
      </c>
      <c r="I132" s="14">
        <f>IF(B132="","",ROUND(H132*N(Settings!$C$12),2))</f>
        <v/>
      </c>
      <c r="J132" s="26">
        <f>IF(B132="","",H132+I132)</f>
        <v/>
      </c>
      <c r="K132" s="27">
        <f>IF(OR(B132="",D132=""),"",D132+IFERROR(IF(INDEX(Clients!$H$6:$H$45,MATCH(C132,Clients!$B$6:$B$45,0))="",N(Settings!$C$13),INDEX(Clients!$H$6:$H$45,MATCH(C132,Clients!$B$6:$B$45,0))),N(Settings!$C$13)))</f>
        <v/>
      </c>
      <c r="L132" s="16" t="n"/>
      <c r="M132" s="15">
        <f>IF(B132="","",IF(L132&lt;&gt;"","Paid",IF(D132="","Draft",IF(K132&lt;TODAY(),"Overdue "&amp;(TODAY()-K132)&amp;IF(TODAY()-K132=1," day"," days"),"Waiting"))))</f>
        <v/>
      </c>
      <c r="N132" s="1" t="n"/>
      <c r="O132">
        <f>IF(B132="","",ROW()-5)</f>
        <v/>
      </c>
      <c r="P132">
        <f>IF(OR(B132="",L132&lt;&gt;"",D132=""),"",K132+ROW()/10000000)</f>
        <v/>
      </c>
    </row>
    <row r="133">
      <c r="A133" s="1" t="n"/>
      <c r="B133" s="17" t="n"/>
      <c r="C133" s="18" t="n"/>
      <c r="D133" s="16" t="n"/>
      <c r="E133" s="16" t="n"/>
      <c r="F133" s="16" t="n"/>
      <c r="G133" s="25">
        <f>IF(B133="","",SUMIFS(Timesheet!$M$6:$M$2005,Timesheet!$P$6:$P$2005,B133))</f>
        <v/>
      </c>
      <c r="H133" s="14">
        <f>IF(B133="","",SUMIFS(Timesheet!$O$6:$O$2005,Timesheet!$P$6:$P$2005,B133))</f>
        <v/>
      </c>
      <c r="I133" s="14">
        <f>IF(B133="","",ROUND(H133*N(Settings!$C$12),2))</f>
        <v/>
      </c>
      <c r="J133" s="26">
        <f>IF(B133="","",H133+I133)</f>
        <v/>
      </c>
      <c r="K133" s="27">
        <f>IF(OR(B133="",D133=""),"",D133+IFERROR(IF(INDEX(Clients!$H$6:$H$45,MATCH(C133,Clients!$B$6:$B$45,0))="",N(Settings!$C$13),INDEX(Clients!$H$6:$H$45,MATCH(C133,Clients!$B$6:$B$45,0))),N(Settings!$C$13)))</f>
        <v/>
      </c>
      <c r="L133" s="16" t="n"/>
      <c r="M133" s="15">
        <f>IF(B133="","",IF(L133&lt;&gt;"","Paid",IF(D133="","Draft",IF(K133&lt;TODAY(),"Overdue "&amp;(TODAY()-K133)&amp;IF(TODAY()-K133=1," day"," days"),"Waiting"))))</f>
        <v/>
      </c>
      <c r="N133" s="1" t="n"/>
      <c r="O133">
        <f>IF(B133="","",ROW()-5)</f>
        <v/>
      </c>
      <c r="P133">
        <f>IF(OR(B133="",L133&lt;&gt;"",D133=""),"",K133+ROW()/10000000)</f>
        <v/>
      </c>
    </row>
    <row r="134">
      <c r="A134" s="1" t="n"/>
      <c r="B134" s="17" t="n"/>
      <c r="C134" s="18" t="n"/>
      <c r="D134" s="16" t="n"/>
      <c r="E134" s="16" t="n"/>
      <c r="F134" s="16" t="n"/>
      <c r="G134" s="25">
        <f>IF(B134="","",SUMIFS(Timesheet!$M$6:$M$2005,Timesheet!$P$6:$P$2005,B134))</f>
        <v/>
      </c>
      <c r="H134" s="14">
        <f>IF(B134="","",SUMIFS(Timesheet!$O$6:$O$2005,Timesheet!$P$6:$P$2005,B134))</f>
        <v/>
      </c>
      <c r="I134" s="14">
        <f>IF(B134="","",ROUND(H134*N(Settings!$C$12),2))</f>
        <v/>
      </c>
      <c r="J134" s="26">
        <f>IF(B134="","",H134+I134)</f>
        <v/>
      </c>
      <c r="K134" s="27">
        <f>IF(OR(B134="",D134=""),"",D134+IFERROR(IF(INDEX(Clients!$H$6:$H$45,MATCH(C134,Clients!$B$6:$B$45,0))="",N(Settings!$C$13),INDEX(Clients!$H$6:$H$45,MATCH(C134,Clients!$B$6:$B$45,0))),N(Settings!$C$13)))</f>
        <v/>
      </c>
      <c r="L134" s="16" t="n"/>
      <c r="M134" s="15">
        <f>IF(B134="","",IF(L134&lt;&gt;"","Paid",IF(D134="","Draft",IF(K134&lt;TODAY(),"Overdue "&amp;(TODAY()-K134)&amp;IF(TODAY()-K134=1," day"," days"),"Waiting"))))</f>
        <v/>
      </c>
      <c r="N134" s="1" t="n"/>
      <c r="O134">
        <f>IF(B134="","",ROW()-5)</f>
        <v/>
      </c>
      <c r="P134">
        <f>IF(OR(B134="",L134&lt;&gt;"",D134=""),"",K134+ROW()/10000000)</f>
        <v/>
      </c>
    </row>
    <row r="135">
      <c r="A135" s="1" t="n"/>
      <c r="B135" s="17" t="n"/>
      <c r="C135" s="18" t="n"/>
      <c r="D135" s="16" t="n"/>
      <c r="E135" s="16" t="n"/>
      <c r="F135" s="16" t="n"/>
      <c r="G135" s="25">
        <f>IF(B135="","",SUMIFS(Timesheet!$M$6:$M$2005,Timesheet!$P$6:$P$2005,B135))</f>
        <v/>
      </c>
      <c r="H135" s="14">
        <f>IF(B135="","",SUMIFS(Timesheet!$O$6:$O$2005,Timesheet!$P$6:$P$2005,B135))</f>
        <v/>
      </c>
      <c r="I135" s="14">
        <f>IF(B135="","",ROUND(H135*N(Settings!$C$12),2))</f>
        <v/>
      </c>
      <c r="J135" s="26">
        <f>IF(B135="","",H135+I135)</f>
        <v/>
      </c>
      <c r="K135" s="27">
        <f>IF(OR(B135="",D135=""),"",D135+IFERROR(IF(INDEX(Clients!$H$6:$H$45,MATCH(C135,Clients!$B$6:$B$45,0))="",N(Settings!$C$13),INDEX(Clients!$H$6:$H$45,MATCH(C135,Clients!$B$6:$B$45,0))),N(Settings!$C$13)))</f>
        <v/>
      </c>
      <c r="L135" s="16" t="n"/>
      <c r="M135" s="15">
        <f>IF(B135="","",IF(L135&lt;&gt;"","Paid",IF(D135="","Draft",IF(K135&lt;TODAY(),"Overdue "&amp;(TODAY()-K135)&amp;IF(TODAY()-K135=1," day"," days"),"Waiting"))))</f>
        <v/>
      </c>
      <c r="N135" s="1" t="n"/>
      <c r="O135">
        <f>IF(B135="","",ROW()-5)</f>
        <v/>
      </c>
      <c r="P135">
        <f>IF(OR(B135="",L135&lt;&gt;"",D135=""),"",K135+ROW()/10000000)</f>
        <v/>
      </c>
    </row>
    <row r="136">
      <c r="A136" s="1" t="n"/>
      <c r="B136" s="17" t="n"/>
      <c r="C136" s="18" t="n"/>
      <c r="D136" s="16" t="n"/>
      <c r="E136" s="16" t="n"/>
      <c r="F136" s="16" t="n"/>
      <c r="G136" s="25">
        <f>IF(B136="","",SUMIFS(Timesheet!$M$6:$M$2005,Timesheet!$P$6:$P$2005,B136))</f>
        <v/>
      </c>
      <c r="H136" s="14">
        <f>IF(B136="","",SUMIFS(Timesheet!$O$6:$O$2005,Timesheet!$P$6:$P$2005,B136))</f>
        <v/>
      </c>
      <c r="I136" s="14">
        <f>IF(B136="","",ROUND(H136*N(Settings!$C$12),2))</f>
        <v/>
      </c>
      <c r="J136" s="26">
        <f>IF(B136="","",H136+I136)</f>
        <v/>
      </c>
      <c r="K136" s="27">
        <f>IF(OR(B136="",D136=""),"",D136+IFERROR(IF(INDEX(Clients!$H$6:$H$45,MATCH(C136,Clients!$B$6:$B$45,0))="",N(Settings!$C$13),INDEX(Clients!$H$6:$H$45,MATCH(C136,Clients!$B$6:$B$45,0))),N(Settings!$C$13)))</f>
        <v/>
      </c>
      <c r="L136" s="16" t="n"/>
      <c r="M136" s="15">
        <f>IF(B136="","",IF(L136&lt;&gt;"","Paid",IF(D136="","Draft",IF(K136&lt;TODAY(),"Overdue "&amp;(TODAY()-K136)&amp;IF(TODAY()-K136=1," day"," days"),"Waiting"))))</f>
        <v/>
      </c>
      <c r="N136" s="1" t="n"/>
      <c r="O136">
        <f>IF(B136="","",ROW()-5)</f>
        <v/>
      </c>
      <c r="P136">
        <f>IF(OR(B136="",L136&lt;&gt;"",D136=""),"",K136+ROW()/10000000)</f>
        <v/>
      </c>
    </row>
    <row r="137">
      <c r="A137" s="1" t="n"/>
      <c r="B137" s="17" t="n"/>
      <c r="C137" s="18" t="n"/>
      <c r="D137" s="16" t="n"/>
      <c r="E137" s="16" t="n"/>
      <c r="F137" s="16" t="n"/>
      <c r="G137" s="25">
        <f>IF(B137="","",SUMIFS(Timesheet!$M$6:$M$2005,Timesheet!$P$6:$P$2005,B137))</f>
        <v/>
      </c>
      <c r="H137" s="14">
        <f>IF(B137="","",SUMIFS(Timesheet!$O$6:$O$2005,Timesheet!$P$6:$P$2005,B137))</f>
        <v/>
      </c>
      <c r="I137" s="14">
        <f>IF(B137="","",ROUND(H137*N(Settings!$C$12),2))</f>
        <v/>
      </c>
      <c r="J137" s="26">
        <f>IF(B137="","",H137+I137)</f>
        <v/>
      </c>
      <c r="K137" s="27">
        <f>IF(OR(B137="",D137=""),"",D137+IFERROR(IF(INDEX(Clients!$H$6:$H$45,MATCH(C137,Clients!$B$6:$B$45,0))="",N(Settings!$C$13),INDEX(Clients!$H$6:$H$45,MATCH(C137,Clients!$B$6:$B$45,0))),N(Settings!$C$13)))</f>
        <v/>
      </c>
      <c r="L137" s="16" t="n"/>
      <c r="M137" s="15">
        <f>IF(B137="","",IF(L137&lt;&gt;"","Paid",IF(D137="","Draft",IF(K137&lt;TODAY(),"Overdue "&amp;(TODAY()-K137)&amp;IF(TODAY()-K137=1," day"," days"),"Waiting"))))</f>
        <v/>
      </c>
      <c r="N137" s="1" t="n"/>
      <c r="O137">
        <f>IF(B137="","",ROW()-5)</f>
        <v/>
      </c>
      <c r="P137">
        <f>IF(OR(B137="",L137&lt;&gt;"",D137=""),"",K137+ROW()/10000000)</f>
        <v/>
      </c>
    </row>
    <row r="138">
      <c r="A138" s="1" t="n"/>
      <c r="B138" s="17" t="n"/>
      <c r="C138" s="18" t="n"/>
      <c r="D138" s="16" t="n"/>
      <c r="E138" s="16" t="n"/>
      <c r="F138" s="16" t="n"/>
      <c r="G138" s="25">
        <f>IF(B138="","",SUMIFS(Timesheet!$M$6:$M$2005,Timesheet!$P$6:$P$2005,B138))</f>
        <v/>
      </c>
      <c r="H138" s="14">
        <f>IF(B138="","",SUMIFS(Timesheet!$O$6:$O$2005,Timesheet!$P$6:$P$2005,B138))</f>
        <v/>
      </c>
      <c r="I138" s="14">
        <f>IF(B138="","",ROUND(H138*N(Settings!$C$12),2))</f>
        <v/>
      </c>
      <c r="J138" s="26">
        <f>IF(B138="","",H138+I138)</f>
        <v/>
      </c>
      <c r="K138" s="27">
        <f>IF(OR(B138="",D138=""),"",D138+IFERROR(IF(INDEX(Clients!$H$6:$H$45,MATCH(C138,Clients!$B$6:$B$45,0))="",N(Settings!$C$13),INDEX(Clients!$H$6:$H$45,MATCH(C138,Clients!$B$6:$B$45,0))),N(Settings!$C$13)))</f>
        <v/>
      </c>
      <c r="L138" s="16" t="n"/>
      <c r="M138" s="15">
        <f>IF(B138="","",IF(L138&lt;&gt;"","Paid",IF(D138="","Draft",IF(K138&lt;TODAY(),"Overdue "&amp;(TODAY()-K138)&amp;IF(TODAY()-K138=1," day"," days"),"Waiting"))))</f>
        <v/>
      </c>
      <c r="N138" s="1" t="n"/>
      <c r="O138">
        <f>IF(B138="","",ROW()-5)</f>
        <v/>
      </c>
      <c r="P138">
        <f>IF(OR(B138="",L138&lt;&gt;"",D138=""),"",K138+ROW()/10000000)</f>
        <v/>
      </c>
    </row>
    <row r="139">
      <c r="A139" s="1" t="n"/>
      <c r="B139" s="17" t="n"/>
      <c r="C139" s="18" t="n"/>
      <c r="D139" s="16" t="n"/>
      <c r="E139" s="16" t="n"/>
      <c r="F139" s="16" t="n"/>
      <c r="G139" s="25">
        <f>IF(B139="","",SUMIFS(Timesheet!$M$6:$M$2005,Timesheet!$P$6:$P$2005,B139))</f>
        <v/>
      </c>
      <c r="H139" s="14">
        <f>IF(B139="","",SUMIFS(Timesheet!$O$6:$O$2005,Timesheet!$P$6:$P$2005,B139))</f>
        <v/>
      </c>
      <c r="I139" s="14">
        <f>IF(B139="","",ROUND(H139*N(Settings!$C$12),2))</f>
        <v/>
      </c>
      <c r="J139" s="26">
        <f>IF(B139="","",H139+I139)</f>
        <v/>
      </c>
      <c r="K139" s="27">
        <f>IF(OR(B139="",D139=""),"",D139+IFERROR(IF(INDEX(Clients!$H$6:$H$45,MATCH(C139,Clients!$B$6:$B$45,0))="",N(Settings!$C$13),INDEX(Clients!$H$6:$H$45,MATCH(C139,Clients!$B$6:$B$45,0))),N(Settings!$C$13)))</f>
        <v/>
      </c>
      <c r="L139" s="16" t="n"/>
      <c r="M139" s="15">
        <f>IF(B139="","",IF(L139&lt;&gt;"","Paid",IF(D139="","Draft",IF(K139&lt;TODAY(),"Overdue "&amp;(TODAY()-K139)&amp;IF(TODAY()-K139=1," day"," days"),"Waiting"))))</f>
        <v/>
      </c>
      <c r="N139" s="1" t="n"/>
      <c r="O139">
        <f>IF(B139="","",ROW()-5)</f>
        <v/>
      </c>
      <c r="P139">
        <f>IF(OR(B139="",L139&lt;&gt;"",D139=""),"",K139+ROW()/10000000)</f>
        <v/>
      </c>
    </row>
    <row r="140">
      <c r="A140" s="1" t="n"/>
      <c r="B140" s="17" t="n"/>
      <c r="C140" s="18" t="n"/>
      <c r="D140" s="16" t="n"/>
      <c r="E140" s="16" t="n"/>
      <c r="F140" s="16" t="n"/>
      <c r="G140" s="25">
        <f>IF(B140="","",SUMIFS(Timesheet!$M$6:$M$2005,Timesheet!$P$6:$P$2005,B140))</f>
        <v/>
      </c>
      <c r="H140" s="14">
        <f>IF(B140="","",SUMIFS(Timesheet!$O$6:$O$2005,Timesheet!$P$6:$P$2005,B140))</f>
        <v/>
      </c>
      <c r="I140" s="14">
        <f>IF(B140="","",ROUND(H140*N(Settings!$C$12),2))</f>
        <v/>
      </c>
      <c r="J140" s="26">
        <f>IF(B140="","",H140+I140)</f>
        <v/>
      </c>
      <c r="K140" s="27">
        <f>IF(OR(B140="",D140=""),"",D140+IFERROR(IF(INDEX(Clients!$H$6:$H$45,MATCH(C140,Clients!$B$6:$B$45,0))="",N(Settings!$C$13),INDEX(Clients!$H$6:$H$45,MATCH(C140,Clients!$B$6:$B$45,0))),N(Settings!$C$13)))</f>
        <v/>
      </c>
      <c r="L140" s="16" t="n"/>
      <c r="M140" s="15">
        <f>IF(B140="","",IF(L140&lt;&gt;"","Paid",IF(D140="","Draft",IF(K140&lt;TODAY(),"Overdue "&amp;(TODAY()-K140)&amp;IF(TODAY()-K140=1," day"," days"),"Waiting"))))</f>
        <v/>
      </c>
      <c r="N140" s="1" t="n"/>
      <c r="O140">
        <f>IF(B140="","",ROW()-5)</f>
        <v/>
      </c>
      <c r="P140">
        <f>IF(OR(B140="",L140&lt;&gt;"",D140=""),"",K140+ROW()/10000000)</f>
        <v/>
      </c>
    </row>
    <row r="141">
      <c r="A141" s="1" t="n"/>
      <c r="B141" s="17" t="n"/>
      <c r="C141" s="18" t="n"/>
      <c r="D141" s="16" t="n"/>
      <c r="E141" s="16" t="n"/>
      <c r="F141" s="16" t="n"/>
      <c r="G141" s="25">
        <f>IF(B141="","",SUMIFS(Timesheet!$M$6:$M$2005,Timesheet!$P$6:$P$2005,B141))</f>
        <v/>
      </c>
      <c r="H141" s="14">
        <f>IF(B141="","",SUMIFS(Timesheet!$O$6:$O$2005,Timesheet!$P$6:$P$2005,B141))</f>
        <v/>
      </c>
      <c r="I141" s="14">
        <f>IF(B141="","",ROUND(H141*N(Settings!$C$12),2))</f>
        <v/>
      </c>
      <c r="J141" s="26">
        <f>IF(B141="","",H141+I141)</f>
        <v/>
      </c>
      <c r="K141" s="27">
        <f>IF(OR(B141="",D141=""),"",D141+IFERROR(IF(INDEX(Clients!$H$6:$H$45,MATCH(C141,Clients!$B$6:$B$45,0))="",N(Settings!$C$13),INDEX(Clients!$H$6:$H$45,MATCH(C141,Clients!$B$6:$B$45,0))),N(Settings!$C$13)))</f>
        <v/>
      </c>
      <c r="L141" s="16" t="n"/>
      <c r="M141" s="15">
        <f>IF(B141="","",IF(L141&lt;&gt;"","Paid",IF(D141="","Draft",IF(K141&lt;TODAY(),"Overdue "&amp;(TODAY()-K141)&amp;IF(TODAY()-K141=1," day"," days"),"Waiting"))))</f>
        <v/>
      </c>
      <c r="N141" s="1" t="n"/>
      <c r="O141">
        <f>IF(B141="","",ROW()-5)</f>
        <v/>
      </c>
      <c r="P141">
        <f>IF(OR(B141="",L141&lt;&gt;"",D141=""),"",K141+ROW()/10000000)</f>
        <v/>
      </c>
    </row>
    <row r="142">
      <c r="A142" s="1" t="n"/>
      <c r="B142" s="17" t="n"/>
      <c r="C142" s="18" t="n"/>
      <c r="D142" s="16" t="n"/>
      <c r="E142" s="16" t="n"/>
      <c r="F142" s="16" t="n"/>
      <c r="G142" s="25">
        <f>IF(B142="","",SUMIFS(Timesheet!$M$6:$M$2005,Timesheet!$P$6:$P$2005,B142))</f>
        <v/>
      </c>
      <c r="H142" s="14">
        <f>IF(B142="","",SUMIFS(Timesheet!$O$6:$O$2005,Timesheet!$P$6:$P$2005,B142))</f>
        <v/>
      </c>
      <c r="I142" s="14">
        <f>IF(B142="","",ROUND(H142*N(Settings!$C$12),2))</f>
        <v/>
      </c>
      <c r="J142" s="26">
        <f>IF(B142="","",H142+I142)</f>
        <v/>
      </c>
      <c r="K142" s="27">
        <f>IF(OR(B142="",D142=""),"",D142+IFERROR(IF(INDEX(Clients!$H$6:$H$45,MATCH(C142,Clients!$B$6:$B$45,0))="",N(Settings!$C$13),INDEX(Clients!$H$6:$H$45,MATCH(C142,Clients!$B$6:$B$45,0))),N(Settings!$C$13)))</f>
        <v/>
      </c>
      <c r="L142" s="16" t="n"/>
      <c r="M142" s="15">
        <f>IF(B142="","",IF(L142&lt;&gt;"","Paid",IF(D142="","Draft",IF(K142&lt;TODAY(),"Overdue "&amp;(TODAY()-K142)&amp;IF(TODAY()-K142=1," day"," days"),"Waiting"))))</f>
        <v/>
      </c>
      <c r="N142" s="1" t="n"/>
      <c r="O142">
        <f>IF(B142="","",ROW()-5)</f>
        <v/>
      </c>
      <c r="P142">
        <f>IF(OR(B142="",L142&lt;&gt;"",D142=""),"",K142+ROW()/10000000)</f>
        <v/>
      </c>
    </row>
    <row r="143">
      <c r="A143" s="1" t="n"/>
      <c r="B143" s="17" t="n"/>
      <c r="C143" s="18" t="n"/>
      <c r="D143" s="16" t="n"/>
      <c r="E143" s="16" t="n"/>
      <c r="F143" s="16" t="n"/>
      <c r="G143" s="25">
        <f>IF(B143="","",SUMIFS(Timesheet!$M$6:$M$2005,Timesheet!$P$6:$P$2005,B143))</f>
        <v/>
      </c>
      <c r="H143" s="14">
        <f>IF(B143="","",SUMIFS(Timesheet!$O$6:$O$2005,Timesheet!$P$6:$P$2005,B143))</f>
        <v/>
      </c>
      <c r="I143" s="14">
        <f>IF(B143="","",ROUND(H143*N(Settings!$C$12),2))</f>
        <v/>
      </c>
      <c r="J143" s="26">
        <f>IF(B143="","",H143+I143)</f>
        <v/>
      </c>
      <c r="K143" s="27">
        <f>IF(OR(B143="",D143=""),"",D143+IFERROR(IF(INDEX(Clients!$H$6:$H$45,MATCH(C143,Clients!$B$6:$B$45,0))="",N(Settings!$C$13),INDEX(Clients!$H$6:$H$45,MATCH(C143,Clients!$B$6:$B$45,0))),N(Settings!$C$13)))</f>
        <v/>
      </c>
      <c r="L143" s="16" t="n"/>
      <c r="M143" s="15">
        <f>IF(B143="","",IF(L143&lt;&gt;"","Paid",IF(D143="","Draft",IF(K143&lt;TODAY(),"Overdue "&amp;(TODAY()-K143)&amp;IF(TODAY()-K143=1," day"," days"),"Waiting"))))</f>
        <v/>
      </c>
      <c r="N143" s="1" t="n"/>
      <c r="O143">
        <f>IF(B143="","",ROW()-5)</f>
        <v/>
      </c>
      <c r="P143">
        <f>IF(OR(B143="",L143&lt;&gt;"",D143=""),"",K143+ROW()/10000000)</f>
        <v/>
      </c>
    </row>
    <row r="144">
      <c r="A144" s="1" t="n"/>
      <c r="B144" s="17" t="n"/>
      <c r="C144" s="18" t="n"/>
      <c r="D144" s="16" t="n"/>
      <c r="E144" s="16" t="n"/>
      <c r="F144" s="16" t="n"/>
      <c r="G144" s="25">
        <f>IF(B144="","",SUMIFS(Timesheet!$M$6:$M$2005,Timesheet!$P$6:$P$2005,B144))</f>
        <v/>
      </c>
      <c r="H144" s="14">
        <f>IF(B144="","",SUMIFS(Timesheet!$O$6:$O$2005,Timesheet!$P$6:$P$2005,B144))</f>
        <v/>
      </c>
      <c r="I144" s="14">
        <f>IF(B144="","",ROUND(H144*N(Settings!$C$12),2))</f>
        <v/>
      </c>
      <c r="J144" s="26">
        <f>IF(B144="","",H144+I144)</f>
        <v/>
      </c>
      <c r="K144" s="27">
        <f>IF(OR(B144="",D144=""),"",D144+IFERROR(IF(INDEX(Clients!$H$6:$H$45,MATCH(C144,Clients!$B$6:$B$45,0))="",N(Settings!$C$13),INDEX(Clients!$H$6:$H$45,MATCH(C144,Clients!$B$6:$B$45,0))),N(Settings!$C$13)))</f>
        <v/>
      </c>
      <c r="L144" s="16" t="n"/>
      <c r="M144" s="15">
        <f>IF(B144="","",IF(L144&lt;&gt;"","Paid",IF(D144="","Draft",IF(K144&lt;TODAY(),"Overdue "&amp;(TODAY()-K144)&amp;IF(TODAY()-K144=1," day"," days"),"Waiting"))))</f>
        <v/>
      </c>
      <c r="N144" s="1" t="n"/>
      <c r="O144">
        <f>IF(B144="","",ROW()-5)</f>
        <v/>
      </c>
      <c r="P144">
        <f>IF(OR(B144="",L144&lt;&gt;"",D144=""),"",K144+ROW()/10000000)</f>
        <v/>
      </c>
    </row>
    <row r="145">
      <c r="A145" s="1" t="n"/>
      <c r="B145" s="17" t="n"/>
      <c r="C145" s="18" t="n"/>
      <c r="D145" s="16" t="n"/>
      <c r="E145" s="16" t="n"/>
      <c r="F145" s="16" t="n"/>
      <c r="G145" s="25">
        <f>IF(B145="","",SUMIFS(Timesheet!$M$6:$M$2005,Timesheet!$P$6:$P$2005,B145))</f>
        <v/>
      </c>
      <c r="H145" s="14">
        <f>IF(B145="","",SUMIFS(Timesheet!$O$6:$O$2005,Timesheet!$P$6:$P$2005,B145))</f>
        <v/>
      </c>
      <c r="I145" s="14">
        <f>IF(B145="","",ROUND(H145*N(Settings!$C$12),2))</f>
        <v/>
      </c>
      <c r="J145" s="26">
        <f>IF(B145="","",H145+I145)</f>
        <v/>
      </c>
      <c r="K145" s="27">
        <f>IF(OR(B145="",D145=""),"",D145+IFERROR(IF(INDEX(Clients!$H$6:$H$45,MATCH(C145,Clients!$B$6:$B$45,0))="",N(Settings!$C$13),INDEX(Clients!$H$6:$H$45,MATCH(C145,Clients!$B$6:$B$45,0))),N(Settings!$C$13)))</f>
        <v/>
      </c>
      <c r="L145" s="16" t="n"/>
      <c r="M145" s="15">
        <f>IF(B145="","",IF(L145&lt;&gt;"","Paid",IF(D145="","Draft",IF(K145&lt;TODAY(),"Overdue "&amp;(TODAY()-K145)&amp;IF(TODAY()-K145=1," day"," days"),"Waiting"))))</f>
        <v/>
      </c>
      <c r="N145" s="1" t="n"/>
      <c r="O145">
        <f>IF(B145="","",ROW()-5)</f>
        <v/>
      </c>
      <c r="P145">
        <f>IF(OR(B145="",L145&lt;&gt;"",D145=""),"",K145+ROW()/10000000)</f>
        <v/>
      </c>
    </row>
    <row r="146">
      <c r="A146" s="1" t="n"/>
      <c r="B146" s="17" t="n"/>
      <c r="C146" s="18" t="n"/>
      <c r="D146" s="16" t="n"/>
      <c r="E146" s="16" t="n"/>
      <c r="F146" s="16" t="n"/>
      <c r="G146" s="25">
        <f>IF(B146="","",SUMIFS(Timesheet!$M$6:$M$2005,Timesheet!$P$6:$P$2005,B146))</f>
        <v/>
      </c>
      <c r="H146" s="14">
        <f>IF(B146="","",SUMIFS(Timesheet!$O$6:$O$2005,Timesheet!$P$6:$P$2005,B146))</f>
        <v/>
      </c>
      <c r="I146" s="14">
        <f>IF(B146="","",ROUND(H146*N(Settings!$C$12),2))</f>
        <v/>
      </c>
      <c r="J146" s="26">
        <f>IF(B146="","",H146+I146)</f>
        <v/>
      </c>
      <c r="K146" s="27">
        <f>IF(OR(B146="",D146=""),"",D146+IFERROR(IF(INDEX(Clients!$H$6:$H$45,MATCH(C146,Clients!$B$6:$B$45,0))="",N(Settings!$C$13),INDEX(Clients!$H$6:$H$45,MATCH(C146,Clients!$B$6:$B$45,0))),N(Settings!$C$13)))</f>
        <v/>
      </c>
      <c r="L146" s="16" t="n"/>
      <c r="M146" s="15">
        <f>IF(B146="","",IF(L146&lt;&gt;"","Paid",IF(D146="","Draft",IF(K146&lt;TODAY(),"Overdue "&amp;(TODAY()-K146)&amp;IF(TODAY()-K146=1," day"," days"),"Waiting"))))</f>
        <v/>
      </c>
      <c r="N146" s="1" t="n"/>
      <c r="O146">
        <f>IF(B146="","",ROW()-5)</f>
        <v/>
      </c>
      <c r="P146">
        <f>IF(OR(B146="",L146&lt;&gt;"",D146=""),"",K146+ROW()/10000000)</f>
        <v/>
      </c>
    </row>
    <row r="147">
      <c r="A147" s="1" t="n"/>
      <c r="B147" s="17" t="n"/>
      <c r="C147" s="18" t="n"/>
      <c r="D147" s="16" t="n"/>
      <c r="E147" s="16" t="n"/>
      <c r="F147" s="16" t="n"/>
      <c r="G147" s="25">
        <f>IF(B147="","",SUMIFS(Timesheet!$M$6:$M$2005,Timesheet!$P$6:$P$2005,B147))</f>
        <v/>
      </c>
      <c r="H147" s="14">
        <f>IF(B147="","",SUMIFS(Timesheet!$O$6:$O$2005,Timesheet!$P$6:$P$2005,B147))</f>
        <v/>
      </c>
      <c r="I147" s="14">
        <f>IF(B147="","",ROUND(H147*N(Settings!$C$12),2))</f>
        <v/>
      </c>
      <c r="J147" s="26">
        <f>IF(B147="","",H147+I147)</f>
        <v/>
      </c>
      <c r="K147" s="27">
        <f>IF(OR(B147="",D147=""),"",D147+IFERROR(IF(INDEX(Clients!$H$6:$H$45,MATCH(C147,Clients!$B$6:$B$45,0))="",N(Settings!$C$13),INDEX(Clients!$H$6:$H$45,MATCH(C147,Clients!$B$6:$B$45,0))),N(Settings!$C$13)))</f>
        <v/>
      </c>
      <c r="L147" s="16" t="n"/>
      <c r="M147" s="15">
        <f>IF(B147="","",IF(L147&lt;&gt;"","Paid",IF(D147="","Draft",IF(K147&lt;TODAY(),"Overdue "&amp;(TODAY()-K147)&amp;IF(TODAY()-K147=1," day"," days"),"Waiting"))))</f>
        <v/>
      </c>
      <c r="N147" s="1" t="n"/>
      <c r="O147">
        <f>IF(B147="","",ROW()-5)</f>
        <v/>
      </c>
      <c r="P147">
        <f>IF(OR(B147="",L147&lt;&gt;"",D147=""),"",K147+ROW()/10000000)</f>
        <v/>
      </c>
    </row>
    <row r="148">
      <c r="A148" s="1" t="n"/>
      <c r="B148" s="17" t="n"/>
      <c r="C148" s="18" t="n"/>
      <c r="D148" s="16" t="n"/>
      <c r="E148" s="16" t="n"/>
      <c r="F148" s="16" t="n"/>
      <c r="G148" s="25">
        <f>IF(B148="","",SUMIFS(Timesheet!$M$6:$M$2005,Timesheet!$P$6:$P$2005,B148))</f>
        <v/>
      </c>
      <c r="H148" s="14">
        <f>IF(B148="","",SUMIFS(Timesheet!$O$6:$O$2005,Timesheet!$P$6:$P$2005,B148))</f>
        <v/>
      </c>
      <c r="I148" s="14">
        <f>IF(B148="","",ROUND(H148*N(Settings!$C$12),2))</f>
        <v/>
      </c>
      <c r="J148" s="26">
        <f>IF(B148="","",H148+I148)</f>
        <v/>
      </c>
      <c r="K148" s="27">
        <f>IF(OR(B148="",D148=""),"",D148+IFERROR(IF(INDEX(Clients!$H$6:$H$45,MATCH(C148,Clients!$B$6:$B$45,0))="",N(Settings!$C$13),INDEX(Clients!$H$6:$H$45,MATCH(C148,Clients!$B$6:$B$45,0))),N(Settings!$C$13)))</f>
        <v/>
      </c>
      <c r="L148" s="16" t="n"/>
      <c r="M148" s="15">
        <f>IF(B148="","",IF(L148&lt;&gt;"","Paid",IF(D148="","Draft",IF(K148&lt;TODAY(),"Overdue "&amp;(TODAY()-K148)&amp;IF(TODAY()-K148=1," day"," days"),"Waiting"))))</f>
        <v/>
      </c>
      <c r="N148" s="1" t="n"/>
      <c r="O148">
        <f>IF(B148="","",ROW()-5)</f>
        <v/>
      </c>
      <c r="P148">
        <f>IF(OR(B148="",L148&lt;&gt;"",D148=""),"",K148+ROW()/10000000)</f>
        <v/>
      </c>
    </row>
    <row r="149">
      <c r="A149" s="1" t="n"/>
      <c r="B149" s="17" t="n"/>
      <c r="C149" s="18" t="n"/>
      <c r="D149" s="16" t="n"/>
      <c r="E149" s="16" t="n"/>
      <c r="F149" s="16" t="n"/>
      <c r="G149" s="25">
        <f>IF(B149="","",SUMIFS(Timesheet!$M$6:$M$2005,Timesheet!$P$6:$P$2005,B149))</f>
        <v/>
      </c>
      <c r="H149" s="14">
        <f>IF(B149="","",SUMIFS(Timesheet!$O$6:$O$2005,Timesheet!$P$6:$P$2005,B149))</f>
        <v/>
      </c>
      <c r="I149" s="14">
        <f>IF(B149="","",ROUND(H149*N(Settings!$C$12),2))</f>
        <v/>
      </c>
      <c r="J149" s="26">
        <f>IF(B149="","",H149+I149)</f>
        <v/>
      </c>
      <c r="K149" s="27">
        <f>IF(OR(B149="",D149=""),"",D149+IFERROR(IF(INDEX(Clients!$H$6:$H$45,MATCH(C149,Clients!$B$6:$B$45,0))="",N(Settings!$C$13),INDEX(Clients!$H$6:$H$45,MATCH(C149,Clients!$B$6:$B$45,0))),N(Settings!$C$13)))</f>
        <v/>
      </c>
      <c r="L149" s="16" t="n"/>
      <c r="M149" s="15">
        <f>IF(B149="","",IF(L149&lt;&gt;"","Paid",IF(D149="","Draft",IF(K149&lt;TODAY(),"Overdue "&amp;(TODAY()-K149)&amp;IF(TODAY()-K149=1," day"," days"),"Waiting"))))</f>
        <v/>
      </c>
      <c r="N149" s="1" t="n"/>
      <c r="O149">
        <f>IF(B149="","",ROW()-5)</f>
        <v/>
      </c>
      <c r="P149">
        <f>IF(OR(B149="",L149&lt;&gt;"",D149=""),"",K149+ROW()/10000000)</f>
        <v/>
      </c>
    </row>
    <row r="150">
      <c r="A150" s="1" t="n"/>
      <c r="B150" s="17" t="n"/>
      <c r="C150" s="18" t="n"/>
      <c r="D150" s="16" t="n"/>
      <c r="E150" s="16" t="n"/>
      <c r="F150" s="16" t="n"/>
      <c r="G150" s="25">
        <f>IF(B150="","",SUMIFS(Timesheet!$M$6:$M$2005,Timesheet!$P$6:$P$2005,B150))</f>
        <v/>
      </c>
      <c r="H150" s="14">
        <f>IF(B150="","",SUMIFS(Timesheet!$O$6:$O$2005,Timesheet!$P$6:$P$2005,B150))</f>
        <v/>
      </c>
      <c r="I150" s="14">
        <f>IF(B150="","",ROUND(H150*N(Settings!$C$12),2))</f>
        <v/>
      </c>
      <c r="J150" s="26">
        <f>IF(B150="","",H150+I150)</f>
        <v/>
      </c>
      <c r="K150" s="27">
        <f>IF(OR(B150="",D150=""),"",D150+IFERROR(IF(INDEX(Clients!$H$6:$H$45,MATCH(C150,Clients!$B$6:$B$45,0))="",N(Settings!$C$13),INDEX(Clients!$H$6:$H$45,MATCH(C150,Clients!$B$6:$B$45,0))),N(Settings!$C$13)))</f>
        <v/>
      </c>
      <c r="L150" s="16" t="n"/>
      <c r="M150" s="15">
        <f>IF(B150="","",IF(L150&lt;&gt;"","Paid",IF(D150="","Draft",IF(K150&lt;TODAY(),"Overdue "&amp;(TODAY()-K150)&amp;IF(TODAY()-K150=1," day"," days"),"Waiting"))))</f>
        <v/>
      </c>
      <c r="N150" s="1" t="n"/>
      <c r="O150">
        <f>IF(B150="","",ROW()-5)</f>
        <v/>
      </c>
      <c r="P150">
        <f>IF(OR(B150="",L150&lt;&gt;"",D150=""),"",K150+ROW()/10000000)</f>
        <v/>
      </c>
    </row>
    <row r="151">
      <c r="A151" s="1" t="n"/>
      <c r="B151" s="17" t="n"/>
      <c r="C151" s="18" t="n"/>
      <c r="D151" s="16" t="n"/>
      <c r="E151" s="16" t="n"/>
      <c r="F151" s="16" t="n"/>
      <c r="G151" s="25">
        <f>IF(B151="","",SUMIFS(Timesheet!$M$6:$M$2005,Timesheet!$P$6:$P$2005,B151))</f>
        <v/>
      </c>
      <c r="H151" s="14">
        <f>IF(B151="","",SUMIFS(Timesheet!$O$6:$O$2005,Timesheet!$P$6:$P$2005,B151))</f>
        <v/>
      </c>
      <c r="I151" s="14">
        <f>IF(B151="","",ROUND(H151*N(Settings!$C$12),2))</f>
        <v/>
      </c>
      <c r="J151" s="26">
        <f>IF(B151="","",H151+I151)</f>
        <v/>
      </c>
      <c r="K151" s="27">
        <f>IF(OR(B151="",D151=""),"",D151+IFERROR(IF(INDEX(Clients!$H$6:$H$45,MATCH(C151,Clients!$B$6:$B$45,0))="",N(Settings!$C$13),INDEX(Clients!$H$6:$H$45,MATCH(C151,Clients!$B$6:$B$45,0))),N(Settings!$C$13)))</f>
        <v/>
      </c>
      <c r="L151" s="16" t="n"/>
      <c r="M151" s="15">
        <f>IF(B151="","",IF(L151&lt;&gt;"","Paid",IF(D151="","Draft",IF(K151&lt;TODAY(),"Overdue "&amp;(TODAY()-K151)&amp;IF(TODAY()-K151=1," day"," days"),"Waiting"))))</f>
        <v/>
      </c>
      <c r="N151" s="1" t="n"/>
      <c r="O151">
        <f>IF(B151="","",ROW()-5)</f>
        <v/>
      </c>
      <c r="P151">
        <f>IF(OR(B151="",L151&lt;&gt;"",D151=""),"",K151+ROW()/10000000)</f>
        <v/>
      </c>
    </row>
    <row r="152">
      <c r="A152" s="1" t="n"/>
      <c r="B152" s="17" t="n"/>
      <c r="C152" s="18" t="n"/>
      <c r="D152" s="16" t="n"/>
      <c r="E152" s="16" t="n"/>
      <c r="F152" s="16" t="n"/>
      <c r="G152" s="25">
        <f>IF(B152="","",SUMIFS(Timesheet!$M$6:$M$2005,Timesheet!$P$6:$P$2005,B152))</f>
        <v/>
      </c>
      <c r="H152" s="14">
        <f>IF(B152="","",SUMIFS(Timesheet!$O$6:$O$2005,Timesheet!$P$6:$P$2005,B152))</f>
        <v/>
      </c>
      <c r="I152" s="14">
        <f>IF(B152="","",ROUND(H152*N(Settings!$C$12),2))</f>
        <v/>
      </c>
      <c r="J152" s="26">
        <f>IF(B152="","",H152+I152)</f>
        <v/>
      </c>
      <c r="K152" s="27">
        <f>IF(OR(B152="",D152=""),"",D152+IFERROR(IF(INDEX(Clients!$H$6:$H$45,MATCH(C152,Clients!$B$6:$B$45,0))="",N(Settings!$C$13),INDEX(Clients!$H$6:$H$45,MATCH(C152,Clients!$B$6:$B$45,0))),N(Settings!$C$13)))</f>
        <v/>
      </c>
      <c r="L152" s="16" t="n"/>
      <c r="M152" s="15">
        <f>IF(B152="","",IF(L152&lt;&gt;"","Paid",IF(D152="","Draft",IF(K152&lt;TODAY(),"Overdue "&amp;(TODAY()-K152)&amp;IF(TODAY()-K152=1," day"," days"),"Waiting"))))</f>
        <v/>
      </c>
      <c r="N152" s="1" t="n"/>
      <c r="O152">
        <f>IF(B152="","",ROW()-5)</f>
        <v/>
      </c>
      <c r="P152">
        <f>IF(OR(B152="",L152&lt;&gt;"",D152=""),"",K152+ROW()/10000000)</f>
        <v/>
      </c>
    </row>
    <row r="153">
      <c r="A153" s="1" t="n"/>
      <c r="B153" s="17" t="n"/>
      <c r="C153" s="18" t="n"/>
      <c r="D153" s="16" t="n"/>
      <c r="E153" s="16" t="n"/>
      <c r="F153" s="16" t="n"/>
      <c r="G153" s="25">
        <f>IF(B153="","",SUMIFS(Timesheet!$M$6:$M$2005,Timesheet!$P$6:$P$2005,B153))</f>
        <v/>
      </c>
      <c r="H153" s="14">
        <f>IF(B153="","",SUMIFS(Timesheet!$O$6:$O$2005,Timesheet!$P$6:$P$2005,B153))</f>
        <v/>
      </c>
      <c r="I153" s="14">
        <f>IF(B153="","",ROUND(H153*N(Settings!$C$12),2))</f>
        <v/>
      </c>
      <c r="J153" s="26">
        <f>IF(B153="","",H153+I153)</f>
        <v/>
      </c>
      <c r="K153" s="27">
        <f>IF(OR(B153="",D153=""),"",D153+IFERROR(IF(INDEX(Clients!$H$6:$H$45,MATCH(C153,Clients!$B$6:$B$45,0))="",N(Settings!$C$13),INDEX(Clients!$H$6:$H$45,MATCH(C153,Clients!$B$6:$B$45,0))),N(Settings!$C$13)))</f>
        <v/>
      </c>
      <c r="L153" s="16" t="n"/>
      <c r="M153" s="15">
        <f>IF(B153="","",IF(L153&lt;&gt;"","Paid",IF(D153="","Draft",IF(K153&lt;TODAY(),"Overdue "&amp;(TODAY()-K153)&amp;IF(TODAY()-K153=1," day"," days"),"Waiting"))))</f>
        <v/>
      </c>
      <c r="N153" s="1" t="n"/>
      <c r="O153">
        <f>IF(B153="","",ROW()-5)</f>
        <v/>
      </c>
      <c r="P153">
        <f>IF(OR(B153="",L153&lt;&gt;"",D153=""),"",K153+ROW()/10000000)</f>
        <v/>
      </c>
    </row>
    <row r="154">
      <c r="A154" s="1" t="n"/>
      <c r="B154" s="17" t="n"/>
      <c r="C154" s="18" t="n"/>
      <c r="D154" s="16" t="n"/>
      <c r="E154" s="16" t="n"/>
      <c r="F154" s="16" t="n"/>
      <c r="G154" s="25">
        <f>IF(B154="","",SUMIFS(Timesheet!$M$6:$M$2005,Timesheet!$P$6:$P$2005,B154))</f>
        <v/>
      </c>
      <c r="H154" s="14">
        <f>IF(B154="","",SUMIFS(Timesheet!$O$6:$O$2005,Timesheet!$P$6:$P$2005,B154))</f>
        <v/>
      </c>
      <c r="I154" s="14">
        <f>IF(B154="","",ROUND(H154*N(Settings!$C$12),2))</f>
        <v/>
      </c>
      <c r="J154" s="26">
        <f>IF(B154="","",H154+I154)</f>
        <v/>
      </c>
      <c r="K154" s="27">
        <f>IF(OR(B154="",D154=""),"",D154+IFERROR(IF(INDEX(Clients!$H$6:$H$45,MATCH(C154,Clients!$B$6:$B$45,0))="",N(Settings!$C$13),INDEX(Clients!$H$6:$H$45,MATCH(C154,Clients!$B$6:$B$45,0))),N(Settings!$C$13)))</f>
        <v/>
      </c>
      <c r="L154" s="16" t="n"/>
      <c r="M154" s="15">
        <f>IF(B154="","",IF(L154&lt;&gt;"","Paid",IF(D154="","Draft",IF(K154&lt;TODAY(),"Overdue "&amp;(TODAY()-K154)&amp;IF(TODAY()-K154=1," day"," days"),"Waiting"))))</f>
        <v/>
      </c>
      <c r="N154" s="1" t="n"/>
      <c r="O154">
        <f>IF(B154="","",ROW()-5)</f>
        <v/>
      </c>
      <c r="P154">
        <f>IF(OR(B154="",L154&lt;&gt;"",D154=""),"",K154+ROW()/10000000)</f>
        <v/>
      </c>
    </row>
    <row r="155">
      <c r="A155" s="1" t="n"/>
      <c r="B155" s="17" t="n"/>
      <c r="C155" s="18" t="n"/>
      <c r="D155" s="16" t="n"/>
      <c r="E155" s="16" t="n"/>
      <c r="F155" s="16" t="n"/>
      <c r="G155" s="25">
        <f>IF(B155="","",SUMIFS(Timesheet!$M$6:$M$2005,Timesheet!$P$6:$P$2005,B155))</f>
        <v/>
      </c>
      <c r="H155" s="14">
        <f>IF(B155="","",SUMIFS(Timesheet!$O$6:$O$2005,Timesheet!$P$6:$P$2005,B155))</f>
        <v/>
      </c>
      <c r="I155" s="14">
        <f>IF(B155="","",ROUND(H155*N(Settings!$C$12),2))</f>
        <v/>
      </c>
      <c r="J155" s="26">
        <f>IF(B155="","",H155+I155)</f>
        <v/>
      </c>
      <c r="K155" s="27">
        <f>IF(OR(B155="",D155=""),"",D155+IFERROR(IF(INDEX(Clients!$H$6:$H$45,MATCH(C155,Clients!$B$6:$B$45,0))="",N(Settings!$C$13),INDEX(Clients!$H$6:$H$45,MATCH(C155,Clients!$B$6:$B$45,0))),N(Settings!$C$13)))</f>
        <v/>
      </c>
      <c r="L155" s="16" t="n"/>
      <c r="M155" s="15">
        <f>IF(B155="","",IF(L155&lt;&gt;"","Paid",IF(D155="","Draft",IF(K155&lt;TODAY(),"Overdue "&amp;(TODAY()-K155)&amp;IF(TODAY()-K155=1," day"," days"),"Waiting"))))</f>
        <v/>
      </c>
      <c r="N155" s="1" t="n"/>
      <c r="O155">
        <f>IF(B155="","",ROW()-5)</f>
        <v/>
      </c>
      <c r="P155">
        <f>IF(OR(B155="",L155&lt;&gt;"",D155=""),"",K155+ROW()/10000000)</f>
        <v/>
      </c>
    </row>
    <row r="156">
      <c r="A156" s="1" t="n"/>
      <c r="B156" s="17" t="n"/>
      <c r="C156" s="18" t="n"/>
      <c r="D156" s="16" t="n"/>
      <c r="E156" s="16" t="n"/>
      <c r="F156" s="16" t="n"/>
      <c r="G156" s="25">
        <f>IF(B156="","",SUMIFS(Timesheet!$M$6:$M$2005,Timesheet!$P$6:$P$2005,B156))</f>
        <v/>
      </c>
      <c r="H156" s="14">
        <f>IF(B156="","",SUMIFS(Timesheet!$O$6:$O$2005,Timesheet!$P$6:$P$2005,B156))</f>
        <v/>
      </c>
      <c r="I156" s="14">
        <f>IF(B156="","",ROUND(H156*N(Settings!$C$12),2))</f>
        <v/>
      </c>
      <c r="J156" s="26">
        <f>IF(B156="","",H156+I156)</f>
        <v/>
      </c>
      <c r="K156" s="27">
        <f>IF(OR(B156="",D156=""),"",D156+IFERROR(IF(INDEX(Clients!$H$6:$H$45,MATCH(C156,Clients!$B$6:$B$45,0))="",N(Settings!$C$13),INDEX(Clients!$H$6:$H$45,MATCH(C156,Clients!$B$6:$B$45,0))),N(Settings!$C$13)))</f>
        <v/>
      </c>
      <c r="L156" s="16" t="n"/>
      <c r="M156" s="15">
        <f>IF(B156="","",IF(L156&lt;&gt;"","Paid",IF(D156="","Draft",IF(K156&lt;TODAY(),"Overdue "&amp;(TODAY()-K156)&amp;IF(TODAY()-K156=1," day"," days"),"Waiting"))))</f>
        <v/>
      </c>
      <c r="N156" s="1" t="n"/>
      <c r="O156">
        <f>IF(B156="","",ROW()-5)</f>
        <v/>
      </c>
      <c r="P156">
        <f>IF(OR(B156="",L156&lt;&gt;"",D156=""),"",K156+ROW()/10000000)</f>
        <v/>
      </c>
    </row>
    <row r="157">
      <c r="A157" s="1" t="n"/>
      <c r="B157" s="17" t="n"/>
      <c r="C157" s="18" t="n"/>
      <c r="D157" s="16" t="n"/>
      <c r="E157" s="16" t="n"/>
      <c r="F157" s="16" t="n"/>
      <c r="G157" s="25">
        <f>IF(B157="","",SUMIFS(Timesheet!$M$6:$M$2005,Timesheet!$P$6:$P$2005,B157))</f>
        <v/>
      </c>
      <c r="H157" s="14">
        <f>IF(B157="","",SUMIFS(Timesheet!$O$6:$O$2005,Timesheet!$P$6:$P$2005,B157))</f>
        <v/>
      </c>
      <c r="I157" s="14">
        <f>IF(B157="","",ROUND(H157*N(Settings!$C$12),2))</f>
        <v/>
      </c>
      <c r="J157" s="26">
        <f>IF(B157="","",H157+I157)</f>
        <v/>
      </c>
      <c r="K157" s="27">
        <f>IF(OR(B157="",D157=""),"",D157+IFERROR(IF(INDEX(Clients!$H$6:$H$45,MATCH(C157,Clients!$B$6:$B$45,0))="",N(Settings!$C$13),INDEX(Clients!$H$6:$H$45,MATCH(C157,Clients!$B$6:$B$45,0))),N(Settings!$C$13)))</f>
        <v/>
      </c>
      <c r="L157" s="16" t="n"/>
      <c r="M157" s="15">
        <f>IF(B157="","",IF(L157&lt;&gt;"","Paid",IF(D157="","Draft",IF(K157&lt;TODAY(),"Overdue "&amp;(TODAY()-K157)&amp;IF(TODAY()-K157=1," day"," days"),"Waiting"))))</f>
        <v/>
      </c>
      <c r="N157" s="1" t="n"/>
      <c r="O157">
        <f>IF(B157="","",ROW()-5)</f>
        <v/>
      </c>
      <c r="P157">
        <f>IF(OR(B157="",L157&lt;&gt;"",D157=""),"",K157+ROW()/10000000)</f>
        <v/>
      </c>
    </row>
    <row r="158">
      <c r="A158" s="1" t="n"/>
      <c r="B158" s="17" t="n"/>
      <c r="C158" s="18" t="n"/>
      <c r="D158" s="16" t="n"/>
      <c r="E158" s="16" t="n"/>
      <c r="F158" s="16" t="n"/>
      <c r="G158" s="25">
        <f>IF(B158="","",SUMIFS(Timesheet!$M$6:$M$2005,Timesheet!$P$6:$P$2005,B158))</f>
        <v/>
      </c>
      <c r="H158" s="14">
        <f>IF(B158="","",SUMIFS(Timesheet!$O$6:$O$2005,Timesheet!$P$6:$P$2005,B158))</f>
        <v/>
      </c>
      <c r="I158" s="14">
        <f>IF(B158="","",ROUND(H158*N(Settings!$C$12),2))</f>
        <v/>
      </c>
      <c r="J158" s="26">
        <f>IF(B158="","",H158+I158)</f>
        <v/>
      </c>
      <c r="K158" s="27">
        <f>IF(OR(B158="",D158=""),"",D158+IFERROR(IF(INDEX(Clients!$H$6:$H$45,MATCH(C158,Clients!$B$6:$B$45,0))="",N(Settings!$C$13),INDEX(Clients!$H$6:$H$45,MATCH(C158,Clients!$B$6:$B$45,0))),N(Settings!$C$13)))</f>
        <v/>
      </c>
      <c r="L158" s="16" t="n"/>
      <c r="M158" s="15">
        <f>IF(B158="","",IF(L158&lt;&gt;"","Paid",IF(D158="","Draft",IF(K158&lt;TODAY(),"Overdue "&amp;(TODAY()-K158)&amp;IF(TODAY()-K158=1," day"," days"),"Waiting"))))</f>
        <v/>
      </c>
      <c r="N158" s="1" t="n"/>
      <c r="O158">
        <f>IF(B158="","",ROW()-5)</f>
        <v/>
      </c>
      <c r="P158">
        <f>IF(OR(B158="",L158&lt;&gt;"",D158=""),"",K158+ROW()/10000000)</f>
        <v/>
      </c>
    </row>
    <row r="159">
      <c r="A159" s="1" t="n"/>
      <c r="B159" s="17" t="n"/>
      <c r="C159" s="18" t="n"/>
      <c r="D159" s="16" t="n"/>
      <c r="E159" s="16" t="n"/>
      <c r="F159" s="16" t="n"/>
      <c r="G159" s="25">
        <f>IF(B159="","",SUMIFS(Timesheet!$M$6:$M$2005,Timesheet!$P$6:$P$2005,B159))</f>
        <v/>
      </c>
      <c r="H159" s="14">
        <f>IF(B159="","",SUMIFS(Timesheet!$O$6:$O$2005,Timesheet!$P$6:$P$2005,B159))</f>
        <v/>
      </c>
      <c r="I159" s="14">
        <f>IF(B159="","",ROUND(H159*N(Settings!$C$12),2))</f>
        <v/>
      </c>
      <c r="J159" s="26">
        <f>IF(B159="","",H159+I159)</f>
        <v/>
      </c>
      <c r="K159" s="27">
        <f>IF(OR(B159="",D159=""),"",D159+IFERROR(IF(INDEX(Clients!$H$6:$H$45,MATCH(C159,Clients!$B$6:$B$45,0))="",N(Settings!$C$13),INDEX(Clients!$H$6:$H$45,MATCH(C159,Clients!$B$6:$B$45,0))),N(Settings!$C$13)))</f>
        <v/>
      </c>
      <c r="L159" s="16" t="n"/>
      <c r="M159" s="15">
        <f>IF(B159="","",IF(L159&lt;&gt;"","Paid",IF(D159="","Draft",IF(K159&lt;TODAY(),"Overdue "&amp;(TODAY()-K159)&amp;IF(TODAY()-K159=1," day"," days"),"Waiting"))))</f>
        <v/>
      </c>
      <c r="N159" s="1" t="n"/>
      <c r="O159">
        <f>IF(B159="","",ROW()-5)</f>
        <v/>
      </c>
      <c r="P159">
        <f>IF(OR(B159="",L159&lt;&gt;"",D159=""),"",K159+ROW()/10000000)</f>
        <v/>
      </c>
    </row>
    <row r="160">
      <c r="A160" s="1" t="n"/>
      <c r="B160" s="17" t="n"/>
      <c r="C160" s="18" t="n"/>
      <c r="D160" s="16" t="n"/>
      <c r="E160" s="16" t="n"/>
      <c r="F160" s="16" t="n"/>
      <c r="G160" s="25">
        <f>IF(B160="","",SUMIFS(Timesheet!$M$6:$M$2005,Timesheet!$P$6:$P$2005,B160))</f>
        <v/>
      </c>
      <c r="H160" s="14">
        <f>IF(B160="","",SUMIFS(Timesheet!$O$6:$O$2005,Timesheet!$P$6:$P$2005,B160))</f>
        <v/>
      </c>
      <c r="I160" s="14">
        <f>IF(B160="","",ROUND(H160*N(Settings!$C$12),2))</f>
        <v/>
      </c>
      <c r="J160" s="26">
        <f>IF(B160="","",H160+I160)</f>
        <v/>
      </c>
      <c r="K160" s="27">
        <f>IF(OR(B160="",D160=""),"",D160+IFERROR(IF(INDEX(Clients!$H$6:$H$45,MATCH(C160,Clients!$B$6:$B$45,0))="",N(Settings!$C$13),INDEX(Clients!$H$6:$H$45,MATCH(C160,Clients!$B$6:$B$45,0))),N(Settings!$C$13)))</f>
        <v/>
      </c>
      <c r="L160" s="16" t="n"/>
      <c r="M160" s="15">
        <f>IF(B160="","",IF(L160&lt;&gt;"","Paid",IF(D160="","Draft",IF(K160&lt;TODAY(),"Overdue "&amp;(TODAY()-K160)&amp;IF(TODAY()-K160=1," day"," days"),"Waiting"))))</f>
        <v/>
      </c>
      <c r="N160" s="1" t="n"/>
      <c r="O160">
        <f>IF(B160="","",ROW()-5)</f>
        <v/>
      </c>
      <c r="P160">
        <f>IF(OR(B160="",L160&lt;&gt;"",D160=""),"",K160+ROW()/10000000)</f>
        <v/>
      </c>
    </row>
    <row r="161">
      <c r="A161" s="1" t="n"/>
      <c r="B161" s="17" t="n"/>
      <c r="C161" s="18" t="n"/>
      <c r="D161" s="16" t="n"/>
      <c r="E161" s="16" t="n"/>
      <c r="F161" s="16" t="n"/>
      <c r="G161" s="25">
        <f>IF(B161="","",SUMIFS(Timesheet!$M$6:$M$2005,Timesheet!$P$6:$P$2005,B161))</f>
        <v/>
      </c>
      <c r="H161" s="14">
        <f>IF(B161="","",SUMIFS(Timesheet!$O$6:$O$2005,Timesheet!$P$6:$P$2005,B161))</f>
        <v/>
      </c>
      <c r="I161" s="14">
        <f>IF(B161="","",ROUND(H161*N(Settings!$C$12),2))</f>
        <v/>
      </c>
      <c r="J161" s="26">
        <f>IF(B161="","",H161+I161)</f>
        <v/>
      </c>
      <c r="K161" s="27">
        <f>IF(OR(B161="",D161=""),"",D161+IFERROR(IF(INDEX(Clients!$H$6:$H$45,MATCH(C161,Clients!$B$6:$B$45,0))="",N(Settings!$C$13),INDEX(Clients!$H$6:$H$45,MATCH(C161,Clients!$B$6:$B$45,0))),N(Settings!$C$13)))</f>
        <v/>
      </c>
      <c r="L161" s="16" t="n"/>
      <c r="M161" s="15">
        <f>IF(B161="","",IF(L161&lt;&gt;"","Paid",IF(D161="","Draft",IF(K161&lt;TODAY(),"Overdue "&amp;(TODAY()-K161)&amp;IF(TODAY()-K161=1," day"," days"),"Waiting"))))</f>
        <v/>
      </c>
      <c r="N161" s="1" t="n"/>
      <c r="O161">
        <f>IF(B161="","",ROW()-5)</f>
        <v/>
      </c>
      <c r="P161">
        <f>IF(OR(B161="",L161&lt;&gt;"",D161=""),"",K161+ROW()/10000000)</f>
        <v/>
      </c>
    </row>
    <row r="162">
      <c r="A162" s="1" t="n"/>
      <c r="B162" s="17" t="n"/>
      <c r="C162" s="18" t="n"/>
      <c r="D162" s="16" t="n"/>
      <c r="E162" s="16" t="n"/>
      <c r="F162" s="16" t="n"/>
      <c r="G162" s="25">
        <f>IF(B162="","",SUMIFS(Timesheet!$M$6:$M$2005,Timesheet!$P$6:$P$2005,B162))</f>
        <v/>
      </c>
      <c r="H162" s="14">
        <f>IF(B162="","",SUMIFS(Timesheet!$O$6:$O$2005,Timesheet!$P$6:$P$2005,B162))</f>
        <v/>
      </c>
      <c r="I162" s="14">
        <f>IF(B162="","",ROUND(H162*N(Settings!$C$12),2))</f>
        <v/>
      </c>
      <c r="J162" s="26">
        <f>IF(B162="","",H162+I162)</f>
        <v/>
      </c>
      <c r="K162" s="27">
        <f>IF(OR(B162="",D162=""),"",D162+IFERROR(IF(INDEX(Clients!$H$6:$H$45,MATCH(C162,Clients!$B$6:$B$45,0))="",N(Settings!$C$13),INDEX(Clients!$H$6:$H$45,MATCH(C162,Clients!$B$6:$B$45,0))),N(Settings!$C$13)))</f>
        <v/>
      </c>
      <c r="L162" s="16" t="n"/>
      <c r="M162" s="15">
        <f>IF(B162="","",IF(L162&lt;&gt;"","Paid",IF(D162="","Draft",IF(K162&lt;TODAY(),"Overdue "&amp;(TODAY()-K162)&amp;IF(TODAY()-K162=1," day"," days"),"Waiting"))))</f>
        <v/>
      </c>
      <c r="N162" s="1" t="n"/>
      <c r="O162">
        <f>IF(B162="","",ROW()-5)</f>
        <v/>
      </c>
      <c r="P162">
        <f>IF(OR(B162="",L162&lt;&gt;"",D162=""),"",K162+ROW()/10000000)</f>
        <v/>
      </c>
    </row>
    <row r="163">
      <c r="A163" s="1" t="n"/>
      <c r="B163" s="17" t="n"/>
      <c r="C163" s="18" t="n"/>
      <c r="D163" s="16" t="n"/>
      <c r="E163" s="16" t="n"/>
      <c r="F163" s="16" t="n"/>
      <c r="G163" s="25">
        <f>IF(B163="","",SUMIFS(Timesheet!$M$6:$M$2005,Timesheet!$P$6:$P$2005,B163))</f>
        <v/>
      </c>
      <c r="H163" s="14">
        <f>IF(B163="","",SUMIFS(Timesheet!$O$6:$O$2005,Timesheet!$P$6:$P$2005,B163))</f>
        <v/>
      </c>
      <c r="I163" s="14">
        <f>IF(B163="","",ROUND(H163*N(Settings!$C$12),2))</f>
        <v/>
      </c>
      <c r="J163" s="26">
        <f>IF(B163="","",H163+I163)</f>
        <v/>
      </c>
      <c r="K163" s="27">
        <f>IF(OR(B163="",D163=""),"",D163+IFERROR(IF(INDEX(Clients!$H$6:$H$45,MATCH(C163,Clients!$B$6:$B$45,0))="",N(Settings!$C$13),INDEX(Clients!$H$6:$H$45,MATCH(C163,Clients!$B$6:$B$45,0))),N(Settings!$C$13)))</f>
        <v/>
      </c>
      <c r="L163" s="16" t="n"/>
      <c r="M163" s="15">
        <f>IF(B163="","",IF(L163&lt;&gt;"","Paid",IF(D163="","Draft",IF(K163&lt;TODAY(),"Overdue "&amp;(TODAY()-K163)&amp;IF(TODAY()-K163=1," day"," days"),"Waiting"))))</f>
        <v/>
      </c>
      <c r="N163" s="1" t="n"/>
      <c r="O163">
        <f>IF(B163="","",ROW()-5)</f>
        <v/>
      </c>
      <c r="P163">
        <f>IF(OR(B163="",L163&lt;&gt;"",D163=""),"",K163+ROW()/10000000)</f>
        <v/>
      </c>
    </row>
    <row r="164">
      <c r="A164" s="1" t="n"/>
      <c r="B164" s="17" t="n"/>
      <c r="C164" s="18" t="n"/>
      <c r="D164" s="16" t="n"/>
      <c r="E164" s="16" t="n"/>
      <c r="F164" s="16" t="n"/>
      <c r="G164" s="25">
        <f>IF(B164="","",SUMIFS(Timesheet!$M$6:$M$2005,Timesheet!$P$6:$P$2005,B164))</f>
        <v/>
      </c>
      <c r="H164" s="14">
        <f>IF(B164="","",SUMIFS(Timesheet!$O$6:$O$2005,Timesheet!$P$6:$P$2005,B164))</f>
        <v/>
      </c>
      <c r="I164" s="14">
        <f>IF(B164="","",ROUND(H164*N(Settings!$C$12),2))</f>
        <v/>
      </c>
      <c r="J164" s="26">
        <f>IF(B164="","",H164+I164)</f>
        <v/>
      </c>
      <c r="K164" s="27">
        <f>IF(OR(B164="",D164=""),"",D164+IFERROR(IF(INDEX(Clients!$H$6:$H$45,MATCH(C164,Clients!$B$6:$B$45,0))="",N(Settings!$C$13),INDEX(Clients!$H$6:$H$45,MATCH(C164,Clients!$B$6:$B$45,0))),N(Settings!$C$13)))</f>
        <v/>
      </c>
      <c r="L164" s="16" t="n"/>
      <c r="M164" s="15">
        <f>IF(B164="","",IF(L164&lt;&gt;"","Paid",IF(D164="","Draft",IF(K164&lt;TODAY(),"Overdue "&amp;(TODAY()-K164)&amp;IF(TODAY()-K164=1," day"," days"),"Waiting"))))</f>
        <v/>
      </c>
      <c r="N164" s="1" t="n"/>
      <c r="O164">
        <f>IF(B164="","",ROW()-5)</f>
        <v/>
      </c>
      <c r="P164">
        <f>IF(OR(B164="",L164&lt;&gt;"",D164=""),"",K164+ROW()/10000000)</f>
        <v/>
      </c>
    </row>
    <row r="165">
      <c r="A165" s="1" t="n"/>
      <c r="B165" s="17" t="n"/>
      <c r="C165" s="18" t="n"/>
      <c r="D165" s="16" t="n"/>
      <c r="E165" s="16" t="n"/>
      <c r="F165" s="16" t="n"/>
      <c r="G165" s="25">
        <f>IF(B165="","",SUMIFS(Timesheet!$M$6:$M$2005,Timesheet!$P$6:$P$2005,B165))</f>
        <v/>
      </c>
      <c r="H165" s="14">
        <f>IF(B165="","",SUMIFS(Timesheet!$O$6:$O$2005,Timesheet!$P$6:$P$2005,B165))</f>
        <v/>
      </c>
      <c r="I165" s="14">
        <f>IF(B165="","",ROUND(H165*N(Settings!$C$12),2))</f>
        <v/>
      </c>
      <c r="J165" s="26">
        <f>IF(B165="","",H165+I165)</f>
        <v/>
      </c>
      <c r="K165" s="27">
        <f>IF(OR(B165="",D165=""),"",D165+IFERROR(IF(INDEX(Clients!$H$6:$H$45,MATCH(C165,Clients!$B$6:$B$45,0))="",N(Settings!$C$13),INDEX(Clients!$H$6:$H$45,MATCH(C165,Clients!$B$6:$B$45,0))),N(Settings!$C$13)))</f>
        <v/>
      </c>
      <c r="L165" s="16" t="n"/>
      <c r="M165" s="15">
        <f>IF(B165="","",IF(L165&lt;&gt;"","Paid",IF(D165="","Draft",IF(K165&lt;TODAY(),"Overdue "&amp;(TODAY()-K165)&amp;IF(TODAY()-K165=1," day"," days"),"Waiting"))))</f>
        <v/>
      </c>
      <c r="N165" s="1" t="n"/>
      <c r="O165">
        <f>IF(B165="","",ROW()-5)</f>
        <v/>
      </c>
      <c r="P165">
        <f>IF(OR(B165="",L165&lt;&gt;"",D165=""),"",K165+ROW()/10000000)</f>
        <v/>
      </c>
    </row>
    <row r="166">
      <c r="A166" s="1" t="n"/>
      <c r="B166" s="17" t="n"/>
      <c r="C166" s="18" t="n"/>
      <c r="D166" s="16" t="n"/>
      <c r="E166" s="16" t="n"/>
      <c r="F166" s="16" t="n"/>
      <c r="G166" s="25">
        <f>IF(B166="","",SUMIFS(Timesheet!$M$6:$M$2005,Timesheet!$P$6:$P$2005,B166))</f>
        <v/>
      </c>
      <c r="H166" s="14">
        <f>IF(B166="","",SUMIFS(Timesheet!$O$6:$O$2005,Timesheet!$P$6:$P$2005,B166))</f>
        <v/>
      </c>
      <c r="I166" s="14">
        <f>IF(B166="","",ROUND(H166*N(Settings!$C$12),2))</f>
        <v/>
      </c>
      <c r="J166" s="26">
        <f>IF(B166="","",H166+I166)</f>
        <v/>
      </c>
      <c r="K166" s="27">
        <f>IF(OR(B166="",D166=""),"",D166+IFERROR(IF(INDEX(Clients!$H$6:$H$45,MATCH(C166,Clients!$B$6:$B$45,0))="",N(Settings!$C$13),INDEX(Clients!$H$6:$H$45,MATCH(C166,Clients!$B$6:$B$45,0))),N(Settings!$C$13)))</f>
        <v/>
      </c>
      <c r="L166" s="16" t="n"/>
      <c r="M166" s="15">
        <f>IF(B166="","",IF(L166&lt;&gt;"","Paid",IF(D166="","Draft",IF(K166&lt;TODAY(),"Overdue "&amp;(TODAY()-K166)&amp;IF(TODAY()-K166=1," day"," days"),"Waiting"))))</f>
        <v/>
      </c>
      <c r="N166" s="1" t="n"/>
      <c r="O166">
        <f>IF(B166="","",ROW()-5)</f>
        <v/>
      </c>
      <c r="P166">
        <f>IF(OR(B166="",L166&lt;&gt;"",D166=""),"",K166+ROW()/10000000)</f>
        <v/>
      </c>
    </row>
    <row r="167">
      <c r="A167" s="1" t="n"/>
      <c r="B167" s="17" t="n"/>
      <c r="C167" s="18" t="n"/>
      <c r="D167" s="16" t="n"/>
      <c r="E167" s="16" t="n"/>
      <c r="F167" s="16" t="n"/>
      <c r="G167" s="25">
        <f>IF(B167="","",SUMIFS(Timesheet!$M$6:$M$2005,Timesheet!$P$6:$P$2005,B167))</f>
        <v/>
      </c>
      <c r="H167" s="14">
        <f>IF(B167="","",SUMIFS(Timesheet!$O$6:$O$2005,Timesheet!$P$6:$P$2005,B167))</f>
        <v/>
      </c>
      <c r="I167" s="14">
        <f>IF(B167="","",ROUND(H167*N(Settings!$C$12),2))</f>
        <v/>
      </c>
      <c r="J167" s="26">
        <f>IF(B167="","",H167+I167)</f>
        <v/>
      </c>
      <c r="K167" s="27">
        <f>IF(OR(B167="",D167=""),"",D167+IFERROR(IF(INDEX(Clients!$H$6:$H$45,MATCH(C167,Clients!$B$6:$B$45,0))="",N(Settings!$C$13),INDEX(Clients!$H$6:$H$45,MATCH(C167,Clients!$B$6:$B$45,0))),N(Settings!$C$13)))</f>
        <v/>
      </c>
      <c r="L167" s="16" t="n"/>
      <c r="M167" s="15">
        <f>IF(B167="","",IF(L167&lt;&gt;"","Paid",IF(D167="","Draft",IF(K167&lt;TODAY(),"Overdue "&amp;(TODAY()-K167)&amp;IF(TODAY()-K167=1," day"," days"),"Waiting"))))</f>
        <v/>
      </c>
      <c r="N167" s="1" t="n"/>
      <c r="O167">
        <f>IF(B167="","",ROW()-5)</f>
        <v/>
      </c>
      <c r="P167">
        <f>IF(OR(B167="",L167&lt;&gt;"",D167=""),"",K167+ROW()/10000000)</f>
        <v/>
      </c>
    </row>
    <row r="168">
      <c r="A168" s="1" t="n"/>
      <c r="B168" s="17" t="n"/>
      <c r="C168" s="18" t="n"/>
      <c r="D168" s="16" t="n"/>
      <c r="E168" s="16" t="n"/>
      <c r="F168" s="16" t="n"/>
      <c r="G168" s="25">
        <f>IF(B168="","",SUMIFS(Timesheet!$M$6:$M$2005,Timesheet!$P$6:$P$2005,B168))</f>
        <v/>
      </c>
      <c r="H168" s="14">
        <f>IF(B168="","",SUMIFS(Timesheet!$O$6:$O$2005,Timesheet!$P$6:$P$2005,B168))</f>
        <v/>
      </c>
      <c r="I168" s="14">
        <f>IF(B168="","",ROUND(H168*N(Settings!$C$12),2))</f>
        <v/>
      </c>
      <c r="J168" s="26">
        <f>IF(B168="","",H168+I168)</f>
        <v/>
      </c>
      <c r="K168" s="27">
        <f>IF(OR(B168="",D168=""),"",D168+IFERROR(IF(INDEX(Clients!$H$6:$H$45,MATCH(C168,Clients!$B$6:$B$45,0))="",N(Settings!$C$13),INDEX(Clients!$H$6:$H$45,MATCH(C168,Clients!$B$6:$B$45,0))),N(Settings!$C$13)))</f>
        <v/>
      </c>
      <c r="L168" s="16" t="n"/>
      <c r="M168" s="15">
        <f>IF(B168="","",IF(L168&lt;&gt;"","Paid",IF(D168="","Draft",IF(K168&lt;TODAY(),"Overdue "&amp;(TODAY()-K168)&amp;IF(TODAY()-K168=1," day"," days"),"Waiting"))))</f>
        <v/>
      </c>
      <c r="N168" s="1" t="n"/>
      <c r="O168">
        <f>IF(B168="","",ROW()-5)</f>
        <v/>
      </c>
      <c r="P168">
        <f>IF(OR(B168="",L168&lt;&gt;"",D168=""),"",K168+ROW()/10000000)</f>
        <v/>
      </c>
    </row>
    <row r="169">
      <c r="A169" s="1" t="n"/>
      <c r="B169" s="17" t="n"/>
      <c r="C169" s="18" t="n"/>
      <c r="D169" s="16" t="n"/>
      <c r="E169" s="16" t="n"/>
      <c r="F169" s="16" t="n"/>
      <c r="G169" s="25">
        <f>IF(B169="","",SUMIFS(Timesheet!$M$6:$M$2005,Timesheet!$P$6:$P$2005,B169))</f>
        <v/>
      </c>
      <c r="H169" s="14">
        <f>IF(B169="","",SUMIFS(Timesheet!$O$6:$O$2005,Timesheet!$P$6:$P$2005,B169))</f>
        <v/>
      </c>
      <c r="I169" s="14">
        <f>IF(B169="","",ROUND(H169*N(Settings!$C$12),2))</f>
        <v/>
      </c>
      <c r="J169" s="26">
        <f>IF(B169="","",H169+I169)</f>
        <v/>
      </c>
      <c r="K169" s="27">
        <f>IF(OR(B169="",D169=""),"",D169+IFERROR(IF(INDEX(Clients!$H$6:$H$45,MATCH(C169,Clients!$B$6:$B$45,0))="",N(Settings!$C$13),INDEX(Clients!$H$6:$H$45,MATCH(C169,Clients!$B$6:$B$45,0))),N(Settings!$C$13)))</f>
        <v/>
      </c>
      <c r="L169" s="16" t="n"/>
      <c r="M169" s="15">
        <f>IF(B169="","",IF(L169&lt;&gt;"","Paid",IF(D169="","Draft",IF(K169&lt;TODAY(),"Overdue "&amp;(TODAY()-K169)&amp;IF(TODAY()-K169=1," day"," days"),"Waiting"))))</f>
        <v/>
      </c>
      <c r="N169" s="1" t="n"/>
      <c r="O169">
        <f>IF(B169="","",ROW()-5)</f>
        <v/>
      </c>
      <c r="P169">
        <f>IF(OR(B169="",L169&lt;&gt;"",D169=""),"",K169+ROW()/10000000)</f>
        <v/>
      </c>
    </row>
    <row r="170">
      <c r="A170" s="1" t="n"/>
      <c r="B170" s="17" t="n"/>
      <c r="C170" s="18" t="n"/>
      <c r="D170" s="16" t="n"/>
      <c r="E170" s="16" t="n"/>
      <c r="F170" s="16" t="n"/>
      <c r="G170" s="25">
        <f>IF(B170="","",SUMIFS(Timesheet!$M$6:$M$2005,Timesheet!$P$6:$P$2005,B170))</f>
        <v/>
      </c>
      <c r="H170" s="14">
        <f>IF(B170="","",SUMIFS(Timesheet!$O$6:$O$2005,Timesheet!$P$6:$P$2005,B170))</f>
        <v/>
      </c>
      <c r="I170" s="14">
        <f>IF(B170="","",ROUND(H170*N(Settings!$C$12),2))</f>
        <v/>
      </c>
      <c r="J170" s="26">
        <f>IF(B170="","",H170+I170)</f>
        <v/>
      </c>
      <c r="K170" s="27">
        <f>IF(OR(B170="",D170=""),"",D170+IFERROR(IF(INDEX(Clients!$H$6:$H$45,MATCH(C170,Clients!$B$6:$B$45,0))="",N(Settings!$C$13),INDEX(Clients!$H$6:$H$45,MATCH(C170,Clients!$B$6:$B$45,0))),N(Settings!$C$13)))</f>
        <v/>
      </c>
      <c r="L170" s="16" t="n"/>
      <c r="M170" s="15">
        <f>IF(B170="","",IF(L170&lt;&gt;"","Paid",IF(D170="","Draft",IF(K170&lt;TODAY(),"Overdue "&amp;(TODAY()-K170)&amp;IF(TODAY()-K170=1," day"," days"),"Waiting"))))</f>
        <v/>
      </c>
      <c r="N170" s="1" t="n"/>
      <c r="O170">
        <f>IF(B170="","",ROW()-5)</f>
        <v/>
      </c>
      <c r="P170">
        <f>IF(OR(B170="",L170&lt;&gt;"",D170=""),"",K170+ROW()/10000000)</f>
        <v/>
      </c>
    </row>
    <row r="171">
      <c r="A171" s="1" t="n"/>
      <c r="B171" s="17" t="n"/>
      <c r="C171" s="18" t="n"/>
      <c r="D171" s="16" t="n"/>
      <c r="E171" s="16" t="n"/>
      <c r="F171" s="16" t="n"/>
      <c r="G171" s="25">
        <f>IF(B171="","",SUMIFS(Timesheet!$M$6:$M$2005,Timesheet!$P$6:$P$2005,B171))</f>
        <v/>
      </c>
      <c r="H171" s="14">
        <f>IF(B171="","",SUMIFS(Timesheet!$O$6:$O$2005,Timesheet!$P$6:$P$2005,B171))</f>
        <v/>
      </c>
      <c r="I171" s="14">
        <f>IF(B171="","",ROUND(H171*N(Settings!$C$12),2))</f>
        <v/>
      </c>
      <c r="J171" s="26">
        <f>IF(B171="","",H171+I171)</f>
        <v/>
      </c>
      <c r="K171" s="27">
        <f>IF(OR(B171="",D171=""),"",D171+IFERROR(IF(INDEX(Clients!$H$6:$H$45,MATCH(C171,Clients!$B$6:$B$45,0))="",N(Settings!$C$13),INDEX(Clients!$H$6:$H$45,MATCH(C171,Clients!$B$6:$B$45,0))),N(Settings!$C$13)))</f>
        <v/>
      </c>
      <c r="L171" s="16" t="n"/>
      <c r="M171" s="15">
        <f>IF(B171="","",IF(L171&lt;&gt;"","Paid",IF(D171="","Draft",IF(K171&lt;TODAY(),"Overdue "&amp;(TODAY()-K171)&amp;IF(TODAY()-K171=1," day"," days"),"Waiting"))))</f>
        <v/>
      </c>
      <c r="N171" s="1" t="n"/>
      <c r="O171">
        <f>IF(B171="","",ROW()-5)</f>
        <v/>
      </c>
      <c r="P171">
        <f>IF(OR(B171="",L171&lt;&gt;"",D171=""),"",K171+ROW()/10000000)</f>
        <v/>
      </c>
    </row>
    <row r="172">
      <c r="A172" s="1" t="n"/>
      <c r="B172" s="17" t="n"/>
      <c r="C172" s="18" t="n"/>
      <c r="D172" s="16" t="n"/>
      <c r="E172" s="16" t="n"/>
      <c r="F172" s="16" t="n"/>
      <c r="G172" s="25">
        <f>IF(B172="","",SUMIFS(Timesheet!$M$6:$M$2005,Timesheet!$P$6:$P$2005,B172))</f>
        <v/>
      </c>
      <c r="H172" s="14">
        <f>IF(B172="","",SUMIFS(Timesheet!$O$6:$O$2005,Timesheet!$P$6:$P$2005,B172))</f>
        <v/>
      </c>
      <c r="I172" s="14">
        <f>IF(B172="","",ROUND(H172*N(Settings!$C$12),2))</f>
        <v/>
      </c>
      <c r="J172" s="26">
        <f>IF(B172="","",H172+I172)</f>
        <v/>
      </c>
      <c r="K172" s="27">
        <f>IF(OR(B172="",D172=""),"",D172+IFERROR(IF(INDEX(Clients!$H$6:$H$45,MATCH(C172,Clients!$B$6:$B$45,0))="",N(Settings!$C$13),INDEX(Clients!$H$6:$H$45,MATCH(C172,Clients!$B$6:$B$45,0))),N(Settings!$C$13)))</f>
        <v/>
      </c>
      <c r="L172" s="16" t="n"/>
      <c r="M172" s="15">
        <f>IF(B172="","",IF(L172&lt;&gt;"","Paid",IF(D172="","Draft",IF(K172&lt;TODAY(),"Overdue "&amp;(TODAY()-K172)&amp;IF(TODAY()-K172=1," day"," days"),"Waiting"))))</f>
        <v/>
      </c>
      <c r="N172" s="1" t="n"/>
      <c r="O172">
        <f>IF(B172="","",ROW()-5)</f>
        <v/>
      </c>
      <c r="P172">
        <f>IF(OR(B172="",L172&lt;&gt;"",D172=""),"",K172+ROW()/10000000)</f>
        <v/>
      </c>
    </row>
    <row r="173">
      <c r="A173" s="1" t="n"/>
      <c r="B173" s="17" t="n"/>
      <c r="C173" s="18" t="n"/>
      <c r="D173" s="16" t="n"/>
      <c r="E173" s="16" t="n"/>
      <c r="F173" s="16" t="n"/>
      <c r="G173" s="25">
        <f>IF(B173="","",SUMIFS(Timesheet!$M$6:$M$2005,Timesheet!$P$6:$P$2005,B173))</f>
        <v/>
      </c>
      <c r="H173" s="14">
        <f>IF(B173="","",SUMIFS(Timesheet!$O$6:$O$2005,Timesheet!$P$6:$P$2005,B173))</f>
        <v/>
      </c>
      <c r="I173" s="14">
        <f>IF(B173="","",ROUND(H173*N(Settings!$C$12),2))</f>
        <v/>
      </c>
      <c r="J173" s="26">
        <f>IF(B173="","",H173+I173)</f>
        <v/>
      </c>
      <c r="K173" s="27">
        <f>IF(OR(B173="",D173=""),"",D173+IFERROR(IF(INDEX(Clients!$H$6:$H$45,MATCH(C173,Clients!$B$6:$B$45,0))="",N(Settings!$C$13),INDEX(Clients!$H$6:$H$45,MATCH(C173,Clients!$B$6:$B$45,0))),N(Settings!$C$13)))</f>
        <v/>
      </c>
      <c r="L173" s="16" t="n"/>
      <c r="M173" s="15">
        <f>IF(B173="","",IF(L173&lt;&gt;"","Paid",IF(D173="","Draft",IF(K173&lt;TODAY(),"Overdue "&amp;(TODAY()-K173)&amp;IF(TODAY()-K173=1," day"," days"),"Waiting"))))</f>
        <v/>
      </c>
      <c r="N173" s="1" t="n"/>
      <c r="O173">
        <f>IF(B173="","",ROW()-5)</f>
        <v/>
      </c>
      <c r="P173">
        <f>IF(OR(B173="",L173&lt;&gt;"",D173=""),"",K173+ROW()/10000000)</f>
        <v/>
      </c>
    </row>
    <row r="174">
      <c r="A174" s="1" t="n"/>
      <c r="B174" s="17" t="n"/>
      <c r="C174" s="18" t="n"/>
      <c r="D174" s="16" t="n"/>
      <c r="E174" s="16" t="n"/>
      <c r="F174" s="16" t="n"/>
      <c r="G174" s="25">
        <f>IF(B174="","",SUMIFS(Timesheet!$M$6:$M$2005,Timesheet!$P$6:$P$2005,B174))</f>
        <v/>
      </c>
      <c r="H174" s="14">
        <f>IF(B174="","",SUMIFS(Timesheet!$O$6:$O$2005,Timesheet!$P$6:$P$2005,B174))</f>
        <v/>
      </c>
      <c r="I174" s="14">
        <f>IF(B174="","",ROUND(H174*N(Settings!$C$12),2))</f>
        <v/>
      </c>
      <c r="J174" s="26">
        <f>IF(B174="","",H174+I174)</f>
        <v/>
      </c>
      <c r="K174" s="27">
        <f>IF(OR(B174="",D174=""),"",D174+IFERROR(IF(INDEX(Clients!$H$6:$H$45,MATCH(C174,Clients!$B$6:$B$45,0))="",N(Settings!$C$13),INDEX(Clients!$H$6:$H$45,MATCH(C174,Clients!$B$6:$B$45,0))),N(Settings!$C$13)))</f>
        <v/>
      </c>
      <c r="L174" s="16" t="n"/>
      <c r="M174" s="15">
        <f>IF(B174="","",IF(L174&lt;&gt;"","Paid",IF(D174="","Draft",IF(K174&lt;TODAY(),"Overdue "&amp;(TODAY()-K174)&amp;IF(TODAY()-K174=1," day"," days"),"Waiting"))))</f>
        <v/>
      </c>
      <c r="N174" s="1" t="n"/>
      <c r="O174">
        <f>IF(B174="","",ROW()-5)</f>
        <v/>
      </c>
      <c r="P174">
        <f>IF(OR(B174="",L174&lt;&gt;"",D174=""),"",K174+ROW()/10000000)</f>
        <v/>
      </c>
    </row>
    <row r="175">
      <c r="A175" s="1" t="n"/>
      <c r="B175" s="17" t="n"/>
      <c r="C175" s="18" t="n"/>
      <c r="D175" s="16" t="n"/>
      <c r="E175" s="16" t="n"/>
      <c r="F175" s="16" t="n"/>
      <c r="G175" s="25">
        <f>IF(B175="","",SUMIFS(Timesheet!$M$6:$M$2005,Timesheet!$P$6:$P$2005,B175))</f>
        <v/>
      </c>
      <c r="H175" s="14">
        <f>IF(B175="","",SUMIFS(Timesheet!$O$6:$O$2005,Timesheet!$P$6:$P$2005,B175))</f>
        <v/>
      </c>
      <c r="I175" s="14">
        <f>IF(B175="","",ROUND(H175*N(Settings!$C$12),2))</f>
        <v/>
      </c>
      <c r="J175" s="26">
        <f>IF(B175="","",H175+I175)</f>
        <v/>
      </c>
      <c r="K175" s="27">
        <f>IF(OR(B175="",D175=""),"",D175+IFERROR(IF(INDEX(Clients!$H$6:$H$45,MATCH(C175,Clients!$B$6:$B$45,0))="",N(Settings!$C$13),INDEX(Clients!$H$6:$H$45,MATCH(C175,Clients!$B$6:$B$45,0))),N(Settings!$C$13)))</f>
        <v/>
      </c>
      <c r="L175" s="16" t="n"/>
      <c r="M175" s="15">
        <f>IF(B175="","",IF(L175&lt;&gt;"","Paid",IF(D175="","Draft",IF(K175&lt;TODAY(),"Overdue "&amp;(TODAY()-K175)&amp;IF(TODAY()-K175=1," day"," days"),"Waiting"))))</f>
        <v/>
      </c>
      <c r="N175" s="1" t="n"/>
      <c r="O175">
        <f>IF(B175="","",ROW()-5)</f>
        <v/>
      </c>
      <c r="P175">
        <f>IF(OR(B175="",L175&lt;&gt;"",D175=""),"",K175+ROW()/10000000)</f>
        <v/>
      </c>
    </row>
    <row r="176">
      <c r="A176" s="1" t="n"/>
      <c r="B176" s="17" t="n"/>
      <c r="C176" s="18" t="n"/>
      <c r="D176" s="16" t="n"/>
      <c r="E176" s="16" t="n"/>
      <c r="F176" s="16" t="n"/>
      <c r="G176" s="25">
        <f>IF(B176="","",SUMIFS(Timesheet!$M$6:$M$2005,Timesheet!$P$6:$P$2005,B176))</f>
        <v/>
      </c>
      <c r="H176" s="14">
        <f>IF(B176="","",SUMIFS(Timesheet!$O$6:$O$2005,Timesheet!$P$6:$P$2005,B176))</f>
        <v/>
      </c>
      <c r="I176" s="14">
        <f>IF(B176="","",ROUND(H176*N(Settings!$C$12),2))</f>
        <v/>
      </c>
      <c r="J176" s="26">
        <f>IF(B176="","",H176+I176)</f>
        <v/>
      </c>
      <c r="K176" s="27">
        <f>IF(OR(B176="",D176=""),"",D176+IFERROR(IF(INDEX(Clients!$H$6:$H$45,MATCH(C176,Clients!$B$6:$B$45,0))="",N(Settings!$C$13),INDEX(Clients!$H$6:$H$45,MATCH(C176,Clients!$B$6:$B$45,0))),N(Settings!$C$13)))</f>
        <v/>
      </c>
      <c r="L176" s="16" t="n"/>
      <c r="M176" s="15">
        <f>IF(B176="","",IF(L176&lt;&gt;"","Paid",IF(D176="","Draft",IF(K176&lt;TODAY(),"Overdue "&amp;(TODAY()-K176)&amp;IF(TODAY()-K176=1," day"," days"),"Waiting"))))</f>
        <v/>
      </c>
      <c r="N176" s="1" t="n"/>
      <c r="O176">
        <f>IF(B176="","",ROW()-5)</f>
        <v/>
      </c>
      <c r="P176">
        <f>IF(OR(B176="",L176&lt;&gt;"",D176=""),"",K176+ROW()/10000000)</f>
        <v/>
      </c>
    </row>
    <row r="177">
      <c r="A177" s="1" t="n"/>
      <c r="B177" s="17" t="n"/>
      <c r="C177" s="18" t="n"/>
      <c r="D177" s="16" t="n"/>
      <c r="E177" s="16" t="n"/>
      <c r="F177" s="16" t="n"/>
      <c r="G177" s="25">
        <f>IF(B177="","",SUMIFS(Timesheet!$M$6:$M$2005,Timesheet!$P$6:$P$2005,B177))</f>
        <v/>
      </c>
      <c r="H177" s="14">
        <f>IF(B177="","",SUMIFS(Timesheet!$O$6:$O$2005,Timesheet!$P$6:$P$2005,B177))</f>
        <v/>
      </c>
      <c r="I177" s="14">
        <f>IF(B177="","",ROUND(H177*N(Settings!$C$12),2))</f>
        <v/>
      </c>
      <c r="J177" s="26">
        <f>IF(B177="","",H177+I177)</f>
        <v/>
      </c>
      <c r="K177" s="27">
        <f>IF(OR(B177="",D177=""),"",D177+IFERROR(IF(INDEX(Clients!$H$6:$H$45,MATCH(C177,Clients!$B$6:$B$45,0))="",N(Settings!$C$13),INDEX(Clients!$H$6:$H$45,MATCH(C177,Clients!$B$6:$B$45,0))),N(Settings!$C$13)))</f>
        <v/>
      </c>
      <c r="L177" s="16" t="n"/>
      <c r="M177" s="15">
        <f>IF(B177="","",IF(L177&lt;&gt;"","Paid",IF(D177="","Draft",IF(K177&lt;TODAY(),"Overdue "&amp;(TODAY()-K177)&amp;IF(TODAY()-K177=1," day"," days"),"Waiting"))))</f>
        <v/>
      </c>
      <c r="N177" s="1" t="n"/>
      <c r="O177">
        <f>IF(B177="","",ROW()-5)</f>
        <v/>
      </c>
      <c r="P177">
        <f>IF(OR(B177="",L177&lt;&gt;"",D177=""),"",K177+ROW()/10000000)</f>
        <v/>
      </c>
    </row>
    <row r="178">
      <c r="A178" s="1" t="n"/>
      <c r="B178" s="17" t="n"/>
      <c r="C178" s="18" t="n"/>
      <c r="D178" s="16" t="n"/>
      <c r="E178" s="16" t="n"/>
      <c r="F178" s="16" t="n"/>
      <c r="G178" s="25">
        <f>IF(B178="","",SUMIFS(Timesheet!$M$6:$M$2005,Timesheet!$P$6:$P$2005,B178))</f>
        <v/>
      </c>
      <c r="H178" s="14">
        <f>IF(B178="","",SUMIFS(Timesheet!$O$6:$O$2005,Timesheet!$P$6:$P$2005,B178))</f>
        <v/>
      </c>
      <c r="I178" s="14">
        <f>IF(B178="","",ROUND(H178*N(Settings!$C$12),2))</f>
        <v/>
      </c>
      <c r="J178" s="26">
        <f>IF(B178="","",H178+I178)</f>
        <v/>
      </c>
      <c r="K178" s="27">
        <f>IF(OR(B178="",D178=""),"",D178+IFERROR(IF(INDEX(Clients!$H$6:$H$45,MATCH(C178,Clients!$B$6:$B$45,0))="",N(Settings!$C$13),INDEX(Clients!$H$6:$H$45,MATCH(C178,Clients!$B$6:$B$45,0))),N(Settings!$C$13)))</f>
        <v/>
      </c>
      <c r="L178" s="16" t="n"/>
      <c r="M178" s="15">
        <f>IF(B178="","",IF(L178&lt;&gt;"","Paid",IF(D178="","Draft",IF(K178&lt;TODAY(),"Overdue "&amp;(TODAY()-K178)&amp;IF(TODAY()-K178=1," day"," days"),"Waiting"))))</f>
        <v/>
      </c>
      <c r="N178" s="1" t="n"/>
      <c r="O178">
        <f>IF(B178="","",ROW()-5)</f>
        <v/>
      </c>
      <c r="P178">
        <f>IF(OR(B178="",L178&lt;&gt;"",D178=""),"",K178+ROW()/10000000)</f>
        <v/>
      </c>
    </row>
    <row r="179">
      <c r="A179" s="1" t="n"/>
      <c r="B179" s="17" t="n"/>
      <c r="C179" s="18" t="n"/>
      <c r="D179" s="16" t="n"/>
      <c r="E179" s="16" t="n"/>
      <c r="F179" s="16" t="n"/>
      <c r="G179" s="25">
        <f>IF(B179="","",SUMIFS(Timesheet!$M$6:$M$2005,Timesheet!$P$6:$P$2005,B179))</f>
        <v/>
      </c>
      <c r="H179" s="14">
        <f>IF(B179="","",SUMIFS(Timesheet!$O$6:$O$2005,Timesheet!$P$6:$P$2005,B179))</f>
        <v/>
      </c>
      <c r="I179" s="14">
        <f>IF(B179="","",ROUND(H179*N(Settings!$C$12),2))</f>
        <v/>
      </c>
      <c r="J179" s="26">
        <f>IF(B179="","",H179+I179)</f>
        <v/>
      </c>
      <c r="K179" s="27">
        <f>IF(OR(B179="",D179=""),"",D179+IFERROR(IF(INDEX(Clients!$H$6:$H$45,MATCH(C179,Clients!$B$6:$B$45,0))="",N(Settings!$C$13),INDEX(Clients!$H$6:$H$45,MATCH(C179,Clients!$B$6:$B$45,0))),N(Settings!$C$13)))</f>
        <v/>
      </c>
      <c r="L179" s="16" t="n"/>
      <c r="M179" s="15">
        <f>IF(B179="","",IF(L179&lt;&gt;"","Paid",IF(D179="","Draft",IF(K179&lt;TODAY(),"Overdue "&amp;(TODAY()-K179)&amp;IF(TODAY()-K179=1," day"," days"),"Waiting"))))</f>
        <v/>
      </c>
      <c r="N179" s="1" t="n"/>
      <c r="O179">
        <f>IF(B179="","",ROW()-5)</f>
        <v/>
      </c>
      <c r="P179">
        <f>IF(OR(B179="",L179&lt;&gt;"",D179=""),"",K179+ROW()/10000000)</f>
        <v/>
      </c>
    </row>
    <row r="180">
      <c r="A180" s="1" t="n"/>
      <c r="B180" s="17" t="n"/>
      <c r="C180" s="18" t="n"/>
      <c r="D180" s="16" t="n"/>
      <c r="E180" s="16" t="n"/>
      <c r="F180" s="16" t="n"/>
      <c r="G180" s="25">
        <f>IF(B180="","",SUMIFS(Timesheet!$M$6:$M$2005,Timesheet!$P$6:$P$2005,B180))</f>
        <v/>
      </c>
      <c r="H180" s="14">
        <f>IF(B180="","",SUMIFS(Timesheet!$O$6:$O$2005,Timesheet!$P$6:$P$2005,B180))</f>
        <v/>
      </c>
      <c r="I180" s="14">
        <f>IF(B180="","",ROUND(H180*N(Settings!$C$12),2))</f>
        <v/>
      </c>
      <c r="J180" s="26">
        <f>IF(B180="","",H180+I180)</f>
        <v/>
      </c>
      <c r="K180" s="27">
        <f>IF(OR(B180="",D180=""),"",D180+IFERROR(IF(INDEX(Clients!$H$6:$H$45,MATCH(C180,Clients!$B$6:$B$45,0))="",N(Settings!$C$13),INDEX(Clients!$H$6:$H$45,MATCH(C180,Clients!$B$6:$B$45,0))),N(Settings!$C$13)))</f>
        <v/>
      </c>
      <c r="L180" s="16" t="n"/>
      <c r="M180" s="15">
        <f>IF(B180="","",IF(L180&lt;&gt;"","Paid",IF(D180="","Draft",IF(K180&lt;TODAY(),"Overdue "&amp;(TODAY()-K180)&amp;IF(TODAY()-K180=1," day"," days"),"Waiting"))))</f>
        <v/>
      </c>
      <c r="N180" s="1" t="n"/>
      <c r="O180">
        <f>IF(B180="","",ROW()-5)</f>
        <v/>
      </c>
      <c r="P180">
        <f>IF(OR(B180="",L180&lt;&gt;"",D180=""),"",K180+ROW()/10000000)</f>
        <v/>
      </c>
    </row>
    <row r="181">
      <c r="A181" s="1" t="n"/>
      <c r="B181" s="17" t="n"/>
      <c r="C181" s="18" t="n"/>
      <c r="D181" s="16" t="n"/>
      <c r="E181" s="16" t="n"/>
      <c r="F181" s="16" t="n"/>
      <c r="G181" s="25">
        <f>IF(B181="","",SUMIFS(Timesheet!$M$6:$M$2005,Timesheet!$P$6:$P$2005,B181))</f>
        <v/>
      </c>
      <c r="H181" s="14">
        <f>IF(B181="","",SUMIFS(Timesheet!$O$6:$O$2005,Timesheet!$P$6:$P$2005,B181))</f>
        <v/>
      </c>
      <c r="I181" s="14">
        <f>IF(B181="","",ROUND(H181*N(Settings!$C$12),2))</f>
        <v/>
      </c>
      <c r="J181" s="26">
        <f>IF(B181="","",H181+I181)</f>
        <v/>
      </c>
      <c r="K181" s="27">
        <f>IF(OR(B181="",D181=""),"",D181+IFERROR(IF(INDEX(Clients!$H$6:$H$45,MATCH(C181,Clients!$B$6:$B$45,0))="",N(Settings!$C$13),INDEX(Clients!$H$6:$H$45,MATCH(C181,Clients!$B$6:$B$45,0))),N(Settings!$C$13)))</f>
        <v/>
      </c>
      <c r="L181" s="16" t="n"/>
      <c r="M181" s="15">
        <f>IF(B181="","",IF(L181&lt;&gt;"","Paid",IF(D181="","Draft",IF(K181&lt;TODAY(),"Overdue "&amp;(TODAY()-K181)&amp;IF(TODAY()-K181=1," day"," days"),"Waiting"))))</f>
        <v/>
      </c>
      <c r="N181" s="1" t="n"/>
      <c r="O181">
        <f>IF(B181="","",ROW()-5)</f>
        <v/>
      </c>
      <c r="P181">
        <f>IF(OR(B181="",L181&lt;&gt;"",D181=""),"",K181+ROW()/10000000)</f>
        <v/>
      </c>
    </row>
    <row r="182">
      <c r="A182" s="1" t="n"/>
      <c r="B182" s="17" t="n"/>
      <c r="C182" s="18" t="n"/>
      <c r="D182" s="16" t="n"/>
      <c r="E182" s="16" t="n"/>
      <c r="F182" s="16" t="n"/>
      <c r="G182" s="25">
        <f>IF(B182="","",SUMIFS(Timesheet!$M$6:$M$2005,Timesheet!$P$6:$P$2005,B182))</f>
        <v/>
      </c>
      <c r="H182" s="14">
        <f>IF(B182="","",SUMIFS(Timesheet!$O$6:$O$2005,Timesheet!$P$6:$P$2005,B182))</f>
        <v/>
      </c>
      <c r="I182" s="14">
        <f>IF(B182="","",ROUND(H182*N(Settings!$C$12),2))</f>
        <v/>
      </c>
      <c r="J182" s="26">
        <f>IF(B182="","",H182+I182)</f>
        <v/>
      </c>
      <c r="K182" s="27">
        <f>IF(OR(B182="",D182=""),"",D182+IFERROR(IF(INDEX(Clients!$H$6:$H$45,MATCH(C182,Clients!$B$6:$B$45,0))="",N(Settings!$C$13),INDEX(Clients!$H$6:$H$45,MATCH(C182,Clients!$B$6:$B$45,0))),N(Settings!$C$13)))</f>
        <v/>
      </c>
      <c r="L182" s="16" t="n"/>
      <c r="M182" s="15">
        <f>IF(B182="","",IF(L182&lt;&gt;"","Paid",IF(D182="","Draft",IF(K182&lt;TODAY(),"Overdue "&amp;(TODAY()-K182)&amp;IF(TODAY()-K182=1," day"," days"),"Waiting"))))</f>
        <v/>
      </c>
      <c r="N182" s="1" t="n"/>
      <c r="O182">
        <f>IF(B182="","",ROW()-5)</f>
        <v/>
      </c>
      <c r="P182">
        <f>IF(OR(B182="",L182&lt;&gt;"",D182=""),"",K182+ROW()/10000000)</f>
        <v/>
      </c>
    </row>
    <row r="183">
      <c r="A183" s="1" t="n"/>
      <c r="B183" s="17" t="n"/>
      <c r="C183" s="18" t="n"/>
      <c r="D183" s="16" t="n"/>
      <c r="E183" s="16" t="n"/>
      <c r="F183" s="16" t="n"/>
      <c r="G183" s="25">
        <f>IF(B183="","",SUMIFS(Timesheet!$M$6:$M$2005,Timesheet!$P$6:$P$2005,B183))</f>
        <v/>
      </c>
      <c r="H183" s="14">
        <f>IF(B183="","",SUMIFS(Timesheet!$O$6:$O$2005,Timesheet!$P$6:$P$2005,B183))</f>
        <v/>
      </c>
      <c r="I183" s="14">
        <f>IF(B183="","",ROUND(H183*N(Settings!$C$12),2))</f>
        <v/>
      </c>
      <c r="J183" s="26">
        <f>IF(B183="","",H183+I183)</f>
        <v/>
      </c>
      <c r="K183" s="27">
        <f>IF(OR(B183="",D183=""),"",D183+IFERROR(IF(INDEX(Clients!$H$6:$H$45,MATCH(C183,Clients!$B$6:$B$45,0))="",N(Settings!$C$13),INDEX(Clients!$H$6:$H$45,MATCH(C183,Clients!$B$6:$B$45,0))),N(Settings!$C$13)))</f>
        <v/>
      </c>
      <c r="L183" s="16" t="n"/>
      <c r="M183" s="15">
        <f>IF(B183="","",IF(L183&lt;&gt;"","Paid",IF(D183="","Draft",IF(K183&lt;TODAY(),"Overdue "&amp;(TODAY()-K183)&amp;IF(TODAY()-K183=1," day"," days"),"Waiting"))))</f>
        <v/>
      </c>
      <c r="N183" s="1" t="n"/>
      <c r="O183">
        <f>IF(B183="","",ROW()-5)</f>
        <v/>
      </c>
      <c r="P183">
        <f>IF(OR(B183="",L183&lt;&gt;"",D183=""),"",K183+ROW()/10000000)</f>
        <v/>
      </c>
    </row>
    <row r="184">
      <c r="A184" s="1" t="n"/>
      <c r="B184" s="17" t="n"/>
      <c r="C184" s="18" t="n"/>
      <c r="D184" s="16" t="n"/>
      <c r="E184" s="16" t="n"/>
      <c r="F184" s="16" t="n"/>
      <c r="G184" s="25">
        <f>IF(B184="","",SUMIFS(Timesheet!$M$6:$M$2005,Timesheet!$P$6:$P$2005,B184))</f>
        <v/>
      </c>
      <c r="H184" s="14">
        <f>IF(B184="","",SUMIFS(Timesheet!$O$6:$O$2005,Timesheet!$P$6:$P$2005,B184))</f>
        <v/>
      </c>
      <c r="I184" s="14">
        <f>IF(B184="","",ROUND(H184*N(Settings!$C$12),2))</f>
        <v/>
      </c>
      <c r="J184" s="26">
        <f>IF(B184="","",H184+I184)</f>
        <v/>
      </c>
      <c r="K184" s="27">
        <f>IF(OR(B184="",D184=""),"",D184+IFERROR(IF(INDEX(Clients!$H$6:$H$45,MATCH(C184,Clients!$B$6:$B$45,0))="",N(Settings!$C$13),INDEX(Clients!$H$6:$H$45,MATCH(C184,Clients!$B$6:$B$45,0))),N(Settings!$C$13)))</f>
        <v/>
      </c>
      <c r="L184" s="16" t="n"/>
      <c r="M184" s="15">
        <f>IF(B184="","",IF(L184&lt;&gt;"","Paid",IF(D184="","Draft",IF(K184&lt;TODAY(),"Overdue "&amp;(TODAY()-K184)&amp;IF(TODAY()-K184=1," day"," days"),"Waiting"))))</f>
        <v/>
      </c>
      <c r="N184" s="1" t="n"/>
      <c r="O184">
        <f>IF(B184="","",ROW()-5)</f>
        <v/>
      </c>
      <c r="P184">
        <f>IF(OR(B184="",L184&lt;&gt;"",D184=""),"",K184+ROW()/10000000)</f>
        <v/>
      </c>
    </row>
    <row r="185">
      <c r="A185" s="1" t="n"/>
      <c r="B185" s="17" t="n"/>
      <c r="C185" s="18" t="n"/>
      <c r="D185" s="16" t="n"/>
      <c r="E185" s="16" t="n"/>
      <c r="F185" s="16" t="n"/>
      <c r="G185" s="25">
        <f>IF(B185="","",SUMIFS(Timesheet!$M$6:$M$2005,Timesheet!$P$6:$P$2005,B185))</f>
        <v/>
      </c>
      <c r="H185" s="14">
        <f>IF(B185="","",SUMIFS(Timesheet!$O$6:$O$2005,Timesheet!$P$6:$P$2005,B185))</f>
        <v/>
      </c>
      <c r="I185" s="14">
        <f>IF(B185="","",ROUND(H185*N(Settings!$C$12),2))</f>
        <v/>
      </c>
      <c r="J185" s="26">
        <f>IF(B185="","",H185+I185)</f>
        <v/>
      </c>
      <c r="K185" s="27">
        <f>IF(OR(B185="",D185=""),"",D185+IFERROR(IF(INDEX(Clients!$H$6:$H$45,MATCH(C185,Clients!$B$6:$B$45,0))="",N(Settings!$C$13),INDEX(Clients!$H$6:$H$45,MATCH(C185,Clients!$B$6:$B$45,0))),N(Settings!$C$13)))</f>
        <v/>
      </c>
      <c r="L185" s="16" t="n"/>
      <c r="M185" s="15">
        <f>IF(B185="","",IF(L185&lt;&gt;"","Paid",IF(D185="","Draft",IF(K185&lt;TODAY(),"Overdue "&amp;(TODAY()-K185)&amp;IF(TODAY()-K185=1," day"," days"),"Waiting"))))</f>
        <v/>
      </c>
      <c r="N185" s="1" t="n"/>
      <c r="O185">
        <f>IF(B185="","",ROW()-5)</f>
        <v/>
      </c>
      <c r="P185">
        <f>IF(OR(B185="",L185&lt;&gt;"",D185=""),"",K185+ROW()/10000000)</f>
        <v/>
      </c>
    </row>
    <row r="186">
      <c r="A186" s="1" t="n"/>
      <c r="B186" s="17" t="n"/>
      <c r="C186" s="18" t="n"/>
      <c r="D186" s="16" t="n"/>
      <c r="E186" s="16" t="n"/>
      <c r="F186" s="16" t="n"/>
      <c r="G186" s="25">
        <f>IF(B186="","",SUMIFS(Timesheet!$M$6:$M$2005,Timesheet!$P$6:$P$2005,B186))</f>
        <v/>
      </c>
      <c r="H186" s="14">
        <f>IF(B186="","",SUMIFS(Timesheet!$O$6:$O$2005,Timesheet!$P$6:$P$2005,B186))</f>
        <v/>
      </c>
      <c r="I186" s="14">
        <f>IF(B186="","",ROUND(H186*N(Settings!$C$12),2))</f>
        <v/>
      </c>
      <c r="J186" s="26">
        <f>IF(B186="","",H186+I186)</f>
        <v/>
      </c>
      <c r="K186" s="27">
        <f>IF(OR(B186="",D186=""),"",D186+IFERROR(IF(INDEX(Clients!$H$6:$H$45,MATCH(C186,Clients!$B$6:$B$45,0))="",N(Settings!$C$13),INDEX(Clients!$H$6:$H$45,MATCH(C186,Clients!$B$6:$B$45,0))),N(Settings!$C$13)))</f>
        <v/>
      </c>
      <c r="L186" s="16" t="n"/>
      <c r="M186" s="15">
        <f>IF(B186="","",IF(L186&lt;&gt;"","Paid",IF(D186="","Draft",IF(K186&lt;TODAY(),"Overdue "&amp;(TODAY()-K186)&amp;IF(TODAY()-K186=1," day"," days"),"Waiting"))))</f>
        <v/>
      </c>
      <c r="N186" s="1" t="n"/>
      <c r="O186">
        <f>IF(B186="","",ROW()-5)</f>
        <v/>
      </c>
      <c r="P186">
        <f>IF(OR(B186="",L186&lt;&gt;"",D186=""),"",K186+ROW()/10000000)</f>
        <v/>
      </c>
    </row>
    <row r="187">
      <c r="A187" s="1" t="n"/>
      <c r="B187" s="17" t="n"/>
      <c r="C187" s="18" t="n"/>
      <c r="D187" s="16" t="n"/>
      <c r="E187" s="16" t="n"/>
      <c r="F187" s="16" t="n"/>
      <c r="G187" s="25">
        <f>IF(B187="","",SUMIFS(Timesheet!$M$6:$M$2005,Timesheet!$P$6:$P$2005,B187))</f>
        <v/>
      </c>
      <c r="H187" s="14">
        <f>IF(B187="","",SUMIFS(Timesheet!$O$6:$O$2005,Timesheet!$P$6:$P$2005,B187))</f>
        <v/>
      </c>
      <c r="I187" s="14">
        <f>IF(B187="","",ROUND(H187*N(Settings!$C$12),2))</f>
        <v/>
      </c>
      <c r="J187" s="26">
        <f>IF(B187="","",H187+I187)</f>
        <v/>
      </c>
      <c r="K187" s="27">
        <f>IF(OR(B187="",D187=""),"",D187+IFERROR(IF(INDEX(Clients!$H$6:$H$45,MATCH(C187,Clients!$B$6:$B$45,0))="",N(Settings!$C$13),INDEX(Clients!$H$6:$H$45,MATCH(C187,Clients!$B$6:$B$45,0))),N(Settings!$C$13)))</f>
        <v/>
      </c>
      <c r="L187" s="16" t="n"/>
      <c r="M187" s="15">
        <f>IF(B187="","",IF(L187&lt;&gt;"","Paid",IF(D187="","Draft",IF(K187&lt;TODAY(),"Overdue "&amp;(TODAY()-K187)&amp;IF(TODAY()-K187=1," day"," days"),"Waiting"))))</f>
        <v/>
      </c>
      <c r="N187" s="1" t="n"/>
      <c r="O187">
        <f>IF(B187="","",ROW()-5)</f>
        <v/>
      </c>
      <c r="P187">
        <f>IF(OR(B187="",L187&lt;&gt;"",D187=""),"",K187+ROW()/10000000)</f>
        <v/>
      </c>
    </row>
    <row r="188">
      <c r="A188" s="1" t="n"/>
      <c r="B188" s="17" t="n"/>
      <c r="C188" s="18" t="n"/>
      <c r="D188" s="16" t="n"/>
      <c r="E188" s="16" t="n"/>
      <c r="F188" s="16" t="n"/>
      <c r="G188" s="25">
        <f>IF(B188="","",SUMIFS(Timesheet!$M$6:$M$2005,Timesheet!$P$6:$P$2005,B188))</f>
        <v/>
      </c>
      <c r="H188" s="14">
        <f>IF(B188="","",SUMIFS(Timesheet!$O$6:$O$2005,Timesheet!$P$6:$P$2005,B188))</f>
        <v/>
      </c>
      <c r="I188" s="14">
        <f>IF(B188="","",ROUND(H188*N(Settings!$C$12),2))</f>
        <v/>
      </c>
      <c r="J188" s="26">
        <f>IF(B188="","",H188+I188)</f>
        <v/>
      </c>
      <c r="K188" s="27">
        <f>IF(OR(B188="",D188=""),"",D188+IFERROR(IF(INDEX(Clients!$H$6:$H$45,MATCH(C188,Clients!$B$6:$B$45,0))="",N(Settings!$C$13),INDEX(Clients!$H$6:$H$45,MATCH(C188,Clients!$B$6:$B$45,0))),N(Settings!$C$13)))</f>
        <v/>
      </c>
      <c r="L188" s="16" t="n"/>
      <c r="M188" s="15">
        <f>IF(B188="","",IF(L188&lt;&gt;"","Paid",IF(D188="","Draft",IF(K188&lt;TODAY(),"Overdue "&amp;(TODAY()-K188)&amp;IF(TODAY()-K188=1," day"," days"),"Waiting"))))</f>
        <v/>
      </c>
      <c r="N188" s="1" t="n"/>
      <c r="O188">
        <f>IF(B188="","",ROW()-5)</f>
        <v/>
      </c>
      <c r="P188">
        <f>IF(OR(B188="",L188&lt;&gt;"",D188=""),"",K188+ROW()/10000000)</f>
        <v/>
      </c>
    </row>
    <row r="189">
      <c r="A189" s="1" t="n"/>
      <c r="B189" s="17" t="n"/>
      <c r="C189" s="18" t="n"/>
      <c r="D189" s="16" t="n"/>
      <c r="E189" s="16" t="n"/>
      <c r="F189" s="16" t="n"/>
      <c r="G189" s="25">
        <f>IF(B189="","",SUMIFS(Timesheet!$M$6:$M$2005,Timesheet!$P$6:$P$2005,B189))</f>
        <v/>
      </c>
      <c r="H189" s="14">
        <f>IF(B189="","",SUMIFS(Timesheet!$O$6:$O$2005,Timesheet!$P$6:$P$2005,B189))</f>
        <v/>
      </c>
      <c r="I189" s="14">
        <f>IF(B189="","",ROUND(H189*N(Settings!$C$12),2))</f>
        <v/>
      </c>
      <c r="J189" s="26">
        <f>IF(B189="","",H189+I189)</f>
        <v/>
      </c>
      <c r="K189" s="27">
        <f>IF(OR(B189="",D189=""),"",D189+IFERROR(IF(INDEX(Clients!$H$6:$H$45,MATCH(C189,Clients!$B$6:$B$45,0))="",N(Settings!$C$13),INDEX(Clients!$H$6:$H$45,MATCH(C189,Clients!$B$6:$B$45,0))),N(Settings!$C$13)))</f>
        <v/>
      </c>
      <c r="L189" s="16" t="n"/>
      <c r="M189" s="15">
        <f>IF(B189="","",IF(L189&lt;&gt;"","Paid",IF(D189="","Draft",IF(K189&lt;TODAY(),"Overdue "&amp;(TODAY()-K189)&amp;IF(TODAY()-K189=1," day"," days"),"Waiting"))))</f>
        <v/>
      </c>
      <c r="N189" s="1" t="n"/>
      <c r="O189">
        <f>IF(B189="","",ROW()-5)</f>
        <v/>
      </c>
      <c r="P189">
        <f>IF(OR(B189="",L189&lt;&gt;"",D189=""),"",K189+ROW()/10000000)</f>
        <v/>
      </c>
    </row>
    <row r="190">
      <c r="A190" s="1" t="n"/>
      <c r="B190" s="17" t="n"/>
      <c r="C190" s="18" t="n"/>
      <c r="D190" s="16" t="n"/>
      <c r="E190" s="16" t="n"/>
      <c r="F190" s="16" t="n"/>
      <c r="G190" s="25">
        <f>IF(B190="","",SUMIFS(Timesheet!$M$6:$M$2005,Timesheet!$P$6:$P$2005,B190))</f>
        <v/>
      </c>
      <c r="H190" s="14">
        <f>IF(B190="","",SUMIFS(Timesheet!$O$6:$O$2005,Timesheet!$P$6:$P$2005,B190))</f>
        <v/>
      </c>
      <c r="I190" s="14">
        <f>IF(B190="","",ROUND(H190*N(Settings!$C$12),2))</f>
        <v/>
      </c>
      <c r="J190" s="26">
        <f>IF(B190="","",H190+I190)</f>
        <v/>
      </c>
      <c r="K190" s="27">
        <f>IF(OR(B190="",D190=""),"",D190+IFERROR(IF(INDEX(Clients!$H$6:$H$45,MATCH(C190,Clients!$B$6:$B$45,0))="",N(Settings!$C$13),INDEX(Clients!$H$6:$H$45,MATCH(C190,Clients!$B$6:$B$45,0))),N(Settings!$C$13)))</f>
        <v/>
      </c>
      <c r="L190" s="16" t="n"/>
      <c r="M190" s="15">
        <f>IF(B190="","",IF(L190&lt;&gt;"","Paid",IF(D190="","Draft",IF(K190&lt;TODAY(),"Overdue "&amp;(TODAY()-K190)&amp;IF(TODAY()-K190=1," day"," days"),"Waiting"))))</f>
        <v/>
      </c>
      <c r="N190" s="1" t="n"/>
      <c r="O190">
        <f>IF(B190="","",ROW()-5)</f>
        <v/>
      </c>
      <c r="P190">
        <f>IF(OR(B190="",L190&lt;&gt;"",D190=""),"",K190+ROW()/10000000)</f>
        <v/>
      </c>
    </row>
    <row r="191">
      <c r="A191" s="1" t="n"/>
      <c r="B191" s="17" t="n"/>
      <c r="C191" s="18" t="n"/>
      <c r="D191" s="16" t="n"/>
      <c r="E191" s="16" t="n"/>
      <c r="F191" s="16" t="n"/>
      <c r="G191" s="25">
        <f>IF(B191="","",SUMIFS(Timesheet!$M$6:$M$2005,Timesheet!$P$6:$P$2005,B191))</f>
        <v/>
      </c>
      <c r="H191" s="14">
        <f>IF(B191="","",SUMIFS(Timesheet!$O$6:$O$2005,Timesheet!$P$6:$P$2005,B191))</f>
        <v/>
      </c>
      <c r="I191" s="14">
        <f>IF(B191="","",ROUND(H191*N(Settings!$C$12),2))</f>
        <v/>
      </c>
      <c r="J191" s="26">
        <f>IF(B191="","",H191+I191)</f>
        <v/>
      </c>
      <c r="K191" s="27">
        <f>IF(OR(B191="",D191=""),"",D191+IFERROR(IF(INDEX(Clients!$H$6:$H$45,MATCH(C191,Clients!$B$6:$B$45,0))="",N(Settings!$C$13),INDEX(Clients!$H$6:$H$45,MATCH(C191,Clients!$B$6:$B$45,0))),N(Settings!$C$13)))</f>
        <v/>
      </c>
      <c r="L191" s="16" t="n"/>
      <c r="M191" s="15">
        <f>IF(B191="","",IF(L191&lt;&gt;"","Paid",IF(D191="","Draft",IF(K191&lt;TODAY(),"Overdue "&amp;(TODAY()-K191)&amp;IF(TODAY()-K191=1," day"," days"),"Waiting"))))</f>
        <v/>
      </c>
      <c r="N191" s="1" t="n"/>
      <c r="O191">
        <f>IF(B191="","",ROW()-5)</f>
        <v/>
      </c>
      <c r="P191">
        <f>IF(OR(B191="",L191&lt;&gt;"",D191=""),"",K191+ROW()/10000000)</f>
        <v/>
      </c>
    </row>
    <row r="192">
      <c r="A192" s="1" t="n"/>
      <c r="B192" s="17" t="n"/>
      <c r="C192" s="18" t="n"/>
      <c r="D192" s="16" t="n"/>
      <c r="E192" s="16" t="n"/>
      <c r="F192" s="16" t="n"/>
      <c r="G192" s="25">
        <f>IF(B192="","",SUMIFS(Timesheet!$M$6:$M$2005,Timesheet!$P$6:$P$2005,B192))</f>
        <v/>
      </c>
      <c r="H192" s="14">
        <f>IF(B192="","",SUMIFS(Timesheet!$O$6:$O$2005,Timesheet!$P$6:$P$2005,B192))</f>
        <v/>
      </c>
      <c r="I192" s="14">
        <f>IF(B192="","",ROUND(H192*N(Settings!$C$12),2))</f>
        <v/>
      </c>
      <c r="J192" s="26">
        <f>IF(B192="","",H192+I192)</f>
        <v/>
      </c>
      <c r="K192" s="27">
        <f>IF(OR(B192="",D192=""),"",D192+IFERROR(IF(INDEX(Clients!$H$6:$H$45,MATCH(C192,Clients!$B$6:$B$45,0))="",N(Settings!$C$13),INDEX(Clients!$H$6:$H$45,MATCH(C192,Clients!$B$6:$B$45,0))),N(Settings!$C$13)))</f>
        <v/>
      </c>
      <c r="L192" s="16" t="n"/>
      <c r="M192" s="15">
        <f>IF(B192="","",IF(L192&lt;&gt;"","Paid",IF(D192="","Draft",IF(K192&lt;TODAY(),"Overdue "&amp;(TODAY()-K192)&amp;IF(TODAY()-K192=1," day"," days"),"Waiting"))))</f>
        <v/>
      </c>
      <c r="N192" s="1" t="n"/>
      <c r="O192">
        <f>IF(B192="","",ROW()-5)</f>
        <v/>
      </c>
      <c r="P192">
        <f>IF(OR(B192="",L192&lt;&gt;"",D192=""),"",K192+ROW()/10000000)</f>
        <v/>
      </c>
    </row>
    <row r="193">
      <c r="A193" s="1" t="n"/>
      <c r="B193" s="17" t="n"/>
      <c r="C193" s="18" t="n"/>
      <c r="D193" s="16" t="n"/>
      <c r="E193" s="16" t="n"/>
      <c r="F193" s="16" t="n"/>
      <c r="G193" s="25">
        <f>IF(B193="","",SUMIFS(Timesheet!$M$6:$M$2005,Timesheet!$P$6:$P$2005,B193))</f>
        <v/>
      </c>
      <c r="H193" s="14">
        <f>IF(B193="","",SUMIFS(Timesheet!$O$6:$O$2005,Timesheet!$P$6:$P$2005,B193))</f>
        <v/>
      </c>
      <c r="I193" s="14">
        <f>IF(B193="","",ROUND(H193*N(Settings!$C$12),2))</f>
        <v/>
      </c>
      <c r="J193" s="26">
        <f>IF(B193="","",H193+I193)</f>
        <v/>
      </c>
      <c r="K193" s="27">
        <f>IF(OR(B193="",D193=""),"",D193+IFERROR(IF(INDEX(Clients!$H$6:$H$45,MATCH(C193,Clients!$B$6:$B$45,0))="",N(Settings!$C$13),INDEX(Clients!$H$6:$H$45,MATCH(C193,Clients!$B$6:$B$45,0))),N(Settings!$C$13)))</f>
        <v/>
      </c>
      <c r="L193" s="16" t="n"/>
      <c r="M193" s="15">
        <f>IF(B193="","",IF(L193&lt;&gt;"","Paid",IF(D193="","Draft",IF(K193&lt;TODAY(),"Overdue "&amp;(TODAY()-K193)&amp;IF(TODAY()-K193=1," day"," days"),"Waiting"))))</f>
        <v/>
      </c>
      <c r="N193" s="1" t="n"/>
      <c r="O193">
        <f>IF(B193="","",ROW()-5)</f>
        <v/>
      </c>
      <c r="P193">
        <f>IF(OR(B193="",L193&lt;&gt;"",D193=""),"",K193+ROW()/10000000)</f>
        <v/>
      </c>
    </row>
    <row r="194">
      <c r="A194" s="1" t="n"/>
      <c r="B194" s="17" t="n"/>
      <c r="C194" s="18" t="n"/>
      <c r="D194" s="16" t="n"/>
      <c r="E194" s="16" t="n"/>
      <c r="F194" s="16" t="n"/>
      <c r="G194" s="25">
        <f>IF(B194="","",SUMIFS(Timesheet!$M$6:$M$2005,Timesheet!$P$6:$P$2005,B194))</f>
        <v/>
      </c>
      <c r="H194" s="14">
        <f>IF(B194="","",SUMIFS(Timesheet!$O$6:$O$2005,Timesheet!$P$6:$P$2005,B194))</f>
        <v/>
      </c>
      <c r="I194" s="14">
        <f>IF(B194="","",ROUND(H194*N(Settings!$C$12),2))</f>
        <v/>
      </c>
      <c r="J194" s="26">
        <f>IF(B194="","",H194+I194)</f>
        <v/>
      </c>
      <c r="K194" s="27">
        <f>IF(OR(B194="",D194=""),"",D194+IFERROR(IF(INDEX(Clients!$H$6:$H$45,MATCH(C194,Clients!$B$6:$B$45,0))="",N(Settings!$C$13),INDEX(Clients!$H$6:$H$45,MATCH(C194,Clients!$B$6:$B$45,0))),N(Settings!$C$13)))</f>
        <v/>
      </c>
      <c r="L194" s="16" t="n"/>
      <c r="M194" s="15">
        <f>IF(B194="","",IF(L194&lt;&gt;"","Paid",IF(D194="","Draft",IF(K194&lt;TODAY(),"Overdue "&amp;(TODAY()-K194)&amp;IF(TODAY()-K194=1," day"," days"),"Waiting"))))</f>
        <v/>
      </c>
      <c r="N194" s="1" t="n"/>
      <c r="O194">
        <f>IF(B194="","",ROW()-5)</f>
        <v/>
      </c>
      <c r="P194">
        <f>IF(OR(B194="",L194&lt;&gt;"",D194=""),"",K194+ROW()/10000000)</f>
        <v/>
      </c>
    </row>
    <row r="195">
      <c r="A195" s="1" t="n"/>
      <c r="B195" s="17" t="n"/>
      <c r="C195" s="18" t="n"/>
      <c r="D195" s="16" t="n"/>
      <c r="E195" s="16" t="n"/>
      <c r="F195" s="16" t="n"/>
      <c r="G195" s="25">
        <f>IF(B195="","",SUMIFS(Timesheet!$M$6:$M$2005,Timesheet!$P$6:$P$2005,B195))</f>
        <v/>
      </c>
      <c r="H195" s="14">
        <f>IF(B195="","",SUMIFS(Timesheet!$O$6:$O$2005,Timesheet!$P$6:$P$2005,B195))</f>
        <v/>
      </c>
      <c r="I195" s="14">
        <f>IF(B195="","",ROUND(H195*N(Settings!$C$12),2))</f>
        <v/>
      </c>
      <c r="J195" s="26">
        <f>IF(B195="","",H195+I195)</f>
        <v/>
      </c>
      <c r="K195" s="27">
        <f>IF(OR(B195="",D195=""),"",D195+IFERROR(IF(INDEX(Clients!$H$6:$H$45,MATCH(C195,Clients!$B$6:$B$45,0))="",N(Settings!$C$13),INDEX(Clients!$H$6:$H$45,MATCH(C195,Clients!$B$6:$B$45,0))),N(Settings!$C$13)))</f>
        <v/>
      </c>
      <c r="L195" s="16" t="n"/>
      <c r="M195" s="15">
        <f>IF(B195="","",IF(L195&lt;&gt;"","Paid",IF(D195="","Draft",IF(K195&lt;TODAY(),"Overdue "&amp;(TODAY()-K195)&amp;IF(TODAY()-K195=1," day"," days"),"Waiting"))))</f>
        <v/>
      </c>
      <c r="N195" s="1" t="n"/>
      <c r="O195">
        <f>IF(B195="","",ROW()-5)</f>
        <v/>
      </c>
      <c r="P195">
        <f>IF(OR(B195="",L195&lt;&gt;"",D195=""),"",K195+ROW()/10000000)</f>
        <v/>
      </c>
    </row>
    <row r="196">
      <c r="A196" s="1" t="n"/>
      <c r="B196" s="17" t="n"/>
      <c r="C196" s="18" t="n"/>
      <c r="D196" s="16" t="n"/>
      <c r="E196" s="16" t="n"/>
      <c r="F196" s="16" t="n"/>
      <c r="G196" s="25">
        <f>IF(B196="","",SUMIFS(Timesheet!$M$6:$M$2005,Timesheet!$P$6:$P$2005,B196))</f>
        <v/>
      </c>
      <c r="H196" s="14">
        <f>IF(B196="","",SUMIFS(Timesheet!$O$6:$O$2005,Timesheet!$P$6:$P$2005,B196))</f>
        <v/>
      </c>
      <c r="I196" s="14">
        <f>IF(B196="","",ROUND(H196*N(Settings!$C$12),2))</f>
        <v/>
      </c>
      <c r="J196" s="26">
        <f>IF(B196="","",H196+I196)</f>
        <v/>
      </c>
      <c r="K196" s="27">
        <f>IF(OR(B196="",D196=""),"",D196+IFERROR(IF(INDEX(Clients!$H$6:$H$45,MATCH(C196,Clients!$B$6:$B$45,0))="",N(Settings!$C$13),INDEX(Clients!$H$6:$H$45,MATCH(C196,Clients!$B$6:$B$45,0))),N(Settings!$C$13)))</f>
        <v/>
      </c>
      <c r="L196" s="16" t="n"/>
      <c r="M196" s="15">
        <f>IF(B196="","",IF(L196&lt;&gt;"","Paid",IF(D196="","Draft",IF(K196&lt;TODAY(),"Overdue "&amp;(TODAY()-K196)&amp;IF(TODAY()-K196=1," day"," days"),"Waiting"))))</f>
        <v/>
      </c>
      <c r="N196" s="1" t="n"/>
      <c r="O196">
        <f>IF(B196="","",ROW()-5)</f>
        <v/>
      </c>
      <c r="P196">
        <f>IF(OR(B196="",L196&lt;&gt;"",D196=""),"",K196+ROW()/10000000)</f>
        <v/>
      </c>
    </row>
    <row r="197">
      <c r="A197" s="1" t="n"/>
      <c r="B197" s="17" t="n"/>
      <c r="C197" s="18" t="n"/>
      <c r="D197" s="16" t="n"/>
      <c r="E197" s="16" t="n"/>
      <c r="F197" s="16" t="n"/>
      <c r="G197" s="25">
        <f>IF(B197="","",SUMIFS(Timesheet!$M$6:$M$2005,Timesheet!$P$6:$P$2005,B197))</f>
        <v/>
      </c>
      <c r="H197" s="14">
        <f>IF(B197="","",SUMIFS(Timesheet!$O$6:$O$2005,Timesheet!$P$6:$P$2005,B197))</f>
        <v/>
      </c>
      <c r="I197" s="14">
        <f>IF(B197="","",ROUND(H197*N(Settings!$C$12),2))</f>
        <v/>
      </c>
      <c r="J197" s="26">
        <f>IF(B197="","",H197+I197)</f>
        <v/>
      </c>
      <c r="K197" s="27">
        <f>IF(OR(B197="",D197=""),"",D197+IFERROR(IF(INDEX(Clients!$H$6:$H$45,MATCH(C197,Clients!$B$6:$B$45,0))="",N(Settings!$C$13),INDEX(Clients!$H$6:$H$45,MATCH(C197,Clients!$B$6:$B$45,0))),N(Settings!$C$13)))</f>
        <v/>
      </c>
      <c r="L197" s="16" t="n"/>
      <c r="M197" s="15">
        <f>IF(B197="","",IF(L197&lt;&gt;"","Paid",IF(D197="","Draft",IF(K197&lt;TODAY(),"Overdue "&amp;(TODAY()-K197)&amp;IF(TODAY()-K197=1," day"," days"),"Waiting"))))</f>
        <v/>
      </c>
      <c r="N197" s="1" t="n"/>
      <c r="O197">
        <f>IF(B197="","",ROW()-5)</f>
        <v/>
      </c>
      <c r="P197">
        <f>IF(OR(B197="",L197&lt;&gt;"",D197=""),"",K197+ROW()/10000000)</f>
        <v/>
      </c>
    </row>
    <row r="198">
      <c r="A198" s="1" t="n"/>
      <c r="B198" s="17" t="n"/>
      <c r="C198" s="18" t="n"/>
      <c r="D198" s="16" t="n"/>
      <c r="E198" s="16" t="n"/>
      <c r="F198" s="16" t="n"/>
      <c r="G198" s="25">
        <f>IF(B198="","",SUMIFS(Timesheet!$M$6:$M$2005,Timesheet!$P$6:$P$2005,B198))</f>
        <v/>
      </c>
      <c r="H198" s="14">
        <f>IF(B198="","",SUMIFS(Timesheet!$O$6:$O$2005,Timesheet!$P$6:$P$2005,B198))</f>
        <v/>
      </c>
      <c r="I198" s="14">
        <f>IF(B198="","",ROUND(H198*N(Settings!$C$12),2))</f>
        <v/>
      </c>
      <c r="J198" s="26">
        <f>IF(B198="","",H198+I198)</f>
        <v/>
      </c>
      <c r="K198" s="27">
        <f>IF(OR(B198="",D198=""),"",D198+IFERROR(IF(INDEX(Clients!$H$6:$H$45,MATCH(C198,Clients!$B$6:$B$45,0))="",N(Settings!$C$13),INDEX(Clients!$H$6:$H$45,MATCH(C198,Clients!$B$6:$B$45,0))),N(Settings!$C$13)))</f>
        <v/>
      </c>
      <c r="L198" s="16" t="n"/>
      <c r="M198" s="15">
        <f>IF(B198="","",IF(L198&lt;&gt;"","Paid",IF(D198="","Draft",IF(K198&lt;TODAY(),"Overdue "&amp;(TODAY()-K198)&amp;IF(TODAY()-K198=1," day"," days"),"Waiting"))))</f>
        <v/>
      </c>
      <c r="N198" s="1" t="n"/>
      <c r="O198">
        <f>IF(B198="","",ROW()-5)</f>
        <v/>
      </c>
      <c r="P198">
        <f>IF(OR(B198="",L198&lt;&gt;"",D198=""),"",K198+ROW()/10000000)</f>
        <v/>
      </c>
    </row>
    <row r="199">
      <c r="A199" s="1" t="n"/>
      <c r="B199" s="17" t="n"/>
      <c r="C199" s="18" t="n"/>
      <c r="D199" s="16" t="n"/>
      <c r="E199" s="16" t="n"/>
      <c r="F199" s="16" t="n"/>
      <c r="G199" s="25">
        <f>IF(B199="","",SUMIFS(Timesheet!$M$6:$M$2005,Timesheet!$P$6:$P$2005,B199))</f>
        <v/>
      </c>
      <c r="H199" s="14">
        <f>IF(B199="","",SUMIFS(Timesheet!$O$6:$O$2005,Timesheet!$P$6:$P$2005,B199))</f>
        <v/>
      </c>
      <c r="I199" s="14">
        <f>IF(B199="","",ROUND(H199*N(Settings!$C$12),2))</f>
        <v/>
      </c>
      <c r="J199" s="26">
        <f>IF(B199="","",H199+I199)</f>
        <v/>
      </c>
      <c r="K199" s="27">
        <f>IF(OR(B199="",D199=""),"",D199+IFERROR(IF(INDEX(Clients!$H$6:$H$45,MATCH(C199,Clients!$B$6:$B$45,0))="",N(Settings!$C$13),INDEX(Clients!$H$6:$H$45,MATCH(C199,Clients!$B$6:$B$45,0))),N(Settings!$C$13)))</f>
        <v/>
      </c>
      <c r="L199" s="16" t="n"/>
      <c r="M199" s="15">
        <f>IF(B199="","",IF(L199&lt;&gt;"","Paid",IF(D199="","Draft",IF(K199&lt;TODAY(),"Overdue "&amp;(TODAY()-K199)&amp;IF(TODAY()-K199=1," day"," days"),"Waiting"))))</f>
        <v/>
      </c>
      <c r="N199" s="1" t="n"/>
      <c r="O199">
        <f>IF(B199="","",ROW()-5)</f>
        <v/>
      </c>
      <c r="P199">
        <f>IF(OR(B199="",L199&lt;&gt;"",D199=""),"",K199+ROW()/10000000)</f>
        <v/>
      </c>
    </row>
    <row r="200">
      <c r="A200" s="1" t="n"/>
      <c r="B200" s="17" t="n"/>
      <c r="C200" s="18" t="n"/>
      <c r="D200" s="16" t="n"/>
      <c r="E200" s="16" t="n"/>
      <c r="F200" s="16" t="n"/>
      <c r="G200" s="25">
        <f>IF(B200="","",SUMIFS(Timesheet!$M$6:$M$2005,Timesheet!$P$6:$P$2005,B200))</f>
        <v/>
      </c>
      <c r="H200" s="14">
        <f>IF(B200="","",SUMIFS(Timesheet!$O$6:$O$2005,Timesheet!$P$6:$P$2005,B200))</f>
        <v/>
      </c>
      <c r="I200" s="14">
        <f>IF(B200="","",ROUND(H200*N(Settings!$C$12),2))</f>
        <v/>
      </c>
      <c r="J200" s="26">
        <f>IF(B200="","",H200+I200)</f>
        <v/>
      </c>
      <c r="K200" s="27">
        <f>IF(OR(B200="",D200=""),"",D200+IFERROR(IF(INDEX(Clients!$H$6:$H$45,MATCH(C200,Clients!$B$6:$B$45,0))="",N(Settings!$C$13),INDEX(Clients!$H$6:$H$45,MATCH(C200,Clients!$B$6:$B$45,0))),N(Settings!$C$13)))</f>
        <v/>
      </c>
      <c r="L200" s="16" t="n"/>
      <c r="M200" s="15">
        <f>IF(B200="","",IF(L200&lt;&gt;"","Paid",IF(D200="","Draft",IF(K200&lt;TODAY(),"Overdue "&amp;(TODAY()-K200)&amp;IF(TODAY()-K200=1," day"," days"),"Waiting"))))</f>
        <v/>
      </c>
      <c r="N200" s="1" t="n"/>
      <c r="O200">
        <f>IF(B200="","",ROW()-5)</f>
        <v/>
      </c>
      <c r="P200">
        <f>IF(OR(B200="",L200&lt;&gt;"",D200=""),"",K200+ROW()/10000000)</f>
        <v/>
      </c>
    </row>
    <row r="201">
      <c r="A201" s="1" t="n"/>
      <c r="B201" s="17" t="n"/>
      <c r="C201" s="18" t="n"/>
      <c r="D201" s="16" t="n"/>
      <c r="E201" s="16" t="n"/>
      <c r="F201" s="16" t="n"/>
      <c r="G201" s="25">
        <f>IF(B201="","",SUMIFS(Timesheet!$M$6:$M$2005,Timesheet!$P$6:$P$2005,B201))</f>
        <v/>
      </c>
      <c r="H201" s="14">
        <f>IF(B201="","",SUMIFS(Timesheet!$O$6:$O$2005,Timesheet!$P$6:$P$2005,B201))</f>
        <v/>
      </c>
      <c r="I201" s="14">
        <f>IF(B201="","",ROUND(H201*N(Settings!$C$12),2))</f>
        <v/>
      </c>
      <c r="J201" s="26">
        <f>IF(B201="","",H201+I201)</f>
        <v/>
      </c>
      <c r="K201" s="27">
        <f>IF(OR(B201="",D201=""),"",D201+IFERROR(IF(INDEX(Clients!$H$6:$H$45,MATCH(C201,Clients!$B$6:$B$45,0))="",N(Settings!$C$13),INDEX(Clients!$H$6:$H$45,MATCH(C201,Clients!$B$6:$B$45,0))),N(Settings!$C$13)))</f>
        <v/>
      </c>
      <c r="L201" s="16" t="n"/>
      <c r="M201" s="15">
        <f>IF(B201="","",IF(L201&lt;&gt;"","Paid",IF(D201="","Draft",IF(K201&lt;TODAY(),"Overdue "&amp;(TODAY()-K201)&amp;IF(TODAY()-K201=1," day"," days"),"Waiting"))))</f>
        <v/>
      </c>
      <c r="N201" s="1" t="n"/>
      <c r="O201">
        <f>IF(B201="","",ROW()-5)</f>
        <v/>
      </c>
      <c r="P201">
        <f>IF(OR(B201="",L201&lt;&gt;"",D201=""),"",K201+ROW()/10000000)</f>
        <v/>
      </c>
    </row>
    <row r="202">
      <c r="A202" s="1" t="n"/>
      <c r="B202" s="17" t="n"/>
      <c r="C202" s="18" t="n"/>
      <c r="D202" s="16" t="n"/>
      <c r="E202" s="16" t="n"/>
      <c r="F202" s="16" t="n"/>
      <c r="G202" s="25">
        <f>IF(B202="","",SUMIFS(Timesheet!$M$6:$M$2005,Timesheet!$P$6:$P$2005,B202))</f>
        <v/>
      </c>
      <c r="H202" s="14">
        <f>IF(B202="","",SUMIFS(Timesheet!$O$6:$O$2005,Timesheet!$P$6:$P$2005,B202))</f>
        <v/>
      </c>
      <c r="I202" s="14">
        <f>IF(B202="","",ROUND(H202*N(Settings!$C$12),2))</f>
        <v/>
      </c>
      <c r="J202" s="26">
        <f>IF(B202="","",H202+I202)</f>
        <v/>
      </c>
      <c r="K202" s="27">
        <f>IF(OR(B202="",D202=""),"",D202+IFERROR(IF(INDEX(Clients!$H$6:$H$45,MATCH(C202,Clients!$B$6:$B$45,0))="",N(Settings!$C$13),INDEX(Clients!$H$6:$H$45,MATCH(C202,Clients!$B$6:$B$45,0))),N(Settings!$C$13)))</f>
        <v/>
      </c>
      <c r="L202" s="16" t="n"/>
      <c r="M202" s="15">
        <f>IF(B202="","",IF(L202&lt;&gt;"","Paid",IF(D202="","Draft",IF(K202&lt;TODAY(),"Overdue "&amp;(TODAY()-K202)&amp;IF(TODAY()-K202=1," day"," days"),"Waiting"))))</f>
        <v/>
      </c>
      <c r="N202" s="1" t="n"/>
      <c r="O202">
        <f>IF(B202="","",ROW()-5)</f>
        <v/>
      </c>
      <c r="P202">
        <f>IF(OR(B202="",L202&lt;&gt;"",D202=""),"",K202+ROW()/10000000)</f>
        <v/>
      </c>
    </row>
    <row r="203">
      <c r="A203" s="1" t="n"/>
      <c r="B203" s="17" t="n"/>
      <c r="C203" s="18" t="n"/>
      <c r="D203" s="16" t="n"/>
      <c r="E203" s="16" t="n"/>
      <c r="F203" s="16" t="n"/>
      <c r="G203" s="25">
        <f>IF(B203="","",SUMIFS(Timesheet!$M$6:$M$2005,Timesheet!$P$6:$P$2005,B203))</f>
        <v/>
      </c>
      <c r="H203" s="14">
        <f>IF(B203="","",SUMIFS(Timesheet!$O$6:$O$2005,Timesheet!$P$6:$P$2005,B203))</f>
        <v/>
      </c>
      <c r="I203" s="14">
        <f>IF(B203="","",ROUND(H203*N(Settings!$C$12),2))</f>
        <v/>
      </c>
      <c r="J203" s="26">
        <f>IF(B203="","",H203+I203)</f>
        <v/>
      </c>
      <c r="K203" s="27">
        <f>IF(OR(B203="",D203=""),"",D203+IFERROR(IF(INDEX(Clients!$H$6:$H$45,MATCH(C203,Clients!$B$6:$B$45,0))="",N(Settings!$C$13),INDEX(Clients!$H$6:$H$45,MATCH(C203,Clients!$B$6:$B$45,0))),N(Settings!$C$13)))</f>
        <v/>
      </c>
      <c r="L203" s="16" t="n"/>
      <c r="M203" s="15">
        <f>IF(B203="","",IF(L203&lt;&gt;"","Paid",IF(D203="","Draft",IF(K203&lt;TODAY(),"Overdue "&amp;(TODAY()-K203)&amp;IF(TODAY()-K203=1," day"," days"),"Waiting"))))</f>
        <v/>
      </c>
      <c r="N203" s="1" t="n"/>
      <c r="O203">
        <f>IF(B203="","",ROW()-5)</f>
        <v/>
      </c>
      <c r="P203">
        <f>IF(OR(B203="",L203&lt;&gt;"",D203=""),"",K203+ROW()/10000000)</f>
        <v/>
      </c>
    </row>
    <row r="204">
      <c r="A204" s="1" t="n"/>
      <c r="B204" s="17" t="n"/>
      <c r="C204" s="18" t="n"/>
      <c r="D204" s="16" t="n"/>
      <c r="E204" s="16" t="n"/>
      <c r="F204" s="16" t="n"/>
      <c r="G204" s="25">
        <f>IF(B204="","",SUMIFS(Timesheet!$M$6:$M$2005,Timesheet!$P$6:$P$2005,B204))</f>
        <v/>
      </c>
      <c r="H204" s="14">
        <f>IF(B204="","",SUMIFS(Timesheet!$O$6:$O$2005,Timesheet!$P$6:$P$2005,B204))</f>
        <v/>
      </c>
      <c r="I204" s="14">
        <f>IF(B204="","",ROUND(H204*N(Settings!$C$12),2))</f>
        <v/>
      </c>
      <c r="J204" s="26">
        <f>IF(B204="","",H204+I204)</f>
        <v/>
      </c>
      <c r="K204" s="27">
        <f>IF(OR(B204="",D204=""),"",D204+IFERROR(IF(INDEX(Clients!$H$6:$H$45,MATCH(C204,Clients!$B$6:$B$45,0))="",N(Settings!$C$13),INDEX(Clients!$H$6:$H$45,MATCH(C204,Clients!$B$6:$B$45,0))),N(Settings!$C$13)))</f>
        <v/>
      </c>
      <c r="L204" s="16" t="n"/>
      <c r="M204" s="15">
        <f>IF(B204="","",IF(L204&lt;&gt;"","Paid",IF(D204="","Draft",IF(K204&lt;TODAY(),"Overdue "&amp;(TODAY()-K204)&amp;IF(TODAY()-K204=1," day"," days"),"Waiting"))))</f>
        <v/>
      </c>
      <c r="N204" s="1" t="n"/>
      <c r="O204">
        <f>IF(B204="","",ROW()-5)</f>
        <v/>
      </c>
      <c r="P204">
        <f>IF(OR(B204="",L204&lt;&gt;"",D204=""),"",K204+ROW()/10000000)</f>
        <v/>
      </c>
    </row>
    <row r="205">
      <c r="A205" s="1" t="n"/>
      <c r="B205" s="17" t="n"/>
      <c r="C205" s="18" t="n"/>
      <c r="D205" s="16" t="n"/>
      <c r="E205" s="16" t="n"/>
      <c r="F205" s="16" t="n"/>
      <c r="G205" s="25">
        <f>IF(B205="","",SUMIFS(Timesheet!$M$6:$M$2005,Timesheet!$P$6:$P$2005,B205))</f>
        <v/>
      </c>
      <c r="H205" s="14">
        <f>IF(B205="","",SUMIFS(Timesheet!$O$6:$O$2005,Timesheet!$P$6:$P$2005,B205))</f>
        <v/>
      </c>
      <c r="I205" s="14">
        <f>IF(B205="","",ROUND(H205*N(Settings!$C$12),2))</f>
        <v/>
      </c>
      <c r="J205" s="26">
        <f>IF(B205="","",H205+I205)</f>
        <v/>
      </c>
      <c r="K205" s="27">
        <f>IF(OR(B205="",D205=""),"",D205+IFERROR(IF(INDEX(Clients!$H$6:$H$45,MATCH(C205,Clients!$B$6:$B$45,0))="",N(Settings!$C$13),INDEX(Clients!$H$6:$H$45,MATCH(C205,Clients!$B$6:$B$45,0))),N(Settings!$C$13)))</f>
        <v/>
      </c>
      <c r="L205" s="16" t="n"/>
      <c r="M205" s="15">
        <f>IF(B205="","",IF(L205&lt;&gt;"","Paid",IF(D205="","Draft",IF(K205&lt;TODAY(),"Overdue "&amp;(TODAY()-K205)&amp;IF(TODAY()-K205=1," day"," days"),"Waiting"))))</f>
        <v/>
      </c>
      <c r="N205" s="1" t="n"/>
      <c r="O205">
        <f>IF(B205="","",ROW()-5)</f>
        <v/>
      </c>
      <c r="P205">
        <f>IF(OR(B205="",L205&lt;&gt;"",D205=""),"",K205+ROW()/10000000)</f>
        <v/>
      </c>
    </row>
    <row r="206">
      <c r="A206" s="1" t="n"/>
      <c r="B206" s="17" t="n"/>
      <c r="C206" s="18" t="n"/>
      <c r="D206" s="16" t="n"/>
      <c r="E206" s="16" t="n"/>
      <c r="F206" s="16" t="n"/>
      <c r="G206" s="25">
        <f>IF(B206="","",SUMIFS(Timesheet!$M$6:$M$2005,Timesheet!$P$6:$P$2005,B206))</f>
        <v/>
      </c>
      <c r="H206" s="14">
        <f>IF(B206="","",SUMIFS(Timesheet!$O$6:$O$2005,Timesheet!$P$6:$P$2005,B206))</f>
        <v/>
      </c>
      <c r="I206" s="14">
        <f>IF(B206="","",ROUND(H206*N(Settings!$C$12),2))</f>
        <v/>
      </c>
      <c r="J206" s="26">
        <f>IF(B206="","",H206+I206)</f>
        <v/>
      </c>
      <c r="K206" s="27">
        <f>IF(OR(B206="",D206=""),"",D206+IFERROR(IF(INDEX(Clients!$H$6:$H$45,MATCH(C206,Clients!$B$6:$B$45,0))="",N(Settings!$C$13),INDEX(Clients!$H$6:$H$45,MATCH(C206,Clients!$B$6:$B$45,0))),N(Settings!$C$13)))</f>
        <v/>
      </c>
      <c r="L206" s="16" t="n"/>
      <c r="M206" s="15">
        <f>IF(B206="","",IF(L206&lt;&gt;"","Paid",IF(D206="","Draft",IF(K206&lt;TODAY(),"Overdue "&amp;(TODAY()-K206)&amp;IF(TODAY()-K206=1," day"," days"),"Waiting"))))</f>
        <v/>
      </c>
      <c r="N206" s="1" t="n"/>
      <c r="O206">
        <f>IF(B206="","",ROW()-5)</f>
        <v/>
      </c>
      <c r="P206">
        <f>IF(OR(B206="",L206&lt;&gt;"",D206=""),"",K206+ROW()/10000000)</f>
        <v/>
      </c>
    </row>
    <row r="207">
      <c r="A207" s="1" t="n"/>
      <c r="B207" s="17" t="n"/>
      <c r="C207" s="18" t="n"/>
      <c r="D207" s="16" t="n"/>
      <c r="E207" s="16" t="n"/>
      <c r="F207" s="16" t="n"/>
      <c r="G207" s="25">
        <f>IF(B207="","",SUMIFS(Timesheet!$M$6:$M$2005,Timesheet!$P$6:$P$2005,B207))</f>
        <v/>
      </c>
      <c r="H207" s="14">
        <f>IF(B207="","",SUMIFS(Timesheet!$O$6:$O$2005,Timesheet!$P$6:$P$2005,B207))</f>
        <v/>
      </c>
      <c r="I207" s="14">
        <f>IF(B207="","",ROUND(H207*N(Settings!$C$12),2))</f>
        <v/>
      </c>
      <c r="J207" s="26">
        <f>IF(B207="","",H207+I207)</f>
        <v/>
      </c>
      <c r="K207" s="27">
        <f>IF(OR(B207="",D207=""),"",D207+IFERROR(IF(INDEX(Clients!$H$6:$H$45,MATCH(C207,Clients!$B$6:$B$45,0))="",N(Settings!$C$13),INDEX(Clients!$H$6:$H$45,MATCH(C207,Clients!$B$6:$B$45,0))),N(Settings!$C$13)))</f>
        <v/>
      </c>
      <c r="L207" s="16" t="n"/>
      <c r="M207" s="15">
        <f>IF(B207="","",IF(L207&lt;&gt;"","Paid",IF(D207="","Draft",IF(K207&lt;TODAY(),"Overdue "&amp;(TODAY()-K207)&amp;IF(TODAY()-K207=1," day"," days"),"Waiting"))))</f>
        <v/>
      </c>
      <c r="N207" s="1" t="n"/>
      <c r="O207">
        <f>IF(B207="","",ROW()-5)</f>
        <v/>
      </c>
      <c r="P207">
        <f>IF(OR(B207="",L207&lt;&gt;"",D207=""),"",K207+ROW()/10000000)</f>
        <v/>
      </c>
    </row>
    <row r="208">
      <c r="A208" s="1" t="n"/>
      <c r="B208" s="17" t="n"/>
      <c r="C208" s="18" t="n"/>
      <c r="D208" s="16" t="n"/>
      <c r="E208" s="16" t="n"/>
      <c r="F208" s="16" t="n"/>
      <c r="G208" s="25">
        <f>IF(B208="","",SUMIFS(Timesheet!$M$6:$M$2005,Timesheet!$P$6:$P$2005,B208))</f>
        <v/>
      </c>
      <c r="H208" s="14">
        <f>IF(B208="","",SUMIFS(Timesheet!$O$6:$O$2005,Timesheet!$P$6:$P$2005,B208))</f>
        <v/>
      </c>
      <c r="I208" s="14">
        <f>IF(B208="","",ROUND(H208*N(Settings!$C$12),2))</f>
        <v/>
      </c>
      <c r="J208" s="26">
        <f>IF(B208="","",H208+I208)</f>
        <v/>
      </c>
      <c r="K208" s="27">
        <f>IF(OR(B208="",D208=""),"",D208+IFERROR(IF(INDEX(Clients!$H$6:$H$45,MATCH(C208,Clients!$B$6:$B$45,0))="",N(Settings!$C$13),INDEX(Clients!$H$6:$H$45,MATCH(C208,Clients!$B$6:$B$45,0))),N(Settings!$C$13)))</f>
        <v/>
      </c>
      <c r="L208" s="16" t="n"/>
      <c r="M208" s="15">
        <f>IF(B208="","",IF(L208&lt;&gt;"","Paid",IF(D208="","Draft",IF(K208&lt;TODAY(),"Overdue "&amp;(TODAY()-K208)&amp;IF(TODAY()-K208=1," day"," days"),"Waiting"))))</f>
        <v/>
      </c>
      <c r="N208" s="1" t="n"/>
      <c r="O208">
        <f>IF(B208="","",ROW()-5)</f>
        <v/>
      </c>
      <c r="P208">
        <f>IF(OR(B208="",L208&lt;&gt;"",D208=""),"",K208+ROW()/10000000)</f>
        <v/>
      </c>
    </row>
    <row r="209">
      <c r="A209" s="1" t="n"/>
      <c r="B209" s="17" t="n"/>
      <c r="C209" s="18" t="n"/>
      <c r="D209" s="16" t="n"/>
      <c r="E209" s="16" t="n"/>
      <c r="F209" s="16" t="n"/>
      <c r="G209" s="25">
        <f>IF(B209="","",SUMIFS(Timesheet!$M$6:$M$2005,Timesheet!$P$6:$P$2005,B209))</f>
        <v/>
      </c>
      <c r="H209" s="14">
        <f>IF(B209="","",SUMIFS(Timesheet!$O$6:$O$2005,Timesheet!$P$6:$P$2005,B209))</f>
        <v/>
      </c>
      <c r="I209" s="14">
        <f>IF(B209="","",ROUND(H209*N(Settings!$C$12),2))</f>
        <v/>
      </c>
      <c r="J209" s="26">
        <f>IF(B209="","",H209+I209)</f>
        <v/>
      </c>
      <c r="K209" s="27">
        <f>IF(OR(B209="",D209=""),"",D209+IFERROR(IF(INDEX(Clients!$H$6:$H$45,MATCH(C209,Clients!$B$6:$B$45,0))="",N(Settings!$C$13),INDEX(Clients!$H$6:$H$45,MATCH(C209,Clients!$B$6:$B$45,0))),N(Settings!$C$13)))</f>
        <v/>
      </c>
      <c r="L209" s="16" t="n"/>
      <c r="M209" s="15">
        <f>IF(B209="","",IF(L209&lt;&gt;"","Paid",IF(D209="","Draft",IF(K209&lt;TODAY(),"Overdue "&amp;(TODAY()-K209)&amp;IF(TODAY()-K209=1," day"," days"),"Waiting"))))</f>
        <v/>
      </c>
      <c r="N209" s="1" t="n"/>
      <c r="O209">
        <f>IF(B209="","",ROW()-5)</f>
        <v/>
      </c>
      <c r="P209">
        <f>IF(OR(B209="",L209&lt;&gt;"",D209=""),"",K209+ROW()/10000000)</f>
        <v/>
      </c>
    </row>
    <row r="210">
      <c r="A210" s="1" t="n"/>
      <c r="B210" s="17" t="n"/>
      <c r="C210" s="18" t="n"/>
      <c r="D210" s="16" t="n"/>
      <c r="E210" s="16" t="n"/>
      <c r="F210" s="16" t="n"/>
      <c r="G210" s="25">
        <f>IF(B210="","",SUMIFS(Timesheet!$M$6:$M$2005,Timesheet!$P$6:$P$2005,B210))</f>
        <v/>
      </c>
      <c r="H210" s="14">
        <f>IF(B210="","",SUMIFS(Timesheet!$O$6:$O$2005,Timesheet!$P$6:$P$2005,B210))</f>
        <v/>
      </c>
      <c r="I210" s="14">
        <f>IF(B210="","",ROUND(H210*N(Settings!$C$12),2))</f>
        <v/>
      </c>
      <c r="J210" s="26">
        <f>IF(B210="","",H210+I210)</f>
        <v/>
      </c>
      <c r="K210" s="27">
        <f>IF(OR(B210="",D210=""),"",D210+IFERROR(IF(INDEX(Clients!$H$6:$H$45,MATCH(C210,Clients!$B$6:$B$45,0))="",N(Settings!$C$13),INDEX(Clients!$H$6:$H$45,MATCH(C210,Clients!$B$6:$B$45,0))),N(Settings!$C$13)))</f>
        <v/>
      </c>
      <c r="L210" s="16" t="n"/>
      <c r="M210" s="15">
        <f>IF(B210="","",IF(L210&lt;&gt;"","Paid",IF(D210="","Draft",IF(K210&lt;TODAY(),"Overdue "&amp;(TODAY()-K210)&amp;IF(TODAY()-K210=1," day"," days"),"Waiting"))))</f>
        <v/>
      </c>
      <c r="N210" s="1" t="n"/>
      <c r="O210">
        <f>IF(B210="","",ROW()-5)</f>
        <v/>
      </c>
      <c r="P210">
        <f>IF(OR(B210="",L210&lt;&gt;"",D210=""),"",K210+ROW()/10000000)</f>
        <v/>
      </c>
    </row>
    <row r="211">
      <c r="A211" s="1" t="n"/>
      <c r="B211" s="17" t="n"/>
      <c r="C211" s="18" t="n"/>
      <c r="D211" s="16" t="n"/>
      <c r="E211" s="16" t="n"/>
      <c r="F211" s="16" t="n"/>
      <c r="G211" s="25">
        <f>IF(B211="","",SUMIFS(Timesheet!$M$6:$M$2005,Timesheet!$P$6:$P$2005,B211))</f>
        <v/>
      </c>
      <c r="H211" s="14">
        <f>IF(B211="","",SUMIFS(Timesheet!$O$6:$O$2005,Timesheet!$P$6:$P$2005,B211))</f>
        <v/>
      </c>
      <c r="I211" s="14">
        <f>IF(B211="","",ROUND(H211*N(Settings!$C$12),2))</f>
        <v/>
      </c>
      <c r="J211" s="26">
        <f>IF(B211="","",H211+I211)</f>
        <v/>
      </c>
      <c r="K211" s="27">
        <f>IF(OR(B211="",D211=""),"",D211+IFERROR(IF(INDEX(Clients!$H$6:$H$45,MATCH(C211,Clients!$B$6:$B$45,0))="",N(Settings!$C$13),INDEX(Clients!$H$6:$H$45,MATCH(C211,Clients!$B$6:$B$45,0))),N(Settings!$C$13)))</f>
        <v/>
      </c>
      <c r="L211" s="16" t="n"/>
      <c r="M211" s="15">
        <f>IF(B211="","",IF(L211&lt;&gt;"","Paid",IF(D211="","Draft",IF(K211&lt;TODAY(),"Overdue "&amp;(TODAY()-K211)&amp;IF(TODAY()-K211=1," day"," days"),"Waiting"))))</f>
        <v/>
      </c>
      <c r="N211" s="1" t="n"/>
      <c r="O211">
        <f>IF(B211="","",ROW()-5)</f>
        <v/>
      </c>
      <c r="P211">
        <f>IF(OR(B211="",L211&lt;&gt;"",D211=""),"",K211+ROW()/10000000)</f>
        <v/>
      </c>
    </row>
    <row r="212">
      <c r="A212" s="1" t="n"/>
      <c r="B212" s="17" t="n"/>
      <c r="C212" s="18" t="n"/>
      <c r="D212" s="16" t="n"/>
      <c r="E212" s="16" t="n"/>
      <c r="F212" s="16" t="n"/>
      <c r="G212" s="25">
        <f>IF(B212="","",SUMIFS(Timesheet!$M$6:$M$2005,Timesheet!$P$6:$P$2005,B212))</f>
        <v/>
      </c>
      <c r="H212" s="14">
        <f>IF(B212="","",SUMIFS(Timesheet!$O$6:$O$2005,Timesheet!$P$6:$P$2005,B212))</f>
        <v/>
      </c>
      <c r="I212" s="14">
        <f>IF(B212="","",ROUND(H212*N(Settings!$C$12),2))</f>
        <v/>
      </c>
      <c r="J212" s="26">
        <f>IF(B212="","",H212+I212)</f>
        <v/>
      </c>
      <c r="K212" s="27">
        <f>IF(OR(B212="",D212=""),"",D212+IFERROR(IF(INDEX(Clients!$H$6:$H$45,MATCH(C212,Clients!$B$6:$B$45,0))="",N(Settings!$C$13),INDEX(Clients!$H$6:$H$45,MATCH(C212,Clients!$B$6:$B$45,0))),N(Settings!$C$13)))</f>
        <v/>
      </c>
      <c r="L212" s="16" t="n"/>
      <c r="M212" s="15">
        <f>IF(B212="","",IF(L212&lt;&gt;"","Paid",IF(D212="","Draft",IF(K212&lt;TODAY(),"Overdue "&amp;(TODAY()-K212)&amp;IF(TODAY()-K212=1," day"," days"),"Waiting"))))</f>
        <v/>
      </c>
      <c r="N212" s="1" t="n"/>
      <c r="O212">
        <f>IF(B212="","",ROW()-5)</f>
        <v/>
      </c>
      <c r="P212">
        <f>IF(OR(B212="",L212&lt;&gt;"",D212=""),"",K212+ROW()/10000000)</f>
        <v/>
      </c>
    </row>
    <row r="213">
      <c r="A213" s="1" t="n"/>
      <c r="B213" s="17" t="n"/>
      <c r="C213" s="18" t="n"/>
      <c r="D213" s="16" t="n"/>
      <c r="E213" s="16" t="n"/>
      <c r="F213" s="16" t="n"/>
      <c r="G213" s="25">
        <f>IF(B213="","",SUMIFS(Timesheet!$M$6:$M$2005,Timesheet!$P$6:$P$2005,B213))</f>
        <v/>
      </c>
      <c r="H213" s="14">
        <f>IF(B213="","",SUMIFS(Timesheet!$O$6:$O$2005,Timesheet!$P$6:$P$2005,B213))</f>
        <v/>
      </c>
      <c r="I213" s="14">
        <f>IF(B213="","",ROUND(H213*N(Settings!$C$12),2))</f>
        <v/>
      </c>
      <c r="J213" s="26">
        <f>IF(B213="","",H213+I213)</f>
        <v/>
      </c>
      <c r="K213" s="27">
        <f>IF(OR(B213="",D213=""),"",D213+IFERROR(IF(INDEX(Clients!$H$6:$H$45,MATCH(C213,Clients!$B$6:$B$45,0))="",N(Settings!$C$13),INDEX(Clients!$H$6:$H$45,MATCH(C213,Clients!$B$6:$B$45,0))),N(Settings!$C$13)))</f>
        <v/>
      </c>
      <c r="L213" s="16" t="n"/>
      <c r="M213" s="15">
        <f>IF(B213="","",IF(L213&lt;&gt;"","Paid",IF(D213="","Draft",IF(K213&lt;TODAY(),"Overdue "&amp;(TODAY()-K213)&amp;IF(TODAY()-K213=1," day"," days"),"Waiting"))))</f>
        <v/>
      </c>
      <c r="N213" s="1" t="n"/>
      <c r="O213">
        <f>IF(B213="","",ROW()-5)</f>
        <v/>
      </c>
      <c r="P213">
        <f>IF(OR(B213="",L213&lt;&gt;"",D213=""),"",K213+ROW()/10000000)</f>
        <v/>
      </c>
    </row>
    <row r="214">
      <c r="A214" s="1" t="n"/>
      <c r="B214" s="17" t="n"/>
      <c r="C214" s="18" t="n"/>
      <c r="D214" s="16" t="n"/>
      <c r="E214" s="16" t="n"/>
      <c r="F214" s="16" t="n"/>
      <c r="G214" s="25">
        <f>IF(B214="","",SUMIFS(Timesheet!$M$6:$M$2005,Timesheet!$P$6:$P$2005,B214))</f>
        <v/>
      </c>
      <c r="H214" s="14">
        <f>IF(B214="","",SUMIFS(Timesheet!$O$6:$O$2005,Timesheet!$P$6:$P$2005,B214))</f>
        <v/>
      </c>
      <c r="I214" s="14">
        <f>IF(B214="","",ROUND(H214*N(Settings!$C$12),2))</f>
        <v/>
      </c>
      <c r="J214" s="26">
        <f>IF(B214="","",H214+I214)</f>
        <v/>
      </c>
      <c r="K214" s="27">
        <f>IF(OR(B214="",D214=""),"",D214+IFERROR(IF(INDEX(Clients!$H$6:$H$45,MATCH(C214,Clients!$B$6:$B$45,0))="",N(Settings!$C$13),INDEX(Clients!$H$6:$H$45,MATCH(C214,Clients!$B$6:$B$45,0))),N(Settings!$C$13)))</f>
        <v/>
      </c>
      <c r="L214" s="16" t="n"/>
      <c r="M214" s="15">
        <f>IF(B214="","",IF(L214&lt;&gt;"","Paid",IF(D214="","Draft",IF(K214&lt;TODAY(),"Overdue "&amp;(TODAY()-K214)&amp;IF(TODAY()-K214=1," day"," days"),"Waiting"))))</f>
        <v/>
      </c>
      <c r="N214" s="1" t="n"/>
      <c r="O214">
        <f>IF(B214="","",ROW()-5)</f>
        <v/>
      </c>
      <c r="P214">
        <f>IF(OR(B214="",L214&lt;&gt;"",D214=""),"",K214+ROW()/10000000)</f>
        <v/>
      </c>
    </row>
    <row r="215">
      <c r="A215" s="1" t="n"/>
      <c r="B215" s="17" t="n"/>
      <c r="C215" s="18" t="n"/>
      <c r="D215" s="16" t="n"/>
      <c r="E215" s="16" t="n"/>
      <c r="F215" s="16" t="n"/>
      <c r="G215" s="25">
        <f>IF(B215="","",SUMIFS(Timesheet!$M$6:$M$2005,Timesheet!$P$6:$P$2005,B215))</f>
        <v/>
      </c>
      <c r="H215" s="14">
        <f>IF(B215="","",SUMIFS(Timesheet!$O$6:$O$2005,Timesheet!$P$6:$P$2005,B215))</f>
        <v/>
      </c>
      <c r="I215" s="14">
        <f>IF(B215="","",ROUND(H215*N(Settings!$C$12),2))</f>
        <v/>
      </c>
      <c r="J215" s="26">
        <f>IF(B215="","",H215+I215)</f>
        <v/>
      </c>
      <c r="K215" s="27">
        <f>IF(OR(B215="",D215=""),"",D215+IFERROR(IF(INDEX(Clients!$H$6:$H$45,MATCH(C215,Clients!$B$6:$B$45,0))="",N(Settings!$C$13),INDEX(Clients!$H$6:$H$45,MATCH(C215,Clients!$B$6:$B$45,0))),N(Settings!$C$13)))</f>
        <v/>
      </c>
      <c r="L215" s="16" t="n"/>
      <c r="M215" s="15">
        <f>IF(B215="","",IF(L215&lt;&gt;"","Paid",IF(D215="","Draft",IF(K215&lt;TODAY(),"Overdue "&amp;(TODAY()-K215)&amp;IF(TODAY()-K215=1," day"," days"),"Waiting"))))</f>
        <v/>
      </c>
      <c r="N215" s="1" t="n"/>
      <c r="O215">
        <f>IF(B215="","",ROW()-5)</f>
        <v/>
      </c>
      <c r="P215">
        <f>IF(OR(B215="",L215&lt;&gt;"",D215=""),"",K215+ROW()/10000000)</f>
        <v/>
      </c>
    </row>
    <row r="216">
      <c r="A216" s="1" t="n"/>
      <c r="B216" s="17" t="n"/>
      <c r="C216" s="18" t="n"/>
      <c r="D216" s="16" t="n"/>
      <c r="E216" s="16" t="n"/>
      <c r="F216" s="16" t="n"/>
      <c r="G216" s="25">
        <f>IF(B216="","",SUMIFS(Timesheet!$M$6:$M$2005,Timesheet!$P$6:$P$2005,B216))</f>
        <v/>
      </c>
      <c r="H216" s="14">
        <f>IF(B216="","",SUMIFS(Timesheet!$O$6:$O$2005,Timesheet!$P$6:$P$2005,B216))</f>
        <v/>
      </c>
      <c r="I216" s="14">
        <f>IF(B216="","",ROUND(H216*N(Settings!$C$12),2))</f>
        <v/>
      </c>
      <c r="J216" s="26">
        <f>IF(B216="","",H216+I216)</f>
        <v/>
      </c>
      <c r="K216" s="27">
        <f>IF(OR(B216="",D216=""),"",D216+IFERROR(IF(INDEX(Clients!$H$6:$H$45,MATCH(C216,Clients!$B$6:$B$45,0))="",N(Settings!$C$13),INDEX(Clients!$H$6:$H$45,MATCH(C216,Clients!$B$6:$B$45,0))),N(Settings!$C$13)))</f>
        <v/>
      </c>
      <c r="L216" s="16" t="n"/>
      <c r="M216" s="15">
        <f>IF(B216="","",IF(L216&lt;&gt;"","Paid",IF(D216="","Draft",IF(K216&lt;TODAY(),"Overdue "&amp;(TODAY()-K216)&amp;IF(TODAY()-K216=1," day"," days"),"Waiting"))))</f>
        <v/>
      </c>
      <c r="N216" s="1" t="n"/>
      <c r="O216">
        <f>IF(B216="","",ROW()-5)</f>
        <v/>
      </c>
      <c r="P216">
        <f>IF(OR(B216="",L216&lt;&gt;"",D216=""),"",K216+ROW()/10000000)</f>
        <v/>
      </c>
    </row>
    <row r="217">
      <c r="A217" s="1" t="n"/>
      <c r="B217" s="17" t="n"/>
      <c r="C217" s="18" t="n"/>
      <c r="D217" s="16" t="n"/>
      <c r="E217" s="16" t="n"/>
      <c r="F217" s="16" t="n"/>
      <c r="G217" s="25">
        <f>IF(B217="","",SUMIFS(Timesheet!$M$6:$M$2005,Timesheet!$P$6:$P$2005,B217))</f>
        <v/>
      </c>
      <c r="H217" s="14">
        <f>IF(B217="","",SUMIFS(Timesheet!$O$6:$O$2005,Timesheet!$P$6:$P$2005,B217))</f>
        <v/>
      </c>
      <c r="I217" s="14">
        <f>IF(B217="","",ROUND(H217*N(Settings!$C$12),2))</f>
        <v/>
      </c>
      <c r="J217" s="26">
        <f>IF(B217="","",H217+I217)</f>
        <v/>
      </c>
      <c r="K217" s="27">
        <f>IF(OR(B217="",D217=""),"",D217+IFERROR(IF(INDEX(Clients!$H$6:$H$45,MATCH(C217,Clients!$B$6:$B$45,0))="",N(Settings!$C$13),INDEX(Clients!$H$6:$H$45,MATCH(C217,Clients!$B$6:$B$45,0))),N(Settings!$C$13)))</f>
        <v/>
      </c>
      <c r="L217" s="16" t="n"/>
      <c r="M217" s="15">
        <f>IF(B217="","",IF(L217&lt;&gt;"","Paid",IF(D217="","Draft",IF(K217&lt;TODAY(),"Overdue "&amp;(TODAY()-K217)&amp;IF(TODAY()-K217=1," day"," days"),"Waiting"))))</f>
        <v/>
      </c>
      <c r="N217" s="1" t="n"/>
      <c r="O217">
        <f>IF(B217="","",ROW()-5)</f>
        <v/>
      </c>
      <c r="P217">
        <f>IF(OR(B217="",L217&lt;&gt;"",D217=""),"",K217+ROW()/10000000)</f>
        <v/>
      </c>
    </row>
    <row r="218">
      <c r="A218" s="1" t="n"/>
      <c r="B218" s="17" t="n"/>
      <c r="C218" s="18" t="n"/>
      <c r="D218" s="16" t="n"/>
      <c r="E218" s="16" t="n"/>
      <c r="F218" s="16" t="n"/>
      <c r="G218" s="25">
        <f>IF(B218="","",SUMIFS(Timesheet!$M$6:$M$2005,Timesheet!$P$6:$P$2005,B218))</f>
        <v/>
      </c>
      <c r="H218" s="14">
        <f>IF(B218="","",SUMIFS(Timesheet!$O$6:$O$2005,Timesheet!$P$6:$P$2005,B218))</f>
        <v/>
      </c>
      <c r="I218" s="14">
        <f>IF(B218="","",ROUND(H218*N(Settings!$C$12),2))</f>
        <v/>
      </c>
      <c r="J218" s="26">
        <f>IF(B218="","",H218+I218)</f>
        <v/>
      </c>
      <c r="K218" s="27">
        <f>IF(OR(B218="",D218=""),"",D218+IFERROR(IF(INDEX(Clients!$H$6:$H$45,MATCH(C218,Clients!$B$6:$B$45,0))="",N(Settings!$C$13),INDEX(Clients!$H$6:$H$45,MATCH(C218,Clients!$B$6:$B$45,0))),N(Settings!$C$13)))</f>
        <v/>
      </c>
      <c r="L218" s="16" t="n"/>
      <c r="M218" s="15">
        <f>IF(B218="","",IF(L218&lt;&gt;"","Paid",IF(D218="","Draft",IF(K218&lt;TODAY(),"Overdue "&amp;(TODAY()-K218)&amp;IF(TODAY()-K218=1," day"," days"),"Waiting"))))</f>
        <v/>
      </c>
      <c r="N218" s="1" t="n"/>
      <c r="O218">
        <f>IF(B218="","",ROW()-5)</f>
        <v/>
      </c>
      <c r="P218">
        <f>IF(OR(B218="",L218&lt;&gt;"",D218=""),"",K218+ROW()/10000000)</f>
        <v/>
      </c>
    </row>
    <row r="219">
      <c r="A219" s="1" t="n"/>
      <c r="B219" s="17" t="n"/>
      <c r="C219" s="18" t="n"/>
      <c r="D219" s="16" t="n"/>
      <c r="E219" s="16" t="n"/>
      <c r="F219" s="16" t="n"/>
      <c r="G219" s="25">
        <f>IF(B219="","",SUMIFS(Timesheet!$M$6:$M$2005,Timesheet!$P$6:$P$2005,B219))</f>
        <v/>
      </c>
      <c r="H219" s="14">
        <f>IF(B219="","",SUMIFS(Timesheet!$O$6:$O$2005,Timesheet!$P$6:$P$2005,B219))</f>
        <v/>
      </c>
      <c r="I219" s="14">
        <f>IF(B219="","",ROUND(H219*N(Settings!$C$12),2))</f>
        <v/>
      </c>
      <c r="J219" s="26">
        <f>IF(B219="","",H219+I219)</f>
        <v/>
      </c>
      <c r="K219" s="27">
        <f>IF(OR(B219="",D219=""),"",D219+IFERROR(IF(INDEX(Clients!$H$6:$H$45,MATCH(C219,Clients!$B$6:$B$45,0))="",N(Settings!$C$13),INDEX(Clients!$H$6:$H$45,MATCH(C219,Clients!$B$6:$B$45,0))),N(Settings!$C$13)))</f>
        <v/>
      </c>
      <c r="L219" s="16" t="n"/>
      <c r="M219" s="15">
        <f>IF(B219="","",IF(L219&lt;&gt;"","Paid",IF(D219="","Draft",IF(K219&lt;TODAY(),"Overdue "&amp;(TODAY()-K219)&amp;IF(TODAY()-K219=1," day"," days"),"Waiting"))))</f>
        <v/>
      </c>
      <c r="N219" s="1" t="n"/>
      <c r="O219">
        <f>IF(B219="","",ROW()-5)</f>
        <v/>
      </c>
      <c r="P219">
        <f>IF(OR(B219="",L219&lt;&gt;"",D219=""),"",K219+ROW()/10000000)</f>
        <v/>
      </c>
    </row>
    <row r="220">
      <c r="A220" s="1" t="n"/>
      <c r="B220" s="17" t="n"/>
      <c r="C220" s="18" t="n"/>
      <c r="D220" s="16" t="n"/>
      <c r="E220" s="16" t="n"/>
      <c r="F220" s="16" t="n"/>
      <c r="G220" s="25">
        <f>IF(B220="","",SUMIFS(Timesheet!$M$6:$M$2005,Timesheet!$P$6:$P$2005,B220))</f>
        <v/>
      </c>
      <c r="H220" s="14">
        <f>IF(B220="","",SUMIFS(Timesheet!$O$6:$O$2005,Timesheet!$P$6:$P$2005,B220))</f>
        <v/>
      </c>
      <c r="I220" s="14">
        <f>IF(B220="","",ROUND(H220*N(Settings!$C$12),2))</f>
        <v/>
      </c>
      <c r="J220" s="26">
        <f>IF(B220="","",H220+I220)</f>
        <v/>
      </c>
      <c r="K220" s="27">
        <f>IF(OR(B220="",D220=""),"",D220+IFERROR(IF(INDEX(Clients!$H$6:$H$45,MATCH(C220,Clients!$B$6:$B$45,0))="",N(Settings!$C$13),INDEX(Clients!$H$6:$H$45,MATCH(C220,Clients!$B$6:$B$45,0))),N(Settings!$C$13)))</f>
        <v/>
      </c>
      <c r="L220" s="16" t="n"/>
      <c r="M220" s="15">
        <f>IF(B220="","",IF(L220&lt;&gt;"","Paid",IF(D220="","Draft",IF(K220&lt;TODAY(),"Overdue "&amp;(TODAY()-K220)&amp;IF(TODAY()-K220=1," day"," days"),"Waiting"))))</f>
        <v/>
      </c>
      <c r="N220" s="1" t="n"/>
      <c r="O220">
        <f>IF(B220="","",ROW()-5)</f>
        <v/>
      </c>
      <c r="P220">
        <f>IF(OR(B220="",L220&lt;&gt;"",D220=""),"",K220+ROW()/10000000)</f>
        <v/>
      </c>
    </row>
    <row r="221">
      <c r="A221" s="1" t="n"/>
      <c r="B221" s="17" t="n"/>
      <c r="C221" s="18" t="n"/>
      <c r="D221" s="16" t="n"/>
      <c r="E221" s="16" t="n"/>
      <c r="F221" s="16" t="n"/>
      <c r="G221" s="25">
        <f>IF(B221="","",SUMIFS(Timesheet!$M$6:$M$2005,Timesheet!$P$6:$P$2005,B221))</f>
        <v/>
      </c>
      <c r="H221" s="14">
        <f>IF(B221="","",SUMIFS(Timesheet!$O$6:$O$2005,Timesheet!$P$6:$P$2005,B221))</f>
        <v/>
      </c>
      <c r="I221" s="14">
        <f>IF(B221="","",ROUND(H221*N(Settings!$C$12),2))</f>
        <v/>
      </c>
      <c r="J221" s="26">
        <f>IF(B221="","",H221+I221)</f>
        <v/>
      </c>
      <c r="K221" s="27">
        <f>IF(OR(B221="",D221=""),"",D221+IFERROR(IF(INDEX(Clients!$H$6:$H$45,MATCH(C221,Clients!$B$6:$B$45,0))="",N(Settings!$C$13),INDEX(Clients!$H$6:$H$45,MATCH(C221,Clients!$B$6:$B$45,0))),N(Settings!$C$13)))</f>
        <v/>
      </c>
      <c r="L221" s="16" t="n"/>
      <c r="M221" s="15">
        <f>IF(B221="","",IF(L221&lt;&gt;"","Paid",IF(D221="","Draft",IF(K221&lt;TODAY(),"Overdue "&amp;(TODAY()-K221)&amp;IF(TODAY()-K221=1," day"," days"),"Waiting"))))</f>
        <v/>
      </c>
      <c r="N221" s="1" t="n"/>
      <c r="O221">
        <f>IF(B221="","",ROW()-5)</f>
        <v/>
      </c>
      <c r="P221">
        <f>IF(OR(B221="",L221&lt;&gt;"",D221=""),"",K221+ROW()/10000000)</f>
        <v/>
      </c>
    </row>
    <row r="222">
      <c r="A222" s="1" t="n"/>
      <c r="B222" s="17" t="n"/>
      <c r="C222" s="18" t="n"/>
      <c r="D222" s="16" t="n"/>
      <c r="E222" s="16" t="n"/>
      <c r="F222" s="16" t="n"/>
      <c r="G222" s="25">
        <f>IF(B222="","",SUMIFS(Timesheet!$M$6:$M$2005,Timesheet!$P$6:$P$2005,B222))</f>
        <v/>
      </c>
      <c r="H222" s="14">
        <f>IF(B222="","",SUMIFS(Timesheet!$O$6:$O$2005,Timesheet!$P$6:$P$2005,B222))</f>
        <v/>
      </c>
      <c r="I222" s="14">
        <f>IF(B222="","",ROUND(H222*N(Settings!$C$12),2))</f>
        <v/>
      </c>
      <c r="J222" s="26">
        <f>IF(B222="","",H222+I222)</f>
        <v/>
      </c>
      <c r="K222" s="27">
        <f>IF(OR(B222="",D222=""),"",D222+IFERROR(IF(INDEX(Clients!$H$6:$H$45,MATCH(C222,Clients!$B$6:$B$45,0))="",N(Settings!$C$13),INDEX(Clients!$H$6:$H$45,MATCH(C222,Clients!$B$6:$B$45,0))),N(Settings!$C$13)))</f>
        <v/>
      </c>
      <c r="L222" s="16" t="n"/>
      <c r="M222" s="15">
        <f>IF(B222="","",IF(L222&lt;&gt;"","Paid",IF(D222="","Draft",IF(K222&lt;TODAY(),"Overdue "&amp;(TODAY()-K222)&amp;IF(TODAY()-K222=1," day"," days"),"Waiting"))))</f>
        <v/>
      </c>
      <c r="N222" s="1" t="n"/>
      <c r="O222">
        <f>IF(B222="","",ROW()-5)</f>
        <v/>
      </c>
      <c r="P222">
        <f>IF(OR(B222="",L222&lt;&gt;"",D222=""),"",K222+ROW()/10000000)</f>
        <v/>
      </c>
    </row>
    <row r="223">
      <c r="A223" s="1" t="n"/>
      <c r="B223" s="17" t="n"/>
      <c r="C223" s="18" t="n"/>
      <c r="D223" s="16" t="n"/>
      <c r="E223" s="16" t="n"/>
      <c r="F223" s="16" t="n"/>
      <c r="G223" s="25">
        <f>IF(B223="","",SUMIFS(Timesheet!$M$6:$M$2005,Timesheet!$P$6:$P$2005,B223))</f>
        <v/>
      </c>
      <c r="H223" s="14">
        <f>IF(B223="","",SUMIFS(Timesheet!$O$6:$O$2005,Timesheet!$P$6:$P$2005,B223))</f>
        <v/>
      </c>
      <c r="I223" s="14">
        <f>IF(B223="","",ROUND(H223*N(Settings!$C$12),2))</f>
        <v/>
      </c>
      <c r="J223" s="26">
        <f>IF(B223="","",H223+I223)</f>
        <v/>
      </c>
      <c r="K223" s="27">
        <f>IF(OR(B223="",D223=""),"",D223+IFERROR(IF(INDEX(Clients!$H$6:$H$45,MATCH(C223,Clients!$B$6:$B$45,0))="",N(Settings!$C$13),INDEX(Clients!$H$6:$H$45,MATCH(C223,Clients!$B$6:$B$45,0))),N(Settings!$C$13)))</f>
        <v/>
      </c>
      <c r="L223" s="16" t="n"/>
      <c r="M223" s="15">
        <f>IF(B223="","",IF(L223&lt;&gt;"","Paid",IF(D223="","Draft",IF(K223&lt;TODAY(),"Overdue "&amp;(TODAY()-K223)&amp;IF(TODAY()-K223=1," day"," days"),"Waiting"))))</f>
        <v/>
      </c>
      <c r="N223" s="1" t="n"/>
      <c r="O223">
        <f>IF(B223="","",ROW()-5)</f>
        <v/>
      </c>
      <c r="P223">
        <f>IF(OR(B223="",L223&lt;&gt;"",D223=""),"",K223+ROW()/10000000)</f>
        <v/>
      </c>
    </row>
    <row r="224">
      <c r="A224" s="1" t="n"/>
      <c r="B224" s="17" t="n"/>
      <c r="C224" s="18" t="n"/>
      <c r="D224" s="16" t="n"/>
      <c r="E224" s="16" t="n"/>
      <c r="F224" s="16" t="n"/>
      <c r="G224" s="25">
        <f>IF(B224="","",SUMIFS(Timesheet!$M$6:$M$2005,Timesheet!$P$6:$P$2005,B224))</f>
        <v/>
      </c>
      <c r="H224" s="14">
        <f>IF(B224="","",SUMIFS(Timesheet!$O$6:$O$2005,Timesheet!$P$6:$P$2005,B224))</f>
        <v/>
      </c>
      <c r="I224" s="14">
        <f>IF(B224="","",ROUND(H224*N(Settings!$C$12),2))</f>
        <v/>
      </c>
      <c r="J224" s="26">
        <f>IF(B224="","",H224+I224)</f>
        <v/>
      </c>
      <c r="K224" s="27">
        <f>IF(OR(B224="",D224=""),"",D224+IFERROR(IF(INDEX(Clients!$H$6:$H$45,MATCH(C224,Clients!$B$6:$B$45,0))="",N(Settings!$C$13),INDEX(Clients!$H$6:$H$45,MATCH(C224,Clients!$B$6:$B$45,0))),N(Settings!$C$13)))</f>
        <v/>
      </c>
      <c r="L224" s="16" t="n"/>
      <c r="M224" s="15">
        <f>IF(B224="","",IF(L224&lt;&gt;"","Paid",IF(D224="","Draft",IF(K224&lt;TODAY(),"Overdue "&amp;(TODAY()-K224)&amp;IF(TODAY()-K224=1," day"," days"),"Waiting"))))</f>
        <v/>
      </c>
      <c r="N224" s="1" t="n"/>
      <c r="O224">
        <f>IF(B224="","",ROW()-5)</f>
        <v/>
      </c>
      <c r="P224">
        <f>IF(OR(B224="",L224&lt;&gt;"",D224=""),"",K224+ROW()/10000000)</f>
        <v/>
      </c>
    </row>
    <row r="225">
      <c r="A225" s="1" t="n"/>
      <c r="B225" s="17" t="n"/>
      <c r="C225" s="18" t="n"/>
      <c r="D225" s="16" t="n"/>
      <c r="E225" s="16" t="n"/>
      <c r="F225" s="16" t="n"/>
      <c r="G225" s="25">
        <f>IF(B225="","",SUMIFS(Timesheet!$M$6:$M$2005,Timesheet!$P$6:$P$2005,B225))</f>
        <v/>
      </c>
      <c r="H225" s="14">
        <f>IF(B225="","",SUMIFS(Timesheet!$O$6:$O$2005,Timesheet!$P$6:$P$2005,B225))</f>
        <v/>
      </c>
      <c r="I225" s="14">
        <f>IF(B225="","",ROUND(H225*N(Settings!$C$12),2))</f>
        <v/>
      </c>
      <c r="J225" s="26">
        <f>IF(B225="","",H225+I225)</f>
        <v/>
      </c>
      <c r="K225" s="27">
        <f>IF(OR(B225="",D225=""),"",D225+IFERROR(IF(INDEX(Clients!$H$6:$H$45,MATCH(C225,Clients!$B$6:$B$45,0))="",N(Settings!$C$13),INDEX(Clients!$H$6:$H$45,MATCH(C225,Clients!$B$6:$B$45,0))),N(Settings!$C$13)))</f>
        <v/>
      </c>
      <c r="L225" s="16" t="n"/>
      <c r="M225" s="15">
        <f>IF(B225="","",IF(L225&lt;&gt;"","Paid",IF(D225="","Draft",IF(K225&lt;TODAY(),"Overdue "&amp;(TODAY()-K225)&amp;IF(TODAY()-K225=1," day"," days"),"Waiting"))))</f>
        <v/>
      </c>
      <c r="N225" s="1" t="n"/>
      <c r="O225">
        <f>IF(B225="","",ROW()-5)</f>
        <v/>
      </c>
      <c r="P225">
        <f>IF(OR(B225="",L225&lt;&gt;"",D225=""),"",K225+ROW()/10000000)</f>
        <v/>
      </c>
    </row>
    <row r="226">
      <c r="A226" s="1" t="n"/>
      <c r="B226" s="17" t="n"/>
      <c r="C226" s="18" t="n"/>
      <c r="D226" s="16" t="n"/>
      <c r="E226" s="16" t="n"/>
      <c r="F226" s="16" t="n"/>
      <c r="G226" s="25">
        <f>IF(B226="","",SUMIFS(Timesheet!$M$6:$M$2005,Timesheet!$P$6:$P$2005,B226))</f>
        <v/>
      </c>
      <c r="H226" s="14">
        <f>IF(B226="","",SUMIFS(Timesheet!$O$6:$O$2005,Timesheet!$P$6:$P$2005,B226))</f>
        <v/>
      </c>
      <c r="I226" s="14">
        <f>IF(B226="","",ROUND(H226*N(Settings!$C$12),2))</f>
        <v/>
      </c>
      <c r="J226" s="26">
        <f>IF(B226="","",H226+I226)</f>
        <v/>
      </c>
      <c r="K226" s="27">
        <f>IF(OR(B226="",D226=""),"",D226+IFERROR(IF(INDEX(Clients!$H$6:$H$45,MATCH(C226,Clients!$B$6:$B$45,0))="",N(Settings!$C$13),INDEX(Clients!$H$6:$H$45,MATCH(C226,Clients!$B$6:$B$45,0))),N(Settings!$C$13)))</f>
        <v/>
      </c>
      <c r="L226" s="16" t="n"/>
      <c r="M226" s="15">
        <f>IF(B226="","",IF(L226&lt;&gt;"","Paid",IF(D226="","Draft",IF(K226&lt;TODAY(),"Overdue "&amp;(TODAY()-K226)&amp;IF(TODAY()-K226=1," day"," days"),"Waiting"))))</f>
        <v/>
      </c>
      <c r="N226" s="1" t="n"/>
      <c r="O226">
        <f>IF(B226="","",ROW()-5)</f>
        <v/>
      </c>
      <c r="P226">
        <f>IF(OR(B226="",L226&lt;&gt;"",D226=""),"",K226+ROW()/10000000)</f>
        <v/>
      </c>
    </row>
    <row r="227">
      <c r="A227" s="1" t="n"/>
      <c r="B227" s="17" t="n"/>
      <c r="C227" s="18" t="n"/>
      <c r="D227" s="16" t="n"/>
      <c r="E227" s="16" t="n"/>
      <c r="F227" s="16" t="n"/>
      <c r="G227" s="25">
        <f>IF(B227="","",SUMIFS(Timesheet!$M$6:$M$2005,Timesheet!$P$6:$P$2005,B227))</f>
        <v/>
      </c>
      <c r="H227" s="14">
        <f>IF(B227="","",SUMIFS(Timesheet!$O$6:$O$2005,Timesheet!$P$6:$P$2005,B227))</f>
        <v/>
      </c>
      <c r="I227" s="14">
        <f>IF(B227="","",ROUND(H227*N(Settings!$C$12),2))</f>
        <v/>
      </c>
      <c r="J227" s="26">
        <f>IF(B227="","",H227+I227)</f>
        <v/>
      </c>
      <c r="K227" s="27">
        <f>IF(OR(B227="",D227=""),"",D227+IFERROR(IF(INDEX(Clients!$H$6:$H$45,MATCH(C227,Clients!$B$6:$B$45,0))="",N(Settings!$C$13),INDEX(Clients!$H$6:$H$45,MATCH(C227,Clients!$B$6:$B$45,0))),N(Settings!$C$13)))</f>
        <v/>
      </c>
      <c r="L227" s="16" t="n"/>
      <c r="M227" s="15">
        <f>IF(B227="","",IF(L227&lt;&gt;"","Paid",IF(D227="","Draft",IF(K227&lt;TODAY(),"Overdue "&amp;(TODAY()-K227)&amp;IF(TODAY()-K227=1," day"," days"),"Waiting"))))</f>
        <v/>
      </c>
      <c r="N227" s="1" t="n"/>
      <c r="O227">
        <f>IF(B227="","",ROW()-5)</f>
        <v/>
      </c>
      <c r="P227">
        <f>IF(OR(B227="",L227&lt;&gt;"",D227=""),"",K227+ROW()/10000000)</f>
        <v/>
      </c>
    </row>
    <row r="228">
      <c r="A228" s="1" t="n"/>
      <c r="B228" s="17" t="n"/>
      <c r="C228" s="18" t="n"/>
      <c r="D228" s="16" t="n"/>
      <c r="E228" s="16" t="n"/>
      <c r="F228" s="16" t="n"/>
      <c r="G228" s="25">
        <f>IF(B228="","",SUMIFS(Timesheet!$M$6:$M$2005,Timesheet!$P$6:$P$2005,B228))</f>
        <v/>
      </c>
      <c r="H228" s="14">
        <f>IF(B228="","",SUMIFS(Timesheet!$O$6:$O$2005,Timesheet!$P$6:$P$2005,B228))</f>
        <v/>
      </c>
      <c r="I228" s="14">
        <f>IF(B228="","",ROUND(H228*N(Settings!$C$12),2))</f>
        <v/>
      </c>
      <c r="J228" s="26">
        <f>IF(B228="","",H228+I228)</f>
        <v/>
      </c>
      <c r="K228" s="27">
        <f>IF(OR(B228="",D228=""),"",D228+IFERROR(IF(INDEX(Clients!$H$6:$H$45,MATCH(C228,Clients!$B$6:$B$45,0))="",N(Settings!$C$13),INDEX(Clients!$H$6:$H$45,MATCH(C228,Clients!$B$6:$B$45,0))),N(Settings!$C$13)))</f>
        <v/>
      </c>
      <c r="L228" s="16" t="n"/>
      <c r="M228" s="15">
        <f>IF(B228="","",IF(L228&lt;&gt;"","Paid",IF(D228="","Draft",IF(K228&lt;TODAY(),"Overdue "&amp;(TODAY()-K228)&amp;IF(TODAY()-K228=1," day"," days"),"Waiting"))))</f>
        <v/>
      </c>
      <c r="N228" s="1" t="n"/>
      <c r="O228">
        <f>IF(B228="","",ROW()-5)</f>
        <v/>
      </c>
      <c r="P228">
        <f>IF(OR(B228="",L228&lt;&gt;"",D228=""),"",K228+ROW()/10000000)</f>
        <v/>
      </c>
    </row>
    <row r="229">
      <c r="A229" s="1" t="n"/>
      <c r="B229" s="17" t="n"/>
      <c r="C229" s="18" t="n"/>
      <c r="D229" s="16" t="n"/>
      <c r="E229" s="16" t="n"/>
      <c r="F229" s="16" t="n"/>
      <c r="G229" s="25">
        <f>IF(B229="","",SUMIFS(Timesheet!$M$6:$M$2005,Timesheet!$P$6:$P$2005,B229))</f>
        <v/>
      </c>
      <c r="H229" s="14">
        <f>IF(B229="","",SUMIFS(Timesheet!$O$6:$O$2005,Timesheet!$P$6:$P$2005,B229))</f>
        <v/>
      </c>
      <c r="I229" s="14">
        <f>IF(B229="","",ROUND(H229*N(Settings!$C$12),2))</f>
        <v/>
      </c>
      <c r="J229" s="26">
        <f>IF(B229="","",H229+I229)</f>
        <v/>
      </c>
      <c r="K229" s="27">
        <f>IF(OR(B229="",D229=""),"",D229+IFERROR(IF(INDEX(Clients!$H$6:$H$45,MATCH(C229,Clients!$B$6:$B$45,0))="",N(Settings!$C$13),INDEX(Clients!$H$6:$H$45,MATCH(C229,Clients!$B$6:$B$45,0))),N(Settings!$C$13)))</f>
        <v/>
      </c>
      <c r="L229" s="16" t="n"/>
      <c r="M229" s="15">
        <f>IF(B229="","",IF(L229&lt;&gt;"","Paid",IF(D229="","Draft",IF(K229&lt;TODAY(),"Overdue "&amp;(TODAY()-K229)&amp;IF(TODAY()-K229=1," day"," days"),"Waiting"))))</f>
        <v/>
      </c>
      <c r="N229" s="1" t="n"/>
      <c r="O229">
        <f>IF(B229="","",ROW()-5)</f>
        <v/>
      </c>
      <c r="P229">
        <f>IF(OR(B229="",L229&lt;&gt;"",D229=""),"",K229+ROW()/10000000)</f>
        <v/>
      </c>
    </row>
    <row r="230">
      <c r="A230" s="1" t="n"/>
      <c r="B230" s="17" t="n"/>
      <c r="C230" s="18" t="n"/>
      <c r="D230" s="16" t="n"/>
      <c r="E230" s="16" t="n"/>
      <c r="F230" s="16" t="n"/>
      <c r="G230" s="25">
        <f>IF(B230="","",SUMIFS(Timesheet!$M$6:$M$2005,Timesheet!$P$6:$P$2005,B230))</f>
        <v/>
      </c>
      <c r="H230" s="14">
        <f>IF(B230="","",SUMIFS(Timesheet!$O$6:$O$2005,Timesheet!$P$6:$P$2005,B230))</f>
        <v/>
      </c>
      <c r="I230" s="14">
        <f>IF(B230="","",ROUND(H230*N(Settings!$C$12),2))</f>
        <v/>
      </c>
      <c r="J230" s="26">
        <f>IF(B230="","",H230+I230)</f>
        <v/>
      </c>
      <c r="K230" s="27">
        <f>IF(OR(B230="",D230=""),"",D230+IFERROR(IF(INDEX(Clients!$H$6:$H$45,MATCH(C230,Clients!$B$6:$B$45,0))="",N(Settings!$C$13),INDEX(Clients!$H$6:$H$45,MATCH(C230,Clients!$B$6:$B$45,0))),N(Settings!$C$13)))</f>
        <v/>
      </c>
      <c r="L230" s="16" t="n"/>
      <c r="M230" s="15">
        <f>IF(B230="","",IF(L230&lt;&gt;"","Paid",IF(D230="","Draft",IF(K230&lt;TODAY(),"Overdue "&amp;(TODAY()-K230)&amp;IF(TODAY()-K230=1," day"," days"),"Waiting"))))</f>
        <v/>
      </c>
      <c r="N230" s="1" t="n"/>
      <c r="O230">
        <f>IF(B230="","",ROW()-5)</f>
        <v/>
      </c>
      <c r="P230">
        <f>IF(OR(B230="",L230&lt;&gt;"",D230=""),"",K230+ROW()/10000000)</f>
        <v/>
      </c>
    </row>
    <row r="231">
      <c r="A231" s="1" t="n"/>
      <c r="B231" s="17" t="n"/>
      <c r="C231" s="18" t="n"/>
      <c r="D231" s="16" t="n"/>
      <c r="E231" s="16" t="n"/>
      <c r="F231" s="16" t="n"/>
      <c r="G231" s="25">
        <f>IF(B231="","",SUMIFS(Timesheet!$M$6:$M$2005,Timesheet!$P$6:$P$2005,B231))</f>
        <v/>
      </c>
      <c r="H231" s="14">
        <f>IF(B231="","",SUMIFS(Timesheet!$O$6:$O$2005,Timesheet!$P$6:$P$2005,B231))</f>
        <v/>
      </c>
      <c r="I231" s="14">
        <f>IF(B231="","",ROUND(H231*N(Settings!$C$12),2))</f>
        <v/>
      </c>
      <c r="J231" s="26">
        <f>IF(B231="","",H231+I231)</f>
        <v/>
      </c>
      <c r="K231" s="27">
        <f>IF(OR(B231="",D231=""),"",D231+IFERROR(IF(INDEX(Clients!$H$6:$H$45,MATCH(C231,Clients!$B$6:$B$45,0))="",N(Settings!$C$13),INDEX(Clients!$H$6:$H$45,MATCH(C231,Clients!$B$6:$B$45,0))),N(Settings!$C$13)))</f>
        <v/>
      </c>
      <c r="L231" s="16" t="n"/>
      <c r="M231" s="15">
        <f>IF(B231="","",IF(L231&lt;&gt;"","Paid",IF(D231="","Draft",IF(K231&lt;TODAY(),"Overdue "&amp;(TODAY()-K231)&amp;IF(TODAY()-K231=1," day"," days"),"Waiting"))))</f>
        <v/>
      </c>
      <c r="N231" s="1" t="n"/>
      <c r="O231">
        <f>IF(B231="","",ROW()-5)</f>
        <v/>
      </c>
      <c r="P231">
        <f>IF(OR(B231="",L231&lt;&gt;"",D231=""),"",K231+ROW()/10000000)</f>
        <v/>
      </c>
    </row>
    <row r="232">
      <c r="A232" s="1" t="n"/>
      <c r="B232" s="17" t="n"/>
      <c r="C232" s="18" t="n"/>
      <c r="D232" s="16" t="n"/>
      <c r="E232" s="16" t="n"/>
      <c r="F232" s="16" t="n"/>
      <c r="G232" s="25">
        <f>IF(B232="","",SUMIFS(Timesheet!$M$6:$M$2005,Timesheet!$P$6:$P$2005,B232))</f>
        <v/>
      </c>
      <c r="H232" s="14">
        <f>IF(B232="","",SUMIFS(Timesheet!$O$6:$O$2005,Timesheet!$P$6:$P$2005,B232))</f>
        <v/>
      </c>
      <c r="I232" s="14">
        <f>IF(B232="","",ROUND(H232*N(Settings!$C$12),2))</f>
        <v/>
      </c>
      <c r="J232" s="26">
        <f>IF(B232="","",H232+I232)</f>
        <v/>
      </c>
      <c r="K232" s="27">
        <f>IF(OR(B232="",D232=""),"",D232+IFERROR(IF(INDEX(Clients!$H$6:$H$45,MATCH(C232,Clients!$B$6:$B$45,0))="",N(Settings!$C$13),INDEX(Clients!$H$6:$H$45,MATCH(C232,Clients!$B$6:$B$45,0))),N(Settings!$C$13)))</f>
        <v/>
      </c>
      <c r="L232" s="16" t="n"/>
      <c r="M232" s="15">
        <f>IF(B232="","",IF(L232&lt;&gt;"","Paid",IF(D232="","Draft",IF(K232&lt;TODAY(),"Overdue "&amp;(TODAY()-K232)&amp;IF(TODAY()-K232=1," day"," days"),"Waiting"))))</f>
        <v/>
      </c>
      <c r="N232" s="1" t="n"/>
      <c r="O232">
        <f>IF(B232="","",ROW()-5)</f>
        <v/>
      </c>
      <c r="P232">
        <f>IF(OR(B232="",L232&lt;&gt;"",D232=""),"",K232+ROW()/10000000)</f>
        <v/>
      </c>
    </row>
    <row r="233">
      <c r="A233" s="1" t="n"/>
      <c r="B233" s="17" t="n"/>
      <c r="C233" s="18" t="n"/>
      <c r="D233" s="16" t="n"/>
      <c r="E233" s="16" t="n"/>
      <c r="F233" s="16" t="n"/>
      <c r="G233" s="25">
        <f>IF(B233="","",SUMIFS(Timesheet!$M$6:$M$2005,Timesheet!$P$6:$P$2005,B233))</f>
        <v/>
      </c>
      <c r="H233" s="14">
        <f>IF(B233="","",SUMIFS(Timesheet!$O$6:$O$2005,Timesheet!$P$6:$P$2005,B233))</f>
        <v/>
      </c>
      <c r="I233" s="14">
        <f>IF(B233="","",ROUND(H233*N(Settings!$C$12),2))</f>
        <v/>
      </c>
      <c r="J233" s="26">
        <f>IF(B233="","",H233+I233)</f>
        <v/>
      </c>
      <c r="K233" s="27">
        <f>IF(OR(B233="",D233=""),"",D233+IFERROR(IF(INDEX(Clients!$H$6:$H$45,MATCH(C233,Clients!$B$6:$B$45,0))="",N(Settings!$C$13),INDEX(Clients!$H$6:$H$45,MATCH(C233,Clients!$B$6:$B$45,0))),N(Settings!$C$13)))</f>
        <v/>
      </c>
      <c r="L233" s="16" t="n"/>
      <c r="M233" s="15">
        <f>IF(B233="","",IF(L233&lt;&gt;"","Paid",IF(D233="","Draft",IF(K233&lt;TODAY(),"Overdue "&amp;(TODAY()-K233)&amp;IF(TODAY()-K233=1," day"," days"),"Waiting"))))</f>
        <v/>
      </c>
      <c r="N233" s="1" t="n"/>
      <c r="O233">
        <f>IF(B233="","",ROW()-5)</f>
        <v/>
      </c>
      <c r="P233">
        <f>IF(OR(B233="",L233&lt;&gt;"",D233=""),"",K233+ROW()/10000000)</f>
        <v/>
      </c>
    </row>
    <row r="234">
      <c r="A234" s="1" t="n"/>
      <c r="B234" s="17" t="n"/>
      <c r="C234" s="18" t="n"/>
      <c r="D234" s="16" t="n"/>
      <c r="E234" s="16" t="n"/>
      <c r="F234" s="16" t="n"/>
      <c r="G234" s="25">
        <f>IF(B234="","",SUMIFS(Timesheet!$M$6:$M$2005,Timesheet!$P$6:$P$2005,B234))</f>
        <v/>
      </c>
      <c r="H234" s="14">
        <f>IF(B234="","",SUMIFS(Timesheet!$O$6:$O$2005,Timesheet!$P$6:$P$2005,B234))</f>
        <v/>
      </c>
      <c r="I234" s="14">
        <f>IF(B234="","",ROUND(H234*N(Settings!$C$12),2))</f>
        <v/>
      </c>
      <c r="J234" s="26">
        <f>IF(B234="","",H234+I234)</f>
        <v/>
      </c>
      <c r="K234" s="27">
        <f>IF(OR(B234="",D234=""),"",D234+IFERROR(IF(INDEX(Clients!$H$6:$H$45,MATCH(C234,Clients!$B$6:$B$45,0))="",N(Settings!$C$13),INDEX(Clients!$H$6:$H$45,MATCH(C234,Clients!$B$6:$B$45,0))),N(Settings!$C$13)))</f>
        <v/>
      </c>
      <c r="L234" s="16" t="n"/>
      <c r="M234" s="15">
        <f>IF(B234="","",IF(L234&lt;&gt;"","Paid",IF(D234="","Draft",IF(K234&lt;TODAY(),"Overdue "&amp;(TODAY()-K234)&amp;IF(TODAY()-K234=1," day"," days"),"Waiting"))))</f>
        <v/>
      </c>
      <c r="N234" s="1" t="n"/>
      <c r="O234">
        <f>IF(B234="","",ROW()-5)</f>
        <v/>
      </c>
      <c r="P234">
        <f>IF(OR(B234="",L234&lt;&gt;"",D234=""),"",K234+ROW()/10000000)</f>
        <v/>
      </c>
    </row>
    <row r="235">
      <c r="A235" s="1" t="n"/>
      <c r="B235" s="17" t="n"/>
      <c r="C235" s="18" t="n"/>
      <c r="D235" s="16" t="n"/>
      <c r="E235" s="16" t="n"/>
      <c r="F235" s="16" t="n"/>
      <c r="G235" s="25">
        <f>IF(B235="","",SUMIFS(Timesheet!$M$6:$M$2005,Timesheet!$P$6:$P$2005,B235))</f>
        <v/>
      </c>
      <c r="H235" s="14">
        <f>IF(B235="","",SUMIFS(Timesheet!$O$6:$O$2005,Timesheet!$P$6:$P$2005,B235))</f>
        <v/>
      </c>
      <c r="I235" s="14">
        <f>IF(B235="","",ROUND(H235*N(Settings!$C$12),2))</f>
        <v/>
      </c>
      <c r="J235" s="26">
        <f>IF(B235="","",H235+I235)</f>
        <v/>
      </c>
      <c r="K235" s="27">
        <f>IF(OR(B235="",D235=""),"",D235+IFERROR(IF(INDEX(Clients!$H$6:$H$45,MATCH(C235,Clients!$B$6:$B$45,0))="",N(Settings!$C$13),INDEX(Clients!$H$6:$H$45,MATCH(C235,Clients!$B$6:$B$45,0))),N(Settings!$C$13)))</f>
        <v/>
      </c>
      <c r="L235" s="16" t="n"/>
      <c r="M235" s="15">
        <f>IF(B235="","",IF(L235&lt;&gt;"","Paid",IF(D235="","Draft",IF(K235&lt;TODAY(),"Overdue "&amp;(TODAY()-K235)&amp;IF(TODAY()-K235=1," day"," days"),"Waiting"))))</f>
        <v/>
      </c>
      <c r="N235" s="1" t="n"/>
      <c r="O235">
        <f>IF(B235="","",ROW()-5)</f>
        <v/>
      </c>
      <c r="P235">
        <f>IF(OR(B235="",L235&lt;&gt;"",D235=""),"",K235+ROW()/10000000)</f>
        <v/>
      </c>
    </row>
    <row r="236">
      <c r="A236" s="1" t="n"/>
      <c r="B236" s="17" t="n"/>
      <c r="C236" s="18" t="n"/>
      <c r="D236" s="16" t="n"/>
      <c r="E236" s="16" t="n"/>
      <c r="F236" s="16" t="n"/>
      <c r="G236" s="25">
        <f>IF(B236="","",SUMIFS(Timesheet!$M$6:$M$2005,Timesheet!$P$6:$P$2005,B236))</f>
        <v/>
      </c>
      <c r="H236" s="14">
        <f>IF(B236="","",SUMIFS(Timesheet!$O$6:$O$2005,Timesheet!$P$6:$P$2005,B236))</f>
        <v/>
      </c>
      <c r="I236" s="14">
        <f>IF(B236="","",ROUND(H236*N(Settings!$C$12),2))</f>
        <v/>
      </c>
      <c r="J236" s="26">
        <f>IF(B236="","",H236+I236)</f>
        <v/>
      </c>
      <c r="K236" s="27">
        <f>IF(OR(B236="",D236=""),"",D236+IFERROR(IF(INDEX(Clients!$H$6:$H$45,MATCH(C236,Clients!$B$6:$B$45,0))="",N(Settings!$C$13),INDEX(Clients!$H$6:$H$45,MATCH(C236,Clients!$B$6:$B$45,0))),N(Settings!$C$13)))</f>
        <v/>
      </c>
      <c r="L236" s="16" t="n"/>
      <c r="M236" s="15">
        <f>IF(B236="","",IF(L236&lt;&gt;"","Paid",IF(D236="","Draft",IF(K236&lt;TODAY(),"Overdue "&amp;(TODAY()-K236)&amp;IF(TODAY()-K236=1," day"," days"),"Waiting"))))</f>
        <v/>
      </c>
      <c r="N236" s="1" t="n"/>
      <c r="O236">
        <f>IF(B236="","",ROW()-5)</f>
        <v/>
      </c>
      <c r="P236">
        <f>IF(OR(B236="",L236&lt;&gt;"",D236=""),"",K236+ROW()/10000000)</f>
        <v/>
      </c>
    </row>
    <row r="237">
      <c r="A237" s="1" t="n"/>
      <c r="B237" s="17" t="n"/>
      <c r="C237" s="18" t="n"/>
      <c r="D237" s="16" t="n"/>
      <c r="E237" s="16" t="n"/>
      <c r="F237" s="16" t="n"/>
      <c r="G237" s="25">
        <f>IF(B237="","",SUMIFS(Timesheet!$M$6:$M$2005,Timesheet!$P$6:$P$2005,B237))</f>
        <v/>
      </c>
      <c r="H237" s="14">
        <f>IF(B237="","",SUMIFS(Timesheet!$O$6:$O$2005,Timesheet!$P$6:$P$2005,B237))</f>
        <v/>
      </c>
      <c r="I237" s="14">
        <f>IF(B237="","",ROUND(H237*N(Settings!$C$12),2))</f>
        <v/>
      </c>
      <c r="J237" s="26">
        <f>IF(B237="","",H237+I237)</f>
        <v/>
      </c>
      <c r="K237" s="27">
        <f>IF(OR(B237="",D237=""),"",D237+IFERROR(IF(INDEX(Clients!$H$6:$H$45,MATCH(C237,Clients!$B$6:$B$45,0))="",N(Settings!$C$13),INDEX(Clients!$H$6:$H$45,MATCH(C237,Clients!$B$6:$B$45,0))),N(Settings!$C$13)))</f>
        <v/>
      </c>
      <c r="L237" s="16" t="n"/>
      <c r="M237" s="15">
        <f>IF(B237="","",IF(L237&lt;&gt;"","Paid",IF(D237="","Draft",IF(K237&lt;TODAY(),"Overdue "&amp;(TODAY()-K237)&amp;IF(TODAY()-K237=1," day"," days"),"Waiting"))))</f>
        <v/>
      </c>
      <c r="N237" s="1" t="n"/>
      <c r="O237">
        <f>IF(B237="","",ROW()-5)</f>
        <v/>
      </c>
      <c r="P237">
        <f>IF(OR(B237="",L237&lt;&gt;"",D237=""),"",K237+ROW()/10000000)</f>
        <v/>
      </c>
    </row>
    <row r="238">
      <c r="A238" s="1" t="n"/>
      <c r="B238" s="17" t="n"/>
      <c r="C238" s="18" t="n"/>
      <c r="D238" s="16" t="n"/>
      <c r="E238" s="16" t="n"/>
      <c r="F238" s="16" t="n"/>
      <c r="G238" s="25">
        <f>IF(B238="","",SUMIFS(Timesheet!$M$6:$M$2005,Timesheet!$P$6:$P$2005,B238))</f>
        <v/>
      </c>
      <c r="H238" s="14">
        <f>IF(B238="","",SUMIFS(Timesheet!$O$6:$O$2005,Timesheet!$P$6:$P$2005,B238))</f>
        <v/>
      </c>
      <c r="I238" s="14">
        <f>IF(B238="","",ROUND(H238*N(Settings!$C$12),2))</f>
        <v/>
      </c>
      <c r="J238" s="26">
        <f>IF(B238="","",H238+I238)</f>
        <v/>
      </c>
      <c r="K238" s="27">
        <f>IF(OR(B238="",D238=""),"",D238+IFERROR(IF(INDEX(Clients!$H$6:$H$45,MATCH(C238,Clients!$B$6:$B$45,0))="",N(Settings!$C$13),INDEX(Clients!$H$6:$H$45,MATCH(C238,Clients!$B$6:$B$45,0))),N(Settings!$C$13)))</f>
        <v/>
      </c>
      <c r="L238" s="16" t="n"/>
      <c r="M238" s="15">
        <f>IF(B238="","",IF(L238&lt;&gt;"","Paid",IF(D238="","Draft",IF(K238&lt;TODAY(),"Overdue "&amp;(TODAY()-K238)&amp;IF(TODAY()-K238=1," day"," days"),"Waiting"))))</f>
        <v/>
      </c>
      <c r="N238" s="1" t="n"/>
      <c r="O238">
        <f>IF(B238="","",ROW()-5)</f>
        <v/>
      </c>
      <c r="P238">
        <f>IF(OR(B238="",L238&lt;&gt;"",D238=""),"",K238+ROW()/10000000)</f>
        <v/>
      </c>
    </row>
    <row r="239">
      <c r="A239" s="1" t="n"/>
      <c r="B239" s="17" t="n"/>
      <c r="C239" s="18" t="n"/>
      <c r="D239" s="16" t="n"/>
      <c r="E239" s="16" t="n"/>
      <c r="F239" s="16" t="n"/>
      <c r="G239" s="25">
        <f>IF(B239="","",SUMIFS(Timesheet!$M$6:$M$2005,Timesheet!$P$6:$P$2005,B239))</f>
        <v/>
      </c>
      <c r="H239" s="14">
        <f>IF(B239="","",SUMIFS(Timesheet!$O$6:$O$2005,Timesheet!$P$6:$P$2005,B239))</f>
        <v/>
      </c>
      <c r="I239" s="14">
        <f>IF(B239="","",ROUND(H239*N(Settings!$C$12),2))</f>
        <v/>
      </c>
      <c r="J239" s="26">
        <f>IF(B239="","",H239+I239)</f>
        <v/>
      </c>
      <c r="K239" s="27">
        <f>IF(OR(B239="",D239=""),"",D239+IFERROR(IF(INDEX(Clients!$H$6:$H$45,MATCH(C239,Clients!$B$6:$B$45,0))="",N(Settings!$C$13),INDEX(Clients!$H$6:$H$45,MATCH(C239,Clients!$B$6:$B$45,0))),N(Settings!$C$13)))</f>
        <v/>
      </c>
      <c r="L239" s="16" t="n"/>
      <c r="M239" s="15">
        <f>IF(B239="","",IF(L239&lt;&gt;"","Paid",IF(D239="","Draft",IF(K239&lt;TODAY(),"Overdue "&amp;(TODAY()-K239)&amp;IF(TODAY()-K239=1," day"," days"),"Waiting"))))</f>
        <v/>
      </c>
      <c r="N239" s="1" t="n"/>
      <c r="O239">
        <f>IF(B239="","",ROW()-5)</f>
        <v/>
      </c>
      <c r="P239">
        <f>IF(OR(B239="",L239&lt;&gt;"",D239=""),"",K239+ROW()/10000000)</f>
        <v/>
      </c>
    </row>
    <row r="240">
      <c r="A240" s="1" t="n"/>
      <c r="B240" s="17" t="n"/>
      <c r="C240" s="18" t="n"/>
      <c r="D240" s="16" t="n"/>
      <c r="E240" s="16" t="n"/>
      <c r="F240" s="16" t="n"/>
      <c r="G240" s="25">
        <f>IF(B240="","",SUMIFS(Timesheet!$M$6:$M$2005,Timesheet!$P$6:$P$2005,B240))</f>
        <v/>
      </c>
      <c r="H240" s="14">
        <f>IF(B240="","",SUMIFS(Timesheet!$O$6:$O$2005,Timesheet!$P$6:$P$2005,B240))</f>
        <v/>
      </c>
      <c r="I240" s="14">
        <f>IF(B240="","",ROUND(H240*N(Settings!$C$12),2))</f>
        <v/>
      </c>
      <c r="J240" s="26">
        <f>IF(B240="","",H240+I240)</f>
        <v/>
      </c>
      <c r="K240" s="27">
        <f>IF(OR(B240="",D240=""),"",D240+IFERROR(IF(INDEX(Clients!$H$6:$H$45,MATCH(C240,Clients!$B$6:$B$45,0))="",N(Settings!$C$13),INDEX(Clients!$H$6:$H$45,MATCH(C240,Clients!$B$6:$B$45,0))),N(Settings!$C$13)))</f>
        <v/>
      </c>
      <c r="L240" s="16" t="n"/>
      <c r="M240" s="15">
        <f>IF(B240="","",IF(L240&lt;&gt;"","Paid",IF(D240="","Draft",IF(K240&lt;TODAY(),"Overdue "&amp;(TODAY()-K240)&amp;IF(TODAY()-K240=1," day"," days"),"Waiting"))))</f>
        <v/>
      </c>
      <c r="N240" s="1" t="n"/>
      <c r="O240">
        <f>IF(B240="","",ROW()-5)</f>
        <v/>
      </c>
      <c r="P240">
        <f>IF(OR(B240="",L240&lt;&gt;"",D240=""),"",K240+ROW()/10000000)</f>
        <v/>
      </c>
    </row>
    <row r="241">
      <c r="A241" s="1" t="n"/>
      <c r="B241" s="17" t="n"/>
      <c r="C241" s="18" t="n"/>
      <c r="D241" s="16" t="n"/>
      <c r="E241" s="16" t="n"/>
      <c r="F241" s="16" t="n"/>
      <c r="G241" s="25">
        <f>IF(B241="","",SUMIFS(Timesheet!$M$6:$M$2005,Timesheet!$P$6:$P$2005,B241))</f>
        <v/>
      </c>
      <c r="H241" s="14">
        <f>IF(B241="","",SUMIFS(Timesheet!$O$6:$O$2005,Timesheet!$P$6:$P$2005,B241))</f>
        <v/>
      </c>
      <c r="I241" s="14">
        <f>IF(B241="","",ROUND(H241*N(Settings!$C$12),2))</f>
        <v/>
      </c>
      <c r="J241" s="26">
        <f>IF(B241="","",H241+I241)</f>
        <v/>
      </c>
      <c r="K241" s="27">
        <f>IF(OR(B241="",D241=""),"",D241+IFERROR(IF(INDEX(Clients!$H$6:$H$45,MATCH(C241,Clients!$B$6:$B$45,0))="",N(Settings!$C$13),INDEX(Clients!$H$6:$H$45,MATCH(C241,Clients!$B$6:$B$45,0))),N(Settings!$C$13)))</f>
        <v/>
      </c>
      <c r="L241" s="16" t="n"/>
      <c r="M241" s="15">
        <f>IF(B241="","",IF(L241&lt;&gt;"","Paid",IF(D241="","Draft",IF(K241&lt;TODAY(),"Overdue "&amp;(TODAY()-K241)&amp;IF(TODAY()-K241=1," day"," days"),"Waiting"))))</f>
        <v/>
      </c>
      <c r="N241" s="1" t="n"/>
      <c r="O241">
        <f>IF(B241="","",ROW()-5)</f>
        <v/>
      </c>
      <c r="P241">
        <f>IF(OR(B241="",L241&lt;&gt;"",D241=""),"",K241+ROW()/10000000)</f>
        <v/>
      </c>
    </row>
    <row r="242">
      <c r="A242" s="1" t="n"/>
      <c r="B242" s="17" t="n"/>
      <c r="C242" s="18" t="n"/>
      <c r="D242" s="16" t="n"/>
      <c r="E242" s="16" t="n"/>
      <c r="F242" s="16" t="n"/>
      <c r="G242" s="25">
        <f>IF(B242="","",SUMIFS(Timesheet!$M$6:$M$2005,Timesheet!$P$6:$P$2005,B242))</f>
        <v/>
      </c>
      <c r="H242" s="14">
        <f>IF(B242="","",SUMIFS(Timesheet!$O$6:$O$2005,Timesheet!$P$6:$P$2005,B242))</f>
        <v/>
      </c>
      <c r="I242" s="14">
        <f>IF(B242="","",ROUND(H242*N(Settings!$C$12),2))</f>
        <v/>
      </c>
      <c r="J242" s="26">
        <f>IF(B242="","",H242+I242)</f>
        <v/>
      </c>
      <c r="K242" s="27">
        <f>IF(OR(B242="",D242=""),"",D242+IFERROR(IF(INDEX(Clients!$H$6:$H$45,MATCH(C242,Clients!$B$6:$B$45,0))="",N(Settings!$C$13),INDEX(Clients!$H$6:$H$45,MATCH(C242,Clients!$B$6:$B$45,0))),N(Settings!$C$13)))</f>
        <v/>
      </c>
      <c r="L242" s="16" t="n"/>
      <c r="M242" s="15">
        <f>IF(B242="","",IF(L242&lt;&gt;"","Paid",IF(D242="","Draft",IF(K242&lt;TODAY(),"Overdue "&amp;(TODAY()-K242)&amp;IF(TODAY()-K242=1," day"," days"),"Waiting"))))</f>
        <v/>
      </c>
      <c r="N242" s="1" t="n"/>
      <c r="O242">
        <f>IF(B242="","",ROW()-5)</f>
        <v/>
      </c>
      <c r="P242">
        <f>IF(OR(B242="",L242&lt;&gt;"",D242=""),"",K242+ROW()/10000000)</f>
        <v/>
      </c>
    </row>
    <row r="243">
      <c r="A243" s="1" t="n"/>
      <c r="B243" s="17" t="n"/>
      <c r="C243" s="18" t="n"/>
      <c r="D243" s="16" t="n"/>
      <c r="E243" s="16" t="n"/>
      <c r="F243" s="16" t="n"/>
      <c r="G243" s="25">
        <f>IF(B243="","",SUMIFS(Timesheet!$M$6:$M$2005,Timesheet!$P$6:$P$2005,B243))</f>
        <v/>
      </c>
      <c r="H243" s="14">
        <f>IF(B243="","",SUMIFS(Timesheet!$O$6:$O$2005,Timesheet!$P$6:$P$2005,B243))</f>
        <v/>
      </c>
      <c r="I243" s="14">
        <f>IF(B243="","",ROUND(H243*N(Settings!$C$12),2))</f>
        <v/>
      </c>
      <c r="J243" s="26">
        <f>IF(B243="","",H243+I243)</f>
        <v/>
      </c>
      <c r="K243" s="27">
        <f>IF(OR(B243="",D243=""),"",D243+IFERROR(IF(INDEX(Clients!$H$6:$H$45,MATCH(C243,Clients!$B$6:$B$45,0))="",N(Settings!$C$13),INDEX(Clients!$H$6:$H$45,MATCH(C243,Clients!$B$6:$B$45,0))),N(Settings!$C$13)))</f>
        <v/>
      </c>
      <c r="L243" s="16" t="n"/>
      <c r="M243" s="15">
        <f>IF(B243="","",IF(L243&lt;&gt;"","Paid",IF(D243="","Draft",IF(K243&lt;TODAY(),"Overdue "&amp;(TODAY()-K243)&amp;IF(TODAY()-K243=1," day"," days"),"Waiting"))))</f>
        <v/>
      </c>
      <c r="N243" s="1" t="n"/>
      <c r="O243">
        <f>IF(B243="","",ROW()-5)</f>
        <v/>
      </c>
      <c r="P243">
        <f>IF(OR(B243="",L243&lt;&gt;"",D243=""),"",K243+ROW()/10000000)</f>
        <v/>
      </c>
    </row>
    <row r="244">
      <c r="A244" s="1" t="n"/>
      <c r="B244" s="17" t="n"/>
      <c r="C244" s="18" t="n"/>
      <c r="D244" s="16" t="n"/>
      <c r="E244" s="16" t="n"/>
      <c r="F244" s="16" t="n"/>
      <c r="G244" s="25">
        <f>IF(B244="","",SUMIFS(Timesheet!$M$6:$M$2005,Timesheet!$P$6:$P$2005,B244))</f>
        <v/>
      </c>
      <c r="H244" s="14">
        <f>IF(B244="","",SUMIFS(Timesheet!$O$6:$O$2005,Timesheet!$P$6:$P$2005,B244))</f>
        <v/>
      </c>
      <c r="I244" s="14">
        <f>IF(B244="","",ROUND(H244*N(Settings!$C$12),2))</f>
        <v/>
      </c>
      <c r="J244" s="26">
        <f>IF(B244="","",H244+I244)</f>
        <v/>
      </c>
      <c r="K244" s="27">
        <f>IF(OR(B244="",D244=""),"",D244+IFERROR(IF(INDEX(Clients!$H$6:$H$45,MATCH(C244,Clients!$B$6:$B$45,0))="",N(Settings!$C$13),INDEX(Clients!$H$6:$H$45,MATCH(C244,Clients!$B$6:$B$45,0))),N(Settings!$C$13)))</f>
        <v/>
      </c>
      <c r="L244" s="16" t="n"/>
      <c r="M244" s="15">
        <f>IF(B244="","",IF(L244&lt;&gt;"","Paid",IF(D244="","Draft",IF(K244&lt;TODAY(),"Overdue "&amp;(TODAY()-K244)&amp;IF(TODAY()-K244=1," day"," days"),"Waiting"))))</f>
        <v/>
      </c>
      <c r="N244" s="1" t="n"/>
      <c r="O244">
        <f>IF(B244="","",ROW()-5)</f>
        <v/>
      </c>
      <c r="P244">
        <f>IF(OR(B244="",L244&lt;&gt;"",D244=""),"",K244+ROW()/10000000)</f>
        <v/>
      </c>
    </row>
    <row r="245">
      <c r="A245" s="1" t="n"/>
      <c r="B245" s="17" t="n"/>
      <c r="C245" s="18" t="n"/>
      <c r="D245" s="16" t="n"/>
      <c r="E245" s="16" t="n"/>
      <c r="F245" s="16" t="n"/>
      <c r="G245" s="25">
        <f>IF(B245="","",SUMIFS(Timesheet!$M$6:$M$2005,Timesheet!$P$6:$P$2005,B245))</f>
        <v/>
      </c>
      <c r="H245" s="14">
        <f>IF(B245="","",SUMIFS(Timesheet!$O$6:$O$2005,Timesheet!$P$6:$P$2005,B245))</f>
        <v/>
      </c>
      <c r="I245" s="14">
        <f>IF(B245="","",ROUND(H245*N(Settings!$C$12),2))</f>
        <v/>
      </c>
      <c r="J245" s="26">
        <f>IF(B245="","",H245+I245)</f>
        <v/>
      </c>
      <c r="K245" s="27">
        <f>IF(OR(B245="",D245=""),"",D245+IFERROR(IF(INDEX(Clients!$H$6:$H$45,MATCH(C245,Clients!$B$6:$B$45,0))="",N(Settings!$C$13),INDEX(Clients!$H$6:$H$45,MATCH(C245,Clients!$B$6:$B$45,0))),N(Settings!$C$13)))</f>
        <v/>
      </c>
      <c r="L245" s="16" t="n"/>
      <c r="M245" s="15">
        <f>IF(B245="","",IF(L245&lt;&gt;"","Paid",IF(D245="","Draft",IF(K245&lt;TODAY(),"Overdue "&amp;(TODAY()-K245)&amp;IF(TODAY()-K245=1," day"," days"),"Waiting"))))</f>
        <v/>
      </c>
      <c r="N245" s="1" t="n"/>
      <c r="O245">
        <f>IF(B245="","",ROW()-5)</f>
        <v/>
      </c>
      <c r="P245">
        <f>IF(OR(B245="",L245&lt;&gt;"",D245=""),"",K245+ROW()/10000000)</f>
        <v/>
      </c>
    </row>
    <row r="246">
      <c r="A246" s="1" t="n"/>
      <c r="B246" s="17" t="n"/>
      <c r="C246" s="18" t="n"/>
      <c r="D246" s="16" t="n"/>
      <c r="E246" s="16" t="n"/>
      <c r="F246" s="16" t="n"/>
      <c r="G246" s="25">
        <f>IF(B246="","",SUMIFS(Timesheet!$M$6:$M$2005,Timesheet!$P$6:$P$2005,B246))</f>
        <v/>
      </c>
      <c r="H246" s="14">
        <f>IF(B246="","",SUMIFS(Timesheet!$O$6:$O$2005,Timesheet!$P$6:$P$2005,B246))</f>
        <v/>
      </c>
      <c r="I246" s="14">
        <f>IF(B246="","",ROUND(H246*N(Settings!$C$12),2))</f>
        <v/>
      </c>
      <c r="J246" s="26">
        <f>IF(B246="","",H246+I246)</f>
        <v/>
      </c>
      <c r="K246" s="27">
        <f>IF(OR(B246="",D246=""),"",D246+IFERROR(IF(INDEX(Clients!$H$6:$H$45,MATCH(C246,Clients!$B$6:$B$45,0))="",N(Settings!$C$13),INDEX(Clients!$H$6:$H$45,MATCH(C246,Clients!$B$6:$B$45,0))),N(Settings!$C$13)))</f>
        <v/>
      </c>
      <c r="L246" s="16" t="n"/>
      <c r="M246" s="15">
        <f>IF(B246="","",IF(L246&lt;&gt;"","Paid",IF(D246="","Draft",IF(K246&lt;TODAY(),"Overdue "&amp;(TODAY()-K246)&amp;IF(TODAY()-K246=1," day"," days"),"Waiting"))))</f>
        <v/>
      </c>
      <c r="N246" s="1" t="n"/>
      <c r="O246">
        <f>IF(B246="","",ROW()-5)</f>
        <v/>
      </c>
      <c r="P246">
        <f>IF(OR(B246="",L246&lt;&gt;"",D246=""),"",K246+ROW()/10000000)</f>
        <v/>
      </c>
    </row>
    <row r="247">
      <c r="A247" s="1" t="n"/>
      <c r="B247" s="17" t="n"/>
      <c r="C247" s="18" t="n"/>
      <c r="D247" s="16" t="n"/>
      <c r="E247" s="16" t="n"/>
      <c r="F247" s="16" t="n"/>
      <c r="G247" s="25">
        <f>IF(B247="","",SUMIFS(Timesheet!$M$6:$M$2005,Timesheet!$P$6:$P$2005,B247))</f>
        <v/>
      </c>
      <c r="H247" s="14">
        <f>IF(B247="","",SUMIFS(Timesheet!$O$6:$O$2005,Timesheet!$P$6:$P$2005,B247))</f>
        <v/>
      </c>
      <c r="I247" s="14">
        <f>IF(B247="","",ROUND(H247*N(Settings!$C$12),2))</f>
        <v/>
      </c>
      <c r="J247" s="26">
        <f>IF(B247="","",H247+I247)</f>
        <v/>
      </c>
      <c r="K247" s="27">
        <f>IF(OR(B247="",D247=""),"",D247+IFERROR(IF(INDEX(Clients!$H$6:$H$45,MATCH(C247,Clients!$B$6:$B$45,0))="",N(Settings!$C$13),INDEX(Clients!$H$6:$H$45,MATCH(C247,Clients!$B$6:$B$45,0))),N(Settings!$C$13)))</f>
        <v/>
      </c>
      <c r="L247" s="16" t="n"/>
      <c r="M247" s="15">
        <f>IF(B247="","",IF(L247&lt;&gt;"","Paid",IF(D247="","Draft",IF(K247&lt;TODAY(),"Overdue "&amp;(TODAY()-K247)&amp;IF(TODAY()-K247=1," day"," days"),"Waiting"))))</f>
        <v/>
      </c>
      <c r="N247" s="1" t="n"/>
      <c r="O247">
        <f>IF(B247="","",ROW()-5)</f>
        <v/>
      </c>
      <c r="P247">
        <f>IF(OR(B247="",L247&lt;&gt;"",D247=""),"",K247+ROW()/10000000)</f>
        <v/>
      </c>
    </row>
    <row r="248">
      <c r="A248" s="1" t="n"/>
      <c r="B248" s="17" t="n"/>
      <c r="C248" s="18" t="n"/>
      <c r="D248" s="16" t="n"/>
      <c r="E248" s="16" t="n"/>
      <c r="F248" s="16" t="n"/>
      <c r="G248" s="25">
        <f>IF(B248="","",SUMIFS(Timesheet!$M$6:$M$2005,Timesheet!$P$6:$P$2005,B248))</f>
        <v/>
      </c>
      <c r="H248" s="14">
        <f>IF(B248="","",SUMIFS(Timesheet!$O$6:$O$2005,Timesheet!$P$6:$P$2005,B248))</f>
        <v/>
      </c>
      <c r="I248" s="14">
        <f>IF(B248="","",ROUND(H248*N(Settings!$C$12),2))</f>
        <v/>
      </c>
      <c r="J248" s="26">
        <f>IF(B248="","",H248+I248)</f>
        <v/>
      </c>
      <c r="K248" s="27">
        <f>IF(OR(B248="",D248=""),"",D248+IFERROR(IF(INDEX(Clients!$H$6:$H$45,MATCH(C248,Clients!$B$6:$B$45,0))="",N(Settings!$C$13),INDEX(Clients!$H$6:$H$45,MATCH(C248,Clients!$B$6:$B$45,0))),N(Settings!$C$13)))</f>
        <v/>
      </c>
      <c r="L248" s="16" t="n"/>
      <c r="M248" s="15">
        <f>IF(B248="","",IF(L248&lt;&gt;"","Paid",IF(D248="","Draft",IF(K248&lt;TODAY(),"Overdue "&amp;(TODAY()-K248)&amp;IF(TODAY()-K248=1," day"," days"),"Waiting"))))</f>
        <v/>
      </c>
      <c r="N248" s="1" t="n"/>
      <c r="O248">
        <f>IF(B248="","",ROW()-5)</f>
        <v/>
      </c>
      <c r="P248">
        <f>IF(OR(B248="",L248&lt;&gt;"",D248=""),"",K248+ROW()/10000000)</f>
        <v/>
      </c>
    </row>
    <row r="249">
      <c r="A249" s="1" t="n"/>
      <c r="B249" s="17" t="n"/>
      <c r="C249" s="18" t="n"/>
      <c r="D249" s="16" t="n"/>
      <c r="E249" s="16" t="n"/>
      <c r="F249" s="16" t="n"/>
      <c r="G249" s="25">
        <f>IF(B249="","",SUMIFS(Timesheet!$M$6:$M$2005,Timesheet!$P$6:$P$2005,B249))</f>
        <v/>
      </c>
      <c r="H249" s="14">
        <f>IF(B249="","",SUMIFS(Timesheet!$O$6:$O$2005,Timesheet!$P$6:$P$2005,B249))</f>
        <v/>
      </c>
      <c r="I249" s="14">
        <f>IF(B249="","",ROUND(H249*N(Settings!$C$12),2))</f>
        <v/>
      </c>
      <c r="J249" s="26">
        <f>IF(B249="","",H249+I249)</f>
        <v/>
      </c>
      <c r="K249" s="27">
        <f>IF(OR(B249="",D249=""),"",D249+IFERROR(IF(INDEX(Clients!$H$6:$H$45,MATCH(C249,Clients!$B$6:$B$45,0))="",N(Settings!$C$13),INDEX(Clients!$H$6:$H$45,MATCH(C249,Clients!$B$6:$B$45,0))),N(Settings!$C$13)))</f>
        <v/>
      </c>
      <c r="L249" s="16" t="n"/>
      <c r="M249" s="15">
        <f>IF(B249="","",IF(L249&lt;&gt;"","Paid",IF(D249="","Draft",IF(K249&lt;TODAY(),"Overdue "&amp;(TODAY()-K249)&amp;IF(TODAY()-K249=1," day"," days"),"Waiting"))))</f>
        <v/>
      </c>
      <c r="N249" s="1" t="n"/>
      <c r="O249">
        <f>IF(B249="","",ROW()-5)</f>
        <v/>
      </c>
      <c r="P249">
        <f>IF(OR(B249="",L249&lt;&gt;"",D249=""),"",K249+ROW()/10000000)</f>
        <v/>
      </c>
    </row>
    <row r="250">
      <c r="A250" s="1" t="n"/>
      <c r="B250" s="17" t="n"/>
      <c r="C250" s="18" t="n"/>
      <c r="D250" s="16" t="n"/>
      <c r="E250" s="16" t="n"/>
      <c r="F250" s="16" t="n"/>
      <c r="G250" s="25">
        <f>IF(B250="","",SUMIFS(Timesheet!$M$6:$M$2005,Timesheet!$P$6:$P$2005,B250))</f>
        <v/>
      </c>
      <c r="H250" s="14">
        <f>IF(B250="","",SUMIFS(Timesheet!$O$6:$O$2005,Timesheet!$P$6:$P$2005,B250))</f>
        <v/>
      </c>
      <c r="I250" s="14">
        <f>IF(B250="","",ROUND(H250*N(Settings!$C$12),2))</f>
        <v/>
      </c>
      <c r="J250" s="26">
        <f>IF(B250="","",H250+I250)</f>
        <v/>
      </c>
      <c r="K250" s="27">
        <f>IF(OR(B250="",D250=""),"",D250+IFERROR(IF(INDEX(Clients!$H$6:$H$45,MATCH(C250,Clients!$B$6:$B$45,0))="",N(Settings!$C$13),INDEX(Clients!$H$6:$H$45,MATCH(C250,Clients!$B$6:$B$45,0))),N(Settings!$C$13)))</f>
        <v/>
      </c>
      <c r="L250" s="16" t="n"/>
      <c r="M250" s="15">
        <f>IF(B250="","",IF(L250&lt;&gt;"","Paid",IF(D250="","Draft",IF(K250&lt;TODAY(),"Overdue "&amp;(TODAY()-K250)&amp;IF(TODAY()-K250=1," day"," days"),"Waiting"))))</f>
        <v/>
      </c>
      <c r="N250" s="1" t="n"/>
      <c r="O250">
        <f>IF(B250="","",ROW()-5)</f>
        <v/>
      </c>
      <c r="P250">
        <f>IF(OR(B250="",L250&lt;&gt;"",D250=""),"",K250+ROW()/10000000)</f>
        <v/>
      </c>
    </row>
    <row r="251">
      <c r="A251" s="1" t="n"/>
      <c r="B251" s="17" t="n"/>
      <c r="C251" s="18" t="n"/>
      <c r="D251" s="16" t="n"/>
      <c r="E251" s="16" t="n"/>
      <c r="F251" s="16" t="n"/>
      <c r="G251" s="25">
        <f>IF(B251="","",SUMIFS(Timesheet!$M$6:$M$2005,Timesheet!$P$6:$P$2005,B251))</f>
        <v/>
      </c>
      <c r="H251" s="14">
        <f>IF(B251="","",SUMIFS(Timesheet!$O$6:$O$2005,Timesheet!$P$6:$P$2005,B251))</f>
        <v/>
      </c>
      <c r="I251" s="14">
        <f>IF(B251="","",ROUND(H251*N(Settings!$C$12),2))</f>
        <v/>
      </c>
      <c r="J251" s="26">
        <f>IF(B251="","",H251+I251)</f>
        <v/>
      </c>
      <c r="K251" s="27">
        <f>IF(OR(B251="",D251=""),"",D251+IFERROR(IF(INDEX(Clients!$H$6:$H$45,MATCH(C251,Clients!$B$6:$B$45,0))="",N(Settings!$C$13),INDEX(Clients!$H$6:$H$45,MATCH(C251,Clients!$B$6:$B$45,0))),N(Settings!$C$13)))</f>
        <v/>
      </c>
      <c r="L251" s="16" t="n"/>
      <c r="M251" s="15">
        <f>IF(B251="","",IF(L251&lt;&gt;"","Paid",IF(D251="","Draft",IF(K251&lt;TODAY(),"Overdue "&amp;(TODAY()-K251)&amp;IF(TODAY()-K251=1," day"," days"),"Waiting"))))</f>
        <v/>
      </c>
      <c r="N251" s="1" t="n"/>
      <c r="O251">
        <f>IF(B251="","",ROW()-5)</f>
        <v/>
      </c>
      <c r="P251">
        <f>IF(OR(B251="",L251&lt;&gt;"",D251=""),"",K251+ROW()/10000000)</f>
        <v/>
      </c>
    </row>
    <row r="252">
      <c r="A252" s="1" t="n"/>
      <c r="B252" s="17" t="n"/>
      <c r="C252" s="18" t="n"/>
      <c r="D252" s="16" t="n"/>
      <c r="E252" s="16" t="n"/>
      <c r="F252" s="16" t="n"/>
      <c r="G252" s="25">
        <f>IF(B252="","",SUMIFS(Timesheet!$M$6:$M$2005,Timesheet!$P$6:$P$2005,B252))</f>
        <v/>
      </c>
      <c r="H252" s="14">
        <f>IF(B252="","",SUMIFS(Timesheet!$O$6:$O$2005,Timesheet!$P$6:$P$2005,B252))</f>
        <v/>
      </c>
      <c r="I252" s="14">
        <f>IF(B252="","",ROUND(H252*N(Settings!$C$12),2))</f>
        <v/>
      </c>
      <c r="J252" s="26">
        <f>IF(B252="","",H252+I252)</f>
        <v/>
      </c>
      <c r="K252" s="27">
        <f>IF(OR(B252="",D252=""),"",D252+IFERROR(IF(INDEX(Clients!$H$6:$H$45,MATCH(C252,Clients!$B$6:$B$45,0))="",N(Settings!$C$13),INDEX(Clients!$H$6:$H$45,MATCH(C252,Clients!$B$6:$B$45,0))),N(Settings!$C$13)))</f>
        <v/>
      </c>
      <c r="L252" s="16" t="n"/>
      <c r="M252" s="15">
        <f>IF(B252="","",IF(L252&lt;&gt;"","Paid",IF(D252="","Draft",IF(K252&lt;TODAY(),"Overdue "&amp;(TODAY()-K252)&amp;IF(TODAY()-K252=1," day"," days"),"Waiting"))))</f>
        <v/>
      </c>
      <c r="N252" s="1" t="n"/>
      <c r="O252">
        <f>IF(B252="","",ROW()-5)</f>
        <v/>
      </c>
      <c r="P252">
        <f>IF(OR(B252="",L252&lt;&gt;"",D252=""),"",K252+ROW()/10000000)</f>
        <v/>
      </c>
    </row>
    <row r="253">
      <c r="A253" s="1" t="n"/>
      <c r="B253" s="17" t="n"/>
      <c r="C253" s="18" t="n"/>
      <c r="D253" s="16" t="n"/>
      <c r="E253" s="16" t="n"/>
      <c r="F253" s="16" t="n"/>
      <c r="G253" s="25">
        <f>IF(B253="","",SUMIFS(Timesheet!$M$6:$M$2005,Timesheet!$P$6:$P$2005,B253))</f>
        <v/>
      </c>
      <c r="H253" s="14">
        <f>IF(B253="","",SUMIFS(Timesheet!$O$6:$O$2005,Timesheet!$P$6:$P$2005,B253))</f>
        <v/>
      </c>
      <c r="I253" s="14">
        <f>IF(B253="","",ROUND(H253*N(Settings!$C$12),2))</f>
        <v/>
      </c>
      <c r="J253" s="26">
        <f>IF(B253="","",H253+I253)</f>
        <v/>
      </c>
      <c r="K253" s="27">
        <f>IF(OR(B253="",D253=""),"",D253+IFERROR(IF(INDEX(Clients!$H$6:$H$45,MATCH(C253,Clients!$B$6:$B$45,0))="",N(Settings!$C$13),INDEX(Clients!$H$6:$H$45,MATCH(C253,Clients!$B$6:$B$45,0))),N(Settings!$C$13)))</f>
        <v/>
      </c>
      <c r="L253" s="16" t="n"/>
      <c r="M253" s="15">
        <f>IF(B253="","",IF(L253&lt;&gt;"","Paid",IF(D253="","Draft",IF(K253&lt;TODAY(),"Overdue "&amp;(TODAY()-K253)&amp;IF(TODAY()-K253=1," day"," days"),"Waiting"))))</f>
        <v/>
      </c>
      <c r="N253" s="1" t="n"/>
      <c r="O253">
        <f>IF(B253="","",ROW()-5)</f>
        <v/>
      </c>
      <c r="P253">
        <f>IF(OR(B253="",L253&lt;&gt;"",D253=""),"",K253+ROW()/10000000)</f>
        <v/>
      </c>
    </row>
    <row r="254">
      <c r="A254" s="1" t="n"/>
      <c r="B254" s="17" t="n"/>
      <c r="C254" s="18" t="n"/>
      <c r="D254" s="16" t="n"/>
      <c r="E254" s="16" t="n"/>
      <c r="F254" s="16" t="n"/>
      <c r="G254" s="25">
        <f>IF(B254="","",SUMIFS(Timesheet!$M$6:$M$2005,Timesheet!$P$6:$P$2005,B254))</f>
        <v/>
      </c>
      <c r="H254" s="14">
        <f>IF(B254="","",SUMIFS(Timesheet!$O$6:$O$2005,Timesheet!$P$6:$P$2005,B254))</f>
        <v/>
      </c>
      <c r="I254" s="14">
        <f>IF(B254="","",ROUND(H254*N(Settings!$C$12),2))</f>
        <v/>
      </c>
      <c r="J254" s="26">
        <f>IF(B254="","",H254+I254)</f>
        <v/>
      </c>
      <c r="K254" s="27">
        <f>IF(OR(B254="",D254=""),"",D254+IFERROR(IF(INDEX(Clients!$H$6:$H$45,MATCH(C254,Clients!$B$6:$B$45,0))="",N(Settings!$C$13),INDEX(Clients!$H$6:$H$45,MATCH(C254,Clients!$B$6:$B$45,0))),N(Settings!$C$13)))</f>
        <v/>
      </c>
      <c r="L254" s="16" t="n"/>
      <c r="M254" s="15">
        <f>IF(B254="","",IF(L254&lt;&gt;"","Paid",IF(D254="","Draft",IF(K254&lt;TODAY(),"Overdue "&amp;(TODAY()-K254)&amp;IF(TODAY()-K254=1," day"," days"),"Waiting"))))</f>
        <v/>
      </c>
      <c r="N254" s="1" t="n"/>
      <c r="O254">
        <f>IF(B254="","",ROW()-5)</f>
        <v/>
      </c>
      <c r="P254">
        <f>IF(OR(B254="",L254&lt;&gt;"",D254=""),"",K254+ROW()/10000000)</f>
        <v/>
      </c>
    </row>
    <row r="255">
      <c r="A255" s="1" t="n"/>
      <c r="B255" s="17" t="n"/>
      <c r="C255" s="18" t="n"/>
      <c r="D255" s="16" t="n"/>
      <c r="E255" s="16" t="n"/>
      <c r="F255" s="16" t="n"/>
      <c r="G255" s="25">
        <f>IF(B255="","",SUMIFS(Timesheet!$M$6:$M$2005,Timesheet!$P$6:$P$2005,B255))</f>
        <v/>
      </c>
      <c r="H255" s="14">
        <f>IF(B255="","",SUMIFS(Timesheet!$O$6:$O$2005,Timesheet!$P$6:$P$2005,B255))</f>
        <v/>
      </c>
      <c r="I255" s="14">
        <f>IF(B255="","",ROUND(H255*N(Settings!$C$12),2))</f>
        <v/>
      </c>
      <c r="J255" s="26">
        <f>IF(B255="","",H255+I255)</f>
        <v/>
      </c>
      <c r="K255" s="27">
        <f>IF(OR(B255="",D255=""),"",D255+IFERROR(IF(INDEX(Clients!$H$6:$H$45,MATCH(C255,Clients!$B$6:$B$45,0))="",N(Settings!$C$13),INDEX(Clients!$H$6:$H$45,MATCH(C255,Clients!$B$6:$B$45,0))),N(Settings!$C$13)))</f>
        <v/>
      </c>
      <c r="L255" s="16" t="n"/>
      <c r="M255" s="15">
        <f>IF(B255="","",IF(L255&lt;&gt;"","Paid",IF(D255="","Draft",IF(K255&lt;TODAY(),"Overdue "&amp;(TODAY()-K255)&amp;IF(TODAY()-K255=1," day"," days"),"Waiting"))))</f>
        <v/>
      </c>
      <c r="N255" s="1" t="n"/>
      <c r="O255">
        <f>IF(B255="","",ROW()-5)</f>
        <v/>
      </c>
      <c r="P255">
        <f>IF(OR(B255="",L255&lt;&gt;"",D255=""),"",K255+ROW()/10000000)</f>
        <v/>
      </c>
    </row>
    <row r="256">
      <c r="A256" s="1" t="n"/>
      <c r="B256" s="17" t="n"/>
      <c r="C256" s="18" t="n"/>
      <c r="D256" s="16" t="n"/>
      <c r="E256" s="16" t="n"/>
      <c r="F256" s="16" t="n"/>
      <c r="G256" s="25">
        <f>IF(B256="","",SUMIFS(Timesheet!$M$6:$M$2005,Timesheet!$P$6:$P$2005,B256))</f>
        <v/>
      </c>
      <c r="H256" s="14">
        <f>IF(B256="","",SUMIFS(Timesheet!$O$6:$O$2005,Timesheet!$P$6:$P$2005,B256))</f>
        <v/>
      </c>
      <c r="I256" s="14">
        <f>IF(B256="","",ROUND(H256*N(Settings!$C$12),2))</f>
        <v/>
      </c>
      <c r="J256" s="26">
        <f>IF(B256="","",H256+I256)</f>
        <v/>
      </c>
      <c r="K256" s="27">
        <f>IF(OR(B256="",D256=""),"",D256+IFERROR(IF(INDEX(Clients!$H$6:$H$45,MATCH(C256,Clients!$B$6:$B$45,0))="",N(Settings!$C$13),INDEX(Clients!$H$6:$H$45,MATCH(C256,Clients!$B$6:$B$45,0))),N(Settings!$C$13)))</f>
        <v/>
      </c>
      <c r="L256" s="16" t="n"/>
      <c r="M256" s="15">
        <f>IF(B256="","",IF(L256&lt;&gt;"","Paid",IF(D256="","Draft",IF(K256&lt;TODAY(),"Overdue "&amp;(TODAY()-K256)&amp;IF(TODAY()-K256=1," day"," days"),"Waiting"))))</f>
        <v/>
      </c>
      <c r="N256" s="1" t="n"/>
      <c r="O256">
        <f>IF(B256="","",ROW()-5)</f>
        <v/>
      </c>
      <c r="P256">
        <f>IF(OR(B256="",L256&lt;&gt;"",D256=""),"",K256+ROW()/10000000)</f>
        <v/>
      </c>
    </row>
    <row r="257">
      <c r="A257" s="1" t="n"/>
      <c r="B257" s="17" t="n"/>
      <c r="C257" s="18" t="n"/>
      <c r="D257" s="16" t="n"/>
      <c r="E257" s="16" t="n"/>
      <c r="F257" s="16" t="n"/>
      <c r="G257" s="25">
        <f>IF(B257="","",SUMIFS(Timesheet!$M$6:$M$2005,Timesheet!$P$6:$P$2005,B257))</f>
        <v/>
      </c>
      <c r="H257" s="14">
        <f>IF(B257="","",SUMIFS(Timesheet!$O$6:$O$2005,Timesheet!$P$6:$P$2005,B257))</f>
        <v/>
      </c>
      <c r="I257" s="14">
        <f>IF(B257="","",ROUND(H257*N(Settings!$C$12),2))</f>
        <v/>
      </c>
      <c r="J257" s="26">
        <f>IF(B257="","",H257+I257)</f>
        <v/>
      </c>
      <c r="K257" s="27">
        <f>IF(OR(B257="",D257=""),"",D257+IFERROR(IF(INDEX(Clients!$H$6:$H$45,MATCH(C257,Clients!$B$6:$B$45,0))="",N(Settings!$C$13),INDEX(Clients!$H$6:$H$45,MATCH(C257,Clients!$B$6:$B$45,0))),N(Settings!$C$13)))</f>
        <v/>
      </c>
      <c r="L257" s="16" t="n"/>
      <c r="M257" s="15">
        <f>IF(B257="","",IF(L257&lt;&gt;"","Paid",IF(D257="","Draft",IF(K257&lt;TODAY(),"Overdue "&amp;(TODAY()-K257)&amp;IF(TODAY()-K257=1," day"," days"),"Waiting"))))</f>
        <v/>
      </c>
      <c r="N257" s="1" t="n"/>
      <c r="O257">
        <f>IF(B257="","",ROW()-5)</f>
        <v/>
      </c>
      <c r="P257">
        <f>IF(OR(B257="",L257&lt;&gt;"",D257=""),"",K257+ROW()/10000000)</f>
        <v/>
      </c>
    </row>
    <row r="258">
      <c r="A258" s="1" t="n"/>
      <c r="B258" s="17" t="n"/>
      <c r="C258" s="18" t="n"/>
      <c r="D258" s="16" t="n"/>
      <c r="E258" s="16" t="n"/>
      <c r="F258" s="16" t="n"/>
      <c r="G258" s="25">
        <f>IF(B258="","",SUMIFS(Timesheet!$M$6:$M$2005,Timesheet!$P$6:$P$2005,B258))</f>
        <v/>
      </c>
      <c r="H258" s="14">
        <f>IF(B258="","",SUMIFS(Timesheet!$O$6:$O$2005,Timesheet!$P$6:$P$2005,B258))</f>
        <v/>
      </c>
      <c r="I258" s="14">
        <f>IF(B258="","",ROUND(H258*N(Settings!$C$12),2))</f>
        <v/>
      </c>
      <c r="J258" s="26">
        <f>IF(B258="","",H258+I258)</f>
        <v/>
      </c>
      <c r="K258" s="27">
        <f>IF(OR(B258="",D258=""),"",D258+IFERROR(IF(INDEX(Clients!$H$6:$H$45,MATCH(C258,Clients!$B$6:$B$45,0))="",N(Settings!$C$13),INDEX(Clients!$H$6:$H$45,MATCH(C258,Clients!$B$6:$B$45,0))),N(Settings!$C$13)))</f>
        <v/>
      </c>
      <c r="L258" s="16" t="n"/>
      <c r="M258" s="15">
        <f>IF(B258="","",IF(L258&lt;&gt;"","Paid",IF(D258="","Draft",IF(K258&lt;TODAY(),"Overdue "&amp;(TODAY()-K258)&amp;IF(TODAY()-K258=1," day"," days"),"Waiting"))))</f>
        <v/>
      </c>
      <c r="N258" s="1" t="n"/>
      <c r="O258">
        <f>IF(B258="","",ROW()-5)</f>
        <v/>
      </c>
      <c r="P258">
        <f>IF(OR(B258="",L258&lt;&gt;"",D258=""),"",K258+ROW()/10000000)</f>
        <v/>
      </c>
    </row>
    <row r="259">
      <c r="A259" s="1" t="n"/>
      <c r="B259" s="17" t="n"/>
      <c r="C259" s="18" t="n"/>
      <c r="D259" s="16" t="n"/>
      <c r="E259" s="16" t="n"/>
      <c r="F259" s="16" t="n"/>
      <c r="G259" s="25">
        <f>IF(B259="","",SUMIFS(Timesheet!$M$6:$M$2005,Timesheet!$P$6:$P$2005,B259))</f>
        <v/>
      </c>
      <c r="H259" s="14">
        <f>IF(B259="","",SUMIFS(Timesheet!$O$6:$O$2005,Timesheet!$P$6:$P$2005,B259))</f>
        <v/>
      </c>
      <c r="I259" s="14">
        <f>IF(B259="","",ROUND(H259*N(Settings!$C$12),2))</f>
        <v/>
      </c>
      <c r="J259" s="26">
        <f>IF(B259="","",H259+I259)</f>
        <v/>
      </c>
      <c r="K259" s="27">
        <f>IF(OR(B259="",D259=""),"",D259+IFERROR(IF(INDEX(Clients!$H$6:$H$45,MATCH(C259,Clients!$B$6:$B$45,0))="",N(Settings!$C$13),INDEX(Clients!$H$6:$H$45,MATCH(C259,Clients!$B$6:$B$45,0))),N(Settings!$C$13)))</f>
        <v/>
      </c>
      <c r="L259" s="16" t="n"/>
      <c r="M259" s="15">
        <f>IF(B259="","",IF(L259&lt;&gt;"","Paid",IF(D259="","Draft",IF(K259&lt;TODAY(),"Overdue "&amp;(TODAY()-K259)&amp;IF(TODAY()-K259=1," day"," days"),"Waiting"))))</f>
        <v/>
      </c>
      <c r="N259" s="1" t="n"/>
      <c r="O259">
        <f>IF(B259="","",ROW()-5)</f>
        <v/>
      </c>
      <c r="P259">
        <f>IF(OR(B259="",L259&lt;&gt;"",D259=""),"",K259+ROW()/10000000)</f>
        <v/>
      </c>
    </row>
    <row r="260">
      <c r="A260" s="1" t="n"/>
      <c r="B260" s="17" t="n"/>
      <c r="C260" s="18" t="n"/>
      <c r="D260" s="16" t="n"/>
      <c r="E260" s="16" t="n"/>
      <c r="F260" s="16" t="n"/>
      <c r="G260" s="25">
        <f>IF(B260="","",SUMIFS(Timesheet!$M$6:$M$2005,Timesheet!$P$6:$P$2005,B260))</f>
        <v/>
      </c>
      <c r="H260" s="14">
        <f>IF(B260="","",SUMIFS(Timesheet!$O$6:$O$2005,Timesheet!$P$6:$P$2005,B260))</f>
        <v/>
      </c>
      <c r="I260" s="14">
        <f>IF(B260="","",ROUND(H260*N(Settings!$C$12),2))</f>
        <v/>
      </c>
      <c r="J260" s="26">
        <f>IF(B260="","",H260+I260)</f>
        <v/>
      </c>
      <c r="K260" s="27">
        <f>IF(OR(B260="",D260=""),"",D260+IFERROR(IF(INDEX(Clients!$H$6:$H$45,MATCH(C260,Clients!$B$6:$B$45,0))="",N(Settings!$C$13),INDEX(Clients!$H$6:$H$45,MATCH(C260,Clients!$B$6:$B$45,0))),N(Settings!$C$13)))</f>
        <v/>
      </c>
      <c r="L260" s="16" t="n"/>
      <c r="M260" s="15">
        <f>IF(B260="","",IF(L260&lt;&gt;"","Paid",IF(D260="","Draft",IF(K260&lt;TODAY(),"Overdue "&amp;(TODAY()-K260)&amp;IF(TODAY()-K260=1," day"," days"),"Waiting"))))</f>
        <v/>
      </c>
      <c r="N260" s="1" t="n"/>
      <c r="O260">
        <f>IF(B260="","",ROW()-5)</f>
        <v/>
      </c>
      <c r="P260">
        <f>IF(OR(B260="",L260&lt;&gt;"",D260=""),"",K260+ROW()/10000000)</f>
        <v/>
      </c>
    </row>
    <row r="261">
      <c r="A261" s="1" t="n"/>
      <c r="B261" s="17" t="n"/>
      <c r="C261" s="18" t="n"/>
      <c r="D261" s="16" t="n"/>
      <c r="E261" s="16" t="n"/>
      <c r="F261" s="16" t="n"/>
      <c r="G261" s="25">
        <f>IF(B261="","",SUMIFS(Timesheet!$M$6:$M$2005,Timesheet!$P$6:$P$2005,B261))</f>
        <v/>
      </c>
      <c r="H261" s="14">
        <f>IF(B261="","",SUMIFS(Timesheet!$O$6:$O$2005,Timesheet!$P$6:$P$2005,B261))</f>
        <v/>
      </c>
      <c r="I261" s="14">
        <f>IF(B261="","",ROUND(H261*N(Settings!$C$12),2))</f>
        <v/>
      </c>
      <c r="J261" s="26">
        <f>IF(B261="","",H261+I261)</f>
        <v/>
      </c>
      <c r="K261" s="27">
        <f>IF(OR(B261="",D261=""),"",D261+IFERROR(IF(INDEX(Clients!$H$6:$H$45,MATCH(C261,Clients!$B$6:$B$45,0))="",N(Settings!$C$13),INDEX(Clients!$H$6:$H$45,MATCH(C261,Clients!$B$6:$B$45,0))),N(Settings!$C$13)))</f>
        <v/>
      </c>
      <c r="L261" s="16" t="n"/>
      <c r="M261" s="15">
        <f>IF(B261="","",IF(L261&lt;&gt;"","Paid",IF(D261="","Draft",IF(K261&lt;TODAY(),"Overdue "&amp;(TODAY()-K261)&amp;IF(TODAY()-K261=1," day"," days"),"Waiting"))))</f>
        <v/>
      </c>
      <c r="N261" s="1" t="n"/>
      <c r="O261">
        <f>IF(B261="","",ROW()-5)</f>
        <v/>
      </c>
      <c r="P261">
        <f>IF(OR(B261="",L261&lt;&gt;"",D261=""),"",K261+ROW()/10000000)</f>
        <v/>
      </c>
    </row>
    <row r="262">
      <c r="A262" s="1" t="n"/>
      <c r="B262" s="17" t="n"/>
      <c r="C262" s="18" t="n"/>
      <c r="D262" s="16" t="n"/>
      <c r="E262" s="16" t="n"/>
      <c r="F262" s="16" t="n"/>
      <c r="G262" s="25">
        <f>IF(B262="","",SUMIFS(Timesheet!$M$6:$M$2005,Timesheet!$P$6:$P$2005,B262))</f>
        <v/>
      </c>
      <c r="H262" s="14">
        <f>IF(B262="","",SUMIFS(Timesheet!$O$6:$O$2005,Timesheet!$P$6:$P$2005,B262))</f>
        <v/>
      </c>
      <c r="I262" s="14">
        <f>IF(B262="","",ROUND(H262*N(Settings!$C$12),2))</f>
        <v/>
      </c>
      <c r="J262" s="26">
        <f>IF(B262="","",H262+I262)</f>
        <v/>
      </c>
      <c r="K262" s="27">
        <f>IF(OR(B262="",D262=""),"",D262+IFERROR(IF(INDEX(Clients!$H$6:$H$45,MATCH(C262,Clients!$B$6:$B$45,0))="",N(Settings!$C$13),INDEX(Clients!$H$6:$H$45,MATCH(C262,Clients!$B$6:$B$45,0))),N(Settings!$C$13)))</f>
        <v/>
      </c>
      <c r="L262" s="16" t="n"/>
      <c r="M262" s="15">
        <f>IF(B262="","",IF(L262&lt;&gt;"","Paid",IF(D262="","Draft",IF(K262&lt;TODAY(),"Overdue "&amp;(TODAY()-K262)&amp;IF(TODAY()-K262=1," day"," days"),"Waiting"))))</f>
        <v/>
      </c>
      <c r="N262" s="1" t="n"/>
      <c r="O262">
        <f>IF(B262="","",ROW()-5)</f>
        <v/>
      </c>
      <c r="P262">
        <f>IF(OR(B262="",L262&lt;&gt;"",D262=""),"",K262+ROW()/10000000)</f>
        <v/>
      </c>
    </row>
    <row r="263">
      <c r="A263" s="1" t="n"/>
      <c r="B263" s="17" t="n"/>
      <c r="C263" s="18" t="n"/>
      <c r="D263" s="16" t="n"/>
      <c r="E263" s="16" t="n"/>
      <c r="F263" s="16" t="n"/>
      <c r="G263" s="25">
        <f>IF(B263="","",SUMIFS(Timesheet!$M$6:$M$2005,Timesheet!$P$6:$P$2005,B263))</f>
        <v/>
      </c>
      <c r="H263" s="14">
        <f>IF(B263="","",SUMIFS(Timesheet!$O$6:$O$2005,Timesheet!$P$6:$P$2005,B263))</f>
        <v/>
      </c>
      <c r="I263" s="14">
        <f>IF(B263="","",ROUND(H263*N(Settings!$C$12),2))</f>
        <v/>
      </c>
      <c r="J263" s="26">
        <f>IF(B263="","",H263+I263)</f>
        <v/>
      </c>
      <c r="K263" s="27">
        <f>IF(OR(B263="",D263=""),"",D263+IFERROR(IF(INDEX(Clients!$H$6:$H$45,MATCH(C263,Clients!$B$6:$B$45,0))="",N(Settings!$C$13),INDEX(Clients!$H$6:$H$45,MATCH(C263,Clients!$B$6:$B$45,0))),N(Settings!$C$13)))</f>
        <v/>
      </c>
      <c r="L263" s="16" t="n"/>
      <c r="M263" s="15">
        <f>IF(B263="","",IF(L263&lt;&gt;"","Paid",IF(D263="","Draft",IF(K263&lt;TODAY(),"Overdue "&amp;(TODAY()-K263)&amp;IF(TODAY()-K263=1," day"," days"),"Waiting"))))</f>
        <v/>
      </c>
      <c r="N263" s="1" t="n"/>
      <c r="O263">
        <f>IF(B263="","",ROW()-5)</f>
        <v/>
      </c>
      <c r="P263">
        <f>IF(OR(B263="",L263&lt;&gt;"",D263=""),"",K263+ROW()/10000000)</f>
        <v/>
      </c>
    </row>
    <row r="264">
      <c r="A264" s="1" t="n"/>
      <c r="B264" s="17" t="n"/>
      <c r="C264" s="18" t="n"/>
      <c r="D264" s="16" t="n"/>
      <c r="E264" s="16" t="n"/>
      <c r="F264" s="16" t="n"/>
      <c r="G264" s="25">
        <f>IF(B264="","",SUMIFS(Timesheet!$M$6:$M$2005,Timesheet!$P$6:$P$2005,B264))</f>
        <v/>
      </c>
      <c r="H264" s="14">
        <f>IF(B264="","",SUMIFS(Timesheet!$O$6:$O$2005,Timesheet!$P$6:$P$2005,B264))</f>
        <v/>
      </c>
      <c r="I264" s="14">
        <f>IF(B264="","",ROUND(H264*N(Settings!$C$12),2))</f>
        <v/>
      </c>
      <c r="J264" s="26">
        <f>IF(B264="","",H264+I264)</f>
        <v/>
      </c>
      <c r="K264" s="27">
        <f>IF(OR(B264="",D264=""),"",D264+IFERROR(IF(INDEX(Clients!$H$6:$H$45,MATCH(C264,Clients!$B$6:$B$45,0))="",N(Settings!$C$13),INDEX(Clients!$H$6:$H$45,MATCH(C264,Clients!$B$6:$B$45,0))),N(Settings!$C$13)))</f>
        <v/>
      </c>
      <c r="L264" s="16" t="n"/>
      <c r="M264" s="15">
        <f>IF(B264="","",IF(L264&lt;&gt;"","Paid",IF(D264="","Draft",IF(K264&lt;TODAY(),"Overdue "&amp;(TODAY()-K264)&amp;IF(TODAY()-K264=1," day"," days"),"Waiting"))))</f>
        <v/>
      </c>
      <c r="N264" s="1" t="n"/>
      <c r="O264">
        <f>IF(B264="","",ROW()-5)</f>
        <v/>
      </c>
      <c r="P264">
        <f>IF(OR(B264="",L264&lt;&gt;"",D264=""),"",K264+ROW()/10000000)</f>
        <v/>
      </c>
    </row>
    <row r="265">
      <c r="A265" s="1" t="n"/>
      <c r="B265" s="17" t="n"/>
      <c r="C265" s="18" t="n"/>
      <c r="D265" s="16" t="n"/>
      <c r="E265" s="16" t="n"/>
      <c r="F265" s="16" t="n"/>
      <c r="G265" s="25">
        <f>IF(B265="","",SUMIFS(Timesheet!$M$6:$M$2005,Timesheet!$P$6:$P$2005,B265))</f>
        <v/>
      </c>
      <c r="H265" s="14">
        <f>IF(B265="","",SUMIFS(Timesheet!$O$6:$O$2005,Timesheet!$P$6:$P$2005,B265))</f>
        <v/>
      </c>
      <c r="I265" s="14">
        <f>IF(B265="","",ROUND(H265*N(Settings!$C$12),2))</f>
        <v/>
      </c>
      <c r="J265" s="26">
        <f>IF(B265="","",H265+I265)</f>
        <v/>
      </c>
      <c r="K265" s="27">
        <f>IF(OR(B265="",D265=""),"",D265+IFERROR(IF(INDEX(Clients!$H$6:$H$45,MATCH(C265,Clients!$B$6:$B$45,0))="",N(Settings!$C$13),INDEX(Clients!$H$6:$H$45,MATCH(C265,Clients!$B$6:$B$45,0))),N(Settings!$C$13)))</f>
        <v/>
      </c>
      <c r="L265" s="16" t="n"/>
      <c r="M265" s="15">
        <f>IF(B265="","",IF(L265&lt;&gt;"","Paid",IF(D265="","Draft",IF(K265&lt;TODAY(),"Overdue "&amp;(TODAY()-K265)&amp;IF(TODAY()-K265=1," day"," days"),"Waiting"))))</f>
        <v/>
      </c>
      <c r="N265" s="1" t="n"/>
      <c r="O265">
        <f>IF(B265="","",ROW()-5)</f>
        <v/>
      </c>
      <c r="P265">
        <f>IF(OR(B265="",L265&lt;&gt;"",D265=""),"",K265+ROW()/10000000)</f>
        <v/>
      </c>
    </row>
    <row r="266">
      <c r="A266" s="1" t="n"/>
      <c r="B266" s="17" t="n"/>
      <c r="C266" s="18" t="n"/>
      <c r="D266" s="16" t="n"/>
      <c r="E266" s="16" t="n"/>
      <c r="F266" s="16" t="n"/>
      <c r="G266" s="25">
        <f>IF(B266="","",SUMIFS(Timesheet!$M$6:$M$2005,Timesheet!$P$6:$P$2005,B266))</f>
        <v/>
      </c>
      <c r="H266" s="14">
        <f>IF(B266="","",SUMIFS(Timesheet!$O$6:$O$2005,Timesheet!$P$6:$P$2005,B266))</f>
        <v/>
      </c>
      <c r="I266" s="14">
        <f>IF(B266="","",ROUND(H266*N(Settings!$C$12),2))</f>
        <v/>
      </c>
      <c r="J266" s="26">
        <f>IF(B266="","",H266+I266)</f>
        <v/>
      </c>
      <c r="K266" s="27">
        <f>IF(OR(B266="",D266=""),"",D266+IFERROR(IF(INDEX(Clients!$H$6:$H$45,MATCH(C266,Clients!$B$6:$B$45,0))="",N(Settings!$C$13),INDEX(Clients!$H$6:$H$45,MATCH(C266,Clients!$B$6:$B$45,0))),N(Settings!$C$13)))</f>
        <v/>
      </c>
      <c r="L266" s="16" t="n"/>
      <c r="M266" s="15">
        <f>IF(B266="","",IF(L266&lt;&gt;"","Paid",IF(D266="","Draft",IF(K266&lt;TODAY(),"Overdue "&amp;(TODAY()-K266)&amp;IF(TODAY()-K266=1," day"," days"),"Waiting"))))</f>
        <v/>
      </c>
      <c r="N266" s="1" t="n"/>
      <c r="O266">
        <f>IF(B266="","",ROW()-5)</f>
        <v/>
      </c>
      <c r="P266">
        <f>IF(OR(B266="",L266&lt;&gt;"",D266=""),"",K266+ROW()/10000000)</f>
        <v/>
      </c>
    </row>
    <row r="267">
      <c r="A267" s="1" t="n"/>
      <c r="B267" s="17" t="n"/>
      <c r="C267" s="18" t="n"/>
      <c r="D267" s="16" t="n"/>
      <c r="E267" s="16" t="n"/>
      <c r="F267" s="16" t="n"/>
      <c r="G267" s="25">
        <f>IF(B267="","",SUMIFS(Timesheet!$M$6:$M$2005,Timesheet!$P$6:$P$2005,B267))</f>
        <v/>
      </c>
      <c r="H267" s="14">
        <f>IF(B267="","",SUMIFS(Timesheet!$O$6:$O$2005,Timesheet!$P$6:$P$2005,B267))</f>
        <v/>
      </c>
      <c r="I267" s="14">
        <f>IF(B267="","",ROUND(H267*N(Settings!$C$12),2))</f>
        <v/>
      </c>
      <c r="J267" s="26">
        <f>IF(B267="","",H267+I267)</f>
        <v/>
      </c>
      <c r="K267" s="27">
        <f>IF(OR(B267="",D267=""),"",D267+IFERROR(IF(INDEX(Clients!$H$6:$H$45,MATCH(C267,Clients!$B$6:$B$45,0))="",N(Settings!$C$13),INDEX(Clients!$H$6:$H$45,MATCH(C267,Clients!$B$6:$B$45,0))),N(Settings!$C$13)))</f>
        <v/>
      </c>
      <c r="L267" s="16" t="n"/>
      <c r="M267" s="15">
        <f>IF(B267="","",IF(L267&lt;&gt;"","Paid",IF(D267="","Draft",IF(K267&lt;TODAY(),"Overdue "&amp;(TODAY()-K267)&amp;IF(TODAY()-K267=1," day"," days"),"Waiting"))))</f>
        <v/>
      </c>
      <c r="N267" s="1" t="n"/>
      <c r="O267">
        <f>IF(B267="","",ROW()-5)</f>
        <v/>
      </c>
      <c r="P267">
        <f>IF(OR(B267="",L267&lt;&gt;"",D267=""),"",K267+ROW()/10000000)</f>
        <v/>
      </c>
    </row>
    <row r="268">
      <c r="A268" s="1" t="n"/>
      <c r="B268" s="17" t="n"/>
      <c r="C268" s="18" t="n"/>
      <c r="D268" s="16" t="n"/>
      <c r="E268" s="16" t="n"/>
      <c r="F268" s="16" t="n"/>
      <c r="G268" s="25">
        <f>IF(B268="","",SUMIFS(Timesheet!$M$6:$M$2005,Timesheet!$P$6:$P$2005,B268))</f>
        <v/>
      </c>
      <c r="H268" s="14">
        <f>IF(B268="","",SUMIFS(Timesheet!$O$6:$O$2005,Timesheet!$P$6:$P$2005,B268))</f>
        <v/>
      </c>
      <c r="I268" s="14">
        <f>IF(B268="","",ROUND(H268*N(Settings!$C$12),2))</f>
        <v/>
      </c>
      <c r="J268" s="26">
        <f>IF(B268="","",H268+I268)</f>
        <v/>
      </c>
      <c r="K268" s="27">
        <f>IF(OR(B268="",D268=""),"",D268+IFERROR(IF(INDEX(Clients!$H$6:$H$45,MATCH(C268,Clients!$B$6:$B$45,0))="",N(Settings!$C$13),INDEX(Clients!$H$6:$H$45,MATCH(C268,Clients!$B$6:$B$45,0))),N(Settings!$C$13)))</f>
        <v/>
      </c>
      <c r="L268" s="16" t="n"/>
      <c r="M268" s="15">
        <f>IF(B268="","",IF(L268&lt;&gt;"","Paid",IF(D268="","Draft",IF(K268&lt;TODAY(),"Overdue "&amp;(TODAY()-K268)&amp;IF(TODAY()-K268=1," day"," days"),"Waiting"))))</f>
        <v/>
      </c>
      <c r="N268" s="1" t="n"/>
      <c r="O268">
        <f>IF(B268="","",ROW()-5)</f>
        <v/>
      </c>
      <c r="P268">
        <f>IF(OR(B268="",L268&lt;&gt;"",D268=""),"",K268+ROW()/10000000)</f>
        <v/>
      </c>
    </row>
    <row r="269">
      <c r="A269" s="1" t="n"/>
      <c r="B269" s="17" t="n"/>
      <c r="C269" s="18" t="n"/>
      <c r="D269" s="16" t="n"/>
      <c r="E269" s="16" t="n"/>
      <c r="F269" s="16" t="n"/>
      <c r="G269" s="25">
        <f>IF(B269="","",SUMIFS(Timesheet!$M$6:$M$2005,Timesheet!$P$6:$P$2005,B269))</f>
        <v/>
      </c>
      <c r="H269" s="14">
        <f>IF(B269="","",SUMIFS(Timesheet!$O$6:$O$2005,Timesheet!$P$6:$P$2005,B269))</f>
        <v/>
      </c>
      <c r="I269" s="14">
        <f>IF(B269="","",ROUND(H269*N(Settings!$C$12),2))</f>
        <v/>
      </c>
      <c r="J269" s="26">
        <f>IF(B269="","",H269+I269)</f>
        <v/>
      </c>
      <c r="K269" s="27">
        <f>IF(OR(B269="",D269=""),"",D269+IFERROR(IF(INDEX(Clients!$H$6:$H$45,MATCH(C269,Clients!$B$6:$B$45,0))="",N(Settings!$C$13),INDEX(Clients!$H$6:$H$45,MATCH(C269,Clients!$B$6:$B$45,0))),N(Settings!$C$13)))</f>
        <v/>
      </c>
      <c r="L269" s="16" t="n"/>
      <c r="M269" s="15">
        <f>IF(B269="","",IF(L269&lt;&gt;"","Paid",IF(D269="","Draft",IF(K269&lt;TODAY(),"Overdue "&amp;(TODAY()-K269)&amp;IF(TODAY()-K269=1," day"," days"),"Waiting"))))</f>
        <v/>
      </c>
      <c r="N269" s="1" t="n"/>
      <c r="O269">
        <f>IF(B269="","",ROW()-5)</f>
        <v/>
      </c>
      <c r="P269">
        <f>IF(OR(B269="",L269&lt;&gt;"",D269=""),"",K269+ROW()/10000000)</f>
        <v/>
      </c>
    </row>
    <row r="270">
      <c r="A270" s="1" t="n"/>
      <c r="B270" s="17" t="n"/>
      <c r="C270" s="18" t="n"/>
      <c r="D270" s="16" t="n"/>
      <c r="E270" s="16" t="n"/>
      <c r="F270" s="16" t="n"/>
      <c r="G270" s="25">
        <f>IF(B270="","",SUMIFS(Timesheet!$M$6:$M$2005,Timesheet!$P$6:$P$2005,B270))</f>
        <v/>
      </c>
      <c r="H270" s="14">
        <f>IF(B270="","",SUMIFS(Timesheet!$O$6:$O$2005,Timesheet!$P$6:$P$2005,B270))</f>
        <v/>
      </c>
      <c r="I270" s="14">
        <f>IF(B270="","",ROUND(H270*N(Settings!$C$12),2))</f>
        <v/>
      </c>
      <c r="J270" s="26">
        <f>IF(B270="","",H270+I270)</f>
        <v/>
      </c>
      <c r="K270" s="27">
        <f>IF(OR(B270="",D270=""),"",D270+IFERROR(IF(INDEX(Clients!$H$6:$H$45,MATCH(C270,Clients!$B$6:$B$45,0))="",N(Settings!$C$13),INDEX(Clients!$H$6:$H$45,MATCH(C270,Clients!$B$6:$B$45,0))),N(Settings!$C$13)))</f>
        <v/>
      </c>
      <c r="L270" s="16" t="n"/>
      <c r="M270" s="15">
        <f>IF(B270="","",IF(L270&lt;&gt;"","Paid",IF(D270="","Draft",IF(K270&lt;TODAY(),"Overdue "&amp;(TODAY()-K270)&amp;IF(TODAY()-K270=1," day"," days"),"Waiting"))))</f>
        <v/>
      </c>
      <c r="N270" s="1" t="n"/>
      <c r="O270">
        <f>IF(B270="","",ROW()-5)</f>
        <v/>
      </c>
      <c r="P270">
        <f>IF(OR(B270="",L270&lt;&gt;"",D270=""),"",K270+ROW()/10000000)</f>
        <v/>
      </c>
    </row>
    <row r="271">
      <c r="A271" s="1" t="n"/>
      <c r="B271" s="17" t="n"/>
      <c r="C271" s="18" t="n"/>
      <c r="D271" s="16" t="n"/>
      <c r="E271" s="16" t="n"/>
      <c r="F271" s="16" t="n"/>
      <c r="G271" s="25">
        <f>IF(B271="","",SUMIFS(Timesheet!$M$6:$M$2005,Timesheet!$P$6:$P$2005,B271))</f>
        <v/>
      </c>
      <c r="H271" s="14">
        <f>IF(B271="","",SUMIFS(Timesheet!$O$6:$O$2005,Timesheet!$P$6:$P$2005,B271))</f>
        <v/>
      </c>
      <c r="I271" s="14">
        <f>IF(B271="","",ROUND(H271*N(Settings!$C$12),2))</f>
        <v/>
      </c>
      <c r="J271" s="26">
        <f>IF(B271="","",H271+I271)</f>
        <v/>
      </c>
      <c r="K271" s="27">
        <f>IF(OR(B271="",D271=""),"",D271+IFERROR(IF(INDEX(Clients!$H$6:$H$45,MATCH(C271,Clients!$B$6:$B$45,0))="",N(Settings!$C$13),INDEX(Clients!$H$6:$H$45,MATCH(C271,Clients!$B$6:$B$45,0))),N(Settings!$C$13)))</f>
        <v/>
      </c>
      <c r="L271" s="16" t="n"/>
      <c r="M271" s="15">
        <f>IF(B271="","",IF(L271&lt;&gt;"","Paid",IF(D271="","Draft",IF(K271&lt;TODAY(),"Overdue "&amp;(TODAY()-K271)&amp;IF(TODAY()-K271=1," day"," days"),"Waiting"))))</f>
        <v/>
      </c>
      <c r="N271" s="1" t="n"/>
      <c r="O271">
        <f>IF(B271="","",ROW()-5)</f>
        <v/>
      </c>
      <c r="P271">
        <f>IF(OR(B271="",L271&lt;&gt;"",D271=""),"",K271+ROW()/10000000)</f>
        <v/>
      </c>
    </row>
    <row r="272">
      <c r="A272" s="1" t="n"/>
      <c r="B272" s="17" t="n"/>
      <c r="C272" s="18" t="n"/>
      <c r="D272" s="16" t="n"/>
      <c r="E272" s="16" t="n"/>
      <c r="F272" s="16" t="n"/>
      <c r="G272" s="25">
        <f>IF(B272="","",SUMIFS(Timesheet!$M$6:$M$2005,Timesheet!$P$6:$P$2005,B272))</f>
        <v/>
      </c>
      <c r="H272" s="14">
        <f>IF(B272="","",SUMIFS(Timesheet!$O$6:$O$2005,Timesheet!$P$6:$P$2005,B272))</f>
        <v/>
      </c>
      <c r="I272" s="14">
        <f>IF(B272="","",ROUND(H272*N(Settings!$C$12),2))</f>
        <v/>
      </c>
      <c r="J272" s="26">
        <f>IF(B272="","",H272+I272)</f>
        <v/>
      </c>
      <c r="K272" s="27">
        <f>IF(OR(B272="",D272=""),"",D272+IFERROR(IF(INDEX(Clients!$H$6:$H$45,MATCH(C272,Clients!$B$6:$B$45,0))="",N(Settings!$C$13),INDEX(Clients!$H$6:$H$45,MATCH(C272,Clients!$B$6:$B$45,0))),N(Settings!$C$13)))</f>
        <v/>
      </c>
      <c r="L272" s="16" t="n"/>
      <c r="M272" s="15">
        <f>IF(B272="","",IF(L272&lt;&gt;"","Paid",IF(D272="","Draft",IF(K272&lt;TODAY(),"Overdue "&amp;(TODAY()-K272)&amp;IF(TODAY()-K272=1," day"," days"),"Waiting"))))</f>
        <v/>
      </c>
      <c r="N272" s="1" t="n"/>
      <c r="O272">
        <f>IF(B272="","",ROW()-5)</f>
        <v/>
      </c>
      <c r="P272">
        <f>IF(OR(B272="",L272&lt;&gt;"",D272=""),"",K272+ROW()/10000000)</f>
        <v/>
      </c>
    </row>
    <row r="273">
      <c r="A273" s="1" t="n"/>
      <c r="B273" s="17" t="n"/>
      <c r="C273" s="18" t="n"/>
      <c r="D273" s="16" t="n"/>
      <c r="E273" s="16" t="n"/>
      <c r="F273" s="16" t="n"/>
      <c r="G273" s="25">
        <f>IF(B273="","",SUMIFS(Timesheet!$M$6:$M$2005,Timesheet!$P$6:$P$2005,B273))</f>
        <v/>
      </c>
      <c r="H273" s="14">
        <f>IF(B273="","",SUMIFS(Timesheet!$O$6:$O$2005,Timesheet!$P$6:$P$2005,B273))</f>
        <v/>
      </c>
      <c r="I273" s="14">
        <f>IF(B273="","",ROUND(H273*N(Settings!$C$12),2))</f>
        <v/>
      </c>
      <c r="J273" s="26">
        <f>IF(B273="","",H273+I273)</f>
        <v/>
      </c>
      <c r="K273" s="27">
        <f>IF(OR(B273="",D273=""),"",D273+IFERROR(IF(INDEX(Clients!$H$6:$H$45,MATCH(C273,Clients!$B$6:$B$45,0))="",N(Settings!$C$13),INDEX(Clients!$H$6:$H$45,MATCH(C273,Clients!$B$6:$B$45,0))),N(Settings!$C$13)))</f>
        <v/>
      </c>
      <c r="L273" s="16" t="n"/>
      <c r="M273" s="15">
        <f>IF(B273="","",IF(L273&lt;&gt;"","Paid",IF(D273="","Draft",IF(K273&lt;TODAY(),"Overdue "&amp;(TODAY()-K273)&amp;IF(TODAY()-K273=1," day"," days"),"Waiting"))))</f>
        <v/>
      </c>
      <c r="N273" s="1" t="n"/>
      <c r="O273">
        <f>IF(B273="","",ROW()-5)</f>
        <v/>
      </c>
      <c r="P273">
        <f>IF(OR(B273="",L273&lt;&gt;"",D273=""),"",K273+ROW()/10000000)</f>
        <v/>
      </c>
    </row>
    <row r="274">
      <c r="A274" s="1" t="n"/>
      <c r="B274" s="17" t="n"/>
      <c r="C274" s="18" t="n"/>
      <c r="D274" s="16" t="n"/>
      <c r="E274" s="16" t="n"/>
      <c r="F274" s="16" t="n"/>
      <c r="G274" s="25">
        <f>IF(B274="","",SUMIFS(Timesheet!$M$6:$M$2005,Timesheet!$P$6:$P$2005,B274))</f>
        <v/>
      </c>
      <c r="H274" s="14">
        <f>IF(B274="","",SUMIFS(Timesheet!$O$6:$O$2005,Timesheet!$P$6:$P$2005,B274))</f>
        <v/>
      </c>
      <c r="I274" s="14">
        <f>IF(B274="","",ROUND(H274*N(Settings!$C$12),2))</f>
        <v/>
      </c>
      <c r="J274" s="26">
        <f>IF(B274="","",H274+I274)</f>
        <v/>
      </c>
      <c r="K274" s="27">
        <f>IF(OR(B274="",D274=""),"",D274+IFERROR(IF(INDEX(Clients!$H$6:$H$45,MATCH(C274,Clients!$B$6:$B$45,0))="",N(Settings!$C$13),INDEX(Clients!$H$6:$H$45,MATCH(C274,Clients!$B$6:$B$45,0))),N(Settings!$C$13)))</f>
        <v/>
      </c>
      <c r="L274" s="16" t="n"/>
      <c r="M274" s="15">
        <f>IF(B274="","",IF(L274&lt;&gt;"","Paid",IF(D274="","Draft",IF(K274&lt;TODAY(),"Overdue "&amp;(TODAY()-K274)&amp;IF(TODAY()-K274=1," day"," days"),"Waiting"))))</f>
        <v/>
      </c>
      <c r="N274" s="1" t="n"/>
      <c r="O274">
        <f>IF(B274="","",ROW()-5)</f>
        <v/>
      </c>
      <c r="P274">
        <f>IF(OR(B274="",L274&lt;&gt;"",D274=""),"",K274+ROW()/10000000)</f>
        <v/>
      </c>
    </row>
    <row r="275">
      <c r="A275" s="1" t="n"/>
      <c r="B275" s="17" t="n"/>
      <c r="C275" s="18" t="n"/>
      <c r="D275" s="16" t="n"/>
      <c r="E275" s="16" t="n"/>
      <c r="F275" s="16" t="n"/>
      <c r="G275" s="25">
        <f>IF(B275="","",SUMIFS(Timesheet!$M$6:$M$2005,Timesheet!$P$6:$P$2005,B275))</f>
        <v/>
      </c>
      <c r="H275" s="14">
        <f>IF(B275="","",SUMIFS(Timesheet!$O$6:$O$2005,Timesheet!$P$6:$P$2005,B275))</f>
        <v/>
      </c>
      <c r="I275" s="14">
        <f>IF(B275="","",ROUND(H275*N(Settings!$C$12),2))</f>
        <v/>
      </c>
      <c r="J275" s="26">
        <f>IF(B275="","",H275+I275)</f>
        <v/>
      </c>
      <c r="K275" s="27">
        <f>IF(OR(B275="",D275=""),"",D275+IFERROR(IF(INDEX(Clients!$H$6:$H$45,MATCH(C275,Clients!$B$6:$B$45,0))="",N(Settings!$C$13),INDEX(Clients!$H$6:$H$45,MATCH(C275,Clients!$B$6:$B$45,0))),N(Settings!$C$13)))</f>
        <v/>
      </c>
      <c r="L275" s="16" t="n"/>
      <c r="M275" s="15">
        <f>IF(B275="","",IF(L275&lt;&gt;"","Paid",IF(D275="","Draft",IF(K275&lt;TODAY(),"Overdue "&amp;(TODAY()-K275)&amp;IF(TODAY()-K275=1," day"," days"),"Waiting"))))</f>
        <v/>
      </c>
      <c r="N275" s="1" t="n"/>
      <c r="O275">
        <f>IF(B275="","",ROW()-5)</f>
        <v/>
      </c>
      <c r="P275">
        <f>IF(OR(B275="",L275&lt;&gt;"",D275=""),"",K275+ROW()/10000000)</f>
        <v/>
      </c>
    </row>
    <row r="276">
      <c r="A276" s="1" t="n"/>
      <c r="B276" s="17" t="n"/>
      <c r="C276" s="18" t="n"/>
      <c r="D276" s="16" t="n"/>
      <c r="E276" s="16" t="n"/>
      <c r="F276" s="16" t="n"/>
      <c r="G276" s="25">
        <f>IF(B276="","",SUMIFS(Timesheet!$M$6:$M$2005,Timesheet!$P$6:$P$2005,B276))</f>
        <v/>
      </c>
      <c r="H276" s="14">
        <f>IF(B276="","",SUMIFS(Timesheet!$O$6:$O$2005,Timesheet!$P$6:$P$2005,B276))</f>
        <v/>
      </c>
      <c r="I276" s="14">
        <f>IF(B276="","",ROUND(H276*N(Settings!$C$12),2))</f>
        <v/>
      </c>
      <c r="J276" s="26">
        <f>IF(B276="","",H276+I276)</f>
        <v/>
      </c>
      <c r="K276" s="27">
        <f>IF(OR(B276="",D276=""),"",D276+IFERROR(IF(INDEX(Clients!$H$6:$H$45,MATCH(C276,Clients!$B$6:$B$45,0))="",N(Settings!$C$13),INDEX(Clients!$H$6:$H$45,MATCH(C276,Clients!$B$6:$B$45,0))),N(Settings!$C$13)))</f>
        <v/>
      </c>
      <c r="L276" s="16" t="n"/>
      <c r="M276" s="15">
        <f>IF(B276="","",IF(L276&lt;&gt;"","Paid",IF(D276="","Draft",IF(K276&lt;TODAY(),"Overdue "&amp;(TODAY()-K276)&amp;IF(TODAY()-K276=1," day"," days"),"Waiting"))))</f>
        <v/>
      </c>
      <c r="N276" s="1" t="n"/>
      <c r="O276">
        <f>IF(B276="","",ROW()-5)</f>
        <v/>
      </c>
      <c r="P276">
        <f>IF(OR(B276="",L276&lt;&gt;"",D276=""),"",K276+ROW()/10000000)</f>
        <v/>
      </c>
    </row>
    <row r="277">
      <c r="A277" s="1" t="n"/>
      <c r="B277" s="17" t="n"/>
      <c r="C277" s="18" t="n"/>
      <c r="D277" s="16" t="n"/>
      <c r="E277" s="16" t="n"/>
      <c r="F277" s="16" t="n"/>
      <c r="G277" s="25">
        <f>IF(B277="","",SUMIFS(Timesheet!$M$6:$M$2005,Timesheet!$P$6:$P$2005,B277))</f>
        <v/>
      </c>
      <c r="H277" s="14">
        <f>IF(B277="","",SUMIFS(Timesheet!$O$6:$O$2005,Timesheet!$P$6:$P$2005,B277))</f>
        <v/>
      </c>
      <c r="I277" s="14">
        <f>IF(B277="","",ROUND(H277*N(Settings!$C$12),2))</f>
        <v/>
      </c>
      <c r="J277" s="26">
        <f>IF(B277="","",H277+I277)</f>
        <v/>
      </c>
      <c r="K277" s="27">
        <f>IF(OR(B277="",D277=""),"",D277+IFERROR(IF(INDEX(Clients!$H$6:$H$45,MATCH(C277,Clients!$B$6:$B$45,0))="",N(Settings!$C$13),INDEX(Clients!$H$6:$H$45,MATCH(C277,Clients!$B$6:$B$45,0))),N(Settings!$C$13)))</f>
        <v/>
      </c>
      <c r="L277" s="16" t="n"/>
      <c r="M277" s="15">
        <f>IF(B277="","",IF(L277&lt;&gt;"","Paid",IF(D277="","Draft",IF(K277&lt;TODAY(),"Overdue "&amp;(TODAY()-K277)&amp;IF(TODAY()-K277=1," day"," days"),"Waiting"))))</f>
        <v/>
      </c>
      <c r="N277" s="1" t="n"/>
      <c r="O277">
        <f>IF(B277="","",ROW()-5)</f>
        <v/>
      </c>
      <c r="P277">
        <f>IF(OR(B277="",L277&lt;&gt;"",D277=""),"",K277+ROW()/10000000)</f>
        <v/>
      </c>
    </row>
    <row r="278">
      <c r="A278" s="1" t="n"/>
      <c r="B278" s="17" t="n"/>
      <c r="C278" s="18" t="n"/>
      <c r="D278" s="16" t="n"/>
      <c r="E278" s="16" t="n"/>
      <c r="F278" s="16" t="n"/>
      <c r="G278" s="25">
        <f>IF(B278="","",SUMIFS(Timesheet!$M$6:$M$2005,Timesheet!$P$6:$P$2005,B278))</f>
        <v/>
      </c>
      <c r="H278" s="14">
        <f>IF(B278="","",SUMIFS(Timesheet!$O$6:$O$2005,Timesheet!$P$6:$P$2005,B278))</f>
        <v/>
      </c>
      <c r="I278" s="14">
        <f>IF(B278="","",ROUND(H278*N(Settings!$C$12),2))</f>
        <v/>
      </c>
      <c r="J278" s="26">
        <f>IF(B278="","",H278+I278)</f>
        <v/>
      </c>
      <c r="K278" s="27">
        <f>IF(OR(B278="",D278=""),"",D278+IFERROR(IF(INDEX(Clients!$H$6:$H$45,MATCH(C278,Clients!$B$6:$B$45,0))="",N(Settings!$C$13),INDEX(Clients!$H$6:$H$45,MATCH(C278,Clients!$B$6:$B$45,0))),N(Settings!$C$13)))</f>
        <v/>
      </c>
      <c r="L278" s="16" t="n"/>
      <c r="M278" s="15">
        <f>IF(B278="","",IF(L278&lt;&gt;"","Paid",IF(D278="","Draft",IF(K278&lt;TODAY(),"Overdue "&amp;(TODAY()-K278)&amp;IF(TODAY()-K278=1," day"," days"),"Waiting"))))</f>
        <v/>
      </c>
      <c r="N278" s="1" t="n"/>
      <c r="O278">
        <f>IF(B278="","",ROW()-5)</f>
        <v/>
      </c>
      <c r="P278">
        <f>IF(OR(B278="",L278&lt;&gt;"",D278=""),"",K278+ROW()/10000000)</f>
        <v/>
      </c>
    </row>
    <row r="279">
      <c r="A279" s="1" t="n"/>
      <c r="B279" s="17" t="n"/>
      <c r="C279" s="18" t="n"/>
      <c r="D279" s="16" t="n"/>
      <c r="E279" s="16" t="n"/>
      <c r="F279" s="16" t="n"/>
      <c r="G279" s="25">
        <f>IF(B279="","",SUMIFS(Timesheet!$M$6:$M$2005,Timesheet!$P$6:$P$2005,B279))</f>
        <v/>
      </c>
      <c r="H279" s="14">
        <f>IF(B279="","",SUMIFS(Timesheet!$O$6:$O$2005,Timesheet!$P$6:$P$2005,B279))</f>
        <v/>
      </c>
      <c r="I279" s="14">
        <f>IF(B279="","",ROUND(H279*N(Settings!$C$12),2))</f>
        <v/>
      </c>
      <c r="J279" s="26">
        <f>IF(B279="","",H279+I279)</f>
        <v/>
      </c>
      <c r="K279" s="27">
        <f>IF(OR(B279="",D279=""),"",D279+IFERROR(IF(INDEX(Clients!$H$6:$H$45,MATCH(C279,Clients!$B$6:$B$45,0))="",N(Settings!$C$13),INDEX(Clients!$H$6:$H$45,MATCH(C279,Clients!$B$6:$B$45,0))),N(Settings!$C$13)))</f>
        <v/>
      </c>
      <c r="L279" s="16" t="n"/>
      <c r="M279" s="15">
        <f>IF(B279="","",IF(L279&lt;&gt;"","Paid",IF(D279="","Draft",IF(K279&lt;TODAY(),"Overdue "&amp;(TODAY()-K279)&amp;IF(TODAY()-K279=1," day"," days"),"Waiting"))))</f>
        <v/>
      </c>
      <c r="N279" s="1" t="n"/>
      <c r="O279">
        <f>IF(B279="","",ROW()-5)</f>
        <v/>
      </c>
      <c r="P279">
        <f>IF(OR(B279="",L279&lt;&gt;"",D279=""),"",K279+ROW()/10000000)</f>
        <v/>
      </c>
    </row>
    <row r="280">
      <c r="A280" s="1" t="n"/>
      <c r="B280" s="17" t="n"/>
      <c r="C280" s="18" t="n"/>
      <c r="D280" s="16" t="n"/>
      <c r="E280" s="16" t="n"/>
      <c r="F280" s="16" t="n"/>
      <c r="G280" s="25">
        <f>IF(B280="","",SUMIFS(Timesheet!$M$6:$M$2005,Timesheet!$P$6:$P$2005,B280))</f>
        <v/>
      </c>
      <c r="H280" s="14">
        <f>IF(B280="","",SUMIFS(Timesheet!$O$6:$O$2005,Timesheet!$P$6:$P$2005,B280))</f>
        <v/>
      </c>
      <c r="I280" s="14">
        <f>IF(B280="","",ROUND(H280*N(Settings!$C$12),2))</f>
        <v/>
      </c>
      <c r="J280" s="26">
        <f>IF(B280="","",H280+I280)</f>
        <v/>
      </c>
      <c r="K280" s="27">
        <f>IF(OR(B280="",D280=""),"",D280+IFERROR(IF(INDEX(Clients!$H$6:$H$45,MATCH(C280,Clients!$B$6:$B$45,0))="",N(Settings!$C$13),INDEX(Clients!$H$6:$H$45,MATCH(C280,Clients!$B$6:$B$45,0))),N(Settings!$C$13)))</f>
        <v/>
      </c>
      <c r="L280" s="16" t="n"/>
      <c r="M280" s="15">
        <f>IF(B280="","",IF(L280&lt;&gt;"","Paid",IF(D280="","Draft",IF(K280&lt;TODAY(),"Overdue "&amp;(TODAY()-K280)&amp;IF(TODAY()-K280=1," day"," days"),"Waiting"))))</f>
        <v/>
      </c>
      <c r="N280" s="1" t="n"/>
      <c r="O280">
        <f>IF(B280="","",ROW()-5)</f>
        <v/>
      </c>
      <c r="P280">
        <f>IF(OR(B280="",L280&lt;&gt;"",D280=""),"",K280+ROW()/10000000)</f>
        <v/>
      </c>
    </row>
    <row r="281">
      <c r="A281" s="1" t="n"/>
      <c r="B281" s="17" t="n"/>
      <c r="C281" s="18" t="n"/>
      <c r="D281" s="16" t="n"/>
      <c r="E281" s="16" t="n"/>
      <c r="F281" s="16" t="n"/>
      <c r="G281" s="25">
        <f>IF(B281="","",SUMIFS(Timesheet!$M$6:$M$2005,Timesheet!$P$6:$P$2005,B281))</f>
        <v/>
      </c>
      <c r="H281" s="14">
        <f>IF(B281="","",SUMIFS(Timesheet!$O$6:$O$2005,Timesheet!$P$6:$P$2005,B281))</f>
        <v/>
      </c>
      <c r="I281" s="14">
        <f>IF(B281="","",ROUND(H281*N(Settings!$C$12),2))</f>
        <v/>
      </c>
      <c r="J281" s="26">
        <f>IF(B281="","",H281+I281)</f>
        <v/>
      </c>
      <c r="K281" s="27">
        <f>IF(OR(B281="",D281=""),"",D281+IFERROR(IF(INDEX(Clients!$H$6:$H$45,MATCH(C281,Clients!$B$6:$B$45,0))="",N(Settings!$C$13),INDEX(Clients!$H$6:$H$45,MATCH(C281,Clients!$B$6:$B$45,0))),N(Settings!$C$13)))</f>
        <v/>
      </c>
      <c r="L281" s="16" t="n"/>
      <c r="M281" s="15">
        <f>IF(B281="","",IF(L281&lt;&gt;"","Paid",IF(D281="","Draft",IF(K281&lt;TODAY(),"Overdue "&amp;(TODAY()-K281)&amp;IF(TODAY()-K281=1," day"," days"),"Waiting"))))</f>
        <v/>
      </c>
      <c r="N281" s="1" t="n"/>
      <c r="O281">
        <f>IF(B281="","",ROW()-5)</f>
        <v/>
      </c>
      <c r="P281">
        <f>IF(OR(B281="",L281&lt;&gt;"",D281=""),"",K281+ROW()/10000000)</f>
        <v/>
      </c>
    </row>
    <row r="282">
      <c r="A282" s="1" t="n"/>
      <c r="B282" s="17" t="n"/>
      <c r="C282" s="18" t="n"/>
      <c r="D282" s="16" t="n"/>
      <c r="E282" s="16" t="n"/>
      <c r="F282" s="16" t="n"/>
      <c r="G282" s="25">
        <f>IF(B282="","",SUMIFS(Timesheet!$M$6:$M$2005,Timesheet!$P$6:$P$2005,B282))</f>
        <v/>
      </c>
      <c r="H282" s="14">
        <f>IF(B282="","",SUMIFS(Timesheet!$O$6:$O$2005,Timesheet!$P$6:$P$2005,B282))</f>
        <v/>
      </c>
      <c r="I282" s="14">
        <f>IF(B282="","",ROUND(H282*N(Settings!$C$12),2))</f>
        <v/>
      </c>
      <c r="J282" s="26">
        <f>IF(B282="","",H282+I282)</f>
        <v/>
      </c>
      <c r="K282" s="27">
        <f>IF(OR(B282="",D282=""),"",D282+IFERROR(IF(INDEX(Clients!$H$6:$H$45,MATCH(C282,Clients!$B$6:$B$45,0))="",N(Settings!$C$13),INDEX(Clients!$H$6:$H$45,MATCH(C282,Clients!$B$6:$B$45,0))),N(Settings!$C$13)))</f>
        <v/>
      </c>
      <c r="L282" s="16" t="n"/>
      <c r="M282" s="15">
        <f>IF(B282="","",IF(L282&lt;&gt;"","Paid",IF(D282="","Draft",IF(K282&lt;TODAY(),"Overdue "&amp;(TODAY()-K282)&amp;IF(TODAY()-K282=1," day"," days"),"Waiting"))))</f>
        <v/>
      </c>
      <c r="N282" s="1" t="n"/>
      <c r="O282">
        <f>IF(B282="","",ROW()-5)</f>
        <v/>
      </c>
      <c r="P282">
        <f>IF(OR(B282="",L282&lt;&gt;"",D282=""),"",K282+ROW()/10000000)</f>
        <v/>
      </c>
    </row>
    <row r="283">
      <c r="A283" s="1" t="n"/>
      <c r="B283" s="17" t="n"/>
      <c r="C283" s="18" t="n"/>
      <c r="D283" s="16" t="n"/>
      <c r="E283" s="16" t="n"/>
      <c r="F283" s="16" t="n"/>
      <c r="G283" s="25">
        <f>IF(B283="","",SUMIFS(Timesheet!$M$6:$M$2005,Timesheet!$P$6:$P$2005,B283))</f>
        <v/>
      </c>
      <c r="H283" s="14">
        <f>IF(B283="","",SUMIFS(Timesheet!$O$6:$O$2005,Timesheet!$P$6:$P$2005,B283))</f>
        <v/>
      </c>
      <c r="I283" s="14">
        <f>IF(B283="","",ROUND(H283*N(Settings!$C$12),2))</f>
        <v/>
      </c>
      <c r="J283" s="26">
        <f>IF(B283="","",H283+I283)</f>
        <v/>
      </c>
      <c r="K283" s="27">
        <f>IF(OR(B283="",D283=""),"",D283+IFERROR(IF(INDEX(Clients!$H$6:$H$45,MATCH(C283,Clients!$B$6:$B$45,0))="",N(Settings!$C$13),INDEX(Clients!$H$6:$H$45,MATCH(C283,Clients!$B$6:$B$45,0))),N(Settings!$C$13)))</f>
        <v/>
      </c>
      <c r="L283" s="16" t="n"/>
      <c r="M283" s="15">
        <f>IF(B283="","",IF(L283&lt;&gt;"","Paid",IF(D283="","Draft",IF(K283&lt;TODAY(),"Overdue "&amp;(TODAY()-K283)&amp;IF(TODAY()-K283=1," day"," days"),"Waiting"))))</f>
        <v/>
      </c>
      <c r="N283" s="1" t="n"/>
      <c r="O283">
        <f>IF(B283="","",ROW()-5)</f>
        <v/>
      </c>
      <c r="P283">
        <f>IF(OR(B283="",L283&lt;&gt;"",D283=""),"",K283+ROW()/10000000)</f>
        <v/>
      </c>
    </row>
    <row r="284">
      <c r="A284" s="1" t="n"/>
      <c r="B284" s="17" t="n"/>
      <c r="C284" s="18" t="n"/>
      <c r="D284" s="16" t="n"/>
      <c r="E284" s="16" t="n"/>
      <c r="F284" s="16" t="n"/>
      <c r="G284" s="25">
        <f>IF(B284="","",SUMIFS(Timesheet!$M$6:$M$2005,Timesheet!$P$6:$P$2005,B284))</f>
        <v/>
      </c>
      <c r="H284" s="14">
        <f>IF(B284="","",SUMIFS(Timesheet!$O$6:$O$2005,Timesheet!$P$6:$P$2005,B284))</f>
        <v/>
      </c>
      <c r="I284" s="14">
        <f>IF(B284="","",ROUND(H284*N(Settings!$C$12),2))</f>
        <v/>
      </c>
      <c r="J284" s="26">
        <f>IF(B284="","",H284+I284)</f>
        <v/>
      </c>
      <c r="K284" s="27">
        <f>IF(OR(B284="",D284=""),"",D284+IFERROR(IF(INDEX(Clients!$H$6:$H$45,MATCH(C284,Clients!$B$6:$B$45,0))="",N(Settings!$C$13),INDEX(Clients!$H$6:$H$45,MATCH(C284,Clients!$B$6:$B$45,0))),N(Settings!$C$13)))</f>
        <v/>
      </c>
      <c r="L284" s="16" t="n"/>
      <c r="M284" s="15">
        <f>IF(B284="","",IF(L284&lt;&gt;"","Paid",IF(D284="","Draft",IF(K284&lt;TODAY(),"Overdue "&amp;(TODAY()-K284)&amp;IF(TODAY()-K284=1," day"," days"),"Waiting"))))</f>
        <v/>
      </c>
      <c r="N284" s="1" t="n"/>
      <c r="O284">
        <f>IF(B284="","",ROW()-5)</f>
        <v/>
      </c>
      <c r="P284">
        <f>IF(OR(B284="",L284&lt;&gt;"",D284=""),"",K284+ROW()/10000000)</f>
        <v/>
      </c>
    </row>
    <row r="285">
      <c r="A285" s="1" t="n"/>
      <c r="B285" s="17" t="n"/>
      <c r="C285" s="18" t="n"/>
      <c r="D285" s="16" t="n"/>
      <c r="E285" s="16" t="n"/>
      <c r="F285" s="16" t="n"/>
      <c r="G285" s="25">
        <f>IF(B285="","",SUMIFS(Timesheet!$M$6:$M$2005,Timesheet!$P$6:$P$2005,B285))</f>
        <v/>
      </c>
      <c r="H285" s="14">
        <f>IF(B285="","",SUMIFS(Timesheet!$O$6:$O$2005,Timesheet!$P$6:$P$2005,B285))</f>
        <v/>
      </c>
      <c r="I285" s="14">
        <f>IF(B285="","",ROUND(H285*N(Settings!$C$12),2))</f>
        <v/>
      </c>
      <c r="J285" s="26">
        <f>IF(B285="","",H285+I285)</f>
        <v/>
      </c>
      <c r="K285" s="27">
        <f>IF(OR(B285="",D285=""),"",D285+IFERROR(IF(INDEX(Clients!$H$6:$H$45,MATCH(C285,Clients!$B$6:$B$45,0))="",N(Settings!$C$13),INDEX(Clients!$H$6:$H$45,MATCH(C285,Clients!$B$6:$B$45,0))),N(Settings!$C$13)))</f>
        <v/>
      </c>
      <c r="L285" s="16" t="n"/>
      <c r="M285" s="15">
        <f>IF(B285="","",IF(L285&lt;&gt;"","Paid",IF(D285="","Draft",IF(K285&lt;TODAY(),"Overdue "&amp;(TODAY()-K285)&amp;IF(TODAY()-K285=1," day"," days"),"Waiting"))))</f>
        <v/>
      </c>
      <c r="N285" s="1" t="n"/>
      <c r="O285">
        <f>IF(B285="","",ROW()-5)</f>
        <v/>
      </c>
      <c r="P285">
        <f>IF(OR(B285="",L285&lt;&gt;"",D285=""),"",K285+ROW()/10000000)</f>
        <v/>
      </c>
    </row>
    <row r="286">
      <c r="A286" s="1" t="n"/>
      <c r="B286" s="17" t="n"/>
      <c r="C286" s="18" t="n"/>
      <c r="D286" s="16" t="n"/>
      <c r="E286" s="16" t="n"/>
      <c r="F286" s="16" t="n"/>
      <c r="G286" s="25">
        <f>IF(B286="","",SUMIFS(Timesheet!$M$6:$M$2005,Timesheet!$P$6:$P$2005,B286))</f>
        <v/>
      </c>
      <c r="H286" s="14">
        <f>IF(B286="","",SUMIFS(Timesheet!$O$6:$O$2005,Timesheet!$P$6:$P$2005,B286))</f>
        <v/>
      </c>
      <c r="I286" s="14">
        <f>IF(B286="","",ROUND(H286*N(Settings!$C$12),2))</f>
        <v/>
      </c>
      <c r="J286" s="26">
        <f>IF(B286="","",H286+I286)</f>
        <v/>
      </c>
      <c r="K286" s="27">
        <f>IF(OR(B286="",D286=""),"",D286+IFERROR(IF(INDEX(Clients!$H$6:$H$45,MATCH(C286,Clients!$B$6:$B$45,0))="",N(Settings!$C$13),INDEX(Clients!$H$6:$H$45,MATCH(C286,Clients!$B$6:$B$45,0))),N(Settings!$C$13)))</f>
        <v/>
      </c>
      <c r="L286" s="16" t="n"/>
      <c r="M286" s="15">
        <f>IF(B286="","",IF(L286&lt;&gt;"","Paid",IF(D286="","Draft",IF(K286&lt;TODAY(),"Overdue "&amp;(TODAY()-K286)&amp;IF(TODAY()-K286=1," day"," days"),"Waiting"))))</f>
        <v/>
      </c>
      <c r="N286" s="1" t="n"/>
      <c r="O286">
        <f>IF(B286="","",ROW()-5)</f>
        <v/>
      </c>
      <c r="P286">
        <f>IF(OR(B286="",L286&lt;&gt;"",D286=""),"",K286+ROW()/10000000)</f>
        <v/>
      </c>
    </row>
    <row r="287">
      <c r="A287" s="1" t="n"/>
      <c r="B287" s="17" t="n"/>
      <c r="C287" s="18" t="n"/>
      <c r="D287" s="16" t="n"/>
      <c r="E287" s="16" t="n"/>
      <c r="F287" s="16" t="n"/>
      <c r="G287" s="25">
        <f>IF(B287="","",SUMIFS(Timesheet!$M$6:$M$2005,Timesheet!$P$6:$P$2005,B287))</f>
        <v/>
      </c>
      <c r="H287" s="14">
        <f>IF(B287="","",SUMIFS(Timesheet!$O$6:$O$2005,Timesheet!$P$6:$P$2005,B287))</f>
        <v/>
      </c>
      <c r="I287" s="14">
        <f>IF(B287="","",ROUND(H287*N(Settings!$C$12),2))</f>
        <v/>
      </c>
      <c r="J287" s="26">
        <f>IF(B287="","",H287+I287)</f>
        <v/>
      </c>
      <c r="K287" s="27">
        <f>IF(OR(B287="",D287=""),"",D287+IFERROR(IF(INDEX(Clients!$H$6:$H$45,MATCH(C287,Clients!$B$6:$B$45,0))="",N(Settings!$C$13),INDEX(Clients!$H$6:$H$45,MATCH(C287,Clients!$B$6:$B$45,0))),N(Settings!$C$13)))</f>
        <v/>
      </c>
      <c r="L287" s="16" t="n"/>
      <c r="M287" s="15">
        <f>IF(B287="","",IF(L287&lt;&gt;"","Paid",IF(D287="","Draft",IF(K287&lt;TODAY(),"Overdue "&amp;(TODAY()-K287)&amp;IF(TODAY()-K287=1," day"," days"),"Waiting"))))</f>
        <v/>
      </c>
      <c r="N287" s="1" t="n"/>
      <c r="O287">
        <f>IF(B287="","",ROW()-5)</f>
        <v/>
      </c>
      <c r="P287">
        <f>IF(OR(B287="",L287&lt;&gt;"",D287=""),"",K287+ROW()/10000000)</f>
        <v/>
      </c>
    </row>
    <row r="288">
      <c r="A288" s="1" t="n"/>
      <c r="B288" s="17" t="n"/>
      <c r="C288" s="18" t="n"/>
      <c r="D288" s="16" t="n"/>
      <c r="E288" s="16" t="n"/>
      <c r="F288" s="16" t="n"/>
      <c r="G288" s="25">
        <f>IF(B288="","",SUMIFS(Timesheet!$M$6:$M$2005,Timesheet!$P$6:$P$2005,B288))</f>
        <v/>
      </c>
      <c r="H288" s="14">
        <f>IF(B288="","",SUMIFS(Timesheet!$O$6:$O$2005,Timesheet!$P$6:$P$2005,B288))</f>
        <v/>
      </c>
      <c r="I288" s="14">
        <f>IF(B288="","",ROUND(H288*N(Settings!$C$12),2))</f>
        <v/>
      </c>
      <c r="J288" s="26">
        <f>IF(B288="","",H288+I288)</f>
        <v/>
      </c>
      <c r="K288" s="27">
        <f>IF(OR(B288="",D288=""),"",D288+IFERROR(IF(INDEX(Clients!$H$6:$H$45,MATCH(C288,Clients!$B$6:$B$45,0))="",N(Settings!$C$13),INDEX(Clients!$H$6:$H$45,MATCH(C288,Clients!$B$6:$B$45,0))),N(Settings!$C$13)))</f>
        <v/>
      </c>
      <c r="L288" s="16" t="n"/>
      <c r="M288" s="15">
        <f>IF(B288="","",IF(L288&lt;&gt;"","Paid",IF(D288="","Draft",IF(K288&lt;TODAY(),"Overdue "&amp;(TODAY()-K288)&amp;IF(TODAY()-K288=1," day"," days"),"Waiting"))))</f>
        <v/>
      </c>
      <c r="N288" s="1" t="n"/>
      <c r="O288">
        <f>IF(B288="","",ROW()-5)</f>
        <v/>
      </c>
      <c r="P288">
        <f>IF(OR(B288="",L288&lt;&gt;"",D288=""),"",K288+ROW()/10000000)</f>
        <v/>
      </c>
    </row>
    <row r="289">
      <c r="A289" s="1" t="n"/>
      <c r="B289" s="17" t="n"/>
      <c r="C289" s="18" t="n"/>
      <c r="D289" s="16" t="n"/>
      <c r="E289" s="16" t="n"/>
      <c r="F289" s="16" t="n"/>
      <c r="G289" s="25">
        <f>IF(B289="","",SUMIFS(Timesheet!$M$6:$M$2005,Timesheet!$P$6:$P$2005,B289))</f>
        <v/>
      </c>
      <c r="H289" s="14">
        <f>IF(B289="","",SUMIFS(Timesheet!$O$6:$O$2005,Timesheet!$P$6:$P$2005,B289))</f>
        <v/>
      </c>
      <c r="I289" s="14">
        <f>IF(B289="","",ROUND(H289*N(Settings!$C$12),2))</f>
        <v/>
      </c>
      <c r="J289" s="26">
        <f>IF(B289="","",H289+I289)</f>
        <v/>
      </c>
      <c r="K289" s="27">
        <f>IF(OR(B289="",D289=""),"",D289+IFERROR(IF(INDEX(Clients!$H$6:$H$45,MATCH(C289,Clients!$B$6:$B$45,0))="",N(Settings!$C$13),INDEX(Clients!$H$6:$H$45,MATCH(C289,Clients!$B$6:$B$45,0))),N(Settings!$C$13)))</f>
        <v/>
      </c>
      <c r="L289" s="16" t="n"/>
      <c r="M289" s="15">
        <f>IF(B289="","",IF(L289&lt;&gt;"","Paid",IF(D289="","Draft",IF(K289&lt;TODAY(),"Overdue "&amp;(TODAY()-K289)&amp;IF(TODAY()-K289=1," day"," days"),"Waiting"))))</f>
        <v/>
      </c>
      <c r="N289" s="1" t="n"/>
      <c r="O289">
        <f>IF(B289="","",ROW()-5)</f>
        <v/>
      </c>
      <c r="P289">
        <f>IF(OR(B289="",L289&lt;&gt;"",D289=""),"",K289+ROW()/10000000)</f>
        <v/>
      </c>
    </row>
    <row r="290">
      <c r="A290" s="1" t="n"/>
      <c r="B290" s="17" t="n"/>
      <c r="C290" s="18" t="n"/>
      <c r="D290" s="16" t="n"/>
      <c r="E290" s="16" t="n"/>
      <c r="F290" s="16" t="n"/>
      <c r="G290" s="25">
        <f>IF(B290="","",SUMIFS(Timesheet!$M$6:$M$2005,Timesheet!$P$6:$P$2005,B290))</f>
        <v/>
      </c>
      <c r="H290" s="14">
        <f>IF(B290="","",SUMIFS(Timesheet!$O$6:$O$2005,Timesheet!$P$6:$P$2005,B290))</f>
        <v/>
      </c>
      <c r="I290" s="14">
        <f>IF(B290="","",ROUND(H290*N(Settings!$C$12),2))</f>
        <v/>
      </c>
      <c r="J290" s="26">
        <f>IF(B290="","",H290+I290)</f>
        <v/>
      </c>
      <c r="K290" s="27">
        <f>IF(OR(B290="",D290=""),"",D290+IFERROR(IF(INDEX(Clients!$H$6:$H$45,MATCH(C290,Clients!$B$6:$B$45,0))="",N(Settings!$C$13),INDEX(Clients!$H$6:$H$45,MATCH(C290,Clients!$B$6:$B$45,0))),N(Settings!$C$13)))</f>
        <v/>
      </c>
      <c r="L290" s="16" t="n"/>
      <c r="M290" s="15">
        <f>IF(B290="","",IF(L290&lt;&gt;"","Paid",IF(D290="","Draft",IF(K290&lt;TODAY(),"Overdue "&amp;(TODAY()-K290)&amp;IF(TODAY()-K290=1," day"," days"),"Waiting"))))</f>
        <v/>
      </c>
      <c r="N290" s="1" t="n"/>
      <c r="O290">
        <f>IF(B290="","",ROW()-5)</f>
        <v/>
      </c>
      <c r="P290">
        <f>IF(OR(B290="",L290&lt;&gt;"",D290=""),"",K290+ROW()/10000000)</f>
        <v/>
      </c>
    </row>
    <row r="291">
      <c r="A291" s="1" t="n"/>
      <c r="B291" s="17" t="n"/>
      <c r="C291" s="18" t="n"/>
      <c r="D291" s="16" t="n"/>
      <c r="E291" s="16" t="n"/>
      <c r="F291" s="16" t="n"/>
      <c r="G291" s="25">
        <f>IF(B291="","",SUMIFS(Timesheet!$M$6:$M$2005,Timesheet!$P$6:$P$2005,B291))</f>
        <v/>
      </c>
      <c r="H291" s="14">
        <f>IF(B291="","",SUMIFS(Timesheet!$O$6:$O$2005,Timesheet!$P$6:$P$2005,B291))</f>
        <v/>
      </c>
      <c r="I291" s="14">
        <f>IF(B291="","",ROUND(H291*N(Settings!$C$12),2))</f>
        <v/>
      </c>
      <c r="J291" s="26">
        <f>IF(B291="","",H291+I291)</f>
        <v/>
      </c>
      <c r="K291" s="27">
        <f>IF(OR(B291="",D291=""),"",D291+IFERROR(IF(INDEX(Clients!$H$6:$H$45,MATCH(C291,Clients!$B$6:$B$45,0))="",N(Settings!$C$13),INDEX(Clients!$H$6:$H$45,MATCH(C291,Clients!$B$6:$B$45,0))),N(Settings!$C$13)))</f>
        <v/>
      </c>
      <c r="L291" s="16" t="n"/>
      <c r="M291" s="15">
        <f>IF(B291="","",IF(L291&lt;&gt;"","Paid",IF(D291="","Draft",IF(K291&lt;TODAY(),"Overdue "&amp;(TODAY()-K291)&amp;IF(TODAY()-K291=1," day"," days"),"Waiting"))))</f>
        <v/>
      </c>
      <c r="N291" s="1" t="n"/>
      <c r="O291">
        <f>IF(B291="","",ROW()-5)</f>
        <v/>
      </c>
      <c r="P291">
        <f>IF(OR(B291="",L291&lt;&gt;"",D291=""),"",K291+ROW()/10000000)</f>
        <v/>
      </c>
    </row>
    <row r="292">
      <c r="A292" s="1" t="n"/>
      <c r="B292" s="17" t="n"/>
      <c r="C292" s="18" t="n"/>
      <c r="D292" s="16" t="n"/>
      <c r="E292" s="16" t="n"/>
      <c r="F292" s="16" t="n"/>
      <c r="G292" s="25">
        <f>IF(B292="","",SUMIFS(Timesheet!$M$6:$M$2005,Timesheet!$P$6:$P$2005,B292))</f>
        <v/>
      </c>
      <c r="H292" s="14">
        <f>IF(B292="","",SUMIFS(Timesheet!$O$6:$O$2005,Timesheet!$P$6:$P$2005,B292))</f>
        <v/>
      </c>
      <c r="I292" s="14">
        <f>IF(B292="","",ROUND(H292*N(Settings!$C$12),2))</f>
        <v/>
      </c>
      <c r="J292" s="26">
        <f>IF(B292="","",H292+I292)</f>
        <v/>
      </c>
      <c r="K292" s="27">
        <f>IF(OR(B292="",D292=""),"",D292+IFERROR(IF(INDEX(Clients!$H$6:$H$45,MATCH(C292,Clients!$B$6:$B$45,0))="",N(Settings!$C$13),INDEX(Clients!$H$6:$H$45,MATCH(C292,Clients!$B$6:$B$45,0))),N(Settings!$C$13)))</f>
        <v/>
      </c>
      <c r="L292" s="16" t="n"/>
      <c r="M292" s="15">
        <f>IF(B292="","",IF(L292&lt;&gt;"","Paid",IF(D292="","Draft",IF(K292&lt;TODAY(),"Overdue "&amp;(TODAY()-K292)&amp;IF(TODAY()-K292=1," day"," days"),"Waiting"))))</f>
        <v/>
      </c>
      <c r="N292" s="1" t="n"/>
      <c r="O292">
        <f>IF(B292="","",ROW()-5)</f>
        <v/>
      </c>
      <c r="P292">
        <f>IF(OR(B292="",L292&lt;&gt;"",D292=""),"",K292+ROW()/10000000)</f>
        <v/>
      </c>
    </row>
    <row r="293">
      <c r="A293" s="1" t="n"/>
      <c r="B293" s="17" t="n"/>
      <c r="C293" s="18" t="n"/>
      <c r="D293" s="16" t="n"/>
      <c r="E293" s="16" t="n"/>
      <c r="F293" s="16" t="n"/>
      <c r="G293" s="25">
        <f>IF(B293="","",SUMIFS(Timesheet!$M$6:$M$2005,Timesheet!$P$6:$P$2005,B293))</f>
        <v/>
      </c>
      <c r="H293" s="14">
        <f>IF(B293="","",SUMIFS(Timesheet!$O$6:$O$2005,Timesheet!$P$6:$P$2005,B293))</f>
        <v/>
      </c>
      <c r="I293" s="14">
        <f>IF(B293="","",ROUND(H293*N(Settings!$C$12),2))</f>
        <v/>
      </c>
      <c r="J293" s="26">
        <f>IF(B293="","",H293+I293)</f>
        <v/>
      </c>
      <c r="K293" s="27">
        <f>IF(OR(B293="",D293=""),"",D293+IFERROR(IF(INDEX(Clients!$H$6:$H$45,MATCH(C293,Clients!$B$6:$B$45,0))="",N(Settings!$C$13),INDEX(Clients!$H$6:$H$45,MATCH(C293,Clients!$B$6:$B$45,0))),N(Settings!$C$13)))</f>
        <v/>
      </c>
      <c r="L293" s="16" t="n"/>
      <c r="M293" s="15">
        <f>IF(B293="","",IF(L293&lt;&gt;"","Paid",IF(D293="","Draft",IF(K293&lt;TODAY(),"Overdue "&amp;(TODAY()-K293)&amp;IF(TODAY()-K293=1," day"," days"),"Waiting"))))</f>
        <v/>
      </c>
      <c r="N293" s="1" t="n"/>
      <c r="O293">
        <f>IF(B293="","",ROW()-5)</f>
        <v/>
      </c>
      <c r="P293">
        <f>IF(OR(B293="",L293&lt;&gt;"",D293=""),"",K293+ROW()/10000000)</f>
        <v/>
      </c>
    </row>
    <row r="294">
      <c r="A294" s="1" t="n"/>
      <c r="B294" s="17" t="n"/>
      <c r="C294" s="18" t="n"/>
      <c r="D294" s="16" t="n"/>
      <c r="E294" s="16" t="n"/>
      <c r="F294" s="16" t="n"/>
      <c r="G294" s="25">
        <f>IF(B294="","",SUMIFS(Timesheet!$M$6:$M$2005,Timesheet!$P$6:$P$2005,B294))</f>
        <v/>
      </c>
      <c r="H294" s="14">
        <f>IF(B294="","",SUMIFS(Timesheet!$O$6:$O$2005,Timesheet!$P$6:$P$2005,B294))</f>
        <v/>
      </c>
      <c r="I294" s="14">
        <f>IF(B294="","",ROUND(H294*N(Settings!$C$12),2))</f>
        <v/>
      </c>
      <c r="J294" s="26">
        <f>IF(B294="","",H294+I294)</f>
        <v/>
      </c>
      <c r="K294" s="27">
        <f>IF(OR(B294="",D294=""),"",D294+IFERROR(IF(INDEX(Clients!$H$6:$H$45,MATCH(C294,Clients!$B$6:$B$45,0))="",N(Settings!$C$13),INDEX(Clients!$H$6:$H$45,MATCH(C294,Clients!$B$6:$B$45,0))),N(Settings!$C$13)))</f>
        <v/>
      </c>
      <c r="L294" s="16" t="n"/>
      <c r="M294" s="15">
        <f>IF(B294="","",IF(L294&lt;&gt;"","Paid",IF(D294="","Draft",IF(K294&lt;TODAY(),"Overdue "&amp;(TODAY()-K294)&amp;IF(TODAY()-K294=1," day"," days"),"Waiting"))))</f>
        <v/>
      </c>
      <c r="N294" s="1" t="n"/>
      <c r="O294">
        <f>IF(B294="","",ROW()-5)</f>
        <v/>
      </c>
      <c r="P294">
        <f>IF(OR(B294="",L294&lt;&gt;"",D294=""),"",K294+ROW()/10000000)</f>
        <v/>
      </c>
    </row>
    <row r="295">
      <c r="A295" s="1" t="n"/>
      <c r="B295" s="17" t="n"/>
      <c r="C295" s="18" t="n"/>
      <c r="D295" s="16" t="n"/>
      <c r="E295" s="16" t="n"/>
      <c r="F295" s="16" t="n"/>
      <c r="G295" s="25">
        <f>IF(B295="","",SUMIFS(Timesheet!$M$6:$M$2005,Timesheet!$P$6:$P$2005,B295))</f>
        <v/>
      </c>
      <c r="H295" s="14">
        <f>IF(B295="","",SUMIFS(Timesheet!$O$6:$O$2005,Timesheet!$P$6:$P$2005,B295))</f>
        <v/>
      </c>
      <c r="I295" s="14">
        <f>IF(B295="","",ROUND(H295*N(Settings!$C$12),2))</f>
        <v/>
      </c>
      <c r="J295" s="26">
        <f>IF(B295="","",H295+I295)</f>
        <v/>
      </c>
      <c r="K295" s="27">
        <f>IF(OR(B295="",D295=""),"",D295+IFERROR(IF(INDEX(Clients!$H$6:$H$45,MATCH(C295,Clients!$B$6:$B$45,0))="",N(Settings!$C$13),INDEX(Clients!$H$6:$H$45,MATCH(C295,Clients!$B$6:$B$45,0))),N(Settings!$C$13)))</f>
        <v/>
      </c>
      <c r="L295" s="16" t="n"/>
      <c r="M295" s="15">
        <f>IF(B295="","",IF(L295&lt;&gt;"","Paid",IF(D295="","Draft",IF(K295&lt;TODAY(),"Overdue "&amp;(TODAY()-K295)&amp;IF(TODAY()-K295=1," day"," days"),"Waiting"))))</f>
        <v/>
      </c>
      <c r="N295" s="1" t="n"/>
      <c r="O295">
        <f>IF(B295="","",ROW()-5)</f>
        <v/>
      </c>
      <c r="P295">
        <f>IF(OR(B295="",L295&lt;&gt;"",D295=""),"",K295+ROW()/10000000)</f>
        <v/>
      </c>
    </row>
    <row r="296">
      <c r="A296" s="1" t="n"/>
      <c r="B296" s="17" t="n"/>
      <c r="C296" s="18" t="n"/>
      <c r="D296" s="16" t="n"/>
      <c r="E296" s="16" t="n"/>
      <c r="F296" s="16" t="n"/>
      <c r="G296" s="25">
        <f>IF(B296="","",SUMIFS(Timesheet!$M$6:$M$2005,Timesheet!$P$6:$P$2005,B296))</f>
        <v/>
      </c>
      <c r="H296" s="14">
        <f>IF(B296="","",SUMIFS(Timesheet!$O$6:$O$2005,Timesheet!$P$6:$P$2005,B296))</f>
        <v/>
      </c>
      <c r="I296" s="14">
        <f>IF(B296="","",ROUND(H296*N(Settings!$C$12),2))</f>
        <v/>
      </c>
      <c r="J296" s="26">
        <f>IF(B296="","",H296+I296)</f>
        <v/>
      </c>
      <c r="K296" s="27">
        <f>IF(OR(B296="",D296=""),"",D296+IFERROR(IF(INDEX(Clients!$H$6:$H$45,MATCH(C296,Clients!$B$6:$B$45,0))="",N(Settings!$C$13),INDEX(Clients!$H$6:$H$45,MATCH(C296,Clients!$B$6:$B$45,0))),N(Settings!$C$13)))</f>
        <v/>
      </c>
      <c r="L296" s="16" t="n"/>
      <c r="M296" s="15">
        <f>IF(B296="","",IF(L296&lt;&gt;"","Paid",IF(D296="","Draft",IF(K296&lt;TODAY(),"Overdue "&amp;(TODAY()-K296)&amp;IF(TODAY()-K296=1," day"," days"),"Waiting"))))</f>
        <v/>
      </c>
      <c r="N296" s="1" t="n"/>
      <c r="O296">
        <f>IF(B296="","",ROW()-5)</f>
        <v/>
      </c>
      <c r="P296">
        <f>IF(OR(B296="",L296&lt;&gt;"",D296=""),"",K296+ROW()/10000000)</f>
        <v/>
      </c>
    </row>
    <row r="297">
      <c r="A297" s="1" t="n"/>
      <c r="B297" s="17" t="n"/>
      <c r="C297" s="18" t="n"/>
      <c r="D297" s="16" t="n"/>
      <c r="E297" s="16" t="n"/>
      <c r="F297" s="16" t="n"/>
      <c r="G297" s="25">
        <f>IF(B297="","",SUMIFS(Timesheet!$M$6:$M$2005,Timesheet!$P$6:$P$2005,B297))</f>
        <v/>
      </c>
      <c r="H297" s="14">
        <f>IF(B297="","",SUMIFS(Timesheet!$O$6:$O$2005,Timesheet!$P$6:$P$2005,B297))</f>
        <v/>
      </c>
      <c r="I297" s="14">
        <f>IF(B297="","",ROUND(H297*N(Settings!$C$12),2))</f>
        <v/>
      </c>
      <c r="J297" s="26">
        <f>IF(B297="","",H297+I297)</f>
        <v/>
      </c>
      <c r="K297" s="27">
        <f>IF(OR(B297="",D297=""),"",D297+IFERROR(IF(INDEX(Clients!$H$6:$H$45,MATCH(C297,Clients!$B$6:$B$45,0))="",N(Settings!$C$13),INDEX(Clients!$H$6:$H$45,MATCH(C297,Clients!$B$6:$B$45,0))),N(Settings!$C$13)))</f>
        <v/>
      </c>
      <c r="L297" s="16" t="n"/>
      <c r="M297" s="15">
        <f>IF(B297="","",IF(L297&lt;&gt;"","Paid",IF(D297="","Draft",IF(K297&lt;TODAY(),"Overdue "&amp;(TODAY()-K297)&amp;IF(TODAY()-K297=1," day"," days"),"Waiting"))))</f>
        <v/>
      </c>
      <c r="N297" s="1" t="n"/>
      <c r="O297">
        <f>IF(B297="","",ROW()-5)</f>
        <v/>
      </c>
      <c r="P297">
        <f>IF(OR(B297="",L297&lt;&gt;"",D297=""),"",K297+ROW()/10000000)</f>
        <v/>
      </c>
    </row>
    <row r="298">
      <c r="A298" s="1" t="n"/>
      <c r="B298" s="17" t="n"/>
      <c r="C298" s="18" t="n"/>
      <c r="D298" s="16" t="n"/>
      <c r="E298" s="16" t="n"/>
      <c r="F298" s="16" t="n"/>
      <c r="G298" s="25">
        <f>IF(B298="","",SUMIFS(Timesheet!$M$6:$M$2005,Timesheet!$P$6:$P$2005,B298))</f>
        <v/>
      </c>
      <c r="H298" s="14">
        <f>IF(B298="","",SUMIFS(Timesheet!$O$6:$O$2005,Timesheet!$P$6:$P$2005,B298))</f>
        <v/>
      </c>
      <c r="I298" s="14">
        <f>IF(B298="","",ROUND(H298*N(Settings!$C$12),2))</f>
        <v/>
      </c>
      <c r="J298" s="26">
        <f>IF(B298="","",H298+I298)</f>
        <v/>
      </c>
      <c r="K298" s="27">
        <f>IF(OR(B298="",D298=""),"",D298+IFERROR(IF(INDEX(Clients!$H$6:$H$45,MATCH(C298,Clients!$B$6:$B$45,0))="",N(Settings!$C$13),INDEX(Clients!$H$6:$H$45,MATCH(C298,Clients!$B$6:$B$45,0))),N(Settings!$C$13)))</f>
        <v/>
      </c>
      <c r="L298" s="16" t="n"/>
      <c r="M298" s="15">
        <f>IF(B298="","",IF(L298&lt;&gt;"","Paid",IF(D298="","Draft",IF(K298&lt;TODAY(),"Overdue "&amp;(TODAY()-K298)&amp;IF(TODAY()-K298=1," day"," days"),"Waiting"))))</f>
        <v/>
      </c>
      <c r="N298" s="1" t="n"/>
      <c r="O298">
        <f>IF(B298="","",ROW()-5)</f>
        <v/>
      </c>
      <c r="P298">
        <f>IF(OR(B298="",L298&lt;&gt;"",D298=""),"",K298+ROW()/10000000)</f>
        <v/>
      </c>
    </row>
    <row r="299">
      <c r="A299" s="1" t="n"/>
      <c r="B299" s="17" t="n"/>
      <c r="C299" s="18" t="n"/>
      <c r="D299" s="16" t="n"/>
      <c r="E299" s="16" t="n"/>
      <c r="F299" s="16" t="n"/>
      <c r="G299" s="25">
        <f>IF(B299="","",SUMIFS(Timesheet!$M$6:$M$2005,Timesheet!$P$6:$P$2005,B299))</f>
        <v/>
      </c>
      <c r="H299" s="14">
        <f>IF(B299="","",SUMIFS(Timesheet!$O$6:$O$2005,Timesheet!$P$6:$P$2005,B299))</f>
        <v/>
      </c>
      <c r="I299" s="14">
        <f>IF(B299="","",ROUND(H299*N(Settings!$C$12),2))</f>
        <v/>
      </c>
      <c r="J299" s="26">
        <f>IF(B299="","",H299+I299)</f>
        <v/>
      </c>
      <c r="K299" s="27">
        <f>IF(OR(B299="",D299=""),"",D299+IFERROR(IF(INDEX(Clients!$H$6:$H$45,MATCH(C299,Clients!$B$6:$B$45,0))="",N(Settings!$C$13),INDEX(Clients!$H$6:$H$45,MATCH(C299,Clients!$B$6:$B$45,0))),N(Settings!$C$13)))</f>
        <v/>
      </c>
      <c r="L299" s="16" t="n"/>
      <c r="M299" s="15">
        <f>IF(B299="","",IF(L299&lt;&gt;"","Paid",IF(D299="","Draft",IF(K299&lt;TODAY(),"Overdue "&amp;(TODAY()-K299)&amp;IF(TODAY()-K299=1," day"," days"),"Waiting"))))</f>
        <v/>
      </c>
      <c r="N299" s="1" t="n"/>
      <c r="O299">
        <f>IF(B299="","",ROW()-5)</f>
        <v/>
      </c>
      <c r="P299">
        <f>IF(OR(B299="",L299&lt;&gt;"",D299=""),"",K299+ROW()/10000000)</f>
        <v/>
      </c>
    </row>
    <row r="300">
      <c r="A300" s="1" t="n"/>
      <c r="B300" s="17" t="n"/>
      <c r="C300" s="18" t="n"/>
      <c r="D300" s="16" t="n"/>
      <c r="E300" s="16" t="n"/>
      <c r="F300" s="16" t="n"/>
      <c r="G300" s="25">
        <f>IF(B300="","",SUMIFS(Timesheet!$M$6:$M$2005,Timesheet!$P$6:$P$2005,B300))</f>
        <v/>
      </c>
      <c r="H300" s="14">
        <f>IF(B300="","",SUMIFS(Timesheet!$O$6:$O$2005,Timesheet!$P$6:$P$2005,B300))</f>
        <v/>
      </c>
      <c r="I300" s="14">
        <f>IF(B300="","",ROUND(H300*N(Settings!$C$12),2))</f>
        <v/>
      </c>
      <c r="J300" s="26">
        <f>IF(B300="","",H300+I300)</f>
        <v/>
      </c>
      <c r="K300" s="27">
        <f>IF(OR(B300="",D300=""),"",D300+IFERROR(IF(INDEX(Clients!$H$6:$H$45,MATCH(C300,Clients!$B$6:$B$45,0))="",N(Settings!$C$13),INDEX(Clients!$H$6:$H$45,MATCH(C300,Clients!$B$6:$B$45,0))),N(Settings!$C$13)))</f>
        <v/>
      </c>
      <c r="L300" s="16" t="n"/>
      <c r="M300" s="15">
        <f>IF(B300="","",IF(L300&lt;&gt;"","Paid",IF(D300="","Draft",IF(K300&lt;TODAY(),"Overdue "&amp;(TODAY()-K300)&amp;IF(TODAY()-K300=1," day"," days"),"Waiting"))))</f>
        <v/>
      </c>
      <c r="N300" s="1" t="n"/>
      <c r="O300">
        <f>IF(B300="","",ROW()-5)</f>
        <v/>
      </c>
      <c r="P300">
        <f>IF(OR(B300="",L300&lt;&gt;"",D300=""),"",K300+ROW()/10000000)</f>
        <v/>
      </c>
    </row>
    <row r="301">
      <c r="A301" s="1" t="n"/>
      <c r="B301" s="17" t="n"/>
      <c r="C301" s="18" t="n"/>
      <c r="D301" s="16" t="n"/>
      <c r="E301" s="16" t="n"/>
      <c r="F301" s="16" t="n"/>
      <c r="G301" s="25">
        <f>IF(B301="","",SUMIFS(Timesheet!$M$6:$M$2005,Timesheet!$P$6:$P$2005,B301))</f>
        <v/>
      </c>
      <c r="H301" s="14">
        <f>IF(B301="","",SUMIFS(Timesheet!$O$6:$O$2005,Timesheet!$P$6:$P$2005,B301))</f>
        <v/>
      </c>
      <c r="I301" s="14">
        <f>IF(B301="","",ROUND(H301*N(Settings!$C$12),2))</f>
        <v/>
      </c>
      <c r="J301" s="26">
        <f>IF(B301="","",H301+I301)</f>
        <v/>
      </c>
      <c r="K301" s="27">
        <f>IF(OR(B301="",D301=""),"",D301+IFERROR(IF(INDEX(Clients!$H$6:$H$45,MATCH(C301,Clients!$B$6:$B$45,0))="",N(Settings!$C$13),INDEX(Clients!$H$6:$H$45,MATCH(C301,Clients!$B$6:$B$45,0))),N(Settings!$C$13)))</f>
        <v/>
      </c>
      <c r="L301" s="16" t="n"/>
      <c r="M301" s="15">
        <f>IF(B301="","",IF(L301&lt;&gt;"","Paid",IF(D301="","Draft",IF(K301&lt;TODAY(),"Overdue "&amp;(TODAY()-K301)&amp;IF(TODAY()-K301=1," day"," days"),"Waiting"))))</f>
        <v/>
      </c>
      <c r="N301" s="1" t="n"/>
      <c r="O301">
        <f>IF(B301="","",ROW()-5)</f>
        <v/>
      </c>
      <c r="P301">
        <f>IF(OR(B301="",L301&lt;&gt;"",D301=""),"",K301+ROW()/10000000)</f>
        <v/>
      </c>
    </row>
    <row r="302">
      <c r="A302" s="1" t="n"/>
      <c r="B302" s="17" t="n"/>
      <c r="C302" s="18" t="n"/>
      <c r="D302" s="16" t="n"/>
      <c r="E302" s="16" t="n"/>
      <c r="F302" s="16" t="n"/>
      <c r="G302" s="25">
        <f>IF(B302="","",SUMIFS(Timesheet!$M$6:$M$2005,Timesheet!$P$6:$P$2005,B302))</f>
        <v/>
      </c>
      <c r="H302" s="14">
        <f>IF(B302="","",SUMIFS(Timesheet!$O$6:$O$2005,Timesheet!$P$6:$P$2005,B302))</f>
        <v/>
      </c>
      <c r="I302" s="14">
        <f>IF(B302="","",ROUND(H302*N(Settings!$C$12),2))</f>
        <v/>
      </c>
      <c r="J302" s="26">
        <f>IF(B302="","",H302+I302)</f>
        <v/>
      </c>
      <c r="K302" s="27">
        <f>IF(OR(B302="",D302=""),"",D302+IFERROR(IF(INDEX(Clients!$H$6:$H$45,MATCH(C302,Clients!$B$6:$B$45,0))="",N(Settings!$C$13),INDEX(Clients!$H$6:$H$45,MATCH(C302,Clients!$B$6:$B$45,0))),N(Settings!$C$13)))</f>
        <v/>
      </c>
      <c r="L302" s="16" t="n"/>
      <c r="M302" s="15">
        <f>IF(B302="","",IF(L302&lt;&gt;"","Paid",IF(D302="","Draft",IF(K302&lt;TODAY(),"Overdue "&amp;(TODAY()-K302)&amp;IF(TODAY()-K302=1," day"," days"),"Waiting"))))</f>
        <v/>
      </c>
      <c r="N302" s="1" t="n"/>
      <c r="O302">
        <f>IF(B302="","",ROW()-5)</f>
        <v/>
      </c>
      <c r="P302">
        <f>IF(OR(B302="",L302&lt;&gt;"",D302=""),"",K302+ROW()/10000000)</f>
        <v/>
      </c>
    </row>
    <row r="303">
      <c r="A303" s="1" t="n"/>
      <c r="B303" s="17" t="n"/>
      <c r="C303" s="18" t="n"/>
      <c r="D303" s="16" t="n"/>
      <c r="E303" s="16" t="n"/>
      <c r="F303" s="16" t="n"/>
      <c r="G303" s="25">
        <f>IF(B303="","",SUMIFS(Timesheet!$M$6:$M$2005,Timesheet!$P$6:$P$2005,B303))</f>
        <v/>
      </c>
      <c r="H303" s="14">
        <f>IF(B303="","",SUMIFS(Timesheet!$O$6:$O$2005,Timesheet!$P$6:$P$2005,B303))</f>
        <v/>
      </c>
      <c r="I303" s="14">
        <f>IF(B303="","",ROUND(H303*N(Settings!$C$12),2))</f>
        <v/>
      </c>
      <c r="J303" s="26">
        <f>IF(B303="","",H303+I303)</f>
        <v/>
      </c>
      <c r="K303" s="27">
        <f>IF(OR(B303="",D303=""),"",D303+IFERROR(IF(INDEX(Clients!$H$6:$H$45,MATCH(C303,Clients!$B$6:$B$45,0))="",N(Settings!$C$13),INDEX(Clients!$H$6:$H$45,MATCH(C303,Clients!$B$6:$B$45,0))),N(Settings!$C$13)))</f>
        <v/>
      </c>
      <c r="L303" s="16" t="n"/>
      <c r="M303" s="15">
        <f>IF(B303="","",IF(L303&lt;&gt;"","Paid",IF(D303="","Draft",IF(K303&lt;TODAY(),"Overdue "&amp;(TODAY()-K303)&amp;IF(TODAY()-K303=1," day"," days"),"Waiting"))))</f>
        <v/>
      </c>
      <c r="N303" s="1" t="n"/>
      <c r="O303">
        <f>IF(B303="","",ROW()-5)</f>
        <v/>
      </c>
      <c r="P303">
        <f>IF(OR(B303="",L303&lt;&gt;"",D303=""),"",K303+ROW()/10000000)</f>
        <v/>
      </c>
    </row>
    <row r="304">
      <c r="A304" s="1" t="n"/>
      <c r="B304" s="17" t="n"/>
      <c r="C304" s="18" t="n"/>
      <c r="D304" s="16" t="n"/>
      <c r="E304" s="16" t="n"/>
      <c r="F304" s="16" t="n"/>
      <c r="G304" s="25">
        <f>IF(B304="","",SUMIFS(Timesheet!$M$6:$M$2005,Timesheet!$P$6:$P$2005,B304))</f>
        <v/>
      </c>
      <c r="H304" s="14">
        <f>IF(B304="","",SUMIFS(Timesheet!$O$6:$O$2005,Timesheet!$P$6:$P$2005,B304))</f>
        <v/>
      </c>
      <c r="I304" s="14">
        <f>IF(B304="","",ROUND(H304*N(Settings!$C$12),2))</f>
        <v/>
      </c>
      <c r="J304" s="26">
        <f>IF(B304="","",H304+I304)</f>
        <v/>
      </c>
      <c r="K304" s="27">
        <f>IF(OR(B304="",D304=""),"",D304+IFERROR(IF(INDEX(Clients!$H$6:$H$45,MATCH(C304,Clients!$B$6:$B$45,0))="",N(Settings!$C$13),INDEX(Clients!$H$6:$H$45,MATCH(C304,Clients!$B$6:$B$45,0))),N(Settings!$C$13)))</f>
        <v/>
      </c>
      <c r="L304" s="16" t="n"/>
      <c r="M304" s="15">
        <f>IF(B304="","",IF(L304&lt;&gt;"","Paid",IF(D304="","Draft",IF(K304&lt;TODAY(),"Overdue "&amp;(TODAY()-K304)&amp;IF(TODAY()-K304=1," day"," days"),"Waiting"))))</f>
        <v/>
      </c>
      <c r="N304" s="1" t="n"/>
      <c r="O304">
        <f>IF(B304="","",ROW()-5)</f>
        <v/>
      </c>
      <c r="P304">
        <f>IF(OR(B304="",L304&lt;&gt;"",D304=""),"",K304+ROW()/10000000)</f>
        <v/>
      </c>
    </row>
    <row r="305">
      <c r="A305" s="1" t="n"/>
      <c r="B305" s="17" t="n"/>
      <c r="C305" s="18" t="n"/>
      <c r="D305" s="16" t="n"/>
      <c r="E305" s="16" t="n"/>
      <c r="F305" s="16" t="n"/>
      <c r="G305" s="25">
        <f>IF(B305="","",SUMIFS(Timesheet!$M$6:$M$2005,Timesheet!$P$6:$P$2005,B305))</f>
        <v/>
      </c>
      <c r="H305" s="14">
        <f>IF(B305="","",SUMIFS(Timesheet!$O$6:$O$2005,Timesheet!$P$6:$P$2005,B305))</f>
        <v/>
      </c>
      <c r="I305" s="14">
        <f>IF(B305="","",ROUND(H305*N(Settings!$C$12),2))</f>
        <v/>
      </c>
      <c r="J305" s="26">
        <f>IF(B305="","",H305+I305)</f>
        <v/>
      </c>
      <c r="K305" s="27">
        <f>IF(OR(B305="",D305=""),"",D305+IFERROR(IF(INDEX(Clients!$H$6:$H$45,MATCH(C305,Clients!$B$6:$B$45,0))="",N(Settings!$C$13),INDEX(Clients!$H$6:$H$45,MATCH(C305,Clients!$B$6:$B$45,0))),N(Settings!$C$13)))</f>
        <v/>
      </c>
      <c r="L305" s="16" t="n"/>
      <c r="M305" s="15">
        <f>IF(B305="","",IF(L305&lt;&gt;"","Paid",IF(D305="","Draft",IF(K305&lt;TODAY(),"Overdue "&amp;(TODAY()-K305)&amp;IF(TODAY()-K305=1," day"," days"),"Waiting"))))</f>
        <v/>
      </c>
      <c r="N305" s="1" t="n"/>
      <c r="O305">
        <f>IF(B305="","",ROW()-5)</f>
        <v/>
      </c>
      <c r="P305">
        <f>IF(OR(B305="",L305&lt;&gt;"",D305=""),"",K305+ROW()/10000000)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</sheetData>
  <conditionalFormatting sqref="M6:M305">
    <cfRule type="expression" priority="1" dxfId="3">
      <formula>M6="Paid"</formula>
    </cfRule>
    <cfRule type="expression" priority="2" dxfId="1">
      <formula>LEFT(M6,7)="Overdue"</formula>
    </cfRule>
    <cfRule type="expression" priority="3" dxfId="2">
      <formula>OR(M6="Waiting",M6="Draft")</formula>
    </cfRule>
  </conditionalFormatting>
  <conditionalFormatting sqref="E6:F305">
    <cfRule type="expression" priority="4" dxfId="2">
      <formula>AND($B6&lt;&gt;"",E6="")</formula>
    </cfRule>
  </conditionalFormatting>
  <conditionalFormatting sqref="B6:B305">
    <cfRule type="expression" priority="5" dxfId="1">
      <formula>AND(B6&lt;&gt;"",COUNTIF($B$6:$B$305,B6)&gt;1)</formula>
    </cfRule>
  </conditionalFormatting>
  <dataValidations count="1">
    <dataValidation sqref="C6:C305" showDropDown="0" showInputMessage="0" showErrorMessage="1" allowBlank="1" type="list">
      <formula1>=Clients!$B$6:$B$45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4" customWidth="1" min="4" max="4"/>
    <col width="9" customWidth="1" min="5" max="5"/>
    <col width="11" customWidth="1" min="6" max="6"/>
    <col width="14" customWidth="1" min="7" max="7"/>
    <col width="4" customWidth="1" min="8" max="8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8">
        <f>Settings!$C$4</f>
        <v/>
      </c>
      <c r="C2" s="1" t="n"/>
      <c r="D2" s="1" t="n"/>
      <c r="E2" s="1" t="n"/>
      <c r="F2" s="29" t="inlineStr">
        <is>
          <t>Invoice</t>
        </is>
      </c>
      <c r="H2" s="1" t="n"/>
      <c r="I2" s="1" t="n"/>
    </row>
    <row r="3">
      <c r="A3" s="1" t="n"/>
      <c r="B3" s="30">
        <f>IF(Settings!$C$5="","",Settings!$C$5)</f>
        <v/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30">
        <f>IF(Settings!$C$6="","",Settings!$C$6)</f>
        <v/>
      </c>
      <c r="C4" s="1" t="n"/>
      <c r="D4" s="1" t="n"/>
      <c r="E4" s="1" t="n"/>
      <c r="F4" s="31" t="inlineStr">
        <is>
          <t>Number</t>
        </is>
      </c>
      <c r="G4" s="32" t="inlineStr">
        <is>
          <t>RDS-2026-009</t>
        </is>
      </c>
      <c r="H4" s="1" t="n"/>
      <c r="I4" s="1" t="n"/>
      <c r="N4">
        <f>IFERROR(MATCH(Invoice!$G$4,Invoices!$B$6:$B$305,0),0)</f>
        <v/>
      </c>
    </row>
    <row r="5">
      <c r="A5" s="1" t="n"/>
      <c r="B5" s="30">
        <f>IF(Settings!$C$7="","",Settings!$C$7)</f>
        <v/>
      </c>
      <c r="C5" s="1" t="n"/>
      <c r="D5" s="1" t="n"/>
      <c r="E5" s="1" t="n"/>
      <c r="F5" s="31" t="inlineStr">
        <is>
          <t>Date</t>
        </is>
      </c>
      <c r="G5" s="33">
        <f>IF(N4=0,"",IF(INDEX(Invoices!$D$6:$D$305,N4)="","Draft",INDEX(Invoices!$D$6:$D$305,N4)))</f>
        <v/>
      </c>
      <c r="H5" s="1" t="n"/>
      <c r="I5" s="1" t="n"/>
      <c r="N5">
        <f>IF(N4=0,"",IF(INDEX(Invoices!$C$6:$C$305,N4)="","",INDEX(Invoices!$C$6:$C$305,N4)))</f>
        <v/>
      </c>
    </row>
    <row r="6">
      <c r="A6" s="1" t="n"/>
      <c r="B6" s="30">
        <f>IF(Settings!$C$8="","",Settings!$C$8)</f>
        <v/>
      </c>
      <c r="C6" s="1" t="n"/>
      <c r="D6" s="1" t="n"/>
      <c r="E6" s="1" t="n"/>
      <c r="F6" s="31" t="inlineStr">
        <is>
          <t>Due</t>
        </is>
      </c>
      <c r="G6" s="33">
        <f>IF(N4=0,"",IF(INDEX(Invoices!$K$6:$K$305,N4)="","",INDEX(Invoices!$K$6:$K$305,N4)))</f>
        <v/>
      </c>
      <c r="H6" s="1" t="n"/>
      <c r="I6" s="1" t="n"/>
    </row>
    <row r="7">
      <c r="A7" s="1" t="n"/>
      <c r="B7" s="30">
        <f>IF(Settings!$C$9="","","Tax number "&amp;Settings!$C$9)</f>
        <v/>
      </c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34" t="inlineStr">
        <is>
          <t>Bill to</t>
        </is>
      </c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35">
        <f>N5</f>
        <v/>
      </c>
      <c r="C10" s="1" t="n"/>
      <c r="D10" s="1" t="n"/>
      <c r="E10" s="1" t="n"/>
      <c r="F10" s="31" t="inlineStr">
        <is>
          <t>Work from</t>
        </is>
      </c>
      <c r="G10" s="33">
        <f>IF(N4=0,"",IF(INDEX(Invoices!$E$6:$E$305,N4)="","",INDEX(Invoices!$E$6:$E$305,N4)))</f>
        <v/>
      </c>
      <c r="H10" s="1" t="n"/>
      <c r="I10" s="1" t="n"/>
    </row>
    <row r="11">
      <c r="A11" s="1" t="n"/>
      <c r="B11" s="36">
        <f>IF(IFERROR(INDEX(Clients!$C$6:$C$45,MATCH($N$5,Clients!$B$6:$B$45,0)),"")="","",IFERROR(INDEX(Clients!$C$6:$C$45,MATCH($N$5,Clients!$B$6:$B$45,0)),""))</f>
        <v/>
      </c>
      <c r="C11" s="1" t="n"/>
      <c r="D11" s="1" t="n"/>
      <c r="E11" s="1" t="n"/>
      <c r="F11" s="31" t="inlineStr">
        <is>
          <t>Work to</t>
        </is>
      </c>
      <c r="G11" s="33">
        <f>IF(N4=0,"",IF(INDEX(Invoices!$F$6:$F$305,N4)="","",INDEX(Invoices!$F$6:$F$305,N4)))</f>
        <v/>
      </c>
      <c r="H11" s="1" t="n"/>
      <c r="I11" s="1" t="n"/>
    </row>
    <row r="12">
      <c r="A12" s="1" t="n"/>
      <c r="B12" s="36">
        <f>IF(IFERROR(INDEX(Clients!$E$6:$E$45,MATCH($N$5,Clients!$B$6:$B$45,0)),"")="","",IFERROR(INDEX(Clients!$E$6:$E$45,MATCH($N$5,Clients!$B$6:$B$45,0)),""))</f>
        <v/>
      </c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36">
        <f>IF(IFERROR(INDEX(Clients!$F$6:$F$45,MATCH($N$5,Clients!$B$6:$B$45,0)),"")="","",IFERROR(INDEX(Clients!$F$6:$F$45,MATCH($N$5,Clients!$B$6:$B$45,0)),""))</f>
        <v/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36">
        <f>IF(IFERROR(INDEX(Clients!$D$6:$D$45,MATCH($N$5,Clients!$B$6:$B$45,0)),"")="","",IFERROR(INDEX(Clients!$D$6:$D$45,MATCH($N$5,Clients!$B$6:$B$45,0)),""))</f>
        <v/>
      </c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30" customHeight="1">
      <c r="A16" s="1" t="n"/>
      <c r="B16" s="37" t="inlineStr">
        <is>
          <t>Description</t>
        </is>
      </c>
      <c r="C16" s="38" t="n"/>
      <c r="D16" s="39" t="n"/>
      <c r="E16" s="9" t="inlineStr">
        <is>
          <t>Hours</t>
        </is>
      </c>
      <c r="F16" s="9" t="inlineStr">
        <is>
          <t>Rate</t>
        </is>
      </c>
      <c r="G16" s="9" t="inlineStr">
        <is>
          <t>Amount</t>
        </is>
      </c>
      <c r="H16" s="1" t="n"/>
      <c r="I16" s="1" t="n"/>
    </row>
    <row r="17" ht="19" customHeight="1">
      <c r="A17" s="1" t="n"/>
      <c r="B17" s="40">
        <f>IF(N17="",IF(Invoice!$G$4="","Pick the invoice number at the top right.",IF(N4=0,"This number is not on the Invoices tab.","No work matches: check the client and the dates on the Invoices tab.")),INDEX(Timesheet!$S$6:$S$2005,MATCH(N17,Timesheet!$T$6:$T$2005,0)))</f>
        <v/>
      </c>
      <c r="C17" s="41" t="n"/>
      <c r="D17" s="41" t="n"/>
      <c r="E17" s="42">
        <f>IF(N17="","",SUMIFS(Timesheet!$M$6:$M$2005,Timesheet!$R$6:$R$2005,"&gt;0",Timesheet!$S$6:$S$2005,B17,Timesheet!$N$6:$N$2005,F17))</f>
        <v/>
      </c>
      <c r="F17" s="43">
        <f>IF(N17="","",INDEX(Timesheet!$N$6:$N$2005,MATCH(N17,Timesheet!$T$6:$T$2005,0)))</f>
        <v/>
      </c>
      <c r="G17" s="43">
        <f>IF(N17="","",SUMIFS(Timesheet!$O$6:$O$2005,Timesheet!$R$6:$R$2005,"&gt;0",Timesheet!$S$6:$S$2005,B17,Timesheet!$N$6:$N$2005,F17))</f>
        <v/>
      </c>
      <c r="H17" s="1" t="n"/>
      <c r="I17" s="1" t="n"/>
      <c r="N17">
        <f>IFERROR(SMALL(Timesheet!$T$6:$T$2005,1),"")</f>
        <v/>
      </c>
    </row>
    <row r="18" ht="19" customHeight="1">
      <c r="A18" s="1" t="n"/>
      <c r="B18" s="40">
        <f>IF(N18="","",INDEX(Timesheet!$S$6:$S$2005,MATCH(N18,Timesheet!$T$6:$T$2005,0)))</f>
        <v/>
      </c>
      <c r="C18" s="41" t="n"/>
      <c r="D18" s="41" t="n"/>
      <c r="E18" s="42">
        <f>IF(N18="","",SUMIFS(Timesheet!$M$6:$M$2005,Timesheet!$R$6:$R$2005,"&gt;0",Timesheet!$S$6:$S$2005,B18,Timesheet!$N$6:$N$2005,F18))</f>
        <v/>
      </c>
      <c r="F18" s="43">
        <f>IF(N18="","",INDEX(Timesheet!$N$6:$N$2005,MATCH(N18,Timesheet!$T$6:$T$2005,0)))</f>
        <v/>
      </c>
      <c r="G18" s="43">
        <f>IF(N18="","",SUMIFS(Timesheet!$O$6:$O$2005,Timesheet!$R$6:$R$2005,"&gt;0",Timesheet!$S$6:$S$2005,B18,Timesheet!$N$6:$N$2005,F18))</f>
        <v/>
      </c>
      <c r="H18" s="1" t="n"/>
      <c r="I18" s="1" t="n"/>
      <c r="N18">
        <f>IFERROR(SMALL(Timesheet!$T$6:$T$2005,2),"")</f>
        <v/>
      </c>
    </row>
    <row r="19" ht="19" customHeight="1">
      <c r="A19" s="1" t="n"/>
      <c r="B19" s="40">
        <f>IF(N19="","",INDEX(Timesheet!$S$6:$S$2005,MATCH(N19,Timesheet!$T$6:$T$2005,0)))</f>
        <v/>
      </c>
      <c r="C19" s="41" t="n"/>
      <c r="D19" s="41" t="n"/>
      <c r="E19" s="42">
        <f>IF(N19="","",SUMIFS(Timesheet!$M$6:$M$2005,Timesheet!$R$6:$R$2005,"&gt;0",Timesheet!$S$6:$S$2005,B19,Timesheet!$N$6:$N$2005,F19))</f>
        <v/>
      </c>
      <c r="F19" s="43">
        <f>IF(N19="","",INDEX(Timesheet!$N$6:$N$2005,MATCH(N19,Timesheet!$T$6:$T$2005,0)))</f>
        <v/>
      </c>
      <c r="G19" s="43">
        <f>IF(N19="","",SUMIFS(Timesheet!$O$6:$O$2005,Timesheet!$R$6:$R$2005,"&gt;0",Timesheet!$S$6:$S$2005,B19,Timesheet!$N$6:$N$2005,F19))</f>
        <v/>
      </c>
      <c r="H19" s="1" t="n"/>
      <c r="I19" s="1" t="n"/>
      <c r="N19">
        <f>IFERROR(SMALL(Timesheet!$T$6:$T$2005,3),"")</f>
        <v/>
      </c>
    </row>
    <row r="20" ht="19" customHeight="1">
      <c r="A20" s="1" t="n"/>
      <c r="B20" s="40">
        <f>IF(N20="","",INDEX(Timesheet!$S$6:$S$2005,MATCH(N20,Timesheet!$T$6:$T$2005,0)))</f>
        <v/>
      </c>
      <c r="C20" s="41" t="n"/>
      <c r="D20" s="41" t="n"/>
      <c r="E20" s="42">
        <f>IF(N20="","",SUMIFS(Timesheet!$M$6:$M$2005,Timesheet!$R$6:$R$2005,"&gt;0",Timesheet!$S$6:$S$2005,B20,Timesheet!$N$6:$N$2005,F20))</f>
        <v/>
      </c>
      <c r="F20" s="43">
        <f>IF(N20="","",INDEX(Timesheet!$N$6:$N$2005,MATCH(N20,Timesheet!$T$6:$T$2005,0)))</f>
        <v/>
      </c>
      <c r="G20" s="43">
        <f>IF(N20="","",SUMIFS(Timesheet!$O$6:$O$2005,Timesheet!$R$6:$R$2005,"&gt;0",Timesheet!$S$6:$S$2005,B20,Timesheet!$N$6:$N$2005,F20))</f>
        <v/>
      </c>
      <c r="H20" s="1" t="n"/>
      <c r="I20" s="1" t="n"/>
      <c r="N20">
        <f>IFERROR(SMALL(Timesheet!$T$6:$T$2005,4),"")</f>
        <v/>
      </c>
    </row>
    <row r="21" ht="19" customHeight="1">
      <c r="A21" s="1" t="n"/>
      <c r="B21" s="40">
        <f>IF(N21="","",INDEX(Timesheet!$S$6:$S$2005,MATCH(N21,Timesheet!$T$6:$T$2005,0)))</f>
        <v/>
      </c>
      <c r="C21" s="41" t="n"/>
      <c r="D21" s="41" t="n"/>
      <c r="E21" s="42">
        <f>IF(N21="","",SUMIFS(Timesheet!$M$6:$M$2005,Timesheet!$R$6:$R$2005,"&gt;0",Timesheet!$S$6:$S$2005,B21,Timesheet!$N$6:$N$2005,F21))</f>
        <v/>
      </c>
      <c r="F21" s="43">
        <f>IF(N21="","",INDEX(Timesheet!$N$6:$N$2005,MATCH(N21,Timesheet!$T$6:$T$2005,0)))</f>
        <v/>
      </c>
      <c r="G21" s="43">
        <f>IF(N21="","",SUMIFS(Timesheet!$O$6:$O$2005,Timesheet!$R$6:$R$2005,"&gt;0",Timesheet!$S$6:$S$2005,B21,Timesheet!$N$6:$N$2005,F21))</f>
        <v/>
      </c>
      <c r="H21" s="1" t="n"/>
      <c r="I21" s="1" t="n"/>
      <c r="N21">
        <f>IFERROR(SMALL(Timesheet!$T$6:$T$2005,5),"")</f>
        <v/>
      </c>
    </row>
    <row r="22" ht="19" customHeight="1">
      <c r="A22" s="1" t="n"/>
      <c r="B22" s="40">
        <f>IF(N22="","",INDEX(Timesheet!$S$6:$S$2005,MATCH(N22,Timesheet!$T$6:$T$2005,0)))</f>
        <v/>
      </c>
      <c r="C22" s="41" t="n"/>
      <c r="D22" s="41" t="n"/>
      <c r="E22" s="42">
        <f>IF(N22="","",SUMIFS(Timesheet!$M$6:$M$2005,Timesheet!$R$6:$R$2005,"&gt;0",Timesheet!$S$6:$S$2005,B22,Timesheet!$N$6:$N$2005,F22))</f>
        <v/>
      </c>
      <c r="F22" s="43">
        <f>IF(N22="","",INDEX(Timesheet!$N$6:$N$2005,MATCH(N22,Timesheet!$T$6:$T$2005,0)))</f>
        <v/>
      </c>
      <c r="G22" s="43">
        <f>IF(N22="","",SUMIFS(Timesheet!$O$6:$O$2005,Timesheet!$R$6:$R$2005,"&gt;0",Timesheet!$S$6:$S$2005,B22,Timesheet!$N$6:$N$2005,F22))</f>
        <v/>
      </c>
      <c r="H22" s="1" t="n"/>
      <c r="I22" s="1" t="n"/>
      <c r="N22">
        <f>IFERROR(SMALL(Timesheet!$T$6:$T$2005,6),"")</f>
        <v/>
      </c>
    </row>
    <row r="23" ht="19" customHeight="1">
      <c r="A23" s="1" t="n"/>
      <c r="B23" s="40">
        <f>IF(N23="","",INDEX(Timesheet!$S$6:$S$2005,MATCH(N23,Timesheet!$T$6:$T$2005,0)))</f>
        <v/>
      </c>
      <c r="C23" s="41" t="n"/>
      <c r="D23" s="41" t="n"/>
      <c r="E23" s="42">
        <f>IF(N23="","",SUMIFS(Timesheet!$M$6:$M$2005,Timesheet!$R$6:$R$2005,"&gt;0",Timesheet!$S$6:$S$2005,B23,Timesheet!$N$6:$N$2005,F23))</f>
        <v/>
      </c>
      <c r="F23" s="43">
        <f>IF(N23="","",INDEX(Timesheet!$N$6:$N$2005,MATCH(N23,Timesheet!$T$6:$T$2005,0)))</f>
        <v/>
      </c>
      <c r="G23" s="43">
        <f>IF(N23="","",SUMIFS(Timesheet!$O$6:$O$2005,Timesheet!$R$6:$R$2005,"&gt;0",Timesheet!$S$6:$S$2005,B23,Timesheet!$N$6:$N$2005,F23))</f>
        <v/>
      </c>
      <c r="H23" s="1" t="n"/>
      <c r="I23" s="1" t="n"/>
      <c r="N23">
        <f>IFERROR(SMALL(Timesheet!$T$6:$T$2005,7),"")</f>
        <v/>
      </c>
    </row>
    <row r="24" ht="19" customHeight="1">
      <c r="A24" s="1" t="n"/>
      <c r="B24" s="40">
        <f>IF(N24="","",INDEX(Timesheet!$S$6:$S$2005,MATCH(N24,Timesheet!$T$6:$T$2005,0)))</f>
        <v/>
      </c>
      <c r="C24" s="41" t="n"/>
      <c r="D24" s="41" t="n"/>
      <c r="E24" s="42">
        <f>IF(N24="","",SUMIFS(Timesheet!$M$6:$M$2005,Timesheet!$R$6:$R$2005,"&gt;0",Timesheet!$S$6:$S$2005,B24,Timesheet!$N$6:$N$2005,F24))</f>
        <v/>
      </c>
      <c r="F24" s="43">
        <f>IF(N24="","",INDEX(Timesheet!$N$6:$N$2005,MATCH(N24,Timesheet!$T$6:$T$2005,0)))</f>
        <v/>
      </c>
      <c r="G24" s="43">
        <f>IF(N24="","",SUMIFS(Timesheet!$O$6:$O$2005,Timesheet!$R$6:$R$2005,"&gt;0",Timesheet!$S$6:$S$2005,B24,Timesheet!$N$6:$N$2005,F24))</f>
        <v/>
      </c>
      <c r="H24" s="1" t="n"/>
      <c r="I24" s="1" t="n"/>
      <c r="N24">
        <f>IFERROR(SMALL(Timesheet!$T$6:$T$2005,8),"")</f>
        <v/>
      </c>
    </row>
    <row r="25" ht="19" customHeight="1">
      <c r="A25" s="1" t="n"/>
      <c r="B25" s="40">
        <f>IF(N25="","",INDEX(Timesheet!$S$6:$S$2005,MATCH(N25,Timesheet!$T$6:$T$2005,0)))</f>
        <v/>
      </c>
      <c r="C25" s="41" t="n"/>
      <c r="D25" s="41" t="n"/>
      <c r="E25" s="42">
        <f>IF(N25="","",SUMIFS(Timesheet!$M$6:$M$2005,Timesheet!$R$6:$R$2005,"&gt;0",Timesheet!$S$6:$S$2005,B25,Timesheet!$N$6:$N$2005,F25))</f>
        <v/>
      </c>
      <c r="F25" s="43">
        <f>IF(N25="","",INDEX(Timesheet!$N$6:$N$2005,MATCH(N25,Timesheet!$T$6:$T$2005,0)))</f>
        <v/>
      </c>
      <c r="G25" s="43">
        <f>IF(N25="","",SUMIFS(Timesheet!$O$6:$O$2005,Timesheet!$R$6:$R$2005,"&gt;0",Timesheet!$S$6:$S$2005,B25,Timesheet!$N$6:$N$2005,F25))</f>
        <v/>
      </c>
      <c r="H25" s="1" t="n"/>
      <c r="I25" s="1" t="n"/>
      <c r="N25">
        <f>IFERROR(SMALL(Timesheet!$T$6:$T$2005,9),"")</f>
        <v/>
      </c>
    </row>
    <row r="26" ht="19" customHeight="1">
      <c r="A26" s="1" t="n"/>
      <c r="B26" s="40">
        <f>IF(N26="","",INDEX(Timesheet!$S$6:$S$2005,MATCH(N26,Timesheet!$T$6:$T$2005,0)))</f>
        <v/>
      </c>
      <c r="C26" s="41" t="n"/>
      <c r="D26" s="41" t="n"/>
      <c r="E26" s="42">
        <f>IF(N26="","",SUMIFS(Timesheet!$M$6:$M$2005,Timesheet!$R$6:$R$2005,"&gt;0",Timesheet!$S$6:$S$2005,B26,Timesheet!$N$6:$N$2005,F26))</f>
        <v/>
      </c>
      <c r="F26" s="43">
        <f>IF(N26="","",INDEX(Timesheet!$N$6:$N$2005,MATCH(N26,Timesheet!$T$6:$T$2005,0)))</f>
        <v/>
      </c>
      <c r="G26" s="43">
        <f>IF(N26="","",SUMIFS(Timesheet!$O$6:$O$2005,Timesheet!$R$6:$R$2005,"&gt;0",Timesheet!$S$6:$S$2005,B26,Timesheet!$N$6:$N$2005,F26))</f>
        <v/>
      </c>
      <c r="H26" s="1" t="n"/>
      <c r="I26" s="1" t="n"/>
      <c r="N26">
        <f>IFERROR(SMALL(Timesheet!$T$6:$T$2005,10),"")</f>
        <v/>
      </c>
    </row>
    <row r="27">
      <c r="A27" s="1" t="n"/>
      <c r="B27" s="44">
        <f>IF(COUNT(Timesheet!$T$6:$T$2005)&gt;10,"More than 10 kinds of work: split them over two invoices.","")</f>
        <v/>
      </c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31" t="inlineStr">
        <is>
          <t>Total hours</t>
        </is>
      </c>
      <c r="E28" s="45">
        <f>SUMIFS(Timesheet!$M$6:$M$2005,Timesheet!$R$6:$R$2005,"&gt;0")</f>
        <v/>
      </c>
      <c r="F28" s="31" t="inlineStr">
        <is>
          <t>Before tax</t>
        </is>
      </c>
      <c r="G28" s="46">
        <f>SUMIFS(Timesheet!$O$6:$O$2005,Timesheet!$R$6:$R$2005,"&gt;0")</f>
        <v/>
      </c>
      <c r="H28" s="1" t="n"/>
      <c r="I28" s="1" t="n"/>
    </row>
    <row r="29">
      <c r="A29" s="1" t="n"/>
      <c r="B29" s="1" t="n"/>
      <c r="C29" s="1" t="n"/>
      <c r="D29" s="1" t="n"/>
      <c r="E29" s="1" t="n"/>
      <c r="F29" s="31">
        <f>IF(N(Settings!$C$12)=0,"",Settings!$C$11&amp;" "&amp;ROUND(N(Settings!$C$12)*100,1)&amp;"%")</f>
        <v/>
      </c>
      <c r="G29" s="46">
        <f>IF(N(Settings!$C$12)=0,"",ROUND(G28*N(Settings!$C$12),2))</f>
        <v/>
      </c>
      <c r="H29" s="1" t="n"/>
      <c r="I29" s="1" t="n"/>
    </row>
    <row r="30">
      <c r="A30" s="1" t="n"/>
      <c r="B30" s="1" t="n"/>
      <c r="C30" s="1" t="n"/>
      <c r="D30" s="1" t="n"/>
      <c r="E30" s="1" t="n"/>
      <c r="F30" s="47">
        <f>"Total ("&amp;Settings!$C$10&amp;")"</f>
        <v/>
      </c>
      <c r="G30" s="48">
        <f>G28+N(G29)</f>
        <v/>
      </c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34" t="inlineStr">
        <is>
          <t>How to pay</t>
        </is>
      </c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36">
        <f>IF(Settings!$C$14="","",Settings!$C$14)</f>
        <v/>
      </c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36">
        <f>IF(Settings!$C$15="","",Settings!$C$15)</f>
        <v/>
      </c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36">
        <f>IF(G4="","",IF(G6="","Please quote "&amp;G4&amp;" when you pay.","Please pay by "&amp;DAY(G6)&amp;" "&amp;CHOOSE(MONTH(G6),"January","February","March","April","May","June","July","August","September","October","November","December")&amp;" "&amp;YEAR(G6)&amp;", quoting "&amp;G4&amp;"."))</f>
        <v/>
      </c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49">
        <f>IF(Settings!$C$16="","",Settings!$C$16)</f>
        <v/>
      </c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</sheetData>
  <mergeCells count="2">
    <mergeCell ref="F2:G2"/>
    <mergeCell ref="B16:D16"/>
  </mergeCells>
  <conditionalFormatting sqref="B17">
    <cfRule type="expression" priority="1" dxfId="5">
      <formula>$N$17=""</formula>
    </cfRule>
  </conditionalFormatting>
  <dataValidations count="1">
    <dataValidation sqref="G4" showDropDown="0" showInputMessage="1" showErrorMessage="1" allowBlank="1" promptTitle="Which invoice" prompt="Pick its number. Add the invoice on the Invoices tab first." type="list">
      <formula1>=Invoices!$B$6:$B$305</formula1>
    </dataValidation>
  </dataValidation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22" customWidth="1" min="3" max="3"/>
    <col width="36" customWidth="1" min="4" max="4"/>
    <col width="7" customWidth="1" min="5" max="5"/>
    <col width="7" customWidth="1" min="6" max="6"/>
    <col width="8" customWidth="1" min="7" max="7"/>
    <col width="11" customWidth="1" min="8" max="8"/>
    <col width="3" customWidth="1" min="9" max="9"/>
    <col hidden="1" width="1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8">
        <f>IF(Invoice!$G$4="","Hours report","Hours for invoice "&amp;Invoice!$G$4)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>
        <f>Invoice!$N$5&amp;IF(OR(Invoice!$G$10="",Invoice!$G$11=""),"",", work from "&amp;DAY(Invoice!$G$10)&amp;" "&amp;CHOOSE(MONTH(Invoice!$G$10),"Jan","Feb","Mar","Apr","May","Jun","Jul","Aug","Sep","Oct","Nov","Dec")&amp;" to "&amp;DAY(Invoice!$G$11)&amp;" "&amp;CHOOSE(MONTH(Invoice!$G$11),"January","February","March","April","May","June","July","August","September","October","November","December")&amp;" "&amp;YEAR(Invoice!$G$11))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50">
        <f>Settings!$C$4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30" customHeight="1">
      <c r="A6" s="1" t="n"/>
      <c r="B6" s="9" t="inlineStr">
        <is>
          <t>Date</t>
        </is>
      </c>
      <c r="C6" s="9" t="inlineStr">
        <is>
          <t>Project</t>
        </is>
      </c>
      <c r="D6" s="9" t="inlineStr">
        <is>
          <t>What</t>
        </is>
      </c>
      <c r="E6" s="9" t="inlineStr">
        <is>
          <t>Start</t>
        </is>
      </c>
      <c r="F6" s="9" t="inlineStr">
        <is>
          <t>End</t>
        </is>
      </c>
      <c r="G6" s="9" t="inlineStr">
        <is>
          <t>Hours</t>
        </is>
      </c>
      <c r="H6" s="9" t="inlineStr">
        <is>
          <t>Amount</t>
        </is>
      </c>
      <c r="I6" s="1" t="n"/>
      <c r="J6" s="1" t="n"/>
      <c r="K6" s="1" t="n"/>
    </row>
    <row r="7">
      <c r="A7" s="1" t="n"/>
      <c r="B7" s="51">
        <f>IF(J7="","",INT(J7))</f>
        <v/>
      </c>
      <c r="C7" s="52">
        <f>IF(J7="","",IF(INDEX(Timesheet!$D$6:$D$2005,MATCH(J7,Timesheet!$R$6:$R$2005,0))="","",INDEX(Timesheet!$D$6:$D$2005,MATCH(J7,Timesheet!$R$6:$R$2005,0))))</f>
        <v/>
      </c>
      <c r="D7" s="52">
        <f>IF(J7="","",IF(INDEX(Timesheet!$E$6:$E$2005,MATCH(J7,Timesheet!$R$6:$R$2005,0))="","",INDEX(Timesheet!$E$6:$E$2005,MATCH(J7,Timesheet!$R$6:$R$2005,0))))</f>
        <v/>
      </c>
      <c r="E7" s="53">
        <f>IF(J7="","",IF(INDEX(Timesheet!$F$6:$F$2005,MATCH(J7,Timesheet!$R$6:$R$2005,0))="","",INDEX(Timesheet!$F$6:$F$2005,MATCH(J7,Timesheet!$R$6:$R$2005,0))))</f>
        <v/>
      </c>
      <c r="F7" s="53">
        <f>IF(J7="","",IF(INDEX(Timesheet!$G$6:$G$2005,MATCH(J7,Timesheet!$R$6:$R$2005,0))="","",INDEX(Timesheet!$G$6:$G$2005,MATCH(J7,Timesheet!$R$6:$R$2005,0))))</f>
        <v/>
      </c>
      <c r="G7" s="54">
        <f>IF(J7="","",INDEX(Timesheet!$M$6:$M$2005,MATCH(J7,Timesheet!$R$6:$R$2005,0)))</f>
        <v/>
      </c>
      <c r="H7" s="55">
        <f>IF(J7="","",INDEX(Timesheet!$O$6:$O$2005,MATCH(J7,Timesheet!$R$6:$R$2005,0)))</f>
        <v/>
      </c>
      <c r="I7" s="1" t="n"/>
      <c r="J7" s="1">
        <f>IFERROR(SMALL(Timesheet!$R$6:$R$2005,1),"")</f>
        <v/>
      </c>
      <c r="K7" s="1" t="n"/>
    </row>
    <row r="8">
      <c r="A8" s="1" t="n"/>
      <c r="B8" s="51">
        <f>IF(J8="","",INT(J8))</f>
        <v/>
      </c>
      <c r="C8" s="52">
        <f>IF(J8="","",IF(INDEX(Timesheet!$D$6:$D$2005,MATCH(J8,Timesheet!$R$6:$R$2005,0))="","",INDEX(Timesheet!$D$6:$D$2005,MATCH(J8,Timesheet!$R$6:$R$2005,0))))</f>
        <v/>
      </c>
      <c r="D8" s="52">
        <f>IF(J8="","",IF(INDEX(Timesheet!$E$6:$E$2005,MATCH(J8,Timesheet!$R$6:$R$2005,0))="","",INDEX(Timesheet!$E$6:$E$2005,MATCH(J8,Timesheet!$R$6:$R$2005,0))))</f>
        <v/>
      </c>
      <c r="E8" s="53">
        <f>IF(J8="","",IF(INDEX(Timesheet!$F$6:$F$2005,MATCH(J8,Timesheet!$R$6:$R$2005,0))="","",INDEX(Timesheet!$F$6:$F$2005,MATCH(J8,Timesheet!$R$6:$R$2005,0))))</f>
        <v/>
      </c>
      <c r="F8" s="53">
        <f>IF(J8="","",IF(INDEX(Timesheet!$G$6:$G$2005,MATCH(J8,Timesheet!$R$6:$R$2005,0))="","",INDEX(Timesheet!$G$6:$G$2005,MATCH(J8,Timesheet!$R$6:$R$2005,0))))</f>
        <v/>
      </c>
      <c r="G8" s="54">
        <f>IF(J8="","",INDEX(Timesheet!$M$6:$M$2005,MATCH(J8,Timesheet!$R$6:$R$2005,0)))</f>
        <v/>
      </c>
      <c r="H8" s="55">
        <f>IF(J8="","",INDEX(Timesheet!$O$6:$O$2005,MATCH(J8,Timesheet!$R$6:$R$2005,0)))</f>
        <v/>
      </c>
      <c r="I8" s="1" t="n"/>
      <c r="J8" s="1">
        <f>IFERROR(SMALL(Timesheet!$R$6:$R$2005,2),"")</f>
        <v/>
      </c>
      <c r="K8" s="1" t="n"/>
    </row>
    <row r="9">
      <c r="A9" s="1" t="n"/>
      <c r="B9" s="51">
        <f>IF(J9="","",INT(J9))</f>
        <v/>
      </c>
      <c r="C9" s="52">
        <f>IF(J9="","",IF(INDEX(Timesheet!$D$6:$D$2005,MATCH(J9,Timesheet!$R$6:$R$2005,0))="","",INDEX(Timesheet!$D$6:$D$2005,MATCH(J9,Timesheet!$R$6:$R$2005,0))))</f>
        <v/>
      </c>
      <c r="D9" s="52">
        <f>IF(J9="","",IF(INDEX(Timesheet!$E$6:$E$2005,MATCH(J9,Timesheet!$R$6:$R$2005,0))="","",INDEX(Timesheet!$E$6:$E$2005,MATCH(J9,Timesheet!$R$6:$R$2005,0))))</f>
        <v/>
      </c>
      <c r="E9" s="53">
        <f>IF(J9="","",IF(INDEX(Timesheet!$F$6:$F$2005,MATCH(J9,Timesheet!$R$6:$R$2005,0))="","",INDEX(Timesheet!$F$6:$F$2005,MATCH(J9,Timesheet!$R$6:$R$2005,0))))</f>
        <v/>
      </c>
      <c r="F9" s="53">
        <f>IF(J9="","",IF(INDEX(Timesheet!$G$6:$G$2005,MATCH(J9,Timesheet!$R$6:$R$2005,0))="","",INDEX(Timesheet!$G$6:$G$2005,MATCH(J9,Timesheet!$R$6:$R$2005,0))))</f>
        <v/>
      </c>
      <c r="G9" s="54">
        <f>IF(J9="","",INDEX(Timesheet!$M$6:$M$2005,MATCH(J9,Timesheet!$R$6:$R$2005,0)))</f>
        <v/>
      </c>
      <c r="H9" s="55">
        <f>IF(J9="","",INDEX(Timesheet!$O$6:$O$2005,MATCH(J9,Timesheet!$R$6:$R$2005,0)))</f>
        <v/>
      </c>
      <c r="I9" s="1" t="n"/>
      <c r="J9" s="1">
        <f>IFERROR(SMALL(Timesheet!$R$6:$R$2005,3),"")</f>
        <v/>
      </c>
      <c r="K9" s="1" t="n"/>
    </row>
    <row r="10">
      <c r="A10" s="1" t="n"/>
      <c r="B10" s="51">
        <f>IF(J10="","",INT(J10))</f>
        <v/>
      </c>
      <c r="C10" s="52">
        <f>IF(J10="","",IF(INDEX(Timesheet!$D$6:$D$2005,MATCH(J10,Timesheet!$R$6:$R$2005,0))="","",INDEX(Timesheet!$D$6:$D$2005,MATCH(J10,Timesheet!$R$6:$R$2005,0))))</f>
        <v/>
      </c>
      <c r="D10" s="52">
        <f>IF(J10="","",IF(INDEX(Timesheet!$E$6:$E$2005,MATCH(J10,Timesheet!$R$6:$R$2005,0))="","",INDEX(Timesheet!$E$6:$E$2005,MATCH(J10,Timesheet!$R$6:$R$2005,0))))</f>
        <v/>
      </c>
      <c r="E10" s="53">
        <f>IF(J10="","",IF(INDEX(Timesheet!$F$6:$F$2005,MATCH(J10,Timesheet!$R$6:$R$2005,0))="","",INDEX(Timesheet!$F$6:$F$2005,MATCH(J10,Timesheet!$R$6:$R$2005,0))))</f>
        <v/>
      </c>
      <c r="F10" s="53">
        <f>IF(J10="","",IF(INDEX(Timesheet!$G$6:$G$2005,MATCH(J10,Timesheet!$R$6:$R$2005,0))="","",INDEX(Timesheet!$G$6:$G$2005,MATCH(J10,Timesheet!$R$6:$R$2005,0))))</f>
        <v/>
      </c>
      <c r="G10" s="54">
        <f>IF(J10="","",INDEX(Timesheet!$M$6:$M$2005,MATCH(J10,Timesheet!$R$6:$R$2005,0)))</f>
        <v/>
      </c>
      <c r="H10" s="55">
        <f>IF(J10="","",INDEX(Timesheet!$O$6:$O$2005,MATCH(J10,Timesheet!$R$6:$R$2005,0)))</f>
        <v/>
      </c>
      <c r="I10" s="1" t="n"/>
      <c r="J10" s="1">
        <f>IFERROR(SMALL(Timesheet!$R$6:$R$2005,4),"")</f>
        <v/>
      </c>
      <c r="K10" s="1" t="n"/>
    </row>
    <row r="11">
      <c r="A11" s="1" t="n"/>
      <c r="B11" s="51">
        <f>IF(J11="","",INT(J11))</f>
        <v/>
      </c>
      <c r="C11" s="52">
        <f>IF(J11="","",IF(INDEX(Timesheet!$D$6:$D$2005,MATCH(J11,Timesheet!$R$6:$R$2005,0))="","",INDEX(Timesheet!$D$6:$D$2005,MATCH(J11,Timesheet!$R$6:$R$2005,0))))</f>
        <v/>
      </c>
      <c r="D11" s="52">
        <f>IF(J11="","",IF(INDEX(Timesheet!$E$6:$E$2005,MATCH(J11,Timesheet!$R$6:$R$2005,0))="","",INDEX(Timesheet!$E$6:$E$2005,MATCH(J11,Timesheet!$R$6:$R$2005,0))))</f>
        <v/>
      </c>
      <c r="E11" s="53">
        <f>IF(J11="","",IF(INDEX(Timesheet!$F$6:$F$2005,MATCH(J11,Timesheet!$R$6:$R$2005,0))="","",INDEX(Timesheet!$F$6:$F$2005,MATCH(J11,Timesheet!$R$6:$R$2005,0))))</f>
        <v/>
      </c>
      <c r="F11" s="53">
        <f>IF(J11="","",IF(INDEX(Timesheet!$G$6:$G$2005,MATCH(J11,Timesheet!$R$6:$R$2005,0))="","",INDEX(Timesheet!$G$6:$G$2005,MATCH(J11,Timesheet!$R$6:$R$2005,0))))</f>
        <v/>
      </c>
      <c r="G11" s="54">
        <f>IF(J11="","",INDEX(Timesheet!$M$6:$M$2005,MATCH(J11,Timesheet!$R$6:$R$2005,0)))</f>
        <v/>
      </c>
      <c r="H11" s="55">
        <f>IF(J11="","",INDEX(Timesheet!$O$6:$O$2005,MATCH(J11,Timesheet!$R$6:$R$2005,0)))</f>
        <v/>
      </c>
      <c r="I11" s="1" t="n"/>
      <c r="J11" s="1">
        <f>IFERROR(SMALL(Timesheet!$R$6:$R$2005,5),"")</f>
        <v/>
      </c>
      <c r="K11" s="1" t="n"/>
    </row>
    <row r="12">
      <c r="A12" s="1" t="n"/>
      <c r="B12" s="51">
        <f>IF(J12="","",INT(J12))</f>
        <v/>
      </c>
      <c r="C12" s="52">
        <f>IF(J12="","",IF(INDEX(Timesheet!$D$6:$D$2005,MATCH(J12,Timesheet!$R$6:$R$2005,0))="","",INDEX(Timesheet!$D$6:$D$2005,MATCH(J12,Timesheet!$R$6:$R$2005,0))))</f>
        <v/>
      </c>
      <c r="D12" s="52">
        <f>IF(J12="","",IF(INDEX(Timesheet!$E$6:$E$2005,MATCH(J12,Timesheet!$R$6:$R$2005,0))="","",INDEX(Timesheet!$E$6:$E$2005,MATCH(J12,Timesheet!$R$6:$R$2005,0))))</f>
        <v/>
      </c>
      <c r="E12" s="53">
        <f>IF(J12="","",IF(INDEX(Timesheet!$F$6:$F$2005,MATCH(J12,Timesheet!$R$6:$R$2005,0))="","",INDEX(Timesheet!$F$6:$F$2005,MATCH(J12,Timesheet!$R$6:$R$2005,0))))</f>
        <v/>
      </c>
      <c r="F12" s="53">
        <f>IF(J12="","",IF(INDEX(Timesheet!$G$6:$G$2005,MATCH(J12,Timesheet!$R$6:$R$2005,0))="","",INDEX(Timesheet!$G$6:$G$2005,MATCH(J12,Timesheet!$R$6:$R$2005,0))))</f>
        <v/>
      </c>
      <c r="G12" s="54">
        <f>IF(J12="","",INDEX(Timesheet!$M$6:$M$2005,MATCH(J12,Timesheet!$R$6:$R$2005,0)))</f>
        <v/>
      </c>
      <c r="H12" s="55">
        <f>IF(J12="","",INDEX(Timesheet!$O$6:$O$2005,MATCH(J12,Timesheet!$R$6:$R$2005,0)))</f>
        <v/>
      </c>
      <c r="I12" s="1" t="n"/>
      <c r="J12" s="1">
        <f>IFERROR(SMALL(Timesheet!$R$6:$R$2005,6),"")</f>
        <v/>
      </c>
      <c r="K12" s="1" t="n"/>
    </row>
    <row r="13">
      <c r="A13" s="1" t="n"/>
      <c r="B13" s="51">
        <f>IF(J13="","",INT(J13))</f>
        <v/>
      </c>
      <c r="C13" s="52">
        <f>IF(J13="","",IF(INDEX(Timesheet!$D$6:$D$2005,MATCH(J13,Timesheet!$R$6:$R$2005,0))="","",INDEX(Timesheet!$D$6:$D$2005,MATCH(J13,Timesheet!$R$6:$R$2005,0))))</f>
        <v/>
      </c>
      <c r="D13" s="52">
        <f>IF(J13="","",IF(INDEX(Timesheet!$E$6:$E$2005,MATCH(J13,Timesheet!$R$6:$R$2005,0))="","",INDEX(Timesheet!$E$6:$E$2005,MATCH(J13,Timesheet!$R$6:$R$2005,0))))</f>
        <v/>
      </c>
      <c r="E13" s="53">
        <f>IF(J13="","",IF(INDEX(Timesheet!$F$6:$F$2005,MATCH(J13,Timesheet!$R$6:$R$2005,0))="","",INDEX(Timesheet!$F$6:$F$2005,MATCH(J13,Timesheet!$R$6:$R$2005,0))))</f>
        <v/>
      </c>
      <c r="F13" s="53">
        <f>IF(J13="","",IF(INDEX(Timesheet!$G$6:$G$2005,MATCH(J13,Timesheet!$R$6:$R$2005,0))="","",INDEX(Timesheet!$G$6:$G$2005,MATCH(J13,Timesheet!$R$6:$R$2005,0))))</f>
        <v/>
      </c>
      <c r="G13" s="54">
        <f>IF(J13="","",INDEX(Timesheet!$M$6:$M$2005,MATCH(J13,Timesheet!$R$6:$R$2005,0)))</f>
        <v/>
      </c>
      <c r="H13" s="55">
        <f>IF(J13="","",INDEX(Timesheet!$O$6:$O$2005,MATCH(J13,Timesheet!$R$6:$R$2005,0)))</f>
        <v/>
      </c>
      <c r="I13" s="1" t="n"/>
      <c r="J13" s="1">
        <f>IFERROR(SMALL(Timesheet!$R$6:$R$2005,7),"")</f>
        <v/>
      </c>
      <c r="K13" s="1" t="n"/>
    </row>
    <row r="14">
      <c r="A14" s="1" t="n"/>
      <c r="B14" s="51">
        <f>IF(J14="","",INT(J14))</f>
        <v/>
      </c>
      <c r="C14" s="52">
        <f>IF(J14="","",IF(INDEX(Timesheet!$D$6:$D$2005,MATCH(J14,Timesheet!$R$6:$R$2005,0))="","",INDEX(Timesheet!$D$6:$D$2005,MATCH(J14,Timesheet!$R$6:$R$2005,0))))</f>
        <v/>
      </c>
      <c r="D14" s="52">
        <f>IF(J14="","",IF(INDEX(Timesheet!$E$6:$E$2005,MATCH(J14,Timesheet!$R$6:$R$2005,0))="","",INDEX(Timesheet!$E$6:$E$2005,MATCH(J14,Timesheet!$R$6:$R$2005,0))))</f>
        <v/>
      </c>
      <c r="E14" s="53">
        <f>IF(J14="","",IF(INDEX(Timesheet!$F$6:$F$2005,MATCH(J14,Timesheet!$R$6:$R$2005,0))="","",INDEX(Timesheet!$F$6:$F$2005,MATCH(J14,Timesheet!$R$6:$R$2005,0))))</f>
        <v/>
      </c>
      <c r="F14" s="53">
        <f>IF(J14="","",IF(INDEX(Timesheet!$G$6:$G$2005,MATCH(J14,Timesheet!$R$6:$R$2005,0))="","",INDEX(Timesheet!$G$6:$G$2005,MATCH(J14,Timesheet!$R$6:$R$2005,0))))</f>
        <v/>
      </c>
      <c r="G14" s="54">
        <f>IF(J14="","",INDEX(Timesheet!$M$6:$M$2005,MATCH(J14,Timesheet!$R$6:$R$2005,0)))</f>
        <v/>
      </c>
      <c r="H14" s="55">
        <f>IF(J14="","",INDEX(Timesheet!$O$6:$O$2005,MATCH(J14,Timesheet!$R$6:$R$2005,0)))</f>
        <v/>
      </c>
      <c r="I14" s="1" t="n"/>
      <c r="J14" s="1">
        <f>IFERROR(SMALL(Timesheet!$R$6:$R$2005,8),"")</f>
        <v/>
      </c>
      <c r="K14" s="1" t="n"/>
    </row>
    <row r="15">
      <c r="A15" s="1" t="n"/>
      <c r="B15" s="51">
        <f>IF(J15="","",INT(J15))</f>
        <v/>
      </c>
      <c r="C15" s="52">
        <f>IF(J15="","",IF(INDEX(Timesheet!$D$6:$D$2005,MATCH(J15,Timesheet!$R$6:$R$2005,0))="","",INDEX(Timesheet!$D$6:$D$2005,MATCH(J15,Timesheet!$R$6:$R$2005,0))))</f>
        <v/>
      </c>
      <c r="D15" s="52">
        <f>IF(J15="","",IF(INDEX(Timesheet!$E$6:$E$2005,MATCH(J15,Timesheet!$R$6:$R$2005,0))="","",INDEX(Timesheet!$E$6:$E$2005,MATCH(J15,Timesheet!$R$6:$R$2005,0))))</f>
        <v/>
      </c>
      <c r="E15" s="53">
        <f>IF(J15="","",IF(INDEX(Timesheet!$F$6:$F$2005,MATCH(J15,Timesheet!$R$6:$R$2005,0))="","",INDEX(Timesheet!$F$6:$F$2005,MATCH(J15,Timesheet!$R$6:$R$2005,0))))</f>
        <v/>
      </c>
      <c r="F15" s="53">
        <f>IF(J15="","",IF(INDEX(Timesheet!$G$6:$G$2005,MATCH(J15,Timesheet!$R$6:$R$2005,0))="","",INDEX(Timesheet!$G$6:$G$2005,MATCH(J15,Timesheet!$R$6:$R$2005,0))))</f>
        <v/>
      </c>
      <c r="G15" s="54">
        <f>IF(J15="","",INDEX(Timesheet!$M$6:$M$2005,MATCH(J15,Timesheet!$R$6:$R$2005,0)))</f>
        <v/>
      </c>
      <c r="H15" s="55">
        <f>IF(J15="","",INDEX(Timesheet!$O$6:$O$2005,MATCH(J15,Timesheet!$R$6:$R$2005,0)))</f>
        <v/>
      </c>
      <c r="I15" s="1" t="n"/>
      <c r="J15" s="1">
        <f>IFERROR(SMALL(Timesheet!$R$6:$R$2005,9),"")</f>
        <v/>
      </c>
      <c r="K15" s="1" t="n"/>
    </row>
    <row r="16">
      <c r="A16" s="1" t="n"/>
      <c r="B16" s="51">
        <f>IF(J16="","",INT(J16))</f>
        <v/>
      </c>
      <c r="C16" s="52">
        <f>IF(J16="","",IF(INDEX(Timesheet!$D$6:$D$2005,MATCH(J16,Timesheet!$R$6:$R$2005,0))="","",INDEX(Timesheet!$D$6:$D$2005,MATCH(J16,Timesheet!$R$6:$R$2005,0))))</f>
        <v/>
      </c>
      <c r="D16" s="52">
        <f>IF(J16="","",IF(INDEX(Timesheet!$E$6:$E$2005,MATCH(J16,Timesheet!$R$6:$R$2005,0))="","",INDEX(Timesheet!$E$6:$E$2005,MATCH(J16,Timesheet!$R$6:$R$2005,0))))</f>
        <v/>
      </c>
      <c r="E16" s="53">
        <f>IF(J16="","",IF(INDEX(Timesheet!$F$6:$F$2005,MATCH(J16,Timesheet!$R$6:$R$2005,0))="","",INDEX(Timesheet!$F$6:$F$2005,MATCH(J16,Timesheet!$R$6:$R$2005,0))))</f>
        <v/>
      </c>
      <c r="F16" s="53">
        <f>IF(J16="","",IF(INDEX(Timesheet!$G$6:$G$2005,MATCH(J16,Timesheet!$R$6:$R$2005,0))="","",INDEX(Timesheet!$G$6:$G$2005,MATCH(J16,Timesheet!$R$6:$R$2005,0))))</f>
        <v/>
      </c>
      <c r="G16" s="54">
        <f>IF(J16="","",INDEX(Timesheet!$M$6:$M$2005,MATCH(J16,Timesheet!$R$6:$R$2005,0)))</f>
        <v/>
      </c>
      <c r="H16" s="55">
        <f>IF(J16="","",INDEX(Timesheet!$O$6:$O$2005,MATCH(J16,Timesheet!$R$6:$R$2005,0)))</f>
        <v/>
      </c>
      <c r="I16" s="1" t="n"/>
      <c r="J16" s="1">
        <f>IFERROR(SMALL(Timesheet!$R$6:$R$2005,10),"")</f>
        <v/>
      </c>
      <c r="K16" s="1" t="n"/>
    </row>
    <row r="17">
      <c r="A17" s="1" t="n"/>
      <c r="B17" s="51">
        <f>IF(J17="","",INT(J17))</f>
        <v/>
      </c>
      <c r="C17" s="52">
        <f>IF(J17="","",IF(INDEX(Timesheet!$D$6:$D$2005,MATCH(J17,Timesheet!$R$6:$R$2005,0))="","",INDEX(Timesheet!$D$6:$D$2005,MATCH(J17,Timesheet!$R$6:$R$2005,0))))</f>
        <v/>
      </c>
      <c r="D17" s="52">
        <f>IF(J17="","",IF(INDEX(Timesheet!$E$6:$E$2005,MATCH(J17,Timesheet!$R$6:$R$2005,0))="","",INDEX(Timesheet!$E$6:$E$2005,MATCH(J17,Timesheet!$R$6:$R$2005,0))))</f>
        <v/>
      </c>
      <c r="E17" s="53">
        <f>IF(J17="","",IF(INDEX(Timesheet!$F$6:$F$2005,MATCH(J17,Timesheet!$R$6:$R$2005,0))="","",INDEX(Timesheet!$F$6:$F$2005,MATCH(J17,Timesheet!$R$6:$R$2005,0))))</f>
        <v/>
      </c>
      <c r="F17" s="53">
        <f>IF(J17="","",IF(INDEX(Timesheet!$G$6:$G$2005,MATCH(J17,Timesheet!$R$6:$R$2005,0))="","",INDEX(Timesheet!$G$6:$G$2005,MATCH(J17,Timesheet!$R$6:$R$2005,0))))</f>
        <v/>
      </c>
      <c r="G17" s="54">
        <f>IF(J17="","",INDEX(Timesheet!$M$6:$M$2005,MATCH(J17,Timesheet!$R$6:$R$2005,0)))</f>
        <v/>
      </c>
      <c r="H17" s="55">
        <f>IF(J17="","",INDEX(Timesheet!$O$6:$O$2005,MATCH(J17,Timesheet!$R$6:$R$2005,0)))</f>
        <v/>
      </c>
      <c r="I17" s="1" t="n"/>
      <c r="J17" s="1">
        <f>IFERROR(SMALL(Timesheet!$R$6:$R$2005,11),"")</f>
        <v/>
      </c>
      <c r="K17" s="1" t="n"/>
    </row>
    <row r="18">
      <c r="A18" s="1" t="n"/>
      <c r="B18" s="51">
        <f>IF(J18="","",INT(J18))</f>
        <v/>
      </c>
      <c r="C18" s="52">
        <f>IF(J18="","",IF(INDEX(Timesheet!$D$6:$D$2005,MATCH(J18,Timesheet!$R$6:$R$2005,0))="","",INDEX(Timesheet!$D$6:$D$2005,MATCH(J18,Timesheet!$R$6:$R$2005,0))))</f>
        <v/>
      </c>
      <c r="D18" s="52">
        <f>IF(J18="","",IF(INDEX(Timesheet!$E$6:$E$2005,MATCH(J18,Timesheet!$R$6:$R$2005,0))="","",INDEX(Timesheet!$E$6:$E$2005,MATCH(J18,Timesheet!$R$6:$R$2005,0))))</f>
        <v/>
      </c>
      <c r="E18" s="53">
        <f>IF(J18="","",IF(INDEX(Timesheet!$F$6:$F$2005,MATCH(J18,Timesheet!$R$6:$R$2005,0))="","",INDEX(Timesheet!$F$6:$F$2005,MATCH(J18,Timesheet!$R$6:$R$2005,0))))</f>
        <v/>
      </c>
      <c r="F18" s="53">
        <f>IF(J18="","",IF(INDEX(Timesheet!$G$6:$G$2005,MATCH(J18,Timesheet!$R$6:$R$2005,0))="","",INDEX(Timesheet!$G$6:$G$2005,MATCH(J18,Timesheet!$R$6:$R$2005,0))))</f>
        <v/>
      </c>
      <c r="G18" s="54">
        <f>IF(J18="","",INDEX(Timesheet!$M$6:$M$2005,MATCH(J18,Timesheet!$R$6:$R$2005,0)))</f>
        <v/>
      </c>
      <c r="H18" s="55">
        <f>IF(J18="","",INDEX(Timesheet!$O$6:$O$2005,MATCH(J18,Timesheet!$R$6:$R$2005,0)))</f>
        <v/>
      </c>
      <c r="I18" s="1" t="n"/>
      <c r="J18" s="1">
        <f>IFERROR(SMALL(Timesheet!$R$6:$R$2005,12),"")</f>
        <v/>
      </c>
      <c r="K18" s="1" t="n"/>
    </row>
    <row r="19">
      <c r="A19" s="1" t="n"/>
      <c r="B19" s="51">
        <f>IF(J19="","",INT(J19))</f>
        <v/>
      </c>
      <c r="C19" s="52">
        <f>IF(J19="","",IF(INDEX(Timesheet!$D$6:$D$2005,MATCH(J19,Timesheet!$R$6:$R$2005,0))="","",INDEX(Timesheet!$D$6:$D$2005,MATCH(J19,Timesheet!$R$6:$R$2005,0))))</f>
        <v/>
      </c>
      <c r="D19" s="52">
        <f>IF(J19="","",IF(INDEX(Timesheet!$E$6:$E$2005,MATCH(J19,Timesheet!$R$6:$R$2005,0))="","",INDEX(Timesheet!$E$6:$E$2005,MATCH(J19,Timesheet!$R$6:$R$2005,0))))</f>
        <v/>
      </c>
      <c r="E19" s="53">
        <f>IF(J19="","",IF(INDEX(Timesheet!$F$6:$F$2005,MATCH(J19,Timesheet!$R$6:$R$2005,0))="","",INDEX(Timesheet!$F$6:$F$2005,MATCH(J19,Timesheet!$R$6:$R$2005,0))))</f>
        <v/>
      </c>
      <c r="F19" s="53">
        <f>IF(J19="","",IF(INDEX(Timesheet!$G$6:$G$2005,MATCH(J19,Timesheet!$R$6:$R$2005,0))="","",INDEX(Timesheet!$G$6:$G$2005,MATCH(J19,Timesheet!$R$6:$R$2005,0))))</f>
        <v/>
      </c>
      <c r="G19" s="54">
        <f>IF(J19="","",INDEX(Timesheet!$M$6:$M$2005,MATCH(J19,Timesheet!$R$6:$R$2005,0)))</f>
        <v/>
      </c>
      <c r="H19" s="55">
        <f>IF(J19="","",INDEX(Timesheet!$O$6:$O$2005,MATCH(J19,Timesheet!$R$6:$R$2005,0)))</f>
        <v/>
      </c>
      <c r="I19" s="1" t="n"/>
      <c r="J19" s="1">
        <f>IFERROR(SMALL(Timesheet!$R$6:$R$2005,13),"")</f>
        <v/>
      </c>
      <c r="K19" s="1" t="n"/>
    </row>
    <row r="20">
      <c r="A20" s="1" t="n"/>
      <c r="B20" s="51">
        <f>IF(J20="","",INT(J20))</f>
        <v/>
      </c>
      <c r="C20" s="52">
        <f>IF(J20="","",IF(INDEX(Timesheet!$D$6:$D$2005,MATCH(J20,Timesheet!$R$6:$R$2005,0))="","",INDEX(Timesheet!$D$6:$D$2005,MATCH(J20,Timesheet!$R$6:$R$2005,0))))</f>
        <v/>
      </c>
      <c r="D20" s="52">
        <f>IF(J20="","",IF(INDEX(Timesheet!$E$6:$E$2005,MATCH(J20,Timesheet!$R$6:$R$2005,0))="","",INDEX(Timesheet!$E$6:$E$2005,MATCH(J20,Timesheet!$R$6:$R$2005,0))))</f>
        <v/>
      </c>
      <c r="E20" s="53">
        <f>IF(J20="","",IF(INDEX(Timesheet!$F$6:$F$2005,MATCH(J20,Timesheet!$R$6:$R$2005,0))="","",INDEX(Timesheet!$F$6:$F$2005,MATCH(J20,Timesheet!$R$6:$R$2005,0))))</f>
        <v/>
      </c>
      <c r="F20" s="53">
        <f>IF(J20="","",IF(INDEX(Timesheet!$G$6:$G$2005,MATCH(J20,Timesheet!$R$6:$R$2005,0))="","",INDEX(Timesheet!$G$6:$G$2005,MATCH(J20,Timesheet!$R$6:$R$2005,0))))</f>
        <v/>
      </c>
      <c r="G20" s="54">
        <f>IF(J20="","",INDEX(Timesheet!$M$6:$M$2005,MATCH(J20,Timesheet!$R$6:$R$2005,0)))</f>
        <v/>
      </c>
      <c r="H20" s="55">
        <f>IF(J20="","",INDEX(Timesheet!$O$6:$O$2005,MATCH(J20,Timesheet!$R$6:$R$2005,0)))</f>
        <v/>
      </c>
      <c r="I20" s="1" t="n"/>
      <c r="J20" s="1">
        <f>IFERROR(SMALL(Timesheet!$R$6:$R$2005,14),"")</f>
        <v/>
      </c>
      <c r="K20" s="1" t="n"/>
    </row>
    <row r="21">
      <c r="A21" s="1" t="n"/>
      <c r="B21" s="51">
        <f>IF(J21="","",INT(J21))</f>
        <v/>
      </c>
      <c r="C21" s="52">
        <f>IF(J21="","",IF(INDEX(Timesheet!$D$6:$D$2005,MATCH(J21,Timesheet!$R$6:$R$2005,0))="","",INDEX(Timesheet!$D$6:$D$2005,MATCH(J21,Timesheet!$R$6:$R$2005,0))))</f>
        <v/>
      </c>
      <c r="D21" s="52">
        <f>IF(J21="","",IF(INDEX(Timesheet!$E$6:$E$2005,MATCH(J21,Timesheet!$R$6:$R$2005,0))="","",INDEX(Timesheet!$E$6:$E$2005,MATCH(J21,Timesheet!$R$6:$R$2005,0))))</f>
        <v/>
      </c>
      <c r="E21" s="53">
        <f>IF(J21="","",IF(INDEX(Timesheet!$F$6:$F$2005,MATCH(J21,Timesheet!$R$6:$R$2005,0))="","",INDEX(Timesheet!$F$6:$F$2005,MATCH(J21,Timesheet!$R$6:$R$2005,0))))</f>
        <v/>
      </c>
      <c r="F21" s="53">
        <f>IF(J21="","",IF(INDEX(Timesheet!$G$6:$G$2005,MATCH(J21,Timesheet!$R$6:$R$2005,0))="","",INDEX(Timesheet!$G$6:$G$2005,MATCH(J21,Timesheet!$R$6:$R$2005,0))))</f>
        <v/>
      </c>
      <c r="G21" s="54">
        <f>IF(J21="","",INDEX(Timesheet!$M$6:$M$2005,MATCH(J21,Timesheet!$R$6:$R$2005,0)))</f>
        <v/>
      </c>
      <c r="H21" s="55">
        <f>IF(J21="","",INDEX(Timesheet!$O$6:$O$2005,MATCH(J21,Timesheet!$R$6:$R$2005,0)))</f>
        <v/>
      </c>
      <c r="I21" s="1" t="n"/>
      <c r="J21" s="1">
        <f>IFERROR(SMALL(Timesheet!$R$6:$R$2005,15),"")</f>
        <v/>
      </c>
      <c r="K21" s="1" t="n"/>
    </row>
    <row r="22">
      <c r="A22" s="1" t="n"/>
      <c r="B22" s="51">
        <f>IF(J22="","",INT(J22))</f>
        <v/>
      </c>
      <c r="C22" s="52">
        <f>IF(J22="","",IF(INDEX(Timesheet!$D$6:$D$2005,MATCH(J22,Timesheet!$R$6:$R$2005,0))="","",INDEX(Timesheet!$D$6:$D$2005,MATCH(J22,Timesheet!$R$6:$R$2005,0))))</f>
        <v/>
      </c>
      <c r="D22" s="52">
        <f>IF(J22="","",IF(INDEX(Timesheet!$E$6:$E$2005,MATCH(J22,Timesheet!$R$6:$R$2005,0))="","",INDEX(Timesheet!$E$6:$E$2005,MATCH(J22,Timesheet!$R$6:$R$2005,0))))</f>
        <v/>
      </c>
      <c r="E22" s="53">
        <f>IF(J22="","",IF(INDEX(Timesheet!$F$6:$F$2005,MATCH(J22,Timesheet!$R$6:$R$2005,0))="","",INDEX(Timesheet!$F$6:$F$2005,MATCH(J22,Timesheet!$R$6:$R$2005,0))))</f>
        <v/>
      </c>
      <c r="F22" s="53">
        <f>IF(J22="","",IF(INDEX(Timesheet!$G$6:$G$2005,MATCH(J22,Timesheet!$R$6:$R$2005,0))="","",INDEX(Timesheet!$G$6:$G$2005,MATCH(J22,Timesheet!$R$6:$R$2005,0))))</f>
        <v/>
      </c>
      <c r="G22" s="54">
        <f>IF(J22="","",INDEX(Timesheet!$M$6:$M$2005,MATCH(J22,Timesheet!$R$6:$R$2005,0)))</f>
        <v/>
      </c>
      <c r="H22" s="55">
        <f>IF(J22="","",INDEX(Timesheet!$O$6:$O$2005,MATCH(J22,Timesheet!$R$6:$R$2005,0)))</f>
        <v/>
      </c>
      <c r="I22" s="1" t="n"/>
      <c r="J22" s="1">
        <f>IFERROR(SMALL(Timesheet!$R$6:$R$2005,16),"")</f>
        <v/>
      </c>
      <c r="K22" s="1" t="n"/>
    </row>
    <row r="23">
      <c r="A23" s="1" t="n"/>
      <c r="B23" s="51">
        <f>IF(J23="","",INT(J23))</f>
        <v/>
      </c>
      <c r="C23" s="52">
        <f>IF(J23="","",IF(INDEX(Timesheet!$D$6:$D$2005,MATCH(J23,Timesheet!$R$6:$R$2005,0))="","",INDEX(Timesheet!$D$6:$D$2005,MATCH(J23,Timesheet!$R$6:$R$2005,0))))</f>
        <v/>
      </c>
      <c r="D23" s="52">
        <f>IF(J23="","",IF(INDEX(Timesheet!$E$6:$E$2005,MATCH(J23,Timesheet!$R$6:$R$2005,0))="","",INDEX(Timesheet!$E$6:$E$2005,MATCH(J23,Timesheet!$R$6:$R$2005,0))))</f>
        <v/>
      </c>
      <c r="E23" s="53">
        <f>IF(J23="","",IF(INDEX(Timesheet!$F$6:$F$2005,MATCH(J23,Timesheet!$R$6:$R$2005,0))="","",INDEX(Timesheet!$F$6:$F$2005,MATCH(J23,Timesheet!$R$6:$R$2005,0))))</f>
        <v/>
      </c>
      <c r="F23" s="53">
        <f>IF(J23="","",IF(INDEX(Timesheet!$G$6:$G$2005,MATCH(J23,Timesheet!$R$6:$R$2005,0))="","",INDEX(Timesheet!$G$6:$G$2005,MATCH(J23,Timesheet!$R$6:$R$2005,0))))</f>
        <v/>
      </c>
      <c r="G23" s="54">
        <f>IF(J23="","",INDEX(Timesheet!$M$6:$M$2005,MATCH(J23,Timesheet!$R$6:$R$2005,0)))</f>
        <v/>
      </c>
      <c r="H23" s="55">
        <f>IF(J23="","",INDEX(Timesheet!$O$6:$O$2005,MATCH(J23,Timesheet!$R$6:$R$2005,0)))</f>
        <v/>
      </c>
      <c r="I23" s="1" t="n"/>
      <c r="J23" s="1">
        <f>IFERROR(SMALL(Timesheet!$R$6:$R$2005,17),"")</f>
        <v/>
      </c>
      <c r="K23" s="1" t="n"/>
    </row>
    <row r="24">
      <c r="A24" s="1" t="n"/>
      <c r="B24" s="51">
        <f>IF(J24="","",INT(J24))</f>
        <v/>
      </c>
      <c r="C24" s="52">
        <f>IF(J24="","",IF(INDEX(Timesheet!$D$6:$D$2005,MATCH(J24,Timesheet!$R$6:$R$2005,0))="","",INDEX(Timesheet!$D$6:$D$2005,MATCH(J24,Timesheet!$R$6:$R$2005,0))))</f>
        <v/>
      </c>
      <c r="D24" s="52">
        <f>IF(J24="","",IF(INDEX(Timesheet!$E$6:$E$2005,MATCH(J24,Timesheet!$R$6:$R$2005,0))="","",INDEX(Timesheet!$E$6:$E$2005,MATCH(J24,Timesheet!$R$6:$R$2005,0))))</f>
        <v/>
      </c>
      <c r="E24" s="53">
        <f>IF(J24="","",IF(INDEX(Timesheet!$F$6:$F$2005,MATCH(J24,Timesheet!$R$6:$R$2005,0))="","",INDEX(Timesheet!$F$6:$F$2005,MATCH(J24,Timesheet!$R$6:$R$2005,0))))</f>
        <v/>
      </c>
      <c r="F24" s="53">
        <f>IF(J24="","",IF(INDEX(Timesheet!$G$6:$G$2005,MATCH(J24,Timesheet!$R$6:$R$2005,0))="","",INDEX(Timesheet!$G$6:$G$2005,MATCH(J24,Timesheet!$R$6:$R$2005,0))))</f>
        <v/>
      </c>
      <c r="G24" s="54">
        <f>IF(J24="","",INDEX(Timesheet!$M$6:$M$2005,MATCH(J24,Timesheet!$R$6:$R$2005,0)))</f>
        <v/>
      </c>
      <c r="H24" s="55">
        <f>IF(J24="","",INDEX(Timesheet!$O$6:$O$2005,MATCH(J24,Timesheet!$R$6:$R$2005,0)))</f>
        <v/>
      </c>
      <c r="I24" s="1" t="n"/>
      <c r="J24" s="1">
        <f>IFERROR(SMALL(Timesheet!$R$6:$R$2005,18),"")</f>
        <v/>
      </c>
      <c r="K24" s="1" t="n"/>
    </row>
    <row r="25">
      <c r="A25" s="1" t="n"/>
      <c r="B25" s="51">
        <f>IF(J25="","",INT(J25))</f>
        <v/>
      </c>
      <c r="C25" s="52">
        <f>IF(J25="","",IF(INDEX(Timesheet!$D$6:$D$2005,MATCH(J25,Timesheet!$R$6:$R$2005,0))="","",INDEX(Timesheet!$D$6:$D$2005,MATCH(J25,Timesheet!$R$6:$R$2005,0))))</f>
        <v/>
      </c>
      <c r="D25" s="52">
        <f>IF(J25="","",IF(INDEX(Timesheet!$E$6:$E$2005,MATCH(J25,Timesheet!$R$6:$R$2005,0))="","",INDEX(Timesheet!$E$6:$E$2005,MATCH(J25,Timesheet!$R$6:$R$2005,0))))</f>
        <v/>
      </c>
      <c r="E25" s="53">
        <f>IF(J25="","",IF(INDEX(Timesheet!$F$6:$F$2005,MATCH(J25,Timesheet!$R$6:$R$2005,0))="","",INDEX(Timesheet!$F$6:$F$2005,MATCH(J25,Timesheet!$R$6:$R$2005,0))))</f>
        <v/>
      </c>
      <c r="F25" s="53">
        <f>IF(J25="","",IF(INDEX(Timesheet!$G$6:$G$2005,MATCH(J25,Timesheet!$R$6:$R$2005,0))="","",INDEX(Timesheet!$G$6:$G$2005,MATCH(J25,Timesheet!$R$6:$R$2005,0))))</f>
        <v/>
      </c>
      <c r="G25" s="54">
        <f>IF(J25="","",INDEX(Timesheet!$M$6:$M$2005,MATCH(J25,Timesheet!$R$6:$R$2005,0)))</f>
        <v/>
      </c>
      <c r="H25" s="55">
        <f>IF(J25="","",INDEX(Timesheet!$O$6:$O$2005,MATCH(J25,Timesheet!$R$6:$R$2005,0)))</f>
        <v/>
      </c>
      <c r="I25" s="1" t="n"/>
      <c r="J25" s="1">
        <f>IFERROR(SMALL(Timesheet!$R$6:$R$2005,19),"")</f>
        <v/>
      </c>
      <c r="K25" s="1" t="n"/>
    </row>
    <row r="26">
      <c r="A26" s="1" t="n"/>
      <c r="B26" s="51">
        <f>IF(J26="","",INT(J26))</f>
        <v/>
      </c>
      <c r="C26" s="52">
        <f>IF(J26="","",IF(INDEX(Timesheet!$D$6:$D$2005,MATCH(J26,Timesheet!$R$6:$R$2005,0))="","",INDEX(Timesheet!$D$6:$D$2005,MATCH(J26,Timesheet!$R$6:$R$2005,0))))</f>
        <v/>
      </c>
      <c r="D26" s="52">
        <f>IF(J26="","",IF(INDEX(Timesheet!$E$6:$E$2005,MATCH(J26,Timesheet!$R$6:$R$2005,0))="","",INDEX(Timesheet!$E$6:$E$2005,MATCH(J26,Timesheet!$R$6:$R$2005,0))))</f>
        <v/>
      </c>
      <c r="E26" s="53">
        <f>IF(J26="","",IF(INDEX(Timesheet!$F$6:$F$2005,MATCH(J26,Timesheet!$R$6:$R$2005,0))="","",INDEX(Timesheet!$F$6:$F$2005,MATCH(J26,Timesheet!$R$6:$R$2005,0))))</f>
        <v/>
      </c>
      <c r="F26" s="53">
        <f>IF(J26="","",IF(INDEX(Timesheet!$G$6:$G$2005,MATCH(J26,Timesheet!$R$6:$R$2005,0))="","",INDEX(Timesheet!$G$6:$G$2005,MATCH(J26,Timesheet!$R$6:$R$2005,0))))</f>
        <v/>
      </c>
      <c r="G26" s="54">
        <f>IF(J26="","",INDEX(Timesheet!$M$6:$M$2005,MATCH(J26,Timesheet!$R$6:$R$2005,0)))</f>
        <v/>
      </c>
      <c r="H26" s="55">
        <f>IF(J26="","",INDEX(Timesheet!$O$6:$O$2005,MATCH(J26,Timesheet!$R$6:$R$2005,0)))</f>
        <v/>
      </c>
      <c r="I26" s="1" t="n"/>
      <c r="J26" s="1">
        <f>IFERROR(SMALL(Timesheet!$R$6:$R$2005,20),"")</f>
        <v/>
      </c>
      <c r="K26" s="1" t="n"/>
    </row>
    <row r="27">
      <c r="A27" s="1" t="n"/>
      <c r="B27" s="51">
        <f>IF(J27="","",INT(J27))</f>
        <v/>
      </c>
      <c r="C27" s="52">
        <f>IF(J27="","",IF(INDEX(Timesheet!$D$6:$D$2005,MATCH(J27,Timesheet!$R$6:$R$2005,0))="","",INDEX(Timesheet!$D$6:$D$2005,MATCH(J27,Timesheet!$R$6:$R$2005,0))))</f>
        <v/>
      </c>
      <c r="D27" s="52">
        <f>IF(J27="","",IF(INDEX(Timesheet!$E$6:$E$2005,MATCH(J27,Timesheet!$R$6:$R$2005,0))="","",INDEX(Timesheet!$E$6:$E$2005,MATCH(J27,Timesheet!$R$6:$R$2005,0))))</f>
        <v/>
      </c>
      <c r="E27" s="53">
        <f>IF(J27="","",IF(INDEX(Timesheet!$F$6:$F$2005,MATCH(J27,Timesheet!$R$6:$R$2005,0))="","",INDEX(Timesheet!$F$6:$F$2005,MATCH(J27,Timesheet!$R$6:$R$2005,0))))</f>
        <v/>
      </c>
      <c r="F27" s="53">
        <f>IF(J27="","",IF(INDEX(Timesheet!$G$6:$G$2005,MATCH(J27,Timesheet!$R$6:$R$2005,0))="","",INDEX(Timesheet!$G$6:$G$2005,MATCH(J27,Timesheet!$R$6:$R$2005,0))))</f>
        <v/>
      </c>
      <c r="G27" s="54">
        <f>IF(J27="","",INDEX(Timesheet!$M$6:$M$2005,MATCH(J27,Timesheet!$R$6:$R$2005,0)))</f>
        <v/>
      </c>
      <c r="H27" s="55">
        <f>IF(J27="","",INDEX(Timesheet!$O$6:$O$2005,MATCH(J27,Timesheet!$R$6:$R$2005,0)))</f>
        <v/>
      </c>
      <c r="I27" s="1" t="n"/>
      <c r="J27" s="1">
        <f>IFERROR(SMALL(Timesheet!$R$6:$R$2005,21),"")</f>
        <v/>
      </c>
      <c r="K27" s="1" t="n"/>
    </row>
    <row r="28">
      <c r="A28" s="1" t="n"/>
      <c r="B28" s="51">
        <f>IF(J28="","",INT(J28))</f>
        <v/>
      </c>
      <c r="C28" s="52">
        <f>IF(J28="","",IF(INDEX(Timesheet!$D$6:$D$2005,MATCH(J28,Timesheet!$R$6:$R$2005,0))="","",INDEX(Timesheet!$D$6:$D$2005,MATCH(J28,Timesheet!$R$6:$R$2005,0))))</f>
        <v/>
      </c>
      <c r="D28" s="52">
        <f>IF(J28="","",IF(INDEX(Timesheet!$E$6:$E$2005,MATCH(J28,Timesheet!$R$6:$R$2005,0))="","",INDEX(Timesheet!$E$6:$E$2005,MATCH(J28,Timesheet!$R$6:$R$2005,0))))</f>
        <v/>
      </c>
      <c r="E28" s="53">
        <f>IF(J28="","",IF(INDEX(Timesheet!$F$6:$F$2005,MATCH(J28,Timesheet!$R$6:$R$2005,0))="","",INDEX(Timesheet!$F$6:$F$2005,MATCH(J28,Timesheet!$R$6:$R$2005,0))))</f>
        <v/>
      </c>
      <c r="F28" s="53">
        <f>IF(J28="","",IF(INDEX(Timesheet!$G$6:$G$2005,MATCH(J28,Timesheet!$R$6:$R$2005,0))="","",INDEX(Timesheet!$G$6:$G$2005,MATCH(J28,Timesheet!$R$6:$R$2005,0))))</f>
        <v/>
      </c>
      <c r="G28" s="54">
        <f>IF(J28="","",INDEX(Timesheet!$M$6:$M$2005,MATCH(J28,Timesheet!$R$6:$R$2005,0)))</f>
        <v/>
      </c>
      <c r="H28" s="55">
        <f>IF(J28="","",INDEX(Timesheet!$O$6:$O$2005,MATCH(J28,Timesheet!$R$6:$R$2005,0)))</f>
        <v/>
      </c>
      <c r="I28" s="1" t="n"/>
      <c r="J28" s="1">
        <f>IFERROR(SMALL(Timesheet!$R$6:$R$2005,22),"")</f>
        <v/>
      </c>
      <c r="K28" s="1" t="n"/>
    </row>
    <row r="29">
      <c r="A29" s="1" t="n"/>
      <c r="B29" s="51">
        <f>IF(J29="","",INT(J29))</f>
        <v/>
      </c>
      <c r="C29" s="52">
        <f>IF(J29="","",IF(INDEX(Timesheet!$D$6:$D$2005,MATCH(J29,Timesheet!$R$6:$R$2005,0))="","",INDEX(Timesheet!$D$6:$D$2005,MATCH(J29,Timesheet!$R$6:$R$2005,0))))</f>
        <v/>
      </c>
      <c r="D29" s="52">
        <f>IF(J29="","",IF(INDEX(Timesheet!$E$6:$E$2005,MATCH(J29,Timesheet!$R$6:$R$2005,0))="","",INDEX(Timesheet!$E$6:$E$2005,MATCH(J29,Timesheet!$R$6:$R$2005,0))))</f>
        <v/>
      </c>
      <c r="E29" s="53">
        <f>IF(J29="","",IF(INDEX(Timesheet!$F$6:$F$2005,MATCH(J29,Timesheet!$R$6:$R$2005,0))="","",INDEX(Timesheet!$F$6:$F$2005,MATCH(J29,Timesheet!$R$6:$R$2005,0))))</f>
        <v/>
      </c>
      <c r="F29" s="53">
        <f>IF(J29="","",IF(INDEX(Timesheet!$G$6:$G$2005,MATCH(J29,Timesheet!$R$6:$R$2005,0))="","",INDEX(Timesheet!$G$6:$G$2005,MATCH(J29,Timesheet!$R$6:$R$2005,0))))</f>
        <v/>
      </c>
      <c r="G29" s="54">
        <f>IF(J29="","",INDEX(Timesheet!$M$6:$M$2005,MATCH(J29,Timesheet!$R$6:$R$2005,0)))</f>
        <v/>
      </c>
      <c r="H29" s="55">
        <f>IF(J29="","",INDEX(Timesheet!$O$6:$O$2005,MATCH(J29,Timesheet!$R$6:$R$2005,0)))</f>
        <v/>
      </c>
      <c r="I29" s="1" t="n"/>
      <c r="J29" s="1">
        <f>IFERROR(SMALL(Timesheet!$R$6:$R$2005,23),"")</f>
        <v/>
      </c>
      <c r="K29" s="1" t="n"/>
    </row>
    <row r="30">
      <c r="A30" s="1" t="n"/>
      <c r="B30" s="51">
        <f>IF(J30="","",INT(J30))</f>
        <v/>
      </c>
      <c r="C30" s="52">
        <f>IF(J30="","",IF(INDEX(Timesheet!$D$6:$D$2005,MATCH(J30,Timesheet!$R$6:$R$2005,0))="","",INDEX(Timesheet!$D$6:$D$2005,MATCH(J30,Timesheet!$R$6:$R$2005,0))))</f>
        <v/>
      </c>
      <c r="D30" s="52">
        <f>IF(J30="","",IF(INDEX(Timesheet!$E$6:$E$2005,MATCH(J30,Timesheet!$R$6:$R$2005,0))="","",INDEX(Timesheet!$E$6:$E$2005,MATCH(J30,Timesheet!$R$6:$R$2005,0))))</f>
        <v/>
      </c>
      <c r="E30" s="53">
        <f>IF(J30="","",IF(INDEX(Timesheet!$F$6:$F$2005,MATCH(J30,Timesheet!$R$6:$R$2005,0))="","",INDEX(Timesheet!$F$6:$F$2005,MATCH(J30,Timesheet!$R$6:$R$2005,0))))</f>
        <v/>
      </c>
      <c r="F30" s="53">
        <f>IF(J30="","",IF(INDEX(Timesheet!$G$6:$G$2005,MATCH(J30,Timesheet!$R$6:$R$2005,0))="","",INDEX(Timesheet!$G$6:$G$2005,MATCH(J30,Timesheet!$R$6:$R$2005,0))))</f>
        <v/>
      </c>
      <c r="G30" s="54">
        <f>IF(J30="","",INDEX(Timesheet!$M$6:$M$2005,MATCH(J30,Timesheet!$R$6:$R$2005,0)))</f>
        <v/>
      </c>
      <c r="H30" s="55">
        <f>IF(J30="","",INDEX(Timesheet!$O$6:$O$2005,MATCH(J30,Timesheet!$R$6:$R$2005,0)))</f>
        <v/>
      </c>
      <c r="I30" s="1" t="n"/>
      <c r="J30" s="1">
        <f>IFERROR(SMALL(Timesheet!$R$6:$R$2005,24),"")</f>
        <v/>
      </c>
      <c r="K30" s="1" t="n"/>
    </row>
    <row r="31">
      <c r="A31" s="1" t="n"/>
      <c r="B31" s="51">
        <f>IF(J31="","",INT(J31))</f>
        <v/>
      </c>
      <c r="C31" s="52">
        <f>IF(J31="","",IF(INDEX(Timesheet!$D$6:$D$2005,MATCH(J31,Timesheet!$R$6:$R$2005,0))="","",INDEX(Timesheet!$D$6:$D$2005,MATCH(J31,Timesheet!$R$6:$R$2005,0))))</f>
        <v/>
      </c>
      <c r="D31" s="52">
        <f>IF(J31="","",IF(INDEX(Timesheet!$E$6:$E$2005,MATCH(J31,Timesheet!$R$6:$R$2005,0))="","",INDEX(Timesheet!$E$6:$E$2005,MATCH(J31,Timesheet!$R$6:$R$2005,0))))</f>
        <v/>
      </c>
      <c r="E31" s="53">
        <f>IF(J31="","",IF(INDEX(Timesheet!$F$6:$F$2005,MATCH(J31,Timesheet!$R$6:$R$2005,0))="","",INDEX(Timesheet!$F$6:$F$2005,MATCH(J31,Timesheet!$R$6:$R$2005,0))))</f>
        <v/>
      </c>
      <c r="F31" s="53">
        <f>IF(J31="","",IF(INDEX(Timesheet!$G$6:$G$2005,MATCH(J31,Timesheet!$R$6:$R$2005,0))="","",INDEX(Timesheet!$G$6:$G$2005,MATCH(J31,Timesheet!$R$6:$R$2005,0))))</f>
        <v/>
      </c>
      <c r="G31" s="54">
        <f>IF(J31="","",INDEX(Timesheet!$M$6:$M$2005,MATCH(J31,Timesheet!$R$6:$R$2005,0)))</f>
        <v/>
      </c>
      <c r="H31" s="55">
        <f>IF(J31="","",INDEX(Timesheet!$O$6:$O$2005,MATCH(J31,Timesheet!$R$6:$R$2005,0)))</f>
        <v/>
      </c>
      <c r="I31" s="1" t="n"/>
      <c r="J31" s="1">
        <f>IFERROR(SMALL(Timesheet!$R$6:$R$2005,25),"")</f>
        <v/>
      </c>
      <c r="K31" s="1" t="n"/>
    </row>
    <row r="32">
      <c r="A32" s="1" t="n"/>
      <c r="B32" s="51">
        <f>IF(J32="","",INT(J32))</f>
        <v/>
      </c>
      <c r="C32" s="52">
        <f>IF(J32="","",IF(INDEX(Timesheet!$D$6:$D$2005,MATCH(J32,Timesheet!$R$6:$R$2005,0))="","",INDEX(Timesheet!$D$6:$D$2005,MATCH(J32,Timesheet!$R$6:$R$2005,0))))</f>
        <v/>
      </c>
      <c r="D32" s="52">
        <f>IF(J32="","",IF(INDEX(Timesheet!$E$6:$E$2005,MATCH(J32,Timesheet!$R$6:$R$2005,0))="","",INDEX(Timesheet!$E$6:$E$2005,MATCH(J32,Timesheet!$R$6:$R$2005,0))))</f>
        <v/>
      </c>
      <c r="E32" s="53">
        <f>IF(J32="","",IF(INDEX(Timesheet!$F$6:$F$2005,MATCH(J32,Timesheet!$R$6:$R$2005,0))="","",INDEX(Timesheet!$F$6:$F$2005,MATCH(J32,Timesheet!$R$6:$R$2005,0))))</f>
        <v/>
      </c>
      <c r="F32" s="53">
        <f>IF(J32="","",IF(INDEX(Timesheet!$G$6:$G$2005,MATCH(J32,Timesheet!$R$6:$R$2005,0))="","",INDEX(Timesheet!$G$6:$G$2005,MATCH(J32,Timesheet!$R$6:$R$2005,0))))</f>
        <v/>
      </c>
      <c r="G32" s="54">
        <f>IF(J32="","",INDEX(Timesheet!$M$6:$M$2005,MATCH(J32,Timesheet!$R$6:$R$2005,0)))</f>
        <v/>
      </c>
      <c r="H32" s="55">
        <f>IF(J32="","",INDEX(Timesheet!$O$6:$O$2005,MATCH(J32,Timesheet!$R$6:$R$2005,0)))</f>
        <v/>
      </c>
      <c r="I32" s="1" t="n"/>
      <c r="J32" s="1">
        <f>IFERROR(SMALL(Timesheet!$R$6:$R$2005,26),"")</f>
        <v/>
      </c>
      <c r="K32" s="1" t="n"/>
    </row>
    <row r="33">
      <c r="A33" s="1" t="n"/>
      <c r="B33" s="51">
        <f>IF(J33="","",INT(J33))</f>
        <v/>
      </c>
      <c r="C33" s="52">
        <f>IF(J33="","",IF(INDEX(Timesheet!$D$6:$D$2005,MATCH(J33,Timesheet!$R$6:$R$2005,0))="","",INDEX(Timesheet!$D$6:$D$2005,MATCH(J33,Timesheet!$R$6:$R$2005,0))))</f>
        <v/>
      </c>
      <c r="D33" s="52">
        <f>IF(J33="","",IF(INDEX(Timesheet!$E$6:$E$2005,MATCH(J33,Timesheet!$R$6:$R$2005,0))="","",INDEX(Timesheet!$E$6:$E$2005,MATCH(J33,Timesheet!$R$6:$R$2005,0))))</f>
        <v/>
      </c>
      <c r="E33" s="53">
        <f>IF(J33="","",IF(INDEX(Timesheet!$F$6:$F$2005,MATCH(J33,Timesheet!$R$6:$R$2005,0))="","",INDEX(Timesheet!$F$6:$F$2005,MATCH(J33,Timesheet!$R$6:$R$2005,0))))</f>
        <v/>
      </c>
      <c r="F33" s="53">
        <f>IF(J33="","",IF(INDEX(Timesheet!$G$6:$G$2005,MATCH(J33,Timesheet!$R$6:$R$2005,0))="","",INDEX(Timesheet!$G$6:$G$2005,MATCH(J33,Timesheet!$R$6:$R$2005,0))))</f>
        <v/>
      </c>
      <c r="G33" s="54">
        <f>IF(J33="","",INDEX(Timesheet!$M$6:$M$2005,MATCH(J33,Timesheet!$R$6:$R$2005,0)))</f>
        <v/>
      </c>
      <c r="H33" s="55">
        <f>IF(J33="","",INDEX(Timesheet!$O$6:$O$2005,MATCH(J33,Timesheet!$R$6:$R$2005,0)))</f>
        <v/>
      </c>
      <c r="I33" s="1" t="n"/>
      <c r="J33" s="1">
        <f>IFERROR(SMALL(Timesheet!$R$6:$R$2005,27),"")</f>
        <v/>
      </c>
      <c r="K33" s="1" t="n"/>
    </row>
    <row r="34">
      <c r="A34" s="1" t="n"/>
      <c r="B34" s="51">
        <f>IF(J34="","",INT(J34))</f>
        <v/>
      </c>
      <c r="C34" s="52">
        <f>IF(J34="","",IF(INDEX(Timesheet!$D$6:$D$2005,MATCH(J34,Timesheet!$R$6:$R$2005,0))="","",INDEX(Timesheet!$D$6:$D$2005,MATCH(J34,Timesheet!$R$6:$R$2005,0))))</f>
        <v/>
      </c>
      <c r="D34" s="52">
        <f>IF(J34="","",IF(INDEX(Timesheet!$E$6:$E$2005,MATCH(J34,Timesheet!$R$6:$R$2005,0))="","",INDEX(Timesheet!$E$6:$E$2005,MATCH(J34,Timesheet!$R$6:$R$2005,0))))</f>
        <v/>
      </c>
      <c r="E34" s="53">
        <f>IF(J34="","",IF(INDEX(Timesheet!$F$6:$F$2005,MATCH(J34,Timesheet!$R$6:$R$2005,0))="","",INDEX(Timesheet!$F$6:$F$2005,MATCH(J34,Timesheet!$R$6:$R$2005,0))))</f>
        <v/>
      </c>
      <c r="F34" s="53">
        <f>IF(J34="","",IF(INDEX(Timesheet!$G$6:$G$2005,MATCH(J34,Timesheet!$R$6:$R$2005,0))="","",INDEX(Timesheet!$G$6:$G$2005,MATCH(J34,Timesheet!$R$6:$R$2005,0))))</f>
        <v/>
      </c>
      <c r="G34" s="54">
        <f>IF(J34="","",INDEX(Timesheet!$M$6:$M$2005,MATCH(J34,Timesheet!$R$6:$R$2005,0)))</f>
        <v/>
      </c>
      <c r="H34" s="55">
        <f>IF(J34="","",INDEX(Timesheet!$O$6:$O$2005,MATCH(J34,Timesheet!$R$6:$R$2005,0)))</f>
        <v/>
      </c>
      <c r="I34" s="1" t="n"/>
      <c r="J34" s="1">
        <f>IFERROR(SMALL(Timesheet!$R$6:$R$2005,28),"")</f>
        <v/>
      </c>
      <c r="K34" s="1" t="n"/>
    </row>
    <row r="35">
      <c r="A35" s="1" t="n"/>
      <c r="B35" s="51">
        <f>IF(J35="","",INT(J35))</f>
        <v/>
      </c>
      <c r="C35" s="52">
        <f>IF(J35="","",IF(INDEX(Timesheet!$D$6:$D$2005,MATCH(J35,Timesheet!$R$6:$R$2005,0))="","",INDEX(Timesheet!$D$6:$D$2005,MATCH(J35,Timesheet!$R$6:$R$2005,0))))</f>
        <v/>
      </c>
      <c r="D35" s="52">
        <f>IF(J35="","",IF(INDEX(Timesheet!$E$6:$E$2005,MATCH(J35,Timesheet!$R$6:$R$2005,0))="","",INDEX(Timesheet!$E$6:$E$2005,MATCH(J35,Timesheet!$R$6:$R$2005,0))))</f>
        <v/>
      </c>
      <c r="E35" s="53">
        <f>IF(J35="","",IF(INDEX(Timesheet!$F$6:$F$2005,MATCH(J35,Timesheet!$R$6:$R$2005,0))="","",INDEX(Timesheet!$F$6:$F$2005,MATCH(J35,Timesheet!$R$6:$R$2005,0))))</f>
        <v/>
      </c>
      <c r="F35" s="53">
        <f>IF(J35="","",IF(INDEX(Timesheet!$G$6:$G$2005,MATCH(J35,Timesheet!$R$6:$R$2005,0))="","",INDEX(Timesheet!$G$6:$G$2005,MATCH(J35,Timesheet!$R$6:$R$2005,0))))</f>
        <v/>
      </c>
      <c r="G35" s="54">
        <f>IF(J35="","",INDEX(Timesheet!$M$6:$M$2005,MATCH(J35,Timesheet!$R$6:$R$2005,0)))</f>
        <v/>
      </c>
      <c r="H35" s="55">
        <f>IF(J35="","",INDEX(Timesheet!$O$6:$O$2005,MATCH(J35,Timesheet!$R$6:$R$2005,0)))</f>
        <v/>
      </c>
      <c r="I35" s="1" t="n"/>
      <c r="J35" s="1">
        <f>IFERROR(SMALL(Timesheet!$R$6:$R$2005,29),"")</f>
        <v/>
      </c>
      <c r="K35" s="1" t="n"/>
    </row>
    <row r="36">
      <c r="A36" s="1" t="n"/>
      <c r="B36" s="51">
        <f>IF(J36="","",INT(J36))</f>
        <v/>
      </c>
      <c r="C36" s="52">
        <f>IF(J36="","",IF(INDEX(Timesheet!$D$6:$D$2005,MATCH(J36,Timesheet!$R$6:$R$2005,0))="","",INDEX(Timesheet!$D$6:$D$2005,MATCH(J36,Timesheet!$R$6:$R$2005,0))))</f>
        <v/>
      </c>
      <c r="D36" s="52">
        <f>IF(J36="","",IF(INDEX(Timesheet!$E$6:$E$2005,MATCH(J36,Timesheet!$R$6:$R$2005,0))="","",INDEX(Timesheet!$E$6:$E$2005,MATCH(J36,Timesheet!$R$6:$R$2005,0))))</f>
        <v/>
      </c>
      <c r="E36" s="53">
        <f>IF(J36="","",IF(INDEX(Timesheet!$F$6:$F$2005,MATCH(J36,Timesheet!$R$6:$R$2005,0))="","",INDEX(Timesheet!$F$6:$F$2005,MATCH(J36,Timesheet!$R$6:$R$2005,0))))</f>
        <v/>
      </c>
      <c r="F36" s="53">
        <f>IF(J36="","",IF(INDEX(Timesheet!$G$6:$G$2005,MATCH(J36,Timesheet!$R$6:$R$2005,0))="","",INDEX(Timesheet!$G$6:$G$2005,MATCH(J36,Timesheet!$R$6:$R$2005,0))))</f>
        <v/>
      </c>
      <c r="G36" s="54">
        <f>IF(J36="","",INDEX(Timesheet!$M$6:$M$2005,MATCH(J36,Timesheet!$R$6:$R$2005,0)))</f>
        <v/>
      </c>
      <c r="H36" s="55">
        <f>IF(J36="","",INDEX(Timesheet!$O$6:$O$2005,MATCH(J36,Timesheet!$R$6:$R$2005,0)))</f>
        <v/>
      </c>
      <c r="I36" s="1" t="n"/>
      <c r="J36" s="1">
        <f>IFERROR(SMALL(Timesheet!$R$6:$R$2005,30),"")</f>
        <v/>
      </c>
      <c r="K36" s="1" t="n"/>
    </row>
    <row r="37">
      <c r="A37" s="1" t="n"/>
      <c r="B37" s="51">
        <f>IF(J37="","",INT(J37))</f>
        <v/>
      </c>
      <c r="C37" s="52">
        <f>IF(J37="","",IF(INDEX(Timesheet!$D$6:$D$2005,MATCH(J37,Timesheet!$R$6:$R$2005,0))="","",INDEX(Timesheet!$D$6:$D$2005,MATCH(J37,Timesheet!$R$6:$R$2005,0))))</f>
        <v/>
      </c>
      <c r="D37" s="52">
        <f>IF(J37="","",IF(INDEX(Timesheet!$E$6:$E$2005,MATCH(J37,Timesheet!$R$6:$R$2005,0))="","",INDEX(Timesheet!$E$6:$E$2005,MATCH(J37,Timesheet!$R$6:$R$2005,0))))</f>
        <v/>
      </c>
      <c r="E37" s="53">
        <f>IF(J37="","",IF(INDEX(Timesheet!$F$6:$F$2005,MATCH(J37,Timesheet!$R$6:$R$2005,0))="","",INDEX(Timesheet!$F$6:$F$2005,MATCH(J37,Timesheet!$R$6:$R$2005,0))))</f>
        <v/>
      </c>
      <c r="F37" s="53">
        <f>IF(J37="","",IF(INDEX(Timesheet!$G$6:$G$2005,MATCH(J37,Timesheet!$R$6:$R$2005,0))="","",INDEX(Timesheet!$G$6:$G$2005,MATCH(J37,Timesheet!$R$6:$R$2005,0))))</f>
        <v/>
      </c>
      <c r="G37" s="54">
        <f>IF(J37="","",INDEX(Timesheet!$M$6:$M$2005,MATCH(J37,Timesheet!$R$6:$R$2005,0)))</f>
        <v/>
      </c>
      <c r="H37" s="55">
        <f>IF(J37="","",INDEX(Timesheet!$O$6:$O$2005,MATCH(J37,Timesheet!$R$6:$R$2005,0)))</f>
        <v/>
      </c>
      <c r="I37" s="1" t="n"/>
      <c r="J37" s="1">
        <f>IFERROR(SMALL(Timesheet!$R$6:$R$2005,31),"")</f>
        <v/>
      </c>
      <c r="K37" s="1" t="n"/>
    </row>
    <row r="38">
      <c r="A38" s="1" t="n"/>
      <c r="B38" s="51">
        <f>IF(J38="","",INT(J38))</f>
        <v/>
      </c>
      <c r="C38" s="52">
        <f>IF(J38="","",IF(INDEX(Timesheet!$D$6:$D$2005,MATCH(J38,Timesheet!$R$6:$R$2005,0))="","",INDEX(Timesheet!$D$6:$D$2005,MATCH(J38,Timesheet!$R$6:$R$2005,0))))</f>
        <v/>
      </c>
      <c r="D38" s="52">
        <f>IF(J38="","",IF(INDEX(Timesheet!$E$6:$E$2005,MATCH(J38,Timesheet!$R$6:$R$2005,0))="","",INDEX(Timesheet!$E$6:$E$2005,MATCH(J38,Timesheet!$R$6:$R$2005,0))))</f>
        <v/>
      </c>
      <c r="E38" s="53">
        <f>IF(J38="","",IF(INDEX(Timesheet!$F$6:$F$2005,MATCH(J38,Timesheet!$R$6:$R$2005,0))="","",INDEX(Timesheet!$F$6:$F$2005,MATCH(J38,Timesheet!$R$6:$R$2005,0))))</f>
        <v/>
      </c>
      <c r="F38" s="53">
        <f>IF(J38="","",IF(INDEX(Timesheet!$G$6:$G$2005,MATCH(J38,Timesheet!$R$6:$R$2005,0))="","",INDEX(Timesheet!$G$6:$G$2005,MATCH(J38,Timesheet!$R$6:$R$2005,0))))</f>
        <v/>
      </c>
      <c r="G38" s="54">
        <f>IF(J38="","",INDEX(Timesheet!$M$6:$M$2005,MATCH(J38,Timesheet!$R$6:$R$2005,0)))</f>
        <v/>
      </c>
      <c r="H38" s="55">
        <f>IF(J38="","",INDEX(Timesheet!$O$6:$O$2005,MATCH(J38,Timesheet!$R$6:$R$2005,0)))</f>
        <v/>
      </c>
      <c r="I38" s="1" t="n"/>
      <c r="J38" s="1">
        <f>IFERROR(SMALL(Timesheet!$R$6:$R$2005,32),"")</f>
        <v/>
      </c>
      <c r="K38" s="1" t="n"/>
    </row>
    <row r="39">
      <c r="A39" s="1" t="n"/>
      <c r="B39" s="51">
        <f>IF(J39="","",INT(J39))</f>
        <v/>
      </c>
      <c r="C39" s="52">
        <f>IF(J39="","",IF(INDEX(Timesheet!$D$6:$D$2005,MATCH(J39,Timesheet!$R$6:$R$2005,0))="","",INDEX(Timesheet!$D$6:$D$2005,MATCH(J39,Timesheet!$R$6:$R$2005,0))))</f>
        <v/>
      </c>
      <c r="D39" s="52">
        <f>IF(J39="","",IF(INDEX(Timesheet!$E$6:$E$2005,MATCH(J39,Timesheet!$R$6:$R$2005,0))="","",INDEX(Timesheet!$E$6:$E$2005,MATCH(J39,Timesheet!$R$6:$R$2005,0))))</f>
        <v/>
      </c>
      <c r="E39" s="53">
        <f>IF(J39="","",IF(INDEX(Timesheet!$F$6:$F$2005,MATCH(J39,Timesheet!$R$6:$R$2005,0))="","",INDEX(Timesheet!$F$6:$F$2005,MATCH(J39,Timesheet!$R$6:$R$2005,0))))</f>
        <v/>
      </c>
      <c r="F39" s="53">
        <f>IF(J39="","",IF(INDEX(Timesheet!$G$6:$G$2005,MATCH(J39,Timesheet!$R$6:$R$2005,0))="","",INDEX(Timesheet!$G$6:$G$2005,MATCH(J39,Timesheet!$R$6:$R$2005,0))))</f>
        <v/>
      </c>
      <c r="G39" s="54">
        <f>IF(J39="","",INDEX(Timesheet!$M$6:$M$2005,MATCH(J39,Timesheet!$R$6:$R$2005,0)))</f>
        <v/>
      </c>
      <c r="H39" s="55">
        <f>IF(J39="","",INDEX(Timesheet!$O$6:$O$2005,MATCH(J39,Timesheet!$R$6:$R$2005,0)))</f>
        <v/>
      </c>
      <c r="I39" s="1" t="n"/>
      <c r="J39" s="1">
        <f>IFERROR(SMALL(Timesheet!$R$6:$R$2005,33),"")</f>
        <v/>
      </c>
      <c r="K39" s="1" t="n"/>
    </row>
    <row r="40">
      <c r="A40" s="1" t="n"/>
      <c r="B40" s="51">
        <f>IF(J40="","",INT(J40))</f>
        <v/>
      </c>
      <c r="C40" s="52">
        <f>IF(J40="","",IF(INDEX(Timesheet!$D$6:$D$2005,MATCH(J40,Timesheet!$R$6:$R$2005,0))="","",INDEX(Timesheet!$D$6:$D$2005,MATCH(J40,Timesheet!$R$6:$R$2005,0))))</f>
        <v/>
      </c>
      <c r="D40" s="52">
        <f>IF(J40="","",IF(INDEX(Timesheet!$E$6:$E$2005,MATCH(J40,Timesheet!$R$6:$R$2005,0))="","",INDEX(Timesheet!$E$6:$E$2005,MATCH(J40,Timesheet!$R$6:$R$2005,0))))</f>
        <v/>
      </c>
      <c r="E40" s="53">
        <f>IF(J40="","",IF(INDEX(Timesheet!$F$6:$F$2005,MATCH(J40,Timesheet!$R$6:$R$2005,0))="","",INDEX(Timesheet!$F$6:$F$2005,MATCH(J40,Timesheet!$R$6:$R$2005,0))))</f>
        <v/>
      </c>
      <c r="F40" s="53">
        <f>IF(J40="","",IF(INDEX(Timesheet!$G$6:$G$2005,MATCH(J40,Timesheet!$R$6:$R$2005,0))="","",INDEX(Timesheet!$G$6:$G$2005,MATCH(J40,Timesheet!$R$6:$R$2005,0))))</f>
        <v/>
      </c>
      <c r="G40" s="54">
        <f>IF(J40="","",INDEX(Timesheet!$M$6:$M$2005,MATCH(J40,Timesheet!$R$6:$R$2005,0)))</f>
        <v/>
      </c>
      <c r="H40" s="55">
        <f>IF(J40="","",INDEX(Timesheet!$O$6:$O$2005,MATCH(J40,Timesheet!$R$6:$R$2005,0)))</f>
        <v/>
      </c>
      <c r="I40" s="1" t="n"/>
      <c r="J40" s="1">
        <f>IFERROR(SMALL(Timesheet!$R$6:$R$2005,34),"")</f>
        <v/>
      </c>
      <c r="K40" s="1" t="n"/>
    </row>
    <row r="41">
      <c r="A41" s="1" t="n"/>
      <c r="B41" s="51">
        <f>IF(J41="","",INT(J41))</f>
        <v/>
      </c>
      <c r="C41" s="52">
        <f>IF(J41="","",IF(INDEX(Timesheet!$D$6:$D$2005,MATCH(J41,Timesheet!$R$6:$R$2005,0))="","",INDEX(Timesheet!$D$6:$D$2005,MATCH(J41,Timesheet!$R$6:$R$2005,0))))</f>
        <v/>
      </c>
      <c r="D41" s="52">
        <f>IF(J41="","",IF(INDEX(Timesheet!$E$6:$E$2005,MATCH(J41,Timesheet!$R$6:$R$2005,0))="","",INDEX(Timesheet!$E$6:$E$2005,MATCH(J41,Timesheet!$R$6:$R$2005,0))))</f>
        <v/>
      </c>
      <c r="E41" s="53">
        <f>IF(J41="","",IF(INDEX(Timesheet!$F$6:$F$2005,MATCH(J41,Timesheet!$R$6:$R$2005,0))="","",INDEX(Timesheet!$F$6:$F$2005,MATCH(J41,Timesheet!$R$6:$R$2005,0))))</f>
        <v/>
      </c>
      <c r="F41" s="53">
        <f>IF(J41="","",IF(INDEX(Timesheet!$G$6:$G$2005,MATCH(J41,Timesheet!$R$6:$R$2005,0))="","",INDEX(Timesheet!$G$6:$G$2005,MATCH(J41,Timesheet!$R$6:$R$2005,0))))</f>
        <v/>
      </c>
      <c r="G41" s="54">
        <f>IF(J41="","",INDEX(Timesheet!$M$6:$M$2005,MATCH(J41,Timesheet!$R$6:$R$2005,0)))</f>
        <v/>
      </c>
      <c r="H41" s="55">
        <f>IF(J41="","",INDEX(Timesheet!$O$6:$O$2005,MATCH(J41,Timesheet!$R$6:$R$2005,0)))</f>
        <v/>
      </c>
      <c r="I41" s="1" t="n"/>
      <c r="J41" s="1">
        <f>IFERROR(SMALL(Timesheet!$R$6:$R$2005,35),"")</f>
        <v/>
      </c>
      <c r="K41" s="1" t="n"/>
    </row>
    <row r="42">
      <c r="A42" s="1" t="n"/>
      <c r="B42" s="51">
        <f>IF(J42="","",INT(J42))</f>
        <v/>
      </c>
      <c r="C42" s="52">
        <f>IF(J42="","",IF(INDEX(Timesheet!$D$6:$D$2005,MATCH(J42,Timesheet!$R$6:$R$2005,0))="","",INDEX(Timesheet!$D$6:$D$2005,MATCH(J42,Timesheet!$R$6:$R$2005,0))))</f>
        <v/>
      </c>
      <c r="D42" s="52">
        <f>IF(J42="","",IF(INDEX(Timesheet!$E$6:$E$2005,MATCH(J42,Timesheet!$R$6:$R$2005,0))="","",INDEX(Timesheet!$E$6:$E$2005,MATCH(J42,Timesheet!$R$6:$R$2005,0))))</f>
        <v/>
      </c>
      <c r="E42" s="53">
        <f>IF(J42="","",IF(INDEX(Timesheet!$F$6:$F$2005,MATCH(J42,Timesheet!$R$6:$R$2005,0))="","",INDEX(Timesheet!$F$6:$F$2005,MATCH(J42,Timesheet!$R$6:$R$2005,0))))</f>
        <v/>
      </c>
      <c r="F42" s="53">
        <f>IF(J42="","",IF(INDEX(Timesheet!$G$6:$G$2005,MATCH(J42,Timesheet!$R$6:$R$2005,0))="","",INDEX(Timesheet!$G$6:$G$2005,MATCH(J42,Timesheet!$R$6:$R$2005,0))))</f>
        <v/>
      </c>
      <c r="G42" s="54">
        <f>IF(J42="","",INDEX(Timesheet!$M$6:$M$2005,MATCH(J42,Timesheet!$R$6:$R$2005,0)))</f>
        <v/>
      </c>
      <c r="H42" s="55">
        <f>IF(J42="","",INDEX(Timesheet!$O$6:$O$2005,MATCH(J42,Timesheet!$R$6:$R$2005,0)))</f>
        <v/>
      </c>
      <c r="I42" s="1" t="n"/>
      <c r="J42" s="1">
        <f>IFERROR(SMALL(Timesheet!$R$6:$R$2005,36),"")</f>
        <v/>
      </c>
      <c r="K42" s="1" t="n"/>
    </row>
    <row r="43">
      <c r="A43" s="1" t="n"/>
      <c r="B43" s="51">
        <f>IF(J43="","",INT(J43))</f>
        <v/>
      </c>
      <c r="C43" s="52">
        <f>IF(J43="","",IF(INDEX(Timesheet!$D$6:$D$2005,MATCH(J43,Timesheet!$R$6:$R$2005,0))="","",INDEX(Timesheet!$D$6:$D$2005,MATCH(J43,Timesheet!$R$6:$R$2005,0))))</f>
        <v/>
      </c>
      <c r="D43" s="52">
        <f>IF(J43="","",IF(INDEX(Timesheet!$E$6:$E$2005,MATCH(J43,Timesheet!$R$6:$R$2005,0))="","",INDEX(Timesheet!$E$6:$E$2005,MATCH(J43,Timesheet!$R$6:$R$2005,0))))</f>
        <v/>
      </c>
      <c r="E43" s="53">
        <f>IF(J43="","",IF(INDEX(Timesheet!$F$6:$F$2005,MATCH(J43,Timesheet!$R$6:$R$2005,0))="","",INDEX(Timesheet!$F$6:$F$2005,MATCH(J43,Timesheet!$R$6:$R$2005,0))))</f>
        <v/>
      </c>
      <c r="F43" s="53">
        <f>IF(J43="","",IF(INDEX(Timesheet!$G$6:$G$2005,MATCH(J43,Timesheet!$R$6:$R$2005,0))="","",INDEX(Timesheet!$G$6:$G$2005,MATCH(J43,Timesheet!$R$6:$R$2005,0))))</f>
        <v/>
      </c>
      <c r="G43" s="54">
        <f>IF(J43="","",INDEX(Timesheet!$M$6:$M$2005,MATCH(J43,Timesheet!$R$6:$R$2005,0)))</f>
        <v/>
      </c>
      <c r="H43" s="55">
        <f>IF(J43="","",INDEX(Timesheet!$O$6:$O$2005,MATCH(J43,Timesheet!$R$6:$R$2005,0)))</f>
        <v/>
      </c>
      <c r="I43" s="1" t="n"/>
      <c r="J43" s="1">
        <f>IFERROR(SMALL(Timesheet!$R$6:$R$2005,37),"")</f>
        <v/>
      </c>
      <c r="K43" s="1" t="n"/>
    </row>
    <row r="44">
      <c r="A44" s="1" t="n"/>
      <c r="B44" s="51">
        <f>IF(J44="","",INT(J44))</f>
        <v/>
      </c>
      <c r="C44" s="52">
        <f>IF(J44="","",IF(INDEX(Timesheet!$D$6:$D$2005,MATCH(J44,Timesheet!$R$6:$R$2005,0))="","",INDEX(Timesheet!$D$6:$D$2005,MATCH(J44,Timesheet!$R$6:$R$2005,0))))</f>
        <v/>
      </c>
      <c r="D44" s="52">
        <f>IF(J44="","",IF(INDEX(Timesheet!$E$6:$E$2005,MATCH(J44,Timesheet!$R$6:$R$2005,0))="","",INDEX(Timesheet!$E$6:$E$2005,MATCH(J44,Timesheet!$R$6:$R$2005,0))))</f>
        <v/>
      </c>
      <c r="E44" s="53">
        <f>IF(J44="","",IF(INDEX(Timesheet!$F$6:$F$2005,MATCH(J44,Timesheet!$R$6:$R$2005,0))="","",INDEX(Timesheet!$F$6:$F$2005,MATCH(J44,Timesheet!$R$6:$R$2005,0))))</f>
        <v/>
      </c>
      <c r="F44" s="53">
        <f>IF(J44="","",IF(INDEX(Timesheet!$G$6:$G$2005,MATCH(J44,Timesheet!$R$6:$R$2005,0))="","",INDEX(Timesheet!$G$6:$G$2005,MATCH(J44,Timesheet!$R$6:$R$2005,0))))</f>
        <v/>
      </c>
      <c r="G44" s="54">
        <f>IF(J44="","",INDEX(Timesheet!$M$6:$M$2005,MATCH(J44,Timesheet!$R$6:$R$2005,0)))</f>
        <v/>
      </c>
      <c r="H44" s="55">
        <f>IF(J44="","",INDEX(Timesheet!$O$6:$O$2005,MATCH(J44,Timesheet!$R$6:$R$2005,0)))</f>
        <v/>
      </c>
      <c r="I44" s="1" t="n"/>
      <c r="J44" s="1">
        <f>IFERROR(SMALL(Timesheet!$R$6:$R$2005,38),"")</f>
        <v/>
      </c>
      <c r="K44" s="1" t="n"/>
    </row>
    <row r="45">
      <c r="A45" s="1" t="n"/>
      <c r="B45" s="51">
        <f>IF(J45="","",INT(J45))</f>
        <v/>
      </c>
      <c r="C45" s="52">
        <f>IF(J45="","",IF(INDEX(Timesheet!$D$6:$D$2005,MATCH(J45,Timesheet!$R$6:$R$2005,0))="","",INDEX(Timesheet!$D$6:$D$2005,MATCH(J45,Timesheet!$R$6:$R$2005,0))))</f>
        <v/>
      </c>
      <c r="D45" s="52">
        <f>IF(J45="","",IF(INDEX(Timesheet!$E$6:$E$2005,MATCH(J45,Timesheet!$R$6:$R$2005,0))="","",INDEX(Timesheet!$E$6:$E$2005,MATCH(J45,Timesheet!$R$6:$R$2005,0))))</f>
        <v/>
      </c>
      <c r="E45" s="53">
        <f>IF(J45="","",IF(INDEX(Timesheet!$F$6:$F$2005,MATCH(J45,Timesheet!$R$6:$R$2005,0))="","",INDEX(Timesheet!$F$6:$F$2005,MATCH(J45,Timesheet!$R$6:$R$2005,0))))</f>
        <v/>
      </c>
      <c r="F45" s="53">
        <f>IF(J45="","",IF(INDEX(Timesheet!$G$6:$G$2005,MATCH(J45,Timesheet!$R$6:$R$2005,0))="","",INDEX(Timesheet!$G$6:$G$2005,MATCH(J45,Timesheet!$R$6:$R$2005,0))))</f>
        <v/>
      </c>
      <c r="G45" s="54">
        <f>IF(J45="","",INDEX(Timesheet!$M$6:$M$2005,MATCH(J45,Timesheet!$R$6:$R$2005,0)))</f>
        <v/>
      </c>
      <c r="H45" s="55">
        <f>IF(J45="","",INDEX(Timesheet!$O$6:$O$2005,MATCH(J45,Timesheet!$R$6:$R$2005,0)))</f>
        <v/>
      </c>
      <c r="I45" s="1" t="n"/>
      <c r="J45" s="1">
        <f>IFERROR(SMALL(Timesheet!$R$6:$R$2005,39),"")</f>
        <v/>
      </c>
      <c r="K45" s="1" t="n"/>
    </row>
    <row r="46">
      <c r="A46" s="1" t="n"/>
      <c r="B46" s="51">
        <f>IF(J46="","",INT(J46))</f>
        <v/>
      </c>
      <c r="C46" s="52">
        <f>IF(J46="","",IF(INDEX(Timesheet!$D$6:$D$2005,MATCH(J46,Timesheet!$R$6:$R$2005,0))="","",INDEX(Timesheet!$D$6:$D$2005,MATCH(J46,Timesheet!$R$6:$R$2005,0))))</f>
        <v/>
      </c>
      <c r="D46" s="52">
        <f>IF(J46="","",IF(INDEX(Timesheet!$E$6:$E$2005,MATCH(J46,Timesheet!$R$6:$R$2005,0))="","",INDEX(Timesheet!$E$6:$E$2005,MATCH(J46,Timesheet!$R$6:$R$2005,0))))</f>
        <v/>
      </c>
      <c r="E46" s="53">
        <f>IF(J46="","",IF(INDEX(Timesheet!$F$6:$F$2005,MATCH(J46,Timesheet!$R$6:$R$2005,0))="","",INDEX(Timesheet!$F$6:$F$2005,MATCH(J46,Timesheet!$R$6:$R$2005,0))))</f>
        <v/>
      </c>
      <c r="F46" s="53">
        <f>IF(J46="","",IF(INDEX(Timesheet!$G$6:$G$2005,MATCH(J46,Timesheet!$R$6:$R$2005,0))="","",INDEX(Timesheet!$G$6:$G$2005,MATCH(J46,Timesheet!$R$6:$R$2005,0))))</f>
        <v/>
      </c>
      <c r="G46" s="54">
        <f>IF(J46="","",INDEX(Timesheet!$M$6:$M$2005,MATCH(J46,Timesheet!$R$6:$R$2005,0)))</f>
        <v/>
      </c>
      <c r="H46" s="55">
        <f>IF(J46="","",INDEX(Timesheet!$O$6:$O$2005,MATCH(J46,Timesheet!$R$6:$R$2005,0)))</f>
        <v/>
      </c>
      <c r="I46" s="1" t="n"/>
      <c r="J46" s="1">
        <f>IFERROR(SMALL(Timesheet!$R$6:$R$2005,40),"")</f>
        <v/>
      </c>
      <c r="K46" s="1" t="n"/>
    </row>
    <row r="47">
      <c r="A47" s="1" t="n"/>
      <c r="B47" s="51">
        <f>IF(J47="","",INT(J47))</f>
        <v/>
      </c>
      <c r="C47" s="52">
        <f>IF(J47="","",IF(INDEX(Timesheet!$D$6:$D$2005,MATCH(J47,Timesheet!$R$6:$R$2005,0))="","",INDEX(Timesheet!$D$6:$D$2005,MATCH(J47,Timesheet!$R$6:$R$2005,0))))</f>
        <v/>
      </c>
      <c r="D47" s="52">
        <f>IF(J47="","",IF(INDEX(Timesheet!$E$6:$E$2005,MATCH(J47,Timesheet!$R$6:$R$2005,0))="","",INDEX(Timesheet!$E$6:$E$2005,MATCH(J47,Timesheet!$R$6:$R$2005,0))))</f>
        <v/>
      </c>
      <c r="E47" s="53">
        <f>IF(J47="","",IF(INDEX(Timesheet!$F$6:$F$2005,MATCH(J47,Timesheet!$R$6:$R$2005,0))="","",INDEX(Timesheet!$F$6:$F$2005,MATCH(J47,Timesheet!$R$6:$R$2005,0))))</f>
        <v/>
      </c>
      <c r="F47" s="53">
        <f>IF(J47="","",IF(INDEX(Timesheet!$G$6:$G$2005,MATCH(J47,Timesheet!$R$6:$R$2005,0))="","",INDEX(Timesheet!$G$6:$G$2005,MATCH(J47,Timesheet!$R$6:$R$2005,0))))</f>
        <v/>
      </c>
      <c r="G47" s="54">
        <f>IF(J47="","",INDEX(Timesheet!$M$6:$M$2005,MATCH(J47,Timesheet!$R$6:$R$2005,0)))</f>
        <v/>
      </c>
      <c r="H47" s="55">
        <f>IF(J47="","",INDEX(Timesheet!$O$6:$O$2005,MATCH(J47,Timesheet!$R$6:$R$2005,0)))</f>
        <v/>
      </c>
      <c r="I47" s="1" t="n"/>
      <c r="J47" s="1">
        <f>IFERROR(SMALL(Timesheet!$R$6:$R$2005,41),"")</f>
        <v/>
      </c>
      <c r="K47" s="1" t="n"/>
    </row>
    <row r="48">
      <c r="A48" s="1" t="n"/>
      <c r="B48" s="51">
        <f>IF(J48="","",INT(J48))</f>
        <v/>
      </c>
      <c r="C48" s="52">
        <f>IF(J48="","",IF(INDEX(Timesheet!$D$6:$D$2005,MATCH(J48,Timesheet!$R$6:$R$2005,0))="","",INDEX(Timesheet!$D$6:$D$2005,MATCH(J48,Timesheet!$R$6:$R$2005,0))))</f>
        <v/>
      </c>
      <c r="D48" s="52">
        <f>IF(J48="","",IF(INDEX(Timesheet!$E$6:$E$2005,MATCH(J48,Timesheet!$R$6:$R$2005,0))="","",INDEX(Timesheet!$E$6:$E$2005,MATCH(J48,Timesheet!$R$6:$R$2005,0))))</f>
        <v/>
      </c>
      <c r="E48" s="53">
        <f>IF(J48="","",IF(INDEX(Timesheet!$F$6:$F$2005,MATCH(J48,Timesheet!$R$6:$R$2005,0))="","",INDEX(Timesheet!$F$6:$F$2005,MATCH(J48,Timesheet!$R$6:$R$2005,0))))</f>
        <v/>
      </c>
      <c r="F48" s="53">
        <f>IF(J48="","",IF(INDEX(Timesheet!$G$6:$G$2005,MATCH(J48,Timesheet!$R$6:$R$2005,0))="","",INDEX(Timesheet!$G$6:$G$2005,MATCH(J48,Timesheet!$R$6:$R$2005,0))))</f>
        <v/>
      </c>
      <c r="G48" s="54">
        <f>IF(J48="","",INDEX(Timesheet!$M$6:$M$2005,MATCH(J48,Timesheet!$R$6:$R$2005,0)))</f>
        <v/>
      </c>
      <c r="H48" s="55">
        <f>IF(J48="","",INDEX(Timesheet!$O$6:$O$2005,MATCH(J48,Timesheet!$R$6:$R$2005,0)))</f>
        <v/>
      </c>
      <c r="I48" s="1" t="n"/>
      <c r="J48" s="1">
        <f>IFERROR(SMALL(Timesheet!$R$6:$R$2005,42),"")</f>
        <v/>
      </c>
      <c r="K48" s="1" t="n"/>
    </row>
    <row r="49">
      <c r="A49" s="1" t="n"/>
      <c r="B49" s="51">
        <f>IF(J49="","",INT(J49))</f>
        <v/>
      </c>
      <c r="C49" s="52">
        <f>IF(J49="","",IF(INDEX(Timesheet!$D$6:$D$2005,MATCH(J49,Timesheet!$R$6:$R$2005,0))="","",INDEX(Timesheet!$D$6:$D$2005,MATCH(J49,Timesheet!$R$6:$R$2005,0))))</f>
        <v/>
      </c>
      <c r="D49" s="52">
        <f>IF(J49="","",IF(INDEX(Timesheet!$E$6:$E$2005,MATCH(J49,Timesheet!$R$6:$R$2005,0))="","",INDEX(Timesheet!$E$6:$E$2005,MATCH(J49,Timesheet!$R$6:$R$2005,0))))</f>
        <v/>
      </c>
      <c r="E49" s="53">
        <f>IF(J49="","",IF(INDEX(Timesheet!$F$6:$F$2005,MATCH(J49,Timesheet!$R$6:$R$2005,0))="","",INDEX(Timesheet!$F$6:$F$2005,MATCH(J49,Timesheet!$R$6:$R$2005,0))))</f>
        <v/>
      </c>
      <c r="F49" s="53">
        <f>IF(J49="","",IF(INDEX(Timesheet!$G$6:$G$2005,MATCH(J49,Timesheet!$R$6:$R$2005,0))="","",INDEX(Timesheet!$G$6:$G$2005,MATCH(J49,Timesheet!$R$6:$R$2005,0))))</f>
        <v/>
      </c>
      <c r="G49" s="54">
        <f>IF(J49="","",INDEX(Timesheet!$M$6:$M$2005,MATCH(J49,Timesheet!$R$6:$R$2005,0)))</f>
        <v/>
      </c>
      <c r="H49" s="55">
        <f>IF(J49="","",INDEX(Timesheet!$O$6:$O$2005,MATCH(J49,Timesheet!$R$6:$R$2005,0)))</f>
        <v/>
      </c>
      <c r="I49" s="1" t="n"/>
      <c r="J49" s="1">
        <f>IFERROR(SMALL(Timesheet!$R$6:$R$2005,43),"")</f>
        <v/>
      </c>
      <c r="K49" s="1" t="n"/>
    </row>
    <row r="50">
      <c r="A50" s="1" t="n"/>
      <c r="B50" s="51">
        <f>IF(J50="","",INT(J50))</f>
        <v/>
      </c>
      <c r="C50" s="52">
        <f>IF(J50="","",IF(INDEX(Timesheet!$D$6:$D$2005,MATCH(J50,Timesheet!$R$6:$R$2005,0))="","",INDEX(Timesheet!$D$6:$D$2005,MATCH(J50,Timesheet!$R$6:$R$2005,0))))</f>
        <v/>
      </c>
      <c r="D50" s="52">
        <f>IF(J50="","",IF(INDEX(Timesheet!$E$6:$E$2005,MATCH(J50,Timesheet!$R$6:$R$2005,0))="","",INDEX(Timesheet!$E$6:$E$2005,MATCH(J50,Timesheet!$R$6:$R$2005,0))))</f>
        <v/>
      </c>
      <c r="E50" s="53">
        <f>IF(J50="","",IF(INDEX(Timesheet!$F$6:$F$2005,MATCH(J50,Timesheet!$R$6:$R$2005,0))="","",INDEX(Timesheet!$F$6:$F$2005,MATCH(J50,Timesheet!$R$6:$R$2005,0))))</f>
        <v/>
      </c>
      <c r="F50" s="53">
        <f>IF(J50="","",IF(INDEX(Timesheet!$G$6:$G$2005,MATCH(J50,Timesheet!$R$6:$R$2005,0))="","",INDEX(Timesheet!$G$6:$G$2005,MATCH(J50,Timesheet!$R$6:$R$2005,0))))</f>
        <v/>
      </c>
      <c r="G50" s="54">
        <f>IF(J50="","",INDEX(Timesheet!$M$6:$M$2005,MATCH(J50,Timesheet!$R$6:$R$2005,0)))</f>
        <v/>
      </c>
      <c r="H50" s="55">
        <f>IF(J50="","",INDEX(Timesheet!$O$6:$O$2005,MATCH(J50,Timesheet!$R$6:$R$2005,0)))</f>
        <v/>
      </c>
      <c r="I50" s="1" t="n"/>
      <c r="J50" s="1">
        <f>IFERROR(SMALL(Timesheet!$R$6:$R$2005,44),"")</f>
        <v/>
      </c>
      <c r="K50" s="1" t="n"/>
    </row>
    <row r="51">
      <c r="A51" s="1" t="n"/>
      <c r="B51" s="51">
        <f>IF(J51="","",INT(J51))</f>
        <v/>
      </c>
      <c r="C51" s="52">
        <f>IF(J51="","",IF(INDEX(Timesheet!$D$6:$D$2005,MATCH(J51,Timesheet!$R$6:$R$2005,0))="","",INDEX(Timesheet!$D$6:$D$2005,MATCH(J51,Timesheet!$R$6:$R$2005,0))))</f>
        <v/>
      </c>
      <c r="D51" s="52">
        <f>IF(J51="","",IF(INDEX(Timesheet!$E$6:$E$2005,MATCH(J51,Timesheet!$R$6:$R$2005,0))="","",INDEX(Timesheet!$E$6:$E$2005,MATCH(J51,Timesheet!$R$6:$R$2005,0))))</f>
        <v/>
      </c>
      <c r="E51" s="53">
        <f>IF(J51="","",IF(INDEX(Timesheet!$F$6:$F$2005,MATCH(J51,Timesheet!$R$6:$R$2005,0))="","",INDEX(Timesheet!$F$6:$F$2005,MATCH(J51,Timesheet!$R$6:$R$2005,0))))</f>
        <v/>
      </c>
      <c r="F51" s="53">
        <f>IF(J51="","",IF(INDEX(Timesheet!$G$6:$G$2005,MATCH(J51,Timesheet!$R$6:$R$2005,0))="","",INDEX(Timesheet!$G$6:$G$2005,MATCH(J51,Timesheet!$R$6:$R$2005,0))))</f>
        <v/>
      </c>
      <c r="G51" s="54">
        <f>IF(J51="","",INDEX(Timesheet!$M$6:$M$2005,MATCH(J51,Timesheet!$R$6:$R$2005,0)))</f>
        <v/>
      </c>
      <c r="H51" s="55">
        <f>IF(J51="","",INDEX(Timesheet!$O$6:$O$2005,MATCH(J51,Timesheet!$R$6:$R$2005,0)))</f>
        <v/>
      </c>
      <c r="I51" s="1" t="n"/>
      <c r="J51" s="1">
        <f>IFERROR(SMALL(Timesheet!$R$6:$R$2005,45),"")</f>
        <v/>
      </c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56" t="inlineStr">
        <is>
          <t>Total</t>
        </is>
      </c>
      <c r="G53" s="57">
        <f>SUMIFS(Timesheet!$M$6:$M$2005,Timesheet!$R$6:$R$2005,"&gt;0")</f>
        <v/>
      </c>
      <c r="H53" s="58">
        <f>SUMIFS(Timesheet!$O$6:$O$2005,Timesheet!$R$6:$R$2005,"&gt;0")</f>
        <v/>
      </c>
      <c r="I53" s="1" t="n"/>
      <c r="J53" s="1" t="n"/>
      <c r="K53" s="1" t="n"/>
    </row>
    <row r="54">
      <c r="A54" s="1" t="n"/>
      <c r="B54" s="59">
        <f>IF(COUNT(Timesheet!$R$6:$R$2005)&gt;45,"Only the first 45 lines fit on this page. The invoice counts them all.","")</f>
        <v/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</sheetData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28" customWidth="1" min="4" max="4"/>
    <col width="22" customWidth="1" min="5" max="5"/>
    <col width="20" customWidth="1" min="6" max="6"/>
    <col width="10" customWidth="1" min="7" max="7"/>
    <col width="10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Clients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Each client once, with the rate per hour and how many days they have to pay.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Client</t>
        </is>
      </c>
      <c r="C5" s="9" t="inlineStr">
        <is>
          <t>Contact</t>
        </is>
      </c>
      <c r="D5" s="9" t="inlineStr">
        <is>
          <t>Email</t>
        </is>
      </c>
      <c r="E5" s="9" t="inlineStr">
        <is>
          <t>Address</t>
        </is>
      </c>
      <c r="F5" s="9" t="inlineStr">
        <is>
          <t>Town and postcode</t>
        </is>
      </c>
      <c r="G5" s="9" t="inlineStr">
        <is>
          <t>Rate</t>
        </is>
      </c>
      <c r="H5" s="9" t="inlineStr">
        <is>
          <t>Days to pay</t>
        </is>
      </c>
      <c r="I5" s="1" t="n"/>
    </row>
    <row r="6">
      <c r="A6" s="1" t="n"/>
      <c r="B6" s="17" t="inlineStr">
        <is>
          <t>Harbour Books</t>
        </is>
      </c>
      <c r="C6" s="18" t="inlineStr">
        <is>
          <t>Priya Shah</t>
        </is>
      </c>
      <c r="D6" s="18" t="inlineStr">
        <is>
          <t>accounts@harbourbooks.example</t>
        </is>
      </c>
      <c r="E6" s="18" t="inlineStr">
        <is>
          <t>18 Quay Street</t>
        </is>
      </c>
      <c r="F6" s="18" t="inlineStr">
        <is>
          <t>Riverton RT1 4BB</t>
        </is>
      </c>
      <c r="G6" s="23" t="n">
        <v>75</v>
      </c>
      <c r="H6" s="20" t="n">
        <v>30</v>
      </c>
      <c r="I6" s="1" t="n"/>
      <c r="J6">
        <f>IF(B6="","",IF(SUMIFS(Timesheet!$M$6:$M$2005,Timesheet!$C$6:$C$2005,B6,Timesheet!$B$6:$B$2005,"&gt;="&amp;DATE(YEAR(TODAY()),MONTH(TODAY()),1),Timesheet!$B$6:$B$2005,"&lt;="&amp;EOMONTH(TODAY(),0))+SUMIFS(Timesheet!$O$6:$O$2005,Timesheet!$C$6:$C$2005,B6,Timesheet!$Q$6:$Q$2005,"To invoice")+SUMIFS(Timesheet!$O$6:$O$2005,Timesheet!$C$6:$C$2005,B6,Timesheet!$Q$6:$Q$2005,"Draft")+SUMIFS(Invoices!$J$6:$J$305,Invoices!$C$6:$C$305,B6,Invoices!$M$6:$M$305,"Waiting")+SUMIFS(Invoices!$J$6:$J$305,Invoices!$C$6:$C$305,B6,Invoices!$M$6:$M$305,"Overdue*")&gt;0,ROW(),""))</f>
        <v/>
      </c>
    </row>
    <row r="7">
      <c r="A7" s="1" t="n"/>
      <c r="B7" s="17" t="inlineStr">
        <is>
          <t>Greenleaf Studio</t>
        </is>
      </c>
      <c r="C7" s="18" t="inlineStr">
        <is>
          <t>Tom Ellis</t>
        </is>
      </c>
      <c r="D7" s="18" t="inlineStr">
        <is>
          <t>tom@greenleaf.example</t>
        </is>
      </c>
      <c r="E7" s="18" t="inlineStr">
        <is>
          <t>Unit 5, Mill Yard</t>
        </is>
      </c>
      <c r="F7" s="18" t="inlineStr">
        <is>
          <t>Eastbridge EB3 2LD</t>
        </is>
      </c>
      <c r="G7" s="23" t="n">
        <v>55</v>
      </c>
      <c r="H7" s="20" t="n"/>
      <c r="I7" s="1" t="n"/>
      <c r="J7">
        <f>IF(B7="","",IF(SUMIFS(Timesheet!$M$6:$M$2005,Timesheet!$C$6:$C$2005,B7,Timesheet!$B$6:$B$2005,"&gt;="&amp;DATE(YEAR(TODAY()),MONTH(TODAY()),1),Timesheet!$B$6:$B$2005,"&lt;="&amp;EOMONTH(TODAY(),0))+SUMIFS(Timesheet!$O$6:$O$2005,Timesheet!$C$6:$C$2005,B7,Timesheet!$Q$6:$Q$2005,"To invoice")+SUMIFS(Timesheet!$O$6:$O$2005,Timesheet!$C$6:$C$2005,B7,Timesheet!$Q$6:$Q$2005,"Draft")+SUMIFS(Invoices!$J$6:$J$305,Invoices!$C$6:$C$305,B7,Invoices!$M$6:$M$305,"Waiting")+SUMIFS(Invoices!$J$6:$J$305,Invoices!$C$6:$C$305,B7,Invoices!$M$6:$M$305,"Overdue*")&gt;0,ROW(),""))</f>
        <v/>
      </c>
    </row>
    <row r="8">
      <c r="A8" s="1" t="n"/>
      <c r="B8" s="17" t="inlineStr">
        <is>
          <t>Atlas Fitness</t>
        </is>
      </c>
      <c r="C8" s="18" t="inlineStr">
        <is>
          <t>Maria Lopez</t>
        </is>
      </c>
      <c r="D8" s="18" t="inlineStr">
        <is>
          <t>maria@atlasfitness.example</t>
        </is>
      </c>
      <c r="E8" s="18" t="inlineStr">
        <is>
          <t>221 High Road</t>
        </is>
      </c>
      <c r="F8" s="18" t="inlineStr">
        <is>
          <t>Westford WF9 1AA</t>
        </is>
      </c>
      <c r="G8" s="23" t="n">
        <v>65</v>
      </c>
      <c r="H8" s="20" t="n">
        <v>14</v>
      </c>
      <c r="I8" s="1" t="n"/>
      <c r="J8">
        <f>IF(B8="","",IF(SUMIFS(Timesheet!$M$6:$M$2005,Timesheet!$C$6:$C$2005,B8,Timesheet!$B$6:$B$2005,"&gt;="&amp;DATE(YEAR(TODAY()),MONTH(TODAY()),1),Timesheet!$B$6:$B$2005,"&lt;="&amp;EOMONTH(TODAY(),0))+SUMIFS(Timesheet!$O$6:$O$2005,Timesheet!$C$6:$C$2005,B8,Timesheet!$Q$6:$Q$2005,"To invoice")+SUMIFS(Timesheet!$O$6:$O$2005,Timesheet!$C$6:$C$2005,B8,Timesheet!$Q$6:$Q$2005,"Draft")+SUMIFS(Invoices!$J$6:$J$305,Invoices!$C$6:$C$305,B8,Invoices!$M$6:$M$305,"Waiting")+SUMIFS(Invoices!$J$6:$J$305,Invoices!$C$6:$C$305,B8,Invoices!$M$6:$M$305,"Overdue*")&gt;0,ROW(),""))</f>
        <v/>
      </c>
    </row>
    <row r="9">
      <c r="A9" s="1" t="n"/>
      <c r="B9" s="17" t="n"/>
      <c r="C9" s="18" t="n"/>
      <c r="D9" s="18" t="n"/>
      <c r="E9" s="18" t="n"/>
      <c r="F9" s="18" t="n"/>
      <c r="G9" s="23" t="n"/>
      <c r="H9" s="20" t="n"/>
      <c r="I9" s="1" t="n"/>
      <c r="J9">
        <f>IF(B9="","",IF(SUMIFS(Timesheet!$M$6:$M$2005,Timesheet!$C$6:$C$2005,B9,Timesheet!$B$6:$B$2005,"&gt;="&amp;DATE(YEAR(TODAY()),MONTH(TODAY()),1),Timesheet!$B$6:$B$2005,"&lt;="&amp;EOMONTH(TODAY(),0))+SUMIFS(Timesheet!$O$6:$O$2005,Timesheet!$C$6:$C$2005,B9,Timesheet!$Q$6:$Q$2005,"To invoice")+SUMIFS(Timesheet!$O$6:$O$2005,Timesheet!$C$6:$C$2005,B9,Timesheet!$Q$6:$Q$2005,"Draft")+SUMIFS(Invoices!$J$6:$J$305,Invoices!$C$6:$C$305,B9,Invoices!$M$6:$M$305,"Waiting")+SUMIFS(Invoices!$J$6:$J$305,Invoices!$C$6:$C$305,B9,Invoices!$M$6:$M$305,"Overdue*")&gt;0,ROW(),""))</f>
        <v/>
      </c>
    </row>
    <row r="10">
      <c r="A10" s="1" t="n"/>
      <c r="B10" s="17" t="n"/>
      <c r="C10" s="18" t="n"/>
      <c r="D10" s="18" t="n"/>
      <c r="E10" s="18" t="n"/>
      <c r="F10" s="18" t="n"/>
      <c r="G10" s="23" t="n"/>
      <c r="H10" s="20" t="n"/>
      <c r="I10" s="1" t="n"/>
      <c r="J10">
        <f>IF(B10="","",IF(SUMIFS(Timesheet!$M$6:$M$2005,Timesheet!$C$6:$C$2005,B10,Timesheet!$B$6:$B$2005,"&gt;="&amp;DATE(YEAR(TODAY()),MONTH(TODAY()),1),Timesheet!$B$6:$B$2005,"&lt;="&amp;EOMONTH(TODAY(),0))+SUMIFS(Timesheet!$O$6:$O$2005,Timesheet!$C$6:$C$2005,B10,Timesheet!$Q$6:$Q$2005,"To invoice")+SUMIFS(Timesheet!$O$6:$O$2005,Timesheet!$C$6:$C$2005,B10,Timesheet!$Q$6:$Q$2005,"Draft")+SUMIFS(Invoices!$J$6:$J$305,Invoices!$C$6:$C$305,B10,Invoices!$M$6:$M$305,"Waiting")+SUMIFS(Invoices!$J$6:$J$305,Invoices!$C$6:$C$305,B10,Invoices!$M$6:$M$305,"Overdue*")&gt;0,ROW(),""))</f>
        <v/>
      </c>
    </row>
    <row r="11">
      <c r="A11" s="1" t="n"/>
      <c r="B11" s="17" t="n"/>
      <c r="C11" s="18" t="n"/>
      <c r="D11" s="18" t="n"/>
      <c r="E11" s="18" t="n"/>
      <c r="F11" s="18" t="n"/>
      <c r="G11" s="23" t="n"/>
      <c r="H11" s="20" t="n"/>
      <c r="I11" s="1" t="n"/>
      <c r="J11">
        <f>IF(B11="","",IF(SUMIFS(Timesheet!$M$6:$M$2005,Timesheet!$C$6:$C$2005,B11,Timesheet!$B$6:$B$2005,"&gt;="&amp;DATE(YEAR(TODAY()),MONTH(TODAY()),1),Timesheet!$B$6:$B$2005,"&lt;="&amp;EOMONTH(TODAY(),0))+SUMIFS(Timesheet!$O$6:$O$2005,Timesheet!$C$6:$C$2005,B11,Timesheet!$Q$6:$Q$2005,"To invoice")+SUMIFS(Timesheet!$O$6:$O$2005,Timesheet!$C$6:$C$2005,B11,Timesheet!$Q$6:$Q$2005,"Draft")+SUMIFS(Invoices!$J$6:$J$305,Invoices!$C$6:$C$305,B11,Invoices!$M$6:$M$305,"Waiting")+SUMIFS(Invoices!$J$6:$J$305,Invoices!$C$6:$C$305,B11,Invoices!$M$6:$M$305,"Overdue*")&gt;0,ROW(),""))</f>
        <v/>
      </c>
    </row>
    <row r="12">
      <c r="A12" s="1" t="n"/>
      <c r="B12" s="17" t="n"/>
      <c r="C12" s="18" t="n"/>
      <c r="D12" s="18" t="n"/>
      <c r="E12" s="18" t="n"/>
      <c r="F12" s="18" t="n"/>
      <c r="G12" s="23" t="n"/>
      <c r="H12" s="20" t="n"/>
      <c r="I12" s="1" t="n"/>
      <c r="J12">
        <f>IF(B12="","",IF(SUMIFS(Timesheet!$M$6:$M$2005,Timesheet!$C$6:$C$2005,B12,Timesheet!$B$6:$B$2005,"&gt;="&amp;DATE(YEAR(TODAY()),MONTH(TODAY()),1),Timesheet!$B$6:$B$2005,"&lt;="&amp;EOMONTH(TODAY(),0))+SUMIFS(Timesheet!$O$6:$O$2005,Timesheet!$C$6:$C$2005,B12,Timesheet!$Q$6:$Q$2005,"To invoice")+SUMIFS(Timesheet!$O$6:$O$2005,Timesheet!$C$6:$C$2005,B12,Timesheet!$Q$6:$Q$2005,"Draft")+SUMIFS(Invoices!$J$6:$J$305,Invoices!$C$6:$C$305,B12,Invoices!$M$6:$M$305,"Waiting")+SUMIFS(Invoices!$J$6:$J$305,Invoices!$C$6:$C$305,B12,Invoices!$M$6:$M$305,"Overdue*")&gt;0,ROW(),""))</f>
        <v/>
      </c>
    </row>
    <row r="13">
      <c r="A13" s="1" t="n"/>
      <c r="B13" s="17" t="n"/>
      <c r="C13" s="18" t="n"/>
      <c r="D13" s="18" t="n"/>
      <c r="E13" s="18" t="n"/>
      <c r="F13" s="18" t="n"/>
      <c r="G13" s="23" t="n"/>
      <c r="H13" s="20" t="n"/>
      <c r="I13" s="1" t="n"/>
      <c r="J13">
        <f>IF(B13="","",IF(SUMIFS(Timesheet!$M$6:$M$2005,Timesheet!$C$6:$C$2005,B13,Timesheet!$B$6:$B$2005,"&gt;="&amp;DATE(YEAR(TODAY()),MONTH(TODAY()),1),Timesheet!$B$6:$B$2005,"&lt;="&amp;EOMONTH(TODAY(),0))+SUMIFS(Timesheet!$O$6:$O$2005,Timesheet!$C$6:$C$2005,B13,Timesheet!$Q$6:$Q$2005,"To invoice")+SUMIFS(Timesheet!$O$6:$O$2005,Timesheet!$C$6:$C$2005,B13,Timesheet!$Q$6:$Q$2005,"Draft")+SUMIFS(Invoices!$J$6:$J$305,Invoices!$C$6:$C$305,B13,Invoices!$M$6:$M$305,"Waiting")+SUMIFS(Invoices!$J$6:$J$305,Invoices!$C$6:$C$305,B13,Invoices!$M$6:$M$305,"Overdue*")&gt;0,ROW(),""))</f>
        <v/>
      </c>
    </row>
    <row r="14">
      <c r="A14" s="1" t="n"/>
      <c r="B14" s="17" t="n"/>
      <c r="C14" s="18" t="n"/>
      <c r="D14" s="18" t="n"/>
      <c r="E14" s="18" t="n"/>
      <c r="F14" s="18" t="n"/>
      <c r="G14" s="23" t="n"/>
      <c r="H14" s="20" t="n"/>
      <c r="I14" s="1" t="n"/>
      <c r="J14">
        <f>IF(B14="","",IF(SUMIFS(Timesheet!$M$6:$M$2005,Timesheet!$C$6:$C$2005,B14,Timesheet!$B$6:$B$2005,"&gt;="&amp;DATE(YEAR(TODAY()),MONTH(TODAY()),1),Timesheet!$B$6:$B$2005,"&lt;="&amp;EOMONTH(TODAY(),0))+SUMIFS(Timesheet!$O$6:$O$2005,Timesheet!$C$6:$C$2005,B14,Timesheet!$Q$6:$Q$2005,"To invoice")+SUMIFS(Timesheet!$O$6:$O$2005,Timesheet!$C$6:$C$2005,B14,Timesheet!$Q$6:$Q$2005,"Draft")+SUMIFS(Invoices!$J$6:$J$305,Invoices!$C$6:$C$305,B14,Invoices!$M$6:$M$305,"Waiting")+SUMIFS(Invoices!$J$6:$J$305,Invoices!$C$6:$C$305,B14,Invoices!$M$6:$M$305,"Overdue*")&gt;0,ROW(),""))</f>
        <v/>
      </c>
    </row>
    <row r="15">
      <c r="A15" s="1" t="n"/>
      <c r="B15" s="17" t="n"/>
      <c r="C15" s="18" t="n"/>
      <c r="D15" s="18" t="n"/>
      <c r="E15" s="18" t="n"/>
      <c r="F15" s="18" t="n"/>
      <c r="G15" s="23" t="n"/>
      <c r="H15" s="20" t="n"/>
      <c r="I15" s="1" t="n"/>
      <c r="J15">
        <f>IF(B15="","",IF(SUMIFS(Timesheet!$M$6:$M$2005,Timesheet!$C$6:$C$2005,B15,Timesheet!$B$6:$B$2005,"&gt;="&amp;DATE(YEAR(TODAY()),MONTH(TODAY()),1),Timesheet!$B$6:$B$2005,"&lt;="&amp;EOMONTH(TODAY(),0))+SUMIFS(Timesheet!$O$6:$O$2005,Timesheet!$C$6:$C$2005,B15,Timesheet!$Q$6:$Q$2005,"To invoice")+SUMIFS(Timesheet!$O$6:$O$2005,Timesheet!$C$6:$C$2005,B15,Timesheet!$Q$6:$Q$2005,"Draft")+SUMIFS(Invoices!$J$6:$J$305,Invoices!$C$6:$C$305,B15,Invoices!$M$6:$M$305,"Waiting")+SUMIFS(Invoices!$J$6:$J$305,Invoices!$C$6:$C$305,B15,Invoices!$M$6:$M$305,"Overdue*")&gt;0,ROW(),""))</f>
        <v/>
      </c>
    </row>
    <row r="16">
      <c r="A16" s="1" t="n"/>
      <c r="B16" s="17" t="n"/>
      <c r="C16" s="18" t="n"/>
      <c r="D16" s="18" t="n"/>
      <c r="E16" s="18" t="n"/>
      <c r="F16" s="18" t="n"/>
      <c r="G16" s="23" t="n"/>
      <c r="H16" s="20" t="n"/>
      <c r="I16" s="1" t="n"/>
      <c r="J16">
        <f>IF(B16="","",IF(SUMIFS(Timesheet!$M$6:$M$2005,Timesheet!$C$6:$C$2005,B16,Timesheet!$B$6:$B$2005,"&gt;="&amp;DATE(YEAR(TODAY()),MONTH(TODAY()),1),Timesheet!$B$6:$B$2005,"&lt;="&amp;EOMONTH(TODAY(),0))+SUMIFS(Timesheet!$O$6:$O$2005,Timesheet!$C$6:$C$2005,B16,Timesheet!$Q$6:$Q$2005,"To invoice")+SUMIFS(Timesheet!$O$6:$O$2005,Timesheet!$C$6:$C$2005,B16,Timesheet!$Q$6:$Q$2005,"Draft")+SUMIFS(Invoices!$J$6:$J$305,Invoices!$C$6:$C$305,B16,Invoices!$M$6:$M$305,"Waiting")+SUMIFS(Invoices!$J$6:$J$305,Invoices!$C$6:$C$305,B16,Invoices!$M$6:$M$305,"Overdue*")&gt;0,ROW(),""))</f>
        <v/>
      </c>
    </row>
    <row r="17">
      <c r="A17" s="1" t="n"/>
      <c r="B17" s="17" t="n"/>
      <c r="C17" s="18" t="n"/>
      <c r="D17" s="18" t="n"/>
      <c r="E17" s="18" t="n"/>
      <c r="F17" s="18" t="n"/>
      <c r="G17" s="23" t="n"/>
      <c r="H17" s="20" t="n"/>
      <c r="I17" s="1" t="n"/>
      <c r="J17">
        <f>IF(B17="","",IF(SUMIFS(Timesheet!$M$6:$M$2005,Timesheet!$C$6:$C$2005,B17,Timesheet!$B$6:$B$2005,"&gt;="&amp;DATE(YEAR(TODAY()),MONTH(TODAY()),1),Timesheet!$B$6:$B$2005,"&lt;="&amp;EOMONTH(TODAY(),0))+SUMIFS(Timesheet!$O$6:$O$2005,Timesheet!$C$6:$C$2005,B17,Timesheet!$Q$6:$Q$2005,"To invoice")+SUMIFS(Timesheet!$O$6:$O$2005,Timesheet!$C$6:$C$2005,B17,Timesheet!$Q$6:$Q$2005,"Draft")+SUMIFS(Invoices!$J$6:$J$305,Invoices!$C$6:$C$305,B17,Invoices!$M$6:$M$305,"Waiting")+SUMIFS(Invoices!$J$6:$J$305,Invoices!$C$6:$C$305,B17,Invoices!$M$6:$M$305,"Overdue*")&gt;0,ROW(),""))</f>
        <v/>
      </c>
    </row>
    <row r="18">
      <c r="A18" s="1" t="n"/>
      <c r="B18" s="17" t="n"/>
      <c r="C18" s="18" t="n"/>
      <c r="D18" s="18" t="n"/>
      <c r="E18" s="18" t="n"/>
      <c r="F18" s="18" t="n"/>
      <c r="G18" s="23" t="n"/>
      <c r="H18" s="20" t="n"/>
      <c r="I18" s="1" t="n"/>
      <c r="J18">
        <f>IF(B18="","",IF(SUMIFS(Timesheet!$M$6:$M$2005,Timesheet!$C$6:$C$2005,B18,Timesheet!$B$6:$B$2005,"&gt;="&amp;DATE(YEAR(TODAY()),MONTH(TODAY()),1),Timesheet!$B$6:$B$2005,"&lt;="&amp;EOMONTH(TODAY(),0))+SUMIFS(Timesheet!$O$6:$O$2005,Timesheet!$C$6:$C$2005,B18,Timesheet!$Q$6:$Q$2005,"To invoice")+SUMIFS(Timesheet!$O$6:$O$2005,Timesheet!$C$6:$C$2005,B18,Timesheet!$Q$6:$Q$2005,"Draft")+SUMIFS(Invoices!$J$6:$J$305,Invoices!$C$6:$C$305,B18,Invoices!$M$6:$M$305,"Waiting")+SUMIFS(Invoices!$J$6:$J$305,Invoices!$C$6:$C$305,B18,Invoices!$M$6:$M$305,"Overdue*")&gt;0,ROW(),""))</f>
        <v/>
      </c>
    </row>
    <row r="19">
      <c r="A19" s="1" t="n"/>
      <c r="B19" s="17" t="n"/>
      <c r="C19" s="18" t="n"/>
      <c r="D19" s="18" t="n"/>
      <c r="E19" s="18" t="n"/>
      <c r="F19" s="18" t="n"/>
      <c r="G19" s="23" t="n"/>
      <c r="H19" s="20" t="n"/>
      <c r="I19" s="1" t="n"/>
      <c r="J19">
        <f>IF(B19="","",IF(SUMIFS(Timesheet!$M$6:$M$2005,Timesheet!$C$6:$C$2005,B19,Timesheet!$B$6:$B$2005,"&gt;="&amp;DATE(YEAR(TODAY()),MONTH(TODAY()),1),Timesheet!$B$6:$B$2005,"&lt;="&amp;EOMONTH(TODAY(),0))+SUMIFS(Timesheet!$O$6:$O$2005,Timesheet!$C$6:$C$2005,B19,Timesheet!$Q$6:$Q$2005,"To invoice")+SUMIFS(Timesheet!$O$6:$O$2005,Timesheet!$C$6:$C$2005,B19,Timesheet!$Q$6:$Q$2005,"Draft")+SUMIFS(Invoices!$J$6:$J$305,Invoices!$C$6:$C$305,B19,Invoices!$M$6:$M$305,"Waiting")+SUMIFS(Invoices!$J$6:$J$305,Invoices!$C$6:$C$305,B19,Invoices!$M$6:$M$305,"Overdue*")&gt;0,ROW(),""))</f>
        <v/>
      </c>
    </row>
    <row r="20">
      <c r="A20" s="1" t="n"/>
      <c r="B20" s="17" t="n"/>
      <c r="C20" s="18" t="n"/>
      <c r="D20" s="18" t="n"/>
      <c r="E20" s="18" t="n"/>
      <c r="F20" s="18" t="n"/>
      <c r="G20" s="23" t="n"/>
      <c r="H20" s="20" t="n"/>
      <c r="I20" s="1" t="n"/>
      <c r="J20">
        <f>IF(B20="","",IF(SUMIFS(Timesheet!$M$6:$M$2005,Timesheet!$C$6:$C$2005,B20,Timesheet!$B$6:$B$2005,"&gt;="&amp;DATE(YEAR(TODAY()),MONTH(TODAY()),1),Timesheet!$B$6:$B$2005,"&lt;="&amp;EOMONTH(TODAY(),0))+SUMIFS(Timesheet!$O$6:$O$2005,Timesheet!$C$6:$C$2005,B20,Timesheet!$Q$6:$Q$2005,"To invoice")+SUMIFS(Timesheet!$O$6:$O$2005,Timesheet!$C$6:$C$2005,B20,Timesheet!$Q$6:$Q$2005,"Draft")+SUMIFS(Invoices!$J$6:$J$305,Invoices!$C$6:$C$305,B20,Invoices!$M$6:$M$305,"Waiting")+SUMIFS(Invoices!$J$6:$J$305,Invoices!$C$6:$C$305,B20,Invoices!$M$6:$M$305,"Overdue*")&gt;0,ROW(),""))</f>
        <v/>
      </c>
    </row>
    <row r="21">
      <c r="A21" s="1" t="n"/>
      <c r="B21" s="17" t="n"/>
      <c r="C21" s="18" t="n"/>
      <c r="D21" s="18" t="n"/>
      <c r="E21" s="18" t="n"/>
      <c r="F21" s="18" t="n"/>
      <c r="G21" s="23" t="n"/>
      <c r="H21" s="20" t="n"/>
      <c r="I21" s="1" t="n"/>
      <c r="J21">
        <f>IF(B21="","",IF(SUMIFS(Timesheet!$M$6:$M$2005,Timesheet!$C$6:$C$2005,B21,Timesheet!$B$6:$B$2005,"&gt;="&amp;DATE(YEAR(TODAY()),MONTH(TODAY()),1),Timesheet!$B$6:$B$2005,"&lt;="&amp;EOMONTH(TODAY(),0))+SUMIFS(Timesheet!$O$6:$O$2005,Timesheet!$C$6:$C$2005,B21,Timesheet!$Q$6:$Q$2005,"To invoice")+SUMIFS(Timesheet!$O$6:$O$2005,Timesheet!$C$6:$C$2005,B21,Timesheet!$Q$6:$Q$2005,"Draft")+SUMIFS(Invoices!$J$6:$J$305,Invoices!$C$6:$C$305,B21,Invoices!$M$6:$M$305,"Waiting")+SUMIFS(Invoices!$J$6:$J$305,Invoices!$C$6:$C$305,B21,Invoices!$M$6:$M$305,"Overdue*")&gt;0,ROW(),""))</f>
        <v/>
      </c>
    </row>
    <row r="22">
      <c r="A22" s="1" t="n"/>
      <c r="B22" s="17" t="n"/>
      <c r="C22" s="18" t="n"/>
      <c r="D22" s="18" t="n"/>
      <c r="E22" s="18" t="n"/>
      <c r="F22" s="18" t="n"/>
      <c r="G22" s="23" t="n"/>
      <c r="H22" s="20" t="n"/>
      <c r="I22" s="1" t="n"/>
      <c r="J22">
        <f>IF(B22="","",IF(SUMIFS(Timesheet!$M$6:$M$2005,Timesheet!$C$6:$C$2005,B22,Timesheet!$B$6:$B$2005,"&gt;="&amp;DATE(YEAR(TODAY()),MONTH(TODAY()),1),Timesheet!$B$6:$B$2005,"&lt;="&amp;EOMONTH(TODAY(),0))+SUMIFS(Timesheet!$O$6:$O$2005,Timesheet!$C$6:$C$2005,B22,Timesheet!$Q$6:$Q$2005,"To invoice")+SUMIFS(Timesheet!$O$6:$O$2005,Timesheet!$C$6:$C$2005,B22,Timesheet!$Q$6:$Q$2005,"Draft")+SUMIFS(Invoices!$J$6:$J$305,Invoices!$C$6:$C$305,B22,Invoices!$M$6:$M$305,"Waiting")+SUMIFS(Invoices!$J$6:$J$305,Invoices!$C$6:$C$305,B22,Invoices!$M$6:$M$305,"Overdue*")&gt;0,ROW(),""))</f>
        <v/>
      </c>
    </row>
    <row r="23">
      <c r="A23" s="1" t="n"/>
      <c r="B23" s="17" t="n"/>
      <c r="C23" s="18" t="n"/>
      <c r="D23" s="18" t="n"/>
      <c r="E23" s="18" t="n"/>
      <c r="F23" s="18" t="n"/>
      <c r="G23" s="23" t="n"/>
      <c r="H23" s="20" t="n"/>
      <c r="I23" s="1" t="n"/>
      <c r="J23">
        <f>IF(B23="","",IF(SUMIFS(Timesheet!$M$6:$M$2005,Timesheet!$C$6:$C$2005,B23,Timesheet!$B$6:$B$2005,"&gt;="&amp;DATE(YEAR(TODAY()),MONTH(TODAY()),1),Timesheet!$B$6:$B$2005,"&lt;="&amp;EOMONTH(TODAY(),0))+SUMIFS(Timesheet!$O$6:$O$2005,Timesheet!$C$6:$C$2005,B23,Timesheet!$Q$6:$Q$2005,"To invoice")+SUMIFS(Timesheet!$O$6:$O$2005,Timesheet!$C$6:$C$2005,B23,Timesheet!$Q$6:$Q$2005,"Draft")+SUMIFS(Invoices!$J$6:$J$305,Invoices!$C$6:$C$305,B23,Invoices!$M$6:$M$305,"Waiting")+SUMIFS(Invoices!$J$6:$J$305,Invoices!$C$6:$C$305,B23,Invoices!$M$6:$M$305,"Overdue*")&gt;0,ROW(),""))</f>
        <v/>
      </c>
    </row>
    <row r="24">
      <c r="A24" s="1" t="n"/>
      <c r="B24" s="17" t="n"/>
      <c r="C24" s="18" t="n"/>
      <c r="D24" s="18" t="n"/>
      <c r="E24" s="18" t="n"/>
      <c r="F24" s="18" t="n"/>
      <c r="G24" s="23" t="n"/>
      <c r="H24" s="20" t="n"/>
      <c r="I24" s="1" t="n"/>
      <c r="J24">
        <f>IF(B24="","",IF(SUMIFS(Timesheet!$M$6:$M$2005,Timesheet!$C$6:$C$2005,B24,Timesheet!$B$6:$B$2005,"&gt;="&amp;DATE(YEAR(TODAY()),MONTH(TODAY()),1),Timesheet!$B$6:$B$2005,"&lt;="&amp;EOMONTH(TODAY(),0))+SUMIFS(Timesheet!$O$6:$O$2005,Timesheet!$C$6:$C$2005,B24,Timesheet!$Q$6:$Q$2005,"To invoice")+SUMIFS(Timesheet!$O$6:$O$2005,Timesheet!$C$6:$C$2005,B24,Timesheet!$Q$6:$Q$2005,"Draft")+SUMIFS(Invoices!$J$6:$J$305,Invoices!$C$6:$C$305,B24,Invoices!$M$6:$M$305,"Waiting")+SUMIFS(Invoices!$J$6:$J$305,Invoices!$C$6:$C$305,B24,Invoices!$M$6:$M$305,"Overdue*")&gt;0,ROW(),""))</f>
        <v/>
      </c>
    </row>
    <row r="25">
      <c r="A25" s="1" t="n"/>
      <c r="B25" s="17" t="n"/>
      <c r="C25" s="18" t="n"/>
      <c r="D25" s="18" t="n"/>
      <c r="E25" s="18" t="n"/>
      <c r="F25" s="18" t="n"/>
      <c r="G25" s="23" t="n"/>
      <c r="H25" s="20" t="n"/>
      <c r="I25" s="1" t="n"/>
      <c r="J25">
        <f>IF(B25="","",IF(SUMIFS(Timesheet!$M$6:$M$2005,Timesheet!$C$6:$C$2005,B25,Timesheet!$B$6:$B$2005,"&gt;="&amp;DATE(YEAR(TODAY()),MONTH(TODAY()),1),Timesheet!$B$6:$B$2005,"&lt;="&amp;EOMONTH(TODAY(),0))+SUMIFS(Timesheet!$O$6:$O$2005,Timesheet!$C$6:$C$2005,B25,Timesheet!$Q$6:$Q$2005,"To invoice")+SUMIFS(Timesheet!$O$6:$O$2005,Timesheet!$C$6:$C$2005,B25,Timesheet!$Q$6:$Q$2005,"Draft")+SUMIFS(Invoices!$J$6:$J$305,Invoices!$C$6:$C$305,B25,Invoices!$M$6:$M$305,"Waiting")+SUMIFS(Invoices!$J$6:$J$305,Invoices!$C$6:$C$305,B25,Invoices!$M$6:$M$305,"Overdue*")&gt;0,ROW(),""))</f>
        <v/>
      </c>
    </row>
    <row r="26">
      <c r="A26" s="1" t="n"/>
      <c r="B26" s="17" t="n"/>
      <c r="C26" s="18" t="n"/>
      <c r="D26" s="18" t="n"/>
      <c r="E26" s="18" t="n"/>
      <c r="F26" s="18" t="n"/>
      <c r="G26" s="23" t="n"/>
      <c r="H26" s="20" t="n"/>
      <c r="I26" s="1" t="n"/>
      <c r="J26">
        <f>IF(B26="","",IF(SUMIFS(Timesheet!$M$6:$M$2005,Timesheet!$C$6:$C$2005,B26,Timesheet!$B$6:$B$2005,"&gt;="&amp;DATE(YEAR(TODAY()),MONTH(TODAY()),1),Timesheet!$B$6:$B$2005,"&lt;="&amp;EOMONTH(TODAY(),0))+SUMIFS(Timesheet!$O$6:$O$2005,Timesheet!$C$6:$C$2005,B26,Timesheet!$Q$6:$Q$2005,"To invoice")+SUMIFS(Timesheet!$O$6:$O$2005,Timesheet!$C$6:$C$2005,B26,Timesheet!$Q$6:$Q$2005,"Draft")+SUMIFS(Invoices!$J$6:$J$305,Invoices!$C$6:$C$305,B26,Invoices!$M$6:$M$305,"Waiting")+SUMIFS(Invoices!$J$6:$J$305,Invoices!$C$6:$C$305,B26,Invoices!$M$6:$M$305,"Overdue*")&gt;0,ROW(),""))</f>
        <v/>
      </c>
    </row>
    <row r="27">
      <c r="A27" s="1" t="n"/>
      <c r="B27" s="17" t="n"/>
      <c r="C27" s="18" t="n"/>
      <c r="D27" s="18" t="n"/>
      <c r="E27" s="18" t="n"/>
      <c r="F27" s="18" t="n"/>
      <c r="G27" s="23" t="n"/>
      <c r="H27" s="20" t="n"/>
      <c r="I27" s="1" t="n"/>
      <c r="J27">
        <f>IF(B27="","",IF(SUMIFS(Timesheet!$M$6:$M$2005,Timesheet!$C$6:$C$2005,B27,Timesheet!$B$6:$B$2005,"&gt;="&amp;DATE(YEAR(TODAY()),MONTH(TODAY()),1),Timesheet!$B$6:$B$2005,"&lt;="&amp;EOMONTH(TODAY(),0))+SUMIFS(Timesheet!$O$6:$O$2005,Timesheet!$C$6:$C$2005,B27,Timesheet!$Q$6:$Q$2005,"To invoice")+SUMIFS(Timesheet!$O$6:$O$2005,Timesheet!$C$6:$C$2005,B27,Timesheet!$Q$6:$Q$2005,"Draft")+SUMIFS(Invoices!$J$6:$J$305,Invoices!$C$6:$C$305,B27,Invoices!$M$6:$M$305,"Waiting")+SUMIFS(Invoices!$J$6:$J$305,Invoices!$C$6:$C$305,B27,Invoices!$M$6:$M$305,"Overdue*")&gt;0,ROW(),""))</f>
        <v/>
      </c>
    </row>
    <row r="28">
      <c r="A28" s="1" t="n"/>
      <c r="B28" s="17" t="n"/>
      <c r="C28" s="18" t="n"/>
      <c r="D28" s="18" t="n"/>
      <c r="E28" s="18" t="n"/>
      <c r="F28" s="18" t="n"/>
      <c r="G28" s="23" t="n"/>
      <c r="H28" s="20" t="n"/>
      <c r="I28" s="1" t="n"/>
      <c r="J28">
        <f>IF(B28="","",IF(SUMIFS(Timesheet!$M$6:$M$2005,Timesheet!$C$6:$C$2005,B28,Timesheet!$B$6:$B$2005,"&gt;="&amp;DATE(YEAR(TODAY()),MONTH(TODAY()),1),Timesheet!$B$6:$B$2005,"&lt;="&amp;EOMONTH(TODAY(),0))+SUMIFS(Timesheet!$O$6:$O$2005,Timesheet!$C$6:$C$2005,B28,Timesheet!$Q$6:$Q$2005,"To invoice")+SUMIFS(Timesheet!$O$6:$O$2005,Timesheet!$C$6:$C$2005,B28,Timesheet!$Q$6:$Q$2005,"Draft")+SUMIFS(Invoices!$J$6:$J$305,Invoices!$C$6:$C$305,B28,Invoices!$M$6:$M$305,"Waiting")+SUMIFS(Invoices!$J$6:$J$305,Invoices!$C$6:$C$305,B28,Invoices!$M$6:$M$305,"Overdue*")&gt;0,ROW(),""))</f>
        <v/>
      </c>
    </row>
    <row r="29">
      <c r="A29" s="1" t="n"/>
      <c r="B29" s="17" t="n"/>
      <c r="C29" s="18" t="n"/>
      <c r="D29" s="18" t="n"/>
      <c r="E29" s="18" t="n"/>
      <c r="F29" s="18" t="n"/>
      <c r="G29" s="23" t="n"/>
      <c r="H29" s="20" t="n"/>
      <c r="I29" s="1" t="n"/>
      <c r="J29">
        <f>IF(B29="","",IF(SUMIFS(Timesheet!$M$6:$M$2005,Timesheet!$C$6:$C$2005,B29,Timesheet!$B$6:$B$2005,"&gt;="&amp;DATE(YEAR(TODAY()),MONTH(TODAY()),1),Timesheet!$B$6:$B$2005,"&lt;="&amp;EOMONTH(TODAY(),0))+SUMIFS(Timesheet!$O$6:$O$2005,Timesheet!$C$6:$C$2005,B29,Timesheet!$Q$6:$Q$2005,"To invoice")+SUMIFS(Timesheet!$O$6:$O$2005,Timesheet!$C$6:$C$2005,B29,Timesheet!$Q$6:$Q$2005,"Draft")+SUMIFS(Invoices!$J$6:$J$305,Invoices!$C$6:$C$305,B29,Invoices!$M$6:$M$305,"Waiting")+SUMIFS(Invoices!$J$6:$J$305,Invoices!$C$6:$C$305,B29,Invoices!$M$6:$M$305,"Overdue*")&gt;0,ROW(),""))</f>
        <v/>
      </c>
    </row>
    <row r="30">
      <c r="A30" s="1" t="n"/>
      <c r="B30" s="17" t="n"/>
      <c r="C30" s="18" t="n"/>
      <c r="D30" s="18" t="n"/>
      <c r="E30" s="18" t="n"/>
      <c r="F30" s="18" t="n"/>
      <c r="G30" s="23" t="n"/>
      <c r="H30" s="20" t="n"/>
      <c r="I30" s="1" t="n"/>
      <c r="J30">
        <f>IF(B30="","",IF(SUMIFS(Timesheet!$M$6:$M$2005,Timesheet!$C$6:$C$2005,B30,Timesheet!$B$6:$B$2005,"&gt;="&amp;DATE(YEAR(TODAY()),MONTH(TODAY()),1),Timesheet!$B$6:$B$2005,"&lt;="&amp;EOMONTH(TODAY(),0))+SUMIFS(Timesheet!$O$6:$O$2005,Timesheet!$C$6:$C$2005,B30,Timesheet!$Q$6:$Q$2005,"To invoice")+SUMIFS(Timesheet!$O$6:$O$2005,Timesheet!$C$6:$C$2005,B30,Timesheet!$Q$6:$Q$2005,"Draft")+SUMIFS(Invoices!$J$6:$J$305,Invoices!$C$6:$C$305,B30,Invoices!$M$6:$M$305,"Waiting")+SUMIFS(Invoices!$J$6:$J$305,Invoices!$C$6:$C$305,B30,Invoices!$M$6:$M$305,"Overdue*")&gt;0,ROW(),""))</f>
        <v/>
      </c>
    </row>
    <row r="31">
      <c r="A31" s="1" t="n"/>
      <c r="B31" s="17" t="n"/>
      <c r="C31" s="18" t="n"/>
      <c r="D31" s="18" t="n"/>
      <c r="E31" s="18" t="n"/>
      <c r="F31" s="18" t="n"/>
      <c r="G31" s="23" t="n"/>
      <c r="H31" s="20" t="n"/>
      <c r="I31" s="1" t="n"/>
      <c r="J31">
        <f>IF(B31="","",IF(SUMIFS(Timesheet!$M$6:$M$2005,Timesheet!$C$6:$C$2005,B31,Timesheet!$B$6:$B$2005,"&gt;="&amp;DATE(YEAR(TODAY()),MONTH(TODAY()),1),Timesheet!$B$6:$B$2005,"&lt;="&amp;EOMONTH(TODAY(),0))+SUMIFS(Timesheet!$O$6:$O$2005,Timesheet!$C$6:$C$2005,B31,Timesheet!$Q$6:$Q$2005,"To invoice")+SUMIFS(Timesheet!$O$6:$O$2005,Timesheet!$C$6:$C$2005,B31,Timesheet!$Q$6:$Q$2005,"Draft")+SUMIFS(Invoices!$J$6:$J$305,Invoices!$C$6:$C$305,B31,Invoices!$M$6:$M$305,"Waiting")+SUMIFS(Invoices!$J$6:$J$305,Invoices!$C$6:$C$305,B31,Invoices!$M$6:$M$305,"Overdue*")&gt;0,ROW(),""))</f>
        <v/>
      </c>
    </row>
    <row r="32">
      <c r="A32" s="1" t="n"/>
      <c r="B32" s="17" t="n"/>
      <c r="C32" s="18" t="n"/>
      <c r="D32" s="18" t="n"/>
      <c r="E32" s="18" t="n"/>
      <c r="F32" s="18" t="n"/>
      <c r="G32" s="23" t="n"/>
      <c r="H32" s="20" t="n"/>
      <c r="I32" s="1" t="n"/>
      <c r="J32">
        <f>IF(B32="","",IF(SUMIFS(Timesheet!$M$6:$M$2005,Timesheet!$C$6:$C$2005,B32,Timesheet!$B$6:$B$2005,"&gt;="&amp;DATE(YEAR(TODAY()),MONTH(TODAY()),1),Timesheet!$B$6:$B$2005,"&lt;="&amp;EOMONTH(TODAY(),0))+SUMIFS(Timesheet!$O$6:$O$2005,Timesheet!$C$6:$C$2005,B32,Timesheet!$Q$6:$Q$2005,"To invoice")+SUMIFS(Timesheet!$O$6:$O$2005,Timesheet!$C$6:$C$2005,B32,Timesheet!$Q$6:$Q$2005,"Draft")+SUMIFS(Invoices!$J$6:$J$305,Invoices!$C$6:$C$305,B32,Invoices!$M$6:$M$305,"Waiting")+SUMIFS(Invoices!$J$6:$J$305,Invoices!$C$6:$C$305,B32,Invoices!$M$6:$M$305,"Overdue*")&gt;0,ROW(),""))</f>
        <v/>
      </c>
    </row>
    <row r="33">
      <c r="A33" s="1" t="n"/>
      <c r="B33" s="17" t="n"/>
      <c r="C33" s="18" t="n"/>
      <c r="D33" s="18" t="n"/>
      <c r="E33" s="18" t="n"/>
      <c r="F33" s="18" t="n"/>
      <c r="G33" s="23" t="n"/>
      <c r="H33" s="20" t="n"/>
      <c r="I33" s="1" t="n"/>
      <c r="J33">
        <f>IF(B33="","",IF(SUMIFS(Timesheet!$M$6:$M$2005,Timesheet!$C$6:$C$2005,B33,Timesheet!$B$6:$B$2005,"&gt;="&amp;DATE(YEAR(TODAY()),MONTH(TODAY()),1),Timesheet!$B$6:$B$2005,"&lt;="&amp;EOMONTH(TODAY(),0))+SUMIFS(Timesheet!$O$6:$O$2005,Timesheet!$C$6:$C$2005,B33,Timesheet!$Q$6:$Q$2005,"To invoice")+SUMIFS(Timesheet!$O$6:$O$2005,Timesheet!$C$6:$C$2005,B33,Timesheet!$Q$6:$Q$2005,"Draft")+SUMIFS(Invoices!$J$6:$J$305,Invoices!$C$6:$C$305,B33,Invoices!$M$6:$M$305,"Waiting")+SUMIFS(Invoices!$J$6:$J$305,Invoices!$C$6:$C$305,B33,Invoices!$M$6:$M$305,"Overdue*")&gt;0,ROW(),""))</f>
        <v/>
      </c>
    </row>
    <row r="34">
      <c r="A34" s="1" t="n"/>
      <c r="B34" s="17" t="n"/>
      <c r="C34" s="18" t="n"/>
      <c r="D34" s="18" t="n"/>
      <c r="E34" s="18" t="n"/>
      <c r="F34" s="18" t="n"/>
      <c r="G34" s="23" t="n"/>
      <c r="H34" s="20" t="n"/>
      <c r="I34" s="1" t="n"/>
      <c r="J34">
        <f>IF(B34="","",IF(SUMIFS(Timesheet!$M$6:$M$2005,Timesheet!$C$6:$C$2005,B34,Timesheet!$B$6:$B$2005,"&gt;="&amp;DATE(YEAR(TODAY()),MONTH(TODAY()),1),Timesheet!$B$6:$B$2005,"&lt;="&amp;EOMONTH(TODAY(),0))+SUMIFS(Timesheet!$O$6:$O$2005,Timesheet!$C$6:$C$2005,B34,Timesheet!$Q$6:$Q$2005,"To invoice")+SUMIFS(Timesheet!$O$6:$O$2005,Timesheet!$C$6:$C$2005,B34,Timesheet!$Q$6:$Q$2005,"Draft")+SUMIFS(Invoices!$J$6:$J$305,Invoices!$C$6:$C$305,B34,Invoices!$M$6:$M$305,"Waiting")+SUMIFS(Invoices!$J$6:$J$305,Invoices!$C$6:$C$305,B34,Invoices!$M$6:$M$305,"Overdue*")&gt;0,ROW(),""))</f>
        <v/>
      </c>
    </row>
    <row r="35">
      <c r="A35" s="1" t="n"/>
      <c r="B35" s="17" t="n"/>
      <c r="C35" s="18" t="n"/>
      <c r="D35" s="18" t="n"/>
      <c r="E35" s="18" t="n"/>
      <c r="F35" s="18" t="n"/>
      <c r="G35" s="23" t="n"/>
      <c r="H35" s="20" t="n"/>
      <c r="I35" s="1" t="n"/>
      <c r="J35">
        <f>IF(B35="","",IF(SUMIFS(Timesheet!$M$6:$M$2005,Timesheet!$C$6:$C$2005,B35,Timesheet!$B$6:$B$2005,"&gt;="&amp;DATE(YEAR(TODAY()),MONTH(TODAY()),1),Timesheet!$B$6:$B$2005,"&lt;="&amp;EOMONTH(TODAY(),0))+SUMIFS(Timesheet!$O$6:$O$2005,Timesheet!$C$6:$C$2005,B35,Timesheet!$Q$6:$Q$2005,"To invoice")+SUMIFS(Timesheet!$O$6:$O$2005,Timesheet!$C$6:$C$2005,B35,Timesheet!$Q$6:$Q$2005,"Draft")+SUMIFS(Invoices!$J$6:$J$305,Invoices!$C$6:$C$305,B35,Invoices!$M$6:$M$305,"Waiting")+SUMIFS(Invoices!$J$6:$J$305,Invoices!$C$6:$C$305,B35,Invoices!$M$6:$M$305,"Overdue*")&gt;0,ROW(),""))</f>
        <v/>
      </c>
    </row>
    <row r="36">
      <c r="A36" s="1" t="n"/>
      <c r="B36" s="17" t="n"/>
      <c r="C36" s="18" t="n"/>
      <c r="D36" s="18" t="n"/>
      <c r="E36" s="18" t="n"/>
      <c r="F36" s="18" t="n"/>
      <c r="G36" s="23" t="n"/>
      <c r="H36" s="20" t="n"/>
      <c r="I36" s="1" t="n"/>
      <c r="J36">
        <f>IF(B36="","",IF(SUMIFS(Timesheet!$M$6:$M$2005,Timesheet!$C$6:$C$2005,B36,Timesheet!$B$6:$B$2005,"&gt;="&amp;DATE(YEAR(TODAY()),MONTH(TODAY()),1),Timesheet!$B$6:$B$2005,"&lt;="&amp;EOMONTH(TODAY(),0))+SUMIFS(Timesheet!$O$6:$O$2005,Timesheet!$C$6:$C$2005,B36,Timesheet!$Q$6:$Q$2005,"To invoice")+SUMIFS(Timesheet!$O$6:$O$2005,Timesheet!$C$6:$C$2005,B36,Timesheet!$Q$6:$Q$2005,"Draft")+SUMIFS(Invoices!$J$6:$J$305,Invoices!$C$6:$C$305,B36,Invoices!$M$6:$M$305,"Waiting")+SUMIFS(Invoices!$J$6:$J$305,Invoices!$C$6:$C$305,B36,Invoices!$M$6:$M$305,"Overdue*")&gt;0,ROW(),""))</f>
        <v/>
      </c>
    </row>
    <row r="37">
      <c r="A37" s="1" t="n"/>
      <c r="B37" s="17" t="n"/>
      <c r="C37" s="18" t="n"/>
      <c r="D37" s="18" t="n"/>
      <c r="E37" s="18" t="n"/>
      <c r="F37" s="18" t="n"/>
      <c r="G37" s="23" t="n"/>
      <c r="H37" s="20" t="n"/>
      <c r="I37" s="1" t="n"/>
      <c r="J37">
        <f>IF(B37="","",IF(SUMIFS(Timesheet!$M$6:$M$2005,Timesheet!$C$6:$C$2005,B37,Timesheet!$B$6:$B$2005,"&gt;="&amp;DATE(YEAR(TODAY()),MONTH(TODAY()),1),Timesheet!$B$6:$B$2005,"&lt;="&amp;EOMONTH(TODAY(),0))+SUMIFS(Timesheet!$O$6:$O$2005,Timesheet!$C$6:$C$2005,B37,Timesheet!$Q$6:$Q$2005,"To invoice")+SUMIFS(Timesheet!$O$6:$O$2005,Timesheet!$C$6:$C$2005,B37,Timesheet!$Q$6:$Q$2005,"Draft")+SUMIFS(Invoices!$J$6:$J$305,Invoices!$C$6:$C$305,B37,Invoices!$M$6:$M$305,"Waiting")+SUMIFS(Invoices!$J$6:$J$305,Invoices!$C$6:$C$305,B37,Invoices!$M$6:$M$305,"Overdue*")&gt;0,ROW(),""))</f>
        <v/>
      </c>
    </row>
    <row r="38">
      <c r="A38" s="1" t="n"/>
      <c r="B38" s="17" t="n"/>
      <c r="C38" s="18" t="n"/>
      <c r="D38" s="18" t="n"/>
      <c r="E38" s="18" t="n"/>
      <c r="F38" s="18" t="n"/>
      <c r="G38" s="23" t="n"/>
      <c r="H38" s="20" t="n"/>
      <c r="I38" s="1" t="n"/>
      <c r="J38">
        <f>IF(B38="","",IF(SUMIFS(Timesheet!$M$6:$M$2005,Timesheet!$C$6:$C$2005,B38,Timesheet!$B$6:$B$2005,"&gt;="&amp;DATE(YEAR(TODAY()),MONTH(TODAY()),1),Timesheet!$B$6:$B$2005,"&lt;="&amp;EOMONTH(TODAY(),0))+SUMIFS(Timesheet!$O$6:$O$2005,Timesheet!$C$6:$C$2005,B38,Timesheet!$Q$6:$Q$2005,"To invoice")+SUMIFS(Timesheet!$O$6:$O$2005,Timesheet!$C$6:$C$2005,B38,Timesheet!$Q$6:$Q$2005,"Draft")+SUMIFS(Invoices!$J$6:$J$305,Invoices!$C$6:$C$305,B38,Invoices!$M$6:$M$305,"Waiting")+SUMIFS(Invoices!$J$6:$J$305,Invoices!$C$6:$C$305,B38,Invoices!$M$6:$M$305,"Overdue*")&gt;0,ROW(),""))</f>
        <v/>
      </c>
    </row>
    <row r="39">
      <c r="A39" s="1" t="n"/>
      <c r="B39" s="17" t="n"/>
      <c r="C39" s="18" t="n"/>
      <c r="D39" s="18" t="n"/>
      <c r="E39" s="18" t="n"/>
      <c r="F39" s="18" t="n"/>
      <c r="G39" s="23" t="n"/>
      <c r="H39" s="20" t="n"/>
      <c r="I39" s="1" t="n"/>
      <c r="J39">
        <f>IF(B39="","",IF(SUMIFS(Timesheet!$M$6:$M$2005,Timesheet!$C$6:$C$2005,B39,Timesheet!$B$6:$B$2005,"&gt;="&amp;DATE(YEAR(TODAY()),MONTH(TODAY()),1),Timesheet!$B$6:$B$2005,"&lt;="&amp;EOMONTH(TODAY(),0))+SUMIFS(Timesheet!$O$6:$O$2005,Timesheet!$C$6:$C$2005,B39,Timesheet!$Q$6:$Q$2005,"To invoice")+SUMIFS(Timesheet!$O$6:$O$2005,Timesheet!$C$6:$C$2005,B39,Timesheet!$Q$6:$Q$2005,"Draft")+SUMIFS(Invoices!$J$6:$J$305,Invoices!$C$6:$C$305,B39,Invoices!$M$6:$M$305,"Waiting")+SUMIFS(Invoices!$J$6:$J$305,Invoices!$C$6:$C$305,B39,Invoices!$M$6:$M$305,"Overdue*")&gt;0,ROW(),""))</f>
        <v/>
      </c>
    </row>
    <row r="40">
      <c r="A40" s="1" t="n"/>
      <c r="B40" s="17" t="n"/>
      <c r="C40" s="18" t="n"/>
      <c r="D40" s="18" t="n"/>
      <c r="E40" s="18" t="n"/>
      <c r="F40" s="18" t="n"/>
      <c r="G40" s="23" t="n"/>
      <c r="H40" s="20" t="n"/>
      <c r="I40" s="1" t="n"/>
      <c r="J40">
        <f>IF(B40="","",IF(SUMIFS(Timesheet!$M$6:$M$2005,Timesheet!$C$6:$C$2005,B40,Timesheet!$B$6:$B$2005,"&gt;="&amp;DATE(YEAR(TODAY()),MONTH(TODAY()),1),Timesheet!$B$6:$B$2005,"&lt;="&amp;EOMONTH(TODAY(),0))+SUMIFS(Timesheet!$O$6:$O$2005,Timesheet!$C$6:$C$2005,B40,Timesheet!$Q$6:$Q$2005,"To invoice")+SUMIFS(Timesheet!$O$6:$O$2005,Timesheet!$C$6:$C$2005,B40,Timesheet!$Q$6:$Q$2005,"Draft")+SUMIFS(Invoices!$J$6:$J$305,Invoices!$C$6:$C$305,B40,Invoices!$M$6:$M$305,"Waiting")+SUMIFS(Invoices!$J$6:$J$305,Invoices!$C$6:$C$305,B40,Invoices!$M$6:$M$305,"Overdue*")&gt;0,ROW(),""))</f>
        <v/>
      </c>
    </row>
    <row r="41">
      <c r="A41" s="1" t="n"/>
      <c r="B41" s="17" t="n"/>
      <c r="C41" s="18" t="n"/>
      <c r="D41" s="18" t="n"/>
      <c r="E41" s="18" t="n"/>
      <c r="F41" s="18" t="n"/>
      <c r="G41" s="23" t="n"/>
      <c r="H41" s="20" t="n"/>
      <c r="I41" s="1" t="n"/>
      <c r="J41">
        <f>IF(B41="","",IF(SUMIFS(Timesheet!$M$6:$M$2005,Timesheet!$C$6:$C$2005,B41,Timesheet!$B$6:$B$2005,"&gt;="&amp;DATE(YEAR(TODAY()),MONTH(TODAY()),1),Timesheet!$B$6:$B$2005,"&lt;="&amp;EOMONTH(TODAY(),0))+SUMIFS(Timesheet!$O$6:$O$2005,Timesheet!$C$6:$C$2005,B41,Timesheet!$Q$6:$Q$2005,"To invoice")+SUMIFS(Timesheet!$O$6:$O$2005,Timesheet!$C$6:$C$2005,B41,Timesheet!$Q$6:$Q$2005,"Draft")+SUMIFS(Invoices!$J$6:$J$305,Invoices!$C$6:$C$305,B41,Invoices!$M$6:$M$305,"Waiting")+SUMIFS(Invoices!$J$6:$J$305,Invoices!$C$6:$C$305,B41,Invoices!$M$6:$M$305,"Overdue*")&gt;0,ROW(),""))</f>
        <v/>
      </c>
    </row>
    <row r="42">
      <c r="A42" s="1" t="n"/>
      <c r="B42" s="17" t="n"/>
      <c r="C42" s="18" t="n"/>
      <c r="D42" s="18" t="n"/>
      <c r="E42" s="18" t="n"/>
      <c r="F42" s="18" t="n"/>
      <c r="G42" s="23" t="n"/>
      <c r="H42" s="20" t="n"/>
      <c r="I42" s="1" t="n"/>
      <c r="J42">
        <f>IF(B42="","",IF(SUMIFS(Timesheet!$M$6:$M$2005,Timesheet!$C$6:$C$2005,B42,Timesheet!$B$6:$B$2005,"&gt;="&amp;DATE(YEAR(TODAY()),MONTH(TODAY()),1),Timesheet!$B$6:$B$2005,"&lt;="&amp;EOMONTH(TODAY(),0))+SUMIFS(Timesheet!$O$6:$O$2005,Timesheet!$C$6:$C$2005,B42,Timesheet!$Q$6:$Q$2005,"To invoice")+SUMIFS(Timesheet!$O$6:$O$2005,Timesheet!$C$6:$C$2005,B42,Timesheet!$Q$6:$Q$2005,"Draft")+SUMIFS(Invoices!$J$6:$J$305,Invoices!$C$6:$C$305,B42,Invoices!$M$6:$M$305,"Waiting")+SUMIFS(Invoices!$J$6:$J$305,Invoices!$C$6:$C$305,B42,Invoices!$M$6:$M$305,"Overdue*")&gt;0,ROW(),""))</f>
        <v/>
      </c>
    </row>
    <row r="43">
      <c r="A43" s="1" t="n"/>
      <c r="B43" s="17" t="n"/>
      <c r="C43" s="18" t="n"/>
      <c r="D43" s="18" t="n"/>
      <c r="E43" s="18" t="n"/>
      <c r="F43" s="18" t="n"/>
      <c r="G43" s="23" t="n"/>
      <c r="H43" s="20" t="n"/>
      <c r="I43" s="1" t="n"/>
      <c r="J43">
        <f>IF(B43="","",IF(SUMIFS(Timesheet!$M$6:$M$2005,Timesheet!$C$6:$C$2005,B43,Timesheet!$B$6:$B$2005,"&gt;="&amp;DATE(YEAR(TODAY()),MONTH(TODAY()),1),Timesheet!$B$6:$B$2005,"&lt;="&amp;EOMONTH(TODAY(),0))+SUMIFS(Timesheet!$O$6:$O$2005,Timesheet!$C$6:$C$2005,B43,Timesheet!$Q$6:$Q$2005,"To invoice")+SUMIFS(Timesheet!$O$6:$O$2005,Timesheet!$C$6:$C$2005,B43,Timesheet!$Q$6:$Q$2005,"Draft")+SUMIFS(Invoices!$J$6:$J$305,Invoices!$C$6:$C$305,B43,Invoices!$M$6:$M$305,"Waiting")+SUMIFS(Invoices!$J$6:$J$305,Invoices!$C$6:$C$305,B43,Invoices!$M$6:$M$305,"Overdue*")&gt;0,ROW(),""))</f>
        <v/>
      </c>
    </row>
    <row r="44">
      <c r="A44" s="1" t="n"/>
      <c r="B44" s="17" t="n"/>
      <c r="C44" s="18" t="n"/>
      <c r="D44" s="18" t="n"/>
      <c r="E44" s="18" t="n"/>
      <c r="F44" s="18" t="n"/>
      <c r="G44" s="23" t="n"/>
      <c r="H44" s="20" t="n"/>
      <c r="I44" s="1" t="n"/>
      <c r="J44">
        <f>IF(B44="","",IF(SUMIFS(Timesheet!$M$6:$M$2005,Timesheet!$C$6:$C$2005,B44,Timesheet!$B$6:$B$2005,"&gt;="&amp;DATE(YEAR(TODAY()),MONTH(TODAY()),1),Timesheet!$B$6:$B$2005,"&lt;="&amp;EOMONTH(TODAY(),0))+SUMIFS(Timesheet!$O$6:$O$2005,Timesheet!$C$6:$C$2005,B44,Timesheet!$Q$6:$Q$2005,"To invoice")+SUMIFS(Timesheet!$O$6:$O$2005,Timesheet!$C$6:$C$2005,B44,Timesheet!$Q$6:$Q$2005,"Draft")+SUMIFS(Invoices!$J$6:$J$305,Invoices!$C$6:$C$305,B44,Invoices!$M$6:$M$305,"Waiting")+SUMIFS(Invoices!$J$6:$J$305,Invoices!$C$6:$C$305,B44,Invoices!$M$6:$M$305,"Overdue*")&gt;0,ROW(),""))</f>
        <v/>
      </c>
    </row>
    <row r="45">
      <c r="A45" s="1" t="n"/>
      <c r="B45" s="17" t="n"/>
      <c r="C45" s="18" t="n"/>
      <c r="D45" s="18" t="n"/>
      <c r="E45" s="18" t="n"/>
      <c r="F45" s="18" t="n"/>
      <c r="G45" s="23" t="n"/>
      <c r="H45" s="20" t="n"/>
      <c r="I45" s="1" t="n"/>
      <c r="J45">
        <f>IF(B45="","",IF(SUMIFS(Timesheet!$M$6:$M$2005,Timesheet!$C$6:$C$2005,B45,Timesheet!$B$6:$B$2005,"&gt;="&amp;DATE(YEAR(TODAY()),MONTH(TODAY()),1),Timesheet!$B$6:$B$2005,"&lt;="&amp;EOMONTH(TODAY(),0))+SUMIFS(Timesheet!$O$6:$O$2005,Timesheet!$C$6:$C$2005,B45,Timesheet!$Q$6:$Q$2005,"To invoice")+SUMIFS(Timesheet!$O$6:$O$2005,Timesheet!$C$6:$C$2005,B45,Timesheet!$Q$6:$Q$2005,"Draft")+SUMIFS(Invoices!$J$6:$J$305,Invoices!$C$6:$C$305,B45,Invoices!$M$6:$M$305,"Waiting")+SUMIFS(Invoices!$J$6:$J$305,Invoices!$C$6:$C$305,B45,Invoices!$M$6:$M$305,"Overdue*")&gt;0,ROW(),"")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Projects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Optional. A project can have its own rate, and a budget of hours to keep an eye on.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Project</t>
        </is>
      </c>
      <c r="C5" s="9" t="inlineStr">
        <is>
          <t>Client</t>
        </is>
      </c>
      <c r="D5" s="9" t="inlineStr">
        <is>
          <t>Own rate</t>
        </is>
      </c>
      <c r="E5" s="9" t="inlineStr">
        <is>
          <t>Budget (h)</t>
        </is>
      </c>
      <c r="F5" s="9" t="inlineStr">
        <is>
          <t>Hours</t>
        </is>
      </c>
      <c r="G5" s="9" t="inlineStr">
        <is>
          <t>Left</t>
        </is>
      </c>
      <c r="H5" s="9" t="inlineStr">
        <is>
          <t>Value</t>
        </is>
      </c>
      <c r="I5" s="1" t="n"/>
    </row>
    <row r="6">
      <c r="A6" s="1" t="n"/>
      <c r="B6" s="17" t="inlineStr">
        <is>
          <t>Spring catalogue</t>
        </is>
      </c>
      <c r="C6" s="18" t="inlineStr">
        <is>
          <t>Harbour Books</t>
        </is>
      </c>
      <c r="D6" s="23" t="n"/>
      <c r="E6" s="20" t="n">
        <v>140</v>
      </c>
      <c r="F6" s="25">
        <f>IF(B6="","",SUMIFS(Timesheet!$M$6:$M$2005,Timesheet!$D$6:$D$2005,B6))</f>
        <v/>
      </c>
      <c r="G6" s="60">
        <f>IF(OR(B6="",N(E6)=0),"",E6-F6)</f>
        <v/>
      </c>
      <c r="H6" s="14">
        <f>IF(B6="","",SUMIFS(Timesheet!$O$6:$O$2005,Timesheet!$D$6:$D$2005,B6))</f>
        <v/>
      </c>
      <c r="I6" s="1" t="n"/>
    </row>
    <row r="7">
      <c r="A7" s="1" t="n"/>
      <c r="B7" s="17" t="inlineStr">
        <is>
          <t>Website redesign</t>
        </is>
      </c>
      <c r="C7" s="18" t="inlineStr">
        <is>
          <t>Harbour Books</t>
        </is>
      </c>
      <c r="D7" s="23" t="n"/>
      <c r="E7" s="20" t="n">
        <v>260</v>
      </c>
      <c r="F7" s="25">
        <f>IF(B7="","",SUMIFS(Timesheet!$M$6:$M$2005,Timesheet!$D$6:$D$2005,B7))</f>
        <v/>
      </c>
      <c r="G7" s="60">
        <f>IF(OR(B7="",N(E7)=0),"",E7-F7)</f>
        <v/>
      </c>
      <c r="H7" s="14">
        <f>IF(B7="","",SUMIFS(Timesheet!$O$6:$O$2005,Timesheet!$D$6:$D$2005,B7))</f>
        <v/>
      </c>
      <c r="I7" s="1" t="n"/>
    </row>
    <row r="8">
      <c r="A8" s="1" t="n"/>
      <c r="B8" s="17" t="inlineStr">
        <is>
          <t>Book launch posters</t>
        </is>
      </c>
      <c r="C8" s="18" t="inlineStr">
        <is>
          <t>Harbour Books</t>
        </is>
      </c>
      <c r="D8" s="23" t="n">
        <v>85</v>
      </c>
      <c r="E8" s="20" t="n">
        <v>18</v>
      </c>
      <c r="F8" s="25">
        <f>IF(B8="","",SUMIFS(Timesheet!$M$6:$M$2005,Timesheet!$D$6:$D$2005,B8))</f>
        <v/>
      </c>
      <c r="G8" s="60">
        <f>IF(OR(B8="",N(E8)=0),"",E8-F8)</f>
        <v/>
      </c>
      <c r="H8" s="14">
        <f>IF(B8="","",SUMIFS(Timesheet!$O$6:$O$2005,Timesheet!$D$6:$D$2005,B8))</f>
        <v/>
      </c>
      <c r="I8" s="1" t="n"/>
    </row>
    <row r="9">
      <c r="A9" s="1" t="n"/>
      <c r="B9" s="17" t="inlineStr">
        <is>
          <t>Monthly social posts</t>
        </is>
      </c>
      <c r="C9" s="18" t="inlineStr">
        <is>
          <t>Greenleaf Studio</t>
        </is>
      </c>
      <c r="D9" s="23" t="n"/>
      <c r="E9" s="20" t="n"/>
      <c r="F9" s="25">
        <f>IF(B9="","",SUMIFS(Timesheet!$M$6:$M$2005,Timesheet!$D$6:$D$2005,B9))</f>
        <v/>
      </c>
      <c r="G9" s="60">
        <f>IF(OR(B9="",N(E9)=0),"",E9-F9)</f>
        <v/>
      </c>
      <c r="H9" s="14">
        <f>IF(B9="","",SUMIFS(Timesheet!$O$6:$O$2005,Timesheet!$D$6:$D$2005,B9))</f>
        <v/>
      </c>
      <c r="I9" s="1" t="n"/>
    </row>
    <row r="10">
      <c r="A10" s="1" t="n"/>
      <c r="B10" s="17" t="inlineStr">
        <is>
          <t>Brand refresh</t>
        </is>
      </c>
      <c r="C10" s="18" t="inlineStr">
        <is>
          <t>Atlas Fitness</t>
        </is>
      </c>
      <c r="D10" s="23" t="n">
        <v>70</v>
      </c>
      <c r="E10" s="20" t="n">
        <v>60</v>
      </c>
      <c r="F10" s="25">
        <f>IF(B10="","",SUMIFS(Timesheet!$M$6:$M$2005,Timesheet!$D$6:$D$2005,B10))</f>
        <v/>
      </c>
      <c r="G10" s="60">
        <f>IF(OR(B10="",N(E10)=0),"",E10-F10)</f>
        <v/>
      </c>
      <c r="H10" s="14">
        <f>IF(B10="","",SUMIFS(Timesheet!$O$6:$O$2005,Timesheet!$D$6:$D$2005,B10))</f>
        <v/>
      </c>
      <c r="I10" s="1" t="n"/>
    </row>
    <row r="11">
      <c r="A11" s="1" t="n"/>
      <c r="B11" s="17" t="n"/>
      <c r="C11" s="18" t="n"/>
      <c r="D11" s="23" t="n"/>
      <c r="E11" s="20" t="n"/>
      <c r="F11" s="25">
        <f>IF(B11="","",SUMIFS(Timesheet!$M$6:$M$2005,Timesheet!$D$6:$D$2005,B11))</f>
        <v/>
      </c>
      <c r="G11" s="60">
        <f>IF(OR(B11="",N(E11)=0),"",E11-F11)</f>
        <v/>
      </c>
      <c r="H11" s="14">
        <f>IF(B11="","",SUMIFS(Timesheet!$O$6:$O$2005,Timesheet!$D$6:$D$2005,B11))</f>
        <v/>
      </c>
      <c r="I11" s="1" t="n"/>
    </row>
    <row r="12">
      <c r="A12" s="1" t="n"/>
      <c r="B12" s="17" t="n"/>
      <c r="C12" s="18" t="n"/>
      <c r="D12" s="23" t="n"/>
      <c r="E12" s="20" t="n"/>
      <c r="F12" s="25">
        <f>IF(B12="","",SUMIFS(Timesheet!$M$6:$M$2005,Timesheet!$D$6:$D$2005,B12))</f>
        <v/>
      </c>
      <c r="G12" s="60">
        <f>IF(OR(B12="",N(E12)=0),"",E12-F12)</f>
        <v/>
      </c>
      <c r="H12" s="14">
        <f>IF(B12="","",SUMIFS(Timesheet!$O$6:$O$2005,Timesheet!$D$6:$D$2005,B12))</f>
        <v/>
      </c>
      <c r="I12" s="1" t="n"/>
    </row>
    <row r="13">
      <c r="A13" s="1" t="n"/>
      <c r="B13" s="17" t="n"/>
      <c r="C13" s="18" t="n"/>
      <c r="D13" s="23" t="n"/>
      <c r="E13" s="20" t="n"/>
      <c r="F13" s="25">
        <f>IF(B13="","",SUMIFS(Timesheet!$M$6:$M$2005,Timesheet!$D$6:$D$2005,B13))</f>
        <v/>
      </c>
      <c r="G13" s="60">
        <f>IF(OR(B13="",N(E13)=0),"",E13-F13)</f>
        <v/>
      </c>
      <c r="H13" s="14">
        <f>IF(B13="","",SUMIFS(Timesheet!$O$6:$O$2005,Timesheet!$D$6:$D$2005,B13))</f>
        <v/>
      </c>
      <c r="I13" s="1" t="n"/>
    </row>
    <row r="14">
      <c r="A14" s="1" t="n"/>
      <c r="B14" s="17" t="n"/>
      <c r="C14" s="18" t="n"/>
      <c r="D14" s="23" t="n"/>
      <c r="E14" s="20" t="n"/>
      <c r="F14" s="25">
        <f>IF(B14="","",SUMIFS(Timesheet!$M$6:$M$2005,Timesheet!$D$6:$D$2005,B14))</f>
        <v/>
      </c>
      <c r="G14" s="60">
        <f>IF(OR(B14="",N(E14)=0),"",E14-F14)</f>
        <v/>
      </c>
      <c r="H14" s="14">
        <f>IF(B14="","",SUMIFS(Timesheet!$O$6:$O$2005,Timesheet!$D$6:$D$2005,B14))</f>
        <v/>
      </c>
      <c r="I14" s="1" t="n"/>
    </row>
    <row r="15">
      <c r="A15" s="1" t="n"/>
      <c r="B15" s="17" t="n"/>
      <c r="C15" s="18" t="n"/>
      <c r="D15" s="23" t="n"/>
      <c r="E15" s="20" t="n"/>
      <c r="F15" s="25">
        <f>IF(B15="","",SUMIFS(Timesheet!$M$6:$M$2005,Timesheet!$D$6:$D$2005,B15))</f>
        <v/>
      </c>
      <c r="G15" s="60">
        <f>IF(OR(B15="",N(E15)=0),"",E15-F15)</f>
        <v/>
      </c>
      <c r="H15" s="14">
        <f>IF(B15="","",SUMIFS(Timesheet!$O$6:$O$2005,Timesheet!$D$6:$D$2005,B15))</f>
        <v/>
      </c>
      <c r="I15" s="1" t="n"/>
    </row>
    <row r="16">
      <c r="A16" s="1" t="n"/>
      <c r="B16" s="17" t="n"/>
      <c r="C16" s="18" t="n"/>
      <c r="D16" s="23" t="n"/>
      <c r="E16" s="20" t="n"/>
      <c r="F16" s="25">
        <f>IF(B16="","",SUMIFS(Timesheet!$M$6:$M$2005,Timesheet!$D$6:$D$2005,B16))</f>
        <v/>
      </c>
      <c r="G16" s="60">
        <f>IF(OR(B16="",N(E16)=0),"",E16-F16)</f>
        <v/>
      </c>
      <c r="H16" s="14">
        <f>IF(B16="","",SUMIFS(Timesheet!$O$6:$O$2005,Timesheet!$D$6:$D$2005,B16))</f>
        <v/>
      </c>
      <c r="I16" s="1" t="n"/>
    </row>
    <row r="17">
      <c r="A17" s="1" t="n"/>
      <c r="B17" s="17" t="n"/>
      <c r="C17" s="18" t="n"/>
      <c r="D17" s="23" t="n"/>
      <c r="E17" s="20" t="n"/>
      <c r="F17" s="25">
        <f>IF(B17="","",SUMIFS(Timesheet!$M$6:$M$2005,Timesheet!$D$6:$D$2005,B17))</f>
        <v/>
      </c>
      <c r="G17" s="60">
        <f>IF(OR(B17="",N(E17)=0),"",E17-F17)</f>
        <v/>
      </c>
      <c r="H17" s="14">
        <f>IF(B17="","",SUMIFS(Timesheet!$O$6:$O$2005,Timesheet!$D$6:$D$2005,B17))</f>
        <v/>
      </c>
      <c r="I17" s="1" t="n"/>
    </row>
    <row r="18">
      <c r="A18" s="1" t="n"/>
      <c r="B18" s="17" t="n"/>
      <c r="C18" s="18" t="n"/>
      <c r="D18" s="23" t="n"/>
      <c r="E18" s="20" t="n"/>
      <c r="F18" s="25">
        <f>IF(B18="","",SUMIFS(Timesheet!$M$6:$M$2005,Timesheet!$D$6:$D$2005,B18))</f>
        <v/>
      </c>
      <c r="G18" s="60">
        <f>IF(OR(B18="",N(E18)=0),"",E18-F18)</f>
        <v/>
      </c>
      <c r="H18" s="14">
        <f>IF(B18="","",SUMIFS(Timesheet!$O$6:$O$2005,Timesheet!$D$6:$D$2005,B18))</f>
        <v/>
      </c>
      <c r="I18" s="1" t="n"/>
    </row>
    <row r="19">
      <c r="A19" s="1" t="n"/>
      <c r="B19" s="17" t="n"/>
      <c r="C19" s="18" t="n"/>
      <c r="D19" s="23" t="n"/>
      <c r="E19" s="20" t="n"/>
      <c r="F19" s="25">
        <f>IF(B19="","",SUMIFS(Timesheet!$M$6:$M$2005,Timesheet!$D$6:$D$2005,B19))</f>
        <v/>
      </c>
      <c r="G19" s="60">
        <f>IF(OR(B19="",N(E19)=0),"",E19-F19)</f>
        <v/>
      </c>
      <c r="H19" s="14">
        <f>IF(B19="","",SUMIFS(Timesheet!$O$6:$O$2005,Timesheet!$D$6:$D$2005,B19))</f>
        <v/>
      </c>
      <c r="I19" s="1" t="n"/>
    </row>
    <row r="20">
      <c r="A20" s="1" t="n"/>
      <c r="B20" s="17" t="n"/>
      <c r="C20" s="18" t="n"/>
      <c r="D20" s="23" t="n"/>
      <c r="E20" s="20" t="n"/>
      <c r="F20" s="25">
        <f>IF(B20="","",SUMIFS(Timesheet!$M$6:$M$2005,Timesheet!$D$6:$D$2005,B20))</f>
        <v/>
      </c>
      <c r="G20" s="60">
        <f>IF(OR(B20="",N(E20)=0),"",E20-F20)</f>
        <v/>
      </c>
      <c r="H20" s="14">
        <f>IF(B20="","",SUMIFS(Timesheet!$O$6:$O$2005,Timesheet!$D$6:$D$2005,B20))</f>
        <v/>
      </c>
      <c r="I20" s="1" t="n"/>
    </row>
    <row r="21">
      <c r="A21" s="1" t="n"/>
      <c r="B21" s="17" t="n"/>
      <c r="C21" s="18" t="n"/>
      <c r="D21" s="23" t="n"/>
      <c r="E21" s="20" t="n"/>
      <c r="F21" s="25">
        <f>IF(B21="","",SUMIFS(Timesheet!$M$6:$M$2005,Timesheet!$D$6:$D$2005,B21))</f>
        <v/>
      </c>
      <c r="G21" s="60">
        <f>IF(OR(B21="",N(E21)=0),"",E21-F21)</f>
        <v/>
      </c>
      <c r="H21" s="14">
        <f>IF(B21="","",SUMIFS(Timesheet!$O$6:$O$2005,Timesheet!$D$6:$D$2005,B21))</f>
        <v/>
      </c>
      <c r="I21" s="1" t="n"/>
    </row>
    <row r="22">
      <c r="A22" s="1" t="n"/>
      <c r="B22" s="17" t="n"/>
      <c r="C22" s="18" t="n"/>
      <c r="D22" s="23" t="n"/>
      <c r="E22" s="20" t="n"/>
      <c r="F22" s="25">
        <f>IF(B22="","",SUMIFS(Timesheet!$M$6:$M$2005,Timesheet!$D$6:$D$2005,B22))</f>
        <v/>
      </c>
      <c r="G22" s="60">
        <f>IF(OR(B22="",N(E22)=0),"",E22-F22)</f>
        <v/>
      </c>
      <c r="H22" s="14">
        <f>IF(B22="","",SUMIFS(Timesheet!$O$6:$O$2005,Timesheet!$D$6:$D$2005,B22))</f>
        <v/>
      </c>
      <c r="I22" s="1" t="n"/>
    </row>
    <row r="23">
      <c r="A23" s="1" t="n"/>
      <c r="B23" s="17" t="n"/>
      <c r="C23" s="18" t="n"/>
      <c r="D23" s="23" t="n"/>
      <c r="E23" s="20" t="n"/>
      <c r="F23" s="25">
        <f>IF(B23="","",SUMIFS(Timesheet!$M$6:$M$2005,Timesheet!$D$6:$D$2005,B23))</f>
        <v/>
      </c>
      <c r="G23" s="60">
        <f>IF(OR(B23="",N(E23)=0),"",E23-F23)</f>
        <v/>
      </c>
      <c r="H23" s="14">
        <f>IF(B23="","",SUMIFS(Timesheet!$O$6:$O$2005,Timesheet!$D$6:$D$2005,B23))</f>
        <v/>
      </c>
      <c r="I23" s="1" t="n"/>
    </row>
    <row r="24">
      <c r="A24" s="1" t="n"/>
      <c r="B24" s="17" t="n"/>
      <c r="C24" s="18" t="n"/>
      <c r="D24" s="23" t="n"/>
      <c r="E24" s="20" t="n"/>
      <c r="F24" s="25">
        <f>IF(B24="","",SUMIFS(Timesheet!$M$6:$M$2005,Timesheet!$D$6:$D$2005,B24))</f>
        <v/>
      </c>
      <c r="G24" s="60">
        <f>IF(OR(B24="",N(E24)=0),"",E24-F24)</f>
        <v/>
      </c>
      <c r="H24" s="14">
        <f>IF(B24="","",SUMIFS(Timesheet!$O$6:$O$2005,Timesheet!$D$6:$D$2005,B24))</f>
        <v/>
      </c>
      <c r="I24" s="1" t="n"/>
    </row>
    <row r="25">
      <c r="A25" s="1" t="n"/>
      <c r="B25" s="17" t="n"/>
      <c r="C25" s="18" t="n"/>
      <c r="D25" s="23" t="n"/>
      <c r="E25" s="20" t="n"/>
      <c r="F25" s="25">
        <f>IF(B25="","",SUMIFS(Timesheet!$M$6:$M$2005,Timesheet!$D$6:$D$2005,B25))</f>
        <v/>
      </c>
      <c r="G25" s="60">
        <f>IF(OR(B25="",N(E25)=0),"",E25-F25)</f>
        <v/>
      </c>
      <c r="H25" s="14">
        <f>IF(B25="","",SUMIFS(Timesheet!$O$6:$O$2005,Timesheet!$D$6:$D$2005,B25))</f>
        <v/>
      </c>
      <c r="I25" s="1" t="n"/>
    </row>
    <row r="26">
      <c r="A26" s="1" t="n"/>
      <c r="B26" s="17" t="n"/>
      <c r="C26" s="18" t="n"/>
      <c r="D26" s="23" t="n"/>
      <c r="E26" s="20" t="n"/>
      <c r="F26" s="25">
        <f>IF(B26="","",SUMIFS(Timesheet!$M$6:$M$2005,Timesheet!$D$6:$D$2005,B26))</f>
        <v/>
      </c>
      <c r="G26" s="60">
        <f>IF(OR(B26="",N(E26)=0),"",E26-F26)</f>
        <v/>
      </c>
      <c r="H26" s="14">
        <f>IF(B26="","",SUMIFS(Timesheet!$O$6:$O$2005,Timesheet!$D$6:$D$2005,B26))</f>
        <v/>
      </c>
      <c r="I26" s="1" t="n"/>
    </row>
    <row r="27">
      <c r="A27" s="1" t="n"/>
      <c r="B27" s="17" t="n"/>
      <c r="C27" s="18" t="n"/>
      <c r="D27" s="23" t="n"/>
      <c r="E27" s="20" t="n"/>
      <c r="F27" s="25">
        <f>IF(B27="","",SUMIFS(Timesheet!$M$6:$M$2005,Timesheet!$D$6:$D$2005,B27))</f>
        <v/>
      </c>
      <c r="G27" s="60">
        <f>IF(OR(B27="",N(E27)=0),"",E27-F27)</f>
        <v/>
      </c>
      <c r="H27" s="14">
        <f>IF(B27="","",SUMIFS(Timesheet!$O$6:$O$2005,Timesheet!$D$6:$D$2005,B27))</f>
        <v/>
      </c>
      <c r="I27" s="1" t="n"/>
    </row>
    <row r="28">
      <c r="A28" s="1" t="n"/>
      <c r="B28" s="17" t="n"/>
      <c r="C28" s="18" t="n"/>
      <c r="D28" s="23" t="n"/>
      <c r="E28" s="20" t="n"/>
      <c r="F28" s="25">
        <f>IF(B28="","",SUMIFS(Timesheet!$M$6:$M$2005,Timesheet!$D$6:$D$2005,B28))</f>
        <v/>
      </c>
      <c r="G28" s="60">
        <f>IF(OR(B28="",N(E28)=0),"",E28-F28)</f>
        <v/>
      </c>
      <c r="H28" s="14">
        <f>IF(B28="","",SUMIFS(Timesheet!$O$6:$O$2005,Timesheet!$D$6:$D$2005,B28))</f>
        <v/>
      </c>
      <c r="I28" s="1" t="n"/>
    </row>
    <row r="29">
      <c r="A29" s="1" t="n"/>
      <c r="B29" s="17" t="n"/>
      <c r="C29" s="18" t="n"/>
      <c r="D29" s="23" t="n"/>
      <c r="E29" s="20" t="n"/>
      <c r="F29" s="25">
        <f>IF(B29="","",SUMIFS(Timesheet!$M$6:$M$2005,Timesheet!$D$6:$D$2005,B29))</f>
        <v/>
      </c>
      <c r="G29" s="60">
        <f>IF(OR(B29="",N(E29)=0),"",E29-F29)</f>
        <v/>
      </c>
      <c r="H29" s="14">
        <f>IF(B29="","",SUMIFS(Timesheet!$O$6:$O$2005,Timesheet!$D$6:$D$2005,B29))</f>
        <v/>
      </c>
      <c r="I29" s="1" t="n"/>
    </row>
    <row r="30">
      <c r="A30" s="1" t="n"/>
      <c r="B30" s="17" t="n"/>
      <c r="C30" s="18" t="n"/>
      <c r="D30" s="23" t="n"/>
      <c r="E30" s="20" t="n"/>
      <c r="F30" s="25">
        <f>IF(B30="","",SUMIFS(Timesheet!$M$6:$M$2005,Timesheet!$D$6:$D$2005,B30))</f>
        <v/>
      </c>
      <c r="G30" s="60">
        <f>IF(OR(B30="",N(E30)=0),"",E30-F30)</f>
        <v/>
      </c>
      <c r="H30" s="14">
        <f>IF(B30="","",SUMIFS(Timesheet!$O$6:$O$2005,Timesheet!$D$6:$D$2005,B30))</f>
        <v/>
      </c>
      <c r="I30" s="1" t="n"/>
    </row>
    <row r="31">
      <c r="A31" s="1" t="n"/>
      <c r="B31" s="17" t="n"/>
      <c r="C31" s="18" t="n"/>
      <c r="D31" s="23" t="n"/>
      <c r="E31" s="20" t="n"/>
      <c r="F31" s="25">
        <f>IF(B31="","",SUMIFS(Timesheet!$M$6:$M$2005,Timesheet!$D$6:$D$2005,B31))</f>
        <v/>
      </c>
      <c r="G31" s="60">
        <f>IF(OR(B31="",N(E31)=0),"",E31-F31)</f>
        <v/>
      </c>
      <c r="H31" s="14">
        <f>IF(B31="","",SUMIFS(Timesheet!$O$6:$O$2005,Timesheet!$D$6:$D$2005,B31))</f>
        <v/>
      </c>
      <c r="I31" s="1" t="n"/>
    </row>
    <row r="32">
      <c r="A32" s="1" t="n"/>
      <c r="B32" s="17" t="n"/>
      <c r="C32" s="18" t="n"/>
      <c r="D32" s="23" t="n"/>
      <c r="E32" s="20" t="n"/>
      <c r="F32" s="25">
        <f>IF(B32="","",SUMIFS(Timesheet!$M$6:$M$2005,Timesheet!$D$6:$D$2005,B32))</f>
        <v/>
      </c>
      <c r="G32" s="60">
        <f>IF(OR(B32="",N(E32)=0),"",E32-F32)</f>
        <v/>
      </c>
      <c r="H32" s="14">
        <f>IF(B32="","",SUMIFS(Timesheet!$O$6:$O$2005,Timesheet!$D$6:$D$2005,B32))</f>
        <v/>
      </c>
      <c r="I32" s="1" t="n"/>
    </row>
    <row r="33">
      <c r="A33" s="1" t="n"/>
      <c r="B33" s="17" t="n"/>
      <c r="C33" s="18" t="n"/>
      <c r="D33" s="23" t="n"/>
      <c r="E33" s="20" t="n"/>
      <c r="F33" s="25">
        <f>IF(B33="","",SUMIFS(Timesheet!$M$6:$M$2005,Timesheet!$D$6:$D$2005,B33))</f>
        <v/>
      </c>
      <c r="G33" s="60">
        <f>IF(OR(B33="",N(E33)=0),"",E33-F33)</f>
        <v/>
      </c>
      <c r="H33" s="14">
        <f>IF(B33="","",SUMIFS(Timesheet!$O$6:$O$2005,Timesheet!$D$6:$D$2005,B33))</f>
        <v/>
      </c>
      <c r="I33" s="1" t="n"/>
    </row>
    <row r="34">
      <c r="A34" s="1" t="n"/>
      <c r="B34" s="17" t="n"/>
      <c r="C34" s="18" t="n"/>
      <c r="D34" s="23" t="n"/>
      <c r="E34" s="20" t="n"/>
      <c r="F34" s="25">
        <f>IF(B34="","",SUMIFS(Timesheet!$M$6:$M$2005,Timesheet!$D$6:$D$2005,B34))</f>
        <v/>
      </c>
      <c r="G34" s="60">
        <f>IF(OR(B34="",N(E34)=0),"",E34-F34)</f>
        <v/>
      </c>
      <c r="H34" s="14">
        <f>IF(B34="","",SUMIFS(Timesheet!$O$6:$O$2005,Timesheet!$D$6:$D$2005,B34))</f>
        <v/>
      </c>
      <c r="I34" s="1" t="n"/>
    </row>
    <row r="35">
      <c r="A35" s="1" t="n"/>
      <c r="B35" s="17" t="n"/>
      <c r="C35" s="18" t="n"/>
      <c r="D35" s="23" t="n"/>
      <c r="E35" s="20" t="n"/>
      <c r="F35" s="25">
        <f>IF(B35="","",SUMIFS(Timesheet!$M$6:$M$2005,Timesheet!$D$6:$D$2005,B35))</f>
        <v/>
      </c>
      <c r="G35" s="60">
        <f>IF(OR(B35="",N(E35)=0),"",E35-F35)</f>
        <v/>
      </c>
      <c r="H35" s="14">
        <f>IF(B35="","",SUMIFS(Timesheet!$O$6:$O$2005,Timesheet!$D$6:$D$2005,B35))</f>
        <v/>
      </c>
      <c r="I35" s="1" t="n"/>
    </row>
    <row r="36">
      <c r="A36" s="1" t="n"/>
      <c r="B36" s="17" t="n"/>
      <c r="C36" s="18" t="n"/>
      <c r="D36" s="23" t="n"/>
      <c r="E36" s="20" t="n"/>
      <c r="F36" s="25">
        <f>IF(B36="","",SUMIFS(Timesheet!$M$6:$M$2005,Timesheet!$D$6:$D$2005,B36))</f>
        <v/>
      </c>
      <c r="G36" s="60">
        <f>IF(OR(B36="",N(E36)=0),"",E36-F36)</f>
        <v/>
      </c>
      <c r="H36" s="14">
        <f>IF(B36="","",SUMIFS(Timesheet!$O$6:$O$2005,Timesheet!$D$6:$D$2005,B36))</f>
        <v/>
      </c>
      <c r="I36" s="1" t="n"/>
    </row>
    <row r="37">
      <c r="A37" s="1" t="n"/>
      <c r="B37" s="17" t="n"/>
      <c r="C37" s="18" t="n"/>
      <c r="D37" s="23" t="n"/>
      <c r="E37" s="20" t="n"/>
      <c r="F37" s="25">
        <f>IF(B37="","",SUMIFS(Timesheet!$M$6:$M$2005,Timesheet!$D$6:$D$2005,B37))</f>
        <v/>
      </c>
      <c r="G37" s="60">
        <f>IF(OR(B37="",N(E37)=0),"",E37-F37)</f>
        <v/>
      </c>
      <c r="H37" s="14">
        <f>IF(B37="","",SUMIFS(Timesheet!$O$6:$O$2005,Timesheet!$D$6:$D$2005,B37))</f>
        <v/>
      </c>
      <c r="I37" s="1" t="n"/>
    </row>
    <row r="38">
      <c r="A38" s="1" t="n"/>
      <c r="B38" s="17" t="n"/>
      <c r="C38" s="18" t="n"/>
      <c r="D38" s="23" t="n"/>
      <c r="E38" s="20" t="n"/>
      <c r="F38" s="25">
        <f>IF(B38="","",SUMIFS(Timesheet!$M$6:$M$2005,Timesheet!$D$6:$D$2005,B38))</f>
        <v/>
      </c>
      <c r="G38" s="60">
        <f>IF(OR(B38="",N(E38)=0),"",E38-F38)</f>
        <v/>
      </c>
      <c r="H38" s="14">
        <f>IF(B38="","",SUMIFS(Timesheet!$O$6:$O$2005,Timesheet!$D$6:$D$2005,B38))</f>
        <v/>
      </c>
      <c r="I38" s="1" t="n"/>
    </row>
    <row r="39">
      <c r="A39" s="1" t="n"/>
      <c r="B39" s="17" t="n"/>
      <c r="C39" s="18" t="n"/>
      <c r="D39" s="23" t="n"/>
      <c r="E39" s="20" t="n"/>
      <c r="F39" s="25">
        <f>IF(B39="","",SUMIFS(Timesheet!$M$6:$M$2005,Timesheet!$D$6:$D$2005,B39))</f>
        <v/>
      </c>
      <c r="G39" s="60">
        <f>IF(OR(B39="",N(E39)=0),"",E39-F39)</f>
        <v/>
      </c>
      <c r="H39" s="14">
        <f>IF(B39="","",SUMIFS(Timesheet!$O$6:$O$2005,Timesheet!$D$6:$D$2005,B39))</f>
        <v/>
      </c>
      <c r="I39" s="1" t="n"/>
    </row>
    <row r="40">
      <c r="A40" s="1" t="n"/>
      <c r="B40" s="17" t="n"/>
      <c r="C40" s="18" t="n"/>
      <c r="D40" s="23" t="n"/>
      <c r="E40" s="20" t="n"/>
      <c r="F40" s="25">
        <f>IF(B40="","",SUMIFS(Timesheet!$M$6:$M$2005,Timesheet!$D$6:$D$2005,B40))</f>
        <v/>
      </c>
      <c r="G40" s="60">
        <f>IF(OR(B40="",N(E40)=0),"",E40-F40)</f>
        <v/>
      </c>
      <c r="H40" s="14">
        <f>IF(B40="","",SUMIFS(Timesheet!$O$6:$O$2005,Timesheet!$D$6:$D$2005,B40))</f>
        <v/>
      </c>
      <c r="I40" s="1" t="n"/>
    </row>
    <row r="41">
      <c r="A41" s="1" t="n"/>
      <c r="B41" s="17" t="n"/>
      <c r="C41" s="18" t="n"/>
      <c r="D41" s="23" t="n"/>
      <c r="E41" s="20" t="n"/>
      <c r="F41" s="25">
        <f>IF(B41="","",SUMIFS(Timesheet!$M$6:$M$2005,Timesheet!$D$6:$D$2005,B41))</f>
        <v/>
      </c>
      <c r="G41" s="60">
        <f>IF(OR(B41="",N(E41)=0),"",E41-F41)</f>
        <v/>
      </c>
      <c r="H41" s="14">
        <f>IF(B41="","",SUMIFS(Timesheet!$O$6:$O$2005,Timesheet!$D$6:$D$2005,B41))</f>
        <v/>
      </c>
      <c r="I41" s="1" t="n"/>
    </row>
    <row r="42">
      <c r="A42" s="1" t="n"/>
      <c r="B42" s="17" t="n"/>
      <c r="C42" s="18" t="n"/>
      <c r="D42" s="23" t="n"/>
      <c r="E42" s="20" t="n"/>
      <c r="F42" s="25">
        <f>IF(B42="","",SUMIFS(Timesheet!$M$6:$M$2005,Timesheet!$D$6:$D$2005,B42))</f>
        <v/>
      </c>
      <c r="G42" s="60">
        <f>IF(OR(B42="",N(E42)=0),"",E42-F42)</f>
        <v/>
      </c>
      <c r="H42" s="14">
        <f>IF(B42="","",SUMIFS(Timesheet!$O$6:$O$2005,Timesheet!$D$6:$D$2005,B42))</f>
        <v/>
      </c>
      <c r="I42" s="1" t="n"/>
    </row>
    <row r="43">
      <c r="A43" s="1" t="n"/>
      <c r="B43" s="17" t="n"/>
      <c r="C43" s="18" t="n"/>
      <c r="D43" s="23" t="n"/>
      <c r="E43" s="20" t="n"/>
      <c r="F43" s="25">
        <f>IF(B43="","",SUMIFS(Timesheet!$M$6:$M$2005,Timesheet!$D$6:$D$2005,B43))</f>
        <v/>
      </c>
      <c r="G43" s="60">
        <f>IF(OR(B43="",N(E43)=0),"",E43-F43)</f>
        <v/>
      </c>
      <c r="H43" s="14">
        <f>IF(B43="","",SUMIFS(Timesheet!$O$6:$O$2005,Timesheet!$D$6:$D$2005,B43))</f>
        <v/>
      </c>
      <c r="I43" s="1" t="n"/>
    </row>
    <row r="44">
      <c r="A44" s="1" t="n"/>
      <c r="B44" s="17" t="n"/>
      <c r="C44" s="18" t="n"/>
      <c r="D44" s="23" t="n"/>
      <c r="E44" s="20" t="n"/>
      <c r="F44" s="25">
        <f>IF(B44="","",SUMIFS(Timesheet!$M$6:$M$2005,Timesheet!$D$6:$D$2005,B44))</f>
        <v/>
      </c>
      <c r="G44" s="60">
        <f>IF(OR(B44="",N(E44)=0),"",E44-F44)</f>
        <v/>
      </c>
      <c r="H44" s="14">
        <f>IF(B44="","",SUMIFS(Timesheet!$O$6:$O$2005,Timesheet!$D$6:$D$2005,B44))</f>
        <v/>
      </c>
      <c r="I44" s="1" t="n"/>
    </row>
    <row r="45">
      <c r="A45" s="1" t="n"/>
      <c r="B45" s="17" t="n"/>
      <c r="C45" s="18" t="n"/>
      <c r="D45" s="23" t="n"/>
      <c r="E45" s="20" t="n"/>
      <c r="F45" s="25">
        <f>IF(B45="","",SUMIFS(Timesheet!$M$6:$M$2005,Timesheet!$D$6:$D$2005,B45))</f>
        <v/>
      </c>
      <c r="G45" s="60">
        <f>IF(OR(B45="",N(E45)=0),"",E45-F45)</f>
        <v/>
      </c>
      <c r="H45" s="14">
        <f>IF(B45="","",SUMIFS(Timesheet!$O$6:$O$2005,Timesheet!$D$6:$D$2005,B45))</f>
        <v/>
      </c>
      <c r="I45" s="1" t="n"/>
    </row>
    <row r="46">
      <c r="A46" s="1" t="n"/>
      <c r="B46" s="17" t="n"/>
      <c r="C46" s="18" t="n"/>
      <c r="D46" s="23" t="n"/>
      <c r="E46" s="20" t="n"/>
      <c r="F46" s="25">
        <f>IF(B46="","",SUMIFS(Timesheet!$M$6:$M$2005,Timesheet!$D$6:$D$2005,B46))</f>
        <v/>
      </c>
      <c r="G46" s="60">
        <f>IF(OR(B46="",N(E46)=0),"",E46-F46)</f>
        <v/>
      </c>
      <c r="H46" s="14">
        <f>IF(B46="","",SUMIFS(Timesheet!$O$6:$O$2005,Timesheet!$D$6:$D$2005,B46))</f>
        <v/>
      </c>
      <c r="I46" s="1" t="n"/>
    </row>
    <row r="47">
      <c r="A47" s="1" t="n"/>
      <c r="B47" s="17" t="n"/>
      <c r="C47" s="18" t="n"/>
      <c r="D47" s="23" t="n"/>
      <c r="E47" s="20" t="n"/>
      <c r="F47" s="25">
        <f>IF(B47="","",SUMIFS(Timesheet!$M$6:$M$2005,Timesheet!$D$6:$D$2005,B47))</f>
        <v/>
      </c>
      <c r="G47" s="60">
        <f>IF(OR(B47="",N(E47)=0),"",E47-F47)</f>
        <v/>
      </c>
      <c r="H47" s="14">
        <f>IF(B47="","",SUMIFS(Timesheet!$O$6:$O$2005,Timesheet!$D$6:$D$2005,B47))</f>
        <v/>
      </c>
      <c r="I47" s="1" t="n"/>
    </row>
    <row r="48">
      <c r="A48" s="1" t="n"/>
      <c r="B48" s="17" t="n"/>
      <c r="C48" s="18" t="n"/>
      <c r="D48" s="23" t="n"/>
      <c r="E48" s="20" t="n"/>
      <c r="F48" s="25">
        <f>IF(B48="","",SUMIFS(Timesheet!$M$6:$M$2005,Timesheet!$D$6:$D$2005,B48))</f>
        <v/>
      </c>
      <c r="G48" s="60">
        <f>IF(OR(B48="",N(E48)=0),"",E48-F48)</f>
        <v/>
      </c>
      <c r="H48" s="14">
        <f>IF(B48="","",SUMIFS(Timesheet!$O$6:$O$2005,Timesheet!$D$6:$D$2005,B48))</f>
        <v/>
      </c>
      <c r="I48" s="1" t="n"/>
    </row>
    <row r="49">
      <c r="A49" s="1" t="n"/>
      <c r="B49" s="17" t="n"/>
      <c r="C49" s="18" t="n"/>
      <c r="D49" s="23" t="n"/>
      <c r="E49" s="20" t="n"/>
      <c r="F49" s="25">
        <f>IF(B49="","",SUMIFS(Timesheet!$M$6:$M$2005,Timesheet!$D$6:$D$2005,B49))</f>
        <v/>
      </c>
      <c r="G49" s="60">
        <f>IF(OR(B49="",N(E49)=0),"",E49-F49)</f>
        <v/>
      </c>
      <c r="H49" s="14">
        <f>IF(B49="","",SUMIFS(Timesheet!$O$6:$O$2005,Timesheet!$D$6:$D$2005,B49))</f>
        <v/>
      </c>
      <c r="I49" s="1" t="n"/>
    </row>
    <row r="50">
      <c r="A50" s="1" t="n"/>
      <c r="B50" s="17" t="n"/>
      <c r="C50" s="18" t="n"/>
      <c r="D50" s="23" t="n"/>
      <c r="E50" s="20" t="n"/>
      <c r="F50" s="25">
        <f>IF(B50="","",SUMIFS(Timesheet!$M$6:$M$2005,Timesheet!$D$6:$D$2005,B50))</f>
        <v/>
      </c>
      <c r="G50" s="60">
        <f>IF(OR(B50="",N(E50)=0),"",E50-F50)</f>
        <v/>
      </c>
      <c r="H50" s="14">
        <f>IF(B50="","",SUMIFS(Timesheet!$O$6:$O$2005,Timesheet!$D$6:$D$2005,B50))</f>
        <v/>
      </c>
      <c r="I50" s="1" t="n"/>
    </row>
    <row r="51">
      <c r="A51" s="1" t="n"/>
      <c r="B51" s="17" t="n"/>
      <c r="C51" s="18" t="n"/>
      <c r="D51" s="23" t="n"/>
      <c r="E51" s="20" t="n"/>
      <c r="F51" s="25">
        <f>IF(B51="","",SUMIFS(Timesheet!$M$6:$M$2005,Timesheet!$D$6:$D$2005,B51))</f>
        <v/>
      </c>
      <c r="G51" s="60">
        <f>IF(OR(B51="",N(E51)=0),"",E51-F51)</f>
        <v/>
      </c>
      <c r="H51" s="14">
        <f>IF(B51="","",SUMIFS(Timesheet!$O$6:$O$2005,Timesheet!$D$6:$D$2005,B51))</f>
        <v/>
      </c>
      <c r="I51" s="1" t="n"/>
    </row>
    <row r="52">
      <c r="A52" s="1" t="n"/>
      <c r="B52" s="17" t="n"/>
      <c r="C52" s="18" t="n"/>
      <c r="D52" s="23" t="n"/>
      <c r="E52" s="20" t="n"/>
      <c r="F52" s="25">
        <f>IF(B52="","",SUMIFS(Timesheet!$M$6:$M$2005,Timesheet!$D$6:$D$2005,B52))</f>
        <v/>
      </c>
      <c r="G52" s="60">
        <f>IF(OR(B52="",N(E52)=0),"",E52-F52)</f>
        <v/>
      </c>
      <c r="H52" s="14">
        <f>IF(B52="","",SUMIFS(Timesheet!$O$6:$O$2005,Timesheet!$D$6:$D$2005,B52))</f>
        <v/>
      </c>
      <c r="I52" s="1" t="n"/>
    </row>
    <row r="53">
      <c r="A53" s="1" t="n"/>
      <c r="B53" s="17" t="n"/>
      <c r="C53" s="18" t="n"/>
      <c r="D53" s="23" t="n"/>
      <c r="E53" s="20" t="n"/>
      <c r="F53" s="25">
        <f>IF(B53="","",SUMIFS(Timesheet!$M$6:$M$2005,Timesheet!$D$6:$D$2005,B53))</f>
        <v/>
      </c>
      <c r="G53" s="60">
        <f>IF(OR(B53="",N(E53)=0),"",E53-F53)</f>
        <v/>
      </c>
      <c r="H53" s="14">
        <f>IF(B53="","",SUMIFS(Timesheet!$O$6:$O$2005,Timesheet!$D$6:$D$2005,B53))</f>
        <v/>
      </c>
      <c r="I53" s="1" t="n"/>
    </row>
    <row r="54">
      <c r="A54" s="1" t="n"/>
      <c r="B54" s="17" t="n"/>
      <c r="C54" s="18" t="n"/>
      <c r="D54" s="23" t="n"/>
      <c r="E54" s="20" t="n"/>
      <c r="F54" s="25">
        <f>IF(B54="","",SUMIFS(Timesheet!$M$6:$M$2005,Timesheet!$D$6:$D$2005,B54))</f>
        <v/>
      </c>
      <c r="G54" s="60">
        <f>IF(OR(B54="",N(E54)=0),"",E54-F54)</f>
        <v/>
      </c>
      <c r="H54" s="14">
        <f>IF(B54="","",SUMIFS(Timesheet!$O$6:$O$2005,Timesheet!$D$6:$D$2005,B54))</f>
        <v/>
      </c>
      <c r="I54" s="1" t="n"/>
    </row>
    <row r="55">
      <c r="A55" s="1" t="n"/>
      <c r="B55" s="17" t="n"/>
      <c r="C55" s="18" t="n"/>
      <c r="D55" s="23" t="n"/>
      <c r="E55" s="20" t="n"/>
      <c r="F55" s="25">
        <f>IF(B55="","",SUMIFS(Timesheet!$M$6:$M$2005,Timesheet!$D$6:$D$2005,B55))</f>
        <v/>
      </c>
      <c r="G55" s="60">
        <f>IF(OR(B55="",N(E55)=0),"",E55-F55)</f>
        <v/>
      </c>
      <c r="H55" s="14">
        <f>IF(B55="","",SUMIFS(Timesheet!$O$6:$O$2005,Timesheet!$D$6:$D$2005,B55))</f>
        <v/>
      </c>
      <c r="I55" s="1" t="n"/>
    </row>
    <row r="56">
      <c r="A56" s="1" t="n"/>
      <c r="B56" s="17" t="n"/>
      <c r="C56" s="18" t="n"/>
      <c r="D56" s="23" t="n"/>
      <c r="E56" s="20" t="n"/>
      <c r="F56" s="25">
        <f>IF(B56="","",SUMIFS(Timesheet!$M$6:$M$2005,Timesheet!$D$6:$D$2005,B56))</f>
        <v/>
      </c>
      <c r="G56" s="60">
        <f>IF(OR(B56="",N(E56)=0),"",E56-F56)</f>
        <v/>
      </c>
      <c r="H56" s="14">
        <f>IF(B56="","",SUMIFS(Timesheet!$O$6:$O$2005,Timesheet!$D$6:$D$2005,B56))</f>
        <v/>
      </c>
      <c r="I56" s="1" t="n"/>
    </row>
    <row r="57">
      <c r="A57" s="1" t="n"/>
      <c r="B57" s="17" t="n"/>
      <c r="C57" s="18" t="n"/>
      <c r="D57" s="23" t="n"/>
      <c r="E57" s="20" t="n"/>
      <c r="F57" s="25">
        <f>IF(B57="","",SUMIFS(Timesheet!$M$6:$M$2005,Timesheet!$D$6:$D$2005,B57))</f>
        <v/>
      </c>
      <c r="G57" s="60">
        <f>IF(OR(B57="",N(E57)=0),"",E57-F57)</f>
        <v/>
      </c>
      <c r="H57" s="14">
        <f>IF(B57="","",SUMIFS(Timesheet!$O$6:$O$2005,Timesheet!$D$6:$D$2005,B57))</f>
        <v/>
      </c>
      <c r="I57" s="1" t="n"/>
    </row>
    <row r="58">
      <c r="A58" s="1" t="n"/>
      <c r="B58" s="17" t="n"/>
      <c r="C58" s="18" t="n"/>
      <c r="D58" s="23" t="n"/>
      <c r="E58" s="20" t="n"/>
      <c r="F58" s="25">
        <f>IF(B58="","",SUMIFS(Timesheet!$M$6:$M$2005,Timesheet!$D$6:$D$2005,B58))</f>
        <v/>
      </c>
      <c r="G58" s="60">
        <f>IF(OR(B58="",N(E58)=0),"",E58-F58)</f>
        <v/>
      </c>
      <c r="H58" s="14">
        <f>IF(B58="","",SUMIFS(Timesheet!$O$6:$O$2005,Timesheet!$D$6:$D$2005,B58))</f>
        <v/>
      </c>
      <c r="I58" s="1" t="n"/>
    </row>
    <row r="59">
      <c r="A59" s="1" t="n"/>
      <c r="B59" s="17" t="n"/>
      <c r="C59" s="18" t="n"/>
      <c r="D59" s="23" t="n"/>
      <c r="E59" s="20" t="n"/>
      <c r="F59" s="25">
        <f>IF(B59="","",SUMIFS(Timesheet!$M$6:$M$2005,Timesheet!$D$6:$D$2005,B59))</f>
        <v/>
      </c>
      <c r="G59" s="60">
        <f>IF(OR(B59="",N(E59)=0),"",E59-F59)</f>
        <v/>
      </c>
      <c r="H59" s="14">
        <f>IF(B59="","",SUMIFS(Timesheet!$O$6:$O$2005,Timesheet!$D$6:$D$2005,B59))</f>
        <v/>
      </c>
      <c r="I59" s="1" t="n"/>
    </row>
    <row r="60">
      <c r="A60" s="1" t="n"/>
      <c r="B60" s="17" t="n"/>
      <c r="C60" s="18" t="n"/>
      <c r="D60" s="23" t="n"/>
      <c r="E60" s="20" t="n"/>
      <c r="F60" s="25">
        <f>IF(B60="","",SUMIFS(Timesheet!$M$6:$M$2005,Timesheet!$D$6:$D$2005,B60))</f>
        <v/>
      </c>
      <c r="G60" s="60">
        <f>IF(OR(B60="",N(E60)=0),"",E60-F60)</f>
        <v/>
      </c>
      <c r="H60" s="14">
        <f>IF(B60="","",SUMIFS(Timesheet!$O$6:$O$2005,Timesheet!$D$6:$D$2005,B60))</f>
        <v/>
      </c>
      <c r="I60" s="1" t="n"/>
    </row>
    <row r="61">
      <c r="A61" s="1" t="n"/>
      <c r="B61" s="17" t="n"/>
      <c r="C61" s="18" t="n"/>
      <c r="D61" s="23" t="n"/>
      <c r="E61" s="20" t="n"/>
      <c r="F61" s="25">
        <f>IF(B61="","",SUMIFS(Timesheet!$M$6:$M$2005,Timesheet!$D$6:$D$2005,B61))</f>
        <v/>
      </c>
      <c r="G61" s="60">
        <f>IF(OR(B61="",N(E61)=0),"",E61-F61)</f>
        <v/>
      </c>
      <c r="H61" s="14">
        <f>IF(B61="","",SUMIFS(Timesheet!$O$6:$O$2005,Timesheet!$D$6:$D$2005,B61))</f>
        <v/>
      </c>
      <c r="I61" s="1" t="n"/>
    </row>
    <row r="62">
      <c r="A62" s="1" t="n"/>
      <c r="B62" s="17" t="n"/>
      <c r="C62" s="18" t="n"/>
      <c r="D62" s="23" t="n"/>
      <c r="E62" s="20" t="n"/>
      <c r="F62" s="25">
        <f>IF(B62="","",SUMIFS(Timesheet!$M$6:$M$2005,Timesheet!$D$6:$D$2005,B62))</f>
        <v/>
      </c>
      <c r="G62" s="60">
        <f>IF(OR(B62="",N(E62)=0),"",E62-F62)</f>
        <v/>
      </c>
      <c r="H62" s="14">
        <f>IF(B62="","",SUMIFS(Timesheet!$O$6:$O$2005,Timesheet!$D$6:$D$2005,B62))</f>
        <v/>
      </c>
      <c r="I62" s="1" t="n"/>
    </row>
    <row r="63">
      <c r="A63" s="1" t="n"/>
      <c r="B63" s="17" t="n"/>
      <c r="C63" s="18" t="n"/>
      <c r="D63" s="23" t="n"/>
      <c r="E63" s="20" t="n"/>
      <c r="F63" s="25">
        <f>IF(B63="","",SUMIFS(Timesheet!$M$6:$M$2005,Timesheet!$D$6:$D$2005,B63))</f>
        <v/>
      </c>
      <c r="G63" s="60">
        <f>IF(OR(B63="",N(E63)=0),"",E63-F63)</f>
        <v/>
      </c>
      <c r="H63" s="14">
        <f>IF(B63="","",SUMIFS(Timesheet!$O$6:$O$2005,Timesheet!$D$6:$D$2005,B63))</f>
        <v/>
      </c>
      <c r="I63" s="1" t="n"/>
    </row>
    <row r="64">
      <c r="A64" s="1" t="n"/>
      <c r="B64" s="17" t="n"/>
      <c r="C64" s="18" t="n"/>
      <c r="D64" s="23" t="n"/>
      <c r="E64" s="20" t="n"/>
      <c r="F64" s="25">
        <f>IF(B64="","",SUMIFS(Timesheet!$M$6:$M$2005,Timesheet!$D$6:$D$2005,B64))</f>
        <v/>
      </c>
      <c r="G64" s="60">
        <f>IF(OR(B64="",N(E64)=0),"",E64-F64)</f>
        <v/>
      </c>
      <c r="H64" s="14">
        <f>IF(B64="","",SUMIFS(Timesheet!$O$6:$O$2005,Timesheet!$D$6:$D$2005,B64))</f>
        <v/>
      </c>
      <c r="I64" s="1" t="n"/>
    </row>
    <row r="65">
      <c r="A65" s="1" t="n"/>
      <c r="B65" s="17" t="n"/>
      <c r="C65" s="18" t="n"/>
      <c r="D65" s="23" t="n"/>
      <c r="E65" s="20" t="n"/>
      <c r="F65" s="25">
        <f>IF(B65="","",SUMIFS(Timesheet!$M$6:$M$2005,Timesheet!$D$6:$D$2005,B65))</f>
        <v/>
      </c>
      <c r="G65" s="60">
        <f>IF(OR(B65="",N(E65)=0),"",E65-F65)</f>
        <v/>
      </c>
      <c r="H65" s="14">
        <f>IF(B65="","",SUMIFS(Timesheet!$O$6:$O$2005,Timesheet!$D$6:$D$2005,B65))</f>
        <v/>
      </c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</sheetData>
  <conditionalFormatting sqref="G6:G65">
    <cfRule type="expression" priority="1" dxfId="1">
      <formula>AND(ISNUMBER(G6),G6&lt;0)</formula>
    </cfRule>
    <cfRule type="expression" priority="2" dxfId="2">
      <formula>AND(ISNUMBER(G6),G6&gt;=0,G6&lt;=0.1*E6)</formula>
    </cfRule>
  </conditionalFormatting>
  <dataValidations count="1">
    <dataValidation sqref="C6:C65" showDropDown="0" showInputMessage="0" showErrorMessage="1" allowBlank="1" type="list">
      <formula1>=Clients!$B$6:$B$45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4" customWidth="1" min="3" max="3"/>
    <col width="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You, as the invoices show you, and how they are paid.</t>
        </is>
      </c>
      <c r="C3" s="1" t="n"/>
      <c r="D3" s="1" t="n"/>
      <c r="E3" s="1" t="n"/>
      <c r="F3" s="1" t="n"/>
    </row>
    <row r="4">
      <c r="A4" s="1" t="n"/>
      <c r="B4" s="35" t="inlineStr">
        <is>
          <t>Your name or business</t>
        </is>
      </c>
      <c r="C4" s="17" t="inlineStr">
        <is>
          <t>Rivera Design Studio</t>
        </is>
      </c>
      <c r="D4" s="1" t="n"/>
      <c r="E4" s="49" t="inlineStr">
        <is>
          <t>The Invoice tab uses everything on this page.</t>
        </is>
      </c>
      <c r="F4" s="1" t="n"/>
    </row>
    <row r="5">
      <c r="A5" s="1" t="n"/>
      <c r="B5" s="35" t="inlineStr">
        <is>
          <t>Address</t>
        </is>
      </c>
      <c r="C5" s="18" t="inlineStr">
        <is>
          <t>4 Canal Lane</t>
        </is>
      </c>
      <c r="D5" s="1" t="n"/>
      <c r="E5" s="49" t="inlineStr">
        <is>
          <t>Leave the tax rate at 0% if you do not charge tax.</t>
        </is>
      </c>
      <c r="F5" s="1" t="n"/>
    </row>
    <row r="6">
      <c r="A6" s="1" t="n"/>
      <c r="B6" s="35" t="inlineStr">
        <is>
          <t>Town and postcode</t>
        </is>
      </c>
      <c r="C6" s="18" t="inlineStr">
        <is>
          <t>Riverton RT2 9QP</t>
        </is>
      </c>
      <c r="D6" s="1" t="n"/>
      <c r="E6" s="49" t="inlineStr">
        <is>
          <t>Days to pay: for clients with none of their own.</t>
        </is>
      </c>
      <c r="F6" s="1" t="n"/>
    </row>
    <row r="7">
      <c r="A7" s="1" t="n"/>
      <c r="B7" s="35" t="inlineStr">
        <is>
          <t>Email</t>
        </is>
      </c>
      <c r="C7" s="18" t="inlineStr">
        <is>
          <t>hello@riveradesign.example</t>
        </is>
      </c>
      <c r="D7" s="1" t="n"/>
      <c r="E7" s="1" t="n"/>
      <c r="F7" s="1" t="n"/>
    </row>
    <row r="8">
      <c r="A8" s="1" t="n"/>
      <c r="B8" s="35" t="inlineStr">
        <is>
          <t>Phone</t>
        </is>
      </c>
      <c r="C8" s="18" t="inlineStr">
        <is>
          <t>+44 7700 900123</t>
        </is>
      </c>
      <c r="D8" s="1" t="n"/>
      <c r="E8" s="1" t="n"/>
      <c r="F8" s="1" t="n"/>
    </row>
    <row r="9">
      <c r="A9" s="1" t="n"/>
      <c r="B9" s="35" t="inlineStr">
        <is>
          <t>Tax number</t>
        </is>
      </c>
      <c r="C9" s="18" t="n"/>
      <c r="D9" s="1" t="n"/>
      <c r="E9" s="1" t="n"/>
      <c r="F9" s="1" t="n"/>
    </row>
    <row r="10">
      <c r="A10" s="1" t="n"/>
      <c r="B10" s="35" t="inlineStr">
        <is>
          <t>Currency</t>
        </is>
      </c>
      <c r="C10" s="18" t="inlineStr">
        <is>
          <t>GBP</t>
        </is>
      </c>
      <c r="D10" s="1" t="n"/>
      <c r="E10" s="1" t="n"/>
      <c r="F10" s="1" t="n"/>
    </row>
    <row r="11">
      <c r="A11" s="1" t="n"/>
      <c r="B11" s="35" t="inlineStr">
        <is>
          <t>Tax name</t>
        </is>
      </c>
      <c r="C11" s="18" t="inlineStr">
        <is>
          <t>VAT</t>
        </is>
      </c>
      <c r="D11" s="1" t="n"/>
      <c r="E11" s="1" t="n"/>
      <c r="F11" s="1" t="n"/>
    </row>
    <row r="12">
      <c r="A12" s="1" t="n"/>
      <c r="B12" s="35" t="inlineStr">
        <is>
          <t>Tax rate</t>
        </is>
      </c>
      <c r="C12" s="61" t="n">
        <v>0</v>
      </c>
      <c r="D12" s="1" t="n"/>
      <c r="E12" s="1" t="n"/>
      <c r="F12" s="1" t="n"/>
    </row>
    <row r="13">
      <c r="A13" s="1" t="n"/>
      <c r="B13" s="35" t="inlineStr">
        <is>
          <t>Days to pay</t>
        </is>
      </c>
      <c r="C13" s="62" t="n">
        <v>14</v>
      </c>
      <c r="D13" s="1" t="n"/>
      <c r="E13" s="1" t="n"/>
      <c r="F13" s="1" t="n"/>
    </row>
    <row r="14">
      <c r="A14" s="1" t="n"/>
      <c r="B14" s="35" t="inlineStr">
        <is>
          <t>Bank</t>
        </is>
      </c>
      <c r="C14" s="18" t="inlineStr">
        <is>
          <t>Account name: Rivera Design Studio</t>
        </is>
      </c>
      <c r="D14" s="1" t="n"/>
      <c r="E14" s="1" t="n"/>
      <c r="F14" s="1" t="n"/>
    </row>
    <row r="15">
      <c r="A15" s="1" t="n"/>
      <c r="B15" s="35" t="inlineStr">
        <is>
          <t>Bank details</t>
        </is>
      </c>
      <c r="C15" s="18" t="inlineStr">
        <is>
          <t>Sort code 00-00-00, account 12345678</t>
        </is>
      </c>
      <c r="D15" s="1" t="n"/>
      <c r="E15" s="1" t="n"/>
      <c r="F15" s="1" t="n"/>
    </row>
    <row r="16">
      <c r="A16" s="1" t="n"/>
      <c r="B16" s="35" t="inlineStr">
        <is>
          <t>Note on invoices</t>
        </is>
      </c>
      <c r="C16" s="18" t="inlineStr">
        <is>
          <t>Thank you for your business.</t>
        </is>
      </c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63" t="inlineStr">
        <is>
          <t>1</t>
        </is>
      </c>
      <c r="C5" s="64" t="inlineStr">
        <is>
          <t>Settings: your name, address and bank details as the invoice shows them, the currency and any tax.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63" t="inlineStr">
        <is>
          <t>2</t>
        </is>
      </c>
      <c r="C7" s="64" t="inlineStr">
        <is>
          <t>Clients: each client with the rate per hour. Projects only if one has its own rate or a budget of hours.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63" t="inlineStr">
        <is>
          <t>3</t>
        </is>
      </c>
      <c r="C9" s="64" t="inlineStr">
        <is>
          <t>Timesheet: one line per piece of work, with start and end times or the hours typed in.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63" t="inlineStr">
        <is>
          <t>4</t>
        </is>
      </c>
      <c r="C11" s="64" t="inlineStr">
        <is>
          <t>Invoices: a line with the number, the client and the dates of the work. That work goes on it by itself.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63" t="inlineStr">
        <is>
          <t>5</t>
        </is>
      </c>
      <c r="C13" s="64" t="inlineStr">
        <is>
          <t>Invoice: pick the number at the top right, then print it or save it as a PDF.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studio, its clients and their hours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Hours report lists every line of the same invoice, for a client who wants the detail.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2026-09-28T17:24:57Z</dcterms:created>
  <dcterms:modified xsi:type="dcterms:W3CDTF">2026-09-28T17:25:01Z</dcterms:modified>
</cp:coreProperties>
</file>