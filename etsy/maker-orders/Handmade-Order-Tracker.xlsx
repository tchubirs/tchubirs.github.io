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rders" sheetId="2" state="visible" r:id="rId2"/>
    <sheet name="Products" sheetId="3" state="visible" r:id="rId3"/>
    <sheet name="Product materials" sheetId="4" state="visible" r:id="rId4"/>
    <sheet name="Materials" sheetId="5" state="visible" r:id="rId5"/>
    <sheet name="Customers" sheetId="6" state="visible" r:id="rId6"/>
    <sheet name="Settings" sheetId="7" state="visible" r:id="rId7"/>
    <sheet name="Calendar" sheetId="8" state="visible" r:id="rId8"/>
    <sheet name="Start He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 MMM YYYY"/>
    <numFmt numFmtId="166" formatCode="#,##0.00;[Red]-#,##0.00"/>
    <numFmt numFmtId="167" formatCode="#,##0.##"/>
    <numFmt numFmtId="168" formatCode="#,##0.000"/>
    <numFmt numFmtId="169" formatCode="0.0%"/>
    <numFmt numFmtId="170" formatCode="ddd d mmm"/>
  </numFmts>
  <fonts count="17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6B7B80"/>
      <sz val="9"/>
    </font>
    <font>
      <name val="Arial"/>
      <b val="1"/>
      <color rgb="0015525A"/>
      <sz val="10"/>
    </font>
    <font>
      <name val="Arial"/>
      <b val="1"/>
      <color rgb="006B7B80"/>
      <sz val="10"/>
    </font>
    <font>
      <name val="Arial"/>
      <color rgb="001E2A2F"/>
      <sz val="10"/>
    </font>
    <font>
      <name val="Arial"/>
      <b val="1"/>
      <color rgb="001F6F78"/>
      <sz val="16"/>
    </font>
    <font>
      <name val="Arial"/>
      <b val="1"/>
      <color rgb="00B07A00"/>
      <sz val="16"/>
    </font>
    <font>
      <name val="Arial"/>
      <b val="1"/>
      <color rgb="00B4541F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D8F0DC"/>
        <bgColor rgb="00D8F0DC"/>
      </patternFill>
    </fill>
    <fill>
      <patternFill patternType="solid">
        <fgColor rgb="00FFE2B8"/>
        <bgColor rgb="00FFE2B8"/>
      </patternFill>
    </fill>
    <fill>
      <patternFill patternType="solid">
        <fgColor rgb="00F9C9C4"/>
        <bgColor rgb="00F9C9C4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9" fillId="2" borderId="1" pivotButton="0" quotePrefix="0" xfId="0"/>
    <xf numFmtId="0" fontId="0" fillId="0" borderId="1" pivotButton="0" quotePrefix="0" xfId="0"/>
    <xf numFmtId="1" fontId="11" fillId="2" borderId="1" applyAlignment="1" pivotButton="0" quotePrefix="0" xfId="0">
      <alignment horizontal="right"/>
    </xf>
    <xf numFmtId="1" fontId="12" fillId="2" borderId="1" applyAlignment="1" pivotButton="0" quotePrefix="0" xfId="0">
      <alignment horizontal="right"/>
    </xf>
    <xf numFmtId="1" fontId="13" fillId="2" borderId="1" applyAlignment="1" pivotButton="0" quotePrefix="0" xfId="0">
      <alignment horizontal="right"/>
    </xf>
    <xf numFmtId="4" fontId="13" fillId="2" borderId="1" applyAlignment="1" pivotButton="0" quotePrefix="0" xfId="0">
      <alignment horizontal="right"/>
    </xf>
    <xf numFmtId="4" fontId="11" fillId="2" borderId="1" applyAlignment="1" pivotButton="0" quotePrefix="0" xfId="0">
      <alignment horizontal="right"/>
    </xf>
    <xf numFmtId="166" fontId="11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70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4" fillId="2" borderId="1" pivotButton="0" quotePrefix="0" xfId="0"/>
    <xf numFmtId="1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4" fontId="4" fillId="2" borderId="1" pivotButton="0" quotePrefix="0" xfId="0"/>
    <xf numFmtId="166" fontId="4" fillId="2" borderId="1" pivotButton="0" quotePrefix="0" xfId="0"/>
    <xf numFmtId="0" fontId="14" fillId="2" borderId="0" pivotButton="0" quotePrefix="0" xfId="0"/>
    <xf numFmtId="0" fontId="5" fillId="2" borderId="0" pivotButton="0" quotePrefix="0" xfId="0"/>
    <xf numFmtId="1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6" fontId="5" fillId="2" borderId="1" pivotButton="0" quotePrefix="0" xfId="0"/>
    <xf numFmtId="3" fontId="5" fillId="2" borderId="1" applyAlignment="1" pivotButton="0" quotePrefix="0" xfId="0">
      <alignment horizontal="center" vertical="center"/>
    </xf>
    <xf numFmtId="4" fontId="5" fillId="2" borderId="1" pivotButton="0" quotePrefix="0" xfId="0"/>
    <xf numFmtId="165" fontId="4" fillId="4" borderId="1" pivotButton="0" quotePrefix="0" xfId="0"/>
    <xf numFmtId="0" fontId="5" fillId="4" borderId="1" pivotButton="0" quotePrefix="0" xfId="0"/>
    <xf numFmtId="0" fontId="4" fillId="4" borderId="1" pivotButton="0" quotePrefix="0" xfId="0"/>
    <xf numFmtId="1" fontId="4" fillId="4" borderId="1" applyAlignment="1" pivotButton="0" quotePrefix="0" xfId="0">
      <alignment horizontal="center" vertical="center"/>
    </xf>
    <xf numFmtId="4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/>
    </xf>
    <xf numFmtId="0" fontId="6" fillId="0" borderId="0" pivotButton="0" quotePrefix="0" xfId="0"/>
    <xf numFmtId="167" fontId="4" fillId="2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8" fontId="4" fillId="2" borderId="1" pivotButton="0" quotePrefix="0" xfId="0"/>
    <xf numFmtId="167" fontId="5" fillId="2" borderId="1" applyAlignment="1" pivotButton="0" quotePrefix="0" xfId="0">
      <alignment horizontal="center" vertical="center"/>
    </xf>
    <xf numFmtId="165" fontId="4" fillId="2" borderId="1" pivotButton="0" quotePrefix="0" xfId="0"/>
    <xf numFmtId="169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6" fillId="2" borderId="0" pivotButton="0" quotePrefix="0" xfId="0"/>
    <xf numFmtId="0" fontId="5" fillId="2" borderId="0" applyAlignment="1" pivotButton="0" quotePrefix="0" xfId="0">
      <alignment horizontal="right"/>
    </xf>
    <xf numFmtId="0" fontId="7" fillId="2" borderId="1" applyAlignment="1" pivotButton="0" quotePrefix="0" xfId="0">
      <alignment horizontal="right"/>
    </xf>
    <xf numFmtId="0" fontId="8" fillId="2" borderId="1" applyAlignment="1" pivotButton="0" quotePrefix="0" xfId="0">
      <alignment horizontal="center" vertical="center" wrapText="1"/>
    </xf>
    <xf numFmtId="0" fontId="9" fillId="2" borderId="0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5" fillId="2" borderId="0" pivotButton="0" quotePrefix="0" xfId="0"/>
    <xf numFmtId="0" fontId="16" fillId="2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color rgb="009AA7A9"/>
      </font>
      <fill>
        <patternFill patternType="solid">
          <fgColor rgb="00EEF1F1"/>
          <bgColor rgb="00EEF1F1"/>
        </patternFill>
      </fill>
    </dxf>
    <dxf>
      <fill>
        <patternFill patternType="solid">
          <fgColor rgb="00E6F2F2"/>
          <bgColor rgb="00E6F2F2"/>
        </patternFill>
      </fill>
    </dxf>
    <dxf>
      <font>
        <name val="Arial"/>
        <color rgb="00A9B5B7"/>
      </font>
    </dxf>
    <dxf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and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'Dashboard'!D23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'Dashboard'!$B$24:$B$35</f>
            </numRef>
          </cat>
          <val>
            <numRef>
              <f>'Dashboard'!$D$24:$D$35</f>
            </numRef>
          </val>
        </ser>
        <ser>
          <idx val="1"/>
          <order val="1"/>
          <tx>
            <strRef>
              <f>'Dashboard'!H23</f>
            </strRef>
          </tx>
          <spPr>
            <a:solidFill>
              <a:srgbClr val="E0A21B"/>
            </a:solidFill>
            <a:ln>
              <a:prstDash val="solid"/>
            </a:ln>
          </spPr>
          <cat>
            <numRef>
              <f>'Dashboard'!$B$24:$B$35</f>
            </numRef>
          </cat>
          <val>
            <numRef>
              <f>'Dashboard'!$H$24:$H$35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0" customWidth="1" min="3" max="3"/>
    <col width="22" customWidth="1" min="4" max="4"/>
    <col width="7" customWidth="1" min="5" max="5"/>
    <col width="12" customWidth="1" min="6" max="6"/>
    <col width="14" customWidth="1" min="7" max="7"/>
    <col width="12" customWidth="1" min="8" max="8"/>
    <col width="20" customWidth="1" min="9" max="9"/>
    <col width="10" customWidth="1" min="10" max="10"/>
    <col width="12" customWidth="1" min="11" max="11"/>
    <col width="12" customWidth="1" min="12" max="12"/>
    <col width="3" customWidth="1" min="13" max="13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Order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What is due, what you are owed, and what each month earned.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4" t="inlineStr">
        <is>
          <t>Open orders</t>
        </is>
      </c>
      <c r="C5" s="4" t="inlineStr">
        <is>
          <t>Due in 7 days</t>
        </is>
      </c>
      <c r="D5" s="4" t="inlineStr">
        <is>
          <t>Late</t>
        </is>
      </c>
      <c r="E5" s="1" t="n"/>
      <c r="F5" s="4" t="inlineStr">
        <is>
          <t>Owed to you</t>
        </is>
      </c>
      <c r="G5" s="5" t="n"/>
      <c r="H5" s="1" t="n"/>
      <c r="I5" s="4" t="inlineStr">
        <is>
          <t>Sales this month</t>
        </is>
      </c>
      <c r="J5" s="4" t="inlineStr">
        <is>
          <t>Profit this month</t>
        </is>
      </c>
      <c r="K5" s="5" t="n"/>
      <c r="L5" s="4" t="inlineStr">
        <is>
          <t>Orders this month</t>
        </is>
      </c>
      <c r="M5" s="1" t="n"/>
      <c r="N5" s="1" t="n"/>
    </row>
    <row r="6" ht="34" customHeight="1">
      <c r="A6" s="1" t="n"/>
      <c r="B6" s="6">
        <f>COUNT(Orders!$T$6:$T$1005)</f>
        <v/>
      </c>
      <c r="C6" s="7">
        <f>COUNTIFS(Orders!$T$6:$T$1005,"&gt;="&amp;TODAY(),Orders!$T$6:$T$1005,"&lt;"&amp;(TODAY()+8))</f>
        <v/>
      </c>
      <c r="D6" s="8">
        <f>COUNTIFS(Orders!$T$6:$T$1005,"&lt;"&amp;TODAY())</f>
        <v/>
      </c>
      <c r="E6" s="1" t="n"/>
      <c r="F6" s="9">
        <f>SUM(Orders!$J$6:$J$1005)</f>
        <v/>
      </c>
      <c r="G6" s="5" t="n"/>
      <c r="H6" s="1" t="n"/>
      <c r="I6" s="10">
        <f>SUMIFS(Orders!$H$6:$H$1005,Orders!$B$6:$B$1005,"&gt;="&amp;DATE(YEAR(TODAY()),MONTH(TODAY()),1),Orders!$B$6:$B$1005,"&lt;="&amp;EOMONTH(TODAY(),0),Orders!$L$6:$L$1005,"&lt;&gt;Cancelled")</f>
        <v/>
      </c>
      <c r="J6" s="11">
        <f>SUMIFS(Orders!$Q$6:$Q$1005,Orders!$B$6:$B$1005,"&gt;="&amp;DATE(YEAR(TODAY()),MONTH(TODAY()),1),Orders!$B$6:$B$1005,"&lt;="&amp;EOMONTH(TODAY(),0),Orders!$L$6:$L$1005,"&lt;&gt;Cancelled")</f>
        <v/>
      </c>
      <c r="K6" s="5" t="n"/>
      <c r="L6" s="6">
        <f>COUNTIFS(Orders!$B$6:$B$1005,"&gt;="&amp;DATE(YEAR(TODAY()),MONTH(TODAY()),1),Orders!$B$6:$B$1005,"&lt;="&amp;EOMONTH(TODAY(),0),Orders!$L$6:$L$1005,"&lt;&gt;Cancelled")</f>
        <v/>
      </c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30" customHeight="1">
      <c r="A8" s="1" t="n"/>
      <c r="B8" s="12" t="inlineStr">
        <is>
          <t>Due</t>
        </is>
      </c>
      <c r="C8" s="12" t="inlineStr">
        <is>
          <t>Customer</t>
        </is>
      </c>
      <c r="D8" s="12" t="inlineStr">
        <is>
          <t>Product</t>
        </is>
      </c>
      <c r="E8" s="12" t="inlineStr">
        <is>
          <t>Qty</t>
        </is>
      </c>
      <c r="F8" s="12" t="inlineStr">
        <is>
          <t>Status</t>
        </is>
      </c>
      <c r="G8" s="12" t="inlineStr">
        <is>
          <t>When</t>
        </is>
      </c>
      <c r="H8" s="1" t="n"/>
      <c r="I8" s="12" t="inlineStr">
        <is>
          <t>Needs attention</t>
        </is>
      </c>
      <c r="J8" s="13" t="n"/>
      <c r="K8" s="13" t="n"/>
      <c r="L8" s="14" t="n"/>
      <c r="M8" s="1" t="n"/>
      <c r="N8" s="1" t="n"/>
    </row>
    <row r="9">
      <c r="A9" s="1" t="n"/>
      <c r="B9" s="15">
        <f>IF(O9="","",INT(O9))</f>
        <v/>
      </c>
      <c r="C9" s="16">
        <f>IF(O9="","",INDEX(Orders!$C$6:$C$1005,MATCH(O9,Orders!$T$6:$T$1005,0)))</f>
        <v/>
      </c>
      <c r="D9" s="17">
        <f>IF(O9="","",INDEX(Orders!$D$6:$D$1005,MATCH(O9,Orders!$T$6:$T$1005,0)))</f>
        <v/>
      </c>
      <c r="E9" s="18">
        <f>IF(O9="","",INDEX(Orders!$E$6:$E$1005,MATCH(O9,Orders!$T$6:$T$1005,0)))</f>
        <v/>
      </c>
      <c r="F9" s="19">
        <f>IF(O9="","",INDEX(Orders!$L$6:$L$1005,MATCH(O9,Orders!$T$6:$T$1005,0)))</f>
        <v/>
      </c>
      <c r="G9" s="19">
        <f>IF(O9="","",INDEX(Orders!$R$6:$R$1005,MATCH(O9,Orders!$T$6:$T$1005,0)))</f>
        <v/>
      </c>
      <c r="H9" s="1" t="n"/>
      <c r="I9" s="20">
        <f>IF(COUNTIFS(Orders!$T$6:$T$1005,"&lt;"&amp;TODAY())=0,"No order is late",IF(COUNTIFS(Orders!$T$6:$T$1005,"&lt;"&amp;TODAY())=1,"1 order is",COUNTIFS(Orders!$T$6:$T$1005,"&lt;"&amp;TODAY())&amp;" orders are")&amp;" past its due date")</f>
        <v/>
      </c>
      <c r="J9" s="5" t="n"/>
      <c r="K9" s="5" t="n"/>
      <c r="L9" s="5" t="n"/>
      <c r="M9" s="1" t="n"/>
      <c r="N9" s="1" t="n"/>
      <c r="O9">
        <f>IFERROR(SMALL(Orders!$T$6:$T$1005,1),"")</f>
        <v/>
      </c>
    </row>
    <row r="10">
      <c r="A10" s="1" t="n"/>
      <c r="B10" s="15">
        <f>IF(O10="","",INT(O10))</f>
        <v/>
      </c>
      <c r="C10" s="16">
        <f>IF(O10="","",INDEX(Orders!$C$6:$C$1005,MATCH(O10,Orders!$T$6:$T$1005,0)))</f>
        <v/>
      </c>
      <c r="D10" s="17">
        <f>IF(O10="","",INDEX(Orders!$D$6:$D$1005,MATCH(O10,Orders!$T$6:$T$1005,0)))</f>
        <v/>
      </c>
      <c r="E10" s="18">
        <f>IF(O10="","",INDEX(Orders!$E$6:$E$1005,MATCH(O10,Orders!$T$6:$T$1005,0)))</f>
        <v/>
      </c>
      <c r="F10" s="19">
        <f>IF(O10="","",INDEX(Orders!$L$6:$L$1005,MATCH(O10,Orders!$T$6:$T$1005,0)))</f>
        <v/>
      </c>
      <c r="G10" s="19">
        <f>IF(O10="","",INDEX(Orders!$R$6:$R$1005,MATCH(O10,Orders!$T$6:$T$1005,0)))</f>
        <v/>
      </c>
      <c r="H10" s="1" t="n"/>
      <c r="I10" s="21">
        <f>IF(COUNTIFS(Orders!$J$6:$J$1005,"&gt;0")=0,"Every order is paid",IF(COUNTIFS(Orders!$J$6:$J$1005,"&gt;0")=1,"1 order has",COUNTIFS(Orders!$J$6:$J$1005,"&gt;0")&amp;" orders have")&amp;" a balance to collect: "&amp;FIXED(SUM(Orders!$J$6:$J$1005),2))</f>
        <v/>
      </c>
      <c r="J10" s="5" t="n"/>
      <c r="K10" s="5" t="n"/>
      <c r="L10" s="5" t="n"/>
      <c r="M10" s="1" t="n"/>
      <c r="N10" s="1" t="n"/>
      <c r="O10">
        <f>IFERROR(SMALL(Orders!$T$6:$T$1005,2),"")</f>
        <v/>
      </c>
    </row>
    <row r="11">
      <c r="A11" s="1" t="n"/>
      <c r="B11" s="15">
        <f>IF(O11="","",INT(O11))</f>
        <v/>
      </c>
      <c r="C11" s="16">
        <f>IF(O11="","",INDEX(Orders!$C$6:$C$1005,MATCH(O11,Orders!$T$6:$T$1005,0)))</f>
        <v/>
      </c>
      <c r="D11" s="17">
        <f>IF(O11="","",INDEX(Orders!$D$6:$D$1005,MATCH(O11,Orders!$T$6:$T$1005,0)))</f>
        <v/>
      </c>
      <c r="E11" s="18">
        <f>IF(O11="","",INDEX(Orders!$E$6:$E$1005,MATCH(O11,Orders!$T$6:$T$1005,0)))</f>
        <v/>
      </c>
      <c r="F11" s="19">
        <f>IF(O11="","",INDEX(Orders!$L$6:$L$1005,MATCH(O11,Orders!$T$6:$T$1005,0)))</f>
        <v/>
      </c>
      <c r="G11" s="19">
        <f>IF(O11="","",INDEX(Orders!$R$6:$R$1005,MATCH(O11,Orders!$T$6:$T$1005,0)))</f>
        <v/>
      </c>
      <c r="H11" s="1" t="n"/>
      <c r="I11" s="20">
        <f>IF(COUNTIFS(Materials!$I$6:$I$205,"&gt;0")=0,"You have the materials for every open order",IF(COUNTIFS(Materials!$I$6:$I$205,"&gt;0")=1,"1 material is",COUNTIFS(Materials!$I$6:$I$205,"&gt;0")&amp;" materials are")&amp;" short for the open orders")</f>
        <v/>
      </c>
      <c r="J11" s="5" t="n"/>
      <c r="K11" s="5" t="n"/>
      <c r="L11" s="5" t="n"/>
      <c r="M11" s="1" t="n"/>
      <c r="N11" s="1" t="n"/>
      <c r="O11">
        <f>IFERROR(SMALL(Orders!$T$6:$T$1005,3),"")</f>
        <v/>
      </c>
    </row>
    <row r="12">
      <c r="A12" s="1" t="n"/>
      <c r="B12" s="15">
        <f>IF(O12="","",INT(O12))</f>
        <v/>
      </c>
      <c r="C12" s="16">
        <f>IF(O12="","",INDEX(Orders!$C$6:$C$1005,MATCH(O12,Orders!$T$6:$T$1005,0)))</f>
        <v/>
      </c>
      <c r="D12" s="17">
        <f>IF(O12="","",INDEX(Orders!$D$6:$D$1005,MATCH(O12,Orders!$T$6:$T$1005,0)))</f>
        <v/>
      </c>
      <c r="E12" s="18">
        <f>IF(O12="","",INDEX(Orders!$E$6:$E$1005,MATCH(O12,Orders!$T$6:$T$1005,0)))</f>
        <v/>
      </c>
      <c r="F12" s="19">
        <f>IF(O12="","",INDEX(Orders!$L$6:$L$1005,MATCH(O12,Orders!$T$6:$T$1005,0)))</f>
        <v/>
      </c>
      <c r="G12" s="19">
        <f>IF(O12="","",INDEX(Orders!$R$6:$R$1005,MATCH(O12,Orders!$T$6:$T$1005,0)))</f>
        <v/>
      </c>
      <c r="H12" s="1" t="n"/>
      <c r="I12" s="21">
        <f>IF(COUNTIFS('Product materials'!$E$6:$E$505,"Add it to Materials")=0,"Every product has its cost",IF(COUNTIFS('Product materials'!$E$6:$E$505,"Add it to Materials")=1,"1 material line is",COUNTIFS('Product materials'!$E$6:$E$505,"Add it to Materials")&amp;" material lines are")&amp;" missing from Materials")</f>
        <v/>
      </c>
      <c r="J12" s="5" t="n"/>
      <c r="K12" s="5" t="n"/>
      <c r="L12" s="5" t="n"/>
      <c r="M12" s="1" t="n"/>
      <c r="N12" s="1" t="n"/>
      <c r="O12">
        <f>IFERROR(SMALL(Orders!$T$6:$T$1005,4),"")</f>
        <v/>
      </c>
    </row>
    <row r="13">
      <c r="A13" s="1" t="n"/>
      <c r="B13" s="15">
        <f>IF(O13="","",INT(O13))</f>
        <v/>
      </c>
      <c r="C13" s="16">
        <f>IF(O13="","",INDEX(Orders!$C$6:$C$1005,MATCH(O13,Orders!$T$6:$T$1005,0)))</f>
        <v/>
      </c>
      <c r="D13" s="17">
        <f>IF(O13="","",INDEX(Orders!$D$6:$D$1005,MATCH(O13,Orders!$T$6:$T$1005,0)))</f>
        <v/>
      </c>
      <c r="E13" s="18">
        <f>IF(O13="","",INDEX(Orders!$E$6:$E$1005,MATCH(O13,Orders!$T$6:$T$1005,0)))</f>
        <v/>
      </c>
      <c r="F13" s="19">
        <f>IF(O13="","",INDEX(Orders!$L$6:$L$1005,MATCH(O13,Orders!$T$6:$T$1005,0)))</f>
        <v/>
      </c>
      <c r="G13" s="19">
        <f>IF(O13="","",INDEX(Orders!$R$6:$R$1005,MATCH(O13,Orders!$T$6:$T$1005,0)))</f>
        <v/>
      </c>
      <c r="H13" s="1" t="n"/>
      <c r="I13" s="1" t="n"/>
      <c r="J13" s="1" t="n"/>
      <c r="K13" s="1" t="n"/>
      <c r="L13" s="1" t="n"/>
      <c r="M13" s="1" t="n"/>
      <c r="N13" s="1" t="n"/>
      <c r="O13">
        <f>IFERROR(SMALL(Orders!$T$6:$T$1005,5),"")</f>
        <v/>
      </c>
    </row>
    <row r="14">
      <c r="A14" s="1" t="n"/>
      <c r="B14" s="15">
        <f>IF(O14="","",INT(O14))</f>
        <v/>
      </c>
      <c r="C14" s="16">
        <f>IF(O14="","",INDEX(Orders!$C$6:$C$1005,MATCH(O14,Orders!$T$6:$T$1005,0)))</f>
        <v/>
      </c>
      <c r="D14" s="17">
        <f>IF(O14="","",INDEX(Orders!$D$6:$D$1005,MATCH(O14,Orders!$T$6:$T$1005,0)))</f>
        <v/>
      </c>
      <c r="E14" s="18">
        <f>IF(O14="","",INDEX(Orders!$E$6:$E$1005,MATCH(O14,Orders!$T$6:$T$1005,0)))</f>
        <v/>
      </c>
      <c r="F14" s="19">
        <f>IF(O14="","",INDEX(Orders!$L$6:$L$1005,MATCH(O14,Orders!$T$6:$T$1005,0)))</f>
        <v/>
      </c>
      <c r="G14" s="19">
        <f>IF(O14="","",INDEX(Orders!$R$6:$R$1005,MATCH(O14,Orders!$T$6:$T$1005,0)))</f>
        <v/>
      </c>
      <c r="H14" s="1" t="n"/>
      <c r="I14" s="12" t="inlineStr">
        <is>
          <t>Channel this year</t>
        </is>
      </c>
      <c r="J14" s="12" t="inlineStr">
        <is>
          <t>Orders</t>
        </is>
      </c>
      <c r="K14" s="12" t="inlineStr">
        <is>
          <t>Sales</t>
        </is>
      </c>
      <c r="L14" s="12" t="inlineStr">
        <is>
          <t>Profit</t>
        </is>
      </c>
      <c r="M14" s="1" t="n"/>
      <c r="N14" s="1" t="n"/>
      <c r="O14">
        <f>IFERROR(SMALL(Orders!$T$6:$T$1005,6),"")</f>
        <v/>
      </c>
    </row>
    <row r="15">
      <c r="A15" s="1" t="n"/>
      <c r="B15" s="15">
        <f>IF(O15="","",INT(O15))</f>
        <v/>
      </c>
      <c r="C15" s="16">
        <f>IF(O15="","",INDEX(Orders!$C$6:$C$1005,MATCH(O15,Orders!$T$6:$T$1005,0)))</f>
        <v/>
      </c>
      <c r="D15" s="17">
        <f>IF(O15="","",INDEX(Orders!$D$6:$D$1005,MATCH(O15,Orders!$T$6:$T$1005,0)))</f>
        <v/>
      </c>
      <c r="E15" s="18">
        <f>IF(O15="","",INDEX(Orders!$E$6:$E$1005,MATCH(O15,Orders!$T$6:$T$1005,0)))</f>
        <v/>
      </c>
      <c r="F15" s="19">
        <f>IF(O15="","",INDEX(Orders!$L$6:$L$1005,MATCH(O15,Orders!$T$6:$T$1005,0)))</f>
        <v/>
      </c>
      <c r="G15" s="19">
        <f>IF(O15="","",INDEX(Orders!$R$6:$R$1005,MATCH(O15,Orders!$T$6:$T$1005,0)))</f>
        <v/>
      </c>
      <c r="H15" s="1" t="n"/>
      <c r="I15" s="16">
        <f>IF(Settings!B6="","",Settings!B6)</f>
        <v/>
      </c>
      <c r="J15" s="18">
        <f>IF(I15="","",COUNTIFS(Orders!$M$6:$M$1005,I15,Orders!$L$6:$L$1005,"&lt;&gt;Cancelled",Orders!$B$6:$B$1005,"&gt;="&amp;DATE(YEAR(TODAY()),1,1)))</f>
        <v/>
      </c>
      <c r="K15" s="22">
        <f>IF(I15="","",SUMIFS(Orders!$H$6:$H$1005,Orders!$M$6:$M$1005,I15,Orders!$L$6:$L$1005,"&lt;&gt;Cancelled",Orders!$B$6:$B$1005,"&gt;="&amp;DATE(YEAR(TODAY()),1,1)))</f>
        <v/>
      </c>
      <c r="L15" s="23">
        <f>IF(I15="","",SUMIFS(Orders!$Q$6:$Q$1005,Orders!$M$6:$M$1005,I15,Orders!$L$6:$L$1005,"&lt;&gt;Cancelled",Orders!$B$6:$B$1005,"&gt;="&amp;DATE(YEAR(TODAY()),1,1)))</f>
        <v/>
      </c>
      <c r="M15" s="1" t="n"/>
      <c r="N15" s="1" t="n"/>
      <c r="O15">
        <f>IFERROR(SMALL(Orders!$T$6:$T$1005,7),"")</f>
        <v/>
      </c>
    </row>
    <row r="16">
      <c r="A16" s="1" t="n"/>
      <c r="B16" s="15">
        <f>IF(O16="","",INT(O16))</f>
        <v/>
      </c>
      <c r="C16" s="16">
        <f>IF(O16="","",INDEX(Orders!$C$6:$C$1005,MATCH(O16,Orders!$T$6:$T$1005,0)))</f>
        <v/>
      </c>
      <c r="D16" s="17">
        <f>IF(O16="","",INDEX(Orders!$D$6:$D$1005,MATCH(O16,Orders!$T$6:$T$1005,0)))</f>
        <v/>
      </c>
      <c r="E16" s="18">
        <f>IF(O16="","",INDEX(Orders!$E$6:$E$1005,MATCH(O16,Orders!$T$6:$T$1005,0)))</f>
        <v/>
      </c>
      <c r="F16" s="19">
        <f>IF(O16="","",INDEX(Orders!$L$6:$L$1005,MATCH(O16,Orders!$T$6:$T$1005,0)))</f>
        <v/>
      </c>
      <c r="G16" s="19">
        <f>IF(O16="","",INDEX(Orders!$R$6:$R$1005,MATCH(O16,Orders!$T$6:$T$1005,0)))</f>
        <v/>
      </c>
      <c r="H16" s="1" t="n"/>
      <c r="I16" s="16">
        <f>IF(Settings!B7="","",Settings!B7)</f>
        <v/>
      </c>
      <c r="J16" s="18">
        <f>IF(I16="","",COUNTIFS(Orders!$M$6:$M$1005,I16,Orders!$L$6:$L$1005,"&lt;&gt;Cancelled",Orders!$B$6:$B$1005,"&gt;="&amp;DATE(YEAR(TODAY()),1,1)))</f>
        <v/>
      </c>
      <c r="K16" s="22">
        <f>IF(I16="","",SUMIFS(Orders!$H$6:$H$1005,Orders!$M$6:$M$1005,I16,Orders!$L$6:$L$1005,"&lt;&gt;Cancelled",Orders!$B$6:$B$1005,"&gt;="&amp;DATE(YEAR(TODAY()),1,1)))</f>
        <v/>
      </c>
      <c r="L16" s="23">
        <f>IF(I16="","",SUMIFS(Orders!$Q$6:$Q$1005,Orders!$M$6:$M$1005,I16,Orders!$L$6:$L$1005,"&lt;&gt;Cancelled",Orders!$B$6:$B$1005,"&gt;="&amp;DATE(YEAR(TODAY()),1,1)))</f>
        <v/>
      </c>
      <c r="M16" s="1" t="n"/>
      <c r="N16" s="1" t="n"/>
      <c r="O16">
        <f>IFERROR(SMALL(Orders!$T$6:$T$1005,8),"")</f>
        <v/>
      </c>
    </row>
    <row r="17">
      <c r="A17" s="1" t="n"/>
      <c r="B17" s="15">
        <f>IF(O17="","",INT(O17))</f>
        <v/>
      </c>
      <c r="C17" s="16">
        <f>IF(O17="","",INDEX(Orders!$C$6:$C$1005,MATCH(O17,Orders!$T$6:$T$1005,0)))</f>
        <v/>
      </c>
      <c r="D17" s="17">
        <f>IF(O17="","",INDEX(Orders!$D$6:$D$1005,MATCH(O17,Orders!$T$6:$T$1005,0)))</f>
        <v/>
      </c>
      <c r="E17" s="18">
        <f>IF(O17="","",INDEX(Orders!$E$6:$E$1005,MATCH(O17,Orders!$T$6:$T$1005,0)))</f>
        <v/>
      </c>
      <c r="F17" s="19">
        <f>IF(O17="","",INDEX(Orders!$L$6:$L$1005,MATCH(O17,Orders!$T$6:$T$1005,0)))</f>
        <v/>
      </c>
      <c r="G17" s="19">
        <f>IF(O17="","",INDEX(Orders!$R$6:$R$1005,MATCH(O17,Orders!$T$6:$T$1005,0)))</f>
        <v/>
      </c>
      <c r="H17" s="1" t="n"/>
      <c r="I17" s="16">
        <f>IF(Settings!B8="","",Settings!B8)</f>
        <v/>
      </c>
      <c r="J17" s="18">
        <f>IF(I17="","",COUNTIFS(Orders!$M$6:$M$1005,I17,Orders!$L$6:$L$1005,"&lt;&gt;Cancelled",Orders!$B$6:$B$1005,"&gt;="&amp;DATE(YEAR(TODAY()),1,1)))</f>
        <v/>
      </c>
      <c r="K17" s="22">
        <f>IF(I17="","",SUMIFS(Orders!$H$6:$H$1005,Orders!$M$6:$M$1005,I17,Orders!$L$6:$L$1005,"&lt;&gt;Cancelled",Orders!$B$6:$B$1005,"&gt;="&amp;DATE(YEAR(TODAY()),1,1)))</f>
        <v/>
      </c>
      <c r="L17" s="23">
        <f>IF(I17="","",SUMIFS(Orders!$Q$6:$Q$1005,Orders!$M$6:$M$1005,I17,Orders!$L$6:$L$1005,"&lt;&gt;Cancelled",Orders!$B$6:$B$1005,"&gt;="&amp;DATE(YEAR(TODAY()),1,1)))</f>
        <v/>
      </c>
      <c r="M17" s="1" t="n"/>
      <c r="N17" s="1" t="n"/>
      <c r="O17">
        <f>IFERROR(SMALL(Orders!$T$6:$T$1005,9),"")</f>
        <v/>
      </c>
    </row>
    <row r="18">
      <c r="A18" s="1" t="n"/>
      <c r="B18" s="15">
        <f>IF(O18="","",INT(O18))</f>
        <v/>
      </c>
      <c r="C18" s="16">
        <f>IF(O18="","",INDEX(Orders!$C$6:$C$1005,MATCH(O18,Orders!$T$6:$T$1005,0)))</f>
        <v/>
      </c>
      <c r="D18" s="17">
        <f>IF(O18="","",INDEX(Orders!$D$6:$D$1005,MATCH(O18,Orders!$T$6:$T$1005,0)))</f>
        <v/>
      </c>
      <c r="E18" s="18">
        <f>IF(O18="","",INDEX(Orders!$E$6:$E$1005,MATCH(O18,Orders!$T$6:$T$1005,0)))</f>
        <v/>
      </c>
      <c r="F18" s="19">
        <f>IF(O18="","",INDEX(Orders!$L$6:$L$1005,MATCH(O18,Orders!$T$6:$T$1005,0)))</f>
        <v/>
      </c>
      <c r="G18" s="19">
        <f>IF(O18="","",INDEX(Orders!$R$6:$R$1005,MATCH(O18,Orders!$T$6:$T$1005,0)))</f>
        <v/>
      </c>
      <c r="H18" s="1" t="n"/>
      <c r="I18" s="16">
        <f>IF(Settings!B9="","",Settings!B9)</f>
        <v/>
      </c>
      <c r="J18" s="18">
        <f>IF(I18="","",COUNTIFS(Orders!$M$6:$M$1005,I18,Orders!$L$6:$L$1005,"&lt;&gt;Cancelled",Orders!$B$6:$B$1005,"&gt;="&amp;DATE(YEAR(TODAY()),1,1)))</f>
        <v/>
      </c>
      <c r="K18" s="22">
        <f>IF(I18="","",SUMIFS(Orders!$H$6:$H$1005,Orders!$M$6:$M$1005,I18,Orders!$L$6:$L$1005,"&lt;&gt;Cancelled",Orders!$B$6:$B$1005,"&gt;="&amp;DATE(YEAR(TODAY()),1,1)))</f>
        <v/>
      </c>
      <c r="L18" s="23">
        <f>IF(I18="","",SUMIFS(Orders!$Q$6:$Q$1005,Orders!$M$6:$M$1005,I18,Orders!$L$6:$L$1005,"&lt;&gt;Cancelled",Orders!$B$6:$B$1005,"&gt;="&amp;DATE(YEAR(TODAY()),1,1)))</f>
        <v/>
      </c>
      <c r="M18" s="1" t="n"/>
      <c r="N18" s="1" t="n"/>
      <c r="O18">
        <f>IFERROR(SMALL(Orders!$T$6:$T$1005,10),"")</f>
        <v/>
      </c>
    </row>
    <row r="19">
      <c r="A19" s="1" t="n"/>
      <c r="B19" s="24" t="inlineStr">
        <is>
          <t>Open orders, the soonest due first. Late orders come first.</t>
        </is>
      </c>
      <c r="C19" s="1" t="n"/>
      <c r="D19" s="1" t="n"/>
      <c r="E19" s="1" t="n"/>
      <c r="F19" s="1" t="n"/>
      <c r="G19" s="1" t="n"/>
      <c r="H19" s="1" t="n"/>
      <c r="I19" s="16">
        <f>IF(Settings!B10="","",Settings!B10)</f>
        <v/>
      </c>
      <c r="J19" s="18">
        <f>IF(I19="","",COUNTIFS(Orders!$M$6:$M$1005,I19,Orders!$L$6:$L$1005,"&lt;&gt;Cancelled",Orders!$B$6:$B$1005,"&gt;="&amp;DATE(YEAR(TODAY()),1,1)))</f>
        <v/>
      </c>
      <c r="K19" s="22">
        <f>IF(I19="","",SUMIFS(Orders!$H$6:$H$1005,Orders!$M$6:$M$1005,I19,Orders!$L$6:$L$1005,"&lt;&gt;Cancelled",Orders!$B$6:$B$1005,"&gt;="&amp;DATE(YEAR(TODAY()),1,1)))</f>
        <v/>
      </c>
      <c r="L19" s="23">
        <f>IF(I19="","",SUMIFS(Orders!$Q$6:$Q$1005,Orders!$M$6:$M$1005,I19,Orders!$L$6:$L$1005,"&lt;&gt;Cancelled",Orders!$B$6:$B$1005,"&gt;="&amp;DATE(YEAR(TODAY()),1,1)))</f>
        <v/>
      </c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25" t="inlineStr">
        <is>
          <t>Year</t>
        </is>
      </c>
      <c r="C21" s="26" t="n">
        <v>2026</v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 ht="30" customHeight="1">
      <c r="A23" s="1" t="n"/>
      <c r="B23" s="12" t="inlineStr">
        <is>
          <t>Month</t>
        </is>
      </c>
      <c r="C23" s="12" t="inlineStr">
        <is>
          <t>Orders</t>
        </is>
      </c>
      <c r="D23" s="12" t="inlineStr">
        <is>
          <t>Sales</t>
        </is>
      </c>
      <c r="E23" s="14" t="n"/>
      <c r="F23" s="12" t="inlineStr">
        <is>
          <t>Materials</t>
        </is>
      </c>
      <c r="G23" s="12" t="inlineStr">
        <is>
          <t>Fees and postage</t>
        </is>
      </c>
      <c r="H23" s="12" t="inlineStr">
        <is>
          <t>Profit</t>
        </is>
      </c>
      <c r="I23" s="1" t="n"/>
      <c r="J23" s="1" t="n"/>
      <c r="K23" s="1" t="n"/>
      <c r="L23" s="1" t="n"/>
      <c r="M23" s="1" t="n"/>
      <c r="N23" s="1" t="n"/>
    </row>
    <row r="24">
      <c r="A24" s="1" t="n"/>
      <c r="B24" s="27" t="inlineStr">
        <is>
          <t>Jan</t>
        </is>
      </c>
      <c r="C24" s="18">
        <f>COUNTIFS(Orders!$B$6:$B$1005,"&gt;="&amp;DATE($C$21,1,1),Orders!$B$6:$B$1005,"&lt;="&amp;EOMONTH(DATE($C$21,1,1),0),Orders!$L$6:$L$1005,"&lt;&gt;Cancelled")</f>
        <v/>
      </c>
      <c r="D24" s="22">
        <f>SUMIFS(Orders!$H$6:$H$1005,Orders!$B$6:$B$1005,"&gt;="&amp;DATE($C$21,1,1),Orders!$B$6:$B$1005,"&lt;="&amp;EOMONTH(DATE($C$21,1,1),0),Orders!$L$6:$L$1005,"&lt;&gt;Cancelled")</f>
        <v/>
      </c>
      <c r="E24" s="14" t="n"/>
      <c r="F24" s="22">
        <f>SUMIFS(Orders!$N$6:$N$1005,Orders!$B$6:$B$1005,"&gt;="&amp;DATE($C$21,1,1),Orders!$B$6:$B$1005,"&lt;="&amp;EOMONTH(DATE($C$21,1,1),0),Orders!$L$6:$L$1005,"&lt;&gt;Cancelled")</f>
        <v/>
      </c>
      <c r="G24" s="22">
        <f>SUMIFS(Orders!$O$6:$O$1005,Orders!$B$6:$B$1005,"&gt;="&amp;DATE($C$21,1,1),Orders!$B$6:$B$1005,"&lt;="&amp;EOMONTH(DATE($C$21,1,1),0),Orders!$L$6:$L$1005,"&lt;&gt;Cancelled")+SUMIFS(Orders!$P$6:$P$1005,Orders!$B$6:$B$1005,"&gt;="&amp;DATE($C$21,1,1),Orders!$B$6:$B$1005,"&lt;="&amp;EOMONTH(DATE($C$21,1,1),0),Orders!$L$6:$L$1005,"&lt;&gt;Cancelled")</f>
        <v/>
      </c>
      <c r="H24" s="28">
        <f>D24-F24-G24</f>
        <v/>
      </c>
      <c r="I24" s="1" t="n"/>
      <c r="J24" s="1" t="n"/>
      <c r="K24" s="1" t="n"/>
      <c r="L24" s="1" t="n"/>
      <c r="M24" s="1" t="n"/>
      <c r="N24" s="1" t="n"/>
    </row>
    <row r="25">
      <c r="A25" s="1" t="n"/>
      <c r="B25" s="27" t="inlineStr">
        <is>
          <t>Feb</t>
        </is>
      </c>
      <c r="C25" s="18">
        <f>COUNTIFS(Orders!$B$6:$B$1005,"&gt;="&amp;DATE($C$21,2,1),Orders!$B$6:$B$1005,"&lt;="&amp;EOMONTH(DATE($C$21,2,1),0),Orders!$L$6:$L$1005,"&lt;&gt;Cancelled")</f>
        <v/>
      </c>
      <c r="D25" s="22">
        <f>SUMIFS(Orders!$H$6:$H$1005,Orders!$B$6:$B$1005,"&gt;="&amp;DATE($C$21,2,1),Orders!$B$6:$B$1005,"&lt;="&amp;EOMONTH(DATE($C$21,2,1),0),Orders!$L$6:$L$1005,"&lt;&gt;Cancelled")</f>
        <v/>
      </c>
      <c r="E25" s="14" t="n"/>
      <c r="F25" s="22">
        <f>SUMIFS(Orders!$N$6:$N$1005,Orders!$B$6:$B$1005,"&gt;="&amp;DATE($C$21,2,1),Orders!$B$6:$B$1005,"&lt;="&amp;EOMONTH(DATE($C$21,2,1),0),Orders!$L$6:$L$1005,"&lt;&gt;Cancelled")</f>
        <v/>
      </c>
      <c r="G25" s="22">
        <f>SUMIFS(Orders!$O$6:$O$1005,Orders!$B$6:$B$1005,"&gt;="&amp;DATE($C$21,2,1),Orders!$B$6:$B$1005,"&lt;="&amp;EOMONTH(DATE($C$21,2,1),0),Orders!$L$6:$L$1005,"&lt;&gt;Cancelled")+SUMIFS(Orders!$P$6:$P$1005,Orders!$B$6:$B$1005,"&gt;="&amp;DATE($C$21,2,1),Orders!$B$6:$B$1005,"&lt;="&amp;EOMONTH(DATE($C$21,2,1),0),Orders!$L$6:$L$1005,"&lt;&gt;Cancelled")</f>
        <v/>
      </c>
      <c r="H25" s="28">
        <f>D25-F25-G25</f>
        <v/>
      </c>
      <c r="I25" s="1" t="n"/>
      <c r="J25" s="1" t="n"/>
      <c r="K25" s="1" t="n"/>
      <c r="L25" s="1" t="n"/>
      <c r="M25" s="1" t="n"/>
      <c r="N25" s="1" t="n"/>
    </row>
    <row r="26">
      <c r="A26" s="1" t="n"/>
      <c r="B26" s="27" t="inlineStr">
        <is>
          <t>Mar</t>
        </is>
      </c>
      <c r="C26" s="18">
        <f>COUNTIFS(Orders!$B$6:$B$1005,"&gt;="&amp;DATE($C$21,3,1),Orders!$B$6:$B$1005,"&lt;="&amp;EOMONTH(DATE($C$21,3,1),0),Orders!$L$6:$L$1005,"&lt;&gt;Cancelled")</f>
        <v/>
      </c>
      <c r="D26" s="22">
        <f>SUMIFS(Orders!$H$6:$H$1005,Orders!$B$6:$B$1005,"&gt;="&amp;DATE($C$21,3,1),Orders!$B$6:$B$1005,"&lt;="&amp;EOMONTH(DATE($C$21,3,1),0),Orders!$L$6:$L$1005,"&lt;&gt;Cancelled")</f>
        <v/>
      </c>
      <c r="E26" s="14" t="n"/>
      <c r="F26" s="22">
        <f>SUMIFS(Orders!$N$6:$N$1005,Orders!$B$6:$B$1005,"&gt;="&amp;DATE($C$21,3,1),Orders!$B$6:$B$1005,"&lt;="&amp;EOMONTH(DATE($C$21,3,1),0),Orders!$L$6:$L$1005,"&lt;&gt;Cancelled")</f>
        <v/>
      </c>
      <c r="G26" s="22">
        <f>SUMIFS(Orders!$O$6:$O$1005,Orders!$B$6:$B$1005,"&gt;="&amp;DATE($C$21,3,1),Orders!$B$6:$B$1005,"&lt;="&amp;EOMONTH(DATE($C$21,3,1),0),Orders!$L$6:$L$1005,"&lt;&gt;Cancelled")+SUMIFS(Orders!$P$6:$P$1005,Orders!$B$6:$B$1005,"&gt;="&amp;DATE($C$21,3,1),Orders!$B$6:$B$1005,"&lt;="&amp;EOMONTH(DATE($C$21,3,1),0),Orders!$L$6:$L$1005,"&lt;&gt;Cancelled")</f>
        <v/>
      </c>
      <c r="H26" s="28">
        <f>D26-F26-G26</f>
        <v/>
      </c>
      <c r="I26" s="1" t="n"/>
      <c r="J26" s="1" t="n"/>
      <c r="K26" s="1" t="n"/>
      <c r="L26" s="1" t="n"/>
      <c r="M26" s="1" t="n"/>
      <c r="N26" s="1" t="n"/>
    </row>
    <row r="27">
      <c r="A27" s="1" t="n"/>
      <c r="B27" s="27" t="inlineStr">
        <is>
          <t>Apr</t>
        </is>
      </c>
      <c r="C27" s="18">
        <f>COUNTIFS(Orders!$B$6:$B$1005,"&gt;="&amp;DATE($C$21,4,1),Orders!$B$6:$B$1005,"&lt;="&amp;EOMONTH(DATE($C$21,4,1),0),Orders!$L$6:$L$1005,"&lt;&gt;Cancelled")</f>
        <v/>
      </c>
      <c r="D27" s="22">
        <f>SUMIFS(Orders!$H$6:$H$1005,Orders!$B$6:$B$1005,"&gt;="&amp;DATE($C$21,4,1),Orders!$B$6:$B$1005,"&lt;="&amp;EOMONTH(DATE($C$21,4,1),0),Orders!$L$6:$L$1005,"&lt;&gt;Cancelled")</f>
        <v/>
      </c>
      <c r="E27" s="14" t="n"/>
      <c r="F27" s="22">
        <f>SUMIFS(Orders!$N$6:$N$1005,Orders!$B$6:$B$1005,"&gt;="&amp;DATE($C$21,4,1),Orders!$B$6:$B$1005,"&lt;="&amp;EOMONTH(DATE($C$21,4,1),0),Orders!$L$6:$L$1005,"&lt;&gt;Cancelled")</f>
        <v/>
      </c>
      <c r="G27" s="22">
        <f>SUMIFS(Orders!$O$6:$O$1005,Orders!$B$6:$B$1005,"&gt;="&amp;DATE($C$21,4,1),Orders!$B$6:$B$1005,"&lt;="&amp;EOMONTH(DATE($C$21,4,1),0),Orders!$L$6:$L$1005,"&lt;&gt;Cancelled")+SUMIFS(Orders!$P$6:$P$1005,Orders!$B$6:$B$1005,"&gt;="&amp;DATE($C$21,4,1),Orders!$B$6:$B$1005,"&lt;="&amp;EOMONTH(DATE($C$21,4,1),0),Orders!$L$6:$L$1005,"&lt;&gt;Cancelled")</f>
        <v/>
      </c>
      <c r="H27" s="28">
        <f>D27-F27-G27</f>
        <v/>
      </c>
      <c r="I27" s="1" t="n"/>
      <c r="J27" s="1" t="n"/>
      <c r="K27" s="1" t="n"/>
      <c r="L27" s="1" t="n"/>
      <c r="M27" s="1" t="n"/>
      <c r="N27" s="1" t="n"/>
    </row>
    <row r="28">
      <c r="A28" s="1" t="n"/>
      <c r="B28" s="27" t="inlineStr">
        <is>
          <t>May</t>
        </is>
      </c>
      <c r="C28" s="18">
        <f>COUNTIFS(Orders!$B$6:$B$1005,"&gt;="&amp;DATE($C$21,5,1),Orders!$B$6:$B$1005,"&lt;="&amp;EOMONTH(DATE($C$21,5,1),0),Orders!$L$6:$L$1005,"&lt;&gt;Cancelled")</f>
        <v/>
      </c>
      <c r="D28" s="22">
        <f>SUMIFS(Orders!$H$6:$H$1005,Orders!$B$6:$B$1005,"&gt;="&amp;DATE($C$21,5,1),Orders!$B$6:$B$1005,"&lt;="&amp;EOMONTH(DATE($C$21,5,1),0),Orders!$L$6:$L$1005,"&lt;&gt;Cancelled")</f>
        <v/>
      </c>
      <c r="E28" s="14" t="n"/>
      <c r="F28" s="22">
        <f>SUMIFS(Orders!$N$6:$N$1005,Orders!$B$6:$B$1005,"&gt;="&amp;DATE($C$21,5,1),Orders!$B$6:$B$1005,"&lt;="&amp;EOMONTH(DATE($C$21,5,1),0),Orders!$L$6:$L$1005,"&lt;&gt;Cancelled")</f>
        <v/>
      </c>
      <c r="G28" s="22">
        <f>SUMIFS(Orders!$O$6:$O$1005,Orders!$B$6:$B$1005,"&gt;="&amp;DATE($C$21,5,1),Orders!$B$6:$B$1005,"&lt;="&amp;EOMONTH(DATE($C$21,5,1),0),Orders!$L$6:$L$1005,"&lt;&gt;Cancelled")+SUMIFS(Orders!$P$6:$P$1005,Orders!$B$6:$B$1005,"&gt;="&amp;DATE($C$21,5,1),Orders!$B$6:$B$1005,"&lt;="&amp;EOMONTH(DATE($C$21,5,1),0),Orders!$L$6:$L$1005,"&lt;&gt;Cancelled")</f>
        <v/>
      </c>
      <c r="H28" s="28">
        <f>D28-F28-G28</f>
        <v/>
      </c>
      <c r="I28" s="1" t="n"/>
      <c r="J28" s="1" t="n"/>
      <c r="K28" s="1" t="n"/>
      <c r="L28" s="1" t="n"/>
      <c r="M28" s="1" t="n"/>
      <c r="N28" s="1" t="n"/>
    </row>
    <row r="29">
      <c r="A29" s="1" t="n"/>
      <c r="B29" s="27" t="inlineStr">
        <is>
          <t>Jun</t>
        </is>
      </c>
      <c r="C29" s="18">
        <f>COUNTIFS(Orders!$B$6:$B$1005,"&gt;="&amp;DATE($C$21,6,1),Orders!$B$6:$B$1005,"&lt;="&amp;EOMONTH(DATE($C$21,6,1),0),Orders!$L$6:$L$1005,"&lt;&gt;Cancelled")</f>
        <v/>
      </c>
      <c r="D29" s="22">
        <f>SUMIFS(Orders!$H$6:$H$1005,Orders!$B$6:$B$1005,"&gt;="&amp;DATE($C$21,6,1),Orders!$B$6:$B$1005,"&lt;="&amp;EOMONTH(DATE($C$21,6,1),0),Orders!$L$6:$L$1005,"&lt;&gt;Cancelled")</f>
        <v/>
      </c>
      <c r="E29" s="14" t="n"/>
      <c r="F29" s="22">
        <f>SUMIFS(Orders!$N$6:$N$1005,Orders!$B$6:$B$1005,"&gt;="&amp;DATE($C$21,6,1),Orders!$B$6:$B$1005,"&lt;="&amp;EOMONTH(DATE($C$21,6,1),0),Orders!$L$6:$L$1005,"&lt;&gt;Cancelled")</f>
        <v/>
      </c>
      <c r="G29" s="22">
        <f>SUMIFS(Orders!$O$6:$O$1005,Orders!$B$6:$B$1005,"&gt;="&amp;DATE($C$21,6,1),Orders!$B$6:$B$1005,"&lt;="&amp;EOMONTH(DATE($C$21,6,1),0),Orders!$L$6:$L$1005,"&lt;&gt;Cancelled")+SUMIFS(Orders!$P$6:$P$1005,Orders!$B$6:$B$1005,"&gt;="&amp;DATE($C$21,6,1),Orders!$B$6:$B$1005,"&lt;="&amp;EOMONTH(DATE($C$21,6,1),0),Orders!$L$6:$L$1005,"&lt;&gt;Cancelled")</f>
        <v/>
      </c>
      <c r="H29" s="28">
        <f>D29-F29-G29</f>
        <v/>
      </c>
      <c r="I29" s="1" t="n"/>
      <c r="J29" s="1" t="n"/>
      <c r="K29" s="1" t="n"/>
      <c r="L29" s="1" t="n"/>
      <c r="M29" s="1" t="n"/>
      <c r="N29" s="1" t="n"/>
    </row>
    <row r="30">
      <c r="A30" s="1" t="n"/>
      <c r="B30" s="27" t="inlineStr">
        <is>
          <t>Jul</t>
        </is>
      </c>
      <c r="C30" s="18">
        <f>COUNTIFS(Orders!$B$6:$B$1005,"&gt;="&amp;DATE($C$21,7,1),Orders!$B$6:$B$1005,"&lt;="&amp;EOMONTH(DATE($C$21,7,1),0),Orders!$L$6:$L$1005,"&lt;&gt;Cancelled")</f>
        <v/>
      </c>
      <c r="D30" s="22">
        <f>SUMIFS(Orders!$H$6:$H$1005,Orders!$B$6:$B$1005,"&gt;="&amp;DATE($C$21,7,1),Orders!$B$6:$B$1005,"&lt;="&amp;EOMONTH(DATE($C$21,7,1),0),Orders!$L$6:$L$1005,"&lt;&gt;Cancelled")</f>
        <v/>
      </c>
      <c r="E30" s="14" t="n"/>
      <c r="F30" s="22">
        <f>SUMIFS(Orders!$N$6:$N$1005,Orders!$B$6:$B$1005,"&gt;="&amp;DATE($C$21,7,1),Orders!$B$6:$B$1005,"&lt;="&amp;EOMONTH(DATE($C$21,7,1),0),Orders!$L$6:$L$1005,"&lt;&gt;Cancelled")</f>
        <v/>
      </c>
      <c r="G30" s="22">
        <f>SUMIFS(Orders!$O$6:$O$1005,Orders!$B$6:$B$1005,"&gt;="&amp;DATE($C$21,7,1),Orders!$B$6:$B$1005,"&lt;="&amp;EOMONTH(DATE($C$21,7,1),0),Orders!$L$6:$L$1005,"&lt;&gt;Cancelled")+SUMIFS(Orders!$P$6:$P$1005,Orders!$B$6:$B$1005,"&gt;="&amp;DATE($C$21,7,1),Orders!$B$6:$B$1005,"&lt;="&amp;EOMONTH(DATE($C$21,7,1),0),Orders!$L$6:$L$1005,"&lt;&gt;Cancelled")</f>
        <v/>
      </c>
      <c r="H30" s="28">
        <f>D30-F30-G30</f>
        <v/>
      </c>
      <c r="I30" s="1" t="n"/>
      <c r="J30" s="1" t="n"/>
      <c r="K30" s="1" t="n"/>
      <c r="L30" s="1" t="n"/>
      <c r="M30" s="1" t="n"/>
      <c r="N30" s="1" t="n"/>
    </row>
    <row r="31">
      <c r="A31" s="1" t="n"/>
      <c r="B31" s="27" t="inlineStr">
        <is>
          <t>Aug</t>
        </is>
      </c>
      <c r="C31" s="18">
        <f>COUNTIFS(Orders!$B$6:$B$1005,"&gt;="&amp;DATE($C$21,8,1),Orders!$B$6:$B$1005,"&lt;="&amp;EOMONTH(DATE($C$21,8,1),0),Orders!$L$6:$L$1005,"&lt;&gt;Cancelled")</f>
        <v/>
      </c>
      <c r="D31" s="22">
        <f>SUMIFS(Orders!$H$6:$H$1005,Orders!$B$6:$B$1005,"&gt;="&amp;DATE($C$21,8,1),Orders!$B$6:$B$1005,"&lt;="&amp;EOMONTH(DATE($C$21,8,1),0),Orders!$L$6:$L$1005,"&lt;&gt;Cancelled")</f>
        <v/>
      </c>
      <c r="E31" s="14" t="n"/>
      <c r="F31" s="22">
        <f>SUMIFS(Orders!$N$6:$N$1005,Orders!$B$6:$B$1005,"&gt;="&amp;DATE($C$21,8,1),Orders!$B$6:$B$1005,"&lt;="&amp;EOMONTH(DATE($C$21,8,1),0),Orders!$L$6:$L$1005,"&lt;&gt;Cancelled")</f>
        <v/>
      </c>
      <c r="G31" s="22">
        <f>SUMIFS(Orders!$O$6:$O$1005,Orders!$B$6:$B$1005,"&gt;="&amp;DATE($C$21,8,1),Orders!$B$6:$B$1005,"&lt;="&amp;EOMONTH(DATE($C$21,8,1),0),Orders!$L$6:$L$1005,"&lt;&gt;Cancelled")+SUMIFS(Orders!$P$6:$P$1005,Orders!$B$6:$B$1005,"&gt;="&amp;DATE($C$21,8,1),Orders!$B$6:$B$1005,"&lt;="&amp;EOMONTH(DATE($C$21,8,1),0),Orders!$L$6:$L$1005,"&lt;&gt;Cancelled")</f>
        <v/>
      </c>
      <c r="H31" s="28">
        <f>D31-F31-G31</f>
        <v/>
      </c>
      <c r="I31" s="1" t="n"/>
      <c r="J31" s="1" t="n"/>
      <c r="K31" s="1" t="n"/>
      <c r="L31" s="1" t="n"/>
      <c r="M31" s="1" t="n"/>
      <c r="N31" s="1" t="n"/>
    </row>
    <row r="32">
      <c r="A32" s="1" t="n"/>
      <c r="B32" s="27" t="inlineStr">
        <is>
          <t>Sep</t>
        </is>
      </c>
      <c r="C32" s="18">
        <f>COUNTIFS(Orders!$B$6:$B$1005,"&gt;="&amp;DATE($C$21,9,1),Orders!$B$6:$B$1005,"&lt;="&amp;EOMONTH(DATE($C$21,9,1),0),Orders!$L$6:$L$1005,"&lt;&gt;Cancelled")</f>
        <v/>
      </c>
      <c r="D32" s="22">
        <f>SUMIFS(Orders!$H$6:$H$1005,Orders!$B$6:$B$1005,"&gt;="&amp;DATE($C$21,9,1),Orders!$B$6:$B$1005,"&lt;="&amp;EOMONTH(DATE($C$21,9,1),0),Orders!$L$6:$L$1005,"&lt;&gt;Cancelled")</f>
        <v/>
      </c>
      <c r="E32" s="14" t="n"/>
      <c r="F32" s="22">
        <f>SUMIFS(Orders!$N$6:$N$1005,Orders!$B$6:$B$1005,"&gt;="&amp;DATE($C$21,9,1),Orders!$B$6:$B$1005,"&lt;="&amp;EOMONTH(DATE($C$21,9,1),0),Orders!$L$6:$L$1005,"&lt;&gt;Cancelled")</f>
        <v/>
      </c>
      <c r="G32" s="22">
        <f>SUMIFS(Orders!$O$6:$O$1005,Orders!$B$6:$B$1005,"&gt;="&amp;DATE($C$21,9,1),Orders!$B$6:$B$1005,"&lt;="&amp;EOMONTH(DATE($C$21,9,1),0),Orders!$L$6:$L$1005,"&lt;&gt;Cancelled")+SUMIFS(Orders!$P$6:$P$1005,Orders!$B$6:$B$1005,"&gt;="&amp;DATE($C$21,9,1),Orders!$B$6:$B$1005,"&lt;="&amp;EOMONTH(DATE($C$21,9,1),0),Orders!$L$6:$L$1005,"&lt;&gt;Cancelled")</f>
        <v/>
      </c>
      <c r="H32" s="28">
        <f>D32-F32-G32</f>
        <v/>
      </c>
      <c r="I32" s="1" t="n"/>
      <c r="J32" s="1" t="n"/>
      <c r="K32" s="1" t="n"/>
      <c r="L32" s="1" t="n"/>
      <c r="M32" s="1" t="n"/>
      <c r="N32" s="1" t="n"/>
    </row>
    <row r="33">
      <c r="A33" s="1" t="n"/>
      <c r="B33" s="27" t="inlineStr">
        <is>
          <t>Oct</t>
        </is>
      </c>
      <c r="C33" s="18">
        <f>COUNTIFS(Orders!$B$6:$B$1005,"&gt;="&amp;DATE($C$21,10,1),Orders!$B$6:$B$1005,"&lt;="&amp;EOMONTH(DATE($C$21,10,1),0),Orders!$L$6:$L$1005,"&lt;&gt;Cancelled")</f>
        <v/>
      </c>
      <c r="D33" s="22">
        <f>SUMIFS(Orders!$H$6:$H$1005,Orders!$B$6:$B$1005,"&gt;="&amp;DATE($C$21,10,1),Orders!$B$6:$B$1005,"&lt;="&amp;EOMONTH(DATE($C$21,10,1),0),Orders!$L$6:$L$1005,"&lt;&gt;Cancelled")</f>
        <v/>
      </c>
      <c r="E33" s="14" t="n"/>
      <c r="F33" s="22">
        <f>SUMIFS(Orders!$N$6:$N$1005,Orders!$B$6:$B$1005,"&gt;="&amp;DATE($C$21,10,1),Orders!$B$6:$B$1005,"&lt;="&amp;EOMONTH(DATE($C$21,10,1),0),Orders!$L$6:$L$1005,"&lt;&gt;Cancelled")</f>
        <v/>
      </c>
      <c r="G33" s="22">
        <f>SUMIFS(Orders!$O$6:$O$1005,Orders!$B$6:$B$1005,"&gt;="&amp;DATE($C$21,10,1),Orders!$B$6:$B$1005,"&lt;="&amp;EOMONTH(DATE($C$21,10,1),0),Orders!$L$6:$L$1005,"&lt;&gt;Cancelled")+SUMIFS(Orders!$P$6:$P$1005,Orders!$B$6:$B$1005,"&gt;="&amp;DATE($C$21,10,1),Orders!$B$6:$B$1005,"&lt;="&amp;EOMONTH(DATE($C$21,10,1),0),Orders!$L$6:$L$1005,"&lt;&gt;Cancelled")</f>
        <v/>
      </c>
      <c r="H33" s="28">
        <f>D33-F33-G33</f>
        <v/>
      </c>
      <c r="I33" s="1" t="n"/>
      <c r="J33" s="1" t="n"/>
      <c r="K33" s="1" t="n"/>
      <c r="L33" s="1" t="n"/>
      <c r="M33" s="1" t="n"/>
      <c r="N33" s="1" t="n"/>
    </row>
    <row r="34">
      <c r="A34" s="1" t="n"/>
      <c r="B34" s="27" t="inlineStr">
        <is>
          <t>Nov</t>
        </is>
      </c>
      <c r="C34" s="18">
        <f>COUNTIFS(Orders!$B$6:$B$1005,"&gt;="&amp;DATE($C$21,11,1),Orders!$B$6:$B$1005,"&lt;="&amp;EOMONTH(DATE($C$21,11,1),0),Orders!$L$6:$L$1005,"&lt;&gt;Cancelled")</f>
        <v/>
      </c>
      <c r="D34" s="22">
        <f>SUMIFS(Orders!$H$6:$H$1005,Orders!$B$6:$B$1005,"&gt;="&amp;DATE($C$21,11,1),Orders!$B$6:$B$1005,"&lt;="&amp;EOMONTH(DATE($C$21,11,1),0),Orders!$L$6:$L$1005,"&lt;&gt;Cancelled")</f>
        <v/>
      </c>
      <c r="E34" s="14" t="n"/>
      <c r="F34" s="22">
        <f>SUMIFS(Orders!$N$6:$N$1005,Orders!$B$6:$B$1005,"&gt;="&amp;DATE($C$21,11,1),Orders!$B$6:$B$1005,"&lt;="&amp;EOMONTH(DATE($C$21,11,1),0),Orders!$L$6:$L$1005,"&lt;&gt;Cancelled")</f>
        <v/>
      </c>
      <c r="G34" s="22">
        <f>SUMIFS(Orders!$O$6:$O$1005,Orders!$B$6:$B$1005,"&gt;="&amp;DATE($C$21,11,1),Orders!$B$6:$B$1005,"&lt;="&amp;EOMONTH(DATE($C$21,11,1),0),Orders!$L$6:$L$1005,"&lt;&gt;Cancelled")+SUMIFS(Orders!$P$6:$P$1005,Orders!$B$6:$B$1005,"&gt;="&amp;DATE($C$21,11,1),Orders!$B$6:$B$1005,"&lt;="&amp;EOMONTH(DATE($C$21,11,1),0),Orders!$L$6:$L$1005,"&lt;&gt;Cancelled")</f>
        <v/>
      </c>
      <c r="H34" s="28">
        <f>D34-F34-G34</f>
        <v/>
      </c>
      <c r="I34" s="1" t="n"/>
      <c r="J34" s="1" t="n"/>
      <c r="K34" s="1" t="n"/>
      <c r="L34" s="1" t="n"/>
      <c r="M34" s="1" t="n"/>
      <c r="N34" s="1" t="n"/>
    </row>
    <row r="35">
      <c r="A35" s="1" t="n"/>
      <c r="B35" s="27" t="inlineStr">
        <is>
          <t>Dec</t>
        </is>
      </c>
      <c r="C35" s="18">
        <f>COUNTIFS(Orders!$B$6:$B$1005,"&gt;="&amp;DATE($C$21,12,1),Orders!$B$6:$B$1005,"&lt;="&amp;EOMONTH(DATE($C$21,12,1),0),Orders!$L$6:$L$1005,"&lt;&gt;Cancelled")</f>
        <v/>
      </c>
      <c r="D35" s="22">
        <f>SUMIFS(Orders!$H$6:$H$1005,Orders!$B$6:$B$1005,"&gt;="&amp;DATE($C$21,12,1),Orders!$B$6:$B$1005,"&lt;="&amp;EOMONTH(DATE($C$21,12,1),0),Orders!$L$6:$L$1005,"&lt;&gt;Cancelled")</f>
        <v/>
      </c>
      <c r="E35" s="14" t="n"/>
      <c r="F35" s="22">
        <f>SUMIFS(Orders!$N$6:$N$1005,Orders!$B$6:$B$1005,"&gt;="&amp;DATE($C$21,12,1),Orders!$B$6:$B$1005,"&lt;="&amp;EOMONTH(DATE($C$21,12,1),0),Orders!$L$6:$L$1005,"&lt;&gt;Cancelled")</f>
        <v/>
      </c>
      <c r="G35" s="22">
        <f>SUMIFS(Orders!$O$6:$O$1005,Orders!$B$6:$B$1005,"&gt;="&amp;DATE($C$21,12,1),Orders!$B$6:$B$1005,"&lt;="&amp;EOMONTH(DATE($C$21,12,1),0),Orders!$L$6:$L$1005,"&lt;&gt;Cancelled")+SUMIFS(Orders!$P$6:$P$1005,Orders!$B$6:$B$1005,"&gt;="&amp;DATE($C$21,12,1),Orders!$B$6:$B$1005,"&lt;="&amp;EOMONTH(DATE($C$21,12,1),0),Orders!$L$6:$L$1005,"&lt;&gt;Cancelled")</f>
        <v/>
      </c>
      <c r="H35" s="28">
        <f>D35-F35-G35</f>
        <v/>
      </c>
      <c r="I35" s="1" t="n"/>
      <c r="J35" s="1" t="n"/>
      <c r="K35" s="1" t="n"/>
      <c r="L35" s="1" t="n"/>
      <c r="M35" s="1" t="n"/>
      <c r="N35" s="1" t="n"/>
    </row>
    <row r="36">
      <c r="A36" s="1" t="n"/>
      <c r="B36" s="27" t="inlineStr">
        <is>
          <t>Year</t>
        </is>
      </c>
      <c r="C36" s="29">
        <f>SUM(C24:C35)</f>
        <v/>
      </c>
      <c r="D36" s="30">
        <f>SUM(D24:D35)</f>
        <v/>
      </c>
      <c r="E36" s="14" t="n"/>
      <c r="F36" s="30">
        <f>SUM(F24:F35)</f>
        <v/>
      </c>
      <c r="G36" s="30">
        <f>SUM(G24:G35)</f>
        <v/>
      </c>
      <c r="H36" s="28">
        <f>SUM(H24:H35)</f>
        <v/>
      </c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23">
    <mergeCell ref="J5:K5"/>
    <mergeCell ref="I8:L8"/>
    <mergeCell ref="D34:E34"/>
    <mergeCell ref="F6:G6"/>
    <mergeCell ref="I10:L10"/>
    <mergeCell ref="D36:E36"/>
    <mergeCell ref="D31:E31"/>
    <mergeCell ref="I9:L9"/>
    <mergeCell ref="J6:K6"/>
    <mergeCell ref="F5:G5"/>
    <mergeCell ref="D27:E27"/>
    <mergeCell ref="D32:E32"/>
    <mergeCell ref="I11:L11"/>
    <mergeCell ref="D28:E28"/>
    <mergeCell ref="D25:E25"/>
    <mergeCell ref="D24:E24"/>
    <mergeCell ref="D30:E30"/>
    <mergeCell ref="D33:E33"/>
    <mergeCell ref="D29:E29"/>
    <mergeCell ref="I12:L12"/>
    <mergeCell ref="D23:E23"/>
    <mergeCell ref="D26:E26"/>
    <mergeCell ref="D35:E35"/>
  </mergeCells>
  <conditionalFormatting sqref="G9:G18">
    <cfRule type="expression" priority="1" dxfId="0">
      <formula>LEFT($G9,4)="Late"</formula>
    </cfRule>
    <cfRule type="expression" priority="2" dxfId="1">
      <formula>OR($G9="Due today",LEFT($G9,6)="Due in")</formula>
    </cfRule>
    <cfRule type="expression" priority="3" dxfId="2">
      <formula>$G9="Done"</formula>
    </cfRule>
    <cfRule type="expression" priority="4" dxfId="3">
      <formula>$G9="Cancelled"</formula>
    </cfRule>
  </conditionalFormatting>
  <conditionalFormatting sqref="I9">
    <cfRule type="expression" priority="5" dxfId="2">
      <formula>LEFT(I9,8)="No order"</formula>
    </cfRule>
  </conditionalFormatting>
  <conditionalFormatting sqref="I10">
    <cfRule type="expression" priority="6" dxfId="2">
      <formula>LEFT(I10,5)="Every"</formula>
    </cfRule>
  </conditionalFormatting>
  <conditionalFormatting sqref="I11">
    <cfRule type="expression" priority="7" dxfId="2">
      <formula>LEFT(I11,8)="You have"</formula>
    </cfRule>
  </conditionalFormatting>
  <conditionalFormatting sqref="I12">
    <cfRule type="expression" priority="8" dxfId="2">
      <formula>LEFT(I12,5)="Every"</formula>
    </cfRule>
  </conditionalFormatting>
  <conditionalFormatting sqref="B24:H35">
    <cfRule type="expression" priority="9" dxfId="4">
      <formula>AND($C$21=YEAR(TODAY()),ROW()-23=MONTH(TODAY()))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0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22" customWidth="1" min="4" max="4"/>
    <col width="6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5" customWidth="1" min="13" max="13"/>
    <col width="11" customWidth="1" min="14" max="14"/>
    <col width="10" customWidth="1" min="15" max="15"/>
    <col width="10" customWidth="1" min="16" max="16"/>
    <col width="11" customWidth="1" min="17" max="17"/>
    <col width="16" customWidth="1" min="18" max="18"/>
    <col width="24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2" customHeight="1">
      <c r="A2" s="1" t="n"/>
      <c r="B2" s="2" t="inlineStr">
        <is>
          <t>Orders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3" t="inlineStr">
        <is>
          <t>One line per order. The total, costs, fees and profit fill in from your products and channels.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30" customHeight="1">
      <c r="A5" s="1" t="n"/>
      <c r="B5" s="12" t="inlineStr">
        <is>
          <t>Order date</t>
        </is>
      </c>
      <c r="C5" s="12" t="inlineStr">
        <is>
          <t>Customer</t>
        </is>
      </c>
      <c r="D5" s="12" t="inlineStr">
        <is>
          <t>Product</t>
        </is>
      </c>
      <c r="E5" s="12" t="inlineStr">
        <is>
          <t>Qty</t>
        </is>
      </c>
      <c r="F5" s="12" t="inlineStr">
        <is>
          <t>Extras</t>
        </is>
      </c>
      <c r="G5" s="12" t="inlineStr">
        <is>
          <t>Shipping charged</t>
        </is>
      </c>
      <c r="H5" s="12" t="inlineStr">
        <is>
          <t>Total</t>
        </is>
      </c>
      <c r="I5" s="12" t="inlineStr">
        <is>
          <t>Paid so far</t>
        </is>
      </c>
      <c r="J5" s="12" t="inlineStr">
        <is>
          <t>Balance</t>
        </is>
      </c>
      <c r="K5" s="12" t="inlineStr">
        <is>
          <t>Due date</t>
        </is>
      </c>
      <c r="L5" s="12" t="inlineStr">
        <is>
          <t>Status</t>
        </is>
      </c>
      <c r="M5" s="12" t="inlineStr">
        <is>
          <t>Channel</t>
        </is>
      </c>
      <c r="N5" s="12" t="inlineStr">
        <is>
          <t>Materials</t>
        </is>
      </c>
      <c r="O5" s="12" t="inlineStr">
        <is>
          <t>Postage</t>
        </is>
      </c>
      <c r="P5" s="12" t="inlineStr">
        <is>
          <t>Fees</t>
        </is>
      </c>
      <c r="Q5" s="12" t="inlineStr">
        <is>
          <t>Profit</t>
        </is>
      </c>
      <c r="R5" s="12" t="inlineStr">
        <is>
          <t>Due</t>
        </is>
      </c>
      <c r="S5" s="12" t="inlineStr">
        <is>
          <t>Note</t>
        </is>
      </c>
      <c r="T5" s="1" t="n"/>
    </row>
    <row r="6">
      <c r="A6" s="1" t="n"/>
      <c r="B6" s="31" t="n">
        <v>46028</v>
      </c>
      <c r="C6" s="32" t="inlineStr">
        <is>
          <t>Dan King</t>
        </is>
      </c>
      <c r="D6" s="33" t="inlineStr">
        <is>
          <t>Soy candle 8 oz</t>
        </is>
      </c>
      <c r="E6" s="34" t="n">
        <v>1</v>
      </c>
      <c r="F6" s="35" t="n"/>
      <c r="G6" s="35" t="n">
        <v>6.95</v>
      </c>
      <c r="H6" s="30">
        <f>IF(OR(B6="",D6=""),"",IF(N(E6)=0,1,E6)*IFERROR(INDEX(Products!$C$6:$C$105,MATCH(D6,Products!$B$6:$B$105,0)),0)+N(F6)+N(G6))</f>
        <v/>
      </c>
      <c r="I6" s="35" t="n">
        <v>28.95</v>
      </c>
      <c r="J6" s="30">
        <f>IF(OR(H6="",L6="Cancelled"),"",IF(H6-N(I6)&gt;0.005,H6-N(I6),""))</f>
        <v/>
      </c>
      <c r="K6" s="31" t="n">
        <v>46036</v>
      </c>
      <c r="L6" s="36" t="inlineStr">
        <is>
          <t>Sent</t>
        </is>
      </c>
      <c r="M6" s="33" t="inlineStr">
        <is>
          <t>Etsy</t>
        </is>
      </c>
      <c r="N6" s="22">
        <f>IF(OR(H6="",L6="Cancelled"),"",IF(N(E6)=0,1,E6)*IFERROR(INDEX(Products!$E$6:$E$105,MATCH(D6,Products!$B$6:$B$105,0)),0))</f>
        <v/>
      </c>
      <c r="O6" s="35" t="n">
        <v>6.6</v>
      </c>
      <c r="P6" s="22">
        <f>IF(OR(H6="",L6="Cancelled"),"",ROUND(IFERROR(H6*INDEX(Settings!$C$6:$C$15,MATCH(M6,Settings!$B$6:$B$15,0))+INDEX(Settings!$D$6:$D$15,MATCH(M6,Settings!$B$6:$B$15,0)),0),2))</f>
        <v/>
      </c>
      <c r="Q6" s="28">
        <f>IF(OR(H6="",L6="Cancelled"),"",H6-N(N6)-N(O6)-N(P6))</f>
        <v/>
      </c>
      <c r="R6" s="19">
        <f>IF(OR(B6="",K6=""),"",IF(OR(L6="Sent",L6="Picked up"),"Done",IF(L6="Cancelled","Cancelled",IF(K6&lt;TODAY(),"Late by "&amp;(TODAY()-K6)&amp;IF((TODAY()-K6)=1," day"," days"),IF(K6=TODAY(),"Due today","Due in "&amp;(K6-TODAY())&amp;IF((K6-TODAY())=1," day"," days"))))))</f>
        <v/>
      </c>
      <c r="S6" s="33" t="n"/>
      <c r="T6" s="1">
        <f>IF(AND(B6&lt;&gt;"",K6&lt;&gt;"",L6&lt;&gt;"Sent",L6&lt;&gt;"Picked up",L6&lt;&gt;"Cancelled"),K6+ROW()/10000000,"")</f>
        <v/>
      </c>
      <c r="U6">
        <f>IF(OR(B6="",C6=""),"",B6+ROW()/10000000)</f>
        <v/>
      </c>
      <c r="V6">
        <f>IF(U6="","",IF(COUNTIFS(Orders!$C$6:$C$1005,C6,Orders!$U$6:$U$1005,"&gt;"&amp;U6)=0,1,0))</f>
        <v/>
      </c>
      <c r="W6">
        <f>IF(AND(B6&lt;&gt;"",K6&lt;&gt;"",L6&lt;&gt;"Sent",L6&lt;&gt;"Picked up",L6&lt;&gt;"Cancelled"),IF(N(E6)=0,1,E6),0)</f>
        <v/>
      </c>
      <c r="X6">
        <f>IF(OR(B6="",D6=""),"",IF(N(E6)=0,1,E6))</f>
        <v/>
      </c>
    </row>
    <row r="7">
      <c r="A7" s="1" t="n"/>
      <c r="B7" s="31" t="n">
        <v>46028</v>
      </c>
      <c r="C7" s="32" t="inlineStr">
        <is>
          <t>Ava Adams</t>
        </is>
      </c>
      <c r="D7" s="33" t="inlineStr">
        <is>
          <t>Soy candle 8 oz</t>
        </is>
      </c>
      <c r="E7" s="34" t="n">
        <v>1</v>
      </c>
      <c r="F7" s="35" t="n"/>
      <c r="G7" s="35" t="n">
        <v>6.95</v>
      </c>
      <c r="H7" s="30">
        <f>IF(OR(B7="",D7=""),"",IF(N(E7)=0,1,E7)*IFERROR(INDEX(Products!$C$6:$C$105,MATCH(D7,Products!$B$6:$B$105,0)),0)+N(F7)+N(G7))</f>
        <v/>
      </c>
      <c r="I7" s="35" t="n">
        <v>28.95</v>
      </c>
      <c r="J7" s="30">
        <f>IF(OR(H7="",L7="Cancelled"),"",IF(H7-N(I7)&gt;0.005,H7-N(I7),""))</f>
        <v/>
      </c>
      <c r="K7" s="31" t="n">
        <v>46038</v>
      </c>
      <c r="L7" s="36" t="inlineStr">
        <is>
          <t>Sent</t>
        </is>
      </c>
      <c r="M7" s="33" t="inlineStr">
        <is>
          <t>Own website</t>
        </is>
      </c>
      <c r="N7" s="22">
        <f>IF(OR(H7="",L7="Cancelled"),"",IF(N(E7)=0,1,E7)*IFERROR(INDEX(Products!$E$6:$E$105,MATCH(D7,Products!$B$6:$B$105,0)),0))</f>
        <v/>
      </c>
      <c r="O7" s="35" t="n">
        <v>7.13</v>
      </c>
      <c r="P7" s="22">
        <f>IF(OR(H7="",L7="Cancelled"),"",ROUND(IFERROR(H7*INDEX(Settings!$C$6:$C$15,MATCH(M7,Settings!$B$6:$B$15,0))+INDEX(Settings!$D$6:$D$15,MATCH(M7,Settings!$B$6:$B$15,0)),0),2))</f>
        <v/>
      </c>
      <c r="Q7" s="28">
        <f>IF(OR(H7="",L7="Cancelled"),"",H7-N(N7)-N(O7)-N(P7))</f>
        <v/>
      </c>
      <c r="R7" s="19">
        <f>IF(OR(B7="",K7=""),"",IF(OR(L7="Sent",L7="Picked up"),"Done",IF(L7="Cancelled","Cancelled",IF(K7&lt;TODAY(),"Late by "&amp;(TODAY()-K7)&amp;IF((TODAY()-K7)=1," day"," days"),IF(K7=TODAY(),"Due today","Due in "&amp;(K7-TODAY())&amp;IF((K7-TODAY())=1," day"," days"))))))</f>
        <v/>
      </c>
      <c r="S7" s="33" t="n"/>
      <c r="T7" s="1">
        <f>IF(AND(B7&lt;&gt;"",K7&lt;&gt;"",L7&lt;&gt;"Sent",L7&lt;&gt;"Picked up",L7&lt;&gt;"Cancelled"),K7+ROW()/10000000,"")</f>
        <v/>
      </c>
      <c r="U7">
        <f>IF(OR(B7="",C7=""),"",B7+ROW()/10000000)</f>
        <v/>
      </c>
      <c r="V7">
        <f>IF(U7="","",IF(COUNTIFS(Orders!$C$6:$C$1005,C7,Orders!$U$6:$U$1005,"&gt;"&amp;U7)=0,1,0))</f>
        <v/>
      </c>
      <c r="W7">
        <f>IF(AND(B7&lt;&gt;"",K7&lt;&gt;"",L7&lt;&gt;"Sent",L7&lt;&gt;"Picked up",L7&lt;&gt;"Cancelled"),IF(N(E7)=0,1,E7),0)</f>
        <v/>
      </c>
      <c r="X7">
        <f>IF(OR(B7="",D7=""),"",IF(N(E7)=0,1,E7))</f>
        <v/>
      </c>
    </row>
    <row r="8">
      <c r="A8" s="1" t="n"/>
      <c r="B8" s="31" t="n">
        <v>46032</v>
      </c>
      <c r="C8" s="32" t="inlineStr">
        <is>
          <t>Nora Lewis</t>
        </is>
      </c>
      <c r="D8" s="33" t="inlineStr">
        <is>
          <t>Soy candle 16 oz</t>
        </is>
      </c>
      <c r="E8" s="34" t="n">
        <v>4</v>
      </c>
      <c r="F8" s="35" t="n"/>
      <c r="G8" s="35" t="n">
        <v>6.95</v>
      </c>
      <c r="H8" s="30">
        <f>IF(OR(B8="",D8=""),"",IF(N(E8)=0,1,E8)*IFERROR(INDEX(Products!$C$6:$C$105,MATCH(D8,Products!$B$6:$B$105,0)),0)+N(F8)+N(G8))</f>
        <v/>
      </c>
      <c r="I8" s="35" t="n">
        <v>142.95</v>
      </c>
      <c r="J8" s="30">
        <f>IF(OR(H8="",L8="Cancelled"),"",IF(H8-N(I8)&gt;0.005,H8-N(I8),""))</f>
        <v/>
      </c>
      <c r="K8" s="31" t="n">
        <v>46040</v>
      </c>
      <c r="L8" s="36" t="inlineStr">
        <is>
          <t>Sent</t>
        </is>
      </c>
      <c r="M8" s="33" t="inlineStr">
        <is>
          <t>Etsy</t>
        </is>
      </c>
      <c r="N8" s="22">
        <f>IF(OR(H8="",L8="Cancelled"),"",IF(N(E8)=0,1,E8)*IFERROR(INDEX(Products!$E$6:$E$105,MATCH(D8,Products!$B$6:$B$105,0)),0))</f>
        <v/>
      </c>
      <c r="O8" s="35" t="n">
        <v>6.77</v>
      </c>
      <c r="P8" s="22">
        <f>IF(OR(H8="",L8="Cancelled"),"",ROUND(IFERROR(H8*INDEX(Settings!$C$6:$C$15,MATCH(M8,Settings!$B$6:$B$15,0))+INDEX(Settings!$D$6:$D$15,MATCH(M8,Settings!$B$6:$B$15,0)),0),2))</f>
        <v/>
      </c>
      <c r="Q8" s="28">
        <f>IF(OR(H8="",L8="Cancelled"),"",H8-N(N8)-N(O8)-N(P8))</f>
        <v/>
      </c>
      <c r="R8" s="19">
        <f>IF(OR(B8="",K8=""),"",IF(OR(L8="Sent",L8="Picked up"),"Done",IF(L8="Cancelled","Cancelled",IF(K8&lt;TODAY(),"Late by "&amp;(TODAY()-K8)&amp;IF((TODAY()-K8)=1," day"," days"),IF(K8=TODAY(),"Due today","Due in "&amp;(K8-TODAY())&amp;IF((K8-TODAY())=1," day"," days"))))))</f>
        <v/>
      </c>
      <c r="S8" s="33" t="n"/>
      <c r="T8" s="1">
        <f>IF(AND(B8&lt;&gt;"",K8&lt;&gt;"",L8&lt;&gt;"Sent",L8&lt;&gt;"Picked up",L8&lt;&gt;"Cancelled"),K8+ROW()/10000000,"")</f>
        <v/>
      </c>
      <c r="U8">
        <f>IF(OR(B8="",C8=""),"",B8+ROW()/10000000)</f>
        <v/>
      </c>
      <c r="V8">
        <f>IF(U8="","",IF(COUNTIFS(Orders!$C$6:$C$1005,C8,Orders!$U$6:$U$1005,"&gt;"&amp;U8)=0,1,0))</f>
        <v/>
      </c>
      <c r="W8">
        <f>IF(AND(B8&lt;&gt;"",K8&lt;&gt;"",L8&lt;&gt;"Sent",L8&lt;&gt;"Picked up",L8&lt;&gt;"Cancelled"),IF(N(E8)=0,1,E8),0)</f>
        <v/>
      </c>
      <c r="X8">
        <f>IF(OR(B8="",D8=""),"",IF(N(E8)=0,1,E8))</f>
        <v/>
      </c>
    </row>
    <row r="9">
      <c r="A9" s="1" t="n"/>
      <c r="B9" s="31" t="n">
        <v>46032</v>
      </c>
      <c r="C9" s="32" t="inlineStr">
        <is>
          <t>George Hill</t>
        </is>
      </c>
      <c r="D9" s="33" t="inlineStr">
        <is>
          <t>Soap bar</t>
        </is>
      </c>
      <c r="E9" s="34" t="n">
        <v>1</v>
      </c>
      <c r="F9" s="35" t="n"/>
      <c r="G9" s="35" t="n">
        <v>6.95</v>
      </c>
      <c r="H9" s="30">
        <f>IF(OR(B9="",D9=""),"",IF(N(E9)=0,1,E9)*IFERROR(INDEX(Products!$C$6:$C$105,MATCH(D9,Products!$B$6:$B$105,0)),0)+N(F9)+N(G9))</f>
        <v/>
      </c>
      <c r="I9" s="35" t="n">
        <v>14.95</v>
      </c>
      <c r="J9" s="30">
        <f>IF(OR(H9="",L9="Cancelled"),"",IF(H9-N(I9)&gt;0.005,H9-N(I9),""))</f>
        <v/>
      </c>
      <c r="K9" s="31" t="n">
        <v>46044</v>
      </c>
      <c r="L9" s="36" t="inlineStr">
        <is>
          <t>Sent</t>
        </is>
      </c>
      <c r="M9" s="33" t="inlineStr">
        <is>
          <t>Etsy</t>
        </is>
      </c>
      <c r="N9" s="22">
        <f>IF(OR(H9="",L9="Cancelled"),"",IF(N(E9)=0,1,E9)*IFERROR(INDEX(Products!$E$6:$E$105,MATCH(D9,Products!$B$6:$B$105,0)),0))</f>
        <v/>
      </c>
      <c r="O9" s="35" t="n">
        <v>6.69</v>
      </c>
      <c r="P9" s="22">
        <f>IF(OR(H9="",L9="Cancelled"),"",ROUND(IFERROR(H9*INDEX(Settings!$C$6:$C$15,MATCH(M9,Settings!$B$6:$B$15,0))+INDEX(Settings!$D$6:$D$15,MATCH(M9,Settings!$B$6:$B$15,0)),0),2))</f>
        <v/>
      </c>
      <c r="Q9" s="28">
        <f>IF(OR(H9="",L9="Cancelled"),"",H9-N(N9)-N(O9)-N(P9))</f>
        <v/>
      </c>
      <c r="R9" s="19">
        <f>IF(OR(B9="",K9=""),"",IF(OR(L9="Sent",L9="Picked up"),"Done",IF(L9="Cancelled","Cancelled",IF(K9&lt;TODAY(),"Late by "&amp;(TODAY()-K9)&amp;IF((TODAY()-K9)=1," day"," days"),IF(K9=TODAY(),"Due today","Due in "&amp;(K9-TODAY())&amp;IF((K9-TODAY())=1," day"," days"))))))</f>
        <v/>
      </c>
      <c r="S9" s="33" t="n"/>
      <c r="T9" s="1">
        <f>IF(AND(B9&lt;&gt;"",K9&lt;&gt;"",L9&lt;&gt;"Sent",L9&lt;&gt;"Picked up",L9&lt;&gt;"Cancelled"),K9+ROW()/10000000,"")</f>
        <v/>
      </c>
      <c r="U9">
        <f>IF(OR(B9="",C9=""),"",B9+ROW()/10000000)</f>
        <v/>
      </c>
      <c r="V9">
        <f>IF(U9="","",IF(COUNTIFS(Orders!$C$6:$C$1005,C9,Orders!$U$6:$U$1005,"&gt;"&amp;U9)=0,1,0))</f>
        <v/>
      </c>
      <c r="W9">
        <f>IF(AND(B9&lt;&gt;"",K9&lt;&gt;"",L9&lt;&gt;"Sent",L9&lt;&gt;"Picked up",L9&lt;&gt;"Cancelled"),IF(N(E9)=0,1,E9),0)</f>
        <v/>
      </c>
      <c r="X9">
        <f>IF(OR(B9="",D9=""),"",IF(N(E9)=0,1,E9))</f>
        <v/>
      </c>
    </row>
    <row r="10">
      <c r="A10" s="1" t="n"/>
      <c r="B10" s="31" t="n">
        <v>46034</v>
      </c>
      <c r="C10" s="32" t="inlineStr">
        <is>
          <t>Clara Mason</t>
        </is>
      </c>
      <c r="D10" s="33" t="inlineStr">
        <is>
          <t>Wedding favours, 10 tins</t>
        </is>
      </c>
      <c r="E10" s="34" t="n">
        <v>8</v>
      </c>
      <c r="F10" s="35" t="n"/>
      <c r="G10" s="35" t="n">
        <v>6.95</v>
      </c>
      <c r="H10" s="30">
        <f>IF(OR(B10="",D10=""),"",IF(N(E10)=0,1,E10)*IFERROR(INDEX(Products!$C$6:$C$105,MATCH(D10,Products!$B$6:$B$105,0)),0)+N(F10)+N(G10))</f>
        <v/>
      </c>
      <c r="I10" s="35" t="n">
        <v>486.95</v>
      </c>
      <c r="J10" s="30">
        <f>IF(OR(H10="",L10="Cancelled"),"",IF(H10-N(I10)&gt;0.005,H10-N(I10),""))</f>
        <v/>
      </c>
      <c r="K10" s="31" t="n">
        <v>46078</v>
      </c>
      <c r="L10" s="36" t="inlineStr">
        <is>
          <t>Sent</t>
        </is>
      </c>
      <c r="M10" s="33" t="inlineStr">
        <is>
          <t>Etsy</t>
        </is>
      </c>
      <c r="N10" s="22">
        <f>IF(OR(H10="",L10="Cancelled"),"",IF(N(E10)=0,1,E10)*IFERROR(INDEX(Products!$E$6:$E$105,MATCH(D10,Products!$B$6:$B$105,0)),0))</f>
        <v/>
      </c>
      <c r="O10" s="35" t="n">
        <v>7.74</v>
      </c>
      <c r="P10" s="22">
        <f>IF(OR(H10="",L10="Cancelled"),"",ROUND(IFERROR(H10*INDEX(Settings!$C$6:$C$15,MATCH(M10,Settings!$B$6:$B$15,0))+INDEX(Settings!$D$6:$D$15,MATCH(M10,Settings!$B$6:$B$15,0)),0),2))</f>
        <v/>
      </c>
      <c r="Q10" s="28">
        <f>IF(OR(H10="",L10="Cancelled"),"",H10-N(N10)-N(O10)-N(P10))</f>
        <v/>
      </c>
      <c r="R10" s="19">
        <f>IF(OR(B10="",K10=""),"",IF(OR(L10="Sent",L10="Picked up"),"Done",IF(L10="Cancelled","Cancelled",IF(K10&lt;TODAY(),"Late by "&amp;(TODAY()-K10)&amp;IF((TODAY()-K10)=1," day"," days"),IF(K10=TODAY(),"Due today","Due in "&amp;(K10-TODAY())&amp;IF((K10-TODAY())=1," day"," days"))))))</f>
        <v/>
      </c>
      <c r="S10" s="33" t="n"/>
      <c r="T10" s="1">
        <f>IF(AND(B10&lt;&gt;"",K10&lt;&gt;"",L10&lt;&gt;"Sent",L10&lt;&gt;"Picked up",L10&lt;&gt;"Cancelled"),K10+ROW()/10000000,"")</f>
        <v/>
      </c>
      <c r="U10">
        <f>IF(OR(B10="",C10=""),"",B10+ROW()/10000000)</f>
        <v/>
      </c>
      <c r="V10">
        <f>IF(U10="","",IF(COUNTIFS(Orders!$C$6:$C$1005,C10,Orders!$U$6:$U$1005,"&gt;"&amp;U10)=0,1,0))</f>
        <v/>
      </c>
      <c r="W10">
        <f>IF(AND(B10&lt;&gt;"",K10&lt;&gt;"",L10&lt;&gt;"Sent",L10&lt;&gt;"Picked up",L10&lt;&gt;"Cancelled"),IF(N(E10)=0,1,E10),0)</f>
        <v/>
      </c>
      <c r="X10">
        <f>IF(OR(B10="",D10=""),"",IF(N(E10)=0,1,E10))</f>
        <v/>
      </c>
    </row>
    <row r="11">
      <c r="A11" s="1" t="n"/>
      <c r="B11" s="31" t="n">
        <v>46035</v>
      </c>
      <c r="C11" s="32" t="inlineStr">
        <is>
          <t>Adam Cox</t>
        </is>
      </c>
      <c r="D11" s="33" t="inlineStr">
        <is>
          <t>Soy candle 8 oz</t>
        </is>
      </c>
      <c r="E11" s="34" t="n">
        <v>3</v>
      </c>
      <c r="F11" s="35" t="n">
        <v>15</v>
      </c>
      <c r="G11" s="35" t="n"/>
      <c r="H11" s="30">
        <f>IF(OR(B11="",D11=""),"",IF(N(E11)=0,1,E11)*IFERROR(INDEX(Products!$C$6:$C$105,MATCH(D11,Products!$B$6:$B$105,0)),0)+N(F11)+N(G11))</f>
        <v/>
      </c>
      <c r="I11" s="35" t="n">
        <v>81</v>
      </c>
      <c r="J11" s="30">
        <f>IF(OR(H11="",L11="Cancelled"),"",IF(H11-N(I11)&gt;0.005,H11-N(I11),""))</f>
        <v/>
      </c>
      <c r="K11" s="31" t="n">
        <v>46046</v>
      </c>
      <c r="L11" s="36" t="inlineStr">
        <is>
          <t>Picked up</t>
        </is>
      </c>
      <c r="M11" s="33" t="inlineStr">
        <is>
          <t>Instagram</t>
        </is>
      </c>
      <c r="N11" s="22">
        <f>IF(OR(H11="",L11="Cancelled"),"",IF(N(E11)=0,1,E11)*IFERROR(INDEX(Products!$E$6:$E$105,MATCH(D11,Products!$B$6:$B$105,0)),0))</f>
        <v/>
      </c>
      <c r="O11" s="35" t="n"/>
      <c r="P11" s="22">
        <f>IF(OR(H11="",L11="Cancelled"),"",ROUND(IFERROR(H11*INDEX(Settings!$C$6:$C$15,MATCH(M11,Settings!$B$6:$B$15,0))+INDEX(Settings!$D$6:$D$15,MATCH(M11,Settings!$B$6:$B$15,0)),0),2))</f>
        <v/>
      </c>
      <c r="Q11" s="28">
        <f>IF(OR(H11="",L11="Cancelled"),"",H11-N(N11)-N(O11)-N(P11))</f>
        <v/>
      </c>
      <c r="R11" s="19">
        <f>IF(OR(B11="",K11=""),"",IF(OR(L11="Sent",L11="Picked up"),"Done",IF(L11="Cancelled","Cancelled",IF(K11&lt;TODAY(),"Late by "&amp;(TODAY()-K11)&amp;IF((TODAY()-K11)=1," day"," days"),IF(K11=TODAY(),"Due today","Due in "&amp;(K11-TODAY())&amp;IF((K11-TODAY())=1," day"," days"))))))</f>
        <v/>
      </c>
      <c r="S11" s="33" t="inlineStr">
        <is>
          <t>Custom label</t>
        </is>
      </c>
      <c r="T11" s="1">
        <f>IF(AND(B11&lt;&gt;"",K11&lt;&gt;"",L11&lt;&gt;"Sent",L11&lt;&gt;"Picked up",L11&lt;&gt;"Cancelled"),K11+ROW()/10000000,"")</f>
        <v/>
      </c>
      <c r="U11">
        <f>IF(OR(B11="",C11=""),"",B11+ROW()/10000000)</f>
        <v/>
      </c>
      <c r="V11">
        <f>IF(U11="","",IF(COUNTIFS(Orders!$C$6:$C$1005,C11,Orders!$U$6:$U$1005,"&gt;"&amp;U11)=0,1,0))</f>
        <v/>
      </c>
      <c r="W11">
        <f>IF(AND(B11&lt;&gt;"",K11&lt;&gt;"",L11&lt;&gt;"Sent",L11&lt;&gt;"Picked up",L11&lt;&gt;"Cancelled"),IF(N(E11)=0,1,E11),0)</f>
        <v/>
      </c>
      <c r="X11">
        <f>IF(OR(B11="",D11=""),"",IF(N(E11)=0,1,E11))</f>
        <v/>
      </c>
    </row>
    <row r="12">
      <c r="A12" s="1" t="n"/>
      <c r="B12" s="31" t="n">
        <v>46037</v>
      </c>
      <c r="C12" s="32" t="inlineStr">
        <is>
          <t>Rita Price</t>
        </is>
      </c>
      <c r="D12" s="33" t="inlineStr">
        <is>
          <t>Soy candle 16 oz</t>
        </is>
      </c>
      <c r="E12" s="34" t="n">
        <v>1</v>
      </c>
      <c r="F12" s="35" t="n">
        <v>5</v>
      </c>
      <c r="G12" s="35" t="n">
        <v>6.95</v>
      </c>
      <c r="H12" s="30">
        <f>IF(OR(B12="",D12=""),"",IF(N(E12)=0,1,E12)*IFERROR(INDEX(Products!$C$6:$C$105,MATCH(D12,Products!$B$6:$B$105,0)),0)+N(F12)+N(G12))</f>
        <v/>
      </c>
      <c r="I12" s="35" t="n">
        <v>45.95</v>
      </c>
      <c r="J12" s="30">
        <f>IF(OR(H12="",L12="Cancelled"),"",IF(H12-N(I12)&gt;0.005,H12-N(I12),""))</f>
        <v/>
      </c>
      <c r="K12" s="31" t="n">
        <v>46047</v>
      </c>
      <c r="L12" s="36" t="inlineStr">
        <is>
          <t>Sent</t>
        </is>
      </c>
      <c r="M12" s="33" t="inlineStr">
        <is>
          <t>Own website</t>
        </is>
      </c>
      <c r="N12" s="22">
        <f>IF(OR(H12="",L12="Cancelled"),"",IF(N(E12)=0,1,E12)*IFERROR(INDEX(Products!$E$6:$E$105,MATCH(D12,Products!$B$6:$B$105,0)),0))</f>
        <v/>
      </c>
      <c r="O12" s="35" t="n">
        <v>5.92</v>
      </c>
      <c r="P12" s="22">
        <f>IF(OR(H12="",L12="Cancelled"),"",ROUND(IFERROR(H12*INDEX(Settings!$C$6:$C$15,MATCH(M12,Settings!$B$6:$B$15,0))+INDEX(Settings!$D$6:$D$15,MATCH(M12,Settings!$B$6:$B$15,0)),0),2))</f>
        <v/>
      </c>
      <c r="Q12" s="28">
        <f>IF(OR(H12="",L12="Cancelled"),"",H12-N(N12)-N(O12)-N(P12))</f>
        <v/>
      </c>
      <c r="R12" s="19">
        <f>IF(OR(B12="",K12=""),"",IF(OR(L12="Sent",L12="Picked up"),"Done",IF(L12="Cancelled","Cancelled",IF(K12&lt;TODAY(),"Late by "&amp;(TODAY()-K12)&amp;IF((TODAY()-K12)=1," day"," days"),IF(K12=TODAY(),"Due today","Due in "&amp;(K12-TODAY())&amp;IF((K12-TODAY())=1," day"," days"))))))</f>
        <v/>
      </c>
      <c r="S12" s="33" t="inlineStr">
        <is>
          <t>Custom label</t>
        </is>
      </c>
      <c r="T12" s="1">
        <f>IF(AND(B12&lt;&gt;"",K12&lt;&gt;"",L12&lt;&gt;"Sent",L12&lt;&gt;"Picked up",L12&lt;&gt;"Cancelled"),K12+ROW()/10000000,"")</f>
        <v/>
      </c>
      <c r="U12">
        <f>IF(OR(B12="",C12=""),"",B12+ROW()/10000000)</f>
        <v/>
      </c>
      <c r="V12">
        <f>IF(U12="","",IF(COUNTIFS(Orders!$C$6:$C$1005,C12,Orders!$U$6:$U$1005,"&gt;"&amp;U12)=0,1,0))</f>
        <v/>
      </c>
      <c r="W12">
        <f>IF(AND(B12&lt;&gt;"",K12&lt;&gt;"",L12&lt;&gt;"Sent",L12&lt;&gt;"Picked up",L12&lt;&gt;"Cancelled"),IF(N(E12)=0,1,E12),0)</f>
        <v/>
      </c>
      <c r="X12">
        <f>IF(OR(B12="",D12=""),"",IF(N(E12)=0,1,E12))</f>
        <v/>
      </c>
    </row>
    <row r="13">
      <c r="A13" s="1" t="n"/>
      <c r="B13" s="31" t="n">
        <v>46037</v>
      </c>
      <c r="C13" s="32" t="inlineStr">
        <is>
          <t>Jade Reed</t>
        </is>
      </c>
      <c r="D13" s="33" t="inlineStr">
        <is>
          <t>Wax melts, 6 pack</t>
        </is>
      </c>
      <c r="E13" s="34" t="n">
        <v>2</v>
      </c>
      <c r="F13" s="35" t="n"/>
      <c r="G13" s="35" t="n">
        <v>6.95</v>
      </c>
      <c r="H13" s="30">
        <f>IF(OR(B13="",D13=""),"",IF(N(E13)=0,1,E13)*IFERROR(INDEX(Products!$C$6:$C$105,MATCH(D13,Products!$B$6:$B$105,0)),0)+N(F13)+N(G13))</f>
        <v/>
      </c>
      <c r="I13" s="35" t="n">
        <v>24.95</v>
      </c>
      <c r="J13" s="30">
        <f>IF(OR(H13="",L13="Cancelled"),"",IF(H13-N(I13)&gt;0.005,H13-N(I13),""))</f>
        <v/>
      </c>
      <c r="K13" s="31" t="n">
        <v>46048</v>
      </c>
      <c r="L13" s="36" t="inlineStr">
        <is>
          <t>Sent</t>
        </is>
      </c>
      <c r="M13" s="33" t="inlineStr">
        <is>
          <t>Etsy</t>
        </is>
      </c>
      <c r="N13" s="22">
        <f>IF(OR(H13="",L13="Cancelled"),"",IF(N(E13)=0,1,E13)*IFERROR(INDEX(Products!$E$6:$E$105,MATCH(D13,Products!$B$6:$B$105,0)),0))</f>
        <v/>
      </c>
      <c r="O13" s="35" t="n">
        <v>7.58</v>
      </c>
      <c r="P13" s="22">
        <f>IF(OR(H13="",L13="Cancelled"),"",ROUND(IFERROR(H13*INDEX(Settings!$C$6:$C$15,MATCH(M13,Settings!$B$6:$B$15,0))+INDEX(Settings!$D$6:$D$15,MATCH(M13,Settings!$B$6:$B$15,0)),0),2))</f>
        <v/>
      </c>
      <c r="Q13" s="28">
        <f>IF(OR(H13="",L13="Cancelled"),"",H13-N(N13)-N(O13)-N(P13))</f>
        <v/>
      </c>
      <c r="R13" s="19">
        <f>IF(OR(B13="",K13=""),"",IF(OR(L13="Sent",L13="Picked up"),"Done",IF(L13="Cancelled","Cancelled",IF(K13&lt;TODAY(),"Late by "&amp;(TODAY()-K13)&amp;IF((TODAY()-K13)=1," day"," days"),IF(K13=TODAY(),"Due today","Due in "&amp;(K13-TODAY())&amp;IF((K13-TODAY())=1," day"," days"))))))</f>
        <v/>
      </c>
      <c r="S13" s="33" t="n"/>
      <c r="T13" s="1">
        <f>IF(AND(B13&lt;&gt;"",K13&lt;&gt;"",L13&lt;&gt;"Sent",L13&lt;&gt;"Picked up",L13&lt;&gt;"Cancelled"),K13+ROW()/10000000,"")</f>
        <v/>
      </c>
      <c r="U13">
        <f>IF(OR(B13="",C13=""),"",B13+ROW()/10000000)</f>
        <v/>
      </c>
      <c r="V13">
        <f>IF(U13="","",IF(COUNTIFS(Orders!$C$6:$C$1005,C13,Orders!$U$6:$U$1005,"&gt;"&amp;U13)=0,1,0))</f>
        <v/>
      </c>
      <c r="W13">
        <f>IF(AND(B13&lt;&gt;"",K13&lt;&gt;"",L13&lt;&gt;"Sent",L13&lt;&gt;"Picked up",L13&lt;&gt;"Cancelled"),IF(N(E13)=0,1,E13),0)</f>
        <v/>
      </c>
      <c r="X13">
        <f>IF(OR(B13="",D13=""),"",IF(N(E13)=0,1,E13))</f>
        <v/>
      </c>
    </row>
    <row r="14">
      <c r="A14" s="1" t="n"/>
      <c r="B14" s="31" t="n">
        <v>46040</v>
      </c>
      <c r="C14" s="32" t="inlineStr">
        <is>
          <t>Helen Kelly</t>
        </is>
      </c>
      <c r="D14" s="33" t="inlineStr">
        <is>
          <t>Soy candle 8 oz</t>
        </is>
      </c>
      <c r="E14" s="34" t="n">
        <v>4</v>
      </c>
      <c r="F14" s="35" t="n"/>
      <c r="G14" s="35" t="n">
        <v>6.95</v>
      </c>
      <c r="H14" s="30">
        <f>IF(OR(B14="",D14=""),"",IF(N(E14)=0,1,E14)*IFERROR(INDEX(Products!$C$6:$C$105,MATCH(D14,Products!$B$6:$B$105,0)),0)+N(F14)+N(G14))</f>
        <v/>
      </c>
      <c r="I14" s="35" t="n">
        <v>94.95</v>
      </c>
      <c r="J14" s="30">
        <f>IF(OR(H14="",L14="Cancelled"),"",IF(H14-N(I14)&gt;0.005,H14-N(I14),""))</f>
        <v/>
      </c>
      <c r="K14" s="31" t="n">
        <v>46048</v>
      </c>
      <c r="L14" s="36" t="inlineStr">
        <is>
          <t>Sent</t>
        </is>
      </c>
      <c r="M14" s="33" t="inlineStr">
        <is>
          <t>Etsy</t>
        </is>
      </c>
      <c r="N14" s="22">
        <f>IF(OR(H14="",L14="Cancelled"),"",IF(N(E14)=0,1,E14)*IFERROR(INDEX(Products!$E$6:$E$105,MATCH(D14,Products!$B$6:$B$105,0)),0))</f>
        <v/>
      </c>
      <c r="O14" s="35" t="n">
        <v>7.58</v>
      </c>
      <c r="P14" s="22">
        <f>IF(OR(H14="",L14="Cancelled"),"",ROUND(IFERROR(H14*INDEX(Settings!$C$6:$C$15,MATCH(M14,Settings!$B$6:$B$15,0))+INDEX(Settings!$D$6:$D$15,MATCH(M14,Settings!$B$6:$B$15,0)),0),2))</f>
        <v/>
      </c>
      <c r="Q14" s="28">
        <f>IF(OR(H14="",L14="Cancelled"),"",H14-N(N14)-N(O14)-N(P14))</f>
        <v/>
      </c>
      <c r="R14" s="19">
        <f>IF(OR(B14="",K14=""),"",IF(OR(L14="Sent",L14="Picked up"),"Done",IF(L14="Cancelled","Cancelled",IF(K14&lt;TODAY(),"Late by "&amp;(TODAY()-K14)&amp;IF((TODAY()-K14)=1," day"," days"),IF(K14=TODAY(),"Due today","Due in "&amp;(K14-TODAY())&amp;IF((K14-TODAY())=1," day"," days"))))))</f>
        <v/>
      </c>
      <c r="S14" s="33" t="n"/>
      <c r="T14" s="1">
        <f>IF(AND(B14&lt;&gt;"",K14&lt;&gt;"",L14&lt;&gt;"Sent",L14&lt;&gt;"Picked up",L14&lt;&gt;"Cancelled"),K14+ROW()/10000000,"")</f>
        <v/>
      </c>
      <c r="U14">
        <f>IF(OR(B14="",C14=""),"",B14+ROW()/10000000)</f>
        <v/>
      </c>
      <c r="V14">
        <f>IF(U14="","",IF(COUNTIFS(Orders!$C$6:$C$1005,C14,Orders!$U$6:$U$1005,"&gt;"&amp;U14)=0,1,0))</f>
        <v/>
      </c>
      <c r="W14">
        <f>IF(AND(B14&lt;&gt;"",K14&lt;&gt;"",L14&lt;&gt;"Sent",L14&lt;&gt;"Picked up",L14&lt;&gt;"Cancelled"),IF(N(E14)=0,1,E14),0)</f>
        <v/>
      </c>
      <c r="X14">
        <f>IF(OR(B14="",D14=""),"",IF(N(E14)=0,1,E14))</f>
        <v/>
      </c>
    </row>
    <row r="15">
      <c r="A15" s="1" t="n"/>
      <c r="B15" s="31" t="n">
        <v>46040</v>
      </c>
      <c r="C15" s="32" t="inlineStr">
        <is>
          <t>Leah Hughes</t>
        </is>
      </c>
      <c r="D15" s="33" t="inlineStr">
        <is>
          <t>Soy candle 16 oz</t>
        </is>
      </c>
      <c r="E15" s="34" t="n">
        <v>1</v>
      </c>
      <c r="F15" s="35" t="n"/>
      <c r="G15" s="35" t="n"/>
      <c r="H15" s="30">
        <f>IF(OR(B15="",D15=""),"",IF(N(E15)=0,1,E15)*IFERROR(INDEX(Products!$C$6:$C$105,MATCH(D15,Products!$B$6:$B$105,0)),0)+N(F15)+N(G15))</f>
        <v/>
      </c>
      <c r="I15" s="35" t="n">
        <v>34</v>
      </c>
      <c r="J15" s="30">
        <f>IF(OR(H15="",L15="Cancelled"),"",IF(H15-N(I15)&gt;0.005,H15-N(I15),""))</f>
        <v/>
      </c>
      <c r="K15" s="31" t="n">
        <v>46048</v>
      </c>
      <c r="L15" s="36" t="inlineStr">
        <is>
          <t>Picked up</t>
        </is>
      </c>
      <c r="M15" s="33" t="inlineStr">
        <is>
          <t>Instagram</t>
        </is>
      </c>
      <c r="N15" s="22">
        <f>IF(OR(H15="",L15="Cancelled"),"",IF(N(E15)=0,1,E15)*IFERROR(INDEX(Products!$E$6:$E$105,MATCH(D15,Products!$B$6:$B$105,0)),0))</f>
        <v/>
      </c>
      <c r="O15" s="35" t="n"/>
      <c r="P15" s="22">
        <f>IF(OR(H15="",L15="Cancelled"),"",ROUND(IFERROR(H15*INDEX(Settings!$C$6:$C$15,MATCH(M15,Settings!$B$6:$B$15,0))+INDEX(Settings!$D$6:$D$15,MATCH(M15,Settings!$B$6:$B$15,0)),0),2))</f>
        <v/>
      </c>
      <c r="Q15" s="28">
        <f>IF(OR(H15="",L15="Cancelled"),"",H15-N(N15)-N(O15)-N(P15))</f>
        <v/>
      </c>
      <c r="R15" s="19">
        <f>IF(OR(B15="",K15=""),"",IF(OR(L15="Sent",L15="Picked up"),"Done",IF(L15="Cancelled","Cancelled",IF(K15&lt;TODAY(),"Late by "&amp;(TODAY()-K15)&amp;IF((TODAY()-K15)=1," day"," days"),IF(K15=TODAY(),"Due today","Due in "&amp;(K15-TODAY())&amp;IF((K15-TODAY())=1," day"," days"))))))</f>
        <v/>
      </c>
      <c r="S15" s="33" t="n"/>
      <c r="T15" s="1">
        <f>IF(AND(B15&lt;&gt;"",K15&lt;&gt;"",L15&lt;&gt;"Sent",L15&lt;&gt;"Picked up",L15&lt;&gt;"Cancelled"),K15+ROW()/10000000,"")</f>
        <v/>
      </c>
      <c r="U15">
        <f>IF(OR(B15="",C15=""),"",B15+ROW()/10000000)</f>
        <v/>
      </c>
      <c r="V15">
        <f>IF(U15="","",IF(COUNTIFS(Orders!$C$6:$C$1005,C15,Orders!$U$6:$U$1005,"&gt;"&amp;U15)=0,1,0))</f>
        <v/>
      </c>
      <c r="W15">
        <f>IF(AND(B15&lt;&gt;"",K15&lt;&gt;"",L15&lt;&gt;"Sent",L15&lt;&gt;"Picked up",L15&lt;&gt;"Cancelled"),IF(N(E15)=0,1,E15),0)</f>
        <v/>
      </c>
      <c r="X15">
        <f>IF(OR(B15="",D15=""),"",IF(N(E15)=0,1,E15))</f>
        <v/>
      </c>
    </row>
    <row r="16">
      <c r="A16" s="1" t="n"/>
      <c r="B16" s="31" t="n">
        <v>46041</v>
      </c>
      <c r="C16" s="32" t="inlineStr">
        <is>
          <t>Adam Baker</t>
        </is>
      </c>
      <c r="D16" s="33" t="inlineStr">
        <is>
          <t>Soy candle 8 oz</t>
        </is>
      </c>
      <c r="E16" s="34" t="n">
        <v>3</v>
      </c>
      <c r="F16" s="35" t="n"/>
      <c r="G16" s="35" t="n">
        <v>6.95</v>
      </c>
      <c r="H16" s="30">
        <f>IF(OR(B16="",D16=""),"",IF(N(E16)=0,1,E16)*IFERROR(INDEX(Products!$C$6:$C$105,MATCH(D16,Products!$B$6:$B$105,0)),0)+N(F16)+N(G16))</f>
        <v/>
      </c>
      <c r="I16" s="35" t="n">
        <v>72.95</v>
      </c>
      <c r="J16" s="30">
        <f>IF(OR(H16="",L16="Cancelled"),"",IF(H16-N(I16)&gt;0.005,H16-N(I16),""))</f>
        <v/>
      </c>
      <c r="K16" s="31" t="n">
        <v>46046</v>
      </c>
      <c r="L16" s="36" t="inlineStr">
        <is>
          <t>Sent</t>
        </is>
      </c>
      <c r="M16" s="33" t="inlineStr">
        <is>
          <t>Etsy</t>
        </is>
      </c>
      <c r="N16" s="22">
        <f>IF(OR(H16="",L16="Cancelled"),"",IF(N(E16)=0,1,E16)*IFERROR(INDEX(Products!$E$6:$E$105,MATCH(D16,Products!$B$6:$B$105,0)),0))</f>
        <v/>
      </c>
      <c r="O16" s="35" t="n">
        <v>5.63</v>
      </c>
      <c r="P16" s="22">
        <f>IF(OR(H16="",L16="Cancelled"),"",ROUND(IFERROR(H16*INDEX(Settings!$C$6:$C$15,MATCH(M16,Settings!$B$6:$B$15,0))+INDEX(Settings!$D$6:$D$15,MATCH(M16,Settings!$B$6:$B$15,0)),0),2))</f>
        <v/>
      </c>
      <c r="Q16" s="28">
        <f>IF(OR(H16="",L16="Cancelled"),"",H16-N(N16)-N(O16)-N(P16))</f>
        <v/>
      </c>
      <c r="R16" s="19">
        <f>IF(OR(B16="",K16=""),"",IF(OR(L16="Sent",L16="Picked up"),"Done",IF(L16="Cancelled","Cancelled",IF(K16&lt;TODAY(),"Late by "&amp;(TODAY()-K16)&amp;IF((TODAY()-K16)=1," day"," days"),IF(K16=TODAY(),"Due today","Due in "&amp;(K16-TODAY())&amp;IF((K16-TODAY())=1," day"," days"))))))</f>
        <v/>
      </c>
      <c r="S16" s="33" t="n"/>
      <c r="T16" s="1">
        <f>IF(AND(B16&lt;&gt;"",K16&lt;&gt;"",L16&lt;&gt;"Sent",L16&lt;&gt;"Picked up",L16&lt;&gt;"Cancelled"),K16+ROW()/10000000,"")</f>
        <v/>
      </c>
      <c r="U16">
        <f>IF(OR(B16="",C16=""),"",B16+ROW()/10000000)</f>
        <v/>
      </c>
      <c r="V16">
        <f>IF(U16="","",IF(COUNTIFS(Orders!$C$6:$C$1005,C16,Orders!$U$6:$U$1005,"&gt;"&amp;U16)=0,1,0))</f>
        <v/>
      </c>
      <c r="W16">
        <f>IF(AND(B16&lt;&gt;"",K16&lt;&gt;"",L16&lt;&gt;"Sent",L16&lt;&gt;"Picked up",L16&lt;&gt;"Cancelled"),IF(N(E16)=0,1,E16),0)</f>
        <v/>
      </c>
      <c r="X16">
        <f>IF(OR(B16="",D16=""),"",IF(N(E16)=0,1,E16))</f>
        <v/>
      </c>
    </row>
    <row r="17">
      <c r="A17" s="1" t="n"/>
      <c r="B17" s="31" t="n">
        <v>46042</v>
      </c>
      <c r="C17" s="32" t="inlineStr">
        <is>
          <t>Iris Cole</t>
        </is>
      </c>
      <c r="D17" s="33" t="inlineStr">
        <is>
          <t>Soy candle 8 oz</t>
        </is>
      </c>
      <c r="E17" s="34" t="n">
        <v>1</v>
      </c>
      <c r="F17" s="35" t="n">
        <v>5</v>
      </c>
      <c r="G17" s="35" t="n">
        <v>6.95</v>
      </c>
      <c r="H17" s="30">
        <f>IF(OR(B17="",D17=""),"",IF(N(E17)=0,1,E17)*IFERROR(INDEX(Products!$C$6:$C$105,MATCH(D17,Products!$B$6:$B$105,0)),0)+N(F17)+N(G17))</f>
        <v/>
      </c>
      <c r="I17" s="35" t="n">
        <v>33.95</v>
      </c>
      <c r="J17" s="30">
        <f>IF(OR(H17="",L17="Cancelled"),"",IF(H17-N(I17)&gt;0.005,H17-N(I17),""))</f>
        <v/>
      </c>
      <c r="K17" s="31" t="n">
        <v>46046</v>
      </c>
      <c r="L17" s="36" t="inlineStr">
        <is>
          <t>Sent</t>
        </is>
      </c>
      <c r="M17" s="33" t="inlineStr">
        <is>
          <t>Etsy</t>
        </is>
      </c>
      <c r="N17" s="22">
        <f>IF(OR(H17="",L17="Cancelled"),"",IF(N(E17)=0,1,E17)*IFERROR(INDEX(Products!$E$6:$E$105,MATCH(D17,Products!$B$6:$B$105,0)),0))</f>
        <v/>
      </c>
      <c r="O17" s="35" t="n">
        <v>5.86</v>
      </c>
      <c r="P17" s="22">
        <f>IF(OR(H17="",L17="Cancelled"),"",ROUND(IFERROR(H17*INDEX(Settings!$C$6:$C$15,MATCH(M17,Settings!$B$6:$B$15,0))+INDEX(Settings!$D$6:$D$15,MATCH(M17,Settings!$B$6:$B$15,0)),0),2))</f>
        <v/>
      </c>
      <c r="Q17" s="28">
        <f>IF(OR(H17="",L17="Cancelled"),"",H17-N(N17)-N(O17)-N(P17))</f>
        <v/>
      </c>
      <c r="R17" s="19">
        <f>IF(OR(B17="",K17=""),"",IF(OR(L17="Sent",L17="Picked up"),"Done",IF(L17="Cancelled","Cancelled",IF(K17&lt;TODAY(),"Late by "&amp;(TODAY()-K17)&amp;IF((TODAY()-K17)=1," day"," days"),IF(K17=TODAY(),"Due today","Due in "&amp;(K17-TODAY())&amp;IF((K17-TODAY())=1," day"," days"))))))</f>
        <v/>
      </c>
      <c r="S17" s="33" t="inlineStr">
        <is>
          <t>Custom label</t>
        </is>
      </c>
      <c r="T17" s="1">
        <f>IF(AND(B17&lt;&gt;"",K17&lt;&gt;"",L17&lt;&gt;"Sent",L17&lt;&gt;"Picked up",L17&lt;&gt;"Cancelled"),K17+ROW()/10000000,"")</f>
        <v/>
      </c>
      <c r="U17">
        <f>IF(OR(B17="",C17=""),"",B17+ROW()/10000000)</f>
        <v/>
      </c>
      <c r="V17">
        <f>IF(U17="","",IF(COUNTIFS(Orders!$C$6:$C$1005,C17,Orders!$U$6:$U$1005,"&gt;"&amp;U17)=0,1,0))</f>
        <v/>
      </c>
      <c r="W17">
        <f>IF(AND(B17&lt;&gt;"",K17&lt;&gt;"",L17&lt;&gt;"Sent",L17&lt;&gt;"Picked up",L17&lt;&gt;"Cancelled"),IF(N(E17)=0,1,E17),0)</f>
        <v/>
      </c>
      <c r="X17">
        <f>IF(OR(B17="",D17=""),"",IF(N(E17)=0,1,E17))</f>
        <v/>
      </c>
    </row>
    <row r="18">
      <c r="A18" s="1" t="n"/>
      <c r="B18" s="31" t="n">
        <v>46042</v>
      </c>
      <c r="C18" s="32" t="inlineStr">
        <is>
          <t>Paula Fox</t>
        </is>
      </c>
      <c r="D18" s="33" t="inlineStr">
        <is>
          <t>Soap bar</t>
        </is>
      </c>
      <c r="E18" s="34" t="n">
        <v>1</v>
      </c>
      <c r="F18" s="35" t="n"/>
      <c r="G18" s="35" t="n">
        <v>6.95</v>
      </c>
      <c r="H18" s="30">
        <f>IF(OR(B18="",D18=""),"",IF(N(E18)=0,1,E18)*IFERROR(INDEX(Products!$C$6:$C$105,MATCH(D18,Products!$B$6:$B$105,0)),0)+N(F18)+N(G18))</f>
        <v/>
      </c>
      <c r="I18" s="35" t="n">
        <v>14.95</v>
      </c>
      <c r="J18" s="30">
        <f>IF(OR(H18="",L18="Cancelled"),"",IF(H18-N(I18)&gt;0.005,H18-N(I18),""))</f>
        <v/>
      </c>
      <c r="K18" s="31" t="n">
        <v>46050</v>
      </c>
      <c r="L18" s="36" t="inlineStr">
        <is>
          <t>Sent</t>
        </is>
      </c>
      <c r="M18" s="33" t="inlineStr">
        <is>
          <t>Etsy</t>
        </is>
      </c>
      <c r="N18" s="22">
        <f>IF(OR(H18="",L18="Cancelled"),"",IF(N(E18)=0,1,E18)*IFERROR(INDEX(Products!$E$6:$E$105,MATCH(D18,Products!$B$6:$B$105,0)),0))</f>
        <v/>
      </c>
      <c r="O18" s="35" t="n">
        <v>5.61</v>
      </c>
      <c r="P18" s="22">
        <f>IF(OR(H18="",L18="Cancelled"),"",ROUND(IFERROR(H18*INDEX(Settings!$C$6:$C$15,MATCH(M18,Settings!$B$6:$B$15,0))+INDEX(Settings!$D$6:$D$15,MATCH(M18,Settings!$B$6:$B$15,0)),0),2))</f>
        <v/>
      </c>
      <c r="Q18" s="28">
        <f>IF(OR(H18="",L18="Cancelled"),"",H18-N(N18)-N(O18)-N(P18))</f>
        <v/>
      </c>
      <c r="R18" s="19">
        <f>IF(OR(B18="",K18=""),"",IF(OR(L18="Sent",L18="Picked up"),"Done",IF(L18="Cancelled","Cancelled",IF(K18&lt;TODAY(),"Late by "&amp;(TODAY()-K18)&amp;IF((TODAY()-K18)=1," day"," days"),IF(K18=TODAY(),"Due today","Due in "&amp;(K18-TODAY())&amp;IF((K18-TODAY())=1," day"," days"))))))</f>
        <v/>
      </c>
      <c r="S18" s="33" t="n"/>
      <c r="T18" s="1">
        <f>IF(AND(B18&lt;&gt;"",K18&lt;&gt;"",L18&lt;&gt;"Sent",L18&lt;&gt;"Picked up",L18&lt;&gt;"Cancelled"),K18+ROW()/10000000,"")</f>
        <v/>
      </c>
      <c r="U18">
        <f>IF(OR(B18="",C18=""),"",B18+ROW()/10000000)</f>
        <v/>
      </c>
      <c r="V18">
        <f>IF(U18="","",IF(COUNTIFS(Orders!$C$6:$C$1005,C18,Orders!$U$6:$U$1005,"&gt;"&amp;U18)=0,1,0))</f>
        <v/>
      </c>
      <c r="W18">
        <f>IF(AND(B18&lt;&gt;"",K18&lt;&gt;"",L18&lt;&gt;"Sent",L18&lt;&gt;"Picked up",L18&lt;&gt;"Cancelled"),IF(N(E18)=0,1,E18),0)</f>
        <v/>
      </c>
      <c r="X18">
        <f>IF(OR(B18="",D18=""),"",IF(N(E18)=0,1,E18))</f>
        <v/>
      </c>
    </row>
    <row r="19">
      <c r="A19" s="1" t="n"/>
      <c r="B19" s="31" t="n">
        <v>46043</v>
      </c>
      <c r="C19" s="32" t="inlineStr">
        <is>
          <t>Leah Morgan</t>
        </is>
      </c>
      <c r="D19" s="33" t="inlineStr">
        <is>
          <t>Soy candle 16 oz</t>
        </is>
      </c>
      <c r="E19" s="34" t="n">
        <v>3</v>
      </c>
      <c r="F19" s="35" t="n"/>
      <c r="G19" s="35" t="n">
        <v>6.95</v>
      </c>
      <c r="H19" s="30">
        <f>IF(OR(B19="",D19=""),"",IF(N(E19)=0,1,E19)*IFERROR(INDEX(Products!$C$6:$C$105,MATCH(D19,Products!$B$6:$B$105,0)),0)+N(F19)+N(G19))</f>
        <v/>
      </c>
      <c r="I19" s="35" t="n">
        <v>108.95</v>
      </c>
      <c r="J19" s="30">
        <f>IF(OR(H19="",L19="Cancelled"),"",IF(H19-N(I19)&gt;0.005,H19-N(I19),""))</f>
        <v/>
      </c>
      <c r="K19" s="31" t="n">
        <v>46053</v>
      </c>
      <c r="L19" s="36" t="inlineStr">
        <is>
          <t>Sent</t>
        </is>
      </c>
      <c r="M19" s="33" t="inlineStr">
        <is>
          <t>Etsy</t>
        </is>
      </c>
      <c r="N19" s="22">
        <f>IF(OR(H19="",L19="Cancelled"),"",IF(N(E19)=0,1,E19)*IFERROR(INDEX(Products!$E$6:$E$105,MATCH(D19,Products!$B$6:$B$105,0)),0))</f>
        <v/>
      </c>
      <c r="O19" s="35" t="n">
        <v>5.46</v>
      </c>
      <c r="P19" s="22">
        <f>IF(OR(H19="",L19="Cancelled"),"",ROUND(IFERROR(H19*INDEX(Settings!$C$6:$C$15,MATCH(M19,Settings!$B$6:$B$15,0))+INDEX(Settings!$D$6:$D$15,MATCH(M19,Settings!$B$6:$B$15,0)),0),2))</f>
        <v/>
      </c>
      <c r="Q19" s="28">
        <f>IF(OR(H19="",L19="Cancelled"),"",H19-N(N19)-N(O19)-N(P19))</f>
        <v/>
      </c>
      <c r="R19" s="19">
        <f>IF(OR(B19="",K19=""),"",IF(OR(L19="Sent",L19="Picked up"),"Done",IF(L19="Cancelled","Cancelled",IF(K19&lt;TODAY(),"Late by "&amp;(TODAY()-K19)&amp;IF((TODAY()-K19)=1," day"," days"),IF(K19=TODAY(),"Due today","Due in "&amp;(K19-TODAY())&amp;IF((K19-TODAY())=1," day"," days"))))))</f>
        <v/>
      </c>
      <c r="S19" s="33" t="n"/>
      <c r="T19" s="1">
        <f>IF(AND(B19&lt;&gt;"",K19&lt;&gt;"",L19&lt;&gt;"Sent",L19&lt;&gt;"Picked up",L19&lt;&gt;"Cancelled"),K19+ROW()/10000000,"")</f>
        <v/>
      </c>
      <c r="U19">
        <f>IF(OR(B19="",C19=""),"",B19+ROW()/10000000)</f>
        <v/>
      </c>
      <c r="V19">
        <f>IF(U19="","",IF(COUNTIFS(Orders!$C$6:$C$1005,C19,Orders!$U$6:$U$1005,"&gt;"&amp;U19)=0,1,0))</f>
        <v/>
      </c>
      <c r="W19">
        <f>IF(AND(B19&lt;&gt;"",K19&lt;&gt;"",L19&lt;&gt;"Sent",L19&lt;&gt;"Picked up",L19&lt;&gt;"Cancelled"),IF(N(E19)=0,1,E19),0)</f>
        <v/>
      </c>
      <c r="X19">
        <f>IF(OR(B19="",D19=""),"",IF(N(E19)=0,1,E19))</f>
        <v/>
      </c>
    </row>
    <row r="20">
      <c r="A20" s="1" t="n"/>
      <c r="B20" s="31" t="n">
        <v>46043</v>
      </c>
      <c r="C20" s="32" t="inlineStr">
        <is>
          <t>Holly Cox</t>
        </is>
      </c>
      <c r="D20" s="33" t="inlineStr">
        <is>
          <t>Wedding favours, 10 tins</t>
        </is>
      </c>
      <c r="E20" s="34" t="n">
        <v>8</v>
      </c>
      <c r="F20" s="35" t="n"/>
      <c r="G20" s="35" t="n">
        <v>6.95</v>
      </c>
      <c r="H20" s="30">
        <f>IF(OR(B20="",D20=""),"",IF(N(E20)=0,1,E20)*IFERROR(INDEX(Products!$C$6:$C$105,MATCH(D20,Products!$B$6:$B$105,0)),0)+N(F20)+N(G20))</f>
        <v/>
      </c>
      <c r="I20" s="35" t="n">
        <v>486.95</v>
      </c>
      <c r="J20" s="30">
        <f>IF(OR(H20="",L20="Cancelled"),"",IF(H20-N(I20)&gt;0.005,H20-N(I20),""))</f>
        <v/>
      </c>
      <c r="K20" s="31" t="n">
        <v>46070</v>
      </c>
      <c r="L20" s="36" t="inlineStr">
        <is>
          <t>Sent</t>
        </is>
      </c>
      <c r="M20" s="33" t="inlineStr">
        <is>
          <t>Etsy</t>
        </is>
      </c>
      <c r="N20" s="22">
        <f>IF(OR(H20="",L20="Cancelled"),"",IF(N(E20)=0,1,E20)*IFERROR(INDEX(Products!$E$6:$E$105,MATCH(D20,Products!$B$6:$B$105,0)),0))</f>
        <v/>
      </c>
      <c r="O20" s="35" t="n">
        <v>5.3</v>
      </c>
      <c r="P20" s="22">
        <f>IF(OR(H20="",L20="Cancelled"),"",ROUND(IFERROR(H20*INDEX(Settings!$C$6:$C$15,MATCH(M20,Settings!$B$6:$B$15,0))+INDEX(Settings!$D$6:$D$15,MATCH(M20,Settings!$B$6:$B$15,0)),0),2))</f>
        <v/>
      </c>
      <c r="Q20" s="28">
        <f>IF(OR(H20="",L20="Cancelled"),"",H20-N(N20)-N(O20)-N(P20))</f>
        <v/>
      </c>
      <c r="R20" s="19">
        <f>IF(OR(B20="",K20=""),"",IF(OR(L20="Sent",L20="Picked up"),"Done",IF(L20="Cancelled","Cancelled",IF(K20&lt;TODAY(),"Late by "&amp;(TODAY()-K20)&amp;IF((TODAY()-K20)=1," day"," days"),IF(K20=TODAY(),"Due today","Due in "&amp;(K20-TODAY())&amp;IF((K20-TODAY())=1," day"," days"))))))</f>
        <v/>
      </c>
      <c r="S20" s="33" t="n"/>
      <c r="T20" s="1">
        <f>IF(AND(B20&lt;&gt;"",K20&lt;&gt;"",L20&lt;&gt;"Sent",L20&lt;&gt;"Picked up",L20&lt;&gt;"Cancelled"),K20+ROW()/10000000,"")</f>
        <v/>
      </c>
      <c r="U20">
        <f>IF(OR(B20="",C20=""),"",B20+ROW()/10000000)</f>
        <v/>
      </c>
      <c r="V20">
        <f>IF(U20="","",IF(COUNTIFS(Orders!$C$6:$C$1005,C20,Orders!$U$6:$U$1005,"&gt;"&amp;U20)=0,1,0))</f>
        <v/>
      </c>
      <c r="W20">
        <f>IF(AND(B20&lt;&gt;"",K20&lt;&gt;"",L20&lt;&gt;"Sent",L20&lt;&gt;"Picked up",L20&lt;&gt;"Cancelled"),IF(N(E20)=0,1,E20),0)</f>
        <v/>
      </c>
      <c r="X20">
        <f>IF(OR(B20="",D20=""),"",IF(N(E20)=0,1,E20))</f>
        <v/>
      </c>
    </row>
    <row r="21">
      <c r="A21" s="1" t="n"/>
      <c r="B21" s="31" t="n">
        <v>46044</v>
      </c>
      <c r="C21" s="32" t="inlineStr">
        <is>
          <t>Nina Kelly</t>
        </is>
      </c>
      <c r="D21" s="33" t="inlineStr">
        <is>
          <t>Soap bar</t>
        </is>
      </c>
      <c r="E21" s="34" t="n">
        <v>1</v>
      </c>
      <c r="F21" s="35" t="n"/>
      <c r="G21" s="35" t="n">
        <v>6.95</v>
      </c>
      <c r="H21" s="30">
        <f>IF(OR(B21="",D21=""),"",IF(N(E21)=0,1,E21)*IFERROR(INDEX(Products!$C$6:$C$105,MATCH(D21,Products!$B$6:$B$105,0)),0)+N(F21)+N(G21))</f>
        <v/>
      </c>
      <c r="I21" s="35" t="n">
        <v>14.95</v>
      </c>
      <c r="J21" s="30">
        <f>IF(OR(H21="",L21="Cancelled"),"",IF(H21-N(I21)&gt;0.005,H21-N(I21),""))</f>
        <v/>
      </c>
      <c r="K21" s="31" t="n">
        <v>46052</v>
      </c>
      <c r="L21" s="36" t="inlineStr">
        <is>
          <t>Sent</t>
        </is>
      </c>
      <c r="M21" s="33" t="inlineStr">
        <is>
          <t>Etsy</t>
        </is>
      </c>
      <c r="N21" s="22">
        <f>IF(OR(H21="",L21="Cancelled"),"",IF(N(E21)=0,1,E21)*IFERROR(INDEX(Products!$E$6:$E$105,MATCH(D21,Products!$B$6:$B$105,0)),0))</f>
        <v/>
      </c>
      <c r="O21" s="35" t="n">
        <v>6.16</v>
      </c>
      <c r="P21" s="22">
        <f>IF(OR(H21="",L21="Cancelled"),"",ROUND(IFERROR(H21*INDEX(Settings!$C$6:$C$15,MATCH(M21,Settings!$B$6:$B$15,0))+INDEX(Settings!$D$6:$D$15,MATCH(M21,Settings!$B$6:$B$15,0)),0),2))</f>
        <v/>
      </c>
      <c r="Q21" s="28">
        <f>IF(OR(H21="",L21="Cancelled"),"",H21-N(N21)-N(O21)-N(P21))</f>
        <v/>
      </c>
      <c r="R21" s="19">
        <f>IF(OR(B21="",K21=""),"",IF(OR(L21="Sent",L21="Picked up"),"Done",IF(L21="Cancelled","Cancelled",IF(K21&lt;TODAY(),"Late by "&amp;(TODAY()-K21)&amp;IF((TODAY()-K21)=1," day"," days"),IF(K21=TODAY(),"Due today","Due in "&amp;(K21-TODAY())&amp;IF((K21-TODAY())=1," day"," days"))))))</f>
        <v/>
      </c>
      <c r="S21" s="33" t="n"/>
      <c r="T21" s="1">
        <f>IF(AND(B21&lt;&gt;"",K21&lt;&gt;"",L21&lt;&gt;"Sent",L21&lt;&gt;"Picked up",L21&lt;&gt;"Cancelled"),K21+ROW()/10000000,"")</f>
        <v/>
      </c>
      <c r="U21">
        <f>IF(OR(B21="",C21=""),"",B21+ROW()/10000000)</f>
        <v/>
      </c>
      <c r="V21">
        <f>IF(U21="","",IF(COUNTIFS(Orders!$C$6:$C$1005,C21,Orders!$U$6:$U$1005,"&gt;"&amp;U21)=0,1,0))</f>
        <v/>
      </c>
      <c r="W21">
        <f>IF(AND(B21&lt;&gt;"",K21&lt;&gt;"",L21&lt;&gt;"Sent",L21&lt;&gt;"Picked up",L21&lt;&gt;"Cancelled"),IF(N(E21)=0,1,E21),0)</f>
        <v/>
      </c>
      <c r="X21">
        <f>IF(OR(B21="",D21=""),"",IF(N(E21)=0,1,E21))</f>
        <v/>
      </c>
    </row>
    <row r="22">
      <c r="A22" s="1" t="n"/>
      <c r="B22" s="31" t="n">
        <v>46044</v>
      </c>
      <c r="C22" s="32" t="inlineStr">
        <is>
          <t>Dina Cole</t>
        </is>
      </c>
      <c r="D22" s="33" t="inlineStr">
        <is>
          <t>Soy candle 8 oz</t>
        </is>
      </c>
      <c r="E22" s="34" t="n">
        <v>2</v>
      </c>
      <c r="F22" s="35" t="n"/>
      <c r="G22" s="35" t="n">
        <v>6.95</v>
      </c>
      <c r="H22" s="30">
        <f>IF(OR(B22="",D22=""),"",IF(N(E22)=0,1,E22)*IFERROR(INDEX(Products!$C$6:$C$105,MATCH(D22,Products!$B$6:$B$105,0)),0)+N(F22)+N(G22))</f>
        <v/>
      </c>
      <c r="I22" s="35" t="n">
        <v>50.95</v>
      </c>
      <c r="J22" s="30">
        <f>IF(OR(H22="",L22="Cancelled"),"",IF(H22-N(I22)&gt;0.005,H22-N(I22),""))</f>
        <v/>
      </c>
      <c r="K22" s="31" t="n">
        <v>46052</v>
      </c>
      <c r="L22" s="36" t="inlineStr">
        <is>
          <t>Sent</t>
        </is>
      </c>
      <c r="M22" s="33" t="inlineStr">
        <is>
          <t>Etsy</t>
        </is>
      </c>
      <c r="N22" s="22">
        <f>IF(OR(H22="",L22="Cancelled"),"",IF(N(E22)=0,1,E22)*IFERROR(INDEX(Products!$E$6:$E$105,MATCH(D22,Products!$B$6:$B$105,0)),0))</f>
        <v/>
      </c>
      <c r="O22" s="35" t="n">
        <v>6.25</v>
      </c>
      <c r="P22" s="22">
        <f>IF(OR(H22="",L22="Cancelled"),"",ROUND(IFERROR(H22*INDEX(Settings!$C$6:$C$15,MATCH(M22,Settings!$B$6:$B$15,0))+INDEX(Settings!$D$6:$D$15,MATCH(M22,Settings!$B$6:$B$15,0)),0),2))</f>
        <v/>
      </c>
      <c r="Q22" s="28">
        <f>IF(OR(H22="",L22="Cancelled"),"",H22-N(N22)-N(O22)-N(P22))</f>
        <v/>
      </c>
      <c r="R22" s="19">
        <f>IF(OR(B22="",K22=""),"",IF(OR(L22="Sent",L22="Picked up"),"Done",IF(L22="Cancelled","Cancelled",IF(K22&lt;TODAY(),"Late by "&amp;(TODAY()-K22)&amp;IF((TODAY()-K22)=1," day"," days"),IF(K22=TODAY(),"Due today","Due in "&amp;(K22-TODAY())&amp;IF((K22-TODAY())=1," day"," days"))))))</f>
        <v/>
      </c>
      <c r="S22" s="33" t="n"/>
      <c r="T22" s="1">
        <f>IF(AND(B22&lt;&gt;"",K22&lt;&gt;"",L22&lt;&gt;"Sent",L22&lt;&gt;"Picked up",L22&lt;&gt;"Cancelled"),K22+ROW()/10000000,"")</f>
        <v/>
      </c>
      <c r="U22">
        <f>IF(OR(B22="",C22=""),"",B22+ROW()/10000000)</f>
        <v/>
      </c>
      <c r="V22">
        <f>IF(U22="","",IF(COUNTIFS(Orders!$C$6:$C$1005,C22,Orders!$U$6:$U$1005,"&gt;"&amp;U22)=0,1,0))</f>
        <v/>
      </c>
      <c r="W22">
        <f>IF(AND(B22&lt;&gt;"",K22&lt;&gt;"",L22&lt;&gt;"Sent",L22&lt;&gt;"Picked up",L22&lt;&gt;"Cancelled"),IF(N(E22)=0,1,E22),0)</f>
        <v/>
      </c>
      <c r="X22">
        <f>IF(OR(B22="",D22=""),"",IF(N(E22)=0,1,E22))</f>
        <v/>
      </c>
    </row>
    <row r="23">
      <c r="A23" s="1" t="n"/>
      <c r="B23" s="31" t="n">
        <v>46045</v>
      </c>
      <c r="C23" s="32" t="inlineStr">
        <is>
          <t>Jon Reed</t>
        </is>
      </c>
      <c r="D23" s="33" t="inlineStr">
        <is>
          <t>Soy candle 8 oz</t>
        </is>
      </c>
      <c r="E23" s="34" t="n">
        <v>4</v>
      </c>
      <c r="F23" s="35" t="n">
        <v>20</v>
      </c>
      <c r="G23" s="35" t="n"/>
      <c r="H23" s="30">
        <f>IF(OR(B23="",D23=""),"",IF(N(E23)=0,1,E23)*IFERROR(INDEX(Products!$C$6:$C$105,MATCH(D23,Products!$B$6:$B$105,0)),0)+N(F23)+N(G23))</f>
        <v/>
      </c>
      <c r="I23" s="35" t="n">
        <v>108</v>
      </c>
      <c r="J23" s="30">
        <f>IF(OR(H23="",L23="Cancelled"),"",IF(H23-N(I23)&gt;0.005,H23-N(I23),""))</f>
        <v/>
      </c>
      <c r="K23" s="31" t="n">
        <v>46050</v>
      </c>
      <c r="L23" s="36" t="inlineStr">
        <is>
          <t>Picked up</t>
        </is>
      </c>
      <c r="M23" s="33" t="inlineStr">
        <is>
          <t>Craft market</t>
        </is>
      </c>
      <c r="N23" s="22">
        <f>IF(OR(H23="",L23="Cancelled"),"",IF(N(E23)=0,1,E23)*IFERROR(INDEX(Products!$E$6:$E$105,MATCH(D23,Products!$B$6:$B$105,0)),0))</f>
        <v/>
      </c>
      <c r="O23" s="35" t="n"/>
      <c r="P23" s="22">
        <f>IF(OR(H23="",L23="Cancelled"),"",ROUND(IFERROR(H23*INDEX(Settings!$C$6:$C$15,MATCH(M23,Settings!$B$6:$B$15,0))+INDEX(Settings!$D$6:$D$15,MATCH(M23,Settings!$B$6:$B$15,0)),0),2))</f>
        <v/>
      </c>
      <c r="Q23" s="28">
        <f>IF(OR(H23="",L23="Cancelled"),"",H23-N(N23)-N(O23)-N(P23))</f>
        <v/>
      </c>
      <c r="R23" s="19">
        <f>IF(OR(B23="",K23=""),"",IF(OR(L23="Sent",L23="Picked up"),"Done",IF(L23="Cancelled","Cancelled",IF(K23&lt;TODAY(),"Late by "&amp;(TODAY()-K23)&amp;IF((TODAY()-K23)=1," day"," days"),IF(K23=TODAY(),"Due today","Due in "&amp;(K23-TODAY())&amp;IF((K23-TODAY())=1," day"," days"))))))</f>
        <v/>
      </c>
      <c r="S23" s="33" t="inlineStr">
        <is>
          <t>Custom label</t>
        </is>
      </c>
      <c r="T23" s="1">
        <f>IF(AND(B23&lt;&gt;"",K23&lt;&gt;"",L23&lt;&gt;"Sent",L23&lt;&gt;"Picked up",L23&lt;&gt;"Cancelled"),K23+ROW()/10000000,"")</f>
        <v/>
      </c>
      <c r="U23">
        <f>IF(OR(B23="",C23=""),"",B23+ROW()/10000000)</f>
        <v/>
      </c>
      <c r="V23">
        <f>IF(U23="","",IF(COUNTIFS(Orders!$C$6:$C$1005,C23,Orders!$U$6:$U$1005,"&gt;"&amp;U23)=0,1,0))</f>
        <v/>
      </c>
      <c r="W23">
        <f>IF(AND(B23&lt;&gt;"",K23&lt;&gt;"",L23&lt;&gt;"Sent",L23&lt;&gt;"Picked up",L23&lt;&gt;"Cancelled"),IF(N(E23)=0,1,E23),0)</f>
        <v/>
      </c>
      <c r="X23">
        <f>IF(OR(B23="",D23=""),"",IF(N(E23)=0,1,E23))</f>
        <v/>
      </c>
    </row>
    <row r="24">
      <c r="A24" s="1" t="n"/>
      <c r="B24" s="31" t="n">
        <v>46046</v>
      </c>
      <c r="C24" s="32" t="inlineStr">
        <is>
          <t>Nina Reed</t>
        </is>
      </c>
      <c r="D24" s="33" t="inlineStr">
        <is>
          <t>Soy candle 8 oz</t>
        </is>
      </c>
      <c r="E24" s="34" t="n">
        <v>2</v>
      </c>
      <c r="F24" s="35" t="n"/>
      <c r="G24" s="35" t="n">
        <v>6.95</v>
      </c>
      <c r="H24" s="30">
        <f>IF(OR(B24="",D24=""),"",IF(N(E24)=0,1,E24)*IFERROR(INDEX(Products!$C$6:$C$105,MATCH(D24,Products!$B$6:$B$105,0)),0)+N(F24)+N(G24))</f>
        <v/>
      </c>
      <c r="I24" s="35" t="n">
        <v>50.95</v>
      </c>
      <c r="J24" s="30">
        <f>IF(OR(H24="",L24="Cancelled"),"",IF(H24-N(I24)&gt;0.005,H24-N(I24),""))</f>
        <v/>
      </c>
      <c r="K24" s="31" t="n">
        <v>46055</v>
      </c>
      <c r="L24" s="36" t="inlineStr">
        <is>
          <t>Sent</t>
        </is>
      </c>
      <c r="M24" s="33" t="inlineStr">
        <is>
          <t>Own website</t>
        </is>
      </c>
      <c r="N24" s="22">
        <f>IF(OR(H24="",L24="Cancelled"),"",IF(N(E24)=0,1,E24)*IFERROR(INDEX(Products!$E$6:$E$105,MATCH(D24,Products!$B$6:$B$105,0)),0))</f>
        <v/>
      </c>
      <c r="O24" s="35" t="n">
        <v>5.6</v>
      </c>
      <c r="P24" s="22">
        <f>IF(OR(H24="",L24="Cancelled"),"",ROUND(IFERROR(H24*INDEX(Settings!$C$6:$C$15,MATCH(M24,Settings!$B$6:$B$15,0))+INDEX(Settings!$D$6:$D$15,MATCH(M24,Settings!$B$6:$B$15,0)),0),2))</f>
        <v/>
      </c>
      <c r="Q24" s="28">
        <f>IF(OR(H24="",L24="Cancelled"),"",H24-N(N24)-N(O24)-N(P24))</f>
        <v/>
      </c>
      <c r="R24" s="19">
        <f>IF(OR(B24="",K24=""),"",IF(OR(L24="Sent",L24="Picked up"),"Done",IF(L24="Cancelled","Cancelled",IF(K24&lt;TODAY(),"Late by "&amp;(TODAY()-K24)&amp;IF((TODAY()-K24)=1," day"," days"),IF(K24=TODAY(),"Due today","Due in "&amp;(K24-TODAY())&amp;IF((K24-TODAY())=1," day"," days"))))))</f>
        <v/>
      </c>
      <c r="S24" s="33" t="n"/>
      <c r="T24" s="1">
        <f>IF(AND(B24&lt;&gt;"",K24&lt;&gt;"",L24&lt;&gt;"Sent",L24&lt;&gt;"Picked up",L24&lt;&gt;"Cancelled"),K24+ROW()/10000000,"")</f>
        <v/>
      </c>
      <c r="U24">
        <f>IF(OR(B24="",C24=""),"",B24+ROW()/10000000)</f>
        <v/>
      </c>
      <c r="V24">
        <f>IF(U24="","",IF(COUNTIFS(Orders!$C$6:$C$1005,C24,Orders!$U$6:$U$1005,"&gt;"&amp;U24)=0,1,0))</f>
        <v/>
      </c>
      <c r="W24">
        <f>IF(AND(B24&lt;&gt;"",K24&lt;&gt;"",L24&lt;&gt;"Sent",L24&lt;&gt;"Picked up",L24&lt;&gt;"Cancelled"),IF(N(E24)=0,1,E24),0)</f>
        <v/>
      </c>
      <c r="X24">
        <f>IF(OR(B24="",D24=""),"",IF(N(E24)=0,1,E24))</f>
        <v/>
      </c>
    </row>
    <row r="25">
      <c r="A25" s="1" t="n"/>
      <c r="B25" s="31" t="n">
        <v>46047</v>
      </c>
      <c r="C25" s="32" t="inlineStr">
        <is>
          <t>Rita Price</t>
        </is>
      </c>
      <c r="D25" s="33" t="inlineStr">
        <is>
          <t>Soy candle 8 oz</t>
        </is>
      </c>
      <c r="E25" s="34" t="n">
        <v>3</v>
      </c>
      <c r="F25" s="35" t="n">
        <v>15</v>
      </c>
      <c r="G25" s="35" t="n"/>
      <c r="H25" s="30">
        <f>IF(OR(B25="",D25=""),"",IF(N(E25)=0,1,E25)*IFERROR(INDEX(Products!$C$6:$C$105,MATCH(D25,Products!$B$6:$B$105,0)),0)+N(F25)+N(G25))</f>
        <v/>
      </c>
      <c r="I25" s="35" t="n">
        <v>81</v>
      </c>
      <c r="J25" s="30">
        <f>IF(OR(H25="",L25="Cancelled"),"",IF(H25-N(I25)&gt;0.005,H25-N(I25),""))</f>
        <v/>
      </c>
      <c r="K25" s="31" t="n">
        <v>46059</v>
      </c>
      <c r="L25" s="36" t="inlineStr">
        <is>
          <t>Picked up</t>
        </is>
      </c>
      <c r="M25" s="33" t="inlineStr">
        <is>
          <t>Instagram</t>
        </is>
      </c>
      <c r="N25" s="22">
        <f>IF(OR(H25="",L25="Cancelled"),"",IF(N(E25)=0,1,E25)*IFERROR(INDEX(Products!$E$6:$E$105,MATCH(D25,Products!$B$6:$B$105,0)),0))</f>
        <v/>
      </c>
      <c r="O25" s="35" t="n"/>
      <c r="P25" s="22">
        <f>IF(OR(H25="",L25="Cancelled"),"",ROUND(IFERROR(H25*INDEX(Settings!$C$6:$C$15,MATCH(M25,Settings!$B$6:$B$15,0))+INDEX(Settings!$D$6:$D$15,MATCH(M25,Settings!$B$6:$B$15,0)),0),2))</f>
        <v/>
      </c>
      <c r="Q25" s="28">
        <f>IF(OR(H25="",L25="Cancelled"),"",H25-N(N25)-N(O25)-N(P25))</f>
        <v/>
      </c>
      <c r="R25" s="19">
        <f>IF(OR(B25="",K25=""),"",IF(OR(L25="Sent",L25="Picked up"),"Done",IF(L25="Cancelled","Cancelled",IF(K25&lt;TODAY(),"Late by "&amp;(TODAY()-K25)&amp;IF((TODAY()-K25)=1," day"," days"),IF(K25=TODAY(),"Due today","Due in "&amp;(K25-TODAY())&amp;IF((K25-TODAY())=1," day"," days"))))))</f>
        <v/>
      </c>
      <c r="S25" s="33" t="inlineStr">
        <is>
          <t>Custom label</t>
        </is>
      </c>
      <c r="T25" s="1">
        <f>IF(AND(B25&lt;&gt;"",K25&lt;&gt;"",L25&lt;&gt;"Sent",L25&lt;&gt;"Picked up",L25&lt;&gt;"Cancelled"),K25+ROW()/10000000,"")</f>
        <v/>
      </c>
      <c r="U25">
        <f>IF(OR(B25="",C25=""),"",B25+ROW()/10000000)</f>
        <v/>
      </c>
      <c r="V25">
        <f>IF(U25="","",IF(COUNTIFS(Orders!$C$6:$C$1005,C25,Orders!$U$6:$U$1005,"&gt;"&amp;U25)=0,1,0))</f>
        <v/>
      </c>
      <c r="W25">
        <f>IF(AND(B25&lt;&gt;"",K25&lt;&gt;"",L25&lt;&gt;"Sent",L25&lt;&gt;"Picked up",L25&lt;&gt;"Cancelled"),IF(N(E25)=0,1,E25),0)</f>
        <v/>
      </c>
      <c r="X25">
        <f>IF(OR(B25="",D25=""),"",IF(N(E25)=0,1,E25))</f>
        <v/>
      </c>
    </row>
    <row r="26">
      <c r="A26" s="1" t="n"/>
      <c r="B26" s="31" t="n">
        <v>46048</v>
      </c>
      <c r="C26" s="32" t="inlineStr">
        <is>
          <t>Megan Murphy</t>
        </is>
      </c>
      <c r="D26" s="33" t="inlineStr">
        <is>
          <t>Soy candle 16 oz</t>
        </is>
      </c>
      <c r="E26" s="34" t="n">
        <v>2</v>
      </c>
      <c r="F26" s="35" t="n"/>
      <c r="G26" s="35" t="n">
        <v>6.95</v>
      </c>
      <c r="H26" s="30">
        <f>IF(OR(B26="",D26=""),"",IF(N(E26)=0,1,E26)*IFERROR(INDEX(Products!$C$6:$C$105,MATCH(D26,Products!$B$6:$B$105,0)),0)+N(F26)+N(G26))</f>
        <v/>
      </c>
      <c r="I26" s="35" t="n">
        <v>74.95</v>
      </c>
      <c r="J26" s="30">
        <f>IF(OR(H26="",L26="Cancelled"),"",IF(H26-N(I26)&gt;0.005,H26-N(I26),""))</f>
        <v/>
      </c>
      <c r="K26" s="31" t="n">
        <v>46058</v>
      </c>
      <c r="L26" s="36" t="inlineStr">
        <is>
          <t>Sent</t>
        </is>
      </c>
      <c r="M26" s="33" t="inlineStr">
        <is>
          <t>Etsy</t>
        </is>
      </c>
      <c r="N26" s="22">
        <f>IF(OR(H26="",L26="Cancelled"),"",IF(N(E26)=0,1,E26)*IFERROR(INDEX(Products!$E$6:$E$105,MATCH(D26,Products!$B$6:$B$105,0)),0))</f>
        <v/>
      </c>
      <c r="O26" s="35" t="n">
        <v>5.47</v>
      </c>
      <c r="P26" s="22">
        <f>IF(OR(H26="",L26="Cancelled"),"",ROUND(IFERROR(H26*INDEX(Settings!$C$6:$C$15,MATCH(M26,Settings!$B$6:$B$15,0))+INDEX(Settings!$D$6:$D$15,MATCH(M26,Settings!$B$6:$B$15,0)),0),2))</f>
        <v/>
      </c>
      <c r="Q26" s="28">
        <f>IF(OR(H26="",L26="Cancelled"),"",H26-N(N26)-N(O26)-N(P26))</f>
        <v/>
      </c>
      <c r="R26" s="19">
        <f>IF(OR(B26="",K26=""),"",IF(OR(L26="Sent",L26="Picked up"),"Done",IF(L26="Cancelled","Cancelled",IF(K26&lt;TODAY(),"Late by "&amp;(TODAY()-K26)&amp;IF((TODAY()-K26)=1," day"," days"),IF(K26=TODAY(),"Due today","Due in "&amp;(K26-TODAY())&amp;IF((K26-TODAY())=1," day"," days"))))))</f>
        <v/>
      </c>
      <c r="S26" s="33" t="n"/>
      <c r="T26" s="1">
        <f>IF(AND(B26&lt;&gt;"",K26&lt;&gt;"",L26&lt;&gt;"Sent",L26&lt;&gt;"Picked up",L26&lt;&gt;"Cancelled"),K26+ROW()/10000000,"")</f>
        <v/>
      </c>
      <c r="U26">
        <f>IF(OR(B26="",C26=""),"",B26+ROW()/10000000)</f>
        <v/>
      </c>
      <c r="V26">
        <f>IF(U26="","",IF(COUNTIFS(Orders!$C$6:$C$1005,C26,Orders!$U$6:$U$1005,"&gt;"&amp;U26)=0,1,0))</f>
        <v/>
      </c>
      <c r="W26">
        <f>IF(AND(B26&lt;&gt;"",K26&lt;&gt;"",L26&lt;&gt;"Sent",L26&lt;&gt;"Picked up",L26&lt;&gt;"Cancelled"),IF(N(E26)=0,1,E26),0)</f>
        <v/>
      </c>
      <c r="X26">
        <f>IF(OR(B26="",D26=""),"",IF(N(E26)=0,1,E26))</f>
        <v/>
      </c>
    </row>
    <row r="27">
      <c r="A27" s="1" t="n"/>
      <c r="B27" s="31" t="n">
        <v>46049</v>
      </c>
      <c r="C27" s="32" t="inlineStr">
        <is>
          <t>Clara Mason</t>
        </is>
      </c>
      <c r="D27" s="33" t="inlineStr">
        <is>
          <t>Soy candle 16 oz</t>
        </is>
      </c>
      <c r="E27" s="34" t="n">
        <v>2</v>
      </c>
      <c r="F27" s="35" t="n">
        <v>10</v>
      </c>
      <c r="G27" s="35" t="n">
        <v>6.95</v>
      </c>
      <c r="H27" s="30">
        <f>IF(OR(B27="",D27=""),"",IF(N(E27)=0,1,E27)*IFERROR(INDEX(Products!$C$6:$C$105,MATCH(D27,Products!$B$6:$B$105,0)),0)+N(F27)+N(G27))</f>
        <v/>
      </c>
      <c r="I27" s="35" t="n">
        <v>84.95</v>
      </c>
      <c r="J27" s="30">
        <f>IF(OR(H27="",L27="Cancelled"),"",IF(H27-N(I27)&gt;0.005,H27-N(I27),""))</f>
        <v/>
      </c>
      <c r="K27" s="31" t="n">
        <v>46056</v>
      </c>
      <c r="L27" s="36" t="inlineStr">
        <is>
          <t>Sent</t>
        </is>
      </c>
      <c r="M27" s="33" t="inlineStr">
        <is>
          <t>Etsy</t>
        </is>
      </c>
      <c r="N27" s="22">
        <f>IF(OR(H27="",L27="Cancelled"),"",IF(N(E27)=0,1,E27)*IFERROR(INDEX(Products!$E$6:$E$105,MATCH(D27,Products!$B$6:$B$105,0)),0))</f>
        <v/>
      </c>
      <c r="O27" s="35" t="n">
        <v>5.31</v>
      </c>
      <c r="P27" s="22">
        <f>IF(OR(H27="",L27="Cancelled"),"",ROUND(IFERROR(H27*INDEX(Settings!$C$6:$C$15,MATCH(M27,Settings!$B$6:$B$15,0))+INDEX(Settings!$D$6:$D$15,MATCH(M27,Settings!$B$6:$B$15,0)),0),2))</f>
        <v/>
      </c>
      <c r="Q27" s="28">
        <f>IF(OR(H27="",L27="Cancelled"),"",H27-N(N27)-N(O27)-N(P27))</f>
        <v/>
      </c>
      <c r="R27" s="19">
        <f>IF(OR(B27="",K27=""),"",IF(OR(L27="Sent",L27="Picked up"),"Done",IF(L27="Cancelled","Cancelled",IF(K27&lt;TODAY(),"Late by "&amp;(TODAY()-K27)&amp;IF((TODAY()-K27)=1," day"," days"),IF(K27=TODAY(),"Due today","Due in "&amp;(K27-TODAY())&amp;IF((K27-TODAY())=1," day"," days"))))))</f>
        <v/>
      </c>
      <c r="S27" s="33" t="inlineStr">
        <is>
          <t>Custom label</t>
        </is>
      </c>
      <c r="T27" s="1">
        <f>IF(AND(B27&lt;&gt;"",K27&lt;&gt;"",L27&lt;&gt;"Sent",L27&lt;&gt;"Picked up",L27&lt;&gt;"Cancelled"),K27+ROW()/10000000,"")</f>
        <v/>
      </c>
      <c r="U27">
        <f>IF(OR(B27="",C27=""),"",B27+ROW()/10000000)</f>
        <v/>
      </c>
      <c r="V27">
        <f>IF(U27="","",IF(COUNTIFS(Orders!$C$6:$C$1005,C27,Orders!$U$6:$U$1005,"&gt;"&amp;U27)=0,1,0))</f>
        <v/>
      </c>
      <c r="W27">
        <f>IF(AND(B27&lt;&gt;"",K27&lt;&gt;"",L27&lt;&gt;"Sent",L27&lt;&gt;"Picked up",L27&lt;&gt;"Cancelled"),IF(N(E27)=0,1,E27),0)</f>
        <v/>
      </c>
      <c r="X27">
        <f>IF(OR(B27="",D27=""),"",IF(N(E27)=0,1,E27))</f>
        <v/>
      </c>
    </row>
    <row r="28">
      <c r="A28" s="1" t="n"/>
      <c r="B28" s="31" t="n">
        <v>46050</v>
      </c>
      <c r="C28" s="32" t="inlineStr">
        <is>
          <t>Adam Cox</t>
        </is>
      </c>
      <c r="D28" s="33" t="inlineStr">
        <is>
          <t>Wax melts, 6 pack</t>
        </is>
      </c>
      <c r="E28" s="34" t="n">
        <v>3</v>
      </c>
      <c r="F28" s="35" t="n"/>
      <c r="G28" s="35" t="n"/>
      <c r="H28" s="30">
        <f>IF(OR(B28="",D28=""),"",IF(N(E28)=0,1,E28)*IFERROR(INDEX(Products!$C$6:$C$105,MATCH(D28,Products!$B$6:$B$105,0)),0)+N(F28)+N(G28))</f>
        <v/>
      </c>
      <c r="I28" s="35" t="n">
        <v>27</v>
      </c>
      <c r="J28" s="30">
        <f>IF(OR(H28="",L28="Cancelled"),"",IF(H28-N(I28)&gt;0.005,H28-N(I28),""))</f>
        <v/>
      </c>
      <c r="K28" s="31" t="n">
        <v>46061</v>
      </c>
      <c r="L28" s="36" t="inlineStr">
        <is>
          <t>Picked up</t>
        </is>
      </c>
      <c r="M28" s="33" t="inlineStr">
        <is>
          <t>Instagram</t>
        </is>
      </c>
      <c r="N28" s="22">
        <f>IF(OR(H28="",L28="Cancelled"),"",IF(N(E28)=0,1,E28)*IFERROR(INDEX(Products!$E$6:$E$105,MATCH(D28,Products!$B$6:$B$105,0)),0))</f>
        <v/>
      </c>
      <c r="O28" s="35" t="n"/>
      <c r="P28" s="22">
        <f>IF(OR(H28="",L28="Cancelled"),"",ROUND(IFERROR(H28*INDEX(Settings!$C$6:$C$15,MATCH(M28,Settings!$B$6:$B$15,0))+INDEX(Settings!$D$6:$D$15,MATCH(M28,Settings!$B$6:$B$15,0)),0),2))</f>
        <v/>
      </c>
      <c r="Q28" s="28">
        <f>IF(OR(H28="",L28="Cancelled"),"",H28-N(N28)-N(O28)-N(P28))</f>
        <v/>
      </c>
      <c r="R28" s="19">
        <f>IF(OR(B28="",K28=""),"",IF(OR(L28="Sent",L28="Picked up"),"Done",IF(L28="Cancelled","Cancelled",IF(K28&lt;TODAY(),"Late by "&amp;(TODAY()-K28)&amp;IF((TODAY()-K28)=1," day"," days"),IF(K28=TODAY(),"Due today","Due in "&amp;(K28-TODAY())&amp;IF((K28-TODAY())=1," day"," days"))))))</f>
        <v/>
      </c>
      <c r="S28" s="33" t="n"/>
      <c r="T28" s="1">
        <f>IF(AND(B28&lt;&gt;"",K28&lt;&gt;"",L28&lt;&gt;"Sent",L28&lt;&gt;"Picked up",L28&lt;&gt;"Cancelled"),K28+ROW()/10000000,"")</f>
        <v/>
      </c>
      <c r="U28">
        <f>IF(OR(B28="",C28=""),"",B28+ROW()/10000000)</f>
        <v/>
      </c>
      <c r="V28">
        <f>IF(U28="","",IF(COUNTIFS(Orders!$C$6:$C$1005,C28,Orders!$U$6:$U$1005,"&gt;"&amp;U28)=0,1,0))</f>
        <v/>
      </c>
      <c r="W28">
        <f>IF(AND(B28&lt;&gt;"",K28&lt;&gt;"",L28&lt;&gt;"Sent",L28&lt;&gt;"Picked up",L28&lt;&gt;"Cancelled"),IF(N(E28)=0,1,E28),0)</f>
        <v/>
      </c>
      <c r="X28">
        <f>IF(OR(B28="",D28=""),"",IF(N(E28)=0,1,E28))</f>
        <v/>
      </c>
    </row>
    <row r="29">
      <c r="A29" s="1" t="n"/>
      <c r="B29" s="31" t="n">
        <v>46051</v>
      </c>
      <c r="C29" s="32" t="inlineStr">
        <is>
          <t>Helen Kelly</t>
        </is>
      </c>
      <c r="D29" s="33" t="inlineStr">
        <is>
          <t>Soap bar</t>
        </is>
      </c>
      <c r="E29" s="34" t="n">
        <v>3</v>
      </c>
      <c r="F29" s="35" t="n"/>
      <c r="G29" s="35" t="n"/>
      <c r="H29" s="30">
        <f>IF(OR(B29="",D29=""),"",IF(N(E29)=0,1,E29)*IFERROR(INDEX(Products!$C$6:$C$105,MATCH(D29,Products!$B$6:$B$105,0)),0)+N(F29)+N(G29))</f>
        <v/>
      </c>
      <c r="I29" s="35" t="n">
        <v>24</v>
      </c>
      <c r="J29" s="30">
        <f>IF(OR(H29="",L29="Cancelled"),"",IF(H29-N(I29)&gt;0.005,H29-N(I29),""))</f>
        <v/>
      </c>
      <c r="K29" s="31" t="n">
        <v>46063</v>
      </c>
      <c r="L29" s="36" t="inlineStr">
        <is>
          <t>Picked up</t>
        </is>
      </c>
      <c r="M29" s="33" t="inlineStr">
        <is>
          <t>Friends and family</t>
        </is>
      </c>
      <c r="N29" s="22">
        <f>IF(OR(H29="",L29="Cancelled"),"",IF(N(E29)=0,1,E29)*IFERROR(INDEX(Products!$E$6:$E$105,MATCH(D29,Products!$B$6:$B$105,0)),0))</f>
        <v/>
      </c>
      <c r="O29" s="35" t="n"/>
      <c r="P29" s="22">
        <f>IF(OR(H29="",L29="Cancelled"),"",ROUND(IFERROR(H29*INDEX(Settings!$C$6:$C$15,MATCH(M29,Settings!$B$6:$B$15,0))+INDEX(Settings!$D$6:$D$15,MATCH(M29,Settings!$B$6:$B$15,0)),0),2))</f>
        <v/>
      </c>
      <c r="Q29" s="28">
        <f>IF(OR(H29="",L29="Cancelled"),"",H29-N(N29)-N(O29)-N(P29))</f>
        <v/>
      </c>
      <c r="R29" s="19">
        <f>IF(OR(B29="",K29=""),"",IF(OR(L29="Sent",L29="Picked up"),"Done",IF(L29="Cancelled","Cancelled",IF(K29&lt;TODAY(),"Late by "&amp;(TODAY()-K29)&amp;IF((TODAY()-K29)=1," day"," days"),IF(K29=TODAY(),"Due today","Due in "&amp;(K29-TODAY())&amp;IF((K29-TODAY())=1," day"," days"))))))</f>
        <v/>
      </c>
      <c r="S29" s="33" t="n"/>
      <c r="T29" s="1">
        <f>IF(AND(B29&lt;&gt;"",K29&lt;&gt;"",L29&lt;&gt;"Sent",L29&lt;&gt;"Picked up",L29&lt;&gt;"Cancelled"),K29+ROW()/10000000,"")</f>
        <v/>
      </c>
      <c r="U29">
        <f>IF(OR(B29="",C29=""),"",B29+ROW()/10000000)</f>
        <v/>
      </c>
      <c r="V29">
        <f>IF(U29="","",IF(COUNTIFS(Orders!$C$6:$C$1005,C29,Orders!$U$6:$U$1005,"&gt;"&amp;U29)=0,1,0))</f>
        <v/>
      </c>
      <c r="W29">
        <f>IF(AND(B29&lt;&gt;"",K29&lt;&gt;"",L29&lt;&gt;"Sent",L29&lt;&gt;"Picked up",L29&lt;&gt;"Cancelled"),IF(N(E29)=0,1,E29),0)</f>
        <v/>
      </c>
      <c r="X29">
        <f>IF(OR(B29="",D29=""),"",IF(N(E29)=0,1,E29))</f>
        <v/>
      </c>
    </row>
    <row r="30">
      <c r="A30" s="1" t="n"/>
      <c r="B30" s="31" t="n">
        <v>46051</v>
      </c>
      <c r="C30" s="32" t="inlineStr">
        <is>
          <t>Ruby Brooks</t>
        </is>
      </c>
      <c r="D30" s="33" t="inlineStr">
        <is>
          <t>Soy candle 8 oz</t>
        </is>
      </c>
      <c r="E30" s="34" t="n">
        <v>3</v>
      </c>
      <c r="F30" s="35" t="n"/>
      <c r="G30" s="35" t="n">
        <v>6.95</v>
      </c>
      <c r="H30" s="30">
        <f>IF(OR(B30="",D30=""),"",IF(N(E30)=0,1,E30)*IFERROR(INDEX(Products!$C$6:$C$105,MATCH(D30,Products!$B$6:$B$105,0)),0)+N(F30)+N(G30))</f>
        <v/>
      </c>
      <c r="I30" s="35" t="n">
        <v>72.95</v>
      </c>
      <c r="J30" s="30">
        <f>IF(OR(H30="",L30="Cancelled"),"",IF(H30-N(I30)&gt;0.005,H30-N(I30),""))</f>
        <v/>
      </c>
      <c r="K30" s="31" t="n">
        <v>46055</v>
      </c>
      <c r="L30" s="36" t="inlineStr">
        <is>
          <t>Sent</t>
        </is>
      </c>
      <c r="M30" s="33" t="inlineStr">
        <is>
          <t>Etsy</t>
        </is>
      </c>
      <c r="N30" s="22">
        <f>IF(OR(H30="",L30="Cancelled"),"",IF(N(E30)=0,1,E30)*IFERROR(INDEX(Products!$E$6:$E$105,MATCH(D30,Products!$B$6:$B$105,0)),0))</f>
        <v/>
      </c>
      <c r="O30" s="35" t="n">
        <v>5.65</v>
      </c>
      <c r="P30" s="22">
        <f>IF(OR(H30="",L30="Cancelled"),"",ROUND(IFERROR(H30*INDEX(Settings!$C$6:$C$15,MATCH(M30,Settings!$B$6:$B$15,0))+INDEX(Settings!$D$6:$D$15,MATCH(M30,Settings!$B$6:$B$15,0)),0),2))</f>
        <v/>
      </c>
      <c r="Q30" s="28">
        <f>IF(OR(H30="",L30="Cancelled"),"",H30-N(N30)-N(O30)-N(P30))</f>
        <v/>
      </c>
      <c r="R30" s="19">
        <f>IF(OR(B30="",K30=""),"",IF(OR(L30="Sent",L30="Picked up"),"Done",IF(L30="Cancelled","Cancelled",IF(K30&lt;TODAY(),"Late by "&amp;(TODAY()-K30)&amp;IF((TODAY()-K30)=1," day"," days"),IF(K30=TODAY(),"Due today","Due in "&amp;(K30-TODAY())&amp;IF((K30-TODAY())=1," day"," days"))))))</f>
        <v/>
      </c>
      <c r="S30" s="33" t="n"/>
      <c r="T30" s="1">
        <f>IF(AND(B30&lt;&gt;"",K30&lt;&gt;"",L30&lt;&gt;"Sent",L30&lt;&gt;"Picked up",L30&lt;&gt;"Cancelled"),K30+ROW()/10000000,"")</f>
        <v/>
      </c>
      <c r="U30">
        <f>IF(OR(B30="",C30=""),"",B30+ROW()/10000000)</f>
        <v/>
      </c>
      <c r="V30">
        <f>IF(U30="","",IF(COUNTIFS(Orders!$C$6:$C$1005,C30,Orders!$U$6:$U$1005,"&gt;"&amp;U30)=0,1,0))</f>
        <v/>
      </c>
      <c r="W30">
        <f>IF(AND(B30&lt;&gt;"",K30&lt;&gt;"",L30&lt;&gt;"Sent",L30&lt;&gt;"Picked up",L30&lt;&gt;"Cancelled"),IF(N(E30)=0,1,E30),0)</f>
        <v/>
      </c>
      <c r="X30">
        <f>IF(OR(B30="",D30=""),"",IF(N(E30)=0,1,E30))</f>
        <v/>
      </c>
    </row>
    <row r="31">
      <c r="A31" s="1" t="n"/>
      <c r="B31" s="31" t="n">
        <v>46052</v>
      </c>
      <c r="C31" s="32" t="inlineStr">
        <is>
          <t>Holly Cox</t>
        </is>
      </c>
      <c r="D31" s="33" t="inlineStr">
        <is>
          <t>Wax melts, 6 pack</t>
        </is>
      </c>
      <c r="E31" s="34" t="n">
        <v>1</v>
      </c>
      <c r="F31" s="35" t="n"/>
      <c r="G31" s="35" t="n"/>
      <c r="H31" s="30">
        <f>IF(OR(B31="",D31=""),"",IF(N(E31)=0,1,E31)*IFERROR(INDEX(Products!$C$6:$C$105,MATCH(D31,Products!$B$6:$B$105,0)),0)+N(F31)+N(G31))</f>
        <v/>
      </c>
      <c r="I31" s="35" t="n">
        <v>9</v>
      </c>
      <c r="J31" s="30">
        <f>IF(OR(H31="",L31="Cancelled"),"",IF(H31-N(I31)&gt;0.005,H31-N(I31),""))</f>
        <v/>
      </c>
      <c r="K31" s="31" t="n">
        <v>46064</v>
      </c>
      <c r="L31" s="36" t="inlineStr">
        <is>
          <t>Picked up</t>
        </is>
      </c>
      <c r="M31" s="33" t="inlineStr">
        <is>
          <t>Craft market</t>
        </is>
      </c>
      <c r="N31" s="22">
        <f>IF(OR(H31="",L31="Cancelled"),"",IF(N(E31)=0,1,E31)*IFERROR(INDEX(Products!$E$6:$E$105,MATCH(D31,Products!$B$6:$B$105,0)),0))</f>
        <v/>
      </c>
      <c r="O31" s="35" t="n"/>
      <c r="P31" s="22">
        <f>IF(OR(H31="",L31="Cancelled"),"",ROUND(IFERROR(H31*INDEX(Settings!$C$6:$C$15,MATCH(M31,Settings!$B$6:$B$15,0))+INDEX(Settings!$D$6:$D$15,MATCH(M31,Settings!$B$6:$B$15,0)),0),2))</f>
        <v/>
      </c>
      <c r="Q31" s="28">
        <f>IF(OR(H31="",L31="Cancelled"),"",H31-N(N31)-N(O31)-N(P31))</f>
        <v/>
      </c>
      <c r="R31" s="19">
        <f>IF(OR(B31="",K31=""),"",IF(OR(L31="Sent",L31="Picked up"),"Done",IF(L31="Cancelled","Cancelled",IF(K31&lt;TODAY(),"Late by "&amp;(TODAY()-K31)&amp;IF((TODAY()-K31)=1," day"," days"),IF(K31=TODAY(),"Due today","Due in "&amp;(K31-TODAY())&amp;IF((K31-TODAY())=1," day"," days"))))))</f>
        <v/>
      </c>
      <c r="S31" s="33" t="n"/>
      <c r="T31" s="1">
        <f>IF(AND(B31&lt;&gt;"",K31&lt;&gt;"",L31&lt;&gt;"Sent",L31&lt;&gt;"Picked up",L31&lt;&gt;"Cancelled"),K31+ROW()/10000000,"")</f>
        <v/>
      </c>
      <c r="U31">
        <f>IF(OR(B31="",C31=""),"",B31+ROW()/10000000)</f>
        <v/>
      </c>
      <c r="V31">
        <f>IF(U31="","",IF(COUNTIFS(Orders!$C$6:$C$1005,C31,Orders!$U$6:$U$1005,"&gt;"&amp;U31)=0,1,0))</f>
        <v/>
      </c>
      <c r="W31">
        <f>IF(AND(B31&lt;&gt;"",K31&lt;&gt;"",L31&lt;&gt;"Sent",L31&lt;&gt;"Picked up",L31&lt;&gt;"Cancelled"),IF(N(E31)=0,1,E31),0)</f>
        <v/>
      </c>
      <c r="X31">
        <f>IF(OR(B31="",D31=""),"",IF(N(E31)=0,1,E31))</f>
        <v/>
      </c>
    </row>
    <row r="32">
      <c r="A32" s="1" t="n"/>
      <c r="B32" s="31" t="n">
        <v>46053</v>
      </c>
      <c r="C32" s="32" t="inlineStr">
        <is>
          <t>Mia Cox</t>
        </is>
      </c>
      <c r="D32" s="33" t="inlineStr">
        <is>
          <t>Soy candle 8 oz</t>
        </is>
      </c>
      <c r="E32" s="34" t="n">
        <v>3</v>
      </c>
      <c r="F32" s="35" t="n"/>
      <c r="G32" s="35" t="n"/>
      <c r="H32" s="30">
        <f>IF(OR(B32="",D32=""),"",IF(N(E32)=0,1,E32)*IFERROR(INDEX(Products!$C$6:$C$105,MATCH(D32,Products!$B$6:$B$105,0)),0)+N(F32)+N(G32))</f>
        <v/>
      </c>
      <c r="I32" s="35" t="n">
        <v>66</v>
      </c>
      <c r="J32" s="30">
        <f>IF(OR(H32="",L32="Cancelled"),"",IF(H32-N(I32)&gt;0.005,H32-N(I32),""))</f>
        <v/>
      </c>
      <c r="K32" s="31" t="n">
        <v>46062</v>
      </c>
      <c r="L32" s="36" t="inlineStr">
        <is>
          <t>Picked up</t>
        </is>
      </c>
      <c r="M32" s="33" t="inlineStr">
        <is>
          <t>Friends and family</t>
        </is>
      </c>
      <c r="N32" s="22">
        <f>IF(OR(H32="",L32="Cancelled"),"",IF(N(E32)=0,1,E32)*IFERROR(INDEX(Products!$E$6:$E$105,MATCH(D32,Products!$B$6:$B$105,0)),0))</f>
        <v/>
      </c>
      <c r="O32" s="35" t="n"/>
      <c r="P32" s="22">
        <f>IF(OR(H32="",L32="Cancelled"),"",ROUND(IFERROR(H32*INDEX(Settings!$C$6:$C$15,MATCH(M32,Settings!$B$6:$B$15,0))+INDEX(Settings!$D$6:$D$15,MATCH(M32,Settings!$B$6:$B$15,0)),0),2))</f>
        <v/>
      </c>
      <c r="Q32" s="28">
        <f>IF(OR(H32="",L32="Cancelled"),"",H32-N(N32)-N(O32)-N(P32))</f>
        <v/>
      </c>
      <c r="R32" s="19">
        <f>IF(OR(B32="",K32=""),"",IF(OR(L32="Sent",L32="Picked up"),"Done",IF(L32="Cancelled","Cancelled",IF(K32&lt;TODAY(),"Late by "&amp;(TODAY()-K32)&amp;IF((TODAY()-K32)=1," day"," days"),IF(K32=TODAY(),"Due today","Due in "&amp;(K32-TODAY())&amp;IF((K32-TODAY())=1," day"," days"))))))</f>
        <v/>
      </c>
      <c r="S32" s="33" t="n"/>
      <c r="T32" s="1">
        <f>IF(AND(B32&lt;&gt;"",K32&lt;&gt;"",L32&lt;&gt;"Sent",L32&lt;&gt;"Picked up",L32&lt;&gt;"Cancelled"),K32+ROW()/10000000,"")</f>
        <v/>
      </c>
      <c r="U32">
        <f>IF(OR(B32="",C32=""),"",B32+ROW()/10000000)</f>
        <v/>
      </c>
      <c r="V32">
        <f>IF(U32="","",IF(COUNTIFS(Orders!$C$6:$C$1005,C32,Orders!$U$6:$U$1005,"&gt;"&amp;U32)=0,1,0))</f>
        <v/>
      </c>
      <c r="W32">
        <f>IF(AND(B32&lt;&gt;"",K32&lt;&gt;"",L32&lt;&gt;"Sent",L32&lt;&gt;"Picked up",L32&lt;&gt;"Cancelled"),IF(N(E32)=0,1,E32),0)</f>
        <v/>
      </c>
      <c r="X32">
        <f>IF(OR(B32="",D32=""),"",IF(N(E32)=0,1,E32))</f>
        <v/>
      </c>
    </row>
    <row r="33">
      <c r="A33" s="1" t="n"/>
      <c r="B33" s="31" t="n">
        <v>46053</v>
      </c>
      <c r="C33" s="32" t="inlineStr">
        <is>
          <t>Ian Price</t>
        </is>
      </c>
      <c r="D33" s="33" t="inlineStr">
        <is>
          <t>Soy candle 8 oz</t>
        </is>
      </c>
      <c r="E33" s="34" t="n">
        <v>4</v>
      </c>
      <c r="F33" s="35" t="n"/>
      <c r="G33" s="35" t="n">
        <v>6.95</v>
      </c>
      <c r="H33" s="30">
        <f>IF(OR(B33="",D33=""),"",IF(N(E33)=0,1,E33)*IFERROR(INDEX(Products!$C$6:$C$105,MATCH(D33,Products!$B$6:$B$105,0)),0)+N(F33)+N(G33))</f>
        <v/>
      </c>
      <c r="I33" s="35" t="n">
        <v>94.95</v>
      </c>
      <c r="J33" s="30">
        <f>IF(OR(H33="",L33="Cancelled"),"",IF(H33-N(I33)&gt;0.005,H33-N(I33),""))</f>
        <v/>
      </c>
      <c r="K33" s="31" t="n">
        <v>46059</v>
      </c>
      <c r="L33" s="36" t="inlineStr">
        <is>
          <t>Sent</t>
        </is>
      </c>
      <c r="M33" s="33" t="inlineStr">
        <is>
          <t>Own website</t>
        </is>
      </c>
      <c r="N33" s="22">
        <f>IF(OR(H33="",L33="Cancelled"),"",IF(N(E33)=0,1,E33)*IFERROR(INDEX(Products!$E$6:$E$105,MATCH(D33,Products!$B$6:$B$105,0)),0))</f>
        <v/>
      </c>
      <c r="O33" s="35" t="n">
        <v>7.57</v>
      </c>
      <c r="P33" s="22">
        <f>IF(OR(H33="",L33="Cancelled"),"",ROUND(IFERROR(H33*INDEX(Settings!$C$6:$C$15,MATCH(M33,Settings!$B$6:$B$15,0))+INDEX(Settings!$D$6:$D$15,MATCH(M33,Settings!$B$6:$B$15,0)),0),2))</f>
        <v/>
      </c>
      <c r="Q33" s="28">
        <f>IF(OR(H33="",L33="Cancelled"),"",H33-N(N33)-N(O33)-N(P33))</f>
        <v/>
      </c>
      <c r="R33" s="19">
        <f>IF(OR(B33="",K33=""),"",IF(OR(L33="Sent",L33="Picked up"),"Done",IF(L33="Cancelled","Cancelled",IF(K33&lt;TODAY(),"Late by "&amp;(TODAY()-K33)&amp;IF((TODAY()-K33)=1," day"," days"),IF(K33=TODAY(),"Due today","Due in "&amp;(K33-TODAY())&amp;IF((K33-TODAY())=1," day"," days"))))))</f>
        <v/>
      </c>
      <c r="S33" s="33" t="n"/>
      <c r="T33" s="1">
        <f>IF(AND(B33&lt;&gt;"",K33&lt;&gt;"",L33&lt;&gt;"Sent",L33&lt;&gt;"Picked up",L33&lt;&gt;"Cancelled"),K33+ROW()/10000000,"")</f>
        <v/>
      </c>
      <c r="U33">
        <f>IF(OR(B33="",C33=""),"",B33+ROW()/10000000)</f>
        <v/>
      </c>
      <c r="V33">
        <f>IF(U33="","",IF(COUNTIFS(Orders!$C$6:$C$1005,C33,Orders!$U$6:$U$1005,"&gt;"&amp;U33)=0,1,0))</f>
        <v/>
      </c>
      <c r="W33">
        <f>IF(AND(B33&lt;&gt;"",K33&lt;&gt;"",L33&lt;&gt;"Sent",L33&lt;&gt;"Picked up",L33&lt;&gt;"Cancelled"),IF(N(E33)=0,1,E33),0)</f>
        <v/>
      </c>
      <c r="X33">
        <f>IF(OR(B33="",D33=""),"",IF(N(E33)=0,1,E33))</f>
        <v/>
      </c>
    </row>
    <row r="34">
      <c r="A34" s="1" t="n"/>
      <c r="B34" s="31" t="n">
        <v>46055</v>
      </c>
      <c r="C34" s="32" t="inlineStr">
        <is>
          <t>Paula Reed</t>
        </is>
      </c>
      <c r="D34" s="33" t="inlineStr">
        <is>
          <t>Soap bar</t>
        </is>
      </c>
      <c r="E34" s="34" t="n">
        <v>2</v>
      </c>
      <c r="F34" s="35" t="n"/>
      <c r="G34" s="35" t="n">
        <v>6.95</v>
      </c>
      <c r="H34" s="30">
        <f>IF(OR(B34="",D34=""),"",IF(N(E34)=0,1,E34)*IFERROR(INDEX(Products!$C$6:$C$105,MATCH(D34,Products!$B$6:$B$105,0)),0)+N(F34)+N(G34))</f>
        <v/>
      </c>
      <c r="I34" s="35" t="n">
        <v>22.95</v>
      </c>
      <c r="J34" s="30">
        <f>IF(OR(H34="",L34="Cancelled"),"",IF(H34-N(I34)&gt;0.005,H34-N(I34),""))</f>
        <v/>
      </c>
      <c r="K34" s="31" t="n">
        <v>46061</v>
      </c>
      <c r="L34" s="36" t="inlineStr">
        <is>
          <t>Sent</t>
        </is>
      </c>
      <c r="M34" s="33" t="inlineStr">
        <is>
          <t>Etsy</t>
        </is>
      </c>
      <c r="N34" s="22">
        <f>IF(OR(H34="",L34="Cancelled"),"",IF(N(E34)=0,1,E34)*IFERROR(INDEX(Products!$E$6:$E$105,MATCH(D34,Products!$B$6:$B$105,0)),0))</f>
        <v/>
      </c>
      <c r="O34" s="35" t="n">
        <v>6.3</v>
      </c>
      <c r="P34" s="22">
        <f>IF(OR(H34="",L34="Cancelled"),"",ROUND(IFERROR(H34*INDEX(Settings!$C$6:$C$15,MATCH(M34,Settings!$B$6:$B$15,0))+INDEX(Settings!$D$6:$D$15,MATCH(M34,Settings!$B$6:$B$15,0)),0),2))</f>
        <v/>
      </c>
      <c r="Q34" s="28">
        <f>IF(OR(H34="",L34="Cancelled"),"",H34-N(N34)-N(O34)-N(P34))</f>
        <v/>
      </c>
      <c r="R34" s="19">
        <f>IF(OR(B34="",K34=""),"",IF(OR(L34="Sent",L34="Picked up"),"Done",IF(L34="Cancelled","Cancelled",IF(K34&lt;TODAY(),"Late by "&amp;(TODAY()-K34)&amp;IF((TODAY()-K34)=1," day"," days"),IF(K34=TODAY(),"Due today","Due in "&amp;(K34-TODAY())&amp;IF((K34-TODAY())=1," day"," days"))))))</f>
        <v/>
      </c>
      <c r="S34" s="33" t="n"/>
      <c r="T34" s="1">
        <f>IF(AND(B34&lt;&gt;"",K34&lt;&gt;"",L34&lt;&gt;"Sent",L34&lt;&gt;"Picked up",L34&lt;&gt;"Cancelled"),K34+ROW()/10000000,"")</f>
        <v/>
      </c>
      <c r="U34">
        <f>IF(OR(B34="",C34=""),"",B34+ROW()/10000000)</f>
        <v/>
      </c>
      <c r="V34">
        <f>IF(U34="","",IF(COUNTIFS(Orders!$C$6:$C$1005,C34,Orders!$U$6:$U$1005,"&gt;"&amp;U34)=0,1,0))</f>
        <v/>
      </c>
      <c r="W34">
        <f>IF(AND(B34&lt;&gt;"",K34&lt;&gt;"",L34&lt;&gt;"Sent",L34&lt;&gt;"Picked up",L34&lt;&gt;"Cancelled"),IF(N(E34)=0,1,E34),0)</f>
        <v/>
      </c>
      <c r="X34">
        <f>IF(OR(B34="",D34=""),"",IF(N(E34)=0,1,E34))</f>
        <v/>
      </c>
    </row>
    <row r="35">
      <c r="A35" s="1" t="n"/>
      <c r="B35" s="31" t="n">
        <v>46056</v>
      </c>
      <c r="C35" s="32" t="inlineStr">
        <is>
          <t>Eli Davies</t>
        </is>
      </c>
      <c r="D35" s="33" t="inlineStr">
        <is>
          <t>Soap bar</t>
        </is>
      </c>
      <c r="E35" s="34" t="n">
        <v>1</v>
      </c>
      <c r="F35" s="35" t="n"/>
      <c r="G35" s="35" t="n"/>
      <c r="H35" s="30">
        <f>IF(OR(B35="",D35=""),"",IF(N(E35)=0,1,E35)*IFERROR(INDEX(Products!$C$6:$C$105,MATCH(D35,Products!$B$6:$B$105,0)),0)+N(F35)+N(G35))</f>
        <v/>
      </c>
      <c r="I35" s="35" t="n">
        <v>8</v>
      </c>
      <c r="J35" s="30">
        <f>IF(OR(H35="",L35="Cancelled"),"",IF(H35-N(I35)&gt;0.005,H35-N(I35),""))</f>
        <v/>
      </c>
      <c r="K35" s="31" t="n">
        <v>46066</v>
      </c>
      <c r="L35" s="36" t="inlineStr">
        <is>
          <t>Picked up</t>
        </is>
      </c>
      <c r="M35" s="33" t="inlineStr">
        <is>
          <t>Craft market</t>
        </is>
      </c>
      <c r="N35" s="22">
        <f>IF(OR(H35="",L35="Cancelled"),"",IF(N(E35)=0,1,E35)*IFERROR(INDEX(Products!$E$6:$E$105,MATCH(D35,Products!$B$6:$B$105,0)),0))</f>
        <v/>
      </c>
      <c r="O35" s="35" t="n"/>
      <c r="P35" s="22">
        <f>IF(OR(H35="",L35="Cancelled"),"",ROUND(IFERROR(H35*INDEX(Settings!$C$6:$C$15,MATCH(M35,Settings!$B$6:$B$15,0))+INDEX(Settings!$D$6:$D$15,MATCH(M35,Settings!$B$6:$B$15,0)),0),2))</f>
        <v/>
      </c>
      <c r="Q35" s="28">
        <f>IF(OR(H35="",L35="Cancelled"),"",H35-N(N35)-N(O35)-N(P35))</f>
        <v/>
      </c>
      <c r="R35" s="19">
        <f>IF(OR(B35="",K35=""),"",IF(OR(L35="Sent",L35="Picked up"),"Done",IF(L35="Cancelled","Cancelled",IF(K35&lt;TODAY(),"Late by "&amp;(TODAY()-K35)&amp;IF((TODAY()-K35)=1," day"," days"),IF(K35=TODAY(),"Due today","Due in "&amp;(K35-TODAY())&amp;IF((K35-TODAY())=1," day"," days"))))))</f>
        <v/>
      </c>
      <c r="S35" s="33" t="n"/>
      <c r="T35" s="1">
        <f>IF(AND(B35&lt;&gt;"",K35&lt;&gt;"",L35&lt;&gt;"Sent",L35&lt;&gt;"Picked up",L35&lt;&gt;"Cancelled"),K35+ROW()/10000000,"")</f>
        <v/>
      </c>
      <c r="U35">
        <f>IF(OR(B35="",C35=""),"",B35+ROW()/10000000)</f>
        <v/>
      </c>
      <c r="V35">
        <f>IF(U35="","",IF(COUNTIFS(Orders!$C$6:$C$1005,C35,Orders!$U$6:$U$1005,"&gt;"&amp;U35)=0,1,0))</f>
        <v/>
      </c>
      <c r="W35">
        <f>IF(AND(B35&lt;&gt;"",K35&lt;&gt;"",L35&lt;&gt;"Sent",L35&lt;&gt;"Picked up",L35&lt;&gt;"Cancelled"),IF(N(E35)=0,1,E35),0)</f>
        <v/>
      </c>
      <c r="X35">
        <f>IF(OR(B35="",D35=""),"",IF(N(E35)=0,1,E35))</f>
        <v/>
      </c>
    </row>
    <row r="36">
      <c r="A36" s="1" t="n"/>
      <c r="B36" s="31" t="n">
        <v>46056</v>
      </c>
      <c r="C36" s="32" t="inlineStr">
        <is>
          <t>Sara King</t>
        </is>
      </c>
      <c r="D36" s="33" t="inlineStr">
        <is>
          <t>Soy candle 16 oz</t>
        </is>
      </c>
      <c r="E36" s="34" t="n">
        <v>1</v>
      </c>
      <c r="F36" s="35" t="n"/>
      <c r="G36" s="35" t="n">
        <v>6.95</v>
      </c>
      <c r="H36" s="30">
        <f>IF(OR(B36="",D36=""),"",IF(N(E36)=0,1,E36)*IFERROR(INDEX(Products!$C$6:$C$105,MATCH(D36,Products!$B$6:$B$105,0)),0)+N(F36)+N(G36))</f>
        <v/>
      </c>
      <c r="I36" s="35" t="n">
        <v>40.95</v>
      </c>
      <c r="J36" s="30">
        <f>IF(OR(H36="",L36="Cancelled"),"",IF(H36-N(I36)&gt;0.005,H36-N(I36),""))</f>
        <v/>
      </c>
      <c r="K36" s="31" t="n">
        <v>46065</v>
      </c>
      <c r="L36" s="36" t="inlineStr">
        <is>
          <t>Sent</t>
        </is>
      </c>
      <c r="M36" s="33" t="inlineStr">
        <is>
          <t>Etsy</t>
        </is>
      </c>
      <c r="N36" s="22">
        <f>IF(OR(H36="",L36="Cancelled"),"",IF(N(E36)=0,1,E36)*IFERROR(INDEX(Products!$E$6:$E$105,MATCH(D36,Products!$B$6:$B$105,0)),0))</f>
        <v/>
      </c>
      <c r="O36" s="35" t="n">
        <v>7.29</v>
      </c>
      <c r="P36" s="22">
        <f>IF(OR(H36="",L36="Cancelled"),"",ROUND(IFERROR(H36*INDEX(Settings!$C$6:$C$15,MATCH(M36,Settings!$B$6:$B$15,0))+INDEX(Settings!$D$6:$D$15,MATCH(M36,Settings!$B$6:$B$15,0)),0),2))</f>
        <v/>
      </c>
      <c r="Q36" s="28">
        <f>IF(OR(H36="",L36="Cancelled"),"",H36-N(N36)-N(O36)-N(P36))</f>
        <v/>
      </c>
      <c r="R36" s="19">
        <f>IF(OR(B36="",K36=""),"",IF(OR(L36="Sent",L36="Picked up"),"Done",IF(L36="Cancelled","Cancelled",IF(K36&lt;TODAY(),"Late by "&amp;(TODAY()-K36)&amp;IF((TODAY()-K36)=1," day"," days"),IF(K36=TODAY(),"Due today","Due in "&amp;(K36-TODAY())&amp;IF((K36-TODAY())=1," day"," days"))))))</f>
        <v/>
      </c>
      <c r="S36" s="33" t="n"/>
      <c r="T36" s="1">
        <f>IF(AND(B36&lt;&gt;"",K36&lt;&gt;"",L36&lt;&gt;"Sent",L36&lt;&gt;"Picked up",L36&lt;&gt;"Cancelled"),K36+ROW()/10000000,"")</f>
        <v/>
      </c>
      <c r="U36">
        <f>IF(OR(B36="",C36=""),"",B36+ROW()/10000000)</f>
        <v/>
      </c>
      <c r="V36">
        <f>IF(U36="","",IF(COUNTIFS(Orders!$C$6:$C$1005,C36,Orders!$U$6:$U$1005,"&gt;"&amp;U36)=0,1,0))</f>
        <v/>
      </c>
      <c r="W36">
        <f>IF(AND(B36&lt;&gt;"",K36&lt;&gt;"",L36&lt;&gt;"Sent",L36&lt;&gt;"Picked up",L36&lt;&gt;"Cancelled"),IF(N(E36)=0,1,E36),0)</f>
        <v/>
      </c>
      <c r="X36">
        <f>IF(OR(B36="",D36=""),"",IF(N(E36)=0,1,E36))</f>
        <v/>
      </c>
    </row>
    <row r="37">
      <c r="A37" s="1" t="n"/>
      <c r="B37" s="31" t="n">
        <v>46057</v>
      </c>
      <c r="C37" s="32" t="inlineStr">
        <is>
          <t>Chris Owens</t>
        </is>
      </c>
      <c r="D37" s="33" t="inlineStr">
        <is>
          <t>Soap bar</t>
        </is>
      </c>
      <c r="E37" s="34" t="n">
        <v>1</v>
      </c>
      <c r="F37" s="35" t="n"/>
      <c r="G37" s="35" t="n"/>
      <c r="H37" s="30">
        <f>IF(OR(B37="",D37=""),"",IF(N(E37)=0,1,E37)*IFERROR(INDEX(Products!$C$6:$C$105,MATCH(D37,Products!$B$6:$B$105,0)),0)+N(F37)+N(G37))</f>
        <v/>
      </c>
      <c r="I37" s="35" t="n">
        <v>8</v>
      </c>
      <c r="J37" s="30">
        <f>IF(OR(H37="",L37="Cancelled"),"",IF(H37-N(I37)&gt;0.005,H37-N(I37),""))</f>
        <v/>
      </c>
      <c r="K37" s="31" t="n">
        <v>46065</v>
      </c>
      <c r="L37" s="36" t="inlineStr">
        <is>
          <t>Picked up</t>
        </is>
      </c>
      <c r="M37" s="33" t="inlineStr">
        <is>
          <t>Friends and family</t>
        </is>
      </c>
      <c r="N37" s="22">
        <f>IF(OR(H37="",L37="Cancelled"),"",IF(N(E37)=0,1,E37)*IFERROR(INDEX(Products!$E$6:$E$105,MATCH(D37,Products!$B$6:$B$105,0)),0))</f>
        <v/>
      </c>
      <c r="O37" s="35" t="n"/>
      <c r="P37" s="22">
        <f>IF(OR(H37="",L37="Cancelled"),"",ROUND(IFERROR(H37*INDEX(Settings!$C$6:$C$15,MATCH(M37,Settings!$B$6:$B$15,0))+INDEX(Settings!$D$6:$D$15,MATCH(M37,Settings!$B$6:$B$15,0)),0),2))</f>
        <v/>
      </c>
      <c r="Q37" s="28">
        <f>IF(OR(H37="",L37="Cancelled"),"",H37-N(N37)-N(O37)-N(P37))</f>
        <v/>
      </c>
      <c r="R37" s="19">
        <f>IF(OR(B37="",K37=""),"",IF(OR(L37="Sent",L37="Picked up"),"Done",IF(L37="Cancelled","Cancelled",IF(K37&lt;TODAY(),"Late by "&amp;(TODAY()-K37)&amp;IF((TODAY()-K37)=1," day"," days"),IF(K37=TODAY(),"Due today","Due in "&amp;(K37-TODAY())&amp;IF((K37-TODAY())=1," day"," days"))))))</f>
        <v/>
      </c>
      <c r="S37" s="33" t="n"/>
      <c r="T37" s="1">
        <f>IF(AND(B37&lt;&gt;"",K37&lt;&gt;"",L37&lt;&gt;"Sent",L37&lt;&gt;"Picked up",L37&lt;&gt;"Cancelled"),K37+ROW()/10000000,"")</f>
        <v/>
      </c>
      <c r="U37">
        <f>IF(OR(B37="",C37=""),"",B37+ROW()/10000000)</f>
        <v/>
      </c>
      <c r="V37">
        <f>IF(U37="","",IF(COUNTIFS(Orders!$C$6:$C$1005,C37,Orders!$U$6:$U$1005,"&gt;"&amp;U37)=0,1,0))</f>
        <v/>
      </c>
      <c r="W37">
        <f>IF(AND(B37&lt;&gt;"",K37&lt;&gt;"",L37&lt;&gt;"Sent",L37&lt;&gt;"Picked up",L37&lt;&gt;"Cancelled"),IF(N(E37)=0,1,E37),0)</f>
        <v/>
      </c>
      <c r="X37">
        <f>IF(OR(B37="",D37=""),"",IF(N(E37)=0,1,E37))</f>
        <v/>
      </c>
    </row>
    <row r="38">
      <c r="A38" s="1" t="n"/>
      <c r="B38" s="31" t="n">
        <v>46058</v>
      </c>
      <c r="C38" s="32" t="inlineStr">
        <is>
          <t>Adam Fox</t>
        </is>
      </c>
      <c r="D38" s="33" t="inlineStr">
        <is>
          <t>Soy candle 8 oz</t>
        </is>
      </c>
      <c r="E38" s="34" t="n">
        <v>3</v>
      </c>
      <c r="F38" s="35" t="n">
        <v>15</v>
      </c>
      <c r="G38" s="35" t="n">
        <v>6.95</v>
      </c>
      <c r="H38" s="30">
        <f>IF(OR(B38="",D38=""),"",IF(N(E38)=0,1,E38)*IFERROR(INDEX(Products!$C$6:$C$105,MATCH(D38,Products!$B$6:$B$105,0)),0)+N(F38)+N(G38))</f>
        <v/>
      </c>
      <c r="I38" s="35" t="n">
        <v>87.95</v>
      </c>
      <c r="J38" s="30">
        <f>IF(OR(H38="",L38="Cancelled"),"",IF(H38-N(I38)&gt;0.005,H38-N(I38),""))</f>
        <v/>
      </c>
      <c r="K38" s="31" t="n">
        <v>46067</v>
      </c>
      <c r="L38" s="36" t="inlineStr">
        <is>
          <t>Sent</t>
        </is>
      </c>
      <c r="M38" s="33" t="inlineStr">
        <is>
          <t>Etsy</t>
        </is>
      </c>
      <c r="N38" s="22">
        <f>IF(OR(H38="",L38="Cancelled"),"",IF(N(E38)=0,1,E38)*IFERROR(INDEX(Products!$E$6:$E$105,MATCH(D38,Products!$B$6:$B$105,0)),0))</f>
        <v/>
      </c>
      <c r="O38" s="35" t="n">
        <v>5.54</v>
      </c>
      <c r="P38" s="22">
        <f>IF(OR(H38="",L38="Cancelled"),"",ROUND(IFERROR(H38*INDEX(Settings!$C$6:$C$15,MATCH(M38,Settings!$B$6:$B$15,0))+INDEX(Settings!$D$6:$D$15,MATCH(M38,Settings!$B$6:$B$15,0)),0),2))</f>
        <v/>
      </c>
      <c r="Q38" s="28">
        <f>IF(OR(H38="",L38="Cancelled"),"",H38-N(N38)-N(O38)-N(P38))</f>
        <v/>
      </c>
      <c r="R38" s="19">
        <f>IF(OR(B38="",K38=""),"",IF(OR(L38="Sent",L38="Picked up"),"Done",IF(L38="Cancelled","Cancelled",IF(K38&lt;TODAY(),"Late by "&amp;(TODAY()-K38)&amp;IF((TODAY()-K38)=1," day"," days"),IF(K38=TODAY(),"Due today","Due in "&amp;(K38-TODAY())&amp;IF((K38-TODAY())=1," day"," days"))))))</f>
        <v/>
      </c>
      <c r="S38" s="33" t="inlineStr">
        <is>
          <t>Custom label</t>
        </is>
      </c>
      <c r="T38" s="1">
        <f>IF(AND(B38&lt;&gt;"",K38&lt;&gt;"",L38&lt;&gt;"Sent",L38&lt;&gt;"Picked up",L38&lt;&gt;"Cancelled"),K38+ROW()/10000000,"")</f>
        <v/>
      </c>
      <c r="U38">
        <f>IF(OR(B38="",C38=""),"",B38+ROW()/10000000)</f>
        <v/>
      </c>
      <c r="V38">
        <f>IF(U38="","",IF(COUNTIFS(Orders!$C$6:$C$1005,C38,Orders!$U$6:$U$1005,"&gt;"&amp;U38)=0,1,0))</f>
        <v/>
      </c>
      <c r="W38">
        <f>IF(AND(B38&lt;&gt;"",K38&lt;&gt;"",L38&lt;&gt;"Sent",L38&lt;&gt;"Picked up",L38&lt;&gt;"Cancelled"),IF(N(E38)=0,1,E38),0)</f>
        <v/>
      </c>
      <c r="X38">
        <f>IF(OR(B38="",D38=""),"",IF(N(E38)=0,1,E38))</f>
        <v/>
      </c>
    </row>
    <row r="39">
      <c r="A39" s="1" t="n"/>
      <c r="B39" s="31" t="n">
        <v>46058</v>
      </c>
      <c r="C39" s="32" t="inlineStr">
        <is>
          <t>Mia Cox</t>
        </is>
      </c>
      <c r="D39" s="33" t="inlineStr">
        <is>
          <t>Soy candle 8 oz</t>
        </is>
      </c>
      <c r="E39" s="34" t="n">
        <v>2</v>
      </c>
      <c r="F39" s="35" t="n"/>
      <c r="G39" s="35" t="n">
        <v>6.95</v>
      </c>
      <c r="H39" s="30">
        <f>IF(OR(B39="",D39=""),"",IF(N(E39)=0,1,E39)*IFERROR(INDEX(Products!$C$6:$C$105,MATCH(D39,Products!$B$6:$B$105,0)),0)+N(F39)+N(G39))</f>
        <v/>
      </c>
      <c r="I39" s="35" t="n">
        <v>50.95</v>
      </c>
      <c r="J39" s="30">
        <f>IF(OR(H39="",L39="Cancelled"),"",IF(H39-N(I39)&gt;0.005,H39-N(I39),""))</f>
        <v/>
      </c>
      <c r="K39" s="31" t="n">
        <v>46063</v>
      </c>
      <c r="L39" s="36" t="inlineStr">
        <is>
          <t>Sent</t>
        </is>
      </c>
      <c r="M39" s="33" t="inlineStr">
        <is>
          <t>Etsy</t>
        </is>
      </c>
      <c r="N39" s="22">
        <f>IF(OR(H39="",L39="Cancelled"),"",IF(N(E39)=0,1,E39)*IFERROR(INDEX(Products!$E$6:$E$105,MATCH(D39,Products!$B$6:$B$105,0)),0))</f>
        <v/>
      </c>
      <c r="O39" s="35" t="n">
        <v>7.15</v>
      </c>
      <c r="P39" s="22">
        <f>IF(OR(H39="",L39="Cancelled"),"",ROUND(IFERROR(H39*INDEX(Settings!$C$6:$C$15,MATCH(M39,Settings!$B$6:$B$15,0))+INDEX(Settings!$D$6:$D$15,MATCH(M39,Settings!$B$6:$B$15,0)),0),2))</f>
        <v/>
      </c>
      <c r="Q39" s="28">
        <f>IF(OR(H39="",L39="Cancelled"),"",H39-N(N39)-N(O39)-N(P39))</f>
        <v/>
      </c>
      <c r="R39" s="19">
        <f>IF(OR(B39="",K39=""),"",IF(OR(L39="Sent",L39="Picked up"),"Done",IF(L39="Cancelled","Cancelled",IF(K39&lt;TODAY(),"Late by "&amp;(TODAY()-K39)&amp;IF((TODAY()-K39)=1," day"," days"),IF(K39=TODAY(),"Due today","Due in "&amp;(K39-TODAY())&amp;IF((K39-TODAY())=1," day"," days"))))))</f>
        <v/>
      </c>
      <c r="S39" s="33" t="n"/>
      <c r="T39" s="1">
        <f>IF(AND(B39&lt;&gt;"",K39&lt;&gt;"",L39&lt;&gt;"Sent",L39&lt;&gt;"Picked up",L39&lt;&gt;"Cancelled"),K39+ROW()/10000000,"")</f>
        <v/>
      </c>
      <c r="U39">
        <f>IF(OR(B39="",C39=""),"",B39+ROW()/10000000)</f>
        <v/>
      </c>
      <c r="V39">
        <f>IF(U39="","",IF(COUNTIFS(Orders!$C$6:$C$1005,C39,Orders!$U$6:$U$1005,"&gt;"&amp;U39)=0,1,0))</f>
        <v/>
      </c>
      <c r="W39">
        <f>IF(AND(B39&lt;&gt;"",K39&lt;&gt;"",L39&lt;&gt;"Sent",L39&lt;&gt;"Picked up",L39&lt;&gt;"Cancelled"),IF(N(E39)=0,1,E39),0)</f>
        <v/>
      </c>
      <c r="X39">
        <f>IF(OR(B39="",D39=""),"",IF(N(E39)=0,1,E39))</f>
        <v/>
      </c>
    </row>
    <row r="40">
      <c r="A40" s="1" t="n"/>
      <c r="B40" s="31" t="n">
        <v>46059</v>
      </c>
      <c r="C40" s="32" t="inlineStr">
        <is>
          <t>Adam King</t>
        </is>
      </c>
      <c r="D40" s="33" t="inlineStr">
        <is>
          <t>Wax melts, 6 pack</t>
        </is>
      </c>
      <c r="E40" s="34" t="n">
        <v>1</v>
      </c>
      <c r="F40" s="35" t="n"/>
      <c r="G40" s="35" t="n"/>
      <c r="H40" s="30">
        <f>IF(OR(B40="",D40=""),"",IF(N(E40)=0,1,E40)*IFERROR(INDEX(Products!$C$6:$C$105,MATCH(D40,Products!$B$6:$B$105,0)),0)+N(F40)+N(G40))</f>
        <v/>
      </c>
      <c r="I40" s="35" t="n">
        <v>9</v>
      </c>
      <c r="J40" s="30">
        <f>IF(OR(H40="",L40="Cancelled"),"",IF(H40-N(I40)&gt;0.005,H40-N(I40),""))</f>
        <v/>
      </c>
      <c r="K40" s="31" t="n">
        <v>46068</v>
      </c>
      <c r="L40" s="36" t="inlineStr">
        <is>
          <t>Picked up</t>
        </is>
      </c>
      <c r="M40" s="33" t="inlineStr">
        <is>
          <t>Instagram</t>
        </is>
      </c>
      <c r="N40" s="22">
        <f>IF(OR(H40="",L40="Cancelled"),"",IF(N(E40)=0,1,E40)*IFERROR(INDEX(Products!$E$6:$E$105,MATCH(D40,Products!$B$6:$B$105,0)),0))</f>
        <v/>
      </c>
      <c r="O40" s="35" t="n"/>
      <c r="P40" s="22">
        <f>IF(OR(H40="",L40="Cancelled"),"",ROUND(IFERROR(H40*INDEX(Settings!$C$6:$C$15,MATCH(M40,Settings!$B$6:$B$15,0))+INDEX(Settings!$D$6:$D$15,MATCH(M40,Settings!$B$6:$B$15,0)),0),2))</f>
        <v/>
      </c>
      <c r="Q40" s="28">
        <f>IF(OR(H40="",L40="Cancelled"),"",H40-N(N40)-N(O40)-N(P40))</f>
        <v/>
      </c>
      <c r="R40" s="19">
        <f>IF(OR(B40="",K40=""),"",IF(OR(L40="Sent",L40="Picked up"),"Done",IF(L40="Cancelled","Cancelled",IF(K40&lt;TODAY(),"Late by "&amp;(TODAY()-K40)&amp;IF((TODAY()-K40)=1," day"," days"),IF(K40=TODAY(),"Due today","Due in "&amp;(K40-TODAY())&amp;IF((K40-TODAY())=1," day"," days"))))))</f>
        <v/>
      </c>
      <c r="S40" s="33" t="n"/>
      <c r="T40" s="1">
        <f>IF(AND(B40&lt;&gt;"",K40&lt;&gt;"",L40&lt;&gt;"Sent",L40&lt;&gt;"Picked up",L40&lt;&gt;"Cancelled"),K40+ROW()/10000000,"")</f>
        <v/>
      </c>
      <c r="U40">
        <f>IF(OR(B40="",C40=""),"",B40+ROW()/10000000)</f>
        <v/>
      </c>
      <c r="V40">
        <f>IF(U40="","",IF(COUNTIFS(Orders!$C$6:$C$1005,C40,Orders!$U$6:$U$1005,"&gt;"&amp;U40)=0,1,0))</f>
        <v/>
      </c>
      <c r="W40">
        <f>IF(AND(B40&lt;&gt;"",K40&lt;&gt;"",L40&lt;&gt;"Sent",L40&lt;&gt;"Picked up",L40&lt;&gt;"Cancelled"),IF(N(E40)=0,1,E40),0)</f>
        <v/>
      </c>
      <c r="X40">
        <f>IF(OR(B40="",D40=""),"",IF(N(E40)=0,1,E40))</f>
        <v/>
      </c>
    </row>
    <row r="41">
      <c r="A41" s="1" t="n"/>
      <c r="B41" s="31" t="n">
        <v>46061</v>
      </c>
      <c r="C41" s="32" t="inlineStr">
        <is>
          <t>Jon Gray</t>
        </is>
      </c>
      <c r="D41" s="33" t="inlineStr">
        <is>
          <t>Soy candle 8 oz</t>
        </is>
      </c>
      <c r="E41" s="34" t="n">
        <v>1</v>
      </c>
      <c r="F41" s="35" t="n"/>
      <c r="G41" s="35" t="n">
        <v>6.95</v>
      </c>
      <c r="H41" s="30">
        <f>IF(OR(B41="",D41=""),"",IF(N(E41)=0,1,E41)*IFERROR(INDEX(Products!$C$6:$C$105,MATCH(D41,Products!$B$6:$B$105,0)),0)+N(F41)+N(G41))</f>
        <v/>
      </c>
      <c r="I41" s="35" t="n">
        <v>28.95</v>
      </c>
      <c r="J41" s="30">
        <f>IF(OR(H41="",L41="Cancelled"),"",IF(H41-N(I41)&gt;0.005,H41-N(I41),""))</f>
        <v/>
      </c>
      <c r="K41" s="31" t="n">
        <v>46069</v>
      </c>
      <c r="L41" s="36" t="inlineStr">
        <is>
          <t>Sent</t>
        </is>
      </c>
      <c r="M41" s="33" t="inlineStr">
        <is>
          <t>Etsy</t>
        </is>
      </c>
      <c r="N41" s="22">
        <f>IF(OR(H41="",L41="Cancelled"),"",IF(N(E41)=0,1,E41)*IFERROR(INDEX(Products!$E$6:$E$105,MATCH(D41,Products!$B$6:$B$105,0)),0))</f>
        <v/>
      </c>
      <c r="O41" s="35" t="n">
        <v>6.54</v>
      </c>
      <c r="P41" s="22">
        <f>IF(OR(H41="",L41="Cancelled"),"",ROUND(IFERROR(H41*INDEX(Settings!$C$6:$C$15,MATCH(M41,Settings!$B$6:$B$15,0))+INDEX(Settings!$D$6:$D$15,MATCH(M41,Settings!$B$6:$B$15,0)),0),2))</f>
        <v/>
      </c>
      <c r="Q41" s="28">
        <f>IF(OR(H41="",L41="Cancelled"),"",H41-N(N41)-N(O41)-N(P41))</f>
        <v/>
      </c>
      <c r="R41" s="19">
        <f>IF(OR(B41="",K41=""),"",IF(OR(L41="Sent",L41="Picked up"),"Done",IF(L41="Cancelled","Cancelled",IF(K41&lt;TODAY(),"Late by "&amp;(TODAY()-K41)&amp;IF((TODAY()-K41)=1," day"," days"),IF(K41=TODAY(),"Due today","Due in "&amp;(K41-TODAY())&amp;IF((K41-TODAY())=1," day"," days"))))))</f>
        <v/>
      </c>
      <c r="S41" s="33" t="n"/>
      <c r="T41" s="1">
        <f>IF(AND(B41&lt;&gt;"",K41&lt;&gt;"",L41&lt;&gt;"Sent",L41&lt;&gt;"Picked up",L41&lt;&gt;"Cancelled"),K41+ROW()/10000000,"")</f>
        <v/>
      </c>
      <c r="U41">
        <f>IF(OR(B41="",C41=""),"",B41+ROW()/10000000)</f>
        <v/>
      </c>
      <c r="V41">
        <f>IF(U41="","",IF(COUNTIFS(Orders!$C$6:$C$1005,C41,Orders!$U$6:$U$1005,"&gt;"&amp;U41)=0,1,0))</f>
        <v/>
      </c>
      <c r="W41">
        <f>IF(AND(B41&lt;&gt;"",K41&lt;&gt;"",L41&lt;&gt;"Sent",L41&lt;&gt;"Picked up",L41&lt;&gt;"Cancelled"),IF(N(E41)=0,1,E41),0)</f>
        <v/>
      </c>
      <c r="X41">
        <f>IF(OR(B41="",D41=""),"",IF(N(E41)=0,1,E41))</f>
        <v/>
      </c>
    </row>
    <row r="42">
      <c r="A42" s="1" t="n"/>
      <c r="B42" s="31" t="n">
        <v>46062</v>
      </c>
      <c r="C42" s="32" t="inlineStr">
        <is>
          <t>Ian Price</t>
        </is>
      </c>
      <c r="D42" s="33" t="inlineStr">
        <is>
          <t>Soy candle 16 oz</t>
        </is>
      </c>
      <c r="E42" s="34" t="n">
        <v>1</v>
      </c>
      <c r="F42" s="35" t="n"/>
      <c r="G42" s="35" t="n"/>
      <c r="H42" s="30">
        <f>IF(OR(B42="",D42=""),"",IF(N(E42)=0,1,E42)*IFERROR(INDEX(Products!$C$6:$C$105,MATCH(D42,Products!$B$6:$B$105,0)),0)+N(F42)+N(G42))</f>
        <v/>
      </c>
      <c r="I42" s="35" t="n">
        <v>34</v>
      </c>
      <c r="J42" s="30">
        <f>IF(OR(H42="",L42="Cancelled"),"",IF(H42-N(I42)&gt;0.005,H42-N(I42),""))</f>
        <v/>
      </c>
      <c r="K42" s="31" t="n">
        <v>46074</v>
      </c>
      <c r="L42" s="36" t="inlineStr">
        <is>
          <t>Picked up</t>
        </is>
      </c>
      <c r="M42" s="33" t="inlineStr">
        <is>
          <t>Instagram</t>
        </is>
      </c>
      <c r="N42" s="22">
        <f>IF(OR(H42="",L42="Cancelled"),"",IF(N(E42)=0,1,E42)*IFERROR(INDEX(Products!$E$6:$E$105,MATCH(D42,Products!$B$6:$B$105,0)),0))</f>
        <v/>
      </c>
      <c r="O42" s="35" t="n"/>
      <c r="P42" s="22">
        <f>IF(OR(H42="",L42="Cancelled"),"",ROUND(IFERROR(H42*INDEX(Settings!$C$6:$C$15,MATCH(M42,Settings!$B$6:$B$15,0))+INDEX(Settings!$D$6:$D$15,MATCH(M42,Settings!$B$6:$B$15,0)),0),2))</f>
        <v/>
      </c>
      <c r="Q42" s="28">
        <f>IF(OR(H42="",L42="Cancelled"),"",H42-N(N42)-N(O42)-N(P42))</f>
        <v/>
      </c>
      <c r="R42" s="19">
        <f>IF(OR(B42="",K42=""),"",IF(OR(L42="Sent",L42="Picked up"),"Done",IF(L42="Cancelled","Cancelled",IF(K42&lt;TODAY(),"Late by "&amp;(TODAY()-K42)&amp;IF((TODAY()-K42)=1," day"," days"),IF(K42=TODAY(),"Due today","Due in "&amp;(K42-TODAY())&amp;IF((K42-TODAY())=1," day"," days"))))))</f>
        <v/>
      </c>
      <c r="S42" s="33" t="n"/>
      <c r="T42" s="1">
        <f>IF(AND(B42&lt;&gt;"",K42&lt;&gt;"",L42&lt;&gt;"Sent",L42&lt;&gt;"Picked up",L42&lt;&gt;"Cancelled"),K42+ROW()/10000000,"")</f>
        <v/>
      </c>
      <c r="U42">
        <f>IF(OR(B42="",C42=""),"",B42+ROW()/10000000)</f>
        <v/>
      </c>
      <c r="V42">
        <f>IF(U42="","",IF(COUNTIFS(Orders!$C$6:$C$1005,C42,Orders!$U$6:$U$1005,"&gt;"&amp;U42)=0,1,0))</f>
        <v/>
      </c>
      <c r="W42">
        <f>IF(AND(B42&lt;&gt;"",K42&lt;&gt;"",L42&lt;&gt;"Sent",L42&lt;&gt;"Picked up",L42&lt;&gt;"Cancelled"),IF(N(E42)=0,1,E42),0)</f>
        <v/>
      </c>
      <c r="X42">
        <f>IF(OR(B42="",D42=""),"",IF(N(E42)=0,1,E42))</f>
        <v/>
      </c>
    </row>
    <row r="43">
      <c r="A43" s="1" t="n"/>
      <c r="B43" s="31" t="n">
        <v>46063</v>
      </c>
      <c r="C43" s="32" t="inlineStr">
        <is>
          <t>Kara Adams</t>
        </is>
      </c>
      <c r="D43" s="33" t="inlineStr">
        <is>
          <t>Soap bar</t>
        </is>
      </c>
      <c r="E43" s="34" t="n">
        <v>1</v>
      </c>
      <c r="F43" s="35" t="n"/>
      <c r="G43" s="35" t="n">
        <v>6.95</v>
      </c>
      <c r="H43" s="30">
        <f>IF(OR(B43="",D43=""),"",IF(N(E43)=0,1,E43)*IFERROR(INDEX(Products!$C$6:$C$105,MATCH(D43,Products!$B$6:$B$105,0)),0)+N(F43)+N(G43))</f>
        <v/>
      </c>
      <c r="I43" s="35" t="n">
        <v>14.95</v>
      </c>
      <c r="J43" s="30">
        <f>IF(OR(H43="",L43="Cancelled"),"",IF(H43-N(I43)&gt;0.005,H43-N(I43),""))</f>
        <v/>
      </c>
      <c r="K43" s="31" t="n">
        <v>46075</v>
      </c>
      <c r="L43" s="36" t="inlineStr">
        <is>
          <t>Sent</t>
        </is>
      </c>
      <c r="M43" s="33" t="inlineStr">
        <is>
          <t>Etsy</t>
        </is>
      </c>
      <c r="N43" s="22">
        <f>IF(OR(H43="",L43="Cancelled"),"",IF(N(E43)=0,1,E43)*IFERROR(INDEX(Products!$E$6:$E$105,MATCH(D43,Products!$B$6:$B$105,0)),0))</f>
        <v/>
      </c>
      <c r="O43" s="35" t="n">
        <v>7.08</v>
      </c>
      <c r="P43" s="22">
        <f>IF(OR(H43="",L43="Cancelled"),"",ROUND(IFERROR(H43*INDEX(Settings!$C$6:$C$15,MATCH(M43,Settings!$B$6:$B$15,0))+INDEX(Settings!$D$6:$D$15,MATCH(M43,Settings!$B$6:$B$15,0)),0),2))</f>
        <v/>
      </c>
      <c r="Q43" s="28">
        <f>IF(OR(H43="",L43="Cancelled"),"",H43-N(N43)-N(O43)-N(P43))</f>
        <v/>
      </c>
      <c r="R43" s="19">
        <f>IF(OR(B43="",K43=""),"",IF(OR(L43="Sent",L43="Picked up"),"Done",IF(L43="Cancelled","Cancelled",IF(K43&lt;TODAY(),"Late by "&amp;(TODAY()-K43)&amp;IF((TODAY()-K43)=1," day"," days"),IF(K43=TODAY(),"Due today","Due in "&amp;(K43-TODAY())&amp;IF((K43-TODAY())=1," day"," days"))))))</f>
        <v/>
      </c>
      <c r="S43" s="33" t="n"/>
      <c r="T43" s="1">
        <f>IF(AND(B43&lt;&gt;"",K43&lt;&gt;"",L43&lt;&gt;"Sent",L43&lt;&gt;"Picked up",L43&lt;&gt;"Cancelled"),K43+ROW()/10000000,"")</f>
        <v/>
      </c>
      <c r="U43">
        <f>IF(OR(B43="",C43=""),"",B43+ROW()/10000000)</f>
        <v/>
      </c>
      <c r="V43">
        <f>IF(U43="","",IF(COUNTIFS(Orders!$C$6:$C$1005,C43,Orders!$U$6:$U$1005,"&gt;"&amp;U43)=0,1,0))</f>
        <v/>
      </c>
      <c r="W43">
        <f>IF(AND(B43&lt;&gt;"",K43&lt;&gt;"",L43&lt;&gt;"Sent",L43&lt;&gt;"Picked up",L43&lt;&gt;"Cancelled"),IF(N(E43)=0,1,E43),0)</f>
        <v/>
      </c>
      <c r="X43">
        <f>IF(OR(B43="",D43=""),"",IF(N(E43)=0,1,E43))</f>
        <v/>
      </c>
    </row>
    <row r="44">
      <c r="A44" s="1" t="n"/>
      <c r="B44" s="31" t="n">
        <v>46064</v>
      </c>
      <c r="C44" s="32" t="inlineStr">
        <is>
          <t>Dina Cole</t>
        </is>
      </c>
      <c r="D44" s="33" t="inlineStr">
        <is>
          <t>Soy candle 16 oz</t>
        </is>
      </c>
      <c r="E44" s="34" t="n">
        <v>3</v>
      </c>
      <c r="F44" s="35" t="n">
        <v>15</v>
      </c>
      <c r="G44" s="35" t="n">
        <v>6.95</v>
      </c>
      <c r="H44" s="30">
        <f>IF(OR(B44="",D44=""),"",IF(N(E44)=0,1,E44)*IFERROR(INDEX(Products!$C$6:$C$105,MATCH(D44,Products!$B$6:$B$105,0)),0)+N(F44)+N(G44))</f>
        <v/>
      </c>
      <c r="I44" s="35" t="n">
        <v>123.95</v>
      </c>
      <c r="J44" s="30">
        <f>IF(OR(H44="",L44="Cancelled"),"",IF(H44-N(I44)&gt;0.005,H44-N(I44),""))</f>
        <v/>
      </c>
      <c r="K44" s="31" t="n">
        <v>46073</v>
      </c>
      <c r="L44" s="36" t="inlineStr">
        <is>
          <t>Sent</t>
        </is>
      </c>
      <c r="M44" s="33" t="inlineStr">
        <is>
          <t>Own website</t>
        </is>
      </c>
      <c r="N44" s="22">
        <f>IF(OR(H44="",L44="Cancelled"),"",IF(N(E44)=0,1,E44)*IFERROR(INDEX(Products!$E$6:$E$105,MATCH(D44,Products!$B$6:$B$105,0)),0))</f>
        <v/>
      </c>
      <c r="O44" s="35" t="n">
        <v>6.24</v>
      </c>
      <c r="P44" s="22">
        <f>IF(OR(H44="",L44="Cancelled"),"",ROUND(IFERROR(H44*INDEX(Settings!$C$6:$C$15,MATCH(M44,Settings!$B$6:$B$15,0))+INDEX(Settings!$D$6:$D$15,MATCH(M44,Settings!$B$6:$B$15,0)),0),2))</f>
        <v/>
      </c>
      <c r="Q44" s="28">
        <f>IF(OR(H44="",L44="Cancelled"),"",H44-N(N44)-N(O44)-N(P44))</f>
        <v/>
      </c>
      <c r="R44" s="19">
        <f>IF(OR(B44="",K44=""),"",IF(OR(L44="Sent",L44="Picked up"),"Done",IF(L44="Cancelled","Cancelled",IF(K44&lt;TODAY(),"Late by "&amp;(TODAY()-K44)&amp;IF((TODAY()-K44)=1," day"," days"),IF(K44=TODAY(),"Due today","Due in "&amp;(K44-TODAY())&amp;IF((K44-TODAY())=1," day"," days"))))))</f>
        <v/>
      </c>
      <c r="S44" s="33" t="inlineStr">
        <is>
          <t>Custom label</t>
        </is>
      </c>
      <c r="T44" s="1">
        <f>IF(AND(B44&lt;&gt;"",K44&lt;&gt;"",L44&lt;&gt;"Sent",L44&lt;&gt;"Picked up",L44&lt;&gt;"Cancelled"),K44+ROW()/10000000,"")</f>
        <v/>
      </c>
      <c r="U44">
        <f>IF(OR(B44="",C44=""),"",B44+ROW()/10000000)</f>
        <v/>
      </c>
      <c r="V44">
        <f>IF(U44="","",IF(COUNTIFS(Orders!$C$6:$C$1005,C44,Orders!$U$6:$U$1005,"&gt;"&amp;U44)=0,1,0))</f>
        <v/>
      </c>
      <c r="W44">
        <f>IF(AND(B44&lt;&gt;"",K44&lt;&gt;"",L44&lt;&gt;"Sent",L44&lt;&gt;"Picked up",L44&lt;&gt;"Cancelled"),IF(N(E44)=0,1,E44),0)</f>
        <v/>
      </c>
      <c r="X44">
        <f>IF(OR(B44="",D44=""),"",IF(N(E44)=0,1,E44))</f>
        <v/>
      </c>
    </row>
    <row r="45">
      <c r="A45" s="1" t="n"/>
      <c r="B45" s="31" t="n">
        <v>46064</v>
      </c>
      <c r="C45" s="32" t="inlineStr">
        <is>
          <t>Eva Adams</t>
        </is>
      </c>
      <c r="D45" s="33" t="inlineStr">
        <is>
          <t>Soy candle 16 oz</t>
        </is>
      </c>
      <c r="E45" s="34" t="n">
        <v>2</v>
      </c>
      <c r="F45" s="35" t="n"/>
      <c r="G45" s="35" t="n"/>
      <c r="H45" s="30">
        <f>IF(OR(B45="",D45=""),"",IF(N(E45)=0,1,E45)*IFERROR(INDEX(Products!$C$6:$C$105,MATCH(D45,Products!$B$6:$B$105,0)),0)+N(F45)+N(G45))</f>
        <v/>
      </c>
      <c r="I45" s="35" t="n">
        <v>68</v>
      </c>
      <c r="J45" s="30">
        <f>IF(OR(H45="",L45="Cancelled"),"",IF(H45-N(I45)&gt;0.005,H45-N(I45),""))</f>
        <v/>
      </c>
      <c r="K45" s="31" t="n">
        <v>46068</v>
      </c>
      <c r="L45" s="36" t="inlineStr">
        <is>
          <t>Picked up</t>
        </is>
      </c>
      <c r="M45" s="33" t="inlineStr">
        <is>
          <t>Instagram</t>
        </is>
      </c>
      <c r="N45" s="22">
        <f>IF(OR(H45="",L45="Cancelled"),"",IF(N(E45)=0,1,E45)*IFERROR(INDEX(Products!$E$6:$E$105,MATCH(D45,Products!$B$6:$B$105,0)),0))</f>
        <v/>
      </c>
      <c r="O45" s="35" t="n"/>
      <c r="P45" s="22">
        <f>IF(OR(H45="",L45="Cancelled"),"",ROUND(IFERROR(H45*INDEX(Settings!$C$6:$C$15,MATCH(M45,Settings!$B$6:$B$15,0))+INDEX(Settings!$D$6:$D$15,MATCH(M45,Settings!$B$6:$B$15,0)),0),2))</f>
        <v/>
      </c>
      <c r="Q45" s="28">
        <f>IF(OR(H45="",L45="Cancelled"),"",H45-N(N45)-N(O45)-N(P45))</f>
        <v/>
      </c>
      <c r="R45" s="19">
        <f>IF(OR(B45="",K45=""),"",IF(OR(L45="Sent",L45="Picked up"),"Done",IF(L45="Cancelled","Cancelled",IF(K45&lt;TODAY(),"Late by "&amp;(TODAY()-K45)&amp;IF((TODAY()-K45)=1," day"," days"),IF(K45=TODAY(),"Due today","Due in "&amp;(K45-TODAY())&amp;IF((K45-TODAY())=1," day"," days"))))))</f>
        <v/>
      </c>
      <c r="S45" s="33" t="n"/>
      <c r="T45" s="1">
        <f>IF(AND(B45&lt;&gt;"",K45&lt;&gt;"",L45&lt;&gt;"Sent",L45&lt;&gt;"Picked up",L45&lt;&gt;"Cancelled"),K45+ROW()/10000000,"")</f>
        <v/>
      </c>
      <c r="U45">
        <f>IF(OR(B45="",C45=""),"",B45+ROW()/10000000)</f>
        <v/>
      </c>
      <c r="V45">
        <f>IF(U45="","",IF(COUNTIFS(Orders!$C$6:$C$1005,C45,Orders!$U$6:$U$1005,"&gt;"&amp;U45)=0,1,0))</f>
        <v/>
      </c>
      <c r="W45">
        <f>IF(AND(B45&lt;&gt;"",K45&lt;&gt;"",L45&lt;&gt;"Sent",L45&lt;&gt;"Picked up",L45&lt;&gt;"Cancelled"),IF(N(E45)=0,1,E45),0)</f>
        <v/>
      </c>
      <c r="X45">
        <f>IF(OR(B45="",D45=""),"",IF(N(E45)=0,1,E45))</f>
        <v/>
      </c>
    </row>
    <row r="46">
      <c r="A46" s="1" t="n"/>
      <c r="B46" s="31" t="n">
        <v>46065</v>
      </c>
      <c r="C46" s="32" t="inlineStr">
        <is>
          <t>Lily Gray</t>
        </is>
      </c>
      <c r="D46" s="33" t="inlineStr">
        <is>
          <t>Soap bar</t>
        </is>
      </c>
      <c r="E46" s="34" t="n">
        <v>1</v>
      </c>
      <c r="F46" s="35" t="n"/>
      <c r="G46" s="35" t="n"/>
      <c r="H46" s="30">
        <f>IF(OR(B46="",D46=""),"",IF(N(E46)=0,1,E46)*IFERROR(INDEX(Products!$C$6:$C$105,MATCH(D46,Products!$B$6:$B$105,0)),0)+N(F46)+N(G46))</f>
        <v/>
      </c>
      <c r="I46" s="35" t="n">
        <v>8</v>
      </c>
      <c r="J46" s="30">
        <f>IF(OR(H46="",L46="Cancelled"),"",IF(H46-N(I46)&gt;0.005,H46-N(I46),""))</f>
        <v/>
      </c>
      <c r="K46" s="31" t="n">
        <v>46071</v>
      </c>
      <c r="L46" s="36" t="inlineStr">
        <is>
          <t>Cancelled</t>
        </is>
      </c>
      <c r="M46" s="33" t="inlineStr">
        <is>
          <t>Craft market</t>
        </is>
      </c>
      <c r="N46" s="22">
        <f>IF(OR(H46="",L46="Cancelled"),"",IF(N(E46)=0,1,E46)*IFERROR(INDEX(Products!$E$6:$E$105,MATCH(D46,Products!$B$6:$B$105,0)),0))</f>
        <v/>
      </c>
      <c r="O46" s="35" t="n"/>
      <c r="P46" s="22">
        <f>IF(OR(H46="",L46="Cancelled"),"",ROUND(IFERROR(H46*INDEX(Settings!$C$6:$C$15,MATCH(M46,Settings!$B$6:$B$15,0))+INDEX(Settings!$D$6:$D$15,MATCH(M46,Settings!$B$6:$B$15,0)),0),2))</f>
        <v/>
      </c>
      <c r="Q46" s="28">
        <f>IF(OR(H46="",L46="Cancelled"),"",H46-N(N46)-N(O46)-N(P46))</f>
        <v/>
      </c>
      <c r="R46" s="19">
        <f>IF(OR(B46="",K46=""),"",IF(OR(L46="Sent",L46="Picked up"),"Done",IF(L46="Cancelled","Cancelled",IF(K46&lt;TODAY(),"Late by "&amp;(TODAY()-K46)&amp;IF((TODAY()-K46)=1," day"," days"),IF(K46=TODAY(),"Due today","Due in "&amp;(K46-TODAY())&amp;IF((K46-TODAY())=1," day"," days"))))))</f>
        <v/>
      </c>
      <c r="S46" s="33" t="n"/>
      <c r="T46" s="1">
        <f>IF(AND(B46&lt;&gt;"",K46&lt;&gt;"",L46&lt;&gt;"Sent",L46&lt;&gt;"Picked up",L46&lt;&gt;"Cancelled"),K46+ROW()/10000000,"")</f>
        <v/>
      </c>
      <c r="U46">
        <f>IF(OR(B46="",C46=""),"",B46+ROW()/10000000)</f>
        <v/>
      </c>
      <c r="V46">
        <f>IF(U46="","",IF(COUNTIFS(Orders!$C$6:$C$1005,C46,Orders!$U$6:$U$1005,"&gt;"&amp;U46)=0,1,0))</f>
        <v/>
      </c>
      <c r="W46">
        <f>IF(AND(B46&lt;&gt;"",K46&lt;&gt;"",L46&lt;&gt;"Sent",L46&lt;&gt;"Picked up",L46&lt;&gt;"Cancelled"),IF(N(E46)=0,1,E46),0)</f>
        <v/>
      </c>
      <c r="X46">
        <f>IF(OR(B46="",D46=""),"",IF(N(E46)=0,1,E46))</f>
        <v/>
      </c>
    </row>
    <row r="47">
      <c r="A47" s="1" t="n"/>
      <c r="B47" s="31" t="n">
        <v>46065</v>
      </c>
      <c r="C47" s="32" t="inlineStr">
        <is>
          <t>Paula Morgan</t>
        </is>
      </c>
      <c r="D47" s="33" t="inlineStr">
        <is>
          <t>Soy candle 8 oz</t>
        </is>
      </c>
      <c r="E47" s="34" t="n">
        <v>2</v>
      </c>
      <c r="F47" s="35" t="n"/>
      <c r="G47" s="35" t="n"/>
      <c r="H47" s="30">
        <f>IF(OR(B47="",D47=""),"",IF(N(E47)=0,1,E47)*IFERROR(INDEX(Products!$C$6:$C$105,MATCH(D47,Products!$B$6:$B$105,0)),0)+N(F47)+N(G47))</f>
        <v/>
      </c>
      <c r="I47" s="35" t="n">
        <v>44</v>
      </c>
      <c r="J47" s="30">
        <f>IF(OR(H47="",L47="Cancelled"),"",IF(H47-N(I47)&gt;0.005,H47-N(I47),""))</f>
        <v/>
      </c>
      <c r="K47" s="31" t="n">
        <v>46071</v>
      </c>
      <c r="L47" s="36" t="inlineStr">
        <is>
          <t>Cancelled</t>
        </is>
      </c>
      <c r="M47" s="33" t="inlineStr">
        <is>
          <t>Instagram</t>
        </is>
      </c>
      <c r="N47" s="22">
        <f>IF(OR(H47="",L47="Cancelled"),"",IF(N(E47)=0,1,E47)*IFERROR(INDEX(Products!$E$6:$E$105,MATCH(D47,Products!$B$6:$B$105,0)),0))</f>
        <v/>
      </c>
      <c r="O47" s="35" t="n"/>
      <c r="P47" s="22">
        <f>IF(OR(H47="",L47="Cancelled"),"",ROUND(IFERROR(H47*INDEX(Settings!$C$6:$C$15,MATCH(M47,Settings!$B$6:$B$15,0))+INDEX(Settings!$D$6:$D$15,MATCH(M47,Settings!$B$6:$B$15,0)),0),2))</f>
        <v/>
      </c>
      <c r="Q47" s="28">
        <f>IF(OR(H47="",L47="Cancelled"),"",H47-N(N47)-N(O47)-N(P47))</f>
        <v/>
      </c>
      <c r="R47" s="19">
        <f>IF(OR(B47="",K47=""),"",IF(OR(L47="Sent",L47="Picked up"),"Done",IF(L47="Cancelled","Cancelled",IF(K47&lt;TODAY(),"Late by "&amp;(TODAY()-K47)&amp;IF((TODAY()-K47)=1," day"," days"),IF(K47=TODAY(),"Due today","Due in "&amp;(K47-TODAY())&amp;IF((K47-TODAY())=1," day"," days"))))))</f>
        <v/>
      </c>
      <c r="S47" s="33" t="n"/>
      <c r="T47" s="1">
        <f>IF(AND(B47&lt;&gt;"",K47&lt;&gt;"",L47&lt;&gt;"Sent",L47&lt;&gt;"Picked up",L47&lt;&gt;"Cancelled"),K47+ROW()/10000000,"")</f>
        <v/>
      </c>
      <c r="U47">
        <f>IF(OR(B47="",C47=""),"",B47+ROW()/10000000)</f>
        <v/>
      </c>
      <c r="V47">
        <f>IF(U47="","",IF(COUNTIFS(Orders!$C$6:$C$1005,C47,Orders!$U$6:$U$1005,"&gt;"&amp;U47)=0,1,0))</f>
        <v/>
      </c>
      <c r="W47">
        <f>IF(AND(B47&lt;&gt;"",K47&lt;&gt;"",L47&lt;&gt;"Sent",L47&lt;&gt;"Picked up",L47&lt;&gt;"Cancelled"),IF(N(E47)=0,1,E47),0)</f>
        <v/>
      </c>
      <c r="X47">
        <f>IF(OR(B47="",D47=""),"",IF(N(E47)=0,1,E47))</f>
        <v/>
      </c>
    </row>
    <row r="48">
      <c r="A48" s="1" t="n"/>
      <c r="B48" s="31" t="n">
        <v>46066</v>
      </c>
      <c r="C48" s="32" t="inlineStr">
        <is>
          <t>Nina Kelly</t>
        </is>
      </c>
      <c r="D48" s="33" t="inlineStr">
        <is>
          <t>Soap bar</t>
        </is>
      </c>
      <c r="E48" s="34" t="n">
        <v>3</v>
      </c>
      <c r="F48" s="35" t="n"/>
      <c r="G48" s="35" t="n">
        <v>6.95</v>
      </c>
      <c r="H48" s="30">
        <f>IF(OR(B48="",D48=""),"",IF(N(E48)=0,1,E48)*IFERROR(INDEX(Products!$C$6:$C$105,MATCH(D48,Products!$B$6:$B$105,0)),0)+N(F48)+N(G48))</f>
        <v/>
      </c>
      <c r="I48" s="35" t="n">
        <v>30.95</v>
      </c>
      <c r="J48" s="30">
        <f>IF(OR(H48="",L48="Cancelled"),"",IF(H48-N(I48)&gt;0.005,H48-N(I48),""))</f>
        <v/>
      </c>
      <c r="K48" s="31" t="n">
        <v>46076</v>
      </c>
      <c r="L48" s="36" t="inlineStr">
        <is>
          <t>Sent</t>
        </is>
      </c>
      <c r="M48" s="33" t="inlineStr">
        <is>
          <t>Etsy</t>
        </is>
      </c>
      <c r="N48" s="22">
        <f>IF(OR(H48="",L48="Cancelled"),"",IF(N(E48)=0,1,E48)*IFERROR(INDEX(Products!$E$6:$E$105,MATCH(D48,Products!$B$6:$B$105,0)),0))</f>
        <v/>
      </c>
      <c r="O48" s="35" t="n">
        <v>5.52</v>
      </c>
      <c r="P48" s="22">
        <f>IF(OR(H48="",L48="Cancelled"),"",ROUND(IFERROR(H48*INDEX(Settings!$C$6:$C$15,MATCH(M48,Settings!$B$6:$B$15,0))+INDEX(Settings!$D$6:$D$15,MATCH(M48,Settings!$B$6:$B$15,0)),0),2))</f>
        <v/>
      </c>
      <c r="Q48" s="28">
        <f>IF(OR(H48="",L48="Cancelled"),"",H48-N(N48)-N(O48)-N(P48))</f>
        <v/>
      </c>
      <c r="R48" s="19">
        <f>IF(OR(B48="",K48=""),"",IF(OR(L48="Sent",L48="Picked up"),"Done",IF(L48="Cancelled","Cancelled",IF(K48&lt;TODAY(),"Late by "&amp;(TODAY()-K48)&amp;IF((TODAY()-K48)=1," day"," days"),IF(K48=TODAY(),"Due today","Due in "&amp;(K48-TODAY())&amp;IF((K48-TODAY())=1," day"," days"))))))</f>
        <v/>
      </c>
      <c r="S48" s="33" t="n"/>
      <c r="T48" s="1">
        <f>IF(AND(B48&lt;&gt;"",K48&lt;&gt;"",L48&lt;&gt;"Sent",L48&lt;&gt;"Picked up",L48&lt;&gt;"Cancelled"),K48+ROW()/10000000,"")</f>
        <v/>
      </c>
      <c r="U48">
        <f>IF(OR(B48="",C48=""),"",B48+ROW()/10000000)</f>
        <v/>
      </c>
      <c r="V48">
        <f>IF(U48="","",IF(COUNTIFS(Orders!$C$6:$C$1005,C48,Orders!$U$6:$U$1005,"&gt;"&amp;U48)=0,1,0))</f>
        <v/>
      </c>
      <c r="W48">
        <f>IF(AND(B48&lt;&gt;"",K48&lt;&gt;"",L48&lt;&gt;"Sent",L48&lt;&gt;"Picked up",L48&lt;&gt;"Cancelled"),IF(N(E48)=0,1,E48),0)</f>
        <v/>
      </c>
      <c r="X48">
        <f>IF(OR(B48="",D48=""),"",IF(N(E48)=0,1,E48))</f>
        <v/>
      </c>
    </row>
    <row r="49">
      <c r="A49" s="1" t="n"/>
      <c r="B49" s="31" t="n">
        <v>46067</v>
      </c>
      <c r="C49" s="32" t="inlineStr">
        <is>
          <t>Adam Davies</t>
        </is>
      </c>
      <c r="D49" s="33" t="inlineStr">
        <is>
          <t>Soy candle 16 oz</t>
        </is>
      </c>
      <c r="E49" s="34" t="n">
        <v>2</v>
      </c>
      <c r="F49" s="35" t="n">
        <v>10</v>
      </c>
      <c r="G49" s="35" t="n">
        <v>6.95</v>
      </c>
      <c r="H49" s="30">
        <f>IF(OR(B49="",D49=""),"",IF(N(E49)=0,1,E49)*IFERROR(INDEX(Products!$C$6:$C$105,MATCH(D49,Products!$B$6:$B$105,0)),0)+N(F49)+N(G49))</f>
        <v/>
      </c>
      <c r="I49" s="35" t="n">
        <v>84.95</v>
      </c>
      <c r="J49" s="30">
        <f>IF(OR(H49="",L49="Cancelled"),"",IF(H49-N(I49)&gt;0.005,H49-N(I49),""))</f>
        <v/>
      </c>
      <c r="K49" s="31" t="n">
        <v>46074</v>
      </c>
      <c r="L49" s="36" t="inlineStr">
        <is>
          <t>Sent</t>
        </is>
      </c>
      <c r="M49" s="33" t="inlineStr">
        <is>
          <t>Etsy</t>
        </is>
      </c>
      <c r="N49" s="22">
        <f>IF(OR(H49="",L49="Cancelled"),"",IF(N(E49)=0,1,E49)*IFERROR(INDEX(Products!$E$6:$E$105,MATCH(D49,Products!$B$6:$B$105,0)),0))</f>
        <v/>
      </c>
      <c r="O49" s="35" t="n">
        <v>7.25</v>
      </c>
      <c r="P49" s="22">
        <f>IF(OR(H49="",L49="Cancelled"),"",ROUND(IFERROR(H49*INDEX(Settings!$C$6:$C$15,MATCH(M49,Settings!$B$6:$B$15,0))+INDEX(Settings!$D$6:$D$15,MATCH(M49,Settings!$B$6:$B$15,0)),0),2))</f>
        <v/>
      </c>
      <c r="Q49" s="28">
        <f>IF(OR(H49="",L49="Cancelled"),"",H49-N(N49)-N(O49)-N(P49))</f>
        <v/>
      </c>
      <c r="R49" s="19">
        <f>IF(OR(B49="",K49=""),"",IF(OR(L49="Sent",L49="Picked up"),"Done",IF(L49="Cancelled","Cancelled",IF(K49&lt;TODAY(),"Late by "&amp;(TODAY()-K49)&amp;IF((TODAY()-K49)=1," day"," days"),IF(K49=TODAY(),"Due today","Due in "&amp;(K49-TODAY())&amp;IF((K49-TODAY())=1," day"," days"))))))</f>
        <v/>
      </c>
      <c r="S49" s="33" t="inlineStr">
        <is>
          <t>Custom label</t>
        </is>
      </c>
      <c r="T49" s="1">
        <f>IF(AND(B49&lt;&gt;"",K49&lt;&gt;"",L49&lt;&gt;"Sent",L49&lt;&gt;"Picked up",L49&lt;&gt;"Cancelled"),K49+ROW()/10000000,"")</f>
        <v/>
      </c>
      <c r="U49">
        <f>IF(OR(B49="",C49=""),"",B49+ROW()/10000000)</f>
        <v/>
      </c>
      <c r="V49">
        <f>IF(U49="","",IF(COUNTIFS(Orders!$C$6:$C$1005,C49,Orders!$U$6:$U$1005,"&gt;"&amp;U49)=0,1,0))</f>
        <v/>
      </c>
      <c r="W49">
        <f>IF(AND(B49&lt;&gt;"",K49&lt;&gt;"",L49&lt;&gt;"Sent",L49&lt;&gt;"Picked up",L49&lt;&gt;"Cancelled"),IF(N(E49)=0,1,E49),0)</f>
        <v/>
      </c>
      <c r="X49">
        <f>IF(OR(B49="",D49=""),"",IF(N(E49)=0,1,E49))</f>
        <v/>
      </c>
    </row>
    <row r="50">
      <c r="A50" s="1" t="n"/>
      <c r="B50" s="31" t="n">
        <v>46069</v>
      </c>
      <c r="C50" s="32" t="inlineStr">
        <is>
          <t>Clara Davies</t>
        </is>
      </c>
      <c r="D50" s="33" t="inlineStr">
        <is>
          <t>Soy candle 8 oz</t>
        </is>
      </c>
      <c r="E50" s="34" t="n">
        <v>4</v>
      </c>
      <c r="F50" s="35" t="n"/>
      <c r="G50" s="35" t="n">
        <v>6.95</v>
      </c>
      <c r="H50" s="30">
        <f>IF(OR(B50="",D50=""),"",IF(N(E50)=0,1,E50)*IFERROR(INDEX(Products!$C$6:$C$105,MATCH(D50,Products!$B$6:$B$105,0)),0)+N(F50)+N(G50))</f>
        <v/>
      </c>
      <c r="I50" s="35" t="n">
        <v>94.95</v>
      </c>
      <c r="J50" s="30">
        <f>IF(OR(H50="",L50="Cancelled"),"",IF(H50-N(I50)&gt;0.005,H50-N(I50),""))</f>
        <v/>
      </c>
      <c r="K50" s="31" t="n">
        <v>46080</v>
      </c>
      <c r="L50" s="36" t="inlineStr">
        <is>
          <t>Sent</t>
        </is>
      </c>
      <c r="M50" s="33" t="inlineStr">
        <is>
          <t>Etsy</t>
        </is>
      </c>
      <c r="N50" s="22">
        <f>IF(OR(H50="",L50="Cancelled"),"",IF(N(E50)=0,1,E50)*IFERROR(INDEX(Products!$E$6:$E$105,MATCH(D50,Products!$B$6:$B$105,0)),0))</f>
        <v/>
      </c>
      <c r="O50" s="35" t="n">
        <v>6.25</v>
      </c>
      <c r="P50" s="22">
        <f>IF(OR(H50="",L50="Cancelled"),"",ROUND(IFERROR(H50*INDEX(Settings!$C$6:$C$15,MATCH(M50,Settings!$B$6:$B$15,0))+INDEX(Settings!$D$6:$D$15,MATCH(M50,Settings!$B$6:$B$15,0)),0),2))</f>
        <v/>
      </c>
      <c r="Q50" s="28">
        <f>IF(OR(H50="",L50="Cancelled"),"",H50-N(N50)-N(O50)-N(P50))</f>
        <v/>
      </c>
      <c r="R50" s="19">
        <f>IF(OR(B50="",K50=""),"",IF(OR(L50="Sent",L50="Picked up"),"Done",IF(L50="Cancelled","Cancelled",IF(K50&lt;TODAY(),"Late by "&amp;(TODAY()-K50)&amp;IF((TODAY()-K50)=1," day"," days"),IF(K50=TODAY(),"Due today","Due in "&amp;(K50-TODAY())&amp;IF((K50-TODAY())=1," day"," days"))))))</f>
        <v/>
      </c>
      <c r="S50" s="33" t="n"/>
      <c r="T50" s="1">
        <f>IF(AND(B50&lt;&gt;"",K50&lt;&gt;"",L50&lt;&gt;"Sent",L50&lt;&gt;"Picked up",L50&lt;&gt;"Cancelled"),K50+ROW()/10000000,"")</f>
        <v/>
      </c>
      <c r="U50">
        <f>IF(OR(B50="",C50=""),"",B50+ROW()/10000000)</f>
        <v/>
      </c>
      <c r="V50">
        <f>IF(U50="","",IF(COUNTIFS(Orders!$C$6:$C$1005,C50,Orders!$U$6:$U$1005,"&gt;"&amp;U50)=0,1,0))</f>
        <v/>
      </c>
      <c r="W50">
        <f>IF(AND(B50&lt;&gt;"",K50&lt;&gt;"",L50&lt;&gt;"Sent",L50&lt;&gt;"Picked up",L50&lt;&gt;"Cancelled"),IF(N(E50)=0,1,E50),0)</f>
        <v/>
      </c>
      <c r="X50">
        <f>IF(OR(B50="",D50=""),"",IF(N(E50)=0,1,E50))</f>
        <v/>
      </c>
    </row>
    <row r="51">
      <c r="A51" s="1" t="n"/>
      <c r="B51" s="31" t="n">
        <v>46069</v>
      </c>
      <c r="C51" s="32" t="inlineStr">
        <is>
          <t>Holly Cox</t>
        </is>
      </c>
      <c r="D51" s="33" t="inlineStr">
        <is>
          <t>Soap bar</t>
        </is>
      </c>
      <c r="E51" s="34" t="n">
        <v>1</v>
      </c>
      <c r="F51" s="35" t="n"/>
      <c r="G51" s="35" t="n">
        <v>6.95</v>
      </c>
      <c r="H51" s="30">
        <f>IF(OR(B51="",D51=""),"",IF(N(E51)=0,1,E51)*IFERROR(INDEX(Products!$C$6:$C$105,MATCH(D51,Products!$B$6:$B$105,0)),0)+N(F51)+N(G51))</f>
        <v/>
      </c>
      <c r="I51" s="35" t="n">
        <v>14.95</v>
      </c>
      <c r="J51" s="30">
        <f>IF(OR(H51="",L51="Cancelled"),"",IF(H51-N(I51)&gt;0.005,H51-N(I51),""))</f>
        <v/>
      </c>
      <c r="K51" s="31" t="n">
        <v>46077</v>
      </c>
      <c r="L51" s="36" t="inlineStr">
        <is>
          <t>Sent</t>
        </is>
      </c>
      <c r="M51" s="33" t="inlineStr">
        <is>
          <t>Own website</t>
        </is>
      </c>
      <c r="N51" s="22">
        <f>IF(OR(H51="",L51="Cancelled"),"",IF(N(E51)=0,1,E51)*IFERROR(INDEX(Products!$E$6:$E$105,MATCH(D51,Products!$B$6:$B$105,0)),0))</f>
        <v/>
      </c>
      <c r="O51" s="35" t="n">
        <v>7.07</v>
      </c>
      <c r="P51" s="22">
        <f>IF(OR(H51="",L51="Cancelled"),"",ROUND(IFERROR(H51*INDEX(Settings!$C$6:$C$15,MATCH(M51,Settings!$B$6:$B$15,0))+INDEX(Settings!$D$6:$D$15,MATCH(M51,Settings!$B$6:$B$15,0)),0),2))</f>
        <v/>
      </c>
      <c r="Q51" s="28">
        <f>IF(OR(H51="",L51="Cancelled"),"",H51-N(N51)-N(O51)-N(P51))</f>
        <v/>
      </c>
      <c r="R51" s="19">
        <f>IF(OR(B51="",K51=""),"",IF(OR(L51="Sent",L51="Picked up"),"Done",IF(L51="Cancelled","Cancelled",IF(K51&lt;TODAY(),"Late by "&amp;(TODAY()-K51)&amp;IF((TODAY()-K51)=1," day"," days"),IF(K51=TODAY(),"Due today","Due in "&amp;(K51-TODAY())&amp;IF((K51-TODAY())=1," day"," days"))))))</f>
        <v/>
      </c>
      <c r="S51" s="33" t="n"/>
      <c r="T51" s="1">
        <f>IF(AND(B51&lt;&gt;"",K51&lt;&gt;"",L51&lt;&gt;"Sent",L51&lt;&gt;"Picked up",L51&lt;&gt;"Cancelled"),K51+ROW()/10000000,"")</f>
        <v/>
      </c>
      <c r="U51">
        <f>IF(OR(B51="",C51=""),"",B51+ROW()/10000000)</f>
        <v/>
      </c>
      <c r="V51">
        <f>IF(U51="","",IF(COUNTIFS(Orders!$C$6:$C$1005,C51,Orders!$U$6:$U$1005,"&gt;"&amp;U51)=0,1,0))</f>
        <v/>
      </c>
      <c r="W51">
        <f>IF(AND(B51&lt;&gt;"",K51&lt;&gt;"",L51&lt;&gt;"Sent",L51&lt;&gt;"Picked up",L51&lt;&gt;"Cancelled"),IF(N(E51)=0,1,E51),0)</f>
        <v/>
      </c>
      <c r="X51">
        <f>IF(OR(B51="",D51=""),"",IF(N(E51)=0,1,E51))</f>
        <v/>
      </c>
    </row>
    <row r="52">
      <c r="A52" s="1" t="n"/>
      <c r="B52" s="31" t="n">
        <v>46070</v>
      </c>
      <c r="C52" s="32" t="inlineStr">
        <is>
          <t>Beth Owens</t>
        </is>
      </c>
      <c r="D52" s="33" t="inlineStr">
        <is>
          <t>Soy candle 8 oz</t>
        </is>
      </c>
      <c r="E52" s="34" t="n">
        <v>2</v>
      </c>
      <c r="F52" s="35" t="n"/>
      <c r="G52" s="35" t="n">
        <v>6.95</v>
      </c>
      <c r="H52" s="30">
        <f>IF(OR(B52="",D52=""),"",IF(N(E52)=0,1,E52)*IFERROR(INDEX(Products!$C$6:$C$105,MATCH(D52,Products!$B$6:$B$105,0)),0)+N(F52)+N(G52))</f>
        <v/>
      </c>
      <c r="I52" s="35" t="n">
        <v>50.95</v>
      </c>
      <c r="J52" s="30">
        <f>IF(OR(H52="",L52="Cancelled"),"",IF(H52-N(I52)&gt;0.005,H52-N(I52),""))</f>
        <v/>
      </c>
      <c r="K52" s="31" t="n">
        <v>46078</v>
      </c>
      <c r="L52" s="36" t="inlineStr">
        <is>
          <t>Sent</t>
        </is>
      </c>
      <c r="M52" s="33" t="inlineStr">
        <is>
          <t>Etsy</t>
        </is>
      </c>
      <c r="N52" s="22">
        <f>IF(OR(H52="",L52="Cancelled"),"",IF(N(E52)=0,1,E52)*IFERROR(INDEX(Products!$E$6:$E$105,MATCH(D52,Products!$B$6:$B$105,0)),0))</f>
        <v/>
      </c>
      <c r="O52" s="35" t="n">
        <v>5.95</v>
      </c>
      <c r="P52" s="22">
        <f>IF(OR(H52="",L52="Cancelled"),"",ROUND(IFERROR(H52*INDEX(Settings!$C$6:$C$15,MATCH(M52,Settings!$B$6:$B$15,0))+INDEX(Settings!$D$6:$D$15,MATCH(M52,Settings!$B$6:$B$15,0)),0),2))</f>
        <v/>
      </c>
      <c r="Q52" s="28">
        <f>IF(OR(H52="",L52="Cancelled"),"",H52-N(N52)-N(O52)-N(P52))</f>
        <v/>
      </c>
      <c r="R52" s="19">
        <f>IF(OR(B52="",K52=""),"",IF(OR(L52="Sent",L52="Picked up"),"Done",IF(L52="Cancelled","Cancelled",IF(K52&lt;TODAY(),"Late by "&amp;(TODAY()-K52)&amp;IF((TODAY()-K52)=1," day"," days"),IF(K52=TODAY(),"Due today","Due in "&amp;(K52-TODAY())&amp;IF((K52-TODAY())=1," day"," days"))))))</f>
        <v/>
      </c>
      <c r="S52" s="33" t="n"/>
      <c r="T52" s="1">
        <f>IF(AND(B52&lt;&gt;"",K52&lt;&gt;"",L52&lt;&gt;"Sent",L52&lt;&gt;"Picked up",L52&lt;&gt;"Cancelled"),K52+ROW()/10000000,"")</f>
        <v/>
      </c>
      <c r="U52">
        <f>IF(OR(B52="",C52=""),"",B52+ROW()/10000000)</f>
        <v/>
      </c>
      <c r="V52">
        <f>IF(U52="","",IF(COUNTIFS(Orders!$C$6:$C$1005,C52,Orders!$U$6:$U$1005,"&gt;"&amp;U52)=0,1,0))</f>
        <v/>
      </c>
      <c r="W52">
        <f>IF(AND(B52&lt;&gt;"",K52&lt;&gt;"",L52&lt;&gt;"Sent",L52&lt;&gt;"Picked up",L52&lt;&gt;"Cancelled"),IF(N(E52)=0,1,E52),0)</f>
        <v/>
      </c>
      <c r="X52">
        <f>IF(OR(B52="",D52=""),"",IF(N(E52)=0,1,E52))</f>
        <v/>
      </c>
    </row>
    <row r="53">
      <c r="A53" s="1" t="n"/>
      <c r="B53" s="31" t="n">
        <v>46072</v>
      </c>
      <c r="C53" s="32" t="inlineStr">
        <is>
          <t>Adam Davies</t>
        </is>
      </c>
      <c r="D53" s="33" t="inlineStr">
        <is>
          <t>Soy candle 8 oz</t>
        </is>
      </c>
      <c r="E53" s="34" t="n">
        <v>1</v>
      </c>
      <c r="F53" s="35" t="n"/>
      <c r="G53" s="35" t="n"/>
      <c r="H53" s="30">
        <f>IF(OR(B53="",D53=""),"",IF(N(E53)=0,1,E53)*IFERROR(INDEX(Products!$C$6:$C$105,MATCH(D53,Products!$B$6:$B$105,0)),0)+N(F53)+N(G53))</f>
        <v/>
      </c>
      <c r="I53" s="35" t="n">
        <v>22</v>
      </c>
      <c r="J53" s="30">
        <f>IF(OR(H53="",L53="Cancelled"),"",IF(H53-N(I53)&gt;0.005,H53-N(I53),""))</f>
        <v/>
      </c>
      <c r="K53" s="31" t="n">
        <v>46077</v>
      </c>
      <c r="L53" s="36" t="inlineStr">
        <is>
          <t>Picked up</t>
        </is>
      </c>
      <c r="M53" s="33" t="inlineStr">
        <is>
          <t>Craft market</t>
        </is>
      </c>
      <c r="N53" s="22">
        <f>IF(OR(H53="",L53="Cancelled"),"",IF(N(E53)=0,1,E53)*IFERROR(INDEX(Products!$E$6:$E$105,MATCH(D53,Products!$B$6:$B$105,0)),0))</f>
        <v/>
      </c>
      <c r="O53" s="35" t="n"/>
      <c r="P53" s="22">
        <f>IF(OR(H53="",L53="Cancelled"),"",ROUND(IFERROR(H53*INDEX(Settings!$C$6:$C$15,MATCH(M53,Settings!$B$6:$B$15,0))+INDEX(Settings!$D$6:$D$15,MATCH(M53,Settings!$B$6:$B$15,0)),0),2))</f>
        <v/>
      </c>
      <c r="Q53" s="28">
        <f>IF(OR(H53="",L53="Cancelled"),"",H53-N(N53)-N(O53)-N(P53))</f>
        <v/>
      </c>
      <c r="R53" s="19">
        <f>IF(OR(B53="",K53=""),"",IF(OR(L53="Sent",L53="Picked up"),"Done",IF(L53="Cancelled","Cancelled",IF(K53&lt;TODAY(),"Late by "&amp;(TODAY()-K53)&amp;IF((TODAY()-K53)=1," day"," days"),IF(K53=TODAY(),"Due today","Due in "&amp;(K53-TODAY())&amp;IF((K53-TODAY())=1," day"," days"))))))</f>
        <v/>
      </c>
      <c r="S53" s="33" t="n"/>
      <c r="T53" s="1">
        <f>IF(AND(B53&lt;&gt;"",K53&lt;&gt;"",L53&lt;&gt;"Sent",L53&lt;&gt;"Picked up",L53&lt;&gt;"Cancelled"),K53+ROW()/10000000,"")</f>
        <v/>
      </c>
      <c r="U53">
        <f>IF(OR(B53="",C53=""),"",B53+ROW()/10000000)</f>
        <v/>
      </c>
      <c r="V53">
        <f>IF(U53="","",IF(COUNTIFS(Orders!$C$6:$C$1005,C53,Orders!$U$6:$U$1005,"&gt;"&amp;U53)=0,1,0))</f>
        <v/>
      </c>
      <c r="W53">
        <f>IF(AND(B53&lt;&gt;"",K53&lt;&gt;"",L53&lt;&gt;"Sent",L53&lt;&gt;"Picked up",L53&lt;&gt;"Cancelled"),IF(N(E53)=0,1,E53),0)</f>
        <v/>
      </c>
      <c r="X53">
        <f>IF(OR(B53="",D53=""),"",IF(N(E53)=0,1,E53))</f>
        <v/>
      </c>
    </row>
    <row r="54">
      <c r="A54" s="1" t="n"/>
      <c r="B54" s="31" t="n">
        <v>46072</v>
      </c>
      <c r="C54" s="32" t="inlineStr">
        <is>
          <t>George Hill</t>
        </is>
      </c>
      <c r="D54" s="33" t="inlineStr">
        <is>
          <t>Wax melts, 6 pack</t>
        </is>
      </c>
      <c r="E54" s="34" t="n">
        <v>4</v>
      </c>
      <c r="F54" s="35" t="n"/>
      <c r="G54" s="35" t="n"/>
      <c r="H54" s="30">
        <f>IF(OR(B54="",D54=""),"",IF(N(E54)=0,1,E54)*IFERROR(INDEX(Products!$C$6:$C$105,MATCH(D54,Products!$B$6:$B$105,0)),0)+N(F54)+N(G54))</f>
        <v/>
      </c>
      <c r="I54" s="35" t="n">
        <v>36</v>
      </c>
      <c r="J54" s="30">
        <f>IF(OR(H54="",L54="Cancelled"),"",IF(H54-N(I54)&gt;0.005,H54-N(I54),""))</f>
        <v/>
      </c>
      <c r="K54" s="31" t="n">
        <v>46084</v>
      </c>
      <c r="L54" s="36" t="inlineStr">
        <is>
          <t>Picked up</t>
        </is>
      </c>
      <c r="M54" s="33" t="inlineStr">
        <is>
          <t>Friends and family</t>
        </is>
      </c>
      <c r="N54" s="22">
        <f>IF(OR(H54="",L54="Cancelled"),"",IF(N(E54)=0,1,E54)*IFERROR(INDEX(Products!$E$6:$E$105,MATCH(D54,Products!$B$6:$B$105,0)),0))</f>
        <v/>
      </c>
      <c r="O54" s="35" t="n"/>
      <c r="P54" s="22">
        <f>IF(OR(H54="",L54="Cancelled"),"",ROUND(IFERROR(H54*INDEX(Settings!$C$6:$C$15,MATCH(M54,Settings!$B$6:$B$15,0))+INDEX(Settings!$D$6:$D$15,MATCH(M54,Settings!$B$6:$B$15,0)),0),2))</f>
        <v/>
      </c>
      <c r="Q54" s="28">
        <f>IF(OR(H54="",L54="Cancelled"),"",H54-N(N54)-N(O54)-N(P54))</f>
        <v/>
      </c>
      <c r="R54" s="19">
        <f>IF(OR(B54="",K54=""),"",IF(OR(L54="Sent",L54="Picked up"),"Done",IF(L54="Cancelled","Cancelled",IF(K54&lt;TODAY(),"Late by "&amp;(TODAY()-K54)&amp;IF((TODAY()-K54)=1," day"," days"),IF(K54=TODAY(),"Due today","Due in "&amp;(K54-TODAY())&amp;IF((K54-TODAY())=1," day"," days"))))))</f>
        <v/>
      </c>
      <c r="S54" s="33" t="n"/>
      <c r="T54" s="1">
        <f>IF(AND(B54&lt;&gt;"",K54&lt;&gt;"",L54&lt;&gt;"Sent",L54&lt;&gt;"Picked up",L54&lt;&gt;"Cancelled"),K54+ROW()/10000000,"")</f>
        <v/>
      </c>
      <c r="U54">
        <f>IF(OR(B54="",C54=""),"",B54+ROW()/10000000)</f>
        <v/>
      </c>
      <c r="V54">
        <f>IF(U54="","",IF(COUNTIFS(Orders!$C$6:$C$1005,C54,Orders!$U$6:$U$1005,"&gt;"&amp;U54)=0,1,0))</f>
        <v/>
      </c>
      <c r="W54">
        <f>IF(AND(B54&lt;&gt;"",K54&lt;&gt;"",L54&lt;&gt;"Sent",L54&lt;&gt;"Picked up",L54&lt;&gt;"Cancelled"),IF(N(E54)=0,1,E54),0)</f>
        <v/>
      </c>
      <c r="X54">
        <f>IF(OR(B54="",D54=""),"",IF(N(E54)=0,1,E54))</f>
        <v/>
      </c>
    </row>
    <row r="55">
      <c r="A55" s="1" t="n"/>
      <c r="B55" s="31" t="n">
        <v>46073</v>
      </c>
      <c r="C55" s="32" t="inlineStr">
        <is>
          <t>Ava Adams</t>
        </is>
      </c>
      <c r="D55" s="33" t="inlineStr">
        <is>
          <t>Soy candle 8 oz</t>
        </is>
      </c>
      <c r="E55" s="34" t="n">
        <v>2</v>
      </c>
      <c r="F55" s="35" t="n"/>
      <c r="G55" s="35" t="n"/>
      <c r="H55" s="30">
        <f>IF(OR(B55="",D55=""),"",IF(N(E55)=0,1,E55)*IFERROR(INDEX(Products!$C$6:$C$105,MATCH(D55,Products!$B$6:$B$105,0)),0)+N(F55)+N(G55))</f>
        <v/>
      </c>
      <c r="I55" s="35" t="n">
        <v>44</v>
      </c>
      <c r="J55" s="30">
        <f>IF(OR(H55="",L55="Cancelled"),"",IF(H55-N(I55)&gt;0.005,H55-N(I55),""))</f>
        <v/>
      </c>
      <c r="K55" s="31" t="n">
        <v>46082</v>
      </c>
      <c r="L55" s="36" t="inlineStr">
        <is>
          <t>Picked up</t>
        </is>
      </c>
      <c r="M55" s="33" t="inlineStr">
        <is>
          <t>Craft market</t>
        </is>
      </c>
      <c r="N55" s="22">
        <f>IF(OR(H55="",L55="Cancelled"),"",IF(N(E55)=0,1,E55)*IFERROR(INDEX(Products!$E$6:$E$105,MATCH(D55,Products!$B$6:$B$105,0)),0))</f>
        <v/>
      </c>
      <c r="O55" s="35" t="n"/>
      <c r="P55" s="22">
        <f>IF(OR(H55="",L55="Cancelled"),"",ROUND(IFERROR(H55*INDEX(Settings!$C$6:$C$15,MATCH(M55,Settings!$B$6:$B$15,0))+INDEX(Settings!$D$6:$D$15,MATCH(M55,Settings!$B$6:$B$15,0)),0),2))</f>
        <v/>
      </c>
      <c r="Q55" s="28">
        <f>IF(OR(H55="",L55="Cancelled"),"",H55-N(N55)-N(O55)-N(P55))</f>
        <v/>
      </c>
      <c r="R55" s="19">
        <f>IF(OR(B55="",K55=""),"",IF(OR(L55="Sent",L55="Picked up"),"Done",IF(L55="Cancelled","Cancelled",IF(K55&lt;TODAY(),"Late by "&amp;(TODAY()-K55)&amp;IF((TODAY()-K55)=1," day"," days"),IF(K55=TODAY(),"Due today","Due in "&amp;(K55-TODAY())&amp;IF((K55-TODAY())=1," day"," days"))))))</f>
        <v/>
      </c>
      <c r="S55" s="33" t="n"/>
      <c r="T55" s="1">
        <f>IF(AND(B55&lt;&gt;"",K55&lt;&gt;"",L55&lt;&gt;"Sent",L55&lt;&gt;"Picked up",L55&lt;&gt;"Cancelled"),K55+ROW()/10000000,"")</f>
        <v/>
      </c>
      <c r="U55">
        <f>IF(OR(B55="",C55=""),"",B55+ROW()/10000000)</f>
        <v/>
      </c>
      <c r="V55">
        <f>IF(U55="","",IF(COUNTIFS(Orders!$C$6:$C$1005,C55,Orders!$U$6:$U$1005,"&gt;"&amp;U55)=0,1,0))</f>
        <v/>
      </c>
      <c r="W55">
        <f>IF(AND(B55&lt;&gt;"",K55&lt;&gt;"",L55&lt;&gt;"Sent",L55&lt;&gt;"Picked up",L55&lt;&gt;"Cancelled"),IF(N(E55)=0,1,E55),0)</f>
        <v/>
      </c>
      <c r="X55">
        <f>IF(OR(B55="",D55=""),"",IF(N(E55)=0,1,E55))</f>
        <v/>
      </c>
    </row>
    <row r="56">
      <c r="A56" s="1" t="n"/>
      <c r="B56" s="31" t="n">
        <v>46073</v>
      </c>
      <c r="C56" s="32" t="inlineStr">
        <is>
          <t>Holly Cox</t>
        </is>
      </c>
      <c r="D56" s="33" t="inlineStr">
        <is>
          <t>Soap bar</t>
        </is>
      </c>
      <c r="E56" s="34" t="n">
        <v>1</v>
      </c>
      <c r="F56" s="35" t="n"/>
      <c r="G56" s="35" t="n">
        <v>6.95</v>
      </c>
      <c r="H56" s="30">
        <f>IF(OR(B56="",D56=""),"",IF(N(E56)=0,1,E56)*IFERROR(INDEX(Products!$C$6:$C$105,MATCH(D56,Products!$B$6:$B$105,0)),0)+N(F56)+N(G56))</f>
        <v/>
      </c>
      <c r="I56" s="35" t="n">
        <v>14.95</v>
      </c>
      <c r="J56" s="30">
        <f>IF(OR(H56="",L56="Cancelled"),"",IF(H56-N(I56)&gt;0.005,H56-N(I56),""))</f>
        <v/>
      </c>
      <c r="K56" s="31" t="n">
        <v>46079</v>
      </c>
      <c r="L56" s="36" t="inlineStr">
        <is>
          <t>Sent</t>
        </is>
      </c>
      <c r="M56" s="33" t="inlineStr">
        <is>
          <t>Etsy</t>
        </is>
      </c>
      <c r="N56" s="22">
        <f>IF(OR(H56="",L56="Cancelled"),"",IF(N(E56)=0,1,E56)*IFERROR(INDEX(Products!$E$6:$E$105,MATCH(D56,Products!$B$6:$B$105,0)),0))</f>
        <v/>
      </c>
      <c r="O56" s="35" t="n">
        <v>6.08</v>
      </c>
      <c r="P56" s="22">
        <f>IF(OR(H56="",L56="Cancelled"),"",ROUND(IFERROR(H56*INDEX(Settings!$C$6:$C$15,MATCH(M56,Settings!$B$6:$B$15,0))+INDEX(Settings!$D$6:$D$15,MATCH(M56,Settings!$B$6:$B$15,0)),0),2))</f>
        <v/>
      </c>
      <c r="Q56" s="28">
        <f>IF(OR(H56="",L56="Cancelled"),"",H56-N(N56)-N(O56)-N(P56))</f>
        <v/>
      </c>
      <c r="R56" s="19">
        <f>IF(OR(B56="",K56=""),"",IF(OR(L56="Sent",L56="Picked up"),"Done",IF(L56="Cancelled","Cancelled",IF(K56&lt;TODAY(),"Late by "&amp;(TODAY()-K56)&amp;IF((TODAY()-K56)=1," day"," days"),IF(K56=TODAY(),"Due today","Due in "&amp;(K56-TODAY())&amp;IF((K56-TODAY())=1," day"," days"))))))</f>
        <v/>
      </c>
      <c r="S56" s="33" t="n"/>
      <c r="T56" s="1">
        <f>IF(AND(B56&lt;&gt;"",K56&lt;&gt;"",L56&lt;&gt;"Sent",L56&lt;&gt;"Picked up",L56&lt;&gt;"Cancelled"),K56+ROW()/10000000,"")</f>
        <v/>
      </c>
      <c r="U56">
        <f>IF(OR(B56="",C56=""),"",B56+ROW()/10000000)</f>
        <v/>
      </c>
      <c r="V56">
        <f>IF(U56="","",IF(COUNTIFS(Orders!$C$6:$C$1005,C56,Orders!$U$6:$U$1005,"&gt;"&amp;U56)=0,1,0))</f>
        <v/>
      </c>
      <c r="W56">
        <f>IF(AND(B56&lt;&gt;"",K56&lt;&gt;"",L56&lt;&gt;"Sent",L56&lt;&gt;"Picked up",L56&lt;&gt;"Cancelled"),IF(N(E56)=0,1,E56),0)</f>
        <v/>
      </c>
      <c r="X56">
        <f>IF(OR(B56="",D56=""),"",IF(N(E56)=0,1,E56))</f>
        <v/>
      </c>
    </row>
    <row r="57">
      <c r="A57" s="1" t="n"/>
      <c r="B57" s="31" t="n">
        <v>46074</v>
      </c>
      <c r="C57" s="32" t="inlineStr">
        <is>
          <t>Lily Gray</t>
        </is>
      </c>
      <c r="D57" s="33" t="inlineStr">
        <is>
          <t>Gift box</t>
        </is>
      </c>
      <c r="E57" s="34" t="n">
        <v>2</v>
      </c>
      <c r="F57" s="35" t="n"/>
      <c r="G57" s="35" t="n"/>
      <c r="H57" s="30">
        <f>IF(OR(B57="",D57=""),"",IF(N(E57)=0,1,E57)*IFERROR(INDEX(Products!$C$6:$C$105,MATCH(D57,Products!$B$6:$B$105,0)),0)+N(F57)+N(G57))</f>
        <v/>
      </c>
      <c r="I57" s="35" t="n">
        <v>90</v>
      </c>
      <c r="J57" s="30">
        <f>IF(OR(H57="",L57="Cancelled"),"",IF(H57-N(I57)&gt;0.005,H57-N(I57),""))</f>
        <v/>
      </c>
      <c r="K57" s="31" t="n">
        <v>46081</v>
      </c>
      <c r="L57" s="36" t="inlineStr">
        <is>
          <t>Picked up</t>
        </is>
      </c>
      <c r="M57" s="33" t="inlineStr">
        <is>
          <t>Friends and family</t>
        </is>
      </c>
      <c r="N57" s="22">
        <f>IF(OR(H57="",L57="Cancelled"),"",IF(N(E57)=0,1,E57)*IFERROR(INDEX(Products!$E$6:$E$105,MATCH(D57,Products!$B$6:$B$105,0)),0))</f>
        <v/>
      </c>
      <c r="O57" s="35" t="n"/>
      <c r="P57" s="22">
        <f>IF(OR(H57="",L57="Cancelled"),"",ROUND(IFERROR(H57*INDEX(Settings!$C$6:$C$15,MATCH(M57,Settings!$B$6:$B$15,0))+INDEX(Settings!$D$6:$D$15,MATCH(M57,Settings!$B$6:$B$15,0)),0),2))</f>
        <v/>
      </c>
      <c r="Q57" s="28">
        <f>IF(OR(H57="",L57="Cancelled"),"",H57-N(N57)-N(O57)-N(P57))</f>
        <v/>
      </c>
      <c r="R57" s="19">
        <f>IF(OR(B57="",K57=""),"",IF(OR(L57="Sent",L57="Picked up"),"Done",IF(L57="Cancelled","Cancelled",IF(K57&lt;TODAY(),"Late by "&amp;(TODAY()-K57)&amp;IF((TODAY()-K57)=1," day"," days"),IF(K57=TODAY(),"Due today","Due in "&amp;(K57-TODAY())&amp;IF((K57-TODAY())=1," day"," days"))))))</f>
        <v/>
      </c>
      <c r="S57" s="33" t="n"/>
      <c r="T57" s="1">
        <f>IF(AND(B57&lt;&gt;"",K57&lt;&gt;"",L57&lt;&gt;"Sent",L57&lt;&gt;"Picked up",L57&lt;&gt;"Cancelled"),K57+ROW()/10000000,"")</f>
        <v/>
      </c>
      <c r="U57">
        <f>IF(OR(B57="",C57=""),"",B57+ROW()/10000000)</f>
        <v/>
      </c>
      <c r="V57">
        <f>IF(U57="","",IF(COUNTIFS(Orders!$C$6:$C$1005,C57,Orders!$U$6:$U$1005,"&gt;"&amp;U57)=0,1,0))</f>
        <v/>
      </c>
      <c r="W57">
        <f>IF(AND(B57&lt;&gt;"",K57&lt;&gt;"",L57&lt;&gt;"Sent",L57&lt;&gt;"Picked up",L57&lt;&gt;"Cancelled"),IF(N(E57)=0,1,E57),0)</f>
        <v/>
      </c>
      <c r="X57">
        <f>IF(OR(B57="",D57=""),"",IF(N(E57)=0,1,E57))</f>
        <v/>
      </c>
    </row>
    <row r="58">
      <c r="A58" s="1" t="n"/>
      <c r="B58" s="31" t="n">
        <v>46075</v>
      </c>
      <c r="C58" s="32" t="inlineStr">
        <is>
          <t>Holly Cox</t>
        </is>
      </c>
      <c r="D58" s="33" t="inlineStr">
        <is>
          <t>Wax melts, 6 pack</t>
        </is>
      </c>
      <c r="E58" s="34" t="n">
        <v>1</v>
      </c>
      <c r="F58" s="35" t="n"/>
      <c r="G58" s="35" t="n">
        <v>6.95</v>
      </c>
      <c r="H58" s="30">
        <f>IF(OR(B58="",D58=""),"",IF(N(E58)=0,1,E58)*IFERROR(INDEX(Products!$C$6:$C$105,MATCH(D58,Products!$B$6:$B$105,0)),0)+N(F58)+N(G58))</f>
        <v/>
      </c>
      <c r="I58" s="35" t="n">
        <v>15.95</v>
      </c>
      <c r="J58" s="30">
        <f>IF(OR(H58="",L58="Cancelled"),"",IF(H58-N(I58)&gt;0.005,H58-N(I58),""))</f>
        <v/>
      </c>
      <c r="K58" s="31" t="n">
        <v>46080</v>
      </c>
      <c r="L58" s="36" t="inlineStr">
        <is>
          <t>Sent</t>
        </is>
      </c>
      <c r="M58" s="33" t="inlineStr">
        <is>
          <t>Own website</t>
        </is>
      </c>
      <c r="N58" s="22">
        <f>IF(OR(H58="",L58="Cancelled"),"",IF(N(E58)=0,1,E58)*IFERROR(INDEX(Products!$E$6:$E$105,MATCH(D58,Products!$B$6:$B$105,0)),0))</f>
        <v/>
      </c>
      <c r="O58" s="35" t="n">
        <v>5.84</v>
      </c>
      <c r="P58" s="22">
        <f>IF(OR(H58="",L58="Cancelled"),"",ROUND(IFERROR(H58*INDEX(Settings!$C$6:$C$15,MATCH(M58,Settings!$B$6:$B$15,0))+INDEX(Settings!$D$6:$D$15,MATCH(M58,Settings!$B$6:$B$15,0)),0),2))</f>
        <v/>
      </c>
      <c r="Q58" s="28">
        <f>IF(OR(H58="",L58="Cancelled"),"",H58-N(N58)-N(O58)-N(P58))</f>
        <v/>
      </c>
      <c r="R58" s="19">
        <f>IF(OR(B58="",K58=""),"",IF(OR(L58="Sent",L58="Picked up"),"Done",IF(L58="Cancelled","Cancelled",IF(K58&lt;TODAY(),"Late by "&amp;(TODAY()-K58)&amp;IF((TODAY()-K58)=1," day"," days"),IF(K58=TODAY(),"Due today","Due in "&amp;(K58-TODAY())&amp;IF((K58-TODAY())=1," day"," days"))))))</f>
        <v/>
      </c>
      <c r="S58" s="33" t="n"/>
      <c r="T58" s="1">
        <f>IF(AND(B58&lt;&gt;"",K58&lt;&gt;"",L58&lt;&gt;"Sent",L58&lt;&gt;"Picked up",L58&lt;&gt;"Cancelled"),K58+ROW()/10000000,"")</f>
        <v/>
      </c>
      <c r="U58">
        <f>IF(OR(B58="",C58=""),"",B58+ROW()/10000000)</f>
        <v/>
      </c>
      <c r="V58">
        <f>IF(U58="","",IF(COUNTIFS(Orders!$C$6:$C$1005,C58,Orders!$U$6:$U$1005,"&gt;"&amp;U58)=0,1,0))</f>
        <v/>
      </c>
      <c r="W58">
        <f>IF(AND(B58&lt;&gt;"",K58&lt;&gt;"",L58&lt;&gt;"Sent",L58&lt;&gt;"Picked up",L58&lt;&gt;"Cancelled"),IF(N(E58)=0,1,E58),0)</f>
        <v/>
      </c>
      <c r="X58">
        <f>IF(OR(B58="",D58=""),"",IF(N(E58)=0,1,E58))</f>
        <v/>
      </c>
    </row>
    <row r="59">
      <c r="A59" s="1" t="n"/>
      <c r="B59" s="31" t="n">
        <v>46076</v>
      </c>
      <c r="C59" s="32" t="inlineStr">
        <is>
          <t>Ian Price</t>
        </is>
      </c>
      <c r="D59" s="33" t="inlineStr">
        <is>
          <t>Soy candle 8 oz</t>
        </is>
      </c>
      <c r="E59" s="34" t="n">
        <v>3</v>
      </c>
      <c r="F59" s="35" t="n"/>
      <c r="G59" s="35" t="n">
        <v>6.95</v>
      </c>
      <c r="H59" s="30">
        <f>IF(OR(B59="",D59=""),"",IF(N(E59)=0,1,E59)*IFERROR(INDEX(Products!$C$6:$C$105,MATCH(D59,Products!$B$6:$B$105,0)),0)+N(F59)+N(G59))</f>
        <v/>
      </c>
      <c r="I59" s="35" t="n">
        <v>72.95</v>
      </c>
      <c r="J59" s="30">
        <f>IF(OR(H59="",L59="Cancelled"),"",IF(H59-N(I59)&gt;0.005,H59-N(I59),""))</f>
        <v/>
      </c>
      <c r="K59" s="31" t="n">
        <v>46084</v>
      </c>
      <c r="L59" s="36" t="inlineStr">
        <is>
          <t>Sent</t>
        </is>
      </c>
      <c r="M59" s="33" t="inlineStr">
        <is>
          <t>Etsy</t>
        </is>
      </c>
      <c r="N59" s="22">
        <f>IF(OR(H59="",L59="Cancelled"),"",IF(N(E59)=0,1,E59)*IFERROR(INDEX(Products!$E$6:$E$105,MATCH(D59,Products!$B$6:$B$105,0)),0))</f>
        <v/>
      </c>
      <c r="O59" s="35" t="n">
        <v>5.75</v>
      </c>
      <c r="P59" s="22">
        <f>IF(OR(H59="",L59="Cancelled"),"",ROUND(IFERROR(H59*INDEX(Settings!$C$6:$C$15,MATCH(M59,Settings!$B$6:$B$15,0))+INDEX(Settings!$D$6:$D$15,MATCH(M59,Settings!$B$6:$B$15,0)),0),2))</f>
        <v/>
      </c>
      <c r="Q59" s="28">
        <f>IF(OR(H59="",L59="Cancelled"),"",H59-N(N59)-N(O59)-N(P59))</f>
        <v/>
      </c>
      <c r="R59" s="19">
        <f>IF(OR(B59="",K59=""),"",IF(OR(L59="Sent",L59="Picked up"),"Done",IF(L59="Cancelled","Cancelled",IF(K59&lt;TODAY(),"Late by "&amp;(TODAY()-K59)&amp;IF((TODAY()-K59)=1," day"," days"),IF(K59=TODAY(),"Due today","Due in "&amp;(K59-TODAY())&amp;IF((K59-TODAY())=1," day"," days"))))))</f>
        <v/>
      </c>
      <c r="S59" s="33" t="n"/>
      <c r="T59" s="1">
        <f>IF(AND(B59&lt;&gt;"",K59&lt;&gt;"",L59&lt;&gt;"Sent",L59&lt;&gt;"Picked up",L59&lt;&gt;"Cancelled"),K59+ROW()/10000000,"")</f>
        <v/>
      </c>
      <c r="U59">
        <f>IF(OR(B59="",C59=""),"",B59+ROW()/10000000)</f>
        <v/>
      </c>
      <c r="V59">
        <f>IF(U59="","",IF(COUNTIFS(Orders!$C$6:$C$1005,C59,Orders!$U$6:$U$1005,"&gt;"&amp;U59)=0,1,0))</f>
        <v/>
      </c>
      <c r="W59">
        <f>IF(AND(B59&lt;&gt;"",K59&lt;&gt;"",L59&lt;&gt;"Sent",L59&lt;&gt;"Picked up",L59&lt;&gt;"Cancelled"),IF(N(E59)=0,1,E59),0)</f>
        <v/>
      </c>
      <c r="X59">
        <f>IF(OR(B59="",D59=""),"",IF(N(E59)=0,1,E59))</f>
        <v/>
      </c>
    </row>
    <row r="60">
      <c r="A60" s="1" t="n"/>
      <c r="B60" s="31" t="n">
        <v>46077</v>
      </c>
      <c r="C60" s="32" t="inlineStr">
        <is>
          <t>Adam Baker</t>
        </is>
      </c>
      <c r="D60" s="33" t="inlineStr">
        <is>
          <t>Soap bar</t>
        </is>
      </c>
      <c r="E60" s="34" t="n">
        <v>1</v>
      </c>
      <c r="F60" s="35" t="n"/>
      <c r="G60" s="35" t="n"/>
      <c r="H60" s="30">
        <f>IF(OR(B60="",D60=""),"",IF(N(E60)=0,1,E60)*IFERROR(INDEX(Products!$C$6:$C$105,MATCH(D60,Products!$B$6:$B$105,0)),0)+N(F60)+N(G60))</f>
        <v/>
      </c>
      <c r="I60" s="35" t="n">
        <v>8</v>
      </c>
      <c r="J60" s="30">
        <f>IF(OR(H60="",L60="Cancelled"),"",IF(H60-N(I60)&gt;0.005,H60-N(I60),""))</f>
        <v/>
      </c>
      <c r="K60" s="31" t="n">
        <v>46089</v>
      </c>
      <c r="L60" s="36" t="inlineStr">
        <is>
          <t>Picked up</t>
        </is>
      </c>
      <c r="M60" s="33" t="inlineStr">
        <is>
          <t>Craft market</t>
        </is>
      </c>
      <c r="N60" s="22">
        <f>IF(OR(H60="",L60="Cancelled"),"",IF(N(E60)=0,1,E60)*IFERROR(INDEX(Products!$E$6:$E$105,MATCH(D60,Products!$B$6:$B$105,0)),0))</f>
        <v/>
      </c>
      <c r="O60" s="35" t="n"/>
      <c r="P60" s="22">
        <f>IF(OR(H60="",L60="Cancelled"),"",ROUND(IFERROR(H60*INDEX(Settings!$C$6:$C$15,MATCH(M60,Settings!$B$6:$B$15,0))+INDEX(Settings!$D$6:$D$15,MATCH(M60,Settings!$B$6:$B$15,0)),0),2))</f>
        <v/>
      </c>
      <c r="Q60" s="28">
        <f>IF(OR(H60="",L60="Cancelled"),"",H60-N(N60)-N(O60)-N(P60))</f>
        <v/>
      </c>
      <c r="R60" s="19">
        <f>IF(OR(B60="",K60=""),"",IF(OR(L60="Sent",L60="Picked up"),"Done",IF(L60="Cancelled","Cancelled",IF(K60&lt;TODAY(),"Late by "&amp;(TODAY()-K60)&amp;IF((TODAY()-K60)=1," day"," days"),IF(K60=TODAY(),"Due today","Due in "&amp;(K60-TODAY())&amp;IF((K60-TODAY())=1," day"," days"))))))</f>
        <v/>
      </c>
      <c r="S60" s="33" t="n"/>
      <c r="T60" s="1">
        <f>IF(AND(B60&lt;&gt;"",K60&lt;&gt;"",L60&lt;&gt;"Sent",L60&lt;&gt;"Picked up",L60&lt;&gt;"Cancelled"),K60+ROW()/10000000,"")</f>
        <v/>
      </c>
      <c r="U60">
        <f>IF(OR(B60="",C60=""),"",B60+ROW()/10000000)</f>
        <v/>
      </c>
      <c r="V60">
        <f>IF(U60="","",IF(COUNTIFS(Orders!$C$6:$C$1005,C60,Orders!$U$6:$U$1005,"&gt;"&amp;U60)=0,1,0))</f>
        <v/>
      </c>
      <c r="W60">
        <f>IF(AND(B60&lt;&gt;"",K60&lt;&gt;"",L60&lt;&gt;"Sent",L60&lt;&gt;"Picked up",L60&lt;&gt;"Cancelled"),IF(N(E60)=0,1,E60),0)</f>
        <v/>
      </c>
      <c r="X60">
        <f>IF(OR(B60="",D60=""),"",IF(N(E60)=0,1,E60))</f>
        <v/>
      </c>
    </row>
    <row r="61">
      <c r="A61" s="1" t="n"/>
      <c r="B61" s="31" t="n">
        <v>46078</v>
      </c>
      <c r="C61" s="32" t="inlineStr">
        <is>
          <t>Jon Fox</t>
        </is>
      </c>
      <c r="D61" s="33" t="inlineStr">
        <is>
          <t>Wax melts, 6 pack</t>
        </is>
      </c>
      <c r="E61" s="34" t="n">
        <v>4</v>
      </c>
      <c r="F61" s="35" t="n"/>
      <c r="G61" s="35" t="n">
        <v>6.95</v>
      </c>
      <c r="H61" s="30">
        <f>IF(OR(B61="",D61=""),"",IF(N(E61)=0,1,E61)*IFERROR(INDEX(Products!$C$6:$C$105,MATCH(D61,Products!$B$6:$B$105,0)),0)+N(F61)+N(G61))</f>
        <v/>
      </c>
      <c r="I61" s="35" t="n">
        <v>42.95</v>
      </c>
      <c r="J61" s="30">
        <f>IF(OR(H61="",L61="Cancelled"),"",IF(H61-N(I61)&gt;0.005,H61-N(I61),""))</f>
        <v/>
      </c>
      <c r="K61" s="31" t="n">
        <v>46088</v>
      </c>
      <c r="L61" s="36" t="inlineStr">
        <is>
          <t>Sent</t>
        </is>
      </c>
      <c r="M61" s="33" t="inlineStr">
        <is>
          <t>Etsy</t>
        </is>
      </c>
      <c r="N61" s="22">
        <f>IF(OR(H61="",L61="Cancelled"),"",IF(N(E61)=0,1,E61)*IFERROR(INDEX(Products!$E$6:$E$105,MATCH(D61,Products!$B$6:$B$105,0)),0))</f>
        <v/>
      </c>
      <c r="O61" s="35" t="n">
        <v>7.05</v>
      </c>
      <c r="P61" s="22">
        <f>IF(OR(H61="",L61="Cancelled"),"",ROUND(IFERROR(H61*INDEX(Settings!$C$6:$C$15,MATCH(M61,Settings!$B$6:$B$15,0))+INDEX(Settings!$D$6:$D$15,MATCH(M61,Settings!$B$6:$B$15,0)),0),2))</f>
        <v/>
      </c>
      <c r="Q61" s="28">
        <f>IF(OR(H61="",L61="Cancelled"),"",H61-N(N61)-N(O61)-N(P61))</f>
        <v/>
      </c>
      <c r="R61" s="19">
        <f>IF(OR(B61="",K61=""),"",IF(OR(L61="Sent",L61="Picked up"),"Done",IF(L61="Cancelled","Cancelled",IF(K61&lt;TODAY(),"Late by "&amp;(TODAY()-K61)&amp;IF((TODAY()-K61)=1," day"," days"),IF(K61=TODAY(),"Due today","Due in "&amp;(K61-TODAY())&amp;IF((K61-TODAY())=1," day"," days"))))))</f>
        <v/>
      </c>
      <c r="S61" s="33" t="n"/>
      <c r="T61" s="1">
        <f>IF(AND(B61&lt;&gt;"",K61&lt;&gt;"",L61&lt;&gt;"Sent",L61&lt;&gt;"Picked up",L61&lt;&gt;"Cancelled"),K61+ROW()/10000000,"")</f>
        <v/>
      </c>
      <c r="U61">
        <f>IF(OR(B61="",C61=""),"",B61+ROW()/10000000)</f>
        <v/>
      </c>
      <c r="V61">
        <f>IF(U61="","",IF(COUNTIFS(Orders!$C$6:$C$1005,C61,Orders!$U$6:$U$1005,"&gt;"&amp;U61)=0,1,0))</f>
        <v/>
      </c>
      <c r="W61">
        <f>IF(AND(B61&lt;&gt;"",K61&lt;&gt;"",L61&lt;&gt;"Sent",L61&lt;&gt;"Picked up",L61&lt;&gt;"Cancelled"),IF(N(E61)=0,1,E61),0)</f>
        <v/>
      </c>
      <c r="X61">
        <f>IF(OR(B61="",D61=""),"",IF(N(E61)=0,1,E61))</f>
        <v/>
      </c>
    </row>
    <row r="62">
      <c r="A62" s="1" t="n"/>
      <c r="B62" s="31" t="n">
        <v>46080</v>
      </c>
      <c r="C62" s="32" t="inlineStr">
        <is>
          <t>Holly Cox</t>
        </is>
      </c>
      <c r="D62" s="33" t="inlineStr">
        <is>
          <t>Soy candle 16 oz</t>
        </is>
      </c>
      <c r="E62" s="34" t="n">
        <v>1</v>
      </c>
      <c r="F62" s="35" t="n"/>
      <c r="G62" s="35" t="n"/>
      <c r="H62" s="30">
        <f>IF(OR(B62="",D62=""),"",IF(N(E62)=0,1,E62)*IFERROR(INDEX(Products!$C$6:$C$105,MATCH(D62,Products!$B$6:$B$105,0)),0)+N(F62)+N(G62))</f>
        <v/>
      </c>
      <c r="I62" s="35" t="n">
        <v>34</v>
      </c>
      <c r="J62" s="30">
        <f>IF(OR(H62="",L62="Cancelled"),"",IF(H62-N(I62)&gt;0.005,H62-N(I62),""))</f>
        <v/>
      </c>
      <c r="K62" s="31" t="n">
        <v>46092</v>
      </c>
      <c r="L62" s="36" t="inlineStr">
        <is>
          <t>Picked up</t>
        </is>
      </c>
      <c r="M62" s="33" t="inlineStr">
        <is>
          <t>Craft market</t>
        </is>
      </c>
      <c r="N62" s="22">
        <f>IF(OR(H62="",L62="Cancelled"),"",IF(N(E62)=0,1,E62)*IFERROR(INDEX(Products!$E$6:$E$105,MATCH(D62,Products!$B$6:$B$105,0)),0))</f>
        <v/>
      </c>
      <c r="O62" s="35" t="n"/>
      <c r="P62" s="22">
        <f>IF(OR(H62="",L62="Cancelled"),"",ROUND(IFERROR(H62*INDEX(Settings!$C$6:$C$15,MATCH(M62,Settings!$B$6:$B$15,0))+INDEX(Settings!$D$6:$D$15,MATCH(M62,Settings!$B$6:$B$15,0)),0),2))</f>
        <v/>
      </c>
      <c r="Q62" s="28">
        <f>IF(OR(H62="",L62="Cancelled"),"",H62-N(N62)-N(O62)-N(P62))</f>
        <v/>
      </c>
      <c r="R62" s="19">
        <f>IF(OR(B62="",K62=""),"",IF(OR(L62="Sent",L62="Picked up"),"Done",IF(L62="Cancelled","Cancelled",IF(K62&lt;TODAY(),"Late by "&amp;(TODAY()-K62)&amp;IF((TODAY()-K62)=1," day"," days"),IF(K62=TODAY(),"Due today","Due in "&amp;(K62-TODAY())&amp;IF((K62-TODAY())=1," day"," days"))))))</f>
        <v/>
      </c>
      <c r="S62" s="33" t="n"/>
      <c r="T62" s="1">
        <f>IF(AND(B62&lt;&gt;"",K62&lt;&gt;"",L62&lt;&gt;"Sent",L62&lt;&gt;"Picked up",L62&lt;&gt;"Cancelled"),K62+ROW()/10000000,"")</f>
        <v/>
      </c>
      <c r="U62">
        <f>IF(OR(B62="",C62=""),"",B62+ROW()/10000000)</f>
        <v/>
      </c>
      <c r="V62">
        <f>IF(U62="","",IF(COUNTIFS(Orders!$C$6:$C$1005,C62,Orders!$U$6:$U$1005,"&gt;"&amp;U62)=0,1,0))</f>
        <v/>
      </c>
      <c r="W62">
        <f>IF(AND(B62&lt;&gt;"",K62&lt;&gt;"",L62&lt;&gt;"Sent",L62&lt;&gt;"Picked up",L62&lt;&gt;"Cancelled"),IF(N(E62)=0,1,E62),0)</f>
        <v/>
      </c>
      <c r="X62">
        <f>IF(OR(B62="",D62=""),"",IF(N(E62)=0,1,E62))</f>
        <v/>
      </c>
    </row>
    <row r="63">
      <c r="A63" s="1" t="n"/>
      <c r="B63" s="31" t="n">
        <v>46081</v>
      </c>
      <c r="C63" s="32" t="inlineStr">
        <is>
          <t>Ruby Brooks</t>
        </is>
      </c>
      <c r="D63" s="33" t="inlineStr">
        <is>
          <t>Gift box</t>
        </is>
      </c>
      <c r="E63" s="34" t="n">
        <v>1</v>
      </c>
      <c r="F63" s="35" t="n"/>
      <c r="G63" s="35" t="n">
        <v>6.95</v>
      </c>
      <c r="H63" s="30">
        <f>IF(OR(B63="",D63=""),"",IF(N(E63)=0,1,E63)*IFERROR(INDEX(Products!$C$6:$C$105,MATCH(D63,Products!$B$6:$B$105,0)),0)+N(F63)+N(G63))</f>
        <v/>
      </c>
      <c r="I63" s="35" t="n">
        <v>51.95</v>
      </c>
      <c r="J63" s="30">
        <f>IF(OR(H63="",L63="Cancelled"),"",IF(H63-N(I63)&gt;0.005,H63-N(I63),""))</f>
        <v/>
      </c>
      <c r="K63" s="31" t="n">
        <v>46091</v>
      </c>
      <c r="L63" s="36" t="inlineStr">
        <is>
          <t>Sent</t>
        </is>
      </c>
      <c r="M63" s="33" t="inlineStr">
        <is>
          <t>Etsy</t>
        </is>
      </c>
      <c r="N63" s="22">
        <f>IF(OR(H63="",L63="Cancelled"),"",IF(N(E63)=0,1,E63)*IFERROR(INDEX(Products!$E$6:$E$105,MATCH(D63,Products!$B$6:$B$105,0)),0))</f>
        <v/>
      </c>
      <c r="O63" s="35" t="n">
        <v>7.75</v>
      </c>
      <c r="P63" s="22">
        <f>IF(OR(H63="",L63="Cancelled"),"",ROUND(IFERROR(H63*INDEX(Settings!$C$6:$C$15,MATCH(M63,Settings!$B$6:$B$15,0))+INDEX(Settings!$D$6:$D$15,MATCH(M63,Settings!$B$6:$B$15,0)),0),2))</f>
        <v/>
      </c>
      <c r="Q63" s="28">
        <f>IF(OR(H63="",L63="Cancelled"),"",H63-N(N63)-N(O63)-N(P63))</f>
        <v/>
      </c>
      <c r="R63" s="19">
        <f>IF(OR(B63="",K63=""),"",IF(OR(L63="Sent",L63="Picked up"),"Done",IF(L63="Cancelled","Cancelled",IF(K63&lt;TODAY(),"Late by "&amp;(TODAY()-K63)&amp;IF((TODAY()-K63)=1," day"," days"),IF(K63=TODAY(),"Due today","Due in "&amp;(K63-TODAY())&amp;IF((K63-TODAY())=1," day"," days"))))))</f>
        <v/>
      </c>
      <c r="S63" s="33" t="n"/>
      <c r="T63" s="1">
        <f>IF(AND(B63&lt;&gt;"",K63&lt;&gt;"",L63&lt;&gt;"Sent",L63&lt;&gt;"Picked up",L63&lt;&gt;"Cancelled"),K63+ROW()/10000000,"")</f>
        <v/>
      </c>
      <c r="U63">
        <f>IF(OR(B63="",C63=""),"",B63+ROW()/10000000)</f>
        <v/>
      </c>
      <c r="V63">
        <f>IF(U63="","",IF(COUNTIFS(Orders!$C$6:$C$1005,C63,Orders!$U$6:$U$1005,"&gt;"&amp;U63)=0,1,0))</f>
        <v/>
      </c>
      <c r="W63">
        <f>IF(AND(B63&lt;&gt;"",K63&lt;&gt;"",L63&lt;&gt;"Sent",L63&lt;&gt;"Picked up",L63&lt;&gt;"Cancelled"),IF(N(E63)=0,1,E63),0)</f>
        <v/>
      </c>
      <c r="X63">
        <f>IF(OR(B63="",D63=""),"",IF(N(E63)=0,1,E63))</f>
        <v/>
      </c>
    </row>
    <row r="64">
      <c r="A64" s="1" t="n"/>
      <c r="B64" s="31" t="n">
        <v>46081</v>
      </c>
      <c r="C64" s="32" t="inlineStr">
        <is>
          <t>Nora Lewis</t>
        </is>
      </c>
      <c r="D64" s="33" t="inlineStr">
        <is>
          <t>Soy candle 8 oz</t>
        </is>
      </c>
      <c r="E64" s="34" t="n">
        <v>1</v>
      </c>
      <c r="F64" s="35" t="n"/>
      <c r="G64" s="35" t="n"/>
      <c r="H64" s="30">
        <f>IF(OR(B64="",D64=""),"",IF(N(E64)=0,1,E64)*IFERROR(INDEX(Products!$C$6:$C$105,MATCH(D64,Products!$B$6:$B$105,0)),0)+N(F64)+N(G64))</f>
        <v/>
      </c>
      <c r="I64" s="35" t="n">
        <v>22</v>
      </c>
      <c r="J64" s="30">
        <f>IF(OR(H64="",L64="Cancelled"),"",IF(H64-N(I64)&gt;0.005,H64-N(I64),""))</f>
        <v/>
      </c>
      <c r="K64" s="31" t="n">
        <v>46087</v>
      </c>
      <c r="L64" s="36" t="inlineStr">
        <is>
          <t>Picked up</t>
        </is>
      </c>
      <c r="M64" s="33" t="inlineStr">
        <is>
          <t>Instagram</t>
        </is>
      </c>
      <c r="N64" s="22">
        <f>IF(OR(H64="",L64="Cancelled"),"",IF(N(E64)=0,1,E64)*IFERROR(INDEX(Products!$E$6:$E$105,MATCH(D64,Products!$B$6:$B$105,0)),0))</f>
        <v/>
      </c>
      <c r="O64" s="35" t="n"/>
      <c r="P64" s="22">
        <f>IF(OR(H64="",L64="Cancelled"),"",ROUND(IFERROR(H64*INDEX(Settings!$C$6:$C$15,MATCH(M64,Settings!$B$6:$B$15,0))+INDEX(Settings!$D$6:$D$15,MATCH(M64,Settings!$B$6:$B$15,0)),0),2))</f>
        <v/>
      </c>
      <c r="Q64" s="28">
        <f>IF(OR(H64="",L64="Cancelled"),"",H64-N(N64)-N(O64)-N(P64))</f>
        <v/>
      </c>
      <c r="R64" s="19">
        <f>IF(OR(B64="",K64=""),"",IF(OR(L64="Sent",L64="Picked up"),"Done",IF(L64="Cancelled","Cancelled",IF(K64&lt;TODAY(),"Late by "&amp;(TODAY()-K64)&amp;IF((TODAY()-K64)=1," day"," days"),IF(K64=TODAY(),"Due today","Due in "&amp;(K64-TODAY())&amp;IF((K64-TODAY())=1," day"," days"))))))</f>
        <v/>
      </c>
      <c r="S64" s="33" t="n"/>
      <c r="T64" s="1">
        <f>IF(AND(B64&lt;&gt;"",K64&lt;&gt;"",L64&lt;&gt;"Sent",L64&lt;&gt;"Picked up",L64&lt;&gt;"Cancelled"),K64+ROW()/10000000,"")</f>
        <v/>
      </c>
      <c r="U64">
        <f>IF(OR(B64="",C64=""),"",B64+ROW()/10000000)</f>
        <v/>
      </c>
      <c r="V64">
        <f>IF(U64="","",IF(COUNTIFS(Orders!$C$6:$C$1005,C64,Orders!$U$6:$U$1005,"&gt;"&amp;U64)=0,1,0))</f>
        <v/>
      </c>
      <c r="W64">
        <f>IF(AND(B64&lt;&gt;"",K64&lt;&gt;"",L64&lt;&gt;"Sent",L64&lt;&gt;"Picked up",L64&lt;&gt;"Cancelled"),IF(N(E64)=0,1,E64),0)</f>
        <v/>
      </c>
      <c r="X64">
        <f>IF(OR(B64="",D64=""),"",IF(N(E64)=0,1,E64))</f>
        <v/>
      </c>
    </row>
    <row r="65">
      <c r="A65" s="1" t="n"/>
      <c r="B65" s="31" t="n">
        <v>46082</v>
      </c>
      <c r="C65" s="32" t="inlineStr">
        <is>
          <t>Ava Adams</t>
        </is>
      </c>
      <c r="D65" s="33" t="inlineStr">
        <is>
          <t>Soy candle 8 oz</t>
        </is>
      </c>
      <c r="E65" s="34" t="n">
        <v>1</v>
      </c>
      <c r="F65" s="35" t="n"/>
      <c r="G65" s="35" t="n">
        <v>6.95</v>
      </c>
      <c r="H65" s="30">
        <f>IF(OR(B65="",D65=""),"",IF(N(E65)=0,1,E65)*IFERROR(INDEX(Products!$C$6:$C$105,MATCH(D65,Products!$B$6:$B$105,0)),0)+N(F65)+N(G65))</f>
        <v/>
      </c>
      <c r="I65" s="35" t="n">
        <v>28.95</v>
      </c>
      <c r="J65" s="30">
        <f>IF(OR(H65="",L65="Cancelled"),"",IF(H65-N(I65)&gt;0.005,H65-N(I65),""))</f>
        <v/>
      </c>
      <c r="K65" s="31" t="n">
        <v>46086</v>
      </c>
      <c r="L65" s="36" t="inlineStr">
        <is>
          <t>Sent</t>
        </is>
      </c>
      <c r="M65" s="33" t="inlineStr">
        <is>
          <t>Etsy</t>
        </is>
      </c>
      <c r="N65" s="22">
        <f>IF(OR(H65="",L65="Cancelled"),"",IF(N(E65)=0,1,E65)*IFERROR(INDEX(Products!$E$6:$E$105,MATCH(D65,Products!$B$6:$B$105,0)),0))</f>
        <v/>
      </c>
      <c r="O65" s="35" t="n">
        <v>6.1</v>
      </c>
      <c r="P65" s="22">
        <f>IF(OR(H65="",L65="Cancelled"),"",ROUND(IFERROR(H65*INDEX(Settings!$C$6:$C$15,MATCH(M65,Settings!$B$6:$B$15,0))+INDEX(Settings!$D$6:$D$15,MATCH(M65,Settings!$B$6:$B$15,0)),0),2))</f>
        <v/>
      </c>
      <c r="Q65" s="28">
        <f>IF(OR(H65="",L65="Cancelled"),"",H65-N(N65)-N(O65)-N(P65))</f>
        <v/>
      </c>
      <c r="R65" s="19">
        <f>IF(OR(B65="",K65=""),"",IF(OR(L65="Sent",L65="Picked up"),"Done",IF(L65="Cancelled","Cancelled",IF(K65&lt;TODAY(),"Late by "&amp;(TODAY()-K65)&amp;IF((TODAY()-K65)=1," day"," days"),IF(K65=TODAY(),"Due today","Due in "&amp;(K65-TODAY())&amp;IF((K65-TODAY())=1," day"," days"))))))</f>
        <v/>
      </c>
      <c r="S65" s="33" t="n"/>
      <c r="T65" s="1">
        <f>IF(AND(B65&lt;&gt;"",K65&lt;&gt;"",L65&lt;&gt;"Sent",L65&lt;&gt;"Picked up",L65&lt;&gt;"Cancelled"),K65+ROW()/10000000,"")</f>
        <v/>
      </c>
      <c r="U65">
        <f>IF(OR(B65="",C65=""),"",B65+ROW()/10000000)</f>
        <v/>
      </c>
      <c r="V65">
        <f>IF(U65="","",IF(COUNTIFS(Orders!$C$6:$C$1005,C65,Orders!$U$6:$U$1005,"&gt;"&amp;U65)=0,1,0))</f>
        <v/>
      </c>
      <c r="W65">
        <f>IF(AND(B65&lt;&gt;"",K65&lt;&gt;"",L65&lt;&gt;"Sent",L65&lt;&gt;"Picked up",L65&lt;&gt;"Cancelled"),IF(N(E65)=0,1,E65),0)</f>
        <v/>
      </c>
      <c r="X65">
        <f>IF(OR(B65="",D65=""),"",IF(N(E65)=0,1,E65))</f>
        <v/>
      </c>
    </row>
    <row r="66">
      <c r="A66" s="1" t="n"/>
      <c r="B66" s="31" t="n">
        <v>46083</v>
      </c>
      <c r="C66" s="32" t="inlineStr">
        <is>
          <t>Paula Mills</t>
        </is>
      </c>
      <c r="D66" s="33" t="inlineStr">
        <is>
          <t>Soy candle 16 oz</t>
        </is>
      </c>
      <c r="E66" s="34" t="n">
        <v>2</v>
      </c>
      <c r="F66" s="35" t="n"/>
      <c r="G66" s="35" t="n">
        <v>6.95</v>
      </c>
      <c r="H66" s="30">
        <f>IF(OR(B66="",D66=""),"",IF(N(E66)=0,1,E66)*IFERROR(INDEX(Products!$C$6:$C$105,MATCH(D66,Products!$B$6:$B$105,0)),0)+N(F66)+N(G66))</f>
        <v/>
      </c>
      <c r="I66" s="35" t="n">
        <v>74.95</v>
      </c>
      <c r="J66" s="30">
        <f>IF(OR(H66="",L66="Cancelled"),"",IF(H66-N(I66)&gt;0.005,H66-N(I66),""))</f>
        <v/>
      </c>
      <c r="K66" s="31" t="n">
        <v>46090</v>
      </c>
      <c r="L66" s="36" t="inlineStr">
        <is>
          <t>Sent</t>
        </is>
      </c>
      <c r="M66" s="33" t="inlineStr">
        <is>
          <t>Etsy</t>
        </is>
      </c>
      <c r="N66" s="22">
        <f>IF(OR(H66="",L66="Cancelled"),"",IF(N(E66)=0,1,E66)*IFERROR(INDEX(Products!$E$6:$E$105,MATCH(D66,Products!$B$6:$B$105,0)),0))</f>
        <v/>
      </c>
      <c r="O66" s="35" t="n">
        <v>7.4</v>
      </c>
      <c r="P66" s="22">
        <f>IF(OR(H66="",L66="Cancelled"),"",ROUND(IFERROR(H66*INDEX(Settings!$C$6:$C$15,MATCH(M66,Settings!$B$6:$B$15,0))+INDEX(Settings!$D$6:$D$15,MATCH(M66,Settings!$B$6:$B$15,0)),0),2))</f>
        <v/>
      </c>
      <c r="Q66" s="28">
        <f>IF(OR(H66="",L66="Cancelled"),"",H66-N(N66)-N(O66)-N(P66))</f>
        <v/>
      </c>
      <c r="R66" s="19">
        <f>IF(OR(B66="",K66=""),"",IF(OR(L66="Sent",L66="Picked up"),"Done",IF(L66="Cancelled","Cancelled",IF(K66&lt;TODAY(),"Late by "&amp;(TODAY()-K66)&amp;IF((TODAY()-K66)=1," day"," days"),IF(K66=TODAY(),"Due today","Due in "&amp;(K66-TODAY())&amp;IF((K66-TODAY())=1," day"," days"))))))</f>
        <v/>
      </c>
      <c r="S66" s="33" t="n"/>
      <c r="T66" s="1">
        <f>IF(AND(B66&lt;&gt;"",K66&lt;&gt;"",L66&lt;&gt;"Sent",L66&lt;&gt;"Picked up",L66&lt;&gt;"Cancelled"),K66+ROW()/10000000,"")</f>
        <v/>
      </c>
      <c r="U66">
        <f>IF(OR(B66="",C66=""),"",B66+ROW()/10000000)</f>
        <v/>
      </c>
      <c r="V66">
        <f>IF(U66="","",IF(COUNTIFS(Orders!$C$6:$C$1005,C66,Orders!$U$6:$U$1005,"&gt;"&amp;U66)=0,1,0))</f>
        <v/>
      </c>
      <c r="W66">
        <f>IF(AND(B66&lt;&gt;"",K66&lt;&gt;"",L66&lt;&gt;"Sent",L66&lt;&gt;"Picked up",L66&lt;&gt;"Cancelled"),IF(N(E66)=0,1,E66),0)</f>
        <v/>
      </c>
      <c r="X66">
        <f>IF(OR(B66="",D66=""),"",IF(N(E66)=0,1,E66))</f>
        <v/>
      </c>
    </row>
    <row r="67">
      <c r="A67" s="1" t="n"/>
      <c r="B67" s="31" t="n">
        <v>46084</v>
      </c>
      <c r="C67" s="32" t="inlineStr">
        <is>
          <t>George Hill</t>
        </is>
      </c>
      <c r="D67" s="33" t="inlineStr">
        <is>
          <t>Wax melts, 6 pack</t>
        </is>
      </c>
      <c r="E67" s="34" t="n">
        <v>1</v>
      </c>
      <c r="F67" s="35" t="n"/>
      <c r="G67" s="35" t="n">
        <v>6.95</v>
      </c>
      <c r="H67" s="30">
        <f>IF(OR(B67="",D67=""),"",IF(N(E67)=0,1,E67)*IFERROR(INDEX(Products!$C$6:$C$105,MATCH(D67,Products!$B$6:$B$105,0)),0)+N(F67)+N(G67))</f>
        <v/>
      </c>
      <c r="I67" s="35" t="n">
        <v>15.95</v>
      </c>
      <c r="J67" s="30">
        <f>IF(OR(H67="",L67="Cancelled"),"",IF(H67-N(I67)&gt;0.005,H67-N(I67),""))</f>
        <v/>
      </c>
      <c r="K67" s="31" t="n">
        <v>46093</v>
      </c>
      <c r="L67" s="36" t="inlineStr">
        <is>
          <t>Sent</t>
        </is>
      </c>
      <c r="M67" s="33" t="inlineStr">
        <is>
          <t>Etsy</t>
        </is>
      </c>
      <c r="N67" s="22">
        <f>IF(OR(H67="",L67="Cancelled"),"",IF(N(E67)=0,1,E67)*IFERROR(INDEX(Products!$E$6:$E$105,MATCH(D67,Products!$B$6:$B$105,0)),0))</f>
        <v/>
      </c>
      <c r="O67" s="35" t="n">
        <v>6.23</v>
      </c>
      <c r="P67" s="22">
        <f>IF(OR(H67="",L67="Cancelled"),"",ROUND(IFERROR(H67*INDEX(Settings!$C$6:$C$15,MATCH(M67,Settings!$B$6:$B$15,0))+INDEX(Settings!$D$6:$D$15,MATCH(M67,Settings!$B$6:$B$15,0)),0),2))</f>
        <v/>
      </c>
      <c r="Q67" s="28">
        <f>IF(OR(H67="",L67="Cancelled"),"",H67-N(N67)-N(O67)-N(P67))</f>
        <v/>
      </c>
      <c r="R67" s="19">
        <f>IF(OR(B67="",K67=""),"",IF(OR(L67="Sent",L67="Picked up"),"Done",IF(L67="Cancelled","Cancelled",IF(K67&lt;TODAY(),"Late by "&amp;(TODAY()-K67)&amp;IF((TODAY()-K67)=1," day"," days"),IF(K67=TODAY(),"Due today","Due in "&amp;(K67-TODAY())&amp;IF((K67-TODAY())=1," day"," days"))))))</f>
        <v/>
      </c>
      <c r="S67" s="33" t="n"/>
      <c r="T67" s="1">
        <f>IF(AND(B67&lt;&gt;"",K67&lt;&gt;"",L67&lt;&gt;"Sent",L67&lt;&gt;"Picked up",L67&lt;&gt;"Cancelled"),K67+ROW()/10000000,"")</f>
        <v/>
      </c>
      <c r="U67">
        <f>IF(OR(B67="",C67=""),"",B67+ROW()/10000000)</f>
        <v/>
      </c>
      <c r="V67">
        <f>IF(U67="","",IF(COUNTIFS(Orders!$C$6:$C$1005,C67,Orders!$U$6:$U$1005,"&gt;"&amp;U67)=0,1,0))</f>
        <v/>
      </c>
      <c r="W67">
        <f>IF(AND(B67&lt;&gt;"",K67&lt;&gt;"",L67&lt;&gt;"Sent",L67&lt;&gt;"Picked up",L67&lt;&gt;"Cancelled"),IF(N(E67)=0,1,E67),0)</f>
        <v/>
      </c>
      <c r="X67">
        <f>IF(OR(B67="",D67=""),"",IF(N(E67)=0,1,E67))</f>
        <v/>
      </c>
    </row>
    <row r="68">
      <c r="A68" s="1" t="n"/>
      <c r="B68" s="31" t="n">
        <v>46085</v>
      </c>
      <c r="C68" s="32" t="inlineStr">
        <is>
          <t>Paula Mills</t>
        </is>
      </c>
      <c r="D68" s="33" t="inlineStr">
        <is>
          <t>Soap bar</t>
        </is>
      </c>
      <c r="E68" s="34" t="n">
        <v>1</v>
      </c>
      <c r="F68" s="35" t="n"/>
      <c r="G68" s="35" t="n"/>
      <c r="H68" s="30">
        <f>IF(OR(B68="",D68=""),"",IF(N(E68)=0,1,E68)*IFERROR(INDEX(Products!$C$6:$C$105,MATCH(D68,Products!$B$6:$B$105,0)),0)+N(F68)+N(G68))</f>
        <v/>
      </c>
      <c r="I68" s="35" t="n">
        <v>8</v>
      </c>
      <c r="J68" s="30">
        <f>IF(OR(H68="",L68="Cancelled"),"",IF(H68-N(I68)&gt;0.005,H68-N(I68),""))</f>
        <v/>
      </c>
      <c r="K68" s="31" t="n">
        <v>46095</v>
      </c>
      <c r="L68" s="36" t="inlineStr">
        <is>
          <t>Picked up</t>
        </is>
      </c>
      <c r="M68" s="33" t="inlineStr">
        <is>
          <t>Instagram</t>
        </is>
      </c>
      <c r="N68" s="22">
        <f>IF(OR(H68="",L68="Cancelled"),"",IF(N(E68)=0,1,E68)*IFERROR(INDEX(Products!$E$6:$E$105,MATCH(D68,Products!$B$6:$B$105,0)),0))</f>
        <v/>
      </c>
      <c r="O68" s="35" t="n"/>
      <c r="P68" s="22">
        <f>IF(OR(H68="",L68="Cancelled"),"",ROUND(IFERROR(H68*INDEX(Settings!$C$6:$C$15,MATCH(M68,Settings!$B$6:$B$15,0))+INDEX(Settings!$D$6:$D$15,MATCH(M68,Settings!$B$6:$B$15,0)),0),2))</f>
        <v/>
      </c>
      <c r="Q68" s="28">
        <f>IF(OR(H68="",L68="Cancelled"),"",H68-N(N68)-N(O68)-N(P68))</f>
        <v/>
      </c>
      <c r="R68" s="19">
        <f>IF(OR(B68="",K68=""),"",IF(OR(L68="Sent",L68="Picked up"),"Done",IF(L68="Cancelled","Cancelled",IF(K68&lt;TODAY(),"Late by "&amp;(TODAY()-K68)&amp;IF((TODAY()-K68)=1," day"," days"),IF(K68=TODAY(),"Due today","Due in "&amp;(K68-TODAY())&amp;IF((K68-TODAY())=1," day"," days"))))))</f>
        <v/>
      </c>
      <c r="S68" s="33" t="n"/>
      <c r="T68" s="1">
        <f>IF(AND(B68&lt;&gt;"",K68&lt;&gt;"",L68&lt;&gt;"Sent",L68&lt;&gt;"Picked up",L68&lt;&gt;"Cancelled"),K68+ROW()/10000000,"")</f>
        <v/>
      </c>
      <c r="U68">
        <f>IF(OR(B68="",C68=""),"",B68+ROW()/10000000)</f>
        <v/>
      </c>
      <c r="V68">
        <f>IF(U68="","",IF(COUNTIFS(Orders!$C$6:$C$1005,C68,Orders!$U$6:$U$1005,"&gt;"&amp;U68)=0,1,0))</f>
        <v/>
      </c>
      <c r="W68">
        <f>IF(AND(B68&lt;&gt;"",K68&lt;&gt;"",L68&lt;&gt;"Sent",L68&lt;&gt;"Picked up",L68&lt;&gt;"Cancelled"),IF(N(E68)=0,1,E68),0)</f>
        <v/>
      </c>
      <c r="X68">
        <f>IF(OR(B68="",D68=""),"",IF(N(E68)=0,1,E68))</f>
        <v/>
      </c>
    </row>
    <row r="69">
      <c r="A69" s="1" t="n"/>
      <c r="B69" s="31" t="n">
        <v>46086</v>
      </c>
      <c r="C69" s="32" t="inlineStr">
        <is>
          <t>Jon Reed</t>
        </is>
      </c>
      <c r="D69" s="33" t="inlineStr">
        <is>
          <t>Wedding favours, 10 tins</t>
        </is>
      </c>
      <c r="E69" s="34" t="n">
        <v>6</v>
      </c>
      <c r="F69" s="35" t="n"/>
      <c r="G69" s="35" t="n">
        <v>6.95</v>
      </c>
      <c r="H69" s="30">
        <f>IF(OR(B69="",D69=""),"",IF(N(E69)=0,1,E69)*IFERROR(INDEX(Products!$C$6:$C$105,MATCH(D69,Products!$B$6:$B$105,0)),0)+N(F69)+N(G69))</f>
        <v/>
      </c>
      <c r="I69" s="35" t="n">
        <v>366.95</v>
      </c>
      <c r="J69" s="30">
        <f>IF(OR(H69="",L69="Cancelled"),"",IF(H69-N(I69)&gt;0.005,H69-N(I69),""))</f>
        <v/>
      </c>
      <c r="K69" s="31" t="n">
        <v>46116</v>
      </c>
      <c r="L69" s="36" t="inlineStr">
        <is>
          <t>Sent</t>
        </is>
      </c>
      <c r="M69" s="33" t="inlineStr">
        <is>
          <t>Etsy</t>
        </is>
      </c>
      <c r="N69" s="22">
        <f>IF(OR(H69="",L69="Cancelled"),"",IF(N(E69)=0,1,E69)*IFERROR(INDEX(Products!$E$6:$E$105,MATCH(D69,Products!$B$6:$B$105,0)),0))</f>
        <v/>
      </c>
      <c r="O69" s="35" t="n">
        <v>6.8</v>
      </c>
      <c r="P69" s="22">
        <f>IF(OR(H69="",L69="Cancelled"),"",ROUND(IFERROR(H69*INDEX(Settings!$C$6:$C$15,MATCH(M69,Settings!$B$6:$B$15,0))+INDEX(Settings!$D$6:$D$15,MATCH(M69,Settings!$B$6:$B$15,0)),0),2))</f>
        <v/>
      </c>
      <c r="Q69" s="28">
        <f>IF(OR(H69="",L69="Cancelled"),"",H69-N(N69)-N(O69)-N(P69))</f>
        <v/>
      </c>
      <c r="R69" s="19">
        <f>IF(OR(B69="",K69=""),"",IF(OR(L69="Sent",L69="Picked up"),"Done",IF(L69="Cancelled","Cancelled",IF(K69&lt;TODAY(),"Late by "&amp;(TODAY()-K69)&amp;IF((TODAY()-K69)=1," day"," days"),IF(K69=TODAY(),"Due today","Due in "&amp;(K69-TODAY())&amp;IF((K69-TODAY())=1," day"," days"))))))</f>
        <v/>
      </c>
      <c r="S69" s="33" t="n"/>
      <c r="T69" s="1">
        <f>IF(AND(B69&lt;&gt;"",K69&lt;&gt;"",L69&lt;&gt;"Sent",L69&lt;&gt;"Picked up",L69&lt;&gt;"Cancelled"),K69+ROW()/10000000,"")</f>
        <v/>
      </c>
      <c r="U69">
        <f>IF(OR(B69="",C69=""),"",B69+ROW()/10000000)</f>
        <v/>
      </c>
      <c r="V69">
        <f>IF(U69="","",IF(COUNTIFS(Orders!$C$6:$C$1005,C69,Orders!$U$6:$U$1005,"&gt;"&amp;U69)=0,1,0))</f>
        <v/>
      </c>
      <c r="W69">
        <f>IF(AND(B69&lt;&gt;"",K69&lt;&gt;"",L69&lt;&gt;"Sent",L69&lt;&gt;"Picked up",L69&lt;&gt;"Cancelled"),IF(N(E69)=0,1,E69),0)</f>
        <v/>
      </c>
      <c r="X69">
        <f>IF(OR(B69="",D69=""),"",IF(N(E69)=0,1,E69))</f>
        <v/>
      </c>
    </row>
    <row r="70">
      <c r="A70" s="1" t="n"/>
      <c r="B70" s="31" t="n">
        <v>46088</v>
      </c>
      <c r="C70" s="32" t="inlineStr">
        <is>
          <t>Finn Mason</t>
        </is>
      </c>
      <c r="D70" s="33" t="inlineStr">
        <is>
          <t>Gift box</t>
        </is>
      </c>
      <c r="E70" s="34" t="n">
        <v>1</v>
      </c>
      <c r="F70" s="35" t="n"/>
      <c r="G70" s="35" t="n">
        <v>6.95</v>
      </c>
      <c r="H70" s="30">
        <f>IF(OR(B70="",D70=""),"",IF(N(E70)=0,1,E70)*IFERROR(INDEX(Products!$C$6:$C$105,MATCH(D70,Products!$B$6:$B$105,0)),0)+N(F70)+N(G70))</f>
        <v/>
      </c>
      <c r="I70" s="35" t="n">
        <v>51.95</v>
      </c>
      <c r="J70" s="30">
        <f>IF(OR(H70="",L70="Cancelled"),"",IF(H70-N(I70)&gt;0.005,H70-N(I70),""))</f>
        <v/>
      </c>
      <c r="K70" s="31" t="n">
        <v>46093</v>
      </c>
      <c r="L70" s="36" t="inlineStr">
        <is>
          <t>Sent</t>
        </is>
      </c>
      <c r="M70" s="33" t="inlineStr">
        <is>
          <t>Etsy</t>
        </is>
      </c>
      <c r="N70" s="22">
        <f>IF(OR(H70="",L70="Cancelled"),"",IF(N(E70)=0,1,E70)*IFERROR(INDEX(Products!$E$6:$E$105,MATCH(D70,Products!$B$6:$B$105,0)),0))</f>
        <v/>
      </c>
      <c r="O70" s="35" t="n">
        <v>5.22</v>
      </c>
      <c r="P70" s="22">
        <f>IF(OR(H70="",L70="Cancelled"),"",ROUND(IFERROR(H70*INDEX(Settings!$C$6:$C$15,MATCH(M70,Settings!$B$6:$B$15,0))+INDEX(Settings!$D$6:$D$15,MATCH(M70,Settings!$B$6:$B$15,0)),0),2))</f>
        <v/>
      </c>
      <c r="Q70" s="28">
        <f>IF(OR(H70="",L70="Cancelled"),"",H70-N(N70)-N(O70)-N(P70))</f>
        <v/>
      </c>
      <c r="R70" s="19">
        <f>IF(OR(B70="",K70=""),"",IF(OR(L70="Sent",L70="Picked up"),"Done",IF(L70="Cancelled","Cancelled",IF(K70&lt;TODAY(),"Late by "&amp;(TODAY()-K70)&amp;IF((TODAY()-K70)=1," day"," days"),IF(K70=TODAY(),"Due today","Due in "&amp;(K70-TODAY())&amp;IF((K70-TODAY())=1," day"," days"))))))</f>
        <v/>
      </c>
      <c r="S70" s="33" t="n"/>
      <c r="T70" s="1">
        <f>IF(AND(B70&lt;&gt;"",K70&lt;&gt;"",L70&lt;&gt;"Sent",L70&lt;&gt;"Picked up",L70&lt;&gt;"Cancelled"),K70+ROW()/10000000,"")</f>
        <v/>
      </c>
      <c r="U70">
        <f>IF(OR(B70="",C70=""),"",B70+ROW()/10000000)</f>
        <v/>
      </c>
      <c r="V70">
        <f>IF(U70="","",IF(COUNTIFS(Orders!$C$6:$C$1005,C70,Orders!$U$6:$U$1005,"&gt;"&amp;U70)=0,1,0))</f>
        <v/>
      </c>
      <c r="W70">
        <f>IF(AND(B70&lt;&gt;"",K70&lt;&gt;"",L70&lt;&gt;"Sent",L70&lt;&gt;"Picked up",L70&lt;&gt;"Cancelled"),IF(N(E70)=0,1,E70),0)</f>
        <v/>
      </c>
      <c r="X70">
        <f>IF(OR(B70="",D70=""),"",IF(N(E70)=0,1,E70))</f>
        <v/>
      </c>
    </row>
    <row r="71">
      <c r="A71" s="1" t="n"/>
      <c r="B71" s="31" t="n">
        <v>46088</v>
      </c>
      <c r="C71" s="32" t="inlineStr">
        <is>
          <t>Leah Hughes</t>
        </is>
      </c>
      <c r="D71" s="33" t="inlineStr">
        <is>
          <t>Soap bar</t>
        </is>
      </c>
      <c r="E71" s="34" t="n">
        <v>3</v>
      </c>
      <c r="F71" s="35" t="n"/>
      <c r="G71" s="35" t="n"/>
      <c r="H71" s="30">
        <f>IF(OR(B71="",D71=""),"",IF(N(E71)=0,1,E71)*IFERROR(INDEX(Products!$C$6:$C$105,MATCH(D71,Products!$B$6:$B$105,0)),0)+N(F71)+N(G71))</f>
        <v/>
      </c>
      <c r="I71" s="35" t="n">
        <v>24</v>
      </c>
      <c r="J71" s="30">
        <f>IF(OR(H71="",L71="Cancelled"),"",IF(H71-N(I71)&gt;0.005,H71-N(I71),""))</f>
        <v/>
      </c>
      <c r="K71" s="31" t="n">
        <v>46099</v>
      </c>
      <c r="L71" s="36" t="inlineStr">
        <is>
          <t>Picked up</t>
        </is>
      </c>
      <c r="M71" s="33" t="inlineStr">
        <is>
          <t>Friends and family</t>
        </is>
      </c>
      <c r="N71" s="22">
        <f>IF(OR(H71="",L71="Cancelled"),"",IF(N(E71)=0,1,E71)*IFERROR(INDEX(Products!$E$6:$E$105,MATCH(D71,Products!$B$6:$B$105,0)),0))</f>
        <v/>
      </c>
      <c r="O71" s="35" t="n"/>
      <c r="P71" s="22">
        <f>IF(OR(H71="",L71="Cancelled"),"",ROUND(IFERROR(H71*INDEX(Settings!$C$6:$C$15,MATCH(M71,Settings!$B$6:$B$15,0))+INDEX(Settings!$D$6:$D$15,MATCH(M71,Settings!$B$6:$B$15,0)),0),2))</f>
        <v/>
      </c>
      <c r="Q71" s="28">
        <f>IF(OR(H71="",L71="Cancelled"),"",H71-N(N71)-N(O71)-N(P71))</f>
        <v/>
      </c>
      <c r="R71" s="19">
        <f>IF(OR(B71="",K71=""),"",IF(OR(L71="Sent",L71="Picked up"),"Done",IF(L71="Cancelled","Cancelled",IF(K71&lt;TODAY(),"Late by "&amp;(TODAY()-K71)&amp;IF((TODAY()-K71)=1," day"," days"),IF(K71=TODAY(),"Due today","Due in "&amp;(K71-TODAY())&amp;IF((K71-TODAY())=1," day"," days"))))))</f>
        <v/>
      </c>
      <c r="S71" s="33" t="n"/>
      <c r="T71" s="1">
        <f>IF(AND(B71&lt;&gt;"",K71&lt;&gt;"",L71&lt;&gt;"Sent",L71&lt;&gt;"Picked up",L71&lt;&gt;"Cancelled"),K71+ROW()/10000000,"")</f>
        <v/>
      </c>
      <c r="U71">
        <f>IF(OR(B71="",C71=""),"",B71+ROW()/10000000)</f>
        <v/>
      </c>
      <c r="V71">
        <f>IF(U71="","",IF(COUNTIFS(Orders!$C$6:$C$1005,C71,Orders!$U$6:$U$1005,"&gt;"&amp;U71)=0,1,0))</f>
        <v/>
      </c>
      <c r="W71">
        <f>IF(AND(B71&lt;&gt;"",K71&lt;&gt;"",L71&lt;&gt;"Sent",L71&lt;&gt;"Picked up",L71&lt;&gt;"Cancelled"),IF(N(E71)=0,1,E71),0)</f>
        <v/>
      </c>
      <c r="X71">
        <f>IF(OR(B71="",D71=""),"",IF(N(E71)=0,1,E71))</f>
        <v/>
      </c>
    </row>
    <row r="72">
      <c r="A72" s="1" t="n"/>
      <c r="B72" s="31" t="n">
        <v>46089</v>
      </c>
      <c r="C72" s="32" t="inlineStr">
        <is>
          <t>Ruby Brooks</t>
        </is>
      </c>
      <c r="D72" s="33" t="inlineStr">
        <is>
          <t>Soy candle 16 oz</t>
        </is>
      </c>
      <c r="E72" s="34" t="n">
        <v>2</v>
      </c>
      <c r="F72" s="35" t="n"/>
      <c r="G72" s="35" t="n"/>
      <c r="H72" s="30">
        <f>IF(OR(B72="",D72=""),"",IF(N(E72)=0,1,E72)*IFERROR(INDEX(Products!$C$6:$C$105,MATCH(D72,Products!$B$6:$B$105,0)),0)+N(F72)+N(G72))</f>
        <v/>
      </c>
      <c r="I72" s="35" t="n">
        <v>68</v>
      </c>
      <c r="J72" s="30">
        <f>IF(OR(H72="",L72="Cancelled"),"",IF(H72-N(I72)&gt;0.005,H72-N(I72),""))</f>
        <v/>
      </c>
      <c r="K72" s="31" t="n">
        <v>46095</v>
      </c>
      <c r="L72" s="36" t="inlineStr">
        <is>
          <t>Picked up</t>
        </is>
      </c>
      <c r="M72" s="33" t="inlineStr">
        <is>
          <t>Instagram</t>
        </is>
      </c>
      <c r="N72" s="22">
        <f>IF(OR(H72="",L72="Cancelled"),"",IF(N(E72)=0,1,E72)*IFERROR(INDEX(Products!$E$6:$E$105,MATCH(D72,Products!$B$6:$B$105,0)),0))</f>
        <v/>
      </c>
      <c r="O72" s="35" t="n"/>
      <c r="P72" s="22">
        <f>IF(OR(H72="",L72="Cancelled"),"",ROUND(IFERROR(H72*INDEX(Settings!$C$6:$C$15,MATCH(M72,Settings!$B$6:$B$15,0))+INDEX(Settings!$D$6:$D$15,MATCH(M72,Settings!$B$6:$B$15,0)),0),2))</f>
        <v/>
      </c>
      <c r="Q72" s="28">
        <f>IF(OR(H72="",L72="Cancelled"),"",H72-N(N72)-N(O72)-N(P72))</f>
        <v/>
      </c>
      <c r="R72" s="19">
        <f>IF(OR(B72="",K72=""),"",IF(OR(L72="Sent",L72="Picked up"),"Done",IF(L72="Cancelled","Cancelled",IF(K72&lt;TODAY(),"Late by "&amp;(TODAY()-K72)&amp;IF((TODAY()-K72)=1," day"," days"),IF(K72=TODAY(),"Due today","Due in "&amp;(K72-TODAY())&amp;IF((K72-TODAY())=1," day"," days"))))))</f>
        <v/>
      </c>
      <c r="S72" s="33" t="n"/>
      <c r="T72" s="1">
        <f>IF(AND(B72&lt;&gt;"",K72&lt;&gt;"",L72&lt;&gt;"Sent",L72&lt;&gt;"Picked up",L72&lt;&gt;"Cancelled"),K72+ROW()/10000000,"")</f>
        <v/>
      </c>
      <c r="U72">
        <f>IF(OR(B72="",C72=""),"",B72+ROW()/10000000)</f>
        <v/>
      </c>
      <c r="V72">
        <f>IF(U72="","",IF(COUNTIFS(Orders!$C$6:$C$1005,C72,Orders!$U$6:$U$1005,"&gt;"&amp;U72)=0,1,0))</f>
        <v/>
      </c>
      <c r="W72">
        <f>IF(AND(B72&lt;&gt;"",K72&lt;&gt;"",L72&lt;&gt;"Sent",L72&lt;&gt;"Picked up",L72&lt;&gt;"Cancelled"),IF(N(E72)=0,1,E72),0)</f>
        <v/>
      </c>
      <c r="X72">
        <f>IF(OR(B72="",D72=""),"",IF(N(E72)=0,1,E72))</f>
        <v/>
      </c>
    </row>
    <row r="73">
      <c r="A73" s="1" t="n"/>
      <c r="B73" s="31" t="n">
        <v>46089</v>
      </c>
      <c r="C73" s="32" t="inlineStr">
        <is>
          <t>Dan King</t>
        </is>
      </c>
      <c r="D73" s="33" t="inlineStr">
        <is>
          <t>Wax melts, 6 pack</t>
        </is>
      </c>
      <c r="E73" s="34" t="n">
        <v>1</v>
      </c>
      <c r="F73" s="35" t="n"/>
      <c r="G73" s="35" t="n"/>
      <c r="H73" s="30">
        <f>IF(OR(B73="",D73=""),"",IF(N(E73)=0,1,E73)*IFERROR(INDEX(Products!$C$6:$C$105,MATCH(D73,Products!$B$6:$B$105,0)),0)+N(F73)+N(G73))</f>
        <v/>
      </c>
      <c r="I73" s="35" t="n">
        <v>9</v>
      </c>
      <c r="J73" s="30">
        <f>IF(OR(H73="",L73="Cancelled"),"",IF(H73-N(I73)&gt;0.005,H73-N(I73),""))</f>
        <v/>
      </c>
      <c r="K73" s="31" t="n">
        <v>46098</v>
      </c>
      <c r="L73" s="36" t="inlineStr">
        <is>
          <t>Picked up</t>
        </is>
      </c>
      <c r="M73" s="33" t="inlineStr">
        <is>
          <t>Friends and family</t>
        </is>
      </c>
      <c r="N73" s="22">
        <f>IF(OR(H73="",L73="Cancelled"),"",IF(N(E73)=0,1,E73)*IFERROR(INDEX(Products!$E$6:$E$105,MATCH(D73,Products!$B$6:$B$105,0)),0))</f>
        <v/>
      </c>
      <c r="O73" s="35" t="n"/>
      <c r="P73" s="22">
        <f>IF(OR(H73="",L73="Cancelled"),"",ROUND(IFERROR(H73*INDEX(Settings!$C$6:$C$15,MATCH(M73,Settings!$B$6:$B$15,0))+INDEX(Settings!$D$6:$D$15,MATCH(M73,Settings!$B$6:$B$15,0)),0),2))</f>
        <v/>
      </c>
      <c r="Q73" s="28">
        <f>IF(OR(H73="",L73="Cancelled"),"",H73-N(N73)-N(O73)-N(P73))</f>
        <v/>
      </c>
      <c r="R73" s="19">
        <f>IF(OR(B73="",K73=""),"",IF(OR(L73="Sent",L73="Picked up"),"Done",IF(L73="Cancelled","Cancelled",IF(K73&lt;TODAY(),"Late by "&amp;(TODAY()-K73)&amp;IF((TODAY()-K73)=1," day"," days"),IF(K73=TODAY(),"Due today","Due in "&amp;(K73-TODAY())&amp;IF((K73-TODAY())=1," day"," days"))))))</f>
        <v/>
      </c>
      <c r="S73" s="33" t="n"/>
      <c r="T73" s="1">
        <f>IF(AND(B73&lt;&gt;"",K73&lt;&gt;"",L73&lt;&gt;"Sent",L73&lt;&gt;"Picked up",L73&lt;&gt;"Cancelled"),K73+ROW()/10000000,"")</f>
        <v/>
      </c>
      <c r="U73">
        <f>IF(OR(B73="",C73=""),"",B73+ROW()/10000000)</f>
        <v/>
      </c>
      <c r="V73">
        <f>IF(U73="","",IF(COUNTIFS(Orders!$C$6:$C$1005,C73,Orders!$U$6:$U$1005,"&gt;"&amp;U73)=0,1,0))</f>
        <v/>
      </c>
      <c r="W73">
        <f>IF(AND(B73&lt;&gt;"",K73&lt;&gt;"",L73&lt;&gt;"Sent",L73&lt;&gt;"Picked up",L73&lt;&gt;"Cancelled"),IF(N(E73)=0,1,E73),0)</f>
        <v/>
      </c>
      <c r="X73">
        <f>IF(OR(B73="",D73=""),"",IF(N(E73)=0,1,E73))</f>
        <v/>
      </c>
    </row>
    <row r="74">
      <c r="A74" s="1" t="n"/>
      <c r="B74" s="31" t="n">
        <v>46090</v>
      </c>
      <c r="C74" s="32" t="inlineStr">
        <is>
          <t>George Price</t>
        </is>
      </c>
      <c r="D74" s="33" t="inlineStr">
        <is>
          <t>Soy candle 16 oz</t>
        </is>
      </c>
      <c r="E74" s="34" t="n">
        <v>1</v>
      </c>
      <c r="F74" s="35" t="n"/>
      <c r="G74" s="35" t="n"/>
      <c r="H74" s="30">
        <f>IF(OR(B74="",D74=""),"",IF(N(E74)=0,1,E74)*IFERROR(INDEX(Products!$C$6:$C$105,MATCH(D74,Products!$B$6:$B$105,0)),0)+N(F74)+N(G74))</f>
        <v/>
      </c>
      <c r="I74" s="35" t="n">
        <v>34</v>
      </c>
      <c r="J74" s="30">
        <f>IF(OR(H74="",L74="Cancelled"),"",IF(H74-N(I74)&gt;0.005,H74-N(I74),""))</f>
        <v/>
      </c>
      <c r="K74" s="31" t="n">
        <v>46097</v>
      </c>
      <c r="L74" s="36" t="inlineStr">
        <is>
          <t>Picked up</t>
        </is>
      </c>
      <c r="M74" s="33" t="inlineStr">
        <is>
          <t>Instagram</t>
        </is>
      </c>
      <c r="N74" s="22">
        <f>IF(OR(H74="",L74="Cancelled"),"",IF(N(E74)=0,1,E74)*IFERROR(INDEX(Products!$E$6:$E$105,MATCH(D74,Products!$B$6:$B$105,0)),0))</f>
        <v/>
      </c>
      <c r="O74" s="35" t="n"/>
      <c r="P74" s="22">
        <f>IF(OR(H74="",L74="Cancelled"),"",ROUND(IFERROR(H74*INDEX(Settings!$C$6:$C$15,MATCH(M74,Settings!$B$6:$B$15,0))+INDEX(Settings!$D$6:$D$15,MATCH(M74,Settings!$B$6:$B$15,0)),0),2))</f>
        <v/>
      </c>
      <c r="Q74" s="28">
        <f>IF(OR(H74="",L74="Cancelled"),"",H74-N(N74)-N(O74)-N(P74))</f>
        <v/>
      </c>
      <c r="R74" s="19">
        <f>IF(OR(B74="",K74=""),"",IF(OR(L74="Sent",L74="Picked up"),"Done",IF(L74="Cancelled","Cancelled",IF(K74&lt;TODAY(),"Late by "&amp;(TODAY()-K74)&amp;IF((TODAY()-K74)=1," day"," days"),IF(K74=TODAY(),"Due today","Due in "&amp;(K74-TODAY())&amp;IF((K74-TODAY())=1," day"," days"))))))</f>
        <v/>
      </c>
      <c r="S74" s="33" t="n"/>
      <c r="T74" s="1">
        <f>IF(AND(B74&lt;&gt;"",K74&lt;&gt;"",L74&lt;&gt;"Sent",L74&lt;&gt;"Picked up",L74&lt;&gt;"Cancelled"),K74+ROW()/10000000,"")</f>
        <v/>
      </c>
      <c r="U74">
        <f>IF(OR(B74="",C74=""),"",B74+ROW()/10000000)</f>
        <v/>
      </c>
      <c r="V74">
        <f>IF(U74="","",IF(COUNTIFS(Orders!$C$6:$C$1005,C74,Orders!$U$6:$U$1005,"&gt;"&amp;U74)=0,1,0))</f>
        <v/>
      </c>
      <c r="W74">
        <f>IF(AND(B74&lt;&gt;"",K74&lt;&gt;"",L74&lt;&gt;"Sent",L74&lt;&gt;"Picked up",L74&lt;&gt;"Cancelled"),IF(N(E74)=0,1,E74),0)</f>
        <v/>
      </c>
      <c r="X74">
        <f>IF(OR(B74="",D74=""),"",IF(N(E74)=0,1,E74))</f>
        <v/>
      </c>
    </row>
    <row r="75">
      <c r="A75" s="1" t="n"/>
      <c r="B75" s="31" t="n">
        <v>46091</v>
      </c>
      <c r="C75" s="32" t="inlineStr">
        <is>
          <t>Chris Mason</t>
        </is>
      </c>
      <c r="D75" s="33" t="inlineStr">
        <is>
          <t>Soy candle 8 oz</t>
        </is>
      </c>
      <c r="E75" s="34" t="n">
        <v>1</v>
      </c>
      <c r="F75" s="35" t="n"/>
      <c r="G75" s="35" t="n">
        <v>6.95</v>
      </c>
      <c r="H75" s="30">
        <f>IF(OR(B75="",D75=""),"",IF(N(E75)=0,1,E75)*IFERROR(INDEX(Products!$C$6:$C$105,MATCH(D75,Products!$B$6:$B$105,0)),0)+N(F75)+N(G75))</f>
        <v/>
      </c>
      <c r="I75" s="35" t="n">
        <v>28.95</v>
      </c>
      <c r="J75" s="30">
        <f>IF(OR(H75="",L75="Cancelled"),"",IF(H75-N(I75)&gt;0.005,H75-N(I75),""))</f>
        <v/>
      </c>
      <c r="K75" s="31" t="n">
        <v>46100</v>
      </c>
      <c r="L75" s="36" t="inlineStr">
        <is>
          <t>Sent</t>
        </is>
      </c>
      <c r="M75" s="33" t="inlineStr">
        <is>
          <t>Etsy</t>
        </is>
      </c>
      <c r="N75" s="22">
        <f>IF(OR(H75="",L75="Cancelled"),"",IF(N(E75)=0,1,E75)*IFERROR(INDEX(Products!$E$6:$E$105,MATCH(D75,Products!$B$6:$B$105,0)),0))</f>
        <v/>
      </c>
      <c r="O75" s="35" t="n">
        <v>6.73</v>
      </c>
      <c r="P75" s="22">
        <f>IF(OR(H75="",L75="Cancelled"),"",ROUND(IFERROR(H75*INDEX(Settings!$C$6:$C$15,MATCH(M75,Settings!$B$6:$B$15,0))+INDEX(Settings!$D$6:$D$15,MATCH(M75,Settings!$B$6:$B$15,0)),0),2))</f>
        <v/>
      </c>
      <c r="Q75" s="28">
        <f>IF(OR(H75="",L75="Cancelled"),"",H75-N(N75)-N(O75)-N(P75))</f>
        <v/>
      </c>
      <c r="R75" s="19">
        <f>IF(OR(B75="",K75=""),"",IF(OR(L75="Sent",L75="Picked up"),"Done",IF(L75="Cancelled","Cancelled",IF(K75&lt;TODAY(),"Late by "&amp;(TODAY()-K75)&amp;IF((TODAY()-K75)=1," day"," days"),IF(K75=TODAY(),"Due today","Due in "&amp;(K75-TODAY())&amp;IF((K75-TODAY())=1," day"," days"))))))</f>
        <v/>
      </c>
      <c r="S75" s="33" t="n"/>
      <c r="T75" s="1">
        <f>IF(AND(B75&lt;&gt;"",K75&lt;&gt;"",L75&lt;&gt;"Sent",L75&lt;&gt;"Picked up",L75&lt;&gt;"Cancelled"),K75+ROW()/10000000,"")</f>
        <v/>
      </c>
      <c r="U75">
        <f>IF(OR(B75="",C75=""),"",B75+ROW()/10000000)</f>
        <v/>
      </c>
      <c r="V75">
        <f>IF(U75="","",IF(COUNTIFS(Orders!$C$6:$C$1005,C75,Orders!$U$6:$U$1005,"&gt;"&amp;U75)=0,1,0))</f>
        <v/>
      </c>
      <c r="W75">
        <f>IF(AND(B75&lt;&gt;"",K75&lt;&gt;"",L75&lt;&gt;"Sent",L75&lt;&gt;"Picked up",L75&lt;&gt;"Cancelled"),IF(N(E75)=0,1,E75),0)</f>
        <v/>
      </c>
      <c r="X75">
        <f>IF(OR(B75="",D75=""),"",IF(N(E75)=0,1,E75))</f>
        <v/>
      </c>
    </row>
    <row r="76">
      <c r="A76" s="1" t="n"/>
      <c r="B76" s="31" t="n">
        <v>46091</v>
      </c>
      <c r="C76" s="32" t="inlineStr">
        <is>
          <t>Beth Owens</t>
        </is>
      </c>
      <c r="D76" s="33" t="inlineStr">
        <is>
          <t>Soy candle 16 oz</t>
        </is>
      </c>
      <c r="E76" s="34" t="n">
        <v>1</v>
      </c>
      <c r="F76" s="35" t="n"/>
      <c r="G76" s="35" t="n">
        <v>6.95</v>
      </c>
      <c r="H76" s="30">
        <f>IF(OR(B76="",D76=""),"",IF(N(E76)=0,1,E76)*IFERROR(INDEX(Products!$C$6:$C$105,MATCH(D76,Products!$B$6:$B$105,0)),0)+N(F76)+N(G76))</f>
        <v/>
      </c>
      <c r="I76" s="35" t="n">
        <v>40.95</v>
      </c>
      <c r="J76" s="30">
        <f>IF(OR(H76="",L76="Cancelled"),"",IF(H76-N(I76)&gt;0.005,H76-N(I76),""))</f>
        <v/>
      </c>
      <c r="K76" s="31" t="n">
        <v>46103</v>
      </c>
      <c r="L76" s="36" t="inlineStr">
        <is>
          <t>Sent</t>
        </is>
      </c>
      <c r="M76" s="33" t="inlineStr">
        <is>
          <t>Etsy</t>
        </is>
      </c>
      <c r="N76" s="22">
        <f>IF(OR(H76="",L76="Cancelled"),"",IF(N(E76)=0,1,E76)*IFERROR(INDEX(Products!$E$6:$E$105,MATCH(D76,Products!$B$6:$B$105,0)),0))</f>
        <v/>
      </c>
      <c r="O76" s="35" t="n">
        <v>7.55</v>
      </c>
      <c r="P76" s="22">
        <f>IF(OR(H76="",L76="Cancelled"),"",ROUND(IFERROR(H76*INDEX(Settings!$C$6:$C$15,MATCH(M76,Settings!$B$6:$B$15,0))+INDEX(Settings!$D$6:$D$15,MATCH(M76,Settings!$B$6:$B$15,0)),0),2))</f>
        <v/>
      </c>
      <c r="Q76" s="28">
        <f>IF(OR(H76="",L76="Cancelled"),"",H76-N(N76)-N(O76)-N(P76))</f>
        <v/>
      </c>
      <c r="R76" s="19">
        <f>IF(OR(B76="",K76=""),"",IF(OR(L76="Sent",L76="Picked up"),"Done",IF(L76="Cancelled","Cancelled",IF(K76&lt;TODAY(),"Late by "&amp;(TODAY()-K76)&amp;IF((TODAY()-K76)=1," day"," days"),IF(K76=TODAY(),"Due today","Due in "&amp;(K76-TODAY())&amp;IF((K76-TODAY())=1," day"," days"))))))</f>
        <v/>
      </c>
      <c r="S76" s="33" t="n"/>
      <c r="T76" s="1">
        <f>IF(AND(B76&lt;&gt;"",K76&lt;&gt;"",L76&lt;&gt;"Sent",L76&lt;&gt;"Picked up",L76&lt;&gt;"Cancelled"),K76+ROW()/10000000,"")</f>
        <v/>
      </c>
      <c r="U76">
        <f>IF(OR(B76="",C76=""),"",B76+ROW()/10000000)</f>
        <v/>
      </c>
      <c r="V76">
        <f>IF(U76="","",IF(COUNTIFS(Orders!$C$6:$C$1005,C76,Orders!$U$6:$U$1005,"&gt;"&amp;U76)=0,1,0))</f>
        <v/>
      </c>
      <c r="W76">
        <f>IF(AND(B76&lt;&gt;"",K76&lt;&gt;"",L76&lt;&gt;"Sent",L76&lt;&gt;"Picked up",L76&lt;&gt;"Cancelled"),IF(N(E76)=0,1,E76),0)</f>
        <v/>
      </c>
      <c r="X76">
        <f>IF(OR(B76="",D76=""),"",IF(N(E76)=0,1,E76))</f>
        <v/>
      </c>
    </row>
    <row r="77">
      <c r="A77" s="1" t="n"/>
      <c r="B77" s="31" t="n">
        <v>46093</v>
      </c>
      <c r="C77" s="32" t="inlineStr">
        <is>
          <t>Nina Kelly</t>
        </is>
      </c>
      <c r="D77" s="33" t="inlineStr">
        <is>
          <t>Soy candle 8 oz</t>
        </is>
      </c>
      <c r="E77" s="34" t="n">
        <v>1</v>
      </c>
      <c r="F77" s="35" t="n"/>
      <c r="G77" s="35" t="n"/>
      <c r="H77" s="30">
        <f>IF(OR(B77="",D77=""),"",IF(N(E77)=0,1,E77)*IFERROR(INDEX(Products!$C$6:$C$105,MATCH(D77,Products!$B$6:$B$105,0)),0)+N(F77)+N(G77))</f>
        <v/>
      </c>
      <c r="I77" s="35" t="n">
        <v>22</v>
      </c>
      <c r="J77" s="30">
        <f>IF(OR(H77="",L77="Cancelled"),"",IF(H77-N(I77)&gt;0.005,H77-N(I77),""))</f>
        <v/>
      </c>
      <c r="K77" s="31" t="n">
        <v>46101</v>
      </c>
      <c r="L77" s="36" t="inlineStr">
        <is>
          <t>Picked up</t>
        </is>
      </c>
      <c r="M77" s="33" t="inlineStr">
        <is>
          <t>Craft market</t>
        </is>
      </c>
      <c r="N77" s="22">
        <f>IF(OR(H77="",L77="Cancelled"),"",IF(N(E77)=0,1,E77)*IFERROR(INDEX(Products!$E$6:$E$105,MATCH(D77,Products!$B$6:$B$105,0)),0))</f>
        <v/>
      </c>
      <c r="O77" s="35" t="n"/>
      <c r="P77" s="22">
        <f>IF(OR(H77="",L77="Cancelled"),"",ROUND(IFERROR(H77*INDEX(Settings!$C$6:$C$15,MATCH(M77,Settings!$B$6:$B$15,0))+INDEX(Settings!$D$6:$D$15,MATCH(M77,Settings!$B$6:$B$15,0)),0),2))</f>
        <v/>
      </c>
      <c r="Q77" s="28">
        <f>IF(OR(H77="",L77="Cancelled"),"",H77-N(N77)-N(O77)-N(P77))</f>
        <v/>
      </c>
      <c r="R77" s="19">
        <f>IF(OR(B77="",K77=""),"",IF(OR(L77="Sent",L77="Picked up"),"Done",IF(L77="Cancelled","Cancelled",IF(K77&lt;TODAY(),"Late by "&amp;(TODAY()-K77)&amp;IF((TODAY()-K77)=1," day"," days"),IF(K77=TODAY(),"Due today","Due in "&amp;(K77-TODAY())&amp;IF((K77-TODAY())=1," day"," days"))))))</f>
        <v/>
      </c>
      <c r="S77" s="33" t="n"/>
      <c r="T77" s="1">
        <f>IF(AND(B77&lt;&gt;"",K77&lt;&gt;"",L77&lt;&gt;"Sent",L77&lt;&gt;"Picked up",L77&lt;&gt;"Cancelled"),K77+ROW()/10000000,"")</f>
        <v/>
      </c>
      <c r="U77">
        <f>IF(OR(B77="",C77=""),"",B77+ROW()/10000000)</f>
        <v/>
      </c>
      <c r="V77">
        <f>IF(U77="","",IF(COUNTIFS(Orders!$C$6:$C$1005,C77,Orders!$U$6:$U$1005,"&gt;"&amp;U77)=0,1,0))</f>
        <v/>
      </c>
      <c r="W77">
        <f>IF(AND(B77&lt;&gt;"",K77&lt;&gt;"",L77&lt;&gt;"Sent",L77&lt;&gt;"Picked up",L77&lt;&gt;"Cancelled"),IF(N(E77)=0,1,E77),0)</f>
        <v/>
      </c>
      <c r="X77">
        <f>IF(OR(B77="",D77=""),"",IF(N(E77)=0,1,E77))</f>
        <v/>
      </c>
    </row>
    <row r="78">
      <c r="A78" s="1" t="n"/>
      <c r="B78" s="31" t="n">
        <v>46095</v>
      </c>
      <c r="C78" s="32" t="inlineStr">
        <is>
          <t>Ian Price</t>
        </is>
      </c>
      <c r="D78" s="33" t="inlineStr">
        <is>
          <t>Wax melts, 6 pack</t>
        </is>
      </c>
      <c r="E78" s="34" t="n">
        <v>3</v>
      </c>
      <c r="F78" s="35" t="n"/>
      <c r="G78" s="35" t="n">
        <v>6.95</v>
      </c>
      <c r="H78" s="30">
        <f>IF(OR(B78="",D78=""),"",IF(N(E78)=0,1,E78)*IFERROR(INDEX(Products!$C$6:$C$105,MATCH(D78,Products!$B$6:$B$105,0)),0)+N(F78)+N(G78))</f>
        <v/>
      </c>
      <c r="I78" s="35" t="n">
        <v>33.95</v>
      </c>
      <c r="J78" s="30">
        <f>IF(OR(H78="",L78="Cancelled"),"",IF(H78-N(I78)&gt;0.005,H78-N(I78),""))</f>
        <v/>
      </c>
      <c r="K78" s="31" t="n">
        <v>46107</v>
      </c>
      <c r="L78" s="36" t="inlineStr">
        <is>
          <t>Sent</t>
        </is>
      </c>
      <c r="M78" s="33" t="inlineStr">
        <is>
          <t>Etsy</t>
        </is>
      </c>
      <c r="N78" s="22">
        <f>IF(OR(H78="",L78="Cancelled"),"",IF(N(E78)=0,1,E78)*IFERROR(INDEX(Products!$E$6:$E$105,MATCH(D78,Products!$B$6:$B$105,0)),0))</f>
        <v/>
      </c>
      <c r="O78" s="35" t="n">
        <v>7.27</v>
      </c>
      <c r="P78" s="22">
        <f>IF(OR(H78="",L78="Cancelled"),"",ROUND(IFERROR(H78*INDEX(Settings!$C$6:$C$15,MATCH(M78,Settings!$B$6:$B$15,0))+INDEX(Settings!$D$6:$D$15,MATCH(M78,Settings!$B$6:$B$15,0)),0),2))</f>
        <v/>
      </c>
      <c r="Q78" s="28">
        <f>IF(OR(H78="",L78="Cancelled"),"",H78-N(N78)-N(O78)-N(P78))</f>
        <v/>
      </c>
      <c r="R78" s="19">
        <f>IF(OR(B78="",K78=""),"",IF(OR(L78="Sent",L78="Picked up"),"Done",IF(L78="Cancelled","Cancelled",IF(K78&lt;TODAY(),"Late by "&amp;(TODAY()-K78)&amp;IF((TODAY()-K78)=1," day"," days"),IF(K78=TODAY(),"Due today","Due in "&amp;(K78-TODAY())&amp;IF((K78-TODAY())=1," day"," days"))))))</f>
        <v/>
      </c>
      <c r="S78" s="33" t="n"/>
      <c r="T78" s="1">
        <f>IF(AND(B78&lt;&gt;"",K78&lt;&gt;"",L78&lt;&gt;"Sent",L78&lt;&gt;"Picked up",L78&lt;&gt;"Cancelled"),K78+ROW()/10000000,"")</f>
        <v/>
      </c>
      <c r="U78">
        <f>IF(OR(B78="",C78=""),"",B78+ROW()/10000000)</f>
        <v/>
      </c>
      <c r="V78">
        <f>IF(U78="","",IF(COUNTIFS(Orders!$C$6:$C$1005,C78,Orders!$U$6:$U$1005,"&gt;"&amp;U78)=0,1,0))</f>
        <v/>
      </c>
      <c r="W78">
        <f>IF(AND(B78&lt;&gt;"",K78&lt;&gt;"",L78&lt;&gt;"Sent",L78&lt;&gt;"Picked up",L78&lt;&gt;"Cancelled"),IF(N(E78)=0,1,E78),0)</f>
        <v/>
      </c>
      <c r="X78">
        <f>IF(OR(B78="",D78=""),"",IF(N(E78)=0,1,E78))</f>
        <v/>
      </c>
    </row>
    <row r="79">
      <c r="A79" s="1" t="n"/>
      <c r="B79" s="31" t="n">
        <v>46096</v>
      </c>
      <c r="C79" s="32" t="inlineStr">
        <is>
          <t>Dina Murphy</t>
        </is>
      </c>
      <c r="D79" s="33" t="inlineStr">
        <is>
          <t>Wax melts, 6 pack</t>
        </is>
      </c>
      <c r="E79" s="34" t="n">
        <v>1</v>
      </c>
      <c r="F79" s="35" t="n"/>
      <c r="G79" s="35" t="n"/>
      <c r="H79" s="30">
        <f>IF(OR(B79="",D79=""),"",IF(N(E79)=0,1,E79)*IFERROR(INDEX(Products!$C$6:$C$105,MATCH(D79,Products!$B$6:$B$105,0)),0)+N(F79)+N(G79))</f>
        <v/>
      </c>
      <c r="I79" s="35" t="n">
        <v>9</v>
      </c>
      <c r="J79" s="30">
        <f>IF(OR(H79="",L79="Cancelled"),"",IF(H79-N(I79)&gt;0.005,H79-N(I79),""))</f>
        <v/>
      </c>
      <c r="K79" s="31" t="n">
        <v>46102</v>
      </c>
      <c r="L79" s="36" t="inlineStr">
        <is>
          <t>Picked up</t>
        </is>
      </c>
      <c r="M79" s="33" t="inlineStr">
        <is>
          <t>Instagram</t>
        </is>
      </c>
      <c r="N79" s="22">
        <f>IF(OR(H79="",L79="Cancelled"),"",IF(N(E79)=0,1,E79)*IFERROR(INDEX(Products!$E$6:$E$105,MATCH(D79,Products!$B$6:$B$105,0)),0))</f>
        <v/>
      </c>
      <c r="O79" s="35" t="n"/>
      <c r="P79" s="22">
        <f>IF(OR(H79="",L79="Cancelled"),"",ROUND(IFERROR(H79*INDEX(Settings!$C$6:$C$15,MATCH(M79,Settings!$B$6:$B$15,0))+INDEX(Settings!$D$6:$D$15,MATCH(M79,Settings!$B$6:$B$15,0)),0),2))</f>
        <v/>
      </c>
      <c r="Q79" s="28">
        <f>IF(OR(H79="",L79="Cancelled"),"",H79-N(N79)-N(O79)-N(P79))</f>
        <v/>
      </c>
      <c r="R79" s="19">
        <f>IF(OR(B79="",K79=""),"",IF(OR(L79="Sent",L79="Picked up"),"Done",IF(L79="Cancelled","Cancelled",IF(K79&lt;TODAY(),"Late by "&amp;(TODAY()-K79)&amp;IF((TODAY()-K79)=1," day"," days"),IF(K79=TODAY(),"Due today","Due in "&amp;(K79-TODAY())&amp;IF((K79-TODAY())=1," day"," days"))))))</f>
        <v/>
      </c>
      <c r="S79" s="33" t="n"/>
      <c r="T79" s="1">
        <f>IF(AND(B79&lt;&gt;"",K79&lt;&gt;"",L79&lt;&gt;"Sent",L79&lt;&gt;"Picked up",L79&lt;&gt;"Cancelled"),K79+ROW()/10000000,"")</f>
        <v/>
      </c>
      <c r="U79">
        <f>IF(OR(B79="",C79=""),"",B79+ROW()/10000000)</f>
        <v/>
      </c>
      <c r="V79">
        <f>IF(U79="","",IF(COUNTIFS(Orders!$C$6:$C$1005,C79,Orders!$U$6:$U$1005,"&gt;"&amp;U79)=0,1,0))</f>
        <v/>
      </c>
      <c r="W79">
        <f>IF(AND(B79&lt;&gt;"",K79&lt;&gt;"",L79&lt;&gt;"Sent",L79&lt;&gt;"Picked up",L79&lt;&gt;"Cancelled"),IF(N(E79)=0,1,E79),0)</f>
        <v/>
      </c>
      <c r="X79">
        <f>IF(OR(B79="",D79=""),"",IF(N(E79)=0,1,E79))</f>
        <v/>
      </c>
    </row>
    <row r="80">
      <c r="A80" s="1" t="n"/>
      <c r="B80" s="31" t="n">
        <v>46098</v>
      </c>
      <c r="C80" s="32" t="inlineStr">
        <is>
          <t>Jon Gray</t>
        </is>
      </c>
      <c r="D80" s="33" t="inlineStr">
        <is>
          <t>Wedding favours, 10 tins</t>
        </is>
      </c>
      <c r="E80" s="34" t="n">
        <v>8</v>
      </c>
      <c r="F80" s="35" t="n"/>
      <c r="G80" s="35" t="n">
        <v>6.95</v>
      </c>
      <c r="H80" s="30">
        <f>IF(OR(B80="",D80=""),"",IF(N(E80)=0,1,E80)*IFERROR(INDEX(Products!$C$6:$C$105,MATCH(D80,Products!$B$6:$B$105,0)),0)+N(F80)+N(G80))</f>
        <v/>
      </c>
      <c r="I80" s="35" t="n">
        <v>486.95</v>
      </c>
      <c r="J80" s="30">
        <f>IF(OR(H80="",L80="Cancelled"),"",IF(H80-N(I80)&gt;0.005,H80-N(I80),""))</f>
        <v/>
      </c>
      <c r="K80" s="31" t="n">
        <v>46135</v>
      </c>
      <c r="L80" s="36" t="inlineStr">
        <is>
          <t>Sent</t>
        </is>
      </c>
      <c r="M80" s="33" t="inlineStr">
        <is>
          <t>Etsy</t>
        </is>
      </c>
      <c r="N80" s="22">
        <f>IF(OR(H80="",L80="Cancelled"),"",IF(N(E80)=0,1,E80)*IFERROR(INDEX(Products!$E$6:$E$105,MATCH(D80,Products!$B$6:$B$105,0)),0))</f>
        <v/>
      </c>
      <c r="O80" s="35" t="n">
        <v>6.73</v>
      </c>
      <c r="P80" s="22">
        <f>IF(OR(H80="",L80="Cancelled"),"",ROUND(IFERROR(H80*INDEX(Settings!$C$6:$C$15,MATCH(M80,Settings!$B$6:$B$15,0))+INDEX(Settings!$D$6:$D$15,MATCH(M80,Settings!$B$6:$B$15,0)),0),2))</f>
        <v/>
      </c>
      <c r="Q80" s="28">
        <f>IF(OR(H80="",L80="Cancelled"),"",H80-N(N80)-N(O80)-N(P80))</f>
        <v/>
      </c>
      <c r="R80" s="19">
        <f>IF(OR(B80="",K80=""),"",IF(OR(L80="Sent",L80="Picked up"),"Done",IF(L80="Cancelled","Cancelled",IF(K80&lt;TODAY(),"Late by "&amp;(TODAY()-K80)&amp;IF((TODAY()-K80)=1," day"," days"),IF(K80=TODAY(),"Due today","Due in "&amp;(K80-TODAY())&amp;IF((K80-TODAY())=1," day"," days"))))))</f>
        <v/>
      </c>
      <c r="S80" s="33" t="n"/>
      <c r="T80" s="1">
        <f>IF(AND(B80&lt;&gt;"",K80&lt;&gt;"",L80&lt;&gt;"Sent",L80&lt;&gt;"Picked up",L80&lt;&gt;"Cancelled"),K80+ROW()/10000000,"")</f>
        <v/>
      </c>
      <c r="U80">
        <f>IF(OR(B80="",C80=""),"",B80+ROW()/10000000)</f>
        <v/>
      </c>
      <c r="V80">
        <f>IF(U80="","",IF(COUNTIFS(Orders!$C$6:$C$1005,C80,Orders!$U$6:$U$1005,"&gt;"&amp;U80)=0,1,0))</f>
        <v/>
      </c>
      <c r="W80">
        <f>IF(AND(B80&lt;&gt;"",K80&lt;&gt;"",L80&lt;&gt;"Sent",L80&lt;&gt;"Picked up",L80&lt;&gt;"Cancelled"),IF(N(E80)=0,1,E80),0)</f>
        <v/>
      </c>
      <c r="X80">
        <f>IF(OR(B80="",D80=""),"",IF(N(E80)=0,1,E80))</f>
        <v/>
      </c>
    </row>
    <row r="81">
      <c r="A81" s="1" t="n"/>
      <c r="B81" s="31" t="n">
        <v>46099</v>
      </c>
      <c r="C81" s="32" t="inlineStr">
        <is>
          <t>Paula Mills</t>
        </is>
      </c>
      <c r="D81" s="33" t="inlineStr">
        <is>
          <t>Soy candle 8 oz</t>
        </is>
      </c>
      <c r="E81" s="34" t="n">
        <v>2</v>
      </c>
      <c r="F81" s="35" t="n"/>
      <c r="G81" s="35" t="n">
        <v>6.95</v>
      </c>
      <c r="H81" s="30">
        <f>IF(OR(B81="",D81=""),"",IF(N(E81)=0,1,E81)*IFERROR(INDEX(Products!$C$6:$C$105,MATCH(D81,Products!$B$6:$B$105,0)),0)+N(F81)+N(G81))</f>
        <v/>
      </c>
      <c r="I81" s="35" t="n">
        <v>50.95</v>
      </c>
      <c r="J81" s="30">
        <f>IF(OR(H81="",L81="Cancelled"),"",IF(H81-N(I81)&gt;0.005,H81-N(I81),""))</f>
        <v/>
      </c>
      <c r="K81" s="31" t="n">
        <v>46103</v>
      </c>
      <c r="L81" s="36" t="inlineStr">
        <is>
          <t>Sent</t>
        </is>
      </c>
      <c r="M81" s="33" t="inlineStr">
        <is>
          <t>Etsy</t>
        </is>
      </c>
      <c r="N81" s="22">
        <f>IF(OR(H81="",L81="Cancelled"),"",IF(N(E81)=0,1,E81)*IFERROR(INDEX(Products!$E$6:$E$105,MATCH(D81,Products!$B$6:$B$105,0)),0))</f>
        <v/>
      </c>
      <c r="O81" s="35" t="n">
        <v>5.62</v>
      </c>
      <c r="P81" s="22">
        <f>IF(OR(H81="",L81="Cancelled"),"",ROUND(IFERROR(H81*INDEX(Settings!$C$6:$C$15,MATCH(M81,Settings!$B$6:$B$15,0))+INDEX(Settings!$D$6:$D$15,MATCH(M81,Settings!$B$6:$B$15,0)),0),2))</f>
        <v/>
      </c>
      <c r="Q81" s="28">
        <f>IF(OR(H81="",L81="Cancelled"),"",H81-N(N81)-N(O81)-N(P81))</f>
        <v/>
      </c>
      <c r="R81" s="19">
        <f>IF(OR(B81="",K81=""),"",IF(OR(L81="Sent",L81="Picked up"),"Done",IF(L81="Cancelled","Cancelled",IF(K81&lt;TODAY(),"Late by "&amp;(TODAY()-K81)&amp;IF((TODAY()-K81)=1," day"," days"),IF(K81=TODAY(),"Due today","Due in "&amp;(K81-TODAY())&amp;IF((K81-TODAY())=1," day"," days"))))))</f>
        <v/>
      </c>
      <c r="S81" s="33" t="n"/>
      <c r="T81" s="1">
        <f>IF(AND(B81&lt;&gt;"",K81&lt;&gt;"",L81&lt;&gt;"Sent",L81&lt;&gt;"Picked up",L81&lt;&gt;"Cancelled"),K81+ROW()/10000000,"")</f>
        <v/>
      </c>
      <c r="U81">
        <f>IF(OR(B81="",C81=""),"",B81+ROW()/10000000)</f>
        <v/>
      </c>
      <c r="V81">
        <f>IF(U81="","",IF(COUNTIFS(Orders!$C$6:$C$1005,C81,Orders!$U$6:$U$1005,"&gt;"&amp;U81)=0,1,0))</f>
        <v/>
      </c>
      <c r="W81">
        <f>IF(AND(B81&lt;&gt;"",K81&lt;&gt;"",L81&lt;&gt;"Sent",L81&lt;&gt;"Picked up",L81&lt;&gt;"Cancelled"),IF(N(E81)=0,1,E81),0)</f>
        <v/>
      </c>
      <c r="X81">
        <f>IF(OR(B81="",D81=""),"",IF(N(E81)=0,1,E81))</f>
        <v/>
      </c>
    </row>
    <row r="82">
      <c r="A82" s="1" t="n"/>
      <c r="B82" s="31" t="n">
        <v>46100</v>
      </c>
      <c r="C82" s="32" t="inlineStr">
        <is>
          <t>Eva Adams</t>
        </is>
      </c>
      <c r="D82" s="33" t="inlineStr">
        <is>
          <t>Gift box</t>
        </is>
      </c>
      <c r="E82" s="34" t="n">
        <v>1</v>
      </c>
      <c r="F82" s="35" t="n"/>
      <c r="G82" s="35" t="n">
        <v>6.95</v>
      </c>
      <c r="H82" s="30">
        <f>IF(OR(B82="",D82=""),"",IF(N(E82)=0,1,E82)*IFERROR(INDEX(Products!$C$6:$C$105,MATCH(D82,Products!$B$6:$B$105,0)),0)+N(F82)+N(G82))</f>
        <v/>
      </c>
      <c r="I82" s="35" t="n">
        <v>51.95</v>
      </c>
      <c r="J82" s="30">
        <f>IF(OR(H82="",L82="Cancelled"),"",IF(H82-N(I82)&gt;0.005,H82-N(I82),""))</f>
        <v/>
      </c>
      <c r="K82" s="31" t="n">
        <v>46106</v>
      </c>
      <c r="L82" s="36" t="inlineStr">
        <is>
          <t>Sent</t>
        </is>
      </c>
      <c r="M82" s="33" t="inlineStr">
        <is>
          <t>Etsy</t>
        </is>
      </c>
      <c r="N82" s="22">
        <f>IF(OR(H82="",L82="Cancelled"),"",IF(N(E82)=0,1,E82)*IFERROR(INDEX(Products!$E$6:$E$105,MATCH(D82,Products!$B$6:$B$105,0)),0))</f>
        <v/>
      </c>
      <c r="O82" s="35" t="n">
        <v>6.57</v>
      </c>
      <c r="P82" s="22">
        <f>IF(OR(H82="",L82="Cancelled"),"",ROUND(IFERROR(H82*INDEX(Settings!$C$6:$C$15,MATCH(M82,Settings!$B$6:$B$15,0))+INDEX(Settings!$D$6:$D$15,MATCH(M82,Settings!$B$6:$B$15,0)),0),2))</f>
        <v/>
      </c>
      <c r="Q82" s="28">
        <f>IF(OR(H82="",L82="Cancelled"),"",H82-N(N82)-N(O82)-N(P82))</f>
        <v/>
      </c>
      <c r="R82" s="19">
        <f>IF(OR(B82="",K82=""),"",IF(OR(L82="Sent",L82="Picked up"),"Done",IF(L82="Cancelled","Cancelled",IF(K82&lt;TODAY(),"Late by "&amp;(TODAY()-K82)&amp;IF((TODAY()-K82)=1," day"," days"),IF(K82=TODAY(),"Due today","Due in "&amp;(K82-TODAY())&amp;IF((K82-TODAY())=1," day"," days"))))))</f>
        <v/>
      </c>
      <c r="S82" s="33" t="n"/>
      <c r="T82" s="1">
        <f>IF(AND(B82&lt;&gt;"",K82&lt;&gt;"",L82&lt;&gt;"Sent",L82&lt;&gt;"Picked up",L82&lt;&gt;"Cancelled"),K82+ROW()/10000000,"")</f>
        <v/>
      </c>
      <c r="U82">
        <f>IF(OR(B82="",C82=""),"",B82+ROW()/10000000)</f>
        <v/>
      </c>
      <c r="V82">
        <f>IF(U82="","",IF(COUNTIFS(Orders!$C$6:$C$1005,C82,Orders!$U$6:$U$1005,"&gt;"&amp;U82)=0,1,0))</f>
        <v/>
      </c>
      <c r="W82">
        <f>IF(AND(B82&lt;&gt;"",K82&lt;&gt;"",L82&lt;&gt;"Sent",L82&lt;&gt;"Picked up",L82&lt;&gt;"Cancelled"),IF(N(E82)=0,1,E82),0)</f>
        <v/>
      </c>
      <c r="X82">
        <f>IF(OR(B82="",D82=""),"",IF(N(E82)=0,1,E82))</f>
        <v/>
      </c>
    </row>
    <row r="83">
      <c r="A83" s="1" t="n"/>
      <c r="B83" s="31" t="n">
        <v>46104</v>
      </c>
      <c r="C83" s="32" t="inlineStr">
        <is>
          <t>Chris Owens</t>
        </is>
      </c>
      <c r="D83" s="33" t="inlineStr">
        <is>
          <t>Soap bar</t>
        </is>
      </c>
      <c r="E83" s="34" t="n">
        <v>2</v>
      </c>
      <c r="F83" s="35" t="n"/>
      <c r="G83" s="35" t="n">
        <v>6.95</v>
      </c>
      <c r="H83" s="30">
        <f>IF(OR(B83="",D83=""),"",IF(N(E83)=0,1,E83)*IFERROR(INDEX(Products!$C$6:$C$105,MATCH(D83,Products!$B$6:$B$105,0)),0)+N(F83)+N(G83))</f>
        <v/>
      </c>
      <c r="I83" s="35" t="n">
        <v>22.95</v>
      </c>
      <c r="J83" s="30">
        <f>IF(OR(H83="",L83="Cancelled"),"",IF(H83-N(I83)&gt;0.005,H83-N(I83),""))</f>
        <v/>
      </c>
      <c r="K83" s="31" t="n">
        <v>46115</v>
      </c>
      <c r="L83" s="36" t="inlineStr">
        <is>
          <t>Sent</t>
        </is>
      </c>
      <c r="M83" s="33" t="inlineStr">
        <is>
          <t>Own website</t>
        </is>
      </c>
      <c r="N83" s="22">
        <f>IF(OR(H83="",L83="Cancelled"),"",IF(N(E83)=0,1,E83)*IFERROR(INDEX(Products!$E$6:$E$105,MATCH(D83,Products!$B$6:$B$105,0)),0))</f>
        <v/>
      </c>
      <c r="O83" s="35" t="n">
        <v>7.75</v>
      </c>
      <c r="P83" s="22">
        <f>IF(OR(H83="",L83="Cancelled"),"",ROUND(IFERROR(H83*INDEX(Settings!$C$6:$C$15,MATCH(M83,Settings!$B$6:$B$15,0))+INDEX(Settings!$D$6:$D$15,MATCH(M83,Settings!$B$6:$B$15,0)),0),2))</f>
        <v/>
      </c>
      <c r="Q83" s="28">
        <f>IF(OR(H83="",L83="Cancelled"),"",H83-N(N83)-N(O83)-N(P83))</f>
        <v/>
      </c>
      <c r="R83" s="19">
        <f>IF(OR(B83="",K83=""),"",IF(OR(L83="Sent",L83="Picked up"),"Done",IF(L83="Cancelled","Cancelled",IF(K83&lt;TODAY(),"Late by "&amp;(TODAY()-K83)&amp;IF((TODAY()-K83)=1," day"," days"),IF(K83=TODAY(),"Due today","Due in "&amp;(K83-TODAY())&amp;IF((K83-TODAY())=1," day"," days"))))))</f>
        <v/>
      </c>
      <c r="S83" s="33" t="n"/>
      <c r="T83" s="1">
        <f>IF(AND(B83&lt;&gt;"",K83&lt;&gt;"",L83&lt;&gt;"Sent",L83&lt;&gt;"Picked up",L83&lt;&gt;"Cancelled"),K83+ROW()/10000000,"")</f>
        <v/>
      </c>
      <c r="U83">
        <f>IF(OR(B83="",C83=""),"",B83+ROW()/10000000)</f>
        <v/>
      </c>
      <c r="V83">
        <f>IF(U83="","",IF(COUNTIFS(Orders!$C$6:$C$1005,C83,Orders!$U$6:$U$1005,"&gt;"&amp;U83)=0,1,0))</f>
        <v/>
      </c>
      <c r="W83">
        <f>IF(AND(B83&lt;&gt;"",K83&lt;&gt;"",L83&lt;&gt;"Sent",L83&lt;&gt;"Picked up",L83&lt;&gt;"Cancelled"),IF(N(E83)=0,1,E83),0)</f>
        <v/>
      </c>
      <c r="X83">
        <f>IF(OR(B83="",D83=""),"",IF(N(E83)=0,1,E83))</f>
        <v/>
      </c>
    </row>
    <row r="84">
      <c r="A84" s="1" t="n"/>
      <c r="B84" s="31" t="n">
        <v>46104</v>
      </c>
      <c r="C84" s="32" t="inlineStr">
        <is>
          <t>Holly Cox</t>
        </is>
      </c>
      <c r="D84" s="33" t="inlineStr">
        <is>
          <t>Soy candle 8 oz</t>
        </is>
      </c>
      <c r="E84" s="34" t="n">
        <v>2</v>
      </c>
      <c r="F84" s="35" t="n"/>
      <c r="G84" s="35" t="n"/>
      <c r="H84" s="30">
        <f>IF(OR(B84="",D84=""),"",IF(N(E84)=0,1,E84)*IFERROR(INDEX(Products!$C$6:$C$105,MATCH(D84,Products!$B$6:$B$105,0)),0)+N(F84)+N(G84))</f>
        <v/>
      </c>
      <c r="I84" s="35" t="n">
        <v>44</v>
      </c>
      <c r="J84" s="30">
        <f>IF(OR(H84="",L84="Cancelled"),"",IF(H84-N(I84)&gt;0.005,H84-N(I84),""))</f>
        <v/>
      </c>
      <c r="K84" s="31" t="n">
        <v>46114</v>
      </c>
      <c r="L84" s="36" t="inlineStr">
        <is>
          <t>Picked up</t>
        </is>
      </c>
      <c r="M84" s="33" t="inlineStr">
        <is>
          <t>Friends and family</t>
        </is>
      </c>
      <c r="N84" s="22">
        <f>IF(OR(H84="",L84="Cancelled"),"",IF(N(E84)=0,1,E84)*IFERROR(INDEX(Products!$E$6:$E$105,MATCH(D84,Products!$B$6:$B$105,0)),0))</f>
        <v/>
      </c>
      <c r="O84" s="35" t="n"/>
      <c r="P84" s="22">
        <f>IF(OR(H84="",L84="Cancelled"),"",ROUND(IFERROR(H84*INDEX(Settings!$C$6:$C$15,MATCH(M84,Settings!$B$6:$B$15,0))+INDEX(Settings!$D$6:$D$15,MATCH(M84,Settings!$B$6:$B$15,0)),0),2))</f>
        <v/>
      </c>
      <c r="Q84" s="28">
        <f>IF(OR(H84="",L84="Cancelled"),"",H84-N(N84)-N(O84)-N(P84))</f>
        <v/>
      </c>
      <c r="R84" s="19">
        <f>IF(OR(B84="",K84=""),"",IF(OR(L84="Sent",L84="Picked up"),"Done",IF(L84="Cancelled","Cancelled",IF(K84&lt;TODAY(),"Late by "&amp;(TODAY()-K84)&amp;IF((TODAY()-K84)=1," day"," days"),IF(K84=TODAY(),"Due today","Due in "&amp;(K84-TODAY())&amp;IF((K84-TODAY())=1," day"," days"))))))</f>
        <v/>
      </c>
      <c r="S84" s="33" t="n"/>
      <c r="T84" s="1">
        <f>IF(AND(B84&lt;&gt;"",K84&lt;&gt;"",L84&lt;&gt;"Sent",L84&lt;&gt;"Picked up",L84&lt;&gt;"Cancelled"),K84+ROW()/10000000,"")</f>
        <v/>
      </c>
      <c r="U84">
        <f>IF(OR(B84="",C84=""),"",B84+ROW()/10000000)</f>
        <v/>
      </c>
      <c r="V84">
        <f>IF(U84="","",IF(COUNTIFS(Orders!$C$6:$C$1005,C84,Orders!$U$6:$U$1005,"&gt;"&amp;U84)=0,1,0))</f>
        <v/>
      </c>
      <c r="W84">
        <f>IF(AND(B84&lt;&gt;"",K84&lt;&gt;"",L84&lt;&gt;"Sent",L84&lt;&gt;"Picked up",L84&lt;&gt;"Cancelled"),IF(N(E84)=0,1,E84),0)</f>
        <v/>
      </c>
      <c r="X84">
        <f>IF(OR(B84="",D84=""),"",IF(N(E84)=0,1,E84))</f>
        <v/>
      </c>
    </row>
    <row r="85">
      <c r="A85" s="1" t="n"/>
      <c r="B85" s="31" t="n">
        <v>46105</v>
      </c>
      <c r="C85" s="32" t="inlineStr">
        <is>
          <t>Paula Mills</t>
        </is>
      </c>
      <c r="D85" s="33" t="inlineStr">
        <is>
          <t>Wax melts, 6 pack</t>
        </is>
      </c>
      <c r="E85" s="34" t="n">
        <v>1</v>
      </c>
      <c r="F85" s="35" t="n"/>
      <c r="G85" s="35" t="n"/>
      <c r="H85" s="30">
        <f>IF(OR(B85="",D85=""),"",IF(N(E85)=0,1,E85)*IFERROR(INDEX(Products!$C$6:$C$105,MATCH(D85,Products!$B$6:$B$105,0)),0)+N(F85)+N(G85))</f>
        <v/>
      </c>
      <c r="I85" s="35" t="n">
        <v>9</v>
      </c>
      <c r="J85" s="30">
        <f>IF(OR(H85="",L85="Cancelled"),"",IF(H85-N(I85)&gt;0.005,H85-N(I85),""))</f>
        <v/>
      </c>
      <c r="K85" s="31" t="n">
        <v>46115</v>
      </c>
      <c r="L85" s="36" t="inlineStr">
        <is>
          <t>Picked up</t>
        </is>
      </c>
      <c r="M85" s="33" t="inlineStr">
        <is>
          <t>Craft market</t>
        </is>
      </c>
      <c r="N85" s="22">
        <f>IF(OR(H85="",L85="Cancelled"),"",IF(N(E85)=0,1,E85)*IFERROR(INDEX(Products!$E$6:$E$105,MATCH(D85,Products!$B$6:$B$105,0)),0))</f>
        <v/>
      </c>
      <c r="O85" s="35" t="n"/>
      <c r="P85" s="22">
        <f>IF(OR(H85="",L85="Cancelled"),"",ROUND(IFERROR(H85*INDEX(Settings!$C$6:$C$15,MATCH(M85,Settings!$B$6:$B$15,0))+INDEX(Settings!$D$6:$D$15,MATCH(M85,Settings!$B$6:$B$15,0)),0),2))</f>
        <v/>
      </c>
      <c r="Q85" s="28">
        <f>IF(OR(H85="",L85="Cancelled"),"",H85-N(N85)-N(O85)-N(P85))</f>
        <v/>
      </c>
      <c r="R85" s="19">
        <f>IF(OR(B85="",K85=""),"",IF(OR(L85="Sent",L85="Picked up"),"Done",IF(L85="Cancelled","Cancelled",IF(K85&lt;TODAY(),"Late by "&amp;(TODAY()-K85)&amp;IF((TODAY()-K85)=1," day"," days"),IF(K85=TODAY(),"Due today","Due in "&amp;(K85-TODAY())&amp;IF((K85-TODAY())=1," day"," days"))))))</f>
        <v/>
      </c>
      <c r="S85" s="33" t="n"/>
      <c r="T85" s="1">
        <f>IF(AND(B85&lt;&gt;"",K85&lt;&gt;"",L85&lt;&gt;"Sent",L85&lt;&gt;"Picked up",L85&lt;&gt;"Cancelled"),K85+ROW()/10000000,"")</f>
        <v/>
      </c>
      <c r="U85">
        <f>IF(OR(B85="",C85=""),"",B85+ROW()/10000000)</f>
        <v/>
      </c>
      <c r="V85">
        <f>IF(U85="","",IF(COUNTIFS(Orders!$C$6:$C$1005,C85,Orders!$U$6:$U$1005,"&gt;"&amp;U85)=0,1,0))</f>
        <v/>
      </c>
      <c r="W85">
        <f>IF(AND(B85&lt;&gt;"",K85&lt;&gt;"",L85&lt;&gt;"Sent",L85&lt;&gt;"Picked up",L85&lt;&gt;"Cancelled"),IF(N(E85)=0,1,E85),0)</f>
        <v/>
      </c>
      <c r="X85">
        <f>IF(OR(B85="",D85=""),"",IF(N(E85)=0,1,E85))</f>
        <v/>
      </c>
    </row>
    <row r="86">
      <c r="A86" s="1" t="n"/>
      <c r="B86" s="31" t="n">
        <v>46106</v>
      </c>
      <c r="C86" s="32" t="inlineStr">
        <is>
          <t>Adam Cox</t>
        </is>
      </c>
      <c r="D86" s="33" t="inlineStr">
        <is>
          <t>Soy candle 16 oz</t>
        </is>
      </c>
      <c r="E86" s="34" t="n">
        <v>4</v>
      </c>
      <c r="F86" s="35" t="n"/>
      <c r="G86" s="35" t="n"/>
      <c r="H86" s="30">
        <f>IF(OR(B86="",D86=""),"",IF(N(E86)=0,1,E86)*IFERROR(INDEX(Products!$C$6:$C$105,MATCH(D86,Products!$B$6:$B$105,0)),0)+N(F86)+N(G86))</f>
        <v/>
      </c>
      <c r="I86" s="35" t="n">
        <v>136</v>
      </c>
      <c r="J86" s="30">
        <f>IF(OR(H86="",L86="Cancelled"),"",IF(H86-N(I86)&gt;0.005,H86-N(I86),""))</f>
        <v/>
      </c>
      <c r="K86" s="31" t="n">
        <v>46116</v>
      </c>
      <c r="L86" s="36" t="inlineStr">
        <is>
          <t>Picked up</t>
        </is>
      </c>
      <c r="M86" s="33" t="inlineStr">
        <is>
          <t>Craft market</t>
        </is>
      </c>
      <c r="N86" s="22">
        <f>IF(OR(H86="",L86="Cancelled"),"",IF(N(E86)=0,1,E86)*IFERROR(INDEX(Products!$E$6:$E$105,MATCH(D86,Products!$B$6:$B$105,0)),0))</f>
        <v/>
      </c>
      <c r="O86" s="35" t="n"/>
      <c r="P86" s="22">
        <f>IF(OR(H86="",L86="Cancelled"),"",ROUND(IFERROR(H86*INDEX(Settings!$C$6:$C$15,MATCH(M86,Settings!$B$6:$B$15,0))+INDEX(Settings!$D$6:$D$15,MATCH(M86,Settings!$B$6:$B$15,0)),0),2))</f>
        <v/>
      </c>
      <c r="Q86" s="28">
        <f>IF(OR(H86="",L86="Cancelled"),"",H86-N(N86)-N(O86)-N(P86))</f>
        <v/>
      </c>
      <c r="R86" s="19">
        <f>IF(OR(B86="",K86=""),"",IF(OR(L86="Sent",L86="Picked up"),"Done",IF(L86="Cancelled","Cancelled",IF(K86&lt;TODAY(),"Late by "&amp;(TODAY()-K86)&amp;IF((TODAY()-K86)=1," day"," days"),IF(K86=TODAY(),"Due today","Due in "&amp;(K86-TODAY())&amp;IF((K86-TODAY())=1," day"," days"))))))</f>
        <v/>
      </c>
      <c r="S86" s="33" t="n"/>
      <c r="T86" s="1">
        <f>IF(AND(B86&lt;&gt;"",K86&lt;&gt;"",L86&lt;&gt;"Sent",L86&lt;&gt;"Picked up",L86&lt;&gt;"Cancelled"),K86+ROW()/10000000,"")</f>
        <v/>
      </c>
      <c r="U86">
        <f>IF(OR(B86="",C86=""),"",B86+ROW()/10000000)</f>
        <v/>
      </c>
      <c r="V86">
        <f>IF(U86="","",IF(COUNTIFS(Orders!$C$6:$C$1005,C86,Orders!$U$6:$U$1005,"&gt;"&amp;U86)=0,1,0))</f>
        <v/>
      </c>
      <c r="W86">
        <f>IF(AND(B86&lt;&gt;"",K86&lt;&gt;"",L86&lt;&gt;"Sent",L86&lt;&gt;"Picked up",L86&lt;&gt;"Cancelled"),IF(N(E86)=0,1,E86),0)</f>
        <v/>
      </c>
      <c r="X86">
        <f>IF(OR(B86="",D86=""),"",IF(N(E86)=0,1,E86))</f>
        <v/>
      </c>
    </row>
    <row r="87">
      <c r="A87" s="1" t="n"/>
      <c r="B87" s="31" t="n">
        <v>46107</v>
      </c>
      <c r="C87" s="32" t="inlineStr">
        <is>
          <t>Adam King</t>
        </is>
      </c>
      <c r="D87" s="33" t="inlineStr">
        <is>
          <t>Soy candle 8 oz</t>
        </is>
      </c>
      <c r="E87" s="34" t="n">
        <v>2</v>
      </c>
      <c r="F87" s="35" t="n"/>
      <c r="G87" s="35" t="n">
        <v>6.95</v>
      </c>
      <c r="H87" s="30">
        <f>IF(OR(B87="",D87=""),"",IF(N(E87)=0,1,E87)*IFERROR(INDEX(Products!$C$6:$C$105,MATCH(D87,Products!$B$6:$B$105,0)),0)+N(F87)+N(G87))</f>
        <v/>
      </c>
      <c r="I87" s="35" t="n">
        <v>50.95</v>
      </c>
      <c r="J87" s="30">
        <f>IF(OR(H87="",L87="Cancelled"),"",IF(H87-N(I87)&gt;0.005,H87-N(I87),""))</f>
        <v/>
      </c>
      <c r="K87" s="31" t="n">
        <v>46118</v>
      </c>
      <c r="L87" s="36" t="inlineStr">
        <is>
          <t>Sent</t>
        </is>
      </c>
      <c r="M87" s="33" t="inlineStr">
        <is>
          <t>Own website</t>
        </is>
      </c>
      <c r="N87" s="22">
        <f>IF(OR(H87="",L87="Cancelled"),"",IF(N(E87)=0,1,E87)*IFERROR(INDEX(Products!$E$6:$E$105,MATCH(D87,Products!$B$6:$B$105,0)),0))</f>
        <v/>
      </c>
      <c r="O87" s="35" t="n">
        <v>7.18</v>
      </c>
      <c r="P87" s="22">
        <f>IF(OR(H87="",L87="Cancelled"),"",ROUND(IFERROR(H87*INDEX(Settings!$C$6:$C$15,MATCH(M87,Settings!$B$6:$B$15,0))+INDEX(Settings!$D$6:$D$15,MATCH(M87,Settings!$B$6:$B$15,0)),0),2))</f>
        <v/>
      </c>
      <c r="Q87" s="28">
        <f>IF(OR(H87="",L87="Cancelled"),"",H87-N(N87)-N(O87)-N(P87))</f>
        <v/>
      </c>
      <c r="R87" s="19">
        <f>IF(OR(B87="",K87=""),"",IF(OR(L87="Sent",L87="Picked up"),"Done",IF(L87="Cancelled","Cancelled",IF(K87&lt;TODAY(),"Late by "&amp;(TODAY()-K87)&amp;IF((TODAY()-K87)=1," day"," days"),IF(K87=TODAY(),"Due today","Due in "&amp;(K87-TODAY())&amp;IF((K87-TODAY())=1," day"," days"))))))</f>
        <v/>
      </c>
      <c r="S87" s="33" t="n"/>
      <c r="T87" s="1">
        <f>IF(AND(B87&lt;&gt;"",K87&lt;&gt;"",L87&lt;&gt;"Sent",L87&lt;&gt;"Picked up",L87&lt;&gt;"Cancelled"),K87+ROW()/10000000,"")</f>
        <v/>
      </c>
      <c r="U87">
        <f>IF(OR(B87="",C87=""),"",B87+ROW()/10000000)</f>
        <v/>
      </c>
      <c r="V87">
        <f>IF(U87="","",IF(COUNTIFS(Orders!$C$6:$C$1005,C87,Orders!$U$6:$U$1005,"&gt;"&amp;U87)=0,1,0))</f>
        <v/>
      </c>
      <c r="W87">
        <f>IF(AND(B87&lt;&gt;"",K87&lt;&gt;"",L87&lt;&gt;"Sent",L87&lt;&gt;"Picked up",L87&lt;&gt;"Cancelled"),IF(N(E87)=0,1,E87),0)</f>
        <v/>
      </c>
      <c r="X87">
        <f>IF(OR(B87="",D87=""),"",IF(N(E87)=0,1,E87))</f>
        <v/>
      </c>
    </row>
    <row r="88">
      <c r="A88" s="1" t="n"/>
      <c r="B88" s="31" t="n">
        <v>46109</v>
      </c>
      <c r="C88" s="32" t="inlineStr">
        <is>
          <t>Jon Gray</t>
        </is>
      </c>
      <c r="D88" s="33" t="inlineStr">
        <is>
          <t>Soy candle 8 oz</t>
        </is>
      </c>
      <c r="E88" s="34" t="n">
        <v>1</v>
      </c>
      <c r="F88" s="35" t="n"/>
      <c r="G88" s="35" t="n"/>
      <c r="H88" s="30">
        <f>IF(OR(B88="",D88=""),"",IF(N(E88)=0,1,E88)*IFERROR(INDEX(Products!$C$6:$C$105,MATCH(D88,Products!$B$6:$B$105,0)),0)+N(F88)+N(G88))</f>
        <v/>
      </c>
      <c r="I88" s="35" t="n">
        <v>22</v>
      </c>
      <c r="J88" s="30">
        <f>IF(OR(H88="",L88="Cancelled"),"",IF(H88-N(I88)&gt;0.005,H88-N(I88),""))</f>
        <v/>
      </c>
      <c r="K88" s="31" t="n">
        <v>46117</v>
      </c>
      <c r="L88" s="36" t="inlineStr">
        <is>
          <t>Picked up</t>
        </is>
      </c>
      <c r="M88" s="33" t="inlineStr">
        <is>
          <t>Friends and family</t>
        </is>
      </c>
      <c r="N88" s="22">
        <f>IF(OR(H88="",L88="Cancelled"),"",IF(N(E88)=0,1,E88)*IFERROR(INDEX(Products!$E$6:$E$105,MATCH(D88,Products!$B$6:$B$105,0)),0))</f>
        <v/>
      </c>
      <c r="O88" s="35" t="n"/>
      <c r="P88" s="22">
        <f>IF(OR(H88="",L88="Cancelled"),"",ROUND(IFERROR(H88*INDEX(Settings!$C$6:$C$15,MATCH(M88,Settings!$B$6:$B$15,0))+INDEX(Settings!$D$6:$D$15,MATCH(M88,Settings!$B$6:$B$15,0)),0),2))</f>
        <v/>
      </c>
      <c r="Q88" s="28">
        <f>IF(OR(H88="",L88="Cancelled"),"",H88-N(N88)-N(O88)-N(P88))</f>
        <v/>
      </c>
      <c r="R88" s="19">
        <f>IF(OR(B88="",K88=""),"",IF(OR(L88="Sent",L88="Picked up"),"Done",IF(L88="Cancelled","Cancelled",IF(K88&lt;TODAY(),"Late by "&amp;(TODAY()-K88)&amp;IF((TODAY()-K88)=1," day"," days"),IF(K88=TODAY(),"Due today","Due in "&amp;(K88-TODAY())&amp;IF((K88-TODAY())=1," day"," days"))))))</f>
        <v/>
      </c>
      <c r="S88" s="33" t="n"/>
      <c r="T88" s="1">
        <f>IF(AND(B88&lt;&gt;"",K88&lt;&gt;"",L88&lt;&gt;"Sent",L88&lt;&gt;"Picked up",L88&lt;&gt;"Cancelled"),K88+ROW()/10000000,"")</f>
        <v/>
      </c>
      <c r="U88">
        <f>IF(OR(B88="",C88=""),"",B88+ROW()/10000000)</f>
        <v/>
      </c>
      <c r="V88">
        <f>IF(U88="","",IF(COUNTIFS(Orders!$C$6:$C$1005,C88,Orders!$U$6:$U$1005,"&gt;"&amp;U88)=0,1,0))</f>
        <v/>
      </c>
      <c r="W88">
        <f>IF(AND(B88&lt;&gt;"",K88&lt;&gt;"",L88&lt;&gt;"Sent",L88&lt;&gt;"Picked up",L88&lt;&gt;"Cancelled"),IF(N(E88)=0,1,E88),0)</f>
        <v/>
      </c>
      <c r="X88">
        <f>IF(OR(B88="",D88=""),"",IF(N(E88)=0,1,E88))</f>
        <v/>
      </c>
    </row>
    <row r="89">
      <c r="A89" s="1" t="n"/>
      <c r="B89" s="31" t="n">
        <v>46109</v>
      </c>
      <c r="C89" s="32" t="inlineStr">
        <is>
          <t>Dina Cole</t>
        </is>
      </c>
      <c r="D89" s="33" t="inlineStr">
        <is>
          <t>Wax melts, 6 pack</t>
        </is>
      </c>
      <c r="E89" s="34" t="n">
        <v>2</v>
      </c>
      <c r="F89" s="35" t="n"/>
      <c r="G89" s="35" t="n">
        <v>6.95</v>
      </c>
      <c r="H89" s="30">
        <f>IF(OR(B89="",D89=""),"",IF(N(E89)=0,1,E89)*IFERROR(INDEX(Products!$C$6:$C$105,MATCH(D89,Products!$B$6:$B$105,0)),0)+N(F89)+N(G89))</f>
        <v/>
      </c>
      <c r="I89" s="35" t="n">
        <v>24.95</v>
      </c>
      <c r="J89" s="30">
        <f>IF(OR(H89="",L89="Cancelled"),"",IF(H89-N(I89)&gt;0.005,H89-N(I89),""))</f>
        <v/>
      </c>
      <c r="K89" s="31" t="n">
        <v>46116</v>
      </c>
      <c r="L89" s="36" t="inlineStr">
        <is>
          <t>Sent</t>
        </is>
      </c>
      <c r="M89" s="33" t="inlineStr">
        <is>
          <t>Etsy</t>
        </is>
      </c>
      <c r="N89" s="22">
        <f>IF(OR(H89="",L89="Cancelled"),"",IF(N(E89)=0,1,E89)*IFERROR(INDEX(Products!$E$6:$E$105,MATCH(D89,Products!$B$6:$B$105,0)),0))</f>
        <v/>
      </c>
      <c r="O89" s="35" t="n">
        <v>7.39</v>
      </c>
      <c r="P89" s="22">
        <f>IF(OR(H89="",L89="Cancelled"),"",ROUND(IFERROR(H89*INDEX(Settings!$C$6:$C$15,MATCH(M89,Settings!$B$6:$B$15,0))+INDEX(Settings!$D$6:$D$15,MATCH(M89,Settings!$B$6:$B$15,0)),0),2))</f>
        <v/>
      </c>
      <c r="Q89" s="28">
        <f>IF(OR(H89="",L89="Cancelled"),"",H89-N(N89)-N(O89)-N(P89))</f>
        <v/>
      </c>
      <c r="R89" s="19">
        <f>IF(OR(B89="",K89=""),"",IF(OR(L89="Sent",L89="Picked up"),"Done",IF(L89="Cancelled","Cancelled",IF(K89&lt;TODAY(),"Late by "&amp;(TODAY()-K89)&amp;IF((TODAY()-K89)=1," day"," days"),IF(K89=TODAY(),"Due today","Due in "&amp;(K89-TODAY())&amp;IF((K89-TODAY())=1," day"," days"))))))</f>
        <v/>
      </c>
      <c r="S89" s="33" t="n"/>
      <c r="T89" s="1">
        <f>IF(AND(B89&lt;&gt;"",K89&lt;&gt;"",L89&lt;&gt;"Sent",L89&lt;&gt;"Picked up",L89&lt;&gt;"Cancelled"),K89+ROW()/10000000,"")</f>
        <v/>
      </c>
      <c r="U89">
        <f>IF(OR(B89="",C89=""),"",B89+ROW()/10000000)</f>
        <v/>
      </c>
      <c r="V89">
        <f>IF(U89="","",IF(COUNTIFS(Orders!$C$6:$C$1005,C89,Orders!$U$6:$U$1005,"&gt;"&amp;U89)=0,1,0))</f>
        <v/>
      </c>
      <c r="W89">
        <f>IF(AND(B89&lt;&gt;"",K89&lt;&gt;"",L89&lt;&gt;"Sent",L89&lt;&gt;"Picked up",L89&lt;&gt;"Cancelled"),IF(N(E89)=0,1,E89),0)</f>
        <v/>
      </c>
      <c r="X89">
        <f>IF(OR(B89="",D89=""),"",IF(N(E89)=0,1,E89))</f>
        <v/>
      </c>
    </row>
    <row r="90">
      <c r="A90" s="1" t="n"/>
      <c r="B90" s="31" t="n">
        <v>46110</v>
      </c>
      <c r="C90" s="32" t="inlineStr">
        <is>
          <t>Holly Cox</t>
        </is>
      </c>
      <c r="D90" s="33" t="inlineStr">
        <is>
          <t>Soap bar</t>
        </is>
      </c>
      <c r="E90" s="34" t="n">
        <v>1</v>
      </c>
      <c r="F90" s="35" t="n"/>
      <c r="G90" s="35" t="n">
        <v>6.95</v>
      </c>
      <c r="H90" s="30">
        <f>IF(OR(B90="",D90=""),"",IF(N(E90)=0,1,E90)*IFERROR(INDEX(Products!$C$6:$C$105,MATCH(D90,Products!$B$6:$B$105,0)),0)+N(F90)+N(G90))</f>
        <v/>
      </c>
      <c r="I90" s="35" t="n">
        <v>14.95</v>
      </c>
      <c r="J90" s="30">
        <f>IF(OR(H90="",L90="Cancelled"),"",IF(H90-N(I90)&gt;0.005,H90-N(I90),""))</f>
        <v/>
      </c>
      <c r="K90" s="31" t="n">
        <v>46115</v>
      </c>
      <c r="L90" s="36" t="inlineStr">
        <is>
          <t>Sent</t>
        </is>
      </c>
      <c r="M90" s="33" t="inlineStr">
        <is>
          <t>Etsy</t>
        </is>
      </c>
      <c r="N90" s="22">
        <f>IF(OR(H90="",L90="Cancelled"),"",IF(N(E90)=0,1,E90)*IFERROR(INDEX(Products!$E$6:$E$105,MATCH(D90,Products!$B$6:$B$105,0)),0))</f>
        <v/>
      </c>
      <c r="O90" s="35" t="n">
        <v>7.56</v>
      </c>
      <c r="P90" s="22">
        <f>IF(OR(H90="",L90="Cancelled"),"",ROUND(IFERROR(H90*INDEX(Settings!$C$6:$C$15,MATCH(M90,Settings!$B$6:$B$15,0))+INDEX(Settings!$D$6:$D$15,MATCH(M90,Settings!$B$6:$B$15,0)),0),2))</f>
        <v/>
      </c>
      <c r="Q90" s="28">
        <f>IF(OR(H90="",L90="Cancelled"),"",H90-N(N90)-N(O90)-N(P90))</f>
        <v/>
      </c>
      <c r="R90" s="19">
        <f>IF(OR(B90="",K90=""),"",IF(OR(L90="Sent",L90="Picked up"),"Done",IF(L90="Cancelled","Cancelled",IF(K90&lt;TODAY(),"Late by "&amp;(TODAY()-K90)&amp;IF((TODAY()-K90)=1," day"," days"),IF(K90=TODAY(),"Due today","Due in "&amp;(K90-TODAY())&amp;IF((K90-TODAY())=1," day"," days"))))))</f>
        <v/>
      </c>
      <c r="S90" s="33" t="n"/>
      <c r="T90" s="1">
        <f>IF(AND(B90&lt;&gt;"",K90&lt;&gt;"",L90&lt;&gt;"Sent",L90&lt;&gt;"Picked up",L90&lt;&gt;"Cancelled"),K90+ROW()/10000000,"")</f>
        <v/>
      </c>
      <c r="U90">
        <f>IF(OR(B90="",C90=""),"",B90+ROW()/10000000)</f>
        <v/>
      </c>
      <c r="V90">
        <f>IF(U90="","",IF(COUNTIFS(Orders!$C$6:$C$1005,C90,Orders!$U$6:$U$1005,"&gt;"&amp;U90)=0,1,0))</f>
        <v/>
      </c>
      <c r="W90">
        <f>IF(AND(B90&lt;&gt;"",K90&lt;&gt;"",L90&lt;&gt;"Sent",L90&lt;&gt;"Picked up",L90&lt;&gt;"Cancelled"),IF(N(E90)=0,1,E90),0)</f>
        <v/>
      </c>
      <c r="X90">
        <f>IF(OR(B90="",D90=""),"",IF(N(E90)=0,1,E90))</f>
        <v/>
      </c>
    </row>
    <row r="91">
      <c r="A91" s="1" t="n"/>
      <c r="B91" s="31" t="n">
        <v>46111</v>
      </c>
      <c r="C91" s="32" t="inlineStr">
        <is>
          <t>Chris Owens</t>
        </is>
      </c>
      <c r="D91" s="33" t="inlineStr">
        <is>
          <t>Soy candle 8 oz</t>
        </is>
      </c>
      <c r="E91" s="34" t="n">
        <v>1</v>
      </c>
      <c r="F91" s="35" t="n"/>
      <c r="G91" s="35" t="n"/>
      <c r="H91" s="30">
        <f>IF(OR(B91="",D91=""),"",IF(N(E91)=0,1,E91)*IFERROR(INDEX(Products!$C$6:$C$105,MATCH(D91,Products!$B$6:$B$105,0)),0)+N(F91)+N(G91))</f>
        <v/>
      </c>
      <c r="I91" s="35" t="n">
        <v>22</v>
      </c>
      <c r="J91" s="30">
        <f>IF(OR(H91="",L91="Cancelled"),"",IF(H91-N(I91)&gt;0.005,H91-N(I91),""))</f>
        <v/>
      </c>
      <c r="K91" s="31" t="n">
        <v>46116</v>
      </c>
      <c r="L91" s="36" t="inlineStr">
        <is>
          <t>Picked up</t>
        </is>
      </c>
      <c r="M91" s="33" t="inlineStr">
        <is>
          <t>Craft market</t>
        </is>
      </c>
      <c r="N91" s="22">
        <f>IF(OR(H91="",L91="Cancelled"),"",IF(N(E91)=0,1,E91)*IFERROR(INDEX(Products!$E$6:$E$105,MATCH(D91,Products!$B$6:$B$105,0)),0))</f>
        <v/>
      </c>
      <c r="O91" s="35" t="n"/>
      <c r="P91" s="22">
        <f>IF(OR(H91="",L91="Cancelled"),"",ROUND(IFERROR(H91*INDEX(Settings!$C$6:$C$15,MATCH(M91,Settings!$B$6:$B$15,0))+INDEX(Settings!$D$6:$D$15,MATCH(M91,Settings!$B$6:$B$15,0)),0),2))</f>
        <v/>
      </c>
      <c r="Q91" s="28">
        <f>IF(OR(H91="",L91="Cancelled"),"",H91-N(N91)-N(O91)-N(P91))</f>
        <v/>
      </c>
      <c r="R91" s="19">
        <f>IF(OR(B91="",K91=""),"",IF(OR(L91="Sent",L91="Picked up"),"Done",IF(L91="Cancelled","Cancelled",IF(K91&lt;TODAY(),"Late by "&amp;(TODAY()-K91)&amp;IF((TODAY()-K91)=1," day"," days"),IF(K91=TODAY(),"Due today","Due in "&amp;(K91-TODAY())&amp;IF((K91-TODAY())=1," day"," days"))))))</f>
        <v/>
      </c>
      <c r="S91" s="33" t="n"/>
      <c r="T91" s="1">
        <f>IF(AND(B91&lt;&gt;"",K91&lt;&gt;"",L91&lt;&gt;"Sent",L91&lt;&gt;"Picked up",L91&lt;&gt;"Cancelled"),K91+ROW()/10000000,"")</f>
        <v/>
      </c>
      <c r="U91">
        <f>IF(OR(B91="",C91=""),"",B91+ROW()/10000000)</f>
        <v/>
      </c>
      <c r="V91">
        <f>IF(U91="","",IF(COUNTIFS(Orders!$C$6:$C$1005,C91,Orders!$U$6:$U$1005,"&gt;"&amp;U91)=0,1,0))</f>
        <v/>
      </c>
      <c r="W91">
        <f>IF(AND(B91&lt;&gt;"",K91&lt;&gt;"",L91&lt;&gt;"Sent",L91&lt;&gt;"Picked up",L91&lt;&gt;"Cancelled"),IF(N(E91)=0,1,E91),0)</f>
        <v/>
      </c>
      <c r="X91">
        <f>IF(OR(B91="",D91=""),"",IF(N(E91)=0,1,E91))</f>
        <v/>
      </c>
    </row>
    <row r="92">
      <c r="A92" s="1" t="n"/>
      <c r="B92" s="31" t="n">
        <v>46111</v>
      </c>
      <c r="C92" s="32" t="inlineStr">
        <is>
          <t>Paula Fox</t>
        </is>
      </c>
      <c r="D92" s="33" t="inlineStr">
        <is>
          <t>Soy candle 8 oz</t>
        </is>
      </c>
      <c r="E92" s="34" t="n">
        <v>1</v>
      </c>
      <c r="F92" s="35" t="n"/>
      <c r="G92" s="35" t="n">
        <v>6.95</v>
      </c>
      <c r="H92" s="30">
        <f>IF(OR(B92="",D92=""),"",IF(N(E92)=0,1,E92)*IFERROR(INDEX(Products!$C$6:$C$105,MATCH(D92,Products!$B$6:$B$105,0)),0)+N(F92)+N(G92))</f>
        <v/>
      </c>
      <c r="I92" s="35" t="n">
        <v>28.95</v>
      </c>
      <c r="J92" s="30">
        <f>IF(OR(H92="",L92="Cancelled"),"",IF(H92-N(I92)&gt;0.005,H92-N(I92),""))</f>
        <v/>
      </c>
      <c r="K92" s="31" t="n">
        <v>46123</v>
      </c>
      <c r="L92" s="36" t="inlineStr">
        <is>
          <t>Sent</t>
        </is>
      </c>
      <c r="M92" s="33" t="inlineStr">
        <is>
          <t>Own website</t>
        </is>
      </c>
      <c r="N92" s="22">
        <f>IF(OR(H92="",L92="Cancelled"),"",IF(N(E92)=0,1,E92)*IFERROR(INDEX(Products!$E$6:$E$105,MATCH(D92,Products!$B$6:$B$105,0)),0))</f>
        <v/>
      </c>
      <c r="O92" s="35" t="n">
        <v>7.66</v>
      </c>
      <c r="P92" s="22">
        <f>IF(OR(H92="",L92="Cancelled"),"",ROUND(IFERROR(H92*INDEX(Settings!$C$6:$C$15,MATCH(M92,Settings!$B$6:$B$15,0))+INDEX(Settings!$D$6:$D$15,MATCH(M92,Settings!$B$6:$B$15,0)),0),2))</f>
        <v/>
      </c>
      <c r="Q92" s="28">
        <f>IF(OR(H92="",L92="Cancelled"),"",H92-N(N92)-N(O92)-N(P92))</f>
        <v/>
      </c>
      <c r="R92" s="19">
        <f>IF(OR(B92="",K92=""),"",IF(OR(L92="Sent",L92="Picked up"),"Done",IF(L92="Cancelled","Cancelled",IF(K92&lt;TODAY(),"Late by "&amp;(TODAY()-K92)&amp;IF((TODAY()-K92)=1," day"," days"),IF(K92=TODAY(),"Due today","Due in "&amp;(K92-TODAY())&amp;IF((K92-TODAY())=1," day"," days"))))))</f>
        <v/>
      </c>
      <c r="S92" s="33" t="n"/>
      <c r="T92" s="1">
        <f>IF(AND(B92&lt;&gt;"",K92&lt;&gt;"",L92&lt;&gt;"Sent",L92&lt;&gt;"Picked up",L92&lt;&gt;"Cancelled"),K92+ROW()/10000000,"")</f>
        <v/>
      </c>
      <c r="U92">
        <f>IF(OR(B92="",C92=""),"",B92+ROW()/10000000)</f>
        <v/>
      </c>
      <c r="V92">
        <f>IF(U92="","",IF(COUNTIFS(Orders!$C$6:$C$1005,C92,Orders!$U$6:$U$1005,"&gt;"&amp;U92)=0,1,0))</f>
        <v/>
      </c>
      <c r="W92">
        <f>IF(AND(B92&lt;&gt;"",K92&lt;&gt;"",L92&lt;&gt;"Sent",L92&lt;&gt;"Picked up",L92&lt;&gt;"Cancelled"),IF(N(E92)=0,1,E92),0)</f>
        <v/>
      </c>
      <c r="X92">
        <f>IF(OR(B92="",D92=""),"",IF(N(E92)=0,1,E92))</f>
        <v/>
      </c>
    </row>
    <row r="93">
      <c r="A93" s="1" t="n"/>
      <c r="B93" s="31" t="n">
        <v>46112</v>
      </c>
      <c r="C93" s="32" t="inlineStr">
        <is>
          <t>Megan Murphy</t>
        </is>
      </c>
      <c r="D93" s="33" t="inlineStr">
        <is>
          <t>Soy candle 16 oz</t>
        </is>
      </c>
      <c r="E93" s="34" t="n">
        <v>1</v>
      </c>
      <c r="F93" s="35" t="n"/>
      <c r="G93" s="35" t="n"/>
      <c r="H93" s="30">
        <f>IF(OR(B93="",D93=""),"",IF(N(E93)=0,1,E93)*IFERROR(INDEX(Products!$C$6:$C$105,MATCH(D93,Products!$B$6:$B$105,0)),0)+N(F93)+N(G93))</f>
        <v/>
      </c>
      <c r="I93" s="35" t="n">
        <v>34</v>
      </c>
      <c r="J93" s="30">
        <f>IF(OR(H93="",L93="Cancelled"),"",IF(H93-N(I93)&gt;0.005,H93-N(I93),""))</f>
        <v/>
      </c>
      <c r="K93" s="31" t="n">
        <v>46122</v>
      </c>
      <c r="L93" s="36" t="inlineStr">
        <is>
          <t>Picked up</t>
        </is>
      </c>
      <c r="M93" s="33" t="inlineStr">
        <is>
          <t>Friends and family</t>
        </is>
      </c>
      <c r="N93" s="22">
        <f>IF(OR(H93="",L93="Cancelled"),"",IF(N(E93)=0,1,E93)*IFERROR(INDEX(Products!$E$6:$E$105,MATCH(D93,Products!$B$6:$B$105,0)),0))</f>
        <v/>
      </c>
      <c r="O93" s="35" t="n"/>
      <c r="P93" s="22">
        <f>IF(OR(H93="",L93="Cancelled"),"",ROUND(IFERROR(H93*INDEX(Settings!$C$6:$C$15,MATCH(M93,Settings!$B$6:$B$15,0))+INDEX(Settings!$D$6:$D$15,MATCH(M93,Settings!$B$6:$B$15,0)),0),2))</f>
        <v/>
      </c>
      <c r="Q93" s="28">
        <f>IF(OR(H93="",L93="Cancelled"),"",H93-N(N93)-N(O93)-N(P93))</f>
        <v/>
      </c>
      <c r="R93" s="19">
        <f>IF(OR(B93="",K93=""),"",IF(OR(L93="Sent",L93="Picked up"),"Done",IF(L93="Cancelled","Cancelled",IF(K93&lt;TODAY(),"Late by "&amp;(TODAY()-K93)&amp;IF((TODAY()-K93)=1," day"," days"),IF(K93=TODAY(),"Due today","Due in "&amp;(K93-TODAY())&amp;IF((K93-TODAY())=1," day"," days"))))))</f>
        <v/>
      </c>
      <c r="S93" s="33" t="n"/>
      <c r="T93" s="1">
        <f>IF(AND(B93&lt;&gt;"",K93&lt;&gt;"",L93&lt;&gt;"Sent",L93&lt;&gt;"Picked up",L93&lt;&gt;"Cancelled"),K93+ROW()/10000000,"")</f>
        <v/>
      </c>
      <c r="U93">
        <f>IF(OR(B93="",C93=""),"",B93+ROW()/10000000)</f>
        <v/>
      </c>
      <c r="V93">
        <f>IF(U93="","",IF(COUNTIFS(Orders!$C$6:$C$1005,C93,Orders!$U$6:$U$1005,"&gt;"&amp;U93)=0,1,0))</f>
        <v/>
      </c>
      <c r="W93">
        <f>IF(AND(B93&lt;&gt;"",K93&lt;&gt;"",L93&lt;&gt;"Sent",L93&lt;&gt;"Picked up",L93&lt;&gt;"Cancelled"),IF(N(E93)=0,1,E93),0)</f>
        <v/>
      </c>
      <c r="X93">
        <f>IF(OR(B93="",D93=""),"",IF(N(E93)=0,1,E93))</f>
        <v/>
      </c>
    </row>
    <row r="94">
      <c r="A94" s="1" t="n"/>
      <c r="B94" s="31" t="n">
        <v>46112</v>
      </c>
      <c r="C94" s="32" t="inlineStr">
        <is>
          <t>Jade Reed</t>
        </is>
      </c>
      <c r="D94" s="33" t="inlineStr">
        <is>
          <t>Soap bar</t>
        </is>
      </c>
      <c r="E94" s="34" t="n">
        <v>1</v>
      </c>
      <c r="F94" s="35" t="n"/>
      <c r="G94" s="35" t="n"/>
      <c r="H94" s="30">
        <f>IF(OR(B94="",D94=""),"",IF(N(E94)=0,1,E94)*IFERROR(INDEX(Products!$C$6:$C$105,MATCH(D94,Products!$B$6:$B$105,0)),0)+N(F94)+N(G94))</f>
        <v/>
      </c>
      <c r="I94" s="35" t="n">
        <v>8</v>
      </c>
      <c r="J94" s="30">
        <f>IF(OR(H94="",L94="Cancelled"),"",IF(H94-N(I94)&gt;0.005,H94-N(I94),""))</f>
        <v/>
      </c>
      <c r="K94" s="31" t="n">
        <v>46119</v>
      </c>
      <c r="L94" s="36" t="inlineStr">
        <is>
          <t>Cancelled</t>
        </is>
      </c>
      <c r="M94" s="33" t="inlineStr">
        <is>
          <t>Friends and family</t>
        </is>
      </c>
      <c r="N94" s="22">
        <f>IF(OR(H94="",L94="Cancelled"),"",IF(N(E94)=0,1,E94)*IFERROR(INDEX(Products!$E$6:$E$105,MATCH(D94,Products!$B$6:$B$105,0)),0))</f>
        <v/>
      </c>
      <c r="O94" s="35" t="n"/>
      <c r="P94" s="22">
        <f>IF(OR(H94="",L94="Cancelled"),"",ROUND(IFERROR(H94*INDEX(Settings!$C$6:$C$15,MATCH(M94,Settings!$B$6:$B$15,0))+INDEX(Settings!$D$6:$D$15,MATCH(M94,Settings!$B$6:$B$15,0)),0),2))</f>
        <v/>
      </c>
      <c r="Q94" s="28">
        <f>IF(OR(H94="",L94="Cancelled"),"",H94-N(N94)-N(O94)-N(P94))</f>
        <v/>
      </c>
      <c r="R94" s="19">
        <f>IF(OR(B94="",K94=""),"",IF(OR(L94="Sent",L94="Picked up"),"Done",IF(L94="Cancelled","Cancelled",IF(K94&lt;TODAY(),"Late by "&amp;(TODAY()-K94)&amp;IF((TODAY()-K94)=1," day"," days"),IF(K94=TODAY(),"Due today","Due in "&amp;(K94-TODAY())&amp;IF((K94-TODAY())=1," day"," days"))))))</f>
        <v/>
      </c>
      <c r="S94" s="33" t="n"/>
      <c r="T94" s="1">
        <f>IF(AND(B94&lt;&gt;"",K94&lt;&gt;"",L94&lt;&gt;"Sent",L94&lt;&gt;"Picked up",L94&lt;&gt;"Cancelled"),K94+ROW()/10000000,"")</f>
        <v/>
      </c>
      <c r="U94">
        <f>IF(OR(B94="",C94=""),"",B94+ROW()/10000000)</f>
        <v/>
      </c>
      <c r="V94">
        <f>IF(U94="","",IF(COUNTIFS(Orders!$C$6:$C$1005,C94,Orders!$U$6:$U$1005,"&gt;"&amp;U94)=0,1,0))</f>
        <v/>
      </c>
      <c r="W94">
        <f>IF(AND(B94&lt;&gt;"",K94&lt;&gt;"",L94&lt;&gt;"Sent",L94&lt;&gt;"Picked up",L94&lt;&gt;"Cancelled"),IF(N(E94)=0,1,E94),0)</f>
        <v/>
      </c>
      <c r="X94">
        <f>IF(OR(B94="",D94=""),"",IF(N(E94)=0,1,E94))</f>
        <v/>
      </c>
    </row>
    <row r="95">
      <c r="A95" s="1" t="n"/>
      <c r="B95" s="31" t="n">
        <v>46113</v>
      </c>
      <c r="C95" s="32" t="inlineStr">
        <is>
          <t>Paula Fox</t>
        </is>
      </c>
      <c r="D95" s="33" t="inlineStr">
        <is>
          <t>Soy candle 8 oz</t>
        </is>
      </c>
      <c r="E95" s="34" t="n">
        <v>2</v>
      </c>
      <c r="F95" s="35" t="n"/>
      <c r="G95" s="35" t="n">
        <v>6.95</v>
      </c>
      <c r="H95" s="30">
        <f>IF(OR(B95="",D95=""),"",IF(N(E95)=0,1,E95)*IFERROR(INDEX(Products!$C$6:$C$105,MATCH(D95,Products!$B$6:$B$105,0)),0)+N(F95)+N(G95))</f>
        <v/>
      </c>
      <c r="I95" s="35" t="n">
        <v>50.95</v>
      </c>
      <c r="J95" s="30">
        <f>IF(OR(H95="",L95="Cancelled"),"",IF(H95-N(I95)&gt;0.005,H95-N(I95),""))</f>
        <v/>
      </c>
      <c r="K95" s="31" t="n">
        <v>46123</v>
      </c>
      <c r="L95" s="36" t="inlineStr">
        <is>
          <t>Sent</t>
        </is>
      </c>
      <c r="M95" s="33" t="inlineStr">
        <is>
          <t>Own website</t>
        </is>
      </c>
      <c r="N95" s="22">
        <f>IF(OR(H95="",L95="Cancelled"),"",IF(N(E95)=0,1,E95)*IFERROR(INDEX(Products!$E$6:$E$105,MATCH(D95,Products!$B$6:$B$105,0)),0))</f>
        <v/>
      </c>
      <c r="O95" s="35" t="n">
        <v>5.44</v>
      </c>
      <c r="P95" s="22">
        <f>IF(OR(H95="",L95="Cancelled"),"",ROUND(IFERROR(H95*INDEX(Settings!$C$6:$C$15,MATCH(M95,Settings!$B$6:$B$15,0))+INDEX(Settings!$D$6:$D$15,MATCH(M95,Settings!$B$6:$B$15,0)),0),2))</f>
        <v/>
      </c>
      <c r="Q95" s="28">
        <f>IF(OR(H95="",L95="Cancelled"),"",H95-N(N95)-N(O95)-N(P95))</f>
        <v/>
      </c>
      <c r="R95" s="19">
        <f>IF(OR(B95="",K95=""),"",IF(OR(L95="Sent",L95="Picked up"),"Done",IF(L95="Cancelled","Cancelled",IF(K95&lt;TODAY(),"Late by "&amp;(TODAY()-K95)&amp;IF((TODAY()-K95)=1," day"," days"),IF(K95=TODAY(),"Due today","Due in "&amp;(K95-TODAY())&amp;IF((K95-TODAY())=1," day"," days"))))))</f>
        <v/>
      </c>
      <c r="S95" s="33" t="n"/>
      <c r="T95" s="1">
        <f>IF(AND(B95&lt;&gt;"",K95&lt;&gt;"",L95&lt;&gt;"Sent",L95&lt;&gt;"Picked up",L95&lt;&gt;"Cancelled"),K95+ROW()/10000000,"")</f>
        <v/>
      </c>
      <c r="U95">
        <f>IF(OR(B95="",C95=""),"",B95+ROW()/10000000)</f>
        <v/>
      </c>
      <c r="V95">
        <f>IF(U95="","",IF(COUNTIFS(Orders!$C$6:$C$1005,C95,Orders!$U$6:$U$1005,"&gt;"&amp;U95)=0,1,0))</f>
        <v/>
      </c>
      <c r="W95">
        <f>IF(AND(B95&lt;&gt;"",K95&lt;&gt;"",L95&lt;&gt;"Sent",L95&lt;&gt;"Picked up",L95&lt;&gt;"Cancelled"),IF(N(E95)=0,1,E95),0)</f>
        <v/>
      </c>
      <c r="X95">
        <f>IF(OR(B95="",D95=""),"",IF(N(E95)=0,1,E95))</f>
        <v/>
      </c>
    </row>
    <row r="96">
      <c r="A96" s="1" t="n"/>
      <c r="B96" s="31" t="n">
        <v>46114</v>
      </c>
      <c r="C96" s="32" t="inlineStr">
        <is>
          <t>Iris Cole</t>
        </is>
      </c>
      <c r="D96" s="33" t="inlineStr">
        <is>
          <t>Gift box</t>
        </is>
      </c>
      <c r="E96" s="34" t="n">
        <v>4</v>
      </c>
      <c r="F96" s="35" t="n"/>
      <c r="G96" s="35" t="n"/>
      <c r="H96" s="30">
        <f>IF(OR(B96="",D96=""),"",IF(N(E96)=0,1,E96)*IFERROR(INDEX(Products!$C$6:$C$105,MATCH(D96,Products!$B$6:$B$105,0)),0)+N(F96)+N(G96))</f>
        <v/>
      </c>
      <c r="I96" s="35" t="n">
        <v>180</v>
      </c>
      <c r="J96" s="30">
        <f>IF(OR(H96="",L96="Cancelled"),"",IF(H96-N(I96)&gt;0.005,H96-N(I96),""))</f>
        <v/>
      </c>
      <c r="K96" s="31" t="n">
        <v>46125</v>
      </c>
      <c r="L96" s="36" t="inlineStr">
        <is>
          <t>Picked up</t>
        </is>
      </c>
      <c r="M96" s="33" t="inlineStr">
        <is>
          <t>Craft market</t>
        </is>
      </c>
      <c r="N96" s="22">
        <f>IF(OR(H96="",L96="Cancelled"),"",IF(N(E96)=0,1,E96)*IFERROR(INDEX(Products!$E$6:$E$105,MATCH(D96,Products!$B$6:$B$105,0)),0))</f>
        <v/>
      </c>
      <c r="O96" s="35" t="n"/>
      <c r="P96" s="22">
        <f>IF(OR(H96="",L96="Cancelled"),"",ROUND(IFERROR(H96*INDEX(Settings!$C$6:$C$15,MATCH(M96,Settings!$B$6:$B$15,0))+INDEX(Settings!$D$6:$D$15,MATCH(M96,Settings!$B$6:$B$15,0)),0),2))</f>
        <v/>
      </c>
      <c r="Q96" s="28">
        <f>IF(OR(H96="",L96="Cancelled"),"",H96-N(N96)-N(O96)-N(P96))</f>
        <v/>
      </c>
      <c r="R96" s="19">
        <f>IF(OR(B96="",K96=""),"",IF(OR(L96="Sent",L96="Picked up"),"Done",IF(L96="Cancelled","Cancelled",IF(K96&lt;TODAY(),"Late by "&amp;(TODAY()-K96)&amp;IF((TODAY()-K96)=1," day"," days"),IF(K96=TODAY(),"Due today","Due in "&amp;(K96-TODAY())&amp;IF((K96-TODAY())=1," day"," days"))))))</f>
        <v/>
      </c>
      <c r="S96" s="33" t="n"/>
      <c r="T96" s="1">
        <f>IF(AND(B96&lt;&gt;"",K96&lt;&gt;"",L96&lt;&gt;"Sent",L96&lt;&gt;"Picked up",L96&lt;&gt;"Cancelled"),K96+ROW()/10000000,"")</f>
        <v/>
      </c>
      <c r="U96">
        <f>IF(OR(B96="",C96=""),"",B96+ROW()/10000000)</f>
        <v/>
      </c>
      <c r="V96">
        <f>IF(U96="","",IF(COUNTIFS(Orders!$C$6:$C$1005,C96,Orders!$U$6:$U$1005,"&gt;"&amp;U96)=0,1,0))</f>
        <v/>
      </c>
      <c r="W96">
        <f>IF(AND(B96&lt;&gt;"",K96&lt;&gt;"",L96&lt;&gt;"Sent",L96&lt;&gt;"Picked up",L96&lt;&gt;"Cancelled"),IF(N(E96)=0,1,E96),0)</f>
        <v/>
      </c>
      <c r="X96">
        <f>IF(OR(B96="",D96=""),"",IF(N(E96)=0,1,E96))</f>
        <v/>
      </c>
    </row>
    <row r="97">
      <c r="A97" s="1" t="n"/>
      <c r="B97" s="31" t="n">
        <v>46115</v>
      </c>
      <c r="C97" s="32" t="inlineStr">
        <is>
          <t>Holly Cox</t>
        </is>
      </c>
      <c r="D97" s="33" t="inlineStr">
        <is>
          <t>Soy candle 8 oz</t>
        </is>
      </c>
      <c r="E97" s="34" t="n">
        <v>1</v>
      </c>
      <c r="F97" s="35" t="n">
        <v>5</v>
      </c>
      <c r="G97" s="35" t="n">
        <v>6.95</v>
      </c>
      <c r="H97" s="30">
        <f>IF(OR(B97="",D97=""),"",IF(N(E97)=0,1,E97)*IFERROR(INDEX(Products!$C$6:$C$105,MATCH(D97,Products!$B$6:$B$105,0)),0)+N(F97)+N(G97))</f>
        <v/>
      </c>
      <c r="I97" s="35" t="n">
        <v>33.95</v>
      </c>
      <c r="J97" s="30">
        <f>IF(OR(H97="",L97="Cancelled"),"",IF(H97-N(I97)&gt;0.005,H97-N(I97),""))</f>
        <v/>
      </c>
      <c r="K97" s="31" t="n">
        <v>46127</v>
      </c>
      <c r="L97" s="36" t="inlineStr">
        <is>
          <t>Sent</t>
        </is>
      </c>
      <c r="M97" s="33" t="inlineStr">
        <is>
          <t>Etsy</t>
        </is>
      </c>
      <c r="N97" s="22">
        <f>IF(OR(H97="",L97="Cancelled"),"",IF(N(E97)=0,1,E97)*IFERROR(INDEX(Products!$E$6:$E$105,MATCH(D97,Products!$B$6:$B$105,0)),0))</f>
        <v/>
      </c>
      <c r="O97" s="35" t="n">
        <v>5.29</v>
      </c>
      <c r="P97" s="22">
        <f>IF(OR(H97="",L97="Cancelled"),"",ROUND(IFERROR(H97*INDEX(Settings!$C$6:$C$15,MATCH(M97,Settings!$B$6:$B$15,0))+INDEX(Settings!$D$6:$D$15,MATCH(M97,Settings!$B$6:$B$15,0)),0),2))</f>
        <v/>
      </c>
      <c r="Q97" s="28">
        <f>IF(OR(H97="",L97="Cancelled"),"",H97-N(N97)-N(O97)-N(P97))</f>
        <v/>
      </c>
      <c r="R97" s="19">
        <f>IF(OR(B97="",K97=""),"",IF(OR(L97="Sent",L97="Picked up"),"Done",IF(L97="Cancelled","Cancelled",IF(K97&lt;TODAY(),"Late by "&amp;(TODAY()-K97)&amp;IF((TODAY()-K97)=1," day"," days"),IF(K97=TODAY(),"Due today","Due in "&amp;(K97-TODAY())&amp;IF((K97-TODAY())=1," day"," days"))))))</f>
        <v/>
      </c>
      <c r="S97" s="33" t="inlineStr">
        <is>
          <t>Custom label</t>
        </is>
      </c>
      <c r="T97" s="1">
        <f>IF(AND(B97&lt;&gt;"",K97&lt;&gt;"",L97&lt;&gt;"Sent",L97&lt;&gt;"Picked up",L97&lt;&gt;"Cancelled"),K97+ROW()/10000000,"")</f>
        <v/>
      </c>
      <c r="U97">
        <f>IF(OR(B97="",C97=""),"",B97+ROW()/10000000)</f>
        <v/>
      </c>
      <c r="V97">
        <f>IF(U97="","",IF(COUNTIFS(Orders!$C$6:$C$1005,C97,Orders!$U$6:$U$1005,"&gt;"&amp;U97)=0,1,0))</f>
        <v/>
      </c>
      <c r="W97">
        <f>IF(AND(B97&lt;&gt;"",K97&lt;&gt;"",L97&lt;&gt;"Sent",L97&lt;&gt;"Picked up",L97&lt;&gt;"Cancelled"),IF(N(E97)=0,1,E97),0)</f>
        <v/>
      </c>
      <c r="X97">
        <f>IF(OR(B97="",D97=""),"",IF(N(E97)=0,1,E97))</f>
        <v/>
      </c>
    </row>
    <row r="98">
      <c r="A98" s="1" t="n"/>
      <c r="B98" s="31" t="n">
        <v>46115</v>
      </c>
      <c r="C98" s="32" t="inlineStr">
        <is>
          <t>Nora Lewis</t>
        </is>
      </c>
      <c r="D98" s="33" t="inlineStr">
        <is>
          <t>Soy candle 16 oz</t>
        </is>
      </c>
      <c r="E98" s="34" t="n">
        <v>2</v>
      </c>
      <c r="F98" s="35" t="n"/>
      <c r="G98" s="35" t="n"/>
      <c r="H98" s="30">
        <f>IF(OR(B98="",D98=""),"",IF(N(E98)=0,1,E98)*IFERROR(INDEX(Products!$C$6:$C$105,MATCH(D98,Products!$B$6:$B$105,0)),0)+N(F98)+N(G98))</f>
        <v/>
      </c>
      <c r="I98" s="35" t="n">
        <v>68</v>
      </c>
      <c r="J98" s="30">
        <f>IF(OR(H98="",L98="Cancelled"),"",IF(H98-N(I98)&gt;0.005,H98-N(I98),""))</f>
        <v/>
      </c>
      <c r="K98" s="31" t="n">
        <v>46120</v>
      </c>
      <c r="L98" s="36" t="inlineStr">
        <is>
          <t>Picked up</t>
        </is>
      </c>
      <c r="M98" s="33" t="inlineStr">
        <is>
          <t>Friends and family</t>
        </is>
      </c>
      <c r="N98" s="22">
        <f>IF(OR(H98="",L98="Cancelled"),"",IF(N(E98)=0,1,E98)*IFERROR(INDEX(Products!$E$6:$E$105,MATCH(D98,Products!$B$6:$B$105,0)),0))</f>
        <v/>
      </c>
      <c r="O98" s="35" t="n"/>
      <c r="P98" s="22">
        <f>IF(OR(H98="",L98="Cancelled"),"",ROUND(IFERROR(H98*INDEX(Settings!$C$6:$C$15,MATCH(M98,Settings!$B$6:$B$15,0))+INDEX(Settings!$D$6:$D$15,MATCH(M98,Settings!$B$6:$B$15,0)),0),2))</f>
        <v/>
      </c>
      <c r="Q98" s="28">
        <f>IF(OR(H98="",L98="Cancelled"),"",H98-N(N98)-N(O98)-N(P98))</f>
        <v/>
      </c>
      <c r="R98" s="19">
        <f>IF(OR(B98="",K98=""),"",IF(OR(L98="Sent",L98="Picked up"),"Done",IF(L98="Cancelled","Cancelled",IF(K98&lt;TODAY(),"Late by "&amp;(TODAY()-K98)&amp;IF((TODAY()-K98)=1," day"," days"),IF(K98=TODAY(),"Due today","Due in "&amp;(K98-TODAY())&amp;IF((K98-TODAY())=1," day"," days"))))))</f>
        <v/>
      </c>
      <c r="S98" s="33" t="n"/>
      <c r="T98" s="1">
        <f>IF(AND(B98&lt;&gt;"",K98&lt;&gt;"",L98&lt;&gt;"Sent",L98&lt;&gt;"Picked up",L98&lt;&gt;"Cancelled"),K98+ROW()/10000000,"")</f>
        <v/>
      </c>
      <c r="U98">
        <f>IF(OR(B98="",C98=""),"",B98+ROW()/10000000)</f>
        <v/>
      </c>
      <c r="V98">
        <f>IF(U98="","",IF(COUNTIFS(Orders!$C$6:$C$1005,C98,Orders!$U$6:$U$1005,"&gt;"&amp;U98)=0,1,0))</f>
        <v/>
      </c>
      <c r="W98">
        <f>IF(AND(B98&lt;&gt;"",K98&lt;&gt;"",L98&lt;&gt;"Sent",L98&lt;&gt;"Picked up",L98&lt;&gt;"Cancelled"),IF(N(E98)=0,1,E98),0)</f>
        <v/>
      </c>
      <c r="X98">
        <f>IF(OR(B98="",D98=""),"",IF(N(E98)=0,1,E98))</f>
        <v/>
      </c>
    </row>
    <row r="99">
      <c r="A99" s="1" t="n"/>
      <c r="B99" s="31" t="n">
        <v>46116</v>
      </c>
      <c r="C99" s="32" t="inlineStr">
        <is>
          <t>Paula Mills</t>
        </is>
      </c>
      <c r="D99" s="33" t="inlineStr">
        <is>
          <t>Soap bar</t>
        </is>
      </c>
      <c r="E99" s="34" t="n">
        <v>1</v>
      </c>
      <c r="F99" s="35" t="n"/>
      <c r="G99" s="35" t="n"/>
      <c r="H99" s="30">
        <f>IF(OR(B99="",D99=""),"",IF(N(E99)=0,1,E99)*IFERROR(INDEX(Products!$C$6:$C$105,MATCH(D99,Products!$B$6:$B$105,0)),0)+N(F99)+N(G99))</f>
        <v/>
      </c>
      <c r="I99" s="35" t="n">
        <v>8</v>
      </c>
      <c r="J99" s="30">
        <f>IF(OR(H99="",L99="Cancelled"),"",IF(H99-N(I99)&gt;0.005,H99-N(I99),""))</f>
        <v/>
      </c>
      <c r="K99" s="31" t="n">
        <v>46120</v>
      </c>
      <c r="L99" s="36" t="inlineStr">
        <is>
          <t>Picked up</t>
        </is>
      </c>
      <c r="M99" s="33" t="inlineStr">
        <is>
          <t>Instagram</t>
        </is>
      </c>
      <c r="N99" s="22">
        <f>IF(OR(H99="",L99="Cancelled"),"",IF(N(E99)=0,1,E99)*IFERROR(INDEX(Products!$E$6:$E$105,MATCH(D99,Products!$B$6:$B$105,0)),0))</f>
        <v/>
      </c>
      <c r="O99" s="35" t="n"/>
      <c r="P99" s="22">
        <f>IF(OR(H99="",L99="Cancelled"),"",ROUND(IFERROR(H99*INDEX(Settings!$C$6:$C$15,MATCH(M99,Settings!$B$6:$B$15,0))+INDEX(Settings!$D$6:$D$15,MATCH(M99,Settings!$B$6:$B$15,0)),0),2))</f>
        <v/>
      </c>
      <c r="Q99" s="28">
        <f>IF(OR(H99="",L99="Cancelled"),"",H99-N(N99)-N(O99)-N(P99))</f>
        <v/>
      </c>
      <c r="R99" s="19">
        <f>IF(OR(B99="",K99=""),"",IF(OR(L99="Sent",L99="Picked up"),"Done",IF(L99="Cancelled","Cancelled",IF(K99&lt;TODAY(),"Late by "&amp;(TODAY()-K99)&amp;IF((TODAY()-K99)=1," day"," days"),IF(K99=TODAY(),"Due today","Due in "&amp;(K99-TODAY())&amp;IF((K99-TODAY())=1," day"," days"))))))</f>
        <v/>
      </c>
      <c r="S99" s="33" t="n"/>
      <c r="T99" s="1">
        <f>IF(AND(B99&lt;&gt;"",K99&lt;&gt;"",L99&lt;&gt;"Sent",L99&lt;&gt;"Picked up",L99&lt;&gt;"Cancelled"),K99+ROW()/10000000,"")</f>
        <v/>
      </c>
      <c r="U99">
        <f>IF(OR(B99="",C99=""),"",B99+ROW()/10000000)</f>
        <v/>
      </c>
      <c r="V99">
        <f>IF(U99="","",IF(COUNTIFS(Orders!$C$6:$C$1005,C99,Orders!$U$6:$U$1005,"&gt;"&amp;U99)=0,1,0))</f>
        <v/>
      </c>
      <c r="W99">
        <f>IF(AND(B99&lt;&gt;"",K99&lt;&gt;"",L99&lt;&gt;"Sent",L99&lt;&gt;"Picked up",L99&lt;&gt;"Cancelled"),IF(N(E99)=0,1,E99),0)</f>
        <v/>
      </c>
      <c r="X99">
        <f>IF(OR(B99="",D99=""),"",IF(N(E99)=0,1,E99))</f>
        <v/>
      </c>
    </row>
    <row r="100">
      <c r="A100" s="1" t="n"/>
      <c r="B100" s="31" t="n">
        <v>46117</v>
      </c>
      <c r="C100" s="32" t="inlineStr">
        <is>
          <t>Holly Cox</t>
        </is>
      </c>
      <c r="D100" s="33" t="inlineStr">
        <is>
          <t>Wax melts, 6 pack</t>
        </is>
      </c>
      <c r="E100" s="34" t="n">
        <v>2</v>
      </c>
      <c r="F100" s="35" t="n"/>
      <c r="G100" s="35" t="n"/>
      <c r="H100" s="30">
        <f>IF(OR(B100="",D100=""),"",IF(N(E100)=0,1,E100)*IFERROR(INDEX(Products!$C$6:$C$105,MATCH(D100,Products!$B$6:$B$105,0)),0)+N(F100)+N(G100))</f>
        <v/>
      </c>
      <c r="I100" s="35" t="n">
        <v>18</v>
      </c>
      <c r="J100" s="30">
        <f>IF(OR(H100="",L100="Cancelled"),"",IF(H100-N(I100)&gt;0.005,H100-N(I100),""))</f>
        <v/>
      </c>
      <c r="K100" s="31" t="n">
        <v>46124</v>
      </c>
      <c r="L100" s="36" t="inlineStr">
        <is>
          <t>Picked up</t>
        </is>
      </c>
      <c r="M100" s="33" t="inlineStr">
        <is>
          <t>Craft market</t>
        </is>
      </c>
      <c r="N100" s="22">
        <f>IF(OR(H100="",L100="Cancelled"),"",IF(N(E100)=0,1,E100)*IFERROR(INDEX(Products!$E$6:$E$105,MATCH(D100,Products!$B$6:$B$105,0)),0))</f>
        <v/>
      </c>
      <c r="O100" s="35" t="n"/>
      <c r="P100" s="22">
        <f>IF(OR(H100="",L100="Cancelled"),"",ROUND(IFERROR(H100*INDEX(Settings!$C$6:$C$15,MATCH(M100,Settings!$B$6:$B$15,0))+INDEX(Settings!$D$6:$D$15,MATCH(M100,Settings!$B$6:$B$15,0)),0),2))</f>
        <v/>
      </c>
      <c r="Q100" s="28">
        <f>IF(OR(H100="",L100="Cancelled"),"",H100-N(N100)-N(O100)-N(P100))</f>
        <v/>
      </c>
      <c r="R100" s="19">
        <f>IF(OR(B100="",K100=""),"",IF(OR(L100="Sent",L100="Picked up"),"Done",IF(L100="Cancelled","Cancelled",IF(K100&lt;TODAY(),"Late by "&amp;(TODAY()-K100)&amp;IF((TODAY()-K100)=1," day"," days"),IF(K100=TODAY(),"Due today","Due in "&amp;(K100-TODAY())&amp;IF((K100-TODAY())=1," day"," days"))))))</f>
        <v/>
      </c>
      <c r="S100" s="33" t="n"/>
      <c r="T100" s="1">
        <f>IF(AND(B100&lt;&gt;"",K100&lt;&gt;"",L100&lt;&gt;"Sent",L100&lt;&gt;"Picked up",L100&lt;&gt;"Cancelled"),K100+ROW()/10000000,"")</f>
        <v/>
      </c>
      <c r="U100">
        <f>IF(OR(B100="",C100=""),"",B100+ROW()/10000000)</f>
        <v/>
      </c>
      <c r="V100">
        <f>IF(U100="","",IF(COUNTIFS(Orders!$C$6:$C$1005,C100,Orders!$U$6:$U$1005,"&gt;"&amp;U100)=0,1,0))</f>
        <v/>
      </c>
      <c r="W100">
        <f>IF(AND(B100&lt;&gt;"",K100&lt;&gt;"",L100&lt;&gt;"Sent",L100&lt;&gt;"Picked up",L100&lt;&gt;"Cancelled"),IF(N(E100)=0,1,E100),0)</f>
        <v/>
      </c>
      <c r="X100">
        <f>IF(OR(B100="",D100=""),"",IF(N(E100)=0,1,E100))</f>
        <v/>
      </c>
    </row>
    <row r="101">
      <c r="A101" s="1" t="n"/>
      <c r="B101" s="31" t="n">
        <v>46119</v>
      </c>
      <c r="C101" s="32" t="inlineStr">
        <is>
          <t>George Price</t>
        </is>
      </c>
      <c r="D101" s="33" t="inlineStr">
        <is>
          <t>Soy candle 16 oz</t>
        </is>
      </c>
      <c r="E101" s="34" t="n">
        <v>1</v>
      </c>
      <c r="F101" s="35" t="n"/>
      <c r="G101" s="35" t="n"/>
      <c r="H101" s="30">
        <f>IF(OR(B101="",D101=""),"",IF(N(E101)=0,1,E101)*IFERROR(INDEX(Products!$C$6:$C$105,MATCH(D101,Products!$B$6:$B$105,0)),0)+N(F101)+N(G101))</f>
        <v/>
      </c>
      <c r="I101" s="35" t="n">
        <v>34</v>
      </c>
      <c r="J101" s="30">
        <f>IF(OR(H101="",L101="Cancelled"),"",IF(H101-N(I101)&gt;0.005,H101-N(I101),""))</f>
        <v/>
      </c>
      <c r="K101" s="31" t="n">
        <v>46130</v>
      </c>
      <c r="L101" s="36" t="inlineStr">
        <is>
          <t>Picked up</t>
        </is>
      </c>
      <c r="M101" s="33" t="inlineStr">
        <is>
          <t>Instagram</t>
        </is>
      </c>
      <c r="N101" s="22">
        <f>IF(OR(H101="",L101="Cancelled"),"",IF(N(E101)=0,1,E101)*IFERROR(INDEX(Products!$E$6:$E$105,MATCH(D101,Products!$B$6:$B$105,0)),0))</f>
        <v/>
      </c>
      <c r="O101" s="35" t="n"/>
      <c r="P101" s="22">
        <f>IF(OR(H101="",L101="Cancelled"),"",ROUND(IFERROR(H101*INDEX(Settings!$C$6:$C$15,MATCH(M101,Settings!$B$6:$B$15,0))+INDEX(Settings!$D$6:$D$15,MATCH(M101,Settings!$B$6:$B$15,0)),0),2))</f>
        <v/>
      </c>
      <c r="Q101" s="28">
        <f>IF(OR(H101="",L101="Cancelled"),"",H101-N(N101)-N(O101)-N(P101))</f>
        <v/>
      </c>
      <c r="R101" s="19">
        <f>IF(OR(B101="",K101=""),"",IF(OR(L101="Sent",L101="Picked up"),"Done",IF(L101="Cancelled","Cancelled",IF(K101&lt;TODAY(),"Late by "&amp;(TODAY()-K101)&amp;IF((TODAY()-K101)=1," day"," days"),IF(K101=TODAY(),"Due today","Due in "&amp;(K101-TODAY())&amp;IF((K101-TODAY())=1," day"," days"))))))</f>
        <v/>
      </c>
      <c r="S101" s="33" t="n"/>
      <c r="T101" s="1">
        <f>IF(AND(B101&lt;&gt;"",K101&lt;&gt;"",L101&lt;&gt;"Sent",L101&lt;&gt;"Picked up",L101&lt;&gt;"Cancelled"),K101+ROW()/10000000,"")</f>
        <v/>
      </c>
      <c r="U101">
        <f>IF(OR(B101="",C101=""),"",B101+ROW()/10000000)</f>
        <v/>
      </c>
      <c r="V101">
        <f>IF(U101="","",IF(COUNTIFS(Orders!$C$6:$C$1005,C101,Orders!$U$6:$U$1005,"&gt;"&amp;U101)=0,1,0))</f>
        <v/>
      </c>
      <c r="W101">
        <f>IF(AND(B101&lt;&gt;"",K101&lt;&gt;"",L101&lt;&gt;"Sent",L101&lt;&gt;"Picked up",L101&lt;&gt;"Cancelled"),IF(N(E101)=0,1,E101),0)</f>
        <v/>
      </c>
      <c r="X101">
        <f>IF(OR(B101="",D101=""),"",IF(N(E101)=0,1,E101))</f>
        <v/>
      </c>
    </row>
    <row r="102">
      <c r="A102" s="1" t="n"/>
      <c r="B102" s="31" t="n">
        <v>46120</v>
      </c>
      <c r="C102" s="32" t="inlineStr">
        <is>
          <t>Ian Adams</t>
        </is>
      </c>
      <c r="D102" s="33" t="inlineStr">
        <is>
          <t>Soy candle 8 oz</t>
        </is>
      </c>
      <c r="E102" s="34" t="n">
        <v>1</v>
      </c>
      <c r="F102" s="35" t="n"/>
      <c r="G102" s="35" t="n"/>
      <c r="H102" s="30">
        <f>IF(OR(B102="",D102=""),"",IF(N(E102)=0,1,E102)*IFERROR(INDEX(Products!$C$6:$C$105,MATCH(D102,Products!$B$6:$B$105,0)),0)+N(F102)+N(G102))</f>
        <v/>
      </c>
      <c r="I102" s="35" t="n">
        <v>22</v>
      </c>
      <c r="J102" s="30">
        <f>IF(OR(H102="",L102="Cancelled"),"",IF(H102-N(I102)&gt;0.005,H102-N(I102),""))</f>
        <v/>
      </c>
      <c r="K102" s="31" t="n">
        <v>46129</v>
      </c>
      <c r="L102" s="36" t="inlineStr">
        <is>
          <t>Picked up</t>
        </is>
      </c>
      <c r="M102" s="33" t="inlineStr">
        <is>
          <t>Friends and family</t>
        </is>
      </c>
      <c r="N102" s="22">
        <f>IF(OR(H102="",L102="Cancelled"),"",IF(N(E102)=0,1,E102)*IFERROR(INDEX(Products!$E$6:$E$105,MATCH(D102,Products!$B$6:$B$105,0)),0))</f>
        <v/>
      </c>
      <c r="O102" s="35" t="n"/>
      <c r="P102" s="22">
        <f>IF(OR(H102="",L102="Cancelled"),"",ROUND(IFERROR(H102*INDEX(Settings!$C$6:$C$15,MATCH(M102,Settings!$B$6:$B$15,0))+INDEX(Settings!$D$6:$D$15,MATCH(M102,Settings!$B$6:$B$15,0)),0),2))</f>
        <v/>
      </c>
      <c r="Q102" s="28">
        <f>IF(OR(H102="",L102="Cancelled"),"",H102-N(N102)-N(O102)-N(P102))</f>
        <v/>
      </c>
      <c r="R102" s="19">
        <f>IF(OR(B102="",K102=""),"",IF(OR(L102="Sent",L102="Picked up"),"Done",IF(L102="Cancelled","Cancelled",IF(K102&lt;TODAY(),"Late by "&amp;(TODAY()-K102)&amp;IF((TODAY()-K102)=1," day"," days"),IF(K102=TODAY(),"Due today","Due in "&amp;(K102-TODAY())&amp;IF((K102-TODAY())=1," day"," days"))))))</f>
        <v/>
      </c>
      <c r="S102" s="33" t="n"/>
      <c r="T102" s="1">
        <f>IF(AND(B102&lt;&gt;"",K102&lt;&gt;"",L102&lt;&gt;"Sent",L102&lt;&gt;"Picked up",L102&lt;&gt;"Cancelled"),K102+ROW()/10000000,"")</f>
        <v/>
      </c>
      <c r="U102">
        <f>IF(OR(B102="",C102=""),"",B102+ROW()/10000000)</f>
        <v/>
      </c>
      <c r="V102">
        <f>IF(U102="","",IF(COUNTIFS(Orders!$C$6:$C$1005,C102,Orders!$U$6:$U$1005,"&gt;"&amp;U102)=0,1,0))</f>
        <v/>
      </c>
      <c r="W102">
        <f>IF(AND(B102&lt;&gt;"",K102&lt;&gt;"",L102&lt;&gt;"Sent",L102&lt;&gt;"Picked up",L102&lt;&gt;"Cancelled"),IF(N(E102)=0,1,E102),0)</f>
        <v/>
      </c>
      <c r="X102">
        <f>IF(OR(B102="",D102=""),"",IF(N(E102)=0,1,E102))</f>
        <v/>
      </c>
    </row>
    <row r="103">
      <c r="A103" s="1" t="n"/>
      <c r="B103" s="31" t="n">
        <v>46121</v>
      </c>
      <c r="C103" s="32" t="inlineStr">
        <is>
          <t>Dina Murphy</t>
        </is>
      </c>
      <c r="D103" s="33" t="inlineStr">
        <is>
          <t>Soap bar</t>
        </is>
      </c>
      <c r="E103" s="34" t="n">
        <v>2</v>
      </c>
      <c r="F103" s="35" t="n"/>
      <c r="G103" s="35" t="n"/>
      <c r="H103" s="30">
        <f>IF(OR(B103="",D103=""),"",IF(N(E103)=0,1,E103)*IFERROR(INDEX(Products!$C$6:$C$105,MATCH(D103,Products!$B$6:$B$105,0)),0)+N(F103)+N(G103))</f>
        <v/>
      </c>
      <c r="I103" s="35" t="n">
        <v>16</v>
      </c>
      <c r="J103" s="30">
        <f>IF(OR(H103="",L103="Cancelled"),"",IF(H103-N(I103)&gt;0.005,H103-N(I103),""))</f>
        <v/>
      </c>
      <c r="K103" s="31" t="n">
        <v>46133</v>
      </c>
      <c r="L103" s="36" t="inlineStr">
        <is>
          <t>Cancelled</t>
        </is>
      </c>
      <c r="M103" s="33" t="inlineStr">
        <is>
          <t>Instagram</t>
        </is>
      </c>
      <c r="N103" s="22">
        <f>IF(OR(H103="",L103="Cancelled"),"",IF(N(E103)=0,1,E103)*IFERROR(INDEX(Products!$E$6:$E$105,MATCH(D103,Products!$B$6:$B$105,0)),0))</f>
        <v/>
      </c>
      <c r="O103" s="35" t="n"/>
      <c r="P103" s="22">
        <f>IF(OR(H103="",L103="Cancelled"),"",ROUND(IFERROR(H103*INDEX(Settings!$C$6:$C$15,MATCH(M103,Settings!$B$6:$B$15,0))+INDEX(Settings!$D$6:$D$15,MATCH(M103,Settings!$B$6:$B$15,0)),0),2))</f>
        <v/>
      </c>
      <c r="Q103" s="28">
        <f>IF(OR(H103="",L103="Cancelled"),"",H103-N(N103)-N(O103)-N(P103))</f>
        <v/>
      </c>
      <c r="R103" s="19">
        <f>IF(OR(B103="",K103=""),"",IF(OR(L103="Sent",L103="Picked up"),"Done",IF(L103="Cancelled","Cancelled",IF(K103&lt;TODAY(),"Late by "&amp;(TODAY()-K103)&amp;IF((TODAY()-K103)=1," day"," days"),IF(K103=TODAY(),"Due today","Due in "&amp;(K103-TODAY())&amp;IF((K103-TODAY())=1," day"," days"))))))</f>
        <v/>
      </c>
      <c r="S103" s="33" t="n"/>
      <c r="T103" s="1">
        <f>IF(AND(B103&lt;&gt;"",K103&lt;&gt;"",L103&lt;&gt;"Sent",L103&lt;&gt;"Picked up",L103&lt;&gt;"Cancelled"),K103+ROW()/10000000,"")</f>
        <v/>
      </c>
      <c r="U103">
        <f>IF(OR(B103="",C103=""),"",B103+ROW()/10000000)</f>
        <v/>
      </c>
      <c r="V103">
        <f>IF(U103="","",IF(COUNTIFS(Orders!$C$6:$C$1005,C103,Orders!$U$6:$U$1005,"&gt;"&amp;U103)=0,1,0))</f>
        <v/>
      </c>
      <c r="W103">
        <f>IF(AND(B103&lt;&gt;"",K103&lt;&gt;"",L103&lt;&gt;"Sent",L103&lt;&gt;"Picked up",L103&lt;&gt;"Cancelled"),IF(N(E103)=0,1,E103),0)</f>
        <v/>
      </c>
      <c r="X103">
        <f>IF(OR(B103="",D103=""),"",IF(N(E103)=0,1,E103))</f>
        <v/>
      </c>
    </row>
    <row r="104">
      <c r="A104" s="1" t="n"/>
      <c r="B104" s="31" t="n">
        <v>46122</v>
      </c>
      <c r="C104" s="32" t="inlineStr">
        <is>
          <t>Paula Morgan</t>
        </is>
      </c>
      <c r="D104" s="33" t="inlineStr">
        <is>
          <t>Gift box</t>
        </is>
      </c>
      <c r="E104" s="34" t="n">
        <v>1</v>
      </c>
      <c r="F104" s="35" t="n"/>
      <c r="G104" s="35" t="n">
        <v>6.95</v>
      </c>
      <c r="H104" s="30">
        <f>IF(OR(B104="",D104=""),"",IF(N(E104)=0,1,E104)*IFERROR(INDEX(Products!$C$6:$C$105,MATCH(D104,Products!$B$6:$B$105,0)),0)+N(F104)+N(G104))</f>
        <v/>
      </c>
      <c r="I104" s="35" t="n">
        <v>51.95</v>
      </c>
      <c r="J104" s="30">
        <f>IF(OR(H104="",L104="Cancelled"),"",IF(H104-N(I104)&gt;0.005,H104-N(I104),""))</f>
        <v/>
      </c>
      <c r="K104" s="31" t="n">
        <v>46129</v>
      </c>
      <c r="L104" s="36" t="inlineStr">
        <is>
          <t>Sent</t>
        </is>
      </c>
      <c r="M104" s="33" t="inlineStr">
        <is>
          <t>Etsy</t>
        </is>
      </c>
      <c r="N104" s="22">
        <f>IF(OR(H104="",L104="Cancelled"),"",IF(N(E104)=0,1,E104)*IFERROR(INDEX(Products!$E$6:$E$105,MATCH(D104,Products!$B$6:$B$105,0)),0))</f>
        <v/>
      </c>
      <c r="O104" s="35" t="n">
        <v>6.86</v>
      </c>
      <c r="P104" s="22">
        <f>IF(OR(H104="",L104="Cancelled"),"",ROUND(IFERROR(H104*INDEX(Settings!$C$6:$C$15,MATCH(M104,Settings!$B$6:$B$15,0))+INDEX(Settings!$D$6:$D$15,MATCH(M104,Settings!$B$6:$B$15,0)),0),2))</f>
        <v/>
      </c>
      <c r="Q104" s="28">
        <f>IF(OR(H104="",L104="Cancelled"),"",H104-N(N104)-N(O104)-N(P104))</f>
        <v/>
      </c>
      <c r="R104" s="19">
        <f>IF(OR(B104="",K104=""),"",IF(OR(L104="Sent",L104="Picked up"),"Done",IF(L104="Cancelled","Cancelled",IF(K104&lt;TODAY(),"Late by "&amp;(TODAY()-K104)&amp;IF((TODAY()-K104)=1," day"," days"),IF(K104=TODAY(),"Due today","Due in "&amp;(K104-TODAY())&amp;IF((K104-TODAY())=1," day"," days"))))))</f>
        <v/>
      </c>
      <c r="S104" s="33" t="n"/>
      <c r="T104" s="1">
        <f>IF(AND(B104&lt;&gt;"",K104&lt;&gt;"",L104&lt;&gt;"Sent",L104&lt;&gt;"Picked up",L104&lt;&gt;"Cancelled"),K104+ROW()/10000000,"")</f>
        <v/>
      </c>
      <c r="U104">
        <f>IF(OR(B104="",C104=""),"",B104+ROW()/10000000)</f>
        <v/>
      </c>
      <c r="V104">
        <f>IF(U104="","",IF(COUNTIFS(Orders!$C$6:$C$1005,C104,Orders!$U$6:$U$1005,"&gt;"&amp;U104)=0,1,0))</f>
        <v/>
      </c>
      <c r="W104">
        <f>IF(AND(B104&lt;&gt;"",K104&lt;&gt;"",L104&lt;&gt;"Sent",L104&lt;&gt;"Picked up",L104&lt;&gt;"Cancelled"),IF(N(E104)=0,1,E104),0)</f>
        <v/>
      </c>
      <c r="X104">
        <f>IF(OR(B104="",D104=""),"",IF(N(E104)=0,1,E104))</f>
        <v/>
      </c>
    </row>
    <row r="105">
      <c r="A105" s="1" t="n"/>
      <c r="B105" s="31" t="n">
        <v>46123</v>
      </c>
      <c r="C105" s="32" t="inlineStr">
        <is>
          <t>Paula Morgan</t>
        </is>
      </c>
      <c r="D105" s="33" t="inlineStr">
        <is>
          <t>Soy candle 8 oz</t>
        </is>
      </c>
      <c r="E105" s="34" t="n">
        <v>4</v>
      </c>
      <c r="F105" s="35" t="n"/>
      <c r="G105" s="35" t="n">
        <v>6.95</v>
      </c>
      <c r="H105" s="30">
        <f>IF(OR(B105="",D105=""),"",IF(N(E105)=0,1,E105)*IFERROR(INDEX(Products!$C$6:$C$105,MATCH(D105,Products!$B$6:$B$105,0)),0)+N(F105)+N(G105))</f>
        <v/>
      </c>
      <c r="I105" s="35" t="n">
        <v>94.95</v>
      </c>
      <c r="J105" s="30">
        <f>IF(OR(H105="",L105="Cancelled"),"",IF(H105-N(I105)&gt;0.005,H105-N(I105),""))</f>
        <v/>
      </c>
      <c r="K105" s="31" t="n">
        <v>46132</v>
      </c>
      <c r="L105" s="36" t="inlineStr">
        <is>
          <t>Sent</t>
        </is>
      </c>
      <c r="M105" s="33" t="inlineStr">
        <is>
          <t>Etsy</t>
        </is>
      </c>
      <c r="N105" s="22">
        <f>IF(OR(H105="",L105="Cancelled"),"",IF(N(E105)=0,1,E105)*IFERROR(INDEX(Products!$E$6:$E$105,MATCH(D105,Products!$B$6:$B$105,0)),0))</f>
        <v/>
      </c>
      <c r="O105" s="35" t="n">
        <v>6.95</v>
      </c>
      <c r="P105" s="22">
        <f>IF(OR(H105="",L105="Cancelled"),"",ROUND(IFERROR(H105*INDEX(Settings!$C$6:$C$15,MATCH(M105,Settings!$B$6:$B$15,0))+INDEX(Settings!$D$6:$D$15,MATCH(M105,Settings!$B$6:$B$15,0)),0),2))</f>
        <v/>
      </c>
      <c r="Q105" s="28">
        <f>IF(OR(H105="",L105="Cancelled"),"",H105-N(N105)-N(O105)-N(P105))</f>
        <v/>
      </c>
      <c r="R105" s="19">
        <f>IF(OR(B105="",K105=""),"",IF(OR(L105="Sent",L105="Picked up"),"Done",IF(L105="Cancelled","Cancelled",IF(K105&lt;TODAY(),"Late by "&amp;(TODAY()-K105)&amp;IF((TODAY()-K105)=1," day"," days"),IF(K105=TODAY(),"Due today","Due in "&amp;(K105-TODAY())&amp;IF((K105-TODAY())=1," day"," days"))))))</f>
        <v/>
      </c>
      <c r="S105" s="33" t="n"/>
      <c r="T105" s="1">
        <f>IF(AND(B105&lt;&gt;"",K105&lt;&gt;"",L105&lt;&gt;"Sent",L105&lt;&gt;"Picked up",L105&lt;&gt;"Cancelled"),K105+ROW()/10000000,"")</f>
        <v/>
      </c>
      <c r="U105">
        <f>IF(OR(B105="",C105=""),"",B105+ROW()/10000000)</f>
        <v/>
      </c>
      <c r="V105">
        <f>IF(U105="","",IF(COUNTIFS(Orders!$C$6:$C$1005,C105,Orders!$U$6:$U$1005,"&gt;"&amp;U105)=0,1,0))</f>
        <v/>
      </c>
      <c r="W105">
        <f>IF(AND(B105&lt;&gt;"",K105&lt;&gt;"",L105&lt;&gt;"Sent",L105&lt;&gt;"Picked up",L105&lt;&gt;"Cancelled"),IF(N(E105)=0,1,E105),0)</f>
        <v/>
      </c>
      <c r="X105">
        <f>IF(OR(B105="",D105=""),"",IF(N(E105)=0,1,E105))</f>
        <v/>
      </c>
    </row>
    <row r="106">
      <c r="A106" s="1" t="n"/>
      <c r="B106" s="31" t="n">
        <v>46124</v>
      </c>
      <c r="C106" s="32" t="inlineStr">
        <is>
          <t>Adam Davies</t>
        </is>
      </c>
      <c r="D106" s="33" t="inlineStr">
        <is>
          <t>Soy candle 8 oz</t>
        </is>
      </c>
      <c r="E106" s="34" t="n">
        <v>1</v>
      </c>
      <c r="F106" s="35" t="n"/>
      <c r="G106" s="35" t="n">
        <v>6.95</v>
      </c>
      <c r="H106" s="30">
        <f>IF(OR(B106="",D106=""),"",IF(N(E106)=0,1,E106)*IFERROR(INDEX(Products!$C$6:$C$105,MATCH(D106,Products!$B$6:$B$105,0)),0)+N(F106)+N(G106))</f>
        <v/>
      </c>
      <c r="I106" s="35" t="n">
        <v>28.95</v>
      </c>
      <c r="J106" s="30">
        <f>IF(OR(H106="",L106="Cancelled"),"",IF(H106-N(I106)&gt;0.005,H106-N(I106),""))</f>
        <v/>
      </c>
      <c r="K106" s="31" t="n">
        <v>46133</v>
      </c>
      <c r="L106" s="36" t="inlineStr">
        <is>
          <t>Sent</t>
        </is>
      </c>
      <c r="M106" s="33" t="inlineStr">
        <is>
          <t>Etsy</t>
        </is>
      </c>
      <c r="N106" s="22">
        <f>IF(OR(H106="",L106="Cancelled"),"",IF(N(E106)=0,1,E106)*IFERROR(INDEX(Products!$E$6:$E$105,MATCH(D106,Products!$B$6:$B$105,0)),0))</f>
        <v/>
      </c>
      <c r="O106" s="35" t="n">
        <v>5.29</v>
      </c>
      <c r="P106" s="22">
        <f>IF(OR(H106="",L106="Cancelled"),"",ROUND(IFERROR(H106*INDEX(Settings!$C$6:$C$15,MATCH(M106,Settings!$B$6:$B$15,0))+INDEX(Settings!$D$6:$D$15,MATCH(M106,Settings!$B$6:$B$15,0)),0),2))</f>
        <v/>
      </c>
      <c r="Q106" s="28">
        <f>IF(OR(H106="",L106="Cancelled"),"",H106-N(N106)-N(O106)-N(P106))</f>
        <v/>
      </c>
      <c r="R106" s="19">
        <f>IF(OR(B106="",K106=""),"",IF(OR(L106="Sent",L106="Picked up"),"Done",IF(L106="Cancelled","Cancelled",IF(K106&lt;TODAY(),"Late by "&amp;(TODAY()-K106)&amp;IF((TODAY()-K106)=1," day"," days"),IF(K106=TODAY(),"Due today","Due in "&amp;(K106-TODAY())&amp;IF((K106-TODAY())=1," day"," days"))))))</f>
        <v/>
      </c>
      <c r="S106" s="33" t="n"/>
      <c r="T106" s="1">
        <f>IF(AND(B106&lt;&gt;"",K106&lt;&gt;"",L106&lt;&gt;"Sent",L106&lt;&gt;"Picked up",L106&lt;&gt;"Cancelled"),K106+ROW()/10000000,"")</f>
        <v/>
      </c>
      <c r="U106">
        <f>IF(OR(B106="",C106=""),"",B106+ROW()/10000000)</f>
        <v/>
      </c>
      <c r="V106">
        <f>IF(U106="","",IF(COUNTIFS(Orders!$C$6:$C$1005,C106,Orders!$U$6:$U$1005,"&gt;"&amp;U106)=0,1,0))</f>
        <v/>
      </c>
      <c r="W106">
        <f>IF(AND(B106&lt;&gt;"",K106&lt;&gt;"",L106&lt;&gt;"Sent",L106&lt;&gt;"Picked up",L106&lt;&gt;"Cancelled"),IF(N(E106)=0,1,E106),0)</f>
        <v/>
      </c>
      <c r="X106">
        <f>IF(OR(B106="",D106=""),"",IF(N(E106)=0,1,E106))</f>
        <v/>
      </c>
    </row>
    <row r="107">
      <c r="A107" s="1" t="n"/>
      <c r="B107" s="31" t="n">
        <v>46125</v>
      </c>
      <c r="C107" s="32" t="inlineStr">
        <is>
          <t>Leah Hill</t>
        </is>
      </c>
      <c r="D107" s="33" t="inlineStr">
        <is>
          <t>Soy candle 8 oz</t>
        </is>
      </c>
      <c r="E107" s="34" t="n">
        <v>1</v>
      </c>
      <c r="F107" s="35" t="n"/>
      <c r="G107" s="35" t="n">
        <v>6.95</v>
      </c>
      <c r="H107" s="30">
        <f>IF(OR(B107="",D107=""),"",IF(N(E107)=0,1,E107)*IFERROR(INDEX(Products!$C$6:$C$105,MATCH(D107,Products!$B$6:$B$105,0)),0)+N(F107)+N(G107))</f>
        <v/>
      </c>
      <c r="I107" s="35" t="n">
        <v>28.95</v>
      </c>
      <c r="J107" s="30">
        <f>IF(OR(H107="",L107="Cancelled"),"",IF(H107-N(I107)&gt;0.005,H107-N(I107),""))</f>
        <v/>
      </c>
      <c r="K107" s="31" t="n">
        <v>46134</v>
      </c>
      <c r="L107" s="36" t="inlineStr">
        <is>
          <t>Sent</t>
        </is>
      </c>
      <c r="M107" s="33" t="inlineStr">
        <is>
          <t>Etsy</t>
        </is>
      </c>
      <c r="N107" s="22">
        <f>IF(OR(H107="",L107="Cancelled"),"",IF(N(E107)=0,1,E107)*IFERROR(INDEX(Products!$E$6:$E$105,MATCH(D107,Products!$B$6:$B$105,0)),0))</f>
        <v/>
      </c>
      <c r="O107" s="35" t="n">
        <v>6.63</v>
      </c>
      <c r="P107" s="22">
        <f>IF(OR(H107="",L107="Cancelled"),"",ROUND(IFERROR(H107*INDEX(Settings!$C$6:$C$15,MATCH(M107,Settings!$B$6:$B$15,0))+INDEX(Settings!$D$6:$D$15,MATCH(M107,Settings!$B$6:$B$15,0)),0),2))</f>
        <v/>
      </c>
      <c r="Q107" s="28">
        <f>IF(OR(H107="",L107="Cancelled"),"",H107-N(N107)-N(O107)-N(P107))</f>
        <v/>
      </c>
      <c r="R107" s="19">
        <f>IF(OR(B107="",K107=""),"",IF(OR(L107="Sent",L107="Picked up"),"Done",IF(L107="Cancelled","Cancelled",IF(K107&lt;TODAY(),"Late by "&amp;(TODAY()-K107)&amp;IF((TODAY()-K107)=1," day"," days"),IF(K107=TODAY(),"Due today","Due in "&amp;(K107-TODAY())&amp;IF((K107-TODAY())=1," day"," days"))))))</f>
        <v/>
      </c>
      <c r="S107" s="33" t="n"/>
      <c r="T107" s="1">
        <f>IF(AND(B107&lt;&gt;"",K107&lt;&gt;"",L107&lt;&gt;"Sent",L107&lt;&gt;"Picked up",L107&lt;&gt;"Cancelled"),K107+ROW()/10000000,"")</f>
        <v/>
      </c>
      <c r="U107">
        <f>IF(OR(B107="",C107=""),"",B107+ROW()/10000000)</f>
        <v/>
      </c>
      <c r="V107">
        <f>IF(U107="","",IF(COUNTIFS(Orders!$C$6:$C$1005,C107,Orders!$U$6:$U$1005,"&gt;"&amp;U107)=0,1,0))</f>
        <v/>
      </c>
      <c r="W107">
        <f>IF(AND(B107&lt;&gt;"",K107&lt;&gt;"",L107&lt;&gt;"Sent",L107&lt;&gt;"Picked up",L107&lt;&gt;"Cancelled"),IF(N(E107)=0,1,E107),0)</f>
        <v/>
      </c>
      <c r="X107">
        <f>IF(OR(B107="",D107=""),"",IF(N(E107)=0,1,E107))</f>
        <v/>
      </c>
    </row>
    <row r="108">
      <c r="A108" s="1" t="n"/>
      <c r="B108" s="31" t="n">
        <v>46128</v>
      </c>
      <c r="C108" s="32" t="inlineStr">
        <is>
          <t>George Price</t>
        </is>
      </c>
      <c r="D108" s="33" t="inlineStr">
        <is>
          <t>Soy candle 8 oz</t>
        </is>
      </c>
      <c r="E108" s="34" t="n">
        <v>1</v>
      </c>
      <c r="F108" s="35" t="n"/>
      <c r="G108" s="35" t="n"/>
      <c r="H108" s="30">
        <f>IF(OR(B108="",D108=""),"",IF(N(E108)=0,1,E108)*IFERROR(INDEX(Products!$C$6:$C$105,MATCH(D108,Products!$B$6:$B$105,0)),0)+N(F108)+N(G108))</f>
        <v/>
      </c>
      <c r="I108" s="35" t="n">
        <v>22</v>
      </c>
      <c r="J108" s="30">
        <f>IF(OR(H108="",L108="Cancelled"),"",IF(H108-N(I108)&gt;0.005,H108-N(I108),""))</f>
        <v/>
      </c>
      <c r="K108" s="31" t="n">
        <v>46140</v>
      </c>
      <c r="L108" s="36" t="inlineStr">
        <is>
          <t>Picked up</t>
        </is>
      </c>
      <c r="M108" s="33" t="inlineStr">
        <is>
          <t>Instagram</t>
        </is>
      </c>
      <c r="N108" s="22">
        <f>IF(OR(H108="",L108="Cancelled"),"",IF(N(E108)=0,1,E108)*IFERROR(INDEX(Products!$E$6:$E$105,MATCH(D108,Products!$B$6:$B$105,0)),0))</f>
        <v/>
      </c>
      <c r="O108" s="35" t="n"/>
      <c r="P108" s="22">
        <f>IF(OR(H108="",L108="Cancelled"),"",ROUND(IFERROR(H108*INDEX(Settings!$C$6:$C$15,MATCH(M108,Settings!$B$6:$B$15,0))+INDEX(Settings!$D$6:$D$15,MATCH(M108,Settings!$B$6:$B$15,0)),0),2))</f>
        <v/>
      </c>
      <c r="Q108" s="28">
        <f>IF(OR(H108="",L108="Cancelled"),"",H108-N(N108)-N(O108)-N(P108))</f>
        <v/>
      </c>
      <c r="R108" s="19">
        <f>IF(OR(B108="",K108=""),"",IF(OR(L108="Sent",L108="Picked up"),"Done",IF(L108="Cancelled","Cancelled",IF(K108&lt;TODAY(),"Late by "&amp;(TODAY()-K108)&amp;IF((TODAY()-K108)=1," day"," days"),IF(K108=TODAY(),"Due today","Due in "&amp;(K108-TODAY())&amp;IF((K108-TODAY())=1," day"," days"))))))</f>
        <v/>
      </c>
      <c r="S108" s="33" t="n"/>
      <c r="T108" s="1">
        <f>IF(AND(B108&lt;&gt;"",K108&lt;&gt;"",L108&lt;&gt;"Sent",L108&lt;&gt;"Picked up",L108&lt;&gt;"Cancelled"),K108+ROW()/10000000,"")</f>
        <v/>
      </c>
      <c r="U108">
        <f>IF(OR(B108="",C108=""),"",B108+ROW()/10000000)</f>
        <v/>
      </c>
      <c r="V108">
        <f>IF(U108="","",IF(COUNTIFS(Orders!$C$6:$C$1005,C108,Orders!$U$6:$U$1005,"&gt;"&amp;U108)=0,1,0))</f>
        <v/>
      </c>
      <c r="W108">
        <f>IF(AND(B108&lt;&gt;"",K108&lt;&gt;"",L108&lt;&gt;"Sent",L108&lt;&gt;"Picked up",L108&lt;&gt;"Cancelled"),IF(N(E108)=0,1,E108),0)</f>
        <v/>
      </c>
      <c r="X108">
        <f>IF(OR(B108="",D108=""),"",IF(N(E108)=0,1,E108))</f>
        <v/>
      </c>
    </row>
    <row r="109">
      <c r="A109" s="1" t="n"/>
      <c r="B109" s="31" t="n">
        <v>46128</v>
      </c>
      <c r="C109" s="32" t="inlineStr">
        <is>
          <t>Dina Mason</t>
        </is>
      </c>
      <c r="D109" s="33" t="inlineStr">
        <is>
          <t>Wax melts, 6 pack</t>
        </is>
      </c>
      <c r="E109" s="34" t="n">
        <v>2</v>
      </c>
      <c r="F109" s="35" t="n"/>
      <c r="G109" s="35" t="n">
        <v>6.95</v>
      </c>
      <c r="H109" s="30">
        <f>IF(OR(B109="",D109=""),"",IF(N(E109)=0,1,E109)*IFERROR(INDEX(Products!$C$6:$C$105,MATCH(D109,Products!$B$6:$B$105,0)),0)+N(F109)+N(G109))</f>
        <v/>
      </c>
      <c r="I109" s="35" t="n">
        <v>24.95</v>
      </c>
      <c r="J109" s="30">
        <f>IF(OR(H109="",L109="Cancelled"),"",IF(H109-N(I109)&gt;0.005,H109-N(I109),""))</f>
        <v/>
      </c>
      <c r="K109" s="31" t="n">
        <v>46139</v>
      </c>
      <c r="L109" s="36" t="inlineStr">
        <is>
          <t>Sent</t>
        </is>
      </c>
      <c r="M109" s="33" t="inlineStr">
        <is>
          <t>Etsy</t>
        </is>
      </c>
      <c r="N109" s="22">
        <f>IF(OR(H109="",L109="Cancelled"),"",IF(N(E109)=0,1,E109)*IFERROR(INDEX(Products!$E$6:$E$105,MATCH(D109,Products!$B$6:$B$105,0)),0))</f>
        <v/>
      </c>
      <c r="O109" s="35" t="n">
        <v>6.65</v>
      </c>
      <c r="P109" s="22">
        <f>IF(OR(H109="",L109="Cancelled"),"",ROUND(IFERROR(H109*INDEX(Settings!$C$6:$C$15,MATCH(M109,Settings!$B$6:$B$15,0))+INDEX(Settings!$D$6:$D$15,MATCH(M109,Settings!$B$6:$B$15,0)),0),2))</f>
        <v/>
      </c>
      <c r="Q109" s="28">
        <f>IF(OR(H109="",L109="Cancelled"),"",H109-N(N109)-N(O109)-N(P109))</f>
        <v/>
      </c>
      <c r="R109" s="19">
        <f>IF(OR(B109="",K109=""),"",IF(OR(L109="Sent",L109="Picked up"),"Done",IF(L109="Cancelled","Cancelled",IF(K109&lt;TODAY(),"Late by "&amp;(TODAY()-K109)&amp;IF((TODAY()-K109)=1," day"," days"),IF(K109=TODAY(),"Due today","Due in "&amp;(K109-TODAY())&amp;IF((K109-TODAY())=1," day"," days"))))))</f>
        <v/>
      </c>
      <c r="S109" s="33" t="n"/>
      <c r="T109" s="1">
        <f>IF(AND(B109&lt;&gt;"",K109&lt;&gt;"",L109&lt;&gt;"Sent",L109&lt;&gt;"Picked up",L109&lt;&gt;"Cancelled"),K109+ROW()/10000000,"")</f>
        <v/>
      </c>
      <c r="U109">
        <f>IF(OR(B109="",C109=""),"",B109+ROW()/10000000)</f>
        <v/>
      </c>
      <c r="V109">
        <f>IF(U109="","",IF(COUNTIFS(Orders!$C$6:$C$1005,C109,Orders!$U$6:$U$1005,"&gt;"&amp;U109)=0,1,0))</f>
        <v/>
      </c>
      <c r="W109">
        <f>IF(AND(B109&lt;&gt;"",K109&lt;&gt;"",L109&lt;&gt;"Sent",L109&lt;&gt;"Picked up",L109&lt;&gt;"Cancelled"),IF(N(E109)=0,1,E109),0)</f>
        <v/>
      </c>
      <c r="X109">
        <f>IF(OR(B109="",D109=""),"",IF(N(E109)=0,1,E109))</f>
        <v/>
      </c>
    </row>
    <row r="110">
      <c r="A110" s="1" t="n"/>
      <c r="B110" s="31" t="n">
        <v>46129</v>
      </c>
      <c r="C110" s="32" t="inlineStr">
        <is>
          <t>Leah Hughes</t>
        </is>
      </c>
      <c r="D110" s="33" t="inlineStr">
        <is>
          <t>Soy candle 8 oz</t>
        </is>
      </c>
      <c r="E110" s="34" t="n">
        <v>1</v>
      </c>
      <c r="F110" s="35" t="n"/>
      <c r="G110" s="35" t="n">
        <v>6.95</v>
      </c>
      <c r="H110" s="30">
        <f>IF(OR(B110="",D110=""),"",IF(N(E110)=0,1,E110)*IFERROR(INDEX(Products!$C$6:$C$105,MATCH(D110,Products!$B$6:$B$105,0)),0)+N(F110)+N(G110))</f>
        <v/>
      </c>
      <c r="I110" s="35" t="n">
        <v>28.95</v>
      </c>
      <c r="J110" s="30">
        <f>IF(OR(H110="",L110="Cancelled"),"",IF(H110-N(I110)&gt;0.005,H110-N(I110),""))</f>
        <v/>
      </c>
      <c r="K110" s="31" t="n">
        <v>46140</v>
      </c>
      <c r="L110" s="36" t="inlineStr">
        <is>
          <t>Sent</t>
        </is>
      </c>
      <c r="M110" s="33" t="inlineStr">
        <is>
          <t>Etsy</t>
        </is>
      </c>
      <c r="N110" s="22">
        <f>IF(OR(H110="",L110="Cancelled"),"",IF(N(E110)=0,1,E110)*IFERROR(INDEX(Products!$E$6:$E$105,MATCH(D110,Products!$B$6:$B$105,0)),0))</f>
        <v/>
      </c>
      <c r="O110" s="35" t="n">
        <v>5.68</v>
      </c>
      <c r="P110" s="22">
        <f>IF(OR(H110="",L110="Cancelled"),"",ROUND(IFERROR(H110*INDEX(Settings!$C$6:$C$15,MATCH(M110,Settings!$B$6:$B$15,0))+INDEX(Settings!$D$6:$D$15,MATCH(M110,Settings!$B$6:$B$15,0)),0),2))</f>
        <v/>
      </c>
      <c r="Q110" s="28">
        <f>IF(OR(H110="",L110="Cancelled"),"",H110-N(N110)-N(O110)-N(P110))</f>
        <v/>
      </c>
      <c r="R110" s="19">
        <f>IF(OR(B110="",K110=""),"",IF(OR(L110="Sent",L110="Picked up"),"Done",IF(L110="Cancelled","Cancelled",IF(K110&lt;TODAY(),"Late by "&amp;(TODAY()-K110)&amp;IF((TODAY()-K110)=1," day"," days"),IF(K110=TODAY(),"Due today","Due in "&amp;(K110-TODAY())&amp;IF((K110-TODAY())=1," day"," days"))))))</f>
        <v/>
      </c>
      <c r="S110" s="33" t="n"/>
      <c r="T110" s="1">
        <f>IF(AND(B110&lt;&gt;"",K110&lt;&gt;"",L110&lt;&gt;"Sent",L110&lt;&gt;"Picked up",L110&lt;&gt;"Cancelled"),K110+ROW()/10000000,"")</f>
        <v/>
      </c>
      <c r="U110">
        <f>IF(OR(B110="",C110=""),"",B110+ROW()/10000000)</f>
        <v/>
      </c>
      <c r="V110">
        <f>IF(U110="","",IF(COUNTIFS(Orders!$C$6:$C$1005,C110,Orders!$U$6:$U$1005,"&gt;"&amp;U110)=0,1,0))</f>
        <v/>
      </c>
      <c r="W110">
        <f>IF(AND(B110&lt;&gt;"",K110&lt;&gt;"",L110&lt;&gt;"Sent",L110&lt;&gt;"Picked up",L110&lt;&gt;"Cancelled"),IF(N(E110)=0,1,E110),0)</f>
        <v/>
      </c>
      <c r="X110">
        <f>IF(OR(B110="",D110=""),"",IF(N(E110)=0,1,E110))</f>
        <v/>
      </c>
    </row>
    <row r="111">
      <c r="A111" s="1" t="n"/>
      <c r="B111" s="31" t="n">
        <v>46129</v>
      </c>
      <c r="C111" s="32" t="inlineStr">
        <is>
          <t>Eli Price</t>
        </is>
      </c>
      <c r="D111" s="33" t="inlineStr">
        <is>
          <t>Soy candle 8 oz</t>
        </is>
      </c>
      <c r="E111" s="34" t="n">
        <v>1</v>
      </c>
      <c r="F111" s="35" t="n"/>
      <c r="G111" s="35" t="n">
        <v>6.95</v>
      </c>
      <c r="H111" s="30">
        <f>IF(OR(B111="",D111=""),"",IF(N(E111)=0,1,E111)*IFERROR(INDEX(Products!$C$6:$C$105,MATCH(D111,Products!$B$6:$B$105,0)),0)+N(F111)+N(G111))</f>
        <v/>
      </c>
      <c r="I111" s="35" t="n">
        <v>28.95</v>
      </c>
      <c r="J111" s="30">
        <f>IF(OR(H111="",L111="Cancelled"),"",IF(H111-N(I111)&gt;0.005,H111-N(I111),""))</f>
        <v/>
      </c>
      <c r="K111" s="31" t="n">
        <v>46139</v>
      </c>
      <c r="L111" s="36" t="inlineStr">
        <is>
          <t>Sent</t>
        </is>
      </c>
      <c r="M111" s="33" t="inlineStr">
        <is>
          <t>Own website</t>
        </is>
      </c>
      <c r="N111" s="22">
        <f>IF(OR(H111="",L111="Cancelled"),"",IF(N(E111)=0,1,E111)*IFERROR(INDEX(Products!$E$6:$E$105,MATCH(D111,Products!$B$6:$B$105,0)),0))</f>
        <v/>
      </c>
      <c r="O111" s="35" t="n">
        <v>7.33</v>
      </c>
      <c r="P111" s="22">
        <f>IF(OR(H111="",L111="Cancelled"),"",ROUND(IFERROR(H111*INDEX(Settings!$C$6:$C$15,MATCH(M111,Settings!$B$6:$B$15,0))+INDEX(Settings!$D$6:$D$15,MATCH(M111,Settings!$B$6:$B$15,0)),0),2))</f>
        <v/>
      </c>
      <c r="Q111" s="28">
        <f>IF(OR(H111="",L111="Cancelled"),"",H111-N(N111)-N(O111)-N(P111))</f>
        <v/>
      </c>
      <c r="R111" s="19">
        <f>IF(OR(B111="",K111=""),"",IF(OR(L111="Sent",L111="Picked up"),"Done",IF(L111="Cancelled","Cancelled",IF(K111&lt;TODAY(),"Late by "&amp;(TODAY()-K111)&amp;IF((TODAY()-K111)=1," day"," days"),IF(K111=TODAY(),"Due today","Due in "&amp;(K111-TODAY())&amp;IF((K111-TODAY())=1," day"," days"))))))</f>
        <v/>
      </c>
      <c r="S111" s="33" t="n"/>
      <c r="T111" s="1">
        <f>IF(AND(B111&lt;&gt;"",K111&lt;&gt;"",L111&lt;&gt;"Sent",L111&lt;&gt;"Picked up",L111&lt;&gt;"Cancelled"),K111+ROW()/10000000,"")</f>
        <v/>
      </c>
      <c r="U111">
        <f>IF(OR(B111="",C111=""),"",B111+ROW()/10000000)</f>
        <v/>
      </c>
      <c r="V111">
        <f>IF(U111="","",IF(COUNTIFS(Orders!$C$6:$C$1005,C111,Orders!$U$6:$U$1005,"&gt;"&amp;U111)=0,1,0))</f>
        <v/>
      </c>
      <c r="W111">
        <f>IF(AND(B111&lt;&gt;"",K111&lt;&gt;"",L111&lt;&gt;"Sent",L111&lt;&gt;"Picked up",L111&lt;&gt;"Cancelled"),IF(N(E111)=0,1,E111),0)</f>
        <v/>
      </c>
      <c r="X111">
        <f>IF(OR(B111="",D111=""),"",IF(N(E111)=0,1,E111))</f>
        <v/>
      </c>
    </row>
    <row r="112">
      <c r="A112" s="1" t="n"/>
      <c r="B112" s="31" t="n">
        <v>46130</v>
      </c>
      <c r="C112" s="32" t="inlineStr">
        <is>
          <t>Sophie Lewis</t>
        </is>
      </c>
      <c r="D112" s="33" t="inlineStr">
        <is>
          <t>Soap bar</t>
        </is>
      </c>
      <c r="E112" s="34" t="n">
        <v>3</v>
      </c>
      <c r="F112" s="35" t="n"/>
      <c r="G112" s="35" t="n">
        <v>6.95</v>
      </c>
      <c r="H112" s="30">
        <f>IF(OR(B112="",D112=""),"",IF(N(E112)=0,1,E112)*IFERROR(INDEX(Products!$C$6:$C$105,MATCH(D112,Products!$B$6:$B$105,0)),0)+N(F112)+N(G112))</f>
        <v/>
      </c>
      <c r="I112" s="35" t="n">
        <v>30.95</v>
      </c>
      <c r="J112" s="30">
        <f>IF(OR(H112="",L112="Cancelled"),"",IF(H112-N(I112)&gt;0.005,H112-N(I112),""))</f>
        <v/>
      </c>
      <c r="K112" s="31" t="n">
        <v>46135</v>
      </c>
      <c r="L112" s="36" t="inlineStr">
        <is>
          <t>Sent</t>
        </is>
      </c>
      <c r="M112" s="33" t="inlineStr">
        <is>
          <t>Own website</t>
        </is>
      </c>
      <c r="N112" s="22">
        <f>IF(OR(H112="",L112="Cancelled"),"",IF(N(E112)=0,1,E112)*IFERROR(INDEX(Products!$E$6:$E$105,MATCH(D112,Products!$B$6:$B$105,0)),0))</f>
        <v/>
      </c>
      <c r="O112" s="35" t="n">
        <v>5.4</v>
      </c>
      <c r="P112" s="22">
        <f>IF(OR(H112="",L112="Cancelled"),"",ROUND(IFERROR(H112*INDEX(Settings!$C$6:$C$15,MATCH(M112,Settings!$B$6:$B$15,0))+INDEX(Settings!$D$6:$D$15,MATCH(M112,Settings!$B$6:$B$15,0)),0),2))</f>
        <v/>
      </c>
      <c r="Q112" s="28">
        <f>IF(OR(H112="",L112="Cancelled"),"",H112-N(N112)-N(O112)-N(P112))</f>
        <v/>
      </c>
      <c r="R112" s="19">
        <f>IF(OR(B112="",K112=""),"",IF(OR(L112="Sent",L112="Picked up"),"Done",IF(L112="Cancelled","Cancelled",IF(K112&lt;TODAY(),"Late by "&amp;(TODAY()-K112)&amp;IF((TODAY()-K112)=1," day"," days"),IF(K112=TODAY(),"Due today","Due in "&amp;(K112-TODAY())&amp;IF((K112-TODAY())=1," day"," days"))))))</f>
        <v/>
      </c>
      <c r="S112" s="33" t="n"/>
      <c r="T112" s="1">
        <f>IF(AND(B112&lt;&gt;"",K112&lt;&gt;"",L112&lt;&gt;"Sent",L112&lt;&gt;"Picked up",L112&lt;&gt;"Cancelled"),K112+ROW()/10000000,"")</f>
        <v/>
      </c>
      <c r="U112">
        <f>IF(OR(B112="",C112=""),"",B112+ROW()/10000000)</f>
        <v/>
      </c>
      <c r="V112">
        <f>IF(U112="","",IF(COUNTIFS(Orders!$C$6:$C$1005,C112,Orders!$U$6:$U$1005,"&gt;"&amp;U112)=0,1,0))</f>
        <v/>
      </c>
      <c r="W112">
        <f>IF(AND(B112&lt;&gt;"",K112&lt;&gt;"",L112&lt;&gt;"Sent",L112&lt;&gt;"Picked up",L112&lt;&gt;"Cancelled"),IF(N(E112)=0,1,E112),0)</f>
        <v/>
      </c>
      <c r="X112">
        <f>IF(OR(B112="",D112=""),"",IF(N(E112)=0,1,E112))</f>
        <v/>
      </c>
    </row>
    <row r="113">
      <c r="A113" s="1" t="n"/>
      <c r="B113" s="31" t="n">
        <v>46131</v>
      </c>
      <c r="C113" s="32" t="inlineStr">
        <is>
          <t>Chris Mason</t>
        </is>
      </c>
      <c r="D113" s="33" t="inlineStr">
        <is>
          <t>Soap bar</t>
        </is>
      </c>
      <c r="E113" s="34" t="n">
        <v>2</v>
      </c>
      <c r="F113" s="35" t="n"/>
      <c r="G113" s="35" t="n"/>
      <c r="H113" s="30">
        <f>IF(OR(B113="",D113=""),"",IF(N(E113)=0,1,E113)*IFERROR(INDEX(Products!$C$6:$C$105,MATCH(D113,Products!$B$6:$B$105,0)),0)+N(F113)+N(G113))</f>
        <v/>
      </c>
      <c r="I113" s="35" t="n">
        <v>16</v>
      </c>
      <c r="J113" s="30">
        <f>IF(OR(H113="",L113="Cancelled"),"",IF(H113-N(I113)&gt;0.005,H113-N(I113),""))</f>
        <v/>
      </c>
      <c r="K113" s="31" t="n">
        <v>46136</v>
      </c>
      <c r="L113" s="36" t="inlineStr">
        <is>
          <t>Picked up</t>
        </is>
      </c>
      <c r="M113" s="33" t="inlineStr">
        <is>
          <t>Craft market</t>
        </is>
      </c>
      <c r="N113" s="22">
        <f>IF(OR(H113="",L113="Cancelled"),"",IF(N(E113)=0,1,E113)*IFERROR(INDEX(Products!$E$6:$E$105,MATCH(D113,Products!$B$6:$B$105,0)),0))</f>
        <v/>
      </c>
      <c r="O113" s="35" t="n"/>
      <c r="P113" s="22">
        <f>IF(OR(H113="",L113="Cancelled"),"",ROUND(IFERROR(H113*INDEX(Settings!$C$6:$C$15,MATCH(M113,Settings!$B$6:$B$15,0))+INDEX(Settings!$D$6:$D$15,MATCH(M113,Settings!$B$6:$B$15,0)),0),2))</f>
        <v/>
      </c>
      <c r="Q113" s="28">
        <f>IF(OR(H113="",L113="Cancelled"),"",H113-N(N113)-N(O113)-N(P113))</f>
        <v/>
      </c>
      <c r="R113" s="19">
        <f>IF(OR(B113="",K113=""),"",IF(OR(L113="Sent",L113="Picked up"),"Done",IF(L113="Cancelled","Cancelled",IF(K113&lt;TODAY(),"Late by "&amp;(TODAY()-K113)&amp;IF((TODAY()-K113)=1," day"," days"),IF(K113=TODAY(),"Due today","Due in "&amp;(K113-TODAY())&amp;IF((K113-TODAY())=1," day"," days"))))))</f>
        <v/>
      </c>
      <c r="S113" s="33" t="n"/>
      <c r="T113" s="1">
        <f>IF(AND(B113&lt;&gt;"",K113&lt;&gt;"",L113&lt;&gt;"Sent",L113&lt;&gt;"Picked up",L113&lt;&gt;"Cancelled"),K113+ROW()/10000000,"")</f>
        <v/>
      </c>
      <c r="U113">
        <f>IF(OR(B113="",C113=""),"",B113+ROW()/10000000)</f>
        <v/>
      </c>
      <c r="V113">
        <f>IF(U113="","",IF(COUNTIFS(Orders!$C$6:$C$1005,C113,Orders!$U$6:$U$1005,"&gt;"&amp;U113)=0,1,0))</f>
        <v/>
      </c>
      <c r="W113">
        <f>IF(AND(B113&lt;&gt;"",K113&lt;&gt;"",L113&lt;&gt;"Sent",L113&lt;&gt;"Picked up",L113&lt;&gt;"Cancelled"),IF(N(E113)=0,1,E113),0)</f>
        <v/>
      </c>
      <c r="X113">
        <f>IF(OR(B113="",D113=""),"",IF(N(E113)=0,1,E113))</f>
        <v/>
      </c>
    </row>
    <row r="114">
      <c r="A114" s="1" t="n"/>
      <c r="B114" s="31" t="n">
        <v>46132</v>
      </c>
      <c r="C114" s="32" t="inlineStr">
        <is>
          <t>Lily Murphy</t>
        </is>
      </c>
      <c r="D114" s="33" t="inlineStr">
        <is>
          <t>Wax melts, 6 pack</t>
        </is>
      </c>
      <c r="E114" s="34" t="n">
        <v>1</v>
      </c>
      <c r="F114" s="35" t="n"/>
      <c r="G114" s="35" t="n"/>
      <c r="H114" s="30">
        <f>IF(OR(B114="",D114=""),"",IF(N(E114)=0,1,E114)*IFERROR(INDEX(Products!$C$6:$C$105,MATCH(D114,Products!$B$6:$B$105,0)),0)+N(F114)+N(G114))</f>
        <v/>
      </c>
      <c r="I114" s="35" t="n">
        <v>9</v>
      </c>
      <c r="J114" s="30">
        <f>IF(OR(H114="",L114="Cancelled"),"",IF(H114-N(I114)&gt;0.005,H114-N(I114),""))</f>
        <v/>
      </c>
      <c r="K114" s="31" t="n">
        <v>46144</v>
      </c>
      <c r="L114" s="36" t="inlineStr">
        <is>
          <t>Picked up</t>
        </is>
      </c>
      <c r="M114" s="33" t="inlineStr">
        <is>
          <t>Craft market</t>
        </is>
      </c>
      <c r="N114" s="22">
        <f>IF(OR(H114="",L114="Cancelled"),"",IF(N(E114)=0,1,E114)*IFERROR(INDEX(Products!$E$6:$E$105,MATCH(D114,Products!$B$6:$B$105,0)),0))</f>
        <v/>
      </c>
      <c r="O114" s="35" t="n"/>
      <c r="P114" s="22">
        <f>IF(OR(H114="",L114="Cancelled"),"",ROUND(IFERROR(H114*INDEX(Settings!$C$6:$C$15,MATCH(M114,Settings!$B$6:$B$15,0))+INDEX(Settings!$D$6:$D$15,MATCH(M114,Settings!$B$6:$B$15,0)),0),2))</f>
        <v/>
      </c>
      <c r="Q114" s="28">
        <f>IF(OR(H114="",L114="Cancelled"),"",H114-N(N114)-N(O114)-N(P114))</f>
        <v/>
      </c>
      <c r="R114" s="19">
        <f>IF(OR(B114="",K114=""),"",IF(OR(L114="Sent",L114="Picked up"),"Done",IF(L114="Cancelled","Cancelled",IF(K114&lt;TODAY(),"Late by "&amp;(TODAY()-K114)&amp;IF((TODAY()-K114)=1," day"," days"),IF(K114=TODAY(),"Due today","Due in "&amp;(K114-TODAY())&amp;IF((K114-TODAY())=1," day"," days"))))))</f>
        <v/>
      </c>
      <c r="S114" s="33" t="n"/>
      <c r="T114" s="1">
        <f>IF(AND(B114&lt;&gt;"",K114&lt;&gt;"",L114&lt;&gt;"Sent",L114&lt;&gt;"Picked up",L114&lt;&gt;"Cancelled"),K114+ROW()/10000000,"")</f>
        <v/>
      </c>
      <c r="U114">
        <f>IF(OR(B114="",C114=""),"",B114+ROW()/10000000)</f>
        <v/>
      </c>
      <c r="V114">
        <f>IF(U114="","",IF(COUNTIFS(Orders!$C$6:$C$1005,C114,Orders!$U$6:$U$1005,"&gt;"&amp;U114)=0,1,0))</f>
        <v/>
      </c>
      <c r="W114">
        <f>IF(AND(B114&lt;&gt;"",K114&lt;&gt;"",L114&lt;&gt;"Sent",L114&lt;&gt;"Picked up",L114&lt;&gt;"Cancelled"),IF(N(E114)=0,1,E114),0)</f>
        <v/>
      </c>
      <c r="X114">
        <f>IF(OR(B114="",D114=""),"",IF(N(E114)=0,1,E114))</f>
        <v/>
      </c>
    </row>
    <row r="115">
      <c r="A115" s="1" t="n"/>
      <c r="B115" s="31" t="n">
        <v>46134</v>
      </c>
      <c r="C115" s="32" t="inlineStr">
        <is>
          <t>Adam King</t>
        </is>
      </c>
      <c r="D115" s="33" t="inlineStr">
        <is>
          <t>Wax melts, 6 pack</t>
        </is>
      </c>
      <c r="E115" s="34" t="n">
        <v>4</v>
      </c>
      <c r="F115" s="35" t="n"/>
      <c r="G115" s="35" t="n">
        <v>6.95</v>
      </c>
      <c r="H115" s="30">
        <f>IF(OR(B115="",D115=""),"",IF(N(E115)=0,1,E115)*IFERROR(INDEX(Products!$C$6:$C$105,MATCH(D115,Products!$B$6:$B$105,0)),0)+N(F115)+N(G115))</f>
        <v/>
      </c>
      <c r="I115" s="35" t="n">
        <v>42.95</v>
      </c>
      <c r="J115" s="30">
        <f>IF(OR(H115="",L115="Cancelled"),"",IF(H115-N(I115)&gt;0.005,H115-N(I115),""))</f>
        <v/>
      </c>
      <c r="K115" s="31" t="n">
        <v>46140</v>
      </c>
      <c r="L115" s="36" t="inlineStr">
        <is>
          <t>Sent</t>
        </is>
      </c>
      <c r="M115" s="33" t="inlineStr">
        <is>
          <t>Etsy</t>
        </is>
      </c>
      <c r="N115" s="22">
        <f>IF(OR(H115="",L115="Cancelled"),"",IF(N(E115)=0,1,E115)*IFERROR(INDEX(Products!$E$6:$E$105,MATCH(D115,Products!$B$6:$B$105,0)),0))</f>
        <v/>
      </c>
      <c r="O115" s="35" t="n">
        <v>7.08</v>
      </c>
      <c r="P115" s="22">
        <f>IF(OR(H115="",L115="Cancelled"),"",ROUND(IFERROR(H115*INDEX(Settings!$C$6:$C$15,MATCH(M115,Settings!$B$6:$B$15,0))+INDEX(Settings!$D$6:$D$15,MATCH(M115,Settings!$B$6:$B$15,0)),0),2))</f>
        <v/>
      </c>
      <c r="Q115" s="28">
        <f>IF(OR(H115="",L115="Cancelled"),"",H115-N(N115)-N(O115)-N(P115))</f>
        <v/>
      </c>
      <c r="R115" s="19">
        <f>IF(OR(B115="",K115=""),"",IF(OR(L115="Sent",L115="Picked up"),"Done",IF(L115="Cancelled","Cancelled",IF(K115&lt;TODAY(),"Late by "&amp;(TODAY()-K115)&amp;IF((TODAY()-K115)=1," day"," days"),IF(K115=TODAY(),"Due today","Due in "&amp;(K115-TODAY())&amp;IF((K115-TODAY())=1," day"," days"))))))</f>
        <v/>
      </c>
      <c r="S115" s="33" t="n"/>
      <c r="T115" s="1">
        <f>IF(AND(B115&lt;&gt;"",K115&lt;&gt;"",L115&lt;&gt;"Sent",L115&lt;&gt;"Picked up",L115&lt;&gt;"Cancelled"),K115+ROW()/10000000,"")</f>
        <v/>
      </c>
      <c r="U115">
        <f>IF(OR(B115="",C115=""),"",B115+ROW()/10000000)</f>
        <v/>
      </c>
      <c r="V115">
        <f>IF(U115="","",IF(COUNTIFS(Orders!$C$6:$C$1005,C115,Orders!$U$6:$U$1005,"&gt;"&amp;U115)=0,1,0))</f>
        <v/>
      </c>
      <c r="W115">
        <f>IF(AND(B115&lt;&gt;"",K115&lt;&gt;"",L115&lt;&gt;"Sent",L115&lt;&gt;"Picked up",L115&lt;&gt;"Cancelled"),IF(N(E115)=0,1,E115),0)</f>
        <v/>
      </c>
      <c r="X115">
        <f>IF(OR(B115="",D115=""),"",IF(N(E115)=0,1,E115))</f>
        <v/>
      </c>
    </row>
    <row r="116">
      <c r="A116" s="1" t="n"/>
      <c r="B116" s="31" t="n">
        <v>46136</v>
      </c>
      <c r="C116" s="32" t="inlineStr">
        <is>
          <t>Adam Davies</t>
        </is>
      </c>
      <c r="D116" s="33" t="inlineStr">
        <is>
          <t>Soy candle 8 oz</t>
        </is>
      </c>
      <c r="E116" s="34" t="n">
        <v>3</v>
      </c>
      <c r="F116" s="35" t="n"/>
      <c r="G116" s="35" t="n"/>
      <c r="H116" s="30">
        <f>IF(OR(B116="",D116=""),"",IF(N(E116)=0,1,E116)*IFERROR(INDEX(Products!$C$6:$C$105,MATCH(D116,Products!$B$6:$B$105,0)),0)+N(F116)+N(G116))</f>
        <v/>
      </c>
      <c r="I116" s="35" t="n">
        <v>66</v>
      </c>
      <c r="J116" s="30">
        <f>IF(OR(H116="",L116="Cancelled"),"",IF(H116-N(I116)&gt;0.005,H116-N(I116),""))</f>
        <v/>
      </c>
      <c r="K116" s="31" t="n">
        <v>46143</v>
      </c>
      <c r="L116" s="36" t="inlineStr">
        <is>
          <t>Picked up</t>
        </is>
      </c>
      <c r="M116" s="33" t="inlineStr">
        <is>
          <t>Instagram</t>
        </is>
      </c>
      <c r="N116" s="22">
        <f>IF(OR(H116="",L116="Cancelled"),"",IF(N(E116)=0,1,E116)*IFERROR(INDEX(Products!$E$6:$E$105,MATCH(D116,Products!$B$6:$B$105,0)),0))</f>
        <v/>
      </c>
      <c r="O116" s="35" t="n"/>
      <c r="P116" s="22">
        <f>IF(OR(H116="",L116="Cancelled"),"",ROUND(IFERROR(H116*INDEX(Settings!$C$6:$C$15,MATCH(M116,Settings!$B$6:$B$15,0))+INDEX(Settings!$D$6:$D$15,MATCH(M116,Settings!$B$6:$B$15,0)),0),2))</f>
        <v/>
      </c>
      <c r="Q116" s="28">
        <f>IF(OR(H116="",L116="Cancelled"),"",H116-N(N116)-N(O116)-N(P116))</f>
        <v/>
      </c>
      <c r="R116" s="19">
        <f>IF(OR(B116="",K116=""),"",IF(OR(L116="Sent",L116="Picked up"),"Done",IF(L116="Cancelled","Cancelled",IF(K116&lt;TODAY(),"Late by "&amp;(TODAY()-K116)&amp;IF((TODAY()-K116)=1," day"," days"),IF(K116=TODAY(),"Due today","Due in "&amp;(K116-TODAY())&amp;IF((K116-TODAY())=1," day"," days"))))))</f>
        <v/>
      </c>
      <c r="S116" s="33" t="n"/>
      <c r="T116" s="1">
        <f>IF(AND(B116&lt;&gt;"",K116&lt;&gt;"",L116&lt;&gt;"Sent",L116&lt;&gt;"Picked up",L116&lt;&gt;"Cancelled"),K116+ROW()/10000000,"")</f>
        <v/>
      </c>
      <c r="U116">
        <f>IF(OR(B116="",C116=""),"",B116+ROW()/10000000)</f>
        <v/>
      </c>
      <c r="V116">
        <f>IF(U116="","",IF(COUNTIFS(Orders!$C$6:$C$1005,C116,Orders!$U$6:$U$1005,"&gt;"&amp;U116)=0,1,0))</f>
        <v/>
      </c>
      <c r="W116">
        <f>IF(AND(B116&lt;&gt;"",K116&lt;&gt;"",L116&lt;&gt;"Sent",L116&lt;&gt;"Picked up",L116&lt;&gt;"Cancelled"),IF(N(E116)=0,1,E116),0)</f>
        <v/>
      </c>
      <c r="X116">
        <f>IF(OR(B116="",D116=""),"",IF(N(E116)=0,1,E116))</f>
        <v/>
      </c>
    </row>
    <row r="117">
      <c r="A117" s="1" t="n"/>
      <c r="B117" s="31" t="n">
        <v>46139</v>
      </c>
      <c r="C117" s="32" t="inlineStr">
        <is>
          <t>Kara Adams</t>
        </is>
      </c>
      <c r="D117" s="33" t="inlineStr">
        <is>
          <t>Soy candle 16 oz</t>
        </is>
      </c>
      <c r="E117" s="34" t="n">
        <v>2</v>
      </c>
      <c r="F117" s="35" t="n"/>
      <c r="G117" s="35" t="n">
        <v>6.95</v>
      </c>
      <c r="H117" s="30">
        <f>IF(OR(B117="",D117=""),"",IF(N(E117)=0,1,E117)*IFERROR(INDEX(Products!$C$6:$C$105,MATCH(D117,Products!$B$6:$B$105,0)),0)+N(F117)+N(G117))</f>
        <v/>
      </c>
      <c r="I117" s="35" t="n">
        <v>74.95</v>
      </c>
      <c r="J117" s="30">
        <f>IF(OR(H117="",L117="Cancelled"),"",IF(H117-N(I117)&gt;0.005,H117-N(I117),""))</f>
        <v/>
      </c>
      <c r="K117" s="31" t="n">
        <v>46143</v>
      </c>
      <c r="L117" s="36" t="inlineStr">
        <is>
          <t>Sent</t>
        </is>
      </c>
      <c r="M117" s="33" t="inlineStr">
        <is>
          <t>Etsy</t>
        </is>
      </c>
      <c r="N117" s="22">
        <f>IF(OR(H117="",L117="Cancelled"),"",IF(N(E117)=0,1,E117)*IFERROR(INDEX(Products!$E$6:$E$105,MATCH(D117,Products!$B$6:$B$105,0)),0))</f>
        <v/>
      </c>
      <c r="O117" s="35" t="n">
        <v>6.67</v>
      </c>
      <c r="P117" s="22">
        <f>IF(OR(H117="",L117="Cancelled"),"",ROUND(IFERROR(H117*INDEX(Settings!$C$6:$C$15,MATCH(M117,Settings!$B$6:$B$15,0))+INDEX(Settings!$D$6:$D$15,MATCH(M117,Settings!$B$6:$B$15,0)),0),2))</f>
        <v/>
      </c>
      <c r="Q117" s="28">
        <f>IF(OR(H117="",L117="Cancelled"),"",H117-N(N117)-N(O117)-N(P117))</f>
        <v/>
      </c>
      <c r="R117" s="19">
        <f>IF(OR(B117="",K117=""),"",IF(OR(L117="Sent",L117="Picked up"),"Done",IF(L117="Cancelled","Cancelled",IF(K117&lt;TODAY(),"Late by "&amp;(TODAY()-K117)&amp;IF((TODAY()-K117)=1," day"," days"),IF(K117=TODAY(),"Due today","Due in "&amp;(K117-TODAY())&amp;IF((K117-TODAY())=1," day"," days"))))))</f>
        <v/>
      </c>
      <c r="S117" s="33" t="n"/>
      <c r="T117" s="1">
        <f>IF(AND(B117&lt;&gt;"",K117&lt;&gt;"",L117&lt;&gt;"Sent",L117&lt;&gt;"Picked up",L117&lt;&gt;"Cancelled"),K117+ROW()/10000000,"")</f>
        <v/>
      </c>
      <c r="U117">
        <f>IF(OR(B117="",C117=""),"",B117+ROW()/10000000)</f>
        <v/>
      </c>
      <c r="V117">
        <f>IF(U117="","",IF(COUNTIFS(Orders!$C$6:$C$1005,C117,Orders!$U$6:$U$1005,"&gt;"&amp;U117)=0,1,0))</f>
        <v/>
      </c>
      <c r="W117">
        <f>IF(AND(B117&lt;&gt;"",K117&lt;&gt;"",L117&lt;&gt;"Sent",L117&lt;&gt;"Picked up",L117&lt;&gt;"Cancelled"),IF(N(E117)=0,1,E117),0)</f>
        <v/>
      </c>
      <c r="X117">
        <f>IF(OR(B117="",D117=""),"",IF(N(E117)=0,1,E117))</f>
        <v/>
      </c>
    </row>
    <row r="118">
      <c r="A118" s="1" t="n"/>
      <c r="B118" s="31" t="n">
        <v>46139</v>
      </c>
      <c r="C118" s="32" t="inlineStr">
        <is>
          <t>Megan Reed</t>
        </is>
      </c>
      <c r="D118" s="33" t="inlineStr">
        <is>
          <t>Wax melts, 6 pack</t>
        </is>
      </c>
      <c r="E118" s="34" t="n">
        <v>4</v>
      </c>
      <c r="F118" s="35" t="n"/>
      <c r="G118" s="35" t="n">
        <v>6.95</v>
      </c>
      <c r="H118" s="30">
        <f>IF(OR(B118="",D118=""),"",IF(N(E118)=0,1,E118)*IFERROR(INDEX(Products!$C$6:$C$105,MATCH(D118,Products!$B$6:$B$105,0)),0)+N(F118)+N(G118))</f>
        <v/>
      </c>
      <c r="I118" s="35" t="n">
        <v>42.95</v>
      </c>
      <c r="J118" s="30">
        <f>IF(OR(H118="",L118="Cancelled"),"",IF(H118-N(I118)&gt;0.005,H118-N(I118),""))</f>
        <v/>
      </c>
      <c r="K118" s="31" t="n">
        <v>46151</v>
      </c>
      <c r="L118" s="36" t="inlineStr">
        <is>
          <t>Sent</t>
        </is>
      </c>
      <c r="M118" s="33" t="inlineStr">
        <is>
          <t>Etsy</t>
        </is>
      </c>
      <c r="N118" s="22">
        <f>IF(OR(H118="",L118="Cancelled"),"",IF(N(E118)=0,1,E118)*IFERROR(INDEX(Products!$E$6:$E$105,MATCH(D118,Products!$B$6:$B$105,0)),0))</f>
        <v/>
      </c>
      <c r="O118" s="35" t="n">
        <v>5.66</v>
      </c>
      <c r="P118" s="22">
        <f>IF(OR(H118="",L118="Cancelled"),"",ROUND(IFERROR(H118*INDEX(Settings!$C$6:$C$15,MATCH(M118,Settings!$B$6:$B$15,0))+INDEX(Settings!$D$6:$D$15,MATCH(M118,Settings!$B$6:$B$15,0)),0),2))</f>
        <v/>
      </c>
      <c r="Q118" s="28">
        <f>IF(OR(H118="",L118="Cancelled"),"",H118-N(N118)-N(O118)-N(P118))</f>
        <v/>
      </c>
      <c r="R118" s="19">
        <f>IF(OR(B118="",K118=""),"",IF(OR(L118="Sent",L118="Picked up"),"Done",IF(L118="Cancelled","Cancelled",IF(K118&lt;TODAY(),"Late by "&amp;(TODAY()-K118)&amp;IF((TODAY()-K118)=1," day"," days"),IF(K118=TODAY(),"Due today","Due in "&amp;(K118-TODAY())&amp;IF((K118-TODAY())=1," day"," days"))))))</f>
        <v/>
      </c>
      <c r="S118" s="33" t="n"/>
      <c r="T118" s="1">
        <f>IF(AND(B118&lt;&gt;"",K118&lt;&gt;"",L118&lt;&gt;"Sent",L118&lt;&gt;"Picked up",L118&lt;&gt;"Cancelled"),K118+ROW()/10000000,"")</f>
        <v/>
      </c>
      <c r="U118">
        <f>IF(OR(B118="",C118=""),"",B118+ROW()/10000000)</f>
        <v/>
      </c>
      <c r="V118">
        <f>IF(U118="","",IF(COUNTIFS(Orders!$C$6:$C$1005,C118,Orders!$U$6:$U$1005,"&gt;"&amp;U118)=0,1,0))</f>
        <v/>
      </c>
      <c r="W118">
        <f>IF(AND(B118&lt;&gt;"",K118&lt;&gt;"",L118&lt;&gt;"Sent",L118&lt;&gt;"Picked up",L118&lt;&gt;"Cancelled"),IF(N(E118)=0,1,E118),0)</f>
        <v/>
      </c>
      <c r="X118">
        <f>IF(OR(B118="",D118=""),"",IF(N(E118)=0,1,E118))</f>
        <v/>
      </c>
    </row>
    <row r="119">
      <c r="A119" s="1" t="n"/>
      <c r="B119" s="31" t="n">
        <v>46140</v>
      </c>
      <c r="C119" s="32" t="inlineStr">
        <is>
          <t>Hannah Cole</t>
        </is>
      </c>
      <c r="D119" s="33" t="inlineStr">
        <is>
          <t>Soap bar</t>
        </is>
      </c>
      <c r="E119" s="34" t="n">
        <v>2</v>
      </c>
      <c r="F119" s="35" t="n"/>
      <c r="G119" s="35" t="n">
        <v>6.95</v>
      </c>
      <c r="H119" s="30">
        <f>IF(OR(B119="",D119=""),"",IF(N(E119)=0,1,E119)*IFERROR(INDEX(Products!$C$6:$C$105,MATCH(D119,Products!$B$6:$B$105,0)),0)+N(F119)+N(G119))</f>
        <v/>
      </c>
      <c r="I119" s="35" t="n">
        <v>22.95</v>
      </c>
      <c r="J119" s="30">
        <f>IF(OR(H119="",L119="Cancelled"),"",IF(H119-N(I119)&gt;0.005,H119-N(I119),""))</f>
        <v/>
      </c>
      <c r="K119" s="31" t="n">
        <v>46144</v>
      </c>
      <c r="L119" s="36" t="inlineStr">
        <is>
          <t>Sent</t>
        </is>
      </c>
      <c r="M119" s="33" t="inlineStr">
        <is>
          <t>Etsy</t>
        </is>
      </c>
      <c r="N119" s="22">
        <f>IF(OR(H119="",L119="Cancelled"),"",IF(N(E119)=0,1,E119)*IFERROR(INDEX(Products!$E$6:$E$105,MATCH(D119,Products!$B$6:$B$105,0)),0))</f>
        <v/>
      </c>
      <c r="O119" s="35" t="n">
        <v>7.75</v>
      </c>
      <c r="P119" s="22">
        <f>IF(OR(H119="",L119="Cancelled"),"",ROUND(IFERROR(H119*INDEX(Settings!$C$6:$C$15,MATCH(M119,Settings!$B$6:$B$15,0))+INDEX(Settings!$D$6:$D$15,MATCH(M119,Settings!$B$6:$B$15,0)),0),2))</f>
        <v/>
      </c>
      <c r="Q119" s="28">
        <f>IF(OR(H119="",L119="Cancelled"),"",H119-N(N119)-N(O119)-N(P119))</f>
        <v/>
      </c>
      <c r="R119" s="19">
        <f>IF(OR(B119="",K119=""),"",IF(OR(L119="Sent",L119="Picked up"),"Done",IF(L119="Cancelled","Cancelled",IF(K119&lt;TODAY(),"Late by "&amp;(TODAY()-K119)&amp;IF((TODAY()-K119)=1," day"," days"),IF(K119=TODAY(),"Due today","Due in "&amp;(K119-TODAY())&amp;IF((K119-TODAY())=1," day"," days"))))))</f>
        <v/>
      </c>
      <c r="S119" s="33" t="n"/>
      <c r="T119" s="1">
        <f>IF(AND(B119&lt;&gt;"",K119&lt;&gt;"",L119&lt;&gt;"Sent",L119&lt;&gt;"Picked up",L119&lt;&gt;"Cancelled"),K119+ROW()/10000000,"")</f>
        <v/>
      </c>
      <c r="U119">
        <f>IF(OR(B119="",C119=""),"",B119+ROW()/10000000)</f>
        <v/>
      </c>
      <c r="V119">
        <f>IF(U119="","",IF(COUNTIFS(Orders!$C$6:$C$1005,C119,Orders!$U$6:$U$1005,"&gt;"&amp;U119)=0,1,0))</f>
        <v/>
      </c>
      <c r="W119">
        <f>IF(AND(B119&lt;&gt;"",K119&lt;&gt;"",L119&lt;&gt;"Sent",L119&lt;&gt;"Picked up",L119&lt;&gt;"Cancelled"),IF(N(E119)=0,1,E119),0)</f>
        <v/>
      </c>
      <c r="X119">
        <f>IF(OR(B119="",D119=""),"",IF(N(E119)=0,1,E119))</f>
        <v/>
      </c>
    </row>
    <row r="120">
      <c r="A120" s="1" t="n"/>
      <c r="B120" s="31" t="n">
        <v>46141</v>
      </c>
      <c r="C120" s="32" t="inlineStr">
        <is>
          <t>Rita Price</t>
        </is>
      </c>
      <c r="D120" s="33" t="inlineStr">
        <is>
          <t>Soy candle 8 oz</t>
        </is>
      </c>
      <c r="E120" s="34" t="n">
        <v>1</v>
      </c>
      <c r="F120" s="35" t="n"/>
      <c r="G120" s="35" t="n">
        <v>6.95</v>
      </c>
      <c r="H120" s="30">
        <f>IF(OR(B120="",D120=""),"",IF(N(E120)=0,1,E120)*IFERROR(INDEX(Products!$C$6:$C$105,MATCH(D120,Products!$B$6:$B$105,0)),0)+N(F120)+N(G120))</f>
        <v/>
      </c>
      <c r="I120" s="35" t="n">
        <v>28.95</v>
      </c>
      <c r="J120" s="30">
        <f>IF(OR(H120="",L120="Cancelled"),"",IF(H120-N(I120)&gt;0.005,H120-N(I120),""))</f>
        <v/>
      </c>
      <c r="K120" s="31" t="n">
        <v>46153</v>
      </c>
      <c r="L120" s="36" t="inlineStr">
        <is>
          <t>Sent</t>
        </is>
      </c>
      <c r="M120" s="33" t="inlineStr">
        <is>
          <t>Own website</t>
        </is>
      </c>
      <c r="N120" s="22">
        <f>IF(OR(H120="",L120="Cancelled"),"",IF(N(E120)=0,1,E120)*IFERROR(INDEX(Products!$E$6:$E$105,MATCH(D120,Products!$B$6:$B$105,0)),0))</f>
        <v/>
      </c>
      <c r="O120" s="35" t="n">
        <v>7.05</v>
      </c>
      <c r="P120" s="22">
        <f>IF(OR(H120="",L120="Cancelled"),"",ROUND(IFERROR(H120*INDEX(Settings!$C$6:$C$15,MATCH(M120,Settings!$B$6:$B$15,0))+INDEX(Settings!$D$6:$D$15,MATCH(M120,Settings!$B$6:$B$15,0)),0),2))</f>
        <v/>
      </c>
      <c r="Q120" s="28">
        <f>IF(OR(H120="",L120="Cancelled"),"",H120-N(N120)-N(O120)-N(P120))</f>
        <v/>
      </c>
      <c r="R120" s="19">
        <f>IF(OR(B120="",K120=""),"",IF(OR(L120="Sent",L120="Picked up"),"Done",IF(L120="Cancelled","Cancelled",IF(K120&lt;TODAY(),"Late by "&amp;(TODAY()-K120)&amp;IF((TODAY()-K120)=1," day"," days"),IF(K120=TODAY(),"Due today","Due in "&amp;(K120-TODAY())&amp;IF((K120-TODAY())=1," day"," days"))))))</f>
        <v/>
      </c>
      <c r="S120" s="33" t="n"/>
      <c r="T120" s="1">
        <f>IF(AND(B120&lt;&gt;"",K120&lt;&gt;"",L120&lt;&gt;"Sent",L120&lt;&gt;"Picked up",L120&lt;&gt;"Cancelled"),K120+ROW()/10000000,"")</f>
        <v/>
      </c>
      <c r="U120">
        <f>IF(OR(B120="",C120=""),"",B120+ROW()/10000000)</f>
        <v/>
      </c>
      <c r="V120">
        <f>IF(U120="","",IF(COUNTIFS(Orders!$C$6:$C$1005,C120,Orders!$U$6:$U$1005,"&gt;"&amp;U120)=0,1,0))</f>
        <v/>
      </c>
      <c r="W120">
        <f>IF(AND(B120&lt;&gt;"",K120&lt;&gt;"",L120&lt;&gt;"Sent",L120&lt;&gt;"Picked up",L120&lt;&gt;"Cancelled"),IF(N(E120)=0,1,E120),0)</f>
        <v/>
      </c>
      <c r="X120">
        <f>IF(OR(B120="",D120=""),"",IF(N(E120)=0,1,E120))</f>
        <v/>
      </c>
    </row>
    <row r="121">
      <c r="A121" s="1" t="n"/>
      <c r="B121" s="31" t="n">
        <v>46144</v>
      </c>
      <c r="C121" s="32" t="inlineStr">
        <is>
          <t>Adam King</t>
        </is>
      </c>
      <c r="D121" s="33" t="inlineStr">
        <is>
          <t>Soy candle 8 oz</t>
        </is>
      </c>
      <c r="E121" s="34" t="n">
        <v>4</v>
      </c>
      <c r="F121" s="35" t="n"/>
      <c r="G121" s="35" t="n">
        <v>6.95</v>
      </c>
      <c r="H121" s="30">
        <f>IF(OR(B121="",D121=""),"",IF(N(E121)=0,1,E121)*IFERROR(INDEX(Products!$C$6:$C$105,MATCH(D121,Products!$B$6:$B$105,0)),0)+N(F121)+N(G121))</f>
        <v/>
      </c>
      <c r="I121" s="35" t="n">
        <v>94.95</v>
      </c>
      <c r="J121" s="30">
        <f>IF(OR(H121="",L121="Cancelled"),"",IF(H121-N(I121)&gt;0.005,H121-N(I121),""))</f>
        <v/>
      </c>
      <c r="K121" s="31" t="n">
        <v>46148</v>
      </c>
      <c r="L121" s="36" t="inlineStr">
        <is>
          <t>Sent</t>
        </is>
      </c>
      <c r="M121" s="33" t="inlineStr">
        <is>
          <t>Etsy</t>
        </is>
      </c>
      <c r="N121" s="22">
        <f>IF(OR(H121="",L121="Cancelled"),"",IF(N(E121)=0,1,E121)*IFERROR(INDEX(Products!$E$6:$E$105,MATCH(D121,Products!$B$6:$B$105,0)),0))</f>
        <v/>
      </c>
      <c r="O121" s="35" t="n">
        <v>5.6</v>
      </c>
      <c r="P121" s="22">
        <f>IF(OR(H121="",L121="Cancelled"),"",ROUND(IFERROR(H121*INDEX(Settings!$C$6:$C$15,MATCH(M121,Settings!$B$6:$B$15,0))+INDEX(Settings!$D$6:$D$15,MATCH(M121,Settings!$B$6:$B$15,0)),0),2))</f>
        <v/>
      </c>
      <c r="Q121" s="28">
        <f>IF(OR(H121="",L121="Cancelled"),"",H121-N(N121)-N(O121)-N(P121))</f>
        <v/>
      </c>
      <c r="R121" s="19">
        <f>IF(OR(B121="",K121=""),"",IF(OR(L121="Sent",L121="Picked up"),"Done",IF(L121="Cancelled","Cancelled",IF(K121&lt;TODAY(),"Late by "&amp;(TODAY()-K121)&amp;IF((TODAY()-K121)=1," day"," days"),IF(K121=TODAY(),"Due today","Due in "&amp;(K121-TODAY())&amp;IF((K121-TODAY())=1," day"," days"))))))</f>
        <v/>
      </c>
      <c r="S121" s="33" t="n"/>
      <c r="T121" s="1">
        <f>IF(AND(B121&lt;&gt;"",K121&lt;&gt;"",L121&lt;&gt;"Sent",L121&lt;&gt;"Picked up",L121&lt;&gt;"Cancelled"),K121+ROW()/10000000,"")</f>
        <v/>
      </c>
      <c r="U121">
        <f>IF(OR(B121="",C121=""),"",B121+ROW()/10000000)</f>
        <v/>
      </c>
      <c r="V121">
        <f>IF(U121="","",IF(COUNTIFS(Orders!$C$6:$C$1005,C121,Orders!$U$6:$U$1005,"&gt;"&amp;U121)=0,1,0))</f>
        <v/>
      </c>
      <c r="W121">
        <f>IF(AND(B121&lt;&gt;"",K121&lt;&gt;"",L121&lt;&gt;"Sent",L121&lt;&gt;"Picked up",L121&lt;&gt;"Cancelled"),IF(N(E121)=0,1,E121),0)</f>
        <v/>
      </c>
      <c r="X121">
        <f>IF(OR(B121="",D121=""),"",IF(N(E121)=0,1,E121))</f>
        <v/>
      </c>
    </row>
    <row r="122">
      <c r="A122" s="1" t="n"/>
      <c r="B122" s="31" t="n">
        <v>46145</v>
      </c>
      <c r="C122" s="32" t="inlineStr">
        <is>
          <t>Megan Murphy</t>
        </is>
      </c>
      <c r="D122" s="33" t="inlineStr">
        <is>
          <t>Soy candle 8 oz</t>
        </is>
      </c>
      <c r="E122" s="34" t="n">
        <v>4</v>
      </c>
      <c r="F122" s="35" t="n"/>
      <c r="G122" s="35" t="n"/>
      <c r="H122" s="30">
        <f>IF(OR(B122="",D122=""),"",IF(N(E122)=0,1,E122)*IFERROR(INDEX(Products!$C$6:$C$105,MATCH(D122,Products!$B$6:$B$105,0)),0)+N(F122)+N(G122))</f>
        <v/>
      </c>
      <c r="I122" s="35" t="n">
        <v>88</v>
      </c>
      <c r="J122" s="30">
        <f>IF(OR(H122="",L122="Cancelled"),"",IF(H122-N(I122)&gt;0.005,H122-N(I122),""))</f>
        <v/>
      </c>
      <c r="K122" s="31" t="n">
        <v>46150</v>
      </c>
      <c r="L122" s="36" t="inlineStr">
        <is>
          <t>Picked up</t>
        </is>
      </c>
      <c r="M122" s="33" t="inlineStr">
        <is>
          <t>Craft market</t>
        </is>
      </c>
      <c r="N122" s="22">
        <f>IF(OR(H122="",L122="Cancelled"),"",IF(N(E122)=0,1,E122)*IFERROR(INDEX(Products!$E$6:$E$105,MATCH(D122,Products!$B$6:$B$105,0)),0))</f>
        <v/>
      </c>
      <c r="O122" s="35" t="n"/>
      <c r="P122" s="22">
        <f>IF(OR(H122="",L122="Cancelled"),"",ROUND(IFERROR(H122*INDEX(Settings!$C$6:$C$15,MATCH(M122,Settings!$B$6:$B$15,0))+INDEX(Settings!$D$6:$D$15,MATCH(M122,Settings!$B$6:$B$15,0)),0),2))</f>
        <v/>
      </c>
      <c r="Q122" s="28">
        <f>IF(OR(H122="",L122="Cancelled"),"",H122-N(N122)-N(O122)-N(P122))</f>
        <v/>
      </c>
      <c r="R122" s="19">
        <f>IF(OR(B122="",K122=""),"",IF(OR(L122="Sent",L122="Picked up"),"Done",IF(L122="Cancelled","Cancelled",IF(K122&lt;TODAY(),"Late by "&amp;(TODAY()-K122)&amp;IF((TODAY()-K122)=1," day"," days"),IF(K122=TODAY(),"Due today","Due in "&amp;(K122-TODAY())&amp;IF((K122-TODAY())=1," day"," days"))))))</f>
        <v/>
      </c>
      <c r="S122" s="33" t="n"/>
      <c r="T122" s="1">
        <f>IF(AND(B122&lt;&gt;"",K122&lt;&gt;"",L122&lt;&gt;"Sent",L122&lt;&gt;"Picked up",L122&lt;&gt;"Cancelled"),K122+ROW()/10000000,"")</f>
        <v/>
      </c>
      <c r="U122">
        <f>IF(OR(B122="",C122=""),"",B122+ROW()/10000000)</f>
        <v/>
      </c>
      <c r="V122">
        <f>IF(U122="","",IF(COUNTIFS(Orders!$C$6:$C$1005,C122,Orders!$U$6:$U$1005,"&gt;"&amp;U122)=0,1,0))</f>
        <v/>
      </c>
      <c r="W122">
        <f>IF(AND(B122&lt;&gt;"",K122&lt;&gt;"",L122&lt;&gt;"Sent",L122&lt;&gt;"Picked up",L122&lt;&gt;"Cancelled"),IF(N(E122)=0,1,E122),0)</f>
        <v/>
      </c>
      <c r="X122">
        <f>IF(OR(B122="",D122=""),"",IF(N(E122)=0,1,E122))</f>
        <v/>
      </c>
    </row>
    <row r="123">
      <c r="A123" s="1" t="n"/>
      <c r="B123" s="31" t="n">
        <v>46145</v>
      </c>
      <c r="C123" s="32" t="inlineStr">
        <is>
          <t>George Hill</t>
        </is>
      </c>
      <c r="D123" s="33" t="inlineStr">
        <is>
          <t>Soy candle 8 oz</t>
        </is>
      </c>
      <c r="E123" s="34" t="n">
        <v>1</v>
      </c>
      <c r="F123" s="35" t="n"/>
      <c r="G123" s="35" t="n">
        <v>6.95</v>
      </c>
      <c r="H123" s="30">
        <f>IF(OR(B123="",D123=""),"",IF(N(E123)=0,1,E123)*IFERROR(INDEX(Products!$C$6:$C$105,MATCH(D123,Products!$B$6:$B$105,0)),0)+N(F123)+N(G123))</f>
        <v/>
      </c>
      <c r="I123" s="35" t="n">
        <v>28.95</v>
      </c>
      <c r="J123" s="30">
        <f>IF(OR(H123="",L123="Cancelled"),"",IF(H123-N(I123)&gt;0.005,H123-N(I123),""))</f>
        <v/>
      </c>
      <c r="K123" s="31" t="n">
        <v>46156</v>
      </c>
      <c r="L123" s="36" t="inlineStr">
        <is>
          <t>Sent</t>
        </is>
      </c>
      <c r="M123" s="33" t="inlineStr">
        <is>
          <t>Etsy</t>
        </is>
      </c>
      <c r="N123" s="22">
        <f>IF(OR(H123="",L123="Cancelled"),"",IF(N(E123)=0,1,E123)*IFERROR(INDEX(Products!$E$6:$E$105,MATCH(D123,Products!$B$6:$B$105,0)),0))</f>
        <v/>
      </c>
      <c r="O123" s="35" t="n">
        <v>5.87</v>
      </c>
      <c r="P123" s="22">
        <f>IF(OR(H123="",L123="Cancelled"),"",ROUND(IFERROR(H123*INDEX(Settings!$C$6:$C$15,MATCH(M123,Settings!$B$6:$B$15,0))+INDEX(Settings!$D$6:$D$15,MATCH(M123,Settings!$B$6:$B$15,0)),0),2))</f>
        <v/>
      </c>
      <c r="Q123" s="28">
        <f>IF(OR(H123="",L123="Cancelled"),"",H123-N(N123)-N(O123)-N(P123))</f>
        <v/>
      </c>
      <c r="R123" s="19">
        <f>IF(OR(B123="",K123=""),"",IF(OR(L123="Sent",L123="Picked up"),"Done",IF(L123="Cancelled","Cancelled",IF(K123&lt;TODAY(),"Late by "&amp;(TODAY()-K123)&amp;IF((TODAY()-K123)=1," day"," days"),IF(K123=TODAY(),"Due today","Due in "&amp;(K123-TODAY())&amp;IF((K123-TODAY())=1," day"," days"))))))</f>
        <v/>
      </c>
      <c r="S123" s="33" t="n"/>
      <c r="T123" s="1">
        <f>IF(AND(B123&lt;&gt;"",K123&lt;&gt;"",L123&lt;&gt;"Sent",L123&lt;&gt;"Picked up",L123&lt;&gt;"Cancelled"),K123+ROW()/10000000,"")</f>
        <v/>
      </c>
      <c r="U123">
        <f>IF(OR(B123="",C123=""),"",B123+ROW()/10000000)</f>
        <v/>
      </c>
      <c r="V123">
        <f>IF(U123="","",IF(COUNTIFS(Orders!$C$6:$C$1005,C123,Orders!$U$6:$U$1005,"&gt;"&amp;U123)=0,1,0))</f>
        <v/>
      </c>
      <c r="W123">
        <f>IF(AND(B123&lt;&gt;"",K123&lt;&gt;"",L123&lt;&gt;"Sent",L123&lt;&gt;"Picked up",L123&lt;&gt;"Cancelled"),IF(N(E123)=0,1,E123),0)</f>
        <v/>
      </c>
      <c r="X123">
        <f>IF(OR(B123="",D123=""),"",IF(N(E123)=0,1,E123))</f>
        <v/>
      </c>
    </row>
    <row r="124">
      <c r="A124" s="1" t="n"/>
      <c r="B124" s="31" t="n">
        <v>46146</v>
      </c>
      <c r="C124" s="32" t="inlineStr">
        <is>
          <t>Kara Adams</t>
        </is>
      </c>
      <c r="D124" s="33" t="inlineStr">
        <is>
          <t>Soy candle 8 oz</t>
        </is>
      </c>
      <c r="E124" s="34" t="n">
        <v>1</v>
      </c>
      <c r="F124" s="35" t="n"/>
      <c r="G124" s="35" t="n"/>
      <c r="H124" s="30">
        <f>IF(OR(B124="",D124=""),"",IF(N(E124)=0,1,E124)*IFERROR(INDEX(Products!$C$6:$C$105,MATCH(D124,Products!$B$6:$B$105,0)),0)+N(F124)+N(G124))</f>
        <v/>
      </c>
      <c r="I124" s="35" t="n">
        <v>22</v>
      </c>
      <c r="J124" s="30">
        <f>IF(OR(H124="",L124="Cancelled"),"",IF(H124-N(I124)&gt;0.005,H124-N(I124),""))</f>
        <v/>
      </c>
      <c r="K124" s="31" t="n">
        <v>46155</v>
      </c>
      <c r="L124" s="36" t="inlineStr">
        <is>
          <t>Picked up</t>
        </is>
      </c>
      <c r="M124" s="33" t="inlineStr">
        <is>
          <t>Friends and family</t>
        </is>
      </c>
      <c r="N124" s="22">
        <f>IF(OR(H124="",L124="Cancelled"),"",IF(N(E124)=0,1,E124)*IFERROR(INDEX(Products!$E$6:$E$105,MATCH(D124,Products!$B$6:$B$105,0)),0))</f>
        <v/>
      </c>
      <c r="O124" s="35" t="n"/>
      <c r="P124" s="22">
        <f>IF(OR(H124="",L124="Cancelled"),"",ROUND(IFERROR(H124*INDEX(Settings!$C$6:$C$15,MATCH(M124,Settings!$B$6:$B$15,0))+INDEX(Settings!$D$6:$D$15,MATCH(M124,Settings!$B$6:$B$15,0)),0),2))</f>
        <v/>
      </c>
      <c r="Q124" s="28">
        <f>IF(OR(H124="",L124="Cancelled"),"",H124-N(N124)-N(O124)-N(P124))</f>
        <v/>
      </c>
      <c r="R124" s="19">
        <f>IF(OR(B124="",K124=""),"",IF(OR(L124="Sent",L124="Picked up"),"Done",IF(L124="Cancelled","Cancelled",IF(K124&lt;TODAY(),"Late by "&amp;(TODAY()-K124)&amp;IF((TODAY()-K124)=1," day"," days"),IF(K124=TODAY(),"Due today","Due in "&amp;(K124-TODAY())&amp;IF((K124-TODAY())=1," day"," days"))))))</f>
        <v/>
      </c>
      <c r="S124" s="33" t="n"/>
      <c r="T124" s="1">
        <f>IF(AND(B124&lt;&gt;"",K124&lt;&gt;"",L124&lt;&gt;"Sent",L124&lt;&gt;"Picked up",L124&lt;&gt;"Cancelled"),K124+ROW()/10000000,"")</f>
        <v/>
      </c>
      <c r="U124">
        <f>IF(OR(B124="",C124=""),"",B124+ROW()/10000000)</f>
        <v/>
      </c>
      <c r="V124">
        <f>IF(U124="","",IF(COUNTIFS(Orders!$C$6:$C$1005,C124,Orders!$U$6:$U$1005,"&gt;"&amp;U124)=0,1,0))</f>
        <v/>
      </c>
      <c r="W124">
        <f>IF(AND(B124&lt;&gt;"",K124&lt;&gt;"",L124&lt;&gt;"Sent",L124&lt;&gt;"Picked up",L124&lt;&gt;"Cancelled"),IF(N(E124)=0,1,E124),0)</f>
        <v/>
      </c>
      <c r="X124">
        <f>IF(OR(B124="",D124=""),"",IF(N(E124)=0,1,E124))</f>
        <v/>
      </c>
    </row>
    <row r="125">
      <c r="A125" s="1" t="n"/>
      <c r="B125" s="31" t="n">
        <v>46148</v>
      </c>
      <c r="C125" s="32" t="inlineStr">
        <is>
          <t>Paula Mills</t>
        </is>
      </c>
      <c r="D125" s="33" t="inlineStr">
        <is>
          <t>Soy candle 16 oz</t>
        </is>
      </c>
      <c r="E125" s="34" t="n">
        <v>1</v>
      </c>
      <c r="F125" s="35" t="n"/>
      <c r="G125" s="35" t="n">
        <v>6.95</v>
      </c>
      <c r="H125" s="30">
        <f>IF(OR(B125="",D125=""),"",IF(N(E125)=0,1,E125)*IFERROR(INDEX(Products!$C$6:$C$105,MATCH(D125,Products!$B$6:$B$105,0)),0)+N(F125)+N(G125))</f>
        <v/>
      </c>
      <c r="I125" s="35" t="n">
        <v>40.95</v>
      </c>
      <c r="J125" s="30">
        <f>IF(OR(H125="",L125="Cancelled"),"",IF(H125-N(I125)&gt;0.005,H125-N(I125),""))</f>
        <v/>
      </c>
      <c r="K125" s="31" t="n">
        <v>46153</v>
      </c>
      <c r="L125" s="36" t="inlineStr">
        <is>
          <t>Sent</t>
        </is>
      </c>
      <c r="M125" s="33" t="inlineStr">
        <is>
          <t>Own website</t>
        </is>
      </c>
      <c r="N125" s="22">
        <f>IF(OR(H125="",L125="Cancelled"),"",IF(N(E125)=0,1,E125)*IFERROR(INDEX(Products!$E$6:$E$105,MATCH(D125,Products!$B$6:$B$105,0)),0))</f>
        <v/>
      </c>
      <c r="O125" s="35" t="n">
        <v>5.67</v>
      </c>
      <c r="P125" s="22">
        <f>IF(OR(H125="",L125="Cancelled"),"",ROUND(IFERROR(H125*INDEX(Settings!$C$6:$C$15,MATCH(M125,Settings!$B$6:$B$15,0))+INDEX(Settings!$D$6:$D$15,MATCH(M125,Settings!$B$6:$B$15,0)),0),2))</f>
        <v/>
      </c>
      <c r="Q125" s="28">
        <f>IF(OR(H125="",L125="Cancelled"),"",H125-N(N125)-N(O125)-N(P125))</f>
        <v/>
      </c>
      <c r="R125" s="19">
        <f>IF(OR(B125="",K125=""),"",IF(OR(L125="Sent",L125="Picked up"),"Done",IF(L125="Cancelled","Cancelled",IF(K125&lt;TODAY(),"Late by "&amp;(TODAY()-K125)&amp;IF((TODAY()-K125)=1," day"," days"),IF(K125=TODAY(),"Due today","Due in "&amp;(K125-TODAY())&amp;IF((K125-TODAY())=1," day"," days"))))))</f>
        <v/>
      </c>
      <c r="S125" s="33" t="n"/>
      <c r="T125" s="1">
        <f>IF(AND(B125&lt;&gt;"",K125&lt;&gt;"",L125&lt;&gt;"Sent",L125&lt;&gt;"Picked up",L125&lt;&gt;"Cancelled"),K125+ROW()/10000000,"")</f>
        <v/>
      </c>
      <c r="U125">
        <f>IF(OR(B125="",C125=""),"",B125+ROW()/10000000)</f>
        <v/>
      </c>
      <c r="V125">
        <f>IF(U125="","",IF(COUNTIFS(Orders!$C$6:$C$1005,C125,Orders!$U$6:$U$1005,"&gt;"&amp;U125)=0,1,0))</f>
        <v/>
      </c>
      <c r="W125">
        <f>IF(AND(B125&lt;&gt;"",K125&lt;&gt;"",L125&lt;&gt;"Sent",L125&lt;&gt;"Picked up",L125&lt;&gt;"Cancelled"),IF(N(E125)=0,1,E125),0)</f>
        <v/>
      </c>
      <c r="X125">
        <f>IF(OR(B125="",D125=""),"",IF(N(E125)=0,1,E125))</f>
        <v/>
      </c>
    </row>
    <row r="126">
      <c r="A126" s="1" t="n"/>
      <c r="B126" s="31" t="n">
        <v>46149</v>
      </c>
      <c r="C126" s="32" t="inlineStr">
        <is>
          <t>Leah Morgan</t>
        </is>
      </c>
      <c r="D126" s="33" t="inlineStr">
        <is>
          <t>Soy candle 16 oz</t>
        </is>
      </c>
      <c r="E126" s="34" t="n">
        <v>4</v>
      </c>
      <c r="F126" s="35" t="n"/>
      <c r="G126" s="35" t="n">
        <v>6.95</v>
      </c>
      <c r="H126" s="30">
        <f>IF(OR(B126="",D126=""),"",IF(N(E126)=0,1,E126)*IFERROR(INDEX(Products!$C$6:$C$105,MATCH(D126,Products!$B$6:$B$105,0)),0)+N(F126)+N(G126))</f>
        <v/>
      </c>
      <c r="I126" s="35" t="n">
        <v>142.95</v>
      </c>
      <c r="J126" s="30">
        <f>IF(OR(H126="",L126="Cancelled"),"",IF(H126-N(I126)&gt;0.005,H126-N(I126),""))</f>
        <v/>
      </c>
      <c r="K126" s="31" t="n">
        <v>46156</v>
      </c>
      <c r="L126" s="36" t="inlineStr">
        <is>
          <t>Sent</t>
        </is>
      </c>
      <c r="M126" s="33" t="inlineStr">
        <is>
          <t>Etsy</t>
        </is>
      </c>
      <c r="N126" s="22">
        <f>IF(OR(H126="",L126="Cancelled"),"",IF(N(E126)=0,1,E126)*IFERROR(INDEX(Products!$E$6:$E$105,MATCH(D126,Products!$B$6:$B$105,0)),0))</f>
        <v/>
      </c>
      <c r="O126" s="35" t="n">
        <v>6.2</v>
      </c>
      <c r="P126" s="22">
        <f>IF(OR(H126="",L126="Cancelled"),"",ROUND(IFERROR(H126*INDEX(Settings!$C$6:$C$15,MATCH(M126,Settings!$B$6:$B$15,0))+INDEX(Settings!$D$6:$D$15,MATCH(M126,Settings!$B$6:$B$15,0)),0),2))</f>
        <v/>
      </c>
      <c r="Q126" s="28">
        <f>IF(OR(H126="",L126="Cancelled"),"",H126-N(N126)-N(O126)-N(P126))</f>
        <v/>
      </c>
      <c r="R126" s="19">
        <f>IF(OR(B126="",K126=""),"",IF(OR(L126="Sent",L126="Picked up"),"Done",IF(L126="Cancelled","Cancelled",IF(K126&lt;TODAY(),"Late by "&amp;(TODAY()-K126)&amp;IF((TODAY()-K126)=1," day"," days"),IF(K126=TODAY(),"Due today","Due in "&amp;(K126-TODAY())&amp;IF((K126-TODAY())=1," day"," days"))))))</f>
        <v/>
      </c>
      <c r="S126" s="33" t="n"/>
      <c r="T126" s="1">
        <f>IF(AND(B126&lt;&gt;"",K126&lt;&gt;"",L126&lt;&gt;"Sent",L126&lt;&gt;"Picked up",L126&lt;&gt;"Cancelled"),K126+ROW()/10000000,"")</f>
        <v/>
      </c>
      <c r="U126">
        <f>IF(OR(B126="",C126=""),"",B126+ROW()/10000000)</f>
        <v/>
      </c>
      <c r="V126">
        <f>IF(U126="","",IF(COUNTIFS(Orders!$C$6:$C$1005,C126,Orders!$U$6:$U$1005,"&gt;"&amp;U126)=0,1,0))</f>
        <v/>
      </c>
      <c r="W126">
        <f>IF(AND(B126&lt;&gt;"",K126&lt;&gt;"",L126&lt;&gt;"Sent",L126&lt;&gt;"Picked up",L126&lt;&gt;"Cancelled"),IF(N(E126)=0,1,E126),0)</f>
        <v/>
      </c>
      <c r="X126">
        <f>IF(OR(B126="",D126=""),"",IF(N(E126)=0,1,E126))</f>
        <v/>
      </c>
    </row>
    <row r="127">
      <c r="A127" s="1" t="n"/>
      <c r="B127" s="31" t="n">
        <v>46150</v>
      </c>
      <c r="C127" s="32" t="inlineStr">
        <is>
          <t>Ruby Cook</t>
        </is>
      </c>
      <c r="D127" s="33" t="inlineStr">
        <is>
          <t>Wax melts, 6 pack</t>
        </is>
      </c>
      <c r="E127" s="34" t="n">
        <v>1</v>
      </c>
      <c r="F127" s="35" t="n"/>
      <c r="G127" s="35" t="n"/>
      <c r="H127" s="30">
        <f>IF(OR(B127="",D127=""),"",IF(N(E127)=0,1,E127)*IFERROR(INDEX(Products!$C$6:$C$105,MATCH(D127,Products!$B$6:$B$105,0)),0)+N(F127)+N(G127))</f>
        <v/>
      </c>
      <c r="I127" s="35" t="n">
        <v>9</v>
      </c>
      <c r="J127" s="30">
        <f>IF(OR(H127="",L127="Cancelled"),"",IF(H127-N(I127)&gt;0.005,H127-N(I127),""))</f>
        <v/>
      </c>
      <c r="K127" s="31" t="n">
        <v>46161</v>
      </c>
      <c r="L127" s="36" t="inlineStr">
        <is>
          <t>Picked up</t>
        </is>
      </c>
      <c r="M127" s="33" t="inlineStr">
        <is>
          <t>Craft market</t>
        </is>
      </c>
      <c r="N127" s="22">
        <f>IF(OR(H127="",L127="Cancelled"),"",IF(N(E127)=0,1,E127)*IFERROR(INDEX(Products!$E$6:$E$105,MATCH(D127,Products!$B$6:$B$105,0)),0))</f>
        <v/>
      </c>
      <c r="O127" s="35" t="n"/>
      <c r="P127" s="22">
        <f>IF(OR(H127="",L127="Cancelled"),"",ROUND(IFERROR(H127*INDEX(Settings!$C$6:$C$15,MATCH(M127,Settings!$B$6:$B$15,0))+INDEX(Settings!$D$6:$D$15,MATCH(M127,Settings!$B$6:$B$15,0)),0),2))</f>
        <v/>
      </c>
      <c r="Q127" s="28">
        <f>IF(OR(H127="",L127="Cancelled"),"",H127-N(N127)-N(O127)-N(P127))</f>
        <v/>
      </c>
      <c r="R127" s="19">
        <f>IF(OR(B127="",K127=""),"",IF(OR(L127="Sent",L127="Picked up"),"Done",IF(L127="Cancelled","Cancelled",IF(K127&lt;TODAY(),"Late by "&amp;(TODAY()-K127)&amp;IF((TODAY()-K127)=1," day"," days"),IF(K127=TODAY(),"Due today","Due in "&amp;(K127-TODAY())&amp;IF((K127-TODAY())=1," day"," days"))))))</f>
        <v/>
      </c>
      <c r="S127" s="33" t="n"/>
      <c r="T127" s="1">
        <f>IF(AND(B127&lt;&gt;"",K127&lt;&gt;"",L127&lt;&gt;"Sent",L127&lt;&gt;"Picked up",L127&lt;&gt;"Cancelled"),K127+ROW()/10000000,"")</f>
        <v/>
      </c>
      <c r="U127">
        <f>IF(OR(B127="",C127=""),"",B127+ROW()/10000000)</f>
        <v/>
      </c>
      <c r="V127">
        <f>IF(U127="","",IF(COUNTIFS(Orders!$C$6:$C$1005,C127,Orders!$U$6:$U$1005,"&gt;"&amp;U127)=0,1,0))</f>
        <v/>
      </c>
      <c r="W127">
        <f>IF(AND(B127&lt;&gt;"",K127&lt;&gt;"",L127&lt;&gt;"Sent",L127&lt;&gt;"Picked up",L127&lt;&gt;"Cancelled"),IF(N(E127)=0,1,E127),0)</f>
        <v/>
      </c>
      <c r="X127">
        <f>IF(OR(B127="",D127=""),"",IF(N(E127)=0,1,E127))</f>
        <v/>
      </c>
    </row>
    <row r="128">
      <c r="A128" s="1" t="n"/>
      <c r="B128" s="31" t="n">
        <v>46150</v>
      </c>
      <c r="C128" s="32" t="inlineStr">
        <is>
          <t>Alice Cook</t>
        </is>
      </c>
      <c r="D128" s="33" t="inlineStr">
        <is>
          <t>Soap bar</t>
        </is>
      </c>
      <c r="E128" s="34" t="n">
        <v>2</v>
      </c>
      <c r="F128" s="35" t="n"/>
      <c r="G128" s="35" t="n">
        <v>6.95</v>
      </c>
      <c r="H128" s="30">
        <f>IF(OR(B128="",D128=""),"",IF(N(E128)=0,1,E128)*IFERROR(INDEX(Products!$C$6:$C$105,MATCH(D128,Products!$B$6:$B$105,0)),0)+N(F128)+N(G128))</f>
        <v/>
      </c>
      <c r="I128" s="35" t="n">
        <v>22.95</v>
      </c>
      <c r="J128" s="30">
        <f>IF(OR(H128="",L128="Cancelled"),"",IF(H128-N(I128)&gt;0.005,H128-N(I128),""))</f>
        <v/>
      </c>
      <c r="K128" s="31" t="n">
        <v>46157</v>
      </c>
      <c r="L128" s="36" t="inlineStr">
        <is>
          <t>Sent</t>
        </is>
      </c>
      <c r="M128" s="33" t="inlineStr">
        <is>
          <t>Etsy</t>
        </is>
      </c>
      <c r="N128" s="22">
        <f>IF(OR(H128="",L128="Cancelled"),"",IF(N(E128)=0,1,E128)*IFERROR(INDEX(Products!$E$6:$E$105,MATCH(D128,Products!$B$6:$B$105,0)),0))</f>
        <v/>
      </c>
      <c r="O128" s="35" t="n">
        <v>6.87</v>
      </c>
      <c r="P128" s="22">
        <f>IF(OR(H128="",L128="Cancelled"),"",ROUND(IFERROR(H128*INDEX(Settings!$C$6:$C$15,MATCH(M128,Settings!$B$6:$B$15,0))+INDEX(Settings!$D$6:$D$15,MATCH(M128,Settings!$B$6:$B$15,0)),0),2))</f>
        <v/>
      </c>
      <c r="Q128" s="28">
        <f>IF(OR(H128="",L128="Cancelled"),"",H128-N(N128)-N(O128)-N(P128))</f>
        <v/>
      </c>
      <c r="R128" s="19">
        <f>IF(OR(B128="",K128=""),"",IF(OR(L128="Sent",L128="Picked up"),"Done",IF(L128="Cancelled","Cancelled",IF(K128&lt;TODAY(),"Late by "&amp;(TODAY()-K128)&amp;IF((TODAY()-K128)=1," day"," days"),IF(K128=TODAY(),"Due today","Due in "&amp;(K128-TODAY())&amp;IF((K128-TODAY())=1," day"," days"))))))</f>
        <v/>
      </c>
      <c r="S128" s="33" t="n"/>
      <c r="T128" s="1">
        <f>IF(AND(B128&lt;&gt;"",K128&lt;&gt;"",L128&lt;&gt;"Sent",L128&lt;&gt;"Picked up",L128&lt;&gt;"Cancelled"),K128+ROW()/10000000,"")</f>
        <v/>
      </c>
      <c r="U128">
        <f>IF(OR(B128="",C128=""),"",B128+ROW()/10000000)</f>
        <v/>
      </c>
      <c r="V128">
        <f>IF(U128="","",IF(COUNTIFS(Orders!$C$6:$C$1005,C128,Orders!$U$6:$U$1005,"&gt;"&amp;U128)=0,1,0))</f>
        <v/>
      </c>
      <c r="W128">
        <f>IF(AND(B128&lt;&gt;"",K128&lt;&gt;"",L128&lt;&gt;"Sent",L128&lt;&gt;"Picked up",L128&lt;&gt;"Cancelled"),IF(N(E128)=0,1,E128),0)</f>
        <v/>
      </c>
      <c r="X128">
        <f>IF(OR(B128="",D128=""),"",IF(N(E128)=0,1,E128))</f>
        <v/>
      </c>
    </row>
    <row r="129">
      <c r="A129" s="1" t="n"/>
      <c r="B129" s="31" t="n">
        <v>46153</v>
      </c>
      <c r="C129" s="32" t="inlineStr">
        <is>
          <t>Paula Morgan</t>
        </is>
      </c>
      <c r="D129" s="33" t="inlineStr">
        <is>
          <t>Soy candle 8 oz</t>
        </is>
      </c>
      <c r="E129" s="34" t="n">
        <v>2</v>
      </c>
      <c r="F129" s="35" t="n"/>
      <c r="G129" s="35" t="n"/>
      <c r="H129" s="30">
        <f>IF(OR(B129="",D129=""),"",IF(N(E129)=0,1,E129)*IFERROR(INDEX(Products!$C$6:$C$105,MATCH(D129,Products!$B$6:$B$105,0)),0)+N(F129)+N(G129))</f>
        <v/>
      </c>
      <c r="I129" s="35" t="n">
        <v>44</v>
      </c>
      <c r="J129" s="30">
        <f>IF(OR(H129="",L129="Cancelled"),"",IF(H129-N(I129)&gt;0.005,H129-N(I129),""))</f>
        <v/>
      </c>
      <c r="K129" s="31" t="n">
        <v>46165</v>
      </c>
      <c r="L129" s="36" t="inlineStr">
        <is>
          <t>Picked up</t>
        </is>
      </c>
      <c r="M129" s="33" t="inlineStr">
        <is>
          <t>Friends and family</t>
        </is>
      </c>
      <c r="N129" s="22">
        <f>IF(OR(H129="",L129="Cancelled"),"",IF(N(E129)=0,1,E129)*IFERROR(INDEX(Products!$E$6:$E$105,MATCH(D129,Products!$B$6:$B$105,0)),0))</f>
        <v/>
      </c>
      <c r="O129" s="35" t="n"/>
      <c r="P129" s="22">
        <f>IF(OR(H129="",L129="Cancelled"),"",ROUND(IFERROR(H129*INDEX(Settings!$C$6:$C$15,MATCH(M129,Settings!$B$6:$B$15,0))+INDEX(Settings!$D$6:$D$15,MATCH(M129,Settings!$B$6:$B$15,0)),0),2))</f>
        <v/>
      </c>
      <c r="Q129" s="28">
        <f>IF(OR(H129="",L129="Cancelled"),"",H129-N(N129)-N(O129)-N(P129))</f>
        <v/>
      </c>
      <c r="R129" s="19">
        <f>IF(OR(B129="",K129=""),"",IF(OR(L129="Sent",L129="Picked up"),"Done",IF(L129="Cancelled","Cancelled",IF(K129&lt;TODAY(),"Late by "&amp;(TODAY()-K129)&amp;IF((TODAY()-K129)=1," day"," days"),IF(K129=TODAY(),"Due today","Due in "&amp;(K129-TODAY())&amp;IF((K129-TODAY())=1," day"," days"))))))</f>
        <v/>
      </c>
      <c r="S129" s="33" t="n"/>
      <c r="T129" s="1">
        <f>IF(AND(B129&lt;&gt;"",K129&lt;&gt;"",L129&lt;&gt;"Sent",L129&lt;&gt;"Picked up",L129&lt;&gt;"Cancelled"),K129+ROW()/10000000,"")</f>
        <v/>
      </c>
      <c r="U129">
        <f>IF(OR(B129="",C129=""),"",B129+ROW()/10000000)</f>
        <v/>
      </c>
      <c r="V129">
        <f>IF(U129="","",IF(COUNTIFS(Orders!$C$6:$C$1005,C129,Orders!$U$6:$U$1005,"&gt;"&amp;U129)=0,1,0))</f>
        <v/>
      </c>
      <c r="W129">
        <f>IF(AND(B129&lt;&gt;"",K129&lt;&gt;"",L129&lt;&gt;"Sent",L129&lt;&gt;"Picked up",L129&lt;&gt;"Cancelled"),IF(N(E129)=0,1,E129),0)</f>
        <v/>
      </c>
      <c r="X129">
        <f>IF(OR(B129="",D129=""),"",IF(N(E129)=0,1,E129))</f>
        <v/>
      </c>
    </row>
    <row r="130">
      <c r="A130" s="1" t="n"/>
      <c r="B130" s="31" t="n">
        <v>46155</v>
      </c>
      <c r="C130" s="32" t="inlineStr">
        <is>
          <t>Leah Hughes</t>
        </is>
      </c>
      <c r="D130" s="33" t="inlineStr">
        <is>
          <t>Soy candle 8 oz</t>
        </is>
      </c>
      <c r="E130" s="34" t="n">
        <v>1</v>
      </c>
      <c r="F130" s="35" t="n"/>
      <c r="G130" s="35" t="n"/>
      <c r="H130" s="30">
        <f>IF(OR(B130="",D130=""),"",IF(N(E130)=0,1,E130)*IFERROR(INDEX(Products!$C$6:$C$105,MATCH(D130,Products!$B$6:$B$105,0)),0)+N(F130)+N(G130))</f>
        <v/>
      </c>
      <c r="I130" s="35" t="n">
        <v>22</v>
      </c>
      <c r="J130" s="30">
        <f>IF(OR(H130="",L130="Cancelled"),"",IF(H130-N(I130)&gt;0.005,H130-N(I130),""))</f>
        <v/>
      </c>
      <c r="K130" s="31" t="n">
        <v>46166</v>
      </c>
      <c r="L130" s="36" t="inlineStr">
        <is>
          <t>Picked up</t>
        </is>
      </c>
      <c r="M130" s="33" t="inlineStr">
        <is>
          <t>Friends and family</t>
        </is>
      </c>
      <c r="N130" s="22">
        <f>IF(OR(H130="",L130="Cancelled"),"",IF(N(E130)=0,1,E130)*IFERROR(INDEX(Products!$E$6:$E$105,MATCH(D130,Products!$B$6:$B$105,0)),0))</f>
        <v/>
      </c>
      <c r="O130" s="35" t="n"/>
      <c r="P130" s="22">
        <f>IF(OR(H130="",L130="Cancelled"),"",ROUND(IFERROR(H130*INDEX(Settings!$C$6:$C$15,MATCH(M130,Settings!$B$6:$B$15,0))+INDEX(Settings!$D$6:$D$15,MATCH(M130,Settings!$B$6:$B$15,0)),0),2))</f>
        <v/>
      </c>
      <c r="Q130" s="28">
        <f>IF(OR(H130="",L130="Cancelled"),"",H130-N(N130)-N(O130)-N(P130))</f>
        <v/>
      </c>
      <c r="R130" s="19">
        <f>IF(OR(B130="",K130=""),"",IF(OR(L130="Sent",L130="Picked up"),"Done",IF(L130="Cancelled","Cancelled",IF(K130&lt;TODAY(),"Late by "&amp;(TODAY()-K130)&amp;IF((TODAY()-K130)=1," day"," days"),IF(K130=TODAY(),"Due today","Due in "&amp;(K130-TODAY())&amp;IF((K130-TODAY())=1," day"," days"))))))</f>
        <v/>
      </c>
      <c r="S130" s="33" t="n"/>
      <c r="T130" s="1">
        <f>IF(AND(B130&lt;&gt;"",K130&lt;&gt;"",L130&lt;&gt;"Sent",L130&lt;&gt;"Picked up",L130&lt;&gt;"Cancelled"),K130+ROW()/10000000,"")</f>
        <v/>
      </c>
      <c r="U130">
        <f>IF(OR(B130="",C130=""),"",B130+ROW()/10000000)</f>
        <v/>
      </c>
      <c r="V130">
        <f>IF(U130="","",IF(COUNTIFS(Orders!$C$6:$C$1005,C130,Orders!$U$6:$U$1005,"&gt;"&amp;U130)=0,1,0))</f>
        <v/>
      </c>
      <c r="W130">
        <f>IF(AND(B130&lt;&gt;"",K130&lt;&gt;"",L130&lt;&gt;"Sent",L130&lt;&gt;"Picked up",L130&lt;&gt;"Cancelled"),IF(N(E130)=0,1,E130),0)</f>
        <v/>
      </c>
      <c r="X130">
        <f>IF(OR(B130="",D130=""),"",IF(N(E130)=0,1,E130))</f>
        <v/>
      </c>
    </row>
    <row r="131">
      <c r="A131" s="1" t="n"/>
      <c r="B131" s="31" t="n">
        <v>46156</v>
      </c>
      <c r="C131" s="32" t="inlineStr">
        <is>
          <t>Hannah Owens</t>
        </is>
      </c>
      <c r="D131" s="33" t="inlineStr">
        <is>
          <t>Soy candle 16 oz</t>
        </is>
      </c>
      <c r="E131" s="34" t="n">
        <v>2</v>
      </c>
      <c r="F131" s="35" t="n"/>
      <c r="G131" s="35" t="n"/>
      <c r="H131" s="30">
        <f>IF(OR(B131="",D131=""),"",IF(N(E131)=0,1,E131)*IFERROR(INDEX(Products!$C$6:$C$105,MATCH(D131,Products!$B$6:$B$105,0)),0)+N(F131)+N(G131))</f>
        <v/>
      </c>
      <c r="I131" s="35" t="n">
        <v>68</v>
      </c>
      <c r="J131" s="30">
        <f>IF(OR(H131="",L131="Cancelled"),"",IF(H131-N(I131)&gt;0.005,H131-N(I131),""))</f>
        <v/>
      </c>
      <c r="K131" s="31" t="n">
        <v>46163</v>
      </c>
      <c r="L131" s="36" t="inlineStr">
        <is>
          <t>Picked up</t>
        </is>
      </c>
      <c r="M131" s="33" t="inlineStr">
        <is>
          <t>Friends and family</t>
        </is>
      </c>
      <c r="N131" s="22">
        <f>IF(OR(H131="",L131="Cancelled"),"",IF(N(E131)=0,1,E131)*IFERROR(INDEX(Products!$E$6:$E$105,MATCH(D131,Products!$B$6:$B$105,0)),0))</f>
        <v/>
      </c>
      <c r="O131" s="35" t="n"/>
      <c r="P131" s="22">
        <f>IF(OR(H131="",L131="Cancelled"),"",ROUND(IFERROR(H131*INDEX(Settings!$C$6:$C$15,MATCH(M131,Settings!$B$6:$B$15,0))+INDEX(Settings!$D$6:$D$15,MATCH(M131,Settings!$B$6:$B$15,0)),0),2))</f>
        <v/>
      </c>
      <c r="Q131" s="28">
        <f>IF(OR(H131="",L131="Cancelled"),"",H131-N(N131)-N(O131)-N(P131))</f>
        <v/>
      </c>
      <c r="R131" s="19">
        <f>IF(OR(B131="",K131=""),"",IF(OR(L131="Sent",L131="Picked up"),"Done",IF(L131="Cancelled","Cancelled",IF(K131&lt;TODAY(),"Late by "&amp;(TODAY()-K131)&amp;IF((TODAY()-K131)=1," day"," days"),IF(K131=TODAY(),"Due today","Due in "&amp;(K131-TODAY())&amp;IF((K131-TODAY())=1," day"," days"))))))</f>
        <v/>
      </c>
      <c r="S131" s="33" t="n"/>
      <c r="T131" s="1">
        <f>IF(AND(B131&lt;&gt;"",K131&lt;&gt;"",L131&lt;&gt;"Sent",L131&lt;&gt;"Picked up",L131&lt;&gt;"Cancelled"),K131+ROW()/10000000,"")</f>
        <v/>
      </c>
      <c r="U131">
        <f>IF(OR(B131="",C131=""),"",B131+ROW()/10000000)</f>
        <v/>
      </c>
      <c r="V131">
        <f>IF(U131="","",IF(COUNTIFS(Orders!$C$6:$C$1005,C131,Orders!$U$6:$U$1005,"&gt;"&amp;U131)=0,1,0))</f>
        <v/>
      </c>
      <c r="W131">
        <f>IF(AND(B131&lt;&gt;"",K131&lt;&gt;"",L131&lt;&gt;"Sent",L131&lt;&gt;"Picked up",L131&lt;&gt;"Cancelled"),IF(N(E131)=0,1,E131),0)</f>
        <v/>
      </c>
      <c r="X131">
        <f>IF(OR(B131="",D131=""),"",IF(N(E131)=0,1,E131))</f>
        <v/>
      </c>
    </row>
    <row r="132">
      <c r="A132" s="1" t="n"/>
      <c r="B132" s="31" t="n">
        <v>46157</v>
      </c>
      <c r="C132" s="32" t="inlineStr">
        <is>
          <t>Jade Reed</t>
        </is>
      </c>
      <c r="D132" s="33" t="inlineStr">
        <is>
          <t>Soy candle 8 oz</t>
        </is>
      </c>
      <c r="E132" s="34" t="n">
        <v>1</v>
      </c>
      <c r="F132" s="35" t="n"/>
      <c r="G132" s="35" t="n"/>
      <c r="H132" s="30">
        <f>IF(OR(B132="",D132=""),"",IF(N(E132)=0,1,E132)*IFERROR(INDEX(Products!$C$6:$C$105,MATCH(D132,Products!$B$6:$B$105,0)),0)+N(F132)+N(G132))</f>
        <v/>
      </c>
      <c r="I132" s="35" t="n">
        <v>22</v>
      </c>
      <c r="J132" s="30">
        <f>IF(OR(H132="",L132="Cancelled"),"",IF(H132-N(I132)&gt;0.005,H132-N(I132),""))</f>
        <v/>
      </c>
      <c r="K132" s="31" t="n">
        <v>46165</v>
      </c>
      <c r="L132" s="36" t="inlineStr">
        <is>
          <t>Picked up</t>
        </is>
      </c>
      <c r="M132" s="33" t="inlineStr">
        <is>
          <t>Friends and family</t>
        </is>
      </c>
      <c r="N132" s="22">
        <f>IF(OR(H132="",L132="Cancelled"),"",IF(N(E132)=0,1,E132)*IFERROR(INDEX(Products!$E$6:$E$105,MATCH(D132,Products!$B$6:$B$105,0)),0))</f>
        <v/>
      </c>
      <c r="O132" s="35" t="n"/>
      <c r="P132" s="22">
        <f>IF(OR(H132="",L132="Cancelled"),"",ROUND(IFERROR(H132*INDEX(Settings!$C$6:$C$15,MATCH(M132,Settings!$B$6:$B$15,0))+INDEX(Settings!$D$6:$D$15,MATCH(M132,Settings!$B$6:$B$15,0)),0),2))</f>
        <v/>
      </c>
      <c r="Q132" s="28">
        <f>IF(OR(H132="",L132="Cancelled"),"",H132-N(N132)-N(O132)-N(P132))</f>
        <v/>
      </c>
      <c r="R132" s="19">
        <f>IF(OR(B132="",K132=""),"",IF(OR(L132="Sent",L132="Picked up"),"Done",IF(L132="Cancelled","Cancelled",IF(K132&lt;TODAY(),"Late by "&amp;(TODAY()-K132)&amp;IF((TODAY()-K132)=1," day"," days"),IF(K132=TODAY(),"Due today","Due in "&amp;(K132-TODAY())&amp;IF((K132-TODAY())=1," day"," days"))))))</f>
        <v/>
      </c>
      <c r="S132" s="33" t="n"/>
      <c r="T132" s="1">
        <f>IF(AND(B132&lt;&gt;"",K132&lt;&gt;"",L132&lt;&gt;"Sent",L132&lt;&gt;"Picked up",L132&lt;&gt;"Cancelled"),K132+ROW()/10000000,"")</f>
        <v/>
      </c>
      <c r="U132">
        <f>IF(OR(B132="",C132=""),"",B132+ROW()/10000000)</f>
        <v/>
      </c>
      <c r="V132">
        <f>IF(U132="","",IF(COUNTIFS(Orders!$C$6:$C$1005,C132,Orders!$U$6:$U$1005,"&gt;"&amp;U132)=0,1,0))</f>
        <v/>
      </c>
      <c r="W132">
        <f>IF(AND(B132&lt;&gt;"",K132&lt;&gt;"",L132&lt;&gt;"Sent",L132&lt;&gt;"Picked up",L132&lt;&gt;"Cancelled"),IF(N(E132)=0,1,E132),0)</f>
        <v/>
      </c>
      <c r="X132">
        <f>IF(OR(B132="",D132=""),"",IF(N(E132)=0,1,E132))</f>
        <v/>
      </c>
    </row>
    <row r="133">
      <c r="A133" s="1" t="n"/>
      <c r="B133" s="31" t="n">
        <v>46158</v>
      </c>
      <c r="C133" s="32" t="inlineStr">
        <is>
          <t>Leah Hughes</t>
        </is>
      </c>
      <c r="D133" s="33" t="inlineStr">
        <is>
          <t>Wax melts, 6 pack</t>
        </is>
      </c>
      <c r="E133" s="34" t="n">
        <v>4</v>
      </c>
      <c r="F133" s="35" t="n"/>
      <c r="G133" s="35" t="n"/>
      <c r="H133" s="30">
        <f>IF(OR(B133="",D133=""),"",IF(N(E133)=0,1,E133)*IFERROR(INDEX(Products!$C$6:$C$105,MATCH(D133,Products!$B$6:$B$105,0)),0)+N(F133)+N(G133))</f>
        <v/>
      </c>
      <c r="I133" s="35" t="n">
        <v>36</v>
      </c>
      <c r="J133" s="30">
        <f>IF(OR(H133="",L133="Cancelled"),"",IF(H133-N(I133)&gt;0.005,H133-N(I133),""))</f>
        <v/>
      </c>
      <c r="K133" s="31" t="n">
        <v>46165</v>
      </c>
      <c r="L133" s="36" t="inlineStr">
        <is>
          <t>Picked up</t>
        </is>
      </c>
      <c r="M133" s="33" t="inlineStr">
        <is>
          <t>Craft market</t>
        </is>
      </c>
      <c r="N133" s="22">
        <f>IF(OR(H133="",L133="Cancelled"),"",IF(N(E133)=0,1,E133)*IFERROR(INDEX(Products!$E$6:$E$105,MATCH(D133,Products!$B$6:$B$105,0)),0))</f>
        <v/>
      </c>
      <c r="O133" s="35" t="n"/>
      <c r="P133" s="22">
        <f>IF(OR(H133="",L133="Cancelled"),"",ROUND(IFERROR(H133*INDEX(Settings!$C$6:$C$15,MATCH(M133,Settings!$B$6:$B$15,0))+INDEX(Settings!$D$6:$D$15,MATCH(M133,Settings!$B$6:$B$15,0)),0),2))</f>
        <v/>
      </c>
      <c r="Q133" s="28">
        <f>IF(OR(H133="",L133="Cancelled"),"",H133-N(N133)-N(O133)-N(P133))</f>
        <v/>
      </c>
      <c r="R133" s="19">
        <f>IF(OR(B133="",K133=""),"",IF(OR(L133="Sent",L133="Picked up"),"Done",IF(L133="Cancelled","Cancelled",IF(K133&lt;TODAY(),"Late by "&amp;(TODAY()-K133)&amp;IF((TODAY()-K133)=1," day"," days"),IF(K133=TODAY(),"Due today","Due in "&amp;(K133-TODAY())&amp;IF((K133-TODAY())=1," day"," days"))))))</f>
        <v/>
      </c>
      <c r="S133" s="33" t="n"/>
      <c r="T133" s="1">
        <f>IF(AND(B133&lt;&gt;"",K133&lt;&gt;"",L133&lt;&gt;"Sent",L133&lt;&gt;"Picked up",L133&lt;&gt;"Cancelled"),K133+ROW()/10000000,"")</f>
        <v/>
      </c>
      <c r="U133">
        <f>IF(OR(B133="",C133=""),"",B133+ROW()/10000000)</f>
        <v/>
      </c>
      <c r="V133">
        <f>IF(U133="","",IF(COUNTIFS(Orders!$C$6:$C$1005,C133,Orders!$U$6:$U$1005,"&gt;"&amp;U133)=0,1,0))</f>
        <v/>
      </c>
      <c r="W133">
        <f>IF(AND(B133&lt;&gt;"",K133&lt;&gt;"",L133&lt;&gt;"Sent",L133&lt;&gt;"Picked up",L133&lt;&gt;"Cancelled"),IF(N(E133)=0,1,E133),0)</f>
        <v/>
      </c>
      <c r="X133">
        <f>IF(OR(B133="",D133=""),"",IF(N(E133)=0,1,E133))</f>
        <v/>
      </c>
    </row>
    <row r="134">
      <c r="A134" s="1" t="n"/>
      <c r="B134" s="31" t="n">
        <v>46160</v>
      </c>
      <c r="C134" s="32" t="inlineStr">
        <is>
          <t>George Price</t>
        </is>
      </c>
      <c r="D134" s="33" t="inlineStr">
        <is>
          <t>Soy candle 8 oz</t>
        </is>
      </c>
      <c r="E134" s="34" t="n">
        <v>2</v>
      </c>
      <c r="F134" s="35" t="n"/>
      <c r="G134" s="35" t="n">
        <v>6.95</v>
      </c>
      <c r="H134" s="30">
        <f>IF(OR(B134="",D134=""),"",IF(N(E134)=0,1,E134)*IFERROR(INDEX(Products!$C$6:$C$105,MATCH(D134,Products!$B$6:$B$105,0)),0)+N(F134)+N(G134))</f>
        <v/>
      </c>
      <c r="I134" s="35" t="n">
        <v>50.95</v>
      </c>
      <c r="J134" s="30">
        <f>IF(OR(H134="",L134="Cancelled"),"",IF(H134-N(I134)&gt;0.005,H134-N(I134),""))</f>
        <v/>
      </c>
      <c r="K134" s="31" t="n">
        <v>46171</v>
      </c>
      <c r="L134" s="36" t="inlineStr">
        <is>
          <t>Sent</t>
        </is>
      </c>
      <c r="M134" s="33" t="inlineStr">
        <is>
          <t>Etsy</t>
        </is>
      </c>
      <c r="N134" s="22">
        <f>IF(OR(H134="",L134="Cancelled"),"",IF(N(E134)=0,1,E134)*IFERROR(INDEX(Products!$E$6:$E$105,MATCH(D134,Products!$B$6:$B$105,0)),0))</f>
        <v/>
      </c>
      <c r="O134" s="35" t="n">
        <v>6.16</v>
      </c>
      <c r="P134" s="22">
        <f>IF(OR(H134="",L134="Cancelled"),"",ROUND(IFERROR(H134*INDEX(Settings!$C$6:$C$15,MATCH(M134,Settings!$B$6:$B$15,0))+INDEX(Settings!$D$6:$D$15,MATCH(M134,Settings!$B$6:$B$15,0)),0),2))</f>
        <v/>
      </c>
      <c r="Q134" s="28">
        <f>IF(OR(H134="",L134="Cancelled"),"",H134-N(N134)-N(O134)-N(P134))</f>
        <v/>
      </c>
      <c r="R134" s="19">
        <f>IF(OR(B134="",K134=""),"",IF(OR(L134="Sent",L134="Picked up"),"Done",IF(L134="Cancelled","Cancelled",IF(K134&lt;TODAY(),"Late by "&amp;(TODAY()-K134)&amp;IF((TODAY()-K134)=1," day"," days"),IF(K134=TODAY(),"Due today","Due in "&amp;(K134-TODAY())&amp;IF((K134-TODAY())=1," day"," days"))))))</f>
        <v/>
      </c>
      <c r="S134" s="33" t="n"/>
      <c r="T134" s="1">
        <f>IF(AND(B134&lt;&gt;"",K134&lt;&gt;"",L134&lt;&gt;"Sent",L134&lt;&gt;"Picked up",L134&lt;&gt;"Cancelled"),K134+ROW()/10000000,"")</f>
        <v/>
      </c>
      <c r="U134">
        <f>IF(OR(B134="",C134=""),"",B134+ROW()/10000000)</f>
        <v/>
      </c>
      <c r="V134">
        <f>IF(U134="","",IF(COUNTIFS(Orders!$C$6:$C$1005,C134,Orders!$U$6:$U$1005,"&gt;"&amp;U134)=0,1,0))</f>
        <v/>
      </c>
      <c r="W134">
        <f>IF(AND(B134&lt;&gt;"",K134&lt;&gt;"",L134&lt;&gt;"Sent",L134&lt;&gt;"Picked up",L134&lt;&gt;"Cancelled"),IF(N(E134)=0,1,E134),0)</f>
        <v/>
      </c>
      <c r="X134">
        <f>IF(OR(B134="",D134=""),"",IF(N(E134)=0,1,E134))</f>
        <v/>
      </c>
    </row>
    <row r="135">
      <c r="A135" s="1" t="n"/>
      <c r="B135" s="31" t="n">
        <v>46160</v>
      </c>
      <c r="C135" s="32" t="inlineStr">
        <is>
          <t>Dan King</t>
        </is>
      </c>
      <c r="D135" s="33" t="inlineStr">
        <is>
          <t>Wax melts, 6 pack</t>
        </is>
      </c>
      <c r="E135" s="34" t="n">
        <v>1</v>
      </c>
      <c r="F135" s="35" t="n"/>
      <c r="G135" s="35" t="n">
        <v>6.95</v>
      </c>
      <c r="H135" s="30">
        <f>IF(OR(B135="",D135=""),"",IF(N(E135)=0,1,E135)*IFERROR(INDEX(Products!$C$6:$C$105,MATCH(D135,Products!$B$6:$B$105,0)),0)+N(F135)+N(G135))</f>
        <v/>
      </c>
      <c r="I135" s="35" t="n">
        <v>15.95</v>
      </c>
      <c r="J135" s="30">
        <f>IF(OR(H135="",L135="Cancelled"),"",IF(H135-N(I135)&gt;0.005,H135-N(I135),""))</f>
        <v/>
      </c>
      <c r="K135" s="31" t="n">
        <v>46166</v>
      </c>
      <c r="L135" s="36" t="inlineStr">
        <is>
          <t>Sent</t>
        </is>
      </c>
      <c r="M135" s="33" t="inlineStr">
        <is>
          <t>Etsy</t>
        </is>
      </c>
      <c r="N135" s="22">
        <f>IF(OR(H135="",L135="Cancelled"),"",IF(N(E135)=0,1,E135)*IFERROR(INDEX(Products!$E$6:$E$105,MATCH(D135,Products!$B$6:$B$105,0)),0))</f>
        <v/>
      </c>
      <c r="O135" s="35" t="n">
        <v>5.9</v>
      </c>
      <c r="P135" s="22">
        <f>IF(OR(H135="",L135="Cancelled"),"",ROUND(IFERROR(H135*INDEX(Settings!$C$6:$C$15,MATCH(M135,Settings!$B$6:$B$15,0))+INDEX(Settings!$D$6:$D$15,MATCH(M135,Settings!$B$6:$B$15,0)),0),2))</f>
        <v/>
      </c>
      <c r="Q135" s="28">
        <f>IF(OR(H135="",L135="Cancelled"),"",H135-N(N135)-N(O135)-N(P135))</f>
        <v/>
      </c>
      <c r="R135" s="19">
        <f>IF(OR(B135="",K135=""),"",IF(OR(L135="Sent",L135="Picked up"),"Done",IF(L135="Cancelled","Cancelled",IF(K135&lt;TODAY(),"Late by "&amp;(TODAY()-K135)&amp;IF((TODAY()-K135)=1," day"," days"),IF(K135=TODAY(),"Due today","Due in "&amp;(K135-TODAY())&amp;IF((K135-TODAY())=1," day"," days"))))))</f>
        <v/>
      </c>
      <c r="S135" s="33" t="n"/>
      <c r="T135" s="1">
        <f>IF(AND(B135&lt;&gt;"",K135&lt;&gt;"",L135&lt;&gt;"Sent",L135&lt;&gt;"Picked up",L135&lt;&gt;"Cancelled"),K135+ROW()/10000000,"")</f>
        <v/>
      </c>
      <c r="U135">
        <f>IF(OR(B135="",C135=""),"",B135+ROW()/10000000)</f>
        <v/>
      </c>
      <c r="V135">
        <f>IF(U135="","",IF(COUNTIFS(Orders!$C$6:$C$1005,C135,Orders!$U$6:$U$1005,"&gt;"&amp;U135)=0,1,0))</f>
        <v/>
      </c>
      <c r="W135">
        <f>IF(AND(B135&lt;&gt;"",K135&lt;&gt;"",L135&lt;&gt;"Sent",L135&lt;&gt;"Picked up",L135&lt;&gt;"Cancelled"),IF(N(E135)=0,1,E135),0)</f>
        <v/>
      </c>
      <c r="X135">
        <f>IF(OR(B135="",D135=""),"",IF(N(E135)=0,1,E135))</f>
        <v/>
      </c>
    </row>
    <row r="136">
      <c r="A136" s="1" t="n"/>
      <c r="B136" s="31" t="n">
        <v>46161</v>
      </c>
      <c r="C136" s="32" t="inlineStr">
        <is>
          <t>Sophie Lewis</t>
        </is>
      </c>
      <c r="D136" s="33" t="inlineStr">
        <is>
          <t>Wax melts, 6 pack</t>
        </is>
      </c>
      <c r="E136" s="34" t="n">
        <v>4</v>
      </c>
      <c r="F136" s="35" t="n"/>
      <c r="G136" s="35" t="n"/>
      <c r="H136" s="30">
        <f>IF(OR(B136="",D136=""),"",IF(N(E136)=0,1,E136)*IFERROR(INDEX(Products!$C$6:$C$105,MATCH(D136,Products!$B$6:$B$105,0)),0)+N(F136)+N(G136))</f>
        <v/>
      </c>
      <c r="I136" s="35" t="n">
        <v>36</v>
      </c>
      <c r="J136" s="30">
        <f>IF(OR(H136="",L136="Cancelled"),"",IF(H136-N(I136)&gt;0.005,H136-N(I136),""))</f>
        <v/>
      </c>
      <c r="K136" s="31" t="n">
        <v>46169</v>
      </c>
      <c r="L136" s="36" t="inlineStr">
        <is>
          <t>Picked up</t>
        </is>
      </c>
      <c r="M136" s="33" t="inlineStr">
        <is>
          <t>Instagram</t>
        </is>
      </c>
      <c r="N136" s="22">
        <f>IF(OR(H136="",L136="Cancelled"),"",IF(N(E136)=0,1,E136)*IFERROR(INDEX(Products!$E$6:$E$105,MATCH(D136,Products!$B$6:$B$105,0)),0))</f>
        <v/>
      </c>
      <c r="O136" s="35" t="n"/>
      <c r="P136" s="22">
        <f>IF(OR(H136="",L136="Cancelled"),"",ROUND(IFERROR(H136*INDEX(Settings!$C$6:$C$15,MATCH(M136,Settings!$B$6:$B$15,0))+INDEX(Settings!$D$6:$D$15,MATCH(M136,Settings!$B$6:$B$15,0)),0),2))</f>
        <v/>
      </c>
      <c r="Q136" s="28">
        <f>IF(OR(H136="",L136="Cancelled"),"",H136-N(N136)-N(O136)-N(P136))</f>
        <v/>
      </c>
      <c r="R136" s="19">
        <f>IF(OR(B136="",K136=""),"",IF(OR(L136="Sent",L136="Picked up"),"Done",IF(L136="Cancelled","Cancelled",IF(K136&lt;TODAY(),"Late by "&amp;(TODAY()-K136)&amp;IF((TODAY()-K136)=1," day"," days"),IF(K136=TODAY(),"Due today","Due in "&amp;(K136-TODAY())&amp;IF((K136-TODAY())=1," day"," days"))))))</f>
        <v/>
      </c>
      <c r="S136" s="33" t="n"/>
      <c r="T136" s="1">
        <f>IF(AND(B136&lt;&gt;"",K136&lt;&gt;"",L136&lt;&gt;"Sent",L136&lt;&gt;"Picked up",L136&lt;&gt;"Cancelled"),K136+ROW()/10000000,"")</f>
        <v/>
      </c>
      <c r="U136">
        <f>IF(OR(B136="",C136=""),"",B136+ROW()/10000000)</f>
        <v/>
      </c>
      <c r="V136">
        <f>IF(U136="","",IF(COUNTIFS(Orders!$C$6:$C$1005,C136,Orders!$U$6:$U$1005,"&gt;"&amp;U136)=0,1,0))</f>
        <v/>
      </c>
      <c r="W136">
        <f>IF(AND(B136&lt;&gt;"",K136&lt;&gt;"",L136&lt;&gt;"Sent",L136&lt;&gt;"Picked up",L136&lt;&gt;"Cancelled"),IF(N(E136)=0,1,E136),0)</f>
        <v/>
      </c>
      <c r="X136">
        <f>IF(OR(B136="",D136=""),"",IF(N(E136)=0,1,E136))</f>
        <v/>
      </c>
    </row>
    <row r="137">
      <c r="A137" s="1" t="n"/>
      <c r="B137" s="31" t="n">
        <v>46162</v>
      </c>
      <c r="C137" s="32" t="inlineStr">
        <is>
          <t>Iris Cole</t>
        </is>
      </c>
      <c r="D137" s="33" t="inlineStr">
        <is>
          <t>Soap bar</t>
        </is>
      </c>
      <c r="E137" s="34" t="n">
        <v>3</v>
      </c>
      <c r="F137" s="35" t="n"/>
      <c r="G137" s="35" t="n">
        <v>6.95</v>
      </c>
      <c r="H137" s="30">
        <f>IF(OR(B137="",D137=""),"",IF(N(E137)=0,1,E137)*IFERROR(INDEX(Products!$C$6:$C$105,MATCH(D137,Products!$B$6:$B$105,0)),0)+N(F137)+N(G137))</f>
        <v/>
      </c>
      <c r="I137" s="35" t="n">
        <v>30.95</v>
      </c>
      <c r="J137" s="30">
        <f>IF(OR(H137="",L137="Cancelled"),"",IF(H137-N(I137)&gt;0.005,H137-N(I137),""))</f>
        <v/>
      </c>
      <c r="K137" s="31" t="n">
        <v>46172</v>
      </c>
      <c r="L137" s="36" t="inlineStr">
        <is>
          <t>Sent</t>
        </is>
      </c>
      <c r="M137" s="33" t="inlineStr">
        <is>
          <t>Etsy</t>
        </is>
      </c>
      <c r="N137" s="22">
        <f>IF(OR(H137="",L137="Cancelled"),"",IF(N(E137)=0,1,E137)*IFERROR(INDEX(Products!$E$6:$E$105,MATCH(D137,Products!$B$6:$B$105,0)),0))</f>
        <v/>
      </c>
      <c r="O137" s="35" t="n">
        <v>5.46</v>
      </c>
      <c r="P137" s="22">
        <f>IF(OR(H137="",L137="Cancelled"),"",ROUND(IFERROR(H137*INDEX(Settings!$C$6:$C$15,MATCH(M137,Settings!$B$6:$B$15,0))+INDEX(Settings!$D$6:$D$15,MATCH(M137,Settings!$B$6:$B$15,0)),0),2))</f>
        <v/>
      </c>
      <c r="Q137" s="28">
        <f>IF(OR(H137="",L137="Cancelled"),"",H137-N(N137)-N(O137)-N(P137))</f>
        <v/>
      </c>
      <c r="R137" s="19">
        <f>IF(OR(B137="",K137=""),"",IF(OR(L137="Sent",L137="Picked up"),"Done",IF(L137="Cancelled","Cancelled",IF(K137&lt;TODAY(),"Late by "&amp;(TODAY()-K137)&amp;IF((TODAY()-K137)=1," day"," days"),IF(K137=TODAY(),"Due today","Due in "&amp;(K137-TODAY())&amp;IF((K137-TODAY())=1," day"," days"))))))</f>
        <v/>
      </c>
      <c r="S137" s="33" t="n"/>
      <c r="T137" s="1">
        <f>IF(AND(B137&lt;&gt;"",K137&lt;&gt;"",L137&lt;&gt;"Sent",L137&lt;&gt;"Picked up",L137&lt;&gt;"Cancelled"),K137+ROW()/10000000,"")</f>
        <v/>
      </c>
      <c r="U137">
        <f>IF(OR(B137="",C137=""),"",B137+ROW()/10000000)</f>
        <v/>
      </c>
      <c r="V137">
        <f>IF(U137="","",IF(COUNTIFS(Orders!$C$6:$C$1005,C137,Orders!$U$6:$U$1005,"&gt;"&amp;U137)=0,1,0))</f>
        <v/>
      </c>
      <c r="W137">
        <f>IF(AND(B137&lt;&gt;"",K137&lt;&gt;"",L137&lt;&gt;"Sent",L137&lt;&gt;"Picked up",L137&lt;&gt;"Cancelled"),IF(N(E137)=0,1,E137),0)</f>
        <v/>
      </c>
      <c r="X137">
        <f>IF(OR(B137="",D137=""),"",IF(N(E137)=0,1,E137))</f>
        <v/>
      </c>
    </row>
    <row r="138">
      <c r="A138" s="1" t="n"/>
      <c r="B138" s="31" t="n">
        <v>46162</v>
      </c>
      <c r="C138" s="32" t="inlineStr">
        <is>
          <t>Paula Morgan</t>
        </is>
      </c>
      <c r="D138" s="33" t="inlineStr">
        <is>
          <t>Soy candle 16 oz</t>
        </is>
      </c>
      <c r="E138" s="34" t="n">
        <v>2</v>
      </c>
      <c r="F138" s="35" t="n"/>
      <c r="G138" s="35" t="n">
        <v>6.95</v>
      </c>
      <c r="H138" s="30">
        <f>IF(OR(B138="",D138=""),"",IF(N(E138)=0,1,E138)*IFERROR(INDEX(Products!$C$6:$C$105,MATCH(D138,Products!$B$6:$B$105,0)),0)+N(F138)+N(G138))</f>
        <v/>
      </c>
      <c r="I138" s="35" t="n">
        <v>74.95</v>
      </c>
      <c r="J138" s="30">
        <f>IF(OR(H138="",L138="Cancelled"),"",IF(H138-N(I138)&gt;0.005,H138-N(I138),""))</f>
        <v/>
      </c>
      <c r="K138" s="31" t="n">
        <v>46170</v>
      </c>
      <c r="L138" s="36" t="inlineStr">
        <is>
          <t>Sent</t>
        </is>
      </c>
      <c r="M138" s="33" t="inlineStr">
        <is>
          <t>Etsy</t>
        </is>
      </c>
      <c r="N138" s="22">
        <f>IF(OR(H138="",L138="Cancelled"),"",IF(N(E138)=0,1,E138)*IFERROR(INDEX(Products!$E$6:$E$105,MATCH(D138,Products!$B$6:$B$105,0)),0))</f>
        <v/>
      </c>
      <c r="O138" s="35" t="n">
        <v>5.41</v>
      </c>
      <c r="P138" s="22">
        <f>IF(OR(H138="",L138="Cancelled"),"",ROUND(IFERROR(H138*INDEX(Settings!$C$6:$C$15,MATCH(M138,Settings!$B$6:$B$15,0))+INDEX(Settings!$D$6:$D$15,MATCH(M138,Settings!$B$6:$B$15,0)),0),2))</f>
        <v/>
      </c>
      <c r="Q138" s="28">
        <f>IF(OR(H138="",L138="Cancelled"),"",H138-N(N138)-N(O138)-N(P138))</f>
        <v/>
      </c>
      <c r="R138" s="19">
        <f>IF(OR(B138="",K138=""),"",IF(OR(L138="Sent",L138="Picked up"),"Done",IF(L138="Cancelled","Cancelled",IF(K138&lt;TODAY(),"Late by "&amp;(TODAY()-K138)&amp;IF((TODAY()-K138)=1," day"," days"),IF(K138=TODAY(),"Due today","Due in "&amp;(K138-TODAY())&amp;IF((K138-TODAY())=1," day"," days"))))))</f>
        <v/>
      </c>
      <c r="S138" s="33" t="n"/>
      <c r="T138" s="1">
        <f>IF(AND(B138&lt;&gt;"",K138&lt;&gt;"",L138&lt;&gt;"Sent",L138&lt;&gt;"Picked up",L138&lt;&gt;"Cancelled"),K138+ROW()/10000000,"")</f>
        <v/>
      </c>
      <c r="U138">
        <f>IF(OR(B138="",C138=""),"",B138+ROW()/10000000)</f>
        <v/>
      </c>
      <c r="V138">
        <f>IF(U138="","",IF(COUNTIFS(Orders!$C$6:$C$1005,C138,Orders!$U$6:$U$1005,"&gt;"&amp;U138)=0,1,0))</f>
        <v/>
      </c>
      <c r="W138">
        <f>IF(AND(B138&lt;&gt;"",K138&lt;&gt;"",L138&lt;&gt;"Sent",L138&lt;&gt;"Picked up",L138&lt;&gt;"Cancelled"),IF(N(E138)=0,1,E138),0)</f>
        <v/>
      </c>
      <c r="X138">
        <f>IF(OR(B138="",D138=""),"",IF(N(E138)=0,1,E138))</f>
        <v/>
      </c>
    </row>
    <row r="139">
      <c r="A139" s="1" t="n"/>
      <c r="B139" s="31" t="n">
        <v>46163</v>
      </c>
      <c r="C139" s="32" t="inlineStr">
        <is>
          <t>Dan King</t>
        </is>
      </c>
      <c r="D139" s="33" t="inlineStr">
        <is>
          <t>Soy candle 8 oz</t>
        </is>
      </c>
      <c r="E139" s="34" t="n">
        <v>2</v>
      </c>
      <c r="F139" s="35" t="n"/>
      <c r="G139" s="35" t="n">
        <v>6.95</v>
      </c>
      <c r="H139" s="30">
        <f>IF(OR(B139="",D139=""),"",IF(N(E139)=0,1,E139)*IFERROR(INDEX(Products!$C$6:$C$105,MATCH(D139,Products!$B$6:$B$105,0)),0)+N(F139)+N(G139))</f>
        <v/>
      </c>
      <c r="I139" s="35" t="n">
        <v>50.95</v>
      </c>
      <c r="J139" s="30">
        <f>IF(OR(H139="",L139="Cancelled"),"",IF(H139-N(I139)&gt;0.005,H139-N(I139),""))</f>
        <v/>
      </c>
      <c r="K139" s="31" t="n">
        <v>46174</v>
      </c>
      <c r="L139" s="36" t="inlineStr">
        <is>
          <t>Sent</t>
        </is>
      </c>
      <c r="M139" s="33" t="inlineStr">
        <is>
          <t>Etsy</t>
        </is>
      </c>
      <c r="N139" s="22">
        <f>IF(OR(H139="",L139="Cancelled"),"",IF(N(E139)=0,1,E139)*IFERROR(INDEX(Products!$E$6:$E$105,MATCH(D139,Products!$B$6:$B$105,0)),0))</f>
        <v/>
      </c>
      <c r="O139" s="35" t="n">
        <v>7.66</v>
      </c>
      <c r="P139" s="22">
        <f>IF(OR(H139="",L139="Cancelled"),"",ROUND(IFERROR(H139*INDEX(Settings!$C$6:$C$15,MATCH(M139,Settings!$B$6:$B$15,0))+INDEX(Settings!$D$6:$D$15,MATCH(M139,Settings!$B$6:$B$15,0)),0),2))</f>
        <v/>
      </c>
      <c r="Q139" s="28">
        <f>IF(OR(H139="",L139="Cancelled"),"",H139-N(N139)-N(O139)-N(P139))</f>
        <v/>
      </c>
      <c r="R139" s="19">
        <f>IF(OR(B139="",K139=""),"",IF(OR(L139="Sent",L139="Picked up"),"Done",IF(L139="Cancelled","Cancelled",IF(K139&lt;TODAY(),"Late by "&amp;(TODAY()-K139)&amp;IF((TODAY()-K139)=1," day"," days"),IF(K139=TODAY(),"Due today","Due in "&amp;(K139-TODAY())&amp;IF((K139-TODAY())=1," day"," days"))))))</f>
        <v/>
      </c>
      <c r="S139" s="33" t="n"/>
      <c r="T139" s="1">
        <f>IF(AND(B139&lt;&gt;"",K139&lt;&gt;"",L139&lt;&gt;"Sent",L139&lt;&gt;"Picked up",L139&lt;&gt;"Cancelled"),K139+ROW()/10000000,"")</f>
        <v/>
      </c>
      <c r="U139">
        <f>IF(OR(B139="",C139=""),"",B139+ROW()/10000000)</f>
        <v/>
      </c>
      <c r="V139">
        <f>IF(U139="","",IF(COUNTIFS(Orders!$C$6:$C$1005,C139,Orders!$U$6:$U$1005,"&gt;"&amp;U139)=0,1,0))</f>
        <v/>
      </c>
      <c r="W139">
        <f>IF(AND(B139&lt;&gt;"",K139&lt;&gt;"",L139&lt;&gt;"Sent",L139&lt;&gt;"Picked up",L139&lt;&gt;"Cancelled"),IF(N(E139)=0,1,E139),0)</f>
        <v/>
      </c>
      <c r="X139">
        <f>IF(OR(B139="",D139=""),"",IF(N(E139)=0,1,E139))</f>
        <v/>
      </c>
    </row>
    <row r="140">
      <c r="A140" s="1" t="n"/>
      <c r="B140" s="31" t="n">
        <v>46164</v>
      </c>
      <c r="C140" s="32" t="inlineStr">
        <is>
          <t>Ava Adams</t>
        </is>
      </c>
      <c r="D140" s="33" t="inlineStr">
        <is>
          <t>Soap bar</t>
        </is>
      </c>
      <c r="E140" s="34" t="n">
        <v>1</v>
      </c>
      <c r="F140" s="35" t="n"/>
      <c r="G140" s="35" t="n">
        <v>6.95</v>
      </c>
      <c r="H140" s="30">
        <f>IF(OR(B140="",D140=""),"",IF(N(E140)=0,1,E140)*IFERROR(INDEX(Products!$C$6:$C$105,MATCH(D140,Products!$B$6:$B$105,0)),0)+N(F140)+N(G140))</f>
        <v/>
      </c>
      <c r="I140" s="35" t="n">
        <v>14.95</v>
      </c>
      <c r="J140" s="30">
        <f>IF(OR(H140="",L140="Cancelled"),"",IF(H140-N(I140)&gt;0.005,H140-N(I140),""))</f>
        <v/>
      </c>
      <c r="K140" s="31" t="n">
        <v>46169</v>
      </c>
      <c r="L140" s="36" t="inlineStr">
        <is>
          <t>Sent</t>
        </is>
      </c>
      <c r="M140" s="33" t="inlineStr">
        <is>
          <t>Etsy</t>
        </is>
      </c>
      <c r="N140" s="22">
        <f>IF(OR(H140="",L140="Cancelled"),"",IF(N(E140)=0,1,E140)*IFERROR(INDEX(Products!$E$6:$E$105,MATCH(D140,Products!$B$6:$B$105,0)),0))</f>
        <v/>
      </c>
      <c r="O140" s="35" t="n">
        <v>6.59</v>
      </c>
      <c r="P140" s="22">
        <f>IF(OR(H140="",L140="Cancelled"),"",ROUND(IFERROR(H140*INDEX(Settings!$C$6:$C$15,MATCH(M140,Settings!$B$6:$B$15,0))+INDEX(Settings!$D$6:$D$15,MATCH(M140,Settings!$B$6:$B$15,0)),0),2))</f>
        <v/>
      </c>
      <c r="Q140" s="28">
        <f>IF(OR(H140="",L140="Cancelled"),"",H140-N(N140)-N(O140)-N(P140))</f>
        <v/>
      </c>
      <c r="R140" s="19">
        <f>IF(OR(B140="",K140=""),"",IF(OR(L140="Sent",L140="Picked up"),"Done",IF(L140="Cancelled","Cancelled",IF(K140&lt;TODAY(),"Late by "&amp;(TODAY()-K140)&amp;IF((TODAY()-K140)=1," day"," days"),IF(K140=TODAY(),"Due today","Due in "&amp;(K140-TODAY())&amp;IF((K140-TODAY())=1," day"," days"))))))</f>
        <v/>
      </c>
      <c r="S140" s="33" t="n"/>
      <c r="T140" s="1">
        <f>IF(AND(B140&lt;&gt;"",K140&lt;&gt;"",L140&lt;&gt;"Sent",L140&lt;&gt;"Picked up",L140&lt;&gt;"Cancelled"),K140+ROW()/10000000,"")</f>
        <v/>
      </c>
      <c r="U140">
        <f>IF(OR(B140="",C140=""),"",B140+ROW()/10000000)</f>
        <v/>
      </c>
      <c r="V140">
        <f>IF(U140="","",IF(COUNTIFS(Orders!$C$6:$C$1005,C140,Orders!$U$6:$U$1005,"&gt;"&amp;U140)=0,1,0))</f>
        <v/>
      </c>
      <c r="W140">
        <f>IF(AND(B140&lt;&gt;"",K140&lt;&gt;"",L140&lt;&gt;"Sent",L140&lt;&gt;"Picked up",L140&lt;&gt;"Cancelled"),IF(N(E140)=0,1,E140),0)</f>
        <v/>
      </c>
      <c r="X140">
        <f>IF(OR(B140="",D140=""),"",IF(N(E140)=0,1,E140))</f>
        <v/>
      </c>
    </row>
    <row r="141">
      <c r="A141" s="1" t="n"/>
      <c r="B141" s="31" t="n">
        <v>46164</v>
      </c>
      <c r="C141" s="32" t="inlineStr">
        <is>
          <t>Lily Gray</t>
        </is>
      </c>
      <c r="D141" s="33" t="inlineStr">
        <is>
          <t>Wax melts, 6 pack</t>
        </is>
      </c>
      <c r="E141" s="34" t="n">
        <v>1</v>
      </c>
      <c r="F141" s="35" t="n"/>
      <c r="G141" s="35" t="n">
        <v>6.95</v>
      </c>
      <c r="H141" s="30">
        <f>IF(OR(B141="",D141=""),"",IF(N(E141)=0,1,E141)*IFERROR(INDEX(Products!$C$6:$C$105,MATCH(D141,Products!$B$6:$B$105,0)),0)+N(F141)+N(G141))</f>
        <v/>
      </c>
      <c r="I141" s="35" t="n">
        <v>15.95</v>
      </c>
      <c r="J141" s="30">
        <f>IF(OR(H141="",L141="Cancelled"),"",IF(H141-N(I141)&gt;0.005,H141-N(I141),""))</f>
        <v/>
      </c>
      <c r="K141" s="31" t="n">
        <v>46169</v>
      </c>
      <c r="L141" s="36" t="inlineStr">
        <is>
          <t>Sent</t>
        </is>
      </c>
      <c r="M141" s="33" t="inlineStr">
        <is>
          <t>Etsy</t>
        </is>
      </c>
      <c r="N141" s="22">
        <f>IF(OR(H141="",L141="Cancelled"),"",IF(N(E141)=0,1,E141)*IFERROR(INDEX(Products!$E$6:$E$105,MATCH(D141,Products!$B$6:$B$105,0)),0))</f>
        <v/>
      </c>
      <c r="O141" s="35" t="n">
        <v>5.39</v>
      </c>
      <c r="P141" s="22">
        <f>IF(OR(H141="",L141="Cancelled"),"",ROUND(IFERROR(H141*INDEX(Settings!$C$6:$C$15,MATCH(M141,Settings!$B$6:$B$15,0))+INDEX(Settings!$D$6:$D$15,MATCH(M141,Settings!$B$6:$B$15,0)),0),2))</f>
        <v/>
      </c>
      <c r="Q141" s="28">
        <f>IF(OR(H141="",L141="Cancelled"),"",H141-N(N141)-N(O141)-N(P141))</f>
        <v/>
      </c>
      <c r="R141" s="19">
        <f>IF(OR(B141="",K141=""),"",IF(OR(L141="Sent",L141="Picked up"),"Done",IF(L141="Cancelled","Cancelled",IF(K141&lt;TODAY(),"Late by "&amp;(TODAY()-K141)&amp;IF((TODAY()-K141)=1," day"," days"),IF(K141=TODAY(),"Due today","Due in "&amp;(K141-TODAY())&amp;IF((K141-TODAY())=1," day"," days"))))))</f>
        <v/>
      </c>
      <c r="S141" s="33" t="n"/>
      <c r="T141" s="1">
        <f>IF(AND(B141&lt;&gt;"",K141&lt;&gt;"",L141&lt;&gt;"Sent",L141&lt;&gt;"Picked up",L141&lt;&gt;"Cancelled"),K141+ROW()/10000000,"")</f>
        <v/>
      </c>
      <c r="U141">
        <f>IF(OR(B141="",C141=""),"",B141+ROW()/10000000)</f>
        <v/>
      </c>
      <c r="V141">
        <f>IF(U141="","",IF(COUNTIFS(Orders!$C$6:$C$1005,C141,Orders!$U$6:$U$1005,"&gt;"&amp;U141)=0,1,0))</f>
        <v/>
      </c>
      <c r="W141">
        <f>IF(AND(B141&lt;&gt;"",K141&lt;&gt;"",L141&lt;&gt;"Sent",L141&lt;&gt;"Picked up",L141&lt;&gt;"Cancelled"),IF(N(E141)=0,1,E141),0)</f>
        <v/>
      </c>
      <c r="X141">
        <f>IF(OR(B141="",D141=""),"",IF(N(E141)=0,1,E141))</f>
        <v/>
      </c>
    </row>
    <row r="142">
      <c r="A142" s="1" t="n"/>
      <c r="B142" s="31" t="n">
        <v>46165</v>
      </c>
      <c r="C142" s="32" t="inlineStr">
        <is>
          <t>Sophie Lewis</t>
        </is>
      </c>
      <c r="D142" s="33" t="inlineStr">
        <is>
          <t>Soap bar</t>
        </is>
      </c>
      <c r="E142" s="34" t="n">
        <v>1</v>
      </c>
      <c r="F142" s="35" t="n"/>
      <c r="G142" s="35" t="n">
        <v>6.95</v>
      </c>
      <c r="H142" s="30">
        <f>IF(OR(B142="",D142=""),"",IF(N(E142)=0,1,E142)*IFERROR(INDEX(Products!$C$6:$C$105,MATCH(D142,Products!$B$6:$B$105,0)),0)+N(F142)+N(G142))</f>
        <v/>
      </c>
      <c r="I142" s="35" t="n">
        <v>14.95</v>
      </c>
      <c r="J142" s="30">
        <f>IF(OR(H142="",L142="Cancelled"),"",IF(H142-N(I142)&gt;0.005,H142-N(I142),""))</f>
        <v/>
      </c>
      <c r="K142" s="31" t="n">
        <v>46175</v>
      </c>
      <c r="L142" s="36" t="inlineStr">
        <is>
          <t>Sent</t>
        </is>
      </c>
      <c r="M142" s="33" t="inlineStr">
        <is>
          <t>Etsy</t>
        </is>
      </c>
      <c r="N142" s="22">
        <f>IF(OR(H142="",L142="Cancelled"),"",IF(N(E142)=0,1,E142)*IFERROR(INDEX(Products!$E$6:$E$105,MATCH(D142,Products!$B$6:$B$105,0)),0))</f>
        <v/>
      </c>
      <c r="O142" s="35" t="n">
        <v>7.26</v>
      </c>
      <c r="P142" s="22">
        <f>IF(OR(H142="",L142="Cancelled"),"",ROUND(IFERROR(H142*INDEX(Settings!$C$6:$C$15,MATCH(M142,Settings!$B$6:$B$15,0))+INDEX(Settings!$D$6:$D$15,MATCH(M142,Settings!$B$6:$B$15,0)),0),2))</f>
        <v/>
      </c>
      <c r="Q142" s="28">
        <f>IF(OR(H142="",L142="Cancelled"),"",H142-N(N142)-N(O142)-N(P142))</f>
        <v/>
      </c>
      <c r="R142" s="19">
        <f>IF(OR(B142="",K142=""),"",IF(OR(L142="Sent",L142="Picked up"),"Done",IF(L142="Cancelled","Cancelled",IF(K142&lt;TODAY(),"Late by "&amp;(TODAY()-K142)&amp;IF((TODAY()-K142)=1," day"," days"),IF(K142=TODAY(),"Due today","Due in "&amp;(K142-TODAY())&amp;IF((K142-TODAY())=1," day"," days"))))))</f>
        <v/>
      </c>
      <c r="S142" s="33" t="n"/>
      <c r="T142" s="1">
        <f>IF(AND(B142&lt;&gt;"",K142&lt;&gt;"",L142&lt;&gt;"Sent",L142&lt;&gt;"Picked up",L142&lt;&gt;"Cancelled"),K142+ROW()/10000000,"")</f>
        <v/>
      </c>
      <c r="U142">
        <f>IF(OR(B142="",C142=""),"",B142+ROW()/10000000)</f>
        <v/>
      </c>
      <c r="V142">
        <f>IF(U142="","",IF(COUNTIFS(Orders!$C$6:$C$1005,C142,Orders!$U$6:$U$1005,"&gt;"&amp;U142)=0,1,0))</f>
        <v/>
      </c>
      <c r="W142">
        <f>IF(AND(B142&lt;&gt;"",K142&lt;&gt;"",L142&lt;&gt;"Sent",L142&lt;&gt;"Picked up",L142&lt;&gt;"Cancelled"),IF(N(E142)=0,1,E142),0)</f>
        <v/>
      </c>
      <c r="X142">
        <f>IF(OR(B142="",D142=""),"",IF(N(E142)=0,1,E142))</f>
        <v/>
      </c>
    </row>
    <row r="143">
      <c r="A143" s="1" t="n"/>
      <c r="B143" s="31" t="n">
        <v>46166</v>
      </c>
      <c r="C143" s="32" t="inlineStr">
        <is>
          <t>Ruby Cook</t>
        </is>
      </c>
      <c r="D143" s="33" t="inlineStr">
        <is>
          <t>Soy candle 16 oz</t>
        </is>
      </c>
      <c r="E143" s="34" t="n">
        <v>1</v>
      </c>
      <c r="F143" s="35" t="n"/>
      <c r="G143" s="35" t="n">
        <v>6.95</v>
      </c>
      <c r="H143" s="30">
        <f>IF(OR(B143="",D143=""),"",IF(N(E143)=0,1,E143)*IFERROR(INDEX(Products!$C$6:$C$105,MATCH(D143,Products!$B$6:$B$105,0)),0)+N(F143)+N(G143))</f>
        <v/>
      </c>
      <c r="I143" s="35" t="n">
        <v>40.95</v>
      </c>
      <c r="J143" s="30">
        <f>IF(OR(H143="",L143="Cancelled"),"",IF(H143-N(I143)&gt;0.005,H143-N(I143),""))</f>
        <v/>
      </c>
      <c r="K143" s="31" t="n">
        <v>46171</v>
      </c>
      <c r="L143" s="36" t="inlineStr">
        <is>
          <t>Sent</t>
        </is>
      </c>
      <c r="M143" s="33" t="inlineStr">
        <is>
          <t>Own website</t>
        </is>
      </c>
      <c r="N143" s="22">
        <f>IF(OR(H143="",L143="Cancelled"),"",IF(N(E143)=0,1,E143)*IFERROR(INDEX(Products!$E$6:$E$105,MATCH(D143,Products!$B$6:$B$105,0)),0))</f>
        <v/>
      </c>
      <c r="O143" s="35" t="n">
        <v>6.48</v>
      </c>
      <c r="P143" s="22">
        <f>IF(OR(H143="",L143="Cancelled"),"",ROUND(IFERROR(H143*INDEX(Settings!$C$6:$C$15,MATCH(M143,Settings!$B$6:$B$15,0))+INDEX(Settings!$D$6:$D$15,MATCH(M143,Settings!$B$6:$B$15,0)),0),2))</f>
        <v/>
      </c>
      <c r="Q143" s="28">
        <f>IF(OR(H143="",L143="Cancelled"),"",H143-N(N143)-N(O143)-N(P143))</f>
        <v/>
      </c>
      <c r="R143" s="19">
        <f>IF(OR(B143="",K143=""),"",IF(OR(L143="Sent",L143="Picked up"),"Done",IF(L143="Cancelled","Cancelled",IF(K143&lt;TODAY(),"Late by "&amp;(TODAY()-K143)&amp;IF((TODAY()-K143)=1," day"," days"),IF(K143=TODAY(),"Due today","Due in "&amp;(K143-TODAY())&amp;IF((K143-TODAY())=1," day"," days"))))))</f>
        <v/>
      </c>
      <c r="S143" s="33" t="n"/>
      <c r="T143" s="1">
        <f>IF(AND(B143&lt;&gt;"",K143&lt;&gt;"",L143&lt;&gt;"Sent",L143&lt;&gt;"Picked up",L143&lt;&gt;"Cancelled"),K143+ROW()/10000000,"")</f>
        <v/>
      </c>
      <c r="U143">
        <f>IF(OR(B143="",C143=""),"",B143+ROW()/10000000)</f>
        <v/>
      </c>
      <c r="V143">
        <f>IF(U143="","",IF(COUNTIFS(Orders!$C$6:$C$1005,C143,Orders!$U$6:$U$1005,"&gt;"&amp;U143)=0,1,0))</f>
        <v/>
      </c>
      <c r="W143">
        <f>IF(AND(B143&lt;&gt;"",K143&lt;&gt;"",L143&lt;&gt;"Sent",L143&lt;&gt;"Picked up",L143&lt;&gt;"Cancelled"),IF(N(E143)=0,1,E143),0)</f>
        <v/>
      </c>
      <c r="X143">
        <f>IF(OR(B143="",D143=""),"",IF(N(E143)=0,1,E143))</f>
        <v/>
      </c>
    </row>
    <row r="144">
      <c r="A144" s="1" t="n"/>
      <c r="B144" s="31" t="n">
        <v>46167</v>
      </c>
      <c r="C144" s="32" t="inlineStr">
        <is>
          <t>Ruby Brooks</t>
        </is>
      </c>
      <c r="D144" s="33" t="inlineStr">
        <is>
          <t>Soy candle 8 oz</t>
        </is>
      </c>
      <c r="E144" s="34" t="n">
        <v>1</v>
      </c>
      <c r="F144" s="35" t="n"/>
      <c r="G144" s="35" t="n"/>
      <c r="H144" s="30">
        <f>IF(OR(B144="",D144=""),"",IF(N(E144)=0,1,E144)*IFERROR(INDEX(Products!$C$6:$C$105,MATCH(D144,Products!$B$6:$B$105,0)),0)+N(F144)+N(G144))</f>
        <v/>
      </c>
      <c r="I144" s="35" t="n">
        <v>22</v>
      </c>
      <c r="J144" s="30">
        <f>IF(OR(H144="",L144="Cancelled"),"",IF(H144-N(I144)&gt;0.005,H144-N(I144),""))</f>
        <v/>
      </c>
      <c r="K144" s="31" t="n">
        <v>46173</v>
      </c>
      <c r="L144" s="36" t="inlineStr">
        <is>
          <t>Picked up</t>
        </is>
      </c>
      <c r="M144" s="33" t="inlineStr">
        <is>
          <t>Instagram</t>
        </is>
      </c>
      <c r="N144" s="22">
        <f>IF(OR(H144="",L144="Cancelled"),"",IF(N(E144)=0,1,E144)*IFERROR(INDEX(Products!$E$6:$E$105,MATCH(D144,Products!$B$6:$B$105,0)),0))</f>
        <v/>
      </c>
      <c r="O144" s="35" t="n"/>
      <c r="P144" s="22">
        <f>IF(OR(H144="",L144="Cancelled"),"",ROUND(IFERROR(H144*INDEX(Settings!$C$6:$C$15,MATCH(M144,Settings!$B$6:$B$15,0))+INDEX(Settings!$D$6:$D$15,MATCH(M144,Settings!$B$6:$B$15,0)),0),2))</f>
        <v/>
      </c>
      <c r="Q144" s="28">
        <f>IF(OR(H144="",L144="Cancelled"),"",H144-N(N144)-N(O144)-N(P144))</f>
        <v/>
      </c>
      <c r="R144" s="19">
        <f>IF(OR(B144="",K144=""),"",IF(OR(L144="Sent",L144="Picked up"),"Done",IF(L144="Cancelled","Cancelled",IF(K144&lt;TODAY(),"Late by "&amp;(TODAY()-K144)&amp;IF((TODAY()-K144)=1," day"," days"),IF(K144=TODAY(),"Due today","Due in "&amp;(K144-TODAY())&amp;IF((K144-TODAY())=1," day"," days"))))))</f>
        <v/>
      </c>
      <c r="S144" s="33" t="n"/>
      <c r="T144" s="1">
        <f>IF(AND(B144&lt;&gt;"",K144&lt;&gt;"",L144&lt;&gt;"Sent",L144&lt;&gt;"Picked up",L144&lt;&gt;"Cancelled"),K144+ROW()/10000000,"")</f>
        <v/>
      </c>
      <c r="U144">
        <f>IF(OR(B144="",C144=""),"",B144+ROW()/10000000)</f>
        <v/>
      </c>
      <c r="V144">
        <f>IF(U144="","",IF(COUNTIFS(Orders!$C$6:$C$1005,C144,Orders!$U$6:$U$1005,"&gt;"&amp;U144)=0,1,0))</f>
        <v/>
      </c>
      <c r="W144">
        <f>IF(AND(B144&lt;&gt;"",K144&lt;&gt;"",L144&lt;&gt;"Sent",L144&lt;&gt;"Picked up",L144&lt;&gt;"Cancelled"),IF(N(E144)=0,1,E144),0)</f>
        <v/>
      </c>
      <c r="X144">
        <f>IF(OR(B144="",D144=""),"",IF(N(E144)=0,1,E144))</f>
        <v/>
      </c>
    </row>
    <row r="145">
      <c r="A145" s="1" t="n"/>
      <c r="B145" s="31" t="n">
        <v>46167</v>
      </c>
      <c r="C145" s="32" t="inlineStr">
        <is>
          <t>Adam King</t>
        </is>
      </c>
      <c r="D145" s="33" t="inlineStr">
        <is>
          <t>Soy candle 8 oz</t>
        </is>
      </c>
      <c r="E145" s="34" t="n">
        <v>3</v>
      </c>
      <c r="F145" s="35" t="n"/>
      <c r="G145" s="35" t="n"/>
      <c r="H145" s="30">
        <f>IF(OR(B145="",D145=""),"",IF(N(E145)=0,1,E145)*IFERROR(INDEX(Products!$C$6:$C$105,MATCH(D145,Products!$B$6:$B$105,0)),0)+N(F145)+N(G145))</f>
        <v/>
      </c>
      <c r="I145" s="35" t="n">
        <v>66</v>
      </c>
      <c r="J145" s="30">
        <f>IF(OR(H145="",L145="Cancelled"),"",IF(H145-N(I145)&gt;0.005,H145-N(I145),""))</f>
        <v/>
      </c>
      <c r="K145" s="31" t="n">
        <v>46175</v>
      </c>
      <c r="L145" s="36" t="inlineStr">
        <is>
          <t>Picked up</t>
        </is>
      </c>
      <c r="M145" s="33" t="inlineStr">
        <is>
          <t>Instagram</t>
        </is>
      </c>
      <c r="N145" s="22">
        <f>IF(OR(H145="",L145="Cancelled"),"",IF(N(E145)=0,1,E145)*IFERROR(INDEX(Products!$E$6:$E$105,MATCH(D145,Products!$B$6:$B$105,0)),0))</f>
        <v/>
      </c>
      <c r="O145" s="35" t="n"/>
      <c r="P145" s="22">
        <f>IF(OR(H145="",L145="Cancelled"),"",ROUND(IFERROR(H145*INDEX(Settings!$C$6:$C$15,MATCH(M145,Settings!$B$6:$B$15,0))+INDEX(Settings!$D$6:$D$15,MATCH(M145,Settings!$B$6:$B$15,0)),0),2))</f>
        <v/>
      </c>
      <c r="Q145" s="28">
        <f>IF(OR(H145="",L145="Cancelled"),"",H145-N(N145)-N(O145)-N(P145))</f>
        <v/>
      </c>
      <c r="R145" s="19">
        <f>IF(OR(B145="",K145=""),"",IF(OR(L145="Sent",L145="Picked up"),"Done",IF(L145="Cancelled","Cancelled",IF(K145&lt;TODAY(),"Late by "&amp;(TODAY()-K145)&amp;IF((TODAY()-K145)=1," day"," days"),IF(K145=TODAY(),"Due today","Due in "&amp;(K145-TODAY())&amp;IF((K145-TODAY())=1," day"," days"))))))</f>
        <v/>
      </c>
      <c r="S145" s="33" t="n"/>
      <c r="T145" s="1">
        <f>IF(AND(B145&lt;&gt;"",K145&lt;&gt;"",L145&lt;&gt;"Sent",L145&lt;&gt;"Picked up",L145&lt;&gt;"Cancelled"),K145+ROW()/10000000,"")</f>
        <v/>
      </c>
      <c r="U145">
        <f>IF(OR(B145="",C145=""),"",B145+ROW()/10000000)</f>
        <v/>
      </c>
      <c r="V145">
        <f>IF(U145="","",IF(COUNTIFS(Orders!$C$6:$C$1005,C145,Orders!$U$6:$U$1005,"&gt;"&amp;U145)=0,1,0))</f>
        <v/>
      </c>
      <c r="W145">
        <f>IF(AND(B145&lt;&gt;"",K145&lt;&gt;"",L145&lt;&gt;"Sent",L145&lt;&gt;"Picked up",L145&lt;&gt;"Cancelled"),IF(N(E145)=0,1,E145),0)</f>
        <v/>
      </c>
      <c r="X145">
        <f>IF(OR(B145="",D145=""),"",IF(N(E145)=0,1,E145))</f>
        <v/>
      </c>
    </row>
    <row r="146">
      <c r="A146" s="1" t="n"/>
      <c r="B146" s="31" t="n">
        <v>46168</v>
      </c>
      <c r="C146" s="32" t="inlineStr">
        <is>
          <t>Kara Adams</t>
        </is>
      </c>
      <c r="D146" s="33" t="inlineStr">
        <is>
          <t>Soy candle 8 oz</t>
        </is>
      </c>
      <c r="E146" s="34" t="n">
        <v>1</v>
      </c>
      <c r="F146" s="35" t="n"/>
      <c r="G146" s="35" t="n"/>
      <c r="H146" s="30">
        <f>IF(OR(B146="",D146=""),"",IF(N(E146)=0,1,E146)*IFERROR(INDEX(Products!$C$6:$C$105,MATCH(D146,Products!$B$6:$B$105,0)),0)+N(F146)+N(G146))</f>
        <v/>
      </c>
      <c r="I146" s="35" t="n">
        <v>22</v>
      </c>
      <c r="J146" s="30">
        <f>IF(OR(H146="",L146="Cancelled"),"",IF(H146-N(I146)&gt;0.005,H146-N(I146),""))</f>
        <v/>
      </c>
      <c r="K146" s="31" t="n">
        <v>46179</v>
      </c>
      <c r="L146" s="36" t="inlineStr">
        <is>
          <t>Picked up</t>
        </is>
      </c>
      <c r="M146" s="33" t="inlineStr">
        <is>
          <t>Friends and family</t>
        </is>
      </c>
      <c r="N146" s="22">
        <f>IF(OR(H146="",L146="Cancelled"),"",IF(N(E146)=0,1,E146)*IFERROR(INDEX(Products!$E$6:$E$105,MATCH(D146,Products!$B$6:$B$105,0)),0))</f>
        <v/>
      </c>
      <c r="O146" s="35" t="n"/>
      <c r="P146" s="22">
        <f>IF(OR(H146="",L146="Cancelled"),"",ROUND(IFERROR(H146*INDEX(Settings!$C$6:$C$15,MATCH(M146,Settings!$B$6:$B$15,0))+INDEX(Settings!$D$6:$D$15,MATCH(M146,Settings!$B$6:$B$15,0)),0),2))</f>
        <v/>
      </c>
      <c r="Q146" s="28">
        <f>IF(OR(H146="",L146="Cancelled"),"",H146-N(N146)-N(O146)-N(P146))</f>
        <v/>
      </c>
      <c r="R146" s="19">
        <f>IF(OR(B146="",K146=""),"",IF(OR(L146="Sent",L146="Picked up"),"Done",IF(L146="Cancelled","Cancelled",IF(K146&lt;TODAY(),"Late by "&amp;(TODAY()-K146)&amp;IF((TODAY()-K146)=1," day"," days"),IF(K146=TODAY(),"Due today","Due in "&amp;(K146-TODAY())&amp;IF((K146-TODAY())=1," day"," days"))))))</f>
        <v/>
      </c>
      <c r="S146" s="33" t="n"/>
      <c r="T146" s="1">
        <f>IF(AND(B146&lt;&gt;"",K146&lt;&gt;"",L146&lt;&gt;"Sent",L146&lt;&gt;"Picked up",L146&lt;&gt;"Cancelled"),K146+ROW()/10000000,"")</f>
        <v/>
      </c>
      <c r="U146">
        <f>IF(OR(B146="",C146=""),"",B146+ROW()/10000000)</f>
        <v/>
      </c>
      <c r="V146">
        <f>IF(U146="","",IF(COUNTIFS(Orders!$C$6:$C$1005,C146,Orders!$U$6:$U$1005,"&gt;"&amp;U146)=0,1,0))</f>
        <v/>
      </c>
      <c r="W146">
        <f>IF(AND(B146&lt;&gt;"",K146&lt;&gt;"",L146&lt;&gt;"Sent",L146&lt;&gt;"Picked up",L146&lt;&gt;"Cancelled"),IF(N(E146)=0,1,E146),0)</f>
        <v/>
      </c>
      <c r="X146">
        <f>IF(OR(B146="",D146=""),"",IF(N(E146)=0,1,E146))</f>
        <v/>
      </c>
    </row>
    <row r="147">
      <c r="A147" s="1" t="n"/>
      <c r="B147" s="31" t="n">
        <v>46168</v>
      </c>
      <c r="C147" s="32" t="inlineStr">
        <is>
          <t>George Bell</t>
        </is>
      </c>
      <c r="D147" s="33" t="inlineStr">
        <is>
          <t>Soy candle 8 oz</t>
        </is>
      </c>
      <c r="E147" s="34" t="n">
        <v>4</v>
      </c>
      <c r="F147" s="35" t="n"/>
      <c r="G147" s="35" t="n"/>
      <c r="H147" s="30">
        <f>IF(OR(B147="",D147=""),"",IF(N(E147)=0,1,E147)*IFERROR(INDEX(Products!$C$6:$C$105,MATCH(D147,Products!$B$6:$B$105,0)),0)+N(F147)+N(G147))</f>
        <v/>
      </c>
      <c r="I147" s="35" t="n">
        <v>88</v>
      </c>
      <c r="J147" s="30">
        <f>IF(OR(H147="",L147="Cancelled"),"",IF(H147-N(I147)&gt;0.005,H147-N(I147),""))</f>
        <v/>
      </c>
      <c r="K147" s="31" t="n">
        <v>46177</v>
      </c>
      <c r="L147" s="36" t="inlineStr">
        <is>
          <t>Picked up</t>
        </is>
      </c>
      <c r="M147" s="33" t="inlineStr">
        <is>
          <t>Craft market</t>
        </is>
      </c>
      <c r="N147" s="22">
        <f>IF(OR(H147="",L147="Cancelled"),"",IF(N(E147)=0,1,E147)*IFERROR(INDEX(Products!$E$6:$E$105,MATCH(D147,Products!$B$6:$B$105,0)),0))</f>
        <v/>
      </c>
      <c r="O147" s="35" t="n"/>
      <c r="P147" s="22">
        <f>IF(OR(H147="",L147="Cancelled"),"",ROUND(IFERROR(H147*INDEX(Settings!$C$6:$C$15,MATCH(M147,Settings!$B$6:$B$15,0))+INDEX(Settings!$D$6:$D$15,MATCH(M147,Settings!$B$6:$B$15,0)),0),2))</f>
        <v/>
      </c>
      <c r="Q147" s="28">
        <f>IF(OR(H147="",L147="Cancelled"),"",H147-N(N147)-N(O147)-N(P147))</f>
        <v/>
      </c>
      <c r="R147" s="19">
        <f>IF(OR(B147="",K147=""),"",IF(OR(L147="Sent",L147="Picked up"),"Done",IF(L147="Cancelled","Cancelled",IF(K147&lt;TODAY(),"Late by "&amp;(TODAY()-K147)&amp;IF((TODAY()-K147)=1," day"," days"),IF(K147=TODAY(),"Due today","Due in "&amp;(K147-TODAY())&amp;IF((K147-TODAY())=1," day"," days"))))))</f>
        <v/>
      </c>
      <c r="S147" s="33" t="n"/>
      <c r="T147" s="1">
        <f>IF(AND(B147&lt;&gt;"",K147&lt;&gt;"",L147&lt;&gt;"Sent",L147&lt;&gt;"Picked up",L147&lt;&gt;"Cancelled"),K147+ROW()/10000000,"")</f>
        <v/>
      </c>
      <c r="U147">
        <f>IF(OR(B147="",C147=""),"",B147+ROW()/10000000)</f>
        <v/>
      </c>
      <c r="V147">
        <f>IF(U147="","",IF(COUNTIFS(Orders!$C$6:$C$1005,C147,Orders!$U$6:$U$1005,"&gt;"&amp;U147)=0,1,0))</f>
        <v/>
      </c>
      <c r="W147">
        <f>IF(AND(B147&lt;&gt;"",K147&lt;&gt;"",L147&lt;&gt;"Sent",L147&lt;&gt;"Picked up",L147&lt;&gt;"Cancelled"),IF(N(E147)=0,1,E147),0)</f>
        <v/>
      </c>
      <c r="X147">
        <f>IF(OR(B147="",D147=""),"",IF(N(E147)=0,1,E147))</f>
        <v/>
      </c>
    </row>
    <row r="148">
      <c r="A148" s="1" t="n"/>
      <c r="B148" s="31" t="n">
        <v>46169</v>
      </c>
      <c r="C148" s="32" t="inlineStr">
        <is>
          <t>Ava Adams</t>
        </is>
      </c>
      <c r="D148" s="33" t="inlineStr">
        <is>
          <t>Soy candle 8 oz</t>
        </is>
      </c>
      <c r="E148" s="34" t="n">
        <v>4</v>
      </c>
      <c r="F148" s="35" t="n"/>
      <c r="G148" s="35" t="n"/>
      <c r="H148" s="30">
        <f>IF(OR(B148="",D148=""),"",IF(N(E148)=0,1,E148)*IFERROR(INDEX(Products!$C$6:$C$105,MATCH(D148,Products!$B$6:$B$105,0)),0)+N(F148)+N(G148))</f>
        <v/>
      </c>
      <c r="I148" s="35" t="n">
        <v>88</v>
      </c>
      <c r="J148" s="30">
        <f>IF(OR(H148="",L148="Cancelled"),"",IF(H148-N(I148)&gt;0.005,H148-N(I148),""))</f>
        <v/>
      </c>
      <c r="K148" s="31" t="n">
        <v>46178</v>
      </c>
      <c r="L148" s="36" t="inlineStr">
        <is>
          <t>Picked up</t>
        </is>
      </c>
      <c r="M148" s="33" t="inlineStr">
        <is>
          <t>Craft market</t>
        </is>
      </c>
      <c r="N148" s="22">
        <f>IF(OR(H148="",L148="Cancelled"),"",IF(N(E148)=0,1,E148)*IFERROR(INDEX(Products!$E$6:$E$105,MATCH(D148,Products!$B$6:$B$105,0)),0))</f>
        <v/>
      </c>
      <c r="O148" s="35" t="n"/>
      <c r="P148" s="22">
        <f>IF(OR(H148="",L148="Cancelled"),"",ROUND(IFERROR(H148*INDEX(Settings!$C$6:$C$15,MATCH(M148,Settings!$B$6:$B$15,0))+INDEX(Settings!$D$6:$D$15,MATCH(M148,Settings!$B$6:$B$15,0)),0),2))</f>
        <v/>
      </c>
      <c r="Q148" s="28">
        <f>IF(OR(H148="",L148="Cancelled"),"",H148-N(N148)-N(O148)-N(P148))</f>
        <v/>
      </c>
      <c r="R148" s="19">
        <f>IF(OR(B148="",K148=""),"",IF(OR(L148="Sent",L148="Picked up"),"Done",IF(L148="Cancelled","Cancelled",IF(K148&lt;TODAY(),"Late by "&amp;(TODAY()-K148)&amp;IF((TODAY()-K148)=1," day"," days"),IF(K148=TODAY(),"Due today","Due in "&amp;(K148-TODAY())&amp;IF((K148-TODAY())=1," day"," days"))))))</f>
        <v/>
      </c>
      <c r="S148" s="33" t="n"/>
      <c r="T148" s="1">
        <f>IF(AND(B148&lt;&gt;"",K148&lt;&gt;"",L148&lt;&gt;"Sent",L148&lt;&gt;"Picked up",L148&lt;&gt;"Cancelled"),K148+ROW()/10000000,"")</f>
        <v/>
      </c>
      <c r="U148">
        <f>IF(OR(B148="",C148=""),"",B148+ROW()/10000000)</f>
        <v/>
      </c>
      <c r="V148">
        <f>IF(U148="","",IF(COUNTIFS(Orders!$C$6:$C$1005,C148,Orders!$U$6:$U$1005,"&gt;"&amp;U148)=0,1,0))</f>
        <v/>
      </c>
      <c r="W148">
        <f>IF(AND(B148&lt;&gt;"",K148&lt;&gt;"",L148&lt;&gt;"Sent",L148&lt;&gt;"Picked up",L148&lt;&gt;"Cancelled"),IF(N(E148)=0,1,E148),0)</f>
        <v/>
      </c>
      <c r="X148">
        <f>IF(OR(B148="",D148=""),"",IF(N(E148)=0,1,E148))</f>
        <v/>
      </c>
    </row>
    <row r="149">
      <c r="A149" s="1" t="n"/>
      <c r="B149" s="31" t="n">
        <v>46169</v>
      </c>
      <c r="C149" s="32" t="inlineStr">
        <is>
          <t>George Price</t>
        </is>
      </c>
      <c r="D149" s="33" t="inlineStr">
        <is>
          <t>Soap bar</t>
        </is>
      </c>
      <c r="E149" s="34" t="n">
        <v>4</v>
      </c>
      <c r="F149" s="35" t="n"/>
      <c r="G149" s="35" t="n">
        <v>6.95</v>
      </c>
      <c r="H149" s="30">
        <f>IF(OR(B149="",D149=""),"",IF(N(E149)=0,1,E149)*IFERROR(INDEX(Products!$C$6:$C$105,MATCH(D149,Products!$B$6:$B$105,0)),0)+N(F149)+N(G149))</f>
        <v/>
      </c>
      <c r="I149" s="35" t="n">
        <v>38.95</v>
      </c>
      <c r="J149" s="30">
        <f>IF(OR(H149="",L149="Cancelled"),"",IF(H149-N(I149)&gt;0.005,H149-N(I149),""))</f>
        <v/>
      </c>
      <c r="K149" s="31" t="n">
        <v>46174</v>
      </c>
      <c r="L149" s="36" t="inlineStr">
        <is>
          <t>Sent</t>
        </is>
      </c>
      <c r="M149" s="33" t="inlineStr">
        <is>
          <t>Etsy</t>
        </is>
      </c>
      <c r="N149" s="22">
        <f>IF(OR(H149="",L149="Cancelled"),"",IF(N(E149)=0,1,E149)*IFERROR(INDEX(Products!$E$6:$E$105,MATCH(D149,Products!$B$6:$B$105,0)),0))</f>
        <v/>
      </c>
      <c r="O149" s="35" t="n">
        <v>7.6</v>
      </c>
      <c r="P149" s="22">
        <f>IF(OR(H149="",L149="Cancelled"),"",ROUND(IFERROR(H149*INDEX(Settings!$C$6:$C$15,MATCH(M149,Settings!$B$6:$B$15,0))+INDEX(Settings!$D$6:$D$15,MATCH(M149,Settings!$B$6:$B$15,0)),0),2))</f>
        <v/>
      </c>
      <c r="Q149" s="28">
        <f>IF(OR(H149="",L149="Cancelled"),"",H149-N(N149)-N(O149)-N(P149))</f>
        <v/>
      </c>
      <c r="R149" s="19">
        <f>IF(OR(B149="",K149=""),"",IF(OR(L149="Sent",L149="Picked up"),"Done",IF(L149="Cancelled","Cancelled",IF(K149&lt;TODAY(),"Late by "&amp;(TODAY()-K149)&amp;IF((TODAY()-K149)=1," day"," days"),IF(K149=TODAY(),"Due today","Due in "&amp;(K149-TODAY())&amp;IF((K149-TODAY())=1," day"," days"))))))</f>
        <v/>
      </c>
      <c r="S149" s="33" t="n"/>
      <c r="T149" s="1">
        <f>IF(AND(B149&lt;&gt;"",K149&lt;&gt;"",L149&lt;&gt;"Sent",L149&lt;&gt;"Picked up",L149&lt;&gt;"Cancelled"),K149+ROW()/10000000,"")</f>
        <v/>
      </c>
      <c r="U149">
        <f>IF(OR(B149="",C149=""),"",B149+ROW()/10000000)</f>
        <v/>
      </c>
      <c r="V149">
        <f>IF(U149="","",IF(COUNTIFS(Orders!$C$6:$C$1005,C149,Orders!$U$6:$U$1005,"&gt;"&amp;U149)=0,1,0))</f>
        <v/>
      </c>
      <c r="W149">
        <f>IF(AND(B149&lt;&gt;"",K149&lt;&gt;"",L149&lt;&gt;"Sent",L149&lt;&gt;"Picked up",L149&lt;&gt;"Cancelled"),IF(N(E149)=0,1,E149),0)</f>
        <v/>
      </c>
      <c r="X149">
        <f>IF(OR(B149="",D149=""),"",IF(N(E149)=0,1,E149))</f>
        <v/>
      </c>
    </row>
    <row r="150">
      <c r="A150" s="1" t="n"/>
      <c r="B150" s="31" t="n">
        <v>46170</v>
      </c>
      <c r="C150" s="32" t="inlineStr">
        <is>
          <t>Megan Murphy</t>
        </is>
      </c>
      <c r="D150" s="33" t="inlineStr">
        <is>
          <t>Wax melts, 6 pack</t>
        </is>
      </c>
      <c r="E150" s="34" t="n">
        <v>1</v>
      </c>
      <c r="F150" s="35" t="n"/>
      <c r="G150" s="35" t="n">
        <v>6.95</v>
      </c>
      <c r="H150" s="30">
        <f>IF(OR(B150="",D150=""),"",IF(N(E150)=0,1,E150)*IFERROR(INDEX(Products!$C$6:$C$105,MATCH(D150,Products!$B$6:$B$105,0)),0)+N(F150)+N(G150))</f>
        <v/>
      </c>
      <c r="I150" s="35" t="n">
        <v>15.95</v>
      </c>
      <c r="J150" s="30">
        <f>IF(OR(H150="",L150="Cancelled"),"",IF(H150-N(I150)&gt;0.005,H150-N(I150),""))</f>
        <v/>
      </c>
      <c r="K150" s="31" t="n">
        <v>46176</v>
      </c>
      <c r="L150" s="36" t="inlineStr">
        <is>
          <t>Sent</t>
        </is>
      </c>
      <c r="M150" s="33" t="inlineStr">
        <is>
          <t>Own website</t>
        </is>
      </c>
      <c r="N150" s="22">
        <f>IF(OR(H150="",L150="Cancelled"),"",IF(N(E150)=0,1,E150)*IFERROR(INDEX(Products!$E$6:$E$105,MATCH(D150,Products!$B$6:$B$105,0)),0))</f>
        <v/>
      </c>
      <c r="O150" s="35" t="n">
        <v>5.26</v>
      </c>
      <c r="P150" s="22">
        <f>IF(OR(H150="",L150="Cancelled"),"",ROUND(IFERROR(H150*INDEX(Settings!$C$6:$C$15,MATCH(M150,Settings!$B$6:$B$15,0))+INDEX(Settings!$D$6:$D$15,MATCH(M150,Settings!$B$6:$B$15,0)),0),2))</f>
        <v/>
      </c>
      <c r="Q150" s="28">
        <f>IF(OR(H150="",L150="Cancelled"),"",H150-N(N150)-N(O150)-N(P150))</f>
        <v/>
      </c>
      <c r="R150" s="19">
        <f>IF(OR(B150="",K150=""),"",IF(OR(L150="Sent",L150="Picked up"),"Done",IF(L150="Cancelled","Cancelled",IF(K150&lt;TODAY(),"Late by "&amp;(TODAY()-K150)&amp;IF((TODAY()-K150)=1," day"," days"),IF(K150=TODAY(),"Due today","Due in "&amp;(K150-TODAY())&amp;IF((K150-TODAY())=1," day"," days"))))))</f>
        <v/>
      </c>
      <c r="S150" s="33" t="n"/>
      <c r="T150" s="1">
        <f>IF(AND(B150&lt;&gt;"",K150&lt;&gt;"",L150&lt;&gt;"Sent",L150&lt;&gt;"Picked up",L150&lt;&gt;"Cancelled"),K150+ROW()/10000000,"")</f>
        <v/>
      </c>
      <c r="U150">
        <f>IF(OR(B150="",C150=""),"",B150+ROW()/10000000)</f>
        <v/>
      </c>
      <c r="V150">
        <f>IF(U150="","",IF(COUNTIFS(Orders!$C$6:$C$1005,C150,Orders!$U$6:$U$1005,"&gt;"&amp;U150)=0,1,0))</f>
        <v/>
      </c>
      <c r="W150">
        <f>IF(AND(B150&lt;&gt;"",K150&lt;&gt;"",L150&lt;&gt;"Sent",L150&lt;&gt;"Picked up",L150&lt;&gt;"Cancelled"),IF(N(E150)=0,1,E150),0)</f>
        <v/>
      </c>
      <c r="X150">
        <f>IF(OR(B150="",D150=""),"",IF(N(E150)=0,1,E150))</f>
        <v/>
      </c>
    </row>
    <row r="151">
      <c r="A151" s="1" t="n"/>
      <c r="B151" s="31" t="n">
        <v>46171</v>
      </c>
      <c r="C151" s="32" t="inlineStr">
        <is>
          <t>Adam Davies</t>
        </is>
      </c>
      <c r="D151" s="33" t="inlineStr">
        <is>
          <t>Soy candle 8 oz</t>
        </is>
      </c>
      <c r="E151" s="34" t="n">
        <v>2</v>
      </c>
      <c r="F151" s="35" t="n"/>
      <c r="G151" s="35" t="n"/>
      <c r="H151" s="30">
        <f>IF(OR(B151="",D151=""),"",IF(N(E151)=0,1,E151)*IFERROR(INDEX(Products!$C$6:$C$105,MATCH(D151,Products!$B$6:$B$105,0)),0)+N(F151)+N(G151))</f>
        <v/>
      </c>
      <c r="I151" s="35" t="n">
        <v>44</v>
      </c>
      <c r="J151" s="30">
        <f>IF(OR(H151="",L151="Cancelled"),"",IF(H151-N(I151)&gt;0.005,H151-N(I151),""))</f>
        <v/>
      </c>
      <c r="K151" s="31" t="n">
        <v>46181</v>
      </c>
      <c r="L151" s="36" t="inlineStr">
        <is>
          <t>Picked up</t>
        </is>
      </c>
      <c r="M151" s="33" t="inlineStr">
        <is>
          <t>Friends and family</t>
        </is>
      </c>
      <c r="N151" s="22">
        <f>IF(OR(H151="",L151="Cancelled"),"",IF(N(E151)=0,1,E151)*IFERROR(INDEX(Products!$E$6:$E$105,MATCH(D151,Products!$B$6:$B$105,0)),0))</f>
        <v/>
      </c>
      <c r="O151" s="35" t="n"/>
      <c r="P151" s="22">
        <f>IF(OR(H151="",L151="Cancelled"),"",ROUND(IFERROR(H151*INDEX(Settings!$C$6:$C$15,MATCH(M151,Settings!$B$6:$B$15,0))+INDEX(Settings!$D$6:$D$15,MATCH(M151,Settings!$B$6:$B$15,0)),0),2))</f>
        <v/>
      </c>
      <c r="Q151" s="28">
        <f>IF(OR(H151="",L151="Cancelled"),"",H151-N(N151)-N(O151)-N(P151))</f>
        <v/>
      </c>
      <c r="R151" s="19">
        <f>IF(OR(B151="",K151=""),"",IF(OR(L151="Sent",L151="Picked up"),"Done",IF(L151="Cancelled","Cancelled",IF(K151&lt;TODAY(),"Late by "&amp;(TODAY()-K151)&amp;IF((TODAY()-K151)=1," day"," days"),IF(K151=TODAY(),"Due today","Due in "&amp;(K151-TODAY())&amp;IF((K151-TODAY())=1," day"," days"))))))</f>
        <v/>
      </c>
      <c r="S151" s="33" t="n"/>
      <c r="T151" s="1">
        <f>IF(AND(B151&lt;&gt;"",K151&lt;&gt;"",L151&lt;&gt;"Sent",L151&lt;&gt;"Picked up",L151&lt;&gt;"Cancelled"),K151+ROW()/10000000,"")</f>
        <v/>
      </c>
      <c r="U151">
        <f>IF(OR(B151="",C151=""),"",B151+ROW()/10000000)</f>
        <v/>
      </c>
      <c r="V151">
        <f>IF(U151="","",IF(COUNTIFS(Orders!$C$6:$C$1005,C151,Orders!$U$6:$U$1005,"&gt;"&amp;U151)=0,1,0))</f>
        <v/>
      </c>
      <c r="W151">
        <f>IF(AND(B151&lt;&gt;"",K151&lt;&gt;"",L151&lt;&gt;"Sent",L151&lt;&gt;"Picked up",L151&lt;&gt;"Cancelled"),IF(N(E151)=0,1,E151),0)</f>
        <v/>
      </c>
      <c r="X151">
        <f>IF(OR(B151="",D151=""),"",IF(N(E151)=0,1,E151))</f>
        <v/>
      </c>
    </row>
    <row r="152">
      <c r="A152" s="1" t="n"/>
      <c r="B152" s="31" t="n">
        <v>46171</v>
      </c>
      <c r="C152" s="32" t="inlineStr">
        <is>
          <t>Lily Gray</t>
        </is>
      </c>
      <c r="D152" s="33" t="inlineStr">
        <is>
          <t>Soy candle 8 oz</t>
        </is>
      </c>
      <c r="E152" s="34" t="n">
        <v>4</v>
      </c>
      <c r="F152" s="35" t="n"/>
      <c r="G152" s="35" t="n">
        <v>6.95</v>
      </c>
      <c r="H152" s="30">
        <f>IF(OR(B152="",D152=""),"",IF(N(E152)=0,1,E152)*IFERROR(INDEX(Products!$C$6:$C$105,MATCH(D152,Products!$B$6:$B$105,0)),0)+N(F152)+N(G152))</f>
        <v/>
      </c>
      <c r="I152" s="35" t="n">
        <v>94.95</v>
      </c>
      <c r="J152" s="30">
        <f>IF(OR(H152="",L152="Cancelled"),"",IF(H152-N(I152)&gt;0.005,H152-N(I152),""))</f>
        <v/>
      </c>
      <c r="K152" s="31" t="n">
        <v>46181</v>
      </c>
      <c r="L152" s="36" t="inlineStr">
        <is>
          <t>Sent</t>
        </is>
      </c>
      <c r="M152" s="33" t="inlineStr">
        <is>
          <t>Etsy</t>
        </is>
      </c>
      <c r="N152" s="22">
        <f>IF(OR(H152="",L152="Cancelled"),"",IF(N(E152)=0,1,E152)*IFERROR(INDEX(Products!$E$6:$E$105,MATCH(D152,Products!$B$6:$B$105,0)),0))</f>
        <v/>
      </c>
      <c r="O152" s="35" t="n">
        <v>6.09</v>
      </c>
      <c r="P152" s="22">
        <f>IF(OR(H152="",L152="Cancelled"),"",ROUND(IFERROR(H152*INDEX(Settings!$C$6:$C$15,MATCH(M152,Settings!$B$6:$B$15,0))+INDEX(Settings!$D$6:$D$15,MATCH(M152,Settings!$B$6:$B$15,0)),0),2))</f>
        <v/>
      </c>
      <c r="Q152" s="28">
        <f>IF(OR(H152="",L152="Cancelled"),"",H152-N(N152)-N(O152)-N(P152))</f>
        <v/>
      </c>
      <c r="R152" s="19">
        <f>IF(OR(B152="",K152=""),"",IF(OR(L152="Sent",L152="Picked up"),"Done",IF(L152="Cancelled","Cancelled",IF(K152&lt;TODAY(),"Late by "&amp;(TODAY()-K152)&amp;IF((TODAY()-K152)=1," day"," days"),IF(K152=TODAY(),"Due today","Due in "&amp;(K152-TODAY())&amp;IF((K152-TODAY())=1," day"," days"))))))</f>
        <v/>
      </c>
      <c r="S152" s="33" t="n"/>
      <c r="T152" s="1">
        <f>IF(AND(B152&lt;&gt;"",K152&lt;&gt;"",L152&lt;&gt;"Sent",L152&lt;&gt;"Picked up",L152&lt;&gt;"Cancelled"),K152+ROW()/10000000,"")</f>
        <v/>
      </c>
      <c r="U152">
        <f>IF(OR(B152="",C152=""),"",B152+ROW()/10000000)</f>
        <v/>
      </c>
      <c r="V152">
        <f>IF(U152="","",IF(COUNTIFS(Orders!$C$6:$C$1005,C152,Orders!$U$6:$U$1005,"&gt;"&amp;U152)=0,1,0))</f>
        <v/>
      </c>
      <c r="W152">
        <f>IF(AND(B152&lt;&gt;"",K152&lt;&gt;"",L152&lt;&gt;"Sent",L152&lt;&gt;"Picked up",L152&lt;&gt;"Cancelled"),IF(N(E152)=0,1,E152),0)</f>
        <v/>
      </c>
      <c r="X152">
        <f>IF(OR(B152="",D152=""),"",IF(N(E152)=0,1,E152))</f>
        <v/>
      </c>
    </row>
    <row r="153">
      <c r="A153" s="1" t="n"/>
      <c r="B153" s="31" t="n">
        <v>46172</v>
      </c>
      <c r="C153" s="32" t="inlineStr">
        <is>
          <t>George Hill</t>
        </is>
      </c>
      <c r="D153" s="33" t="inlineStr">
        <is>
          <t>Soap bar</t>
        </is>
      </c>
      <c r="E153" s="34" t="n">
        <v>1</v>
      </c>
      <c r="F153" s="35" t="n"/>
      <c r="G153" s="35" t="n">
        <v>6.95</v>
      </c>
      <c r="H153" s="30">
        <f>IF(OR(B153="",D153=""),"",IF(N(E153)=0,1,E153)*IFERROR(INDEX(Products!$C$6:$C$105,MATCH(D153,Products!$B$6:$B$105,0)),0)+N(F153)+N(G153))</f>
        <v/>
      </c>
      <c r="I153" s="35" t="n">
        <v>14.95</v>
      </c>
      <c r="J153" s="30">
        <f>IF(OR(H153="",L153="Cancelled"),"",IF(H153-N(I153)&gt;0.005,H153-N(I153),""))</f>
        <v/>
      </c>
      <c r="K153" s="31" t="n">
        <v>46183</v>
      </c>
      <c r="L153" s="36" t="inlineStr">
        <is>
          <t>Sent</t>
        </is>
      </c>
      <c r="M153" s="33" t="inlineStr">
        <is>
          <t>Etsy</t>
        </is>
      </c>
      <c r="N153" s="22">
        <f>IF(OR(H153="",L153="Cancelled"),"",IF(N(E153)=0,1,E153)*IFERROR(INDEX(Products!$E$6:$E$105,MATCH(D153,Products!$B$6:$B$105,0)),0))</f>
        <v/>
      </c>
      <c r="O153" s="35" t="n">
        <v>6.12</v>
      </c>
      <c r="P153" s="22">
        <f>IF(OR(H153="",L153="Cancelled"),"",ROUND(IFERROR(H153*INDEX(Settings!$C$6:$C$15,MATCH(M153,Settings!$B$6:$B$15,0))+INDEX(Settings!$D$6:$D$15,MATCH(M153,Settings!$B$6:$B$15,0)),0),2))</f>
        <v/>
      </c>
      <c r="Q153" s="28">
        <f>IF(OR(H153="",L153="Cancelled"),"",H153-N(N153)-N(O153)-N(P153))</f>
        <v/>
      </c>
      <c r="R153" s="19">
        <f>IF(OR(B153="",K153=""),"",IF(OR(L153="Sent",L153="Picked up"),"Done",IF(L153="Cancelled","Cancelled",IF(K153&lt;TODAY(),"Late by "&amp;(TODAY()-K153)&amp;IF((TODAY()-K153)=1," day"," days"),IF(K153=TODAY(),"Due today","Due in "&amp;(K153-TODAY())&amp;IF((K153-TODAY())=1," day"," days"))))))</f>
        <v/>
      </c>
      <c r="S153" s="33" t="n"/>
      <c r="T153" s="1">
        <f>IF(AND(B153&lt;&gt;"",K153&lt;&gt;"",L153&lt;&gt;"Sent",L153&lt;&gt;"Picked up",L153&lt;&gt;"Cancelled"),K153+ROW()/10000000,"")</f>
        <v/>
      </c>
      <c r="U153">
        <f>IF(OR(B153="",C153=""),"",B153+ROW()/10000000)</f>
        <v/>
      </c>
      <c r="V153">
        <f>IF(U153="","",IF(COUNTIFS(Orders!$C$6:$C$1005,C153,Orders!$U$6:$U$1005,"&gt;"&amp;U153)=0,1,0))</f>
        <v/>
      </c>
      <c r="W153">
        <f>IF(AND(B153&lt;&gt;"",K153&lt;&gt;"",L153&lt;&gt;"Sent",L153&lt;&gt;"Picked up",L153&lt;&gt;"Cancelled"),IF(N(E153)=0,1,E153),0)</f>
        <v/>
      </c>
      <c r="X153">
        <f>IF(OR(B153="",D153=""),"",IF(N(E153)=0,1,E153))</f>
        <v/>
      </c>
    </row>
    <row r="154">
      <c r="A154" s="1" t="n"/>
      <c r="B154" s="31" t="n">
        <v>46174</v>
      </c>
      <c r="C154" s="32" t="inlineStr">
        <is>
          <t>Rita Price</t>
        </is>
      </c>
      <c r="D154" s="33" t="inlineStr">
        <is>
          <t>Gift box</t>
        </is>
      </c>
      <c r="E154" s="34" t="n">
        <v>1</v>
      </c>
      <c r="F154" s="35" t="n"/>
      <c r="G154" s="35" t="n"/>
      <c r="H154" s="30">
        <f>IF(OR(B154="",D154=""),"",IF(N(E154)=0,1,E154)*IFERROR(INDEX(Products!$C$6:$C$105,MATCH(D154,Products!$B$6:$B$105,0)),0)+N(F154)+N(G154))</f>
        <v/>
      </c>
      <c r="I154" s="35" t="n">
        <v>45</v>
      </c>
      <c r="J154" s="30">
        <f>IF(OR(H154="",L154="Cancelled"),"",IF(H154-N(I154)&gt;0.005,H154-N(I154),""))</f>
        <v/>
      </c>
      <c r="K154" s="31" t="n">
        <v>46180</v>
      </c>
      <c r="L154" s="36" t="inlineStr">
        <is>
          <t>Picked up</t>
        </is>
      </c>
      <c r="M154" s="33" t="inlineStr">
        <is>
          <t>Instagram</t>
        </is>
      </c>
      <c r="N154" s="22">
        <f>IF(OR(H154="",L154="Cancelled"),"",IF(N(E154)=0,1,E154)*IFERROR(INDEX(Products!$E$6:$E$105,MATCH(D154,Products!$B$6:$B$105,0)),0))</f>
        <v/>
      </c>
      <c r="O154" s="35" t="n"/>
      <c r="P154" s="22">
        <f>IF(OR(H154="",L154="Cancelled"),"",ROUND(IFERROR(H154*INDEX(Settings!$C$6:$C$15,MATCH(M154,Settings!$B$6:$B$15,0))+INDEX(Settings!$D$6:$D$15,MATCH(M154,Settings!$B$6:$B$15,0)),0),2))</f>
        <v/>
      </c>
      <c r="Q154" s="28">
        <f>IF(OR(H154="",L154="Cancelled"),"",H154-N(N154)-N(O154)-N(P154))</f>
        <v/>
      </c>
      <c r="R154" s="19">
        <f>IF(OR(B154="",K154=""),"",IF(OR(L154="Sent",L154="Picked up"),"Done",IF(L154="Cancelled","Cancelled",IF(K154&lt;TODAY(),"Late by "&amp;(TODAY()-K154)&amp;IF((TODAY()-K154)=1," day"," days"),IF(K154=TODAY(),"Due today","Due in "&amp;(K154-TODAY())&amp;IF((K154-TODAY())=1," day"," days"))))))</f>
        <v/>
      </c>
      <c r="S154" s="33" t="n"/>
      <c r="T154" s="1">
        <f>IF(AND(B154&lt;&gt;"",K154&lt;&gt;"",L154&lt;&gt;"Sent",L154&lt;&gt;"Picked up",L154&lt;&gt;"Cancelled"),K154+ROW()/10000000,"")</f>
        <v/>
      </c>
      <c r="U154">
        <f>IF(OR(B154="",C154=""),"",B154+ROW()/10000000)</f>
        <v/>
      </c>
      <c r="V154">
        <f>IF(U154="","",IF(COUNTIFS(Orders!$C$6:$C$1005,C154,Orders!$U$6:$U$1005,"&gt;"&amp;U154)=0,1,0))</f>
        <v/>
      </c>
      <c r="W154">
        <f>IF(AND(B154&lt;&gt;"",K154&lt;&gt;"",L154&lt;&gt;"Sent",L154&lt;&gt;"Picked up",L154&lt;&gt;"Cancelled"),IF(N(E154)=0,1,E154),0)</f>
        <v/>
      </c>
      <c r="X154">
        <f>IF(OR(B154="",D154=""),"",IF(N(E154)=0,1,E154))</f>
        <v/>
      </c>
    </row>
    <row r="155">
      <c r="A155" s="1" t="n"/>
      <c r="B155" s="31" t="n">
        <v>46175</v>
      </c>
      <c r="C155" s="32" t="inlineStr">
        <is>
          <t>Dan King</t>
        </is>
      </c>
      <c r="D155" s="33" t="inlineStr">
        <is>
          <t>Soy candle 16 oz</t>
        </is>
      </c>
      <c r="E155" s="34" t="n">
        <v>2</v>
      </c>
      <c r="F155" s="35" t="n"/>
      <c r="G155" s="35" t="n"/>
      <c r="H155" s="30">
        <f>IF(OR(B155="",D155=""),"",IF(N(E155)=0,1,E155)*IFERROR(INDEX(Products!$C$6:$C$105,MATCH(D155,Products!$B$6:$B$105,0)),0)+N(F155)+N(G155))</f>
        <v/>
      </c>
      <c r="I155" s="35" t="n">
        <v>68</v>
      </c>
      <c r="J155" s="30">
        <f>IF(OR(H155="",L155="Cancelled"),"",IF(H155-N(I155)&gt;0.005,H155-N(I155),""))</f>
        <v/>
      </c>
      <c r="K155" s="31" t="n">
        <v>46186</v>
      </c>
      <c r="L155" s="36" t="inlineStr">
        <is>
          <t>Picked up</t>
        </is>
      </c>
      <c r="M155" s="33" t="inlineStr">
        <is>
          <t>Friends and family</t>
        </is>
      </c>
      <c r="N155" s="22">
        <f>IF(OR(H155="",L155="Cancelled"),"",IF(N(E155)=0,1,E155)*IFERROR(INDEX(Products!$E$6:$E$105,MATCH(D155,Products!$B$6:$B$105,0)),0))</f>
        <v/>
      </c>
      <c r="O155" s="35" t="n"/>
      <c r="P155" s="22">
        <f>IF(OR(H155="",L155="Cancelled"),"",ROUND(IFERROR(H155*INDEX(Settings!$C$6:$C$15,MATCH(M155,Settings!$B$6:$B$15,0))+INDEX(Settings!$D$6:$D$15,MATCH(M155,Settings!$B$6:$B$15,0)),0),2))</f>
        <v/>
      </c>
      <c r="Q155" s="28">
        <f>IF(OR(H155="",L155="Cancelled"),"",H155-N(N155)-N(O155)-N(P155))</f>
        <v/>
      </c>
      <c r="R155" s="19">
        <f>IF(OR(B155="",K155=""),"",IF(OR(L155="Sent",L155="Picked up"),"Done",IF(L155="Cancelled","Cancelled",IF(K155&lt;TODAY(),"Late by "&amp;(TODAY()-K155)&amp;IF((TODAY()-K155)=1," day"," days"),IF(K155=TODAY(),"Due today","Due in "&amp;(K155-TODAY())&amp;IF((K155-TODAY())=1," day"," days"))))))</f>
        <v/>
      </c>
      <c r="S155" s="33" t="n"/>
      <c r="T155" s="1">
        <f>IF(AND(B155&lt;&gt;"",K155&lt;&gt;"",L155&lt;&gt;"Sent",L155&lt;&gt;"Picked up",L155&lt;&gt;"Cancelled"),K155+ROW()/10000000,"")</f>
        <v/>
      </c>
      <c r="U155">
        <f>IF(OR(B155="",C155=""),"",B155+ROW()/10000000)</f>
        <v/>
      </c>
      <c r="V155">
        <f>IF(U155="","",IF(COUNTIFS(Orders!$C$6:$C$1005,C155,Orders!$U$6:$U$1005,"&gt;"&amp;U155)=0,1,0))</f>
        <v/>
      </c>
      <c r="W155">
        <f>IF(AND(B155&lt;&gt;"",K155&lt;&gt;"",L155&lt;&gt;"Sent",L155&lt;&gt;"Picked up",L155&lt;&gt;"Cancelled"),IF(N(E155)=0,1,E155),0)</f>
        <v/>
      </c>
      <c r="X155">
        <f>IF(OR(B155="",D155=""),"",IF(N(E155)=0,1,E155))</f>
        <v/>
      </c>
    </row>
    <row r="156">
      <c r="A156" s="1" t="n"/>
      <c r="B156" s="31" t="n">
        <v>46176</v>
      </c>
      <c r="C156" s="32" t="inlineStr">
        <is>
          <t>Paula Morgan</t>
        </is>
      </c>
      <c r="D156" s="33" t="inlineStr">
        <is>
          <t>Wax melts, 6 pack</t>
        </is>
      </c>
      <c r="E156" s="34" t="n">
        <v>2</v>
      </c>
      <c r="F156" s="35" t="n"/>
      <c r="G156" s="35" t="n">
        <v>6.95</v>
      </c>
      <c r="H156" s="30">
        <f>IF(OR(B156="",D156=""),"",IF(N(E156)=0,1,E156)*IFERROR(INDEX(Products!$C$6:$C$105,MATCH(D156,Products!$B$6:$B$105,0)),0)+N(F156)+N(G156))</f>
        <v/>
      </c>
      <c r="I156" s="35" t="n">
        <v>24.95</v>
      </c>
      <c r="J156" s="30">
        <f>IF(OR(H156="",L156="Cancelled"),"",IF(H156-N(I156)&gt;0.005,H156-N(I156),""))</f>
        <v/>
      </c>
      <c r="K156" s="31" t="n">
        <v>46181</v>
      </c>
      <c r="L156" s="36" t="inlineStr">
        <is>
          <t>Sent</t>
        </is>
      </c>
      <c r="M156" s="33" t="inlineStr">
        <is>
          <t>Etsy</t>
        </is>
      </c>
      <c r="N156" s="22">
        <f>IF(OR(H156="",L156="Cancelled"),"",IF(N(E156)=0,1,E156)*IFERROR(INDEX(Products!$E$6:$E$105,MATCH(D156,Products!$B$6:$B$105,0)),0))</f>
        <v/>
      </c>
      <c r="O156" s="35" t="n">
        <v>7.75</v>
      </c>
      <c r="P156" s="22">
        <f>IF(OR(H156="",L156="Cancelled"),"",ROUND(IFERROR(H156*INDEX(Settings!$C$6:$C$15,MATCH(M156,Settings!$B$6:$B$15,0))+INDEX(Settings!$D$6:$D$15,MATCH(M156,Settings!$B$6:$B$15,0)),0),2))</f>
        <v/>
      </c>
      <c r="Q156" s="28">
        <f>IF(OR(H156="",L156="Cancelled"),"",H156-N(N156)-N(O156)-N(P156))</f>
        <v/>
      </c>
      <c r="R156" s="19">
        <f>IF(OR(B156="",K156=""),"",IF(OR(L156="Sent",L156="Picked up"),"Done",IF(L156="Cancelled","Cancelled",IF(K156&lt;TODAY(),"Late by "&amp;(TODAY()-K156)&amp;IF((TODAY()-K156)=1," day"," days"),IF(K156=TODAY(),"Due today","Due in "&amp;(K156-TODAY())&amp;IF((K156-TODAY())=1," day"," days"))))))</f>
        <v/>
      </c>
      <c r="S156" s="33" t="n"/>
      <c r="T156" s="1">
        <f>IF(AND(B156&lt;&gt;"",K156&lt;&gt;"",L156&lt;&gt;"Sent",L156&lt;&gt;"Picked up",L156&lt;&gt;"Cancelled"),K156+ROW()/10000000,"")</f>
        <v/>
      </c>
      <c r="U156">
        <f>IF(OR(B156="",C156=""),"",B156+ROW()/10000000)</f>
        <v/>
      </c>
      <c r="V156">
        <f>IF(U156="","",IF(COUNTIFS(Orders!$C$6:$C$1005,C156,Orders!$U$6:$U$1005,"&gt;"&amp;U156)=0,1,0))</f>
        <v/>
      </c>
      <c r="W156">
        <f>IF(AND(B156&lt;&gt;"",K156&lt;&gt;"",L156&lt;&gt;"Sent",L156&lt;&gt;"Picked up",L156&lt;&gt;"Cancelled"),IF(N(E156)=0,1,E156),0)</f>
        <v/>
      </c>
      <c r="X156">
        <f>IF(OR(B156="",D156=""),"",IF(N(E156)=0,1,E156))</f>
        <v/>
      </c>
    </row>
    <row r="157">
      <c r="A157" s="1" t="n"/>
      <c r="B157" s="31" t="n">
        <v>46177</v>
      </c>
      <c r="C157" s="32" t="inlineStr">
        <is>
          <t>Iris Cole</t>
        </is>
      </c>
      <c r="D157" s="33" t="inlineStr">
        <is>
          <t>Soy candle 8 oz</t>
        </is>
      </c>
      <c r="E157" s="34" t="n">
        <v>1</v>
      </c>
      <c r="F157" s="35" t="n"/>
      <c r="G157" s="35" t="n">
        <v>6.95</v>
      </c>
      <c r="H157" s="30">
        <f>IF(OR(B157="",D157=""),"",IF(N(E157)=0,1,E157)*IFERROR(INDEX(Products!$C$6:$C$105,MATCH(D157,Products!$B$6:$B$105,0)),0)+N(F157)+N(G157))</f>
        <v/>
      </c>
      <c r="I157" s="35" t="n">
        <v>28.95</v>
      </c>
      <c r="J157" s="30">
        <f>IF(OR(H157="",L157="Cancelled"),"",IF(H157-N(I157)&gt;0.005,H157-N(I157),""))</f>
        <v/>
      </c>
      <c r="K157" s="31" t="n">
        <v>46187</v>
      </c>
      <c r="L157" s="36" t="inlineStr">
        <is>
          <t>Sent</t>
        </is>
      </c>
      <c r="M157" s="33" t="inlineStr">
        <is>
          <t>Etsy</t>
        </is>
      </c>
      <c r="N157" s="22">
        <f>IF(OR(H157="",L157="Cancelled"),"",IF(N(E157)=0,1,E157)*IFERROR(INDEX(Products!$E$6:$E$105,MATCH(D157,Products!$B$6:$B$105,0)),0))</f>
        <v/>
      </c>
      <c r="O157" s="35" t="n">
        <v>7.7</v>
      </c>
      <c r="P157" s="22">
        <f>IF(OR(H157="",L157="Cancelled"),"",ROUND(IFERROR(H157*INDEX(Settings!$C$6:$C$15,MATCH(M157,Settings!$B$6:$B$15,0))+INDEX(Settings!$D$6:$D$15,MATCH(M157,Settings!$B$6:$B$15,0)),0),2))</f>
        <v/>
      </c>
      <c r="Q157" s="28">
        <f>IF(OR(H157="",L157="Cancelled"),"",H157-N(N157)-N(O157)-N(P157))</f>
        <v/>
      </c>
      <c r="R157" s="19">
        <f>IF(OR(B157="",K157=""),"",IF(OR(L157="Sent",L157="Picked up"),"Done",IF(L157="Cancelled","Cancelled",IF(K157&lt;TODAY(),"Late by "&amp;(TODAY()-K157)&amp;IF((TODAY()-K157)=1," day"," days"),IF(K157=TODAY(),"Due today","Due in "&amp;(K157-TODAY())&amp;IF((K157-TODAY())=1," day"," days"))))))</f>
        <v/>
      </c>
      <c r="S157" s="33" t="n"/>
      <c r="T157" s="1">
        <f>IF(AND(B157&lt;&gt;"",K157&lt;&gt;"",L157&lt;&gt;"Sent",L157&lt;&gt;"Picked up",L157&lt;&gt;"Cancelled"),K157+ROW()/10000000,"")</f>
        <v/>
      </c>
      <c r="U157">
        <f>IF(OR(B157="",C157=""),"",B157+ROW()/10000000)</f>
        <v/>
      </c>
      <c r="V157">
        <f>IF(U157="","",IF(COUNTIFS(Orders!$C$6:$C$1005,C157,Orders!$U$6:$U$1005,"&gt;"&amp;U157)=0,1,0))</f>
        <v/>
      </c>
      <c r="W157">
        <f>IF(AND(B157&lt;&gt;"",K157&lt;&gt;"",L157&lt;&gt;"Sent",L157&lt;&gt;"Picked up",L157&lt;&gt;"Cancelled"),IF(N(E157)=0,1,E157),0)</f>
        <v/>
      </c>
      <c r="X157">
        <f>IF(OR(B157="",D157=""),"",IF(N(E157)=0,1,E157))</f>
        <v/>
      </c>
    </row>
    <row r="158">
      <c r="A158" s="1" t="n"/>
      <c r="B158" s="31" t="n">
        <v>46183</v>
      </c>
      <c r="C158" s="32" t="inlineStr">
        <is>
          <t>Jade Price</t>
        </is>
      </c>
      <c r="D158" s="33" t="inlineStr">
        <is>
          <t>Soy candle 8 oz</t>
        </is>
      </c>
      <c r="E158" s="34" t="n">
        <v>4</v>
      </c>
      <c r="F158" s="35" t="n"/>
      <c r="G158" s="35" t="n">
        <v>6.95</v>
      </c>
      <c r="H158" s="30">
        <f>IF(OR(B158="",D158=""),"",IF(N(E158)=0,1,E158)*IFERROR(INDEX(Products!$C$6:$C$105,MATCH(D158,Products!$B$6:$B$105,0)),0)+N(F158)+N(G158))</f>
        <v/>
      </c>
      <c r="I158" s="35" t="n">
        <v>94.95</v>
      </c>
      <c r="J158" s="30">
        <f>IF(OR(H158="",L158="Cancelled"),"",IF(H158-N(I158)&gt;0.005,H158-N(I158),""))</f>
        <v/>
      </c>
      <c r="K158" s="31" t="n">
        <v>46189</v>
      </c>
      <c r="L158" s="36" t="inlineStr">
        <is>
          <t>Cancelled</t>
        </is>
      </c>
      <c r="M158" s="33" t="inlineStr">
        <is>
          <t>Own website</t>
        </is>
      </c>
      <c r="N158" s="22">
        <f>IF(OR(H158="",L158="Cancelled"),"",IF(N(E158)=0,1,E158)*IFERROR(INDEX(Products!$E$6:$E$105,MATCH(D158,Products!$B$6:$B$105,0)),0))</f>
        <v/>
      </c>
      <c r="O158" s="35" t="n"/>
      <c r="P158" s="22">
        <f>IF(OR(H158="",L158="Cancelled"),"",ROUND(IFERROR(H158*INDEX(Settings!$C$6:$C$15,MATCH(M158,Settings!$B$6:$B$15,0))+INDEX(Settings!$D$6:$D$15,MATCH(M158,Settings!$B$6:$B$15,0)),0),2))</f>
        <v/>
      </c>
      <c r="Q158" s="28">
        <f>IF(OR(H158="",L158="Cancelled"),"",H158-N(N158)-N(O158)-N(P158))</f>
        <v/>
      </c>
      <c r="R158" s="19">
        <f>IF(OR(B158="",K158=""),"",IF(OR(L158="Sent",L158="Picked up"),"Done",IF(L158="Cancelled","Cancelled",IF(K158&lt;TODAY(),"Late by "&amp;(TODAY()-K158)&amp;IF((TODAY()-K158)=1," day"," days"),IF(K158=TODAY(),"Due today","Due in "&amp;(K158-TODAY())&amp;IF((K158-TODAY())=1," day"," days"))))))</f>
        <v/>
      </c>
      <c r="S158" s="33" t="n"/>
      <c r="T158" s="1">
        <f>IF(AND(B158&lt;&gt;"",K158&lt;&gt;"",L158&lt;&gt;"Sent",L158&lt;&gt;"Picked up",L158&lt;&gt;"Cancelled"),K158+ROW()/10000000,"")</f>
        <v/>
      </c>
      <c r="U158">
        <f>IF(OR(B158="",C158=""),"",B158+ROW()/10000000)</f>
        <v/>
      </c>
      <c r="V158">
        <f>IF(U158="","",IF(COUNTIFS(Orders!$C$6:$C$1005,C158,Orders!$U$6:$U$1005,"&gt;"&amp;U158)=0,1,0))</f>
        <v/>
      </c>
      <c r="W158">
        <f>IF(AND(B158&lt;&gt;"",K158&lt;&gt;"",L158&lt;&gt;"Sent",L158&lt;&gt;"Picked up",L158&lt;&gt;"Cancelled"),IF(N(E158)=0,1,E158),0)</f>
        <v/>
      </c>
      <c r="X158">
        <f>IF(OR(B158="",D158=""),"",IF(N(E158)=0,1,E158))</f>
        <v/>
      </c>
    </row>
    <row r="159">
      <c r="A159" s="1" t="n"/>
      <c r="B159" s="31" t="n">
        <v>46183</v>
      </c>
      <c r="C159" s="32" t="inlineStr">
        <is>
          <t>Clara Davies</t>
        </is>
      </c>
      <c r="D159" s="33" t="inlineStr">
        <is>
          <t>Soy candle 8 oz</t>
        </is>
      </c>
      <c r="E159" s="34" t="n">
        <v>2</v>
      </c>
      <c r="F159" s="35" t="n"/>
      <c r="G159" s="35" t="n">
        <v>6.95</v>
      </c>
      <c r="H159" s="30">
        <f>IF(OR(B159="",D159=""),"",IF(N(E159)=0,1,E159)*IFERROR(INDEX(Products!$C$6:$C$105,MATCH(D159,Products!$B$6:$B$105,0)),0)+N(F159)+N(G159))</f>
        <v/>
      </c>
      <c r="I159" s="35" t="n">
        <v>50.95</v>
      </c>
      <c r="J159" s="30">
        <f>IF(OR(H159="",L159="Cancelled"),"",IF(H159-N(I159)&gt;0.005,H159-N(I159),""))</f>
        <v/>
      </c>
      <c r="K159" s="31" t="n">
        <v>46192</v>
      </c>
      <c r="L159" s="36" t="inlineStr">
        <is>
          <t>Sent</t>
        </is>
      </c>
      <c r="M159" s="33" t="inlineStr">
        <is>
          <t>Own website</t>
        </is>
      </c>
      <c r="N159" s="22">
        <f>IF(OR(H159="",L159="Cancelled"),"",IF(N(E159)=0,1,E159)*IFERROR(INDEX(Products!$E$6:$E$105,MATCH(D159,Products!$B$6:$B$105,0)),0))</f>
        <v/>
      </c>
      <c r="O159" s="35" t="n">
        <v>6.85</v>
      </c>
      <c r="P159" s="22">
        <f>IF(OR(H159="",L159="Cancelled"),"",ROUND(IFERROR(H159*INDEX(Settings!$C$6:$C$15,MATCH(M159,Settings!$B$6:$B$15,0))+INDEX(Settings!$D$6:$D$15,MATCH(M159,Settings!$B$6:$B$15,0)),0),2))</f>
        <v/>
      </c>
      <c r="Q159" s="28">
        <f>IF(OR(H159="",L159="Cancelled"),"",H159-N(N159)-N(O159)-N(P159))</f>
        <v/>
      </c>
      <c r="R159" s="19">
        <f>IF(OR(B159="",K159=""),"",IF(OR(L159="Sent",L159="Picked up"),"Done",IF(L159="Cancelled","Cancelled",IF(K159&lt;TODAY(),"Late by "&amp;(TODAY()-K159)&amp;IF((TODAY()-K159)=1," day"," days"),IF(K159=TODAY(),"Due today","Due in "&amp;(K159-TODAY())&amp;IF((K159-TODAY())=1," day"," days"))))))</f>
        <v/>
      </c>
      <c r="S159" s="33" t="n"/>
      <c r="T159" s="1">
        <f>IF(AND(B159&lt;&gt;"",K159&lt;&gt;"",L159&lt;&gt;"Sent",L159&lt;&gt;"Picked up",L159&lt;&gt;"Cancelled"),K159+ROW()/10000000,"")</f>
        <v/>
      </c>
      <c r="U159">
        <f>IF(OR(B159="",C159=""),"",B159+ROW()/10000000)</f>
        <v/>
      </c>
      <c r="V159">
        <f>IF(U159="","",IF(COUNTIFS(Orders!$C$6:$C$1005,C159,Orders!$U$6:$U$1005,"&gt;"&amp;U159)=0,1,0))</f>
        <v/>
      </c>
      <c r="W159">
        <f>IF(AND(B159&lt;&gt;"",K159&lt;&gt;"",L159&lt;&gt;"Sent",L159&lt;&gt;"Picked up",L159&lt;&gt;"Cancelled"),IF(N(E159)=0,1,E159),0)</f>
        <v/>
      </c>
      <c r="X159">
        <f>IF(OR(B159="",D159=""),"",IF(N(E159)=0,1,E159))</f>
        <v/>
      </c>
    </row>
    <row r="160">
      <c r="A160" s="1" t="n"/>
      <c r="B160" s="31" t="n">
        <v>46184</v>
      </c>
      <c r="C160" s="32" t="inlineStr">
        <is>
          <t>Iris Morgan</t>
        </is>
      </c>
      <c r="D160" s="33" t="inlineStr">
        <is>
          <t>Wax melts, 6 pack</t>
        </is>
      </c>
      <c r="E160" s="34" t="n">
        <v>3</v>
      </c>
      <c r="F160" s="35" t="n"/>
      <c r="G160" s="35" t="n"/>
      <c r="H160" s="30">
        <f>IF(OR(B160="",D160=""),"",IF(N(E160)=0,1,E160)*IFERROR(INDEX(Products!$C$6:$C$105,MATCH(D160,Products!$B$6:$B$105,0)),0)+N(F160)+N(G160))</f>
        <v/>
      </c>
      <c r="I160" s="35" t="n">
        <v>27</v>
      </c>
      <c r="J160" s="30">
        <f>IF(OR(H160="",L160="Cancelled"),"",IF(H160-N(I160)&gt;0.005,H160-N(I160),""))</f>
        <v/>
      </c>
      <c r="K160" s="31" t="n">
        <v>46188</v>
      </c>
      <c r="L160" s="36" t="inlineStr">
        <is>
          <t>Picked up</t>
        </is>
      </c>
      <c r="M160" s="33" t="inlineStr">
        <is>
          <t>Friends and family</t>
        </is>
      </c>
      <c r="N160" s="22">
        <f>IF(OR(H160="",L160="Cancelled"),"",IF(N(E160)=0,1,E160)*IFERROR(INDEX(Products!$E$6:$E$105,MATCH(D160,Products!$B$6:$B$105,0)),0))</f>
        <v/>
      </c>
      <c r="O160" s="35" t="n"/>
      <c r="P160" s="22">
        <f>IF(OR(H160="",L160="Cancelled"),"",ROUND(IFERROR(H160*INDEX(Settings!$C$6:$C$15,MATCH(M160,Settings!$B$6:$B$15,0))+INDEX(Settings!$D$6:$D$15,MATCH(M160,Settings!$B$6:$B$15,0)),0),2))</f>
        <v/>
      </c>
      <c r="Q160" s="28">
        <f>IF(OR(H160="",L160="Cancelled"),"",H160-N(N160)-N(O160)-N(P160))</f>
        <v/>
      </c>
      <c r="R160" s="19">
        <f>IF(OR(B160="",K160=""),"",IF(OR(L160="Sent",L160="Picked up"),"Done",IF(L160="Cancelled","Cancelled",IF(K160&lt;TODAY(),"Late by "&amp;(TODAY()-K160)&amp;IF((TODAY()-K160)=1," day"," days"),IF(K160=TODAY(),"Due today","Due in "&amp;(K160-TODAY())&amp;IF((K160-TODAY())=1," day"," days"))))))</f>
        <v/>
      </c>
      <c r="S160" s="33" t="n"/>
      <c r="T160" s="1">
        <f>IF(AND(B160&lt;&gt;"",K160&lt;&gt;"",L160&lt;&gt;"Sent",L160&lt;&gt;"Picked up",L160&lt;&gt;"Cancelled"),K160+ROW()/10000000,"")</f>
        <v/>
      </c>
      <c r="U160">
        <f>IF(OR(B160="",C160=""),"",B160+ROW()/10000000)</f>
        <v/>
      </c>
      <c r="V160">
        <f>IF(U160="","",IF(COUNTIFS(Orders!$C$6:$C$1005,C160,Orders!$U$6:$U$1005,"&gt;"&amp;U160)=0,1,0))</f>
        <v/>
      </c>
      <c r="W160">
        <f>IF(AND(B160&lt;&gt;"",K160&lt;&gt;"",L160&lt;&gt;"Sent",L160&lt;&gt;"Picked up",L160&lt;&gt;"Cancelled"),IF(N(E160)=0,1,E160),0)</f>
        <v/>
      </c>
      <c r="X160">
        <f>IF(OR(B160="",D160=""),"",IF(N(E160)=0,1,E160))</f>
        <v/>
      </c>
    </row>
    <row r="161">
      <c r="A161" s="1" t="n"/>
      <c r="B161" s="31" t="n">
        <v>46185</v>
      </c>
      <c r="C161" s="32" t="inlineStr">
        <is>
          <t>George Hill</t>
        </is>
      </c>
      <c r="D161" s="33" t="inlineStr">
        <is>
          <t>Soy candle 8 oz</t>
        </is>
      </c>
      <c r="E161" s="34" t="n">
        <v>1</v>
      </c>
      <c r="F161" s="35" t="n"/>
      <c r="G161" s="35" t="n"/>
      <c r="H161" s="30">
        <f>IF(OR(B161="",D161=""),"",IF(N(E161)=0,1,E161)*IFERROR(INDEX(Products!$C$6:$C$105,MATCH(D161,Products!$B$6:$B$105,0)),0)+N(F161)+N(G161))</f>
        <v/>
      </c>
      <c r="I161" s="35" t="n">
        <v>22</v>
      </c>
      <c r="J161" s="30">
        <f>IF(OR(H161="",L161="Cancelled"),"",IF(H161-N(I161)&gt;0.005,H161-N(I161),""))</f>
        <v/>
      </c>
      <c r="K161" s="31" t="n">
        <v>46193</v>
      </c>
      <c r="L161" s="36" t="inlineStr">
        <is>
          <t>Picked up</t>
        </is>
      </c>
      <c r="M161" s="33" t="inlineStr">
        <is>
          <t>Instagram</t>
        </is>
      </c>
      <c r="N161" s="22">
        <f>IF(OR(H161="",L161="Cancelled"),"",IF(N(E161)=0,1,E161)*IFERROR(INDEX(Products!$E$6:$E$105,MATCH(D161,Products!$B$6:$B$105,0)),0))</f>
        <v/>
      </c>
      <c r="O161" s="35" t="n"/>
      <c r="P161" s="22">
        <f>IF(OR(H161="",L161="Cancelled"),"",ROUND(IFERROR(H161*INDEX(Settings!$C$6:$C$15,MATCH(M161,Settings!$B$6:$B$15,0))+INDEX(Settings!$D$6:$D$15,MATCH(M161,Settings!$B$6:$B$15,0)),0),2))</f>
        <v/>
      </c>
      <c r="Q161" s="28">
        <f>IF(OR(H161="",L161="Cancelled"),"",H161-N(N161)-N(O161)-N(P161))</f>
        <v/>
      </c>
      <c r="R161" s="19">
        <f>IF(OR(B161="",K161=""),"",IF(OR(L161="Sent",L161="Picked up"),"Done",IF(L161="Cancelled","Cancelled",IF(K161&lt;TODAY(),"Late by "&amp;(TODAY()-K161)&amp;IF((TODAY()-K161)=1," day"," days"),IF(K161=TODAY(),"Due today","Due in "&amp;(K161-TODAY())&amp;IF((K161-TODAY())=1," day"," days"))))))</f>
        <v/>
      </c>
      <c r="S161" s="33" t="n"/>
      <c r="T161" s="1">
        <f>IF(AND(B161&lt;&gt;"",K161&lt;&gt;"",L161&lt;&gt;"Sent",L161&lt;&gt;"Picked up",L161&lt;&gt;"Cancelled"),K161+ROW()/10000000,"")</f>
        <v/>
      </c>
      <c r="U161">
        <f>IF(OR(B161="",C161=""),"",B161+ROW()/10000000)</f>
        <v/>
      </c>
      <c r="V161">
        <f>IF(U161="","",IF(COUNTIFS(Orders!$C$6:$C$1005,C161,Orders!$U$6:$U$1005,"&gt;"&amp;U161)=0,1,0))</f>
        <v/>
      </c>
      <c r="W161">
        <f>IF(AND(B161&lt;&gt;"",K161&lt;&gt;"",L161&lt;&gt;"Sent",L161&lt;&gt;"Picked up",L161&lt;&gt;"Cancelled"),IF(N(E161)=0,1,E161),0)</f>
        <v/>
      </c>
      <c r="X161">
        <f>IF(OR(B161="",D161=""),"",IF(N(E161)=0,1,E161))</f>
        <v/>
      </c>
    </row>
    <row r="162">
      <c r="A162" s="1" t="n"/>
      <c r="B162" s="31" t="n">
        <v>46186</v>
      </c>
      <c r="C162" s="32" t="inlineStr">
        <is>
          <t>Dan King</t>
        </is>
      </c>
      <c r="D162" s="33" t="inlineStr">
        <is>
          <t>Wedding favours, 10 tins</t>
        </is>
      </c>
      <c r="E162" s="34" t="n">
        <v>6</v>
      </c>
      <c r="F162" s="35" t="n"/>
      <c r="G162" s="35" t="n"/>
      <c r="H162" s="30">
        <f>IF(OR(B162="",D162=""),"",IF(N(E162)=0,1,E162)*IFERROR(INDEX(Products!$C$6:$C$105,MATCH(D162,Products!$B$6:$B$105,0)),0)+N(F162)+N(G162))</f>
        <v/>
      </c>
      <c r="I162" s="35" t="n">
        <v>360</v>
      </c>
      <c r="J162" s="30">
        <f>IF(OR(H162="",L162="Cancelled"),"",IF(H162-N(I162)&gt;0.005,H162-N(I162),""))</f>
        <v/>
      </c>
      <c r="K162" s="31" t="n">
        <v>46216</v>
      </c>
      <c r="L162" s="36" t="inlineStr">
        <is>
          <t>Picked up</t>
        </is>
      </c>
      <c r="M162" s="33" t="inlineStr">
        <is>
          <t>Friends and family</t>
        </is>
      </c>
      <c r="N162" s="22">
        <f>IF(OR(H162="",L162="Cancelled"),"",IF(N(E162)=0,1,E162)*IFERROR(INDEX(Products!$E$6:$E$105,MATCH(D162,Products!$B$6:$B$105,0)),0))</f>
        <v/>
      </c>
      <c r="O162" s="35" t="n"/>
      <c r="P162" s="22">
        <f>IF(OR(H162="",L162="Cancelled"),"",ROUND(IFERROR(H162*INDEX(Settings!$C$6:$C$15,MATCH(M162,Settings!$B$6:$B$15,0))+INDEX(Settings!$D$6:$D$15,MATCH(M162,Settings!$B$6:$B$15,0)),0),2))</f>
        <v/>
      </c>
      <c r="Q162" s="28">
        <f>IF(OR(H162="",L162="Cancelled"),"",H162-N(N162)-N(O162)-N(P162))</f>
        <v/>
      </c>
      <c r="R162" s="19">
        <f>IF(OR(B162="",K162=""),"",IF(OR(L162="Sent",L162="Picked up"),"Done",IF(L162="Cancelled","Cancelled",IF(K162&lt;TODAY(),"Late by "&amp;(TODAY()-K162)&amp;IF((TODAY()-K162)=1," day"," days"),IF(K162=TODAY(),"Due today","Due in "&amp;(K162-TODAY())&amp;IF((K162-TODAY())=1," day"," days"))))))</f>
        <v/>
      </c>
      <c r="S162" s="33" t="n"/>
      <c r="T162" s="1">
        <f>IF(AND(B162&lt;&gt;"",K162&lt;&gt;"",L162&lt;&gt;"Sent",L162&lt;&gt;"Picked up",L162&lt;&gt;"Cancelled"),K162+ROW()/10000000,"")</f>
        <v/>
      </c>
      <c r="U162">
        <f>IF(OR(B162="",C162=""),"",B162+ROW()/10000000)</f>
        <v/>
      </c>
      <c r="V162">
        <f>IF(U162="","",IF(COUNTIFS(Orders!$C$6:$C$1005,C162,Orders!$U$6:$U$1005,"&gt;"&amp;U162)=0,1,0))</f>
        <v/>
      </c>
      <c r="W162">
        <f>IF(AND(B162&lt;&gt;"",K162&lt;&gt;"",L162&lt;&gt;"Sent",L162&lt;&gt;"Picked up",L162&lt;&gt;"Cancelled"),IF(N(E162)=0,1,E162),0)</f>
        <v/>
      </c>
      <c r="X162">
        <f>IF(OR(B162="",D162=""),"",IF(N(E162)=0,1,E162))</f>
        <v/>
      </c>
    </row>
    <row r="163">
      <c r="A163" s="1" t="n"/>
      <c r="B163" s="31" t="n">
        <v>46186</v>
      </c>
      <c r="C163" s="32" t="inlineStr">
        <is>
          <t>Holly Cox</t>
        </is>
      </c>
      <c r="D163" s="33" t="inlineStr">
        <is>
          <t>Wedding favours, 10 tins</t>
        </is>
      </c>
      <c r="E163" s="34" t="n">
        <v>8</v>
      </c>
      <c r="F163" s="35" t="n"/>
      <c r="G163" s="35" t="n">
        <v>6.95</v>
      </c>
      <c r="H163" s="30">
        <f>IF(OR(B163="",D163=""),"",IF(N(E163)=0,1,E163)*IFERROR(INDEX(Products!$C$6:$C$105,MATCH(D163,Products!$B$6:$B$105,0)),0)+N(F163)+N(G163))</f>
        <v/>
      </c>
      <c r="I163" s="35" t="n">
        <v>486.95</v>
      </c>
      <c r="J163" s="30">
        <f>IF(OR(H163="",L163="Cancelled"),"",IF(H163-N(I163)&gt;0.005,H163-N(I163),""))</f>
        <v/>
      </c>
      <c r="K163" s="31" t="n">
        <v>46222</v>
      </c>
      <c r="L163" s="36" t="inlineStr">
        <is>
          <t>Sent</t>
        </is>
      </c>
      <c r="M163" s="33" t="inlineStr">
        <is>
          <t>Etsy</t>
        </is>
      </c>
      <c r="N163" s="22">
        <f>IF(OR(H163="",L163="Cancelled"),"",IF(N(E163)=0,1,E163)*IFERROR(INDEX(Products!$E$6:$E$105,MATCH(D163,Products!$B$6:$B$105,0)),0))</f>
        <v/>
      </c>
      <c r="O163" s="35" t="n">
        <v>6.78</v>
      </c>
      <c r="P163" s="22">
        <f>IF(OR(H163="",L163="Cancelled"),"",ROUND(IFERROR(H163*INDEX(Settings!$C$6:$C$15,MATCH(M163,Settings!$B$6:$B$15,0))+INDEX(Settings!$D$6:$D$15,MATCH(M163,Settings!$B$6:$B$15,0)),0),2))</f>
        <v/>
      </c>
      <c r="Q163" s="28">
        <f>IF(OR(H163="",L163="Cancelled"),"",H163-N(N163)-N(O163)-N(P163))</f>
        <v/>
      </c>
      <c r="R163" s="19">
        <f>IF(OR(B163="",K163=""),"",IF(OR(L163="Sent",L163="Picked up"),"Done",IF(L163="Cancelled","Cancelled",IF(K163&lt;TODAY(),"Late by "&amp;(TODAY()-K163)&amp;IF((TODAY()-K163)=1," day"," days"),IF(K163=TODAY(),"Due today","Due in "&amp;(K163-TODAY())&amp;IF((K163-TODAY())=1," day"," days"))))))</f>
        <v/>
      </c>
      <c r="S163" s="33" t="n"/>
      <c r="T163" s="1">
        <f>IF(AND(B163&lt;&gt;"",K163&lt;&gt;"",L163&lt;&gt;"Sent",L163&lt;&gt;"Picked up",L163&lt;&gt;"Cancelled"),K163+ROW()/10000000,"")</f>
        <v/>
      </c>
      <c r="U163">
        <f>IF(OR(B163="",C163=""),"",B163+ROW()/10000000)</f>
        <v/>
      </c>
      <c r="V163">
        <f>IF(U163="","",IF(COUNTIFS(Orders!$C$6:$C$1005,C163,Orders!$U$6:$U$1005,"&gt;"&amp;U163)=0,1,0))</f>
        <v/>
      </c>
      <c r="W163">
        <f>IF(AND(B163&lt;&gt;"",K163&lt;&gt;"",L163&lt;&gt;"Sent",L163&lt;&gt;"Picked up",L163&lt;&gt;"Cancelled"),IF(N(E163)=0,1,E163),0)</f>
        <v/>
      </c>
      <c r="X163">
        <f>IF(OR(B163="",D163=""),"",IF(N(E163)=0,1,E163))</f>
        <v/>
      </c>
    </row>
    <row r="164">
      <c r="A164" s="1" t="n"/>
      <c r="B164" s="31" t="n">
        <v>46189</v>
      </c>
      <c r="C164" s="32" t="inlineStr">
        <is>
          <t>Jade Price</t>
        </is>
      </c>
      <c r="D164" s="33" t="inlineStr">
        <is>
          <t>Wax melts, 6 pack</t>
        </is>
      </c>
      <c r="E164" s="34" t="n">
        <v>2</v>
      </c>
      <c r="F164" s="35" t="n"/>
      <c r="G164" s="35" t="n">
        <v>6.95</v>
      </c>
      <c r="H164" s="30">
        <f>IF(OR(B164="",D164=""),"",IF(N(E164)=0,1,E164)*IFERROR(INDEX(Products!$C$6:$C$105,MATCH(D164,Products!$B$6:$B$105,0)),0)+N(F164)+N(G164))</f>
        <v/>
      </c>
      <c r="I164" s="35" t="n">
        <v>24.95</v>
      </c>
      <c r="J164" s="30">
        <f>IF(OR(H164="",L164="Cancelled"),"",IF(H164-N(I164)&gt;0.005,H164-N(I164),""))</f>
        <v/>
      </c>
      <c r="K164" s="31" t="n">
        <v>46197</v>
      </c>
      <c r="L164" s="36" t="inlineStr">
        <is>
          <t>Sent</t>
        </is>
      </c>
      <c r="M164" s="33" t="inlineStr">
        <is>
          <t>Etsy</t>
        </is>
      </c>
      <c r="N164" s="22">
        <f>IF(OR(H164="",L164="Cancelled"),"",IF(N(E164)=0,1,E164)*IFERROR(INDEX(Products!$E$6:$E$105,MATCH(D164,Products!$B$6:$B$105,0)),0))</f>
        <v/>
      </c>
      <c r="O164" s="35" t="n">
        <v>5.89</v>
      </c>
      <c r="P164" s="22">
        <f>IF(OR(H164="",L164="Cancelled"),"",ROUND(IFERROR(H164*INDEX(Settings!$C$6:$C$15,MATCH(M164,Settings!$B$6:$B$15,0))+INDEX(Settings!$D$6:$D$15,MATCH(M164,Settings!$B$6:$B$15,0)),0),2))</f>
        <v/>
      </c>
      <c r="Q164" s="28">
        <f>IF(OR(H164="",L164="Cancelled"),"",H164-N(N164)-N(O164)-N(P164))</f>
        <v/>
      </c>
      <c r="R164" s="19">
        <f>IF(OR(B164="",K164=""),"",IF(OR(L164="Sent",L164="Picked up"),"Done",IF(L164="Cancelled","Cancelled",IF(K164&lt;TODAY(),"Late by "&amp;(TODAY()-K164)&amp;IF((TODAY()-K164)=1," day"," days"),IF(K164=TODAY(),"Due today","Due in "&amp;(K164-TODAY())&amp;IF((K164-TODAY())=1," day"," days"))))))</f>
        <v/>
      </c>
      <c r="S164" s="33" t="n"/>
      <c r="T164" s="1">
        <f>IF(AND(B164&lt;&gt;"",K164&lt;&gt;"",L164&lt;&gt;"Sent",L164&lt;&gt;"Picked up",L164&lt;&gt;"Cancelled"),K164+ROW()/10000000,"")</f>
        <v/>
      </c>
      <c r="U164">
        <f>IF(OR(B164="",C164=""),"",B164+ROW()/10000000)</f>
        <v/>
      </c>
      <c r="V164">
        <f>IF(U164="","",IF(COUNTIFS(Orders!$C$6:$C$1005,C164,Orders!$U$6:$U$1005,"&gt;"&amp;U164)=0,1,0))</f>
        <v/>
      </c>
      <c r="W164">
        <f>IF(AND(B164&lt;&gt;"",K164&lt;&gt;"",L164&lt;&gt;"Sent",L164&lt;&gt;"Picked up",L164&lt;&gt;"Cancelled"),IF(N(E164)=0,1,E164),0)</f>
        <v/>
      </c>
      <c r="X164">
        <f>IF(OR(B164="",D164=""),"",IF(N(E164)=0,1,E164))</f>
        <v/>
      </c>
    </row>
    <row r="165">
      <c r="A165" s="1" t="n"/>
      <c r="B165" s="31" t="n">
        <v>46191</v>
      </c>
      <c r="C165" s="32" t="inlineStr">
        <is>
          <t>Ava Adams</t>
        </is>
      </c>
      <c r="D165" s="33" t="inlineStr">
        <is>
          <t>Gift box</t>
        </is>
      </c>
      <c r="E165" s="34" t="n">
        <v>1</v>
      </c>
      <c r="F165" s="35" t="n"/>
      <c r="G165" s="35" t="n"/>
      <c r="H165" s="30">
        <f>IF(OR(B165="",D165=""),"",IF(N(E165)=0,1,E165)*IFERROR(INDEX(Products!$C$6:$C$105,MATCH(D165,Products!$B$6:$B$105,0)),0)+N(F165)+N(G165))</f>
        <v/>
      </c>
      <c r="I165" s="35" t="n">
        <v>45</v>
      </c>
      <c r="J165" s="30">
        <f>IF(OR(H165="",L165="Cancelled"),"",IF(H165-N(I165)&gt;0.005,H165-N(I165),""))</f>
        <v/>
      </c>
      <c r="K165" s="31" t="n">
        <v>46198</v>
      </c>
      <c r="L165" s="36" t="inlineStr">
        <is>
          <t>Picked up</t>
        </is>
      </c>
      <c r="M165" s="33" t="inlineStr">
        <is>
          <t>Craft market</t>
        </is>
      </c>
      <c r="N165" s="22">
        <f>IF(OR(H165="",L165="Cancelled"),"",IF(N(E165)=0,1,E165)*IFERROR(INDEX(Products!$E$6:$E$105,MATCH(D165,Products!$B$6:$B$105,0)),0))</f>
        <v/>
      </c>
      <c r="O165" s="35" t="n"/>
      <c r="P165" s="22">
        <f>IF(OR(H165="",L165="Cancelled"),"",ROUND(IFERROR(H165*INDEX(Settings!$C$6:$C$15,MATCH(M165,Settings!$B$6:$B$15,0))+INDEX(Settings!$D$6:$D$15,MATCH(M165,Settings!$B$6:$B$15,0)),0),2))</f>
        <v/>
      </c>
      <c r="Q165" s="28">
        <f>IF(OR(H165="",L165="Cancelled"),"",H165-N(N165)-N(O165)-N(P165))</f>
        <v/>
      </c>
      <c r="R165" s="19">
        <f>IF(OR(B165="",K165=""),"",IF(OR(L165="Sent",L165="Picked up"),"Done",IF(L165="Cancelled","Cancelled",IF(K165&lt;TODAY(),"Late by "&amp;(TODAY()-K165)&amp;IF((TODAY()-K165)=1," day"," days"),IF(K165=TODAY(),"Due today","Due in "&amp;(K165-TODAY())&amp;IF((K165-TODAY())=1," day"," days"))))))</f>
        <v/>
      </c>
      <c r="S165" s="33" t="n"/>
      <c r="T165" s="1">
        <f>IF(AND(B165&lt;&gt;"",K165&lt;&gt;"",L165&lt;&gt;"Sent",L165&lt;&gt;"Picked up",L165&lt;&gt;"Cancelled"),K165+ROW()/10000000,"")</f>
        <v/>
      </c>
      <c r="U165">
        <f>IF(OR(B165="",C165=""),"",B165+ROW()/10000000)</f>
        <v/>
      </c>
      <c r="V165">
        <f>IF(U165="","",IF(COUNTIFS(Orders!$C$6:$C$1005,C165,Orders!$U$6:$U$1005,"&gt;"&amp;U165)=0,1,0))</f>
        <v/>
      </c>
      <c r="W165">
        <f>IF(AND(B165&lt;&gt;"",K165&lt;&gt;"",L165&lt;&gt;"Sent",L165&lt;&gt;"Picked up",L165&lt;&gt;"Cancelled"),IF(N(E165)=0,1,E165),0)</f>
        <v/>
      </c>
      <c r="X165">
        <f>IF(OR(B165="",D165=""),"",IF(N(E165)=0,1,E165))</f>
        <v/>
      </c>
    </row>
    <row r="166">
      <c r="A166" s="1" t="n"/>
      <c r="B166" s="31" t="n">
        <v>46192</v>
      </c>
      <c r="C166" s="32" t="inlineStr">
        <is>
          <t>Beth Owens</t>
        </is>
      </c>
      <c r="D166" s="33" t="inlineStr">
        <is>
          <t>Soy candle 16 oz</t>
        </is>
      </c>
      <c r="E166" s="34" t="n">
        <v>2</v>
      </c>
      <c r="F166" s="35" t="n"/>
      <c r="G166" s="35" t="n">
        <v>6.95</v>
      </c>
      <c r="H166" s="30">
        <f>IF(OR(B166="",D166=""),"",IF(N(E166)=0,1,E166)*IFERROR(INDEX(Products!$C$6:$C$105,MATCH(D166,Products!$B$6:$B$105,0)),0)+N(F166)+N(G166))</f>
        <v/>
      </c>
      <c r="I166" s="35" t="n">
        <v>74.95</v>
      </c>
      <c r="J166" s="30">
        <f>IF(OR(H166="",L166="Cancelled"),"",IF(H166-N(I166)&gt;0.005,H166-N(I166),""))</f>
        <v/>
      </c>
      <c r="K166" s="31" t="n">
        <v>46202</v>
      </c>
      <c r="L166" s="36" t="inlineStr">
        <is>
          <t>Sent</t>
        </is>
      </c>
      <c r="M166" s="33" t="inlineStr">
        <is>
          <t>Etsy</t>
        </is>
      </c>
      <c r="N166" s="22">
        <f>IF(OR(H166="",L166="Cancelled"),"",IF(N(E166)=0,1,E166)*IFERROR(INDEX(Products!$E$6:$E$105,MATCH(D166,Products!$B$6:$B$105,0)),0))</f>
        <v/>
      </c>
      <c r="O166" s="35" t="n">
        <v>5.55</v>
      </c>
      <c r="P166" s="22">
        <f>IF(OR(H166="",L166="Cancelled"),"",ROUND(IFERROR(H166*INDEX(Settings!$C$6:$C$15,MATCH(M166,Settings!$B$6:$B$15,0))+INDEX(Settings!$D$6:$D$15,MATCH(M166,Settings!$B$6:$B$15,0)),0),2))</f>
        <v/>
      </c>
      <c r="Q166" s="28">
        <f>IF(OR(H166="",L166="Cancelled"),"",H166-N(N166)-N(O166)-N(P166))</f>
        <v/>
      </c>
      <c r="R166" s="19">
        <f>IF(OR(B166="",K166=""),"",IF(OR(L166="Sent",L166="Picked up"),"Done",IF(L166="Cancelled","Cancelled",IF(K166&lt;TODAY(),"Late by "&amp;(TODAY()-K166)&amp;IF((TODAY()-K166)=1," day"," days"),IF(K166=TODAY(),"Due today","Due in "&amp;(K166-TODAY())&amp;IF((K166-TODAY())=1," day"," days"))))))</f>
        <v/>
      </c>
      <c r="S166" s="33" t="n"/>
      <c r="T166" s="1">
        <f>IF(AND(B166&lt;&gt;"",K166&lt;&gt;"",L166&lt;&gt;"Sent",L166&lt;&gt;"Picked up",L166&lt;&gt;"Cancelled"),K166+ROW()/10000000,"")</f>
        <v/>
      </c>
      <c r="U166">
        <f>IF(OR(B166="",C166=""),"",B166+ROW()/10000000)</f>
        <v/>
      </c>
      <c r="V166">
        <f>IF(U166="","",IF(COUNTIFS(Orders!$C$6:$C$1005,C166,Orders!$U$6:$U$1005,"&gt;"&amp;U166)=0,1,0))</f>
        <v/>
      </c>
      <c r="W166">
        <f>IF(AND(B166&lt;&gt;"",K166&lt;&gt;"",L166&lt;&gt;"Sent",L166&lt;&gt;"Picked up",L166&lt;&gt;"Cancelled"),IF(N(E166)=0,1,E166),0)</f>
        <v/>
      </c>
      <c r="X166">
        <f>IF(OR(B166="",D166=""),"",IF(N(E166)=0,1,E166))</f>
        <v/>
      </c>
    </row>
    <row r="167">
      <c r="A167" s="1" t="n"/>
      <c r="B167" s="31" t="n">
        <v>46194</v>
      </c>
      <c r="C167" s="32" t="inlineStr">
        <is>
          <t>Jade Price</t>
        </is>
      </c>
      <c r="D167" s="33" t="inlineStr">
        <is>
          <t>Soy candle 16 oz</t>
        </is>
      </c>
      <c r="E167" s="34" t="n">
        <v>2</v>
      </c>
      <c r="F167" s="35" t="n"/>
      <c r="G167" s="35" t="n"/>
      <c r="H167" s="30">
        <f>IF(OR(B167="",D167=""),"",IF(N(E167)=0,1,E167)*IFERROR(INDEX(Products!$C$6:$C$105,MATCH(D167,Products!$B$6:$B$105,0)),0)+N(F167)+N(G167))</f>
        <v/>
      </c>
      <c r="I167" s="35" t="n">
        <v>68</v>
      </c>
      <c r="J167" s="30">
        <f>IF(OR(H167="",L167="Cancelled"),"",IF(H167-N(I167)&gt;0.005,H167-N(I167),""))</f>
        <v/>
      </c>
      <c r="K167" s="31" t="n">
        <v>46200</v>
      </c>
      <c r="L167" s="36" t="inlineStr">
        <is>
          <t>Picked up</t>
        </is>
      </c>
      <c r="M167" s="33" t="inlineStr">
        <is>
          <t>Friends and family</t>
        </is>
      </c>
      <c r="N167" s="22">
        <f>IF(OR(H167="",L167="Cancelled"),"",IF(N(E167)=0,1,E167)*IFERROR(INDEX(Products!$E$6:$E$105,MATCH(D167,Products!$B$6:$B$105,0)),0))</f>
        <v/>
      </c>
      <c r="O167" s="35" t="n"/>
      <c r="P167" s="22">
        <f>IF(OR(H167="",L167="Cancelled"),"",ROUND(IFERROR(H167*INDEX(Settings!$C$6:$C$15,MATCH(M167,Settings!$B$6:$B$15,0))+INDEX(Settings!$D$6:$D$15,MATCH(M167,Settings!$B$6:$B$15,0)),0),2))</f>
        <v/>
      </c>
      <c r="Q167" s="28">
        <f>IF(OR(H167="",L167="Cancelled"),"",H167-N(N167)-N(O167)-N(P167))</f>
        <v/>
      </c>
      <c r="R167" s="19">
        <f>IF(OR(B167="",K167=""),"",IF(OR(L167="Sent",L167="Picked up"),"Done",IF(L167="Cancelled","Cancelled",IF(K167&lt;TODAY(),"Late by "&amp;(TODAY()-K167)&amp;IF((TODAY()-K167)=1," day"," days"),IF(K167=TODAY(),"Due today","Due in "&amp;(K167-TODAY())&amp;IF((K167-TODAY())=1," day"," days"))))))</f>
        <v/>
      </c>
      <c r="S167" s="33" t="n"/>
      <c r="T167" s="1">
        <f>IF(AND(B167&lt;&gt;"",K167&lt;&gt;"",L167&lt;&gt;"Sent",L167&lt;&gt;"Picked up",L167&lt;&gt;"Cancelled"),K167+ROW()/10000000,"")</f>
        <v/>
      </c>
      <c r="U167">
        <f>IF(OR(B167="",C167=""),"",B167+ROW()/10000000)</f>
        <v/>
      </c>
      <c r="V167">
        <f>IF(U167="","",IF(COUNTIFS(Orders!$C$6:$C$1005,C167,Orders!$U$6:$U$1005,"&gt;"&amp;U167)=0,1,0))</f>
        <v/>
      </c>
      <c r="W167">
        <f>IF(AND(B167&lt;&gt;"",K167&lt;&gt;"",L167&lt;&gt;"Sent",L167&lt;&gt;"Picked up",L167&lt;&gt;"Cancelled"),IF(N(E167)=0,1,E167),0)</f>
        <v/>
      </c>
      <c r="X167">
        <f>IF(OR(B167="",D167=""),"",IF(N(E167)=0,1,E167))</f>
        <v/>
      </c>
    </row>
    <row r="168">
      <c r="A168" s="1" t="n"/>
      <c r="B168" s="31" t="n">
        <v>46195</v>
      </c>
      <c r="C168" s="32" t="inlineStr">
        <is>
          <t>Adam Fox</t>
        </is>
      </c>
      <c r="D168" s="33" t="inlineStr">
        <is>
          <t>Soy candle 8 oz</t>
        </is>
      </c>
      <c r="E168" s="34" t="n">
        <v>3</v>
      </c>
      <c r="F168" s="35" t="n"/>
      <c r="G168" s="35" t="n">
        <v>6.95</v>
      </c>
      <c r="H168" s="30">
        <f>IF(OR(B168="",D168=""),"",IF(N(E168)=0,1,E168)*IFERROR(INDEX(Products!$C$6:$C$105,MATCH(D168,Products!$B$6:$B$105,0)),0)+N(F168)+N(G168))</f>
        <v/>
      </c>
      <c r="I168" s="35" t="n">
        <v>72.95</v>
      </c>
      <c r="J168" s="30">
        <f>IF(OR(H168="",L168="Cancelled"),"",IF(H168-N(I168)&gt;0.005,H168-N(I168),""))</f>
        <v/>
      </c>
      <c r="K168" s="31" t="n">
        <v>46202</v>
      </c>
      <c r="L168" s="36" t="inlineStr">
        <is>
          <t>Sent</t>
        </is>
      </c>
      <c r="M168" s="33" t="inlineStr">
        <is>
          <t>Etsy</t>
        </is>
      </c>
      <c r="N168" s="22">
        <f>IF(OR(H168="",L168="Cancelled"),"",IF(N(E168)=0,1,E168)*IFERROR(INDEX(Products!$E$6:$E$105,MATCH(D168,Products!$B$6:$B$105,0)),0))</f>
        <v/>
      </c>
      <c r="O168" s="35" t="n">
        <v>7.13</v>
      </c>
      <c r="P168" s="22">
        <f>IF(OR(H168="",L168="Cancelled"),"",ROUND(IFERROR(H168*INDEX(Settings!$C$6:$C$15,MATCH(M168,Settings!$B$6:$B$15,0))+INDEX(Settings!$D$6:$D$15,MATCH(M168,Settings!$B$6:$B$15,0)),0),2))</f>
        <v/>
      </c>
      <c r="Q168" s="28">
        <f>IF(OR(H168="",L168="Cancelled"),"",H168-N(N168)-N(O168)-N(P168))</f>
        <v/>
      </c>
      <c r="R168" s="19">
        <f>IF(OR(B168="",K168=""),"",IF(OR(L168="Sent",L168="Picked up"),"Done",IF(L168="Cancelled","Cancelled",IF(K168&lt;TODAY(),"Late by "&amp;(TODAY()-K168)&amp;IF((TODAY()-K168)=1," day"," days"),IF(K168=TODAY(),"Due today","Due in "&amp;(K168-TODAY())&amp;IF((K168-TODAY())=1," day"," days"))))))</f>
        <v/>
      </c>
      <c r="S168" s="33" t="n"/>
      <c r="T168" s="1">
        <f>IF(AND(B168&lt;&gt;"",K168&lt;&gt;"",L168&lt;&gt;"Sent",L168&lt;&gt;"Picked up",L168&lt;&gt;"Cancelled"),K168+ROW()/10000000,"")</f>
        <v/>
      </c>
      <c r="U168">
        <f>IF(OR(B168="",C168=""),"",B168+ROW()/10000000)</f>
        <v/>
      </c>
      <c r="V168">
        <f>IF(U168="","",IF(COUNTIFS(Orders!$C$6:$C$1005,C168,Orders!$U$6:$U$1005,"&gt;"&amp;U168)=0,1,0))</f>
        <v/>
      </c>
      <c r="W168">
        <f>IF(AND(B168&lt;&gt;"",K168&lt;&gt;"",L168&lt;&gt;"Sent",L168&lt;&gt;"Picked up",L168&lt;&gt;"Cancelled"),IF(N(E168)=0,1,E168),0)</f>
        <v/>
      </c>
      <c r="X168">
        <f>IF(OR(B168="",D168=""),"",IF(N(E168)=0,1,E168))</f>
        <v/>
      </c>
    </row>
    <row r="169">
      <c r="A169" s="1" t="n"/>
      <c r="B169" s="31" t="n">
        <v>46199</v>
      </c>
      <c r="C169" s="32" t="inlineStr">
        <is>
          <t>Ian Hughes</t>
        </is>
      </c>
      <c r="D169" s="33" t="inlineStr">
        <is>
          <t>Gift box</t>
        </is>
      </c>
      <c r="E169" s="34" t="n">
        <v>2</v>
      </c>
      <c r="F169" s="35" t="n"/>
      <c r="G169" s="35" t="n">
        <v>6.95</v>
      </c>
      <c r="H169" s="30">
        <f>IF(OR(B169="",D169=""),"",IF(N(E169)=0,1,E169)*IFERROR(INDEX(Products!$C$6:$C$105,MATCH(D169,Products!$B$6:$B$105,0)),0)+N(F169)+N(G169))</f>
        <v/>
      </c>
      <c r="I169" s="35" t="n">
        <v>96.95</v>
      </c>
      <c r="J169" s="30">
        <f>IF(OR(H169="",L169="Cancelled"),"",IF(H169-N(I169)&gt;0.005,H169-N(I169),""))</f>
        <v/>
      </c>
      <c r="K169" s="31" t="n">
        <v>46206</v>
      </c>
      <c r="L169" s="36" t="inlineStr">
        <is>
          <t>Sent</t>
        </is>
      </c>
      <c r="M169" s="33" t="inlineStr">
        <is>
          <t>Etsy</t>
        </is>
      </c>
      <c r="N169" s="22">
        <f>IF(OR(H169="",L169="Cancelled"),"",IF(N(E169)=0,1,E169)*IFERROR(INDEX(Products!$E$6:$E$105,MATCH(D169,Products!$B$6:$B$105,0)),0))</f>
        <v/>
      </c>
      <c r="O169" s="35" t="n">
        <v>6.23</v>
      </c>
      <c r="P169" s="22">
        <f>IF(OR(H169="",L169="Cancelled"),"",ROUND(IFERROR(H169*INDEX(Settings!$C$6:$C$15,MATCH(M169,Settings!$B$6:$B$15,0))+INDEX(Settings!$D$6:$D$15,MATCH(M169,Settings!$B$6:$B$15,0)),0),2))</f>
        <v/>
      </c>
      <c r="Q169" s="28">
        <f>IF(OR(H169="",L169="Cancelled"),"",H169-N(N169)-N(O169)-N(P169))</f>
        <v/>
      </c>
      <c r="R169" s="19">
        <f>IF(OR(B169="",K169=""),"",IF(OR(L169="Sent",L169="Picked up"),"Done",IF(L169="Cancelled","Cancelled",IF(K169&lt;TODAY(),"Late by "&amp;(TODAY()-K169)&amp;IF((TODAY()-K169)=1," day"," days"),IF(K169=TODAY(),"Due today","Due in "&amp;(K169-TODAY())&amp;IF((K169-TODAY())=1," day"," days"))))))</f>
        <v/>
      </c>
      <c r="S169" s="33" t="n"/>
      <c r="T169" s="1">
        <f>IF(AND(B169&lt;&gt;"",K169&lt;&gt;"",L169&lt;&gt;"Sent",L169&lt;&gt;"Picked up",L169&lt;&gt;"Cancelled"),K169+ROW()/10000000,"")</f>
        <v/>
      </c>
      <c r="U169">
        <f>IF(OR(B169="",C169=""),"",B169+ROW()/10000000)</f>
        <v/>
      </c>
      <c r="V169">
        <f>IF(U169="","",IF(COUNTIFS(Orders!$C$6:$C$1005,C169,Orders!$U$6:$U$1005,"&gt;"&amp;U169)=0,1,0))</f>
        <v/>
      </c>
      <c r="W169">
        <f>IF(AND(B169&lt;&gt;"",K169&lt;&gt;"",L169&lt;&gt;"Sent",L169&lt;&gt;"Picked up",L169&lt;&gt;"Cancelled"),IF(N(E169)=0,1,E169),0)</f>
        <v/>
      </c>
      <c r="X169">
        <f>IF(OR(B169="",D169=""),"",IF(N(E169)=0,1,E169))</f>
        <v/>
      </c>
    </row>
    <row r="170">
      <c r="A170" s="1" t="n"/>
      <c r="B170" s="31" t="n">
        <v>46200</v>
      </c>
      <c r="C170" s="32" t="inlineStr">
        <is>
          <t>Kara Adams</t>
        </is>
      </c>
      <c r="D170" s="33" t="inlineStr">
        <is>
          <t>Wax melts, 6 pack</t>
        </is>
      </c>
      <c r="E170" s="34" t="n">
        <v>1</v>
      </c>
      <c r="F170" s="35" t="n"/>
      <c r="G170" s="35" t="n">
        <v>6.95</v>
      </c>
      <c r="H170" s="30">
        <f>IF(OR(B170="",D170=""),"",IF(N(E170)=0,1,E170)*IFERROR(INDEX(Products!$C$6:$C$105,MATCH(D170,Products!$B$6:$B$105,0)),0)+N(F170)+N(G170))</f>
        <v/>
      </c>
      <c r="I170" s="35" t="n">
        <v>15.95</v>
      </c>
      <c r="J170" s="30">
        <f>IF(OR(H170="",L170="Cancelled"),"",IF(H170-N(I170)&gt;0.005,H170-N(I170),""))</f>
        <v/>
      </c>
      <c r="K170" s="31" t="n">
        <v>46207</v>
      </c>
      <c r="L170" s="36" t="inlineStr">
        <is>
          <t>Sent</t>
        </is>
      </c>
      <c r="M170" s="33" t="inlineStr">
        <is>
          <t>Etsy</t>
        </is>
      </c>
      <c r="N170" s="22">
        <f>IF(OR(H170="",L170="Cancelled"),"",IF(N(E170)=0,1,E170)*IFERROR(INDEX(Products!$E$6:$E$105,MATCH(D170,Products!$B$6:$B$105,0)),0))</f>
        <v/>
      </c>
      <c r="O170" s="35" t="n">
        <v>7.46</v>
      </c>
      <c r="P170" s="22">
        <f>IF(OR(H170="",L170="Cancelled"),"",ROUND(IFERROR(H170*INDEX(Settings!$C$6:$C$15,MATCH(M170,Settings!$B$6:$B$15,0))+INDEX(Settings!$D$6:$D$15,MATCH(M170,Settings!$B$6:$B$15,0)),0),2))</f>
        <v/>
      </c>
      <c r="Q170" s="28">
        <f>IF(OR(H170="",L170="Cancelled"),"",H170-N(N170)-N(O170)-N(P170))</f>
        <v/>
      </c>
      <c r="R170" s="19">
        <f>IF(OR(B170="",K170=""),"",IF(OR(L170="Sent",L170="Picked up"),"Done",IF(L170="Cancelled","Cancelled",IF(K170&lt;TODAY(),"Late by "&amp;(TODAY()-K170)&amp;IF((TODAY()-K170)=1," day"," days"),IF(K170=TODAY(),"Due today","Due in "&amp;(K170-TODAY())&amp;IF((K170-TODAY())=1," day"," days"))))))</f>
        <v/>
      </c>
      <c r="S170" s="33" t="n"/>
      <c r="T170" s="1">
        <f>IF(AND(B170&lt;&gt;"",K170&lt;&gt;"",L170&lt;&gt;"Sent",L170&lt;&gt;"Picked up",L170&lt;&gt;"Cancelled"),K170+ROW()/10000000,"")</f>
        <v/>
      </c>
      <c r="U170">
        <f>IF(OR(B170="",C170=""),"",B170+ROW()/10000000)</f>
        <v/>
      </c>
      <c r="V170">
        <f>IF(U170="","",IF(COUNTIFS(Orders!$C$6:$C$1005,C170,Orders!$U$6:$U$1005,"&gt;"&amp;U170)=0,1,0))</f>
        <v/>
      </c>
      <c r="W170">
        <f>IF(AND(B170&lt;&gt;"",K170&lt;&gt;"",L170&lt;&gt;"Sent",L170&lt;&gt;"Picked up",L170&lt;&gt;"Cancelled"),IF(N(E170)=0,1,E170),0)</f>
        <v/>
      </c>
      <c r="X170">
        <f>IF(OR(B170="",D170=""),"",IF(N(E170)=0,1,E170))</f>
        <v/>
      </c>
    </row>
    <row r="171">
      <c r="A171" s="1" t="n"/>
      <c r="B171" s="31" t="n">
        <v>46201</v>
      </c>
      <c r="C171" s="32" t="inlineStr">
        <is>
          <t>Dina Mason</t>
        </is>
      </c>
      <c r="D171" s="33" t="inlineStr">
        <is>
          <t>Wax melts, 6 pack</t>
        </is>
      </c>
      <c r="E171" s="34" t="n">
        <v>1</v>
      </c>
      <c r="F171" s="35" t="n"/>
      <c r="G171" s="35" t="n">
        <v>6.95</v>
      </c>
      <c r="H171" s="30">
        <f>IF(OR(B171="",D171=""),"",IF(N(E171)=0,1,E171)*IFERROR(INDEX(Products!$C$6:$C$105,MATCH(D171,Products!$B$6:$B$105,0)),0)+N(F171)+N(G171))</f>
        <v/>
      </c>
      <c r="I171" s="35" t="n">
        <v>15.95</v>
      </c>
      <c r="J171" s="30">
        <f>IF(OR(H171="",L171="Cancelled"),"",IF(H171-N(I171)&gt;0.005,H171-N(I171),""))</f>
        <v/>
      </c>
      <c r="K171" s="31" t="n">
        <v>46213</v>
      </c>
      <c r="L171" s="36" t="inlineStr">
        <is>
          <t>Sent</t>
        </is>
      </c>
      <c r="M171" s="33" t="inlineStr">
        <is>
          <t>Etsy</t>
        </is>
      </c>
      <c r="N171" s="22">
        <f>IF(OR(H171="",L171="Cancelled"),"",IF(N(E171)=0,1,E171)*IFERROR(INDEX(Products!$E$6:$E$105,MATCH(D171,Products!$B$6:$B$105,0)),0))</f>
        <v/>
      </c>
      <c r="O171" s="35" t="n">
        <v>5.39</v>
      </c>
      <c r="P171" s="22">
        <f>IF(OR(H171="",L171="Cancelled"),"",ROUND(IFERROR(H171*INDEX(Settings!$C$6:$C$15,MATCH(M171,Settings!$B$6:$B$15,0))+INDEX(Settings!$D$6:$D$15,MATCH(M171,Settings!$B$6:$B$15,0)),0),2))</f>
        <v/>
      </c>
      <c r="Q171" s="28">
        <f>IF(OR(H171="",L171="Cancelled"),"",H171-N(N171)-N(O171)-N(P171))</f>
        <v/>
      </c>
      <c r="R171" s="19">
        <f>IF(OR(B171="",K171=""),"",IF(OR(L171="Sent",L171="Picked up"),"Done",IF(L171="Cancelled","Cancelled",IF(K171&lt;TODAY(),"Late by "&amp;(TODAY()-K171)&amp;IF((TODAY()-K171)=1," day"," days"),IF(K171=TODAY(),"Due today","Due in "&amp;(K171-TODAY())&amp;IF((K171-TODAY())=1," day"," days"))))))</f>
        <v/>
      </c>
      <c r="S171" s="33" t="n"/>
      <c r="T171" s="1">
        <f>IF(AND(B171&lt;&gt;"",K171&lt;&gt;"",L171&lt;&gt;"Sent",L171&lt;&gt;"Picked up",L171&lt;&gt;"Cancelled"),K171+ROW()/10000000,"")</f>
        <v/>
      </c>
      <c r="U171">
        <f>IF(OR(B171="",C171=""),"",B171+ROW()/10000000)</f>
        <v/>
      </c>
      <c r="V171">
        <f>IF(U171="","",IF(COUNTIFS(Orders!$C$6:$C$1005,C171,Orders!$U$6:$U$1005,"&gt;"&amp;U171)=0,1,0))</f>
        <v/>
      </c>
      <c r="W171">
        <f>IF(AND(B171&lt;&gt;"",K171&lt;&gt;"",L171&lt;&gt;"Sent",L171&lt;&gt;"Picked up",L171&lt;&gt;"Cancelled"),IF(N(E171)=0,1,E171),0)</f>
        <v/>
      </c>
      <c r="X171">
        <f>IF(OR(B171="",D171=""),"",IF(N(E171)=0,1,E171))</f>
        <v/>
      </c>
    </row>
    <row r="172">
      <c r="A172" s="1" t="n"/>
      <c r="B172" s="31" t="n">
        <v>46203</v>
      </c>
      <c r="C172" s="32" t="inlineStr">
        <is>
          <t>Adam Fox</t>
        </is>
      </c>
      <c r="D172" s="33" t="inlineStr">
        <is>
          <t>Wax melts, 6 pack</t>
        </is>
      </c>
      <c r="E172" s="34" t="n">
        <v>2</v>
      </c>
      <c r="F172" s="35" t="n"/>
      <c r="G172" s="35" t="n">
        <v>6.95</v>
      </c>
      <c r="H172" s="30">
        <f>IF(OR(B172="",D172=""),"",IF(N(E172)=0,1,E172)*IFERROR(INDEX(Products!$C$6:$C$105,MATCH(D172,Products!$B$6:$B$105,0)),0)+N(F172)+N(G172))</f>
        <v/>
      </c>
      <c r="I172" s="35" t="n">
        <v>24.95</v>
      </c>
      <c r="J172" s="30">
        <f>IF(OR(H172="",L172="Cancelled"),"",IF(H172-N(I172)&gt;0.005,H172-N(I172),""))</f>
        <v/>
      </c>
      <c r="K172" s="31" t="n">
        <v>46211</v>
      </c>
      <c r="L172" s="36" t="inlineStr">
        <is>
          <t>Sent</t>
        </is>
      </c>
      <c r="M172" s="33" t="inlineStr">
        <is>
          <t>Etsy</t>
        </is>
      </c>
      <c r="N172" s="22">
        <f>IF(OR(H172="",L172="Cancelled"),"",IF(N(E172)=0,1,E172)*IFERROR(INDEX(Products!$E$6:$E$105,MATCH(D172,Products!$B$6:$B$105,0)),0))</f>
        <v/>
      </c>
      <c r="O172" s="35" t="n">
        <v>7.45</v>
      </c>
      <c r="P172" s="22">
        <f>IF(OR(H172="",L172="Cancelled"),"",ROUND(IFERROR(H172*INDEX(Settings!$C$6:$C$15,MATCH(M172,Settings!$B$6:$B$15,0))+INDEX(Settings!$D$6:$D$15,MATCH(M172,Settings!$B$6:$B$15,0)),0),2))</f>
        <v/>
      </c>
      <c r="Q172" s="28">
        <f>IF(OR(H172="",L172="Cancelled"),"",H172-N(N172)-N(O172)-N(P172))</f>
        <v/>
      </c>
      <c r="R172" s="19">
        <f>IF(OR(B172="",K172=""),"",IF(OR(L172="Sent",L172="Picked up"),"Done",IF(L172="Cancelled","Cancelled",IF(K172&lt;TODAY(),"Late by "&amp;(TODAY()-K172)&amp;IF((TODAY()-K172)=1," day"," days"),IF(K172=TODAY(),"Due today","Due in "&amp;(K172-TODAY())&amp;IF((K172-TODAY())=1," day"," days"))))))</f>
        <v/>
      </c>
      <c r="S172" s="33" t="n"/>
      <c r="T172" s="1">
        <f>IF(AND(B172&lt;&gt;"",K172&lt;&gt;"",L172&lt;&gt;"Sent",L172&lt;&gt;"Picked up",L172&lt;&gt;"Cancelled"),K172+ROW()/10000000,"")</f>
        <v/>
      </c>
      <c r="U172">
        <f>IF(OR(B172="",C172=""),"",B172+ROW()/10000000)</f>
        <v/>
      </c>
      <c r="V172">
        <f>IF(U172="","",IF(COUNTIFS(Orders!$C$6:$C$1005,C172,Orders!$U$6:$U$1005,"&gt;"&amp;U172)=0,1,0))</f>
        <v/>
      </c>
      <c r="W172">
        <f>IF(AND(B172&lt;&gt;"",K172&lt;&gt;"",L172&lt;&gt;"Sent",L172&lt;&gt;"Picked up",L172&lt;&gt;"Cancelled"),IF(N(E172)=0,1,E172),0)</f>
        <v/>
      </c>
      <c r="X172">
        <f>IF(OR(B172="",D172=""),"",IF(N(E172)=0,1,E172))</f>
        <v/>
      </c>
    </row>
    <row r="173">
      <c r="A173" s="1" t="n"/>
      <c r="B173" s="31" t="n">
        <v>46204</v>
      </c>
      <c r="C173" s="32" t="inlineStr">
        <is>
          <t>Nina Reed</t>
        </is>
      </c>
      <c r="D173" s="33" t="inlineStr">
        <is>
          <t>Soy candle 8 oz</t>
        </is>
      </c>
      <c r="E173" s="34" t="n">
        <v>3</v>
      </c>
      <c r="F173" s="35" t="n">
        <v>15</v>
      </c>
      <c r="G173" s="35" t="n"/>
      <c r="H173" s="30">
        <f>IF(OR(B173="",D173=""),"",IF(N(E173)=0,1,E173)*IFERROR(INDEX(Products!$C$6:$C$105,MATCH(D173,Products!$B$6:$B$105,0)),0)+N(F173)+N(G173))</f>
        <v/>
      </c>
      <c r="I173" s="35" t="n">
        <v>81</v>
      </c>
      <c r="J173" s="30">
        <f>IF(OR(H173="",L173="Cancelled"),"",IF(H173-N(I173)&gt;0.005,H173-N(I173),""))</f>
        <v/>
      </c>
      <c r="K173" s="31" t="n">
        <v>46212</v>
      </c>
      <c r="L173" s="36" t="inlineStr">
        <is>
          <t>Picked up</t>
        </is>
      </c>
      <c r="M173" s="33" t="inlineStr">
        <is>
          <t>Instagram</t>
        </is>
      </c>
      <c r="N173" s="22">
        <f>IF(OR(H173="",L173="Cancelled"),"",IF(N(E173)=0,1,E173)*IFERROR(INDEX(Products!$E$6:$E$105,MATCH(D173,Products!$B$6:$B$105,0)),0))</f>
        <v/>
      </c>
      <c r="O173" s="35" t="n"/>
      <c r="P173" s="22">
        <f>IF(OR(H173="",L173="Cancelled"),"",ROUND(IFERROR(H173*INDEX(Settings!$C$6:$C$15,MATCH(M173,Settings!$B$6:$B$15,0))+INDEX(Settings!$D$6:$D$15,MATCH(M173,Settings!$B$6:$B$15,0)),0),2))</f>
        <v/>
      </c>
      <c r="Q173" s="28">
        <f>IF(OR(H173="",L173="Cancelled"),"",H173-N(N173)-N(O173)-N(P173))</f>
        <v/>
      </c>
      <c r="R173" s="19">
        <f>IF(OR(B173="",K173=""),"",IF(OR(L173="Sent",L173="Picked up"),"Done",IF(L173="Cancelled","Cancelled",IF(K173&lt;TODAY(),"Late by "&amp;(TODAY()-K173)&amp;IF((TODAY()-K173)=1," day"," days"),IF(K173=TODAY(),"Due today","Due in "&amp;(K173-TODAY())&amp;IF((K173-TODAY())=1," day"," days"))))))</f>
        <v/>
      </c>
      <c r="S173" s="33" t="inlineStr">
        <is>
          <t>Custom label</t>
        </is>
      </c>
      <c r="T173" s="1">
        <f>IF(AND(B173&lt;&gt;"",K173&lt;&gt;"",L173&lt;&gt;"Sent",L173&lt;&gt;"Picked up",L173&lt;&gt;"Cancelled"),K173+ROW()/10000000,"")</f>
        <v/>
      </c>
      <c r="U173">
        <f>IF(OR(B173="",C173=""),"",B173+ROW()/10000000)</f>
        <v/>
      </c>
      <c r="V173">
        <f>IF(U173="","",IF(COUNTIFS(Orders!$C$6:$C$1005,C173,Orders!$U$6:$U$1005,"&gt;"&amp;U173)=0,1,0))</f>
        <v/>
      </c>
      <c r="W173">
        <f>IF(AND(B173&lt;&gt;"",K173&lt;&gt;"",L173&lt;&gt;"Sent",L173&lt;&gt;"Picked up",L173&lt;&gt;"Cancelled"),IF(N(E173)=0,1,E173),0)</f>
        <v/>
      </c>
      <c r="X173">
        <f>IF(OR(B173="",D173=""),"",IF(N(E173)=0,1,E173))</f>
        <v/>
      </c>
    </row>
    <row r="174">
      <c r="A174" s="1" t="n"/>
      <c r="B174" s="31" t="n">
        <v>46206</v>
      </c>
      <c r="C174" s="32" t="inlineStr">
        <is>
          <t>Paula Mills</t>
        </is>
      </c>
      <c r="D174" s="33" t="inlineStr">
        <is>
          <t>Soy candle 16 oz</t>
        </is>
      </c>
      <c r="E174" s="34" t="n">
        <v>3</v>
      </c>
      <c r="F174" s="35" t="n"/>
      <c r="G174" s="35" t="n">
        <v>6.95</v>
      </c>
      <c r="H174" s="30">
        <f>IF(OR(B174="",D174=""),"",IF(N(E174)=0,1,E174)*IFERROR(INDEX(Products!$C$6:$C$105,MATCH(D174,Products!$B$6:$B$105,0)),0)+N(F174)+N(G174))</f>
        <v/>
      </c>
      <c r="I174" s="35" t="n">
        <v>108.95</v>
      </c>
      <c r="J174" s="30">
        <f>IF(OR(H174="",L174="Cancelled"),"",IF(H174-N(I174)&gt;0.005,H174-N(I174),""))</f>
        <v/>
      </c>
      <c r="K174" s="31" t="n">
        <v>46217</v>
      </c>
      <c r="L174" s="36" t="inlineStr">
        <is>
          <t>Sent</t>
        </is>
      </c>
      <c r="M174" s="33" t="inlineStr">
        <is>
          <t>Own website</t>
        </is>
      </c>
      <c r="N174" s="22">
        <f>IF(OR(H174="",L174="Cancelled"),"",IF(N(E174)=0,1,E174)*IFERROR(INDEX(Products!$E$6:$E$105,MATCH(D174,Products!$B$6:$B$105,0)),0))</f>
        <v/>
      </c>
      <c r="O174" s="35" t="n">
        <v>6.61</v>
      </c>
      <c r="P174" s="22">
        <f>IF(OR(H174="",L174="Cancelled"),"",ROUND(IFERROR(H174*INDEX(Settings!$C$6:$C$15,MATCH(M174,Settings!$B$6:$B$15,0))+INDEX(Settings!$D$6:$D$15,MATCH(M174,Settings!$B$6:$B$15,0)),0),2))</f>
        <v/>
      </c>
      <c r="Q174" s="28">
        <f>IF(OR(H174="",L174="Cancelled"),"",H174-N(N174)-N(O174)-N(P174))</f>
        <v/>
      </c>
      <c r="R174" s="19">
        <f>IF(OR(B174="",K174=""),"",IF(OR(L174="Sent",L174="Picked up"),"Done",IF(L174="Cancelled","Cancelled",IF(K174&lt;TODAY(),"Late by "&amp;(TODAY()-K174)&amp;IF((TODAY()-K174)=1," day"," days"),IF(K174=TODAY(),"Due today","Due in "&amp;(K174-TODAY())&amp;IF((K174-TODAY())=1," day"," days"))))))</f>
        <v/>
      </c>
      <c r="S174" s="33" t="n"/>
      <c r="T174" s="1">
        <f>IF(AND(B174&lt;&gt;"",K174&lt;&gt;"",L174&lt;&gt;"Sent",L174&lt;&gt;"Picked up",L174&lt;&gt;"Cancelled"),K174+ROW()/10000000,"")</f>
        <v/>
      </c>
      <c r="U174">
        <f>IF(OR(B174="",C174=""),"",B174+ROW()/10000000)</f>
        <v/>
      </c>
      <c r="V174">
        <f>IF(U174="","",IF(COUNTIFS(Orders!$C$6:$C$1005,C174,Orders!$U$6:$U$1005,"&gt;"&amp;U174)=0,1,0))</f>
        <v/>
      </c>
      <c r="W174">
        <f>IF(AND(B174&lt;&gt;"",K174&lt;&gt;"",L174&lt;&gt;"Sent",L174&lt;&gt;"Picked up",L174&lt;&gt;"Cancelled"),IF(N(E174)=0,1,E174),0)</f>
        <v/>
      </c>
      <c r="X174">
        <f>IF(OR(B174="",D174=""),"",IF(N(E174)=0,1,E174))</f>
        <v/>
      </c>
    </row>
    <row r="175">
      <c r="A175" s="1" t="n"/>
      <c r="B175" s="31" t="n">
        <v>46206</v>
      </c>
      <c r="C175" s="32" t="inlineStr">
        <is>
          <t>Nora Lewis</t>
        </is>
      </c>
      <c r="D175" s="33" t="inlineStr">
        <is>
          <t>Soy candle 16 oz</t>
        </is>
      </c>
      <c r="E175" s="34" t="n">
        <v>1</v>
      </c>
      <c r="F175" s="35" t="n"/>
      <c r="G175" s="35" t="n">
        <v>6.95</v>
      </c>
      <c r="H175" s="30">
        <f>IF(OR(B175="",D175=""),"",IF(N(E175)=0,1,E175)*IFERROR(INDEX(Products!$C$6:$C$105,MATCH(D175,Products!$B$6:$B$105,0)),0)+N(F175)+N(G175))</f>
        <v/>
      </c>
      <c r="I175" s="35" t="n">
        <v>40.95</v>
      </c>
      <c r="J175" s="30">
        <f>IF(OR(H175="",L175="Cancelled"),"",IF(H175-N(I175)&gt;0.005,H175-N(I175),""))</f>
        <v/>
      </c>
      <c r="K175" s="31" t="n">
        <v>46218</v>
      </c>
      <c r="L175" s="36" t="inlineStr">
        <is>
          <t>Sent</t>
        </is>
      </c>
      <c r="M175" s="33" t="inlineStr">
        <is>
          <t>Etsy</t>
        </is>
      </c>
      <c r="N175" s="22">
        <f>IF(OR(H175="",L175="Cancelled"),"",IF(N(E175)=0,1,E175)*IFERROR(INDEX(Products!$E$6:$E$105,MATCH(D175,Products!$B$6:$B$105,0)),0))</f>
        <v/>
      </c>
      <c r="O175" s="35" t="n">
        <v>5.66</v>
      </c>
      <c r="P175" s="22">
        <f>IF(OR(H175="",L175="Cancelled"),"",ROUND(IFERROR(H175*INDEX(Settings!$C$6:$C$15,MATCH(M175,Settings!$B$6:$B$15,0))+INDEX(Settings!$D$6:$D$15,MATCH(M175,Settings!$B$6:$B$15,0)),0),2))</f>
        <v/>
      </c>
      <c r="Q175" s="28">
        <f>IF(OR(H175="",L175="Cancelled"),"",H175-N(N175)-N(O175)-N(P175))</f>
        <v/>
      </c>
      <c r="R175" s="19">
        <f>IF(OR(B175="",K175=""),"",IF(OR(L175="Sent",L175="Picked up"),"Done",IF(L175="Cancelled","Cancelled",IF(K175&lt;TODAY(),"Late by "&amp;(TODAY()-K175)&amp;IF((TODAY()-K175)=1," day"," days"),IF(K175=TODAY(),"Due today","Due in "&amp;(K175-TODAY())&amp;IF((K175-TODAY())=1," day"," days"))))))</f>
        <v/>
      </c>
      <c r="S175" s="33" t="n"/>
      <c r="T175" s="1">
        <f>IF(AND(B175&lt;&gt;"",K175&lt;&gt;"",L175&lt;&gt;"Sent",L175&lt;&gt;"Picked up",L175&lt;&gt;"Cancelled"),K175+ROW()/10000000,"")</f>
        <v/>
      </c>
      <c r="U175">
        <f>IF(OR(B175="",C175=""),"",B175+ROW()/10000000)</f>
        <v/>
      </c>
      <c r="V175">
        <f>IF(U175="","",IF(COUNTIFS(Orders!$C$6:$C$1005,C175,Orders!$U$6:$U$1005,"&gt;"&amp;U175)=0,1,0))</f>
        <v/>
      </c>
      <c r="W175">
        <f>IF(AND(B175&lt;&gt;"",K175&lt;&gt;"",L175&lt;&gt;"Sent",L175&lt;&gt;"Picked up",L175&lt;&gt;"Cancelled"),IF(N(E175)=0,1,E175),0)</f>
        <v/>
      </c>
      <c r="X175">
        <f>IF(OR(B175="",D175=""),"",IF(N(E175)=0,1,E175))</f>
        <v/>
      </c>
    </row>
    <row r="176">
      <c r="A176" s="1" t="n"/>
      <c r="B176" s="31" t="n">
        <v>46208</v>
      </c>
      <c r="C176" s="32" t="inlineStr">
        <is>
          <t>Lily Hughes</t>
        </is>
      </c>
      <c r="D176" s="33" t="inlineStr">
        <is>
          <t>Soap bar</t>
        </is>
      </c>
      <c r="E176" s="34" t="n">
        <v>4</v>
      </c>
      <c r="F176" s="35" t="n"/>
      <c r="G176" s="35" t="n">
        <v>6.95</v>
      </c>
      <c r="H176" s="30">
        <f>IF(OR(B176="",D176=""),"",IF(N(E176)=0,1,E176)*IFERROR(INDEX(Products!$C$6:$C$105,MATCH(D176,Products!$B$6:$B$105,0)),0)+N(F176)+N(G176))</f>
        <v/>
      </c>
      <c r="I176" s="35" t="n">
        <v>38.95</v>
      </c>
      <c r="J176" s="30">
        <f>IF(OR(H176="",L176="Cancelled"),"",IF(H176-N(I176)&gt;0.005,H176-N(I176),""))</f>
        <v/>
      </c>
      <c r="K176" s="31" t="n">
        <v>46217</v>
      </c>
      <c r="L176" s="36" t="inlineStr">
        <is>
          <t>Sent</t>
        </is>
      </c>
      <c r="M176" s="33" t="inlineStr">
        <is>
          <t>Own website</t>
        </is>
      </c>
      <c r="N176" s="22">
        <f>IF(OR(H176="",L176="Cancelled"),"",IF(N(E176)=0,1,E176)*IFERROR(INDEX(Products!$E$6:$E$105,MATCH(D176,Products!$B$6:$B$105,0)),0))</f>
        <v/>
      </c>
      <c r="O176" s="35" t="n">
        <v>5.64</v>
      </c>
      <c r="P176" s="22">
        <f>IF(OR(H176="",L176="Cancelled"),"",ROUND(IFERROR(H176*INDEX(Settings!$C$6:$C$15,MATCH(M176,Settings!$B$6:$B$15,0))+INDEX(Settings!$D$6:$D$15,MATCH(M176,Settings!$B$6:$B$15,0)),0),2))</f>
        <v/>
      </c>
      <c r="Q176" s="28">
        <f>IF(OR(H176="",L176="Cancelled"),"",H176-N(N176)-N(O176)-N(P176))</f>
        <v/>
      </c>
      <c r="R176" s="19">
        <f>IF(OR(B176="",K176=""),"",IF(OR(L176="Sent",L176="Picked up"),"Done",IF(L176="Cancelled","Cancelled",IF(K176&lt;TODAY(),"Late by "&amp;(TODAY()-K176)&amp;IF((TODAY()-K176)=1," day"," days"),IF(K176=TODAY(),"Due today","Due in "&amp;(K176-TODAY())&amp;IF((K176-TODAY())=1," day"," days"))))))</f>
        <v/>
      </c>
      <c r="S176" s="33" t="n"/>
      <c r="T176" s="1">
        <f>IF(AND(B176&lt;&gt;"",K176&lt;&gt;"",L176&lt;&gt;"Sent",L176&lt;&gt;"Picked up",L176&lt;&gt;"Cancelled"),K176+ROW()/10000000,"")</f>
        <v/>
      </c>
      <c r="U176">
        <f>IF(OR(B176="",C176=""),"",B176+ROW()/10000000)</f>
        <v/>
      </c>
      <c r="V176">
        <f>IF(U176="","",IF(COUNTIFS(Orders!$C$6:$C$1005,C176,Orders!$U$6:$U$1005,"&gt;"&amp;U176)=0,1,0))</f>
        <v/>
      </c>
      <c r="W176">
        <f>IF(AND(B176&lt;&gt;"",K176&lt;&gt;"",L176&lt;&gt;"Sent",L176&lt;&gt;"Picked up",L176&lt;&gt;"Cancelled"),IF(N(E176)=0,1,E176),0)</f>
        <v/>
      </c>
      <c r="X176">
        <f>IF(OR(B176="",D176=""),"",IF(N(E176)=0,1,E176))</f>
        <v/>
      </c>
    </row>
    <row r="177">
      <c r="A177" s="1" t="n"/>
      <c r="B177" s="31" t="n">
        <v>46208</v>
      </c>
      <c r="C177" s="32" t="inlineStr">
        <is>
          <t>Hannah Reed</t>
        </is>
      </c>
      <c r="D177" s="33" t="inlineStr">
        <is>
          <t>Soy candle 8 oz</t>
        </is>
      </c>
      <c r="E177" s="34" t="n">
        <v>1</v>
      </c>
      <c r="F177" s="35" t="n"/>
      <c r="G177" s="35" t="n">
        <v>6.95</v>
      </c>
      <c r="H177" s="30">
        <f>IF(OR(B177="",D177=""),"",IF(N(E177)=0,1,E177)*IFERROR(INDEX(Products!$C$6:$C$105,MATCH(D177,Products!$B$6:$B$105,0)),0)+N(F177)+N(G177))</f>
        <v/>
      </c>
      <c r="I177" s="35" t="n">
        <v>28.95</v>
      </c>
      <c r="J177" s="30">
        <f>IF(OR(H177="",L177="Cancelled"),"",IF(H177-N(I177)&gt;0.005,H177-N(I177),""))</f>
        <v/>
      </c>
      <c r="K177" s="31" t="n">
        <v>46218</v>
      </c>
      <c r="L177" s="36" t="inlineStr">
        <is>
          <t>Sent</t>
        </is>
      </c>
      <c r="M177" s="33" t="inlineStr">
        <is>
          <t>Etsy</t>
        </is>
      </c>
      <c r="N177" s="22">
        <f>IF(OR(H177="",L177="Cancelled"),"",IF(N(E177)=0,1,E177)*IFERROR(INDEX(Products!$E$6:$E$105,MATCH(D177,Products!$B$6:$B$105,0)),0))</f>
        <v/>
      </c>
      <c r="O177" s="35" t="n">
        <v>7.02</v>
      </c>
      <c r="P177" s="22">
        <f>IF(OR(H177="",L177="Cancelled"),"",ROUND(IFERROR(H177*INDEX(Settings!$C$6:$C$15,MATCH(M177,Settings!$B$6:$B$15,0))+INDEX(Settings!$D$6:$D$15,MATCH(M177,Settings!$B$6:$B$15,0)),0),2))</f>
        <v/>
      </c>
      <c r="Q177" s="28">
        <f>IF(OR(H177="",L177="Cancelled"),"",H177-N(N177)-N(O177)-N(P177))</f>
        <v/>
      </c>
      <c r="R177" s="19">
        <f>IF(OR(B177="",K177=""),"",IF(OR(L177="Sent",L177="Picked up"),"Done",IF(L177="Cancelled","Cancelled",IF(K177&lt;TODAY(),"Late by "&amp;(TODAY()-K177)&amp;IF((TODAY()-K177)=1," day"," days"),IF(K177=TODAY(),"Due today","Due in "&amp;(K177-TODAY())&amp;IF((K177-TODAY())=1," day"," days"))))))</f>
        <v/>
      </c>
      <c r="S177" s="33" t="n"/>
      <c r="T177" s="1">
        <f>IF(AND(B177&lt;&gt;"",K177&lt;&gt;"",L177&lt;&gt;"Sent",L177&lt;&gt;"Picked up",L177&lt;&gt;"Cancelled"),K177+ROW()/10000000,"")</f>
        <v/>
      </c>
      <c r="U177">
        <f>IF(OR(B177="",C177=""),"",B177+ROW()/10000000)</f>
        <v/>
      </c>
      <c r="V177">
        <f>IF(U177="","",IF(COUNTIFS(Orders!$C$6:$C$1005,C177,Orders!$U$6:$U$1005,"&gt;"&amp;U177)=0,1,0))</f>
        <v/>
      </c>
      <c r="W177">
        <f>IF(AND(B177&lt;&gt;"",K177&lt;&gt;"",L177&lt;&gt;"Sent",L177&lt;&gt;"Picked up",L177&lt;&gt;"Cancelled"),IF(N(E177)=0,1,E177),0)</f>
        <v/>
      </c>
      <c r="X177">
        <f>IF(OR(B177="",D177=""),"",IF(N(E177)=0,1,E177))</f>
        <v/>
      </c>
    </row>
    <row r="178">
      <c r="A178" s="1" t="n"/>
      <c r="B178" s="31" t="n">
        <v>46209</v>
      </c>
      <c r="C178" s="32" t="inlineStr">
        <is>
          <t>Holly Cox</t>
        </is>
      </c>
      <c r="D178" s="33" t="inlineStr">
        <is>
          <t>Gift box</t>
        </is>
      </c>
      <c r="E178" s="34" t="n">
        <v>2</v>
      </c>
      <c r="F178" s="35" t="n"/>
      <c r="G178" s="35" t="n">
        <v>6.95</v>
      </c>
      <c r="H178" s="30">
        <f>IF(OR(B178="",D178=""),"",IF(N(E178)=0,1,E178)*IFERROR(INDEX(Products!$C$6:$C$105,MATCH(D178,Products!$B$6:$B$105,0)),0)+N(F178)+N(G178))</f>
        <v/>
      </c>
      <c r="I178" s="35" t="n">
        <v>96.95</v>
      </c>
      <c r="J178" s="30">
        <f>IF(OR(H178="",L178="Cancelled"),"",IF(H178-N(I178)&gt;0.005,H178-N(I178),""))</f>
        <v/>
      </c>
      <c r="K178" s="31" t="n">
        <v>46220</v>
      </c>
      <c r="L178" s="36" t="inlineStr">
        <is>
          <t>Sent</t>
        </is>
      </c>
      <c r="M178" s="33" t="inlineStr">
        <is>
          <t>Etsy</t>
        </is>
      </c>
      <c r="N178" s="22">
        <f>IF(OR(H178="",L178="Cancelled"),"",IF(N(E178)=0,1,E178)*IFERROR(INDEX(Products!$E$6:$E$105,MATCH(D178,Products!$B$6:$B$105,0)),0))</f>
        <v/>
      </c>
      <c r="O178" s="35" t="n">
        <v>7.43</v>
      </c>
      <c r="P178" s="22">
        <f>IF(OR(H178="",L178="Cancelled"),"",ROUND(IFERROR(H178*INDEX(Settings!$C$6:$C$15,MATCH(M178,Settings!$B$6:$B$15,0))+INDEX(Settings!$D$6:$D$15,MATCH(M178,Settings!$B$6:$B$15,0)),0),2))</f>
        <v/>
      </c>
      <c r="Q178" s="28">
        <f>IF(OR(H178="",L178="Cancelled"),"",H178-N(N178)-N(O178)-N(P178))</f>
        <v/>
      </c>
      <c r="R178" s="19">
        <f>IF(OR(B178="",K178=""),"",IF(OR(L178="Sent",L178="Picked up"),"Done",IF(L178="Cancelled","Cancelled",IF(K178&lt;TODAY(),"Late by "&amp;(TODAY()-K178)&amp;IF((TODAY()-K178)=1," day"," days"),IF(K178=TODAY(),"Due today","Due in "&amp;(K178-TODAY())&amp;IF((K178-TODAY())=1," day"," days"))))))</f>
        <v/>
      </c>
      <c r="S178" s="33" t="n"/>
      <c r="T178" s="1">
        <f>IF(AND(B178&lt;&gt;"",K178&lt;&gt;"",L178&lt;&gt;"Sent",L178&lt;&gt;"Picked up",L178&lt;&gt;"Cancelled"),K178+ROW()/10000000,"")</f>
        <v/>
      </c>
      <c r="U178">
        <f>IF(OR(B178="",C178=""),"",B178+ROW()/10000000)</f>
        <v/>
      </c>
      <c r="V178">
        <f>IF(U178="","",IF(COUNTIFS(Orders!$C$6:$C$1005,C178,Orders!$U$6:$U$1005,"&gt;"&amp;U178)=0,1,0))</f>
        <v/>
      </c>
      <c r="W178">
        <f>IF(AND(B178&lt;&gt;"",K178&lt;&gt;"",L178&lt;&gt;"Sent",L178&lt;&gt;"Picked up",L178&lt;&gt;"Cancelled"),IF(N(E178)=0,1,E178),0)</f>
        <v/>
      </c>
      <c r="X178">
        <f>IF(OR(B178="",D178=""),"",IF(N(E178)=0,1,E178))</f>
        <v/>
      </c>
    </row>
    <row r="179">
      <c r="A179" s="1" t="n"/>
      <c r="B179" s="31" t="n">
        <v>46210</v>
      </c>
      <c r="C179" s="32" t="inlineStr">
        <is>
          <t>Adam Davies</t>
        </is>
      </c>
      <c r="D179" s="33" t="inlineStr">
        <is>
          <t>Soap bar</t>
        </is>
      </c>
      <c r="E179" s="34" t="n">
        <v>1</v>
      </c>
      <c r="F179" s="35" t="n"/>
      <c r="G179" s="35" t="n">
        <v>6.95</v>
      </c>
      <c r="H179" s="30">
        <f>IF(OR(B179="",D179=""),"",IF(N(E179)=0,1,E179)*IFERROR(INDEX(Products!$C$6:$C$105,MATCH(D179,Products!$B$6:$B$105,0)),0)+N(F179)+N(G179))</f>
        <v/>
      </c>
      <c r="I179" s="35" t="n">
        <v>14.95</v>
      </c>
      <c r="J179" s="30">
        <f>IF(OR(H179="",L179="Cancelled"),"",IF(H179-N(I179)&gt;0.005,H179-N(I179),""))</f>
        <v/>
      </c>
      <c r="K179" s="31" t="n">
        <v>46221</v>
      </c>
      <c r="L179" s="36" t="inlineStr">
        <is>
          <t>Sent</t>
        </is>
      </c>
      <c r="M179" s="33" t="inlineStr">
        <is>
          <t>Own website</t>
        </is>
      </c>
      <c r="N179" s="22">
        <f>IF(OR(H179="",L179="Cancelled"),"",IF(N(E179)=0,1,E179)*IFERROR(INDEX(Products!$E$6:$E$105,MATCH(D179,Products!$B$6:$B$105,0)),0))</f>
        <v/>
      </c>
      <c r="O179" s="35" t="n">
        <v>6.97</v>
      </c>
      <c r="P179" s="22">
        <f>IF(OR(H179="",L179="Cancelled"),"",ROUND(IFERROR(H179*INDEX(Settings!$C$6:$C$15,MATCH(M179,Settings!$B$6:$B$15,0))+INDEX(Settings!$D$6:$D$15,MATCH(M179,Settings!$B$6:$B$15,0)),0),2))</f>
        <v/>
      </c>
      <c r="Q179" s="28">
        <f>IF(OR(H179="",L179="Cancelled"),"",H179-N(N179)-N(O179)-N(P179))</f>
        <v/>
      </c>
      <c r="R179" s="19">
        <f>IF(OR(B179="",K179=""),"",IF(OR(L179="Sent",L179="Picked up"),"Done",IF(L179="Cancelled","Cancelled",IF(K179&lt;TODAY(),"Late by "&amp;(TODAY()-K179)&amp;IF((TODAY()-K179)=1," day"," days"),IF(K179=TODAY(),"Due today","Due in "&amp;(K179-TODAY())&amp;IF((K179-TODAY())=1," day"," days"))))))</f>
        <v/>
      </c>
      <c r="S179" s="33" t="n"/>
      <c r="T179" s="1">
        <f>IF(AND(B179&lt;&gt;"",K179&lt;&gt;"",L179&lt;&gt;"Sent",L179&lt;&gt;"Picked up",L179&lt;&gt;"Cancelled"),K179+ROW()/10000000,"")</f>
        <v/>
      </c>
      <c r="U179">
        <f>IF(OR(B179="",C179=""),"",B179+ROW()/10000000)</f>
        <v/>
      </c>
      <c r="V179">
        <f>IF(U179="","",IF(COUNTIFS(Orders!$C$6:$C$1005,C179,Orders!$U$6:$U$1005,"&gt;"&amp;U179)=0,1,0))</f>
        <v/>
      </c>
      <c r="W179">
        <f>IF(AND(B179&lt;&gt;"",K179&lt;&gt;"",L179&lt;&gt;"Sent",L179&lt;&gt;"Picked up",L179&lt;&gt;"Cancelled"),IF(N(E179)=0,1,E179),0)</f>
        <v/>
      </c>
      <c r="X179">
        <f>IF(OR(B179="",D179=""),"",IF(N(E179)=0,1,E179))</f>
        <v/>
      </c>
    </row>
    <row r="180">
      <c r="A180" s="1" t="n"/>
      <c r="B180" s="31" t="n">
        <v>46212</v>
      </c>
      <c r="C180" s="32" t="inlineStr">
        <is>
          <t>Chris Owens</t>
        </is>
      </c>
      <c r="D180" s="33" t="inlineStr">
        <is>
          <t>Wedding favours, 10 tins</t>
        </is>
      </c>
      <c r="E180" s="34" t="n">
        <v>6</v>
      </c>
      <c r="F180" s="35" t="n"/>
      <c r="G180" s="35" t="n">
        <v>6.95</v>
      </c>
      <c r="H180" s="30">
        <f>IF(OR(B180="",D180=""),"",IF(N(E180)=0,1,E180)*IFERROR(INDEX(Products!$C$6:$C$105,MATCH(D180,Products!$B$6:$B$105,0)),0)+N(F180)+N(G180))</f>
        <v/>
      </c>
      <c r="I180" s="35" t="n">
        <v>366.95</v>
      </c>
      <c r="J180" s="30">
        <f>IF(OR(H180="",L180="Cancelled"),"",IF(H180-N(I180)&gt;0.005,H180-N(I180),""))</f>
        <v/>
      </c>
      <c r="K180" s="31" t="n">
        <v>46254</v>
      </c>
      <c r="L180" s="36" t="inlineStr">
        <is>
          <t>Sent</t>
        </is>
      </c>
      <c r="M180" s="33" t="inlineStr">
        <is>
          <t>Etsy</t>
        </is>
      </c>
      <c r="N180" s="22">
        <f>IF(OR(H180="",L180="Cancelled"),"",IF(N(E180)=0,1,E180)*IFERROR(INDEX(Products!$E$6:$E$105,MATCH(D180,Products!$B$6:$B$105,0)),0))</f>
        <v/>
      </c>
      <c r="O180" s="35" t="n">
        <v>7.17</v>
      </c>
      <c r="P180" s="22">
        <f>IF(OR(H180="",L180="Cancelled"),"",ROUND(IFERROR(H180*INDEX(Settings!$C$6:$C$15,MATCH(M180,Settings!$B$6:$B$15,0))+INDEX(Settings!$D$6:$D$15,MATCH(M180,Settings!$B$6:$B$15,0)),0),2))</f>
        <v/>
      </c>
      <c r="Q180" s="28">
        <f>IF(OR(H180="",L180="Cancelled"),"",H180-N(N180)-N(O180)-N(P180))</f>
        <v/>
      </c>
      <c r="R180" s="19">
        <f>IF(OR(B180="",K180=""),"",IF(OR(L180="Sent",L180="Picked up"),"Done",IF(L180="Cancelled","Cancelled",IF(K180&lt;TODAY(),"Late by "&amp;(TODAY()-K180)&amp;IF((TODAY()-K180)=1," day"," days"),IF(K180=TODAY(),"Due today","Due in "&amp;(K180-TODAY())&amp;IF((K180-TODAY())=1," day"," days"))))))</f>
        <v/>
      </c>
      <c r="S180" s="33" t="n"/>
      <c r="T180" s="1">
        <f>IF(AND(B180&lt;&gt;"",K180&lt;&gt;"",L180&lt;&gt;"Sent",L180&lt;&gt;"Picked up",L180&lt;&gt;"Cancelled"),K180+ROW()/10000000,"")</f>
        <v/>
      </c>
      <c r="U180">
        <f>IF(OR(B180="",C180=""),"",B180+ROW()/10000000)</f>
        <v/>
      </c>
      <c r="V180">
        <f>IF(U180="","",IF(COUNTIFS(Orders!$C$6:$C$1005,C180,Orders!$U$6:$U$1005,"&gt;"&amp;U180)=0,1,0))</f>
        <v/>
      </c>
      <c r="W180">
        <f>IF(AND(B180&lt;&gt;"",K180&lt;&gt;"",L180&lt;&gt;"Sent",L180&lt;&gt;"Picked up",L180&lt;&gt;"Cancelled"),IF(N(E180)=0,1,E180),0)</f>
        <v/>
      </c>
      <c r="X180">
        <f>IF(OR(B180="",D180=""),"",IF(N(E180)=0,1,E180))</f>
        <v/>
      </c>
    </row>
    <row r="181">
      <c r="A181" s="1" t="n"/>
      <c r="B181" s="31" t="n">
        <v>46214</v>
      </c>
      <c r="C181" s="32" t="inlineStr">
        <is>
          <t>Ava Adams</t>
        </is>
      </c>
      <c r="D181" s="33" t="inlineStr">
        <is>
          <t>Wax melts, 6 pack</t>
        </is>
      </c>
      <c r="E181" s="34" t="n">
        <v>1</v>
      </c>
      <c r="F181" s="35" t="n"/>
      <c r="G181" s="35" t="n"/>
      <c r="H181" s="30">
        <f>IF(OR(B181="",D181=""),"",IF(N(E181)=0,1,E181)*IFERROR(INDEX(Products!$C$6:$C$105,MATCH(D181,Products!$B$6:$B$105,0)),0)+N(F181)+N(G181))</f>
        <v/>
      </c>
      <c r="I181" s="35" t="n">
        <v>9</v>
      </c>
      <c r="J181" s="30">
        <f>IF(OR(H181="",L181="Cancelled"),"",IF(H181-N(I181)&gt;0.005,H181-N(I181),""))</f>
        <v/>
      </c>
      <c r="K181" s="31" t="n">
        <v>46222</v>
      </c>
      <c r="L181" s="36" t="inlineStr">
        <is>
          <t>Picked up</t>
        </is>
      </c>
      <c r="M181" s="33" t="inlineStr">
        <is>
          <t>Friends and family</t>
        </is>
      </c>
      <c r="N181" s="22">
        <f>IF(OR(H181="",L181="Cancelled"),"",IF(N(E181)=0,1,E181)*IFERROR(INDEX(Products!$E$6:$E$105,MATCH(D181,Products!$B$6:$B$105,0)),0))</f>
        <v/>
      </c>
      <c r="O181" s="35" t="n"/>
      <c r="P181" s="22">
        <f>IF(OR(H181="",L181="Cancelled"),"",ROUND(IFERROR(H181*INDEX(Settings!$C$6:$C$15,MATCH(M181,Settings!$B$6:$B$15,0))+INDEX(Settings!$D$6:$D$15,MATCH(M181,Settings!$B$6:$B$15,0)),0),2))</f>
        <v/>
      </c>
      <c r="Q181" s="28">
        <f>IF(OR(H181="",L181="Cancelled"),"",H181-N(N181)-N(O181)-N(P181))</f>
        <v/>
      </c>
      <c r="R181" s="19">
        <f>IF(OR(B181="",K181=""),"",IF(OR(L181="Sent",L181="Picked up"),"Done",IF(L181="Cancelled","Cancelled",IF(K181&lt;TODAY(),"Late by "&amp;(TODAY()-K181)&amp;IF((TODAY()-K181)=1," day"," days"),IF(K181=TODAY(),"Due today","Due in "&amp;(K181-TODAY())&amp;IF((K181-TODAY())=1," day"," days"))))))</f>
        <v/>
      </c>
      <c r="S181" s="33" t="n"/>
      <c r="T181" s="1">
        <f>IF(AND(B181&lt;&gt;"",K181&lt;&gt;"",L181&lt;&gt;"Sent",L181&lt;&gt;"Picked up",L181&lt;&gt;"Cancelled"),K181+ROW()/10000000,"")</f>
        <v/>
      </c>
      <c r="U181">
        <f>IF(OR(B181="",C181=""),"",B181+ROW()/10000000)</f>
        <v/>
      </c>
      <c r="V181">
        <f>IF(U181="","",IF(COUNTIFS(Orders!$C$6:$C$1005,C181,Orders!$U$6:$U$1005,"&gt;"&amp;U181)=0,1,0))</f>
        <v/>
      </c>
      <c r="W181">
        <f>IF(AND(B181&lt;&gt;"",K181&lt;&gt;"",L181&lt;&gt;"Sent",L181&lt;&gt;"Picked up",L181&lt;&gt;"Cancelled"),IF(N(E181)=0,1,E181),0)</f>
        <v/>
      </c>
      <c r="X181">
        <f>IF(OR(B181="",D181=""),"",IF(N(E181)=0,1,E181))</f>
        <v/>
      </c>
    </row>
    <row r="182">
      <c r="A182" s="1" t="n"/>
      <c r="B182" s="31" t="n">
        <v>46216</v>
      </c>
      <c r="C182" s="32" t="inlineStr">
        <is>
          <t>Eva Adams</t>
        </is>
      </c>
      <c r="D182" s="33" t="inlineStr">
        <is>
          <t>Wedding favours, 10 tins</t>
        </is>
      </c>
      <c r="E182" s="34" t="n">
        <v>8</v>
      </c>
      <c r="F182" s="35" t="n"/>
      <c r="G182" s="35" t="n"/>
      <c r="H182" s="30">
        <f>IF(OR(B182="",D182=""),"",IF(N(E182)=0,1,E182)*IFERROR(INDEX(Products!$C$6:$C$105,MATCH(D182,Products!$B$6:$B$105,0)),0)+N(F182)+N(G182))</f>
        <v/>
      </c>
      <c r="I182" s="35" t="n">
        <v>480</v>
      </c>
      <c r="J182" s="30">
        <f>IF(OR(H182="",L182="Cancelled"),"",IF(H182-N(I182)&gt;0.005,H182-N(I182),""))</f>
        <v/>
      </c>
      <c r="K182" s="31" t="n">
        <v>46243</v>
      </c>
      <c r="L182" s="36" t="inlineStr">
        <is>
          <t>Picked up</t>
        </is>
      </c>
      <c r="M182" s="33" t="inlineStr">
        <is>
          <t>Friends and family</t>
        </is>
      </c>
      <c r="N182" s="22">
        <f>IF(OR(H182="",L182="Cancelled"),"",IF(N(E182)=0,1,E182)*IFERROR(INDEX(Products!$E$6:$E$105,MATCH(D182,Products!$B$6:$B$105,0)),0))</f>
        <v/>
      </c>
      <c r="O182" s="35" t="n"/>
      <c r="P182" s="22">
        <f>IF(OR(H182="",L182="Cancelled"),"",ROUND(IFERROR(H182*INDEX(Settings!$C$6:$C$15,MATCH(M182,Settings!$B$6:$B$15,0))+INDEX(Settings!$D$6:$D$15,MATCH(M182,Settings!$B$6:$B$15,0)),0),2))</f>
        <v/>
      </c>
      <c r="Q182" s="28">
        <f>IF(OR(H182="",L182="Cancelled"),"",H182-N(N182)-N(O182)-N(P182))</f>
        <v/>
      </c>
      <c r="R182" s="19">
        <f>IF(OR(B182="",K182=""),"",IF(OR(L182="Sent",L182="Picked up"),"Done",IF(L182="Cancelled","Cancelled",IF(K182&lt;TODAY(),"Late by "&amp;(TODAY()-K182)&amp;IF((TODAY()-K182)=1," day"," days"),IF(K182=TODAY(),"Due today","Due in "&amp;(K182-TODAY())&amp;IF((K182-TODAY())=1," day"," days"))))))</f>
        <v/>
      </c>
      <c r="S182" s="33" t="n"/>
      <c r="T182" s="1">
        <f>IF(AND(B182&lt;&gt;"",K182&lt;&gt;"",L182&lt;&gt;"Sent",L182&lt;&gt;"Picked up",L182&lt;&gt;"Cancelled"),K182+ROW()/10000000,"")</f>
        <v/>
      </c>
      <c r="U182">
        <f>IF(OR(B182="",C182=""),"",B182+ROW()/10000000)</f>
        <v/>
      </c>
      <c r="V182">
        <f>IF(U182="","",IF(COUNTIFS(Orders!$C$6:$C$1005,C182,Orders!$U$6:$U$1005,"&gt;"&amp;U182)=0,1,0))</f>
        <v/>
      </c>
      <c r="W182">
        <f>IF(AND(B182&lt;&gt;"",K182&lt;&gt;"",L182&lt;&gt;"Sent",L182&lt;&gt;"Picked up",L182&lt;&gt;"Cancelled"),IF(N(E182)=0,1,E182),0)</f>
        <v/>
      </c>
      <c r="X182">
        <f>IF(OR(B182="",D182=""),"",IF(N(E182)=0,1,E182))</f>
        <v/>
      </c>
    </row>
    <row r="183">
      <c r="A183" s="1" t="n"/>
      <c r="B183" s="31" t="n">
        <v>46216</v>
      </c>
      <c r="C183" s="32" t="inlineStr">
        <is>
          <t>Dan King</t>
        </is>
      </c>
      <c r="D183" s="33" t="inlineStr">
        <is>
          <t>Soy candle 8 oz</t>
        </is>
      </c>
      <c r="E183" s="34" t="n">
        <v>1</v>
      </c>
      <c r="F183" s="35" t="n"/>
      <c r="G183" s="35" t="n">
        <v>6.95</v>
      </c>
      <c r="H183" s="30">
        <f>IF(OR(B183="",D183=""),"",IF(N(E183)=0,1,E183)*IFERROR(INDEX(Products!$C$6:$C$105,MATCH(D183,Products!$B$6:$B$105,0)),0)+N(F183)+N(G183))</f>
        <v/>
      </c>
      <c r="I183" s="35" t="n">
        <v>28.95</v>
      </c>
      <c r="J183" s="30">
        <f>IF(OR(H183="",L183="Cancelled"),"",IF(H183-N(I183)&gt;0.005,H183-N(I183),""))</f>
        <v/>
      </c>
      <c r="K183" s="31" t="n">
        <v>46221</v>
      </c>
      <c r="L183" s="36" t="inlineStr">
        <is>
          <t>Sent</t>
        </is>
      </c>
      <c r="M183" s="33" t="inlineStr">
        <is>
          <t>Etsy</t>
        </is>
      </c>
      <c r="N183" s="22">
        <f>IF(OR(H183="",L183="Cancelled"),"",IF(N(E183)=0,1,E183)*IFERROR(INDEX(Products!$E$6:$E$105,MATCH(D183,Products!$B$6:$B$105,0)),0))</f>
        <v/>
      </c>
      <c r="O183" s="35" t="n">
        <v>6.61</v>
      </c>
      <c r="P183" s="22">
        <f>IF(OR(H183="",L183="Cancelled"),"",ROUND(IFERROR(H183*INDEX(Settings!$C$6:$C$15,MATCH(M183,Settings!$B$6:$B$15,0))+INDEX(Settings!$D$6:$D$15,MATCH(M183,Settings!$B$6:$B$15,0)),0),2))</f>
        <v/>
      </c>
      <c r="Q183" s="28">
        <f>IF(OR(H183="",L183="Cancelled"),"",H183-N(N183)-N(O183)-N(P183))</f>
        <v/>
      </c>
      <c r="R183" s="19">
        <f>IF(OR(B183="",K183=""),"",IF(OR(L183="Sent",L183="Picked up"),"Done",IF(L183="Cancelled","Cancelled",IF(K183&lt;TODAY(),"Late by "&amp;(TODAY()-K183)&amp;IF((TODAY()-K183)=1," day"," days"),IF(K183=TODAY(),"Due today","Due in "&amp;(K183-TODAY())&amp;IF((K183-TODAY())=1," day"," days"))))))</f>
        <v/>
      </c>
      <c r="S183" s="33" t="n"/>
      <c r="T183" s="1">
        <f>IF(AND(B183&lt;&gt;"",K183&lt;&gt;"",L183&lt;&gt;"Sent",L183&lt;&gt;"Picked up",L183&lt;&gt;"Cancelled"),K183+ROW()/10000000,"")</f>
        <v/>
      </c>
      <c r="U183">
        <f>IF(OR(B183="",C183=""),"",B183+ROW()/10000000)</f>
        <v/>
      </c>
      <c r="V183">
        <f>IF(U183="","",IF(COUNTIFS(Orders!$C$6:$C$1005,C183,Orders!$U$6:$U$1005,"&gt;"&amp;U183)=0,1,0))</f>
        <v/>
      </c>
      <c r="W183">
        <f>IF(AND(B183&lt;&gt;"",K183&lt;&gt;"",L183&lt;&gt;"Sent",L183&lt;&gt;"Picked up",L183&lt;&gt;"Cancelled"),IF(N(E183)=0,1,E183),0)</f>
        <v/>
      </c>
      <c r="X183">
        <f>IF(OR(B183="",D183=""),"",IF(N(E183)=0,1,E183))</f>
        <v/>
      </c>
    </row>
    <row r="184">
      <c r="A184" s="1" t="n"/>
      <c r="B184" s="31" t="n">
        <v>46217</v>
      </c>
      <c r="C184" s="32" t="inlineStr">
        <is>
          <t>Dina Mason</t>
        </is>
      </c>
      <c r="D184" s="33" t="inlineStr">
        <is>
          <t>Wax melts, 6 pack</t>
        </is>
      </c>
      <c r="E184" s="34" t="n">
        <v>1</v>
      </c>
      <c r="F184" s="35" t="n"/>
      <c r="G184" s="35" t="n"/>
      <c r="H184" s="30">
        <f>IF(OR(B184="",D184=""),"",IF(N(E184)=0,1,E184)*IFERROR(INDEX(Products!$C$6:$C$105,MATCH(D184,Products!$B$6:$B$105,0)),0)+N(F184)+N(G184))</f>
        <v/>
      </c>
      <c r="I184" s="35" t="n">
        <v>9</v>
      </c>
      <c r="J184" s="30">
        <f>IF(OR(H184="",L184="Cancelled"),"",IF(H184-N(I184)&gt;0.005,H184-N(I184),""))</f>
        <v/>
      </c>
      <c r="K184" s="31" t="n">
        <v>46229</v>
      </c>
      <c r="L184" s="36" t="inlineStr">
        <is>
          <t>Picked up</t>
        </is>
      </c>
      <c r="M184" s="33" t="inlineStr">
        <is>
          <t>Craft market</t>
        </is>
      </c>
      <c r="N184" s="22">
        <f>IF(OR(H184="",L184="Cancelled"),"",IF(N(E184)=0,1,E184)*IFERROR(INDEX(Products!$E$6:$E$105,MATCH(D184,Products!$B$6:$B$105,0)),0))</f>
        <v/>
      </c>
      <c r="O184" s="35" t="n"/>
      <c r="P184" s="22">
        <f>IF(OR(H184="",L184="Cancelled"),"",ROUND(IFERROR(H184*INDEX(Settings!$C$6:$C$15,MATCH(M184,Settings!$B$6:$B$15,0))+INDEX(Settings!$D$6:$D$15,MATCH(M184,Settings!$B$6:$B$15,0)),0),2))</f>
        <v/>
      </c>
      <c r="Q184" s="28">
        <f>IF(OR(H184="",L184="Cancelled"),"",H184-N(N184)-N(O184)-N(P184))</f>
        <v/>
      </c>
      <c r="R184" s="19">
        <f>IF(OR(B184="",K184=""),"",IF(OR(L184="Sent",L184="Picked up"),"Done",IF(L184="Cancelled","Cancelled",IF(K184&lt;TODAY(),"Late by "&amp;(TODAY()-K184)&amp;IF((TODAY()-K184)=1," day"," days"),IF(K184=TODAY(),"Due today","Due in "&amp;(K184-TODAY())&amp;IF((K184-TODAY())=1," day"," days"))))))</f>
        <v/>
      </c>
      <c r="S184" s="33" t="n"/>
      <c r="T184" s="1">
        <f>IF(AND(B184&lt;&gt;"",K184&lt;&gt;"",L184&lt;&gt;"Sent",L184&lt;&gt;"Picked up",L184&lt;&gt;"Cancelled"),K184+ROW()/10000000,"")</f>
        <v/>
      </c>
      <c r="U184">
        <f>IF(OR(B184="",C184=""),"",B184+ROW()/10000000)</f>
        <v/>
      </c>
      <c r="V184">
        <f>IF(U184="","",IF(COUNTIFS(Orders!$C$6:$C$1005,C184,Orders!$U$6:$U$1005,"&gt;"&amp;U184)=0,1,0))</f>
        <v/>
      </c>
      <c r="W184">
        <f>IF(AND(B184&lt;&gt;"",K184&lt;&gt;"",L184&lt;&gt;"Sent",L184&lt;&gt;"Picked up",L184&lt;&gt;"Cancelled"),IF(N(E184)=0,1,E184),0)</f>
        <v/>
      </c>
      <c r="X184">
        <f>IF(OR(B184="",D184=""),"",IF(N(E184)=0,1,E184))</f>
        <v/>
      </c>
    </row>
    <row r="185">
      <c r="A185" s="1" t="n"/>
      <c r="B185" s="31" t="n">
        <v>46217</v>
      </c>
      <c r="C185" s="32" t="inlineStr">
        <is>
          <t>Kyle Brooks</t>
        </is>
      </c>
      <c r="D185" s="33" t="inlineStr">
        <is>
          <t>Soap bar</t>
        </is>
      </c>
      <c r="E185" s="34" t="n">
        <v>1</v>
      </c>
      <c r="F185" s="35" t="n"/>
      <c r="G185" s="35" t="n"/>
      <c r="H185" s="30">
        <f>IF(OR(B185="",D185=""),"",IF(N(E185)=0,1,E185)*IFERROR(INDEX(Products!$C$6:$C$105,MATCH(D185,Products!$B$6:$B$105,0)),0)+N(F185)+N(G185))</f>
        <v/>
      </c>
      <c r="I185" s="35" t="n">
        <v>8</v>
      </c>
      <c r="J185" s="30">
        <f>IF(OR(H185="",L185="Cancelled"),"",IF(H185-N(I185)&gt;0.005,H185-N(I185),""))</f>
        <v/>
      </c>
      <c r="K185" s="31" t="n">
        <v>46226</v>
      </c>
      <c r="L185" s="36" t="inlineStr">
        <is>
          <t>Picked up</t>
        </is>
      </c>
      <c r="M185" s="33" t="inlineStr">
        <is>
          <t>Craft market</t>
        </is>
      </c>
      <c r="N185" s="22">
        <f>IF(OR(H185="",L185="Cancelled"),"",IF(N(E185)=0,1,E185)*IFERROR(INDEX(Products!$E$6:$E$105,MATCH(D185,Products!$B$6:$B$105,0)),0))</f>
        <v/>
      </c>
      <c r="O185" s="35" t="n"/>
      <c r="P185" s="22">
        <f>IF(OR(H185="",L185="Cancelled"),"",ROUND(IFERROR(H185*INDEX(Settings!$C$6:$C$15,MATCH(M185,Settings!$B$6:$B$15,0))+INDEX(Settings!$D$6:$D$15,MATCH(M185,Settings!$B$6:$B$15,0)),0),2))</f>
        <v/>
      </c>
      <c r="Q185" s="28">
        <f>IF(OR(H185="",L185="Cancelled"),"",H185-N(N185)-N(O185)-N(P185))</f>
        <v/>
      </c>
      <c r="R185" s="19">
        <f>IF(OR(B185="",K185=""),"",IF(OR(L185="Sent",L185="Picked up"),"Done",IF(L185="Cancelled","Cancelled",IF(K185&lt;TODAY(),"Late by "&amp;(TODAY()-K185)&amp;IF((TODAY()-K185)=1," day"," days"),IF(K185=TODAY(),"Due today","Due in "&amp;(K185-TODAY())&amp;IF((K185-TODAY())=1," day"," days"))))))</f>
        <v/>
      </c>
      <c r="S185" s="33" t="n"/>
      <c r="T185" s="1">
        <f>IF(AND(B185&lt;&gt;"",K185&lt;&gt;"",L185&lt;&gt;"Sent",L185&lt;&gt;"Picked up",L185&lt;&gt;"Cancelled"),K185+ROW()/10000000,"")</f>
        <v/>
      </c>
      <c r="U185">
        <f>IF(OR(B185="",C185=""),"",B185+ROW()/10000000)</f>
        <v/>
      </c>
      <c r="V185">
        <f>IF(U185="","",IF(COUNTIFS(Orders!$C$6:$C$1005,C185,Orders!$U$6:$U$1005,"&gt;"&amp;U185)=0,1,0))</f>
        <v/>
      </c>
      <c r="W185">
        <f>IF(AND(B185&lt;&gt;"",K185&lt;&gt;"",L185&lt;&gt;"Sent",L185&lt;&gt;"Picked up",L185&lt;&gt;"Cancelled"),IF(N(E185)=0,1,E185),0)</f>
        <v/>
      </c>
      <c r="X185">
        <f>IF(OR(B185="",D185=""),"",IF(N(E185)=0,1,E185))</f>
        <v/>
      </c>
    </row>
    <row r="186">
      <c r="A186" s="1" t="n"/>
      <c r="B186" s="31" t="n">
        <v>46219</v>
      </c>
      <c r="C186" s="32" t="inlineStr">
        <is>
          <t>Leah Hill</t>
        </is>
      </c>
      <c r="D186" s="33" t="inlineStr">
        <is>
          <t>Wax melts, 6 pack</t>
        </is>
      </c>
      <c r="E186" s="34" t="n">
        <v>1</v>
      </c>
      <c r="F186" s="35" t="n"/>
      <c r="G186" s="35" t="n"/>
      <c r="H186" s="30">
        <f>IF(OR(B186="",D186=""),"",IF(N(E186)=0,1,E186)*IFERROR(INDEX(Products!$C$6:$C$105,MATCH(D186,Products!$B$6:$B$105,0)),0)+N(F186)+N(G186))</f>
        <v/>
      </c>
      <c r="I186" s="35" t="n">
        <v>9</v>
      </c>
      <c r="J186" s="30">
        <f>IF(OR(H186="",L186="Cancelled"),"",IF(H186-N(I186)&gt;0.005,H186-N(I186),""))</f>
        <v/>
      </c>
      <c r="K186" s="31" t="n">
        <v>46230</v>
      </c>
      <c r="L186" s="36" t="inlineStr">
        <is>
          <t>Picked up</t>
        </is>
      </c>
      <c r="M186" s="33" t="inlineStr">
        <is>
          <t>Craft market</t>
        </is>
      </c>
      <c r="N186" s="22">
        <f>IF(OR(H186="",L186="Cancelled"),"",IF(N(E186)=0,1,E186)*IFERROR(INDEX(Products!$E$6:$E$105,MATCH(D186,Products!$B$6:$B$105,0)),0))</f>
        <v/>
      </c>
      <c r="O186" s="35" t="n"/>
      <c r="P186" s="22">
        <f>IF(OR(H186="",L186="Cancelled"),"",ROUND(IFERROR(H186*INDEX(Settings!$C$6:$C$15,MATCH(M186,Settings!$B$6:$B$15,0))+INDEX(Settings!$D$6:$D$15,MATCH(M186,Settings!$B$6:$B$15,0)),0),2))</f>
        <v/>
      </c>
      <c r="Q186" s="28">
        <f>IF(OR(H186="",L186="Cancelled"),"",H186-N(N186)-N(O186)-N(P186))</f>
        <v/>
      </c>
      <c r="R186" s="19">
        <f>IF(OR(B186="",K186=""),"",IF(OR(L186="Sent",L186="Picked up"),"Done",IF(L186="Cancelled","Cancelled",IF(K186&lt;TODAY(),"Late by "&amp;(TODAY()-K186)&amp;IF((TODAY()-K186)=1," day"," days"),IF(K186=TODAY(),"Due today","Due in "&amp;(K186-TODAY())&amp;IF((K186-TODAY())=1," day"," days"))))))</f>
        <v/>
      </c>
      <c r="S186" s="33" t="n"/>
      <c r="T186" s="1">
        <f>IF(AND(B186&lt;&gt;"",K186&lt;&gt;"",L186&lt;&gt;"Sent",L186&lt;&gt;"Picked up",L186&lt;&gt;"Cancelled"),K186+ROW()/10000000,"")</f>
        <v/>
      </c>
      <c r="U186">
        <f>IF(OR(B186="",C186=""),"",B186+ROW()/10000000)</f>
        <v/>
      </c>
      <c r="V186">
        <f>IF(U186="","",IF(COUNTIFS(Orders!$C$6:$C$1005,C186,Orders!$U$6:$U$1005,"&gt;"&amp;U186)=0,1,0))</f>
        <v/>
      </c>
      <c r="W186">
        <f>IF(AND(B186&lt;&gt;"",K186&lt;&gt;"",L186&lt;&gt;"Sent",L186&lt;&gt;"Picked up",L186&lt;&gt;"Cancelled"),IF(N(E186)=0,1,E186),0)</f>
        <v/>
      </c>
      <c r="X186">
        <f>IF(OR(B186="",D186=""),"",IF(N(E186)=0,1,E186))</f>
        <v/>
      </c>
    </row>
    <row r="187">
      <c r="A187" s="1" t="n"/>
      <c r="B187" s="31" t="n">
        <v>46220</v>
      </c>
      <c r="C187" s="32" t="inlineStr">
        <is>
          <t>Chris Owens</t>
        </is>
      </c>
      <c r="D187" s="33" t="inlineStr">
        <is>
          <t>Soy candle 8 oz</t>
        </is>
      </c>
      <c r="E187" s="34" t="n">
        <v>4</v>
      </c>
      <c r="F187" s="35" t="n">
        <v>20</v>
      </c>
      <c r="G187" s="35" t="n">
        <v>6.95</v>
      </c>
      <c r="H187" s="30">
        <f>IF(OR(B187="",D187=""),"",IF(N(E187)=0,1,E187)*IFERROR(INDEX(Products!$C$6:$C$105,MATCH(D187,Products!$B$6:$B$105,0)),0)+N(F187)+N(G187))</f>
        <v/>
      </c>
      <c r="I187" s="35" t="n">
        <v>114.95</v>
      </c>
      <c r="J187" s="30">
        <f>IF(OR(H187="",L187="Cancelled"),"",IF(H187-N(I187)&gt;0.005,H187-N(I187),""))</f>
        <v/>
      </c>
      <c r="K187" s="31" t="n">
        <v>46225</v>
      </c>
      <c r="L187" s="36" t="inlineStr">
        <is>
          <t>Sent</t>
        </is>
      </c>
      <c r="M187" s="33" t="inlineStr">
        <is>
          <t>Etsy</t>
        </is>
      </c>
      <c r="N187" s="22">
        <f>IF(OR(H187="",L187="Cancelled"),"",IF(N(E187)=0,1,E187)*IFERROR(INDEX(Products!$E$6:$E$105,MATCH(D187,Products!$B$6:$B$105,0)),0))</f>
        <v/>
      </c>
      <c r="O187" s="35" t="n">
        <v>7.19</v>
      </c>
      <c r="P187" s="22">
        <f>IF(OR(H187="",L187="Cancelled"),"",ROUND(IFERROR(H187*INDEX(Settings!$C$6:$C$15,MATCH(M187,Settings!$B$6:$B$15,0))+INDEX(Settings!$D$6:$D$15,MATCH(M187,Settings!$B$6:$B$15,0)),0),2))</f>
        <v/>
      </c>
      <c r="Q187" s="28">
        <f>IF(OR(H187="",L187="Cancelled"),"",H187-N(N187)-N(O187)-N(P187))</f>
        <v/>
      </c>
      <c r="R187" s="19">
        <f>IF(OR(B187="",K187=""),"",IF(OR(L187="Sent",L187="Picked up"),"Done",IF(L187="Cancelled","Cancelled",IF(K187&lt;TODAY(),"Late by "&amp;(TODAY()-K187)&amp;IF((TODAY()-K187)=1," day"," days"),IF(K187=TODAY(),"Due today","Due in "&amp;(K187-TODAY())&amp;IF((K187-TODAY())=1," day"," days"))))))</f>
        <v/>
      </c>
      <c r="S187" s="33" t="inlineStr">
        <is>
          <t>Custom label</t>
        </is>
      </c>
      <c r="T187" s="1">
        <f>IF(AND(B187&lt;&gt;"",K187&lt;&gt;"",L187&lt;&gt;"Sent",L187&lt;&gt;"Picked up",L187&lt;&gt;"Cancelled"),K187+ROW()/10000000,"")</f>
        <v/>
      </c>
      <c r="U187">
        <f>IF(OR(B187="",C187=""),"",B187+ROW()/10000000)</f>
        <v/>
      </c>
      <c r="V187">
        <f>IF(U187="","",IF(COUNTIFS(Orders!$C$6:$C$1005,C187,Orders!$U$6:$U$1005,"&gt;"&amp;U187)=0,1,0))</f>
        <v/>
      </c>
      <c r="W187">
        <f>IF(AND(B187&lt;&gt;"",K187&lt;&gt;"",L187&lt;&gt;"Sent",L187&lt;&gt;"Picked up",L187&lt;&gt;"Cancelled"),IF(N(E187)=0,1,E187),0)</f>
        <v/>
      </c>
      <c r="X187">
        <f>IF(OR(B187="",D187=""),"",IF(N(E187)=0,1,E187))</f>
        <v/>
      </c>
    </row>
    <row r="188">
      <c r="A188" s="1" t="n"/>
      <c r="B188" s="31" t="n">
        <v>46221</v>
      </c>
      <c r="C188" s="32" t="inlineStr">
        <is>
          <t>Leah Morgan</t>
        </is>
      </c>
      <c r="D188" s="33" t="inlineStr">
        <is>
          <t>Wax melts, 6 pack</t>
        </is>
      </c>
      <c r="E188" s="34" t="n">
        <v>2</v>
      </c>
      <c r="F188" s="35" t="n"/>
      <c r="G188" s="35" t="n"/>
      <c r="H188" s="30">
        <f>IF(OR(B188="",D188=""),"",IF(N(E188)=0,1,E188)*IFERROR(INDEX(Products!$C$6:$C$105,MATCH(D188,Products!$B$6:$B$105,0)),0)+N(F188)+N(G188))</f>
        <v/>
      </c>
      <c r="I188" s="35" t="n">
        <v>18</v>
      </c>
      <c r="J188" s="30">
        <f>IF(OR(H188="",L188="Cancelled"),"",IF(H188-N(I188)&gt;0.005,H188-N(I188),""))</f>
        <v/>
      </c>
      <c r="K188" s="31" t="n">
        <v>46226</v>
      </c>
      <c r="L188" s="36" t="inlineStr">
        <is>
          <t>Picked up</t>
        </is>
      </c>
      <c r="M188" s="33" t="inlineStr">
        <is>
          <t>Friends and family</t>
        </is>
      </c>
      <c r="N188" s="22">
        <f>IF(OR(H188="",L188="Cancelled"),"",IF(N(E188)=0,1,E188)*IFERROR(INDEX(Products!$E$6:$E$105,MATCH(D188,Products!$B$6:$B$105,0)),0))</f>
        <v/>
      </c>
      <c r="O188" s="35" t="n"/>
      <c r="P188" s="22">
        <f>IF(OR(H188="",L188="Cancelled"),"",ROUND(IFERROR(H188*INDEX(Settings!$C$6:$C$15,MATCH(M188,Settings!$B$6:$B$15,0))+INDEX(Settings!$D$6:$D$15,MATCH(M188,Settings!$B$6:$B$15,0)),0),2))</f>
        <v/>
      </c>
      <c r="Q188" s="28">
        <f>IF(OR(H188="",L188="Cancelled"),"",H188-N(N188)-N(O188)-N(P188))</f>
        <v/>
      </c>
      <c r="R188" s="19">
        <f>IF(OR(B188="",K188=""),"",IF(OR(L188="Sent",L188="Picked up"),"Done",IF(L188="Cancelled","Cancelled",IF(K188&lt;TODAY(),"Late by "&amp;(TODAY()-K188)&amp;IF((TODAY()-K188)=1," day"," days"),IF(K188=TODAY(),"Due today","Due in "&amp;(K188-TODAY())&amp;IF((K188-TODAY())=1," day"," days"))))))</f>
        <v/>
      </c>
      <c r="S188" s="33" t="n"/>
      <c r="T188" s="1">
        <f>IF(AND(B188&lt;&gt;"",K188&lt;&gt;"",L188&lt;&gt;"Sent",L188&lt;&gt;"Picked up",L188&lt;&gt;"Cancelled"),K188+ROW()/10000000,"")</f>
        <v/>
      </c>
      <c r="U188">
        <f>IF(OR(B188="",C188=""),"",B188+ROW()/10000000)</f>
        <v/>
      </c>
      <c r="V188">
        <f>IF(U188="","",IF(COUNTIFS(Orders!$C$6:$C$1005,C188,Orders!$U$6:$U$1005,"&gt;"&amp;U188)=0,1,0))</f>
        <v/>
      </c>
      <c r="W188">
        <f>IF(AND(B188&lt;&gt;"",K188&lt;&gt;"",L188&lt;&gt;"Sent",L188&lt;&gt;"Picked up",L188&lt;&gt;"Cancelled"),IF(N(E188)=0,1,E188),0)</f>
        <v/>
      </c>
      <c r="X188">
        <f>IF(OR(B188="",D188=""),"",IF(N(E188)=0,1,E188))</f>
        <v/>
      </c>
    </row>
    <row r="189">
      <c r="A189" s="1" t="n"/>
      <c r="B189" s="31" t="n">
        <v>46221</v>
      </c>
      <c r="C189" s="32" t="inlineStr">
        <is>
          <t>Lily Murphy</t>
        </is>
      </c>
      <c r="D189" s="33" t="inlineStr">
        <is>
          <t>Soy candle 8 oz</t>
        </is>
      </c>
      <c r="E189" s="34" t="n">
        <v>1</v>
      </c>
      <c r="F189" s="35" t="n"/>
      <c r="G189" s="35" t="n">
        <v>6.95</v>
      </c>
      <c r="H189" s="30">
        <f>IF(OR(B189="",D189=""),"",IF(N(E189)=0,1,E189)*IFERROR(INDEX(Products!$C$6:$C$105,MATCH(D189,Products!$B$6:$B$105,0)),0)+N(F189)+N(G189))</f>
        <v/>
      </c>
      <c r="I189" s="35" t="n">
        <v>28.95</v>
      </c>
      <c r="J189" s="30">
        <f>IF(OR(H189="",L189="Cancelled"),"",IF(H189-N(I189)&gt;0.005,H189-N(I189),""))</f>
        <v/>
      </c>
      <c r="K189" s="31" t="n">
        <v>46225</v>
      </c>
      <c r="L189" s="36" t="inlineStr">
        <is>
          <t>Sent</t>
        </is>
      </c>
      <c r="M189" s="33" t="inlineStr">
        <is>
          <t>Etsy</t>
        </is>
      </c>
      <c r="N189" s="22">
        <f>IF(OR(H189="",L189="Cancelled"),"",IF(N(E189)=0,1,E189)*IFERROR(INDEX(Products!$E$6:$E$105,MATCH(D189,Products!$B$6:$B$105,0)),0))</f>
        <v/>
      </c>
      <c r="O189" s="35" t="n">
        <v>5.91</v>
      </c>
      <c r="P189" s="22">
        <f>IF(OR(H189="",L189="Cancelled"),"",ROUND(IFERROR(H189*INDEX(Settings!$C$6:$C$15,MATCH(M189,Settings!$B$6:$B$15,0))+INDEX(Settings!$D$6:$D$15,MATCH(M189,Settings!$B$6:$B$15,0)),0),2))</f>
        <v/>
      </c>
      <c r="Q189" s="28">
        <f>IF(OR(H189="",L189="Cancelled"),"",H189-N(N189)-N(O189)-N(P189))</f>
        <v/>
      </c>
      <c r="R189" s="19">
        <f>IF(OR(B189="",K189=""),"",IF(OR(L189="Sent",L189="Picked up"),"Done",IF(L189="Cancelled","Cancelled",IF(K189&lt;TODAY(),"Late by "&amp;(TODAY()-K189)&amp;IF((TODAY()-K189)=1," day"," days"),IF(K189=TODAY(),"Due today","Due in "&amp;(K189-TODAY())&amp;IF((K189-TODAY())=1," day"," days"))))))</f>
        <v/>
      </c>
      <c r="S189" s="33" t="n"/>
      <c r="T189" s="1">
        <f>IF(AND(B189&lt;&gt;"",K189&lt;&gt;"",L189&lt;&gt;"Sent",L189&lt;&gt;"Picked up",L189&lt;&gt;"Cancelled"),K189+ROW()/10000000,"")</f>
        <v/>
      </c>
      <c r="U189">
        <f>IF(OR(B189="",C189=""),"",B189+ROW()/10000000)</f>
        <v/>
      </c>
      <c r="V189">
        <f>IF(U189="","",IF(COUNTIFS(Orders!$C$6:$C$1005,C189,Orders!$U$6:$U$1005,"&gt;"&amp;U189)=0,1,0))</f>
        <v/>
      </c>
      <c r="W189">
        <f>IF(AND(B189&lt;&gt;"",K189&lt;&gt;"",L189&lt;&gt;"Sent",L189&lt;&gt;"Picked up",L189&lt;&gt;"Cancelled"),IF(N(E189)=0,1,E189),0)</f>
        <v/>
      </c>
      <c r="X189">
        <f>IF(OR(B189="",D189=""),"",IF(N(E189)=0,1,E189))</f>
        <v/>
      </c>
    </row>
    <row r="190">
      <c r="A190" s="1" t="n"/>
      <c r="B190" s="31" t="n">
        <v>46224</v>
      </c>
      <c r="C190" s="32" t="inlineStr">
        <is>
          <t>Ian Hughes</t>
        </is>
      </c>
      <c r="D190" s="33" t="inlineStr">
        <is>
          <t>Soy candle 8 oz</t>
        </is>
      </c>
      <c r="E190" s="34" t="n">
        <v>4</v>
      </c>
      <c r="F190" s="35" t="n"/>
      <c r="G190" s="35" t="n">
        <v>6.95</v>
      </c>
      <c r="H190" s="30">
        <f>IF(OR(B190="",D190=""),"",IF(N(E190)=0,1,E190)*IFERROR(INDEX(Products!$C$6:$C$105,MATCH(D190,Products!$B$6:$B$105,0)),0)+N(F190)+N(G190))</f>
        <v/>
      </c>
      <c r="I190" s="35" t="n">
        <v>94.95</v>
      </c>
      <c r="J190" s="30">
        <f>IF(OR(H190="",L190="Cancelled"),"",IF(H190-N(I190)&gt;0.005,H190-N(I190),""))</f>
        <v/>
      </c>
      <c r="K190" s="31" t="n">
        <v>46228</v>
      </c>
      <c r="L190" s="36" t="inlineStr">
        <is>
          <t>Sent</t>
        </is>
      </c>
      <c r="M190" s="33" t="inlineStr">
        <is>
          <t>Etsy</t>
        </is>
      </c>
      <c r="N190" s="22">
        <f>IF(OR(H190="",L190="Cancelled"),"",IF(N(E190)=0,1,E190)*IFERROR(INDEX(Products!$E$6:$E$105,MATCH(D190,Products!$B$6:$B$105,0)),0))</f>
        <v/>
      </c>
      <c r="O190" s="35" t="n">
        <v>6.75</v>
      </c>
      <c r="P190" s="22">
        <f>IF(OR(H190="",L190="Cancelled"),"",ROUND(IFERROR(H190*INDEX(Settings!$C$6:$C$15,MATCH(M190,Settings!$B$6:$B$15,0))+INDEX(Settings!$D$6:$D$15,MATCH(M190,Settings!$B$6:$B$15,0)),0),2))</f>
        <v/>
      </c>
      <c r="Q190" s="28">
        <f>IF(OR(H190="",L190="Cancelled"),"",H190-N(N190)-N(O190)-N(P190))</f>
        <v/>
      </c>
      <c r="R190" s="19">
        <f>IF(OR(B190="",K190=""),"",IF(OR(L190="Sent",L190="Picked up"),"Done",IF(L190="Cancelled","Cancelled",IF(K190&lt;TODAY(),"Late by "&amp;(TODAY()-K190)&amp;IF((TODAY()-K190)=1," day"," days"),IF(K190=TODAY(),"Due today","Due in "&amp;(K190-TODAY())&amp;IF((K190-TODAY())=1," day"," days"))))))</f>
        <v/>
      </c>
      <c r="S190" s="33" t="n"/>
      <c r="T190" s="1">
        <f>IF(AND(B190&lt;&gt;"",K190&lt;&gt;"",L190&lt;&gt;"Sent",L190&lt;&gt;"Picked up",L190&lt;&gt;"Cancelled"),K190+ROW()/10000000,"")</f>
        <v/>
      </c>
      <c r="U190">
        <f>IF(OR(B190="",C190=""),"",B190+ROW()/10000000)</f>
        <v/>
      </c>
      <c r="V190">
        <f>IF(U190="","",IF(COUNTIFS(Orders!$C$6:$C$1005,C190,Orders!$U$6:$U$1005,"&gt;"&amp;U190)=0,1,0))</f>
        <v/>
      </c>
      <c r="W190">
        <f>IF(AND(B190&lt;&gt;"",K190&lt;&gt;"",L190&lt;&gt;"Sent",L190&lt;&gt;"Picked up",L190&lt;&gt;"Cancelled"),IF(N(E190)=0,1,E190),0)</f>
        <v/>
      </c>
      <c r="X190">
        <f>IF(OR(B190="",D190=""),"",IF(N(E190)=0,1,E190))</f>
        <v/>
      </c>
    </row>
    <row r="191">
      <c r="A191" s="1" t="n"/>
      <c r="B191" s="31" t="n">
        <v>46224</v>
      </c>
      <c r="C191" s="32" t="inlineStr">
        <is>
          <t>Iris Hall</t>
        </is>
      </c>
      <c r="D191" s="33" t="inlineStr">
        <is>
          <t>Soy candle 8 oz</t>
        </is>
      </c>
      <c r="E191" s="34" t="n">
        <v>1</v>
      </c>
      <c r="F191" s="35" t="n"/>
      <c r="G191" s="35" t="n">
        <v>6.95</v>
      </c>
      <c r="H191" s="30">
        <f>IF(OR(B191="",D191=""),"",IF(N(E191)=0,1,E191)*IFERROR(INDEX(Products!$C$6:$C$105,MATCH(D191,Products!$B$6:$B$105,0)),0)+N(F191)+N(G191))</f>
        <v/>
      </c>
      <c r="I191" s="35" t="n">
        <v>28.95</v>
      </c>
      <c r="J191" s="30">
        <f>IF(OR(H191="",L191="Cancelled"),"",IF(H191-N(I191)&gt;0.005,H191-N(I191),""))</f>
        <v/>
      </c>
      <c r="K191" s="31" t="n">
        <v>46231</v>
      </c>
      <c r="L191" s="36" t="inlineStr">
        <is>
          <t>Sent</t>
        </is>
      </c>
      <c r="M191" s="33" t="inlineStr">
        <is>
          <t>Etsy</t>
        </is>
      </c>
      <c r="N191" s="22">
        <f>IF(OR(H191="",L191="Cancelled"),"",IF(N(E191)=0,1,E191)*IFERROR(INDEX(Products!$E$6:$E$105,MATCH(D191,Products!$B$6:$B$105,0)),0))</f>
        <v/>
      </c>
      <c r="O191" s="35" t="n">
        <v>6.03</v>
      </c>
      <c r="P191" s="22">
        <f>IF(OR(H191="",L191="Cancelled"),"",ROUND(IFERROR(H191*INDEX(Settings!$C$6:$C$15,MATCH(M191,Settings!$B$6:$B$15,0))+INDEX(Settings!$D$6:$D$15,MATCH(M191,Settings!$B$6:$B$15,0)),0),2))</f>
        <v/>
      </c>
      <c r="Q191" s="28">
        <f>IF(OR(H191="",L191="Cancelled"),"",H191-N(N191)-N(O191)-N(P191))</f>
        <v/>
      </c>
      <c r="R191" s="19">
        <f>IF(OR(B191="",K191=""),"",IF(OR(L191="Sent",L191="Picked up"),"Done",IF(L191="Cancelled","Cancelled",IF(K191&lt;TODAY(),"Late by "&amp;(TODAY()-K191)&amp;IF((TODAY()-K191)=1," day"," days"),IF(K191=TODAY(),"Due today","Due in "&amp;(K191-TODAY())&amp;IF((K191-TODAY())=1," day"," days"))))))</f>
        <v/>
      </c>
      <c r="S191" s="33" t="n"/>
      <c r="T191" s="1">
        <f>IF(AND(B191&lt;&gt;"",K191&lt;&gt;"",L191&lt;&gt;"Sent",L191&lt;&gt;"Picked up",L191&lt;&gt;"Cancelled"),K191+ROW()/10000000,"")</f>
        <v/>
      </c>
      <c r="U191">
        <f>IF(OR(B191="",C191=""),"",B191+ROW()/10000000)</f>
        <v/>
      </c>
      <c r="V191">
        <f>IF(U191="","",IF(COUNTIFS(Orders!$C$6:$C$1005,C191,Orders!$U$6:$U$1005,"&gt;"&amp;U191)=0,1,0))</f>
        <v/>
      </c>
      <c r="W191">
        <f>IF(AND(B191&lt;&gt;"",K191&lt;&gt;"",L191&lt;&gt;"Sent",L191&lt;&gt;"Picked up",L191&lt;&gt;"Cancelled"),IF(N(E191)=0,1,E191),0)</f>
        <v/>
      </c>
      <c r="X191">
        <f>IF(OR(B191="",D191=""),"",IF(N(E191)=0,1,E191))</f>
        <v/>
      </c>
    </row>
    <row r="192">
      <c r="A192" s="1" t="n"/>
      <c r="B192" s="31" t="n">
        <v>46225</v>
      </c>
      <c r="C192" s="32" t="inlineStr">
        <is>
          <t>Rita Price</t>
        </is>
      </c>
      <c r="D192" s="33" t="inlineStr">
        <is>
          <t>Wax melts, 6 pack</t>
        </is>
      </c>
      <c r="E192" s="34" t="n">
        <v>1</v>
      </c>
      <c r="F192" s="35" t="n"/>
      <c r="G192" s="35" t="n">
        <v>6.95</v>
      </c>
      <c r="H192" s="30">
        <f>IF(OR(B192="",D192=""),"",IF(N(E192)=0,1,E192)*IFERROR(INDEX(Products!$C$6:$C$105,MATCH(D192,Products!$B$6:$B$105,0)),0)+N(F192)+N(G192))</f>
        <v/>
      </c>
      <c r="I192" s="35" t="n">
        <v>15.95</v>
      </c>
      <c r="J192" s="30">
        <f>IF(OR(H192="",L192="Cancelled"),"",IF(H192-N(I192)&gt;0.005,H192-N(I192),""))</f>
        <v/>
      </c>
      <c r="K192" s="31" t="n">
        <v>46234</v>
      </c>
      <c r="L192" s="36" t="inlineStr">
        <is>
          <t>Sent</t>
        </is>
      </c>
      <c r="M192" s="33" t="inlineStr">
        <is>
          <t>Etsy</t>
        </is>
      </c>
      <c r="N192" s="22">
        <f>IF(OR(H192="",L192="Cancelled"),"",IF(N(E192)=0,1,E192)*IFERROR(INDEX(Products!$E$6:$E$105,MATCH(D192,Products!$B$6:$B$105,0)),0))</f>
        <v/>
      </c>
      <c r="O192" s="35" t="n">
        <v>5.91</v>
      </c>
      <c r="P192" s="22">
        <f>IF(OR(H192="",L192="Cancelled"),"",ROUND(IFERROR(H192*INDEX(Settings!$C$6:$C$15,MATCH(M192,Settings!$B$6:$B$15,0))+INDEX(Settings!$D$6:$D$15,MATCH(M192,Settings!$B$6:$B$15,0)),0),2))</f>
        <v/>
      </c>
      <c r="Q192" s="28">
        <f>IF(OR(H192="",L192="Cancelled"),"",H192-N(N192)-N(O192)-N(P192))</f>
        <v/>
      </c>
      <c r="R192" s="19">
        <f>IF(OR(B192="",K192=""),"",IF(OR(L192="Sent",L192="Picked up"),"Done",IF(L192="Cancelled","Cancelled",IF(K192&lt;TODAY(),"Late by "&amp;(TODAY()-K192)&amp;IF((TODAY()-K192)=1," day"," days"),IF(K192=TODAY(),"Due today","Due in "&amp;(K192-TODAY())&amp;IF((K192-TODAY())=1," day"," days"))))))</f>
        <v/>
      </c>
      <c r="S192" s="33" t="n"/>
      <c r="T192" s="1">
        <f>IF(AND(B192&lt;&gt;"",K192&lt;&gt;"",L192&lt;&gt;"Sent",L192&lt;&gt;"Picked up",L192&lt;&gt;"Cancelled"),K192+ROW()/10000000,"")</f>
        <v/>
      </c>
      <c r="U192">
        <f>IF(OR(B192="",C192=""),"",B192+ROW()/10000000)</f>
        <v/>
      </c>
      <c r="V192">
        <f>IF(U192="","",IF(COUNTIFS(Orders!$C$6:$C$1005,C192,Orders!$U$6:$U$1005,"&gt;"&amp;U192)=0,1,0))</f>
        <v/>
      </c>
      <c r="W192">
        <f>IF(AND(B192&lt;&gt;"",K192&lt;&gt;"",L192&lt;&gt;"Sent",L192&lt;&gt;"Picked up",L192&lt;&gt;"Cancelled"),IF(N(E192)=0,1,E192),0)</f>
        <v/>
      </c>
      <c r="X192">
        <f>IF(OR(B192="",D192=""),"",IF(N(E192)=0,1,E192))</f>
        <v/>
      </c>
    </row>
    <row r="193">
      <c r="A193" s="1" t="n"/>
      <c r="B193" s="31" t="n">
        <v>46226</v>
      </c>
      <c r="C193" s="32" t="inlineStr">
        <is>
          <t>Dina Cole</t>
        </is>
      </c>
      <c r="D193" s="33" t="inlineStr">
        <is>
          <t>Soy candle 16 oz</t>
        </is>
      </c>
      <c r="E193" s="34" t="n">
        <v>2</v>
      </c>
      <c r="F193" s="35" t="n">
        <v>10</v>
      </c>
      <c r="G193" s="35" t="n">
        <v>6.95</v>
      </c>
      <c r="H193" s="30">
        <f>IF(OR(B193="",D193=""),"",IF(N(E193)=0,1,E193)*IFERROR(INDEX(Products!$C$6:$C$105,MATCH(D193,Products!$B$6:$B$105,0)),0)+N(F193)+N(G193))</f>
        <v/>
      </c>
      <c r="I193" s="35" t="n">
        <v>84.95</v>
      </c>
      <c r="J193" s="30">
        <f>IF(OR(H193="",L193="Cancelled"),"",IF(H193-N(I193)&gt;0.005,H193-N(I193),""))</f>
        <v/>
      </c>
      <c r="K193" s="31" t="n">
        <v>46237</v>
      </c>
      <c r="L193" s="36" t="inlineStr">
        <is>
          <t>Sent</t>
        </is>
      </c>
      <c r="M193" s="33" t="inlineStr">
        <is>
          <t>Etsy</t>
        </is>
      </c>
      <c r="N193" s="22">
        <f>IF(OR(H193="",L193="Cancelled"),"",IF(N(E193)=0,1,E193)*IFERROR(INDEX(Products!$E$6:$E$105,MATCH(D193,Products!$B$6:$B$105,0)),0))</f>
        <v/>
      </c>
      <c r="O193" s="35" t="n">
        <v>7.53</v>
      </c>
      <c r="P193" s="22">
        <f>IF(OR(H193="",L193="Cancelled"),"",ROUND(IFERROR(H193*INDEX(Settings!$C$6:$C$15,MATCH(M193,Settings!$B$6:$B$15,0))+INDEX(Settings!$D$6:$D$15,MATCH(M193,Settings!$B$6:$B$15,0)),0),2))</f>
        <v/>
      </c>
      <c r="Q193" s="28">
        <f>IF(OR(H193="",L193="Cancelled"),"",H193-N(N193)-N(O193)-N(P193))</f>
        <v/>
      </c>
      <c r="R193" s="19">
        <f>IF(OR(B193="",K193=""),"",IF(OR(L193="Sent",L193="Picked up"),"Done",IF(L193="Cancelled","Cancelled",IF(K193&lt;TODAY(),"Late by "&amp;(TODAY()-K193)&amp;IF((TODAY()-K193)=1," day"," days"),IF(K193=TODAY(),"Due today","Due in "&amp;(K193-TODAY())&amp;IF((K193-TODAY())=1," day"," days"))))))</f>
        <v/>
      </c>
      <c r="S193" s="33" t="inlineStr">
        <is>
          <t>Custom label</t>
        </is>
      </c>
      <c r="T193" s="1">
        <f>IF(AND(B193&lt;&gt;"",K193&lt;&gt;"",L193&lt;&gt;"Sent",L193&lt;&gt;"Picked up",L193&lt;&gt;"Cancelled"),K193+ROW()/10000000,"")</f>
        <v/>
      </c>
      <c r="U193">
        <f>IF(OR(B193="",C193=""),"",B193+ROW()/10000000)</f>
        <v/>
      </c>
      <c r="V193">
        <f>IF(U193="","",IF(COUNTIFS(Orders!$C$6:$C$1005,C193,Orders!$U$6:$U$1005,"&gt;"&amp;U193)=0,1,0))</f>
        <v/>
      </c>
      <c r="W193">
        <f>IF(AND(B193&lt;&gt;"",K193&lt;&gt;"",L193&lt;&gt;"Sent",L193&lt;&gt;"Picked up",L193&lt;&gt;"Cancelled"),IF(N(E193)=0,1,E193),0)</f>
        <v/>
      </c>
      <c r="X193">
        <f>IF(OR(B193="",D193=""),"",IF(N(E193)=0,1,E193))</f>
        <v/>
      </c>
    </row>
    <row r="194">
      <c r="A194" s="1" t="n"/>
      <c r="B194" s="31" t="n">
        <v>46227</v>
      </c>
      <c r="C194" s="32" t="inlineStr">
        <is>
          <t>Dina Cole</t>
        </is>
      </c>
      <c r="D194" s="33" t="inlineStr">
        <is>
          <t>Soy candle 8 oz</t>
        </is>
      </c>
      <c r="E194" s="34" t="n">
        <v>2</v>
      </c>
      <c r="F194" s="35" t="n">
        <v>10</v>
      </c>
      <c r="G194" s="35" t="n"/>
      <c r="H194" s="30">
        <f>IF(OR(B194="",D194=""),"",IF(N(E194)=0,1,E194)*IFERROR(INDEX(Products!$C$6:$C$105,MATCH(D194,Products!$B$6:$B$105,0)),0)+N(F194)+N(G194))</f>
        <v/>
      </c>
      <c r="I194" s="35" t="n">
        <v>54</v>
      </c>
      <c r="J194" s="30">
        <f>IF(OR(H194="",L194="Cancelled"),"",IF(H194-N(I194)&gt;0.005,H194-N(I194),""))</f>
        <v/>
      </c>
      <c r="K194" s="31" t="n">
        <v>46237</v>
      </c>
      <c r="L194" s="36" t="inlineStr">
        <is>
          <t>Picked up</t>
        </is>
      </c>
      <c r="M194" s="33" t="inlineStr">
        <is>
          <t>Friends and family</t>
        </is>
      </c>
      <c r="N194" s="22">
        <f>IF(OR(H194="",L194="Cancelled"),"",IF(N(E194)=0,1,E194)*IFERROR(INDEX(Products!$E$6:$E$105,MATCH(D194,Products!$B$6:$B$105,0)),0))</f>
        <v/>
      </c>
      <c r="O194" s="35" t="n"/>
      <c r="P194" s="22">
        <f>IF(OR(H194="",L194="Cancelled"),"",ROUND(IFERROR(H194*INDEX(Settings!$C$6:$C$15,MATCH(M194,Settings!$B$6:$B$15,0))+INDEX(Settings!$D$6:$D$15,MATCH(M194,Settings!$B$6:$B$15,0)),0),2))</f>
        <v/>
      </c>
      <c r="Q194" s="28">
        <f>IF(OR(H194="",L194="Cancelled"),"",H194-N(N194)-N(O194)-N(P194))</f>
        <v/>
      </c>
      <c r="R194" s="19">
        <f>IF(OR(B194="",K194=""),"",IF(OR(L194="Sent",L194="Picked up"),"Done",IF(L194="Cancelled","Cancelled",IF(K194&lt;TODAY(),"Late by "&amp;(TODAY()-K194)&amp;IF((TODAY()-K194)=1," day"," days"),IF(K194=TODAY(),"Due today","Due in "&amp;(K194-TODAY())&amp;IF((K194-TODAY())=1," day"," days"))))))</f>
        <v/>
      </c>
      <c r="S194" s="33" t="inlineStr">
        <is>
          <t>Custom label</t>
        </is>
      </c>
      <c r="T194" s="1">
        <f>IF(AND(B194&lt;&gt;"",K194&lt;&gt;"",L194&lt;&gt;"Sent",L194&lt;&gt;"Picked up",L194&lt;&gt;"Cancelled"),K194+ROW()/10000000,"")</f>
        <v/>
      </c>
      <c r="U194">
        <f>IF(OR(B194="",C194=""),"",B194+ROW()/10000000)</f>
        <v/>
      </c>
      <c r="V194">
        <f>IF(U194="","",IF(COUNTIFS(Orders!$C$6:$C$1005,C194,Orders!$U$6:$U$1005,"&gt;"&amp;U194)=0,1,0))</f>
        <v/>
      </c>
      <c r="W194">
        <f>IF(AND(B194&lt;&gt;"",K194&lt;&gt;"",L194&lt;&gt;"Sent",L194&lt;&gt;"Picked up",L194&lt;&gt;"Cancelled"),IF(N(E194)=0,1,E194),0)</f>
        <v/>
      </c>
      <c r="X194">
        <f>IF(OR(B194="",D194=""),"",IF(N(E194)=0,1,E194))</f>
        <v/>
      </c>
    </row>
    <row r="195">
      <c r="A195" s="1" t="n"/>
      <c r="B195" s="31" t="n">
        <v>46228</v>
      </c>
      <c r="C195" s="32" t="inlineStr">
        <is>
          <t>Jade Price</t>
        </is>
      </c>
      <c r="D195" s="33" t="inlineStr">
        <is>
          <t>Soap bar</t>
        </is>
      </c>
      <c r="E195" s="34" t="n">
        <v>1</v>
      </c>
      <c r="F195" s="35" t="n"/>
      <c r="G195" s="35" t="n"/>
      <c r="H195" s="30">
        <f>IF(OR(B195="",D195=""),"",IF(N(E195)=0,1,E195)*IFERROR(INDEX(Products!$C$6:$C$105,MATCH(D195,Products!$B$6:$B$105,0)),0)+N(F195)+N(G195))</f>
        <v/>
      </c>
      <c r="I195" s="35" t="n">
        <v>8</v>
      </c>
      <c r="J195" s="30">
        <f>IF(OR(H195="",L195="Cancelled"),"",IF(H195-N(I195)&gt;0.005,H195-N(I195),""))</f>
        <v/>
      </c>
      <c r="K195" s="31" t="n">
        <v>46232</v>
      </c>
      <c r="L195" s="36" t="inlineStr">
        <is>
          <t>Picked up</t>
        </is>
      </c>
      <c r="M195" s="33" t="inlineStr">
        <is>
          <t>Friends and family</t>
        </is>
      </c>
      <c r="N195" s="22">
        <f>IF(OR(H195="",L195="Cancelled"),"",IF(N(E195)=0,1,E195)*IFERROR(INDEX(Products!$E$6:$E$105,MATCH(D195,Products!$B$6:$B$105,0)),0))</f>
        <v/>
      </c>
      <c r="O195" s="35" t="n"/>
      <c r="P195" s="22">
        <f>IF(OR(H195="",L195="Cancelled"),"",ROUND(IFERROR(H195*INDEX(Settings!$C$6:$C$15,MATCH(M195,Settings!$B$6:$B$15,0))+INDEX(Settings!$D$6:$D$15,MATCH(M195,Settings!$B$6:$B$15,0)),0),2))</f>
        <v/>
      </c>
      <c r="Q195" s="28">
        <f>IF(OR(H195="",L195="Cancelled"),"",H195-N(N195)-N(O195)-N(P195))</f>
        <v/>
      </c>
      <c r="R195" s="19">
        <f>IF(OR(B195="",K195=""),"",IF(OR(L195="Sent",L195="Picked up"),"Done",IF(L195="Cancelled","Cancelled",IF(K195&lt;TODAY(),"Late by "&amp;(TODAY()-K195)&amp;IF((TODAY()-K195)=1," day"," days"),IF(K195=TODAY(),"Due today","Due in "&amp;(K195-TODAY())&amp;IF((K195-TODAY())=1," day"," days"))))))</f>
        <v/>
      </c>
      <c r="S195" s="33" t="n"/>
      <c r="T195" s="1">
        <f>IF(AND(B195&lt;&gt;"",K195&lt;&gt;"",L195&lt;&gt;"Sent",L195&lt;&gt;"Picked up",L195&lt;&gt;"Cancelled"),K195+ROW()/10000000,"")</f>
        <v/>
      </c>
      <c r="U195">
        <f>IF(OR(B195="",C195=""),"",B195+ROW()/10000000)</f>
        <v/>
      </c>
      <c r="V195">
        <f>IF(U195="","",IF(COUNTIFS(Orders!$C$6:$C$1005,C195,Orders!$U$6:$U$1005,"&gt;"&amp;U195)=0,1,0))</f>
        <v/>
      </c>
      <c r="W195">
        <f>IF(AND(B195&lt;&gt;"",K195&lt;&gt;"",L195&lt;&gt;"Sent",L195&lt;&gt;"Picked up",L195&lt;&gt;"Cancelled"),IF(N(E195)=0,1,E195),0)</f>
        <v/>
      </c>
      <c r="X195">
        <f>IF(OR(B195="",D195=""),"",IF(N(E195)=0,1,E195))</f>
        <v/>
      </c>
    </row>
    <row r="196">
      <c r="A196" s="1" t="n"/>
      <c r="B196" s="31" t="n">
        <v>46230</v>
      </c>
      <c r="C196" s="32" t="inlineStr">
        <is>
          <t>Paula Morgan</t>
        </is>
      </c>
      <c r="D196" s="33" t="inlineStr">
        <is>
          <t>Wedding favours, 10 tins</t>
        </is>
      </c>
      <c r="E196" s="34" t="n">
        <v>4</v>
      </c>
      <c r="F196" s="35" t="n"/>
      <c r="G196" s="35" t="n"/>
      <c r="H196" s="30">
        <f>IF(OR(B196="",D196=""),"",IF(N(E196)=0,1,E196)*IFERROR(INDEX(Products!$C$6:$C$105,MATCH(D196,Products!$B$6:$B$105,0)),0)+N(F196)+N(G196))</f>
        <v/>
      </c>
      <c r="I196" s="35" t="n">
        <v>240</v>
      </c>
      <c r="J196" s="30">
        <f>IF(OR(H196="",L196="Cancelled"),"",IF(H196-N(I196)&gt;0.005,H196-N(I196),""))</f>
        <v/>
      </c>
      <c r="K196" s="31" t="n">
        <v>46262</v>
      </c>
      <c r="L196" s="36" t="inlineStr">
        <is>
          <t>Picked up</t>
        </is>
      </c>
      <c r="M196" s="33" t="inlineStr">
        <is>
          <t>Friends and family</t>
        </is>
      </c>
      <c r="N196" s="22">
        <f>IF(OR(H196="",L196="Cancelled"),"",IF(N(E196)=0,1,E196)*IFERROR(INDEX(Products!$E$6:$E$105,MATCH(D196,Products!$B$6:$B$105,0)),0))</f>
        <v/>
      </c>
      <c r="O196" s="35" t="n"/>
      <c r="P196" s="22">
        <f>IF(OR(H196="",L196="Cancelled"),"",ROUND(IFERROR(H196*INDEX(Settings!$C$6:$C$15,MATCH(M196,Settings!$B$6:$B$15,0))+INDEX(Settings!$D$6:$D$15,MATCH(M196,Settings!$B$6:$B$15,0)),0),2))</f>
        <v/>
      </c>
      <c r="Q196" s="28">
        <f>IF(OR(H196="",L196="Cancelled"),"",H196-N(N196)-N(O196)-N(P196))</f>
        <v/>
      </c>
      <c r="R196" s="19">
        <f>IF(OR(B196="",K196=""),"",IF(OR(L196="Sent",L196="Picked up"),"Done",IF(L196="Cancelled","Cancelled",IF(K196&lt;TODAY(),"Late by "&amp;(TODAY()-K196)&amp;IF((TODAY()-K196)=1," day"," days"),IF(K196=TODAY(),"Due today","Due in "&amp;(K196-TODAY())&amp;IF((K196-TODAY())=1," day"," days"))))))</f>
        <v/>
      </c>
      <c r="S196" s="33" t="n"/>
      <c r="T196" s="1">
        <f>IF(AND(B196&lt;&gt;"",K196&lt;&gt;"",L196&lt;&gt;"Sent",L196&lt;&gt;"Picked up",L196&lt;&gt;"Cancelled"),K196+ROW()/10000000,"")</f>
        <v/>
      </c>
      <c r="U196">
        <f>IF(OR(B196="",C196=""),"",B196+ROW()/10000000)</f>
        <v/>
      </c>
      <c r="V196">
        <f>IF(U196="","",IF(COUNTIFS(Orders!$C$6:$C$1005,C196,Orders!$U$6:$U$1005,"&gt;"&amp;U196)=0,1,0))</f>
        <v/>
      </c>
      <c r="W196">
        <f>IF(AND(B196&lt;&gt;"",K196&lt;&gt;"",L196&lt;&gt;"Sent",L196&lt;&gt;"Picked up",L196&lt;&gt;"Cancelled"),IF(N(E196)=0,1,E196),0)</f>
        <v/>
      </c>
      <c r="X196">
        <f>IF(OR(B196="",D196=""),"",IF(N(E196)=0,1,E196))</f>
        <v/>
      </c>
    </row>
    <row r="197">
      <c r="A197" s="1" t="n"/>
      <c r="B197" s="31" t="n">
        <v>46231</v>
      </c>
      <c r="C197" s="32" t="inlineStr">
        <is>
          <t>Leah Morgan</t>
        </is>
      </c>
      <c r="D197" s="33" t="inlineStr">
        <is>
          <t>Soy candle 8 oz</t>
        </is>
      </c>
      <c r="E197" s="34" t="n">
        <v>2</v>
      </c>
      <c r="F197" s="35" t="n"/>
      <c r="G197" s="35" t="n">
        <v>6.95</v>
      </c>
      <c r="H197" s="30">
        <f>IF(OR(B197="",D197=""),"",IF(N(E197)=0,1,E197)*IFERROR(INDEX(Products!$C$6:$C$105,MATCH(D197,Products!$B$6:$B$105,0)),0)+N(F197)+N(G197))</f>
        <v/>
      </c>
      <c r="I197" s="35" t="n">
        <v>50.95</v>
      </c>
      <c r="J197" s="30">
        <f>IF(OR(H197="",L197="Cancelled"),"",IF(H197-N(I197)&gt;0.005,H197-N(I197),""))</f>
        <v/>
      </c>
      <c r="K197" s="31" t="n">
        <v>46239</v>
      </c>
      <c r="L197" s="36" t="inlineStr">
        <is>
          <t>Sent</t>
        </is>
      </c>
      <c r="M197" s="33" t="inlineStr">
        <is>
          <t>Etsy</t>
        </is>
      </c>
      <c r="N197" s="22">
        <f>IF(OR(H197="",L197="Cancelled"),"",IF(N(E197)=0,1,E197)*IFERROR(INDEX(Products!$E$6:$E$105,MATCH(D197,Products!$B$6:$B$105,0)),0))</f>
        <v/>
      </c>
      <c r="O197" s="35" t="n">
        <v>6.41</v>
      </c>
      <c r="P197" s="22">
        <f>IF(OR(H197="",L197="Cancelled"),"",ROUND(IFERROR(H197*INDEX(Settings!$C$6:$C$15,MATCH(M197,Settings!$B$6:$B$15,0))+INDEX(Settings!$D$6:$D$15,MATCH(M197,Settings!$B$6:$B$15,0)),0),2))</f>
        <v/>
      </c>
      <c r="Q197" s="28">
        <f>IF(OR(H197="",L197="Cancelled"),"",H197-N(N197)-N(O197)-N(P197))</f>
        <v/>
      </c>
      <c r="R197" s="19">
        <f>IF(OR(B197="",K197=""),"",IF(OR(L197="Sent",L197="Picked up"),"Done",IF(L197="Cancelled","Cancelled",IF(K197&lt;TODAY(),"Late by "&amp;(TODAY()-K197)&amp;IF((TODAY()-K197)=1," day"," days"),IF(K197=TODAY(),"Due today","Due in "&amp;(K197-TODAY())&amp;IF((K197-TODAY())=1," day"," days"))))))</f>
        <v/>
      </c>
      <c r="S197" s="33" t="n"/>
      <c r="T197" s="1">
        <f>IF(AND(B197&lt;&gt;"",K197&lt;&gt;"",L197&lt;&gt;"Sent",L197&lt;&gt;"Picked up",L197&lt;&gt;"Cancelled"),K197+ROW()/10000000,"")</f>
        <v/>
      </c>
      <c r="U197">
        <f>IF(OR(B197="",C197=""),"",B197+ROW()/10000000)</f>
        <v/>
      </c>
      <c r="V197">
        <f>IF(U197="","",IF(COUNTIFS(Orders!$C$6:$C$1005,C197,Orders!$U$6:$U$1005,"&gt;"&amp;U197)=0,1,0))</f>
        <v/>
      </c>
      <c r="W197">
        <f>IF(AND(B197&lt;&gt;"",K197&lt;&gt;"",L197&lt;&gt;"Sent",L197&lt;&gt;"Picked up",L197&lt;&gt;"Cancelled"),IF(N(E197)=0,1,E197),0)</f>
        <v/>
      </c>
      <c r="X197">
        <f>IF(OR(B197="",D197=""),"",IF(N(E197)=0,1,E197))</f>
        <v/>
      </c>
    </row>
    <row r="198">
      <c r="A198" s="1" t="n"/>
      <c r="B198" s="31" t="n">
        <v>46232</v>
      </c>
      <c r="C198" s="32" t="inlineStr">
        <is>
          <t>Adam King</t>
        </is>
      </c>
      <c r="D198" s="33" t="inlineStr">
        <is>
          <t>Wedding favours, 10 tins</t>
        </is>
      </c>
      <c r="E198" s="34" t="n">
        <v>8</v>
      </c>
      <c r="F198" s="35" t="n"/>
      <c r="G198" s="35" t="n">
        <v>6.95</v>
      </c>
      <c r="H198" s="30">
        <f>IF(OR(B198="",D198=""),"",IF(N(E198)=0,1,E198)*IFERROR(INDEX(Products!$C$6:$C$105,MATCH(D198,Products!$B$6:$B$105,0)),0)+N(F198)+N(G198))</f>
        <v/>
      </c>
      <c r="I198" s="35" t="n">
        <v>486.95</v>
      </c>
      <c r="J198" s="30">
        <f>IF(OR(H198="",L198="Cancelled"),"",IF(H198-N(I198)&gt;0.005,H198-N(I198),""))</f>
        <v/>
      </c>
      <c r="K198" s="31" t="n">
        <v>46272</v>
      </c>
      <c r="L198" s="36" t="inlineStr">
        <is>
          <t>Sent</t>
        </is>
      </c>
      <c r="M198" s="33" t="inlineStr">
        <is>
          <t>Etsy</t>
        </is>
      </c>
      <c r="N198" s="22">
        <f>IF(OR(H198="",L198="Cancelled"),"",IF(N(E198)=0,1,E198)*IFERROR(INDEX(Products!$E$6:$E$105,MATCH(D198,Products!$B$6:$B$105,0)),0))</f>
        <v/>
      </c>
      <c r="O198" s="35" t="n">
        <v>5.27</v>
      </c>
      <c r="P198" s="22">
        <f>IF(OR(H198="",L198="Cancelled"),"",ROUND(IFERROR(H198*INDEX(Settings!$C$6:$C$15,MATCH(M198,Settings!$B$6:$B$15,0))+INDEX(Settings!$D$6:$D$15,MATCH(M198,Settings!$B$6:$B$15,0)),0),2))</f>
        <v/>
      </c>
      <c r="Q198" s="28">
        <f>IF(OR(H198="",L198="Cancelled"),"",H198-N(N198)-N(O198)-N(P198))</f>
        <v/>
      </c>
      <c r="R198" s="19">
        <f>IF(OR(B198="",K198=""),"",IF(OR(L198="Sent",L198="Picked up"),"Done",IF(L198="Cancelled","Cancelled",IF(K198&lt;TODAY(),"Late by "&amp;(TODAY()-K198)&amp;IF((TODAY()-K198)=1," day"," days"),IF(K198=TODAY(),"Due today","Due in "&amp;(K198-TODAY())&amp;IF((K198-TODAY())=1," day"," days"))))))</f>
        <v/>
      </c>
      <c r="S198" s="33" t="n"/>
      <c r="T198" s="1">
        <f>IF(AND(B198&lt;&gt;"",K198&lt;&gt;"",L198&lt;&gt;"Sent",L198&lt;&gt;"Picked up",L198&lt;&gt;"Cancelled"),K198+ROW()/10000000,"")</f>
        <v/>
      </c>
      <c r="U198">
        <f>IF(OR(B198="",C198=""),"",B198+ROW()/10000000)</f>
        <v/>
      </c>
      <c r="V198">
        <f>IF(U198="","",IF(COUNTIFS(Orders!$C$6:$C$1005,C198,Orders!$U$6:$U$1005,"&gt;"&amp;U198)=0,1,0))</f>
        <v/>
      </c>
      <c r="W198">
        <f>IF(AND(B198&lt;&gt;"",K198&lt;&gt;"",L198&lt;&gt;"Sent",L198&lt;&gt;"Picked up",L198&lt;&gt;"Cancelled"),IF(N(E198)=0,1,E198),0)</f>
        <v/>
      </c>
      <c r="X198">
        <f>IF(OR(B198="",D198=""),"",IF(N(E198)=0,1,E198))</f>
        <v/>
      </c>
    </row>
    <row r="199">
      <c r="A199" s="1" t="n"/>
      <c r="B199" s="31" t="n">
        <v>46233</v>
      </c>
      <c r="C199" s="32" t="inlineStr">
        <is>
          <t>Jon Reed</t>
        </is>
      </c>
      <c r="D199" s="33" t="inlineStr">
        <is>
          <t>Soy candle 8 oz</t>
        </is>
      </c>
      <c r="E199" s="34" t="n">
        <v>2</v>
      </c>
      <c r="F199" s="35" t="n"/>
      <c r="G199" s="35" t="n">
        <v>6.95</v>
      </c>
      <c r="H199" s="30">
        <f>IF(OR(B199="",D199=""),"",IF(N(E199)=0,1,E199)*IFERROR(INDEX(Products!$C$6:$C$105,MATCH(D199,Products!$B$6:$B$105,0)),0)+N(F199)+N(G199))</f>
        <v/>
      </c>
      <c r="I199" s="35" t="n">
        <v>50.95</v>
      </c>
      <c r="J199" s="30">
        <f>IF(OR(H199="",L199="Cancelled"),"",IF(H199-N(I199)&gt;0.005,H199-N(I199),""))</f>
        <v/>
      </c>
      <c r="K199" s="31" t="n">
        <v>46243</v>
      </c>
      <c r="L199" s="36" t="inlineStr">
        <is>
          <t>Sent</t>
        </is>
      </c>
      <c r="M199" s="33" t="inlineStr">
        <is>
          <t>Etsy</t>
        </is>
      </c>
      <c r="N199" s="22">
        <f>IF(OR(H199="",L199="Cancelled"),"",IF(N(E199)=0,1,E199)*IFERROR(INDEX(Products!$E$6:$E$105,MATCH(D199,Products!$B$6:$B$105,0)),0))</f>
        <v/>
      </c>
      <c r="O199" s="35" t="n">
        <v>6.88</v>
      </c>
      <c r="P199" s="22">
        <f>IF(OR(H199="",L199="Cancelled"),"",ROUND(IFERROR(H199*INDEX(Settings!$C$6:$C$15,MATCH(M199,Settings!$B$6:$B$15,0))+INDEX(Settings!$D$6:$D$15,MATCH(M199,Settings!$B$6:$B$15,0)),0),2))</f>
        <v/>
      </c>
      <c r="Q199" s="28">
        <f>IF(OR(H199="",L199="Cancelled"),"",H199-N(N199)-N(O199)-N(P199))</f>
        <v/>
      </c>
      <c r="R199" s="19">
        <f>IF(OR(B199="",K199=""),"",IF(OR(L199="Sent",L199="Picked up"),"Done",IF(L199="Cancelled","Cancelled",IF(K199&lt;TODAY(),"Late by "&amp;(TODAY()-K199)&amp;IF((TODAY()-K199)=1," day"," days"),IF(K199=TODAY(),"Due today","Due in "&amp;(K199-TODAY())&amp;IF((K199-TODAY())=1," day"," days"))))))</f>
        <v/>
      </c>
      <c r="S199" s="33" t="n"/>
      <c r="T199" s="1">
        <f>IF(AND(B199&lt;&gt;"",K199&lt;&gt;"",L199&lt;&gt;"Sent",L199&lt;&gt;"Picked up",L199&lt;&gt;"Cancelled"),K199+ROW()/10000000,"")</f>
        <v/>
      </c>
      <c r="U199">
        <f>IF(OR(B199="",C199=""),"",B199+ROW()/10000000)</f>
        <v/>
      </c>
      <c r="V199">
        <f>IF(U199="","",IF(COUNTIFS(Orders!$C$6:$C$1005,C199,Orders!$U$6:$U$1005,"&gt;"&amp;U199)=0,1,0))</f>
        <v/>
      </c>
      <c r="W199">
        <f>IF(AND(B199&lt;&gt;"",K199&lt;&gt;"",L199&lt;&gt;"Sent",L199&lt;&gt;"Picked up",L199&lt;&gt;"Cancelled"),IF(N(E199)=0,1,E199),0)</f>
        <v/>
      </c>
      <c r="X199">
        <f>IF(OR(B199="",D199=""),"",IF(N(E199)=0,1,E199))</f>
        <v/>
      </c>
    </row>
    <row r="200">
      <c r="A200" s="1" t="n"/>
      <c r="B200" s="31" t="n">
        <v>46233</v>
      </c>
      <c r="C200" s="32" t="inlineStr">
        <is>
          <t>Beth Owens</t>
        </is>
      </c>
      <c r="D200" s="33" t="inlineStr">
        <is>
          <t>Soy candle 8 oz</t>
        </is>
      </c>
      <c r="E200" s="34" t="n">
        <v>3</v>
      </c>
      <c r="F200" s="35" t="n"/>
      <c r="G200" s="35" t="n"/>
      <c r="H200" s="30">
        <f>IF(OR(B200="",D200=""),"",IF(N(E200)=0,1,E200)*IFERROR(INDEX(Products!$C$6:$C$105,MATCH(D200,Products!$B$6:$B$105,0)),0)+N(F200)+N(G200))</f>
        <v/>
      </c>
      <c r="I200" s="35" t="n">
        <v>66</v>
      </c>
      <c r="J200" s="30">
        <f>IF(OR(H200="",L200="Cancelled"),"",IF(H200-N(I200)&gt;0.005,H200-N(I200),""))</f>
        <v/>
      </c>
      <c r="K200" s="31" t="n">
        <v>46238</v>
      </c>
      <c r="L200" s="36" t="inlineStr">
        <is>
          <t>Picked up</t>
        </is>
      </c>
      <c r="M200" s="33" t="inlineStr">
        <is>
          <t>Craft market</t>
        </is>
      </c>
      <c r="N200" s="22">
        <f>IF(OR(H200="",L200="Cancelled"),"",IF(N(E200)=0,1,E200)*IFERROR(INDEX(Products!$E$6:$E$105,MATCH(D200,Products!$B$6:$B$105,0)),0))</f>
        <v/>
      </c>
      <c r="O200" s="35" t="n"/>
      <c r="P200" s="22">
        <f>IF(OR(H200="",L200="Cancelled"),"",ROUND(IFERROR(H200*INDEX(Settings!$C$6:$C$15,MATCH(M200,Settings!$B$6:$B$15,0))+INDEX(Settings!$D$6:$D$15,MATCH(M200,Settings!$B$6:$B$15,0)),0),2))</f>
        <v/>
      </c>
      <c r="Q200" s="28">
        <f>IF(OR(H200="",L200="Cancelled"),"",H200-N(N200)-N(O200)-N(P200))</f>
        <v/>
      </c>
      <c r="R200" s="19">
        <f>IF(OR(B200="",K200=""),"",IF(OR(L200="Sent",L200="Picked up"),"Done",IF(L200="Cancelled","Cancelled",IF(K200&lt;TODAY(),"Late by "&amp;(TODAY()-K200)&amp;IF((TODAY()-K200)=1," day"," days"),IF(K200=TODAY(),"Due today","Due in "&amp;(K200-TODAY())&amp;IF((K200-TODAY())=1," day"," days"))))))</f>
        <v/>
      </c>
      <c r="S200" s="33" t="n"/>
      <c r="T200" s="1">
        <f>IF(AND(B200&lt;&gt;"",K200&lt;&gt;"",L200&lt;&gt;"Sent",L200&lt;&gt;"Picked up",L200&lt;&gt;"Cancelled"),K200+ROW()/10000000,"")</f>
        <v/>
      </c>
      <c r="U200">
        <f>IF(OR(B200="",C200=""),"",B200+ROW()/10000000)</f>
        <v/>
      </c>
      <c r="V200">
        <f>IF(U200="","",IF(COUNTIFS(Orders!$C$6:$C$1005,C200,Orders!$U$6:$U$1005,"&gt;"&amp;U200)=0,1,0))</f>
        <v/>
      </c>
      <c r="W200">
        <f>IF(AND(B200&lt;&gt;"",K200&lt;&gt;"",L200&lt;&gt;"Sent",L200&lt;&gt;"Picked up",L200&lt;&gt;"Cancelled"),IF(N(E200)=0,1,E200),0)</f>
        <v/>
      </c>
      <c r="X200">
        <f>IF(OR(B200="",D200=""),"",IF(N(E200)=0,1,E200))</f>
        <v/>
      </c>
    </row>
    <row r="201">
      <c r="A201" s="1" t="n"/>
      <c r="B201" s="31" t="n">
        <v>46234</v>
      </c>
      <c r="C201" s="32" t="inlineStr">
        <is>
          <t>Ruby Brooks</t>
        </is>
      </c>
      <c r="D201" s="33" t="inlineStr">
        <is>
          <t>Wedding favours, 10 tins</t>
        </is>
      </c>
      <c r="E201" s="34" t="n">
        <v>4</v>
      </c>
      <c r="F201" s="35" t="n"/>
      <c r="G201" s="35" t="n">
        <v>6.95</v>
      </c>
      <c r="H201" s="30">
        <f>IF(OR(B201="",D201=""),"",IF(N(E201)=0,1,E201)*IFERROR(INDEX(Products!$C$6:$C$105,MATCH(D201,Products!$B$6:$B$105,0)),0)+N(F201)+N(G201))</f>
        <v/>
      </c>
      <c r="I201" s="35" t="n">
        <v>246.95</v>
      </c>
      <c r="J201" s="30">
        <f>IF(OR(H201="",L201="Cancelled"),"",IF(H201-N(I201)&gt;0.005,H201-N(I201),""))</f>
        <v/>
      </c>
      <c r="K201" s="31" t="n">
        <v>46274</v>
      </c>
      <c r="L201" s="36" t="inlineStr">
        <is>
          <t>Sent</t>
        </is>
      </c>
      <c r="M201" s="33" t="inlineStr">
        <is>
          <t>Etsy</t>
        </is>
      </c>
      <c r="N201" s="22">
        <f>IF(OR(H201="",L201="Cancelled"),"",IF(N(E201)=0,1,E201)*IFERROR(INDEX(Products!$E$6:$E$105,MATCH(D201,Products!$B$6:$B$105,0)),0))</f>
        <v/>
      </c>
      <c r="O201" s="35" t="n">
        <v>7.29</v>
      </c>
      <c r="P201" s="22">
        <f>IF(OR(H201="",L201="Cancelled"),"",ROUND(IFERROR(H201*INDEX(Settings!$C$6:$C$15,MATCH(M201,Settings!$B$6:$B$15,0))+INDEX(Settings!$D$6:$D$15,MATCH(M201,Settings!$B$6:$B$15,0)),0),2))</f>
        <v/>
      </c>
      <c r="Q201" s="28">
        <f>IF(OR(H201="",L201="Cancelled"),"",H201-N(N201)-N(O201)-N(P201))</f>
        <v/>
      </c>
      <c r="R201" s="19">
        <f>IF(OR(B201="",K201=""),"",IF(OR(L201="Sent",L201="Picked up"),"Done",IF(L201="Cancelled","Cancelled",IF(K201&lt;TODAY(),"Late by "&amp;(TODAY()-K201)&amp;IF((TODAY()-K201)=1," day"," days"),IF(K201=TODAY(),"Due today","Due in "&amp;(K201-TODAY())&amp;IF((K201-TODAY())=1," day"," days"))))))</f>
        <v/>
      </c>
      <c r="S201" s="33" t="n"/>
      <c r="T201" s="1">
        <f>IF(AND(B201&lt;&gt;"",K201&lt;&gt;"",L201&lt;&gt;"Sent",L201&lt;&gt;"Picked up",L201&lt;&gt;"Cancelled"),K201+ROW()/10000000,"")</f>
        <v/>
      </c>
      <c r="U201">
        <f>IF(OR(B201="",C201=""),"",B201+ROW()/10000000)</f>
        <v/>
      </c>
      <c r="V201">
        <f>IF(U201="","",IF(COUNTIFS(Orders!$C$6:$C$1005,C201,Orders!$U$6:$U$1005,"&gt;"&amp;U201)=0,1,0))</f>
        <v/>
      </c>
      <c r="W201">
        <f>IF(AND(B201&lt;&gt;"",K201&lt;&gt;"",L201&lt;&gt;"Sent",L201&lt;&gt;"Picked up",L201&lt;&gt;"Cancelled"),IF(N(E201)=0,1,E201),0)</f>
        <v/>
      </c>
      <c r="X201">
        <f>IF(OR(B201="",D201=""),"",IF(N(E201)=0,1,E201))</f>
        <v/>
      </c>
    </row>
    <row r="202">
      <c r="A202" s="1" t="n"/>
      <c r="B202" s="31" t="n">
        <v>46234</v>
      </c>
      <c r="C202" s="32" t="inlineStr">
        <is>
          <t>Jade Reed</t>
        </is>
      </c>
      <c r="D202" s="33" t="inlineStr">
        <is>
          <t>Gift box</t>
        </is>
      </c>
      <c r="E202" s="34" t="n">
        <v>1</v>
      </c>
      <c r="F202" s="35" t="n"/>
      <c r="G202" s="35" t="n">
        <v>6.95</v>
      </c>
      <c r="H202" s="30">
        <f>IF(OR(B202="",D202=""),"",IF(N(E202)=0,1,E202)*IFERROR(INDEX(Products!$C$6:$C$105,MATCH(D202,Products!$B$6:$B$105,0)),0)+N(F202)+N(G202))</f>
        <v/>
      </c>
      <c r="I202" s="35" t="n">
        <v>51.95</v>
      </c>
      <c r="J202" s="30">
        <f>IF(OR(H202="",L202="Cancelled"),"",IF(H202-N(I202)&gt;0.005,H202-N(I202),""))</f>
        <v/>
      </c>
      <c r="K202" s="31" t="n">
        <v>46238</v>
      </c>
      <c r="L202" s="36" t="inlineStr">
        <is>
          <t>Sent</t>
        </is>
      </c>
      <c r="M202" s="33" t="inlineStr">
        <is>
          <t>Etsy</t>
        </is>
      </c>
      <c r="N202" s="22">
        <f>IF(OR(H202="",L202="Cancelled"),"",IF(N(E202)=0,1,E202)*IFERROR(INDEX(Products!$E$6:$E$105,MATCH(D202,Products!$B$6:$B$105,0)),0))</f>
        <v/>
      </c>
      <c r="O202" s="35" t="n">
        <v>6.62</v>
      </c>
      <c r="P202" s="22">
        <f>IF(OR(H202="",L202="Cancelled"),"",ROUND(IFERROR(H202*INDEX(Settings!$C$6:$C$15,MATCH(M202,Settings!$B$6:$B$15,0))+INDEX(Settings!$D$6:$D$15,MATCH(M202,Settings!$B$6:$B$15,0)),0),2))</f>
        <v/>
      </c>
      <c r="Q202" s="28">
        <f>IF(OR(H202="",L202="Cancelled"),"",H202-N(N202)-N(O202)-N(P202))</f>
        <v/>
      </c>
      <c r="R202" s="19">
        <f>IF(OR(B202="",K202=""),"",IF(OR(L202="Sent",L202="Picked up"),"Done",IF(L202="Cancelled","Cancelled",IF(K202&lt;TODAY(),"Late by "&amp;(TODAY()-K202)&amp;IF((TODAY()-K202)=1," day"," days"),IF(K202=TODAY(),"Due today","Due in "&amp;(K202-TODAY())&amp;IF((K202-TODAY())=1," day"," days"))))))</f>
        <v/>
      </c>
      <c r="S202" s="33" t="n"/>
      <c r="T202" s="1">
        <f>IF(AND(B202&lt;&gt;"",K202&lt;&gt;"",L202&lt;&gt;"Sent",L202&lt;&gt;"Picked up",L202&lt;&gt;"Cancelled"),K202+ROW()/10000000,"")</f>
        <v/>
      </c>
      <c r="U202">
        <f>IF(OR(B202="",C202=""),"",B202+ROW()/10000000)</f>
        <v/>
      </c>
      <c r="V202">
        <f>IF(U202="","",IF(COUNTIFS(Orders!$C$6:$C$1005,C202,Orders!$U$6:$U$1005,"&gt;"&amp;U202)=0,1,0))</f>
        <v/>
      </c>
      <c r="W202">
        <f>IF(AND(B202&lt;&gt;"",K202&lt;&gt;"",L202&lt;&gt;"Sent",L202&lt;&gt;"Picked up",L202&lt;&gt;"Cancelled"),IF(N(E202)=0,1,E202),0)</f>
        <v/>
      </c>
      <c r="X202">
        <f>IF(OR(B202="",D202=""),"",IF(N(E202)=0,1,E202))</f>
        <v/>
      </c>
    </row>
    <row r="203">
      <c r="A203" s="1" t="n"/>
      <c r="B203" s="31" t="n">
        <v>46236</v>
      </c>
      <c r="C203" s="32" t="inlineStr">
        <is>
          <t>Lily Gray</t>
        </is>
      </c>
      <c r="D203" s="33" t="inlineStr">
        <is>
          <t>Soy candle 8 oz</t>
        </is>
      </c>
      <c r="E203" s="34" t="n">
        <v>4</v>
      </c>
      <c r="F203" s="35" t="n"/>
      <c r="G203" s="35" t="n"/>
      <c r="H203" s="30">
        <f>IF(OR(B203="",D203=""),"",IF(N(E203)=0,1,E203)*IFERROR(INDEX(Products!$C$6:$C$105,MATCH(D203,Products!$B$6:$B$105,0)),0)+N(F203)+N(G203))</f>
        <v/>
      </c>
      <c r="I203" s="35" t="n">
        <v>88</v>
      </c>
      <c r="J203" s="30">
        <f>IF(OR(H203="",L203="Cancelled"),"",IF(H203-N(I203)&gt;0.005,H203-N(I203),""))</f>
        <v/>
      </c>
      <c r="K203" s="31" t="n">
        <v>46241</v>
      </c>
      <c r="L203" s="36" t="inlineStr">
        <is>
          <t>Picked up</t>
        </is>
      </c>
      <c r="M203" s="33" t="inlineStr">
        <is>
          <t>Instagram</t>
        </is>
      </c>
      <c r="N203" s="22">
        <f>IF(OR(H203="",L203="Cancelled"),"",IF(N(E203)=0,1,E203)*IFERROR(INDEX(Products!$E$6:$E$105,MATCH(D203,Products!$B$6:$B$105,0)),0))</f>
        <v/>
      </c>
      <c r="O203" s="35" t="n"/>
      <c r="P203" s="22">
        <f>IF(OR(H203="",L203="Cancelled"),"",ROUND(IFERROR(H203*INDEX(Settings!$C$6:$C$15,MATCH(M203,Settings!$B$6:$B$15,0))+INDEX(Settings!$D$6:$D$15,MATCH(M203,Settings!$B$6:$B$15,0)),0),2))</f>
        <v/>
      </c>
      <c r="Q203" s="28">
        <f>IF(OR(H203="",L203="Cancelled"),"",H203-N(N203)-N(O203)-N(P203))</f>
        <v/>
      </c>
      <c r="R203" s="19">
        <f>IF(OR(B203="",K203=""),"",IF(OR(L203="Sent",L203="Picked up"),"Done",IF(L203="Cancelled","Cancelled",IF(K203&lt;TODAY(),"Late by "&amp;(TODAY()-K203)&amp;IF((TODAY()-K203)=1," day"," days"),IF(K203=TODAY(),"Due today","Due in "&amp;(K203-TODAY())&amp;IF((K203-TODAY())=1," day"," days"))))))</f>
        <v/>
      </c>
      <c r="S203" s="33" t="n"/>
      <c r="T203" s="1">
        <f>IF(AND(B203&lt;&gt;"",K203&lt;&gt;"",L203&lt;&gt;"Sent",L203&lt;&gt;"Picked up",L203&lt;&gt;"Cancelled"),K203+ROW()/10000000,"")</f>
        <v/>
      </c>
      <c r="U203">
        <f>IF(OR(B203="",C203=""),"",B203+ROW()/10000000)</f>
        <v/>
      </c>
      <c r="V203">
        <f>IF(U203="","",IF(COUNTIFS(Orders!$C$6:$C$1005,C203,Orders!$U$6:$U$1005,"&gt;"&amp;U203)=0,1,0))</f>
        <v/>
      </c>
      <c r="W203">
        <f>IF(AND(B203&lt;&gt;"",K203&lt;&gt;"",L203&lt;&gt;"Sent",L203&lt;&gt;"Picked up",L203&lt;&gt;"Cancelled"),IF(N(E203)=0,1,E203),0)</f>
        <v/>
      </c>
      <c r="X203">
        <f>IF(OR(B203="",D203=""),"",IF(N(E203)=0,1,E203))</f>
        <v/>
      </c>
    </row>
    <row r="204">
      <c r="A204" s="1" t="n"/>
      <c r="B204" s="31" t="n">
        <v>46236</v>
      </c>
      <c r="C204" s="32" t="inlineStr">
        <is>
          <t>Dan King</t>
        </is>
      </c>
      <c r="D204" s="33" t="inlineStr">
        <is>
          <t>Wax melts, 6 pack</t>
        </is>
      </c>
      <c r="E204" s="34" t="n">
        <v>4</v>
      </c>
      <c r="F204" s="35" t="n"/>
      <c r="G204" s="35" t="n">
        <v>6.95</v>
      </c>
      <c r="H204" s="30">
        <f>IF(OR(B204="",D204=""),"",IF(N(E204)=0,1,E204)*IFERROR(INDEX(Products!$C$6:$C$105,MATCH(D204,Products!$B$6:$B$105,0)),0)+N(F204)+N(G204))</f>
        <v/>
      </c>
      <c r="I204" s="35" t="n">
        <v>42.95</v>
      </c>
      <c r="J204" s="30">
        <f>IF(OR(H204="",L204="Cancelled"),"",IF(H204-N(I204)&gt;0.005,H204-N(I204),""))</f>
        <v/>
      </c>
      <c r="K204" s="31" t="n">
        <v>46248</v>
      </c>
      <c r="L204" s="36" t="inlineStr">
        <is>
          <t>Sent</t>
        </is>
      </c>
      <c r="M204" s="33" t="inlineStr">
        <is>
          <t>Own website</t>
        </is>
      </c>
      <c r="N204" s="22">
        <f>IF(OR(H204="",L204="Cancelled"),"",IF(N(E204)=0,1,E204)*IFERROR(INDEX(Products!$E$6:$E$105,MATCH(D204,Products!$B$6:$B$105,0)),0))</f>
        <v/>
      </c>
      <c r="O204" s="35" t="n">
        <v>7.17</v>
      </c>
      <c r="P204" s="22">
        <f>IF(OR(H204="",L204="Cancelled"),"",ROUND(IFERROR(H204*INDEX(Settings!$C$6:$C$15,MATCH(M204,Settings!$B$6:$B$15,0))+INDEX(Settings!$D$6:$D$15,MATCH(M204,Settings!$B$6:$B$15,0)),0),2))</f>
        <v/>
      </c>
      <c r="Q204" s="28">
        <f>IF(OR(H204="",L204="Cancelled"),"",H204-N(N204)-N(O204)-N(P204))</f>
        <v/>
      </c>
      <c r="R204" s="19">
        <f>IF(OR(B204="",K204=""),"",IF(OR(L204="Sent",L204="Picked up"),"Done",IF(L204="Cancelled","Cancelled",IF(K204&lt;TODAY(),"Late by "&amp;(TODAY()-K204)&amp;IF((TODAY()-K204)=1," day"," days"),IF(K204=TODAY(),"Due today","Due in "&amp;(K204-TODAY())&amp;IF((K204-TODAY())=1," day"," days"))))))</f>
        <v/>
      </c>
      <c r="S204" s="33" t="n"/>
      <c r="T204" s="1">
        <f>IF(AND(B204&lt;&gt;"",K204&lt;&gt;"",L204&lt;&gt;"Sent",L204&lt;&gt;"Picked up",L204&lt;&gt;"Cancelled"),K204+ROW()/10000000,"")</f>
        <v/>
      </c>
      <c r="U204">
        <f>IF(OR(B204="",C204=""),"",B204+ROW()/10000000)</f>
        <v/>
      </c>
      <c r="V204">
        <f>IF(U204="","",IF(COUNTIFS(Orders!$C$6:$C$1005,C204,Orders!$U$6:$U$1005,"&gt;"&amp;U204)=0,1,0))</f>
        <v/>
      </c>
      <c r="W204">
        <f>IF(AND(B204&lt;&gt;"",K204&lt;&gt;"",L204&lt;&gt;"Sent",L204&lt;&gt;"Picked up",L204&lt;&gt;"Cancelled"),IF(N(E204)=0,1,E204),0)</f>
        <v/>
      </c>
      <c r="X204">
        <f>IF(OR(B204="",D204=""),"",IF(N(E204)=0,1,E204))</f>
        <v/>
      </c>
    </row>
    <row r="205">
      <c r="A205" s="1" t="n"/>
      <c r="B205" s="31" t="n">
        <v>46238</v>
      </c>
      <c r="C205" s="32" t="inlineStr">
        <is>
          <t>Beth Owens</t>
        </is>
      </c>
      <c r="D205" s="33" t="inlineStr">
        <is>
          <t>Wax melts, 6 pack</t>
        </is>
      </c>
      <c r="E205" s="34" t="n">
        <v>2</v>
      </c>
      <c r="F205" s="35" t="n"/>
      <c r="G205" s="35" t="n">
        <v>6.95</v>
      </c>
      <c r="H205" s="30">
        <f>IF(OR(B205="",D205=""),"",IF(N(E205)=0,1,E205)*IFERROR(INDEX(Products!$C$6:$C$105,MATCH(D205,Products!$B$6:$B$105,0)),0)+N(F205)+N(G205))</f>
        <v/>
      </c>
      <c r="I205" s="35" t="n">
        <v>24.95</v>
      </c>
      <c r="J205" s="30">
        <f>IF(OR(H205="",L205="Cancelled"),"",IF(H205-N(I205)&gt;0.005,H205-N(I205),""))</f>
        <v/>
      </c>
      <c r="K205" s="31" t="n">
        <v>46249</v>
      </c>
      <c r="L205" s="36" t="inlineStr">
        <is>
          <t>Sent</t>
        </is>
      </c>
      <c r="M205" s="33" t="inlineStr">
        <is>
          <t>Own website</t>
        </is>
      </c>
      <c r="N205" s="22">
        <f>IF(OR(H205="",L205="Cancelled"),"",IF(N(E205)=0,1,E205)*IFERROR(INDEX(Products!$E$6:$E$105,MATCH(D205,Products!$B$6:$B$105,0)),0))</f>
        <v/>
      </c>
      <c r="O205" s="35" t="n">
        <v>7.39</v>
      </c>
      <c r="P205" s="22">
        <f>IF(OR(H205="",L205="Cancelled"),"",ROUND(IFERROR(H205*INDEX(Settings!$C$6:$C$15,MATCH(M205,Settings!$B$6:$B$15,0))+INDEX(Settings!$D$6:$D$15,MATCH(M205,Settings!$B$6:$B$15,0)),0),2))</f>
        <v/>
      </c>
      <c r="Q205" s="28">
        <f>IF(OR(H205="",L205="Cancelled"),"",H205-N(N205)-N(O205)-N(P205))</f>
        <v/>
      </c>
      <c r="R205" s="19">
        <f>IF(OR(B205="",K205=""),"",IF(OR(L205="Sent",L205="Picked up"),"Done",IF(L205="Cancelled","Cancelled",IF(K205&lt;TODAY(),"Late by "&amp;(TODAY()-K205)&amp;IF((TODAY()-K205)=1," day"," days"),IF(K205=TODAY(),"Due today","Due in "&amp;(K205-TODAY())&amp;IF((K205-TODAY())=1," day"," days"))))))</f>
        <v/>
      </c>
      <c r="S205" s="33" t="n"/>
      <c r="T205" s="1">
        <f>IF(AND(B205&lt;&gt;"",K205&lt;&gt;"",L205&lt;&gt;"Sent",L205&lt;&gt;"Picked up",L205&lt;&gt;"Cancelled"),K205+ROW()/10000000,"")</f>
        <v/>
      </c>
      <c r="U205">
        <f>IF(OR(B205="",C205=""),"",B205+ROW()/10000000)</f>
        <v/>
      </c>
      <c r="V205">
        <f>IF(U205="","",IF(COUNTIFS(Orders!$C$6:$C$1005,C205,Orders!$U$6:$U$1005,"&gt;"&amp;U205)=0,1,0))</f>
        <v/>
      </c>
      <c r="W205">
        <f>IF(AND(B205&lt;&gt;"",K205&lt;&gt;"",L205&lt;&gt;"Sent",L205&lt;&gt;"Picked up",L205&lt;&gt;"Cancelled"),IF(N(E205)=0,1,E205),0)</f>
        <v/>
      </c>
      <c r="X205">
        <f>IF(OR(B205="",D205=""),"",IF(N(E205)=0,1,E205))</f>
        <v/>
      </c>
    </row>
    <row r="206">
      <c r="A206" s="1" t="n"/>
      <c r="B206" s="31" t="n">
        <v>46239</v>
      </c>
      <c r="C206" s="32" t="inlineStr">
        <is>
          <t>Adam Davies</t>
        </is>
      </c>
      <c r="D206" s="33" t="inlineStr">
        <is>
          <t>Soy candle 8 oz</t>
        </is>
      </c>
      <c r="E206" s="34" t="n">
        <v>2</v>
      </c>
      <c r="F206" s="35" t="n">
        <v>10</v>
      </c>
      <c r="G206" s="35" t="n"/>
      <c r="H206" s="30">
        <f>IF(OR(B206="",D206=""),"",IF(N(E206)=0,1,E206)*IFERROR(INDEX(Products!$C$6:$C$105,MATCH(D206,Products!$B$6:$B$105,0)),0)+N(F206)+N(G206))</f>
        <v/>
      </c>
      <c r="I206" s="35" t="n">
        <v>54</v>
      </c>
      <c r="J206" s="30">
        <f>IF(OR(H206="",L206="Cancelled"),"",IF(H206-N(I206)&gt;0.005,H206-N(I206),""))</f>
        <v/>
      </c>
      <c r="K206" s="31" t="n">
        <v>46250</v>
      </c>
      <c r="L206" s="36" t="inlineStr">
        <is>
          <t>Picked up</t>
        </is>
      </c>
      <c r="M206" s="33" t="inlineStr">
        <is>
          <t>Craft market</t>
        </is>
      </c>
      <c r="N206" s="22">
        <f>IF(OR(H206="",L206="Cancelled"),"",IF(N(E206)=0,1,E206)*IFERROR(INDEX(Products!$E$6:$E$105,MATCH(D206,Products!$B$6:$B$105,0)),0))</f>
        <v/>
      </c>
      <c r="O206" s="35" t="n"/>
      <c r="P206" s="22">
        <f>IF(OR(H206="",L206="Cancelled"),"",ROUND(IFERROR(H206*INDEX(Settings!$C$6:$C$15,MATCH(M206,Settings!$B$6:$B$15,0))+INDEX(Settings!$D$6:$D$15,MATCH(M206,Settings!$B$6:$B$15,0)),0),2))</f>
        <v/>
      </c>
      <c r="Q206" s="28">
        <f>IF(OR(H206="",L206="Cancelled"),"",H206-N(N206)-N(O206)-N(P206))</f>
        <v/>
      </c>
      <c r="R206" s="19">
        <f>IF(OR(B206="",K206=""),"",IF(OR(L206="Sent",L206="Picked up"),"Done",IF(L206="Cancelled","Cancelled",IF(K206&lt;TODAY(),"Late by "&amp;(TODAY()-K206)&amp;IF((TODAY()-K206)=1," day"," days"),IF(K206=TODAY(),"Due today","Due in "&amp;(K206-TODAY())&amp;IF((K206-TODAY())=1," day"," days"))))))</f>
        <v/>
      </c>
      <c r="S206" s="33" t="inlineStr">
        <is>
          <t>Custom label</t>
        </is>
      </c>
      <c r="T206" s="1">
        <f>IF(AND(B206&lt;&gt;"",K206&lt;&gt;"",L206&lt;&gt;"Sent",L206&lt;&gt;"Picked up",L206&lt;&gt;"Cancelled"),K206+ROW()/10000000,"")</f>
        <v/>
      </c>
      <c r="U206">
        <f>IF(OR(B206="",C206=""),"",B206+ROW()/10000000)</f>
        <v/>
      </c>
      <c r="V206">
        <f>IF(U206="","",IF(COUNTIFS(Orders!$C$6:$C$1005,C206,Orders!$U$6:$U$1005,"&gt;"&amp;U206)=0,1,0))</f>
        <v/>
      </c>
      <c r="W206">
        <f>IF(AND(B206&lt;&gt;"",K206&lt;&gt;"",L206&lt;&gt;"Sent",L206&lt;&gt;"Picked up",L206&lt;&gt;"Cancelled"),IF(N(E206)=0,1,E206),0)</f>
        <v/>
      </c>
      <c r="X206">
        <f>IF(OR(B206="",D206=""),"",IF(N(E206)=0,1,E206))</f>
        <v/>
      </c>
    </row>
    <row r="207">
      <c r="A207" s="1" t="n"/>
      <c r="B207" s="31" t="n">
        <v>46240</v>
      </c>
      <c r="C207" s="32" t="inlineStr">
        <is>
          <t>Adam Davies</t>
        </is>
      </c>
      <c r="D207" s="33" t="inlineStr">
        <is>
          <t>Soy candle 8 oz</t>
        </is>
      </c>
      <c r="E207" s="34" t="n">
        <v>2</v>
      </c>
      <c r="F207" s="35" t="n"/>
      <c r="G207" s="35" t="n">
        <v>6.95</v>
      </c>
      <c r="H207" s="30">
        <f>IF(OR(B207="",D207=""),"",IF(N(E207)=0,1,E207)*IFERROR(INDEX(Products!$C$6:$C$105,MATCH(D207,Products!$B$6:$B$105,0)),0)+N(F207)+N(G207))</f>
        <v/>
      </c>
      <c r="I207" s="35" t="n">
        <v>50.95</v>
      </c>
      <c r="J207" s="30">
        <f>IF(OR(H207="",L207="Cancelled"),"",IF(H207-N(I207)&gt;0.005,H207-N(I207),""))</f>
        <v/>
      </c>
      <c r="K207" s="31" t="n">
        <v>46251</v>
      </c>
      <c r="L207" s="36" t="inlineStr">
        <is>
          <t>Sent</t>
        </is>
      </c>
      <c r="M207" s="33" t="inlineStr">
        <is>
          <t>Own website</t>
        </is>
      </c>
      <c r="N207" s="22">
        <f>IF(OR(H207="",L207="Cancelled"),"",IF(N(E207)=0,1,E207)*IFERROR(INDEX(Products!$E$6:$E$105,MATCH(D207,Products!$B$6:$B$105,0)),0))</f>
        <v/>
      </c>
      <c r="O207" s="35" t="n">
        <v>6.98</v>
      </c>
      <c r="P207" s="22">
        <f>IF(OR(H207="",L207="Cancelled"),"",ROUND(IFERROR(H207*INDEX(Settings!$C$6:$C$15,MATCH(M207,Settings!$B$6:$B$15,0))+INDEX(Settings!$D$6:$D$15,MATCH(M207,Settings!$B$6:$B$15,0)),0),2))</f>
        <v/>
      </c>
      <c r="Q207" s="28">
        <f>IF(OR(H207="",L207="Cancelled"),"",H207-N(N207)-N(O207)-N(P207))</f>
        <v/>
      </c>
      <c r="R207" s="19">
        <f>IF(OR(B207="",K207=""),"",IF(OR(L207="Sent",L207="Picked up"),"Done",IF(L207="Cancelled","Cancelled",IF(K207&lt;TODAY(),"Late by "&amp;(TODAY()-K207)&amp;IF((TODAY()-K207)=1," day"," days"),IF(K207=TODAY(),"Due today","Due in "&amp;(K207-TODAY())&amp;IF((K207-TODAY())=1," day"," days"))))))</f>
        <v/>
      </c>
      <c r="S207" s="33" t="n"/>
      <c r="T207" s="1">
        <f>IF(AND(B207&lt;&gt;"",K207&lt;&gt;"",L207&lt;&gt;"Sent",L207&lt;&gt;"Picked up",L207&lt;&gt;"Cancelled"),K207+ROW()/10000000,"")</f>
        <v/>
      </c>
      <c r="U207">
        <f>IF(OR(B207="",C207=""),"",B207+ROW()/10000000)</f>
        <v/>
      </c>
      <c r="V207">
        <f>IF(U207="","",IF(COUNTIFS(Orders!$C$6:$C$1005,C207,Orders!$U$6:$U$1005,"&gt;"&amp;U207)=0,1,0))</f>
        <v/>
      </c>
      <c r="W207">
        <f>IF(AND(B207&lt;&gt;"",K207&lt;&gt;"",L207&lt;&gt;"Sent",L207&lt;&gt;"Picked up",L207&lt;&gt;"Cancelled"),IF(N(E207)=0,1,E207),0)</f>
        <v/>
      </c>
      <c r="X207">
        <f>IF(OR(B207="",D207=""),"",IF(N(E207)=0,1,E207))</f>
        <v/>
      </c>
    </row>
    <row r="208">
      <c r="A208" s="1" t="n"/>
      <c r="B208" s="31" t="n">
        <v>46242</v>
      </c>
      <c r="C208" s="32" t="inlineStr">
        <is>
          <t>Adam Baker</t>
        </is>
      </c>
      <c r="D208" s="33" t="inlineStr">
        <is>
          <t>Soap bar</t>
        </is>
      </c>
      <c r="E208" s="34" t="n">
        <v>1</v>
      </c>
      <c r="F208" s="35" t="n"/>
      <c r="G208" s="35" t="n">
        <v>6.95</v>
      </c>
      <c r="H208" s="30">
        <f>IF(OR(B208="",D208=""),"",IF(N(E208)=0,1,E208)*IFERROR(INDEX(Products!$C$6:$C$105,MATCH(D208,Products!$B$6:$B$105,0)),0)+N(F208)+N(G208))</f>
        <v/>
      </c>
      <c r="I208" s="35" t="n">
        <v>14.95</v>
      </c>
      <c r="J208" s="30">
        <f>IF(OR(H208="",L208="Cancelled"),"",IF(H208-N(I208)&gt;0.005,H208-N(I208),""))</f>
        <v/>
      </c>
      <c r="K208" s="31" t="n">
        <v>46251</v>
      </c>
      <c r="L208" s="36" t="inlineStr">
        <is>
          <t>Sent</t>
        </is>
      </c>
      <c r="M208" s="33" t="inlineStr">
        <is>
          <t>Own website</t>
        </is>
      </c>
      <c r="N208" s="22">
        <f>IF(OR(H208="",L208="Cancelled"),"",IF(N(E208)=0,1,E208)*IFERROR(INDEX(Products!$E$6:$E$105,MATCH(D208,Products!$B$6:$B$105,0)),0))</f>
        <v/>
      </c>
      <c r="O208" s="35" t="n">
        <v>6.82</v>
      </c>
      <c r="P208" s="22">
        <f>IF(OR(H208="",L208="Cancelled"),"",ROUND(IFERROR(H208*INDEX(Settings!$C$6:$C$15,MATCH(M208,Settings!$B$6:$B$15,0))+INDEX(Settings!$D$6:$D$15,MATCH(M208,Settings!$B$6:$B$15,0)),0),2))</f>
        <v/>
      </c>
      <c r="Q208" s="28">
        <f>IF(OR(H208="",L208="Cancelled"),"",H208-N(N208)-N(O208)-N(P208))</f>
        <v/>
      </c>
      <c r="R208" s="19">
        <f>IF(OR(B208="",K208=""),"",IF(OR(L208="Sent",L208="Picked up"),"Done",IF(L208="Cancelled","Cancelled",IF(K208&lt;TODAY(),"Late by "&amp;(TODAY()-K208)&amp;IF((TODAY()-K208)=1," day"," days"),IF(K208=TODAY(),"Due today","Due in "&amp;(K208-TODAY())&amp;IF((K208-TODAY())=1," day"," days"))))))</f>
        <v/>
      </c>
      <c r="S208" s="33" t="n"/>
      <c r="T208" s="1">
        <f>IF(AND(B208&lt;&gt;"",K208&lt;&gt;"",L208&lt;&gt;"Sent",L208&lt;&gt;"Picked up",L208&lt;&gt;"Cancelled"),K208+ROW()/10000000,"")</f>
        <v/>
      </c>
      <c r="U208">
        <f>IF(OR(B208="",C208=""),"",B208+ROW()/10000000)</f>
        <v/>
      </c>
      <c r="V208">
        <f>IF(U208="","",IF(COUNTIFS(Orders!$C$6:$C$1005,C208,Orders!$U$6:$U$1005,"&gt;"&amp;U208)=0,1,0))</f>
        <v/>
      </c>
      <c r="W208">
        <f>IF(AND(B208&lt;&gt;"",K208&lt;&gt;"",L208&lt;&gt;"Sent",L208&lt;&gt;"Picked up",L208&lt;&gt;"Cancelled"),IF(N(E208)=0,1,E208),0)</f>
        <v/>
      </c>
      <c r="X208">
        <f>IF(OR(B208="",D208=""),"",IF(N(E208)=0,1,E208))</f>
        <v/>
      </c>
    </row>
    <row r="209">
      <c r="A209" s="1" t="n"/>
      <c r="B209" s="31" t="n">
        <v>46243</v>
      </c>
      <c r="C209" s="32" t="inlineStr">
        <is>
          <t>Chris Owens</t>
        </is>
      </c>
      <c r="D209" s="33" t="inlineStr">
        <is>
          <t>Soy candle 8 oz</t>
        </is>
      </c>
      <c r="E209" s="34" t="n">
        <v>1</v>
      </c>
      <c r="F209" s="35" t="n"/>
      <c r="G209" s="35" t="n">
        <v>6.95</v>
      </c>
      <c r="H209" s="30">
        <f>IF(OR(B209="",D209=""),"",IF(N(E209)=0,1,E209)*IFERROR(INDEX(Products!$C$6:$C$105,MATCH(D209,Products!$B$6:$B$105,0)),0)+N(F209)+N(G209))</f>
        <v/>
      </c>
      <c r="I209" s="35" t="n">
        <v>28.95</v>
      </c>
      <c r="J209" s="30">
        <f>IF(OR(H209="",L209="Cancelled"),"",IF(H209-N(I209)&gt;0.005,H209-N(I209),""))</f>
        <v/>
      </c>
      <c r="K209" s="31" t="n">
        <v>46248</v>
      </c>
      <c r="L209" s="36" t="inlineStr">
        <is>
          <t>Sent</t>
        </is>
      </c>
      <c r="M209" s="33" t="inlineStr">
        <is>
          <t>Etsy</t>
        </is>
      </c>
      <c r="N209" s="22">
        <f>IF(OR(H209="",L209="Cancelled"),"",IF(N(E209)=0,1,E209)*IFERROR(INDEX(Products!$E$6:$E$105,MATCH(D209,Products!$B$6:$B$105,0)),0))</f>
        <v/>
      </c>
      <c r="O209" s="35" t="n">
        <v>6.87</v>
      </c>
      <c r="P209" s="22">
        <f>IF(OR(H209="",L209="Cancelled"),"",ROUND(IFERROR(H209*INDEX(Settings!$C$6:$C$15,MATCH(M209,Settings!$B$6:$B$15,0))+INDEX(Settings!$D$6:$D$15,MATCH(M209,Settings!$B$6:$B$15,0)),0),2))</f>
        <v/>
      </c>
      <c r="Q209" s="28">
        <f>IF(OR(H209="",L209="Cancelled"),"",H209-N(N209)-N(O209)-N(P209))</f>
        <v/>
      </c>
      <c r="R209" s="19">
        <f>IF(OR(B209="",K209=""),"",IF(OR(L209="Sent",L209="Picked up"),"Done",IF(L209="Cancelled","Cancelled",IF(K209&lt;TODAY(),"Late by "&amp;(TODAY()-K209)&amp;IF((TODAY()-K209)=1," day"," days"),IF(K209=TODAY(),"Due today","Due in "&amp;(K209-TODAY())&amp;IF((K209-TODAY())=1," day"," days"))))))</f>
        <v/>
      </c>
      <c r="S209" s="33" t="n"/>
      <c r="T209" s="1">
        <f>IF(AND(B209&lt;&gt;"",K209&lt;&gt;"",L209&lt;&gt;"Sent",L209&lt;&gt;"Picked up",L209&lt;&gt;"Cancelled"),K209+ROW()/10000000,"")</f>
        <v/>
      </c>
      <c r="U209">
        <f>IF(OR(B209="",C209=""),"",B209+ROW()/10000000)</f>
        <v/>
      </c>
      <c r="V209">
        <f>IF(U209="","",IF(COUNTIFS(Orders!$C$6:$C$1005,C209,Orders!$U$6:$U$1005,"&gt;"&amp;U209)=0,1,0))</f>
        <v/>
      </c>
      <c r="W209">
        <f>IF(AND(B209&lt;&gt;"",K209&lt;&gt;"",L209&lt;&gt;"Sent",L209&lt;&gt;"Picked up",L209&lt;&gt;"Cancelled"),IF(N(E209)=0,1,E209),0)</f>
        <v/>
      </c>
      <c r="X209">
        <f>IF(OR(B209="",D209=""),"",IF(N(E209)=0,1,E209))</f>
        <v/>
      </c>
    </row>
    <row r="210">
      <c r="A210" s="1" t="n"/>
      <c r="B210" s="31" t="n">
        <v>46244</v>
      </c>
      <c r="C210" s="32" t="inlineStr">
        <is>
          <t>Lily Gray</t>
        </is>
      </c>
      <c r="D210" s="33" t="inlineStr">
        <is>
          <t>Soy candle 8 oz</t>
        </is>
      </c>
      <c r="E210" s="34" t="n">
        <v>4</v>
      </c>
      <c r="F210" s="35" t="n">
        <v>20</v>
      </c>
      <c r="G210" s="35" t="n"/>
      <c r="H210" s="30">
        <f>IF(OR(B210="",D210=""),"",IF(N(E210)=0,1,E210)*IFERROR(INDEX(Products!$C$6:$C$105,MATCH(D210,Products!$B$6:$B$105,0)),0)+N(F210)+N(G210))</f>
        <v/>
      </c>
      <c r="I210" s="35" t="n">
        <v>108</v>
      </c>
      <c r="J210" s="30">
        <f>IF(OR(H210="",L210="Cancelled"),"",IF(H210-N(I210)&gt;0.005,H210-N(I210),""))</f>
        <v/>
      </c>
      <c r="K210" s="31" t="n">
        <v>46252</v>
      </c>
      <c r="L210" s="36" t="inlineStr">
        <is>
          <t>Picked up</t>
        </is>
      </c>
      <c r="M210" s="33" t="inlineStr">
        <is>
          <t>Craft market</t>
        </is>
      </c>
      <c r="N210" s="22">
        <f>IF(OR(H210="",L210="Cancelled"),"",IF(N(E210)=0,1,E210)*IFERROR(INDEX(Products!$E$6:$E$105,MATCH(D210,Products!$B$6:$B$105,0)),0))</f>
        <v/>
      </c>
      <c r="O210" s="35" t="n"/>
      <c r="P210" s="22">
        <f>IF(OR(H210="",L210="Cancelled"),"",ROUND(IFERROR(H210*INDEX(Settings!$C$6:$C$15,MATCH(M210,Settings!$B$6:$B$15,0))+INDEX(Settings!$D$6:$D$15,MATCH(M210,Settings!$B$6:$B$15,0)),0),2))</f>
        <v/>
      </c>
      <c r="Q210" s="28">
        <f>IF(OR(H210="",L210="Cancelled"),"",H210-N(N210)-N(O210)-N(P210))</f>
        <v/>
      </c>
      <c r="R210" s="19">
        <f>IF(OR(B210="",K210=""),"",IF(OR(L210="Sent",L210="Picked up"),"Done",IF(L210="Cancelled","Cancelled",IF(K210&lt;TODAY(),"Late by "&amp;(TODAY()-K210)&amp;IF((TODAY()-K210)=1," day"," days"),IF(K210=TODAY(),"Due today","Due in "&amp;(K210-TODAY())&amp;IF((K210-TODAY())=1," day"," days"))))))</f>
        <v/>
      </c>
      <c r="S210" s="33" t="inlineStr">
        <is>
          <t>Custom label</t>
        </is>
      </c>
      <c r="T210" s="1">
        <f>IF(AND(B210&lt;&gt;"",K210&lt;&gt;"",L210&lt;&gt;"Sent",L210&lt;&gt;"Picked up",L210&lt;&gt;"Cancelled"),K210+ROW()/10000000,"")</f>
        <v/>
      </c>
      <c r="U210">
        <f>IF(OR(B210="",C210=""),"",B210+ROW()/10000000)</f>
        <v/>
      </c>
      <c r="V210">
        <f>IF(U210="","",IF(COUNTIFS(Orders!$C$6:$C$1005,C210,Orders!$U$6:$U$1005,"&gt;"&amp;U210)=0,1,0))</f>
        <v/>
      </c>
      <c r="W210">
        <f>IF(AND(B210&lt;&gt;"",K210&lt;&gt;"",L210&lt;&gt;"Sent",L210&lt;&gt;"Picked up",L210&lt;&gt;"Cancelled"),IF(N(E210)=0,1,E210),0)</f>
        <v/>
      </c>
      <c r="X210">
        <f>IF(OR(B210="",D210=""),"",IF(N(E210)=0,1,E210))</f>
        <v/>
      </c>
    </row>
    <row r="211">
      <c r="A211" s="1" t="n"/>
      <c r="B211" s="31" t="n">
        <v>46244</v>
      </c>
      <c r="C211" s="32" t="inlineStr">
        <is>
          <t>Chris Adams</t>
        </is>
      </c>
      <c r="D211" s="33" t="inlineStr">
        <is>
          <t>Wedding favours, 10 tins</t>
        </is>
      </c>
      <c r="E211" s="34" t="n">
        <v>4</v>
      </c>
      <c r="F211" s="35" t="n"/>
      <c r="G211" s="35" t="n">
        <v>6.95</v>
      </c>
      <c r="H211" s="30">
        <f>IF(OR(B211="",D211=""),"",IF(N(E211)=0,1,E211)*IFERROR(INDEX(Products!$C$6:$C$105,MATCH(D211,Products!$B$6:$B$105,0)),0)+N(F211)+N(G211))</f>
        <v/>
      </c>
      <c r="I211" s="35" t="n">
        <v>246.95</v>
      </c>
      <c r="J211" s="30">
        <f>IF(OR(H211="",L211="Cancelled"),"",IF(H211-N(I211)&gt;0.005,H211-N(I211),""))</f>
        <v/>
      </c>
      <c r="K211" s="31" t="n">
        <v>46284</v>
      </c>
      <c r="L211" s="36" t="inlineStr">
        <is>
          <t>Sent</t>
        </is>
      </c>
      <c r="M211" s="33" t="inlineStr">
        <is>
          <t>Etsy</t>
        </is>
      </c>
      <c r="N211" s="22">
        <f>IF(OR(H211="",L211="Cancelled"),"",IF(N(E211)=0,1,E211)*IFERROR(INDEX(Products!$E$6:$E$105,MATCH(D211,Products!$B$6:$B$105,0)),0))</f>
        <v/>
      </c>
      <c r="O211" s="35" t="n">
        <v>5.77</v>
      </c>
      <c r="P211" s="22">
        <f>IF(OR(H211="",L211="Cancelled"),"",ROUND(IFERROR(H211*INDEX(Settings!$C$6:$C$15,MATCH(M211,Settings!$B$6:$B$15,0))+INDEX(Settings!$D$6:$D$15,MATCH(M211,Settings!$B$6:$B$15,0)),0),2))</f>
        <v/>
      </c>
      <c r="Q211" s="28">
        <f>IF(OR(H211="",L211="Cancelled"),"",H211-N(N211)-N(O211)-N(P211))</f>
        <v/>
      </c>
      <c r="R211" s="19">
        <f>IF(OR(B211="",K211=""),"",IF(OR(L211="Sent",L211="Picked up"),"Done",IF(L211="Cancelled","Cancelled",IF(K211&lt;TODAY(),"Late by "&amp;(TODAY()-K211)&amp;IF((TODAY()-K211)=1," day"," days"),IF(K211=TODAY(),"Due today","Due in "&amp;(K211-TODAY())&amp;IF((K211-TODAY())=1," day"," days"))))))</f>
        <v/>
      </c>
      <c r="S211" s="33" t="n"/>
      <c r="T211" s="1">
        <f>IF(AND(B211&lt;&gt;"",K211&lt;&gt;"",L211&lt;&gt;"Sent",L211&lt;&gt;"Picked up",L211&lt;&gt;"Cancelled"),K211+ROW()/10000000,"")</f>
        <v/>
      </c>
      <c r="U211">
        <f>IF(OR(B211="",C211=""),"",B211+ROW()/10000000)</f>
        <v/>
      </c>
      <c r="V211">
        <f>IF(U211="","",IF(COUNTIFS(Orders!$C$6:$C$1005,C211,Orders!$U$6:$U$1005,"&gt;"&amp;U211)=0,1,0))</f>
        <v/>
      </c>
      <c r="W211">
        <f>IF(AND(B211&lt;&gt;"",K211&lt;&gt;"",L211&lt;&gt;"Sent",L211&lt;&gt;"Picked up",L211&lt;&gt;"Cancelled"),IF(N(E211)=0,1,E211),0)</f>
        <v/>
      </c>
      <c r="X211">
        <f>IF(OR(B211="",D211=""),"",IF(N(E211)=0,1,E211))</f>
        <v/>
      </c>
    </row>
    <row r="212">
      <c r="A212" s="1" t="n"/>
      <c r="B212" s="31" t="n">
        <v>46245</v>
      </c>
      <c r="C212" s="32" t="inlineStr">
        <is>
          <t>Paula Fox</t>
        </is>
      </c>
      <c r="D212" s="33" t="inlineStr">
        <is>
          <t>Soy candle 8 oz</t>
        </is>
      </c>
      <c r="E212" s="34" t="n">
        <v>1</v>
      </c>
      <c r="F212" s="35" t="n"/>
      <c r="G212" s="35" t="n">
        <v>6.95</v>
      </c>
      <c r="H212" s="30">
        <f>IF(OR(B212="",D212=""),"",IF(N(E212)=0,1,E212)*IFERROR(INDEX(Products!$C$6:$C$105,MATCH(D212,Products!$B$6:$B$105,0)),0)+N(F212)+N(G212))</f>
        <v/>
      </c>
      <c r="I212" s="35" t="n">
        <v>28.95</v>
      </c>
      <c r="J212" s="30">
        <f>IF(OR(H212="",L212="Cancelled"),"",IF(H212-N(I212)&gt;0.005,H212-N(I212),""))</f>
        <v/>
      </c>
      <c r="K212" s="31" t="n">
        <v>46255</v>
      </c>
      <c r="L212" s="36" t="inlineStr">
        <is>
          <t>Sent</t>
        </is>
      </c>
      <c r="M212" s="33" t="inlineStr">
        <is>
          <t>Etsy</t>
        </is>
      </c>
      <c r="N212" s="22">
        <f>IF(OR(H212="",L212="Cancelled"),"",IF(N(E212)=0,1,E212)*IFERROR(INDEX(Products!$E$6:$E$105,MATCH(D212,Products!$B$6:$B$105,0)),0))</f>
        <v/>
      </c>
      <c r="O212" s="35" t="n">
        <v>6.34</v>
      </c>
      <c r="P212" s="22">
        <f>IF(OR(H212="",L212="Cancelled"),"",ROUND(IFERROR(H212*INDEX(Settings!$C$6:$C$15,MATCH(M212,Settings!$B$6:$B$15,0))+INDEX(Settings!$D$6:$D$15,MATCH(M212,Settings!$B$6:$B$15,0)),0),2))</f>
        <v/>
      </c>
      <c r="Q212" s="28">
        <f>IF(OR(H212="",L212="Cancelled"),"",H212-N(N212)-N(O212)-N(P212))</f>
        <v/>
      </c>
      <c r="R212" s="19">
        <f>IF(OR(B212="",K212=""),"",IF(OR(L212="Sent",L212="Picked up"),"Done",IF(L212="Cancelled","Cancelled",IF(K212&lt;TODAY(),"Late by "&amp;(TODAY()-K212)&amp;IF((TODAY()-K212)=1," day"," days"),IF(K212=TODAY(),"Due today","Due in "&amp;(K212-TODAY())&amp;IF((K212-TODAY())=1," day"," days"))))))</f>
        <v/>
      </c>
      <c r="S212" s="33" t="n"/>
      <c r="T212" s="1">
        <f>IF(AND(B212&lt;&gt;"",K212&lt;&gt;"",L212&lt;&gt;"Sent",L212&lt;&gt;"Picked up",L212&lt;&gt;"Cancelled"),K212+ROW()/10000000,"")</f>
        <v/>
      </c>
      <c r="U212">
        <f>IF(OR(B212="",C212=""),"",B212+ROW()/10000000)</f>
        <v/>
      </c>
      <c r="V212">
        <f>IF(U212="","",IF(COUNTIFS(Orders!$C$6:$C$1005,C212,Orders!$U$6:$U$1005,"&gt;"&amp;U212)=0,1,0))</f>
        <v/>
      </c>
      <c r="W212">
        <f>IF(AND(B212&lt;&gt;"",K212&lt;&gt;"",L212&lt;&gt;"Sent",L212&lt;&gt;"Picked up",L212&lt;&gt;"Cancelled"),IF(N(E212)=0,1,E212),0)</f>
        <v/>
      </c>
      <c r="X212">
        <f>IF(OR(B212="",D212=""),"",IF(N(E212)=0,1,E212))</f>
        <v/>
      </c>
    </row>
    <row r="213">
      <c r="A213" s="1" t="n"/>
      <c r="B213" s="31" t="n">
        <v>46245</v>
      </c>
      <c r="C213" s="32" t="inlineStr">
        <is>
          <t>Adam Cox</t>
        </is>
      </c>
      <c r="D213" s="33" t="inlineStr">
        <is>
          <t>Gift box</t>
        </is>
      </c>
      <c r="E213" s="34" t="n">
        <v>3</v>
      </c>
      <c r="F213" s="35" t="n"/>
      <c r="G213" s="35" t="n">
        <v>6.95</v>
      </c>
      <c r="H213" s="30">
        <f>IF(OR(B213="",D213=""),"",IF(N(E213)=0,1,E213)*IFERROR(INDEX(Products!$C$6:$C$105,MATCH(D213,Products!$B$6:$B$105,0)),0)+N(F213)+N(G213))</f>
        <v/>
      </c>
      <c r="I213" s="35" t="n">
        <v>141.95</v>
      </c>
      <c r="J213" s="30">
        <f>IF(OR(H213="",L213="Cancelled"),"",IF(H213-N(I213)&gt;0.005,H213-N(I213),""))</f>
        <v/>
      </c>
      <c r="K213" s="31" t="n">
        <v>46252</v>
      </c>
      <c r="L213" s="36" t="inlineStr">
        <is>
          <t>Sent</t>
        </is>
      </c>
      <c r="M213" s="33" t="inlineStr">
        <is>
          <t>Own website</t>
        </is>
      </c>
      <c r="N213" s="22">
        <f>IF(OR(H213="",L213="Cancelled"),"",IF(N(E213)=0,1,E213)*IFERROR(INDEX(Products!$E$6:$E$105,MATCH(D213,Products!$B$6:$B$105,0)),0))</f>
        <v/>
      </c>
      <c r="O213" s="35" t="n">
        <v>7.72</v>
      </c>
      <c r="P213" s="22">
        <f>IF(OR(H213="",L213="Cancelled"),"",ROUND(IFERROR(H213*INDEX(Settings!$C$6:$C$15,MATCH(M213,Settings!$B$6:$B$15,0))+INDEX(Settings!$D$6:$D$15,MATCH(M213,Settings!$B$6:$B$15,0)),0),2))</f>
        <v/>
      </c>
      <c r="Q213" s="28">
        <f>IF(OR(H213="",L213="Cancelled"),"",H213-N(N213)-N(O213)-N(P213))</f>
        <v/>
      </c>
      <c r="R213" s="19">
        <f>IF(OR(B213="",K213=""),"",IF(OR(L213="Sent",L213="Picked up"),"Done",IF(L213="Cancelled","Cancelled",IF(K213&lt;TODAY(),"Late by "&amp;(TODAY()-K213)&amp;IF((TODAY()-K213)=1," day"," days"),IF(K213=TODAY(),"Due today","Due in "&amp;(K213-TODAY())&amp;IF((K213-TODAY())=1," day"," days"))))))</f>
        <v/>
      </c>
      <c r="S213" s="33" t="n"/>
      <c r="T213" s="1">
        <f>IF(AND(B213&lt;&gt;"",K213&lt;&gt;"",L213&lt;&gt;"Sent",L213&lt;&gt;"Picked up",L213&lt;&gt;"Cancelled"),K213+ROW()/10000000,"")</f>
        <v/>
      </c>
      <c r="U213">
        <f>IF(OR(B213="",C213=""),"",B213+ROW()/10000000)</f>
        <v/>
      </c>
      <c r="V213">
        <f>IF(U213="","",IF(COUNTIFS(Orders!$C$6:$C$1005,C213,Orders!$U$6:$U$1005,"&gt;"&amp;U213)=0,1,0))</f>
        <v/>
      </c>
      <c r="W213">
        <f>IF(AND(B213&lt;&gt;"",K213&lt;&gt;"",L213&lt;&gt;"Sent",L213&lt;&gt;"Picked up",L213&lt;&gt;"Cancelled"),IF(N(E213)=0,1,E213),0)</f>
        <v/>
      </c>
      <c r="X213">
        <f>IF(OR(B213="",D213=""),"",IF(N(E213)=0,1,E213))</f>
        <v/>
      </c>
    </row>
    <row r="214">
      <c r="A214" s="1" t="n"/>
      <c r="B214" s="31" t="n">
        <v>46246</v>
      </c>
      <c r="C214" s="32" t="inlineStr">
        <is>
          <t>Ava Adams</t>
        </is>
      </c>
      <c r="D214" s="33" t="inlineStr">
        <is>
          <t>Soap bar</t>
        </is>
      </c>
      <c r="E214" s="34" t="n">
        <v>2</v>
      </c>
      <c r="F214" s="35" t="n"/>
      <c r="G214" s="35" t="n"/>
      <c r="H214" s="30">
        <f>IF(OR(B214="",D214=""),"",IF(N(E214)=0,1,E214)*IFERROR(INDEX(Products!$C$6:$C$105,MATCH(D214,Products!$B$6:$B$105,0)),0)+N(F214)+N(G214))</f>
        <v/>
      </c>
      <c r="I214" s="35" t="n">
        <v>16</v>
      </c>
      <c r="J214" s="30">
        <f>IF(OR(H214="",L214="Cancelled"),"",IF(H214-N(I214)&gt;0.005,H214-N(I214),""))</f>
        <v/>
      </c>
      <c r="K214" s="31" t="n">
        <v>46258</v>
      </c>
      <c r="L214" s="36" t="inlineStr">
        <is>
          <t>Picked up</t>
        </is>
      </c>
      <c r="M214" s="33" t="inlineStr">
        <is>
          <t>Craft market</t>
        </is>
      </c>
      <c r="N214" s="22">
        <f>IF(OR(H214="",L214="Cancelled"),"",IF(N(E214)=0,1,E214)*IFERROR(INDEX(Products!$E$6:$E$105,MATCH(D214,Products!$B$6:$B$105,0)),0))</f>
        <v/>
      </c>
      <c r="O214" s="35" t="n"/>
      <c r="P214" s="22">
        <f>IF(OR(H214="",L214="Cancelled"),"",ROUND(IFERROR(H214*INDEX(Settings!$C$6:$C$15,MATCH(M214,Settings!$B$6:$B$15,0))+INDEX(Settings!$D$6:$D$15,MATCH(M214,Settings!$B$6:$B$15,0)),0),2))</f>
        <v/>
      </c>
      <c r="Q214" s="28">
        <f>IF(OR(H214="",L214="Cancelled"),"",H214-N(N214)-N(O214)-N(P214))</f>
        <v/>
      </c>
      <c r="R214" s="19">
        <f>IF(OR(B214="",K214=""),"",IF(OR(L214="Sent",L214="Picked up"),"Done",IF(L214="Cancelled","Cancelled",IF(K214&lt;TODAY(),"Late by "&amp;(TODAY()-K214)&amp;IF((TODAY()-K214)=1," day"," days"),IF(K214=TODAY(),"Due today","Due in "&amp;(K214-TODAY())&amp;IF((K214-TODAY())=1," day"," days"))))))</f>
        <v/>
      </c>
      <c r="S214" s="33" t="n"/>
      <c r="T214" s="1">
        <f>IF(AND(B214&lt;&gt;"",K214&lt;&gt;"",L214&lt;&gt;"Sent",L214&lt;&gt;"Picked up",L214&lt;&gt;"Cancelled"),K214+ROW()/10000000,"")</f>
        <v/>
      </c>
      <c r="U214">
        <f>IF(OR(B214="",C214=""),"",B214+ROW()/10000000)</f>
        <v/>
      </c>
      <c r="V214">
        <f>IF(U214="","",IF(COUNTIFS(Orders!$C$6:$C$1005,C214,Orders!$U$6:$U$1005,"&gt;"&amp;U214)=0,1,0))</f>
        <v/>
      </c>
      <c r="W214">
        <f>IF(AND(B214&lt;&gt;"",K214&lt;&gt;"",L214&lt;&gt;"Sent",L214&lt;&gt;"Picked up",L214&lt;&gt;"Cancelled"),IF(N(E214)=0,1,E214),0)</f>
        <v/>
      </c>
      <c r="X214">
        <f>IF(OR(B214="",D214=""),"",IF(N(E214)=0,1,E214))</f>
        <v/>
      </c>
    </row>
    <row r="215">
      <c r="A215" s="1" t="n"/>
      <c r="B215" s="31" t="n">
        <v>46247</v>
      </c>
      <c r="C215" s="32" t="inlineStr">
        <is>
          <t>Nina Reed</t>
        </is>
      </c>
      <c r="D215" s="33" t="inlineStr">
        <is>
          <t>Soy candle 8 oz</t>
        </is>
      </c>
      <c r="E215" s="34" t="n">
        <v>4</v>
      </c>
      <c r="F215" s="35" t="n"/>
      <c r="G215" s="35" t="n">
        <v>6.95</v>
      </c>
      <c r="H215" s="30">
        <f>IF(OR(B215="",D215=""),"",IF(N(E215)=0,1,E215)*IFERROR(INDEX(Products!$C$6:$C$105,MATCH(D215,Products!$B$6:$B$105,0)),0)+N(F215)+N(G215))</f>
        <v/>
      </c>
      <c r="I215" s="35" t="n">
        <v>94.95</v>
      </c>
      <c r="J215" s="30">
        <f>IF(OR(H215="",L215="Cancelled"),"",IF(H215-N(I215)&gt;0.005,H215-N(I215),""))</f>
        <v/>
      </c>
      <c r="K215" s="31" t="n">
        <v>46252</v>
      </c>
      <c r="L215" s="36" t="inlineStr">
        <is>
          <t>Sent</t>
        </is>
      </c>
      <c r="M215" s="33" t="inlineStr">
        <is>
          <t>Etsy</t>
        </is>
      </c>
      <c r="N215" s="22">
        <f>IF(OR(H215="",L215="Cancelled"),"",IF(N(E215)=0,1,E215)*IFERROR(INDEX(Products!$E$6:$E$105,MATCH(D215,Products!$B$6:$B$105,0)),0))</f>
        <v/>
      </c>
      <c r="O215" s="35" t="n">
        <v>5.92</v>
      </c>
      <c r="P215" s="22">
        <f>IF(OR(H215="",L215="Cancelled"),"",ROUND(IFERROR(H215*INDEX(Settings!$C$6:$C$15,MATCH(M215,Settings!$B$6:$B$15,0))+INDEX(Settings!$D$6:$D$15,MATCH(M215,Settings!$B$6:$B$15,0)),0),2))</f>
        <v/>
      </c>
      <c r="Q215" s="28">
        <f>IF(OR(H215="",L215="Cancelled"),"",H215-N(N215)-N(O215)-N(P215))</f>
        <v/>
      </c>
      <c r="R215" s="19">
        <f>IF(OR(B215="",K215=""),"",IF(OR(L215="Sent",L215="Picked up"),"Done",IF(L215="Cancelled","Cancelled",IF(K215&lt;TODAY(),"Late by "&amp;(TODAY()-K215)&amp;IF((TODAY()-K215)=1," day"," days"),IF(K215=TODAY(),"Due today","Due in "&amp;(K215-TODAY())&amp;IF((K215-TODAY())=1," day"," days"))))))</f>
        <v/>
      </c>
      <c r="S215" s="33" t="n"/>
      <c r="T215" s="1">
        <f>IF(AND(B215&lt;&gt;"",K215&lt;&gt;"",L215&lt;&gt;"Sent",L215&lt;&gt;"Picked up",L215&lt;&gt;"Cancelled"),K215+ROW()/10000000,"")</f>
        <v/>
      </c>
      <c r="U215">
        <f>IF(OR(B215="",C215=""),"",B215+ROW()/10000000)</f>
        <v/>
      </c>
      <c r="V215">
        <f>IF(U215="","",IF(COUNTIFS(Orders!$C$6:$C$1005,C215,Orders!$U$6:$U$1005,"&gt;"&amp;U215)=0,1,0))</f>
        <v/>
      </c>
      <c r="W215">
        <f>IF(AND(B215&lt;&gt;"",K215&lt;&gt;"",L215&lt;&gt;"Sent",L215&lt;&gt;"Picked up",L215&lt;&gt;"Cancelled"),IF(N(E215)=0,1,E215),0)</f>
        <v/>
      </c>
      <c r="X215">
        <f>IF(OR(B215="",D215=""),"",IF(N(E215)=0,1,E215))</f>
        <v/>
      </c>
    </row>
    <row r="216">
      <c r="A216" s="1" t="n"/>
      <c r="B216" s="31" t="n">
        <v>46247</v>
      </c>
      <c r="C216" s="32" t="inlineStr">
        <is>
          <t>Lily Gray</t>
        </is>
      </c>
      <c r="D216" s="33" t="inlineStr">
        <is>
          <t>Soy candle 8 oz</t>
        </is>
      </c>
      <c r="E216" s="34" t="n">
        <v>2</v>
      </c>
      <c r="F216" s="35" t="n"/>
      <c r="G216" s="35" t="n"/>
      <c r="H216" s="30">
        <f>IF(OR(B216="",D216=""),"",IF(N(E216)=0,1,E216)*IFERROR(INDEX(Products!$C$6:$C$105,MATCH(D216,Products!$B$6:$B$105,0)),0)+N(F216)+N(G216))</f>
        <v/>
      </c>
      <c r="I216" s="35" t="n">
        <v>44</v>
      </c>
      <c r="J216" s="30">
        <f>IF(OR(H216="",L216="Cancelled"),"",IF(H216-N(I216)&gt;0.005,H216-N(I216),""))</f>
        <v/>
      </c>
      <c r="K216" s="31" t="n">
        <v>46255</v>
      </c>
      <c r="L216" s="36" t="inlineStr">
        <is>
          <t>Picked up</t>
        </is>
      </c>
      <c r="M216" s="33" t="inlineStr">
        <is>
          <t>Friends and family</t>
        </is>
      </c>
      <c r="N216" s="22">
        <f>IF(OR(H216="",L216="Cancelled"),"",IF(N(E216)=0,1,E216)*IFERROR(INDEX(Products!$E$6:$E$105,MATCH(D216,Products!$B$6:$B$105,0)),0))</f>
        <v/>
      </c>
      <c r="O216" s="35" t="n"/>
      <c r="P216" s="22">
        <f>IF(OR(H216="",L216="Cancelled"),"",ROUND(IFERROR(H216*INDEX(Settings!$C$6:$C$15,MATCH(M216,Settings!$B$6:$B$15,0))+INDEX(Settings!$D$6:$D$15,MATCH(M216,Settings!$B$6:$B$15,0)),0),2))</f>
        <v/>
      </c>
      <c r="Q216" s="28">
        <f>IF(OR(H216="",L216="Cancelled"),"",H216-N(N216)-N(O216)-N(P216))</f>
        <v/>
      </c>
      <c r="R216" s="19">
        <f>IF(OR(B216="",K216=""),"",IF(OR(L216="Sent",L216="Picked up"),"Done",IF(L216="Cancelled","Cancelled",IF(K216&lt;TODAY(),"Late by "&amp;(TODAY()-K216)&amp;IF((TODAY()-K216)=1," day"," days"),IF(K216=TODAY(),"Due today","Due in "&amp;(K216-TODAY())&amp;IF((K216-TODAY())=1," day"," days"))))))</f>
        <v/>
      </c>
      <c r="S216" s="33" t="n"/>
      <c r="T216" s="1">
        <f>IF(AND(B216&lt;&gt;"",K216&lt;&gt;"",L216&lt;&gt;"Sent",L216&lt;&gt;"Picked up",L216&lt;&gt;"Cancelled"),K216+ROW()/10000000,"")</f>
        <v/>
      </c>
      <c r="U216">
        <f>IF(OR(B216="",C216=""),"",B216+ROW()/10000000)</f>
        <v/>
      </c>
      <c r="V216">
        <f>IF(U216="","",IF(COUNTIFS(Orders!$C$6:$C$1005,C216,Orders!$U$6:$U$1005,"&gt;"&amp;U216)=0,1,0))</f>
        <v/>
      </c>
      <c r="W216">
        <f>IF(AND(B216&lt;&gt;"",K216&lt;&gt;"",L216&lt;&gt;"Sent",L216&lt;&gt;"Picked up",L216&lt;&gt;"Cancelled"),IF(N(E216)=0,1,E216),0)</f>
        <v/>
      </c>
      <c r="X216">
        <f>IF(OR(B216="",D216=""),"",IF(N(E216)=0,1,E216))</f>
        <v/>
      </c>
    </row>
    <row r="217">
      <c r="A217" s="1" t="n"/>
      <c r="B217" s="31" t="n">
        <v>46249</v>
      </c>
      <c r="C217" s="32" t="inlineStr">
        <is>
          <t>Adam Cox</t>
        </is>
      </c>
      <c r="D217" s="33" t="inlineStr">
        <is>
          <t>Gift box</t>
        </is>
      </c>
      <c r="E217" s="34" t="n">
        <v>1</v>
      </c>
      <c r="F217" s="35" t="n"/>
      <c r="G217" s="35" t="n">
        <v>6.95</v>
      </c>
      <c r="H217" s="30">
        <f>IF(OR(B217="",D217=""),"",IF(N(E217)=0,1,E217)*IFERROR(INDEX(Products!$C$6:$C$105,MATCH(D217,Products!$B$6:$B$105,0)),0)+N(F217)+N(G217))</f>
        <v/>
      </c>
      <c r="I217" s="35" t="n">
        <v>51.95</v>
      </c>
      <c r="J217" s="30">
        <f>IF(OR(H217="",L217="Cancelled"),"",IF(H217-N(I217)&gt;0.005,H217-N(I217),""))</f>
        <v/>
      </c>
      <c r="K217" s="31" t="n">
        <v>46260</v>
      </c>
      <c r="L217" s="36" t="inlineStr">
        <is>
          <t>Sent</t>
        </is>
      </c>
      <c r="M217" s="33" t="inlineStr">
        <is>
          <t>Etsy</t>
        </is>
      </c>
      <c r="N217" s="22">
        <f>IF(OR(H217="",L217="Cancelled"),"",IF(N(E217)=0,1,E217)*IFERROR(INDEX(Products!$E$6:$E$105,MATCH(D217,Products!$B$6:$B$105,0)),0))</f>
        <v/>
      </c>
      <c r="O217" s="35" t="n">
        <v>6.47</v>
      </c>
      <c r="P217" s="22">
        <f>IF(OR(H217="",L217="Cancelled"),"",ROUND(IFERROR(H217*INDEX(Settings!$C$6:$C$15,MATCH(M217,Settings!$B$6:$B$15,0))+INDEX(Settings!$D$6:$D$15,MATCH(M217,Settings!$B$6:$B$15,0)),0),2))</f>
        <v/>
      </c>
      <c r="Q217" s="28">
        <f>IF(OR(H217="",L217="Cancelled"),"",H217-N(N217)-N(O217)-N(P217))</f>
        <v/>
      </c>
      <c r="R217" s="19">
        <f>IF(OR(B217="",K217=""),"",IF(OR(L217="Sent",L217="Picked up"),"Done",IF(L217="Cancelled","Cancelled",IF(K217&lt;TODAY(),"Late by "&amp;(TODAY()-K217)&amp;IF((TODAY()-K217)=1," day"," days"),IF(K217=TODAY(),"Due today","Due in "&amp;(K217-TODAY())&amp;IF((K217-TODAY())=1," day"," days"))))))</f>
        <v/>
      </c>
      <c r="S217" s="33" t="n"/>
      <c r="T217" s="1">
        <f>IF(AND(B217&lt;&gt;"",K217&lt;&gt;"",L217&lt;&gt;"Sent",L217&lt;&gt;"Picked up",L217&lt;&gt;"Cancelled"),K217+ROW()/10000000,"")</f>
        <v/>
      </c>
      <c r="U217">
        <f>IF(OR(B217="",C217=""),"",B217+ROW()/10000000)</f>
        <v/>
      </c>
      <c r="V217">
        <f>IF(U217="","",IF(COUNTIFS(Orders!$C$6:$C$1005,C217,Orders!$U$6:$U$1005,"&gt;"&amp;U217)=0,1,0))</f>
        <v/>
      </c>
      <c r="W217">
        <f>IF(AND(B217&lt;&gt;"",K217&lt;&gt;"",L217&lt;&gt;"Sent",L217&lt;&gt;"Picked up",L217&lt;&gt;"Cancelled"),IF(N(E217)=0,1,E217),0)</f>
        <v/>
      </c>
      <c r="X217">
        <f>IF(OR(B217="",D217=""),"",IF(N(E217)=0,1,E217))</f>
        <v/>
      </c>
    </row>
    <row r="218">
      <c r="A218" s="1" t="n"/>
      <c r="B218" s="31" t="n">
        <v>46250</v>
      </c>
      <c r="C218" s="32" t="inlineStr">
        <is>
          <t>Lily Gray</t>
        </is>
      </c>
      <c r="D218" s="33" t="inlineStr">
        <is>
          <t>Wax melts, 6 pack</t>
        </is>
      </c>
      <c r="E218" s="34" t="n">
        <v>1</v>
      </c>
      <c r="F218" s="35" t="n"/>
      <c r="G218" s="35" t="n"/>
      <c r="H218" s="30">
        <f>IF(OR(B218="",D218=""),"",IF(N(E218)=0,1,E218)*IFERROR(INDEX(Products!$C$6:$C$105,MATCH(D218,Products!$B$6:$B$105,0)),0)+N(F218)+N(G218))</f>
        <v/>
      </c>
      <c r="I218" s="35" t="n">
        <v>9</v>
      </c>
      <c r="J218" s="30">
        <f>IF(OR(H218="",L218="Cancelled"),"",IF(H218-N(I218)&gt;0.005,H218-N(I218),""))</f>
        <v/>
      </c>
      <c r="K218" s="31" t="n">
        <v>46261</v>
      </c>
      <c r="L218" s="36" t="inlineStr">
        <is>
          <t>Picked up</t>
        </is>
      </c>
      <c r="M218" s="33" t="inlineStr">
        <is>
          <t>Friends and family</t>
        </is>
      </c>
      <c r="N218" s="22">
        <f>IF(OR(H218="",L218="Cancelled"),"",IF(N(E218)=0,1,E218)*IFERROR(INDEX(Products!$E$6:$E$105,MATCH(D218,Products!$B$6:$B$105,0)),0))</f>
        <v/>
      </c>
      <c r="O218" s="35" t="n"/>
      <c r="P218" s="22">
        <f>IF(OR(H218="",L218="Cancelled"),"",ROUND(IFERROR(H218*INDEX(Settings!$C$6:$C$15,MATCH(M218,Settings!$B$6:$B$15,0))+INDEX(Settings!$D$6:$D$15,MATCH(M218,Settings!$B$6:$B$15,0)),0),2))</f>
        <v/>
      </c>
      <c r="Q218" s="28">
        <f>IF(OR(H218="",L218="Cancelled"),"",H218-N(N218)-N(O218)-N(P218))</f>
        <v/>
      </c>
      <c r="R218" s="19">
        <f>IF(OR(B218="",K218=""),"",IF(OR(L218="Sent",L218="Picked up"),"Done",IF(L218="Cancelled","Cancelled",IF(K218&lt;TODAY(),"Late by "&amp;(TODAY()-K218)&amp;IF((TODAY()-K218)=1," day"," days"),IF(K218=TODAY(),"Due today","Due in "&amp;(K218-TODAY())&amp;IF((K218-TODAY())=1," day"," days"))))))</f>
        <v/>
      </c>
      <c r="S218" s="33" t="n"/>
      <c r="T218" s="1">
        <f>IF(AND(B218&lt;&gt;"",K218&lt;&gt;"",L218&lt;&gt;"Sent",L218&lt;&gt;"Picked up",L218&lt;&gt;"Cancelled"),K218+ROW()/10000000,"")</f>
        <v/>
      </c>
      <c r="U218">
        <f>IF(OR(B218="",C218=""),"",B218+ROW()/10000000)</f>
        <v/>
      </c>
      <c r="V218">
        <f>IF(U218="","",IF(COUNTIFS(Orders!$C$6:$C$1005,C218,Orders!$U$6:$U$1005,"&gt;"&amp;U218)=0,1,0))</f>
        <v/>
      </c>
      <c r="W218">
        <f>IF(AND(B218&lt;&gt;"",K218&lt;&gt;"",L218&lt;&gt;"Sent",L218&lt;&gt;"Picked up",L218&lt;&gt;"Cancelled"),IF(N(E218)=0,1,E218),0)</f>
        <v/>
      </c>
      <c r="X218">
        <f>IF(OR(B218="",D218=""),"",IF(N(E218)=0,1,E218))</f>
        <v/>
      </c>
    </row>
    <row r="219">
      <c r="A219" s="1" t="n"/>
      <c r="B219" s="31" t="n">
        <v>46251</v>
      </c>
      <c r="C219" s="32" t="inlineStr">
        <is>
          <t>Megan Murphy</t>
        </is>
      </c>
      <c r="D219" s="33" t="inlineStr">
        <is>
          <t>Soap bar</t>
        </is>
      </c>
      <c r="E219" s="34" t="n">
        <v>2</v>
      </c>
      <c r="F219" s="35" t="n"/>
      <c r="G219" s="35" t="n"/>
      <c r="H219" s="30">
        <f>IF(OR(B219="",D219=""),"",IF(N(E219)=0,1,E219)*IFERROR(INDEX(Products!$C$6:$C$105,MATCH(D219,Products!$B$6:$B$105,0)),0)+N(F219)+N(G219))</f>
        <v/>
      </c>
      <c r="I219" s="35" t="n">
        <v>16</v>
      </c>
      <c r="J219" s="30">
        <f>IF(OR(H219="",L219="Cancelled"),"",IF(H219-N(I219)&gt;0.005,H219-N(I219),""))</f>
        <v/>
      </c>
      <c r="K219" s="31" t="n">
        <v>46257</v>
      </c>
      <c r="L219" s="36" t="inlineStr">
        <is>
          <t>Picked up</t>
        </is>
      </c>
      <c r="M219" s="33" t="inlineStr">
        <is>
          <t>Friends and family</t>
        </is>
      </c>
      <c r="N219" s="22">
        <f>IF(OR(H219="",L219="Cancelled"),"",IF(N(E219)=0,1,E219)*IFERROR(INDEX(Products!$E$6:$E$105,MATCH(D219,Products!$B$6:$B$105,0)),0))</f>
        <v/>
      </c>
      <c r="O219" s="35" t="n"/>
      <c r="P219" s="22">
        <f>IF(OR(H219="",L219="Cancelled"),"",ROUND(IFERROR(H219*INDEX(Settings!$C$6:$C$15,MATCH(M219,Settings!$B$6:$B$15,0))+INDEX(Settings!$D$6:$D$15,MATCH(M219,Settings!$B$6:$B$15,0)),0),2))</f>
        <v/>
      </c>
      <c r="Q219" s="28">
        <f>IF(OR(H219="",L219="Cancelled"),"",H219-N(N219)-N(O219)-N(P219))</f>
        <v/>
      </c>
      <c r="R219" s="19">
        <f>IF(OR(B219="",K219=""),"",IF(OR(L219="Sent",L219="Picked up"),"Done",IF(L219="Cancelled","Cancelled",IF(K219&lt;TODAY(),"Late by "&amp;(TODAY()-K219)&amp;IF((TODAY()-K219)=1," day"," days"),IF(K219=TODAY(),"Due today","Due in "&amp;(K219-TODAY())&amp;IF((K219-TODAY())=1," day"," days"))))))</f>
        <v/>
      </c>
      <c r="S219" s="33" t="n"/>
      <c r="T219" s="1">
        <f>IF(AND(B219&lt;&gt;"",K219&lt;&gt;"",L219&lt;&gt;"Sent",L219&lt;&gt;"Picked up",L219&lt;&gt;"Cancelled"),K219+ROW()/10000000,"")</f>
        <v/>
      </c>
      <c r="U219">
        <f>IF(OR(B219="",C219=""),"",B219+ROW()/10000000)</f>
        <v/>
      </c>
      <c r="V219">
        <f>IF(U219="","",IF(COUNTIFS(Orders!$C$6:$C$1005,C219,Orders!$U$6:$U$1005,"&gt;"&amp;U219)=0,1,0))</f>
        <v/>
      </c>
      <c r="W219">
        <f>IF(AND(B219&lt;&gt;"",K219&lt;&gt;"",L219&lt;&gt;"Sent",L219&lt;&gt;"Picked up",L219&lt;&gt;"Cancelled"),IF(N(E219)=0,1,E219),0)</f>
        <v/>
      </c>
      <c r="X219">
        <f>IF(OR(B219="",D219=""),"",IF(N(E219)=0,1,E219))</f>
        <v/>
      </c>
    </row>
    <row r="220">
      <c r="A220" s="1" t="n"/>
      <c r="B220" s="31" t="n">
        <v>46252</v>
      </c>
      <c r="C220" s="32" t="inlineStr">
        <is>
          <t>Ava Hill</t>
        </is>
      </c>
      <c r="D220" s="33" t="inlineStr">
        <is>
          <t>Soap bar</t>
        </is>
      </c>
      <c r="E220" s="34" t="n">
        <v>2</v>
      </c>
      <c r="F220" s="35" t="n"/>
      <c r="G220" s="35" t="n">
        <v>6.95</v>
      </c>
      <c r="H220" s="30">
        <f>IF(OR(B220="",D220=""),"",IF(N(E220)=0,1,E220)*IFERROR(INDEX(Products!$C$6:$C$105,MATCH(D220,Products!$B$6:$B$105,0)),0)+N(F220)+N(G220))</f>
        <v/>
      </c>
      <c r="I220" s="35" t="n">
        <v>22.95</v>
      </c>
      <c r="J220" s="30">
        <f>IF(OR(H220="",L220="Cancelled"),"",IF(H220-N(I220)&gt;0.005,H220-N(I220),""))</f>
        <v/>
      </c>
      <c r="K220" s="31" t="n">
        <v>46264</v>
      </c>
      <c r="L220" s="36" t="inlineStr">
        <is>
          <t>Sent</t>
        </is>
      </c>
      <c r="M220" s="33" t="inlineStr">
        <is>
          <t>Etsy</t>
        </is>
      </c>
      <c r="N220" s="22">
        <f>IF(OR(H220="",L220="Cancelled"),"",IF(N(E220)=0,1,E220)*IFERROR(INDEX(Products!$E$6:$E$105,MATCH(D220,Products!$B$6:$B$105,0)),0))</f>
        <v/>
      </c>
      <c r="O220" s="35" t="n">
        <v>5.93</v>
      </c>
      <c r="P220" s="22">
        <f>IF(OR(H220="",L220="Cancelled"),"",ROUND(IFERROR(H220*INDEX(Settings!$C$6:$C$15,MATCH(M220,Settings!$B$6:$B$15,0))+INDEX(Settings!$D$6:$D$15,MATCH(M220,Settings!$B$6:$B$15,0)),0),2))</f>
        <v/>
      </c>
      <c r="Q220" s="28">
        <f>IF(OR(H220="",L220="Cancelled"),"",H220-N(N220)-N(O220)-N(P220))</f>
        <v/>
      </c>
      <c r="R220" s="19">
        <f>IF(OR(B220="",K220=""),"",IF(OR(L220="Sent",L220="Picked up"),"Done",IF(L220="Cancelled","Cancelled",IF(K220&lt;TODAY(),"Late by "&amp;(TODAY()-K220)&amp;IF((TODAY()-K220)=1," day"," days"),IF(K220=TODAY(),"Due today","Due in "&amp;(K220-TODAY())&amp;IF((K220-TODAY())=1," day"," days"))))))</f>
        <v/>
      </c>
      <c r="S220" s="33" t="n"/>
      <c r="T220" s="1">
        <f>IF(AND(B220&lt;&gt;"",K220&lt;&gt;"",L220&lt;&gt;"Sent",L220&lt;&gt;"Picked up",L220&lt;&gt;"Cancelled"),K220+ROW()/10000000,"")</f>
        <v/>
      </c>
      <c r="U220">
        <f>IF(OR(B220="",C220=""),"",B220+ROW()/10000000)</f>
        <v/>
      </c>
      <c r="V220">
        <f>IF(U220="","",IF(COUNTIFS(Orders!$C$6:$C$1005,C220,Orders!$U$6:$U$1005,"&gt;"&amp;U220)=0,1,0))</f>
        <v/>
      </c>
      <c r="W220">
        <f>IF(AND(B220&lt;&gt;"",K220&lt;&gt;"",L220&lt;&gt;"Sent",L220&lt;&gt;"Picked up",L220&lt;&gt;"Cancelled"),IF(N(E220)=0,1,E220),0)</f>
        <v/>
      </c>
      <c r="X220">
        <f>IF(OR(B220="",D220=""),"",IF(N(E220)=0,1,E220))</f>
        <v/>
      </c>
    </row>
    <row r="221">
      <c r="A221" s="1" t="n"/>
      <c r="B221" s="31" t="n">
        <v>46253</v>
      </c>
      <c r="C221" s="32" t="inlineStr">
        <is>
          <t>Holly Cox</t>
        </is>
      </c>
      <c r="D221" s="33" t="inlineStr">
        <is>
          <t>Soy candle 8 oz</t>
        </is>
      </c>
      <c r="E221" s="34" t="n">
        <v>4</v>
      </c>
      <c r="F221" s="35" t="n"/>
      <c r="G221" s="35" t="n"/>
      <c r="H221" s="30">
        <f>IF(OR(B221="",D221=""),"",IF(N(E221)=0,1,E221)*IFERROR(INDEX(Products!$C$6:$C$105,MATCH(D221,Products!$B$6:$B$105,0)),0)+N(F221)+N(G221))</f>
        <v/>
      </c>
      <c r="I221" s="35" t="n">
        <v>88</v>
      </c>
      <c r="J221" s="30">
        <f>IF(OR(H221="",L221="Cancelled"),"",IF(H221-N(I221)&gt;0.005,H221-N(I221),""))</f>
        <v/>
      </c>
      <c r="K221" s="31" t="n">
        <v>46258</v>
      </c>
      <c r="L221" s="36" t="inlineStr">
        <is>
          <t>Picked up</t>
        </is>
      </c>
      <c r="M221" s="33" t="inlineStr">
        <is>
          <t>Craft market</t>
        </is>
      </c>
      <c r="N221" s="22">
        <f>IF(OR(H221="",L221="Cancelled"),"",IF(N(E221)=0,1,E221)*IFERROR(INDEX(Products!$E$6:$E$105,MATCH(D221,Products!$B$6:$B$105,0)),0))</f>
        <v/>
      </c>
      <c r="O221" s="35" t="n"/>
      <c r="P221" s="22">
        <f>IF(OR(H221="",L221="Cancelled"),"",ROUND(IFERROR(H221*INDEX(Settings!$C$6:$C$15,MATCH(M221,Settings!$B$6:$B$15,0))+INDEX(Settings!$D$6:$D$15,MATCH(M221,Settings!$B$6:$B$15,0)),0),2))</f>
        <v/>
      </c>
      <c r="Q221" s="28">
        <f>IF(OR(H221="",L221="Cancelled"),"",H221-N(N221)-N(O221)-N(P221))</f>
        <v/>
      </c>
      <c r="R221" s="19">
        <f>IF(OR(B221="",K221=""),"",IF(OR(L221="Sent",L221="Picked up"),"Done",IF(L221="Cancelled","Cancelled",IF(K221&lt;TODAY(),"Late by "&amp;(TODAY()-K221)&amp;IF((TODAY()-K221)=1," day"," days"),IF(K221=TODAY(),"Due today","Due in "&amp;(K221-TODAY())&amp;IF((K221-TODAY())=1," day"," days"))))))</f>
        <v/>
      </c>
      <c r="S221" s="33" t="n"/>
      <c r="T221" s="1">
        <f>IF(AND(B221&lt;&gt;"",K221&lt;&gt;"",L221&lt;&gt;"Sent",L221&lt;&gt;"Picked up",L221&lt;&gt;"Cancelled"),K221+ROW()/10000000,"")</f>
        <v/>
      </c>
      <c r="U221">
        <f>IF(OR(B221="",C221=""),"",B221+ROW()/10000000)</f>
        <v/>
      </c>
      <c r="V221">
        <f>IF(U221="","",IF(COUNTIFS(Orders!$C$6:$C$1005,C221,Orders!$U$6:$U$1005,"&gt;"&amp;U221)=0,1,0))</f>
        <v/>
      </c>
      <c r="W221">
        <f>IF(AND(B221&lt;&gt;"",K221&lt;&gt;"",L221&lt;&gt;"Sent",L221&lt;&gt;"Picked up",L221&lt;&gt;"Cancelled"),IF(N(E221)=0,1,E221),0)</f>
        <v/>
      </c>
      <c r="X221">
        <f>IF(OR(B221="",D221=""),"",IF(N(E221)=0,1,E221))</f>
        <v/>
      </c>
    </row>
    <row r="222">
      <c r="A222" s="1" t="n"/>
      <c r="B222" s="31" t="n">
        <v>46253</v>
      </c>
      <c r="C222" s="32" t="inlineStr">
        <is>
          <t>Hannah Cole</t>
        </is>
      </c>
      <c r="D222" s="33" t="inlineStr">
        <is>
          <t>Soy candle 16 oz</t>
        </is>
      </c>
      <c r="E222" s="34" t="n">
        <v>2</v>
      </c>
      <c r="F222" s="35" t="n"/>
      <c r="G222" s="35" t="n">
        <v>6.95</v>
      </c>
      <c r="H222" s="30">
        <f>IF(OR(B222="",D222=""),"",IF(N(E222)=0,1,E222)*IFERROR(INDEX(Products!$C$6:$C$105,MATCH(D222,Products!$B$6:$B$105,0)),0)+N(F222)+N(G222))</f>
        <v/>
      </c>
      <c r="I222" s="35" t="n">
        <v>74.95</v>
      </c>
      <c r="J222" s="30">
        <f>IF(OR(H222="",L222="Cancelled"),"",IF(H222-N(I222)&gt;0.005,H222-N(I222),""))</f>
        <v/>
      </c>
      <c r="K222" s="31" t="n">
        <v>46257</v>
      </c>
      <c r="L222" s="36" t="inlineStr">
        <is>
          <t>Sent</t>
        </is>
      </c>
      <c r="M222" s="33" t="inlineStr">
        <is>
          <t>Etsy</t>
        </is>
      </c>
      <c r="N222" s="22">
        <f>IF(OR(H222="",L222="Cancelled"),"",IF(N(E222)=0,1,E222)*IFERROR(INDEX(Products!$E$6:$E$105,MATCH(D222,Products!$B$6:$B$105,0)),0))</f>
        <v/>
      </c>
      <c r="O222" s="35" t="n">
        <v>5.99</v>
      </c>
      <c r="P222" s="22">
        <f>IF(OR(H222="",L222="Cancelled"),"",ROUND(IFERROR(H222*INDEX(Settings!$C$6:$C$15,MATCH(M222,Settings!$B$6:$B$15,0))+INDEX(Settings!$D$6:$D$15,MATCH(M222,Settings!$B$6:$B$15,0)),0),2))</f>
        <v/>
      </c>
      <c r="Q222" s="28">
        <f>IF(OR(H222="",L222="Cancelled"),"",H222-N(N222)-N(O222)-N(P222))</f>
        <v/>
      </c>
      <c r="R222" s="19">
        <f>IF(OR(B222="",K222=""),"",IF(OR(L222="Sent",L222="Picked up"),"Done",IF(L222="Cancelled","Cancelled",IF(K222&lt;TODAY(),"Late by "&amp;(TODAY()-K222)&amp;IF((TODAY()-K222)=1," day"," days"),IF(K222=TODAY(),"Due today","Due in "&amp;(K222-TODAY())&amp;IF((K222-TODAY())=1," day"," days"))))))</f>
        <v/>
      </c>
      <c r="S222" s="33" t="n"/>
      <c r="T222" s="1">
        <f>IF(AND(B222&lt;&gt;"",K222&lt;&gt;"",L222&lt;&gt;"Sent",L222&lt;&gt;"Picked up",L222&lt;&gt;"Cancelled"),K222+ROW()/10000000,"")</f>
        <v/>
      </c>
      <c r="U222">
        <f>IF(OR(B222="",C222=""),"",B222+ROW()/10000000)</f>
        <v/>
      </c>
      <c r="V222">
        <f>IF(U222="","",IF(COUNTIFS(Orders!$C$6:$C$1005,C222,Orders!$U$6:$U$1005,"&gt;"&amp;U222)=0,1,0))</f>
        <v/>
      </c>
      <c r="W222">
        <f>IF(AND(B222&lt;&gt;"",K222&lt;&gt;"",L222&lt;&gt;"Sent",L222&lt;&gt;"Picked up",L222&lt;&gt;"Cancelled"),IF(N(E222)=0,1,E222),0)</f>
        <v/>
      </c>
      <c r="X222">
        <f>IF(OR(B222="",D222=""),"",IF(N(E222)=0,1,E222))</f>
        <v/>
      </c>
    </row>
    <row r="223">
      <c r="A223" s="1" t="n"/>
      <c r="B223" s="31" t="n">
        <v>46254</v>
      </c>
      <c r="C223" s="32" t="inlineStr">
        <is>
          <t>Ava Adams</t>
        </is>
      </c>
      <c r="D223" s="33" t="inlineStr">
        <is>
          <t>Soap bar</t>
        </is>
      </c>
      <c r="E223" s="34" t="n">
        <v>2</v>
      </c>
      <c r="F223" s="35" t="n"/>
      <c r="G223" s="35" t="n"/>
      <c r="H223" s="30">
        <f>IF(OR(B223="",D223=""),"",IF(N(E223)=0,1,E223)*IFERROR(INDEX(Products!$C$6:$C$105,MATCH(D223,Products!$B$6:$B$105,0)),0)+N(F223)+N(G223))</f>
        <v/>
      </c>
      <c r="I223" s="35" t="n">
        <v>16</v>
      </c>
      <c r="J223" s="30">
        <f>IF(OR(H223="",L223="Cancelled"),"",IF(H223-N(I223)&gt;0.005,H223-N(I223),""))</f>
        <v/>
      </c>
      <c r="K223" s="31" t="n">
        <v>46258</v>
      </c>
      <c r="L223" s="36" t="inlineStr">
        <is>
          <t>Picked up</t>
        </is>
      </c>
      <c r="M223" s="33" t="inlineStr">
        <is>
          <t>Instagram</t>
        </is>
      </c>
      <c r="N223" s="22">
        <f>IF(OR(H223="",L223="Cancelled"),"",IF(N(E223)=0,1,E223)*IFERROR(INDEX(Products!$E$6:$E$105,MATCH(D223,Products!$B$6:$B$105,0)),0))</f>
        <v/>
      </c>
      <c r="O223" s="35" t="n"/>
      <c r="P223" s="22">
        <f>IF(OR(H223="",L223="Cancelled"),"",ROUND(IFERROR(H223*INDEX(Settings!$C$6:$C$15,MATCH(M223,Settings!$B$6:$B$15,0))+INDEX(Settings!$D$6:$D$15,MATCH(M223,Settings!$B$6:$B$15,0)),0),2))</f>
        <v/>
      </c>
      <c r="Q223" s="28">
        <f>IF(OR(H223="",L223="Cancelled"),"",H223-N(N223)-N(O223)-N(P223))</f>
        <v/>
      </c>
      <c r="R223" s="19">
        <f>IF(OR(B223="",K223=""),"",IF(OR(L223="Sent",L223="Picked up"),"Done",IF(L223="Cancelled","Cancelled",IF(K223&lt;TODAY(),"Late by "&amp;(TODAY()-K223)&amp;IF((TODAY()-K223)=1," day"," days"),IF(K223=TODAY(),"Due today","Due in "&amp;(K223-TODAY())&amp;IF((K223-TODAY())=1," day"," days"))))))</f>
        <v/>
      </c>
      <c r="S223" s="33" t="n"/>
      <c r="T223" s="1">
        <f>IF(AND(B223&lt;&gt;"",K223&lt;&gt;"",L223&lt;&gt;"Sent",L223&lt;&gt;"Picked up",L223&lt;&gt;"Cancelled"),K223+ROW()/10000000,"")</f>
        <v/>
      </c>
      <c r="U223">
        <f>IF(OR(B223="",C223=""),"",B223+ROW()/10000000)</f>
        <v/>
      </c>
      <c r="V223">
        <f>IF(U223="","",IF(COUNTIFS(Orders!$C$6:$C$1005,C223,Orders!$U$6:$U$1005,"&gt;"&amp;U223)=0,1,0))</f>
        <v/>
      </c>
      <c r="W223">
        <f>IF(AND(B223&lt;&gt;"",K223&lt;&gt;"",L223&lt;&gt;"Sent",L223&lt;&gt;"Picked up",L223&lt;&gt;"Cancelled"),IF(N(E223)=0,1,E223),0)</f>
        <v/>
      </c>
      <c r="X223">
        <f>IF(OR(B223="",D223=""),"",IF(N(E223)=0,1,E223))</f>
        <v/>
      </c>
    </row>
    <row r="224">
      <c r="A224" s="1" t="n"/>
      <c r="B224" s="31" t="n">
        <v>46254</v>
      </c>
      <c r="C224" s="32" t="inlineStr">
        <is>
          <t>Iris Cole</t>
        </is>
      </c>
      <c r="D224" s="33" t="inlineStr">
        <is>
          <t>Soy candle 16 oz</t>
        </is>
      </c>
      <c r="E224" s="34" t="n">
        <v>2</v>
      </c>
      <c r="F224" s="35" t="n"/>
      <c r="G224" s="35" t="n">
        <v>6.95</v>
      </c>
      <c r="H224" s="30">
        <f>IF(OR(B224="",D224=""),"",IF(N(E224)=0,1,E224)*IFERROR(INDEX(Products!$C$6:$C$105,MATCH(D224,Products!$B$6:$B$105,0)),0)+N(F224)+N(G224))</f>
        <v/>
      </c>
      <c r="I224" s="35" t="n">
        <v>74.95</v>
      </c>
      <c r="J224" s="30">
        <f>IF(OR(H224="",L224="Cancelled"),"",IF(H224-N(I224)&gt;0.005,H224-N(I224),""))</f>
        <v/>
      </c>
      <c r="K224" s="31" t="n">
        <v>46261</v>
      </c>
      <c r="L224" s="36" t="inlineStr">
        <is>
          <t>Sent</t>
        </is>
      </c>
      <c r="M224" s="33" t="inlineStr">
        <is>
          <t>Etsy</t>
        </is>
      </c>
      <c r="N224" s="22">
        <f>IF(OR(H224="",L224="Cancelled"),"",IF(N(E224)=0,1,E224)*IFERROR(INDEX(Products!$E$6:$E$105,MATCH(D224,Products!$B$6:$B$105,0)),0))</f>
        <v/>
      </c>
      <c r="O224" s="35" t="n">
        <v>5.27</v>
      </c>
      <c r="P224" s="22">
        <f>IF(OR(H224="",L224="Cancelled"),"",ROUND(IFERROR(H224*INDEX(Settings!$C$6:$C$15,MATCH(M224,Settings!$B$6:$B$15,0))+INDEX(Settings!$D$6:$D$15,MATCH(M224,Settings!$B$6:$B$15,0)),0),2))</f>
        <v/>
      </c>
      <c r="Q224" s="28">
        <f>IF(OR(H224="",L224="Cancelled"),"",H224-N(N224)-N(O224)-N(P224))</f>
        <v/>
      </c>
      <c r="R224" s="19">
        <f>IF(OR(B224="",K224=""),"",IF(OR(L224="Sent",L224="Picked up"),"Done",IF(L224="Cancelled","Cancelled",IF(K224&lt;TODAY(),"Late by "&amp;(TODAY()-K224)&amp;IF((TODAY()-K224)=1," day"," days"),IF(K224=TODAY(),"Due today","Due in "&amp;(K224-TODAY())&amp;IF((K224-TODAY())=1," day"," days"))))))</f>
        <v/>
      </c>
      <c r="S224" s="33" t="n"/>
      <c r="T224" s="1">
        <f>IF(AND(B224&lt;&gt;"",K224&lt;&gt;"",L224&lt;&gt;"Sent",L224&lt;&gt;"Picked up",L224&lt;&gt;"Cancelled"),K224+ROW()/10000000,"")</f>
        <v/>
      </c>
      <c r="U224">
        <f>IF(OR(B224="",C224=""),"",B224+ROW()/10000000)</f>
        <v/>
      </c>
      <c r="V224">
        <f>IF(U224="","",IF(COUNTIFS(Orders!$C$6:$C$1005,C224,Orders!$U$6:$U$1005,"&gt;"&amp;U224)=0,1,0))</f>
        <v/>
      </c>
      <c r="W224">
        <f>IF(AND(B224&lt;&gt;"",K224&lt;&gt;"",L224&lt;&gt;"Sent",L224&lt;&gt;"Picked up",L224&lt;&gt;"Cancelled"),IF(N(E224)=0,1,E224),0)</f>
        <v/>
      </c>
      <c r="X224">
        <f>IF(OR(B224="",D224=""),"",IF(N(E224)=0,1,E224))</f>
        <v/>
      </c>
    </row>
    <row r="225">
      <c r="A225" s="1" t="n"/>
      <c r="B225" s="31" t="n">
        <v>46255</v>
      </c>
      <c r="C225" s="32" t="inlineStr">
        <is>
          <t>Leah Morgan</t>
        </is>
      </c>
      <c r="D225" s="33" t="inlineStr">
        <is>
          <t>Wax melts, 6 pack</t>
        </is>
      </c>
      <c r="E225" s="34" t="n">
        <v>1</v>
      </c>
      <c r="F225" s="35" t="n"/>
      <c r="G225" s="35" t="n"/>
      <c r="H225" s="30">
        <f>IF(OR(B225="",D225=""),"",IF(N(E225)=0,1,E225)*IFERROR(INDEX(Products!$C$6:$C$105,MATCH(D225,Products!$B$6:$B$105,0)),0)+N(F225)+N(G225))</f>
        <v/>
      </c>
      <c r="I225" s="35" t="n">
        <v>9</v>
      </c>
      <c r="J225" s="30">
        <f>IF(OR(H225="",L225="Cancelled"),"",IF(H225-N(I225)&gt;0.005,H225-N(I225),""))</f>
        <v/>
      </c>
      <c r="K225" s="31" t="n">
        <v>46262</v>
      </c>
      <c r="L225" s="36" t="inlineStr">
        <is>
          <t>Picked up</t>
        </is>
      </c>
      <c r="M225" s="33" t="inlineStr">
        <is>
          <t>Instagram</t>
        </is>
      </c>
      <c r="N225" s="22">
        <f>IF(OR(H225="",L225="Cancelled"),"",IF(N(E225)=0,1,E225)*IFERROR(INDEX(Products!$E$6:$E$105,MATCH(D225,Products!$B$6:$B$105,0)),0))</f>
        <v/>
      </c>
      <c r="O225" s="35" t="n"/>
      <c r="P225" s="22">
        <f>IF(OR(H225="",L225="Cancelled"),"",ROUND(IFERROR(H225*INDEX(Settings!$C$6:$C$15,MATCH(M225,Settings!$B$6:$B$15,0))+INDEX(Settings!$D$6:$D$15,MATCH(M225,Settings!$B$6:$B$15,0)),0),2))</f>
        <v/>
      </c>
      <c r="Q225" s="28">
        <f>IF(OR(H225="",L225="Cancelled"),"",H225-N(N225)-N(O225)-N(P225))</f>
        <v/>
      </c>
      <c r="R225" s="19">
        <f>IF(OR(B225="",K225=""),"",IF(OR(L225="Sent",L225="Picked up"),"Done",IF(L225="Cancelled","Cancelled",IF(K225&lt;TODAY(),"Late by "&amp;(TODAY()-K225)&amp;IF((TODAY()-K225)=1," day"," days"),IF(K225=TODAY(),"Due today","Due in "&amp;(K225-TODAY())&amp;IF((K225-TODAY())=1," day"," days"))))))</f>
        <v/>
      </c>
      <c r="S225" s="33" t="n"/>
      <c r="T225" s="1">
        <f>IF(AND(B225&lt;&gt;"",K225&lt;&gt;"",L225&lt;&gt;"Sent",L225&lt;&gt;"Picked up",L225&lt;&gt;"Cancelled"),K225+ROW()/10000000,"")</f>
        <v/>
      </c>
      <c r="U225">
        <f>IF(OR(B225="",C225=""),"",B225+ROW()/10000000)</f>
        <v/>
      </c>
      <c r="V225">
        <f>IF(U225="","",IF(COUNTIFS(Orders!$C$6:$C$1005,C225,Orders!$U$6:$U$1005,"&gt;"&amp;U225)=0,1,0))</f>
        <v/>
      </c>
      <c r="W225">
        <f>IF(AND(B225&lt;&gt;"",K225&lt;&gt;"",L225&lt;&gt;"Sent",L225&lt;&gt;"Picked up",L225&lt;&gt;"Cancelled"),IF(N(E225)=0,1,E225),0)</f>
        <v/>
      </c>
      <c r="X225">
        <f>IF(OR(B225="",D225=""),"",IF(N(E225)=0,1,E225))</f>
        <v/>
      </c>
    </row>
    <row r="226">
      <c r="A226" s="1" t="n"/>
      <c r="B226" s="31" t="n">
        <v>46257</v>
      </c>
      <c r="C226" s="32" t="inlineStr">
        <is>
          <t>Ian Hughes</t>
        </is>
      </c>
      <c r="D226" s="33" t="inlineStr">
        <is>
          <t>Soap bar</t>
        </is>
      </c>
      <c r="E226" s="34" t="n">
        <v>1</v>
      </c>
      <c r="F226" s="35" t="n"/>
      <c r="G226" s="35" t="n"/>
      <c r="H226" s="30">
        <f>IF(OR(B226="",D226=""),"",IF(N(E226)=0,1,E226)*IFERROR(INDEX(Products!$C$6:$C$105,MATCH(D226,Products!$B$6:$B$105,0)),0)+N(F226)+N(G226))</f>
        <v/>
      </c>
      <c r="I226" s="35" t="n">
        <v>8</v>
      </c>
      <c r="J226" s="30">
        <f>IF(OR(H226="",L226="Cancelled"),"",IF(H226-N(I226)&gt;0.005,H226-N(I226),""))</f>
        <v/>
      </c>
      <c r="K226" s="31" t="n">
        <v>46263</v>
      </c>
      <c r="L226" s="36" t="inlineStr">
        <is>
          <t>Picked up</t>
        </is>
      </c>
      <c r="M226" s="33" t="inlineStr">
        <is>
          <t>Craft market</t>
        </is>
      </c>
      <c r="N226" s="22">
        <f>IF(OR(H226="",L226="Cancelled"),"",IF(N(E226)=0,1,E226)*IFERROR(INDEX(Products!$E$6:$E$105,MATCH(D226,Products!$B$6:$B$105,0)),0))</f>
        <v/>
      </c>
      <c r="O226" s="35" t="n"/>
      <c r="P226" s="22">
        <f>IF(OR(H226="",L226="Cancelled"),"",ROUND(IFERROR(H226*INDEX(Settings!$C$6:$C$15,MATCH(M226,Settings!$B$6:$B$15,0))+INDEX(Settings!$D$6:$D$15,MATCH(M226,Settings!$B$6:$B$15,0)),0),2))</f>
        <v/>
      </c>
      <c r="Q226" s="28">
        <f>IF(OR(H226="",L226="Cancelled"),"",H226-N(N226)-N(O226)-N(P226))</f>
        <v/>
      </c>
      <c r="R226" s="19">
        <f>IF(OR(B226="",K226=""),"",IF(OR(L226="Sent",L226="Picked up"),"Done",IF(L226="Cancelled","Cancelled",IF(K226&lt;TODAY(),"Late by "&amp;(TODAY()-K226)&amp;IF((TODAY()-K226)=1," day"," days"),IF(K226=TODAY(),"Due today","Due in "&amp;(K226-TODAY())&amp;IF((K226-TODAY())=1," day"," days"))))))</f>
        <v/>
      </c>
      <c r="S226" s="33" t="n"/>
      <c r="T226" s="1">
        <f>IF(AND(B226&lt;&gt;"",K226&lt;&gt;"",L226&lt;&gt;"Sent",L226&lt;&gt;"Picked up",L226&lt;&gt;"Cancelled"),K226+ROW()/10000000,"")</f>
        <v/>
      </c>
      <c r="U226">
        <f>IF(OR(B226="",C226=""),"",B226+ROW()/10000000)</f>
        <v/>
      </c>
      <c r="V226">
        <f>IF(U226="","",IF(COUNTIFS(Orders!$C$6:$C$1005,C226,Orders!$U$6:$U$1005,"&gt;"&amp;U226)=0,1,0))</f>
        <v/>
      </c>
      <c r="W226">
        <f>IF(AND(B226&lt;&gt;"",K226&lt;&gt;"",L226&lt;&gt;"Sent",L226&lt;&gt;"Picked up",L226&lt;&gt;"Cancelled"),IF(N(E226)=0,1,E226),0)</f>
        <v/>
      </c>
      <c r="X226">
        <f>IF(OR(B226="",D226=""),"",IF(N(E226)=0,1,E226))</f>
        <v/>
      </c>
    </row>
    <row r="227">
      <c r="A227" s="1" t="n"/>
      <c r="B227" s="31" t="n">
        <v>46258</v>
      </c>
      <c r="C227" s="32" t="inlineStr">
        <is>
          <t>Megan Murphy</t>
        </is>
      </c>
      <c r="D227" s="33" t="inlineStr">
        <is>
          <t>Wax melts, 6 pack</t>
        </is>
      </c>
      <c r="E227" s="34" t="n">
        <v>1</v>
      </c>
      <c r="F227" s="35" t="n"/>
      <c r="G227" s="35" t="n"/>
      <c r="H227" s="30">
        <f>IF(OR(B227="",D227=""),"",IF(N(E227)=0,1,E227)*IFERROR(INDEX(Products!$C$6:$C$105,MATCH(D227,Products!$B$6:$B$105,0)),0)+N(F227)+N(G227))</f>
        <v/>
      </c>
      <c r="I227" s="35" t="n">
        <v>9</v>
      </c>
      <c r="J227" s="30">
        <f>IF(OR(H227="",L227="Cancelled"),"",IF(H227-N(I227)&gt;0.005,H227-N(I227),""))</f>
        <v/>
      </c>
      <c r="K227" s="31" t="n">
        <v>46263</v>
      </c>
      <c r="L227" s="36" t="inlineStr">
        <is>
          <t>Picked up</t>
        </is>
      </c>
      <c r="M227" s="33" t="inlineStr">
        <is>
          <t>Craft market</t>
        </is>
      </c>
      <c r="N227" s="22">
        <f>IF(OR(H227="",L227="Cancelled"),"",IF(N(E227)=0,1,E227)*IFERROR(INDEX(Products!$E$6:$E$105,MATCH(D227,Products!$B$6:$B$105,0)),0))</f>
        <v/>
      </c>
      <c r="O227" s="35" t="n"/>
      <c r="P227" s="22">
        <f>IF(OR(H227="",L227="Cancelled"),"",ROUND(IFERROR(H227*INDEX(Settings!$C$6:$C$15,MATCH(M227,Settings!$B$6:$B$15,0))+INDEX(Settings!$D$6:$D$15,MATCH(M227,Settings!$B$6:$B$15,0)),0),2))</f>
        <v/>
      </c>
      <c r="Q227" s="28">
        <f>IF(OR(H227="",L227="Cancelled"),"",H227-N(N227)-N(O227)-N(P227))</f>
        <v/>
      </c>
      <c r="R227" s="19">
        <f>IF(OR(B227="",K227=""),"",IF(OR(L227="Sent",L227="Picked up"),"Done",IF(L227="Cancelled","Cancelled",IF(K227&lt;TODAY(),"Late by "&amp;(TODAY()-K227)&amp;IF((TODAY()-K227)=1," day"," days"),IF(K227=TODAY(),"Due today","Due in "&amp;(K227-TODAY())&amp;IF((K227-TODAY())=1," day"," days"))))))</f>
        <v/>
      </c>
      <c r="S227" s="33" t="n"/>
      <c r="T227" s="1">
        <f>IF(AND(B227&lt;&gt;"",K227&lt;&gt;"",L227&lt;&gt;"Sent",L227&lt;&gt;"Picked up",L227&lt;&gt;"Cancelled"),K227+ROW()/10000000,"")</f>
        <v/>
      </c>
      <c r="U227">
        <f>IF(OR(B227="",C227=""),"",B227+ROW()/10000000)</f>
        <v/>
      </c>
      <c r="V227">
        <f>IF(U227="","",IF(COUNTIFS(Orders!$C$6:$C$1005,C227,Orders!$U$6:$U$1005,"&gt;"&amp;U227)=0,1,0))</f>
        <v/>
      </c>
      <c r="W227">
        <f>IF(AND(B227&lt;&gt;"",K227&lt;&gt;"",L227&lt;&gt;"Sent",L227&lt;&gt;"Picked up",L227&lt;&gt;"Cancelled"),IF(N(E227)=0,1,E227),0)</f>
        <v/>
      </c>
      <c r="X227">
        <f>IF(OR(B227="",D227=""),"",IF(N(E227)=0,1,E227))</f>
        <v/>
      </c>
    </row>
    <row r="228">
      <c r="A228" s="1" t="n"/>
      <c r="B228" s="31" t="n">
        <v>46259</v>
      </c>
      <c r="C228" s="32" t="inlineStr">
        <is>
          <t>Alice Cook</t>
        </is>
      </c>
      <c r="D228" s="33" t="inlineStr">
        <is>
          <t>Soy candle 8 oz</t>
        </is>
      </c>
      <c r="E228" s="34" t="n">
        <v>1</v>
      </c>
      <c r="F228" s="35" t="n">
        <v>5</v>
      </c>
      <c r="G228" s="35" t="n">
        <v>6.95</v>
      </c>
      <c r="H228" s="30">
        <f>IF(OR(B228="",D228=""),"",IF(N(E228)=0,1,E228)*IFERROR(INDEX(Products!$C$6:$C$105,MATCH(D228,Products!$B$6:$B$105,0)),0)+N(F228)+N(G228))</f>
        <v/>
      </c>
      <c r="I228" s="35" t="n">
        <v>33.95</v>
      </c>
      <c r="J228" s="30">
        <f>IF(OR(H228="",L228="Cancelled"),"",IF(H228-N(I228)&gt;0.005,H228-N(I228),""))</f>
        <v/>
      </c>
      <c r="K228" s="31" t="n">
        <v>46268</v>
      </c>
      <c r="L228" s="36" t="inlineStr">
        <is>
          <t>Sent</t>
        </is>
      </c>
      <c r="M228" s="33" t="inlineStr">
        <is>
          <t>Own website</t>
        </is>
      </c>
      <c r="N228" s="22">
        <f>IF(OR(H228="",L228="Cancelled"),"",IF(N(E228)=0,1,E228)*IFERROR(INDEX(Products!$E$6:$E$105,MATCH(D228,Products!$B$6:$B$105,0)),0))</f>
        <v/>
      </c>
      <c r="O228" s="35" t="n">
        <v>7</v>
      </c>
      <c r="P228" s="22">
        <f>IF(OR(H228="",L228="Cancelled"),"",ROUND(IFERROR(H228*INDEX(Settings!$C$6:$C$15,MATCH(M228,Settings!$B$6:$B$15,0))+INDEX(Settings!$D$6:$D$15,MATCH(M228,Settings!$B$6:$B$15,0)),0),2))</f>
        <v/>
      </c>
      <c r="Q228" s="28">
        <f>IF(OR(H228="",L228="Cancelled"),"",H228-N(N228)-N(O228)-N(P228))</f>
        <v/>
      </c>
      <c r="R228" s="19">
        <f>IF(OR(B228="",K228=""),"",IF(OR(L228="Sent",L228="Picked up"),"Done",IF(L228="Cancelled","Cancelled",IF(K228&lt;TODAY(),"Late by "&amp;(TODAY()-K228)&amp;IF((TODAY()-K228)=1," day"," days"),IF(K228=TODAY(),"Due today","Due in "&amp;(K228-TODAY())&amp;IF((K228-TODAY())=1," day"," days"))))))</f>
        <v/>
      </c>
      <c r="S228" s="33" t="inlineStr">
        <is>
          <t>Custom label</t>
        </is>
      </c>
      <c r="T228" s="1">
        <f>IF(AND(B228&lt;&gt;"",K228&lt;&gt;"",L228&lt;&gt;"Sent",L228&lt;&gt;"Picked up",L228&lt;&gt;"Cancelled"),K228+ROW()/10000000,"")</f>
        <v/>
      </c>
      <c r="U228">
        <f>IF(OR(B228="",C228=""),"",B228+ROW()/10000000)</f>
        <v/>
      </c>
      <c r="V228">
        <f>IF(U228="","",IF(COUNTIFS(Orders!$C$6:$C$1005,C228,Orders!$U$6:$U$1005,"&gt;"&amp;U228)=0,1,0))</f>
        <v/>
      </c>
      <c r="W228">
        <f>IF(AND(B228&lt;&gt;"",K228&lt;&gt;"",L228&lt;&gt;"Sent",L228&lt;&gt;"Picked up",L228&lt;&gt;"Cancelled"),IF(N(E228)=0,1,E228),0)</f>
        <v/>
      </c>
      <c r="X228">
        <f>IF(OR(B228="",D228=""),"",IF(N(E228)=0,1,E228))</f>
        <v/>
      </c>
    </row>
    <row r="229">
      <c r="A229" s="1" t="n"/>
      <c r="B229" s="31" t="n">
        <v>46259</v>
      </c>
      <c r="C229" s="32" t="inlineStr">
        <is>
          <t>Ava Adams</t>
        </is>
      </c>
      <c r="D229" s="33" t="inlineStr">
        <is>
          <t>Soy candle 8 oz</t>
        </is>
      </c>
      <c r="E229" s="34" t="n">
        <v>1</v>
      </c>
      <c r="F229" s="35" t="n"/>
      <c r="G229" s="35" t="n"/>
      <c r="H229" s="30">
        <f>IF(OR(B229="",D229=""),"",IF(N(E229)=0,1,E229)*IFERROR(INDEX(Products!$C$6:$C$105,MATCH(D229,Products!$B$6:$B$105,0)),0)+N(F229)+N(G229))</f>
        <v/>
      </c>
      <c r="I229" s="35" t="n">
        <v>22</v>
      </c>
      <c r="J229" s="30">
        <f>IF(OR(H229="",L229="Cancelled"),"",IF(H229-N(I229)&gt;0.005,H229-N(I229),""))</f>
        <v/>
      </c>
      <c r="K229" s="31" t="n">
        <v>46269</v>
      </c>
      <c r="L229" s="36" t="inlineStr">
        <is>
          <t>Picked up</t>
        </is>
      </c>
      <c r="M229" s="33" t="inlineStr">
        <is>
          <t>Friends and family</t>
        </is>
      </c>
      <c r="N229" s="22">
        <f>IF(OR(H229="",L229="Cancelled"),"",IF(N(E229)=0,1,E229)*IFERROR(INDEX(Products!$E$6:$E$105,MATCH(D229,Products!$B$6:$B$105,0)),0))</f>
        <v/>
      </c>
      <c r="O229" s="35" t="n"/>
      <c r="P229" s="22">
        <f>IF(OR(H229="",L229="Cancelled"),"",ROUND(IFERROR(H229*INDEX(Settings!$C$6:$C$15,MATCH(M229,Settings!$B$6:$B$15,0))+INDEX(Settings!$D$6:$D$15,MATCH(M229,Settings!$B$6:$B$15,0)),0),2))</f>
        <v/>
      </c>
      <c r="Q229" s="28">
        <f>IF(OR(H229="",L229="Cancelled"),"",H229-N(N229)-N(O229)-N(P229))</f>
        <v/>
      </c>
      <c r="R229" s="19">
        <f>IF(OR(B229="",K229=""),"",IF(OR(L229="Sent",L229="Picked up"),"Done",IF(L229="Cancelled","Cancelled",IF(K229&lt;TODAY(),"Late by "&amp;(TODAY()-K229)&amp;IF((TODAY()-K229)=1," day"," days"),IF(K229=TODAY(),"Due today","Due in "&amp;(K229-TODAY())&amp;IF((K229-TODAY())=1," day"," days"))))))</f>
        <v/>
      </c>
      <c r="S229" s="33" t="n"/>
      <c r="T229" s="1">
        <f>IF(AND(B229&lt;&gt;"",K229&lt;&gt;"",L229&lt;&gt;"Sent",L229&lt;&gt;"Picked up",L229&lt;&gt;"Cancelled"),K229+ROW()/10000000,"")</f>
        <v/>
      </c>
      <c r="U229">
        <f>IF(OR(B229="",C229=""),"",B229+ROW()/10000000)</f>
        <v/>
      </c>
      <c r="V229">
        <f>IF(U229="","",IF(COUNTIFS(Orders!$C$6:$C$1005,C229,Orders!$U$6:$U$1005,"&gt;"&amp;U229)=0,1,0))</f>
        <v/>
      </c>
      <c r="W229">
        <f>IF(AND(B229&lt;&gt;"",K229&lt;&gt;"",L229&lt;&gt;"Sent",L229&lt;&gt;"Picked up",L229&lt;&gt;"Cancelled"),IF(N(E229)=0,1,E229),0)</f>
        <v/>
      </c>
      <c r="X229">
        <f>IF(OR(B229="",D229=""),"",IF(N(E229)=0,1,E229))</f>
        <v/>
      </c>
    </row>
    <row r="230">
      <c r="A230" s="1" t="n"/>
      <c r="B230" s="31" t="n">
        <v>46261</v>
      </c>
      <c r="C230" s="32" t="inlineStr">
        <is>
          <t>Ian Hughes</t>
        </is>
      </c>
      <c r="D230" s="33" t="inlineStr">
        <is>
          <t>Soy candle 8 oz</t>
        </is>
      </c>
      <c r="E230" s="34" t="n">
        <v>2</v>
      </c>
      <c r="F230" s="35" t="n"/>
      <c r="G230" s="35" t="n">
        <v>6.95</v>
      </c>
      <c r="H230" s="30">
        <f>IF(OR(B230="",D230=""),"",IF(N(E230)=0,1,E230)*IFERROR(INDEX(Products!$C$6:$C$105,MATCH(D230,Products!$B$6:$B$105,0)),0)+N(F230)+N(G230))</f>
        <v/>
      </c>
      <c r="I230" s="35" t="n">
        <v>50.95</v>
      </c>
      <c r="J230" s="30">
        <f>IF(OR(H230="",L230="Cancelled"),"",IF(H230-N(I230)&gt;0.005,H230-N(I230),""))</f>
        <v/>
      </c>
      <c r="K230" s="31" t="n">
        <v>46266</v>
      </c>
      <c r="L230" s="36" t="inlineStr">
        <is>
          <t>Sent</t>
        </is>
      </c>
      <c r="M230" s="33" t="inlineStr">
        <is>
          <t>Etsy</t>
        </is>
      </c>
      <c r="N230" s="22">
        <f>IF(OR(H230="",L230="Cancelled"),"",IF(N(E230)=0,1,E230)*IFERROR(INDEX(Products!$E$6:$E$105,MATCH(D230,Products!$B$6:$B$105,0)),0))</f>
        <v/>
      </c>
      <c r="O230" s="35" t="n">
        <v>6.29</v>
      </c>
      <c r="P230" s="22">
        <f>IF(OR(H230="",L230="Cancelled"),"",ROUND(IFERROR(H230*INDEX(Settings!$C$6:$C$15,MATCH(M230,Settings!$B$6:$B$15,0))+INDEX(Settings!$D$6:$D$15,MATCH(M230,Settings!$B$6:$B$15,0)),0),2))</f>
        <v/>
      </c>
      <c r="Q230" s="28">
        <f>IF(OR(H230="",L230="Cancelled"),"",H230-N(N230)-N(O230)-N(P230))</f>
        <v/>
      </c>
      <c r="R230" s="19">
        <f>IF(OR(B230="",K230=""),"",IF(OR(L230="Sent",L230="Picked up"),"Done",IF(L230="Cancelled","Cancelled",IF(K230&lt;TODAY(),"Late by "&amp;(TODAY()-K230)&amp;IF((TODAY()-K230)=1," day"," days"),IF(K230=TODAY(),"Due today","Due in "&amp;(K230-TODAY())&amp;IF((K230-TODAY())=1," day"," days"))))))</f>
        <v/>
      </c>
      <c r="S230" s="33" t="n"/>
      <c r="T230" s="1">
        <f>IF(AND(B230&lt;&gt;"",K230&lt;&gt;"",L230&lt;&gt;"Sent",L230&lt;&gt;"Picked up",L230&lt;&gt;"Cancelled"),K230+ROW()/10000000,"")</f>
        <v/>
      </c>
      <c r="U230">
        <f>IF(OR(B230="",C230=""),"",B230+ROW()/10000000)</f>
        <v/>
      </c>
      <c r="V230">
        <f>IF(U230="","",IF(COUNTIFS(Orders!$C$6:$C$1005,C230,Orders!$U$6:$U$1005,"&gt;"&amp;U230)=0,1,0))</f>
        <v/>
      </c>
      <c r="W230">
        <f>IF(AND(B230&lt;&gt;"",K230&lt;&gt;"",L230&lt;&gt;"Sent",L230&lt;&gt;"Picked up",L230&lt;&gt;"Cancelled"),IF(N(E230)=0,1,E230),0)</f>
        <v/>
      </c>
      <c r="X230">
        <f>IF(OR(B230="",D230=""),"",IF(N(E230)=0,1,E230))</f>
        <v/>
      </c>
    </row>
    <row r="231">
      <c r="A231" s="1" t="n"/>
      <c r="B231" s="31" t="n">
        <v>46262</v>
      </c>
      <c r="C231" s="32" t="inlineStr">
        <is>
          <t>Adam Cox</t>
        </is>
      </c>
      <c r="D231" s="33" t="inlineStr">
        <is>
          <t>Soap bar</t>
        </is>
      </c>
      <c r="E231" s="34" t="n">
        <v>2</v>
      </c>
      <c r="F231" s="35" t="n"/>
      <c r="G231" s="35" t="n">
        <v>6.95</v>
      </c>
      <c r="H231" s="30">
        <f>IF(OR(B231="",D231=""),"",IF(N(E231)=0,1,E231)*IFERROR(INDEX(Products!$C$6:$C$105,MATCH(D231,Products!$B$6:$B$105,0)),0)+N(F231)+N(G231))</f>
        <v/>
      </c>
      <c r="I231" s="35" t="n">
        <v>22.95</v>
      </c>
      <c r="J231" s="30">
        <f>IF(OR(H231="",L231="Cancelled"),"",IF(H231-N(I231)&gt;0.005,H231-N(I231),""))</f>
        <v/>
      </c>
      <c r="K231" s="31" t="n">
        <v>46267</v>
      </c>
      <c r="L231" s="36" t="inlineStr">
        <is>
          <t>Sent</t>
        </is>
      </c>
      <c r="M231" s="33" t="inlineStr">
        <is>
          <t>Etsy</t>
        </is>
      </c>
      <c r="N231" s="22">
        <f>IF(OR(H231="",L231="Cancelled"),"",IF(N(E231)=0,1,E231)*IFERROR(INDEX(Products!$E$6:$E$105,MATCH(D231,Products!$B$6:$B$105,0)),0))</f>
        <v/>
      </c>
      <c r="O231" s="35" t="n">
        <v>6.34</v>
      </c>
      <c r="P231" s="22">
        <f>IF(OR(H231="",L231="Cancelled"),"",ROUND(IFERROR(H231*INDEX(Settings!$C$6:$C$15,MATCH(M231,Settings!$B$6:$B$15,0))+INDEX(Settings!$D$6:$D$15,MATCH(M231,Settings!$B$6:$B$15,0)),0),2))</f>
        <v/>
      </c>
      <c r="Q231" s="28">
        <f>IF(OR(H231="",L231="Cancelled"),"",H231-N(N231)-N(O231)-N(P231))</f>
        <v/>
      </c>
      <c r="R231" s="19">
        <f>IF(OR(B231="",K231=""),"",IF(OR(L231="Sent",L231="Picked up"),"Done",IF(L231="Cancelled","Cancelled",IF(K231&lt;TODAY(),"Late by "&amp;(TODAY()-K231)&amp;IF((TODAY()-K231)=1," day"," days"),IF(K231=TODAY(),"Due today","Due in "&amp;(K231-TODAY())&amp;IF((K231-TODAY())=1," day"," days"))))))</f>
        <v/>
      </c>
      <c r="S231" s="33" t="n"/>
      <c r="T231" s="1">
        <f>IF(AND(B231&lt;&gt;"",K231&lt;&gt;"",L231&lt;&gt;"Sent",L231&lt;&gt;"Picked up",L231&lt;&gt;"Cancelled"),K231+ROW()/10000000,"")</f>
        <v/>
      </c>
      <c r="U231">
        <f>IF(OR(B231="",C231=""),"",B231+ROW()/10000000)</f>
        <v/>
      </c>
      <c r="V231">
        <f>IF(U231="","",IF(COUNTIFS(Orders!$C$6:$C$1005,C231,Orders!$U$6:$U$1005,"&gt;"&amp;U231)=0,1,0))</f>
        <v/>
      </c>
      <c r="W231">
        <f>IF(AND(B231&lt;&gt;"",K231&lt;&gt;"",L231&lt;&gt;"Sent",L231&lt;&gt;"Picked up",L231&lt;&gt;"Cancelled"),IF(N(E231)=0,1,E231),0)</f>
        <v/>
      </c>
      <c r="X231">
        <f>IF(OR(B231="",D231=""),"",IF(N(E231)=0,1,E231))</f>
        <v/>
      </c>
    </row>
    <row r="232">
      <c r="A232" s="1" t="n"/>
      <c r="B232" s="31" t="n">
        <v>46263</v>
      </c>
      <c r="C232" s="32" t="inlineStr">
        <is>
          <t>Adam King</t>
        </is>
      </c>
      <c r="D232" s="33" t="inlineStr">
        <is>
          <t>Gift box</t>
        </is>
      </c>
      <c r="E232" s="34" t="n">
        <v>3</v>
      </c>
      <c r="F232" s="35" t="n"/>
      <c r="G232" s="35" t="n"/>
      <c r="H232" s="30">
        <f>IF(OR(B232="",D232=""),"",IF(N(E232)=0,1,E232)*IFERROR(INDEX(Products!$C$6:$C$105,MATCH(D232,Products!$B$6:$B$105,0)),0)+N(F232)+N(G232))</f>
        <v/>
      </c>
      <c r="I232" s="35" t="n">
        <v>135</v>
      </c>
      <c r="J232" s="30">
        <f>IF(OR(H232="",L232="Cancelled"),"",IF(H232-N(I232)&gt;0.005,H232-N(I232),""))</f>
        <v/>
      </c>
      <c r="K232" s="31" t="n">
        <v>46269</v>
      </c>
      <c r="L232" s="36" t="inlineStr">
        <is>
          <t>Picked up</t>
        </is>
      </c>
      <c r="M232" s="33" t="inlineStr">
        <is>
          <t>Instagram</t>
        </is>
      </c>
      <c r="N232" s="22">
        <f>IF(OR(H232="",L232="Cancelled"),"",IF(N(E232)=0,1,E232)*IFERROR(INDEX(Products!$E$6:$E$105,MATCH(D232,Products!$B$6:$B$105,0)),0))</f>
        <v/>
      </c>
      <c r="O232" s="35" t="n"/>
      <c r="P232" s="22">
        <f>IF(OR(H232="",L232="Cancelled"),"",ROUND(IFERROR(H232*INDEX(Settings!$C$6:$C$15,MATCH(M232,Settings!$B$6:$B$15,0))+INDEX(Settings!$D$6:$D$15,MATCH(M232,Settings!$B$6:$B$15,0)),0),2))</f>
        <v/>
      </c>
      <c r="Q232" s="28">
        <f>IF(OR(H232="",L232="Cancelled"),"",H232-N(N232)-N(O232)-N(P232))</f>
        <v/>
      </c>
      <c r="R232" s="19">
        <f>IF(OR(B232="",K232=""),"",IF(OR(L232="Sent",L232="Picked up"),"Done",IF(L232="Cancelled","Cancelled",IF(K232&lt;TODAY(),"Late by "&amp;(TODAY()-K232)&amp;IF((TODAY()-K232)=1," day"," days"),IF(K232=TODAY(),"Due today","Due in "&amp;(K232-TODAY())&amp;IF((K232-TODAY())=1," day"," days"))))))</f>
        <v/>
      </c>
      <c r="S232" s="33" t="n"/>
      <c r="T232" s="1">
        <f>IF(AND(B232&lt;&gt;"",K232&lt;&gt;"",L232&lt;&gt;"Sent",L232&lt;&gt;"Picked up",L232&lt;&gt;"Cancelled"),K232+ROW()/10000000,"")</f>
        <v/>
      </c>
      <c r="U232">
        <f>IF(OR(B232="",C232=""),"",B232+ROW()/10000000)</f>
        <v/>
      </c>
      <c r="V232">
        <f>IF(U232="","",IF(COUNTIFS(Orders!$C$6:$C$1005,C232,Orders!$U$6:$U$1005,"&gt;"&amp;U232)=0,1,0))</f>
        <v/>
      </c>
      <c r="W232">
        <f>IF(AND(B232&lt;&gt;"",K232&lt;&gt;"",L232&lt;&gt;"Sent",L232&lt;&gt;"Picked up",L232&lt;&gt;"Cancelled"),IF(N(E232)=0,1,E232),0)</f>
        <v/>
      </c>
      <c r="X232">
        <f>IF(OR(B232="",D232=""),"",IF(N(E232)=0,1,E232))</f>
        <v/>
      </c>
    </row>
    <row r="233">
      <c r="A233" s="1" t="n"/>
      <c r="B233" s="31" t="n">
        <v>46264</v>
      </c>
      <c r="C233" s="32" t="inlineStr">
        <is>
          <t>Kara Adams</t>
        </is>
      </c>
      <c r="D233" s="33" t="inlineStr">
        <is>
          <t>Wax melts, 6 pack</t>
        </is>
      </c>
      <c r="E233" s="34" t="n">
        <v>1</v>
      </c>
      <c r="F233" s="35" t="n"/>
      <c r="G233" s="35" t="n">
        <v>6.95</v>
      </c>
      <c r="H233" s="30">
        <f>IF(OR(B233="",D233=""),"",IF(N(E233)=0,1,E233)*IFERROR(INDEX(Products!$C$6:$C$105,MATCH(D233,Products!$B$6:$B$105,0)),0)+N(F233)+N(G233))</f>
        <v/>
      </c>
      <c r="I233" s="35" t="n">
        <v>15.95</v>
      </c>
      <c r="J233" s="30">
        <f>IF(OR(H233="",L233="Cancelled"),"",IF(H233-N(I233)&gt;0.005,H233-N(I233),""))</f>
        <v/>
      </c>
      <c r="K233" s="31" t="n">
        <v>46273</v>
      </c>
      <c r="L233" s="36" t="inlineStr">
        <is>
          <t>Sent</t>
        </is>
      </c>
      <c r="M233" s="33" t="inlineStr">
        <is>
          <t>Own website</t>
        </is>
      </c>
      <c r="N233" s="22">
        <f>IF(OR(H233="",L233="Cancelled"),"",IF(N(E233)=0,1,E233)*IFERROR(INDEX(Products!$E$6:$E$105,MATCH(D233,Products!$B$6:$B$105,0)),0))</f>
        <v/>
      </c>
      <c r="O233" s="35" t="n">
        <v>6.61</v>
      </c>
      <c r="P233" s="22">
        <f>IF(OR(H233="",L233="Cancelled"),"",ROUND(IFERROR(H233*INDEX(Settings!$C$6:$C$15,MATCH(M233,Settings!$B$6:$B$15,0))+INDEX(Settings!$D$6:$D$15,MATCH(M233,Settings!$B$6:$B$15,0)),0),2))</f>
        <v/>
      </c>
      <c r="Q233" s="28">
        <f>IF(OR(H233="",L233="Cancelled"),"",H233-N(N233)-N(O233)-N(P233))</f>
        <v/>
      </c>
      <c r="R233" s="19">
        <f>IF(OR(B233="",K233=""),"",IF(OR(L233="Sent",L233="Picked up"),"Done",IF(L233="Cancelled","Cancelled",IF(K233&lt;TODAY(),"Late by "&amp;(TODAY()-K233)&amp;IF((TODAY()-K233)=1," day"," days"),IF(K233=TODAY(),"Due today","Due in "&amp;(K233-TODAY())&amp;IF((K233-TODAY())=1," day"," days"))))))</f>
        <v/>
      </c>
      <c r="S233" s="33" t="n"/>
      <c r="T233" s="1">
        <f>IF(AND(B233&lt;&gt;"",K233&lt;&gt;"",L233&lt;&gt;"Sent",L233&lt;&gt;"Picked up",L233&lt;&gt;"Cancelled"),K233+ROW()/10000000,"")</f>
        <v/>
      </c>
      <c r="U233">
        <f>IF(OR(B233="",C233=""),"",B233+ROW()/10000000)</f>
        <v/>
      </c>
      <c r="V233">
        <f>IF(U233="","",IF(COUNTIFS(Orders!$C$6:$C$1005,C233,Orders!$U$6:$U$1005,"&gt;"&amp;U233)=0,1,0))</f>
        <v/>
      </c>
      <c r="W233">
        <f>IF(AND(B233&lt;&gt;"",K233&lt;&gt;"",L233&lt;&gt;"Sent",L233&lt;&gt;"Picked up",L233&lt;&gt;"Cancelled"),IF(N(E233)=0,1,E233),0)</f>
        <v/>
      </c>
      <c r="X233">
        <f>IF(OR(B233="",D233=""),"",IF(N(E233)=0,1,E233))</f>
        <v/>
      </c>
    </row>
    <row r="234">
      <c r="A234" s="1" t="n"/>
      <c r="B234" s="31" t="n">
        <v>46264</v>
      </c>
      <c r="C234" s="32" t="inlineStr">
        <is>
          <t>Paula Reed</t>
        </is>
      </c>
      <c r="D234" s="33" t="inlineStr">
        <is>
          <t>Soy candle 16 oz</t>
        </is>
      </c>
      <c r="E234" s="34" t="n">
        <v>1</v>
      </c>
      <c r="F234" s="35" t="n"/>
      <c r="G234" s="35" t="n"/>
      <c r="H234" s="30">
        <f>IF(OR(B234="",D234=""),"",IF(N(E234)=0,1,E234)*IFERROR(INDEX(Products!$C$6:$C$105,MATCH(D234,Products!$B$6:$B$105,0)),0)+N(F234)+N(G234))</f>
        <v/>
      </c>
      <c r="I234" s="35" t="n">
        <v>34</v>
      </c>
      <c r="J234" s="30">
        <f>IF(OR(H234="",L234="Cancelled"),"",IF(H234-N(I234)&gt;0.005,H234-N(I234),""))</f>
        <v/>
      </c>
      <c r="K234" s="31" t="n">
        <v>46272</v>
      </c>
      <c r="L234" s="36" t="inlineStr">
        <is>
          <t>Picked up</t>
        </is>
      </c>
      <c r="M234" s="33" t="inlineStr">
        <is>
          <t>Instagram</t>
        </is>
      </c>
      <c r="N234" s="22">
        <f>IF(OR(H234="",L234="Cancelled"),"",IF(N(E234)=0,1,E234)*IFERROR(INDEX(Products!$E$6:$E$105,MATCH(D234,Products!$B$6:$B$105,0)),0))</f>
        <v/>
      </c>
      <c r="O234" s="35" t="n"/>
      <c r="P234" s="22">
        <f>IF(OR(H234="",L234="Cancelled"),"",ROUND(IFERROR(H234*INDEX(Settings!$C$6:$C$15,MATCH(M234,Settings!$B$6:$B$15,0))+INDEX(Settings!$D$6:$D$15,MATCH(M234,Settings!$B$6:$B$15,0)),0),2))</f>
        <v/>
      </c>
      <c r="Q234" s="28">
        <f>IF(OR(H234="",L234="Cancelled"),"",H234-N(N234)-N(O234)-N(P234))</f>
        <v/>
      </c>
      <c r="R234" s="19">
        <f>IF(OR(B234="",K234=""),"",IF(OR(L234="Sent",L234="Picked up"),"Done",IF(L234="Cancelled","Cancelled",IF(K234&lt;TODAY(),"Late by "&amp;(TODAY()-K234)&amp;IF((TODAY()-K234)=1," day"," days"),IF(K234=TODAY(),"Due today","Due in "&amp;(K234-TODAY())&amp;IF((K234-TODAY())=1," day"," days"))))))</f>
        <v/>
      </c>
      <c r="S234" s="33" t="n"/>
      <c r="T234" s="1">
        <f>IF(AND(B234&lt;&gt;"",K234&lt;&gt;"",L234&lt;&gt;"Sent",L234&lt;&gt;"Picked up",L234&lt;&gt;"Cancelled"),K234+ROW()/10000000,"")</f>
        <v/>
      </c>
      <c r="U234">
        <f>IF(OR(B234="",C234=""),"",B234+ROW()/10000000)</f>
        <v/>
      </c>
      <c r="V234">
        <f>IF(U234="","",IF(COUNTIFS(Orders!$C$6:$C$1005,C234,Orders!$U$6:$U$1005,"&gt;"&amp;U234)=0,1,0))</f>
        <v/>
      </c>
      <c r="W234">
        <f>IF(AND(B234&lt;&gt;"",K234&lt;&gt;"",L234&lt;&gt;"Sent",L234&lt;&gt;"Picked up",L234&lt;&gt;"Cancelled"),IF(N(E234)=0,1,E234),0)</f>
        <v/>
      </c>
      <c r="X234">
        <f>IF(OR(B234="",D234=""),"",IF(N(E234)=0,1,E234))</f>
        <v/>
      </c>
    </row>
    <row r="235">
      <c r="A235" s="1" t="n"/>
      <c r="B235" s="31" t="n">
        <v>46267</v>
      </c>
      <c r="C235" s="32" t="inlineStr">
        <is>
          <t>Iris Cole</t>
        </is>
      </c>
      <c r="D235" s="33" t="inlineStr">
        <is>
          <t>Soy candle 8 oz</t>
        </is>
      </c>
      <c r="E235" s="34" t="n">
        <v>1</v>
      </c>
      <c r="F235" s="35" t="n"/>
      <c r="G235" s="35" t="n">
        <v>6.95</v>
      </c>
      <c r="H235" s="30">
        <f>IF(OR(B235="",D235=""),"",IF(N(E235)=0,1,E235)*IFERROR(INDEX(Products!$C$6:$C$105,MATCH(D235,Products!$B$6:$B$105,0)),0)+N(F235)+N(G235))</f>
        <v/>
      </c>
      <c r="I235" s="35" t="n">
        <v>28.95</v>
      </c>
      <c r="J235" s="30">
        <f>IF(OR(H235="",L235="Cancelled"),"",IF(H235-N(I235)&gt;0.005,H235-N(I235),""))</f>
        <v/>
      </c>
      <c r="K235" s="31" t="n">
        <v>46277</v>
      </c>
      <c r="L235" s="36" t="inlineStr">
        <is>
          <t>Sent</t>
        </is>
      </c>
      <c r="M235" s="33" t="inlineStr">
        <is>
          <t>Etsy</t>
        </is>
      </c>
      <c r="N235" s="22">
        <f>IF(OR(H235="",L235="Cancelled"),"",IF(N(E235)=0,1,E235)*IFERROR(INDEX(Products!$E$6:$E$105,MATCH(D235,Products!$B$6:$B$105,0)),0))</f>
        <v/>
      </c>
      <c r="O235" s="35" t="n">
        <v>7.35</v>
      </c>
      <c r="P235" s="22">
        <f>IF(OR(H235="",L235="Cancelled"),"",ROUND(IFERROR(H235*INDEX(Settings!$C$6:$C$15,MATCH(M235,Settings!$B$6:$B$15,0))+INDEX(Settings!$D$6:$D$15,MATCH(M235,Settings!$B$6:$B$15,0)),0),2))</f>
        <v/>
      </c>
      <c r="Q235" s="28">
        <f>IF(OR(H235="",L235="Cancelled"),"",H235-N(N235)-N(O235)-N(P235))</f>
        <v/>
      </c>
      <c r="R235" s="19">
        <f>IF(OR(B235="",K235=""),"",IF(OR(L235="Sent",L235="Picked up"),"Done",IF(L235="Cancelled","Cancelled",IF(K235&lt;TODAY(),"Late by "&amp;(TODAY()-K235)&amp;IF((TODAY()-K235)=1," day"," days"),IF(K235=TODAY(),"Due today","Due in "&amp;(K235-TODAY())&amp;IF((K235-TODAY())=1," day"," days"))))))</f>
        <v/>
      </c>
      <c r="S235" s="33" t="n"/>
      <c r="T235" s="1">
        <f>IF(AND(B235&lt;&gt;"",K235&lt;&gt;"",L235&lt;&gt;"Sent",L235&lt;&gt;"Picked up",L235&lt;&gt;"Cancelled"),K235+ROW()/10000000,"")</f>
        <v/>
      </c>
      <c r="U235">
        <f>IF(OR(B235="",C235=""),"",B235+ROW()/10000000)</f>
        <v/>
      </c>
      <c r="V235">
        <f>IF(U235="","",IF(COUNTIFS(Orders!$C$6:$C$1005,C235,Orders!$U$6:$U$1005,"&gt;"&amp;U235)=0,1,0))</f>
        <v/>
      </c>
      <c r="W235">
        <f>IF(AND(B235&lt;&gt;"",K235&lt;&gt;"",L235&lt;&gt;"Sent",L235&lt;&gt;"Picked up",L235&lt;&gt;"Cancelled"),IF(N(E235)=0,1,E235),0)</f>
        <v/>
      </c>
      <c r="X235">
        <f>IF(OR(B235="",D235=""),"",IF(N(E235)=0,1,E235))</f>
        <v/>
      </c>
    </row>
    <row r="236">
      <c r="A236" s="1" t="n"/>
      <c r="B236" s="31" t="n">
        <v>46267</v>
      </c>
      <c r="C236" s="32" t="inlineStr">
        <is>
          <t>Jon Fox</t>
        </is>
      </c>
      <c r="D236" s="33" t="inlineStr">
        <is>
          <t>Soy candle 16 oz</t>
        </is>
      </c>
      <c r="E236" s="34" t="n">
        <v>2</v>
      </c>
      <c r="F236" s="35" t="n">
        <v>10</v>
      </c>
      <c r="G236" s="35" t="n"/>
      <c r="H236" s="30">
        <f>IF(OR(B236="",D236=""),"",IF(N(E236)=0,1,E236)*IFERROR(INDEX(Products!$C$6:$C$105,MATCH(D236,Products!$B$6:$B$105,0)),0)+N(F236)+N(G236))</f>
        <v/>
      </c>
      <c r="I236" s="35" t="n">
        <v>78</v>
      </c>
      <c r="J236" s="30">
        <f>IF(OR(H236="",L236="Cancelled"),"",IF(H236-N(I236)&gt;0.005,H236-N(I236),""))</f>
        <v/>
      </c>
      <c r="K236" s="31" t="n">
        <v>46275</v>
      </c>
      <c r="L236" s="36" t="inlineStr">
        <is>
          <t>Picked up</t>
        </is>
      </c>
      <c r="M236" s="33" t="inlineStr">
        <is>
          <t>Friends and family</t>
        </is>
      </c>
      <c r="N236" s="22">
        <f>IF(OR(H236="",L236="Cancelled"),"",IF(N(E236)=0,1,E236)*IFERROR(INDEX(Products!$E$6:$E$105,MATCH(D236,Products!$B$6:$B$105,0)),0))</f>
        <v/>
      </c>
      <c r="O236" s="35" t="n"/>
      <c r="P236" s="22">
        <f>IF(OR(H236="",L236="Cancelled"),"",ROUND(IFERROR(H236*INDEX(Settings!$C$6:$C$15,MATCH(M236,Settings!$B$6:$B$15,0))+INDEX(Settings!$D$6:$D$15,MATCH(M236,Settings!$B$6:$B$15,0)),0),2))</f>
        <v/>
      </c>
      <c r="Q236" s="28">
        <f>IF(OR(H236="",L236="Cancelled"),"",H236-N(N236)-N(O236)-N(P236))</f>
        <v/>
      </c>
      <c r="R236" s="19">
        <f>IF(OR(B236="",K236=""),"",IF(OR(L236="Sent",L236="Picked up"),"Done",IF(L236="Cancelled","Cancelled",IF(K236&lt;TODAY(),"Late by "&amp;(TODAY()-K236)&amp;IF((TODAY()-K236)=1," day"," days"),IF(K236=TODAY(),"Due today","Due in "&amp;(K236-TODAY())&amp;IF((K236-TODAY())=1," day"," days"))))))</f>
        <v/>
      </c>
      <c r="S236" s="33" t="inlineStr">
        <is>
          <t>Custom label</t>
        </is>
      </c>
      <c r="T236" s="1">
        <f>IF(AND(B236&lt;&gt;"",K236&lt;&gt;"",L236&lt;&gt;"Sent",L236&lt;&gt;"Picked up",L236&lt;&gt;"Cancelled"),K236+ROW()/10000000,"")</f>
        <v/>
      </c>
      <c r="U236">
        <f>IF(OR(B236="",C236=""),"",B236+ROW()/10000000)</f>
        <v/>
      </c>
      <c r="V236">
        <f>IF(U236="","",IF(COUNTIFS(Orders!$C$6:$C$1005,C236,Orders!$U$6:$U$1005,"&gt;"&amp;U236)=0,1,0))</f>
        <v/>
      </c>
      <c r="W236">
        <f>IF(AND(B236&lt;&gt;"",K236&lt;&gt;"",L236&lt;&gt;"Sent",L236&lt;&gt;"Picked up",L236&lt;&gt;"Cancelled"),IF(N(E236)=0,1,E236),0)</f>
        <v/>
      </c>
      <c r="X236">
        <f>IF(OR(B236="",D236=""),"",IF(N(E236)=0,1,E236))</f>
        <v/>
      </c>
    </row>
    <row r="237">
      <c r="A237" s="1" t="n"/>
      <c r="B237" s="31" t="n">
        <v>46268</v>
      </c>
      <c r="C237" s="32" t="inlineStr">
        <is>
          <t>Iris Cole</t>
        </is>
      </c>
      <c r="D237" s="33" t="inlineStr">
        <is>
          <t>Wax melts, 6 pack</t>
        </is>
      </c>
      <c r="E237" s="34" t="n">
        <v>1</v>
      </c>
      <c r="F237" s="35" t="n"/>
      <c r="G237" s="35" t="n"/>
      <c r="H237" s="30">
        <f>IF(OR(B237="",D237=""),"",IF(N(E237)=0,1,E237)*IFERROR(INDEX(Products!$C$6:$C$105,MATCH(D237,Products!$B$6:$B$105,0)),0)+N(F237)+N(G237))</f>
        <v/>
      </c>
      <c r="I237" s="35" t="n">
        <v>9</v>
      </c>
      <c r="J237" s="30">
        <f>IF(OR(H237="",L237="Cancelled"),"",IF(H237-N(I237)&gt;0.005,H237-N(I237),""))</f>
        <v/>
      </c>
      <c r="K237" s="31" t="n">
        <v>46279</v>
      </c>
      <c r="L237" s="36" t="inlineStr">
        <is>
          <t>Picked up</t>
        </is>
      </c>
      <c r="M237" s="33" t="inlineStr">
        <is>
          <t>Craft market</t>
        </is>
      </c>
      <c r="N237" s="22">
        <f>IF(OR(H237="",L237="Cancelled"),"",IF(N(E237)=0,1,E237)*IFERROR(INDEX(Products!$E$6:$E$105,MATCH(D237,Products!$B$6:$B$105,0)),0))</f>
        <v/>
      </c>
      <c r="O237" s="35" t="n"/>
      <c r="P237" s="22">
        <f>IF(OR(H237="",L237="Cancelled"),"",ROUND(IFERROR(H237*INDEX(Settings!$C$6:$C$15,MATCH(M237,Settings!$B$6:$B$15,0))+INDEX(Settings!$D$6:$D$15,MATCH(M237,Settings!$B$6:$B$15,0)),0),2))</f>
        <v/>
      </c>
      <c r="Q237" s="28">
        <f>IF(OR(H237="",L237="Cancelled"),"",H237-N(N237)-N(O237)-N(P237))</f>
        <v/>
      </c>
      <c r="R237" s="19">
        <f>IF(OR(B237="",K237=""),"",IF(OR(L237="Sent",L237="Picked up"),"Done",IF(L237="Cancelled","Cancelled",IF(K237&lt;TODAY(),"Late by "&amp;(TODAY()-K237)&amp;IF((TODAY()-K237)=1," day"," days"),IF(K237=TODAY(),"Due today","Due in "&amp;(K237-TODAY())&amp;IF((K237-TODAY())=1," day"," days"))))))</f>
        <v/>
      </c>
      <c r="S237" s="33" t="n"/>
      <c r="T237" s="1">
        <f>IF(AND(B237&lt;&gt;"",K237&lt;&gt;"",L237&lt;&gt;"Sent",L237&lt;&gt;"Picked up",L237&lt;&gt;"Cancelled"),K237+ROW()/10000000,"")</f>
        <v/>
      </c>
      <c r="U237">
        <f>IF(OR(B237="",C237=""),"",B237+ROW()/10000000)</f>
        <v/>
      </c>
      <c r="V237">
        <f>IF(U237="","",IF(COUNTIFS(Orders!$C$6:$C$1005,C237,Orders!$U$6:$U$1005,"&gt;"&amp;U237)=0,1,0))</f>
        <v/>
      </c>
      <c r="W237">
        <f>IF(AND(B237&lt;&gt;"",K237&lt;&gt;"",L237&lt;&gt;"Sent",L237&lt;&gt;"Picked up",L237&lt;&gt;"Cancelled"),IF(N(E237)=0,1,E237),0)</f>
        <v/>
      </c>
      <c r="X237">
        <f>IF(OR(B237="",D237=""),"",IF(N(E237)=0,1,E237))</f>
        <v/>
      </c>
    </row>
    <row r="238">
      <c r="A238" s="1" t="n"/>
      <c r="B238" s="31" t="n">
        <v>46269</v>
      </c>
      <c r="C238" s="32" t="inlineStr">
        <is>
          <t>Helen Kelly</t>
        </is>
      </c>
      <c r="D238" s="33" t="inlineStr">
        <is>
          <t>Wax melts, 6 pack</t>
        </is>
      </c>
      <c r="E238" s="34" t="n">
        <v>4</v>
      </c>
      <c r="F238" s="35" t="n"/>
      <c r="G238" s="35" t="n">
        <v>6.95</v>
      </c>
      <c r="H238" s="30">
        <f>IF(OR(B238="",D238=""),"",IF(N(E238)=0,1,E238)*IFERROR(INDEX(Products!$C$6:$C$105,MATCH(D238,Products!$B$6:$B$105,0)),0)+N(F238)+N(G238))</f>
        <v/>
      </c>
      <c r="I238" s="35" t="n">
        <v>42.95</v>
      </c>
      <c r="J238" s="30">
        <f>IF(OR(H238="",L238="Cancelled"),"",IF(H238-N(I238)&gt;0.005,H238-N(I238),""))</f>
        <v/>
      </c>
      <c r="K238" s="31" t="n">
        <v>46281</v>
      </c>
      <c r="L238" s="36" t="inlineStr">
        <is>
          <t>Sent</t>
        </is>
      </c>
      <c r="M238" s="33" t="inlineStr">
        <is>
          <t>Etsy</t>
        </is>
      </c>
      <c r="N238" s="22">
        <f>IF(OR(H238="",L238="Cancelled"),"",IF(N(E238)=0,1,E238)*IFERROR(INDEX(Products!$E$6:$E$105,MATCH(D238,Products!$B$6:$B$105,0)),0))</f>
        <v/>
      </c>
      <c r="O238" s="35" t="n">
        <v>6.78</v>
      </c>
      <c r="P238" s="22">
        <f>IF(OR(H238="",L238="Cancelled"),"",ROUND(IFERROR(H238*INDEX(Settings!$C$6:$C$15,MATCH(M238,Settings!$B$6:$B$15,0))+INDEX(Settings!$D$6:$D$15,MATCH(M238,Settings!$B$6:$B$15,0)),0),2))</f>
        <v/>
      </c>
      <c r="Q238" s="28">
        <f>IF(OR(H238="",L238="Cancelled"),"",H238-N(N238)-N(O238)-N(P238))</f>
        <v/>
      </c>
      <c r="R238" s="19">
        <f>IF(OR(B238="",K238=""),"",IF(OR(L238="Sent",L238="Picked up"),"Done",IF(L238="Cancelled","Cancelled",IF(K238&lt;TODAY(),"Late by "&amp;(TODAY()-K238)&amp;IF((TODAY()-K238)=1," day"," days"),IF(K238=TODAY(),"Due today","Due in "&amp;(K238-TODAY())&amp;IF((K238-TODAY())=1," day"," days"))))))</f>
        <v/>
      </c>
      <c r="S238" s="33" t="n"/>
      <c r="T238" s="1">
        <f>IF(AND(B238&lt;&gt;"",K238&lt;&gt;"",L238&lt;&gt;"Sent",L238&lt;&gt;"Picked up",L238&lt;&gt;"Cancelled"),K238+ROW()/10000000,"")</f>
        <v/>
      </c>
      <c r="U238">
        <f>IF(OR(B238="",C238=""),"",B238+ROW()/10000000)</f>
        <v/>
      </c>
      <c r="V238">
        <f>IF(U238="","",IF(COUNTIFS(Orders!$C$6:$C$1005,C238,Orders!$U$6:$U$1005,"&gt;"&amp;U238)=0,1,0))</f>
        <v/>
      </c>
      <c r="W238">
        <f>IF(AND(B238&lt;&gt;"",K238&lt;&gt;"",L238&lt;&gt;"Sent",L238&lt;&gt;"Picked up",L238&lt;&gt;"Cancelled"),IF(N(E238)=0,1,E238),0)</f>
        <v/>
      </c>
      <c r="X238">
        <f>IF(OR(B238="",D238=""),"",IF(N(E238)=0,1,E238))</f>
        <v/>
      </c>
    </row>
    <row r="239">
      <c r="A239" s="1" t="n"/>
      <c r="B239" s="31" t="n">
        <v>46271</v>
      </c>
      <c r="C239" s="32" t="inlineStr">
        <is>
          <t>Finn Mason</t>
        </is>
      </c>
      <c r="D239" s="33" t="inlineStr">
        <is>
          <t>Wax melts, 6 pack</t>
        </is>
      </c>
      <c r="E239" s="34" t="n">
        <v>1</v>
      </c>
      <c r="F239" s="35" t="n"/>
      <c r="G239" s="35" t="n">
        <v>6.95</v>
      </c>
      <c r="H239" s="30">
        <f>IF(OR(B239="",D239=""),"",IF(N(E239)=0,1,E239)*IFERROR(INDEX(Products!$C$6:$C$105,MATCH(D239,Products!$B$6:$B$105,0)),0)+N(F239)+N(G239))</f>
        <v/>
      </c>
      <c r="I239" s="35" t="n">
        <v>15.95</v>
      </c>
      <c r="J239" s="30">
        <f>IF(OR(H239="",L239="Cancelled"),"",IF(H239-N(I239)&gt;0.005,H239-N(I239),""))</f>
        <v/>
      </c>
      <c r="K239" s="31" t="n">
        <v>46275</v>
      </c>
      <c r="L239" s="36" t="inlineStr">
        <is>
          <t>Sent</t>
        </is>
      </c>
      <c r="M239" s="33" t="inlineStr">
        <is>
          <t>Etsy</t>
        </is>
      </c>
      <c r="N239" s="22">
        <f>IF(OR(H239="",L239="Cancelled"),"",IF(N(E239)=0,1,E239)*IFERROR(INDEX(Products!$E$6:$E$105,MATCH(D239,Products!$B$6:$B$105,0)),0))</f>
        <v/>
      </c>
      <c r="O239" s="35" t="n">
        <v>6.76</v>
      </c>
      <c r="P239" s="22">
        <f>IF(OR(H239="",L239="Cancelled"),"",ROUND(IFERROR(H239*INDEX(Settings!$C$6:$C$15,MATCH(M239,Settings!$B$6:$B$15,0))+INDEX(Settings!$D$6:$D$15,MATCH(M239,Settings!$B$6:$B$15,0)),0),2))</f>
        <v/>
      </c>
      <c r="Q239" s="28">
        <f>IF(OR(H239="",L239="Cancelled"),"",H239-N(N239)-N(O239)-N(P239))</f>
        <v/>
      </c>
      <c r="R239" s="19">
        <f>IF(OR(B239="",K239=""),"",IF(OR(L239="Sent",L239="Picked up"),"Done",IF(L239="Cancelled","Cancelled",IF(K239&lt;TODAY(),"Late by "&amp;(TODAY()-K239)&amp;IF((TODAY()-K239)=1," day"," days"),IF(K239=TODAY(),"Due today","Due in "&amp;(K239-TODAY())&amp;IF((K239-TODAY())=1," day"," days"))))))</f>
        <v/>
      </c>
      <c r="S239" s="33" t="n"/>
      <c r="T239" s="1">
        <f>IF(AND(B239&lt;&gt;"",K239&lt;&gt;"",L239&lt;&gt;"Sent",L239&lt;&gt;"Picked up",L239&lt;&gt;"Cancelled"),K239+ROW()/10000000,"")</f>
        <v/>
      </c>
      <c r="U239">
        <f>IF(OR(B239="",C239=""),"",B239+ROW()/10000000)</f>
        <v/>
      </c>
      <c r="V239">
        <f>IF(U239="","",IF(COUNTIFS(Orders!$C$6:$C$1005,C239,Orders!$U$6:$U$1005,"&gt;"&amp;U239)=0,1,0))</f>
        <v/>
      </c>
      <c r="W239">
        <f>IF(AND(B239&lt;&gt;"",K239&lt;&gt;"",L239&lt;&gt;"Sent",L239&lt;&gt;"Picked up",L239&lt;&gt;"Cancelled"),IF(N(E239)=0,1,E239),0)</f>
        <v/>
      </c>
      <c r="X239">
        <f>IF(OR(B239="",D239=""),"",IF(N(E239)=0,1,E239))</f>
        <v/>
      </c>
    </row>
    <row r="240">
      <c r="A240" s="1" t="n"/>
      <c r="B240" s="31" t="n">
        <v>46273</v>
      </c>
      <c r="C240" s="32" t="inlineStr">
        <is>
          <t>Leah Hughes</t>
        </is>
      </c>
      <c r="D240" s="33" t="inlineStr">
        <is>
          <t>Wedding favours, 10 tins</t>
        </is>
      </c>
      <c r="E240" s="34" t="n">
        <v>8</v>
      </c>
      <c r="F240" s="35" t="n">
        <v>40</v>
      </c>
      <c r="G240" s="35" t="n"/>
      <c r="H240" s="30">
        <f>IF(OR(B240="",D240=""),"",IF(N(E240)=0,1,E240)*IFERROR(INDEX(Products!$C$6:$C$105,MATCH(D240,Products!$B$6:$B$105,0)),0)+N(F240)+N(G240))</f>
        <v/>
      </c>
      <c r="I240" s="35" t="n">
        <v>250</v>
      </c>
      <c r="J240" s="30">
        <f>IF(OR(H240="",L240="Cancelled"),"",IF(H240-N(I240)&gt;0.005,H240-N(I240),""))</f>
        <v/>
      </c>
      <c r="K240" s="31" t="n">
        <v>46309</v>
      </c>
      <c r="L240" s="36" t="inlineStr">
        <is>
          <t>Making</t>
        </is>
      </c>
      <c r="M240" s="33" t="inlineStr">
        <is>
          <t>Friends and family</t>
        </is>
      </c>
      <c r="N240" s="22">
        <f>IF(OR(H240="",L240="Cancelled"),"",IF(N(E240)=0,1,E240)*IFERROR(INDEX(Products!$E$6:$E$105,MATCH(D240,Products!$B$6:$B$105,0)),0))</f>
        <v/>
      </c>
      <c r="O240" s="35" t="n"/>
      <c r="P240" s="22">
        <f>IF(OR(H240="",L240="Cancelled"),"",ROUND(IFERROR(H240*INDEX(Settings!$C$6:$C$15,MATCH(M240,Settings!$B$6:$B$15,0))+INDEX(Settings!$D$6:$D$15,MATCH(M240,Settings!$B$6:$B$15,0)),0),2))</f>
        <v/>
      </c>
      <c r="Q240" s="28">
        <f>IF(OR(H240="",L240="Cancelled"),"",H240-N(N240)-N(O240)-N(P240))</f>
        <v/>
      </c>
      <c r="R240" s="19">
        <f>IF(OR(B240="",K240=""),"",IF(OR(L240="Sent",L240="Picked up"),"Done",IF(L240="Cancelled","Cancelled",IF(K240&lt;TODAY(),"Late by "&amp;(TODAY()-K240)&amp;IF((TODAY()-K240)=1," day"," days"),IF(K240=TODAY(),"Due today","Due in "&amp;(K240-TODAY())&amp;IF((K240-TODAY())=1," day"," days"))))))</f>
        <v/>
      </c>
      <c r="S240" s="33" t="inlineStr">
        <is>
          <t>Ivory labels with the date</t>
        </is>
      </c>
      <c r="T240" s="1">
        <f>IF(AND(B240&lt;&gt;"",K240&lt;&gt;"",L240&lt;&gt;"Sent",L240&lt;&gt;"Picked up",L240&lt;&gt;"Cancelled"),K240+ROW()/10000000,"")</f>
        <v/>
      </c>
      <c r="U240">
        <f>IF(OR(B240="",C240=""),"",B240+ROW()/10000000)</f>
        <v/>
      </c>
      <c r="V240">
        <f>IF(U240="","",IF(COUNTIFS(Orders!$C$6:$C$1005,C240,Orders!$U$6:$U$1005,"&gt;"&amp;U240)=0,1,0))</f>
        <v/>
      </c>
      <c r="W240">
        <f>IF(AND(B240&lt;&gt;"",K240&lt;&gt;"",L240&lt;&gt;"Sent",L240&lt;&gt;"Picked up",L240&lt;&gt;"Cancelled"),IF(N(E240)=0,1,E240),0)</f>
        <v/>
      </c>
      <c r="X240">
        <f>IF(OR(B240="",D240=""),"",IF(N(E240)=0,1,E240))</f>
        <v/>
      </c>
    </row>
    <row r="241">
      <c r="A241" s="1" t="n"/>
      <c r="B241" s="31" t="n">
        <v>46274</v>
      </c>
      <c r="C241" s="32" t="inlineStr">
        <is>
          <t>Leah Hughes</t>
        </is>
      </c>
      <c r="D241" s="33" t="inlineStr">
        <is>
          <t>Soy candle 16 oz</t>
        </is>
      </c>
      <c r="E241" s="34" t="n">
        <v>1</v>
      </c>
      <c r="F241" s="35" t="n">
        <v>5</v>
      </c>
      <c r="G241" s="35" t="n"/>
      <c r="H241" s="30">
        <f>IF(OR(B241="",D241=""),"",IF(N(E241)=0,1,E241)*IFERROR(INDEX(Products!$C$6:$C$105,MATCH(D241,Products!$B$6:$B$105,0)),0)+N(F241)+N(G241))</f>
        <v/>
      </c>
      <c r="I241" s="35" t="n">
        <v>39</v>
      </c>
      <c r="J241" s="30">
        <f>IF(OR(H241="",L241="Cancelled"),"",IF(H241-N(I241)&gt;0.005,H241-N(I241),""))</f>
        <v/>
      </c>
      <c r="K241" s="31" t="n">
        <v>46283</v>
      </c>
      <c r="L241" s="36" t="inlineStr">
        <is>
          <t>Picked up</t>
        </is>
      </c>
      <c r="M241" s="33" t="inlineStr">
        <is>
          <t>Friends and family</t>
        </is>
      </c>
      <c r="N241" s="22">
        <f>IF(OR(H241="",L241="Cancelled"),"",IF(N(E241)=0,1,E241)*IFERROR(INDEX(Products!$E$6:$E$105,MATCH(D241,Products!$B$6:$B$105,0)),0))</f>
        <v/>
      </c>
      <c r="O241" s="35" t="n"/>
      <c r="P241" s="22">
        <f>IF(OR(H241="",L241="Cancelled"),"",ROUND(IFERROR(H241*INDEX(Settings!$C$6:$C$15,MATCH(M241,Settings!$B$6:$B$15,0))+INDEX(Settings!$D$6:$D$15,MATCH(M241,Settings!$B$6:$B$15,0)),0),2))</f>
        <v/>
      </c>
      <c r="Q241" s="28">
        <f>IF(OR(H241="",L241="Cancelled"),"",H241-N(N241)-N(O241)-N(P241))</f>
        <v/>
      </c>
      <c r="R241" s="19">
        <f>IF(OR(B241="",K241=""),"",IF(OR(L241="Sent",L241="Picked up"),"Done",IF(L241="Cancelled","Cancelled",IF(K241&lt;TODAY(),"Late by "&amp;(TODAY()-K241)&amp;IF((TODAY()-K241)=1," day"," days"),IF(K241=TODAY(),"Due today","Due in "&amp;(K241-TODAY())&amp;IF((K241-TODAY())=1," day"," days"))))))</f>
        <v/>
      </c>
      <c r="S241" s="33" t="inlineStr">
        <is>
          <t>Custom label</t>
        </is>
      </c>
      <c r="T241" s="1">
        <f>IF(AND(B241&lt;&gt;"",K241&lt;&gt;"",L241&lt;&gt;"Sent",L241&lt;&gt;"Picked up",L241&lt;&gt;"Cancelled"),K241+ROW()/10000000,"")</f>
        <v/>
      </c>
      <c r="U241">
        <f>IF(OR(B241="",C241=""),"",B241+ROW()/10000000)</f>
        <v/>
      </c>
      <c r="V241">
        <f>IF(U241="","",IF(COUNTIFS(Orders!$C$6:$C$1005,C241,Orders!$U$6:$U$1005,"&gt;"&amp;U241)=0,1,0))</f>
        <v/>
      </c>
      <c r="W241">
        <f>IF(AND(B241&lt;&gt;"",K241&lt;&gt;"",L241&lt;&gt;"Sent",L241&lt;&gt;"Picked up",L241&lt;&gt;"Cancelled"),IF(N(E241)=0,1,E241),0)</f>
        <v/>
      </c>
      <c r="X241">
        <f>IF(OR(B241="",D241=""),"",IF(N(E241)=0,1,E241))</f>
        <v/>
      </c>
    </row>
    <row r="242">
      <c r="A242" s="1" t="n"/>
      <c r="B242" s="31" t="n">
        <v>46274</v>
      </c>
      <c r="C242" s="32" t="inlineStr">
        <is>
          <t>Clara Davies</t>
        </is>
      </c>
      <c r="D242" s="33" t="inlineStr">
        <is>
          <t>Soy candle 8 oz</t>
        </is>
      </c>
      <c r="E242" s="34" t="n">
        <v>1</v>
      </c>
      <c r="F242" s="35" t="n"/>
      <c r="G242" s="35" t="n">
        <v>6.95</v>
      </c>
      <c r="H242" s="30">
        <f>IF(OR(B242="",D242=""),"",IF(N(E242)=0,1,E242)*IFERROR(INDEX(Products!$C$6:$C$105,MATCH(D242,Products!$B$6:$B$105,0)),0)+N(F242)+N(G242))</f>
        <v/>
      </c>
      <c r="I242" s="35" t="n">
        <v>28.95</v>
      </c>
      <c r="J242" s="30">
        <f>IF(OR(H242="",L242="Cancelled"),"",IF(H242-N(I242)&gt;0.005,H242-N(I242),""))</f>
        <v/>
      </c>
      <c r="K242" s="31" t="n">
        <v>46286</v>
      </c>
      <c r="L242" s="36" t="inlineStr">
        <is>
          <t>Sent</t>
        </is>
      </c>
      <c r="M242" s="33" t="inlineStr">
        <is>
          <t>Etsy</t>
        </is>
      </c>
      <c r="N242" s="22">
        <f>IF(OR(H242="",L242="Cancelled"),"",IF(N(E242)=0,1,E242)*IFERROR(INDEX(Products!$E$6:$E$105,MATCH(D242,Products!$B$6:$B$105,0)),0))</f>
        <v/>
      </c>
      <c r="O242" s="35" t="n">
        <v>5.98</v>
      </c>
      <c r="P242" s="22">
        <f>IF(OR(H242="",L242="Cancelled"),"",ROUND(IFERROR(H242*INDEX(Settings!$C$6:$C$15,MATCH(M242,Settings!$B$6:$B$15,0))+INDEX(Settings!$D$6:$D$15,MATCH(M242,Settings!$B$6:$B$15,0)),0),2))</f>
        <v/>
      </c>
      <c r="Q242" s="28">
        <f>IF(OR(H242="",L242="Cancelled"),"",H242-N(N242)-N(O242)-N(P242))</f>
        <v/>
      </c>
      <c r="R242" s="19">
        <f>IF(OR(B242="",K242=""),"",IF(OR(L242="Sent",L242="Picked up"),"Done",IF(L242="Cancelled","Cancelled",IF(K242&lt;TODAY(),"Late by "&amp;(TODAY()-K242)&amp;IF((TODAY()-K242)=1," day"," days"),IF(K242=TODAY(),"Due today","Due in "&amp;(K242-TODAY())&amp;IF((K242-TODAY())=1," day"," days"))))))</f>
        <v/>
      </c>
      <c r="S242" s="33" t="n"/>
      <c r="T242" s="1">
        <f>IF(AND(B242&lt;&gt;"",K242&lt;&gt;"",L242&lt;&gt;"Sent",L242&lt;&gt;"Picked up",L242&lt;&gt;"Cancelled"),K242+ROW()/10000000,"")</f>
        <v/>
      </c>
      <c r="U242">
        <f>IF(OR(B242="",C242=""),"",B242+ROW()/10000000)</f>
        <v/>
      </c>
      <c r="V242">
        <f>IF(U242="","",IF(COUNTIFS(Orders!$C$6:$C$1005,C242,Orders!$U$6:$U$1005,"&gt;"&amp;U242)=0,1,0))</f>
        <v/>
      </c>
      <c r="W242">
        <f>IF(AND(B242&lt;&gt;"",K242&lt;&gt;"",L242&lt;&gt;"Sent",L242&lt;&gt;"Picked up",L242&lt;&gt;"Cancelled"),IF(N(E242)=0,1,E242),0)</f>
        <v/>
      </c>
      <c r="X242">
        <f>IF(OR(B242="",D242=""),"",IF(N(E242)=0,1,E242))</f>
        <v/>
      </c>
    </row>
    <row r="243">
      <c r="A243" s="1" t="n"/>
      <c r="B243" s="31" t="n">
        <v>46275</v>
      </c>
      <c r="C243" s="32" t="inlineStr">
        <is>
          <t>Clara Davies</t>
        </is>
      </c>
      <c r="D243" s="33" t="inlineStr">
        <is>
          <t>Soap bar</t>
        </is>
      </c>
      <c r="E243" s="34" t="n">
        <v>3</v>
      </c>
      <c r="F243" s="35" t="n"/>
      <c r="G243" s="35" t="n"/>
      <c r="H243" s="30">
        <f>IF(OR(B243="",D243=""),"",IF(N(E243)=0,1,E243)*IFERROR(INDEX(Products!$C$6:$C$105,MATCH(D243,Products!$B$6:$B$105,0)),0)+N(F243)+N(G243))</f>
        <v/>
      </c>
      <c r="I243" s="35" t="n">
        <v>24</v>
      </c>
      <c r="J243" s="30">
        <f>IF(OR(H243="",L243="Cancelled"),"",IF(H243-N(I243)&gt;0.005,H243-N(I243),""))</f>
        <v/>
      </c>
      <c r="K243" s="31" t="n">
        <v>46285</v>
      </c>
      <c r="L243" s="36" t="inlineStr">
        <is>
          <t>Picked up</t>
        </is>
      </c>
      <c r="M243" s="33" t="inlineStr">
        <is>
          <t>Craft market</t>
        </is>
      </c>
      <c r="N243" s="22">
        <f>IF(OR(H243="",L243="Cancelled"),"",IF(N(E243)=0,1,E243)*IFERROR(INDEX(Products!$E$6:$E$105,MATCH(D243,Products!$B$6:$B$105,0)),0))</f>
        <v/>
      </c>
      <c r="O243" s="35" t="n"/>
      <c r="P243" s="22">
        <f>IF(OR(H243="",L243="Cancelled"),"",ROUND(IFERROR(H243*INDEX(Settings!$C$6:$C$15,MATCH(M243,Settings!$B$6:$B$15,0))+INDEX(Settings!$D$6:$D$15,MATCH(M243,Settings!$B$6:$B$15,0)),0),2))</f>
        <v/>
      </c>
      <c r="Q243" s="28">
        <f>IF(OR(H243="",L243="Cancelled"),"",H243-N(N243)-N(O243)-N(P243))</f>
        <v/>
      </c>
      <c r="R243" s="19">
        <f>IF(OR(B243="",K243=""),"",IF(OR(L243="Sent",L243="Picked up"),"Done",IF(L243="Cancelled","Cancelled",IF(K243&lt;TODAY(),"Late by "&amp;(TODAY()-K243)&amp;IF((TODAY()-K243)=1," day"," days"),IF(K243=TODAY(),"Due today","Due in "&amp;(K243-TODAY())&amp;IF((K243-TODAY())=1," day"," days"))))))</f>
        <v/>
      </c>
      <c r="S243" s="33" t="n"/>
      <c r="T243" s="1">
        <f>IF(AND(B243&lt;&gt;"",K243&lt;&gt;"",L243&lt;&gt;"Sent",L243&lt;&gt;"Picked up",L243&lt;&gt;"Cancelled"),K243+ROW()/10000000,"")</f>
        <v/>
      </c>
      <c r="U243">
        <f>IF(OR(B243="",C243=""),"",B243+ROW()/10000000)</f>
        <v/>
      </c>
      <c r="V243">
        <f>IF(U243="","",IF(COUNTIFS(Orders!$C$6:$C$1005,C243,Orders!$U$6:$U$1005,"&gt;"&amp;U243)=0,1,0))</f>
        <v/>
      </c>
      <c r="W243">
        <f>IF(AND(B243&lt;&gt;"",K243&lt;&gt;"",L243&lt;&gt;"Sent",L243&lt;&gt;"Picked up",L243&lt;&gt;"Cancelled"),IF(N(E243)=0,1,E243),0)</f>
        <v/>
      </c>
      <c r="X243">
        <f>IF(OR(B243="",D243=""),"",IF(N(E243)=0,1,E243))</f>
        <v/>
      </c>
    </row>
    <row r="244">
      <c r="A244" s="1" t="n"/>
      <c r="B244" s="31" t="n">
        <v>46275</v>
      </c>
      <c r="C244" s="32" t="inlineStr">
        <is>
          <t>Ian Price</t>
        </is>
      </c>
      <c r="D244" s="33" t="inlineStr">
        <is>
          <t>Wax melts, 6 pack</t>
        </is>
      </c>
      <c r="E244" s="34" t="n">
        <v>3</v>
      </c>
      <c r="F244" s="35" t="n"/>
      <c r="G244" s="35" t="n">
        <v>6.95</v>
      </c>
      <c r="H244" s="30">
        <f>IF(OR(B244="",D244=""),"",IF(N(E244)=0,1,E244)*IFERROR(INDEX(Products!$C$6:$C$105,MATCH(D244,Products!$B$6:$B$105,0)),0)+N(F244)+N(G244))</f>
        <v/>
      </c>
      <c r="I244" s="35" t="n">
        <v>33.95</v>
      </c>
      <c r="J244" s="30">
        <f>IF(OR(H244="",L244="Cancelled"),"",IF(H244-N(I244)&gt;0.005,H244-N(I244),""))</f>
        <v/>
      </c>
      <c r="K244" s="31" t="n">
        <v>46284</v>
      </c>
      <c r="L244" s="36" t="inlineStr">
        <is>
          <t>Sent</t>
        </is>
      </c>
      <c r="M244" s="33" t="inlineStr">
        <is>
          <t>Own website</t>
        </is>
      </c>
      <c r="N244" s="22">
        <f>IF(OR(H244="",L244="Cancelled"),"",IF(N(E244)=0,1,E244)*IFERROR(INDEX(Products!$E$6:$E$105,MATCH(D244,Products!$B$6:$B$105,0)),0))</f>
        <v/>
      </c>
      <c r="O244" s="35" t="n">
        <v>7.69</v>
      </c>
      <c r="P244" s="22">
        <f>IF(OR(H244="",L244="Cancelled"),"",ROUND(IFERROR(H244*INDEX(Settings!$C$6:$C$15,MATCH(M244,Settings!$B$6:$B$15,0))+INDEX(Settings!$D$6:$D$15,MATCH(M244,Settings!$B$6:$B$15,0)),0),2))</f>
        <v/>
      </c>
      <c r="Q244" s="28">
        <f>IF(OR(H244="",L244="Cancelled"),"",H244-N(N244)-N(O244)-N(P244))</f>
        <v/>
      </c>
      <c r="R244" s="19">
        <f>IF(OR(B244="",K244=""),"",IF(OR(L244="Sent",L244="Picked up"),"Done",IF(L244="Cancelled","Cancelled",IF(K244&lt;TODAY(),"Late by "&amp;(TODAY()-K244)&amp;IF((TODAY()-K244)=1," day"," days"),IF(K244=TODAY(),"Due today","Due in "&amp;(K244-TODAY())&amp;IF((K244-TODAY())=1," day"," days"))))))</f>
        <v/>
      </c>
      <c r="S244" s="33" t="n"/>
      <c r="T244" s="1">
        <f>IF(AND(B244&lt;&gt;"",K244&lt;&gt;"",L244&lt;&gt;"Sent",L244&lt;&gt;"Picked up",L244&lt;&gt;"Cancelled"),K244+ROW()/10000000,"")</f>
        <v/>
      </c>
      <c r="U244">
        <f>IF(OR(B244="",C244=""),"",B244+ROW()/10000000)</f>
        <v/>
      </c>
      <c r="V244">
        <f>IF(U244="","",IF(COUNTIFS(Orders!$C$6:$C$1005,C244,Orders!$U$6:$U$1005,"&gt;"&amp;U244)=0,1,0))</f>
        <v/>
      </c>
      <c r="W244">
        <f>IF(AND(B244&lt;&gt;"",K244&lt;&gt;"",L244&lt;&gt;"Sent",L244&lt;&gt;"Picked up",L244&lt;&gt;"Cancelled"),IF(N(E244)=0,1,E244),0)</f>
        <v/>
      </c>
      <c r="X244">
        <f>IF(OR(B244="",D244=""),"",IF(N(E244)=0,1,E244))</f>
        <v/>
      </c>
    </row>
    <row r="245">
      <c r="A245" s="1" t="n"/>
      <c r="B245" s="31" t="n">
        <v>46276</v>
      </c>
      <c r="C245" s="32" t="inlineStr">
        <is>
          <t>Ava Adams</t>
        </is>
      </c>
      <c r="D245" s="33" t="inlineStr">
        <is>
          <t>Soap bar</t>
        </is>
      </c>
      <c r="E245" s="34" t="n">
        <v>1</v>
      </c>
      <c r="F245" s="35" t="n"/>
      <c r="G245" s="35" t="n">
        <v>6.95</v>
      </c>
      <c r="H245" s="30">
        <f>IF(OR(B245="",D245=""),"",IF(N(E245)=0,1,E245)*IFERROR(INDEX(Products!$C$6:$C$105,MATCH(D245,Products!$B$6:$B$105,0)),0)+N(F245)+N(G245))</f>
        <v/>
      </c>
      <c r="I245" s="35" t="n">
        <v>14.95</v>
      </c>
      <c r="J245" s="30">
        <f>IF(OR(H245="",L245="Cancelled"),"",IF(H245-N(I245)&gt;0.005,H245-N(I245),""))</f>
        <v/>
      </c>
      <c r="K245" s="31" t="n">
        <v>46280</v>
      </c>
      <c r="L245" s="36" t="inlineStr">
        <is>
          <t>Sent</t>
        </is>
      </c>
      <c r="M245" s="33" t="inlineStr">
        <is>
          <t>Etsy</t>
        </is>
      </c>
      <c r="N245" s="22">
        <f>IF(OR(H245="",L245="Cancelled"),"",IF(N(E245)=0,1,E245)*IFERROR(INDEX(Products!$E$6:$E$105,MATCH(D245,Products!$B$6:$B$105,0)),0))</f>
        <v/>
      </c>
      <c r="O245" s="35" t="n">
        <v>5.72</v>
      </c>
      <c r="P245" s="22">
        <f>IF(OR(H245="",L245="Cancelled"),"",ROUND(IFERROR(H245*INDEX(Settings!$C$6:$C$15,MATCH(M245,Settings!$B$6:$B$15,0))+INDEX(Settings!$D$6:$D$15,MATCH(M245,Settings!$B$6:$B$15,0)),0),2))</f>
        <v/>
      </c>
      <c r="Q245" s="28">
        <f>IF(OR(H245="",L245="Cancelled"),"",H245-N(N245)-N(O245)-N(P245))</f>
        <v/>
      </c>
      <c r="R245" s="19">
        <f>IF(OR(B245="",K245=""),"",IF(OR(L245="Sent",L245="Picked up"),"Done",IF(L245="Cancelled","Cancelled",IF(K245&lt;TODAY(),"Late by "&amp;(TODAY()-K245)&amp;IF((TODAY()-K245)=1," day"," days"),IF(K245=TODAY(),"Due today","Due in "&amp;(K245-TODAY())&amp;IF((K245-TODAY())=1," day"," days"))))))</f>
        <v/>
      </c>
      <c r="S245" s="33" t="n"/>
      <c r="T245" s="1">
        <f>IF(AND(B245&lt;&gt;"",K245&lt;&gt;"",L245&lt;&gt;"Sent",L245&lt;&gt;"Picked up",L245&lt;&gt;"Cancelled"),K245+ROW()/10000000,"")</f>
        <v/>
      </c>
      <c r="U245">
        <f>IF(OR(B245="",C245=""),"",B245+ROW()/10000000)</f>
        <v/>
      </c>
      <c r="V245">
        <f>IF(U245="","",IF(COUNTIFS(Orders!$C$6:$C$1005,C245,Orders!$U$6:$U$1005,"&gt;"&amp;U245)=0,1,0))</f>
        <v/>
      </c>
      <c r="W245">
        <f>IF(AND(B245&lt;&gt;"",K245&lt;&gt;"",L245&lt;&gt;"Sent",L245&lt;&gt;"Picked up",L245&lt;&gt;"Cancelled"),IF(N(E245)=0,1,E245),0)</f>
        <v/>
      </c>
      <c r="X245">
        <f>IF(OR(B245="",D245=""),"",IF(N(E245)=0,1,E245))</f>
        <v/>
      </c>
    </row>
    <row r="246">
      <c r="A246" s="1" t="n"/>
      <c r="B246" s="31" t="n">
        <v>46277</v>
      </c>
      <c r="C246" s="32" t="inlineStr">
        <is>
          <t>Jon Reed</t>
        </is>
      </c>
      <c r="D246" s="33" t="inlineStr">
        <is>
          <t>Soy candle 16 oz</t>
        </is>
      </c>
      <c r="E246" s="34" t="n">
        <v>3</v>
      </c>
      <c r="F246" s="35" t="n"/>
      <c r="G246" s="35" t="n">
        <v>6.95</v>
      </c>
      <c r="H246" s="30">
        <f>IF(OR(B246="",D246=""),"",IF(N(E246)=0,1,E246)*IFERROR(INDEX(Products!$C$6:$C$105,MATCH(D246,Products!$B$6:$B$105,0)),0)+N(F246)+N(G246))</f>
        <v/>
      </c>
      <c r="I246" s="35" t="n">
        <v>108.95</v>
      </c>
      <c r="J246" s="30">
        <f>IF(OR(H246="",L246="Cancelled"),"",IF(H246-N(I246)&gt;0.005,H246-N(I246),""))</f>
        <v/>
      </c>
      <c r="K246" s="31" t="n">
        <v>46282</v>
      </c>
      <c r="L246" s="36" t="inlineStr">
        <is>
          <t>Sent</t>
        </is>
      </c>
      <c r="M246" s="33" t="inlineStr">
        <is>
          <t>Etsy</t>
        </is>
      </c>
      <c r="N246" s="22">
        <f>IF(OR(H246="",L246="Cancelled"),"",IF(N(E246)=0,1,E246)*IFERROR(INDEX(Products!$E$6:$E$105,MATCH(D246,Products!$B$6:$B$105,0)),0))</f>
        <v/>
      </c>
      <c r="O246" s="35" t="n">
        <v>6.45</v>
      </c>
      <c r="P246" s="22">
        <f>IF(OR(H246="",L246="Cancelled"),"",ROUND(IFERROR(H246*INDEX(Settings!$C$6:$C$15,MATCH(M246,Settings!$B$6:$B$15,0))+INDEX(Settings!$D$6:$D$15,MATCH(M246,Settings!$B$6:$B$15,0)),0),2))</f>
        <v/>
      </c>
      <c r="Q246" s="28">
        <f>IF(OR(H246="",L246="Cancelled"),"",H246-N(N246)-N(O246)-N(P246))</f>
        <v/>
      </c>
      <c r="R246" s="19">
        <f>IF(OR(B246="",K246=""),"",IF(OR(L246="Sent",L246="Picked up"),"Done",IF(L246="Cancelled","Cancelled",IF(K246&lt;TODAY(),"Late by "&amp;(TODAY()-K246)&amp;IF((TODAY()-K246)=1," day"," days"),IF(K246=TODAY(),"Due today","Due in "&amp;(K246-TODAY())&amp;IF((K246-TODAY())=1," day"," days"))))))</f>
        <v/>
      </c>
      <c r="S246" s="33" t="n"/>
      <c r="T246" s="1">
        <f>IF(AND(B246&lt;&gt;"",K246&lt;&gt;"",L246&lt;&gt;"Sent",L246&lt;&gt;"Picked up",L246&lt;&gt;"Cancelled"),K246+ROW()/10000000,"")</f>
        <v/>
      </c>
      <c r="U246">
        <f>IF(OR(B246="",C246=""),"",B246+ROW()/10000000)</f>
        <v/>
      </c>
      <c r="V246">
        <f>IF(U246="","",IF(COUNTIFS(Orders!$C$6:$C$1005,C246,Orders!$U$6:$U$1005,"&gt;"&amp;U246)=0,1,0))</f>
        <v/>
      </c>
      <c r="W246">
        <f>IF(AND(B246&lt;&gt;"",K246&lt;&gt;"",L246&lt;&gt;"Sent",L246&lt;&gt;"Picked up",L246&lt;&gt;"Cancelled"),IF(N(E246)=0,1,E246),0)</f>
        <v/>
      </c>
      <c r="X246">
        <f>IF(OR(B246="",D246=""),"",IF(N(E246)=0,1,E246))</f>
        <v/>
      </c>
    </row>
    <row r="247">
      <c r="A247" s="1" t="n"/>
      <c r="B247" s="31" t="n">
        <v>46280</v>
      </c>
      <c r="C247" s="32" t="inlineStr">
        <is>
          <t>Kyle Brooks</t>
        </is>
      </c>
      <c r="D247" s="33" t="inlineStr">
        <is>
          <t>Soy candle 8 oz</t>
        </is>
      </c>
      <c r="E247" s="34" t="n">
        <v>2</v>
      </c>
      <c r="F247" s="35" t="n">
        <v>10</v>
      </c>
      <c r="G247" s="35" t="n">
        <v>6.95</v>
      </c>
      <c r="H247" s="30">
        <f>IF(OR(B247="",D247=""),"",IF(N(E247)=0,1,E247)*IFERROR(INDEX(Products!$C$6:$C$105,MATCH(D247,Products!$B$6:$B$105,0)),0)+N(F247)+N(G247))</f>
        <v/>
      </c>
      <c r="I247" s="35" t="n">
        <v>60.95</v>
      </c>
      <c r="J247" s="30">
        <f>IF(OR(H247="",L247="Cancelled"),"",IF(H247-N(I247)&gt;0.005,H247-N(I247),""))</f>
        <v/>
      </c>
      <c r="K247" s="31" t="n">
        <v>46285</v>
      </c>
      <c r="L247" s="36" t="inlineStr">
        <is>
          <t>Sent</t>
        </is>
      </c>
      <c r="M247" s="33" t="inlineStr">
        <is>
          <t>Own website</t>
        </is>
      </c>
      <c r="N247" s="22">
        <f>IF(OR(H247="",L247="Cancelled"),"",IF(N(E247)=0,1,E247)*IFERROR(INDEX(Products!$E$6:$E$105,MATCH(D247,Products!$B$6:$B$105,0)),0))</f>
        <v/>
      </c>
      <c r="O247" s="35" t="n">
        <v>7.22</v>
      </c>
      <c r="P247" s="22">
        <f>IF(OR(H247="",L247="Cancelled"),"",ROUND(IFERROR(H247*INDEX(Settings!$C$6:$C$15,MATCH(M247,Settings!$B$6:$B$15,0))+INDEX(Settings!$D$6:$D$15,MATCH(M247,Settings!$B$6:$B$15,0)),0),2))</f>
        <v/>
      </c>
      <c r="Q247" s="28">
        <f>IF(OR(H247="",L247="Cancelled"),"",H247-N(N247)-N(O247)-N(P247))</f>
        <v/>
      </c>
      <c r="R247" s="19">
        <f>IF(OR(B247="",K247=""),"",IF(OR(L247="Sent",L247="Picked up"),"Done",IF(L247="Cancelled","Cancelled",IF(K247&lt;TODAY(),"Late by "&amp;(TODAY()-K247)&amp;IF((TODAY()-K247)=1," day"," days"),IF(K247=TODAY(),"Due today","Due in "&amp;(K247-TODAY())&amp;IF((K247-TODAY())=1," day"," days"))))))</f>
        <v/>
      </c>
      <c r="S247" s="33" t="inlineStr">
        <is>
          <t>Custom label</t>
        </is>
      </c>
      <c r="T247" s="1">
        <f>IF(AND(B247&lt;&gt;"",K247&lt;&gt;"",L247&lt;&gt;"Sent",L247&lt;&gt;"Picked up",L247&lt;&gt;"Cancelled"),K247+ROW()/10000000,"")</f>
        <v/>
      </c>
      <c r="U247">
        <f>IF(OR(B247="",C247=""),"",B247+ROW()/10000000)</f>
        <v/>
      </c>
      <c r="V247">
        <f>IF(U247="","",IF(COUNTIFS(Orders!$C$6:$C$1005,C247,Orders!$U$6:$U$1005,"&gt;"&amp;U247)=0,1,0))</f>
        <v/>
      </c>
      <c r="W247">
        <f>IF(AND(B247&lt;&gt;"",K247&lt;&gt;"",L247&lt;&gt;"Sent",L247&lt;&gt;"Picked up",L247&lt;&gt;"Cancelled"),IF(N(E247)=0,1,E247),0)</f>
        <v/>
      </c>
      <c r="X247">
        <f>IF(OR(B247="",D247=""),"",IF(N(E247)=0,1,E247))</f>
        <v/>
      </c>
    </row>
    <row r="248">
      <c r="A248" s="1" t="n"/>
      <c r="B248" s="31" t="n">
        <v>46281</v>
      </c>
      <c r="C248" s="32" t="inlineStr">
        <is>
          <t>Leah Hill</t>
        </is>
      </c>
      <c r="D248" s="33" t="inlineStr">
        <is>
          <t>Wax melts, 6 pack</t>
        </is>
      </c>
      <c r="E248" s="34" t="n">
        <v>4</v>
      </c>
      <c r="F248" s="35" t="n"/>
      <c r="G248" s="35" t="n">
        <v>6.95</v>
      </c>
      <c r="H248" s="30">
        <f>IF(OR(B248="",D248=""),"",IF(N(E248)=0,1,E248)*IFERROR(INDEX(Products!$C$6:$C$105,MATCH(D248,Products!$B$6:$B$105,0)),0)+N(F248)+N(G248))</f>
        <v/>
      </c>
      <c r="I248" s="35" t="n">
        <v>42.95</v>
      </c>
      <c r="J248" s="30">
        <f>IF(OR(H248="",L248="Cancelled"),"",IF(H248-N(I248)&gt;0.005,H248-N(I248),""))</f>
        <v/>
      </c>
      <c r="K248" s="31" t="n">
        <v>46292</v>
      </c>
      <c r="L248" s="36" t="inlineStr">
        <is>
          <t>Sent</t>
        </is>
      </c>
      <c r="M248" s="33" t="inlineStr">
        <is>
          <t>Etsy</t>
        </is>
      </c>
      <c r="N248" s="22">
        <f>IF(OR(H248="",L248="Cancelled"),"",IF(N(E248)=0,1,E248)*IFERROR(INDEX(Products!$E$6:$E$105,MATCH(D248,Products!$B$6:$B$105,0)),0))</f>
        <v/>
      </c>
      <c r="O248" s="35" t="n">
        <v>6.53</v>
      </c>
      <c r="P248" s="22">
        <f>IF(OR(H248="",L248="Cancelled"),"",ROUND(IFERROR(H248*INDEX(Settings!$C$6:$C$15,MATCH(M248,Settings!$B$6:$B$15,0))+INDEX(Settings!$D$6:$D$15,MATCH(M248,Settings!$B$6:$B$15,0)),0),2))</f>
        <v/>
      </c>
      <c r="Q248" s="28">
        <f>IF(OR(H248="",L248="Cancelled"),"",H248-N(N248)-N(O248)-N(P248))</f>
        <v/>
      </c>
      <c r="R248" s="19">
        <f>IF(OR(B248="",K248=""),"",IF(OR(L248="Sent",L248="Picked up"),"Done",IF(L248="Cancelled","Cancelled",IF(K248&lt;TODAY(),"Late by "&amp;(TODAY()-K248)&amp;IF((TODAY()-K248)=1," day"," days"),IF(K248=TODAY(),"Due today","Due in "&amp;(K248-TODAY())&amp;IF((K248-TODAY())=1," day"," days"))))))</f>
        <v/>
      </c>
      <c r="S248" s="33" t="n"/>
      <c r="T248" s="1">
        <f>IF(AND(B248&lt;&gt;"",K248&lt;&gt;"",L248&lt;&gt;"Sent",L248&lt;&gt;"Picked up",L248&lt;&gt;"Cancelled"),K248+ROW()/10000000,"")</f>
        <v/>
      </c>
      <c r="U248">
        <f>IF(OR(B248="",C248=""),"",B248+ROW()/10000000)</f>
        <v/>
      </c>
      <c r="V248">
        <f>IF(U248="","",IF(COUNTIFS(Orders!$C$6:$C$1005,C248,Orders!$U$6:$U$1005,"&gt;"&amp;U248)=0,1,0))</f>
        <v/>
      </c>
      <c r="W248">
        <f>IF(AND(B248&lt;&gt;"",K248&lt;&gt;"",L248&lt;&gt;"Sent",L248&lt;&gt;"Picked up",L248&lt;&gt;"Cancelled"),IF(N(E248)=0,1,E248),0)</f>
        <v/>
      </c>
      <c r="X248">
        <f>IF(OR(B248="",D248=""),"",IF(N(E248)=0,1,E248))</f>
        <v/>
      </c>
    </row>
    <row r="249">
      <c r="A249" s="1" t="n"/>
      <c r="B249" s="31" t="n">
        <v>46281</v>
      </c>
      <c r="C249" s="32" t="inlineStr">
        <is>
          <t>Mia Cox</t>
        </is>
      </c>
      <c r="D249" s="33" t="inlineStr">
        <is>
          <t>Gift box</t>
        </is>
      </c>
      <c r="E249" s="34" t="n">
        <v>4</v>
      </c>
      <c r="F249" s="35" t="n"/>
      <c r="G249" s="35" t="n"/>
      <c r="H249" s="30">
        <f>IF(OR(B249="",D249=""),"",IF(N(E249)=0,1,E249)*IFERROR(INDEX(Products!$C$6:$C$105,MATCH(D249,Products!$B$6:$B$105,0)),0)+N(F249)+N(G249))</f>
        <v/>
      </c>
      <c r="I249" s="35" t="n">
        <v>180</v>
      </c>
      <c r="J249" s="30">
        <f>IF(OR(H249="",L249="Cancelled"),"",IF(H249-N(I249)&gt;0.005,H249-N(I249),""))</f>
        <v/>
      </c>
      <c r="K249" s="31" t="n">
        <v>46291</v>
      </c>
      <c r="L249" s="36" t="inlineStr">
        <is>
          <t>Picked up</t>
        </is>
      </c>
      <c r="M249" s="33" t="inlineStr">
        <is>
          <t>Craft market</t>
        </is>
      </c>
      <c r="N249" s="22">
        <f>IF(OR(H249="",L249="Cancelled"),"",IF(N(E249)=0,1,E249)*IFERROR(INDEX(Products!$E$6:$E$105,MATCH(D249,Products!$B$6:$B$105,0)),0))</f>
        <v/>
      </c>
      <c r="O249" s="35" t="n"/>
      <c r="P249" s="22">
        <f>IF(OR(H249="",L249="Cancelled"),"",ROUND(IFERROR(H249*INDEX(Settings!$C$6:$C$15,MATCH(M249,Settings!$B$6:$B$15,0))+INDEX(Settings!$D$6:$D$15,MATCH(M249,Settings!$B$6:$B$15,0)),0),2))</f>
        <v/>
      </c>
      <c r="Q249" s="28">
        <f>IF(OR(H249="",L249="Cancelled"),"",H249-N(N249)-N(O249)-N(P249))</f>
        <v/>
      </c>
      <c r="R249" s="19">
        <f>IF(OR(B249="",K249=""),"",IF(OR(L249="Sent",L249="Picked up"),"Done",IF(L249="Cancelled","Cancelled",IF(K249&lt;TODAY(),"Late by "&amp;(TODAY()-K249)&amp;IF((TODAY()-K249)=1," day"," days"),IF(K249=TODAY(),"Due today","Due in "&amp;(K249-TODAY())&amp;IF((K249-TODAY())=1," day"," days"))))))</f>
        <v/>
      </c>
      <c r="S249" s="33" t="n"/>
      <c r="T249" s="1">
        <f>IF(AND(B249&lt;&gt;"",K249&lt;&gt;"",L249&lt;&gt;"Sent",L249&lt;&gt;"Picked up",L249&lt;&gt;"Cancelled"),K249+ROW()/10000000,"")</f>
        <v/>
      </c>
      <c r="U249">
        <f>IF(OR(B249="",C249=""),"",B249+ROW()/10000000)</f>
        <v/>
      </c>
      <c r="V249">
        <f>IF(U249="","",IF(COUNTIFS(Orders!$C$6:$C$1005,C249,Orders!$U$6:$U$1005,"&gt;"&amp;U249)=0,1,0))</f>
        <v/>
      </c>
      <c r="W249">
        <f>IF(AND(B249&lt;&gt;"",K249&lt;&gt;"",L249&lt;&gt;"Sent",L249&lt;&gt;"Picked up",L249&lt;&gt;"Cancelled"),IF(N(E249)=0,1,E249),0)</f>
        <v/>
      </c>
      <c r="X249">
        <f>IF(OR(B249="",D249=""),"",IF(N(E249)=0,1,E249))</f>
        <v/>
      </c>
    </row>
    <row r="250">
      <c r="A250" s="1" t="n"/>
      <c r="B250" s="31" t="n">
        <v>46282</v>
      </c>
      <c r="C250" s="32" t="inlineStr">
        <is>
          <t>Iris Hall</t>
        </is>
      </c>
      <c r="D250" s="33" t="inlineStr">
        <is>
          <t>Soap bar</t>
        </is>
      </c>
      <c r="E250" s="34" t="n">
        <v>1</v>
      </c>
      <c r="F250" s="35" t="n"/>
      <c r="G250" s="35" t="n">
        <v>6.95</v>
      </c>
      <c r="H250" s="30">
        <f>IF(OR(B250="",D250=""),"",IF(N(E250)=0,1,E250)*IFERROR(INDEX(Products!$C$6:$C$105,MATCH(D250,Products!$B$6:$B$105,0)),0)+N(F250)+N(G250))</f>
        <v/>
      </c>
      <c r="I250" s="35" t="n">
        <v>14.95</v>
      </c>
      <c r="J250" s="30">
        <f>IF(OR(H250="",L250="Cancelled"),"",IF(H250-N(I250)&gt;0.005,H250-N(I250),""))</f>
        <v/>
      </c>
      <c r="K250" s="31" t="n">
        <v>46290</v>
      </c>
      <c r="L250" s="36" t="inlineStr">
        <is>
          <t>Sent</t>
        </is>
      </c>
      <c r="M250" s="33" t="inlineStr">
        <is>
          <t>Etsy</t>
        </is>
      </c>
      <c r="N250" s="22">
        <f>IF(OR(H250="",L250="Cancelled"),"",IF(N(E250)=0,1,E250)*IFERROR(INDEX(Products!$E$6:$E$105,MATCH(D250,Products!$B$6:$B$105,0)),0))</f>
        <v/>
      </c>
      <c r="O250" s="35" t="n">
        <v>7.57</v>
      </c>
      <c r="P250" s="22">
        <f>IF(OR(H250="",L250="Cancelled"),"",ROUND(IFERROR(H250*INDEX(Settings!$C$6:$C$15,MATCH(M250,Settings!$B$6:$B$15,0))+INDEX(Settings!$D$6:$D$15,MATCH(M250,Settings!$B$6:$B$15,0)),0),2))</f>
        <v/>
      </c>
      <c r="Q250" s="28">
        <f>IF(OR(H250="",L250="Cancelled"),"",H250-N(N250)-N(O250)-N(P250))</f>
        <v/>
      </c>
      <c r="R250" s="19">
        <f>IF(OR(B250="",K250=""),"",IF(OR(L250="Sent",L250="Picked up"),"Done",IF(L250="Cancelled","Cancelled",IF(K250&lt;TODAY(),"Late by "&amp;(TODAY()-K250)&amp;IF((TODAY()-K250)=1," day"," days"),IF(K250=TODAY(),"Due today","Due in "&amp;(K250-TODAY())&amp;IF((K250-TODAY())=1," day"," days"))))))</f>
        <v/>
      </c>
      <c r="S250" s="33" t="n"/>
      <c r="T250" s="1">
        <f>IF(AND(B250&lt;&gt;"",K250&lt;&gt;"",L250&lt;&gt;"Sent",L250&lt;&gt;"Picked up",L250&lt;&gt;"Cancelled"),K250+ROW()/10000000,"")</f>
        <v/>
      </c>
      <c r="U250">
        <f>IF(OR(B250="",C250=""),"",B250+ROW()/10000000)</f>
        <v/>
      </c>
      <c r="V250">
        <f>IF(U250="","",IF(COUNTIFS(Orders!$C$6:$C$1005,C250,Orders!$U$6:$U$1005,"&gt;"&amp;U250)=0,1,0))</f>
        <v/>
      </c>
      <c r="W250">
        <f>IF(AND(B250&lt;&gt;"",K250&lt;&gt;"",L250&lt;&gt;"Sent",L250&lt;&gt;"Picked up",L250&lt;&gt;"Cancelled"),IF(N(E250)=0,1,E250),0)</f>
        <v/>
      </c>
      <c r="X250">
        <f>IF(OR(B250="",D250=""),"",IF(N(E250)=0,1,E250))</f>
        <v/>
      </c>
    </row>
    <row r="251">
      <c r="A251" s="1" t="n"/>
      <c r="B251" s="31" t="n">
        <v>46282</v>
      </c>
      <c r="C251" s="32" t="inlineStr">
        <is>
          <t>Ava Adams</t>
        </is>
      </c>
      <c r="D251" s="33" t="inlineStr">
        <is>
          <t>Soy candle 8 oz</t>
        </is>
      </c>
      <c r="E251" s="34" t="n">
        <v>1</v>
      </c>
      <c r="F251" s="35" t="n"/>
      <c r="G251" s="35" t="n"/>
      <c r="H251" s="30">
        <f>IF(OR(B251="",D251=""),"",IF(N(E251)=0,1,E251)*IFERROR(INDEX(Products!$C$6:$C$105,MATCH(D251,Products!$B$6:$B$105,0)),0)+N(F251)+N(G251))</f>
        <v/>
      </c>
      <c r="I251" s="35" t="n"/>
      <c r="J251" s="30">
        <f>IF(OR(H251="",L251="Cancelled"),"",IF(H251-N(I251)&gt;0.005,H251-N(I251),""))</f>
        <v/>
      </c>
      <c r="K251" s="31" t="n">
        <v>46293</v>
      </c>
      <c r="L251" s="36" t="inlineStr">
        <is>
          <t>Ready</t>
        </is>
      </c>
      <c r="M251" s="33" t="inlineStr">
        <is>
          <t>Friends and family</t>
        </is>
      </c>
      <c r="N251" s="22">
        <f>IF(OR(H251="",L251="Cancelled"),"",IF(N(E251)=0,1,E251)*IFERROR(INDEX(Products!$E$6:$E$105,MATCH(D251,Products!$B$6:$B$105,0)),0))</f>
        <v/>
      </c>
      <c r="O251" s="35" t="n"/>
      <c r="P251" s="22">
        <f>IF(OR(H251="",L251="Cancelled"),"",ROUND(IFERROR(H251*INDEX(Settings!$C$6:$C$15,MATCH(M251,Settings!$B$6:$B$15,0))+INDEX(Settings!$D$6:$D$15,MATCH(M251,Settings!$B$6:$B$15,0)),0),2))</f>
        <v/>
      </c>
      <c r="Q251" s="28">
        <f>IF(OR(H251="",L251="Cancelled"),"",H251-N(N251)-N(O251)-N(P251))</f>
        <v/>
      </c>
      <c r="R251" s="19">
        <f>IF(OR(B251="",K251=""),"",IF(OR(L251="Sent",L251="Picked up"),"Done",IF(L251="Cancelled","Cancelled",IF(K251&lt;TODAY(),"Late by "&amp;(TODAY()-K251)&amp;IF((TODAY()-K251)=1," day"," days"),IF(K251=TODAY(),"Due today","Due in "&amp;(K251-TODAY())&amp;IF((K251-TODAY())=1," day"," days"))))))</f>
        <v/>
      </c>
      <c r="S251" s="33" t="n"/>
      <c r="T251" s="1">
        <f>IF(AND(B251&lt;&gt;"",K251&lt;&gt;"",L251&lt;&gt;"Sent",L251&lt;&gt;"Picked up",L251&lt;&gt;"Cancelled"),K251+ROW()/10000000,"")</f>
        <v/>
      </c>
      <c r="U251">
        <f>IF(OR(B251="",C251=""),"",B251+ROW()/10000000)</f>
        <v/>
      </c>
      <c r="V251">
        <f>IF(U251="","",IF(COUNTIFS(Orders!$C$6:$C$1005,C251,Orders!$U$6:$U$1005,"&gt;"&amp;U251)=0,1,0))</f>
        <v/>
      </c>
      <c r="W251">
        <f>IF(AND(B251&lt;&gt;"",K251&lt;&gt;"",L251&lt;&gt;"Sent",L251&lt;&gt;"Picked up",L251&lt;&gt;"Cancelled"),IF(N(E251)=0,1,E251),0)</f>
        <v/>
      </c>
      <c r="X251">
        <f>IF(OR(B251="",D251=""),"",IF(N(E251)=0,1,E251))</f>
        <v/>
      </c>
    </row>
    <row r="252">
      <c r="A252" s="1" t="n"/>
      <c r="B252" s="31" t="n">
        <v>46283</v>
      </c>
      <c r="C252" s="32" t="inlineStr">
        <is>
          <t>Megan Murphy</t>
        </is>
      </c>
      <c r="D252" s="33" t="inlineStr">
        <is>
          <t>Soap bar</t>
        </is>
      </c>
      <c r="E252" s="34" t="n">
        <v>2</v>
      </c>
      <c r="F252" s="35" t="n"/>
      <c r="G252" s="35" t="n">
        <v>6.95</v>
      </c>
      <c r="H252" s="30">
        <f>IF(OR(B252="",D252=""),"",IF(N(E252)=0,1,E252)*IFERROR(INDEX(Products!$C$6:$C$105,MATCH(D252,Products!$B$6:$B$105,0)),0)+N(F252)+N(G252))</f>
        <v/>
      </c>
      <c r="I252" s="35" t="n">
        <v>22.95</v>
      </c>
      <c r="J252" s="30">
        <f>IF(OR(H252="",L252="Cancelled"),"",IF(H252-N(I252)&gt;0.005,H252-N(I252),""))</f>
        <v/>
      </c>
      <c r="K252" s="31" t="n">
        <v>46289</v>
      </c>
      <c r="L252" s="36" t="inlineStr">
        <is>
          <t>Sent</t>
        </is>
      </c>
      <c r="M252" s="33" t="inlineStr">
        <is>
          <t>Etsy</t>
        </is>
      </c>
      <c r="N252" s="22">
        <f>IF(OR(H252="",L252="Cancelled"),"",IF(N(E252)=0,1,E252)*IFERROR(INDEX(Products!$E$6:$E$105,MATCH(D252,Products!$B$6:$B$105,0)),0))</f>
        <v/>
      </c>
      <c r="O252" s="35" t="n">
        <v>5.64</v>
      </c>
      <c r="P252" s="22">
        <f>IF(OR(H252="",L252="Cancelled"),"",ROUND(IFERROR(H252*INDEX(Settings!$C$6:$C$15,MATCH(M252,Settings!$B$6:$B$15,0))+INDEX(Settings!$D$6:$D$15,MATCH(M252,Settings!$B$6:$B$15,0)),0),2))</f>
        <v/>
      </c>
      <c r="Q252" s="28">
        <f>IF(OR(H252="",L252="Cancelled"),"",H252-N(N252)-N(O252)-N(P252))</f>
        <v/>
      </c>
      <c r="R252" s="19">
        <f>IF(OR(B252="",K252=""),"",IF(OR(L252="Sent",L252="Picked up"),"Done",IF(L252="Cancelled","Cancelled",IF(K252&lt;TODAY(),"Late by "&amp;(TODAY()-K252)&amp;IF((TODAY()-K252)=1," day"," days"),IF(K252=TODAY(),"Due today","Due in "&amp;(K252-TODAY())&amp;IF((K252-TODAY())=1," day"," days"))))))</f>
        <v/>
      </c>
      <c r="S252" s="33" t="n"/>
      <c r="T252" s="1">
        <f>IF(AND(B252&lt;&gt;"",K252&lt;&gt;"",L252&lt;&gt;"Sent",L252&lt;&gt;"Picked up",L252&lt;&gt;"Cancelled"),K252+ROW()/10000000,"")</f>
        <v/>
      </c>
      <c r="U252">
        <f>IF(OR(B252="",C252=""),"",B252+ROW()/10000000)</f>
        <v/>
      </c>
      <c r="V252">
        <f>IF(U252="","",IF(COUNTIFS(Orders!$C$6:$C$1005,C252,Orders!$U$6:$U$1005,"&gt;"&amp;U252)=0,1,0))</f>
        <v/>
      </c>
      <c r="W252">
        <f>IF(AND(B252&lt;&gt;"",K252&lt;&gt;"",L252&lt;&gt;"Sent",L252&lt;&gt;"Picked up",L252&lt;&gt;"Cancelled"),IF(N(E252)=0,1,E252),0)</f>
        <v/>
      </c>
      <c r="X252">
        <f>IF(OR(B252="",D252=""),"",IF(N(E252)=0,1,E252))</f>
        <v/>
      </c>
    </row>
    <row r="253">
      <c r="A253" s="1" t="n"/>
      <c r="B253" s="31" t="n">
        <v>46284</v>
      </c>
      <c r="C253" s="32" t="inlineStr">
        <is>
          <t>Nina Kelly</t>
        </is>
      </c>
      <c r="D253" s="33" t="inlineStr">
        <is>
          <t>Wax melts, 6 pack</t>
        </is>
      </c>
      <c r="E253" s="34" t="n">
        <v>2</v>
      </c>
      <c r="F253" s="35" t="n"/>
      <c r="G253" s="35" t="n"/>
      <c r="H253" s="30">
        <f>IF(OR(B253="",D253=""),"",IF(N(E253)=0,1,E253)*IFERROR(INDEX(Products!$C$6:$C$105,MATCH(D253,Products!$B$6:$B$105,0)),0)+N(F253)+N(G253))</f>
        <v/>
      </c>
      <c r="I253" s="35" t="n"/>
      <c r="J253" s="30">
        <f>IF(OR(H253="",L253="Cancelled"),"",IF(H253-N(I253)&gt;0.005,H253-N(I253),""))</f>
        <v/>
      </c>
      <c r="K253" s="31" t="n">
        <v>46291</v>
      </c>
      <c r="L253" s="36" t="inlineStr">
        <is>
          <t>Picked up</t>
        </is>
      </c>
      <c r="M253" s="33" t="inlineStr">
        <is>
          <t>Instagram</t>
        </is>
      </c>
      <c r="N253" s="22">
        <f>IF(OR(H253="",L253="Cancelled"),"",IF(N(E253)=0,1,E253)*IFERROR(INDEX(Products!$E$6:$E$105,MATCH(D253,Products!$B$6:$B$105,0)),0))</f>
        <v/>
      </c>
      <c r="O253" s="35" t="n"/>
      <c r="P253" s="22">
        <f>IF(OR(H253="",L253="Cancelled"),"",ROUND(IFERROR(H253*INDEX(Settings!$C$6:$C$15,MATCH(M253,Settings!$B$6:$B$15,0))+INDEX(Settings!$D$6:$D$15,MATCH(M253,Settings!$B$6:$B$15,0)),0),2))</f>
        <v/>
      </c>
      <c r="Q253" s="28">
        <f>IF(OR(H253="",L253="Cancelled"),"",H253-N(N253)-N(O253)-N(P253))</f>
        <v/>
      </c>
      <c r="R253" s="19">
        <f>IF(OR(B253="",K253=""),"",IF(OR(L253="Sent",L253="Picked up"),"Done",IF(L253="Cancelled","Cancelled",IF(K253&lt;TODAY(),"Late by "&amp;(TODAY()-K253)&amp;IF((TODAY()-K253)=1," day"," days"),IF(K253=TODAY(),"Due today","Due in "&amp;(K253-TODAY())&amp;IF((K253-TODAY())=1," day"," days"))))))</f>
        <v/>
      </c>
      <c r="S253" s="33" t="inlineStr">
        <is>
          <t>Pays on Friday</t>
        </is>
      </c>
      <c r="T253" s="1">
        <f>IF(AND(B253&lt;&gt;"",K253&lt;&gt;"",L253&lt;&gt;"Sent",L253&lt;&gt;"Picked up",L253&lt;&gt;"Cancelled"),K253+ROW()/10000000,"")</f>
        <v/>
      </c>
      <c r="U253">
        <f>IF(OR(B253="",C253=""),"",B253+ROW()/10000000)</f>
        <v/>
      </c>
      <c r="V253">
        <f>IF(U253="","",IF(COUNTIFS(Orders!$C$6:$C$1005,C253,Orders!$U$6:$U$1005,"&gt;"&amp;U253)=0,1,0))</f>
        <v/>
      </c>
      <c r="W253">
        <f>IF(AND(B253&lt;&gt;"",K253&lt;&gt;"",L253&lt;&gt;"Sent",L253&lt;&gt;"Picked up",L253&lt;&gt;"Cancelled"),IF(N(E253)=0,1,E253),0)</f>
        <v/>
      </c>
      <c r="X253">
        <f>IF(OR(B253="",D253=""),"",IF(N(E253)=0,1,E253))</f>
        <v/>
      </c>
    </row>
    <row r="254">
      <c r="A254" s="1" t="n"/>
      <c r="B254" s="31" t="n">
        <v>46284</v>
      </c>
      <c r="C254" s="32" t="inlineStr">
        <is>
          <t>Chris Owens</t>
        </is>
      </c>
      <c r="D254" s="33" t="inlineStr">
        <is>
          <t>Soap bar</t>
        </is>
      </c>
      <c r="E254" s="34" t="n">
        <v>1</v>
      </c>
      <c r="F254" s="35" t="n"/>
      <c r="G254" s="35" t="n">
        <v>6.95</v>
      </c>
      <c r="H254" s="30">
        <f>IF(OR(B254="",D254=""),"",IF(N(E254)=0,1,E254)*IFERROR(INDEX(Products!$C$6:$C$105,MATCH(D254,Products!$B$6:$B$105,0)),0)+N(F254)+N(G254))</f>
        <v/>
      </c>
      <c r="I254" s="35" t="n">
        <v>14.95</v>
      </c>
      <c r="J254" s="30">
        <f>IF(OR(H254="",L254="Cancelled"),"",IF(H254-N(I254)&gt;0.005,H254-N(I254),""))</f>
        <v/>
      </c>
      <c r="K254" s="31" t="n">
        <v>46293</v>
      </c>
      <c r="L254" s="36" t="inlineStr">
        <is>
          <t>Ready</t>
        </is>
      </c>
      <c r="M254" s="33" t="inlineStr">
        <is>
          <t>Etsy</t>
        </is>
      </c>
      <c r="N254" s="22">
        <f>IF(OR(H254="",L254="Cancelled"),"",IF(N(E254)=0,1,E254)*IFERROR(INDEX(Products!$E$6:$E$105,MATCH(D254,Products!$B$6:$B$105,0)),0))</f>
        <v/>
      </c>
      <c r="O254" s="35" t="n">
        <v>5.77</v>
      </c>
      <c r="P254" s="22">
        <f>IF(OR(H254="",L254="Cancelled"),"",ROUND(IFERROR(H254*INDEX(Settings!$C$6:$C$15,MATCH(M254,Settings!$B$6:$B$15,0))+INDEX(Settings!$D$6:$D$15,MATCH(M254,Settings!$B$6:$B$15,0)),0),2))</f>
        <v/>
      </c>
      <c r="Q254" s="28">
        <f>IF(OR(H254="",L254="Cancelled"),"",H254-N(N254)-N(O254)-N(P254))</f>
        <v/>
      </c>
      <c r="R254" s="19">
        <f>IF(OR(B254="",K254=""),"",IF(OR(L254="Sent",L254="Picked up"),"Done",IF(L254="Cancelled","Cancelled",IF(K254&lt;TODAY(),"Late by "&amp;(TODAY()-K254)&amp;IF((TODAY()-K254)=1," day"," days"),IF(K254=TODAY(),"Due today","Due in "&amp;(K254-TODAY())&amp;IF((K254-TODAY())=1," day"," days"))))))</f>
        <v/>
      </c>
      <c r="S254" s="33" t="n"/>
      <c r="T254" s="1">
        <f>IF(AND(B254&lt;&gt;"",K254&lt;&gt;"",L254&lt;&gt;"Sent",L254&lt;&gt;"Picked up",L254&lt;&gt;"Cancelled"),K254+ROW()/10000000,"")</f>
        <v/>
      </c>
      <c r="U254">
        <f>IF(OR(B254="",C254=""),"",B254+ROW()/10000000)</f>
        <v/>
      </c>
      <c r="V254">
        <f>IF(U254="","",IF(COUNTIFS(Orders!$C$6:$C$1005,C254,Orders!$U$6:$U$1005,"&gt;"&amp;U254)=0,1,0))</f>
        <v/>
      </c>
      <c r="W254">
        <f>IF(AND(B254&lt;&gt;"",K254&lt;&gt;"",L254&lt;&gt;"Sent",L254&lt;&gt;"Picked up",L254&lt;&gt;"Cancelled"),IF(N(E254)=0,1,E254),0)</f>
        <v/>
      </c>
      <c r="X254">
        <f>IF(OR(B254="",D254=""),"",IF(N(E254)=0,1,E254))</f>
        <v/>
      </c>
    </row>
    <row r="255">
      <c r="A255" s="1" t="n"/>
      <c r="B255" s="31" t="n">
        <v>46285</v>
      </c>
      <c r="C255" s="32" t="inlineStr">
        <is>
          <t>Paula Morgan</t>
        </is>
      </c>
      <c r="D255" s="33" t="inlineStr">
        <is>
          <t>Soy candle 8 oz</t>
        </is>
      </c>
      <c r="E255" s="34" t="n">
        <v>1</v>
      </c>
      <c r="F255" s="35" t="n"/>
      <c r="G255" s="35" t="n"/>
      <c r="H255" s="30">
        <f>IF(OR(B255="",D255=""),"",IF(N(E255)=0,1,E255)*IFERROR(INDEX(Products!$C$6:$C$105,MATCH(D255,Products!$B$6:$B$105,0)),0)+N(F255)+N(G255))</f>
        <v/>
      </c>
      <c r="I255" s="35" t="n">
        <v>22</v>
      </c>
      <c r="J255" s="30">
        <f>IF(OR(H255="",L255="Cancelled"),"",IF(H255-N(I255)&gt;0.005,H255-N(I255),""))</f>
        <v/>
      </c>
      <c r="K255" s="31" t="n">
        <v>46289</v>
      </c>
      <c r="L255" s="36" t="inlineStr">
        <is>
          <t>Making</t>
        </is>
      </c>
      <c r="M255" s="33" t="inlineStr">
        <is>
          <t>Instagram</t>
        </is>
      </c>
      <c r="N255" s="22">
        <f>IF(OR(H255="",L255="Cancelled"),"",IF(N(E255)=0,1,E255)*IFERROR(INDEX(Products!$E$6:$E$105,MATCH(D255,Products!$B$6:$B$105,0)),0))</f>
        <v/>
      </c>
      <c r="O255" s="35" t="n"/>
      <c r="P255" s="22">
        <f>IF(OR(H255="",L255="Cancelled"),"",ROUND(IFERROR(H255*INDEX(Settings!$C$6:$C$15,MATCH(M255,Settings!$B$6:$B$15,0))+INDEX(Settings!$D$6:$D$15,MATCH(M255,Settings!$B$6:$B$15,0)),0),2))</f>
        <v/>
      </c>
      <c r="Q255" s="28">
        <f>IF(OR(H255="",L255="Cancelled"),"",H255-N(N255)-N(O255)-N(P255))</f>
        <v/>
      </c>
      <c r="R255" s="19">
        <f>IF(OR(B255="",K255=""),"",IF(OR(L255="Sent",L255="Picked up"),"Done",IF(L255="Cancelled","Cancelled",IF(K255&lt;TODAY(),"Late by "&amp;(TODAY()-K255)&amp;IF((TODAY()-K255)=1," day"," days"),IF(K255=TODAY(),"Due today","Due in "&amp;(K255-TODAY())&amp;IF((K255-TODAY())=1," day"," days"))))))</f>
        <v/>
      </c>
      <c r="S255" s="33" t="inlineStr">
        <is>
          <t>Waiting for the jars</t>
        </is>
      </c>
      <c r="T255" s="1">
        <f>IF(AND(B255&lt;&gt;"",K255&lt;&gt;"",L255&lt;&gt;"Sent",L255&lt;&gt;"Picked up",L255&lt;&gt;"Cancelled"),K255+ROW()/10000000,"")</f>
        <v/>
      </c>
      <c r="U255">
        <f>IF(OR(B255="",C255=""),"",B255+ROW()/10000000)</f>
        <v/>
      </c>
      <c r="V255">
        <f>IF(U255="","",IF(COUNTIFS(Orders!$C$6:$C$1005,C255,Orders!$U$6:$U$1005,"&gt;"&amp;U255)=0,1,0))</f>
        <v/>
      </c>
      <c r="W255">
        <f>IF(AND(B255&lt;&gt;"",K255&lt;&gt;"",L255&lt;&gt;"Sent",L255&lt;&gt;"Picked up",L255&lt;&gt;"Cancelled"),IF(N(E255)=0,1,E255),0)</f>
        <v/>
      </c>
      <c r="X255">
        <f>IF(OR(B255="",D255=""),"",IF(N(E255)=0,1,E255))</f>
        <v/>
      </c>
    </row>
    <row r="256">
      <c r="A256" s="1" t="n"/>
      <c r="B256" s="31" t="n">
        <v>46286</v>
      </c>
      <c r="C256" s="32" t="inlineStr">
        <is>
          <t>George Hill</t>
        </is>
      </c>
      <c r="D256" s="33" t="inlineStr">
        <is>
          <t>Soy candle 8 oz</t>
        </is>
      </c>
      <c r="E256" s="34" t="n">
        <v>4</v>
      </c>
      <c r="F256" s="35" t="n"/>
      <c r="G256" s="35" t="n">
        <v>6.95</v>
      </c>
      <c r="H256" s="30">
        <f>IF(OR(B256="",D256=""),"",IF(N(E256)=0,1,E256)*IFERROR(INDEX(Products!$C$6:$C$105,MATCH(D256,Products!$B$6:$B$105,0)),0)+N(F256)+N(G256))</f>
        <v/>
      </c>
      <c r="I256" s="35" t="n">
        <v>94.95</v>
      </c>
      <c r="J256" s="30">
        <f>IF(OR(H256="",L256="Cancelled"),"",IF(H256-N(I256)&gt;0.005,H256-N(I256),""))</f>
        <v/>
      </c>
      <c r="K256" s="31" t="n">
        <v>46291</v>
      </c>
      <c r="L256" s="36" t="inlineStr">
        <is>
          <t>Cancelled</t>
        </is>
      </c>
      <c r="M256" s="33" t="inlineStr">
        <is>
          <t>Own website</t>
        </is>
      </c>
      <c r="N256" s="22">
        <f>IF(OR(H256="",L256="Cancelled"),"",IF(N(E256)=0,1,E256)*IFERROR(INDEX(Products!$E$6:$E$105,MATCH(D256,Products!$B$6:$B$105,0)),0))</f>
        <v/>
      </c>
      <c r="O256" s="35" t="n"/>
      <c r="P256" s="22">
        <f>IF(OR(H256="",L256="Cancelled"),"",ROUND(IFERROR(H256*INDEX(Settings!$C$6:$C$15,MATCH(M256,Settings!$B$6:$B$15,0))+INDEX(Settings!$D$6:$D$15,MATCH(M256,Settings!$B$6:$B$15,0)),0),2))</f>
        <v/>
      </c>
      <c r="Q256" s="28">
        <f>IF(OR(H256="",L256="Cancelled"),"",H256-N(N256)-N(O256)-N(P256))</f>
        <v/>
      </c>
      <c r="R256" s="19">
        <f>IF(OR(B256="",K256=""),"",IF(OR(L256="Sent",L256="Picked up"),"Done",IF(L256="Cancelled","Cancelled",IF(K256&lt;TODAY(),"Late by "&amp;(TODAY()-K256)&amp;IF((TODAY()-K256)=1," day"," days"),IF(K256=TODAY(),"Due today","Due in "&amp;(K256-TODAY())&amp;IF((K256-TODAY())=1," day"," days"))))))</f>
        <v/>
      </c>
      <c r="S256" s="33" t="n"/>
      <c r="T256" s="1">
        <f>IF(AND(B256&lt;&gt;"",K256&lt;&gt;"",L256&lt;&gt;"Sent",L256&lt;&gt;"Picked up",L256&lt;&gt;"Cancelled"),K256+ROW()/10000000,"")</f>
        <v/>
      </c>
      <c r="U256">
        <f>IF(OR(B256="",C256=""),"",B256+ROW()/10000000)</f>
        <v/>
      </c>
      <c r="V256">
        <f>IF(U256="","",IF(COUNTIFS(Orders!$C$6:$C$1005,C256,Orders!$U$6:$U$1005,"&gt;"&amp;U256)=0,1,0))</f>
        <v/>
      </c>
      <c r="W256">
        <f>IF(AND(B256&lt;&gt;"",K256&lt;&gt;"",L256&lt;&gt;"Sent",L256&lt;&gt;"Picked up",L256&lt;&gt;"Cancelled"),IF(N(E256)=0,1,E256),0)</f>
        <v/>
      </c>
      <c r="X256">
        <f>IF(OR(B256="",D256=""),"",IF(N(E256)=0,1,E256))</f>
        <v/>
      </c>
    </row>
    <row r="257">
      <c r="A257" s="1" t="n"/>
      <c r="B257" s="31" t="n">
        <v>46287</v>
      </c>
      <c r="C257" s="32" t="inlineStr">
        <is>
          <t>Nora Lewis</t>
        </is>
      </c>
      <c r="D257" s="33" t="inlineStr">
        <is>
          <t>Gift box</t>
        </is>
      </c>
      <c r="E257" s="34" t="n">
        <v>2</v>
      </c>
      <c r="F257" s="35" t="n"/>
      <c r="G257" s="35" t="n">
        <v>6.95</v>
      </c>
      <c r="H257" s="30">
        <f>IF(OR(B257="",D257=""),"",IF(N(E257)=0,1,E257)*IFERROR(INDEX(Products!$C$6:$C$105,MATCH(D257,Products!$B$6:$B$105,0)),0)+N(F257)+N(G257))</f>
        <v/>
      </c>
      <c r="I257" s="35" t="n">
        <v>96.95</v>
      </c>
      <c r="J257" s="30">
        <f>IF(OR(H257="",L257="Cancelled"),"",IF(H257-N(I257)&gt;0.005,H257-N(I257),""))</f>
        <v/>
      </c>
      <c r="K257" s="31" t="n">
        <v>46298</v>
      </c>
      <c r="L257" s="36" t="inlineStr">
        <is>
          <t>Ready</t>
        </is>
      </c>
      <c r="M257" s="33" t="inlineStr">
        <is>
          <t>Own website</t>
        </is>
      </c>
      <c r="N257" s="22">
        <f>IF(OR(H257="",L257="Cancelled"),"",IF(N(E257)=0,1,E257)*IFERROR(INDEX(Products!$E$6:$E$105,MATCH(D257,Products!$B$6:$B$105,0)),0))</f>
        <v/>
      </c>
      <c r="O257" s="35" t="n">
        <v>6.4</v>
      </c>
      <c r="P257" s="22">
        <f>IF(OR(H257="",L257="Cancelled"),"",ROUND(IFERROR(H257*INDEX(Settings!$C$6:$C$15,MATCH(M257,Settings!$B$6:$B$15,0))+INDEX(Settings!$D$6:$D$15,MATCH(M257,Settings!$B$6:$B$15,0)),0),2))</f>
        <v/>
      </c>
      <c r="Q257" s="28">
        <f>IF(OR(H257="",L257="Cancelled"),"",H257-N(N257)-N(O257)-N(P257))</f>
        <v/>
      </c>
      <c r="R257" s="19">
        <f>IF(OR(B257="",K257=""),"",IF(OR(L257="Sent",L257="Picked up"),"Done",IF(L257="Cancelled","Cancelled",IF(K257&lt;TODAY(),"Late by "&amp;(TODAY()-K257)&amp;IF((TODAY()-K257)=1," day"," days"),IF(K257=TODAY(),"Due today","Due in "&amp;(K257-TODAY())&amp;IF((K257-TODAY())=1," day"," days"))))))</f>
        <v/>
      </c>
      <c r="S257" s="33" t="n"/>
      <c r="T257" s="1">
        <f>IF(AND(B257&lt;&gt;"",K257&lt;&gt;"",L257&lt;&gt;"Sent",L257&lt;&gt;"Picked up",L257&lt;&gt;"Cancelled"),K257+ROW()/10000000,"")</f>
        <v/>
      </c>
      <c r="U257">
        <f>IF(OR(B257="",C257=""),"",B257+ROW()/10000000)</f>
        <v/>
      </c>
      <c r="V257">
        <f>IF(U257="","",IF(COUNTIFS(Orders!$C$6:$C$1005,C257,Orders!$U$6:$U$1005,"&gt;"&amp;U257)=0,1,0))</f>
        <v/>
      </c>
      <c r="W257">
        <f>IF(AND(B257&lt;&gt;"",K257&lt;&gt;"",L257&lt;&gt;"Sent",L257&lt;&gt;"Picked up",L257&lt;&gt;"Cancelled"),IF(N(E257)=0,1,E257),0)</f>
        <v/>
      </c>
      <c r="X257">
        <f>IF(OR(B257="",D257=""),"",IF(N(E257)=0,1,E257))</f>
        <v/>
      </c>
    </row>
    <row r="258">
      <c r="A258" s="1" t="n"/>
      <c r="B258" s="31" t="n">
        <v>46287</v>
      </c>
      <c r="C258" s="32" t="inlineStr">
        <is>
          <t>Mia James</t>
        </is>
      </c>
      <c r="D258" s="33" t="inlineStr">
        <is>
          <t>Wedding favours, 10 tins</t>
        </is>
      </c>
      <c r="E258" s="34" t="n">
        <v>6</v>
      </c>
      <c r="F258" s="35" t="n"/>
      <c r="G258" s="35" t="n">
        <v>6.95</v>
      </c>
      <c r="H258" s="30">
        <f>IF(OR(B258="",D258=""),"",IF(N(E258)=0,1,E258)*IFERROR(INDEX(Products!$C$6:$C$105,MATCH(D258,Products!$B$6:$B$105,0)),0)+N(F258)+N(G258))</f>
        <v/>
      </c>
      <c r="I258" s="35" t="n">
        <v>366.95</v>
      </c>
      <c r="J258" s="30">
        <f>IF(OR(H258="",L258="Cancelled"),"",IF(H258-N(I258)&gt;0.005,H258-N(I258),""))</f>
        <v/>
      </c>
      <c r="K258" s="31" t="n">
        <v>46320</v>
      </c>
      <c r="L258" s="36" t="inlineStr">
        <is>
          <t>New</t>
        </is>
      </c>
      <c r="M258" s="33" t="inlineStr">
        <is>
          <t>Etsy</t>
        </is>
      </c>
      <c r="N258" s="22">
        <f>IF(OR(H258="",L258="Cancelled"),"",IF(N(E258)=0,1,E258)*IFERROR(INDEX(Products!$E$6:$E$105,MATCH(D258,Products!$B$6:$B$105,0)),0))</f>
        <v/>
      </c>
      <c r="O258" s="35" t="n"/>
      <c r="P258" s="22">
        <f>IF(OR(H258="",L258="Cancelled"),"",ROUND(IFERROR(H258*INDEX(Settings!$C$6:$C$15,MATCH(M258,Settings!$B$6:$B$15,0))+INDEX(Settings!$D$6:$D$15,MATCH(M258,Settings!$B$6:$B$15,0)),0),2))</f>
        <v/>
      </c>
      <c r="Q258" s="28">
        <f>IF(OR(H258="",L258="Cancelled"),"",H258-N(N258)-N(O258)-N(P258))</f>
        <v/>
      </c>
      <c r="R258" s="19">
        <f>IF(OR(B258="",K258=""),"",IF(OR(L258="Sent",L258="Picked up"),"Done",IF(L258="Cancelled","Cancelled",IF(K258&lt;TODAY(),"Late by "&amp;(TODAY()-K258)&amp;IF((TODAY()-K258)=1," day"," days"),IF(K258=TODAY(),"Due today","Due in "&amp;(K258-TODAY())&amp;IF((K258-TODAY())=1," day"," days"))))))</f>
        <v/>
      </c>
      <c r="S258" s="33" t="n"/>
      <c r="T258" s="1">
        <f>IF(AND(B258&lt;&gt;"",K258&lt;&gt;"",L258&lt;&gt;"Sent",L258&lt;&gt;"Picked up",L258&lt;&gt;"Cancelled"),K258+ROW()/10000000,"")</f>
        <v/>
      </c>
      <c r="U258">
        <f>IF(OR(B258="",C258=""),"",B258+ROW()/10000000)</f>
        <v/>
      </c>
      <c r="V258">
        <f>IF(U258="","",IF(COUNTIFS(Orders!$C$6:$C$1005,C258,Orders!$U$6:$U$1005,"&gt;"&amp;U258)=0,1,0))</f>
        <v/>
      </c>
      <c r="W258">
        <f>IF(AND(B258&lt;&gt;"",K258&lt;&gt;"",L258&lt;&gt;"Sent",L258&lt;&gt;"Picked up",L258&lt;&gt;"Cancelled"),IF(N(E258)=0,1,E258),0)</f>
        <v/>
      </c>
      <c r="X258">
        <f>IF(OR(B258="",D258=""),"",IF(N(E258)=0,1,E258))</f>
        <v/>
      </c>
    </row>
    <row r="259">
      <c r="A259" s="1" t="n"/>
      <c r="B259" s="31" t="n">
        <v>46290</v>
      </c>
      <c r="C259" s="32" t="inlineStr">
        <is>
          <t>Sophie Lewis</t>
        </is>
      </c>
      <c r="D259" s="33" t="inlineStr">
        <is>
          <t>Gift box</t>
        </is>
      </c>
      <c r="E259" s="34" t="n">
        <v>3</v>
      </c>
      <c r="F259" s="35" t="n"/>
      <c r="G259" s="35" t="n">
        <v>6.95</v>
      </c>
      <c r="H259" s="30">
        <f>IF(OR(B259="",D259=""),"",IF(N(E259)=0,1,E259)*IFERROR(INDEX(Products!$C$6:$C$105,MATCH(D259,Products!$B$6:$B$105,0)),0)+N(F259)+N(G259))</f>
        <v/>
      </c>
      <c r="I259" s="35" t="n">
        <v>141.95</v>
      </c>
      <c r="J259" s="30">
        <f>IF(OR(H259="",L259="Cancelled"),"",IF(H259-N(I259)&gt;0.005,H259-N(I259),""))</f>
        <v/>
      </c>
      <c r="K259" s="31" t="n">
        <v>46296</v>
      </c>
      <c r="L259" s="36" t="inlineStr">
        <is>
          <t>Making</t>
        </is>
      </c>
      <c r="M259" s="33" t="inlineStr">
        <is>
          <t>Etsy</t>
        </is>
      </c>
      <c r="N259" s="22">
        <f>IF(OR(H259="",L259="Cancelled"),"",IF(N(E259)=0,1,E259)*IFERROR(INDEX(Products!$E$6:$E$105,MATCH(D259,Products!$B$6:$B$105,0)),0))</f>
        <v/>
      </c>
      <c r="O259" s="35" t="n">
        <v>6.52</v>
      </c>
      <c r="P259" s="22">
        <f>IF(OR(H259="",L259="Cancelled"),"",ROUND(IFERROR(H259*INDEX(Settings!$C$6:$C$15,MATCH(M259,Settings!$B$6:$B$15,0))+INDEX(Settings!$D$6:$D$15,MATCH(M259,Settings!$B$6:$B$15,0)),0),2))</f>
        <v/>
      </c>
      <c r="Q259" s="28">
        <f>IF(OR(H259="",L259="Cancelled"),"",H259-N(N259)-N(O259)-N(P259))</f>
        <v/>
      </c>
      <c r="R259" s="19">
        <f>IF(OR(B259="",K259=""),"",IF(OR(L259="Sent",L259="Picked up"),"Done",IF(L259="Cancelled","Cancelled",IF(K259&lt;TODAY(),"Late by "&amp;(TODAY()-K259)&amp;IF((TODAY()-K259)=1," day"," days"),IF(K259=TODAY(),"Due today","Due in "&amp;(K259-TODAY())&amp;IF((K259-TODAY())=1," day"," days"))))))</f>
        <v/>
      </c>
      <c r="S259" s="33" t="n"/>
      <c r="T259" s="1">
        <f>IF(AND(B259&lt;&gt;"",K259&lt;&gt;"",L259&lt;&gt;"Sent",L259&lt;&gt;"Picked up",L259&lt;&gt;"Cancelled"),K259+ROW()/10000000,"")</f>
        <v/>
      </c>
      <c r="U259">
        <f>IF(OR(B259="",C259=""),"",B259+ROW()/10000000)</f>
        <v/>
      </c>
      <c r="V259">
        <f>IF(U259="","",IF(COUNTIFS(Orders!$C$6:$C$1005,C259,Orders!$U$6:$U$1005,"&gt;"&amp;U259)=0,1,0))</f>
        <v/>
      </c>
      <c r="W259">
        <f>IF(AND(B259&lt;&gt;"",K259&lt;&gt;"",L259&lt;&gt;"Sent",L259&lt;&gt;"Picked up",L259&lt;&gt;"Cancelled"),IF(N(E259)=0,1,E259),0)</f>
        <v/>
      </c>
      <c r="X259">
        <f>IF(OR(B259="",D259=""),"",IF(N(E259)=0,1,E259))</f>
        <v/>
      </c>
    </row>
    <row r="260">
      <c r="A260" s="1" t="n"/>
      <c r="B260" s="31" t="n">
        <v>46291</v>
      </c>
      <c r="C260" s="32" t="inlineStr">
        <is>
          <t>Chris Owens</t>
        </is>
      </c>
      <c r="D260" s="33" t="inlineStr">
        <is>
          <t>Soy candle 16 oz</t>
        </is>
      </c>
      <c r="E260" s="34" t="n">
        <v>2</v>
      </c>
      <c r="F260" s="35" t="n"/>
      <c r="G260" s="35" t="n"/>
      <c r="H260" s="30">
        <f>IF(OR(B260="",D260=""),"",IF(N(E260)=0,1,E260)*IFERROR(INDEX(Products!$C$6:$C$105,MATCH(D260,Products!$B$6:$B$105,0)),0)+N(F260)+N(G260))</f>
        <v/>
      </c>
      <c r="I260" s="35" t="n">
        <v>34</v>
      </c>
      <c r="J260" s="30">
        <f>IF(OR(H260="",L260="Cancelled"),"",IF(H260-N(I260)&gt;0.005,H260-N(I260),""))</f>
        <v/>
      </c>
      <c r="K260" s="31" t="n">
        <v>46301</v>
      </c>
      <c r="L260" s="36" t="inlineStr">
        <is>
          <t>New</t>
        </is>
      </c>
      <c r="M260" s="33" t="inlineStr">
        <is>
          <t>Friends and family</t>
        </is>
      </c>
      <c r="N260" s="22">
        <f>IF(OR(H260="",L260="Cancelled"),"",IF(N(E260)=0,1,E260)*IFERROR(INDEX(Products!$E$6:$E$105,MATCH(D260,Products!$B$6:$B$105,0)),0))</f>
        <v/>
      </c>
      <c r="O260" s="35" t="n"/>
      <c r="P260" s="22">
        <f>IF(OR(H260="",L260="Cancelled"),"",ROUND(IFERROR(H260*INDEX(Settings!$C$6:$C$15,MATCH(M260,Settings!$B$6:$B$15,0))+INDEX(Settings!$D$6:$D$15,MATCH(M260,Settings!$B$6:$B$15,0)),0),2))</f>
        <v/>
      </c>
      <c r="Q260" s="28">
        <f>IF(OR(H260="",L260="Cancelled"),"",H260-N(N260)-N(O260)-N(P260))</f>
        <v/>
      </c>
      <c r="R260" s="19">
        <f>IF(OR(B260="",K260=""),"",IF(OR(L260="Sent",L260="Picked up"),"Done",IF(L260="Cancelled","Cancelled",IF(K260&lt;TODAY(),"Late by "&amp;(TODAY()-K260)&amp;IF((TODAY()-K260)=1," day"," days"),IF(K260=TODAY(),"Due today","Due in "&amp;(K260-TODAY())&amp;IF((K260-TODAY())=1," day"," days"))))))</f>
        <v/>
      </c>
      <c r="S260" s="33" t="n"/>
      <c r="T260" s="1">
        <f>IF(AND(B260&lt;&gt;"",K260&lt;&gt;"",L260&lt;&gt;"Sent",L260&lt;&gt;"Picked up",L260&lt;&gt;"Cancelled"),K260+ROW()/10000000,"")</f>
        <v/>
      </c>
      <c r="U260">
        <f>IF(OR(B260="",C260=""),"",B260+ROW()/10000000)</f>
        <v/>
      </c>
      <c r="V260">
        <f>IF(U260="","",IF(COUNTIFS(Orders!$C$6:$C$1005,C260,Orders!$U$6:$U$1005,"&gt;"&amp;U260)=0,1,0))</f>
        <v/>
      </c>
      <c r="W260">
        <f>IF(AND(B260&lt;&gt;"",K260&lt;&gt;"",L260&lt;&gt;"Sent",L260&lt;&gt;"Picked up",L260&lt;&gt;"Cancelled"),IF(N(E260)=0,1,E260),0)</f>
        <v/>
      </c>
      <c r="X260">
        <f>IF(OR(B260="",D260=""),"",IF(N(E260)=0,1,E260))</f>
        <v/>
      </c>
    </row>
    <row r="261">
      <c r="A261" s="1" t="n"/>
      <c r="B261" s="31" t="n">
        <v>46291</v>
      </c>
      <c r="C261" s="32" t="inlineStr">
        <is>
          <t>Megan Murphy</t>
        </is>
      </c>
      <c r="D261" s="33" t="inlineStr">
        <is>
          <t>Gift box</t>
        </is>
      </c>
      <c r="E261" s="34" t="n">
        <v>1</v>
      </c>
      <c r="F261" s="35" t="n"/>
      <c r="G261" s="35" t="n">
        <v>6.95</v>
      </c>
      <c r="H261" s="30">
        <f>IF(OR(B261="",D261=""),"",IF(N(E261)=0,1,E261)*IFERROR(INDEX(Products!$C$6:$C$105,MATCH(D261,Products!$B$6:$B$105,0)),0)+N(F261)+N(G261))</f>
        <v/>
      </c>
      <c r="I261" s="35" t="n">
        <v>51.95</v>
      </c>
      <c r="J261" s="30">
        <f>IF(OR(H261="",L261="Cancelled"),"",IF(H261-N(I261)&gt;0.005,H261-N(I261),""))</f>
        <v/>
      </c>
      <c r="K261" s="31" t="n">
        <v>46296</v>
      </c>
      <c r="L261" s="36" t="inlineStr">
        <is>
          <t>Making</t>
        </is>
      </c>
      <c r="M261" s="33" t="inlineStr">
        <is>
          <t>Own website</t>
        </is>
      </c>
      <c r="N261" s="22">
        <f>IF(OR(H261="",L261="Cancelled"),"",IF(N(E261)=0,1,E261)*IFERROR(INDEX(Products!$E$6:$E$105,MATCH(D261,Products!$B$6:$B$105,0)),0))</f>
        <v/>
      </c>
      <c r="O261" s="35" t="n">
        <v>5.25</v>
      </c>
      <c r="P261" s="22">
        <f>IF(OR(H261="",L261="Cancelled"),"",ROUND(IFERROR(H261*INDEX(Settings!$C$6:$C$15,MATCH(M261,Settings!$B$6:$B$15,0))+INDEX(Settings!$D$6:$D$15,MATCH(M261,Settings!$B$6:$B$15,0)),0),2))</f>
        <v/>
      </c>
      <c r="Q261" s="28">
        <f>IF(OR(H261="",L261="Cancelled"),"",H261-N(N261)-N(O261)-N(P261))</f>
        <v/>
      </c>
      <c r="R261" s="19">
        <f>IF(OR(B261="",K261=""),"",IF(OR(L261="Sent",L261="Picked up"),"Done",IF(L261="Cancelled","Cancelled",IF(K261&lt;TODAY(),"Late by "&amp;(TODAY()-K261)&amp;IF((TODAY()-K261)=1," day"," days"),IF(K261=TODAY(),"Due today","Due in "&amp;(K261-TODAY())&amp;IF((K261-TODAY())=1," day"," days"))))))</f>
        <v/>
      </c>
      <c r="S261" s="33" t="n"/>
      <c r="T261" s="1">
        <f>IF(AND(B261&lt;&gt;"",K261&lt;&gt;"",L261&lt;&gt;"Sent",L261&lt;&gt;"Picked up",L261&lt;&gt;"Cancelled"),K261+ROW()/10000000,"")</f>
        <v/>
      </c>
      <c r="U261">
        <f>IF(OR(B261="",C261=""),"",B261+ROW()/10000000)</f>
        <v/>
      </c>
      <c r="V261">
        <f>IF(U261="","",IF(COUNTIFS(Orders!$C$6:$C$1005,C261,Orders!$U$6:$U$1005,"&gt;"&amp;U261)=0,1,0))</f>
        <v/>
      </c>
      <c r="W261">
        <f>IF(AND(B261&lt;&gt;"",K261&lt;&gt;"",L261&lt;&gt;"Sent",L261&lt;&gt;"Picked up",L261&lt;&gt;"Cancelled"),IF(N(E261)=0,1,E261),0)</f>
        <v/>
      </c>
      <c r="X261">
        <f>IF(OR(B261="",D261=""),"",IF(N(E261)=0,1,E261))</f>
        <v/>
      </c>
    </row>
    <row r="262">
      <c r="A262" s="1" t="n"/>
      <c r="B262" s="31" t="n">
        <v>46292</v>
      </c>
      <c r="C262" s="32" t="inlineStr">
        <is>
          <t>Lily Murphy</t>
        </is>
      </c>
      <c r="D262" s="33" t="inlineStr">
        <is>
          <t>Wax melts, 6 pack</t>
        </is>
      </c>
      <c r="E262" s="34" t="n">
        <v>2</v>
      </c>
      <c r="F262" s="35" t="n"/>
      <c r="G262" s="35" t="n"/>
      <c r="H262" s="30">
        <f>IF(OR(B262="",D262=""),"",IF(N(E262)=0,1,E262)*IFERROR(INDEX(Products!$C$6:$C$105,MATCH(D262,Products!$B$6:$B$105,0)),0)+N(F262)+N(G262))</f>
        <v/>
      </c>
      <c r="I262" s="35" t="n"/>
      <c r="J262" s="30">
        <f>IF(OR(H262="",L262="Cancelled"),"",IF(H262-N(I262)&gt;0.005,H262-N(I262),""))</f>
        <v/>
      </c>
      <c r="K262" s="31" t="n">
        <v>46302</v>
      </c>
      <c r="L262" s="36" t="inlineStr">
        <is>
          <t>New</t>
        </is>
      </c>
      <c r="M262" s="33" t="inlineStr">
        <is>
          <t>Craft market</t>
        </is>
      </c>
      <c r="N262" s="22">
        <f>IF(OR(H262="",L262="Cancelled"),"",IF(N(E262)=0,1,E262)*IFERROR(INDEX(Products!$E$6:$E$105,MATCH(D262,Products!$B$6:$B$105,0)),0))</f>
        <v/>
      </c>
      <c r="O262" s="35" t="n"/>
      <c r="P262" s="22">
        <f>IF(OR(H262="",L262="Cancelled"),"",ROUND(IFERROR(H262*INDEX(Settings!$C$6:$C$15,MATCH(M262,Settings!$B$6:$B$15,0))+INDEX(Settings!$D$6:$D$15,MATCH(M262,Settings!$B$6:$B$15,0)),0),2))</f>
        <v/>
      </c>
      <c r="Q262" s="28">
        <f>IF(OR(H262="",L262="Cancelled"),"",H262-N(N262)-N(O262)-N(P262))</f>
        <v/>
      </c>
      <c r="R262" s="19">
        <f>IF(OR(B262="",K262=""),"",IF(OR(L262="Sent",L262="Picked up"),"Done",IF(L262="Cancelled","Cancelled",IF(K262&lt;TODAY(),"Late by "&amp;(TODAY()-K262)&amp;IF((TODAY()-K262)=1," day"," days"),IF(K262=TODAY(),"Due today","Due in "&amp;(K262-TODAY())&amp;IF((K262-TODAY())=1," day"," days"))))))</f>
        <v/>
      </c>
      <c r="S262" s="33" t="n"/>
      <c r="T262" s="1">
        <f>IF(AND(B262&lt;&gt;"",K262&lt;&gt;"",L262&lt;&gt;"Sent",L262&lt;&gt;"Picked up",L262&lt;&gt;"Cancelled"),K262+ROW()/10000000,"")</f>
        <v/>
      </c>
      <c r="U262">
        <f>IF(OR(B262="",C262=""),"",B262+ROW()/10000000)</f>
        <v/>
      </c>
      <c r="V262">
        <f>IF(U262="","",IF(COUNTIFS(Orders!$C$6:$C$1005,C262,Orders!$U$6:$U$1005,"&gt;"&amp;U262)=0,1,0))</f>
        <v/>
      </c>
      <c r="W262">
        <f>IF(AND(B262&lt;&gt;"",K262&lt;&gt;"",L262&lt;&gt;"Sent",L262&lt;&gt;"Picked up",L262&lt;&gt;"Cancelled"),IF(N(E262)=0,1,E262),0)</f>
        <v/>
      </c>
      <c r="X262">
        <f>IF(OR(B262="",D262=""),"",IF(N(E262)=0,1,E262))</f>
        <v/>
      </c>
    </row>
    <row r="263">
      <c r="A263" s="1" t="n"/>
      <c r="B263" s="31" t="n">
        <v>46293</v>
      </c>
      <c r="C263" s="32" t="inlineStr">
        <is>
          <t>Ian Price</t>
        </is>
      </c>
      <c r="D263" s="33" t="inlineStr">
        <is>
          <t>Soy candle 16 oz</t>
        </is>
      </c>
      <c r="E263" s="34" t="n">
        <v>1</v>
      </c>
      <c r="F263" s="35" t="n">
        <v>5</v>
      </c>
      <c r="G263" s="35" t="n">
        <v>6.95</v>
      </c>
      <c r="H263" s="30">
        <f>IF(OR(B263="",D263=""),"",IF(N(E263)=0,1,E263)*IFERROR(INDEX(Products!$C$6:$C$105,MATCH(D263,Products!$B$6:$B$105,0)),0)+N(F263)+N(G263))</f>
        <v/>
      </c>
      <c r="I263" s="35" t="n">
        <v>45.95</v>
      </c>
      <c r="J263" s="30">
        <f>IF(OR(H263="",L263="Cancelled"),"",IF(H263-N(I263)&gt;0.005,H263-N(I263),""))</f>
        <v/>
      </c>
      <c r="K263" s="31" t="n">
        <v>46300</v>
      </c>
      <c r="L263" s="36" t="inlineStr">
        <is>
          <t>New</t>
        </is>
      </c>
      <c r="M263" s="33" t="inlineStr">
        <is>
          <t>Own website</t>
        </is>
      </c>
      <c r="N263" s="22">
        <f>IF(OR(H263="",L263="Cancelled"),"",IF(N(E263)=0,1,E263)*IFERROR(INDEX(Products!$E$6:$E$105,MATCH(D263,Products!$B$6:$B$105,0)),0))</f>
        <v/>
      </c>
      <c r="O263" s="35" t="n"/>
      <c r="P263" s="22">
        <f>IF(OR(H263="",L263="Cancelled"),"",ROUND(IFERROR(H263*INDEX(Settings!$C$6:$C$15,MATCH(M263,Settings!$B$6:$B$15,0))+INDEX(Settings!$D$6:$D$15,MATCH(M263,Settings!$B$6:$B$15,0)),0),2))</f>
        <v/>
      </c>
      <c r="Q263" s="28">
        <f>IF(OR(H263="",L263="Cancelled"),"",H263-N(N263)-N(O263)-N(P263))</f>
        <v/>
      </c>
      <c r="R263" s="19">
        <f>IF(OR(B263="",K263=""),"",IF(OR(L263="Sent",L263="Picked up"),"Done",IF(L263="Cancelled","Cancelled",IF(K263&lt;TODAY(),"Late by "&amp;(TODAY()-K263)&amp;IF((TODAY()-K263)=1," day"," days"),IF(K263=TODAY(),"Due today","Due in "&amp;(K263-TODAY())&amp;IF((K263-TODAY())=1," day"," days"))))))</f>
        <v/>
      </c>
      <c r="S263" s="33" t="inlineStr">
        <is>
          <t>Custom label</t>
        </is>
      </c>
      <c r="T263" s="1">
        <f>IF(AND(B263&lt;&gt;"",K263&lt;&gt;"",L263&lt;&gt;"Sent",L263&lt;&gt;"Picked up",L263&lt;&gt;"Cancelled"),K263+ROW()/10000000,"")</f>
        <v/>
      </c>
      <c r="U263">
        <f>IF(OR(B263="",C263=""),"",B263+ROW()/10000000)</f>
        <v/>
      </c>
      <c r="V263">
        <f>IF(U263="","",IF(COUNTIFS(Orders!$C$6:$C$1005,C263,Orders!$U$6:$U$1005,"&gt;"&amp;U263)=0,1,0))</f>
        <v/>
      </c>
      <c r="W263">
        <f>IF(AND(B263&lt;&gt;"",K263&lt;&gt;"",L263&lt;&gt;"Sent",L263&lt;&gt;"Picked up",L263&lt;&gt;"Cancelled"),IF(N(E263)=0,1,E263),0)</f>
        <v/>
      </c>
      <c r="X263">
        <f>IF(OR(B263="",D263=""),"",IF(N(E263)=0,1,E263))</f>
        <v/>
      </c>
    </row>
    <row r="264">
      <c r="A264" s="1" t="n"/>
      <c r="B264" s="31" t="n"/>
      <c r="C264" s="32" t="n"/>
      <c r="D264" s="33" t="n"/>
      <c r="E264" s="34" t="n"/>
      <c r="F264" s="35" t="n"/>
      <c r="G264" s="35" t="n"/>
      <c r="H264" s="30">
        <f>IF(OR(B264="",D264=""),"",IF(N(E264)=0,1,E264)*IFERROR(INDEX(Products!$C$6:$C$105,MATCH(D264,Products!$B$6:$B$105,0)),0)+N(F264)+N(G264))</f>
        <v/>
      </c>
      <c r="I264" s="35" t="n"/>
      <c r="J264" s="30">
        <f>IF(OR(H264="",L264="Cancelled"),"",IF(H264-N(I264)&gt;0.005,H264-N(I264),""))</f>
        <v/>
      </c>
      <c r="K264" s="31" t="n"/>
      <c r="L264" s="36" t="n"/>
      <c r="M264" s="33" t="n"/>
      <c r="N264" s="22">
        <f>IF(OR(H264="",L264="Cancelled"),"",IF(N(E264)=0,1,E264)*IFERROR(INDEX(Products!$E$6:$E$105,MATCH(D264,Products!$B$6:$B$105,0)),0))</f>
        <v/>
      </c>
      <c r="O264" s="35" t="n"/>
      <c r="P264" s="22">
        <f>IF(OR(H264="",L264="Cancelled"),"",ROUND(IFERROR(H264*INDEX(Settings!$C$6:$C$15,MATCH(M264,Settings!$B$6:$B$15,0))+INDEX(Settings!$D$6:$D$15,MATCH(M264,Settings!$B$6:$B$15,0)),0),2))</f>
        <v/>
      </c>
      <c r="Q264" s="28">
        <f>IF(OR(H264="",L264="Cancelled"),"",H264-N(N264)-N(O264)-N(P264))</f>
        <v/>
      </c>
      <c r="R264" s="19">
        <f>IF(OR(B264="",K264=""),"",IF(OR(L264="Sent",L264="Picked up"),"Done",IF(L264="Cancelled","Cancelled",IF(K264&lt;TODAY(),"Late by "&amp;(TODAY()-K264)&amp;IF((TODAY()-K264)=1," day"," days"),IF(K264=TODAY(),"Due today","Due in "&amp;(K264-TODAY())&amp;IF((K264-TODAY())=1," day"," days"))))))</f>
        <v/>
      </c>
      <c r="S264" s="33" t="n"/>
      <c r="T264" s="1">
        <f>IF(AND(B264&lt;&gt;"",K264&lt;&gt;"",L264&lt;&gt;"Sent",L264&lt;&gt;"Picked up",L264&lt;&gt;"Cancelled"),K264+ROW()/10000000,"")</f>
        <v/>
      </c>
      <c r="U264">
        <f>IF(OR(B264="",C264=""),"",B264+ROW()/10000000)</f>
        <v/>
      </c>
      <c r="V264">
        <f>IF(U264="","",IF(COUNTIFS(Orders!$C$6:$C$1005,C264,Orders!$U$6:$U$1005,"&gt;"&amp;U264)=0,1,0))</f>
        <v/>
      </c>
      <c r="W264">
        <f>IF(AND(B264&lt;&gt;"",K264&lt;&gt;"",L264&lt;&gt;"Sent",L264&lt;&gt;"Picked up",L264&lt;&gt;"Cancelled"),IF(N(E264)=0,1,E264),0)</f>
        <v/>
      </c>
      <c r="X264">
        <f>IF(OR(B264="",D264=""),"",IF(N(E264)=0,1,E264))</f>
        <v/>
      </c>
    </row>
    <row r="265">
      <c r="A265" s="1" t="n"/>
      <c r="B265" s="31" t="n"/>
      <c r="C265" s="32" t="n"/>
      <c r="D265" s="33" t="n"/>
      <c r="E265" s="34" t="n"/>
      <c r="F265" s="35" t="n"/>
      <c r="G265" s="35" t="n"/>
      <c r="H265" s="30">
        <f>IF(OR(B265="",D265=""),"",IF(N(E265)=0,1,E265)*IFERROR(INDEX(Products!$C$6:$C$105,MATCH(D265,Products!$B$6:$B$105,0)),0)+N(F265)+N(G265))</f>
        <v/>
      </c>
      <c r="I265" s="35" t="n"/>
      <c r="J265" s="30">
        <f>IF(OR(H265="",L265="Cancelled"),"",IF(H265-N(I265)&gt;0.005,H265-N(I265),""))</f>
        <v/>
      </c>
      <c r="K265" s="31" t="n"/>
      <c r="L265" s="36" t="n"/>
      <c r="M265" s="33" t="n"/>
      <c r="N265" s="22">
        <f>IF(OR(H265="",L265="Cancelled"),"",IF(N(E265)=0,1,E265)*IFERROR(INDEX(Products!$E$6:$E$105,MATCH(D265,Products!$B$6:$B$105,0)),0))</f>
        <v/>
      </c>
      <c r="O265" s="35" t="n"/>
      <c r="P265" s="22">
        <f>IF(OR(H265="",L265="Cancelled"),"",ROUND(IFERROR(H265*INDEX(Settings!$C$6:$C$15,MATCH(M265,Settings!$B$6:$B$15,0))+INDEX(Settings!$D$6:$D$15,MATCH(M265,Settings!$B$6:$B$15,0)),0),2))</f>
        <v/>
      </c>
      <c r="Q265" s="28">
        <f>IF(OR(H265="",L265="Cancelled"),"",H265-N(N265)-N(O265)-N(P265))</f>
        <v/>
      </c>
      <c r="R265" s="19">
        <f>IF(OR(B265="",K265=""),"",IF(OR(L265="Sent",L265="Picked up"),"Done",IF(L265="Cancelled","Cancelled",IF(K265&lt;TODAY(),"Late by "&amp;(TODAY()-K265)&amp;IF((TODAY()-K265)=1," day"," days"),IF(K265=TODAY(),"Due today","Due in "&amp;(K265-TODAY())&amp;IF((K265-TODAY())=1," day"," days"))))))</f>
        <v/>
      </c>
      <c r="S265" s="33" t="n"/>
      <c r="T265" s="1">
        <f>IF(AND(B265&lt;&gt;"",K265&lt;&gt;"",L265&lt;&gt;"Sent",L265&lt;&gt;"Picked up",L265&lt;&gt;"Cancelled"),K265+ROW()/10000000,"")</f>
        <v/>
      </c>
      <c r="U265">
        <f>IF(OR(B265="",C265=""),"",B265+ROW()/10000000)</f>
        <v/>
      </c>
      <c r="V265">
        <f>IF(U265="","",IF(COUNTIFS(Orders!$C$6:$C$1005,C265,Orders!$U$6:$U$1005,"&gt;"&amp;U265)=0,1,0))</f>
        <v/>
      </c>
      <c r="W265">
        <f>IF(AND(B265&lt;&gt;"",K265&lt;&gt;"",L265&lt;&gt;"Sent",L265&lt;&gt;"Picked up",L265&lt;&gt;"Cancelled"),IF(N(E265)=0,1,E265),0)</f>
        <v/>
      </c>
      <c r="X265">
        <f>IF(OR(B265="",D265=""),"",IF(N(E265)=0,1,E265))</f>
        <v/>
      </c>
    </row>
    <row r="266">
      <c r="A266" s="1" t="n"/>
      <c r="B266" s="31" t="n"/>
      <c r="C266" s="32" t="n"/>
      <c r="D266" s="33" t="n"/>
      <c r="E266" s="34" t="n"/>
      <c r="F266" s="35" t="n"/>
      <c r="G266" s="35" t="n"/>
      <c r="H266" s="30">
        <f>IF(OR(B266="",D266=""),"",IF(N(E266)=0,1,E266)*IFERROR(INDEX(Products!$C$6:$C$105,MATCH(D266,Products!$B$6:$B$105,0)),0)+N(F266)+N(G266))</f>
        <v/>
      </c>
      <c r="I266" s="35" t="n"/>
      <c r="J266" s="30">
        <f>IF(OR(H266="",L266="Cancelled"),"",IF(H266-N(I266)&gt;0.005,H266-N(I266),""))</f>
        <v/>
      </c>
      <c r="K266" s="31" t="n"/>
      <c r="L266" s="36" t="n"/>
      <c r="M266" s="33" t="n"/>
      <c r="N266" s="22">
        <f>IF(OR(H266="",L266="Cancelled"),"",IF(N(E266)=0,1,E266)*IFERROR(INDEX(Products!$E$6:$E$105,MATCH(D266,Products!$B$6:$B$105,0)),0))</f>
        <v/>
      </c>
      <c r="O266" s="35" t="n"/>
      <c r="P266" s="22">
        <f>IF(OR(H266="",L266="Cancelled"),"",ROUND(IFERROR(H266*INDEX(Settings!$C$6:$C$15,MATCH(M266,Settings!$B$6:$B$15,0))+INDEX(Settings!$D$6:$D$15,MATCH(M266,Settings!$B$6:$B$15,0)),0),2))</f>
        <v/>
      </c>
      <c r="Q266" s="28">
        <f>IF(OR(H266="",L266="Cancelled"),"",H266-N(N266)-N(O266)-N(P266))</f>
        <v/>
      </c>
      <c r="R266" s="19">
        <f>IF(OR(B266="",K266=""),"",IF(OR(L266="Sent",L266="Picked up"),"Done",IF(L266="Cancelled","Cancelled",IF(K266&lt;TODAY(),"Late by "&amp;(TODAY()-K266)&amp;IF((TODAY()-K266)=1," day"," days"),IF(K266=TODAY(),"Due today","Due in "&amp;(K266-TODAY())&amp;IF((K266-TODAY())=1," day"," days"))))))</f>
        <v/>
      </c>
      <c r="S266" s="33" t="n"/>
      <c r="T266" s="1">
        <f>IF(AND(B266&lt;&gt;"",K266&lt;&gt;"",L266&lt;&gt;"Sent",L266&lt;&gt;"Picked up",L266&lt;&gt;"Cancelled"),K266+ROW()/10000000,"")</f>
        <v/>
      </c>
      <c r="U266">
        <f>IF(OR(B266="",C266=""),"",B266+ROW()/10000000)</f>
        <v/>
      </c>
      <c r="V266">
        <f>IF(U266="","",IF(COUNTIFS(Orders!$C$6:$C$1005,C266,Orders!$U$6:$U$1005,"&gt;"&amp;U266)=0,1,0))</f>
        <v/>
      </c>
      <c r="W266">
        <f>IF(AND(B266&lt;&gt;"",K266&lt;&gt;"",L266&lt;&gt;"Sent",L266&lt;&gt;"Picked up",L266&lt;&gt;"Cancelled"),IF(N(E266)=0,1,E266),0)</f>
        <v/>
      </c>
      <c r="X266">
        <f>IF(OR(B266="",D266=""),"",IF(N(E266)=0,1,E266))</f>
        <v/>
      </c>
    </row>
    <row r="267">
      <c r="A267" s="1" t="n"/>
      <c r="B267" s="31" t="n"/>
      <c r="C267" s="32" t="n"/>
      <c r="D267" s="33" t="n"/>
      <c r="E267" s="34" t="n"/>
      <c r="F267" s="35" t="n"/>
      <c r="G267" s="35" t="n"/>
      <c r="H267" s="30">
        <f>IF(OR(B267="",D267=""),"",IF(N(E267)=0,1,E267)*IFERROR(INDEX(Products!$C$6:$C$105,MATCH(D267,Products!$B$6:$B$105,0)),0)+N(F267)+N(G267))</f>
        <v/>
      </c>
      <c r="I267" s="35" t="n"/>
      <c r="J267" s="30">
        <f>IF(OR(H267="",L267="Cancelled"),"",IF(H267-N(I267)&gt;0.005,H267-N(I267),""))</f>
        <v/>
      </c>
      <c r="K267" s="31" t="n"/>
      <c r="L267" s="36" t="n"/>
      <c r="M267" s="33" t="n"/>
      <c r="N267" s="22">
        <f>IF(OR(H267="",L267="Cancelled"),"",IF(N(E267)=0,1,E267)*IFERROR(INDEX(Products!$E$6:$E$105,MATCH(D267,Products!$B$6:$B$105,0)),0))</f>
        <v/>
      </c>
      <c r="O267" s="35" t="n"/>
      <c r="P267" s="22">
        <f>IF(OR(H267="",L267="Cancelled"),"",ROUND(IFERROR(H267*INDEX(Settings!$C$6:$C$15,MATCH(M267,Settings!$B$6:$B$15,0))+INDEX(Settings!$D$6:$D$15,MATCH(M267,Settings!$B$6:$B$15,0)),0),2))</f>
        <v/>
      </c>
      <c r="Q267" s="28">
        <f>IF(OR(H267="",L267="Cancelled"),"",H267-N(N267)-N(O267)-N(P267))</f>
        <v/>
      </c>
      <c r="R267" s="19">
        <f>IF(OR(B267="",K267=""),"",IF(OR(L267="Sent",L267="Picked up"),"Done",IF(L267="Cancelled","Cancelled",IF(K267&lt;TODAY(),"Late by "&amp;(TODAY()-K267)&amp;IF((TODAY()-K267)=1," day"," days"),IF(K267=TODAY(),"Due today","Due in "&amp;(K267-TODAY())&amp;IF((K267-TODAY())=1," day"," days"))))))</f>
        <v/>
      </c>
      <c r="S267" s="33" t="n"/>
      <c r="T267" s="1">
        <f>IF(AND(B267&lt;&gt;"",K267&lt;&gt;"",L267&lt;&gt;"Sent",L267&lt;&gt;"Picked up",L267&lt;&gt;"Cancelled"),K267+ROW()/10000000,"")</f>
        <v/>
      </c>
      <c r="U267">
        <f>IF(OR(B267="",C267=""),"",B267+ROW()/10000000)</f>
        <v/>
      </c>
      <c r="V267">
        <f>IF(U267="","",IF(COUNTIFS(Orders!$C$6:$C$1005,C267,Orders!$U$6:$U$1005,"&gt;"&amp;U267)=0,1,0))</f>
        <v/>
      </c>
      <c r="W267">
        <f>IF(AND(B267&lt;&gt;"",K267&lt;&gt;"",L267&lt;&gt;"Sent",L267&lt;&gt;"Picked up",L267&lt;&gt;"Cancelled"),IF(N(E267)=0,1,E267),0)</f>
        <v/>
      </c>
      <c r="X267">
        <f>IF(OR(B267="",D267=""),"",IF(N(E267)=0,1,E267))</f>
        <v/>
      </c>
    </row>
    <row r="268">
      <c r="A268" s="1" t="n"/>
      <c r="B268" s="31" t="n"/>
      <c r="C268" s="32" t="n"/>
      <c r="D268" s="33" t="n"/>
      <c r="E268" s="34" t="n"/>
      <c r="F268" s="35" t="n"/>
      <c r="G268" s="35" t="n"/>
      <c r="H268" s="30">
        <f>IF(OR(B268="",D268=""),"",IF(N(E268)=0,1,E268)*IFERROR(INDEX(Products!$C$6:$C$105,MATCH(D268,Products!$B$6:$B$105,0)),0)+N(F268)+N(G268))</f>
        <v/>
      </c>
      <c r="I268" s="35" t="n"/>
      <c r="J268" s="30">
        <f>IF(OR(H268="",L268="Cancelled"),"",IF(H268-N(I268)&gt;0.005,H268-N(I268),""))</f>
        <v/>
      </c>
      <c r="K268" s="31" t="n"/>
      <c r="L268" s="36" t="n"/>
      <c r="M268" s="33" t="n"/>
      <c r="N268" s="22">
        <f>IF(OR(H268="",L268="Cancelled"),"",IF(N(E268)=0,1,E268)*IFERROR(INDEX(Products!$E$6:$E$105,MATCH(D268,Products!$B$6:$B$105,0)),0))</f>
        <v/>
      </c>
      <c r="O268" s="35" t="n"/>
      <c r="P268" s="22">
        <f>IF(OR(H268="",L268="Cancelled"),"",ROUND(IFERROR(H268*INDEX(Settings!$C$6:$C$15,MATCH(M268,Settings!$B$6:$B$15,0))+INDEX(Settings!$D$6:$D$15,MATCH(M268,Settings!$B$6:$B$15,0)),0),2))</f>
        <v/>
      </c>
      <c r="Q268" s="28">
        <f>IF(OR(H268="",L268="Cancelled"),"",H268-N(N268)-N(O268)-N(P268))</f>
        <v/>
      </c>
      <c r="R268" s="19">
        <f>IF(OR(B268="",K268=""),"",IF(OR(L268="Sent",L268="Picked up"),"Done",IF(L268="Cancelled","Cancelled",IF(K268&lt;TODAY(),"Late by "&amp;(TODAY()-K268)&amp;IF((TODAY()-K268)=1," day"," days"),IF(K268=TODAY(),"Due today","Due in "&amp;(K268-TODAY())&amp;IF((K268-TODAY())=1," day"," days"))))))</f>
        <v/>
      </c>
      <c r="S268" s="33" t="n"/>
      <c r="T268" s="1">
        <f>IF(AND(B268&lt;&gt;"",K268&lt;&gt;"",L268&lt;&gt;"Sent",L268&lt;&gt;"Picked up",L268&lt;&gt;"Cancelled"),K268+ROW()/10000000,"")</f>
        <v/>
      </c>
      <c r="U268">
        <f>IF(OR(B268="",C268=""),"",B268+ROW()/10000000)</f>
        <v/>
      </c>
      <c r="V268">
        <f>IF(U268="","",IF(COUNTIFS(Orders!$C$6:$C$1005,C268,Orders!$U$6:$U$1005,"&gt;"&amp;U268)=0,1,0))</f>
        <v/>
      </c>
      <c r="W268">
        <f>IF(AND(B268&lt;&gt;"",K268&lt;&gt;"",L268&lt;&gt;"Sent",L268&lt;&gt;"Picked up",L268&lt;&gt;"Cancelled"),IF(N(E268)=0,1,E268),0)</f>
        <v/>
      </c>
      <c r="X268">
        <f>IF(OR(B268="",D268=""),"",IF(N(E268)=0,1,E268))</f>
        <v/>
      </c>
    </row>
    <row r="269">
      <c r="A269" s="1" t="n"/>
      <c r="B269" s="31" t="n"/>
      <c r="C269" s="32" t="n"/>
      <c r="D269" s="33" t="n"/>
      <c r="E269" s="34" t="n"/>
      <c r="F269" s="35" t="n"/>
      <c r="G269" s="35" t="n"/>
      <c r="H269" s="30">
        <f>IF(OR(B269="",D269=""),"",IF(N(E269)=0,1,E269)*IFERROR(INDEX(Products!$C$6:$C$105,MATCH(D269,Products!$B$6:$B$105,0)),0)+N(F269)+N(G269))</f>
        <v/>
      </c>
      <c r="I269" s="35" t="n"/>
      <c r="J269" s="30">
        <f>IF(OR(H269="",L269="Cancelled"),"",IF(H269-N(I269)&gt;0.005,H269-N(I269),""))</f>
        <v/>
      </c>
      <c r="K269" s="31" t="n"/>
      <c r="L269" s="36" t="n"/>
      <c r="M269" s="33" t="n"/>
      <c r="N269" s="22">
        <f>IF(OR(H269="",L269="Cancelled"),"",IF(N(E269)=0,1,E269)*IFERROR(INDEX(Products!$E$6:$E$105,MATCH(D269,Products!$B$6:$B$105,0)),0))</f>
        <v/>
      </c>
      <c r="O269" s="35" t="n"/>
      <c r="P269" s="22">
        <f>IF(OR(H269="",L269="Cancelled"),"",ROUND(IFERROR(H269*INDEX(Settings!$C$6:$C$15,MATCH(M269,Settings!$B$6:$B$15,0))+INDEX(Settings!$D$6:$D$15,MATCH(M269,Settings!$B$6:$B$15,0)),0),2))</f>
        <v/>
      </c>
      <c r="Q269" s="28">
        <f>IF(OR(H269="",L269="Cancelled"),"",H269-N(N269)-N(O269)-N(P269))</f>
        <v/>
      </c>
      <c r="R269" s="19">
        <f>IF(OR(B269="",K269=""),"",IF(OR(L269="Sent",L269="Picked up"),"Done",IF(L269="Cancelled","Cancelled",IF(K269&lt;TODAY(),"Late by "&amp;(TODAY()-K269)&amp;IF((TODAY()-K269)=1," day"," days"),IF(K269=TODAY(),"Due today","Due in "&amp;(K269-TODAY())&amp;IF((K269-TODAY())=1," day"," days"))))))</f>
        <v/>
      </c>
      <c r="S269" s="33" t="n"/>
      <c r="T269" s="1">
        <f>IF(AND(B269&lt;&gt;"",K269&lt;&gt;"",L269&lt;&gt;"Sent",L269&lt;&gt;"Picked up",L269&lt;&gt;"Cancelled"),K269+ROW()/10000000,"")</f>
        <v/>
      </c>
      <c r="U269">
        <f>IF(OR(B269="",C269=""),"",B269+ROW()/10000000)</f>
        <v/>
      </c>
      <c r="V269">
        <f>IF(U269="","",IF(COUNTIFS(Orders!$C$6:$C$1005,C269,Orders!$U$6:$U$1005,"&gt;"&amp;U269)=0,1,0))</f>
        <v/>
      </c>
      <c r="W269">
        <f>IF(AND(B269&lt;&gt;"",K269&lt;&gt;"",L269&lt;&gt;"Sent",L269&lt;&gt;"Picked up",L269&lt;&gt;"Cancelled"),IF(N(E269)=0,1,E269),0)</f>
        <v/>
      </c>
      <c r="X269">
        <f>IF(OR(B269="",D269=""),"",IF(N(E269)=0,1,E269))</f>
        <v/>
      </c>
    </row>
    <row r="270">
      <c r="A270" s="1" t="n"/>
      <c r="B270" s="31" t="n"/>
      <c r="C270" s="32" t="n"/>
      <c r="D270" s="33" t="n"/>
      <c r="E270" s="34" t="n"/>
      <c r="F270" s="35" t="n"/>
      <c r="G270" s="35" t="n"/>
      <c r="H270" s="30">
        <f>IF(OR(B270="",D270=""),"",IF(N(E270)=0,1,E270)*IFERROR(INDEX(Products!$C$6:$C$105,MATCH(D270,Products!$B$6:$B$105,0)),0)+N(F270)+N(G270))</f>
        <v/>
      </c>
      <c r="I270" s="35" t="n"/>
      <c r="J270" s="30">
        <f>IF(OR(H270="",L270="Cancelled"),"",IF(H270-N(I270)&gt;0.005,H270-N(I270),""))</f>
        <v/>
      </c>
      <c r="K270" s="31" t="n"/>
      <c r="L270" s="36" t="n"/>
      <c r="M270" s="33" t="n"/>
      <c r="N270" s="22">
        <f>IF(OR(H270="",L270="Cancelled"),"",IF(N(E270)=0,1,E270)*IFERROR(INDEX(Products!$E$6:$E$105,MATCH(D270,Products!$B$6:$B$105,0)),0))</f>
        <v/>
      </c>
      <c r="O270" s="35" t="n"/>
      <c r="P270" s="22">
        <f>IF(OR(H270="",L270="Cancelled"),"",ROUND(IFERROR(H270*INDEX(Settings!$C$6:$C$15,MATCH(M270,Settings!$B$6:$B$15,0))+INDEX(Settings!$D$6:$D$15,MATCH(M270,Settings!$B$6:$B$15,0)),0),2))</f>
        <v/>
      </c>
      <c r="Q270" s="28">
        <f>IF(OR(H270="",L270="Cancelled"),"",H270-N(N270)-N(O270)-N(P270))</f>
        <v/>
      </c>
      <c r="R270" s="19">
        <f>IF(OR(B270="",K270=""),"",IF(OR(L270="Sent",L270="Picked up"),"Done",IF(L270="Cancelled","Cancelled",IF(K270&lt;TODAY(),"Late by "&amp;(TODAY()-K270)&amp;IF((TODAY()-K270)=1," day"," days"),IF(K270=TODAY(),"Due today","Due in "&amp;(K270-TODAY())&amp;IF((K270-TODAY())=1," day"," days"))))))</f>
        <v/>
      </c>
      <c r="S270" s="33" t="n"/>
      <c r="T270" s="1">
        <f>IF(AND(B270&lt;&gt;"",K270&lt;&gt;"",L270&lt;&gt;"Sent",L270&lt;&gt;"Picked up",L270&lt;&gt;"Cancelled"),K270+ROW()/10000000,"")</f>
        <v/>
      </c>
      <c r="U270">
        <f>IF(OR(B270="",C270=""),"",B270+ROW()/10000000)</f>
        <v/>
      </c>
      <c r="V270">
        <f>IF(U270="","",IF(COUNTIFS(Orders!$C$6:$C$1005,C270,Orders!$U$6:$U$1005,"&gt;"&amp;U270)=0,1,0))</f>
        <v/>
      </c>
      <c r="W270">
        <f>IF(AND(B270&lt;&gt;"",K270&lt;&gt;"",L270&lt;&gt;"Sent",L270&lt;&gt;"Picked up",L270&lt;&gt;"Cancelled"),IF(N(E270)=0,1,E270),0)</f>
        <v/>
      </c>
      <c r="X270">
        <f>IF(OR(B270="",D270=""),"",IF(N(E270)=0,1,E270))</f>
        <v/>
      </c>
    </row>
    <row r="271">
      <c r="A271" s="1" t="n"/>
      <c r="B271" s="31" t="n"/>
      <c r="C271" s="32" t="n"/>
      <c r="D271" s="33" t="n"/>
      <c r="E271" s="34" t="n"/>
      <c r="F271" s="35" t="n"/>
      <c r="G271" s="35" t="n"/>
      <c r="H271" s="30">
        <f>IF(OR(B271="",D271=""),"",IF(N(E271)=0,1,E271)*IFERROR(INDEX(Products!$C$6:$C$105,MATCH(D271,Products!$B$6:$B$105,0)),0)+N(F271)+N(G271))</f>
        <v/>
      </c>
      <c r="I271" s="35" t="n"/>
      <c r="J271" s="30">
        <f>IF(OR(H271="",L271="Cancelled"),"",IF(H271-N(I271)&gt;0.005,H271-N(I271),""))</f>
        <v/>
      </c>
      <c r="K271" s="31" t="n"/>
      <c r="L271" s="36" t="n"/>
      <c r="M271" s="33" t="n"/>
      <c r="N271" s="22">
        <f>IF(OR(H271="",L271="Cancelled"),"",IF(N(E271)=0,1,E271)*IFERROR(INDEX(Products!$E$6:$E$105,MATCH(D271,Products!$B$6:$B$105,0)),0))</f>
        <v/>
      </c>
      <c r="O271" s="35" t="n"/>
      <c r="P271" s="22">
        <f>IF(OR(H271="",L271="Cancelled"),"",ROUND(IFERROR(H271*INDEX(Settings!$C$6:$C$15,MATCH(M271,Settings!$B$6:$B$15,0))+INDEX(Settings!$D$6:$D$15,MATCH(M271,Settings!$B$6:$B$15,0)),0),2))</f>
        <v/>
      </c>
      <c r="Q271" s="28">
        <f>IF(OR(H271="",L271="Cancelled"),"",H271-N(N271)-N(O271)-N(P271))</f>
        <v/>
      </c>
      <c r="R271" s="19">
        <f>IF(OR(B271="",K271=""),"",IF(OR(L271="Sent",L271="Picked up"),"Done",IF(L271="Cancelled","Cancelled",IF(K271&lt;TODAY(),"Late by "&amp;(TODAY()-K271)&amp;IF((TODAY()-K271)=1," day"," days"),IF(K271=TODAY(),"Due today","Due in "&amp;(K271-TODAY())&amp;IF((K271-TODAY())=1," day"," days"))))))</f>
        <v/>
      </c>
      <c r="S271" s="33" t="n"/>
      <c r="T271" s="1">
        <f>IF(AND(B271&lt;&gt;"",K271&lt;&gt;"",L271&lt;&gt;"Sent",L271&lt;&gt;"Picked up",L271&lt;&gt;"Cancelled"),K271+ROW()/10000000,"")</f>
        <v/>
      </c>
      <c r="U271">
        <f>IF(OR(B271="",C271=""),"",B271+ROW()/10000000)</f>
        <v/>
      </c>
      <c r="V271">
        <f>IF(U271="","",IF(COUNTIFS(Orders!$C$6:$C$1005,C271,Orders!$U$6:$U$1005,"&gt;"&amp;U271)=0,1,0))</f>
        <v/>
      </c>
      <c r="W271">
        <f>IF(AND(B271&lt;&gt;"",K271&lt;&gt;"",L271&lt;&gt;"Sent",L271&lt;&gt;"Picked up",L271&lt;&gt;"Cancelled"),IF(N(E271)=0,1,E271),0)</f>
        <v/>
      </c>
      <c r="X271">
        <f>IF(OR(B271="",D271=""),"",IF(N(E271)=0,1,E271))</f>
        <v/>
      </c>
    </row>
    <row r="272">
      <c r="A272" s="1" t="n"/>
      <c r="B272" s="31" t="n"/>
      <c r="C272" s="32" t="n"/>
      <c r="D272" s="33" t="n"/>
      <c r="E272" s="34" t="n"/>
      <c r="F272" s="35" t="n"/>
      <c r="G272" s="35" t="n"/>
      <c r="H272" s="30">
        <f>IF(OR(B272="",D272=""),"",IF(N(E272)=0,1,E272)*IFERROR(INDEX(Products!$C$6:$C$105,MATCH(D272,Products!$B$6:$B$105,0)),0)+N(F272)+N(G272))</f>
        <v/>
      </c>
      <c r="I272" s="35" t="n"/>
      <c r="J272" s="30">
        <f>IF(OR(H272="",L272="Cancelled"),"",IF(H272-N(I272)&gt;0.005,H272-N(I272),""))</f>
        <v/>
      </c>
      <c r="K272" s="31" t="n"/>
      <c r="L272" s="36" t="n"/>
      <c r="M272" s="33" t="n"/>
      <c r="N272" s="22">
        <f>IF(OR(H272="",L272="Cancelled"),"",IF(N(E272)=0,1,E272)*IFERROR(INDEX(Products!$E$6:$E$105,MATCH(D272,Products!$B$6:$B$105,0)),0))</f>
        <v/>
      </c>
      <c r="O272" s="35" t="n"/>
      <c r="P272" s="22">
        <f>IF(OR(H272="",L272="Cancelled"),"",ROUND(IFERROR(H272*INDEX(Settings!$C$6:$C$15,MATCH(M272,Settings!$B$6:$B$15,0))+INDEX(Settings!$D$6:$D$15,MATCH(M272,Settings!$B$6:$B$15,0)),0),2))</f>
        <v/>
      </c>
      <c r="Q272" s="28">
        <f>IF(OR(H272="",L272="Cancelled"),"",H272-N(N272)-N(O272)-N(P272))</f>
        <v/>
      </c>
      <c r="R272" s="19">
        <f>IF(OR(B272="",K272=""),"",IF(OR(L272="Sent",L272="Picked up"),"Done",IF(L272="Cancelled","Cancelled",IF(K272&lt;TODAY(),"Late by "&amp;(TODAY()-K272)&amp;IF((TODAY()-K272)=1," day"," days"),IF(K272=TODAY(),"Due today","Due in "&amp;(K272-TODAY())&amp;IF((K272-TODAY())=1," day"," days"))))))</f>
        <v/>
      </c>
      <c r="S272" s="33" t="n"/>
      <c r="T272" s="1">
        <f>IF(AND(B272&lt;&gt;"",K272&lt;&gt;"",L272&lt;&gt;"Sent",L272&lt;&gt;"Picked up",L272&lt;&gt;"Cancelled"),K272+ROW()/10000000,"")</f>
        <v/>
      </c>
      <c r="U272">
        <f>IF(OR(B272="",C272=""),"",B272+ROW()/10000000)</f>
        <v/>
      </c>
      <c r="V272">
        <f>IF(U272="","",IF(COUNTIFS(Orders!$C$6:$C$1005,C272,Orders!$U$6:$U$1005,"&gt;"&amp;U272)=0,1,0))</f>
        <v/>
      </c>
      <c r="W272">
        <f>IF(AND(B272&lt;&gt;"",K272&lt;&gt;"",L272&lt;&gt;"Sent",L272&lt;&gt;"Picked up",L272&lt;&gt;"Cancelled"),IF(N(E272)=0,1,E272),0)</f>
        <v/>
      </c>
      <c r="X272">
        <f>IF(OR(B272="",D272=""),"",IF(N(E272)=0,1,E272))</f>
        <v/>
      </c>
    </row>
    <row r="273">
      <c r="A273" s="1" t="n"/>
      <c r="B273" s="31" t="n"/>
      <c r="C273" s="32" t="n"/>
      <c r="D273" s="33" t="n"/>
      <c r="E273" s="34" t="n"/>
      <c r="F273" s="35" t="n"/>
      <c r="G273" s="35" t="n"/>
      <c r="H273" s="30">
        <f>IF(OR(B273="",D273=""),"",IF(N(E273)=0,1,E273)*IFERROR(INDEX(Products!$C$6:$C$105,MATCH(D273,Products!$B$6:$B$105,0)),0)+N(F273)+N(G273))</f>
        <v/>
      </c>
      <c r="I273" s="35" t="n"/>
      <c r="J273" s="30">
        <f>IF(OR(H273="",L273="Cancelled"),"",IF(H273-N(I273)&gt;0.005,H273-N(I273),""))</f>
        <v/>
      </c>
      <c r="K273" s="31" t="n"/>
      <c r="L273" s="36" t="n"/>
      <c r="M273" s="33" t="n"/>
      <c r="N273" s="22">
        <f>IF(OR(H273="",L273="Cancelled"),"",IF(N(E273)=0,1,E273)*IFERROR(INDEX(Products!$E$6:$E$105,MATCH(D273,Products!$B$6:$B$105,0)),0))</f>
        <v/>
      </c>
      <c r="O273" s="35" t="n"/>
      <c r="P273" s="22">
        <f>IF(OR(H273="",L273="Cancelled"),"",ROUND(IFERROR(H273*INDEX(Settings!$C$6:$C$15,MATCH(M273,Settings!$B$6:$B$15,0))+INDEX(Settings!$D$6:$D$15,MATCH(M273,Settings!$B$6:$B$15,0)),0),2))</f>
        <v/>
      </c>
      <c r="Q273" s="28">
        <f>IF(OR(H273="",L273="Cancelled"),"",H273-N(N273)-N(O273)-N(P273))</f>
        <v/>
      </c>
      <c r="R273" s="19">
        <f>IF(OR(B273="",K273=""),"",IF(OR(L273="Sent",L273="Picked up"),"Done",IF(L273="Cancelled","Cancelled",IF(K273&lt;TODAY(),"Late by "&amp;(TODAY()-K273)&amp;IF((TODAY()-K273)=1," day"," days"),IF(K273=TODAY(),"Due today","Due in "&amp;(K273-TODAY())&amp;IF((K273-TODAY())=1," day"," days"))))))</f>
        <v/>
      </c>
      <c r="S273" s="33" t="n"/>
      <c r="T273" s="1">
        <f>IF(AND(B273&lt;&gt;"",K273&lt;&gt;"",L273&lt;&gt;"Sent",L273&lt;&gt;"Picked up",L273&lt;&gt;"Cancelled"),K273+ROW()/10000000,"")</f>
        <v/>
      </c>
      <c r="U273">
        <f>IF(OR(B273="",C273=""),"",B273+ROW()/10000000)</f>
        <v/>
      </c>
      <c r="V273">
        <f>IF(U273="","",IF(COUNTIFS(Orders!$C$6:$C$1005,C273,Orders!$U$6:$U$1005,"&gt;"&amp;U273)=0,1,0))</f>
        <v/>
      </c>
      <c r="W273">
        <f>IF(AND(B273&lt;&gt;"",K273&lt;&gt;"",L273&lt;&gt;"Sent",L273&lt;&gt;"Picked up",L273&lt;&gt;"Cancelled"),IF(N(E273)=0,1,E273),0)</f>
        <v/>
      </c>
      <c r="X273">
        <f>IF(OR(B273="",D273=""),"",IF(N(E273)=0,1,E273))</f>
        <v/>
      </c>
    </row>
    <row r="274">
      <c r="A274" s="1" t="n"/>
      <c r="B274" s="31" t="n"/>
      <c r="C274" s="32" t="n"/>
      <c r="D274" s="33" t="n"/>
      <c r="E274" s="34" t="n"/>
      <c r="F274" s="35" t="n"/>
      <c r="G274" s="35" t="n"/>
      <c r="H274" s="30">
        <f>IF(OR(B274="",D274=""),"",IF(N(E274)=0,1,E274)*IFERROR(INDEX(Products!$C$6:$C$105,MATCH(D274,Products!$B$6:$B$105,0)),0)+N(F274)+N(G274))</f>
        <v/>
      </c>
      <c r="I274" s="35" t="n"/>
      <c r="J274" s="30">
        <f>IF(OR(H274="",L274="Cancelled"),"",IF(H274-N(I274)&gt;0.005,H274-N(I274),""))</f>
        <v/>
      </c>
      <c r="K274" s="31" t="n"/>
      <c r="L274" s="36" t="n"/>
      <c r="M274" s="33" t="n"/>
      <c r="N274" s="22">
        <f>IF(OR(H274="",L274="Cancelled"),"",IF(N(E274)=0,1,E274)*IFERROR(INDEX(Products!$E$6:$E$105,MATCH(D274,Products!$B$6:$B$105,0)),0))</f>
        <v/>
      </c>
      <c r="O274" s="35" t="n"/>
      <c r="P274" s="22">
        <f>IF(OR(H274="",L274="Cancelled"),"",ROUND(IFERROR(H274*INDEX(Settings!$C$6:$C$15,MATCH(M274,Settings!$B$6:$B$15,0))+INDEX(Settings!$D$6:$D$15,MATCH(M274,Settings!$B$6:$B$15,0)),0),2))</f>
        <v/>
      </c>
      <c r="Q274" s="28">
        <f>IF(OR(H274="",L274="Cancelled"),"",H274-N(N274)-N(O274)-N(P274))</f>
        <v/>
      </c>
      <c r="R274" s="19">
        <f>IF(OR(B274="",K274=""),"",IF(OR(L274="Sent",L274="Picked up"),"Done",IF(L274="Cancelled","Cancelled",IF(K274&lt;TODAY(),"Late by "&amp;(TODAY()-K274)&amp;IF((TODAY()-K274)=1," day"," days"),IF(K274=TODAY(),"Due today","Due in "&amp;(K274-TODAY())&amp;IF((K274-TODAY())=1," day"," days"))))))</f>
        <v/>
      </c>
      <c r="S274" s="33" t="n"/>
      <c r="T274" s="1">
        <f>IF(AND(B274&lt;&gt;"",K274&lt;&gt;"",L274&lt;&gt;"Sent",L274&lt;&gt;"Picked up",L274&lt;&gt;"Cancelled"),K274+ROW()/10000000,"")</f>
        <v/>
      </c>
      <c r="U274">
        <f>IF(OR(B274="",C274=""),"",B274+ROW()/10000000)</f>
        <v/>
      </c>
      <c r="V274">
        <f>IF(U274="","",IF(COUNTIFS(Orders!$C$6:$C$1005,C274,Orders!$U$6:$U$1005,"&gt;"&amp;U274)=0,1,0))</f>
        <v/>
      </c>
      <c r="W274">
        <f>IF(AND(B274&lt;&gt;"",K274&lt;&gt;"",L274&lt;&gt;"Sent",L274&lt;&gt;"Picked up",L274&lt;&gt;"Cancelled"),IF(N(E274)=0,1,E274),0)</f>
        <v/>
      </c>
      <c r="X274">
        <f>IF(OR(B274="",D274=""),"",IF(N(E274)=0,1,E274))</f>
        <v/>
      </c>
    </row>
    <row r="275">
      <c r="A275" s="1" t="n"/>
      <c r="B275" s="31" t="n"/>
      <c r="C275" s="32" t="n"/>
      <c r="D275" s="33" t="n"/>
      <c r="E275" s="34" t="n"/>
      <c r="F275" s="35" t="n"/>
      <c r="G275" s="35" t="n"/>
      <c r="H275" s="30">
        <f>IF(OR(B275="",D275=""),"",IF(N(E275)=0,1,E275)*IFERROR(INDEX(Products!$C$6:$C$105,MATCH(D275,Products!$B$6:$B$105,0)),0)+N(F275)+N(G275))</f>
        <v/>
      </c>
      <c r="I275" s="35" t="n"/>
      <c r="J275" s="30">
        <f>IF(OR(H275="",L275="Cancelled"),"",IF(H275-N(I275)&gt;0.005,H275-N(I275),""))</f>
        <v/>
      </c>
      <c r="K275" s="31" t="n"/>
      <c r="L275" s="36" t="n"/>
      <c r="M275" s="33" t="n"/>
      <c r="N275" s="22">
        <f>IF(OR(H275="",L275="Cancelled"),"",IF(N(E275)=0,1,E275)*IFERROR(INDEX(Products!$E$6:$E$105,MATCH(D275,Products!$B$6:$B$105,0)),0))</f>
        <v/>
      </c>
      <c r="O275" s="35" t="n"/>
      <c r="P275" s="22">
        <f>IF(OR(H275="",L275="Cancelled"),"",ROUND(IFERROR(H275*INDEX(Settings!$C$6:$C$15,MATCH(M275,Settings!$B$6:$B$15,0))+INDEX(Settings!$D$6:$D$15,MATCH(M275,Settings!$B$6:$B$15,0)),0),2))</f>
        <v/>
      </c>
      <c r="Q275" s="28">
        <f>IF(OR(H275="",L275="Cancelled"),"",H275-N(N275)-N(O275)-N(P275))</f>
        <v/>
      </c>
      <c r="R275" s="19">
        <f>IF(OR(B275="",K275=""),"",IF(OR(L275="Sent",L275="Picked up"),"Done",IF(L275="Cancelled","Cancelled",IF(K275&lt;TODAY(),"Late by "&amp;(TODAY()-K275)&amp;IF((TODAY()-K275)=1," day"," days"),IF(K275=TODAY(),"Due today","Due in "&amp;(K275-TODAY())&amp;IF((K275-TODAY())=1," day"," days"))))))</f>
        <v/>
      </c>
      <c r="S275" s="33" t="n"/>
      <c r="T275" s="1">
        <f>IF(AND(B275&lt;&gt;"",K275&lt;&gt;"",L275&lt;&gt;"Sent",L275&lt;&gt;"Picked up",L275&lt;&gt;"Cancelled"),K275+ROW()/10000000,"")</f>
        <v/>
      </c>
      <c r="U275">
        <f>IF(OR(B275="",C275=""),"",B275+ROW()/10000000)</f>
        <v/>
      </c>
      <c r="V275">
        <f>IF(U275="","",IF(COUNTIFS(Orders!$C$6:$C$1005,C275,Orders!$U$6:$U$1005,"&gt;"&amp;U275)=0,1,0))</f>
        <v/>
      </c>
      <c r="W275">
        <f>IF(AND(B275&lt;&gt;"",K275&lt;&gt;"",L275&lt;&gt;"Sent",L275&lt;&gt;"Picked up",L275&lt;&gt;"Cancelled"),IF(N(E275)=0,1,E275),0)</f>
        <v/>
      </c>
      <c r="X275">
        <f>IF(OR(B275="",D275=""),"",IF(N(E275)=0,1,E275))</f>
        <v/>
      </c>
    </row>
    <row r="276">
      <c r="A276" s="1" t="n"/>
      <c r="B276" s="31" t="n"/>
      <c r="C276" s="32" t="n"/>
      <c r="D276" s="33" t="n"/>
      <c r="E276" s="34" t="n"/>
      <c r="F276" s="35" t="n"/>
      <c r="G276" s="35" t="n"/>
      <c r="H276" s="30">
        <f>IF(OR(B276="",D276=""),"",IF(N(E276)=0,1,E276)*IFERROR(INDEX(Products!$C$6:$C$105,MATCH(D276,Products!$B$6:$B$105,0)),0)+N(F276)+N(G276))</f>
        <v/>
      </c>
      <c r="I276" s="35" t="n"/>
      <c r="J276" s="30">
        <f>IF(OR(H276="",L276="Cancelled"),"",IF(H276-N(I276)&gt;0.005,H276-N(I276),""))</f>
        <v/>
      </c>
      <c r="K276" s="31" t="n"/>
      <c r="L276" s="36" t="n"/>
      <c r="M276" s="33" t="n"/>
      <c r="N276" s="22">
        <f>IF(OR(H276="",L276="Cancelled"),"",IF(N(E276)=0,1,E276)*IFERROR(INDEX(Products!$E$6:$E$105,MATCH(D276,Products!$B$6:$B$105,0)),0))</f>
        <v/>
      </c>
      <c r="O276" s="35" t="n"/>
      <c r="P276" s="22">
        <f>IF(OR(H276="",L276="Cancelled"),"",ROUND(IFERROR(H276*INDEX(Settings!$C$6:$C$15,MATCH(M276,Settings!$B$6:$B$15,0))+INDEX(Settings!$D$6:$D$15,MATCH(M276,Settings!$B$6:$B$15,0)),0),2))</f>
        <v/>
      </c>
      <c r="Q276" s="28">
        <f>IF(OR(H276="",L276="Cancelled"),"",H276-N(N276)-N(O276)-N(P276))</f>
        <v/>
      </c>
      <c r="R276" s="19">
        <f>IF(OR(B276="",K276=""),"",IF(OR(L276="Sent",L276="Picked up"),"Done",IF(L276="Cancelled","Cancelled",IF(K276&lt;TODAY(),"Late by "&amp;(TODAY()-K276)&amp;IF((TODAY()-K276)=1," day"," days"),IF(K276=TODAY(),"Due today","Due in "&amp;(K276-TODAY())&amp;IF((K276-TODAY())=1," day"," days"))))))</f>
        <v/>
      </c>
      <c r="S276" s="33" t="n"/>
      <c r="T276" s="1">
        <f>IF(AND(B276&lt;&gt;"",K276&lt;&gt;"",L276&lt;&gt;"Sent",L276&lt;&gt;"Picked up",L276&lt;&gt;"Cancelled"),K276+ROW()/10000000,"")</f>
        <v/>
      </c>
      <c r="U276">
        <f>IF(OR(B276="",C276=""),"",B276+ROW()/10000000)</f>
        <v/>
      </c>
      <c r="V276">
        <f>IF(U276="","",IF(COUNTIFS(Orders!$C$6:$C$1005,C276,Orders!$U$6:$U$1005,"&gt;"&amp;U276)=0,1,0))</f>
        <v/>
      </c>
      <c r="W276">
        <f>IF(AND(B276&lt;&gt;"",K276&lt;&gt;"",L276&lt;&gt;"Sent",L276&lt;&gt;"Picked up",L276&lt;&gt;"Cancelled"),IF(N(E276)=0,1,E276),0)</f>
        <v/>
      </c>
      <c r="X276">
        <f>IF(OR(B276="",D276=""),"",IF(N(E276)=0,1,E276))</f>
        <v/>
      </c>
    </row>
    <row r="277">
      <c r="A277" s="1" t="n"/>
      <c r="B277" s="31" t="n"/>
      <c r="C277" s="32" t="n"/>
      <c r="D277" s="33" t="n"/>
      <c r="E277" s="34" t="n"/>
      <c r="F277" s="35" t="n"/>
      <c r="G277" s="35" t="n"/>
      <c r="H277" s="30">
        <f>IF(OR(B277="",D277=""),"",IF(N(E277)=0,1,E277)*IFERROR(INDEX(Products!$C$6:$C$105,MATCH(D277,Products!$B$6:$B$105,0)),0)+N(F277)+N(G277))</f>
        <v/>
      </c>
      <c r="I277" s="35" t="n"/>
      <c r="J277" s="30">
        <f>IF(OR(H277="",L277="Cancelled"),"",IF(H277-N(I277)&gt;0.005,H277-N(I277),""))</f>
        <v/>
      </c>
      <c r="K277" s="31" t="n"/>
      <c r="L277" s="36" t="n"/>
      <c r="M277" s="33" t="n"/>
      <c r="N277" s="22">
        <f>IF(OR(H277="",L277="Cancelled"),"",IF(N(E277)=0,1,E277)*IFERROR(INDEX(Products!$E$6:$E$105,MATCH(D277,Products!$B$6:$B$105,0)),0))</f>
        <v/>
      </c>
      <c r="O277" s="35" t="n"/>
      <c r="P277" s="22">
        <f>IF(OR(H277="",L277="Cancelled"),"",ROUND(IFERROR(H277*INDEX(Settings!$C$6:$C$15,MATCH(M277,Settings!$B$6:$B$15,0))+INDEX(Settings!$D$6:$D$15,MATCH(M277,Settings!$B$6:$B$15,0)),0),2))</f>
        <v/>
      </c>
      <c r="Q277" s="28">
        <f>IF(OR(H277="",L277="Cancelled"),"",H277-N(N277)-N(O277)-N(P277))</f>
        <v/>
      </c>
      <c r="R277" s="19">
        <f>IF(OR(B277="",K277=""),"",IF(OR(L277="Sent",L277="Picked up"),"Done",IF(L277="Cancelled","Cancelled",IF(K277&lt;TODAY(),"Late by "&amp;(TODAY()-K277)&amp;IF((TODAY()-K277)=1," day"," days"),IF(K277=TODAY(),"Due today","Due in "&amp;(K277-TODAY())&amp;IF((K277-TODAY())=1," day"," days"))))))</f>
        <v/>
      </c>
      <c r="S277" s="33" t="n"/>
      <c r="T277" s="1">
        <f>IF(AND(B277&lt;&gt;"",K277&lt;&gt;"",L277&lt;&gt;"Sent",L277&lt;&gt;"Picked up",L277&lt;&gt;"Cancelled"),K277+ROW()/10000000,"")</f>
        <v/>
      </c>
      <c r="U277">
        <f>IF(OR(B277="",C277=""),"",B277+ROW()/10000000)</f>
        <v/>
      </c>
      <c r="V277">
        <f>IF(U277="","",IF(COUNTIFS(Orders!$C$6:$C$1005,C277,Orders!$U$6:$U$1005,"&gt;"&amp;U277)=0,1,0))</f>
        <v/>
      </c>
      <c r="W277">
        <f>IF(AND(B277&lt;&gt;"",K277&lt;&gt;"",L277&lt;&gt;"Sent",L277&lt;&gt;"Picked up",L277&lt;&gt;"Cancelled"),IF(N(E277)=0,1,E277),0)</f>
        <v/>
      </c>
      <c r="X277">
        <f>IF(OR(B277="",D277=""),"",IF(N(E277)=0,1,E277))</f>
        <v/>
      </c>
    </row>
    <row r="278">
      <c r="A278" s="1" t="n"/>
      <c r="B278" s="31" t="n"/>
      <c r="C278" s="32" t="n"/>
      <c r="D278" s="33" t="n"/>
      <c r="E278" s="34" t="n"/>
      <c r="F278" s="35" t="n"/>
      <c r="G278" s="35" t="n"/>
      <c r="H278" s="30">
        <f>IF(OR(B278="",D278=""),"",IF(N(E278)=0,1,E278)*IFERROR(INDEX(Products!$C$6:$C$105,MATCH(D278,Products!$B$6:$B$105,0)),0)+N(F278)+N(G278))</f>
        <v/>
      </c>
      <c r="I278" s="35" t="n"/>
      <c r="J278" s="30">
        <f>IF(OR(H278="",L278="Cancelled"),"",IF(H278-N(I278)&gt;0.005,H278-N(I278),""))</f>
        <v/>
      </c>
      <c r="K278" s="31" t="n"/>
      <c r="L278" s="36" t="n"/>
      <c r="M278" s="33" t="n"/>
      <c r="N278" s="22">
        <f>IF(OR(H278="",L278="Cancelled"),"",IF(N(E278)=0,1,E278)*IFERROR(INDEX(Products!$E$6:$E$105,MATCH(D278,Products!$B$6:$B$105,0)),0))</f>
        <v/>
      </c>
      <c r="O278" s="35" t="n"/>
      <c r="P278" s="22">
        <f>IF(OR(H278="",L278="Cancelled"),"",ROUND(IFERROR(H278*INDEX(Settings!$C$6:$C$15,MATCH(M278,Settings!$B$6:$B$15,0))+INDEX(Settings!$D$6:$D$15,MATCH(M278,Settings!$B$6:$B$15,0)),0),2))</f>
        <v/>
      </c>
      <c r="Q278" s="28">
        <f>IF(OR(H278="",L278="Cancelled"),"",H278-N(N278)-N(O278)-N(P278))</f>
        <v/>
      </c>
      <c r="R278" s="19">
        <f>IF(OR(B278="",K278=""),"",IF(OR(L278="Sent",L278="Picked up"),"Done",IF(L278="Cancelled","Cancelled",IF(K278&lt;TODAY(),"Late by "&amp;(TODAY()-K278)&amp;IF((TODAY()-K278)=1," day"," days"),IF(K278=TODAY(),"Due today","Due in "&amp;(K278-TODAY())&amp;IF((K278-TODAY())=1," day"," days"))))))</f>
        <v/>
      </c>
      <c r="S278" s="33" t="n"/>
      <c r="T278" s="1">
        <f>IF(AND(B278&lt;&gt;"",K278&lt;&gt;"",L278&lt;&gt;"Sent",L278&lt;&gt;"Picked up",L278&lt;&gt;"Cancelled"),K278+ROW()/10000000,"")</f>
        <v/>
      </c>
      <c r="U278">
        <f>IF(OR(B278="",C278=""),"",B278+ROW()/10000000)</f>
        <v/>
      </c>
      <c r="V278">
        <f>IF(U278="","",IF(COUNTIFS(Orders!$C$6:$C$1005,C278,Orders!$U$6:$U$1005,"&gt;"&amp;U278)=0,1,0))</f>
        <v/>
      </c>
      <c r="W278">
        <f>IF(AND(B278&lt;&gt;"",K278&lt;&gt;"",L278&lt;&gt;"Sent",L278&lt;&gt;"Picked up",L278&lt;&gt;"Cancelled"),IF(N(E278)=0,1,E278),0)</f>
        <v/>
      </c>
      <c r="X278">
        <f>IF(OR(B278="",D278=""),"",IF(N(E278)=0,1,E278))</f>
        <v/>
      </c>
    </row>
    <row r="279">
      <c r="A279" s="1" t="n"/>
      <c r="B279" s="31" t="n"/>
      <c r="C279" s="32" t="n"/>
      <c r="D279" s="33" t="n"/>
      <c r="E279" s="34" t="n"/>
      <c r="F279" s="35" t="n"/>
      <c r="G279" s="35" t="n"/>
      <c r="H279" s="30">
        <f>IF(OR(B279="",D279=""),"",IF(N(E279)=0,1,E279)*IFERROR(INDEX(Products!$C$6:$C$105,MATCH(D279,Products!$B$6:$B$105,0)),0)+N(F279)+N(G279))</f>
        <v/>
      </c>
      <c r="I279" s="35" t="n"/>
      <c r="J279" s="30">
        <f>IF(OR(H279="",L279="Cancelled"),"",IF(H279-N(I279)&gt;0.005,H279-N(I279),""))</f>
        <v/>
      </c>
      <c r="K279" s="31" t="n"/>
      <c r="L279" s="36" t="n"/>
      <c r="M279" s="33" t="n"/>
      <c r="N279" s="22">
        <f>IF(OR(H279="",L279="Cancelled"),"",IF(N(E279)=0,1,E279)*IFERROR(INDEX(Products!$E$6:$E$105,MATCH(D279,Products!$B$6:$B$105,0)),0))</f>
        <v/>
      </c>
      <c r="O279" s="35" t="n"/>
      <c r="P279" s="22">
        <f>IF(OR(H279="",L279="Cancelled"),"",ROUND(IFERROR(H279*INDEX(Settings!$C$6:$C$15,MATCH(M279,Settings!$B$6:$B$15,0))+INDEX(Settings!$D$6:$D$15,MATCH(M279,Settings!$B$6:$B$15,0)),0),2))</f>
        <v/>
      </c>
      <c r="Q279" s="28">
        <f>IF(OR(H279="",L279="Cancelled"),"",H279-N(N279)-N(O279)-N(P279))</f>
        <v/>
      </c>
      <c r="R279" s="19">
        <f>IF(OR(B279="",K279=""),"",IF(OR(L279="Sent",L279="Picked up"),"Done",IF(L279="Cancelled","Cancelled",IF(K279&lt;TODAY(),"Late by "&amp;(TODAY()-K279)&amp;IF((TODAY()-K279)=1," day"," days"),IF(K279=TODAY(),"Due today","Due in "&amp;(K279-TODAY())&amp;IF((K279-TODAY())=1," day"," days"))))))</f>
        <v/>
      </c>
      <c r="S279" s="33" t="n"/>
      <c r="T279" s="1">
        <f>IF(AND(B279&lt;&gt;"",K279&lt;&gt;"",L279&lt;&gt;"Sent",L279&lt;&gt;"Picked up",L279&lt;&gt;"Cancelled"),K279+ROW()/10000000,"")</f>
        <v/>
      </c>
      <c r="U279">
        <f>IF(OR(B279="",C279=""),"",B279+ROW()/10000000)</f>
        <v/>
      </c>
      <c r="V279">
        <f>IF(U279="","",IF(COUNTIFS(Orders!$C$6:$C$1005,C279,Orders!$U$6:$U$1005,"&gt;"&amp;U279)=0,1,0))</f>
        <v/>
      </c>
      <c r="W279">
        <f>IF(AND(B279&lt;&gt;"",K279&lt;&gt;"",L279&lt;&gt;"Sent",L279&lt;&gt;"Picked up",L279&lt;&gt;"Cancelled"),IF(N(E279)=0,1,E279),0)</f>
        <v/>
      </c>
      <c r="X279">
        <f>IF(OR(B279="",D279=""),"",IF(N(E279)=0,1,E279))</f>
        <v/>
      </c>
    </row>
    <row r="280">
      <c r="A280" s="1" t="n"/>
      <c r="B280" s="31" t="n"/>
      <c r="C280" s="32" t="n"/>
      <c r="D280" s="33" t="n"/>
      <c r="E280" s="34" t="n"/>
      <c r="F280" s="35" t="n"/>
      <c r="G280" s="35" t="n"/>
      <c r="H280" s="30">
        <f>IF(OR(B280="",D280=""),"",IF(N(E280)=0,1,E280)*IFERROR(INDEX(Products!$C$6:$C$105,MATCH(D280,Products!$B$6:$B$105,0)),0)+N(F280)+N(G280))</f>
        <v/>
      </c>
      <c r="I280" s="35" t="n"/>
      <c r="J280" s="30">
        <f>IF(OR(H280="",L280="Cancelled"),"",IF(H280-N(I280)&gt;0.005,H280-N(I280),""))</f>
        <v/>
      </c>
      <c r="K280" s="31" t="n"/>
      <c r="L280" s="36" t="n"/>
      <c r="M280" s="33" t="n"/>
      <c r="N280" s="22">
        <f>IF(OR(H280="",L280="Cancelled"),"",IF(N(E280)=0,1,E280)*IFERROR(INDEX(Products!$E$6:$E$105,MATCH(D280,Products!$B$6:$B$105,0)),0))</f>
        <v/>
      </c>
      <c r="O280" s="35" t="n"/>
      <c r="P280" s="22">
        <f>IF(OR(H280="",L280="Cancelled"),"",ROUND(IFERROR(H280*INDEX(Settings!$C$6:$C$15,MATCH(M280,Settings!$B$6:$B$15,0))+INDEX(Settings!$D$6:$D$15,MATCH(M280,Settings!$B$6:$B$15,0)),0),2))</f>
        <v/>
      </c>
      <c r="Q280" s="28">
        <f>IF(OR(H280="",L280="Cancelled"),"",H280-N(N280)-N(O280)-N(P280))</f>
        <v/>
      </c>
      <c r="R280" s="19">
        <f>IF(OR(B280="",K280=""),"",IF(OR(L280="Sent",L280="Picked up"),"Done",IF(L280="Cancelled","Cancelled",IF(K280&lt;TODAY(),"Late by "&amp;(TODAY()-K280)&amp;IF((TODAY()-K280)=1," day"," days"),IF(K280=TODAY(),"Due today","Due in "&amp;(K280-TODAY())&amp;IF((K280-TODAY())=1," day"," days"))))))</f>
        <v/>
      </c>
      <c r="S280" s="33" t="n"/>
      <c r="T280" s="1">
        <f>IF(AND(B280&lt;&gt;"",K280&lt;&gt;"",L280&lt;&gt;"Sent",L280&lt;&gt;"Picked up",L280&lt;&gt;"Cancelled"),K280+ROW()/10000000,"")</f>
        <v/>
      </c>
      <c r="U280">
        <f>IF(OR(B280="",C280=""),"",B280+ROW()/10000000)</f>
        <v/>
      </c>
      <c r="V280">
        <f>IF(U280="","",IF(COUNTIFS(Orders!$C$6:$C$1005,C280,Orders!$U$6:$U$1005,"&gt;"&amp;U280)=0,1,0))</f>
        <v/>
      </c>
      <c r="W280">
        <f>IF(AND(B280&lt;&gt;"",K280&lt;&gt;"",L280&lt;&gt;"Sent",L280&lt;&gt;"Picked up",L280&lt;&gt;"Cancelled"),IF(N(E280)=0,1,E280),0)</f>
        <v/>
      </c>
      <c r="X280">
        <f>IF(OR(B280="",D280=""),"",IF(N(E280)=0,1,E280))</f>
        <v/>
      </c>
    </row>
    <row r="281">
      <c r="A281" s="1" t="n"/>
      <c r="B281" s="31" t="n"/>
      <c r="C281" s="32" t="n"/>
      <c r="D281" s="33" t="n"/>
      <c r="E281" s="34" t="n"/>
      <c r="F281" s="35" t="n"/>
      <c r="G281" s="35" t="n"/>
      <c r="H281" s="30">
        <f>IF(OR(B281="",D281=""),"",IF(N(E281)=0,1,E281)*IFERROR(INDEX(Products!$C$6:$C$105,MATCH(D281,Products!$B$6:$B$105,0)),0)+N(F281)+N(G281))</f>
        <v/>
      </c>
      <c r="I281" s="35" t="n"/>
      <c r="J281" s="30">
        <f>IF(OR(H281="",L281="Cancelled"),"",IF(H281-N(I281)&gt;0.005,H281-N(I281),""))</f>
        <v/>
      </c>
      <c r="K281" s="31" t="n"/>
      <c r="L281" s="36" t="n"/>
      <c r="M281" s="33" t="n"/>
      <c r="N281" s="22">
        <f>IF(OR(H281="",L281="Cancelled"),"",IF(N(E281)=0,1,E281)*IFERROR(INDEX(Products!$E$6:$E$105,MATCH(D281,Products!$B$6:$B$105,0)),0))</f>
        <v/>
      </c>
      <c r="O281" s="35" t="n"/>
      <c r="P281" s="22">
        <f>IF(OR(H281="",L281="Cancelled"),"",ROUND(IFERROR(H281*INDEX(Settings!$C$6:$C$15,MATCH(M281,Settings!$B$6:$B$15,0))+INDEX(Settings!$D$6:$D$15,MATCH(M281,Settings!$B$6:$B$15,0)),0),2))</f>
        <v/>
      </c>
      <c r="Q281" s="28">
        <f>IF(OR(H281="",L281="Cancelled"),"",H281-N(N281)-N(O281)-N(P281))</f>
        <v/>
      </c>
      <c r="R281" s="19">
        <f>IF(OR(B281="",K281=""),"",IF(OR(L281="Sent",L281="Picked up"),"Done",IF(L281="Cancelled","Cancelled",IF(K281&lt;TODAY(),"Late by "&amp;(TODAY()-K281)&amp;IF((TODAY()-K281)=1," day"," days"),IF(K281=TODAY(),"Due today","Due in "&amp;(K281-TODAY())&amp;IF((K281-TODAY())=1," day"," days"))))))</f>
        <v/>
      </c>
      <c r="S281" s="33" t="n"/>
      <c r="T281" s="1">
        <f>IF(AND(B281&lt;&gt;"",K281&lt;&gt;"",L281&lt;&gt;"Sent",L281&lt;&gt;"Picked up",L281&lt;&gt;"Cancelled"),K281+ROW()/10000000,"")</f>
        <v/>
      </c>
      <c r="U281">
        <f>IF(OR(B281="",C281=""),"",B281+ROW()/10000000)</f>
        <v/>
      </c>
      <c r="V281">
        <f>IF(U281="","",IF(COUNTIFS(Orders!$C$6:$C$1005,C281,Orders!$U$6:$U$1005,"&gt;"&amp;U281)=0,1,0))</f>
        <v/>
      </c>
      <c r="W281">
        <f>IF(AND(B281&lt;&gt;"",K281&lt;&gt;"",L281&lt;&gt;"Sent",L281&lt;&gt;"Picked up",L281&lt;&gt;"Cancelled"),IF(N(E281)=0,1,E281),0)</f>
        <v/>
      </c>
      <c r="X281">
        <f>IF(OR(B281="",D281=""),"",IF(N(E281)=0,1,E281))</f>
        <v/>
      </c>
    </row>
    <row r="282">
      <c r="A282" s="1" t="n"/>
      <c r="B282" s="31" t="n"/>
      <c r="C282" s="32" t="n"/>
      <c r="D282" s="33" t="n"/>
      <c r="E282" s="34" t="n"/>
      <c r="F282" s="35" t="n"/>
      <c r="G282" s="35" t="n"/>
      <c r="H282" s="30">
        <f>IF(OR(B282="",D282=""),"",IF(N(E282)=0,1,E282)*IFERROR(INDEX(Products!$C$6:$C$105,MATCH(D282,Products!$B$6:$B$105,0)),0)+N(F282)+N(G282))</f>
        <v/>
      </c>
      <c r="I282" s="35" t="n"/>
      <c r="J282" s="30">
        <f>IF(OR(H282="",L282="Cancelled"),"",IF(H282-N(I282)&gt;0.005,H282-N(I282),""))</f>
        <v/>
      </c>
      <c r="K282" s="31" t="n"/>
      <c r="L282" s="36" t="n"/>
      <c r="M282" s="33" t="n"/>
      <c r="N282" s="22">
        <f>IF(OR(H282="",L282="Cancelled"),"",IF(N(E282)=0,1,E282)*IFERROR(INDEX(Products!$E$6:$E$105,MATCH(D282,Products!$B$6:$B$105,0)),0))</f>
        <v/>
      </c>
      <c r="O282" s="35" t="n"/>
      <c r="P282" s="22">
        <f>IF(OR(H282="",L282="Cancelled"),"",ROUND(IFERROR(H282*INDEX(Settings!$C$6:$C$15,MATCH(M282,Settings!$B$6:$B$15,0))+INDEX(Settings!$D$6:$D$15,MATCH(M282,Settings!$B$6:$B$15,0)),0),2))</f>
        <v/>
      </c>
      <c r="Q282" s="28">
        <f>IF(OR(H282="",L282="Cancelled"),"",H282-N(N282)-N(O282)-N(P282))</f>
        <v/>
      </c>
      <c r="R282" s="19">
        <f>IF(OR(B282="",K282=""),"",IF(OR(L282="Sent",L282="Picked up"),"Done",IF(L282="Cancelled","Cancelled",IF(K282&lt;TODAY(),"Late by "&amp;(TODAY()-K282)&amp;IF((TODAY()-K282)=1," day"," days"),IF(K282=TODAY(),"Due today","Due in "&amp;(K282-TODAY())&amp;IF((K282-TODAY())=1," day"," days"))))))</f>
        <v/>
      </c>
      <c r="S282" s="33" t="n"/>
      <c r="T282" s="1">
        <f>IF(AND(B282&lt;&gt;"",K282&lt;&gt;"",L282&lt;&gt;"Sent",L282&lt;&gt;"Picked up",L282&lt;&gt;"Cancelled"),K282+ROW()/10000000,"")</f>
        <v/>
      </c>
      <c r="U282">
        <f>IF(OR(B282="",C282=""),"",B282+ROW()/10000000)</f>
        <v/>
      </c>
      <c r="V282">
        <f>IF(U282="","",IF(COUNTIFS(Orders!$C$6:$C$1005,C282,Orders!$U$6:$U$1005,"&gt;"&amp;U282)=0,1,0))</f>
        <v/>
      </c>
      <c r="W282">
        <f>IF(AND(B282&lt;&gt;"",K282&lt;&gt;"",L282&lt;&gt;"Sent",L282&lt;&gt;"Picked up",L282&lt;&gt;"Cancelled"),IF(N(E282)=0,1,E282),0)</f>
        <v/>
      </c>
      <c r="X282">
        <f>IF(OR(B282="",D282=""),"",IF(N(E282)=0,1,E282))</f>
        <v/>
      </c>
    </row>
    <row r="283">
      <c r="A283" s="1" t="n"/>
      <c r="B283" s="31" t="n"/>
      <c r="C283" s="32" t="n"/>
      <c r="D283" s="33" t="n"/>
      <c r="E283" s="34" t="n"/>
      <c r="F283" s="35" t="n"/>
      <c r="G283" s="35" t="n"/>
      <c r="H283" s="30">
        <f>IF(OR(B283="",D283=""),"",IF(N(E283)=0,1,E283)*IFERROR(INDEX(Products!$C$6:$C$105,MATCH(D283,Products!$B$6:$B$105,0)),0)+N(F283)+N(G283))</f>
        <v/>
      </c>
      <c r="I283" s="35" t="n"/>
      <c r="J283" s="30">
        <f>IF(OR(H283="",L283="Cancelled"),"",IF(H283-N(I283)&gt;0.005,H283-N(I283),""))</f>
        <v/>
      </c>
      <c r="K283" s="31" t="n"/>
      <c r="L283" s="36" t="n"/>
      <c r="M283" s="33" t="n"/>
      <c r="N283" s="22">
        <f>IF(OR(H283="",L283="Cancelled"),"",IF(N(E283)=0,1,E283)*IFERROR(INDEX(Products!$E$6:$E$105,MATCH(D283,Products!$B$6:$B$105,0)),0))</f>
        <v/>
      </c>
      <c r="O283" s="35" t="n"/>
      <c r="P283" s="22">
        <f>IF(OR(H283="",L283="Cancelled"),"",ROUND(IFERROR(H283*INDEX(Settings!$C$6:$C$15,MATCH(M283,Settings!$B$6:$B$15,0))+INDEX(Settings!$D$6:$D$15,MATCH(M283,Settings!$B$6:$B$15,0)),0),2))</f>
        <v/>
      </c>
      <c r="Q283" s="28">
        <f>IF(OR(H283="",L283="Cancelled"),"",H283-N(N283)-N(O283)-N(P283))</f>
        <v/>
      </c>
      <c r="R283" s="19">
        <f>IF(OR(B283="",K283=""),"",IF(OR(L283="Sent",L283="Picked up"),"Done",IF(L283="Cancelled","Cancelled",IF(K283&lt;TODAY(),"Late by "&amp;(TODAY()-K283)&amp;IF((TODAY()-K283)=1," day"," days"),IF(K283=TODAY(),"Due today","Due in "&amp;(K283-TODAY())&amp;IF((K283-TODAY())=1," day"," days"))))))</f>
        <v/>
      </c>
      <c r="S283" s="33" t="n"/>
      <c r="T283" s="1">
        <f>IF(AND(B283&lt;&gt;"",K283&lt;&gt;"",L283&lt;&gt;"Sent",L283&lt;&gt;"Picked up",L283&lt;&gt;"Cancelled"),K283+ROW()/10000000,"")</f>
        <v/>
      </c>
      <c r="U283">
        <f>IF(OR(B283="",C283=""),"",B283+ROW()/10000000)</f>
        <v/>
      </c>
      <c r="V283">
        <f>IF(U283="","",IF(COUNTIFS(Orders!$C$6:$C$1005,C283,Orders!$U$6:$U$1005,"&gt;"&amp;U283)=0,1,0))</f>
        <v/>
      </c>
      <c r="W283">
        <f>IF(AND(B283&lt;&gt;"",K283&lt;&gt;"",L283&lt;&gt;"Sent",L283&lt;&gt;"Picked up",L283&lt;&gt;"Cancelled"),IF(N(E283)=0,1,E283),0)</f>
        <v/>
      </c>
      <c r="X283">
        <f>IF(OR(B283="",D283=""),"",IF(N(E283)=0,1,E283))</f>
        <v/>
      </c>
    </row>
    <row r="284">
      <c r="A284" s="1" t="n"/>
      <c r="B284" s="31" t="n"/>
      <c r="C284" s="32" t="n"/>
      <c r="D284" s="33" t="n"/>
      <c r="E284" s="34" t="n"/>
      <c r="F284" s="35" t="n"/>
      <c r="G284" s="35" t="n"/>
      <c r="H284" s="30">
        <f>IF(OR(B284="",D284=""),"",IF(N(E284)=0,1,E284)*IFERROR(INDEX(Products!$C$6:$C$105,MATCH(D284,Products!$B$6:$B$105,0)),0)+N(F284)+N(G284))</f>
        <v/>
      </c>
      <c r="I284" s="35" t="n"/>
      <c r="J284" s="30">
        <f>IF(OR(H284="",L284="Cancelled"),"",IF(H284-N(I284)&gt;0.005,H284-N(I284),""))</f>
        <v/>
      </c>
      <c r="K284" s="31" t="n"/>
      <c r="L284" s="36" t="n"/>
      <c r="M284" s="33" t="n"/>
      <c r="N284" s="22">
        <f>IF(OR(H284="",L284="Cancelled"),"",IF(N(E284)=0,1,E284)*IFERROR(INDEX(Products!$E$6:$E$105,MATCH(D284,Products!$B$6:$B$105,0)),0))</f>
        <v/>
      </c>
      <c r="O284" s="35" t="n"/>
      <c r="P284" s="22">
        <f>IF(OR(H284="",L284="Cancelled"),"",ROUND(IFERROR(H284*INDEX(Settings!$C$6:$C$15,MATCH(M284,Settings!$B$6:$B$15,0))+INDEX(Settings!$D$6:$D$15,MATCH(M284,Settings!$B$6:$B$15,0)),0),2))</f>
        <v/>
      </c>
      <c r="Q284" s="28">
        <f>IF(OR(H284="",L284="Cancelled"),"",H284-N(N284)-N(O284)-N(P284))</f>
        <v/>
      </c>
      <c r="R284" s="19">
        <f>IF(OR(B284="",K284=""),"",IF(OR(L284="Sent",L284="Picked up"),"Done",IF(L284="Cancelled","Cancelled",IF(K284&lt;TODAY(),"Late by "&amp;(TODAY()-K284)&amp;IF((TODAY()-K284)=1," day"," days"),IF(K284=TODAY(),"Due today","Due in "&amp;(K284-TODAY())&amp;IF((K284-TODAY())=1," day"," days"))))))</f>
        <v/>
      </c>
      <c r="S284" s="33" t="n"/>
      <c r="T284" s="1">
        <f>IF(AND(B284&lt;&gt;"",K284&lt;&gt;"",L284&lt;&gt;"Sent",L284&lt;&gt;"Picked up",L284&lt;&gt;"Cancelled"),K284+ROW()/10000000,"")</f>
        <v/>
      </c>
      <c r="U284">
        <f>IF(OR(B284="",C284=""),"",B284+ROW()/10000000)</f>
        <v/>
      </c>
      <c r="V284">
        <f>IF(U284="","",IF(COUNTIFS(Orders!$C$6:$C$1005,C284,Orders!$U$6:$U$1005,"&gt;"&amp;U284)=0,1,0))</f>
        <v/>
      </c>
      <c r="W284">
        <f>IF(AND(B284&lt;&gt;"",K284&lt;&gt;"",L284&lt;&gt;"Sent",L284&lt;&gt;"Picked up",L284&lt;&gt;"Cancelled"),IF(N(E284)=0,1,E284),0)</f>
        <v/>
      </c>
      <c r="X284">
        <f>IF(OR(B284="",D284=""),"",IF(N(E284)=0,1,E284))</f>
        <v/>
      </c>
    </row>
    <row r="285">
      <c r="A285" s="1" t="n"/>
      <c r="B285" s="31" t="n"/>
      <c r="C285" s="32" t="n"/>
      <c r="D285" s="33" t="n"/>
      <c r="E285" s="34" t="n"/>
      <c r="F285" s="35" t="n"/>
      <c r="G285" s="35" t="n"/>
      <c r="H285" s="30">
        <f>IF(OR(B285="",D285=""),"",IF(N(E285)=0,1,E285)*IFERROR(INDEX(Products!$C$6:$C$105,MATCH(D285,Products!$B$6:$B$105,0)),0)+N(F285)+N(G285))</f>
        <v/>
      </c>
      <c r="I285" s="35" t="n"/>
      <c r="J285" s="30">
        <f>IF(OR(H285="",L285="Cancelled"),"",IF(H285-N(I285)&gt;0.005,H285-N(I285),""))</f>
        <v/>
      </c>
      <c r="K285" s="31" t="n"/>
      <c r="L285" s="36" t="n"/>
      <c r="M285" s="33" t="n"/>
      <c r="N285" s="22">
        <f>IF(OR(H285="",L285="Cancelled"),"",IF(N(E285)=0,1,E285)*IFERROR(INDEX(Products!$E$6:$E$105,MATCH(D285,Products!$B$6:$B$105,0)),0))</f>
        <v/>
      </c>
      <c r="O285" s="35" t="n"/>
      <c r="P285" s="22">
        <f>IF(OR(H285="",L285="Cancelled"),"",ROUND(IFERROR(H285*INDEX(Settings!$C$6:$C$15,MATCH(M285,Settings!$B$6:$B$15,0))+INDEX(Settings!$D$6:$D$15,MATCH(M285,Settings!$B$6:$B$15,0)),0),2))</f>
        <v/>
      </c>
      <c r="Q285" s="28">
        <f>IF(OR(H285="",L285="Cancelled"),"",H285-N(N285)-N(O285)-N(P285))</f>
        <v/>
      </c>
      <c r="R285" s="19">
        <f>IF(OR(B285="",K285=""),"",IF(OR(L285="Sent",L285="Picked up"),"Done",IF(L285="Cancelled","Cancelled",IF(K285&lt;TODAY(),"Late by "&amp;(TODAY()-K285)&amp;IF((TODAY()-K285)=1," day"," days"),IF(K285=TODAY(),"Due today","Due in "&amp;(K285-TODAY())&amp;IF((K285-TODAY())=1," day"," days"))))))</f>
        <v/>
      </c>
      <c r="S285" s="33" t="n"/>
      <c r="T285" s="1">
        <f>IF(AND(B285&lt;&gt;"",K285&lt;&gt;"",L285&lt;&gt;"Sent",L285&lt;&gt;"Picked up",L285&lt;&gt;"Cancelled"),K285+ROW()/10000000,"")</f>
        <v/>
      </c>
      <c r="U285">
        <f>IF(OR(B285="",C285=""),"",B285+ROW()/10000000)</f>
        <v/>
      </c>
      <c r="V285">
        <f>IF(U285="","",IF(COUNTIFS(Orders!$C$6:$C$1005,C285,Orders!$U$6:$U$1005,"&gt;"&amp;U285)=0,1,0))</f>
        <v/>
      </c>
      <c r="W285">
        <f>IF(AND(B285&lt;&gt;"",K285&lt;&gt;"",L285&lt;&gt;"Sent",L285&lt;&gt;"Picked up",L285&lt;&gt;"Cancelled"),IF(N(E285)=0,1,E285),0)</f>
        <v/>
      </c>
      <c r="X285">
        <f>IF(OR(B285="",D285=""),"",IF(N(E285)=0,1,E285))</f>
        <v/>
      </c>
    </row>
    <row r="286">
      <c r="A286" s="1" t="n"/>
      <c r="B286" s="31" t="n"/>
      <c r="C286" s="32" t="n"/>
      <c r="D286" s="33" t="n"/>
      <c r="E286" s="34" t="n"/>
      <c r="F286" s="35" t="n"/>
      <c r="G286" s="35" t="n"/>
      <c r="H286" s="30">
        <f>IF(OR(B286="",D286=""),"",IF(N(E286)=0,1,E286)*IFERROR(INDEX(Products!$C$6:$C$105,MATCH(D286,Products!$B$6:$B$105,0)),0)+N(F286)+N(G286))</f>
        <v/>
      </c>
      <c r="I286" s="35" t="n"/>
      <c r="J286" s="30">
        <f>IF(OR(H286="",L286="Cancelled"),"",IF(H286-N(I286)&gt;0.005,H286-N(I286),""))</f>
        <v/>
      </c>
      <c r="K286" s="31" t="n"/>
      <c r="L286" s="36" t="n"/>
      <c r="M286" s="33" t="n"/>
      <c r="N286" s="22">
        <f>IF(OR(H286="",L286="Cancelled"),"",IF(N(E286)=0,1,E286)*IFERROR(INDEX(Products!$E$6:$E$105,MATCH(D286,Products!$B$6:$B$105,0)),0))</f>
        <v/>
      </c>
      <c r="O286" s="35" t="n"/>
      <c r="P286" s="22">
        <f>IF(OR(H286="",L286="Cancelled"),"",ROUND(IFERROR(H286*INDEX(Settings!$C$6:$C$15,MATCH(M286,Settings!$B$6:$B$15,0))+INDEX(Settings!$D$6:$D$15,MATCH(M286,Settings!$B$6:$B$15,0)),0),2))</f>
        <v/>
      </c>
      <c r="Q286" s="28">
        <f>IF(OR(H286="",L286="Cancelled"),"",H286-N(N286)-N(O286)-N(P286))</f>
        <v/>
      </c>
      <c r="R286" s="19">
        <f>IF(OR(B286="",K286=""),"",IF(OR(L286="Sent",L286="Picked up"),"Done",IF(L286="Cancelled","Cancelled",IF(K286&lt;TODAY(),"Late by "&amp;(TODAY()-K286)&amp;IF((TODAY()-K286)=1," day"," days"),IF(K286=TODAY(),"Due today","Due in "&amp;(K286-TODAY())&amp;IF((K286-TODAY())=1," day"," days"))))))</f>
        <v/>
      </c>
      <c r="S286" s="33" t="n"/>
      <c r="T286" s="1">
        <f>IF(AND(B286&lt;&gt;"",K286&lt;&gt;"",L286&lt;&gt;"Sent",L286&lt;&gt;"Picked up",L286&lt;&gt;"Cancelled"),K286+ROW()/10000000,"")</f>
        <v/>
      </c>
      <c r="U286">
        <f>IF(OR(B286="",C286=""),"",B286+ROW()/10000000)</f>
        <v/>
      </c>
      <c r="V286">
        <f>IF(U286="","",IF(COUNTIFS(Orders!$C$6:$C$1005,C286,Orders!$U$6:$U$1005,"&gt;"&amp;U286)=0,1,0))</f>
        <v/>
      </c>
      <c r="W286">
        <f>IF(AND(B286&lt;&gt;"",K286&lt;&gt;"",L286&lt;&gt;"Sent",L286&lt;&gt;"Picked up",L286&lt;&gt;"Cancelled"),IF(N(E286)=0,1,E286),0)</f>
        <v/>
      </c>
      <c r="X286">
        <f>IF(OR(B286="",D286=""),"",IF(N(E286)=0,1,E286))</f>
        <v/>
      </c>
    </row>
    <row r="287">
      <c r="A287" s="1" t="n"/>
      <c r="B287" s="31" t="n"/>
      <c r="C287" s="32" t="n"/>
      <c r="D287" s="33" t="n"/>
      <c r="E287" s="34" t="n"/>
      <c r="F287" s="35" t="n"/>
      <c r="G287" s="35" t="n"/>
      <c r="H287" s="30">
        <f>IF(OR(B287="",D287=""),"",IF(N(E287)=0,1,E287)*IFERROR(INDEX(Products!$C$6:$C$105,MATCH(D287,Products!$B$6:$B$105,0)),0)+N(F287)+N(G287))</f>
        <v/>
      </c>
      <c r="I287" s="35" t="n"/>
      <c r="J287" s="30">
        <f>IF(OR(H287="",L287="Cancelled"),"",IF(H287-N(I287)&gt;0.005,H287-N(I287),""))</f>
        <v/>
      </c>
      <c r="K287" s="31" t="n"/>
      <c r="L287" s="36" t="n"/>
      <c r="M287" s="33" t="n"/>
      <c r="N287" s="22">
        <f>IF(OR(H287="",L287="Cancelled"),"",IF(N(E287)=0,1,E287)*IFERROR(INDEX(Products!$E$6:$E$105,MATCH(D287,Products!$B$6:$B$105,0)),0))</f>
        <v/>
      </c>
      <c r="O287" s="35" t="n"/>
      <c r="P287" s="22">
        <f>IF(OR(H287="",L287="Cancelled"),"",ROUND(IFERROR(H287*INDEX(Settings!$C$6:$C$15,MATCH(M287,Settings!$B$6:$B$15,0))+INDEX(Settings!$D$6:$D$15,MATCH(M287,Settings!$B$6:$B$15,0)),0),2))</f>
        <v/>
      </c>
      <c r="Q287" s="28">
        <f>IF(OR(H287="",L287="Cancelled"),"",H287-N(N287)-N(O287)-N(P287))</f>
        <v/>
      </c>
      <c r="R287" s="19">
        <f>IF(OR(B287="",K287=""),"",IF(OR(L287="Sent",L287="Picked up"),"Done",IF(L287="Cancelled","Cancelled",IF(K287&lt;TODAY(),"Late by "&amp;(TODAY()-K287)&amp;IF((TODAY()-K287)=1," day"," days"),IF(K287=TODAY(),"Due today","Due in "&amp;(K287-TODAY())&amp;IF((K287-TODAY())=1," day"," days"))))))</f>
        <v/>
      </c>
      <c r="S287" s="33" t="n"/>
      <c r="T287" s="1">
        <f>IF(AND(B287&lt;&gt;"",K287&lt;&gt;"",L287&lt;&gt;"Sent",L287&lt;&gt;"Picked up",L287&lt;&gt;"Cancelled"),K287+ROW()/10000000,"")</f>
        <v/>
      </c>
      <c r="U287">
        <f>IF(OR(B287="",C287=""),"",B287+ROW()/10000000)</f>
        <v/>
      </c>
      <c r="V287">
        <f>IF(U287="","",IF(COUNTIFS(Orders!$C$6:$C$1005,C287,Orders!$U$6:$U$1005,"&gt;"&amp;U287)=0,1,0))</f>
        <v/>
      </c>
      <c r="W287">
        <f>IF(AND(B287&lt;&gt;"",K287&lt;&gt;"",L287&lt;&gt;"Sent",L287&lt;&gt;"Picked up",L287&lt;&gt;"Cancelled"),IF(N(E287)=0,1,E287),0)</f>
        <v/>
      </c>
      <c r="X287">
        <f>IF(OR(B287="",D287=""),"",IF(N(E287)=0,1,E287))</f>
        <v/>
      </c>
    </row>
    <row r="288">
      <c r="A288" s="1" t="n"/>
      <c r="B288" s="31" t="n"/>
      <c r="C288" s="32" t="n"/>
      <c r="D288" s="33" t="n"/>
      <c r="E288" s="34" t="n"/>
      <c r="F288" s="35" t="n"/>
      <c r="G288" s="35" t="n"/>
      <c r="H288" s="30">
        <f>IF(OR(B288="",D288=""),"",IF(N(E288)=0,1,E288)*IFERROR(INDEX(Products!$C$6:$C$105,MATCH(D288,Products!$B$6:$B$105,0)),0)+N(F288)+N(G288))</f>
        <v/>
      </c>
      <c r="I288" s="35" t="n"/>
      <c r="J288" s="30">
        <f>IF(OR(H288="",L288="Cancelled"),"",IF(H288-N(I288)&gt;0.005,H288-N(I288),""))</f>
        <v/>
      </c>
      <c r="K288" s="31" t="n"/>
      <c r="L288" s="36" t="n"/>
      <c r="M288" s="33" t="n"/>
      <c r="N288" s="22">
        <f>IF(OR(H288="",L288="Cancelled"),"",IF(N(E288)=0,1,E288)*IFERROR(INDEX(Products!$E$6:$E$105,MATCH(D288,Products!$B$6:$B$105,0)),0))</f>
        <v/>
      </c>
      <c r="O288" s="35" t="n"/>
      <c r="P288" s="22">
        <f>IF(OR(H288="",L288="Cancelled"),"",ROUND(IFERROR(H288*INDEX(Settings!$C$6:$C$15,MATCH(M288,Settings!$B$6:$B$15,0))+INDEX(Settings!$D$6:$D$15,MATCH(M288,Settings!$B$6:$B$15,0)),0),2))</f>
        <v/>
      </c>
      <c r="Q288" s="28">
        <f>IF(OR(H288="",L288="Cancelled"),"",H288-N(N288)-N(O288)-N(P288))</f>
        <v/>
      </c>
      <c r="R288" s="19">
        <f>IF(OR(B288="",K288=""),"",IF(OR(L288="Sent",L288="Picked up"),"Done",IF(L288="Cancelled","Cancelled",IF(K288&lt;TODAY(),"Late by "&amp;(TODAY()-K288)&amp;IF((TODAY()-K288)=1," day"," days"),IF(K288=TODAY(),"Due today","Due in "&amp;(K288-TODAY())&amp;IF((K288-TODAY())=1," day"," days"))))))</f>
        <v/>
      </c>
      <c r="S288" s="33" t="n"/>
      <c r="T288" s="1">
        <f>IF(AND(B288&lt;&gt;"",K288&lt;&gt;"",L288&lt;&gt;"Sent",L288&lt;&gt;"Picked up",L288&lt;&gt;"Cancelled"),K288+ROW()/10000000,"")</f>
        <v/>
      </c>
      <c r="U288">
        <f>IF(OR(B288="",C288=""),"",B288+ROW()/10000000)</f>
        <v/>
      </c>
      <c r="V288">
        <f>IF(U288="","",IF(COUNTIFS(Orders!$C$6:$C$1005,C288,Orders!$U$6:$U$1005,"&gt;"&amp;U288)=0,1,0))</f>
        <v/>
      </c>
      <c r="W288">
        <f>IF(AND(B288&lt;&gt;"",K288&lt;&gt;"",L288&lt;&gt;"Sent",L288&lt;&gt;"Picked up",L288&lt;&gt;"Cancelled"),IF(N(E288)=0,1,E288),0)</f>
        <v/>
      </c>
      <c r="X288">
        <f>IF(OR(B288="",D288=""),"",IF(N(E288)=0,1,E288))</f>
        <v/>
      </c>
    </row>
    <row r="289">
      <c r="A289" s="1" t="n"/>
      <c r="B289" s="31" t="n"/>
      <c r="C289" s="32" t="n"/>
      <c r="D289" s="33" t="n"/>
      <c r="E289" s="34" t="n"/>
      <c r="F289" s="35" t="n"/>
      <c r="G289" s="35" t="n"/>
      <c r="H289" s="30">
        <f>IF(OR(B289="",D289=""),"",IF(N(E289)=0,1,E289)*IFERROR(INDEX(Products!$C$6:$C$105,MATCH(D289,Products!$B$6:$B$105,0)),0)+N(F289)+N(G289))</f>
        <v/>
      </c>
      <c r="I289" s="35" t="n"/>
      <c r="J289" s="30">
        <f>IF(OR(H289="",L289="Cancelled"),"",IF(H289-N(I289)&gt;0.005,H289-N(I289),""))</f>
        <v/>
      </c>
      <c r="K289" s="31" t="n"/>
      <c r="L289" s="36" t="n"/>
      <c r="M289" s="33" t="n"/>
      <c r="N289" s="22">
        <f>IF(OR(H289="",L289="Cancelled"),"",IF(N(E289)=0,1,E289)*IFERROR(INDEX(Products!$E$6:$E$105,MATCH(D289,Products!$B$6:$B$105,0)),0))</f>
        <v/>
      </c>
      <c r="O289" s="35" t="n"/>
      <c r="P289" s="22">
        <f>IF(OR(H289="",L289="Cancelled"),"",ROUND(IFERROR(H289*INDEX(Settings!$C$6:$C$15,MATCH(M289,Settings!$B$6:$B$15,0))+INDEX(Settings!$D$6:$D$15,MATCH(M289,Settings!$B$6:$B$15,0)),0),2))</f>
        <v/>
      </c>
      <c r="Q289" s="28">
        <f>IF(OR(H289="",L289="Cancelled"),"",H289-N(N289)-N(O289)-N(P289))</f>
        <v/>
      </c>
      <c r="R289" s="19">
        <f>IF(OR(B289="",K289=""),"",IF(OR(L289="Sent",L289="Picked up"),"Done",IF(L289="Cancelled","Cancelled",IF(K289&lt;TODAY(),"Late by "&amp;(TODAY()-K289)&amp;IF((TODAY()-K289)=1," day"," days"),IF(K289=TODAY(),"Due today","Due in "&amp;(K289-TODAY())&amp;IF((K289-TODAY())=1," day"," days"))))))</f>
        <v/>
      </c>
      <c r="S289" s="33" t="n"/>
      <c r="T289" s="1">
        <f>IF(AND(B289&lt;&gt;"",K289&lt;&gt;"",L289&lt;&gt;"Sent",L289&lt;&gt;"Picked up",L289&lt;&gt;"Cancelled"),K289+ROW()/10000000,"")</f>
        <v/>
      </c>
      <c r="U289">
        <f>IF(OR(B289="",C289=""),"",B289+ROW()/10000000)</f>
        <v/>
      </c>
      <c r="V289">
        <f>IF(U289="","",IF(COUNTIFS(Orders!$C$6:$C$1005,C289,Orders!$U$6:$U$1005,"&gt;"&amp;U289)=0,1,0))</f>
        <v/>
      </c>
      <c r="W289">
        <f>IF(AND(B289&lt;&gt;"",K289&lt;&gt;"",L289&lt;&gt;"Sent",L289&lt;&gt;"Picked up",L289&lt;&gt;"Cancelled"),IF(N(E289)=0,1,E289),0)</f>
        <v/>
      </c>
      <c r="X289">
        <f>IF(OR(B289="",D289=""),"",IF(N(E289)=0,1,E289))</f>
        <v/>
      </c>
    </row>
    <row r="290">
      <c r="A290" s="1" t="n"/>
      <c r="B290" s="31" t="n"/>
      <c r="C290" s="32" t="n"/>
      <c r="D290" s="33" t="n"/>
      <c r="E290" s="34" t="n"/>
      <c r="F290" s="35" t="n"/>
      <c r="G290" s="35" t="n"/>
      <c r="H290" s="30">
        <f>IF(OR(B290="",D290=""),"",IF(N(E290)=0,1,E290)*IFERROR(INDEX(Products!$C$6:$C$105,MATCH(D290,Products!$B$6:$B$105,0)),0)+N(F290)+N(G290))</f>
        <v/>
      </c>
      <c r="I290" s="35" t="n"/>
      <c r="J290" s="30">
        <f>IF(OR(H290="",L290="Cancelled"),"",IF(H290-N(I290)&gt;0.005,H290-N(I290),""))</f>
        <v/>
      </c>
      <c r="K290" s="31" t="n"/>
      <c r="L290" s="36" t="n"/>
      <c r="M290" s="33" t="n"/>
      <c r="N290" s="22">
        <f>IF(OR(H290="",L290="Cancelled"),"",IF(N(E290)=0,1,E290)*IFERROR(INDEX(Products!$E$6:$E$105,MATCH(D290,Products!$B$6:$B$105,0)),0))</f>
        <v/>
      </c>
      <c r="O290" s="35" t="n"/>
      <c r="P290" s="22">
        <f>IF(OR(H290="",L290="Cancelled"),"",ROUND(IFERROR(H290*INDEX(Settings!$C$6:$C$15,MATCH(M290,Settings!$B$6:$B$15,0))+INDEX(Settings!$D$6:$D$15,MATCH(M290,Settings!$B$6:$B$15,0)),0),2))</f>
        <v/>
      </c>
      <c r="Q290" s="28">
        <f>IF(OR(H290="",L290="Cancelled"),"",H290-N(N290)-N(O290)-N(P290))</f>
        <v/>
      </c>
      <c r="R290" s="19">
        <f>IF(OR(B290="",K290=""),"",IF(OR(L290="Sent",L290="Picked up"),"Done",IF(L290="Cancelled","Cancelled",IF(K290&lt;TODAY(),"Late by "&amp;(TODAY()-K290)&amp;IF((TODAY()-K290)=1," day"," days"),IF(K290=TODAY(),"Due today","Due in "&amp;(K290-TODAY())&amp;IF((K290-TODAY())=1," day"," days"))))))</f>
        <v/>
      </c>
      <c r="S290" s="33" t="n"/>
      <c r="T290" s="1">
        <f>IF(AND(B290&lt;&gt;"",K290&lt;&gt;"",L290&lt;&gt;"Sent",L290&lt;&gt;"Picked up",L290&lt;&gt;"Cancelled"),K290+ROW()/10000000,"")</f>
        <v/>
      </c>
      <c r="U290">
        <f>IF(OR(B290="",C290=""),"",B290+ROW()/10000000)</f>
        <v/>
      </c>
      <c r="V290">
        <f>IF(U290="","",IF(COUNTIFS(Orders!$C$6:$C$1005,C290,Orders!$U$6:$U$1005,"&gt;"&amp;U290)=0,1,0))</f>
        <v/>
      </c>
      <c r="W290">
        <f>IF(AND(B290&lt;&gt;"",K290&lt;&gt;"",L290&lt;&gt;"Sent",L290&lt;&gt;"Picked up",L290&lt;&gt;"Cancelled"),IF(N(E290)=0,1,E290),0)</f>
        <v/>
      </c>
      <c r="X290">
        <f>IF(OR(B290="",D290=""),"",IF(N(E290)=0,1,E290))</f>
        <v/>
      </c>
    </row>
    <row r="291">
      <c r="A291" s="1" t="n"/>
      <c r="B291" s="31" t="n"/>
      <c r="C291" s="32" t="n"/>
      <c r="D291" s="33" t="n"/>
      <c r="E291" s="34" t="n"/>
      <c r="F291" s="35" t="n"/>
      <c r="G291" s="35" t="n"/>
      <c r="H291" s="30">
        <f>IF(OR(B291="",D291=""),"",IF(N(E291)=0,1,E291)*IFERROR(INDEX(Products!$C$6:$C$105,MATCH(D291,Products!$B$6:$B$105,0)),0)+N(F291)+N(G291))</f>
        <v/>
      </c>
      <c r="I291" s="35" t="n"/>
      <c r="J291" s="30">
        <f>IF(OR(H291="",L291="Cancelled"),"",IF(H291-N(I291)&gt;0.005,H291-N(I291),""))</f>
        <v/>
      </c>
      <c r="K291" s="31" t="n"/>
      <c r="L291" s="36" t="n"/>
      <c r="M291" s="33" t="n"/>
      <c r="N291" s="22">
        <f>IF(OR(H291="",L291="Cancelled"),"",IF(N(E291)=0,1,E291)*IFERROR(INDEX(Products!$E$6:$E$105,MATCH(D291,Products!$B$6:$B$105,0)),0))</f>
        <v/>
      </c>
      <c r="O291" s="35" t="n"/>
      <c r="P291" s="22">
        <f>IF(OR(H291="",L291="Cancelled"),"",ROUND(IFERROR(H291*INDEX(Settings!$C$6:$C$15,MATCH(M291,Settings!$B$6:$B$15,0))+INDEX(Settings!$D$6:$D$15,MATCH(M291,Settings!$B$6:$B$15,0)),0),2))</f>
        <v/>
      </c>
      <c r="Q291" s="28">
        <f>IF(OR(H291="",L291="Cancelled"),"",H291-N(N291)-N(O291)-N(P291))</f>
        <v/>
      </c>
      <c r="R291" s="19">
        <f>IF(OR(B291="",K291=""),"",IF(OR(L291="Sent",L291="Picked up"),"Done",IF(L291="Cancelled","Cancelled",IF(K291&lt;TODAY(),"Late by "&amp;(TODAY()-K291)&amp;IF((TODAY()-K291)=1," day"," days"),IF(K291=TODAY(),"Due today","Due in "&amp;(K291-TODAY())&amp;IF((K291-TODAY())=1," day"," days"))))))</f>
        <v/>
      </c>
      <c r="S291" s="33" t="n"/>
      <c r="T291" s="1">
        <f>IF(AND(B291&lt;&gt;"",K291&lt;&gt;"",L291&lt;&gt;"Sent",L291&lt;&gt;"Picked up",L291&lt;&gt;"Cancelled"),K291+ROW()/10000000,"")</f>
        <v/>
      </c>
      <c r="U291">
        <f>IF(OR(B291="",C291=""),"",B291+ROW()/10000000)</f>
        <v/>
      </c>
      <c r="V291">
        <f>IF(U291="","",IF(COUNTIFS(Orders!$C$6:$C$1005,C291,Orders!$U$6:$U$1005,"&gt;"&amp;U291)=0,1,0))</f>
        <v/>
      </c>
      <c r="W291">
        <f>IF(AND(B291&lt;&gt;"",K291&lt;&gt;"",L291&lt;&gt;"Sent",L291&lt;&gt;"Picked up",L291&lt;&gt;"Cancelled"),IF(N(E291)=0,1,E291),0)</f>
        <v/>
      </c>
      <c r="X291">
        <f>IF(OR(B291="",D291=""),"",IF(N(E291)=0,1,E291))</f>
        <v/>
      </c>
    </row>
    <row r="292">
      <c r="A292" s="1" t="n"/>
      <c r="B292" s="31" t="n"/>
      <c r="C292" s="32" t="n"/>
      <c r="D292" s="33" t="n"/>
      <c r="E292" s="34" t="n"/>
      <c r="F292" s="35" t="n"/>
      <c r="G292" s="35" t="n"/>
      <c r="H292" s="30">
        <f>IF(OR(B292="",D292=""),"",IF(N(E292)=0,1,E292)*IFERROR(INDEX(Products!$C$6:$C$105,MATCH(D292,Products!$B$6:$B$105,0)),0)+N(F292)+N(G292))</f>
        <v/>
      </c>
      <c r="I292" s="35" t="n"/>
      <c r="J292" s="30">
        <f>IF(OR(H292="",L292="Cancelled"),"",IF(H292-N(I292)&gt;0.005,H292-N(I292),""))</f>
        <v/>
      </c>
      <c r="K292" s="31" t="n"/>
      <c r="L292" s="36" t="n"/>
      <c r="M292" s="33" t="n"/>
      <c r="N292" s="22">
        <f>IF(OR(H292="",L292="Cancelled"),"",IF(N(E292)=0,1,E292)*IFERROR(INDEX(Products!$E$6:$E$105,MATCH(D292,Products!$B$6:$B$105,0)),0))</f>
        <v/>
      </c>
      <c r="O292" s="35" t="n"/>
      <c r="P292" s="22">
        <f>IF(OR(H292="",L292="Cancelled"),"",ROUND(IFERROR(H292*INDEX(Settings!$C$6:$C$15,MATCH(M292,Settings!$B$6:$B$15,0))+INDEX(Settings!$D$6:$D$15,MATCH(M292,Settings!$B$6:$B$15,0)),0),2))</f>
        <v/>
      </c>
      <c r="Q292" s="28">
        <f>IF(OR(H292="",L292="Cancelled"),"",H292-N(N292)-N(O292)-N(P292))</f>
        <v/>
      </c>
      <c r="R292" s="19">
        <f>IF(OR(B292="",K292=""),"",IF(OR(L292="Sent",L292="Picked up"),"Done",IF(L292="Cancelled","Cancelled",IF(K292&lt;TODAY(),"Late by "&amp;(TODAY()-K292)&amp;IF((TODAY()-K292)=1," day"," days"),IF(K292=TODAY(),"Due today","Due in "&amp;(K292-TODAY())&amp;IF((K292-TODAY())=1," day"," days"))))))</f>
        <v/>
      </c>
      <c r="S292" s="33" t="n"/>
      <c r="T292" s="1">
        <f>IF(AND(B292&lt;&gt;"",K292&lt;&gt;"",L292&lt;&gt;"Sent",L292&lt;&gt;"Picked up",L292&lt;&gt;"Cancelled"),K292+ROW()/10000000,"")</f>
        <v/>
      </c>
      <c r="U292">
        <f>IF(OR(B292="",C292=""),"",B292+ROW()/10000000)</f>
        <v/>
      </c>
      <c r="V292">
        <f>IF(U292="","",IF(COUNTIFS(Orders!$C$6:$C$1005,C292,Orders!$U$6:$U$1005,"&gt;"&amp;U292)=0,1,0))</f>
        <v/>
      </c>
      <c r="W292">
        <f>IF(AND(B292&lt;&gt;"",K292&lt;&gt;"",L292&lt;&gt;"Sent",L292&lt;&gt;"Picked up",L292&lt;&gt;"Cancelled"),IF(N(E292)=0,1,E292),0)</f>
        <v/>
      </c>
      <c r="X292">
        <f>IF(OR(B292="",D292=""),"",IF(N(E292)=0,1,E292))</f>
        <v/>
      </c>
    </row>
    <row r="293">
      <c r="A293" s="1" t="n"/>
      <c r="B293" s="31" t="n"/>
      <c r="C293" s="32" t="n"/>
      <c r="D293" s="33" t="n"/>
      <c r="E293" s="34" t="n"/>
      <c r="F293" s="35" t="n"/>
      <c r="G293" s="35" t="n"/>
      <c r="H293" s="30">
        <f>IF(OR(B293="",D293=""),"",IF(N(E293)=0,1,E293)*IFERROR(INDEX(Products!$C$6:$C$105,MATCH(D293,Products!$B$6:$B$105,0)),0)+N(F293)+N(G293))</f>
        <v/>
      </c>
      <c r="I293" s="35" t="n"/>
      <c r="J293" s="30">
        <f>IF(OR(H293="",L293="Cancelled"),"",IF(H293-N(I293)&gt;0.005,H293-N(I293),""))</f>
        <v/>
      </c>
      <c r="K293" s="31" t="n"/>
      <c r="L293" s="36" t="n"/>
      <c r="M293" s="33" t="n"/>
      <c r="N293" s="22">
        <f>IF(OR(H293="",L293="Cancelled"),"",IF(N(E293)=0,1,E293)*IFERROR(INDEX(Products!$E$6:$E$105,MATCH(D293,Products!$B$6:$B$105,0)),0))</f>
        <v/>
      </c>
      <c r="O293" s="35" t="n"/>
      <c r="P293" s="22">
        <f>IF(OR(H293="",L293="Cancelled"),"",ROUND(IFERROR(H293*INDEX(Settings!$C$6:$C$15,MATCH(M293,Settings!$B$6:$B$15,0))+INDEX(Settings!$D$6:$D$15,MATCH(M293,Settings!$B$6:$B$15,0)),0),2))</f>
        <v/>
      </c>
      <c r="Q293" s="28">
        <f>IF(OR(H293="",L293="Cancelled"),"",H293-N(N293)-N(O293)-N(P293))</f>
        <v/>
      </c>
      <c r="R293" s="19">
        <f>IF(OR(B293="",K293=""),"",IF(OR(L293="Sent",L293="Picked up"),"Done",IF(L293="Cancelled","Cancelled",IF(K293&lt;TODAY(),"Late by "&amp;(TODAY()-K293)&amp;IF((TODAY()-K293)=1," day"," days"),IF(K293=TODAY(),"Due today","Due in "&amp;(K293-TODAY())&amp;IF((K293-TODAY())=1," day"," days"))))))</f>
        <v/>
      </c>
      <c r="S293" s="33" t="n"/>
      <c r="T293" s="1">
        <f>IF(AND(B293&lt;&gt;"",K293&lt;&gt;"",L293&lt;&gt;"Sent",L293&lt;&gt;"Picked up",L293&lt;&gt;"Cancelled"),K293+ROW()/10000000,"")</f>
        <v/>
      </c>
      <c r="U293">
        <f>IF(OR(B293="",C293=""),"",B293+ROW()/10000000)</f>
        <v/>
      </c>
      <c r="V293">
        <f>IF(U293="","",IF(COUNTIFS(Orders!$C$6:$C$1005,C293,Orders!$U$6:$U$1005,"&gt;"&amp;U293)=0,1,0))</f>
        <v/>
      </c>
      <c r="W293">
        <f>IF(AND(B293&lt;&gt;"",K293&lt;&gt;"",L293&lt;&gt;"Sent",L293&lt;&gt;"Picked up",L293&lt;&gt;"Cancelled"),IF(N(E293)=0,1,E293),0)</f>
        <v/>
      </c>
      <c r="X293">
        <f>IF(OR(B293="",D293=""),"",IF(N(E293)=0,1,E293))</f>
        <v/>
      </c>
    </row>
    <row r="294">
      <c r="A294" s="1" t="n"/>
      <c r="B294" s="31" t="n"/>
      <c r="C294" s="32" t="n"/>
      <c r="D294" s="33" t="n"/>
      <c r="E294" s="34" t="n"/>
      <c r="F294" s="35" t="n"/>
      <c r="G294" s="35" t="n"/>
      <c r="H294" s="30">
        <f>IF(OR(B294="",D294=""),"",IF(N(E294)=0,1,E294)*IFERROR(INDEX(Products!$C$6:$C$105,MATCH(D294,Products!$B$6:$B$105,0)),0)+N(F294)+N(G294))</f>
        <v/>
      </c>
      <c r="I294" s="35" t="n"/>
      <c r="J294" s="30">
        <f>IF(OR(H294="",L294="Cancelled"),"",IF(H294-N(I294)&gt;0.005,H294-N(I294),""))</f>
        <v/>
      </c>
      <c r="K294" s="31" t="n"/>
      <c r="L294" s="36" t="n"/>
      <c r="M294" s="33" t="n"/>
      <c r="N294" s="22">
        <f>IF(OR(H294="",L294="Cancelled"),"",IF(N(E294)=0,1,E294)*IFERROR(INDEX(Products!$E$6:$E$105,MATCH(D294,Products!$B$6:$B$105,0)),0))</f>
        <v/>
      </c>
      <c r="O294" s="35" t="n"/>
      <c r="P294" s="22">
        <f>IF(OR(H294="",L294="Cancelled"),"",ROUND(IFERROR(H294*INDEX(Settings!$C$6:$C$15,MATCH(M294,Settings!$B$6:$B$15,0))+INDEX(Settings!$D$6:$D$15,MATCH(M294,Settings!$B$6:$B$15,0)),0),2))</f>
        <v/>
      </c>
      <c r="Q294" s="28">
        <f>IF(OR(H294="",L294="Cancelled"),"",H294-N(N294)-N(O294)-N(P294))</f>
        <v/>
      </c>
      <c r="R294" s="19">
        <f>IF(OR(B294="",K294=""),"",IF(OR(L294="Sent",L294="Picked up"),"Done",IF(L294="Cancelled","Cancelled",IF(K294&lt;TODAY(),"Late by "&amp;(TODAY()-K294)&amp;IF((TODAY()-K294)=1," day"," days"),IF(K294=TODAY(),"Due today","Due in "&amp;(K294-TODAY())&amp;IF((K294-TODAY())=1," day"," days"))))))</f>
        <v/>
      </c>
      <c r="S294" s="33" t="n"/>
      <c r="T294" s="1">
        <f>IF(AND(B294&lt;&gt;"",K294&lt;&gt;"",L294&lt;&gt;"Sent",L294&lt;&gt;"Picked up",L294&lt;&gt;"Cancelled"),K294+ROW()/10000000,"")</f>
        <v/>
      </c>
      <c r="U294">
        <f>IF(OR(B294="",C294=""),"",B294+ROW()/10000000)</f>
        <v/>
      </c>
      <c r="V294">
        <f>IF(U294="","",IF(COUNTIFS(Orders!$C$6:$C$1005,C294,Orders!$U$6:$U$1005,"&gt;"&amp;U294)=0,1,0))</f>
        <v/>
      </c>
      <c r="W294">
        <f>IF(AND(B294&lt;&gt;"",K294&lt;&gt;"",L294&lt;&gt;"Sent",L294&lt;&gt;"Picked up",L294&lt;&gt;"Cancelled"),IF(N(E294)=0,1,E294),0)</f>
        <v/>
      </c>
      <c r="X294">
        <f>IF(OR(B294="",D294=""),"",IF(N(E294)=0,1,E294))</f>
        <v/>
      </c>
    </row>
    <row r="295">
      <c r="A295" s="1" t="n"/>
      <c r="B295" s="31" t="n"/>
      <c r="C295" s="32" t="n"/>
      <c r="D295" s="33" t="n"/>
      <c r="E295" s="34" t="n"/>
      <c r="F295" s="35" t="n"/>
      <c r="G295" s="35" t="n"/>
      <c r="H295" s="30">
        <f>IF(OR(B295="",D295=""),"",IF(N(E295)=0,1,E295)*IFERROR(INDEX(Products!$C$6:$C$105,MATCH(D295,Products!$B$6:$B$105,0)),0)+N(F295)+N(G295))</f>
        <v/>
      </c>
      <c r="I295" s="35" t="n"/>
      <c r="J295" s="30">
        <f>IF(OR(H295="",L295="Cancelled"),"",IF(H295-N(I295)&gt;0.005,H295-N(I295),""))</f>
        <v/>
      </c>
      <c r="K295" s="31" t="n"/>
      <c r="L295" s="36" t="n"/>
      <c r="M295" s="33" t="n"/>
      <c r="N295" s="22">
        <f>IF(OR(H295="",L295="Cancelled"),"",IF(N(E295)=0,1,E295)*IFERROR(INDEX(Products!$E$6:$E$105,MATCH(D295,Products!$B$6:$B$105,0)),0))</f>
        <v/>
      </c>
      <c r="O295" s="35" t="n"/>
      <c r="P295" s="22">
        <f>IF(OR(H295="",L295="Cancelled"),"",ROUND(IFERROR(H295*INDEX(Settings!$C$6:$C$15,MATCH(M295,Settings!$B$6:$B$15,0))+INDEX(Settings!$D$6:$D$15,MATCH(M295,Settings!$B$6:$B$15,0)),0),2))</f>
        <v/>
      </c>
      <c r="Q295" s="28">
        <f>IF(OR(H295="",L295="Cancelled"),"",H295-N(N295)-N(O295)-N(P295))</f>
        <v/>
      </c>
      <c r="R295" s="19">
        <f>IF(OR(B295="",K295=""),"",IF(OR(L295="Sent",L295="Picked up"),"Done",IF(L295="Cancelled","Cancelled",IF(K295&lt;TODAY(),"Late by "&amp;(TODAY()-K295)&amp;IF((TODAY()-K295)=1," day"," days"),IF(K295=TODAY(),"Due today","Due in "&amp;(K295-TODAY())&amp;IF((K295-TODAY())=1," day"," days"))))))</f>
        <v/>
      </c>
      <c r="S295" s="33" t="n"/>
      <c r="T295" s="1">
        <f>IF(AND(B295&lt;&gt;"",K295&lt;&gt;"",L295&lt;&gt;"Sent",L295&lt;&gt;"Picked up",L295&lt;&gt;"Cancelled"),K295+ROW()/10000000,"")</f>
        <v/>
      </c>
      <c r="U295">
        <f>IF(OR(B295="",C295=""),"",B295+ROW()/10000000)</f>
        <v/>
      </c>
      <c r="V295">
        <f>IF(U295="","",IF(COUNTIFS(Orders!$C$6:$C$1005,C295,Orders!$U$6:$U$1005,"&gt;"&amp;U295)=0,1,0))</f>
        <v/>
      </c>
      <c r="W295">
        <f>IF(AND(B295&lt;&gt;"",K295&lt;&gt;"",L295&lt;&gt;"Sent",L295&lt;&gt;"Picked up",L295&lt;&gt;"Cancelled"),IF(N(E295)=0,1,E295),0)</f>
        <v/>
      </c>
      <c r="X295">
        <f>IF(OR(B295="",D295=""),"",IF(N(E295)=0,1,E295))</f>
        <v/>
      </c>
    </row>
    <row r="296">
      <c r="A296" s="1" t="n"/>
      <c r="B296" s="31" t="n"/>
      <c r="C296" s="32" t="n"/>
      <c r="D296" s="33" t="n"/>
      <c r="E296" s="34" t="n"/>
      <c r="F296" s="35" t="n"/>
      <c r="G296" s="35" t="n"/>
      <c r="H296" s="30">
        <f>IF(OR(B296="",D296=""),"",IF(N(E296)=0,1,E296)*IFERROR(INDEX(Products!$C$6:$C$105,MATCH(D296,Products!$B$6:$B$105,0)),0)+N(F296)+N(G296))</f>
        <v/>
      </c>
      <c r="I296" s="35" t="n"/>
      <c r="J296" s="30">
        <f>IF(OR(H296="",L296="Cancelled"),"",IF(H296-N(I296)&gt;0.005,H296-N(I296),""))</f>
        <v/>
      </c>
      <c r="K296" s="31" t="n"/>
      <c r="L296" s="36" t="n"/>
      <c r="M296" s="33" t="n"/>
      <c r="N296" s="22">
        <f>IF(OR(H296="",L296="Cancelled"),"",IF(N(E296)=0,1,E296)*IFERROR(INDEX(Products!$E$6:$E$105,MATCH(D296,Products!$B$6:$B$105,0)),0))</f>
        <v/>
      </c>
      <c r="O296" s="35" t="n"/>
      <c r="P296" s="22">
        <f>IF(OR(H296="",L296="Cancelled"),"",ROUND(IFERROR(H296*INDEX(Settings!$C$6:$C$15,MATCH(M296,Settings!$B$6:$B$15,0))+INDEX(Settings!$D$6:$D$15,MATCH(M296,Settings!$B$6:$B$15,0)),0),2))</f>
        <v/>
      </c>
      <c r="Q296" s="28">
        <f>IF(OR(H296="",L296="Cancelled"),"",H296-N(N296)-N(O296)-N(P296))</f>
        <v/>
      </c>
      <c r="R296" s="19">
        <f>IF(OR(B296="",K296=""),"",IF(OR(L296="Sent",L296="Picked up"),"Done",IF(L296="Cancelled","Cancelled",IF(K296&lt;TODAY(),"Late by "&amp;(TODAY()-K296)&amp;IF((TODAY()-K296)=1," day"," days"),IF(K296=TODAY(),"Due today","Due in "&amp;(K296-TODAY())&amp;IF((K296-TODAY())=1," day"," days"))))))</f>
        <v/>
      </c>
      <c r="S296" s="33" t="n"/>
      <c r="T296" s="1">
        <f>IF(AND(B296&lt;&gt;"",K296&lt;&gt;"",L296&lt;&gt;"Sent",L296&lt;&gt;"Picked up",L296&lt;&gt;"Cancelled"),K296+ROW()/10000000,"")</f>
        <v/>
      </c>
      <c r="U296">
        <f>IF(OR(B296="",C296=""),"",B296+ROW()/10000000)</f>
        <v/>
      </c>
      <c r="V296">
        <f>IF(U296="","",IF(COUNTIFS(Orders!$C$6:$C$1005,C296,Orders!$U$6:$U$1005,"&gt;"&amp;U296)=0,1,0))</f>
        <v/>
      </c>
      <c r="W296">
        <f>IF(AND(B296&lt;&gt;"",K296&lt;&gt;"",L296&lt;&gt;"Sent",L296&lt;&gt;"Picked up",L296&lt;&gt;"Cancelled"),IF(N(E296)=0,1,E296),0)</f>
        <v/>
      </c>
      <c r="X296">
        <f>IF(OR(B296="",D296=""),"",IF(N(E296)=0,1,E296))</f>
        <v/>
      </c>
    </row>
    <row r="297">
      <c r="A297" s="1" t="n"/>
      <c r="B297" s="31" t="n"/>
      <c r="C297" s="32" t="n"/>
      <c r="D297" s="33" t="n"/>
      <c r="E297" s="34" t="n"/>
      <c r="F297" s="35" t="n"/>
      <c r="G297" s="35" t="n"/>
      <c r="H297" s="30">
        <f>IF(OR(B297="",D297=""),"",IF(N(E297)=0,1,E297)*IFERROR(INDEX(Products!$C$6:$C$105,MATCH(D297,Products!$B$6:$B$105,0)),0)+N(F297)+N(G297))</f>
        <v/>
      </c>
      <c r="I297" s="35" t="n"/>
      <c r="J297" s="30">
        <f>IF(OR(H297="",L297="Cancelled"),"",IF(H297-N(I297)&gt;0.005,H297-N(I297),""))</f>
        <v/>
      </c>
      <c r="K297" s="31" t="n"/>
      <c r="L297" s="36" t="n"/>
      <c r="M297" s="33" t="n"/>
      <c r="N297" s="22">
        <f>IF(OR(H297="",L297="Cancelled"),"",IF(N(E297)=0,1,E297)*IFERROR(INDEX(Products!$E$6:$E$105,MATCH(D297,Products!$B$6:$B$105,0)),0))</f>
        <v/>
      </c>
      <c r="O297" s="35" t="n"/>
      <c r="P297" s="22">
        <f>IF(OR(H297="",L297="Cancelled"),"",ROUND(IFERROR(H297*INDEX(Settings!$C$6:$C$15,MATCH(M297,Settings!$B$6:$B$15,0))+INDEX(Settings!$D$6:$D$15,MATCH(M297,Settings!$B$6:$B$15,0)),0),2))</f>
        <v/>
      </c>
      <c r="Q297" s="28">
        <f>IF(OR(H297="",L297="Cancelled"),"",H297-N(N297)-N(O297)-N(P297))</f>
        <v/>
      </c>
      <c r="R297" s="19">
        <f>IF(OR(B297="",K297=""),"",IF(OR(L297="Sent",L297="Picked up"),"Done",IF(L297="Cancelled","Cancelled",IF(K297&lt;TODAY(),"Late by "&amp;(TODAY()-K297)&amp;IF((TODAY()-K297)=1," day"," days"),IF(K297=TODAY(),"Due today","Due in "&amp;(K297-TODAY())&amp;IF((K297-TODAY())=1," day"," days"))))))</f>
        <v/>
      </c>
      <c r="S297" s="33" t="n"/>
      <c r="T297" s="1">
        <f>IF(AND(B297&lt;&gt;"",K297&lt;&gt;"",L297&lt;&gt;"Sent",L297&lt;&gt;"Picked up",L297&lt;&gt;"Cancelled"),K297+ROW()/10000000,"")</f>
        <v/>
      </c>
      <c r="U297">
        <f>IF(OR(B297="",C297=""),"",B297+ROW()/10000000)</f>
        <v/>
      </c>
      <c r="V297">
        <f>IF(U297="","",IF(COUNTIFS(Orders!$C$6:$C$1005,C297,Orders!$U$6:$U$1005,"&gt;"&amp;U297)=0,1,0))</f>
        <v/>
      </c>
      <c r="W297">
        <f>IF(AND(B297&lt;&gt;"",K297&lt;&gt;"",L297&lt;&gt;"Sent",L297&lt;&gt;"Picked up",L297&lt;&gt;"Cancelled"),IF(N(E297)=0,1,E297),0)</f>
        <v/>
      </c>
      <c r="X297">
        <f>IF(OR(B297="",D297=""),"",IF(N(E297)=0,1,E297))</f>
        <v/>
      </c>
    </row>
    <row r="298">
      <c r="A298" s="1" t="n"/>
      <c r="B298" s="31" t="n"/>
      <c r="C298" s="32" t="n"/>
      <c r="D298" s="33" t="n"/>
      <c r="E298" s="34" t="n"/>
      <c r="F298" s="35" t="n"/>
      <c r="G298" s="35" t="n"/>
      <c r="H298" s="30">
        <f>IF(OR(B298="",D298=""),"",IF(N(E298)=0,1,E298)*IFERROR(INDEX(Products!$C$6:$C$105,MATCH(D298,Products!$B$6:$B$105,0)),0)+N(F298)+N(G298))</f>
        <v/>
      </c>
      <c r="I298" s="35" t="n"/>
      <c r="J298" s="30">
        <f>IF(OR(H298="",L298="Cancelled"),"",IF(H298-N(I298)&gt;0.005,H298-N(I298),""))</f>
        <v/>
      </c>
      <c r="K298" s="31" t="n"/>
      <c r="L298" s="36" t="n"/>
      <c r="M298" s="33" t="n"/>
      <c r="N298" s="22">
        <f>IF(OR(H298="",L298="Cancelled"),"",IF(N(E298)=0,1,E298)*IFERROR(INDEX(Products!$E$6:$E$105,MATCH(D298,Products!$B$6:$B$105,0)),0))</f>
        <v/>
      </c>
      <c r="O298" s="35" t="n"/>
      <c r="P298" s="22">
        <f>IF(OR(H298="",L298="Cancelled"),"",ROUND(IFERROR(H298*INDEX(Settings!$C$6:$C$15,MATCH(M298,Settings!$B$6:$B$15,0))+INDEX(Settings!$D$6:$D$15,MATCH(M298,Settings!$B$6:$B$15,0)),0),2))</f>
        <v/>
      </c>
      <c r="Q298" s="28">
        <f>IF(OR(H298="",L298="Cancelled"),"",H298-N(N298)-N(O298)-N(P298))</f>
        <v/>
      </c>
      <c r="R298" s="19">
        <f>IF(OR(B298="",K298=""),"",IF(OR(L298="Sent",L298="Picked up"),"Done",IF(L298="Cancelled","Cancelled",IF(K298&lt;TODAY(),"Late by "&amp;(TODAY()-K298)&amp;IF((TODAY()-K298)=1," day"," days"),IF(K298=TODAY(),"Due today","Due in "&amp;(K298-TODAY())&amp;IF((K298-TODAY())=1," day"," days"))))))</f>
        <v/>
      </c>
      <c r="S298" s="33" t="n"/>
      <c r="T298" s="1">
        <f>IF(AND(B298&lt;&gt;"",K298&lt;&gt;"",L298&lt;&gt;"Sent",L298&lt;&gt;"Picked up",L298&lt;&gt;"Cancelled"),K298+ROW()/10000000,"")</f>
        <v/>
      </c>
      <c r="U298">
        <f>IF(OR(B298="",C298=""),"",B298+ROW()/10000000)</f>
        <v/>
      </c>
      <c r="V298">
        <f>IF(U298="","",IF(COUNTIFS(Orders!$C$6:$C$1005,C298,Orders!$U$6:$U$1005,"&gt;"&amp;U298)=0,1,0))</f>
        <v/>
      </c>
      <c r="W298">
        <f>IF(AND(B298&lt;&gt;"",K298&lt;&gt;"",L298&lt;&gt;"Sent",L298&lt;&gt;"Picked up",L298&lt;&gt;"Cancelled"),IF(N(E298)=0,1,E298),0)</f>
        <v/>
      </c>
      <c r="X298">
        <f>IF(OR(B298="",D298=""),"",IF(N(E298)=0,1,E298))</f>
        <v/>
      </c>
    </row>
    <row r="299">
      <c r="A299" s="1" t="n"/>
      <c r="B299" s="31" t="n"/>
      <c r="C299" s="32" t="n"/>
      <c r="D299" s="33" t="n"/>
      <c r="E299" s="34" t="n"/>
      <c r="F299" s="35" t="n"/>
      <c r="G299" s="35" t="n"/>
      <c r="H299" s="30">
        <f>IF(OR(B299="",D299=""),"",IF(N(E299)=0,1,E299)*IFERROR(INDEX(Products!$C$6:$C$105,MATCH(D299,Products!$B$6:$B$105,0)),0)+N(F299)+N(G299))</f>
        <v/>
      </c>
      <c r="I299" s="35" t="n"/>
      <c r="J299" s="30">
        <f>IF(OR(H299="",L299="Cancelled"),"",IF(H299-N(I299)&gt;0.005,H299-N(I299),""))</f>
        <v/>
      </c>
      <c r="K299" s="31" t="n"/>
      <c r="L299" s="36" t="n"/>
      <c r="M299" s="33" t="n"/>
      <c r="N299" s="22">
        <f>IF(OR(H299="",L299="Cancelled"),"",IF(N(E299)=0,1,E299)*IFERROR(INDEX(Products!$E$6:$E$105,MATCH(D299,Products!$B$6:$B$105,0)),0))</f>
        <v/>
      </c>
      <c r="O299" s="35" t="n"/>
      <c r="P299" s="22">
        <f>IF(OR(H299="",L299="Cancelled"),"",ROUND(IFERROR(H299*INDEX(Settings!$C$6:$C$15,MATCH(M299,Settings!$B$6:$B$15,0))+INDEX(Settings!$D$6:$D$15,MATCH(M299,Settings!$B$6:$B$15,0)),0),2))</f>
        <v/>
      </c>
      <c r="Q299" s="28">
        <f>IF(OR(H299="",L299="Cancelled"),"",H299-N(N299)-N(O299)-N(P299))</f>
        <v/>
      </c>
      <c r="R299" s="19">
        <f>IF(OR(B299="",K299=""),"",IF(OR(L299="Sent",L299="Picked up"),"Done",IF(L299="Cancelled","Cancelled",IF(K299&lt;TODAY(),"Late by "&amp;(TODAY()-K299)&amp;IF((TODAY()-K299)=1," day"," days"),IF(K299=TODAY(),"Due today","Due in "&amp;(K299-TODAY())&amp;IF((K299-TODAY())=1," day"," days"))))))</f>
        <v/>
      </c>
      <c r="S299" s="33" t="n"/>
      <c r="T299" s="1">
        <f>IF(AND(B299&lt;&gt;"",K299&lt;&gt;"",L299&lt;&gt;"Sent",L299&lt;&gt;"Picked up",L299&lt;&gt;"Cancelled"),K299+ROW()/10000000,"")</f>
        <v/>
      </c>
      <c r="U299">
        <f>IF(OR(B299="",C299=""),"",B299+ROW()/10000000)</f>
        <v/>
      </c>
      <c r="V299">
        <f>IF(U299="","",IF(COUNTIFS(Orders!$C$6:$C$1005,C299,Orders!$U$6:$U$1005,"&gt;"&amp;U299)=0,1,0))</f>
        <v/>
      </c>
      <c r="W299">
        <f>IF(AND(B299&lt;&gt;"",K299&lt;&gt;"",L299&lt;&gt;"Sent",L299&lt;&gt;"Picked up",L299&lt;&gt;"Cancelled"),IF(N(E299)=0,1,E299),0)</f>
        <v/>
      </c>
      <c r="X299">
        <f>IF(OR(B299="",D299=""),"",IF(N(E299)=0,1,E299))</f>
        <v/>
      </c>
    </row>
    <row r="300">
      <c r="A300" s="1" t="n"/>
      <c r="B300" s="31" t="n"/>
      <c r="C300" s="32" t="n"/>
      <c r="D300" s="33" t="n"/>
      <c r="E300" s="34" t="n"/>
      <c r="F300" s="35" t="n"/>
      <c r="G300" s="35" t="n"/>
      <c r="H300" s="30">
        <f>IF(OR(B300="",D300=""),"",IF(N(E300)=0,1,E300)*IFERROR(INDEX(Products!$C$6:$C$105,MATCH(D300,Products!$B$6:$B$105,0)),0)+N(F300)+N(G300))</f>
        <v/>
      </c>
      <c r="I300" s="35" t="n"/>
      <c r="J300" s="30">
        <f>IF(OR(H300="",L300="Cancelled"),"",IF(H300-N(I300)&gt;0.005,H300-N(I300),""))</f>
        <v/>
      </c>
      <c r="K300" s="31" t="n"/>
      <c r="L300" s="36" t="n"/>
      <c r="M300" s="33" t="n"/>
      <c r="N300" s="22">
        <f>IF(OR(H300="",L300="Cancelled"),"",IF(N(E300)=0,1,E300)*IFERROR(INDEX(Products!$E$6:$E$105,MATCH(D300,Products!$B$6:$B$105,0)),0))</f>
        <v/>
      </c>
      <c r="O300" s="35" t="n"/>
      <c r="P300" s="22">
        <f>IF(OR(H300="",L300="Cancelled"),"",ROUND(IFERROR(H300*INDEX(Settings!$C$6:$C$15,MATCH(M300,Settings!$B$6:$B$15,0))+INDEX(Settings!$D$6:$D$15,MATCH(M300,Settings!$B$6:$B$15,0)),0),2))</f>
        <v/>
      </c>
      <c r="Q300" s="28">
        <f>IF(OR(H300="",L300="Cancelled"),"",H300-N(N300)-N(O300)-N(P300))</f>
        <v/>
      </c>
      <c r="R300" s="19">
        <f>IF(OR(B300="",K300=""),"",IF(OR(L300="Sent",L300="Picked up"),"Done",IF(L300="Cancelled","Cancelled",IF(K300&lt;TODAY(),"Late by "&amp;(TODAY()-K300)&amp;IF((TODAY()-K300)=1," day"," days"),IF(K300=TODAY(),"Due today","Due in "&amp;(K300-TODAY())&amp;IF((K300-TODAY())=1," day"," days"))))))</f>
        <v/>
      </c>
      <c r="S300" s="33" t="n"/>
      <c r="T300" s="1">
        <f>IF(AND(B300&lt;&gt;"",K300&lt;&gt;"",L300&lt;&gt;"Sent",L300&lt;&gt;"Picked up",L300&lt;&gt;"Cancelled"),K300+ROW()/10000000,"")</f>
        <v/>
      </c>
      <c r="U300">
        <f>IF(OR(B300="",C300=""),"",B300+ROW()/10000000)</f>
        <v/>
      </c>
      <c r="V300">
        <f>IF(U300="","",IF(COUNTIFS(Orders!$C$6:$C$1005,C300,Orders!$U$6:$U$1005,"&gt;"&amp;U300)=0,1,0))</f>
        <v/>
      </c>
      <c r="W300">
        <f>IF(AND(B300&lt;&gt;"",K300&lt;&gt;"",L300&lt;&gt;"Sent",L300&lt;&gt;"Picked up",L300&lt;&gt;"Cancelled"),IF(N(E300)=0,1,E300),0)</f>
        <v/>
      </c>
      <c r="X300">
        <f>IF(OR(B300="",D300=""),"",IF(N(E300)=0,1,E300))</f>
        <v/>
      </c>
    </row>
    <row r="301">
      <c r="A301" s="1" t="n"/>
      <c r="B301" s="31" t="n"/>
      <c r="C301" s="32" t="n"/>
      <c r="D301" s="33" t="n"/>
      <c r="E301" s="34" t="n"/>
      <c r="F301" s="35" t="n"/>
      <c r="G301" s="35" t="n"/>
      <c r="H301" s="30">
        <f>IF(OR(B301="",D301=""),"",IF(N(E301)=0,1,E301)*IFERROR(INDEX(Products!$C$6:$C$105,MATCH(D301,Products!$B$6:$B$105,0)),0)+N(F301)+N(G301))</f>
        <v/>
      </c>
      <c r="I301" s="35" t="n"/>
      <c r="J301" s="30">
        <f>IF(OR(H301="",L301="Cancelled"),"",IF(H301-N(I301)&gt;0.005,H301-N(I301),""))</f>
        <v/>
      </c>
      <c r="K301" s="31" t="n"/>
      <c r="L301" s="36" t="n"/>
      <c r="M301" s="33" t="n"/>
      <c r="N301" s="22">
        <f>IF(OR(H301="",L301="Cancelled"),"",IF(N(E301)=0,1,E301)*IFERROR(INDEX(Products!$E$6:$E$105,MATCH(D301,Products!$B$6:$B$105,0)),0))</f>
        <v/>
      </c>
      <c r="O301" s="35" t="n"/>
      <c r="P301" s="22">
        <f>IF(OR(H301="",L301="Cancelled"),"",ROUND(IFERROR(H301*INDEX(Settings!$C$6:$C$15,MATCH(M301,Settings!$B$6:$B$15,0))+INDEX(Settings!$D$6:$D$15,MATCH(M301,Settings!$B$6:$B$15,0)),0),2))</f>
        <v/>
      </c>
      <c r="Q301" s="28">
        <f>IF(OR(H301="",L301="Cancelled"),"",H301-N(N301)-N(O301)-N(P301))</f>
        <v/>
      </c>
      <c r="R301" s="19">
        <f>IF(OR(B301="",K301=""),"",IF(OR(L301="Sent",L301="Picked up"),"Done",IF(L301="Cancelled","Cancelled",IF(K301&lt;TODAY(),"Late by "&amp;(TODAY()-K301)&amp;IF((TODAY()-K301)=1," day"," days"),IF(K301=TODAY(),"Due today","Due in "&amp;(K301-TODAY())&amp;IF((K301-TODAY())=1," day"," days"))))))</f>
        <v/>
      </c>
      <c r="S301" s="33" t="n"/>
      <c r="T301" s="1">
        <f>IF(AND(B301&lt;&gt;"",K301&lt;&gt;"",L301&lt;&gt;"Sent",L301&lt;&gt;"Picked up",L301&lt;&gt;"Cancelled"),K301+ROW()/10000000,"")</f>
        <v/>
      </c>
      <c r="U301">
        <f>IF(OR(B301="",C301=""),"",B301+ROW()/10000000)</f>
        <v/>
      </c>
      <c r="V301">
        <f>IF(U301="","",IF(COUNTIFS(Orders!$C$6:$C$1005,C301,Orders!$U$6:$U$1005,"&gt;"&amp;U301)=0,1,0))</f>
        <v/>
      </c>
      <c r="W301">
        <f>IF(AND(B301&lt;&gt;"",K301&lt;&gt;"",L301&lt;&gt;"Sent",L301&lt;&gt;"Picked up",L301&lt;&gt;"Cancelled"),IF(N(E301)=0,1,E301),0)</f>
        <v/>
      </c>
      <c r="X301">
        <f>IF(OR(B301="",D301=""),"",IF(N(E301)=0,1,E301))</f>
        <v/>
      </c>
    </row>
    <row r="302">
      <c r="A302" s="1" t="n"/>
      <c r="B302" s="31" t="n"/>
      <c r="C302" s="32" t="n"/>
      <c r="D302" s="33" t="n"/>
      <c r="E302" s="34" t="n"/>
      <c r="F302" s="35" t="n"/>
      <c r="G302" s="35" t="n"/>
      <c r="H302" s="30">
        <f>IF(OR(B302="",D302=""),"",IF(N(E302)=0,1,E302)*IFERROR(INDEX(Products!$C$6:$C$105,MATCH(D302,Products!$B$6:$B$105,0)),0)+N(F302)+N(G302))</f>
        <v/>
      </c>
      <c r="I302" s="35" t="n"/>
      <c r="J302" s="30">
        <f>IF(OR(H302="",L302="Cancelled"),"",IF(H302-N(I302)&gt;0.005,H302-N(I302),""))</f>
        <v/>
      </c>
      <c r="K302" s="31" t="n"/>
      <c r="L302" s="36" t="n"/>
      <c r="M302" s="33" t="n"/>
      <c r="N302" s="22">
        <f>IF(OR(H302="",L302="Cancelled"),"",IF(N(E302)=0,1,E302)*IFERROR(INDEX(Products!$E$6:$E$105,MATCH(D302,Products!$B$6:$B$105,0)),0))</f>
        <v/>
      </c>
      <c r="O302" s="35" t="n"/>
      <c r="P302" s="22">
        <f>IF(OR(H302="",L302="Cancelled"),"",ROUND(IFERROR(H302*INDEX(Settings!$C$6:$C$15,MATCH(M302,Settings!$B$6:$B$15,0))+INDEX(Settings!$D$6:$D$15,MATCH(M302,Settings!$B$6:$B$15,0)),0),2))</f>
        <v/>
      </c>
      <c r="Q302" s="28">
        <f>IF(OR(H302="",L302="Cancelled"),"",H302-N(N302)-N(O302)-N(P302))</f>
        <v/>
      </c>
      <c r="R302" s="19">
        <f>IF(OR(B302="",K302=""),"",IF(OR(L302="Sent",L302="Picked up"),"Done",IF(L302="Cancelled","Cancelled",IF(K302&lt;TODAY(),"Late by "&amp;(TODAY()-K302)&amp;IF((TODAY()-K302)=1," day"," days"),IF(K302=TODAY(),"Due today","Due in "&amp;(K302-TODAY())&amp;IF((K302-TODAY())=1," day"," days"))))))</f>
        <v/>
      </c>
      <c r="S302" s="33" t="n"/>
      <c r="T302" s="1">
        <f>IF(AND(B302&lt;&gt;"",K302&lt;&gt;"",L302&lt;&gt;"Sent",L302&lt;&gt;"Picked up",L302&lt;&gt;"Cancelled"),K302+ROW()/10000000,"")</f>
        <v/>
      </c>
      <c r="U302">
        <f>IF(OR(B302="",C302=""),"",B302+ROW()/10000000)</f>
        <v/>
      </c>
      <c r="V302">
        <f>IF(U302="","",IF(COUNTIFS(Orders!$C$6:$C$1005,C302,Orders!$U$6:$U$1005,"&gt;"&amp;U302)=0,1,0))</f>
        <v/>
      </c>
      <c r="W302">
        <f>IF(AND(B302&lt;&gt;"",K302&lt;&gt;"",L302&lt;&gt;"Sent",L302&lt;&gt;"Picked up",L302&lt;&gt;"Cancelled"),IF(N(E302)=0,1,E302),0)</f>
        <v/>
      </c>
      <c r="X302">
        <f>IF(OR(B302="",D302=""),"",IF(N(E302)=0,1,E302))</f>
        <v/>
      </c>
    </row>
    <row r="303">
      <c r="A303" s="1" t="n"/>
      <c r="B303" s="31" t="n"/>
      <c r="C303" s="32" t="n"/>
      <c r="D303" s="33" t="n"/>
      <c r="E303" s="34" t="n"/>
      <c r="F303" s="35" t="n"/>
      <c r="G303" s="35" t="n"/>
      <c r="H303" s="30">
        <f>IF(OR(B303="",D303=""),"",IF(N(E303)=0,1,E303)*IFERROR(INDEX(Products!$C$6:$C$105,MATCH(D303,Products!$B$6:$B$105,0)),0)+N(F303)+N(G303))</f>
        <v/>
      </c>
      <c r="I303" s="35" t="n"/>
      <c r="J303" s="30">
        <f>IF(OR(H303="",L303="Cancelled"),"",IF(H303-N(I303)&gt;0.005,H303-N(I303),""))</f>
        <v/>
      </c>
      <c r="K303" s="31" t="n"/>
      <c r="L303" s="36" t="n"/>
      <c r="M303" s="33" t="n"/>
      <c r="N303" s="22">
        <f>IF(OR(H303="",L303="Cancelled"),"",IF(N(E303)=0,1,E303)*IFERROR(INDEX(Products!$E$6:$E$105,MATCH(D303,Products!$B$6:$B$105,0)),0))</f>
        <v/>
      </c>
      <c r="O303" s="35" t="n"/>
      <c r="P303" s="22">
        <f>IF(OR(H303="",L303="Cancelled"),"",ROUND(IFERROR(H303*INDEX(Settings!$C$6:$C$15,MATCH(M303,Settings!$B$6:$B$15,0))+INDEX(Settings!$D$6:$D$15,MATCH(M303,Settings!$B$6:$B$15,0)),0),2))</f>
        <v/>
      </c>
      <c r="Q303" s="28">
        <f>IF(OR(H303="",L303="Cancelled"),"",H303-N(N303)-N(O303)-N(P303))</f>
        <v/>
      </c>
      <c r="R303" s="19">
        <f>IF(OR(B303="",K303=""),"",IF(OR(L303="Sent",L303="Picked up"),"Done",IF(L303="Cancelled","Cancelled",IF(K303&lt;TODAY(),"Late by "&amp;(TODAY()-K303)&amp;IF((TODAY()-K303)=1," day"," days"),IF(K303=TODAY(),"Due today","Due in "&amp;(K303-TODAY())&amp;IF((K303-TODAY())=1," day"," days"))))))</f>
        <v/>
      </c>
      <c r="S303" s="33" t="n"/>
      <c r="T303" s="1">
        <f>IF(AND(B303&lt;&gt;"",K303&lt;&gt;"",L303&lt;&gt;"Sent",L303&lt;&gt;"Picked up",L303&lt;&gt;"Cancelled"),K303+ROW()/10000000,"")</f>
        <v/>
      </c>
      <c r="U303">
        <f>IF(OR(B303="",C303=""),"",B303+ROW()/10000000)</f>
        <v/>
      </c>
      <c r="V303">
        <f>IF(U303="","",IF(COUNTIFS(Orders!$C$6:$C$1005,C303,Orders!$U$6:$U$1005,"&gt;"&amp;U303)=0,1,0))</f>
        <v/>
      </c>
      <c r="W303">
        <f>IF(AND(B303&lt;&gt;"",K303&lt;&gt;"",L303&lt;&gt;"Sent",L303&lt;&gt;"Picked up",L303&lt;&gt;"Cancelled"),IF(N(E303)=0,1,E303),0)</f>
        <v/>
      </c>
      <c r="X303">
        <f>IF(OR(B303="",D303=""),"",IF(N(E303)=0,1,E303))</f>
        <v/>
      </c>
    </row>
    <row r="304">
      <c r="A304" s="1" t="n"/>
      <c r="B304" s="31" t="n"/>
      <c r="C304" s="32" t="n"/>
      <c r="D304" s="33" t="n"/>
      <c r="E304" s="34" t="n"/>
      <c r="F304" s="35" t="n"/>
      <c r="G304" s="35" t="n"/>
      <c r="H304" s="30">
        <f>IF(OR(B304="",D304=""),"",IF(N(E304)=0,1,E304)*IFERROR(INDEX(Products!$C$6:$C$105,MATCH(D304,Products!$B$6:$B$105,0)),0)+N(F304)+N(G304))</f>
        <v/>
      </c>
      <c r="I304" s="35" t="n"/>
      <c r="J304" s="30">
        <f>IF(OR(H304="",L304="Cancelled"),"",IF(H304-N(I304)&gt;0.005,H304-N(I304),""))</f>
        <v/>
      </c>
      <c r="K304" s="31" t="n"/>
      <c r="L304" s="36" t="n"/>
      <c r="M304" s="33" t="n"/>
      <c r="N304" s="22">
        <f>IF(OR(H304="",L304="Cancelled"),"",IF(N(E304)=0,1,E304)*IFERROR(INDEX(Products!$E$6:$E$105,MATCH(D304,Products!$B$6:$B$105,0)),0))</f>
        <v/>
      </c>
      <c r="O304" s="35" t="n"/>
      <c r="P304" s="22">
        <f>IF(OR(H304="",L304="Cancelled"),"",ROUND(IFERROR(H304*INDEX(Settings!$C$6:$C$15,MATCH(M304,Settings!$B$6:$B$15,0))+INDEX(Settings!$D$6:$D$15,MATCH(M304,Settings!$B$6:$B$15,0)),0),2))</f>
        <v/>
      </c>
      <c r="Q304" s="28">
        <f>IF(OR(H304="",L304="Cancelled"),"",H304-N(N304)-N(O304)-N(P304))</f>
        <v/>
      </c>
      <c r="R304" s="19">
        <f>IF(OR(B304="",K304=""),"",IF(OR(L304="Sent",L304="Picked up"),"Done",IF(L304="Cancelled","Cancelled",IF(K304&lt;TODAY(),"Late by "&amp;(TODAY()-K304)&amp;IF((TODAY()-K304)=1," day"," days"),IF(K304=TODAY(),"Due today","Due in "&amp;(K304-TODAY())&amp;IF((K304-TODAY())=1," day"," days"))))))</f>
        <v/>
      </c>
      <c r="S304" s="33" t="n"/>
      <c r="T304" s="1">
        <f>IF(AND(B304&lt;&gt;"",K304&lt;&gt;"",L304&lt;&gt;"Sent",L304&lt;&gt;"Picked up",L304&lt;&gt;"Cancelled"),K304+ROW()/10000000,"")</f>
        <v/>
      </c>
      <c r="U304">
        <f>IF(OR(B304="",C304=""),"",B304+ROW()/10000000)</f>
        <v/>
      </c>
      <c r="V304">
        <f>IF(U304="","",IF(COUNTIFS(Orders!$C$6:$C$1005,C304,Orders!$U$6:$U$1005,"&gt;"&amp;U304)=0,1,0))</f>
        <v/>
      </c>
      <c r="W304">
        <f>IF(AND(B304&lt;&gt;"",K304&lt;&gt;"",L304&lt;&gt;"Sent",L304&lt;&gt;"Picked up",L304&lt;&gt;"Cancelled"),IF(N(E304)=0,1,E304),0)</f>
        <v/>
      </c>
      <c r="X304">
        <f>IF(OR(B304="",D304=""),"",IF(N(E304)=0,1,E304))</f>
        <v/>
      </c>
    </row>
    <row r="305">
      <c r="A305" s="1" t="n"/>
      <c r="B305" s="31" t="n"/>
      <c r="C305" s="32" t="n"/>
      <c r="D305" s="33" t="n"/>
      <c r="E305" s="34" t="n"/>
      <c r="F305" s="35" t="n"/>
      <c r="G305" s="35" t="n"/>
      <c r="H305" s="30">
        <f>IF(OR(B305="",D305=""),"",IF(N(E305)=0,1,E305)*IFERROR(INDEX(Products!$C$6:$C$105,MATCH(D305,Products!$B$6:$B$105,0)),0)+N(F305)+N(G305))</f>
        <v/>
      </c>
      <c r="I305" s="35" t="n"/>
      <c r="J305" s="30">
        <f>IF(OR(H305="",L305="Cancelled"),"",IF(H305-N(I305)&gt;0.005,H305-N(I305),""))</f>
        <v/>
      </c>
      <c r="K305" s="31" t="n"/>
      <c r="L305" s="36" t="n"/>
      <c r="M305" s="33" t="n"/>
      <c r="N305" s="22">
        <f>IF(OR(H305="",L305="Cancelled"),"",IF(N(E305)=0,1,E305)*IFERROR(INDEX(Products!$E$6:$E$105,MATCH(D305,Products!$B$6:$B$105,0)),0))</f>
        <v/>
      </c>
      <c r="O305" s="35" t="n"/>
      <c r="P305" s="22">
        <f>IF(OR(H305="",L305="Cancelled"),"",ROUND(IFERROR(H305*INDEX(Settings!$C$6:$C$15,MATCH(M305,Settings!$B$6:$B$15,0))+INDEX(Settings!$D$6:$D$15,MATCH(M305,Settings!$B$6:$B$15,0)),0),2))</f>
        <v/>
      </c>
      <c r="Q305" s="28">
        <f>IF(OR(H305="",L305="Cancelled"),"",H305-N(N305)-N(O305)-N(P305))</f>
        <v/>
      </c>
      <c r="R305" s="19">
        <f>IF(OR(B305="",K305=""),"",IF(OR(L305="Sent",L305="Picked up"),"Done",IF(L305="Cancelled","Cancelled",IF(K305&lt;TODAY(),"Late by "&amp;(TODAY()-K305)&amp;IF((TODAY()-K305)=1," day"," days"),IF(K305=TODAY(),"Due today","Due in "&amp;(K305-TODAY())&amp;IF((K305-TODAY())=1," day"," days"))))))</f>
        <v/>
      </c>
      <c r="S305" s="33" t="n"/>
      <c r="T305" s="1">
        <f>IF(AND(B305&lt;&gt;"",K305&lt;&gt;"",L305&lt;&gt;"Sent",L305&lt;&gt;"Picked up",L305&lt;&gt;"Cancelled"),K305+ROW()/10000000,"")</f>
        <v/>
      </c>
      <c r="U305">
        <f>IF(OR(B305="",C305=""),"",B305+ROW()/10000000)</f>
        <v/>
      </c>
      <c r="V305">
        <f>IF(U305="","",IF(COUNTIFS(Orders!$C$6:$C$1005,C305,Orders!$U$6:$U$1005,"&gt;"&amp;U305)=0,1,0))</f>
        <v/>
      </c>
      <c r="W305">
        <f>IF(AND(B305&lt;&gt;"",K305&lt;&gt;"",L305&lt;&gt;"Sent",L305&lt;&gt;"Picked up",L305&lt;&gt;"Cancelled"),IF(N(E305)=0,1,E305),0)</f>
        <v/>
      </c>
      <c r="X305">
        <f>IF(OR(B305="",D305=""),"",IF(N(E305)=0,1,E305))</f>
        <v/>
      </c>
    </row>
    <row r="306">
      <c r="A306" s="1" t="n"/>
      <c r="B306" s="31" t="n"/>
      <c r="C306" s="32" t="n"/>
      <c r="D306" s="33" t="n"/>
      <c r="E306" s="34" t="n"/>
      <c r="F306" s="35" t="n"/>
      <c r="G306" s="35" t="n"/>
      <c r="H306" s="30">
        <f>IF(OR(B306="",D306=""),"",IF(N(E306)=0,1,E306)*IFERROR(INDEX(Products!$C$6:$C$105,MATCH(D306,Products!$B$6:$B$105,0)),0)+N(F306)+N(G306))</f>
        <v/>
      </c>
      <c r="I306" s="35" t="n"/>
      <c r="J306" s="30">
        <f>IF(OR(H306="",L306="Cancelled"),"",IF(H306-N(I306)&gt;0.005,H306-N(I306),""))</f>
        <v/>
      </c>
      <c r="K306" s="31" t="n"/>
      <c r="L306" s="36" t="n"/>
      <c r="M306" s="33" t="n"/>
      <c r="N306" s="22">
        <f>IF(OR(H306="",L306="Cancelled"),"",IF(N(E306)=0,1,E306)*IFERROR(INDEX(Products!$E$6:$E$105,MATCH(D306,Products!$B$6:$B$105,0)),0))</f>
        <v/>
      </c>
      <c r="O306" s="35" t="n"/>
      <c r="P306" s="22">
        <f>IF(OR(H306="",L306="Cancelled"),"",ROUND(IFERROR(H306*INDEX(Settings!$C$6:$C$15,MATCH(M306,Settings!$B$6:$B$15,0))+INDEX(Settings!$D$6:$D$15,MATCH(M306,Settings!$B$6:$B$15,0)),0),2))</f>
        <v/>
      </c>
      <c r="Q306" s="28">
        <f>IF(OR(H306="",L306="Cancelled"),"",H306-N(N306)-N(O306)-N(P306))</f>
        <v/>
      </c>
      <c r="R306" s="19">
        <f>IF(OR(B306="",K306=""),"",IF(OR(L306="Sent",L306="Picked up"),"Done",IF(L306="Cancelled","Cancelled",IF(K306&lt;TODAY(),"Late by "&amp;(TODAY()-K306)&amp;IF((TODAY()-K306)=1," day"," days"),IF(K306=TODAY(),"Due today","Due in "&amp;(K306-TODAY())&amp;IF((K306-TODAY())=1," day"," days"))))))</f>
        <v/>
      </c>
      <c r="S306" s="33" t="n"/>
      <c r="T306" s="1">
        <f>IF(AND(B306&lt;&gt;"",K306&lt;&gt;"",L306&lt;&gt;"Sent",L306&lt;&gt;"Picked up",L306&lt;&gt;"Cancelled"),K306+ROW()/10000000,"")</f>
        <v/>
      </c>
      <c r="U306">
        <f>IF(OR(B306="",C306=""),"",B306+ROW()/10000000)</f>
        <v/>
      </c>
      <c r="V306">
        <f>IF(U306="","",IF(COUNTIFS(Orders!$C$6:$C$1005,C306,Orders!$U$6:$U$1005,"&gt;"&amp;U306)=0,1,0))</f>
        <v/>
      </c>
      <c r="W306">
        <f>IF(AND(B306&lt;&gt;"",K306&lt;&gt;"",L306&lt;&gt;"Sent",L306&lt;&gt;"Picked up",L306&lt;&gt;"Cancelled"),IF(N(E306)=0,1,E306),0)</f>
        <v/>
      </c>
      <c r="X306">
        <f>IF(OR(B306="",D306=""),"",IF(N(E306)=0,1,E306))</f>
        <v/>
      </c>
    </row>
    <row r="307">
      <c r="A307" s="1" t="n"/>
      <c r="B307" s="31" t="n"/>
      <c r="C307" s="32" t="n"/>
      <c r="D307" s="33" t="n"/>
      <c r="E307" s="34" t="n"/>
      <c r="F307" s="35" t="n"/>
      <c r="G307" s="35" t="n"/>
      <c r="H307" s="30">
        <f>IF(OR(B307="",D307=""),"",IF(N(E307)=0,1,E307)*IFERROR(INDEX(Products!$C$6:$C$105,MATCH(D307,Products!$B$6:$B$105,0)),0)+N(F307)+N(G307))</f>
        <v/>
      </c>
      <c r="I307" s="35" t="n"/>
      <c r="J307" s="30">
        <f>IF(OR(H307="",L307="Cancelled"),"",IF(H307-N(I307)&gt;0.005,H307-N(I307),""))</f>
        <v/>
      </c>
      <c r="K307" s="31" t="n"/>
      <c r="L307" s="36" t="n"/>
      <c r="M307" s="33" t="n"/>
      <c r="N307" s="22">
        <f>IF(OR(H307="",L307="Cancelled"),"",IF(N(E307)=0,1,E307)*IFERROR(INDEX(Products!$E$6:$E$105,MATCH(D307,Products!$B$6:$B$105,0)),0))</f>
        <v/>
      </c>
      <c r="O307" s="35" t="n"/>
      <c r="P307" s="22">
        <f>IF(OR(H307="",L307="Cancelled"),"",ROUND(IFERROR(H307*INDEX(Settings!$C$6:$C$15,MATCH(M307,Settings!$B$6:$B$15,0))+INDEX(Settings!$D$6:$D$15,MATCH(M307,Settings!$B$6:$B$15,0)),0),2))</f>
        <v/>
      </c>
      <c r="Q307" s="28">
        <f>IF(OR(H307="",L307="Cancelled"),"",H307-N(N307)-N(O307)-N(P307))</f>
        <v/>
      </c>
      <c r="R307" s="19">
        <f>IF(OR(B307="",K307=""),"",IF(OR(L307="Sent",L307="Picked up"),"Done",IF(L307="Cancelled","Cancelled",IF(K307&lt;TODAY(),"Late by "&amp;(TODAY()-K307)&amp;IF((TODAY()-K307)=1," day"," days"),IF(K307=TODAY(),"Due today","Due in "&amp;(K307-TODAY())&amp;IF((K307-TODAY())=1," day"," days"))))))</f>
        <v/>
      </c>
      <c r="S307" s="33" t="n"/>
      <c r="T307" s="1">
        <f>IF(AND(B307&lt;&gt;"",K307&lt;&gt;"",L307&lt;&gt;"Sent",L307&lt;&gt;"Picked up",L307&lt;&gt;"Cancelled"),K307+ROW()/10000000,"")</f>
        <v/>
      </c>
      <c r="U307">
        <f>IF(OR(B307="",C307=""),"",B307+ROW()/10000000)</f>
        <v/>
      </c>
      <c r="V307">
        <f>IF(U307="","",IF(COUNTIFS(Orders!$C$6:$C$1005,C307,Orders!$U$6:$U$1005,"&gt;"&amp;U307)=0,1,0))</f>
        <v/>
      </c>
      <c r="W307">
        <f>IF(AND(B307&lt;&gt;"",K307&lt;&gt;"",L307&lt;&gt;"Sent",L307&lt;&gt;"Picked up",L307&lt;&gt;"Cancelled"),IF(N(E307)=0,1,E307),0)</f>
        <v/>
      </c>
      <c r="X307">
        <f>IF(OR(B307="",D307=""),"",IF(N(E307)=0,1,E307))</f>
        <v/>
      </c>
    </row>
    <row r="308">
      <c r="A308" s="1" t="n"/>
      <c r="B308" s="31" t="n"/>
      <c r="C308" s="32" t="n"/>
      <c r="D308" s="33" t="n"/>
      <c r="E308" s="34" t="n"/>
      <c r="F308" s="35" t="n"/>
      <c r="G308" s="35" t="n"/>
      <c r="H308" s="30">
        <f>IF(OR(B308="",D308=""),"",IF(N(E308)=0,1,E308)*IFERROR(INDEX(Products!$C$6:$C$105,MATCH(D308,Products!$B$6:$B$105,0)),0)+N(F308)+N(G308))</f>
        <v/>
      </c>
      <c r="I308" s="35" t="n"/>
      <c r="J308" s="30">
        <f>IF(OR(H308="",L308="Cancelled"),"",IF(H308-N(I308)&gt;0.005,H308-N(I308),""))</f>
        <v/>
      </c>
      <c r="K308" s="31" t="n"/>
      <c r="L308" s="36" t="n"/>
      <c r="M308" s="33" t="n"/>
      <c r="N308" s="22">
        <f>IF(OR(H308="",L308="Cancelled"),"",IF(N(E308)=0,1,E308)*IFERROR(INDEX(Products!$E$6:$E$105,MATCH(D308,Products!$B$6:$B$105,0)),0))</f>
        <v/>
      </c>
      <c r="O308" s="35" t="n"/>
      <c r="P308" s="22">
        <f>IF(OR(H308="",L308="Cancelled"),"",ROUND(IFERROR(H308*INDEX(Settings!$C$6:$C$15,MATCH(M308,Settings!$B$6:$B$15,0))+INDEX(Settings!$D$6:$D$15,MATCH(M308,Settings!$B$6:$B$15,0)),0),2))</f>
        <v/>
      </c>
      <c r="Q308" s="28">
        <f>IF(OR(H308="",L308="Cancelled"),"",H308-N(N308)-N(O308)-N(P308))</f>
        <v/>
      </c>
      <c r="R308" s="19">
        <f>IF(OR(B308="",K308=""),"",IF(OR(L308="Sent",L308="Picked up"),"Done",IF(L308="Cancelled","Cancelled",IF(K308&lt;TODAY(),"Late by "&amp;(TODAY()-K308)&amp;IF((TODAY()-K308)=1," day"," days"),IF(K308=TODAY(),"Due today","Due in "&amp;(K308-TODAY())&amp;IF((K308-TODAY())=1," day"," days"))))))</f>
        <v/>
      </c>
      <c r="S308" s="33" t="n"/>
      <c r="T308" s="1">
        <f>IF(AND(B308&lt;&gt;"",K308&lt;&gt;"",L308&lt;&gt;"Sent",L308&lt;&gt;"Picked up",L308&lt;&gt;"Cancelled"),K308+ROW()/10000000,"")</f>
        <v/>
      </c>
      <c r="U308">
        <f>IF(OR(B308="",C308=""),"",B308+ROW()/10000000)</f>
        <v/>
      </c>
      <c r="V308">
        <f>IF(U308="","",IF(COUNTIFS(Orders!$C$6:$C$1005,C308,Orders!$U$6:$U$1005,"&gt;"&amp;U308)=0,1,0))</f>
        <v/>
      </c>
      <c r="W308">
        <f>IF(AND(B308&lt;&gt;"",K308&lt;&gt;"",L308&lt;&gt;"Sent",L308&lt;&gt;"Picked up",L308&lt;&gt;"Cancelled"),IF(N(E308)=0,1,E308),0)</f>
        <v/>
      </c>
      <c r="X308">
        <f>IF(OR(B308="",D308=""),"",IF(N(E308)=0,1,E308))</f>
        <v/>
      </c>
    </row>
    <row r="309">
      <c r="A309" s="1" t="n"/>
      <c r="B309" s="31" t="n"/>
      <c r="C309" s="32" t="n"/>
      <c r="D309" s="33" t="n"/>
      <c r="E309" s="34" t="n"/>
      <c r="F309" s="35" t="n"/>
      <c r="G309" s="35" t="n"/>
      <c r="H309" s="30">
        <f>IF(OR(B309="",D309=""),"",IF(N(E309)=0,1,E309)*IFERROR(INDEX(Products!$C$6:$C$105,MATCH(D309,Products!$B$6:$B$105,0)),0)+N(F309)+N(G309))</f>
        <v/>
      </c>
      <c r="I309" s="35" t="n"/>
      <c r="J309" s="30">
        <f>IF(OR(H309="",L309="Cancelled"),"",IF(H309-N(I309)&gt;0.005,H309-N(I309),""))</f>
        <v/>
      </c>
      <c r="K309" s="31" t="n"/>
      <c r="L309" s="36" t="n"/>
      <c r="M309" s="33" t="n"/>
      <c r="N309" s="22">
        <f>IF(OR(H309="",L309="Cancelled"),"",IF(N(E309)=0,1,E309)*IFERROR(INDEX(Products!$E$6:$E$105,MATCH(D309,Products!$B$6:$B$105,0)),0))</f>
        <v/>
      </c>
      <c r="O309" s="35" t="n"/>
      <c r="P309" s="22">
        <f>IF(OR(H309="",L309="Cancelled"),"",ROUND(IFERROR(H309*INDEX(Settings!$C$6:$C$15,MATCH(M309,Settings!$B$6:$B$15,0))+INDEX(Settings!$D$6:$D$15,MATCH(M309,Settings!$B$6:$B$15,0)),0),2))</f>
        <v/>
      </c>
      <c r="Q309" s="28">
        <f>IF(OR(H309="",L309="Cancelled"),"",H309-N(N309)-N(O309)-N(P309))</f>
        <v/>
      </c>
      <c r="R309" s="19">
        <f>IF(OR(B309="",K309=""),"",IF(OR(L309="Sent",L309="Picked up"),"Done",IF(L309="Cancelled","Cancelled",IF(K309&lt;TODAY(),"Late by "&amp;(TODAY()-K309)&amp;IF((TODAY()-K309)=1," day"," days"),IF(K309=TODAY(),"Due today","Due in "&amp;(K309-TODAY())&amp;IF((K309-TODAY())=1," day"," days"))))))</f>
        <v/>
      </c>
      <c r="S309" s="33" t="n"/>
      <c r="T309" s="1">
        <f>IF(AND(B309&lt;&gt;"",K309&lt;&gt;"",L309&lt;&gt;"Sent",L309&lt;&gt;"Picked up",L309&lt;&gt;"Cancelled"),K309+ROW()/10000000,"")</f>
        <v/>
      </c>
      <c r="U309">
        <f>IF(OR(B309="",C309=""),"",B309+ROW()/10000000)</f>
        <v/>
      </c>
      <c r="V309">
        <f>IF(U309="","",IF(COUNTIFS(Orders!$C$6:$C$1005,C309,Orders!$U$6:$U$1005,"&gt;"&amp;U309)=0,1,0))</f>
        <v/>
      </c>
      <c r="W309">
        <f>IF(AND(B309&lt;&gt;"",K309&lt;&gt;"",L309&lt;&gt;"Sent",L309&lt;&gt;"Picked up",L309&lt;&gt;"Cancelled"),IF(N(E309)=0,1,E309),0)</f>
        <v/>
      </c>
      <c r="X309">
        <f>IF(OR(B309="",D309=""),"",IF(N(E309)=0,1,E309))</f>
        <v/>
      </c>
    </row>
    <row r="310">
      <c r="A310" s="1" t="n"/>
      <c r="B310" s="31" t="n"/>
      <c r="C310" s="32" t="n"/>
      <c r="D310" s="33" t="n"/>
      <c r="E310" s="34" t="n"/>
      <c r="F310" s="35" t="n"/>
      <c r="G310" s="35" t="n"/>
      <c r="H310" s="30">
        <f>IF(OR(B310="",D310=""),"",IF(N(E310)=0,1,E310)*IFERROR(INDEX(Products!$C$6:$C$105,MATCH(D310,Products!$B$6:$B$105,0)),0)+N(F310)+N(G310))</f>
        <v/>
      </c>
      <c r="I310" s="35" t="n"/>
      <c r="J310" s="30">
        <f>IF(OR(H310="",L310="Cancelled"),"",IF(H310-N(I310)&gt;0.005,H310-N(I310),""))</f>
        <v/>
      </c>
      <c r="K310" s="31" t="n"/>
      <c r="L310" s="36" t="n"/>
      <c r="M310" s="33" t="n"/>
      <c r="N310" s="22">
        <f>IF(OR(H310="",L310="Cancelled"),"",IF(N(E310)=0,1,E310)*IFERROR(INDEX(Products!$E$6:$E$105,MATCH(D310,Products!$B$6:$B$105,0)),0))</f>
        <v/>
      </c>
      <c r="O310" s="35" t="n"/>
      <c r="P310" s="22">
        <f>IF(OR(H310="",L310="Cancelled"),"",ROUND(IFERROR(H310*INDEX(Settings!$C$6:$C$15,MATCH(M310,Settings!$B$6:$B$15,0))+INDEX(Settings!$D$6:$D$15,MATCH(M310,Settings!$B$6:$B$15,0)),0),2))</f>
        <v/>
      </c>
      <c r="Q310" s="28">
        <f>IF(OR(H310="",L310="Cancelled"),"",H310-N(N310)-N(O310)-N(P310))</f>
        <v/>
      </c>
      <c r="R310" s="19">
        <f>IF(OR(B310="",K310=""),"",IF(OR(L310="Sent",L310="Picked up"),"Done",IF(L310="Cancelled","Cancelled",IF(K310&lt;TODAY(),"Late by "&amp;(TODAY()-K310)&amp;IF((TODAY()-K310)=1," day"," days"),IF(K310=TODAY(),"Due today","Due in "&amp;(K310-TODAY())&amp;IF((K310-TODAY())=1," day"," days"))))))</f>
        <v/>
      </c>
      <c r="S310" s="33" t="n"/>
      <c r="T310" s="1">
        <f>IF(AND(B310&lt;&gt;"",K310&lt;&gt;"",L310&lt;&gt;"Sent",L310&lt;&gt;"Picked up",L310&lt;&gt;"Cancelled"),K310+ROW()/10000000,"")</f>
        <v/>
      </c>
      <c r="U310">
        <f>IF(OR(B310="",C310=""),"",B310+ROW()/10000000)</f>
        <v/>
      </c>
      <c r="V310">
        <f>IF(U310="","",IF(COUNTIFS(Orders!$C$6:$C$1005,C310,Orders!$U$6:$U$1005,"&gt;"&amp;U310)=0,1,0))</f>
        <v/>
      </c>
      <c r="W310">
        <f>IF(AND(B310&lt;&gt;"",K310&lt;&gt;"",L310&lt;&gt;"Sent",L310&lt;&gt;"Picked up",L310&lt;&gt;"Cancelled"),IF(N(E310)=0,1,E310),0)</f>
        <v/>
      </c>
      <c r="X310">
        <f>IF(OR(B310="",D310=""),"",IF(N(E310)=0,1,E310))</f>
        <v/>
      </c>
    </row>
    <row r="311">
      <c r="A311" s="1" t="n"/>
      <c r="B311" s="31" t="n"/>
      <c r="C311" s="32" t="n"/>
      <c r="D311" s="33" t="n"/>
      <c r="E311" s="34" t="n"/>
      <c r="F311" s="35" t="n"/>
      <c r="G311" s="35" t="n"/>
      <c r="H311" s="30">
        <f>IF(OR(B311="",D311=""),"",IF(N(E311)=0,1,E311)*IFERROR(INDEX(Products!$C$6:$C$105,MATCH(D311,Products!$B$6:$B$105,0)),0)+N(F311)+N(G311))</f>
        <v/>
      </c>
      <c r="I311" s="35" t="n"/>
      <c r="J311" s="30">
        <f>IF(OR(H311="",L311="Cancelled"),"",IF(H311-N(I311)&gt;0.005,H311-N(I311),""))</f>
        <v/>
      </c>
      <c r="K311" s="31" t="n"/>
      <c r="L311" s="36" t="n"/>
      <c r="M311" s="33" t="n"/>
      <c r="N311" s="22">
        <f>IF(OR(H311="",L311="Cancelled"),"",IF(N(E311)=0,1,E311)*IFERROR(INDEX(Products!$E$6:$E$105,MATCH(D311,Products!$B$6:$B$105,0)),0))</f>
        <v/>
      </c>
      <c r="O311" s="35" t="n"/>
      <c r="P311" s="22">
        <f>IF(OR(H311="",L311="Cancelled"),"",ROUND(IFERROR(H311*INDEX(Settings!$C$6:$C$15,MATCH(M311,Settings!$B$6:$B$15,0))+INDEX(Settings!$D$6:$D$15,MATCH(M311,Settings!$B$6:$B$15,0)),0),2))</f>
        <v/>
      </c>
      <c r="Q311" s="28">
        <f>IF(OR(H311="",L311="Cancelled"),"",H311-N(N311)-N(O311)-N(P311))</f>
        <v/>
      </c>
      <c r="R311" s="19">
        <f>IF(OR(B311="",K311=""),"",IF(OR(L311="Sent",L311="Picked up"),"Done",IF(L311="Cancelled","Cancelled",IF(K311&lt;TODAY(),"Late by "&amp;(TODAY()-K311)&amp;IF((TODAY()-K311)=1," day"," days"),IF(K311=TODAY(),"Due today","Due in "&amp;(K311-TODAY())&amp;IF((K311-TODAY())=1," day"," days"))))))</f>
        <v/>
      </c>
      <c r="S311" s="33" t="n"/>
      <c r="T311" s="1">
        <f>IF(AND(B311&lt;&gt;"",K311&lt;&gt;"",L311&lt;&gt;"Sent",L311&lt;&gt;"Picked up",L311&lt;&gt;"Cancelled"),K311+ROW()/10000000,"")</f>
        <v/>
      </c>
      <c r="U311">
        <f>IF(OR(B311="",C311=""),"",B311+ROW()/10000000)</f>
        <v/>
      </c>
      <c r="V311">
        <f>IF(U311="","",IF(COUNTIFS(Orders!$C$6:$C$1005,C311,Orders!$U$6:$U$1005,"&gt;"&amp;U311)=0,1,0))</f>
        <v/>
      </c>
      <c r="W311">
        <f>IF(AND(B311&lt;&gt;"",K311&lt;&gt;"",L311&lt;&gt;"Sent",L311&lt;&gt;"Picked up",L311&lt;&gt;"Cancelled"),IF(N(E311)=0,1,E311),0)</f>
        <v/>
      </c>
      <c r="X311">
        <f>IF(OR(B311="",D311=""),"",IF(N(E311)=0,1,E311))</f>
        <v/>
      </c>
    </row>
    <row r="312">
      <c r="A312" s="1" t="n"/>
      <c r="B312" s="31" t="n"/>
      <c r="C312" s="32" t="n"/>
      <c r="D312" s="33" t="n"/>
      <c r="E312" s="34" t="n"/>
      <c r="F312" s="35" t="n"/>
      <c r="G312" s="35" t="n"/>
      <c r="H312" s="30">
        <f>IF(OR(B312="",D312=""),"",IF(N(E312)=0,1,E312)*IFERROR(INDEX(Products!$C$6:$C$105,MATCH(D312,Products!$B$6:$B$105,0)),0)+N(F312)+N(G312))</f>
        <v/>
      </c>
      <c r="I312" s="35" t="n"/>
      <c r="J312" s="30">
        <f>IF(OR(H312="",L312="Cancelled"),"",IF(H312-N(I312)&gt;0.005,H312-N(I312),""))</f>
        <v/>
      </c>
      <c r="K312" s="31" t="n"/>
      <c r="L312" s="36" t="n"/>
      <c r="M312" s="33" t="n"/>
      <c r="N312" s="22">
        <f>IF(OR(H312="",L312="Cancelled"),"",IF(N(E312)=0,1,E312)*IFERROR(INDEX(Products!$E$6:$E$105,MATCH(D312,Products!$B$6:$B$105,0)),0))</f>
        <v/>
      </c>
      <c r="O312" s="35" t="n"/>
      <c r="P312" s="22">
        <f>IF(OR(H312="",L312="Cancelled"),"",ROUND(IFERROR(H312*INDEX(Settings!$C$6:$C$15,MATCH(M312,Settings!$B$6:$B$15,0))+INDEX(Settings!$D$6:$D$15,MATCH(M312,Settings!$B$6:$B$15,0)),0),2))</f>
        <v/>
      </c>
      <c r="Q312" s="28">
        <f>IF(OR(H312="",L312="Cancelled"),"",H312-N(N312)-N(O312)-N(P312))</f>
        <v/>
      </c>
      <c r="R312" s="19">
        <f>IF(OR(B312="",K312=""),"",IF(OR(L312="Sent",L312="Picked up"),"Done",IF(L312="Cancelled","Cancelled",IF(K312&lt;TODAY(),"Late by "&amp;(TODAY()-K312)&amp;IF((TODAY()-K312)=1," day"," days"),IF(K312=TODAY(),"Due today","Due in "&amp;(K312-TODAY())&amp;IF((K312-TODAY())=1," day"," days"))))))</f>
        <v/>
      </c>
      <c r="S312" s="33" t="n"/>
      <c r="T312" s="1">
        <f>IF(AND(B312&lt;&gt;"",K312&lt;&gt;"",L312&lt;&gt;"Sent",L312&lt;&gt;"Picked up",L312&lt;&gt;"Cancelled"),K312+ROW()/10000000,"")</f>
        <v/>
      </c>
      <c r="U312">
        <f>IF(OR(B312="",C312=""),"",B312+ROW()/10000000)</f>
        <v/>
      </c>
      <c r="V312">
        <f>IF(U312="","",IF(COUNTIFS(Orders!$C$6:$C$1005,C312,Orders!$U$6:$U$1005,"&gt;"&amp;U312)=0,1,0))</f>
        <v/>
      </c>
      <c r="W312">
        <f>IF(AND(B312&lt;&gt;"",K312&lt;&gt;"",L312&lt;&gt;"Sent",L312&lt;&gt;"Picked up",L312&lt;&gt;"Cancelled"),IF(N(E312)=0,1,E312),0)</f>
        <v/>
      </c>
      <c r="X312">
        <f>IF(OR(B312="",D312=""),"",IF(N(E312)=0,1,E312))</f>
        <v/>
      </c>
    </row>
    <row r="313">
      <c r="A313" s="1" t="n"/>
      <c r="B313" s="31" t="n"/>
      <c r="C313" s="32" t="n"/>
      <c r="D313" s="33" t="n"/>
      <c r="E313" s="34" t="n"/>
      <c r="F313" s="35" t="n"/>
      <c r="G313" s="35" t="n"/>
      <c r="H313" s="30">
        <f>IF(OR(B313="",D313=""),"",IF(N(E313)=0,1,E313)*IFERROR(INDEX(Products!$C$6:$C$105,MATCH(D313,Products!$B$6:$B$105,0)),0)+N(F313)+N(G313))</f>
        <v/>
      </c>
      <c r="I313" s="35" t="n"/>
      <c r="J313" s="30">
        <f>IF(OR(H313="",L313="Cancelled"),"",IF(H313-N(I313)&gt;0.005,H313-N(I313),""))</f>
        <v/>
      </c>
      <c r="K313" s="31" t="n"/>
      <c r="L313" s="36" t="n"/>
      <c r="M313" s="33" t="n"/>
      <c r="N313" s="22">
        <f>IF(OR(H313="",L313="Cancelled"),"",IF(N(E313)=0,1,E313)*IFERROR(INDEX(Products!$E$6:$E$105,MATCH(D313,Products!$B$6:$B$105,0)),0))</f>
        <v/>
      </c>
      <c r="O313" s="35" t="n"/>
      <c r="P313" s="22">
        <f>IF(OR(H313="",L313="Cancelled"),"",ROUND(IFERROR(H313*INDEX(Settings!$C$6:$C$15,MATCH(M313,Settings!$B$6:$B$15,0))+INDEX(Settings!$D$6:$D$15,MATCH(M313,Settings!$B$6:$B$15,0)),0),2))</f>
        <v/>
      </c>
      <c r="Q313" s="28">
        <f>IF(OR(H313="",L313="Cancelled"),"",H313-N(N313)-N(O313)-N(P313))</f>
        <v/>
      </c>
      <c r="R313" s="19">
        <f>IF(OR(B313="",K313=""),"",IF(OR(L313="Sent",L313="Picked up"),"Done",IF(L313="Cancelled","Cancelled",IF(K313&lt;TODAY(),"Late by "&amp;(TODAY()-K313)&amp;IF((TODAY()-K313)=1," day"," days"),IF(K313=TODAY(),"Due today","Due in "&amp;(K313-TODAY())&amp;IF((K313-TODAY())=1," day"," days"))))))</f>
        <v/>
      </c>
      <c r="S313" s="33" t="n"/>
      <c r="T313" s="1">
        <f>IF(AND(B313&lt;&gt;"",K313&lt;&gt;"",L313&lt;&gt;"Sent",L313&lt;&gt;"Picked up",L313&lt;&gt;"Cancelled"),K313+ROW()/10000000,"")</f>
        <v/>
      </c>
      <c r="U313">
        <f>IF(OR(B313="",C313=""),"",B313+ROW()/10000000)</f>
        <v/>
      </c>
      <c r="V313">
        <f>IF(U313="","",IF(COUNTIFS(Orders!$C$6:$C$1005,C313,Orders!$U$6:$U$1005,"&gt;"&amp;U313)=0,1,0))</f>
        <v/>
      </c>
      <c r="W313">
        <f>IF(AND(B313&lt;&gt;"",K313&lt;&gt;"",L313&lt;&gt;"Sent",L313&lt;&gt;"Picked up",L313&lt;&gt;"Cancelled"),IF(N(E313)=0,1,E313),0)</f>
        <v/>
      </c>
      <c r="X313">
        <f>IF(OR(B313="",D313=""),"",IF(N(E313)=0,1,E313))</f>
        <v/>
      </c>
    </row>
    <row r="314">
      <c r="A314" s="1" t="n"/>
      <c r="B314" s="31" t="n"/>
      <c r="C314" s="32" t="n"/>
      <c r="D314" s="33" t="n"/>
      <c r="E314" s="34" t="n"/>
      <c r="F314" s="35" t="n"/>
      <c r="G314" s="35" t="n"/>
      <c r="H314" s="30">
        <f>IF(OR(B314="",D314=""),"",IF(N(E314)=0,1,E314)*IFERROR(INDEX(Products!$C$6:$C$105,MATCH(D314,Products!$B$6:$B$105,0)),0)+N(F314)+N(G314))</f>
        <v/>
      </c>
      <c r="I314" s="35" t="n"/>
      <c r="J314" s="30">
        <f>IF(OR(H314="",L314="Cancelled"),"",IF(H314-N(I314)&gt;0.005,H314-N(I314),""))</f>
        <v/>
      </c>
      <c r="K314" s="31" t="n"/>
      <c r="L314" s="36" t="n"/>
      <c r="M314" s="33" t="n"/>
      <c r="N314" s="22">
        <f>IF(OR(H314="",L314="Cancelled"),"",IF(N(E314)=0,1,E314)*IFERROR(INDEX(Products!$E$6:$E$105,MATCH(D314,Products!$B$6:$B$105,0)),0))</f>
        <v/>
      </c>
      <c r="O314" s="35" t="n"/>
      <c r="P314" s="22">
        <f>IF(OR(H314="",L314="Cancelled"),"",ROUND(IFERROR(H314*INDEX(Settings!$C$6:$C$15,MATCH(M314,Settings!$B$6:$B$15,0))+INDEX(Settings!$D$6:$D$15,MATCH(M314,Settings!$B$6:$B$15,0)),0),2))</f>
        <v/>
      </c>
      <c r="Q314" s="28">
        <f>IF(OR(H314="",L314="Cancelled"),"",H314-N(N314)-N(O314)-N(P314))</f>
        <v/>
      </c>
      <c r="R314" s="19">
        <f>IF(OR(B314="",K314=""),"",IF(OR(L314="Sent",L314="Picked up"),"Done",IF(L314="Cancelled","Cancelled",IF(K314&lt;TODAY(),"Late by "&amp;(TODAY()-K314)&amp;IF((TODAY()-K314)=1," day"," days"),IF(K314=TODAY(),"Due today","Due in "&amp;(K314-TODAY())&amp;IF((K314-TODAY())=1," day"," days"))))))</f>
        <v/>
      </c>
      <c r="S314" s="33" t="n"/>
      <c r="T314" s="1">
        <f>IF(AND(B314&lt;&gt;"",K314&lt;&gt;"",L314&lt;&gt;"Sent",L314&lt;&gt;"Picked up",L314&lt;&gt;"Cancelled"),K314+ROW()/10000000,"")</f>
        <v/>
      </c>
      <c r="U314">
        <f>IF(OR(B314="",C314=""),"",B314+ROW()/10000000)</f>
        <v/>
      </c>
      <c r="V314">
        <f>IF(U314="","",IF(COUNTIFS(Orders!$C$6:$C$1005,C314,Orders!$U$6:$U$1005,"&gt;"&amp;U314)=0,1,0))</f>
        <v/>
      </c>
      <c r="W314">
        <f>IF(AND(B314&lt;&gt;"",K314&lt;&gt;"",L314&lt;&gt;"Sent",L314&lt;&gt;"Picked up",L314&lt;&gt;"Cancelled"),IF(N(E314)=0,1,E314),0)</f>
        <v/>
      </c>
      <c r="X314">
        <f>IF(OR(B314="",D314=""),"",IF(N(E314)=0,1,E314))</f>
        <v/>
      </c>
    </row>
    <row r="315">
      <c r="A315" s="1" t="n"/>
      <c r="B315" s="31" t="n"/>
      <c r="C315" s="32" t="n"/>
      <c r="D315" s="33" t="n"/>
      <c r="E315" s="34" t="n"/>
      <c r="F315" s="35" t="n"/>
      <c r="G315" s="35" t="n"/>
      <c r="H315" s="30">
        <f>IF(OR(B315="",D315=""),"",IF(N(E315)=0,1,E315)*IFERROR(INDEX(Products!$C$6:$C$105,MATCH(D315,Products!$B$6:$B$105,0)),0)+N(F315)+N(G315))</f>
        <v/>
      </c>
      <c r="I315" s="35" t="n"/>
      <c r="J315" s="30">
        <f>IF(OR(H315="",L315="Cancelled"),"",IF(H315-N(I315)&gt;0.005,H315-N(I315),""))</f>
        <v/>
      </c>
      <c r="K315" s="31" t="n"/>
      <c r="L315" s="36" t="n"/>
      <c r="M315" s="33" t="n"/>
      <c r="N315" s="22">
        <f>IF(OR(H315="",L315="Cancelled"),"",IF(N(E315)=0,1,E315)*IFERROR(INDEX(Products!$E$6:$E$105,MATCH(D315,Products!$B$6:$B$105,0)),0))</f>
        <v/>
      </c>
      <c r="O315" s="35" t="n"/>
      <c r="P315" s="22">
        <f>IF(OR(H315="",L315="Cancelled"),"",ROUND(IFERROR(H315*INDEX(Settings!$C$6:$C$15,MATCH(M315,Settings!$B$6:$B$15,0))+INDEX(Settings!$D$6:$D$15,MATCH(M315,Settings!$B$6:$B$15,0)),0),2))</f>
        <v/>
      </c>
      <c r="Q315" s="28">
        <f>IF(OR(H315="",L315="Cancelled"),"",H315-N(N315)-N(O315)-N(P315))</f>
        <v/>
      </c>
      <c r="R315" s="19">
        <f>IF(OR(B315="",K315=""),"",IF(OR(L315="Sent",L315="Picked up"),"Done",IF(L315="Cancelled","Cancelled",IF(K315&lt;TODAY(),"Late by "&amp;(TODAY()-K315)&amp;IF((TODAY()-K315)=1," day"," days"),IF(K315=TODAY(),"Due today","Due in "&amp;(K315-TODAY())&amp;IF((K315-TODAY())=1," day"," days"))))))</f>
        <v/>
      </c>
      <c r="S315" s="33" t="n"/>
      <c r="T315" s="1">
        <f>IF(AND(B315&lt;&gt;"",K315&lt;&gt;"",L315&lt;&gt;"Sent",L315&lt;&gt;"Picked up",L315&lt;&gt;"Cancelled"),K315+ROW()/10000000,"")</f>
        <v/>
      </c>
      <c r="U315">
        <f>IF(OR(B315="",C315=""),"",B315+ROW()/10000000)</f>
        <v/>
      </c>
      <c r="V315">
        <f>IF(U315="","",IF(COUNTIFS(Orders!$C$6:$C$1005,C315,Orders!$U$6:$U$1005,"&gt;"&amp;U315)=0,1,0))</f>
        <v/>
      </c>
      <c r="W315">
        <f>IF(AND(B315&lt;&gt;"",K315&lt;&gt;"",L315&lt;&gt;"Sent",L315&lt;&gt;"Picked up",L315&lt;&gt;"Cancelled"),IF(N(E315)=0,1,E315),0)</f>
        <v/>
      </c>
      <c r="X315">
        <f>IF(OR(B315="",D315=""),"",IF(N(E315)=0,1,E315))</f>
        <v/>
      </c>
    </row>
    <row r="316">
      <c r="A316" s="1" t="n"/>
      <c r="B316" s="31" t="n"/>
      <c r="C316" s="32" t="n"/>
      <c r="D316" s="33" t="n"/>
      <c r="E316" s="34" t="n"/>
      <c r="F316" s="35" t="n"/>
      <c r="G316" s="35" t="n"/>
      <c r="H316" s="30">
        <f>IF(OR(B316="",D316=""),"",IF(N(E316)=0,1,E316)*IFERROR(INDEX(Products!$C$6:$C$105,MATCH(D316,Products!$B$6:$B$105,0)),0)+N(F316)+N(G316))</f>
        <v/>
      </c>
      <c r="I316" s="35" t="n"/>
      <c r="J316" s="30">
        <f>IF(OR(H316="",L316="Cancelled"),"",IF(H316-N(I316)&gt;0.005,H316-N(I316),""))</f>
        <v/>
      </c>
      <c r="K316" s="31" t="n"/>
      <c r="L316" s="36" t="n"/>
      <c r="M316" s="33" t="n"/>
      <c r="N316" s="22">
        <f>IF(OR(H316="",L316="Cancelled"),"",IF(N(E316)=0,1,E316)*IFERROR(INDEX(Products!$E$6:$E$105,MATCH(D316,Products!$B$6:$B$105,0)),0))</f>
        <v/>
      </c>
      <c r="O316" s="35" t="n"/>
      <c r="P316" s="22">
        <f>IF(OR(H316="",L316="Cancelled"),"",ROUND(IFERROR(H316*INDEX(Settings!$C$6:$C$15,MATCH(M316,Settings!$B$6:$B$15,0))+INDEX(Settings!$D$6:$D$15,MATCH(M316,Settings!$B$6:$B$15,0)),0),2))</f>
        <v/>
      </c>
      <c r="Q316" s="28">
        <f>IF(OR(H316="",L316="Cancelled"),"",H316-N(N316)-N(O316)-N(P316))</f>
        <v/>
      </c>
      <c r="R316" s="19">
        <f>IF(OR(B316="",K316=""),"",IF(OR(L316="Sent",L316="Picked up"),"Done",IF(L316="Cancelled","Cancelled",IF(K316&lt;TODAY(),"Late by "&amp;(TODAY()-K316)&amp;IF((TODAY()-K316)=1," day"," days"),IF(K316=TODAY(),"Due today","Due in "&amp;(K316-TODAY())&amp;IF((K316-TODAY())=1," day"," days"))))))</f>
        <v/>
      </c>
      <c r="S316" s="33" t="n"/>
      <c r="T316" s="1">
        <f>IF(AND(B316&lt;&gt;"",K316&lt;&gt;"",L316&lt;&gt;"Sent",L316&lt;&gt;"Picked up",L316&lt;&gt;"Cancelled"),K316+ROW()/10000000,"")</f>
        <v/>
      </c>
      <c r="U316">
        <f>IF(OR(B316="",C316=""),"",B316+ROW()/10000000)</f>
        <v/>
      </c>
      <c r="V316">
        <f>IF(U316="","",IF(COUNTIFS(Orders!$C$6:$C$1005,C316,Orders!$U$6:$U$1005,"&gt;"&amp;U316)=0,1,0))</f>
        <v/>
      </c>
      <c r="W316">
        <f>IF(AND(B316&lt;&gt;"",K316&lt;&gt;"",L316&lt;&gt;"Sent",L316&lt;&gt;"Picked up",L316&lt;&gt;"Cancelled"),IF(N(E316)=0,1,E316),0)</f>
        <v/>
      </c>
      <c r="X316">
        <f>IF(OR(B316="",D316=""),"",IF(N(E316)=0,1,E316))</f>
        <v/>
      </c>
    </row>
    <row r="317">
      <c r="A317" s="1" t="n"/>
      <c r="B317" s="31" t="n"/>
      <c r="C317" s="32" t="n"/>
      <c r="D317" s="33" t="n"/>
      <c r="E317" s="34" t="n"/>
      <c r="F317" s="35" t="n"/>
      <c r="G317" s="35" t="n"/>
      <c r="H317" s="30">
        <f>IF(OR(B317="",D317=""),"",IF(N(E317)=0,1,E317)*IFERROR(INDEX(Products!$C$6:$C$105,MATCH(D317,Products!$B$6:$B$105,0)),0)+N(F317)+N(G317))</f>
        <v/>
      </c>
      <c r="I317" s="35" t="n"/>
      <c r="J317" s="30">
        <f>IF(OR(H317="",L317="Cancelled"),"",IF(H317-N(I317)&gt;0.005,H317-N(I317),""))</f>
        <v/>
      </c>
      <c r="K317" s="31" t="n"/>
      <c r="L317" s="36" t="n"/>
      <c r="M317" s="33" t="n"/>
      <c r="N317" s="22">
        <f>IF(OR(H317="",L317="Cancelled"),"",IF(N(E317)=0,1,E317)*IFERROR(INDEX(Products!$E$6:$E$105,MATCH(D317,Products!$B$6:$B$105,0)),0))</f>
        <v/>
      </c>
      <c r="O317" s="35" t="n"/>
      <c r="P317" s="22">
        <f>IF(OR(H317="",L317="Cancelled"),"",ROUND(IFERROR(H317*INDEX(Settings!$C$6:$C$15,MATCH(M317,Settings!$B$6:$B$15,0))+INDEX(Settings!$D$6:$D$15,MATCH(M317,Settings!$B$6:$B$15,0)),0),2))</f>
        <v/>
      </c>
      <c r="Q317" s="28">
        <f>IF(OR(H317="",L317="Cancelled"),"",H317-N(N317)-N(O317)-N(P317))</f>
        <v/>
      </c>
      <c r="R317" s="19">
        <f>IF(OR(B317="",K317=""),"",IF(OR(L317="Sent",L317="Picked up"),"Done",IF(L317="Cancelled","Cancelled",IF(K317&lt;TODAY(),"Late by "&amp;(TODAY()-K317)&amp;IF((TODAY()-K317)=1," day"," days"),IF(K317=TODAY(),"Due today","Due in "&amp;(K317-TODAY())&amp;IF((K317-TODAY())=1," day"," days"))))))</f>
        <v/>
      </c>
      <c r="S317" s="33" t="n"/>
      <c r="T317" s="1">
        <f>IF(AND(B317&lt;&gt;"",K317&lt;&gt;"",L317&lt;&gt;"Sent",L317&lt;&gt;"Picked up",L317&lt;&gt;"Cancelled"),K317+ROW()/10000000,"")</f>
        <v/>
      </c>
      <c r="U317">
        <f>IF(OR(B317="",C317=""),"",B317+ROW()/10000000)</f>
        <v/>
      </c>
      <c r="V317">
        <f>IF(U317="","",IF(COUNTIFS(Orders!$C$6:$C$1005,C317,Orders!$U$6:$U$1005,"&gt;"&amp;U317)=0,1,0))</f>
        <v/>
      </c>
      <c r="W317">
        <f>IF(AND(B317&lt;&gt;"",K317&lt;&gt;"",L317&lt;&gt;"Sent",L317&lt;&gt;"Picked up",L317&lt;&gt;"Cancelled"),IF(N(E317)=0,1,E317),0)</f>
        <v/>
      </c>
      <c r="X317">
        <f>IF(OR(B317="",D317=""),"",IF(N(E317)=0,1,E317))</f>
        <v/>
      </c>
    </row>
    <row r="318">
      <c r="A318" s="1" t="n"/>
      <c r="B318" s="31" t="n"/>
      <c r="C318" s="32" t="n"/>
      <c r="D318" s="33" t="n"/>
      <c r="E318" s="34" t="n"/>
      <c r="F318" s="35" t="n"/>
      <c r="G318" s="35" t="n"/>
      <c r="H318" s="30">
        <f>IF(OR(B318="",D318=""),"",IF(N(E318)=0,1,E318)*IFERROR(INDEX(Products!$C$6:$C$105,MATCH(D318,Products!$B$6:$B$105,0)),0)+N(F318)+N(G318))</f>
        <v/>
      </c>
      <c r="I318" s="35" t="n"/>
      <c r="J318" s="30">
        <f>IF(OR(H318="",L318="Cancelled"),"",IF(H318-N(I318)&gt;0.005,H318-N(I318),""))</f>
        <v/>
      </c>
      <c r="K318" s="31" t="n"/>
      <c r="L318" s="36" t="n"/>
      <c r="M318" s="33" t="n"/>
      <c r="N318" s="22">
        <f>IF(OR(H318="",L318="Cancelled"),"",IF(N(E318)=0,1,E318)*IFERROR(INDEX(Products!$E$6:$E$105,MATCH(D318,Products!$B$6:$B$105,0)),0))</f>
        <v/>
      </c>
      <c r="O318" s="35" t="n"/>
      <c r="P318" s="22">
        <f>IF(OR(H318="",L318="Cancelled"),"",ROUND(IFERROR(H318*INDEX(Settings!$C$6:$C$15,MATCH(M318,Settings!$B$6:$B$15,0))+INDEX(Settings!$D$6:$D$15,MATCH(M318,Settings!$B$6:$B$15,0)),0),2))</f>
        <v/>
      </c>
      <c r="Q318" s="28">
        <f>IF(OR(H318="",L318="Cancelled"),"",H318-N(N318)-N(O318)-N(P318))</f>
        <v/>
      </c>
      <c r="R318" s="19">
        <f>IF(OR(B318="",K318=""),"",IF(OR(L318="Sent",L318="Picked up"),"Done",IF(L318="Cancelled","Cancelled",IF(K318&lt;TODAY(),"Late by "&amp;(TODAY()-K318)&amp;IF((TODAY()-K318)=1," day"," days"),IF(K318=TODAY(),"Due today","Due in "&amp;(K318-TODAY())&amp;IF((K318-TODAY())=1," day"," days"))))))</f>
        <v/>
      </c>
      <c r="S318" s="33" t="n"/>
      <c r="T318" s="1">
        <f>IF(AND(B318&lt;&gt;"",K318&lt;&gt;"",L318&lt;&gt;"Sent",L318&lt;&gt;"Picked up",L318&lt;&gt;"Cancelled"),K318+ROW()/10000000,"")</f>
        <v/>
      </c>
      <c r="U318">
        <f>IF(OR(B318="",C318=""),"",B318+ROW()/10000000)</f>
        <v/>
      </c>
      <c r="V318">
        <f>IF(U318="","",IF(COUNTIFS(Orders!$C$6:$C$1005,C318,Orders!$U$6:$U$1005,"&gt;"&amp;U318)=0,1,0))</f>
        <v/>
      </c>
      <c r="W318">
        <f>IF(AND(B318&lt;&gt;"",K318&lt;&gt;"",L318&lt;&gt;"Sent",L318&lt;&gt;"Picked up",L318&lt;&gt;"Cancelled"),IF(N(E318)=0,1,E318),0)</f>
        <v/>
      </c>
      <c r="X318">
        <f>IF(OR(B318="",D318=""),"",IF(N(E318)=0,1,E318))</f>
        <v/>
      </c>
    </row>
    <row r="319">
      <c r="A319" s="1" t="n"/>
      <c r="B319" s="31" t="n"/>
      <c r="C319" s="32" t="n"/>
      <c r="D319" s="33" t="n"/>
      <c r="E319" s="34" t="n"/>
      <c r="F319" s="35" t="n"/>
      <c r="G319" s="35" t="n"/>
      <c r="H319" s="30">
        <f>IF(OR(B319="",D319=""),"",IF(N(E319)=0,1,E319)*IFERROR(INDEX(Products!$C$6:$C$105,MATCH(D319,Products!$B$6:$B$105,0)),0)+N(F319)+N(G319))</f>
        <v/>
      </c>
      <c r="I319" s="35" t="n"/>
      <c r="J319" s="30">
        <f>IF(OR(H319="",L319="Cancelled"),"",IF(H319-N(I319)&gt;0.005,H319-N(I319),""))</f>
        <v/>
      </c>
      <c r="K319" s="31" t="n"/>
      <c r="L319" s="36" t="n"/>
      <c r="M319" s="33" t="n"/>
      <c r="N319" s="22">
        <f>IF(OR(H319="",L319="Cancelled"),"",IF(N(E319)=0,1,E319)*IFERROR(INDEX(Products!$E$6:$E$105,MATCH(D319,Products!$B$6:$B$105,0)),0))</f>
        <v/>
      </c>
      <c r="O319" s="35" t="n"/>
      <c r="P319" s="22">
        <f>IF(OR(H319="",L319="Cancelled"),"",ROUND(IFERROR(H319*INDEX(Settings!$C$6:$C$15,MATCH(M319,Settings!$B$6:$B$15,0))+INDEX(Settings!$D$6:$D$15,MATCH(M319,Settings!$B$6:$B$15,0)),0),2))</f>
        <v/>
      </c>
      <c r="Q319" s="28">
        <f>IF(OR(H319="",L319="Cancelled"),"",H319-N(N319)-N(O319)-N(P319))</f>
        <v/>
      </c>
      <c r="R319" s="19">
        <f>IF(OR(B319="",K319=""),"",IF(OR(L319="Sent",L319="Picked up"),"Done",IF(L319="Cancelled","Cancelled",IF(K319&lt;TODAY(),"Late by "&amp;(TODAY()-K319)&amp;IF((TODAY()-K319)=1," day"," days"),IF(K319=TODAY(),"Due today","Due in "&amp;(K319-TODAY())&amp;IF((K319-TODAY())=1," day"," days"))))))</f>
        <v/>
      </c>
      <c r="S319" s="33" t="n"/>
      <c r="T319" s="1">
        <f>IF(AND(B319&lt;&gt;"",K319&lt;&gt;"",L319&lt;&gt;"Sent",L319&lt;&gt;"Picked up",L319&lt;&gt;"Cancelled"),K319+ROW()/10000000,"")</f>
        <v/>
      </c>
      <c r="U319">
        <f>IF(OR(B319="",C319=""),"",B319+ROW()/10000000)</f>
        <v/>
      </c>
      <c r="V319">
        <f>IF(U319="","",IF(COUNTIFS(Orders!$C$6:$C$1005,C319,Orders!$U$6:$U$1005,"&gt;"&amp;U319)=0,1,0))</f>
        <v/>
      </c>
      <c r="W319">
        <f>IF(AND(B319&lt;&gt;"",K319&lt;&gt;"",L319&lt;&gt;"Sent",L319&lt;&gt;"Picked up",L319&lt;&gt;"Cancelled"),IF(N(E319)=0,1,E319),0)</f>
        <v/>
      </c>
      <c r="X319">
        <f>IF(OR(B319="",D319=""),"",IF(N(E319)=0,1,E319))</f>
        <v/>
      </c>
    </row>
    <row r="320">
      <c r="A320" s="1" t="n"/>
      <c r="B320" s="31" t="n"/>
      <c r="C320" s="32" t="n"/>
      <c r="D320" s="33" t="n"/>
      <c r="E320" s="34" t="n"/>
      <c r="F320" s="35" t="n"/>
      <c r="G320" s="35" t="n"/>
      <c r="H320" s="30">
        <f>IF(OR(B320="",D320=""),"",IF(N(E320)=0,1,E320)*IFERROR(INDEX(Products!$C$6:$C$105,MATCH(D320,Products!$B$6:$B$105,0)),0)+N(F320)+N(G320))</f>
        <v/>
      </c>
      <c r="I320" s="35" t="n"/>
      <c r="J320" s="30">
        <f>IF(OR(H320="",L320="Cancelled"),"",IF(H320-N(I320)&gt;0.005,H320-N(I320),""))</f>
        <v/>
      </c>
      <c r="K320" s="31" t="n"/>
      <c r="L320" s="36" t="n"/>
      <c r="M320" s="33" t="n"/>
      <c r="N320" s="22">
        <f>IF(OR(H320="",L320="Cancelled"),"",IF(N(E320)=0,1,E320)*IFERROR(INDEX(Products!$E$6:$E$105,MATCH(D320,Products!$B$6:$B$105,0)),0))</f>
        <v/>
      </c>
      <c r="O320" s="35" t="n"/>
      <c r="P320" s="22">
        <f>IF(OR(H320="",L320="Cancelled"),"",ROUND(IFERROR(H320*INDEX(Settings!$C$6:$C$15,MATCH(M320,Settings!$B$6:$B$15,0))+INDEX(Settings!$D$6:$D$15,MATCH(M320,Settings!$B$6:$B$15,0)),0),2))</f>
        <v/>
      </c>
      <c r="Q320" s="28">
        <f>IF(OR(H320="",L320="Cancelled"),"",H320-N(N320)-N(O320)-N(P320))</f>
        <v/>
      </c>
      <c r="R320" s="19">
        <f>IF(OR(B320="",K320=""),"",IF(OR(L320="Sent",L320="Picked up"),"Done",IF(L320="Cancelled","Cancelled",IF(K320&lt;TODAY(),"Late by "&amp;(TODAY()-K320)&amp;IF((TODAY()-K320)=1," day"," days"),IF(K320=TODAY(),"Due today","Due in "&amp;(K320-TODAY())&amp;IF((K320-TODAY())=1," day"," days"))))))</f>
        <v/>
      </c>
      <c r="S320" s="33" t="n"/>
      <c r="T320" s="1">
        <f>IF(AND(B320&lt;&gt;"",K320&lt;&gt;"",L320&lt;&gt;"Sent",L320&lt;&gt;"Picked up",L320&lt;&gt;"Cancelled"),K320+ROW()/10000000,"")</f>
        <v/>
      </c>
      <c r="U320">
        <f>IF(OR(B320="",C320=""),"",B320+ROW()/10000000)</f>
        <v/>
      </c>
      <c r="V320">
        <f>IF(U320="","",IF(COUNTIFS(Orders!$C$6:$C$1005,C320,Orders!$U$6:$U$1005,"&gt;"&amp;U320)=0,1,0))</f>
        <v/>
      </c>
      <c r="W320">
        <f>IF(AND(B320&lt;&gt;"",K320&lt;&gt;"",L320&lt;&gt;"Sent",L320&lt;&gt;"Picked up",L320&lt;&gt;"Cancelled"),IF(N(E320)=0,1,E320),0)</f>
        <v/>
      </c>
      <c r="X320">
        <f>IF(OR(B320="",D320=""),"",IF(N(E320)=0,1,E320))</f>
        <v/>
      </c>
    </row>
    <row r="321">
      <c r="A321" s="1" t="n"/>
      <c r="B321" s="31" t="n"/>
      <c r="C321" s="32" t="n"/>
      <c r="D321" s="33" t="n"/>
      <c r="E321" s="34" t="n"/>
      <c r="F321" s="35" t="n"/>
      <c r="G321" s="35" t="n"/>
      <c r="H321" s="30">
        <f>IF(OR(B321="",D321=""),"",IF(N(E321)=0,1,E321)*IFERROR(INDEX(Products!$C$6:$C$105,MATCH(D321,Products!$B$6:$B$105,0)),0)+N(F321)+N(G321))</f>
        <v/>
      </c>
      <c r="I321" s="35" t="n"/>
      <c r="J321" s="30">
        <f>IF(OR(H321="",L321="Cancelled"),"",IF(H321-N(I321)&gt;0.005,H321-N(I321),""))</f>
        <v/>
      </c>
      <c r="K321" s="31" t="n"/>
      <c r="L321" s="36" t="n"/>
      <c r="M321" s="33" t="n"/>
      <c r="N321" s="22">
        <f>IF(OR(H321="",L321="Cancelled"),"",IF(N(E321)=0,1,E321)*IFERROR(INDEX(Products!$E$6:$E$105,MATCH(D321,Products!$B$6:$B$105,0)),0))</f>
        <v/>
      </c>
      <c r="O321" s="35" t="n"/>
      <c r="P321" s="22">
        <f>IF(OR(H321="",L321="Cancelled"),"",ROUND(IFERROR(H321*INDEX(Settings!$C$6:$C$15,MATCH(M321,Settings!$B$6:$B$15,0))+INDEX(Settings!$D$6:$D$15,MATCH(M321,Settings!$B$6:$B$15,0)),0),2))</f>
        <v/>
      </c>
      <c r="Q321" s="28">
        <f>IF(OR(H321="",L321="Cancelled"),"",H321-N(N321)-N(O321)-N(P321))</f>
        <v/>
      </c>
      <c r="R321" s="19">
        <f>IF(OR(B321="",K321=""),"",IF(OR(L321="Sent",L321="Picked up"),"Done",IF(L321="Cancelled","Cancelled",IF(K321&lt;TODAY(),"Late by "&amp;(TODAY()-K321)&amp;IF((TODAY()-K321)=1," day"," days"),IF(K321=TODAY(),"Due today","Due in "&amp;(K321-TODAY())&amp;IF((K321-TODAY())=1," day"," days"))))))</f>
        <v/>
      </c>
      <c r="S321" s="33" t="n"/>
      <c r="T321" s="1">
        <f>IF(AND(B321&lt;&gt;"",K321&lt;&gt;"",L321&lt;&gt;"Sent",L321&lt;&gt;"Picked up",L321&lt;&gt;"Cancelled"),K321+ROW()/10000000,"")</f>
        <v/>
      </c>
      <c r="U321">
        <f>IF(OR(B321="",C321=""),"",B321+ROW()/10000000)</f>
        <v/>
      </c>
      <c r="V321">
        <f>IF(U321="","",IF(COUNTIFS(Orders!$C$6:$C$1005,C321,Orders!$U$6:$U$1005,"&gt;"&amp;U321)=0,1,0))</f>
        <v/>
      </c>
      <c r="W321">
        <f>IF(AND(B321&lt;&gt;"",K321&lt;&gt;"",L321&lt;&gt;"Sent",L321&lt;&gt;"Picked up",L321&lt;&gt;"Cancelled"),IF(N(E321)=0,1,E321),0)</f>
        <v/>
      </c>
      <c r="X321">
        <f>IF(OR(B321="",D321=""),"",IF(N(E321)=0,1,E321))</f>
        <v/>
      </c>
    </row>
    <row r="322">
      <c r="A322" s="1" t="n"/>
      <c r="B322" s="31" t="n"/>
      <c r="C322" s="32" t="n"/>
      <c r="D322" s="33" t="n"/>
      <c r="E322" s="34" t="n"/>
      <c r="F322" s="35" t="n"/>
      <c r="G322" s="35" t="n"/>
      <c r="H322" s="30">
        <f>IF(OR(B322="",D322=""),"",IF(N(E322)=0,1,E322)*IFERROR(INDEX(Products!$C$6:$C$105,MATCH(D322,Products!$B$6:$B$105,0)),0)+N(F322)+N(G322))</f>
        <v/>
      </c>
      <c r="I322" s="35" t="n"/>
      <c r="J322" s="30">
        <f>IF(OR(H322="",L322="Cancelled"),"",IF(H322-N(I322)&gt;0.005,H322-N(I322),""))</f>
        <v/>
      </c>
      <c r="K322" s="31" t="n"/>
      <c r="L322" s="36" t="n"/>
      <c r="M322" s="33" t="n"/>
      <c r="N322" s="22">
        <f>IF(OR(H322="",L322="Cancelled"),"",IF(N(E322)=0,1,E322)*IFERROR(INDEX(Products!$E$6:$E$105,MATCH(D322,Products!$B$6:$B$105,0)),0))</f>
        <v/>
      </c>
      <c r="O322" s="35" t="n"/>
      <c r="P322" s="22">
        <f>IF(OR(H322="",L322="Cancelled"),"",ROUND(IFERROR(H322*INDEX(Settings!$C$6:$C$15,MATCH(M322,Settings!$B$6:$B$15,0))+INDEX(Settings!$D$6:$D$15,MATCH(M322,Settings!$B$6:$B$15,0)),0),2))</f>
        <v/>
      </c>
      <c r="Q322" s="28">
        <f>IF(OR(H322="",L322="Cancelled"),"",H322-N(N322)-N(O322)-N(P322))</f>
        <v/>
      </c>
      <c r="R322" s="19">
        <f>IF(OR(B322="",K322=""),"",IF(OR(L322="Sent",L322="Picked up"),"Done",IF(L322="Cancelled","Cancelled",IF(K322&lt;TODAY(),"Late by "&amp;(TODAY()-K322)&amp;IF((TODAY()-K322)=1," day"," days"),IF(K322=TODAY(),"Due today","Due in "&amp;(K322-TODAY())&amp;IF((K322-TODAY())=1," day"," days"))))))</f>
        <v/>
      </c>
      <c r="S322" s="33" t="n"/>
      <c r="T322" s="1">
        <f>IF(AND(B322&lt;&gt;"",K322&lt;&gt;"",L322&lt;&gt;"Sent",L322&lt;&gt;"Picked up",L322&lt;&gt;"Cancelled"),K322+ROW()/10000000,"")</f>
        <v/>
      </c>
      <c r="U322">
        <f>IF(OR(B322="",C322=""),"",B322+ROW()/10000000)</f>
        <v/>
      </c>
      <c r="V322">
        <f>IF(U322="","",IF(COUNTIFS(Orders!$C$6:$C$1005,C322,Orders!$U$6:$U$1005,"&gt;"&amp;U322)=0,1,0))</f>
        <v/>
      </c>
      <c r="W322">
        <f>IF(AND(B322&lt;&gt;"",K322&lt;&gt;"",L322&lt;&gt;"Sent",L322&lt;&gt;"Picked up",L322&lt;&gt;"Cancelled"),IF(N(E322)=0,1,E322),0)</f>
        <v/>
      </c>
      <c r="X322">
        <f>IF(OR(B322="",D322=""),"",IF(N(E322)=0,1,E322))</f>
        <v/>
      </c>
    </row>
    <row r="323">
      <c r="A323" s="1" t="n"/>
      <c r="B323" s="31" t="n"/>
      <c r="C323" s="32" t="n"/>
      <c r="D323" s="33" t="n"/>
      <c r="E323" s="34" t="n"/>
      <c r="F323" s="35" t="n"/>
      <c r="G323" s="35" t="n"/>
      <c r="H323" s="30">
        <f>IF(OR(B323="",D323=""),"",IF(N(E323)=0,1,E323)*IFERROR(INDEX(Products!$C$6:$C$105,MATCH(D323,Products!$B$6:$B$105,0)),0)+N(F323)+N(G323))</f>
        <v/>
      </c>
      <c r="I323" s="35" t="n"/>
      <c r="J323" s="30">
        <f>IF(OR(H323="",L323="Cancelled"),"",IF(H323-N(I323)&gt;0.005,H323-N(I323),""))</f>
        <v/>
      </c>
      <c r="K323" s="31" t="n"/>
      <c r="L323" s="36" t="n"/>
      <c r="M323" s="33" t="n"/>
      <c r="N323" s="22">
        <f>IF(OR(H323="",L323="Cancelled"),"",IF(N(E323)=0,1,E323)*IFERROR(INDEX(Products!$E$6:$E$105,MATCH(D323,Products!$B$6:$B$105,0)),0))</f>
        <v/>
      </c>
      <c r="O323" s="35" t="n"/>
      <c r="P323" s="22">
        <f>IF(OR(H323="",L323="Cancelled"),"",ROUND(IFERROR(H323*INDEX(Settings!$C$6:$C$15,MATCH(M323,Settings!$B$6:$B$15,0))+INDEX(Settings!$D$6:$D$15,MATCH(M323,Settings!$B$6:$B$15,0)),0),2))</f>
        <v/>
      </c>
      <c r="Q323" s="28">
        <f>IF(OR(H323="",L323="Cancelled"),"",H323-N(N323)-N(O323)-N(P323))</f>
        <v/>
      </c>
      <c r="R323" s="19">
        <f>IF(OR(B323="",K323=""),"",IF(OR(L323="Sent",L323="Picked up"),"Done",IF(L323="Cancelled","Cancelled",IF(K323&lt;TODAY(),"Late by "&amp;(TODAY()-K323)&amp;IF((TODAY()-K323)=1," day"," days"),IF(K323=TODAY(),"Due today","Due in "&amp;(K323-TODAY())&amp;IF((K323-TODAY())=1," day"," days"))))))</f>
        <v/>
      </c>
      <c r="S323" s="33" t="n"/>
      <c r="T323" s="1">
        <f>IF(AND(B323&lt;&gt;"",K323&lt;&gt;"",L323&lt;&gt;"Sent",L323&lt;&gt;"Picked up",L323&lt;&gt;"Cancelled"),K323+ROW()/10000000,"")</f>
        <v/>
      </c>
      <c r="U323">
        <f>IF(OR(B323="",C323=""),"",B323+ROW()/10000000)</f>
        <v/>
      </c>
      <c r="V323">
        <f>IF(U323="","",IF(COUNTIFS(Orders!$C$6:$C$1005,C323,Orders!$U$6:$U$1005,"&gt;"&amp;U323)=0,1,0))</f>
        <v/>
      </c>
      <c r="W323">
        <f>IF(AND(B323&lt;&gt;"",K323&lt;&gt;"",L323&lt;&gt;"Sent",L323&lt;&gt;"Picked up",L323&lt;&gt;"Cancelled"),IF(N(E323)=0,1,E323),0)</f>
        <v/>
      </c>
      <c r="X323">
        <f>IF(OR(B323="",D323=""),"",IF(N(E323)=0,1,E323))</f>
        <v/>
      </c>
    </row>
    <row r="324">
      <c r="A324" s="1" t="n"/>
      <c r="B324" s="31" t="n"/>
      <c r="C324" s="32" t="n"/>
      <c r="D324" s="33" t="n"/>
      <c r="E324" s="34" t="n"/>
      <c r="F324" s="35" t="n"/>
      <c r="G324" s="35" t="n"/>
      <c r="H324" s="30">
        <f>IF(OR(B324="",D324=""),"",IF(N(E324)=0,1,E324)*IFERROR(INDEX(Products!$C$6:$C$105,MATCH(D324,Products!$B$6:$B$105,0)),0)+N(F324)+N(G324))</f>
        <v/>
      </c>
      <c r="I324" s="35" t="n"/>
      <c r="J324" s="30">
        <f>IF(OR(H324="",L324="Cancelled"),"",IF(H324-N(I324)&gt;0.005,H324-N(I324),""))</f>
        <v/>
      </c>
      <c r="K324" s="31" t="n"/>
      <c r="L324" s="36" t="n"/>
      <c r="M324" s="33" t="n"/>
      <c r="N324" s="22">
        <f>IF(OR(H324="",L324="Cancelled"),"",IF(N(E324)=0,1,E324)*IFERROR(INDEX(Products!$E$6:$E$105,MATCH(D324,Products!$B$6:$B$105,0)),0))</f>
        <v/>
      </c>
      <c r="O324" s="35" t="n"/>
      <c r="P324" s="22">
        <f>IF(OR(H324="",L324="Cancelled"),"",ROUND(IFERROR(H324*INDEX(Settings!$C$6:$C$15,MATCH(M324,Settings!$B$6:$B$15,0))+INDEX(Settings!$D$6:$D$15,MATCH(M324,Settings!$B$6:$B$15,0)),0),2))</f>
        <v/>
      </c>
      <c r="Q324" s="28">
        <f>IF(OR(H324="",L324="Cancelled"),"",H324-N(N324)-N(O324)-N(P324))</f>
        <v/>
      </c>
      <c r="R324" s="19">
        <f>IF(OR(B324="",K324=""),"",IF(OR(L324="Sent",L324="Picked up"),"Done",IF(L324="Cancelled","Cancelled",IF(K324&lt;TODAY(),"Late by "&amp;(TODAY()-K324)&amp;IF((TODAY()-K324)=1," day"," days"),IF(K324=TODAY(),"Due today","Due in "&amp;(K324-TODAY())&amp;IF((K324-TODAY())=1," day"," days"))))))</f>
        <v/>
      </c>
      <c r="S324" s="33" t="n"/>
      <c r="T324" s="1">
        <f>IF(AND(B324&lt;&gt;"",K324&lt;&gt;"",L324&lt;&gt;"Sent",L324&lt;&gt;"Picked up",L324&lt;&gt;"Cancelled"),K324+ROW()/10000000,"")</f>
        <v/>
      </c>
      <c r="U324">
        <f>IF(OR(B324="",C324=""),"",B324+ROW()/10000000)</f>
        <v/>
      </c>
      <c r="V324">
        <f>IF(U324="","",IF(COUNTIFS(Orders!$C$6:$C$1005,C324,Orders!$U$6:$U$1005,"&gt;"&amp;U324)=0,1,0))</f>
        <v/>
      </c>
      <c r="W324">
        <f>IF(AND(B324&lt;&gt;"",K324&lt;&gt;"",L324&lt;&gt;"Sent",L324&lt;&gt;"Picked up",L324&lt;&gt;"Cancelled"),IF(N(E324)=0,1,E324),0)</f>
        <v/>
      </c>
      <c r="X324">
        <f>IF(OR(B324="",D324=""),"",IF(N(E324)=0,1,E324))</f>
        <v/>
      </c>
    </row>
    <row r="325">
      <c r="A325" s="1" t="n"/>
      <c r="B325" s="31" t="n"/>
      <c r="C325" s="32" t="n"/>
      <c r="D325" s="33" t="n"/>
      <c r="E325" s="34" t="n"/>
      <c r="F325" s="35" t="n"/>
      <c r="G325" s="35" t="n"/>
      <c r="H325" s="30">
        <f>IF(OR(B325="",D325=""),"",IF(N(E325)=0,1,E325)*IFERROR(INDEX(Products!$C$6:$C$105,MATCH(D325,Products!$B$6:$B$105,0)),0)+N(F325)+N(G325))</f>
        <v/>
      </c>
      <c r="I325" s="35" t="n"/>
      <c r="J325" s="30">
        <f>IF(OR(H325="",L325="Cancelled"),"",IF(H325-N(I325)&gt;0.005,H325-N(I325),""))</f>
        <v/>
      </c>
      <c r="K325" s="31" t="n"/>
      <c r="L325" s="36" t="n"/>
      <c r="M325" s="33" t="n"/>
      <c r="N325" s="22">
        <f>IF(OR(H325="",L325="Cancelled"),"",IF(N(E325)=0,1,E325)*IFERROR(INDEX(Products!$E$6:$E$105,MATCH(D325,Products!$B$6:$B$105,0)),0))</f>
        <v/>
      </c>
      <c r="O325" s="35" t="n"/>
      <c r="P325" s="22">
        <f>IF(OR(H325="",L325="Cancelled"),"",ROUND(IFERROR(H325*INDEX(Settings!$C$6:$C$15,MATCH(M325,Settings!$B$6:$B$15,0))+INDEX(Settings!$D$6:$D$15,MATCH(M325,Settings!$B$6:$B$15,0)),0),2))</f>
        <v/>
      </c>
      <c r="Q325" s="28">
        <f>IF(OR(H325="",L325="Cancelled"),"",H325-N(N325)-N(O325)-N(P325))</f>
        <v/>
      </c>
      <c r="R325" s="19">
        <f>IF(OR(B325="",K325=""),"",IF(OR(L325="Sent",L325="Picked up"),"Done",IF(L325="Cancelled","Cancelled",IF(K325&lt;TODAY(),"Late by "&amp;(TODAY()-K325)&amp;IF((TODAY()-K325)=1," day"," days"),IF(K325=TODAY(),"Due today","Due in "&amp;(K325-TODAY())&amp;IF((K325-TODAY())=1," day"," days"))))))</f>
        <v/>
      </c>
      <c r="S325" s="33" t="n"/>
      <c r="T325" s="1">
        <f>IF(AND(B325&lt;&gt;"",K325&lt;&gt;"",L325&lt;&gt;"Sent",L325&lt;&gt;"Picked up",L325&lt;&gt;"Cancelled"),K325+ROW()/10000000,"")</f>
        <v/>
      </c>
      <c r="U325">
        <f>IF(OR(B325="",C325=""),"",B325+ROW()/10000000)</f>
        <v/>
      </c>
      <c r="V325">
        <f>IF(U325="","",IF(COUNTIFS(Orders!$C$6:$C$1005,C325,Orders!$U$6:$U$1005,"&gt;"&amp;U325)=0,1,0))</f>
        <v/>
      </c>
      <c r="W325">
        <f>IF(AND(B325&lt;&gt;"",K325&lt;&gt;"",L325&lt;&gt;"Sent",L325&lt;&gt;"Picked up",L325&lt;&gt;"Cancelled"),IF(N(E325)=0,1,E325),0)</f>
        <v/>
      </c>
      <c r="X325">
        <f>IF(OR(B325="",D325=""),"",IF(N(E325)=0,1,E325))</f>
        <v/>
      </c>
    </row>
    <row r="326">
      <c r="A326" s="1" t="n"/>
      <c r="B326" s="31" t="n"/>
      <c r="C326" s="32" t="n"/>
      <c r="D326" s="33" t="n"/>
      <c r="E326" s="34" t="n"/>
      <c r="F326" s="35" t="n"/>
      <c r="G326" s="35" t="n"/>
      <c r="H326" s="30">
        <f>IF(OR(B326="",D326=""),"",IF(N(E326)=0,1,E326)*IFERROR(INDEX(Products!$C$6:$C$105,MATCH(D326,Products!$B$6:$B$105,0)),0)+N(F326)+N(G326))</f>
        <v/>
      </c>
      <c r="I326" s="35" t="n"/>
      <c r="J326" s="30">
        <f>IF(OR(H326="",L326="Cancelled"),"",IF(H326-N(I326)&gt;0.005,H326-N(I326),""))</f>
        <v/>
      </c>
      <c r="K326" s="31" t="n"/>
      <c r="L326" s="36" t="n"/>
      <c r="M326" s="33" t="n"/>
      <c r="N326" s="22">
        <f>IF(OR(H326="",L326="Cancelled"),"",IF(N(E326)=0,1,E326)*IFERROR(INDEX(Products!$E$6:$E$105,MATCH(D326,Products!$B$6:$B$105,0)),0))</f>
        <v/>
      </c>
      <c r="O326" s="35" t="n"/>
      <c r="P326" s="22">
        <f>IF(OR(H326="",L326="Cancelled"),"",ROUND(IFERROR(H326*INDEX(Settings!$C$6:$C$15,MATCH(M326,Settings!$B$6:$B$15,0))+INDEX(Settings!$D$6:$D$15,MATCH(M326,Settings!$B$6:$B$15,0)),0),2))</f>
        <v/>
      </c>
      <c r="Q326" s="28">
        <f>IF(OR(H326="",L326="Cancelled"),"",H326-N(N326)-N(O326)-N(P326))</f>
        <v/>
      </c>
      <c r="R326" s="19">
        <f>IF(OR(B326="",K326=""),"",IF(OR(L326="Sent",L326="Picked up"),"Done",IF(L326="Cancelled","Cancelled",IF(K326&lt;TODAY(),"Late by "&amp;(TODAY()-K326)&amp;IF((TODAY()-K326)=1," day"," days"),IF(K326=TODAY(),"Due today","Due in "&amp;(K326-TODAY())&amp;IF((K326-TODAY())=1," day"," days"))))))</f>
        <v/>
      </c>
      <c r="S326" s="33" t="n"/>
      <c r="T326" s="1">
        <f>IF(AND(B326&lt;&gt;"",K326&lt;&gt;"",L326&lt;&gt;"Sent",L326&lt;&gt;"Picked up",L326&lt;&gt;"Cancelled"),K326+ROW()/10000000,"")</f>
        <v/>
      </c>
      <c r="U326">
        <f>IF(OR(B326="",C326=""),"",B326+ROW()/10000000)</f>
        <v/>
      </c>
      <c r="V326">
        <f>IF(U326="","",IF(COUNTIFS(Orders!$C$6:$C$1005,C326,Orders!$U$6:$U$1005,"&gt;"&amp;U326)=0,1,0))</f>
        <v/>
      </c>
      <c r="W326">
        <f>IF(AND(B326&lt;&gt;"",K326&lt;&gt;"",L326&lt;&gt;"Sent",L326&lt;&gt;"Picked up",L326&lt;&gt;"Cancelled"),IF(N(E326)=0,1,E326),0)</f>
        <v/>
      </c>
      <c r="X326">
        <f>IF(OR(B326="",D326=""),"",IF(N(E326)=0,1,E326))</f>
        <v/>
      </c>
    </row>
    <row r="327">
      <c r="A327" s="1" t="n"/>
      <c r="B327" s="31" t="n"/>
      <c r="C327" s="32" t="n"/>
      <c r="D327" s="33" t="n"/>
      <c r="E327" s="34" t="n"/>
      <c r="F327" s="35" t="n"/>
      <c r="G327" s="35" t="n"/>
      <c r="H327" s="30">
        <f>IF(OR(B327="",D327=""),"",IF(N(E327)=0,1,E327)*IFERROR(INDEX(Products!$C$6:$C$105,MATCH(D327,Products!$B$6:$B$105,0)),0)+N(F327)+N(G327))</f>
        <v/>
      </c>
      <c r="I327" s="35" t="n"/>
      <c r="J327" s="30">
        <f>IF(OR(H327="",L327="Cancelled"),"",IF(H327-N(I327)&gt;0.005,H327-N(I327),""))</f>
        <v/>
      </c>
      <c r="K327" s="31" t="n"/>
      <c r="L327" s="36" t="n"/>
      <c r="M327" s="33" t="n"/>
      <c r="N327" s="22">
        <f>IF(OR(H327="",L327="Cancelled"),"",IF(N(E327)=0,1,E327)*IFERROR(INDEX(Products!$E$6:$E$105,MATCH(D327,Products!$B$6:$B$105,0)),0))</f>
        <v/>
      </c>
      <c r="O327" s="35" t="n"/>
      <c r="P327" s="22">
        <f>IF(OR(H327="",L327="Cancelled"),"",ROUND(IFERROR(H327*INDEX(Settings!$C$6:$C$15,MATCH(M327,Settings!$B$6:$B$15,0))+INDEX(Settings!$D$6:$D$15,MATCH(M327,Settings!$B$6:$B$15,0)),0),2))</f>
        <v/>
      </c>
      <c r="Q327" s="28">
        <f>IF(OR(H327="",L327="Cancelled"),"",H327-N(N327)-N(O327)-N(P327))</f>
        <v/>
      </c>
      <c r="R327" s="19">
        <f>IF(OR(B327="",K327=""),"",IF(OR(L327="Sent",L327="Picked up"),"Done",IF(L327="Cancelled","Cancelled",IF(K327&lt;TODAY(),"Late by "&amp;(TODAY()-K327)&amp;IF((TODAY()-K327)=1," day"," days"),IF(K327=TODAY(),"Due today","Due in "&amp;(K327-TODAY())&amp;IF((K327-TODAY())=1," day"," days"))))))</f>
        <v/>
      </c>
      <c r="S327" s="33" t="n"/>
      <c r="T327" s="1">
        <f>IF(AND(B327&lt;&gt;"",K327&lt;&gt;"",L327&lt;&gt;"Sent",L327&lt;&gt;"Picked up",L327&lt;&gt;"Cancelled"),K327+ROW()/10000000,"")</f>
        <v/>
      </c>
      <c r="U327">
        <f>IF(OR(B327="",C327=""),"",B327+ROW()/10000000)</f>
        <v/>
      </c>
      <c r="V327">
        <f>IF(U327="","",IF(COUNTIFS(Orders!$C$6:$C$1005,C327,Orders!$U$6:$U$1005,"&gt;"&amp;U327)=0,1,0))</f>
        <v/>
      </c>
      <c r="W327">
        <f>IF(AND(B327&lt;&gt;"",K327&lt;&gt;"",L327&lt;&gt;"Sent",L327&lt;&gt;"Picked up",L327&lt;&gt;"Cancelled"),IF(N(E327)=0,1,E327),0)</f>
        <v/>
      </c>
      <c r="X327">
        <f>IF(OR(B327="",D327=""),"",IF(N(E327)=0,1,E327))</f>
        <v/>
      </c>
    </row>
    <row r="328">
      <c r="A328" s="1" t="n"/>
      <c r="B328" s="31" t="n"/>
      <c r="C328" s="32" t="n"/>
      <c r="D328" s="33" t="n"/>
      <c r="E328" s="34" t="n"/>
      <c r="F328" s="35" t="n"/>
      <c r="G328" s="35" t="n"/>
      <c r="H328" s="30">
        <f>IF(OR(B328="",D328=""),"",IF(N(E328)=0,1,E328)*IFERROR(INDEX(Products!$C$6:$C$105,MATCH(D328,Products!$B$6:$B$105,0)),0)+N(F328)+N(G328))</f>
        <v/>
      </c>
      <c r="I328" s="35" t="n"/>
      <c r="J328" s="30">
        <f>IF(OR(H328="",L328="Cancelled"),"",IF(H328-N(I328)&gt;0.005,H328-N(I328),""))</f>
        <v/>
      </c>
      <c r="K328" s="31" t="n"/>
      <c r="L328" s="36" t="n"/>
      <c r="M328" s="33" t="n"/>
      <c r="N328" s="22">
        <f>IF(OR(H328="",L328="Cancelled"),"",IF(N(E328)=0,1,E328)*IFERROR(INDEX(Products!$E$6:$E$105,MATCH(D328,Products!$B$6:$B$105,0)),0))</f>
        <v/>
      </c>
      <c r="O328" s="35" t="n"/>
      <c r="P328" s="22">
        <f>IF(OR(H328="",L328="Cancelled"),"",ROUND(IFERROR(H328*INDEX(Settings!$C$6:$C$15,MATCH(M328,Settings!$B$6:$B$15,0))+INDEX(Settings!$D$6:$D$15,MATCH(M328,Settings!$B$6:$B$15,0)),0),2))</f>
        <v/>
      </c>
      <c r="Q328" s="28">
        <f>IF(OR(H328="",L328="Cancelled"),"",H328-N(N328)-N(O328)-N(P328))</f>
        <v/>
      </c>
      <c r="R328" s="19">
        <f>IF(OR(B328="",K328=""),"",IF(OR(L328="Sent",L328="Picked up"),"Done",IF(L328="Cancelled","Cancelled",IF(K328&lt;TODAY(),"Late by "&amp;(TODAY()-K328)&amp;IF((TODAY()-K328)=1," day"," days"),IF(K328=TODAY(),"Due today","Due in "&amp;(K328-TODAY())&amp;IF((K328-TODAY())=1," day"," days"))))))</f>
        <v/>
      </c>
      <c r="S328" s="33" t="n"/>
      <c r="T328" s="1">
        <f>IF(AND(B328&lt;&gt;"",K328&lt;&gt;"",L328&lt;&gt;"Sent",L328&lt;&gt;"Picked up",L328&lt;&gt;"Cancelled"),K328+ROW()/10000000,"")</f>
        <v/>
      </c>
      <c r="U328">
        <f>IF(OR(B328="",C328=""),"",B328+ROW()/10000000)</f>
        <v/>
      </c>
      <c r="V328">
        <f>IF(U328="","",IF(COUNTIFS(Orders!$C$6:$C$1005,C328,Orders!$U$6:$U$1005,"&gt;"&amp;U328)=0,1,0))</f>
        <v/>
      </c>
      <c r="W328">
        <f>IF(AND(B328&lt;&gt;"",K328&lt;&gt;"",L328&lt;&gt;"Sent",L328&lt;&gt;"Picked up",L328&lt;&gt;"Cancelled"),IF(N(E328)=0,1,E328),0)</f>
        <v/>
      </c>
      <c r="X328">
        <f>IF(OR(B328="",D328=""),"",IF(N(E328)=0,1,E328))</f>
        <v/>
      </c>
    </row>
    <row r="329">
      <c r="A329" s="1" t="n"/>
      <c r="B329" s="31" t="n"/>
      <c r="C329" s="32" t="n"/>
      <c r="D329" s="33" t="n"/>
      <c r="E329" s="34" t="n"/>
      <c r="F329" s="35" t="n"/>
      <c r="G329" s="35" t="n"/>
      <c r="H329" s="30">
        <f>IF(OR(B329="",D329=""),"",IF(N(E329)=0,1,E329)*IFERROR(INDEX(Products!$C$6:$C$105,MATCH(D329,Products!$B$6:$B$105,0)),0)+N(F329)+N(G329))</f>
        <v/>
      </c>
      <c r="I329" s="35" t="n"/>
      <c r="J329" s="30">
        <f>IF(OR(H329="",L329="Cancelled"),"",IF(H329-N(I329)&gt;0.005,H329-N(I329),""))</f>
        <v/>
      </c>
      <c r="K329" s="31" t="n"/>
      <c r="L329" s="36" t="n"/>
      <c r="M329" s="33" t="n"/>
      <c r="N329" s="22">
        <f>IF(OR(H329="",L329="Cancelled"),"",IF(N(E329)=0,1,E329)*IFERROR(INDEX(Products!$E$6:$E$105,MATCH(D329,Products!$B$6:$B$105,0)),0))</f>
        <v/>
      </c>
      <c r="O329" s="35" t="n"/>
      <c r="P329" s="22">
        <f>IF(OR(H329="",L329="Cancelled"),"",ROUND(IFERROR(H329*INDEX(Settings!$C$6:$C$15,MATCH(M329,Settings!$B$6:$B$15,0))+INDEX(Settings!$D$6:$D$15,MATCH(M329,Settings!$B$6:$B$15,0)),0),2))</f>
        <v/>
      </c>
      <c r="Q329" s="28">
        <f>IF(OR(H329="",L329="Cancelled"),"",H329-N(N329)-N(O329)-N(P329))</f>
        <v/>
      </c>
      <c r="R329" s="19">
        <f>IF(OR(B329="",K329=""),"",IF(OR(L329="Sent",L329="Picked up"),"Done",IF(L329="Cancelled","Cancelled",IF(K329&lt;TODAY(),"Late by "&amp;(TODAY()-K329)&amp;IF((TODAY()-K329)=1," day"," days"),IF(K329=TODAY(),"Due today","Due in "&amp;(K329-TODAY())&amp;IF((K329-TODAY())=1," day"," days"))))))</f>
        <v/>
      </c>
      <c r="S329" s="33" t="n"/>
      <c r="T329" s="1">
        <f>IF(AND(B329&lt;&gt;"",K329&lt;&gt;"",L329&lt;&gt;"Sent",L329&lt;&gt;"Picked up",L329&lt;&gt;"Cancelled"),K329+ROW()/10000000,"")</f>
        <v/>
      </c>
      <c r="U329">
        <f>IF(OR(B329="",C329=""),"",B329+ROW()/10000000)</f>
        <v/>
      </c>
      <c r="V329">
        <f>IF(U329="","",IF(COUNTIFS(Orders!$C$6:$C$1005,C329,Orders!$U$6:$U$1005,"&gt;"&amp;U329)=0,1,0))</f>
        <v/>
      </c>
      <c r="W329">
        <f>IF(AND(B329&lt;&gt;"",K329&lt;&gt;"",L329&lt;&gt;"Sent",L329&lt;&gt;"Picked up",L329&lt;&gt;"Cancelled"),IF(N(E329)=0,1,E329),0)</f>
        <v/>
      </c>
      <c r="X329">
        <f>IF(OR(B329="",D329=""),"",IF(N(E329)=0,1,E329))</f>
        <v/>
      </c>
    </row>
    <row r="330">
      <c r="A330" s="1" t="n"/>
      <c r="B330" s="31" t="n"/>
      <c r="C330" s="32" t="n"/>
      <c r="D330" s="33" t="n"/>
      <c r="E330" s="34" t="n"/>
      <c r="F330" s="35" t="n"/>
      <c r="G330" s="35" t="n"/>
      <c r="H330" s="30">
        <f>IF(OR(B330="",D330=""),"",IF(N(E330)=0,1,E330)*IFERROR(INDEX(Products!$C$6:$C$105,MATCH(D330,Products!$B$6:$B$105,0)),0)+N(F330)+N(G330))</f>
        <v/>
      </c>
      <c r="I330" s="35" t="n"/>
      <c r="J330" s="30">
        <f>IF(OR(H330="",L330="Cancelled"),"",IF(H330-N(I330)&gt;0.005,H330-N(I330),""))</f>
        <v/>
      </c>
      <c r="K330" s="31" t="n"/>
      <c r="L330" s="36" t="n"/>
      <c r="M330" s="33" t="n"/>
      <c r="N330" s="22">
        <f>IF(OR(H330="",L330="Cancelled"),"",IF(N(E330)=0,1,E330)*IFERROR(INDEX(Products!$E$6:$E$105,MATCH(D330,Products!$B$6:$B$105,0)),0))</f>
        <v/>
      </c>
      <c r="O330" s="35" t="n"/>
      <c r="P330" s="22">
        <f>IF(OR(H330="",L330="Cancelled"),"",ROUND(IFERROR(H330*INDEX(Settings!$C$6:$C$15,MATCH(M330,Settings!$B$6:$B$15,0))+INDEX(Settings!$D$6:$D$15,MATCH(M330,Settings!$B$6:$B$15,0)),0),2))</f>
        <v/>
      </c>
      <c r="Q330" s="28">
        <f>IF(OR(H330="",L330="Cancelled"),"",H330-N(N330)-N(O330)-N(P330))</f>
        <v/>
      </c>
      <c r="R330" s="19">
        <f>IF(OR(B330="",K330=""),"",IF(OR(L330="Sent",L330="Picked up"),"Done",IF(L330="Cancelled","Cancelled",IF(K330&lt;TODAY(),"Late by "&amp;(TODAY()-K330)&amp;IF((TODAY()-K330)=1," day"," days"),IF(K330=TODAY(),"Due today","Due in "&amp;(K330-TODAY())&amp;IF((K330-TODAY())=1," day"," days"))))))</f>
        <v/>
      </c>
      <c r="S330" s="33" t="n"/>
      <c r="T330" s="1">
        <f>IF(AND(B330&lt;&gt;"",K330&lt;&gt;"",L330&lt;&gt;"Sent",L330&lt;&gt;"Picked up",L330&lt;&gt;"Cancelled"),K330+ROW()/10000000,"")</f>
        <v/>
      </c>
      <c r="U330">
        <f>IF(OR(B330="",C330=""),"",B330+ROW()/10000000)</f>
        <v/>
      </c>
      <c r="V330">
        <f>IF(U330="","",IF(COUNTIFS(Orders!$C$6:$C$1005,C330,Orders!$U$6:$U$1005,"&gt;"&amp;U330)=0,1,0))</f>
        <v/>
      </c>
      <c r="W330">
        <f>IF(AND(B330&lt;&gt;"",K330&lt;&gt;"",L330&lt;&gt;"Sent",L330&lt;&gt;"Picked up",L330&lt;&gt;"Cancelled"),IF(N(E330)=0,1,E330),0)</f>
        <v/>
      </c>
      <c r="X330">
        <f>IF(OR(B330="",D330=""),"",IF(N(E330)=0,1,E330))</f>
        <v/>
      </c>
    </row>
    <row r="331">
      <c r="A331" s="1" t="n"/>
      <c r="B331" s="31" t="n"/>
      <c r="C331" s="32" t="n"/>
      <c r="D331" s="33" t="n"/>
      <c r="E331" s="34" t="n"/>
      <c r="F331" s="35" t="n"/>
      <c r="G331" s="35" t="n"/>
      <c r="H331" s="30">
        <f>IF(OR(B331="",D331=""),"",IF(N(E331)=0,1,E331)*IFERROR(INDEX(Products!$C$6:$C$105,MATCH(D331,Products!$B$6:$B$105,0)),0)+N(F331)+N(G331))</f>
        <v/>
      </c>
      <c r="I331" s="35" t="n"/>
      <c r="J331" s="30">
        <f>IF(OR(H331="",L331="Cancelled"),"",IF(H331-N(I331)&gt;0.005,H331-N(I331),""))</f>
        <v/>
      </c>
      <c r="K331" s="31" t="n"/>
      <c r="L331" s="36" t="n"/>
      <c r="M331" s="33" t="n"/>
      <c r="N331" s="22">
        <f>IF(OR(H331="",L331="Cancelled"),"",IF(N(E331)=0,1,E331)*IFERROR(INDEX(Products!$E$6:$E$105,MATCH(D331,Products!$B$6:$B$105,0)),0))</f>
        <v/>
      </c>
      <c r="O331" s="35" t="n"/>
      <c r="P331" s="22">
        <f>IF(OR(H331="",L331="Cancelled"),"",ROUND(IFERROR(H331*INDEX(Settings!$C$6:$C$15,MATCH(M331,Settings!$B$6:$B$15,0))+INDEX(Settings!$D$6:$D$15,MATCH(M331,Settings!$B$6:$B$15,0)),0),2))</f>
        <v/>
      </c>
      <c r="Q331" s="28">
        <f>IF(OR(H331="",L331="Cancelled"),"",H331-N(N331)-N(O331)-N(P331))</f>
        <v/>
      </c>
      <c r="R331" s="19">
        <f>IF(OR(B331="",K331=""),"",IF(OR(L331="Sent",L331="Picked up"),"Done",IF(L331="Cancelled","Cancelled",IF(K331&lt;TODAY(),"Late by "&amp;(TODAY()-K331)&amp;IF((TODAY()-K331)=1," day"," days"),IF(K331=TODAY(),"Due today","Due in "&amp;(K331-TODAY())&amp;IF((K331-TODAY())=1," day"," days"))))))</f>
        <v/>
      </c>
      <c r="S331" s="33" t="n"/>
      <c r="T331" s="1">
        <f>IF(AND(B331&lt;&gt;"",K331&lt;&gt;"",L331&lt;&gt;"Sent",L331&lt;&gt;"Picked up",L331&lt;&gt;"Cancelled"),K331+ROW()/10000000,"")</f>
        <v/>
      </c>
      <c r="U331">
        <f>IF(OR(B331="",C331=""),"",B331+ROW()/10000000)</f>
        <v/>
      </c>
      <c r="V331">
        <f>IF(U331="","",IF(COUNTIFS(Orders!$C$6:$C$1005,C331,Orders!$U$6:$U$1005,"&gt;"&amp;U331)=0,1,0))</f>
        <v/>
      </c>
      <c r="W331">
        <f>IF(AND(B331&lt;&gt;"",K331&lt;&gt;"",L331&lt;&gt;"Sent",L331&lt;&gt;"Picked up",L331&lt;&gt;"Cancelled"),IF(N(E331)=0,1,E331),0)</f>
        <v/>
      </c>
      <c r="X331">
        <f>IF(OR(B331="",D331=""),"",IF(N(E331)=0,1,E331))</f>
        <v/>
      </c>
    </row>
    <row r="332">
      <c r="A332" s="1" t="n"/>
      <c r="B332" s="31" t="n"/>
      <c r="C332" s="32" t="n"/>
      <c r="D332" s="33" t="n"/>
      <c r="E332" s="34" t="n"/>
      <c r="F332" s="35" t="n"/>
      <c r="G332" s="35" t="n"/>
      <c r="H332" s="30">
        <f>IF(OR(B332="",D332=""),"",IF(N(E332)=0,1,E332)*IFERROR(INDEX(Products!$C$6:$C$105,MATCH(D332,Products!$B$6:$B$105,0)),0)+N(F332)+N(G332))</f>
        <v/>
      </c>
      <c r="I332" s="35" t="n"/>
      <c r="J332" s="30">
        <f>IF(OR(H332="",L332="Cancelled"),"",IF(H332-N(I332)&gt;0.005,H332-N(I332),""))</f>
        <v/>
      </c>
      <c r="K332" s="31" t="n"/>
      <c r="L332" s="36" t="n"/>
      <c r="M332" s="33" t="n"/>
      <c r="N332" s="22">
        <f>IF(OR(H332="",L332="Cancelled"),"",IF(N(E332)=0,1,E332)*IFERROR(INDEX(Products!$E$6:$E$105,MATCH(D332,Products!$B$6:$B$105,0)),0))</f>
        <v/>
      </c>
      <c r="O332" s="35" t="n"/>
      <c r="P332" s="22">
        <f>IF(OR(H332="",L332="Cancelled"),"",ROUND(IFERROR(H332*INDEX(Settings!$C$6:$C$15,MATCH(M332,Settings!$B$6:$B$15,0))+INDEX(Settings!$D$6:$D$15,MATCH(M332,Settings!$B$6:$B$15,0)),0),2))</f>
        <v/>
      </c>
      <c r="Q332" s="28">
        <f>IF(OR(H332="",L332="Cancelled"),"",H332-N(N332)-N(O332)-N(P332))</f>
        <v/>
      </c>
      <c r="R332" s="19">
        <f>IF(OR(B332="",K332=""),"",IF(OR(L332="Sent",L332="Picked up"),"Done",IF(L332="Cancelled","Cancelled",IF(K332&lt;TODAY(),"Late by "&amp;(TODAY()-K332)&amp;IF((TODAY()-K332)=1," day"," days"),IF(K332=TODAY(),"Due today","Due in "&amp;(K332-TODAY())&amp;IF((K332-TODAY())=1," day"," days"))))))</f>
        <v/>
      </c>
      <c r="S332" s="33" t="n"/>
      <c r="T332" s="1">
        <f>IF(AND(B332&lt;&gt;"",K332&lt;&gt;"",L332&lt;&gt;"Sent",L332&lt;&gt;"Picked up",L332&lt;&gt;"Cancelled"),K332+ROW()/10000000,"")</f>
        <v/>
      </c>
      <c r="U332">
        <f>IF(OR(B332="",C332=""),"",B332+ROW()/10000000)</f>
        <v/>
      </c>
      <c r="V332">
        <f>IF(U332="","",IF(COUNTIFS(Orders!$C$6:$C$1005,C332,Orders!$U$6:$U$1005,"&gt;"&amp;U332)=0,1,0))</f>
        <v/>
      </c>
      <c r="W332">
        <f>IF(AND(B332&lt;&gt;"",K332&lt;&gt;"",L332&lt;&gt;"Sent",L332&lt;&gt;"Picked up",L332&lt;&gt;"Cancelled"),IF(N(E332)=0,1,E332),0)</f>
        <v/>
      </c>
      <c r="X332">
        <f>IF(OR(B332="",D332=""),"",IF(N(E332)=0,1,E332))</f>
        <v/>
      </c>
    </row>
    <row r="333">
      <c r="A333" s="1" t="n"/>
      <c r="B333" s="31" t="n"/>
      <c r="C333" s="32" t="n"/>
      <c r="D333" s="33" t="n"/>
      <c r="E333" s="34" t="n"/>
      <c r="F333" s="35" t="n"/>
      <c r="G333" s="35" t="n"/>
      <c r="H333" s="30">
        <f>IF(OR(B333="",D333=""),"",IF(N(E333)=0,1,E333)*IFERROR(INDEX(Products!$C$6:$C$105,MATCH(D333,Products!$B$6:$B$105,0)),0)+N(F333)+N(G333))</f>
        <v/>
      </c>
      <c r="I333" s="35" t="n"/>
      <c r="J333" s="30">
        <f>IF(OR(H333="",L333="Cancelled"),"",IF(H333-N(I333)&gt;0.005,H333-N(I333),""))</f>
        <v/>
      </c>
      <c r="K333" s="31" t="n"/>
      <c r="L333" s="36" t="n"/>
      <c r="M333" s="33" t="n"/>
      <c r="N333" s="22">
        <f>IF(OR(H333="",L333="Cancelled"),"",IF(N(E333)=0,1,E333)*IFERROR(INDEX(Products!$E$6:$E$105,MATCH(D333,Products!$B$6:$B$105,0)),0))</f>
        <v/>
      </c>
      <c r="O333" s="35" t="n"/>
      <c r="P333" s="22">
        <f>IF(OR(H333="",L333="Cancelled"),"",ROUND(IFERROR(H333*INDEX(Settings!$C$6:$C$15,MATCH(M333,Settings!$B$6:$B$15,0))+INDEX(Settings!$D$6:$D$15,MATCH(M333,Settings!$B$6:$B$15,0)),0),2))</f>
        <v/>
      </c>
      <c r="Q333" s="28">
        <f>IF(OR(H333="",L333="Cancelled"),"",H333-N(N333)-N(O333)-N(P333))</f>
        <v/>
      </c>
      <c r="R333" s="19">
        <f>IF(OR(B333="",K333=""),"",IF(OR(L333="Sent",L333="Picked up"),"Done",IF(L333="Cancelled","Cancelled",IF(K333&lt;TODAY(),"Late by "&amp;(TODAY()-K333)&amp;IF((TODAY()-K333)=1," day"," days"),IF(K333=TODAY(),"Due today","Due in "&amp;(K333-TODAY())&amp;IF((K333-TODAY())=1," day"," days"))))))</f>
        <v/>
      </c>
      <c r="S333" s="33" t="n"/>
      <c r="T333" s="1">
        <f>IF(AND(B333&lt;&gt;"",K333&lt;&gt;"",L333&lt;&gt;"Sent",L333&lt;&gt;"Picked up",L333&lt;&gt;"Cancelled"),K333+ROW()/10000000,"")</f>
        <v/>
      </c>
      <c r="U333">
        <f>IF(OR(B333="",C333=""),"",B333+ROW()/10000000)</f>
        <v/>
      </c>
      <c r="V333">
        <f>IF(U333="","",IF(COUNTIFS(Orders!$C$6:$C$1005,C333,Orders!$U$6:$U$1005,"&gt;"&amp;U333)=0,1,0))</f>
        <v/>
      </c>
      <c r="W333">
        <f>IF(AND(B333&lt;&gt;"",K333&lt;&gt;"",L333&lt;&gt;"Sent",L333&lt;&gt;"Picked up",L333&lt;&gt;"Cancelled"),IF(N(E333)=0,1,E333),0)</f>
        <v/>
      </c>
      <c r="X333">
        <f>IF(OR(B333="",D333=""),"",IF(N(E333)=0,1,E333))</f>
        <v/>
      </c>
    </row>
    <row r="334">
      <c r="A334" s="1" t="n"/>
      <c r="B334" s="31" t="n"/>
      <c r="C334" s="32" t="n"/>
      <c r="D334" s="33" t="n"/>
      <c r="E334" s="34" t="n"/>
      <c r="F334" s="35" t="n"/>
      <c r="G334" s="35" t="n"/>
      <c r="H334" s="30">
        <f>IF(OR(B334="",D334=""),"",IF(N(E334)=0,1,E334)*IFERROR(INDEX(Products!$C$6:$C$105,MATCH(D334,Products!$B$6:$B$105,0)),0)+N(F334)+N(G334))</f>
        <v/>
      </c>
      <c r="I334" s="35" t="n"/>
      <c r="J334" s="30">
        <f>IF(OR(H334="",L334="Cancelled"),"",IF(H334-N(I334)&gt;0.005,H334-N(I334),""))</f>
        <v/>
      </c>
      <c r="K334" s="31" t="n"/>
      <c r="L334" s="36" t="n"/>
      <c r="M334" s="33" t="n"/>
      <c r="N334" s="22">
        <f>IF(OR(H334="",L334="Cancelled"),"",IF(N(E334)=0,1,E334)*IFERROR(INDEX(Products!$E$6:$E$105,MATCH(D334,Products!$B$6:$B$105,0)),0))</f>
        <v/>
      </c>
      <c r="O334" s="35" t="n"/>
      <c r="P334" s="22">
        <f>IF(OR(H334="",L334="Cancelled"),"",ROUND(IFERROR(H334*INDEX(Settings!$C$6:$C$15,MATCH(M334,Settings!$B$6:$B$15,0))+INDEX(Settings!$D$6:$D$15,MATCH(M334,Settings!$B$6:$B$15,0)),0),2))</f>
        <v/>
      </c>
      <c r="Q334" s="28">
        <f>IF(OR(H334="",L334="Cancelled"),"",H334-N(N334)-N(O334)-N(P334))</f>
        <v/>
      </c>
      <c r="R334" s="19">
        <f>IF(OR(B334="",K334=""),"",IF(OR(L334="Sent",L334="Picked up"),"Done",IF(L334="Cancelled","Cancelled",IF(K334&lt;TODAY(),"Late by "&amp;(TODAY()-K334)&amp;IF((TODAY()-K334)=1," day"," days"),IF(K334=TODAY(),"Due today","Due in "&amp;(K334-TODAY())&amp;IF((K334-TODAY())=1," day"," days"))))))</f>
        <v/>
      </c>
      <c r="S334" s="33" t="n"/>
      <c r="T334" s="1">
        <f>IF(AND(B334&lt;&gt;"",K334&lt;&gt;"",L334&lt;&gt;"Sent",L334&lt;&gt;"Picked up",L334&lt;&gt;"Cancelled"),K334+ROW()/10000000,"")</f>
        <v/>
      </c>
      <c r="U334">
        <f>IF(OR(B334="",C334=""),"",B334+ROW()/10000000)</f>
        <v/>
      </c>
      <c r="V334">
        <f>IF(U334="","",IF(COUNTIFS(Orders!$C$6:$C$1005,C334,Orders!$U$6:$U$1005,"&gt;"&amp;U334)=0,1,0))</f>
        <v/>
      </c>
      <c r="W334">
        <f>IF(AND(B334&lt;&gt;"",K334&lt;&gt;"",L334&lt;&gt;"Sent",L334&lt;&gt;"Picked up",L334&lt;&gt;"Cancelled"),IF(N(E334)=0,1,E334),0)</f>
        <v/>
      </c>
      <c r="X334">
        <f>IF(OR(B334="",D334=""),"",IF(N(E334)=0,1,E334))</f>
        <v/>
      </c>
    </row>
    <row r="335">
      <c r="A335" s="1" t="n"/>
      <c r="B335" s="31" t="n"/>
      <c r="C335" s="32" t="n"/>
      <c r="D335" s="33" t="n"/>
      <c r="E335" s="34" t="n"/>
      <c r="F335" s="35" t="n"/>
      <c r="G335" s="35" t="n"/>
      <c r="H335" s="30">
        <f>IF(OR(B335="",D335=""),"",IF(N(E335)=0,1,E335)*IFERROR(INDEX(Products!$C$6:$C$105,MATCH(D335,Products!$B$6:$B$105,0)),0)+N(F335)+N(G335))</f>
        <v/>
      </c>
      <c r="I335" s="35" t="n"/>
      <c r="J335" s="30">
        <f>IF(OR(H335="",L335="Cancelled"),"",IF(H335-N(I335)&gt;0.005,H335-N(I335),""))</f>
        <v/>
      </c>
      <c r="K335" s="31" t="n"/>
      <c r="L335" s="36" t="n"/>
      <c r="M335" s="33" t="n"/>
      <c r="N335" s="22">
        <f>IF(OR(H335="",L335="Cancelled"),"",IF(N(E335)=0,1,E335)*IFERROR(INDEX(Products!$E$6:$E$105,MATCH(D335,Products!$B$6:$B$105,0)),0))</f>
        <v/>
      </c>
      <c r="O335" s="35" t="n"/>
      <c r="P335" s="22">
        <f>IF(OR(H335="",L335="Cancelled"),"",ROUND(IFERROR(H335*INDEX(Settings!$C$6:$C$15,MATCH(M335,Settings!$B$6:$B$15,0))+INDEX(Settings!$D$6:$D$15,MATCH(M335,Settings!$B$6:$B$15,0)),0),2))</f>
        <v/>
      </c>
      <c r="Q335" s="28">
        <f>IF(OR(H335="",L335="Cancelled"),"",H335-N(N335)-N(O335)-N(P335))</f>
        <v/>
      </c>
      <c r="R335" s="19">
        <f>IF(OR(B335="",K335=""),"",IF(OR(L335="Sent",L335="Picked up"),"Done",IF(L335="Cancelled","Cancelled",IF(K335&lt;TODAY(),"Late by "&amp;(TODAY()-K335)&amp;IF((TODAY()-K335)=1," day"," days"),IF(K335=TODAY(),"Due today","Due in "&amp;(K335-TODAY())&amp;IF((K335-TODAY())=1," day"," days"))))))</f>
        <v/>
      </c>
      <c r="S335" s="33" t="n"/>
      <c r="T335" s="1">
        <f>IF(AND(B335&lt;&gt;"",K335&lt;&gt;"",L335&lt;&gt;"Sent",L335&lt;&gt;"Picked up",L335&lt;&gt;"Cancelled"),K335+ROW()/10000000,"")</f>
        <v/>
      </c>
      <c r="U335">
        <f>IF(OR(B335="",C335=""),"",B335+ROW()/10000000)</f>
        <v/>
      </c>
      <c r="V335">
        <f>IF(U335="","",IF(COUNTIFS(Orders!$C$6:$C$1005,C335,Orders!$U$6:$U$1005,"&gt;"&amp;U335)=0,1,0))</f>
        <v/>
      </c>
      <c r="W335">
        <f>IF(AND(B335&lt;&gt;"",K335&lt;&gt;"",L335&lt;&gt;"Sent",L335&lt;&gt;"Picked up",L335&lt;&gt;"Cancelled"),IF(N(E335)=0,1,E335),0)</f>
        <v/>
      </c>
      <c r="X335">
        <f>IF(OR(B335="",D335=""),"",IF(N(E335)=0,1,E335))</f>
        <v/>
      </c>
    </row>
    <row r="336">
      <c r="A336" s="1" t="n"/>
      <c r="B336" s="31" t="n"/>
      <c r="C336" s="32" t="n"/>
      <c r="D336" s="33" t="n"/>
      <c r="E336" s="34" t="n"/>
      <c r="F336" s="35" t="n"/>
      <c r="G336" s="35" t="n"/>
      <c r="H336" s="30">
        <f>IF(OR(B336="",D336=""),"",IF(N(E336)=0,1,E336)*IFERROR(INDEX(Products!$C$6:$C$105,MATCH(D336,Products!$B$6:$B$105,0)),0)+N(F336)+N(G336))</f>
        <v/>
      </c>
      <c r="I336" s="35" t="n"/>
      <c r="J336" s="30">
        <f>IF(OR(H336="",L336="Cancelled"),"",IF(H336-N(I336)&gt;0.005,H336-N(I336),""))</f>
        <v/>
      </c>
      <c r="K336" s="31" t="n"/>
      <c r="L336" s="36" t="n"/>
      <c r="M336" s="33" t="n"/>
      <c r="N336" s="22">
        <f>IF(OR(H336="",L336="Cancelled"),"",IF(N(E336)=0,1,E336)*IFERROR(INDEX(Products!$E$6:$E$105,MATCH(D336,Products!$B$6:$B$105,0)),0))</f>
        <v/>
      </c>
      <c r="O336" s="35" t="n"/>
      <c r="P336" s="22">
        <f>IF(OR(H336="",L336="Cancelled"),"",ROUND(IFERROR(H336*INDEX(Settings!$C$6:$C$15,MATCH(M336,Settings!$B$6:$B$15,0))+INDEX(Settings!$D$6:$D$15,MATCH(M336,Settings!$B$6:$B$15,0)),0),2))</f>
        <v/>
      </c>
      <c r="Q336" s="28">
        <f>IF(OR(H336="",L336="Cancelled"),"",H336-N(N336)-N(O336)-N(P336))</f>
        <v/>
      </c>
      <c r="R336" s="19">
        <f>IF(OR(B336="",K336=""),"",IF(OR(L336="Sent",L336="Picked up"),"Done",IF(L336="Cancelled","Cancelled",IF(K336&lt;TODAY(),"Late by "&amp;(TODAY()-K336)&amp;IF((TODAY()-K336)=1," day"," days"),IF(K336=TODAY(),"Due today","Due in "&amp;(K336-TODAY())&amp;IF((K336-TODAY())=1," day"," days"))))))</f>
        <v/>
      </c>
      <c r="S336" s="33" t="n"/>
      <c r="T336" s="1">
        <f>IF(AND(B336&lt;&gt;"",K336&lt;&gt;"",L336&lt;&gt;"Sent",L336&lt;&gt;"Picked up",L336&lt;&gt;"Cancelled"),K336+ROW()/10000000,"")</f>
        <v/>
      </c>
      <c r="U336">
        <f>IF(OR(B336="",C336=""),"",B336+ROW()/10000000)</f>
        <v/>
      </c>
      <c r="V336">
        <f>IF(U336="","",IF(COUNTIFS(Orders!$C$6:$C$1005,C336,Orders!$U$6:$U$1005,"&gt;"&amp;U336)=0,1,0))</f>
        <v/>
      </c>
      <c r="W336">
        <f>IF(AND(B336&lt;&gt;"",K336&lt;&gt;"",L336&lt;&gt;"Sent",L336&lt;&gt;"Picked up",L336&lt;&gt;"Cancelled"),IF(N(E336)=0,1,E336),0)</f>
        <v/>
      </c>
      <c r="X336">
        <f>IF(OR(B336="",D336=""),"",IF(N(E336)=0,1,E336))</f>
        <v/>
      </c>
    </row>
    <row r="337">
      <c r="A337" s="1" t="n"/>
      <c r="B337" s="31" t="n"/>
      <c r="C337" s="32" t="n"/>
      <c r="D337" s="33" t="n"/>
      <c r="E337" s="34" t="n"/>
      <c r="F337" s="35" t="n"/>
      <c r="G337" s="35" t="n"/>
      <c r="H337" s="30">
        <f>IF(OR(B337="",D337=""),"",IF(N(E337)=0,1,E337)*IFERROR(INDEX(Products!$C$6:$C$105,MATCH(D337,Products!$B$6:$B$105,0)),0)+N(F337)+N(G337))</f>
        <v/>
      </c>
      <c r="I337" s="35" t="n"/>
      <c r="J337" s="30">
        <f>IF(OR(H337="",L337="Cancelled"),"",IF(H337-N(I337)&gt;0.005,H337-N(I337),""))</f>
        <v/>
      </c>
      <c r="K337" s="31" t="n"/>
      <c r="L337" s="36" t="n"/>
      <c r="M337" s="33" t="n"/>
      <c r="N337" s="22">
        <f>IF(OR(H337="",L337="Cancelled"),"",IF(N(E337)=0,1,E337)*IFERROR(INDEX(Products!$E$6:$E$105,MATCH(D337,Products!$B$6:$B$105,0)),0))</f>
        <v/>
      </c>
      <c r="O337" s="35" t="n"/>
      <c r="P337" s="22">
        <f>IF(OR(H337="",L337="Cancelled"),"",ROUND(IFERROR(H337*INDEX(Settings!$C$6:$C$15,MATCH(M337,Settings!$B$6:$B$15,0))+INDEX(Settings!$D$6:$D$15,MATCH(M337,Settings!$B$6:$B$15,0)),0),2))</f>
        <v/>
      </c>
      <c r="Q337" s="28">
        <f>IF(OR(H337="",L337="Cancelled"),"",H337-N(N337)-N(O337)-N(P337))</f>
        <v/>
      </c>
      <c r="R337" s="19">
        <f>IF(OR(B337="",K337=""),"",IF(OR(L337="Sent",L337="Picked up"),"Done",IF(L337="Cancelled","Cancelled",IF(K337&lt;TODAY(),"Late by "&amp;(TODAY()-K337)&amp;IF((TODAY()-K337)=1," day"," days"),IF(K337=TODAY(),"Due today","Due in "&amp;(K337-TODAY())&amp;IF((K337-TODAY())=1," day"," days"))))))</f>
        <v/>
      </c>
      <c r="S337" s="33" t="n"/>
      <c r="T337" s="1">
        <f>IF(AND(B337&lt;&gt;"",K337&lt;&gt;"",L337&lt;&gt;"Sent",L337&lt;&gt;"Picked up",L337&lt;&gt;"Cancelled"),K337+ROW()/10000000,"")</f>
        <v/>
      </c>
      <c r="U337">
        <f>IF(OR(B337="",C337=""),"",B337+ROW()/10000000)</f>
        <v/>
      </c>
      <c r="V337">
        <f>IF(U337="","",IF(COUNTIFS(Orders!$C$6:$C$1005,C337,Orders!$U$6:$U$1005,"&gt;"&amp;U337)=0,1,0))</f>
        <v/>
      </c>
      <c r="W337">
        <f>IF(AND(B337&lt;&gt;"",K337&lt;&gt;"",L337&lt;&gt;"Sent",L337&lt;&gt;"Picked up",L337&lt;&gt;"Cancelled"),IF(N(E337)=0,1,E337),0)</f>
        <v/>
      </c>
      <c r="X337">
        <f>IF(OR(B337="",D337=""),"",IF(N(E337)=0,1,E337))</f>
        <v/>
      </c>
    </row>
    <row r="338">
      <c r="A338" s="1" t="n"/>
      <c r="B338" s="31" t="n"/>
      <c r="C338" s="32" t="n"/>
      <c r="D338" s="33" t="n"/>
      <c r="E338" s="34" t="n"/>
      <c r="F338" s="35" t="n"/>
      <c r="G338" s="35" t="n"/>
      <c r="H338" s="30">
        <f>IF(OR(B338="",D338=""),"",IF(N(E338)=0,1,E338)*IFERROR(INDEX(Products!$C$6:$C$105,MATCH(D338,Products!$B$6:$B$105,0)),0)+N(F338)+N(G338))</f>
        <v/>
      </c>
      <c r="I338" s="35" t="n"/>
      <c r="J338" s="30">
        <f>IF(OR(H338="",L338="Cancelled"),"",IF(H338-N(I338)&gt;0.005,H338-N(I338),""))</f>
        <v/>
      </c>
      <c r="K338" s="31" t="n"/>
      <c r="L338" s="36" t="n"/>
      <c r="M338" s="33" t="n"/>
      <c r="N338" s="22">
        <f>IF(OR(H338="",L338="Cancelled"),"",IF(N(E338)=0,1,E338)*IFERROR(INDEX(Products!$E$6:$E$105,MATCH(D338,Products!$B$6:$B$105,0)),0))</f>
        <v/>
      </c>
      <c r="O338" s="35" t="n"/>
      <c r="P338" s="22">
        <f>IF(OR(H338="",L338="Cancelled"),"",ROUND(IFERROR(H338*INDEX(Settings!$C$6:$C$15,MATCH(M338,Settings!$B$6:$B$15,0))+INDEX(Settings!$D$6:$D$15,MATCH(M338,Settings!$B$6:$B$15,0)),0),2))</f>
        <v/>
      </c>
      <c r="Q338" s="28">
        <f>IF(OR(H338="",L338="Cancelled"),"",H338-N(N338)-N(O338)-N(P338))</f>
        <v/>
      </c>
      <c r="R338" s="19">
        <f>IF(OR(B338="",K338=""),"",IF(OR(L338="Sent",L338="Picked up"),"Done",IF(L338="Cancelled","Cancelled",IF(K338&lt;TODAY(),"Late by "&amp;(TODAY()-K338)&amp;IF((TODAY()-K338)=1," day"," days"),IF(K338=TODAY(),"Due today","Due in "&amp;(K338-TODAY())&amp;IF((K338-TODAY())=1," day"," days"))))))</f>
        <v/>
      </c>
      <c r="S338" s="33" t="n"/>
      <c r="T338" s="1">
        <f>IF(AND(B338&lt;&gt;"",K338&lt;&gt;"",L338&lt;&gt;"Sent",L338&lt;&gt;"Picked up",L338&lt;&gt;"Cancelled"),K338+ROW()/10000000,"")</f>
        <v/>
      </c>
      <c r="U338">
        <f>IF(OR(B338="",C338=""),"",B338+ROW()/10000000)</f>
        <v/>
      </c>
      <c r="V338">
        <f>IF(U338="","",IF(COUNTIFS(Orders!$C$6:$C$1005,C338,Orders!$U$6:$U$1005,"&gt;"&amp;U338)=0,1,0))</f>
        <v/>
      </c>
      <c r="W338">
        <f>IF(AND(B338&lt;&gt;"",K338&lt;&gt;"",L338&lt;&gt;"Sent",L338&lt;&gt;"Picked up",L338&lt;&gt;"Cancelled"),IF(N(E338)=0,1,E338),0)</f>
        <v/>
      </c>
      <c r="X338">
        <f>IF(OR(B338="",D338=""),"",IF(N(E338)=0,1,E338))</f>
        <v/>
      </c>
    </row>
    <row r="339">
      <c r="A339" s="1" t="n"/>
      <c r="B339" s="31" t="n"/>
      <c r="C339" s="32" t="n"/>
      <c r="D339" s="33" t="n"/>
      <c r="E339" s="34" t="n"/>
      <c r="F339" s="35" t="n"/>
      <c r="G339" s="35" t="n"/>
      <c r="H339" s="30">
        <f>IF(OR(B339="",D339=""),"",IF(N(E339)=0,1,E339)*IFERROR(INDEX(Products!$C$6:$C$105,MATCH(D339,Products!$B$6:$B$105,0)),0)+N(F339)+N(G339))</f>
        <v/>
      </c>
      <c r="I339" s="35" t="n"/>
      <c r="J339" s="30">
        <f>IF(OR(H339="",L339="Cancelled"),"",IF(H339-N(I339)&gt;0.005,H339-N(I339),""))</f>
        <v/>
      </c>
      <c r="K339" s="31" t="n"/>
      <c r="L339" s="36" t="n"/>
      <c r="M339" s="33" t="n"/>
      <c r="N339" s="22">
        <f>IF(OR(H339="",L339="Cancelled"),"",IF(N(E339)=0,1,E339)*IFERROR(INDEX(Products!$E$6:$E$105,MATCH(D339,Products!$B$6:$B$105,0)),0))</f>
        <v/>
      </c>
      <c r="O339" s="35" t="n"/>
      <c r="P339" s="22">
        <f>IF(OR(H339="",L339="Cancelled"),"",ROUND(IFERROR(H339*INDEX(Settings!$C$6:$C$15,MATCH(M339,Settings!$B$6:$B$15,0))+INDEX(Settings!$D$6:$D$15,MATCH(M339,Settings!$B$6:$B$15,0)),0),2))</f>
        <v/>
      </c>
      <c r="Q339" s="28">
        <f>IF(OR(H339="",L339="Cancelled"),"",H339-N(N339)-N(O339)-N(P339))</f>
        <v/>
      </c>
      <c r="R339" s="19">
        <f>IF(OR(B339="",K339=""),"",IF(OR(L339="Sent",L339="Picked up"),"Done",IF(L339="Cancelled","Cancelled",IF(K339&lt;TODAY(),"Late by "&amp;(TODAY()-K339)&amp;IF((TODAY()-K339)=1," day"," days"),IF(K339=TODAY(),"Due today","Due in "&amp;(K339-TODAY())&amp;IF((K339-TODAY())=1," day"," days"))))))</f>
        <v/>
      </c>
      <c r="S339" s="33" t="n"/>
      <c r="T339" s="1">
        <f>IF(AND(B339&lt;&gt;"",K339&lt;&gt;"",L339&lt;&gt;"Sent",L339&lt;&gt;"Picked up",L339&lt;&gt;"Cancelled"),K339+ROW()/10000000,"")</f>
        <v/>
      </c>
      <c r="U339">
        <f>IF(OR(B339="",C339=""),"",B339+ROW()/10000000)</f>
        <v/>
      </c>
      <c r="V339">
        <f>IF(U339="","",IF(COUNTIFS(Orders!$C$6:$C$1005,C339,Orders!$U$6:$U$1005,"&gt;"&amp;U339)=0,1,0))</f>
        <v/>
      </c>
      <c r="W339">
        <f>IF(AND(B339&lt;&gt;"",K339&lt;&gt;"",L339&lt;&gt;"Sent",L339&lt;&gt;"Picked up",L339&lt;&gt;"Cancelled"),IF(N(E339)=0,1,E339),0)</f>
        <v/>
      </c>
      <c r="X339">
        <f>IF(OR(B339="",D339=""),"",IF(N(E339)=0,1,E339))</f>
        <v/>
      </c>
    </row>
    <row r="340">
      <c r="A340" s="1" t="n"/>
      <c r="B340" s="31" t="n"/>
      <c r="C340" s="32" t="n"/>
      <c r="D340" s="33" t="n"/>
      <c r="E340" s="34" t="n"/>
      <c r="F340" s="35" t="n"/>
      <c r="G340" s="35" t="n"/>
      <c r="H340" s="30">
        <f>IF(OR(B340="",D340=""),"",IF(N(E340)=0,1,E340)*IFERROR(INDEX(Products!$C$6:$C$105,MATCH(D340,Products!$B$6:$B$105,0)),0)+N(F340)+N(G340))</f>
        <v/>
      </c>
      <c r="I340" s="35" t="n"/>
      <c r="J340" s="30">
        <f>IF(OR(H340="",L340="Cancelled"),"",IF(H340-N(I340)&gt;0.005,H340-N(I340),""))</f>
        <v/>
      </c>
      <c r="K340" s="31" t="n"/>
      <c r="L340" s="36" t="n"/>
      <c r="M340" s="33" t="n"/>
      <c r="N340" s="22">
        <f>IF(OR(H340="",L340="Cancelled"),"",IF(N(E340)=0,1,E340)*IFERROR(INDEX(Products!$E$6:$E$105,MATCH(D340,Products!$B$6:$B$105,0)),0))</f>
        <v/>
      </c>
      <c r="O340" s="35" t="n"/>
      <c r="P340" s="22">
        <f>IF(OR(H340="",L340="Cancelled"),"",ROUND(IFERROR(H340*INDEX(Settings!$C$6:$C$15,MATCH(M340,Settings!$B$6:$B$15,0))+INDEX(Settings!$D$6:$D$15,MATCH(M340,Settings!$B$6:$B$15,0)),0),2))</f>
        <v/>
      </c>
      <c r="Q340" s="28">
        <f>IF(OR(H340="",L340="Cancelled"),"",H340-N(N340)-N(O340)-N(P340))</f>
        <v/>
      </c>
      <c r="R340" s="19">
        <f>IF(OR(B340="",K340=""),"",IF(OR(L340="Sent",L340="Picked up"),"Done",IF(L340="Cancelled","Cancelled",IF(K340&lt;TODAY(),"Late by "&amp;(TODAY()-K340)&amp;IF((TODAY()-K340)=1," day"," days"),IF(K340=TODAY(),"Due today","Due in "&amp;(K340-TODAY())&amp;IF((K340-TODAY())=1," day"," days"))))))</f>
        <v/>
      </c>
      <c r="S340" s="33" t="n"/>
      <c r="T340" s="1">
        <f>IF(AND(B340&lt;&gt;"",K340&lt;&gt;"",L340&lt;&gt;"Sent",L340&lt;&gt;"Picked up",L340&lt;&gt;"Cancelled"),K340+ROW()/10000000,"")</f>
        <v/>
      </c>
      <c r="U340">
        <f>IF(OR(B340="",C340=""),"",B340+ROW()/10000000)</f>
        <v/>
      </c>
      <c r="V340">
        <f>IF(U340="","",IF(COUNTIFS(Orders!$C$6:$C$1005,C340,Orders!$U$6:$U$1005,"&gt;"&amp;U340)=0,1,0))</f>
        <v/>
      </c>
      <c r="W340">
        <f>IF(AND(B340&lt;&gt;"",K340&lt;&gt;"",L340&lt;&gt;"Sent",L340&lt;&gt;"Picked up",L340&lt;&gt;"Cancelled"),IF(N(E340)=0,1,E340),0)</f>
        <v/>
      </c>
      <c r="X340">
        <f>IF(OR(B340="",D340=""),"",IF(N(E340)=0,1,E340))</f>
        <v/>
      </c>
    </row>
    <row r="341">
      <c r="A341" s="1" t="n"/>
      <c r="B341" s="31" t="n"/>
      <c r="C341" s="32" t="n"/>
      <c r="D341" s="33" t="n"/>
      <c r="E341" s="34" t="n"/>
      <c r="F341" s="35" t="n"/>
      <c r="G341" s="35" t="n"/>
      <c r="H341" s="30">
        <f>IF(OR(B341="",D341=""),"",IF(N(E341)=0,1,E341)*IFERROR(INDEX(Products!$C$6:$C$105,MATCH(D341,Products!$B$6:$B$105,0)),0)+N(F341)+N(G341))</f>
        <v/>
      </c>
      <c r="I341" s="35" t="n"/>
      <c r="J341" s="30">
        <f>IF(OR(H341="",L341="Cancelled"),"",IF(H341-N(I341)&gt;0.005,H341-N(I341),""))</f>
        <v/>
      </c>
      <c r="K341" s="31" t="n"/>
      <c r="L341" s="36" t="n"/>
      <c r="M341" s="33" t="n"/>
      <c r="N341" s="22">
        <f>IF(OR(H341="",L341="Cancelled"),"",IF(N(E341)=0,1,E341)*IFERROR(INDEX(Products!$E$6:$E$105,MATCH(D341,Products!$B$6:$B$105,0)),0))</f>
        <v/>
      </c>
      <c r="O341" s="35" t="n"/>
      <c r="P341" s="22">
        <f>IF(OR(H341="",L341="Cancelled"),"",ROUND(IFERROR(H341*INDEX(Settings!$C$6:$C$15,MATCH(M341,Settings!$B$6:$B$15,0))+INDEX(Settings!$D$6:$D$15,MATCH(M341,Settings!$B$6:$B$15,0)),0),2))</f>
        <v/>
      </c>
      <c r="Q341" s="28">
        <f>IF(OR(H341="",L341="Cancelled"),"",H341-N(N341)-N(O341)-N(P341))</f>
        <v/>
      </c>
      <c r="R341" s="19">
        <f>IF(OR(B341="",K341=""),"",IF(OR(L341="Sent",L341="Picked up"),"Done",IF(L341="Cancelled","Cancelled",IF(K341&lt;TODAY(),"Late by "&amp;(TODAY()-K341)&amp;IF((TODAY()-K341)=1," day"," days"),IF(K341=TODAY(),"Due today","Due in "&amp;(K341-TODAY())&amp;IF((K341-TODAY())=1," day"," days"))))))</f>
        <v/>
      </c>
      <c r="S341" s="33" t="n"/>
      <c r="T341" s="1">
        <f>IF(AND(B341&lt;&gt;"",K341&lt;&gt;"",L341&lt;&gt;"Sent",L341&lt;&gt;"Picked up",L341&lt;&gt;"Cancelled"),K341+ROW()/10000000,"")</f>
        <v/>
      </c>
      <c r="U341">
        <f>IF(OR(B341="",C341=""),"",B341+ROW()/10000000)</f>
        <v/>
      </c>
      <c r="V341">
        <f>IF(U341="","",IF(COUNTIFS(Orders!$C$6:$C$1005,C341,Orders!$U$6:$U$1005,"&gt;"&amp;U341)=0,1,0))</f>
        <v/>
      </c>
      <c r="W341">
        <f>IF(AND(B341&lt;&gt;"",K341&lt;&gt;"",L341&lt;&gt;"Sent",L341&lt;&gt;"Picked up",L341&lt;&gt;"Cancelled"),IF(N(E341)=0,1,E341),0)</f>
        <v/>
      </c>
      <c r="X341">
        <f>IF(OR(B341="",D341=""),"",IF(N(E341)=0,1,E341))</f>
        <v/>
      </c>
    </row>
    <row r="342">
      <c r="A342" s="1" t="n"/>
      <c r="B342" s="31" t="n"/>
      <c r="C342" s="32" t="n"/>
      <c r="D342" s="33" t="n"/>
      <c r="E342" s="34" t="n"/>
      <c r="F342" s="35" t="n"/>
      <c r="G342" s="35" t="n"/>
      <c r="H342" s="30">
        <f>IF(OR(B342="",D342=""),"",IF(N(E342)=0,1,E342)*IFERROR(INDEX(Products!$C$6:$C$105,MATCH(D342,Products!$B$6:$B$105,0)),0)+N(F342)+N(G342))</f>
        <v/>
      </c>
      <c r="I342" s="35" t="n"/>
      <c r="J342" s="30">
        <f>IF(OR(H342="",L342="Cancelled"),"",IF(H342-N(I342)&gt;0.005,H342-N(I342),""))</f>
        <v/>
      </c>
      <c r="K342" s="31" t="n"/>
      <c r="L342" s="36" t="n"/>
      <c r="M342" s="33" t="n"/>
      <c r="N342" s="22">
        <f>IF(OR(H342="",L342="Cancelled"),"",IF(N(E342)=0,1,E342)*IFERROR(INDEX(Products!$E$6:$E$105,MATCH(D342,Products!$B$6:$B$105,0)),0))</f>
        <v/>
      </c>
      <c r="O342" s="35" t="n"/>
      <c r="P342" s="22">
        <f>IF(OR(H342="",L342="Cancelled"),"",ROUND(IFERROR(H342*INDEX(Settings!$C$6:$C$15,MATCH(M342,Settings!$B$6:$B$15,0))+INDEX(Settings!$D$6:$D$15,MATCH(M342,Settings!$B$6:$B$15,0)),0),2))</f>
        <v/>
      </c>
      <c r="Q342" s="28">
        <f>IF(OR(H342="",L342="Cancelled"),"",H342-N(N342)-N(O342)-N(P342))</f>
        <v/>
      </c>
      <c r="R342" s="19">
        <f>IF(OR(B342="",K342=""),"",IF(OR(L342="Sent",L342="Picked up"),"Done",IF(L342="Cancelled","Cancelled",IF(K342&lt;TODAY(),"Late by "&amp;(TODAY()-K342)&amp;IF((TODAY()-K342)=1," day"," days"),IF(K342=TODAY(),"Due today","Due in "&amp;(K342-TODAY())&amp;IF((K342-TODAY())=1," day"," days"))))))</f>
        <v/>
      </c>
      <c r="S342" s="33" t="n"/>
      <c r="T342" s="1">
        <f>IF(AND(B342&lt;&gt;"",K342&lt;&gt;"",L342&lt;&gt;"Sent",L342&lt;&gt;"Picked up",L342&lt;&gt;"Cancelled"),K342+ROW()/10000000,"")</f>
        <v/>
      </c>
      <c r="U342">
        <f>IF(OR(B342="",C342=""),"",B342+ROW()/10000000)</f>
        <v/>
      </c>
      <c r="V342">
        <f>IF(U342="","",IF(COUNTIFS(Orders!$C$6:$C$1005,C342,Orders!$U$6:$U$1005,"&gt;"&amp;U342)=0,1,0))</f>
        <v/>
      </c>
      <c r="W342">
        <f>IF(AND(B342&lt;&gt;"",K342&lt;&gt;"",L342&lt;&gt;"Sent",L342&lt;&gt;"Picked up",L342&lt;&gt;"Cancelled"),IF(N(E342)=0,1,E342),0)</f>
        <v/>
      </c>
      <c r="X342">
        <f>IF(OR(B342="",D342=""),"",IF(N(E342)=0,1,E342))</f>
        <v/>
      </c>
    </row>
    <row r="343">
      <c r="A343" s="1" t="n"/>
      <c r="B343" s="31" t="n"/>
      <c r="C343" s="32" t="n"/>
      <c r="D343" s="33" t="n"/>
      <c r="E343" s="34" t="n"/>
      <c r="F343" s="35" t="n"/>
      <c r="G343" s="35" t="n"/>
      <c r="H343" s="30">
        <f>IF(OR(B343="",D343=""),"",IF(N(E343)=0,1,E343)*IFERROR(INDEX(Products!$C$6:$C$105,MATCH(D343,Products!$B$6:$B$105,0)),0)+N(F343)+N(G343))</f>
        <v/>
      </c>
      <c r="I343" s="35" t="n"/>
      <c r="J343" s="30">
        <f>IF(OR(H343="",L343="Cancelled"),"",IF(H343-N(I343)&gt;0.005,H343-N(I343),""))</f>
        <v/>
      </c>
      <c r="K343" s="31" t="n"/>
      <c r="L343" s="36" t="n"/>
      <c r="M343" s="33" t="n"/>
      <c r="N343" s="22">
        <f>IF(OR(H343="",L343="Cancelled"),"",IF(N(E343)=0,1,E343)*IFERROR(INDEX(Products!$E$6:$E$105,MATCH(D343,Products!$B$6:$B$105,0)),0))</f>
        <v/>
      </c>
      <c r="O343" s="35" t="n"/>
      <c r="P343" s="22">
        <f>IF(OR(H343="",L343="Cancelled"),"",ROUND(IFERROR(H343*INDEX(Settings!$C$6:$C$15,MATCH(M343,Settings!$B$6:$B$15,0))+INDEX(Settings!$D$6:$D$15,MATCH(M343,Settings!$B$6:$B$15,0)),0),2))</f>
        <v/>
      </c>
      <c r="Q343" s="28">
        <f>IF(OR(H343="",L343="Cancelled"),"",H343-N(N343)-N(O343)-N(P343))</f>
        <v/>
      </c>
      <c r="R343" s="19">
        <f>IF(OR(B343="",K343=""),"",IF(OR(L343="Sent",L343="Picked up"),"Done",IF(L343="Cancelled","Cancelled",IF(K343&lt;TODAY(),"Late by "&amp;(TODAY()-K343)&amp;IF((TODAY()-K343)=1," day"," days"),IF(K343=TODAY(),"Due today","Due in "&amp;(K343-TODAY())&amp;IF((K343-TODAY())=1," day"," days"))))))</f>
        <v/>
      </c>
      <c r="S343" s="33" t="n"/>
      <c r="T343" s="1">
        <f>IF(AND(B343&lt;&gt;"",K343&lt;&gt;"",L343&lt;&gt;"Sent",L343&lt;&gt;"Picked up",L343&lt;&gt;"Cancelled"),K343+ROW()/10000000,"")</f>
        <v/>
      </c>
      <c r="U343">
        <f>IF(OR(B343="",C343=""),"",B343+ROW()/10000000)</f>
        <v/>
      </c>
      <c r="V343">
        <f>IF(U343="","",IF(COUNTIFS(Orders!$C$6:$C$1005,C343,Orders!$U$6:$U$1005,"&gt;"&amp;U343)=0,1,0))</f>
        <v/>
      </c>
      <c r="W343">
        <f>IF(AND(B343&lt;&gt;"",K343&lt;&gt;"",L343&lt;&gt;"Sent",L343&lt;&gt;"Picked up",L343&lt;&gt;"Cancelled"),IF(N(E343)=0,1,E343),0)</f>
        <v/>
      </c>
      <c r="X343">
        <f>IF(OR(B343="",D343=""),"",IF(N(E343)=0,1,E343))</f>
        <v/>
      </c>
    </row>
    <row r="344">
      <c r="A344" s="1" t="n"/>
      <c r="B344" s="31" t="n"/>
      <c r="C344" s="32" t="n"/>
      <c r="D344" s="33" t="n"/>
      <c r="E344" s="34" t="n"/>
      <c r="F344" s="35" t="n"/>
      <c r="G344" s="35" t="n"/>
      <c r="H344" s="30">
        <f>IF(OR(B344="",D344=""),"",IF(N(E344)=0,1,E344)*IFERROR(INDEX(Products!$C$6:$C$105,MATCH(D344,Products!$B$6:$B$105,0)),0)+N(F344)+N(G344))</f>
        <v/>
      </c>
      <c r="I344" s="35" t="n"/>
      <c r="J344" s="30">
        <f>IF(OR(H344="",L344="Cancelled"),"",IF(H344-N(I344)&gt;0.005,H344-N(I344),""))</f>
        <v/>
      </c>
      <c r="K344" s="31" t="n"/>
      <c r="L344" s="36" t="n"/>
      <c r="M344" s="33" t="n"/>
      <c r="N344" s="22">
        <f>IF(OR(H344="",L344="Cancelled"),"",IF(N(E344)=0,1,E344)*IFERROR(INDEX(Products!$E$6:$E$105,MATCH(D344,Products!$B$6:$B$105,0)),0))</f>
        <v/>
      </c>
      <c r="O344" s="35" t="n"/>
      <c r="P344" s="22">
        <f>IF(OR(H344="",L344="Cancelled"),"",ROUND(IFERROR(H344*INDEX(Settings!$C$6:$C$15,MATCH(M344,Settings!$B$6:$B$15,0))+INDEX(Settings!$D$6:$D$15,MATCH(M344,Settings!$B$6:$B$15,0)),0),2))</f>
        <v/>
      </c>
      <c r="Q344" s="28">
        <f>IF(OR(H344="",L344="Cancelled"),"",H344-N(N344)-N(O344)-N(P344))</f>
        <v/>
      </c>
      <c r="R344" s="19">
        <f>IF(OR(B344="",K344=""),"",IF(OR(L344="Sent",L344="Picked up"),"Done",IF(L344="Cancelled","Cancelled",IF(K344&lt;TODAY(),"Late by "&amp;(TODAY()-K344)&amp;IF((TODAY()-K344)=1," day"," days"),IF(K344=TODAY(),"Due today","Due in "&amp;(K344-TODAY())&amp;IF((K344-TODAY())=1," day"," days"))))))</f>
        <v/>
      </c>
      <c r="S344" s="33" t="n"/>
      <c r="T344" s="1">
        <f>IF(AND(B344&lt;&gt;"",K344&lt;&gt;"",L344&lt;&gt;"Sent",L344&lt;&gt;"Picked up",L344&lt;&gt;"Cancelled"),K344+ROW()/10000000,"")</f>
        <v/>
      </c>
      <c r="U344">
        <f>IF(OR(B344="",C344=""),"",B344+ROW()/10000000)</f>
        <v/>
      </c>
      <c r="V344">
        <f>IF(U344="","",IF(COUNTIFS(Orders!$C$6:$C$1005,C344,Orders!$U$6:$U$1005,"&gt;"&amp;U344)=0,1,0))</f>
        <v/>
      </c>
      <c r="W344">
        <f>IF(AND(B344&lt;&gt;"",K344&lt;&gt;"",L344&lt;&gt;"Sent",L344&lt;&gt;"Picked up",L344&lt;&gt;"Cancelled"),IF(N(E344)=0,1,E344),0)</f>
        <v/>
      </c>
      <c r="X344">
        <f>IF(OR(B344="",D344=""),"",IF(N(E344)=0,1,E344))</f>
        <v/>
      </c>
    </row>
    <row r="345">
      <c r="A345" s="1" t="n"/>
      <c r="B345" s="31" t="n"/>
      <c r="C345" s="32" t="n"/>
      <c r="D345" s="33" t="n"/>
      <c r="E345" s="34" t="n"/>
      <c r="F345" s="35" t="n"/>
      <c r="G345" s="35" t="n"/>
      <c r="H345" s="30">
        <f>IF(OR(B345="",D345=""),"",IF(N(E345)=0,1,E345)*IFERROR(INDEX(Products!$C$6:$C$105,MATCH(D345,Products!$B$6:$B$105,0)),0)+N(F345)+N(G345))</f>
        <v/>
      </c>
      <c r="I345" s="35" t="n"/>
      <c r="J345" s="30">
        <f>IF(OR(H345="",L345="Cancelled"),"",IF(H345-N(I345)&gt;0.005,H345-N(I345),""))</f>
        <v/>
      </c>
      <c r="K345" s="31" t="n"/>
      <c r="L345" s="36" t="n"/>
      <c r="M345" s="33" t="n"/>
      <c r="N345" s="22">
        <f>IF(OR(H345="",L345="Cancelled"),"",IF(N(E345)=0,1,E345)*IFERROR(INDEX(Products!$E$6:$E$105,MATCH(D345,Products!$B$6:$B$105,0)),0))</f>
        <v/>
      </c>
      <c r="O345" s="35" t="n"/>
      <c r="P345" s="22">
        <f>IF(OR(H345="",L345="Cancelled"),"",ROUND(IFERROR(H345*INDEX(Settings!$C$6:$C$15,MATCH(M345,Settings!$B$6:$B$15,0))+INDEX(Settings!$D$6:$D$15,MATCH(M345,Settings!$B$6:$B$15,0)),0),2))</f>
        <v/>
      </c>
      <c r="Q345" s="28">
        <f>IF(OR(H345="",L345="Cancelled"),"",H345-N(N345)-N(O345)-N(P345))</f>
        <v/>
      </c>
      <c r="R345" s="19">
        <f>IF(OR(B345="",K345=""),"",IF(OR(L345="Sent",L345="Picked up"),"Done",IF(L345="Cancelled","Cancelled",IF(K345&lt;TODAY(),"Late by "&amp;(TODAY()-K345)&amp;IF((TODAY()-K345)=1," day"," days"),IF(K345=TODAY(),"Due today","Due in "&amp;(K345-TODAY())&amp;IF((K345-TODAY())=1," day"," days"))))))</f>
        <v/>
      </c>
      <c r="S345" s="33" t="n"/>
      <c r="T345" s="1">
        <f>IF(AND(B345&lt;&gt;"",K345&lt;&gt;"",L345&lt;&gt;"Sent",L345&lt;&gt;"Picked up",L345&lt;&gt;"Cancelled"),K345+ROW()/10000000,"")</f>
        <v/>
      </c>
      <c r="U345">
        <f>IF(OR(B345="",C345=""),"",B345+ROW()/10000000)</f>
        <v/>
      </c>
      <c r="V345">
        <f>IF(U345="","",IF(COUNTIFS(Orders!$C$6:$C$1005,C345,Orders!$U$6:$U$1005,"&gt;"&amp;U345)=0,1,0))</f>
        <v/>
      </c>
      <c r="W345">
        <f>IF(AND(B345&lt;&gt;"",K345&lt;&gt;"",L345&lt;&gt;"Sent",L345&lt;&gt;"Picked up",L345&lt;&gt;"Cancelled"),IF(N(E345)=0,1,E345),0)</f>
        <v/>
      </c>
      <c r="X345">
        <f>IF(OR(B345="",D345=""),"",IF(N(E345)=0,1,E345))</f>
        <v/>
      </c>
    </row>
    <row r="346">
      <c r="A346" s="1" t="n"/>
      <c r="B346" s="31" t="n"/>
      <c r="C346" s="32" t="n"/>
      <c r="D346" s="33" t="n"/>
      <c r="E346" s="34" t="n"/>
      <c r="F346" s="35" t="n"/>
      <c r="G346" s="35" t="n"/>
      <c r="H346" s="30">
        <f>IF(OR(B346="",D346=""),"",IF(N(E346)=0,1,E346)*IFERROR(INDEX(Products!$C$6:$C$105,MATCH(D346,Products!$B$6:$B$105,0)),0)+N(F346)+N(G346))</f>
        <v/>
      </c>
      <c r="I346" s="35" t="n"/>
      <c r="J346" s="30">
        <f>IF(OR(H346="",L346="Cancelled"),"",IF(H346-N(I346)&gt;0.005,H346-N(I346),""))</f>
        <v/>
      </c>
      <c r="K346" s="31" t="n"/>
      <c r="L346" s="36" t="n"/>
      <c r="M346" s="33" t="n"/>
      <c r="N346" s="22">
        <f>IF(OR(H346="",L346="Cancelled"),"",IF(N(E346)=0,1,E346)*IFERROR(INDEX(Products!$E$6:$E$105,MATCH(D346,Products!$B$6:$B$105,0)),0))</f>
        <v/>
      </c>
      <c r="O346" s="35" t="n"/>
      <c r="P346" s="22">
        <f>IF(OR(H346="",L346="Cancelled"),"",ROUND(IFERROR(H346*INDEX(Settings!$C$6:$C$15,MATCH(M346,Settings!$B$6:$B$15,0))+INDEX(Settings!$D$6:$D$15,MATCH(M346,Settings!$B$6:$B$15,0)),0),2))</f>
        <v/>
      </c>
      <c r="Q346" s="28">
        <f>IF(OR(H346="",L346="Cancelled"),"",H346-N(N346)-N(O346)-N(P346))</f>
        <v/>
      </c>
      <c r="R346" s="19">
        <f>IF(OR(B346="",K346=""),"",IF(OR(L346="Sent",L346="Picked up"),"Done",IF(L346="Cancelled","Cancelled",IF(K346&lt;TODAY(),"Late by "&amp;(TODAY()-K346)&amp;IF((TODAY()-K346)=1," day"," days"),IF(K346=TODAY(),"Due today","Due in "&amp;(K346-TODAY())&amp;IF((K346-TODAY())=1," day"," days"))))))</f>
        <v/>
      </c>
      <c r="S346" s="33" t="n"/>
      <c r="T346" s="1">
        <f>IF(AND(B346&lt;&gt;"",K346&lt;&gt;"",L346&lt;&gt;"Sent",L346&lt;&gt;"Picked up",L346&lt;&gt;"Cancelled"),K346+ROW()/10000000,"")</f>
        <v/>
      </c>
      <c r="U346">
        <f>IF(OR(B346="",C346=""),"",B346+ROW()/10000000)</f>
        <v/>
      </c>
      <c r="V346">
        <f>IF(U346="","",IF(COUNTIFS(Orders!$C$6:$C$1005,C346,Orders!$U$6:$U$1005,"&gt;"&amp;U346)=0,1,0))</f>
        <v/>
      </c>
      <c r="W346">
        <f>IF(AND(B346&lt;&gt;"",K346&lt;&gt;"",L346&lt;&gt;"Sent",L346&lt;&gt;"Picked up",L346&lt;&gt;"Cancelled"),IF(N(E346)=0,1,E346),0)</f>
        <v/>
      </c>
      <c r="X346">
        <f>IF(OR(B346="",D346=""),"",IF(N(E346)=0,1,E346))</f>
        <v/>
      </c>
    </row>
    <row r="347">
      <c r="A347" s="1" t="n"/>
      <c r="B347" s="31" t="n"/>
      <c r="C347" s="32" t="n"/>
      <c r="D347" s="33" t="n"/>
      <c r="E347" s="34" t="n"/>
      <c r="F347" s="35" t="n"/>
      <c r="G347" s="35" t="n"/>
      <c r="H347" s="30">
        <f>IF(OR(B347="",D347=""),"",IF(N(E347)=0,1,E347)*IFERROR(INDEX(Products!$C$6:$C$105,MATCH(D347,Products!$B$6:$B$105,0)),0)+N(F347)+N(G347))</f>
        <v/>
      </c>
      <c r="I347" s="35" t="n"/>
      <c r="J347" s="30">
        <f>IF(OR(H347="",L347="Cancelled"),"",IF(H347-N(I347)&gt;0.005,H347-N(I347),""))</f>
        <v/>
      </c>
      <c r="K347" s="31" t="n"/>
      <c r="L347" s="36" t="n"/>
      <c r="M347" s="33" t="n"/>
      <c r="N347" s="22">
        <f>IF(OR(H347="",L347="Cancelled"),"",IF(N(E347)=0,1,E347)*IFERROR(INDEX(Products!$E$6:$E$105,MATCH(D347,Products!$B$6:$B$105,0)),0))</f>
        <v/>
      </c>
      <c r="O347" s="35" t="n"/>
      <c r="P347" s="22">
        <f>IF(OR(H347="",L347="Cancelled"),"",ROUND(IFERROR(H347*INDEX(Settings!$C$6:$C$15,MATCH(M347,Settings!$B$6:$B$15,0))+INDEX(Settings!$D$6:$D$15,MATCH(M347,Settings!$B$6:$B$15,0)),0),2))</f>
        <v/>
      </c>
      <c r="Q347" s="28">
        <f>IF(OR(H347="",L347="Cancelled"),"",H347-N(N347)-N(O347)-N(P347))</f>
        <v/>
      </c>
      <c r="R347" s="19">
        <f>IF(OR(B347="",K347=""),"",IF(OR(L347="Sent",L347="Picked up"),"Done",IF(L347="Cancelled","Cancelled",IF(K347&lt;TODAY(),"Late by "&amp;(TODAY()-K347)&amp;IF((TODAY()-K347)=1," day"," days"),IF(K347=TODAY(),"Due today","Due in "&amp;(K347-TODAY())&amp;IF((K347-TODAY())=1," day"," days"))))))</f>
        <v/>
      </c>
      <c r="S347" s="33" t="n"/>
      <c r="T347" s="1">
        <f>IF(AND(B347&lt;&gt;"",K347&lt;&gt;"",L347&lt;&gt;"Sent",L347&lt;&gt;"Picked up",L347&lt;&gt;"Cancelled"),K347+ROW()/10000000,"")</f>
        <v/>
      </c>
      <c r="U347">
        <f>IF(OR(B347="",C347=""),"",B347+ROW()/10000000)</f>
        <v/>
      </c>
      <c r="V347">
        <f>IF(U347="","",IF(COUNTIFS(Orders!$C$6:$C$1005,C347,Orders!$U$6:$U$1005,"&gt;"&amp;U347)=0,1,0))</f>
        <v/>
      </c>
      <c r="W347">
        <f>IF(AND(B347&lt;&gt;"",K347&lt;&gt;"",L347&lt;&gt;"Sent",L347&lt;&gt;"Picked up",L347&lt;&gt;"Cancelled"),IF(N(E347)=0,1,E347),0)</f>
        <v/>
      </c>
      <c r="X347">
        <f>IF(OR(B347="",D347=""),"",IF(N(E347)=0,1,E347))</f>
        <v/>
      </c>
    </row>
    <row r="348">
      <c r="A348" s="1" t="n"/>
      <c r="B348" s="31" t="n"/>
      <c r="C348" s="32" t="n"/>
      <c r="D348" s="33" t="n"/>
      <c r="E348" s="34" t="n"/>
      <c r="F348" s="35" t="n"/>
      <c r="G348" s="35" t="n"/>
      <c r="H348" s="30">
        <f>IF(OR(B348="",D348=""),"",IF(N(E348)=0,1,E348)*IFERROR(INDEX(Products!$C$6:$C$105,MATCH(D348,Products!$B$6:$B$105,0)),0)+N(F348)+N(G348))</f>
        <v/>
      </c>
      <c r="I348" s="35" t="n"/>
      <c r="J348" s="30">
        <f>IF(OR(H348="",L348="Cancelled"),"",IF(H348-N(I348)&gt;0.005,H348-N(I348),""))</f>
        <v/>
      </c>
      <c r="K348" s="31" t="n"/>
      <c r="L348" s="36" t="n"/>
      <c r="M348" s="33" t="n"/>
      <c r="N348" s="22">
        <f>IF(OR(H348="",L348="Cancelled"),"",IF(N(E348)=0,1,E348)*IFERROR(INDEX(Products!$E$6:$E$105,MATCH(D348,Products!$B$6:$B$105,0)),0))</f>
        <v/>
      </c>
      <c r="O348" s="35" t="n"/>
      <c r="P348" s="22">
        <f>IF(OR(H348="",L348="Cancelled"),"",ROUND(IFERROR(H348*INDEX(Settings!$C$6:$C$15,MATCH(M348,Settings!$B$6:$B$15,0))+INDEX(Settings!$D$6:$D$15,MATCH(M348,Settings!$B$6:$B$15,0)),0),2))</f>
        <v/>
      </c>
      <c r="Q348" s="28">
        <f>IF(OR(H348="",L348="Cancelled"),"",H348-N(N348)-N(O348)-N(P348))</f>
        <v/>
      </c>
      <c r="R348" s="19">
        <f>IF(OR(B348="",K348=""),"",IF(OR(L348="Sent",L348="Picked up"),"Done",IF(L348="Cancelled","Cancelled",IF(K348&lt;TODAY(),"Late by "&amp;(TODAY()-K348)&amp;IF((TODAY()-K348)=1," day"," days"),IF(K348=TODAY(),"Due today","Due in "&amp;(K348-TODAY())&amp;IF((K348-TODAY())=1," day"," days"))))))</f>
        <v/>
      </c>
      <c r="S348" s="33" t="n"/>
      <c r="T348" s="1">
        <f>IF(AND(B348&lt;&gt;"",K348&lt;&gt;"",L348&lt;&gt;"Sent",L348&lt;&gt;"Picked up",L348&lt;&gt;"Cancelled"),K348+ROW()/10000000,"")</f>
        <v/>
      </c>
      <c r="U348">
        <f>IF(OR(B348="",C348=""),"",B348+ROW()/10000000)</f>
        <v/>
      </c>
      <c r="V348">
        <f>IF(U348="","",IF(COUNTIFS(Orders!$C$6:$C$1005,C348,Orders!$U$6:$U$1005,"&gt;"&amp;U348)=0,1,0))</f>
        <v/>
      </c>
      <c r="W348">
        <f>IF(AND(B348&lt;&gt;"",K348&lt;&gt;"",L348&lt;&gt;"Sent",L348&lt;&gt;"Picked up",L348&lt;&gt;"Cancelled"),IF(N(E348)=0,1,E348),0)</f>
        <v/>
      </c>
      <c r="X348">
        <f>IF(OR(B348="",D348=""),"",IF(N(E348)=0,1,E348))</f>
        <v/>
      </c>
    </row>
    <row r="349">
      <c r="A349" s="1" t="n"/>
      <c r="B349" s="31" t="n"/>
      <c r="C349" s="32" t="n"/>
      <c r="D349" s="33" t="n"/>
      <c r="E349" s="34" t="n"/>
      <c r="F349" s="35" t="n"/>
      <c r="G349" s="35" t="n"/>
      <c r="H349" s="30">
        <f>IF(OR(B349="",D349=""),"",IF(N(E349)=0,1,E349)*IFERROR(INDEX(Products!$C$6:$C$105,MATCH(D349,Products!$B$6:$B$105,0)),0)+N(F349)+N(G349))</f>
        <v/>
      </c>
      <c r="I349" s="35" t="n"/>
      <c r="J349" s="30">
        <f>IF(OR(H349="",L349="Cancelled"),"",IF(H349-N(I349)&gt;0.005,H349-N(I349),""))</f>
        <v/>
      </c>
      <c r="K349" s="31" t="n"/>
      <c r="L349" s="36" t="n"/>
      <c r="M349" s="33" t="n"/>
      <c r="N349" s="22">
        <f>IF(OR(H349="",L349="Cancelled"),"",IF(N(E349)=0,1,E349)*IFERROR(INDEX(Products!$E$6:$E$105,MATCH(D349,Products!$B$6:$B$105,0)),0))</f>
        <v/>
      </c>
      <c r="O349" s="35" t="n"/>
      <c r="P349" s="22">
        <f>IF(OR(H349="",L349="Cancelled"),"",ROUND(IFERROR(H349*INDEX(Settings!$C$6:$C$15,MATCH(M349,Settings!$B$6:$B$15,0))+INDEX(Settings!$D$6:$D$15,MATCH(M349,Settings!$B$6:$B$15,0)),0),2))</f>
        <v/>
      </c>
      <c r="Q349" s="28">
        <f>IF(OR(H349="",L349="Cancelled"),"",H349-N(N349)-N(O349)-N(P349))</f>
        <v/>
      </c>
      <c r="R349" s="19">
        <f>IF(OR(B349="",K349=""),"",IF(OR(L349="Sent",L349="Picked up"),"Done",IF(L349="Cancelled","Cancelled",IF(K349&lt;TODAY(),"Late by "&amp;(TODAY()-K349)&amp;IF((TODAY()-K349)=1," day"," days"),IF(K349=TODAY(),"Due today","Due in "&amp;(K349-TODAY())&amp;IF((K349-TODAY())=1," day"," days"))))))</f>
        <v/>
      </c>
      <c r="S349" s="33" t="n"/>
      <c r="T349" s="1">
        <f>IF(AND(B349&lt;&gt;"",K349&lt;&gt;"",L349&lt;&gt;"Sent",L349&lt;&gt;"Picked up",L349&lt;&gt;"Cancelled"),K349+ROW()/10000000,"")</f>
        <v/>
      </c>
      <c r="U349">
        <f>IF(OR(B349="",C349=""),"",B349+ROW()/10000000)</f>
        <v/>
      </c>
      <c r="V349">
        <f>IF(U349="","",IF(COUNTIFS(Orders!$C$6:$C$1005,C349,Orders!$U$6:$U$1005,"&gt;"&amp;U349)=0,1,0))</f>
        <v/>
      </c>
      <c r="W349">
        <f>IF(AND(B349&lt;&gt;"",K349&lt;&gt;"",L349&lt;&gt;"Sent",L349&lt;&gt;"Picked up",L349&lt;&gt;"Cancelled"),IF(N(E349)=0,1,E349),0)</f>
        <v/>
      </c>
      <c r="X349">
        <f>IF(OR(B349="",D349=""),"",IF(N(E349)=0,1,E349))</f>
        <v/>
      </c>
    </row>
    <row r="350">
      <c r="A350" s="1" t="n"/>
      <c r="B350" s="31" t="n"/>
      <c r="C350" s="32" t="n"/>
      <c r="D350" s="33" t="n"/>
      <c r="E350" s="34" t="n"/>
      <c r="F350" s="35" t="n"/>
      <c r="G350" s="35" t="n"/>
      <c r="H350" s="30">
        <f>IF(OR(B350="",D350=""),"",IF(N(E350)=0,1,E350)*IFERROR(INDEX(Products!$C$6:$C$105,MATCH(D350,Products!$B$6:$B$105,0)),0)+N(F350)+N(G350))</f>
        <v/>
      </c>
      <c r="I350" s="35" t="n"/>
      <c r="J350" s="30">
        <f>IF(OR(H350="",L350="Cancelled"),"",IF(H350-N(I350)&gt;0.005,H350-N(I350),""))</f>
        <v/>
      </c>
      <c r="K350" s="31" t="n"/>
      <c r="L350" s="36" t="n"/>
      <c r="M350" s="33" t="n"/>
      <c r="N350" s="22">
        <f>IF(OR(H350="",L350="Cancelled"),"",IF(N(E350)=0,1,E350)*IFERROR(INDEX(Products!$E$6:$E$105,MATCH(D350,Products!$B$6:$B$105,0)),0))</f>
        <v/>
      </c>
      <c r="O350" s="35" t="n"/>
      <c r="P350" s="22">
        <f>IF(OR(H350="",L350="Cancelled"),"",ROUND(IFERROR(H350*INDEX(Settings!$C$6:$C$15,MATCH(M350,Settings!$B$6:$B$15,0))+INDEX(Settings!$D$6:$D$15,MATCH(M350,Settings!$B$6:$B$15,0)),0),2))</f>
        <v/>
      </c>
      <c r="Q350" s="28">
        <f>IF(OR(H350="",L350="Cancelled"),"",H350-N(N350)-N(O350)-N(P350))</f>
        <v/>
      </c>
      <c r="R350" s="19">
        <f>IF(OR(B350="",K350=""),"",IF(OR(L350="Sent",L350="Picked up"),"Done",IF(L350="Cancelled","Cancelled",IF(K350&lt;TODAY(),"Late by "&amp;(TODAY()-K350)&amp;IF((TODAY()-K350)=1," day"," days"),IF(K350=TODAY(),"Due today","Due in "&amp;(K350-TODAY())&amp;IF((K350-TODAY())=1," day"," days"))))))</f>
        <v/>
      </c>
      <c r="S350" s="33" t="n"/>
      <c r="T350" s="1">
        <f>IF(AND(B350&lt;&gt;"",K350&lt;&gt;"",L350&lt;&gt;"Sent",L350&lt;&gt;"Picked up",L350&lt;&gt;"Cancelled"),K350+ROW()/10000000,"")</f>
        <v/>
      </c>
      <c r="U350">
        <f>IF(OR(B350="",C350=""),"",B350+ROW()/10000000)</f>
        <v/>
      </c>
      <c r="V350">
        <f>IF(U350="","",IF(COUNTIFS(Orders!$C$6:$C$1005,C350,Orders!$U$6:$U$1005,"&gt;"&amp;U350)=0,1,0))</f>
        <v/>
      </c>
      <c r="W350">
        <f>IF(AND(B350&lt;&gt;"",K350&lt;&gt;"",L350&lt;&gt;"Sent",L350&lt;&gt;"Picked up",L350&lt;&gt;"Cancelled"),IF(N(E350)=0,1,E350),0)</f>
        <v/>
      </c>
      <c r="X350">
        <f>IF(OR(B350="",D350=""),"",IF(N(E350)=0,1,E350))</f>
        <v/>
      </c>
    </row>
    <row r="351">
      <c r="A351" s="1" t="n"/>
      <c r="B351" s="31" t="n"/>
      <c r="C351" s="32" t="n"/>
      <c r="D351" s="33" t="n"/>
      <c r="E351" s="34" t="n"/>
      <c r="F351" s="35" t="n"/>
      <c r="G351" s="35" t="n"/>
      <c r="H351" s="30">
        <f>IF(OR(B351="",D351=""),"",IF(N(E351)=0,1,E351)*IFERROR(INDEX(Products!$C$6:$C$105,MATCH(D351,Products!$B$6:$B$105,0)),0)+N(F351)+N(G351))</f>
        <v/>
      </c>
      <c r="I351" s="35" t="n"/>
      <c r="J351" s="30">
        <f>IF(OR(H351="",L351="Cancelled"),"",IF(H351-N(I351)&gt;0.005,H351-N(I351),""))</f>
        <v/>
      </c>
      <c r="K351" s="31" t="n"/>
      <c r="L351" s="36" t="n"/>
      <c r="M351" s="33" t="n"/>
      <c r="N351" s="22">
        <f>IF(OR(H351="",L351="Cancelled"),"",IF(N(E351)=0,1,E351)*IFERROR(INDEX(Products!$E$6:$E$105,MATCH(D351,Products!$B$6:$B$105,0)),0))</f>
        <v/>
      </c>
      <c r="O351" s="35" t="n"/>
      <c r="P351" s="22">
        <f>IF(OR(H351="",L351="Cancelled"),"",ROUND(IFERROR(H351*INDEX(Settings!$C$6:$C$15,MATCH(M351,Settings!$B$6:$B$15,0))+INDEX(Settings!$D$6:$D$15,MATCH(M351,Settings!$B$6:$B$15,0)),0),2))</f>
        <v/>
      </c>
      <c r="Q351" s="28">
        <f>IF(OR(H351="",L351="Cancelled"),"",H351-N(N351)-N(O351)-N(P351))</f>
        <v/>
      </c>
      <c r="R351" s="19">
        <f>IF(OR(B351="",K351=""),"",IF(OR(L351="Sent",L351="Picked up"),"Done",IF(L351="Cancelled","Cancelled",IF(K351&lt;TODAY(),"Late by "&amp;(TODAY()-K351)&amp;IF((TODAY()-K351)=1," day"," days"),IF(K351=TODAY(),"Due today","Due in "&amp;(K351-TODAY())&amp;IF((K351-TODAY())=1," day"," days"))))))</f>
        <v/>
      </c>
      <c r="S351" s="33" t="n"/>
      <c r="T351" s="1">
        <f>IF(AND(B351&lt;&gt;"",K351&lt;&gt;"",L351&lt;&gt;"Sent",L351&lt;&gt;"Picked up",L351&lt;&gt;"Cancelled"),K351+ROW()/10000000,"")</f>
        <v/>
      </c>
      <c r="U351">
        <f>IF(OR(B351="",C351=""),"",B351+ROW()/10000000)</f>
        <v/>
      </c>
      <c r="V351">
        <f>IF(U351="","",IF(COUNTIFS(Orders!$C$6:$C$1005,C351,Orders!$U$6:$U$1005,"&gt;"&amp;U351)=0,1,0))</f>
        <v/>
      </c>
      <c r="W351">
        <f>IF(AND(B351&lt;&gt;"",K351&lt;&gt;"",L351&lt;&gt;"Sent",L351&lt;&gt;"Picked up",L351&lt;&gt;"Cancelled"),IF(N(E351)=0,1,E351),0)</f>
        <v/>
      </c>
      <c r="X351">
        <f>IF(OR(B351="",D351=""),"",IF(N(E351)=0,1,E351))</f>
        <v/>
      </c>
    </row>
    <row r="352">
      <c r="A352" s="1" t="n"/>
      <c r="B352" s="31" t="n"/>
      <c r="C352" s="32" t="n"/>
      <c r="D352" s="33" t="n"/>
      <c r="E352" s="34" t="n"/>
      <c r="F352" s="35" t="n"/>
      <c r="G352" s="35" t="n"/>
      <c r="H352" s="30">
        <f>IF(OR(B352="",D352=""),"",IF(N(E352)=0,1,E352)*IFERROR(INDEX(Products!$C$6:$C$105,MATCH(D352,Products!$B$6:$B$105,0)),0)+N(F352)+N(G352))</f>
        <v/>
      </c>
      <c r="I352" s="35" t="n"/>
      <c r="J352" s="30">
        <f>IF(OR(H352="",L352="Cancelled"),"",IF(H352-N(I352)&gt;0.005,H352-N(I352),""))</f>
        <v/>
      </c>
      <c r="K352" s="31" t="n"/>
      <c r="L352" s="36" t="n"/>
      <c r="M352" s="33" t="n"/>
      <c r="N352" s="22">
        <f>IF(OR(H352="",L352="Cancelled"),"",IF(N(E352)=0,1,E352)*IFERROR(INDEX(Products!$E$6:$E$105,MATCH(D352,Products!$B$6:$B$105,0)),0))</f>
        <v/>
      </c>
      <c r="O352" s="35" t="n"/>
      <c r="P352" s="22">
        <f>IF(OR(H352="",L352="Cancelled"),"",ROUND(IFERROR(H352*INDEX(Settings!$C$6:$C$15,MATCH(M352,Settings!$B$6:$B$15,0))+INDEX(Settings!$D$6:$D$15,MATCH(M352,Settings!$B$6:$B$15,0)),0),2))</f>
        <v/>
      </c>
      <c r="Q352" s="28">
        <f>IF(OR(H352="",L352="Cancelled"),"",H352-N(N352)-N(O352)-N(P352))</f>
        <v/>
      </c>
      <c r="R352" s="19">
        <f>IF(OR(B352="",K352=""),"",IF(OR(L352="Sent",L352="Picked up"),"Done",IF(L352="Cancelled","Cancelled",IF(K352&lt;TODAY(),"Late by "&amp;(TODAY()-K352)&amp;IF((TODAY()-K352)=1," day"," days"),IF(K352=TODAY(),"Due today","Due in "&amp;(K352-TODAY())&amp;IF((K352-TODAY())=1," day"," days"))))))</f>
        <v/>
      </c>
      <c r="S352" s="33" t="n"/>
      <c r="T352" s="1">
        <f>IF(AND(B352&lt;&gt;"",K352&lt;&gt;"",L352&lt;&gt;"Sent",L352&lt;&gt;"Picked up",L352&lt;&gt;"Cancelled"),K352+ROW()/10000000,"")</f>
        <v/>
      </c>
      <c r="U352">
        <f>IF(OR(B352="",C352=""),"",B352+ROW()/10000000)</f>
        <v/>
      </c>
      <c r="V352">
        <f>IF(U352="","",IF(COUNTIFS(Orders!$C$6:$C$1005,C352,Orders!$U$6:$U$1005,"&gt;"&amp;U352)=0,1,0))</f>
        <v/>
      </c>
      <c r="W352">
        <f>IF(AND(B352&lt;&gt;"",K352&lt;&gt;"",L352&lt;&gt;"Sent",L352&lt;&gt;"Picked up",L352&lt;&gt;"Cancelled"),IF(N(E352)=0,1,E352),0)</f>
        <v/>
      </c>
      <c r="X352">
        <f>IF(OR(B352="",D352=""),"",IF(N(E352)=0,1,E352))</f>
        <v/>
      </c>
    </row>
    <row r="353">
      <c r="A353" s="1" t="n"/>
      <c r="B353" s="31" t="n"/>
      <c r="C353" s="32" t="n"/>
      <c r="D353" s="33" t="n"/>
      <c r="E353" s="34" t="n"/>
      <c r="F353" s="35" t="n"/>
      <c r="G353" s="35" t="n"/>
      <c r="H353" s="30">
        <f>IF(OR(B353="",D353=""),"",IF(N(E353)=0,1,E353)*IFERROR(INDEX(Products!$C$6:$C$105,MATCH(D353,Products!$B$6:$B$105,0)),0)+N(F353)+N(G353))</f>
        <v/>
      </c>
      <c r="I353" s="35" t="n"/>
      <c r="J353" s="30">
        <f>IF(OR(H353="",L353="Cancelled"),"",IF(H353-N(I353)&gt;0.005,H353-N(I353),""))</f>
        <v/>
      </c>
      <c r="K353" s="31" t="n"/>
      <c r="L353" s="36" t="n"/>
      <c r="M353" s="33" t="n"/>
      <c r="N353" s="22">
        <f>IF(OR(H353="",L353="Cancelled"),"",IF(N(E353)=0,1,E353)*IFERROR(INDEX(Products!$E$6:$E$105,MATCH(D353,Products!$B$6:$B$105,0)),0))</f>
        <v/>
      </c>
      <c r="O353" s="35" t="n"/>
      <c r="P353" s="22">
        <f>IF(OR(H353="",L353="Cancelled"),"",ROUND(IFERROR(H353*INDEX(Settings!$C$6:$C$15,MATCH(M353,Settings!$B$6:$B$15,0))+INDEX(Settings!$D$6:$D$15,MATCH(M353,Settings!$B$6:$B$15,0)),0),2))</f>
        <v/>
      </c>
      <c r="Q353" s="28">
        <f>IF(OR(H353="",L353="Cancelled"),"",H353-N(N353)-N(O353)-N(P353))</f>
        <v/>
      </c>
      <c r="R353" s="19">
        <f>IF(OR(B353="",K353=""),"",IF(OR(L353="Sent",L353="Picked up"),"Done",IF(L353="Cancelled","Cancelled",IF(K353&lt;TODAY(),"Late by "&amp;(TODAY()-K353)&amp;IF((TODAY()-K353)=1," day"," days"),IF(K353=TODAY(),"Due today","Due in "&amp;(K353-TODAY())&amp;IF((K353-TODAY())=1," day"," days"))))))</f>
        <v/>
      </c>
      <c r="S353" s="33" t="n"/>
      <c r="T353" s="1">
        <f>IF(AND(B353&lt;&gt;"",K353&lt;&gt;"",L353&lt;&gt;"Sent",L353&lt;&gt;"Picked up",L353&lt;&gt;"Cancelled"),K353+ROW()/10000000,"")</f>
        <v/>
      </c>
      <c r="U353">
        <f>IF(OR(B353="",C353=""),"",B353+ROW()/10000000)</f>
        <v/>
      </c>
      <c r="V353">
        <f>IF(U353="","",IF(COUNTIFS(Orders!$C$6:$C$1005,C353,Orders!$U$6:$U$1005,"&gt;"&amp;U353)=0,1,0))</f>
        <v/>
      </c>
      <c r="W353">
        <f>IF(AND(B353&lt;&gt;"",K353&lt;&gt;"",L353&lt;&gt;"Sent",L353&lt;&gt;"Picked up",L353&lt;&gt;"Cancelled"),IF(N(E353)=0,1,E353),0)</f>
        <v/>
      </c>
      <c r="X353">
        <f>IF(OR(B353="",D353=""),"",IF(N(E353)=0,1,E353))</f>
        <v/>
      </c>
    </row>
    <row r="354">
      <c r="A354" s="1" t="n"/>
      <c r="B354" s="31" t="n"/>
      <c r="C354" s="32" t="n"/>
      <c r="D354" s="33" t="n"/>
      <c r="E354" s="34" t="n"/>
      <c r="F354" s="35" t="n"/>
      <c r="G354" s="35" t="n"/>
      <c r="H354" s="30">
        <f>IF(OR(B354="",D354=""),"",IF(N(E354)=0,1,E354)*IFERROR(INDEX(Products!$C$6:$C$105,MATCH(D354,Products!$B$6:$B$105,0)),0)+N(F354)+N(G354))</f>
        <v/>
      </c>
      <c r="I354" s="35" t="n"/>
      <c r="J354" s="30">
        <f>IF(OR(H354="",L354="Cancelled"),"",IF(H354-N(I354)&gt;0.005,H354-N(I354),""))</f>
        <v/>
      </c>
      <c r="K354" s="31" t="n"/>
      <c r="L354" s="36" t="n"/>
      <c r="M354" s="33" t="n"/>
      <c r="N354" s="22">
        <f>IF(OR(H354="",L354="Cancelled"),"",IF(N(E354)=0,1,E354)*IFERROR(INDEX(Products!$E$6:$E$105,MATCH(D354,Products!$B$6:$B$105,0)),0))</f>
        <v/>
      </c>
      <c r="O354" s="35" t="n"/>
      <c r="P354" s="22">
        <f>IF(OR(H354="",L354="Cancelled"),"",ROUND(IFERROR(H354*INDEX(Settings!$C$6:$C$15,MATCH(M354,Settings!$B$6:$B$15,0))+INDEX(Settings!$D$6:$D$15,MATCH(M354,Settings!$B$6:$B$15,0)),0),2))</f>
        <v/>
      </c>
      <c r="Q354" s="28">
        <f>IF(OR(H354="",L354="Cancelled"),"",H354-N(N354)-N(O354)-N(P354))</f>
        <v/>
      </c>
      <c r="R354" s="19">
        <f>IF(OR(B354="",K354=""),"",IF(OR(L354="Sent",L354="Picked up"),"Done",IF(L354="Cancelled","Cancelled",IF(K354&lt;TODAY(),"Late by "&amp;(TODAY()-K354)&amp;IF((TODAY()-K354)=1," day"," days"),IF(K354=TODAY(),"Due today","Due in "&amp;(K354-TODAY())&amp;IF((K354-TODAY())=1," day"," days"))))))</f>
        <v/>
      </c>
      <c r="S354" s="33" t="n"/>
      <c r="T354" s="1">
        <f>IF(AND(B354&lt;&gt;"",K354&lt;&gt;"",L354&lt;&gt;"Sent",L354&lt;&gt;"Picked up",L354&lt;&gt;"Cancelled"),K354+ROW()/10000000,"")</f>
        <v/>
      </c>
      <c r="U354">
        <f>IF(OR(B354="",C354=""),"",B354+ROW()/10000000)</f>
        <v/>
      </c>
      <c r="V354">
        <f>IF(U354="","",IF(COUNTIFS(Orders!$C$6:$C$1005,C354,Orders!$U$6:$U$1005,"&gt;"&amp;U354)=0,1,0))</f>
        <v/>
      </c>
      <c r="W354">
        <f>IF(AND(B354&lt;&gt;"",K354&lt;&gt;"",L354&lt;&gt;"Sent",L354&lt;&gt;"Picked up",L354&lt;&gt;"Cancelled"),IF(N(E354)=0,1,E354),0)</f>
        <v/>
      </c>
      <c r="X354">
        <f>IF(OR(B354="",D354=""),"",IF(N(E354)=0,1,E354))</f>
        <v/>
      </c>
    </row>
    <row r="355">
      <c r="A355" s="1" t="n"/>
      <c r="B355" s="31" t="n"/>
      <c r="C355" s="32" t="n"/>
      <c r="D355" s="33" t="n"/>
      <c r="E355" s="34" t="n"/>
      <c r="F355" s="35" t="n"/>
      <c r="G355" s="35" t="n"/>
      <c r="H355" s="30">
        <f>IF(OR(B355="",D355=""),"",IF(N(E355)=0,1,E355)*IFERROR(INDEX(Products!$C$6:$C$105,MATCH(D355,Products!$B$6:$B$105,0)),0)+N(F355)+N(G355))</f>
        <v/>
      </c>
      <c r="I355" s="35" t="n"/>
      <c r="J355" s="30">
        <f>IF(OR(H355="",L355="Cancelled"),"",IF(H355-N(I355)&gt;0.005,H355-N(I355),""))</f>
        <v/>
      </c>
      <c r="K355" s="31" t="n"/>
      <c r="L355" s="36" t="n"/>
      <c r="M355" s="33" t="n"/>
      <c r="N355" s="22">
        <f>IF(OR(H355="",L355="Cancelled"),"",IF(N(E355)=0,1,E355)*IFERROR(INDEX(Products!$E$6:$E$105,MATCH(D355,Products!$B$6:$B$105,0)),0))</f>
        <v/>
      </c>
      <c r="O355" s="35" t="n"/>
      <c r="P355" s="22">
        <f>IF(OR(H355="",L355="Cancelled"),"",ROUND(IFERROR(H355*INDEX(Settings!$C$6:$C$15,MATCH(M355,Settings!$B$6:$B$15,0))+INDEX(Settings!$D$6:$D$15,MATCH(M355,Settings!$B$6:$B$15,0)),0),2))</f>
        <v/>
      </c>
      <c r="Q355" s="28">
        <f>IF(OR(H355="",L355="Cancelled"),"",H355-N(N355)-N(O355)-N(P355))</f>
        <v/>
      </c>
      <c r="R355" s="19">
        <f>IF(OR(B355="",K355=""),"",IF(OR(L355="Sent",L355="Picked up"),"Done",IF(L355="Cancelled","Cancelled",IF(K355&lt;TODAY(),"Late by "&amp;(TODAY()-K355)&amp;IF((TODAY()-K355)=1," day"," days"),IF(K355=TODAY(),"Due today","Due in "&amp;(K355-TODAY())&amp;IF((K355-TODAY())=1," day"," days"))))))</f>
        <v/>
      </c>
      <c r="S355" s="33" t="n"/>
      <c r="T355" s="1">
        <f>IF(AND(B355&lt;&gt;"",K355&lt;&gt;"",L355&lt;&gt;"Sent",L355&lt;&gt;"Picked up",L355&lt;&gt;"Cancelled"),K355+ROW()/10000000,"")</f>
        <v/>
      </c>
      <c r="U355">
        <f>IF(OR(B355="",C355=""),"",B355+ROW()/10000000)</f>
        <v/>
      </c>
      <c r="V355">
        <f>IF(U355="","",IF(COUNTIFS(Orders!$C$6:$C$1005,C355,Orders!$U$6:$U$1005,"&gt;"&amp;U355)=0,1,0))</f>
        <v/>
      </c>
      <c r="W355">
        <f>IF(AND(B355&lt;&gt;"",K355&lt;&gt;"",L355&lt;&gt;"Sent",L355&lt;&gt;"Picked up",L355&lt;&gt;"Cancelled"),IF(N(E355)=0,1,E355),0)</f>
        <v/>
      </c>
      <c r="X355">
        <f>IF(OR(B355="",D355=""),"",IF(N(E355)=0,1,E355))</f>
        <v/>
      </c>
    </row>
    <row r="356">
      <c r="A356" s="1" t="n"/>
      <c r="B356" s="31" t="n"/>
      <c r="C356" s="32" t="n"/>
      <c r="D356" s="33" t="n"/>
      <c r="E356" s="34" t="n"/>
      <c r="F356" s="35" t="n"/>
      <c r="G356" s="35" t="n"/>
      <c r="H356" s="30">
        <f>IF(OR(B356="",D356=""),"",IF(N(E356)=0,1,E356)*IFERROR(INDEX(Products!$C$6:$C$105,MATCH(D356,Products!$B$6:$B$105,0)),0)+N(F356)+N(G356))</f>
        <v/>
      </c>
      <c r="I356" s="35" t="n"/>
      <c r="J356" s="30">
        <f>IF(OR(H356="",L356="Cancelled"),"",IF(H356-N(I356)&gt;0.005,H356-N(I356),""))</f>
        <v/>
      </c>
      <c r="K356" s="31" t="n"/>
      <c r="L356" s="36" t="n"/>
      <c r="M356" s="33" t="n"/>
      <c r="N356" s="22">
        <f>IF(OR(H356="",L356="Cancelled"),"",IF(N(E356)=0,1,E356)*IFERROR(INDEX(Products!$E$6:$E$105,MATCH(D356,Products!$B$6:$B$105,0)),0))</f>
        <v/>
      </c>
      <c r="O356" s="35" t="n"/>
      <c r="P356" s="22">
        <f>IF(OR(H356="",L356="Cancelled"),"",ROUND(IFERROR(H356*INDEX(Settings!$C$6:$C$15,MATCH(M356,Settings!$B$6:$B$15,0))+INDEX(Settings!$D$6:$D$15,MATCH(M356,Settings!$B$6:$B$15,0)),0),2))</f>
        <v/>
      </c>
      <c r="Q356" s="28">
        <f>IF(OR(H356="",L356="Cancelled"),"",H356-N(N356)-N(O356)-N(P356))</f>
        <v/>
      </c>
      <c r="R356" s="19">
        <f>IF(OR(B356="",K356=""),"",IF(OR(L356="Sent",L356="Picked up"),"Done",IF(L356="Cancelled","Cancelled",IF(K356&lt;TODAY(),"Late by "&amp;(TODAY()-K356)&amp;IF((TODAY()-K356)=1," day"," days"),IF(K356=TODAY(),"Due today","Due in "&amp;(K356-TODAY())&amp;IF((K356-TODAY())=1," day"," days"))))))</f>
        <v/>
      </c>
      <c r="S356" s="33" t="n"/>
      <c r="T356" s="1">
        <f>IF(AND(B356&lt;&gt;"",K356&lt;&gt;"",L356&lt;&gt;"Sent",L356&lt;&gt;"Picked up",L356&lt;&gt;"Cancelled"),K356+ROW()/10000000,"")</f>
        <v/>
      </c>
      <c r="U356">
        <f>IF(OR(B356="",C356=""),"",B356+ROW()/10000000)</f>
        <v/>
      </c>
      <c r="V356">
        <f>IF(U356="","",IF(COUNTIFS(Orders!$C$6:$C$1005,C356,Orders!$U$6:$U$1005,"&gt;"&amp;U356)=0,1,0))</f>
        <v/>
      </c>
      <c r="W356">
        <f>IF(AND(B356&lt;&gt;"",K356&lt;&gt;"",L356&lt;&gt;"Sent",L356&lt;&gt;"Picked up",L356&lt;&gt;"Cancelled"),IF(N(E356)=0,1,E356),0)</f>
        <v/>
      </c>
      <c r="X356">
        <f>IF(OR(B356="",D356=""),"",IF(N(E356)=0,1,E356))</f>
        <v/>
      </c>
    </row>
    <row r="357">
      <c r="A357" s="1" t="n"/>
      <c r="B357" s="31" t="n"/>
      <c r="C357" s="32" t="n"/>
      <c r="D357" s="33" t="n"/>
      <c r="E357" s="34" t="n"/>
      <c r="F357" s="35" t="n"/>
      <c r="G357" s="35" t="n"/>
      <c r="H357" s="30">
        <f>IF(OR(B357="",D357=""),"",IF(N(E357)=0,1,E357)*IFERROR(INDEX(Products!$C$6:$C$105,MATCH(D357,Products!$B$6:$B$105,0)),0)+N(F357)+N(G357))</f>
        <v/>
      </c>
      <c r="I357" s="35" t="n"/>
      <c r="J357" s="30">
        <f>IF(OR(H357="",L357="Cancelled"),"",IF(H357-N(I357)&gt;0.005,H357-N(I357),""))</f>
        <v/>
      </c>
      <c r="K357" s="31" t="n"/>
      <c r="L357" s="36" t="n"/>
      <c r="M357" s="33" t="n"/>
      <c r="N357" s="22">
        <f>IF(OR(H357="",L357="Cancelled"),"",IF(N(E357)=0,1,E357)*IFERROR(INDEX(Products!$E$6:$E$105,MATCH(D357,Products!$B$6:$B$105,0)),0))</f>
        <v/>
      </c>
      <c r="O357" s="35" t="n"/>
      <c r="P357" s="22">
        <f>IF(OR(H357="",L357="Cancelled"),"",ROUND(IFERROR(H357*INDEX(Settings!$C$6:$C$15,MATCH(M357,Settings!$B$6:$B$15,0))+INDEX(Settings!$D$6:$D$15,MATCH(M357,Settings!$B$6:$B$15,0)),0),2))</f>
        <v/>
      </c>
      <c r="Q357" s="28">
        <f>IF(OR(H357="",L357="Cancelled"),"",H357-N(N357)-N(O357)-N(P357))</f>
        <v/>
      </c>
      <c r="R357" s="19">
        <f>IF(OR(B357="",K357=""),"",IF(OR(L357="Sent",L357="Picked up"),"Done",IF(L357="Cancelled","Cancelled",IF(K357&lt;TODAY(),"Late by "&amp;(TODAY()-K357)&amp;IF((TODAY()-K357)=1," day"," days"),IF(K357=TODAY(),"Due today","Due in "&amp;(K357-TODAY())&amp;IF((K357-TODAY())=1," day"," days"))))))</f>
        <v/>
      </c>
      <c r="S357" s="33" t="n"/>
      <c r="T357" s="1">
        <f>IF(AND(B357&lt;&gt;"",K357&lt;&gt;"",L357&lt;&gt;"Sent",L357&lt;&gt;"Picked up",L357&lt;&gt;"Cancelled"),K357+ROW()/10000000,"")</f>
        <v/>
      </c>
      <c r="U357">
        <f>IF(OR(B357="",C357=""),"",B357+ROW()/10000000)</f>
        <v/>
      </c>
      <c r="V357">
        <f>IF(U357="","",IF(COUNTIFS(Orders!$C$6:$C$1005,C357,Orders!$U$6:$U$1005,"&gt;"&amp;U357)=0,1,0))</f>
        <v/>
      </c>
      <c r="W357">
        <f>IF(AND(B357&lt;&gt;"",K357&lt;&gt;"",L357&lt;&gt;"Sent",L357&lt;&gt;"Picked up",L357&lt;&gt;"Cancelled"),IF(N(E357)=0,1,E357),0)</f>
        <v/>
      </c>
      <c r="X357">
        <f>IF(OR(B357="",D357=""),"",IF(N(E357)=0,1,E357))</f>
        <v/>
      </c>
    </row>
    <row r="358">
      <c r="A358" s="1" t="n"/>
      <c r="B358" s="31" t="n"/>
      <c r="C358" s="32" t="n"/>
      <c r="D358" s="33" t="n"/>
      <c r="E358" s="34" t="n"/>
      <c r="F358" s="35" t="n"/>
      <c r="G358" s="35" t="n"/>
      <c r="H358" s="30">
        <f>IF(OR(B358="",D358=""),"",IF(N(E358)=0,1,E358)*IFERROR(INDEX(Products!$C$6:$C$105,MATCH(D358,Products!$B$6:$B$105,0)),0)+N(F358)+N(G358))</f>
        <v/>
      </c>
      <c r="I358" s="35" t="n"/>
      <c r="J358" s="30">
        <f>IF(OR(H358="",L358="Cancelled"),"",IF(H358-N(I358)&gt;0.005,H358-N(I358),""))</f>
        <v/>
      </c>
      <c r="K358" s="31" t="n"/>
      <c r="L358" s="36" t="n"/>
      <c r="M358" s="33" t="n"/>
      <c r="N358" s="22">
        <f>IF(OR(H358="",L358="Cancelled"),"",IF(N(E358)=0,1,E358)*IFERROR(INDEX(Products!$E$6:$E$105,MATCH(D358,Products!$B$6:$B$105,0)),0))</f>
        <v/>
      </c>
      <c r="O358" s="35" t="n"/>
      <c r="P358" s="22">
        <f>IF(OR(H358="",L358="Cancelled"),"",ROUND(IFERROR(H358*INDEX(Settings!$C$6:$C$15,MATCH(M358,Settings!$B$6:$B$15,0))+INDEX(Settings!$D$6:$D$15,MATCH(M358,Settings!$B$6:$B$15,0)),0),2))</f>
        <v/>
      </c>
      <c r="Q358" s="28">
        <f>IF(OR(H358="",L358="Cancelled"),"",H358-N(N358)-N(O358)-N(P358))</f>
        <v/>
      </c>
      <c r="R358" s="19">
        <f>IF(OR(B358="",K358=""),"",IF(OR(L358="Sent",L358="Picked up"),"Done",IF(L358="Cancelled","Cancelled",IF(K358&lt;TODAY(),"Late by "&amp;(TODAY()-K358)&amp;IF((TODAY()-K358)=1," day"," days"),IF(K358=TODAY(),"Due today","Due in "&amp;(K358-TODAY())&amp;IF((K358-TODAY())=1," day"," days"))))))</f>
        <v/>
      </c>
      <c r="S358" s="33" t="n"/>
      <c r="T358" s="1">
        <f>IF(AND(B358&lt;&gt;"",K358&lt;&gt;"",L358&lt;&gt;"Sent",L358&lt;&gt;"Picked up",L358&lt;&gt;"Cancelled"),K358+ROW()/10000000,"")</f>
        <v/>
      </c>
      <c r="U358">
        <f>IF(OR(B358="",C358=""),"",B358+ROW()/10000000)</f>
        <v/>
      </c>
      <c r="V358">
        <f>IF(U358="","",IF(COUNTIFS(Orders!$C$6:$C$1005,C358,Orders!$U$6:$U$1005,"&gt;"&amp;U358)=0,1,0))</f>
        <v/>
      </c>
      <c r="W358">
        <f>IF(AND(B358&lt;&gt;"",K358&lt;&gt;"",L358&lt;&gt;"Sent",L358&lt;&gt;"Picked up",L358&lt;&gt;"Cancelled"),IF(N(E358)=0,1,E358),0)</f>
        <v/>
      </c>
      <c r="X358">
        <f>IF(OR(B358="",D358=""),"",IF(N(E358)=0,1,E358))</f>
        <v/>
      </c>
    </row>
    <row r="359">
      <c r="A359" s="1" t="n"/>
      <c r="B359" s="31" t="n"/>
      <c r="C359" s="32" t="n"/>
      <c r="D359" s="33" t="n"/>
      <c r="E359" s="34" t="n"/>
      <c r="F359" s="35" t="n"/>
      <c r="G359" s="35" t="n"/>
      <c r="H359" s="30">
        <f>IF(OR(B359="",D359=""),"",IF(N(E359)=0,1,E359)*IFERROR(INDEX(Products!$C$6:$C$105,MATCH(D359,Products!$B$6:$B$105,0)),0)+N(F359)+N(G359))</f>
        <v/>
      </c>
      <c r="I359" s="35" t="n"/>
      <c r="J359" s="30">
        <f>IF(OR(H359="",L359="Cancelled"),"",IF(H359-N(I359)&gt;0.005,H359-N(I359),""))</f>
        <v/>
      </c>
      <c r="K359" s="31" t="n"/>
      <c r="L359" s="36" t="n"/>
      <c r="M359" s="33" t="n"/>
      <c r="N359" s="22">
        <f>IF(OR(H359="",L359="Cancelled"),"",IF(N(E359)=0,1,E359)*IFERROR(INDEX(Products!$E$6:$E$105,MATCH(D359,Products!$B$6:$B$105,0)),0))</f>
        <v/>
      </c>
      <c r="O359" s="35" t="n"/>
      <c r="P359" s="22">
        <f>IF(OR(H359="",L359="Cancelled"),"",ROUND(IFERROR(H359*INDEX(Settings!$C$6:$C$15,MATCH(M359,Settings!$B$6:$B$15,0))+INDEX(Settings!$D$6:$D$15,MATCH(M359,Settings!$B$6:$B$15,0)),0),2))</f>
        <v/>
      </c>
      <c r="Q359" s="28">
        <f>IF(OR(H359="",L359="Cancelled"),"",H359-N(N359)-N(O359)-N(P359))</f>
        <v/>
      </c>
      <c r="R359" s="19">
        <f>IF(OR(B359="",K359=""),"",IF(OR(L359="Sent",L359="Picked up"),"Done",IF(L359="Cancelled","Cancelled",IF(K359&lt;TODAY(),"Late by "&amp;(TODAY()-K359)&amp;IF((TODAY()-K359)=1," day"," days"),IF(K359=TODAY(),"Due today","Due in "&amp;(K359-TODAY())&amp;IF((K359-TODAY())=1," day"," days"))))))</f>
        <v/>
      </c>
      <c r="S359" s="33" t="n"/>
      <c r="T359" s="1">
        <f>IF(AND(B359&lt;&gt;"",K359&lt;&gt;"",L359&lt;&gt;"Sent",L359&lt;&gt;"Picked up",L359&lt;&gt;"Cancelled"),K359+ROW()/10000000,"")</f>
        <v/>
      </c>
      <c r="U359">
        <f>IF(OR(B359="",C359=""),"",B359+ROW()/10000000)</f>
        <v/>
      </c>
      <c r="V359">
        <f>IF(U359="","",IF(COUNTIFS(Orders!$C$6:$C$1005,C359,Orders!$U$6:$U$1005,"&gt;"&amp;U359)=0,1,0))</f>
        <v/>
      </c>
      <c r="W359">
        <f>IF(AND(B359&lt;&gt;"",K359&lt;&gt;"",L359&lt;&gt;"Sent",L359&lt;&gt;"Picked up",L359&lt;&gt;"Cancelled"),IF(N(E359)=0,1,E359),0)</f>
        <v/>
      </c>
      <c r="X359">
        <f>IF(OR(B359="",D359=""),"",IF(N(E359)=0,1,E359))</f>
        <v/>
      </c>
    </row>
    <row r="360">
      <c r="A360" s="1" t="n"/>
      <c r="B360" s="31" t="n"/>
      <c r="C360" s="32" t="n"/>
      <c r="D360" s="33" t="n"/>
      <c r="E360" s="34" t="n"/>
      <c r="F360" s="35" t="n"/>
      <c r="G360" s="35" t="n"/>
      <c r="H360" s="30">
        <f>IF(OR(B360="",D360=""),"",IF(N(E360)=0,1,E360)*IFERROR(INDEX(Products!$C$6:$C$105,MATCH(D360,Products!$B$6:$B$105,0)),0)+N(F360)+N(G360))</f>
        <v/>
      </c>
      <c r="I360" s="35" t="n"/>
      <c r="J360" s="30">
        <f>IF(OR(H360="",L360="Cancelled"),"",IF(H360-N(I360)&gt;0.005,H360-N(I360),""))</f>
        <v/>
      </c>
      <c r="K360" s="31" t="n"/>
      <c r="L360" s="36" t="n"/>
      <c r="M360" s="33" t="n"/>
      <c r="N360" s="22">
        <f>IF(OR(H360="",L360="Cancelled"),"",IF(N(E360)=0,1,E360)*IFERROR(INDEX(Products!$E$6:$E$105,MATCH(D360,Products!$B$6:$B$105,0)),0))</f>
        <v/>
      </c>
      <c r="O360" s="35" t="n"/>
      <c r="P360" s="22">
        <f>IF(OR(H360="",L360="Cancelled"),"",ROUND(IFERROR(H360*INDEX(Settings!$C$6:$C$15,MATCH(M360,Settings!$B$6:$B$15,0))+INDEX(Settings!$D$6:$D$15,MATCH(M360,Settings!$B$6:$B$15,0)),0),2))</f>
        <v/>
      </c>
      <c r="Q360" s="28">
        <f>IF(OR(H360="",L360="Cancelled"),"",H360-N(N360)-N(O360)-N(P360))</f>
        <v/>
      </c>
      <c r="R360" s="19">
        <f>IF(OR(B360="",K360=""),"",IF(OR(L360="Sent",L360="Picked up"),"Done",IF(L360="Cancelled","Cancelled",IF(K360&lt;TODAY(),"Late by "&amp;(TODAY()-K360)&amp;IF((TODAY()-K360)=1," day"," days"),IF(K360=TODAY(),"Due today","Due in "&amp;(K360-TODAY())&amp;IF((K360-TODAY())=1," day"," days"))))))</f>
        <v/>
      </c>
      <c r="S360" s="33" t="n"/>
      <c r="T360" s="1">
        <f>IF(AND(B360&lt;&gt;"",K360&lt;&gt;"",L360&lt;&gt;"Sent",L360&lt;&gt;"Picked up",L360&lt;&gt;"Cancelled"),K360+ROW()/10000000,"")</f>
        <v/>
      </c>
      <c r="U360">
        <f>IF(OR(B360="",C360=""),"",B360+ROW()/10000000)</f>
        <v/>
      </c>
      <c r="V360">
        <f>IF(U360="","",IF(COUNTIFS(Orders!$C$6:$C$1005,C360,Orders!$U$6:$U$1005,"&gt;"&amp;U360)=0,1,0))</f>
        <v/>
      </c>
      <c r="W360">
        <f>IF(AND(B360&lt;&gt;"",K360&lt;&gt;"",L360&lt;&gt;"Sent",L360&lt;&gt;"Picked up",L360&lt;&gt;"Cancelled"),IF(N(E360)=0,1,E360),0)</f>
        <v/>
      </c>
      <c r="X360">
        <f>IF(OR(B360="",D360=""),"",IF(N(E360)=0,1,E360))</f>
        <v/>
      </c>
    </row>
    <row r="361">
      <c r="A361" s="1" t="n"/>
      <c r="B361" s="31" t="n"/>
      <c r="C361" s="32" t="n"/>
      <c r="D361" s="33" t="n"/>
      <c r="E361" s="34" t="n"/>
      <c r="F361" s="35" t="n"/>
      <c r="G361" s="35" t="n"/>
      <c r="H361" s="30">
        <f>IF(OR(B361="",D361=""),"",IF(N(E361)=0,1,E361)*IFERROR(INDEX(Products!$C$6:$C$105,MATCH(D361,Products!$B$6:$B$105,0)),0)+N(F361)+N(G361))</f>
        <v/>
      </c>
      <c r="I361" s="35" t="n"/>
      <c r="J361" s="30">
        <f>IF(OR(H361="",L361="Cancelled"),"",IF(H361-N(I361)&gt;0.005,H361-N(I361),""))</f>
        <v/>
      </c>
      <c r="K361" s="31" t="n"/>
      <c r="L361" s="36" t="n"/>
      <c r="M361" s="33" t="n"/>
      <c r="N361" s="22">
        <f>IF(OR(H361="",L361="Cancelled"),"",IF(N(E361)=0,1,E361)*IFERROR(INDEX(Products!$E$6:$E$105,MATCH(D361,Products!$B$6:$B$105,0)),0))</f>
        <v/>
      </c>
      <c r="O361" s="35" t="n"/>
      <c r="P361" s="22">
        <f>IF(OR(H361="",L361="Cancelled"),"",ROUND(IFERROR(H361*INDEX(Settings!$C$6:$C$15,MATCH(M361,Settings!$B$6:$B$15,0))+INDEX(Settings!$D$6:$D$15,MATCH(M361,Settings!$B$6:$B$15,0)),0),2))</f>
        <v/>
      </c>
      <c r="Q361" s="28">
        <f>IF(OR(H361="",L361="Cancelled"),"",H361-N(N361)-N(O361)-N(P361))</f>
        <v/>
      </c>
      <c r="R361" s="19">
        <f>IF(OR(B361="",K361=""),"",IF(OR(L361="Sent",L361="Picked up"),"Done",IF(L361="Cancelled","Cancelled",IF(K361&lt;TODAY(),"Late by "&amp;(TODAY()-K361)&amp;IF((TODAY()-K361)=1," day"," days"),IF(K361=TODAY(),"Due today","Due in "&amp;(K361-TODAY())&amp;IF((K361-TODAY())=1," day"," days"))))))</f>
        <v/>
      </c>
      <c r="S361" s="33" t="n"/>
      <c r="T361" s="1">
        <f>IF(AND(B361&lt;&gt;"",K361&lt;&gt;"",L361&lt;&gt;"Sent",L361&lt;&gt;"Picked up",L361&lt;&gt;"Cancelled"),K361+ROW()/10000000,"")</f>
        <v/>
      </c>
      <c r="U361">
        <f>IF(OR(B361="",C361=""),"",B361+ROW()/10000000)</f>
        <v/>
      </c>
      <c r="V361">
        <f>IF(U361="","",IF(COUNTIFS(Orders!$C$6:$C$1005,C361,Orders!$U$6:$U$1005,"&gt;"&amp;U361)=0,1,0))</f>
        <v/>
      </c>
      <c r="W361">
        <f>IF(AND(B361&lt;&gt;"",K361&lt;&gt;"",L361&lt;&gt;"Sent",L361&lt;&gt;"Picked up",L361&lt;&gt;"Cancelled"),IF(N(E361)=0,1,E361),0)</f>
        <v/>
      </c>
      <c r="X361">
        <f>IF(OR(B361="",D361=""),"",IF(N(E361)=0,1,E361))</f>
        <v/>
      </c>
    </row>
    <row r="362">
      <c r="A362" s="1" t="n"/>
      <c r="B362" s="31" t="n"/>
      <c r="C362" s="32" t="n"/>
      <c r="D362" s="33" t="n"/>
      <c r="E362" s="34" t="n"/>
      <c r="F362" s="35" t="n"/>
      <c r="G362" s="35" t="n"/>
      <c r="H362" s="30">
        <f>IF(OR(B362="",D362=""),"",IF(N(E362)=0,1,E362)*IFERROR(INDEX(Products!$C$6:$C$105,MATCH(D362,Products!$B$6:$B$105,0)),0)+N(F362)+N(G362))</f>
        <v/>
      </c>
      <c r="I362" s="35" t="n"/>
      <c r="J362" s="30">
        <f>IF(OR(H362="",L362="Cancelled"),"",IF(H362-N(I362)&gt;0.005,H362-N(I362),""))</f>
        <v/>
      </c>
      <c r="K362" s="31" t="n"/>
      <c r="L362" s="36" t="n"/>
      <c r="M362" s="33" t="n"/>
      <c r="N362" s="22">
        <f>IF(OR(H362="",L362="Cancelled"),"",IF(N(E362)=0,1,E362)*IFERROR(INDEX(Products!$E$6:$E$105,MATCH(D362,Products!$B$6:$B$105,0)),0))</f>
        <v/>
      </c>
      <c r="O362" s="35" t="n"/>
      <c r="P362" s="22">
        <f>IF(OR(H362="",L362="Cancelled"),"",ROUND(IFERROR(H362*INDEX(Settings!$C$6:$C$15,MATCH(M362,Settings!$B$6:$B$15,0))+INDEX(Settings!$D$6:$D$15,MATCH(M362,Settings!$B$6:$B$15,0)),0),2))</f>
        <v/>
      </c>
      <c r="Q362" s="28">
        <f>IF(OR(H362="",L362="Cancelled"),"",H362-N(N362)-N(O362)-N(P362))</f>
        <v/>
      </c>
      <c r="R362" s="19">
        <f>IF(OR(B362="",K362=""),"",IF(OR(L362="Sent",L362="Picked up"),"Done",IF(L362="Cancelled","Cancelled",IF(K362&lt;TODAY(),"Late by "&amp;(TODAY()-K362)&amp;IF((TODAY()-K362)=1," day"," days"),IF(K362=TODAY(),"Due today","Due in "&amp;(K362-TODAY())&amp;IF((K362-TODAY())=1," day"," days"))))))</f>
        <v/>
      </c>
      <c r="S362" s="33" t="n"/>
      <c r="T362" s="1">
        <f>IF(AND(B362&lt;&gt;"",K362&lt;&gt;"",L362&lt;&gt;"Sent",L362&lt;&gt;"Picked up",L362&lt;&gt;"Cancelled"),K362+ROW()/10000000,"")</f>
        <v/>
      </c>
      <c r="U362">
        <f>IF(OR(B362="",C362=""),"",B362+ROW()/10000000)</f>
        <v/>
      </c>
      <c r="V362">
        <f>IF(U362="","",IF(COUNTIFS(Orders!$C$6:$C$1005,C362,Orders!$U$6:$U$1005,"&gt;"&amp;U362)=0,1,0))</f>
        <v/>
      </c>
      <c r="W362">
        <f>IF(AND(B362&lt;&gt;"",K362&lt;&gt;"",L362&lt;&gt;"Sent",L362&lt;&gt;"Picked up",L362&lt;&gt;"Cancelled"),IF(N(E362)=0,1,E362),0)</f>
        <v/>
      </c>
      <c r="X362">
        <f>IF(OR(B362="",D362=""),"",IF(N(E362)=0,1,E362))</f>
        <v/>
      </c>
    </row>
    <row r="363">
      <c r="A363" s="1" t="n"/>
      <c r="B363" s="31" t="n"/>
      <c r="C363" s="32" t="n"/>
      <c r="D363" s="33" t="n"/>
      <c r="E363" s="34" t="n"/>
      <c r="F363" s="35" t="n"/>
      <c r="G363" s="35" t="n"/>
      <c r="H363" s="30">
        <f>IF(OR(B363="",D363=""),"",IF(N(E363)=0,1,E363)*IFERROR(INDEX(Products!$C$6:$C$105,MATCH(D363,Products!$B$6:$B$105,0)),0)+N(F363)+N(G363))</f>
        <v/>
      </c>
      <c r="I363" s="35" t="n"/>
      <c r="J363" s="30">
        <f>IF(OR(H363="",L363="Cancelled"),"",IF(H363-N(I363)&gt;0.005,H363-N(I363),""))</f>
        <v/>
      </c>
      <c r="K363" s="31" t="n"/>
      <c r="L363" s="36" t="n"/>
      <c r="M363" s="33" t="n"/>
      <c r="N363" s="22">
        <f>IF(OR(H363="",L363="Cancelled"),"",IF(N(E363)=0,1,E363)*IFERROR(INDEX(Products!$E$6:$E$105,MATCH(D363,Products!$B$6:$B$105,0)),0))</f>
        <v/>
      </c>
      <c r="O363" s="35" t="n"/>
      <c r="P363" s="22">
        <f>IF(OR(H363="",L363="Cancelled"),"",ROUND(IFERROR(H363*INDEX(Settings!$C$6:$C$15,MATCH(M363,Settings!$B$6:$B$15,0))+INDEX(Settings!$D$6:$D$15,MATCH(M363,Settings!$B$6:$B$15,0)),0),2))</f>
        <v/>
      </c>
      <c r="Q363" s="28">
        <f>IF(OR(H363="",L363="Cancelled"),"",H363-N(N363)-N(O363)-N(P363))</f>
        <v/>
      </c>
      <c r="R363" s="19">
        <f>IF(OR(B363="",K363=""),"",IF(OR(L363="Sent",L363="Picked up"),"Done",IF(L363="Cancelled","Cancelled",IF(K363&lt;TODAY(),"Late by "&amp;(TODAY()-K363)&amp;IF((TODAY()-K363)=1," day"," days"),IF(K363=TODAY(),"Due today","Due in "&amp;(K363-TODAY())&amp;IF((K363-TODAY())=1," day"," days"))))))</f>
        <v/>
      </c>
      <c r="S363" s="33" t="n"/>
      <c r="T363" s="1">
        <f>IF(AND(B363&lt;&gt;"",K363&lt;&gt;"",L363&lt;&gt;"Sent",L363&lt;&gt;"Picked up",L363&lt;&gt;"Cancelled"),K363+ROW()/10000000,"")</f>
        <v/>
      </c>
      <c r="U363">
        <f>IF(OR(B363="",C363=""),"",B363+ROW()/10000000)</f>
        <v/>
      </c>
      <c r="V363">
        <f>IF(U363="","",IF(COUNTIFS(Orders!$C$6:$C$1005,C363,Orders!$U$6:$U$1005,"&gt;"&amp;U363)=0,1,0))</f>
        <v/>
      </c>
      <c r="W363">
        <f>IF(AND(B363&lt;&gt;"",K363&lt;&gt;"",L363&lt;&gt;"Sent",L363&lt;&gt;"Picked up",L363&lt;&gt;"Cancelled"),IF(N(E363)=0,1,E363),0)</f>
        <v/>
      </c>
      <c r="X363">
        <f>IF(OR(B363="",D363=""),"",IF(N(E363)=0,1,E363))</f>
        <v/>
      </c>
    </row>
    <row r="364">
      <c r="A364" s="1" t="n"/>
      <c r="B364" s="31" t="n"/>
      <c r="C364" s="32" t="n"/>
      <c r="D364" s="33" t="n"/>
      <c r="E364" s="34" t="n"/>
      <c r="F364" s="35" t="n"/>
      <c r="G364" s="35" t="n"/>
      <c r="H364" s="30">
        <f>IF(OR(B364="",D364=""),"",IF(N(E364)=0,1,E364)*IFERROR(INDEX(Products!$C$6:$C$105,MATCH(D364,Products!$B$6:$B$105,0)),0)+N(F364)+N(G364))</f>
        <v/>
      </c>
      <c r="I364" s="35" t="n"/>
      <c r="J364" s="30">
        <f>IF(OR(H364="",L364="Cancelled"),"",IF(H364-N(I364)&gt;0.005,H364-N(I364),""))</f>
        <v/>
      </c>
      <c r="K364" s="31" t="n"/>
      <c r="L364" s="36" t="n"/>
      <c r="M364" s="33" t="n"/>
      <c r="N364" s="22">
        <f>IF(OR(H364="",L364="Cancelled"),"",IF(N(E364)=0,1,E364)*IFERROR(INDEX(Products!$E$6:$E$105,MATCH(D364,Products!$B$6:$B$105,0)),0))</f>
        <v/>
      </c>
      <c r="O364" s="35" t="n"/>
      <c r="P364" s="22">
        <f>IF(OR(H364="",L364="Cancelled"),"",ROUND(IFERROR(H364*INDEX(Settings!$C$6:$C$15,MATCH(M364,Settings!$B$6:$B$15,0))+INDEX(Settings!$D$6:$D$15,MATCH(M364,Settings!$B$6:$B$15,0)),0),2))</f>
        <v/>
      </c>
      <c r="Q364" s="28">
        <f>IF(OR(H364="",L364="Cancelled"),"",H364-N(N364)-N(O364)-N(P364))</f>
        <v/>
      </c>
      <c r="R364" s="19">
        <f>IF(OR(B364="",K364=""),"",IF(OR(L364="Sent",L364="Picked up"),"Done",IF(L364="Cancelled","Cancelled",IF(K364&lt;TODAY(),"Late by "&amp;(TODAY()-K364)&amp;IF((TODAY()-K364)=1," day"," days"),IF(K364=TODAY(),"Due today","Due in "&amp;(K364-TODAY())&amp;IF((K364-TODAY())=1," day"," days"))))))</f>
        <v/>
      </c>
      <c r="S364" s="33" t="n"/>
      <c r="T364" s="1">
        <f>IF(AND(B364&lt;&gt;"",K364&lt;&gt;"",L364&lt;&gt;"Sent",L364&lt;&gt;"Picked up",L364&lt;&gt;"Cancelled"),K364+ROW()/10000000,"")</f>
        <v/>
      </c>
      <c r="U364">
        <f>IF(OR(B364="",C364=""),"",B364+ROW()/10000000)</f>
        <v/>
      </c>
      <c r="V364">
        <f>IF(U364="","",IF(COUNTIFS(Orders!$C$6:$C$1005,C364,Orders!$U$6:$U$1005,"&gt;"&amp;U364)=0,1,0))</f>
        <v/>
      </c>
      <c r="W364">
        <f>IF(AND(B364&lt;&gt;"",K364&lt;&gt;"",L364&lt;&gt;"Sent",L364&lt;&gt;"Picked up",L364&lt;&gt;"Cancelled"),IF(N(E364)=0,1,E364),0)</f>
        <v/>
      </c>
      <c r="X364">
        <f>IF(OR(B364="",D364=""),"",IF(N(E364)=0,1,E364))</f>
        <v/>
      </c>
    </row>
    <row r="365">
      <c r="A365" s="1" t="n"/>
      <c r="B365" s="31" t="n"/>
      <c r="C365" s="32" t="n"/>
      <c r="D365" s="33" t="n"/>
      <c r="E365" s="34" t="n"/>
      <c r="F365" s="35" t="n"/>
      <c r="G365" s="35" t="n"/>
      <c r="H365" s="30">
        <f>IF(OR(B365="",D365=""),"",IF(N(E365)=0,1,E365)*IFERROR(INDEX(Products!$C$6:$C$105,MATCH(D365,Products!$B$6:$B$105,0)),0)+N(F365)+N(G365))</f>
        <v/>
      </c>
      <c r="I365" s="35" t="n"/>
      <c r="J365" s="30">
        <f>IF(OR(H365="",L365="Cancelled"),"",IF(H365-N(I365)&gt;0.005,H365-N(I365),""))</f>
        <v/>
      </c>
      <c r="K365" s="31" t="n"/>
      <c r="L365" s="36" t="n"/>
      <c r="M365" s="33" t="n"/>
      <c r="N365" s="22">
        <f>IF(OR(H365="",L365="Cancelled"),"",IF(N(E365)=0,1,E365)*IFERROR(INDEX(Products!$E$6:$E$105,MATCH(D365,Products!$B$6:$B$105,0)),0))</f>
        <v/>
      </c>
      <c r="O365" s="35" t="n"/>
      <c r="P365" s="22">
        <f>IF(OR(H365="",L365="Cancelled"),"",ROUND(IFERROR(H365*INDEX(Settings!$C$6:$C$15,MATCH(M365,Settings!$B$6:$B$15,0))+INDEX(Settings!$D$6:$D$15,MATCH(M365,Settings!$B$6:$B$15,0)),0),2))</f>
        <v/>
      </c>
      <c r="Q365" s="28">
        <f>IF(OR(H365="",L365="Cancelled"),"",H365-N(N365)-N(O365)-N(P365))</f>
        <v/>
      </c>
      <c r="R365" s="19">
        <f>IF(OR(B365="",K365=""),"",IF(OR(L365="Sent",L365="Picked up"),"Done",IF(L365="Cancelled","Cancelled",IF(K365&lt;TODAY(),"Late by "&amp;(TODAY()-K365)&amp;IF((TODAY()-K365)=1," day"," days"),IF(K365=TODAY(),"Due today","Due in "&amp;(K365-TODAY())&amp;IF((K365-TODAY())=1," day"," days"))))))</f>
        <v/>
      </c>
      <c r="S365" s="33" t="n"/>
      <c r="T365" s="1">
        <f>IF(AND(B365&lt;&gt;"",K365&lt;&gt;"",L365&lt;&gt;"Sent",L365&lt;&gt;"Picked up",L365&lt;&gt;"Cancelled"),K365+ROW()/10000000,"")</f>
        <v/>
      </c>
      <c r="U365">
        <f>IF(OR(B365="",C365=""),"",B365+ROW()/10000000)</f>
        <v/>
      </c>
      <c r="V365">
        <f>IF(U365="","",IF(COUNTIFS(Orders!$C$6:$C$1005,C365,Orders!$U$6:$U$1005,"&gt;"&amp;U365)=0,1,0))</f>
        <v/>
      </c>
      <c r="W365">
        <f>IF(AND(B365&lt;&gt;"",K365&lt;&gt;"",L365&lt;&gt;"Sent",L365&lt;&gt;"Picked up",L365&lt;&gt;"Cancelled"),IF(N(E365)=0,1,E365),0)</f>
        <v/>
      </c>
      <c r="X365">
        <f>IF(OR(B365="",D365=""),"",IF(N(E365)=0,1,E365))</f>
        <v/>
      </c>
    </row>
    <row r="366">
      <c r="A366" s="1" t="n"/>
      <c r="B366" s="31" t="n"/>
      <c r="C366" s="32" t="n"/>
      <c r="D366" s="33" t="n"/>
      <c r="E366" s="34" t="n"/>
      <c r="F366" s="35" t="n"/>
      <c r="G366" s="35" t="n"/>
      <c r="H366" s="30">
        <f>IF(OR(B366="",D366=""),"",IF(N(E366)=0,1,E366)*IFERROR(INDEX(Products!$C$6:$C$105,MATCH(D366,Products!$B$6:$B$105,0)),0)+N(F366)+N(G366))</f>
        <v/>
      </c>
      <c r="I366" s="35" t="n"/>
      <c r="J366" s="30">
        <f>IF(OR(H366="",L366="Cancelled"),"",IF(H366-N(I366)&gt;0.005,H366-N(I366),""))</f>
        <v/>
      </c>
      <c r="K366" s="31" t="n"/>
      <c r="L366" s="36" t="n"/>
      <c r="M366" s="33" t="n"/>
      <c r="N366" s="22">
        <f>IF(OR(H366="",L366="Cancelled"),"",IF(N(E366)=0,1,E366)*IFERROR(INDEX(Products!$E$6:$E$105,MATCH(D366,Products!$B$6:$B$105,0)),0))</f>
        <v/>
      </c>
      <c r="O366" s="35" t="n"/>
      <c r="P366" s="22">
        <f>IF(OR(H366="",L366="Cancelled"),"",ROUND(IFERROR(H366*INDEX(Settings!$C$6:$C$15,MATCH(M366,Settings!$B$6:$B$15,0))+INDEX(Settings!$D$6:$D$15,MATCH(M366,Settings!$B$6:$B$15,0)),0),2))</f>
        <v/>
      </c>
      <c r="Q366" s="28">
        <f>IF(OR(H366="",L366="Cancelled"),"",H366-N(N366)-N(O366)-N(P366))</f>
        <v/>
      </c>
      <c r="R366" s="19">
        <f>IF(OR(B366="",K366=""),"",IF(OR(L366="Sent",L366="Picked up"),"Done",IF(L366="Cancelled","Cancelled",IF(K366&lt;TODAY(),"Late by "&amp;(TODAY()-K366)&amp;IF((TODAY()-K366)=1," day"," days"),IF(K366=TODAY(),"Due today","Due in "&amp;(K366-TODAY())&amp;IF((K366-TODAY())=1," day"," days"))))))</f>
        <v/>
      </c>
      <c r="S366" s="33" t="n"/>
      <c r="T366" s="1">
        <f>IF(AND(B366&lt;&gt;"",K366&lt;&gt;"",L366&lt;&gt;"Sent",L366&lt;&gt;"Picked up",L366&lt;&gt;"Cancelled"),K366+ROW()/10000000,"")</f>
        <v/>
      </c>
      <c r="U366">
        <f>IF(OR(B366="",C366=""),"",B366+ROW()/10000000)</f>
        <v/>
      </c>
      <c r="V366">
        <f>IF(U366="","",IF(COUNTIFS(Orders!$C$6:$C$1005,C366,Orders!$U$6:$U$1005,"&gt;"&amp;U366)=0,1,0))</f>
        <v/>
      </c>
      <c r="W366">
        <f>IF(AND(B366&lt;&gt;"",K366&lt;&gt;"",L366&lt;&gt;"Sent",L366&lt;&gt;"Picked up",L366&lt;&gt;"Cancelled"),IF(N(E366)=0,1,E366),0)</f>
        <v/>
      </c>
      <c r="X366">
        <f>IF(OR(B366="",D366=""),"",IF(N(E366)=0,1,E366))</f>
        <v/>
      </c>
    </row>
    <row r="367">
      <c r="A367" s="1" t="n"/>
      <c r="B367" s="31" t="n"/>
      <c r="C367" s="32" t="n"/>
      <c r="D367" s="33" t="n"/>
      <c r="E367" s="34" t="n"/>
      <c r="F367" s="35" t="n"/>
      <c r="G367" s="35" t="n"/>
      <c r="H367" s="30">
        <f>IF(OR(B367="",D367=""),"",IF(N(E367)=0,1,E367)*IFERROR(INDEX(Products!$C$6:$C$105,MATCH(D367,Products!$B$6:$B$105,0)),0)+N(F367)+N(G367))</f>
        <v/>
      </c>
      <c r="I367" s="35" t="n"/>
      <c r="J367" s="30">
        <f>IF(OR(H367="",L367="Cancelled"),"",IF(H367-N(I367)&gt;0.005,H367-N(I367),""))</f>
        <v/>
      </c>
      <c r="K367" s="31" t="n"/>
      <c r="L367" s="36" t="n"/>
      <c r="M367" s="33" t="n"/>
      <c r="N367" s="22">
        <f>IF(OR(H367="",L367="Cancelled"),"",IF(N(E367)=0,1,E367)*IFERROR(INDEX(Products!$E$6:$E$105,MATCH(D367,Products!$B$6:$B$105,0)),0))</f>
        <v/>
      </c>
      <c r="O367" s="35" t="n"/>
      <c r="P367" s="22">
        <f>IF(OR(H367="",L367="Cancelled"),"",ROUND(IFERROR(H367*INDEX(Settings!$C$6:$C$15,MATCH(M367,Settings!$B$6:$B$15,0))+INDEX(Settings!$D$6:$D$15,MATCH(M367,Settings!$B$6:$B$15,0)),0),2))</f>
        <v/>
      </c>
      <c r="Q367" s="28">
        <f>IF(OR(H367="",L367="Cancelled"),"",H367-N(N367)-N(O367)-N(P367))</f>
        <v/>
      </c>
      <c r="R367" s="19">
        <f>IF(OR(B367="",K367=""),"",IF(OR(L367="Sent",L367="Picked up"),"Done",IF(L367="Cancelled","Cancelled",IF(K367&lt;TODAY(),"Late by "&amp;(TODAY()-K367)&amp;IF((TODAY()-K367)=1," day"," days"),IF(K367=TODAY(),"Due today","Due in "&amp;(K367-TODAY())&amp;IF((K367-TODAY())=1," day"," days"))))))</f>
        <v/>
      </c>
      <c r="S367" s="33" t="n"/>
      <c r="T367" s="1">
        <f>IF(AND(B367&lt;&gt;"",K367&lt;&gt;"",L367&lt;&gt;"Sent",L367&lt;&gt;"Picked up",L367&lt;&gt;"Cancelled"),K367+ROW()/10000000,"")</f>
        <v/>
      </c>
      <c r="U367">
        <f>IF(OR(B367="",C367=""),"",B367+ROW()/10000000)</f>
        <v/>
      </c>
      <c r="V367">
        <f>IF(U367="","",IF(COUNTIFS(Orders!$C$6:$C$1005,C367,Orders!$U$6:$U$1005,"&gt;"&amp;U367)=0,1,0))</f>
        <v/>
      </c>
      <c r="W367">
        <f>IF(AND(B367&lt;&gt;"",K367&lt;&gt;"",L367&lt;&gt;"Sent",L367&lt;&gt;"Picked up",L367&lt;&gt;"Cancelled"),IF(N(E367)=0,1,E367),0)</f>
        <v/>
      </c>
      <c r="X367">
        <f>IF(OR(B367="",D367=""),"",IF(N(E367)=0,1,E367))</f>
        <v/>
      </c>
    </row>
    <row r="368">
      <c r="A368" s="1" t="n"/>
      <c r="B368" s="31" t="n"/>
      <c r="C368" s="32" t="n"/>
      <c r="D368" s="33" t="n"/>
      <c r="E368" s="34" t="n"/>
      <c r="F368" s="35" t="n"/>
      <c r="G368" s="35" t="n"/>
      <c r="H368" s="30">
        <f>IF(OR(B368="",D368=""),"",IF(N(E368)=0,1,E368)*IFERROR(INDEX(Products!$C$6:$C$105,MATCH(D368,Products!$B$6:$B$105,0)),0)+N(F368)+N(G368))</f>
        <v/>
      </c>
      <c r="I368" s="35" t="n"/>
      <c r="J368" s="30">
        <f>IF(OR(H368="",L368="Cancelled"),"",IF(H368-N(I368)&gt;0.005,H368-N(I368),""))</f>
        <v/>
      </c>
      <c r="K368" s="31" t="n"/>
      <c r="L368" s="36" t="n"/>
      <c r="M368" s="33" t="n"/>
      <c r="N368" s="22">
        <f>IF(OR(H368="",L368="Cancelled"),"",IF(N(E368)=0,1,E368)*IFERROR(INDEX(Products!$E$6:$E$105,MATCH(D368,Products!$B$6:$B$105,0)),0))</f>
        <v/>
      </c>
      <c r="O368" s="35" t="n"/>
      <c r="P368" s="22">
        <f>IF(OR(H368="",L368="Cancelled"),"",ROUND(IFERROR(H368*INDEX(Settings!$C$6:$C$15,MATCH(M368,Settings!$B$6:$B$15,0))+INDEX(Settings!$D$6:$D$15,MATCH(M368,Settings!$B$6:$B$15,0)),0),2))</f>
        <v/>
      </c>
      <c r="Q368" s="28">
        <f>IF(OR(H368="",L368="Cancelled"),"",H368-N(N368)-N(O368)-N(P368))</f>
        <v/>
      </c>
      <c r="R368" s="19">
        <f>IF(OR(B368="",K368=""),"",IF(OR(L368="Sent",L368="Picked up"),"Done",IF(L368="Cancelled","Cancelled",IF(K368&lt;TODAY(),"Late by "&amp;(TODAY()-K368)&amp;IF((TODAY()-K368)=1," day"," days"),IF(K368=TODAY(),"Due today","Due in "&amp;(K368-TODAY())&amp;IF((K368-TODAY())=1," day"," days"))))))</f>
        <v/>
      </c>
      <c r="S368" s="33" t="n"/>
      <c r="T368" s="1">
        <f>IF(AND(B368&lt;&gt;"",K368&lt;&gt;"",L368&lt;&gt;"Sent",L368&lt;&gt;"Picked up",L368&lt;&gt;"Cancelled"),K368+ROW()/10000000,"")</f>
        <v/>
      </c>
      <c r="U368">
        <f>IF(OR(B368="",C368=""),"",B368+ROW()/10000000)</f>
        <v/>
      </c>
      <c r="V368">
        <f>IF(U368="","",IF(COUNTIFS(Orders!$C$6:$C$1005,C368,Orders!$U$6:$U$1005,"&gt;"&amp;U368)=0,1,0))</f>
        <v/>
      </c>
      <c r="W368">
        <f>IF(AND(B368&lt;&gt;"",K368&lt;&gt;"",L368&lt;&gt;"Sent",L368&lt;&gt;"Picked up",L368&lt;&gt;"Cancelled"),IF(N(E368)=0,1,E368),0)</f>
        <v/>
      </c>
      <c r="X368">
        <f>IF(OR(B368="",D368=""),"",IF(N(E368)=0,1,E368))</f>
        <v/>
      </c>
    </row>
    <row r="369">
      <c r="A369" s="1" t="n"/>
      <c r="B369" s="31" t="n"/>
      <c r="C369" s="32" t="n"/>
      <c r="D369" s="33" t="n"/>
      <c r="E369" s="34" t="n"/>
      <c r="F369" s="35" t="n"/>
      <c r="G369" s="35" t="n"/>
      <c r="H369" s="30">
        <f>IF(OR(B369="",D369=""),"",IF(N(E369)=0,1,E369)*IFERROR(INDEX(Products!$C$6:$C$105,MATCH(D369,Products!$B$6:$B$105,0)),0)+N(F369)+N(G369))</f>
        <v/>
      </c>
      <c r="I369" s="35" t="n"/>
      <c r="J369" s="30">
        <f>IF(OR(H369="",L369="Cancelled"),"",IF(H369-N(I369)&gt;0.005,H369-N(I369),""))</f>
        <v/>
      </c>
      <c r="K369" s="31" t="n"/>
      <c r="L369" s="36" t="n"/>
      <c r="M369" s="33" t="n"/>
      <c r="N369" s="22">
        <f>IF(OR(H369="",L369="Cancelled"),"",IF(N(E369)=0,1,E369)*IFERROR(INDEX(Products!$E$6:$E$105,MATCH(D369,Products!$B$6:$B$105,0)),0))</f>
        <v/>
      </c>
      <c r="O369" s="35" t="n"/>
      <c r="P369" s="22">
        <f>IF(OR(H369="",L369="Cancelled"),"",ROUND(IFERROR(H369*INDEX(Settings!$C$6:$C$15,MATCH(M369,Settings!$B$6:$B$15,0))+INDEX(Settings!$D$6:$D$15,MATCH(M369,Settings!$B$6:$B$15,0)),0),2))</f>
        <v/>
      </c>
      <c r="Q369" s="28">
        <f>IF(OR(H369="",L369="Cancelled"),"",H369-N(N369)-N(O369)-N(P369))</f>
        <v/>
      </c>
      <c r="R369" s="19">
        <f>IF(OR(B369="",K369=""),"",IF(OR(L369="Sent",L369="Picked up"),"Done",IF(L369="Cancelled","Cancelled",IF(K369&lt;TODAY(),"Late by "&amp;(TODAY()-K369)&amp;IF((TODAY()-K369)=1," day"," days"),IF(K369=TODAY(),"Due today","Due in "&amp;(K369-TODAY())&amp;IF((K369-TODAY())=1," day"," days"))))))</f>
        <v/>
      </c>
      <c r="S369" s="33" t="n"/>
      <c r="T369" s="1">
        <f>IF(AND(B369&lt;&gt;"",K369&lt;&gt;"",L369&lt;&gt;"Sent",L369&lt;&gt;"Picked up",L369&lt;&gt;"Cancelled"),K369+ROW()/10000000,"")</f>
        <v/>
      </c>
      <c r="U369">
        <f>IF(OR(B369="",C369=""),"",B369+ROW()/10000000)</f>
        <v/>
      </c>
      <c r="V369">
        <f>IF(U369="","",IF(COUNTIFS(Orders!$C$6:$C$1005,C369,Orders!$U$6:$U$1005,"&gt;"&amp;U369)=0,1,0))</f>
        <v/>
      </c>
      <c r="W369">
        <f>IF(AND(B369&lt;&gt;"",K369&lt;&gt;"",L369&lt;&gt;"Sent",L369&lt;&gt;"Picked up",L369&lt;&gt;"Cancelled"),IF(N(E369)=0,1,E369),0)</f>
        <v/>
      </c>
      <c r="X369">
        <f>IF(OR(B369="",D369=""),"",IF(N(E369)=0,1,E369))</f>
        <v/>
      </c>
    </row>
    <row r="370">
      <c r="A370" s="1" t="n"/>
      <c r="B370" s="31" t="n"/>
      <c r="C370" s="32" t="n"/>
      <c r="D370" s="33" t="n"/>
      <c r="E370" s="34" t="n"/>
      <c r="F370" s="35" t="n"/>
      <c r="G370" s="35" t="n"/>
      <c r="H370" s="30">
        <f>IF(OR(B370="",D370=""),"",IF(N(E370)=0,1,E370)*IFERROR(INDEX(Products!$C$6:$C$105,MATCH(D370,Products!$B$6:$B$105,0)),0)+N(F370)+N(G370))</f>
        <v/>
      </c>
      <c r="I370" s="35" t="n"/>
      <c r="J370" s="30">
        <f>IF(OR(H370="",L370="Cancelled"),"",IF(H370-N(I370)&gt;0.005,H370-N(I370),""))</f>
        <v/>
      </c>
      <c r="K370" s="31" t="n"/>
      <c r="L370" s="36" t="n"/>
      <c r="M370" s="33" t="n"/>
      <c r="N370" s="22">
        <f>IF(OR(H370="",L370="Cancelled"),"",IF(N(E370)=0,1,E370)*IFERROR(INDEX(Products!$E$6:$E$105,MATCH(D370,Products!$B$6:$B$105,0)),0))</f>
        <v/>
      </c>
      <c r="O370" s="35" t="n"/>
      <c r="P370" s="22">
        <f>IF(OR(H370="",L370="Cancelled"),"",ROUND(IFERROR(H370*INDEX(Settings!$C$6:$C$15,MATCH(M370,Settings!$B$6:$B$15,0))+INDEX(Settings!$D$6:$D$15,MATCH(M370,Settings!$B$6:$B$15,0)),0),2))</f>
        <v/>
      </c>
      <c r="Q370" s="28">
        <f>IF(OR(H370="",L370="Cancelled"),"",H370-N(N370)-N(O370)-N(P370))</f>
        <v/>
      </c>
      <c r="R370" s="19">
        <f>IF(OR(B370="",K370=""),"",IF(OR(L370="Sent",L370="Picked up"),"Done",IF(L370="Cancelled","Cancelled",IF(K370&lt;TODAY(),"Late by "&amp;(TODAY()-K370)&amp;IF((TODAY()-K370)=1," day"," days"),IF(K370=TODAY(),"Due today","Due in "&amp;(K370-TODAY())&amp;IF((K370-TODAY())=1," day"," days"))))))</f>
        <v/>
      </c>
      <c r="S370" s="33" t="n"/>
      <c r="T370" s="1">
        <f>IF(AND(B370&lt;&gt;"",K370&lt;&gt;"",L370&lt;&gt;"Sent",L370&lt;&gt;"Picked up",L370&lt;&gt;"Cancelled"),K370+ROW()/10000000,"")</f>
        <v/>
      </c>
      <c r="U370">
        <f>IF(OR(B370="",C370=""),"",B370+ROW()/10000000)</f>
        <v/>
      </c>
      <c r="V370">
        <f>IF(U370="","",IF(COUNTIFS(Orders!$C$6:$C$1005,C370,Orders!$U$6:$U$1005,"&gt;"&amp;U370)=0,1,0))</f>
        <v/>
      </c>
      <c r="W370">
        <f>IF(AND(B370&lt;&gt;"",K370&lt;&gt;"",L370&lt;&gt;"Sent",L370&lt;&gt;"Picked up",L370&lt;&gt;"Cancelled"),IF(N(E370)=0,1,E370),0)</f>
        <v/>
      </c>
      <c r="X370">
        <f>IF(OR(B370="",D370=""),"",IF(N(E370)=0,1,E370))</f>
        <v/>
      </c>
    </row>
    <row r="371">
      <c r="A371" s="1" t="n"/>
      <c r="B371" s="31" t="n"/>
      <c r="C371" s="32" t="n"/>
      <c r="D371" s="33" t="n"/>
      <c r="E371" s="34" t="n"/>
      <c r="F371" s="35" t="n"/>
      <c r="G371" s="35" t="n"/>
      <c r="H371" s="30">
        <f>IF(OR(B371="",D371=""),"",IF(N(E371)=0,1,E371)*IFERROR(INDEX(Products!$C$6:$C$105,MATCH(D371,Products!$B$6:$B$105,0)),0)+N(F371)+N(G371))</f>
        <v/>
      </c>
      <c r="I371" s="35" t="n"/>
      <c r="J371" s="30">
        <f>IF(OR(H371="",L371="Cancelled"),"",IF(H371-N(I371)&gt;0.005,H371-N(I371),""))</f>
        <v/>
      </c>
      <c r="K371" s="31" t="n"/>
      <c r="L371" s="36" t="n"/>
      <c r="M371" s="33" t="n"/>
      <c r="N371" s="22">
        <f>IF(OR(H371="",L371="Cancelled"),"",IF(N(E371)=0,1,E371)*IFERROR(INDEX(Products!$E$6:$E$105,MATCH(D371,Products!$B$6:$B$105,0)),0))</f>
        <v/>
      </c>
      <c r="O371" s="35" t="n"/>
      <c r="P371" s="22">
        <f>IF(OR(H371="",L371="Cancelled"),"",ROUND(IFERROR(H371*INDEX(Settings!$C$6:$C$15,MATCH(M371,Settings!$B$6:$B$15,0))+INDEX(Settings!$D$6:$D$15,MATCH(M371,Settings!$B$6:$B$15,0)),0),2))</f>
        <v/>
      </c>
      <c r="Q371" s="28">
        <f>IF(OR(H371="",L371="Cancelled"),"",H371-N(N371)-N(O371)-N(P371))</f>
        <v/>
      </c>
      <c r="R371" s="19">
        <f>IF(OR(B371="",K371=""),"",IF(OR(L371="Sent",L371="Picked up"),"Done",IF(L371="Cancelled","Cancelled",IF(K371&lt;TODAY(),"Late by "&amp;(TODAY()-K371)&amp;IF((TODAY()-K371)=1," day"," days"),IF(K371=TODAY(),"Due today","Due in "&amp;(K371-TODAY())&amp;IF((K371-TODAY())=1," day"," days"))))))</f>
        <v/>
      </c>
      <c r="S371" s="33" t="n"/>
      <c r="T371" s="1">
        <f>IF(AND(B371&lt;&gt;"",K371&lt;&gt;"",L371&lt;&gt;"Sent",L371&lt;&gt;"Picked up",L371&lt;&gt;"Cancelled"),K371+ROW()/10000000,"")</f>
        <v/>
      </c>
      <c r="U371">
        <f>IF(OR(B371="",C371=""),"",B371+ROW()/10000000)</f>
        <v/>
      </c>
      <c r="V371">
        <f>IF(U371="","",IF(COUNTIFS(Orders!$C$6:$C$1005,C371,Orders!$U$6:$U$1005,"&gt;"&amp;U371)=0,1,0))</f>
        <v/>
      </c>
      <c r="W371">
        <f>IF(AND(B371&lt;&gt;"",K371&lt;&gt;"",L371&lt;&gt;"Sent",L371&lt;&gt;"Picked up",L371&lt;&gt;"Cancelled"),IF(N(E371)=0,1,E371),0)</f>
        <v/>
      </c>
      <c r="X371">
        <f>IF(OR(B371="",D371=""),"",IF(N(E371)=0,1,E371))</f>
        <v/>
      </c>
    </row>
    <row r="372">
      <c r="A372" s="1" t="n"/>
      <c r="B372" s="31" t="n"/>
      <c r="C372" s="32" t="n"/>
      <c r="D372" s="33" t="n"/>
      <c r="E372" s="34" t="n"/>
      <c r="F372" s="35" t="n"/>
      <c r="G372" s="35" t="n"/>
      <c r="H372" s="30">
        <f>IF(OR(B372="",D372=""),"",IF(N(E372)=0,1,E372)*IFERROR(INDEX(Products!$C$6:$C$105,MATCH(D372,Products!$B$6:$B$105,0)),0)+N(F372)+N(G372))</f>
        <v/>
      </c>
      <c r="I372" s="35" t="n"/>
      <c r="J372" s="30">
        <f>IF(OR(H372="",L372="Cancelled"),"",IF(H372-N(I372)&gt;0.005,H372-N(I372),""))</f>
        <v/>
      </c>
      <c r="K372" s="31" t="n"/>
      <c r="L372" s="36" t="n"/>
      <c r="M372" s="33" t="n"/>
      <c r="N372" s="22">
        <f>IF(OR(H372="",L372="Cancelled"),"",IF(N(E372)=0,1,E372)*IFERROR(INDEX(Products!$E$6:$E$105,MATCH(D372,Products!$B$6:$B$105,0)),0))</f>
        <v/>
      </c>
      <c r="O372" s="35" t="n"/>
      <c r="P372" s="22">
        <f>IF(OR(H372="",L372="Cancelled"),"",ROUND(IFERROR(H372*INDEX(Settings!$C$6:$C$15,MATCH(M372,Settings!$B$6:$B$15,0))+INDEX(Settings!$D$6:$D$15,MATCH(M372,Settings!$B$6:$B$15,0)),0),2))</f>
        <v/>
      </c>
      <c r="Q372" s="28">
        <f>IF(OR(H372="",L372="Cancelled"),"",H372-N(N372)-N(O372)-N(P372))</f>
        <v/>
      </c>
      <c r="R372" s="19">
        <f>IF(OR(B372="",K372=""),"",IF(OR(L372="Sent",L372="Picked up"),"Done",IF(L372="Cancelled","Cancelled",IF(K372&lt;TODAY(),"Late by "&amp;(TODAY()-K372)&amp;IF((TODAY()-K372)=1," day"," days"),IF(K372=TODAY(),"Due today","Due in "&amp;(K372-TODAY())&amp;IF((K372-TODAY())=1," day"," days"))))))</f>
        <v/>
      </c>
      <c r="S372" s="33" t="n"/>
      <c r="T372" s="1">
        <f>IF(AND(B372&lt;&gt;"",K372&lt;&gt;"",L372&lt;&gt;"Sent",L372&lt;&gt;"Picked up",L372&lt;&gt;"Cancelled"),K372+ROW()/10000000,"")</f>
        <v/>
      </c>
      <c r="U372">
        <f>IF(OR(B372="",C372=""),"",B372+ROW()/10000000)</f>
        <v/>
      </c>
      <c r="V372">
        <f>IF(U372="","",IF(COUNTIFS(Orders!$C$6:$C$1005,C372,Orders!$U$6:$U$1005,"&gt;"&amp;U372)=0,1,0))</f>
        <v/>
      </c>
      <c r="W372">
        <f>IF(AND(B372&lt;&gt;"",K372&lt;&gt;"",L372&lt;&gt;"Sent",L372&lt;&gt;"Picked up",L372&lt;&gt;"Cancelled"),IF(N(E372)=0,1,E372),0)</f>
        <v/>
      </c>
      <c r="X372">
        <f>IF(OR(B372="",D372=""),"",IF(N(E372)=0,1,E372))</f>
        <v/>
      </c>
    </row>
    <row r="373">
      <c r="A373" s="1" t="n"/>
      <c r="B373" s="31" t="n"/>
      <c r="C373" s="32" t="n"/>
      <c r="D373" s="33" t="n"/>
      <c r="E373" s="34" t="n"/>
      <c r="F373" s="35" t="n"/>
      <c r="G373" s="35" t="n"/>
      <c r="H373" s="30">
        <f>IF(OR(B373="",D373=""),"",IF(N(E373)=0,1,E373)*IFERROR(INDEX(Products!$C$6:$C$105,MATCH(D373,Products!$B$6:$B$105,0)),0)+N(F373)+N(G373))</f>
        <v/>
      </c>
      <c r="I373" s="35" t="n"/>
      <c r="J373" s="30">
        <f>IF(OR(H373="",L373="Cancelled"),"",IF(H373-N(I373)&gt;0.005,H373-N(I373),""))</f>
        <v/>
      </c>
      <c r="K373" s="31" t="n"/>
      <c r="L373" s="36" t="n"/>
      <c r="M373" s="33" t="n"/>
      <c r="N373" s="22">
        <f>IF(OR(H373="",L373="Cancelled"),"",IF(N(E373)=0,1,E373)*IFERROR(INDEX(Products!$E$6:$E$105,MATCH(D373,Products!$B$6:$B$105,0)),0))</f>
        <v/>
      </c>
      <c r="O373" s="35" t="n"/>
      <c r="P373" s="22">
        <f>IF(OR(H373="",L373="Cancelled"),"",ROUND(IFERROR(H373*INDEX(Settings!$C$6:$C$15,MATCH(M373,Settings!$B$6:$B$15,0))+INDEX(Settings!$D$6:$D$15,MATCH(M373,Settings!$B$6:$B$15,0)),0),2))</f>
        <v/>
      </c>
      <c r="Q373" s="28">
        <f>IF(OR(H373="",L373="Cancelled"),"",H373-N(N373)-N(O373)-N(P373))</f>
        <v/>
      </c>
      <c r="R373" s="19">
        <f>IF(OR(B373="",K373=""),"",IF(OR(L373="Sent",L373="Picked up"),"Done",IF(L373="Cancelled","Cancelled",IF(K373&lt;TODAY(),"Late by "&amp;(TODAY()-K373)&amp;IF((TODAY()-K373)=1," day"," days"),IF(K373=TODAY(),"Due today","Due in "&amp;(K373-TODAY())&amp;IF((K373-TODAY())=1," day"," days"))))))</f>
        <v/>
      </c>
      <c r="S373" s="33" t="n"/>
      <c r="T373" s="1">
        <f>IF(AND(B373&lt;&gt;"",K373&lt;&gt;"",L373&lt;&gt;"Sent",L373&lt;&gt;"Picked up",L373&lt;&gt;"Cancelled"),K373+ROW()/10000000,"")</f>
        <v/>
      </c>
      <c r="U373">
        <f>IF(OR(B373="",C373=""),"",B373+ROW()/10000000)</f>
        <v/>
      </c>
      <c r="V373">
        <f>IF(U373="","",IF(COUNTIFS(Orders!$C$6:$C$1005,C373,Orders!$U$6:$U$1005,"&gt;"&amp;U373)=0,1,0))</f>
        <v/>
      </c>
      <c r="W373">
        <f>IF(AND(B373&lt;&gt;"",K373&lt;&gt;"",L373&lt;&gt;"Sent",L373&lt;&gt;"Picked up",L373&lt;&gt;"Cancelled"),IF(N(E373)=0,1,E373),0)</f>
        <v/>
      </c>
      <c r="X373">
        <f>IF(OR(B373="",D373=""),"",IF(N(E373)=0,1,E373))</f>
        <v/>
      </c>
    </row>
    <row r="374">
      <c r="A374" s="1" t="n"/>
      <c r="B374" s="31" t="n"/>
      <c r="C374" s="32" t="n"/>
      <c r="D374" s="33" t="n"/>
      <c r="E374" s="34" t="n"/>
      <c r="F374" s="35" t="n"/>
      <c r="G374" s="35" t="n"/>
      <c r="H374" s="30">
        <f>IF(OR(B374="",D374=""),"",IF(N(E374)=0,1,E374)*IFERROR(INDEX(Products!$C$6:$C$105,MATCH(D374,Products!$B$6:$B$105,0)),0)+N(F374)+N(G374))</f>
        <v/>
      </c>
      <c r="I374" s="35" t="n"/>
      <c r="J374" s="30">
        <f>IF(OR(H374="",L374="Cancelled"),"",IF(H374-N(I374)&gt;0.005,H374-N(I374),""))</f>
        <v/>
      </c>
      <c r="K374" s="31" t="n"/>
      <c r="L374" s="36" t="n"/>
      <c r="M374" s="33" t="n"/>
      <c r="N374" s="22">
        <f>IF(OR(H374="",L374="Cancelled"),"",IF(N(E374)=0,1,E374)*IFERROR(INDEX(Products!$E$6:$E$105,MATCH(D374,Products!$B$6:$B$105,0)),0))</f>
        <v/>
      </c>
      <c r="O374" s="35" t="n"/>
      <c r="P374" s="22">
        <f>IF(OR(H374="",L374="Cancelled"),"",ROUND(IFERROR(H374*INDEX(Settings!$C$6:$C$15,MATCH(M374,Settings!$B$6:$B$15,0))+INDEX(Settings!$D$6:$D$15,MATCH(M374,Settings!$B$6:$B$15,0)),0),2))</f>
        <v/>
      </c>
      <c r="Q374" s="28">
        <f>IF(OR(H374="",L374="Cancelled"),"",H374-N(N374)-N(O374)-N(P374))</f>
        <v/>
      </c>
      <c r="R374" s="19">
        <f>IF(OR(B374="",K374=""),"",IF(OR(L374="Sent",L374="Picked up"),"Done",IF(L374="Cancelled","Cancelled",IF(K374&lt;TODAY(),"Late by "&amp;(TODAY()-K374)&amp;IF((TODAY()-K374)=1," day"," days"),IF(K374=TODAY(),"Due today","Due in "&amp;(K374-TODAY())&amp;IF((K374-TODAY())=1," day"," days"))))))</f>
        <v/>
      </c>
      <c r="S374" s="33" t="n"/>
      <c r="T374" s="1">
        <f>IF(AND(B374&lt;&gt;"",K374&lt;&gt;"",L374&lt;&gt;"Sent",L374&lt;&gt;"Picked up",L374&lt;&gt;"Cancelled"),K374+ROW()/10000000,"")</f>
        <v/>
      </c>
      <c r="U374">
        <f>IF(OR(B374="",C374=""),"",B374+ROW()/10000000)</f>
        <v/>
      </c>
      <c r="V374">
        <f>IF(U374="","",IF(COUNTIFS(Orders!$C$6:$C$1005,C374,Orders!$U$6:$U$1005,"&gt;"&amp;U374)=0,1,0))</f>
        <v/>
      </c>
      <c r="W374">
        <f>IF(AND(B374&lt;&gt;"",K374&lt;&gt;"",L374&lt;&gt;"Sent",L374&lt;&gt;"Picked up",L374&lt;&gt;"Cancelled"),IF(N(E374)=0,1,E374),0)</f>
        <v/>
      </c>
      <c r="X374">
        <f>IF(OR(B374="",D374=""),"",IF(N(E374)=0,1,E374))</f>
        <v/>
      </c>
    </row>
    <row r="375">
      <c r="A375" s="1" t="n"/>
      <c r="B375" s="31" t="n"/>
      <c r="C375" s="32" t="n"/>
      <c r="D375" s="33" t="n"/>
      <c r="E375" s="34" t="n"/>
      <c r="F375" s="35" t="n"/>
      <c r="G375" s="35" t="n"/>
      <c r="H375" s="30">
        <f>IF(OR(B375="",D375=""),"",IF(N(E375)=0,1,E375)*IFERROR(INDEX(Products!$C$6:$C$105,MATCH(D375,Products!$B$6:$B$105,0)),0)+N(F375)+N(G375))</f>
        <v/>
      </c>
      <c r="I375" s="35" t="n"/>
      <c r="J375" s="30">
        <f>IF(OR(H375="",L375="Cancelled"),"",IF(H375-N(I375)&gt;0.005,H375-N(I375),""))</f>
        <v/>
      </c>
      <c r="K375" s="31" t="n"/>
      <c r="L375" s="36" t="n"/>
      <c r="M375" s="33" t="n"/>
      <c r="N375" s="22">
        <f>IF(OR(H375="",L375="Cancelled"),"",IF(N(E375)=0,1,E375)*IFERROR(INDEX(Products!$E$6:$E$105,MATCH(D375,Products!$B$6:$B$105,0)),0))</f>
        <v/>
      </c>
      <c r="O375" s="35" t="n"/>
      <c r="P375" s="22">
        <f>IF(OR(H375="",L375="Cancelled"),"",ROUND(IFERROR(H375*INDEX(Settings!$C$6:$C$15,MATCH(M375,Settings!$B$6:$B$15,0))+INDEX(Settings!$D$6:$D$15,MATCH(M375,Settings!$B$6:$B$15,0)),0),2))</f>
        <v/>
      </c>
      <c r="Q375" s="28">
        <f>IF(OR(H375="",L375="Cancelled"),"",H375-N(N375)-N(O375)-N(P375))</f>
        <v/>
      </c>
      <c r="R375" s="19">
        <f>IF(OR(B375="",K375=""),"",IF(OR(L375="Sent",L375="Picked up"),"Done",IF(L375="Cancelled","Cancelled",IF(K375&lt;TODAY(),"Late by "&amp;(TODAY()-K375)&amp;IF((TODAY()-K375)=1," day"," days"),IF(K375=TODAY(),"Due today","Due in "&amp;(K375-TODAY())&amp;IF((K375-TODAY())=1," day"," days"))))))</f>
        <v/>
      </c>
      <c r="S375" s="33" t="n"/>
      <c r="T375" s="1">
        <f>IF(AND(B375&lt;&gt;"",K375&lt;&gt;"",L375&lt;&gt;"Sent",L375&lt;&gt;"Picked up",L375&lt;&gt;"Cancelled"),K375+ROW()/10000000,"")</f>
        <v/>
      </c>
      <c r="U375">
        <f>IF(OR(B375="",C375=""),"",B375+ROW()/10000000)</f>
        <v/>
      </c>
      <c r="V375">
        <f>IF(U375="","",IF(COUNTIFS(Orders!$C$6:$C$1005,C375,Orders!$U$6:$U$1005,"&gt;"&amp;U375)=0,1,0))</f>
        <v/>
      </c>
      <c r="W375">
        <f>IF(AND(B375&lt;&gt;"",K375&lt;&gt;"",L375&lt;&gt;"Sent",L375&lt;&gt;"Picked up",L375&lt;&gt;"Cancelled"),IF(N(E375)=0,1,E375),0)</f>
        <v/>
      </c>
      <c r="X375">
        <f>IF(OR(B375="",D375=""),"",IF(N(E375)=0,1,E375))</f>
        <v/>
      </c>
    </row>
    <row r="376">
      <c r="A376" s="1" t="n"/>
      <c r="B376" s="31" t="n"/>
      <c r="C376" s="32" t="n"/>
      <c r="D376" s="33" t="n"/>
      <c r="E376" s="34" t="n"/>
      <c r="F376" s="35" t="n"/>
      <c r="G376" s="35" t="n"/>
      <c r="H376" s="30">
        <f>IF(OR(B376="",D376=""),"",IF(N(E376)=0,1,E376)*IFERROR(INDEX(Products!$C$6:$C$105,MATCH(D376,Products!$B$6:$B$105,0)),0)+N(F376)+N(G376))</f>
        <v/>
      </c>
      <c r="I376" s="35" t="n"/>
      <c r="J376" s="30">
        <f>IF(OR(H376="",L376="Cancelled"),"",IF(H376-N(I376)&gt;0.005,H376-N(I376),""))</f>
        <v/>
      </c>
      <c r="K376" s="31" t="n"/>
      <c r="L376" s="36" t="n"/>
      <c r="M376" s="33" t="n"/>
      <c r="N376" s="22">
        <f>IF(OR(H376="",L376="Cancelled"),"",IF(N(E376)=0,1,E376)*IFERROR(INDEX(Products!$E$6:$E$105,MATCH(D376,Products!$B$6:$B$105,0)),0))</f>
        <v/>
      </c>
      <c r="O376" s="35" t="n"/>
      <c r="P376" s="22">
        <f>IF(OR(H376="",L376="Cancelled"),"",ROUND(IFERROR(H376*INDEX(Settings!$C$6:$C$15,MATCH(M376,Settings!$B$6:$B$15,0))+INDEX(Settings!$D$6:$D$15,MATCH(M376,Settings!$B$6:$B$15,0)),0),2))</f>
        <v/>
      </c>
      <c r="Q376" s="28">
        <f>IF(OR(H376="",L376="Cancelled"),"",H376-N(N376)-N(O376)-N(P376))</f>
        <v/>
      </c>
      <c r="R376" s="19">
        <f>IF(OR(B376="",K376=""),"",IF(OR(L376="Sent",L376="Picked up"),"Done",IF(L376="Cancelled","Cancelled",IF(K376&lt;TODAY(),"Late by "&amp;(TODAY()-K376)&amp;IF((TODAY()-K376)=1," day"," days"),IF(K376=TODAY(),"Due today","Due in "&amp;(K376-TODAY())&amp;IF((K376-TODAY())=1," day"," days"))))))</f>
        <v/>
      </c>
      <c r="S376" s="33" t="n"/>
      <c r="T376" s="1">
        <f>IF(AND(B376&lt;&gt;"",K376&lt;&gt;"",L376&lt;&gt;"Sent",L376&lt;&gt;"Picked up",L376&lt;&gt;"Cancelled"),K376+ROW()/10000000,"")</f>
        <v/>
      </c>
      <c r="U376">
        <f>IF(OR(B376="",C376=""),"",B376+ROW()/10000000)</f>
        <v/>
      </c>
      <c r="V376">
        <f>IF(U376="","",IF(COUNTIFS(Orders!$C$6:$C$1005,C376,Orders!$U$6:$U$1005,"&gt;"&amp;U376)=0,1,0))</f>
        <v/>
      </c>
      <c r="W376">
        <f>IF(AND(B376&lt;&gt;"",K376&lt;&gt;"",L376&lt;&gt;"Sent",L376&lt;&gt;"Picked up",L376&lt;&gt;"Cancelled"),IF(N(E376)=0,1,E376),0)</f>
        <v/>
      </c>
      <c r="X376">
        <f>IF(OR(B376="",D376=""),"",IF(N(E376)=0,1,E376))</f>
        <v/>
      </c>
    </row>
    <row r="377">
      <c r="A377" s="1" t="n"/>
      <c r="B377" s="31" t="n"/>
      <c r="C377" s="32" t="n"/>
      <c r="D377" s="33" t="n"/>
      <c r="E377" s="34" t="n"/>
      <c r="F377" s="35" t="n"/>
      <c r="G377" s="35" t="n"/>
      <c r="H377" s="30">
        <f>IF(OR(B377="",D377=""),"",IF(N(E377)=0,1,E377)*IFERROR(INDEX(Products!$C$6:$C$105,MATCH(D377,Products!$B$6:$B$105,0)),0)+N(F377)+N(G377))</f>
        <v/>
      </c>
      <c r="I377" s="35" t="n"/>
      <c r="J377" s="30">
        <f>IF(OR(H377="",L377="Cancelled"),"",IF(H377-N(I377)&gt;0.005,H377-N(I377),""))</f>
        <v/>
      </c>
      <c r="K377" s="31" t="n"/>
      <c r="L377" s="36" t="n"/>
      <c r="M377" s="33" t="n"/>
      <c r="N377" s="22">
        <f>IF(OR(H377="",L377="Cancelled"),"",IF(N(E377)=0,1,E377)*IFERROR(INDEX(Products!$E$6:$E$105,MATCH(D377,Products!$B$6:$B$105,0)),0))</f>
        <v/>
      </c>
      <c r="O377" s="35" t="n"/>
      <c r="P377" s="22">
        <f>IF(OR(H377="",L377="Cancelled"),"",ROUND(IFERROR(H377*INDEX(Settings!$C$6:$C$15,MATCH(M377,Settings!$B$6:$B$15,0))+INDEX(Settings!$D$6:$D$15,MATCH(M377,Settings!$B$6:$B$15,0)),0),2))</f>
        <v/>
      </c>
      <c r="Q377" s="28">
        <f>IF(OR(H377="",L377="Cancelled"),"",H377-N(N377)-N(O377)-N(P377))</f>
        <v/>
      </c>
      <c r="R377" s="19">
        <f>IF(OR(B377="",K377=""),"",IF(OR(L377="Sent",L377="Picked up"),"Done",IF(L377="Cancelled","Cancelled",IF(K377&lt;TODAY(),"Late by "&amp;(TODAY()-K377)&amp;IF((TODAY()-K377)=1," day"," days"),IF(K377=TODAY(),"Due today","Due in "&amp;(K377-TODAY())&amp;IF((K377-TODAY())=1," day"," days"))))))</f>
        <v/>
      </c>
      <c r="S377" s="33" t="n"/>
      <c r="T377" s="1">
        <f>IF(AND(B377&lt;&gt;"",K377&lt;&gt;"",L377&lt;&gt;"Sent",L377&lt;&gt;"Picked up",L377&lt;&gt;"Cancelled"),K377+ROW()/10000000,"")</f>
        <v/>
      </c>
      <c r="U377">
        <f>IF(OR(B377="",C377=""),"",B377+ROW()/10000000)</f>
        <v/>
      </c>
      <c r="V377">
        <f>IF(U377="","",IF(COUNTIFS(Orders!$C$6:$C$1005,C377,Orders!$U$6:$U$1005,"&gt;"&amp;U377)=0,1,0))</f>
        <v/>
      </c>
      <c r="W377">
        <f>IF(AND(B377&lt;&gt;"",K377&lt;&gt;"",L377&lt;&gt;"Sent",L377&lt;&gt;"Picked up",L377&lt;&gt;"Cancelled"),IF(N(E377)=0,1,E377),0)</f>
        <v/>
      </c>
      <c r="X377">
        <f>IF(OR(B377="",D377=""),"",IF(N(E377)=0,1,E377))</f>
        <v/>
      </c>
    </row>
    <row r="378">
      <c r="A378" s="1" t="n"/>
      <c r="B378" s="31" t="n"/>
      <c r="C378" s="32" t="n"/>
      <c r="D378" s="33" t="n"/>
      <c r="E378" s="34" t="n"/>
      <c r="F378" s="35" t="n"/>
      <c r="G378" s="35" t="n"/>
      <c r="H378" s="30">
        <f>IF(OR(B378="",D378=""),"",IF(N(E378)=0,1,E378)*IFERROR(INDEX(Products!$C$6:$C$105,MATCH(D378,Products!$B$6:$B$105,0)),0)+N(F378)+N(G378))</f>
        <v/>
      </c>
      <c r="I378" s="35" t="n"/>
      <c r="J378" s="30">
        <f>IF(OR(H378="",L378="Cancelled"),"",IF(H378-N(I378)&gt;0.005,H378-N(I378),""))</f>
        <v/>
      </c>
      <c r="K378" s="31" t="n"/>
      <c r="L378" s="36" t="n"/>
      <c r="M378" s="33" t="n"/>
      <c r="N378" s="22">
        <f>IF(OR(H378="",L378="Cancelled"),"",IF(N(E378)=0,1,E378)*IFERROR(INDEX(Products!$E$6:$E$105,MATCH(D378,Products!$B$6:$B$105,0)),0))</f>
        <v/>
      </c>
      <c r="O378" s="35" t="n"/>
      <c r="P378" s="22">
        <f>IF(OR(H378="",L378="Cancelled"),"",ROUND(IFERROR(H378*INDEX(Settings!$C$6:$C$15,MATCH(M378,Settings!$B$6:$B$15,0))+INDEX(Settings!$D$6:$D$15,MATCH(M378,Settings!$B$6:$B$15,0)),0),2))</f>
        <v/>
      </c>
      <c r="Q378" s="28">
        <f>IF(OR(H378="",L378="Cancelled"),"",H378-N(N378)-N(O378)-N(P378))</f>
        <v/>
      </c>
      <c r="R378" s="19">
        <f>IF(OR(B378="",K378=""),"",IF(OR(L378="Sent",L378="Picked up"),"Done",IF(L378="Cancelled","Cancelled",IF(K378&lt;TODAY(),"Late by "&amp;(TODAY()-K378)&amp;IF((TODAY()-K378)=1," day"," days"),IF(K378=TODAY(),"Due today","Due in "&amp;(K378-TODAY())&amp;IF((K378-TODAY())=1," day"," days"))))))</f>
        <v/>
      </c>
      <c r="S378" s="33" t="n"/>
      <c r="T378" s="1">
        <f>IF(AND(B378&lt;&gt;"",K378&lt;&gt;"",L378&lt;&gt;"Sent",L378&lt;&gt;"Picked up",L378&lt;&gt;"Cancelled"),K378+ROW()/10000000,"")</f>
        <v/>
      </c>
      <c r="U378">
        <f>IF(OR(B378="",C378=""),"",B378+ROW()/10000000)</f>
        <v/>
      </c>
      <c r="V378">
        <f>IF(U378="","",IF(COUNTIFS(Orders!$C$6:$C$1005,C378,Orders!$U$6:$U$1005,"&gt;"&amp;U378)=0,1,0))</f>
        <v/>
      </c>
      <c r="W378">
        <f>IF(AND(B378&lt;&gt;"",K378&lt;&gt;"",L378&lt;&gt;"Sent",L378&lt;&gt;"Picked up",L378&lt;&gt;"Cancelled"),IF(N(E378)=0,1,E378),0)</f>
        <v/>
      </c>
      <c r="X378">
        <f>IF(OR(B378="",D378=""),"",IF(N(E378)=0,1,E378))</f>
        <v/>
      </c>
    </row>
    <row r="379">
      <c r="A379" s="1" t="n"/>
      <c r="B379" s="31" t="n"/>
      <c r="C379" s="32" t="n"/>
      <c r="D379" s="33" t="n"/>
      <c r="E379" s="34" t="n"/>
      <c r="F379" s="35" t="n"/>
      <c r="G379" s="35" t="n"/>
      <c r="H379" s="30">
        <f>IF(OR(B379="",D379=""),"",IF(N(E379)=0,1,E379)*IFERROR(INDEX(Products!$C$6:$C$105,MATCH(D379,Products!$B$6:$B$105,0)),0)+N(F379)+N(G379))</f>
        <v/>
      </c>
      <c r="I379" s="35" t="n"/>
      <c r="J379" s="30">
        <f>IF(OR(H379="",L379="Cancelled"),"",IF(H379-N(I379)&gt;0.005,H379-N(I379),""))</f>
        <v/>
      </c>
      <c r="K379" s="31" t="n"/>
      <c r="L379" s="36" t="n"/>
      <c r="M379" s="33" t="n"/>
      <c r="N379" s="22">
        <f>IF(OR(H379="",L379="Cancelled"),"",IF(N(E379)=0,1,E379)*IFERROR(INDEX(Products!$E$6:$E$105,MATCH(D379,Products!$B$6:$B$105,0)),0))</f>
        <v/>
      </c>
      <c r="O379" s="35" t="n"/>
      <c r="P379" s="22">
        <f>IF(OR(H379="",L379="Cancelled"),"",ROUND(IFERROR(H379*INDEX(Settings!$C$6:$C$15,MATCH(M379,Settings!$B$6:$B$15,0))+INDEX(Settings!$D$6:$D$15,MATCH(M379,Settings!$B$6:$B$15,0)),0),2))</f>
        <v/>
      </c>
      <c r="Q379" s="28">
        <f>IF(OR(H379="",L379="Cancelled"),"",H379-N(N379)-N(O379)-N(P379))</f>
        <v/>
      </c>
      <c r="R379" s="19">
        <f>IF(OR(B379="",K379=""),"",IF(OR(L379="Sent",L379="Picked up"),"Done",IF(L379="Cancelled","Cancelled",IF(K379&lt;TODAY(),"Late by "&amp;(TODAY()-K379)&amp;IF((TODAY()-K379)=1," day"," days"),IF(K379=TODAY(),"Due today","Due in "&amp;(K379-TODAY())&amp;IF((K379-TODAY())=1," day"," days"))))))</f>
        <v/>
      </c>
      <c r="S379" s="33" t="n"/>
      <c r="T379" s="1">
        <f>IF(AND(B379&lt;&gt;"",K379&lt;&gt;"",L379&lt;&gt;"Sent",L379&lt;&gt;"Picked up",L379&lt;&gt;"Cancelled"),K379+ROW()/10000000,"")</f>
        <v/>
      </c>
      <c r="U379">
        <f>IF(OR(B379="",C379=""),"",B379+ROW()/10000000)</f>
        <v/>
      </c>
      <c r="V379">
        <f>IF(U379="","",IF(COUNTIFS(Orders!$C$6:$C$1005,C379,Orders!$U$6:$U$1005,"&gt;"&amp;U379)=0,1,0))</f>
        <v/>
      </c>
      <c r="W379">
        <f>IF(AND(B379&lt;&gt;"",K379&lt;&gt;"",L379&lt;&gt;"Sent",L379&lt;&gt;"Picked up",L379&lt;&gt;"Cancelled"),IF(N(E379)=0,1,E379),0)</f>
        <v/>
      </c>
      <c r="X379">
        <f>IF(OR(B379="",D379=""),"",IF(N(E379)=0,1,E379))</f>
        <v/>
      </c>
    </row>
    <row r="380">
      <c r="A380" s="1" t="n"/>
      <c r="B380" s="31" t="n"/>
      <c r="C380" s="32" t="n"/>
      <c r="D380" s="33" t="n"/>
      <c r="E380" s="34" t="n"/>
      <c r="F380" s="35" t="n"/>
      <c r="G380" s="35" t="n"/>
      <c r="H380" s="30">
        <f>IF(OR(B380="",D380=""),"",IF(N(E380)=0,1,E380)*IFERROR(INDEX(Products!$C$6:$C$105,MATCH(D380,Products!$B$6:$B$105,0)),0)+N(F380)+N(G380))</f>
        <v/>
      </c>
      <c r="I380" s="35" t="n"/>
      <c r="J380" s="30">
        <f>IF(OR(H380="",L380="Cancelled"),"",IF(H380-N(I380)&gt;0.005,H380-N(I380),""))</f>
        <v/>
      </c>
      <c r="K380" s="31" t="n"/>
      <c r="L380" s="36" t="n"/>
      <c r="M380" s="33" t="n"/>
      <c r="N380" s="22">
        <f>IF(OR(H380="",L380="Cancelled"),"",IF(N(E380)=0,1,E380)*IFERROR(INDEX(Products!$E$6:$E$105,MATCH(D380,Products!$B$6:$B$105,0)),0))</f>
        <v/>
      </c>
      <c r="O380" s="35" t="n"/>
      <c r="P380" s="22">
        <f>IF(OR(H380="",L380="Cancelled"),"",ROUND(IFERROR(H380*INDEX(Settings!$C$6:$C$15,MATCH(M380,Settings!$B$6:$B$15,0))+INDEX(Settings!$D$6:$D$15,MATCH(M380,Settings!$B$6:$B$15,0)),0),2))</f>
        <v/>
      </c>
      <c r="Q380" s="28">
        <f>IF(OR(H380="",L380="Cancelled"),"",H380-N(N380)-N(O380)-N(P380))</f>
        <v/>
      </c>
      <c r="R380" s="19">
        <f>IF(OR(B380="",K380=""),"",IF(OR(L380="Sent",L380="Picked up"),"Done",IF(L380="Cancelled","Cancelled",IF(K380&lt;TODAY(),"Late by "&amp;(TODAY()-K380)&amp;IF((TODAY()-K380)=1," day"," days"),IF(K380=TODAY(),"Due today","Due in "&amp;(K380-TODAY())&amp;IF((K380-TODAY())=1," day"," days"))))))</f>
        <v/>
      </c>
      <c r="S380" s="33" t="n"/>
      <c r="T380" s="1">
        <f>IF(AND(B380&lt;&gt;"",K380&lt;&gt;"",L380&lt;&gt;"Sent",L380&lt;&gt;"Picked up",L380&lt;&gt;"Cancelled"),K380+ROW()/10000000,"")</f>
        <v/>
      </c>
      <c r="U380">
        <f>IF(OR(B380="",C380=""),"",B380+ROW()/10000000)</f>
        <v/>
      </c>
      <c r="V380">
        <f>IF(U380="","",IF(COUNTIFS(Orders!$C$6:$C$1005,C380,Orders!$U$6:$U$1005,"&gt;"&amp;U380)=0,1,0))</f>
        <v/>
      </c>
      <c r="W380">
        <f>IF(AND(B380&lt;&gt;"",K380&lt;&gt;"",L380&lt;&gt;"Sent",L380&lt;&gt;"Picked up",L380&lt;&gt;"Cancelled"),IF(N(E380)=0,1,E380),0)</f>
        <v/>
      </c>
      <c r="X380">
        <f>IF(OR(B380="",D380=""),"",IF(N(E380)=0,1,E380))</f>
        <v/>
      </c>
    </row>
    <row r="381">
      <c r="A381" s="1" t="n"/>
      <c r="B381" s="31" t="n"/>
      <c r="C381" s="32" t="n"/>
      <c r="D381" s="33" t="n"/>
      <c r="E381" s="34" t="n"/>
      <c r="F381" s="35" t="n"/>
      <c r="G381" s="35" t="n"/>
      <c r="H381" s="30">
        <f>IF(OR(B381="",D381=""),"",IF(N(E381)=0,1,E381)*IFERROR(INDEX(Products!$C$6:$C$105,MATCH(D381,Products!$B$6:$B$105,0)),0)+N(F381)+N(G381))</f>
        <v/>
      </c>
      <c r="I381" s="35" t="n"/>
      <c r="J381" s="30">
        <f>IF(OR(H381="",L381="Cancelled"),"",IF(H381-N(I381)&gt;0.005,H381-N(I381),""))</f>
        <v/>
      </c>
      <c r="K381" s="31" t="n"/>
      <c r="L381" s="36" t="n"/>
      <c r="M381" s="33" t="n"/>
      <c r="N381" s="22">
        <f>IF(OR(H381="",L381="Cancelled"),"",IF(N(E381)=0,1,E381)*IFERROR(INDEX(Products!$E$6:$E$105,MATCH(D381,Products!$B$6:$B$105,0)),0))</f>
        <v/>
      </c>
      <c r="O381" s="35" t="n"/>
      <c r="P381" s="22">
        <f>IF(OR(H381="",L381="Cancelled"),"",ROUND(IFERROR(H381*INDEX(Settings!$C$6:$C$15,MATCH(M381,Settings!$B$6:$B$15,0))+INDEX(Settings!$D$6:$D$15,MATCH(M381,Settings!$B$6:$B$15,0)),0),2))</f>
        <v/>
      </c>
      <c r="Q381" s="28">
        <f>IF(OR(H381="",L381="Cancelled"),"",H381-N(N381)-N(O381)-N(P381))</f>
        <v/>
      </c>
      <c r="R381" s="19">
        <f>IF(OR(B381="",K381=""),"",IF(OR(L381="Sent",L381="Picked up"),"Done",IF(L381="Cancelled","Cancelled",IF(K381&lt;TODAY(),"Late by "&amp;(TODAY()-K381)&amp;IF((TODAY()-K381)=1," day"," days"),IF(K381=TODAY(),"Due today","Due in "&amp;(K381-TODAY())&amp;IF((K381-TODAY())=1," day"," days"))))))</f>
        <v/>
      </c>
      <c r="S381" s="33" t="n"/>
      <c r="T381" s="1">
        <f>IF(AND(B381&lt;&gt;"",K381&lt;&gt;"",L381&lt;&gt;"Sent",L381&lt;&gt;"Picked up",L381&lt;&gt;"Cancelled"),K381+ROW()/10000000,"")</f>
        <v/>
      </c>
      <c r="U381">
        <f>IF(OR(B381="",C381=""),"",B381+ROW()/10000000)</f>
        <v/>
      </c>
      <c r="V381">
        <f>IF(U381="","",IF(COUNTIFS(Orders!$C$6:$C$1005,C381,Orders!$U$6:$U$1005,"&gt;"&amp;U381)=0,1,0))</f>
        <v/>
      </c>
      <c r="W381">
        <f>IF(AND(B381&lt;&gt;"",K381&lt;&gt;"",L381&lt;&gt;"Sent",L381&lt;&gt;"Picked up",L381&lt;&gt;"Cancelled"),IF(N(E381)=0,1,E381),0)</f>
        <v/>
      </c>
      <c r="X381">
        <f>IF(OR(B381="",D381=""),"",IF(N(E381)=0,1,E381))</f>
        <v/>
      </c>
    </row>
    <row r="382">
      <c r="A382" s="1" t="n"/>
      <c r="B382" s="31" t="n"/>
      <c r="C382" s="32" t="n"/>
      <c r="D382" s="33" t="n"/>
      <c r="E382" s="34" t="n"/>
      <c r="F382" s="35" t="n"/>
      <c r="G382" s="35" t="n"/>
      <c r="H382" s="30">
        <f>IF(OR(B382="",D382=""),"",IF(N(E382)=0,1,E382)*IFERROR(INDEX(Products!$C$6:$C$105,MATCH(D382,Products!$B$6:$B$105,0)),0)+N(F382)+N(G382))</f>
        <v/>
      </c>
      <c r="I382" s="35" t="n"/>
      <c r="J382" s="30">
        <f>IF(OR(H382="",L382="Cancelled"),"",IF(H382-N(I382)&gt;0.005,H382-N(I382),""))</f>
        <v/>
      </c>
      <c r="K382" s="31" t="n"/>
      <c r="L382" s="36" t="n"/>
      <c r="M382" s="33" t="n"/>
      <c r="N382" s="22">
        <f>IF(OR(H382="",L382="Cancelled"),"",IF(N(E382)=0,1,E382)*IFERROR(INDEX(Products!$E$6:$E$105,MATCH(D382,Products!$B$6:$B$105,0)),0))</f>
        <v/>
      </c>
      <c r="O382" s="35" t="n"/>
      <c r="P382" s="22">
        <f>IF(OR(H382="",L382="Cancelled"),"",ROUND(IFERROR(H382*INDEX(Settings!$C$6:$C$15,MATCH(M382,Settings!$B$6:$B$15,0))+INDEX(Settings!$D$6:$D$15,MATCH(M382,Settings!$B$6:$B$15,0)),0),2))</f>
        <v/>
      </c>
      <c r="Q382" s="28">
        <f>IF(OR(H382="",L382="Cancelled"),"",H382-N(N382)-N(O382)-N(P382))</f>
        <v/>
      </c>
      <c r="R382" s="19">
        <f>IF(OR(B382="",K382=""),"",IF(OR(L382="Sent",L382="Picked up"),"Done",IF(L382="Cancelled","Cancelled",IF(K382&lt;TODAY(),"Late by "&amp;(TODAY()-K382)&amp;IF((TODAY()-K382)=1," day"," days"),IF(K382=TODAY(),"Due today","Due in "&amp;(K382-TODAY())&amp;IF((K382-TODAY())=1," day"," days"))))))</f>
        <v/>
      </c>
      <c r="S382" s="33" t="n"/>
      <c r="T382" s="1">
        <f>IF(AND(B382&lt;&gt;"",K382&lt;&gt;"",L382&lt;&gt;"Sent",L382&lt;&gt;"Picked up",L382&lt;&gt;"Cancelled"),K382+ROW()/10000000,"")</f>
        <v/>
      </c>
      <c r="U382">
        <f>IF(OR(B382="",C382=""),"",B382+ROW()/10000000)</f>
        <v/>
      </c>
      <c r="V382">
        <f>IF(U382="","",IF(COUNTIFS(Orders!$C$6:$C$1005,C382,Orders!$U$6:$U$1005,"&gt;"&amp;U382)=0,1,0))</f>
        <v/>
      </c>
      <c r="W382">
        <f>IF(AND(B382&lt;&gt;"",K382&lt;&gt;"",L382&lt;&gt;"Sent",L382&lt;&gt;"Picked up",L382&lt;&gt;"Cancelled"),IF(N(E382)=0,1,E382),0)</f>
        <v/>
      </c>
      <c r="X382">
        <f>IF(OR(B382="",D382=""),"",IF(N(E382)=0,1,E382))</f>
        <v/>
      </c>
    </row>
    <row r="383">
      <c r="A383" s="1" t="n"/>
      <c r="B383" s="31" t="n"/>
      <c r="C383" s="32" t="n"/>
      <c r="D383" s="33" t="n"/>
      <c r="E383" s="34" t="n"/>
      <c r="F383" s="35" t="n"/>
      <c r="G383" s="35" t="n"/>
      <c r="H383" s="30">
        <f>IF(OR(B383="",D383=""),"",IF(N(E383)=0,1,E383)*IFERROR(INDEX(Products!$C$6:$C$105,MATCH(D383,Products!$B$6:$B$105,0)),0)+N(F383)+N(G383))</f>
        <v/>
      </c>
      <c r="I383" s="35" t="n"/>
      <c r="J383" s="30">
        <f>IF(OR(H383="",L383="Cancelled"),"",IF(H383-N(I383)&gt;0.005,H383-N(I383),""))</f>
        <v/>
      </c>
      <c r="K383" s="31" t="n"/>
      <c r="L383" s="36" t="n"/>
      <c r="M383" s="33" t="n"/>
      <c r="N383" s="22">
        <f>IF(OR(H383="",L383="Cancelled"),"",IF(N(E383)=0,1,E383)*IFERROR(INDEX(Products!$E$6:$E$105,MATCH(D383,Products!$B$6:$B$105,0)),0))</f>
        <v/>
      </c>
      <c r="O383" s="35" t="n"/>
      <c r="P383" s="22">
        <f>IF(OR(H383="",L383="Cancelled"),"",ROUND(IFERROR(H383*INDEX(Settings!$C$6:$C$15,MATCH(M383,Settings!$B$6:$B$15,0))+INDEX(Settings!$D$6:$D$15,MATCH(M383,Settings!$B$6:$B$15,0)),0),2))</f>
        <v/>
      </c>
      <c r="Q383" s="28">
        <f>IF(OR(H383="",L383="Cancelled"),"",H383-N(N383)-N(O383)-N(P383))</f>
        <v/>
      </c>
      <c r="R383" s="19">
        <f>IF(OR(B383="",K383=""),"",IF(OR(L383="Sent",L383="Picked up"),"Done",IF(L383="Cancelled","Cancelled",IF(K383&lt;TODAY(),"Late by "&amp;(TODAY()-K383)&amp;IF((TODAY()-K383)=1," day"," days"),IF(K383=TODAY(),"Due today","Due in "&amp;(K383-TODAY())&amp;IF((K383-TODAY())=1," day"," days"))))))</f>
        <v/>
      </c>
      <c r="S383" s="33" t="n"/>
      <c r="T383" s="1">
        <f>IF(AND(B383&lt;&gt;"",K383&lt;&gt;"",L383&lt;&gt;"Sent",L383&lt;&gt;"Picked up",L383&lt;&gt;"Cancelled"),K383+ROW()/10000000,"")</f>
        <v/>
      </c>
      <c r="U383">
        <f>IF(OR(B383="",C383=""),"",B383+ROW()/10000000)</f>
        <v/>
      </c>
      <c r="V383">
        <f>IF(U383="","",IF(COUNTIFS(Orders!$C$6:$C$1005,C383,Orders!$U$6:$U$1005,"&gt;"&amp;U383)=0,1,0))</f>
        <v/>
      </c>
      <c r="W383">
        <f>IF(AND(B383&lt;&gt;"",K383&lt;&gt;"",L383&lt;&gt;"Sent",L383&lt;&gt;"Picked up",L383&lt;&gt;"Cancelled"),IF(N(E383)=0,1,E383),0)</f>
        <v/>
      </c>
      <c r="X383">
        <f>IF(OR(B383="",D383=""),"",IF(N(E383)=0,1,E383))</f>
        <v/>
      </c>
    </row>
    <row r="384">
      <c r="A384" s="1" t="n"/>
      <c r="B384" s="31" t="n"/>
      <c r="C384" s="32" t="n"/>
      <c r="D384" s="33" t="n"/>
      <c r="E384" s="34" t="n"/>
      <c r="F384" s="35" t="n"/>
      <c r="G384" s="35" t="n"/>
      <c r="H384" s="30">
        <f>IF(OR(B384="",D384=""),"",IF(N(E384)=0,1,E384)*IFERROR(INDEX(Products!$C$6:$C$105,MATCH(D384,Products!$B$6:$B$105,0)),0)+N(F384)+N(G384))</f>
        <v/>
      </c>
      <c r="I384" s="35" t="n"/>
      <c r="J384" s="30">
        <f>IF(OR(H384="",L384="Cancelled"),"",IF(H384-N(I384)&gt;0.005,H384-N(I384),""))</f>
        <v/>
      </c>
      <c r="K384" s="31" t="n"/>
      <c r="L384" s="36" t="n"/>
      <c r="M384" s="33" t="n"/>
      <c r="N384" s="22">
        <f>IF(OR(H384="",L384="Cancelled"),"",IF(N(E384)=0,1,E384)*IFERROR(INDEX(Products!$E$6:$E$105,MATCH(D384,Products!$B$6:$B$105,0)),0))</f>
        <v/>
      </c>
      <c r="O384" s="35" t="n"/>
      <c r="P384" s="22">
        <f>IF(OR(H384="",L384="Cancelled"),"",ROUND(IFERROR(H384*INDEX(Settings!$C$6:$C$15,MATCH(M384,Settings!$B$6:$B$15,0))+INDEX(Settings!$D$6:$D$15,MATCH(M384,Settings!$B$6:$B$15,0)),0),2))</f>
        <v/>
      </c>
      <c r="Q384" s="28">
        <f>IF(OR(H384="",L384="Cancelled"),"",H384-N(N384)-N(O384)-N(P384))</f>
        <v/>
      </c>
      <c r="R384" s="19">
        <f>IF(OR(B384="",K384=""),"",IF(OR(L384="Sent",L384="Picked up"),"Done",IF(L384="Cancelled","Cancelled",IF(K384&lt;TODAY(),"Late by "&amp;(TODAY()-K384)&amp;IF((TODAY()-K384)=1," day"," days"),IF(K384=TODAY(),"Due today","Due in "&amp;(K384-TODAY())&amp;IF((K384-TODAY())=1," day"," days"))))))</f>
        <v/>
      </c>
      <c r="S384" s="33" t="n"/>
      <c r="T384" s="1">
        <f>IF(AND(B384&lt;&gt;"",K384&lt;&gt;"",L384&lt;&gt;"Sent",L384&lt;&gt;"Picked up",L384&lt;&gt;"Cancelled"),K384+ROW()/10000000,"")</f>
        <v/>
      </c>
      <c r="U384">
        <f>IF(OR(B384="",C384=""),"",B384+ROW()/10000000)</f>
        <v/>
      </c>
      <c r="V384">
        <f>IF(U384="","",IF(COUNTIFS(Orders!$C$6:$C$1005,C384,Orders!$U$6:$U$1005,"&gt;"&amp;U384)=0,1,0))</f>
        <v/>
      </c>
      <c r="W384">
        <f>IF(AND(B384&lt;&gt;"",K384&lt;&gt;"",L384&lt;&gt;"Sent",L384&lt;&gt;"Picked up",L384&lt;&gt;"Cancelled"),IF(N(E384)=0,1,E384),0)</f>
        <v/>
      </c>
      <c r="X384">
        <f>IF(OR(B384="",D384=""),"",IF(N(E384)=0,1,E384))</f>
        <v/>
      </c>
    </row>
    <row r="385">
      <c r="A385" s="1" t="n"/>
      <c r="B385" s="31" t="n"/>
      <c r="C385" s="32" t="n"/>
      <c r="D385" s="33" t="n"/>
      <c r="E385" s="34" t="n"/>
      <c r="F385" s="35" t="n"/>
      <c r="G385" s="35" t="n"/>
      <c r="H385" s="30">
        <f>IF(OR(B385="",D385=""),"",IF(N(E385)=0,1,E385)*IFERROR(INDEX(Products!$C$6:$C$105,MATCH(D385,Products!$B$6:$B$105,0)),0)+N(F385)+N(G385))</f>
        <v/>
      </c>
      <c r="I385" s="35" t="n"/>
      <c r="J385" s="30">
        <f>IF(OR(H385="",L385="Cancelled"),"",IF(H385-N(I385)&gt;0.005,H385-N(I385),""))</f>
        <v/>
      </c>
      <c r="K385" s="31" t="n"/>
      <c r="L385" s="36" t="n"/>
      <c r="M385" s="33" t="n"/>
      <c r="N385" s="22">
        <f>IF(OR(H385="",L385="Cancelled"),"",IF(N(E385)=0,1,E385)*IFERROR(INDEX(Products!$E$6:$E$105,MATCH(D385,Products!$B$6:$B$105,0)),0))</f>
        <v/>
      </c>
      <c r="O385" s="35" t="n"/>
      <c r="P385" s="22">
        <f>IF(OR(H385="",L385="Cancelled"),"",ROUND(IFERROR(H385*INDEX(Settings!$C$6:$C$15,MATCH(M385,Settings!$B$6:$B$15,0))+INDEX(Settings!$D$6:$D$15,MATCH(M385,Settings!$B$6:$B$15,0)),0),2))</f>
        <v/>
      </c>
      <c r="Q385" s="28">
        <f>IF(OR(H385="",L385="Cancelled"),"",H385-N(N385)-N(O385)-N(P385))</f>
        <v/>
      </c>
      <c r="R385" s="19">
        <f>IF(OR(B385="",K385=""),"",IF(OR(L385="Sent",L385="Picked up"),"Done",IF(L385="Cancelled","Cancelled",IF(K385&lt;TODAY(),"Late by "&amp;(TODAY()-K385)&amp;IF((TODAY()-K385)=1," day"," days"),IF(K385=TODAY(),"Due today","Due in "&amp;(K385-TODAY())&amp;IF((K385-TODAY())=1," day"," days"))))))</f>
        <v/>
      </c>
      <c r="S385" s="33" t="n"/>
      <c r="T385" s="1">
        <f>IF(AND(B385&lt;&gt;"",K385&lt;&gt;"",L385&lt;&gt;"Sent",L385&lt;&gt;"Picked up",L385&lt;&gt;"Cancelled"),K385+ROW()/10000000,"")</f>
        <v/>
      </c>
      <c r="U385">
        <f>IF(OR(B385="",C385=""),"",B385+ROW()/10000000)</f>
        <v/>
      </c>
      <c r="V385">
        <f>IF(U385="","",IF(COUNTIFS(Orders!$C$6:$C$1005,C385,Orders!$U$6:$U$1005,"&gt;"&amp;U385)=0,1,0))</f>
        <v/>
      </c>
      <c r="W385">
        <f>IF(AND(B385&lt;&gt;"",K385&lt;&gt;"",L385&lt;&gt;"Sent",L385&lt;&gt;"Picked up",L385&lt;&gt;"Cancelled"),IF(N(E385)=0,1,E385),0)</f>
        <v/>
      </c>
      <c r="X385">
        <f>IF(OR(B385="",D385=""),"",IF(N(E385)=0,1,E385))</f>
        <v/>
      </c>
    </row>
    <row r="386">
      <c r="A386" s="1" t="n"/>
      <c r="B386" s="31" t="n"/>
      <c r="C386" s="32" t="n"/>
      <c r="D386" s="33" t="n"/>
      <c r="E386" s="34" t="n"/>
      <c r="F386" s="35" t="n"/>
      <c r="G386" s="35" t="n"/>
      <c r="H386" s="30">
        <f>IF(OR(B386="",D386=""),"",IF(N(E386)=0,1,E386)*IFERROR(INDEX(Products!$C$6:$C$105,MATCH(D386,Products!$B$6:$B$105,0)),0)+N(F386)+N(G386))</f>
        <v/>
      </c>
      <c r="I386" s="35" t="n"/>
      <c r="J386" s="30">
        <f>IF(OR(H386="",L386="Cancelled"),"",IF(H386-N(I386)&gt;0.005,H386-N(I386),""))</f>
        <v/>
      </c>
      <c r="K386" s="31" t="n"/>
      <c r="L386" s="36" t="n"/>
      <c r="M386" s="33" t="n"/>
      <c r="N386" s="22">
        <f>IF(OR(H386="",L386="Cancelled"),"",IF(N(E386)=0,1,E386)*IFERROR(INDEX(Products!$E$6:$E$105,MATCH(D386,Products!$B$6:$B$105,0)),0))</f>
        <v/>
      </c>
      <c r="O386" s="35" t="n"/>
      <c r="P386" s="22">
        <f>IF(OR(H386="",L386="Cancelled"),"",ROUND(IFERROR(H386*INDEX(Settings!$C$6:$C$15,MATCH(M386,Settings!$B$6:$B$15,0))+INDEX(Settings!$D$6:$D$15,MATCH(M386,Settings!$B$6:$B$15,0)),0),2))</f>
        <v/>
      </c>
      <c r="Q386" s="28">
        <f>IF(OR(H386="",L386="Cancelled"),"",H386-N(N386)-N(O386)-N(P386))</f>
        <v/>
      </c>
      <c r="R386" s="19">
        <f>IF(OR(B386="",K386=""),"",IF(OR(L386="Sent",L386="Picked up"),"Done",IF(L386="Cancelled","Cancelled",IF(K386&lt;TODAY(),"Late by "&amp;(TODAY()-K386)&amp;IF((TODAY()-K386)=1," day"," days"),IF(K386=TODAY(),"Due today","Due in "&amp;(K386-TODAY())&amp;IF((K386-TODAY())=1," day"," days"))))))</f>
        <v/>
      </c>
      <c r="S386" s="33" t="n"/>
      <c r="T386" s="1">
        <f>IF(AND(B386&lt;&gt;"",K386&lt;&gt;"",L386&lt;&gt;"Sent",L386&lt;&gt;"Picked up",L386&lt;&gt;"Cancelled"),K386+ROW()/10000000,"")</f>
        <v/>
      </c>
      <c r="U386">
        <f>IF(OR(B386="",C386=""),"",B386+ROW()/10000000)</f>
        <v/>
      </c>
      <c r="V386">
        <f>IF(U386="","",IF(COUNTIFS(Orders!$C$6:$C$1005,C386,Orders!$U$6:$U$1005,"&gt;"&amp;U386)=0,1,0))</f>
        <v/>
      </c>
      <c r="W386">
        <f>IF(AND(B386&lt;&gt;"",K386&lt;&gt;"",L386&lt;&gt;"Sent",L386&lt;&gt;"Picked up",L386&lt;&gt;"Cancelled"),IF(N(E386)=0,1,E386),0)</f>
        <v/>
      </c>
      <c r="X386">
        <f>IF(OR(B386="",D386=""),"",IF(N(E386)=0,1,E386))</f>
        <v/>
      </c>
    </row>
    <row r="387">
      <c r="A387" s="1" t="n"/>
      <c r="B387" s="31" t="n"/>
      <c r="C387" s="32" t="n"/>
      <c r="D387" s="33" t="n"/>
      <c r="E387" s="34" t="n"/>
      <c r="F387" s="35" t="n"/>
      <c r="G387" s="35" t="n"/>
      <c r="H387" s="30">
        <f>IF(OR(B387="",D387=""),"",IF(N(E387)=0,1,E387)*IFERROR(INDEX(Products!$C$6:$C$105,MATCH(D387,Products!$B$6:$B$105,0)),0)+N(F387)+N(G387))</f>
        <v/>
      </c>
      <c r="I387" s="35" t="n"/>
      <c r="J387" s="30">
        <f>IF(OR(H387="",L387="Cancelled"),"",IF(H387-N(I387)&gt;0.005,H387-N(I387),""))</f>
        <v/>
      </c>
      <c r="K387" s="31" t="n"/>
      <c r="L387" s="36" t="n"/>
      <c r="M387" s="33" t="n"/>
      <c r="N387" s="22">
        <f>IF(OR(H387="",L387="Cancelled"),"",IF(N(E387)=0,1,E387)*IFERROR(INDEX(Products!$E$6:$E$105,MATCH(D387,Products!$B$6:$B$105,0)),0))</f>
        <v/>
      </c>
      <c r="O387" s="35" t="n"/>
      <c r="P387" s="22">
        <f>IF(OR(H387="",L387="Cancelled"),"",ROUND(IFERROR(H387*INDEX(Settings!$C$6:$C$15,MATCH(M387,Settings!$B$6:$B$15,0))+INDEX(Settings!$D$6:$D$15,MATCH(M387,Settings!$B$6:$B$15,0)),0),2))</f>
        <v/>
      </c>
      <c r="Q387" s="28">
        <f>IF(OR(H387="",L387="Cancelled"),"",H387-N(N387)-N(O387)-N(P387))</f>
        <v/>
      </c>
      <c r="R387" s="19">
        <f>IF(OR(B387="",K387=""),"",IF(OR(L387="Sent",L387="Picked up"),"Done",IF(L387="Cancelled","Cancelled",IF(K387&lt;TODAY(),"Late by "&amp;(TODAY()-K387)&amp;IF((TODAY()-K387)=1," day"," days"),IF(K387=TODAY(),"Due today","Due in "&amp;(K387-TODAY())&amp;IF((K387-TODAY())=1," day"," days"))))))</f>
        <v/>
      </c>
      <c r="S387" s="33" t="n"/>
      <c r="T387" s="1">
        <f>IF(AND(B387&lt;&gt;"",K387&lt;&gt;"",L387&lt;&gt;"Sent",L387&lt;&gt;"Picked up",L387&lt;&gt;"Cancelled"),K387+ROW()/10000000,"")</f>
        <v/>
      </c>
      <c r="U387">
        <f>IF(OR(B387="",C387=""),"",B387+ROW()/10000000)</f>
        <v/>
      </c>
      <c r="V387">
        <f>IF(U387="","",IF(COUNTIFS(Orders!$C$6:$C$1005,C387,Orders!$U$6:$U$1005,"&gt;"&amp;U387)=0,1,0))</f>
        <v/>
      </c>
      <c r="W387">
        <f>IF(AND(B387&lt;&gt;"",K387&lt;&gt;"",L387&lt;&gt;"Sent",L387&lt;&gt;"Picked up",L387&lt;&gt;"Cancelled"),IF(N(E387)=0,1,E387),0)</f>
        <v/>
      </c>
      <c r="X387">
        <f>IF(OR(B387="",D387=""),"",IF(N(E387)=0,1,E387))</f>
        <v/>
      </c>
    </row>
    <row r="388">
      <c r="A388" s="1" t="n"/>
      <c r="B388" s="31" t="n"/>
      <c r="C388" s="32" t="n"/>
      <c r="D388" s="33" t="n"/>
      <c r="E388" s="34" t="n"/>
      <c r="F388" s="35" t="n"/>
      <c r="G388" s="35" t="n"/>
      <c r="H388" s="30">
        <f>IF(OR(B388="",D388=""),"",IF(N(E388)=0,1,E388)*IFERROR(INDEX(Products!$C$6:$C$105,MATCH(D388,Products!$B$6:$B$105,0)),0)+N(F388)+N(G388))</f>
        <v/>
      </c>
      <c r="I388" s="35" t="n"/>
      <c r="J388" s="30">
        <f>IF(OR(H388="",L388="Cancelled"),"",IF(H388-N(I388)&gt;0.005,H388-N(I388),""))</f>
        <v/>
      </c>
      <c r="K388" s="31" t="n"/>
      <c r="L388" s="36" t="n"/>
      <c r="M388" s="33" t="n"/>
      <c r="N388" s="22">
        <f>IF(OR(H388="",L388="Cancelled"),"",IF(N(E388)=0,1,E388)*IFERROR(INDEX(Products!$E$6:$E$105,MATCH(D388,Products!$B$6:$B$105,0)),0))</f>
        <v/>
      </c>
      <c r="O388" s="35" t="n"/>
      <c r="P388" s="22">
        <f>IF(OR(H388="",L388="Cancelled"),"",ROUND(IFERROR(H388*INDEX(Settings!$C$6:$C$15,MATCH(M388,Settings!$B$6:$B$15,0))+INDEX(Settings!$D$6:$D$15,MATCH(M388,Settings!$B$6:$B$15,0)),0),2))</f>
        <v/>
      </c>
      <c r="Q388" s="28">
        <f>IF(OR(H388="",L388="Cancelled"),"",H388-N(N388)-N(O388)-N(P388))</f>
        <v/>
      </c>
      <c r="R388" s="19">
        <f>IF(OR(B388="",K388=""),"",IF(OR(L388="Sent",L388="Picked up"),"Done",IF(L388="Cancelled","Cancelled",IF(K388&lt;TODAY(),"Late by "&amp;(TODAY()-K388)&amp;IF((TODAY()-K388)=1," day"," days"),IF(K388=TODAY(),"Due today","Due in "&amp;(K388-TODAY())&amp;IF((K388-TODAY())=1," day"," days"))))))</f>
        <v/>
      </c>
      <c r="S388" s="33" t="n"/>
      <c r="T388" s="1">
        <f>IF(AND(B388&lt;&gt;"",K388&lt;&gt;"",L388&lt;&gt;"Sent",L388&lt;&gt;"Picked up",L388&lt;&gt;"Cancelled"),K388+ROW()/10000000,"")</f>
        <v/>
      </c>
      <c r="U388">
        <f>IF(OR(B388="",C388=""),"",B388+ROW()/10000000)</f>
        <v/>
      </c>
      <c r="V388">
        <f>IF(U388="","",IF(COUNTIFS(Orders!$C$6:$C$1005,C388,Orders!$U$6:$U$1005,"&gt;"&amp;U388)=0,1,0))</f>
        <v/>
      </c>
      <c r="W388">
        <f>IF(AND(B388&lt;&gt;"",K388&lt;&gt;"",L388&lt;&gt;"Sent",L388&lt;&gt;"Picked up",L388&lt;&gt;"Cancelled"),IF(N(E388)=0,1,E388),0)</f>
        <v/>
      </c>
      <c r="X388">
        <f>IF(OR(B388="",D388=""),"",IF(N(E388)=0,1,E388))</f>
        <v/>
      </c>
    </row>
    <row r="389">
      <c r="A389" s="1" t="n"/>
      <c r="B389" s="31" t="n"/>
      <c r="C389" s="32" t="n"/>
      <c r="D389" s="33" t="n"/>
      <c r="E389" s="34" t="n"/>
      <c r="F389" s="35" t="n"/>
      <c r="G389" s="35" t="n"/>
      <c r="H389" s="30">
        <f>IF(OR(B389="",D389=""),"",IF(N(E389)=0,1,E389)*IFERROR(INDEX(Products!$C$6:$C$105,MATCH(D389,Products!$B$6:$B$105,0)),0)+N(F389)+N(G389))</f>
        <v/>
      </c>
      <c r="I389" s="35" t="n"/>
      <c r="J389" s="30">
        <f>IF(OR(H389="",L389="Cancelled"),"",IF(H389-N(I389)&gt;0.005,H389-N(I389),""))</f>
        <v/>
      </c>
      <c r="K389" s="31" t="n"/>
      <c r="L389" s="36" t="n"/>
      <c r="M389" s="33" t="n"/>
      <c r="N389" s="22">
        <f>IF(OR(H389="",L389="Cancelled"),"",IF(N(E389)=0,1,E389)*IFERROR(INDEX(Products!$E$6:$E$105,MATCH(D389,Products!$B$6:$B$105,0)),0))</f>
        <v/>
      </c>
      <c r="O389" s="35" t="n"/>
      <c r="P389" s="22">
        <f>IF(OR(H389="",L389="Cancelled"),"",ROUND(IFERROR(H389*INDEX(Settings!$C$6:$C$15,MATCH(M389,Settings!$B$6:$B$15,0))+INDEX(Settings!$D$6:$D$15,MATCH(M389,Settings!$B$6:$B$15,0)),0),2))</f>
        <v/>
      </c>
      <c r="Q389" s="28">
        <f>IF(OR(H389="",L389="Cancelled"),"",H389-N(N389)-N(O389)-N(P389))</f>
        <v/>
      </c>
      <c r="R389" s="19">
        <f>IF(OR(B389="",K389=""),"",IF(OR(L389="Sent",L389="Picked up"),"Done",IF(L389="Cancelled","Cancelled",IF(K389&lt;TODAY(),"Late by "&amp;(TODAY()-K389)&amp;IF((TODAY()-K389)=1," day"," days"),IF(K389=TODAY(),"Due today","Due in "&amp;(K389-TODAY())&amp;IF((K389-TODAY())=1," day"," days"))))))</f>
        <v/>
      </c>
      <c r="S389" s="33" t="n"/>
      <c r="T389" s="1">
        <f>IF(AND(B389&lt;&gt;"",K389&lt;&gt;"",L389&lt;&gt;"Sent",L389&lt;&gt;"Picked up",L389&lt;&gt;"Cancelled"),K389+ROW()/10000000,"")</f>
        <v/>
      </c>
      <c r="U389">
        <f>IF(OR(B389="",C389=""),"",B389+ROW()/10000000)</f>
        <v/>
      </c>
      <c r="V389">
        <f>IF(U389="","",IF(COUNTIFS(Orders!$C$6:$C$1005,C389,Orders!$U$6:$U$1005,"&gt;"&amp;U389)=0,1,0))</f>
        <v/>
      </c>
      <c r="W389">
        <f>IF(AND(B389&lt;&gt;"",K389&lt;&gt;"",L389&lt;&gt;"Sent",L389&lt;&gt;"Picked up",L389&lt;&gt;"Cancelled"),IF(N(E389)=0,1,E389),0)</f>
        <v/>
      </c>
      <c r="X389">
        <f>IF(OR(B389="",D389=""),"",IF(N(E389)=0,1,E389))</f>
        <v/>
      </c>
    </row>
    <row r="390">
      <c r="A390" s="1" t="n"/>
      <c r="B390" s="31" t="n"/>
      <c r="C390" s="32" t="n"/>
      <c r="D390" s="33" t="n"/>
      <c r="E390" s="34" t="n"/>
      <c r="F390" s="35" t="n"/>
      <c r="G390" s="35" t="n"/>
      <c r="H390" s="30">
        <f>IF(OR(B390="",D390=""),"",IF(N(E390)=0,1,E390)*IFERROR(INDEX(Products!$C$6:$C$105,MATCH(D390,Products!$B$6:$B$105,0)),0)+N(F390)+N(G390))</f>
        <v/>
      </c>
      <c r="I390" s="35" t="n"/>
      <c r="J390" s="30">
        <f>IF(OR(H390="",L390="Cancelled"),"",IF(H390-N(I390)&gt;0.005,H390-N(I390),""))</f>
        <v/>
      </c>
      <c r="K390" s="31" t="n"/>
      <c r="L390" s="36" t="n"/>
      <c r="M390" s="33" t="n"/>
      <c r="N390" s="22">
        <f>IF(OR(H390="",L390="Cancelled"),"",IF(N(E390)=0,1,E390)*IFERROR(INDEX(Products!$E$6:$E$105,MATCH(D390,Products!$B$6:$B$105,0)),0))</f>
        <v/>
      </c>
      <c r="O390" s="35" t="n"/>
      <c r="P390" s="22">
        <f>IF(OR(H390="",L390="Cancelled"),"",ROUND(IFERROR(H390*INDEX(Settings!$C$6:$C$15,MATCH(M390,Settings!$B$6:$B$15,0))+INDEX(Settings!$D$6:$D$15,MATCH(M390,Settings!$B$6:$B$15,0)),0),2))</f>
        <v/>
      </c>
      <c r="Q390" s="28">
        <f>IF(OR(H390="",L390="Cancelled"),"",H390-N(N390)-N(O390)-N(P390))</f>
        <v/>
      </c>
      <c r="R390" s="19">
        <f>IF(OR(B390="",K390=""),"",IF(OR(L390="Sent",L390="Picked up"),"Done",IF(L390="Cancelled","Cancelled",IF(K390&lt;TODAY(),"Late by "&amp;(TODAY()-K390)&amp;IF((TODAY()-K390)=1," day"," days"),IF(K390=TODAY(),"Due today","Due in "&amp;(K390-TODAY())&amp;IF((K390-TODAY())=1," day"," days"))))))</f>
        <v/>
      </c>
      <c r="S390" s="33" t="n"/>
      <c r="T390" s="1">
        <f>IF(AND(B390&lt;&gt;"",K390&lt;&gt;"",L390&lt;&gt;"Sent",L390&lt;&gt;"Picked up",L390&lt;&gt;"Cancelled"),K390+ROW()/10000000,"")</f>
        <v/>
      </c>
      <c r="U390">
        <f>IF(OR(B390="",C390=""),"",B390+ROW()/10000000)</f>
        <v/>
      </c>
      <c r="V390">
        <f>IF(U390="","",IF(COUNTIFS(Orders!$C$6:$C$1005,C390,Orders!$U$6:$U$1005,"&gt;"&amp;U390)=0,1,0))</f>
        <v/>
      </c>
      <c r="W390">
        <f>IF(AND(B390&lt;&gt;"",K390&lt;&gt;"",L390&lt;&gt;"Sent",L390&lt;&gt;"Picked up",L390&lt;&gt;"Cancelled"),IF(N(E390)=0,1,E390),0)</f>
        <v/>
      </c>
      <c r="X390">
        <f>IF(OR(B390="",D390=""),"",IF(N(E390)=0,1,E390))</f>
        <v/>
      </c>
    </row>
    <row r="391">
      <c r="A391" s="1" t="n"/>
      <c r="B391" s="31" t="n"/>
      <c r="C391" s="32" t="n"/>
      <c r="D391" s="33" t="n"/>
      <c r="E391" s="34" t="n"/>
      <c r="F391" s="35" t="n"/>
      <c r="G391" s="35" t="n"/>
      <c r="H391" s="30">
        <f>IF(OR(B391="",D391=""),"",IF(N(E391)=0,1,E391)*IFERROR(INDEX(Products!$C$6:$C$105,MATCH(D391,Products!$B$6:$B$105,0)),0)+N(F391)+N(G391))</f>
        <v/>
      </c>
      <c r="I391" s="35" t="n"/>
      <c r="J391" s="30">
        <f>IF(OR(H391="",L391="Cancelled"),"",IF(H391-N(I391)&gt;0.005,H391-N(I391),""))</f>
        <v/>
      </c>
      <c r="K391" s="31" t="n"/>
      <c r="L391" s="36" t="n"/>
      <c r="M391" s="33" t="n"/>
      <c r="N391" s="22">
        <f>IF(OR(H391="",L391="Cancelled"),"",IF(N(E391)=0,1,E391)*IFERROR(INDEX(Products!$E$6:$E$105,MATCH(D391,Products!$B$6:$B$105,0)),0))</f>
        <v/>
      </c>
      <c r="O391" s="35" t="n"/>
      <c r="P391" s="22">
        <f>IF(OR(H391="",L391="Cancelled"),"",ROUND(IFERROR(H391*INDEX(Settings!$C$6:$C$15,MATCH(M391,Settings!$B$6:$B$15,0))+INDEX(Settings!$D$6:$D$15,MATCH(M391,Settings!$B$6:$B$15,0)),0),2))</f>
        <v/>
      </c>
      <c r="Q391" s="28">
        <f>IF(OR(H391="",L391="Cancelled"),"",H391-N(N391)-N(O391)-N(P391))</f>
        <v/>
      </c>
      <c r="R391" s="19">
        <f>IF(OR(B391="",K391=""),"",IF(OR(L391="Sent",L391="Picked up"),"Done",IF(L391="Cancelled","Cancelled",IF(K391&lt;TODAY(),"Late by "&amp;(TODAY()-K391)&amp;IF((TODAY()-K391)=1," day"," days"),IF(K391=TODAY(),"Due today","Due in "&amp;(K391-TODAY())&amp;IF((K391-TODAY())=1," day"," days"))))))</f>
        <v/>
      </c>
      <c r="S391" s="33" t="n"/>
      <c r="T391" s="1">
        <f>IF(AND(B391&lt;&gt;"",K391&lt;&gt;"",L391&lt;&gt;"Sent",L391&lt;&gt;"Picked up",L391&lt;&gt;"Cancelled"),K391+ROW()/10000000,"")</f>
        <v/>
      </c>
      <c r="U391">
        <f>IF(OR(B391="",C391=""),"",B391+ROW()/10000000)</f>
        <v/>
      </c>
      <c r="V391">
        <f>IF(U391="","",IF(COUNTIFS(Orders!$C$6:$C$1005,C391,Orders!$U$6:$U$1005,"&gt;"&amp;U391)=0,1,0))</f>
        <v/>
      </c>
      <c r="W391">
        <f>IF(AND(B391&lt;&gt;"",K391&lt;&gt;"",L391&lt;&gt;"Sent",L391&lt;&gt;"Picked up",L391&lt;&gt;"Cancelled"),IF(N(E391)=0,1,E391),0)</f>
        <v/>
      </c>
      <c r="X391">
        <f>IF(OR(B391="",D391=""),"",IF(N(E391)=0,1,E391))</f>
        <v/>
      </c>
    </row>
    <row r="392">
      <c r="A392" s="1" t="n"/>
      <c r="B392" s="31" t="n"/>
      <c r="C392" s="32" t="n"/>
      <c r="D392" s="33" t="n"/>
      <c r="E392" s="34" t="n"/>
      <c r="F392" s="35" t="n"/>
      <c r="G392" s="35" t="n"/>
      <c r="H392" s="30">
        <f>IF(OR(B392="",D392=""),"",IF(N(E392)=0,1,E392)*IFERROR(INDEX(Products!$C$6:$C$105,MATCH(D392,Products!$B$6:$B$105,0)),0)+N(F392)+N(G392))</f>
        <v/>
      </c>
      <c r="I392" s="35" t="n"/>
      <c r="J392" s="30">
        <f>IF(OR(H392="",L392="Cancelled"),"",IF(H392-N(I392)&gt;0.005,H392-N(I392),""))</f>
        <v/>
      </c>
      <c r="K392" s="31" t="n"/>
      <c r="L392" s="36" t="n"/>
      <c r="M392" s="33" t="n"/>
      <c r="N392" s="22">
        <f>IF(OR(H392="",L392="Cancelled"),"",IF(N(E392)=0,1,E392)*IFERROR(INDEX(Products!$E$6:$E$105,MATCH(D392,Products!$B$6:$B$105,0)),0))</f>
        <v/>
      </c>
      <c r="O392" s="35" t="n"/>
      <c r="P392" s="22">
        <f>IF(OR(H392="",L392="Cancelled"),"",ROUND(IFERROR(H392*INDEX(Settings!$C$6:$C$15,MATCH(M392,Settings!$B$6:$B$15,0))+INDEX(Settings!$D$6:$D$15,MATCH(M392,Settings!$B$6:$B$15,0)),0),2))</f>
        <v/>
      </c>
      <c r="Q392" s="28">
        <f>IF(OR(H392="",L392="Cancelled"),"",H392-N(N392)-N(O392)-N(P392))</f>
        <v/>
      </c>
      <c r="R392" s="19">
        <f>IF(OR(B392="",K392=""),"",IF(OR(L392="Sent",L392="Picked up"),"Done",IF(L392="Cancelled","Cancelled",IF(K392&lt;TODAY(),"Late by "&amp;(TODAY()-K392)&amp;IF((TODAY()-K392)=1," day"," days"),IF(K392=TODAY(),"Due today","Due in "&amp;(K392-TODAY())&amp;IF((K392-TODAY())=1," day"," days"))))))</f>
        <v/>
      </c>
      <c r="S392" s="33" t="n"/>
      <c r="T392" s="1">
        <f>IF(AND(B392&lt;&gt;"",K392&lt;&gt;"",L392&lt;&gt;"Sent",L392&lt;&gt;"Picked up",L392&lt;&gt;"Cancelled"),K392+ROW()/10000000,"")</f>
        <v/>
      </c>
      <c r="U392">
        <f>IF(OR(B392="",C392=""),"",B392+ROW()/10000000)</f>
        <v/>
      </c>
      <c r="V392">
        <f>IF(U392="","",IF(COUNTIFS(Orders!$C$6:$C$1005,C392,Orders!$U$6:$U$1005,"&gt;"&amp;U392)=0,1,0))</f>
        <v/>
      </c>
      <c r="W392">
        <f>IF(AND(B392&lt;&gt;"",K392&lt;&gt;"",L392&lt;&gt;"Sent",L392&lt;&gt;"Picked up",L392&lt;&gt;"Cancelled"),IF(N(E392)=0,1,E392),0)</f>
        <v/>
      </c>
      <c r="X392">
        <f>IF(OR(B392="",D392=""),"",IF(N(E392)=0,1,E392))</f>
        <v/>
      </c>
    </row>
    <row r="393">
      <c r="A393" s="1" t="n"/>
      <c r="B393" s="31" t="n"/>
      <c r="C393" s="32" t="n"/>
      <c r="D393" s="33" t="n"/>
      <c r="E393" s="34" t="n"/>
      <c r="F393" s="35" t="n"/>
      <c r="G393" s="35" t="n"/>
      <c r="H393" s="30">
        <f>IF(OR(B393="",D393=""),"",IF(N(E393)=0,1,E393)*IFERROR(INDEX(Products!$C$6:$C$105,MATCH(D393,Products!$B$6:$B$105,0)),0)+N(F393)+N(G393))</f>
        <v/>
      </c>
      <c r="I393" s="35" t="n"/>
      <c r="J393" s="30">
        <f>IF(OR(H393="",L393="Cancelled"),"",IF(H393-N(I393)&gt;0.005,H393-N(I393),""))</f>
        <v/>
      </c>
      <c r="K393" s="31" t="n"/>
      <c r="L393" s="36" t="n"/>
      <c r="M393" s="33" t="n"/>
      <c r="N393" s="22">
        <f>IF(OR(H393="",L393="Cancelled"),"",IF(N(E393)=0,1,E393)*IFERROR(INDEX(Products!$E$6:$E$105,MATCH(D393,Products!$B$6:$B$105,0)),0))</f>
        <v/>
      </c>
      <c r="O393" s="35" t="n"/>
      <c r="P393" s="22">
        <f>IF(OR(H393="",L393="Cancelled"),"",ROUND(IFERROR(H393*INDEX(Settings!$C$6:$C$15,MATCH(M393,Settings!$B$6:$B$15,0))+INDEX(Settings!$D$6:$D$15,MATCH(M393,Settings!$B$6:$B$15,0)),0),2))</f>
        <v/>
      </c>
      <c r="Q393" s="28">
        <f>IF(OR(H393="",L393="Cancelled"),"",H393-N(N393)-N(O393)-N(P393))</f>
        <v/>
      </c>
      <c r="R393" s="19">
        <f>IF(OR(B393="",K393=""),"",IF(OR(L393="Sent",L393="Picked up"),"Done",IF(L393="Cancelled","Cancelled",IF(K393&lt;TODAY(),"Late by "&amp;(TODAY()-K393)&amp;IF((TODAY()-K393)=1," day"," days"),IF(K393=TODAY(),"Due today","Due in "&amp;(K393-TODAY())&amp;IF((K393-TODAY())=1," day"," days"))))))</f>
        <v/>
      </c>
      <c r="S393" s="33" t="n"/>
      <c r="T393" s="1">
        <f>IF(AND(B393&lt;&gt;"",K393&lt;&gt;"",L393&lt;&gt;"Sent",L393&lt;&gt;"Picked up",L393&lt;&gt;"Cancelled"),K393+ROW()/10000000,"")</f>
        <v/>
      </c>
      <c r="U393">
        <f>IF(OR(B393="",C393=""),"",B393+ROW()/10000000)</f>
        <v/>
      </c>
      <c r="V393">
        <f>IF(U393="","",IF(COUNTIFS(Orders!$C$6:$C$1005,C393,Orders!$U$6:$U$1005,"&gt;"&amp;U393)=0,1,0))</f>
        <v/>
      </c>
      <c r="W393">
        <f>IF(AND(B393&lt;&gt;"",K393&lt;&gt;"",L393&lt;&gt;"Sent",L393&lt;&gt;"Picked up",L393&lt;&gt;"Cancelled"),IF(N(E393)=0,1,E393),0)</f>
        <v/>
      </c>
      <c r="X393">
        <f>IF(OR(B393="",D393=""),"",IF(N(E393)=0,1,E393))</f>
        <v/>
      </c>
    </row>
    <row r="394">
      <c r="A394" s="1" t="n"/>
      <c r="B394" s="31" t="n"/>
      <c r="C394" s="32" t="n"/>
      <c r="D394" s="33" t="n"/>
      <c r="E394" s="34" t="n"/>
      <c r="F394" s="35" t="n"/>
      <c r="G394" s="35" t="n"/>
      <c r="H394" s="30">
        <f>IF(OR(B394="",D394=""),"",IF(N(E394)=0,1,E394)*IFERROR(INDEX(Products!$C$6:$C$105,MATCH(D394,Products!$B$6:$B$105,0)),0)+N(F394)+N(G394))</f>
        <v/>
      </c>
      <c r="I394" s="35" t="n"/>
      <c r="J394" s="30">
        <f>IF(OR(H394="",L394="Cancelled"),"",IF(H394-N(I394)&gt;0.005,H394-N(I394),""))</f>
        <v/>
      </c>
      <c r="K394" s="31" t="n"/>
      <c r="L394" s="36" t="n"/>
      <c r="M394" s="33" t="n"/>
      <c r="N394" s="22">
        <f>IF(OR(H394="",L394="Cancelled"),"",IF(N(E394)=0,1,E394)*IFERROR(INDEX(Products!$E$6:$E$105,MATCH(D394,Products!$B$6:$B$105,0)),0))</f>
        <v/>
      </c>
      <c r="O394" s="35" t="n"/>
      <c r="P394" s="22">
        <f>IF(OR(H394="",L394="Cancelled"),"",ROUND(IFERROR(H394*INDEX(Settings!$C$6:$C$15,MATCH(M394,Settings!$B$6:$B$15,0))+INDEX(Settings!$D$6:$D$15,MATCH(M394,Settings!$B$6:$B$15,0)),0),2))</f>
        <v/>
      </c>
      <c r="Q394" s="28">
        <f>IF(OR(H394="",L394="Cancelled"),"",H394-N(N394)-N(O394)-N(P394))</f>
        <v/>
      </c>
      <c r="R394" s="19">
        <f>IF(OR(B394="",K394=""),"",IF(OR(L394="Sent",L394="Picked up"),"Done",IF(L394="Cancelled","Cancelled",IF(K394&lt;TODAY(),"Late by "&amp;(TODAY()-K394)&amp;IF((TODAY()-K394)=1," day"," days"),IF(K394=TODAY(),"Due today","Due in "&amp;(K394-TODAY())&amp;IF((K394-TODAY())=1," day"," days"))))))</f>
        <v/>
      </c>
      <c r="S394" s="33" t="n"/>
      <c r="T394" s="1">
        <f>IF(AND(B394&lt;&gt;"",K394&lt;&gt;"",L394&lt;&gt;"Sent",L394&lt;&gt;"Picked up",L394&lt;&gt;"Cancelled"),K394+ROW()/10000000,"")</f>
        <v/>
      </c>
      <c r="U394">
        <f>IF(OR(B394="",C394=""),"",B394+ROW()/10000000)</f>
        <v/>
      </c>
      <c r="V394">
        <f>IF(U394="","",IF(COUNTIFS(Orders!$C$6:$C$1005,C394,Orders!$U$6:$U$1005,"&gt;"&amp;U394)=0,1,0))</f>
        <v/>
      </c>
      <c r="W394">
        <f>IF(AND(B394&lt;&gt;"",K394&lt;&gt;"",L394&lt;&gt;"Sent",L394&lt;&gt;"Picked up",L394&lt;&gt;"Cancelled"),IF(N(E394)=0,1,E394),0)</f>
        <v/>
      </c>
      <c r="X394">
        <f>IF(OR(B394="",D394=""),"",IF(N(E394)=0,1,E394))</f>
        <v/>
      </c>
    </row>
    <row r="395">
      <c r="A395" s="1" t="n"/>
      <c r="B395" s="31" t="n"/>
      <c r="C395" s="32" t="n"/>
      <c r="D395" s="33" t="n"/>
      <c r="E395" s="34" t="n"/>
      <c r="F395" s="35" t="n"/>
      <c r="G395" s="35" t="n"/>
      <c r="H395" s="30">
        <f>IF(OR(B395="",D395=""),"",IF(N(E395)=0,1,E395)*IFERROR(INDEX(Products!$C$6:$C$105,MATCH(D395,Products!$B$6:$B$105,0)),0)+N(F395)+N(G395))</f>
        <v/>
      </c>
      <c r="I395" s="35" t="n"/>
      <c r="J395" s="30">
        <f>IF(OR(H395="",L395="Cancelled"),"",IF(H395-N(I395)&gt;0.005,H395-N(I395),""))</f>
        <v/>
      </c>
      <c r="K395" s="31" t="n"/>
      <c r="L395" s="36" t="n"/>
      <c r="M395" s="33" t="n"/>
      <c r="N395" s="22">
        <f>IF(OR(H395="",L395="Cancelled"),"",IF(N(E395)=0,1,E395)*IFERROR(INDEX(Products!$E$6:$E$105,MATCH(D395,Products!$B$6:$B$105,0)),0))</f>
        <v/>
      </c>
      <c r="O395" s="35" t="n"/>
      <c r="P395" s="22">
        <f>IF(OR(H395="",L395="Cancelled"),"",ROUND(IFERROR(H395*INDEX(Settings!$C$6:$C$15,MATCH(M395,Settings!$B$6:$B$15,0))+INDEX(Settings!$D$6:$D$15,MATCH(M395,Settings!$B$6:$B$15,0)),0),2))</f>
        <v/>
      </c>
      <c r="Q395" s="28">
        <f>IF(OR(H395="",L395="Cancelled"),"",H395-N(N395)-N(O395)-N(P395))</f>
        <v/>
      </c>
      <c r="R395" s="19">
        <f>IF(OR(B395="",K395=""),"",IF(OR(L395="Sent",L395="Picked up"),"Done",IF(L395="Cancelled","Cancelled",IF(K395&lt;TODAY(),"Late by "&amp;(TODAY()-K395)&amp;IF((TODAY()-K395)=1," day"," days"),IF(K395=TODAY(),"Due today","Due in "&amp;(K395-TODAY())&amp;IF((K395-TODAY())=1," day"," days"))))))</f>
        <v/>
      </c>
      <c r="S395" s="33" t="n"/>
      <c r="T395" s="1">
        <f>IF(AND(B395&lt;&gt;"",K395&lt;&gt;"",L395&lt;&gt;"Sent",L395&lt;&gt;"Picked up",L395&lt;&gt;"Cancelled"),K395+ROW()/10000000,"")</f>
        <v/>
      </c>
      <c r="U395">
        <f>IF(OR(B395="",C395=""),"",B395+ROW()/10000000)</f>
        <v/>
      </c>
      <c r="V395">
        <f>IF(U395="","",IF(COUNTIFS(Orders!$C$6:$C$1005,C395,Orders!$U$6:$U$1005,"&gt;"&amp;U395)=0,1,0))</f>
        <v/>
      </c>
      <c r="W395">
        <f>IF(AND(B395&lt;&gt;"",K395&lt;&gt;"",L395&lt;&gt;"Sent",L395&lt;&gt;"Picked up",L395&lt;&gt;"Cancelled"),IF(N(E395)=0,1,E395),0)</f>
        <v/>
      </c>
      <c r="X395">
        <f>IF(OR(B395="",D395=""),"",IF(N(E395)=0,1,E395))</f>
        <v/>
      </c>
    </row>
    <row r="396">
      <c r="A396" s="1" t="n"/>
      <c r="B396" s="31" t="n"/>
      <c r="C396" s="32" t="n"/>
      <c r="D396" s="33" t="n"/>
      <c r="E396" s="34" t="n"/>
      <c r="F396" s="35" t="n"/>
      <c r="G396" s="35" t="n"/>
      <c r="H396" s="30">
        <f>IF(OR(B396="",D396=""),"",IF(N(E396)=0,1,E396)*IFERROR(INDEX(Products!$C$6:$C$105,MATCH(D396,Products!$B$6:$B$105,0)),0)+N(F396)+N(G396))</f>
        <v/>
      </c>
      <c r="I396" s="35" t="n"/>
      <c r="J396" s="30">
        <f>IF(OR(H396="",L396="Cancelled"),"",IF(H396-N(I396)&gt;0.005,H396-N(I396),""))</f>
        <v/>
      </c>
      <c r="K396" s="31" t="n"/>
      <c r="L396" s="36" t="n"/>
      <c r="M396" s="33" t="n"/>
      <c r="N396" s="22">
        <f>IF(OR(H396="",L396="Cancelled"),"",IF(N(E396)=0,1,E396)*IFERROR(INDEX(Products!$E$6:$E$105,MATCH(D396,Products!$B$6:$B$105,0)),0))</f>
        <v/>
      </c>
      <c r="O396" s="35" t="n"/>
      <c r="P396" s="22">
        <f>IF(OR(H396="",L396="Cancelled"),"",ROUND(IFERROR(H396*INDEX(Settings!$C$6:$C$15,MATCH(M396,Settings!$B$6:$B$15,0))+INDEX(Settings!$D$6:$D$15,MATCH(M396,Settings!$B$6:$B$15,0)),0),2))</f>
        <v/>
      </c>
      <c r="Q396" s="28">
        <f>IF(OR(H396="",L396="Cancelled"),"",H396-N(N396)-N(O396)-N(P396))</f>
        <v/>
      </c>
      <c r="R396" s="19">
        <f>IF(OR(B396="",K396=""),"",IF(OR(L396="Sent",L396="Picked up"),"Done",IF(L396="Cancelled","Cancelled",IF(K396&lt;TODAY(),"Late by "&amp;(TODAY()-K396)&amp;IF((TODAY()-K396)=1," day"," days"),IF(K396=TODAY(),"Due today","Due in "&amp;(K396-TODAY())&amp;IF((K396-TODAY())=1," day"," days"))))))</f>
        <v/>
      </c>
      <c r="S396" s="33" t="n"/>
      <c r="T396" s="1">
        <f>IF(AND(B396&lt;&gt;"",K396&lt;&gt;"",L396&lt;&gt;"Sent",L396&lt;&gt;"Picked up",L396&lt;&gt;"Cancelled"),K396+ROW()/10000000,"")</f>
        <v/>
      </c>
      <c r="U396">
        <f>IF(OR(B396="",C396=""),"",B396+ROW()/10000000)</f>
        <v/>
      </c>
      <c r="V396">
        <f>IF(U396="","",IF(COUNTIFS(Orders!$C$6:$C$1005,C396,Orders!$U$6:$U$1005,"&gt;"&amp;U396)=0,1,0))</f>
        <v/>
      </c>
      <c r="W396">
        <f>IF(AND(B396&lt;&gt;"",K396&lt;&gt;"",L396&lt;&gt;"Sent",L396&lt;&gt;"Picked up",L396&lt;&gt;"Cancelled"),IF(N(E396)=0,1,E396),0)</f>
        <v/>
      </c>
      <c r="X396">
        <f>IF(OR(B396="",D396=""),"",IF(N(E396)=0,1,E396))</f>
        <v/>
      </c>
    </row>
    <row r="397">
      <c r="A397" s="1" t="n"/>
      <c r="B397" s="31" t="n"/>
      <c r="C397" s="32" t="n"/>
      <c r="D397" s="33" t="n"/>
      <c r="E397" s="34" t="n"/>
      <c r="F397" s="35" t="n"/>
      <c r="G397" s="35" t="n"/>
      <c r="H397" s="30">
        <f>IF(OR(B397="",D397=""),"",IF(N(E397)=0,1,E397)*IFERROR(INDEX(Products!$C$6:$C$105,MATCH(D397,Products!$B$6:$B$105,0)),0)+N(F397)+N(G397))</f>
        <v/>
      </c>
      <c r="I397" s="35" t="n"/>
      <c r="J397" s="30">
        <f>IF(OR(H397="",L397="Cancelled"),"",IF(H397-N(I397)&gt;0.005,H397-N(I397),""))</f>
        <v/>
      </c>
      <c r="K397" s="31" t="n"/>
      <c r="L397" s="36" t="n"/>
      <c r="M397" s="33" t="n"/>
      <c r="N397" s="22">
        <f>IF(OR(H397="",L397="Cancelled"),"",IF(N(E397)=0,1,E397)*IFERROR(INDEX(Products!$E$6:$E$105,MATCH(D397,Products!$B$6:$B$105,0)),0))</f>
        <v/>
      </c>
      <c r="O397" s="35" t="n"/>
      <c r="P397" s="22">
        <f>IF(OR(H397="",L397="Cancelled"),"",ROUND(IFERROR(H397*INDEX(Settings!$C$6:$C$15,MATCH(M397,Settings!$B$6:$B$15,0))+INDEX(Settings!$D$6:$D$15,MATCH(M397,Settings!$B$6:$B$15,0)),0),2))</f>
        <v/>
      </c>
      <c r="Q397" s="28">
        <f>IF(OR(H397="",L397="Cancelled"),"",H397-N(N397)-N(O397)-N(P397))</f>
        <v/>
      </c>
      <c r="R397" s="19">
        <f>IF(OR(B397="",K397=""),"",IF(OR(L397="Sent",L397="Picked up"),"Done",IF(L397="Cancelled","Cancelled",IF(K397&lt;TODAY(),"Late by "&amp;(TODAY()-K397)&amp;IF((TODAY()-K397)=1," day"," days"),IF(K397=TODAY(),"Due today","Due in "&amp;(K397-TODAY())&amp;IF((K397-TODAY())=1," day"," days"))))))</f>
        <v/>
      </c>
      <c r="S397" s="33" t="n"/>
      <c r="T397" s="1">
        <f>IF(AND(B397&lt;&gt;"",K397&lt;&gt;"",L397&lt;&gt;"Sent",L397&lt;&gt;"Picked up",L397&lt;&gt;"Cancelled"),K397+ROW()/10000000,"")</f>
        <v/>
      </c>
      <c r="U397">
        <f>IF(OR(B397="",C397=""),"",B397+ROW()/10000000)</f>
        <v/>
      </c>
      <c r="V397">
        <f>IF(U397="","",IF(COUNTIFS(Orders!$C$6:$C$1005,C397,Orders!$U$6:$U$1005,"&gt;"&amp;U397)=0,1,0))</f>
        <v/>
      </c>
      <c r="W397">
        <f>IF(AND(B397&lt;&gt;"",K397&lt;&gt;"",L397&lt;&gt;"Sent",L397&lt;&gt;"Picked up",L397&lt;&gt;"Cancelled"),IF(N(E397)=0,1,E397),0)</f>
        <v/>
      </c>
      <c r="X397">
        <f>IF(OR(B397="",D397=""),"",IF(N(E397)=0,1,E397))</f>
        <v/>
      </c>
    </row>
    <row r="398">
      <c r="A398" s="1" t="n"/>
      <c r="B398" s="31" t="n"/>
      <c r="C398" s="32" t="n"/>
      <c r="D398" s="33" t="n"/>
      <c r="E398" s="34" t="n"/>
      <c r="F398" s="35" t="n"/>
      <c r="G398" s="35" t="n"/>
      <c r="H398" s="30">
        <f>IF(OR(B398="",D398=""),"",IF(N(E398)=0,1,E398)*IFERROR(INDEX(Products!$C$6:$C$105,MATCH(D398,Products!$B$6:$B$105,0)),0)+N(F398)+N(G398))</f>
        <v/>
      </c>
      <c r="I398" s="35" t="n"/>
      <c r="J398" s="30">
        <f>IF(OR(H398="",L398="Cancelled"),"",IF(H398-N(I398)&gt;0.005,H398-N(I398),""))</f>
        <v/>
      </c>
      <c r="K398" s="31" t="n"/>
      <c r="L398" s="36" t="n"/>
      <c r="M398" s="33" t="n"/>
      <c r="N398" s="22">
        <f>IF(OR(H398="",L398="Cancelled"),"",IF(N(E398)=0,1,E398)*IFERROR(INDEX(Products!$E$6:$E$105,MATCH(D398,Products!$B$6:$B$105,0)),0))</f>
        <v/>
      </c>
      <c r="O398" s="35" t="n"/>
      <c r="P398" s="22">
        <f>IF(OR(H398="",L398="Cancelled"),"",ROUND(IFERROR(H398*INDEX(Settings!$C$6:$C$15,MATCH(M398,Settings!$B$6:$B$15,0))+INDEX(Settings!$D$6:$D$15,MATCH(M398,Settings!$B$6:$B$15,0)),0),2))</f>
        <v/>
      </c>
      <c r="Q398" s="28">
        <f>IF(OR(H398="",L398="Cancelled"),"",H398-N(N398)-N(O398)-N(P398))</f>
        <v/>
      </c>
      <c r="R398" s="19">
        <f>IF(OR(B398="",K398=""),"",IF(OR(L398="Sent",L398="Picked up"),"Done",IF(L398="Cancelled","Cancelled",IF(K398&lt;TODAY(),"Late by "&amp;(TODAY()-K398)&amp;IF((TODAY()-K398)=1," day"," days"),IF(K398=TODAY(),"Due today","Due in "&amp;(K398-TODAY())&amp;IF((K398-TODAY())=1," day"," days"))))))</f>
        <v/>
      </c>
      <c r="S398" s="33" t="n"/>
      <c r="T398" s="1">
        <f>IF(AND(B398&lt;&gt;"",K398&lt;&gt;"",L398&lt;&gt;"Sent",L398&lt;&gt;"Picked up",L398&lt;&gt;"Cancelled"),K398+ROW()/10000000,"")</f>
        <v/>
      </c>
      <c r="U398">
        <f>IF(OR(B398="",C398=""),"",B398+ROW()/10000000)</f>
        <v/>
      </c>
      <c r="V398">
        <f>IF(U398="","",IF(COUNTIFS(Orders!$C$6:$C$1005,C398,Orders!$U$6:$U$1005,"&gt;"&amp;U398)=0,1,0))</f>
        <v/>
      </c>
      <c r="W398">
        <f>IF(AND(B398&lt;&gt;"",K398&lt;&gt;"",L398&lt;&gt;"Sent",L398&lt;&gt;"Picked up",L398&lt;&gt;"Cancelled"),IF(N(E398)=0,1,E398),0)</f>
        <v/>
      </c>
      <c r="X398">
        <f>IF(OR(B398="",D398=""),"",IF(N(E398)=0,1,E398))</f>
        <v/>
      </c>
    </row>
    <row r="399">
      <c r="A399" s="1" t="n"/>
      <c r="B399" s="31" t="n"/>
      <c r="C399" s="32" t="n"/>
      <c r="D399" s="33" t="n"/>
      <c r="E399" s="34" t="n"/>
      <c r="F399" s="35" t="n"/>
      <c r="G399" s="35" t="n"/>
      <c r="H399" s="30">
        <f>IF(OR(B399="",D399=""),"",IF(N(E399)=0,1,E399)*IFERROR(INDEX(Products!$C$6:$C$105,MATCH(D399,Products!$B$6:$B$105,0)),0)+N(F399)+N(G399))</f>
        <v/>
      </c>
      <c r="I399" s="35" t="n"/>
      <c r="J399" s="30">
        <f>IF(OR(H399="",L399="Cancelled"),"",IF(H399-N(I399)&gt;0.005,H399-N(I399),""))</f>
        <v/>
      </c>
      <c r="K399" s="31" t="n"/>
      <c r="L399" s="36" t="n"/>
      <c r="M399" s="33" t="n"/>
      <c r="N399" s="22">
        <f>IF(OR(H399="",L399="Cancelled"),"",IF(N(E399)=0,1,E399)*IFERROR(INDEX(Products!$E$6:$E$105,MATCH(D399,Products!$B$6:$B$105,0)),0))</f>
        <v/>
      </c>
      <c r="O399" s="35" t="n"/>
      <c r="P399" s="22">
        <f>IF(OR(H399="",L399="Cancelled"),"",ROUND(IFERROR(H399*INDEX(Settings!$C$6:$C$15,MATCH(M399,Settings!$B$6:$B$15,0))+INDEX(Settings!$D$6:$D$15,MATCH(M399,Settings!$B$6:$B$15,0)),0),2))</f>
        <v/>
      </c>
      <c r="Q399" s="28">
        <f>IF(OR(H399="",L399="Cancelled"),"",H399-N(N399)-N(O399)-N(P399))</f>
        <v/>
      </c>
      <c r="R399" s="19">
        <f>IF(OR(B399="",K399=""),"",IF(OR(L399="Sent",L399="Picked up"),"Done",IF(L399="Cancelled","Cancelled",IF(K399&lt;TODAY(),"Late by "&amp;(TODAY()-K399)&amp;IF((TODAY()-K399)=1," day"," days"),IF(K399=TODAY(),"Due today","Due in "&amp;(K399-TODAY())&amp;IF((K399-TODAY())=1," day"," days"))))))</f>
        <v/>
      </c>
      <c r="S399" s="33" t="n"/>
      <c r="T399" s="1">
        <f>IF(AND(B399&lt;&gt;"",K399&lt;&gt;"",L399&lt;&gt;"Sent",L399&lt;&gt;"Picked up",L399&lt;&gt;"Cancelled"),K399+ROW()/10000000,"")</f>
        <v/>
      </c>
      <c r="U399">
        <f>IF(OR(B399="",C399=""),"",B399+ROW()/10000000)</f>
        <v/>
      </c>
      <c r="V399">
        <f>IF(U399="","",IF(COUNTIFS(Orders!$C$6:$C$1005,C399,Orders!$U$6:$U$1005,"&gt;"&amp;U399)=0,1,0))</f>
        <v/>
      </c>
      <c r="W399">
        <f>IF(AND(B399&lt;&gt;"",K399&lt;&gt;"",L399&lt;&gt;"Sent",L399&lt;&gt;"Picked up",L399&lt;&gt;"Cancelled"),IF(N(E399)=0,1,E399),0)</f>
        <v/>
      </c>
      <c r="X399">
        <f>IF(OR(B399="",D399=""),"",IF(N(E399)=0,1,E399))</f>
        <v/>
      </c>
    </row>
    <row r="400">
      <c r="A400" s="1" t="n"/>
      <c r="B400" s="31" t="n"/>
      <c r="C400" s="32" t="n"/>
      <c r="D400" s="33" t="n"/>
      <c r="E400" s="34" t="n"/>
      <c r="F400" s="35" t="n"/>
      <c r="G400" s="35" t="n"/>
      <c r="H400" s="30">
        <f>IF(OR(B400="",D400=""),"",IF(N(E400)=0,1,E400)*IFERROR(INDEX(Products!$C$6:$C$105,MATCH(D400,Products!$B$6:$B$105,0)),0)+N(F400)+N(G400))</f>
        <v/>
      </c>
      <c r="I400" s="35" t="n"/>
      <c r="J400" s="30">
        <f>IF(OR(H400="",L400="Cancelled"),"",IF(H400-N(I400)&gt;0.005,H400-N(I400),""))</f>
        <v/>
      </c>
      <c r="K400" s="31" t="n"/>
      <c r="L400" s="36" t="n"/>
      <c r="M400" s="33" t="n"/>
      <c r="N400" s="22">
        <f>IF(OR(H400="",L400="Cancelled"),"",IF(N(E400)=0,1,E400)*IFERROR(INDEX(Products!$E$6:$E$105,MATCH(D400,Products!$B$6:$B$105,0)),0))</f>
        <v/>
      </c>
      <c r="O400" s="35" t="n"/>
      <c r="P400" s="22">
        <f>IF(OR(H400="",L400="Cancelled"),"",ROUND(IFERROR(H400*INDEX(Settings!$C$6:$C$15,MATCH(M400,Settings!$B$6:$B$15,0))+INDEX(Settings!$D$6:$D$15,MATCH(M400,Settings!$B$6:$B$15,0)),0),2))</f>
        <v/>
      </c>
      <c r="Q400" s="28">
        <f>IF(OR(H400="",L400="Cancelled"),"",H400-N(N400)-N(O400)-N(P400))</f>
        <v/>
      </c>
      <c r="R400" s="19">
        <f>IF(OR(B400="",K400=""),"",IF(OR(L400="Sent",L400="Picked up"),"Done",IF(L400="Cancelled","Cancelled",IF(K400&lt;TODAY(),"Late by "&amp;(TODAY()-K400)&amp;IF((TODAY()-K400)=1," day"," days"),IF(K400=TODAY(),"Due today","Due in "&amp;(K400-TODAY())&amp;IF((K400-TODAY())=1," day"," days"))))))</f>
        <v/>
      </c>
      <c r="S400" s="33" t="n"/>
      <c r="T400" s="1">
        <f>IF(AND(B400&lt;&gt;"",K400&lt;&gt;"",L400&lt;&gt;"Sent",L400&lt;&gt;"Picked up",L400&lt;&gt;"Cancelled"),K400+ROW()/10000000,"")</f>
        <v/>
      </c>
      <c r="U400">
        <f>IF(OR(B400="",C400=""),"",B400+ROW()/10000000)</f>
        <v/>
      </c>
      <c r="V400">
        <f>IF(U400="","",IF(COUNTIFS(Orders!$C$6:$C$1005,C400,Orders!$U$6:$U$1005,"&gt;"&amp;U400)=0,1,0))</f>
        <v/>
      </c>
      <c r="W400">
        <f>IF(AND(B400&lt;&gt;"",K400&lt;&gt;"",L400&lt;&gt;"Sent",L400&lt;&gt;"Picked up",L400&lt;&gt;"Cancelled"),IF(N(E400)=0,1,E400),0)</f>
        <v/>
      </c>
      <c r="X400">
        <f>IF(OR(B400="",D400=""),"",IF(N(E400)=0,1,E400))</f>
        <v/>
      </c>
    </row>
    <row r="401">
      <c r="A401" s="1" t="n"/>
      <c r="B401" s="31" t="n"/>
      <c r="C401" s="32" t="n"/>
      <c r="D401" s="33" t="n"/>
      <c r="E401" s="34" t="n"/>
      <c r="F401" s="35" t="n"/>
      <c r="G401" s="35" t="n"/>
      <c r="H401" s="30">
        <f>IF(OR(B401="",D401=""),"",IF(N(E401)=0,1,E401)*IFERROR(INDEX(Products!$C$6:$C$105,MATCH(D401,Products!$B$6:$B$105,0)),0)+N(F401)+N(G401))</f>
        <v/>
      </c>
      <c r="I401" s="35" t="n"/>
      <c r="J401" s="30">
        <f>IF(OR(H401="",L401="Cancelled"),"",IF(H401-N(I401)&gt;0.005,H401-N(I401),""))</f>
        <v/>
      </c>
      <c r="K401" s="31" t="n"/>
      <c r="L401" s="36" t="n"/>
      <c r="M401" s="33" t="n"/>
      <c r="N401" s="22">
        <f>IF(OR(H401="",L401="Cancelled"),"",IF(N(E401)=0,1,E401)*IFERROR(INDEX(Products!$E$6:$E$105,MATCH(D401,Products!$B$6:$B$105,0)),0))</f>
        <v/>
      </c>
      <c r="O401" s="35" t="n"/>
      <c r="P401" s="22">
        <f>IF(OR(H401="",L401="Cancelled"),"",ROUND(IFERROR(H401*INDEX(Settings!$C$6:$C$15,MATCH(M401,Settings!$B$6:$B$15,0))+INDEX(Settings!$D$6:$D$15,MATCH(M401,Settings!$B$6:$B$15,0)),0),2))</f>
        <v/>
      </c>
      <c r="Q401" s="28">
        <f>IF(OR(H401="",L401="Cancelled"),"",H401-N(N401)-N(O401)-N(P401))</f>
        <v/>
      </c>
      <c r="R401" s="19">
        <f>IF(OR(B401="",K401=""),"",IF(OR(L401="Sent",L401="Picked up"),"Done",IF(L401="Cancelled","Cancelled",IF(K401&lt;TODAY(),"Late by "&amp;(TODAY()-K401)&amp;IF((TODAY()-K401)=1," day"," days"),IF(K401=TODAY(),"Due today","Due in "&amp;(K401-TODAY())&amp;IF((K401-TODAY())=1," day"," days"))))))</f>
        <v/>
      </c>
      <c r="S401" s="33" t="n"/>
      <c r="T401" s="1">
        <f>IF(AND(B401&lt;&gt;"",K401&lt;&gt;"",L401&lt;&gt;"Sent",L401&lt;&gt;"Picked up",L401&lt;&gt;"Cancelled"),K401+ROW()/10000000,"")</f>
        <v/>
      </c>
      <c r="U401">
        <f>IF(OR(B401="",C401=""),"",B401+ROW()/10000000)</f>
        <v/>
      </c>
      <c r="V401">
        <f>IF(U401="","",IF(COUNTIFS(Orders!$C$6:$C$1005,C401,Orders!$U$6:$U$1005,"&gt;"&amp;U401)=0,1,0))</f>
        <v/>
      </c>
      <c r="W401">
        <f>IF(AND(B401&lt;&gt;"",K401&lt;&gt;"",L401&lt;&gt;"Sent",L401&lt;&gt;"Picked up",L401&lt;&gt;"Cancelled"),IF(N(E401)=0,1,E401),0)</f>
        <v/>
      </c>
      <c r="X401">
        <f>IF(OR(B401="",D401=""),"",IF(N(E401)=0,1,E401))</f>
        <v/>
      </c>
    </row>
    <row r="402">
      <c r="A402" s="1" t="n"/>
      <c r="B402" s="31" t="n"/>
      <c r="C402" s="32" t="n"/>
      <c r="D402" s="33" t="n"/>
      <c r="E402" s="34" t="n"/>
      <c r="F402" s="35" t="n"/>
      <c r="G402" s="35" t="n"/>
      <c r="H402" s="30">
        <f>IF(OR(B402="",D402=""),"",IF(N(E402)=0,1,E402)*IFERROR(INDEX(Products!$C$6:$C$105,MATCH(D402,Products!$B$6:$B$105,0)),0)+N(F402)+N(G402))</f>
        <v/>
      </c>
      <c r="I402" s="35" t="n"/>
      <c r="J402" s="30">
        <f>IF(OR(H402="",L402="Cancelled"),"",IF(H402-N(I402)&gt;0.005,H402-N(I402),""))</f>
        <v/>
      </c>
      <c r="K402" s="31" t="n"/>
      <c r="L402" s="36" t="n"/>
      <c r="M402" s="33" t="n"/>
      <c r="N402" s="22">
        <f>IF(OR(H402="",L402="Cancelled"),"",IF(N(E402)=0,1,E402)*IFERROR(INDEX(Products!$E$6:$E$105,MATCH(D402,Products!$B$6:$B$105,0)),0))</f>
        <v/>
      </c>
      <c r="O402" s="35" t="n"/>
      <c r="P402" s="22">
        <f>IF(OR(H402="",L402="Cancelled"),"",ROUND(IFERROR(H402*INDEX(Settings!$C$6:$C$15,MATCH(M402,Settings!$B$6:$B$15,0))+INDEX(Settings!$D$6:$D$15,MATCH(M402,Settings!$B$6:$B$15,0)),0),2))</f>
        <v/>
      </c>
      <c r="Q402" s="28">
        <f>IF(OR(H402="",L402="Cancelled"),"",H402-N(N402)-N(O402)-N(P402))</f>
        <v/>
      </c>
      <c r="R402" s="19">
        <f>IF(OR(B402="",K402=""),"",IF(OR(L402="Sent",L402="Picked up"),"Done",IF(L402="Cancelled","Cancelled",IF(K402&lt;TODAY(),"Late by "&amp;(TODAY()-K402)&amp;IF((TODAY()-K402)=1," day"," days"),IF(K402=TODAY(),"Due today","Due in "&amp;(K402-TODAY())&amp;IF((K402-TODAY())=1," day"," days"))))))</f>
        <v/>
      </c>
      <c r="S402" s="33" t="n"/>
      <c r="T402" s="1">
        <f>IF(AND(B402&lt;&gt;"",K402&lt;&gt;"",L402&lt;&gt;"Sent",L402&lt;&gt;"Picked up",L402&lt;&gt;"Cancelled"),K402+ROW()/10000000,"")</f>
        <v/>
      </c>
      <c r="U402">
        <f>IF(OR(B402="",C402=""),"",B402+ROW()/10000000)</f>
        <v/>
      </c>
      <c r="V402">
        <f>IF(U402="","",IF(COUNTIFS(Orders!$C$6:$C$1005,C402,Orders!$U$6:$U$1005,"&gt;"&amp;U402)=0,1,0))</f>
        <v/>
      </c>
      <c r="W402">
        <f>IF(AND(B402&lt;&gt;"",K402&lt;&gt;"",L402&lt;&gt;"Sent",L402&lt;&gt;"Picked up",L402&lt;&gt;"Cancelled"),IF(N(E402)=0,1,E402),0)</f>
        <v/>
      </c>
      <c r="X402">
        <f>IF(OR(B402="",D402=""),"",IF(N(E402)=0,1,E402))</f>
        <v/>
      </c>
    </row>
    <row r="403">
      <c r="A403" s="1" t="n"/>
      <c r="B403" s="31" t="n"/>
      <c r="C403" s="32" t="n"/>
      <c r="D403" s="33" t="n"/>
      <c r="E403" s="34" t="n"/>
      <c r="F403" s="35" t="n"/>
      <c r="G403" s="35" t="n"/>
      <c r="H403" s="30">
        <f>IF(OR(B403="",D403=""),"",IF(N(E403)=0,1,E403)*IFERROR(INDEX(Products!$C$6:$C$105,MATCH(D403,Products!$B$6:$B$105,0)),0)+N(F403)+N(G403))</f>
        <v/>
      </c>
      <c r="I403" s="35" t="n"/>
      <c r="J403" s="30">
        <f>IF(OR(H403="",L403="Cancelled"),"",IF(H403-N(I403)&gt;0.005,H403-N(I403),""))</f>
        <v/>
      </c>
      <c r="K403" s="31" t="n"/>
      <c r="L403" s="36" t="n"/>
      <c r="M403" s="33" t="n"/>
      <c r="N403" s="22">
        <f>IF(OR(H403="",L403="Cancelled"),"",IF(N(E403)=0,1,E403)*IFERROR(INDEX(Products!$E$6:$E$105,MATCH(D403,Products!$B$6:$B$105,0)),0))</f>
        <v/>
      </c>
      <c r="O403" s="35" t="n"/>
      <c r="P403" s="22">
        <f>IF(OR(H403="",L403="Cancelled"),"",ROUND(IFERROR(H403*INDEX(Settings!$C$6:$C$15,MATCH(M403,Settings!$B$6:$B$15,0))+INDEX(Settings!$D$6:$D$15,MATCH(M403,Settings!$B$6:$B$15,0)),0),2))</f>
        <v/>
      </c>
      <c r="Q403" s="28">
        <f>IF(OR(H403="",L403="Cancelled"),"",H403-N(N403)-N(O403)-N(P403))</f>
        <v/>
      </c>
      <c r="R403" s="19">
        <f>IF(OR(B403="",K403=""),"",IF(OR(L403="Sent",L403="Picked up"),"Done",IF(L403="Cancelled","Cancelled",IF(K403&lt;TODAY(),"Late by "&amp;(TODAY()-K403)&amp;IF((TODAY()-K403)=1," day"," days"),IF(K403=TODAY(),"Due today","Due in "&amp;(K403-TODAY())&amp;IF((K403-TODAY())=1," day"," days"))))))</f>
        <v/>
      </c>
      <c r="S403" s="33" t="n"/>
      <c r="T403" s="1">
        <f>IF(AND(B403&lt;&gt;"",K403&lt;&gt;"",L403&lt;&gt;"Sent",L403&lt;&gt;"Picked up",L403&lt;&gt;"Cancelled"),K403+ROW()/10000000,"")</f>
        <v/>
      </c>
      <c r="U403">
        <f>IF(OR(B403="",C403=""),"",B403+ROW()/10000000)</f>
        <v/>
      </c>
      <c r="V403">
        <f>IF(U403="","",IF(COUNTIFS(Orders!$C$6:$C$1005,C403,Orders!$U$6:$U$1005,"&gt;"&amp;U403)=0,1,0))</f>
        <v/>
      </c>
      <c r="W403">
        <f>IF(AND(B403&lt;&gt;"",K403&lt;&gt;"",L403&lt;&gt;"Sent",L403&lt;&gt;"Picked up",L403&lt;&gt;"Cancelled"),IF(N(E403)=0,1,E403),0)</f>
        <v/>
      </c>
      <c r="X403">
        <f>IF(OR(B403="",D403=""),"",IF(N(E403)=0,1,E403))</f>
        <v/>
      </c>
    </row>
    <row r="404">
      <c r="A404" s="1" t="n"/>
      <c r="B404" s="31" t="n"/>
      <c r="C404" s="32" t="n"/>
      <c r="D404" s="33" t="n"/>
      <c r="E404" s="34" t="n"/>
      <c r="F404" s="35" t="n"/>
      <c r="G404" s="35" t="n"/>
      <c r="H404" s="30">
        <f>IF(OR(B404="",D404=""),"",IF(N(E404)=0,1,E404)*IFERROR(INDEX(Products!$C$6:$C$105,MATCH(D404,Products!$B$6:$B$105,0)),0)+N(F404)+N(G404))</f>
        <v/>
      </c>
      <c r="I404" s="35" t="n"/>
      <c r="J404" s="30">
        <f>IF(OR(H404="",L404="Cancelled"),"",IF(H404-N(I404)&gt;0.005,H404-N(I404),""))</f>
        <v/>
      </c>
      <c r="K404" s="31" t="n"/>
      <c r="L404" s="36" t="n"/>
      <c r="M404" s="33" t="n"/>
      <c r="N404" s="22">
        <f>IF(OR(H404="",L404="Cancelled"),"",IF(N(E404)=0,1,E404)*IFERROR(INDEX(Products!$E$6:$E$105,MATCH(D404,Products!$B$6:$B$105,0)),0))</f>
        <v/>
      </c>
      <c r="O404" s="35" t="n"/>
      <c r="P404" s="22">
        <f>IF(OR(H404="",L404="Cancelled"),"",ROUND(IFERROR(H404*INDEX(Settings!$C$6:$C$15,MATCH(M404,Settings!$B$6:$B$15,0))+INDEX(Settings!$D$6:$D$15,MATCH(M404,Settings!$B$6:$B$15,0)),0),2))</f>
        <v/>
      </c>
      <c r="Q404" s="28">
        <f>IF(OR(H404="",L404="Cancelled"),"",H404-N(N404)-N(O404)-N(P404))</f>
        <v/>
      </c>
      <c r="R404" s="19">
        <f>IF(OR(B404="",K404=""),"",IF(OR(L404="Sent",L404="Picked up"),"Done",IF(L404="Cancelled","Cancelled",IF(K404&lt;TODAY(),"Late by "&amp;(TODAY()-K404)&amp;IF((TODAY()-K404)=1," day"," days"),IF(K404=TODAY(),"Due today","Due in "&amp;(K404-TODAY())&amp;IF((K404-TODAY())=1," day"," days"))))))</f>
        <v/>
      </c>
      <c r="S404" s="33" t="n"/>
      <c r="T404" s="1">
        <f>IF(AND(B404&lt;&gt;"",K404&lt;&gt;"",L404&lt;&gt;"Sent",L404&lt;&gt;"Picked up",L404&lt;&gt;"Cancelled"),K404+ROW()/10000000,"")</f>
        <v/>
      </c>
      <c r="U404">
        <f>IF(OR(B404="",C404=""),"",B404+ROW()/10000000)</f>
        <v/>
      </c>
      <c r="V404">
        <f>IF(U404="","",IF(COUNTIFS(Orders!$C$6:$C$1005,C404,Orders!$U$6:$U$1005,"&gt;"&amp;U404)=0,1,0))</f>
        <v/>
      </c>
      <c r="W404">
        <f>IF(AND(B404&lt;&gt;"",K404&lt;&gt;"",L404&lt;&gt;"Sent",L404&lt;&gt;"Picked up",L404&lt;&gt;"Cancelled"),IF(N(E404)=0,1,E404),0)</f>
        <v/>
      </c>
      <c r="X404">
        <f>IF(OR(B404="",D404=""),"",IF(N(E404)=0,1,E404))</f>
        <v/>
      </c>
    </row>
    <row r="405">
      <c r="A405" s="1" t="n"/>
      <c r="B405" s="31" t="n"/>
      <c r="C405" s="32" t="n"/>
      <c r="D405" s="33" t="n"/>
      <c r="E405" s="34" t="n"/>
      <c r="F405" s="35" t="n"/>
      <c r="G405" s="35" t="n"/>
      <c r="H405" s="30">
        <f>IF(OR(B405="",D405=""),"",IF(N(E405)=0,1,E405)*IFERROR(INDEX(Products!$C$6:$C$105,MATCH(D405,Products!$B$6:$B$105,0)),0)+N(F405)+N(G405))</f>
        <v/>
      </c>
      <c r="I405" s="35" t="n"/>
      <c r="J405" s="30">
        <f>IF(OR(H405="",L405="Cancelled"),"",IF(H405-N(I405)&gt;0.005,H405-N(I405),""))</f>
        <v/>
      </c>
      <c r="K405" s="31" t="n"/>
      <c r="L405" s="36" t="n"/>
      <c r="M405" s="33" t="n"/>
      <c r="N405" s="22">
        <f>IF(OR(H405="",L405="Cancelled"),"",IF(N(E405)=0,1,E405)*IFERROR(INDEX(Products!$E$6:$E$105,MATCH(D405,Products!$B$6:$B$105,0)),0))</f>
        <v/>
      </c>
      <c r="O405" s="35" t="n"/>
      <c r="P405" s="22">
        <f>IF(OR(H405="",L405="Cancelled"),"",ROUND(IFERROR(H405*INDEX(Settings!$C$6:$C$15,MATCH(M405,Settings!$B$6:$B$15,0))+INDEX(Settings!$D$6:$D$15,MATCH(M405,Settings!$B$6:$B$15,0)),0),2))</f>
        <v/>
      </c>
      <c r="Q405" s="28">
        <f>IF(OR(H405="",L405="Cancelled"),"",H405-N(N405)-N(O405)-N(P405))</f>
        <v/>
      </c>
      <c r="R405" s="19">
        <f>IF(OR(B405="",K405=""),"",IF(OR(L405="Sent",L405="Picked up"),"Done",IF(L405="Cancelled","Cancelled",IF(K405&lt;TODAY(),"Late by "&amp;(TODAY()-K405)&amp;IF((TODAY()-K405)=1," day"," days"),IF(K405=TODAY(),"Due today","Due in "&amp;(K405-TODAY())&amp;IF((K405-TODAY())=1," day"," days"))))))</f>
        <v/>
      </c>
      <c r="S405" s="33" t="n"/>
      <c r="T405" s="1">
        <f>IF(AND(B405&lt;&gt;"",K405&lt;&gt;"",L405&lt;&gt;"Sent",L405&lt;&gt;"Picked up",L405&lt;&gt;"Cancelled"),K405+ROW()/10000000,"")</f>
        <v/>
      </c>
      <c r="U405">
        <f>IF(OR(B405="",C405=""),"",B405+ROW()/10000000)</f>
        <v/>
      </c>
      <c r="V405">
        <f>IF(U405="","",IF(COUNTIFS(Orders!$C$6:$C$1005,C405,Orders!$U$6:$U$1005,"&gt;"&amp;U405)=0,1,0))</f>
        <v/>
      </c>
      <c r="W405">
        <f>IF(AND(B405&lt;&gt;"",K405&lt;&gt;"",L405&lt;&gt;"Sent",L405&lt;&gt;"Picked up",L405&lt;&gt;"Cancelled"),IF(N(E405)=0,1,E405),0)</f>
        <v/>
      </c>
      <c r="X405">
        <f>IF(OR(B405="",D405=""),"",IF(N(E405)=0,1,E405))</f>
        <v/>
      </c>
    </row>
    <row r="406">
      <c r="A406" s="1" t="n"/>
      <c r="B406" s="31" t="n"/>
      <c r="C406" s="32" t="n"/>
      <c r="D406" s="33" t="n"/>
      <c r="E406" s="34" t="n"/>
      <c r="F406" s="35" t="n"/>
      <c r="G406" s="35" t="n"/>
      <c r="H406" s="30">
        <f>IF(OR(B406="",D406=""),"",IF(N(E406)=0,1,E406)*IFERROR(INDEX(Products!$C$6:$C$105,MATCH(D406,Products!$B$6:$B$105,0)),0)+N(F406)+N(G406))</f>
        <v/>
      </c>
      <c r="I406" s="35" t="n"/>
      <c r="J406" s="30">
        <f>IF(OR(H406="",L406="Cancelled"),"",IF(H406-N(I406)&gt;0.005,H406-N(I406),""))</f>
        <v/>
      </c>
      <c r="K406" s="31" t="n"/>
      <c r="L406" s="36" t="n"/>
      <c r="M406" s="33" t="n"/>
      <c r="N406" s="22">
        <f>IF(OR(H406="",L406="Cancelled"),"",IF(N(E406)=0,1,E406)*IFERROR(INDEX(Products!$E$6:$E$105,MATCH(D406,Products!$B$6:$B$105,0)),0))</f>
        <v/>
      </c>
      <c r="O406" s="35" t="n"/>
      <c r="P406" s="22">
        <f>IF(OR(H406="",L406="Cancelled"),"",ROUND(IFERROR(H406*INDEX(Settings!$C$6:$C$15,MATCH(M406,Settings!$B$6:$B$15,0))+INDEX(Settings!$D$6:$D$15,MATCH(M406,Settings!$B$6:$B$15,0)),0),2))</f>
        <v/>
      </c>
      <c r="Q406" s="28">
        <f>IF(OR(H406="",L406="Cancelled"),"",H406-N(N406)-N(O406)-N(P406))</f>
        <v/>
      </c>
      <c r="R406" s="19">
        <f>IF(OR(B406="",K406=""),"",IF(OR(L406="Sent",L406="Picked up"),"Done",IF(L406="Cancelled","Cancelled",IF(K406&lt;TODAY(),"Late by "&amp;(TODAY()-K406)&amp;IF((TODAY()-K406)=1," day"," days"),IF(K406=TODAY(),"Due today","Due in "&amp;(K406-TODAY())&amp;IF((K406-TODAY())=1," day"," days"))))))</f>
        <v/>
      </c>
      <c r="S406" s="33" t="n"/>
      <c r="T406" s="1">
        <f>IF(AND(B406&lt;&gt;"",K406&lt;&gt;"",L406&lt;&gt;"Sent",L406&lt;&gt;"Picked up",L406&lt;&gt;"Cancelled"),K406+ROW()/10000000,"")</f>
        <v/>
      </c>
      <c r="U406">
        <f>IF(OR(B406="",C406=""),"",B406+ROW()/10000000)</f>
        <v/>
      </c>
      <c r="V406">
        <f>IF(U406="","",IF(COUNTIFS(Orders!$C$6:$C$1005,C406,Orders!$U$6:$U$1005,"&gt;"&amp;U406)=0,1,0))</f>
        <v/>
      </c>
      <c r="W406">
        <f>IF(AND(B406&lt;&gt;"",K406&lt;&gt;"",L406&lt;&gt;"Sent",L406&lt;&gt;"Picked up",L406&lt;&gt;"Cancelled"),IF(N(E406)=0,1,E406),0)</f>
        <v/>
      </c>
      <c r="X406">
        <f>IF(OR(B406="",D406=""),"",IF(N(E406)=0,1,E406))</f>
        <v/>
      </c>
    </row>
    <row r="407">
      <c r="A407" s="1" t="n"/>
      <c r="B407" s="31" t="n"/>
      <c r="C407" s="32" t="n"/>
      <c r="D407" s="33" t="n"/>
      <c r="E407" s="34" t="n"/>
      <c r="F407" s="35" t="n"/>
      <c r="G407" s="35" t="n"/>
      <c r="H407" s="30">
        <f>IF(OR(B407="",D407=""),"",IF(N(E407)=0,1,E407)*IFERROR(INDEX(Products!$C$6:$C$105,MATCH(D407,Products!$B$6:$B$105,0)),0)+N(F407)+N(G407))</f>
        <v/>
      </c>
      <c r="I407" s="35" t="n"/>
      <c r="J407" s="30">
        <f>IF(OR(H407="",L407="Cancelled"),"",IF(H407-N(I407)&gt;0.005,H407-N(I407),""))</f>
        <v/>
      </c>
      <c r="K407" s="31" t="n"/>
      <c r="L407" s="36" t="n"/>
      <c r="M407" s="33" t="n"/>
      <c r="N407" s="22">
        <f>IF(OR(H407="",L407="Cancelled"),"",IF(N(E407)=0,1,E407)*IFERROR(INDEX(Products!$E$6:$E$105,MATCH(D407,Products!$B$6:$B$105,0)),0))</f>
        <v/>
      </c>
      <c r="O407" s="35" t="n"/>
      <c r="P407" s="22">
        <f>IF(OR(H407="",L407="Cancelled"),"",ROUND(IFERROR(H407*INDEX(Settings!$C$6:$C$15,MATCH(M407,Settings!$B$6:$B$15,0))+INDEX(Settings!$D$6:$D$15,MATCH(M407,Settings!$B$6:$B$15,0)),0),2))</f>
        <v/>
      </c>
      <c r="Q407" s="28">
        <f>IF(OR(H407="",L407="Cancelled"),"",H407-N(N407)-N(O407)-N(P407))</f>
        <v/>
      </c>
      <c r="R407" s="19">
        <f>IF(OR(B407="",K407=""),"",IF(OR(L407="Sent",L407="Picked up"),"Done",IF(L407="Cancelled","Cancelled",IF(K407&lt;TODAY(),"Late by "&amp;(TODAY()-K407)&amp;IF((TODAY()-K407)=1," day"," days"),IF(K407=TODAY(),"Due today","Due in "&amp;(K407-TODAY())&amp;IF((K407-TODAY())=1," day"," days"))))))</f>
        <v/>
      </c>
      <c r="S407" s="33" t="n"/>
      <c r="T407" s="1">
        <f>IF(AND(B407&lt;&gt;"",K407&lt;&gt;"",L407&lt;&gt;"Sent",L407&lt;&gt;"Picked up",L407&lt;&gt;"Cancelled"),K407+ROW()/10000000,"")</f>
        <v/>
      </c>
      <c r="U407">
        <f>IF(OR(B407="",C407=""),"",B407+ROW()/10000000)</f>
        <v/>
      </c>
      <c r="V407">
        <f>IF(U407="","",IF(COUNTIFS(Orders!$C$6:$C$1005,C407,Orders!$U$6:$U$1005,"&gt;"&amp;U407)=0,1,0))</f>
        <v/>
      </c>
      <c r="W407">
        <f>IF(AND(B407&lt;&gt;"",K407&lt;&gt;"",L407&lt;&gt;"Sent",L407&lt;&gt;"Picked up",L407&lt;&gt;"Cancelled"),IF(N(E407)=0,1,E407),0)</f>
        <v/>
      </c>
      <c r="X407">
        <f>IF(OR(B407="",D407=""),"",IF(N(E407)=0,1,E407))</f>
        <v/>
      </c>
    </row>
    <row r="408">
      <c r="A408" s="1" t="n"/>
      <c r="B408" s="31" t="n"/>
      <c r="C408" s="32" t="n"/>
      <c r="D408" s="33" t="n"/>
      <c r="E408" s="34" t="n"/>
      <c r="F408" s="35" t="n"/>
      <c r="G408" s="35" t="n"/>
      <c r="H408" s="30">
        <f>IF(OR(B408="",D408=""),"",IF(N(E408)=0,1,E408)*IFERROR(INDEX(Products!$C$6:$C$105,MATCH(D408,Products!$B$6:$B$105,0)),0)+N(F408)+N(G408))</f>
        <v/>
      </c>
      <c r="I408" s="35" t="n"/>
      <c r="J408" s="30">
        <f>IF(OR(H408="",L408="Cancelled"),"",IF(H408-N(I408)&gt;0.005,H408-N(I408),""))</f>
        <v/>
      </c>
      <c r="K408" s="31" t="n"/>
      <c r="L408" s="36" t="n"/>
      <c r="M408" s="33" t="n"/>
      <c r="N408" s="22">
        <f>IF(OR(H408="",L408="Cancelled"),"",IF(N(E408)=0,1,E408)*IFERROR(INDEX(Products!$E$6:$E$105,MATCH(D408,Products!$B$6:$B$105,0)),0))</f>
        <v/>
      </c>
      <c r="O408" s="35" t="n"/>
      <c r="P408" s="22">
        <f>IF(OR(H408="",L408="Cancelled"),"",ROUND(IFERROR(H408*INDEX(Settings!$C$6:$C$15,MATCH(M408,Settings!$B$6:$B$15,0))+INDEX(Settings!$D$6:$D$15,MATCH(M408,Settings!$B$6:$B$15,0)),0),2))</f>
        <v/>
      </c>
      <c r="Q408" s="28">
        <f>IF(OR(H408="",L408="Cancelled"),"",H408-N(N408)-N(O408)-N(P408))</f>
        <v/>
      </c>
      <c r="R408" s="19">
        <f>IF(OR(B408="",K408=""),"",IF(OR(L408="Sent",L408="Picked up"),"Done",IF(L408="Cancelled","Cancelled",IF(K408&lt;TODAY(),"Late by "&amp;(TODAY()-K408)&amp;IF((TODAY()-K408)=1," day"," days"),IF(K408=TODAY(),"Due today","Due in "&amp;(K408-TODAY())&amp;IF((K408-TODAY())=1," day"," days"))))))</f>
        <v/>
      </c>
      <c r="S408" s="33" t="n"/>
      <c r="T408" s="1">
        <f>IF(AND(B408&lt;&gt;"",K408&lt;&gt;"",L408&lt;&gt;"Sent",L408&lt;&gt;"Picked up",L408&lt;&gt;"Cancelled"),K408+ROW()/10000000,"")</f>
        <v/>
      </c>
      <c r="U408">
        <f>IF(OR(B408="",C408=""),"",B408+ROW()/10000000)</f>
        <v/>
      </c>
      <c r="V408">
        <f>IF(U408="","",IF(COUNTIFS(Orders!$C$6:$C$1005,C408,Orders!$U$6:$U$1005,"&gt;"&amp;U408)=0,1,0))</f>
        <v/>
      </c>
      <c r="W408">
        <f>IF(AND(B408&lt;&gt;"",K408&lt;&gt;"",L408&lt;&gt;"Sent",L408&lt;&gt;"Picked up",L408&lt;&gt;"Cancelled"),IF(N(E408)=0,1,E408),0)</f>
        <v/>
      </c>
      <c r="X408">
        <f>IF(OR(B408="",D408=""),"",IF(N(E408)=0,1,E408))</f>
        <v/>
      </c>
    </row>
    <row r="409">
      <c r="A409" s="1" t="n"/>
      <c r="B409" s="31" t="n"/>
      <c r="C409" s="32" t="n"/>
      <c r="D409" s="33" t="n"/>
      <c r="E409" s="34" t="n"/>
      <c r="F409" s="35" t="n"/>
      <c r="G409" s="35" t="n"/>
      <c r="H409" s="30">
        <f>IF(OR(B409="",D409=""),"",IF(N(E409)=0,1,E409)*IFERROR(INDEX(Products!$C$6:$C$105,MATCH(D409,Products!$B$6:$B$105,0)),0)+N(F409)+N(G409))</f>
        <v/>
      </c>
      <c r="I409" s="35" t="n"/>
      <c r="J409" s="30">
        <f>IF(OR(H409="",L409="Cancelled"),"",IF(H409-N(I409)&gt;0.005,H409-N(I409),""))</f>
        <v/>
      </c>
      <c r="K409" s="31" t="n"/>
      <c r="L409" s="36" t="n"/>
      <c r="M409" s="33" t="n"/>
      <c r="N409" s="22">
        <f>IF(OR(H409="",L409="Cancelled"),"",IF(N(E409)=0,1,E409)*IFERROR(INDEX(Products!$E$6:$E$105,MATCH(D409,Products!$B$6:$B$105,0)),0))</f>
        <v/>
      </c>
      <c r="O409" s="35" t="n"/>
      <c r="P409" s="22">
        <f>IF(OR(H409="",L409="Cancelled"),"",ROUND(IFERROR(H409*INDEX(Settings!$C$6:$C$15,MATCH(M409,Settings!$B$6:$B$15,0))+INDEX(Settings!$D$6:$D$15,MATCH(M409,Settings!$B$6:$B$15,0)),0),2))</f>
        <v/>
      </c>
      <c r="Q409" s="28">
        <f>IF(OR(H409="",L409="Cancelled"),"",H409-N(N409)-N(O409)-N(P409))</f>
        <v/>
      </c>
      <c r="R409" s="19">
        <f>IF(OR(B409="",K409=""),"",IF(OR(L409="Sent",L409="Picked up"),"Done",IF(L409="Cancelled","Cancelled",IF(K409&lt;TODAY(),"Late by "&amp;(TODAY()-K409)&amp;IF((TODAY()-K409)=1," day"," days"),IF(K409=TODAY(),"Due today","Due in "&amp;(K409-TODAY())&amp;IF((K409-TODAY())=1," day"," days"))))))</f>
        <v/>
      </c>
      <c r="S409" s="33" t="n"/>
      <c r="T409" s="1">
        <f>IF(AND(B409&lt;&gt;"",K409&lt;&gt;"",L409&lt;&gt;"Sent",L409&lt;&gt;"Picked up",L409&lt;&gt;"Cancelled"),K409+ROW()/10000000,"")</f>
        <v/>
      </c>
      <c r="U409">
        <f>IF(OR(B409="",C409=""),"",B409+ROW()/10000000)</f>
        <v/>
      </c>
      <c r="V409">
        <f>IF(U409="","",IF(COUNTIFS(Orders!$C$6:$C$1005,C409,Orders!$U$6:$U$1005,"&gt;"&amp;U409)=0,1,0))</f>
        <v/>
      </c>
      <c r="W409">
        <f>IF(AND(B409&lt;&gt;"",K409&lt;&gt;"",L409&lt;&gt;"Sent",L409&lt;&gt;"Picked up",L409&lt;&gt;"Cancelled"),IF(N(E409)=0,1,E409),0)</f>
        <v/>
      </c>
      <c r="X409">
        <f>IF(OR(B409="",D409=""),"",IF(N(E409)=0,1,E409))</f>
        <v/>
      </c>
    </row>
    <row r="410">
      <c r="A410" s="1" t="n"/>
      <c r="B410" s="31" t="n"/>
      <c r="C410" s="32" t="n"/>
      <c r="D410" s="33" t="n"/>
      <c r="E410" s="34" t="n"/>
      <c r="F410" s="35" t="n"/>
      <c r="G410" s="35" t="n"/>
      <c r="H410" s="30">
        <f>IF(OR(B410="",D410=""),"",IF(N(E410)=0,1,E410)*IFERROR(INDEX(Products!$C$6:$C$105,MATCH(D410,Products!$B$6:$B$105,0)),0)+N(F410)+N(G410))</f>
        <v/>
      </c>
      <c r="I410" s="35" t="n"/>
      <c r="J410" s="30">
        <f>IF(OR(H410="",L410="Cancelled"),"",IF(H410-N(I410)&gt;0.005,H410-N(I410),""))</f>
        <v/>
      </c>
      <c r="K410" s="31" t="n"/>
      <c r="L410" s="36" t="n"/>
      <c r="M410" s="33" t="n"/>
      <c r="N410" s="22">
        <f>IF(OR(H410="",L410="Cancelled"),"",IF(N(E410)=0,1,E410)*IFERROR(INDEX(Products!$E$6:$E$105,MATCH(D410,Products!$B$6:$B$105,0)),0))</f>
        <v/>
      </c>
      <c r="O410" s="35" t="n"/>
      <c r="P410" s="22">
        <f>IF(OR(H410="",L410="Cancelled"),"",ROUND(IFERROR(H410*INDEX(Settings!$C$6:$C$15,MATCH(M410,Settings!$B$6:$B$15,0))+INDEX(Settings!$D$6:$D$15,MATCH(M410,Settings!$B$6:$B$15,0)),0),2))</f>
        <v/>
      </c>
      <c r="Q410" s="28">
        <f>IF(OR(H410="",L410="Cancelled"),"",H410-N(N410)-N(O410)-N(P410))</f>
        <v/>
      </c>
      <c r="R410" s="19">
        <f>IF(OR(B410="",K410=""),"",IF(OR(L410="Sent",L410="Picked up"),"Done",IF(L410="Cancelled","Cancelled",IF(K410&lt;TODAY(),"Late by "&amp;(TODAY()-K410)&amp;IF((TODAY()-K410)=1," day"," days"),IF(K410=TODAY(),"Due today","Due in "&amp;(K410-TODAY())&amp;IF((K410-TODAY())=1," day"," days"))))))</f>
        <v/>
      </c>
      <c r="S410" s="33" t="n"/>
      <c r="T410" s="1">
        <f>IF(AND(B410&lt;&gt;"",K410&lt;&gt;"",L410&lt;&gt;"Sent",L410&lt;&gt;"Picked up",L410&lt;&gt;"Cancelled"),K410+ROW()/10000000,"")</f>
        <v/>
      </c>
      <c r="U410">
        <f>IF(OR(B410="",C410=""),"",B410+ROW()/10000000)</f>
        <v/>
      </c>
      <c r="V410">
        <f>IF(U410="","",IF(COUNTIFS(Orders!$C$6:$C$1005,C410,Orders!$U$6:$U$1005,"&gt;"&amp;U410)=0,1,0))</f>
        <v/>
      </c>
      <c r="W410">
        <f>IF(AND(B410&lt;&gt;"",K410&lt;&gt;"",L410&lt;&gt;"Sent",L410&lt;&gt;"Picked up",L410&lt;&gt;"Cancelled"),IF(N(E410)=0,1,E410),0)</f>
        <v/>
      </c>
      <c r="X410">
        <f>IF(OR(B410="",D410=""),"",IF(N(E410)=0,1,E410))</f>
        <v/>
      </c>
    </row>
    <row r="411">
      <c r="A411" s="1" t="n"/>
      <c r="B411" s="31" t="n"/>
      <c r="C411" s="32" t="n"/>
      <c r="D411" s="33" t="n"/>
      <c r="E411" s="34" t="n"/>
      <c r="F411" s="35" t="n"/>
      <c r="G411" s="35" t="n"/>
      <c r="H411" s="30">
        <f>IF(OR(B411="",D411=""),"",IF(N(E411)=0,1,E411)*IFERROR(INDEX(Products!$C$6:$C$105,MATCH(D411,Products!$B$6:$B$105,0)),0)+N(F411)+N(G411))</f>
        <v/>
      </c>
      <c r="I411" s="35" t="n"/>
      <c r="J411" s="30">
        <f>IF(OR(H411="",L411="Cancelled"),"",IF(H411-N(I411)&gt;0.005,H411-N(I411),""))</f>
        <v/>
      </c>
      <c r="K411" s="31" t="n"/>
      <c r="L411" s="36" t="n"/>
      <c r="M411" s="33" t="n"/>
      <c r="N411" s="22">
        <f>IF(OR(H411="",L411="Cancelled"),"",IF(N(E411)=0,1,E411)*IFERROR(INDEX(Products!$E$6:$E$105,MATCH(D411,Products!$B$6:$B$105,0)),0))</f>
        <v/>
      </c>
      <c r="O411" s="35" t="n"/>
      <c r="P411" s="22">
        <f>IF(OR(H411="",L411="Cancelled"),"",ROUND(IFERROR(H411*INDEX(Settings!$C$6:$C$15,MATCH(M411,Settings!$B$6:$B$15,0))+INDEX(Settings!$D$6:$D$15,MATCH(M411,Settings!$B$6:$B$15,0)),0),2))</f>
        <v/>
      </c>
      <c r="Q411" s="28">
        <f>IF(OR(H411="",L411="Cancelled"),"",H411-N(N411)-N(O411)-N(P411))</f>
        <v/>
      </c>
      <c r="R411" s="19">
        <f>IF(OR(B411="",K411=""),"",IF(OR(L411="Sent",L411="Picked up"),"Done",IF(L411="Cancelled","Cancelled",IF(K411&lt;TODAY(),"Late by "&amp;(TODAY()-K411)&amp;IF((TODAY()-K411)=1," day"," days"),IF(K411=TODAY(),"Due today","Due in "&amp;(K411-TODAY())&amp;IF((K411-TODAY())=1," day"," days"))))))</f>
        <v/>
      </c>
      <c r="S411" s="33" t="n"/>
      <c r="T411" s="1">
        <f>IF(AND(B411&lt;&gt;"",K411&lt;&gt;"",L411&lt;&gt;"Sent",L411&lt;&gt;"Picked up",L411&lt;&gt;"Cancelled"),K411+ROW()/10000000,"")</f>
        <v/>
      </c>
      <c r="U411">
        <f>IF(OR(B411="",C411=""),"",B411+ROW()/10000000)</f>
        <v/>
      </c>
      <c r="V411">
        <f>IF(U411="","",IF(COUNTIFS(Orders!$C$6:$C$1005,C411,Orders!$U$6:$U$1005,"&gt;"&amp;U411)=0,1,0))</f>
        <v/>
      </c>
      <c r="W411">
        <f>IF(AND(B411&lt;&gt;"",K411&lt;&gt;"",L411&lt;&gt;"Sent",L411&lt;&gt;"Picked up",L411&lt;&gt;"Cancelled"),IF(N(E411)=0,1,E411),0)</f>
        <v/>
      </c>
      <c r="X411">
        <f>IF(OR(B411="",D411=""),"",IF(N(E411)=0,1,E411))</f>
        <v/>
      </c>
    </row>
    <row r="412">
      <c r="A412" s="1" t="n"/>
      <c r="B412" s="31" t="n"/>
      <c r="C412" s="32" t="n"/>
      <c r="D412" s="33" t="n"/>
      <c r="E412" s="34" t="n"/>
      <c r="F412" s="35" t="n"/>
      <c r="G412" s="35" t="n"/>
      <c r="H412" s="30">
        <f>IF(OR(B412="",D412=""),"",IF(N(E412)=0,1,E412)*IFERROR(INDEX(Products!$C$6:$C$105,MATCH(D412,Products!$B$6:$B$105,0)),0)+N(F412)+N(G412))</f>
        <v/>
      </c>
      <c r="I412" s="35" t="n"/>
      <c r="J412" s="30">
        <f>IF(OR(H412="",L412="Cancelled"),"",IF(H412-N(I412)&gt;0.005,H412-N(I412),""))</f>
        <v/>
      </c>
      <c r="K412" s="31" t="n"/>
      <c r="L412" s="36" t="n"/>
      <c r="M412" s="33" t="n"/>
      <c r="N412" s="22">
        <f>IF(OR(H412="",L412="Cancelled"),"",IF(N(E412)=0,1,E412)*IFERROR(INDEX(Products!$E$6:$E$105,MATCH(D412,Products!$B$6:$B$105,0)),0))</f>
        <v/>
      </c>
      <c r="O412" s="35" t="n"/>
      <c r="P412" s="22">
        <f>IF(OR(H412="",L412="Cancelled"),"",ROUND(IFERROR(H412*INDEX(Settings!$C$6:$C$15,MATCH(M412,Settings!$B$6:$B$15,0))+INDEX(Settings!$D$6:$D$15,MATCH(M412,Settings!$B$6:$B$15,0)),0),2))</f>
        <v/>
      </c>
      <c r="Q412" s="28">
        <f>IF(OR(H412="",L412="Cancelled"),"",H412-N(N412)-N(O412)-N(P412))</f>
        <v/>
      </c>
      <c r="R412" s="19">
        <f>IF(OR(B412="",K412=""),"",IF(OR(L412="Sent",L412="Picked up"),"Done",IF(L412="Cancelled","Cancelled",IF(K412&lt;TODAY(),"Late by "&amp;(TODAY()-K412)&amp;IF((TODAY()-K412)=1," day"," days"),IF(K412=TODAY(),"Due today","Due in "&amp;(K412-TODAY())&amp;IF((K412-TODAY())=1," day"," days"))))))</f>
        <v/>
      </c>
      <c r="S412" s="33" t="n"/>
      <c r="T412" s="1">
        <f>IF(AND(B412&lt;&gt;"",K412&lt;&gt;"",L412&lt;&gt;"Sent",L412&lt;&gt;"Picked up",L412&lt;&gt;"Cancelled"),K412+ROW()/10000000,"")</f>
        <v/>
      </c>
      <c r="U412">
        <f>IF(OR(B412="",C412=""),"",B412+ROW()/10000000)</f>
        <v/>
      </c>
      <c r="V412">
        <f>IF(U412="","",IF(COUNTIFS(Orders!$C$6:$C$1005,C412,Orders!$U$6:$U$1005,"&gt;"&amp;U412)=0,1,0))</f>
        <v/>
      </c>
      <c r="W412">
        <f>IF(AND(B412&lt;&gt;"",K412&lt;&gt;"",L412&lt;&gt;"Sent",L412&lt;&gt;"Picked up",L412&lt;&gt;"Cancelled"),IF(N(E412)=0,1,E412),0)</f>
        <v/>
      </c>
      <c r="X412">
        <f>IF(OR(B412="",D412=""),"",IF(N(E412)=0,1,E412))</f>
        <v/>
      </c>
    </row>
    <row r="413">
      <c r="A413" s="1" t="n"/>
      <c r="B413" s="31" t="n"/>
      <c r="C413" s="32" t="n"/>
      <c r="D413" s="33" t="n"/>
      <c r="E413" s="34" t="n"/>
      <c r="F413" s="35" t="n"/>
      <c r="G413" s="35" t="n"/>
      <c r="H413" s="30">
        <f>IF(OR(B413="",D413=""),"",IF(N(E413)=0,1,E413)*IFERROR(INDEX(Products!$C$6:$C$105,MATCH(D413,Products!$B$6:$B$105,0)),0)+N(F413)+N(G413))</f>
        <v/>
      </c>
      <c r="I413" s="35" t="n"/>
      <c r="J413" s="30">
        <f>IF(OR(H413="",L413="Cancelled"),"",IF(H413-N(I413)&gt;0.005,H413-N(I413),""))</f>
        <v/>
      </c>
      <c r="K413" s="31" t="n"/>
      <c r="L413" s="36" t="n"/>
      <c r="M413" s="33" t="n"/>
      <c r="N413" s="22">
        <f>IF(OR(H413="",L413="Cancelled"),"",IF(N(E413)=0,1,E413)*IFERROR(INDEX(Products!$E$6:$E$105,MATCH(D413,Products!$B$6:$B$105,0)),0))</f>
        <v/>
      </c>
      <c r="O413" s="35" t="n"/>
      <c r="P413" s="22">
        <f>IF(OR(H413="",L413="Cancelled"),"",ROUND(IFERROR(H413*INDEX(Settings!$C$6:$C$15,MATCH(M413,Settings!$B$6:$B$15,0))+INDEX(Settings!$D$6:$D$15,MATCH(M413,Settings!$B$6:$B$15,0)),0),2))</f>
        <v/>
      </c>
      <c r="Q413" s="28">
        <f>IF(OR(H413="",L413="Cancelled"),"",H413-N(N413)-N(O413)-N(P413))</f>
        <v/>
      </c>
      <c r="R413" s="19">
        <f>IF(OR(B413="",K413=""),"",IF(OR(L413="Sent",L413="Picked up"),"Done",IF(L413="Cancelled","Cancelled",IF(K413&lt;TODAY(),"Late by "&amp;(TODAY()-K413)&amp;IF((TODAY()-K413)=1," day"," days"),IF(K413=TODAY(),"Due today","Due in "&amp;(K413-TODAY())&amp;IF((K413-TODAY())=1," day"," days"))))))</f>
        <v/>
      </c>
      <c r="S413" s="33" t="n"/>
      <c r="T413" s="1">
        <f>IF(AND(B413&lt;&gt;"",K413&lt;&gt;"",L413&lt;&gt;"Sent",L413&lt;&gt;"Picked up",L413&lt;&gt;"Cancelled"),K413+ROW()/10000000,"")</f>
        <v/>
      </c>
      <c r="U413">
        <f>IF(OR(B413="",C413=""),"",B413+ROW()/10000000)</f>
        <v/>
      </c>
      <c r="V413">
        <f>IF(U413="","",IF(COUNTIFS(Orders!$C$6:$C$1005,C413,Orders!$U$6:$U$1005,"&gt;"&amp;U413)=0,1,0))</f>
        <v/>
      </c>
      <c r="W413">
        <f>IF(AND(B413&lt;&gt;"",K413&lt;&gt;"",L413&lt;&gt;"Sent",L413&lt;&gt;"Picked up",L413&lt;&gt;"Cancelled"),IF(N(E413)=0,1,E413),0)</f>
        <v/>
      </c>
      <c r="X413">
        <f>IF(OR(B413="",D413=""),"",IF(N(E413)=0,1,E413))</f>
        <v/>
      </c>
    </row>
    <row r="414">
      <c r="A414" s="1" t="n"/>
      <c r="B414" s="31" t="n"/>
      <c r="C414" s="32" t="n"/>
      <c r="D414" s="33" t="n"/>
      <c r="E414" s="34" t="n"/>
      <c r="F414" s="35" t="n"/>
      <c r="G414" s="35" t="n"/>
      <c r="H414" s="30">
        <f>IF(OR(B414="",D414=""),"",IF(N(E414)=0,1,E414)*IFERROR(INDEX(Products!$C$6:$C$105,MATCH(D414,Products!$B$6:$B$105,0)),0)+N(F414)+N(G414))</f>
        <v/>
      </c>
      <c r="I414" s="35" t="n"/>
      <c r="J414" s="30">
        <f>IF(OR(H414="",L414="Cancelled"),"",IF(H414-N(I414)&gt;0.005,H414-N(I414),""))</f>
        <v/>
      </c>
      <c r="K414" s="31" t="n"/>
      <c r="L414" s="36" t="n"/>
      <c r="M414" s="33" t="n"/>
      <c r="N414" s="22">
        <f>IF(OR(H414="",L414="Cancelled"),"",IF(N(E414)=0,1,E414)*IFERROR(INDEX(Products!$E$6:$E$105,MATCH(D414,Products!$B$6:$B$105,0)),0))</f>
        <v/>
      </c>
      <c r="O414" s="35" t="n"/>
      <c r="P414" s="22">
        <f>IF(OR(H414="",L414="Cancelled"),"",ROUND(IFERROR(H414*INDEX(Settings!$C$6:$C$15,MATCH(M414,Settings!$B$6:$B$15,0))+INDEX(Settings!$D$6:$D$15,MATCH(M414,Settings!$B$6:$B$15,0)),0),2))</f>
        <v/>
      </c>
      <c r="Q414" s="28">
        <f>IF(OR(H414="",L414="Cancelled"),"",H414-N(N414)-N(O414)-N(P414))</f>
        <v/>
      </c>
      <c r="R414" s="19">
        <f>IF(OR(B414="",K414=""),"",IF(OR(L414="Sent",L414="Picked up"),"Done",IF(L414="Cancelled","Cancelled",IF(K414&lt;TODAY(),"Late by "&amp;(TODAY()-K414)&amp;IF((TODAY()-K414)=1," day"," days"),IF(K414=TODAY(),"Due today","Due in "&amp;(K414-TODAY())&amp;IF((K414-TODAY())=1," day"," days"))))))</f>
        <v/>
      </c>
      <c r="S414" s="33" t="n"/>
      <c r="T414" s="1">
        <f>IF(AND(B414&lt;&gt;"",K414&lt;&gt;"",L414&lt;&gt;"Sent",L414&lt;&gt;"Picked up",L414&lt;&gt;"Cancelled"),K414+ROW()/10000000,"")</f>
        <v/>
      </c>
      <c r="U414">
        <f>IF(OR(B414="",C414=""),"",B414+ROW()/10000000)</f>
        <v/>
      </c>
      <c r="V414">
        <f>IF(U414="","",IF(COUNTIFS(Orders!$C$6:$C$1005,C414,Orders!$U$6:$U$1005,"&gt;"&amp;U414)=0,1,0))</f>
        <v/>
      </c>
      <c r="W414">
        <f>IF(AND(B414&lt;&gt;"",K414&lt;&gt;"",L414&lt;&gt;"Sent",L414&lt;&gt;"Picked up",L414&lt;&gt;"Cancelled"),IF(N(E414)=0,1,E414),0)</f>
        <v/>
      </c>
      <c r="X414">
        <f>IF(OR(B414="",D414=""),"",IF(N(E414)=0,1,E414))</f>
        <v/>
      </c>
    </row>
    <row r="415">
      <c r="A415" s="1" t="n"/>
      <c r="B415" s="31" t="n"/>
      <c r="C415" s="32" t="n"/>
      <c r="D415" s="33" t="n"/>
      <c r="E415" s="34" t="n"/>
      <c r="F415" s="35" t="n"/>
      <c r="G415" s="35" t="n"/>
      <c r="H415" s="30">
        <f>IF(OR(B415="",D415=""),"",IF(N(E415)=0,1,E415)*IFERROR(INDEX(Products!$C$6:$C$105,MATCH(D415,Products!$B$6:$B$105,0)),0)+N(F415)+N(G415))</f>
        <v/>
      </c>
      <c r="I415" s="35" t="n"/>
      <c r="J415" s="30">
        <f>IF(OR(H415="",L415="Cancelled"),"",IF(H415-N(I415)&gt;0.005,H415-N(I415),""))</f>
        <v/>
      </c>
      <c r="K415" s="31" t="n"/>
      <c r="L415" s="36" t="n"/>
      <c r="M415" s="33" t="n"/>
      <c r="N415" s="22">
        <f>IF(OR(H415="",L415="Cancelled"),"",IF(N(E415)=0,1,E415)*IFERROR(INDEX(Products!$E$6:$E$105,MATCH(D415,Products!$B$6:$B$105,0)),0))</f>
        <v/>
      </c>
      <c r="O415" s="35" t="n"/>
      <c r="P415" s="22">
        <f>IF(OR(H415="",L415="Cancelled"),"",ROUND(IFERROR(H415*INDEX(Settings!$C$6:$C$15,MATCH(M415,Settings!$B$6:$B$15,0))+INDEX(Settings!$D$6:$D$15,MATCH(M415,Settings!$B$6:$B$15,0)),0),2))</f>
        <v/>
      </c>
      <c r="Q415" s="28">
        <f>IF(OR(H415="",L415="Cancelled"),"",H415-N(N415)-N(O415)-N(P415))</f>
        <v/>
      </c>
      <c r="R415" s="19">
        <f>IF(OR(B415="",K415=""),"",IF(OR(L415="Sent",L415="Picked up"),"Done",IF(L415="Cancelled","Cancelled",IF(K415&lt;TODAY(),"Late by "&amp;(TODAY()-K415)&amp;IF((TODAY()-K415)=1," day"," days"),IF(K415=TODAY(),"Due today","Due in "&amp;(K415-TODAY())&amp;IF((K415-TODAY())=1," day"," days"))))))</f>
        <v/>
      </c>
      <c r="S415" s="33" t="n"/>
      <c r="T415" s="1">
        <f>IF(AND(B415&lt;&gt;"",K415&lt;&gt;"",L415&lt;&gt;"Sent",L415&lt;&gt;"Picked up",L415&lt;&gt;"Cancelled"),K415+ROW()/10000000,"")</f>
        <v/>
      </c>
      <c r="U415">
        <f>IF(OR(B415="",C415=""),"",B415+ROW()/10000000)</f>
        <v/>
      </c>
      <c r="V415">
        <f>IF(U415="","",IF(COUNTIFS(Orders!$C$6:$C$1005,C415,Orders!$U$6:$U$1005,"&gt;"&amp;U415)=0,1,0))</f>
        <v/>
      </c>
      <c r="W415">
        <f>IF(AND(B415&lt;&gt;"",K415&lt;&gt;"",L415&lt;&gt;"Sent",L415&lt;&gt;"Picked up",L415&lt;&gt;"Cancelled"),IF(N(E415)=0,1,E415),0)</f>
        <v/>
      </c>
      <c r="X415">
        <f>IF(OR(B415="",D415=""),"",IF(N(E415)=0,1,E415))</f>
        <v/>
      </c>
    </row>
    <row r="416">
      <c r="A416" s="1" t="n"/>
      <c r="B416" s="31" t="n"/>
      <c r="C416" s="32" t="n"/>
      <c r="D416" s="33" t="n"/>
      <c r="E416" s="34" t="n"/>
      <c r="F416" s="35" t="n"/>
      <c r="G416" s="35" t="n"/>
      <c r="H416" s="30">
        <f>IF(OR(B416="",D416=""),"",IF(N(E416)=0,1,E416)*IFERROR(INDEX(Products!$C$6:$C$105,MATCH(D416,Products!$B$6:$B$105,0)),0)+N(F416)+N(G416))</f>
        <v/>
      </c>
      <c r="I416" s="35" t="n"/>
      <c r="J416" s="30">
        <f>IF(OR(H416="",L416="Cancelled"),"",IF(H416-N(I416)&gt;0.005,H416-N(I416),""))</f>
        <v/>
      </c>
      <c r="K416" s="31" t="n"/>
      <c r="L416" s="36" t="n"/>
      <c r="M416" s="33" t="n"/>
      <c r="N416" s="22">
        <f>IF(OR(H416="",L416="Cancelled"),"",IF(N(E416)=0,1,E416)*IFERROR(INDEX(Products!$E$6:$E$105,MATCH(D416,Products!$B$6:$B$105,0)),0))</f>
        <v/>
      </c>
      <c r="O416" s="35" t="n"/>
      <c r="P416" s="22">
        <f>IF(OR(H416="",L416="Cancelled"),"",ROUND(IFERROR(H416*INDEX(Settings!$C$6:$C$15,MATCH(M416,Settings!$B$6:$B$15,0))+INDEX(Settings!$D$6:$D$15,MATCH(M416,Settings!$B$6:$B$15,0)),0),2))</f>
        <v/>
      </c>
      <c r="Q416" s="28">
        <f>IF(OR(H416="",L416="Cancelled"),"",H416-N(N416)-N(O416)-N(P416))</f>
        <v/>
      </c>
      <c r="R416" s="19">
        <f>IF(OR(B416="",K416=""),"",IF(OR(L416="Sent",L416="Picked up"),"Done",IF(L416="Cancelled","Cancelled",IF(K416&lt;TODAY(),"Late by "&amp;(TODAY()-K416)&amp;IF((TODAY()-K416)=1," day"," days"),IF(K416=TODAY(),"Due today","Due in "&amp;(K416-TODAY())&amp;IF((K416-TODAY())=1," day"," days"))))))</f>
        <v/>
      </c>
      <c r="S416" s="33" t="n"/>
      <c r="T416" s="1">
        <f>IF(AND(B416&lt;&gt;"",K416&lt;&gt;"",L416&lt;&gt;"Sent",L416&lt;&gt;"Picked up",L416&lt;&gt;"Cancelled"),K416+ROW()/10000000,"")</f>
        <v/>
      </c>
      <c r="U416">
        <f>IF(OR(B416="",C416=""),"",B416+ROW()/10000000)</f>
        <v/>
      </c>
      <c r="V416">
        <f>IF(U416="","",IF(COUNTIFS(Orders!$C$6:$C$1005,C416,Orders!$U$6:$U$1005,"&gt;"&amp;U416)=0,1,0))</f>
        <v/>
      </c>
      <c r="W416">
        <f>IF(AND(B416&lt;&gt;"",K416&lt;&gt;"",L416&lt;&gt;"Sent",L416&lt;&gt;"Picked up",L416&lt;&gt;"Cancelled"),IF(N(E416)=0,1,E416),0)</f>
        <v/>
      </c>
      <c r="X416">
        <f>IF(OR(B416="",D416=""),"",IF(N(E416)=0,1,E416))</f>
        <v/>
      </c>
    </row>
    <row r="417">
      <c r="A417" s="1" t="n"/>
      <c r="B417" s="31" t="n"/>
      <c r="C417" s="32" t="n"/>
      <c r="D417" s="33" t="n"/>
      <c r="E417" s="34" t="n"/>
      <c r="F417" s="35" t="n"/>
      <c r="G417" s="35" t="n"/>
      <c r="H417" s="30">
        <f>IF(OR(B417="",D417=""),"",IF(N(E417)=0,1,E417)*IFERROR(INDEX(Products!$C$6:$C$105,MATCH(D417,Products!$B$6:$B$105,0)),0)+N(F417)+N(G417))</f>
        <v/>
      </c>
      <c r="I417" s="35" t="n"/>
      <c r="J417" s="30">
        <f>IF(OR(H417="",L417="Cancelled"),"",IF(H417-N(I417)&gt;0.005,H417-N(I417),""))</f>
        <v/>
      </c>
      <c r="K417" s="31" t="n"/>
      <c r="L417" s="36" t="n"/>
      <c r="M417" s="33" t="n"/>
      <c r="N417" s="22">
        <f>IF(OR(H417="",L417="Cancelled"),"",IF(N(E417)=0,1,E417)*IFERROR(INDEX(Products!$E$6:$E$105,MATCH(D417,Products!$B$6:$B$105,0)),0))</f>
        <v/>
      </c>
      <c r="O417" s="35" t="n"/>
      <c r="P417" s="22">
        <f>IF(OR(H417="",L417="Cancelled"),"",ROUND(IFERROR(H417*INDEX(Settings!$C$6:$C$15,MATCH(M417,Settings!$B$6:$B$15,0))+INDEX(Settings!$D$6:$D$15,MATCH(M417,Settings!$B$6:$B$15,0)),0),2))</f>
        <v/>
      </c>
      <c r="Q417" s="28">
        <f>IF(OR(H417="",L417="Cancelled"),"",H417-N(N417)-N(O417)-N(P417))</f>
        <v/>
      </c>
      <c r="R417" s="19">
        <f>IF(OR(B417="",K417=""),"",IF(OR(L417="Sent",L417="Picked up"),"Done",IF(L417="Cancelled","Cancelled",IF(K417&lt;TODAY(),"Late by "&amp;(TODAY()-K417)&amp;IF((TODAY()-K417)=1," day"," days"),IF(K417=TODAY(),"Due today","Due in "&amp;(K417-TODAY())&amp;IF((K417-TODAY())=1," day"," days"))))))</f>
        <v/>
      </c>
      <c r="S417" s="33" t="n"/>
      <c r="T417" s="1">
        <f>IF(AND(B417&lt;&gt;"",K417&lt;&gt;"",L417&lt;&gt;"Sent",L417&lt;&gt;"Picked up",L417&lt;&gt;"Cancelled"),K417+ROW()/10000000,"")</f>
        <v/>
      </c>
      <c r="U417">
        <f>IF(OR(B417="",C417=""),"",B417+ROW()/10000000)</f>
        <v/>
      </c>
      <c r="V417">
        <f>IF(U417="","",IF(COUNTIFS(Orders!$C$6:$C$1005,C417,Orders!$U$6:$U$1005,"&gt;"&amp;U417)=0,1,0))</f>
        <v/>
      </c>
      <c r="W417">
        <f>IF(AND(B417&lt;&gt;"",K417&lt;&gt;"",L417&lt;&gt;"Sent",L417&lt;&gt;"Picked up",L417&lt;&gt;"Cancelled"),IF(N(E417)=0,1,E417),0)</f>
        <v/>
      </c>
      <c r="X417">
        <f>IF(OR(B417="",D417=""),"",IF(N(E417)=0,1,E417))</f>
        <v/>
      </c>
    </row>
    <row r="418">
      <c r="A418" s="1" t="n"/>
      <c r="B418" s="31" t="n"/>
      <c r="C418" s="32" t="n"/>
      <c r="D418" s="33" t="n"/>
      <c r="E418" s="34" t="n"/>
      <c r="F418" s="35" t="n"/>
      <c r="G418" s="35" t="n"/>
      <c r="H418" s="30">
        <f>IF(OR(B418="",D418=""),"",IF(N(E418)=0,1,E418)*IFERROR(INDEX(Products!$C$6:$C$105,MATCH(D418,Products!$B$6:$B$105,0)),0)+N(F418)+N(G418))</f>
        <v/>
      </c>
      <c r="I418" s="35" t="n"/>
      <c r="J418" s="30">
        <f>IF(OR(H418="",L418="Cancelled"),"",IF(H418-N(I418)&gt;0.005,H418-N(I418),""))</f>
        <v/>
      </c>
      <c r="K418" s="31" t="n"/>
      <c r="L418" s="36" t="n"/>
      <c r="M418" s="33" t="n"/>
      <c r="N418" s="22">
        <f>IF(OR(H418="",L418="Cancelled"),"",IF(N(E418)=0,1,E418)*IFERROR(INDEX(Products!$E$6:$E$105,MATCH(D418,Products!$B$6:$B$105,0)),0))</f>
        <v/>
      </c>
      <c r="O418" s="35" t="n"/>
      <c r="P418" s="22">
        <f>IF(OR(H418="",L418="Cancelled"),"",ROUND(IFERROR(H418*INDEX(Settings!$C$6:$C$15,MATCH(M418,Settings!$B$6:$B$15,0))+INDEX(Settings!$D$6:$D$15,MATCH(M418,Settings!$B$6:$B$15,0)),0),2))</f>
        <v/>
      </c>
      <c r="Q418" s="28">
        <f>IF(OR(H418="",L418="Cancelled"),"",H418-N(N418)-N(O418)-N(P418))</f>
        <v/>
      </c>
      <c r="R418" s="19">
        <f>IF(OR(B418="",K418=""),"",IF(OR(L418="Sent",L418="Picked up"),"Done",IF(L418="Cancelled","Cancelled",IF(K418&lt;TODAY(),"Late by "&amp;(TODAY()-K418)&amp;IF((TODAY()-K418)=1," day"," days"),IF(K418=TODAY(),"Due today","Due in "&amp;(K418-TODAY())&amp;IF((K418-TODAY())=1," day"," days"))))))</f>
        <v/>
      </c>
      <c r="S418" s="33" t="n"/>
      <c r="T418" s="1">
        <f>IF(AND(B418&lt;&gt;"",K418&lt;&gt;"",L418&lt;&gt;"Sent",L418&lt;&gt;"Picked up",L418&lt;&gt;"Cancelled"),K418+ROW()/10000000,"")</f>
        <v/>
      </c>
      <c r="U418">
        <f>IF(OR(B418="",C418=""),"",B418+ROW()/10000000)</f>
        <v/>
      </c>
      <c r="V418">
        <f>IF(U418="","",IF(COUNTIFS(Orders!$C$6:$C$1005,C418,Orders!$U$6:$U$1005,"&gt;"&amp;U418)=0,1,0))</f>
        <v/>
      </c>
      <c r="W418">
        <f>IF(AND(B418&lt;&gt;"",K418&lt;&gt;"",L418&lt;&gt;"Sent",L418&lt;&gt;"Picked up",L418&lt;&gt;"Cancelled"),IF(N(E418)=0,1,E418),0)</f>
        <v/>
      </c>
      <c r="X418">
        <f>IF(OR(B418="",D418=""),"",IF(N(E418)=0,1,E418))</f>
        <v/>
      </c>
    </row>
    <row r="419">
      <c r="A419" s="1" t="n"/>
      <c r="B419" s="31" t="n"/>
      <c r="C419" s="32" t="n"/>
      <c r="D419" s="33" t="n"/>
      <c r="E419" s="34" t="n"/>
      <c r="F419" s="35" t="n"/>
      <c r="G419" s="35" t="n"/>
      <c r="H419" s="30">
        <f>IF(OR(B419="",D419=""),"",IF(N(E419)=0,1,E419)*IFERROR(INDEX(Products!$C$6:$C$105,MATCH(D419,Products!$B$6:$B$105,0)),0)+N(F419)+N(G419))</f>
        <v/>
      </c>
      <c r="I419" s="35" t="n"/>
      <c r="J419" s="30">
        <f>IF(OR(H419="",L419="Cancelled"),"",IF(H419-N(I419)&gt;0.005,H419-N(I419),""))</f>
        <v/>
      </c>
      <c r="K419" s="31" t="n"/>
      <c r="L419" s="36" t="n"/>
      <c r="M419" s="33" t="n"/>
      <c r="N419" s="22">
        <f>IF(OR(H419="",L419="Cancelled"),"",IF(N(E419)=0,1,E419)*IFERROR(INDEX(Products!$E$6:$E$105,MATCH(D419,Products!$B$6:$B$105,0)),0))</f>
        <v/>
      </c>
      <c r="O419" s="35" t="n"/>
      <c r="P419" s="22">
        <f>IF(OR(H419="",L419="Cancelled"),"",ROUND(IFERROR(H419*INDEX(Settings!$C$6:$C$15,MATCH(M419,Settings!$B$6:$B$15,0))+INDEX(Settings!$D$6:$D$15,MATCH(M419,Settings!$B$6:$B$15,0)),0),2))</f>
        <v/>
      </c>
      <c r="Q419" s="28">
        <f>IF(OR(H419="",L419="Cancelled"),"",H419-N(N419)-N(O419)-N(P419))</f>
        <v/>
      </c>
      <c r="R419" s="19">
        <f>IF(OR(B419="",K419=""),"",IF(OR(L419="Sent",L419="Picked up"),"Done",IF(L419="Cancelled","Cancelled",IF(K419&lt;TODAY(),"Late by "&amp;(TODAY()-K419)&amp;IF((TODAY()-K419)=1," day"," days"),IF(K419=TODAY(),"Due today","Due in "&amp;(K419-TODAY())&amp;IF((K419-TODAY())=1," day"," days"))))))</f>
        <v/>
      </c>
      <c r="S419" s="33" t="n"/>
      <c r="T419" s="1">
        <f>IF(AND(B419&lt;&gt;"",K419&lt;&gt;"",L419&lt;&gt;"Sent",L419&lt;&gt;"Picked up",L419&lt;&gt;"Cancelled"),K419+ROW()/10000000,"")</f>
        <v/>
      </c>
      <c r="U419">
        <f>IF(OR(B419="",C419=""),"",B419+ROW()/10000000)</f>
        <v/>
      </c>
      <c r="V419">
        <f>IF(U419="","",IF(COUNTIFS(Orders!$C$6:$C$1005,C419,Orders!$U$6:$U$1005,"&gt;"&amp;U419)=0,1,0))</f>
        <v/>
      </c>
      <c r="W419">
        <f>IF(AND(B419&lt;&gt;"",K419&lt;&gt;"",L419&lt;&gt;"Sent",L419&lt;&gt;"Picked up",L419&lt;&gt;"Cancelled"),IF(N(E419)=0,1,E419),0)</f>
        <v/>
      </c>
      <c r="X419">
        <f>IF(OR(B419="",D419=""),"",IF(N(E419)=0,1,E419))</f>
        <v/>
      </c>
    </row>
    <row r="420">
      <c r="A420" s="1" t="n"/>
      <c r="B420" s="31" t="n"/>
      <c r="C420" s="32" t="n"/>
      <c r="D420" s="33" t="n"/>
      <c r="E420" s="34" t="n"/>
      <c r="F420" s="35" t="n"/>
      <c r="G420" s="35" t="n"/>
      <c r="H420" s="30">
        <f>IF(OR(B420="",D420=""),"",IF(N(E420)=0,1,E420)*IFERROR(INDEX(Products!$C$6:$C$105,MATCH(D420,Products!$B$6:$B$105,0)),0)+N(F420)+N(G420))</f>
        <v/>
      </c>
      <c r="I420" s="35" t="n"/>
      <c r="J420" s="30">
        <f>IF(OR(H420="",L420="Cancelled"),"",IF(H420-N(I420)&gt;0.005,H420-N(I420),""))</f>
        <v/>
      </c>
      <c r="K420" s="31" t="n"/>
      <c r="L420" s="36" t="n"/>
      <c r="M420" s="33" t="n"/>
      <c r="N420" s="22">
        <f>IF(OR(H420="",L420="Cancelled"),"",IF(N(E420)=0,1,E420)*IFERROR(INDEX(Products!$E$6:$E$105,MATCH(D420,Products!$B$6:$B$105,0)),0))</f>
        <v/>
      </c>
      <c r="O420" s="35" t="n"/>
      <c r="P420" s="22">
        <f>IF(OR(H420="",L420="Cancelled"),"",ROUND(IFERROR(H420*INDEX(Settings!$C$6:$C$15,MATCH(M420,Settings!$B$6:$B$15,0))+INDEX(Settings!$D$6:$D$15,MATCH(M420,Settings!$B$6:$B$15,0)),0),2))</f>
        <v/>
      </c>
      <c r="Q420" s="28">
        <f>IF(OR(H420="",L420="Cancelled"),"",H420-N(N420)-N(O420)-N(P420))</f>
        <v/>
      </c>
      <c r="R420" s="19">
        <f>IF(OR(B420="",K420=""),"",IF(OR(L420="Sent",L420="Picked up"),"Done",IF(L420="Cancelled","Cancelled",IF(K420&lt;TODAY(),"Late by "&amp;(TODAY()-K420)&amp;IF((TODAY()-K420)=1," day"," days"),IF(K420=TODAY(),"Due today","Due in "&amp;(K420-TODAY())&amp;IF((K420-TODAY())=1," day"," days"))))))</f>
        <v/>
      </c>
      <c r="S420" s="33" t="n"/>
      <c r="T420" s="1">
        <f>IF(AND(B420&lt;&gt;"",K420&lt;&gt;"",L420&lt;&gt;"Sent",L420&lt;&gt;"Picked up",L420&lt;&gt;"Cancelled"),K420+ROW()/10000000,"")</f>
        <v/>
      </c>
      <c r="U420">
        <f>IF(OR(B420="",C420=""),"",B420+ROW()/10000000)</f>
        <v/>
      </c>
      <c r="V420">
        <f>IF(U420="","",IF(COUNTIFS(Orders!$C$6:$C$1005,C420,Orders!$U$6:$U$1005,"&gt;"&amp;U420)=0,1,0))</f>
        <v/>
      </c>
      <c r="W420">
        <f>IF(AND(B420&lt;&gt;"",K420&lt;&gt;"",L420&lt;&gt;"Sent",L420&lt;&gt;"Picked up",L420&lt;&gt;"Cancelled"),IF(N(E420)=0,1,E420),0)</f>
        <v/>
      </c>
      <c r="X420">
        <f>IF(OR(B420="",D420=""),"",IF(N(E420)=0,1,E420))</f>
        <v/>
      </c>
    </row>
    <row r="421">
      <c r="A421" s="1" t="n"/>
      <c r="B421" s="31" t="n"/>
      <c r="C421" s="32" t="n"/>
      <c r="D421" s="33" t="n"/>
      <c r="E421" s="34" t="n"/>
      <c r="F421" s="35" t="n"/>
      <c r="G421" s="35" t="n"/>
      <c r="H421" s="30">
        <f>IF(OR(B421="",D421=""),"",IF(N(E421)=0,1,E421)*IFERROR(INDEX(Products!$C$6:$C$105,MATCH(D421,Products!$B$6:$B$105,0)),0)+N(F421)+N(G421))</f>
        <v/>
      </c>
      <c r="I421" s="35" t="n"/>
      <c r="J421" s="30">
        <f>IF(OR(H421="",L421="Cancelled"),"",IF(H421-N(I421)&gt;0.005,H421-N(I421),""))</f>
        <v/>
      </c>
      <c r="K421" s="31" t="n"/>
      <c r="L421" s="36" t="n"/>
      <c r="M421" s="33" t="n"/>
      <c r="N421" s="22">
        <f>IF(OR(H421="",L421="Cancelled"),"",IF(N(E421)=0,1,E421)*IFERROR(INDEX(Products!$E$6:$E$105,MATCH(D421,Products!$B$6:$B$105,0)),0))</f>
        <v/>
      </c>
      <c r="O421" s="35" t="n"/>
      <c r="P421" s="22">
        <f>IF(OR(H421="",L421="Cancelled"),"",ROUND(IFERROR(H421*INDEX(Settings!$C$6:$C$15,MATCH(M421,Settings!$B$6:$B$15,0))+INDEX(Settings!$D$6:$D$15,MATCH(M421,Settings!$B$6:$B$15,0)),0),2))</f>
        <v/>
      </c>
      <c r="Q421" s="28">
        <f>IF(OR(H421="",L421="Cancelled"),"",H421-N(N421)-N(O421)-N(P421))</f>
        <v/>
      </c>
      <c r="R421" s="19">
        <f>IF(OR(B421="",K421=""),"",IF(OR(L421="Sent",L421="Picked up"),"Done",IF(L421="Cancelled","Cancelled",IF(K421&lt;TODAY(),"Late by "&amp;(TODAY()-K421)&amp;IF((TODAY()-K421)=1," day"," days"),IF(K421=TODAY(),"Due today","Due in "&amp;(K421-TODAY())&amp;IF((K421-TODAY())=1," day"," days"))))))</f>
        <v/>
      </c>
      <c r="S421" s="33" t="n"/>
      <c r="T421" s="1">
        <f>IF(AND(B421&lt;&gt;"",K421&lt;&gt;"",L421&lt;&gt;"Sent",L421&lt;&gt;"Picked up",L421&lt;&gt;"Cancelled"),K421+ROW()/10000000,"")</f>
        <v/>
      </c>
      <c r="U421">
        <f>IF(OR(B421="",C421=""),"",B421+ROW()/10000000)</f>
        <v/>
      </c>
      <c r="V421">
        <f>IF(U421="","",IF(COUNTIFS(Orders!$C$6:$C$1005,C421,Orders!$U$6:$U$1005,"&gt;"&amp;U421)=0,1,0))</f>
        <v/>
      </c>
      <c r="W421">
        <f>IF(AND(B421&lt;&gt;"",K421&lt;&gt;"",L421&lt;&gt;"Sent",L421&lt;&gt;"Picked up",L421&lt;&gt;"Cancelled"),IF(N(E421)=0,1,E421),0)</f>
        <v/>
      </c>
      <c r="X421">
        <f>IF(OR(B421="",D421=""),"",IF(N(E421)=0,1,E421))</f>
        <v/>
      </c>
    </row>
    <row r="422">
      <c r="A422" s="1" t="n"/>
      <c r="B422" s="31" t="n"/>
      <c r="C422" s="32" t="n"/>
      <c r="D422" s="33" t="n"/>
      <c r="E422" s="34" t="n"/>
      <c r="F422" s="35" t="n"/>
      <c r="G422" s="35" t="n"/>
      <c r="H422" s="30">
        <f>IF(OR(B422="",D422=""),"",IF(N(E422)=0,1,E422)*IFERROR(INDEX(Products!$C$6:$C$105,MATCH(D422,Products!$B$6:$B$105,0)),0)+N(F422)+N(G422))</f>
        <v/>
      </c>
      <c r="I422" s="35" t="n"/>
      <c r="J422" s="30">
        <f>IF(OR(H422="",L422="Cancelled"),"",IF(H422-N(I422)&gt;0.005,H422-N(I422),""))</f>
        <v/>
      </c>
      <c r="K422" s="31" t="n"/>
      <c r="L422" s="36" t="n"/>
      <c r="M422" s="33" t="n"/>
      <c r="N422" s="22">
        <f>IF(OR(H422="",L422="Cancelled"),"",IF(N(E422)=0,1,E422)*IFERROR(INDEX(Products!$E$6:$E$105,MATCH(D422,Products!$B$6:$B$105,0)),0))</f>
        <v/>
      </c>
      <c r="O422" s="35" t="n"/>
      <c r="P422" s="22">
        <f>IF(OR(H422="",L422="Cancelled"),"",ROUND(IFERROR(H422*INDEX(Settings!$C$6:$C$15,MATCH(M422,Settings!$B$6:$B$15,0))+INDEX(Settings!$D$6:$D$15,MATCH(M422,Settings!$B$6:$B$15,0)),0),2))</f>
        <v/>
      </c>
      <c r="Q422" s="28">
        <f>IF(OR(H422="",L422="Cancelled"),"",H422-N(N422)-N(O422)-N(P422))</f>
        <v/>
      </c>
      <c r="R422" s="19">
        <f>IF(OR(B422="",K422=""),"",IF(OR(L422="Sent",L422="Picked up"),"Done",IF(L422="Cancelled","Cancelled",IF(K422&lt;TODAY(),"Late by "&amp;(TODAY()-K422)&amp;IF((TODAY()-K422)=1," day"," days"),IF(K422=TODAY(),"Due today","Due in "&amp;(K422-TODAY())&amp;IF((K422-TODAY())=1," day"," days"))))))</f>
        <v/>
      </c>
      <c r="S422" s="33" t="n"/>
      <c r="T422" s="1">
        <f>IF(AND(B422&lt;&gt;"",K422&lt;&gt;"",L422&lt;&gt;"Sent",L422&lt;&gt;"Picked up",L422&lt;&gt;"Cancelled"),K422+ROW()/10000000,"")</f>
        <v/>
      </c>
      <c r="U422">
        <f>IF(OR(B422="",C422=""),"",B422+ROW()/10000000)</f>
        <v/>
      </c>
      <c r="V422">
        <f>IF(U422="","",IF(COUNTIFS(Orders!$C$6:$C$1005,C422,Orders!$U$6:$U$1005,"&gt;"&amp;U422)=0,1,0))</f>
        <v/>
      </c>
      <c r="W422">
        <f>IF(AND(B422&lt;&gt;"",K422&lt;&gt;"",L422&lt;&gt;"Sent",L422&lt;&gt;"Picked up",L422&lt;&gt;"Cancelled"),IF(N(E422)=0,1,E422),0)</f>
        <v/>
      </c>
      <c r="X422">
        <f>IF(OR(B422="",D422=""),"",IF(N(E422)=0,1,E422))</f>
        <v/>
      </c>
    </row>
    <row r="423">
      <c r="A423" s="1" t="n"/>
      <c r="B423" s="31" t="n"/>
      <c r="C423" s="32" t="n"/>
      <c r="D423" s="33" t="n"/>
      <c r="E423" s="34" t="n"/>
      <c r="F423" s="35" t="n"/>
      <c r="G423" s="35" t="n"/>
      <c r="H423" s="30">
        <f>IF(OR(B423="",D423=""),"",IF(N(E423)=0,1,E423)*IFERROR(INDEX(Products!$C$6:$C$105,MATCH(D423,Products!$B$6:$B$105,0)),0)+N(F423)+N(G423))</f>
        <v/>
      </c>
      <c r="I423" s="35" t="n"/>
      <c r="J423" s="30">
        <f>IF(OR(H423="",L423="Cancelled"),"",IF(H423-N(I423)&gt;0.005,H423-N(I423),""))</f>
        <v/>
      </c>
      <c r="K423" s="31" t="n"/>
      <c r="L423" s="36" t="n"/>
      <c r="M423" s="33" t="n"/>
      <c r="N423" s="22">
        <f>IF(OR(H423="",L423="Cancelled"),"",IF(N(E423)=0,1,E423)*IFERROR(INDEX(Products!$E$6:$E$105,MATCH(D423,Products!$B$6:$B$105,0)),0))</f>
        <v/>
      </c>
      <c r="O423" s="35" t="n"/>
      <c r="P423" s="22">
        <f>IF(OR(H423="",L423="Cancelled"),"",ROUND(IFERROR(H423*INDEX(Settings!$C$6:$C$15,MATCH(M423,Settings!$B$6:$B$15,0))+INDEX(Settings!$D$6:$D$15,MATCH(M423,Settings!$B$6:$B$15,0)),0),2))</f>
        <v/>
      </c>
      <c r="Q423" s="28">
        <f>IF(OR(H423="",L423="Cancelled"),"",H423-N(N423)-N(O423)-N(P423))</f>
        <v/>
      </c>
      <c r="R423" s="19">
        <f>IF(OR(B423="",K423=""),"",IF(OR(L423="Sent",L423="Picked up"),"Done",IF(L423="Cancelled","Cancelled",IF(K423&lt;TODAY(),"Late by "&amp;(TODAY()-K423)&amp;IF((TODAY()-K423)=1," day"," days"),IF(K423=TODAY(),"Due today","Due in "&amp;(K423-TODAY())&amp;IF((K423-TODAY())=1," day"," days"))))))</f>
        <v/>
      </c>
      <c r="S423" s="33" t="n"/>
      <c r="T423" s="1">
        <f>IF(AND(B423&lt;&gt;"",K423&lt;&gt;"",L423&lt;&gt;"Sent",L423&lt;&gt;"Picked up",L423&lt;&gt;"Cancelled"),K423+ROW()/10000000,"")</f>
        <v/>
      </c>
      <c r="U423">
        <f>IF(OR(B423="",C423=""),"",B423+ROW()/10000000)</f>
        <v/>
      </c>
      <c r="V423">
        <f>IF(U423="","",IF(COUNTIFS(Orders!$C$6:$C$1005,C423,Orders!$U$6:$U$1005,"&gt;"&amp;U423)=0,1,0))</f>
        <v/>
      </c>
      <c r="W423">
        <f>IF(AND(B423&lt;&gt;"",K423&lt;&gt;"",L423&lt;&gt;"Sent",L423&lt;&gt;"Picked up",L423&lt;&gt;"Cancelled"),IF(N(E423)=0,1,E423),0)</f>
        <v/>
      </c>
      <c r="X423">
        <f>IF(OR(B423="",D423=""),"",IF(N(E423)=0,1,E423))</f>
        <v/>
      </c>
    </row>
    <row r="424">
      <c r="A424" s="1" t="n"/>
      <c r="B424" s="31" t="n"/>
      <c r="C424" s="32" t="n"/>
      <c r="D424" s="33" t="n"/>
      <c r="E424" s="34" t="n"/>
      <c r="F424" s="35" t="n"/>
      <c r="G424" s="35" t="n"/>
      <c r="H424" s="30">
        <f>IF(OR(B424="",D424=""),"",IF(N(E424)=0,1,E424)*IFERROR(INDEX(Products!$C$6:$C$105,MATCH(D424,Products!$B$6:$B$105,0)),0)+N(F424)+N(G424))</f>
        <v/>
      </c>
      <c r="I424" s="35" t="n"/>
      <c r="J424" s="30">
        <f>IF(OR(H424="",L424="Cancelled"),"",IF(H424-N(I424)&gt;0.005,H424-N(I424),""))</f>
        <v/>
      </c>
      <c r="K424" s="31" t="n"/>
      <c r="L424" s="36" t="n"/>
      <c r="M424" s="33" t="n"/>
      <c r="N424" s="22">
        <f>IF(OR(H424="",L424="Cancelled"),"",IF(N(E424)=0,1,E424)*IFERROR(INDEX(Products!$E$6:$E$105,MATCH(D424,Products!$B$6:$B$105,0)),0))</f>
        <v/>
      </c>
      <c r="O424" s="35" t="n"/>
      <c r="P424" s="22">
        <f>IF(OR(H424="",L424="Cancelled"),"",ROUND(IFERROR(H424*INDEX(Settings!$C$6:$C$15,MATCH(M424,Settings!$B$6:$B$15,0))+INDEX(Settings!$D$6:$D$15,MATCH(M424,Settings!$B$6:$B$15,0)),0),2))</f>
        <v/>
      </c>
      <c r="Q424" s="28">
        <f>IF(OR(H424="",L424="Cancelled"),"",H424-N(N424)-N(O424)-N(P424))</f>
        <v/>
      </c>
      <c r="R424" s="19">
        <f>IF(OR(B424="",K424=""),"",IF(OR(L424="Sent",L424="Picked up"),"Done",IF(L424="Cancelled","Cancelled",IF(K424&lt;TODAY(),"Late by "&amp;(TODAY()-K424)&amp;IF((TODAY()-K424)=1," day"," days"),IF(K424=TODAY(),"Due today","Due in "&amp;(K424-TODAY())&amp;IF((K424-TODAY())=1," day"," days"))))))</f>
        <v/>
      </c>
      <c r="S424" s="33" t="n"/>
      <c r="T424" s="1">
        <f>IF(AND(B424&lt;&gt;"",K424&lt;&gt;"",L424&lt;&gt;"Sent",L424&lt;&gt;"Picked up",L424&lt;&gt;"Cancelled"),K424+ROW()/10000000,"")</f>
        <v/>
      </c>
      <c r="U424">
        <f>IF(OR(B424="",C424=""),"",B424+ROW()/10000000)</f>
        <v/>
      </c>
      <c r="V424">
        <f>IF(U424="","",IF(COUNTIFS(Orders!$C$6:$C$1005,C424,Orders!$U$6:$U$1005,"&gt;"&amp;U424)=0,1,0))</f>
        <v/>
      </c>
      <c r="W424">
        <f>IF(AND(B424&lt;&gt;"",K424&lt;&gt;"",L424&lt;&gt;"Sent",L424&lt;&gt;"Picked up",L424&lt;&gt;"Cancelled"),IF(N(E424)=0,1,E424),0)</f>
        <v/>
      </c>
      <c r="X424">
        <f>IF(OR(B424="",D424=""),"",IF(N(E424)=0,1,E424))</f>
        <v/>
      </c>
    </row>
    <row r="425">
      <c r="A425" s="1" t="n"/>
      <c r="B425" s="31" t="n"/>
      <c r="C425" s="32" t="n"/>
      <c r="D425" s="33" t="n"/>
      <c r="E425" s="34" t="n"/>
      <c r="F425" s="35" t="n"/>
      <c r="G425" s="35" t="n"/>
      <c r="H425" s="30">
        <f>IF(OR(B425="",D425=""),"",IF(N(E425)=0,1,E425)*IFERROR(INDEX(Products!$C$6:$C$105,MATCH(D425,Products!$B$6:$B$105,0)),0)+N(F425)+N(G425))</f>
        <v/>
      </c>
      <c r="I425" s="35" t="n"/>
      <c r="J425" s="30">
        <f>IF(OR(H425="",L425="Cancelled"),"",IF(H425-N(I425)&gt;0.005,H425-N(I425),""))</f>
        <v/>
      </c>
      <c r="K425" s="31" t="n"/>
      <c r="L425" s="36" t="n"/>
      <c r="M425" s="33" t="n"/>
      <c r="N425" s="22">
        <f>IF(OR(H425="",L425="Cancelled"),"",IF(N(E425)=0,1,E425)*IFERROR(INDEX(Products!$E$6:$E$105,MATCH(D425,Products!$B$6:$B$105,0)),0))</f>
        <v/>
      </c>
      <c r="O425" s="35" t="n"/>
      <c r="P425" s="22">
        <f>IF(OR(H425="",L425="Cancelled"),"",ROUND(IFERROR(H425*INDEX(Settings!$C$6:$C$15,MATCH(M425,Settings!$B$6:$B$15,0))+INDEX(Settings!$D$6:$D$15,MATCH(M425,Settings!$B$6:$B$15,0)),0),2))</f>
        <v/>
      </c>
      <c r="Q425" s="28">
        <f>IF(OR(H425="",L425="Cancelled"),"",H425-N(N425)-N(O425)-N(P425))</f>
        <v/>
      </c>
      <c r="R425" s="19">
        <f>IF(OR(B425="",K425=""),"",IF(OR(L425="Sent",L425="Picked up"),"Done",IF(L425="Cancelled","Cancelled",IF(K425&lt;TODAY(),"Late by "&amp;(TODAY()-K425)&amp;IF((TODAY()-K425)=1," day"," days"),IF(K425=TODAY(),"Due today","Due in "&amp;(K425-TODAY())&amp;IF((K425-TODAY())=1," day"," days"))))))</f>
        <v/>
      </c>
      <c r="S425" s="33" t="n"/>
      <c r="T425" s="1">
        <f>IF(AND(B425&lt;&gt;"",K425&lt;&gt;"",L425&lt;&gt;"Sent",L425&lt;&gt;"Picked up",L425&lt;&gt;"Cancelled"),K425+ROW()/10000000,"")</f>
        <v/>
      </c>
      <c r="U425">
        <f>IF(OR(B425="",C425=""),"",B425+ROW()/10000000)</f>
        <v/>
      </c>
      <c r="V425">
        <f>IF(U425="","",IF(COUNTIFS(Orders!$C$6:$C$1005,C425,Orders!$U$6:$U$1005,"&gt;"&amp;U425)=0,1,0))</f>
        <v/>
      </c>
      <c r="W425">
        <f>IF(AND(B425&lt;&gt;"",K425&lt;&gt;"",L425&lt;&gt;"Sent",L425&lt;&gt;"Picked up",L425&lt;&gt;"Cancelled"),IF(N(E425)=0,1,E425),0)</f>
        <v/>
      </c>
      <c r="X425">
        <f>IF(OR(B425="",D425=""),"",IF(N(E425)=0,1,E425))</f>
        <v/>
      </c>
    </row>
    <row r="426">
      <c r="A426" s="1" t="n"/>
      <c r="B426" s="31" t="n"/>
      <c r="C426" s="32" t="n"/>
      <c r="D426" s="33" t="n"/>
      <c r="E426" s="34" t="n"/>
      <c r="F426" s="35" t="n"/>
      <c r="G426" s="35" t="n"/>
      <c r="H426" s="30">
        <f>IF(OR(B426="",D426=""),"",IF(N(E426)=0,1,E426)*IFERROR(INDEX(Products!$C$6:$C$105,MATCH(D426,Products!$B$6:$B$105,0)),0)+N(F426)+N(G426))</f>
        <v/>
      </c>
      <c r="I426" s="35" t="n"/>
      <c r="J426" s="30">
        <f>IF(OR(H426="",L426="Cancelled"),"",IF(H426-N(I426)&gt;0.005,H426-N(I426),""))</f>
        <v/>
      </c>
      <c r="K426" s="31" t="n"/>
      <c r="L426" s="36" t="n"/>
      <c r="M426" s="33" t="n"/>
      <c r="N426" s="22">
        <f>IF(OR(H426="",L426="Cancelled"),"",IF(N(E426)=0,1,E426)*IFERROR(INDEX(Products!$E$6:$E$105,MATCH(D426,Products!$B$6:$B$105,0)),0))</f>
        <v/>
      </c>
      <c r="O426" s="35" t="n"/>
      <c r="P426" s="22">
        <f>IF(OR(H426="",L426="Cancelled"),"",ROUND(IFERROR(H426*INDEX(Settings!$C$6:$C$15,MATCH(M426,Settings!$B$6:$B$15,0))+INDEX(Settings!$D$6:$D$15,MATCH(M426,Settings!$B$6:$B$15,0)),0),2))</f>
        <v/>
      </c>
      <c r="Q426" s="28">
        <f>IF(OR(H426="",L426="Cancelled"),"",H426-N(N426)-N(O426)-N(P426))</f>
        <v/>
      </c>
      <c r="R426" s="19">
        <f>IF(OR(B426="",K426=""),"",IF(OR(L426="Sent",L426="Picked up"),"Done",IF(L426="Cancelled","Cancelled",IF(K426&lt;TODAY(),"Late by "&amp;(TODAY()-K426)&amp;IF((TODAY()-K426)=1," day"," days"),IF(K426=TODAY(),"Due today","Due in "&amp;(K426-TODAY())&amp;IF((K426-TODAY())=1," day"," days"))))))</f>
        <v/>
      </c>
      <c r="S426" s="33" t="n"/>
      <c r="T426" s="1">
        <f>IF(AND(B426&lt;&gt;"",K426&lt;&gt;"",L426&lt;&gt;"Sent",L426&lt;&gt;"Picked up",L426&lt;&gt;"Cancelled"),K426+ROW()/10000000,"")</f>
        <v/>
      </c>
      <c r="U426">
        <f>IF(OR(B426="",C426=""),"",B426+ROW()/10000000)</f>
        <v/>
      </c>
      <c r="V426">
        <f>IF(U426="","",IF(COUNTIFS(Orders!$C$6:$C$1005,C426,Orders!$U$6:$U$1005,"&gt;"&amp;U426)=0,1,0))</f>
        <v/>
      </c>
      <c r="W426">
        <f>IF(AND(B426&lt;&gt;"",K426&lt;&gt;"",L426&lt;&gt;"Sent",L426&lt;&gt;"Picked up",L426&lt;&gt;"Cancelled"),IF(N(E426)=0,1,E426),0)</f>
        <v/>
      </c>
      <c r="X426">
        <f>IF(OR(B426="",D426=""),"",IF(N(E426)=0,1,E426))</f>
        <v/>
      </c>
    </row>
    <row r="427">
      <c r="A427" s="1" t="n"/>
      <c r="B427" s="31" t="n"/>
      <c r="C427" s="32" t="n"/>
      <c r="D427" s="33" t="n"/>
      <c r="E427" s="34" t="n"/>
      <c r="F427" s="35" t="n"/>
      <c r="G427" s="35" t="n"/>
      <c r="H427" s="30">
        <f>IF(OR(B427="",D427=""),"",IF(N(E427)=0,1,E427)*IFERROR(INDEX(Products!$C$6:$C$105,MATCH(D427,Products!$B$6:$B$105,0)),0)+N(F427)+N(G427))</f>
        <v/>
      </c>
      <c r="I427" s="35" t="n"/>
      <c r="J427" s="30">
        <f>IF(OR(H427="",L427="Cancelled"),"",IF(H427-N(I427)&gt;0.005,H427-N(I427),""))</f>
        <v/>
      </c>
      <c r="K427" s="31" t="n"/>
      <c r="L427" s="36" t="n"/>
      <c r="M427" s="33" t="n"/>
      <c r="N427" s="22">
        <f>IF(OR(H427="",L427="Cancelled"),"",IF(N(E427)=0,1,E427)*IFERROR(INDEX(Products!$E$6:$E$105,MATCH(D427,Products!$B$6:$B$105,0)),0))</f>
        <v/>
      </c>
      <c r="O427" s="35" t="n"/>
      <c r="P427" s="22">
        <f>IF(OR(H427="",L427="Cancelled"),"",ROUND(IFERROR(H427*INDEX(Settings!$C$6:$C$15,MATCH(M427,Settings!$B$6:$B$15,0))+INDEX(Settings!$D$6:$D$15,MATCH(M427,Settings!$B$6:$B$15,0)),0),2))</f>
        <v/>
      </c>
      <c r="Q427" s="28">
        <f>IF(OR(H427="",L427="Cancelled"),"",H427-N(N427)-N(O427)-N(P427))</f>
        <v/>
      </c>
      <c r="R427" s="19">
        <f>IF(OR(B427="",K427=""),"",IF(OR(L427="Sent",L427="Picked up"),"Done",IF(L427="Cancelled","Cancelled",IF(K427&lt;TODAY(),"Late by "&amp;(TODAY()-K427)&amp;IF((TODAY()-K427)=1," day"," days"),IF(K427=TODAY(),"Due today","Due in "&amp;(K427-TODAY())&amp;IF((K427-TODAY())=1," day"," days"))))))</f>
        <v/>
      </c>
      <c r="S427" s="33" t="n"/>
      <c r="T427" s="1">
        <f>IF(AND(B427&lt;&gt;"",K427&lt;&gt;"",L427&lt;&gt;"Sent",L427&lt;&gt;"Picked up",L427&lt;&gt;"Cancelled"),K427+ROW()/10000000,"")</f>
        <v/>
      </c>
      <c r="U427">
        <f>IF(OR(B427="",C427=""),"",B427+ROW()/10000000)</f>
        <v/>
      </c>
      <c r="V427">
        <f>IF(U427="","",IF(COUNTIFS(Orders!$C$6:$C$1005,C427,Orders!$U$6:$U$1005,"&gt;"&amp;U427)=0,1,0))</f>
        <v/>
      </c>
      <c r="W427">
        <f>IF(AND(B427&lt;&gt;"",K427&lt;&gt;"",L427&lt;&gt;"Sent",L427&lt;&gt;"Picked up",L427&lt;&gt;"Cancelled"),IF(N(E427)=0,1,E427),0)</f>
        <v/>
      </c>
      <c r="X427">
        <f>IF(OR(B427="",D427=""),"",IF(N(E427)=0,1,E427))</f>
        <v/>
      </c>
    </row>
    <row r="428">
      <c r="A428" s="1" t="n"/>
      <c r="B428" s="31" t="n"/>
      <c r="C428" s="32" t="n"/>
      <c r="D428" s="33" t="n"/>
      <c r="E428" s="34" t="n"/>
      <c r="F428" s="35" t="n"/>
      <c r="G428" s="35" t="n"/>
      <c r="H428" s="30">
        <f>IF(OR(B428="",D428=""),"",IF(N(E428)=0,1,E428)*IFERROR(INDEX(Products!$C$6:$C$105,MATCH(D428,Products!$B$6:$B$105,0)),0)+N(F428)+N(G428))</f>
        <v/>
      </c>
      <c r="I428" s="35" t="n"/>
      <c r="J428" s="30">
        <f>IF(OR(H428="",L428="Cancelled"),"",IF(H428-N(I428)&gt;0.005,H428-N(I428),""))</f>
        <v/>
      </c>
      <c r="K428" s="31" t="n"/>
      <c r="L428" s="36" t="n"/>
      <c r="M428" s="33" t="n"/>
      <c r="N428" s="22">
        <f>IF(OR(H428="",L428="Cancelled"),"",IF(N(E428)=0,1,E428)*IFERROR(INDEX(Products!$E$6:$E$105,MATCH(D428,Products!$B$6:$B$105,0)),0))</f>
        <v/>
      </c>
      <c r="O428" s="35" t="n"/>
      <c r="P428" s="22">
        <f>IF(OR(H428="",L428="Cancelled"),"",ROUND(IFERROR(H428*INDEX(Settings!$C$6:$C$15,MATCH(M428,Settings!$B$6:$B$15,0))+INDEX(Settings!$D$6:$D$15,MATCH(M428,Settings!$B$6:$B$15,0)),0),2))</f>
        <v/>
      </c>
      <c r="Q428" s="28">
        <f>IF(OR(H428="",L428="Cancelled"),"",H428-N(N428)-N(O428)-N(P428))</f>
        <v/>
      </c>
      <c r="R428" s="19">
        <f>IF(OR(B428="",K428=""),"",IF(OR(L428="Sent",L428="Picked up"),"Done",IF(L428="Cancelled","Cancelled",IF(K428&lt;TODAY(),"Late by "&amp;(TODAY()-K428)&amp;IF((TODAY()-K428)=1," day"," days"),IF(K428=TODAY(),"Due today","Due in "&amp;(K428-TODAY())&amp;IF((K428-TODAY())=1," day"," days"))))))</f>
        <v/>
      </c>
      <c r="S428" s="33" t="n"/>
      <c r="T428" s="1">
        <f>IF(AND(B428&lt;&gt;"",K428&lt;&gt;"",L428&lt;&gt;"Sent",L428&lt;&gt;"Picked up",L428&lt;&gt;"Cancelled"),K428+ROW()/10000000,"")</f>
        <v/>
      </c>
      <c r="U428">
        <f>IF(OR(B428="",C428=""),"",B428+ROW()/10000000)</f>
        <v/>
      </c>
      <c r="V428">
        <f>IF(U428="","",IF(COUNTIFS(Orders!$C$6:$C$1005,C428,Orders!$U$6:$U$1005,"&gt;"&amp;U428)=0,1,0))</f>
        <v/>
      </c>
      <c r="W428">
        <f>IF(AND(B428&lt;&gt;"",K428&lt;&gt;"",L428&lt;&gt;"Sent",L428&lt;&gt;"Picked up",L428&lt;&gt;"Cancelled"),IF(N(E428)=0,1,E428),0)</f>
        <v/>
      </c>
      <c r="X428">
        <f>IF(OR(B428="",D428=""),"",IF(N(E428)=0,1,E428))</f>
        <v/>
      </c>
    </row>
    <row r="429">
      <c r="A429" s="1" t="n"/>
      <c r="B429" s="31" t="n"/>
      <c r="C429" s="32" t="n"/>
      <c r="D429" s="33" t="n"/>
      <c r="E429" s="34" t="n"/>
      <c r="F429" s="35" t="n"/>
      <c r="G429" s="35" t="n"/>
      <c r="H429" s="30">
        <f>IF(OR(B429="",D429=""),"",IF(N(E429)=0,1,E429)*IFERROR(INDEX(Products!$C$6:$C$105,MATCH(D429,Products!$B$6:$B$105,0)),0)+N(F429)+N(G429))</f>
        <v/>
      </c>
      <c r="I429" s="35" t="n"/>
      <c r="J429" s="30">
        <f>IF(OR(H429="",L429="Cancelled"),"",IF(H429-N(I429)&gt;0.005,H429-N(I429),""))</f>
        <v/>
      </c>
      <c r="K429" s="31" t="n"/>
      <c r="L429" s="36" t="n"/>
      <c r="M429" s="33" t="n"/>
      <c r="N429" s="22">
        <f>IF(OR(H429="",L429="Cancelled"),"",IF(N(E429)=0,1,E429)*IFERROR(INDEX(Products!$E$6:$E$105,MATCH(D429,Products!$B$6:$B$105,0)),0))</f>
        <v/>
      </c>
      <c r="O429" s="35" t="n"/>
      <c r="P429" s="22">
        <f>IF(OR(H429="",L429="Cancelled"),"",ROUND(IFERROR(H429*INDEX(Settings!$C$6:$C$15,MATCH(M429,Settings!$B$6:$B$15,0))+INDEX(Settings!$D$6:$D$15,MATCH(M429,Settings!$B$6:$B$15,0)),0),2))</f>
        <v/>
      </c>
      <c r="Q429" s="28">
        <f>IF(OR(H429="",L429="Cancelled"),"",H429-N(N429)-N(O429)-N(P429))</f>
        <v/>
      </c>
      <c r="R429" s="19">
        <f>IF(OR(B429="",K429=""),"",IF(OR(L429="Sent",L429="Picked up"),"Done",IF(L429="Cancelled","Cancelled",IF(K429&lt;TODAY(),"Late by "&amp;(TODAY()-K429)&amp;IF((TODAY()-K429)=1," day"," days"),IF(K429=TODAY(),"Due today","Due in "&amp;(K429-TODAY())&amp;IF((K429-TODAY())=1," day"," days"))))))</f>
        <v/>
      </c>
      <c r="S429" s="33" t="n"/>
      <c r="T429" s="1">
        <f>IF(AND(B429&lt;&gt;"",K429&lt;&gt;"",L429&lt;&gt;"Sent",L429&lt;&gt;"Picked up",L429&lt;&gt;"Cancelled"),K429+ROW()/10000000,"")</f>
        <v/>
      </c>
      <c r="U429">
        <f>IF(OR(B429="",C429=""),"",B429+ROW()/10000000)</f>
        <v/>
      </c>
      <c r="V429">
        <f>IF(U429="","",IF(COUNTIFS(Orders!$C$6:$C$1005,C429,Orders!$U$6:$U$1005,"&gt;"&amp;U429)=0,1,0))</f>
        <v/>
      </c>
      <c r="W429">
        <f>IF(AND(B429&lt;&gt;"",K429&lt;&gt;"",L429&lt;&gt;"Sent",L429&lt;&gt;"Picked up",L429&lt;&gt;"Cancelled"),IF(N(E429)=0,1,E429),0)</f>
        <v/>
      </c>
      <c r="X429">
        <f>IF(OR(B429="",D429=""),"",IF(N(E429)=0,1,E429))</f>
        <v/>
      </c>
    </row>
    <row r="430">
      <c r="A430" s="1" t="n"/>
      <c r="B430" s="31" t="n"/>
      <c r="C430" s="32" t="n"/>
      <c r="D430" s="33" t="n"/>
      <c r="E430" s="34" t="n"/>
      <c r="F430" s="35" t="n"/>
      <c r="G430" s="35" t="n"/>
      <c r="H430" s="30">
        <f>IF(OR(B430="",D430=""),"",IF(N(E430)=0,1,E430)*IFERROR(INDEX(Products!$C$6:$C$105,MATCH(D430,Products!$B$6:$B$105,0)),0)+N(F430)+N(G430))</f>
        <v/>
      </c>
      <c r="I430" s="35" t="n"/>
      <c r="J430" s="30">
        <f>IF(OR(H430="",L430="Cancelled"),"",IF(H430-N(I430)&gt;0.005,H430-N(I430),""))</f>
        <v/>
      </c>
      <c r="K430" s="31" t="n"/>
      <c r="L430" s="36" t="n"/>
      <c r="M430" s="33" t="n"/>
      <c r="N430" s="22">
        <f>IF(OR(H430="",L430="Cancelled"),"",IF(N(E430)=0,1,E430)*IFERROR(INDEX(Products!$E$6:$E$105,MATCH(D430,Products!$B$6:$B$105,0)),0))</f>
        <v/>
      </c>
      <c r="O430" s="35" t="n"/>
      <c r="P430" s="22">
        <f>IF(OR(H430="",L430="Cancelled"),"",ROUND(IFERROR(H430*INDEX(Settings!$C$6:$C$15,MATCH(M430,Settings!$B$6:$B$15,0))+INDEX(Settings!$D$6:$D$15,MATCH(M430,Settings!$B$6:$B$15,0)),0),2))</f>
        <v/>
      </c>
      <c r="Q430" s="28">
        <f>IF(OR(H430="",L430="Cancelled"),"",H430-N(N430)-N(O430)-N(P430))</f>
        <v/>
      </c>
      <c r="R430" s="19">
        <f>IF(OR(B430="",K430=""),"",IF(OR(L430="Sent",L430="Picked up"),"Done",IF(L430="Cancelled","Cancelled",IF(K430&lt;TODAY(),"Late by "&amp;(TODAY()-K430)&amp;IF((TODAY()-K430)=1," day"," days"),IF(K430=TODAY(),"Due today","Due in "&amp;(K430-TODAY())&amp;IF((K430-TODAY())=1," day"," days"))))))</f>
        <v/>
      </c>
      <c r="S430" s="33" t="n"/>
      <c r="T430" s="1">
        <f>IF(AND(B430&lt;&gt;"",K430&lt;&gt;"",L430&lt;&gt;"Sent",L430&lt;&gt;"Picked up",L430&lt;&gt;"Cancelled"),K430+ROW()/10000000,"")</f>
        <v/>
      </c>
      <c r="U430">
        <f>IF(OR(B430="",C430=""),"",B430+ROW()/10000000)</f>
        <v/>
      </c>
      <c r="V430">
        <f>IF(U430="","",IF(COUNTIFS(Orders!$C$6:$C$1005,C430,Orders!$U$6:$U$1005,"&gt;"&amp;U430)=0,1,0))</f>
        <v/>
      </c>
      <c r="W430">
        <f>IF(AND(B430&lt;&gt;"",K430&lt;&gt;"",L430&lt;&gt;"Sent",L430&lt;&gt;"Picked up",L430&lt;&gt;"Cancelled"),IF(N(E430)=0,1,E430),0)</f>
        <v/>
      </c>
      <c r="X430">
        <f>IF(OR(B430="",D430=""),"",IF(N(E430)=0,1,E430))</f>
        <v/>
      </c>
    </row>
    <row r="431">
      <c r="A431" s="1" t="n"/>
      <c r="B431" s="31" t="n"/>
      <c r="C431" s="32" t="n"/>
      <c r="D431" s="33" t="n"/>
      <c r="E431" s="34" t="n"/>
      <c r="F431" s="35" t="n"/>
      <c r="G431" s="35" t="n"/>
      <c r="H431" s="30">
        <f>IF(OR(B431="",D431=""),"",IF(N(E431)=0,1,E431)*IFERROR(INDEX(Products!$C$6:$C$105,MATCH(D431,Products!$B$6:$B$105,0)),0)+N(F431)+N(G431))</f>
        <v/>
      </c>
      <c r="I431" s="35" t="n"/>
      <c r="J431" s="30">
        <f>IF(OR(H431="",L431="Cancelled"),"",IF(H431-N(I431)&gt;0.005,H431-N(I431),""))</f>
        <v/>
      </c>
      <c r="K431" s="31" t="n"/>
      <c r="L431" s="36" t="n"/>
      <c r="M431" s="33" t="n"/>
      <c r="N431" s="22">
        <f>IF(OR(H431="",L431="Cancelled"),"",IF(N(E431)=0,1,E431)*IFERROR(INDEX(Products!$E$6:$E$105,MATCH(D431,Products!$B$6:$B$105,0)),0))</f>
        <v/>
      </c>
      <c r="O431" s="35" t="n"/>
      <c r="P431" s="22">
        <f>IF(OR(H431="",L431="Cancelled"),"",ROUND(IFERROR(H431*INDEX(Settings!$C$6:$C$15,MATCH(M431,Settings!$B$6:$B$15,0))+INDEX(Settings!$D$6:$D$15,MATCH(M431,Settings!$B$6:$B$15,0)),0),2))</f>
        <v/>
      </c>
      <c r="Q431" s="28">
        <f>IF(OR(H431="",L431="Cancelled"),"",H431-N(N431)-N(O431)-N(P431))</f>
        <v/>
      </c>
      <c r="R431" s="19">
        <f>IF(OR(B431="",K431=""),"",IF(OR(L431="Sent",L431="Picked up"),"Done",IF(L431="Cancelled","Cancelled",IF(K431&lt;TODAY(),"Late by "&amp;(TODAY()-K431)&amp;IF((TODAY()-K431)=1," day"," days"),IF(K431=TODAY(),"Due today","Due in "&amp;(K431-TODAY())&amp;IF((K431-TODAY())=1," day"," days"))))))</f>
        <v/>
      </c>
      <c r="S431" s="33" t="n"/>
      <c r="T431" s="1">
        <f>IF(AND(B431&lt;&gt;"",K431&lt;&gt;"",L431&lt;&gt;"Sent",L431&lt;&gt;"Picked up",L431&lt;&gt;"Cancelled"),K431+ROW()/10000000,"")</f>
        <v/>
      </c>
      <c r="U431">
        <f>IF(OR(B431="",C431=""),"",B431+ROW()/10000000)</f>
        <v/>
      </c>
      <c r="V431">
        <f>IF(U431="","",IF(COUNTIFS(Orders!$C$6:$C$1005,C431,Orders!$U$6:$U$1005,"&gt;"&amp;U431)=0,1,0))</f>
        <v/>
      </c>
      <c r="W431">
        <f>IF(AND(B431&lt;&gt;"",K431&lt;&gt;"",L431&lt;&gt;"Sent",L431&lt;&gt;"Picked up",L431&lt;&gt;"Cancelled"),IF(N(E431)=0,1,E431),0)</f>
        <v/>
      </c>
      <c r="X431">
        <f>IF(OR(B431="",D431=""),"",IF(N(E431)=0,1,E431))</f>
        <v/>
      </c>
    </row>
    <row r="432">
      <c r="A432" s="1" t="n"/>
      <c r="B432" s="31" t="n"/>
      <c r="C432" s="32" t="n"/>
      <c r="D432" s="33" t="n"/>
      <c r="E432" s="34" t="n"/>
      <c r="F432" s="35" t="n"/>
      <c r="G432" s="35" t="n"/>
      <c r="H432" s="30">
        <f>IF(OR(B432="",D432=""),"",IF(N(E432)=0,1,E432)*IFERROR(INDEX(Products!$C$6:$C$105,MATCH(D432,Products!$B$6:$B$105,0)),0)+N(F432)+N(G432))</f>
        <v/>
      </c>
      <c r="I432" s="35" t="n"/>
      <c r="J432" s="30">
        <f>IF(OR(H432="",L432="Cancelled"),"",IF(H432-N(I432)&gt;0.005,H432-N(I432),""))</f>
        <v/>
      </c>
      <c r="K432" s="31" t="n"/>
      <c r="L432" s="36" t="n"/>
      <c r="M432" s="33" t="n"/>
      <c r="N432" s="22">
        <f>IF(OR(H432="",L432="Cancelled"),"",IF(N(E432)=0,1,E432)*IFERROR(INDEX(Products!$E$6:$E$105,MATCH(D432,Products!$B$6:$B$105,0)),0))</f>
        <v/>
      </c>
      <c r="O432" s="35" t="n"/>
      <c r="P432" s="22">
        <f>IF(OR(H432="",L432="Cancelled"),"",ROUND(IFERROR(H432*INDEX(Settings!$C$6:$C$15,MATCH(M432,Settings!$B$6:$B$15,0))+INDEX(Settings!$D$6:$D$15,MATCH(M432,Settings!$B$6:$B$15,0)),0),2))</f>
        <v/>
      </c>
      <c r="Q432" s="28">
        <f>IF(OR(H432="",L432="Cancelled"),"",H432-N(N432)-N(O432)-N(P432))</f>
        <v/>
      </c>
      <c r="R432" s="19">
        <f>IF(OR(B432="",K432=""),"",IF(OR(L432="Sent",L432="Picked up"),"Done",IF(L432="Cancelled","Cancelled",IF(K432&lt;TODAY(),"Late by "&amp;(TODAY()-K432)&amp;IF((TODAY()-K432)=1," day"," days"),IF(K432=TODAY(),"Due today","Due in "&amp;(K432-TODAY())&amp;IF((K432-TODAY())=1," day"," days"))))))</f>
        <v/>
      </c>
      <c r="S432" s="33" t="n"/>
      <c r="T432" s="1">
        <f>IF(AND(B432&lt;&gt;"",K432&lt;&gt;"",L432&lt;&gt;"Sent",L432&lt;&gt;"Picked up",L432&lt;&gt;"Cancelled"),K432+ROW()/10000000,"")</f>
        <v/>
      </c>
      <c r="U432">
        <f>IF(OR(B432="",C432=""),"",B432+ROW()/10000000)</f>
        <v/>
      </c>
      <c r="V432">
        <f>IF(U432="","",IF(COUNTIFS(Orders!$C$6:$C$1005,C432,Orders!$U$6:$U$1005,"&gt;"&amp;U432)=0,1,0))</f>
        <v/>
      </c>
      <c r="W432">
        <f>IF(AND(B432&lt;&gt;"",K432&lt;&gt;"",L432&lt;&gt;"Sent",L432&lt;&gt;"Picked up",L432&lt;&gt;"Cancelled"),IF(N(E432)=0,1,E432),0)</f>
        <v/>
      </c>
      <c r="X432">
        <f>IF(OR(B432="",D432=""),"",IF(N(E432)=0,1,E432))</f>
        <v/>
      </c>
    </row>
    <row r="433">
      <c r="A433" s="1" t="n"/>
      <c r="B433" s="31" t="n"/>
      <c r="C433" s="32" t="n"/>
      <c r="D433" s="33" t="n"/>
      <c r="E433" s="34" t="n"/>
      <c r="F433" s="35" t="n"/>
      <c r="G433" s="35" t="n"/>
      <c r="H433" s="30">
        <f>IF(OR(B433="",D433=""),"",IF(N(E433)=0,1,E433)*IFERROR(INDEX(Products!$C$6:$C$105,MATCH(D433,Products!$B$6:$B$105,0)),0)+N(F433)+N(G433))</f>
        <v/>
      </c>
      <c r="I433" s="35" t="n"/>
      <c r="J433" s="30">
        <f>IF(OR(H433="",L433="Cancelled"),"",IF(H433-N(I433)&gt;0.005,H433-N(I433),""))</f>
        <v/>
      </c>
      <c r="K433" s="31" t="n"/>
      <c r="L433" s="36" t="n"/>
      <c r="M433" s="33" t="n"/>
      <c r="N433" s="22">
        <f>IF(OR(H433="",L433="Cancelled"),"",IF(N(E433)=0,1,E433)*IFERROR(INDEX(Products!$E$6:$E$105,MATCH(D433,Products!$B$6:$B$105,0)),0))</f>
        <v/>
      </c>
      <c r="O433" s="35" t="n"/>
      <c r="P433" s="22">
        <f>IF(OR(H433="",L433="Cancelled"),"",ROUND(IFERROR(H433*INDEX(Settings!$C$6:$C$15,MATCH(M433,Settings!$B$6:$B$15,0))+INDEX(Settings!$D$6:$D$15,MATCH(M433,Settings!$B$6:$B$15,0)),0),2))</f>
        <v/>
      </c>
      <c r="Q433" s="28">
        <f>IF(OR(H433="",L433="Cancelled"),"",H433-N(N433)-N(O433)-N(P433))</f>
        <v/>
      </c>
      <c r="R433" s="19">
        <f>IF(OR(B433="",K433=""),"",IF(OR(L433="Sent",L433="Picked up"),"Done",IF(L433="Cancelled","Cancelled",IF(K433&lt;TODAY(),"Late by "&amp;(TODAY()-K433)&amp;IF((TODAY()-K433)=1," day"," days"),IF(K433=TODAY(),"Due today","Due in "&amp;(K433-TODAY())&amp;IF((K433-TODAY())=1," day"," days"))))))</f>
        <v/>
      </c>
      <c r="S433" s="33" t="n"/>
      <c r="T433" s="1">
        <f>IF(AND(B433&lt;&gt;"",K433&lt;&gt;"",L433&lt;&gt;"Sent",L433&lt;&gt;"Picked up",L433&lt;&gt;"Cancelled"),K433+ROW()/10000000,"")</f>
        <v/>
      </c>
      <c r="U433">
        <f>IF(OR(B433="",C433=""),"",B433+ROW()/10000000)</f>
        <v/>
      </c>
      <c r="V433">
        <f>IF(U433="","",IF(COUNTIFS(Orders!$C$6:$C$1005,C433,Orders!$U$6:$U$1005,"&gt;"&amp;U433)=0,1,0))</f>
        <v/>
      </c>
      <c r="W433">
        <f>IF(AND(B433&lt;&gt;"",K433&lt;&gt;"",L433&lt;&gt;"Sent",L433&lt;&gt;"Picked up",L433&lt;&gt;"Cancelled"),IF(N(E433)=0,1,E433),0)</f>
        <v/>
      </c>
      <c r="X433">
        <f>IF(OR(B433="",D433=""),"",IF(N(E433)=0,1,E433))</f>
        <v/>
      </c>
    </row>
    <row r="434">
      <c r="A434" s="1" t="n"/>
      <c r="B434" s="31" t="n"/>
      <c r="C434" s="32" t="n"/>
      <c r="D434" s="33" t="n"/>
      <c r="E434" s="34" t="n"/>
      <c r="F434" s="35" t="n"/>
      <c r="G434" s="35" t="n"/>
      <c r="H434" s="30">
        <f>IF(OR(B434="",D434=""),"",IF(N(E434)=0,1,E434)*IFERROR(INDEX(Products!$C$6:$C$105,MATCH(D434,Products!$B$6:$B$105,0)),0)+N(F434)+N(G434))</f>
        <v/>
      </c>
      <c r="I434" s="35" t="n"/>
      <c r="J434" s="30">
        <f>IF(OR(H434="",L434="Cancelled"),"",IF(H434-N(I434)&gt;0.005,H434-N(I434),""))</f>
        <v/>
      </c>
      <c r="K434" s="31" t="n"/>
      <c r="L434" s="36" t="n"/>
      <c r="M434" s="33" t="n"/>
      <c r="N434" s="22">
        <f>IF(OR(H434="",L434="Cancelled"),"",IF(N(E434)=0,1,E434)*IFERROR(INDEX(Products!$E$6:$E$105,MATCH(D434,Products!$B$6:$B$105,0)),0))</f>
        <v/>
      </c>
      <c r="O434" s="35" t="n"/>
      <c r="P434" s="22">
        <f>IF(OR(H434="",L434="Cancelled"),"",ROUND(IFERROR(H434*INDEX(Settings!$C$6:$C$15,MATCH(M434,Settings!$B$6:$B$15,0))+INDEX(Settings!$D$6:$D$15,MATCH(M434,Settings!$B$6:$B$15,0)),0),2))</f>
        <v/>
      </c>
      <c r="Q434" s="28">
        <f>IF(OR(H434="",L434="Cancelled"),"",H434-N(N434)-N(O434)-N(P434))</f>
        <v/>
      </c>
      <c r="R434" s="19">
        <f>IF(OR(B434="",K434=""),"",IF(OR(L434="Sent",L434="Picked up"),"Done",IF(L434="Cancelled","Cancelled",IF(K434&lt;TODAY(),"Late by "&amp;(TODAY()-K434)&amp;IF((TODAY()-K434)=1," day"," days"),IF(K434=TODAY(),"Due today","Due in "&amp;(K434-TODAY())&amp;IF((K434-TODAY())=1," day"," days"))))))</f>
        <v/>
      </c>
      <c r="S434" s="33" t="n"/>
      <c r="T434" s="1">
        <f>IF(AND(B434&lt;&gt;"",K434&lt;&gt;"",L434&lt;&gt;"Sent",L434&lt;&gt;"Picked up",L434&lt;&gt;"Cancelled"),K434+ROW()/10000000,"")</f>
        <v/>
      </c>
      <c r="U434">
        <f>IF(OR(B434="",C434=""),"",B434+ROW()/10000000)</f>
        <v/>
      </c>
      <c r="V434">
        <f>IF(U434="","",IF(COUNTIFS(Orders!$C$6:$C$1005,C434,Orders!$U$6:$U$1005,"&gt;"&amp;U434)=0,1,0))</f>
        <v/>
      </c>
      <c r="W434">
        <f>IF(AND(B434&lt;&gt;"",K434&lt;&gt;"",L434&lt;&gt;"Sent",L434&lt;&gt;"Picked up",L434&lt;&gt;"Cancelled"),IF(N(E434)=0,1,E434),0)</f>
        <v/>
      </c>
      <c r="X434">
        <f>IF(OR(B434="",D434=""),"",IF(N(E434)=0,1,E434))</f>
        <v/>
      </c>
    </row>
    <row r="435">
      <c r="A435" s="1" t="n"/>
      <c r="B435" s="31" t="n"/>
      <c r="C435" s="32" t="n"/>
      <c r="D435" s="33" t="n"/>
      <c r="E435" s="34" t="n"/>
      <c r="F435" s="35" t="n"/>
      <c r="G435" s="35" t="n"/>
      <c r="H435" s="30">
        <f>IF(OR(B435="",D435=""),"",IF(N(E435)=0,1,E435)*IFERROR(INDEX(Products!$C$6:$C$105,MATCH(D435,Products!$B$6:$B$105,0)),0)+N(F435)+N(G435))</f>
        <v/>
      </c>
      <c r="I435" s="35" t="n"/>
      <c r="J435" s="30">
        <f>IF(OR(H435="",L435="Cancelled"),"",IF(H435-N(I435)&gt;0.005,H435-N(I435),""))</f>
        <v/>
      </c>
      <c r="K435" s="31" t="n"/>
      <c r="L435" s="36" t="n"/>
      <c r="M435" s="33" t="n"/>
      <c r="N435" s="22">
        <f>IF(OR(H435="",L435="Cancelled"),"",IF(N(E435)=0,1,E435)*IFERROR(INDEX(Products!$E$6:$E$105,MATCH(D435,Products!$B$6:$B$105,0)),0))</f>
        <v/>
      </c>
      <c r="O435" s="35" t="n"/>
      <c r="P435" s="22">
        <f>IF(OR(H435="",L435="Cancelled"),"",ROUND(IFERROR(H435*INDEX(Settings!$C$6:$C$15,MATCH(M435,Settings!$B$6:$B$15,0))+INDEX(Settings!$D$6:$D$15,MATCH(M435,Settings!$B$6:$B$15,0)),0),2))</f>
        <v/>
      </c>
      <c r="Q435" s="28">
        <f>IF(OR(H435="",L435="Cancelled"),"",H435-N(N435)-N(O435)-N(P435))</f>
        <v/>
      </c>
      <c r="R435" s="19">
        <f>IF(OR(B435="",K435=""),"",IF(OR(L435="Sent",L435="Picked up"),"Done",IF(L435="Cancelled","Cancelled",IF(K435&lt;TODAY(),"Late by "&amp;(TODAY()-K435)&amp;IF((TODAY()-K435)=1," day"," days"),IF(K435=TODAY(),"Due today","Due in "&amp;(K435-TODAY())&amp;IF((K435-TODAY())=1," day"," days"))))))</f>
        <v/>
      </c>
      <c r="S435" s="33" t="n"/>
      <c r="T435" s="1">
        <f>IF(AND(B435&lt;&gt;"",K435&lt;&gt;"",L435&lt;&gt;"Sent",L435&lt;&gt;"Picked up",L435&lt;&gt;"Cancelled"),K435+ROW()/10000000,"")</f>
        <v/>
      </c>
      <c r="U435">
        <f>IF(OR(B435="",C435=""),"",B435+ROW()/10000000)</f>
        <v/>
      </c>
      <c r="V435">
        <f>IF(U435="","",IF(COUNTIFS(Orders!$C$6:$C$1005,C435,Orders!$U$6:$U$1005,"&gt;"&amp;U435)=0,1,0))</f>
        <v/>
      </c>
      <c r="W435">
        <f>IF(AND(B435&lt;&gt;"",K435&lt;&gt;"",L435&lt;&gt;"Sent",L435&lt;&gt;"Picked up",L435&lt;&gt;"Cancelled"),IF(N(E435)=0,1,E435),0)</f>
        <v/>
      </c>
      <c r="X435">
        <f>IF(OR(B435="",D435=""),"",IF(N(E435)=0,1,E435))</f>
        <v/>
      </c>
    </row>
    <row r="436">
      <c r="A436" s="1" t="n"/>
      <c r="B436" s="31" t="n"/>
      <c r="C436" s="32" t="n"/>
      <c r="D436" s="33" t="n"/>
      <c r="E436" s="34" t="n"/>
      <c r="F436" s="35" t="n"/>
      <c r="G436" s="35" t="n"/>
      <c r="H436" s="30">
        <f>IF(OR(B436="",D436=""),"",IF(N(E436)=0,1,E436)*IFERROR(INDEX(Products!$C$6:$C$105,MATCH(D436,Products!$B$6:$B$105,0)),0)+N(F436)+N(G436))</f>
        <v/>
      </c>
      <c r="I436" s="35" t="n"/>
      <c r="J436" s="30">
        <f>IF(OR(H436="",L436="Cancelled"),"",IF(H436-N(I436)&gt;0.005,H436-N(I436),""))</f>
        <v/>
      </c>
      <c r="K436" s="31" t="n"/>
      <c r="L436" s="36" t="n"/>
      <c r="M436" s="33" t="n"/>
      <c r="N436" s="22">
        <f>IF(OR(H436="",L436="Cancelled"),"",IF(N(E436)=0,1,E436)*IFERROR(INDEX(Products!$E$6:$E$105,MATCH(D436,Products!$B$6:$B$105,0)),0))</f>
        <v/>
      </c>
      <c r="O436" s="35" t="n"/>
      <c r="P436" s="22">
        <f>IF(OR(H436="",L436="Cancelled"),"",ROUND(IFERROR(H436*INDEX(Settings!$C$6:$C$15,MATCH(M436,Settings!$B$6:$B$15,0))+INDEX(Settings!$D$6:$D$15,MATCH(M436,Settings!$B$6:$B$15,0)),0),2))</f>
        <v/>
      </c>
      <c r="Q436" s="28">
        <f>IF(OR(H436="",L436="Cancelled"),"",H436-N(N436)-N(O436)-N(P436))</f>
        <v/>
      </c>
      <c r="R436" s="19">
        <f>IF(OR(B436="",K436=""),"",IF(OR(L436="Sent",L436="Picked up"),"Done",IF(L436="Cancelled","Cancelled",IF(K436&lt;TODAY(),"Late by "&amp;(TODAY()-K436)&amp;IF((TODAY()-K436)=1," day"," days"),IF(K436=TODAY(),"Due today","Due in "&amp;(K436-TODAY())&amp;IF((K436-TODAY())=1," day"," days"))))))</f>
        <v/>
      </c>
      <c r="S436" s="33" t="n"/>
      <c r="T436" s="1">
        <f>IF(AND(B436&lt;&gt;"",K436&lt;&gt;"",L436&lt;&gt;"Sent",L436&lt;&gt;"Picked up",L436&lt;&gt;"Cancelled"),K436+ROW()/10000000,"")</f>
        <v/>
      </c>
      <c r="U436">
        <f>IF(OR(B436="",C436=""),"",B436+ROW()/10000000)</f>
        <v/>
      </c>
      <c r="V436">
        <f>IF(U436="","",IF(COUNTIFS(Orders!$C$6:$C$1005,C436,Orders!$U$6:$U$1005,"&gt;"&amp;U436)=0,1,0))</f>
        <v/>
      </c>
      <c r="W436">
        <f>IF(AND(B436&lt;&gt;"",K436&lt;&gt;"",L436&lt;&gt;"Sent",L436&lt;&gt;"Picked up",L436&lt;&gt;"Cancelled"),IF(N(E436)=0,1,E436),0)</f>
        <v/>
      </c>
      <c r="X436">
        <f>IF(OR(B436="",D436=""),"",IF(N(E436)=0,1,E436))</f>
        <v/>
      </c>
    </row>
    <row r="437">
      <c r="A437" s="1" t="n"/>
      <c r="B437" s="31" t="n"/>
      <c r="C437" s="32" t="n"/>
      <c r="D437" s="33" t="n"/>
      <c r="E437" s="34" t="n"/>
      <c r="F437" s="35" t="n"/>
      <c r="G437" s="35" t="n"/>
      <c r="H437" s="30">
        <f>IF(OR(B437="",D437=""),"",IF(N(E437)=0,1,E437)*IFERROR(INDEX(Products!$C$6:$C$105,MATCH(D437,Products!$B$6:$B$105,0)),0)+N(F437)+N(G437))</f>
        <v/>
      </c>
      <c r="I437" s="35" t="n"/>
      <c r="J437" s="30">
        <f>IF(OR(H437="",L437="Cancelled"),"",IF(H437-N(I437)&gt;0.005,H437-N(I437),""))</f>
        <v/>
      </c>
      <c r="K437" s="31" t="n"/>
      <c r="L437" s="36" t="n"/>
      <c r="M437" s="33" t="n"/>
      <c r="N437" s="22">
        <f>IF(OR(H437="",L437="Cancelled"),"",IF(N(E437)=0,1,E437)*IFERROR(INDEX(Products!$E$6:$E$105,MATCH(D437,Products!$B$6:$B$105,0)),0))</f>
        <v/>
      </c>
      <c r="O437" s="35" t="n"/>
      <c r="P437" s="22">
        <f>IF(OR(H437="",L437="Cancelled"),"",ROUND(IFERROR(H437*INDEX(Settings!$C$6:$C$15,MATCH(M437,Settings!$B$6:$B$15,0))+INDEX(Settings!$D$6:$D$15,MATCH(M437,Settings!$B$6:$B$15,0)),0),2))</f>
        <v/>
      </c>
      <c r="Q437" s="28">
        <f>IF(OR(H437="",L437="Cancelled"),"",H437-N(N437)-N(O437)-N(P437))</f>
        <v/>
      </c>
      <c r="R437" s="19">
        <f>IF(OR(B437="",K437=""),"",IF(OR(L437="Sent",L437="Picked up"),"Done",IF(L437="Cancelled","Cancelled",IF(K437&lt;TODAY(),"Late by "&amp;(TODAY()-K437)&amp;IF((TODAY()-K437)=1," day"," days"),IF(K437=TODAY(),"Due today","Due in "&amp;(K437-TODAY())&amp;IF((K437-TODAY())=1," day"," days"))))))</f>
        <v/>
      </c>
      <c r="S437" s="33" t="n"/>
      <c r="T437" s="1">
        <f>IF(AND(B437&lt;&gt;"",K437&lt;&gt;"",L437&lt;&gt;"Sent",L437&lt;&gt;"Picked up",L437&lt;&gt;"Cancelled"),K437+ROW()/10000000,"")</f>
        <v/>
      </c>
      <c r="U437">
        <f>IF(OR(B437="",C437=""),"",B437+ROW()/10000000)</f>
        <v/>
      </c>
      <c r="V437">
        <f>IF(U437="","",IF(COUNTIFS(Orders!$C$6:$C$1005,C437,Orders!$U$6:$U$1005,"&gt;"&amp;U437)=0,1,0))</f>
        <v/>
      </c>
      <c r="W437">
        <f>IF(AND(B437&lt;&gt;"",K437&lt;&gt;"",L437&lt;&gt;"Sent",L437&lt;&gt;"Picked up",L437&lt;&gt;"Cancelled"),IF(N(E437)=0,1,E437),0)</f>
        <v/>
      </c>
      <c r="X437">
        <f>IF(OR(B437="",D437=""),"",IF(N(E437)=0,1,E437))</f>
        <v/>
      </c>
    </row>
    <row r="438">
      <c r="A438" s="1" t="n"/>
      <c r="B438" s="31" t="n"/>
      <c r="C438" s="32" t="n"/>
      <c r="D438" s="33" t="n"/>
      <c r="E438" s="34" t="n"/>
      <c r="F438" s="35" t="n"/>
      <c r="G438" s="35" t="n"/>
      <c r="H438" s="30">
        <f>IF(OR(B438="",D438=""),"",IF(N(E438)=0,1,E438)*IFERROR(INDEX(Products!$C$6:$C$105,MATCH(D438,Products!$B$6:$B$105,0)),0)+N(F438)+N(G438))</f>
        <v/>
      </c>
      <c r="I438" s="35" t="n"/>
      <c r="J438" s="30">
        <f>IF(OR(H438="",L438="Cancelled"),"",IF(H438-N(I438)&gt;0.005,H438-N(I438),""))</f>
        <v/>
      </c>
      <c r="K438" s="31" t="n"/>
      <c r="L438" s="36" t="n"/>
      <c r="M438" s="33" t="n"/>
      <c r="N438" s="22">
        <f>IF(OR(H438="",L438="Cancelled"),"",IF(N(E438)=0,1,E438)*IFERROR(INDEX(Products!$E$6:$E$105,MATCH(D438,Products!$B$6:$B$105,0)),0))</f>
        <v/>
      </c>
      <c r="O438" s="35" t="n"/>
      <c r="P438" s="22">
        <f>IF(OR(H438="",L438="Cancelled"),"",ROUND(IFERROR(H438*INDEX(Settings!$C$6:$C$15,MATCH(M438,Settings!$B$6:$B$15,0))+INDEX(Settings!$D$6:$D$15,MATCH(M438,Settings!$B$6:$B$15,0)),0),2))</f>
        <v/>
      </c>
      <c r="Q438" s="28">
        <f>IF(OR(H438="",L438="Cancelled"),"",H438-N(N438)-N(O438)-N(P438))</f>
        <v/>
      </c>
      <c r="R438" s="19">
        <f>IF(OR(B438="",K438=""),"",IF(OR(L438="Sent",L438="Picked up"),"Done",IF(L438="Cancelled","Cancelled",IF(K438&lt;TODAY(),"Late by "&amp;(TODAY()-K438)&amp;IF((TODAY()-K438)=1," day"," days"),IF(K438=TODAY(),"Due today","Due in "&amp;(K438-TODAY())&amp;IF((K438-TODAY())=1," day"," days"))))))</f>
        <v/>
      </c>
      <c r="S438" s="33" t="n"/>
      <c r="T438" s="1">
        <f>IF(AND(B438&lt;&gt;"",K438&lt;&gt;"",L438&lt;&gt;"Sent",L438&lt;&gt;"Picked up",L438&lt;&gt;"Cancelled"),K438+ROW()/10000000,"")</f>
        <v/>
      </c>
      <c r="U438">
        <f>IF(OR(B438="",C438=""),"",B438+ROW()/10000000)</f>
        <v/>
      </c>
      <c r="V438">
        <f>IF(U438="","",IF(COUNTIFS(Orders!$C$6:$C$1005,C438,Orders!$U$6:$U$1005,"&gt;"&amp;U438)=0,1,0))</f>
        <v/>
      </c>
      <c r="W438">
        <f>IF(AND(B438&lt;&gt;"",K438&lt;&gt;"",L438&lt;&gt;"Sent",L438&lt;&gt;"Picked up",L438&lt;&gt;"Cancelled"),IF(N(E438)=0,1,E438),0)</f>
        <v/>
      </c>
      <c r="X438">
        <f>IF(OR(B438="",D438=""),"",IF(N(E438)=0,1,E438))</f>
        <v/>
      </c>
    </row>
    <row r="439">
      <c r="A439" s="1" t="n"/>
      <c r="B439" s="31" t="n"/>
      <c r="C439" s="32" t="n"/>
      <c r="D439" s="33" t="n"/>
      <c r="E439" s="34" t="n"/>
      <c r="F439" s="35" t="n"/>
      <c r="G439" s="35" t="n"/>
      <c r="H439" s="30">
        <f>IF(OR(B439="",D439=""),"",IF(N(E439)=0,1,E439)*IFERROR(INDEX(Products!$C$6:$C$105,MATCH(D439,Products!$B$6:$B$105,0)),0)+N(F439)+N(G439))</f>
        <v/>
      </c>
      <c r="I439" s="35" t="n"/>
      <c r="J439" s="30">
        <f>IF(OR(H439="",L439="Cancelled"),"",IF(H439-N(I439)&gt;0.005,H439-N(I439),""))</f>
        <v/>
      </c>
      <c r="K439" s="31" t="n"/>
      <c r="L439" s="36" t="n"/>
      <c r="M439" s="33" t="n"/>
      <c r="N439" s="22">
        <f>IF(OR(H439="",L439="Cancelled"),"",IF(N(E439)=0,1,E439)*IFERROR(INDEX(Products!$E$6:$E$105,MATCH(D439,Products!$B$6:$B$105,0)),0))</f>
        <v/>
      </c>
      <c r="O439" s="35" t="n"/>
      <c r="P439" s="22">
        <f>IF(OR(H439="",L439="Cancelled"),"",ROUND(IFERROR(H439*INDEX(Settings!$C$6:$C$15,MATCH(M439,Settings!$B$6:$B$15,0))+INDEX(Settings!$D$6:$D$15,MATCH(M439,Settings!$B$6:$B$15,0)),0),2))</f>
        <v/>
      </c>
      <c r="Q439" s="28">
        <f>IF(OR(H439="",L439="Cancelled"),"",H439-N(N439)-N(O439)-N(P439))</f>
        <v/>
      </c>
      <c r="R439" s="19">
        <f>IF(OR(B439="",K439=""),"",IF(OR(L439="Sent",L439="Picked up"),"Done",IF(L439="Cancelled","Cancelled",IF(K439&lt;TODAY(),"Late by "&amp;(TODAY()-K439)&amp;IF((TODAY()-K439)=1," day"," days"),IF(K439=TODAY(),"Due today","Due in "&amp;(K439-TODAY())&amp;IF((K439-TODAY())=1," day"," days"))))))</f>
        <v/>
      </c>
      <c r="S439" s="33" t="n"/>
      <c r="T439" s="1">
        <f>IF(AND(B439&lt;&gt;"",K439&lt;&gt;"",L439&lt;&gt;"Sent",L439&lt;&gt;"Picked up",L439&lt;&gt;"Cancelled"),K439+ROW()/10000000,"")</f>
        <v/>
      </c>
      <c r="U439">
        <f>IF(OR(B439="",C439=""),"",B439+ROW()/10000000)</f>
        <v/>
      </c>
      <c r="V439">
        <f>IF(U439="","",IF(COUNTIFS(Orders!$C$6:$C$1005,C439,Orders!$U$6:$U$1005,"&gt;"&amp;U439)=0,1,0))</f>
        <v/>
      </c>
      <c r="W439">
        <f>IF(AND(B439&lt;&gt;"",K439&lt;&gt;"",L439&lt;&gt;"Sent",L439&lt;&gt;"Picked up",L439&lt;&gt;"Cancelled"),IF(N(E439)=0,1,E439),0)</f>
        <v/>
      </c>
      <c r="X439">
        <f>IF(OR(B439="",D439=""),"",IF(N(E439)=0,1,E439))</f>
        <v/>
      </c>
    </row>
    <row r="440">
      <c r="A440" s="1" t="n"/>
      <c r="B440" s="31" t="n"/>
      <c r="C440" s="32" t="n"/>
      <c r="D440" s="33" t="n"/>
      <c r="E440" s="34" t="n"/>
      <c r="F440" s="35" t="n"/>
      <c r="G440" s="35" t="n"/>
      <c r="H440" s="30">
        <f>IF(OR(B440="",D440=""),"",IF(N(E440)=0,1,E440)*IFERROR(INDEX(Products!$C$6:$C$105,MATCH(D440,Products!$B$6:$B$105,0)),0)+N(F440)+N(G440))</f>
        <v/>
      </c>
      <c r="I440" s="35" t="n"/>
      <c r="J440" s="30">
        <f>IF(OR(H440="",L440="Cancelled"),"",IF(H440-N(I440)&gt;0.005,H440-N(I440),""))</f>
        <v/>
      </c>
      <c r="K440" s="31" t="n"/>
      <c r="L440" s="36" t="n"/>
      <c r="M440" s="33" t="n"/>
      <c r="N440" s="22">
        <f>IF(OR(H440="",L440="Cancelled"),"",IF(N(E440)=0,1,E440)*IFERROR(INDEX(Products!$E$6:$E$105,MATCH(D440,Products!$B$6:$B$105,0)),0))</f>
        <v/>
      </c>
      <c r="O440" s="35" t="n"/>
      <c r="P440" s="22">
        <f>IF(OR(H440="",L440="Cancelled"),"",ROUND(IFERROR(H440*INDEX(Settings!$C$6:$C$15,MATCH(M440,Settings!$B$6:$B$15,0))+INDEX(Settings!$D$6:$D$15,MATCH(M440,Settings!$B$6:$B$15,0)),0),2))</f>
        <v/>
      </c>
      <c r="Q440" s="28">
        <f>IF(OR(H440="",L440="Cancelled"),"",H440-N(N440)-N(O440)-N(P440))</f>
        <v/>
      </c>
      <c r="R440" s="19">
        <f>IF(OR(B440="",K440=""),"",IF(OR(L440="Sent",L440="Picked up"),"Done",IF(L440="Cancelled","Cancelled",IF(K440&lt;TODAY(),"Late by "&amp;(TODAY()-K440)&amp;IF((TODAY()-K440)=1," day"," days"),IF(K440=TODAY(),"Due today","Due in "&amp;(K440-TODAY())&amp;IF((K440-TODAY())=1," day"," days"))))))</f>
        <v/>
      </c>
      <c r="S440" s="33" t="n"/>
      <c r="T440" s="1">
        <f>IF(AND(B440&lt;&gt;"",K440&lt;&gt;"",L440&lt;&gt;"Sent",L440&lt;&gt;"Picked up",L440&lt;&gt;"Cancelled"),K440+ROW()/10000000,"")</f>
        <v/>
      </c>
      <c r="U440">
        <f>IF(OR(B440="",C440=""),"",B440+ROW()/10000000)</f>
        <v/>
      </c>
      <c r="V440">
        <f>IF(U440="","",IF(COUNTIFS(Orders!$C$6:$C$1005,C440,Orders!$U$6:$U$1005,"&gt;"&amp;U440)=0,1,0))</f>
        <v/>
      </c>
      <c r="W440">
        <f>IF(AND(B440&lt;&gt;"",K440&lt;&gt;"",L440&lt;&gt;"Sent",L440&lt;&gt;"Picked up",L440&lt;&gt;"Cancelled"),IF(N(E440)=0,1,E440),0)</f>
        <v/>
      </c>
      <c r="X440">
        <f>IF(OR(B440="",D440=""),"",IF(N(E440)=0,1,E440))</f>
        <v/>
      </c>
    </row>
    <row r="441">
      <c r="A441" s="1" t="n"/>
      <c r="B441" s="31" t="n"/>
      <c r="C441" s="32" t="n"/>
      <c r="D441" s="33" t="n"/>
      <c r="E441" s="34" t="n"/>
      <c r="F441" s="35" t="n"/>
      <c r="G441" s="35" t="n"/>
      <c r="H441" s="30">
        <f>IF(OR(B441="",D441=""),"",IF(N(E441)=0,1,E441)*IFERROR(INDEX(Products!$C$6:$C$105,MATCH(D441,Products!$B$6:$B$105,0)),0)+N(F441)+N(G441))</f>
        <v/>
      </c>
      <c r="I441" s="35" t="n"/>
      <c r="J441" s="30">
        <f>IF(OR(H441="",L441="Cancelled"),"",IF(H441-N(I441)&gt;0.005,H441-N(I441),""))</f>
        <v/>
      </c>
      <c r="K441" s="31" t="n"/>
      <c r="L441" s="36" t="n"/>
      <c r="M441" s="33" t="n"/>
      <c r="N441" s="22">
        <f>IF(OR(H441="",L441="Cancelled"),"",IF(N(E441)=0,1,E441)*IFERROR(INDEX(Products!$E$6:$E$105,MATCH(D441,Products!$B$6:$B$105,0)),0))</f>
        <v/>
      </c>
      <c r="O441" s="35" t="n"/>
      <c r="P441" s="22">
        <f>IF(OR(H441="",L441="Cancelled"),"",ROUND(IFERROR(H441*INDEX(Settings!$C$6:$C$15,MATCH(M441,Settings!$B$6:$B$15,0))+INDEX(Settings!$D$6:$D$15,MATCH(M441,Settings!$B$6:$B$15,0)),0),2))</f>
        <v/>
      </c>
      <c r="Q441" s="28">
        <f>IF(OR(H441="",L441="Cancelled"),"",H441-N(N441)-N(O441)-N(P441))</f>
        <v/>
      </c>
      <c r="R441" s="19">
        <f>IF(OR(B441="",K441=""),"",IF(OR(L441="Sent",L441="Picked up"),"Done",IF(L441="Cancelled","Cancelled",IF(K441&lt;TODAY(),"Late by "&amp;(TODAY()-K441)&amp;IF((TODAY()-K441)=1," day"," days"),IF(K441=TODAY(),"Due today","Due in "&amp;(K441-TODAY())&amp;IF((K441-TODAY())=1," day"," days"))))))</f>
        <v/>
      </c>
      <c r="S441" s="33" t="n"/>
      <c r="T441" s="1">
        <f>IF(AND(B441&lt;&gt;"",K441&lt;&gt;"",L441&lt;&gt;"Sent",L441&lt;&gt;"Picked up",L441&lt;&gt;"Cancelled"),K441+ROW()/10000000,"")</f>
        <v/>
      </c>
      <c r="U441">
        <f>IF(OR(B441="",C441=""),"",B441+ROW()/10000000)</f>
        <v/>
      </c>
      <c r="V441">
        <f>IF(U441="","",IF(COUNTIFS(Orders!$C$6:$C$1005,C441,Orders!$U$6:$U$1005,"&gt;"&amp;U441)=0,1,0))</f>
        <v/>
      </c>
      <c r="W441">
        <f>IF(AND(B441&lt;&gt;"",K441&lt;&gt;"",L441&lt;&gt;"Sent",L441&lt;&gt;"Picked up",L441&lt;&gt;"Cancelled"),IF(N(E441)=0,1,E441),0)</f>
        <v/>
      </c>
      <c r="X441">
        <f>IF(OR(B441="",D441=""),"",IF(N(E441)=0,1,E441))</f>
        <v/>
      </c>
    </row>
    <row r="442">
      <c r="A442" s="1" t="n"/>
      <c r="B442" s="31" t="n"/>
      <c r="C442" s="32" t="n"/>
      <c r="D442" s="33" t="n"/>
      <c r="E442" s="34" t="n"/>
      <c r="F442" s="35" t="n"/>
      <c r="G442" s="35" t="n"/>
      <c r="H442" s="30">
        <f>IF(OR(B442="",D442=""),"",IF(N(E442)=0,1,E442)*IFERROR(INDEX(Products!$C$6:$C$105,MATCH(D442,Products!$B$6:$B$105,0)),0)+N(F442)+N(G442))</f>
        <v/>
      </c>
      <c r="I442" s="35" t="n"/>
      <c r="J442" s="30">
        <f>IF(OR(H442="",L442="Cancelled"),"",IF(H442-N(I442)&gt;0.005,H442-N(I442),""))</f>
        <v/>
      </c>
      <c r="K442" s="31" t="n"/>
      <c r="L442" s="36" t="n"/>
      <c r="M442" s="33" t="n"/>
      <c r="N442" s="22">
        <f>IF(OR(H442="",L442="Cancelled"),"",IF(N(E442)=0,1,E442)*IFERROR(INDEX(Products!$E$6:$E$105,MATCH(D442,Products!$B$6:$B$105,0)),0))</f>
        <v/>
      </c>
      <c r="O442" s="35" t="n"/>
      <c r="P442" s="22">
        <f>IF(OR(H442="",L442="Cancelled"),"",ROUND(IFERROR(H442*INDEX(Settings!$C$6:$C$15,MATCH(M442,Settings!$B$6:$B$15,0))+INDEX(Settings!$D$6:$D$15,MATCH(M442,Settings!$B$6:$B$15,0)),0),2))</f>
        <v/>
      </c>
      <c r="Q442" s="28">
        <f>IF(OR(H442="",L442="Cancelled"),"",H442-N(N442)-N(O442)-N(P442))</f>
        <v/>
      </c>
      <c r="R442" s="19">
        <f>IF(OR(B442="",K442=""),"",IF(OR(L442="Sent",L442="Picked up"),"Done",IF(L442="Cancelled","Cancelled",IF(K442&lt;TODAY(),"Late by "&amp;(TODAY()-K442)&amp;IF((TODAY()-K442)=1," day"," days"),IF(K442=TODAY(),"Due today","Due in "&amp;(K442-TODAY())&amp;IF((K442-TODAY())=1," day"," days"))))))</f>
        <v/>
      </c>
      <c r="S442" s="33" t="n"/>
      <c r="T442" s="1">
        <f>IF(AND(B442&lt;&gt;"",K442&lt;&gt;"",L442&lt;&gt;"Sent",L442&lt;&gt;"Picked up",L442&lt;&gt;"Cancelled"),K442+ROW()/10000000,"")</f>
        <v/>
      </c>
      <c r="U442">
        <f>IF(OR(B442="",C442=""),"",B442+ROW()/10000000)</f>
        <v/>
      </c>
      <c r="V442">
        <f>IF(U442="","",IF(COUNTIFS(Orders!$C$6:$C$1005,C442,Orders!$U$6:$U$1005,"&gt;"&amp;U442)=0,1,0))</f>
        <v/>
      </c>
      <c r="W442">
        <f>IF(AND(B442&lt;&gt;"",K442&lt;&gt;"",L442&lt;&gt;"Sent",L442&lt;&gt;"Picked up",L442&lt;&gt;"Cancelled"),IF(N(E442)=0,1,E442),0)</f>
        <v/>
      </c>
      <c r="X442">
        <f>IF(OR(B442="",D442=""),"",IF(N(E442)=0,1,E442))</f>
        <v/>
      </c>
    </row>
    <row r="443">
      <c r="A443" s="1" t="n"/>
      <c r="B443" s="31" t="n"/>
      <c r="C443" s="32" t="n"/>
      <c r="D443" s="33" t="n"/>
      <c r="E443" s="34" t="n"/>
      <c r="F443" s="35" t="n"/>
      <c r="G443" s="35" t="n"/>
      <c r="H443" s="30">
        <f>IF(OR(B443="",D443=""),"",IF(N(E443)=0,1,E443)*IFERROR(INDEX(Products!$C$6:$C$105,MATCH(D443,Products!$B$6:$B$105,0)),0)+N(F443)+N(G443))</f>
        <v/>
      </c>
      <c r="I443" s="35" t="n"/>
      <c r="J443" s="30">
        <f>IF(OR(H443="",L443="Cancelled"),"",IF(H443-N(I443)&gt;0.005,H443-N(I443),""))</f>
        <v/>
      </c>
      <c r="K443" s="31" t="n"/>
      <c r="L443" s="36" t="n"/>
      <c r="M443" s="33" t="n"/>
      <c r="N443" s="22">
        <f>IF(OR(H443="",L443="Cancelled"),"",IF(N(E443)=0,1,E443)*IFERROR(INDEX(Products!$E$6:$E$105,MATCH(D443,Products!$B$6:$B$105,0)),0))</f>
        <v/>
      </c>
      <c r="O443" s="35" t="n"/>
      <c r="P443" s="22">
        <f>IF(OR(H443="",L443="Cancelled"),"",ROUND(IFERROR(H443*INDEX(Settings!$C$6:$C$15,MATCH(M443,Settings!$B$6:$B$15,0))+INDEX(Settings!$D$6:$D$15,MATCH(M443,Settings!$B$6:$B$15,0)),0),2))</f>
        <v/>
      </c>
      <c r="Q443" s="28">
        <f>IF(OR(H443="",L443="Cancelled"),"",H443-N(N443)-N(O443)-N(P443))</f>
        <v/>
      </c>
      <c r="R443" s="19">
        <f>IF(OR(B443="",K443=""),"",IF(OR(L443="Sent",L443="Picked up"),"Done",IF(L443="Cancelled","Cancelled",IF(K443&lt;TODAY(),"Late by "&amp;(TODAY()-K443)&amp;IF((TODAY()-K443)=1," day"," days"),IF(K443=TODAY(),"Due today","Due in "&amp;(K443-TODAY())&amp;IF((K443-TODAY())=1," day"," days"))))))</f>
        <v/>
      </c>
      <c r="S443" s="33" t="n"/>
      <c r="T443" s="1">
        <f>IF(AND(B443&lt;&gt;"",K443&lt;&gt;"",L443&lt;&gt;"Sent",L443&lt;&gt;"Picked up",L443&lt;&gt;"Cancelled"),K443+ROW()/10000000,"")</f>
        <v/>
      </c>
      <c r="U443">
        <f>IF(OR(B443="",C443=""),"",B443+ROW()/10000000)</f>
        <v/>
      </c>
      <c r="V443">
        <f>IF(U443="","",IF(COUNTIFS(Orders!$C$6:$C$1005,C443,Orders!$U$6:$U$1005,"&gt;"&amp;U443)=0,1,0))</f>
        <v/>
      </c>
      <c r="W443">
        <f>IF(AND(B443&lt;&gt;"",K443&lt;&gt;"",L443&lt;&gt;"Sent",L443&lt;&gt;"Picked up",L443&lt;&gt;"Cancelled"),IF(N(E443)=0,1,E443),0)</f>
        <v/>
      </c>
      <c r="X443">
        <f>IF(OR(B443="",D443=""),"",IF(N(E443)=0,1,E443))</f>
        <v/>
      </c>
    </row>
    <row r="444">
      <c r="A444" s="1" t="n"/>
      <c r="B444" s="31" t="n"/>
      <c r="C444" s="32" t="n"/>
      <c r="D444" s="33" t="n"/>
      <c r="E444" s="34" t="n"/>
      <c r="F444" s="35" t="n"/>
      <c r="G444" s="35" t="n"/>
      <c r="H444" s="30">
        <f>IF(OR(B444="",D444=""),"",IF(N(E444)=0,1,E444)*IFERROR(INDEX(Products!$C$6:$C$105,MATCH(D444,Products!$B$6:$B$105,0)),0)+N(F444)+N(G444))</f>
        <v/>
      </c>
      <c r="I444" s="35" t="n"/>
      <c r="J444" s="30">
        <f>IF(OR(H444="",L444="Cancelled"),"",IF(H444-N(I444)&gt;0.005,H444-N(I444),""))</f>
        <v/>
      </c>
      <c r="K444" s="31" t="n"/>
      <c r="L444" s="36" t="n"/>
      <c r="M444" s="33" t="n"/>
      <c r="N444" s="22">
        <f>IF(OR(H444="",L444="Cancelled"),"",IF(N(E444)=0,1,E444)*IFERROR(INDEX(Products!$E$6:$E$105,MATCH(D444,Products!$B$6:$B$105,0)),0))</f>
        <v/>
      </c>
      <c r="O444" s="35" t="n"/>
      <c r="P444" s="22">
        <f>IF(OR(H444="",L444="Cancelled"),"",ROUND(IFERROR(H444*INDEX(Settings!$C$6:$C$15,MATCH(M444,Settings!$B$6:$B$15,0))+INDEX(Settings!$D$6:$D$15,MATCH(M444,Settings!$B$6:$B$15,0)),0),2))</f>
        <v/>
      </c>
      <c r="Q444" s="28">
        <f>IF(OR(H444="",L444="Cancelled"),"",H444-N(N444)-N(O444)-N(P444))</f>
        <v/>
      </c>
      <c r="R444" s="19">
        <f>IF(OR(B444="",K444=""),"",IF(OR(L444="Sent",L444="Picked up"),"Done",IF(L444="Cancelled","Cancelled",IF(K444&lt;TODAY(),"Late by "&amp;(TODAY()-K444)&amp;IF((TODAY()-K444)=1," day"," days"),IF(K444=TODAY(),"Due today","Due in "&amp;(K444-TODAY())&amp;IF((K444-TODAY())=1," day"," days"))))))</f>
        <v/>
      </c>
      <c r="S444" s="33" t="n"/>
      <c r="T444" s="1">
        <f>IF(AND(B444&lt;&gt;"",K444&lt;&gt;"",L444&lt;&gt;"Sent",L444&lt;&gt;"Picked up",L444&lt;&gt;"Cancelled"),K444+ROW()/10000000,"")</f>
        <v/>
      </c>
      <c r="U444">
        <f>IF(OR(B444="",C444=""),"",B444+ROW()/10000000)</f>
        <v/>
      </c>
      <c r="V444">
        <f>IF(U444="","",IF(COUNTIFS(Orders!$C$6:$C$1005,C444,Orders!$U$6:$U$1005,"&gt;"&amp;U444)=0,1,0))</f>
        <v/>
      </c>
      <c r="W444">
        <f>IF(AND(B444&lt;&gt;"",K444&lt;&gt;"",L444&lt;&gt;"Sent",L444&lt;&gt;"Picked up",L444&lt;&gt;"Cancelled"),IF(N(E444)=0,1,E444),0)</f>
        <v/>
      </c>
      <c r="X444">
        <f>IF(OR(B444="",D444=""),"",IF(N(E444)=0,1,E444))</f>
        <v/>
      </c>
    </row>
    <row r="445">
      <c r="A445" s="1" t="n"/>
      <c r="B445" s="31" t="n"/>
      <c r="C445" s="32" t="n"/>
      <c r="D445" s="33" t="n"/>
      <c r="E445" s="34" t="n"/>
      <c r="F445" s="35" t="n"/>
      <c r="G445" s="35" t="n"/>
      <c r="H445" s="30">
        <f>IF(OR(B445="",D445=""),"",IF(N(E445)=0,1,E445)*IFERROR(INDEX(Products!$C$6:$C$105,MATCH(D445,Products!$B$6:$B$105,0)),0)+N(F445)+N(G445))</f>
        <v/>
      </c>
      <c r="I445" s="35" t="n"/>
      <c r="J445" s="30">
        <f>IF(OR(H445="",L445="Cancelled"),"",IF(H445-N(I445)&gt;0.005,H445-N(I445),""))</f>
        <v/>
      </c>
      <c r="K445" s="31" t="n"/>
      <c r="L445" s="36" t="n"/>
      <c r="M445" s="33" t="n"/>
      <c r="N445" s="22">
        <f>IF(OR(H445="",L445="Cancelled"),"",IF(N(E445)=0,1,E445)*IFERROR(INDEX(Products!$E$6:$E$105,MATCH(D445,Products!$B$6:$B$105,0)),0))</f>
        <v/>
      </c>
      <c r="O445" s="35" t="n"/>
      <c r="P445" s="22">
        <f>IF(OR(H445="",L445="Cancelled"),"",ROUND(IFERROR(H445*INDEX(Settings!$C$6:$C$15,MATCH(M445,Settings!$B$6:$B$15,0))+INDEX(Settings!$D$6:$D$15,MATCH(M445,Settings!$B$6:$B$15,0)),0),2))</f>
        <v/>
      </c>
      <c r="Q445" s="28">
        <f>IF(OR(H445="",L445="Cancelled"),"",H445-N(N445)-N(O445)-N(P445))</f>
        <v/>
      </c>
      <c r="R445" s="19">
        <f>IF(OR(B445="",K445=""),"",IF(OR(L445="Sent",L445="Picked up"),"Done",IF(L445="Cancelled","Cancelled",IF(K445&lt;TODAY(),"Late by "&amp;(TODAY()-K445)&amp;IF((TODAY()-K445)=1," day"," days"),IF(K445=TODAY(),"Due today","Due in "&amp;(K445-TODAY())&amp;IF((K445-TODAY())=1," day"," days"))))))</f>
        <v/>
      </c>
      <c r="S445" s="33" t="n"/>
      <c r="T445" s="1">
        <f>IF(AND(B445&lt;&gt;"",K445&lt;&gt;"",L445&lt;&gt;"Sent",L445&lt;&gt;"Picked up",L445&lt;&gt;"Cancelled"),K445+ROW()/10000000,"")</f>
        <v/>
      </c>
      <c r="U445">
        <f>IF(OR(B445="",C445=""),"",B445+ROW()/10000000)</f>
        <v/>
      </c>
      <c r="V445">
        <f>IF(U445="","",IF(COUNTIFS(Orders!$C$6:$C$1005,C445,Orders!$U$6:$U$1005,"&gt;"&amp;U445)=0,1,0))</f>
        <v/>
      </c>
      <c r="W445">
        <f>IF(AND(B445&lt;&gt;"",K445&lt;&gt;"",L445&lt;&gt;"Sent",L445&lt;&gt;"Picked up",L445&lt;&gt;"Cancelled"),IF(N(E445)=0,1,E445),0)</f>
        <v/>
      </c>
      <c r="X445">
        <f>IF(OR(B445="",D445=""),"",IF(N(E445)=0,1,E445))</f>
        <v/>
      </c>
    </row>
    <row r="446">
      <c r="A446" s="1" t="n"/>
      <c r="B446" s="31" t="n"/>
      <c r="C446" s="32" t="n"/>
      <c r="D446" s="33" t="n"/>
      <c r="E446" s="34" t="n"/>
      <c r="F446" s="35" t="n"/>
      <c r="G446" s="35" t="n"/>
      <c r="H446" s="30">
        <f>IF(OR(B446="",D446=""),"",IF(N(E446)=0,1,E446)*IFERROR(INDEX(Products!$C$6:$C$105,MATCH(D446,Products!$B$6:$B$105,0)),0)+N(F446)+N(G446))</f>
        <v/>
      </c>
      <c r="I446" s="35" t="n"/>
      <c r="J446" s="30">
        <f>IF(OR(H446="",L446="Cancelled"),"",IF(H446-N(I446)&gt;0.005,H446-N(I446),""))</f>
        <v/>
      </c>
      <c r="K446" s="31" t="n"/>
      <c r="L446" s="36" t="n"/>
      <c r="M446" s="33" t="n"/>
      <c r="N446" s="22">
        <f>IF(OR(H446="",L446="Cancelled"),"",IF(N(E446)=0,1,E446)*IFERROR(INDEX(Products!$E$6:$E$105,MATCH(D446,Products!$B$6:$B$105,0)),0))</f>
        <v/>
      </c>
      <c r="O446" s="35" t="n"/>
      <c r="P446" s="22">
        <f>IF(OR(H446="",L446="Cancelled"),"",ROUND(IFERROR(H446*INDEX(Settings!$C$6:$C$15,MATCH(M446,Settings!$B$6:$B$15,0))+INDEX(Settings!$D$6:$D$15,MATCH(M446,Settings!$B$6:$B$15,0)),0),2))</f>
        <v/>
      </c>
      <c r="Q446" s="28">
        <f>IF(OR(H446="",L446="Cancelled"),"",H446-N(N446)-N(O446)-N(P446))</f>
        <v/>
      </c>
      <c r="R446" s="19">
        <f>IF(OR(B446="",K446=""),"",IF(OR(L446="Sent",L446="Picked up"),"Done",IF(L446="Cancelled","Cancelled",IF(K446&lt;TODAY(),"Late by "&amp;(TODAY()-K446)&amp;IF((TODAY()-K446)=1," day"," days"),IF(K446=TODAY(),"Due today","Due in "&amp;(K446-TODAY())&amp;IF((K446-TODAY())=1," day"," days"))))))</f>
        <v/>
      </c>
      <c r="S446" s="33" t="n"/>
      <c r="T446" s="1">
        <f>IF(AND(B446&lt;&gt;"",K446&lt;&gt;"",L446&lt;&gt;"Sent",L446&lt;&gt;"Picked up",L446&lt;&gt;"Cancelled"),K446+ROW()/10000000,"")</f>
        <v/>
      </c>
      <c r="U446">
        <f>IF(OR(B446="",C446=""),"",B446+ROW()/10000000)</f>
        <v/>
      </c>
      <c r="V446">
        <f>IF(U446="","",IF(COUNTIFS(Orders!$C$6:$C$1005,C446,Orders!$U$6:$U$1005,"&gt;"&amp;U446)=0,1,0))</f>
        <v/>
      </c>
      <c r="W446">
        <f>IF(AND(B446&lt;&gt;"",K446&lt;&gt;"",L446&lt;&gt;"Sent",L446&lt;&gt;"Picked up",L446&lt;&gt;"Cancelled"),IF(N(E446)=0,1,E446),0)</f>
        <v/>
      </c>
      <c r="X446">
        <f>IF(OR(B446="",D446=""),"",IF(N(E446)=0,1,E446))</f>
        <v/>
      </c>
    </row>
    <row r="447">
      <c r="A447" s="1" t="n"/>
      <c r="B447" s="31" t="n"/>
      <c r="C447" s="32" t="n"/>
      <c r="D447" s="33" t="n"/>
      <c r="E447" s="34" t="n"/>
      <c r="F447" s="35" t="n"/>
      <c r="G447" s="35" t="n"/>
      <c r="H447" s="30">
        <f>IF(OR(B447="",D447=""),"",IF(N(E447)=0,1,E447)*IFERROR(INDEX(Products!$C$6:$C$105,MATCH(D447,Products!$B$6:$B$105,0)),0)+N(F447)+N(G447))</f>
        <v/>
      </c>
      <c r="I447" s="35" t="n"/>
      <c r="J447" s="30">
        <f>IF(OR(H447="",L447="Cancelled"),"",IF(H447-N(I447)&gt;0.005,H447-N(I447),""))</f>
        <v/>
      </c>
      <c r="K447" s="31" t="n"/>
      <c r="L447" s="36" t="n"/>
      <c r="M447" s="33" t="n"/>
      <c r="N447" s="22">
        <f>IF(OR(H447="",L447="Cancelled"),"",IF(N(E447)=0,1,E447)*IFERROR(INDEX(Products!$E$6:$E$105,MATCH(D447,Products!$B$6:$B$105,0)),0))</f>
        <v/>
      </c>
      <c r="O447" s="35" t="n"/>
      <c r="P447" s="22">
        <f>IF(OR(H447="",L447="Cancelled"),"",ROUND(IFERROR(H447*INDEX(Settings!$C$6:$C$15,MATCH(M447,Settings!$B$6:$B$15,0))+INDEX(Settings!$D$6:$D$15,MATCH(M447,Settings!$B$6:$B$15,0)),0),2))</f>
        <v/>
      </c>
      <c r="Q447" s="28">
        <f>IF(OR(H447="",L447="Cancelled"),"",H447-N(N447)-N(O447)-N(P447))</f>
        <v/>
      </c>
      <c r="R447" s="19">
        <f>IF(OR(B447="",K447=""),"",IF(OR(L447="Sent",L447="Picked up"),"Done",IF(L447="Cancelled","Cancelled",IF(K447&lt;TODAY(),"Late by "&amp;(TODAY()-K447)&amp;IF((TODAY()-K447)=1," day"," days"),IF(K447=TODAY(),"Due today","Due in "&amp;(K447-TODAY())&amp;IF((K447-TODAY())=1," day"," days"))))))</f>
        <v/>
      </c>
      <c r="S447" s="33" t="n"/>
      <c r="T447" s="1">
        <f>IF(AND(B447&lt;&gt;"",K447&lt;&gt;"",L447&lt;&gt;"Sent",L447&lt;&gt;"Picked up",L447&lt;&gt;"Cancelled"),K447+ROW()/10000000,"")</f>
        <v/>
      </c>
      <c r="U447">
        <f>IF(OR(B447="",C447=""),"",B447+ROW()/10000000)</f>
        <v/>
      </c>
      <c r="V447">
        <f>IF(U447="","",IF(COUNTIFS(Orders!$C$6:$C$1005,C447,Orders!$U$6:$U$1005,"&gt;"&amp;U447)=0,1,0))</f>
        <v/>
      </c>
      <c r="W447">
        <f>IF(AND(B447&lt;&gt;"",K447&lt;&gt;"",L447&lt;&gt;"Sent",L447&lt;&gt;"Picked up",L447&lt;&gt;"Cancelled"),IF(N(E447)=0,1,E447),0)</f>
        <v/>
      </c>
      <c r="X447">
        <f>IF(OR(B447="",D447=""),"",IF(N(E447)=0,1,E447))</f>
        <v/>
      </c>
    </row>
    <row r="448">
      <c r="A448" s="1" t="n"/>
      <c r="B448" s="31" t="n"/>
      <c r="C448" s="32" t="n"/>
      <c r="D448" s="33" t="n"/>
      <c r="E448" s="34" t="n"/>
      <c r="F448" s="35" t="n"/>
      <c r="G448" s="35" t="n"/>
      <c r="H448" s="30">
        <f>IF(OR(B448="",D448=""),"",IF(N(E448)=0,1,E448)*IFERROR(INDEX(Products!$C$6:$C$105,MATCH(D448,Products!$B$6:$B$105,0)),0)+N(F448)+N(G448))</f>
        <v/>
      </c>
      <c r="I448" s="35" t="n"/>
      <c r="J448" s="30">
        <f>IF(OR(H448="",L448="Cancelled"),"",IF(H448-N(I448)&gt;0.005,H448-N(I448),""))</f>
        <v/>
      </c>
      <c r="K448" s="31" t="n"/>
      <c r="L448" s="36" t="n"/>
      <c r="M448" s="33" t="n"/>
      <c r="N448" s="22">
        <f>IF(OR(H448="",L448="Cancelled"),"",IF(N(E448)=0,1,E448)*IFERROR(INDEX(Products!$E$6:$E$105,MATCH(D448,Products!$B$6:$B$105,0)),0))</f>
        <v/>
      </c>
      <c r="O448" s="35" t="n"/>
      <c r="P448" s="22">
        <f>IF(OR(H448="",L448="Cancelled"),"",ROUND(IFERROR(H448*INDEX(Settings!$C$6:$C$15,MATCH(M448,Settings!$B$6:$B$15,0))+INDEX(Settings!$D$6:$D$15,MATCH(M448,Settings!$B$6:$B$15,0)),0),2))</f>
        <v/>
      </c>
      <c r="Q448" s="28">
        <f>IF(OR(H448="",L448="Cancelled"),"",H448-N(N448)-N(O448)-N(P448))</f>
        <v/>
      </c>
      <c r="R448" s="19">
        <f>IF(OR(B448="",K448=""),"",IF(OR(L448="Sent",L448="Picked up"),"Done",IF(L448="Cancelled","Cancelled",IF(K448&lt;TODAY(),"Late by "&amp;(TODAY()-K448)&amp;IF((TODAY()-K448)=1," day"," days"),IF(K448=TODAY(),"Due today","Due in "&amp;(K448-TODAY())&amp;IF((K448-TODAY())=1," day"," days"))))))</f>
        <v/>
      </c>
      <c r="S448" s="33" t="n"/>
      <c r="T448" s="1">
        <f>IF(AND(B448&lt;&gt;"",K448&lt;&gt;"",L448&lt;&gt;"Sent",L448&lt;&gt;"Picked up",L448&lt;&gt;"Cancelled"),K448+ROW()/10000000,"")</f>
        <v/>
      </c>
      <c r="U448">
        <f>IF(OR(B448="",C448=""),"",B448+ROW()/10000000)</f>
        <v/>
      </c>
      <c r="V448">
        <f>IF(U448="","",IF(COUNTIFS(Orders!$C$6:$C$1005,C448,Orders!$U$6:$U$1005,"&gt;"&amp;U448)=0,1,0))</f>
        <v/>
      </c>
      <c r="W448">
        <f>IF(AND(B448&lt;&gt;"",K448&lt;&gt;"",L448&lt;&gt;"Sent",L448&lt;&gt;"Picked up",L448&lt;&gt;"Cancelled"),IF(N(E448)=0,1,E448),0)</f>
        <v/>
      </c>
      <c r="X448">
        <f>IF(OR(B448="",D448=""),"",IF(N(E448)=0,1,E448))</f>
        <v/>
      </c>
    </row>
    <row r="449">
      <c r="A449" s="1" t="n"/>
      <c r="B449" s="31" t="n"/>
      <c r="C449" s="32" t="n"/>
      <c r="D449" s="33" t="n"/>
      <c r="E449" s="34" t="n"/>
      <c r="F449" s="35" t="n"/>
      <c r="G449" s="35" t="n"/>
      <c r="H449" s="30">
        <f>IF(OR(B449="",D449=""),"",IF(N(E449)=0,1,E449)*IFERROR(INDEX(Products!$C$6:$C$105,MATCH(D449,Products!$B$6:$B$105,0)),0)+N(F449)+N(G449))</f>
        <v/>
      </c>
      <c r="I449" s="35" t="n"/>
      <c r="J449" s="30">
        <f>IF(OR(H449="",L449="Cancelled"),"",IF(H449-N(I449)&gt;0.005,H449-N(I449),""))</f>
        <v/>
      </c>
      <c r="K449" s="31" t="n"/>
      <c r="L449" s="36" t="n"/>
      <c r="M449" s="33" t="n"/>
      <c r="N449" s="22">
        <f>IF(OR(H449="",L449="Cancelled"),"",IF(N(E449)=0,1,E449)*IFERROR(INDEX(Products!$E$6:$E$105,MATCH(D449,Products!$B$6:$B$105,0)),0))</f>
        <v/>
      </c>
      <c r="O449" s="35" t="n"/>
      <c r="P449" s="22">
        <f>IF(OR(H449="",L449="Cancelled"),"",ROUND(IFERROR(H449*INDEX(Settings!$C$6:$C$15,MATCH(M449,Settings!$B$6:$B$15,0))+INDEX(Settings!$D$6:$D$15,MATCH(M449,Settings!$B$6:$B$15,0)),0),2))</f>
        <v/>
      </c>
      <c r="Q449" s="28">
        <f>IF(OR(H449="",L449="Cancelled"),"",H449-N(N449)-N(O449)-N(P449))</f>
        <v/>
      </c>
      <c r="R449" s="19">
        <f>IF(OR(B449="",K449=""),"",IF(OR(L449="Sent",L449="Picked up"),"Done",IF(L449="Cancelled","Cancelled",IF(K449&lt;TODAY(),"Late by "&amp;(TODAY()-K449)&amp;IF((TODAY()-K449)=1," day"," days"),IF(K449=TODAY(),"Due today","Due in "&amp;(K449-TODAY())&amp;IF((K449-TODAY())=1," day"," days"))))))</f>
        <v/>
      </c>
      <c r="S449" s="33" t="n"/>
      <c r="T449" s="1">
        <f>IF(AND(B449&lt;&gt;"",K449&lt;&gt;"",L449&lt;&gt;"Sent",L449&lt;&gt;"Picked up",L449&lt;&gt;"Cancelled"),K449+ROW()/10000000,"")</f>
        <v/>
      </c>
      <c r="U449">
        <f>IF(OR(B449="",C449=""),"",B449+ROW()/10000000)</f>
        <v/>
      </c>
      <c r="V449">
        <f>IF(U449="","",IF(COUNTIFS(Orders!$C$6:$C$1005,C449,Orders!$U$6:$U$1005,"&gt;"&amp;U449)=0,1,0))</f>
        <v/>
      </c>
      <c r="W449">
        <f>IF(AND(B449&lt;&gt;"",K449&lt;&gt;"",L449&lt;&gt;"Sent",L449&lt;&gt;"Picked up",L449&lt;&gt;"Cancelled"),IF(N(E449)=0,1,E449),0)</f>
        <v/>
      </c>
      <c r="X449">
        <f>IF(OR(B449="",D449=""),"",IF(N(E449)=0,1,E449))</f>
        <v/>
      </c>
    </row>
    <row r="450">
      <c r="A450" s="1" t="n"/>
      <c r="B450" s="31" t="n"/>
      <c r="C450" s="32" t="n"/>
      <c r="D450" s="33" t="n"/>
      <c r="E450" s="34" t="n"/>
      <c r="F450" s="35" t="n"/>
      <c r="G450" s="35" t="n"/>
      <c r="H450" s="30">
        <f>IF(OR(B450="",D450=""),"",IF(N(E450)=0,1,E450)*IFERROR(INDEX(Products!$C$6:$C$105,MATCH(D450,Products!$B$6:$B$105,0)),0)+N(F450)+N(G450))</f>
        <v/>
      </c>
      <c r="I450" s="35" t="n"/>
      <c r="J450" s="30">
        <f>IF(OR(H450="",L450="Cancelled"),"",IF(H450-N(I450)&gt;0.005,H450-N(I450),""))</f>
        <v/>
      </c>
      <c r="K450" s="31" t="n"/>
      <c r="L450" s="36" t="n"/>
      <c r="M450" s="33" t="n"/>
      <c r="N450" s="22">
        <f>IF(OR(H450="",L450="Cancelled"),"",IF(N(E450)=0,1,E450)*IFERROR(INDEX(Products!$E$6:$E$105,MATCH(D450,Products!$B$6:$B$105,0)),0))</f>
        <v/>
      </c>
      <c r="O450" s="35" t="n"/>
      <c r="P450" s="22">
        <f>IF(OR(H450="",L450="Cancelled"),"",ROUND(IFERROR(H450*INDEX(Settings!$C$6:$C$15,MATCH(M450,Settings!$B$6:$B$15,0))+INDEX(Settings!$D$6:$D$15,MATCH(M450,Settings!$B$6:$B$15,0)),0),2))</f>
        <v/>
      </c>
      <c r="Q450" s="28">
        <f>IF(OR(H450="",L450="Cancelled"),"",H450-N(N450)-N(O450)-N(P450))</f>
        <v/>
      </c>
      <c r="R450" s="19">
        <f>IF(OR(B450="",K450=""),"",IF(OR(L450="Sent",L450="Picked up"),"Done",IF(L450="Cancelled","Cancelled",IF(K450&lt;TODAY(),"Late by "&amp;(TODAY()-K450)&amp;IF((TODAY()-K450)=1," day"," days"),IF(K450=TODAY(),"Due today","Due in "&amp;(K450-TODAY())&amp;IF((K450-TODAY())=1," day"," days"))))))</f>
        <v/>
      </c>
      <c r="S450" s="33" t="n"/>
      <c r="T450" s="1">
        <f>IF(AND(B450&lt;&gt;"",K450&lt;&gt;"",L450&lt;&gt;"Sent",L450&lt;&gt;"Picked up",L450&lt;&gt;"Cancelled"),K450+ROW()/10000000,"")</f>
        <v/>
      </c>
      <c r="U450">
        <f>IF(OR(B450="",C450=""),"",B450+ROW()/10000000)</f>
        <v/>
      </c>
      <c r="V450">
        <f>IF(U450="","",IF(COUNTIFS(Orders!$C$6:$C$1005,C450,Orders!$U$6:$U$1005,"&gt;"&amp;U450)=0,1,0))</f>
        <v/>
      </c>
      <c r="W450">
        <f>IF(AND(B450&lt;&gt;"",K450&lt;&gt;"",L450&lt;&gt;"Sent",L450&lt;&gt;"Picked up",L450&lt;&gt;"Cancelled"),IF(N(E450)=0,1,E450),0)</f>
        <v/>
      </c>
      <c r="X450">
        <f>IF(OR(B450="",D450=""),"",IF(N(E450)=0,1,E450))</f>
        <v/>
      </c>
    </row>
    <row r="451">
      <c r="A451" s="1" t="n"/>
      <c r="B451" s="31" t="n"/>
      <c r="C451" s="32" t="n"/>
      <c r="D451" s="33" t="n"/>
      <c r="E451" s="34" t="n"/>
      <c r="F451" s="35" t="n"/>
      <c r="G451" s="35" t="n"/>
      <c r="H451" s="30">
        <f>IF(OR(B451="",D451=""),"",IF(N(E451)=0,1,E451)*IFERROR(INDEX(Products!$C$6:$C$105,MATCH(D451,Products!$B$6:$B$105,0)),0)+N(F451)+N(G451))</f>
        <v/>
      </c>
      <c r="I451" s="35" t="n"/>
      <c r="J451" s="30">
        <f>IF(OR(H451="",L451="Cancelled"),"",IF(H451-N(I451)&gt;0.005,H451-N(I451),""))</f>
        <v/>
      </c>
      <c r="K451" s="31" t="n"/>
      <c r="L451" s="36" t="n"/>
      <c r="M451" s="33" t="n"/>
      <c r="N451" s="22">
        <f>IF(OR(H451="",L451="Cancelled"),"",IF(N(E451)=0,1,E451)*IFERROR(INDEX(Products!$E$6:$E$105,MATCH(D451,Products!$B$6:$B$105,0)),0))</f>
        <v/>
      </c>
      <c r="O451" s="35" t="n"/>
      <c r="P451" s="22">
        <f>IF(OR(H451="",L451="Cancelled"),"",ROUND(IFERROR(H451*INDEX(Settings!$C$6:$C$15,MATCH(M451,Settings!$B$6:$B$15,0))+INDEX(Settings!$D$6:$D$15,MATCH(M451,Settings!$B$6:$B$15,0)),0),2))</f>
        <v/>
      </c>
      <c r="Q451" s="28">
        <f>IF(OR(H451="",L451="Cancelled"),"",H451-N(N451)-N(O451)-N(P451))</f>
        <v/>
      </c>
      <c r="R451" s="19">
        <f>IF(OR(B451="",K451=""),"",IF(OR(L451="Sent",L451="Picked up"),"Done",IF(L451="Cancelled","Cancelled",IF(K451&lt;TODAY(),"Late by "&amp;(TODAY()-K451)&amp;IF((TODAY()-K451)=1," day"," days"),IF(K451=TODAY(),"Due today","Due in "&amp;(K451-TODAY())&amp;IF((K451-TODAY())=1," day"," days"))))))</f>
        <v/>
      </c>
      <c r="S451" s="33" t="n"/>
      <c r="T451" s="1">
        <f>IF(AND(B451&lt;&gt;"",K451&lt;&gt;"",L451&lt;&gt;"Sent",L451&lt;&gt;"Picked up",L451&lt;&gt;"Cancelled"),K451+ROW()/10000000,"")</f>
        <v/>
      </c>
      <c r="U451">
        <f>IF(OR(B451="",C451=""),"",B451+ROW()/10000000)</f>
        <v/>
      </c>
      <c r="V451">
        <f>IF(U451="","",IF(COUNTIFS(Orders!$C$6:$C$1005,C451,Orders!$U$6:$U$1005,"&gt;"&amp;U451)=0,1,0))</f>
        <v/>
      </c>
      <c r="W451">
        <f>IF(AND(B451&lt;&gt;"",K451&lt;&gt;"",L451&lt;&gt;"Sent",L451&lt;&gt;"Picked up",L451&lt;&gt;"Cancelled"),IF(N(E451)=0,1,E451),0)</f>
        <v/>
      </c>
      <c r="X451">
        <f>IF(OR(B451="",D451=""),"",IF(N(E451)=0,1,E451))</f>
        <v/>
      </c>
    </row>
    <row r="452">
      <c r="A452" s="1" t="n"/>
      <c r="B452" s="31" t="n"/>
      <c r="C452" s="32" t="n"/>
      <c r="D452" s="33" t="n"/>
      <c r="E452" s="34" t="n"/>
      <c r="F452" s="35" t="n"/>
      <c r="G452" s="35" t="n"/>
      <c r="H452" s="30">
        <f>IF(OR(B452="",D452=""),"",IF(N(E452)=0,1,E452)*IFERROR(INDEX(Products!$C$6:$C$105,MATCH(D452,Products!$B$6:$B$105,0)),0)+N(F452)+N(G452))</f>
        <v/>
      </c>
      <c r="I452" s="35" t="n"/>
      <c r="J452" s="30">
        <f>IF(OR(H452="",L452="Cancelled"),"",IF(H452-N(I452)&gt;0.005,H452-N(I452),""))</f>
        <v/>
      </c>
      <c r="K452" s="31" t="n"/>
      <c r="L452" s="36" t="n"/>
      <c r="M452" s="33" t="n"/>
      <c r="N452" s="22">
        <f>IF(OR(H452="",L452="Cancelled"),"",IF(N(E452)=0,1,E452)*IFERROR(INDEX(Products!$E$6:$E$105,MATCH(D452,Products!$B$6:$B$105,0)),0))</f>
        <v/>
      </c>
      <c r="O452" s="35" t="n"/>
      <c r="P452" s="22">
        <f>IF(OR(H452="",L452="Cancelled"),"",ROUND(IFERROR(H452*INDEX(Settings!$C$6:$C$15,MATCH(M452,Settings!$B$6:$B$15,0))+INDEX(Settings!$D$6:$D$15,MATCH(M452,Settings!$B$6:$B$15,0)),0),2))</f>
        <v/>
      </c>
      <c r="Q452" s="28">
        <f>IF(OR(H452="",L452="Cancelled"),"",H452-N(N452)-N(O452)-N(P452))</f>
        <v/>
      </c>
      <c r="R452" s="19">
        <f>IF(OR(B452="",K452=""),"",IF(OR(L452="Sent",L452="Picked up"),"Done",IF(L452="Cancelled","Cancelled",IF(K452&lt;TODAY(),"Late by "&amp;(TODAY()-K452)&amp;IF((TODAY()-K452)=1," day"," days"),IF(K452=TODAY(),"Due today","Due in "&amp;(K452-TODAY())&amp;IF((K452-TODAY())=1," day"," days"))))))</f>
        <v/>
      </c>
      <c r="S452" s="33" t="n"/>
      <c r="T452" s="1">
        <f>IF(AND(B452&lt;&gt;"",K452&lt;&gt;"",L452&lt;&gt;"Sent",L452&lt;&gt;"Picked up",L452&lt;&gt;"Cancelled"),K452+ROW()/10000000,"")</f>
        <v/>
      </c>
      <c r="U452">
        <f>IF(OR(B452="",C452=""),"",B452+ROW()/10000000)</f>
        <v/>
      </c>
      <c r="V452">
        <f>IF(U452="","",IF(COUNTIFS(Orders!$C$6:$C$1005,C452,Orders!$U$6:$U$1005,"&gt;"&amp;U452)=0,1,0))</f>
        <v/>
      </c>
      <c r="W452">
        <f>IF(AND(B452&lt;&gt;"",K452&lt;&gt;"",L452&lt;&gt;"Sent",L452&lt;&gt;"Picked up",L452&lt;&gt;"Cancelled"),IF(N(E452)=0,1,E452),0)</f>
        <v/>
      </c>
      <c r="X452">
        <f>IF(OR(B452="",D452=""),"",IF(N(E452)=0,1,E452))</f>
        <v/>
      </c>
    </row>
    <row r="453">
      <c r="A453" s="1" t="n"/>
      <c r="B453" s="31" t="n"/>
      <c r="C453" s="32" t="n"/>
      <c r="D453" s="33" t="n"/>
      <c r="E453" s="34" t="n"/>
      <c r="F453" s="35" t="n"/>
      <c r="G453" s="35" t="n"/>
      <c r="H453" s="30">
        <f>IF(OR(B453="",D453=""),"",IF(N(E453)=0,1,E453)*IFERROR(INDEX(Products!$C$6:$C$105,MATCH(D453,Products!$B$6:$B$105,0)),0)+N(F453)+N(G453))</f>
        <v/>
      </c>
      <c r="I453" s="35" t="n"/>
      <c r="J453" s="30">
        <f>IF(OR(H453="",L453="Cancelled"),"",IF(H453-N(I453)&gt;0.005,H453-N(I453),""))</f>
        <v/>
      </c>
      <c r="K453" s="31" t="n"/>
      <c r="L453" s="36" t="n"/>
      <c r="M453" s="33" t="n"/>
      <c r="N453" s="22">
        <f>IF(OR(H453="",L453="Cancelled"),"",IF(N(E453)=0,1,E453)*IFERROR(INDEX(Products!$E$6:$E$105,MATCH(D453,Products!$B$6:$B$105,0)),0))</f>
        <v/>
      </c>
      <c r="O453" s="35" t="n"/>
      <c r="P453" s="22">
        <f>IF(OR(H453="",L453="Cancelled"),"",ROUND(IFERROR(H453*INDEX(Settings!$C$6:$C$15,MATCH(M453,Settings!$B$6:$B$15,0))+INDEX(Settings!$D$6:$D$15,MATCH(M453,Settings!$B$6:$B$15,0)),0),2))</f>
        <v/>
      </c>
      <c r="Q453" s="28">
        <f>IF(OR(H453="",L453="Cancelled"),"",H453-N(N453)-N(O453)-N(P453))</f>
        <v/>
      </c>
      <c r="R453" s="19">
        <f>IF(OR(B453="",K453=""),"",IF(OR(L453="Sent",L453="Picked up"),"Done",IF(L453="Cancelled","Cancelled",IF(K453&lt;TODAY(),"Late by "&amp;(TODAY()-K453)&amp;IF((TODAY()-K453)=1," day"," days"),IF(K453=TODAY(),"Due today","Due in "&amp;(K453-TODAY())&amp;IF((K453-TODAY())=1," day"," days"))))))</f>
        <v/>
      </c>
      <c r="S453" s="33" t="n"/>
      <c r="T453" s="1">
        <f>IF(AND(B453&lt;&gt;"",K453&lt;&gt;"",L453&lt;&gt;"Sent",L453&lt;&gt;"Picked up",L453&lt;&gt;"Cancelled"),K453+ROW()/10000000,"")</f>
        <v/>
      </c>
      <c r="U453">
        <f>IF(OR(B453="",C453=""),"",B453+ROW()/10000000)</f>
        <v/>
      </c>
      <c r="V453">
        <f>IF(U453="","",IF(COUNTIFS(Orders!$C$6:$C$1005,C453,Orders!$U$6:$U$1005,"&gt;"&amp;U453)=0,1,0))</f>
        <v/>
      </c>
      <c r="W453">
        <f>IF(AND(B453&lt;&gt;"",K453&lt;&gt;"",L453&lt;&gt;"Sent",L453&lt;&gt;"Picked up",L453&lt;&gt;"Cancelled"),IF(N(E453)=0,1,E453),0)</f>
        <v/>
      </c>
      <c r="X453">
        <f>IF(OR(B453="",D453=""),"",IF(N(E453)=0,1,E453))</f>
        <v/>
      </c>
    </row>
    <row r="454">
      <c r="A454" s="1" t="n"/>
      <c r="B454" s="31" t="n"/>
      <c r="C454" s="32" t="n"/>
      <c r="D454" s="33" t="n"/>
      <c r="E454" s="34" t="n"/>
      <c r="F454" s="35" t="n"/>
      <c r="G454" s="35" t="n"/>
      <c r="H454" s="30">
        <f>IF(OR(B454="",D454=""),"",IF(N(E454)=0,1,E454)*IFERROR(INDEX(Products!$C$6:$C$105,MATCH(D454,Products!$B$6:$B$105,0)),0)+N(F454)+N(G454))</f>
        <v/>
      </c>
      <c r="I454" s="35" t="n"/>
      <c r="J454" s="30">
        <f>IF(OR(H454="",L454="Cancelled"),"",IF(H454-N(I454)&gt;0.005,H454-N(I454),""))</f>
        <v/>
      </c>
      <c r="K454" s="31" t="n"/>
      <c r="L454" s="36" t="n"/>
      <c r="M454" s="33" t="n"/>
      <c r="N454" s="22">
        <f>IF(OR(H454="",L454="Cancelled"),"",IF(N(E454)=0,1,E454)*IFERROR(INDEX(Products!$E$6:$E$105,MATCH(D454,Products!$B$6:$B$105,0)),0))</f>
        <v/>
      </c>
      <c r="O454" s="35" t="n"/>
      <c r="P454" s="22">
        <f>IF(OR(H454="",L454="Cancelled"),"",ROUND(IFERROR(H454*INDEX(Settings!$C$6:$C$15,MATCH(M454,Settings!$B$6:$B$15,0))+INDEX(Settings!$D$6:$D$15,MATCH(M454,Settings!$B$6:$B$15,0)),0),2))</f>
        <v/>
      </c>
      <c r="Q454" s="28">
        <f>IF(OR(H454="",L454="Cancelled"),"",H454-N(N454)-N(O454)-N(P454))</f>
        <v/>
      </c>
      <c r="R454" s="19">
        <f>IF(OR(B454="",K454=""),"",IF(OR(L454="Sent",L454="Picked up"),"Done",IF(L454="Cancelled","Cancelled",IF(K454&lt;TODAY(),"Late by "&amp;(TODAY()-K454)&amp;IF((TODAY()-K454)=1," day"," days"),IF(K454=TODAY(),"Due today","Due in "&amp;(K454-TODAY())&amp;IF((K454-TODAY())=1," day"," days"))))))</f>
        <v/>
      </c>
      <c r="S454" s="33" t="n"/>
      <c r="T454" s="1">
        <f>IF(AND(B454&lt;&gt;"",K454&lt;&gt;"",L454&lt;&gt;"Sent",L454&lt;&gt;"Picked up",L454&lt;&gt;"Cancelled"),K454+ROW()/10000000,"")</f>
        <v/>
      </c>
      <c r="U454">
        <f>IF(OR(B454="",C454=""),"",B454+ROW()/10000000)</f>
        <v/>
      </c>
      <c r="V454">
        <f>IF(U454="","",IF(COUNTIFS(Orders!$C$6:$C$1005,C454,Orders!$U$6:$U$1005,"&gt;"&amp;U454)=0,1,0))</f>
        <v/>
      </c>
      <c r="W454">
        <f>IF(AND(B454&lt;&gt;"",K454&lt;&gt;"",L454&lt;&gt;"Sent",L454&lt;&gt;"Picked up",L454&lt;&gt;"Cancelled"),IF(N(E454)=0,1,E454),0)</f>
        <v/>
      </c>
      <c r="X454">
        <f>IF(OR(B454="",D454=""),"",IF(N(E454)=0,1,E454))</f>
        <v/>
      </c>
    </row>
    <row r="455">
      <c r="A455" s="1" t="n"/>
      <c r="B455" s="31" t="n"/>
      <c r="C455" s="32" t="n"/>
      <c r="D455" s="33" t="n"/>
      <c r="E455" s="34" t="n"/>
      <c r="F455" s="35" t="n"/>
      <c r="G455" s="35" t="n"/>
      <c r="H455" s="30">
        <f>IF(OR(B455="",D455=""),"",IF(N(E455)=0,1,E455)*IFERROR(INDEX(Products!$C$6:$C$105,MATCH(D455,Products!$B$6:$B$105,0)),0)+N(F455)+N(G455))</f>
        <v/>
      </c>
      <c r="I455" s="35" t="n"/>
      <c r="J455" s="30">
        <f>IF(OR(H455="",L455="Cancelled"),"",IF(H455-N(I455)&gt;0.005,H455-N(I455),""))</f>
        <v/>
      </c>
      <c r="K455" s="31" t="n"/>
      <c r="L455" s="36" t="n"/>
      <c r="M455" s="33" t="n"/>
      <c r="N455" s="22">
        <f>IF(OR(H455="",L455="Cancelled"),"",IF(N(E455)=0,1,E455)*IFERROR(INDEX(Products!$E$6:$E$105,MATCH(D455,Products!$B$6:$B$105,0)),0))</f>
        <v/>
      </c>
      <c r="O455" s="35" t="n"/>
      <c r="P455" s="22">
        <f>IF(OR(H455="",L455="Cancelled"),"",ROUND(IFERROR(H455*INDEX(Settings!$C$6:$C$15,MATCH(M455,Settings!$B$6:$B$15,0))+INDEX(Settings!$D$6:$D$15,MATCH(M455,Settings!$B$6:$B$15,0)),0),2))</f>
        <v/>
      </c>
      <c r="Q455" s="28">
        <f>IF(OR(H455="",L455="Cancelled"),"",H455-N(N455)-N(O455)-N(P455))</f>
        <v/>
      </c>
      <c r="R455" s="19">
        <f>IF(OR(B455="",K455=""),"",IF(OR(L455="Sent",L455="Picked up"),"Done",IF(L455="Cancelled","Cancelled",IF(K455&lt;TODAY(),"Late by "&amp;(TODAY()-K455)&amp;IF((TODAY()-K455)=1," day"," days"),IF(K455=TODAY(),"Due today","Due in "&amp;(K455-TODAY())&amp;IF((K455-TODAY())=1," day"," days"))))))</f>
        <v/>
      </c>
      <c r="S455" s="33" t="n"/>
      <c r="T455" s="1">
        <f>IF(AND(B455&lt;&gt;"",K455&lt;&gt;"",L455&lt;&gt;"Sent",L455&lt;&gt;"Picked up",L455&lt;&gt;"Cancelled"),K455+ROW()/10000000,"")</f>
        <v/>
      </c>
      <c r="U455">
        <f>IF(OR(B455="",C455=""),"",B455+ROW()/10000000)</f>
        <v/>
      </c>
      <c r="V455">
        <f>IF(U455="","",IF(COUNTIFS(Orders!$C$6:$C$1005,C455,Orders!$U$6:$U$1005,"&gt;"&amp;U455)=0,1,0))</f>
        <v/>
      </c>
      <c r="W455">
        <f>IF(AND(B455&lt;&gt;"",K455&lt;&gt;"",L455&lt;&gt;"Sent",L455&lt;&gt;"Picked up",L455&lt;&gt;"Cancelled"),IF(N(E455)=0,1,E455),0)</f>
        <v/>
      </c>
      <c r="X455">
        <f>IF(OR(B455="",D455=""),"",IF(N(E455)=0,1,E455))</f>
        <v/>
      </c>
    </row>
    <row r="456">
      <c r="A456" s="1" t="n"/>
      <c r="B456" s="31" t="n"/>
      <c r="C456" s="32" t="n"/>
      <c r="D456" s="33" t="n"/>
      <c r="E456" s="34" t="n"/>
      <c r="F456" s="35" t="n"/>
      <c r="G456" s="35" t="n"/>
      <c r="H456" s="30">
        <f>IF(OR(B456="",D456=""),"",IF(N(E456)=0,1,E456)*IFERROR(INDEX(Products!$C$6:$C$105,MATCH(D456,Products!$B$6:$B$105,0)),0)+N(F456)+N(G456))</f>
        <v/>
      </c>
      <c r="I456" s="35" t="n"/>
      <c r="J456" s="30">
        <f>IF(OR(H456="",L456="Cancelled"),"",IF(H456-N(I456)&gt;0.005,H456-N(I456),""))</f>
        <v/>
      </c>
      <c r="K456" s="31" t="n"/>
      <c r="L456" s="36" t="n"/>
      <c r="M456" s="33" t="n"/>
      <c r="N456" s="22">
        <f>IF(OR(H456="",L456="Cancelled"),"",IF(N(E456)=0,1,E456)*IFERROR(INDEX(Products!$E$6:$E$105,MATCH(D456,Products!$B$6:$B$105,0)),0))</f>
        <v/>
      </c>
      <c r="O456" s="35" t="n"/>
      <c r="P456" s="22">
        <f>IF(OR(H456="",L456="Cancelled"),"",ROUND(IFERROR(H456*INDEX(Settings!$C$6:$C$15,MATCH(M456,Settings!$B$6:$B$15,0))+INDEX(Settings!$D$6:$D$15,MATCH(M456,Settings!$B$6:$B$15,0)),0),2))</f>
        <v/>
      </c>
      <c r="Q456" s="28">
        <f>IF(OR(H456="",L456="Cancelled"),"",H456-N(N456)-N(O456)-N(P456))</f>
        <v/>
      </c>
      <c r="R456" s="19">
        <f>IF(OR(B456="",K456=""),"",IF(OR(L456="Sent",L456="Picked up"),"Done",IF(L456="Cancelled","Cancelled",IF(K456&lt;TODAY(),"Late by "&amp;(TODAY()-K456)&amp;IF((TODAY()-K456)=1," day"," days"),IF(K456=TODAY(),"Due today","Due in "&amp;(K456-TODAY())&amp;IF((K456-TODAY())=1," day"," days"))))))</f>
        <v/>
      </c>
      <c r="S456" s="33" t="n"/>
      <c r="T456" s="1">
        <f>IF(AND(B456&lt;&gt;"",K456&lt;&gt;"",L456&lt;&gt;"Sent",L456&lt;&gt;"Picked up",L456&lt;&gt;"Cancelled"),K456+ROW()/10000000,"")</f>
        <v/>
      </c>
      <c r="U456">
        <f>IF(OR(B456="",C456=""),"",B456+ROW()/10000000)</f>
        <v/>
      </c>
      <c r="V456">
        <f>IF(U456="","",IF(COUNTIFS(Orders!$C$6:$C$1005,C456,Orders!$U$6:$U$1005,"&gt;"&amp;U456)=0,1,0))</f>
        <v/>
      </c>
      <c r="W456">
        <f>IF(AND(B456&lt;&gt;"",K456&lt;&gt;"",L456&lt;&gt;"Sent",L456&lt;&gt;"Picked up",L456&lt;&gt;"Cancelled"),IF(N(E456)=0,1,E456),0)</f>
        <v/>
      </c>
      <c r="X456">
        <f>IF(OR(B456="",D456=""),"",IF(N(E456)=0,1,E456))</f>
        <v/>
      </c>
    </row>
    <row r="457">
      <c r="A457" s="1" t="n"/>
      <c r="B457" s="31" t="n"/>
      <c r="C457" s="32" t="n"/>
      <c r="D457" s="33" t="n"/>
      <c r="E457" s="34" t="n"/>
      <c r="F457" s="35" t="n"/>
      <c r="G457" s="35" t="n"/>
      <c r="H457" s="30">
        <f>IF(OR(B457="",D457=""),"",IF(N(E457)=0,1,E457)*IFERROR(INDEX(Products!$C$6:$C$105,MATCH(D457,Products!$B$6:$B$105,0)),0)+N(F457)+N(G457))</f>
        <v/>
      </c>
      <c r="I457" s="35" t="n"/>
      <c r="J457" s="30">
        <f>IF(OR(H457="",L457="Cancelled"),"",IF(H457-N(I457)&gt;0.005,H457-N(I457),""))</f>
        <v/>
      </c>
      <c r="K457" s="31" t="n"/>
      <c r="L457" s="36" t="n"/>
      <c r="M457" s="33" t="n"/>
      <c r="N457" s="22">
        <f>IF(OR(H457="",L457="Cancelled"),"",IF(N(E457)=0,1,E457)*IFERROR(INDEX(Products!$E$6:$E$105,MATCH(D457,Products!$B$6:$B$105,0)),0))</f>
        <v/>
      </c>
      <c r="O457" s="35" t="n"/>
      <c r="P457" s="22">
        <f>IF(OR(H457="",L457="Cancelled"),"",ROUND(IFERROR(H457*INDEX(Settings!$C$6:$C$15,MATCH(M457,Settings!$B$6:$B$15,0))+INDEX(Settings!$D$6:$D$15,MATCH(M457,Settings!$B$6:$B$15,0)),0),2))</f>
        <v/>
      </c>
      <c r="Q457" s="28">
        <f>IF(OR(H457="",L457="Cancelled"),"",H457-N(N457)-N(O457)-N(P457))</f>
        <v/>
      </c>
      <c r="R457" s="19">
        <f>IF(OR(B457="",K457=""),"",IF(OR(L457="Sent",L457="Picked up"),"Done",IF(L457="Cancelled","Cancelled",IF(K457&lt;TODAY(),"Late by "&amp;(TODAY()-K457)&amp;IF((TODAY()-K457)=1," day"," days"),IF(K457=TODAY(),"Due today","Due in "&amp;(K457-TODAY())&amp;IF((K457-TODAY())=1," day"," days"))))))</f>
        <v/>
      </c>
      <c r="S457" s="33" t="n"/>
      <c r="T457" s="1">
        <f>IF(AND(B457&lt;&gt;"",K457&lt;&gt;"",L457&lt;&gt;"Sent",L457&lt;&gt;"Picked up",L457&lt;&gt;"Cancelled"),K457+ROW()/10000000,"")</f>
        <v/>
      </c>
      <c r="U457">
        <f>IF(OR(B457="",C457=""),"",B457+ROW()/10000000)</f>
        <v/>
      </c>
      <c r="V457">
        <f>IF(U457="","",IF(COUNTIFS(Orders!$C$6:$C$1005,C457,Orders!$U$6:$U$1005,"&gt;"&amp;U457)=0,1,0))</f>
        <v/>
      </c>
      <c r="W457">
        <f>IF(AND(B457&lt;&gt;"",K457&lt;&gt;"",L457&lt;&gt;"Sent",L457&lt;&gt;"Picked up",L457&lt;&gt;"Cancelled"),IF(N(E457)=0,1,E457),0)</f>
        <v/>
      </c>
      <c r="X457">
        <f>IF(OR(B457="",D457=""),"",IF(N(E457)=0,1,E457))</f>
        <v/>
      </c>
    </row>
    <row r="458">
      <c r="A458" s="1" t="n"/>
      <c r="B458" s="31" t="n"/>
      <c r="C458" s="32" t="n"/>
      <c r="D458" s="33" t="n"/>
      <c r="E458" s="34" t="n"/>
      <c r="F458" s="35" t="n"/>
      <c r="G458" s="35" t="n"/>
      <c r="H458" s="30">
        <f>IF(OR(B458="",D458=""),"",IF(N(E458)=0,1,E458)*IFERROR(INDEX(Products!$C$6:$C$105,MATCH(D458,Products!$B$6:$B$105,0)),0)+N(F458)+N(G458))</f>
        <v/>
      </c>
      <c r="I458" s="35" t="n"/>
      <c r="J458" s="30">
        <f>IF(OR(H458="",L458="Cancelled"),"",IF(H458-N(I458)&gt;0.005,H458-N(I458),""))</f>
        <v/>
      </c>
      <c r="K458" s="31" t="n"/>
      <c r="L458" s="36" t="n"/>
      <c r="M458" s="33" t="n"/>
      <c r="N458" s="22">
        <f>IF(OR(H458="",L458="Cancelled"),"",IF(N(E458)=0,1,E458)*IFERROR(INDEX(Products!$E$6:$E$105,MATCH(D458,Products!$B$6:$B$105,0)),0))</f>
        <v/>
      </c>
      <c r="O458" s="35" t="n"/>
      <c r="P458" s="22">
        <f>IF(OR(H458="",L458="Cancelled"),"",ROUND(IFERROR(H458*INDEX(Settings!$C$6:$C$15,MATCH(M458,Settings!$B$6:$B$15,0))+INDEX(Settings!$D$6:$D$15,MATCH(M458,Settings!$B$6:$B$15,0)),0),2))</f>
        <v/>
      </c>
      <c r="Q458" s="28">
        <f>IF(OR(H458="",L458="Cancelled"),"",H458-N(N458)-N(O458)-N(P458))</f>
        <v/>
      </c>
      <c r="R458" s="19">
        <f>IF(OR(B458="",K458=""),"",IF(OR(L458="Sent",L458="Picked up"),"Done",IF(L458="Cancelled","Cancelled",IF(K458&lt;TODAY(),"Late by "&amp;(TODAY()-K458)&amp;IF((TODAY()-K458)=1," day"," days"),IF(K458=TODAY(),"Due today","Due in "&amp;(K458-TODAY())&amp;IF((K458-TODAY())=1," day"," days"))))))</f>
        <v/>
      </c>
      <c r="S458" s="33" t="n"/>
      <c r="T458" s="1">
        <f>IF(AND(B458&lt;&gt;"",K458&lt;&gt;"",L458&lt;&gt;"Sent",L458&lt;&gt;"Picked up",L458&lt;&gt;"Cancelled"),K458+ROW()/10000000,"")</f>
        <v/>
      </c>
      <c r="U458">
        <f>IF(OR(B458="",C458=""),"",B458+ROW()/10000000)</f>
        <v/>
      </c>
      <c r="V458">
        <f>IF(U458="","",IF(COUNTIFS(Orders!$C$6:$C$1005,C458,Orders!$U$6:$U$1005,"&gt;"&amp;U458)=0,1,0))</f>
        <v/>
      </c>
      <c r="W458">
        <f>IF(AND(B458&lt;&gt;"",K458&lt;&gt;"",L458&lt;&gt;"Sent",L458&lt;&gt;"Picked up",L458&lt;&gt;"Cancelled"),IF(N(E458)=0,1,E458),0)</f>
        <v/>
      </c>
      <c r="X458">
        <f>IF(OR(B458="",D458=""),"",IF(N(E458)=0,1,E458))</f>
        <v/>
      </c>
    </row>
    <row r="459">
      <c r="A459" s="1" t="n"/>
      <c r="B459" s="31" t="n"/>
      <c r="C459" s="32" t="n"/>
      <c r="D459" s="33" t="n"/>
      <c r="E459" s="34" t="n"/>
      <c r="F459" s="35" t="n"/>
      <c r="G459" s="35" t="n"/>
      <c r="H459" s="30">
        <f>IF(OR(B459="",D459=""),"",IF(N(E459)=0,1,E459)*IFERROR(INDEX(Products!$C$6:$C$105,MATCH(D459,Products!$B$6:$B$105,0)),0)+N(F459)+N(G459))</f>
        <v/>
      </c>
      <c r="I459" s="35" t="n"/>
      <c r="J459" s="30">
        <f>IF(OR(H459="",L459="Cancelled"),"",IF(H459-N(I459)&gt;0.005,H459-N(I459),""))</f>
        <v/>
      </c>
      <c r="K459" s="31" t="n"/>
      <c r="L459" s="36" t="n"/>
      <c r="M459" s="33" t="n"/>
      <c r="N459" s="22">
        <f>IF(OR(H459="",L459="Cancelled"),"",IF(N(E459)=0,1,E459)*IFERROR(INDEX(Products!$E$6:$E$105,MATCH(D459,Products!$B$6:$B$105,0)),0))</f>
        <v/>
      </c>
      <c r="O459" s="35" t="n"/>
      <c r="P459" s="22">
        <f>IF(OR(H459="",L459="Cancelled"),"",ROUND(IFERROR(H459*INDEX(Settings!$C$6:$C$15,MATCH(M459,Settings!$B$6:$B$15,0))+INDEX(Settings!$D$6:$D$15,MATCH(M459,Settings!$B$6:$B$15,0)),0),2))</f>
        <v/>
      </c>
      <c r="Q459" s="28">
        <f>IF(OR(H459="",L459="Cancelled"),"",H459-N(N459)-N(O459)-N(P459))</f>
        <v/>
      </c>
      <c r="R459" s="19">
        <f>IF(OR(B459="",K459=""),"",IF(OR(L459="Sent",L459="Picked up"),"Done",IF(L459="Cancelled","Cancelled",IF(K459&lt;TODAY(),"Late by "&amp;(TODAY()-K459)&amp;IF((TODAY()-K459)=1," day"," days"),IF(K459=TODAY(),"Due today","Due in "&amp;(K459-TODAY())&amp;IF((K459-TODAY())=1," day"," days"))))))</f>
        <v/>
      </c>
      <c r="S459" s="33" t="n"/>
      <c r="T459" s="1">
        <f>IF(AND(B459&lt;&gt;"",K459&lt;&gt;"",L459&lt;&gt;"Sent",L459&lt;&gt;"Picked up",L459&lt;&gt;"Cancelled"),K459+ROW()/10000000,"")</f>
        <v/>
      </c>
      <c r="U459">
        <f>IF(OR(B459="",C459=""),"",B459+ROW()/10000000)</f>
        <v/>
      </c>
      <c r="V459">
        <f>IF(U459="","",IF(COUNTIFS(Orders!$C$6:$C$1005,C459,Orders!$U$6:$U$1005,"&gt;"&amp;U459)=0,1,0))</f>
        <v/>
      </c>
      <c r="W459">
        <f>IF(AND(B459&lt;&gt;"",K459&lt;&gt;"",L459&lt;&gt;"Sent",L459&lt;&gt;"Picked up",L459&lt;&gt;"Cancelled"),IF(N(E459)=0,1,E459),0)</f>
        <v/>
      </c>
      <c r="X459">
        <f>IF(OR(B459="",D459=""),"",IF(N(E459)=0,1,E459))</f>
        <v/>
      </c>
    </row>
    <row r="460">
      <c r="A460" s="1" t="n"/>
      <c r="B460" s="31" t="n"/>
      <c r="C460" s="32" t="n"/>
      <c r="D460" s="33" t="n"/>
      <c r="E460" s="34" t="n"/>
      <c r="F460" s="35" t="n"/>
      <c r="G460" s="35" t="n"/>
      <c r="H460" s="30">
        <f>IF(OR(B460="",D460=""),"",IF(N(E460)=0,1,E460)*IFERROR(INDEX(Products!$C$6:$C$105,MATCH(D460,Products!$B$6:$B$105,0)),0)+N(F460)+N(G460))</f>
        <v/>
      </c>
      <c r="I460" s="35" t="n"/>
      <c r="J460" s="30">
        <f>IF(OR(H460="",L460="Cancelled"),"",IF(H460-N(I460)&gt;0.005,H460-N(I460),""))</f>
        <v/>
      </c>
      <c r="K460" s="31" t="n"/>
      <c r="L460" s="36" t="n"/>
      <c r="M460" s="33" t="n"/>
      <c r="N460" s="22">
        <f>IF(OR(H460="",L460="Cancelled"),"",IF(N(E460)=0,1,E460)*IFERROR(INDEX(Products!$E$6:$E$105,MATCH(D460,Products!$B$6:$B$105,0)),0))</f>
        <v/>
      </c>
      <c r="O460" s="35" t="n"/>
      <c r="P460" s="22">
        <f>IF(OR(H460="",L460="Cancelled"),"",ROUND(IFERROR(H460*INDEX(Settings!$C$6:$C$15,MATCH(M460,Settings!$B$6:$B$15,0))+INDEX(Settings!$D$6:$D$15,MATCH(M460,Settings!$B$6:$B$15,0)),0),2))</f>
        <v/>
      </c>
      <c r="Q460" s="28">
        <f>IF(OR(H460="",L460="Cancelled"),"",H460-N(N460)-N(O460)-N(P460))</f>
        <v/>
      </c>
      <c r="R460" s="19">
        <f>IF(OR(B460="",K460=""),"",IF(OR(L460="Sent",L460="Picked up"),"Done",IF(L460="Cancelled","Cancelled",IF(K460&lt;TODAY(),"Late by "&amp;(TODAY()-K460)&amp;IF((TODAY()-K460)=1," day"," days"),IF(K460=TODAY(),"Due today","Due in "&amp;(K460-TODAY())&amp;IF((K460-TODAY())=1," day"," days"))))))</f>
        <v/>
      </c>
      <c r="S460" s="33" t="n"/>
      <c r="T460" s="1">
        <f>IF(AND(B460&lt;&gt;"",K460&lt;&gt;"",L460&lt;&gt;"Sent",L460&lt;&gt;"Picked up",L460&lt;&gt;"Cancelled"),K460+ROW()/10000000,"")</f>
        <v/>
      </c>
      <c r="U460">
        <f>IF(OR(B460="",C460=""),"",B460+ROW()/10000000)</f>
        <v/>
      </c>
      <c r="V460">
        <f>IF(U460="","",IF(COUNTIFS(Orders!$C$6:$C$1005,C460,Orders!$U$6:$U$1005,"&gt;"&amp;U460)=0,1,0))</f>
        <v/>
      </c>
      <c r="W460">
        <f>IF(AND(B460&lt;&gt;"",K460&lt;&gt;"",L460&lt;&gt;"Sent",L460&lt;&gt;"Picked up",L460&lt;&gt;"Cancelled"),IF(N(E460)=0,1,E460),0)</f>
        <v/>
      </c>
      <c r="X460">
        <f>IF(OR(B460="",D460=""),"",IF(N(E460)=0,1,E460))</f>
        <v/>
      </c>
    </row>
    <row r="461">
      <c r="A461" s="1" t="n"/>
      <c r="B461" s="31" t="n"/>
      <c r="C461" s="32" t="n"/>
      <c r="D461" s="33" t="n"/>
      <c r="E461" s="34" t="n"/>
      <c r="F461" s="35" t="n"/>
      <c r="G461" s="35" t="n"/>
      <c r="H461" s="30">
        <f>IF(OR(B461="",D461=""),"",IF(N(E461)=0,1,E461)*IFERROR(INDEX(Products!$C$6:$C$105,MATCH(D461,Products!$B$6:$B$105,0)),0)+N(F461)+N(G461))</f>
        <v/>
      </c>
      <c r="I461" s="35" t="n"/>
      <c r="J461" s="30">
        <f>IF(OR(H461="",L461="Cancelled"),"",IF(H461-N(I461)&gt;0.005,H461-N(I461),""))</f>
        <v/>
      </c>
      <c r="K461" s="31" t="n"/>
      <c r="L461" s="36" t="n"/>
      <c r="M461" s="33" t="n"/>
      <c r="N461" s="22">
        <f>IF(OR(H461="",L461="Cancelled"),"",IF(N(E461)=0,1,E461)*IFERROR(INDEX(Products!$E$6:$E$105,MATCH(D461,Products!$B$6:$B$105,0)),0))</f>
        <v/>
      </c>
      <c r="O461" s="35" t="n"/>
      <c r="P461" s="22">
        <f>IF(OR(H461="",L461="Cancelled"),"",ROUND(IFERROR(H461*INDEX(Settings!$C$6:$C$15,MATCH(M461,Settings!$B$6:$B$15,0))+INDEX(Settings!$D$6:$D$15,MATCH(M461,Settings!$B$6:$B$15,0)),0),2))</f>
        <v/>
      </c>
      <c r="Q461" s="28">
        <f>IF(OR(H461="",L461="Cancelled"),"",H461-N(N461)-N(O461)-N(P461))</f>
        <v/>
      </c>
      <c r="R461" s="19">
        <f>IF(OR(B461="",K461=""),"",IF(OR(L461="Sent",L461="Picked up"),"Done",IF(L461="Cancelled","Cancelled",IF(K461&lt;TODAY(),"Late by "&amp;(TODAY()-K461)&amp;IF((TODAY()-K461)=1," day"," days"),IF(K461=TODAY(),"Due today","Due in "&amp;(K461-TODAY())&amp;IF((K461-TODAY())=1," day"," days"))))))</f>
        <v/>
      </c>
      <c r="S461" s="33" t="n"/>
      <c r="T461" s="1">
        <f>IF(AND(B461&lt;&gt;"",K461&lt;&gt;"",L461&lt;&gt;"Sent",L461&lt;&gt;"Picked up",L461&lt;&gt;"Cancelled"),K461+ROW()/10000000,"")</f>
        <v/>
      </c>
      <c r="U461">
        <f>IF(OR(B461="",C461=""),"",B461+ROW()/10000000)</f>
        <v/>
      </c>
      <c r="V461">
        <f>IF(U461="","",IF(COUNTIFS(Orders!$C$6:$C$1005,C461,Orders!$U$6:$U$1005,"&gt;"&amp;U461)=0,1,0))</f>
        <v/>
      </c>
      <c r="W461">
        <f>IF(AND(B461&lt;&gt;"",K461&lt;&gt;"",L461&lt;&gt;"Sent",L461&lt;&gt;"Picked up",L461&lt;&gt;"Cancelled"),IF(N(E461)=0,1,E461),0)</f>
        <v/>
      </c>
      <c r="X461">
        <f>IF(OR(B461="",D461=""),"",IF(N(E461)=0,1,E461))</f>
        <v/>
      </c>
    </row>
    <row r="462">
      <c r="A462" s="1" t="n"/>
      <c r="B462" s="31" t="n"/>
      <c r="C462" s="32" t="n"/>
      <c r="D462" s="33" t="n"/>
      <c r="E462" s="34" t="n"/>
      <c r="F462" s="35" t="n"/>
      <c r="G462" s="35" t="n"/>
      <c r="H462" s="30">
        <f>IF(OR(B462="",D462=""),"",IF(N(E462)=0,1,E462)*IFERROR(INDEX(Products!$C$6:$C$105,MATCH(D462,Products!$B$6:$B$105,0)),0)+N(F462)+N(G462))</f>
        <v/>
      </c>
      <c r="I462" s="35" t="n"/>
      <c r="J462" s="30">
        <f>IF(OR(H462="",L462="Cancelled"),"",IF(H462-N(I462)&gt;0.005,H462-N(I462),""))</f>
        <v/>
      </c>
      <c r="K462" s="31" t="n"/>
      <c r="L462" s="36" t="n"/>
      <c r="M462" s="33" t="n"/>
      <c r="N462" s="22">
        <f>IF(OR(H462="",L462="Cancelled"),"",IF(N(E462)=0,1,E462)*IFERROR(INDEX(Products!$E$6:$E$105,MATCH(D462,Products!$B$6:$B$105,0)),0))</f>
        <v/>
      </c>
      <c r="O462" s="35" t="n"/>
      <c r="P462" s="22">
        <f>IF(OR(H462="",L462="Cancelled"),"",ROUND(IFERROR(H462*INDEX(Settings!$C$6:$C$15,MATCH(M462,Settings!$B$6:$B$15,0))+INDEX(Settings!$D$6:$D$15,MATCH(M462,Settings!$B$6:$B$15,0)),0),2))</f>
        <v/>
      </c>
      <c r="Q462" s="28">
        <f>IF(OR(H462="",L462="Cancelled"),"",H462-N(N462)-N(O462)-N(P462))</f>
        <v/>
      </c>
      <c r="R462" s="19">
        <f>IF(OR(B462="",K462=""),"",IF(OR(L462="Sent",L462="Picked up"),"Done",IF(L462="Cancelled","Cancelled",IF(K462&lt;TODAY(),"Late by "&amp;(TODAY()-K462)&amp;IF((TODAY()-K462)=1," day"," days"),IF(K462=TODAY(),"Due today","Due in "&amp;(K462-TODAY())&amp;IF((K462-TODAY())=1," day"," days"))))))</f>
        <v/>
      </c>
      <c r="S462" s="33" t="n"/>
      <c r="T462" s="1">
        <f>IF(AND(B462&lt;&gt;"",K462&lt;&gt;"",L462&lt;&gt;"Sent",L462&lt;&gt;"Picked up",L462&lt;&gt;"Cancelled"),K462+ROW()/10000000,"")</f>
        <v/>
      </c>
      <c r="U462">
        <f>IF(OR(B462="",C462=""),"",B462+ROW()/10000000)</f>
        <v/>
      </c>
      <c r="V462">
        <f>IF(U462="","",IF(COUNTIFS(Orders!$C$6:$C$1005,C462,Orders!$U$6:$U$1005,"&gt;"&amp;U462)=0,1,0))</f>
        <v/>
      </c>
      <c r="W462">
        <f>IF(AND(B462&lt;&gt;"",K462&lt;&gt;"",L462&lt;&gt;"Sent",L462&lt;&gt;"Picked up",L462&lt;&gt;"Cancelled"),IF(N(E462)=0,1,E462),0)</f>
        <v/>
      </c>
      <c r="X462">
        <f>IF(OR(B462="",D462=""),"",IF(N(E462)=0,1,E462))</f>
        <v/>
      </c>
    </row>
    <row r="463">
      <c r="A463" s="1" t="n"/>
      <c r="B463" s="31" t="n"/>
      <c r="C463" s="32" t="n"/>
      <c r="D463" s="33" t="n"/>
      <c r="E463" s="34" t="n"/>
      <c r="F463" s="35" t="n"/>
      <c r="G463" s="35" t="n"/>
      <c r="H463" s="30">
        <f>IF(OR(B463="",D463=""),"",IF(N(E463)=0,1,E463)*IFERROR(INDEX(Products!$C$6:$C$105,MATCH(D463,Products!$B$6:$B$105,0)),0)+N(F463)+N(G463))</f>
        <v/>
      </c>
      <c r="I463" s="35" t="n"/>
      <c r="J463" s="30">
        <f>IF(OR(H463="",L463="Cancelled"),"",IF(H463-N(I463)&gt;0.005,H463-N(I463),""))</f>
        <v/>
      </c>
      <c r="K463" s="31" t="n"/>
      <c r="L463" s="36" t="n"/>
      <c r="M463" s="33" t="n"/>
      <c r="N463" s="22">
        <f>IF(OR(H463="",L463="Cancelled"),"",IF(N(E463)=0,1,E463)*IFERROR(INDEX(Products!$E$6:$E$105,MATCH(D463,Products!$B$6:$B$105,0)),0))</f>
        <v/>
      </c>
      <c r="O463" s="35" t="n"/>
      <c r="P463" s="22">
        <f>IF(OR(H463="",L463="Cancelled"),"",ROUND(IFERROR(H463*INDEX(Settings!$C$6:$C$15,MATCH(M463,Settings!$B$6:$B$15,0))+INDEX(Settings!$D$6:$D$15,MATCH(M463,Settings!$B$6:$B$15,0)),0),2))</f>
        <v/>
      </c>
      <c r="Q463" s="28">
        <f>IF(OR(H463="",L463="Cancelled"),"",H463-N(N463)-N(O463)-N(P463))</f>
        <v/>
      </c>
      <c r="R463" s="19">
        <f>IF(OR(B463="",K463=""),"",IF(OR(L463="Sent",L463="Picked up"),"Done",IF(L463="Cancelled","Cancelled",IF(K463&lt;TODAY(),"Late by "&amp;(TODAY()-K463)&amp;IF((TODAY()-K463)=1," day"," days"),IF(K463=TODAY(),"Due today","Due in "&amp;(K463-TODAY())&amp;IF((K463-TODAY())=1," day"," days"))))))</f>
        <v/>
      </c>
      <c r="S463" s="33" t="n"/>
      <c r="T463" s="1">
        <f>IF(AND(B463&lt;&gt;"",K463&lt;&gt;"",L463&lt;&gt;"Sent",L463&lt;&gt;"Picked up",L463&lt;&gt;"Cancelled"),K463+ROW()/10000000,"")</f>
        <v/>
      </c>
      <c r="U463">
        <f>IF(OR(B463="",C463=""),"",B463+ROW()/10000000)</f>
        <v/>
      </c>
      <c r="V463">
        <f>IF(U463="","",IF(COUNTIFS(Orders!$C$6:$C$1005,C463,Orders!$U$6:$U$1005,"&gt;"&amp;U463)=0,1,0))</f>
        <v/>
      </c>
      <c r="W463">
        <f>IF(AND(B463&lt;&gt;"",K463&lt;&gt;"",L463&lt;&gt;"Sent",L463&lt;&gt;"Picked up",L463&lt;&gt;"Cancelled"),IF(N(E463)=0,1,E463),0)</f>
        <v/>
      </c>
      <c r="X463">
        <f>IF(OR(B463="",D463=""),"",IF(N(E463)=0,1,E463))</f>
        <v/>
      </c>
    </row>
    <row r="464">
      <c r="A464" s="1" t="n"/>
      <c r="B464" s="31" t="n"/>
      <c r="C464" s="32" t="n"/>
      <c r="D464" s="33" t="n"/>
      <c r="E464" s="34" t="n"/>
      <c r="F464" s="35" t="n"/>
      <c r="G464" s="35" t="n"/>
      <c r="H464" s="30">
        <f>IF(OR(B464="",D464=""),"",IF(N(E464)=0,1,E464)*IFERROR(INDEX(Products!$C$6:$C$105,MATCH(D464,Products!$B$6:$B$105,0)),0)+N(F464)+N(G464))</f>
        <v/>
      </c>
      <c r="I464" s="35" t="n"/>
      <c r="J464" s="30">
        <f>IF(OR(H464="",L464="Cancelled"),"",IF(H464-N(I464)&gt;0.005,H464-N(I464),""))</f>
        <v/>
      </c>
      <c r="K464" s="31" t="n"/>
      <c r="L464" s="36" t="n"/>
      <c r="M464" s="33" t="n"/>
      <c r="N464" s="22">
        <f>IF(OR(H464="",L464="Cancelled"),"",IF(N(E464)=0,1,E464)*IFERROR(INDEX(Products!$E$6:$E$105,MATCH(D464,Products!$B$6:$B$105,0)),0))</f>
        <v/>
      </c>
      <c r="O464" s="35" t="n"/>
      <c r="P464" s="22">
        <f>IF(OR(H464="",L464="Cancelled"),"",ROUND(IFERROR(H464*INDEX(Settings!$C$6:$C$15,MATCH(M464,Settings!$B$6:$B$15,0))+INDEX(Settings!$D$6:$D$15,MATCH(M464,Settings!$B$6:$B$15,0)),0),2))</f>
        <v/>
      </c>
      <c r="Q464" s="28">
        <f>IF(OR(H464="",L464="Cancelled"),"",H464-N(N464)-N(O464)-N(P464))</f>
        <v/>
      </c>
      <c r="R464" s="19">
        <f>IF(OR(B464="",K464=""),"",IF(OR(L464="Sent",L464="Picked up"),"Done",IF(L464="Cancelled","Cancelled",IF(K464&lt;TODAY(),"Late by "&amp;(TODAY()-K464)&amp;IF((TODAY()-K464)=1," day"," days"),IF(K464=TODAY(),"Due today","Due in "&amp;(K464-TODAY())&amp;IF((K464-TODAY())=1," day"," days"))))))</f>
        <v/>
      </c>
      <c r="S464" s="33" t="n"/>
      <c r="T464" s="1">
        <f>IF(AND(B464&lt;&gt;"",K464&lt;&gt;"",L464&lt;&gt;"Sent",L464&lt;&gt;"Picked up",L464&lt;&gt;"Cancelled"),K464+ROW()/10000000,"")</f>
        <v/>
      </c>
      <c r="U464">
        <f>IF(OR(B464="",C464=""),"",B464+ROW()/10000000)</f>
        <v/>
      </c>
      <c r="V464">
        <f>IF(U464="","",IF(COUNTIFS(Orders!$C$6:$C$1005,C464,Orders!$U$6:$U$1005,"&gt;"&amp;U464)=0,1,0))</f>
        <v/>
      </c>
      <c r="W464">
        <f>IF(AND(B464&lt;&gt;"",K464&lt;&gt;"",L464&lt;&gt;"Sent",L464&lt;&gt;"Picked up",L464&lt;&gt;"Cancelled"),IF(N(E464)=0,1,E464),0)</f>
        <v/>
      </c>
      <c r="X464">
        <f>IF(OR(B464="",D464=""),"",IF(N(E464)=0,1,E464))</f>
        <v/>
      </c>
    </row>
    <row r="465">
      <c r="A465" s="1" t="n"/>
      <c r="B465" s="31" t="n"/>
      <c r="C465" s="32" t="n"/>
      <c r="D465" s="33" t="n"/>
      <c r="E465" s="34" t="n"/>
      <c r="F465" s="35" t="n"/>
      <c r="G465" s="35" t="n"/>
      <c r="H465" s="30">
        <f>IF(OR(B465="",D465=""),"",IF(N(E465)=0,1,E465)*IFERROR(INDEX(Products!$C$6:$C$105,MATCH(D465,Products!$B$6:$B$105,0)),0)+N(F465)+N(G465))</f>
        <v/>
      </c>
      <c r="I465" s="35" t="n"/>
      <c r="J465" s="30">
        <f>IF(OR(H465="",L465="Cancelled"),"",IF(H465-N(I465)&gt;0.005,H465-N(I465),""))</f>
        <v/>
      </c>
      <c r="K465" s="31" t="n"/>
      <c r="L465" s="36" t="n"/>
      <c r="M465" s="33" t="n"/>
      <c r="N465" s="22">
        <f>IF(OR(H465="",L465="Cancelled"),"",IF(N(E465)=0,1,E465)*IFERROR(INDEX(Products!$E$6:$E$105,MATCH(D465,Products!$B$6:$B$105,0)),0))</f>
        <v/>
      </c>
      <c r="O465" s="35" t="n"/>
      <c r="P465" s="22">
        <f>IF(OR(H465="",L465="Cancelled"),"",ROUND(IFERROR(H465*INDEX(Settings!$C$6:$C$15,MATCH(M465,Settings!$B$6:$B$15,0))+INDEX(Settings!$D$6:$D$15,MATCH(M465,Settings!$B$6:$B$15,0)),0),2))</f>
        <v/>
      </c>
      <c r="Q465" s="28">
        <f>IF(OR(H465="",L465="Cancelled"),"",H465-N(N465)-N(O465)-N(P465))</f>
        <v/>
      </c>
      <c r="R465" s="19">
        <f>IF(OR(B465="",K465=""),"",IF(OR(L465="Sent",L465="Picked up"),"Done",IF(L465="Cancelled","Cancelled",IF(K465&lt;TODAY(),"Late by "&amp;(TODAY()-K465)&amp;IF((TODAY()-K465)=1," day"," days"),IF(K465=TODAY(),"Due today","Due in "&amp;(K465-TODAY())&amp;IF((K465-TODAY())=1," day"," days"))))))</f>
        <v/>
      </c>
      <c r="S465" s="33" t="n"/>
      <c r="T465" s="1">
        <f>IF(AND(B465&lt;&gt;"",K465&lt;&gt;"",L465&lt;&gt;"Sent",L465&lt;&gt;"Picked up",L465&lt;&gt;"Cancelled"),K465+ROW()/10000000,"")</f>
        <v/>
      </c>
      <c r="U465">
        <f>IF(OR(B465="",C465=""),"",B465+ROW()/10000000)</f>
        <v/>
      </c>
      <c r="V465">
        <f>IF(U465="","",IF(COUNTIFS(Orders!$C$6:$C$1005,C465,Orders!$U$6:$U$1005,"&gt;"&amp;U465)=0,1,0))</f>
        <v/>
      </c>
      <c r="W465">
        <f>IF(AND(B465&lt;&gt;"",K465&lt;&gt;"",L465&lt;&gt;"Sent",L465&lt;&gt;"Picked up",L465&lt;&gt;"Cancelled"),IF(N(E465)=0,1,E465),0)</f>
        <v/>
      </c>
      <c r="X465">
        <f>IF(OR(B465="",D465=""),"",IF(N(E465)=0,1,E465))</f>
        <v/>
      </c>
    </row>
    <row r="466">
      <c r="A466" s="1" t="n"/>
      <c r="B466" s="31" t="n"/>
      <c r="C466" s="32" t="n"/>
      <c r="D466" s="33" t="n"/>
      <c r="E466" s="34" t="n"/>
      <c r="F466" s="35" t="n"/>
      <c r="G466" s="35" t="n"/>
      <c r="H466" s="30">
        <f>IF(OR(B466="",D466=""),"",IF(N(E466)=0,1,E466)*IFERROR(INDEX(Products!$C$6:$C$105,MATCH(D466,Products!$B$6:$B$105,0)),0)+N(F466)+N(G466))</f>
        <v/>
      </c>
      <c r="I466" s="35" t="n"/>
      <c r="J466" s="30">
        <f>IF(OR(H466="",L466="Cancelled"),"",IF(H466-N(I466)&gt;0.005,H466-N(I466),""))</f>
        <v/>
      </c>
      <c r="K466" s="31" t="n"/>
      <c r="L466" s="36" t="n"/>
      <c r="M466" s="33" t="n"/>
      <c r="N466" s="22">
        <f>IF(OR(H466="",L466="Cancelled"),"",IF(N(E466)=0,1,E466)*IFERROR(INDEX(Products!$E$6:$E$105,MATCH(D466,Products!$B$6:$B$105,0)),0))</f>
        <v/>
      </c>
      <c r="O466" s="35" t="n"/>
      <c r="P466" s="22">
        <f>IF(OR(H466="",L466="Cancelled"),"",ROUND(IFERROR(H466*INDEX(Settings!$C$6:$C$15,MATCH(M466,Settings!$B$6:$B$15,0))+INDEX(Settings!$D$6:$D$15,MATCH(M466,Settings!$B$6:$B$15,0)),0),2))</f>
        <v/>
      </c>
      <c r="Q466" s="28">
        <f>IF(OR(H466="",L466="Cancelled"),"",H466-N(N466)-N(O466)-N(P466))</f>
        <v/>
      </c>
      <c r="R466" s="19">
        <f>IF(OR(B466="",K466=""),"",IF(OR(L466="Sent",L466="Picked up"),"Done",IF(L466="Cancelled","Cancelled",IF(K466&lt;TODAY(),"Late by "&amp;(TODAY()-K466)&amp;IF((TODAY()-K466)=1," day"," days"),IF(K466=TODAY(),"Due today","Due in "&amp;(K466-TODAY())&amp;IF((K466-TODAY())=1," day"," days"))))))</f>
        <v/>
      </c>
      <c r="S466" s="33" t="n"/>
      <c r="T466" s="1">
        <f>IF(AND(B466&lt;&gt;"",K466&lt;&gt;"",L466&lt;&gt;"Sent",L466&lt;&gt;"Picked up",L466&lt;&gt;"Cancelled"),K466+ROW()/10000000,"")</f>
        <v/>
      </c>
      <c r="U466">
        <f>IF(OR(B466="",C466=""),"",B466+ROW()/10000000)</f>
        <v/>
      </c>
      <c r="V466">
        <f>IF(U466="","",IF(COUNTIFS(Orders!$C$6:$C$1005,C466,Orders!$U$6:$U$1005,"&gt;"&amp;U466)=0,1,0))</f>
        <v/>
      </c>
      <c r="W466">
        <f>IF(AND(B466&lt;&gt;"",K466&lt;&gt;"",L466&lt;&gt;"Sent",L466&lt;&gt;"Picked up",L466&lt;&gt;"Cancelled"),IF(N(E466)=0,1,E466),0)</f>
        <v/>
      </c>
      <c r="X466">
        <f>IF(OR(B466="",D466=""),"",IF(N(E466)=0,1,E466))</f>
        <v/>
      </c>
    </row>
    <row r="467">
      <c r="A467" s="1" t="n"/>
      <c r="B467" s="31" t="n"/>
      <c r="C467" s="32" t="n"/>
      <c r="D467" s="33" t="n"/>
      <c r="E467" s="34" t="n"/>
      <c r="F467" s="35" t="n"/>
      <c r="G467" s="35" t="n"/>
      <c r="H467" s="30">
        <f>IF(OR(B467="",D467=""),"",IF(N(E467)=0,1,E467)*IFERROR(INDEX(Products!$C$6:$C$105,MATCH(D467,Products!$B$6:$B$105,0)),0)+N(F467)+N(G467))</f>
        <v/>
      </c>
      <c r="I467" s="35" t="n"/>
      <c r="J467" s="30">
        <f>IF(OR(H467="",L467="Cancelled"),"",IF(H467-N(I467)&gt;0.005,H467-N(I467),""))</f>
        <v/>
      </c>
      <c r="K467" s="31" t="n"/>
      <c r="L467" s="36" t="n"/>
      <c r="M467" s="33" t="n"/>
      <c r="N467" s="22">
        <f>IF(OR(H467="",L467="Cancelled"),"",IF(N(E467)=0,1,E467)*IFERROR(INDEX(Products!$E$6:$E$105,MATCH(D467,Products!$B$6:$B$105,0)),0))</f>
        <v/>
      </c>
      <c r="O467" s="35" t="n"/>
      <c r="P467" s="22">
        <f>IF(OR(H467="",L467="Cancelled"),"",ROUND(IFERROR(H467*INDEX(Settings!$C$6:$C$15,MATCH(M467,Settings!$B$6:$B$15,0))+INDEX(Settings!$D$6:$D$15,MATCH(M467,Settings!$B$6:$B$15,0)),0),2))</f>
        <v/>
      </c>
      <c r="Q467" s="28">
        <f>IF(OR(H467="",L467="Cancelled"),"",H467-N(N467)-N(O467)-N(P467))</f>
        <v/>
      </c>
      <c r="R467" s="19">
        <f>IF(OR(B467="",K467=""),"",IF(OR(L467="Sent",L467="Picked up"),"Done",IF(L467="Cancelled","Cancelled",IF(K467&lt;TODAY(),"Late by "&amp;(TODAY()-K467)&amp;IF((TODAY()-K467)=1," day"," days"),IF(K467=TODAY(),"Due today","Due in "&amp;(K467-TODAY())&amp;IF((K467-TODAY())=1," day"," days"))))))</f>
        <v/>
      </c>
      <c r="S467" s="33" t="n"/>
      <c r="T467" s="1">
        <f>IF(AND(B467&lt;&gt;"",K467&lt;&gt;"",L467&lt;&gt;"Sent",L467&lt;&gt;"Picked up",L467&lt;&gt;"Cancelled"),K467+ROW()/10000000,"")</f>
        <v/>
      </c>
      <c r="U467">
        <f>IF(OR(B467="",C467=""),"",B467+ROW()/10000000)</f>
        <v/>
      </c>
      <c r="V467">
        <f>IF(U467="","",IF(COUNTIFS(Orders!$C$6:$C$1005,C467,Orders!$U$6:$U$1005,"&gt;"&amp;U467)=0,1,0))</f>
        <v/>
      </c>
      <c r="W467">
        <f>IF(AND(B467&lt;&gt;"",K467&lt;&gt;"",L467&lt;&gt;"Sent",L467&lt;&gt;"Picked up",L467&lt;&gt;"Cancelled"),IF(N(E467)=0,1,E467),0)</f>
        <v/>
      </c>
      <c r="X467">
        <f>IF(OR(B467="",D467=""),"",IF(N(E467)=0,1,E467))</f>
        <v/>
      </c>
    </row>
    <row r="468">
      <c r="A468" s="1" t="n"/>
      <c r="B468" s="31" t="n"/>
      <c r="C468" s="32" t="n"/>
      <c r="D468" s="33" t="n"/>
      <c r="E468" s="34" t="n"/>
      <c r="F468" s="35" t="n"/>
      <c r="G468" s="35" t="n"/>
      <c r="H468" s="30">
        <f>IF(OR(B468="",D468=""),"",IF(N(E468)=0,1,E468)*IFERROR(INDEX(Products!$C$6:$C$105,MATCH(D468,Products!$B$6:$B$105,0)),0)+N(F468)+N(G468))</f>
        <v/>
      </c>
      <c r="I468" s="35" t="n"/>
      <c r="J468" s="30">
        <f>IF(OR(H468="",L468="Cancelled"),"",IF(H468-N(I468)&gt;0.005,H468-N(I468),""))</f>
        <v/>
      </c>
      <c r="K468" s="31" t="n"/>
      <c r="L468" s="36" t="n"/>
      <c r="M468" s="33" t="n"/>
      <c r="N468" s="22">
        <f>IF(OR(H468="",L468="Cancelled"),"",IF(N(E468)=0,1,E468)*IFERROR(INDEX(Products!$E$6:$E$105,MATCH(D468,Products!$B$6:$B$105,0)),0))</f>
        <v/>
      </c>
      <c r="O468" s="35" t="n"/>
      <c r="P468" s="22">
        <f>IF(OR(H468="",L468="Cancelled"),"",ROUND(IFERROR(H468*INDEX(Settings!$C$6:$C$15,MATCH(M468,Settings!$B$6:$B$15,0))+INDEX(Settings!$D$6:$D$15,MATCH(M468,Settings!$B$6:$B$15,0)),0),2))</f>
        <v/>
      </c>
      <c r="Q468" s="28">
        <f>IF(OR(H468="",L468="Cancelled"),"",H468-N(N468)-N(O468)-N(P468))</f>
        <v/>
      </c>
      <c r="R468" s="19">
        <f>IF(OR(B468="",K468=""),"",IF(OR(L468="Sent",L468="Picked up"),"Done",IF(L468="Cancelled","Cancelled",IF(K468&lt;TODAY(),"Late by "&amp;(TODAY()-K468)&amp;IF((TODAY()-K468)=1," day"," days"),IF(K468=TODAY(),"Due today","Due in "&amp;(K468-TODAY())&amp;IF((K468-TODAY())=1," day"," days"))))))</f>
        <v/>
      </c>
      <c r="S468" s="33" t="n"/>
      <c r="T468" s="1">
        <f>IF(AND(B468&lt;&gt;"",K468&lt;&gt;"",L468&lt;&gt;"Sent",L468&lt;&gt;"Picked up",L468&lt;&gt;"Cancelled"),K468+ROW()/10000000,"")</f>
        <v/>
      </c>
      <c r="U468">
        <f>IF(OR(B468="",C468=""),"",B468+ROW()/10000000)</f>
        <v/>
      </c>
      <c r="V468">
        <f>IF(U468="","",IF(COUNTIFS(Orders!$C$6:$C$1005,C468,Orders!$U$6:$U$1005,"&gt;"&amp;U468)=0,1,0))</f>
        <v/>
      </c>
      <c r="W468">
        <f>IF(AND(B468&lt;&gt;"",K468&lt;&gt;"",L468&lt;&gt;"Sent",L468&lt;&gt;"Picked up",L468&lt;&gt;"Cancelled"),IF(N(E468)=0,1,E468),0)</f>
        <v/>
      </c>
      <c r="X468">
        <f>IF(OR(B468="",D468=""),"",IF(N(E468)=0,1,E468))</f>
        <v/>
      </c>
    </row>
    <row r="469">
      <c r="A469" s="1" t="n"/>
      <c r="B469" s="31" t="n"/>
      <c r="C469" s="32" t="n"/>
      <c r="D469" s="33" t="n"/>
      <c r="E469" s="34" t="n"/>
      <c r="F469" s="35" t="n"/>
      <c r="G469" s="35" t="n"/>
      <c r="H469" s="30">
        <f>IF(OR(B469="",D469=""),"",IF(N(E469)=0,1,E469)*IFERROR(INDEX(Products!$C$6:$C$105,MATCH(D469,Products!$B$6:$B$105,0)),0)+N(F469)+N(G469))</f>
        <v/>
      </c>
      <c r="I469" s="35" t="n"/>
      <c r="J469" s="30">
        <f>IF(OR(H469="",L469="Cancelled"),"",IF(H469-N(I469)&gt;0.005,H469-N(I469),""))</f>
        <v/>
      </c>
      <c r="K469" s="31" t="n"/>
      <c r="L469" s="36" t="n"/>
      <c r="M469" s="33" t="n"/>
      <c r="N469" s="22">
        <f>IF(OR(H469="",L469="Cancelled"),"",IF(N(E469)=0,1,E469)*IFERROR(INDEX(Products!$E$6:$E$105,MATCH(D469,Products!$B$6:$B$105,0)),0))</f>
        <v/>
      </c>
      <c r="O469" s="35" t="n"/>
      <c r="P469" s="22">
        <f>IF(OR(H469="",L469="Cancelled"),"",ROUND(IFERROR(H469*INDEX(Settings!$C$6:$C$15,MATCH(M469,Settings!$B$6:$B$15,0))+INDEX(Settings!$D$6:$D$15,MATCH(M469,Settings!$B$6:$B$15,0)),0),2))</f>
        <v/>
      </c>
      <c r="Q469" s="28">
        <f>IF(OR(H469="",L469="Cancelled"),"",H469-N(N469)-N(O469)-N(P469))</f>
        <v/>
      </c>
      <c r="R469" s="19">
        <f>IF(OR(B469="",K469=""),"",IF(OR(L469="Sent",L469="Picked up"),"Done",IF(L469="Cancelled","Cancelled",IF(K469&lt;TODAY(),"Late by "&amp;(TODAY()-K469)&amp;IF((TODAY()-K469)=1," day"," days"),IF(K469=TODAY(),"Due today","Due in "&amp;(K469-TODAY())&amp;IF((K469-TODAY())=1," day"," days"))))))</f>
        <v/>
      </c>
      <c r="S469" s="33" t="n"/>
      <c r="T469" s="1">
        <f>IF(AND(B469&lt;&gt;"",K469&lt;&gt;"",L469&lt;&gt;"Sent",L469&lt;&gt;"Picked up",L469&lt;&gt;"Cancelled"),K469+ROW()/10000000,"")</f>
        <v/>
      </c>
      <c r="U469">
        <f>IF(OR(B469="",C469=""),"",B469+ROW()/10000000)</f>
        <v/>
      </c>
      <c r="V469">
        <f>IF(U469="","",IF(COUNTIFS(Orders!$C$6:$C$1005,C469,Orders!$U$6:$U$1005,"&gt;"&amp;U469)=0,1,0))</f>
        <v/>
      </c>
      <c r="W469">
        <f>IF(AND(B469&lt;&gt;"",K469&lt;&gt;"",L469&lt;&gt;"Sent",L469&lt;&gt;"Picked up",L469&lt;&gt;"Cancelled"),IF(N(E469)=0,1,E469),0)</f>
        <v/>
      </c>
      <c r="X469">
        <f>IF(OR(B469="",D469=""),"",IF(N(E469)=0,1,E469))</f>
        <v/>
      </c>
    </row>
    <row r="470">
      <c r="A470" s="1" t="n"/>
      <c r="B470" s="31" t="n"/>
      <c r="C470" s="32" t="n"/>
      <c r="D470" s="33" t="n"/>
      <c r="E470" s="34" t="n"/>
      <c r="F470" s="35" t="n"/>
      <c r="G470" s="35" t="n"/>
      <c r="H470" s="30">
        <f>IF(OR(B470="",D470=""),"",IF(N(E470)=0,1,E470)*IFERROR(INDEX(Products!$C$6:$C$105,MATCH(D470,Products!$B$6:$B$105,0)),0)+N(F470)+N(G470))</f>
        <v/>
      </c>
      <c r="I470" s="35" t="n"/>
      <c r="J470" s="30">
        <f>IF(OR(H470="",L470="Cancelled"),"",IF(H470-N(I470)&gt;0.005,H470-N(I470),""))</f>
        <v/>
      </c>
      <c r="K470" s="31" t="n"/>
      <c r="L470" s="36" t="n"/>
      <c r="M470" s="33" t="n"/>
      <c r="N470" s="22">
        <f>IF(OR(H470="",L470="Cancelled"),"",IF(N(E470)=0,1,E470)*IFERROR(INDEX(Products!$E$6:$E$105,MATCH(D470,Products!$B$6:$B$105,0)),0))</f>
        <v/>
      </c>
      <c r="O470" s="35" t="n"/>
      <c r="P470" s="22">
        <f>IF(OR(H470="",L470="Cancelled"),"",ROUND(IFERROR(H470*INDEX(Settings!$C$6:$C$15,MATCH(M470,Settings!$B$6:$B$15,0))+INDEX(Settings!$D$6:$D$15,MATCH(M470,Settings!$B$6:$B$15,0)),0),2))</f>
        <v/>
      </c>
      <c r="Q470" s="28">
        <f>IF(OR(H470="",L470="Cancelled"),"",H470-N(N470)-N(O470)-N(P470))</f>
        <v/>
      </c>
      <c r="R470" s="19">
        <f>IF(OR(B470="",K470=""),"",IF(OR(L470="Sent",L470="Picked up"),"Done",IF(L470="Cancelled","Cancelled",IF(K470&lt;TODAY(),"Late by "&amp;(TODAY()-K470)&amp;IF((TODAY()-K470)=1," day"," days"),IF(K470=TODAY(),"Due today","Due in "&amp;(K470-TODAY())&amp;IF((K470-TODAY())=1," day"," days"))))))</f>
        <v/>
      </c>
      <c r="S470" s="33" t="n"/>
      <c r="T470" s="1">
        <f>IF(AND(B470&lt;&gt;"",K470&lt;&gt;"",L470&lt;&gt;"Sent",L470&lt;&gt;"Picked up",L470&lt;&gt;"Cancelled"),K470+ROW()/10000000,"")</f>
        <v/>
      </c>
      <c r="U470">
        <f>IF(OR(B470="",C470=""),"",B470+ROW()/10000000)</f>
        <v/>
      </c>
      <c r="V470">
        <f>IF(U470="","",IF(COUNTIFS(Orders!$C$6:$C$1005,C470,Orders!$U$6:$U$1005,"&gt;"&amp;U470)=0,1,0))</f>
        <v/>
      </c>
      <c r="W470">
        <f>IF(AND(B470&lt;&gt;"",K470&lt;&gt;"",L470&lt;&gt;"Sent",L470&lt;&gt;"Picked up",L470&lt;&gt;"Cancelled"),IF(N(E470)=0,1,E470),0)</f>
        <v/>
      </c>
      <c r="X470">
        <f>IF(OR(B470="",D470=""),"",IF(N(E470)=0,1,E470))</f>
        <v/>
      </c>
    </row>
    <row r="471">
      <c r="A471" s="1" t="n"/>
      <c r="B471" s="31" t="n"/>
      <c r="C471" s="32" t="n"/>
      <c r="D471" s="33" t="n"/>
      <c r="E471" s="34" t="n"/>
      <c r="F471" s="35" t="n"/>
      <c r="G471" s="35" t="n"/>
      <c r="H471" s="30">
        <f>IF(OR(B471="",D471=""),"",IF(N(E471)=0,1,E471)*IFERROR(INDEX(Products!$C$6:$C$105,MATCH(D471,Products!$B$6:$B$105,0)),0)+N(F471)+N(G471))</f>
        <v/>
      </c>
      <c r="I471" s="35" t="n"/>
      <c r="J471" s="30">
        <f>IF(OR(H471="",L471="Cancelled"),"",IF(H471-N(I471)&gt;0.005,H471-N(I471),""))</f>
        <v/>
      </c>
      <c r="K471" s="31" t="n"/>
      <c r="L471" s="36" t="n"/>
      <c r="M471" s="33" t="n"/>
      <c r="N471" s="22">
        <f>IF(OR(H471="",L471="Cancelled"),"",IF(N(E471)=0,1,E471)*IFERROR(INDEX(Products!$E$6:$E$105,MATCH(D471,Products!$B$6:$B$105,0)),0))</f>
        <v/>
      </c>
      <c r="O471" s="35" t="n"/>
      <c r="P471" s="22">
        <f>IF(OR(H471="",L471="Cancelled"),"",ROUND(IFERROR(H471*INDEX(Settings!$C$6:$C$15,MATCH(M471,Settings!$B$6:$B$15,0))+INDEX(Settings!$D$6:$D$15,MATCH(M471,Settings!$B$6:$B$15,0)),0),2))</f>
        <v/>
      </c>
      <c r="Q471" s="28">
        <f>IF(OR(H471="",L471="Cancelled"),"",H471-N(N471)-N(O471)-N(P471))</f>
        <v/>
      </c>
      <c r="R471" s="19">
        <f>IF(OR(B471="",K471=""),"",IF(OR(L471="Sent",L471="Picked up"),"Done",IF(L471="Cancelled","Cancelled",IF(K471&lt;TODAY(),"Late by "&amp;(TODAY()-K471)&amp;IF((TODAY()-K471)=1," day"," days"),IF(K471=TODAY(),"Due today","Due in "&amp;(K471-TODAY())&amp;IF((K471-TODAY())=1," day"," days"))))))</f>
        <v/>
      </c>
      <c r="S471" s="33" t="n"/>
      <c r="T471" s="1">
        <f>IF(AND(B471&lt;&gt;"",K471&lt;&gt;"",L471&lt;&gt;"Sent",L471&lt;&gt;"Picked up",L471&lt;&gt;"Cancelled"),K471+ROW()/10000000,"")</f>
        <v/>
      </c>
      <c r="U471">
        <f>IF(OR(B471="",C471=""),"",B471+ROW()/10000000)</f>
        <v/>
      </c>
      <c r="V471">
        <f>IF(U471="","",IF(COUNTIFS(Orders!$C$6:$C$1005,C471,Orders!$U$6:$U$1005,"&gt;"&amp;U471)=0,1,0))</f>
        <v/>
      </c>
      <c r="W471">
        <f>IF(AND(B471&lt;&gt;"",K471&lt;&gt;"",L471&lt;&gt;"Sent",L471&lt;&gt;"Picked up",L471&lt;&gt;"Cancelled"),IF(N(E471)=0,1,E471),0)</f>
        <v/>
      </c>
      <c r="X471">
        <f>IF(OR(B471="",D471=""),"",IF(N(E471)=0,1,E471))</f>
        <v/>
      </c>
    </row>
    <row r="472">
      <c r="A472" s="1" t="n"/>
      <c r="B472" s="31" t="n"/>
      <c r="C472" s="32" t="n"/>
      <c r="D472" s="33" t="n"/>
      <c r="E472" s="34" t="n"/>
      <c r="F472" s="35" t="n"/>
      <c r="G472" s="35" t="n"/>
      <c r="H472" s="30">
        <f>IF(OR(B472="",D472=""),"",IF(N(E472)=0,1,E472)*IFERROR(INDEX(Products!$C$6:$C$105,MATCH(D472,Products!$B$6:$B$105,0)),0)+N(F472)+N(G472))</f>
        <v/>
      </c>
      <c r="I472" s="35" t="n"/>
      <c r="J472" s="30">
        <f>IF(OR(H472="",L472="Cancelled"),"",IF(H472-N(I472)&gt;0.005,H472-N(I472),""))</f>
        <v/>
      </c>
      <c r="K472" s="31" t="n"/>
      <c r="L472" s="36" t="n"/>
      <c r="M472" s="33" t="n"/>
      <c r="N472" s="22">
        <f>IF(OR(H472="",L472="Cancelled"),"",IF(N(E472)=0,1,E472)*IFERROR(INDEX(Products!$E$6:$E$105,MATCH(D472,Products!$B$6:$B$105,0)),0))</f>
        <v/>
      </c>
      <c r="O472" s="35" t="n"/>
      <c r="P472" s="22">
        <f>IF(OR(H472="",L472="Cancelled"),"",ROUND(IFERROR(H472*INDEX(Settings!$C$6:$C$15,MATCH(M472,Settings!$B$6:$B$15,0))+INDEX(Settings!$D$6:$D$15,MATCH(M472,Settings!$B$6:$B$15,0)),0),2))</f>
        <v/>
      </c>
      <c r="Q472" s="28">
        <f>IF(OR(H472="",L472="Cancelled"),"",H472-N(N472)-N(O472)-N(P472))</f>
        <v/>
      </c>
      <c r="R472" s="19">
        <f>IF(OR(B472="",K472=""),"",IF(OR(L472="Sent",L472="Picked up"),"Done",IF(L472="Cancelled","Cancelled",IF(K472&lt;TODAY(),"Late by "&amp;(TODAY()-K472)&amp;IF((TODAY()-K472)=1," day"," days"),IF(K472=TODAY(),"Due today","Due in "&amp;(K472-TODAY())&amp;IF((K472-TODAY())=1," day"," days"))))))</f>
        <v/>
      </c>
      <c r="S472" s="33" t="n"/>
      <c r="T472" s="1">
        <f>IF(AND(B472&lt;&gt;"",K472&lt;&gt;"",L472&lt;&gt;"Sent",L472&lt;&gt;"Picked up",L472&lt;&gt;"Cancelled"),K472+ROW()/10000000,"")</f>
        <v/>
      </c>
      <c r="U472">
        <f>IF(OR(B472="",C472=""),"",B472+ROW()/10000000)</f>
        <v/>
      </c>
      <c r="V472">
        <f>IF(U472="","",IF(COUNTIFS(Orders!$C$6:$C$1005,C472,Orders!$U$6:$U$1005,"&gt;"&amp;U472)=0,1,0))</f>
        <v/>
      </c>
      <c r="W472">
        <f>IF(AND(B472&lt;&gt;"",K472&lt;&gt;"",L472&lt;&gt;"Sent",L472&lt;&gt;"Picked up",L472&lt;&gt;"Cancelled"),IF(N(E472)=0,1,E472),0)</f>
        <v/>
      </c>
      <c r="X472">
        <f>IF(OR(B472="",D472=""),"",IF(N(E472)=0,1,E472))</f>
        <v/>
      </c>
    </row>
    <row r="473">
      <c r="A473" s="1" t="n"/>
      <c r="B473" s="31" t="n"/>
      <c r="C473" s="32" t="n"/>
      <c r="D473" s="33" t="n"/>
      <c r="E473" s="34" t="n"/>
      <c r="F473" s="35" t="n"/>
      <c r="G473" s="35" t="n"/>
      <c r="H473" s="30">
        <f>IF(OR(B473="",D473=""),"",IF(N(E473)=0,1,E473)*IFERROR(INDEX(Products!$C$6:$C$105,MATCH(D473,Products!$B$6:$B$105,0)),0)+N(F473)+N(G473))</f>
        <v/>
      </c>
      <c r="I473" s="35" t="n"/>
      <c r="J473" s="30">
        <f>IF(OR(H473="",L473="Cancelled"),"",IF(H473-N(I473)&gt;0.005,H473-N(I473),""))</f>
        <v/>
      </c>
      <c r="K473" s="31" t="n"/>
      <c r="L473" s="36" t="n"/>
      <c r="M473" s="33" t="n"/>
      <c r="N473" s="22">
        <f>IF(OR(H473="",L473="Cancelled"),"",IF(N(E473)=0,1,E473)*IFERROR(INDEX(Products!$E$6:$E$105,MATCH(D473,Products!$B$6:$B$105,0)),0))</f>
        <v/>
      </c>
      <c r="O473" s="35" t="n"/>
      <c r="P473" s="22">
        <f>IF(OR(H473="",L473="Cancelled"),"",ROUND(IFERROR(H473*INDEX(Settings!$C$6:$C$15,MATCH(M473,Settings!$B$6:$B$15,0))+INDEX(Settings!$D$6:$D$15,MATCH(M473,Settings!$B$6:$B$15,0)),0),2))</f>
        <v/>
      </c>
      <c r="Q473" s="28">
        <f>IF(OR(H473="",L473="Cancelled"),"",H473-N(N473)-N(O473)-N(P473))</f>
        <v/>
      </c>
      <c r="R473" s="19">
        <f>IF(OR(B473="",K473=""),"",IF(OR(L473="Sent",L473="Picked up"),"Done",IF(L473="Cancelled","Cancelled",IF(K473&lt;TODAY(),"Late by "&amp;(TODAY()-K473)&amp;IF((TODAY()-K473)=1," day"," days"),IF(K473=TODAY(),"Due today","Due in "&amp;(K473-TODAY())&amp;IF((K473-TODAY())=1," day"," days"))))))</f>
        <v/>
      </c>
      <c r="S473" s="33" t="n"/>
      <c r="T473" s="1">
        <f>IF(AND(B473&lt;&gt;"",K473&lt;&gt;"",L473&lt;&gt;"Sent",L473&lt;&gt;"Picked up",L473&lt;&gt;"Cancelled"),K473+ROW()/10000000,"")</f>
        <v/>
      </c>
      <c r="U473">
        <f>IF(OR(B473="",C473=""),"",B473+ROW()/10000000)</f>
        <v/>
      </c>
      <c r="V473">
        <f>IF(U473="","",IF(COUNTIFS(Orders!$C$6:$C$1005,C473,Orders!$U$6:$U$1005,"&gt;"&amp;U473)=0,1,0))</f>
        <v/>
      </c>
      <c r="W473">
        <f>IF(AND(B473&lt;&gt;"",K473&lt;&gt;"",L473&lt;&gt;"Sent",L473&lt;&gt;"Picked up",L473&lt;&gt;"Cancelled"),IF(N(E473)=0,1,E473),0)</f>
        <v/>
      </c>
      <c r="X473">
        <f>IF(OR(B473="",D473=""),"",IF(N(E473)=0,1,E473))</f>
        <v/>
      </c>
    </row>
    <row r="474">
      <c r="A474" s="1" t="n"/>
      <c r="B474" s="31" t="n"/>
      <c r="C474" s="32" t="n"/>
      <c r="D474" s="33" t="n"/>
      <c r="E474" s="34" t="n"/>
      <c r="F474" s="35" t="n"/>
      <c r="G474" s="35" t="n"/>
      <c r="H474" s="30">
        <f>IF(OR(B474="",D474=""),"",IF(N(E474)=0,1,E474)*IFERROR(INDEX(Products!$C$6:$C$105,MATCH(D474,Products!$B$6:$B$105,0)),0)+N(F474)+N(G474))</f>
        <v/>
      </c>
      <c r="I474" s="35" t="n"/>
      <c r="J474" s="30">
        <f>IF(OR(H474="",L474="Cancelled"),"",IF(H474-N(I474)&gt;0.005,H474-N(I474),""))</f>
        <v/>
      </c>
      <c r="K474" s="31" t="n"/>
      <c r="L474" s="36" t="n"/>
      <c r="M474" s="33" t="n"/>
      <c r="N474" s="22">
        <f>IF(OR(H474="",L474="Cancelled"),"",IF(N(E474)=0,1,E474)*IFERROR(INDEX(Products!$E$6:$E$105,MATCH(D474,Products!$B$6:$B$105,0)),0))</f>
        <v/>
      </c>
      <c r="O474" s="35" t="n"/>
      <c r="P474" s="22">
        <f>IF(OR(H474="",L474="Cancelled"),"",ROUND(IFERROR(H474*INDEX(Settings!$C$6:$C$15,MATCH(M474,Settings!$B$6:$B$15,0))+INDEX(Settings!$D$6:$D$15,MATCH(M474,Settings!$B$6:$B$15,0)),0),2))</f>
        <v/>
      </c>
      <c r="Q474" s="28">
        <f>IF(OR(H474="",L474="Cancelled"),"",H474-N(N474)-N(O474)-N(P474))</f>
        <v/>
      </c>
      <c r="R474" s="19">
        <f>IF(OR(B474="",K474=""),"",IF(OR(L474="Sent",L474="Picked up"),"Done",IF(L474="Cancelled","Cancelled",IF(K474&lt;TODAY(),"Late by "&amp;(TODAY()-K474)&amp;IF((TODAY()-K474)=1," day"," days"),IF(K474=TODAY(),"Due today","Due in "&amp;(K474-TODAY())&amp;IF((K474-TODAY())=1," day"," days"))))))</f>
        <v/>
      </c>
      <c r="S474" s="33" t="n"/>
      <c r="T474" s="1">
        <f>IF(AND(B474&lt;&gt;"",K474&lt;&gt;"",L474&lt;&gt;"Sent",L474&lt;&gt;"Picked up",L474&lt;&gt;"Cancelled"),K474+ROW()/10000000,"")</f>
        <v/>
      </c>
      <c r="U474">
        <f>IF(OR(B474="",C474=""),"",B474+ROW()/10000000)</f>
        <v/>
      </c>
      <c r="V474">
        <f>IF(U474="","",IF(COUNTIFS(Orders!$C$6:$C$1005,C474,Orders!$U$6:$U$1005,"&gt;"&amp;U474)=0,1,0))</f>
        <v/>
      </c>
      <c r="W474">
        <f>IF(AND(B474&lt;&gt;"",K474&lt;&gt;"",L474&lt;&gt;"Sent",L474&lt;&gt;"Picked up",L474&lt;&gt;"Cancelled"),IF(N(E474)=0,1,E474),0)</f>
        <v/>
      </c>
      <c r="X474">
        <f>IF(OR(B474="",D474=""),"",IF(N(E474)=0,1,E474))</f>
        <v/>
      </c>
    </row>
    <row r="475">
      <c r="A475" s="1" t="n"/>
      <c r="B475" s="31" t="n"/>
      <c r="C475" s="32" t="n"/>
      <c r="D475" s="33" t="n"/>
      <c r="E475" s="34" t="n"/>
      <c r="F475" s="35" t="n"/>
      <c r="G475" s="35" t="n"/>
      <c r="H475" s="30">
        <f>IF(OR(B475="",D475=""),"",IF(N(E475)=0,1,E475)*IFERROR(INDEX(Products!$C$6:$C$105,MATCH(D475,Products!$B$6:$B$105,0)),0)+N(F475)+N(G475))</f>
        <v/>
      </c>
      <c r="I475" s="35" t="n"/>
      <c r="J475" s="30">
        <f>IF(OR(H475="",L475="Cancelled"),"",IF(H475-N(I475)&gt;0.005,H475-N(I475),""))</f>
        <v/>
      </c>
      <c r="K475" s="31" t="n"/>
      <c r="L475" s="36" t="n"/>
      <c r="M475" s="33" t="n"/>
      <c r="N475" s="22">
        <f>IF(OR(H475="",L475="Cancelled"),"",IF(N(E475)=0,1,E475)*IFERROR(INDEX(Products!$E$6:$E$105,MATCH(D475,Products!$B$6:$B$105,0)),0))</f>
        <v/>
      </c>
      <c r="O475" s="35" t="n"/>
      <c r="P475" s="22">
        <f>IF(OR(H475="",L475="Cancelled"),"",ROUND(IFERROR(H475*INDEX(Settings!$C$6:$C$15,MATCH(M475,Settings!$B$6:$B$15,0))+INDEX(Settings!$D$6:$D$15,MATCH(M475,Settings!$B$6:$B$15,0)),0),2))</f>
        <v/>
      </c>
      <c r="Q475" s="28">
        <f>IF(OR(H475="",L475="Cancelled"),"",H475-N(N475)-N(O475)-N(P475))</f>
        <v/>
      </c>
      <c r="R475" s="19">
        <f>IF(OR(B475="",K475=""),"",IF(OR(L475="Sent",L475="Picked up"),"Done",IF(L475="Cancelled","Cancelled",IF(K475&lt;TODAY(),"Late by "&amp;(TODAY()-K475)&amp;IF((TODAY()-K475)=1," day"," days"),IF(K475=TODAY(),"Due today","Due in "&amp;(K475-TODAY())&amp;IF((K475-TODAY())=1," day"," days"))))))</f>
        <v/>
      </c>
      <c r="S475" s="33" t="n"/>
      <c r="T475" s="1">
        <f>IF(AND(B475&lt;&gt;"",K475&lt;&gt;"",L475&lt;&gt;"Sent",L475&lt;&gt;"Picked up",L475&lt;&gt;"Cancelled"),K475+ROW()/10000000,"")</f>
        <v/>
      </c>
      <c r="U475">
        <f>IF(OR(B475="",C475=""),"",B475+ROW()/10000000)</f>
        <v/>
      </c>
      <c r="V475">
        <f>IF(U475="","",IF(COUNTIFS(Orders!$C$6:$C$1005,C475,Orders!$U$6:$U$1005,"&gt;"&amp;U475)=0,1,0))</f>
        <v/>
      </c>
      <c r="W475">
        <f>IF(AND(B475&lt;&gt;"",K475&lt;&gt;"",L475&lt;&gt;"Sent",L475&lt;&gt;"Picked up",L475&lt;&gt;"Cancelled"),IF(N(E475)=0,1,E475),0)</f>
        <v/>
      </c>
      <c r="X475">
        <f>IF(OR(B475="",D475=""),"",IF(N(E475)=0,1,E475))</f>
        <v/>
      </c>
    </row>
    <row r="476">
      <c r="A476" s="1" t="n"/>
      <c r="B476" s="31" t="n"/>
      <c r="C476" s="32" t="n"/>
      <c r="D476" s="33" t="n"/>
      <c r="E476" s="34" t="n"/>
      <c r="F476" s="35" t="n"/>
      <c r="G476" s="35" t="n"/>
      <c r="H476" s="30">
        <f>IF(OR(B476="",D476=""),"",IF(N(E476)=0,1,E476)*IFERROR(INDEX(Products!$C$6:$C$105,MATCH(D476,Products!$B$6:$B$105,0)),0)+N(F476)+N(G476))</f>
        <v/>
      </c>
      <c r="I476" s="35" t="n"/>
      <c r="J476" s="30">
        <f>IF(OR(H476="",L476="Cancelled"),"",IF(H476-N(I476)&gt;0.005,H476-N(I476),""))</f>
        <v/>
      </c>
      <c r="K476" s="31" t="n"/>
      <c r="L476" s="36" t="n"/>
      <c r="M476" s="33" t="n"/>
      <c r="N476" s="22">
        <f>IF(OR(H476="",L476="Cancelled"),"",IF(N(E476)=0,1,E476)*IFERROR(INDEX(Products!$E$6:$E$105,MATCH(D476,Products!$B$6:$B$105,0)),0))</f>
        <v/>
      </c>
      <c r="O476" s="35" t="n"/>
      <c r="P476" s="22">
        <f>IF(OR(H476="",L476="Cancelled"),"",ROUND(IFERROR(H476*INDEX(Settings!$C$6:$C$15,MATCH(M476,Settings!$B$6:$B$15,0))+INDEX(Settings!$D$6:$D$15,MATCH(M476,Settings!$B$6:$B$15,0)),0),2))</f>
        <v/>
      </c>
      <c r="Q476" s="28">
        <f>IF(OR(H476="",L476="Cancelled"),"",H476-N(N476)-N(O476)-N(P476))</f>
        <v/>
      </c>
      <c r="R476" s="19">
        <f>IF(OR(B476="",K476=""),"",IF(OR(L476="Sent",L476="Picked up"),"Done",IF(L476="Cancelled","Cancelled",IF(K476&lt;TODAY(),"Late by "&amp;(TODAY()-K476)&amp;IF((TODAY()-K476)=1," day"," days"),IF(K476=TODAY(),"Due today","Due in "&amp;(K476-TODAY())&amp;IF((K476-TODAY())=1," day"," days"))))))</f>
        <v/>
      </c>
      <c r="S476" s="33" t="n"/>
      <c r="T476" s="1">
        <f>IF(AND(B476&lt;&gt;"",K476&lt;&gt;"",L476&lt;&gt;"Sent",L476&lt;&gt;"Picked up",L476&lt;&gt;"Cancelled"),K476+ROW()/10000000,"")</f>
        <v/>
      </c>
      <c r="U476">
        <f>IF(OR(B476="",C476=""),"",B476+ROW()/10000000)</f>
        <v/>
      </c>
      <c r="V476">
        <f>IF(U476="","",IF(COUNTIFS(Orders!$C$6:$C$1005,C476,Orders!$U$6:$U$1005,"&gt;"&amp;U476)=0,1,0))</f>
        <v/>
      </c>
      <c r="W476">
        <f>IF(AND(B476&lt;&gt;"",K476&lt;&gt;"",L476&lt;&gt;"Sent",L476&lt;&gt;"Picked up",L476&lt;&gt;"Cancelled"),IF(N(E476)=0,1,E476),0)</f>
        <v/>
      </c>
      <c r="X476">
        <f>IF(OR(B476="",D476=""),"",IF(N(E476)=0,1,E476))</f>
        <v/>
      </c>
    </row>
    <row r="477">
      <c r="A477" s="1" t="n"/>
      <c r="B477" s="31" t="n"/>
      <c r="C477" s="32" t="n"/>
      <c r="D477" s="33" t="n"/>
      <c r="E477" s="34" t="n"/>
      <c r="F477" s="35" t="n"/>
      <c r="G477" s="35" t="n"/>
      <c r="H477" s="30">
        <f>IF(OR(B477="",D477=""),"",IF(N(E477)=0,1,E477)*IFERROR(INDEX(Products!$C$6:$C$105,MATCH(D477,Products!$B$6:$B$105,0)),0)+N(F477)+N(G477))</f>
        <v/>
      </c>
      <c r="I477" s="35" t="n"/>
      <c r="J477" s="30">
        <f>IF(OR(H477="",L477="Cancelled"),"",IF(H477-N(I477)&gt;0.005,H477-N(I477),""))</f>
        <v/>
      </c>
      <c r="K477" s="31" t="n"/>
      <c r="L477" s="36" t="n"/>
      <c r="M477" s="33" t="n"/>
      <c r="N477" s="22">
        <f>IF(OR(H477="",L477="Cancelled"),"",IF(N(E477)=0,1,E477)*IFERROR(INDEX(Products!$E$6:$E$105,MATCH(D477,Products!$B$6:$B$105,0)),0))</f>
        <v/>
      </c>
      <c r="O477" s="35" t="n"/>
      <c r="P477" s="22">
        <f>IF(OR(H477="",L477="Cancelled"),"",ROUND(IFERROR(H477*INDEX(Settings!$C$6:$C$15,MATCH(M477,Settings!$B$6:$B$15,0))+INDEX(Settings!$D$6:$D$15,MATCH(M477,Settings!$B$6:$B$15,0)),0),2))</f>
        <v/>
      </c>
      <c r="Q477" s="28">
        <f>IF(OR(H477="",L477="Cancelled"),"",H477-N(N477)-N(O477)-N(P477))</f>
        <v/>
      </c>
      <c r="R477" s="19">
        <f>IF(OR(B477="",K477=""),"",IF(OR(L477="Sent",L477="Picked up"),"Done",IF(L477="Cancelled","Cancelled",IF(K477&lt;TODAY(),"Late by "&amp;(TODAY()-K477)&amp;IF((TODAY()-K477)=1," day"," days"),IF(K477=TODAY(),"Due today","Due in "&amp;(K477-TODAY())&amp;IF((K477-TODAY())=1," day"," days"))))))</f>
        <v/>
      </c>
      <c r="S477" s="33" t="n"/>
      <c r="T477" s="1">
        <f>IF(AND(B477&lt;&gt;"",K477&lt;&gt;"",L477&lt;&gt;"Sent",L477&lt;&gt;"Picked up",L477&lt;&gt;"Cancelled"),K477+ROW()/10000000,"")</f>
        <v/>
      </c>
      <c r="U477">
        <f>IF(OR(B477="",C477=""),"",B477+ROW()/10000000)</f>
        <v/>
      </c>
      <c r="V477">
        <f>IF(U477="","",IF(COUNTIFS(Orders!$C$6:$C$1005,C477,Orders!$U$6:$U$1005,"&gt;"&amp;U477)=0,1,0))</f>
        <v/>
      </c>
      <c r="W477">
        <f>IF(AND(B477&lt;&gt;"",K477&lt;&gt;"",L477&lt;&gt;"Sent",L477&lt;&gt;"Picked up",L477&lt;&gt;"Cancelled"),IF(N(E477)=0,1,E477),0)</f>
        <v/>
      </c>
      <c r="X477">
        <f>IF(OR(B477="",D477=""),"",IF(N(E477)=0,1,E477))</f>
        <v/>
      </c>
    </row>
    <row r="478">
      <c r="A478" s="1" t="n"/>
      <c r="B478" s="31" t="n"/>
      <c r="C478" s="32" t="n"/>
      <c r="D478" s="33" t="n"/>
      <c r="E478" s="34" t="n"/>
      <c r="F478" s="35" t="n"/>
      <c r="G478" s="35" t="n"/>
      <c r="H478" s="30">
        <f>IF(OR(B478="",D478=""),"",IF(N(E478)=0,1,E478)*IFERROR(INDEX(Products!$C$6:$C$105,MATCH(D478,Products!$B$6:$B$105,0)),0)+N(F478)+N(G478))</f>
        <v/>
      </c>
      <c r="I478" s="35" t="n"/>
      <c r="J478" s="30">
        <f>IF(OR(H478="",L478="Cancelled"),"",IF(H478-N(I478)&gt;0.005,H478-N(I478),""))</f>
        <v/>
      </c>
      <c r="K478" s="31" t="n"/>
      <c r="L478" s="36" t="n"/>
      <c r="M478" s="33" t="n"/>
      <c r="N478" s="22">
        <f>IF(OR(H478="",L478="Cancelled"),"",IF(N(E478)=0,1,E478)*IFERROR(INDEX(Products!$E$6:$E$105,MATCH(D478,Products!$B$6:$B$105,0)),0))</f>
        <v/>
      </c>
      <c r="O478" s="35" t="n"/>
      <c r="P478" s="22">
        <f>IF(OR(H478="",L478="Cancelled"),"",ROUND(IFERROR(H478*INDEX(Settings!$C$6:$C$15,MATCH(M478,Settings!$B$6:$B$15,0))+INDEX(Settings!$D$6:$D$15,MATCH(M478,Settings!$B$6:$B$15,0)),0),2))</f>
        <v/>
      </c>
      <c r="Q478" s="28">
        <f>IF(OR(H478="",L478="Cancelled"),"",H478-N(N478)-N(O478)-N(P478))</f>
        <v/>
      </c>
      <c r="R478" s="19">
        <f>IF(OR(B478="",K478=""),"",IF(OR(L478="Sent",L478="Picked up"),"Done",IF(L478="Cancelled","Cancelled",IF(K478&lt;TODAY(),"Late by "&amp;(TODAY()-K478)&amp;IF((TODAY()-K478)=1," day"," days"),IF(K478=TODAY(),"Due today","Due in "&amp;(K478-TODAY())&amp;IF((K478-TODAY())=1," day"," days"))))))</f>
        <v/>
      </c>
      <c r="S478" s="33" t="n"/>
      <c r="T478" s="1">
        <f>IF(AND(B478&lt;&gt;"",K478&lt;&gt;"",L478&lt;&gt;"Sent",L478&lt;&gt;"Picked up",L478&lt;&gt;"Cancelled"),K478+ROW()/10000000,"")</f>
        <v/>
      </c>
      <c r="U478">
        <f>IF(OR(B478="",C478=""),"",B478+ROW()/10000000)</f>
        <v/>
      </c>
      <c r="V478">
        <f>IF(U478="","",IF(COUNTIFS(Orders!$C$6:$C$1005,C478,Orders!$U$6:$U$1005,"&gt;"&amp;U478)=0,1,0))</f>
        <v/>
      </c>
      <c r="W478">
        <f>IF(AND(B478&lt;&gt;"",K478&lt;&gt;"",L478&lt;&gt;"Sent",L478&lt;&gt;"Picked up",L478&lt;&gt;"Cancelled"),IF(N(E478)=0,1,E478),0)</f>
        <v/>
      </c>
      <c r="X478">
        <f>IF(OR(B478="",D478=""),"",IF(N(E478)=0,1,E478))</f>
        <v/>
      </c>
    </row>
    <row r="479">
      <c r="A479" s="1" t="n"/>
      <c r="B479" s="31" t="n"/>
      <c r="C479" s="32" t="n"/>
      <c r="D479" s="33" t="n"/>
      <c r="E479" s="34" t="n"/>
      <c r="F479" s="35" t="n"/>
      <c r="G479" s="35" t="n"/>
      <c r="H479" s="30">
        <f>IF(OR(B479="",D479=""),"",IF(N(E479)=0,1,E479)*IFERROR(INDEX(Products!$C$6:$C$105,MATCH(D479,Products!$B$6:$B$105,0)),0)+N(F479)+N(G479))</f>
        <v/>
      </c>
      <c r="I479" s="35" t="n"/>
      <c r="J479" s="30">
        <f>IF(OR(H479="",L479="Cancelled"),"",IF(H479-N(I479)&gt;0.005,H479-N(I479),""))</f>
        <v/>
      </c>
      <c r="K479" s="31" t="n"/>
      <c r="L479" s="36" t="n"/>
      <c r="M479" s="33" t="n"/>
      <c r="N479" s="22">
        <f>IF(OR(H479="",L479="Cancelled"),"",IF(N(E479)=0,1,E479)*IFERROR(INDEX(Products!$E$6:$E$105,MATCH(D479,Products!$B$6:$B$105,0)),0))</f>
        <v/>
      </c>
      <c r="O479" s="35" t="n"/>
      <c r="P479" s="22">
        <f>IF(OR(H479="",L479="Cancelled"),"",ROUND(IFERROR(H479*INDEX(Settings!$C$6:$C$15,MATCH(M479,Settings!$B$6:$B$15,0))+INDEX(Settings!$D$6:$D$15,MATCH(M479,Settings!$B$6:$B$15,0)),0),2))</f>
        <v/>
      </c>
      <c r="Q479" s="28">
        <f>IF(OR(H479="",L479="Cancelled"),"",H479-N(N479)-N(O479)-N(P479))</f>
        <v/>
      </c>
      <c r="R479" s="19">
        <f>IF(OR(B479="",K479=""),"",IF(OR(L479="Sent",L479="Picked up"),"Done",IF(L479="Cancelled","Cancelled",IF(K479&lt;TODAY(),"Late by "&amp;(TODAY()-K479)&amp;IF((TODAY()-K479)=1," day"," days"),IF(K479=TODAY(),"Due today","Due in "&amp;(K479-TODAY())&amp;IF((K479-TODAY())=1," day"," days"))))))</f>
        <v/>
      </c>
      <c r="S479" s="33" t="n"/>
      <c r="T479" s="1">
        <f>IF(AND(B479&lt;&gt;"",K479&lt;&gt;"",L479&lt;&gt;"Sent",L479&lt;&gt;"Picked up",L479&lt;&gt;"Cancelled"),K479+ROW()/10000000,"")</f>
        <v/>
      </c>
      <c r="U479">
        <f>IF(OR(B479="",C479=""),"",B479+ROW()/10000000)</f>
        <v/>
      </c>
      <c r="V479">
        <f>IF(U479="","",IF(COUNTIFS(Orders!$C$6:$C$1005,C479,Orders!$U$6:$U$1005,"&gt;"&amp;U479)=0,1,0))</f>
        <v/>
      </c>
      <c r="W479">
        <f>IF(AND(B479&lt;&gt;"",K479&lt;&gt;"",L479&lt;&gt;"Sent",L479&lt;&gt;"Picked up",L479&lt;&gt;"Cancelled"),IF(N(E479)=0,1,E479),0)</f>
        <v/>
      </c>
      <c r="X479">
        <f>IF(OR(B479="",D479=""),"",IF(N(E479)=0,1,E479))</f>
        <v/>
      </c>
    </row>
    <row r="480">
      <c r="A480" s="1" t="n"/>
      <c r="B480" s="31" t="n"/>
      <c r="C480" s="32" t="n"/>
      <c r="D480" s="33" t="n"/>
      <c r="E480" s="34" t="n"/>
      <c r="F480" s="35" t="n"/>
      <c r="G480" s="35" t="n"/>
      <c r="H480" s="30">
        <f>IF(OR(B480="",D480=""),"",IF(N(E480)=0,1,E480)*IFERROR(INDEX(Products!$C$6:$C$105,MATCH(D480,Products!$B$6:$B$105,0)),0)+N(F480)+N(G480))</f>
        <v/>
      </c>
      <c r="I480" s="35" t="n"/>
      <c r="J480" s="30">
        <f>IF(OR(H480="",L480="Cancelled"),"",IF(H480-N(I480)&gt;0.005,H480-N(I480),""))</f>
        <v/>
      </c>
      <c r="K480" s="31" t="n"/>
      <c r="L480" s="36" t="n"/>
      <c r="M480" s="33" t="n"/>
      <c r="N480" s="22">
        <f>IF(OR(H480="",L480="Cancelled"),"",IF(N(E480)=0,1,E480)*IFERROR(INDEX(Products!$E$6:$E$105,MATCH(D480,Products!$B$6:$B$105,0)),0))</f>
        <v/>
      </c>
      <c r="O480" s="35" t="n"/>
      <c r="P480" s="22">
        <f>IF(OR(H480="",L480="Cancelled"),"",ROUND(IFERROR(H480*INDEX(Settings!$C$6:$C$15,MATCH(M480,Settings!$B$6:$B$15,0))+INDEX(Settings!$D$6:$D$15,MATCH(M480,Settings!$B$6:$B$15,0)),0),2))</f>
        <v/>
      </c>
      <c r="Q480" s="28">
        <f>IF(OR(H480="",L480="Cancelled"),"",H480-N(N480)-N(O480)-N(P480))</f>
        <v/>
      </c>
      <c r="R480" s="19">
        <f>IF(OR(B480="",K480=""),"",IF(OR(L480="Sent",L480="Picked up"),"Done",IF(L480="Cancelled","Cancelled",IF(K480&lt;TODAY(),"Late by "&amp;(TODAY()-K480)&amp;IF((TODAY()-K480)=1," day"," days"),IF(K480=TODAY(),"Due today","Due in "&amp;(K480-TODAY())&amp;IF((K480-TODAY())=1," day"," days"))))))</f>
        <v/>
      </c>
      <c r="S480" s="33" t="n"/>
      <c r="T480" s="1">
        <f>IF(AND(B480&lt;&gt;"",K480&lt;&gt;"",L480&lt;&gt;"Sent",L480&lt;&gt;"Picked up",L480&lt;&gt;"Cancelled"),K480+ROW()/10000000,"")</f>
        <v/>
      </c>
      <c r="U480">
        <f>IF(OR(B480="",C480=""),"",B480+ROW()/10000000)</f>
        <v/>
      </c>
      <c r="V480">
        <f>IF(U480="","",IF(COUNTIFS(Orders!$C$6:$C$1005,C480,Orders!$U$6:$U$1005,"&gt;"&amp;U480)=0,1,0))</f>
        <v/>
      </c>
      <c r="W480">
        <f>IF(AND(B480&lt;&gt;"",K480&lt;&gt;"",L480&lt;&gt;"Sent",L480&lt;&gt;"Picked up",L480&lt;&gt;"Cancelled"),IF(N(E480)=0,1,E480),0)</f>
        <v/>
      </c>
      <c r="X480">
        <f>IF(OR(B480="",D480=""),"",IF(N(E480)=0,1,E480))</f>
        <v/>
      </c>
    </row>
    <row r="481">
      <c r="A481" s="1" t="n"/>
      <c r="B481" s="31" t="n"/>
      <c r="C481" s="32" t="n"/>
      <c r="D481" s="33" t="n"/>
      <c r="E481" s="34" t="n"/>
      <c r="F481" s="35" t="n"/>
      <c r="G481" s="35" t="n"/>
      <c r="H481" s="30">
        <f>IF(OR(B481="",D481=""),"",IF(N(E481)=0,1,E481)*IFERROR(INDEX(Products!$C$6:$C$105,MATCH(D481,Products!$B$6:$B$105,0)),0)+N(F481)+N(G481))</f>
        <v/>
      </c>
      <c r="I481" s="35" t="n"/>
      <c r="J481" s="30">
        <f>IF(OR(H481="",L481="Cancelled"),"",IF(H481-N(I481)&gt;0.005,H481-N(I481),""))</f>
        <v/>
      </c>
      <c r="K481" s="31" t="n"/>
      <c r="L481" s="36" t="n"/>
      <c r="M481" s="33" t="n"/>
      <c r="N481" s="22">
        <f>IF(OR(H481="",L481="Cancelled"),"",IF(N(E481)=0,1,E481)*IFERROR(INDEX(Products!$E$6:$E$105,MATCH(D481,Products!$B$6:$B$105,0)),0))</f>
        <v/>
      </c>
      <c r="O481" s="35" t="n"/>
      <c r="P481" s="22">
        <f>IF(OR(H481="",L481="Cancelled"),"",ROUND(IFERROR(H481*INDEX(Settings!$C$6:$C$15,MATCH(M481,Settings!$B$6:$B$15,0))+INDEX(Settings!$D$6:$D$15,MATCH(M481,Settings!$B$6:$B$15,0)),0),2))</f>
        <v/>
      </c>
      <c r="Q481" s="28">
        <f>IF(OR(H481="",L481="Cancelled"),"",H481-N(N481)-N(O481)-N(P481))</f>
        <v/>
      </c>
      <c r="R481" s="19">
        <f>IF(OR(B481="",K481=""),"",IF(OR(L481="Sent",L481="Picked up"),"Done",IF(L481="Cancelled","Cancelled",IF(K481&lt;TODAY(),"Late by "&amp;(TODAY()-K481)&amp;IF((TODAY()-K481)=1," day"," days"),IF(K481=TODAY(),"Due today","Due in "&amp;(K481-TODAY())&amp;IF((K481-TODAY())=1," day"," days"))))))</f>
        <v/>
      </c>
      <c r="S481" s="33" t="n"/>
      <c r="T481" s="1">
        <f>IF(AND(B481&lt;&gt;"",K481&lt;&gt;"",L481&lt;&gt;"Sent",L481&lt;&gt;"Picked up",L481&lt;&gt;"Cancelled"),K481+ROW()/10000000,"")</f>
        <v/>
      </c>
      <c r="U481">
        <f>IF(OR(B481="",C481=""),"",B481+ROW()/10000000)</f>
        <v/>
      </c>
      <c r="V481">
        <f>IF(U481="","",IF(COUNTIFS(Orders!$C$6:$C$1005,C481,Orders!$U$6:$U$1005,"&gt;"&amp;U481)=0,1,0))</f>
        <v/>
      </c>
      <c r="W481">
        <f>IF(AND(B481&lt;&gt;"",K481&lt;&gt;"",L481&lt;&gt;"Sent",L481&lt;&gt;"Picked up",L481&lt;&gt;"Cancelled"),IF(N(E481)=0,1,E481),0)</f>
        <v/>
      </c>
      <c r="X481">
        <f>IF(OR(B481="",D481=""),"",IF(N(E481)=0,1,E481))</f>
        <v/>
      </c>
    </row>
    <row r="482">
      <c r="A482" s="1" t="n"/>
      <c r="B482" s="31" t="n"/>
      <c r="C482" s="32" t="n"/>
      <c r="D482" s="33" t="n"/>
      <c r="E482" s="34" t="n"/>
      <c r="F482" s="35" t="n"/>
      <c r="G482" s="35" t="n"/>
      <c r="H482" s="30">
        <f>IF(OR(B482="",D482=""),"",IF(N(E482)=0,1,E482)*IFERROR(INDEX(Products!$C$6:$C$105,MATCH(D482,Products!$B$6:$B$105,0)),0)+N(F482)+N(G482))</f>
        <v/>
      </c>
      <c r="I482" s="35" t="n"/>
      <c r="J482" s="30">
        <f>IF(OR(H482="",L482="Cancelled"),"",IF(H482-N(I482)&gt;0.005,H482-N(I482),""))</f>
        <v/>
      </c>
      <c r="K482" s="31" t="n"/>
      <c r="L482" s="36" t="n"/>
      <c r="M482" s="33" t="n"/>
      <c r="N482" s="22">
        <f>IF(OR(H482="",L482="Cancelled"),"",IF(N(E482)=0,1,E482)*IFERROR(INDEX(Products!$E$6:$E$105,MATCH(D482,Products!$B$6:$B$105,0)),0))</f>
        <v/>
      </c>
      <c r="O482" s="35" t="n"/>
      <c r="P482" s="22">
        <f>IF(OR(H482="",L482="Cancelled"),"",ROUND(IFERROR(H482*INDEX(Settings!$C$6:$C$15,MATCH(M482,Settings!$B$6:$B$15,0))+INDEX(Settings!$D$6:$D$15,MATCH(M482,Settings!$B$6:$B$15,0)),0),2))</f>
        <v/>
      </c>
      <c r="Q482" s="28">
        <f>IF(OR(H482="",L482="Cancelled"),"",H482-N(N482)-N(O482)-N(P482))</f>
        <v/>
      </c>
      <c r="R482" s="19">
        <f>IF(OR(B482="",K482=""),"",IF(OR(L482="Sent",L482="Picked up"),"Done",IF(L482="Cancelled","Cancelled",IF(K482&lt;TODAY(),"Late by "&amp;(TODAY()-K482)&amp;IF((TODAY()-K482)=1," day"," days"),IF(K482=TODAY(),"Due today","Due in "&amp;(K482-TODAY())&amp;IF((K482-TODAY())=1," day"," days"))))))</f>
        <v/>
      </c>
      <c r="S482" s="33" t="n"/>
      <c r="T482" s="1">
        <f>IF(AND(B482&lt;&gt;"",K482&lt;&gt;"",L482&lt;&gt;"Sent",L482&lt;&gt;"Picked up",L482&lt;&gt;"Cancelled"),K482+ROW()/10000000,"")</f>
        <v/>
      </c>
      <c r="U482">
        <f>IF(OR(B482="",C482=""),"",B482+ROW()/10000000)</f>
        <v/>
      </c>
      <c r="V482">
        <f>IF(U482="","",IF(COUNTIFS(Orders!$C$6:$C$1005,C482,Orders!$U$6:$U$1005,"&gt;"&amp;U482)=0,1,0))</f>
        <v/>
      </c>
      <c r="W482">
        <f>IF(AND(B482&lt;&gt;"",K482&lt;&gt;"",L482&lt;&gt;"Sent",L482&lt;&gt;"Picked up",L482&lt;&gt;"Cancelled"),IF(N(E482)=0,1,E482),0)</f>
        <v/>
      </c>
      <c r="X482">
        <f>IF(OR(B482="",D482=""),"",IF(N(E482)=0,1,E482))</f>
        <v/>
      </c>
    </row>
    <row r="483">
      <c r="A483" s="1" t="n"/>
      <c r="B483" s="31" t="n"/>
      <c r="C483" s="32" t="n"/>
      <c r="D483" s="33" t="n"/>
      <c r="E483" s="34" t="n"/>
      <c r="F483" s="35" t="n"/>
      <c r="G483" s="35" t="n"/>
      <c r="H483" s="30">
        <f>IF(OR(B483="",D483=""),"",IF(N(E483)=0,1,E483)*IFERROR(INDEX(Products!$C$6:$C$105,MATCH(D483,Products!$B$6:$B$105,0)),0)+N(F483)+N(G483))</f>
        <v/>
      </c>
      <c r="I483" s="35" t="n"/>
      <c r="J483" s="30">
        <f>IF(OR(H483="",L483="Cancelled"),"",IF(H483-N(I483)&gt;0.005,H483-N(I483),""))</f>
        <v/>
      </c>
      <c r="K483" s="31" t="n"/>
      <c r="L483" s="36" t="n"/>
      <c r="M483" s="33" t="n"/>
      <c r="N483" s="22">
        <f>IF(OR(H483="",L483="Cancelled"),"",IF(N(E483)=0,1,E483)*IFERROR(INDEX(Products!$E$6:$E$105,MATCH(D483,Products!$B$6:$B$105,0)),0))</f>
        <v/>
      </c>
      <c r="O483" s="35" t="n"/>
      <c r="P483" s="22">
        <f>IF(OR(H483="",L483="Cancelled"),"",ROUND(IFERROR(H483*INDEX(Settings!$C$6:$C$15,MATCH(M483,Settings!$B$6:$B$15,0))+INDEX(Settings!$D$6:$D$15,MATCH(M483,Settings!$B$6:$B$15,0)),0),2))</f>
        <v/>
      </c>
      <c r="Q483" s="28">
        <f>IF(OR(H483="",L483="Cancelled"),"",H483-N(N483)-N(O483)-N(P483))</f>
        <v/>
      </c>
      <c r="R483" s="19">
        <f>IF(OR(B483="",K483=""),"",IF(OR(L483="Sent",L483="Picked up"),"Done",IF(L483="Cancelled","Cancelled",IF(K483&lt;TODAY(),"Late by "&amp;(TODAY()-K483)&amp;IF((TODAY()-K483)=1," day"," days"),IF(K483=TODAY(),"Due today","Due in "&amp;(K483-TODAY())&amp;IF((K483-TODAY())=1," day"," days"))))))</f>
        <v/>
      </c>
      <c r="S483" s="33" t="n"/>
      <c r="T483" s="1">
        <f>IF(AND(B483&lt;&gt;"",K483&lt;&gt;"",L483&lt;&gt;"Sent",L483&lt;&gt;"Picked up",L483&lt;&gt;"Cancelled"),K483+ROW()/10000000,"")</f>
        <v/>
      </c>
      <c r="U483">
        <f>IF(OR(B483="",C483=""),"",B483+ROW()/10000000)</f>
        <v/>
      </c>
      <c r="V483">
        <f>IF(U483="","",IF(COUNTIFS(Orders!$C$6:$C$1005,C483,Orders!$U$6:$U$1005,"&gt;"&amp;U483)=0,1,0))</f>
        <v/>
      </c>
      <c r="W483">
        <f>IF(AND(B483&lt;&gt;"",K483&lt;&gt;"",L483&lt;&gt;"Sent",L483&lt;&gt;"Picked up",L483&lt;&gt;"Cancelled"),IF(N(E483)=0,1,E483),0)</f>
        <v/>
      </c>
      <c r="X483">
        <f>IF(OR(B483="",D483=""),"",IF(N(E483)=0,1,E483))</f>
        <v/>
      </c>
    </row>
    <row r="484">
      <c r="A484" s="1" t="n"/>
      <c r="B484" s="31" t="n"/>
      <c r="C484" s="32" t="n"/>
      <c r="D484" s="33" t="n"/>
      <c r="E484" s="34" t="n"/>
      <c r="F484" s="35" t="n"/>
      <c r="G484" s="35" t="n"/>
      <c r="H484" s="30">
        <f>IF(OR(B484="",D484=""),"",IF(N(E484)=0,1,E484)*IFERROR(INDEX(Products!$C$6:$C$105,MATCH(D484,Products!$B$6:$B$105,0)),0)+N(F484)+N(G484))</f>
        <v/>
      </c>
      <c r="I484" s="35" t="n"/>
      <c r="J484" s="30">
        <f>IF(OR(H484="",L484="Cancelled"),"",IF(H484-N(I484)&gt;0.005,H484-N(I484),""))</f>
        <v/>
      </c>
      <c r="K484" s="31" t="n"/>
      <c r="L484" s="36" t="n"/>
      <c r="M484" s="33" t="n"/>
      <c r="N484" s="22">
        <f>IF(OR(H484="",L484="Cancelled"),"",IF(N(E484)=0,1,E484)*IFERROR(INDEX(Products!$E$6:$E$105,MATCH(D484,Products!$B$6:$B$105,0)),0))</f>
        <v/>
      </c>
      <c r="O484" s="35" t="n"/>
      <c r="P484" s="22">
        <f>IF(OR(H484="",L484="Cancelled"),"",ROUND(IFERROR(H484*INDEX(Settings!$C$6:$C$15,MATCH(M484,Settings!$B$6:$B$15,0))+INDEX(Settings!$D$6:$D$15,MATCH(M484,Settings!$B$6:$B$15,0)),0),2))</f>
        <v/>
      </c>
      <c r="Q484" s="28">
        <f>IF(OR(H484="",L484="Cancelled"),"",H484-N(N484)-N(O484)-N(P484))</f>
        <v/>
      </c>
      <c r="R484" s="19">
        <f>IF(OR(B484="",K484=""),"",IF(OR(L484="Sent",L484="Picked up"),"Done",IF(L484="Cancelled","Cancelled",IF(K484&lt;TODAY(),"Late by "&amp;(TODAY()-K484)&amp;IF((TODAY()-K484)=1," day"," days"),IF(K484=TODAY(),"Due today","Due in "&amp;(K484-TODAY())&amp;IF((K484-TODAY())=1," day"," days"))))))</f>
        <v/>
      </c>
      <c r="S484" s="33" t="n"/>
      <c r="T484" s="1">
        <f>IF(AND(B484&lt;&gt;"",K484&lt;&gt;"",L484&lt;&gt;"Sent",L484&lt;&gt;"Picked up",L484&lt;&gt;"Cancelled"),K484+ROW()/10000000,"")</f>
        <v/>
      </c>
      <c r="U484">
        <f>IF(OR(B484="",C484=""),"",B484+ROW()/10000000)</f>
        <v/>
      </c>
      <c r="V484">
        <f>IF(U484="","",IF(COUNTIFS(Orders!$C$6:$C$1005,C484,Orders!$U$6:$U$1005,"&gt;"&amp;U484)=0,1,0))</f>
        <v/>
      </c>
      <c r="W484">
        <f>IF(AND(B484&lt;&gt;"",K484&lt;&gt;"",L484&lt;&gt;"Sent",L484&lt;&gt;"Picked up",L484&lt;&gt;"Cancelled"),IF(N(E484)=0,1,E484),0)</f>
        <v/>
      </c>
      <c r="X484">
        <f>IF(OR(B484="",D484=""),"",IF(N(E484)=0,1,E484))</f>
        <v/>
      </c>
    </row>
    <row r="485">
      <c r="A485" s="1" t="n"/>
      <c r="B485" s="31" t="n"/>
      <c r="C485" s="32" t="n"/>
      <c r="D485" s="33" t="n"/>
      <c r="E485" s="34" t="n"/>
      <c r="F485" s="35" t="n"/>
      <c r="G485" s="35" t="n"/>
      <c r="H485" s="30">
        <f>IF(OR(B485="",D485=""),"",IF(N(E485)=0,1,E485)*IFERROR(INDEX(Products!$C$6:$C$105,MATCH(D485,Products!$B$6:$B$105,0)),0)+N(F485)+N(G485))</f>
        <v/>
      </c>
      <c r="I485" s="35" t="n"/>
      <c r="J485" s="30">
        <f>IF(OR(H485="",L485="Cancelled"),"",IF(H485-N(I485)&gt;0.005,H485-N(I485),""))</f>
        <v/>
      </c>
      <c r="K485" s="31" t="n"/>
      <c r="L485" s="36" t="n"/>
      <c r="M485" s="33" t="n"/>
      <c r="N485" s="22">
        <f>IF(OR(H485="",L485="Cancelled"),"",IF(N(E485)=0,1,E485)*IFERROR(INDEX(Products!$E$6:$E$105,MATCH(D485,Products!$B$6:$B$105,0)),0))</f>
        <v/>
      </c>
      <c r="O485" s="35" t="n"/>
      <c r="P485" s="22">
        <f>IF(OR(H485="",L485="Cancelled"),"",ROUND(IFERROR(H485*INDEX(Settings!$C$6:$C$15,MATCH(M485,Settings!$B$6:$B$15,0))+INDEX(Settings!$D$6:$D$15,MATCH(M485,Settings!$B$6:$B$15,0)),0),2))</f>
        <v/>
      </c>
      <c r="Q485" s="28">
        <f>IF(OR(H485="",L485="Cancelled"),"",H485-N(N485)-N(O485)-N(P485))</f>
        <v/>
      </c>
      <c r="R485" s="19">
        <f>IF(OR(B485="",K485=""),"",IF(OR(L485="Sent",L485="Picked up"),"Done",IF(L485="Cancelled","Cancelled",IF(K485&lt;TODAY(),"Late by "&amp;(TODAY()-K485)&amp;IF((TODAY()-K485)=1," day"," days"),IF(K485=TODAY(),"Due today","Due in "&amp;(K485-TODAY())&amp;IF((K485-TODAY())=1," day"," days"))))))</f>
        <v/>
      </c>
      <c r="S485" s="33" t="n"/>
      <c r="T485" s="1">
        <f>IF(AND(B485&lt;&gt;"",K485&lt;&gt;"",L485&lt;&gt;"Sent",L485&lt;&gt;"Picked up",L485&lt;&gt;"Cancelled"),K485+ROW()/10000000,"")</f>
        <v/>
      </c>
      <c r="U485">
        <f>IF(OR(B485="",C485=""),"",B485+ROW()/10000000)</f>
        <v/>
      </c>
      <c r="V485">
        <f>IF(U485="","",IF(COUNTIFS(Orders!$C$6:$C$1005,C485,Orders!$U$6:$U$1005,"&gt;"&amp;U485)=0,1,0))</f>
        <v/>
      </c>
      <c r="W485">
        <f>IF(AND(B485&lt;&gt;"",K485&lt;&gt;"",L485&lt;&gt;"Sent",L485&lt;&gt;"Picked up",L485&lt;&gt;"Cancelled"),IF(N(E485)=0,1,E485),0)</f>
        <v/>
      </c>
      <c r="X485">
        <f>IF(OR(B485="",D485=""),"",IF(N(E485)=0,1,E485))</f>
        <v/>
      </c>
    </row>
    <row r="486">
      <c r="A486" s="1" t="n"/>
      <c r="B486" s="31" t="n"/>
      <c r="C486" s="32" t="n"/>
      <c r="D486" s="33" t="n"/>
      <c r="E486" s="34" t="n"/>
      <c r="F486" s="35" t="n"/>
      <c r="G486" s="35" t="n"/>
      <c r="H486" s="30">
        <f>IF(OR(B486="",D486=""),"",IF(N(E486)=0,1,E486)*IFERROR(INDEX(Products!$C$6:$C$105,MATCH(D486,Products!$B$6:$B$105,0)),0)+N(F486)+N(G486))</f>
        <v/>
      </c>
      <c r="I486" s="35" t="n"/>
      <c r="J486" s="30">
        <f>IF(OR(H486="",L486="Cancelled"),"",IF(H486-N(I486)&gt;0.005,H486-N(I486),""))</f>
        <v/>
      </c>
      <c r="K486" s="31" t="n"/>
      <c r="L486" s="36" t="n"/>
      <c r="M486" s="33" t="n"/>
      <c r="N486" s="22">
        <f>IF(OR(H486="",L486="Cancelled"),"",IF(N(E486)=0,1,E486)*IFERROR(INDEX(Products!$E$6:$E$105,MATCH(D486,Products!$B$6:$B$105,0)),0))</f>
        <v/>
      </c>
      <c r="O486" s="35" t="n"/>
      <c r="P486" s="22">
        <f>IF(OR(H486="",L486="Cancelled"),"",ROUND(IFERROR(H486*INDEX(Settings!$C$6:$C$15,MATCH(M486,Settings!$B$6:$B$15,0))+INDEX(Settings!$D$6:$D$15,MATCH(M486,Settings!$B$6:$B$15,0)),0),2))</f>
        <v/>
      </c>
      <c r="Q486" s="28">
        <f>IF(OR(H486="",L486="Cancelled"),"",H486-N(N486)-N(O486)-N(P486))</f>
        <v/>
      </c>
      <c r="R486" s="19">
        <f>IF(OR(B486="",K486=""),"",IF(OR(L486="Sent",L486="Picked up"),"Done",IF(L486="Cancelled","Cancelled",IF(K486&lt;TODAY(),"Late by "&amp;(TODAY()-K486)&amp;IF((TODAY()-K486)=1," day"," days"),IF(K486=TODAY(),"Due today","Due in "&amp;(K486-TODAY())&amp;IF((K486-TODAY())=1," day"," days"))))))</f>
        <v/>
      </c>
      <c r="S486" s="33" t="n"/>
      <c r="T486" s="1">
        <f>IF(AND(B486&lt;&gt;"",K486&lt;&gt;"",L486&lt;&gt;"Sent",L486&lt;&gt;"Picked up",L486&lt;&gt;"Cancelled"),K486+ROW()/10000000,"")</f>
        <v/>
      </c>
      <c r="U486">
        <f>IF(OR(B486="",C486=""),"",B486+ROW()/10000000)</f>
        <v/>
      </c>
      <c r="V486">
        <f>IF(U486="","",IF(COUNTIFS(Orders!$C$6:$C$1005,C486,Orders!$U$6:$U$1005,"&gt;"&amp;U486)=0,1,0))</f>
        <v/>
      </c>
      <c r="W486">
        <f>IF(AND(B486&lt;&gt;"",K486&lt;&gt;"",L486&lt;&gt;"Sent",L486&lt;&gt;"Picked up",L486&lt;&gt;"Cancelled"),IF(N(E486)=0,1,E486),0)</f>
        <v/>
      </c>
      <c r="X486">
        <f>IF(OR(B486="",D486=""),"",IF(N(E486)=0,1,E486))</f>
        <v/>
      </c>
    </row>
    <row r="487">
      <c r="A487" s="1" t="n"/>
      <c r="B487" s="31" t="n"/>
      <c r="C487" s="32" t="n"/>
      <c r="D487" s="33" t="n"/>
      <c r="E487" s="34" t="n"/>
      <c r="F487" s="35" t="n"/>
      <c r="G487" s="35" t="n"/>
      <c r="H487" s="30">
        <f>IF(OR(B487="",D487=""),"",IF(N(E487)=0,1,E487)*IFERROR(INDEX(Products!$C$6:$C$105,MATCH(D487,Products!$B$6:$B$105,0)),0)+N(F487)+N(G487))</f>
        <v/>
      </c>
      <c r="I487" s="35" t="n"/>
      <c r="J487" s="30">
        <f>IF(OR(H487="",L487="Cancelled"),"",IF(H487-N(I487)&gt;0.005,H487-N(I487),""))</f>
        <v/>
      </c>
      <c r="K487" s="31" t="n"/>
      <c r="L487" s="36" t="n"/>
      <c r="M487" s="33" t="n"/>
      <c r="N487" s="22">
        <f>IF(OR(H487="",L487="Cancelled"),"",IF(N(E487)=0,1,E487)*IFERROR(INDEX(Products!$E$6:$E$105,MATCH(D487,Products!$B$6:$B$105,0)),0))</f>
        <v/>
      </c>
      <c r="O487" s="35" t="n"/>
      <c r="P487" s="22">
        <f>IF(OR(H487="",L487="Cancelled"),"",ROUND(IFERROR(H487*INDEX(Settings!$C$6:$C$15,MATCH(M487,Settings!$B$6:$B$15,0))+INDEX(Settings!$D$6:$D$15,MATCH(M487,Settings!$B$6:$B$15,0)),0),2))</f>
        <v/>
      </c>
      <c r="Q487" s="28">
        <f>IF(OR(H487="",L487="Cancelled"),"",H487-N(N487)-N(O487)-N(P487))</f>
        <v/>
      </c>
      <c r="R487" s="19">
        <f>IF(OR(B487="",K487=""),"",IF(OR(L487="Sent",L487="Picked up"),"Done",IF(L487="Cancelled","Cancelled",IF(K487&lt;TODAY(),"Late by "&amp;(TODAY()-K487)&amp;IF((TODAY()-K487)=1," day"," days"),IF(K487=TODAY(),"Due today","Due in "&amp;(K487-TODAY())&amp;IF((K487-TODAY())=1," day"," days"))))))</f>
        <v/>
      </c>
      <c r="S487" s="33" t="n"/>
      <c r="T487" s="1">
        <f>IF(AND(B487&lt;&gt;"",K487&lt;&gt;"",L487&lt;&gt;"Sent",L487&lt;&gt;"Picked up",L487&lt;&gt;"Cancelled"),K487+ROW()/10000000,"")</f>
        <v/>
      </c>
      <c r="U487">
        <f>IF(OR(B487="",C487=""),"",B487+ROW()/10000000)</f>
        <v/>
      </c>
      <c r="V487">
        <f>IF(U487="","",IF(COUNTIFS(Orders!$C$6:$C$1005,C487,Orders!$U$6:$U$1005,"&gt;"&amp;U487)=0,1,0))</f>
        <v/>
      </c>
      <c r="W487">
        <f>IF(AND(B487&lt;&gt;"",K487&lt;&gt;"",L487&lt;&gt;"Sent",L487&lt;&gt;"Picked up",L487&lt;&gt;"Cancelled"),IF(N(E487)=0,1,E487),0)</f>
        <v/>
      </c>
      <c r="X487">
        <f>IF(OR(B487="",D487=""),"",IF(N(E487)=0,1,E487))</f>
        <v/>
      </c>
    </row>
    <row r="488">
      <c r="A488" s="1" t="n"/>
      <c r="B488" s="31" t="n"/>
      <c r="C488" s="32" t="n"/>
      <c r="D488" s="33" t="n"/>
      <c r="E488" s="34" t="n"/>
      <c r="F488" s="35" t="n"/>
      <c r="G488" s="35" t="n"/>
      <c r="H488" s="30">
        <f>IF(OR(B488="",D488=""),"",IF(N(E488)=0,1,E488)*IFERROR(INDEX(Products!$C$6:$C$105,MATCH(D488,Products!$B$6:$B$105,0)),0)+N(F488)+N(G488))</f>
        <v/>
      </c>
      <c r="I488" s="35" t="n"/>
      <c r="J488" s="30">
        <f>IF(OR(H488="",L488="Cancelled"),"",IF(H488-N(I488)&gt;0.005,H488-N(I488),""))</f>
        <v/>
      </c>
      <c r="K488" s="31" t="n"/>
      <c r="L488" s="36" t="n"/>
      <c r="M488" s="33" t="n"/>
      <c r="N488" s="22">
        <f>IF(OR(H488="",L488="Cancelled"),"",IF(N(E488)=0,1,E488)*IFERROR(INDEX(Products!$E$6:$E$105,MATCH(D488,Products!$B$6:$B$105,0)),0))</f>
        <v/>
      </c>
      <c r="O488" s="35" t="n"/>
      <c r="P488" s="22">
        <f>IF(OR(H488="",L488="Cancelled"),"",ROUND(IFERROR(H488*INDEX(Settings!$C$6:$C$15,MATCH(M488,Settings!$B$6:$B$15,0))+INDEX(Settings!$D$6:$D$15,MATCH(M488,Settings!$B$6:$B$15,0)),0),2))</f>
        <v/>
      </c>
      <c r="Q488" s="28">
        <f>IF(OR(H488="",L488="Cancelled"),"",H488-N(N488)-N(O488)-N(P488))</f>
        <v/>
      </c>
      <c r="R488" s="19">
        <f>IF(OR(B488="",K488=""),"",IF(OR(L488="Sent",L488="Picked up"),"Done",IF(L488="Cancelled","Cancelled",IF(K488&lt;TODAY(),"Late by "&amp;(TODAY()-K488)&amp;IF((TODAY()-K488)=1," day"," days"),IF(K488=TODAY(),"Due today","Due in "&amp;(K488-TODAY())&amp;IF((K488-TODAY())=1," day"," days"))))))</f>
        <v/>
      </c>
      <c r="S488" s="33" t="n"/>
      <c r="T488" s="1">
        <f>IF(AND(B488&lt;&gt;"",K488&lt;&gt;"",L488&lt;&gt;"Sent",L488&lt;&gt;"Picked up",L488&lt;&gt;"Cancelled"),K488+ROW()/10000000,"")</f>
        <v/>
      </c>
      <c r="U488">
        <f>IF(OR(B488="",C488=""),"",B488+ROW()/10000000)</f>
        <v/>
      </c>
      <c r="V488">
        <f>IF(U488="","",IF(COUNTIFS(Orders!$C$6:$C$1005,C488,Orders!$U$6:$U$1005,"&gt;"&amp;U488)=0,1,0))</f>
        <v/>
      </c>
      <c r="W488">
        <f>IF(AND(B488&lt;&gt;"",K488&lt;&gt;"",L488&lt;&gt;"Sent",L488&lt;&gt;"Picked up",L488&lt;&gt;"Cancelled"),IF(N(E488)=0,1,E488),0)</f>
        <v/>
      </c>
      <c r="X488">
        <f>IF(OR(B488="",D488=""),"",IF(N(E488)=0,1,E488))</f>
        <v/>
      </c>
    </row>
    <row r="489">
      <c r="A489" s="1" t="n"/>
      <c r="B489" s="31" t="n"/>
      <c r="C489" s="32" t="n"/>
      <c r="D489" s="33" t="n"/>
      <c r="E489" s="34" t="n"/>
      <c r="F489" s="35" t="n"/>
      <c r="G489" s="35" t="n"/>
      <c r="H489" s="30">
        <f>IF(OR(B489="",D489=""),"",IF(N(E489)=0,1,E489)*IFERROR(INDEX(Products!$C$6:$C$105,MATCH(D489,Products!$B$6:$B$105,0)),0)+N(F489)+N(G489))</f>
        <v/>
      </c>
      <c r="I489" s="35" t="n"/>
      <c r="J489" s="30">
        <f>IF(OR(H489="",L489="Cancelled"),"",IF(H489-N(I489)&gt;0.005,H489-N(I489),""))</f>
        <v/>
      </c>
      <c r="K489" s="31" t="n"/>
      <c r="L489" s="36" t="n"/>
      <c r="M489" s="33" t="n"/>
      <c r="N489" s="22">
        <f>IF(OR(H489="",L489="Cancelled"),"",IF(N(E489)=0,1,E489)*IFERROR(INDEX(Products!$E$6:$E$105,MATCH(D489,Products!$B$6:$B$105,0)),0))</f>
        <v/>
      </c>
      <c r="O489" s="35" t="n"/>
      <c r="P489" s="22">
        <f>IF(OR(H489="",L489="Cancelled"),"",ROUND(IFERROR(H489*INDEX(Settings!$C$6:$C$15,MATCH(M489,Settings!$B$6:$B$15,0))+INDEX(Settings!$D$6:$D$15,MATCH(M489,Settings!$B$6:$B$15,0)),0),2))</f>
        <v/>
      </c>
      <c r="Q489" s="28">
        <f>IF(OR(H489="",L489="Cancelled"),"",H489-N(N489)-N(O489)-N(P489))</f>
        <v/>
      </c>
      <c r="R489" s="19">
        <f>IF(OR(B489="",K489=""),"",IF(OR(L489="Sent",L489="Picked up"),"Done",IF(L489="Cancelled","Cancelled",IF(K489&lt;TODAY(),"Late by "&amp;(TODAY()-K489)&amp;IF((TODAY()-K489)=1," day"," days"),IF(K489=TODAY(),"Due today","Due in "&amp;(K489-TODAY())&amp;IF((K489-TODAY())=1," day"," days"))))))</f>
        <v/>
      </c>
      <c r="S489" s="33" t="n"/>
      <c r="T489" s="1">
        <f>IF(AND(B489&lt;&gt;"",K489&lt;&gt;"",L489&lt;&gt;"Sent",L489&lt;&gt;"Picked up",L489&lt;&gt;"Cancelled"),K489+ROW()/10000000,"")</f>
        <v/>
      </c>
      <c r="U489">
        <f>IF(OR(B489="",C489=""),"",B489+ROW()/10000000)</f>
        <v/>
      </c>
      <c r="V489">
        <f>IF(U489="","",IF(COUNTIFS(Orders!$C$6:$C$1005,C489,Orders!$U$6:$U$1005,"&gt;"&amp;U489)=0,1,0))</f>
        <v/>
      </c>
      <c r="W489">
        <f>IF(AND(B489&lt;&gt;"",K489&lt;&gt;"",L489&lt;&gt;"Sent",L489&lt;&gt;"Picked up",L489&lt;&gt;"Cancelled"),IF(N(E489)=0,1,E489),0)</f>
        <v/>
      </c>
      <c r="X489">
        <f>IF(OR(B489="",D489=""),"",IF(N(E489)=0,1,E489))</f>
        <v/>
      </c>
    </row>
    <row r="490">
      <c r="A490" s="1" t="n"/>
      <c r="B490" s="31" t="n"/>
      <c r="C490" s="32" t="n"/>
      <c r="D490" s="33" t="n"/>
      <c r="E490" s="34" t="n"/>
      <c r="F490" s="35" t="n"/>
      <c r="G490" s="35" t="n"/>
      <c r="H490" s="30">
        <f>IF(OR(B490="",D490=""),"",IF(N(E490)=0,1,E490)*IFERROR(INDEX(Products!$C$6:$C$105,MATCH(D490,Products!$B$6:$B$105,0)),0)+N(F490)+N(G490))</f>
        <v/>
      </c>
      <c r="I490" s="35" t="n"/>
      <c r="J490" s="30">
        <f>IF(OR(H490="",L490="Cancelled"),"",IF(H490-N(I490)&gt;0.005,H490-N(I490),""))</f>
        <v/>
      </c>
      <c r="K490" s="31" t="n"/>
      <c r="L490" s="36" t="n"/>
      <c r="M490" s="33" t="n"/>
      <c r="N490" s="22">
        <f>IF(OR(H490="",L490="Cancelled"),"",IF(N(E490)=0,1,E490)*IFERROR(INDEX(Products!$E$6:$E$105,MATCH(D490,Products!$B$6:$B$105,0)),0))</f>
        <v/>
      </c>
      <c r="O490" s="35" t="n"/>
      <c r="P490" s="22">
        <f>IF(OR(H490="",L490="Cancelled"),"",ROUND(IFERROR(H490*INDEX(Settings!$C$6:$C$15,MATCH(M490,Settings!$B$6:$B$15,0))+INDEX(Settings!$D$6:$D$15,MATCH(M490,Settings!$B$6:$B$15,0)),0),2))</f>
        <v/>
      </c>
      <c r="Q490" s="28">
        <f>IF(OR(H490="",L490="Cancelled"),"",H490-N(N490)-N(O490)-N(P490))</f>
        <v/>
      </c>
      <c r="R490" s="19">
        <f>IF(OR(B490="",K490=""),"",IF(OR(L490="Sent",L490="Picked up"),"Done",IF(L490="Cancelled","Cancelled",IF(K490&lt;TODAY(),"Late by "&amp;(TODAY()-K490)&amp;IF((TODAY()-K490)=1," day"," days"),IF(K490=TODAY(),"Due today","Due in "&amp;(K490-TODAY())&amp;IF((K490-TODAY())=1," day"," days"))))))</f>
        <v/>
      </c>
      <c r="S490" s="33" t="n"/>
      <c r="T490" s="1">
        <f>IF(AND(B490&lt;&gt;"",K490&lt;&gt;"",L490&lt;&gt;"Sent",L490&lt;&gt;"Picked up",L490&lt;&gt;"Cancelled"),K490+ROW()/10000000,"")</f>
        <v/>
      </c>
      <c r="U490">
        <f>IF(OR(B490="",C490=""),"",B490+ROW()/10000000)</f>
        <v/>
      </c>
      <c r="V490">
        <f>IF(U490="","",IF(COUNTIFS(Orders!$C$6:$C$1005,C490,Orders!$U$6:$U$1005,"&gt;"&amp;U490)=0,1,0))</f>
        <v/>
      </c>
      <c r="W490">
        <f>IF(AND(B490&lt;&gt;"",K490&lt;&gt;"",L490&lt;&gt;"Sent",L490&lt;&gt;"Picked up",L490&lt;&gt;"Cancelled"),IF(N(E490)=0,1,E490),0)</f>
        <v/>
      </c>
      <c r="X490">
        <f>IF(OR(B490="",D490=""),"",IF(N(E490)=0,1,E490))</f>
        <v/>
      </c>
    </row>
    <row r="491">
      <c r="A491" s="1" t="n"/>
      <c r="B491" s="31" t="n"/>
      <c r="C491" s="32" t="n"/>
      <c r="D491" s="33" t="n"/>
      <c r="E491" s="34" t="n"/>
      <c r="F491" s="35" t="n"/>
      <c r="G491" s="35" t="n"/>
      <c r="H491" s="30">
        <f>IF(OR(B491="",D491=""),"",IF(N(E491)=0,1,E491)*IFERROR(INDEX(Products!$C$6:$C$105,MATCH(D491,Products!$B$6:$B$105,0)),0)+N(F491)+N(G491))</f>
        <v/>
      </c>
      <c r="I491" s="35" t="n"/>
      <c r="J491" s="30">
        <f>IF(OR(H491="",L491="Cancelled"),"",IF(H491-N(I491)&gt;0.005,H491-N(I491),""))</f>
        <v/>
      </c>
      <c r="K491" s="31" t="n"/>
      <c r="L491" s="36" t="n"/>
      <c r="M491" s="33" t="n"/>
      <c r="N491" s="22">
        <f>IF(OR(H491="",L491="Cancelled"),"",IF(N(E491)=0,1,E491)*IFERROR(INDEX(Products!$E$6:$E$105,MATCH(D491,Products!$B$6:$B$105,0)),0))</f>
        <v/>
      </c>
      <c r="O491" s="35" t="n"/>
      <c r="P491" s="22">
        <f>IF(OR(H491="",L491="Cancelled"),"",ROUND(IFERROR(H491*INDEX(Settings!$C$6:$C$15,MATCH(M491,Settings!$B$6:$B$15,0))+INDEX(Settings!$D$6:$D$15,MATCH(M491,Settings!$B$6:$B$15,0)),0),2))</f>
        <v/>
      </c>
      <c r="Q491" s="28">
        <f>IF(OR(H491="",L491="Cancelled"),"",H491-N(N491)-N(O491)-N(P491))</f>
        <v/>
      </c>
      <c r="R491" s="19">
        <f>IF(OR(B491="",K491=""),"",IF(OR(L491="Sent",L491="Picked up"),"Done",IF(L491="Cancelled","Cancelled",IF(K491&lt;TODAY(),"Late by "&amp;(TODAY()-K491)&amp;IF((TODAY()-K491)=1," day"," days"),IF(K491=TODAY(),"Due today","Due in "&amp;(K491-TODAY())&amp;IF((K491-TODAY())=1," day"," days"))))))</f>
        <v/>
      </c>
      <c r="S491" s="33" t="n"/>
      <c r="T491" s="1">
        <f>IF(AND(B491&lt;&gt;"",K491&lt;&gt;"",L491&lt;&gt;"Sent",L491&lt;&gt;"Picked up",L491&lt;&gt;"Cancelled"),K491+ROW()/10000000,"")</f>
        <v/>
      </c>
      <c r="U491">
        <f>IF(OR(B491="",C491=""),"",B491+ROW()/10000000)</f>
        <v/>
      </c>
      <c r="V491">
        <f>IF(U491="","",IF(COUNTIFS(Orders!$C$6:$C$1005,C491,Orders!$U$6:$U$1005,"&gt;"&amp;U491)=0,1,0))</f>
        <v/>
      </c>
      <c r="W491">
        <f>IF(AND(B491&lt;&gt;"",K491&lt;&gt;"",L491&lt;&gt;"Sent",L491&lt;&gt;"Picked up",L491&lt;&gt;"Cancelled"),IF(N(E491)=0,1,E491),0)</f>
        <v/>
      </c>
      <c r="X491">
        <f>IF(OR(B491="",D491=""),"",IF(N(E491)=0,1,E491))</f>
        <v/>
      </c>
    </row>
    <row r="492">
      <c r="A492" s="1" t="n"/>
      <c r="B492" s="31" t="n"/>
      <c r="C492" s="32" t="n"/>
      <c r="D492" s="33" t="n"/>
      <c r="E492" s="34" t="n"/>
      <c r="F492" s="35" t="n"/>
      <c r="G492" s="35" t="n"/>
      <c r="H492" s="30">
        <f>IF(OR(B492="",D492=""),"",IF(N(E492)=0,1,E492)*IFERROR(INDEX(Products!$C$6:$C$105,MATCH(D492,Products!$B$6:$B$105,0)),0)+N(F492)+N(G492))</f>
        <v/>
      </c>
      <c r="I492" s="35" t="n"/>
      <c r="J492" s="30">
        <f>IF(OR(H492="",L492="Cancelled"),"",IF(H492-N(I492)&gt;0.005,H492-N(I492),""))</f>
        <v/>
      </c>
      <c r="K492" s="31" t="n"/>
      <c r="L492" s="36" t="n"/>
      <c r="M492" s="33" t="n"/>
      <c r="N492" s="22">
        <f>IF(OR(H492="",L492="Cancelled"),"",IF(N(E492)=0,1,E492)*IFERROR(INDEX(Products!$E$6:$E$105,MATCH(D492,Products!$B$6:$B$105,0)),0))</f>
        <v/>
      </c>
      <c r="O492" s="35" t="n"/>
      <c r="P492" s="22">
        <f>IF(OR(H492="",L492="Cancelled"),"",ROUND(IFERROR(H492*INDEX(Settings!$C$6:$C$15,MATCH(M492,Settings!$B$6:$B$15,0))+INDEX(Settings!$D$6:$D$15,MATCH(M492,Settings!$B$6:$B$15,0)),0),2))</f>
        <v/>
      </c>
      <c r="Q492" s="28">
        <f>IF(OR(H492="",L492="Cancelled"),"",H492-N(N492)-N(O492)-N(P492))</f>
        <v/>
      </c>
      <c r="R492" s="19">
        <f>IF(OR(B492="",K492=""),"",IF(OR(L492="Sent",L492="Picked up"),"Done",IF(L492="Cancelled","Cancelled",IF(K492&lt;TODAY(),"Late by "&amp;(TODAY()-K492)&amp;IF((TODAY()-K492)=1," day"," days"),IF(K492=TODAY(),"Due today","Due in "&amp;(K492-TODAY())&amp;IF((K492-TODAY())=1," day"," days"))))))</f>
        <v/>
      </c>
      <c r="S492" s="33" t="n"/>
      <c r="T492" s="1">
        <f>IF(AND(B492&lt;&gt;"",K492&lt;&gt;"",L492&lt;&gt;"Sent",L492&lt;&gt;"Picked up",L492&lt;&gt;"Cancelled"),K492+ROW()/10000000,"")</f>
        <v/>
      </c>
      <c r="U492">
        <f>IF(OR(B492="",C492=""),"",B492+ROW()/10000000)</f>
        <v/>
      </c>
      <c r="V492">
        <f>IF(U492="","",IF(COUNTIFS(Orders!$C$6:$C$1005,C492,Orders!$U$6:$U$1005,"&gt;"&amp;U492)=0,1,0))</f>
        <v/>
      </c>
      <c r="W492">
        <f>IF(AND(B492&lt;&gt;"",K492&lt;&gt;"",L492&lt;&gt;"Sent",L492&lt;&gt;"Picked up",L492&lt;&gt;"Cancelled"),IF(N(E492)=0,1,E492),0)</f>
        <v/>
      </c>
      <c r="X492">
        <f>IF(OR(B492="",D492=""),"",IF(N(E492)=0,1,E492))</f>
        <v/>
      </c>
    </row>
    <row r="493">
      <c r="A493" s="1" t="n"/>
      <c r="B493" s="31" t="n"/>
      <c r="C493" s="32" t="n"/>
      <c r="D493" s="33" t="n"/>
      <c r="E493" s="34" t="n"/>
      <c r="F493" s="35" t="n"/>
      <c r="G493" s="35" t="n"/>
      <c r="H493" s="30">
        <f>IF(OR(B493="",D493=""),"",IF(N(E493)=0,1,E493)*IFERROR(INDEX(Products!$C$6:$C$105,MATCH(D493,Products!$B$6:$B$105,0)),0)+N(F493)+N(G493))</f>
        <v/>
      </c>
      <c r="I493" s="35" t="n"/>
      <c r="J493" s="30">
        <f>IF(OR(H493="",L493="Cancelled"),"",IF(H493-N(I493)&gt;0.005,H493-N(I493),""))</f>
        <v/>
      </c>
      <c r="K493" s="31" t="n"/>
      <c r="L493" s="36" t="n"/>
      <c r="M493" s="33" t="n"/>
      <c r="N493" s="22">
        <f>IF(OR(H493="",L493="Cancelled"),"",IF(N(E493)=0,1,E493)*IFERROR(INDEX(Products!$E$6:$E$105,MATCH(D493,Products!$B$6:$B$105,0)),0))</f>
        <v/>
      </c>
      <c r="O493" s="35" t="n"/>
      <c r="P493" s="22">
        <f>IF(OR(H493="",L493="Cancelled"),"",ROUND(IFERROR(H493*INDEX(Settings!$C$6:$C$15,MATCH(M493,Settings!$B$6:$B$15,0))+INDEX(Settings!$D$6:$D$15,MATCH(M493,Settings!$B$6:$B$15,0)),0),2))</f>
        <v/>
      </c>
      <c r="Q493" s="28">
        <f>IF(OR(H493="",L493="Cancelled"),"",H493-N(N493)-N(O493)-N(P493))</f>
        <v/>
      </c>
      <c r="R493" s="19">
        <f>IF(OR(B493="",K493=""),"",IF(OR(L493="Sent",L493="Picked up"),"Done",IF(L493="Cancelled","Cancelled",IF(K493&lt;TODAY(),"Late by "&amp;(TODAY()-K493)&amp;IF((TODAY()-K493)=1," day"," days"),IF(K493=TODAY(),"Due today","Due in "&amp;(K493-TODAY())&amp;IF((K493-TODAY())=1," day"," days"))))))</f>
        <v/>
      </c>
      <c r="S493" s="33" t="n"/>
      <c r="T493" s="1">
        <f>IF(AND(B493&lt;&gt;"",K493&lt;&gt;"",L493&lt;&gt;"Sent",L493&lt;&gt;"Picked up",L493&lt;&gt;"Cancelled"),K493+ROW()/10000000,"")</f>
        <v/>
      </c>
      <c r="U493">
        <f>IF(OR(B493="",C493=""),"",B493+ROW()/10000000)</f>
        <v/>
      </c>
      <c r="V493">
        <f>IF(U493="","",IF(COUNTIFS(Orders!$C$6:$C$1005,C493,Orders!$U$6:$U$1005,"&gt;"&amp;U493)=0,1,0))</f>
        <v/>
      </c>
      <c r="W493">
        <f>IF(AND(B493&lt;&gt;"",K493&lt;&gt;"",L493&lt;&gt;"Sent",L493&lt;&gt;"Picked up",L493&lt;&gt;"Cancelled"),IF(N(E493)=0,1,E493),0)</f>
        <v/>
      </c>
      <c r="X493">
        <f>IF(OR(B493="",D493=""),"",IF(N(E493)=0,1,E493))</f>
        <v/>
      </c>
    </row>
    <row r="494">
      <c r="A494" s="1" t="n"/>
      <c r="B494" s="31" t="n"/>
      <c r="C494" s="32" t="n"/>
      <c r="D494" s="33" t="n"/>
      <c r="E494" s="34" t="n"/>
      <c r="F494" s="35" t="n"/>
      <c r="G494" s="35" t="n"/>
      <c r="H494" s="30">
        <f>IF(OR(B494="",D494=""),"",IF(N(E494)=0,1,E494)*IFERROR(INDEX(Products!$C$6:$C$105,MATCH(D494,Products!$B$6:$B$105,0)),0)+N(F494)+N(G494))</f>
        <v/>
      </c>
      <c r="I494" s="35" t="n"/>
      <c r="J494" s="30">
        <f>IF(OR(H494="",L494="Cancelled"),"",IF(H494-N(I494)&gt;0.005,H494-N(I494),""))</f>
        <v/>
      </c>
      <c r="K494" s="31" t="n"/>
      <c r="L494" s="36" t="n"/>
      <c r="M494" s="33" t="n"/>
      <c r="N494" s="22">
        <f>IF(OR(H494="",L494="Cancelled"),"",IF(N(E494)=0,1,E494)*IFERROR(INDEX(Products!$E$6:$E$105,MATCH(D494,Products!$B$6:$B$105,0)),0))</f>
        <v/>
      </c>
      <c r="O494" s="35" t="n"/>
      <c r="P494" s="22">
        <f>IF(OR(H494="",L494="Cancelled"),"",ROUND(IFERROR(H494*INDEX(Settings!$C$6:$C$15,MATCH(M494,Settings!$B$6:$B$15,0))+INDEX(Settings!$D$6:$D$15,MATCH(M494,Settings!$B$6:$B$15,0)),0),2))</f>
        <v/>
      </c>
      <c r="Q494" s="28">
        <f>IF(OR(H494="",L494="Cancelled"),"",H494-N(N494)-N(O494)-N(P494))</f>
        <v/>
      </c>
      <c r="R494" s="19">
        <f>IF(OR(B494="",K494=""),"",IF(OR(L494="Sent",L494="Picked up"),"Done",IF(L494="Cancelled","Cancelled",IF(K494&lt;TODAY(),"Late by "&amp;(TODAY()-K494)&amp;IF((TODAY()-K494)=1," day"," days"),IF(K494=TODAY(),"Due today","Due in "&amp;(K494-TODAY())&amp;IF((K494-TODAY())=1," day"," days"))))))</f>
        <v/>
      </c>
      <c r="S494" s="33" t="n"/>
      <c r="T494" s="1">
        <f>IF(AND(B494&lt;&gt;"",K494&lt;&gt;"",L494&lt;&gt;"Sent",L494&lt;&gt;"Picked up",L494&lt;&gt;"Cancelled"),K494+ROW()/10000000,"")</f>
        <v/>
      </c>
      <c r="U494">
        <f>IF(OR(B494="",C494=""),"",B494+ROW()/10000000)</f>
        <v/>
      </c>
      <c r="V494">
        <f>IF(U494="","",IF(COUNTIFS(Orders!$C$6:$C$1005,C494,Orders!$U$6:$U$1005,"&gt;"&amp;U494)=0,1,0))</f>
        <v/>
      </c>
      <c r="W494">
        <f>IF(AND(B494&lt;&gt;"",K494&lt;&gt;"",L494&lt;&gt;"Sent",L494&lt;&gt;"Picked up",L494&lt;&gt;"Cancelled"),IF(N(E494)=0,1,E494),0)</f>
        <v/>
      </c>
      <c r="X494">
        <f>IF(OR(B494="",D494=""),"",IF(N(E494)=0,1,E494))</f>
        <v/>
      </c>
    </row>
    <row r="495">
      <c r="A495" s="1" t="n"/>
      <c r="B495" s="31" t="n"/>
      <c r="C495" s="32" t="n"/>
      <c r="D495" s="33" t="n"/>
      <c r="E495" s="34" t="n"/>
      <c r="F495" s="35" t="n"/>
      <c r="G495" s="35" t="n"/>
      <c r="H495" s="30">
        <f>IF(OR(B495="",D495=""),"",IF(N(E495)=0,1,E495)*IFERROR(INDEX(Products!$C$6:$C$105,MATCH(D495,Products!$B$6:$B$105,0)),0)+N(F495)+N(G495))</f>
        <v/>
      </c>
      <c r="I495" s="35" t="n"/>
      <c r="J495" s="30">
        <f>IF(OR(H495="",L495="Cancelled"),"",IF(H495-N(I495)&gt;0.005,H495-N(I495),""))</f>
        <v/>
      </c>
      <c r="K495" s="31" t="n"/>
      <c r="L495" s="36" t="n"/>
      <c r="M495" s="33" t="n"/>
      <c r="N495" s="22">
        <f>IF(OR(H495="",L495="Cancelled"),"",IF(N(E495)=0,1,E495)*IFERROR(INDEX(Products!$E$6:$E$105,MATCH(D495,Products!$B$6:$B$105,0)),0))</f>
        <v/>
      </c>
      <c r="O495" s="35" t="n"/>
      <c r="P495" s="22">
        <f>IF(OR(H495="",L495="Cancelled"),"",ROUND(IFERROR(H495*INDEX(Settings!$C$6:$C$15,MATCH(M495,Settings!$B$6:$B$15,0))+INDEX(Settings!$D$6:$D$15,MATCH(M495,Settings!$B$6:$B$15,0)),0),2))</f>
        <v/>
      </c>
      <c r="Q495" s="28">
        <f>IF(OR(H495="",L495="Cancelled"),"",H495-N(N495)-N(O495)-N(P495))</f>
        <v/>
      </c>
      <c r="R495" s="19">
        <f>IF(OR(B495="",K495=""),"",IF(OR(L495="Sent",L495="Picked up"),"Done",IF(L495="Cancelled","Cancelled",IF(K495&lt;TODAY(),"Late by "&amp;(TODAY()-K495)&amp;IF((TODAY()-K495)=1," day"," days"),IF(K495=TODAY(),"Due today","Due in "&amp;(K495-TODAY())&amp;IF((K495-TODAY())=1," day"," days"))))))</f>
        <v/>
      </c>
      <c r="S495" s="33" t="n"/>
      <c r="T495" s="1">
        <f>IF(AND(B495&lt;&gt;"",K495&lt;&gt;"",L495&lt;&gt;"Sent",L495&lt;&gt;"Picked up",L495&lt;&gt;"Cancelled"),K495+ROW()/10000000,"")</f>
        <v/>
      </c>
      <c r="U495">
        <f>IF(OR(B495="",C495=""),"",B495+ROW()/10000000)</f>
        <v/>
      </c>
      <c r="V495">
        <f>IF(U495="","",IF(COUNTIFS(Orders!$C$6:$C$1005,C495,Orders!$U$6:$U$1005,"&gt;"&amp;U495)=0,1,0))</f>
        <v/>
      </c>
      <c r="W495">
        <f>IF(AND(B495&lt;&gt;"",K495&lt;&gt;"",L495&lt;&gt;"Sent",L495&lt;&gt;"Picked up",L495&lt;&gt;"Cancelled"),IF(N(E495)=0,1,E495),0)</f>
        <v/>
      </c>
      <c r="X495">
        <f>IF(OR(B495="",D495=""),"",IF(N(E495)=0,1,E495))</f>
        <v/>
      </c>
    </row>
    <row r="496">
      <c r="A496" s="1" t="n"/>
      <c r="B496" s="31" t="n"/>
      <c r="C496" s="32" t="n"/>
      <c r="D496" s="33" t="n"/>
      <c r="E496" s="34" t="n"/>
      <c r="F496" s="35" t="n"/>
      <c r="G496" s="35" t="n"/>
      <c r="H496" s="30">
        <f>IF(OR(B496="",D496=""),"",IF(N(E496)=0,1,E496)*IFERROR(INDEX(Products!$C$6:$C$105,MATCH(D496,Products!$B$6:$B$105,0)),0)+N(F496)+N(G496))</f>
        <v/>
      </c>
      <c r="I496" s="35" t="n"/>
      <c r="J496" s="30">
        <f>IF(OR(H496="",L496="Cancelled"),"",IF(H496-N(I496)&gt;0.005,H496-N(I496),""))</f>
        <v/>
      </c>
      <c r="K496" s="31" t="n"/>
      <c r="L496" s="36" t="n"/>
      <c r="M496" s="33" t="n"/>
      <c r="N496" s="22">
        <f>IF(OR(H496="",L496="Cancelled"),"",IF(N(E496)=0,1,E496)*IFERROR(INDEX(Products!$E$6:$E$105,MATCH(D496,Products!$B$6:$B$105,0)),0))</f>
        <v/>
      </c>
      <c r="O496" s="35" t="n"/>
      <c r="P496" s="22">
        <f>IF(OR(H496="",L496="Cancelled"),"",ROUND(IFERROR(H496*INDEX(Settings!$C$6:$C$15,MATCH(M496,Settings!$B$6:$B$15,0))+INDEX(Settings!$D$6:$D$15,MATCH(M496,Settings!$B$6:$B$15,0)),0),2))</f>
        <v/>
      </c>
      <c r="Q496" s="28">
        <f>IF(OR(H496="",L496="Cancelled"),"",H496-N(N496)-N(O496)-N(P496))</f>
        <v/>
      </c>
      <c r="R496" s="19">
        <f>IF(OR(B496="",K496=""),"",IF(OR(L496="Sent",L496="Picked up"),"Done",IF(L496="Cancelled","Cancelled",IF(K496&lt;TODAY(),"Late by "&amp;(TODAY()-K496)&amp;IF((TODAY()-K496)=1," day"," days"),IF(K496=TODAY(),"Due today","Due in "&amp;(K496-TODAY())&amp;IF((K496-TODAY())=1," day"," days"))))))</f>
        <v/>
      </c>
      <c r="S496" s="33" t="n"/>
      <c r="T496" s="1">
        <f>IF(AND(B496&lt;&gt;"",K496&lt;&gt;"",L496&lt;&gt;"Sent",L496&lt;&gt;"Picked up",L496&lt;&gt;"Cancelled"),K496+ROW()/10000000,"")</f>
        <v/>
      </c>
      <c r="U496">
        <f>IF(OR(B496="",C496=""),"",B496+ROW()/10000000)</f>
        <v/>
      </c>
      <c r="V496">
        <f>IF(U496="","",IF(COUNTIFS(Orders!$C$6:$C$1005,C496,Orders!$U$6:$U$1005,"&gt;"&amp;U496)=0,1,0))</f>
        <v/>
      </c>
      <c r="W496">
        <f>IF(AND(B496&lt;&gt;"",K496&lt;&gt;"",L496&lt;&gt;"Sent",L496&lt;&gt;"Picked up",L496&lt;&gt;"Cancelled"),IF(N(E496)=0,1,E496),0)</f>
        <v/>
      </c>
      <c r="X496">
        <f>IF(OR(B496="",D496=""),"",IF(N(E496)=0,1,E496))</f>
        <v/>
      </c>
    </row>
    <row r="497">
      <c r="A497" s="1" t="n"/>
      <c r="B497" s="31" t="n"/>
      <c r="C497" s="32" t="n"/>
      <c r="D497" s="33" t="n"/>
      <c r="E497" s="34" t="n"/>
      <c r="F497" s="35" t="n"/>
      <c r="G497" s="35" t="n"/>
      <c r="H497" s="30">
        <f>IF(OR(B497="",D497=""),"",IF(N(E497)=0,1,E497)*IFERROR(INDEX(Products!$C$6:$C$105,MATCH(D497,Products!$B$6:$B$105,0)),0)+N(F497)+N(G497))</f>
        <v/>
      </c>
      <c r="I497" s="35" t="n"/>
      <c r="J497" s="30">
        <f>IF(OR(H497="",L497="Cancelled"),"",IF(H497-N(I497)&gt;0.005,H497-N(I497),""))</f>
        <v/>
      </c>
      <c r="K497" s="31" t="n"/>
      <c r="L497" s="36" t="n"/>
      <c r="M497" s="33" t="n"/>
      <c r="N497" s="22">
        <f>IF(OR(H497="",L497="Cancelled"),"",IF(N(E497)=0,1,E497)*IFERROR(INDEX(Products!$E$6:$E$105,MATCH(D497,Products!$B$6:$B$105,0)),0))</f>
        <v/>
      </c>
      <c r="O497" s="35" t="n"/>
      <c r="P497" s="22">
        <f>IF(OR(H497="",L497="Cancelled"),"",ROUND(IFERROR(H497*INDEX(Settings!$C$6:$C$15,MATCH(M497,Settings!$B$6:$B$15,0))+INDEX(Settings!$D$6:$D$15,MATCH(M497,Settings!$B$6:$B$15,0)),0),2))</f>
        <v/>
      </c>
      <c r="Q497" s="28">
        <f>IF(OR(H497="",L497="Cancelled"),"",H497-N(N497)-N(O497)-N(P497))</f>
        <v/>
      </c>
      <c r="R497" s="19">
        <f>IF(OR(B497="",K497=""),"",IF(OR(L497="Sent",L497="Picked up"),"Done",IF(L497="Cancelled","Cancelled",IF(K497&lt;TODAY(),"Late by "&amp;(TODAY()-K497)&amp;IF((TODAY()-K497)=1," day"," days"),IF(K497=TODAY(),"Due today","Due in "&amp;(K497-TODAY())&amp;IF((K497-TODAY())=1," day"," days"))))))</f>
        <v/>
      </c>
      <c r="S497" s="33" t="n"/>
      <c r="T497" s="1">
        <f>IF(AND(B497&lt;&gt;"",K497&lt;&gt;"",L497&lt;&gt;"Sent",L497&lt;&gt;"Picked up",L497&lt;&gt;"Cancelled"),K497+ROW()/10000000,"")</f>
        <v/>
      </c>
      <c r="U497">
        <f>IF(OR(B497="",C497=""),"",B497+ROW()/10000000)</f>
        <v/>
      </c>
      <c r="V497">
        <f>IF(U497="","",IF(COUNTIFS(Orders!$C$6:$C$1005,C497,Orders!$U$6:$U$1005,"&gt;"&amp;U497)=0,1,0))</f>
        <v/>
      </c>
      <c r="W497">
        <f>IF(AND(B497&lt;&gt;"",K497&lt;&gt;"",L497&lt;&gt;"Sent",L497&lt;&gt;"Picked up",L497&lt;&gt;"Cancelled"),IF(N(E497)=0,1,E497),0)</f>
        <v/>
      </c>
      <c r="X497">
        <f>IF(OR(B497="",D497=""),"",IF(N(E497)=0,1,E497))</f>
        <v/>
      </c>
    </row>
    <row r="498">
      <c r="A498" s="1" t="n"/>
      <c r="B498" s="31" t="n"/>
      <c r="C498" s="32" t="n"/>
      <c r="D498" s="33" t="n"/>
      <c r="E498" s="34" t="n"/>
      <c r="F498" s="35" t="n"/>
      <c r="G498" s="35" t="n"/>
      <c r="H498" s="30">
        <f>IF(OR(B498="",D498=""),"",IF(N(E498)=0,1,E498)*IFERROR(INDEX(Products!$C$6:$C$105,MATCH(D498,Products!$B$6:$B$105,0)),0)+N(F498)+N(G498))</f>
        <v/>
      </c>
      <c r="I498" s="35" t="n"/>
      <c r="J498" s="30">
        <f>IF(OR(H498="",L498="Cancelled"),"",IF(H498-N(I498)&gt;0.005,H498-N(I498),""))</f>
        <v/>
      </c>
      <c r="K498" s="31" t="n"/>
      <c r="L498" s="36" t="n"/>
      <c r="M498" s="33" t="n"/>
      <c r="N498" s="22">
        <f>IF(OR(H498="",L498="Cancelled"),"",IF(N(E498)=0,1,E498)*IFERROR(INDEX(Products!$E$6:$E$105,MATCH(D498,Products!$B$6:$B$105,0)),0))</f>
        <v/>
      </c>
      <c r="O498" s="35" t="n"/>
      <c r="P498" s="22">
        <f>IF(OR(H498="",L498="Cancelled"),"",ROUND(IFERROR(H498*INDEX(Settings!$C$6:$C$15,MATCH(M498,Settings!$B$6:$B$15,0))+INDEX(Settings!$D$6:$D$15,MATCH(M498,Settings!$B$6:$B$15,0)),0),2))</f>
        <v/>
      </c>
      <c r="Q498" s="28">
        <f>IF(OR(H498="",L498="Cancelled"),"",H498-N(N498)-N(O498)-N(P498))</f>
        <v/>
      </c>
      <c r="R498" s="19">
        <f>IF(OR(B498="",K498=""),"",IF(OR(L498="Sent",L498="Picked up"),"Done",IF(L498="Cancelled","Cancelled",IF(K498&lt;TODAY(),"Late by "&amp;(TODAY()-K498)&amp;IF((TODAY()-K498)=1," day"," days"),IF(K498=TODAY(),"Due today","Due in "&amp;(K498-TODAY())&amp;IF((K498-TODAY())=1," day"," days"))))))</f>
        <v/>
      </c>
      <c r="S498" s="33" t="n"/>
      <c r="T498" s="1">
        <f>IF(AND(B498&lt;&gt;"",K498&lt;&gt;"",L498&lt;&gt;"Sent",L498&lt;&gt;"Picked up",L498&lt;&gt;"Cancelled"),K498+ROW()/10000000,"")</f>
        <v/>
      </c>
      <c r="U498">
        <f>IF(OR(B498="",C498=""),"",B498+ROW()/10000000)</f>
        <v/>
      </c>
      <c r="V498">
        <f>IF(U498="","",IF(COUNTIFS(Orders!$C$6:$C$1005,C498,Orders!$U$6:$U$1005,"&gt;"&amp;U498)=0,1,0))</f>
        <v/>
      </c>
      <c r="W498">
        <f>IF(AND(B498&lt;&gt;"",K498&lt;&gt;"",L498&lt;&gt;"Sent",L498&lt;&gt;"Picked up",L498&lt;&gt;"Cancelled"),IF(N(E498)=0,1,E498),0)</f>
        <v/>
      </c>
      <c r="X498">
        <f>IF(OR(B498="",D498=""),"",IF(N(E498)=0,1,E498))</f>
        <v/>
      </c>
    </row>
    <row r="499">
      <c r="A499" s="1" t="n"/>
      <c r="B499" s="31" t="n"/>
      <c r="C499" s="32" t="n"/>
      <c r="D499" s="33" t="n"/>
      <c r="E499" s="34" t="n"/>
      <c r="F499" s="35" t="n"/>
      <c r="G499" s="35" t="n"/>
      <c r="H499" s="30">
        <f>IF(OR(B499="",D499=""),"",IF(N(E499)=0,1,E499)*IFERROR(INDEX(Products!$C$6:$C$105,MATCH(D499,Products!$B$6:$B$105,0)),0)+N(F499)+N(G499))</f>
        <v/>
      </c>
      <c r="I499" s="35" t="n"/>
      <c r="J499" s="30">
        <f>IF(OR(H499="",L499="Cancelled"),"",IF(H499-N(I499)&gt;0.005,H499-N(I499),""))</f>
        <v/>
      </c>
      <c r="K499" s="31" t="n"/>
      <c r="L499" s="36" t="n"/>
      <c r="M499" s="33" t="n"/>
      <c r="N499" s="22">
        <f>IF(OR(H499="",L499="Cancelled"),"",IF(N(E499)=0,1,E499)*IFERROR(INDEX(Products!$E$6:$E$105,MATCH(D499,Products!$B$6:$B$105,0)),0))</f>
        <v/>
      </c>
      <c r="O499" s="35" t="n"/>
      <c r="P499" s="22">
        <f>IF(OR(H499="",L499="Cancelled"),"",ROUND(IFERROR(H499*INDEX(Settings!$C$6:$C$15,MATCH(M499,Settings!$B$6:$B$15,0))+INDEX(Settings!$D$6:$D$15,MATCH(M499,Settings!$B$6:$B$15,0)),0),2))</f>
        <v/>
      </c>
      <c r="Q499" s="28">
        <f>IF(OR(H499="",L499="Cancelled"),"",H499-N(N499)-N(O499)-N(P499))</f>
        <v/>
      </c>
      <c r="R499" s="19">
        <f>IF(OR(B499="",K499=""),"",IF(OR(L499="Sent",L499="Picked up"),"Done",IF(L499="Cancelled","Cancelled",IF(K499&lt;TODAY(),"Late by "&amp;(TODAY()-K499)&amp;IF((TODAY()-K499)=1," day"," days"),IF(K499=TODAY(),"Due today","Due in "&amp;(K499-TODAY())&amp;IF((K499-TODAY())=1," day"," days"))))))</f>
        <v/>
      </c>
      <c r="S499" s="33" t="n"/>
      <c r="T499" s="1">
        <f>IF(AND(B499&lt;&gt;"",K499&lt;&gt;"",L499&lt;&gt;"Sent",L499&lt;&gt;"Picked up",L499&lt;&gt;"Cancelled"),K499+ROW()/10000000,"")</f>
        <v/>
      </c>
      <c r="U499">
        <f>IF(OR(B499="",C499=""),"",B499+ROW()/10000000)</f>
        <v/>
      </c>
      <c r="V499">
        <f>IF(U499="","",IF(COUNTIFS(Orders!$C$6:$C$1005,C499,Orders!$U$6:$U$1005,"&gt;"&amp;U499)=0,1,0))</f>
        <v/>
      </c>
      <c r="W499">
        <f>IF(AND(B499&lt;&gt;"",K499&lt;&gt;"",L499&lt;&gt;"Sent",L499&lt;&gt;"Picked up",L499&lt;&gt;"Cancelled"),IF(N(E499)=0,1,E499),0)</f>
        <v/>
      </c>
      <c r="X499">
        <f>IF(OR(B499="",D499=""),"",IF(N(E499)=0,1,E499))</f>
        <v/>
      </c>
    </row>
    <row r="500">
      <c r="A500" s="1" t="n"/>
      <c r="B500" s="31" t="n"/>
      <c r="C500" s="32" t="n"/>
      <c r="D500" s="33" t="n"/>
      <c r="E500" s="34" t="n"/>
      <c r="F500" s="35" t="n"/>
      <c r="G500" s="35" t="n"/>
      <c r="H500" s="30">
        <f>IF(OR(B500="",D500=""),"",IF(N(E500)=0,1,E500)*IFERROR(INDEX(Products!$C$6:$C$105,MATCH(D500,Products!$B$6:$B$105,0)),0)+N(F500)+N(G500))</f>
        <v/>
      </c>
      <c r="I500" s="35" t="n"/>
      <c r="J500" s="30">
        <f>IF(OR(H500="",L500="Cancelled"),"",IF(H500-N(I500)&gt;0.005,H500-N(I500),""))</f>
        <v/>
      </c>
      <c r="K500" s="31" t="n"/>
      <c r="L500" s="36" t="n"/>
      <c r="M500" s="33" t="n"/>
      <c r="N500" s="22">
        <f>IF(OR(H500="",L500="Cancelled"),"",IF(N(E500)=0,1,E500)*IFERROR(INDEX(Products!$E$6:$E$105,MATCH(D500,Products!$B$6:$B$105,0)),0))</f>
        <v/>
      </c>
      <c r="O500" s="35" t="n"/>
      <c r="P500" s="22">
        <f>IF(OR(H500="",L500="Cancelled"),"",ROUND(IFERROR(H500*INDEX(Settings!$C$6:$C$15,MATCH(M500,Settings!$B$6:$B$15,0))+INDEX(Settings!$D$6:$D$15,MATCH(M500,Settings!$B$6:$B$15,0)),0),2))</f>
        <v/>
      </c>
      <c r="Q500" s="28">
        <f>IF(OR(H500="",L500="Cancelled"),"",H500-N(N500)-N(O500)-N(P500))</f>
        <v/>
      </c>
      <c r="R500" s="19">
        <f>IF(OR(B500="",K500=""),"",IF(OR(L500="Sent",L500="Picked up"),"Done",IF(L500="Cancelled","Cancelled",IF(K500&lt;TODAY(),"Late by "&amp;(TODAY()-K500)&amp;IF((TODAY()-K500)=1," day"," days"),IF(K500=TODAY(),"Due today","Due in "&amp;(K500-TODAY())&amp;IF((K500-TODAY())=1," day"," days"))))))</f>
        <v/>
      </c>
      <c r="S500" s="33" t="n"/>
      <c r="T500" s="1">
        <f>IF(AND(B500&lt;&gt;"",K500&lt;&gt;"",L500&lt;&gt;"Sent",L500&lt;&gt;"Picked up",L500&lt;&gt;"Cancelled"),K500+ROW()/10000000,"")</f>
        <v/>
      </c>
      <c r="U500">
        <f>IF(OR(B500="",C500=""),"",B500+ROW()/10000000)</f>
        <v/>
      </c>
      <c r="V500">
        <f>IF(U500="","",IF(COUNTIFS(Orders!$C$6:$C$1005,C500,Orders!$U$6:$U$1005,"&gt;"&amp;U500)=0,1,0))</f>
        <v/>
      </c>
      <c r="W500">
        <f>IF(AND(B500&lt;&gt;"",K500&lt;&gt;"",L500&lt;&gt;"Sent",L500&lt;&gt;"Picked up",L500&lt;&gt;"Cancelled"),IF(N(E500)=0,1,E500),0)</f>
        <v/>
      </c>
      <c r="X500">
        <f>IF(OR(B500="",D500=""),"",IF(N(E500)=0,1,E500))</f>
        <v/>
      </c>
    </row>
    <row r="501">
      <c r="A501" s="1" t="n"/>
      <c r="B501" s="31" t="n"/>
      <c r="C501" s="32" t="n"/>
      <c r="D501" s="33" t="n"/>
      <c r="E501" s="34" t="n"/>
      <c r="F501" s="35" t="n"/>
      <c r="G501" s="35" t="n"/>
      <c r="H501" s="30">
        <f>IF(OR(B501="",D501=""),"",IF(N(E501)=0,1,E501)*IFERROR(INDEX(Products!$C$6:$C$105,MATCH(D501,Products!$B$6:$B$105,0)),0)+N(F501)+N(G501))</f>
        <v/>
      </c>
      <c r="I501" s="35" t="n"/>
      <c r="J501" s="30">
        <f>IF(OR(H501="",L501="Cancelled"),"",IF(H501-N(I501)&gt;0.005,H501-N(I501),""))</f>
        <v/>
      </c>
      <c r="K501" s="31" t="n"/>
      <c r="L501" s="36" t="n"/>
      <c r="M501" s="33" t="n"/>
      <c r="N501" s="22">
        <f>IF(OR(H501="",L501="Cancelled"),"",IF(N(E501)=0,1,E501)*IFERROR(INDEX(Products!$E$6:$E$105,MATCH(D501,Products!$B$6:$B$105,0)),0))</f>
        <v/>
      </c>
      <c r="O501" s="35" t="n"/>
      <c r="P501" s="22">
        <f>IF(OR(H501="",L501="Cancelled"),"",ROUND(IFERROR(H501*INDEX(Settings!$C$6:$C$15,MATCH(M501,Settings!$B$6:$B$15,0))+INDEX(Settings!$D$6:$D$15,MATCH(M501,Settings!$B$6:$B$15,0)),0),2))</f>
        <v/>
      </c>
      <c r="Q501" s="28">
        <f>IF(OR(H501="",L501="Cancelled"),"",H501-N(N501)-N(O501)-N(P501))</f>
        <v/>
      </c>
      <c r="R501" s="19">
        <f>IF(OR(B501="",K501=""),"",IF(OR(L501="Sent",L501="Picked up"),"Done",IF(L501="Cancelled","Cancelled",IF(K501&lt;TODAY(),"Late by "&amp;(TODAY()-K501)&amp;IF((TODAY()-K501)=1," day"," days"),IF(K501=TODAY(),"Due today","Due in "&amp;(K501-TODAY())&amp;IF((K501-TODAY())=1," day"," days"))))))</f>
        <v/>
      </c>
      <c r="S501" s="33" t="n"/>
      <c r="T501" s="1">
        <f>IF(AND(B501&lt;&gt;"",K501&lt;&gt;"",L501&lt;&gt;"Sent",L501&lt;&gt;"Picked up",L501&lt;&gt;"Cancelled"),K501+ROW()/10000000,"")</f>
        <v/>
      </c>
      <c r="U501">
        <f>IF(OR(B501="",C501=""),"",B501+ROW()/10000000)</f>
        <v/>
      </c>
      <c r="V501">
        <f>IF(U501="","",IF(COUNTIFS(Orders!$C$6:$C$1005,C501,Orders!$U$6:$U$1005,"&gt;"&amp;U501)=0,1,0))</f>
        <v/>
      </c>
      <c r="W501">
        <f>IF(AND(B501&lt;&gt;"",K501&lt;&gt;"",L501&lt;&gt;"Sent",L501&lt;&gt;"Picked up",L501&lt;&gt;"Cancelled"),IF(N(E501)=0,1,E501),0)</f>
        <v/>
      </c>
      <c r="X501">
        <f>IF(OR(B501="",D501=""),"",IF(N(E501)=0,1,E501))</f>
        <v/>
      </c>
    </row>
    <row r="502">
      <c r="A502" s="1" t="n"/>
      <c r="B502" s="31" t="n"/>
      <c r="C502" s="32" t="n"/>
      <c r="D502" s="33" t="n"/>
      <c r="E502" s="34" t="n"/>
      <c r="F502" s="35" t="n"/>
      <c r="G502" s="35" t="n"/>
      <c r="H502" s="30">
        <f>IF(OR(B502="",D502=""),"",IF(N(E502)=0,1,E502)*IFERROR(INDEX(Products!$C$6:$C$105,MATCH(D502,Products!$B$6:$B$105,0)),0)+N(F502)+N(G502))</f>
        <v/>
      </c>
      <c r="I502" s="35" t="n"/>
      <c r="J502" s="30">
        <f>IF(OR(H502="",L502="Cancelled"),"",IF(H502-N(I502)&gt;0.005,H502-N(I502),""))</f>
        <v/>
      </c>
      <c r="K502" s="31" t="n"/>
      <c r="L502" s="36" t="n"/>
      <c r="M502" s="33" t="n"/>
      <c r="N502" s="22">
        <f>IF(OR(H502="",L502="Cancelled"),"",IF(N(E502)=0,1,E502)*IFERROR(INDEX(Products!$E$6:$E$105,MATCH(D502,Products!$B$6:$B$105,0)),0))</f>
        <v/>
      </c>
      <c r="O502" s="35" t="n"/>
      <c r="P502" s="22">
        <f>IF(OR(H502="",L502="Cancelled"),"",ROUND(IFERROR(H502*INDEX(Settings!$C$6:$C$15,MATCH(M502,Settings!$B$6:$B$15,0))+INDEX(Settings!$D$6:$D$15,MATCH(M502,Settings!$B$6:$B$15,0)),0),2))</f>
        <v/>
      </c>
      <c r="Q502" s="28">
        <f>IF(OR(H502="",L502="Cancelled"),"",H502-N(N502)-N(O502)-N(P502))</f>
        <v/>
      </c>
      <c r="R502" s="19">
        <f>IF(OR(B502="",K502=""),"",IF(OR(L502="Sent",L502="Picked up"),"Done",IF(L502="Cancelled","Cancelled",IF(K502&lt;TODAY(),"Late by "&amp;(TODAY()-K502)&amp;IF((TODAY()-K502)=1," day"," days"),IF(K502=TODAY(),"Due today","Due in "&amp;(K502-TODAY())&amp;IF((K502-TODAY())=1," day"," days"))))))</f>
        <v/>
      </c>
      <c r="S502" s="33" t="n"/>
      <c r="T502" s="1">
        <f>IF(AND(B502&lt;&gt;"",K502&lt;&gt;"",L502&lt;&gt;"Sent",L502&lt;&gt;"Picked up",L502&lt;&gt;"Cancelled"),K502+ROW()/10000000,"")</f>
        <v/>
      </c>
      <c r="U502">
        <f>IF(OR(B502="",C502=""),"",B502+ROW()/10000000)</f>
        <v/>
      </c>
      <c r="V502">
        <f>IF(U502="","",IF(COUNTIFS(Orders!$C$6:$C$1005,C502,Orders!$U$6:$U$1005,"&gt;"&amp;U502)=0,1,0))</f>
        <v/>
      </c>
      <c r="W502">
        <f>IF(AND(B502&lt;&gt;"",K502&lt;&gt;"",L502&lt;&gt;"Sent",L502&lt;&gt;"Picked up",L502&lt;&gt;"Cancelled"),IF(N(E502)=0,1,E502),0)</f>
        <v/>
      </c>
      <c r="X502">
        <f>IF(OR(B502="",D502=""),"",IF(N(E502)=0,1,E502))</f>
        <v/>
      </c>
    </row>
    <row r="503">
      <c r="A503" s="1" t="n"/>
      <c r="B503" s="31" t="n"/>
      <c r="C503" s="32" t="n"/>
      <c r="D503" s="33" t="n"/>
      <c r="E503" s="34" t="n"/>
      <c r="F503" s="35" t="n"/>
      <c r="G503" s="35" t="n"/>
      <c r="H503" s="30">
        <f>IF(OR(B503="",D503=""),"",IF(N(E503)=0,1,E503)*IFERROR(INDEX(Products!$C$6:$C$105,MATCH(D503,Products!$B$6:$B$105,0)),0)+N(F503)+N(G503))</f>
        <v/>
      </c>
      <c r="I503" s="35" t="n"/>
      <c r="J503" s="30">
        <f>IF(OR(H503="",L503="Cancelled"),"",IF(H503-N(I503)&gt;0.005,H503-N(I503),""))</f>
        <v/>
      </c>
      <c r="K503" s="31" t="n"/>
      <c r="L503" s="36" t="n"/>
      <c r="M503" s="33" t="n"/>
      <c r="N503" s="22">
        <f>IF(OR(H503="",L503="Cancelled"),"",IF(N(E503)=0,1,E503)*IFERROR(INDEX(Products!$E$6:$E$105,MATCH(D503,Products!$B$6:$B$105,0)),0))</f>
        <v/>
      </c>
      <c r="O503" s="35" t="n"/>
      <c r="P503" s="22">
        <f>IF(OR(H503="",L503="Cancelled"),"",ROUND(IFERROR(H503*INDEX(Settings!$C$6:$C$15,MATCH(M503,Settings!$B$6:$B$15,0))+INDEX(Settings!$D$6:$D$15,MATCH(M503,Settings!$B$6:$B$15,0)),0),2))</f>
        <v/>
      </c>
      <c r="Q503" s="28">
        <f>IF(OR(H503="",L503="Cancelled"),"",H503-N(N503)-N(O503)-N(P503))</f>
        <v/>
      </c>
      <c r="R503" s="19">
        <f>IF(OR(B503="",K503=""),"",IF(OR(L503="Sent",L503="Picked up"),"Done",IF(L503="Cancelled","Cancelled",IF(K503&lt;TODAY(),"Late by "&amp;(TODAY()-K503)&amp;IF((TODAY()-K503)=1," day"," days"),IF(K503=TODAY(),"Due today","Due in "&amp;(K503-TODAY())&amp;IF((K503-TODAY())=1," day"," days"))))))</f>
        <v/>
      </c>
      <c r="S503" s="33" t="n"/>
      <c r="T503" s="1">
        <f>IF(AND(B503&lt;&gt;"",K503&lt;&gt;"",L503&lt;&gt;"Sent",L503&lt;&gt;"Picked up",L503&lt;&gt;"Cancelled"),K503+ROW()/10000000,"")</f>
        <v/>
      </c>
      <c r="U503">
        <f>IF(OR(B503="",C503=""),"",B503+ROW()/10000000)</f>
        <v/>
      </c>
      <c r="V503">
        <f>IF(U503="","",IF(COUNTIFS(Orders!$C$6:$C$1005,C503,Orders!$U$6:$U$1005,"&gt;"&amp;U503)=0,1,0))</f>
        <v/>
      </c>
      <c r="W503">
        <f>IF(AND(B503&lt;&gt;"",K503&lt;&gt;"",L503&lt;&gt;"Sent",L503&lt;&gt;"Picked up",L503&lt;&gt;"Cancelled"),IF(N(E503)=0,1,E503),0)</f>
        <v/>
      </c>
      <c r="X503">
        <f>IF(OR(B503="",D503=""),"",IF(N(E503)=0,1,E503))</f>
        <v/>
      </c>
    </row>
    <row r="504">
      <c r="A504" s="1" t="n"/>
      <c r="B504" s="31" t="n"/>
      <c r="C504" s="32" t="n"/>
      <c r="D504" s="33" t="n"/>
      <c r="E504" s="34" t="n"/>
      <c r="F504" s="35" t="n"/>
      <c r="G504" s="35" t="n"/>
      <c r="H504" s="30">
        <f>IF(OR(B504="",D504=""),"",IF(N(E504)=0,1,E504)*IFERROR(INDEX(Products!$C$6:$C$105,MATCH(D504,Products!$B$6:$B$105,0)),0)+N(F504)+N(G504))</f>
        <v/>
      </c>
      <c r="I504" s="35" t="n"/>
      <c r="J504" s="30">
        <f>IF(OR(H504="",L504="Cancelled"),"",IF(H504-N(I504)&gt;0.005,H504-N(I504),""))</f>
        <v/>
      </c>
      <c r="K504" s="31" t="n"/>
      <c r="L504" s="36" t="n"/>
      <c r="M504" s="33" t="n"/>
      <c r="N504" s="22">
        <f>IF(OR(H504="",L504="Cancelled"),"",IF(N(E504)=0,1,E504)*IFERROR(INDEX(Products!$E$6:$E$105,MATCH(D504,Products!$B$6:$B$105,0)),0))</f>
        <v/>
      </c>
      <c r="O504" s="35" t="n"/>
      <c r="P504" s="22">
        <f>IF(OR(H504="",L504="Cancelled"),"",ROUND(IFERROR(H504*INDEX(Settings!$C$6:$C$15,MATCH(M504,Settings!$B$6:$B$15,0))+INDEX(Settings!$D$6:$D$15,MATCH(M504,Settings!$B$6:$B$15,0)),0),2))</f>
        <v/>
      </c>
      <c r="Q504" s="28">
        <f>IF(OR(H504="",L504="Cancelled"),"",H504-N(N504)-N(O504)-N(P504))</f>
        <v/>
      </c>
      <c r="R504" s="19">
        <f>IF(OR(B504="",K504=""),"",IF(OR(L504="Sent",L504="Picked up"),"Done",IF(L504="Cancelled","Cancelled",IF(K504&lt;TODAY(),"Late by "&amp;(TODAY()-K504)&amp;IF((TODAY()-K504)=1," day"," days"),IF(K504=TODAY(),"Due today","Due in "&amp;(K504-TODAY())&amp;IF((K504-TODAY())=1," day"," days"))))))</f>
        <v/>
      </c>
      <c r="S504" s="33" t="n"/>
      <c r="T504" s="1">
        <f>IF(AND(B504&lt;&gt;"",K504&lt;&gt;"",L504&lt;&gt;"Sent",L504&lt;&gt;"Picked up",L504&lt;&gt;"Cancelled"),K504+ROW()/10000000,"")</f>
        <v/>
      </c>
      <c r="U504">
        <f>IF(OR(B504="",C504=""),"",B504+ROW()/10000000)</f>
        <v/>
      </c>
      <c r="V504">
        <f>IF(U504="","",IF(COUNTIFS(Orders!$C$6:$C$1005,C504,Orders!$U$6:$U$1005,"&gt;"&amp;U504)=0,1,0))</f>
        <v/>
      </c>
      <c r="W504">
        <f>IF(AND(B504&lt;&gt;"",K504&lt;&gt;"",L504&lt;&gt;"Sent",L504&lt;&gt;"Picked up",L504&lt;&gt;"Cancelled"),IF(N(E504)=0,1,E504),0)</f>
        <v/>
      </c>
      <c r="X504">
        <f>IF(OR(B504="",D504=""),"",IF(N(E504)=0,1,E504))</f>
        <v/>
      </c>
    </row>
    <row r="505">
      <c r="A505" s="1" t="n"/>
      <c r="B505" s="31" t="n"/>
      <c r="C505" s="32" t="n"/>
      <c r="D505" s="33" t="n"/>
      <c r="E505" s="34" t="n"/>
      <c r="F505" s="35" t="n"/>
      <c r="G505" s="35" t="n"/>
      <c r="H505" s="30">
        <f>IF(OR(B505="",D505=""),"",IF(N(E505)=0,1,E505)*IFERROR(INDEX(Products!$C$6:$C$105,MATCH(D505,Products!$B$6:$B$105,0)),0)+N(F505)+N(G505))</f>
        <v/>
      </c>
      <c r="I505" s="35" t="n"/>
      <c r="J505" s="30">
        <f>IF(OR(H505="",L505="Cancelled"),"",IF(H505-N(I505)&gt;0.005,H505-N(I505),""))</f>
        <v/>
      </c>
      <c r="K505" s="31" t="n"/>
      <c r="L505" s="36" t="n"/>
      <c r="M505" s="33" t="n"/>
      <c r="N505" s="22">
        <f>IF(OR(H505="",L505="Cancelled"),"",IF(N(E505)=0,1,E505)*IFERROR(INDEX(Products!$E$6:$E$105,MATCH(D505,Products!$B$6:$B$105,0)),0))</f>
        <v/>
      </c>
      <c r="O505" s="35" t="n"/>
      <c r="P505" s="22">
        <f>IF(OR(H505="",L505="Cancelled"),"",ROUND(IFERROR(H505*INDEX(Settings!$C$6:$C$15,MATCH(M505,Settings!$B$6:$B$15,0))+INDEX(Settings!$D$6:$D$15,MATCH(M505,Settings!$B$6:$B$15,0)),0),2))</f>
        <v/>
      </c>
      <c r="Q505" s="28">
        <f>IF(OR(H505="",L505="Cancelled"),"",H505-N(N505)-N(O505)-N(P505))</f>
        <v/>
      </c>
      <c r="R505" s="19">
        <f>IF(OR(B505="",K505=""),"",IF(OR(L505="Sent",L505="Picked up"),"Done",IF(L505="Cancelled","Cancelled",IF(K505&lt;TODAY(),"Late by "&amp;(TODAY()-K505)&amp;IF((TODAY()-K505)=1," day"," days"),IF(K505=TODAY(),"Due today","Due in "&amp;(K505-TODAY())&amp;IF((K505-TODAY())=1," day"," days"))))))</f>
        <v/>
      </c>
      <c r="S505" s="33" t="n"/>
      <c r="T505" s="1">
        <f>IF(AND(B505&lt;&gt;"",K505&lt;&gt;"",L505&lt;&gt;"Sent",L505&lt;&gt;"Picked up",L505&lt;&gt;"Cancelled"),K505+ROW()/10000000,"")</f>
        <v/>
      </c>
      <c r="U505">
        <f>IF(OR(B505="",C505=""),"",B505+ROW()/10000000)</f>
        <v/>
      </c>
      <c r="V505">
        <f>IF(U505="","",IF(COUNTIFS(Orders!$C$6:$C$1005,C505,Orders!$U$6:$U$1005,"&gt;"&amp;U505)=0,1,0))</f>
        <v/>
      </c>
      <c r="W505">
        <f>IF(AND(B505&lt;&gt;"",K505&lt;&gt;"",L505&lt;&gt;"Sent",L505&lt;&gt;"Picked up",L505&lt;&gt;"Cancelled"),IF(N(E505)=0,1,E505),0)</f>
        <v/>
      </c>
      <c r="X505">
        <f>IF(OR(B505="",D505=""),"",IF(N(E505)=0,1,E505))</f>
        <v/>
      </c>
    </row>
    <row r="506">
      <c r="A506" s="1" t="n"/>
      <c r="B506" s="31" t="n"/>
      <c r="C506" s="32" t="n"/>
      <c r="D506" s="33" t="n"/>
      <c r="E506" s="34" t="n"/>
      <c r="F506" s="35" t="n"/>
      <c r="G506" s="35" t="n"/>
      <c r="H506" s="30">
        <f>IF(OR(B506="",D506=""),"",IF(N(E506)=0,1,E506)*IFERROR(INDEX(Products!$C$6:$C$105,MATCH(D506,Products!$B$6:$B$105,0)),0)+N(F506)+N(G506))</f>
        <v/>
      </c>
      <c r="I506" s="35" t="n"/>
      <c r="J506" s="30">
        <f>IF(OR(H506="",L506="Cancelled"),"",IF(H506-N(I506)&gt;0.005,H506-N(I506),""))</f>
        <v/>
      </c>
      <c r="K506" s="31" t="n"/>
      <c r="L506" s="36" t="n"/>
      <c r="M506" s="33" t="n"/>
      <c r="N506" s="22">
        <f>IF(OR(H506="",L506="Cancelled"),"",IF(N(E506)=0,1,E506)*IFERROR(INDEX(Products!$E$6:$E$105,MATCH(D506,Products!$B$6:$B$105,0)),0))</f>
        <v/>
      </c>
      <c r="O506" s="35" t="n"/>
      <c r="P506" s="22">
        <f>IF(OR(H506="",L506="Cancelled"),"",ROUND(IFERROR(H506*INDEX(Settings!$C$6:$C$15,MATCH(M506,Settings!$B$6:$B$15,0))+INDEX(Settings!$D$6:$D$15,MATCH(M506,Settings!$B$6:$B$15,0)),0),2))</f>
        <v/>
      </c>
      <c r="Q506" s="28">
        <f>IF(OR(H506="",L506="Cancelled"),"",H506-N(N506)-N(O506)-N(P506))</f>
        <v/>
      </c>
      <c r="R506" s="19">
        <f>IF(OR(B506="",K506=""),"",IF(OR(L506="Sent",L506="Picked up"),"Done",IF(L506="Cancelled","Cancelled",IF(K506&lt;TODAY(),"Late by "&amp;(TODAY()-K506)&amp;IF((TODAY()-K506)=1," day"," days"),IF(K506=TODAY(),"Due today","Due in "&amp;(K506-TODAY())&amp;IF((K506-TODAY())=1," day"," days"))))))</f>
        <v/>
      </c>
      <c r="S506" s="33" t="n"/>
      <c r="T506" s="1">
        <f>IF(AND(B506&lt;&gt;"",K506&lt;&gt;"",L506&lt;&gt;"Sent",L506&lt;&gt;"Picked up",L506&lt;&gt;"Cancelled"),K506+ROW()/10000000,"")</f>
        <v/>
      </c>
      <c r="U506">
        <f>IF(OR(B506="",C506=""),"",B506+ROW()/10000000)</f>
        <v/>
      </c>
      <c r="V506">
        <f>IF(U506="","",IF(COUNTIFS(Orders!$C$6:$C$1005,C506,Orders!$U$6:$U$1005,"&gt;"&amp;U506)=0,1,0))</f>
        <v/>
      </c>
      <c r="W506">
        <f>IF(AND(B506&lt;&gt;"",K506&lt;&gt;"",L506&lt;&gt;"Sent",L506&lt;&gt;"Picked up",L506&lt;&gt;"Cancelled"),IF(N(E506)=0,1,E506),0)</f>
        <v/>
      </c>
      <c r="X506">
        <f>IF(OR(B506="",D506=""),"",IF(N(E506)=0,1,E506))</f>
        <v/>
      </c>
    </row>
    <row r="507">
      <c r="A507" s="1" t="n"/>
      <c r="B507" s="31" t="n"/>
      <c r="C507" s="32" t="n"/>
      <c r="D507" s="33" t="n"/>
      <c r="E507" s="34" t="n"/>
      <c r="F507" s="35" t="n"/>
      <c r="G507" s="35" t="n"/>
      <c r="H507" s="30">
        <f>IF(OR(B507="",D507=""),"",IF(N(E507)=0,1,E507)*IFERROR(INDEX(Products!$C$6:$C$105,MATCH(D507,Products!$B$6:$B$105,0)),0)+N(F507)+N(G507))</f>
        <v/>
      </c>
      <c r="I507" s="35" t="n"/>
      <c r="J507" s="30">
        <f>IF(OR(H507="",L507="Cancelled"),"",IF(H507-N(I507)&gt;0.005,H507-N(I507),""))</f>
        <v/>
      </c>
      <c r="K507" s="31" t="n"/>
      <c r="L507" s="36" t="n"/>
      <c r="M507" s="33" t="n"/>
      <c r="N507" s="22">
        <f>IF(OR(H507="",L507="Cancelled"),"",IF(N(E507)=0,1,E507)*IFERROR(INDEX(Products!$E$6:$E$105,MATCH(D507,Products!$B$6:$B$105,0)),0))</f>
        <v/>
      </c>
      <c r="O507" s="35" t="n"/>
      <c r="P507" s="22">
        <f>IF(OR(H507="",L507="Cancelled"),"",ROUND(IFERROR(H507*INDEX(Settings!$C$6:$C$15,MATCH(M507,Settings!$B$6:$B$15,0))+INDEX(Settings!$D$6:$D$15,MATCH(M507,Settings!$B$6:$B$15,0)),0),2))</f>
        <v/>
      </c>
      <c r="Q507" s="28">
        <f>IF(OR(H507="",L507="Cancelled"),"",H507-N(N507)-N(O507)-N(P507))</f>
        <v/>
      </c>
      <c r="R507" s="19">
        <f>IF(OR(B507="",K507=""),"",IF(OR(L507="Sent",L507="Picked up"),"Done",IF(L507="Cancelled","Cancelled",IF(K507&lt;TODAY(),"Late by "&amp;(TODAY()-K507)&amp;IF((TODAY()-K507)=1," day"," days"),IF(K507=TODAY(),"Due today","Due in "&amp;(K507-TODAY())&amp;IF((K507-TODAY())=1," day"," days"))))))</f>
        <v/>
      </c>
      <c r="S507" s="33" t="n"/>
      <c r="T507" s="1">
        <f>IF(AND(B507&lt;&gt;"",K507&lt;&gt;"",L507&lt;&gt;"Sent",L507&lt;&gt;"Picked up",L507&lt;&gt;"Cancelled"),K507+ROW()/10000000,"")</f>
        <v/>
      </c>
      <c r="U507">
        <f>IF(OR(B507="",C507=""),"",B507+ROW()/10000000)</f>
        <v/>
      </c>
      <c r="V507">
        <f>IF(U507="","",IF(COUNTIFS(Orders!$C$6:$C$1005,C507,Orders!$U$6:$U$1005,"&gt;"&amp;U507)=0,1,0))</f>
        <v/>
      </c>
      <c r="W507">
        <f>IF(AND(B507&lt;&gt;"",K507&lt;&gt;"",L507&lt;&gt;"Sent",L507&lt;&gt;"Picked up",L507&lt;&gt;"Cancelled"),IF(N(E507)=0,1,E507),0)</f>
        <v/>
      </c>
      <c r="X507">
        <f>IF(OR(B507="",D507=""),"",IF(N(E507)=0,1,E507))</f>
        <v/>
      </c>
    </row>
    <row r="508">
      <c r="A508" s="1" t="n"/>
      <c r="B508" s="31" t="n"/>
      <c r="C508" s="32" t="n"/>
      <c r="D508" s="33" t="n"/>
      <c r="E508" s="34" t="n"/>
      <c r="F508" s="35" t="n"/>
      <c r="G508" s="35" t="n"/>
      <c r="H508" s="30">
        <f>IF(OR(B508="",D508=""),"",IF(N(E508)=0,1,E508)*IFERROR(INDEX(Products!$C$6:$C$105,MATCH(D508,Products!$B$6:$B$105,0)),0)+N(F508)+N(G508))</f>
        <v/>
      </c>
      <c r="I508" s="35" t="n"/>
      <c r="J508" s="30">
        <f>IF(OR(H508="",L508="Cancelled"),"",IF(H508-N(I508)&gt;0.005,H508-N(I508),""))</f>
        <v/>
      </c>
      <c r="K508" s="31" t="n"/>
      <c r="L508" s="36" t="n"/>
      <c r="M508" s="33" t="n"/>
      <c r="N508" s="22">
        <f>IF(OR(H508="",L508="Cancelled"),"",IF(N(E508)=0,1,E508)*IFERROR(INDEX(Products!$E$6:$E$105,MATCH(D508,Products!$B$6:$B$105,0)),0))</f>
        <v/>
      </c>
      <c r="O508" s="35" t="n"/>
      <c r="P508" s="22">
        <f>IF(OR(H508="",L508="Cancelled"),"",ROUND(IFERROR(H508*INDEX(Settings!$C$6:$C$15,MATCH(M508,Settings!$B$6:$B$15,0))+INDEX(Settings!$D$6:$D$15,MATCH(M508,Settings!$B$6:$B$15,0)),0),2))</f>
        <v/>
      </c>
      <c r="Q508" s="28">
        <f>IF(OR(H508="",L508="Cancelled"),"",H508-N(N508)-N(O508)-N(P508))</f>
        <v/>
      </c>
      <c r="R508" s="19">
        <f>IF(OR(B508="",K508=""),"",IF(OR(L508="Sent",L508="Picked up"),"Done",IF(L508="Cancelled","Cancelled",IF(K508&lt;TODAY(),"Late by "&amp;(TODAY()-K508)&amp;IF((TODAY()-K508)=1," day"," days"),IF(K508=TODAY(),"Due today","Due in "&amp;(K508-TODAY())&amp;IF((K508-TODAY())=1," day"," days"))))))</f>
        <v/>
      </c>
      <c r="S508" s="33" t="n"/>
      <c r="T508" s="1">
        <f>IF(AND(B508&lt;&gt;"",K508&lt;&gt;"",L508&lt;&gt;"Sent",L508&lt;&gt;"Picked up",L508&lt;&gt;"Cancelled"),K508+ROW()/10000000,"")</f>
        <v/>
      </c>
      <c r="U508">
        <f>IF(OR(B508="",C508=""),"",B508+ROW()/10000000)</f>
        <v/>
      </c>
      <c r="V508">
        <f>IF(U508="","",IF(COUNTIFS(Orders!$C$6:$C$1005,C508,Orders!$U$6:$U$1005,"&gt;"&amp;U508)=0,1,0))</f>
        <v/>
      </c>
      <c r="W508">
        <f>IF(AND(B508&lt;&gt;"",K508&lt;&gt;"",L508&lt;&gt;"Sent",L508&lt;&gt;"Picked up",L508&lt;&gt;"Cancelled"),IF(N(E508)=0,1,E508),0)</f>
        <v/>
      </c>
      <c r="X508">
        <f>IF(OR(B508="",D508=""),"",IF(N(E508)=0,1,E508))</f>
        <v/>
      </c>
    </row>
    <row r="509">
      <c r="A509" s="1" t="n"/>
      <c r="B509" s="31" t="n"/>
      <c r="C509" s="32" t="n"/>
      <c r="D509" s="33" t="n"/>
      <c r="E509" s="34" t="n"/>
      <c r="F509" s="35" t="n"/>
      <c r="G509" s="35" t="n"/>
      <c r="H509" s="30">
        <f>IF(OR(B509="",D509=""),"",IF(N(E509)=0,1,E509)*IFERROR(INDEX(Products!$C$6:$C$105,MATCH(D509,Products!$B$6:$B$105,0)),0)+N(F509)+N(G509))</f>
        <v/>
      </c>
      <c r="I509" s="35" t="n"/>
      <c r="J509" s="30">
        <f>IF(OR(H509="",L509="Cancelled"),"",IF(H509-N(I509)&gt;0.005,H509-N(I509),""))</f>
        <v/>
      </c>
      <c r="K509" s="31" t="n"/>
      <c r="L509" s="36" t="n"/>
      <c r="M509" s="33" t="n"/>
      <c r="N509" s="22">
        <f>IF(OR(H509="",L509="Cancelled"),"",IF(N(E509)=0,1,E509)*IFERROR(INDEX(Products!$E$6:$E$105,MATCH(D509,Products!$B$6:$B$105,0)),0))</f>
        <v/>
      </c>
      <c r="O509" s="35" t="n"/>
      <c r="P509" s="22">
        <f>IF(OR(H509="",L509="Cancelled"),"",ROUND(IFERROR(H509*INDEX(Settings!$C$6:$C$15,MATCH(M509,Settings!$B$6:$B$15,0))+INDEX(Settings!$D$6:$D$15,MATCH(M509,Settings!$B$6:$B$15,0)),0),2))</f>
        <v/>
      </c>
      <c r="Q509" s="28">
        <f>IF(OR(H509="",L509="Cancelled"),"",H509-N(N509)-N(O509)-N(P509))</f>
        <v/>
      </c>
      <c r="R509" s="19">
        <f>IF(OR(B509="",K509=""),"",IF(OR(L509="Sent",L509="Picked up"),"Done",IF(L509="Cancelled","Cancelled",IF(K509&lt;TODAY(),"Late by "&amp;(TODAY()-K509)&amp;IF((TODAY()-K509)=1," day"," days"),IF(K509=TODAY(),"Due today","Due in "&amp;(K509-TODAY())&amp;IF((K509-TODAY())=1," day"," days"))))))</f>
        <v/>
      </c>
      <c r="S509" s="33" t="n"/>
      <c r="T509" s="1">
        <f>IF(AND(B509&lt;&gt;"",K509&lt;&gt;"",L509&lt;&gt;"Sent",L509&lt;&gt;"Picked up",L509&lt;&gt;"Cancelled"),K509+ROW()/10000000,"")</f>
        <v/>
      </c>
      <c r="U509">
        <f>IF(OR(B509="",C509=""),"",B509+ROW()/10000000)</f>
        <v/>
      </c>
      <c r="V509">
        <f>IF(U509="","",IF(COUNTIFS(Orders!$C$6:$C$1005,C509,Orders!$U$6:$U$1005,"&gt;"&amp;U509)=0,1,0))</f>
        <v/>
      </c>
      <c r="W509">
        <f>IF(AND(B509&lt;&gt;"",K509&lt;&gt;"",L509&lt;&gt;"Sent",L509&lt;&gt;"Picked up",L509&lt;&gt;"Cancelled"),IF(N(E509)=0,1,E509),0)</f>
        <v/>
      </c>
      <c r="X509">
        <f>IF(OR(B509="",D509=""),"",IF(N(E509)=0,1,E509))</f>
        <v/>
      </c>
    </row>
    <row r="510">
      <c r="A510" s="1" t="n"/>
      <c r="B510" s="31" t="n"/>
      <c r="C510" s="32" t="n"/>
      <c r="D510" s="33" t="n"/>
      <c r="E510" s="34" t="n"/>
      <c r="F510" s="35" t="n"/>
      <c r="G510" s="35" t="n"/>
      <c r="H510" s="30">
        <f>IF(OR(B510="",D510=""),"",IF(N(E510)=0,1,E510)*IFERROR(INDEX(Products!$C$6:$C$105,MATCH(D510,Products!$B$6:$B$105,0)),0)+N(F510)+N(G510))</f>
        <v/>
      </c>
      <c r="I510" s="35" t="n"/>
      <c r="J510" s="30">
        <f>IF(OR(H510="",L510="Cancelled"),"",IF(H510-N(I510)&gt;0.005,H510-N(I510),""))</f>
        <v/>
      </c>
      <c r="K510" s="31" t="n"/>
      <c r="L510" s="36" t="n"/>
      <c r="M510" s="33" t="n"/>
      <c r="N510" s="22">
        <f>IF(OR(H510="",L510="Cancelled"),"",IF(N(E510)=0,1,E510)*IFERROR(INDEX(Products!$E$6:$E$105,MATCH(D510,Products!$B$6:$B$105,0)),0))</f>
        <v/>
      </c>
      <c r="O510" s="35" t="n"/>
      <c r="P510" s="22">
        <f>IF(OR(H510="",L510="Cancelled"),"",ROUND(IFERROR(H510*INDEX(Settings!$C$6:$C$15,MATCH(M510,Settings!$B$6:$B$15,0))+INDEX(Settings!$D$6:$D$15,MATCH(M510,Settings!$B$6:$B$15,0)),0),2))</f>
        <v/>
      </c>
      <c r="Q510" s="28">
        <f>IF(OR(H510="",L510="Cancelled"),"",H510-N(N510)-N(O510)-N(P510))</f>
        <v/>
      </c>
      <c r="R510" s="19">
        <f>IF(OR(B510="",K510=""),"",IF(OR(L510="Sent",L510="Picked up"),"Done",IF(L510="Cancelled","Cancelled",IF(K510&lt;TODAY(),"Late by "&amp;(TODAY()-K510)&amp;IF((TODAY()-K510)=1," day"," days"),IF(K510=TODAY(),"Due today","Due in "&amp;(K510-TODAY())&amp;IF((K510-TODAY())=1," day"," days"))))))</f>
        <v/>
      </c>
      <c r="S510" s="33" t="n"/>
      <c r="T510" s="1">
        <f>IF(AND(B510&lt;&gt;"",K510&lt;&gt;"",L510&lt;&gt;"Sent",L510&lt;&gt;"Picked up",L510&lt;&gt;"Cancelled"),K510+ROW()/10000000,"")</f>
        <v/>
      </c>
      <c r="U510">
        <f>IF(OR(B510="",C510=""),"",B510+ROW()/10000000)</f>
        <v/>
      </c>
      <c r="V510">
        <f>IF(U510="","",IF(COUNTIFS(Orders!$C$6:$C$1005,C510,Orders!$U$6:$U$1005,"&gt;"&amp;U510)=0,1,0))</f>
        <v/>
      </c>
      <c r="W510">
        <f>IF(AND(B510&lt;&gt;"",K510&lt;&gt;"",L510&lt;&gt;"Sent",L510&lt;&gt;"Picked up",L510&lt;&gt;"Cancelled"),IF(N(E510)=0,1,E510),0)</f>
        <v/>
      </c>
      <c r="X510">
        <f>IF(OR(B510="",D510=""),"",IF(N(E510)=0,1,E510))</f>
        <v/>
      </c>
    </row>
    <row r="511">
      <c r="A511" s="1" t="n"/>
      <c r="B511" s="31" t="n"/>
      <c r="C511" s="32" t="n"/>
      <c r="D511" s="33" t="n"/>
      <c r="E511" s="34" t="n"/>
      <c r="F511" s="35" t="n"/>
      <c r="G511" s="35" t="n"/>
      <c r="H511" s="30">
        <f>IF(OR(B511="",D511=""),"",IF(N(E511)=0,1,E511)*IFERROR(INDEX(Products!$C$6:$C$105,MATCH(D511,Products!$B$6:$B$105,0)),0)+N(F511)+N(G511))</f>
        <v/>
      </c>
      <c r="I511" s="35" t="n"/>
      <c r="J511" s="30">
        <f>IF(OR(H511="",L511="Cancelled"),"",IF(H511-N(I511)&gt;0.005,H511-N(I511),""))</f>
        <v/>
      </c>
      <c r="K511" s="31" t="n"/>
      <c r="L511" s="36" t="n"/>
      <c r="M511" s="33" t="n"/>
      <c r="N511" s="22">
        <f>IF(OR(H511="",L511="Cancelled"),"",IF(N(E511)=0,1,E511)*IFERROR(INDEX(Products!$E$6:$E$105,MATCH(D511,Products!$B$6:$B$105,0)),0))</f>
        <v/>
      </c>
      <c r="O511" s="35" t="n"/>
      <c r="P511" s="22">
        <f>IF(OR(H511="",L511="Cancelled"),"",ROUND(IFERROR(H511*INDEX(Settings!$C$6:$C$15,MATCH(M511,Settings!$B$6:$B$15,0))+INDEX(Settings!$D$6:$D$15,MATCH(M511,Settings!$B$6:$B$15,0)),0),2))</f>
        <v/>
      </c>
      <c r="Q511" s="28">
        <f>IF(OR(H511="",L511="Cancelled"),"",H511-N(N511)-N(O511)-N(P511))</f>
        <v/>
      </c>
      <c r="R511" s="19">
        <f>IF(OR(B511="",K511=""),"",IF(OR(L511="Sent",L511="Picked up"),"Done",IF(L511="Cancelled","Cancelled",IF(K511&lt;TODAY(),"Late by "&amp;(TODAY()-K511)&amp;IF((TODAY()-K511)=1," day"," days"),IF(K511=TODAY(),"Due today","Due in "&amp;(K511-TODAY())&amp;IF((K511-TODAY())=1," day"," days"))))))</f>
        <v/>
      </c>
      <c r="S511" s="33" t="n"/>
      <c r="T511" s="1">
        <f>IF(AND(B511&lt;&gt;"",K511&lt;&gt;"",L511&lt;&gt;"Sent",L511&lt;&gt;"Picked up",L511&lt;&gt;"Cancelled"),K511+ROW()/10000000,"")</f>
        <v/>
      </c>
      <c r="U511">
        <f>IF(OR(B511="",C511=""),"",B511+ROW()/10000000)</f>
        <v/>
      </c>
      <c r="V511">
        <f>IF(U511="","",IF(COUNTIFS(Orders!$C$6:$C$1005,C511,Orders!$U$6:$U$1005,"&gt;"&amp;U511)=0,1,0))</f>
        <v/>
      </c>
      <c r="W511">
        <f>IF(AND(B511&lt;&gt;"",K511&lt;&gt;"",L511&lt;&gt;"Sent",L511&lt;&gt;"Picked up",L511&lt;&gt;"Cancelled"),IF(N(E511)=0,1,E511),0)</f>
        <v/>
      </c>
      <c r="X511">
        <f>IF(OR(B511="",D511=""),"",IF(N(E511)=0,1,E511))</f>
        <v/>
      </c>
    </row>
    <row r="512">
      <c r="A512" s="1" t="n"/>
      <c r="B512" s="31" t="n"/>
      <c r="C512" s="32" t="n"/>
      <c r="D512" s="33" t="n"/>
      <c r="E512" s="34" t="n"/>
      <c r="F512" s="35" t="n"/>
      <c r="G512" s="35" t="n"/>
      <c r="H512" s="30">
        <f>IF(OR(B512="",D512=""),"",IF(N(E512)=0,1,E512)*IFERROR(INDEX(Products!$C$6:$C$105,MATCH(D512,Products!$B$6:$B$105,0)),0)+N(F512)+N(G512))</f>
        <v/>
      </c>
      <c r="I512" s="35" t="n"/>
      <c r="J512" s="30">
        <f>IF(OR(H512="",L512="Cancelled"),"",IF(H512-N(I512)&gt;0.005,H512-N(I512),""))</f>
        <v/>
      </c>
      <c r="K512" s="31" t="n"/>
      <c r="L512" s="36" t="n"/>
      <c r="M512" s="33" t="n"/>
      <c r="N512" s="22">
        <f>IF(OR(H512="",L512="Cancelled"),"",IF(N(E512)=0,1,E512)*IFERROR(INDEX(Products!$E$6:$E$105,MATCH(D512,Products!$B$6:$B$105,0)),0))</f>
        <v/>
      </c>
      <c r="O512" s="35" t="n"/>
      <c r="P512" s="22">
        <f>IF(OR(H512="",L512="Cancelled"),"",ROUND(IFERROR(H512*INDEX(Settings!$C$6:$C$15,MATCH(M512,Settings!$B$6:$B$15,0))+INDEX(Settings!$D$6:$D$15,MATCH(M512,Settings!$B$6:$B$15,0)),0),2))</f>
        <v/>
      </c>
      <c r="Q512" s="28">
        <f>IF(OR(H512="",L512="Cancelled"),"",H512-N(N512)-N(O512)-N(P512))</f>
        <v/>
      </c>
      <c r="R512" s="19">
        <f>IF(OR(B512="",K512=""),"",IF(OR(L512="Sent",L512="Picked up"),"Done",IF(L512="Cancelled","Cancelled",IF(K512&lt;TODAY(),"Late by "&amp;(TODAY()-K512)&amp;IF((TODAY()-K512)=1," day"," days"),IF(K512=TODAY(),"Due today","Due in "&amp;(K512-TODAY())&amp;IF((K512-TODAY())=1," day"," days"))))))</f>
        <v/>
      </c>
      <c r="S512" s="33" t="n"/>
      <c r="T512" s="1">
        <f>IF(AND(B512&lt;&gt;"",K512&lt;&gt;"",L512&lt;&gt;"Sent",L512&lt;&gt;"Picked up",L512&lt;&gt;"Cancelled"),K512+ROW()/10000000,"")</f>
        <v/>
      </c>
      <c r="U512">
        <f>IF(OR(B512="",C512=""),"",B512+ROW()/10000000)</f>
        <v/>
      </c>
      <c r="V512">
        <f>IF(U512="","",IF(COUNTIFS(Orders!$C$6:$C$1005,C512,Orders!$U$6:$U$1005,"&gt;"&amp;U512)=0,1,0))</f>
        <v/>
      </c>
      <c r="W512">
        <f>IF(AND(B512&lt;&gt;"",K512&lt;&gt;"",L512&lt;&gt;"Sent",L512&lt;&gt;"Picked up",L512&lt;&gt;"Cancelled"),IF(N(E512)=0,1,E512),0)</f>
        <v/>
      </c>
      <c r="X512">
        <f>IF(OR(B512="",D512=""),"",IF(N(E512)=0,1,E512))</f>
        <v/>
      </c>
    </row>
    <row r="513">
      <c r="A513" s="1" t="n"/>
      <c r="B513" s="31" t="n"/>
      <c r="C513" s="32" t="n"/>
      <c r="D513" s="33" t="n"/>
      <c r="E513" s="34" t="n"/>
      <c r="F513" s="35" t="n"/>
      <c r="G513" s="35" t="n"/>
      <c r="H513" s="30">
        <f>IF(OR(B513="",D513=""),"",IF(N(E513)=0,1,E513)*IFERROR(INDEX(Products!$C$6:$C$105,MATCH(D513,Products!$B$6:$B$105,0)),0)+N(F513)+N(G513))</f>
        <v/>
      </c>
      <c r="I513" s="35" t="n"/>
      <c r="J513" s="30">
        <f>IF(OR(H513="",L513="Cancelled"),"",IF(H513-N(I513)&gt;0.005,H513-N(I513),""))</f>
        <v/>
      </c>
      <c r="K513" s="31" t="n"/>
      <c r="L513" s="36" t="n"/>
      <c r="M513" s="33" t="n"/>
      <c r="N513" s="22">
        <f>IF(OR(H513="",L513="Cancelled"),"",IF(N(E513)=0,1,E513)*IFERROR(INDEX(Products!$E$6:$E$105,MATCH(D513,Products!$B$6:$B$105,0)),0))</f>
        <v/>
      </c>
      <c r="O513" s="35" t="n"/>
      <c r="P513" s="22">
        <f>IF(OR(H513="",L513="Cancelled"),"",ROUND(IFERROR(H513*INDEX(Settings!$C$6:$C$15,MATCH(M513,Settings!$B$6:$B$15,0))+INDEX(Settings!$D$6:$D$15,MATCH(M513,Settings!$B$6:$B$15,0)),0),2))</f>
        <v/>
      </c>
      <c r="Q513" s="28">
        <f>IF(OR(H513="",L513="Cancelled"),"",H513-N(N513)-N(O513)-N(P513))</f>
        <v/>
      </c>
      <c r="R513" s="19">
        <f>IF(OR(B513="",K513=""),"",IF(OR(L513="Sent",L513="Picked up"),"Done",IF(L513="Cancelled","Cancelled",IF(K513&lt;TODAY(),"Late by "&amp;(TODAY()-K513)&amp;IF((TODAY()-K513)=1," day"," days"),IF(K513=TODAY(),"Due today","Due in "&amp;(K513-TODAY())&amp;IF((K513-TODAY())=1," day"," days"))))))</f>
        <v/>
      </c>
      <c r="S513" s="33" t="n"/>
      <c r="T513" s="1">
        <f>IF(AND(B513&lt;&gt;"",K513&lt;&gt;"",L513&lt;&gt;"Sent",L513&lt;&gt;"Picked up",L513&lt;&gt;"Cancelled"),K513+ROW()/10000000,"")</f>
        <v/>
      </c>
      <c r="U513">
        <f>IF(OR(B513="",C513=""),"",B513+ROW()/10000000)</f>
        <v/>
      </c>
      <c r="V513">
        <f>IF(U513="","",IF(COUNTIFS(Orders!$C$6:$C$1005,C513,Orders!$U$6:$U$1005,"&gt;"&amp;U513)=0,1,0))</f>
        <v/>
      </c>
      <c r="W513">
        <f>IF(AND(B513&lt;&gt;"",K513&lt;&gt;"",L513&lt;&gt;"Sent",L513&lt;&gt;"Picked up",L513&lt;&gt;"Cancelled"),IF(N(E513)=0,1,E513),0)</f>
        <v/>
      </c>
      <c r="X513">
        <f>IF(OR(B513="",D513=""),"",IF(N(E513)=0,1,E513))</f>
        <v/>
      </c>
    </row>
    <row r="514">
      <c r="A514" s="1" t="n"/>
      <c r="B514" s="31" t="n"/>
      <c r="C514" s="32" t="n"/>
      <c r="D514" s="33" t="n"/>
      <c r="E514" s="34" t="n"/>
      <c r="F514" s="35" t="n"/>
      <c r="G514" s="35" t="n"/>
      <c r="H514" s="30">
        <f>IF(OR(B514="",D514=""),"",IF(N(E514)=0,1,E514)*IFERROR(INDEX(Products!$C$6:$C$105,MATCH(D514,Products!$B$6:$B$105,0)),0)+N(F514)+N(G514))</f>
        <v/>
      </c>
      <c r="I514" s="35" t="n"/>
      <c r="J514" s="30">
        <f>IF(OR(H514="",L514="Cancelled"),"",IF(H514-N(I514)&gt;0.005,H514-N(I514),""))</f>
        <v/>
      </c>
      <c r="K514" s="31" t="n"/>
      <c r="L514" s="36" t="n"/>
      <c r="M514" s="33" t="n"/>
      <c r="N514" s="22">
        <f>IF(OR(H514="",L514="Cancelled"),"",IF(N(E514)=0,1,E514)*IFERROR(INDEX(Products!$E$6:$E$105,MATCH(D514,Products!$B$6:$B$105,0)),0))</f>
        <v/>
      </c>
      <c r="O514" s="35" t="n"/>
      <c r="P514" s="22">
        <f>IF(OR(H514="",L514="Cancelled"),"",ROUND(IFERROR(H514*INDEX(Settings!$C$6:$C$15,MATCH(M514,Settings!$B$6:$B$15,0))+INDEX(Settings!$D$6:$D$15,MATCH(M514,Settings!$B$6:$B$15,0)),0),2))</f>
        <v/>
      </c>
      <c r="Q514" s="28">
        <f>IF(OR(H514="",L514="Cancelled"),"",H514-N(N514)-N(O514)-N(P514))</f>
        <v/>
      </c>
      <c r="R514" s="19">
        <f>IF(OR(B514="",K514=""),"",IF(OR(L514="Sent",L514="Picked up"),"Done",IF(L514="Cancelled","Cancelled",IF(K514&lt;TODAY(),"Late by "&amp;(TODAY()-K514)&amp;IF((TODAY()-K514)=1," day"," days"),IF(K514=TODAY(),"Due today","Due in "&amp;(K514-TODAY())&amp;IF((K514-TODAY())=1," day"," days"))))))</f>
        <v/>
      </c>
      <c r="S514" s="33" t="n"/>
      <c r="T514" s="1">
        <f>IF(AND(B514&lt;&gt;"",K514&lt;&gt;"",L514&lt;&gt;"Sent",L514&lt;&gt;"Picked up",L514&lt;&gt;"Cancelled"),K514+ROW()/10000000,"")</f>
        <v/>
      </c>
      <c r="U514">
        <f>IF(OR(B514="",C514=""),"",B514+ROW()/10000000)</f>
        <v/>
      </c>
      <c r="V514">
        <f>IF(U514="","",IF(COUNTIFS(Orders!$C$6:$C$1005,C514,Orders!$U$6:$U$1005,"&gt;"&amp;U514)=0,1,0))</f>
        <v/>
      </c>
      <c r="W514">
        <f>IF(AND(B514&lt;&gt;"",K514&lt;&gt;"",L514&lt;&gt;"Sent",L514&lt;&gt;"Picked up",L514&lt;&gt;"Cancelled"),IF(N(E514)=0,1,E514),0)</f>
        <v/>
      </c>
      <c r="X514">
        <f>IF(OR(B514="",D514=""),"",IF(N(E514)=0,1,E514))</f>
        <v/>
      </c>
    </row>
    <row r="515">
      <c r="A515" s="1" t="n"/>
      <c r="B515" s="31" t="n"/>
      <c r="C515" s="32" t="n"/>
      <c r="D515" s="33" t="n"/>
      <c r="E515" s="34" t="n"/>
      <c r="F515" s="35" t="n"/>
      <c r="G515" s="35" t="n"/>
      <c r="H515" s="30">
        <f>IF(OR(B515="",D515=""),"",IF(N(E515)=0,1,E515)*IFERROR(INDEX(Products!$C$6:$C$105,MATCH(D515,Products!$B$6:$B$105,0)),0)+N(F515)+N(G515))</f>
        <v/>
      </c>
      <c r="I515" s="35" t="n"/>
      <c r="J515" s="30">
        <f>IF(OR(H515="",L515="Cancelled"),"",IF(H515-N(I515)&gt;0.005,H515-N(I515),""))</f>
        <v/>
      </c>
      <c r="K515" s="31" t="n"/>
      <c r="L515" s="36" t="n"/>
      <c r="M515" s="33" t="n"/>
      <c r="N515" s="22">
        <f>IF(OR(H515="",L515="Cancelled"),"",IF(N(E515)=0,1,E515)*IFERROR(INDEX(Products!$E$6:$E$105,MATCH(D515,Products!$B$6:$B$105,0)),0))</f>
        <v/>
      </c>
      <c r="O515" s="35" t="n"/>
      <c r="P515" s="22">
        <f>IF(OR(H515="",L515="Cancelled"),"",ROUND(IFERROR(H515*INDEX(Settings!$C$6:$C$15,MATCH(M515,Settings!$B$6:$B$15,0))+INDEX(Settings!$D$6:$D$15,MATCH(M515,Settings!$B$6:$B$15,0)),0),2))</f>
        <v/>
      </c>
      <c r="Q515" s="28">
        <f>IF(OR(H515="",L515="Cancelled"),"",H515-N(N515)-N(O515)-N(P515))</f>
        <v/>
      </c>
      <c r="R515" s="19">
        <f>IF(OR(B515="",K515=""),"",IF(OR(L515="Sent",L515="Picked up"),"Done",IF(L515="Cancelled","Cancelled",IF(K515&lt;TODAY(),"Late by "&amp;(TODAY()-K515)&amp;IF((TODAY()-K515)=1," day"," days"),IF(K515=TODAY(),"Due today","Due in "&amp;(K515-TODAY())&amp;IF((K515-TODAY())=1," day"," days"))))))</f>
        <v/>
      </c>
      <c r="S515" s="33" t="n"/>
      <c r="T515" s="1">
        <f>IF(AND(B515&lt;&gt;"",K515&lt;&gt;"",L515&lt;&gt;"Sent",L515&lt;&gt;"Picked up",L515&lt;&gt;"Cancelled"),K515+ROW()/10000000,"")</f>
        <v/>
      </c>
      <c r="U515">
        <f>IF(OR(B515="",C515=""),"",B515+ROW()/10000000)</f>
        <v/>
      </c>
      <c r="V515">
        <f>IF(U515="","",IF(COUNTIFS(Orders!$C$6:$C$1005,C515,Orders!$U$6:$U$1005,"&gt;"&amp;U515)=0,1,0))</f>
        <v/>
      </c>
      <c r="W515">
        <f>IF(AND(B515&lt;&gt;"",K515&lt;&gt;"",L515&lt;&gt;"Sent",L515&lt;&gt;"Picked up",L515&lt;&gt;"Cancelled"),IF(N(E515)=0,1,E515),0)</f>
        <v/>
      </c>
      <c r="X515">
        <f>IF(OR(B515="",D515=""),"",IF(N(E515)=0,1,E515))</f>
        <v/>
      </c>
    </row>
    <row r="516">
      <c r="A516" s="1" t="n"/>
      <c r="B516" s="31" t="n"/>
      <c r="C516" s="32" t="n"/>
      <c r="D516" s="33" t="n"/>
      <c r="E516" s="34" t="n"/>
      <c r="F516" s="35" t="n"/>
      <c r="G516" s="35" t="n"/>
      <c r="H516" s="30">
        <f>IF(OR(B516="",D516=""),"",IF(N(E516)=0,1,E516)*IFERROR(INDEX(Products!$C$6:$C$105,MATCH(D516,Products!$B$6:$B$105,0)),0)+N(F516)+N(G516))</f>
        <v/>
      </c>
      <c r="I516" s="35" t="n"/>
      <c r="J516" s="30">
        <f>IF(OR(H516="",L516="Cancelled"),"",IF(H516-N(I516)&gt;0.005,H516-N(I516),""))</f>
        <v/>
      </c>
      <c r="K516" s="31" t="n"/>
      <c r="L516" s="36" t="n"/>
      <c r="M516" s="33" t="n"/>
      <c r="N516" s="22">
        <f>IF(OR(H516="",L516="Cancelled"),"",IF(N(E516)=0,1,E516)*IFERROR(INDEX(Products!$E$6:$E$105,MATCH(D516,Products!$B$6:$B$105,0)),0))</f>
        <v/>
      </c>
      <c r="O516" s="35" t="n"/>
      <c r="P516" s="22">
        <f>IF(OR(H516="",L516="Cancelled"),"",ROUND(IFERROR(H516*INDEX(Settings!$C$6:$C$15,MATCH(M516,Settings!$B$6:$B$15,0))+INDEX(Settings!$D$6:$D$15,MATCH(M516,Settings!$B$6:$B$15,0)),0),2))</f>
        <v/>
      </c>
      <c r="Q516" s="28">
        <f>IF(OR(H516="",L516="Cancelled"),"",H516-N(N516)-N(O516)-N(P516))</f>
        <v/>
      </c>
      <c r="R516" s="19">
        <f>IF(OR(B516="",K516=""),"",IF(OR(L516="Sent",L516="Picked up"),"Done",IF(L516="Cancelled","Cancelled",IF(K516&lt;TODAY(),"Late by "&amp;(TODAY()-K516)&amp;IF((TODAY()-K516)=1," day"," days"),IF(K516=TODAY(),"Due today","Due in "&amp;(K516-TODAY())&amp;IF((K516-TODAY())=1," day"," days"))))))</f>
        <v/>
      </c>
      <c r="S516" s="33" t="n"/>
      <c r="T516" s="1">
        <f>IF(AND(B516&lt;&gt;"",K516&lt;&gt;"",L516&lt;&gt;"Sent",L516&lt;&gt;"Picked up",L516&lt;&gt;"Cancelled"),K516+ROW()/10000000,"")</f>
        <v/>
      </c>
      <c r="U516">
        <f>IF(OR(B516="",C516=""),"",B516+ROW()/10000000)</f>
        <v/>
      </c>
      <c r="V516">
        <f>IF(U516="","",IF(COUNTIFS(Orders!$C$6:$C$1005,C516,Orders!$U$6:$U$1005,"&gt;"&amp;U516)=0,1,0))</f>
        <v/>
      </c>
      <c r="W516">
        <f>IF(AND(B516&lt;&gt;"",K516&lt;&gt;"",L516&lt;&gt;"Sent",L516&lt;&gt;"Picked up",L516&lt;&gt;"Cancelled"),IF(N(E516)=0,1,E516),0)</f>
        <v/>
      </c>
      <c r="X516">
        <f>IF(OR(B516="",D516=""),"",IF(N(E516)=0,1,E516))</f>
        <v/>
      </c>
    </row>
    <row r="517">
      <c r="A517" s="1" t="n"/>
      <c r="B517" s="31" t="n"/>
      <c r="C517" s="32" t="n"/>
      <c r="D517" s="33" t="n"/>
      <c r="E517" s="34" t="n"/>
      <c r="F517" s="35" t="n"/>
      <c r="G517" s="35" t="n"/>
      <c r="H517" s="30">
        <f>IF(OR(B517="",D517=""),"",IF(N(E517)=0,1,E517)*IFERROR(INDEX(Products!$C$6:$C$105,MATCH(D517,Products!$B$6:$B$105,0)),0)+N(F517)+N(G517))</f>
        <v/>
      </c>
      <c r="I517" s="35" t="n"/>
      <c r="J517" s="30">
        <f>IF(OR(H517="",L517="Cancelled"),"",IF(H517-N(I517)&gt;0.005,H517-N(I517),""))</f>
        <v/>
      </c>
      <c r="K517" s="31" t="n"/>
      <c r="L517" s="36" t="n"/>
      <c r="M517" s="33" t="n"/>
      <c r="N517" s="22">
        <f>IF(OR(H517="",L517="Cancelled"),"",IF(N(E517)=0,1,E517)*IFERROR(INDEX(Products!$E$6:$E$105,MATCH(D517,Products!$B$6:$B$105,0)),0))</f>
        <v/>
      </c>
      <c r="O517" s="35" t="n"/>
      <c r="P517" s="22">
        <f>IF(OR(H517="",L517="Cancelled"),"",ROUND(IFERROR(H517*INDEX(Settings!$C$6:$C$15,MATCH(M517,Settings!$B$6:$B$15,0))+INDEX(Settings!$D$6:$D$15,MATCH(M517,Settings!$B$6:$B$15,0)),0),2))</f>
        <v/>
      </c>
      <c r="Q517" s="28">
        <f>IF(OR(H517="",L517="Cancelled"),"",H517-N(N517)-N(O517)-N(P517))</f>
        <v/>
      </c>
      <c r="R517" s="19">
        <f>IF(OR(B517="",K517=""),"",IF(OR(L517="Sent",L517="Picked up"),"Done",IF(L517="Cancelled","Cancelled",IF(K517&lt;TODAY(),"Late by "&amp;(TODAY()-K517)&amp;IF((TODAY()-K517)=1," day"," days"),IF(K517=TODAY(),"Due today","Due in "&amp;(K517-TODAY())&amp;IF((K517-TODAY())=1," day"," days"))))))</f>
        <v/>
      </c>
      <c r="S517" s="33" t="n"/>
      <c r="T517" s="1">
        <f>IF(AND(B517&lt;&gt;"",K517&lt;&gt;"",L517&lt;&gt;"Sent",L517&lt;&gt;"Picked up",L517&lt;&gt;"Cancelled"),K517+ROW()/10000000,"")</f>
        <v/>
      </c>
      <c r="U517">
        <f>IF(OR(B517="",C517=""),"",B517+ROW()/10000000)</f>
        <v/>
      </c>
      <c r="V517">
        <f>IF(U517="","",IF(COUNTIFS(Orders!$C$6:$C$1005,C517,Orders!$U$6:$U$1005,"&gt;"&amp;U517)=0,1,0))</f>
        <v/>
      </c>
      <c r="W517">
        <f>IF(AND(B517&lt;&gt;"",K517&lt;&gt;"",L517&lt;&gt;"Sent",L517&lt;&gt;"Picked up",L517&lt;&gt;"Cancelled"),IF(N(E517)=0,1,E517),0)</f>
        <v/>
      </c>
      <c r="X517">
        <f>IF(OR(B517="",D517=""),"",IF(N(E517)=0,1,E517))</f>
        <v/>
      </c>
    </row>
    <row r="518">
      <c r="A518" s="1" t="n"/>
      <c r="B518" s="31" t="n"/>
      <c r="C518" s="32" t="n"/>
      <c r="D518" s="33" t="n"/>
      <c r="E518" s="34" t="n"/>
      <c r="F518" s="35" t="n"/>
      <c r="G518" s="35" t="n"/>
      <c r="H518" s="30">
        <f>IF(OR(B518="",D518=""),"",IF(N(E518)=0,1,E518)*IFERROR(INDEX(Products!$C$6:$C$105,MATCH(D518,Products!$B$6:$B$105,0)),0)+N(F518)+N(G518))</f>
        <v/>
      </c>
      <c r="I518" s="35" t="n"/>
      <c r="J518" s="30">
        <f>IF(OR(H518="",L518="Cancelled"),"",IF(H518-N(I518)&gt;0.005,H518-N(I518),""))</f>
        <v/>
      </c>
      <c r="K518" s="31" t="n"/>
      <c r="L518" s="36" t="n"/>
      <c r="M518" s="33" t="n"/>
      <c r="N518" s="22">
        <f>IF(OR(H518="",L518="Cancelled"),"",IF(N(E518)=0,1,E518)*IFERROR(INDEX(Products!$E$6:$E$105,MATCH(D518,Products!$B$6:$B$105,0)),0))</f>
        <v/>
      </c>
      <c r="O518" s="35" t="n"/>
      <c r="P518" s="22">
        <f>IF(OR(H518="",L518="Cancelled"),"",ROUND(IFERROR(H518*INDEX(Settings!$C$6:$C$15,MATCH(M518,Settings!$B$6:$B$15,0))+INDEX(Settings!$D$6:$D$15,MATCH(M518,Settings!$B$6:$B$15,0)),0),2))</f>
        <v/>
      </c>
      <c r="Q518" s="28">
        <f>IF(OR(H518="",L518="Cancelled"),"",H518-N(N518)-N(O518)-N(P518))</f>
        <v/>
      </c>
      <c r="R518" s="19">
        <f>IF(OR(B518="",K518=""),"",IF(OR(L518="Sent",L518="Picked up"),"Done",IF(L518="Cancelled","Cancelled",IF(K518&lt;TODAY(),"Late by "&amp;(TODAY()-K518)&amp;IF((TODAY()-K518)=1," day"," days"),IF(K518=TODAY(),"Due today","Due in "&amp;(K518-TODAY())&amp;IF((K518-TODAY())=1," day"," days"))))))</f>
        <v/>
      </c>
      <c r="S518" s="33" t="n"/>
      <c r="T518" s="1">
        <f>IF(AND(B518&lt;&gt;"",K518&lt;&gt;"",L518&lt;&gt;"Sent",L518&lt;&gt;"Picked up",L518&lt;&gt;"Cancelled"),K518+ROW()/10000000,"")</f>
        <v/>
      </c>
      <c r="U518">
        <f>IF(OR(B518="",C518=""),"",B518+ROW()/10000000)</f>
        <v/>
      </c>
      <c r="V518">
        <f>IF(U518="","",IF(COUNTIFS(Orders!$C$6:$C$1005,C518,Orders!$U$6:$U$1005,"&gt;"&amp;U518)=0,1,0))</f>
        <v/>
      </c>
      <c r="W518">
        <f>IF(AND(B518&lt;&gt;"",K518&lt;&gt;"",L518&lt;&gt;"Sent",L518&lt;&gt;"Picked up",L518&lt;&gt;"Cancelled"),IF(N(E518)=0,1,E518),0)</f>
        <v/>
      </c>
      <c r="X518">
        <f>IF(OR(B518="",D518=""),"",IF(N(E518)=0,1,E518))</f>
        <v/>
      </c>
    </row>
    <row r="519">
      <c r="A519" s="1" t="n"/>
      <c r="B519" s="31" t="n"/>
      <c r="C519" s="32" t="n"/>
      <c r="D519" s="33" t="n"/>
      <c r="E519" s="34" t="n"/>
      <c r="F519" s="35" t="n"/>
      <c r="G519" s="35" t="n"/>
      <c r="H519" s="30">
        <f>IF(OR(B519="",D519=""),"",IF(N(E519)=0,1,E519)*IFERROR(INDEX(Products!$C$6:$C$105,MATCH(D519,Products!$B$6:$B$105,0)),0)+N(F519)+N(G519))</f>
        <v/>
      </c>
      <c r="I519" s="35" t="n"/>
      <c r="J519" s="30">
        <f>IF(OR(H519="",L519="Cancelled"),"",IF(H519-N(I519)&gt;0.005,H519-N(I519),""))</f>
        <v/>
      </c>
      <c r="K519" s="31" t="n"/>
      <c r="L519" s="36" t="n"/>
      <c r="M519" s="33" t="n"/>
      <c r="N519" s="22">
        <f>IF(OR(H519="",L519="Cancelled"),"",IF(N(E519)=0,1,E519)*IFERROR(INDEX(Products!$E$6:$E$105,MATCH(D519,Products!$B$6:$B$105,0)),0))</f>
        <v/>
      </c>
      <c r="O519" s="35" t="n"/>
      <c r="P519" s="22">
        <f>IF(OR(H519="",L519="Cancelled"),"",ROUND(IFERROR(H519*INDEX(Settings!$C$6:$C$15,MATCH(M519,Settings!$B$6:$B$15,0))+INDEX(Settings!$D$6:$D$15,MATCH(M519,Settings!$B$6:$B$15,0)),0),2))</f>
        <v/>
      </c>
      <c r="Q519" s="28">
        <f>IF(OR(H519="",L519="Cancelled"),"",H519-N(N519)-N(O519)-N(P519))</f>
        <v/>
      </c>
      <c r="R519" s="19">
        <f>IF(OR(B519="",K519=""),"",IF(OR(L519="Sent",L519="Picked up"),"Done",IF(L519="Cancelled","Cancelled",IF(K519&lt;TODAY(),"Late by "&amp;(TODAY()-K519)&amp;IF((TODAY()-K519)=1," day"," days"),IF(K519=TODAY(),"Due today","Due in "&amp;(K519-TODAY())&amp;IF((K519-TODAY())=1," day"," days"))))))</f>
        <v/>
      </c>
      <c r="S519" s="33" t="n"/>
      <c r="T519" s="1">
        <f>IF(AND(B519&lt;&gt;"",K519&lt;&gt;"",L519&lt;&gt;"Sent",L519&lt;&gt;"Picked up",L519&lt;&gt;"Cancelled"),K519+ROW()/10000000,"")</f>
        <v/>
      </c>
      <c r="U519">
        <f>IF(OR(B519="",C519=""),"",B519+ROW()/10000000)</f>
        <v/>
      </c>
      <c r="V519">
        <f>IF(U519="","",IF(COUNTIFS(Orders!$C$6:$C$1005,C519,Orders!$U$6:$U$1005,"&gt;"&amp;U519)=0,1,0))</f>
        <v/>
      </c>
      <c r="W519">
        <f>IF(AND(B519&lt;&gt;"",K519&lt;&gt;"",L519&lt;&gt;"Sent",L519&lt;&gt;"Picked up",L519&lt;&gt;"Cancelled"),IF(N(E519)=0,1,E519),0)</f>
        <v/>
      </c>
      <c r="X519">
        <f>IF(OR(B519="",D519=""),"",IF(N(E519)=0,1,E519))</f>
        <v/>
      </c>
    </row>
    <row r="520">
      <c r="A520" s="1" t="n"/>
      <c r="B520" s="31" t="n"/>
      <c r="C520" s="32" t="n"/>
      <c r="D520" s="33" t="n"/>
      <c r="E520" s="34" t="n"/>
      <c r="F520" s="35" t="n"/>
      <c r="G520" s="35" t="n"/>
      <c r="H520" s="30">
        <f>IF(OR(B520="",D520=""),"",IF(N(E520)=0,1,E520)*IFERROR(INDEX(Products!$C$6:$C$105,MATCH(D520,Products!$B$6:$B$105,0)),0)+N(F520)+N(G520))</f>
        <v/>
      </c>
      <c r="I520" s="35" t="n"/>
      <c r="J520" s="30">
        <f>IF(OR(H520="",L520="Cancelled"),"",IF(H520-N(I520)&gt;0.005,H520-N(I520),""))</f>
        <v/>
      </c>
      <c r="K520" s="31" t="n"/>
      <c r="L520" s="36" t="n"/>
      <c r="M520" s="33" t="n"/>
      <c r="N520" s="22">
        <f>IF(OR(H520="",L520="Cancelled"),"",IF(N(E520)=0,1,E520)*IFERROR(INDEX(Products!$E$6:$E$105,MATCH(D520,Products!$B$6:$B$105,0)),0))</f>
        <v/>
      </c>
      <c r="O520" s="35" t="n"/>
      <c r="P520" s="22">
        <f>IF(OR(H520="",L520="Cancelled"),"",ROUND(IFERROR(H520*INDEX(Settings!$C$6:$C$15,MATCH(M520,Settings!$B$6:$B$15,0))+INDEX(Settings!$D$6:$D$15,MATCH(M520,Settings!$B$6:$B$15,0)),0),2))</f>
        <v/>
      </c>
      <c r="Q520" s="28">
        <f>IF(OR(H520="",L520="Cancelled"),"",H520-N(N520)-N(O520)-N(P520))</f>
        <v/>
      </c>
      <c r="R520" s="19">
        <f>IF(OR(B520="",K520=""),"",IF(OR(L520="Sent",L520="Picked up"),"Done",IF(L520="Cancelled","Cancelled",IF(K520&lt;TODAY(),"Late by "&amp;(TODAY()-K520)&amp;IF((TODAY()-K520)=1," day"," days"),IF(K520=TODAY(),"Due today","Due in "&amp;(K520-TODAY())&amp;IF((K520-TODAY())=1," day"," days"))))))</f>
        <v/>
      </c>
      <c r="S520" s="33" t="n"/>
      <c r="T520" s="1">
        <f>IF(AND(B520&lt;&gt;"",K520&lt;&gt;"",L520&lt;&gt;"Sent",L520&lt;&gt;"Picked up",L520&lt;&gt;"Cancelled"),K520+ROW()/10000000,"")</f>
        <v/>
      </c>
      <c r="U520">
        <f>IF(OR(B520="",C520=""),"",B520+ROW()/10000000)</f>
        <v/>
      </c>
      <c r="V520">
        <f>IF(U520="","",IF(COUNTIFS(Orders!$C$6:$C$1005,C520,Orders!$U$6:$U$1005,"&gt;"&amp;U520)=0,1,0))</f>
        <v/>
      </c>
      <c r="W520">
        <f>IF(AND(B520&lt;&gt;"",K520&lt;&gt;"",L520&lt;&gt;"Sent",L520&lt;&gt;"Picked up",L520&lt;&gt;"Cancelled"),IF(N(E520)=0,1,E520),0)</f>
        <v/>
      </c>
      <c r="X520">
        <f>IF(OR(B520="",D520=""),"",IF(N(E520)=0,1,E520))</f>
        <v/>
      </c>
    </row>
    <row r="521">
      <c r="A521" s="1" t="n"/>
      <c r="B521" s="31" t="n"/>
      <c r="C521" s="32" t="n"/>
      <c r="D521" s="33" t="n"/>
      <c r="E521" s="34" t="n"/>
      <c r="F521" s="35" t="n"/>
      <c r="G521" s="35" t="n"/>
      <c r="H521" s="30">
        <f>IF(OR(B521="",D521=""),"",IF(N(E521)=0,1,E521)*IFERROR(INDEX(Products!$C$6:$C$105,MATCH(D521,Products!$B$6:$B$105,0)),0)+N(F521)+N(G521))</f>
        <v/>
      </c>
      <c r="I521" s="35" t="n"/>
      <c r="J521" s="30">
        <f>IF(OR(H521="",L521="Cancelled"),"",IF(H521-N(I521)&gt;0.005,H521-N(I521),""))</f>
        <v/>
      </c>
      <c r="K521" s="31" t="n"/>
      <c r="L521" s="36" t="n"/>
      <c r="M521" s="33" t="n"/>
      <c r="N521" s="22">
        <f>IF(OR(H521="",L521="Cancelled"),"",IF(N(E521)=0,1,E521)*IFERROR(INDEX(Products!$E$6:$E$105,MATCH(D521,Products!$B$6:$B$105,0)),0))</f>
        <v/>
      </c>
      <c r="O521" s="35" t="n"/>
      <c r="P521" s="22">
        <f>IF(OR(H521="",L521="Cancelled"),"",ROUND(IFERROR(H521*INDEX(Settings!$C$6:$C$15,MATCH(M521,Settings!$B$6:$B$15,0))+INDEX(Settings!$D$6:$D$15,MATCH(M521,Settings!$B$6:$B$15,0)),0),2))</f>
        <v/>
      </c>
      <c r="Q521" s="28">
        <f>IF(OR(H521="",L521="Cancelled"),"",H521-N(N521)-N(O521)-N(P521))</f>
        <v/>
      </c>
      <c r="R521" s="19">
        <f>IF(OR(B521="",K521=""),"",IF(OR(L521="Sent",L521="Picked up"),"Done",IF(L521="Cancelled","Cancelled",IF(K521&lt;TODAY(),"Late by "&amp;(TODAY()-K521)&amp;IF((TODAY()-K521)=1," day"," days"),IF(K521=TODAY(),"Due today","Due in "&amp;(K521-TODAY())&amp;IF((K521-TODAY())=1," day"," days"))))))</f>
        <v/>
      </c>
      <c r="S521" s="33" t="n"/>
      <c r="T521" s="1">
        <f>IF(AND(B521&lt;&gt;"",K521&lt;&gt;"",L521&lt;&gt;"Sent",L521&lt;&gt;"Picked up",L521&lt;&gt;"Cancelled"),K521+ROW()/10000000,"")</f>
        <v/>
      </c>
      <c r="U521">
        <f>IF(OR(B521="",C521=""),"",B521+ROW()/10000000)</f>
        <v/>
      </c>
      <c r="V521">
        <f>IF(U521="","",IF(COUNTIFS(Orders!$C$6:$C$1005,C521,Orders!$U$6:$U$1005,"&gt;"&amp;U521)=0,1,0))</f>
        <v/>
      </c>
      <c r="W521">
        <f>IF(AND(B521&lt;&gt;"",K521&lt;&gt;"",L521&lt;&gt;"Sent",L521&lt;&gt;"Picked up",L521&lt;&gt;"Cancelled"),IF(N(E521)=0,1,E521),0)</f>
        <v/>
      </c>
      <c r="X521">
        <f>IF(OR(B521="",D521=""),"",IF(N(E521)=0,1,E521))</f>
        <v/>
      </c>
    </row>
    <row r="522">
      <c r="A522" s="1" t="n"/>
      <c r="B522" s="31" t="n"/>
      <c r="C522" s="32" t="n"/>
      <c r="D522" s="33" t="n"/>
      <c r="E522" s="34" t="n"/>
      <c r="F522" s="35" t="n"/>
      <c r="G522" s="35" t="n"/>
      <c r="H522" s="30">
        <f>IF(OR(B522="",D522=""),"",IF(N(E522)=0,1,E522)*IFERROR(INDEX(Products!$C$6:$C$105,MATCH(D522,Products!$B$6:$B$105,0)),0)+N(F522)+N(G522))</f>
        <v/>
      </c>
      <c r="I522" s="35" t="n"/>
      <c r="J522" s="30">
        <f>IF(OR(H522="",L522="Cancelled"),"",IF(H522-N(I522)&gt;0.005,H522-N(I522),""))</f>
        <v/>
      </c>
      <c r="K522" s="31" t="n"/>
      <c r="L522" s="36" t="n"/>
      <c r="M522" s="33" t="n"/>
      <c r="N522" s="22">
        <f>IF(OR(H522="",L522="Cancelled"),"",IF(N(E522)=0,1,E522)*IFERROR(INDEX(Products!$E$6:$E$105,MATCH(D522,Products!$B$6:$B$105,0)),0))</f>
        <v/>
      </c>
      <c r="O522" s="35" t="n"/>
      <c r="P522" s="22">
        <f>IF(OR(H522="",L522="Cancelled"),"",ROUND(IFERROR(H522*INDEX(Settings!$C$6:$C$15,MATCH(M522,Settings!$B$6:$B$15,0))+INDEX(Settings!$D$6:$D$15,MATCH(M522,Settings!$B$6:$B$15,0)),0),2))</f>
        <v/>
      </c>
      <c r="Q522" s="28">
        <f>IF(OR(H522="",L522="Cancelled"),"",H522-N(N522)-N(O522)-N(P522))</f>
        <v/>
      </c>
      <c r="R522" s="19">
        <f>IF(OR(B522="",K522=""),"",IF(OR(L522="Sent",L522="Picked up"),"Done",IF(L522="Cancelled","Cancelled",IF(K522&lt;TODAY(),"Late by "&amp;(TODAY()-K522)&amp;IF((TODAY()-K522)=1," day"," days"),IF(K522=TODAY(),"Due today","Due in "&amp;(K522-TODAY())&amp;IF((K522-TODAY())=1," day"," days"))))))</f>
        <v/>
      </c>
      <c r="S522" s="33" t="n"/>
      <c r="T522" s="1">
        <f>IF(AND(B522&lt;&gt;"",K522&lt;&gt;"",L522&lt;&gt;"Sent",L522&lt;&gt;"Picked up",L522&lt;&gt;"Cancelled"),K522+ROW()/10000000,"")</f>
        <v/>
      </c>
      <c r="U522">
        <f>IF(OR(B522="",C522=""),"",B522+ROW()/10000000)</f>
        <v/>
      </c>
      <c r="V522">
        <f>IF(U522="","",IF(COUNTIFS(Orders!$C$6:$C$1005,C522,Orders!$U$6:$U$1005,"&gt;"&amp;U522)=0,1,0))</f>
        <v/>
      </c>
      <c r="W522">
        <f>IF(AND(B522&lt;&gt;"",K522&lt;&gt;"",L522&lt;&gt;"Sent",L522&lt;&gt;"Picked up",L522&lt;&gt;"Cancelled"),IF(N(E522)=0,1,E522),0)</f>
        <v/>
      </c>
      <c r="X522">
        <f>IF(OR(B522="",D522=""),"",IF(N(E522)=0,1,E522))</f>
        <v/>
      </c>
    </row>
    <row r="523">
      <c r="A523" s="1" t="n"/>
      <c r="B523" s="31" t="n"/>
      <c r="C523" s="32" t="n"/>
      <c r="D523" s="33" t="n"/>
      <c r="E523" s="34" t="n"/>
      <c r="F523" s="35" t="n"/>
      <c r="G523" s="35" t="n"/>
      <c r="H523" s="30">
        <f>IF(OR(B523="",D523=""),"",IF(N(E523)=0,1,E523)*IFERROR(INDEX(Products!$C$6:$C$105,MATCH(D523,Products!$B$6:$B$105,0)),0)+N(F523)+N(G523))</f>
        <v/>
      </c>
      <c r="I523" s="35" t="n"/>
      <c r="J523" s="30">
        <f>IF(OR(H523="",L523="Cancelled"),"",IF(H523-N(I523)&gt;0.005,H523-N(I523),""))</f>
        <v/>
      </c>
      <c r="K523" s="31" t="n"/>
      <c r="L523" s="36" t="n"/>
      <c r="M523" s="33" t="n"/>
      <c r="N523" s="22">
        <f>IF(OR(H523="",L523="Cancelled"),"",IF(N(E523)=0,1,E523)*IFERROR(INDEX(Products!$E$6:$E$105,MATCH(D523,Products!$B$6:$B$105,0)),0))</f>
        <v/>
      </c>
      <c r="O523" s="35" t="n"/>
      <c r="P523" s="22">
        <f>IF(OR(H523="",L523="Cancelled"),"",ROUND(IFERROR(H523*INDEX(Settings!$C$6:$C$15,MATCH(M523,Settings!$B$6:$B$15,0))+INDEX(Settings!$D$6:$D$15,MATCH(M523,Settings!$B$6:$B$15,0)),0),2))</f>
        <v/>
      </c>
      <c r="Q523" s="28">
        <f>IF(OR(H523="",L523="Cancelled"),"",H523-N(N523)-N(O523)-N(P523))</f>
        <v/>
      </c>
      <c r="R523" s="19">
        <f>IF(OR(B523="",K523=""),"",IF(OR(L523="Sent",L523="Picked up"),"Done",IF(L523="Cancelled","Cancelled",IF(K523&lt;TODAY(),"Late by "&amp;(TODAY()-K523)&amp;IF((TODAY()-K523)=1," day"," days"),IF(K523=TODAY(),"Due today","Due in "&amp;(K523-TODAY())&amp;IF((K523-TODAY())=1," day"," days"))))))</f>
        <v/>
      </c>
      <c r="S523" s="33" t="n"/>
      <c r="T523" s="1">
        <f>IF(AND(B523&lt;&gt;"",K523&lt;&gt;"",L523&lt;&gt;"Sent",L523&lt;&gt;"Picked up",L523&lt;&gt;"Cancelled"),K523+ROW()/10000000,"")</f>
        <v/>
      </c>
      <c r="U523">
        <f>IF(OR(B523="",C523=""),"",B523+ROW()/10000000)</f>
        <v/>
      </c>
      <c r="V523">
        <f>IF(U523="","",IF(COUNTIFS(Orders!$C$6:$C$1005,C523,Orders!$U$6:$U$1005,"&gt;"&amp;U523)=0,1,0))</f>
        <v/>
      </c>
      <c r="W523">
        <f>IF(AND(B523&lt;&gt;"",K523&lt;&gt;"",L523&lt;&gt;"Sent",L523&lt;&gt;"Picked up",L523&lt;&gt;"Cancelled"),IF(N(E523)=0,1,E523),0)</f>
        <v/>
      </c>
      <c r="X523">
        <f>IF(OR(B523="",D523=""),"",IF(N(E523)=0,1,E523))</f>
        <v/>
      </c>
    </row>
    <row r="524">
      <c r="A524" s="1" t="n"/>
      <c r="B524" s="31" t="n"/>
      <c r="C524" s="32" t="n"/>
      <c r="D524" s="33" t="n"/>
      <c r="E524" s="34" t="n"/>
      <c r="F524" s="35" t="n"/>
      <c r="G524" s="35" t="n"/>
      <c r="H524" s="30">
        <f>IF(OR(B524="",D524=""),"",IF(N(E524)=0,1,E524)*IFERROR(INDEX(Products!$C$6:$C$105,MATCH(D524,Products!$B$6:$B$105,0)),0)+N(F524)+N(G524))</f>
        <v/>
      </c>
      <c r="I524" s="35" t="n"/>
      <c r="J524" s="30">
        <f>IF(OR(H524="",L524="Cancelled"),"",IF(H524-N(I524)&gt;0.005,H524-N(I524),""))</f>
        <v/>
      </c>
      <c r="K524" s="31" t="n"/>
      <c r="L524" s="36" t="n"/>
      <c r="M524" s="33" t="n"/>
      <c r="N524" s="22">
        <f>IF(OR(H524="",L524="Cancelled"),"",IF(N(E524)=0,1,E524)*IFERROR(INDEX(Products!$E$6:$E$105,MATCH(D524,Products!$B$6:$B$105,0)),0))</f>
        <v/>
      </c>
      <c r="O524" s="35" t="n"/>
      <c r="P524" s="22">
        <f>IF(OR(H524="",L524="Cancelled"),"",ROUND(IFERROR(H524*INDEX(Settings!$C$6:$C$15,MATCH(M524,Settings!$B$6:$B$15,0))+INDEX(Settings!$D$6:$D$15,MATCH(M524,Settings!$B$6:$B$15,0)),0),2))</f>
        <v/>
      </c>
      <c r="Q524" s="28">
        <f>IF(OR(H524="",L524="Cancelled"),"",H524-N(N524)-N(O524)-N(P524))</f>
        <v/>
      </c>
      <c r="R524" s="19">
        <f>IF(OR(B524="",K524=""),"",IF(OR(L524="Sent",L524="Picked up"),"Done",IF(L524="Cancelled","Cancelled",IF(K524&lt;TODAY(),"Late by "&amp;(TODAY()-K524)&amp;IF((TODAY()-K524)=1," day"," days"),IF(K524=TODAY(),"Due today","Due in "&amp;(K524-TODAY())&amp;IF((K524-TODAY())=1," day"," days"))))))</f>
        <v/>
      </c>
      <c r="S524" s="33" t="n"/>
      <c r="T524" s="1">
        <f>IF(AND(B524&lt;&gt;"",K524&lt;&gt;"",L524&lt;&gt;"Sent",L524&lt;&gt;"Picked up",L524&lt;&gt;"Cancelled"),K524+ROW()/10000000,"")</f>
        <v/>
      </c>
      <c r="U524">
        <f>IF(OR(B524="",C524=""),"",B524+ROW()/10000000)</f>
        <v/>
      </c>
      <c r="V524">
        <f>IF(U524="","",IF(COUNTIFS(Orders!$C$6:$C$1005,C524,Orders!$U$6:$U$1005,"&gt;"&amp;U524)=0,1,0))</f>
        <v/>
      </c>
      <c r="W524">
        <f>IF(AND(B524&lt;&gt;"",K524&lt;&gt;"",L524&lt;&gt;"Sent",L524&lt;&gt;"Picked up",L524&lt;&gt;"Cancelled"),IF(N(E524)=0,1,E524),0)</f>
        <v/>
      </c>
      <c r="X524">
        <f>IF(OR(B524="",D524=""),"",IF(N(E524)=0,1,E524))</f>
        <v/>
      </c>
    </row>
    <row r="525">
      <c r="A525" s="1" t="n"/>
      <c r="B525" s="31" t="n"/>
      <c r="C525" s="32" t="n"/>
      <c r="D525" s="33" t="n"/>
      <c r="E525" s="34" t="n"/>
      <c r="F525" s="35" t="n"/>
      <c r="G525" s="35" t="n"/>
      <c r="H525" s="30">
        <f>IF(OR(B525="",D525=""),"",IF(N(E525)=0,1,E525)*IFERROR(INDEX(Products!$C$6:$C$105,MATCH(D525,Products!$B$6:$B$105,0)),0)+N(F525)+N(G525))</f>
        <v/>
      </c>
      <c r="I525" s="35" t="n"/>
      <c r="J525" s="30">
        <f>IF(OR(H525="",L525="Cancelled"),"",IF(H525-N(I525)&gt;0.005,H525-N(I525),""))</f>
        <v/>
      </c>
      <c r="K525" s="31" t="n"/>
      <c r="L525" s="36" t="n"/>
      <c r="M525" s="33" t="n"/>
      <c r="N525" s="22">
        <f>IF(OR(H525="",L525="Cancelled"),"",IF(N(E525)=0,1,E525)*IFERROR(INDEX(Products!$E$6:$E$105,MATCH(D525,Products!$B$6:$B$105,0)),0))</f>
        <v/>
      </c>
      <c r="O525" s="35" t="n"/>
      <c r="P525" s="22">
        <f>IF(OR(H525="",L525="Cancelled"),"",ROUND(IFERROR(H525*INDEX(Settings!$C$6:$C$15,MATCH(M525,Settings!$B$6:$B$15,0))+INDEX(Settings!$D$6:$D$15,MATCH(M525,Settings!$B$6:$B$15,0)),0),2))</f>
        <v/>
      </c>
      <c r="Q525" s="28">
        <f>IF(OR(H525="",L525="Cancelled"),"",H525-N(N525)-N(O525)-N(P525))</f>
        <v/>
      </c>
      <c r="R525" s="19">
        <f>IF(OR(B525="",K525=""),"",IF(OR(L525="Sent",L525="Picked up"),"Done",IF(L525="Cancelled","Cancelled",IF(K525&lt;TODAY(),"Late by "&amp;(TODAY()-K525)&amp;IF((TODAY()-K525)=1," day"," days"),IF(K525=TODAY(),"Due today","Due in "&amp;(K525-TODAY())&amp;IF((K525-TODAY())=1," day"," days"))))))</f>
        <v/>
      </c>
      <c r="S525" s="33" t="n"/>
      <c r="T525" s="1">
        <f>IF(AND(B525&lt;&gt;"",K525&lt;&gt;"",L525&lt;&gt;"Sent",L525&lt;&gt;"Picked up",L525&lt;&gt;"Cancelled"),K525+ROW()/10000000,"")</f>
        <v/>
      </c>
      <c r="U525">
        <f>IF(OR(B525="",C525=""),"",B525+ROW()/10000000)</f>
        <v/>
      </c>
      <c r="V525">
        <f>IF(U525="","",IF(COUNTIFS(Orders!$C$6:$C$1005,C525,Orders!$U$6:$U$1005,"&gt;"&amp;U525)=0,1,0))</f>
        <v/>
      </c>
      <c r="W525">
        <f>IF(AND(B525&lt;&gt;"",K525&lt;&gt;"",L525&lt;&gt;"Sent",L525&lt;&gt;"Picked up",L525&lt;&gt;"Cancelled"),IF(N(E525)=0,1,E525),0)</f>
        <v/>
      </c>
      <c r="X525">
        <f>IF(OR(B525="",D525=""),"",IF(N(E525)=0,1,E525))</f>
        <v/>
      </c>
    </row>
    <row r="526">
      <c r="A526" s="1" t="n"/>
      <c r="B526" s="31" t="n"/>
      <c r="C526" s="32" t="n"/>
      <c r="D526" s="33" t="n"/>
      <c r="E526" s="34" t="n"/>
      <c r="F526" s="35" t="n"/>
      <c r="G526" s="35" t="n"/>
      <c r="H526" s="30">
        <f>IF(OR(B526="",D526=""),"",IF(N(E526)=0,1,E526)*IFERROR(INDEX(Products!$C$6:$C$105,MATCH(D526,Products!$B$6:$B$105,0)),0)+N(F526)+N(G526))</f>
        <v/>
      </c>
      <c r="I526" s="35" t="n"/>
      <c r="J526" s="30">
        <f>IF(OR(H526="",L526="Cancelled"),"",IF(H526-N(I526)&gt;0.005,H526-N(I526),""))</f>
        <v/>
      </c>
      <c r="K526" s="31" t="n"/>
      <c r="L526" s="36" t="n"/>
      <c r="M526" s="33" t="n"/>
      <c r="N526" s="22">
        <f>IF(OR(H526="",L526="Cancelled"),"",IF(N(E526)=0,1,E526)*IFERROR(INDEX(Products!$E$6:$E$105,MATCH(D526,Products!$B$6:$B$105,0)),0))</f>
        <v/>
      </c>
      <c r="O526" s="35" t="n"/>
      <c r="P526" s="22">
        <f>IF(OR(H526="",L526="Cancelled"),"",ROUND(IFERROR(H526*INDEX(Settings!$C$6:$C$15,MATCH(M526,Settings!$B$6:$B$15,0))+INDEX(Settings!$D$6:$D$15,MATCH(M526,Settings!$B$6:$B$15,0)),0),2))</f>
        <v/>
      </c>
      <c r="Q526" s="28">
        <f>IF(OR(H526="",L526="Cancelled"),"",H526-N(N526)-N(O526)-N(P526))</f>
        <v/>
      </c>
      <c r="R526" s="19">
        <f>IF(OR(B526="",K526=""),"",IF(OR(L526="Sent",L526="Picked up"),"Done",IF(L526="Cancelled","Cancelled",IF(K526&lt;TODAY(),"Late by "&amp;(TODAY()-K526)&amp;IF((TODAY()-K526)=1," day"," days"),IF(K526=TODAY(),"Due today","Due in "&amp;(K526-TODAY())&amp;IF((K526-TODAY())=1," day"," days"))))))</f>
        <v/>
      </c>
      <c r="S526" s="33" t="n"/>
      <c r="T526" s="1">
        <f>IF(AND(B526&lt;&gt;"",K526&lt;&gt;"",L526&lt;&gt;"Sent",L526&lt;&gt;"Picked up",L526&lt;&gt;"Cancelled"),K526+ROW()/10000000,"")</f>
        <v/>
      </c>
      <c r="U526">
        <f>IF(OR(B526="",C526=""),"",B526+ROW()/10000000)</f>
        <v/>
      </c>
      <c r="V526">
        <f>IF(U526="","",IF(COUNTIFS(Orders!$C$6:$C$1005,C526,Orders!$U$6:$U$1005,"&gt;"&amp;U526)=0,1,0))</f>
        <v/>
      </c>
      <c r="W526">
        <f>IF(AND(B526&lt;&gt;"",K526&lt;&gt;"",L526&lt;&gt;"Sent",L526&lt;&gt;"Picked up",L526&lt;&gt;"Cancelled"),IF(N(E526)=0,1,E526),0)</f>
        <v/>
      </c>
      <c r="X526">
        <f>IF(OR(B526="",D526=""),"",IF(N(E526)=0,1,E526))</f>
        <v/>
      </c>
    </row>
    <row r="527">
      <c r="A527" s="1" t="n"/>
      <c r="B527" s="31" t="n"/>
      <c r="C527" s="32" t="n"/>
      <c r="D527" s="33" t="n"/>
      <c r="E527" s="34" t="n"/>
      <c r="F527" s="35" t="n"/>
      <c r="G527" s="35" t="n"/>
      <c r="H527" s="30">
        <f>IF(OR(B527="",D527=""),"",IF(N(E527)=0,1,E527)*IFERROR(INDEX(Products!$C$6:$C$105,MATCH(D527,Products!$B$6:$B$105,0)),0)+N(F527)+N(G527))</f>
        <v/>
      </c>
      <c r="I527" s="35" t="n"/>
      <c r="J527" s="30">
        <f>IF(OR(H527="",L527="Cancelled"),"",IF(H527-N(I527)&gt;0.005,H527-N(I527),""))</f>
        <v/>
      </c>
      <c r="K527" s="31" t="n"/>
      <c r="L527" s="36" t="n"/>
      <c r="M527" s="33" t="n"/>
      <c r="N527" s="22">
        <f>IF(OR(H527="",L527="Cancelled"),"",IF(N(E527)=0,1,E527)*IFERROR(INDEX(Products!$E$6:$E$105,MATCH(D527,Products!$B$6:$B$105,0)),0))</f>
        <v/>
      </c>
      <c r="O527" s="35" t="n"/>
      <c r="P527" s="22">
        <f>IF(OR(H527="",L527="Cancelled"),"",ROUND(IFERROR(H527*INDEX(Settings!$C$6:$C$15,MATCH(M527,Settings!$B$6:$B$15,0))+INDEX(Settings!$D$6:$D$15,MATCH(M527,Settings!$B$6:$B$15,0)),0),2))</f>
        <v/>
      </c>
      <c r="Q527" s="28">
        <f>IF(OR(H527="",L527="Cancelled"),"",H527-N(N527)-N(O527)-N(P527))</f>
        <v/>
      </c>
      <c r="R527" s="19">
        <f>IF(OR(B527="",K527=""),"",IF(OR(L527="Sent",L527="Picked up"),"Done",IF(L527="Cancelled","Cancelled",IF(K527&lt;TODAY(),"Late by "&amp;(TODAY()-K527)&amp;IF((TODAY()-K527)=1," day"," days"),IF(K527=TODAY(),"Due today","Due in "&amp;(K527-TODAY())&amp;IF((K527-TODAY())=1," day"," days"))))))</f>
        <v/>
      </c>
      <c r="S527" s="33" t="n"/>
      <c r="T527" s="1">
        <f>IF(AND(B527&lt;&gt;"",K527&lt;&gt;"",L527&lt;&gt;"Sent",L527&lt;&gt;"Picked up",L527&lt;&gt;"Cancelled"),K527+ROW()/10000000,"")</f>
        <v/>
      </c>
      <c r="U527">
        <f>IF(OR(B527="",C527=""),"",B527+ROW()/10000000)</f>
        <v/>
      </c>
      <c r="V527">
        <f>IF(U527="","",IF(COUNTIFS(Orders!$C$6:$C$1005,C527,Orders!$U$6:$U$1005,"&gt;"&amp;U527)=0,1,0))</f>
        <v/>
      </c>
      <c r="W527">
        <f>IF(AND(B527&lt;&gt;"",K527&lt;&gt;"",L527&lt;&gt;"Sent",L527&lt;&gt;"Picked up",L527&lt;&gt;"Cancelled"),IF(N(E527)=0,1,E527),0)</f>
        <v/>
      </c>
      <c r="X527">
        <f>IF(OR(B527="",D527=""),"",IF(N(E527)=0,1,E527))</f>
        <v/>
      </c>
    </row>
    <row r="528">
      <c r="A528" s="1" t="n"/>
      <c r="B528" s="31" t="n"/>
      <c r="C528" s="32" t="n"/>
      <c r="D528" s="33" t="n"/>
      <c r="E528" s="34" t="n"/>
      <c r="F528" s="35" t="n"/>
      <c r="G528" s="35" t="n"/>
      <c r="H528" s="30">
        <f>IF(OR(B528="",D528=""),"",IF(N(E528)=0,1,E528)*IFERROR(INDEX(Products!$C$6:$C$105,MATCH(D528,Products!$B$6:$B$105,0)),0)+N(F528)+N(G528))</f>
        <v/>
      </c>
      <c r="I528" s="35" t="n"/>
      <c r="J528" s="30">
        <f>IF(OR(H528="",L528="Cancelled"),"",IF(H528-N(I528)&gt;0.005,H528-N(I528),""))</f>
        <v/>
      </c>
      <c r="K528" s="31" t="n"/>
      <c r="L528" s="36" t="n"/>
      <c r="M528" s="33" t="n"/>
      <c r="N528" s="22">
        <f>IF(OR(H528="",L528="Cancelled"),"",IF(N(E528)=0,1,E528)*IFERROR(INDEX(Products!$E$6:$E$105,MATCH(D528,Products!$B$6:$B$105,0)),0))</f>
        <v/>
      </c>
      <c r="O528" s="35" t="n"/>
      <c r="P528" s="22">
        <f>IF(OR(H528="",L528="Cancelled"),"",ROUND(IFERROR(H528*INDEX(Settings!$C$6:$C$15,MATCH(M528,Settings!$B$6:$B$15,0))+INDEX(Settings!$D$6:$D$15,MATCH(M528,Settings!$B$6:$B$15,0)),0),2))</f>
        <v/>
      </c>
      <c r="Q528" s="28">
        <f>IF(OR(H528="",L528="Cancelled"),"",H528-N(N528)-N(O528)-N(P528))</f>
        <v/>
      </c>
      <c r="R528" s="19">
        <f>IF(OR(B528="",K528=""),"",IF(OR(L528="Sent",L528="Picked up"),"Done",IF(L528="Cancelled","Cancelled",IF(K528&lt;TODAY(),"Late by "&amp;(TODAY()-K528)&amp;IF((TODAY()-K528)=1," day"," days"),IF(K528=TODAY(),"Due today","Due in "&amp;(K528-TODAY())&amp;IF((K528-TODAY())=1," day"," days"))))))</f>
        <v/>
      </c>
      <c r="S528" s="33" t="n"/>
      <c r="T528" s="1">
        <f>IF(AND(B528&lt;&gt;"",K528&lt;&gt;"",L528&lt;&gt;"Sent",L528&lt;&gt;"Picked up",L528&lt;&gt;"Cancelled"),K528+ROW()/10000000,"")</f>
        <v/>
      </c>
      <c r="U528">
        <f>IF(OR(B528="",C528=""),"",B528+ROW()/10000000)</f>
        <v/>
      </c>
      <c r="V528">
        <f>IF(U528="","",IF(COUNTIFS(Orders!$C$6:$C$1005,C528,Orders!$U$6:$U$1005,"&gt;"&amp;U528)=0,1,0))</f>
        <v/>
      </c>
      <c r="W528">
        <f>IF(AND(B528&lt;&gt;"",K528&lt;&gt;"",L528&lt;&gt;"Sent",L528&lt;&gt;"Picked up",L528&lt;&gt;"Cancelled"),IF(N(E528)=0,1,E528),0)</f>
        <v/>
      </c>
      <c r="X528">
        <f>IF(OR(B528="",D528=""),"",IF(N(E528)=0,1,E528))</f>
        <v/>
      </c>
    </row>
    <row r="529">
      <c r="A529" s="1" t="n"/>
      <c r="B529" s="31" t="n"/>
      <c r="C529" s="32" t="n"/>
      <c r="D529" s="33" t="n"/>
      <c r="E529" s="34" t="n"/>
      <c r="F529" s="35" t="n"/>
      <c r="G529" s="35" t="n"/>
      <c r="H529" s="30">
        <f>IF(OR(B529="",D529=""),"",IF(N(E529)=0,1,E529)*IFERROR(INDEX(Products!$C$6:$C$105,MATCH(D529,Products!$B$6:$B$105,0)),0)+N(F529)+N(G529))</f>
        <v/>
      </c>
      <c r="I529" s="35" t="n"/>
      <c r="J529" s="30">
        <f>IF(OR(H529="",L529="Cancelled"),"",IF(H529-N(I529)&gt;0.005,H529-N(I529),""))</f>
        <v/>
      </c>
      <c r="K529" s="31" t="n"/>
      <c r="L529" s="36" t="n"/>
      <c r="M529" s="33" t="n"/>
      <c r="N529" s="22">
        <f>IF(OR(H529="",L529="Cancelled"),"",IF(N(E529)=0,1,E529)*IFERROR(INDEX(Products!$E$6:$E$105,MATCH(D529,Products!$B$6:$B$105,0)),0))</f>
        <v/>
      </c>
      <c r="O529" s="35" t="n"/>
      <c r="P529" s="22">
        <f>IF(OR(H529="",L529="Cancelled"),"",ROUND(IFERROR(H529*INDEX(Settings!$C$6:$C$15,MATCH(M529,Settings!$B$6:$B$15,0))+INDEX(Settings!$D$6:$D$15,MATCH(M529,Settings!$B$6:$B$15,0)),0),2))</f>
        <v/>
      </c>
      <c r="Q529" s="28">
        <f>IF(OR(H529="",L529="Cancelled"),"",H529-N(N529)-N(O529)-N(P529))</f>
        <v/>
      </c>
      <c r="R529" s="19">
        <f>IF(OR(B529="",K529=""),"",IF(OR(L529="Sent",L529="Picked up"),"Done",IF(L529="Cancelled","Cancelled",IF(K529&lt;TODAY(),"Late by "&amp;(TODAY()-K529)&amp;IF((TODAY()-K529)=1," day"," days"),IF(K529=TODAY(),"Due today","Due in "&amp;(K529-TODAY())&amp;IF((K529-TODAY())=1," day"," days"))))))</f>
        <v/>
      </c>
      <c r="S529" s="33" t="n"/>
      <c r="T529" s="1">
        <f>IF(AND(B529&lt;&gt;"",K529&lt;&gt;"",L529&lt;&gt;"Sent",L529&lt;&gt;"Picked up",L529&lt;&gt;"Cancelled"),K529+ROW()/10000000,"")</f>
        <v/>
      </c>
      <c r="U529">
        <f>IF(OR(B529="",C529=""),"",B529+ROW()/10000000)</f>
        <v/>
      </c>
      <c r="V529">
        <f>IF(U529="","",IF(COUNTIFS(Orders!$C$6:$C$1005,C529,Orders!$U$6:$U$1005,"&gt;"&amp;U529)=0,1,0))</f>
        <v/>
      </c>
      <c r="W529">
        <f>IF(AND(B529&lt;&gt;"",K529&lt;&gt;"",L529&lt;&gt;"Sent",L529&lt;&gt;"Picked up",L529&lt;&gt;"Cancelled"),IF(N(E529)=0,1,E529),0)</f>
        <v/>
      </c>
      <c r="X529">
        <f>IF(OR(B529="",D529=""),"",IF(N(E529)=0,1,E529))</f>
        <v/>
      </c>
    </row>
    <row r="530">
      <c r="A530" s="1" t="n"/>
      <c r="B530" s="31" t="n"/>
      <c r="C530" s="32" t="n"/>
      <c r="D530" s="33" t="n"/>
      <c r="E530" s="34" t="n"/>
      <c r="F530" s="35" t="n"/>
      <c r="G530" s="35" t="n"/>
      <c r="H530" s="30">
        <f>IF(OR(B530="",D530=""),"",IF(N(E530)=0,1,E530)*IFERROR(INDEX(Products!$C$6:$C$105,MATCH(D530,Products!$B$6:$B$105,0)),0)+N(F530)+N(G530))</f>
        <v/>
      </c>
      <c r="I530" s="35" t="n"/>
      <c r="J530" s="30">
        <f>IF(OR(H530="",L530="Cancelled"),"",IF(H530-N(I530)&gt;0.005,H530-N(I530),""))</f>
        <v/>
      </c>
      <c r="K530" s="31" t="n"/>
      <c r="L530" s="36" t="n"/>
      <c r="M530" s="33" t="n"/>
      <c r="N530" s="22">
        <f>IF(OR(H530="",L530="Cancelled"),"",IF(N(E530)=0,1,E530)*IFERROR(INDEX(Products!$E$6:$E$105,MATCH(D530,Products!$B$6:$B$105,0)),0))</f>
        <v/>
      </c>
      <c r="O530" s="35" t="n"/>
      <c r="P530" s="22">
        <f>IF(OR(H530="",L530="Cancelled"),"",ROUND(IFERROR(H530*INDEX(Settings!$C$6:$C$15,MATCH(M530,Settings!$B$6:$B$15,0))+INDEX(Settings!$D$6:$D$15,MATCH(M530,Settings!$B$6:$B$15,0)),0),2))</f>
        <v/>
      </c>
      <c r="Q530" s="28">
        <f>IF(OR(H530="",L530="Cancelled"),"",H530-N(N530)-N(O530)-N(P530))</f>
        <v/>
      </c>
      <c r="R530" s="19">
        <f>IF(OR(B530="",K530=""),"",IF(OR(L530="Sent",L530="Picked up"),"Done",IF(L530="Cancelled","Cancelled",IF(K530&lt;TODAY(),"Late by "&amp;(TODAY()-K530)&amp;IF((TODAY()-K530)=1," day"," days"),IF(K530=TODAY(),"Due today","Due in "&amp;(K530-TODAY())&amp;IF((K530-TODAY())=1," day"," days"))))))</f>
        <v/>
      </c>
      <c r="S530" s="33" t="n"/>
      <c r="T530" s="1">
        <f>IF(AND(B530&lt;&gt;"",K530&lt;&gt;"",L530&lt;&gt;"Sent",L530&lt;&gt;"Picked up",L530&lt;&gt;"Cancelled"),K530+ROW()/10000000,"")</f>
        <v/>
      </c>
      <c r="U530">
        <f>IF(OR(B530="",C530=""),"",B530+ROW()/10000000)</f>
        <v/>
      </c>
      <c r="V530">
        <f>IF(U530="","",IF(COUNTIFS(Orders!$C$6:$C$1005,C530,Orders!$U$6:$U$1005,"&gt;"&amp;U530)=0,1,0))</f>
        <v/>
      </c>
      <c r="W530">
        <f>IF(AND(B530&lt;&gt;"",K530&lt;&gt;"",L530&lt;&gt;"Sent",L530&lt;&gt;"Picked up",L530&lt;&gt;"Cancelled"),IF(N(E530)=0,1,E530),0)</f>
        <v/>
      </c>
      <c r="X530">
        <f>IF(OR(B530="",D530=""),"",IF(N(E530)=0,1,E530))</f>
        <v/>
      </c>
    </row>
    <row r="531">
      <c r="A531" s="1" t="n"/>
      <c r="B531" s="31" t="n"/>
      <c r="C531" s="32" t="n"/>
      <c r="D531" s="33" t="n"/>
      <c r="E531" s="34" t="n"/>
      <c r="F531" s="35" t="n"/>
      <c r="G531" s="35" t="n"/>
      <c r="H531" s="30">
        <f>IF(OR(B531="",D531=""),"",IF(N(E531)=0,1,E531)*IFERROR(INDEX(Products!$C$6:$C$105,MATCH(D531,Products!$B$6:$B$105,0)),0)+N(F531)+N(G531))</f>
        <v/>
      </c>
      <c r="I531" s="35" t="n"/>
      <c r="J531" s="30">
        <f>IF(OR(H531="",L531="Cancelled"),"",IF(H531-N(I531)&gt;0.005,H531-N(I531),""))</f>
        <v/>
      </c>
      <c r="K531" s="31" t="n"/>
      <c r="L531" s="36" t="n"/>
      <c r="M531" s="33" t="n"/>
      <c r="N531" s="22">
        <f>IF(OR(H531="",L531="Cancelled"),"",IF(N(E531)=0,1,E531)*IFERROR(INDEX(Products!$E$6:$E$105,MATCH(D531,Products!$B$6:$B$105,0)),0))</f>
        <v/>
      </c>
      <c r="O531" s="35" t="n"/>
      <c r="P531" s="22">
        <f>IF(OR(H531="",L531="Cancelled"),"",ROUND(IFERROR(H531*INDEX(Settings!$C$6:$C$15,MATCH(M531,Settings!$B$6:$B$15,0))+INDEX(Settings!$D$6:$D$15,MATCH(M531,Settings!$B$6:$B$15,0)),0),2))</f>
        <v/>
      </c>
      <c r="Q531" s="28">
        <f>IF(OR(H531="",L531="Cancelled"),"",H531-N(N531)-N(O531)-N(P531))</f>
        <v/>
      </c>
      <c r="R531" s="19">
        <f>IF(OR(B531="",K531=""),"",IF(OR(L531="Sent",L531="Picked up"),"Done",IF(L531="Cancelled","Cancelled",IF(K531&lt;TODAY(),"Late by "&amp;(TODAY()-K531)&amp;IF((TODAY()-K531)=1," day"," days"),IF(K531=TODAY(),"Due today","Due in "&amp;(K531-TODAY())&amp;IF((K531-TODAY())=1," day"," days"))))))</f>
        <v/>
      </c>
      <c r="S531" s="33" t="n"/>
      <c r="T531" s="1">
        <f>IF(AND(B531&lt;&gt;"",K531&lt;&gt;"",L531&lt;&gt;"Sent",L531&lt;&gt;"Picked up",L531&lt;&gt;"Cancelled"),K531+ROW()/10000000,"")</f>
        <v/>
      </c>
      <c r="U531">
        <f>IF(OR(B531="",C531=""),"",B531+ROW()/10000000)</f>
        <v/>
      </c>
      <c r="V531">
        <f>IF(U531="","",IF(COUNTIFS(Orders!$C$6:$C$1005,C531,Orders!$U$6:$U$1005,"&gt;"&amp;U531)=0,1,0))</f>
        <v/>
      </c>
      <c r="W531">
        <f>IF(AND(B531&lt;&gt;"",K531&lt;&gt;"",L531&lt;&gt;"Sent",L531&lt;&gt;"Picked up",L531&lt;&gt;"Cancelled"),IF(N(E531)=0,1,E531),0)</f>
        <v/>
      </c>
      <c r="X531">
        <f>IF(OR(B531="",D531=""),"",IF(N(E531)=0,1,E531))</f>
        <v/>
      </c>
    </row>
    <row r="532">
      <c r="A532" s="1" t="n"/>
      <c r="B532" s="31" t="n"/>
      <c r="C532" s="32" t="n"/>
      <c r="D532" s="33" t="n"/>
      <c r="E532" s="34" t="n"/>
      <c r="F532" s="35" t="n"/>
      <c r="G532" s="35" t="n"/>
      <c r="H532" s="30">
        <f>IF(OR(B532="",D532=""),"",IF(N(E532)=0,1,E532)*IFERROR(INDEX(Products!$C$6:$C$105,MATCH(D532,Products!$B$6:$B$105,0)),0)+N(F532)+N(G532))</f>
        <v/>
      </c>
      <c r="I532" s="35" t="n"/>
      <c r="J532" s="30">
        <f>IF(OR(H532="",L532="Cancelled"),"",IF(H532-N(I532)&gt;0.005,H532-N(I532),""))</f>
        <v/>
      </c>
      <c r="K532" s="31" t="n"/>
      <c r="L532" s="36" t="n"/>
      <c r="M532" s="33" t="n"/>
      <c r="N532" s="22">
        <f>IF(OR(H532="",L532="Cancelled"),"",IF(N(E532)=0,1,E532)*IFERROR(INDEX(Products!$E$6:$E$105,MATCH(D532,Products!$B$6:$B$105,0)),0))</f>
        <v/>
      </c>
      <c r="O532" s="35" t="n"/>
      <c r="P532" s="22">
        <f>IF(OR(H532="",L532="Cancelled"),"",ROUND(IFERROR(H532*INDEX(Settings!$C$6:$C$15,MATCH(M532,Settings!$B$6:$B$15,0))+INDEX(Settings!$D$6:$D$15,MATCH(M532,Settings!$B$6:$B$15,0)),0),2))</f>
        <v/>
      </c>
      <c r="Q532" s="28">
        <f>IF(OR(H532="",L532="Cancelled"),"",H532-N(N532)-N(O532)-N(P532))</f>
        <v/>
      </c>
      <c r="R532" s="19">
        <f>IF(OR(B532="",K532=""),"",IF(OR(L532="Sent",L532="Picked up"),"Done",IF(L532="Cancelled","Cancelled",IF(K532&lt;TODAY(),"Late by "&amp;(TODAY()-K532)&amp;IF((TODAY()-K532)=1," day"," days"),IF(K532=TODAY(),"Due today","Due in "&amp;(K532-TODAY())&amp;IF((K532-TODAY())=1," day"," days"))))))</f>
        <v/>
      </c>
      <c r="S532" s="33" t="n"/>
      <c r="T532" s="1">
        <f>IF(AND(B532&lt;&gt;"",K532&lt;&gt;"",L532&lt;&gt;"Sent",L532&lt;&gt;"Picked up",L532&lt;&gt;"Cancelled"),K532+ROW()/10000000,"")</f>
        <v/>
      </c>
      <c r="U532">
        <f>IF(OR(B532="",C532=""),"",B532+ROW()/10000000)</f>
        <v/>
      </c>
      <c r="V532">
        <f>IF(U532="","",IF(COUNTIFS(Orders!$C$6:$C$1005,C532,Orders!$U$6:$U$1005,"&gt;"&amp;U532)=0,1,0))</f>
        <v/>
      </c>
      <c r="W532">
        <f>IF(AND(B532&lt;&gt;"",K532&lt;&gt;"",L532&lt;&gt;"Sent",L532&lt;&gt;"Picked up",L532&lt;&gt;"Cancelled"),IF(N(E532)=0,1,E532),0)</f>
        <v/>
      </c>
      <c r="X532">
        <f>IF(OR(B532="",D532=""),"",IF(N(E532)=0,1,E532))</f>
        <v/>
      </c>
    </row>
    <row r="533">
      <c r="A533" s="1" t="n"/>
      <c r="B533" s="31" t="n"/>
      <c r="C533" s="32" t="n"/>
      <c r="D533" s="33" t="n"/>
      <c r="E533" s="34" t="n"/>
      <c r="F533" s="35" t="n"/>
      <c r="G533" s="35" t="n"/>
      <c r="H533" s="30">
        <f>IF(OR(B533="",D533=""),"",IF(N(E533)=0,1,E533)*IFERROR(INDEX(Products!$C$6:$C$105,MATCH(D533,Products!$B$6:$B$105,0)),0)+N(F533)+N(G533))</f>
        <v/>
      </c>
      <c r="I533" s="35" t="n"/>
      <c r="J533" s="30">
        <f>IF(OR(H533="",L533="Cancelled"),"",IF(H533-N(I533)&gt;0.005,H533-N(I533),""))</f>
        <v/>
      </c>
      <c r="K533" s="31" t="n"/>
      <c r="L533" s="36" t="n"/>
      <c r="M533" s="33" t="n"/>
      <c r="N533" s="22">
        <f>IF(OR(H533="",L533="Cancelled"),"",IF(N(E533)=0,1,E533)*IFERROR(INDEX(Products!$E$6:$E$105,MATCH(D533,Products!$B$6:$B$105,0)),0))</f>
        <v/>
      </c>
      <c r="O533" s="35" t="n"/>
      <c r="P533" s="22">
        <f>IF(OR(H533="",L533="Cancelled"),"",ROUND(IFERROR(H533*INDEX(Settings!$C$6:$C$15,MATCH(M533,Settings!$B$6:$B$15,0))+INDEX(Settings!$D$6:$D$15,MATCH(M533,Settings!$B$6:$B$15,0)),0),2))</f>
        <v/>
      </c>
      <c r="Q533" s="28">
        <f>IF(OR(H533="",L533="Cancelled"),"",H533-N(N533)-N(O533)-N(P533))</f>
        <v/>
      </c>
      <c r="R533" s="19">
        <f>IF(OR(B533="",K533=""),"",IF(OR(L533="Sent",L533="Picked up"),"Done",IF(L533="Cancelled","Cancelled",IF(K533&lt;TODAY(),"Late by "&amp;(TODAY()-K533)&amp;IF((TODAY()-K533)=1," day"," days"),IF(K533=TODAY(),"Due today","Due in "&amp;(K533-TODAY())&amp;IF((K533-TODAY())=1," day"," days"))))))</f>
        <v/>
      </c>
      <c r="S533" s="33" t="n"/>
      <c r="T533" s="1">
        <f>IF(AND(B533&lt;&gt;"",K533&lt;&gt;"",L533&lt;&gt;"Sent",L533&lt;&gt;"Picked up",L533&lt;&gt;"Cancelled"),K533+ROW()/10000000,"")</f>
        <v/>
      </c>
      <c r="U533">
        <f>IF(OR(B533="",C533=""),"",B533+ROW()/10000000)</f>
        <v/>
      </c>
      <c r="V533">
        <f>IF(U533="","",IF(COUNTIFS(Orders!$C$6:$C$1005,C533,Orders!$U$6:$U$1005,"&gt;"&amp;U533)=0,1,0))</f>
        <v/>
      </c>
      <c r="W533">
        <f>IF(AND(B533&lt;&gt;"",K533&lt;&gt;"",L533&lt;&gt;"Sent",L533&lt;&gt;"Picked up",L533&lt;&gt;"Cancelled"),IF(N(E533)=0,1,E533),0)</f>
        <v/>
      </c>
      <c r="X533">
        <f>IF(OR(B533="",D533=""),"",IF(N(E533)=0,1,E533))</f>
        <v/>
      </c>
    </row>
    <row r="534">
      <c r="A534" s="1" t="n"/>
      <c r="B534" s="31" t="n"/>
      <c r="C534" s="32" t="n"/>
      <c r="D534" s="33" t="n"/>
      <c r="E534" s="34" t="n"/>
      <c r="F534" s="35" t="n"/>
      <c r="G534" s="35" t="n"/>
      <c r="H534" s="30">
        <f>IF(OR(B534="",D534=""),"",IF(N(E534)=0,1,E534)*IFERROR(INDEX(Products!$C$6:$C$105,MATCH(D534,Products!$B$6:$B$105,0)),0)+N(F534)+N(G534))</f>
        <v/>
      </c>
      <c r="I534" s="35" t="n"/>
      <c r="J534" s="30">
        <f>IF(OR(H534="",L534="Cancelled"),"",IF(H534-N(I534)&gt;0.005,H534-N(I534),""))</f>
        <v/>
      </c>
      <c r="K534" s="31" t="n"/>
      <c r="L534" s="36" t="n"/>
      <c r="M534" s="33" t="n"/>
      <c r="N534" s="22">
        <f>IF(OR(H534="",L534="Cancelled"),"",IF(N(E534)=0,1,E534)*IFERROR(INDEX(Products!$E$6:$E$105,MATCH(D534,Products!$B$6:$B$105,0)),0))</f>
        <v/>
      </c>
      <c r="O534" s="35" t="n"/>
      <c r="P534" s="22">
        <f>IF(OR(H534="",L534="Cancelled"),"",ROUND(IFERROR(H534*INDEX(Settings!$C$6:$C$15,MATCH(M534,Settings!$B$6:$B$15,0))+INDEX(Settings!$D$6:$D$15,MATCH(M534,Settings!$B$6:$B$15,0)),0),2))</f>
        <v/>
      </c>
      <c r="Q534" s="28">
        <f>IF(OR(H534="",L534="Cancelled"),"",H534-N(N534)-N(O534)-N(P534))</f>
        <v/>
      </c>
      <c r="R534" s="19">
        <f>IF(OR(B534="",K534=""),"",IF(OR(L534="Sent",L534="Picked up"),"Done",IF(L534="Cancelled","Cancelled",IF(K534&lt;TODAY(),"Late by "&amp;(TODAY()-K534)&amp;IF((TODAY()-K534)=1," day"," days"),IF(K534=TODAY(),"Due today","Due in "&amp;(K534-TODAY())&amp;IF((K534-TODAY())=1," day"," days"))))))</f>
        <v/>
      </c>
      <c r="S534" s="33" t="n"/>
      <c r="T534" s="1">
        <f>IF(AND(B534&lt;&gt;"",K534&lt;&gt;"",L534&lt;&gt;"Sent",L534&lt;&gt;"Picked up",L534&lt;&gt;"Cancelled"),K534+ROW()/10000000,"")</f>
        <v/>
      </c>
      <c r="U534">
        <f>IF(OR(B534="",C534=""),"",B534+ROW()/10000000)</f>
        <v/>
      </c>
      <c r="V534">
        <f>IF(U534="","",IF(COUNTIFS(Orders!$C$6:$C$1005,C534,Orders!$U$6:$U$1005,"&gt;"&amp;U534)=0,1,0))</f>
        <v/>
      </c>
      <c r="W534">
        <f>IF(AND(B534&lt;&gt;"",K534&lt;&gt;"",L534&lt;&gt;"Sent",L534&lt;&gt;"Picked up",L534&lt;&gt;"Cancelled"),IF(N(E534)=0,1,E534),0)</f>
        <v/>
      </c>
      <c r="X534">
        <f>IF(OR(B534="",D534=""),"",IF(N(E534)=0,1,E534))</f>
        <v/>
      </c>
    </row>
    <row r="535">
      <c r="A535" s="1" t="n"/>
      <c r="B535" s="31" t="n"/>
      <c r="C535" s="32" t="n"/>
      <c r="D535" s="33" t="n"/>
      <c r="E535" s="34" t="n"/>
      <c r="F535" s="35" t="n"/>
      <c r="G535" s="35" t="n"/>
      <c r="H535" s="30">
        <f>IF(OR(B535="",D535=""),"",IF(N(E535)=0,1,E535)*IFERROR(INDEX(Products!$C$6:$C$105,MATCH(D535,Products!$B$6:$B$105,0)),0)+N(F535)+N(G535))</f>
        <v/>
      </c>
      <c r="I535" s="35" t="n"/>
      <c r="J535" s="30">
        <f>IF(OR(H535="",L535="Cancelled"),"",IF(H535-N(I535)&gt;0.005,H535-N(I535),""))</f>
        <v/>
      </c>
      <c r="K535" s="31" t="n"/>
      <c r="L535" s="36" t="n"/>
      <c r="M535" s="33" t="n"/>
      <c r="N535" s="22">
        <f>IF(OR(H535="",L535="Cancelled"),"",IF(N(E535)=0,1,E535)*IFERROR(INDEX(Products!$E$6:$E$105,MATCH(D535,Products!$B$6:$B$105,0)),0))</f>
        <v/>
      </c>
      <c r="O535" s="35" t="n"/>
      <c r="P535" s="22">
        <f>IF(OR(H535="",L535="Cancelled"),"",ROUND(IFERROR(H535*INDEX(Settings!$C$6:$C$15,MATCH(M535,Settings!$B$6:$B$15,0))+INDEX(Settings!$D$6:$D$15,MATCH(M535,Settings!$B$6:$B$15,0)),0),2))</f>
        <v/>
      </c>
      <c r="Q535" s="28">
        <f>IF(OR(H535="",L535="Cancelled"),"",H535-N(N535)-N(O535)-N(P535))</f>
        <v/>
      </c>
      <c r="R535" s="19">
        <f>IF(OR(B535="",K535=""),"",IF(OR(L535="Sent",L535="Picked up"),"Done",IF(L535="Cancelled","Cancelled",IF(K535&lt;TODAY(),"Late by "&amp;(TODAY()-K535)&amp;IF((TODAY()-K535)=1," day"," days"),IF(K535=TODAY(),"Due today","Due in "&amp;(K535-TODAY())&amp;IF((K535-TODAY())=1," day"," days"))))))</f>
        <v/>
      </c>
      <c r="S535" s="33" t="n"/>
      <c r="T535" s="1">
        <f>IF(AND(B535&lt;&gt;"",K535&lt;&gt;"",L535&lt;&gt;"Sent",L535&lt;&gt;"Picked up",L535&lt;&gt;"Cancelled"),K535+ROW()/10000000,"")</f>
        <v/>
      </c>
      <c r="U535">
        <f>IF(OR(B535="",C535=""),"",B535+ROW()/10000000)</f>
        <v/>
      </c>
      <c r="V535">
        <f>IF(U535="","",IF(COUNTIFS(Orders!$C$6:$C$1005,C535,Orders!$U$6:$U$1005,"&gt;"&amp;U535)=0,1,0))</f>
        <v/>
      </c>
      <c r="W535">
        <f>IF(AND(B535&lt;&gt;"",K535&lt;&gt;"",L535&lt;&gt;"Sent",L535&lt;&gt;"Picked up",L535&lt;&gt;"Cancelled"),IF(N(E535)=0,1,E535),0)</f>
        <v/>
      </c>
      <c r="X535">
        <f>IF(OR(B535="",D535=""),"",IF(N(E535)=0,1,E535))</f>
        <v/>
      </c>
    </row>
    <row r="536">
      <c r="A536" s="1" t="n"/>
      <c r="B536" s="31" t="n"/>
      <c r="C536" s="32" t="n"/>
      <c r="D536" s="33" t="n"/>
      <c r="E536" s="34" t="n"/>
      <c r="F536" s="35" t="n"/>
      <c r="G536" s="35" t="n"/>
      <c r="H536" s="30">
        <f>IF(OR(B536="",D536=""),"",IF(N(E536)=0,1,E536)*IFERROR(INDEX(Products!$C$6:$C$105,MATCH(D536,Products!$B$6:$B$105,0)),0)+N(F536)+N(G536))</f>
        <v/>
      </c>
      <c r="I536" s="35" t="n"/>
      <c r="J536" s="30">
        <f>IF(OR(H536="",L536="Cancelled"),"",IF(H536-N(I536)&gt;0.005,H536-N(I536),""))</f>
        <v/>
      </c>
      <c r="K536" s="31" t="n"/>
      <c r="L536" s="36" t="n"/>
      <c r="M536" s="33" t="n"/>
      <c r="N536" s="22">
        <f>IF(OR(H536="",L536="Cancelled"),"",IF(N(E536)=0,1,E536)*IFERROR(INDEX(Products!$E$6:$E$105,MATCH(D536,Products!$B$6:$B$105,0)),0))</f>
        <v/>
      </c>
      <c r="O536" s="35" t="n"/>
      <c r="P536" s="22">
        <f>IF(OR(H536="",L536="Cancelled"),"",ROUND(IFERROR(H536*INDEX(Settings!$C$6:$C$15,MATCH(M536,Settings!$B$6:$B$15,0))+INDEX(Settings!$D$6:$D$15,MATCH(M536,Settings!$B$6:$B$15,0)),0),2))</f>
        <v/>
      </c>
      <c r="Q536" s="28">
        <f>IF(OR(H536="",L536="Cancelled"),"",H536-N(N536)-N(O536)-N(P536))</f>
        <v/>
      </c>
      <c r="R536" s="19">
        <f>IF(OR(B536="",K536=""),"",IF(OR(L536="Sent",L536="Picked up"),"Done",IF(L536="Cancelled","Cancelled",IF(K536&lt;TODAY(),"Late by "&amp;(TODAY()-K536)&amp;IF((TODAY()-K536)=1," day"," days"),IF(K536=TODAY(),"Due today","Due in "&amp;(K536-TODAY())&amp;IF((K536-TODAY())=1," day"," days"))))))</f>
        <v/>
      </c>
      <c r="S536" s="33" t="n"/>
      <c r="T536" s="1">
        <f>IF(AND(B536&lt;&gt;"",K536&lt;&gt;"",L536&lt;&gt;"Sent",L536&lt;&gt;"Picked up",L536&lt;&gt;"Cancelled"),K536+ROW()/10000000,"")</f>
        <v/>
      </c>
      <c r="U536">
        <f>IF(OR(B536="",C536=""),"",B536+ROW()/10000000)</f>
        <v/>
      </c>
      <c r="V536">
        <f>IF(U536="","",IF(COUNTIFS(Orders!$C$6:$C$1005,C536,Orders!$U$6:$U$1005,"&gt;"&amp;U536)=0,1,0))</f>
        <v/>
      </c>
      <c r="W536">
        <f>IF(AND(B536&lt;&gt;"",K536&lt;&gt;"",L536&lt;&gt;"Sent",L536&lt;&gt;"Picked up",L536&lt;&gt;"Cancelled"),IF(N(E536)=0,1,E536),0)</f>
        <v/>
      </c>
      <c r="X536">
        <f>IF(OR(B536="",D536=""),"",IF(N(E536)=0,1,E536))</f>
        <v/>
      </c>
    </row>
    <row r="537">
      <c r="A537" s="1" t="n"/>
      <c r="B537" s="31" t="n"/>
      <c r="C537" s="32" t="n"/>
      <c r="D537" s="33" t="n"/>
      <c r="E537" s="34" t="n"/>
      <c r="F537" s="35" t="n"/>
      <c r="G537" s="35" t="n"/>
      <c r="H537" s="30">
        <f>IF(OR(B537="",D537=""),"",IF(N(E537)=0,1,E537)*IFERROR(INDEX(Products!$C$6:$C$105,MATCH(D537,Products!$B$6:$B$105,0)),0)+N(F537)+N(G537))</f>
        <v/>
      </c>
      <c r="I537" s="35" t="n"/>
      <c r="J537" s="30">
        <f>IF(OR(H537="",L537="Cancelled"),"",IF(H537-N(I537)&gt;0.005,H537-N(I537),""))</f>
        <v/>
      </c>
      <c r="K537" s="31" t="n"/>
      <c r="L537" s="36" t="n"/>
      <c r="M537" s="33" t="n"/>
      <c r="N537" s="22">
        <f>IF(OR(H537="",L537="Cancelled"),"",IF(N(E537)=0,1,E537)*IFERROR(INDEX(Products!$E$6:$E$105,MATCH(D537,Products!$B$6:$B$105,0)),0))</f>
        <v/>
      </c>
      <c r="O537" s="35" t="n"/>
      <c r="P537" s="22">
        <f>IF(OR(H537="",L537="Cancelled"),"",ROUND(IFERROR(H537*INDEX(Settings!$C$6:$C$15,MATCH(M537,Settings!$B$6:$B$15,0))+INDEX(Settings!$D$6:$D$15,MATCH(M537,Settings!$B$6:$B$15,0)),0),2))</f>
        <v/>
      </c>
      <c r="Q537" s="28">
        <f>IF(OR(H537="",L537="Cancelled"),"",H537-N(N537)-N(O537)-N(P537))</f>
        <v/>
      </c>
      <c r="R537" s="19">
        <f>IF(OR(B537="",K537=""),"",IF(OR(L537="Sent",L537="Picked up"),"Done",IF(L537="Cancelled","Cancelled",IF(K537&lt;TODAY(),"Late by "&amp;(TODAY()-K537)&amp;IF((TODAY()-K537)=1," day"," days"),IF(K537=TODAY(),"Due today","Due in "&amp;(K537-TODAY())&amp;IF((K537-TODAY())=1," day"," days"))))))</f>
        <v/>
      </c>
      <c r="S537" s="33" t="n"/>
      <c r="T537" s="1">
        <f>IF(AND(B537&lt;&gt;"",K537&lt;&gt;"",L537&lt;&gt;"Sent",L537&lt;&gt;"Picked up",L537&lt;&gt;"Cancelled"),K537+ROW()/10000000,"")</f>
        <v/>
      </c>
      <c r="U537">
        <f>IF(OR(B537="",C537=""),"",B537+ROW()/10000000)</f>
        <v/>
      </c>
      <c r="V537">
        <f>IF(U537="","",IF(COUNTIFS(Orders!$C$6:$C$1005,C537,Orders!$U$6:$U$1005,"&gt;"&amp;U537)=0,1,0))</f>
        <v/>
      </c>
      <c r="W537">
        <f>IF(AND(B537&lt;&gt;"",K537&lt;&gt;"",L537&lt;&gt;"Sent",L537&lt;&gt;"Picked up",L537&lt;&gt;"Cancelled"),IF(N(E537)=0,1,E537),0)</f>
        <v/>
      </c>
      <c r="X537">
        <f>IF(OR(B537="",D537=""),"",IF(N(E537)=0,1,E537))</f>
        <v/>
      </c>
    </row>
    <row r="538">
      <c r="A538" s="1" t="n"/>
      <c r="B538" s="31" t="n"/>
      <c r="C538" s="32" t="n"/>
      <c r="D538" s="33" t="n"/>
      <c r="E538" s="34" t="n"/>
      <c r="F538" s="35" t="n"/>
      <c r="G538" s="35" t="n"/>
      <c r="H538" s="30">
        <f>IF(OR(B538="",D538=""),"",IF(N(E538)=0,1,E538)*IFERROR(INDEX(Products!$C$6:$C$105,MATCH(D538,Products!$B$6:$B$105,0)),0)+N(F538)+N(G538))</f>
        <v/>
      </c>
      <c r="I538" s="35" t="n"/>
      <c r="J538" s="30">
        <f>IF(OR(H538="",L538="Cancelled"),"",IF(H538-N(I538)&gt;0.005,H538-N(I538),""))</f>
        <v/>
      </c>
      <c r="K538" s="31" t="n"/>
      <c r="L538" s="36" t="n"/>
      <c r="M538" s="33" t="n"/>
      <c r="N538" s="22">
        <f>IF(OR(H538="",L538="Cancelled"),"",IF(N(E538)=0,1,E538)*IFERROR(INDEX(Products!$E$6:$E$105,MATCH(D538,Products!$B$6:$B$105,0)),0))</f>
        <v/>
      </c>
      <c r="O538" s="35" t="n"/>
      <c r="P538" s="22">
        <f>IF(OR(H538="",L538="Cancelled"),"",ROUND(IFERROR(H538*INDEX(Settings!$C$6:$C$15,MATCH(M538,Settings!$B$6:$B$15,0))+INDEX(Settings!$D$6:$D$15,MATCH(M538,Settings!$B$6:$B$15,0)),0),2))</f>
        <v/>
      </c>
      <c r="Q538" s="28">
        <f>IF(OR(H538="",L538="Cancelled"),"",H538-N(N538)-N(O538)-N(P538))</f>
        <v/>
      </c>
      <c r="R538" s="19">
        <f>IF(OR(B538="",K538=""),"",IF(OR(L538="Sent",L538="Picked up"),"Done",IF(L538="Cancelled","Cancelled",IF(K538&lt;TODAY(),"Late by "&amp;(TODAY()-K538)&amp;IF((TODAY()-K538)=1," day"," days"),IF(K538=TODAY(),"Due today","Due in "&amp;(K538-TODAY())&amp;IF((K538-TODAY())=1," day"," days"))))))</f>
        <v/>
      </c>
      <c r="S538" s="33" t="n"/>
      <c r="T538" s="1">
        <f>IF(AND(B538&lt;&gt;"",K538&lt;&gt;"",L538&lt;&gt;"Sent",L538&lt;&gt;"Picked up",L538&lt;&gt;"Cancelled"),K538+ROW()/10000000,"")</f>
        <v/>
      </c>
      <c r="U538">
        <f>IF(OR(B538="",C538=""),"",B538+ROW()/10000000)</f>
        <v/>
      </c>
      <c r="V538">
        <f>IF(U538="","",IF(COUNTIFS(Orders!$C$6:$C$1005,C538,Orders!$U$6:$U$1005,"&gt;"&amp;U538)=0,1,0))</f>
        <v/>
      </c>
      <c r="W538">
        <f>IF(AND(B538&lt;&gt;"",K538&lt;&gt;"",L538&lt;&gt;"Sent",L538&lt;&gt;"Picked up",L538&lt;&gt;"Cancelled"),IF(N(E538)=0,1,E538),0)</f>
        <v/>
      </c>
      <c r="X538">
        <f>IF(OR(B538="",D538=""),"",IF(N(E538)=0,1,E538))</f>
        <v/>
      </c>
    </row>
    <row r="539">
      <c r="A539" s="1" t="n"/>
      <c r="B539" s="31" t="n"/>
      <c r="C539" s="32" t="n"/>
      <c r="D539" s="33" t="n"/>
      <c r="E539" s="34" t="n"/>
      <c r="F539" s="35" t="n"/>
      <c r="G539" s="35" t="n"/>
      <c r="H539" s="30">
        <f>IF(OR(B539="",D539=""),"",IF(N(E539)=0,1,E539)*IFERROR(INDEX(Products!$C$6:$C$105,MATCH(D539,Products!$B$6:$B$105,0)),0)+N(F539)+N(G539))</f>
        <v/>
      </c>
      <c r="I539" s="35" t="n"/>
      <c r="J539" s="30">
        <f>IF(OR(H539="",L539="Cancelled"),"",IF(H539-N(I539)&gt;0.005,H539-N(I539),""))</f>
        <v/>
      </c>
      <c r="K539" s="31" t="n"/>
      <c r="L539" s="36" t="n"/>
      <c r="M539" s="33" t="n"/>
      <c r="N539" s="22">
        <f>IF(OR(H539="",L539="Cancelled"),"",IF(N(E539)=0,1,E539)*IFERROR(INDEX(Products!$E$6:$E$105,MATCH(D539,Products!$B$6:$B$105,0)),0))</f>
        <v/>
      </c>
      <c r="O539" s="35" t="n"/>
      <c r="P539" s="22">
        <f>IF(OR(H539="",L539="Cancelled"),"",ROUND(IFERROR(H539*INDEX(Settings!$C$6:$C$15,MATCH(M539,Settings!$B$6:$B$15,0))+INDEX(Settings!$D$6:$D$15,MATCH(M539,Settings!$B$6:$B$15,0)),0),2))</f>
        <v/>
      </c>
      <c r="Q539" s="28">
        <f>IF(OR(H539="",L539="Cancelled"),"",H539-N(N539)-N(O539)-N(P539))</f>
        <v/>
      </c>
      <c r="R539" s="19">
        <f>IF(OR(B539="",K539=""),"",IF(OR(L539="Sent",L539="Picked up"),"Done",IF(L539="Cancelled","Cancelled",IF(K539&lt;TODAY(),"Late by "&amp;(TODAY()-K539)&amp;IF((TODAY()-K539)=1," day"," days"),IF(K539=TODAY(),"Due today","Due in "&amp;(K539-TODAY())&amp;IF((K539-TODAY())=1," day"," days"))))))</f>
        <v/>
      </c>
      <c r="S539" s="33" t="n"/>
      <c r="T539" s="1">
        <f>IF(AND(B539&lt;&gt;"",K539&lt;&gt;"",L539&lt;&gt;"Sent",L539&lt;&gt;"Picked up",L539&lt;&gt;"Cancelled"),K539+ROW()/10000000,"")</f>
        <v/>
      </c>
      <c r="U539">
        <f>IF(OR(B539="",C539=""),"",B539+ROW()/10000000)</f>
        <v/>
      </c>
      <c r="V539">
        <f>IF(U539="","",IF(COUNTIFS(Orders!$C$6:$C$1005,C539,Orders!$U$6:$U$1005,"&gt;"&amp;U539)=0,1,0))</f>
        <v/>
      </c>
      <c r="W539">
        <f>IF(AND(B539&lt;&gt;"",K539&lt;&gt;"",L539&lt;&gt;"Sent",L539&lt;&gt;"Picked up",L539&lt;&gt;"Cancelled"),IF(N(E539)=0,1,E539),0)</f>
        <v/>
      </c>
      <c r="X539">
        <f>IF(OR(B539="",D539=""),"",IF(N(E539)=0,1,E539))</f>
        <v/>
      </c>
    </row>
    <row r="540">
      <c r="A540" s="1" t="n"/>
      <c r="B540" s="31" t="n"/>
      <c r="C540" s="32" t="n"/>
      <c r="D540" s="33" t="n"/>
      <c r="E540" s="34" t="n"/>
      <c r="F540" s="35" t="n"/>
      <c r="G540" s="35" t="n"/>
      <c r="H540" s="30">
        <f>IF(OR(B540="",D540=""),"",IF(N(E540)=0,1,E540)*IFERROR(INDEX(Products!$C$6:$C$105,MATCH(D540,Products!$B$6:$B$105,0)),0)+N(F540)+N(G540))</f>
        <v/>
      </c>
      <c r="I540" s="35" t="n"/>
      <c r="J540" s="30">
        <f>IF(OR(H540="",L540="Cancelled"),"",IF(H540-N(I540)&gt;0.005,H540-N(I540),""))</f>
        <v/>
      </c>
      <c r="K540" s="31" t="n"/>
      <c r="L540" s="36" t="n"/>
      <c r="M540" s="33" t="n"/>
      <c r="N540" s="22">
        <f>IF(OR(H540="",L540="Cancelled"),"",IF(N(E540)=0,1,E540)*IFERROR(INDEX(Products!$E$6:$E$105,MATCH(D540,Products!$B$6:$B$105,0)),0))</f>
        <v/>
      </c>
      <c r="O540" s="35" t="n"/>
      <c r="P540" s="22">
        <f>IF(OR(H540="",L540="Cancelled"),"",ROUND(IFERROR(H540*INDEX(Settings!$C$6:$C$15,MATCH(M540,Settings!$B$6:$B$15,0))+INDEX(Settings!$D$6:$D$15,MATCH(M540,Settings!$B$6:$B$15,0)),0),2))</f>
        <v/>
      </c>
      <c r="Q540" s="28">
        <f>IF(OR(H540="",L540="Cancelled"),"",H540-N(N540)-N(O540)-N(P540))</f>
        <v/>
      </c>
      <c r="R540" s="19">
        <f>IF(OR(B540="",K540=""),"",IF(OR(L540="Sent",L540="Picked up"),"Done",IF(L540="Cancelled","Cancelled",IF(K540&lt;TODAY(),"Late by "&amp;(TODAY()-K540)&amp;IF((TODAY()-K540)=1," day"," days"),IF(K540=TODAY(),"Due today","Due in "&amp;(K540-TODAY())&amp;IF((K540-TODAY())=1," day"," days"))))))</f>
        <v/>
      </c>
      <c r="S540" s="33" t="n"/>
      <c r="T540" s="1">
        <f>IF(AND(B540&lt;&gt;"",K540&lt;&gt;"",L540&lt;&gt;"Sent",L540&lt;&gt;"Picked up",L540&lt;&gt;"Cancelled"),K540+ROW()/10000000,"")</f>
        <v/>
      </c>
      <c r="U540">
        <f>IF(OR(B540="",C540=""),"",B540+ROW()/10000000)</f>
        <v/>
      </c>
      <c r="V540">
        <f>IF(U540="","",IF(COUNTIFS(Orders!$C$6:$C$1005,C540,Orders!$U$6:$U$1005,"&gt;"&amp;U540)=0,1,0))</f>
        <v/>
      </c>
      <c r="W540">
        <f>IF(AND(B540&lt;&gt;"",K540&lt;&gt;"",L540&lt;&gt;"Sent",L540&lt;&gt;"Picked up",L540&lt;&gt;"Cancelled"),IF(N(E540)=0,1,E540),0)</f>
        <v/>
      </c>
      <c r="X540">
        <f>IF(OR(B540="",D540=""),"",IF(N(E540)=0,1,E540))</f>
        <v/>
      </c>
    </row>
    <row r="541">
      <c r="A541" s="1" t="n"/>
      <c r="B541" s="31" t="n"/>
      <c r="C541" s="32" t="n"/>
      <c r="D541" s="33" t="n"/>
      <c r="E541" s="34" t="n"/>
      <c r="F541" s="35" t="n"/>
      <c r="G541" s="35" t="n"/>
      <c r="H541" s="30">
        <f>IF(OR(B541="",D541=""),"",IF(N(E541)=0,1,E541)*IFERROR(INDEX(Products!$C$6:$C$105,MATCH(D541,Products!$B$6:$B$105,0)),0)+N(F541)+N(G541))</f>
        <v/>
      </c>
      <c r="I541" s="35" t="n"/>
      <c r="J541" s="30">
        <f>IF(OR(H541="",L541="Cancelled"),"",IF(H541-N(I541)&gt;0.005,H541-N(I541),""))</f>
        <v/>
      </c>
      <c r="K541" s="31" t="n"/>
      <c r="L541" s="36" t="n"/>
      <c r="M541" s="33" t="n"/>
      <c r="N541" s="22">
        <f>IF(OR(H541="",L541="Cancelled"),"",IF(N(E541)=0,1,E541)*IFERROR(INDEX(Products!$E$6:$E$105,MATCH(D541,Products!$B$6:$B$105,0)),0))</f>
        <v/>
      </c>
      <c r="O541" s="35" t="n"/>
      <c r="P541" s="22">
        <f>IF(OR(H541="",L541="Cancelled"),"",ROUND(IFERROR(H541*INDEX(Settings!$C$6:$C$15,MATCH(M541,Settings!$B$6:$B$15,0))+INDEX(Settings!$D$6:$D$15,MATCH(M541,Settings!$B$6:$B$15,0)),0),2))</f>
        <v/>
      </c>
      <c r="Q541" s="28">
        <f>IF(OR(H541="",L541="Cancelled"),"",H541-N(N541)-N(O541)-N(P541))</f>
        <v/>
      </c>
      <c r="R541" s="19">
        <f>IF(OR(B541="",K541=""),"",IF(OR(L541="Sent",L541="Picked up"),"Done",IF(L541="Cancelled","Cancelled",IF(K541&lt;TODAY(),"Late by "&amp;(TODAY()-K541)&amp;IF((TODAY()-K541)=1," day"," days"),IF(K541=TODAY(),"Due today","Due in "&amp;(K541-TODAY())&amp;IF((K541-TODAY())=1," day"," days"))))))</f>
        <v/>
      </c>
      <c r="S541" s="33" t="n"/>
      <c r="T541" s="1">
        <f>IF(AND(B541&lt;&gt;"",K541&lt;&gt;"",L541&lt;&gt;"Sent",L541&lt;&gt;"Picked up",L541&lt;&gt;"Cancelled"),K541+ROW()/10000000,"")</f>
        <v/>
      </c>
      <c r="U541">
        <f>IF(OR(B541="",C541=""),"",B541+ROW()/10000000)</f>
        <v/>
      </c>
      <c r="V541">
        <f>IF(U541="","",IF(COUNTIFS(Orders!$C$6:$C$1005,C541,Orders!$U$6:$U$1005,"&gt;"&amp;U541)=0,1,0))</f>
        <v/>
      </c>
      <c r="W541">
        <f>IF(AND(B541&lt;&gt;"",K541&lt;&gt;"",L541&lt;&gt;"Sent",L541&lt;&gt;"Picked up",L541&lt;&gt;"Cancelled"),IF(N(E541)=0,1,E541),0)</f>
        <v/>
      </c>
      <c r="X541">
        <f>IF(OR(B541="",D541=""),"",IF(N(E541)=0,1,E541))</f>
        <v/>
      </c>
    </row>
    <row r="542">
      <c r="A542" s="1" t="n"/>
      <c r="B542" s="31" t="n"/>
      <c r="C542" s="32" t="n"/>
      <c r="D542" s="33" t="n"/>
      <c r="E542" s="34" t="n"/>
      <c r="F542" s="35" t="n"/>
      <c r="G542" s="35" t="n"/>
      <c r="H542" s="30">
        <f>IF(OR(B542="",D542=""),"",IF(N(E542)=0,1,E542)*IFERROR(INDEX(Products!$C$6:$C$105,MATCH(D542,Products!$B$6:$B$105,0)),0)+N(F542)+N(G542))</f>
        <v/>
      </c>
      <c r="I542" s="35" t="n"/>
      <c r="J542" s="30">
        <f>IF(OR(H542="",L542="Cancelled"),"",IF(H542-N(I542)&gt;0.005,H542-N(I542),""))</f>
        <v/>
      </c>
      <c r="K542" s="31" t="n"/>
      <c r="L542" s="36" t="n"/>
      <c r="M542" s="33" t="n"/>
      <c r="N542" s="22">
        <f>IF(OR(H542="",L542="Cancelled"),"",IF(N(E542)=0,1,E542)*IFERROR(INDEX(Products!$E$6:$E$105,MATCH(D542,Products!$B$6:$B$105,0)),0))</f>
        <v/>
      </c>
      <c r="O542" s="35" t="n"/>
      <c r="P542" s="22">
        <f>IF(OR(H542="",L542="Cancelled"),"",ROUND(IFERROR(H542*INDEX(Settings!$C$6:$C$15,MATCH(M542,Settings!$B$6:$B$15,0))+INDEX(Settings!$D$6:$D$15,MATCH(M542,Settings!$B$6:$B$15,0)),0),2))</f>
        <v/>
      </c>
      <c r="Q542" s="28">
        <f>IF(OR(H542="",L542="Cancelled"),"",H542-N(N542)-N(O542)-N(P542))</f>
        <v/>
      </c>
      <c r="R542" s="19">
        <f>IF(OR(B542="",K542=""),"",IF(OR(L542="Sent",L542="Picked up"),"Done",IF(L542="Cancelled","Cancelled",IF(K542&lt;TODAY(),"Late by "&amp;(TODAY()-K542)&amp;IF((TODAY()-K542)=1," day"," days"),IF(K542=TODAY(),"Due today","Due in "&amp;(K542-TODAY())&amp;IF((K542-TODAY())=1," day"," days"))))))</f>
        <v/>
      </c>
      <c r="S542" s="33" t="n"/>
      <c r="T542" s="1">
        <f>IF(AND(B542&lt;&gt;"",K542&lt;&gt;"",L542&lt;&gt;"Sent",L542&lt;&gt;"Picked up",L542&lt;&gt;"Cancelled"),K542+ROW()/10000000,"")</f>
        <v/>
      </c>
      <c r="U542">
        <f>IF(OR(B542="",C542=""),"",B542+ROW()/10000000)</f>
        <v/>
      </c>
      <c r="V542">
        <f>IF(U542="","",IF(COUNTIFS(Orders!$C$6:$C$1005,C542,Orders!$U$6:$U$1005,"&gt;"&amp;U542)=0,1,0))</f>
        <v/>
      </c>
      <c r="W542">
        <f>IF(AND(B542&lt;&gt;"",K542&lt;&gt;"",L542&lt;&gt;"Sent",L542&lt;&gt;"Picked up",L542&lt;&gt;"Cancelled"),IF(N(E542)=0,1,E542),0)</f>
        <v/>
      </c>
      <c r="X542">
        <f>IF(OR(B542="",D542=""),"",IF(N(E542)=0,1,E542))</f>
        <v/>
      </c>
    </row>
    <row r="543">
      <c r="A543" s="1" t="n"/>
      <c r="B543" s="31" t="n"/>
      <c r="C543" s="32" t="n"/>
      <c r="D543" s="33" t="n"/>
      <c r="E543" s="34" t="n"/>
      <c r="F543" s="35" t="n"/>
      <c r="G543" s="35" t="n"/>
      <c r="H543" s="30">
        <f>IF(OR(B543="",D543=""),"",IF(N(E543)=0,1,E543)*IFERROR(INDEX(Products!$C$6:$C$105,MATCH(D543,Products!$B$6:$B$105,0)),0)+N(F543)+N(G543))</f>
        <v/>
      </c>
      <c r="I543" s="35" t="n"/>
      <c r="J543" s="30">
        <f>IF(OR(H543="",L543="Cancelled"),"",IF(H543-N(I543)&gt;0.005,H543-N(I543),""))</f>
        <v/>
      </c>
      <c r="K543" s="31" t="n"/>
      <c r="L543" s="36" t="n"/>
      <c r="M543" s="33" t="n"/>
      <c r="N543" s="22">
        <f>IF(OR(H543="",L543="Cancelled"),"",IF(N(E543)=0,1,E543)*IFERROR(INDEX(Products!$E$6:$E$105,MATCH(D543,Products!$B$6:$B$105,0)),0))</f>
        <v/>
      </c>
      <c r="O543" s="35" t="n"/>
      <c r="P543" s="22">
        <f>IF(OR(H543="",L543="Cancelled"),"",ROUND(IFERROR(H543*INDEX(Settings!$C$6:$C$15,MATCH(M543,Settings!$B$6:$B$15,0))+INDEX(Settings!$D$6:$D$15,MATCH(M543,Settings!$B$6:$B$15,0)),0),2))</f>
        <v/>
      </c>
      <c r="Q543" s="28">
        <f>IF(OR(H543="",L543="Cancelled"),"",H543-N(N543)-N(O543)-N(P543))</f>
        <v/>
      </c>
      <c r="R543" s="19">
        <f>IF(OR(B543="",K543=""),"",IF(OR(L543="Sent",L543="Picked up"),"Done",IF(L543="Cancelled","Cancelled",IF(K543&lt;TODAY(),"Late by "&amp;(TODAY()-K543)&amp;IF((TODAY()-K543)=1," day"," days"),IF(K543=TODAY(),"Due today","Due in "&amp;(K543-TODAY())&amp;IF((K543-TODAY())=1," day"," days"))))))</f>
        <v/>
      </c>
      <c r="S543" s="33" t="n"/>
      <c r="T543" s="1">
        <f>IF(AND(B543&lt;&gt;"",K543&lt;&gt;"",L543&lt;&gt;"Sent",L543&lt;&gt;"Picked up",L543&lt;&gt;"Cancelled"),K543+ROW()/10000000,"")</f>
        <v/>
      </c>
      <c r="U543">
        <f>IF(OR(B543="",C543=""),"",B543+ROW()/10000000)</f>
        <v/>
      </c>
      <c r="V543">
        <f>IF(U543="","",IF(COUNTIFS(Orders!$C$6:$C$1005,C543,Orders!$U$6:$U$1005,"&gt;"&amp;U543)=0,1,0))</f>
        <v/>
      </c>
      <c r="W543">
        <f>IF(AND(B543&lt;&gt;"",K543&lt;&gt;"",L543&lt;&gt;"Sent",L543&lt;&gt;"Picked up",L543&lt;&gt;"Cancelled"),IF(N(E543)=0,1,E543),0)</f>
        <v/>
      </c>
      <c r="X543">
        <f>IF(OR(B543="",D543=""),"",IF(N(E543)=0,1,E543))</f>
        <v/>
      </c>
    </row>
    <row r="544">
      <c r="A544" s="1" t="n"/>
      <c r="B544" s="31" t="n"/>
      <c r="C544" s="32" t="n"/>
      <c r="D544" s="33" t="n"/>
      <c r="E544" s="34" t="n"/>
      <c r="F544" s="35" t="n"/>
      <c r="G544" s="35" t="n"/>
      <c r="H544" s="30">
        <f>IF(OR(B544="",D544=""),"",IF(N(E544)=0,1,E544)*IFERROR(INDEX(Products!$C$6:$C$105,MATCH(D544,Products!$B$6:$B$105,0)),0)+N(F544)+N(G544))</f>
        <v/>
      </c>
      <c r="I544" s="35" t="n"/>
      <c r="J544" s="30">
        <f>IF(OR(H544="",L544="Cancelled"),"",IF(H544-N(I544)&gt;0.005,H544-N(I544),""))</f>
        <v/>
      </c>
      <c r="K544" s="31" t="n"/>
      <c r="L544" s="36" t="n"/>
      <c r="M544" s="33" t="n"/>
      <c r="N544" s="22">
        <f>IF(OR(H544="",L544="Cancelled"),"",IF(N(E544)=0,1,E544)*IFERROR(INDEX(Products!$E$6:$E$105,MATCH(D544,Products!$B$6:$B$105,0)),0))</f>
        <v/>
      </c>
      <c r="O544" s="35" t="n"/>
      <c r="P544" s="22">
        <f>IF(OR(H544="",L544="Cancelled"),"",ROUND(IFERROR(H544*INDEX(Settings!$C$6:$C$15,MATCH(M544,Settings!$B$6:$B$15,0))+INDEX(Settings!$D$6:$D$15,MATCH(M544,Settings!$B$6:$B$15,0)),0),2))</f>
        <v/>
      </c>
      <c r="Q544" s="28">
        <f>IF(OR(H544="",L544="Cancelled"),"",H544-N(N544)-N(O544)-N(P544))</f>
        <v/>
      </c>
      <c r="R544" s="19">
        <f>IF(OR(B544="",K544=""),"",IF(OR(L544="Sent",L544="Picked up"),"Done",IF(L544="Cancelled","Cancelled",IF(K544&lt;TODAY(),"Late by "&amp;(TODAY()-K544)&amp;IF((TODAY()-K544)=1," day"," days"),IF(K544=TODAY(),"Due today","Due in "&amp;(K544-TODAY())&amp;IF((K544-TODAY())=1," day"," days"))))))</f>
        <v/>
      </c>
      <c r="S544" s="33" t="n"/>
      <c r="T544" s="1">
        <f>IF(AND(B544&lt;&gt;"",K544&lt;&gt;"",L544&lt;&gt;"Sent",L544&lt;&gt;"Picked up",L544&lt;&gt;"Cancelled"),K544+ROW()/10000000,"")</f>
        <v/>
      </c>
      <c r="U544">
        <f>IF(OR(B544="",C544=""),"",B544+ROW()/10000000)</f>
        <v/>
      </c>
      <c r="V544">
        <f>IF(U544="","",IF(COUNTIFS(Orders!$C$6:$C$1005,C544,Orders!$U$6:$U$1005,"&gt;"&amp;U544)=0,1,0))</f>
        <v/>
      </c>
      <c r="W544">
        <f>IF(AND(B544&lt;&gt;"",K544&lt;&gt;"",L544&lt;&gt;"Sent",L544&lt;&gt;"Picked up",L544&lt;&gt;"Cancelled"),IF(N(E544)=0,1,E544),0)</f>
        <v/>
      </c>
      <c r="X544">
        <f>IF(OR(B544="",D544=""),"",IF(N(E544)=0,1,E544))</f>
        <v/>
      </c>
    </row>
    <row r="545">
      <c r="A545" s="1" t="n"/>
      <c r="B545" s="31" t="n"/>
      <c r="C545" s="32" t="n"/>
      <c r="D545" s="33" t="n"/>
      <c r="E545" s="34" t="n"/>
      <c r="F545" s="35" t="n"/>
      <c r="G545" s="35" t="n"/>
      <c r="H545" s="30">
        <f>IF(OR(B545="",D545=""),"",IF(N(E545)=0,1,E545)*IFERROR(INDEX(Products!$C$6:$C$105,MATCH(D545,Products!$B$6:$B$105,0)),0)+N(F545)+N(G545))</f>
        <v/>
      </c>
      <c r="I545" s="35" t="n"/>
      <c r="J545" s="30">
        <f>IF(OR(H545="",L545="Cancelled"),"",IF(H545-N(I545)&gt;0.005,H545-N(I545),""))</f>
        <v/>
      </c>
      <c r="K545" s="31" t="n"/>
      <c r="L545" s="36" t="n"/>
      <c r="M545" s="33" t="n"/>
      <c r="N545" s="22">
        <f>IF(OR(H545="",L545="Cancelled"),"",IF(N(E545)=0,1,E545)*IFERROR(INDEX(Products!$E$6:$E$105,MATCH(D545,Products!$B$6:$B$105,0)),0))</f>
        <v/>
      </c>
      <c r="O545" s="35" t="n"/>
      <c r="P545" s="22">
        <f>IF(OR(H545="",L545="Cancelled"),"",ROUND(IFERROR(H545*INDEX(Settings!$C$6:$C$15,MATCH(M545,Settings!$B$6:$B$15,0))+INDEX(Settings!$D$6:$D$15,MATCH(M545,Settings!$B$6:$B$15,0)),0),2))</f>
        <v/>
      </c>
      <c r="Q545" s="28">
        <f>IF(OR(H545="",L545="Cancelled"),"",H545-N(N545)-N(O545)-N(P545))</f>
        <v/>
      </c>
      <c r="R545" s="19">
        <f>IF(OR(B545="",K545=""),"",IF(OR(L545="Sent",L545="Picked up"),"Done",IF(L545="Cancelled","Cancelled",IF(K545&lt;TODAY(),"Late by "&amp;(TODAY()-K545)&amp;IF((TODAY()-K545)=1," day"," days"),IF(K545=TODAY(),"Due today","Due in "&amp;(K545-TODAY())&amp;IF((K545-TODAY())=1," day"," days"))))))</f>
        <v/>
      </c>
      <c r="S545" s="33" t="n"/>
      <c r="T545" s="1">
        <f>IF(AND(B545&lt;&gt;"",K545&lt;&gt;"",L545&lt;&gt;"Sent",L545&lt;&gt;"Picked up",L545&lt;&gt;"Cancelled"),K545+ROW()/10000000,"")</f>
        <v/>
      </c>
      <c r="U545">
        <f>IF(OR(B545="",C545=""),"",B545+ROW()/10000000)</f>
        <v/>
      </c>
      <c r="V545">
        <f>IF(U545="","",IF(COUNTIFS(Orders!$C$6:$C$1005,C545,Orders!$U$6:$U$1005,"&gt;"&amp;U545)=0,1,0))</f>
        <v/>
      </c>
      <c r="W545">
        <f>IF(AND(B545&lt;&gt;"",K545&lt;&gt;"",L545&lt;&gt;"Sent",L545&lt;&gt;"Picked up",L545&lt;&gt;"Cancelled"),IF(N(E545)=0,1,E545),0)</f>
        <v/>
      </c>
      <c r="X545">
        <f>IF(OR(B545="",D545=""),"",IF(N(E545)=0,1,E545))</f>
        <v/>
      </c>
    </row>
    <row r="546">
      <c r="A546" s="1" t="n"/>
      <c r="B546" s="31" t="n"/>
      <c r="C546" s="32" t="n"/>
      <c r="D546" s="33" t="n"/>
      <c r="E546" s="34" t="n"/>
      <c r="F546" s="35" t="n"/>
      <c r="G546" s="35" t="n"/>
      <c r="H546" s="30">
        <f>IF(OR(B546="",D546=""),"",IF(N(E546)=0,1,E546)*IFERROR(INDEX(Products!$C$6:$C$105,MATCH(D546,Products!$B$6:$B$105,0)),0)+N(F546)+N(G546))</f>
        <v/>
      </c>
      <c r="I546" s="35" t="n"/>
      <c r="J546" s="30">
        <f>IF(OR(H546="",L546="Cancelled"),"",IF(H546-N(I546)&gt;0.005,H546-N(I546),""))</f>
        <v/>
      </c>
      <c r="K546" s="31" t="n"/>
      <c r="L546" s="36" t="n"/>
      <c r="M546" s="33" t="n"/>
      <c r="N546" s="22">
        <f>IF(OR(H546="",L546="Cancelled"),"",IF(N(E546)=0,1,E546)*IFERROR(INDEX(Products!$E$6:$E$105,MATCH(D546,Products!$B$6:$B$105,0)),0))</f>
        <v/>
      </c>
      <c r="O546" s="35" t="n"/>
      <c r="P546" s="22">
        <f>IF(OR(H546="",L546="Cancelled"),"",ROUND(IFERROR(H546*INDEX(Settings!$C$6:$C$15,MATCH(M546,Settings!$B$6:$B$15,0))+INDEX(Settings!$D$6:$D$15,MATCH(M546,Settings!$B$6:$B$15,0)),0),2))</f>
        <v/>
      </c>
      <c r="Q546" s="28">
        <f>IF(OR(H546="",L546="Cancelled"),"",H546-N(N546)-N(O546)-N(P546))</f>
        <v/>
      </c>
      <c r="R546" s="19">
        <f>IF(OR(B546="",K546=""),"",IF(OR(L546="Sent",L546="Picked up"),"Done",IF(L546="Cancelled","Cancelled",IF(K546&lt;TODAY(),"Late by "&amp;(TODAY()-K546)&amp;IF((TODAY()-K546)=1," day"," days"),IF(K546=TODAY(),"Due today","Due in "&amp;(K546-TODAY())&amp;IF((K546-TODAY())=1," day"," days"))))))</f>
        <v/>
      </c>
      <c r="S546" s="33" t="n"/>
      <c r="T546" s="1">
        <f>IF(AND(B546&lt;&gt;"",K546&lt;&gt;"",L546&lt;&gt;"Sent",L546&lt;&gt;"Picked up",L546&lt;&gt;"Cancelled"),K546+ROW()/10000000,"")</f>
        <v/>
      </c>
      <c r="U546">
        <f>IF(OR(B546="",C546=""),"",B546+ROW()/10000000)</f>
        <v/>
      </c>
      <c r="V546">
        <f>IF(U546="","",IF(COUNTIFS(Orders!$C$6:$C$1005,C546,Orders!$U$6:$U$1005,"&gt;"&amp;U546)=0,1,0))</f>
        <v/>
      </c>
      <c r="W546">
        <f>IF(AND(B546&lt;&gt;"",K546&lt;&gt;"",L546&lt;&gt;"Sent",L546&lt;&gt;"Picked up",L546&lt;&gt;"Cancelled"),IF(N(E546)=0,1,E546),0)</f>
        <v/>
      </c>
      <c r="X546">
        <f>IF(OR(B546="",D546=""),"",IF(N(E546)=0,1,E546))</f>
        <v/>
      </c>
    </row>
    <row r="547">
      <c r="A547" s="1" t="n"/>
      <c r="B547" s="31" t="n"/>
      <c r="C547" s="32" t="n"/>
      <c r="D547" s="33" t="n"/>
      <c r="E547" s="34" t="n"/>
      <c r="F547" s="35" t="n"/>
      <c r="G547" s="35" t="n"/>
      <c r="H547" s="30">
        <f>IF(OR(B547="",D547=""),"",IF(N(E547)=0,1,E547)*IFERROR(INDEX(Products!$C$6:$C$105,MATCH(D547,Products!$B$6:$B$105,0)),0)+N(F547)+N(G547))</f>
        <v/>
      </c>
      <c r="I547" s="35" t="n"/>
      <c r="J547" s="30">
        <f>IF(OR(H547="",L547="Cancelled"),"",IF(H547-N(I547)&gt;0.005,H547-N(I547),""))</f>
        <v/>
      </c>
      <c r="K547" s="31" t="n"/>
      <c r="L547" s="36" t="n"/>
      <c r="M547" s="33" t="n"/>
      <c r="N547" s="22">
        <f>IF(OR(H547="",L547="Cancelled"),"",IF(N(E547)=0,1,E547)*IFERROR(INDEX(Products!$E$6:$E$105,MATCH(D547,Products!$B$6:$B$105,0)),0))</f>
        <v/>
      </c>
      <c r="O547" s="35" t="n"/>
      <c r="P547" s="22">
        <f>IF(OR(H547="",L547="Cancelled"),"",ROUND(IFERROR(H547*INDEX(Settings!$C$6:$C$15,MATCH(M547,Settings!$B$6:$B$15,0))+INDEX(Settings!$D$6:$D$15,MATCH(M547,Settings!$B$6:$B$15,0)),0),2))</f>
        <v/>
      </c>
      <c r="Q547" s="28">
        <f>IF(OR(H547="",L547="Cancelled"),"",H547-N(N547)-N(O547)-N(P547))</f>
        <v/>
      </c>
      <c r="R547" s="19">
        <f>IF(OR(B547="",K547=""),"",IF(OR(L547="Sent",L547="Picked up"),"Done",IF(L547="Cancelled","Cancelled",IF(K547&lt;TODAY(),"Late by "&amp;(TODAY()-K547)&amp;IF((TODAY()-K547)=1," day"," days"),IF(K547=TODAY(),"Due today","Due in "&amp;(K547-TODAY())&amp;IF((K547-TODAY())=1," day"," days"))))))</f>
        <v/>
      </c>
      <c r="S547" s="33" t="n"/>
      <c r="T547" s="1">
        <f>IF(AND(B547&lt;&gt;"",K547&lt;&gt;"",L547&lt;&gt;"Sent",L547&lt;&gt;"Picked up",L547&lt;&gt;"Cancelled"),K547+ROW()/10000000,"")</f>
        <v/>
      </c>
      <c r="U547">
        <f>IF(OR(B547="",C547=""),"",B547+ROW()/10000000)</f>
        <v/>
      </c>
      <c r="V547">
        <f>IF(U547="","",IF(COUNTIFS(Orders!$C$6:$C$1005,C547,Orders!$U$6:$U$1005,"&gt;"&amp;U547)=0,1,0))</f>
        <v/>
      </c>
      <c r="W547">
        <f>IF(AND(B547&lt;&gt;"",K547&lt;&gt;"",L547&lt;&gt;"Sent",L547&lt;&gt;"Picked up",L547&lt;&gt;"Cancelled"),IF(N(E547)=0,1,E547),0)</f>
        <v/>
      </c>
      <c r="X547">
        <f>IF(OR(B547="",D547=""),"",IF(N(E547)=0,1,E547))</f>
        <v/>
      </c>
    </row>
    <row r="548">
      <c r="A548" s="1" t="n"/>
      <c r="B548" s="31" t="n"/>
      <c r="C548" s="32" t="n"/>
      <c r="D548" s="33" t="n"/>
      <c r="E548" s="34" t="n"/>
      <c r="F548" s="35" t="n"/>
      <c r="G548" s="35" t="n"/>
      <c r="H548" s="30">
        <f>IF(OR(B548="",D548=""),"",IF(N(E548)=0,1,E548)*IFERROR(INDEX(Products!$C$6:$C$105,MATCH(D548,Products!$B$6:$B$105,0)),0)+N(F548)+N(G548))</f>
        <v/>
      </c>
      <c r="I548" s="35" t="n"/>
      <c r="J548" s="30">
        <f>IF(OR(H548="",L548="Cancelled"),"",IF(H548-N(I548)&gt;0.005,H548-N(I548),""))</f>
        <v/>
      </c>
      <c r="K548" s="31" t="n"/>
      <c r="L548" s="36" t="n"/>
      <c r="M548" s="33" t="n"/>
      <c r="N548" s="22">
        <f>IF(OR(H548="",L548="Cancelled"),"",IF(N(E548)=0,1,E548)*IFERROR(INDEX(Products!$E$6:$E$105,MATCH(D548,Products!$B$6:$B$105,0)),0))</f>
        <v/>
      </c>
      <c r="O548" s="35" t="n"/>
      <c r="P548" s="22">
        <f>IF(OR(H548="",L548="Cancelled"),"",ROUND(IFERROR(H548*INDEX(Settings!$C$6:$C$15,MATCH(M548,Settings!$B$6:$B$15,0))+INDEX(Settings!$D$6:$D$15,MATCH(M548,Settings!$B$6:$B$15,0)),0),2))</f>
        <v/>
      </c>
      <c r="Q548" s="28">
        <f>IF(OR(H548="",L548="Cancelled"),"",H548-N(N548)-N(O548)-N(P548))</f>
        <v/>
      </c>
      <c r="R548" s="19">
        <f>IF(OR(B548="",K548=""),"",IF(OR(L548="Sent",L548="Picked up"),"Done",IF(L548="Cancelled","Cancelled",IF(K548&lt;TODAY(),"Late by "&amp;(TODAY()-K548)&amp;IF((TODAY()-K548)=1," day"," days"),IF(K548=TODAY(),"Due today","Due in "&amp;(K548-TODAY())&amp;IF((K548-TODAY())=1," day"," days"))))))</f>
        <v/>
      </c>
      <c r="S548" s="33" t="n"/>
      <c r="T548" s="1">
        <f>IF(AND(B548&lt;&gt;"",K548&lt;&gt;"",L548&lt;&gt;"Sent",L548&lt;&gt;"Picked up",L548&lt;&gt;"Cancelled"),K548+ROW()/10000000,"")</f>
        <v/>
      </c>
      <c r="U548">
        <f>IF(OR(B548="",C548=""),"",B548+ROW()/10000000)</f>
        <v/>
      </c>
      <c r="V548">
        <f>IF(U548="","",IF(COUNTIFS(Orders!$C$6:$C$1005,C548,Orders!$U$6:$U$1005,"&gt;"&amp;U548)=0,1,0))</f>
        <v/>
      </c>
      <c r="W548">
        <f>IF(AND(B548&lt;&gt;"",K548&lt;&gt;"",L548&lt;&gt;"Sent",L548&lt;&gt;"Picked up",L548&lt;&gt;"Cancelled"),IF(N(E548)=0,1,E548),0)</f>
        <v/>
      </c>
      <c r="X548">
        <f>IF(OR(B548="",D548=""),"",IF(N(E548)=0,1,E548))</f>
        <v/>
      </c>
    </row>
    <row r="549">
      <c r="A549" s="1" t="n"/>
      <c r="B549" s="31" t="n"/>
      <c r="C549" s="32" t="n"/>
      <c r="D549" s="33" t="n"/>
      <c r="E549" s="34" t="n"/>
      <c r="F549" s="35" t="n"/>
      <c r="G549" s="35" t="n"/>
      <c r="H549" s="30">
        <f>IF(OR(B549="",D549=""),"",IF(N(E549)=0,1,E549)*IFERROR(INDEX(Products!$C$6:$C$105,MATCH(D549,Products!$B$6:$B$105,0)),0)+N(F549)+N(G549))</f>
        <v/>
      </c>
      <c r="I549" s="35" t="n"/>
      <c r="J549" s="30">
        <f>IF(OR(H549="",L549="Cancelled"),"",IF(H549-N(I549)&gt;0.005,H549-N(I549),""))</f>
        <v/>
      </c>
      <c r="K549" s="31" t="n"/>
      <c r="L549" s="36" t="n"/>
      <c r="M549" s="33" t="n"/>
      <c r="N549" s="22">
        <f>IF(OR(H549="",L549="Cancelled"),"",IF(N(E549)=0,1,E549)*IFERROR(INDEX(Products!$E$6:$E$105,MATCH(D549,Products!$B$6:$B$105,0)),0))</f>
        <v/>
      </c>
      <c r="O549" s="35" t="n"/>
      <c r="P549" s="22">
        <f>IF(OR(H549="",L549="Cancelled"),"",ROUND(IFERROR(H549*INDEX(Settings!$C$6:$C$15,MATCH(M549,Settings!$B$6:$B$15,0))+INDEX(Settings!$D$6:$D$15,MATCH(M549,Settings!$B$6:$B$15,0)),0),2))</f>
        <v/>
      </c>
      <c r="Q549" s="28">
        <f>IF(OR(H549="",L549="Cancelled"),"",H549-N(N549)-N(O549)-N(P549))</f>
        <v/>
      </c>
      <c r="R549" s="19">
        <f>IF(OR(B549="",K549=""),"",IF(OR(L549="Sent",L549="Picked up"),"Done",IF(L549="Cancelled","Cancelled",IF(K549&lt;TODAY(),"Late by "&amp;(TODAY()-K549)&amp;IF((TODAY()-K549)=1," day"," days"),IF(K549=TODAY(),"Due today","Due in "&amp;(K549-TODAY())&amp;IF((K549-TODAY())=1," day"," days"))))))</f>
        <v/>
      </c>
      <c r="S549" s="33" t="n"/>
      <c r="T549" s="1">
        <f>IF(AND(B549&lt;&gt;"",K549&lt;&gt;"",L549&lt;&gt;"Sent",L549&lt;&gt;"Picked up",L549&lt;&gt;"Cancelled"),K549+ROW()/10000000,"")</f>
        <v/>
      </c>
      <c r="U549">
        <f>IF(OR(B549="",C549=""),"",B549+ROW()/10000000)</f>
        <v/>
      </c>
      <c r="V549">
        <f>IF(U549="","",IF(COUNTIFS(Orders!$C$6:$C$1005,C549,Orders!$U$6:$U$1005,"&gt;"&amp;U549)=0,1,0))</f>
        <v/>
      </c>
      <c r="W549">
        <f>IF(AND(B549&lt;&gt;"",K549&lt;&gt;"",L549&lt;&gt;"Sent",L549&lt;&gt;"Picked up",L549&lt;&gt;"Cancelled"),IF(N(E549)=0,1,E549),0)</f>
        <v/>
      </c>
      <c r="X549">
        <f>IF(OR(B549="",D549=""),"",IF(N(E549)=0,1,E549))</f>
        <v/>
      </c>
    </row>
    <row r="550">
      <c r="A550" s="1" t="n"/>
      <c r="B550" s="31" t="n"/>
      <c r="C550" s="32" t="n"/>
      <c r="D550" s="33" t="n"/>
      <c r="E550" s="34" t="n"/>
      <c r="F550" s="35" t="n"/>
      <c r="G550" s="35" t="n"/>
      <c r="H550" s="30">
        <f>IF(OR(B550="",D550=""),"",IF(N(E550)=0,1,E550)*IFERROR(INDEX(Products!$C$6:$C$105,MATCH(D550,Products!$B$6:$B$105,0)),0)+N(F550)+N(G550))</f>
        <v/>
      </c>
      <c r="I550" s="35" t="n"/>
      <c r="J550" s="30">
        <f>IF(OR(H550="",L550="Cancelled"),"",IF(H550-N(I550)&gt;0.005,H550-N(I550),""))</f>
        <v/>
      </c>
      <c r="K550" s="31" t="n"/>
      <c r="L550" s="36" t="n"/>
      <c r="M550" s="33" t="n"/>
      <c r="N550" s="22">
        <f>IF(OR(H550="",L550="Cancelled"),"",IF(N(E550)=0,1,E550)*IFERROR(INDEX(Products!$E$6:$E$105,MATCH(D550,Products!$B$6:$B$105,0)),0))</f>
        <v/>
      </c>
      <c r="O550" s="35" t="n"/>
      <c r="P550" s="22">
        <f>IF(OR(H550="",L550="Cancelled"),"",ROUND(IFERROR(H550*INDEX(Settings!$C$6:$C$15,MATCH(M550,Settings!$B$6:$B$15,0))+INDEX(Settings!$D$6:$D$15,MATCH(M550,Settings!$B$6:$B$15,0)),0),2))</f>
        <v/>
      </c>
      <c r="Q550" s="28">
        <f>IF(OR(H550="",L550="Cancelled"),"",H550-N(N550)-N(O550)-N(P550))</f>
        <v/>
      </c>
      <c r="R550" s="19">
        <f>IF(OR(B550="",K550=""),"",IF(OR(L550="Sent",L550="Picked up"),"Done",IF(L550="Cancelled","Cancelled",IF(K550&lt;TODAY(),"Late by "&amp;(TODAY()-K550)&amp;IF((TODAY()-K550)=1," day"," days"),IF(K550=TODAY(),"Due today","Due in "&amp;(K550-TODAY())&amp;IF((K550-TODAY())=1," day"," days"))))))</f>
        <v/>
      </c>
      <c r="S550" s="33" t="n"/>
      <c r="T550" s="1">
        <f>IF(AND(B550&lt;&gt;"",K550&lt;&gt;"",L550&lt;&gt;"Sent",L550&lt;&gt;"Picked up",L550&lt;&gt;"Cancelled"),K550+ROW()/10000000,"")</f>
        <v/>
      </c>
      <c r="U550">
        <f>IF(OR(B550="",C550=""),"",B550+ROW()/10000000)</f>
        <v/>
      </c>
      <c r="V550">
        <f>IF(U550="","",IF(COUNTIFS(Orders!$C$6:$C$1005,C550,Orders!$U$6:$U$1005,"&gt;"&amp;U550)=0,1,0))</f>
        <v/>
      </c>
      <c r="W550">
        <f>IF(AND(B550&lt;&gt;"",K550&lt;&gt;"",L550&lt;&gt;"Sent",L550&lt;&gt;"Picked up",L550&lt;&gt;"Cancelled"),IF(N(E550)=0,1,E550),0)</f>
        <v/>
      </c>
      <c r="X550">
        <f>IF(OR(B550="",D550=""),"",IF(N(E550)=0,1,E550))</f>
        <v/>
      </c>
    </row>
    <row r="551">
      <c r="A551" s="1" t="n"/>
      <c r="B551" s="31" t="n"/>
      <c r="C551" s="32" t="n"/>
      <c r="D551" s="33" t="n"/>
      <c r="E551" s="34" t="n"/>
      <c r="F551" s="35" t="n"/>
      <c r="G551" s="35" t="n"/>
      <c r="H551" s="30">
        <f>IF(OR(B551="",D551=""),"",IF(N(E551)=0,1,E551)*IFERROR(INDEX(Products!$C$6:$C$105,MATCH(D551,Products!$B$6:$B$105,0)),0)+N(F551)+N(G551))</f>
        <v/>
      </c>
      <c r="I551" s="35" t="n"/>
      <c r="J551" s="30">
        <f>IF(OR(H551="",L551="Cancelled"),"",IF(H551-N(I551)&gt;0.005,H551-N(I551),""))</f>
        <v/>
      </c>
      <c r="K551" s="31" t="n"/>
      <c r="L551" s="36" t="n"/>
      <c r="M551" s="33" t="n"/>
      <c r="N551" s="22">
        <f>IF(OR(H551="",L551="Cancelled"),"",IF(N(E551)=0,1,E551)*IFERROR(INDEX(Products!$E$6:$E$105,MATCH(D551,Products!$B$6:$B$105,0)),0))</f>
        <v/>
      </c>
      <c r="O551" s="35" t="n"/>
      <c r="P551" s="22">
        <f>IF(OR(H551="",L551="Cancelled"),"",ROUND(IFERROR(H551*INDEX(Settings!$C$6:$C$15,MATCH(M551,Settings!$B$6:$B$15,0))+INDEX(Settings!$D$6:$D$15,MATCH(M551,Settings!$B$6:$B$15,0)),0),2))</f>
        <v/>
      </c>
      <c r="Q551" s="28">
        <f>IF(OR(H551="",L551="Cancelled"),"",H551-N(N551)-N(O551)-N(P551))</f>
        <v/>
      </c>
      <c r="R551" s="19">
        <f>IF(OR(B551="",K551=""),"",IF(OR(L551="Sent",L551="Picked up"),"Done",IF(L551="Cancelled","Cancelled",IF(K551&lt;TODAY(),"Late by "&amp;(TODAY()-K551)&amp;IF((TODAY()-K551)=1," day"," days"),IF(K551=TODAY(),"Due today","Due in "&amp;(K551-TODAY())&amp;IF((K551-TODAY())=1," day"," days"))))))</f>
        <v/>
      </c>
      <c r="S551" s="33" t="n"/>
      <c r="T551" s="1">
        <f>IF(AND(B551&lt;&gt;"",K551&lt;&gt;"",L551&lt;&gt;"Sent",L551&lt;&gt;"Picked up",L551&lt;&gt;"Cancelled"),K551+ROW()/10000000,"")</f>
        <v/>
      </c>
      <c r="U551">
        <f>IF(OR(B551="",C551=""),"",B551+ROW()/10000000)</f>
        <v/>
      </c>
      <c r="V551">
        <f>IF(U551="","",IF(COUNTIFS(Orders!$C$6:$C$1005,C551,Orders!$U$6:$U$1005,"&gt;"&amp;U551)=0,1,0))</f>
        <v/>
      </c>
      <c r="W551">
        <f>IF(AND(B551&lt;&gt;"",K551&lt;&gt;"",L551&lt;&gt;"Sent",L551&lt;&gt;"Picked up",L551&lt;&gt;"Cancelled"),IF(N(E551)=0,1,E551),0)</f>
        <v/>
      </c>
      <c r="X551">
        <f>IF(OR(B551="",D551=""),"",IF(N(E551)=0,1,E551))</f>
        <v/>
      </c>
    </row>
    <row r="552">
      <c r="A552" s="1" t="n"/>
      <c r="B552" s="31" t="n"/>
      <c r="C552" s="32" t="n"/>
      <c r="D552" s="33" t="n"/>
      <c r="E552" s="34" t="n"/>
      <c r="F552" s="35" t="n"/>
      <c r="G552" s="35" t="n"/>
      <c r="H552" s="30">
        <f>IF(OR(B552="",D552=""),"",IF(N(E552)=0,1,E552)*IFERROR(INDEX(Products!$C$6:$C$105,MATCH(D552,Products!$B$6:$B$105,0)),0)+N(F552)+N(G552))</f>
        <v/>
      </c>
      <c r="I552" s="35" t="n"/>
      <c r="J552" s="30">
        <f>IF(OR(H552="",L552="Cancelled"),"",IF(H552-N(I552)&gt;0.005,H552-N(I552),""))</f>
        <v/>
      </c>
      <c r="K552" s="31" t="n"/>
      <c r="L552" s="36" t="n"/>
      <c r="M552" s="33" t="n"/>
      <c r="N552" s="22">
        <f>IF(OR(H552="",L552="Cancelled"),"",IF(N(E552)=0,1,E552)*IFERROR(INDEX(Products!$E$6:$E$105,MATCH(D552,Products!$B$6:$B$105,0)),0))</f>
        <v/>
      </c>
      <c r="O552" s="35" t="n"/>
      <c r="P552" s="22">
        <f>IF(OR(H552="",L552="Cancelled"),"",ROUND(IFERROR(H552*INDEX(Settings!$C$6:$C$15,MATCH(M552,Settings!$B$6:$B$15,0))+INDEX(Settings!$D$6:$D$15,MATCH(M552,Settings!$B$6:$B$15,0)),0),2))</f>
        <v/>
      </c>
      <c r="Q552" s="28">
        <f>IF(OR(H552="",L552="Cancelled"),"",H552-N(N552)-N(O552)-N(P552))</f>
        <v/>
      </c>
      <c r="R552" s="19">
        <f>IF(OR(B552="",K552=""),"",IF(OR(L552="Sent",L552="Picked up"),"Done",IF(L552="Cancelled","Cancelled",IF(K552&lt;TODAY(),"Late by "&amp;(TODAY()-K552)&amp;IF((TODAY()-K552)=1," day"," days"),IF(K552=TODAY(),"Due today","Due in "&amp;(K552-TODAY())&amp;IF((K552-TODAY())=1," day"," days"))))))</f>
        <v/>
      </c>
      <c r="S552" s="33" t="n"/>
      <c r="T552" s="1">
        <f>IF(AND(B552&lt;&gt;"",K552&lt;&gt;"",L552&lt;&gt;"Sent",L552&lt;&gt;"Picked up",L552&lt;&gt;"Cancelled"),K552+ROW()/10000000,"")</f>
        <v/>
      </c>
      <c r="U552">
        <f>IF(OR(B552="",C552=""),"",B552+ROW()/10000000)</f>
        <v/>
      </c>
      <c r="V552">
        <f>IF(U552="","",IF(COUNTIFS(Orders!$C$6:$C$1005,C552,Orders!$U$6:$U$1005,"&gt;"&amp;U552)=0,1,0))</f>
        <v/>
      </c>
      <c r="W552">
        <f>IF(AND(B552&lt;&gt;"",K552&lt;&gt;"",L552&lt;&gt;"Sent",L552&lt;&gt;"Picked up",L552&lt;&gt;"Cancelled"),IF(N(E552)=0,1,E552),0)</f>
        <v/>
      </c>
      <c r="X552">
        <f>IF(OR(B552="",D552=""),"",IF(N(E552)=0,1,E552))</f>
        <v/>
      </c>
    </row>
    <row r="553">
      <c r="A553" s="1" t="n"/>
      <c r="B553" s="31" t="n"/>
      <c r="C553" s="32" t="n"/>
      <c r="D553" s="33" t="n"/>
      <c r="E553" s="34" t="n"/>
      <c r="F553" s="35" t="n"/>
      <c r="G553" s="35" t="n"/>
      <c r="H553" s="30">
        <f>IF(OR(B553="",D553=""),"",IF(N(E553)=0,1,E553)*IFERROR(INDEX(Products!$C$6:$C$105,MATCH(D553,Products!$B$6:$B$105,0)),0)+N(F553)+N(G553))</f>
        <v/>
      </c>
      <c r="I553" s="35" t="n"/>
      <c r="J553" s="30">
        <f>IF(OR(H553="",L553="Cancelled"),"",IF(H553-N(I553)&gt;0.005,H553-N(I553),""))</f>
        <v/>
      </c>
      <c r="K553" s="31" t="n"/>
      <c r="L553" s="36" t="n"/>
      <c r="M553" s="33" t="n"/>
      <c r="N553" s="22">
        <f>IF(OR(H553="",L553="Cancelled"),"",IF(N(E553)=0,1,E553)*IFERROR(INDEX(Products!$E$6:$E$105,MATCH(D553,Products!$B$6:$B$105,0)),0))</f>
        <v/>
      </c>
      <c r="O553" s="35" t="n"/>
      <c r="P553" s="22">
        <f>IF(OR(H553="",L553="Cancelled"),"",ROUND(IFERROR(H553*INDEX(Settings!$C$6:$C$15,MATCH(M553,Settings!$B$6:$B$15,0))+INDEX(Settings!$D$6:$D$15,MATCH(M553,Settings!$B$6:$B$15,0)),0),2))</f>
        <v/>
      </c>
      <c r="Q553" s="28">
        <f>IF(OR(H553="",L553="Cancelled"),"",H553-N(N553)-N(O553)-N(P553))</f>
        <v/>
      </c>
      <c r="R553" s="19">
        <f>IF(OR(B553="",K553=""),"",IF(OR(L553="Sent",L553="Picked up"),"Done",IF(L553="Cancelled","Cancelled",IF(K553&lt;TODAY(),"Late by "&amp;(TODAY()-K553)&amp;IF((TODAY()-K553)=1," day"," days"),IF(K553=TODAY(),"Due today","Due in "&amp;(K553-TODAY())&amp;IF((K553-TODAY())=1," day"," days"))))))</f>
        <v/>
      </c>
      <c r="S553" s="33" t="n"/>
      <c r="T553" s="1">
        <f>IF(AND(B553&lt;&gt;"",K553&lt;&gt;"",L553&lt;&gt;"Sent",L553&lt;&gt;"Picked up",L553&lt;&gt;"Cancelled"),K553+ROW()/10000000,"")</f>
        <v/>
      </c>
      <c r="U553">
        <f>IF(OR(B553="",C553=""),"",B553+ROW()/10000000)</f>
        <v/>
      </c>
      <c r="V553">
        <f>IF(U553="","",IF(COUNTIFS(Orders!$C$6:$C$1005,C553,Orders!$U$6:$U$1005,"&gt;"&amp;U553)=0,1,0))</f>
        <v/>
      </c>
      <c r="W553">
        <f>IF(AND(B553&lt;&gt;"",K553&lt;&gt;"",L553&lt;&gt;"Sent",L553&lt;&gt;"Picked up",L553&lt;&gt;"Cancelled"),IF(N(E553)=0,1,E553),0)</f>
        <v/>
      </c>
      <c r="X553">
        <f>IF(OR(B553="",D553=""),"",IF(N(E553)=0,1,E553))</f>
        <v/>
      </c>
    </row>
    <row r="554">
      <c r="A554" s="1" t="n"/>
      <c r="B554" s="31" t="n"/>
      <c r="C554" s="32" t="n"/>
      <c r="D554" s="33" t="n"/>
      <c r="E554" s="34" t="n"/>
      <c r="F554" s="35" t="n"/>
      <c r="G554" s="35" t="n"/>
      <c r="H554" s="30">
        <f>IF(OR(B554="",D554=""),"",IF(N(E554)=0,1,E554)*IFERROR(INDEX(Products!$C$6:$C$105,MATCH(D554,Products!$B$6:$B$105,0)),0)+N(F554)+N(G554))</f>
        <v/>
      </c>
      <c r="I554" s="35" t="n"/>
      <c r="J554" s="30">
        <f>IF(OR(H554="",L554="Cancelled"),"",IF(H554-N(I554)&gt;0.005,H554-N(I554),""))</f>
        <v/>
      </c>
      <c r="K554" s="31" t="n"/>
      <c r="L554" s="36" t="n"/>
      <c r="M554" s="33" t="n"/>
      <c r="N554" s="22">
        <f>IF(OR(H554="",L554="Cancelled"),"",IF(N(E554)=0,1,E554)*IFERROR(INDEX(Products!$E$6:$E$105,MATCH(D554,Products!$B$6:$B$105,0)),0))</f>
        <v/>
      </c>
      <c r="O554" s="35" t="n"/>
      <c r="P554" s="22">
        <f>IF(OR(H554="",L554="Cancelled"),"",ROUND(IFERROR(H554*INDEX(Settings!$C$6:$C$15,MATCH(M554,Settings!$B$6:$B$15,0))+INDEX(Settings!$D$6:$D$15,MATCH(M554,Settings!$B$6:$B$15,0)),0),2))</f>
        <v/>
      </c>
      <c r="Q554" s="28">
        <f>IF(OR(H554="",L554="Cancelled"),"",H554-N(N554)-N(O554)-N(P554))</f>
        <v/>
      </c>
      <c r="R554" s="19">
        <f>IF(OR(B554="",K554=""),"",IF(OR(L554="Sent",L554="Picked up"),"Done",IF(L554="Cancelled","Cancelled",IF(K554&lt;TODAY(),"Late by "&amp;(TODAY()-K554)&amp;IF((TODAY()-K554)=1," day"," days"),IF(K554=TODAY(),"Due today","Due in "&amp;(K554-TODAY())&amp;IF((K554-TODAY())=1," day"," days"))))))</f>
        <v/>
      </c>
      <c r="S554" s="33" t="n"/>
      <c r="T554" s="1">
        <f>IF(AND(B554&lt;&gt;"",K554&lt;&gt;"",L554&lt;&gt;"Sent",L554&lt;&gt;"Picked up",L554&lt;&gt;"Cancelled"),K554+ROW()/10000000,"")</f>
        <v/>
      </c>
      <c r="U554">
        <f>IF(OR(B554="",C554=""),"",B554+ROW()/10000000)</f>
        <v/>
      </c>
      <c r="V554">
        <f>IF(U554="","",IF(COUNTIFS(Orders!$C$6:$C$1005,C554,Orders!$U$6:$U$1005,"&gt;"&amp;U554)=0,1,0))</f>
        <v/>
      </c>
      <c r="W554">
        <f>IF(AND(B554&lt;&gt;"",K554&lt;&gt;"",L554&lt;&gt;"Sent",L554&lt;&gt;"Picked up",L554&lt;&gt;"Cancelled"),IF(N(E554)=0,1,E554),0)</f>
        <v/>
      </c>
      <c r="X554">
        <f>IF(OR(B554="",D554=""),"",IF(N(E554)=0,1,E554))</f>
        <v/>
      </c>
    </row>
    <row r="555">
      <c r="A555" s="1" t="n"/>
      <c r="B555" s="31" t="n"/>
      <c r="C555" s="32" t="n"/>
      <c r="D555" s="33" t="n"/>
      <c r="E555" s="34" t="n"/>
      <c r="F555" s="35" t="n"/>
      <c r="G555" s="35" t="n"/>
      <c r="H555" s="30">
        <f>IF(OR(B555="",D555=""),"",IF(N(E555)=0,1,E555)*IFERROR(INDEX(Products!$C$6:$C$105,MATCH(D555,Products!$B$6:$B$105,0)),0)+N(F555)+N(G555))</f>
        <v/>
      </c>
      <c r="I555" s="35" t="n"/>
      <c r="J555" s="30">
        <f>IF(OR(H555="",L555="Cancelled"),"",IF(H555-N(I555)&gt;0.005,H555-N(I555),""))</f>
        <v/>
      </c>
      <c r="K555" s="31" t="n"/>
      <c r="L555" s="36" t="n"/>
      <c r="M555" s="33" t="n"/>
      <c r="N555" s="22">
        <f>IF(OR(H555="",L555="Cancelled"),"",IF(N(E555)=0,1,E555)*IFERROR(INDEX(Products!$E$6:$E$105,MATCH(D555,Products!$B$6:$B$105,0)),0))</f>
        <v/>
      </c>
      <c r="O555" s="35" t="n"/>
      <c r="P555" s="22">
        <f>IF(OR(H555="",L555="Cancelled"),"",ROUND(IFERROR(H555*INDEX(Settings!$C$6:$C$15,MATCH(M555,Settings!$B$6:$B$15,0))+INDEX(Settings!$D$6:$D$15,MATCH(M555,Settings!$B$6:$B$15,0)),0),2))</f>
        <v/>
      </c>
      <c r="Q555" s="28">
        <f>IF(OR(H555="",L555="Cancelled"),"",H555-N(N555)-N(O555)-N(P555))</f>
        <v/>
      </c>
      <c r="R555" s="19">
        <f>IF(OR(B555="",K555=""),"",IF(OR(L555="Sent",L555="Picked up"),"Done",IF(L555="Cancelled","Cancelled",IF(K555&lt;TODAY(),"Late by "&amp;(TODAY()-K555)&amp;IF((TODAY()-K555)=1," day"," days"),IF(K555=TODAY(),"Due today","Due in "&amp;(K555-TODAY())&amp;IF((K555-TODAY())=1," day"," days"))))))</f>
        <v/>
      </c>
      <c r="S555" s="33" t="n"/>
      <c r="T555" s="1">
        <f>IF(AND(B555&lt;&gt;"",K555&lt;&gt;"",L555&lt;&gt;"Sent",L555&lt;&gt;"Picked up",L555&lt;&gt;"Cancelled"),K555+ROW()/10000000,"")</f>
        <v/>
      </c>
      <c r="U555">
        <f>IF(OR(B555="",C555=""),"",B555+ROW()/10000000)</f>
        <v/>
      </c>
      <c r="V555">
        <f>IF(U555="","",IF(COUNTIFS(Orders!$C$6:$C$1005,C555,Orders!$U$6:$U$1005,"&gt;"&amp;U555)=0,1,0))</f>
        <v/>
      </c>
      <c r="W555">
        <f>IF(AND(B555&lt;&gt;"",K555&lt;&gt;"",L555&lt;&gt;"Sent",L555&lt;&gt;"Picked up",L555&lt;&gt;"Cancelled"),IF(N(E555)=0,1,E555),0)</f>
        <v/>
      </c>
      <c r="X555">
        <f>IF(OR(B555="",D555=""),"",IF(N(E555)=0,1,E555))</f>
        <v/>
      </c>
    </row>
    <row r="556">
      <c r="A556" s="1" t="n"/>
      <c r="B556" s="31" t="n"/>
      <c r="C556" s="32" t="n"/>
      <c r="D556" s="33" t="n"/>
      <c r="E556" s="34" t="n"/>
      <c r="F556" s="35" t="n"/>
      <c r="G556" s="35" t="n"/>
      <c r="H556" s="30">
        <f>IF(OR(B556="",D556=""),"",IF(N(E556)=0,1,E556)*IFERROR(INDEX(Products!$C$6:$C$105,MATCH(D556,Products!$B$6:$B$105,0)),0)+N(F556)+N(G556))</f>
        <v/>
      </c>
      <c r="I556" s="35" t="n"/>
      <c r="J556" s="30">
        <f>IF(OR(H556="",L556="Cancelled"),"",IF(H556-N(I556)&gt;0.005,H556-N(I556),""))</f>
        <v/>
      </c>
      <c r="K556" s="31" t="n"/>
      <c r="L556" s="36" t="n"/>
      <c r="M556" s="33" t="n"/>
      <c r="N556" s="22">
        <f>IF(OR(H556="",L556="Cancelled"),"",IF(N(E556)=0,1,E556)*IFERROR(INDEX(Products!$E$6:$E$105,MATCH(D556,Products!$B$6:$B$105,0)),0))</f>
        <v/>
      </c>
      <c r="O556" s="35" t="n"/>
      <c r="P556" s="22">
        <f>IF(OR(H556="",L556="Cancelled"),"",ROUND(IFERROR(H556*INDEX(Settings!$C$6:$C$15,MATCH(M556,Settings!$B$6:$B$15,0))+INDEX(Settings!$D$6:$D$15,MATCH(M556,Settings!$B$6:$B$15,0)),0),2))</f>
        <v/>
      </c>
      <c r="Q556" s="28">
        <f>IF(OR(H556="",L556="Cancelled"),"",H556-N(N556)-N(O556)-N(P556))</f>
        <v/>
      </c>
      <c r="R556" s="19">
        <f>IF(OR(B556="",K556=""),"",IF(OR(L556="Sent",L556="Picked up"),"Done",IF(L556="Cancelled","Cancelled",IF(K556&lt;TODAY(),"Late by "&amp;(TODAY()-K556)&amp;IF((TODAY()-K556)=1," day"," days"),IF(K556=TODAY(),"Due today","Due in "&amp;(K556-TODAY())&amp;IF((K556-TODAY())=1," day"," days"))))))</f>
        <v/>
      </c>
      <c r="S556" s="33" t="n"/>
      <c r="T556" s="1">
        <f>IF(AND(B556&lt;&gt;"",K556&lt;&gt;"",L556&lt;&gt;"Sent",L556&lt;&gt;"Picked up",L556&lt;&gt;"Cancelled"),K556+ROW()/10000000,"")</f>
        <v/>
      </c>
      <c r="U556">
        <f>IF(OR(B556="",C556=""),"",B556+ROW()/10000000)</f>
        <v/>
      </c>
      <c r="V556">
        <f>IF(U556="","",IF(COUNTIFS(Orders!$C$6:$C$1005,C556,Orders!$U$6:$U$1005,"&gt;"&amp;U556)=0,1,0))</f>
        <v/>
      </c>
      <c r="W556">
        <f>IF(AND(B556&lt;&gt;"",K556&lt;&gt;"",L556&lt;&gt;"Sent",L556&lt;&gt;"Picked up",L556&lt;&gt;"Cancelled"),IF(N(E556)=0,1,E556),0)</f>
        <v/>
      </c>
      <c r="X556">
        <f>IF(OR(B556="",D556=""),"",IF(N(E556)=0,1,E556))</f>
        <v/>
      </c>
    </row>
    <row r="557">
      <c r="A557" s="1" t="n"/>
      <c r="B557" s="31" t="n"/>
      <c r="C557" s="32" t="n"/>
      <c r="D557" s="33" t="n"/>
      <c r="E557" s="34" t="n"/>
      <c r="F557" s="35" t="n"/>
      <c r="G557" s="35" t="n"/>
      <c r="H557" s="30">
        <f>IF(OR(B557="",D557=""),"",IF(N(E557)=0,1,E557)*IFERROR(INDEX(Products!$C$6:$C$105,MATCH(D557,Products!$B$6:$B$105,0)),0)+N(F557)+N(G557))</f>
        <v/>
      </c>
      <c r="I557" s="35" t="n"/>
      <c r="J557" s="30">
        <f>IF(OR(H557="",L557="Cancelled"),"",IF(H557-N(I557)&gt;0.005,H557-N(I557),""))</f>
        <v/>
      </c>
      <c r="K557" s="31" t="n"/>
      <c r="L557" s="36" t="n"/>
      <c r="M557" s="33" t="n"/>
      <c r="N557" s="22">
        <f>IF(OR(H557="",L557="Cancelled"),"",IF(N(E557)=0,1,E557)*IFERROR(INDEX(Products!$E$6:$E$105,MATCH(D557,Products!$B$6:$B$105,0)),0))</f>
        <v/>
      </c>
      <c r="O557" s="35" t="n"/>
      <c r="P557" s="22">
        <f>IF(OR(H557="",L557="Cancelled"),"",ROUND(IFERROR(H557*INDEX(Settings!$C$6:$C$15,MATCH(M557,Settings!$B$6:$B$15,0))+INDEX(Settings!$D$6:$D$15,MATCH(M557,Settings!$B$6:$B$15,0)),0),2))</f>
        <v/>
      </c>
      <c r="Q557" s="28">
        <f>IF(OR(H557="",L557="Cancelled"),"",H557-N(N557)-N(O557)-N(P557))</f>
        <v/>
      </c>
      <c r="R557" s="19">
        <f>IF(OR(B557="",K557=""),"",IF(OR(L557="Sent",L557="Picked up"),"Done",IF(L557="Cancelled","Cancelled",IF(K557&lt;TODAY(),"Late by "&amp;(TODAY()-K557)&amp;IF((TODAY()-K557)=1," day"," days"),IF(K557=TODAY(),"Due today","Due in "&amp;(K557-TODAY())&amp;IF((K557-TODAY())=1," day"," days"))))))</f>
        <v/>
      </c>
      <c r="S557" s="33" t="n"/>
      <c r="T557" s="1">
        <f>IF(AND(B557&lt;&gt;"",K557&lt;&gt;"",L557&lt;&gt;"Sent",L557&lt;&gt;"Picked up",L557&lt;&gt;"Cancelled"),K557+ROW()/10000000,"")</f>
        <v/>
      </c>
      <c r="U557">
        <f>IF(OR(B557="",C557=""),"",B557+ROW()/10000000)</f>
        <v/>
      </c>
      <c r="V557">
        <f>IF(U557="","",IF(COUNTIFS(Orders!$C$6:$C$1005,C557,Orders!$U$6:$U$1005,"&gt;"&amp;U557)=0,1,0))</f>
        <v/>
      </c>
      <c r="W557">
        <f>IF(AND(B557&lt;&gt;"",K557&lt;&gt;"",L557&lt;&gt;"Sent",L557&lt;&gt;"Picked up",L557&lt;&gt;"Cancelled"),IF(N(E557)=0,1,E557),0)</f>
        <v/>
      </c>
      <c r="X557">
        <f>IF(OR(B557="",D557=""),"",IF(N(E557)=0,1,E557))</f>
        <v/>
      </c>
    </row>
    <row r="558">
      <c r="A558" s="1" t="n"/>
      <c r="B558" s="31" t="n"/>
      <c r="C558" s="32" t="n"/>
      <c r="D558" s="33" t="n"/>
      <c r="E558" s="34" t="n"/>
      <c r="F558" s="35" t="n"/>
      <c r="G558" s="35" t="n"/>
      <c r="H558" s="30">
        <f>IF(OR(B558="",D558=""),"",IF(N(E558)=0,1,E558)*IFERROR(INDEX(Products!$C$6:$C$105,MATCH(D558,Products!$B$6:$B$105,0)),0)+N(F558)+N(G558))</f>
        <v/>
      </c>
      <c r="I558" s="35" t="n"/>
      <c r="J558" s="30">
        <f>IF(OR(H558="",L558="Cancelled"),"",IF(H558-N(I558)&gt;0.005,H558-N(I558),""))</f>
        <v/>
      </c>
      <c r="K558" s="31" t="n"/>
      <c r="L558" s="36" t="n"/>
      <c r="M558" s="33" t="n"/>
      <c r="N558" s="22">
        <f>IF(OR(H558="",L558="Cancelled"),"",IF(N(E558)=0,1,E558)*IFERROR(INDEX(Products!$E$6:$E$105,MATCH(D558,Products!$B$6:$B$105,0)),0))</f>
        <v/>
      </c>
      <c r="O558" s="35" t="n"/>
      <c r="P558" s="22">
        <f>IF(OR(H558="",L558="Cancelled"),"",ROUND(IFERROR(H558*INDEX(Settings!$C$6:$C$15,MATCH(M558,Settings!$B$6:$B$15,0))+INDEX(Settings!$D$6:$D$15,MATCH(M558,Settings!$B$6:$B$15,0)),0),2))</f>
        <v/>
      </c>
      <c r="Q558" s="28">
        <f>IF(OR(H558="",L558="Cancelled"),"",H558-N(N558)-N(O558)-N(P558))</f>
        <v/>
      </c>
      <c r="R558" s="19">
        <f>IF(OR(B558="",K558=""),"",IF(OR(L558="Sent",L558="Picked up"),"Done",IF(L558="Cancelled","Cancelled",IF(K558&lt;TODAY(),"Late by "&amp;(TODAY()-K558)&amp;IF((TODAY()-K558)=1," day"," days"),IF(K558=TODAY(),"Due today","Due in "&amp;(K558-TODAY())&amp;IF((K558-TODAY())=1," day"," days"))))))</f>
        <v/>
      </c>
      <c r="S558" s="33" t="n"/>
      <c r="T558" s="1">
        <f>IF(AND(B558&lt;&gt;"",K558&lt;&gt;"",L558&lt;&gt;"Sent",L558&lt;&gt;"Picked up",L558&lt;&gt;"Cancelled"),K558+ROW()/10000000,"")</f>
        <v/>
      </c>
      <c r="U558">
        <f>IF(OR(B558="",C558=""),"",B558+ROW()/10000000)</f>
        <v/>
      </c>
      <c r="V558">
        <f>IF(U558="","",IF(COUNTIFS(Orders!$C$6:$C$1005,C558,Orders!$U$6:$U$1005,"&gt;"&amp;U558)=0,1,0))</f>
        <v/>
      </c>
      <c r="W558">
        <f>IF(AND(B558&lt;&gt;"",K558&lt;&gt;"",L558&lt;&gt;"Sent",L558&lt;&gt;"Picked up",L558&lt;&gt;"Cancelled"),IF(N(E558)=0,1,E558),0)</f>
        <v/>
      </c>
      <c r="X558">
        <f>IF(OR(B558="",D558=""),"",IF(N(E558)=0,1,E558))</f>
        <v/>
      </c>
    </row>
    <row r="559">
      <c r="A559" s="1" t="n"/>
      <c r="B559" s="31" t="n"/>
      <c r="C559" s="32" t="n"/>
      <c r="D559" s="33" t="n"/>
      <c r="E559" s="34" t="n"/>
      <c r="F559" s="35" t="n"/>
      <c r="G559" s="35" t="n"/>
      <c r="H559" s="30">
        <f>IF(OR(B559="",D559=""),"",IF(N(E559)=0,1,E559)*IFERROR(INDEX(Products!$C$6:$C$105,MATCH(D559,Products!$B$6:$B$105,0)),0)+N(F559)+N(G559))</f>
        <v/>
      </c>
      <c r="I559" s="35" t="n"/>
      <c r="J559" s="30">
        <f>IF(OR(H559="",L559="Cancelled"),"",IF(H559-N(I559)&gt;0.005,H559-N(I559),""))</f>
        <v/>
      </c>
      <c r="K559" s="31" t="n"/>
      <c r="L559" s="36" t="n"/>
      <c r="M559" s="33" t="n"/>
      <c r="N559" s="22">
        <f>IF(OR(H559="",L559="Cancelled"),"",IF(N(E559)=0,1,E559)*IFERROR(INDEX(Products!$E$6:$E$105,MATCH(D559,Products!$B$6:$B$105,0)),0))</f>
        <v/>
      </c>
      <c r="O559" s="35" t="n"/>
      <c r="P559" s="22">
        <f>IF(OR(H559="",L559="Cancelled"),"",ROUND(IFERROR(H559*INDEX(Settings!$C$6:$C$15,MATCH(M559,Settings!$B$6:$B$15,0))+INDEX(Settings!$D$6:$D$15,MATCH(M559,Settings!$B$6:$B$15,0)),0),2))</f>
        <v/>
      </c>
      <c r="Q559" s="28">
        <f>IF(OR(H559="",L559="Cancelled"),"",H559-N(N559)-N(O559)-N(P559))</f>
        <v/>
      </c>
      <c r="R559" s="19">
        <f>IF(OR(B559="",K559=""),"",IF(OR(L559="Sent",L559="Picked up"),"Done",IF(L559="Cancelled","Cancelled",IF(K559&lt;TODAY(),"Late by "&amp;(TODAY()-K559)&amp;IF((TODAY()-K559)=1," day"," days"),IF(K559=TODAY(),"Due today","Due in "&amp;(K559-TODAY())&amp;IF((K559-TODAY())=1," day"," days"))))))</f>
        <v/>
      </c>
      <c r="S559" s="33" t="n"/>
      <c r="T559" s="1">
        <f>IF(AND(B559&lt;&gt;"",K559&lt;&gt;"",L559&lt;&gt;"Sent",L559&lt;&gt;"Picked up",L559&lt;&gt;"Cancelled"),K559+ROW()/10000000,"")</f>
        <v/>
      </c>
      <c r="U559">
        <f>IF(OR(B559="",C559=""),"",B559+ROW()/10000000)</f>
        <v/>
      </c>
      <c r="V559">
        <f>IF(U559="","",IF(COUNTIFS(Orders!$C$6:$C$1005,C559,Orders!$U$6:$U$1005,"&gt;"&amp;U559)=0,1,0))</f>
        <v/>
      </c>
      <c r="W559">
        <f>IF(AND(B559&lt;&gt;"",K559&lt;&gt;"",L559&lt;&gt;"Sent",L559&lt;&gt;"Picked up",L559&lt;&gt;"Cancelled"),IF(N(E559)=0,1,E559),0)</f>
        <v/>
      </c>
      <c r="X559">
        <f>IF(OR(B559="",D559=""),"",IF(N(E559)=0,1,E559))</f>
        <v/>
      </c>
    </row>
    <row r="560">
      <c r="A560" s="1" t="n"/>
      <c r="B560" s="31" t="n"/>
      <c r="C560" s="32" t="n"/>
      <c r="D560" s="33" t="n"/>
      <c r="E560" s="34" t="n"/>
      <c r="F560" s="35" t="n"/>
      <c r="G560" s="35" t="n"/>
      <c r="H560" s="30">
        <f>IF(OR(B560="",D560=""),"",IF(N(E560)=0,1,E560)*IFERROR(INDEX(Products!$C$6:$C$105,MATCH(D560,Products!$B$6:$B$105,0)),0)+N(F560)+N(G560))</f>
        <v/>
      </c>
      <c r="I560" s="35" t="n"/>
      <c r="J560" s="30">
        <f>IF(OR(H560="",L560="Cancelled"),"",IF(H560-N(I560)&gt;0.005,H560-N(I560),""))</f>
        <v/>
      </c>
      <c r="K560" s="31" t="n"/>
      <c r="L560" s="36" t="n"/>
      <c r="M560" s="33" t="n"/>
      <c r="N560" s="22">
        <f>IF(OR(H560="",L560="Cancelled"),"",IF(N(E560)=0,1,E560)*IFERROR(INDEX(Products!$E$6:$E$105,MATCH(D560,Products!$B$6:$B$105,0)),0))</f>
        <v/>
      </c>
      <c r="O560" s="35" t="n"/>
      <c r="P560" s="22">
        <f>IF(OR(H560="",L560="Cancelled"),"",ROUND(IFERROR(H560*INDEX(Settings!$C$6:$C$15,MATCH(M560,Settings!$B$6:$B$15,0))+INDEX(Settings!$D$6:$D$15,MATCH(M560,Settings!$B$6:$B$15,0)),0),2))</f>
        <v/>
      </c>
      <c r="Q560" s="28">
        <f>IF(OR(H560="",L560="Cancelled"),"",H560-N(N560)-N(O560)-N(P560))</f>
        <v/>
      </c>
      <c r="R560" s="19">
        <f>IF(OR(B560="",K560=""),"",IF(OR(L560="Sent",L560="Picked up"),"Done",IF(L560="Cancelled","Cancelled",IF(K560&lt;TODAY(),"Late by "&amp;(TODAY()-K560)&amp;IF((TODAY()-K560)=1," day"," days"),IF(K560=TODAY(),"Due today","Due in "&amp;(K560-TODAY())&amp;IF((K560-TODAY())=1," day"," days"))))))</f>
        <v/>
      </c>
      <c r="S560" s="33" t="n"/>
      <c r="T560" s="1">
        <f>IF(AND(B560&lt;&gt;"",K560&lt;&gt;"",L560&lt;&gt;"Sent",L560&lt;&gt;"Picked up",L560&lt;&gt;"Cancelled"),K560+ROW()/10000000,"")</f>
        <v/>
      </c>
      <c r="U560">
        <f>IF(OR(B560="",C560=""),"",B560+ROW()/10000000)</f>
        <v/>
      </c>
      <c r="V560">
        <f>IF(U560="","",IF(COUNTIFS(Orders!$C$6:$C$1005,C560,Orders!$U$6:$U$1005,"&gt;"&amp;U560)=0,1,0))</f>
        <v/>
      </c>
      <c r="W560">
        <f>IF(AND(B560&lt;&gt;"",K560&lt;&gt;"",L560&lt;&gt;"Sent",L560&lt;&gt;"Picked up",L560&lt;&gt;"Cancelled"),IF(N(E560)=0,1,E560),0)</f>
        <v/>
      </c>
      <c r="X560">
        <f>IF(OR(B560="",D560=""),"",IF(N(E560)=0,1,E560))</f>
        <v/>
      </c>
    </row>
    <row r="561">
      <c r="A561" s="1" t="n"/>
      <c r="B561" s="31" t="n"/>
      <c r="C561" s="32" t="n"/>
      <c r="D561" s="33" t="n"/>
      <c r="E561" s="34" t="n"/>
      <c r="F561" s="35" t="n"/>
      <c r="G561" s="35" t="n"/>
      <c r="H561" s="30">
        <f>IF(OR(B561="",D561=""),"",IF(N(E561)=0,1,E561)*IFERROR(INDEX(Products!$C$6:$C$105,MATCH(D561,Products!$B$6:$B$105,0)),0)+N(F561)+N(G561))</f>
        <v/>
      </c>
      <c r="I561" s="35" t="n"/>
      <c r="J561" s="30">
        <f>IF(OR(H561="",L561="Cancelled"),"",IF(H561-N(I561)&gt;0.005,H561-N(I561),""))</f>
        <v/>
      </c>
      <c r="K561" s="31" t="n"/>
      <c r="L561" s="36" t="n"/>
      <c r="M561" s="33" t="n"/>
      <c r="N561" s="22">
        <f>IF(OR(H561="",L561="Cancelled"),"",IF(N(E561)=0,1,E561)*IFERROR(INDEX(Products!$E$6:$E$105,MATCH(D561,Products!$B$6:$B$105,0)),0))</f>
        <v/>
      </c>
      <c r="O561" s="35" t="n"/>
      <c r="P561" s="22">
        <f>IF(OR(H561="",L561="Cancelled"),"",ROUND(IFERROR(H561*INDEX(Settings!$C$6:$C$15,MATCH(M561,Settings!$B$6:$B$15,0))+INDEX(Settings!$D$6:$D$15,MATCH(M561,Settings!$B$6:$B$15,0)),0),2))</f>
        <v/>
      </c>
      <c r="Q561" s="28">
        <f>IF(OR(H561="",L561="Cancelled"),"",H561-N(N561)-N(O561)-N(P561))</f>
        <v/>
      </c>
      <c r="R561" s="19">
        <f>IF(OR(B561="",K561=""),"",IF(OR(L561="Sent",L561="Picked up"),"Done",IF(L561="Cancelled","Cancelled",IF(K561&lt;TODAY(),"Late by "&amp;(TODAY()-K561)&amp;IF((TODAY()-K561)=1," day"," days"),IF(K561=TODAY(),"Due today","Due in "&amp;(K561-TODAY())&amp;IF((K561-TODAY())=1," day"," days"))))))</f>
        <v/>
      </c>
      <c r="S561" s="33" t="n"/>
      <c r="T561" s="1">
        <f>IF(AND(B561&lt;&gt;"",K561&lt;&gt;"",L561&lt;&gt;"Sent",L561&lt;&gt;"Picked up",L561&lt;&gt;"Cancelled"),K561+ROW()/10000000,"")</f>
        <v/>
      </c>
      <c r="U561">
        <f>IF(OR(B561="",C561=""),"",B561+ROW()/10000000)</f>
        <v/>
      </c>
      <c r="V561">
        <f>IF(U561="","",IF(COUNTIFS(Orders!$C$6:$C$1005,C561,Orders!$U$6:$U$1005,"&gt;"&amp;U561)=0,1,0))</f>
        <v/>
      </c>
      <c r="W561">
        <f>IF(AND(B561&lt;&gt;"",K561&lt;&gt;"",L561&lt;&gt;"Sent",L561&lt;&gt;"Picked up",L561&lt;&gt;"Cancelled"),IF(N(E561)=0,1,E561),0)</f>
        <v/>
      </c>
      <c r="X561">
        <f>IF(OR(B561="",D561=""),"",IF(N(E561)=0,1,E561))</f>
        <v/>
      </c>
    </row>
    <row r="562">
      <c r="A562" s="1" t="n"/>
      <c r="B562" s="31" t="n"/>
      <c r="C562" s="32" t="n"/>
      <c r="D562" s="33" t="n"/>
      <c r="E562" s="34" t="n"/>
      <c r="F562" s="35" t="n"/>
      <c r="G562" s="35" t="n"/>
      <c r="H562" s="30">
        <f>IF(OR(B562="",D562=""),"",IF(N(E562)=0,1,E562)*IFERROR(INDEX(Products!$C$6:$C$105,MATCH(D562,Products!$B$6:$B$105,0)),0)+N(F562)+N(G562))</f>
        <v/>
      </c>
      <c r="I562" s="35" t="n"/>
      <c r="J562" s="30">
        <f>IF(OR(H562="",L562="Cancelled"),"",IF(H562-N(I562)&gt;0.005,H562-N(I562),""))</f>
        <v/>
      </c>
      <c r="K562" s="31" t="n"/>
      <c r="L562" s="36" t="n"/>
      <c r="M562" s="33" t="n"/>
      <c r="N562" s="22">
        <f>IF(OR(H562="",L562="Cancelled"),"",IF(N(E562)=0,1,E562)*IFERROR(INDEX(Products!$E$6:$E$105,MATCH(D562,Products!$B$6:$B$105,0)),0))</f>
        <v/>
      </c>
      <c r="O562" s="35" t="n"/>
      <c r="P562" s="22">
        <f>IF(OR(H562="",L562="Cancelled"),"",ROUND(IFERROR(H562*INDEX(Settings!$C$6:$C$15,MATCH(M562,Settings!$B$6:$B$15,0))+INDEX(Settings!$D$6:$D$15,MATCH(M562,Settings!$B$6:$B$15,0)),0),2))</f>
        <v/>
      </c>
      <c r="Q562" s="28">
        <f>IF(OR(H562="",L562="Cancelled"),"",H562-N(N562)-N(O562)-N(P562))</f>
        <v/>
      </c>
      <c r="R562" s="19">
        <f>IF(OR(B562="",K562=""),"",IF(OR(L562="Sent",L562="Picked up"),"Done",IF(L562="Cancelled","Cancelled",IF(K562&lt;TODAY(),"Late by "&amp;(TODAY()-K562)&amp;IF((TODAY()-K562)=1," day"," days"),IF(K562=TODAY(),"Due today","Due in "&amp;(K562-TODAY())&amp;IF((K562-TODAY())=1," day"," days"))))))</f>
        <v/>
      </c>
      <c r="S562" s="33" t="n"/>
      <c r="T562" s="1">
        <f>IF(AND(B562&lt;&gt;"",K562&lt;&gt;"",L562&lt;&gt;"Sent",L562&lt;&gt;"Picked up",L562&lt;&gt;"Cancelled"),K562+ROW()/10000000,"")</f>
        <v/>
      </c>
      <c r="U562">
        <f>IF(OR(B562="",C562=""),"",B562+ROW()/10000000)</f>
        <v/>
      </c>
      <c r="V562">
        <f>IF(U562="","",IF(COUNTIFS(Orders!$C$6:$C$1005,C562,Orders!$U$6:$U$1005,"&gt;"&amp;U562)=0,1,0))</f>
        <v/>
      </c>
      <c r="W562">
        <f>IF(AND(B562&lt;&gt;"",K562&lt;&gt;"",L562&lt;&gt;"Sent",L562&lt;&gt;"Picked up",L562&lt;&gt;"Cancelled"),IF(N(E562)=0,1,E562),0)</f>
        <v/>
      </c>
      <c r="X562">
        <f>IF(OR(B562="",D562=""),"",IF(N(E562)=0,1,E562))</f>
        <v/>
      </c>
    </row>
    <row r="563">
      <c r="A563" s="1" t="n"/>
      <c r="B563" s="31" t="n"/>
      <c r="C563" s="32" t="n"/>
      <c r="D563" s="33" t="n"/>
      <c r="E563" s="34" t="n"/>
      <c r="F563" s="35" t="n"/>
      <c r="G563" s="35" t="n"/>
      <c r="H563" s="30">
        <f>IF(OR(B563="",D563=""),"",IF(N(E563)=0,1,E563)*IFERROR(INDEX(Products!$C$6:$C$105,MATCH(D563,Products!$B$6:$B$105,0)),0)+N(F563)+N(G563))</f>
        <v/>
      </c>
      <c r="I563" s="35" t="n"/>
      <c r="J563" s="30">
        <f>IF(OR(H563="",L563="Cancelled"),"",IF(H563-N(I563)&gt;0.005,H563-N(I563),""))</f>
        <v/>
      </c>
      <c r="K563" s="31" t="n"/>
      <c r="L563" s="36" t="n"/>
      <c r="M563" s="33" t="n"/>
      <c r="N563" s="22">
        <f>IF(OR(H563="",L563="Cancelled"),"",IF(N(E563)=0,1,E563)*IFERROR(INDEX(Products!$E$6:$E$105,MATCH(D563,Products!$B$6:$B$105,0)),0))</f>
        <v/>
      </c>
      <c r="O563" s="35" t="n"/>
      <c r="P563" s="22">
        <f>IF(OR(H563="",L563="Cancelled"),"",ROUND(IFERROR(H563*INDEX(Settings!$C$6:$C$15,MATCH(M563,Settings!$B$6:$B$15,0))+INDEX(Settings!$D$6:$D$15,MATCH(M563,Settings!$B$6:$B$15,0)),0),2))</f>
        <v/>
      </c>
      <c r="Q563" s="28">
        <f>IF(OR(H563="",L563="Cancelled"),"",H563-N(N563)-N(O563)-N(P563))</f>
        <v/>
      </c>
      <c r="R563" s="19">
        <f>IF(OR(B563="",K563=""),"",IF(OR(L563="Sent",L563="Picked up"),"Done",IF(L563="Cancelled","Cancelled",IF(K563&lt;TODAY(),"Late by "&amp;(TODAY()-K563)&amp;IF((TODAY()-K563)=1," day"," days"),IF(K563=TODAY(),"Due today","Due in "&amp;(K563-TODAY())&amp;IF((K563-TODAY())=1," day"," days"))))))</f>
        <v/>
      </c>
      <c r="S563" s="33" t="n"/>
      <c r="T563" s="1">
        <f>IF(AND(B563&lt;&gt;"",K563&lt;&gt;"",L563&lt;&gt;"Sent",L563&lt;&gt;"Picked up",L563&lt;&gt;"Cancelled"),K563+ROW()/10000000,"")</f>
        <v/>
      </c>
      <c r="U563">
        <f>IF(OR(B563="",C563=""),"",B563+ROW()/10000000)</f>
        <v/>
      </c>
      <c r="V563">
        <f>IF(U563="","",IF(COUNTIFS(Orders!$C$6:$C$1005,C563,Orders!$U$6:$U$1005,"&gt;"&amp;U563)=0,1,0))</f>
        <v/>
      </c>
      <c r="W563">
        <f>IF(AND(B563&lt;&gt;"",K563&lt;&gt;"",L563&lt;&gt;"Sent",L563&lt;&gt;"Picked up",L563&lt;&gt;"Cancelled"),IF(N(E563)=0,1,E563),0)</f>
        <v/>
      </c>
      <c r="X563">
        <f>IF(OR(B563="",D563=""),"",IF(N(E563)=0,1,E563))</f>
        <v/>
      </c>
    </row>
    <row r="564">
      <c r="A564" s="1" t="n"/>
      <c r="B564" s="31" t="n"/>
      <c r="C564" s="32" t="n"/>
      <c r="D564" s="33" t="n"/>
      <c r="E564" s="34" t="n"/>
      <c r="F564" s="35" t="n"/>
      <c r="G564" s="35" t="n"/>
      <c r="H564" s="30">
        <f>IF(OR(B564="",D564=""),"",IF(N(E564)=0,1,E564)*IFERROR(INDEX(Products!$C$6:$C$105,MATCH(D564,Products!$B$6:$B$105,0)),0)+N(F564)+N(G564))</f>
        <v/>
      </c>
      <c r="I564" s="35" t="n"/>
      <c r="J564" s="30">
        <f>IF(OR(H564="",L564="Cancelled"),"",IF(H564-N(I564)&gt;0.005,H564-N(I564),""))</f>
        <v/>
      </c>
      <c r="K564" s="31" t="n"/>
      <c r="L564" s="36" t="n"/>
      <c r="M564" s="33" t="n"/>
      <c r="N564" s="22">
        <f>IF(OR(H564="",L564="Cancelled"),"",IF(N(E564)=0,1,E564)*IFERROR(INDEX(Products!$E$6:$E$105,MATCH(D564,Products!$B$6:$B$105,0)),0))</f>
        <v/>
      </c>
      <c r="O564" s="35" t="n"/>
      <c r="P564" s="22">
        <f>IF(OR(H564="",L564="Cancelled"),"",ROUND(IFERROR(H564*INDEX(Settings!$C$6:$C$15,MATCH(M564,Settings!$B$6:$B$15,0))+INDEX(Settings!$D$6:$D$15,MATCH(M564,Settings!$B$6:$B$15,0)),0),2))</f>
        <v/>
      </c>
      <c r="Q564" s="28">
        <f>IF(OR(H564="",L564="Cancelled"),"",H564-N(N564)-N(O564)-N(P564))</f>
        <v/>
      </c>
      <c r="R564" s="19">
        <f>IF(OR(B564="",K564=""),"",IF(OR(L564="Sent",L564="Picked up"),"Done",IF(L564="Cancelled","Cancelled",IF(K564&lt;TODAY(),"Late by "&amp;(TODAY()-K564)&amp;IF((TODAY()-K564)=1," day"," days"),IF(K564=TODAY(),"Due today","Due in "&amp;(K564-TODAY())&amp;IF((K564-TODAY())=1," day"," days"))))))</f>
        <v/>
      </c>
      <c r="S564" s="33" t="n"/>
      <c r="T564" s="1">
        <f>IF(AND(B564&lt;&gt;"",K564&lt;&gt;"",L564&lt;&gt;"Sent",L564&lt;&gt;"Picked up",L564&lt;&gt;"Cancelled"),K564+ROW()/10000000,"")</f>
        <v/>
      </c>
      <c r="U564">
        <f>IF(OR(B564="",C564=""),"",B564+ROW()/10000000)</f>
        <v/>
      </c>
      <c r="V564">
        <f>IF(U564="","",IF(COUNTIFS(Orders!$C$6:$C$1005,C564,Orders!$U$6:$U$1005,"&gt;"&amp;U564)=0,1,0))</f>
        <v/>
      </c>
      <c r="W564">
        <f>IF(AND(B564&lt;&gt;"",K564&lt;&gt;"",L564&lt;&gt;"Sent",L564&lt;&gt;"Picked up",L564&lt;&gt;"Cancelled"),IF(N(E564)=0,1,E564),0)</f>
        <v/>
      </c>
      <c r="X564">
        <f>IF(OR(B564="",D564=""),"",IF(N(E564)=0,1,E564))</f>
        <v/>
      </c>
    </row>
    <row r="565">
      <c r="A565" s="1" t="n"/>
      <c r="B565" s="31" t="n"/>
      <c r="C565" s="32" t="n"/>
      <c r="D565" s="33" t="n"/>
      <c r="E565" s="34" t="n"/>
      <c r="F565" s="35" t="n"/>
      <c r="G565" s="35" t="n"/>
      <c r="H565" s="30">
        <f>IF(OR(B565="",D565=""),"",IF(N(E565)=0,1,E565)*IFERROR(INDEX(Products!$C$6:$C$105,MATCH(D565,Products!$B$6:$B$105,0)),0)+N(F565)+N(G565))</f>
        <v/>
      </c>
      <c r="I565" s="35" t="n"/>
      <c r="J565" s="30">
        <f>IF(OR(H565="",L565="Cancelled"),"",IF(H565-N(I565)&gt;0.005,H565-N(I565),""))</f>
        <v/>
      </c>
      <c r="K565" s="31" t="n"/>
      <c r="L565" s="36" t="n"/>
      <c r="M565" s="33" t="n"/>
      <c r="N565" s="22">
        <f>IF(OR(H565="",L565="Cancelled"),"",IF(N(E565)=0,1,E565)*IFERROR(INDEX(Products!$E$6:$E$105,MATCH(D565,Products!$B$6:$B$105,0)),0))</f>
        <v/>
      </c>
      <c r="O565" s="35" t="n"/>
      <c r="P565" s="22">
        <f>IF(OR(H565="",L565="Cancelled"),"",ROUND(IFERROR(H565*INDEX(Settings!$C$6:$C$15,MATCH(M565,Settings!$B$6:$B$15,0))+INDEX(Settings!$D$6:$D$15,MATCH(M565,Settings!$B$6:$B$15,0)),0),2))</f>
        <v/>
      </c>
      <c r="Q565" s="28">
        <f>IF(OR(H565="",L565="Cancelled"),"",H565-N(N565)-N(O565)-N(P565))</f>
        <v/>
      </c>
      <c r="R565" s="19">
        <f>IF(OR(B565="",K565=""),"",IF(OR(L565="Sent",L565="Picked up"),"Done",IF(L565="Cancelled","Cancelled",IF(K565&lt;TODAY(),"Late by "&amp;(TODAY()-K565)&amp;IF((TODAY()-K565)=1," day"," days"),IF(K565=TODAY(),"Due today","Due in "&amp;(K565-TODAY())&amp;IF((K565-TODAY())=1," day"," days"))))))</f>
        <v/>
      </c>
      <c r="S565" s="33" t="n"/>
      <c r="T565" s="1">
        <f>IF(AND(B565&lt;&gt;"",K565&lt;&gt;"",L565&lt;&gt;"Sent",L565&lt;&gt;"Picked up",L565&lt;&gt;"Cancelled"),K565+ROW()/10000000,"")</f>
        <v/>
      </c>
      <c r="U565">
        <f>IF(OR(B565="",C565=""),"",B565+ROW()/10000000)</f>
        <v/>
      </c>
      <c r="V565">
        <f>IF(U565="","",IF(COUNTIFS(Orders!$C$6:$C$1005,C565,Orders!$U$6:$U$1005,"&gt;"&amp;U565)=0,1,0))</f>
        <v/>
      </c>
      <c r="W565">
        <f>IF(AND(B565&lt;&gt;"",K565&lt;&gt;"",L565&lt;&gt;"Sent",L565&lt;&gt;"Picked up",L565&lt;&gt;"Cancelled"),IF(N(E565)=0,1,E565),0)</f>
        <v/>
      </c>
      <c r="X565">
        <f>IF(OR(B565="",D565=""),"",IF(N(E565)=0,1,E565))</f>
        <v/>
      </c>
    </row>
    <row r="566">
      <c r="A566" s="1" t="n"/>
      <c r="B566" s="31" t="n"/>
      <c r="C566" s="32" t="n"/>
      <c r="D566" s="33" t="n"/>
      <c r="E566" s="34" t="n"/>
      <c r="F566" s="35" t="n"/>
      <c r="G566" s="35" t="n"/>
      <c r="H566" s="30">
        <f>IF(OR(B566="",D566=""),"",IF(N(E566)=0,1,E566)*IFERROR(INDEX(Products!$C$6:$C$105,MATCH(D566,Products!$B$6:$B$105,0)),0)+N(F566)+N(G566))</f>
        <v/>
      </c>
      <c r="I566" s="35" t="n"/>
      <c r="J566" s="30">
        <f>IF(OR(H566="",L566="Cancelled"),"",IF(H566-N(I566)&gt;0.005,H566-N(I566),""))</f>
        <v/>
      </c>
      <c r="K566" s="31" t="n"/>
      <c r="L566" s="36" t="n"/>
      <c r="M566" s="33" t="n"/>
      <c r="N566" s="22">
        <f>IF(OR(H566="",L566="Cancelled"),"",IF(N(E566)=0,1,E566)*IFERROR(INDEX(Products!$E$6:$E$105,MATCH(D566,Products!$B$6:$B$105,0)),0))</f>
        <v/>
      </c>
      <c r="O566" s="35" t="n"/>
      <c r="P566" s="22">
        <f>IF(OR(H566="",L566="Cancelled"),"",ROUND(IFERROR(H566*INDEX(Settings!$C$6:$C$15,MATCH(M566,Settings!$B$6:$B$15,0))+INDEX(Settings!$D$6:$D$15,MATCH(M566,Settings!$B$6:$B$15,0)),0),2))</f>
        <v/>
      </c>
      <c r="Q566" s="28">
        <f>IF(OR(H566="",L566="Cancelled"),"",H566-N(N566)-N(O566)-N(P566))</f>
        <v/>
      </c>
      <c r="R566" s="19">
        <f>IF(OR(B566="",K566=""),"",IF(OR(L566="Sent",L566="Picked up"),"Done",IF(L566="Cancelled","Cancelled",IF(K566&lt;TODAY(),"Late by "&amp;(TODAY()-K566)&amp;IF((TODAY()-K566)=1," day"," days"),IF(K566=TODAY(),"Due today","Due in "&amp;(K566-TODAY())&amp;IF((K566-TODAY())=1," day"," days"))))))</f>
        <v/>
      </c>
      <c r="S566" s="33" t="n"/>
      <c r="T566" s="1">
        <f>IF(AND(B566&lt;&gt;"",K566&lt;&gt;"",L566&lt;&gt;"Sent",L566&lt;&gt;"Picked up",L566&lt;&gt;"Cancelled"),K566+ROW()/10000000,"")</f>
        <v/>
      </c>
      <c r="U566">
        <f>IF(OR(B566="",C566=""),"",B566+ROW()/10000000)</f>
        <v/>
      </c>
      <c r="V566">
        <f>IF(U566="","",IF(COUNTIFS(Orders!$C$6:$C$1005,C566,Orders!$U$6:$U$1005,"&gt;"&amp;U566)=0,1,0))</f>
        <v/>
      </c>
      <c r="W566">
        <f>IF(AND(B566&lt;&gt;"",K566&lt;&gt;"",L566&lt;&gt;"Sent",L566&lt;&gt;"Picked up",L566&lt;&gt;"Cancelled"),IF(N(E566)=0,1,E566),0)</f>
        <v/>
      </c>
      <c r="X566">
        <f>IF(OR(B566="",D566=""),"",IF(N(E566)=0,1,E566))</f>
        <v/>
      </c>
    </row>
    <row r="567">
      <c r="A567" s="1" t="n"/>
      <c r="B567" s="31" t="n"/>
      <c r="C567" s="32" t="n"/>
      <c r="D567" s="33" t="n"/>
      <c r="E567" s="34" t="n"/>
      <c r="F567" s="35" t="n"/>
      <c r="G567" s="35" t="n"/>
      <c r="H567" s="30">
        <f>IF(OR(B567="",D567=""),"",IF(N(E567)=0,1,E567)*IFERROR(INDEX(Products!$C$6:$C$105,MATCH(D567,Products!$B$6:$B$105,0)),0)+N(F567)+N(G567))</f>
        <v/>
      </c>
      <c r="I567" s="35" t="n"/>
      <c r="J567" s="30">
        <f>IF(OR(H567="",L567="Cancelled"),"",IF(H567-N(I567)&gt;0.005,H567-N(I567),""))</f>
        <v/>
      </c>
      <c r="K567" s="31" t="n"/>
      <c r="L567" s="36" t="n"/>
      <c r="M567" s="33" t="n"/>
      <c r="N567" s="22">
        <f>IF(OR(H567="",L567="Cancelled"),"",IF(N(E567)=0,1,E567)*IFERROR(INDEX(Products!$E$6:$E$105,MATCH(D567,Products!$B$6:$B$105,0)),0))</f>
        <v/>
      </c>
      <c r="O567" s="35" t="n"/>
      <c r="P567" s="22">
        <f>IF(OR(H567="",L567="Cancelled"),"",ROUND(IFERROR(H567*INDEX(Settings!$C$6:$C$15,MATCH(M567,Settings!$B$6:$B$15,0))+INDEX(Settings!$D$6:$D$15,MATCH(M567,Settings!$B$6:$B$15,0)),0),2))</f>
        <v/>
      </c>
      <c r="Q567" s="28">
        <f>IF(OR(H567="",L567="Cancelled"),"",H567-N(N567)-N(O567)-N(P567))</f>
        <v/>
      </c>
      <c r="R567" s="19">
        <f>IF(OR(B567="",K567=""),"",IF(OR(L567="Sent",L567="Picked up"),"Done",IF(L567="Cancelled","Cancelled",IF(K567&lt;TODAY(),"Late by "&amp;(TODAY()-K567)&amp;IF((TODAY()-K567)=1," day"," days"),IF(K567=TODAY(),"Due today","Due in "&amp;(K567-TODAY())&amp;IF((K567-TODAY())=1," day"," days"))))))</f>
        <v/>
      </c>
      <c r="S567" s="33" t="n"/>
      <c r="T567" s="1">
        <f>IF(AND(B567&lt;&gt;"",K567&lt;&gt;"",L567&lt;&gt;"Sent",L567&lt;&gt;"Picked up",L567&lt;&gt;"Cancelled"),K567+ROW()/10000000,"")</f>
        <v/>
      </c>
      <c r="U567">
        <f>IF(OR(B567="",C567=""),"",B567+ROW()/10000000)</f>
        <v/>
      </c>
      <c r="V567">
        <f>IF(U567="","",IF(COUNTIFS(Orders!$C$6:$C$1005,C567,Orders!$U$6:$U$1005,"&gt;"&amp;U567)=0,1,0))</f>
        <v/>
      </c>
      <c r="W567">
        <f>IF(AND(B567&lt;&gt;"",K567&lt;&gt;"",L567&lt;&gt;"Sent",L567&lt;&gt;"Picked up",L567&lt;&gt;"Cancelled"),IF(N(E567)=0,1,E567),0)</f>
        <v/>
      </c>
      <c r="X567">
        <f>IF(OR(B567="",D567=""),"",IF(N(E567)=0,1,E567))</f>
        <v/>
      </c>
    </row>
    <row r="568">
      <c r="A568" s="1" t="n"/>
      <c r="B568" s="31" t="n"/>
      <c r="C568" s="32" t="n"/>
      <c r="D568" s="33" t="n"/>
      <c r="E568" s="34" t="n"/>
      <c r="F568" s="35" t="n"/>
      <c r="G568" s="35" t="n"/>
      <c r="H568" s="30">
        <f>IF(OR(B568="",D568=""),"",IF(N(E568)=0,1,E568)*IFERROR(INDEX(Products!$C$6:$C$105,MATCH(D568,Products!$B$6:$B$105,0)),0)+N(F568)+N(G568))</f>
        <v/>
      </c>
      <c r="I568" s="35" t="n"/>
      <c r="J568" s="30">
        <f>IF(OR(H568="",L568="Cancelled"),"",IF(H568-N(I568)&gt;0.005,H568-N(I568),""))</f>
        <v/>
      </c>
      <c r="K568" s="31" t="n"/>
      <c r="L568" s="36" t="n"/>
      <c r="M568" s="33" t="n"/>
      <c r="N568" s="22">
        <f>IF(OR(H568="",L568="Cancelled"),"",IF(N(E568)=0,1,E568)*IFERROR(INDEX(Products!$E$6:$E$105,MATCH(D568,Products!$B$6:$B$105,0)),0))</f>
        <v/>
      </c>
      <c r="O568" s="35" t="n"/>
      <c r="P568" s="22">
        <f>IF(OR(H568="",L568="Cancelled"),"",ROUND(IFERROR(H568*INDEX(Settings!$C$6:$C$15,MATCH(M568,Settings!$B$6:$B$15,0))+INDEX(Settings!$D$6:$D$15,MATCH(M568,Settings!$B$6:$B$15,0)),0),2))</f>
        <v/>
      </c>
      <c r="Q568" s="28">
        <f>IF(OR(H568="",L568="Cancelled"),"",H568-N(N568)-N(O568)-N(P568))</f>
        <v/>
      </c>
      <c r="R568" s="19">
        <f>IF(OR(B568="",K568=""),"",IF(OR(L568="Sent",L568="Picked up"),"Done",IF(L568="Cancelled","Cancelled",IF(K568&lt;TODAY(),"Late by "&amp;(TODAY()-K568)&amp;IF((TODAY()-K568)=1," day"," days"),IF(K568=TODAY(),"Due today","Due in "&amp;(K568-TODAY())&amp;IF((K568-TODAY())=1," day"," days"))))))</f>
        <v/>
      </c>
      <c r="S568" s="33" t="n"/>
      <c r="T568" s="1">
        <f>IF(AND(B568&lt;&gt;"",K568&lt;&gt;"",L568&lt;&gt;"Sent",L568&lt;&gt;"Picked up",L568&lt;&gt;"Cancelled"),K568+ROW()/10000000,"")</f>
        <v/>
      </c>
      <c r="U568">
        <f>IF(OR(B568="",C568=""),"",B568+ROW()/10000000)</f>
        <v/>
      </c>
      <c r="V568">
        <f>IF(U568="","",IF(COUNTIFS(Orders!$C$6:$C$1005,C568,Orders!$U$6:$U$1005,"&gt;"&amp;U568)=0,1,0))</f>
        <v/>
      </c>
      <c r="W568">
        <f>IF(AND(B568&lt;&gt;"",K568&lt;&gt;"",L568&lt;&gt;"Sent",L568&lt;&gt;"Picked up",L568&lt;&gt;"Cancelled"),IF(N(E568)=0,1,E568),0)</f>
        <v/>
      </c>
      <c r="X568">
        <f>IF(OR(B568="",D568=""),"",IF(N(E568)=0,1,E568))</f>
        <v/>
      </c>
    </row>
    <row r="569">
      <c r="A569" s="1" t="n"/>
      <c r="B569" s="31" t="n"/>
      <c r="C569" s="32" t="n"/>
      <c r="D569" s="33" t="n"/>
      <c r="E569" s="34" t="n"/>
      <c r="F569" s="35" t="n"/>
      <c r="G569" s="35" t="n"/>
      <c r="H569" s="30">
        <f>IF(OR(B569="",D569=""),"",IF(N(E569)=0,1,E569)*IFERROR(INDEX(Products!$C$6:$C$105,MATCH(D569,Products!$B$6:$B$105,0)),0)+N(F569)+N(G569))</f>
        <v/>
      </c>
      <c r="I569" s="35" t="n"/>
      <c r="J569" s="30">
        <f>IF(OR(H569="",L569="Cancelled"),"",IF(H569-N(I569)&gt;0.005,H569-N(I569),""))</f>
        <v/>
      </c>
      <c r="K569" s="31" t="n"/>
      <c r="L569" s="36" t="n"/>
      <c r="M569" s="33" t="n"/>
      <c r="N569" s="22">
        <f>IF(OR(H569="",L569="Cancelled"),"",IF(N(E569)=0,1,E569)*IFERROR(INDEX(Products!$E$6:$E$105,MATCH(D569,Products!$B$6:$B$105,0)),0))</f>
        <v/>
      </c>
      <c r="O569" s="35" t="n"/>
      <c r="P569" s="22">
        <f>IF(OR(H569="",L569="Cancelled"),"",ROUND(IFERROR(H569*INDEX(Settings!$C$6:$C$15,MATCH(M569,Settings!$B$6:$B$15,0))+INDEX(Settings!$D$6:$D$15,MATCH(M569,Settings!$B$6:$B$15,0)),0),2))</f>
        <v/>
      </c>
      <c r="Q569" s="28">
        <f>IF(OR(H569="",L569="Cancelled"),"",H569-N(N569)-N(O569)-N(P569))</f>
        <v/>
      </c>
      <c r="R569" s="19">
        <f>IF(OR(B569="",K569=""),"",IF(OR(L569="Sent",L569="Picked up"),"Done",IF(L569="Cancelled","Cancelled",IF(K569&lt;TODAY(),"Late by "&amp;(TODAY()-K569)&amp;IF((TODAY()-K569)=1," day"," days"),IF(K569=TODAY(),"Due today","Due in "&amp;(K569-TODAY())&amp;IF((K569-TODAY())=1," day"," days"))))))</f>
        <v/>
      </c>
      <c r="S569" s="33" t="n"/>
      <c r="T569" s="1">
        <f>IF(AND(B569&lt;&gt;"",K569&lt;&gt;"",L569&lt;&gt;"Sent",L569&lt;&gt;"Picked up",L569&lt;&gt;"Cancelled"),K569+ROW()/10000000,"")</f>
        <v/>
      </c>
      <c r="U569">
        <f>IF(OR(B569="",C569=""),"",B569+ROW()/10000000)</f>
        <v/>
      </c>
      <c r="V569">
        <f>IF(U569="","",IF(COUNTIFS(Orders!$C$6:$C$1005,C569,Orders!$U$6:$U$1005,"&gt;"&amp;U569)=0,1,0))</f>
        <v/>
      </c>
      <c r="W569">
        <f>IF(AND(B569&lt;&gt;"",K569&lt;&gt;"",L569&lt;&gt;"Sent",L569&lt;&gt;"Picked up",L569&lt;&gt;"Cancelled"),IF(N(E569)=0,1,E569),0)</f>
        <v/>
      </c>
      <c r="X569">
        <f>IF(OR(B569="",D569=""),"",IF(N(E569)=0,1,E569))</f>
        <v/>
      </c>
    </row>
    <row r="570">
      <c r="A570" s="1" t="n"/>
      <c r="B570" s="31" t="n"/>
      <c r="C570" s="32" t="n"/>
      <c r="D570" s="33" t="n"/>
      <c r="E570" s="34" t="n"/>
      <c r="F570" s="35" t="n"/>
      <c r="G570" s="35" t="n"/>
      <c r="H570" s="30">
        <f>IF(OR(B570="",D570=""),"",IF(N(E570)=0,1,E570)*IFERROR(INDEX(Products!$C$6:$C$105,MATCH(D570,Products!$B$6:$B$105,0)),0)+N(F570)+N(G570))</f>
        <v/>
      </c>
      <c r="I570" s="35" t="n"/>
      <c r="J570" s="30">
        <f>IF(OR(H570="",L570="Cancelled"),"",IF(H570-N(I570)&gt;0.005,H570-N(I570),""))</f>
        <v/>
      </c>
      <c r="K570" s="31" t="n"/>
      <c r="L570" s="36" t="n"/>
      <c r="M570" s="33" t="n"/>
      <c r="N570" s="22">
        <f>IF(OR(H570="",L570="Cancelled"),"",IF(N(E570)=0,1,E570)*IFERROR(INDEX(Products!$E$6:$E$105,MATCH(D570,Products!$B$6:$B$105,0)),0))</f>
        <v/>
      </c>
      <c r="O570" s="35" t="n"/>
      <c r="P570" s="22">
        <f>IF(OR(H570="",L570="Cancelled"),"",ROUND(IFERROR(H570*INDEX(Settings!$C$6:$C$15,MATCH(M570,Settings!$B$6:$B$15,0))+INDEX(Settings!$D$6:$D$15,MATCH(M570,Settings!$B$6:$B$15,0)),0),2))</f>
        <v/>
      </c>
      <c r="Q570" s="28">
        <f>IF(OR(H570="",L570="Cancelled"),"",H570-N(N570)-N(O570)-N(P570))</f>
        <v/>
      </c>
      <c r="R570" s="19">
        <f>IF(OR(B570="",K570=""),"",IF(OR(L570="Sent",L570="Picked up"),"Done",IF(L570="Cancelled","Cancelled",IF(K570&lt;TODAY(),"Late by "&amp;(TODAY()-K570)&amp;IF((TODAY()-K570)=1," day"," days"),IF(K570=TODAY(),"Due today","Due in "&amp;(K570-TODAY())&amp;IF((K570-TODAY())=1," day"," days"))))))</f>
        <v/>
      </c>
      <c r="S570" s="33" t="n"/>
      <c r="T570" s="1">
        <f>IF(AND(B570&lt;&gt;"",K570&lt;&gt;"",L570&lt;&gt;"Sent",L570&lt;&gt;"Picked up",L570&lt;&gt;"Cancelled"),K570+ROW()/10000000,"")</f>
        <v/>
      </c>
      <c r="U570">
        <f>IF(OR(B570="",C570=""),"",B570+ROW()/10000000)</f>
        <v/>
      </c>
      <c r="V570">
        <f>IF(U570="","",IF(COUNTIFS(Orders!$C$6:$C$1005,C570,Orders!$U$6:$U$1005,"&gt;"&amp;U570)=0,1,0))</f>
        <v/>
      </c>
      <c r="W570">
        <f>IF(AND(B570&lt;&gt;"",K570&lt;&gt;"",L570&lt;&gt;"Sent",L570&lt;&gt;"Picked up",L570&lt;&gt;"Cancelled"),IF(N(E570)=0,1,E570),0)</f>
        <v/>
      </c>
      <c r="X570">
        <f>IF(OR(B570="",D570=""),"",IF(N(E570)=0,1,E570))</f>
        <v/>
      </c>
    </row>
    <row r="571">
      <c r="A571" s="1" t="n"/>
      <c r="B571" s="31" t="n"/>
      <c r="C571" s="32" t="n"/>
      <c r="D571" s="33" t="n"/>
      <c r="E571" s="34" t="n"/>
      <c r="F571" s="35" t="n"/>
      <c r="G571" s="35" t="n"/>
      <c r="H571" s="30">
        <f>IF(OR(B571="",D571=""),"",IF(N(E571)=0,1,E571)*IFERROR(INDEX(Products!$C$6:$C$105,MATCH(D571,Products!$B$6:$B$105,0)),0)+N(F571)+N(G571))</f>
        <v/>
      </c>
      <c r="I571" s="35" t="n"/>
      <c r="J571" s="30">
        <f>IF(OR(H571="",L571="Cancelled"),"",IF(H571-N(I571)&gt;0.005,H571-N(I571),""))</f>
        <v/>
      </c>
      <c r="K571" s="31" t="n"/>
      <c r="L571" s="36" t="n"/>
      <c r="M571" s="33" t="n"/>
      <c r="N571" s="22">
        <f>IF(OR(H571="",L571="Cancelled"),"",IF(N(E571)=0,1,E571)*IFERROR(INDEX(Products!$E$6:$E$105,MATCH(D571,Products!$B$6:$B$105,0)),0))</f>
        <v/>
      </c>
      <c r="O571" s="35" t="n"/>
      <c r="P571" s="22">
        <f>IF(OR(H571="",L571="Cancelled"),"",ROUND(IFERROR(H571*INDEX(Settings!$C$6:$C$15,MATCH(M571,Settings!$B$6:$B$15,0))+INDEX(Settings!$D$6:$D$15,MATCH(M571,Settings!$B$6:$B$15,0)),0),2))</f>
        <v/>
      </c>
      <c r="Q571" s="28">
        <f>IF(OR(H571="",L571="Cancelled"),"",H571-N(N571)-N(O571)-N(P571))</f>
        <v/>
      </c>
      <c r="R571" s="19">
        <f>IF(OR(B571="",K571=""),"",IF(OR(L571="Sent",L571="Picked up"),"Done",IF(L571="Cancelled","Cancelled",IF(K571&lt;TODAY(),"Late by "&amp;(TODAY()-K571)&amp;IF((TODAY()-K571)=1," day"," days"),IF(K571=TODAY(),"Due today","Due in "&amp;(K571-TODAY())&amp;IF((K571-TODAY())=1," day"," days"))))))</f>
        <v/>
      </c>
      <c r="S571" s="33" t="n"/>
      <c r="T571" s="1">
        <f>IF(AND(B571&lt;&gt;"",K571&lt;&gt;"",L571&lt;&gt;"Sent",L571&lt;&gt;"Picked up",L571&lt;&gt;"Cancelled"),K571+ROW()/10000000,"")</f>
        <v/>
      </c>
      <c r="U571">
        <f>IF(OR(B571="",C571=""),"",B571+ROW()/10000000)</f>
        <v/>
      </c>
      <c r="V571">
        <f>IF(U571="","",IF(COUNTIFS(Orders!$C$6:$C$1005,C571,Orders!$U$6:$U$1005,"&gt;"&amp;U571)=0,1,0))</f>
        <v/>
      </c>
      <c r="W571">
        <f>IF(AND(B571&lt;&gt;"",K571&lt;&gt;"",L571&lt;&gt;"Sent",L571&lt;&gt;"Picked up",L571&lt;&gt;"Cancelled"),IF(N(E571)=0,1,E571),0)</f>
        <v/>
      </c>
      <c r="X571">
        <f>IF(OR(B571="",D571=""),"",IF(N(E571)=0,1,E571))</f>
        <v/>
      </c>
    </row>
    <row r="572">
      <c r="A572" s="1" t="n"/>
      <c r="B572" s="31" t="n"/>
      <c r="C572" s="32" t="n"/>
      <c r="D572" s="33" t="n"/>
      <c r="E572" s="34" t="n"/>
      <c r="F572" s="35" t="n"/>
      <c r="G572" s="35" t="n"/>
      <c r="H572" s="30">
        <f>IF(OR(B572="",D572=""),"",IF(N(E572)=0,1,E572)*IFERROR(INDEX(Products!$C$6:$C$105,MATCH(D572,Products!$B$6:$B$105,0)),0)+N(F572)+N(G572))</f>
        <v/>
      </c>
      <c r="I572" s="35" t="n"/>
      <c r="J572" s="30">
        <f>IF(OR(H572="",L572="Cancelled"),"",IF(H572-N(I572)&gt;0.005,H572-N(I572),""))</f>
        <v/>
      </c>
      <c r="K572" s="31" t="n"/>
      <c r="L572" s="36" t="n"/>
      <c r="M572" s="33" t="n"/>
      <c r="N572" s="22">
        <f>IF(OR(H572="",L572="Cancelled"),"",IF(N(E572)=0,1,E572)*IFERROR(INDEX(Products!$E$6:$E$105,MATCH(D572,Products!$B$6:$B$105,0)),0))</f>
        <v/>
      </c>
      <c r="O572" s="35" t="n"/>
      <c r="P572" s="22">
        <f>IF(OR(H572="",L572="Cancelled"),"",ROUND(IFERROR(H572*INDEX(Settings!$C$6:$C$15,MATCH(M572,Settings!$B$6:$B$15,0))+INDEX(Settings!$D$6:$D$15,MATCH(M572,Settings!$B$6:$B$15,0)),0),2))</f>
        <v/>
      </c>
      <c r="Q572" s="28">
        <f>IF(OR(H572="",L572="Cancelled"),"",H572-N(N572)-N(O572)-N(P572))</f>
        <v/>
      </c>
      <c r="R572" s="19">
        <f>IF(OR(B572="",K572=""),"",IF(OR(L572="Sent",L572="Picked up"),"Done",IF(L572="Cancelled","Cancelled",IF(K572&lt;TODAY(),"Late by "&amp;(TODAY()-K572)&amp;IF((TODAY()-K572)=1," day"," days"),IF(K572=TODAY(),"Due today","Due in "&amp;(K572-TODAY())&amp;IF((K572-TODAY())=1," day"," days"))))))</f>
        <v/>
      </c>
      <c r="S572" s="33" t="n"/>
      <c r="T572" s="1">
        <f>IF(AND(B572&lt;&gt;"",K572&lt;&gt;"",L572&lt;&gt;"Sent",L572&lt;&gt;"Picked up",L572&lt;&gt;"Cancelled"),K572+ROW()/10000000,"")</f>
        <v/>
      </c>
      <c r="U572">
        <f>IF(OR(B572="",C572=""),"",B572+ROW()/10000000)</f>
        <v/>
      </c>
      <c r="V572">
        <f>IF(U572="","",IF(COUNTIFS(Orders!$C$6:$C$1005,C572,Orders!$U$6:$U$1005,"&gt;"&amp;U572)=0,1,0))</f>
        <v/>
      </c>
      <c r="W572">
        <f>IF(AND(B572&lt;&gt;"",K572&lt;&gt;"",L572&lt;&gt;"Sent",L572&lt;&gt;"Picked up",L572&lt;&gt;"Cancelled"),IF(N(E572)=0,1,E572),0)</f>
        <v/>
      </c>
      <c r="X572">
        <f>IF(OR(B572="",D572=""),"",IF(N(E572)=0,1,E572))</f>
        <v/>
      </c>
    </row>
    <row r="573">
      <c r="A573" s="1" t="n"/>
      <c r="B573" s="31" t="n"/>
      <c r="C573" s="32" t="n"/>
      <c r="D573" s="33" t="n"/>
      <c r="E573" s="34" t="n"/>
      <c r="F573" s="35" t="n"/>
      <c r="G573" s="35" t="n"/>
      <c r="H573" s="30">
        <f>IF(OR(B573="",D573=""),"",IF(N(E573)=0,1,E573)*IFERROR(INDEX(Products!$C$6:$C$105,MATCH(D573,Products!$B$6:$B$105,0)),0)+N(F573)+N(G573))</f>
        <v/>
      </c>
      <c r="I573" s="35" t="n"/>
      <c r="J573" s="30">
        <f>IF(OR(H573="",L573="Cancelled"),"",IF(H573-N(I573)&gt;0.005,H573-N(I573),""))</f>
        <v/>
      </c>
      <c r="K573" s="31" t="n"/>
      <c r="L573" s="36" t="n"/>
      <c r="M573" s="33" t="n"/>
      <c r="N573" s="22">
        <f>IF(OR(H573="",L573="Cancelled"),"",IF(N(E573)=0,1,E573)*IFERROR(INDEX(Products!$E$6:$E$105,MATCH(D573,Products!$B$6:$B$105,0)),0))</f>
        <v/>
      </c>
      <c r="O573" s="35" t="n"/>
      <c r="P573" s="22">
        <f>IF(OR(H573="",L573="Cancelled"),"",ROUND(IFERROR(H573*INDEX(Settings!$C$6:$C$15,MATCH(M573,Settings!$B$6:$B$15,0))+INDEX(Settings!$D$6:$D$15,MATCH(M573,Settings!$B$6:$B$15,0)),0),2))</f>
        <v/>
      </c>
      <c r="Q573" s="28">
        <f>IF(OR(H573="",L573="Cancelled"),"",H573-N(N573)-N(O573)-N(P573))</f>
        <v/>
      </c>
      <c r="R573" s="19">
        <f>IF(OR(B573="",K573=""),"",IF(OR(L573="Sent",L573="Picked up"),"Done",IF(L573="Cancelled","Cancelled",IF(K573&lt;TODAY(),"Late by "&amp;(TODAY()-K573)&amp;IF((TODAY()-K573)=1," day"," days"),IF(K573=TODAY(),"Due today","Due in "&amp;(K573-TODAY())&amp;IF((K573-TODAY())=1," day"," days"))))))</f>
        <v/>
      </c>
      <c r="S573" s="33" t="n"/>
      <c r="T573" s="1">
        <f>IF(AND(B573&lt;&gt;"",K573&lt;&gt;"",L573&lt;&gt;"Sent",L573&lt;&gt;"Picked up",L573&lt;&gt;"Cancelled"),K573+ROW()/10000000,"")</f>
        <v/>
      </c>
      <c r="U573">
        <f>IF(OR(B573="",C573=""),"",B573+ROW()/10000000)</f>
        <v/>
      </c>
      <c r="V573">
        <f>IF(U573="","",IF(COUNTIFS(Orders!$C$6:$C$1005,C573,Orders!$U$6:$U$1005,"&gt;"&amp;U573)=0,1,0))</f>
        <v/>
      </c>
      <c r="W573">
        <f>IF(AND(B573&lt;&gt;"",K573&lt;&gt;"",L573&lt;&gt;"Sent",L573&lt;&gt;"Picked up",L573&lt;&gt;"Cancelled"),IF(N(E573)=0,1,E573),0)</f>
        <v/>
      </c>
      <c r="X573">
        <f>IF(OR(B573="",D573=""),"",IF(N(E573)=0,1,E573))</f>
        <v/>
      </c>
    </row>
    <row r="574">
      <c r="A574" s="1" t="n"/>
      <c r="B574" s="31" t="n"/>
      <c r="C574" s="32" t="n"/>
      <c r="D574" s="33" t="n"/>
      <c r="E574" s="34" t="n"/>
      <c r="F574" s="35" t="n"/>
      <c r="G574" s="35" t="n"/>
      <c r="H574" s="30">
        <f>IF(OR(B574="",D574=""),"",IF(N(E574)=0,1,E574)*IFERROR(INDEX(Products!$C$6:$C$105,MATCH(D574,Products!$B$6:$B$105,0)),0)+N(F574)+N(G574))</f>
        <v/>
      </c>
      <c r="I574" s="35" t="n"/>
      <c r="J574" s="30">
        <f>IF(OR(H574="",L574="Cancelled"),"",IF(H574-N(I574)&gt;0.005,H574-N(I574),""))</f>
        <v/>
      </c>
      <c r="K574" s="31" t="n"/>
      <c r="L574" s="36" t="n"/>
      <c r="M574" s="33" t="n"/>
      <c r="N574" s="22">
        <f>IF(OR(H574="",L574="Cancelled"),"",IF(N(E574)=0,1,E574)*IFERROR(INDEX(Products!$E$6:$E$105,MATCH(D574,Products!$B$6:$B$105,0)),0))</f>
        <v/>
      </c>
      <c r="O574" s="35" t="n"/>
      <c r="P574" s="22">
        <f>IF(OR(H574="",L574="Cancelled"),"",ROUND(IFERROR(H574*INDEX(Settings!$C$6:$C$15,MATCH(M574,Settings!$B$6:$B$15,0))+INDEX(Settings!$D$6:$D$15,MATCH(M574,Settings!$B$6:$B$15,0)),0),2))</f>
        <v/>
      </c>
      <c r="Q574" s="28">
        <f>IF(OR(H574="",L574="Cancelled"),"",H574-N(N574)-N(O574)-N(P574))</f>
        <v/>
      </c>
      <c r="R574" s="19">
        <f>IF(OR(B574="",K574=""),"",IF(OR(L574="Sent",L574="Picked up"),"Done",IF(L574="Cancelled","Cancelled",IF(K574&lt;TODAY(),"Late by "&amp;(TODAY()-K574)&amp;IF((TODAY()-K574)=1," day"," days"),IF(K574=TODAY(),"Due today","Due in "&amp;(K574-TODAY())&amp;IF((K574-TODAY())=1," day"," days"))))))</f>
        <v/>
      </c>
      <c r="S574" s="33" t="n"/>
      <c r="T574" s="1">
        <f>IF(AND(B574&lt;&gt;"",K574&lt;&gt;"",L574&lt;&gt;"Sent",L574&lt;&gt;"Picked up",L574&lt;&gt;"Cancelled"),K574+ROW()/10000000,"")</f>
        <v/>
      </c>
      <c r="U574">
        <f>IF(OR(B574="",C574=""),"",B574+ROW()/10000000)</f>
        <v/>
      </c>
      <c r="V574">
        <f>IF(U574="","",IF(COUNTIFS(Orders!$C$6:$C$1005,C574,Orders!$U$6:$U$1005,"&gt;"&amp;U574)=0,1,0))</f>
        <v/>
      </c>
      <c r="W574">
        <f>IF(AND(B574&lt;&gt;"",K574&lt;&gt;"",L574&lt;&gt;"Sent",L574&lt;&gt;"Picked up",L574&lt;&gt;"Cancelled"),IF(N(E574)=0,1,E574),0)</f>
        <v/>
      </c>
      <c r="X574">
        <f>IF(OR(B574="",D574=""),"",IF(N(E574)=0,1,E574))</f>
        <v/>
      </c>
    </row>
    <row r="575">
      <c r="A575" s="1" t="n"/>
      <c r="B575" s="31" t="n"/>
      <c r="C575" s="32" t="n"/>
      <c r="D575" s="33" t="n"/>
      <c r="E575" s="34" t="n"/>
      <c r="F575" s="35" t="n"/>
      <c r="G575" s="35" t="n"/>
      <c r="H575" s="30">
        <f>IF(OR(B575="",D575=""),"",IF(N(E575)=0,1,E575)*IFERROR(INDEX(Products!$C$6:$C$105,MATCH(D575,Products!$B$6:$B$105,0)),0)+N(F575)+N(G575))</f>
        <v/>
      </c>
      <c r="I575" s="35" t="n"/>
      <c r="J575" s="30">
        <f>IF(OR(H575="",L575="Cancelled"),"",IF(H575-N(I575)&gt;0.005,H575-N(I575),""))</f>
        <v/>
      </c>
      <c r="K575" s="31" t="n"/>
      <c r="L575" s="36" t="n"/>
      <c r="M575" s="33" t="n"/>
      <c r="N575" s="22">
        <f>IF(OR(H575="",L575="Cancelled"),"",IF(N(E575)=0,1,E575)*IFERROR(INDEX(Products!$E$6:$E$105,MATCH(D575,Products!$B$6:$B$105,0)),0))</f>
        <v/>
      </c>
      <c r="O575" s="35" t="n"/>
      <c r="P575" s="22">
        <f>IF(OR(H575="",L575="Cancelled"),"",ROUND(IFERROR(H575*INDEX(Settings!$C$6:$C$15,MATCH(M575,Settings!$B$6:$B$15,0))+INDEX(Settings!$D$6:$D$15,MATCH(M575,Settings!$B$6:$B$15,0)),0),2))</f>
        <v/>
      </c>
      <c r="Q575" s="28">
        <f>IF(OR(H575="",L575="Cancelled"),"",H575-N(N575)-N(O575)-N(P575))</f>
        <v/>
      </c>
      <c r="R575" s="19">
        <f>IF(OR(B575="",K575=""),"",IF(OR(L575="Sent",L575="Picked up"),"Done",IF(L575="Cancelled","Cancelled",IF(K575&lt;TODAY(),"Late by "&amp;(TODAY()-K575)&amp;IF((TODAY()-K575)=1," day"," days"),IF(K575=TODAY(),"Due today","Due in "&amp;(K575-TODAY())&amp;IF((K575-TODAY())=1," day"," days"))))))</f>
        <v/>
      </c>
      <c r="S575" s="33" t="n"/>
      <c r="T575" s="1">
        <f>IF(AND(B575&lt;&gt;"",K575&lt;&gt;"",L575&lt;&gt;"Sent",L575&lt;&gt;"Picked up",L575&lt;&gt;"Cancelled"),K575+ROW()/10000000,"")</f>
        <v/>
      </c>
      <c r="U575">
        <f>IF(OR(B575="",C575=""),"",B575+ROW()/10000000)</f>
        <v/>
      </c>
      <c r="V575">
        <f>IF(U575="","",IF(COUNTIFS(Orders!$C$6:$C$1005,C575,Orders!$U$6:$U$1005,"&gt;"&amp;U575)=0,1,0))</f>
        <v/>
      </c>
      <c r="W575">
        <f>IF(AND(B575&lt;&gt;"",K575&lt;&gt;"",L575&lt;&gt;"Sent",L575&lt;&gt;"Picked up",L575&lt;&gt;"Cancelled"),IF(N(E575)=0,1,E575),0)</f>
        <v/>
      </c>
      <c r="X575">
        <f>IF(OR(B575="",D575=""),"",IF(N(E575)=0,1,E575))</f>
        <v/>
      </c>
    </row>
    <row r="576">
      <c r="A576" s="1" t="n"/>
      <c r="B576" s="31" t="n"/>
      <c r="C576" s="32" t="n"/>
      <c r="D576" s="33" t="n"/>
      <c r="E576" s="34" t="n"/>
      <c r="F576" s="35" t="n"/>
      <c r="G576" s="35" t="n"/>
      <c r="H576" s="30">
        <f>IF(OR(B576="",D576=""),"",IF(N(E576)=0,1,E576)*IFERROR(INDEX(Products!$C$6:$C$105,MATCH(D576,Products!$B$6:$B$105,0)),0)+N(F576)+N(G576))</f>
        <v/>
      </c>
      <c r="I576" s="35" t="n"/>
      <c r="J576" s="30">
        <f>IF(OR(H576="",L576="Cancelled"),"",IF(H576-N(I576)&gt;0.005,H576-N(I576),""))</f>
        <v/>
      </c>
      <c r="K576" s="31" t="n"/>
      <c r="L576" s="36" t="n"/>
      <c r="M576" s="33" t="n"/>
      <c r="N576" s="22">
        <f>IF(OR(H576="",L576="Cancelled"),"",IF(N(E576)=0,1,E576)*IFERROR(INDEX(Products!$E$6:$E$105,MATCH(D576,Products!$B$6:$B$105,0)),0))</f>
        <v/>
      </c>
      <c r="O576" s="35" t="n"/>
      <c r="P576" s="22">
        <f>IF(OR(H576="",L576="Cancelled"),"",ROUND(IFERROR(H576*INDEX(Settings!$C$6:$C$15,MATCH(M576,Settings!$B$6:$B$15,0))+INDEX(Settings!$D$6:$D$15,MATCH(M576,Settings!$B$6:$B$15,0)),0),2))</f>
        <v/>
      </c>
      <c r="Q576" s="28">
        <f>IF(OR(H576="",L576="Cancelled"),"",H576-N(N576)-N(O576)-N(P576))</f>
        <v/>
      </c>
      <c r="R576" s="19">
        <f>IF(OR(B576="",K576=""),"",IF(OR(L576="Sent",L576="Picked up"),"Done",IF(L576="Cancelled","Cancelled",IF(K576&lt;TODAY(),"Late by "&amp;(TODAY()-K576)&amp;IF((TODAY()-K576)=1," day"," days"),IF(K576=TODAY(),"Due today","Due in "&amp;(K576-TODAY())&amp;IF((K576-TODAY())=1," day"," days"))))))</f>
        <v/>
      </c>
      <c r="S576" s="33" t="n"/>
      <c r="T576" s="1">
        <f>IF(AND(B576&lt;&gt;"",K576&lt;&gt;"",L576&lt;&gt;"Sent",L576&lt;&gt;"Picked up",L576&lt;&gt;"Cancelled"),K576+ROW()/10000000,"")</f>
        <v/>
      </c>
      <c r="U576">
        <f>IF(OR(B576="",C576=""),"",B576+ROW()/10000000)</f>
        <v/>
      </c>
      <c r="V576">
        <f>IF(U576="","",IF(COUNTIFS(Orders!$C$6:$C$1005,C576,Orders!$U$6:$U$1005,"&gt;"&amp;U576)=0,1,0))</f>
        <v/>
      </c>
      <c r="W576">
        <f>IF(AND(B576&lt;&gt;"",K576&lt;&gt;"",L576&lt;&gt;"Sent",L576&lt;&gt;"Picked up",L576&lt;&gt;"Cancelled"),IF(N(E576)=0,1,E576),0)</f>
        <v/>
      </c>
      <c r="X576">
        <f>IF(OR(B576="",D576=""),"",IF(N(E576)=0,1,E576))</f>
        <v/>
      </c>
    </row>
    <row r="577">
      <c r="A577" s="1" t="n"/>
      <c r="B577" s="31" t="n"/>
      <c r="C577" s="32" t="n"/>
      <c r="D577" s="33" t="n"/>
      <c r="E577" s="34" t="n"/>
      <c r="F577" s="35" t="n"/>
      <c r="G577" s="35" t="n"/>
      <c r="H577" s="30">
        <f>IF(OR(B577="",D577=""),"",IF(N(E577)=0,1,E577)*IFERROR(INDEX(Products!$C$6:$C$105,MATCH(D577,Products!$B$6:$B$105,0)),0)+N(F577)+N(G577))</f>
        <v/>
      </c>
      <c r="I577" s="35" t="n"/>
      <c r="J577" s="30">
        <f>IF(OR(H577="",L577="Cancelled"),"",IF(H577-N(I577)&gt;0.005,H577-N(I577),""))</f>
        <v/>
      </c>
      <c r="K577" s="31" t="n"/>
      <c r="L577" s="36" t="n"/>
      <c r="M577" s="33" t="n"/>
      <c r="N577" s="22">
        <f>IF(OR(H577="",L577="Cancelled"),"",IF(N(E577)=0,1,E577)*IFERROR(INDEX(Products!$E$6:$E$105,MATCH(D577,Products!$B$6:$B$105,0)),0))</f>
        <v/>
      </c>
      <c r="O577" s="35" t="n"/>
      <c r="P577" s="22">
        <f>IF(OR(H577="",L577="Cancelled"),"",ROUND(IFERROR(H577*INDEX(Settings!$C$6:$C$15,MATCH(M577,Settings!$B$6:$B$15,0))+INDEX(Settings!$D$6:$D$15,MATCH(M577,Settings!$B$6:$B$15,0)),0),2))</f>
        <v/>
      </c>
      <c r="Q577" s="28">
        <f>IF(OR(H577="",L577="Cancelled"),"",H577-N(N577)-N(O577)-N(P577))</f>
        <v/>
      </c>
      <c r="R577" s="19">
        <f>IF(OR(B577="",K577=""),"",IF(OR(L577="Sent",L577="Picked up"),"Done",IF(L577="Cancelled","Cancelled",IF(K577&lt;TODAY(),"Late by "&amp;(TODAY()-K577)&amp;IF((TODAY()-K577)=1," day"," days"),IF(K577=TODAY(),"Due today","Due in "&amp;(K577-TODAY())&amp;IF((K577-TODAY())=1," day"," days"))))))</f>
        <v/>
      </c>
      <c r="S577" s="33" t="n"/>
      <c r="T577" s="1">
        <f>IF(AND(B577&lt;&gt;"",K577&lt;&gt;"",L577&lt;&gt;"Sent",L577&lt;&gt;"Picked up",L577&lt;&gt;"Cancelled"),K577+ROW()/10000000,"")</f>
        <v/>
      </c>
      <c r="U577">
        <f>IF(OR(B577="",C577=""),"",B577+ROW()/10000000)</f>
        <v/>
      </c>
      <c r="V577">
        <f>IF(U577="","",IF(COUNTIFS(Orders!$C$6:$C$1005,C577,Orders!$U$6:$U$1005,"&gt;"&amp;U577)=0,1,0))</f>
        <v/>
      </c>
      <c r="W577">
        <f>IF(AND(B577&lt;&gt;"",K577&lt;&gt;"",L577&lt;&gt;"Sent",L577&lt;&gt;"Picked up",L577&lt;&gt;"Cancelled"),IF(N(E577)=0,1,E577),0)</f>
        <v/>
      </c>
      <c r="X577">
        <f>IF(OR(B577="",D577=""),"",IF(N(E577)=0,1,E577))</f>
        <v/>
      </c>
    </row>
    <row r="578">
      <c r="A578" s="1" t="n"/>
      <c r="B578" s="31" t="n"/>
      <c r="C578" s="32" t="n"/>
      <c r="D578" s="33" t="n"/>
      <c r="E578" s="34" t="n"/>
      <c r="F578" s="35" t="n"/>
      <c r="G578" s="35" t="n"/>
      <c r="H578" s="30">
        <f>IF(OR(B578="",D578=""),"",IF(N(E578)=0,1,E578)*IFERROR(INDEX(Products!$C$6:$C$105,MATCH(D578,Products!$B$6:$B$105,0)),0)+N(F578)+N(G578))</f>
        <v/>
      </c>
      <c r="I578" s="35" t="n"/>
      <c r="J578" s="30">
        <f>IF(OR(H578="",L578="Cancelled"),"",IF(H578-N(I578)&gt;0.005,H578-N(I578),""))</f>
        <v/>
      </c>
      <c r="K578" s="31" t="n"/>
      <c r="L578" s="36" t="n"/>
      <c r="M578" s="33" t="n"/>
      <c r="N578" s="22">
        <f>IF(OR(H578="",L578="Cancelled"),"",IF(N(E578)=0,1,E578)*IFERROR(INDEX(Products!$E$6:$E$105,MATCH(D578,Products!$B$6:$B$105,0)),0))</f>
        <v/>
      </c>
      <c r="O578" s="35" t="n"/>
      <c r="P578" s="22">
        <f>IF(OR(H578="",L578="Cancelled"),"",ROUND(IFERROR(H578*INDEX(Settings!$C$6:$C$15,MATCH(M578,Settings!$B$6:$B$15,0))+INDEX(Settings!$D$6:$D$15,MATCH(M578,Settings!$B$6:$B$15,0)),0),2))</f>
        <v/>
      </c>
      <c r="Q578" s="28">
        <f>IF(OR(H578="",L578="Cancelled"),"",H578-N(N578)-N(O578)-N(P578))</f>
        <v/>
      </c>
      <c r="R578" s="19">
        <f>IF(OR(B578="",K578=""),"",IF(OR(L578="Sent",L578="Picked up"),"Done",IF(L578="Cancelled","Cancelled",IF(K578&lt;TODAY(),"Late by "&amp;(TODAY()-K578)&amp;IF((TODAY()-K578)=1," day"," days"),IF(K578=TODAY(),"Due today","Due in "&amp;(K578-TODAY())&amp;IF((K578-TODAY())=1," day"," days"))))))</f>
        <v/>
      </c>
      <c r="S578" s="33" t="n"/>
      <c r="T578" s="1">
        <f>IF(AND(B578&lt;&gt;"",K578&lt;&gt;"",L578&lt;&gt;"Sent",L578&lt;&gt;"Picked up",L578&lt;&gt;"Cancelled"),K578+ROW()/10000000,"")</f>
        <v/>
      </c>
      <c r="U578">
        <f>IF(OR(B578="",C578=""),"",B578+ROW()/10000000)</f>
        <v/>
      </c>
      <c r="V578">
        <f>IF(U578="","",IF(COUNTIFS(Orders!$C$6:$C$1005,C578,Orders!$U$6:$U$1005,"&gt;"&amp;U578)=0,1,0))</f>
        <v/>
      </c>
      <c r="W578">
        <f>IF(AND(B578&lt;&gt;"",K578&lt;&gt;"",L578&lt;&gt;"Sent",L578&lt;&gt;"Picked up",L578&lt;&gt;"Cancelled"),IF(N(E578)=0,1,E578),0)</f>
        <v/>
      </c>
      <c r="X578">
        <f>IF(OR(B578="",D578=""),"",IF(N(E578)=0,1,E578))</f>
        <v/>
      </c>
    </row>
    <row r="579">
      <c r="A579" s="1" t="n"/>
      <c r="B579" s="31" t="n"/>
      <c r="C579" s="32" t="n"/>
      <c r="D579" s="33" t="n"/>
      <c r="E579" s="34" t="n"/>
      <c r="F579" s="35" t="n"/>
      <c r="G579" s="35" t="n"/>
      <c r="H579" s="30">
        <f>IF(OR(B579="",D579=""),"",IF(N(E579)=0,1,E579)*IFERROR(INDEX(Products!$C$6:$C$105,MATCH(D579,Products!$B$6:$B$105,0)),0)+N(F579)+N(G579))</f>
        <v/>
      </c>
      <c r="I579" s="35" t="n"/>
      <c r="J579" s="30">
        <f>IF(OR(H579="",L579="Cancelled"),"",IF(H579-N(I579)&gt;0.005,H579-N(I579),""))</f>
        <v/>
      </c>
      <c r="K579" s="31" t="n"/>
      <c r="L579" s="36" t="n"/>
      <c r="M579" s="33" t="n"/>
      <c r="N579" s="22">
        <f>IF(OR(H579="",L579="Cancelled"),"",IF(N(E579)=0,1,E579)*IFERROR(INDEX(Products!$E$6:$E$105,MATCH(D579,Products!$B$6:$B$105,0)),0))</f>
        <v/>
      </c>
      <c r="O579" s="35" t="n"/>
      <c r="P579" s="22">
        <f>IF(OR(H579="",L579="Cancelled"),"",ROUND(IFERROR(H579*INDEX(Settings!$C$6:$C$15,MATCH(M579,Settings!$B$6:$B$15,0))+INDEX(Settings!$D$6:$D$15,MATCH(M579,Settings!$B$6:$B$15,0)),0),2))</f>
        <v/>
      </c>
      <c r="Q579" s="28">
        <f>IF(OR(H579="",L579="Cancelled"),"",H579-N(N579)-N(O579)-N(P579))</f>
        <v/>
      </c>
      <c r="R579" s="19">
        <f>IF(OR(B579="",K579=""),"",IF(OR(L579="Sent",L579="Picked up"),"Done",IF(L579="Cancelled","Cancelled",IF(K579&lt;TODAY(),"Late by "&amp;(TODAY()-K579)&amp;IF((TODAY()-K579)=1," day"," days"),IF(K579=TODAY(),"Due today","Due in "&amp;(K579-TODAY())&amp;IF((K579-TODAY())=1," day"," days"))))))</f>
        <v/>
      </c>
      <c r="S579" s="33" t="n"/>
      <c r="T579" s="1">
        <f>IF(AND(B579&lt;&gt;"",K579&lt;&gt;"",L579&lt;&gt;"Sent",L579&lt;&gt;"Picked up",L579&lt;&gt;"Cancelled"),K579+ROW()/10000000,"")</f>
        <v/>
      </c>
      <c r="U579">
        <f>IF(OR(B579="",C579=""),"",B579+ROW()/10000000)</f>
        <v/>
      </c>
      <c r="V579">
        <f>IF(U579="","",IF(COUNTIFS(Orders!$C$6:$C$1005,C579,Orders!$U$6:$U$1005,"&gt;"&amp;U579)=0,1,0))</f>
        <v/>
      </c>
      <c r="W579">
        <f>IF(AND(B579&lt;&gt;"",K579&lt;&gt;"",L579&lt;&gt;"Sent",L579&lt;&gt;"Picked up",L579&lt;&gt;"Cancelled"),IF(N(E579)=0,1,E579),0)</f>
        <v/>
      </c>
      <c r="X579">
        <f>IF(OR(B579="",D579=""),"",IF(N(E579)=0,1,E579))</f>
        <v/>
      </c>
    </row>
    <row r="580">
      <c r="A580" s="1" t="n"/>
      <c r="B580" s="31" t="n"/>
      <c r="C580" s="32" t="n"/>
      <c r="D580" s="33" t="n"/>
      <c r="E580" s="34" t="n"/>
      <c r="F580" s="35" t="n"/>
      <c r="G580" s="35" t="n"/>
      <c r="H580" s="30">
        <f>IF(OR(B580="",D580=""),"",IF(N(E580)=0,1,E580)*IFERROR(INDEX(Products!$C$6:$C$105,MATCH(D580,Products!$B$6:$B$105,0)),0)+N(F580)+N(G580))</f>
        <v/>
      </c>
      <c r="I580" s="35" t="n"/>
      <c r="J580" s="30">
        <f>IF(OR(H580="",L580="Cancelled"),"",IF(H580-N(I580)&gt;0.005,H580-N(I580),""))</f>
        <v/>
      </c>
      <c r="K580" s="31" t="n"/>
      <c r="L580" s="36" t="n"/>
      <c r="M580" s="33" t="n"/>
      <c r="N580" s="22">
        <f>IF(OR(H580="",L580="Cancelled"),"",IF(N(E580)=0,1,E580)*IFERROR(INDEX(Products!$E$6:$E$105,MATCH(D580,Products!$B$6:$B$105,0)),0))</f>
        <v/>
      </c>
      <c r="O580" s="35" t="n"/>
      <c r="P580" s="22">
        <f>IF(OR(H580="",L580="Cancelled"),"",ROUND(IFERROR(H580*INDEX(Settings!$C$6:$C$15,MATCH(M580,Settings!$B$6:$B$15,0))+INDEX(Settings!$D$6:$D$15,MATCH(M580,Settings!$B$6:$B$15,0)),0),2))</f>
        <v/>
      </c>
      <c r="Q580" s="28">
        <f>IF(OR(H580="",L580="Cancelled"),"",H580-N(N580)-N(O580)-N(P580))</f>
        <v/>
      </c>
      <c r="R580" s="19">
        <f>IF(OR(B580="",K580=""),"",IF(OR(L580="Sent",L580="Picked up"),"Done",IF(L580="Cancelled","Cancelled",IF(K580&lt;TODAY(),"Late by "&amp;(TODAY()-K580)&amp;IF((TODAY()-K580)=1," day"," days"),IF(K580=TODAY(),"Due today","Due in "&amp;(K580-TODAY())&amp;IF((K580-TODAY())=1," day"," days"))))))</f>
        <v/>
      </c>
      <c r="S580" s="33" t="n"/>
      <c r="T580" s="1">
        <f>IF(AND(B580&lt;&gt;"",K580&lt;&gt;"",L580&lt;&gt;"Sent",L580&lt;&gt;"Picked up",L580&lt;&gt;"Cancelled"),K580+ROW()/10000000,"")</f>
        <v/>
      </c>
      <c r="U580">
        <f>IF(OR(B580="",C580=""),"",B580+ROW()/10000000)</f>
        <v/>
      </c>
      <c r="V580">
        <f>IF(U580="","",IF(COUNTIFS(Orders!$C$6:$C$1005,C580,Orders!$U$6:$U$1005,"&gt;"&amp;U580)=0,1,0))</f>
        <v/>
      </c>
      <c r="W580">
        <f>IF(AND(B580&lt;&gt;"",K580&lt;&gt;"",L580&lt;&gt;"Sent",L580&lt;&gt;"Picked up",L580&lt;&gt;"Cancelled"),IF(N(E580)=0,1,E580),0)</f>
        <v/>
      </c>
      <c r="X580">
        <f>IF(OR(B580="",D580=""),"",IF(N(E580)=0,1,E580))</f>
        <v/>
      </c>
    </row>
    <row r="581">
      <c r="A581" s="1" t="n"/>
      <c r="B581" s="31" t="n"/>
      <c r="C581" s="32" t="n"/>
      <c r="D581" s="33" t="n"/>
      <c r="E581" s="34" t="n"/>
      <c r="F581" s="35" t="n"/>
      <c r="G581" s="35" t="n"/>
      <c r="H581" s="30">
        <f>IF(OR(B581="",D581=""),"",IF(N(E581)=0,1,E581)*IFERROR(INDEX(Products!$C$6:$C$105,MATCH(D581,Products!$B$6:$B$105,0)),0)+N(F581)+N(G581))</f>
        <v/>
      </c>
      <c r="I581" s="35" t="n"/>
      <c r="J581" s="30">
        <f>IF(OR(H581="",L581="Cancelled"),"",IF(H581-N(I581)&gt;0.005,H581-N(I581),""))</f>
        <v/>
      </c>
      <c r="K581" s="31" t="n"/>
      <c r="L581" s="36" t="n"/>
      <c r="M581" s="33" t="n"/>
      <c r="N581" s="22">
        <f>IF(OR(H581="",L581="Cancelled"),"",IF(N(E581)=0,1,E581)*IFERROR(INDEX(Products!$E$6:$E$105,MATCH(D581,Products!$B$6:$B$105,0)),0))</f>
        <v/>
      </c>
      <c r="O581" s="35" t="n"/>
      <c r="P581" s="22">
        <f>IF(OR(H581="",L581="Cancelled"),"",ROUND(IFERROR(H581*INDEX(Settings!$C$6:$C$15,MATCH(M581,Settings!$B$6:$B$15,0))+INDEX(Settings!$D$6:$D$15,MATCH(M581,Settings!$B$6:$B$15,0)),0),2))</f>
        <v/>
      </c>
      <c r="Q581" s="28">
        <f>IF(OR(H581="",L581="Cancelled"),"",H581-N(N581)-N(O581)-N(P581))</f>
        <v/>
      </c>
      <c r="R581" s="19">
        <f>IF(OR(B581="",K581=""),"",IF(OR(L581="Sent",L581="Picked up"),"Done",IF(L581="Cancelled","Cancelled",IF(K581&lt;TODAY(),"Late by "&amp;(TODAY()-K581)&amp;IF((TODAY()-K581)=1," day"," days"),IF(K581=TODAY(),"Due today","Due in "&amp;(K581-TODAY())&amp;IF((K581-TODAY())=1," day"," days"))))))</f>
        <v/>
      </c>
      <c r="S581" s="33" t="n"/>
      <c r="T581" s="1">
        <f>IF(AND(B581&lt;&gt;"",K581&lt;&gt;"",L581&lt;&gt;"Sent",L581&lt;&gt;"Picked up",L581&lt;&gt;"Cancelled"),K581+ROW()/10000000,"")</f>
        <v/>
      </c>
      <c r="U581">
        <f>IF(OR(B581="",C581=""),"",B581+ROW()/10000000)</f>
        <v/>
      </c>
      <c r="V581">
        <f>IF(U581="","",IF(COUNTIFS(Orders!$C$6:$C$1005,C581,Orders!$U$6:$U$1005,"&gt;"&amp;U581)=0,1,0))</f>
        <v/>
      </c>
      <c r="W581">
        <f>IF(AND(B581&lt;&gt;"",K581&lt;&gt;"",L581&lt;&gt;"Sent",L581&lt;&gt;"Picked up",L581&lt;&gt;"Cancelled"),IF(N(E581)=0,1,E581),0)</f>
        <v/>
      </c>
      <c r="X581">
        <f>IF(OR(B581="",D581=""),"",IF(N(E581)=0,1,E581))</f>
        <v/>
      </c>
    </row>
    <row r="582">
      <c r="A582" s="1" t="n"/>
      <c r="B582" s="31" t="n"/>
      <c r="C582" s="32" t="n"/>
      <c r="D582" s="33" t="n"/>
      <c r="E582" s="34" t="n"/>
      <c r="F582" s="35" t="n"/>
      <c r="G582" s="35" t="n"/>
      <c r="H582" s="30">
        <f>IF(OR(B582="",D582=""),"",IF(N(E582)=0,1,E582)*IFERROR(INDEX(Products!$C$6:$C$105,MATCH(D582,Products!$B$6:$B$105,0)),0)+N(F582)+N(G582))</f>
        <v/>
      </c>
      <c r="I582" s="35" t="n"/>
      <c r="J582" s="30">
        <f>IF(OR(H582="",L582="Cancelled"),"",IF(H582-N(I582)&gt;0.005,H582-N(I582),""))</f>
        <v/>
      </c>
      <c r="K582" s="31" t="n"/>
      <c r="L582" s="36" t="n"/>
      <c r="M582" s="33" t="n"/>
      <c r="N582" s="22">
        <f>IF(OR(H582="",L582="Cancelled"),"",IF(N(E582)=0,1,E582)*IFERROR(INDEX(Products!$E$6:$E$105,MATCH(D582,Products!$B$6:$B$105,0)),0))</f>
        <v/>
      </c>
      <c r="O582" s="35" t="n"/>
      <c r="P582" s="22">
        <f>IF(OR(H582="",L582="Cancelled"),"",ROUND(IFERROR(H582*INDEX(Settings!$C$6:$C$15,MATCH(M582,Settings!$B$6:$B$15,0))+INDEX(Settings!$D$6:$D$15,MATCH(M582,Settings!$B$6:$B$15,0)),0),2))</f>
        <v/>
      </c>
      <c r="Q582" s="28">
        <f>IF(OR(H582="",L582="Cancelled"),"",H582-N(N582)-N(O582)-N(P582))</f>
        <v/>
      </c>
      <c r="R582" s="19">
        <f>IF(OR(B582="",K582=""),"",IF(OR(L582="Sent",L582="Picked up"),"Done",IF(L582="Cancelled","Cancelled",IF(K582&lt;TODAY(),"Late by "&amp;(TODAY()-K582)&amp;IF((TODAY()-K582)=1," day"," days"),IF(K582=TODAY(),"Due today","Due in "&amp;(K582-TODAY())&amp;IF((K582-TODAY())=1," day"," days"))))))</f>
        <v/>
      </c>
      <c r="S582" s="33" t="n"/>
      <c r="T582" s="1">
        <f>IF(AND(B582&lt;&gt;"",K582&lt;&gt;"",L582&lt;&gt;"Sent",L582&lt;&gt;"Picked up",L582&lt;&gt;"Cancelled"),K582+ROW()/10000000,"")</f>
        <v/>
      </c>
      <c r="U582">
        <f>IF(OR(B582="",C582=""),"",B582+ROW()/10000000)</f>
        <v/>
      </c>
      <c r="V582">
        <f>IF(U582="","",IF(COUNTIFS(Orders!$C$6:$C$1005,C582,Orders!$U$6:$U$1005,"&gt;"&amp;U582)=0,1,0))</f>
        <v/>
      </c>
      <c r="W582">
        <f>IF(AND(B582&lt;&gt;"",K582&lt;&gt;"",L582&lt;&gt;"Sent",L582&lt;&gt;"Picked up",L582&lt;&gt;"Cancelled"),IF(N(E582)=0,1,E582),0)</f>
        <v/>
      </c>
      <c r="X582">
        <f>IF(OR(B582="",D582=""),"",IF(N(E582)=0,1,E582))</f>
        <v/>
      </c>
    </row>
    <row r="583">
      <c r="A583" s="1" t="n"/>
      <c r="B583" s="31" t="n"/>
      <c r="C583" s="32" t="n"/>
      <c r="D583" s="33" t="n"/>
      <c r="E583" s="34" t="n"/>
      <c r="F583" s="35" t="n"/>
      <c r="G583" s="35" t="n"/>
      <c r="H583" s="30">
        <f>IF(OR(B583="",D583=""),"",IF(N(E583)=0,1,E583)*IFERROR(INDEX(Products!$C$6:$C$105,MATCH(D583,Products!$B$6:$B$105,0)),0)+N(F583)+N(G583))</f>
        <v/>
      </c>
      <c r="I583" s="35" t="n"/>
      <c r="J583" s="30">
        <f>IF(OR(H583="",L583="Cancelled"),"",IF(H583-N(I583)&gt;0.005,H583-N(I583),""))</f>
        <v/>
      </c>
      <c r="K583" s="31" t="n"/>
      <c r="L583" s="36" t="n"/>
      <c r="M583" s="33" t="n"/>
      <c r="N583" s="22">
        <f>IF(OR(H583="",L583="Cancelled"),"",IF(N(E583)=0,1,E583)*IFERROR(INDEX(Products!$E$6:$E$105,MATCH(D583,Products!$B$6:$B$105,0)),0))</f>
        <v/>
      </c>
      <c r="O583" s="35" t="n"/>
      <c r="P583" s="22">
        <f>IF(OR(H583="",L583="Cancelled"),"",ROUND(IFERROR(H583*INDEX(Settings!$C$6:$C$15,MATCH(M583,Settings!$B$6:$B$15,0))+INDEX(Settings!$D$6:$D$15,MATCH(M583,Settings!$B$6:$B$15,0)),0),2))</f>
        <v/>
      </c>
      <c r="Q583" s="28">
        <f>IF(OR(H583="",L583="Cancelled"),"",H583-N(N583)-N(O583)-N(P583))</f>
        <v/>
      </c>
      <c r="R583" s="19">
        <f>IF(OR(B583="",K583=""),"",IF(OR(L583="Sent",L583="Picked up"),"Done",IF(L583="Cancelled","Cancelled",IF(K583&lt;TODAY(),"Late by "&amp;(TODAY()-K583)&amp;IF((TODAY()-K583)=1," day"," days"),IF(K583=TODAY(),"Due today","Due in "&amp;(K583-TODAY())&amp;IF((K583-TODAY())=1," day"," days"))))))</f>
        <v/>
      </c>
      <c r="S583" s="33" t="n"/>
      <c r="T583" s="1">
        <f>IF(AND(B583&lt;&gt;"",K583&lt;&gt;"",L583&lt;&gt;"Sent",L583&lt;&gt;"Picked up",L583&lt;&gt;"Cancelled"),K583+ROW()/10000000,"")</f>
        <v/>
      </c>
      <c r="U583">
        <f>IF(OR(B583="",C583=""),"",B583+ROW()/10000000)</f>
        <v/>
      </c>
      <c r="V583">
        <f>IF(U583="","",IF(COUNTIFS(Orders!$C$6:$C$1005,C583,Orders!$U$6:$U$1005,"&gt;"&amp;U583)=0,1,0))</f>
        <v/>
      </c>
      <c r="W583">
        <f>IF(AND(B583&lt;&gt;"",K583&lt;&gt;"",L583&lt;&gt;"Sent",L583&lt;&gt;"Picked up",L583&lt;&gt;"Cancelled"),IF(N(E583)=0,1,E583),0)</f>
        <v/>
      </c>
      <c r="X583">
        <f>IF(OR(B583="",D583=""),"",IF(N(E583)=0,1,E583))</f>
        <v/>
      </c>
    </row>
    <row r="584">
      <c r="A584" s="1" t="n"/>
      <c r="B584" s="31" t="n"/>
      <c r="C584" s="32" t="n"/>
      <c r="D584" s="33" t="n"/>
      <c r="E584" s="34" t="n"/>
      <c r="F584" s="35" t="n"/>
      <c r="G584" s="35" t="n"/>
      <c r="H584" s="30">
        <f>IF(OR(B584="",D584=""),"",IF(N(E584)=0,1,E584)*IFERROR(INDEX(Products!$C$6:$C$105,MATCH(D584,Products!$B$6:$B$105,0)),0)+N(F584)+N(G584))</f>
        <v/>
      </c>
      <c r="I584" s="35" t="n"/>
      <c r="J584" s="30">
        <f>IF(OR(H584="",L584="Cancelled"),"",IF(H584-N(I584)&gt;0.005,H584-N(I584),""))</f>
        <v/>
      </c>
      <c r="K584" s="31" t="n"/>
      <c r="L584" s="36" t="n"/>
      <c r="M584" s="33" t="n"/>
      <c r="N584" s="22">
        <f>IF(OR(H584="",L584="Cancelled"),"",IF(N(E584)=0,1,E584)*IFERROR(INDEX(Products!$E$6:$E$105,MATCH(D584,Products!$B$6:$B$105,0)),0))</f>
        <v/>
      </c>
      <c r="O584" s="35" t="n"/>
      <c r="P584" s="22">
        <f>IF(OR(H584="",L584="Cancelled"),"",ROUND(IFERROR(H584*INDEX(Settings!$C$6:$C$15,MATCH(M584,Settings!$B$6:$B$15,0))+INDEX(Settings!$D$6:$D$15,MATCH(M584,Settings!$B$6:$B$15,0)),0),2))</f>
        <v/>
      </c>
      <c r="Q584" s="28">
        <f>IF(OR(H584="",L584="Cancelled"),"",H584-N(N584)-N(O584)-N(P584))</f>
        <v/>
      </c>
      <c r="R584" s="19">
        <f>IF(OR(B584="",K584=""),"",IF(OR(L584="Sent",L584="Picked up"),"Done",IF(L584="Cancelled","Cancelled",IF(K584&lt;TODAY(),"Late by "&amp;(TODAY()-K584)&amp;IF((TODAY()-K584)=1," day"," days"),IF(K584=TODAY(),"Due today","Due in "&amp;(K584-TODAY())&amp;IF((K584-TODAY())=1," day"," days"))))))</f>
        <v/>
      </c>
      <c r="S584" s="33" t="n"/>
      <c r="T584" s="1">
        <f>IF(AND(B584&lt;&gt;"",K584&lt;&gt;"",L584&lt;&gt;"Sent",L584&lt;&gt;"Picked up",L584&lt;&gt;"Cancelled"),K584+ROW()/10000000,"")</f>
        <v/>
      </c>
      <c r="U584">
        <f>IF(OR(B584="",C584=""),"",B584+ROW()/10000000)</f>
        <v/>
      </c>
      <c r="V584">
        <f>IF(U584="","",IF(COUNTIFS(Orders!$C$6:$C$1005,C584,Orders!$U$6:$U$1005,"&gt;"&amp;U584)=0,1,0))</f>
        <v/>
      </c>
      <c r="W584">
        <f>IF(AND(B584&lt;&gt;"",K584&lt;&gt;"",L584&lt;&gt;"Sent",L584&lt;&gt;"Picked up",L584&lt;&gt;"Cancelled"),IF(N(E584)=0,1,E584),0)</f>
        <v/>
      </c>
      <c r="X584">
        <f>IF(OR(B584="",D584=""),"",IF(N(E584)=0,1,E584))</f>
        <v/>
      </c>
    </row>
    <row r="585">
      <c r="A585" s="1" t="n"/>
      <c r="B585" s="31" t="n"/>
      <c r="C585" s="32" t="n"/>
      <c r="D585" s="33" t="n"/>
      <c r="E585" s="34" t="n"/>
      <c r="F585" s="35" t="n"/>
      <c r="G585" s="35" t="n"/>
      <c r="H585" s="30">
        <f>IF(OR(B585="",D585=""),"",IF(N(E585)=0,1,E585)*IFERROR(INDEX(Products!$C$6:$C$105,MATCH(D585,Products!$B$6:$B$105,0)),0)+N(F585)+N(G585))</f>
        <v/>
      </c>
      <c r="I585" s="35" t="n"/>
      <c r="J585" s="30">
        <f>IF(OR(H585="",L585="Cancelled"),"",IF(H585-N(I585)&gt;0.005,H585-N(I585),""))</f>
        <v/>
      </c>
      <c r="K585" s="31" t="n"/>
      <c r="L585" s="36" t="n"/>
      <c r="M585" s="33" t="n"/>
      <c r="N585" s="22">
        <f>IF(OR(H585="",L585="Cancelled"),"",IF(N(E585)=0,1,E585)*IFERROR(INDEX(Products!$E$6:$E$105,MATCH(D585,Products!$B$6:$B$105,0)),0))</f>
        <v/>
      </c>
      <c r="O585" s="35" t="n"/>
      <c r="P585" s="22">
        <f>IF(OR(H585="",L585="Cancelled"),"",ROUND(IFERROR(H585*INDEX(Settings!$C$6:$C$15,MATCH(M585,Settings!$B$6:$B$15,0))+INDEX(Settings!$D$6:$D$15,MATCH(M585,Settings!$B$6:$B$15,0)),0),2))</f>
        <v/>
      </c>
      <c r="Q585" s="28">
        <f>IF(OR(H585="",L585="Cancelled"),"",H585-N(N585)-N(O585)-N(P585))</f>
        <v/>
      </c>
      <c r="R585" s="19">
        <f>IF(OR(B585="",K585=""),"",IF(OR(L585="Sent",L585="Picked up"),"Done",IF(L585="Cancelled","Cancelled",IF(K585&lt;TODAY(),"Late by "&amp;(TODAY()-K585)&amp;IF((TODAY()-K585)=1," day"," days"),IF(K585=TODAY(),"Due today","Due in "&amp;(K585-TODAY())&amp;IF((K585-TODAY())=1," day"," days"))))))</f>
        <v/>
      </c>
      <c r="S585" s="33" t="n"/>
      <c r="T585" s="1">
        <f>IF(AND(B585&lt;&gt;"",K585&lt;&gt;"",L585&lt;&gt;"Sent",L585&lt;&gt;"Picked up",L585&lt;&gt;"Cancelled"),K585+ROW()/10000000,"")</f>
        <v/>
      </c>
      <c r="U585">
        <f>IF(OR(B585="",C585=""),"",B585+ROW()/10000000)</f>
        <v/>
      </c>
      <c r="V585">
        <f>IF(U585="","",IF(COUNTIFS(Orders!$C$6:$C$1005,C585,Orders!$U$6:$U$1005,"&gt;"&amp;U585)=0,1,0))</f>
        <v/>
      </c>
      <c r="W585">
        <f>IF(AND(B585&lt;&gt;"",K585&lt;&gt;"",L585&lt;&gt;"Sent",L585&lt;&gt;"Picked up",L585&lt;&gt;"Cancelled"),IF(N(E585)=0,1,E585),0)</f>
        <v/>
      </c>
      <c r="X585">
        <f>IF(OR(B585="",D585=""),"",IF(N(E585)=0,1,E585))</f>
        <v/>
      </c>
    </row>
    <row r="586">
      <c r="A586" s="1" t="n"/>
      <c r="B586" s="31" t="n"/>
      <c r="C586" s="32" t="n"/>
      <c r="D586" s="33" t="n"/>
      <c r="E586" s="34" t="n"/>
      <c r="F586" s="35" t="n"/>
      <c r="G586" s="35" t="n"/>
      <c r="H586" s="30">
        <f>IF(OR(B586="",D586=""),"",IF(N(E586)=0,1,E586)*IFERROR(INDEX(Products!$C$6:$C$105,MATCH(D586,Products!$B$6:$B$105,0)),0)+N(F586)+N(G586))</f>
        <v/>
      </c>
      <c r="I586" s="35" t="n"/>
      <c r="J586" s="30">
        <f>IF(OR(H586="",L586="Cancelled"),"",IF(H586-N(I586)&gt;0.005,H586-N(I586),""))</f>
        <v/>
      </c>
      <c r="K586" s="31" t="n"/>
      <c r="L586" s="36" t="n"/>
      <c r="M586" s="33" t="n"/>
      <c r="N586" s="22">
        <f>IF(OR(H586="",L586="Cancelled"),"",IF(N(E586)=0,1,E586)*IFERROR(INDEX(Products!$E$6:$E$105,MATCH(D586,Products!$B$6:$B$105,0)),0))</f>
        <v/>
      </c>
      <c r="O586" s="35" t="n"/>
      <c r="P586" s="22">
        <f>IF(OR(H586="",L586="Cancelled"),"",ROUND(IFERROR(H586*INDEX(Settings!$C$6:$C$15,MATCH(M586,Settings!$B$6:$B$15,0))+INDEX(Settings!$D$6:$D$15,MATCH(M586,Settings!$B$6:$B$15,0)),0),2))</f>
        <v/>
      </c>
      <c r="Q586" s="28">
        <f>IF(OR(H586="",L586="Cancelled"),"",H586-N(N586)-N(O586)-N(P586))</f>
        <v/>
      </c>
      <c r="R586" s="19">
        <f>IF(OR(B586="",K586=""),"",IF(OR(L586="Sent",L586="Picked up"),"Done",IF(L586="Cancelled","Cancelled",IF(K586&lt;TODAY(),"Late by "&amp;(TODAY()-K586)&amp;IF((TODAY()-K586)=1," day"," days"),IF(K586=TODAY(),"Due today","Due in "&amp;(K586-TODAY())&amp;IF((K586-TODAY())=1," day"," days"))))))</f>
        <v/>
      </c>
      <c r="S586" s="33" t="n"/>
      <c r="T586" s="1">
        <f>IF(AND(B586&lt;&gt;"",K586&lt;&gt;"",L586&lt;&gt;"Sent",L586&lt;&gt;"Picked up",L586&lt;&gt;"Cancelled"),K586+ROW()/10000000,"")</f>
        <v/>
      </c>
      <c r="U586">
        <f>IF(OR(B586="",C586=""),"",B586+ROW()/10000000)</f>
        <v/>
      </c>
      <c r="V586">
        <f>IF(U586="","",IF(COUNTIFS(Orders!$C$6:$C$1005,C586,Orders!$U$6:$U$1005,"&gt;"&amp;U586)=0,1,0))</f>
        <v/>
      </c>
      <c r="W586">
        <f>IF(AND(B586&lt;&gt;"",K586&lt;&gt;"",L586&lt;&gt;"Sent",L586&lt;&gt;"Picked up",L586&lt;&gt;"Cancelled"),IF(N(E586)=0,1,E586),0)</f>
        <v/>
      </c>
      <c r="X586">
        <f>IF(OR(B586="",D586=""),"",IF(N(E586)=0,1,E586))</f>
        <v/>
      </c>
    </row>
    <row r="587">
      <c r="A587" s="1" t="n"/>
      <c r="B587" s="31" t="n"/>
      <c r="C587" s="32" t="n"/>
      <c r="D587" s="33" t="n"/>
      <c r="E587" s="34" t="n"/>
      <c r="F587" s="35" t="n"/>
      <c r="G587" s="35" t="n"/>
      <c r="H587" s="30">
        <f>IF(OR(B587="",D587=""),"",IF(N(E587)=0,1,E587)*IFERROR(INDEX(Products!$C$6:$C$105,MATCH(D587,Products!$B$6:$B$105,0)),0)+N(F587)+N(G587))</f>
        <v/>
      </c>
      <c r="I587" s="35" t="n"/>
      <c r="J587" s="30">
        <f>IF(OR(H587="",L587="Cancelled"),"",IF(H587-N(I587)&gt;0.005,H587-N(I587),""))</f>
        <v/>
      </c>
      <c r="K587" s="31" t="n"/>
      <c r="L587" s="36" t="n"/>
      <c r="M587" s="33" t="n"/>
      <c r="N587" s="22">
        <f>IF(OR(H587="",L587="Cancelled"),"",IF(N(E587)=0,1,E587)*IFERROR(INDEX(Products!$E$6:$E$105,MATCH(D587,Products!$B$6:$B$105,0)),0))</f>
        <v/>
      </c>
      <c r="O587" s="35" t="n"/>
      <c r="P587" s="22">
        <f>IF(OR(H587="",L587="Cancelled"),"",ROUND(IFERROR(H587*INDEX(Settings!$C$6:$C$15,MATCH(M587,Settings!$B$6:$B$15,0))+INDEX(Settings!$D$6:$D$15,MATCH(M587,Settings!$B$6:$B$15,0)),0),2))</f>
        <v/>
      </c>
      <c r="Q587" s="28">
        <f>IF(OR(H587="",L587="Cancelled"),"",H587-N(N587)-N(O587)-N(P587))</f>
        <v/>
      </c>
      <c r="R587" s="19">
        <f>IF(OR(B587="",K587=""),"",IF(OR(L587="Sent",L587="Picked up"),"Done",IF(L587="Cancelled","Cancelled",IF(K587&lt;TODAY(),"Late by "&amp;(TODAY()-K587)&amp;IF((TODAY()-K587)=1," day"," days"),IF(K587=TODAY(),"Due today","Due in "&amp;(K587-TODAY())&amp;IF((K587-TODAY())=1," day"," days"))))))</f>
        <v/>
      </c>
      <c r="S587" s="33" t="n"/>
      <c r="T587" s="1">
        <f>IF(AND(B587&lt;&gt;"",K587&lt;&gt;"",L587&lt;&gt;"Sent",L587&lt;&gt;"Picked up",L587&lt;&gt;"Cancelled"),K587+ROW()/10000000,"")</f>
        <v/>
      </c>
      <c r="U587">
        <f>IF(OR(B587="",C587=""),"",B587+ROW()/10000000)</f>
        <v/>
      </c>
      <c r="V587">
        <f>IF(U587="","",IF(COUNTIFS(Orders!$C$6:$C$1005,C587,Orders!$U$6:$U$1005,"&gt;"&amp;U587)=0,1,0))</f>
        <v/>
      </c>
      <c r="W587">
        <f>IF(AND(B587&lt;&gt;"",K587&lt;&gt;"",L587&lt;&gt;"Sent",L587&lt;&gt;"Picked up",L587&lt;&gt;"Cancelled"),IF(N(E587)=0,1,E587),0)</f>
        <v/>
      </c>
      <c r="X587">
        <f>IF(OR(B587="",D587=""),"",IF(N(E587)=0,1,E587))</f>
        <v/>
      </c>
    </row>
    <row r="588">
      <c r="A588" s="1" t="n"/>
      <c r="B588" s="31" t="n"/>
      <c r="C588" s="32" t="n"/>
      <c r="D588" s="33" t="n"/>
      <c r="E588" s="34" t="n"/>
      <c r="F588" s="35" t="n"/>
      <c r="G588" s="35" t="n"/>
      <c r="H588" s="30">
        <f>IF(OR(B588="",D588=""),"",IF(N(E588)=0,1,E588)*IFERROR(INDEX(Products!$C$6:$C$105,MATCH(D588,Products!$B$6:$B$105,0)),0)+N(F588)+N(G588))</f>
        <v/>
      </c>
      <c r="I588" s="35" t="n"/>
      <c r="J588" s="30">
        <f>IF(OR(H588="",L588="Cancelled"),"",IF(H588-N(I588)&gt;0.005,H588-N(I588),""))</f>
        <v/>
      </c>
      <c r="K588" s="31" t="n"/>
      <c r="L588" s="36" t="n"/>
      <c r="M588" s="33" t="n"/>
      <c r="N588" s="22">
        <f>IF(OR(H588="",L588="Cancelled"),"",IF(N(E588)=0,1,E588)*IFERROR(INDEX(Products!$E$6:$E$105,MATCH(D588,Products!$B$6:$B$105,0)),0))</f>
        <v/>
      </c>
      <c r="O588" s="35" t="n"/>
      <c r="P588" s="22">
        <f>IF(OR(H588="",L588="Cancelled"),"",ROUND(IFERROR(H588*INDEX(Settings!$C$6:$C$15,MATCH(M588,Settings!$B$6:$B$15,0))+INDEX(Settings!$D$6:$D$15,MATCH(M588,Settings!$B$6:$B$15,0)),0),2))</f>
        <v/>
      </c>
      <c r="Q588" s="28">
        <f>IF(OR(H588="",L588="Cancelled"),"",H588-N(N588)-N(O588)-N(P588))</f>
        <v/>
      </c>
      <c r="R588" s="19">
        <f>IF(OR(B588="",K588=""),"",IF(OR(L588="Sent",L588="Picked up"),"Done",IF(L588="Cancelled","Cancelled",IF(K588&lt;TODAY(),"Late by "&amp;(TODAY()-K588)&amp;IF((TODAY()-K588)=1," day"," days"),IF(K588=TODAY(),"Due today","Due in "&amp;(K588-TODAY())&amp;IF((K588-TODAY())=1," day"," days"))))))</f>
        <v/>
      </c>
      <c r="S588" s="33" t="n"/>
      <c r="T588" s="1">
        <f>IF(AND(B588&lt;&gt;"",K588&lt;&gt;"",L588&lt;&gt;"Sent",L588&lt;&gt;"Picked up",L588&lt;&gt;"Cancelled"),K588+ROW()/10000000,"")</f>
        <v/>
      </c>
      <c r="U588">
        <f>IF(OR(B588="",C588=""),"",B588+ROW()/10000000)</f>
        <v/>
      </c>
      <c r="V588">
        <f>IF(U588="","",IF(COUNTIFS(Orders!$C$6:$C$1005,C588,Orders!$U$6:$U$1005,"&gt;"&amp;U588)=0,1,0))</f>
        <v/>
      </c>
      <c r="W588">
        <f>IF(AND(B588&lt;&gt;"",K588&lt;&gt;"",L588&lt;&gt;"Sent",L588&lt;&gt;"Picked up",L588&lt;&gt;"Cancelled"),IF(N(E588)=0,1,E588),0)</f>
        <v/>
      </c>
      <c r="X588">
        <f>IF(OR(B588="",D588=""),"",IF(N(E588)=0,1,E588))</f>
        <v/>
      </c>
    </row>
    <row r="589">
      <c r="A589" s="1" t="n"/>
      <c r="B589" s="31" t="n"/>
      <c r="C589" s="32" t="n"/>
      <c r="D589" s="33" t="n"/>
      <c r="E589" s="34" t="n"/>
      <c r="F589" s="35" t="n"/>
      <c r="G589" s="35" t="n"/>
      <c r="H589" s="30">
        <f>IF(OR(B589="",D589=""),"",IF(N(E589)=0,1,E589)*IFERROR(INDEX(Products!$C$6:$C$105,MATCH(D589,Products!$B$6:$B$105,0)),0)+N(F589)+N(G589))</f>
        <v/>
      </c>
      <c r="I589" s="35" t="n"/>
      <c r="J589" s="30">
        <f>IF(OR(H589="",L589="Cancelled"),"",IF(H589-N(I589)&gt;0.005,H589-N(I589),""))</f>
        <v/>
      </c>
      <c r="K589" s="31" t="n"/>
      <c r="L589" s="36" t="n"/>
      <c r="M589" s="33" t="n"/>
      <c r="N589" s="22">
        <f>IF(OR(H589="",L589="Cancelled"),"",IF(N(E589)=0,1,E589)*IFERROR(INDEX(Products!$E$6:$E$105,MATCH(D589,Products!$B$6:$B$105,0)),0))</f>
        <v/>
      </c>
      <c r="O589" s="35" t="n"/>
      <c r="P589" s="22">
        <f>IF(OR(H589="",L589="Cancelled"),"",ROUND(IFERROR(H589*INDEX(Settings!$C$6:$C$15,MATCH(M589,Settings!$B$6:$B$15,0))+INDEX(Settings!$D$6:$D$15,MATCH(M589,Settings!$B$6:$B$15,0)),0),2))</f>
        <v/>
      </c>
      <c r="Q589" s="28">
        <f>IF(OR(H589="",L589="Cancelled"),"",H589-N(N589)-N(O589)-N(P589))</f>
        <v/>
      </c>
      <c r="R589" s="19">
        <f>IF(OR(B589="",K589=""),"",IF(OR(L589="Sent",L589="Picked up"),"Done",IF(L589="Cancelled","Cancelled",IF(K589&lt;TODAY(),"Late by "&amp;(TODAY()-K589)&amp;IF((TODAY()-K589)=1," day"," days"),IF(K589=TODAY(),"Due today","Due in "&amp;(K589-TODAY())&amp;IF((K589-TODAY())=1," day"," days"))))))</f>
        <v/>
      </c>
      <c r="S589" s="33" t="n"/>
      <c r="T589" s="1">
        <f>IF(AND(B589&lt;&gt;"",K589&lt;&gt;"",L589&lt;&gt;"Sent",L589&lt;&gt;"Picked up",L589&lt;&gt;"Cancelled"),K589+ROW()/10000000,"")</f>
        <v/>
      </c>
      <c r="U589">
        <f>IF(OR(B589="",C589=""),"",B589+ROW()/10000000)</f>
        <v/>
      </c>
      <c r="V589">
        <f>IF(U589="","",IF(COUNTIFS(Orders!$C$6:$C$1005,C589,Orders!$U$6:$U$1005,"&gt;"&amp;U589)=0,1,0))</f>
        <v/>
      </c>
      <c r="W589">
        <f>IF(AND(B589&lt;&gt;"",K589&lt;&gt;"",L589&lt;&gt;"Sent",L589&lt;&gt;"Picked up",L589&lt;&gt;"Cancelled"),IF(N(E589)=0,1,E589),0)</f>
        <v/>
      </c>
      <c r="X589">
        <f>IF(OR(B589="",D589=""),"",IF(N(E589)=0,1,E589))</f>
        <v/>
      </c>
    </row>
    <row r="590">
      <c r="A590" s="1" t="n"/>
      <c r="B590" s="31" t="n"/>
      <c r="C590" s="32" t="n"/>
      <c r="D590" s="33" t="n"/>
      <c r="E590" s="34" t="n"/>
      <c r="F590" s="35" t="n"/>
      <c r="G590" s="35" t="n"/>
      <c r="H590" s="30">
        <f>IF(OR(B590="",D590=""),"",IF(N(E590)=0,1,E590)*IFERROR(INDEX(Products!$C$6:$C$105,MATCH(D590,Products!$B$6:$B$105,0)),0)+N(F590)+N(G590))</f>
        <v/>
      </c>
      <c r="I590" s="35" t="n"/>
      <c r="J590" s="30">
        <f>IF(OR(H590="",L590="Cancelled"),"",IF(H590-N(I590)&gt;0.005,H590-N(I590),""))</f>
        <v/>
      </c>
      <c r="K590" s="31" t="n"/>
      <c r="L590" s="36" t="n"/>
      <c r="M590" s="33" t="n"/>
      <c r="N590" s="22">
        <f>IF(OR(H590="",L590="Cancelled"),"",IF(N(E590)=0,1,E590)*IFERROR(INDEX(Products!$E$6:$E$105,MATCH(D590,Products!$B$6:$B$105,0)),0))</f>
        <v/>
      </c>
      <c r="O590" s="35" t="n"/>
      <c r="P590" s="22">
        <f>IF(OR(H590="",L590="Cancelled"),"",ROUND(IFERROR(H590*INDEX(Settings!$C$6:$C$15,MATCH(M590,Settings!$B$6:$B$15,0))+INDEX(Settings!$D$6:$D$15,MATCH(M590,Settings!$B$6:$B$15,0)),0),2))</f>
        <v/>
      </c>
      <c r="Q590" s="28">
        <f>IF(OR(H590="",L590="Cancelled"),"",H590-N(N590)-N(O590)-N(P590))</f>
        <v/>
      </c>
      <c r="R590" s="19">
        <f>IF(OR(B590="",K590=""),"",IF(OR(L590="Sent",L590="Picked up"),"Done",IF(L590="Cancelled","Cancelled",IF(K590&lt;TODAY(),"Late by "&amp;(TODAY()-K590)&amp;IF((TODAY()-K590)=1," day"," days"),IF(K590=TODAY(),"Due today","Due in "&amp;(K590-TODAY())&amp;IF((K590-TODAY())=1," day"," days"))))))</f>
        <v/>
      </c>
      <c r="S590" s="33" t="n"/>
      <c r="T590" s="1">
        <f>IF(AND(B590&lt;&gt;"",K590&lt;&gt;"",L590&lt;&gt;"Sent",L590&lt;&gt;"Picked up",L590&lt;&gt;"Cancelled"),K590+ROW()/10000000,"")</f>
        <v/>
      </c>
      <c r="U590">
        <f>IF(OR(B590="",C590=""),"",B590+ROW()/10000000)</f>
        <v/>
      </c>
      <c r="V590">
        <f>IF(U590="","",IF(COUNTIFS(Orders!$C$6:$C$1005,C590,Orders!$U$6:$U$1005,"&gt;"&amp;U590)=0,1,0))</f>
        <v/>
      </c>
      <c r="W590">
        <f>IF(AND(B590&lt;&gt;"",K590&lt;&gt;"",L590&lt;&gt;"Sent",L590&lt;&gt;"Picked up",L590&lt;&gt;"Cancelled"),IF(N(E590)=0,1,E590),0)</f>
        <v/>
      </c>
      <c r="X590">
        <f>IF(OR(B590="",D590=""),"",IF(N(E590)=0,1,E590))</f>
        <v/>
      </c>
    </row>
    <row r="591">
      <c r="A591" s="1" t="n"/>
      <c r="B591" s="31" t="n"/>
      <c r="C591" s="32" t="n"/>
      <c r="D591" s="33" t="n"/>
      <c r="E591" s="34" t="n"/>
      <c r="F591" s="35" t="n"/>
      <c r="G591" s="35" t="n"/>
      <c r="H591" s="30">
        <f>IF(OR(B591="",D591=""),"",IF(N(E591)=0,1,E591)*IFERROR(INDEX(Products!$C$6:$C$105,MATCH(D591,Products!$B$6:$B$105,0)),0)+N(F591)+N(G591))</f>
        <v/>
      </c>
      <c r="I591" s="35" t="n"/>
      <c r="J591" s="30">
        <f>IF(OR(H591="",L591="Cancelled"),"",IF(H591-N(I591)&gt;0.005,H591-N(I591),""))</f>
        <v/>
      </c>
      <c r="K591" s="31" t="n"/>
      <c r="L591" s="36" t="n"/>
      <c r="M591" s="33" t="n"/>
      <c r="N591" s="22">
        <f>IF(OR(H591="",L591="Cancelled"),"",IF(N(E591)=0,1,E591)*IFERROR(INDEX(Products!$E$6:$E$105,MATCH(D591,Products!$B$6:$B$105,0)),0))</f>
        <v/>
      </c>
      <c r="O591" s="35" t="n"/>
      <c r="P591" s="22">
        <f>IF(OR(H591="",L591="Cancelled"),"",ROUND(IFERROR(H591*INDEX(Settings!$C$6:$C$15,MATCH(M591,Settings!$B$6:$B$15,0))+INDEX(Settings!$D$6:$D$15,MATCH(M591,Settings!$B$6:$B$15,0)),0),2))</f>
        <v/>
      </c>
      <c r="Q591" s="28">
        <f>IF(OR(H591="",L591="Cancelled"),"",H591-N(N591)-N(O591)-N(P591))</f>
        <v/>
      </c>
      <c r="R591" s="19">
        <f>IF(OR(B591="",K591=""),"",IF(OR(L591="Sent",L591="Picked up"),"Done",IF(L591="Cancelled","Cancelled",IF(K591&lt;TODAY(),"Late by "&amp;(TODAY()-K591)&amp;IF((TODAY()-K591)=1," day"," days"),IF(K591=TODAY(),"Due today","Due in "&amp;(K591-TODAY())&amp;IF((K591-TODAY())=1," day"," days"))))))</f>
        <v/>
      </c>
      <c r="S591" s="33" t="n"/>
      <c r="T591" s="1">
        <f>IF(AND(B591&lt;&gt;"",K591&lt;&gt;"",L591&lt;&gt;"Sent",L591&lt;&gt;"Picked up",L591&lt;&gt;"Cancelled"),K591+ROW()/10000000,"")</f>
        <v/>
      </c>
      <c r="U591">
        <f>IF(OR(B591="",C591=""),"",B591+ROW()/10000000)</f>
        <v/>
      </c>
      <c r="V591">
        <f>IF(U591="","",IF(COUNTIFS(Orders!$C$6:$C$1005,C591,Orders!$U$6:$U$1005,"&gt;"&amp;U591)=0,1,0))</f>
        <v/>
      </c>
      <c r="W591">
        <f>IF(AND(B591&lt;&gt;"",K591&lt;&gt;"",L591&lt;&gt;"Sent",L591&lt;&gt;"Picked up",L591&lt;&gt;"Cancelled"),IF(N(E591)=0,1,E591),0)</f>
        <v/>
      </c>
      <c r="X591">
        <f>IF(OR(B591="",D591=""),"",IF(N(E591)=0,1,E591))</f>
        <v/>
      </c>
    </row>
    <row r="592">
      <c r="A592" s="1" t="n"/>
      <c r="B592" s="31" t="n"/>
      <c r="C592" s="32" t="n"/>
      <c r="D592" s="33" t="n"/>
      <c r="E592" s="34" t="n"/>
      <c r="F592" s="35" t="n"/>
      <c r="G592" s="35" t="n"/>
      <c r="H592" s="30">
        <f>IF(OR(B592="",D592=""),"",IF(N(E592)=0,1,E592)*IFERROR(INDEX(Products!$C$6:$C$105,MATCH(D592,Products!$B$6:$B$105,0)),0)+N(F592)+N(G592))</f>
        <v/>
      </c>
      <c r="I592" s="35" t="n"/>
      <c r="J592" s="30">
        <f>IF(OR(H592="",L592="Cancelled"),"",IF(H592-N(I592)&gt;0.005,H592-N(I592),""))</f>
        <v/>
      </c>
      <c r="K592" s="31" t="n"/>
      <c r="L592" s="36" t="n"/>
      <c r="M592" s="33" t="n"/>
      <c r="N592" s="22">
        <f>IF(OR(H592="",L592="Cancelled"),"",IF(N(E592)=0,1,E592)*IFERROR(INDEX(Products!$E$6:$E$105,MATCH(D592,Products!$B$6:$B$105,0)),0))</f>
        <v/>
      </c>
      <c r="O592" s="35" t="n"/>
      <c r="P592" s="22">
        <f>IF(OR(H592="",L592="Cancelled"),"",ROUND(IFERROR(H592*INDEX(Settings!$C$6:$C$15,MATCH(M592,Settings!$B$6:$B$15,0))+INDEX(Settings!$D$6:$D$15,MATCH(M592,Settings!$B$6:$B$15,0)),0),2))</f>
        <v/>
      </c>
      <c r="Q592" s="28">
        <f>IF(OR(H592="",L592="Cancelled"),"",H592-N(N592)-N(O592)-N(P592))</f>
        <v/>
      </c>
      <c r="R592" s="19">
        <f>IF(OR(B592="",K592=""),"",IF(OR(L592="Sent",L592="Picked up"),"Done",IF(L592="Cancelled","Cancelled",IF(K592&lt;TODAY(),"Late by "&amp;(TODAY()-K592)&amp;IF((TODAY()-K592)=1," day"," days"),IF(K592=TODAY(),"Due today","Due in "&amp;(K592-TODAY())&amp;IF((K592-TODAY())=1," day"," days"))))))</f>
        <v/>
      </c>
      <c r="S592" s="33" t="n"/>
      <c r="T592" s="1">
        <f>IF(AND(B592&lt;&gt;"",K592&lt;&gt;"",L592&lt;&gt;"Sent",L592&lt;&gt;"Picked up",L592&lt;&gt;"Cancelled"),K592+ROW()/10000000,"")</f>
        <v/>
      </c>
      <c r="U592">
        <f>IF(OR(B592="",C592=""),"",B592+ROW()/10000000)</f>
        <v/>
      </c>
      <c r="V592">
        <f>IF(U592="","",IF(COUNTIFS(Orders!$C$6:$C$1005,C592,Orders!$U$6:$U$1005,"&gt;"&amp;U592)=0,1,0))</f>
        <v/>
      </c>
      <c r="W592">
        <f>IF(AND(B592&lt;&gt;"",K592&lt;&gt;"",L592&lt;&gt;"Sent",L592&lt;&gt;"Picked up",L592&lt;&gt;"Cancelled"),IF(N(E592)=0,1,E592),0)</f>
        <v/>
      </c>
      <c r="X592">
        <f>IF(OR(B592="",D592=""),"",IF(N(E592)=0,1,E592))</f>
        <v/>
      </c>
    </row>
    <row r="593">
      <c r="A593" s="1" t="n"/>
      <c r="B593" s="31" t="n"/>
      <c r="C593" s="32" t="n"/>
      <c r="D593" s="33" t="n"/>
      <c r="E593" s="34" t="n"/>
      <c r="F593" s="35" t="n"/>
      <c r="G593" s="35" t="n"/>
      <c r="H593" s="30">
        <f>IF(OR(B593="",D593=""),"",IF(N(E593)=0,1,E593)*IFERROR(INDEX(Products!$C$6:$C$105,MATCH(D593,Products!$B$6:$B$105,0)),0)+N(F593)+N(G593))</f>
        <v/>
      </c>
      <c r="I593" s="35" t="n"/>
      <c r="J593" s="30">
        <f>IF(OR(H593="",L593="Cancelled"),"",IF(H593-N(I593)&gt;0.005,H593-N(I593),""))</f>
        <v/>
      </c>
      <c r="K593" s="31" t="n"/>
      <c r="L593" s="36" t="n"/>
      <c r="M593" s="33" t="n"/>
      <c r="N593" s="22">
        <f>IF(OR(H593="",L593="Cancelled"),"",IF(N(E593)=0,1,E593)*IFERROR(INDEX(Products!$E$6:$E$105,MATCH(D593,Products!$B$6:$B$105,0)),0))</f>
        <v/>
      </c>
      <c r="O593" s="35" t="n"/>
      <c r="P593" s="22">
        <f>IF(OR(H593="",L593="Cancelled"),"",ROUND(IFERROR(H593*INDEX(Settings!$C$6:$C$15,MATCH(M593,Settings!$B$6:$B$15,0))+INDEX(Settings!$D$6:$D$15,MATCH(M593,Settings!$B$6:$B$15,0)),0),2))</f>
        <v/>
      </c>
      <c r="Q593" s="28">
        <f>IF(OR(H593="",L593="Cancelled"),"",H593-N(N593)-N(O593)-N(P593))</f>
        <v/>
      </c>
      <c r="R593" s="19">
        <f>IF(OR(B593="",K593=""),"",IF(OR(L593="Sent",L593="Picked up"),"Done",IF(L593="Cancelled","Cancelled",IF(K593&lt;TODAY(),"Late by "&amp;(TODAY()-K593)&amp;IF((TODAY()-K593)=1," day"," days"),IF(K593=TODAY(),"Due today","Due in "&amp;(K593-TODAY())&amp;IF((K593-TODAY())=1," day"," days"))))))</f>
        <v/>
      </c>
      <c r="S593" s="33" t="n"/>
      <c r="T593" s="1">
        <f>IF(AND(B593&lt;&gt;"",K593&lt;&gt;"",L593&lt;&gt;"Sent",L593&lt;&gt;"Picked up",L593&lt;&gt;"Cancelled"),K593+ROW()/10000000,"")</f>
        <v/>
      </c>
      <c r="U593">
        <f>IF(OR(B593="",C593=""),"",B593+ROW()/10000000)</f>
        <v/>
      </c>
      <c r="V593">
        <f>IF(U593="","",IF(COUNTIFS(Orders!$C$6:$C$1005,C593,Orders!$U$6:$U$1005,"&gt;"&amp;U593)=0,1,0))</f>
        <v/>
      </c>
      <c r="W593">
        <f>IF(AND(B593&lt;&gt;"",K593&lt;&gt;"",L593&lt;&gt;"Sent",L593&lt;&gt;"Picked up",L593&lt;&gt;"Cancelled"),IF(N(E593)=0,1,E593),0)</f>
        <v/>
      </c>
      <c r="X593">
        <f>IF(OR(B593="",D593=""),"",IF(N(E593)=0,1,E593))</f>
        <v/>
      </c>
    </row>
    <row r="594">
      <c r="A594" s="1" t="n"/>
      <c r="B594" s="31" t="n"/>
      <c r="C594" s="32" t="n"/>
      <c r="D594" s="33" t="n"/>
      <c r="E594" s="34" t="n"/>
      <c r="F594" s="35" t="n"/>
      <c r="G594" s="35" t="n"/>
      <c r="H594" s="30">
        <f>IF(OR(B594="",D594=""),"",IF(N(E594)=0,1,E594)*IFERROR(INDEX(Products!$C$6:$C$105,MATCH(D594,Products!$B$6:$B$105,0)),0)+N(F594)+N(G594))</f>
        <v/>
      </c>
      <c r="I594" s="35" t="n"/>
      <c r="J594" s="30">
        <f>IF(OR(H594="",L594="Cancelled"),"",IF(H594-N(I594)&gt;0.005,H594-N(I594),""))</f>
        <v/>
      </c>
      <c r="K594" s="31" t="n"/>
      <c r="L594" s="36" t="n"/>
      <c r="M594" s="33" t="n"/>
      <c r="N594" s="22">
        <f>IF(OR(H594="",L594="Cancelled"),"",IF(N(E594)=0,1,E594)*IFERROR(INDEX(Products!$E$6:$E$105,MATCH(D594,Products!$B$6:$B$105,0)),0))</f>
        <v/>
      </c>
      <c r="O594" s="35" t="n"/>
      <c r="P594" s="22">
        <f>IF(OR(H594="",L594="Cancelled"),"",ROUND(IFERROR(H594*INDEX(Settings!$C$6:$C$15,MATCH(M594,Settings!$B$6:$B$15,0))+INDEX(Settings!$D$6:$D$15,MATCH(M594,Settings!$B$6:$B$15,0)),0),2))</f>
        <v/>
      </c>
      <c r="Q594" s="28">
        <f>IF(OR(H594="",L594="Cancelled"),"",H594-N(N594)-N(O594)-N(P594))</f>
        <v/>
      </c>
      <c r="R594" s="19">
        <f>IF(OR(B594="",K594=""),"",IF(OR(L594="Sent",L594="Picked up"),"Done",IF(L594="Cancelled","Cancelled",IF(K594&lt;TODAY(),"Late by "&amp;(TODAY()-K594)&amp;IF((TODAY()-K594)=1," day"," days"),IF(K594=TODAY(),"Due today","Due in "&amp;(K594-TODAY())&amp;IF((K594-TODAY())=1," day"," days"))))))</f>
        <v/>
      </c>
      <c r="S594" s="33" t="n"/>
      <c r="T594" s="1">
        <f>IF(AND(B594&lt;&gt;"",K594&lt;&gt;"",L594&lt;&gt;"Sent",L594&lt;&gt;"Picked up",L594&lt;&gt;"Cancelled"),K594+ROW()/10000000,"")</f>
        <v/>
      </c>
      <c r="U594">
        <f>IF(OR(B594="",C594=""),"",B594+ROW()/10000000)</f>
        <v/>
      </c>
      <c r="V594">
        <f>IF(U594="","",IF(COUNTIFS(Orders!$C$6:$C$1005,C594,Orders!$U$6:$U$1005,"&gt;"&amp;U594)=0,1,0))</f>
        <v/>
      </c>
      <c r="W594">
        <f>IF(AND(B594&lt;&gt;"",K594&lt;&gt;"",L594&lt;&gt;"Sent",L594&lt;&gt;"Picked up",L594&lt;&gt;"Cancelled"),IF(N(E594)=0,1,E594),0)</f>
        <v/>
      </c>
      <c r="X594">
        <f>IF(OR(B594="",D594=""),"",IF(N(E594)=0,1,E594))</f>
        <v/>
      </c>
    </row>
    <row r="595">
      <c r="A595" s="1" t="n"/>
      <c r="B595" s="31" t="n"/>
      <c r="C595" s="32" t="n"/>
      <c r="D595" s="33" t="n"/>
      <c r="E595" s="34" t="n"/>
      <c r="F595" s="35" t="n"/>
      <c r="G595" s="35" t="n"/>
      <c r="H595" s="30">
        <f>IF(OR(B595="",D595=""),"",IF(N(E595)=0,1,E595)*IFERROR(INDEX(Products!$C$6:$C$105,MATCH(D595,Products!$B$6:$B$105,0)),0)+N(F595)+N(G595))</f>
        <v/>
      </c>
      <c r="I595" s="35" t="n"/>
      <c r="J595" s="30">
        <f>IF(OR(H595="",L595="Cancelled"),"",IF(H595-N(I595)&gt;0.005,H595-N(I595),""))</f>
        <v/>
      </c>
      <c r="K595" s="31" t="n"/>
      <c r="L595" s="36" t="n"/>
      <c r="M595" s="33" t="n"/>
      <c r="N595" s="22">
        <f>IF(OR(H595="",L595="Cancelled"),"",IF(N(E595)=0,1,E595)*IFERROR(INDEX(Products!$E$6:$E$105,MATCH(D595,Products!$B$6:$B$105,0)),0))</f>
        <v/>
      </c>
      <c r="O595" s="35" t="n"/>
      <c r="P595" s="22">
        <f>IF(OR(H595="",L595="Cancelled"),"",ROUND(IFERROR(H595*INDEX(Settings!$C$6:$C$15,MATCH(M595,Settings!$B$6:$B$15,0))+INDEX(Settings!$D$6:$D$15,MATCH(M595,Settings!$B$6:$B$15,0)),0),2))</f>
        <v/>
      </c>
      <c r="Q595" s="28">
        <f>IF(OR(H595="",L595="Cancelled"),"",H595-N(N595)-N(O595)-N(P595))</f>
        <v/>
      </c>
      <c r="R595" s="19">
        <f>IF(OR(B595="",K595=""),"",IF(OR(L595="Sent",L595="Picked up"),"Done",IF(L595="Cancelled","Cancelled",IF(K595&lt;TODAY(),"Late by "&amp;(TODAY()-K595)&amp;IF((TODAY()-K595)=1," day"," days"),IF(K595=TODAY(),"Due today","Due in "&amp;(K595-TODAY())&amp;IF((K595-TODAY())=1," day"," days"))))))</f>
        <v/>
      </c>
      <c r="S595" s="33" t="n"/>
      <c r="T595" s="1">
        <f>IF(AND(B595&lt;&gt;"",K595&lt;&gt;"",L595&lt;&gt;"Sent",L595&lt;&gt;"Picked up",L595&lt;&gt;"Cancelled"),K595+ROW()/10000000,"")</f>
        <v/>
      </c>
      <c r="U595">
        <f>IF(OR(B595="",C595=""),"",B595+ROW()/10000000)</f>
        <v/>
      </c>
      <c r="V595">
        <f>IF(U595="","",IF(COUNTIFS(Orders!$C$6:$C$1005,C595,Orders!$U$6:$U$1005,"&gt;"&amp;U595)=0,1,0))</f>
        <v/>
      </c>
      <c r="W595">
        <f>IF(AND(B595&lt;&gt;"",K595&lt;&gt;"",L595&lt;&gt;"Sent",L595&lt;&gt;"Picked up",L595&lt;&gt;"Cancelled"),IF(N(E595)=0,1,E595),0)</f>
        <v/>
      </c>
      <c r="X595">
        <f>IF(OR(B595="",D595=""),"",IF(N(E595)=0,1,E595))</f>
        <v/>
      </c>
    </row>
    <row r="596">
      <c r="A596" s="1" t="n"/>
      <c r="B596" s="31" t="n"/>
      <c r="C596" s="32" t="n"/>
      <c r="D596" s="33" t="n"/>
      <c r="E596" s="34" t="n"/>
      <c r="F596" s="35" t="n"/>
      <c r="G596" s="35" t="n"/>
      <c r="H596" s="30">
        <f>IF(OR(B596="",D596=""),"",IF(N(E596)=0,1,E596)*IFERROR(INDEX(Products!$C$6:$C$105,MATCH(D596,Products!$B$6:$B$105,0)),0)+N(F596)+N(G596))</f>
        <v/>
      </c>
      <c r="I596" s="35" t="n"/>
      <c r="J596" s="30">
        <f>IF(OR(H596="",L596="Cancelled"),"",IF(H596-N(I596)&gt;0.005,H596-N(I596),""))</f>
        <v/>
      </c>
      <c r="K596" s="31" t="n"/>
      <c r="L596" s="36" t="n"/>
      <c r="M596" s="33" t="n"/>
      <c r="N596" s="22">
        <f>IF(OR(H596="",L596="Cancelled"),"",IF(N(E596)=0,1,E596)*IFERROR(INDEX(Products!$E$6:$E$105,MATCH(D596,Products!$B$6:$B$105,0)),0))</f>
        <v/>
      </c>
      <c r="O596" s="35" t="n"/>
      <c r="P596" s="22">
        <f>IF(OR(H596="",L596="Cancelled"),"",ROUND(IFERROR(H596*INDEX(Settings!$C$6:$C$15,MATCH(M596,Settings!$B$6:$B$15,0))+INDEX(Settings!$D$6:$D$15,MATCH(M596,Settings!$B$6:$B$15,0)),0),2))</f>
        <v/>
      </c>
      <c r="Q596" s="28">
        <f>IF(OR(H596="",L596="Cancelled"),"",H596-N(N596)-N(O596)-N(P596))</f>
        <v/>
      </c>
      <c r="R596" s="19">
        <f>IF(OR(B596="",K596=""),"",IF(OR(L596="Sent",L596="Picked up"),"Done",IF(L596="Cancelled","Cancelled",IF(K596&lt;TODAY(),"Late by "&amp;(TODAY()-K596)&amp;IF((TODAY()-K596)=1," day"," days"),IF(K596=TODAY(),"Due today","Due in "&amp;(K596-TODAY())&amp;IF((K596-TODAY())=1," day"," days"))))))</f>
        <v/>
      </c>
      <c r="S596" s="33" t="n"/>
      <c r="T596" s="1">
        <f>IF(AND(B596&lt;&gt;"",K596&lt;&gt;"",L596&lt;&gt;"Sent",L596&lt;&gt;"Picked up",L596&lt;&gt;"Cancelled"),K596+ROW()/10000000,"")</f>
        <v/>
      </c>
      <c r="U596">
        <f>IF(OR(B596="",C596=""),"",B596+ROW()/10000000)</f>
        <v/>
      </c>
      <c r="V596">
        <f>IF(U596="","",IF(COUNTIFS(Orders!$C$6:$C$1005,C596,Orders!$U$6:$U$1005,"&gt;"&amp;U596)=0,1,0))</f>
        <v/>
      </c>
      <c r="W596">
        <f>IF(AND(B596&lt;&gt;"",K596&lt;&gt;"",L596&lt;&gt;"Sent",L596&lt;&gt;"Picked up",L596&lt;&gt;"Cancelled"),IF(N(E596)=0,1,E596),0)</f>
        <v/>
      </c>
      <c r="X596">
        <f>IF(OR(B596="",D596=""),"",IF(N(E596)=0,1,E596))</f>
        <v/>
      </c>
    </row>
    <row r="597">
      <c r="A597" s="1" t="n"/>
      <c r="B597" s="31" t="n"/>
      <c r="C597" s="32" t="n"/>
      <c r="D597" s="33" t="n"/>
      <c r="E597" s="34" t="n"/>
      <c r="F597" s="35" t="n"/>
      <c r="G597" s="35" t="n"/>
      <c r="H597" s="30">
        <f>IF(OR(B597="",D597=""),"",IF(N(E597)=0,1,E597)*IFERROR(INDEX(Products!$C$6:$C$105,MATCH(D597,Products!$B$6:$B$105,0)),0)+N(F597)+N(G597))</f>
        <v/>
      </c>
      <c r="I597" s="35" t="n"/>
      <c r="J597" s="30">
        <f>IF(OR(H597="",L597="Cancelled"),"",IF(H597-N(I597)&gt;0.005,H597-N(I597),""))</f>
        <v/>
      </c>
      <c r="K597" s="31" t="n"/>
      <c r="L597" s="36" t="n"/>
      <c r="M597" s="33" t="n"/>
      <c r="N597" s="22">
        <f>IF(OR(H597="",L597="Cancelled"),"",IF(N(E597)=0,1,E597)*IFERROR(INDEX(Products!$E$6:$E$105,MATCH(D597,Products!$B$6:$B$105,0)),0))</f>
        <v/>
      </c>
      <c r="O597" s="35" t="n"/>
      <c r="P597" s="22">
        <f>IF(OR(H597="",L597="Cancelled"),"",ROUND(IFERROR(H597*INDEX(Settings!$C$6:$C$15,MATCH(M597,Settings!$B$6:$B$15,0))+INDEX(Settings!$D$6:$D$15,MATCH(M597,Settings!$B$6:$B$15,0)),0),2))</f>
        <v/>
      </c>
      <c r="Q597" s="28">
        <f>IF(OR(H597="",L597="Cancelled"),"",H597-N(N597)-N(O597)-N(P597))</f>
        <v/>
      </c>
      <c r="R597" s="19">
        <f>IF(OR(B597="",K597=""),"",IF(OR(L597="Sent",L597="Picked up"),"Done",IF(L597="Cancelled","Cancelled",IF(K597&lt;TODAY(),"Late by "&amp;(TODAY()-K597)&amp;IF((TODAY()-K597)=1," day"," days"),IF(K597=TODAY(),"Due today","Due in "&amp;(K597-TODAY())&amp;IF((K597-TODAY())=1," day"," days"))))))</f>
        <v/>
      </c>
      <c r="S597" s="33" t="n"/>
      <c r="T597" s="1">
        <f>IF(AND(B597&lt;&gt;"",K597&lt;&gt;"",L597&lt;&gt;"Sent",L597&lt;&gt;"Picked up",L597&lt;&gt;"Cancelled"),K597+ROW()/10000000,"")</f>
        <v/>
      </c>
      <c r="U597">
        <f>IF(OR(B597="",C597=""),"",B597+ROW()/10000000)</f>
        <v/>
      </c>
      <c r="V597">
        <f>IF(U597="","",IF(COUNTIFS(Orders!$C$6:$C$1005,C597,Orders!$U$6:$U$1005,"&gt;"&amp;U597)=0,1,0))</f>
        <v/>
      </c>
      <c r="W597">
        <f>IF(AND(B597&lt;&gt;"",K597&lt;&gt;"",L597&lt;&gt;"Sent",L597&lt;&gt;"Picked up",L597&lt;&gt;"Cancelled"),IF(N(E597)=0,1,E597),0)</f>
        <v/>
      </c>
      <c r="X597">
        <f>IF(OR(B597="",D597=""),"",IF(N(E597)=0,1,E597))</f>
        <v/>
      </c>
    </row>
    <row r="598">
      <c r="A598" s="1" t="n"/>
      <c r="B598" s="31" t="n"/>
      <c r="C598" s="32" t="n"/>
      <c r="D598" s="33" t="n"/>
      <c r="E598" s="34" t="n"/>
      <c r="F598" s="35" t="n"/>
      <c r="G598" s="35" t="n"/>
      <c r="H598" s="30">
        <f>IF(OR(B598="",D598=""),"",IF(N(E598)=0,1,E598)*IFERROR(INDEX(Products!$C$6:$C$105,MATCH(D598,Products!$B$6:$B$105,0)),0)+N(F598)+N(G598))</f>
        <v/>
      </c>
      <c r="I598" s="35" t="n"/>
      <c r="J598" s="30">
        <f>IF(OR(H598="",L598="Cancelled"),"",IF(H598-N(I598)&gt;0.005,H598-N(I598),""))</f>
        <v/>
      </c>
      <c r="K598" s="31" t="n"/>
      <c r="L598" s="36" t="n"/>
      <c r="M598" s="33" t="n"/>
      <c r="N598" s="22">
        <f>IF(OR(H598="",L598="Cancelled"),"",IF(N(E598)=0,1,E598)*IFERROR(INDEX(Products!$E$6:$E$105,MATCH(D598,Products!$B$6:$B$105,0)),0))</f>
        <v/>
      </c>
      <c r="O598" s="35" t="n"/>
      <c r="P598" s="22">
        <f>IF(OR(H598="",L598="Cancelled"),"",ROUND(IFERROR(H598*INDEX(Settings!$C$6:$C$15,MATCH(M598,Settings!$B$6:$B$15,0))+INDEX(Settings!$D$6:$D$15,MATCH(M598,Settings!$B$6:$B$15,0)),0),2))</f>
        <v/>
      </c>
      <c r="Q598" s="28">
        <f>IF(OR(H598="",L598="Cancelled"),"",H598-N(N598)-N(O598)-N(P598))</f>
        <v/>
      </c>
      <c r="R598" s="19">
        <f>IF(OR(B598="",K598=""),"",IF(OR(L598="Sent",L598="Picked up"),"Done",IF(L598="Cancelled","Cancelled",IF(K598&lt;TODAY(),"Late by "&amp;(TODAY()-K598)&amp;IF((TODAY()-K598)=1," day"," days"),IF(K598=TODAY(),"Due today","Due in "&amp;(K598-TODAY())&amp;IF((K598-TODAY())=1," day"," days"))))))</f>
        <v/>
      </c>
      <c r="S598" s="33" t="n"/>
      <c r="T598" s="1">
        <f>IF(AND(B598&lt;&gt;"",K598&lt;&gt;"",L598&lt;&gt;"Sent",L598&lt;&gt;"Picked up",L598&lt;&gt;"Cancelled"),K598+ROW()/10000000,"")</f>
        <v/>
      </c>
      <c r="U598">
        <f>IF(OR(B598="",C598=""),"",B598+ROW()/10000000)</f>
        <v/>
      </c>
      <c r="V598">
        <f>IF(U598="","",IF(COUNTIFS(Orders!$C$6:$C$1005,C598,Orders!$U$6:$U$1005,"&gt;"&amp;U598)=0,1,0))</f>
        <v/>
      </c>
      <c r="W598">
        <f>IF(AND(B598&lt;&gt;"",K598&lt;&gt;"",L598&lt;&gt;"Sent",L598&lt;&gt;"Picked up",L598&lt;&gt;"Cancelled"),IF(N(E598)=0,1,E598),0)</f>
        <v/>
      </c>
      <c r="X598">
        <f>IF(OR(B598="",D598=""),"",IF(N(E598)=0,1,E598))</f>
        <v/>
      </c>
    </row>
    <row r="599">
      <c r="A599" s="1" t="n"/>
      <c r="B599" s="31" t="n"/>
      <c r="C599" s="32" t="n"/>
      <c r="D599" s="33" t="n"/>
      <c r="E599" s="34" t="n"/>
      <c r="F599" s="35" t="n"/>
      <c r="G599" s="35" t="n"/>
      <c r="H599" s="30">
        <f>IF(OR(B599="",D599=""),"",IF(N(E599)=0,1,E599)*IFERROR(INDEX(Products!$C$6:$C$105,MATCH(D599,Products!$B$6:$B$105,0)),0)+N(F599)+N(G599))</f>
        <v/>
      </c>
      <c r="I599" s="35" t="n"/>
      <c r="J599" s="30">
        <f>IF(OR(H599="",L599="Cancelled"),"",IF(H599-N(I599)&gt;0.005,H599-N(I599),""))</f>
        <v/>
      </c>
      <c r="K599" s="31" t="n"/>
      <c r="L599" s="36" t="n"/>
      <c r="M599" s="33" t="n"/>
      <c r="N599" s="22">
        <f>IF(OR(H599="",L599="Cancelled"),"",IF(N(E599)=0,1,E599)*IFERROR(INDEX(Products!$E$6:$E$105,MATCH(D599,Products!$B$6:$B$105,0)),0))</f>
        <v/>
      </c>
      <c r="O599" s="35" t="n"/>
      <c r="P599" s="22">
        <f>IF(OR(H599="",L599="Cancelled"),"",ROUND(IFERROR(H599*INDEX(Settings!$C$6:$C$15,MATCH(M599,Settings!$B$6:$B$15,0))+INDEX(Settings!$D$6:$D$15,MATCH(M599,Settings!$B$6:$B$15,0)),0),2))</f>
        <v/>
      </c>
      <c r="Q599" s="28">
        <f>IF(OR(H599="",L599="Cancelled"),"",H599-N(N599)-N(O599)-N(P599))</f>
        <v/>
      </c>
      <c r="R599" s="19">
        <f>IF(OR(B599="",K599=""),"",IF(OR(L599="Sent",L599="Picked up"),"Done",IF(L599="Cancelled","Cancelled",IF(K599&lt;TODAY(),"Late by "&amp;(TODAY()-K599)&amp;IF((TODAY()-K599)=1," day"," days"),IF(K599=TODAY(),"Due today","Due in "&amp;(K599-TODAY())&amp;IF((K599-TODAY())=1," day"," days"))))))</f>
        <v/>
      </c>
      <c r="S599" s="33" t="n"/>
      <c r="T599" s="1">
        <f>IF(AND(B599&lt;&gt;"",K599&lt;&gt;"",L599&lt;&gt;"Sent",L599&lt;&gt;"Picked up",L599&lt;&gt;"Cancelled"),K599+ROW()/10000000,"")</f>
        <v/>
      </c>
      <c r="U599">
        <f>IF(OR(B599="",C599=""),"",B599+ROW()/10000000)</f>
        <v/>
      </c>
      <c r="V599">
        <f>IF(U599="","",IF(COUNTIFS(Orders!$C$6:$C$1005,C599,Orders!$U$6:$U$1005,"&gt;"&amp;U599)=0,1,0))</f>
        <v/>
      </c>
      <c r="W599">
        <f>IF(AND(B599&lt;&gt;"",K599&lt;&gt;"",L599&lt;&gt;"Sent",L599&lt;&gt;"Picked up",L599&lt;&gt;"Cancelled"),IF(N(E599)=0,1,E599),0)</f>
        <v/>
      </c>
      <c r="X599">
        <f>IF(OR(B599="",D599=""),"",IF(N(E599)=0,1,E599))</f>
        <v/>
      </c>
    </row>
    <row r="600">
      <c r="A600" s="1" t="n"/>
      <c r="B600" s="31" t="n"/>
      <c r="C600" s="32" t="n"/>
      <c r="D600" s="33" t="n"/>
      <c r="E600" s="34" t="n"/>
      <c r="F600" s="35" t="n"/>
      <c r="G600" s="35" t="n"/>
      <c r="H600" s="30">
        <f>IF(OR(B600="",D600=""),"",IF(N(E600)=0,1,E600)*IFERROR(INDEX(Products!$C$6:$C$105,MATCH(D600,Products!$B$6:$B$105,0)),0)+N(F600)+N(G600))</f>
        <v/>
      </c>
      <c r="I600" s="35" t="n"/>
      <c r="J600" s="30">
        <f>IF(OR(H600="",L600="Cancelled"),"",IF(H600-N(I600)&gt;0.005,H600-N(I600),""))</f>
        <v/>
      </c>
      <c r="K600" s="31" t="n"/>
      <c r="L600" s="36" t="n"/>
      <c r="M600" s="33" t="n"/>
      <c r="N600" s="22">
        <f>IF(OR(H600="",L600="Cancelled"),"",IF(N(E600)=0,1,E600)*IFERROR(INDEX(Products!$E$6:$E$105,MATCH(D600,Products!$B$6:$B$105,0)),0))</f>
        <v/>
      </c>
      <c r="O600" s="35" t="n"/>
      <c r="P600" s="22">
        <f>IF(OR(H600="",L600="Cancelled"),"",ROUND(IFERROR(H600*INDEX(Settings!$C$6:$C$15,MATCH(M600,Settings!$B$6:$B$15,0))+INDEX(Settings!$D$6:$D$15,MATCH(M600,Settings!$B$6:$B$15,0)),0),2))</f>
        <v/>
      </c>
      <c r="Q600" s="28">
        <f>IF(OR(H600="",L600="Cancelled"),"",H600-N(N600)-N(O600)-N(P600))</f>
        <v/>
      </c>
      <c r="R600" s="19">
        <f>IF(OR(B600="",K600=""),"",IF(OR(L600="Sent",L600="Picked up"),"Done",IF(L600="Cancelled","Cancelled",IF(K600&lt;TODAY(),"Late by "&amp;(TODAY()-K600)&amp;IF((TODAY()-K600)=1," day"," days"),IF(K600=TODAY(),"Due today","Due in "&amp;(K600-TODAY())&amp;IF((K600-TODAY())=1," day"," days"))))))</f>
        <v/>
      </c>
      <c r="S600" s="33" t="n"/>
      <c r="T600" s="1">
        <f>IF(AND(B600&lt;&gt;"",K600&lt;&gt;"",L600&lt;&gt;"Sent",L600&lt;&gt;"Picked up",L600&lt;&gt;"Cancelled"),K600+ROW()/10000000,"")</f>
        <v/>
      </c>
      <c r="U600">
        <f>IF(OR(B600="",C600=""),"",B600+ROW()/10000000)</f>
        <v/>
      </c>
      <c r="V600">
        <f>IF(U600="","",IF(COUNTIFS(Orders!$C$6:$C$1005,C600,Orders!$U$6:$U$1005,"&gt;"&amp;U600)=0,1,0))</f>
        <v/>
      </c>
      <c r="W600">
        <f>IF(AND(B600&lt;&gt;"",K600&lt;&gt;"",L600&lt;&gt;"Sent",L600&lt;&gt;"Picked up",L600&lt;&gt;"Cancelled"),IF(N(E600)=0,1,E600),0)</f>
        <v/>
      </c>
      <c r="X600">
        <f>IF(OR(B600="",D600=""),"",IF(N(E600)=0,1,E600))</f>
        <v/>
      </c>
    </row>
    <row r="601">
      <c r="A601" s="1" t="n"/>
      <c r="B601" s="31" t="n"/>
      <c r="C601" s="32" t="n"/>
      <c r="D601" s="33" t="n"/>
      <c r="E601" s="34" t="n"/>
      <c r="F601" s="35" t="n"/>
      <c r="G601" s="35" t="n"/>
      <c r="H601" s="30">
        <f>IF(OR(B601="",D601=""),"",IF(N(E601)=0,1,E601)*IFERROR(INDEX(Products!$C$6:$C$105,MATCH(D601,Products!$B$6:$B$105,0)),0)+N(F601)+N(G601))</f>
        <v/>
      </c>
      <c r="I601" s="35" t="n"/>
      <c r="J601" s="30">
        <f>IF(OR(H601="",L601="Cancelled"),"",IF(H601-N(I601)&gt;0.005,H601-N(I601),""))</f>
        <v/>
      </c>
      <c r="K601" s="31" t="n"/>
      <c r="L601" s="36" t="n"/>
      <c r="M601" s="33" t="n"/>
      <c r="N601" s="22">
        <f>IF(OR(H601="",L601="Cancelled"),"",IF(N(E601)=0,1,E601)*IFERROR(INDEX(Products!$E$6:$E$105,MATCH(D601,Products!$B$6:$B$105,0)),0))</f>
        <v/>
      </c>
      <c r="O601" s="35" t="n"/>
      <c r="P601" s="22">
        <f>IF(OR(H601="",L601="Cancelled"),"",ROUND(IFERROR(H601*INDEX(Settings!$C$6:$C$15,MATCH(M601,Settings!$B$6:$B$15,0))+INDEX(Settings!$D$6:$D$15,MATCH(M601,Settings!$B$6:$B$15,0)),0),2))</f>
        <v/>
      </c>
      <c r="Q601" s="28">
        <f>IF(OR(H601="",L601="Cancelled"),"",H601-N(N601)-N(O601)-N(P601))</f>
        <v/>
      </c>
      <c r="R601" s="19">
        <f>IF(OR(B601="",K601=""),"",IF(OR(L601="Sent",L601="Picked up"),"Done",IF(L601="Cancelled","Cancelled",IF(K601&lt;TODAY(),"Late by "&amp;(TODAY()-K601)&amp;IF((TODAY()-K601)=1," day"," days"),IF(K601=TODAY(),"Due today","Due in "&amp;(K601-TODAY())&amp;IF((K601-TODAY())=1," day"," days"))))))</f>
        <v/>
      </c>
      <c r="S601" s="33" t="n"/>
      <c r="T601" s="1">
        <f>IF(AND(B601&lt;&gt;"",K601&lt;&gt;"",L601&lt;&gt;"Sent",L601&lt;&gt;"Picked up",L601&lt;&gt;"Cancelled"),K601+ROW()/10000000,"")</f>
        <v/>
      </c>
      <c r="U601">
        <f>IF(OR(B601="",C601=""),"",B601+ROW()/10000000)</f>
        <v/>
      </c>
      <c r="V601">
        <f>IF(U601="","",IF(COUNTIFS(Orders!$C$6:$C$1005,C601,Orders!$U$6:$U$1005,"&gt;"&amp;U601)=0,1,0))</f>
        <v/>
      </c>
      <c r="W601">
        <f>IF(AND(B601&lt;&gt;"",K601&lt;&gt;"",L601&lt;&gt;"Sent",L601&lt;&gt;"Picked up",L601&lt;&gt;"Cancelled"),IF(N(E601)=0,1,E601),0)</f>
        <v/>
      </c>
      <c r="X601">
        <f>IF(OR(B601="",D601=""),"",IF(N(E601)=0,1,E601))</f>
        <v/>
      </c>
    </row>
    <row r="602">
      <c r="A602" s="1" t="n"/>
      <c r="B602" s="31" t="n"/>
      <c r="C602" s="32" t="n"/>
      <c r="D602" s="33" t="n"/>
      <c r="E602" s="34" t="n"/>
      <c r="F602" s="35" t="n"/>
      <c r="G602" s="35" t="n"/>
      <c r="H602" s="30">
        <f>IF(OR(B602="",D602=""),"",IF(N(E602)=0,1,E602)*IFERROR(INDEX(Products!$C$6:$C$105,MATCH(D602,Products!$B$6:$B$105,0)),0)+N(F602)+N(G602))</f>
        <v/>
      </c>
      <c r="I602" s="35" t="n"/>
      <c r="J602" s="30">
        <f>IF(OR(H602="",L602="Cancelled"),"",IF(H602-N(I602)&gt;0.005,H602-N(I602),""))</f>
        <v/>
      </c>
      <c r="K602" s="31" t="n"/>
      <c r="L602" s="36" t="n"/>
      <c r="M602" s="33" t="n"/>
      <c r="N602" s="22">
        <f>IF(OR(H602="",L602="Cancelled"),"",IF(N(E602)=0,1,E602)*IFERROR(INDEX(Products!$E$6:$E$105,MATCH(D602,Products!$B$6:$B$105,0)),0))</f>
        <v/>
      </c>
      <c r="O602" s="35" t="n"/>
      <c r="P602" s="22">
        <f>IF(OR(H602="",L602="Cancelled"),"",ROUND(IFERROR(H602*INDEX(Settings!$C$6:$C$15,MATCH(M602,Settings!$B$6:$B$15,0))+INDEX(Settings!$D$6:$D$15,MATCH(M602,Settings!$B$6:$B$15,0)),0),2))</f>
        <v/>
      </c>
      <c r="Q602" s="28">
        <f>IF(OR(H602="",L602="Cancelled"),"",H602-N(N602)-N(O602)-N(P602))</f>
        <v/>
      </c>
      <c r="R602" s="19">
        <f>IF(OR(B602="",K602=""),"",IF(OR(L602="Sent",L602="Picked up"),"Done",IF(L602="Cancelled","Cancelled",IF(K602&lt;TODAY(),"Late by "&amp;(TODAY()-K602)&amp;IF((TODAY()-K602)=1," day"," days"),IF(K602=TODAY(),"Due today","Due in "&amp;(K602-TODAY())&amp;IF((K602-TODAY())=1," day"," days"))))))</f>
        <v/>
      </c>
      <c r="S602" s="33" t="n"/>
      <c r="T602" s="1">
        <f>IF(AND(B602&lt;&gt;"",K602&lt;&gt;"",L602&lt;&gt;"Sent",L602&lt;&gt;"Picked up",L602&lt;&gt;"Cancelled"),K602+ROW()/10000000,"")</f>
        <v/>
      </c>
      <c r="U602">
        <f>IF(OR(B602="",C602=""),"",B602+ROW()/10000000)</f>
        <v/>
      </c>
      <c r="V602">
        <f>IF(U602="","",IF(COUNTIFS(Orders!$C$6:$C$1005,C602,Orders!$U$6:$U$1005,"&gt;"&amp;U602)=0,1,0))</f>
        <v/>
      </c>
      <c r="W602">
        <f>IF(AND(B602&lt;&gt;"",K602&lt;&gt;"",L602&lt;&gt;"Sent",L602&lt;&gt;"Picked up",L602&lt;&gt;"Cancelled"),IF(N(E602)=0,1,E602),0)</f>
        <v/>
      </c>
      <c r="X602">
        <f>IF(OR(B602="",D602=""),"",IF(N(E602)=0,1,E602))</f>
        <v/>
      </c>
    </row>
    <row r="603">
      <c r="A603" s="1" t="n"/>
      <c r="B603" s="31" t="n"/>
      <c r="C603" s="32" t="n"/>
      <c r="D603" s="33" t="n"/>
      <c r="E603" s="34" t="n"/>
      <c r="F603" s="35" t="n"/>
      <c r="G603" s="35" t="n"/>
      <c r="H603" s="30">
        <f>IF(OR(B603="",D603=""),"",IF(N(E603)=0,1,E603)*IFERROR(INDEX(Products!$C$6:$C$105,MATCH(D603,Products!$B$6:$B$105,0)),0)+N(F603)+N(G603))</f>
        <v/>
      </c>
      <c r="I603" s="35" t="n"/>
      <c r="J603" s="30">
        <f>IF(OR(H603="",L603="Cancelled"),"",IF(H603-N(I603)&gt;0.005,H603-N(I603),""))</f>
        <v/>
      </c>
      <c r="K603" s="31" t="n"/>
      <c r="L603" s="36" t="n"/>
      <c r="M603" s="33" t="n"/>
      <c r="N603" s="22">
        <f>IF(OR(H603="",L603="Cancelled"),"",IF(N(E603)=0,1,E603)*IFERROR(INDEX(Products!$E$6:$E$105,MATCH(D603,Products!$B$6:$B$105,0)),0))</f>
        <v/>
      </c>
      <c r="O603" s="35" t="n"/>
      <c r="P603" s="22">
        <f>IF(OR(H603="",L603="Cancelled"),"",ROUND(IFERROR(H603*INDEX(Settings!$C$6:$C$15,MATCH(M603,Settings!$B$6:$B$15,0))+INDEX(Settings!$D$6:$D$15,MATCH(M603,Settings!$B$6:$B$15,0)),0),2))</f>
        <v/>
      </c>
      <c r="Q603" s="28">
        <f>IF(OR(H603="",L603="Cancelled"),"",H603-N(N603)-N(O603)-N(P603))</f>
        <v/>
      </c>
      <c r="R603" s="19">
        <f>IF(OR(B603="",K603=""),"",IF(OR(L603="Sent",L603="Picked up"),"Done",IF(L603="Cancelled","Cancelled",IF(K603&lt;TODAY(),"Late by "&amp;(TODAY()-K603)&amp;IF((TODAY()-K603)=1," day"," days"),IF(K603=TODAY(),"Due today","Due in "&amp;(K603-TODAY())&amp;IF((K603-TODAY())=1," day"," days"))))))</f>
        <v/>
      </c>
      <c r="S603" s="33" t="n"/>
      <c r="T603" s="1">
        <f>IF(AND(B603&lt;&gt;"",K603&lt;&gt;"",L603&lt;&gt;"Sent",L603&lt;&gt;"Picked up",L603&lt;&gt;"Cancelled"),K603+ROW()/10000000,"")</f>
        <v/>
      </c>
      <c r="U603">
        <f>IF(OR(B603="",C603=""),"",B603+ROW()/10000000)</f>
        <v/>
      </c>
      <c r="V603">
        <f>IF(U603="","",IF(COUNTIFS(Orders!$C$6:$C$1005,C603,Orders!$U$6:$U$1005,"&gt;"&amp;U603)=0,1,0))</f>
        <v/>
      </c>
      <c r="W603">
        <f>IF(AND(B603&lt;&gt;"",K603&lt;&gt;"",L603&lt;&gt;"Sent",L603&lt;&gt;"Picked up",L603&lt;&gt;"Cancelled"),IF(N(E603)=0,1,E603),0)</f>
        <v/>
      </c>
      <c r="X603">
        <f>IF(OR(B603="",D603=""),"",IF(N(E603)=0,1,E603))</f>
        <v/>
      </c>
    </row>
    <row r="604">
      <c r="A604" s="1" t="n"/>
      <c r="B604" s="31" t="n"/>
      <c r="C604" s="32" t="n"/>
      <c r="D604" s="33" t="n"/>
      <c r="E604" s="34" t="n"/>
      <c r="F604" s="35" t="n"/>
      <c r="G604" s="35" t="n"/>
      <c r="H604" s="30">
        <f>IF(OR(B604="",D604=""),"",IF(N(E604)=0,1,E604)*IFERROR(INDEX(Products!$C$6:$C$105,MATCH(D604,Products!$B$6:$B$105,0)),0)+N(F604)+N(G604))</f>
        <v/>
      </c>
      <c r="I604" s="35" t="n"/>
      <c r="J604" s="30">
        <f>IF(OR(H604="",L604="Cancelled"),"",IF(H604-N(I604)&gt;0.005,H604-N(I604),""))</f>
        <v/>
      </c>
      <c r="K604" s="31" t="n"/>
      <c r="L604" s="36" t="n"/>
      <c r="M604" s="33" t="n"/>
      <c r="N604" s="22">
        <f>IF(OR(H604="",L604="Cancelled"),"",IF(N(E604)=0,1,E604)*IFERROR(INDEX(Products!$E$6:$E$105,MATCH(D604,Products!$B$6:$B$105,0)),0))</f>
        <v/>
      </c>
      <c r="O604" s="35" t="n"/>
      <c r="P604" s="22">
        <f>IF(OR(H604="",L604="Cancelled"),"",ROUND(IFERROR(H604*INDEX(Settings!$C$6:$C$15,MATCH(M604,Settings!$B$6:$B$15,0))+INDEX(Settings!$D$6:$D$15,MATCH(M604,Settings!$B$6:$B$15,0)),0),2))</f>
        <v/>
      </c>
      <c r="Q604" s="28">
        <f>IF(OR(H604="",L604="Cancelled"),"",H604-N(N604)-N(O604)-N(P604))</f>
        <v/>
      </c>
      <c r="R604" s="19">
        <f>IF(OR(B604="",K604=""),"",IF(OR(L604="Sent",L604="Picked up"),"Done",IF(L604="Cancelled","Cancelled",IF(K604&lt;TODAY(),"Late by "&amp;(TODAY()-K604)&amp;IF((TODAY()-K604)=1," day"," days"),IF(K604=TODAY(),"Due today","Due in "&amp;(K604-TODAY())&amp;IF((K604-TODAY())=1," day"," days"))))))</f>
        <v/>
      </c>
      <c r="S604" s="33" t="n"/>
      <c r="T604" s="1">
        <f>IF(AND(B604&lt;&gt;"",K604&lt;&gt;"",L604&lt;&gt;"Sent",L604&lt;&gt;"Picked up",L604&lt;&gt;"Cancelled"),K604+ROW()/10000000,"")</f>
        <v/>
      </c>
      <c r="U604">
        <f>IF(OR(B604="",C604=""),"",B604+ROW()/10000000)</f>
        <v/>
      </c>
      <c r="V604">
        <f>IF(U604="","",IF(COUNTIFS(Orders!$C$6:$C$1005,C604,Orders!$U$6:$U$1005,"&gt;"&amp;U604)=0,1,0))</f>
        <v/>
      </c>
      <c r="W604">
        <f>IF(AND(B604&lt;&gt;"",K604&lt;&gt;"",L604&lt;&gt;"Sent",L604&lt;&gt;"Picked up",L604&lt;&gt;"Cancelled"),IF(N(E604)=0,1,E604),0)</f>
        <v/>
      </c>
      <c r="X604">
        <f>IF(OR(B604="",D604=""),"",IF(N(E604)=0,1,E604))</f>
        <v/>
      </c>
    </row>
    <row r="605">
      <c r="A605" s="1" t="n"/>
      <c r="B605" s="31" t="n"/>
      <c r="C605" s="32" t="n"/>
      <c r="D605" s="33" t="n"/>
      <c r="E605" s="34" t="n"/>
      <c r="F605" s="35" t="n"/>
      <c r="G605" s="35" t="n"/>
      <c r="H605" s="30">
        <f>IF(OR(B605="",D605=""),"",IF(N(E605)=0,1,E605)*IFERROR(INDEX(Products!$C$6:$C$105,MATCH(D605,Products!$B$6:$B$105,0)),0)+N(F605)+N(G605))</f>
        <v/>
      </c>
      <c r="I605" s="35" t="n"/>
      <c r="J605" s="30">
        <f>IF(OR(H605="",L605="Cancelled"),"",IF(H605-N(I605)&gt;0.005,H605-N(I605),""))</f>
        <v/>
      </c>
      <c r="K605" s="31" t="n"/>
      <c r="L605" s="36" t="n"/>
      <c r="M605" s="33" t="n"/>
      <c r="N605" s="22">
        <f>IF(OR(H605="",L605="Cancelled"),"",IF(N(E605)=0,1,E605)*IFERROR(INDEX(Products!$E$6:$E$105,MATCH(D605,Products!$B$6:$B$105,0)),0))</f>
        <v/>
      </c>
      <c r="O605" s="35" t="n"/>
      <c r="P605" s="22">
        <f>IF(OR(H605="",L605="Cancelled"),"",ROUND(IFERROR(H605*INDEX(Settings!$C$6:$C$15,MATCH(M605,Settings!$B$6:$B$15,0))+INDEX(Settings!$D$6:$D$15,MATCH(M605,Settings!$B$6:$B$15,0)),0),2))</f>
        <v/>
      </c>
      <c r="Q605" s="28">
        <f>IF(OR(H605="",L605="Cancelled"),"",H605-N(N605)-N(O605)-N(P605))</f>
        <v/>
      </c>
      <c r="R605" s="19">
        <f>IF(OR(B605="",K605=""),"",IF(OR(L605="Sent",L605="Picked up"),"Done",IF(L605="Cancelled","Cancelled",IF(K605&lt;TODAY(),"Late by "&amp;(TODAY()-K605)&amp;IF((TODAY()-K605)=1," day"," days"),IF(K605=TODAY(),"Due today","Due in "&amp;(K605-TODAY())&amp;IF((K605-TODAY())=1," day"," days"))))))</f>
        <v/>
      </c>
      <c r="S605" s="33" t="n"/>
      <c r="T605" s="1">
        <f>IF(AND(B605&lt;&gt;"",K605&lt;&gt;"",L605&lt;&gt;"Sent",L605&lt;&gt;"Picked up",L605&lt;&gt;"Cancelled"),K605+ROW()/10000000,"")</f>
        <v/>
      </c>
      <c r="U605">
        <f>IF(OR(B605="",C605=""),"",B605+ROW()/10000000)</f>
        <v/>
      </c>
      <c r="V605">
        <f>IF(U605="","",IF(COUNTIFS(Orders!$C$6:$C$1005,C605,Orders!$U$6:$U$1005,"&gt;"&amp;U605)=0,1,0))</f>
        <v/>
      </c>
      <c r="W605">
        <f>IF(AND(B605&lt;&gt;"",K605&lt;&gt;"",L605&lt;&gt;"Sent",L605&lt;&gt;"Picked up",L605&lt;&gt;"Cancelled"),IF(N(E605)=0,1,E605),0)</f>
        <v/>
      </c>
      <c r="X605">
        <f>IF(OR(B605="",D605=""),"",IF(N(E605)=0,1,E605))</f>
        <v/>
      </c>
    </row>
    <row r="606">
      <c r="A606" s="1" t="n"/>
      <c r="B606" s="31" t="n"/>
      <c r="C606" s="32" t="n"/>
      <c r="D606" s="33" t="n"/>
      <c r="E606" s="34" t="n"/>
      <c r="F606" s="35" t="n"/>
      <c r="G606" s="35" t="n"/>
      <c r="H606" s="30">
        <f>IF(OR(B606="",D606=""),"",IF(N(E606)=0,1,E606)*IFERROR(INDEX(Products!$C$6:$C$105,MATCH(D606,Products!$B$6:$B$105,0)),0)+N(F606)+N(G606))</f>
        <v/>
      </c>
      <c r="I606" s="35" t="n"/>
      <c r="J606" s="30">
        <f>IF(OR(H606="",L606="Cancelled"),"",IF(H606-N(I606)&gt;0.005,H606-N(I606),""))</f>
        <v/>
      </c>
      <c r="K606" s="31" t="n"/>
      <c r="L606" s="36" t="n"/>
      <c r="M606" s="33" t="n"/>
      <c r="N606" s="22">
        <f>IF(OR(H606="",L606="Cancelled"),"",IF(N(E606)=0,1,E606)*IFERROR(INDEX(Products!$E$6:$E$105,MATCH(D606,Products!$B$6:$B$105,0)),0))</f>
        <v/>
      </c>
      <c r="O606" s="35" t="n"/>
      <c r="P606" s="22">
        <f>IF(OR(H606="",L606="Cancelled"),"",ROUND(IFERROR(H606*INDEX(Settings!$C$6:$C$15,MATCH(M606,Settings!$B$6:$B$15,0))+INDEX(Settings!$D$6:$D$15,MATCH(M606,Settings!$B$6:$B$15,0)),0),2))</f>
        <v/>
      </c>
      <c r="Q606" s="28">
        <f>IF(OR(H606="",L606="Cancelled"),"",H606-N(N606)-N(O606)-N(P606))</f>
        <v/>
      </c>
      <c r="R606" s="19">
        <f>IF(OR(B606="",K606=""),"",IF(OR(L606="Sent",L606="Picked up"),"Done",IF(L606="Cancelled","Cancelled",IF(K606&lt;TODAY(),"Late by "&amp;(TODAY()-K606)&amp;IF((TODAY()-K606)=1," day"," days"),IF(K606=TODAY(),"Due today","Due in "&amp;(K606-TODAY())&amp;IF((K606-TODAY())=1," day"," days"))))))</f>
        <v/>
      </c>
      <c r="S606" s="33" t="n"/>
      <c r="T606" s="1">
        <f>IF(AND(B606&lt;&gt;"",K606&lt;&gt;"",L606&lt;&gt;"Sent",L606&lt;&gt;"Picked up",L606&lt;&gt;"Cancelled"),K606+ROW()/10000000,"")</f>
        <v/>
      </c>
      <c r="U606">
        <f>IF(OR(B606="",C606=""),"",B606+ROW()/10000000)</f>
        <v/>
      </c>
      <c r="V606">
        <f>IF(U606="","",IF(COUNTIFS(Orders!$C$6:$C$1005,C606,Orders!$U$6:$U$1005,"&gt;"&amp;U606)=0,1,0))</f>
        <v/>
      </c>
      <c r="W606">
        <f>IF(AND(B606&lt;&gt;"",K606&lt;&gt;"",L606&lt;&gt;"Sent",L606&lt;&gt;"Picked up",L606&lt;&gt;"Cancelled"),IF(N(E606)=0,1,E606),0)</f>
        <v/>
      </c>
      <c r="X606">
        <f>IF(OR(B606="",D606=""),"",IF(N(E606)=0,1,E606))</f>
        <v/>
      </c>
    </row>
    <row r="607">
      <c r="A607" s="1" t="n"/>
      <c r="B607" s="31" t="n"/>
      <c r="C607" s="32" t="n"/>
      <c r="D607" s="33" t="n"/>
      <c r="E607" s="34" t="n"/>
      <c r="F607" s="35" t="n"/>
      <c r="G607" s="35" t="n"/>
      <c r="H607" s="30">
        <f>IF(OR(B607="",D607=""),"",IF(N(E607)=0,1,E607)*IFERROR(INDEX(Products!$C$6:$C$105,MATCH(D607,Products!$B$6:$B$105,0)),0)+N(F607)+N(G607))</f>
        <v/>
      </c>
      <c r="I607" s="35" t="n"/>
      <c r="J607" s="30">
        <f>IF(OR(H607="",L607="Cancelled"),"",IF(H607-N(I607)&gt;0.005,H607-N(I607),""))</f>
        <v/>
      </c>
      <c r="K607" s="31" t="n"/>
      <c r="L607" s="36" t="n"/>
      <c r="M607" s="33" t="n"/>
      <c r="N607" s="22">
        <f>IF(OR(H607="",L607="Cancelled"),"",IF(N(E607)=0,1,E607)*IFERROR(INDEX(Products!$E$6:$E$105,MATCH(D607,Products!$B$6:$B$105,0)),0))</f>
        <v/>
      </c>
      <c r="O607" s="35" t="n"/>
      <c r="P607" s="22">
        <f>IF(OR(H607="",L607="Cancelled"),"",ROUND(IFERROR(H607*INDEX(Settings!$C$6:$C$15,MATCH(M607,Settings!$B$6:$B$15,0))+INDEX(Settings!$D$6:$D$15,MATCH(M607,Settings!$B$6:$B$15,0)),0),2))</f>
        <v/>
      </c>
      <c r="Q607" s="28">
        <f>IF(OR(H607="",L607="Cancelled"),"",H607-N(N607)-N(O607)-N(P607))</f>
        <v/>
      </c>
      <c r="R607" s="19">
        <f>IF(OR(B607="",K607=""),"",IF(OR(L607="Sent",L607="Picked up"),"Done",IF(L607="Cancelled","Cancelled",IF(K607&lt;TODAY(),"Late by "&amp;(TODAY()-K607)&amp;IF((TODAY()-K607)=1," day"," days"),IF(K607=TODAY(),"Due today","Due in "&amp;(K607-TODAY())&amp;IF((K607-TODAY())=1," day"," days"))))))</f>
        <v/>
      </c>
      <c r="S607" s="33" t="n"/>
      <c r="T607" s="1">
        <f>IF(AND(B607&lt;&gt;"",K607&lt;&gt;"",L607&lt;&gt;"Sent",L607&lt;&gt;"Picked up",L607&lt;&gt;"Cancelled"),K607+ROW()/10000000,"")</f>
        <v/>
      </c>
      <c r="U607">
        <f>IF(OR(B607="",C607=""),"",B607+ROW()/10000000)</f>
        <v/>
      </c>
      <c r="V607">
        <f>IF(U607="","",IF(COUNTIFS(Orders!$C$6:$C$1005,C607,Orders!$U$6:$U$1005,"&gt;"&amp;U607)=0,1,0))</f>
        <v/>
      </c>
      <c r="W607">
        <f>IF(AND(B607&lt;&gt;"",K607&lt;&gt;"",L607&lt;&gt;"Sent",L607&lt;&gt;"Picked up",L607&lt;&gt;"Cancelled"),IF(N(E607)=0,1,E607),0)</f>
        <v/>
      </c>
      <c r="X607">
        <f>IF(OR(B607="",D607=""),"",IF(N(E607)=0,1,E607))</f>
        <v/>
      </c>
    </row>
    <row r="608">
      <c r="A608" s="1" t="n"/>
      <c r="B608" s="31" t="n"/>
      <c r="C608" s="32" t="n"/>
      <c r="D608" s="33" t="n"/>
      <c r="E608" s="34" t="n"/>
      <c r="F608" s="35" t="n"/>
      <c r="G608" s="35" t="n"/>
      <c r="H608" s="30">
        <f>IF(OR(B608="",D608=""),"",IF(N(E608)=0,1,E608)*IFERROR(INDEX(Products!$C$6:$C$105,MATCH(D608,Products!$B$6:$B$105,0)),0)+N(F608)+N(G608))</f>
        <v/>
      </c>
      <c r="I608" s="35" t="n"/>
      <c r="J608" s="30">
        <f>IF(OR(H608="",L608="Cancelled"),"",IF(H608-N(I608)&gt;0.005,H608-N(I608),""))</f>
        <v/>
      </c>
      <c r="K608" s="31" t="n"/>
      <c r="L608" s="36" t="n"/>
      <c r="M608" s="33" t="n"/>
      <c r="N608" s="22">
        <f>IF(OR(H608="",L608="Cancelled"),"",IF(N(E608)=0,1,E608)*IFERROR(INDEX(Products!$E$6:$E$105,MATCH(D608,Products!$B$6:$B$105,0)),0))</f>
        <v/>
      </c>
      <c r="O608" s="35" t="n"/>
      <c r="P608" s="22">
        <f>IF(OR(H608="",L608="Cancelled"),"",ROUND(IFERROR(H608*INDEX(Settings!$C$6:$C$15,MATCH(M608,Settings!$B$6:$B$15,0))+INDEX(Settings!$D$6:$D$15,MATCH(M608,Settings!$B$6:$B$15,0)),0),2))</f>
        <v/>
      </c>
      <c r="Q608" s="28">
        <f>IF(OR(H608="",L608="Cancelled"),"",H608-N(N608)-N(O608)-N(P608))</f>
        <v/>
      </c>
      <c r="R608" s="19">
        <f>IF(OR(B608="",K608=""),"",IF(OR(L608="Sent",L608="Picked up"),"Done",IF(L608="Cancelled","Cancelled",IF(K608&lt;TODAY(),"Late by "&amp;(TODAY()-K608)&amp;IF((TODAY()-K608)=1," day"," days"),IF(K608=TODAY(),"Due today","Due in "&amp;(K608-TODAY())&amp;IF((K608-TODAY())=1," day"," days"))))))</f>
        <v/>
      </c>
      <c r="S608" s="33" t="n"/>
      <c r="T608" s="1">
        <f>IF(AND(B608&lt;&gt;"",K608&lt;&gt;"",L608&lt;&gt;"Sent",L608&lt;&gt;"Picked up",L608&lt;&gt;"Cancelled"),K608+ROW()/10000000,"")</f>
        <v/>
      </c>
      <c r="U608">
        <f>IF(OR(B608="",C608=""),"",B608+ROW()/10000000)</f>
        <v/>
      </c>
      <c r="V608">
        <f>IF(U608="","",IF(COUNTIFS(Orders!$C$6:$C$1005,C608,Orders!$U$6:$U$1005,"&gt;"&amp;U608)=0,1,0))</f>
        <v/>
      </c>
      <c r="W608">
        <f>IF(AND(B608&lt;&gt;"",K608&lt;&gt;"",L608&lt;&gt;"Sent",L608&lt;&gt;"Picked up",L608&lt;&gt;"Cancelled"),IF(N(E608)=0,1,E608),0)</f>
        <v/>
      </c>
      <c r="X608">
        <f>IF(OR(B608="",D608=""),"",IF(N(E608)=0,1,E608))</f>
        <v/>
      </c>
    </row>
    <row r="609">
      <c r="A609" s="1" t="n"/>
      <c r="B609" s="31" t="n"/>
      <c r="C609" s="32" t="n"/>
      <c r="D609" s="33" t="n"/>
      <c r="E609" s="34" t="n"/>
      <c r="F609" s="35" t="n"/>
      <c r="G609" s="35" t="n"/>
      <c r="H609" s="30">
        <f>IF(OR(B609="",D609=""),"",IF(N(E609)=0,1,E609)*IFERROR(INDEX(Products!$C$6:$C$105,MATCH(D609,Products!$B$6:$B$105,0)),0)+N(F609)+N(G609))</f>
        <v/>
      </c>
      <c r="I609" s="35" t="n"/>
      <c r="J609" s="30">
        <f>IF(OR(H609="",L609="Cancelled"),"",IF(H609-N(I609)&gt;0.005,H609-N(I609),""))</f>
        <v/>
      </c>
      <c r="K609" s="31" t="n"/>
      <c r="L609" s="36" t="n"/>
      <c r="M609" s="33" t="n"/>
      <c r="N609" s="22">
        <f>IF(OR(H609="",L609="Cancelled"),"",IF(N(E609)=0,1,E609)*IFERROR(INDEX(Products!$E$6:$E$105,MATCH(D609,Products!$B$6:$B$105,0)),0))</f>
        <v/>
      </c>
      <c r="O609" s="35" t="n"/>
      <c r="P609" s="22">
        <f>IF(OR(H609="",L609="Cancelled"),"",ROUND(IFERROR(H609*INDEX(Settings!$C$6:$C$15,MATCH(M609,Settings!$B$6:$B$15,0))+INDEX(Settings!$D$6:$D$15,MATCH(M609,Settings!$B$6:$B$15,0)),0),2))</f>
        <v/>
      </c>
      <c r="Q609" s="28">
        <f>IF(OR(H609="",L609="Cancelled"),"",H609-N(N609)-N(O609)-N(P609))</f>
        <v/>
      </c>
      <c r="R609" s="19">
        <f>IF(OR(B609="",K609=""),"",IF(OR(L609="Sent",L609="Picked up"),"Done",IF(L609="Cancelled","Cancelled",IF(K609&lt;TODAY(),"Late by "&amp;(TODAY()-K609)&amp;IF((TODAY()-K609)=1," day"," days"),IF(K609=TODAY(),"Due today","Due in "&amp;(K609-TODAY())&amp;IF((K609-TODAY())=1," day"," days"))))))</f>
        <v/>
      </c>
      <c r="S609" s="33" t="n"/>
      <c r="T609" s="1">
        <f>IF(AND(B609&lt;&gt;"",K609&lt;&gt;"",L609&lt;&gt;"Sent",L609&lt;&gt;"Picked up",L609&lt;&gt;"Cancelled"),K609+ROW()/10000000,"")</f>
        <v/>
      </c>
      <c r="U609">
        <f>IF(OR(B609="",C609=""),"",B609+ROW()/10000000)</f>
        <v/>
      </c>
      <c r="V609">
        <f>IF(U609="","",IF(COUNTIFS(Orders!$C$6:$C$1005,C609,Orders!$U$6:$U$1005,"&gt;"&amp;U609)=0,1,0))</f>
        <v/>
      </c>
      <c r="W609">
        <f>IF(AND(B609&lt;&gt;"",K609&lt;&gt;"",L609&lt;&gt;"Sent",L609&lt;&gt;"Picked up",L609&lt;&gt;"Cancelled"),IF(N(E609)=0,1,E609),0)</f>
        <v/>
      </c>
      <c r="X609">
        <f>IF(OR(B609="",D609=""),"",IF(N(E609)=0,1,E609))</f>
        <v/>
      </c>
    </row>
    <row r="610">
      <c r="A610" s="1" t="n"/>
      <c r="B610" s="31" t="n"/>
      <c r="C610" s="32" t="n"/>
      <c r="D610" s="33" t="n"/>
      <c r="E610" s="34" t="n"/>
      <c r="F610" s="35" t="n"/>
      <c r="G610" s="35" t="n"/>
      <c r="H610" s="30">
        <f>IF(OR(B610="",D610=""),"",IF(N(E610)=0,1,E610)*IFERROR(INDEX(Products!$C$6:$C$105,MATCH(D610,Products!$B$6:$B$105,0)),0)+N(F610)+N(G610))</f>
        <v/>
      </c>
      <c r="I610" s="35" t="n"/>
      <c r="J610" s="30">
        <f>IF(OR(H610="",L610="Cancelled"),"",IF(H610-N(I610)&gt;0.005,H610-N(I610),""))</f>
        <v/>
      </c>
      <c r="K610" s="31" t="n"/>
      <c r="L610" s="36" t="n"/>
      <c r="M610" s="33" t="n"/>
      <c r="N610" s="22">
        <f>IF(OR(H610="",L610="Cancelled"),"",IF(N(E610)=0,1,E610)*IFERROR(INDEX(Products!$E$6:$E$105,MATCH(D610,Products!$B$6:$B$105,0)),0))</f>
        <v/>
      </c>
      <c r="O610" s="35" t="n"/>
      <c r="P610" s="22">
        <f>IF(OR(H610="",L610="Cancelled"),"",ROUND(IFERROR(H610*INDEX(Settings!$C$6:$C$15,MATCH(M610,Settings!$B$6:$B$15,0))+INDEX(Settings!$D$6:$D$15,MATCH(M610,Settings!$B$6:$B$15,0)),0),2))</f>
        <v/>
      </c>
      <c r="Q610" s="28">
        <f>IF(OR(H610="",L610="Cancelled"),"",H610-N(N610)-N(O610)-N(P610))</f>
        <v/>
      </c>
      <c r="R610" s="19">
        <f>IF(OR(B610="",K610=""),"",IF(OR(L610="Sent",L610="Picked up"),"Done",IF(L610="Cancelled","Cancelled",IF(K610&lt;TODAY(),"Late by "&amp;(TODAY()-K610)&amp;IF((TODAY()-K610)=1," day"," days"),IF(K610=TODAY(),"Due today","Due in "&amp;(K610-TODAY())&amp;IF((K610-TODAY())=1," day"," days"))))))</f>
        <v/>
      </c>
      <c r="S610" s="33" t="n"/>
      <c r="T610" s="1">
        <f>IF(AND(B610&lt;&gt;"",K610&lt;&gt;"",L610&lt;&gt;"Sent",L610&lt;&gt;"Picked up",L610&lt;&gt;"Cancelled"),K610+ROW()/10000000,"")</f>
        <v/>
      </c>
      <c r="U610">
        <f>IF(OR(B610="",C610=""),"",B610+ROW()/10000000)</f>
        <v/>
      </c>
      <c r="V610">
        <f>IF(U610="","",IF(COUNTIFS(Orders!$C$6:$C$1005,C610,Orders!$U$6:$U$1005,"&gt;"&amp;U610)=0,1,0))</f>
        <v/>
      </c>
      <c r="W610">
        <f>IF(AND(B610&lt;&gt;"",K610&lt;&gt;"",L610&lt;&gt;"Sent",L610&lt;&gt;"Picked up",L610&lt;&gt;"Cancelled"),IF(N(E610)=0,1,E610),0)</f>
        <v/>
      </c>
      <c r="X610">
        <f>IF(OR(B610="",D610=""),"",IF(N(E610)=0,1,E610))</f>
        <v/>
      </c>
    </row>
    <row r="611">
      <c r="A611" s="1" t="n"/>
      <c r="B611" s="31" t="n"/>
      <c r="C611" s="32" t="n"/>
      <c r="D611" s="33" t="n"/>
      <c r="E611" s="34" t="n"/>
      <c r="F611" s="35" t="n"/>
      <c r="G611" s="35" t="n"/>
      <c r="H611" s="30">
        <f>IF(OR(B611="",D611=""),"",IF(N(E611)=0,1,E611)*IFERROR(INDEX(Products!$C$6:$C$105,MATCH(D611,Products!$B$6:$B$105,0)),0)+N(F611)+N(G611))</f>
        <v/>
      </c>
      <c r="I611" s="35" t="n"/>
      <c r="J611" s="30">
        <f>IF(OR(H611="",L611="Cancelled"),"",IF(H611-N(I611)&gt;0.005,H611-N(I611),""))</f>
        <v/>
      </c>
      <c r="K611" s="31" t="n"/>
      <c r="L611" s="36" t="n"/>
      <c r="M611" s="33" t="n"/>
      <c r="N611" s="22">
        <f>IF(OR(H611="",L611="Cancelled"),"",IF(N(E611)=0,1,E611)*IFERROR(INDEX(Products!$E$6:$E$105,MATCH(D611,Products!$B$6:$B$105,0)),0))</f>
        <v/>
      </c>
      <c r="O611" s="35" t="n"/>
      <c r="P611" s="22">
        <f>IF(OR(H611="",L611="Cancelled"),"",ROUND(IFERROR(H611*INDEX(Settings!$C$6:$C$15,MATCH(M611,Settings!$B$6:$B$15,0))+INDEX(Settings!$D$6:$D$15,MATCH(M611,Settings!$B$6:$B$15,0)),0),2))</f>
        <v/>
      </c>
      <c r="Q611" s="28">
        <f>IF(OR(H611="",L611="Cancelled"),"",H611-N(N611)-N(O611)-N(P611))</f>
        <v/>
      </c>
      <c r="R611" s="19">
        <f>IF(OR(B611="",K611=""),"",IF(OR(L611="Sent",L611="Picked up"),"Done",IF(L611="Cancelled","Cancelled",IF(K611&lt;TODAY(),"Late by "&amp;(TODAY()-K611)&amp;IF((TODAY()-K611)=1," day"," days"),IF(K611=TODAY(),"Due today","Due in "&amp;(K611-TODAY())&amp;IF((K611-TODAY())=1," day"," days"))))))</f>
        <v/>
      </c>
      <c r="S611" s="33" t="n"/>
      <c r="T611" s="1">
        <f>IF(AND(B611&lt;&gt;"",K611&lt;&gt;"",L611&lt;&gt;"Sent",L611&lt;&gt;"Picked up",L611&lt;&gt;"Cancelled"),K611+ROW()/10000000,"")</f>
        <v/>
      </c>
      <c r="U611">
        <f>IF(OR(B611="",C611=""),"",B611+ROW()/10000000)</f>
        <v/>
      </c>
      <c r="V611">
        <f>IF(U611="","",IF(COUNTIFS(Orders!$C$6:$C$1005,C611,Orders!$U$6:$U$1005,"&gt;"&amp;U611)=0,1,0))</f>
        <v/>
      </c>
      <c r="W611">
        <f>IF(AND(B611&lt;&gt;"",K611&lt;&gt;"",L611&lt;&gt;"Sent",L611&lt;&gt;"Picked up",L611&lt;&gt;"Cancelled"),IF(N(E611)=0,1,E611),0)</f>
        <v/>
      </c>
      <c r="X611">
        <f>IF(OR(B611="",D611=""),"",IF(N(E611)=0,1,E611))</f>
        <v/>
      </c>
    </row>
    <row r="612">
      <c r="A612" s="1" t="n"/>
      <c r="B612" s="31" t="n"/>
      <c r="C612" s="32" t="n"/>
      <c r="D612" s="33" t="n"/>
      <c r="E612" s="34" t="n"/>
      <c r="F612" s="35" t="n"/>
      <c r="G612" s="35" t="n"/>
      <c r="H612" s="30">
        <f>IF(OR(B612="",D612=""),"",IF(N(E612)=0,1,E612)*IFERROR(INDEX(Products!$C$6:$C$105,MATCH(D612,Products!$B$6:$B$105,0)),0)+N(F612)+N(G612))</f>
        <v/>
      </c>
      <c r="I612" s="35" t="n"/>
      <c r="J612" s="30">
        <f>IF(OR(H612="",L612="Cancelled"),"",IF(H612-N(I612)&gt;0.005,H612-N(I612),""))</f>
        <v/>
      </c>
      <c r="K612" s="31" t="n"/>
      <c r="L612" s="36" t="n"/>
      <c r="M612" s="33" t="n"/>
      <c r="N612" s="22">
        <f>IF(OR(H612="",L612="Cancelled"),"",IF(N(E612)=0,1,E612)*IFERROR(INDEX(Products!$E$6:$E$105,MATCH(D612,Products!$B$6:$B$105,0)),0))</f>
        <v/>
      </c>
      <c r="O612" s="35" t="n"/>
      <c r="P612" s="22">
        <f>IF(OR(H612="",L612="Cancelled"),"",ROUND(IFERROR(H612*INDEX(Settings!$C$6:$C$15,MATCH(M612,Settings!$B$6:$B$15,0))+INDEX(Settings!$D$6:$D$15,MATCH(M612,Settings!$B$6:$B$15,0)),0),2))</f>
        <v/>
      </c>
      <c r="Q612" s="28">
        <f>IF(OR(H612="",L612="Cancelled"),"",H612-N(N612)-N(O612)-N(P612))</f>
        <v/>
      </c>
      <c r="R612" s="19">
        <f>IF(OR(B612="",K612=""),"",IF(OR(L612="Sent",L612="Picked up"),"Done",IF(L612="Cancelled","Cancelled",IF(K612&lt;TODAY(),"Late by "&amp;(TODAY()-K612)&amp;IF((TODAY()-K612)=1," day"," days"),IF(K612=TODAY(),"Due today","Due in "&amp;(K612-TODAY())&amp;IF((K612-TODAY())=1," day"," days"))))))</f>
        <v/>
      </c>
      <c r="S612" s="33" t="n"/>
      <c r="T612" s="1">
        <f>IF(AND(B612&lt;&gt;"",K612&lt;&gt;"",L612&lt;&gt;"Sent",L612&lt;&gt;"Picked up",L612&lt;&gt;"Cancelled"),K612+ROW()/10000000,"")</f>
        <v/>
      </c>
      <c r="U612">
        <f>IF(OR(B612="",C612=""),"",B612+ROW()/10000000)</f>
        <v/>
      </c>
      <c r="V612">
        <f>IF(U612="","",IF(COUNTIFS(Orders!$C$6:$C$1005,C612,Orders!$U$6:$U$1005,"&gt;"&amp;U612)=0,1,0))</f>
        <v/>
      </c>
      <c r="W612">
        <f>IF(AND(B612&lt;&gt;"",K612&lt;&gt;"",L612&lt;&gt;"Sent",L612&lt;&gt;"Picked up",L612&lt;&gt;"Cancelled"),IF(N(E612)=0,1,E612),0)</f>
        <v/>
      </c>
      <c r="X612">
        <f>IF(OR(B612="",D612=""),"",IF(N(E612)=0,1,E612))</f>
        <v/>
      </c>
    </row>
    <row r="613">
      <c r="A613" s="1" t="n"/>
      <c r="B613" s="31" t="n"/>
      <c r="C613" s="32" t="n"/>
      <c r="D613" s="33" t="n"/>
      <c r="E613" s="34" t="n"/>
      <c r="F613" s="35" t="n"/>
      <c r="G613" s="35" t="n"/>
      <c r="H613" s="30">
        <f>IF(OR(B613="",D613=""),"",IF(N(E613)=0,1,E613)*IFERROR(INDEX(Products!$C$6:$C$105,MATCH(D613,Products!$B$6:$B$105,0)),0)+N(F613)+N(G613))</f>
        <v/>
      </c>
      <c r="I613" s="35" t="n"/>
      <c r="J613" s="30">
        <f>IF(OR(H613="",L613="Cancelled"),"",IF(H613-N(I613)&gt;0.005,H613-N(I613),""))</f>
        <v/>
      </c>
      <c r="K613" s="31" t="n"/>
      <c r="L613" s="36" t="n"/>
      <c r="M613" s="33" t="n"/>
      <c r="N613" s="22">
        <f>IF(OR(H613="",L613="Cancelled"),"",IF(N(E613)=0,1,E613)*IFERROR(INDEX(Products!$E$6:$E$105,MATCH(D613,Products!$B$6:$B$105,0)),0))</f>
        <v/>
      </c>
      <c r="O613" s="35" t="n"/>
      <c r="P613" s="22">
        <f>IF(OR(H613="",L613="Cancelled"),"",ROUND(IFERROR(H613*INDEX(Settings!$C$6:$C$15,MATCH(M613,Settings!$B$6:$B$15,0))+INDEX(Settings!$D$6:$D$15,MATCH(M613,Settings!$B$6:$B$15,0)),0),2))</f>
        <v/>
      </c>
      <c r="Q613" s="28">
        <f>IF(OR(H613="",L613="Cancelled"),"",H613-N(N613)-N(O613)-N(P613))</f>
        <v/>
      </c>
      <c r="R613" s="19">
        <f>IF(OR(B613="",K613=""),"",IF(OR(L613="Sent",L613="Picked up"),"Done",IF(L613="Cancelled","Cancelled",IF(K613&lt;TODAY(),"Late by "&amp;(TODAY()-K613)&amp;IF((TODAY()-K613)=1," day"," days"),IF(K613=TODAY(),"Due today","Due in "&amp;(K613-TODAY())&amp;IF((K613-TODAY())=1," day"," days"))))))</f>
        <v/>
      </c>
      <c r="S613" s="33" t="n"/>
      <c r="T613" s="1">
        <f>IF(AND(B613&lt;&gt;"",K613&lt;&gt;"",L613&lt;&gt;"Sent",L613&lt;&gt;"Picked up",L613&lt;&gt;"Cancelled"),K613+ROW()/10000000,"")</f>
        <v/>
      </c>
      <c r="U613">
        <f>IF(OR(B613="",C613=""),"",B613+ROW()/10000000)</f>
        <v/>
      </c>
      <c r="V613">
        <f>IF(U613="","",IF(COUNTIFS(Orders!$C$6:$C$1005,C613,Orders!$U$6:$U$1005,"&gt;"&amp;U613)=0,1,0))</f>
        <v/>
      </c>
      <c r="W613">
        <f>IF(AND(B613&lt;&gt;"",K613&lt;&gt;"",L613&lt;&gt;"Sent",L613&lt;&gt;"Picked up",L613&lt;&gt;"Cancelled"),IF(N(E613)=0,1,E613),0)</f>
        <v/>
      </c>
      <c r="X613">
        <f>IF(OR(B613="",D613=""),"",IF(N(E613)=0,1,E613))</f>
        <v/>
      </c>
    </row>
    <row r="614">
      <c r="A614" s="1" t="n"/>
      <c r="B614" s="31" t="n"/>
      <c r="C614" s="32" t="n"/>
      <c r="D614" s="33" t="n"/>
      <c r="E614" s="34" t="n"/>
      <c r="F614" s="35" t="n"/>
      <c r="G614" s="35" t="n"/>
      <c r="H614" s="30">
        <f>IF(OR(B614="",D614=""),"",IF(N(E614)=0,1,E614)*IFERROR(INDEX(Products!$C$6:$C$105,MATCH(D614,Products!$B$6:$B$105,0)),0)+N(F614)+N(G614))</f>
        <v/>
      </c>
      <c r="I614" s="35" t="n"/>
      <c r="J614" s="30">
        <f>IF(OR(H614="",L614="Cancelled"),"",IF(H614-N(I614)&gt;0.005,H614-N(I614),""))</f>
        <v/>
      </c>
      <c r="K614" s="31" t="n"/>
      <c r="L614" s="36" t="n"/>
      <c r="M614" s="33" t="n"/>
      <c r="N614" s="22">
        <f>IF(OR(H614="",L614="Cancelled"),"",IF(N(E614)=0,1,E614)*IFERROR(INDEX(Products!$E$6:$E$105,MATCH(D614,Products!$B$6:$B$105,0)),0))</f>
        <v/>
      </c>
      <c r="O614" s="35" t="n"/>
      <c r="P614" s="22">
        <f>IF(OR(H614="",L614="Cancelled"),"",ROUND(IFERROR(H614*INDEX(Settings!$C$6:$C$15,MATCH(M614,Settings!$B$6:$B$15,0))+INDEX(Settings!$D$6:$D$15,MATCH(M614,Settings!$B$6:$B$15,0)),0),2))</f>
        <v/>
      </c>
      <c r="Q614" s="28">
        <f>IF(OR(H614="",L614="Cancelled"),"",H614-N(N614)-N(O614)-N(P614))</f>
        <v/>
      </c>
      <c r="R614" s="19">
        <f>IF(OR(B614="",K614=""),"",IF(OR(L614="Sent",L614="Picked up"),"Done",IF(L614="Cancelled","Cancelled",IF(K614&lt;TODAY(),"Late by "&amp;(TODAY()-K614)&amp;IF((TODAY()-K614)=1," day"," days"),IF(K614=TODAY(),"Due today","Due in "&amp;(K614-TODAY())&amp;IF((K614-TODAY())=1," day"," days"))))))</f>
        <v/>
      </c>
      <c r="S614" s="33" t="n"/>
      <c r="T614" s="1">
        <f>IF(AND(B614&lt;&gt;"",K614&lt;&gt;"",L614&lt;&gt;"Sent",L614&lt;&gt;"Picked up",L614&lt;&gt;"Cancelled"),K614+ROW()/10000000,"")</f>
        <v/>
      </c>
      <c r="U614">
        <f>IF(OR(B614="",C614=""),"",B614+ROW()/10000000)</f>
        <v/>
      </c>
      <c r="V614">
        <f>IF(U614="","",IF(COUNTIFS(Orders!$C$6:$C$1005,C614,Orders!$U$6:$U$1005,"&gt;"&amp;U614)=0,1,0))</f>
        <v/>
      </c>
      <c r="W614">
        <f>IF(AND(B614&lt;&gt;"",K614&lt;&gt;"",L614&lt;&gt;"Sent",L614&lt;&gt;"Picked up",L614&lt;&gt;"Cancelled"),IF(N(E614)=0,1,E614),0)</f>
        <v/>
      </c>
      <c r="X614">
        <f>IF(OR(B614="",D614=""),"",IF(N(E614)=0,1,E614))</f>
        <v/>
      </c>
    </row>
    <row r="615">
      <c r="A615" s="1" t="n"/>
      <c r="B615" s="31" t="n"/>
      <c r="C615" s="32" t="n"/>
      <c r="D615" s="33" t="n"/>
      <c r="E615" s="34" t="n"/>
      <c r="F615" s="35" t="n"/>
      <c r="G615" s="35" t="n"/>
      <c r="H615" s="30">
        <f>IF(OR(B615="",D615=""),"",IF(N(E615)=0,1,E615)*IFERROR(INDEX(Products!$C$6:$C$105,MATCH(D615,Products!$B$6:$B$105,0)),0)+N(F615)+N(G615))</f>
        <v/>
      </c>
      <c r="I615" s="35" t="n"/>
      <c r="J615" s="30">
        <f>IF(OR(H615="",L615="Cancelled"),"",IF(H615-N(I615)&gt;0.005,H615-N(I615),""))</f>
        <v/>
      </c>
      <c r="K615" s="31" t="n"/>
      <c r="L615" s="36" t="n"/>
      <c r="M615" s="33" t="n"/>
      <c r="N615" s="22">
        <f>IF(OR(H615="",L615="Cancelled"),"",IF(N(E615)=0,1,E615)*IFERROR(INDEX(Products!$E$6:$E$105,MATCH(D615,Products!$B$6:$B$105,0)),0))</f>
        <v/>
      </c>
      <c r="O615" s="35" t="n"/>
      <c r="P615" s="22">
        <f>IF(OR(H615="",L615="Cancelled"),"",ROUND(IFERROR(H615*INDEX(Settings!$C$6:$C$15,MATCH(M615,Settings!$B$6:$B$15,0))+INDEX(Settings!$D$6:$D$15,MATCH(M615,Settings!$B$6:$B$15,0)),0),2))</f>
        <v/>
      </c>
      <c r="Q615" s="28">
        <f>IF(OR(H615="",L615="Cancelled"),"",H615-N(N615)-N(O615)-N(P615))</f>
        <v/>
      </c>
      <c r="R615" s="19">
        <f>IF(OR(B615="",K615=""),"",IF(OR(L615="Sent",L615="Picked up"),"Done",IF(L615="Cancelled","Cancelled",IF(K615&lt;TODAY(),"Late by "&amp;(TODAY()-K615)&amp;IF((TODAY()-K615)=1," day"," days"),IF(K615=TODAY(),"Due today","Due in "&amp;(K615-TODAY())&amp;IF((K615-TODAY())=1," day"," days"))))))</f>
        <v/>
      </c>
      <c r="S615" s="33" t="n"/>
      <c r="T615" s="1">
        <f>IF(AND(B615&lt;&gt;"",K615&lt;&gt;"",L615&lt;&gt;"Sent",L615&lt;&gt;"Picked up",L615&lt;&gt;"Cancelled"),K615+ROW()/10000000,"")</f>
        <v/>
      </c>
      <c r="U615">
        <f>IF(OR(B615="",C615=""),"",B615+ROW()/10000000)</f>
        <v/>
      </c>
      <c r="V615">
        <f>IF(U615="","",IF(COUNTIFS(Orders!$C$6:$C$1005,C615,Orders!$U$6:$U$1005,"&gt;"&amp;U615)=0,1,0))</f>
        <v/>
      </c>
      <c r="W615">
        <f>IF(AND(B615&lt;&gt;"",K615&lt;&gt;"",L615&lt;&gt;"Sent",L615&lt;&gt;"Picked up",L615&lt;&gt;"Cancelled"),IF(N(E615)=0,1,E615),0)</f>
        <v/>
      </c>
      <c r="X615">
        <f>IF(OR(B615="",D615=""),"",IF(N(E615)=0,1,E615))</f>
        <v/>
      </c>
    </row>
    <row r="616">
      <c r="A616" s="1" t="n"/>
      <c r="B616" s="31" t="n"/>
      <c r="C616" s="32" t="n"/>
      <c r="D616" s="33" t="n"/>
      <c r="E616" s="34" t="n"/>
      <c r="F616" s="35" t="n"/>
      <c r="G616" s="35" t="n"/>
      <c r="H616" s="30">
        <f>IF(OR(B616="",D616=""),"",IF(N(E616)=0,1,E616)*IFERROR(INDEX(Products!$C$6:$C$105,MATCH(D616,Products!$B$6:$B$105,0)),0)+N(F616)+N(G616))</f>
        <v/>
      </c>
      <c r="I616" s="35" t="n"/>
      <c r="J616" s="30">
        <f>IF(OR(H616="",L616="Cancelled"),"",IF(H616-N(I616)&gt;0.005,H616-N(I616),""))</f>
        <v/>
      </c>
      <c r="K616" s="31" t="n"/>
      <c r="L616" s="36" t="n"/>
      <c r="M616" s="33" t="n"/>
      <c r="N616" s="22">
        <f>IF(OR(H616="",L616="Cancelled"),"",IF(N(E616)=0,1,E616)*IFERROR(INDEX(Products!$E$6:$E$105,MATCH(D616,Products!$B$6:$B$105,0)),0))</f>
        <v/>
      </c>
      <c r="O616" s="35" t="n"/>
      <c r="P616" s="22">
        <f>IF(OR(H616="",L616="Cancelled"),"",ROUND(IFERROR(H616*INDEX(Settings!$C$6:$C$15,MATCH(M616,Settings!$B$6:$B$15,0))+INDEX(Settings!$D$6:$D$15,MATCH(M616,Settings!$B$6:$B$15,0)),0),2))</f>
        <v/>
      </c>
      <c r="Q616" s="28">
        <f>IF(OR(H616="",L616="Cancelled"),"",H616-N(N616)-N(O616)-N(P616))</f>
        <v/>
      </c>
      <c r="R616" s="19">
        <f>IF(OR(B616="",K616=""),"",IF(OR(L616="Sent",L616="Picked up"),"Done",IF(L616="Cancelled","Cancelled",IF(K616&lt;TODAY(),"Late by "&amp;(TODAY()-K616)&amp;IF((TODAY()-K616)=1," day"," days"),IF(K616=TODAY(),"Due today","Due in "&amp;(K616-TODAY())&amp;IF((K616-TODAY())=1," day"," days"))))))</f>
        <v/>
      </c>
      <c r="S616" s="33" t="n"/>
      <c r="T616" s="1">
        <f>IF(AND(B616&lt;&gt;"",K616&lt;&gt;"",L616&lt;&gt;"Sent",L616&lt;&gt;"Picked up",L616&lt;&gt;"Cancelled"),K616+ROW()/10000000,"")</f>
        <v/>
      </c>
      <c r="U616">
        <f>IF(OR(B616="",C616=""),"",B616+ROW()/10000000)</f>
        <v/>
      </c>
      <c r="V616">
        <f>IF(U616="","",IF(COUNTIFS(Orders!$C$6:$C$1005,C616,Orders!$U$6:$U$1005,"&gt;"&amp;U616)=0,1,0))</f>
        <v/>
      </c>
      <c r="W616">
        <f>IF(AND(B616&lt;&gt;"",K616&lt;&gt;"",L616&lt;&gt;"Sent",L616&lt;&gt;"Picked up",L616&lt;&gt;"Cancelled"),IF(N(E616)=0,1,E616),0)</f>
        <v/>
      </c>
      <c r="X616">
        <f>IF(OR(B616="",D616=""),"",IF(N(E616)=0,1,E616))</f>
        <v/>
      </c>
    </row>
    <row r="617">
      <c r="A617" s="1" t="n"/>
      <c r="B617" s="31" t="n"/>
      <c r="C617" s="32" t="n"/>
      <c r="D617" s="33" t="n"/>
      <c r="E617" s="34" t="n"/>
      <c r="F617" s="35" t="n"/>
      <c r="G617" s="35" t="n"/>
      <c r="H617" s="30">
        <f>IF(OR(B617="",D617=""),"",IF(N(E617)=0,1,E617)*IFERROR(INDEX(Products!$C$6:$C$105,MATCH(D617,Products!$B$6:$B$105,0)),0)+N(F617)+N(G617))</f>
        <v/>
      </c>
      <c r="I617" s="35" t="n"/>
      <c r="J617" s="30">
        <f>IF(OR(H617="",L617="Cancelled"),"",IF(H617-N(I617)&gt;0.005,H617-N(I617),""))</f>
        <v/>
      </c>
      <c r="K617" s="31" t="n"/>
      <c r="L617" s="36" t="n"/>
      <c r="M617" s="33" t="n"/>
      <c r="N617" s="22">
        <f>IF(OR(H617="",L617="Cancelled"),"",IF(N(E617)=0,1,E617)*IFERROR(INDEX(Products!$E$6:$E$105,MATCH(D617,Products!$B$6:$B$105,0)),0))</f>
        <v/>
      </c>
      <c r="O617" s="35" t="n"/>
      <c r="P617" s="22">
        <f>IF(OR(H617="",L617="Cancelled"),"",ROUND(IFERROR(H617*INDEX(Settings!$C$6:$C$15,MATCH(M617,Settings!$B$6:$B$15,0))+INDEX(Settings!$D$6:$D$15,MATCH(M617,Settings!$B$6:$B$15,0)),0),2))</f>
        <v/>
      </c>
      <c r="Q617" s="28">
        <f>IF(OR(H617="",L617="Cancelled"),"",H617-N(N617)-N(O617)-N(P617))</f>
        <v/>
      </c>
      <c r="R617" s="19">
        <f>IF(OR(B617="",K617=""),"",IF(OR(L617="Sent",L617="Picked up"),"Done",IF(L617="Cancelled","Cancelled",IF(K617&lt;TODAY(),"Late by "&amp;(TODAY()-K617)&amp;IF((TODAY()-K617)=1," day"," days"),IF(K617=TODAY(),"Due today","Due in "&amp;(K617-TODAY())&amp;IF((K617-TODAY())=1," day"," days"))))))</f>
        <v/>
      </c>
      <c r="S617" s="33" t="n"/>
      <c r="T617" s="1">
        <f>IF(AND(B617&lt;&gt;"",K617&lt;&gt;"",L617&lt;&gt;"Sent",L617&lt;&gt;"Picked up",L617&lt;&gt;"Cancelled"),K617+ROW()/10000000,"")</f>
        <v/>
      </c>
      <c r="U617">
        <f>IF(OR(B617="",C617=""),"",B617+ROW()/10000000)</f>
        <v/>
      </c>
      <c r="V617">
        <f>IF(U617="","",IF(COUNTIFS(Orders!$C$6:$C$1005,C617,Orders!$U$6:$U$1005,"&gt;"&amp;U617)=0,1,0))</f>
        <v/>
      </c>
      <c r="W617">
        <f>IF(AND(B617&lt;&gt;"",K617&lt;&gt;"",L617&lt;&gt;"Sent",L617&lt;&gt;"Picked up",L617&lt;&gt;"Cancelled"),IF(N(E617)=0,1,E617),0)</f>
        <v/>
      </c>
      <c r="X617">
        <f>IF(OR(B617="",D617=""),"",IF(N(E617)=0,1,E617))</f>
        <v/>
      </c>
    </row>
    <row r="618">
      <c r="A618" s="1" t="n"/>
      <c r="B618" s="31" t="n"/>
      <c r="C618" s="32" t="n"/>
      <c r="D618" s="33" t="n"/>
      <c r="E618" s="34" t="n"/>
      <c r="F618" s="35" t="n"/>
      <c r="G618" s="35" t="n"/>
      <c r="H618" s="30">
        <f>IF(OR(B618="",D618=""),"",IF(N(E618)=0,1,E618)*IFERROR(INDEX(Products!$C$6:$C$105,MATCH(D618,Products!$B$6:$B$105,0)),0)+N(F618)+N(G618))</f>
        <v/>
      </c>
      <c r="I618" s="35" t="n"/>
      <c r="J618" s="30">
        <f>IF(OR(H618="",L618="Cancelled"),"",IF(H618-N(I618)&gt;0.005,H618-N(I618),""))</f>
        <v/>
      </c>
      <c r="K618" s="31" t="n"/>
      <c r="L618" s="36" t="n"/>
      <c r="M618" s="33" t="n"/>
      <c r="N618" s="22">
        <f>IF(OR(H618="",L618="Cancelled"),"",IF(N(E618)=0,1,E618)*IFERROR(INDEX(Products!$E$6:$E$105,MATCH(D618,Products!$B$6:$B$105,0)),0))</f>
        <v/>
      </c>
      <c r="O618" s="35" t="n"/>
      <c r="P618" s="22">
        <f>IF(OR(H618="",L618="Cancelled"),"",ROUND(IFERROR(H618*INDEX(Settings!$C$6:$C$15,MATCH(M618,Settings!$B$6:$B$15,0))+INDEX(Settings!$D$6:$D$15,MATCH(M618,Settings!$B$6:$B$15,0)),0),2))</f>
        <v/>
      </c>
      <c r="Q618" s="28">
        <f>IF(OR(H618="",L618="Cancelled"),"",H618-N(N618)-N(O618)-N(P618))</f>
        <v/>
      </c>
      <c r="R618" s="19">
        <f>IF(OR(B618="",K618=""),"",IF(OR(L618="Sent",L618="Picked up"),"Done",IF(L618="Cancelled","Cancelled",IF(K618&lt;TODAY(),"Late by "&amp;(TODAY()-K618)&amp;IF((TODAY()-K618)=1," day"," days"),IF(K618=TODAY(),"Due today","Due in "&amp;(K618-TODAY())&amp;IF((K618-TODAY())=1," day"," days"))))))</f>
        <v/>
      </c>
      <c r="S618" s="33" t="n"/>
      <c r="T618" s="1">
        <f>IF(AND(B618&lt;&gt;"",K618&lt;&gt;"",L618&lt;&gt;"Sent",L618&lt;&gt;"Picked up",L618&lt;&gt;"Cancelled"),K618+ROW()/10000000,"")</f>
        <v/>
      </c>
      <c r="U618">
        <f>IF(OR(B618="",C618=""),"",B618+ROW()/10000000)</f>
        <v/>
      </c>
      <c r="V618">
        <f>IF(U618="","",IF(COUNTIFS(Orders!$C$6:$C$1005,C618,Orders!$U$6:$U$1005,"&gt;"&amp;U618)=0,1,0))</f>
        <v/>
      </c>
      <c r="W618">
        <f>IF(AND(B618&lt;&gt;"",K618&lt;&gt;"",L618&lt;&gt;"Sent",L618&lt;&gt;"Picked up",L618&lt;&gt;"Cancelled"),IF(N(E618)=0,1,E618),0)</f>
        <v/>
      </c>
      <c r="X618">
        <f>IF(OR(B618="",D618=""),"",IF(N(E618)=0,1,E618))</f>
        <v/>
      </c>
    </row>
    <row r="619">
      <c r="A619" s="1" t="n"/>
      <c r="B619" s="31" t="n"/>
      <c r="C619" s="32" t="n"/>
      <c r="D619" s="33" t="n"/>
      <c r="E619" s="34" t="n"/>
      <c r="F619" s="35" t="n"/>
      <c r="G619" s="35" t="n"/>
      <c r="H619" s="30">
        <f>IF(OR(B619="",D619=""),"",IF(N(E619)=0,1,E619)*IFERROR(INDEX(Products!$C$6:$C$105,MATCH(D619,Products!$B$6:$B$105,0)),0)+N(F619)+N(G619))</f>
        <v/>
      </c>
      <c r="I619" s="35" t="n"/>
      <c r="J619" s="30">
        <f>IF(OR(H619="",L619="Cancelled"),"",IF(H619-N(I619)&gt;0.005,H619-N(I619),""))</f>
        <v/>
      </c>
      <c r="K619" s="31" t="n"/>
      <c r="L619" s="36" t="n"/>
      <c r="M619" s="33" t="n"/>
      <c r="N619" s="22">
        <f>IF(OR(H619="",L619="Cancelled"),"",IF(N(E619)=0,1,E619)*IFERROR(INDEX(Products!$E$6:$E$105,MATCH(D619,Products!$B$6:$B$105,0)),0))</f>
        <v/>
      </c>
      <c r="O619" s="35" t="n"/>
      <c r="P619" s="22">
        <f>IF(OR(H619="",L619="Cancelled"),"",ROUND(IFERROR(H619*INDEX(Settings!$C$6:$C$15,MATCH(M619,Settings!$B$6:$B$15,0))+INDEX(Settings!$D$6:$D$15,MATCH(M619,Settings!$B$6:$B$15,0)),0),2))</f>
        <v/>
      </c>
      <c r="Q619" s="28">
        <f>IF(OR(H619="",L619="Cancelled"),"",H619-N(N619)-N(O619)-N(P619))</f>
        <v/>
      </c>
      <c r="R619" s="19">
        <f>IF(OR(B619="",K619=""),"",IF(OR(L619="Sent",L619="Picked up"),"Done",IF(L619="Cancelled","Cancelled",IF(K619&lt;TODAY(),"Late by "&amp;(TODAY()-K619)&amp;IF((TODAY()-K619)=1," day"," days"),IF(K619=TODAY(),"Due today","Due in "&amp;(K619-TODAY())&amp;IF((K619-TODAY())=1," day"," days"))))))</f>
        <v/>
      </c>
      <c r="S619" s="33" t="n"/>
      <c r="T619" s="1">
        <f>IF(AND(B619&lt;&gt;"",K619&lt;&gt;"",L619&lt;&gt;"Sent",L619&lt;&gt;"Picked up",L619&lt;&gt;"Cancelled"),K619+ROW()/10000000,"")</f>
        <v/>
      </c>
      <c r="U619">
        <f>IF(OR(B619="",C619=""),"",B619+ROW()/10000000)</f>
        <v/>
      </c>
      <c r="V619">
        <f>IF(U619="","",IF(COUNTIFS(Orders!$C$6:$C$1005,C619,Orders!$U$6:$U$1005,"&gt;"&amp;U619)=0,1,0))</f>
        <v/>
      </c>
      <c r="W619">
        <f>IF(AND(B619&lt;&gt;"",K619&lt;&gt;"",L619&lt;&gt;"Sent",L619&lt;&gt;"Picked up",L619&lt;&gt;"Cancelled"),IF(N(E619)=0,1,E619),0)</f>
        <v/>
      </c>
      <c r="X619">
        <f>IF(OR(B619="",D619=""),"",IF(N(E619)=0,1,E619))</f>
        <v/>
      </c>
    </row>
    <row r="620">
      <c r="A620" s="1" t="n"/>
      <c r="B620" s="31" t="n"/>
      <c r="C620" s="32" t="n"/>
      <c r="D620" s="33" t="n"/>
      <c r="E620" s="34" t="n"/>
      <c r="F620" s="35" t="n"/>
      <c r="G620" s="35" t="n"/>
      <c r="H620" s="30">
        <f>IF(OR(B620="",D620=""),"",IF(N(E620)=0,1,E620)*IFERROR(INDEX(Products!$C$6:$C$105,MATCH(D620,Products!$B$6:$B$105,0)),0)+N(F620)+N(G620))</f>
        <v/>
      </c>
      <c r="I620" s="35" t="n"/>
      <c r="J620" s="30">
        <f>IF(OR(H620="",L620="Cancelled"),"",IF(H620-N(I620)&gt;0.005,H620-N(I620),""))</f>
        <v/>
      </c>
      <c r="K620" s="31" t="n"/>
      <c r="L620" s="36" t="n"/>
      <c r="M620" s="33" t="n"/>
      <c r="N620" s="22">
        <f>IF(OR(H620="",L620="Cancelled"),"",IF(N(E620)=0,1,E620)*IFERROR(INDEX(Products!$E$6:$E$105,MATCH(D620,Products!$B$6:$B$105,0)),0))</f>
        <v/>
      </c>
      <c r="O620" s="35" t="n"/>
      <c r="P620" s="22">
        <f>IF(OR(H620="",L620="Cancelled"),"",ROUND(IFERROR(H620*INDEX(Settings!$C$6:$C$15,MATCH(M620,Settings!$B$6:$B$15,0))+INDEX(Settings!$D$6:$D$15,MATCH(M620,Settings!$B$6:$B$15,0)),0),2))</f>
        <v/>
      </c>
      <c r="Q620" s="28">
        <f>IF(OR(H620="",L620="Cancelled"),"",H620-N(N620)-N(O620)-N(P620))</f>
        <v/>
      </c>
      <c r="R620" s="19">
        <f>IF(OR(B620="",K620=""),"",IF(OR(L620="Sent",L620="Picked up"),"Done",IF(L620="Cancelled","Cancelled",IF(K620&lt;TODAY(),"Late by "&amp;(TODAY()-K620)&amp;IF((TODAY()-K620)=1," day"," days"),IF(K620=TODAY(),"Due today","Due in "&amp;(K620-TODAY())&amp;IF((K620-TODAY())=1," day"," days"))))))</f>
        <v/>
      </c>
      <c r="S620" s="33" t="n"/>
      <c r="T620" s="1">
        <f>IF(AND(B620&lt;&gt;"",K620&lt;&gt;"",L620&lt;&gt;"Sent",L620&lt;&gt;"Picked up",L620&lt;&gt;"Cancelled"),K620+ROW()/10000000,"")</f>
        <v/>
      </c>
      <c r="U620">
        <f>IF(OR(B620="",C620=""),"",B620+ROW()/10000000)</f>
        <v/>
      </c>
      <c r="V620">
        <f>IF(U620="","",IF(COUNTIFS(Orders!$C$6:$C$1005,C620,Orders!$U$6:$U$1005,"&gt;"&amp;U620)=0,1,0))</f>
        <v/>
      </c>
      <c r="W620">
        <f>IF(AND(B620&lt;&gt;"",K620&lt;&gt;"",L620&lt;&gt;"Sent",L620&lt;&gt;"Picked up",L620&lt;&gt;"Cancelled"),IF(N(E620)=0,1,E620),0)</f>
        <v/>
      </c>
      <c r="X620">
        <f>IF(OR(B620="",D620=""),"",IF(N(E620)=0,1,E620))</f>
        <v/>
      </c>
    </row>
    <row r="621">
      <c r="A621" s="1" t="n"/>
      <c r="B621" s="31" t="n"/>
      <c r="C621" s="32" t="n"/>
      <c r="D621" s="33" t="n"/>
      <c r="E621" s="34" t="n"/>
      <c r="F621" s="35" t="n"/>
      <c r="G621" s="35" t="n"/>
      <c r="H621" s="30">
        <f>IF(OR(B621="",D621=""),"",IF(N(E621)=0,1,E621)*IFERROR(INDEX(Products!$C$6:$C$105,MATCH(D621,Products!$B$6:$B$105,0)),0)+N(F621)+N(G621))</f>
        <v/>
      </c>
      <c r="I621" s="35" t="n"/>
      <c r="J621" s="30">
        <f>IF(OR(H621="",L621="Cancelled"),"",IF(H621-N(I621)&gt;0.005,H621-N(I621),""))</f>
        <v/>
      </c>
      <c r="K621" s="31" t="n"/>
      <c r="L621" s="36" t="n"/>
      <c r="M621" s="33" t="n"/>
      <c r="N621" s="22">
        <f>IF(OR(H621="",L621="Cancelled"),"",IF(N(E621)=0,1,E621)*IFERROR(INDEX(Products!$E$6:$E$105,MATCH(D621,Products!$B$6:$B$105,0)),0))</f>
        <v/>
      </c>
      <c r="O621" s="35" t="n"/>
      <c r="P621" s="22">
        <f>IF(OR(H621="",L621="Cancelled"),"",ROUND(IFERROR(H621*INDEX(Settings!$C$6:$C$15,MATCH(M621,Settings!$B$6:$B$15,0))+INDEX(Settings!$D$6:$D$15,MATCH(M621,Settings!$B$6:$B$15,0)),0),2))</f>
        <v/>
      </c>
      <c r="Q621" s="28">
        <f>IF(OR(H621="",L621="Cancelled"),"",H621-N(N621)-N(O621)-N(P621))</f>
        <v/>
      </c>
      <c r="R621" s="19">
        <f>IF(OR(B621="",K621=""),"",IF(OR(L621="Sent",L621="Picked up"),"Done",IF(L621="Cancelled","Cancelled",IF(K621&lt;TODAY(),"Late by "&amp;(TODAY()-K621)&amp;IF((TODAY()-K621)=1," day"," days"),IF(K621=TODAY(),"Due today","Due in "&amp;(K621-TODAY())&amp;IF((K621-TODAY())=1," day"," days"))))))</f>
        <v/>
      </c>
      <c r="S621" s="33" t="n"/>
      <c r="T621" s="1">
        <f>IF(AND(B621&lt;&gt;"",K621&lt;&gt;"",L621&lt;&gt;"Sent",L621&lt;&gt;"Picked up",L621&lt;&gt;"Cancelled"),K621+ROW()/10000000,"")</f>
        <v/>
      </c>
      <c r="U621">
        <f>IF(OR(B621="",C621=""),"",B621+ROW()/10000000)</f>
        <v/>
      </c>
      <c r="V621">
        <f>IF(U621="","",IF(COUNTIFS(Orders!$C$6:$C$1005,C621,Orders!$U$6:$U$1005,"&gt;"&amp;U621)=0,1,0))</f>
        <v/>
      </c>
      <c r="W621">
        <f>IF(AND(B621&lt;&gt;"",K621&lt;&gt;"",L621&lt;&gt;"Sent",L621&lt;&gt;"Picked up",L621&lt;&gt;"Cancelled"),IF(N(E621)=0,1,E621),0)</f>
        <v/>
      </c>
      <c r="X621">
        <f>IF(OR(B621="",D621=""),"",IF(N(E621)=0,1,E621))</f>
        <v/>
      </c>
    </row>
    <row r="622">
      <c r="A622" s="1" t="n"/>
      <c r="B622" s="31" t="n"/>
      <c r="C622" s="32" t="n"/>
      <c r="D622" s="33" t="n"/>
      <c r="E622" s="34" t="n"/>
      <c r="F622" s="35" t="n"/>
      <c r="G622" s="35" t="n"/>
      <c r="H622" s="30">
        <f>IF(OR(B622="",D622=""),"",IF(N(E622)=0,1,E622)*IFERROR(INDEX(Products!$C$6:$C$105,MATCH(D622,Products!$B$6:$B$105,0)),0)+N(F622)+N(G622))</f>
        <v/>
      </c>
      <c r="I622" s="35" t="n"/>
      <c r="J622" s="30">
        <f>IF(OR(H622="",L622="Cancelled"),"",IF(H622-N(I622)&gt;0.005,H622-N(I622),""))</f>
        <v/>
      </c>
      <c r="K622" s="31" t="n"/>
      <c r="L622" s="36" t="n"/>
      <c r="M622" s="33" t="n"/>
      <c r="N622" s="22">
        <f>IF(OR(H622="",L622="Cancelled"),"",IF(N(E622)=0,1,E622)*IFERROR(INDEX(Products!$E$6:$E$105,MATCH(D622,Products!$B$6:$B$105,0)),0))</f>
        <v/>
      </c>
      <c r="O622" s="35" t="n"/>
      <c r="P622" s="22">
        <f>IF(OR(H622="",L622="Cancelled"),"",ROUND(IFERROR(H622*INDEX(Settings!$C$6:$C$15,MATCH(M622,Settings!$B$6:$B$15,0))+INDEX(Settings!$D$6:$D$15,MATCH(M622,Settings!$B$6:$B$15,0)),0),2))</f>
        <v/>
      </c>
      <c r="Q622" s="28">
        <f>IF(OR(H622="",L622="Cancelled"),"",H622-N(N622)-N(O622)-N(P622))</f>
        <v/>
      </c>
      <c r="R622" s="19">
        <f>IF(OR(B622="",K622=""),"",IF(OR(L622="Sent",L622="Picked up"),"Done",IF(L622="Cancelled","Cancelled",IF(K622&lt;TODAY(),"Late by "&amp;(TODAY()-K622)&amp;IF((TODAY()-K622)=1," day"," days"),IF(K622=TODAY(),"Due today","Due in "&amp;(K622-TODAY())&amp;IF((K622-TODAY())=1," day"," days"))))))</f>
        <v/>
      </c>
      <c r="S622" s="33" t="n"/>
      <c r="T622" s="1">
        <f>IF(AND(B622&lt;&gt;"",K622&lt;&gt;"",L622&lt;&gt;"Sent",L622&lt;&gt;"Picked up",L622&lt;&gt;"Cancelled"),K622+ROW()/10000000,"")</f>
        <v/>
      </c>
      <c r="U622">
        <f>IF(OR(B622="",C622=""),"",B622+ROW()/10000000)</f>
        <v/>
      </c>
      <c r="V622">
        <f>IF(U622="","",IF(COUNTIFS(Orders!$C$6:$C$1005,C622,Orders!$U$6:$U$1005,"&gt;"&amp;U622)=0,1,0))</f>
        <v/>
      </c>
      <c r="W622">
        <f>IF(AND(B622&lt;&gt;"",K622&lt;&gt;"",L622&lt;&gt;"Sent",L622&lt;&gt;"Picked up",L622&lt;&gt;"Cancelled"),IF(N(E622)=0,1,E622),0)</f>
        <v/>
      </c>
      <c r="X622">
        <f>IF(OR(B622="",D622=""),"",IF(N(E622)=0,1,E622))</f>
        <v/>
      </c>
    </row>
    <row r="623">
      <c r="A623" s="1" t="n"/>
      <c r="B623" s="31" t="n"/>
      <c r="C623" s="32" t="n"/>
      <c r="D623" s="33" t="n"/>
      <c r="E623" s="34" t="n"/>
      <c r="F623" s="35" t="n"/>
      <c r="G623" s="35" t="n"/>
      <c r="H623" s="30">
        <f>IF(OR(B623="",D623=""),"",IF(N(E623)=0,1,E623)*IFERROR(INDEX(Products!$C$6:$C$105,MATCH(D623,Products!$B$6:$B$105,0)),0)+N(F623)+N(G623))</f>
        <v/>
      </c>
      <c r="I623" s="35" t="n"/>
      <c r="J623" s="30">
        <f>IF(OR(H623="",L623="Cancelled"),"",IF(H623-N(I623)&gt;0.005,H623-N(I623),""))</f>
        <v/>
      </c>
      <c r="K623" s="31" t="n"/>
      <c r="L623" s="36" t="n"/>
      <c r="M623" s="33" t="n"/>
      <c r="N623" s="22">
        <f>IF(OR(H623="",L623="Cancelled"),"",IF(N(E623)=0,1,E623)*IFERROR(INDEX(Products!$E$6:$E$105,MATCH(D623,Products!$B$6:$B$105,0)),0))</f>
        <v/>
      </c>
      <c r="O623" s="35" t="n"/>
      <c r="P623" s="22">
        <f>IF(OR(H623="",L623="Cancelled"),"",ROUND(IFERROR(H623*INDEX(Settings!$C$6:$C$15,MATCH(M623,Settings!$B$6:$B$15,0))+INDEX(Settings!$D$6:$D$15,MATCH(M623,Settings!$B$6:$B$15,0)),0),2))</f>
        <v/>
      </c>
      <c r="Q623" s="28">
        <f>IF(OR(H623="",L623="Cancelled"),"",H623-N(N623)-N(O623)-N(P623))</f>
        <v/>
      </c>
      <c r="R623" s="19">
        <f>IF(OR(B623="",K623=""),"",IF(OR(L623="Sent",L623="Picked up"),"Done",IF(L623="Cancelled","Cancelled",IF(K623&lt;TODAY(),"Late by "&amp;(TODAY()-K623)&amp;IF((TODAY()-K623)=1," day"," days"),IF(K623=TODAY(),"Due today","Due in "&amp;(K623-TODAY())&amp;IF((K623-TODAY())=1," day"," days"))))))</f>
        <v/>
      </c>
      <c r="S623" s="33" t="n"/>
      <c r="T623" s="1">
        <f>IF(AND(B623&lt;&gt;"",K623&lt;&gt;"",L623&lt;&gt;"Sent",L623&lt;&gt;"Picked up",L623&lt;&gt;"Cancelled"),K623+ROW()/10000000,"")</f>
        <v/>
      </c>
      <c r="U623">
        <f>IF(OR(B623="",C623=""),"",B623+ROW()/10000000)</f>
        <v/>
      </c>
      <c r="V623">
        <f>IF(U623="","",IF(COUNTIFS(Orders!$C$6:$C$1005,C623,Orders!$U$6:$U$1005,"&gt;"&amp;U623)=0,1,0))</f>
        <v/>
      </c>
      <c r="W623">
        <f>IF(AND(B623&lt;&gt;"",K623&lt;&gt;"",L623&lt;&gt;"Sent",L623&lt;&gt;"Picked up",L623&lt;&gt;"Cancelled"),IF(N(E623)=0,1,E623),0)</f>
        <v/>
      </c>
      <c r="X623">
        <f>IF(OR(B623="",D623=""),"",IF(N(E623)=0,1,E623))</f>
        <v/>
      </c>
    </row>
    <row r="624">
      <c r="A624" s="1" t="n"/>
      <c r="B624" s="31" t="n"/>
      <c r="C624" s="32" t="n"/>
      <c r="D624" s="33" t="n"/>
      <c r="E624" s="34" t="n"/>
      <c r="F624" s="35" t="n"/>
      <c r="G624" s="35" t="n"/>
      <c r="H624" s="30">
        <f>IF(OR(B624="",D624=""),"",IF(N(E624)=0,1,E624)*IFERROR(INDEX(Products!$C$6:$C$105,MATCH(D624,Products!$B$6:$B$105,0)),0)+N(F624)+N(G624))</f>
        <v/>
      </c>
      <c r="I624" s="35" t="n"/>
      <c r="J624" s="30">
        <f>IF(OR(H624="",L624="Cancelled"),"",IF(H624-N(I624)&gt;0.005,H624-N(I624),""))</f>
        <v/>
      </c>
      <c r="K624" s="31" t="n"/>
      <c r="L624" s="36" t="n"/>
      <c r="M624" s="33" t="n"/>
      <c r="N624" s="22">
        <f>IF(OR(H624="",L624="Cancelled"),"",IF(N(E624)=0,1,E624)*IFERROR(INDEX(Products!$E$6:$E$105,MATCH(D624,Products!$B$6:$B$105,0)),0))</f>
        <v/>
      </c>
      <c r="O624" s="35" t="n"/>
      <c r="P624" s="22">
        <f>IF(OR(H624="",L624="Cancelled"),"",ROUND(IFERROR(H624*INDEX(Settings!$C$6:$C$15,MATCH(M624,Settings!$B$6:$B$15,0))+INDEX(Settings!$D$6:$D$15,MATCH(M624,Settings!$B$6:$B$15,0)),0),2))</f>
        <v/>
      </c>
      <c r="Q624" s="28">
        <f>IF(OR(H624="",L624="Cancelled"),"",H624-N(N624)-N(O624)-N(P624))</f>
        <v/>
      </c>
      <c r="R624" s="19">
        <f>IF(OR(B624="",K624=""),"",IF(OR(L624="Sent",L624="Picked up"),"Done",IF(L624="Cancelled","Cancelled",IF(K624&lt;TODAY(),"Late by "&amp;(TODAY()-K624)&amp;IF((TODAY()-K624)=1," day"," days"),IF(K624=TODAY(),"Due today","Due in "&amp;(K624-TODAY())&amp;IF((K624-TODAY())=1," day"," days"))))))</f>
        <v/>
      </c>
      <c r="S624" s="33" t="n"/>
      <c r="T624" s="1">
        <f>IF(AND(B624&lt;&gt;"",K624&lt;&gt;"",L624&lt;&gt;"Sent",L624&lt;&gt;"Picked up",L624&lt;&gt;"Cancelled"),K624+ROW()/10000000,"")</f>
        <v/>
      </c>
      <c r="U624">
        <f>IF(OR(B624="",C624=""),"",B624+ROW()/10000000)</f>
        <v/>
      </c>
      <c r="V624">
        <f>IF(U624="","",IF(COUNTIFS(Orders!$C$6:$C$1005,C624,Orders!$U$6:$U$1005,"&gt;"&amp;U624)=0,1,0))</f>
        <v/>
      </c>
      <c r="W624">
        <f>IF(AND(B624&lt;&gt;"",K624&lt;&gt;"",L624&lt;&gt;"Sent",L624&lt;&gt;"Picked up",L624&lt;&gt;"Cancelled"),IF(N(E624)=0,1,E624),0)</f>
        <v/>
      </c>
      <c r="X624">
        <f>IF(OR(B624="",D624=""),"",IF(N(E624)=0,1,E624))</f>
        <v/>
      </c>
    </row>
    <row r="625">
      <c r="A625" s="1" t="n"/>
      <c r="B625" s="31" t="n"/>
      <c r="C625" s="32" t="n"/>
      <c r="D625" s="33" t="n"/>
      <c r="E625" s="34" t="n"/>
      <c r="F625" s="35" t="n"/>
      <c r="G625" s="35" t="n"/>
      <c r="H625" s="30">
        <f>IF(OR(B625="",D625=""),"",IF(N(E625)=0,1,E625)*IFERROR(INDEX(Products!$C$6:$C$105,MATCH(D625,Products!$B$6:$B$105,0)),0)+N(F625)+N(G625))</f>
        <v/>
      </c>
      <c r="I625" s="35" t="n"/>
      <c r="J625" s="30">
        <f>IF(OR(H625="",L625="Cancelled"),"",IF(H625-N(I625)&gt;0.005,H625-N(I625),""))</f>
        <v/>
      </c>
      <c r="K625" s="31" t="n"/>
      <c r="L625" s="36" t="n"/>
      <c r="M625" s="33" t="n"/>
      <c r="N625" s="22">
        <f>IF(OR(H625="",L625="Cancelled"),"",IF(N(E625)=0,1,E625)*IFERROR(INDEX(Products!$E$6:$E$105,MATCH(D625,Products!$B$6:$B$105,0)),0))</f>
        <v/>
      </c>
      <c r="O625" s="35" t="n"/>
      <c r="P625" s="22">
        <f>IF(OR(H625="",L625="Cancelled"),"",ROUND(IFERROR(H625*INDEX(Settings!$C$6:$C$15,MATCH(M625,Settings!$B$6:$B$15,0))+INDEX(Settings!$D$6:$D$15,MATCH(M625,Settings!$B$6:$B$15,0)),0),2))</f>
        <v/>
      </c>
      <c r="Q625" s="28">
        <f>IF(OR(H625="",L625="Cancelled"),"",H625-N(N625)-N(O625)-N(P625))</f>
        <v/>
      </c>
      <c r="R625" s="19">
        <f>IF(OR(B625="",K625=""),"",IF(OR(L625="Sent",L625="Picked up"),"Done",IF(L625="Cancelled","Cancelled",IF(K625&lt;TODAY(),"Late by "&amp;(TODAY()-K625)&amp;IF((TODAY()-K625)=1," day"," days"),IF(K625=TODAY(),"Due today","Due in "&amp;(K625-TODAY())&amp;IF((K625-TODAY())=1," day"," days"))))))</f>
        <v/>
      </c>
      <c r="S625" s="33" t="n"/>
      <c r="T625" s="1">
        <f>IF(AND(B625&lt;&gt;"",K625&lt;&gt;"",L625&lt;&gt;"Sent",L625&lt;&gt;"Picked up",L625&lt;&gt;"Cancelled"),K625+ROW()/10000000,"")</f>
        <v/>
      </c>
      <c r="U625">
        <f>IF(OR(B625="",C625=""),"",B625+ROW()/10000000)</f>
        <v/>
      </c>
      <c r="V625">
        <f>IF(U625="","",IF(COUNTIFS(Orders!$C$6:$C$1005,C625,Orders!$U$6:$U$1005,"&gt;"&amp;U625)=0,1,0))</f>
        <v/>
      </c>
      <c r="W625">
        <f>IF(AND(B625&lt;&gt;"",K625&lt;&gt;"",L625&lt;&gt;"Sent",L625&lt;&gt;"Picked up",L625&lt;&gt;"Cancelled"),IF(N(E625)=0,1,E625),0)</f>
        <v/>
      </c>
      <c r="X625">
        <f>IF(OR(B625="",D625=""),"",IF(N(E625)=0,1,E625))</f>
        <v/>
      </c>
    </row>
    <row r="626">
      <c r="A626" s="1" t="n"/>
      <c r="B626" s="31" t="n"/>
      <c r="C626" s="32" t="n"/>
      <c r="D626" s="33" t="n"/>
      <c r="E626" s="34" t="n"/>
      <c r="F626" s="35" t="n"/>
      <c r="G626" s="35" t="n"/>
      <c r="H626" s="30">
        <f>IF(OR(B626="",D626=""),"",IF(N(E626)=0,1,E626)*IFERROR(INDEX(Products!$C$6:$C$105,MATCH(D626,Products!$B$6:$B$105,0)),0)+N(F626)+N(G626))</f>
        <v/>
      </c>
      <c r="I626" s="35" t="n"/>
      <c r="J626" s="30">
        <f>IF(OR(H626="",L626="Cancelled"),"",IF(H626-N(I626)&gt;0.005,H626-N(I626),""))</f>
        <v/>
      </c>
      <c r="K626" s="31" t="n"/>
      <c r="L626" s="36" t="n"/>
      <c r="M626" s="33" t="n"/>
      <c r="N626" s="22">
        <f>IF(OR(H626="",L626="Cancelled"),"",IF(N(E626)=0,1,E626)*IFERROR(INDEX(Products!$E$6:$E$105,MATCH(D626,Products!$B$6:$B$105,0)),0))</f>
        <v/>
      </c>
      <c r="O626" s="35" t="n"/>
      <c r="P626" s="22">
        <f>IF(OR(H626="",L626="Cancelled"),"",ROUND(IFERROR(H626*INDEX(Settings!$C$6:$C$15,MATCH(M626,Settings!$B$6:$B$15,0))+INDEX(Settings!$D$6:$D$15,MATCH(M626,Settings!$B$6:$B$15,0)),0),2))</f>
        <v/>
      </c>
      <c r="Q626" s="28">
        <f>IF(OR(H626="",L626="Cancelled"),"",H626-N(N626)-N(O626)-N(P626))</f>
        <v/>
      </c>
      <c r="R626" s="19">
        <f>IF(OR(B626="",K626=""),"",IF(OR(L626="Sent",L626="Picked up"),"Done",IF(L626="Cancelled","Cancelled",IF(K626&lt;TODAY(),"Late by "&amp;(TODAY()-K626)&amp;IF((TODAY()-K626)=1," day"," days"),IF(K626=TODAY(),"Due today","Due in "&amp;(K626-TODAY())&amp;IF((K626-TODAY())=1," day"," days"))))))</f>
        <v/>
      </c>
      <c r="S626" s="33" t="n"/>
      <c r="T626" s="1">
        <f>IF(AND(B626&lt;&gt;"",K626&lt;&gt;"",L626&lt;&gt;"Sent",L626&lt;&gt;"Picked up",L626&lt;&gt;"Cancelled"),K626+ROW()/10000000,"")</f>
        <v/>
      </c>
      <c r="U626">
        <f>IF(OR(B626="",C626=""),"",B626+ROW()/10000000)</f>
        <v/>
      </c>
      <c r="V626">
        <f>IF(U626="","",IF(COUNTIFS(Orders!$C$6:$C$1005,C626,Orders!$U$6:$U$1005,"&gt;"&amp;U626)=0,1,0))</f>
        <v/>
      </c>
      <c r="W626">
        <f>IF(AND(B626&lt;&gt;"",K626&lt;&gt;"",L626&lt;&gt;"Sent",L626&lt;&gt;"Picked up",L626&lt;&gt;"Cancelled"),IF(N(E626)=0,1,E626),0)</f>
        <v/>
      </c>
      <c r="X626">
        <f>IF(OR(B626="",D626=""),"",IF(N(E626)=0,1,E626))</f>
        <v/>
      </c>
    </row>
    <row r="627">
      <c r="A627" s="1" t="n"/>
      <c r="B627" s="31" t="n"/>
      <c r="C627" s="32" t="n"/>
      <c r="D627" s="33" t="n"/>
      <c r="E627" s="34" t="n"/>
      <c r="F627" s="35" t="n"/>
      <c r="G627" s="35" t="n"/>
      <c r="H627" s="30">
        <f>IF(OR(B627="",D627=""),"",IF(N(E627)=0,1,E627)*IFERROR(INDEX(Products!$C$6:$C$105,MATCH(D627,Products!$B$6:$B$105,0)),0)+N(F627)+N(G627))</f>
        <v/>
      </c>
      <c r="I627" s="35" t="n"/>
      <c r="J627" s="30">
        <f>IF(OR(H627="",L627="Cancelled"),"",IF(H627-N(I627)&gt;0.005,H627-N(I627),""))</f>
        <v/>
      </c>
      <c r="K627" s="31" t="n"/>
      <c r="L627" s="36" t="n"/>
      <c r="M627" s="33" t="n"/>
      <c r="N627" s="22">
        <f>IF(OR(H627="",L627="Cancelled"),"",IF(N(E627)=0,1,E627)*IFERROR(INDEX(Products!$E$6:$E$105,MATCH(D627,Products!$B$6:$B$105,0)),0))</f>
        <v/>
      </c>
      <c r="O627" s="35" t="n"/>
      <c r="P627" s="22">
        <f>IF(OR(H627="",L627="Cancelled"),"",ROUND(IFERROR(H627*INDEX(Settings!$C$6:$C$15,MATCH(M627,Settings!$B$6:$B$15,0))+INDEX(Settings!$D$6:$D$15,MATCH(M627,Settings!$B$6:$B$15,0)),0),2))</f>
        <v/>
      </c>
      <c r="Q627" s="28">
        <f>IF(OR(H627="",L627="Cancelled"),"",H627-N(N627)-N(O627)-N(P627))</f>
        <v/>
      </c>
      <c r="R627" s="19">
        <f>IF(OR(B627="",K627=""),"",IF(OR(L627="Sent",L627="Picked up"),"Done",IF(L627="Cancelled","Cancelled",IF(K627&lt;TODAY(),"Late by "&amp;(TODAY()-K627)&amp;IF((TODAY()-K627)=1," day"," days"),IF(K627=TODAY(),"Due today","Due in "&amp;(K627-TODAY())&amp;IF((K627-TODAY())=1," day"," days"))))))</f>
        <v/>
      </c>
      <c r="S627" s="33" t="n"/>
      <c r="T627" s="1">
        <f>IF(AND(B627&lt;&gt;"",K627&lt;&gt;"",L627&lt;&gt;"Sent",L627&lt;&gt;"Picked up",L627&lt;&gt;"Cancelled"),K627+ROW()/10000000,"")</f>
        <v/>
      </c>
      <c r="U627">
        <f>IF(OR(B627="",C627=""),"",B627+ROW()/10000000)</f>
        <v/>
      </c>
      <c r="V627">
        <f>IF(U627="","",IF(COUNTIFS(Orders!$C$6:$C$1005,C627,Orders!$U$6:$U$1005,"&gt;"&amp;U627)=0,1,0))</f>
        <v/>
      </c>
      <c r="W627">
        <f>IF(AND(B627&lt;&gt;"",K627&lt;&gt;"",L627&lt;&gt;"Sent",L627&lt;&gt;"Picked up",L627&lt;&gt;"Cancelled"),IF(N(E627)=0,1,E627),0)</f>
        <v/>
      </c>
      <c r="X627">
        <f>IF(OR(B627="",D627=""),"",IF(N(E627)=0,1,E627))</f>
        <v/>
      </c>
    </row>
    <row r="628">
      <c r="A628" s="1" t="n"/>
      <c r="B628" s="31" t="n"/>
      <c r="C628" s="32" t="n"/>
      <c r="D628" s="33" t="n"/>
      <c r="E628" s="34" t="n"/>
      <c r="F628" s="35" t="n"/>
      <c r="G628" s="35" t="n"/>
      <c r="H628" s="30">
        <f>IF(OR(B628="",D628=""),"",IF(N(E628)=0,1,E628)*IFERROR(INDEX(Products!$C$6:$C$105,MATCH(D628,Products!$B$6:$B$105,0)),0)+N(F628)+N(G628))</f>
        <v/>
      </c>
      <c r="I628" s="35" t="n"/>
      <c r="J628" s="30">
        <f>IF(OR(H628="",L628="Cancelled"),"",IF(H628-N(I628)&gt;0.005,H628-N(I628),""))</f>
        <v/>
      </c>
      <c r="K628" s="31" t="n"/>
      <c r="L628" s="36" t="n"/>
      <c r="M628" s="33" t="n"/>
      <c r="N628" s="22">
        <f>IF(OR(H628="",L628="Cancelled"),"",IF(N(E628)=0,1,E628)*IFERROR(INDEX(Products!$E$6:$E$105,MATCH(D628,Products!$B$6:$B$105,0)),0))</f>
        <v/>
      </c>
      <c r="O628" s="35" t="n"/>
      <c r="P628" s="22">
        <f>IF(OR(H628="",L628="Cancelled"),"",ROUND(IFERROR(H628*INDEX(Settings!$C$6:$C$15,MATCH(M628,Settings!$B$6:$B$15,0))+INDEX(Settings!$D$6:$D$15,MATCH(M628,Settings!$B$6:$B$15,0)),0),2))</f>
        <v/>
      </c>
      <c r="Q628" s="28">
        <f>IF(OR(H628="",L628="Cancelled"),"",H628-N(N628)-N(O628)-N(P628))</f>
        <v/>
      </c>
      <c r="R628" s="19">
        <f>IF(OR(B628="",K628=""),"",IF(OR(L628="Sent",L628="Picked up"),"Done",IF(L628="Cancelled","Cancelled",IF(K628&lt;TODAY(),"Late by "&amp;(TODAY()-K628)&amp;IF((TODAY()-K628)=1," day"," days"),IF(K628=TODAY(),"Due today","Due in "&amp;(K628-TODAY())&amp;IF((K628-TODAY())=1," day"," days"))))))</f>
        <v/>
      </c>
      <c r="S628" s="33" t="n"/>
      <c r="T628" s="1">
        <f>IF(AND(B628&lt;&gt;"",K628&lt;&gt;"",L628&lt;&gt;"Sent",L628&lt;&gt;"Picked up",L628&lt;&gt;"Cancelled"),K628+ROW()/10000000,"")</f>
        <v/>
      </c>
      <c r="U628">
        <f>IF(OR(B628="",C628=""),"",B628+ROW()/10000000)</f>
        <v/>
      </c>
      <c r="V628">
        <f>IF(U628="","",IF(COUNTIFS(Orders!$C$6:$C$1005,C628,Orders!$U$6:$U$1005,"&gt;"&amp;U628)=0,1,0))</f>
        <v/>
      </c>
      <c r="W628">
        <f>IF(AND(B628&lt;&gt;"",K628&lt;&gt;"",L628&lt;&gt;"Sent",L628&lt;&gt;"Picked up",L628&lt;&gt;"Cancelled"),IF(N(E628)=0,1,E628),0)</f>
        <v/>
      </c>
      <c r="X628">
        <f>IF(OR(B628="",D628=""),"",IF(N(E628)=0,1,E628))</f>
        <v/>
      </c>
    </row>
    <row r="629">
      <c r="A629" s="1" t="n"/>
      <c r="B629" s="31" t="n"/>
      <c r="C629" s="32" t="n"/>
      <c r="D629" s="33" t="n"/>
      <c r="E629" s="34" t="n"/>
      <c r="F629" s="35" t="n"/>
      <c r="G629" s="35" t="n"/>
      <c r="H629" s="30">
        <f>IF(OR(B629="",D629=""),"",IF(N(E629)=0,1,E629)*IFERROR(INDEX(Products!$C$6:$C$105,MATCH(D629,Products!$B$6:$B$105,0)),0)+N(F629)+N(G629))</f>
        <v/>
      </c>
      <c r="I629" s="35" t="n"/>
      <c r="J629" s="30">
        <f>IF(OR(H629="",L629="Cancelled"),"",IF(H629-N(I629)&gt;0.005,H629-N(I629),""))</f>
        <v/>
      </c>
      <c r="K629" s="31" t="n"/>
      <c r="L629" s="36" t="n"/>
      <c r="M629" s="33" t="n"/>
      <c r="N629" s="22">
        <f>IF(OR(H629="",L629="Cancelled"),"",IF(N(E629)=0,1,E629)*IFERROR(INDEX(Products!$E$6:$E$105,MATCH(D629,Products!$B$6:$B$105,0)),0))</f>
        <v/>
      </c>
      <c r="O629" s="35" t="n"/>
      <c r="P629" s="22">
        <f>IF(OR(H629="",L629="Cancelled"),"",ROUND(IFERROR(H629*INDEX(Settings!$C$6:$C$15,MATCH(M629,Settings!$B$6:$B$15,0))+INDEX(Settings!$D$6:$D$15,MATCH(M629,Settings!$B$6:$B$15,0)),0),2))</f>
        <v/>
      </c>
      <c r="Q629" s="28">
        <f>IF(OR(H629="",L629="Cancelled"),"",H629-N(N629)-N(O629)-N(P629))</f>
        <v/>
      </c>
      <c r="R629" s="19">
        <f>IF(OR(B629="",K629=""),"",IF(OR(L629="Sent",L629="Picked up"),"Done",IF(L629="Cancelled","Cancelled",IF(K629&lt;TODAY(),"Late by "&amp;(TODAY()-K629)&amp;IF((TODAY()-K629)=1," day"," days"),IF(K629=TODAY(),"Due today","Due in "&amp;(K629-TODAY())&amp;IF((K629-TODAY())=1," day"," days"))))))</f>
        <v/>
      </c>
      <c r="S629" s="33" t="n"/>
      <c r="T629" s="1">
        <f>IF(AND(B629&lt;&gt;"",K629&lt;&gt;"",L629&lt;&gt;"Sent",L629&lt;&gt;"Picked up",L629&lt;&gt;"Cancelled"),K629+ROW()/10000000,"")</f>
        <v/>
      </c>
      <c r="U629">
        <f>IF(OR(B629="",C629=""),"",B629+ROW()/10000000)</f>
        <v/>
      </c>
      <c r="V629">
        <f>IF(U629="","",IF(COUNTIFS(Orders!$C$6:$C$1005,C629,Orders!$U$6:$U$1005,"&gt;"&amp;U629)=0,1,0))</f>
        <v/>
      </c>
      <c r="W629">
        <f>IF(AND(B629&lt;&gt;"",K629&lt;&gt;"",L629&lt;&gt;"Sent",L629&lt;&gt;"Picked up",L629&lt;&gt;"Cancelled"),IF(N(E629)=0,1,E629),0)</f>
        <v/>
      </c>
      <c r="X629">
        <f>IF(OR(B629="",D629=""),"",IF(N(E629)=0,1,E629))</f>
        <v/>
      </c>
    </row>
    <row r="630">
      <c r="A630" s="1" t="n"/>
      <c r="B630" s="31" t="n"/>
      <c r="C630" s="32" t="n"/>
      <c r="D630" s="33" t="n"/>
      <c r="E630" s="34" t="n"/>
      <c r="F630" s="35" t="n"/>
      <c r="G630" s="35" t="n"/>
      <c r="H630" s="30">
        <f>IF(OR(B630="",D630=""),"",IF(N(E630)=0,1,E630)*IFERROR(INDEX(Products!$C$6:$C$105,MATCH(D630,Products!$B$6:$B$105,0)),0)+N(F630)+N(G630))</f>
        <v/>
      </c>
      <c r="I630" s="35" t="n"/>
      <c r="J630" s="30">
        <f>IF(OR(H630="",L630="Cancelled"),"",IF(H630-N(I630)&gt;0.005,H630-N(I630),""))</f>
        <v/>
      </c>
      <c r="K630" s="31" t="n"/>
      <c r="L630" s="36" t="n"/>
      <c r="M630" s="33" t="n"/>
      <c r="N630" s="22">
        <f>IF(OR(H630="",L630="Cancelled"),"",IF(N(E630)=0,1,E630)*IFERROR(INDEX(Products!$E$6:$E$105,MATCH(D630,Products!$B$6:$B$105,0)),0))</f>
        <v/>
      </c>
      <c r="O630" s="35" t="n"/>
      <c r="P630" s="22">
        <f>IF(OR(H630="",L630="Cancelled"),"",ROUND(IFERROR(H630*INDEX(Settings!$C$6:$C$15,MATCH(M630,Settings!$B$6:$B$15,0))+INDEX(Settings!$D$6:$D$15,MATCH(M630,Settings!$B$6:$B$15,0)),0),2))</f>
        <v/>
      </c>
      <c r="Q630" s="28">
        <f>IF(OR(H630="",L630="Cancelled"),"",H630-N(N630)-N(O630)-N(P630))</f>
        <v/>
      </c>
      <c r="R630" s="19">
        <f>IF(OR(B630="",K630=""),"",IF(OR(L630="Sent",L630="Picked up"),"Done",IF(L630="Cancelled","Cancelled",IF(K630&lt;TODAY(),"Late by "&amp;(TODAY()-K630)&amp;IF((TODAY()-K630)=1," day"," days"),IF(K630=TODAY(),"Due today","Due in "&amp;(K630-TODAY())&amp;IF((K630-TODAY())=1," day"," days"))))))</f>
        <v/>
      </c>
      <c r="S630" s="33" t="n"/>
      <c r="T630" s="1">
        <f>IF(AND(B630&lt;&gt;"",K630&lt;&gt;"",L630&lt;&gt;"Sent",L630&lt;&gt;"Picked up",L630&lt;&gt;"Cancelled"),K630+ROW()/10000000,"")</f>
        <v/>
      </c>
      <c r="U630">
        <f>IF(OR(B630="",C630=""),"",B630+ROW()/10000000)</f>
        <v/>
      </c>
      <c r="V630">
        <f>IF(U630="","",IF(COUNTIFS(Orders!$C$6:$C$1005,C630,Orders!$U$6:$U$1005,"&gt;"&amp;U630)=0,1,0))</f>
        <v/>
      </c>
      <c r="W630">
        <f>IF(AND(B630&lt;&gt;"",K630&lt;&gt;"",L630&lt;&gt;"Sent",L630&lt;&gt;"Picked up",L630&lt;&gt;"Cancelled"),IF(N(E630)=0,1,E630),0)</f>
        <v/>
      </c>
      <c r="X630">
        <f>IF(OR(B630="",D630=""),"",IF(N(E630)=0,1,E630))</f>
        <v/>
      </c>
    </row>
    <row r="631">
      <c r="A631" s="1" t="n"/>
      <c r="B631" s="31" t="n"/>
      <c r="C631" s="32" t="n"/>
      <c r="D631" s="33" t="n"/>
      <c r="E631" s="34" t="n"/>
      <c r="F631" s="35" t="n"/>
      <c r="G631" s="35" t="n"/>
      <c r="H631" s="30">
        <f>IF(OR(B631="",D631=""),"",IF(N(E631)=0,1,E631)*IFERROR(INDEX(Products!$C$6:$C$105,MATCH(D631,Products!$B$6:$B$105,0)),0)+N(F631)+N(G631))</f>
        <v/>
      </c>
      <c r="I631" s="35" t="n"/>
      <c r="J631" s="30">
        <f>IF(OR(H631="",L631="Cancelled"),"",IF(H631-N(I631)&gt;0.005,H631-N(I631),""))</f>
        <v/>
      </c>
      <c r="K631" s="31" t="n"/>
      <c r="L631" s="36" t="n"/>
      <c r="M631" s="33" t="n"/>
      <c r="N631" s="22">
        <f>IF(OR(H631="",L631="Cancelled"),"",IF(N(E631)=0,1,E631)*IFERROR(INDEX(Products!$E$6:$E$105,MATCH(D631,Products!$B$6:$B$105,0)),0))</f>
        <v/>
      </c>
      <c r="O631" s="35" t="n"/>
      <c r="P631" s="22">
        <f>IF(OR(H631="",L631="Cancelled"),"",ROUND(IFERROR(H631*INDEX(Settings!$C$6:$C$15,MATCH(M631,Settings!$B$6:$B$15,0))+INDEX(Settings!$D$6:$D$15,MATCH(M631,Settings!$B$6:$B$15,0)),0),2))</f>
        <v/>
      </c>
      <c r="Q631" s="28">
        <f>IF(OR(H631="",L631="Cancelled"),"",H631-N(N631)-N(O631)-N(P631))</f>
        <v/>
      </c>
      <c r="R631" s="19">
        <f>IF(OR(B631="",K631=""),"",IF(OR(L631="Sent",L631="Picked up"),"Done",IF(L631="Cancelled","Cancelled",IF(K631&lt;TODAY(),"Late by "&amp;(TODAY()-K631)&amp;IF((TODAY()-K631)=1," day"," days"),IF(K631=TODAY(),"Due today","Due in "&amp;(K631-TODAY())&amp;IF((K631-TODAY())=1," day"," days"))))))</f>
        <v/>
      </c>
      <c r="S631" s="33" t="n"/>
      <c r="T631" s="1">
        <f>IF(AND(B631&lt;&gt;"",K631&lt;&gt;"",L631&lt;&gt;"Sent",L631&lt;&gt;"Picked up",L631&lt;&gt;"Cancelled"),K631+ROW()/10000000,"")</f>
        <v/>
      </c>
      <c r="U631">
        <f>IF(OR(B631="",C631=""),"",B631+ROW()/10000000)</f>
        <v/>
      </c>
      <c r="V631">
        <f>IF(U631="","",IF(COUNTIFS(Orders!$C$6:$C$1005,C631,Orders!$U$6:$U$1005,"&gt;"&amp;U631)=0,1,0))</f>
        <v/>
      </c>
      <c r="W631">
        <f>IF(AND(B631&lt;&gt;"",K631&lt;&gt;"",L631&lt;&gt;"Sent",L631&lt;&gt;"Picked up",L631&lt;&gt;"Cancelled"),IF(N(E631)=0,1,E631),0)</f>
        <v/>
      </c>
      <c r="X631">
        <f>IF(OR(B631="",D631=""),"",IF(N(E631)=0,1,E631))</f>
        <v/>
      </c>
    </row>
    <row r="632">
      <c r="A632" s="1" t="n"/>
      <c r="B632" s="31" t="n"/>
      <c r="C632" s="32" t="n"/>
      <c r="D632" s="33" t="n"/>
      <c r="E632" s="34" t="n"/>
      <c r="F632" s="35" t="n"/>
      <c r="G632" s="35" t="n"/>
      <c r="H632" s="30">
        <f>IF(OR(B632="",D632=""),"",IF(N(E632)=0,1,E632)*IFERROR(INDEX(Products!$C$6:$C$105,MATCH(D632,Products!$B$6:$B$105,0)),0)+N(F632)+N(G632))</f>
        <v/>
      </c>
      <c r="I632" s="35" t="n"/>
      <c r="J632" s="30">
        <f>IF(OR(H632="",L632="Cancelled"),"",IF(H632-N(I632)&gt;0.005,H632-N(I632),""))</f>
        <v/>
      </c>
      <c r="K632" s="31" t="n"/>
      <c r="L632" s="36" t="n"/>
      <c r="M632" s="33" t="n"/>
      <c r="N632" s="22">
        <f>IF(OR(H632="",L632="Cancelled"),"",IF(N(E632)=0,1,E632)*IFERROR(INDEX(Products!$E$6:$E$105,MATCH(D632,Products!$B$6:$B$105,0)),0))</f>
        <v/>
      </c>
      <c r="O632" s="35" t="n"/>
      <c r="P632" s="22">
        <f>IF(OR(H632="",L632="Cancelled"),"",ROUND(IFERROR(H632*INDEX(Settings!$C$6:$C$15,MATCH(M632,Settings!$B$6:$B$15,0))+INDEX(Settings!$D$6:$D$15,MATCH(M632,Settings!$B$6:$B$15,0)),0),2))</f>
        <v/>
      </c>
      <c r="Q632" s="28">
        <f>IF(OR(H632="",L632="Cancelled"),"",H632-N(N632)-N(O632)-N(P632))</f>
        <v/>
      </c>
      <c r="R632" s="19">
        <f>IF(OR(B632="",K632=""),"",IF(OR(L632="Sent",L632="Picked up"),"Done",IF(L632="Cancelled","Cancelled",IF(K632&lt;TODAY(),"Late by "&amp;(TODAY()-K632)&amp;IF((TODAY()-K632)=1," day"," days"),IF(K632=TODAY(),"Due today","Due in "&amp;(K632-TODAY())&amp;IF((K632-TODAY())=1," day"," days"))))))</f>
        <v/>
      </c>
      <c r="S632" s="33" t="n"/>
      <c r="T632" s="1">
        <f>IF(AND(B632&lt;&gt;"",K632&lt;&gt;"",L632&lt;&gt;"Sent",L632&lt;&gt;"Picked up",L632&lt;&gt;"Cancelled"),K632+ROW()/10000000,"")</f>
        <v/>
      </c>
      <c r="U632">
        <f>IF(OR(B632="",C632=""),"",B632+ROW()/10000000)</f>
        <v/>
      </c>
      <c r="V632">
        <f>IF(U632="","",IF(COUNTIFS(Orders!$C$6:$C$1005,C632,Orders!$U$6:$U$1005,"&gt;"&amp;U632)=0,1,0))</f>
        <v/>
      </c>
      <c r="W632">
        <f>IF(AND(B632&lt;&gt;"",K632&lt;&gt;"",L632&lt;&gt;"Sent",L632&lt;&gt;"Picked up",L632&lt;&gt;"Cancelled"),IF(N(E632)=0,1,E632),0)</f>
        <v/>
      </c>
      <c r="X632">
        <f>IF(OR(B632="",D632=""),"",IF(N(E632)=0,1,E632))</f>
        <v/>
      </c>
    </row>
    <row r="633">
      <c r="A633" s="1" t="n"/>
      <c r="B633" s="31" t="n"/>
      <c r="C633" s="32" t="n"/>
      <c r="D633" s="33" t="n"/>
      <c r="E633" s="34" t="n"/>
      <c r="F633" s="35" t="n"/>
      <c r="G633" s="35" t="n"/>
      <c r="H633" s="30">
        <f>IF(OR(B633="",D633=""),"",IF(N(E633)=0,1,E633)*IFERROR(INDEX(Products!$C$6:$C$105,MATCH(D633,Products!$B$6:$B$105,0)),0)+N(F633)+N(G633))</f>
        <v/>
      </c>
      <c r="I633" s="35" t="n"/>
      <c r="J633" s="30">
        <f>IF(OR(H633="",L633="Cancelled"),"",IF(H633-N(I633)&gt;0.005,H633-N(I633),""))</f>
        <v/>
      </c>
      <c r="K633" s="31" t="n"/>
      <c r="L633" s="36" t="n"/>
      <c r="M633" s="33" t="n"/>
      <c r="N633" s="22">
        <f>IF(OR(H633="",L633="Cancelled"),"",IF(N(E633)=0,1,E633)*IFERROR(INDEX(Products!$E$6:$E$105,MATCH(D633,Products!$B$6:$B$105,0)),0))</f>
        <v/>
      </c>
      <c r="O633" s="35" t="n"/>
      <c r="P633" s="22">
        <f>IF(OR(H633="",L633="Cancelled"),"",ROUND(IFERROR(H633*INDEX(Settings!$C$6:$C$15,MATCH(M633,Settings!$B$6:$B$15,0))+INDEX(Settings!$D$6:$D$15,MATCH(M633,Settings!$B$6:$B$15,0)),0),2))</f>
        <v/>
      </c>
      <c r="Q633" s="28">
        <f>IF(OR(H633="",L633="Cancelled"),"",H633-N(N633)-N(O633)-N(P633))</f>
        <v/>
      </c>
      <c r="R633" s="19">
        <f>IF(OR(B633="",K633=""),"",IF(OR(L633="Sent",L633="Picked up"),"Done",IF(L633="Cancelled","Cancelled",IF(K633&lt;TODAY(),"Late by "&amp;(TODAY()-K633)&amp;IF((TODAY()-K633)=1," day"," days"),IF(K633=TODAY(),"Due today","Due in "&amp;(K633-TODAY())&amp;IF((K633-TODAY())=1," day"," days"))))))</f>
        <v/>
      </c>
      <c r="S633" s="33" t="n"/>
      <c r="T633" s="1">
        <f>IF(AND(B633&lt;&gt;"",K633&lt;&gt;"",L633&lt;&gt;"Sent",L633&lt;&gt;"Picked up",L633&lt;&gt;"Cancelled"),K633+ROW()/10000000,"")</f>
        <v/>
      </c>
      <c r="U633">
        <f>IF(OR(B633="",C633=""),"",B633+ROW()/10000000)</f>
        <v/>
      </c>
      <c r="V633">
        <f>IF(U633="","",IF(COUNTIFS(Orders!$C$6:$C$1005,C633,Orders!$U$6:$U$1005,"&gt;"&amp;U633)=0,1,0))</f>
        <v/>
      </c>
      <c r="W633">
        <f>IF(AND(B633&lt;&gt;"",K633&lt;&gt;"",L633&lt;&gt;"Sent",L633&lt;&gt;"Picked up",L633&lt;&gt;"Cancelled"),IF(N(E633)=0,1,E633),0)</f>
        <v/>
      </c>
      <c r="X633">
        <f>IF(OR(B633="",D633=""),"",IF(N(E633)=0,1,E633))</f>
        <v/>
      </c>
    </row>
    <row r="634">
      <c r="A634" s="1" t="n"/>
      <c r="B634" s="31" t="n"/>
      <c r="C634" s="32" t="n"/>
      <c r="D634" s="33" t="n"/>
      <c r="E634" s="34" t="n"/>
      <c r="F634" s="35" t="n"/>
      <c r="G634" s="35" t="n"/>
      <c r="H634" s="30">
        <f>IF(OR(B634="",D634=""),"",IF(N(E634)=0,1,E634)*IFERROR(INDEX(Products!$C$6:$C$105,MATCH(D634,Products!$B$6:$B$105,0)),0)+N(F634)+N(G634))</f>
        <v/>
      </c>
      <c r="I634" s="35" t="n"/>
      <c r="J634" s="30">
        <f>IF(OR(H634="",L634="Cancelled"),"",IF(H634-N(I634)&gt;0.005,H634-N(I634),""))</f>
        <v/>
      </c>
      <c r="K634" s="31" t="n"/>
      <c r="L634" s="36" t="n"/>
      <c r="M634" s="33" t="n"/>
      <c r="N634" s="22">
        <f>IF(OR(H634="",L634="Cancelled"),"",IF(N(E634)=0,1,E634)*IFERROR(INDEX(Products!$E$6:$E$105,MATCH(D634,Products!$B$6:$B$105,0)),0))</f>
        <v/>
      </c>
      <c r="O634" s="35" t="n"/>
      <c r="P634" s="22">
        <f>IF(OR(H634="",L634="Cancelled"),"",ROUND(IFERROR(H634*INDEX(Settings!$C$6:$C$15,MATCH(M634,Settings!$B$6:$B$15,0))+INDEX(Settings!$D$6:$D$15,MATCH(M634,Settings!$B$6:$B$15,0)),0),2))</f>
        <v/>
      </c>
      <c r="Q634" s="28">
        <f>IF(OR(H634="",L634="Cancelled"),"",H634-N(N634)-N(O634)-N(P634))</f>
        <v/>
      </c>
      <c r="R634" s="19">
        <f>IF(OR(B634="",K634=""),"",IF(OR(L634="Sent",L634="Picked up"),"Done",IF(L634="Cancelled","Cancelled",IF(K634&lt;TODAY(),"Late by "&amp;(TODAY()-K634)&amp;IF((TODAY()-K634)=1," day"," days"),IF(K634=TODAY(),"Due today","Due in "&amp;(K634-TODAY())&amp;IF((K634-TODAY())=1," day"," days"))))))</f>
        <v/>
      </c>
      <c r="S634" s="33" t="n"/>
      <c r="T634" s="1">
        <f>IF(AND(B634&lt;&gt;"",K634&lt;&gt;"",L634&lt;&gt;"Sent",L634&lt;&gt;"Picked up",L634&lt;&gt;"Cancelled"),K634+ROW()/10000000,"")</f>
        <v/>
      </c>
      <c r="U634">
        <f>IF(OR(B634="",C634=""),"",B634+ROW()/10000000)</f>
        <v/>
      </c>
      <c r="V634">
        <f>IF(U634="","",IF(COUNTIFS(Orders!$C$6:$C$1005,C634,Orders!$U$6:$U$1005,"&gt;"&amp;U634)=0,1,0))</f>
        <v/>
      </c>
      <c r="W634">
        <f>IF(AND(B634&lt;&gt;"",K634&lt;&gt;"",L634&lt;&gt;"Sent",L634&lt;&gt;"Picked up",L634&lt;&gt;"Cancelled"),IF(N(E634)=0,1,E634),0)</f>
        <v/>
      </c>
      <c r="X634">
        <f>IF(OR(B634="",D634=""),"",IF(N(E634)=0,1,E634))</f>
        <v/>
      </c>
    </row>
    <row r="635">
      <c r="A635" s="1" t="n"/>
      <c r="B635" s="31" t="n"/>
      <c r="C635" s="32" t="n"/>
      <c r="D635" s="33" t="n"/>
      <c r="E635" s="34" t="n"/>
      <c r="F635" s="35" t="n"/>
      <c r="G635" s="35" t="n"/>
      <c r="H635" s="30">
        <f>IF(OR(B635="",D635=""),"",IF(N(E635)=0,1,E635)*IFERROR(INDEX(Products!$C$6:$C$105,MATCH(D635,Products!$B$6:$B$105,0)),0)+N(F635)+N(G635))</f>
        <v/>
      </c>
      <c r="I635" s="35" t="n"/>
      <c r="J635" s="30">
        <f>IF(OR(H635="",L635="Cancelled"),"",IF(H635-N(I635)&gt;0.005,H635-N(I635),""))</f>
        <v/>
      </c>
      <c r="K635" s="31" t="n"/>
      <c r="L635" s="36" t="n"/>
      <c r="M635" s="33" t="n"/>
      <c r="N635" s="22">
        <f>IF(OR(H635="",L635="Cancelled"),"",IF(N(E635)=0,1,E635)*IFERROR(INDEX(Products!$E$6:$E$105,MATCH(D635,Products!$B$6:$B$105,0)),0))</f>
        <v/>
      </c>
      <c r="O635" s="35" t="n"/>
      <c r="P635" s="22">
        <f>IF(OR(H635="",L635="Cancelled"),"",ROUND(IFERROR(H635*INDEX(Settings!$C$6:$C$15,MATCH(M635,Settings!$B$6:$B$15,0))+INDEX(Settings!$D$6:$D$15,MATCH(M635,Settings!$B$6:$B$15,0)),0),2))</f>
        <v/>
      </c>
      <c r="Q635" s="28">
        <f>IF(OR(H635="",L635="Cancelled"),"",H635-N(N635)-N(O635)-N(P635))</f>
        <v/>
      </c>
      <c r="R635" s="19">
        <f>IF(OR(B635="",K635=""),"",IF(OR(L635="Sent",L635="Picked up"),"Done",IF(L635="Cancelled","Cancelled",IF(K635&lt;TODAY(),"Late by "&amp;(TODAY()-K635)&amp;IF((TODAY()-K635)=1," day"," days"),IF(K635=TODAY(),"Due today","Due in "&amp;(K635-TODAY())&amp;IF((K635-TODAY())=1," day"," days"))))))</f>
        <v/>
      </c>
      <c r="S635" s="33" t="n"/>
      <c r="T635" s="1">
        <f>IF(AND(B635&lt;&gt;"",K635&lt;&gt;"",L635&lt;&gt;"Sent",L635&lt;&gt;"Picked up",L635&lt;&gt;"Cancelled"),K635+ROW()/10000000,"")</f>
        <v/>
      </c>
      <c r="U635">
        <f>IF(OR(B635="",C635=""),"",B635+ROW()/10000000)</f>
        <v/>
      </c>
      <c r="V635">
        <f>IF(U635="","",IF(COUNTIFS(Orders!$C$6:$C$1005,C635,Orders!$U$6:$U$1005,"&gt;"&amp;U635)=0,1,0))</f>
        <v/>
      </c>
      <c r="W635">
        <f>IF(AND(B635&lt;&gt;"",K635&lt;&gt;"",L635&lt;&gt;"Sent",L635&lt;&gt;"Picked up",L635&lt;&gt;"Cancelled"),IF(N(E635)=0,1,E635),0)</f>
        <v/>
      </c>
      <c r="X635">
        <f>IF(OR(B635="",D635=""),"",IF(N(E635)=0,1,E635))</f>
        <v/>
      </c>
    </row>
    <row r="636">
      <c r="A636" s="1" t="n"/>
      <c r="B636" s="31" t="n"/>
      <c r="C636" s="32" t="n"/>
      <c r="D636" s="33" t="n"/>
      <c r="E636" s="34" t="n"/>
      <c r="F636" s="35" t="n"/>
      <c r="G636" s="35" t="n"/>
      <c r="H636" s="30">
        <f>IF(OR(B636="",D636=""),"",IF(N(E636)=0,1,E636)*IFERROR(INDEX(Products!$C$6:$C$105,MATCH(D636,Products!$B$6:$B$105,0)),0)+N(F636)+N(G636))</f>
        <v/>
      </c>
      <c r="I636" s="35" t="n"/>
      <c r="J636" s="30">
        <f>IF(OR(H636="",L636="Cancelled"),"",IF(H636-N(I636)&gt;0.005,H636-N(I636),""))</f>
        <v/>
      </c>
      <c r="K636" s="31" t="n"/>
      <c r="L636" s="36" t="n"/>
      <c r="M636" s="33" t="n"/>
      <c r="N636" s="22">
        <f>IF(OR(H636="",L636="Cancelled"),"",IF(N(E636)=0,1,E636)*IFERROR(INDEX(Products!$E$6:$E$105,MATCH(D636,Products!$B$6:$B$105,0)),0))</f>
        <v/>
      </c>
      <c r="O636" s="35" t="n"/>
      <c r="P636" s="22">
        <f>IF(OR(H636="",L636="Cancelled"),"",ROUND(IFERROR(H636*INDEX(Settings!$C$6:$C$15,MATCH(M636,Settings!$B$6:$B$15,0))+INDEX(Settings!$D$6:$D$15,MATCH(M636,Settings!$B$6:$B$15,0)),0),2))</f>
        <v/>
      </c>
      <c r="Q636" s="28">
        <f>IF(OR(H636="",L636="Cancelled"),"",H636-N(N636)-N(O636)-N(P636))</f>
        <v/>
      </c>
      <c r="R636" s="19">
        <f>IF(OR(B636="",K636=""),"",IF(OR(L636="Sent",L636="Picked up"),"Done",IF(L636="Cancelled","Cancelled",IF(K636&lt;TODAY(),"Late by "&amp;(TODAY()-K636)&amp;IF((TODAY()-K636)=1," day"," days"),IF(K636=TODAY(),"Due today","Due in "&amp;(K636-TODAY())&amp;IF((K636-TODAY())=1," day"," days"))))))</f>
        <v/>
      </c>
      <c r="S636" s="33" t="n"/>
      <c r="T636" s="1">
        <f>IF(AND(B636&lt;&gt;"",K636&lt;&gt;"",L636&lt;&gt;"Sent",L636&lt;&gt;"Picked up",L636&lt;&gt;"Cancelled"),K636+ROW()/10000000,"")</f>
        <v/>
      </c>
      <c r="U636">
        <f>IF(OR(B636="",C636=""),"",B636+ROW()/10000000)</f>
        <v/>
      </c>
      <c r="V636">
        <f>IF(U636="","",IF(COUNTIFS(Orders!$C$6:$C$1005,C636,Orders!$U$6:$U$1005,"&gt;"&amp;U636)=0,1,0))</f>
        <v/>
      </c>
      <c r="W636">
        <f>IF(AND(B636&lt;&gt;"",K636&lt;&gt;"",L636&lt;&gt;"Sent",L636&lt;&gt;"Picked up",L636&lt;&gt;"Cancelled"),IF(N(E636)=0,1,E636),0)</f>
        <v/>
      </c>
      <c r="X636">
        <f>IF(OR(B636="",D636=""),"",IF(N(E636)=0,1,E636))</f>
        <v/>
      </c>
    </row>
    <row r="637">
      <c r="A637" s="1" t="n"/>
      <c r="B637" s="31" t="n"/>
      <c r="C637" s="32" t="n"/>
      <c r="D637" s="33" t="n"/>
      <c r="E637" s="34" t="n"/>
      <c r="F637" s="35" t="n"/>
      <c r="G637" s="35" t="n"/>
      <c r="H637" s="30">
        <f>IF(OR(B637="",D637=""),"",IF(N(E637)=0,1,E637)*IFERROR(INDEX(Products!$C$6:$C$105,MATCH(D637,Products!$B$6:$B$105,0)),0)+N(F637)+N(G637))</f>
        <v/>
      </c>
      <c r="I637" s="35" t="n"/>
      <c r="J637" s="30">
        <f>IF(OR(H637="",L637="Cancelled"),"",IF(H637-N(I637)&gt;0.005,H637-N(I637),""))</f>
        <v/>
      </c>
      <c r="K637" s="31" t="n"/>
      <c r="L637" s="36" t="n"/>
      <c r="M637" s="33" t="n"/>
      <c r="N637" s="22">
        <f>IF(OR(H637="",L637="Cancelled"),"",IF(N(E637)=0,1,E637)*IFERROR(INDEX(Products!$E$6:$E$105,MATCH(D637,Products!$B$6:$B$105,0)),0))</f>
        <v/>
      </c>
      <c r="O637" s="35" t="n"/>
      <c r="P637" s="22">
        <f>IF(OR(H637="",L637="Cancelled"),"",ROUND(IFERROR(H637*INDEX(Settings!$C$6:$C$15,MATCH(M637,Settings!$B$6:$B$15,0))+INDEX(Settings!$D$6:$D$15,MATCH(M637,Settings!$B$6:$B$15,0)),0),2))</f>
        <v/>
      </c>
      <c r="Q637" s="28">
        <f>IF(OR(H637="",L637="Cancelled"),"",H637-N(N637)-N(O637)-N(P637))</f>
        <v/>
      </c>
      <c r="R637" s="19">
        <f>IF(OR(B637="",K637=""),"",IF(OR(L637="Sent",L637="Picked up"),"Done",IF(L637="Cancelled","Cancelled",IF(K637&lt;TODAY(),"Late by "&amp;(TODAY()-K637)&amp;IF((TODAY()-K637)=1," day"," days"),IF(K637=TODAY(),"Due today","Due in "&amp;(K637-TODAY())&amp;IF((K637-TODAY())=1," day"," days"))))))</f>
        <v/>
      </c>
      <c r="S637" s="33" t="n"/>
      <c r="T637" s="1">
        <f>IF(AND(B637&lt;&gt;"",K637&lt;&gt;"",L637&lt;&gt;"Sent",L637&lt;&gt;"Picked up",L637&lt;&gt;"Cancelled"),K637+ROW()/10000000,"")</f>
        <v/>
      </c>
      <c r="U637">
        <f>IF(OR(B637="",C637=""),"",B637+ROW()/10000000)</f>
        <v/>
      </c>
      <c r="V637">
        <f>IF(U637="","",IF(COUNTIFS(Orders!$C$6:$C$1005,C637,Orders!$U$6:$U$1005,"&gt;"&amp;U637)=0,1,0))</f>
        <v/>
      </c>
      <c r="W637">
        <f>IF(AND(B637&lt;&gt;"",K637&lt;&gt;"",L637&lt;&gt;"Sent",L637&lt;&gt;"Picked up",L637&lt;&gt;"Cancelled"),IF(N(E637)=0,1,E637),0)</f>
        <v/>
      </c>
      <c r="X637">
        <f>IF(OR(B637="",D637=""),"",IF(N(E637)=0,1,E637))</f>
        <v/>
      </c>
    </row>
    <row r="638">
      <c r="A638" s="1" t="n"/>
      <c r="B638" s="31" t="n"/>
      <c r="C638" s="32" t="n"/>
      <c r="D638" s="33" t="n"/>
      <c r="E638" s="34" t="n"/>
      <c r="F638" s="35" t="n"/>
      <c r="G638" s="35" t="n"/>
      <c r="H638" s="30">
        <f>IF(OR(B638="",D638=""),"",IF(N(E638)=0,1,E638)*IFERROR(INDEX(Products!$C$6:$C$105,MATCH(D638,Products!$B$6:$B$105,0)),0)+N(F638)+N(G638))</f>
        <v/>
      </c>
      <c r="I638" s="35" t="n"/>
      <c r="J638" s="30">
        <f>IF(OR(H638="",L638="Cancelled"),"",IF(H638-N(I638)&gt;0.005,H638-N(I638),""))</f>
        <v/>
      </c>
      <c r="K638" s="31" t="n"/>
      <c r="L638" s="36" t="n"/>
      <c r="M638" s="33" t="n"/>
      <c r="N638" s="22">
        <f>IF(OR(H638="",L638="Cancelled"),"",IF(N(E638)=0,1,E638)*IFERROR(INDEX(Products!$E$6:$E$105,MATCH(D638,Products!$B$6:$B$105,0)),0))</f>
        <v/>
      </c>
      <c r="O638" s="35" t="n"/>
      <c r="P638" s="22">
        <f>IF(OR(H638="",L638="Cancelled"),"",ROUND(IFERROR(H638*INDEX(Settings!$C$6:$C$15,MATCH(M638,Settings!$B$6:$B$15,0))+INDEX(Settings!$D$6:$D$15,MATCH(M638,Settings!$B$6:$B$15,0)),0),2))</f>
        <v/>
      </c>
      <c r="Q638" s="28">
        <f>IF(OR(H638="",L638="Cancelled"),"",H638-N(N638)-N(O638)-N(P638))</f>
        <v/>
      </c>
      <c r="R638" s="19">
        <f>IF(OR(B638="",K638=""),"",IF(OR(L638="Sent",L638="Picked up"),"Done",IF(L638="Cancelled","Cancelled",IF(K638&lt;TODAY(),"Late by "&amp;(TODAY()-K638)&amp;IF((TODAY()-K638)=1," day"," days"),IF(K638=TODAY(),"Due today","Due in "&amp;(K638-TODAY())&amp;IF((K638-TODAY())=1," day"," days"))))))</f>
        <v/>
      </c>
      <c r="S638" s="33" t="n"/>
      <c r="T638" s="1">
        <f>IF(AND(B638&lt;&gt;"",K638&lt;&gt;"",L638&lt;&gt;"Sent",L638&lt;&gt;"Picked up",L638&lt;&gt;"Cancelled"),K638+ROW()/10000000,"")</f>
        <v/>
      </c>
      <c r="U638">
        <f>IF(OR(B638="",C638=""),"",B638+ROW()/10000000)</f>
        <v/>
      </c>
      <c r="V638">
        <f>IF(U638="","",IF(COUNTIFS(Orders!$C$6:$C$1005,C638,Orders!$U$6:$U$1005,"&gt;"&amp;U638)=0,1,0))</f>
        <v/>
      </c>
      <c r="W638">
        <f>IF(AND(B638&lt;&gt;"",K638&lt;&gt;"",L638&lt;&gt;"Sent",L638&lt;&gt;"Picked up",L638&lt;&gt;"Cancelled"),IF(N(E638)=0,1,E638),0)</f>
        <v/>
      </c>
      <c r="X638">
        <f>IF(OR(B638="",D638=""),"",IF(N(E638)=0,1,E638))</f>
        <v/>
      </c>
    </row>
    <row r="639">
      <c r="A639" s="1" t="n"/>
      <c r="B639" s="31" t="n"/>
      <c r="C639" s="32" t="n"/>
      <c r="D639" s="33" t="n"/>
      <c r="E639" s="34" t="n"/>
      <c r="F639" s="35" t="n"/>
      <c r="G639" s="35" t="n"/>
      <c r="H639" s="30">
        <f>IF(OR(B639="",D639=""),"",IF(N(E639)=0,1,E639)*IFERROR(INDEX(Products!$C$6:$C$105,MATCH(D639,Products!$B$6:$B$105,0)),0)+N(F639)+N(G639))</f>
        <v/>
      </c>
      <c r="I639" s="35" t="n"/>
      <c r="J639" s="30">
        <f>IF(OR(H639="",L639="Cancelled"),"",IF(H639-N(I639)&gt;0.005,H639-N(I639),""))</f>
        <v/>
      </c>
      <c r="K639" s="31" t="n"/>
      <c r="L639" s="36" t="n"/>
      <c r="M639" s="33" t="n"/>
      <c r="N639" s="22">
        <f>IF(OR(H639="",L639="Cancelled"),"",IF(N(E639)=0,1,E639)*IFERROR(INDEX(Products!$E$6:$E$105,MATCH(D639,Products!$B$6:$B$105,0)),0))</f>
        <v/>
      </c>
      <c r="O639" s="35" t="n"/>
      <c r="P639" s="22">
        <f>IF(OR(H639="",L639="Cancelled"),"",ROUND(IFERROR(H639*INDEX(Settings!$C$6:$C$15,MATCH(M639,Settings!$B$6:$B$15,0))+INDEX(Settings!$D$6:$D$15,MATCH(M639,Settings!$B$6:$B$15,0)),0),2))</f>
        <v/>
      </c>
      <c r="Q639" s="28">
        <f>IF(OR(H639="",L639="Cancelled"),"",H639-N(N639)-N(O639)-N(P639))</f>
        <v/>
      </c>
      <c r="R639" s="19">
        <f>IF(OR(B639="",K639=""),"",IF(OR(L639="Sent",L639="Picked up"),"Done",IF(L639="Cancelled","Cancelled",IF(K639&lt;TODAY(),"Late by "&amp;(TODAY()-K639)&amp;IF((TODAY()-K639)=1," day"," days"),IF(K639=TODAY(),"Due today","Due in "&amp;(K639-TODAY())&amp;IF((K639-TODAY())=1," day"," days"))))))</f>
        <v/>
      </c>
      <c r="S639" s="33" t="n"/>
      <c r="T639" s="1">
        <f>IF(AND(B639&lt;&gt;"",K639&lt;&gt;"",L639&lt;&gt;"Sent",L639&lt;&gt;"Picked up",L639&lt;&gt;"Cancelled"),K639+ROW()/10000000,"")</f>
        <v/>
      </c>
      <c r="U639">
        <f>IF(OR(B639="",C639=""),"",B639+ROW()/10000000)</f>
        <v/>
      </c>
      <c r="V639">
        <f>IF(U639="","",IF(COUNTIFS(Orders!$C$6:$C$1005,C639,Orders!$U$6:$U$1005,"&gt;"&amp;U639)=0,1,0))</f>
        <v/>
      </c>
      <c r="W639">
        <f>IF(AND(B639&lt;&gt;"",K639&lt;&gt;"",L639&lt;&gt;"Sent",L639&lt;&gt;"Picked up",L639&lt;&gt;"Cancelled"),IF(N(E639)=0,1,E639),0)</f>
        <v/>
      </c>
      <c r="X639">
        <f>IF(OR(B639="",D639=""),"",IF(N(E639)=0,1,E639))</f>
        <v/>
      </c>
    </row>
    <row r="640">
      <c r="A640" s="1" t="n"/>
      <c r="B640" s="31" t="n"/>
      <c r="C640" s="32" t="n"/>
      <c r="D640" s="33" t="n"/>
      <c r="E640" s="34" t="n"/>
      <c r="F640" s="35" t="n"/>
      <c r="G640" s="35" t="n"/>
      <c r="H640" s="30">
        <f>IF(OR(B640="",D640=""),"",IF(N(E640)=0,1,E640)*IFERROR(INDEX(Products!$C$6:$C$105,MATCH(D640,Products!$B$6:$B$105,0)),0)+N(F640)+N(G640))</f>
        <v/>
      </c>
      <c r="I640" s="35" t="n"/>
      <c r="J640" s="30">
        <f>IF(OR(H640="",L640="Cancelled"),"",IF(H640-N(I640)&gt;0.005,H640-N(I640),""))</f>
        <v/>
      </c>
      <c r="K640" s="31" t="n"/>
      <c r="L640" s="36" t="n"/>
      <c r="M640" s="33" t="n"/>
      <c r="N640" s="22">
        <f>IF(OR(H640="",L640="Cancelled"),"",IF(N(E640)=0,1,E640)*IFERROR(INDEX(Products!$E$6:$E$105,MATCH(D640,Products!$B$6:$B$105,0)),0))</f>
        <v/>
      </c>
      <c r="O640" s="35" t="n"/>
      <c r="P640" s="22">
        <f>IF(OR(H640="",L640="Cancelled"),"",ROUND(IFERROR(H640*INDEX(Settings!$C$6:$C$15,MATCH(M640,Settings!$B$6:$B$15,0))+INDEX(Settings!$D$6:$D$15,MATCH(M640,Settings!$B$6:$B$15,0)),0),2))</f>
        <v/>
      </c>
      <c r="Q640" s="28">
        <f>IF(OR(H640="",L640="Cancelled"),"",H640-N(N640)-N(O640)-N(P640))</f>
        <v/>
      </c>
      <c r="R640" s="19">
        <f>IF(OR(B640="",K640=""),"",IF(OR(L640="Sent",L640="Picked up"),"Done",IF(L640="Cancelled","Cancelled",IF(K640&lt;TODAY(),"Late by "&amp;(TODAY()-K640)&amp;IF((TODAY()-K640)=1," day"," days"),IF(K640=TODAY(),"Due today","Due in "&amp;(K640-TODAY())&amp;IF((K640-TODAY())=1," day"," days"))))))</f>
        <v/>
      </c>
      <c r="S640" s="33" t="n"/>
      <c r="T640" s="1">
        <f>IF(AND(B640&lt;&gt;"",K640&lt;&gt;"",L640&lt;&gt;"Sent",L640&lt;&gt;"Picked up",L640&lt;&gt;"Cancelled"),K640+ROW()/10000000,"")</f>
        <v/>
      </c>
      <c r="U640">
        <f>IF(OR(B640="",C640=""),"",B640+ROW()/10000000)</f>
        <v/>
      </c>
      <c r="V640">
        <f>IF(U640="","",IF(COUNTIFS(Orders!$C$6:$C$1005,C640,Orders!$U$6:$U$1005,"&gt;"&amp;U640)=0,1,0))</f>
        <v/>
      </c>
      <c r="W640">
        <f>IF(AND(B640&lt;&gt;"",K640&lt;&gt;"",L640&lt;&gt;"Sent",L640&lt;&gt;"Picked up",L640&lt;&gt;"Cancelled"),IF(N(E640)=0,1,E640),0)</f>
        <v/>
      </c>
      <c r="X640">
        <f>IF(OR(B640="",D640=""),"",IF(N(E640)=0,1,E640))</f>
        <v/>
      </c>
    </row>
    <row r="641">
      <c r="A641" s="1" t="n"/>
      <c r="B641" s="31" t="n"/>
      <c r="C641" s="32" t="n"/>
      <c r="D641" s="33" t="n"/>
      <c r="E641" s="34" t="n"/>
      <c r="F641" s="35" t="n"/>
      <c r="G641" s="35" t="n"/>
      <c r="H641" s="30">
        <f>IF(OR(B641="",D641=""),"",IF(N(E641)=0,1,E641)*IFERROR(INDEX(Products!$C$6:$C$105,MATCH(D641,Products!$B$6:$B$105,0)),0)+N(F641)+N(G641))</f>
        <v/>
      </c>
      <c r="I641" s="35" t="n"/>
      <c r="J641" s="30">
        <f>IF(OR(H641="",L641="Cancelled"),"",IF(H641-N(I641)&gt;0.005,H641-N(I641),""))</f>
        <v/>
      </c>
      <c r="K641" s="31" t="n"/>
      <c r="L641" s="36" t="n"/>
      <c r="M641" s="33" t="n"/>
      <c r="N641" s="22">
        <f>IF(OR(H641="",L641="Cancelled"),"",IF(N(E641)=0,1,E641)*IFERROR(INDEX(Products!$E$6:$E$105,MATCH(D641,Products!$B$6:$B$105,0)),0))</f>
        <v/>
      </c>
      <c r="O641" s="35" t="n"/>
      <c r="P641" s="22">
        <f>IF(OR(H641="",L641="Cancelled"),"",ROUND(IFERROR(H641*INDEX(Settings!$C$6:$C$15,MATCH(M641,Settings!$B$6:$B$15,0))+INDEX(Settings!$D$6:$D$15,MATCH(M641,Settings!$B$6:$B$15,0)),0),2))</f>
        <v/>
      </c>
      <c r="Q641" s="28">
        <f>IF(OR(H641="",L641="Cancelled"),"",H641-N(N641)-N(O641)-N(P641))</f>
        <v/>
      </c>
      <c r="R641" s="19">
        <f>IF(OR(B641="",K641=""),"",IF(OR(L641="Sent",L641="Picked up"),"Done",IF(L641="Cancelled","Cancelled",IF(K641&lt;TODAY(),"Late by "&amp;(TODAY()-K641)&amp;IF((TODAY()-K641)=1," day"," days"),IF(K641=TODAY(),"Due today","Due in "&amp;(K641-TODAY())&amp;IF((K641-TODAY())=1," day"," days"))))))</f>
        <v/>
      </c>
      <c r="S641" s="33" t="n"/>
      <c r="T641" s="1">
        <f>IF(AND(B641&lt;&gt;"",K641&lt;&gt;"",L641&lt;&gt;"Sent",L641&lt;&gt;"Picked up",L641&lt;&gt;"Cancelled"),K641+ROW()/10000000,"")</f>
        <v/>
      </c>
      <c r="U641">
        <f>IF(OR(B641="",C641=""),"",B641+ROW()/10000000)</f>
        <v/>
      </c>
      <c r="V641">
        <f>IF(U641="","",IF(COUNTIFS(Orders!$C$6:$C$1005,C641,Orders!$U$6:$U$1005,"&gt;"&amp;U641)=0,1,0))</f>
        <v/>
      </c>
      <c r="W641">
        <f>IF(AND(B641&lt;&gt;"",K641&lt;&gt;"",L641&lt;&gt;"Sent",L641&lt;&gt;"Picked up",L641&lt;&gt;"Cancelled"),IF(N(E641)=0,1,E641),0)</f>
        <v/>
      </c>
      <c r="X641">
        <f>IF(OR(B641="",D641=""),"",IF(N(E641)=0,1,E641))</f>
        <v/>
      </c>
    </row>
    <row r="642">
      <c r="A642" s="1" t="n"/>
      <c r="B642" s="31" t="n"/>
      <c r="C642" s="32" t="n"/>
      <c r="D642" s="33" t="n"/>
      <c r="E642" s="34" t="n"/>
      <c r="F642" s="35" t="n"/>
      <c r="G642" s="35" t="n"/>
      <c r="H642" s="30">
        <f>IF(OR(B642="",D642=""),"",IF(N(E642)=0,1,E642)*IFERROR(INDEX(Products!$C$6:$C$105,MATCH(D642,Products!$B$6:$B$105,0)),0)+N(F642)+N(G642))</f>
        <v/>
      </c>
      <c r="I642" s="35" t="n"/>
      <c r="J642" s="30">
        <f>IF(OR(H642="",L642="Cancelled"),"",IF(H642-N(I642)&gt;0.005,H642-N(I642),""))</f>
        <v/>
      </c>
      <c r="K642" s="31" t="n"/>
      <c r="L642" s="36" t="n"/>
      <c r="M642" s="33" t="n"/>
      <c r="N642" s="22">
        <f>IF(OR(H642="",L642="Cancelled"),"",IF(N(E642)=0,1,E642)*IFERROR(INDEX(Products!$E$6:$E$105,MATCH(D642,Products!$B$6:$B$105,0)),0))</f>
        <v/>
      </c>
      <c r="O642" s="35" t="n"/>
      <c r="P642" s="22">
        <f>IF(OR(H642="",L642="Cancelled"),"",ROUND(IFERROR(H642*INDEX(Settings!$C$6:$C$15,MATCH(M642,Settings!$B$6:$B$15,0))+INDEX(Settings!$D$6:$D$15,MATCH(M642,Settings!$B$6:$B$15,0)),0),2))</f>
        <v/>
      </c>
      <c r="Q642" s="28">
        <f>IF(OR(H642="",L642="Cancelled"),"",H642-N(N642)-N(O642)-N(P642))</f>
        <v/>
      </c>
      <c r="R642" s="19">
        <f>IF(OR(B642="",K642=""),"",IF(OR(L642="Sent",L642="Picked up"),"Done",IF(L642="Cancelled","Cancelled",IF(K642&lt;TODAY(),"Late by "&amp;(TODAY()-K642)&amp;IF((TODAY()-K642)=1," day"," days"),IF(K642=TODAY(),"Due today","Due in "&amp;(K642-TODAY())&amp;IF((K642-TODAY())=1," day"," days"))))))</f>
        <v/>
      </c>
      <c r="S642" s="33" t="n"/>
      <c r="T642" s="1">
        <f>IF(AND(B642&lt;&gt;"",K642&lt;&gt;"",L642&lt;&gt;"Sent",L642&lt;&gt;"Picked up",L642&lt;&gt;"Cancelled"),K642+ROW()/10000000,"")</f>
        <v/>
      </c>
      <c r="U642">
        <f>IF(OR(B642="",C642=""),"",B642+ROW()/10000000)</f>
        <v/>
      </c>
      <c r="V642">
        <f>IF(U642="","",IF(COUNTIFS(Orders!$C$6:$C$1005,C642,Orders!$U$6:$U$1005,"&gt;"&amp;U642)=0,1,0))</f>
        <v/>
      </c>
      <c r="W642">
        <f>IF(AND(B642&lt;&gt;"",K642&lt;&gt;"",L642&lt;&gt;"Sent",L642&lt;&gt;"Picked up",L642&lt;&gt;"Cancelled"),IF(N(E642)=0,1,E642),0)</f>
        <v/>
      </c>
      <c r="X642">
        <f>IF(OR(B642="",D642=""),"",IF(N(E642)=0,1,E642))</f>
        <v/>
      </c>
    </row>
    <row r="643">
      <c r="A643" s="1" t="n"/>
      <c r="B643" s="31" t="n"/>
      <c r="C643" s="32" t="n"/>
      <c r="D643" s="33" t="n"/>
      <c r="E643" s="34" t="n"/>
      <c r="F643" s="35" t="n"/>
      <c r="G643" s="35" t="n"/>
      <c r="H643" s="30">
        <f>IF(OR(B643="",D643=""),"",IF(N(E643)=0,1,E643)*IFERROR(INDEX(Products!$C$6:$C$105,MATCH(D643,Products!$B$6:$B$105,0)),0)+N(F643)+N(G643))</f>
        <v/>
      </c>
      <c r="I643" s="35" t="n"/>
      <c r="J643" s="30">
        <f>IF(OR(H643="",L643="Cancelled"),"",IF(H643-N(I643)&gt;0.005,H643-N(I643),""))</f>
        <v/>
      </c>
      <c r="K643" s="31" t="n"/>
      <c r="L643" s="36" t="n"/>
      <c r="M643" s="33" t="n"/>
      <c r="N643" s="22">
        <f>IF(OR(H643="",L643="Cancelled"),"",IF(N(E643)=0,1,E643)*IFERROR(INDEX(Products!$E$6:$E$105,MATCH(D643,Products!$B$6:$B$105,0)),0))</f>
        <v/>
      </c>
      <c r="O643" s="35" t="n"/>
      <c r="P643" s="22">
        <f>IF(OR(H643="",L643="Cancelled"),"",ROUND(IFERROR(H643*INDEX(Settings!$C$6:$C$15,MATCH(M643,Settings!$B$6:$B$15,0))+INDEX(Settings!$D$6:$D$15,MATCH(M643,Settings!$B$6:$B$15,0)),0),2))</f>
        <v/>
      </c>
      <c r="Q643" s="28">
        <f>IF(OR(H643="",L643="Cancelled"),"",H643-N(N643)-N(O643)-N(P643))</f>
        <v/>
      </c>
      <c r="R643" s="19">
        <f>IF(OR(B643="",K643=""),"",IF(OR(L643="Sent",L643="Picked up"),"Done",IF(L643="Cancelled","Cancelled",IF(K643&lt;TODAY(),"Late by "&amp;(TODAY()-K643)&amp;IF((TODAY()-K643)=1," day"," days"),IF(K643=TODAY(),"Due today","Due in "&amp;(K643-TODAY())&amp;IF((K643-TODAY())=1," day"," days"))))))</f>
        <v/>
      </c>
      <c r="S643" s="33" t="n"/>
      <c r="T643" s="1">
        <f>IF(AND(B643&lt;&gt;"",K643&lt;&gt;"",L643&lt;&gt;"Sent",L643&lt;&gt;"Picked up",L643&lt;&gt;"Cancelled"),K643+ROW()/10000000,"")</f>
        <v/>
      </c>
      <c r="U643">
        <f>IF(OR(B643="",C643=""),"",B643+ROW()/10000000)</f>
        <v/>
      </c>
      <c r="V643">
        <f>IF(U643="","",IF(COUNTIFS(Orders!$C$6:$C$1005,C643,Orders!$U$6:$U$1005,"&gt;"&amp;U643)=0,1,0))</f>
        <v/>
      </c>
      <c r="W643">
        <f>IF(AND(B643&lt;&gt;"",K643&lt;&gt;"",L643&lt;&gt;"Sent",L643&lt;&gt;"Picked up",L643&lt;&gt;"Cancelled"),IF(N(E643)=0,1,E643),0)</f>
        <v/>
      </c>
      <c r="X643">
        <f>IF(OR(B643="",D643=""),"",IF(N(E643)=0,1,E643))</f>
        <v/>
      </c>
    </row>
    <row r="644">
      <c r="A644" s="1" t="n"/>
      <c r="B644" s="31" t="n"/>
      <c r="C644" s="32" t="n"/>
      <c r="D644" s="33" t="n"/>
      <c r="E644" s="34" t="n"/>
      <c r="F644" s="35" t="n"/>
      <c r="G644" s="35" t="n"/>
      <c r="H644" s="30">
        <f>IF(OR(B644="",D644=""),"",IF(N(E644)=0,1,E644)*IFERROR(INDEX(Products!$C$6:$C$105,MATCH(D644,Products!$B$6:$B$105,0)),0)+N(F644)+N(G644))</f>
        <v/>
      </c>
      <c r="I644" s="35" t="n"/>
      <c r="J644" s="30">
        <f>IF(OR(H644="",L644="Cancelled"),"",IF(H644-N(I644)&gt;0.005,H644-N(I644),""))</f>
        <v/>
      </c>
      <c r="K644" s="31" t="n"/>
      <c r="L644" s="36" t="n"/>
      <c r="M644" s="33" t="n"/>
      <c r="N644" s="22">
        <f>IF(OR(H644="",L644="Cancelled"),"",IF(N(E644)=0,1,E644)*IFERROR(INDEX(Products!$E$6:$E$105,MATCH(D644,Products!$B$6:$B$105,0)),0))</f>
        <v/>
      </c>
      <c r="O644" s="35" t="n"/>
      <c r="P644" s="22">
        <f>IF(OR(H644="",L644="Cancelled"),"",ROUND(IFERROR(H644*INDEX(Settings!$C$6:$C$15,MATCH(M644,Settings!$B$6:$B$15,0))+INDEX(Settings!$D$6:$D$15,MATCH(M644,Settings!$B$6:$B$15,0)),0),2))</f>
        <v/>
      </c>
      <c r="Q644" s="28">
        <f>IF(OR(H644="",L644="Cancelled"),"",H644-N(N644)-N(O644)-N(P644))</f>
        <v/>
      </c>
      <c r="R644" s="19">
        <f>IF(OR(B644="",K644=""),"",IF(OR(L644="Sent",L644="Picked up"),"Done",IF(L644="Cancelled","Cancelled",IF(K644&lt;TODAY(),"Late by "&amp;(TODAY()-K644)&amp;IF((TODAY()-K644)=1," day"," days"),IF(K644=TODAY(),"Due today","Due in "&amp;(K644-TODAY())&amp;IF((K644-TODAY())=1," day"," days"))))))</f>
        <v/>
      </c>
      <c r="S644" s="33" t="n"/>
      <c r="T644" s="1">
        <f>IF(AND(B644&lt;&gt;"",K644&lt;&gt;"",L644&lt;&gt;"Sent",L644&lt;&gt;"Picked up",L644&lt;&gt;"Cancelled"),K644+ROW()/10000000,"")</f>
        <v/>
      </c>
      <c r="U644">
        <f>IF(OR(B644="",C644=""),"",B644+ROW()/10000000)</f>
        <v/>
      </c>
      <c r="V644">
        <f>IF(U644="","",IF(COUNTIFS(Orders!$C$6:$C$1005,C644,Orders!$U$6:$U$1005,"&gt;"&amp;U644)=0,1,0))</f>
        <v/>
      </c>
      <c r="W644">
        <f>IF(AND(B644&lt;&gt;"",K644&lt;&gt;"",L644&lt;&gt;"Sent",L644&lt;&gt;"Picked up",L644&lt;&gt;"Cancelled"),IF(N(E644)=0,1,E644),0)</f>
        <v/>
      </c>
      <c r="X644">
        <f>IF(OR(B644="",D644=""),"",IF(N(E644)=0,1,E644))</f>
        <v/>
      </c>
    </row>
    <row r="645">
      <c r="A645" s="1" t="n"/>
      <c r="B645" s="31" t="n"/>
      <c r="C645" s="32" t="n"/>
      <c r="D645" s="33" t="n"/>
      <c r="E645" s="34" t="n"/>
      <c r="F645" s="35" t="n"/>
      <c r="G645" s="35" t="n"/>
      <c r="H645" s="30">
        <f>IF(OR(B645="",D645=""),"",IF(N(E645)=0,1,E645)*IFERROR(INDEX(Products!$C$6:$C$105,MATCH(D645,Products!$B$6:$B$105,0)),0)+N(F645)+N(G645))</f>
        <v/>
      </c>
      <c r="I645" s="35" t="n"/>
      <c r="J645" s="30">
        <f>IF(OR(H645="",L645="Cancelled"),"",IF(H645-N(I645)&gt;0.005,H645-N(I645),""))</f>
        <v/>
      </c>
      <c r="K645" s="31" t="n"/>
      <c r="L645" s="36" t="n"/>
      <c r="M645" s="33" t="n"/>
      <c r="N645" s="22">
        <f>IF(OR(H645="",L645="Cancelled"),"",IF(N(E645)=0,1,E645)*IFERROR(INDEX(Products!$E$6:$E$105,MATCH(D645,Products!$B$6:$B$105,0)),0))</f>
        <v/>
      </c>
      <c r="O645" s="35" t="n"/>
      <c r="P645" s="22">
        <f>IF(OR(H645="",L645="Cancelled"),"",ROUND(IFERROR(H645*INDEX(Settings!$C$6:$C$15,MATCH(M645,Settings!$B$6:$B$15,0))+INDEX(Settings!$D$6:$D$15,MATCH(M645,Settings!$B$6:$B$15,0)),0),2))</f>
        <v/>
      </c>
      <c r="Q645" s="28">
        <f>IF(OR(H645="",L645="Cancelled"),"",H645-N(N645)-N(O645)-N(P645))</f>
        <v/>
      </c>
      <c r="R645" s="19">
        <f>IF(OR(B645="",K645=""),"",IF(OR(L645="Sent",L645="Picked up"),"Done",IF(L645="Cancelled","Cancelled",IF(K645&lt;TODAY(),"Late by "&amp;(TODAY()-K645)&amp;IF((TODAY()-K645)=1," day"," days"),IF(K645=TODAY(),"Due today","Due in "&amp;(K645-TODAY())&amp;IF((K645-TODAY())=1," day"," days"))))))</f>
        <v/>
      </c>
      <c r="S645" s="33" t="n"/>
      <c r="T645" s="1">
        <f>IF(AND(B645&lt;&gt;"",K645&lt;&gt;"",L645&lt;&gt;"Sent",L645&lt;&gt;"Picked up",L645&lt;&gt;"Cancelled"),K645+ROW()/10000000,"")</f>
        <v/>
      </c>
      <c r="U645">
        <f>IF(OR(B645="",C645=""),"",B645+ROW()/10000000)</f>
        <v/>
      </c>
      <c r="V645">
        <f>IF(U645="","",IF(COUNTIFS(Orders!$C$6:$C$1005,C645,Orders!$U$6:$U$1005,"&gt;"&amp;U645)=0,1,0))</f>
        <v/>
      </c>
      <c r="W645">
        <f>IF(AND(B645&lt;&gt;"",K645&lt;&gt;"",L645&lt;&gt;"Sent",L645&lt;&gt;"Picked up",L645&lt;&gt;"Cancelled"),IF(N(E645)=0,1,E645),0)</f>
        <v/>
      </c>
      <c r="X645">
        <f>IF(OR(B645="",D645=""),"",IF(N(E645)=0,1,E645))</f>
        <v/>
      </c>
    </row>
    <row r="646">
      <c r="A646" s="1" t="n"/>
      <c r="B646" s="31" t="n"/>
      <c r="C646" s="32" t="n"/>
      <c r="D646" s="33" t="n"/>
      <c r="E646" s="34" t="n"/>
      <c r="F646" s="35" t="n"/>
      <c r="G646" s="35" t="n"/>
      <c r="H646" s="30">
        <f>IF(OR(B646="",D646=""),"",IF(N(E646)=0,1,E646)*IFERROR(INDEX(Products!$C$6:$C$105,MATCH(D646,Products!$B$6:$B$105,0)),0)+N(F646)+N(G646))</f>
        <v/>
      </c>
      <c r="I646" s="35" t="n"/>
      <c r="J646" s="30">
        <f>IF(OR(H646="",L646="Cancelled"),"",IF(H646-N(I646)&gt;0.005,H646-N(I646),""))</f>
        <v/>
      </c>
      <c r="K646" s="31" t="n"/>
      <c r="L646" s="36" t="n"/>
      <c r="M646" s="33" t="n"/>
      <c r="N646" s="22">
        <f>IF(OR(H646="",L646="Cancelled"),"",IF(N(E646)=0,1,E646)*IFERROR(INDEX(Products!$E$6:$E$105,MATCH(D646,Products!$B$6:$B$105,0)),0))</f>
        <v/>
      </c>
      <c r="O646" s="35" t="n"/>
      <c r="P646" s="22">
        <f>IF(OR(H646="",L646="Cancelled"),"",ROUND(IFERROR(H646*INDEX(Settings!$C$6:$C$15,MATCH(M646,Settings!$B$6:$B$15,0))+INDEX(Settings!$D$6:$D$15,MATCH(M646,Settings!$B$6:$B$15,0)),0),2))</f>
        <v/>
      </c>
      <c r="Q646" s="28">
        <f>IF(OR(H646="",L646="Cancelled"),"",H646-N(N646)-N(O646)-N(P646))</f>
        <v/>
      </c>
      <c r="R646" s="19">
        <f>IF(OR(B646="",K646=""),"",IF(OR(L646="Sent",L646="Picked up"),"Done",IF(L646="Cancelled","Cancelled",IF(K646&lt;TODAY(),"Late by "&amp;(TODAY()-K646)&amp;IF((TODAY()-K646)=1," day"," days"),IF(K646=TODAY(),"Due today","Due in "&amp;(K646-TODAY())&amp;IF((K646-TODAY())=1," day"," days"))))))</f>
        <v/>
      </c>
      <c r="S646" s="33" t="n"/>
      <c r="T646" s="1">
        <f>IF(AND(B646&lt;&gt;"",K646&lt;&gt;"",L646&lt;&gt;"Sent",L646&lt;&gt;"Picked up",L646&lt;&gt;"Cancelled"),K646+ROW()/10000000,"")</f>
        <v/>
      </c>
      <c r="U646">
        <f>IF(OR(B646="",C646=""),"",B646+ROW()/10000000)</f>
        <v/>
      </c>
      <c r="V646">
        <f>IF(U646="","",IF(COUNTIFS(Orders!$C$6:$C$1005,C646,Orders!$U$6:$U$1005,"&gt;"&amp;U646)=0,1,0))</f>
        <v/>
      </c>
      <c r="W646">
        <f>IF(AND(B646&lt;&gt;"",K646&lt;&gt;"",L646&lt;&gt;"Sent",L646&lt;&gt;"Picked up",L646&lt;&gt;"Cancelled"),IF(N(E646)=0,1,E646),0)</f>
        <v/>
      </c>
      <c r="X646">
        <f>IF(OR(B646="",D646=""),"",IF(N(E646)=0,1,E646))</f>
        <v/>
      </c>
    </row>
    <row r="647">
      <c r="A647" s="1" t="n"/>
      <c r="B647" s="31" t="n"/>
      <c r="C647" s="32" t="n"/>
      <c r="D647" s="33" t="n"/>
      <c r="E647" s="34" t="n"/>
      <c r="F647" s="35" t="n"/>
      <c r="G647" s="35" t="n"/>
      <c r="H647" s="30">
        <f>IF(OR(B647="",D647=""),"",IF(N(E647)=0,1,E647)*IFERROR(INDEX(Products!$C$6:$C$105,MATCH(D647,Products!$B$6:$B$105,0)),0)+N(F647)+N(G647))</f>
        <v/>
      </c>
      <c r="I647" s="35" t="n"/>
      <c r="J647" s="30">
        <f>IF(OR(H647="",L647="Cancelled"),"",IF(H647-N(I647)&gt;0.005,H647-N(I647),""))</f>
        <v/>
      </c>
      <c r="K647" s="31" t="n"/>
      <c r="L647" s="36" t="n"/>
      <c r="M647" s="33" t="n"/>
      <c r="N647" s="22">
        <f>IF(OR(H647="",L647="Cancelled"),"",IF(N(E647)=0,1,E647)*IFERROR(INDEX(Products!$E$6:$E$105,MATCH(D647,Products!$B$6:$B$105,0)),0))</f>
        <v/>
      </c>
      <c r="O647" s="35" t="n"/>
      <c r="P647" s="22">
        <f>IF(OR(H647="",L647="Cancelled"),"",ROUND(IFERROR(H647*INDEX(Settings!$C$6:$C$15,MATCH(M647,Settings!$B$6:$B$15,0))+INDEX(Settings!$D$6:$D$15,MATCH(M647,Settings!$B$6:$B$15,0)),0),2))</f>
        <v/>
      </c>
      <c r="Q647" s="28">
        <f>IF(OR(H647="",L647="Cancelled"),"",H647-N(N647)-N(O647)-N(P647))</f>
        <v/>
      </c>
      <c r="R647" s="19">
        <f>IF(OR(B647="",K647=""),"",IF(OR(L647="Sent",L647="Picked up"),"Done",IF(L647="Cancelled","Cancelled",IF(K647&lt;TODAY(),"Late by "&amp;(TODAY()-K647)&amp;IF((TODAY()-K647)=1," day"," days"),IF(K647=TODAY(),"Due today","Due in "&amp;(K647-TODAY())&amp;IF((K647-TODAY())=1," day"," days"))))))</f>
        <v/>
      </c>
      <c r="S647" s="33" t="n"/>
      <c r="T647" s="1">
        <f>IF(AND(B647&lt;&gt;"",K647&lt;&gt;"",L647&lt;&gt;"Sent",L647&lt;&gt;"Picked up",L647&lt;&gt;"Cancelled"),K647+ROW()/10000000,"")</f>
        <v/>
      </c>
      <c r="U647">
        <f>IF(OR(B647="",C647=""),"",B647+ROW()/10000000)</f>
        <v/>
      </c>
      <c r="V647">
        <f>IF(U647="","",IF(COUNTIFS(Orders!$C$6:$C$1005,C647,Orders!$U$6:$U$1005,"&gt;"&amp;U647)=0,1,0))</f>
        <v/>
      </c>
      <c r="W647">
        <f>IF(AND(B647&lt;&gt;"",K647&lt;&gt;"",L647&lt;&gt;"Sent",L647&lt;&gt;"Picked up",L647&lt;&gt;"Cancelled"),IF(N(E647)=0,1,E647),0)</f>
        <v/>
      </c>
      <c r="X647">
        <f>IF(OR(B647="",D647=""),"",IF(N(E647)=0,1,E647))</f>
        <v/>
      </c>
    </row>
    <row r="648">
      <c r="A648" s="1" t="n"/>
      <c r="B648" s="31" t="n"/>
      <c r="C648" s="32" t="n"/>
      <c r="D648" s="33" t="n"/>
      <c r="E648" s="34" t="n"/>
      <c r="F648" s="35" t="n"/>
      <c r="G648" s="35" t="n"/>
      <c r="H648" s="30">
        <f>IF(OR(B648="",D648=""),"",IF(N(E648)=0,1,E648)*IFERROR(INDEX(Products!$C$6:$C$105,MATCH(D648,Products!$B$6:$B$105,0)),0)+N(F648)+N(G648))</f>
        <v/>
      </c>
      <c r="I648" s="35" t="n"/>
      <c r="J648" s="30">
        <f>IF(OR(H648="",L648="Cancelled"),"",IF(H648-N(I648)&gt;0.005,H648-N(I648),""))</f>
        <v/>
      </c>
      <c r="K648" s="31" t="n"/>
      <c r="L648" s="36" t="n"/>
      <c r="M648" s="33" t="n"/>
      <c r="N648" s="22">
        <f>IF(OR(H648="",L648="Cancelled"),"",IF(N(E648)=0,1,E648)*IFERROR(INDEX(Products!$E$6:$E$105,MATCH(D648,Products!$B$6:$B$105,0)),0))</f>
        <v/>
      </c>
      <c r="O648" s="35" t="n"/>
      <c r="P648" s="22">
        <f>IF(OR(H648="",L648="Cancelled"),"",ROUND(IFERROR(H648*INDEX(Settings!$C$6:$C$15,MATCH(M648,Settings!$B$6:$B$15,0))+INDEX(Settings!$D$6:$D$15,MATCH(M648,Settings!$B$6:$B$15,0)),0),2))</f>
        <v/>
      </c>
      <c r="Q648" s="28">
        <f>IF(OR(H648="",L648="Cancelled"),"",H648-N(N648)-N(O648)-N(P648))</f>
        <v/>
      </c>
      <c r="R648" s="19">
        <f>IF(OR(B648="",K648=""),"",IF(OR(L648="Sent",L648="Picked up"),"Done",IF(L648="Cancelled","Cancelled",IF(K648&lt;TODAY(),"Late by "&amp;(TODAY()-K648)&amp;IF((TODAY()-K648)=1," day"," days"),IF(K648=TODAY(),"Due today","Due in "&amp;(K648-TODAY())&amp;IF((K648-TODAY())=1," day"," days"))))))</f>
        <v/>
      </c>
      <c r="S648" s="33" t="n"/>
      <c r="T648" s="1">
        <f>IF(AND(B648&lt;&gt;"",K648&lt;&gt;"",L648&lt;&gt;"Sent",L648&lt;&gt;"Picked up",L648&lt;&gt;"Cancelled"),K648+ROW()/10000000,"")</f>
        <v/>
      </c>
      <c r="U648">
        <f>IF(OR(B648="",C648=""),"",B648+ROW()/10000000)</f>
        <v/>
      </c>
      <c r="V648">
        <f>IF(U648="","",IF(COUNTIFS(Orders!$C$6:$C$1005,C648,Orders!$U$6:$U$1005,"&gt;"&amp;U648)=0,1,0))</f>
        <v/>
      </c>
      <c r="W648">
        <f>IF(AND(B648&lt;&gt;"",K648&lt;&gt;"",L648&lt;&gt;"Sent",L648&lt;&gt;"Picked up",L648&lt;&gt;"Cancelled"),IF(N(E648)=0,1,E648),0)</f>
        <v/>
      </c>
      <c r="X648">
        <f>IF(OR(B648="",D648=""),"",IF(N(E648)=0,1,E648))</f>
        <v/>
      </c>
    </row>
    <row r="649">
      <c r="A649" s="1" t="n"/>
      <c r="B649" s="31" t="n"/>
      <c r="C649" s="32" t="n"/>
      <c r="D649" s="33" t="n"/>
      <c r="E649" s="34" t="n"/>
      <c r="F649" s="35" t="n"/>
      <c r="G649" s="35" t="n"/>
      <c r="H649" s="30">
        <f>IF(OR(B649="",D649=""),"",IF(N(E649)=0,1,E649)*IFERROR(INDEX(Products!$C$6:$C$105,MATCH(D649,Products!$B$6:$B$105,0)),0)+N(F649)+N(G649))</f>
        <v/>
      </c>
      <c r="I649" s="35" t="n"/>
      <c r="J649" s="30">
        <f>IF(OR(H649="",L649="Cancelled"),"",IF(H649-N(I649)&gt;0.005,H649-N(I649),""))</f>
        <v/>
      </c>
      <c r="K649" s="31" t="n"/>
      <c r="L649" s="36" t="n"/>
      <c r="M649" s="33" t="n"/>
      <c r="N649" s="22">
        <f>IF(OR(H649="",L649="Cancelled"),"",IF(N(E649)=0,1,E649)*IFERROR(INDEX(Products!$E$6:$E$105,MATCH(D649,Products!$B$6:$B$105,0)),0))</f>
        <v/>
      </c>
      <c r="O649" s="35" t="n"/>
      <c r="P649" s="22">
        <f>IF(OR(H649="",L649="Cancelled"),"",ROUND(IFERROR(H649*INDEX(Settings!$C$6:$C$15,MATCH(M649,Settings!$B$6:$B$15,0))+INDEX(Settings!$D$6:$D$15,MATCH(M649,Settings!$B$6:$B$15,0)),0),2))</f>
        <v/>
      </c>
      <c r="Q649" s="28">
        <f>IF(OR(H649="",L649="Cancelled"),"",H649-N(N649)-N(O649)-N(P649))</f>
        <v/>
      </c>
      <c r="R649" s="19">
        <f>IF(OR(B649="",K649=""),"",IF(OR(L649="Sent",L649="Picked up"),"Done",IF(L649="Cancelled","Cancelled",IF(K649&lt;TODAY(),"Late by "&amp;(TODAY()-K649)&amp;IF((TODAY()-K649)=1," day"," days"),IF(K649=TODAY(),"Due today","Due in "&amp;(K649-TODAY())&amp;IF((K649-TODAY())=1," day"," days"))))))</f>
        <v/>
      </c>
      <c r="S649" s="33" t="n"/>
      <c r="T649" s="1">
        <f>IF(AND(B649&lt;&gt;"",K649&lt;&gt;"",L649&lt;&gt;"Sent",L649&lt;&gt;"Picked up",L649&lt;&gt;"Cancelled"),K649+ROW()/10000000,"")</f>
        <v/>
      </c>
      <c r="U649">
        <f>IF(OR(B649="",C649=""),"",B649+ROW()/10000000)</f>
        <v/>
      </c>
      <c r="V649">
        <f>IF(U649="","",IF(COUNTIFS(Orders!$C$6:$C$1005,C649,Orders!$U$6:$U$1005,"&gt;"&amp;U649)=0,1,0))</f>
        <v/>
      </c>
      <c r="W649">
        <f>IF(AND(B649&lt;&gt;"",K649&lt;&gt;"",L649&lt;&gt;"Sent",L649&lt;&gt;"Picked up",L649&lt;&gt;"Cancelled"),IF(N(E649)=0,1,E649),0)</f>
        <v/>
      </c>
      <c r="X649">
        <f>IF(OR(B649="",D649=""),"",IF(N(E649)=0,1,E649))</f>
        <v/>
      </c>
    </row>
    <row r="650">
      <c r="A650" s="1" t="n"/>
      <c r="B650" s="31" t="n"/>
      <c r="C650" s="32" t="n"/>
      <c r="D650" s="33" t="n"/>
      <c r="E650" s="34" t="n"/>
      <c r="F650" s="35" t="n"/>
      <c r="G650" s="35" t="n"/>
      <c r="H650" s="30">
        <f>IF(OR(B650="",D650=""),"",IF(N(E650)=0,1,E650)*IFERROR(INDEX(Products!$C$6:$C$105,MATCH(D650,Products!$B$6:$B$105,0)),0)+N(F650)+N(G650))</f>
        <v/>
      </c>
      <c r="I650" s="35" t="n"/>
      <c r="J650" s="30">
        <f>IF(OR(H650="",L650="Cancelled"),"",IF(H650-N(I650)&gt;0.005,H650-N(I650),""))</f>
        <v/>
      </c>
      <c r="K650" s="31" t="n"/>
      <c r="L650" s="36" t="n"/>
      <c r="M650" s="33" t="n"/>
      <c r="N650" s="22">
        <f>IF(OR(H650="",L650="Cancelled"),"",IF(N(E650)=0,1,E650)*IFERROR(INDEX(Products!$E$6:$E$105,MATCH(D650,Products!$B$6:$B$105,0)),0))</f>
        <v/>
      </c>
      <c r="O650" s="35" t="n"/>
      <c r="P650" s="22">
        <f>IF(OR(H650="",L650="Cancelled"),"",ROUND(IFERROR(H650*INDEX(Settings!$C$6:$C$15,MATCH(M650,Settings!$B$6:$B$15,0))+INDEX(Settings!$D$6:$D$15,MATCH(M650,Settings!$B$6:$B$15,0)),0),2))</f>
        <v/>
      </c>
      <c r="Q650" s="28">
        <f>IF(OR(H650="",L650="Cancelled"),"",H650-N(N650)-N(O650)-N(P650))</f>
        <v/>
      </c>
      <c r="R650" s="19">
        <f>IF(OR(B650="",K650=""),"",IF(OR(L650="Sent",L650="Picked up"),"Done",IF(L650="Cancelled","Cancelled",IF(K650&lt;TODAY(),"Late by "&amp;(TODAY()-K650)&amp;IF((TODAY()-K650)=1," day"," days"),IF(K650=TODAY(),"Due today","Due in "&amp;(K650-TODAY())&amp;IF((K650-TODAY())=1," day"," days"))))))</f>
        <v/>
      </c>
      <c r="S650" s="33" t="n"/>
      <c r="T650" s="1">
        <f>IF(AND(B650&lt;&gt;"",K650&lt;&gt;"",L650&lt;&gt;"Sent",L650&lt;&gt;"Picked up",L650&lt;&gt;"Cancelled"),K650+ROW()/10000000,"")</f>
        <v/>
      </c>
      <c r="U650">
        <f>IF(OR(B650="",C650=""),"",B650+ROW()/10000000)</f>
        <v/>
      </c>
      <c r="V650">
        <f>IF(U650="","",IF(COUNTIFS(Orders!$C$6:$C$1005,C650,Orders!$U$6:$U$1005,"&gt;"&amp;U650)=0,1,0))</f>
        <v/>
      </c>
      <c r="W650">
        <f>IF(AND(B650&lt;&gt;"",K650&lt;&gt;"",L650&lt;&gt;"Sent",L650&lt;&gt;"Picked up",L650&lt;&gt;"Cancelled"),IF(N(E650)=0,1,E650),0)</f>
        <v/>
      </c>
      <c r="X650">
        <f>IF(OR(B650="",D650=""),"",IF(N(E650)=0,1,E650))</f>
        <v/>
      </c>
    </row>
    <row r="651">
      <c r="A651" s="1" t="n"/>
      <c r="B651" s="31" t="n"/>
      <c r="C651" s="32" t="n"/>
      <c r="D651" s="33" t="n"/>
      <c r="E651" s="34" t="n"/>
      <c r="F651" s="35" t="n"/>
      <c r="G651" s="35" t="n"/>
      <c r="H651" s="30">
        <f>IF(OR(B651="",D651=""),"",IF(N(E651)=0,1,E651)*IFERROR(INDEX(Products!$C$6:$C$105,MATCH(D651,Products!$B$6:$B$105,0)),0)+N(F651)+N(G651))</f>
        <v/>
      </c>
      <c r="I651" s="35" t="n"/>
      <c r="J651" s="30">
        <f>IF(OR(H651="",L651="Cancelled"),"",IF(H651-N(I651)&gt;0.005,H651-N(I651),""))</f>
        <v/>
      </c>
      <c r="K651" s="31" t="n"/>
      <c r="L651" s="36" t="n"/>
      <c r="M651" s="33" t="n"/>
      <c r="N651" s="22">
        <f>IF(OR(H651="",L651="Cancelled"),"",IF(N(E651)=0,1,E651)*IFERROR(INDEX(Products!$E$6:$E$105,MATCH(D651,Products!$B$6:$B$105,0)),0))</f>
        <v/>
      </c>
      <c r="O651" s="35" t="n"/>
      <c r="P651" s="22">
        <f>IF(OR(H651="",L651="Cancelled"),"",ROUND(IFERROR(H651*INDEX(Settings!$C$6:$C$15,MATCH(M651,Settings!$B$6:$B$15,0))+INDEX(Settings!$D$6:$D$15,MATCH(M651,Settings!$B$6:$B$15,0)),0),2))</f>
        <v/>
      </c>
      <c r="Q651" s="28">
        <f>IF(OR(H651="",L651="Cancelled"),"",H651-N(N651)-N(O651)-N(P651))</f>
        <v/>
      </c>
      <c r="R651" s="19">
        <f>IF(OR(B651="",K651=""),"",IF(OR(L651="Sent",L651="Picked up"),"Done",IF(L651="Cancelled","Cancelled",IF(K651&lt;TODAY(),"Late by "&amp;(TODAY()-K651)&amp;IF((TODAY()-K651)=1," day"," days"),IF(K651=TODAY(),"Due today","Due in "&amp;(K651-TODAY())&amp;IF((K651-TODAY())=1," day"," days"))))))</f>
        <v/>
      </c>
      <c r="S651" s="33" t="n"/>
      <c r="T651" s="1">
        <f>IF(AND(B651&lt;&gt;"",K651&lt;&gt;"",L651&lt;&gt;"Sent",L651&lt;&gt;"Picked up",L651&lt;&gt;"Cancelled"),K651+ROW()/10000000,"")</f>
        <v/>
      </c>
      <c r="U651">
        <f>IF(OR(B651="",C651=""),"",B651+ROW()/10000000)</f>
        <v/>
      </c>
      <c r="V651">
        <f>IF(U651="","",IF(COUNTIFS(Orders!$C$6:$C$1005,C651,Orders!$U$6:$U$1005,"&gt;"&amp;U651)=0,1,0))</f>
        <v/>
      </c>
      <c r="W651">
        <f>IF(AND(B651&lt;&gt;"",K651&lt;&gt;"",L651&lt;&gt;"Sent",L651&lt;&gt;"Picked up",L651&lt;&gt;"Cancelled"),IF(N(E651)=0,1,E651),0)</f>
        <v/>
      </c>
      <c r="X651">
        <f>IF(OR(B651="",D651=""),"",IF(N(E651)=0,1,E651))</f>
        <v/>
      </c>
    </row>
    <row r="652">
      <c r="A652" s="1" t="n"/>
      <c r="B652" s="31" t="n"/>
      <c r="C652" s="32" t="n"/>
      <c r="D652" s="33" t="n"/>
      <c r="E652" s="34" t="n"/>
      <c r="F652" s="35" t="n"/>
      <c r="G652" s="35" t="n"/>
      <c r="H652" s="30">
        <f>IF(OR(B652="",D652=""),"",IF(N(E652)=0,1,E652)*IFERROR(INDEX(Products!$C$6:$C$105,MATCH(D652,Products!$B$6:$B$105,0)),0)+N(F652)+N(G652))</f>
        <v/>
      </c>
      <c r="I652" s="35" t="n"/>
      <c r="J652" s="30">
        <f>IF(OR(H652="",L652="Cancelled"),"",IF(H652-N(I652)&gt;0.005,H652-N(I652),""))</f>
        <v/>
      </c>
      <c r="K652" s="31" t="n"/>
      <c r="L652" s="36" t="n"/>
      <c r="M652" s="33" t="n"/>
      <c r="N652" s="22">
        <f>IF(OR(H652="",L652="Cancelled"),"",IF(N(E652)=0,1,E652)*IFERROR(INDEX(Products!$E$6:$E$105,MATCH(D652,Products!$B$6:$B$105,0)),0))</f>
        <v/>
      </c>
      <c r="O652" s="35" t="n"/>
      <c r="P652" s="22">
        <f>IF(OR(H652="",L652="Cancelled"),"",ROUND(IFERROR(H652*INDEX(Settings!$C$6:$C$15,MATCH(M652,Settings!$B$6:$B$15,0))+INDEX(Settings!$D$6:$D$15,MATCH(M652,Settings!$B$6:$B$15,0)),0),2))</f>
        <v/>
      </c>
      <c r="Q652" s="28">
        <f>IF(OR(H652="",L652="Cancelled"),"",H652-N(N652)-N(O652)-N(P652))</f>
        <v/>
      </c>
      <c r="R652" s="19">
        <f>IF(OR(B652="",K652=""),"",IF(OR(L652="Sent",L652="Picked up"),"Done",IF(L652="Cancelled","Cancelled",IF(K652&lt;TODAY(),"Late by "&amp;(TODAY()-K652)&amp;IF((TODAY()-K652)=1," day"," days"),IF(K652=TODAY(),"Due today","Due in "&amp;(K652-TODAY())&amp;IF((K652-TODAY())=1," day"," days"))))))</f>
        <v/>
      </c>
      <c r="S652" s="33" t="n"/>
      <c r="T652" s="1">
        <f>IF(AND(B652&lt;&gt;"",K652&lt;&gt;"",L652&lt;&gt;"Sent",L652&lt;&gt;"Picked up",L652&lt;&gt;"Cancelled"),K652+ROW()/10000000,"")</f>
        <v/>
      </c>
      <c r="U652">
        <f>IF(OR(B652="",C652=""),"",B652+ROW()/10000000)</f>
        <v/>
      </c>
      <c r="V652">
        <f>IF(U652="","",IF(COUNTIFS(Orders!$C$6:$C$1005,C652,Orders!$U$6:$U$1005,"&gt;"&amp;U652)=0,1,0))</f>
        <v/>
      </c>
      <c r="W652">
        <f>IF(AND(B652&lt;&gt;"",K652&lt;&gt;"",L652&lt;&gt;"Sent",L652&lt;&gt;"Picked up",L652&lt;&gt;"Cancelled"),IF(N(E652)=0,1,E652),0)</f>
        <v/>
      </c>
      <c r="X652">
        <f>IF(OR(B652="",D652=""),"",IF(N(E652)=0,1,E652))</f>
        <v/>
      </c>
    </row>
    <row r="653">
      <c r="A653" s="1" t="n"/>
      <c r="B653" s="31" t="n"/>
      <c r="C653" s="32" t="n"/>
      <c r="D653" s="33" t="n"/>
      <c r="E653" s="34" t="n"/>
      <c r="F653" s="35" t="n"/>
      <c r="G653" s="35" t="n"/>
      <c r="H653" s="30">
        <f>IF(OR(B653="",D653=""),"",IF(N(E653)=0,1,E653)*IFERROR(INDEX(Products!$C$6:$C$105,MATCH(D653,Products!$B$6:$B$105,0)),0)+N(F653)+N(G653))</f>
        <v/>
      </c>
      <c r="I653" s="35" t="n"/>
      <c r="J653" s="30">
        <f>IF(OR(H653="",L653="Cancelled"),"",IF(H653-N(I653)&gt;0.005,H653-N(I653),""))</f>
        <v/>
      </c>
      <c r="K653" s="31" t="n"/>
      <c r="L653" s="36" t="n"/>
      <c r="M653" s="33" t="n"/>
      <c r="N653" s="22">
        <f>IF(OR(H653="",L653="Cancelled"),"",IF(N(E653)=0,1,E653)*IFERROR(INDEX(Products!$E$6:$E$105,MATCH(D653,Products!$B$6:$B$105,0)),0))</f>
        <v/>
      </c>
      <c r="O653" s="35" t="n"/>
      <c r="P653" s="22">
        <f>IF(OR(H653="",L653="Cancelled"),"",ROUND(IFERROR(H653*INDEX(Settings!$C$6:$C$15,MATCH(M653,Settings!$B$6:$B$15,0))+INDEX(Settings!$D$6:$D$15,MATCH(M653,Settings!$B$6:$B$15,0)),0),2))</f>
        <v/>
      </c>
      <c r="Q653" s="28">
        <f>IF(OR(H653="",L653="Cancelled"),"",H653-N(N653)-N(O653)-N(P653))</f>
        <v/>
      </c>
      <c r="R653" s="19">
        <f>IF(OR(B653="",K653=""),"",IF(OR(L653="Sent",L653="Picked up"),"Done",IF(L653="Cancelled","Cancelled",IF(K653&lt;TODAY(),"Late by "&amp;(TODAY()-K653)&amp;IF((TODAY()-K653)=1," day"," days"),IF(K653=TODAY(),"Due today","Due in "&amp;(K653-TODAY())&amp;IF((K653-TODAY())=1," day"," days"))))))</f>
        <v/>
      </c>
      <c r="S653" s="33" t="n"/>
      <c r="T653" s="1">
        <f>IF(AND(B653&lt;&gt;"",K653&lt;&gt;"",L653&lt;&gt;"Sent",L653&lt;&gt;"Picked up",L653&lt;&gt;"Cancelled"),K653+ROW()/10000000,"")</f>
        <v/>
      </c>
      <c r="U653">
        <f>IF(OR(B653="",C653=""),"",B653+ROW()/10000000)</f>
        <v/>
      </c>
      <c r="V653">
        <f>IF(U653="","",IF(COUNTIFS(Orders!$C$6:$C$1005,C653,Orders!$U$6:$U$1005,"&gt;"&amp;U653)=0,1,0))</f>
        <v/>
      </c>
      <c r="W653">
        <f>IF(AND(B653&lt;&gt;"",K653&lt;&gt;"",L653&lt;&gt;"Sent",L653&lt;&gt;"Picked up",L653&lt;&gt;"Cancelled"),IF(N(E653)=0,1,E653),0)</f>
        <v/>
      </c>
      <c r="X653">
        <f>IF(OR(B653="",D653=""),"",IF(N(E653)=0,1,E653))</f>
        <v/>
      </c>
    </row>
    <row r="654">
      <c r="A654" s="1" t="n"/>
      <c r="B654" s="31" t="n"/>
      <c r="C654" s="32" t="n"/>
      <c r="D654" s="33" t="n"/>
      <c r="E654" s="34" t="n"/>
      <c r="F654" s="35" t="n"/>
      <c r="G654" s="35" t="n"/>
      <c r="H654" s="30">
        <f>IF(OR(B654="",D654=""),"",IF(N(E654)=0,1,E654)*IFERROR(INDEX(Products!$C$6:$C$105,MATCH(D654,Products!$B$6:$B$105,0)),0)+N(F654)+N(G654))</f>
        <v/>
      </c>
      <c r="I654" s="35" t="n"/>
      <c r="J654" s="30">
        <f>IF(OR(H654="",L654="Cancelled"),"",IF(H654-N(I654)&gt;0.005,H654-N(I654),""))</f>
        <v/>
      </c>
      <c r="K654" s="31" t="n"/>
      <c r="L654" s="36" t="n"/>
      <c r="M654" s="33" t="n"/>
      <c r="N654" s="22">
        <f>IF(OR(H654="",L654="Cancelled"),"",IF(N(E654)=0,1,E654)*IFERROR(INDEX(Products!$E$6:$E$105,MATCH(D654,Products!$B$6:$B$105,0)),0))</f>
        <v/>
      </c>
      <c r="O654" s="35" t="n"/>
      <c r="P654" s="22">
        <f>IF(OR(H654="",L654="Cancelled"),"",ROUND(IFERROR(H654*INDEX(Settings!$C$6:$C$15,MATCH(M654,Settings!$B$6:$B$15,0))+INDEX(Settings!$D$6:$D$15,MATCH(M654,Settings!$B$6:$B$15,0)),0),2))</f>
        <v/>
      </c>
      <c r="Q654" s="28">
        <f>IF(OR(H654="",L654="Cancelled"),"",H654-N(N654)-N(O654)-N(P654))</f>
        <v/>
      </c>
      <c r="R654" s="19">
        <f>IF(OR(B654="",K654=""),"",IF(OR(L654="Sent",L654="Picked up"),"Done",IF(L654="Cancelled","Cancelled",IF(K654&lt;TODAY(),"Late by "&amp;(TODAY()-K654)&amp;IF((TODAY()-K654)=1," day"," days"),IF(K654=TODAY(),"Due today","Due in "&amp;(K654-TODAY())&amp;IF((K654-TODAY())=1," day"," days"))))))</f>
        <v/>
      </c>
      <c r="S654" s="33" t="n"/>
      <c r="T654" s="1">
        <f>IF(AND(B654&lt;&gt;"",K654&lt;&gt;"",L654&lt;&gt;"Sent",L654&lt;&gt;"Picked up",L654&lt;&gt;"Cancelled"),K654+ROW()/10000000,"")</f>
        <v/>
      </c>
      <c r="U654">
        <f>IF(OR(B654="",C654=""),"",B654+ROW()/10000000)</f>
        <v/>
      </c>
      <c r="V654">
        <f>IF(U654="","",IF(COUNTIFS(Orders!$C$6:$C$1005,C654,Orders!$U$6:$U$1005,"&gt;"&amp;U654)=0,1,0))</f>
        <v/>
      </c>
      <c r="W654">
        <f>IF(AND(B654&lt;&gt;"",K654&lt;&gt;"",L654&lt;&gt;"Sent",L654&lt;&gt;"Picked up",L654&lt;&gt;"Cancelled"),IF(N(E654)=0,1,E654),0)</f>
        <v/>
      </c>
      <c r="X654">
        <f>IF(OR(B654="",D654=""),"",IF(N(E654)=0,1,E654))</f>
        <v/>
      </c>
    </row>
    <row r="655">
      <c r="A655" s="1" t="n"/>
      <c r="B655" s="31" t="n"/>
      <c r="C655" s="32" t="n"/>
      <c r="D655" s="33" t="n"/>
      <c r="E655" s="34" t="n"/>
      <c r="F655" s="35" t="n"/>
      <c r="G655" s="35" t="n"/>
      <c r="H655" s="30">
        <f>IF(OR(B655="",D655=""),"",IF(N(E655)=0,1,E655)*IFERROR(INDEX(Products!$C$6:$C$105,MATCH(D655,Products!$B$6:$B$105,0)),0)+N(F655)+N(G655))</f>
        <v/>
      </c>
      <c r="I655" s="35" t="n"/>
      <c r="J655" s="30">
        <f>IF(OR(H655="",L655="Cancelled"),"",IF(H655-N(I655)&gt;0.005,H655-N(I655),""))</f>
        <v/>
      </c>
      <c r="K655" s="31" t="n"/>
      <c r="L655" s="36" t="n"/>
      <c r="M655" s="33" t="n"/>
      <c r="N655" s="22">
        <f>IF(OR(H655="",L655="Cancelled"),"",IF(N(E655)=0,1,E655)*IFERROR(INDEX(Products!$E$6:$E$105,MATCH(D655,Products!$B$6:$B$105,0)),0))</f>
        <v/>
      </c>
      <c r="O655" s="35" t="n"/>
      <c r="P655" s="22">
        <f>IF(OR(H655="",L655="Cancelled"),"",ROUND(IFERROR(H655*INDEX(Settings!$C$6:$C$15,MATCH(M655,Settings!$B$6:$B$15,0))+INDEX(Settings!$D$6:$D$15,MATCH(M655,Settings!$B$6:$B$15,0)),0),2))</f>
        <v/>
      </c>
      <c r="Q655" s="28">
        <f>IF(OR(H655="",L655="Cancelled"),"",H655-N(N655)-N(O655)-N(P655))</f>
        <v/>
      </c>
      <c r="R655" s="19">
        <f>IF(OR(B655="",K655=""),"",IF(OR(L655="Sent",L655="Picked up"),"Done",IF(L655="Cancelled","Cancelled",IF(K655&lt;TODAY(),"Late by "&amp;(TODAY()-K655)&amp;IF((TODAY()-K655)=1," day"," days"),IF(K655=TODAY(),"Due today","Due in "&amp;(K655-TODAY())&amp;IF((K655-TODAY())=1," day"," days"))))))</f>
        <v/>
      </c>
      <c r="S655" s="33" t="n"/>
      <c r="T655" s="1">
        <f>IF(AND(B655&lt;&gt;"",K655&lt;&gt;"",L655&lt;&gt;"Sent",L655&lt;&gt;"Picked up",L655&lt;&gt;"Cancelled"),K655+ROW()/10000000,"")</f>
        <v/>
      </c>
      <c r="U655">
        <f>IF(OR(B655="",C655=""),"",B655+ROW()/10000000)</f>
        <v/>
      </c>
      <c r="V655">
        <f>IF(U655="","",IF(COUNTIFS(Orders!$C$6:$C$1005,C655,Orders!$U$6:$U$1005,"&gt;"&amp;U655)=0,1,0))</f>
        <v/>
      </c>
      <c r="W655">
        <f>IF(AND(B655&lt;&gt;"",K655&lt;&gt;"",L655&lt;&gt;"Sent",L655&lt;&gt;"Picked up",L655&lt;&gt;"Cancelled"),IF(N(E655)=0,1,E655),0)</f>
        <v/>
      </c>
      <c r="X655">
        <f>IF(OR(B655="",D655=""),"",IF(N(E655)=0,1,E655))</f>
        <v/>
      </c>
    </row>
    <row r="656">
      <c r="A656" s="1" t="n"/>
      <c r="B656" s="31" t="n"/>
      <c r="C656" s="32" t="n"/>
      <c r="D656" s="33" t="n"/>
      <c r="E656" s="34" t="n"/>
      <c r="F656" s="35" t="n"/>
      <c r="G656" s="35" t="n"/>
      <c r="H656" s="30">
        <f>IF(OR(B656="",D656=""),"",IF(N(E656)=0,1,E656)*IFERROR(INDEX(Products!$C$6:$C$105,MATCH(D656,Products!$B$6:$B$105,0)),0)+N(F656)+N(G656))</f>
        <v/>
      </c>
      <c r="I656" s="35" t="n"/>
      <c r="J656" s="30">
        <f>IF(OR(H656="",L656="Cancelled"),"",IF(H656-N(I656)&gt;0.005,H656-N(I656),""))</f>
        <v/>
      </c>
      <c r="K656" s="31" t="n"/>
      <c r="L656" s="36" t="n"/>
      <c r="M656" s="33" t="n"/>
      <c r="N656" s="22">
        <f>IF(OR(H656="",L656="Cancelled"),"",IF(N(E656)=0,1,E656)*IFERROR(INDEX(Products!$E$6:$E$105,MATCH(D656,Products!$B$6:$B$105,0)),0))</f>
        <v/>
      </c>
      <c r="O656" s="35" t="n"/>
      <c r="P656" s="22">
        <f>IF(OR(H656="",L656="Cancelled"),"",ROUND(IFERROR(H656*INDEX(Settings!$C$6:$C$15,MATCH(M656,Settings!$B$6:$B$15,0))+INDEX(Settings!$D$6:$D$15,MATCH(M656,Settings!$B$6:$B$15,0)),0),2))</f>
        <v/>
      </c>
      <c r="Q656" s="28">
        <f>IF(OR(H656="",L656="Cancelled"),"",H656-N(N656)-N(O656)-N(P656))</f>
        <v/>
      </c>
      <c r="R656" s="19">
        <f>IF(OR(B656="",K656=""),"",IF(OR(L656="Sent",L656="Picked up"),"Done",IF(L656="Cancelled","Cancelled",IF(K656&lt;TODAY(),"Late by "&amp;(TODAY()-K656)&amp;IF((TODAY()-K656)=1," day"," days"),IF(K656=TODAY(),"Due today","Due in "&amp;(K656-TODAY())&amp;IF((K656-TODAY())=1," day"," days"))))))</f>
        <v/>
      </c>
      <c r="S656" s="33" t="n"/>
      <c r="T656" s="1">
        <f>IF(AND(B656&lt;&gt;"",K656&lt;&gt;"",L656&lt;&gt;"Sent",L656&lt;&gt;"Picked up",L656&lt;&gt;"Cancelled"),K656+ROW()/10000000,"")</f>
        <v/>
      </c>
      <c r="U656">
        <f>IF(OR(B656="",C656=""),"",B656+ROW()/10000000)</f>
        <v/>
      </c>
      <c r="V656">
        <f>IF(U656="","",IF(COUNTIFS(Orders!$C$6:$C$1005,C656,Orders!$U$6:$U$1005,"&gt;"&amp;U656)=0,1,0))</f>
        <v/>
      </c>
      <c r="W656">
        <f>IF(AND(B656&lt;&gt;"",K656&lt;&gt;"",L656&lt;&gt;"Sent",L656&lt;&gt;"Picked up",L656&lt;&gt;"Cancelled"),IF(N(E656)=0,1,E656),0)</f>
        <v/>
      </c>
      <c r="X656">
        <f>IF(OR(B656="",D656=""),"",IF(N(E656)=0,1,E656))</f>
        <v/>
      </c>
    </row>
    <row r="657">
      <c r="A657" s="1" t="n"/>
      <c r="B657" s="31" t="n"/>
      <c r="C657" s="32" t="n"/>
      <c r="D657" s="33" t="n"/>
      <c r="E657" s="34" t="n"/>
      <c r="F657" s="35" t="n"/>
      <c r="G657" s="35" t="n"/>
      <c r="H657" s="30">
        <f>IF(OR(B657="",D657=""),"",IF(N(E657)=0,1,E657)*IFERROR(INDEX(Products!$C$6:$C$105,MATCH(D657,Products!$B$6:$B$105,0)),0)+N(F657)+N(G657))</f>
        <v/>
      </c>
      <c r="I657" s="35" t="n"/>
      <c r="J657" s="30">
        <f>IF(OR(H657="",L657="Cancelled"),"",IF(H657-N(I657)&gt;0.005,H657-N(I657),""))</f>
        <v/>
      </c>
      <c r="K657" s="31" t="n"/>
      <c r="L657" s="36" t="n"/>
      <c r="M657" s="33" t="n"/>
      <c r="N657" s="22">
        <f>IF(OR(H657="",L657="Cancelled"),"",IF(N(E657)=0,1,E657)*IFERROR(INDEX(Products!$E$6:$E$105,MATCH(D657,Products!$B$6:$B$105,0)),0))</f>
        <v/>
      </c>
      <c r="O657" s="35" t="n"/>
      <c r="P657" s="22">
        <f>IF(OR(H657="",L657="Cancelled"),"",ROUND(IFERROR(H657*INDEX(Settings!$C$6:$C$15,MATCH(M657,Settings!$B$6:$B$15,0))+INDEX(Settings!$D$6:$D$15,MATCH(M657,Settings!$B$6:$B$15,0)),0),2))</f>
        <v/>
      </c>
      <c r="Q657" s="28">
        <f>IF(OR(H657="",L657="Cancelled"),"",H657-N(N657)-N(O657)-N(P657))</f>
        <v/>
      </c>
      <c r="R657" s="19">
        <f>IF(OR(B657="",K657=""),"",IF(OR(L657="Sent",L657="Picked up"),"Done",IF(L657="Cancelled","Cancelled",IF(K657&lt;TODAY(),"Late by "&amp;(TODAY()-K657)&amp;IF((TODAY()-K657)=1," day"," days"),IF(K657=TODAY(),"Due today","Due in "&amp;(K657-TODAY())&amp;IF((K657-TODAY())=1," day"," days"))))))</f>
        <v/>
      </c>
      <c r="S657" s="33" t="n"/>
      <c r="T657" s="1">
        <f>IF(AND(B657&lt;&gt;"",K657&lt;&gt;"",L657&lt;&gt;"Sent",L657&lt;&gt;"Picked up",L657&lt;&gt;"Cancelled"),K657+ROW()/10000000,"")</f>
        <v/>
      </c>
      <c r="U657">
        <f>IF(OR(B657="",C657=""),"",B657+ROW()/10000000)</f>
        <v/>
      </c>
      <c r="V657">
        <f>IF(U657="","",IF(COUNTIFS(Orders!$C$6:$C$1005,C657,Orders!$U$6:$U$1005,"&gt;"&amp;U657)=0,1,0))</f>
        <v/>
      </c>
      <c r="W657">
        <f>IF(AND(B657&lt;&gt;"",K657&lt;&gt;"",L657&lt;&gt;"Sent",L657&lt;&gt;"Picked up",L657&lt;&gt;"Cancelled"),IF(N(E657)=0,1,E657),0)</f>
        <v/>
      </c>
      <c r="X657">
        <f>IF(OR(B657="",D657=""),"",IF(N(E657)=0,1,E657))</f>
        <v/>
      </c>
    </row>
    <row r="658">
      <c r="A658" s="1" t="n"/>
      <c r="B658" s="31" t="n"/>
      <c r="C658" s="32" t="n"/>
      <c r="D658" s="33" t="n"/>
      <c r="E658" s="34" t="n"/>
      <c r="F658" s="35" t="n"/>
      <c r="G658" s="35" t="n"/>
      <c r="H658" s="30">
        <f>IF(OR(B658="",D658=""),"",IF(N(E658)=0,1,E658)*IFERROR(INDEX(Products!$C$6:$C$105,MATCH(D658,Products!$B$6:$B$105,0)),0)+N(F658)+N(G658))</f>
        <v/>
      </c>
      <c r="I658" s="35" t="n"/>
      <c r="J658" s="30">
        <f>IF(OR(H658="",L658="Cancelled"),"",IF(H658-N(I658)&gt;0.005,H658-N(I658),""))</f>
        <v/>
      </c>
      <c r="K658" s="31" t="n"/>
      <c r="L658" s="36" t="n"/>
      <c r="M658" s="33" t="n"/>
      <c r="N658" s="22">
        <f>IF(OR(H658="",L658="Cancelled"),"",IF(N(E658)=0,1,E658)*IFERROR(INDEX(Products!$E$6:$E$105,MATCH(D658,Products!$B$6:$B$105,0)),0))</f>
        <v/>
      </c>
      <c r="O658" s="35" t="n"/>
      <c r="P658" s="22">
        <f>IF(OR(H658="",L658="Cancelled"),"",ROUND(IFERROR(H658*INDEX(Settings!$C$6:$C$15,MATCH(M658,Settings!$B$6:$B$15,0))+INDEX(Settings!$D$6:$D$15,MATCH(M658,Settings!$B$6:$B$15,0)),0),2))</f>
        <v/>
      </c>
      <c r="Q658" s="28">
        <f>IF(OR(H658="",L658="Cancelled"),"",H658-N(N658)-N(O658)-N(P658))</f>
        <v/>
      </c>
      <c r="R658" s="19">
        <f>IF(OR(B658="",K658=""),"",IF(OR(L658="Sent",L658="Picked up"),"Done",IF(L658="Cancelled","Cancelled",IF(K658&lt;TODAY(),"Late by "&amp;(TODAY()-K658)&amp;IF((TODAY()-K658)=1," day"," days"),IF(K658=TODAY(),"Due today","Due in "&amp;(K658-TODAY())&amp;IF((K658-TODAY())=1," day"," days"))))))</f>
        <v/>
      </c>
      <c r="S658" s="33" t="n"/>
      <c r="T658" s="1">
        <f>IF(AND(B658&lt;&gt;"",K658&lt;&gt;"",L658&lt;&gt;"Sent",L658&lt;&gt;"Picked up",L658&lt;&gt;"Cancelled"),K658+ROW()/10000000,"")</f>
        <v/>
      </c>
      <c r="U658">
        <f>IF(OR(B658="",C658=""),"",B658+ROW()/10000000)</f>
        <v/>
      </c>
      <c r="V658">
        <f>IF(U658="","",IF(COUNTIFS(Orders!$C$6:$C$1005,C658,Orders!$U$6:$U$1005,"&gt;"&amp;U658)=0,1,0))</f>
        <v/>
      </c>
      <c r="W658">
        <f>IF(AND(B658&lt;&gt;"",K658&lt;&gt;"",L658&lt;&gt;"Sent",L658&lt;&gt;"Picked up",L658&lt;&gt;"Cancelled"),IF(N(E658)=0,1,E658),0)</f>
        <v/>
      </c>
      <c r="X658">
        <f>IF(OR(B658="",D658=""),"",IF(N(E658)=0,1,E658))</f>
        <v/>
      </c>
    </row>
    <row r="659">
      <c r="A659" s="1" t="n"/>
      <c r="B659" s="31" t="n"/>
      <c r="C659" s="32" t="n"/>
      <c r="D659" s="33" t="n"/>
      <c r="E659" s="34" t="n"/>
      <c r="F659" s="35" t="n"/>
      <c r="G659" s="35" t="n"/>
      <c r="H659" s="30">
        <f>IF(OR(B659="",D659=""),"",IF(N(E659)=0,1,E659)*IFERROR(INDEX(Products!$C$6:$C$105,MATCH(D659,Products!$B$6:$B$105,0)),0)+N(F659)+N(G659))</f>
        <v/>
      </c>
      <c r="I659" s="35" t="n"/>
      <c r="J659" s="30">
        <f>IF(OR(H659="",L659="Cancelled"),"",IF(H659-N(I659)&gt;0.005,H659-N(I659),""))</f>
        <v/>
      </c>
      <c r="K659" s="31" t="n"/>
      <c r="L659" s="36" t="n"/>
      <c r="M659" s="33" t="n"/>
      <c r="N659" s="22">
        <f>IF(OR(H659="",L659="Cancelled"),"",IF(N(E659)=0,1,E659)*IFERROR(INDEX(Products!$E$6:$E$105,MATCH(D659,Products!$B$6:$B$105,0)),0))</f>
        <v/>
      </c>
      <c r="O659" s="35" t="n"/>
      <c r="P659" s="22">
        <f>IF(OR(H659="",L659="Cancelled"),"",ROUND(IFERROR(H659*INDEX(Settings!$C$6:$C$15,MATCH(M659,Settings!$B$6:$B$15,0))+INDEX(Settings!$D$6:$D$15,MATCH(M659,Settings!$B$6:$B$15,0)),0),2))</f>
        <v/>
      </c>
      <c r="Q659" s="28">
        <f>IF(OR(H659="",L659="Cancelled"),"",H659-N(N659)-N(O659)-N(P659))</f>
        <v/>
      </c>
      <c r="R659" s="19">
        <f>IF(OR(B659="",K659=""),"",IF(OR(L659="Sent",L659="Picked up"),"Done",IF(L659="Cancelled","Cancelled",IF(K659&lt;TODAY(),"Late by "&amp;(TODAY()-K659)&amp;IF((TODAY()-K659)=1," day"," days"),IF(K659=TODAY(),"Due today","Due in "&amp;(K659-TODAY())&amp;IF((K659-TODAY())=1," day"," days"))))))</f>
        <v/>
      </c>
      <c r="S659" s="33" t="n"/>
      <c r="T659" s="1">
        <f>IF(AND(B659&lt;&gt;"",K659&lt;&gt;"",L659&lt;&gt;"Sent",L659&lt;&gt;"Picked up",L659&lt;&gt;"Cancelled"),K659+ROW()/10000000,"")</f>
        <v/>
      </c>
      <c r="U659">
        <f>IF(OR(B659="",C659=""),"",B659+ROW()/10000000)</f>
        <v/>
      </c>
      <c r="V659">
        <f>IF(U659="","",IF(COUNTIFS(Orders!$C$6:$C$1005,C659,Orders!$U$6:$U$1005,"&gt;"&amp;U659)=0,1,0))</f>
        <v/>
      </c>
      <c r="W659">
        <f>IF(AND(B659&lt;&gt;"",K659&lt;&gt;"",L659&lt;&gt;"Sent",L659&lt;&gt;"Picked up",L659&lt;&gt;"Cancelled"),IF(N(E659)=0,1,E659),0)</f>
        <v/>
      </c>
      <c r="X659">
        <f>IF(OR(B659="",D659=""),"",IF(N(E659)=0,1,E659))</f>
        <v/>
      </c>
    </row>
    <row r="660">
      <c r="A660" s="1" t="n"/>
      <c r="B660" s="31" t="n"/>
      <c r="C660" s="32" t="n"/>
      <c r="D660" s="33" t="n"/>
      <c r="E660" s="34" t="n"/>
      <c r="F660" s="35" t="n"/>
      <c r="G660" s="35" t="n"/>
      <c r="H660" s="30">
        <f>IF(OR(B660="",D660=""),"",IF(N(E660)=0,1,E660)*IFERROR(INDEX(Products!$C$6:$C$105,MATCH(D660,Products!$B$6:$B$105,0)),0)+N(F660)+N(G660))</f>
        <v/>
      </c>
      <c r="I660" s="35" t="n"/>
      <c r="J660" s="30">
        <f>IF(OR(H660="",L660="Cancelled"),"",IF(H660-N(I660)&gt;0.005,H660-N(I660),""))</f>
        <v/>
      </c>
      <c r="K660" s="31" t="n"/>
      <c r="L660" s="36" t="n"/>
      <c r="M660" s="33" t="n"/>
      <c r="N660" s="22">
        <f>IF(OR(H660="",L660="Cancelled"),"",IF(N(E660)=0,1,E660)*IFERROR(INDEX(Products!$E$6:$E$105,MATCH(D660,Products!$B$6:$B$105,0)),0))</f>
        <v/>
      </c>
      <c r="O660" s="35" t="n"/>
      <c r="P660" s="22">
        <f>IF(OR(H660="",L660="Cancelled"),"",ROUND(IFERROR(H660*INDEX(Settings!$C$6:$C$15,MATCH(M660,Settings!$B$6:$B$15,0))+INDEX(Settings!$D$6:$D$15,MATCH(M660,Settings!$B$6:$B$15,0)),0),2))</f>
        <v/>
      </c>
      <c r="Q660" s="28">
        <f>IF(OR(H660="",L660="Cancelled"),"",H660-N(N660)-N(O660)-N(P660))</f>
        <v/>
      </c>
      <c r="R660" s="19">
        <f>IF(OR(B660="",K660=""),"",IF(OR(L660="Sent",L660="Picked up"),"Done",IF(L660="Cancelled","Cancelled",IF(K660&lt;TODAY(),"Late by "&amp;(TODAY()-K660)&amp;IF((TODAY()-K660)=1," day"," days"),IF(K660=TODAY(),"Due today","Due in "&amp;(K660-TODAY())&amp;IF((K660-TODAY())=1," day"," days"))))))</f>
        <v/>
      </c>
      <c r="S660" s="33" t="n"/>
      <c r="T660" s="1">
        <f>IF(AND(B660&lt;&gt;"",K660&lt;&gt;"",L660&lt;&gt;"Sent",L660&lt;&gt;"Picked up",L660&lt;&gt;"Cancelled"),K660+ROW()/10000000,"")</f>
        <v/>
      </c>
      <c r="U660">
        <f>IF(OR(B660="",C660=""),"",B660+ROW()/10000000)</f>
        <v/>
      </c>
      <c r="V660">
        <f>IF(U660="","",IF(COUNTIFS(Orders!$C$6:$C$1005,C660,Orders!$U$6:$U$1005,"&gt;"&amp;U660)=0,1,0))</f>
        <v/>
      </c>
      <c r="W660">
        <f>IF(AND(B660&lt;&gt;"",K660&lt;&gt;"",L660&lt;&gt;"Sent",L660&lt;&gt;"Picked up",L660&lt;&gt;"Cancelled"),IF(N(E660)=0,1,E660),0)</f>
        <v/>
      </c>
      <c r="X660">
        <f>IF(OR(B660="",D660=""),"",IF(N(E660)=0,1,E660))</f>
        <v/>
      </c>
    </row>
    <row r="661">
      <c r="A661" s="1" t="n"/>
      <c r="B661" s="31" t="n"/>
      <c r="C661" s="32" t="n"/>
      <c r="D661" s="33" t="n"/>
      <c r="E661" s="34" t="n"/>
      <c r="F661" s="35" t="n"/>
      <c r="G661" s="35" t="n"/>
      <c r="H661" s="30">
        <f>IF(OR(B661="",D661=""),"",IF(N(E661)=0,1,E661)*IFERROR(INDEX(Products!$C$6:$C$105,MATCH(D661,Products!$B$6:$B$105,0)),0)+N(F661)+N(G661))</f>
        <v/>
      </c>
      <c r="I661" s="35" t="n"/>
      <c r="J661" s="30">
        <f>IF(OR(H661="",L661="Cancelled"),"",IF(H661-N(I661)&gt;0.005,H661-N(I661),""))</f>
        <v/>
      </c>
      <c r="K661" s="31" t="n"/>
      <c r="L661" s="36" t="n"/>
      <c r="M661" s="33" t="n"/>
      <c r="N661" s="22">
        <f>IF(OR(H661="",L661="Cancelled"),"",IF(N(E661)=0,1,E661)*IFERROR(INDEX(Products!$E$6:$E$105,MATCH(D661,Products!$B$6:$B$105,0)),0))</f>
        <v/>
      </c>
      <c r="O661" s="35" t="n"/>
      <c r="P661" s="22">
        <f>IF(OR(H661="",L661="Cancelled"),"",ROUND(IFERROR(H661*INDEX(Settings!$C$6:$C$15,MATCH(M661,Settings!$B$6:$B$15,0))+INDEX(Settings!$D$6:$D$15,MATCH(M661,Settings!$B$6:$B$15,0)),0),2))</f>
        <v/>
      </c>
      <c r="Q661" s="28">
        <f>IF(OR(H661="",L661="Cancelled"),"",H661-N(N661)-N(O661)-N(P661))</f>
        <v/>
      </c>
      <c r="R661" s="19">
        <f>IF(OR(B661="",K661=""),"",IF(OR(L661="Sent",L661="Picked up"),"Done",IF(L661="Cancelled","Cancelled",IF(K661&lt;TODAY(),"Late by "&amp;(TODAY()-K661)&amp;IF((TODAY()-K661)=1," day"," days"),IF(K661=TODAY(),"Due today","Due in "&amp;(K661-TODAY())&amp;IF((K661-TODAY())=1," day"," days"))))))</f>
        <v/>
      </c>
      <c r="S661" s="33" t="n"/>
      <c r="T661" s="1">
        <f>IF(AND(B661&lt;&gt;"",K661&lt;&gt;"",L661&lt;&gt;"Sent",L661&lt;&gt;"Picked up",L661&lt;&gt;"Cancelled"),K661+ROW()/10000000,"")</f>
        <v/>
      </c>
      <c r="U661">
        <f>IF(OR(B661="",C661=""),"",B661+ROW()/10000000)</f>
        <v/>
      </c>
      <c r="V661">
        <f>IF(U661="","",IF(COUNTIFS(Orders!$C$6:$C$1005,C661,Orders!$U$6:$U$1005,"&gt;"&amp;U661)=0,1,0))</f>
        <v/>
      </c>
      <c r="W661">
        <f>IF(AND(B661&lt;&gt;"",K661&lt;&gt;"",L661&lt;&gt;"Sent",L661&lt;&gt;"Picked up",L661&lt;&gt;"Cancelled"),IF(N(E661)=0,1,E661),0)</f>
        <v/>
      </c>
      <c r="X661">
        <f>IF(OR(B661="",D661=""),"",IF(N(E661)=0,1,E661))</f>
        <v/>
      </c>
    </row>
    <row r="662">
      <c r="A662" s="1" t="n"/>
      <c r="B662" s="31" t="n"/>
      <c r="C662" s="32" t="n"/>
      <c r="D662" s="33" t="n"/>
      <c r="E662" s="34" t="n"/>
      <c r="F662" s="35" t="n"/>
      <c r="G662" s="35" t="n"/>
      <c r="H662" s="30">
        <f>IF(OR(B662="",D662=""),"",IF(N(E662)=0,1,E662)*IFERROR(INDEX(Products!$C$6:$C$105,MATCH(D662,Products!$B$6:$B$105,0)),0)+N(F662)+N(G662))</f>
        <v/>
      </c>
      <c r="I662" s="35" t="n"/>
      <c r="J662" s="30">
        <f>IF(OR(H662="",L662="Cancelled"),"",IF(H662-N(I662)&gt;0.005,H662-N(I662),""))</f>
        <v/>
      </c>
      <c r="K662" s="31" t="n"/>
      <c r="L662" s="36" t="n"/>
      <c r="M662" s="33" t="n"/>
      <c r="N662" s="22">
        <f>IF(OR(H662="",L662="Cancelled"),"",IF(N(E662)=0,1,E662)*IFERROR(INDEX(Products!$E$6:$E$105,MATCH(D662,Products!$B$6:$B$105,0)),0))</f>
        <v/>
      </c>
      <c r="O662" s="35" t="n"/>
      <c r="P662" s="22">
        <f>IF(OR(H662="",L662="Cancelled"),"",ROUND(IFERROR(H662*INDEX(Settings!$C$6:$C$15,MATCH(M662,Settings!$B$6:$B$15,0))+INDEX(Settings!$D$6:$D$15,MATCH(M662,Settings!$B$6:$B$15,0)),0),2))</f>
        <v/>
      </c>
      <c r="Q662" s="28">
        <f>IF(OR(H662="",L662="Cancelled"),"",H662-N(N662)-N(O662)-N(P662))</f>
        <v/>
      </c>
      <c r="R662" s="19">
        <f>IF(OR(B662="",K662=""),"",IF(OR(L662="Sent",L662="Picked up"),"Done",IF(L662="Cancelled","Cancelled",IF(K662&lt;TODAY(),"Late by "&amp;(TODAY()-K662)&amp;IF((TODAY()-K662)=1," day"," days"),IF(K662=TODAY(),"Due today","Due in "&amp;(K662-TODAY())&amp;IF((K662-TODAY())=1," day"," days"))))))</f>
        <v/>
      </c>
      <c r="S662" s="33" t="n"/>
      <c r="T662" s="1">
        <f>IF(AND(B662&lt;&gt;"",K662&lt;&gt;"",L662&lt;&gt;"Sent",L662&lt;&gt;"Picked up",L662&lt;&gt;"Cancelled"),K662+ROW()/10000000,"")</f>
        <v/>
      </c>
      <c r="U662">
        <f>IF(OR(B662="",C662=""),"",B662+ROW()/10000000)</f>
        <v/>
      </c>
      <c r="V662">
        <f>IF(U662="","",IF(COUNTIFS(Orders!$C$6:$C$1005,C662,Orders!$U$6:$U$1005,"&gt;"&amp;U662)=0,1,0))</f>
        <v/>
      </c>
      <c r="W662">
        <f>IF(AND(B662&lt;&gt;"",K662&lt;&gt;"",L662&lt;&gt;"Sent",L662&lt;&gt;"Picked up",L662&lt;&gt;"Cancelled"),IF(N(E662)=0,1,E662),0)</f>
        <v/>
      </c>
      <c r="X662">
        <f>IF(OR(B662="",D662=""),"",IF(N(E662)=0,1,E662))</f>
        <v/>
      </c>
    </row>
    <row r="663">
      <c r="A663" s="1" t="n"/>
      <c r="B663" s="31" t="n"/>
      <c r="C663" s="32" t="n"/>
      <c r="D663" s="33" t="n"/>
      <c r="E663" s="34" t="n"/>
      <c r="F663" s="35" t="n"/>
      <c r="G663" s="35" t="n"/>
      <c r="H663" s="30">
        <f>IF(OR(B663="",D663=""),"",IF(N(E663)=0,1,E663)*IFERROR(INDEX(Products!$C$6:$C$105,MATCH(D663,Products!$B$6:$B$105,0)),0)+N(F663)+N(G663))</f>
        <v/>
      </c>
      <c r="I663" s="35" t="n"/>
      <c r="J663" s="30">
        <f>IF(OR(H663="",L663="Cancelled"),"",IF(H663-N(I663)&gt;0.005,H663-N(I663),""))</f>
        <v/>
      </c>
      <c r="K663" s="31" t="n"/>
      <c r="L663" s="36" t="n"/>
      <c r="M663" s="33" t="n"/>
      <c r="N663" s="22">
        <f>IF(OR(H663="",L663="Cancelled"),"",IF(N(E663)=0,1,E663)*IFERROR(INDEX(Products!$E$6:$E$105,MATCH(D663,Products!$B$6:$B$105,0)),0))</f>
        <v/>
      </c>
      <c r="O663" s="35" t="n"/>
      <c r="P663" s="22">
        <f>IF(OR(H663="",L663="Cancelled"),"",ROUND(IFERROR(H663*INDEX(Settings!$C$6:$C$15,MATCH(M663,Settings!$B$6:$B$15,0))+INDEX(Settings!$D$6:$D$15,MATCH(M663,Settings!$B$6:$B$15,0)),0),2))</f>
        <v/>
      </c>
      <c r="Q663" s="28">
        <f>IF(OR(H663="",L663="Cancelled"),"",H663-N(N663)-N(O663)-N(P663))</f>
        <v/>
      </c>
      <c r="R663" s="19">
        <f>IF(OR(B663="",K663=""),"",IF(OR(L663="Sent",L663="Picked up"),"Done",IF(L663="Cancelled","Cancelled",IF(K663&lt;TODAY(),"Late by "&amp;(TODAY()-K663)&amp;IF((TODAY()-K663)=1," day"," days"),IF(K663=TODAY(),"Due today","Due in "&amp;(K663-TODAY())&amp;IF((K663-TODAY())=1," day"," days"))))))</f>
        <v/>
      </c>
      <c r="S663" s="33" t="n"/>
      <c r="T663" s="1">
        <f>IF(AND(B663&lt;&gt;"",K663&lt;&gt;"",L663&lt;&gt;"Sent",L663&lt;&gt;"Picked up",L663&lt;&gt;"Cancelled"),K663+ROW()/10000000,"")</f>
        <v/>
      </c>
      <c r="U663">
        <f>IF(OR(B663="",C663=""),"",B663+ROW()/10000000)</f>
        <v/>
      </c>
      <c r="V663">
        <f>IF(U663="","",IF(COUNTIFS(Orders!$C$6:$C$1005,C663,Orders!$U$6:$U$1005,"&gt;"&amp;U663)=0,1,0))</f>
        <v/>
      </c>
      <c r="W663">
        <f>IF(AND(B663&lt;&gt;"",K663&lt;&gt;"",L663&lt;&gt;"Sent",L663&lt;&gt;"Picked up",L663&lt;&gt;"Cancelled"),IF(N(E663)=0,1,E663),0)</f>
        <v/>
      </c>
      <c r="X663">
        <f>IF(OR(B663="",D663=""),"",IF(N(E663)=0,1,E663))</f>
        <v/>
      </c>
    </row>
    <row r="664">
      <c r="A664" s="1" t="n"/>
      <c r="B664" s="31" t="n"/>
      <c r="C664" s="32" t="n"/>
      <c r="D664" s="33" t="n"/>
      <c r="E664" s="34" t="n"/>
      <c r="F664" s="35" t="n"/>
      <c r="G664" s="35" t="n"/>
      <c r="H664" s="30">
        <f>IF(OR(B664="",D664=""),"",IF(N(E664)=0,1,E664)*IFERROR(INDEX(Products!$C$6:$C$105,MATCH(D664,Products!$B$6:$B$105,0)),0)+N(F664)+N(G664))</f>
        <v/>
      </c>
      <c r="I664" s="35" t="n"/>
      <c r="J664" s="30">
        <f>IF(OR(H664="",L664="Cancelled"),"",IF(H664-N(I664)&gt;0.005,H664-N(I664),""))</f>
        <v/>
      </c>
      <c r="K664" s="31" t="n"/>
      <c r="L664" s="36" t="n"/>
      <c r="M664" s="33" t="n"/>
      <c r="N664" s="22">
        <f>IF(OR(H664="",L664="Cancelled"),"",IF(N(E664)=0,1,E664)*IFERROR(INDEX(Products!$E$6:$E$105,MATCH(D664,Products!$B$6:$B$105,0)),0))</f>
        <v/>
      </c>
      <c r="O664" s="35" t="n"/>
      <c r="P664" s="22">
        <f>IF(OR(H664="",L664="Cancelled"),"",ROUND(IFERROR(H664*INDEX(Settings!$C$6:$C$15,MATCH(M664,Settings!$B$6:$B$15,0))+INDEX(Settings!$D$6:$D$15,MATCH(M664,Settings!$B$6:$B$15,0)),0),2))</f>
        <v/>
      </c>
      <c r="Q664" s="28">
        <f>IF(OR(H664="",L664="Cancelled"),"",H664-N(N664)-N(O664)-N(P664))</f>
        <v/>
      </c>
      <c r="R664" s="19">
        <f>IF(OR(B664="",K664=""),"",IF(OR(L664="Sent",L664="Picked up"),"Done",IF(L664="Cancelled","Cancelled",IF(K664&lt;TODAY(),"Late by "&amp;(TODAY()-K664)&amp;IF((TODAY()-K664)=1," day"," days"),IF(K664=TODAY(),"Due today","Due in "&amp;(K664-TODAY())&amp;IF((K664-TODAY())=1," day"," days"))))))</f>
        <v/>
      </c>
      <c r="S664" s="33" t="n"/>
      <c r="T664" s="1">
        <f>IF(AND(B664&lt;&gt;"",K664&lt;&gt;"",L664&lt;&gt;"Sent",L664&lt;&gt;"Picked up",L664&lt;&gt;"Cancelled"),K664+ROW()/10000000,"")</f>
        <v/>
      </c>
      <c r="U664">
        <f>IF(OR(B664="",C664=""),"",B664+ROW()/10000000)</f>
        <v/>
      </c>
      <c r="V664">
        <f>IF(U664="","",IF(COUNTIFS(Orders!$C$6:$C$1005,C664,Orders!$U$6:$U$1005,"&gt;"&amp;U664)=0,1,0))</f>
        <v/>
      </c>
      <c r="W664">
        <f>IF(AND(B664&lt;&gt;"",K664&lt;&gt;"",L664&lt;&gt;"Sent",L664&lt;&gt;"Picked up",L664&lt;&gt;"Cancelled"),IF(N(E664)=0,1,E664),0)</f>
        <v/>
      </c>
      <c r="X664">
        <f>IF(OR(B664="",D664=""),"",IF(N(E664)=0,1,E664))</f>
        <v/>
      </c>
    </row>
    <row r="665">
      <c r="A665" s="1" t="n"/>
      <c r="B665" s="31" t="n"/>
      <c r="C665" s="32" t="n"/>
      <c r="D665" s="33" t="n"/>
      <c r="E665" s="34" t="n"/>
      <c r="F665" s="35" t="n"/>
      <c r="G665" s="35" t="n"/>
      <c r="H665" s="30">
        <f>IF(OR(B665="",D665=""),"",IF(N(E665)=0,1,E665)*IFERROR(INDEX(Products!$C$6:$C$105,MATCH(D665,Products!$B$6:$B$105,0)),0)+N(F665)+N(G665))</f>
        <v/>
      </c>
      <c r="I665" s="35" t="n"/>
      <c r="J665" s="30">
        <f>IF(OR(H665="",L665="Cancelled"),"",IF(H665-N(I665)&gt;0.005,H665-N(I665),""))</f>
        <v/>
      </c>
      <c r="K665" s="31" t="n"/>
      <c r="L665" s="36" t="n"/>
      <c r="M665" s="33" t="n"/>
      <c r="N665" s="22">
        <f>IF(OR(H665="",L665="Cancelled"),"",IF(N(E665)=0,1,E665)*IFERROR(INDEX(Products!$E$6:$E$105,MATCH(D665,Products!$B$6:$B$105,0)),0))</f>
        <v/>
      </c>
      <c r="O665" s="35" t="n"/>
      <c r="P665" s="22">
        <f>IF(OR(H665="",L665="Cancelled"),"",ROUND(IFERROR(H665*INDEX(Settings!$C$6:$C$15,MATCH(M665,Settings!$B$6:$B$15,0))+INDEX(Settings!$D$6:$D$15,MATCH(M665,Settings!$B$6:$B$15,0)),0),2))</f>
        <v/>
      </c>
      <c r="Q665" s="28">
        <f>IF(OR(H665="",L665="Cancelled"),"",H665-N(N665)-N(O665)-N(P665))</f>
        <v/>
      </c>
      <c r="R665" s="19">
        <f>IF(OR(B665="",K665=""),"",IF(OR(L665="Sent",L665="Picked up"),"Done",IF(L665="Cancelled","Cancelled",IF(K665&lt;TODAY(),"Late by "&amp;(TODAY()-K665)&amp;IF((TODAY()-K665)=1," day"," days"),IF(K665=TODAY(),"Due today","Due in "&amp;(K665-TODAY())&amp;IF((K665-TODAY())=1," day"," days"))))))</f>
        <v/>
      </c>
      <c r="S665" s="33" t="n"/>
      <c r="T665" s="1">
        <f>IF(AND(B665&lt;&gt;"",K665&lt;&gt;"",L665&lt;&gt;"Sent",L665&lt;&gt;"Picked up",L665&lt;&gt;"Cancelled"),K665+ROW()/10000000,"")</f>
        <v/>
      </c>
      <c r="U665">
        <f>IF(OR(B665="",C665=""),"",B665+ROW()/10000000)</f>
        <v/>
      </c>
      <c r="V665">
        <f>IF(U665="","",IF(COUNTIFS(Orders!$C$6:$C$1005,C665,Orders!$U$6:$U$1005,"&gt;"&amp;U665)=0,1,0))</f>
        <v/>
      </c>
      <c r="W665">
        <f>IF(AND(B665&lt;&gt;"",K665&lt;&gt;"",L665&lt;&gt;"Sent",L665&lt;&gt;"Picked up",L665&lt;&gt;"Cancelled"),IF(N(E665)=0,1,E665),0)</f>
        <v/>
      </c>
      <c r="X665">
        <f>IF(OR(B665="",D665=""),"",IF(N(E665)=0,1,E665))</f>
        <v/>
      </c>
    </row>
    <row r="666">
      <c r="A666" s="1" t="n"/>
      <c r="B666" s="31" t="n"/>
      <c r="C666" s="32" t="n"/>
      <c r="D666" s="33" t="n"/>
      <c r="E666" s="34" t="n"/>
      <c r="F666" s="35" t="n"/>
      <c r="G666" s="35" t="n"/>
      <c r="H666" s="30">
        <f>IF(OR(B666="",D666=""),"",IF(N(E666)=0,1,E666)*IFERROR(INDEX(Products!$C$6:$C$105,MATCH(D666,Products!$B$6:$B$105,0)),0)+N(F666)+N(G666))</f>
        <v/>
      </c>
      <c r="I666" s="35" t="n"/>
      <c r="J666" s="30">
        <f>IF(OR(H666="",L666="Cancelled"),"",IF(H666-N(I666)&gt;0.005,H666-N(I666),""))</f>
        <v/>
      </c>
      <c r="K666" s="31" t="n"/>
      <c r="L666" s="36" t="n"/>
      <c r="M666" s="33" t="n"/>
      <c r="N666" s="22">
        <f>IF(OR(H666="",L666="Cancelled"),"",IF(N(E666)=0,1,E666)*IFERROR(INDEX(Products!$E$6:$E$105,MATCH(D666,Products!$B$6:$B$105,0)),0))</f>
        <v/>
      </c>
      <c r="O666" s="35" t="n"/>
      <c r="P666" s="22">
        <f>IF(OR(H666="",L666="Cancelled"),"",ROUND(IFERROR(H666*INDEX(Settings!$C$6:$C$15,MATCH(M666,Settings!$B$6:$B$15,0))+INDEX(Settings!$D$6:$D$15,MATCH(M666,Settings!$B$6:$B$15,0)),0),2))</f>
        <v/>
      </c>
      <c r="Q666" s="28">
        <f>IF(OR(H666="",L666="Cancelled"),"",H666-N(N666)-N(O666)-N(P666))</f>
        <v/>
      </c>
      <c r="R666" s="19">
        <f>IF(OR(B666="",K666=""),"",IF(OR(L666="Sent",L666="Picked up"),"Done",IF(L666="Cancelled","Cancelled",IF(K666&lt;TODAY(),"Late by "&amp;(TODAY()-K666)&amp;IF((TODAY()-K666)=1," day"," days"),IF(K666=TODAY(),"Due today","Due in "&amp;(K666-TODAY())&amp;IF((K666-TODAY())=1," day"," days"))))))</f>
        <v/>
      </c>
      <c r="S666" s="33" t="n"/>
      <c r="T666" s="1">
        <f>IF(AND(B666&lt;&gt;"",K666&lt;&gt;"",L666&lt;&gt;"Sent",L666&lt;&gt;"Picked up",L666&lt;&gt;"Cancelled"),K666+ROW()/10000000,"")</f>
        <v/>
      </c>
      <c r="U666">
        <f>IF(OR(B666="",C666=""),"",B666+ROW()/10000000)</f>
        <v/>
      </c>
      <c r="V666">
        <f>IF(U666="","",IF(COUNTIFS(Orders!$C$6:$C$1005,C666,Orders!$U$6:$U$1005,"&gt;"&amp;U666)=0,1,0))</f>
        <v/>
      </c>
      <c r="W666">
        <f>IF(AND(B666&lt;&gt;"",K666&lt;&gt;"",L666&lt;&gt;"Sent",L666&lt;&gt;"Picked up",L666&lt;&gt;"Cancelled"),IF(N(E666)=0,1,E666),0)</f>
        <v/>
      </c>
      <c r="X666">
        <f>IF(OR(B666="",D666=""),"",IF(N(E666)=0,1,E666))</f>
        <v/>
      </c>
    </row>
    <row r="667">
      <c r="A667" s="1" t="n"/>
      <c r="B667" s="31" t="n"/>
      <c r="C667" s="32" t="n"/>
      <c r="D667" s="33" t="n"/>
      <c r="E667" s="34" t="n"/>
      <c r="F667" s="35" t="n"/>
      <c r="G667" s="35" t="n"/>
      <c r="H667" s="30">
        <f>IF(OR(B667="",D667=""),"",IF(N(E667)=0,1,E667)*IFERROR(INDEX(Products!$C$6:$C$105,MATCH(D667,Products!$B$6:$B$105,0)),0)+N(F667)+N(G667))</f>
        <v/>
      </c>
      <c r="I667" s="35" t="n"/>
      <c r="J667" s="30">
        <f>IF(OR(H667="",L667="Cancelled"),"",IF(H667-N(I667)&gt;0.005,H667-N(I667),""))</f>
        <v/>
      </c>
      <c r="K667" s="31" t="n"/>
      <c r="L667" s="36" t="n"/>
      <c r="M667" s="33" t="n"/>
      <c r="N667" s="22">
        <f>IF(OR(H667="",L667="Cancelled"),"",IF(N(E667)=0,1,E667)*IFERROR(INDEX(Products!$E$6:$E$105,MATCH(D667,Products!$B$6:$B$105,0)),0))</f>
        <v/>
      </c>
      <c r="O667" s="35" t="n"/>
      <c r="P667" s="22">
        <f>IF(OR(H667="",L667="Cancelled"),"",ROUND(IFERROR(H667*INDEX(Settings!$C$6:$C$15,MATCH(M667,Settings!$B$6:$B$15,0))+INDEX(Settings!$D$6:$D$15,MATCH(M667,Settings!$B$6:$B$15,0)),0),2))</f>
        <v/>
      </c>
      <c r="Q667" s="28">
        <f>IF(OR(H667="",L667="Cancelled"),"",H667-N(N667)-N(O667)-N(P667))</f>
        <v/>
      </c>
      <c r="R667" s="19">
        <f>IF(OR(B667="",K667=""),"",IF(OR(L667="Sent",L667="Picked up"),"Done",IF(L667="Cancelled","Cancelled",IF(K667&lt;TODAY(),"Late by "&amp;(TODAY()-K667)&amp;IF((TODAY()-K667)=1," day"," days"),IF(K667=TODAY(),"Due today","Due in "&amp;(K667-TODAY())&amp;IF((K667-TODAY())=1," day"," days"))))))</f>
        <v/>
      </c>
      <c r="S667" s="33" t="n"/>
      <c r="T667" s="1">
        <f>IF(AND(B667&lt;&gt;"",K667&lt;&gt;"",L667&lt;&gt;"Sent",L667&lt;&gt;"Picked up",L667&lt;&gt;"Cancelled"),K667+ROW()/10000000,"")</f>
        <v/>
      </c>
      <c r="U667">
        <f>IF(OR(B667="",C667=""),"",B667+ROW()/10000000)</f>
        <v/>
      </c>
      <c r="V667">
        <f>IF(U667="","",IF(COUNTIFS(Orders!$C$6:$C$1005,C667,Orders!$U$6:$U$1005,"&gt;"&amp;U667)=0,1,0))</f>
        <v/>
      </c>
      <c r="W667">
        <f>IF(AND(B667&lt;&gt;"",K667&lt;&gt;"",L667&lt;&gt;"Sent",L667&lt;&gt;"Picked up",L667&lt;&gt;"Cancelled"),IF(N(E667)=0,1,E667),0)</f>
        <v/>
      </c>
      <c r="X667">
        <f>IF(OR(B667="",D667=""),"",IF(N(E667)=0,1,E667))</f>
        <v/>
      </c>
    </row>
    <row r="668">
      <c r="A668" s="1" t="n"/>
      <c r="B668" s="31" t="n"/>
      <c r="C668" s="32" t="n"/>
      <c r="D668" s="33" t="n"/>
      <c r="E668" s="34" t="n"/>
      <c r="F668" s="35" t="n"/>
      <c r="G668" s="35" t="n"/>
      <c r="H668" s="30">
        <f>IF(OR(B668="",D668=""),"",IF(N(E668)=0,1,E668)*IFERROR(INDEX(Products!$C$6:$C$105,MATCH(D668,Products!$B$6:$B$105,0)),0)+N(F668)+N(G668))</f>
        <v/>
      </c>
      <c r="I668" s="35" t="n"/>
      <c r="J668" s="30">
        <f>IF(OR(H668="",L668="Cancelled"),"",IF(H668-N(I668)&gt;0.005,H668-N(I668),""))</f>
        <v/>
      </c>
      <c r="K668" s="31" t="n"/>
      <c r="L668" s="36" t="n"/>
      <c r="M668" s="33" t="n"/>
      <c r="N668" s="22">
        <f>IF(OR(H668="",L668="Cancelled"),"",IF(N(E668)=0,1,E668)*IFERROR(INDEX(Products!$E$6:$E$105,MATCH(D668,Products!$B$6:$B$105,0)),0))</f>
        <v/>
      </c>
      <c r="O668" s="35" t="n"/>
      <c r="P668" s="22">
        <f>IF(OR(H668="",L668="Cancelled"),"",ROUND(IFERROR(H668*INDEX(Settings!$C$6:$C$15,MATCH(M668,Settings!$B$6:$B$15,0))+INDEX(Settings!$D$6:$D$15,MATCH(M668,Settings!$B$6:$B$15,0)),0),2))</f>
        <v/>
      </c>
      <c r="Q668" s="28">
        <f>IF(OR(H668="",L668="Cancelled"),"",H668-N(N668)-N(O668)-N(P668))</f>
        <v/>
      </c>
      <c r="R668" s="19">
        <f>IF(OR(B668="",K668=""),"",IF(OR(L668="Sent",L668="Picked up"),"Done",IF(L668="Cancelled","Cancelled",IF(K668&lt;TODAY(),"Late by "&amp;(TODAY()-K668)&amp;IF((TODAY()-K668)=1," day"," days"),IF(K668=TODAY(),"Due today","Due in "&amp;(K668-TODAY())&amp;IF((K668-TODAY())=1," day"," days"))))))</f>
        <v/>
      </c>
      <c r="S668" s="33" t="n"/>
      <c r="T668" s="1">
        <f>IF(AND(B668&lt;&gt;"",K668&lt;&gt;"",L668&lt;&gt;"Sent",L668&lt;&gt;"Picked up",L668&lt;&gt;"Cancelled"),K668+ROW()/10000000,"")</f>
        <v/>
      </c>
      <c r="U668">
        <f>IF(OR(B668="",C668=""),"",B668+ROW()/10000000)</f>
        <v/>
      </c>
      <c r="V668">
        <f>IF(U668="","",IF(COUNTIFS(Orders!$C$6:$C$1005,C668,Orders!$U$6:$U$1005,"&gt;"&amp;U668)=0,1,0))</f>
        <v/>
      </c>
      <c r="W668">
        <f>IF(AND(B668&lt;&gt;"",K668&lt;&gt;"",L668&lt;&gt;"Sent",L668&lt;&gt;"Picked up",L668&lt;&gt;"Cancelled"),IF(N(E668)=0,1,E668),0)</f>
        <v/>
      </c>
      <c r="X668">
        <f>IF(OR(B668="",D668=""),"",IF(N(E668)=0,1,E668))</f>
        <v/>
      </c>
    </row>
    <row r="669">
      <c r="A669" s="1" t="n"/>
      <c r="B669" s="31" t="n"/>
      <c r="C669" s="32" t="n"/>
      <c r="D669" s="33" t="n"/>
      <c r="E669" s="34" t="n"/>
      <c r="F669" s="35" t="n"/>
      <c r="G669" s="35" t="n"/>
      <c r="H669" s="30">
        <f>IF(OR(B669="",D669=""),"",IF(N(E669)=0,1,E669)*IFERROR(INDEX(Products!$C$6:$C$105,MATCH(D669,Products!$B$6:$B$105,0)),0)+N(F669)+N(G669))</f>
        <v/>
      </c>
      <c r="I669" s="35" t="n"/>
      <c r="J669" s="30">
        <f>IF(OR(H669="",L669="Cancelled"),"",IF(H669-N(I669)&gt;0.005,H669-N(I669),""))</f>
        <v/>
      </c>
      <c r="K669" s="31" t="n"/>
      <c r="L669" s="36" t="n"/>
      <c r="M669" s="33" t="n"/>
      <c r="N669" s="22">
        <f>IF(OR(H669="",L669="Cancelled"),"",IF(N(E669)=0,1,E669)*IFERROR(INDEX(Products!$E$6:$E$105,MATCH(D669,Products!$B$6:$B$105,0)),0))</f>
        <v/>
      </c>
      <c r="O669" s="35" t="n"/>
      <c r="P669" s="22">
        <f>IF(OR(H669="",L669="Cancelled"),"",ROUND(IFERROR(H669*INDEX(Settings!$C$6:$C$15,MATCH(M669,Settings!$B$6:$B$15,0))+INDEX(Settings!$D$6:$D$15,MATCH(M669,Settings!$B$6:$B$15,0)),0),2))</f>
        <v/>
      </c>
      <c r="Q669" s="28">
        <f>IF(OR(H669="",L669="Cancelled"),"",H669-N(N669)-N(O669)-N(P669))</f>
        <v/>
      </c>
      <c r="R669" s="19">
        <f>IF(OR(B669="",K669=""),"",IF(OR(L669="Sent",L669="Picked up"),"Done",IF(L669="Cancelled","Cancelled",IF(K669&lt;TODAY(),"Late by "&amp;(TODAY()-K669)&amp;IF((TODAY()-K669)=1," day"," days"),IF(K669=TODAY(),"Due today","Due in "&amp;(K669-TODAY())&amp;IF((K669-TODAY())=1," day"," days"))))))</f>
        <v/>
      </c>
      <c r="S669" s="33" t="n"/>
      <c r="T669" s="1">
        <f>IF(AND(B669&lt;&gt;"",K669&lt;&gt;"",L669&lt;&gt;"Sent",L669&lt;&gt;"Picked up",L669&lt;&gt;"Cancelled"),K669+ROW()/10000000,"")</f>
        <v/>
      </c>
      <c r="U669">
        <f>IF(OR(B669="",C669=""),"",B669+ROW()/10000000)</f>
        <v/>
      </c>
      <c r="V669">
        <f>IF(U669="","",IF(COUNTIFS(Orders!$C$6:$C$1005,C669,Orders!$U$6:$U$1005,"&gt;"&amp;U669)=0,1,0))</f>
        <v/>
      </c>
      <c r="W669">
        <f>IF(AND(B669&lt;&gt;"",K669&lt;&gt;"",L669&lt;&gt;"Sent",L669&lt;&gt;"Picked up",L669&lt;&gt;"Cancelled"),IF(N(E669)=0,1,E669),0)</f>
        <v/>
      </c>
      <c r="X669">
        <f>IF(OR(B669="",D669=""),"",IF(N(E669)=0,1,E669))</f>
        <v/>
      </c>
    </row>
    <row r="670">
      <c r="A670" s="1" t="n"/>
      <c r="B670" s="31" t="n"/>
      <c r="C670" s="32" t="n"/>
      <c r="D670" s="33" t="n"/>
      <c r="E670" s="34" t="n"/>
      <c r="F670" s="35" t="n"/>
      <c r="G670" s="35" t="n"/>
      <c r="H670" s="30">
        <f>IF(OR(B670="",D670=""),"",IF(N(E670)=0,1,E670)*IFERROR(INDEX(Products!$C$6:$C$105,MATCH(D670,Products!$B$6:$B$105,0)),0)+N(F670)+N(G670))</f>
        <v/>
      </c>
      <c r="I670" s="35" t="n"/>
      <c r="J670" s="30">
        <f>IF(OR(H670="",L670="Cancelled"),"",IF(H670-N(I670)&gt;0.005,H670-N(I670),""))</f>
        <v/>
      </c>
      <c r="K670" s="31" t="n"/>
      <c r="L670" s="36" t="n"/>
      <c r="M670" s="33" t="n"/>
      <c r="N670" s="22">
        <f>IF(OR(H670="",L670="Cancelled"),"",IF(N(E670)=0,1,E670)*IFERROR(INDEX(Products!$E$6:$E$105,MATCH(D670,Products!$B$6:$B$105,0)),0))</f>
        <v/>
      </c>
      <c r="O670" s="35" t="n"/>
      <c r="P670" s="22">
        <f>IF(OR(H670="",L670="Cancelled"),"",ROUND(IFERROR(H670*INDEX(Settings!$C$6:$C$15,MATCH(M670,Settings!$B$6:$B$15,0))+INDEX(Settings!$D$6:$D$15,MATCH(M670,Settings!$B$6:$B$15,0)),0),2))</f>
        <v/>
      </c>
      <c r="Q670" s="28">
        <f>IF(OR(H670="",L670="Cancelled"),"",H670-N(N670)-N(O670)-N(P670))</f>
        <v/>
      </c>
      <c r="R670" s="19">
        <f>IF(OR(B670="",K670=""),"",IF(OR(L670="Sent",L670="Picked up"),"Done",IF(L670="Cancelled","Cancelled",IF(K670&lt;TODAY(),"Late by "&amp;(TODAY()-K670)&amp;IF((TODAY()-K670)=1," day"," days"),IF(K670=TODAY(),"Due today","Due in "&amp;(K670-TODAY())&amp;IF((K670-TODAY())=1," day"," days"))))))</f>
        <v/>
      </c>
      <c r="S670" s="33" t="n"/>
      <c r="T670" s="1">
        <f>IF(AND(B670&lt;&gt;"",K670&lt;&gt;"",L670&lt;&gt;"Sent",L670&lt;&gt;"Picked up",L670&lt;&gt;"Cancelled"),K670+ROW()/10000000,"")</f>
        <v/>
      </c>
      <c r="U670">
        <f>IF(OR(B670="",C670=""),"",B670+ROW()/10000000)</f>
        <v/>
      </c>
      <c r="V670">
        <f>IF(U670="","",IF(COUNTIFS(Orders!$C$6:$C$1005,C670,Orders!$U$6:$U$1005,"&gt;"&amp;U670)=0,1,0))</f>
        <v/>
      </c>
      <c r="W670">
        <f>IF(AND(B670&lt;&gt;"",K670&lt;&gt;"",L670&lt;&gt;"Sent",L670&lt;&gt;"Picked up",L670&lt;&gt;"Cancelled"),IF(N(E670)=0,1,E670),0)</f>
        <v/>
      </c>
      <c r="X670">
        <f>IF(OR(B670="",D670=""),"",IF(N(E670)=0,1,E670))</f>
        <v/>
      </c>
    </row>
    <row r="671">
      <c r="A671" s="1" t="n"/>
      <c r="B671" s="31" t="n"/>
      <c r="C671" s="32" t="n"/>
      <c r="D671" s="33" t="n"/>
      <c r="E671" s="34" t="n"/>
      <c r="F671" s="35" t="n"/>
      <c r="G671" s="35" t="n"/>
      <c r="H671" s="30">
        <f>IF(OR(B671="",D671=""),"",IF(N(E671)=0,1,E671)*IFERROR(INDEX(Products!$C$6:$C$105,MATCH(D671,Products!$B$6:$B$105,0)),0)+N(F671)+N(G671))</f>
        <v/>
      </c>
      <c r="I671" s="35" t="n"/>
      <c r="J671" s="30">
        <f>IF(OR(H671="",L671="Cancelled"),"",IF(H671-N(I671)&gt;0.005,H671-N(I671),""))</f>
        <v/>
      </c>
      <c r="K671" s="31" t="n"/>
      <c r="L671" s="36" t="n"/>
      <c r="M671" s="33" t="n"/>
      <c r="N671" s="22">
        <f>IF(OR(H671="",L671="Cancelled"),"",IF(N(E671)=0,1,E671)*IFERROR(INDEX(Products!$E$6:$E$105,MATCH(D671,Products!$B$6:$B$105,0)),0))</f>
        <v/>
      </c>
      <c r="O671" s="35" t="n"/>
      <c r="P671" s="22">
        <f>IF(OR(H671="",L671="Cancelled"),"",ROUND(IFERROR(H671*INDEX(Settings!$C$6:$C$15,MATCH(M671,Settings!$B$6:$B$15,0))+INDEX(Settings!$D$6:$D$15,MATCH(M671,Settings!$B$6:$B$15,0)),0),2))</f>
        <v/>
      </c>
      <c r="Q671" s="28">
        <f>IF(OR(H671="",L671="Cancelled"),"",H671-N(N671)-N(O671)-N(P671))</f>
        <v/>
      </c>
      <c r="R671" s="19">
        <f>IF(OR(B671="",K671=""),"",IF(OR(L671="Sent",L671="Picked up"),"Done",IF(L671="Cancelled","Cancelled",IF(K671&lt;TODAY(),"Late by "&amp;(TODAY()-K671)&amp;IF((TODAY()-K671)=1," day"," days"),IF(K671=TODAY(),"Due today","Due in "&amp;(K671-TODAY())&amp;IF((K671-TODAY())=1," day"," days"))))))</f>
        <v/>
      </c>
      <c r="S671" s="33" t="n"/>
      <c r="T671" s="1">
        <f>IF(AND(B671&lt;&gt;"",K671&lt;&gt;"",L671&lt;&gt;"Sent",L671&lt;&gt;"Picked up",L671&lt;&gt;"Cancelled"),K671+ROW()/10000000,"")</f>
        <v/>
      </c>
      <c r="U671">
        <f>IF(OR(B671="",C671=""),"",B671+ROW()/10000000)</f>
        <v/>
      </c>
      <c r="V671">
        <f>IF(U671="","",IF(COUNTIFS(Orders!$C$6:$C$1005,C671,Orders!$U$6:$U$1005,"&gt;"&amp;U671)=0,1,0))</f>
        <v/>
      </c>
      <c r="W671">
        <f>IF(AND(B671&lt;&gt;"",K671&lt;&gt;"",L671&lt;&gt;"Sent",L671&lt;&gt;"Picked up",L671&lt;&gt;"Cancelled"),IF(N(E671)=0,1,E671),0)</f>
        <v/>
      </c>
      <c r="X671">
        <f>IF(OR(B671="",D671=""),"",IF(N(E671)=0,1,E671))</f>
        <v/>
      </c>
    </row>
    <row r="672">
      <c r="A672" s="1" t="n"/>
      <c r="B672" s="31" t="n"/>
      <c r="C672" s="32" t="n"/>
      <c r="D672" s="33" t="n"/>
      <c r="E672" s="34" t="n"/>
      <c r="F672" s="35" t="n"/>
      <c r="G672" s="35" t="n"/>
      <c r="H672" s="30">
        <f>IF(OR(B672="",D672=""),"",IF(N(E672)=0,1,E672)*IFERROR(INDEX(Products!$C$6:$C$105,MATCH(D672,Products!$B$6:$B$105,0)),0)+N(F672)+N(G672))</f>
        <v/>
      </c>
      <c r="I672" s="35" t="n"/>
      <c r="J672" s="30">
        <f>IF(OR(H672="",L672="Cancelled"),"",IF(H672-N(I672)&gt;0.005,H672-N(I672),""))</f>
        <v/>
      </c>
      <c r="K672" s="31" t="n"/>
      <c r="L672" s="36" t="n"/>
      <c r="M672" s="33" t="n"/>
      <c r="N672" s="22">
        <f>IF(OR(H672="",L672="Cancelled"),"",IF(N(E672)=0,1,E672)*IFERROR(INDEX(Products!$E$6:$E$105,MATCH(D672,Products!$B$6:$B$105,0)),0))</f>
        <v/>
      </c>
      <c r="O672" s="35" t="n"/>
      <c r="P672" s="22">
        <f>IF(OR(H672="",L672="Cancelled"),"",ROUND(IFERROR(H672*INDEX(Settings!$C$6:$C$15,MATCH(M672,Settings!$B$6:$B$15,0))+INDEX(Settings!$D$6:$D$15,MATCH(M672,Settings!$B$6:$B$15,0)),0),2))</f>
        <v/>
      </c>
      <c r="Q672" s="28">
        <f>IF(OR(H672="",L672="Cancelled"),"",H672-N(N672)-N(O672)-N(P672))</f>
        <v/>
      </c>
      <c r="R672" s="19">
        <f>IF(OR(B672="",K672=""),"",IF(OR(L672="Sent",L672="Picked up"),"Done",IF(L672="Cancelled","Cancelled",IF(K672&lt;TODAY(),"Late by "&amp;(TODAY()-K672)&amp;IF((TODAY()-K672)=1," day"," days"),IF(K672=TODAY(),"Due today","Due in "&amp;(K672-TODAY())&amp;IF((K672-TODAY())=1," day"," days"))))))</f>
        <v/>
      </c>
      <c r="S672" s="33" t="n"/>
      <c r="T672" s="1">
        <f>IF(AND(B672&lt;&gt;"",K672&lt;&gt;"",L672&lt;&gt;"Sent",L672&lt;&gt;"Picked up",L672&lt;&gt;"Cancelled"),K672+ROW()/10000000,"")</f>
        <v/>
      </c>
      <c r="U672">
        <f>IF(OR(B672="",C672=""),"",B672+ROW()/10000000)</f>
        <v/>
      </c>
      <c r="V672">
        <f>IF(U672="","",IF(COUNTIFS(Orders!$C$6:$C$1005,C672,Orders!$U$6:$U$1005,"&gt;"&amp;U672)=0,1,0))</f>
        <v/>
      </c>
      <c r="W672">
        <f>IF(AND(B672&lt;&gt;"",K672&lt;&gt;"",L672&lt;&gt;"Sent",L672&lt;&gt;"Picked up",L672&lt;&gt;"Cancelled"),IF(N(E672)=0,1,E672),0)</f>
        <v/>
      </c>
      <c r="X672">
        <f>IF(OR(B672="",D672=""),"",IF(N(E672)=0,1,E672))</f>
        <v/>
      </c>
    </row>
    <row r="673">
      <c r="A673" s="1" t="n"/>
      <c r="B673" s="31" t="n"/>
      <c r="C673" s="32" t="n"/>
      <c r="D673" s="33" t="n"/>
      <c r="E673" s="34" t="n"/>
      <c r="F673" s="35" t="n"/>
      <c r="G673" s="35" t="n"/>
      <c r="H673" s="30">
        <f>IF(OR(B673="",D673=""),"",IF(N(E673)=0,1,E673)*IFERROR(INDEX(Products!$C$6:$C$105,MATCH(D673,Products!$B$6:$B$105,0)),0)+N(F673)+N(G673))</f>
        <v/>
      </c>
      <c r="I673" s="35" t="n"/>
      <c r="J673" s="30">
        <f>IF(OR(H673="",L673="Cancelled"),"",IF(H673-N(I673)&gt;0.005,H673-N(I673),""))</f>
        <v/>
      </c>
      <c r="K673" s="31" t="n"/>
      <c r="L673" s="36" t="n"/>
      <c r="M673" s="33" t="n"/>
      <c r="N673" s="22">
        <f>IF(OR(H673="",L673="Cancelled"),"",IF(N(E673)=0,1,E673)*IFERROR(INDEX(Products!$E$6:$E$105,MATCH(D673,Products!$B$6:$B$105,0)),0))</f>
        <v/>
      </c>
      <c r="O673" s="35" t="n"/>
      <c r="P673" s="22">
        <f>IF(OR(H673="",L673="Cancelled"),"",ROUND(IFERROR(H673*INDEX(Settings!$C$6:$C$15,MATCH(M673,Settings!$B$6:$B$15,0))+INDEX(Settings!$D$6:$D$15,MATCH(M673,Settings!$B$6:$B$15,0)),0),2))</f>
        <v/>
      </c>
      <c r="Q673" s="28">
        <f>IF(OR(H673="",L673="Cancelled"),"",H673-N(N673)-N(O673)-N(P673))</f>
        <v/>
      </c>
      <c r="R673" s="19">
        <f>IF(OR(B673="",K673=""),"",IF(OR(L673="Sent",L673="Picked up"),"Done",IF(L673="Cancelled","Cancelled",IF(K673&lt;TODAY(),"Late by "&amp;(TODAY()-K673)&amp;IF((TODAY()-K673)=1," day"," days"),IF(K673=TODAY(),"Due today","Due in "&amp;(K673-TODAY())&amp;IF((K673-TODAY())=1," day"," days"))))))</f>
        <v/>
      </c>
      <c r="S673" s="33" t="n"/>
      <c r="T673" s="1">
        <f>IF(AND(B673&lt;&gt;"",K673&lt;&gt;"",L673&lt;&gt;"Sent",L673&lt;&gt;"Picked up",L673&lt;&gt;"Cancelled"),K673+ROW()/10000000,"")</f>
        <v/>
      </c>
      <c r="U673">
        <f>IF(OR(B673="",C673=""),"",B673+ROW()/10000000)</f>
        <v/>
      </c>
      <c r="V673">
        <f>IF(U673="","",IF(COUNTIFS(Orders!$C$6:$C$1005,C673,Orders!$U$6:$U$1005,"&gt;"&amp;U673)=0,1,0))</f>
        <v/>
      </c>
      <c r="W673">
        <f>IF(AND(B673&lt;&gt;"",K673&lt;&gt;"",L673&lt;&gt;"Sent",L673&lt;&gt;"Picked up",L673&lt;&gt;"Cancelled"),IF(N(E673)=0,1,E673),0)</f>
        <v/>
      </c>
      <c r="X673">
        <f>IF(OR(B673="",D673=""),"",IF(N(E673)=0,1,E673))</f>
        <v/>
      </c>
    </row>
    <row r="674">
      <c r="A674" s="1" t="n"/>
      <c r="B674" s="31" t="n"/>
      <c r="C674" s="32" t="n"/>
      <c r="D674" s="33" t="n"/>
      <c r="E674" s="34" t="n"/>
      <c r="F674" s="35" t="n"/>
      <c r="G674" s="35" t="n"/>
      <c r="H674" s="30">
        <f>IF(OR(B674="",D674=""),"",IF(N(E674)=0,1,E674)*IFERROR(INDEX(Products!$C$6:$C$105,MATCH(D674,Products!$B$6:$B$105,0)),0)+N(F674)+N(G674))</f>
        <v/>
      </c>
      <c r="I674" s="35" t="n"/>
      <c r="J674" s="30">
        <f>IF(OR(H674="",L674="Cancelled"),"",IF(H674-N(I674)&gt;0.005,H674-N(I674),""))</f>
        <v/>
      </c>
      <c r="K674" s="31" t="n"/>
      <c r="L674" s="36" t="n"/>
      <c r="M674" s="33" t="n"/>
      <c r="N674" s="22">
        <f>IF(OR(H674="",L674="Cancelled"),"",IF(N(E674)=0,1,E674)*IFERROR(INDEX(Products!$E$6:$E$105,MATCH(D674,Products!$B$6:$B$105,0)),0))</f>
        <v/>
      </c>
      <c r="O674" s="35" t="n"/>
      <c r="P674" s="22">
        <f>IF(OR(H674="",L674="Cancelled"),"",ROUND(IFERROR(H674*INDEX(Settings!$C$6:$C$15,MATCH(M674,Settings!$B$6:$B$15,0))+INDEX(Settings!$D$6:$D$15,MATCH(M674,Settings!$B$6:$B$15,0)),0),2))</f>
        <v/>
      </c>
      <c r="Q674" s="28">
        <f>IF(OR(H674="",L674="Cancelled"),"",H674-N(N674)-N(O674)-N(P674))</f>
        <v/>
      </c>
      <c r="R674" s="19">
        <f>IF(OR(B674="",K674=""),"",IF(OR(L674="Sent",L674="Picked up"),"Done",IF(L674="Cancelled","Cancelled",IF(K674&lt;TODAY(),"Late by "&amp;(TODAY()-K674)&amp;IF((TODAY()-K674)=1," day"," days"),IF(K674=TODAY(),"Due today","Due in "&amp;(K674-TODAY())&amp;IF((K674-TODAY())=1," day"," days"))))))</f>
        <v/>
      </c>
      <c r="S674" s="33" t="n"/>
      <c r="T674" s="1">
        <f>IF(AND(B674&lt;&gt;"",K674&lt;&gt;"",L674&lt;&gt;"Sent",L674&lt;&gt;"Picked up",L674&lt;&gt;"Cancelled"),K674+ROW()/10000000,"")</f>
        <v/>
      </c>
      <c r="U674">
        <f>IF(OR(B674="",C674=""),"",B674+ROW()/10000000)</f>
        <v/>
      </c>
      <c r="V674">
        <f>IF(U674="","",IF(COUNTIFS(Orders!$C$6:$C$1005,C674,Orders!$U$6:$U$1005,"&gt;"&amp;U674)=0,1,0))</f>
        <v/>
      </c>
      <c r="W674">
        <f>IF(AND(B674&lt;&gt;"",K674&lt;&gt;"",L674&lt;&gt;"Sent",L674&lt;&gt;"Picked up",L674&lt;&gt;"Cancelled"),IF(N(E674)=0,1,E674),0)</f>
        <v/>
      </c>
      <c r="X674">
        <f>IF(OR(B674="",D674=""),"",IF(N(E674)=0,1,E674))</f>
        <v/>
      </c>
    </row>
    <row r="675">
      <c r="A675" s="1" t="n"/>
      <c r="B675" s="31" t="n"/>
      <c r="C675" s="32" t="n"/>
      <c r="D675" s="33" t="n"/>
      <c r="E675" s="34" t="n"/>
      <c r="F675" s="35" t="n"/>
      <c r="G675" s="35" t="n"/>
      <c r="H675" s="30">
        <f>IF(OR(B675="",D675=""),"",IF(N(E675)=0,1,E675)*IFERROR(INDEX(Products!$C$6:$C$105,MATCH(D675,Products!$B$6:$B$105,0)),0)+N(F675)+N(G675))</f>
        <v/>
      </c>
      <c r="I675" s="35" t="n"/>
      <c r="J675" s="30">
        <f>IF(OR(H675="",L675="Cancelled"),"",IF(H675-N(I675)&gt;0.005,H675-N(I675),""))</f>
        <v/>
      </c>
      <c r="K675" s="31" t="n"/>
      <c r="L675" s="36" t="n"/>
      <c r="M675" s="33" t="n"/>
      <c r="N675" s="22">
        <f>IF(OR(H675="",L675="Cancelled"),"",IF(N(E675)=0,1,E675)*IFERROR(INDEX(Products!$E$6:$E$105,MATCH(D675,Products!$B$6:$B$105,0)),0))</f>
        <v/>
      </c>
      <c r="O675" s="35" t="n"/>
      <c r="P675" s="22">
        <f>IF(OR(H675="",L675="Cancelled"),"",ROUND(IFERROR(H675*INDEX(Settings!$C$6:$C$15,MATCH(M675,Settings!$B$6:$B$15,0))+INDEX(Settings!$D$6:$D$15,MATCH(M675,Settings!$B$6:$B$15,0)),0),2))</f>
        <v/>
      </c>
      <c r="Q675" s="28">
        <f>IF(OR(H675="",L675="Cancelled"),"",H675-N(N675)-N(O675)-N(P675))</f>
        <v/>
      </c>
      <c r="R675" s="19">
        <f>IF(OR(B675="",K675=""),"",IF(OR(L675="Sent",L675="Picked up"),"Done",IF(L675="Cancelled","Cancelled",IF(K675&lt;TODAY(),"Late by "&amp;(TODAY()-K675)&amp;IF((TODAY()-K675)=1," day"," days"),IF(K675=TODAY(),"Due today","Due in "&amp;(K675-TODAY())&amp;IF((K675-TODAY())=1," day"," days"))))))</f>
        <v/>
      </c>
      <c r="S675" s="33" t="n"/>
      <c r="T675" s="1">
        <f>IF(AND(B675&lt;&gt;"",K675&lt;&gt;"",L675&lt;&gt;"Sent",L675&lt;&gt;"Picked up",L675&lt;&gt;"Cancelled"),K675+ROW()/10000000,"")</f>
        <v/>
      </c>
      <c r="U675">
        <f>IF(OR(B675="",C675=""),"",B675+ROW()/10000000)</f>
        <v/>
      </c>
      <c r="V675">
        <f>IF(U675="","",IF(COUNTIFS(Orders!$C$6:$C$1005,C675,Orders!$U$6:$U$1005,"&gt;"&amp;U675)=0,1,0))</f>
        <v/>
      </c>
      <c r="W675">
        <f>IF(AND(B675&lt;&gt;"",K675&lt;&gt;"",L675&lt;&gt;"Sent",L675&lt;&gt;"Picked up",L675&lt;&gt;"Cancelled"),IF(N(E675)=0,1,E675),0)</f>
        <v/>
      </c>
      <c r="X675">
        <f>IF(OR(B675="",D675=""),"",IF(N(E675)=0,1,E675))</f>
        <v/>
      </c>
    </row>
    <row r="676">
      <c r="A676" s="1" t="n"/>
      <c r="B676" s="31" t="n"/>
      <c r="C676" s="32" t="n"/>
      <c r="D676" s="33" t="n"/>
      <c r="E676" s="34" t="n"/>
      <c r="F676" s="35" t="n"/>
      <c r="G676" s="35" t="n"/>
      <c r="H676" s="30">
        <f>IF(OR(B676="",D676=""),"",IF(N(E676)=0,1,E676)*IFERROR(INDEX(Products!$C$6:$C$105,MATCH(D676,Products!$B$6:$B$105,0)),0)+N(F676)+N(G676))</f>
        <v/>
      </c>
      <c r="I676" s="35" t="n"/>
      <c r="J676" s="30">
        <f>IF(OR(H676="",L676="Cancelled"),"",IF(H676-N(I676)&gt;0.005,H676-N(I676),""))</f>
        <v/>
      </c>
      <c r="K676" s="31" t="n"/>
      <c r="L676" s="36" t="n"/>
      <c r="M676" s="33" t="n"/>
      <c r="N676" s="22">
        <f>IF(OR(H676="",L676="Cancelled"),"",IF(N(E676)=0,1,E676)*IFERROR(INDEX(Products!$E$6:$E$105,MATCH(D676,Products!$B$6:$B$105,0)),0))</f>
        <v/>
      </c>
      <c r="O676" s="35" t="n"/>
      <c r="P676" s="22">
        <f>IF(OR(H676="",L676="Cancelled"),"",ROUND(IFERROR(H676*INDEX(Settings!$C$6:$C$15,MATCH(M676,Settings!$B$6:$B$15,0))+INDEX(Settings!$D$6:$D$15,MATCH(M676,Settings!$B$6:$B$15,0)),0),2))</f>
        <v/>
      </c>
      <c r="Q676" s="28">
        <f>IF(OR(H676="",L676="Cancelled"),"",H676-N(N676)-N(O676)-N(P676))</f>
        <v/>
      </c>
      <c r="R676" s="19">
        <f>IF(OR(B676="",K676=""),"",IF(OR(L676="Sent",L676="Picked up"),"Done",IF(L676="Cancelled","Cancelled",IF(K676&lt;TODAY(),"Late by "&amp;(TODAY()-K676)&amp;IF((TODAY()-K676)=1," day"," days"),IF(K676=TODAY(),"Due today","Due in "&amp;(K676-TODAY())&amp;IF((K676-TODAY())=1," day"," days"))))))</f>
        <v/>
      </c>
      <c r="S676" s="33" t="n"/>
      <c r="T676" s="1">
        <f>IF(AND(B676&lt;&gt;"",K676&lt;&gt;"",L676&lt;&gt;"Sent",L676&lt;&gt;"Picked up",L676&lt;&gt;"Cancelled"),K676+ROW()/10000000,"")</f>
        <v/>
      </c>
      <c r="U676">
        <f>IF(OR(B676="",C676=""),"",B676+ROW()/10000000)</f>
        <v/>
      </c>
      <c r="V676">
        <f>IF(U676="","",IF(COUNTIFS(Orders!$C$6:$C$1005,C676,Orders!$U$6:$U$1005,"&gt;"&amp;U676)=0,1,0))</f>
        <v/>
      </c>
      <c r="W676">
        <f>IF(AND(B676&lt;&gt;"",K676&lt;&gt;"",L676&lt;&gt;"Sent",L676&lt;&gt;"Picked up",L676&lt;&gt;"Cancelled"),IF(N(E676)=0,1,E676),0)</f>
        <v/>
      </c>
      <c r="X676">
        <f>IF(OR(B676="",D676=""),"",IF(N(E676)=0,1,E676))</f>
        <v/>
      </c>
    </row>
    <row r="677">
      <c r="A677" s="1" t="n"/>
      <c r="B677" s="31" t="n"/>
      <c r="C677" s="32" t="n"/>
      <c r="D677" s="33" t="n"/>
      <c r="E677" s="34" t="n"/>
      <c r="F677" s="35" t="n"/>
      <c r="G677" s="35" t="n"/>
      <c r="H677" s="30">
        <f>IF(OR(B677="",D677=""),"",IF(N(E677)=0,1,E677)*IFERROR(INDEX(Products!$C$6:$C$105,MATCH(D677,Products!$B$6:$B$105,0)),0)+N(F677)+N(G677))</f>
        <v/>
      </c>
      <c r="I677" s="35" t="n"/>
      <c r="J677" s="30">
        <f>IF(OR(H677="",L677="Cancelled"),"",IF(H677-N(I677)&gt;0.005,H677-N(I677),""))</f>
        <v/>
      </c>
      <c r="K677" s="31" t="n"/>
      <c r="L677" s="36" t="n"/>
      <c r="M677" s="33" t="n"/>
      <c r="N677" s="22">
        <f>IF(OR(H677="",L677="Cancelled"),"",IF(N(E677)=0,1,E677)*IFERROR(INDEX(Products!$E$6:$E$105,MATCH(D677,Products!$B$6:$B$105,0)),0))</f>
        <v/>
      </c>
      <c r="O677" s="35" t="n"/>
      <c r="P677" s="22">
        <f>IF(OR(H677="",L677="Cancelled"),"",ROUND(IFERROR(H677*INDEX(Settings!$C$6:$C$15,MATCH(M677,Settings!$B$6:$B$15,0))+INDEX(Settings!$D$6:$D$15,MATCH(M677,Settings!$B$6:$B$15,0)),0),2))</f>
        <v/>
      </c>
      <c r="Q677" s="28">
        <f>IF(OR(H677="",L677="Cancelled"),"",H677-N(N677)-N(O677)-N(P677))</f>
        <v/>
      </c>
      <c r="R677" s="19">
        <f>IF(OR(B677="",K677=""),"",IF(OR(L677="Sent",L677="Picked up"),"Done",IF(L677="Cancelled","Cancelled",IF(K677&lt;TODAY(),"Late by "&amp;(TODAY()-K677)&amp;IF((TODAY()-K677)=1," day"," days"),IF(K677=TODAY(),"Due today","Due in "&amp;(K677-TODAY())&amp;IF((K677-TODAY())=1," day"," days"))))))</f>
        <v/>
      </c>
      <c r="S677" s="33" t="n"/>
      <c r="T677" s="1">
        <f>IF(AND(B677&lt;&gt;"",K677&lt;&gt;"",L677&lt;&gt;"Sent",L677&lt;&gt;"Picked up",L677&lt;&gt;"Cancelled"),K677+ROW()/10000000,"")</f>
        <v/>
      </c>
      <c r="U677">
        <f>IF(OR(B677="",C677=""),"",B677+ROW()/10000000)</f>
        <v/>
      </c>
      <c r="V677">
        <f>IF(U677="","",IF(COUNTIFS(Orders!$C$6:$C$1005,C677,Orders!$U$6:$U$1005,"&gt;"&amp;U677)=0,1,0))</f>
        <v/>
      </c>
      <c r="W677">
        <f>IF(AND(B677&lt;&gt;"",K677&lt;&gt;"",L677&lt;&gt;"Sent",L677&lt;&gt;"Picked up",L677&lt;&gt;"Cancelled"),IF(N(E677)=0,1,E677),0)</f>
        <v/>
      </c>
      <c r="X677">
        <f>IF(OR(B677="",D677=""),"",IF(N(E677)=0,1,E677))</f>
        <v/>
      </c>
    </row>
    <row r="678">
      <c r="A678" s="1" t="n"/>
      <c r="B678" s="31" t="n"/>
      <c r="C678" s="32" t="n"/>
      <c r="D678" s="33" t="n"/>
      <c r="E678" s="34" t="n"/>
      <c r="F678" s="35" t="n"/>
      <c r="G678" s="35" t="n"/>
      <c r="H678" s="30">
        <f>IF(OR(B678="",D678=""),"",IF(N(E678)=0,1,E678)*IFERROR(INDEX(Products!$C$6:$C$105,MATCH(D678,Products!$B$6:$B$105,0)),0)+N(F678)+N(G678))</f>
        <v/>
      </c>
      <c r="I678" s="35" t="n"/>
      <c r="J678" s="30">
        <f>IF(OR(H678="",L678="Cancelled"),"",IF(H678-N(I678)&gt;0.005,H678-N(I678),""))</f>
        <v/>
      </c>
      <c r="K678" s="31" t="n"/>
      <c r="L678" s="36" t="n"/>
      <c r="M678" s="33" t="n"/>
      <c r="N678" s="22">
        <f>IF(OR(H678="",L678="Cancelled"),"",IF(N(E678)=0,1,E678)*IFERROR(INDEX(Products!$E$6:$E$105,MATCH(D678,Products!$B$6:$B$105,0)),0))</f>
        <v/>
      </c>
      <c r="O678" s="35" t="n"/>
      <c r="P678" s="22">
        <f>IF(OR(H678="",L678="Cancelled"),"",ROUND(IFERROR(H678*INDEX(Settings!$C$6:$C$15,MATCH(M678,Settings!$B$6:$B$15,0))+INDEX(Settings!$D$6:$D$15,MATCH(M678,Settings!$B$6:$B$15,0)),0),2))</f>
        <v/>
      </c>
      <c r="Q678" s="28">
        <f>IF(OR(H678="",L678="Cancelled"),"",H678-N(N678)-N(O678)-N(P678))</f>
        <v/>
      </c>
      <c r="R678" s="19">
        <f>IF(OR(B678="",K678=""),"",IF(OR(L678="Sent",L678="Picked up"),"Done",IF(L678="Cancelled","Cancelled",IF(K678&lt;TODAY(),"Late by "&amp;(TODAY()-K678)&amp;IF((TODAY()-K678)=1," day"," days"),IF(K678=TODAY(),"Due today","Due in "&amp;(K678-TODAY())&amp;IF((K678-TODAY())=1," day"," days"))))))</f>
        <v/>
      </c>
      <c r="S678" s="33" t="n"/>
      <c r="T678" s="1">
        <f>IF(AND(B678&lt;&gt;"",K678&lt;&gt;"",L678&lt;&gt;"Sent",L678&lt;&gt;"Picked up",L678&lt;&gt;"Cancelled"),K678+ROW()/10000000,"")</f>
        <v/>
      </c>
      <c r="U678">
        <f>IF(OR(B678="",C678=""),"",B678+ROW()/10000000)</f>
        <v/>
      </c>
      <c r="V678">
        <f>IF(U678="","",IF(COUNTIFS(Orders!$C$6:$C$1005,C678,Orders!$U$6:$U$1005,"&gt;"&amp;U678)=0,1,0))</f>
        <v/>
      </c>
      <c r="W678">
        <f>IF(AND(B678&lt;&gt;"",K678&lt;&gt;"",L678&lt;&gt;"Sent",L678&lt;&gt;"Picked up",L678&lt;&gt;"Cancelled"),IF(N(E678)=0,1,E678),0)</f>
        <v/>
      </c>
      <c r="X678">
        <f>IF(OR(B678="",D678=""),"",IF(N(E678)=0,1,E678))</f>
        <v/>
      </c>
    </row>
    <row r="679">
      <c r="A679" s="1" t="n"/>
      <c r="B679" s="31" t="n"/>
      <c r="C679" s="32" t="n"/>
      <c r="D679" s="33" t="n"/>
      <c r="E679" s="34" t="n"/>
      <c r="F679" s="35" t="n"/>
      <c r="G679" s="35" t="n"/>
      <c r="H679" s="30">
        <f>IF(OR(B679="",D679=""),"",IF(N(E679)=0,1,E679)*IFERROR(INDEX(Products!$C$6:$C$105,MATCH(D679,Products!$B$6:$B$105,0)),0)+N(F679)+N(G679))</f>
        <v/>
      </c>
      <c r="I679" s="35" t="n"/>
      <c r="J679" s="30">
        <f>IF(OR(H679="",L679="Cancelled"),"",IF(H679-N(I679)&gt;0.005,H679-N(I679),""))</f>
        <v/>
      </c>
      <c r="K679" s="31" t="n"/>
      <c r="L679" s="36" t="n"/>
      <c r="M679" s="33" t="n"/>
      <c r="N679" s="22">
        <f>IF(OR(H679="",L679="Cancelled"),"",IF(N(E679)=0,1,E679)*IFERROR(INDEX(Products!$E$6:$E$105,MATCH(D679,Products!$B$6:$B$105,0)),0))</f>
        <v/>
      </c>
      <c r="O679" s="35" t="n"/>
      <c r="P679" s="22">
        <f>IF(OR(H679="",L679="Cancelled"),"",ROUND(IFERROR(H679*INDEX(Settings!$C$6:$C$15,MATCH(M679,Settings!$B$6:$B$15,0))+INDEX(Settings!$D$6:$D$15,MATCH(M679,Settings!$B$6:$B$15,0)),0),2))</f>
        <v/>
      </c>
      <c r="Q679" s="28">
        <f>IF(OR(H679="",L679="Cancelled"),"",H679-N(N679)-N(O679)-N(P679))</f>
        <v/>
      </c>
      <c r="R679" s="19">
        <f>IF(OR(B679="",K679=""),"",IF(OR(L679="Sent",L679="Picked up"),"Done",IF(L679="Cancelled","Cancelled",IF(K679&lt;TODAY(),"Late by "&amp;(TODAY()-K679)&amp;IF((TODAY()-K679)=1," day"," days"),IF(K679=TODAY(),"Due today","Due in "&amp;(K679-TODAY())&amp;IF((K679-TODAY())=1," day"," days"))))))</f>
        <v/>
      </c>
      <c r="S679" s="33" t="n"/>
      <c r="T679" s="1">
        <f>IF(AND(B679&lt;&gt;"",K679&lt;&gt;"",L679&lt;&gt;"Sent",L679&lt;&gt;"Picked up",L679&lt;&gt;"Cancelled"),K679+ROW()/10000000,"")</f>
        <v/>
      </c>
      <c r="U679">
        <f>IF(OR(B679="",C679=""),"",B679+ROW()/10000000)</f>
        <v/>
      </c>
      <c r="V679">
        <f>IF(U679="","",IF(COUNTIFS(Orders!$C$6:$C$1005,C679,Orders!$U$6:$U$1005,"&gt;"&amp;U679)=0,1,0))</f>
        <v/>
      </c>
      <c r="W679">
        <f>IF(AND(B679&lt;&gt;"",K679&lt;&gt;"",L679&lt;&gt;"Sent",L679&lt;&gt;"Picked up",L679&lt;&gt;"Cancelled"),IF(N(E679)=0,1,E679),0)</f>
        <v/>
      </c>
      <c r="X679">
        <f>IF(OR(B679="",D679=""),"",IF(N(E679)=0,1,E679))</f>
        <v/>
      </c>
    </row>
    <row r="680">
      <c r="A680" s="1" t="n"/>
      <c r="B680" s="31" t="n"/>
      <c r="C680" s="32" t="n"/>
      <c r="D680" s="33" t="n"/>
      <c r="E680" s="34" t="n"/>
      <c r="F680" s="35" t="n"/>
      <c r="G680" s="35" t="n"/>
      <c r="H680" s="30">
        <f>IF(OR(B680="",D680=""),"",IF(N(E680)=0,1,E680)*IFERROR(INDEX(Products!$C$6:$C$105,MATCH(D680,Products!$B$6:$B$105,0)),0)+N(F680)+N(G680))</f>
        <v/>
      </c>
      <c r="I680" s="35" t="n"/>
      <c r="J680" s="30">
        <f>IF(OR(H680="",L680="Cancelled"),"",IF(H680-N(I680)&gt;0.005,H680-N(I680),""))</f>
        <v/>
      </c>
      <c r="K680" s="31" t="n"/>
      <c r="L680" s="36" t="n"/>
      <c r="M680" s="33" t="n"/>
      <c r="N680" s="22">
        <f>IF(OR(H680="",L680="Cancelled"),"",IF(N(E680)=0,1,E680)*IFERROR(INDEX(Products!$E$6:$E$105,MATCH(D680,Products!$B$6:$B$105,0)),0))</f>
        <v/>
      </c>
      <c r="O680" s="35" t="n"/>
      <c r="P680" s="22">
        <f>IF(OR(H680="",L680="Cancelled"),"",ROUND(IFERROR(H680*INDEX(Settings!$C$6:$C$15,MATCH(M680,Settings!$B$6:$B$15,0))+INDEX(Settings!$D$6:$D$15,MATCH(M680,Settings!$B$6:$B$15,0)),0),2))</f>
        <v/>
      </c>
      <c r="Q680" s="28">
        <f>IF(OR(H680="",L680="Cancelled"),"",H680-N(N680)-N(O680)-N(P680))</f>
        <v/>
      </c>
      <c r="R680" s="19">
        <f>IF(OR(B680="",K680=""),"",IF(OR(L680="Sent",L680="Picked up"),"Done",IF(L680="Cancelled","Cancelled",IF(K680&lt;TODAY(),"Late by "&amp;(TODAY()-K680)&amp;IF((TODAY()-K680)=1," day"," days"),IF(K680=TODAY(),"Due today","Due in "&amp;(K680-TODAY())&amp;IF((K680-TODAY())=1," day"," days"))))))</f>
        <v/>
      </c>
      <c r="S680" s="33" t="n"/>
      <c r="T680" s="1">
        <f>IF(AND(B680&lt;&gt;"",K680&lt;&gt;"",L680&lt;&gt;"Sent",L680&lt;&gt;"Picked up",L680&lt;&gt;"Cancelled"),K680+ROW()/10000000,"")</f>
        <v/>
      </c>
      <c r="U680">
        <f>IF(OR(B680="",C680=""),"",B680+ROW()/10000000)</f>
        <v/>
      </c>
      <c r="V680">
        <f>IF(U680="","",IF(COUNTIFS(Orders!$C$6:$C$1005,C680,Orders!$U$6:$U$1005,"&gt;"&amp;U680)=0,1,0))</f>
        <v/>
      </c>
      <c r="W680">
        <f>IF(AND(B680&lt;&gt;"",K680&lt;&gt;"",L680&lt;&gt;"Sent",L680&lt;&gt;"Picked up",L680&lt;&gt;"Cancelled"),IF(N(E680)=0,1,E680),0)</f>
        <v/>
      </c>
      <c r="X680">
        <f>IF(OR(B680="",D680=""),"",IF(N(E680)=0,1,E680))</f>
        <v/>
      </c>
    </row>
    <row r="681">
      <c r="A681" s="1" t="n"/>
      <c r="B681" s="31" t="n"/>
      <c r="C681" s="32" t="n"/>
      <c r="D681" s="33" t="n"/>
      <c r="E681" s="34" t="n"/>
      <c r="F681" s="35" t="n"/>
      <c r="G681" s="35" t="n"/>
      <c r="H681" s="30">
        <f>IF(OR(B681="",D681=""),"",IF(N(E681)=0,1,E681)*IFERROR(INDEX(Products!$C$6:$C$105,MATCH(D681,Products!$B$6:$B$105,0)),0)+N(F681)+N(G681))</f>
        <v/>
      </c>
      <c r="I681" s="35" t="n"/>
      <c r="J681" s="30">
        <f>IF(OR(H681="",L681="Cancelled"),"",IF(H681-N(I681)&gt;0.005,H681-N(I681),""))</f>
        <v/>
      </c>
      <c r="K681" s="31" t="n"/>
      <c r="L681" s="36" t="n"/>
      <c r="M681" s="33" t="n"/>
      <c r="N681" s="22">
        <f>IF(OR(H681="",L681="Cancelled"),"",IF(N(E681)=0,1,E681)*IFERROR(INDEX(Products!$E$6:$E$105,MATCH(D681,Products!$B$6:$B$105,0)),0))</f>
        <v/>
      </c>
      <c r="O681" s="35" t="n"/>
      <c r="P681" s="22">
        <f>IF(OR(H681="",L681="Cancelled"),"",ROUND(IFERROR(H681*INDEX(Settings!$C$6:$C$15,MATCH(M681,Settings!$B$6:$B$15,0))+INDEX(Settings!$D$6:$D$15,MATCH(M681,Settings!$B$6:$B$15,0)),0),2))</f>
        <v/>
      </c>
      <c r="Q681" s="28">
        <f>IF(OR(H681="",L681="Cancelled"),"",H681-N(N681)-N(O681)-N(P681))</f>
        <v/>
      </c>
      <c r="R681" s="19">
        <f>IF(OR(B681="",K681=""),"",IF(OR(L681="Sent",L681="Picked up"),"Done",IF(L681="Cancelled","Cancelled",IF(K681&lt;TODAY(),"Late by "&amp;(TODAY()-K681)&amp;IF((TODAY()-K681)=1," day"," days"),IF(K681=TODAY(),"Due today","Due in "&amp;(K681-TODAY())&amp;IF((K681-TODAY())=1," day"," days"))))))</f>
        <v/>
      </c>
      <c r="S681" s="33" t="n"/>
      <c r="T681" s="1">
        <f>IF(AND(B681&lt;&gt;"",K681&lt;&gt;"",L681&lt;&gt;"Sent",L681&lt;&gt;"Picked up",L681&lt;&gt;"Cancelled"),K681+ROW()/10000000,"")</f>
        <v/>
      </c>
      <c r="U681">
        <f>IF(OR(B681="",C681=""),"",B681+ROW()/10000000)</f>
        <v/>
      </c>
      <c r="V681">
        <f>IF(U681="","",IF(COUNTIFS(Orders!$C$6:$C$1005,C681,Orders!$U$6:$U$1005,"&gt;"&amp;U681)=0,1,0))</f>
        <v/>
      </c>
      <c r="W681">
        <f>IF(AND(B681&lt;&gt;"",K681&lt;&gt;"",L681&lt;&gt;"Sent",L681&lt;&gt;"Picked up",L681&lt;&gt;"Cancelled"),IF(N(E681)=0,1,E681),0)</f>
        <v/>
      </c>
      <c r="X681">
        <f>IF(OR(B681="",D681=""),"",IF(N(E681)=0,1,E681))</f>
        <v/>
      </c>
    </row>
    <row r="682">
      <c r="A682" s="1" t="n"/>
      <c r="B682" s="31" t="n"/>
      <c r="C682" s="32" t="n"/>
      <c r="D682" s="33" t="n"/>
      <c r="E682" s="34" t="n"/>
      <c r="F682" s="35" t="n"/>
      <c r="G682" s="35" t="n"/>
      <c r="H682" s="30">
        <f>IF(OR(B682="",D682=""),"",IF(N(E682)=0,1,E682)*IFERROR(INDEX(Products!$C$6:$C$105,MATCH(D682,Products!$B$6:$B$105,0)),0)+N(F682)+N(G682))</f>
        <v/>
      </c>
      <c r="I682" s="35" t="n"/>
      <c r="J682" s="30">
        <f>IF(OR(H682="",L682="Cancelled"),"",IF(H682-N(I682)&gt;0.005,H682-N(I682),""))</f>
        <v/>
      </c>
      <c r="K682" s="31" t="n"/>
      <c r="L682" s="36" t="n"/>
      <c r="M682" s="33" t="n"/>
      <c r="N682" s="22">
        <f>IF(OR(H682="",L682="Cancelled"),"",IF(N(E682)=0,1,E682)*IFERROR(INDEX(Products!$E$6:$E$105,MATCH(D682,Products!$B$6:$B$105,0)),0))</f>
        <v/>
      </c>
      <c r="O682" s="35" t="n"/>
      <c r="P682" s="22">
        <f>IF(OR(H682="",L682="Cancelled"),"",ROUND(IFERROR(H682*INDEX(Settings!$C$6:$C$15,MATCH(M682,Settings!$B$6:$B$15,0))+INDEX(Settings!$D$6:$D$15,MATCH(M682,Settings!$B$6:$B$15,0)),0),2))</f>
        <v/>
      </c>
      <c r="Q682" s="28">
        <f>IF(OR(H682="",L682="Cancelled"),"",H682-N(N682)-N(O682)-N(P682))</f>
        <v/>
      </c>
      <c r="R682" s="19">
        <f>IF(OR(B682="",K682=""),"",IF(OR(L682="Sent",L682="Picked up"),"Done",IF(L682="Cancelled","Cancelled",IF(K682&lt;TODAY(),"Late by "&amp;(TODAY()-K682)&amp;IF((TODAY()-K682)=1," day"," days"),IF(K682=TODAY(),"Due today","Due in "&amp;(K682-TODAY())&amp;IF((K682-TODAY())=1," day"," days"))))))</f>
        <v/>
      </c>
      <c r="S682" s="33" t="n"/>
      <c r="T682" s="1">
        <f>IF(AND(B682&lt;&gt;"",K682&lt;&gt;"",L682&lt;&gt;"Sent",L682&lt;&gt;"Picked up",L682&lt;&gt;"Cancelled"),K682+ROW()/10000000,"")</f>
        <v/>
      </c>
      <c r="U682">
        <f>IF(OR(B682="",C682=""),"",B682+ROW()/10000000)</f>
        <v/>
      </c>
      <c r="V682">
        <f>IF(U682="","",IF(COUNTIFS(Orders!$C$6:$C$1005,C682,Orders!$U$6:$U$1005,"&gt;"&amp;U682)=0,1,0))</f>
        <v/>
      </c>
      <c r="W682">
        <f>IF(AND(B682&lt;&gt;"",K682&lt;&gt;"",L682&lt;&gt;"Sent",L682&lt;&gt;"Picked up",L682&lt;&gt;"Cancelled"),IF(N(E682)=0,1,E682),0)</f>
        <v/>
      </c>
      <c r="X682">
        <f>IF(OR(B682="",D682=""),"",IF(N(E682)=0,1,E682))</f>
        <v/>
      </c>
    </row>
    <row r="683">
      <c r="A683" s="1" t="n"/>
      <c r="B683" s="31" t="n"/>
      <c r="C683" s="32" t="n"/>
      <c r="D683" s="33" t="n"/>
      <c r="E683" s="34" t="n"/>
      <c r="F683" s="35" t="n"/>
      <c r="G683" s="35" t="n"/>
      <c r="H683" s="30">
        <f>IF(OR(B683="",D683=""),"",IF(N(E683)=0,1,E683)*IFERROR(INDEX(Products!$C$6:$C$105,MATCH(D683,Products!$B$6:$B$105,0)),0)+N(F683)+N(G683))</f>
        <v/>
      </c>
      <c r="I683" s="35" t="n"/>
      <c r="J683" s="30">
        <f>IF(OR(H683="",L683="Cancelled"),"",IF(H683-N(I683)&gt;0.005,H683-N(I683),""))</f>
        <v/>
      </c>
      <c r="K683" s="31" t="n"/>
      <c r="L683" s="36" t="n"/>
      <c r="M683" s="33" t="n"/>
      <c r="N683" s="22">
        <f>IF(OR(H683="",L683="Cancelled"),"",IF(N(E683)=0,1,E683)*IFERROR(INDEX(Products!$E$6:$E$105,MATCH(D683,Products!$B$6:$B$105,0)),0))</f>
        <v/>
      </c>
      <c r="O683" s="35" t="n"/>
      <c r="P683" s="22">
        <f>IF(OR(H683="",L683="Cancelled"),"",ROUND(IFERROR(H683*INDEX(Settings!$C$6:$C$15,MATCH(M683,Settings!$B$6:$B$15,0))+INDEX(Settings!$D$6:$D$15,MATCH(M683,Settings!$B$6:$B$15,0)),0),2))</f>
        <v/>
      </c>
      <c r="Q683" s="28">
        <f>IF(OR(H683="",L683="Cancelled"),"",H683-N(N683)-N(O683)-N(P683))</f>
        <v/>
      </c>
      <c r="R683" s="19">
        <f>IF(OR(B683="",K683=""),"",IF(OR(L683="Sent",L683="Picked up"),"Done",IF(L683="Cancelled","Cancelled",IF(K683&lt;TODAY(),"Late by "&amp;(TODAY()-K683)&amp;IF((TODAY()-K683)=1," day"," days"),IF(K683=TODAY(),"Due today","Due in "&amp;(K683-TODAY())&amp;IF((K683-TODAY())=1," day"," days"))))))</f>
        <v/>
      </c>
      <c r="S683" s="33" t="n"/>
      <c r="T683" s="1">
        <f>IF(AND(B683&lt;&gt;"",K683&lt;&gt;"",L683&lt;&gt;"Sent",L683&lt;&gt;"Picked up",L683&lt;&gt;"Cancelled"),K683+ROW()/10000000,"")</f>
        <v/>
      </c>
      <c r="U683">
        <f>IF(OR(B683="",C683=""),"",B683+ROW()/10000000)</f>
        <v/>
      </c>
      <c r="V683">
        <f>IF(U683="","",IF(COUNTIFS(Orders!$C$6:$C$1005,C683,Orders!$U$6:$U$1005,"&gt;"&amp;U683)=0,1,0))</f>
        <v/>
      </c>
      <c r="W683">
        <f>IF(AND(B683&lt;&gt;"",K683&lt;&gt;"",L683&lt;&gt;"Sent",L683&lt;&gt;"Picked up",L683&lt;&gt;"Cancelled"),IF(N(E683)=0,1,E683),0)</f>
        <v/>
      </c>
      <c r="X683">
        <f>IF(OR(B683="",D683=""),"",IF(N(E683)=0,1,E683))</f>
        <v/>
      </c>
    </row>
    <row r="684">
      <c r="A684" s="1" t="n"/>
      <c r="B684" s="31" t="n"/>
      <c r="C684" s="32" t="n"/>
      <c r="D684" s="33" t="n"/>
      <c r="E684" s="34" t="n"/>
      <c r="F684" s="35" t="n"/>
      <c r="G684" s="35" t="n"/>
      <c r="H684" s="30">
        <f>IF(OR(B684="",D684=""),"",IF(N(E684)=0,1,E684)*IFERROR(INDEX(Products!$C$6:$C$105,MATCH(D684,Products!$B$6:$B$105,0)),0)+N(F684)+N(G684))</f>
        <v/>
      </c>
      <c r="I684" s="35" t="n"/>
      <c r="J684" s="30">
        <f>IF(OR(H684="",L684="Cancelled"),"",IF(H684-N(I684)&gt;0.005,H684-N(I684),""))</f>
        <v/>
      </c>
      <c r="K684" s="31" t="n"/>
      <c r="L684" s="36" t="n"/>
      <c r="M684" s="33" t="n"/>
      <c r="N684" s="22">
        <f>IF(OR(H684="",L684="Cancelled"),"",IF(N(E684)=0,1,E684)*IFERROR(INDEX(Products!$E$6:$E$105,MATCH(D684,Products!$B$6:$B$105,0)),0))</f>
        <v/>
      </c>
      <c r="O684" s="35" t="n"/>
      <c r="P684" s="22">
        <f>IF(OR(H684="",L684="Cancelled"),"",ROUND(IFERROR(H684*INDEX(Settings!$C$6:$C$15,MATCH(M684,Settings!$B$6:$B$15,0))+INDEX(Settings!$D$6:$D$15,MATCH(M684,Settings!$B$6:$B$15,0)),0),2))</f>
        <v/>
      </c>
      <c r="Q684" s="28">
        <f>IF(OR(H684="",L684="Cancelled"),"",H684-N(N684)-N(O684)-N(P684))</f>
        <v/>
      </c>
      <c r="R684" s="19">
        <f>IF(OR(B684="",K684=""),"",IF(OR(L684="Sent",L684="Picked up"),"Done",IF(L684="Cancelled","Cancelled",IF(K684&lt;TODAY(),"Late by "&amp;(TODAY()-K684)&amp;IF((TODAY()-K684)=1," day"," days"),IF(K684=TODAY(),"Due today","Due in "&amp;(K684-TODAY())&amp;IF((K684-TODAY())=1," day"," days"))))))</f>
        <v/>
      </c>
      <c r="S684" s="33" t="n"/>
      <c r="T684" s="1">
        <f>IF(AND(B684&lt;&gt;"",K684&lt;&gt;"",L684&lt;&gt;"Sent",L684&lt;&gt;"Picked up",L684&lt;&gt;"Cancelled"),K684+ROW()/10000000,"")</f>
        <v/>
      </c>
      <c r="U684">
        <f>IF(OR(B684="",C684=""),"",B684+ROW()/10000000)</f>
        <v/>
      </c>
      <c r="V684">
        <f>IF(U684="","",IF(COUNTIFS(Orders!$C$6:$C$1005,C684,Orders!$U$6:$U$1005,"&gt;"&amp;U684)=0,1,0))</f>
        <v/>
      </c>
      <c r="W684">
        <f>IF(AND(B684&lt;&gt;"",K684&lt;&gt;"",L684&lt;&gt;"Sent",L684&lt;&gt;"Picked up",L684&lt;&gt;"Cancelled"),IF(N(E684)=0,1,E684),0)</f>
        <v/>
      </c>
      <c r="X684">
        <f>IF(OR(B684="",D684=""),"",IF(N(E684)=0,1,E684))</f>
        <v/>
      </c>
    </row>
    <row r="685">
      <c r="A685" s="1" t="n"/>
      <c r="B685" s="31" t="n"/>
      <c r="C685" s="32" t="n"/>
      <c r="D685" s="33" t="n"/>
      <c r="E685" s="34" t="n"/>
      <c r="F685" s="35" t="n"/>
      <c r="G685" s="35" t="n"/>
      <c r="H685" s="30">
        <f>IF(OR(B685="",D685=""),"",IF(N(E685)=0,1,E685)*IFERROR(INDEX(Products!$C$6:$C$105,MATCH(D685,Products!$B$6:$B$105,0)),0)+N(F685)+N(G685))</f>
        <v/>
      </c>
      <c r="I685" s="35" t="n"/>
      <c r="J685" s="30">
        <f>IF(OR(H685="",L685="Cancelled"),"",IF(H685-N(I685)&gt;0.005,H685-N(I685),""))</f>
        <v/>
      </c>
      <c r="K685" s="31" t="n"/>
      <c r="L685" s="36" t="n"/>
      <c r="M685" s="33" t="n"/>
      <c r="N685" s="22">
        <f>IF(OR(H685="",L685="Cancelled"),"",IF(N(E685)=0,1,E685)*IFERROR(INDEX(Products!$E$6:$E$105,MATCH(D685,Products!$B$6:$B$105,0)),0))</f>
        <v/>
      </c>
      <c r="O685" s="35" t="n"/>
      <c r="P685" s="22">
        <f>IF(OR(H685="",L685="Cancelled"),"",ROUND(IFERROR(H685*INDEX(Settings!$C$6:$C$15,MATCH(M685,Settings!$B$6:$B$15,0))+INDEX(Settings!$D$6:$D$15,MATCH(M685,Settings!$B$6:$B$15,0)),0),2))</f>
        <v/>
      </c>
      <c r="Q685" s="28">
        <f>IF(OR(H685="",L685="Cancelled"),"",H685-N(N685)-N(O685)-N(P685))</f>
        <v/>
      </c>
      <c r="R685" s="19">
        <f>IF(OR(B685="",K685=""),"",IF(OR(L685="Sent",L685="Picked up"),"Done",IF(L685="Cancelled","Cancelled",IF(K685&lt;TODAY(),"Late by "&amp;(TODAY()-K685)&amp;IF((TODAY()-K685)=1," day"," days"),IF(K685=TODAY(),"Due today","Due in "&amp;(K685-TODAY())&amp;IF((K685-TODAY())=1," day"," days"))))))</f>
        <v/>
      </c>
      <c r="S685" s="33" t="n"/>
      <c r="T685" s="1">
        <f>IF(AND(B685&lt;&gt;"",K685&lt;&gt;"",L685&lt;&gt;"Sent",L685&lt;&gt;"Picked up",L685&lt;&gt;"Cancelled"),K685+ROW()/10000000,"")</f>
        <v/>
      </c>
      <c r="U685">
        <f>IF(OR(B685="",C685=""),"",B685+ROW()/10000000)</f>
        <v/>
      </c>
      <c r="V685">
        <f>IF(U685="","",IF(COUNTIFS(Orders!$C$6:$C$1005,C685,Orders!$U$6:$U$1005,"&gt;"&amp;U685)=0,1,0))</f>
        <v/>
      </c>
      <c r="W685">
        <f>IF(AND(B685&lt;&gt;"",K685&lt;&gt;"",L685&lt;&gt;"Sent",L685&lt;&gt;"Picked up",L685&lt;&gt;"Cancelled"),IF(N(E685)=0,1,E685),0)</f>
        <v/>
      </c>
      <c r="X685">
        <f>IF(OR(B685="",D685=""),"",IF(N(E685)=0,1,E685))</f>
        <v/>
      </c>
    </row>
    <row r="686">
      <c r="A686" s="1" t="n"/>
      <c r="B686" s="31" t="n"/>
      <c r="C686" s="32" t="n"/>
      <c r="D686" s="33" t="n"/>
      <c r="E686" s="34" t="n"/>
      <c r="F686" s="35" t="n"/>
      <c r="G686" s="35" t="n"/>
      <c r="H686" s="30">
        <f>IF(OR(B686="",D686=""),"",IF(N(E686)=0,1,E686)*IFERROR(INDEX(Products!$C$6:$C$105,MATCH(D686,Products!$B$6:$B$105,0)),0)+N(F686)+N(G686))</f>
        <v/>
      </c>
      <c r="I686" s="35" t="n"/>
      <c r="J686" s="30">
        <f>IF(OR(H686="",L686="Cancelled"),"",IF(H686-N(I686)&gt;0.005,H686-N(I686),""))</f>
        <v/>
      </c>
      <c r="K686" s="31" t="n"/>
      <c r="L686" s="36" t="n"/>
      <c r="M686" s="33" t="n"/>
      <c r="N686" s="22">
        <f>IF(OR(H686="",L686="Cancelled"),"",IF(N(E686)=0,1,E686)*IFERROR(INDEX(Products!$E$6:$E$105,MATCH(D686,Products!$B$6:$B$105,0)),0))</f>
        <v/>
      </c>
      <c r="O686" s="35" t="n"/>
      <c r="P686" s="22">
        <f>IF(OR(H686="",L686="Cancelled"),"",ROUND(IFERROR(H686*INDEX(Settings!$C$6:$C$15,MATCH(M686,Settings!$B$6:$B$15,0))+INDEX(Settings!$D$6:$D$15,MATCH(M686,Settings!$B$6:$B$15,0)),0),2))</f>
        <v/>
      </c>
      <c r="Q686" s="28">
        <f>IF(OR(H686="",L686="Cancelled"),"",H686-N(N686)-N(O686)-N(P686))</f>
        <v/>
      </c>
      <c r="R686" s="19">
        <f>IF(OR(B686="",K686=""),"",IF(OR(L686="Sent",L686="Picked up"),"Done",IF(L686="Cancelled","Cancelled",IF(K686&lt;TODAY(),"Late by "&amp;(TODAY()-K686)&amp;IF((TODAY()-K686)=1," day"," days"),IF(K686=TODAY(),"Due today","Due in "&amp;(K686-TODAY())&amp;IF((K686-TODAY())=1," day"," days"))))))</f>
        <v/>
      </c>
      <c r="S686" s="33" t="n"/>
      <c r="T686" s="1">
        <f>IF(AND(B686&lt;&gt;"",K686&lt;&gt;"",L686&lt;&gt;"Sent",L686&lt;&gt;"Picked up",L686&lt;&gt;"Cancelled"),K686+ROW()/10000000,"")</f>
        <v/>
      </c>
      <c r="U686">
        <f>IF(OR(B686="",C686=""),"",B686+ROW()/10000000)</f>
        <v/>
      </c>
      <c r="V686">
        <f>IF(U686="","",IF(COUNTIFS(Orders!$C$6:$C$1005,C686,Orders!$U$6:$U$1005,"&gt;"&amp;U686)=0,1,0))</f>
        <v/>
      </c>
      <c r="W686">
        <f>IF(AND(B686&lt;&gt;"",K686&lt;&gt;"",L686&lt;&gt;"Sent",L686&lt;&gt;"Picked up",L686&lt;&gt;"Cancelled"),IF(N(E686)=0,1,E686),0)</f>
        <v/>
      </c>
      <c r="X686">
        <f>IF(OR(B686="",D686=""),"",IF(N(E686)=0,1,E686))</f>
        <v/>
      </c>
    </row>
    <row r="687">
      <c r="A687" s="1" t="n"/>
      <c r="B687" s="31" t="n"/>
      <c r="C687" s="32" t="n"/>
      <c r="D687" s="33" t="n"/>
      <c r="E687" s="34" t="n"/>
      <c r="F687" s="35" t="n"/>
      <c r="G687" s="35" t="n"/>
      <c r="H687" s="30">
        <f>IF(OR(B687="",D687=""),"",IF(N(E687)=0,1,E687)*IFERROR(INDEX(Products!$C$6:$C$105,MATCH(D687,Products!$B$6:$B$105,0)),0)+N(F687)+N(G687))</f>
        <v/>
      </c>
      <c r="I687" s="35" t="n"/>
      <c r="J687" s="30">
        <f>IF(OR(H687="",L687="Cancelled"),"",IF(H687-N(I687)&gt;0.005,H687-N(I687),""))</f>
        <v/>
      </c>
      <c r="K687" s="31" t="n"/>
      <c r="L687" s="36" t="n"/>
      <c r="M687" s="33" t="n"/>
      <c r="N687" s="22">
        <f>IF(OR(H687="",L687="Cancelled"),"",IF(N(E687)=0,1,E687)*IFERROR(INDEX(Products!$E$6:$E$105,MATCH(D687,Products!$B$6:$B$105,0)),0))</f>
        <v/>
      </c>
      <c r="O687" s="35" t="n"/>
      <c r="P687" s="22">
        <f>IF(OR(H687="",L687="Cancelled"),"",ROUND(IFERROR(H687*INDEX(Settings!$C$6:$C$15,MATCH(M687,Settings!$B$6:$B$15,0))+INDEX(Settings!$D$6:$D$15,MATCH(M687,Settings!$B$6:$B$15,0)),0),2))</f>
        <v/>
      </c>
      <c r="Q687" s="28">
        <f>IF(OR(H687="",L687="Cancelled"),"",H687-N(N687)-N(O687)-N(P687))</f>
        <v/>
      </c>
      <c r="R687" s="19">
        <f>IF(OR(B687="",K687=""),"",IF(OR(L687="Sent",L687="Picked up"),"Done",IF(L687="Cancelled","Cancelled",IF(K687&lt;TODAY(),"Late by "&amp;(TODAY()-K687)&amp;IF((TODAY()-K687)=1," day"," days"),IF(K687=TODAY(),"Due today","Due in "&amp;(K687-TODAY())&amp;IF((K687-TODAY())=1," day"," days"))))))</f>
        <v/>
      </c>
      <c r="S687" s="33" t="n"/>
      <c r="T687" s="1">
        <f>IF(AND(B687&lt;&gt;"",K687&lt;&gt;"",L687&lt;&gt;"Sent",L687&lt;&gt;"Picked up",L687&lt;&gt;"Cancelled"),K687+ROW()/10000000,"")</f>
        <v/>
      </c>
      <c r="U687">
        <f>IF(OR(B687="",C687=""),"",B687+ROW()/10000000)</f>
        <v/>
      </c>
      <c r="V687">
        <f>IF(U687="","",IF(COUNTIFS(Orders!$C$6:$C$1005,C687,Orders!$U$6:$U$1005,"&gt;"&amp;U687)=0,1,0))</f>
        <v/>
      </c>
      <c r="W687">
        <f>IF(AND(B687&lt;&gt;"",K687&lt;&gt;"",L687&lt;&gt;"Sent",L687&lt;&gt;"Picked up",L687&lt;&gt;"Cancelled"),IF(N(E687)=0,1,E687),0)</f>
        <v/>
      </c>
      <c r="X687">
        <f>IF(OR(B687="",D687=""),"",IF(N(E687)=0,1,E687))</f>
        <v/>
      </c>
    </row>
    <row r="688">
      <c r="A688" s="1" t="n"/>
      <c r="B688" s="31" t="n"/>
      <c r="C688" s="32" t="n"/>
      <c r="D688" s="33" t="n"/>
      <c r="E688" s="34" t="n"/>
      <c r="F688" s="35" t="n"/>
      <c r="G688" s="35" t="n"/>
      <c r="H688" s="30">
        <f>IF(OR(B688="",D688=""),"",IF(N(E688)=0,1,E688)*IFERROR(INDEX(Products!$C$6:$C$105,MATCH(D688,Products!$B$6:$B$105,0)),0)+N(F688)+N(G688))</f>
        <v/>
      </c>
      <c r="I688" s="35" t="n"/>
      <c r="J688" s="30">
        <f>IF(OR(H688="",L688="Cancelled"),"",IF(H688-N(I688)&gt;0.005,H688-N(I688),""))</f>
        <v/>
      </c>
      <c r="K688" s="31" t="n"/>
      <c r="L688" s="36" t="n"/>
      <c r="M688" s="33" t="n"/>
      <c r="N688" s="22">
        <f>IF(OR(H688="",L688="Cancelled"),"",IF(N(E688)=0,1,E688)*IFERROR(INDEX(Products!$E$6:$E$105,MATCH(D688,Products!$B$6:$B$105,0)),0))</f>
        <v/>
      </c>
      <c r="O688" s="35" t="n"/>
      <c r="P688" s="22">
        <f>IF(OR(H688="",L688="Cancelled"),"",ROUND(IFERROR(H688*INDEX(Settings!$C$6:$C$15,MATCH(M688,Settings!$B$6:$B$15,0))+INDEX(Settings!$D$6:$D$15,MATCH(M688,Settings!$B$6:$B$15,0)),0),2))</f>
        <v/>
      </c>
      <c r="Q688" s="28">
        <f>IF(OR(H688="",L688="Cancelled"),"",H688-N(N688)-N(O688)-N(P688))</f>
        <v/>
      </c>
      <c r="R688" s="19">
        <f>IF(OR(B688="",K688=""),"",IF(OR(L688="Sent",L688="Picked up"),"Done",IF(L688="Cancelled","Cancelled",IF(K688&lt;TODAY(),"Late by "&amp;(TODAY()-K688)&amp;IF((TODAY()-K688)=1," day"," days"),IF(K688=TODAY(),"Due today","Due in "&amp;(K688-TODAY())&amp;IF((K688-TODAY())=1," day"," days"))))))</f>
        <v/>
      </c>
      <c r="S688" s="33" t="n"/>
      <c r="T688" s="1">
        <f>IF(AND(B688&lt;&gt;"",K688&lt;&gt;"",L688&lt;&gt;"Sent",L688&lt;&gt;"Picked up",L688&lt;&gt;"Cancelled"),K688+ROW()/10000000,"")</f>
        <v/>
      </c>
      <c r="U688">
        <f>IF(OR(B688="",C688=""),"",B688+ROW()/10000000)</f>
        <v/>
      </c>
      <c r="V688">
        <f>IF(U688="","",IF(COUNTIFS(Orders!$C$6:$C$1005,C688,Orders!$U$6:$U$1005,"&gt;"&amp;U688)=0,1,0))</f>
        <v/>
      </c>
      <c r="W688">
        <f>IF(AND(B688&lt;&gt;"",K688&lt;&gt;"",L688&lt;&gt;"Sent",L688&lt;&gt;"Picked up",L688&lt;&gt;"Cancelled"),IF(N(E688)=0,1,E688),0)</f>
        <v/>
      </c>
      <c r="X688">
        <f>IF(OR(B688="",D688=""),"",IF(N(E688)=0,1,E688))</f>
        <v/>
      </c>
    </row>
    <row r="689">
      <c r="A689" s="1" t="n"/>
      <c r="B689" s="31" t="n"/>
      <c r="C689" s="32" t="n"/>
      <c r="D689" s="33" t="n"/>
      <c r="E689" s="34" t="n"/>
      <c r="F689" s="35" t="n"/>
      <c r="G689" s="35" t="n"/>
      <c r="H689" s="30">
        <f>IF(OR(B689="",D689=""),"",IF(N(E689)=0,1,E689)*IFERROR(INDEX(Products!$C$6:$C$105,MATCH(D689,Products!$B$6:$B$105,0)),0)+N(F689)+N(G689))</f>
        <v/>
      </c>
      <c r="I689" s="35" t="n"/>
      <c r="J689" s="30">
        <f>IF(OR(H689="",L689="Cancelled"),"",IF(H689-N(I689)&gt;0.005,H689-N(I689),""))</f>
        <v/>
      </c>
      <c r="K689" s="31" t="n"/>
      <c r="L689" s="36" t="n"/>
      <c r="M689" s="33" t="n"/>
      <c r="N689" s="22">
        <f>IF(OR(H689="",L689="Cancelled"),"",IF(N(E689)=0,1,E689)*IFERROR(INDEX(Products!$E$6:$E$105,MATCH(D689,Products!$B$6:$B$105,0)),0))</f>
        <v/>
      </c>
      <c r="O689" s="35" t="n"/>
      <c r="P689" s="22">
        <f>IF(OR(H689="",L689="Cancelled"),"",ROUND(IFERROR(H689*INDEX(Settings!$C$6:$C$15,MATCH(M689,Settings!$B$6:$B$15,0))+INDEX(Settings!$D$6:$D$15,MATCH(M689,Settings!$B$6:$B$15,0)),0),2))</f>
        <v/>
      </c>
      <c r="Q689" s="28">
        <f>IF(OR(H689="",L689="Cancelled"),"",H689-N(N689)-N(O689)-N(P689))</f>
        <v/>
      </c>
      <c r="R689" s="19">
        <f>IF(OR(B689="",K689=""),"",IF(OR(L689="Sent",L689="Picked up"),"Done",IF(L689="Cancelled","Cancelled",IF(K689&lt;TODAY(),"Late by "&amp;(TODAY()-K689)&amp;IF((TODAY()-K689)=1," day"," days"),IF(K689=TODAY(),"Due today","Due in "&amp;(K689-TODAY())&amp;IF((K689-TODAY())=1," day"," days"))))))</f>
        <v/>
      </c>
      <c r="S689" s="33" t="n"/>
      <c r="T689" s="1">
        <f>IF(AND(B689&lt;&gt;"",K689&lt;&gt;"",L689&lt;&gt;"Sent",L689&lt;&gt;"Picked up",L689&lt;&gt;"Cancelled"),K689+ROW()/10000000,"")</f>
        <v/>
      </c>
      <c r="U689">
        <f>IF(OR(B689="",C689=""),"",B689+ROW()/10000000)</f>
        <v/>
      </c>
      <c r="V689">
        <f>IF(U689="","",IF(COUNTIFS(Orders!$C$6:$C$1005,C689,Orders!$U$6:$U$1005,"&gt;"&amp;U689)=0,1,0))</f>
        <v/>
      </c>
      <c r="W689">
        <f>IF(AND(B689&lt;&gt;"",K689&lt;&gt;"",L689&lt;&gt;"Sent",L689&lt;&gt;"Picked up",L689&lt;&gt;"Cancelled"),IF(N(E689)=0,1,E689),0)</f>
        <v/>
      </c>
      <c r="X689">
        <f>IF(OR(B689="",D689=""),"",IF(N(E689)=0,1,E689))</f>
        <v/>
      </c>
    </row>
    <row r="690">
      <c r="A690" s="1" t="n"/>
      <c r="B690" s="31" t="n"/>
      <c r="C690" s="32" t="n"/>
      <c r="D690" s="33" t="n"/>
      <c r="E690" s="34" t="n"/>
      <c r="F690" s="35" t="n"/>
      <c r="G690" s="35" t="n"/>
      <c r="H690" s="30">
        <f>IF(OR(B690="",D690=""),"",IF(N(E690)=0,1,E690)*IFERROR(INDEX(Products!$C$6:$C$105,MATCH(D690,Products!$B$6:$B$105,0)),0)+N(F690)+N(G690))</f>
        <v/>
      </c>
      <c r="I690" s="35" t="n"/>
      <c r="J690" s="30">
        <f>IF(OR(H690="",L690="Cancelled"),"",IF(H690-N(I690)&gt;0.005,H690-N(I690),""))</f>
        <v/>
      </c>
      <c r="K690" s="31" t="n"/>
      <c r="L690" s="36" t="n"/>
      <c r="M690" s="33" t="n"/>
      <c r="N690" s="22">
        <f>IF(OR(H690="",L690="Cancelled"),"",IF(N(E690)=0,1,E690)*IFERROR(INDEX(Products!$E$6:$E$105,MATCH(D690,Products!$B$6:$B$105,0)),0))</f>
        <v/>
      </c>
      <c r="O690" s="35" t="n"/>
      <c r="P690" s="22">
        <f>IF(OR(H690="",L690="Cancelled"),"",ROUND(IFERROR(H690*INDEX(Settings!$C$6:$C$15,MATCH(M690,Settings!$B$6:$B$15,0))+INDEX(Settings!$D$6:$D$15,MATCH(M690,Settings!$B$6:$B$15,0)),0),2))</f>
        <v/>
      </c>
      <c r="Q690" s="28">
        <f>IF(OR(H690="",L690="Cancelled"),"",H690-N(N690)-N(O690)-N(P690))</f>
        <v/>
      </c>
      <c r="R690" s="19">
        <f>IF(OR(B690="",K690=""),"",IF(OR(L690="Sent",L690="Picked up"),"Done",IF(L690="Cancelled","Cancelled",IF(K690&lt;TODAY(),"Late by "&amp;(TODAY()-K690)&amp;IF((TODAY()-K690)=1," day"," days"),IF(K690=TODAY(),"Due today","Due in "&amp;(K690-TODAY())&amp;IF((K690-TODAY())=1," day"," days"))))))</f>
        <v/>
      </c>
      <c r="S690" s="33" t="n"/>
      <c r="T690" s="1">
        <f>IF(AND(B690&lt;&gt;"",K690&lt;&gt;"",L690&lt;&gt;"Sent",L690&lt;&gt;"Picked up",L690&lt;&gt;"Cancelled"),K690+ROW()/10000000,"")</f>
        <v/>
      </c>
      <c r="U690">
        <f>IF(OR(B690="",C690=""),"",B690+ROW()/10000000)</f>
        <v/>
      </c>
      <c r="V690">
        <f>IF(U690="","",IF(COUNTIFS(Orders!$C$6:$C$1005,C690,Orders!$U$6:$U$1005,"&gt;"&amp;U690)=0,1,0))</f>
        <v/>
      </c>
      <c r="W690">
        <f>IF(AND(B690&lt;&gt;"",K690&lt;&gt;"",L690&lt;&gt;"Sent",L690&lt;&gt;"Picked up",L690&lt;&gt;"Cancelled"),IF(N(E690)=0,1,E690),0)</f>
        <v/>
      </c>
      <c r="X690">
        <f>IF(OR(B690="",D690=""),"",IF(N(E690)=0,1,E690))</f>
        <v/>
      </c>
    </row>
    <row r="691">
      <c r="A691" s="1" t="n"/>
      <c r="B691" s="31" t="n"/>
      <c r="C691" s="32" t="n"/>
      <c r="D691" s="33" t="n"/>
      <c r="E691" s="34" t="n"/>
      <c r="F691" s="35" t="n"/>
      <c r="G691" s="35" t="n"/>
      <c r="H691" s="30">
        <f>IF(OR(B691="",D691=""),"",IF(N(E691)=0,1,E691)*IFERROR(INDEX(Products!$C$6:$C$105,MATCH(D691,Products!$B$6:$B$105,0)),0)+N(F691)+N(G691))</f>
        <v/>
      </c>
      <c r="I691" s="35" t="n"/>
      <c r="J691" s="30">
        <f>IF(OR(H691="",L691="Cancelled"),"",IF(H691-N(I691)&gt;0.005,H691-N(I691),""))</f>
        <v/>
      </c>
      <c r="K691" s="31" t="n"/>
      <c r="L691" s="36" t="n"/>
      <c r="M691" s="33" t="n"/>
      <c r="N691" s="22">
        <f>IF(OR(H691="",L691="Cancelled"),"",IF(N(E691)=0,1,E691)*IFERROR(INDEX(Products!$E$6:$E$105,MATCH(D691,Products!$B$6:$B$105,0)),0))</f>
        <v/>
      </c>
      <c r="O691" s="35" t="n"/>
      <c r="P691" s="22">
        <f>IF(OR(H691="",L691="Cancelled"),"",ROUND(IFERROR(H691*INDEX(Settings!$C$6:$C$15,MATCH(M691,Settings!$B$6:$B$15,0))+INDEX(Settings!$D$6:$D$15,MATCH(M691,Settings!$B$6:$B$15,0)),0),2))</f>
        <v/>
      </c>
      <c r="Q691" s="28">
        <f>IF(OR(H691="",L691="Cancelled"),"",H691-N(N691)-N(O691)-N(P691))</f>
        <v/>
      </c>
      <c r="R691" s="19">
        <f>IF(OR(B691="",K691=""),"",IF(OR(L691="Sent",L691="Picked up"),"Done",IF(L691="Cancelled","Cancelled",IF(K691&lt;TODAY(),"Late by "&amp;(TODAY()-K691)&amp;IF((TODAY()-K691)=1," day"," days"),IF(K691=TODAY(),"Due today","Due in "&amp;(K691-TODAY())&amp;IF((K691-TODAY())=1," day"," days"))))))</f>
        <v/>
      </c>
      <c r="S691" s="33" t="n"/>
      <c r="T691" s="1">
        <f>IF(AND(B691&lt;&gt;"",K691&lt;&gt;"",L691&lt;&gt;"Sent",L691&lt;&gt;"Picked up",L691&lt;&gt;"Cancelled"),K691+ROW()/10000000,"")</f>
        <v/>
      </c>
      <c r="U691">
        <f>IF(OR(B691="",C691=""),"",B691+ROW()/10000000)</f>
        <v/>
      </c>
      <c r="V691">
        <f>IF(U691="","",IF(COUNTIFS(Orders!$C$6:$C$1005,C691,Orders!$U$6:$U$1005,"&gt;"&amp;U691)=0,1,0))</f>
        <v/>
      </c>
      <c r="W691">
        <f>IF(AND(B691&lt;&gt;"",K691&lt;&gt;"",L691&lt;&gt;"Sent",L691&lt;&gt;"Picked up",L691&lt;&gt;"Cancelled"),IF(N(E691)=0,1,E691),0)</f>
        <v/>
      </c>
      <c r="X691">
        <f>IF(OR(B691="",D691=""),"",IF(N(E691)=0,1,E691))</f>
        <v/>
      </c>
    </row>
    <row r="692">
      <c r="A692" s="1" t="n"/>
      <c r="B692" s="31" t="n"/>
      <c r="C692" s="32" t="n"/>
      <c r="D692" s="33" t="n"/>
      <c r="E692" s="34" t="n"/>
      <c r="F692" s="35" t="n"/>
      <c r="G692" s="35" t="n"/>
      <c r="H692" s="30">
        <f>IF(OR(B692="",D692=""),"",IF(N(E692)=0,1,E692)*IFERROR(INDEX(Products!$C$6:$C$105,MATCH(D692,Products!$B$6:$B$105,0)),0)+N(F692)+N(G692))</f>
        <v/>
      </c>
      <c r="I692" s="35" t="n"/>
      <c r="J692" s="30">
        <f>IF(OR(H692="",L692="Cancelled"),"",IF(H692-N(I692)&gt;0.005,H692-N(I692),""))</f>
        <v/>
      </c>
      <c r="K692" s="31" t="n"/>
      <c r="L692" s="36" t="n"/>
      <c r="M692" s="33" t="n"/>
      <c r="N692" s="22">
        <f>IF(OR(H692="",L692="Cancelled"),"",IF(N(E692)=0,1,E692)*IFERROR(INDEX(Products!$E$6:$E$105,MATCH(D692,Products!$B$6:$B$105,0)),0))</f>
        <v/>
      </c>
      <c r="O692" s="35" t="n"/>
      <c r="P692" s="22">
        <f>IF(OR(H692="",L692="Cancelled"),"",ROUND(IFERROR(H692*INDEX(Settings!$C$6:$C$15,MATCH(M692,Settings!$B$6:$B$15,0))+INDEX(Settings!$D$6:$D$15,MATCH(M692,Settings!$B$6:$B$15,0)),0),2))</f>
        <v/>
      </c>
      <c r="Q692" s="28">
        <f>IF(OR(H692="",L692="Cancelled"),"",H692-N(N692)-N(O692)-N(P692))</f>
        <v/>
      </c>
      <c r="R692" s="19">
        <f>IF(OR(B692="",K692=""),"",IF(OR(L692="Sent",L692="Picked up"),"Done",IF(L692="Cancelled","Cancelled",IF(K692&lt;TODAY(),"Late by "&amp;(TODAY()-K692)&amp;IF((TODAY()-K692)=1," day"," days"),IF(K692=TODAY(),"Due today","Due in "&amp;(K692-TODAY())&amp;IF((K692-TODAY())=1," day"," days"))))))</f>
        <v/>
      </c>
      <c r="S692" s="33" t="n"/>
      <c r="T692" s="1">
        <f>IF(AND(B692&lt;&gt;"",K692&lt;&gt;"",L692&lt;&gt;"Sent",L692&lt;&gt;"Picked up",L692&lt;&gt;"Cancelled"),K692+ROW()/10000000,"")</f>
        <v/>
      </c>
      <c r="U692">
        <f>IF(OR(B692="",C692=""),"",B692+ROW()/10000000)</f>
        <v/>
      </c>
      <c r="V692">
        <f>IF(U692="","",IF(COUNTIFS(Orders!$C$6:$C$1005,C692,Orders!$U$6:$U$1005,"&gt;"&amp;U692)=0,1,0))</f>
        <v/>
      </c>
      <c r="W692">
        <f>IF(AND(B692&lt;&gt;"",K692&lt;&gt;"",L692&lt;&gt;"Sent",L692&lt;&gt;"Picked up",L692&lt;&gt;"Cancelled"),IF(N(E692)=0,1,E692),0)</f>
        <v/>
      </c>
      <c r="X692">
        <f>IF(OR(B692="",D692=""),"",IF(N(E692)=0,1,E692))</f>
        <v/>
      </c>
    </row>
    <row r="693">
      <c r="A693" s="1" t="n"/>
      <c r="B693" s="31" t="n"/>
      <c r="C693" s="32" t="n"/>
      <c r="D693" s="33" t="n"/>
      <c r="E693" s="34" t="n"/>
      <c r="F693" s="35" t="n"/>
      <c r="G693" s="35" t="n"/>
      <c r="H693" s="30">
        <f>IF(OR(B693="",D693=""),"",IF(N(E693)=0,1,E693)*IFERROR(INDEX(Products!$C$6:$C$105,MATCH(D693,Products!$B$6:$B$105,0)),0)+N(F693)+N(G693))</f>
        <v/>
      </c>
      <c r="I693" s="35" t="n"/>
      <c r="J693" s="30">
        <f>IF(OR(H693="",L693="Cancelled"),"",IF(H693-N(I693)&gt;0.005,H693-N(I693),""))</f>
        <v/>
      </c>
      <c r="K693" s="31" t="n"/>
      <c r="L693" s="36" t="n"/>
      <c r="M693" s="33" t="n"/>
      <c r="N693" s="22">
        <f>IF(OR(H693="",L693="Cancelled"),"",IF(N(E693)=0,1,E693)*IFERROR(INDEX(Products!$E$6:$E$105,MATCH(D693,Products!$B$6:$B$105,0)),0))</f>
        <v/>
      </c>
      <c r="O693" s="35" t="n"/>
      <c r="P693" s="22">
        <f>IF(OR(H693="",L693="Cancelled"),"",ROUND(IFERROR(H693*INDEX(Settings!$C$6:$C$15,MATCH(M693,Settings!$B$6:$B$15,0))+INDEX(Settings!$D$6:$D$15,MATCH(M693,Settings!$B$6:$B$15,0)),0),2))</f>
        <v/>
      </c>
      <c r="Q693" s="28">
        <f>IF(OR(H693="",L693="Cancelled"),"",H693-N(N693)-N(O693)-N(P693))</f>
        <v/>
      </c>
      <c r="R693" s="19">
        <f>IF(OR(B693="",K693=""),"",IF(OR(L693="Sent",L693="Picked up"),"Done",IF(L693="Cancelled","Cancelled",IF(K693&lt;TODAY(),"Late by "&amp;(TODAY()-K693)&amp;IF((TODAY()-K693)=1," day"," days"),IF(K693=TODAY(),"Due today","Due in "&amp;(K693-TODAY())&amp;IF((K693-TODAY())=1," day"," days"))))))</f>
        <v/>
      </c>
      <c r="S693" s="33" t="n"/>
      <c r="T693" s="1">
        <f>IF(AND(B693&lt;&gt;"",K693&lt;&gt;"",L693&lt;&gt;"Sent",L693&lt;&gt;"Picked up",L693&lt;&gt;"Cancelled"),K693+ROW()/10000000,"")</f>
        <v/>
      </c>
      <c r="U693">
        <f>IF(OR(B693="",C693=""),"",B693+ROW()/10000000)</f>
        <v/>
      </c>
      <c r="V693">
        <f>IF(U693="","",IF(COUNTIFS(Orders!$C$6:$C$1005,C693,Orders!$U$6:$U$1005,"&gt;"&amp;U693)=0,1,0))</f>
        <v/>
      </c>
      <c r="W693">
        <f>IF(AND(B693&lt;&gt;"",K693&lt;&gt;"",L693&lt;&gt;"Sent",L693&lt;&gt;"Picked up",L693&lt;&gt;"Cancelled"),IF(N(E693)=0,1,E693),0)</f>
        <v/>
      </c>
      <c r="X693">
        <f>IF(OR(B693="",D693=""),"",IF(N(E693)=0,1,E693))</f>
        <v/>
      </c>
    </row>
    <row r="694">
      <c r="A694" s="1" t="n"/>
      <c r="B694" s="31" t="n"/>
      <c r="C694" s="32" t="n"/>
      <c r="D694" s="33" t="n"/>
      <c r="E694" s="34" t="n"/>
      <c r="F694" s="35" t="n"/>
      <c r="G694" s="35" t="n"/>
      <c r="H694" s="30">
        <f>IF(OR(B694="",D694=""),"",IF(N(E694)=0,1,E694)*IFERROR(INDEX(Products!$C$6:$C$105,MATCH(D694,Products!$B$6:$B$105,0)),0)+N(F694)+N(G694))</f>
        <v/>
      </c>
      <c r="I694" s="35" t="n"/>
      <c r="J694" s="30">
        <f>IF(OR(H694="",L694="Cancelled"),"",IF(H694-N(I694)&gt;0.005,H694-N(I694),""))</f>
        <v/>
      </c>
      <c r="K694" s="31" t="n"/>
      <c r="L694" s="36" t="n"/>
      <c r="M694" s="33" t="n"/>
      <c r="N694" s="22">
        <f>IF(OR(H694="",L694="Cancelled"),"",IF(N(E694)=0,1,E694)*IFERROR(INDEX(Products!$E$6:$E$105,MATCH(D694,Products!$B$6:$B$105,0)),0))</f>
        <v/>
      </c>
      <c r="O694" s="35" t="n"/>
      <c r="P694" s="22">
        <f>IF(OR(H694="",L694="Cancelled"),"",ROUND(IFERROR(H694*INDEX(Settings!$C$6:$C$15,MATCH(M694,Settings!$B$6:$B$15,0))+INDEX(Settings!$D$6:$D$15,MATCH(M694,Settings!$B$6:$B$15,0)),0),2))</f>
        <v/>
      </c>
      <c r="Q694" s="28">
        <f>IF(OR(H694="",L694="Cancelled"),"",H694-N(N694)-N(O694)-N(P694))</f>
        <v/>
      </c>
      <c r="R694" s="19">
        <f>IF(OR(B694="",K694=""),"",IF(OR(L694="Sent",L694="Picked up"),"Done",IF(L694="Cancelled","Cancelled",IF(K694&lt;TODAY(),"Late by "&amp;(TODAY()-K694)&amp;IF((TODAY()-K694)=1," day"," days"),IF(K694=TODAY(),"Due today","Due in "&amp;(K694-TODAY())&amp;IF((K694-TODAY())=1," day"," days"))))))</f>
        <v/>
      </c>
      <c r="S694" s="33" t="n"/>
      <c r="T694" s="1">
        <f>IF(AND(B694&lt;&gt;"",K694&lt;&gt;"",L694&lt;&gt;"Sent",L694&lt;&gt;"Picked up",L694&lt;&gt;"Cancelled"),K694+ROW()/10000000,"")</f>
        <v/>
      </c>
      <c r="U694">
        <f>IF(OR(B694="",C694=""),"",B694+ROW()/10000000)</f>
        <v/>
      </c>
      <c r="V694">
        <f>IF(U694="","",IF(COUNTIFS(Orders!$C$6:$C$1005,C694,Orders!$U$6:$U$1005,"&gt;"&amp;U694)=0,1,0))</f>
        <v/>
      </c>
      <c r="W694">
        <f>IF(AND(B694&lt;&gt;"",K694&lt;&gt;"",L694&lt;&gt;"Sent",L694&lt;&gt;"Picked up",L694&lt;&gt;"Cancelled"),IF(N(E694)=0,1,E694),0)</f>
        <v/>
      </c>
      <c r="X694">
        <f>IF(OR(B694="",D694=""),"",IF(N(E694)=0,1,E694))</f>
        <v/>
      </c>
    </row>
    <row r="695">
      <c r="A695" s="1" t="n"/>
      <c r="B695" s="31" t="n"/>
      <c r="C695" s="32" t="n"/>
      <c r="D695" s="33" t="n"/>
      <c r="E695" s="34" t="n"/>
      <c r="F695" s="35" t="n"/>
      <c r="G695" s="35" t="n"/>
      <c r="H695" s="30">
        <f>IF(OR(B695="",D695=""),"",IF(N(E695)=0,1,E695)*IFERROR(INDEX(Products!$C$6:$C$105,MATCH(D695,Products!$B$6:$B$105,0)),0)+N(F695)+N(G695))</f>
        <v/>
      </c>
      <c r="I695" s="35" t="n"/>
      <c r="J695" s="30">
        <f>IF(OR(H695="",L695="Cancelled"),"",IF(H695-N(I695)&gt;0.005,H695-N(I695),""))</f>
        <v/>
      </c>
      <c r="K695" s="31" t="n"/>
      <c r="L695" s="36" t="n"/>
      <c r="M695" s="33" t="n"/>
      <c r="N695" s="22">
        <f>IF(OR(H695="",L695="Cancelled"),"",IF(N(E695)=0,1,E695)*IFERROR(INDEX(Products!$E$6:$E$105,MATCH(D695,Products!$B$6:$B$105,0)),0))</f>
        <v/>
      </c>
      <c r="O695" s="35" t="n"/>
      <c r="P695" s="22">
        <f>IF(OR(H695="",L695="Cancelled"),"",ROUND(IFERROR(H695*INDEX(Settings!$C$6:$C$15,MATCH(M695,Settings!$B$6:$B$15,0))+INDEX(Settings!$D$6:$D$15,MATCH(M695,Settings!$B$6:$B$15,0)),0),2))</f>
        <v/>
      </c>
      <c r="Q695" s="28">
        <f>IF(OR(H695="",L695="Cancelled"),"",H695-N(N695)-N(O695)-N(P695))</f>
        <v/>
      </c>
      <c r="R695" s="19">
        <f>IF(OR(B695="",K695=""),"",IF(OR(L695="Sent",L695="Picked up"),"Done",IF(L695="Cancelled","Cancelled",IF(K695&lt;TODAY(),"Late by "&amp;(TODAY()-K695)&amp;IF((TODAY()-K695)=1," day"," days"),IF(K695=TODAY(),"Due today","Due in "&amp;(K695-TODAY())&amp;IF((K695-TODAY())=1," day"," days"))))))</f>
        <v/>
      </c>
      <c r="S695" s="33" t="n"/>
      <c r="T695" s="1">
        <f>IF(AND(B695&lt;&gt;"",K695&lt;&gt;"",L695&lt;&gt;"Sent",L695&lt;&gt;"Picked up",L695&lt;&gt;"Cancelled"),K695+ROW()/10000000,"")</f>
        <v/>
      </c>
      <c r="U695">
        <f>IF(OR(B695="",C695=""),"",B695+ROW()/10000000)</f>
        <v/>
      </c>
      <c r="V695">
        <f>IF(U695="","",IF(COUNTIFS(Orders!$C$6:$C$1005,C695,Orders!$U$6:$U$1005,"&gt;"&amp;U695)=0,1,0))</f>
        <v/>
      </c>
      <c r="W695">
        <f>IF(AND(B695&lt;&gt;"",K695&lt;&gt;"",L695&lt;&gt;"Sent",L695&lt;&gt;"Picked up",L695&lt;&gt;"Cancelled"),IF(N(E695)=0,1,E695),0)</f>
        <v/>
      </c>
      <c r="X695">
        <f>IF(OR(B695="",D695=""),"",IF(N(E695)=0,1,E695))</f>
        <v/>
      </c>
    </row>
    <row r="696">
      <c r="A696" s="1" t="n"/>
      <c r="B696" s="31" t="n"/>
      <c r="C696" s="32" t="n"/>
      <c r="D696" s="33" t="n"/>
      <c r="E696" s="34" t="n"/>
      <c r="F696" s="35" t="n"/>
      <c r="G696" s="35" t="n"/>
      <c r="H696" s="30">
        <f>IF(OR(B696="",D696=""),"",IF(N(E696)=0,1,E696)*IFERROR(INDEX(Products!$C$6:$C$105,MATCH(D696,Products!$B$6:$B$105,0)),0)+N(F696)+N(G696))</f>
        <v/>
      </c>
      <c r="I696" s="35" t="n"/>
      <c r="J696" s="30">
        <f>IF(OR(H696="",L696="Cancelled"),"",IF(H696-N(I696)&gt;0.005,H696-N(I696),""))</f>
        <v/>
      </c>
      <c r="K696" s="31" t="n"/>
      <c r="L696" s="36" t="n"/>
      <c r="M696" s="33" t="n"/>
      <c r="N696" s="22">
        <f>IF(OR(H696="",L696="Cancelled"),"",IF(N(E696)=0,1,E696)*IFERROR(INDEX(Products!$E$6:$E$105,MATCH(D696,Products!$B$6:$B$105,0)),0))</f>
        <v/>
      </c>
      <c r="O696" s="35" t="n"/>
      <c r="P696" s="22">
        <f>IF(OR(H696="",L696="Cancelled"),"",ROUND(IFERROR(H696*INDEX(Settings!$C$6:$C$15,MATCH(M696,Settings!$B$6:$B$15,0))+INDEX(Settings!$D$6:$D$15,MATCH(M696,Settings!$B$6:$B$15,0)),0),2))</f>
        <v/>
      </c>
      <c r="Q696" s="28">
        <f>IF(OR(H696="",L696="Cancelled"),"",H696-N(N696)-N(O696)-N(P696))</f>
        <v/>
      </c>
      <c r="R696" s="19">
        <f>IF(OR(B696="",K696=""),"",IF(OR(L696="Sent",L696="Picked up"),"Done",IF(L696="Cancelled","Cancelled",IF(K696&lt;TODAY(),"Late by "&amp;(TODAY()-K696)&amp;IF((TODAY()-K696)=1," day"," days"),IF(K696=TODAY(),"Due today","Due in "&amp;(K696-TODAY())&amp;IF((K696-TODAY())=1," day"," days"))))))</f>
        <v/>
      </c>
      <c r="S696" s="33" t="n"/>
      <c r="T696" s="1">
        <f>IF(AND(B696&lt;&gt;"",K696&lt;&gt;"",L696&lt;&gt;"Sent",L696&lt;&gt;"Picked up",L696&lt;&gt;"Cancelled"),K696+ROW()/10000000,"")</f>
        <v/>
      </c>
      <c r="U696">
        <f>IF(OR(B696="",C696=""),"",B696+ROW()/10000000)</f>
        <v/>
      </c>
      <c r="V696">
        <f>IF(U696="","",IF(COUNTIFS(Orders!$C$6:$C$1005,C696,Orders!$U$6:$U$1005,"&gt;"&amp;U696)=0,1,0))</f>
        <v/>
      </c>
      <c r="W696">
        <f>IF(AND(B696&lt;&gt;"",K696&lt;&gt;"",L696&lt;&gt;"Sent",L696&lt;&gt;"Picked up",L696&lt;&gt;"Cancelled"),IF(N(E696)=0,1,E696),0)</f>
        <v/>
      </c>
      <c r="X696">
        <f>IF(OR(B696="",D696=""),"",IF(N(E696)=0,1,E696))</f>
        <v/>
      </c>
    </row>
    <row r="697">
      <c r="A697" s="1" t="n"/>
      <c r="B697" s="31" t="n"/>
      <c r="C697" s="32" t="n"/>
      <c r="D697" s="33" t="n"/>
      <c r="E697" s="34" t="n"/>
      <c r="F697" s="35" t="n"/>
      <c r="G697" s="35" t="n"/>
      <c r="H697" s="30">
        <f>IF(OR(B697="",D697=""),"",IF(N(E697)=0,1,E697)*IFERROR(INDEX(Products!$C$6:$C$105,MATCH(D697,Products!$B$6:$B$105,0)),0)+N(F697)+N(G697))</f>
        <v/>
      </c>
      <c r="I697" s="35" t="n"/>
      <c r="J697" s="30">
        <f>IF(OR(H697="",L697="Cancelled"),"",IF(H697-N(I697)&gt;0.005,H697-N(I697),""))</f>
        <v/>
      </c>
      <c r="K697" s="31" t="n"/>
      <c r="L697" s="36" t="n"/>
      <c r="M697" s="33" t="n"/>
      <c r="N697" s="22">
        <f>IF(OR(H697="",L697="Cancelled"),"",IF(N(E697)=0,1,E697)*IFERROR(INDEX(Products!$E$6:$E$105,MATCH(D697,Products!$B$6:$B$105,0)),0))</f>
        <v/>
      </c>
      <c r="O697" s="35" t="n"/>
      <c r="P697" s="22">
        <f>IF(OR(H697="",L697="Cancelled"),"",ROUND(IFERROR(H697*INDEX(Settings!$C$6:$C$15,MATCH(M697,Settings!$B$6:$B$15,0))+INDEX(Settings!$D$6:$D$15,MATCH(M697,Settings!$B$6:$B$15,0)),0),2))</f>
        <v/>
      </c>
      <c r="Q697" s="28">
        <f>IF(OR(H697="",L697="Cancelled"),"",H697-N(N697)-N(O697)-N(P697))</f>
        <v/>
      </c>
      <c r="R697" s="19">
        <f>IF(OR(B697="",K697=""),"",IF(OR(L697="Sent",L697="Picked up"),"Done",IF(L697="Cancelled","Cancelled",IF(K697&lt;TODAY(),"Late by "&amp;(TODAY()-K697)&amp;IF((TODAY()-K697)=1," day"," days"),IF(K697=TODAY(),"Due today","Due in "&amp;(K697-TODAY())&amp;IF((K697-TODAY())=1," day"," days"))))))</f>
        <v/>
      </c>
      <c r="S697" s="33" t="n"/>
      <c r="T697" s="1">
        <f>IF(AND(B697&lt;&gt;"",K697&lt;&gt;"",L697&lt;&gt;"Sent",L697&lt;&gt;"Picked up",L697&lt;&gt;"Cancelled"),K697+ROW()/10000000,"")</f>
        <v/>
      </c>
      <c r="U697">
        <f>IF(OR(B697="",C697=""),"",B697+ROW()/10000000)</f>
        <v/>
      </c>
      <c r="V697">
        <f>IF(U697="","",IF(COUNTIFS(Orders!$C$6:$C$1005,C697,Orders!$U$6:$U$1005,"&gt;"&amp;U697)=0,1,0))</f>
        <v/>
      </c>
      <c r="W697">
        <f>IF(AND(B697&lt;&gt;"",K697&lt;&gt;"",L697&lt;&gt;"Sent",L697&lt;&gt;"Picked up",L697&lt;&gt;"Cancelled"),IF(N(E697)=0,1,E697),0)</f>
        <v/>
      </c>
      <c r="X697">
        <f>IF(OR(B697="",D697=""),"",IF(N(E697)=0,1,E697))</f>
        <v/>
      </c>
    </row>
    <row r="698">
      <c r="A698" s="1" t="n"/>
      <c r="B698" s="31" t="n"/>
      <c r="C698" s="32" t="n"/>
      <c r="D698" s="33" t="n"/>
      <c r="E698" s="34" t="n"/>
      <c r="F698" s="35" t="n"/>
      <c r="G698" s="35" t="n"/>
      <c r="H698" s="30">
        <f>IF(OR(B698="",D698=""),"",IF(N(E698)=0,1,E698)*IFERROR(INDEX(Products!$C$6:$C$105,MATCH(D698,Products!$B$6:$B$105,0)),0)+N(F698)+N(G698))</f>
        <v/>
      </c>
      <c r="I698" s="35" t="n"/>
      <c r="J698" s="30">
        <f>IF(OR(H698="",L698="Cancelled"),"",IF(H698-N(I698)&gt;0.005,H698-N(I698),""))</f>
        <v/>
      </c>
      <c r="K698" s="31" t="n"/>
      <c r="L698" s="36" t="n"/>
      <c r="M698" s="33" t="n"/>
      <c r="N698" s="22">
        <f>IF(OR(H698="",L698="Cancelled"),"",IF(N(E698)=0,1,E698)*IFERROR(INDEX(Products!$E$6:$E$105,MATCH(D698,Products!$B$6:$B$105,0)),0))</f>
        <v/>
      </c>
      <c r="O698" s="35" t="n"/>
      <c r="P698" s="22">
        <f>IF(OR(H698="",L698="Cancelled"),"",ROUND(IFERROR(H698*INDEX(Settings!$C$6:$C$15,MATCH(M698,Settings!$B$6:$B$15,0))+INDEX(Settings!$D$6:$D$15,MATCH(M698,Settings!$B$6:$B$15,0)),0),2))</f>
        <v/>
      </c>
      <c r="Q698" s="28">
        <f>IF(OR(H698="",L698="Cancelled"),"",H698-N(N698)-N(O698)-N(P698))</f>
        <v/>
      </c>
      <c r="R698" s="19">
        <f>IF(OR(B698="",K698=""),"",IF(OR(L698="Sent",L698="Picked up"),"Done",IF(L698="Cancelled","Cancelled",IF(K698&lt;TODAY(),"Late by "&amp;(TODAY()-K698)&amp;IF((TODAY()-K698)=1," day"," days"),IF(K698=TODAY(),"Due today","Due in "&amp;(K698-TODAY())&amp;IF((K698-TODAY())=1," day"," days"))))))</f>
        <v/>
      </c>
      <c r="S698" s="33" t="n"/>
      <c r="T698" s="1">
        <f>IF(AND(B698&lt;&gt;"",K698&lt;&gt;"",L698&lt;&gt;"Sent",L698&lt;&gt;"Picked up",L698&lt;&gt;"Cancelled"),K698+ROW()/10000000,"")</f>
        <v/>
      </c>
      <c r="U698">
        <f>IF(OR(B698="",C698=""),"",B698+ROW()/10000000)</f>
        <v/>
      </c>
      <c r="V698">
        <f>IF(U698="","",IF(COUNTIFS(Orders!$C$6:$C$1005,C698,Orders!$U$6:$U$1005,"&gt;"&amp;U698)=0,1,0))</f>
        <v/>
      </c>
      <c r="W698">
        <f>IF(AND(B698&lt;&gt;"",K698&lt;&gt;"",L698&lt;&gt;"Sent",L698&lt;&gt;"Picked up",L698&lt;&gt;"Cancelled"),IF(N(E698)=0,1,E698),0)</f>
        <v/>
      </c>
      <c r="X698">
        <f>IF(OR(B698="",D698=""),"",IF(N(E698)=0,1,E698))</f>
        <v/>
      </c>
    </row>
    <row r="699">
      <c r="A699" s="1" t="n"/>
      <c r="B699" s="31" t="n"/>
      <c r="C699" s="32" t="n"/>
      <c r="D699" s="33" t="n"/>
      <c r="E699" s="34" t="n"/>
      <c r="F699" s="35" t="n"/>
      <c r="G699" s="35" t="n"/>
      <c r="H699" s="30">
        <f>IF(OR(B699="",D699=""),"",IF(N(E699)=0,1,E699)*IFERROR(INDEX(Products!$C$6:$C$105,MATCH(D699,Products!$B$6:$B$105,0)),0)+N(F699)+N(G699))</f>
        <v/>
      </c>
      <c r="I699" s="35" t="n"/>
      <c r="J699" s="30">
        <f>IF(OR(H699="",L699="Cancelled"),"",IF(H699-N(I699)&gt;0.005,H699-N(I699),""))</f>
        <v/>
      </c>
      <c r="K699" s="31" t="n"/>
      <c r="L699" s="36" t="n"/>
      <c r="M699" s="33" t="n"/>
      <c r="N699" s="22">
        <f>IF(OR(H699="",L699="Cancelled"),"",IF(N(E699)=0,1,E699)*IFERROR(INDEX(Products!$E$6:$E$105,MATCH(D699,Products!$B$6:$B$105,0)),0))</f>
        <v/>
      </c>
      <c r="O699" s="35" t="n"/>
      <c r="P699" s="22">
        <f>IF(OR(H699="",L699="Cancelled"),"",ROUND(IFERROR(H699*INDEX(Settings!$C$6:$C$15,MATCH(M699,Settings!$B$6:$B$15,0))+INDEX(Settings!$D$6:$D$15,MATCH(M699,Settings!$B$6:$B$15,0)),0),2))</f>
        <v/>
      </c>
      <c r="Q699" s="28">
        <f>IF(OR(H699="",L699="Cancelled"),"",H699-N(N699)-N(O699)-N(P699))</f>
        <v/>
      </c>
      <c r="R699" s="19">
        <f>IF(OR(B699="",K699=""),"",IF(OR(L699="Sent",L699="Picked up"),"Done",IF(L699="Cancelled","Cancelled",IF(K699&lt;TODAY(),"Late by "&amp;(TODAY()-K699)&amp;IF((TODAY()-K699)=1," day"," days"),IF(K699=TODAY(),"Due today","Due in "&amp;(K699-TODAY())&amp;IF((K699-TODAY())=1," day"," days"))))))</f>
        <v/>
      </c>
      <c r="S699" s="33" t="n"/>
      <c r="T699" s="1">
        <f>IF(AND(B699&lt;&gt;"",K699&lt;&gt;"",L699&lt;&gt;"Sent",L699&lt;&gt;"Picked up",L699&lt;&gt;"Cancelled"),K699+ROW()/10000000,"")</f>
        <v/>
      </c>
      <c r="U699">
        <f>IF(OR(B699="",C699=""),"",B699+ROW()/10000000)</f>
        <v/>
      </c>
      <c r="V699">
        <f>IF(U699="","",IF(COUNTIFS(Orders!$C$6:$C$1005,C699,Orders!$U$6:$U$1005,"&gt;"&amp;U699)=0,1,0))</f>
        <v/>
      </c>
      <c r="W699">
        <f>IF(AND(B699&lt;&gt;"",K699&lt;&gt;"",L699&lt;&gt;"Sent",L699&lt;&gt;"Picked up",L699&lt;&gt;"Cancelled"),IF(N(E699)=0,1,E699),0)</f>
        <v/>
      </c>
      <c r="X699">
        <f>IF(OR(B699="",D699=""),"",IF(N(E699)=0,1,E699))</f>
        <v/>
      </c>
    </row>
    <row r="700">
      <c r="A700" s="1" t="n"/>
      <c r="B700" s="31" t="n"/>
      <c r="C700" s="32" t="n"/>
      <c r="D700" s="33" t="n"/>
      <c r="E700" s="34" t="n"/>
      <c r="F700" s="35" t="n"/>
      <c r="G700" s="35" t="n"/>
      <c r="H700" s="30">
        <f>IF(OR(B700="",D700=""),"",IF(N(E700)=0,1,E700)*IFERROR(INDEX(Products!$C$6:$C$105,MATCH(D700,Products!$B$6:$B$105,0)),0)+N(F700)+N(G700))</f>
        <v/>
      </c>
      <c r="I700" s="35" t="n"/>
      <c r="J700" s="30">
        <f>IF(OR(H700="",L700="Cancelled"),"",IF(H700-N(I700)&gt;0.005,H700-N(I700),""))</f>
        <v/>
      </c>
      <c r="K700" s="31" t="n"/>
      <c r="L700" s="36" t="n"/>
      <c r="M700" s="33" t="n"/>
      <c r="N700" s="22">
        <f>IF(OR(H700="",L700="Cancelled"),"",IF(N(E700)=0,1,E700)*IFERROR(INDEX(Products!$E$6:$E$105,MATCH(D700,Products!$B$6:$B$105,0)),0))</f>
        <v/>
      </c>
      <c r="O700" s="35" t="n"/>
      <c r="P700" s="22">
        <f>IF(OR(H700="",L700="Cancelled"),"",ROUND(IFERROR(H700*INDEX(Settings!$C$6:$C$15,MATCH(M700,Settings!$B$6:$B$15,0))+INDEX(Settings!$D$6:$D$15,MATCH(M700,Settings!$B$6:$B$15,0)),0),2))</f>
        <v/>
      </c>
      <c r="Q700" s="28">
        <f>IF(OR(H700="",L700="Cancelled"),"",H700-N(N700)-N(O700)-N(P700))</f>
        <v/>
      </c>
      <c r="R700" s="19">
        <f>IF(OR(B700="",K700=""),"",IF(OR(L700="Sent",L700="Picked up"),"Done",IF(L700="Cancelled","Cancelled",IF(K700&lt;TODAY(),"Late by "&amp;(TODAY()-K700)&amp;IF((TODAY()-K700)=1," day"," days"),IF(K700=TODAY(),"Due today","Due in "&amp;(K700-TODAY())&amp;IF((K700-TODAY())=1," day"," days"))))))</f>
        <v/>
      </c>
      <c r="S700" s="33" t="n"/>
      <c r="T700" s="1">
        <f>IF(AND(B700&lt;&gt;"",K700&lt;&gt;"",L700&lt;&gt;"Sent",L700&lt;&gt;"Picked up",L700&lt;&gt;"Cancelled"),K700+ROW()/10000000,"")</f>
        <v/>
      </c>
      <c r="U700">
        <f>IF(OR(B700="",C700=""),"",B700+ROW()/10000000)</f>
        <v/>
      </c>
      <c r="V700">
        <f>IF(U700="","",IF(COUNTIFS(Orders!$C$6:$C$1005,C700,Orders!$U$6:$U$1005,"&gt;"&amp;U700)=0,1,0))</f>
        <v/>
      </c>
      <c r="W700">
        <f>IF(AND(B700&lt;&gt;"",K700&lt;&gt;"",L700&lt;&gt;"Sent",L700&lt;&gt;"Picked up",L700&lt;&gt;"Cancelled"),IF(N(E700)=0,1,E700),0)</f>
        <v/>
      </c>
      <c r="X700">
        <f>IF(OR(B700="",D700=""),"",IF(N(E700)=0,1,E700))</f>
        <v/>
      </c>
    </row>
    <row r="701">
      <c r="A701" s="1" t="n"/>
      <c r="B701" s="31" t="n"/>
      <c r="C701" s="32" t="n"/>
      <c r="D701" s="33" t="n"/>
      <c r="E701" s="34" t="n"/>
      <c r="F701" s="35" t="n"/>
      <c r="G701" s="35" t="n"/>
      <c r="H701" s="30">
        <f>IF(OR(B701="",D701=""),"",IF(N(E701)=0,1,E701)*IFERROR(INDEX(Products!$C$6:$C$105,MATCH(D701,Products!$B$6:$B$105,0)),0)+N(F701)+N(G701))</f>
        <v/>
      </c>
      <c r="I701" s="35" t="n"/>
      <c r="J701" s="30">
        <f>IF(OR(H701="",L701="Cancelled"),"",IF(H701-N(I701)&gt;0.005,H701-N(I701),""))</f>
        <v/>
      </c>
      <c r="K701" s="31" t="n"/>
      <c r="L701" s="36" t="n"/>
      <c r="M701" s="33" t="n"/>
      <c r="N701" s="22">
        <f>IF(OR(H701="",L701="Cancelled"),"",IF(N(E701)=0,1,E701)*IFERROR(INDEX(Products!$E$6:$E$105,MATCH(D701,Products!$B$6:$B$105,0)),0))</f>
        <v/>
      </c>
      <c r="O701" s="35" t="n"/>
      <c r="P701" s="22">
        <f>IF(OR(H701="",L701="Cancelled"),"",ROUND(IFERROR(H701*INDEX(Settings!$C$6:$C$15,MATCH(M701,Settings!$B$6:$B$15,0))+INDEX(Settings!$D$6:$D$15,MATCH(M701,Settings!$B$6:$B$15,0)),0),2))</f>
        <v/>
      </c>
      <c r="Q701" s="28">
        <f>IF(OR(H701="",L701="Cancelled"),"",H701-N(N701)-N(O701)-N(P701))</f>
        <v/>
      </c>
      <c r="R701" s="19">
        <f>IF(OR(B701="",K701=""),"",IF(OR(L701="Sent",L701="Picked up"),"Done",IF(L701="Cancelled","Cancelled",IF(K701&lt;TODAY(),"Late by "&amp;(TODAY()-K701)&amp;IF((TODAY()-K701)=1," day"," days"),IF(K701=TODAY(),"Due today","Due in "&amp;(K701-TODAY())&amp;IF((K701-TODAY())=1," day"," days"))))))</f>
        <v/>
      </c>
      <c r="S701" s="33" t="n"/>
      <c r="T701" s="1">
        <f>IF(AND(B701&lt;&gt;"",K701&lt;&gt;"",L701&lt;&gt;"Sent",L701&lt;&gt;"Picked up",L701&lt;&gt;"Cancelled"),K701+ROW()/10000000,"")</f>
        <v/>
      </c>
      <c r="U701">
        <f>IF(OR(B701="",C701=""),"",B701+ROW()/10000000)</f>
        <v/>
      </c>
      <c r="V701">
        <f>IF(U701="","",IF(COUNTIFS(Orders!$C$6:$C$1005,C701,Orders!$U$6:$U$1005,"&gt;"&amp;U701)=0,1,0))</f>
        <v/>
      </c>
      <c r="W701">
        <f>IF(AND(B701&lt;&gt;"",K701&lt;&gt;"",L701&lt;&gt;"Sent",L701&lt;&gt;"Picked up",L701&lt;&gt;"Cancelled"),IF(N(E701)=0,1,E701),0)</f>
        <v/>
      </c>
      <c r="X701">
        <f>IF(OR(B701="",D701=""),"",IF(N(E701)=0,1,E701))</f>
        <v/>
      </c>
    </row>
    <row r="702">
      <c r="A702" s="1" t="n"/>
      <c r="B702" s="31" t="n"/>
      <c r="C702" s="32" t="n"/>
      <c r="D702" s="33" t="n"/>
      <c r="E702" s="34" t="n"/>
      <c r="F702" s="35" t="n"/>
      <c r="G702" s="35" t="n"/>
      <c r="H702" s="30">
        <f>IF(OR(B702="",D702=""),"",IF(N(E702)=0,1,E702)*IFERROR(INDEX(Products!$C$6:$C$105,MATCH(D702,Products!$B$6:$B$105,0)),0)+N(F702)+N(G702))</f>
        <v/>
      </c>
      <c r="I702" s="35" t="n"/>
      <c r="J702" s="30">
        <f>IF(OR(H702="",L702="Cancelled"),"",IF(H702-N(I702)&gt;0.005,H702-N(I702),""))</f>
        <v/>
      </c>
      <c r="K702" s="31" t="n"/>
      <c r="L702" s="36" t="n"/>
      <c r="M702" s="33" t="n"/>
      <c r="N702" s="22">
        <f>IF(OR(H702="",L702="Cancelled"),"",IF(N(E702)=0,1,E702)*IFERROR(INDEX(Products!$E$6:$E$105,MATCH(D702,Products!$B$6:$B$105,0)),0))</f>
        <v/>
      </c>
      <c r="O702" s="35" t="n"/>
      <c r="P702" s="22">
        <f>IF(OR(H702="",L702="Cancelled"),"",ROUND(IFERROR(H702*INDEX(Settings!$C$6:$C$15,MATCH(M702,Settings!$B$6:$B$15,0))+INDEX(Settings!$D$6:$D$15,MATCH(M702,Settings!$B$6:$B$15,0)),0),2))</f>
        <v/>
      </c>
      <c r="Q702" s="28">
        <f>IF(OR(H702="",L702="Cancelled"),"",H702-N(N702)-N(O702)-N(P702))</f>
        <v/>
      </c>
      <c r="R702" s="19">
        <f>IF(OR(B702="",K702=""),"",IF(OR(L702="Sent",L702="Picked up"),"Done",IF(L702="Cancelled","Cancelled",IF(K702&lt;TODAY(),"Late by "&amp;(TODAY()-K702)&amp;IF((TODAY()-K702)=1," day"," days"),IF(K702=TODAY(),"Due today","Due in "&amp;(K702-TODAY())&amp;IF((K702-TODAY())=1," day"," days"))))))</f>
        <v/>
      </c>
      <c r="S702" s="33" t="n"/>
      <c r="T702" s="1">
        <f>IF(AND(B702&lt;&gt;"",K702&lt;&gt;"",L702&lt;&gt;"Sent",L702&lt;&gt;"Picked up",L702&lt;&gt;"Cancelled"),K702+ROW()/10000000,"")</f>
        <v/>
      </c>
      <c r="U702">
        <f>IF(OR(B702="",C702=""),"",B702+ROW()/10000000)</f>
        <v/>
      </c>
      <c r="V702">
        <f>IF(U702="","",IF(COUNTIFS(Orders!$C$6:$C$1005,C702,Orders!$U$6:$U$1005,"&gt;"&amp;U702)=0,1,0))</f>
        <v/>
      </c>
      <c r="W702">
        <f>IF(AND(B702&lt;&gt;"",K702&lt;&gt;"",L702&lt;&gt;"Sent",L702&lt;&gt;"Picked up",L702&lt;&gt;"Cancelled"),IF(N(E702)=0,1,E702),0)</f>
        <v/>
      </c>
      <c r="X702">
        <f>IF(OR(B702="",D702=""),"",IF(N(E702)=0,1,E702))</f>
        <v/>
      </c>
    </row>
    <row r="703">
      <c r="A703" s="1" t="n"/>
      <c r="B703" s="31" t="n"/>
      <c r="C703" s="32" t="n"/>
      <c r="D703" s="33" t="n"/>
      <c r="E703" s="34" t="n"/>
      <c r="F703" s="35" t="n"/>
      <c r="G703" s="35" t="n"/>
      <c r="H703" s="30">
        <f>IF(OR(B703="",D703=""),"",IF(N(E703)=0,1,E703)*IFERROR(INDEX(Products!$C$6:$C$105,MATCH(D703,Products!$B$6:$B$105,0)),0)+N(F703)+N(G703))</f>
        <v/>
      </c>
      <c r="I703" s="35" t="n"/>
      <c r="J703" s="30">
        <f>IF(OR(H703="",L703="Cancelled"),"",IF(H703-N(I703)&gt;0.005,H703-N(I703),""))</f>
        <v/>
      </c>
      <c r="K703" s="31" t="n"/>
      <c r="L703" s="36" t="n"/>
      <c r="M703" s="33" t="n"/>
      <c r="N703" s="22">
        <f>IF(OR(H703="",L703="Cancelled"),"",IF(N(E703)=0,1,E703)*IFERROR(INDEX(Products!$E$6:$E$105,MATCH(D703,Products!$B$6:$B$105,0)),0))</f>
        <v/>
      </c>
      <c r="O703" s="35" t="n"/>
      <c r="P703" s="22">
        <f>IF(OR(H703="",L703="Cancelled"),"",ROUND(IFERROR(H703*INDEX(Settings!$C$6:$C$15,MATCH(M703,Settings!$B$6:$B$15,0))+INDEX(Settings!$D$6:$D$15,MATCH(M703,Settings!$B$6:$B$15,0)),0),2))</f>
        <v/>
      </c>
      <c r="Q703" s="28">
        <f>IF(OR(H703="",L703="Cancelled"),"",H703-N(N703)-N(O703)-N(P703))</f>
        <v/>
      </c>
      <c r="R703" s="19">
        <f>IF(OR(B703="",K703=""),"",IF(OR(L703="Sent",L703="Picked up"),"Done",IF(L703="Cancelled","Cancelled",IF(K703&lt;TODAY(),"Late by "&amp;(TODAY()-K703)&amp;IF((TODAY()-K703)=1," day"," days"),IF(K703=TODAY(),"Due today","Due in "&amp;(K703-TODAY())&amp;IF((K703-TODAY())=1," day"," days"))))))</f>
        <v/>
      </c>
      <c r="S703" s="33" t="n"/>
      <c r="T703" s="1">
        <f>IF(AND(B703&lt;&gt;"",K703&lt;&gt;"",L703&lt;&gt;"Sent",L703&lt;&gt;"Picked up",L703&lt;&gt;"Cancelled"),K703+ROW()/10000000,"")</f>
        <v/>
      </c>
      <c r="U703">
        <f>IF(OR(B703="",C703=""),"",B703+ROW()/10000000)</f>
        <v/>
      </c>
      <c r="V703">
        <f>IF(U703="","",IF(COUNTIFS(Orders!$C$6:$C$1005,C703,Orders!$U$6:$U$1005,"&gt;"&amp;U703)=0,1,0))</f>
        <v/>
      </c>
      <c r="W703">
        <f>IF(AND(B703&lt;&gt;"",K703&lt;&gt;"",L703&lt;&gt;"Sent",L703&lt;&gt;"Picked up",L703&lt;&gt;"Cancelled"),IF(N(E703)=0,1,E703),0)</f>
        <v/>
      </c>
      <c r="X703">
        <f>IF(OR(B703="",D703=""),"",IF(N(E703)=0,1,E703))</f>
        <v/>
      </c>
    </row>
    <row r="704">
      <c r="A704" s="1" t="n"/>
      <c r="B704" s="31" t="n"/>
      <c r="C704" s="32" t="n"/>
      <c r="D704" s="33" t="n"/>
      <c r="E704" s="34" t="n"/>
      <c r="F704" s="35" t="n"/>
      <c r="G704" s="35" t="n"/>
      <c r="H704" s="30">
        <f>IF(OR(B704="",D704=""),"",IF(N(E704)=0,1,E704)*IFERROR(INDEX(Products!$C$6:$C$105,MATCH(D704,Products!$B$6:$B$105,0)),0)+N(F704)+N(G704))</f>
        <v/>
      </c>
      <c r="I704" s="35" t="n"/>
      <c r="J704" s="30">
        <f>IF(OR(H704="",L704="Cancelled"),"",IF(H704-N(I704)&gt;0.005,H704-N(I704),""))</f>
        <v/>
      </c>
      <c r="K704" s="31" t="n"/>
      <c r="L704" s="36" t="n"/>
      <c r="M704" s="33" t="n"/>
      <c r="N704" s="22">
        <f>IF(OR(H704="",L704="Cancelled"),"",IF(N(E704)=0,1,E704)*IFERROR(INDEX(Products!$E$6:$E$105,MATCH(D704,Products!$B$6:$B$105,0)),0))</f>
        <v/>
      </c>
      <c r="O704" s="35" t="n"/>
      <c r="P704" s="22">
        <f>IF(OR(H704="",L704="Cancelled"),"",ROUND(IFERROR(H704*INDEX(Settings!$C$6:$C$15,MATCH(M704,Settings!$B$6:$B$15,0))+INDEX(Settings!$D$6:$D$15,MATCH(M704,Settings!$B$6:$B$15,0)),0),2))</f>
        <v/>
      </c>
      <c r="Q704" s="28">
        <f>IF(OR(H704="",L704="Cancelled"),"",H704-N(N704)-N(O704)-N(P704))</f>
        <v/>
      </c>
      <c r="R704" s="19">
        <f>IF(OR(B704="",K704=""),"",IF(OR(L704="Sent",L704="Picked up"),"Done",IF(L704="Cancelled","Cancelled",IF(K704&lt;TODAY(),"Late by "&amp;(TODAY()-K704)&amp;IF((TODAY()-K704)=1," day"," days"),IF(K704=TODAY(),"Due today","Due in "&amp;(K704-TODAY())&amp;IF((K704-TODAY())=1," day"," days"))))))</f>
        <v/>
      </c>
      <c r="S704" s="33" t="n"/>
      <c r="T704" s="1">
        <f>IF(AND(B704&lt;&gt;"",K704&lt;&gt;"",L704&lt;&gt;"Sent",L704&lt;&gt;"Picked up",L704&lt;&gt;"Cancelled"),K704+ROW()/10000000,"")</f>
        <v/>
      </c>
      <c r="U704">
        <f>IF(OR(B704="",C704=""),"",B704+ROW()/10000000)</f>
        <v/>
      </c>
      <c r="V704">
        <f>IF(U704="","",IF(COUNTIFS(Orders!$C$6:$C$1005,C704,Orders!$U$6:$U$1005,"&gt;"&amp;U704)=0,1,0))</f>
        <v/>
      </c>
      <c r="W704">
        <f>IF(AND(B704&lt;&gt;"",K704&lt;&gt;"",L704&lt;&gt;"Sent",L704&lt;&gt;"Picked up",L704&lt;&gt;"Cancelled"),IF(N(E704)=0,1,E704),0)</f>
        <v/>
      </c>
      <c r="X704">
        <f>IF(OR(B704="",D704=""),"",IF(N(E704)=0,1,E704))</f>
        <v/>
      </c>
    </row>
    <row r="705">
      <c r="A705" s="1" t="n"/>
      <c r="B705" s="31" t="n"/>
      <c r="C705" s="32" t="n"/>
      <c r="D705" s="33" t="n"/>
      <c r="E705" s="34" t="n"/>
      <c r="F705" s="35" t="n"/>
      <c r="G705" s="35" t="n"/>
      <c r="H705" s="30">
        <f>IF(OR(B705="",D705=""),"",IF(N(E705)=0,1,E705)*IFERROR(INDEX(Products!$C$6:$C$105,MATCH(D705,Products!$B$6:$B$105,0)),0)+N(F705)+N(G705))</f>
        <v/>
      </c>
      <c r="I705" s="35" t="n"/>
      <c r="J705" s="30">
        <f>IF(OR(H705="",L705="Cancelled"),"",IF(H705-N(I705)&gt;0.005,H705-N(I705),""))</f>
        <v/>
      </c>
      <c r="K705" s="31" t="n"/>
      <c r="L705" s="36" t="n"/>
      <c r="M705" s="33" t="n"/>
      <c r="N705" s="22">
        <f>IF(OR(H705="",L705="Cancelled"),"",IF(N(E705)=0,1,E705)*IFERROR(INDEX(Products!$E$6:$E$105,MATCH(D705,Products!$B$6:$B$105,0)),0))</f>
        <v/>
      </c>
      <c r="O705" s="35" t="n"/>
      <c r="P705" s="22">
        <f>IF(OR(H705="",L705="Cancelled"),"",ROUND(IFERROR(H705*INDEX(Settings!$C$6:$C$15,MATCH(M705,Settings!$B$6:$B$15,0))+INDEX(Settings!$D$6:$D$15,MATCH(M705,Settings!$B$6:$B$15,0)),0),2))</f>
        <v/>
      </c>
      <c r="Q705" s="28">
        <f>IF(OR(H705="",L705="Cancelled"),"",H705-N(N705)-N(O705)-N(P705))</f>
        <v/>
      </c>
      <c r="R705" s="19">
        <f>IF(OR(B705="",K705=""),"",IF(OR(L705="Sent",L705="Picked up"),"Done",IF(L705="Cancelled","Cancelled",IF(K705&lt;TODAY(),"Late by "&amp;(TODAY()-K705)&amp;IF((TODAY()-K705)=1," day"," days"),IF(K705=TODAY(),"Due today","Due in "&amp;(K705-TODAY())&amp;IF((K705-TODAY())=1," day"," days"))))))</f>
        <v/>
      </c>
      <c r="S705" s="33" t="n"/>
      <c r="T705" s="1">
        <f>IF(AND(B705&lt;&gt;"",K705&lt;&gt;"",L705&lt;&gt;"Sent",L705&lt;&gt;"Picked up",L705&lt;&gt;"Cancelled"),K705+ROW()/10000000,"")</f>
        <v/>
      </c>
      <c r="U705">
        <f>IF(OR(B705="",C705=""),"",B705+ROW()/10000000)</f>
        <v/>
      </c>
      <c r="V705">
        <f>IF(U705="","",IF(COUNTIFS(Orders!$C$6:$C$1005,C705,Orders!$U$6:$U$1005,"&gt;"&amp;U705)=0,1,0))</f>
        <v/>
      </c>
      <c r="W705">
        <f>IF(AND(B705&lt;&gt;"",K705&lt;&gt;"",L705&lt;&gt;"Sent",L705&lt;&gt;"Picked up",L705&lt;&gt;"Cancelled"),IF(N(E705)=0,1,E705),0)</f>
        <v/>
      </c>
      <c r="X705">
        <f>IF(OR(B705="",D705=""),"",IF(N(E705)=0,1,E705))</f>
        <v/>
      </c>
    </row>
    <row r="706">
      <c r="A706" s="1" t="n"/>
      <c r="B706" s="31" t="n"/>
      <c r="C706" s="32" t="n"/>
      <c r="D706" s="33" t="n"/>
      <c r="E706" s="34" t="n"/>
      <c r="F706" s="35" t="n"/>
      <c r="G706" s="35" t="n"/>
      <c r="H706" s="30">
        <f>IF(OR(B706="",D706=""),"",IF(N(E706)=0,1,E706)*IFERROR(INDEX(Products!$C$6:$C$105,MATCH(D706,Products!$B$6:$B$105,0)),0)+N(F706)+N(G706))</f>
        <v/>
      </c>
      <c r="I706" s="35" t="n"/>
      <c r="J706" s="30">
        <f>IF(OR(H706="",L706="Cancelled"),"",IF(H706-N(I706)&gt;0.005,H706-N(I706),""))</f>
        <v/>
      </c>
      <c r="K706" s="31" t="n"/>
      <c r="L706" s="36" t="n"/>
      <c r="M706" s="33" t="n"/>
      <c r="N706" s="22">
        <f>IF(OR(H706="",L706="Cancelled"),"",IF(N(E706)=0,1,E706)*IFERROR(INDEX(Products!$E$6:$E$105,MATCH(D706,Products!$B$6:$B$105,0)),0))</f>
        <v/>
      </c>
      <c r="O706" s="35" t="n"/>
      <c r="P706" s="22">
        <f>IF(OR(H706="",L706="Cancelled"),"",ROUND(IFERROR(H706*INDEX(Settings!$C$6:$C$15,MATCH(M706,Settings!$B$6:$B$15,0))+INDEX(Settings!$D$6:$D$15,MATCH(M706,Settings!$B$6:$B$15,0)),0),2))</f>
        <v/>
      </c>
      <c r="Q706" s="28">
        <f>IF(OR(H706="",L706="Cancelled"),"",H706-N(N706)-N(O706)-N(P706))</f>
        <v/>
      </c>
      <c r="R706" s="19">
        <f>IF(OR(B706="",K706=""),"",IF(OR(L706="Sent",L706="Picked up"),"Done",IF(L706="Cancelled","Cancelled",IF(K706&lt;TODAY(),"Late by "&amp;(TODAY()-K706)&amp;IF((TODAY()-K706)=1," day"," days"),IF(K706=TODAY(),"Due today","Due in "&amp;(K706-TODAY())&amp;IF((K706-TODAY())=1," day"," days"))))))</f>
        <v/>
      </c>
      <c r="S706" s="33" t="n"/>
      <c r="T706" s="1">
        <f>IF(AND(B706&lt;&gt;"",K706&lt;&gt;"",L706&lt;&gt;"Sent",L706&lt;&gt;"Picked up",L706&lt;&gt;"Cancelled"),K706+ROW()/10000000,"")</f>
        <v/>
      </c>
      <c r="U706">
        <f>IF(OR(B706="",C706=""),"",B706+ROW()/10000000)</f>
        <v/>
      </c>
      <c r="V706">
        <f>IF(U706="","",IF(COUNTIFS(Orders!$C$6:$C$1005,C706,Orders!$U$6:$U$1005,"&gt;"&amp;U706)=0,1,0))</f>
        <v/>
      </c>
      <c r="W706">
        <f>IF(AND(B706&lt;&gt;"",K706&lt;&gt;"",L706&lt;&gt;"Sent",L706&lt;&gt;"Picked up",L706&lt;&gt;"Cancelled"),IF(N(E706)=0,1,E706),0)</f>
        <v/>
      </c>
      <c r="X706">
        <f>IF(OR(B706="",D706=""),"",IF(N(E706)=0,1,E706))</f>
        <v/>
      </c>
    </row>
    <row r="707">
      <c r="A707" s="1" t="n"/>
      <c r="B707" s="31" t="n"/>
      <c r="C707" s="32" t="n"/>
      <c r="D707" s="33" t="n"/>
      <c r="E707" s="34" t="n"/>
      <c r="F707" s="35" t="n"/>
      <c r="G707" s="35" t="n"/>
      <c r="H707" s="30">
        <f>IF(OR(B707="",D707=""),"",IF(N(E707)=0,1,E707)*IFERROR(INDEX(Products!$C$6:$C$105,MATCH(D707,Products!$B$6:$B$105,0)),0)+N(F707)+N(G707))</f>
        <v/>
      </c>
      <c r="I707" s="35" t="n"/>
      <c r="J707" s="30">
        <f>IF(OR(H707="",L707="Cancelled"),"",IF(H707-N(I707)&gt;0.005,H707-N(I707),""))</f>
        <v/>
      </c>
      <c r="K707" s="31" t="n"/>
      <c r="L707" s="36" t="n"/>
      <c r="M707" s="33" t="n"/>
      <c r="N707" s="22">
        <f>IF(OR(H707="",L707="Cancelled"),"",IF(N(E707)=0,1,E707)*IFERROR(INDEX(Products!$E$6:$E$105,MATCH(D707,Products!$B$6:$B$105,0)),0))</f>
        <v/>
      </c>
      <c r="O707" s="35" t="n"/>
      <c r="P707" s="22">
        <f>IF(OR(H707="",L707="Cancelled"),"",ROUND(IFERROR(H707*INDEX(Settings!$C$6:$C$15,MATCH(M707,Settings!$B$6:$B$15,0))+INDEX(Settings!$D$6:$D$15,MATCH(M707,Settings!$B$6:$B$15,0)),0),2))</f>
        <v/>
      </c>
      <c r="Q707" s="28">
        <f>IF(OR(H707="",L707="Cancelled"),"",H707-N(N707)-N(O707)-N(P707))</f>
        <v/>
      </c>
      <c r="R707" s="19">
        <f>IF(OR(B707="",K707=""),"",IF(OR(L707="Sent",L707="Picked up"),"Done",IF(L707="Cancelled","Cancelled",IF(K707&lt;TODAY(),"Late by "&amp;(TODAY()-K707)&amp;IF((TODAY()-K707)=1," day"," days"),IF(K707=TODAY(),"Due today","Due in "&amp;(K707-TODAY())&amp;IF((K707-TODAY())=1," day"," days"))))))</f>
        <v/>
      </c>
      <c r="S707" s="33" t="n"/>
      <c r="T707" s="1">
        <f>IF(AND(B707&lt;&gt;"",K707&lt;&gt;"",L707&lt;&gt;"Sent",L707&lt;&gt;"Picked up",L707&lt;&gt;"Cancelled"),K707+ROW()/10000000,"")</f>
        <v/>
      </c>
      <c r="U707">
        <f>IF(OR(B707="",C707=""),"",B707+ROW()/10000000)</f>
        <v/>
      </c>
      <c r="V707">
        <f>IF(U707="","",IF(COUNTIFS(Orders!$C$6:$C$1005,C707,Orders!$U$6:$U$1005,"&gt;"&amp;U707)=0,1,0))</f>
        <v/>
      </c>
      <c r="W707">
        <f>IF(AND(B707&lt;&gt;"",K707&lt;&gt;"",L707&lt;&gt;"Sent",L707&lt;&gt;"Picked up",L707&lt;&gt;"Cancelled"),IF(N(E707)=0,1,E707),0)</f>
        <v/>
      </c>
      <c r="X707">
        <f>IF(OR(B707="",D707=""),"",IF(N(E707)=0,1,E707))</f>
        <v/>
      </c>
    </row>
    <row r="708">
      <c r="A708" s="1" t="n"/>
      <c r="B708" s="31" t="n"/>
      <c r="C708" s="32" t="n"/>
      <c r="D708" s="33" t="n"/>
      <c r="E708" s="34" t="n"/>
      <c r="F708" s="35" t="n"/>
      <c r="G708" s="35" t="n"/>
      <c r="H708" s="30">
        <f>IF(OR(B708="",D708=""),"",IF(N(E708)=0,1,E708)*IFERROR(INDEX(Products!$C$6:$C$105,MATCH(D708,Products!$B$6:$B$105,0)),0)+N(F708)+N(G708))</f>
        <v/>
      </c>
      <c r="I708" s="35" t="n"/>
      <c r="J708" s="30">
        <f>IF(OR(H708="",L708="Cancelled"),"",IF(H708-N(I708)&gt;0.005,H708-N(I708),""))</f>
        <v/>
      </c>
      <c r="K708" s="31" t="n"/>
      <c r="L708" s="36" t="n"/>
      <c r="M708" s="33" t="n"/>
      <c r="N708" s="22">
        <f>IF(OR(H708="",L708="Cancelled"),"",IF(N(E708)=0,1,E708)*IFERROR(INDEX(Products!$E$6:$E$105,MATCH(D708,Products!$B$6:$B$105,0)),0))</f>
        <v/>
      </c>
      <c r="O708" s="35" t="n"/>
      <c r="P708" s="22">
        <f>IF(OR(H708="",L708="Cancelled"),"",ROUND(IFERROR(H708*INDEX(Settings!$C$6:$C$15,MATCH(M708,Settings!$B$6:$B$15,0))+INDEX(Settings!$D$6:$D$15,MATCH(M708,Settings!$B$6:$B$15,0)),0),2))</f>
        <v/>
      </c>
      <c r="Q708" s="28">
        <f>IF(OR(H708="",L708="Cancelled"),"",H708-N(N708)-N(O708)-N(P708))</f>
        <v/>
      </c>
      <c r="R708" s="19">
        <f>IF(OR(B708="",K708=""),"",IF(OR(L708="Sent",L708="Picked up"),"Done",IF(L708="Cancelled","Cancelled",IF(K708&lt;TODAY(),"Late by "&amp;(TODAY()-K708)&amp;IF((TODAY()-K708)=1," day"," days"),IF(K708=TODAY(),"Due today","Due in "&amp;(K708-TODAY())&amp;IF((K708-TODAY())=1," day"," days"))))))</f>
        <v/>
      </c>
      <c r="S708" s="33" t="n"/>
      <c r="T708" s="1">
        <f>IF(AND(B708&lt;&gt;"",K708&lt;&gt;"",L708&lt;&gt;"Sent",L708&lt;&gt;"Picked up",L708&lt;&gt;"Cancelled"),K708+ROW()/10000000,"")</f>
        <v/>
      </c>
      <c r="U708">
        <f>IF(OR(B708="",C708=""),"",B708+ROW()/10000000)</f>
        <v/>
      </c>
      <c r="V708">
        <f>IF(U708="","",IF(COUNTIFS(Orders!$C$6:$C$1005,C708,Orders!$U$6:$U$1005,"&gt;"&amp;U708)=0,1,0))</f>
        <v/>
      </c>
      <c r="W708">
        <f>IF(AND(B708&lt;&gt;"",K708&lt;&gt;"",L708&lt;&gt;"Sent",L708&lt;&gt;"Picked up",L708&lt;&gt;"Cancelled"),IF(N(E708)=0,1,E708),0)</f>
        <v/>
      </c>
      <c r="X708">
        <f>IF(OR(B708="",D708=""),"",IF(N(E708)=0,1,E708))</f>
        <v/>
      </c>
    </row>
    <row r="709">
      <c r="A709" s="1" t="n"/>
      <c r="B709" s="31" t="n"/>
      <c r="C709" s="32" t="n"/>
      <c r="D709" s="33" t="n"/>
      <c r="E709" s="34" t="n"/>
      <c r="F709" s="35" t="n"/>
      <c r="G709" s="35" t="n"/>
      <c r="H709" s="30">
        <f>IF(OR(B709="",D709=""),"",IF(N(E709)=0,1,E709)*IFERROR(INDEX(Products!$C$6:$C$105,MATCH(D709,Products!$B$6:$B$105,0)),0)+N(F709)+N(G709))</f>
        <v/>
      </c>
      <c r="I709" s="35" t="n"/>
      <c r="J709" s="30">
        <f>IF(OR(H709="",L709="Cancelled"),"",IF(H709-N(I709)&gt;0.005,H709-N(I709),""))</f>
        <v/>
      </c>
      <c r="K709" s="31" t="n"/>
      <c r="L709" s="36" t="n"/>
      <c r="M709" s="33" t="n"/>
      <c r="N709" s="22">
        <f>IF(OR(H709="",L709="Cancelled"),"",IF(N(E709)=0,1,E709)*IFERROR(INDEX(Products!$E$6:$E$105,MATCH(D709,Products!$B$6:$B$105,0)),0))</f>
        <v/>
      </c>
      <c r="O709" s="35" t="n"/>
      <c r="P709" s="22">
        <f>IF(OR(H709="",L709="Cancelled"),"",ROUND(IFERROR(H709*INDEX(Settings!$C$6:$C$15,MATCH(M709,Settings!$B$6:$B$15,0))+INDEX(Settings!$D$6:$D$15,MATCH(M709,Settings!$B$6:$B$15,0)),0),2))</f>
        <v/>
      </c>
      <c r="Q709" s="28">
        <f>IF(OR(H709="",L709="Cancelled"),"",H709-N(N709)-N(O709)-N(P709))</f>
        <v/>
      </c>
      <c r="R709" s="19">
        <f>IF(OR(B709="",K709=""),"",IF(OR(L709="Sent",L709="Picked up"),"Done",IF(L709="Cancelled","Cancelled",IF(K709&lt;TODAY(),"Late by "&amp;(TODAY()-K709)&amp;IF((TODAY()-K709)=1," day"," days"),IF(K709=TODAY(),"Due today","Due in "&amp;(K709-TODAY())&amp;IF((K709-TODAY())=1," day"," days"))))))</f>
        <v/>
      </c>
      <c r="S709" s="33" t="n"/>
      <c r="T709" s="1">
        <f>IF(AND(B709&lt;&gt;"",K709&lt;&gt;"",L709&lt;&gt;"Sent",L709&lt;&gt;"Picked up",L709&lt;&gt;"Cancelled"),K709+ROW()/10000000,"")</f>
        <v/>
      </c>
      <c r="U709">
        <f>IF(OR(B709="",C709=""),"",B709+ROW()/10000000)</f>
        <v/>
      </c>
      <c r="V709">
        <f>IF(U709="","",IF(COUNTIFS(Orders!$C$6:$C$1005,C709,Orders!$U$6:$U$1005,"&gt;"&amp;U709)=0,1,0))</f>
        <v/>
      </c>
      <c r="W709">
        <f>IF(AND(B709&lt;&gt;"",K709&lt;&gt;"",L709&lt;&gt;"Sent",L709&lt;&gt;"Picked up",L709&lt;&gt;"Cancelled"),IF(N(E709)=0,1,E709),0)</f>
        <v/>
      </c>
      <c r="X709">
        <f>IF(OR(B709="",D709=""),"",IF(N(E709)=0,1,E709))</f>
        <v/>
      </c>
    </row>
    <row r="710">
      <c r="A710" s="1" t="n"/>
      <c r="B710" s="31" t="n"/>
      <c r="C710" s="32" t="n"/>
      <c r="D710" s="33" t="n"/>
      <c r="E710" s="34" t="n"/>
      <c r="F710" s="35" t="n"/>
      <c r="G710" s="35" t="n"/>
      <c r="H710" s="30">
        <f>IF(OR(B710="",D710=""),"",IF(N(E710)=0,1,E710)*IFERROR(INDEX(Products!$C$6:$C$105,MATCH(D710,Products!$B$6:$B$105,0)),0)+N(F710)+N(G710))</f>
        <v/>
      </c>
      <c r="I710" s="35" t="n"/>
      <c r="J710" s="30">
        <f>IF(OR(H710="",L710="Cancelled"),"",IF(H710-N(I710)&gt;0.005,H710-N(I710),""))</f>
        <v/>
      </c>
      <c r="K710" s="31" t="n"/>
      <c r="L710" s="36" t="n"/>
      <c r="M710" s="33" t="n"/>
      <c r="N710" s="22">
        <f>IF(OR(H710="",L710="Cancelled"),"",IF(N(E710)=0,1,E710)*IFERROR(INDEX(Products!$E$6:$E$105,MATCH(D710,Products!$B$6:$B$105,0)),0))</f>
        <v/>
      </c>
      <c r="O710" s="35" t="n"/>
      <c r="P710" s="22">
        <f>IF(OR(H710="",L710="Cancelled"),"",ROUND(IFERROR(H710*INDEX(Settings!$C$6:$C$15,MATCH(M710,Settings!$B$6:$B$15,0))+INDEX(Settings!$D$6:$D$15,MATCH(M710,Settings!$B$6:$B$15,0)),0),2))</f>
        <v/>
      </c>
      <c r="Q710" s="28">
        <f>IF(OR(H710="",L710="Cancelled"),"",H710-N(N710)-N(O710)-N(P710))</f>
        <v/>
      </c>
      <c r="R710" s="19">
        <f>IF(OR(B710="",K710=""),"",IF(OR(L710="Sent",L710="Picked up"),"Done",IF(L710="Cancelled","Cancelled",IF(K710&lt;TODAY(),"Late by "&amp;(TODAY()-K710)&amp;IF((TODAY()-K710)=1," day"," days"),IF(K710=TODAY(),"Due today","Due in "&amp;(K710-TODAY())&amp;IF((K710-TODAY())=1," day"," days"))))))</f>
        <v/>
      </c>
      <c r="S710" s="33" t="n"/>
      <c r="T710" s="1">
        <f>IF(AND(B710&lt;&gt;"",K710&lt;&gt;"",L710&lt;&gt;"Sent",L710&lt;&gt;"Picked up",L710&lt;&gt;"Cancelled"),K710+ROW()/10000000,"")</f>
        <v/>
      </c>
      <c r="U710">
        <f>IF(OR(B710="",C710=""),"",B710+ROW()/10000000)</f>
        <v/>
      </c>
      <c r="V710">
        <f>IF(U710="","",IF(COUNTIFS(Orders!$C$6:$C$1005,C710,Orders!$U$6:$U$1005,"&gt;"&amp;U710)=0,1,0))</f>
        <v/>
      </c>
      <c r="W710">
        <f>IF(AND(B710&lt;&gt;"",K710&lt;&gt;"",L710&lt;&gt;"Sent",L710&lt;&gt;"Picked up",L710&lt;&gt;"Cancelled"),IF(N(E710)=0,1,E710),0)</f>
        <v/>
      </c>
      <c r="X710">
        <f>IF(OR(B710="",D710=""),"",IF(N(E710)=0,1,E710))</f>
        <v/>
      </c>
    </row>
    <row r="711">
      <c r="A711" s="1" t="n"/>
      <c r="B711" s="31" t="n"/>
      <c r="C711" s="32" t="n"/>
      <c r="D711" s="33" t="n"/>
      <c r="E711" s="34" t="n"/>
      <c r="F711" s="35" t="n"/>
      <c r="G711" s="35" t="n"/>
      <c r="H711" s="30">
        <f>IF(OR(B711="",D711=""),"",IF(N(E711)=0,1,E711)*IFERROR(INDEX(Products!$C$6:$C$105,MATCH(D711,Products!$B$6:$B$105,0)),0)+N(F711)+N(G711))</f>
        <v/>
      </c>
      <c r="I711" s="35" t="n"/>
      <c r="J711" s="30">
        <f>IF(OR(H711="",L711="Cancelled"),"",IF(H711-N(I711)&gt;0.005,H711-N(I711),""))</f>
        <v/>
      </c>
      <c r="K711" s="31" t="n"/>
      <c r="L711" s="36" t="n"/>
      <c r="M711" s="33" t="n"/>
      <c r="N711" s="22">
        <f>IF(OR(H711="",L711="Cancelled"),"",IF(N(E711)=0,1,E711)*IFERROR(INDEX(Products!$E$6:$E$105,MATCH(D711,Products!$B$6:$B$105,0)),0))</f>
        <v/>
      </c>
      <c r="O711" s="35" t="n"/>
      <c r="P711" s="22">
        <f>IF(OR(H711="",L711="Cancelled"),"",ROUND(IFERROR(H711*INDEX(Settings!$C$6:$C$15,MATCH(M711,Settings!$B$6:$B$15,0))+INDEX(Settings!$D$6:$D$15,MATCH(M711,Settings!$B$6:$B$15,0)),0),2))</f>
        <v/>
      </c>
      <c r="Q711" s="28">
        <f>IF(OR(H711="",L711="Cancelled"),"",H711-N(N711)-N(O711)-N(P711))</f>
        <v/>
      </c>
      <c r="R711" s="19">
        <f>IF(OR(B711="",K711=""),"",IF(OR(L711="Sent",L711="Picked up"),"Done",IF(L711="Cancelled","Cancelled",IF(K711&lt;TODAY(),"Late by "&amp;(TODAY()-K711)&amp;IF((TODAY()-K711)=1," day"," days"),IF(K711=TODAY(),"Due today","Due in "&amp;(K711-TODAY())&amp;IF((K711-TODAY())=1," day"," days"))))))</f>
        <v/>
      </c>
      <c r="S711" s="33" t="n"/>
      <c r="T711" s="1">
        <f>IF(AND(B711&lt;&gt;"",K711&lt;&gt;"",L711&lt;&gt;"Sent",L711&lt;&gt;"Picked up",L711&lt;&gt;"Cancelled"),K711+ROW()/10000000,"")</f>
        <v/>
      </c>
      <c r="U711">
        <f>IF(OR(B711="",C711=""),"",B711+ROW()/10000000)</f>
        <v/>
      </c>
      <c r="V711">
        <f>IF(U711="","",IF(COUNTIFS(Orders!$C$6:$C$1005,C711,Orders!$U$6:$U$1005,"&gt;"&amp;U711)=0,1,0))</f>
        <v/>
      </c>
      <c r="W711">
        <f>IF(AND(B711&lt;&gt;"",K711&lt;&gt;"",L711&lt;&gt;"Sent",L711&lt;&gt;"Picked up",L711&lt;&gt;"Cancelled"),IF(N(E711)=0,1,E711),0)</f>
        <v/>
      </c>
      <c r="X711">
        <f>IF(OR(B711="",D711=""),"",IF(N(E711)=0,1,E711))</f>
        <v/>
      </c>
    </row>
    <row r="712">
      <c r="A712" s="1" t="n"/>
      <c r="B712" s="31" t="n"/>
      <c r="C712" s="32" t="n"/>
      <c r="D712" s="33" t="n"/>
      <c r="E712" s="34" t="n"/>
      <c r="F712" s="35" t="n"/>
      <c r="G712" s="35" t="n"/>
      <c r="H712" s="30">
        <f>IF(OR(B712="",D712=""),"",IF(N(E712)=0,1,E712)*IFERROR(INDEX(Products!$C$6:$C$105,MATCH(D712,Products!$B$6:$B$105,0)),0)+N(F712)+N(G712))</f>
        <v/>
      </c>
      <c r="I712" s="35" t="n"/>
      <c r="J712" s="30">
        <f>IF(OR(H712="",L712="Cancelled"),"",IF(H712-N(I712)&gt;0.005,H712-N(I712),""))</f>
        <v/>
      </c>
      <c r="K712" s="31" t="n"/>
      <c r="L712" s="36" t="n"/>
      <c r="M712" s="33" t="n"/>
      <c r="N712" s="22">
        <f>IF(OR(H712="",L712="Cancelled"),"",IF(N(E712)=0,1,E712)*IFERROR(INDEX(Products!$E$6:$E$105,MATCH(D712,Products!$B$6:$B$105,0)),0))</f>
        <v/>
      </c>
      <c r="O712" s="35" t="n"/>
      <c r="P712" s="22">
        <f>IF(OR(H712="",L712="Cancelled"),"",ROUND(IFERROR(H712*INDEX(Settings!$C$6:$C$15,MATCH(M712,Settings!$B$6:$B$15,0))+INDEX(Settings!$D$6:$D$15,MATCH(M712,Settings!$B$6:$B$15,0)),0),2))</f>
        <v/>
      </c>
      <c r="Q712" s="28">
        <f>IF(OR(H712="",L712="Cancelled"),"",H712-N(N712)-N(O712)-N(P712))</f>
        <v/>
      </c>
      <c r="R712" s="19">
        <f>IF(OR(B712="",K712=""),"",IF(OR(L712="Sent",L712="Picked up"),"Done",IF(L712="Cancelled","Cancelled",IF(K712&lt;TODAY(),"Late by "&amp;(TODAY()-K712)&amp;IF((TODAY()-K712)=1," day"," days"),IF(K712=TODAY(),"Due today","Due in "&amp;(K712-TODAY())&amp;IF((K712-TODAY())=1," day"," days"))))))</f>
        <v/>
      </c>
      <c r="S712" s="33" t="n"/>
      <c r="T712" s="1">
        <f>IF(AND(B712&lt;&gt;"",K712&lt;&gt;"",L712&lt;&gt;"Sent",L712&lt;&gt;"Picked up",L712&lt;&gt;"Cancelled"),K712+ROW()/10000000,"")</f>
        <v/>
      </c>
      <c r="U712">
        <f>IF(OR(B712="",C712=""),"",B712+ROW()/10000000)</f>
        <v/>
      </c>
      <c r="V712">
        <f>IF(U712="","",IF(COUNTIFS(Orders!$C$6:$C$1005,C712,Orders!$U$6:$U$1005,"&gt;"&amp;U712)=0,1,0))</f>
        <v/>
      </c>
      <c r="W712">
        <f>IF(AND(B712&lt;&gt;"",K712&lt;&gt;"",L712&lt;&gt;"Sent",L712&lt;&gt;"Picked up",L712&lt;&gt;"Cancelled"),IF(N(E712)=0,1,E712),0)</f>
        <v/>
      </c>
      <c r="X712">
        <f>IF(OR(B712="",D712=""),"",IF(N(E712)=0,1,E712))</f>
        <v/>
      </c>
    </row>
    <row r="713">
      <c r="A713" s="1" t="n"/>
      <c r="B713" s="31" t="n"/>
      <c r="C713" s="32" t="n"/>
      <c r="D713" s="33" t="n"/>
      <c r="E713" s="34" t="n"/>
      <c r="F713" s="35" t="n"/>
      <c r="G713" s="35" t="n"/>
      <c r="H713" s="30">
        <f>IF(OR(B713="",D713=""),"",IF(N(E713)=0,1,E713)*IFERROR(INDEX(Products!$C$6:$C$105,MATCH(D713,Products!$B$6:$B$105,0)),0)+N(F713)+N(G713))</f>
        <v/>
      </c>
      <c r="I713" s="35" t="n"/>
      <c r="J713" s="30">
        <f>IF(OR(H713="",L713="Cancelled"),"",IF(H713-N(I713)&gt;0.005,H713-N(I713),""))</f>
        <v/>
      </c>
      <c r="K713" s="31" t="n"/>
      <c r="L713" s="36" t="n"/>
      <c r="M713" s="33" t="n"/>
      <c r="N713" s="22">
        <f>IF(OR(H713="",L713="Cancelled"),"",IF(N(E713)=0,1,E713)*IFERROR(INDEX(Products!$E$6:$E$105,MATCH(D713,Products!$B$6:$B$105,0)),0))</f>
        <v/>
      </c>
      <c r="O713" s="35" t="n"/>
      <c r="P713" s="22">
        <f>IF(OR(H713="",L713="Cancelled"),"",ROUND(IFERROR(H713*INDEX(Settings!$C$6:$C$15,MATCH(M713,Settings!$B$6:$B$15,0))+INDEX(Settings!$D$6:$D$15,MATCH(M713,Settings!$B$6:$B$15,0)),0),2))</f>
        <v/>
      </c>
      <c r="Q713" s="28">
        <f>IF(OR(H713="",L713="Cancelled"),"",H713-N(N713)-N(O713)-N(P713))</f>
        <v/>
      </c>
      <c r="R713" s="19">
        <f>IF(OR(B713="",K713=""),"",IF(OR(L713="Sent",L713="Picked up"),"Done",IF(L713="Cancelled","Cancelled",IF(K713&lt;TODAY(),"Late by "&amp;(TODAY()-K713)&amp;IF((TODAY()-K713)=1," day"," days"),IF(K713=TODAY(),"Due today","Due in "&amp;(K713-TODAY())&amp;IF((K713-TODAY())=1," day"," days"))))))</f>
        <v/>
      </c>
      <c r="S713" s="33" t="n"/>
      <c r="T713" s="1">
        <f>IF(AND(B713&lt;&gt;"",K713&lt;&gt;"",L713&lt;&gt;"Sent",L713&lt;&gt;"Picked up",L713&lt;&gt;"Cancelled"),K713+ROW()/10000000,"")</f>
        <v/>
      </c>
      <c r="U713">
        <f>IF(OR(B713="",C713=""),"",B713+ROW()/10000000)</f>
        <v/>
      </c>
      <c r="V713">
        <f>IF(U713="","",IF(COUNTIFS(Orders!$C$6:$C$1005,C713,Orders!$U$6:$U$1005,"&gt;"&amp;U713)=0,1,0))</f>
        <v/>
      </c>
      <c r="W713">
        <f>IF(AND(B713&lt;&gt;"",K713&lt;&gt;"",L713&lt;&gt;"Sent",L713&lt;&gt;"Picked up",L713&lt;&gt;"Cancelled"),IF(N(E713)=0,1,E713),0)</f>
        <v/>
      </c>
      <c r="X713">
        <f>IF(OR(B713="",D713=""),"",IF(N(E713)=0,1,E713))</f>
        <v/>
      </c>
    </row>
    <row r="714">
      <c r="A714" s="1" t="n"/>
      <c r="B714" s="31" t="n"/>
      <c r="C714" s="32" t="n"/>
      <c r="D714" s="33" t="n"/>
      <c r="E714" s="34" t="n"/>
      <c r="F714" s="35" t="n"/>
      <c r="G714" s="35" t="n"/>
      <c r="H714" s="30">
        <f>IF(OR(B714="",D714=""),"",IF(N(E714)=0,1,E714)*IFERROR(INDEX(Products!$C$6:$C$105,MATCH(D714,Products!$B$6:$B$105,0)),0)+N(F714)+N(G714))</f>
        <v/>
      </c>
      <c r="I714" s="35" t="n"/>
      <c r="J714" s="30">
        <f>IF(OR(H714="",L714="Cancelled"),"",IF(H714-N(I714)&gt;0.005,H714-N(I714),""))</f>
        <v/>
      </c>
      <c r="K714" s="31" t="n"/>
      <c r="L714" s="36" t="n"/>
      <c r="M714" s="33" t="n"/>
      <c r="N714" s="22">
        <f>IF(OR(H714="",L714="Cancelled"),"",IF(N(E714)=0,1,E714)*IFERROR(INDEX(Products!$E$6:$E$105,MATCH(D714,Products!$B$6:$B$105,0)),0))</f>
        <v/>
      </c>
      <c r="O714" s="35" t="n"/>
      <c r="P714" s="22">
        <f>IF(OR(H714="",L714="Cancelled"),"",ROUND(IFERROR(H714*INDEX(Settings!$C$6:$C$15,MATCH(M714,Settings!$B$6:$B$15,0))+INDEX(Settings!$D$6:$D$15,MATCH(M714,Settings!$B$6:$B$15,0)),0),2))</f>
        <v/>
      </c>
      <c r="Q714" s="28">
        <f>IF(OR(H714="",L714="Cancelled"),"",H714-N(N714)-N(O714)-N(P714))</f>
        <v/>
      </c>
      <c r="R714" s="19">
        <f>IF(OR(B714="",K714=""),"",IF(OR(L714="Sent",L714="Picked up"),"Done",IF(L714="Cancelled","Cancelled",IF(K714&lt;TODAY(),"Late by "&amp;(TODAY()-K714)&amp;IF((TODAY()-K714)=1," day"," days"),IF(K714=TODAY(),"Due today","Due in "&amp;(K714-TODAY())&amp;IF((K714-TODAY())=1," day"," days"))))))</f>
        <v/>
      </c>
      <c r="S714" s="33" t="n"/>
      <c r="T714" s="1">
        <f>IF(AND(B714&lt;&gt;"",K714&lt;&gt;"",L714&lt;&gt;"Sent",L714&lt;&gt;"Picked up",L714&lt;&gt;"Cancelled"),K714+ROW()/10000000,"")</f>
        <v/>
      </c>
      <c r="U714">
        <f>IF(OR(B714="",C714=""),"",B714+ROW()/10000000)</f>
        <v/>
      </c>
      <c r="V714">
        <f>IF(U714="","",IF(COUNTIFS(Orders!$C$6:$C$1005,C714,Orders!$U$6:$U$1005,"&gt;"&amp;U714)=0,1,0))</f>
        <v/>
      </c>
      <c r="W714">
        <f>IF(AND(B714&lt;&gt;"",K714&lt;&gt;"",L714&lt;&gt;"Sent",L714&lt;&gt;"Picked up",L714&lt;&gt;"Cancelled"),IF(N(E714)=0,1,E714),0)</f>
        <v/>
      </c>
      <c r="X714">
        <f>IF(OR(B714="",D714=""),"",IF(N(E714)=0,1,E714))</f>
        <v/>
      </c>
    </row>
    <row r="715">
      <c r="A715" s="1" t="n"/>
      <c r="B715" s="31" t="n"/>
      <c r="C715" s="32" t="n"/>
      <c r="D715" s="33" t="n"/>
      <c r="E715" s="34" t="n"/>
      <c r="F715" s="35" t="n"/>
      <c r="G715" s="35" t="n"/>
      <c r="H715" s="30">
        <f>IF(OR(B715="",D715=""),"",IF(N(E715)=0,1,E715)*IFERROR(INDEX(Products!$C$6:$C$105,MATCH(D715,Products!$B$6:$B$105,0)),0)+N(F715)+N(G715))</f>
        <v/>
      </c>
      <c r="I715" s="35" t="n"/>
      <c r="J715" s="30">
        <f>IF(OR(H715="",L715="Cancelled"),"",IF(H715-N(I715)&gt;0.005,H715-N(I715),""))</f>
        <v/>
      </c>
      <c r="K715" s="31" t="n"/>
      <c r="L715" s="36" t="n"/>
      <c r="M715" s="33" t="n"/>
      <c r="N715" s="22">
        <f>IF(OR(H715="",L715="Cancelled"),"",IF(N(E715)=0,1,E715)*IFERROR(INDEX(Products!$E$6:$E$105,MATCH(D715,Products!$B$6:$B$105,0)),0))</f>
        <v/>
      </c>
      <c r="O715" s="35" t="n"/>
      <c r="P715" s="22">
        <f>IF(OR(H715="",L715="Cancelled"),"",ROUND(IFERROR(H715*INDEX(Settings!$C$6:$C$15,MATCH(M715,Settings!$B$6:$B$15,0))+INDEX(Settings!$D$6:$D$15,MATCH(M715,Settings!$B$6:$B$15,0)),0),2))</f>
        <v/>
      </c>
      <c r="Q715" s="28">
        <f>IF(OR(H715="",L715="Cancelled"),"",H715-N(N715)-N(O715)-N(P715))</f>
        <v/>
      </c>
      <c r="R715" s="19">
        <f>IF(OR(B715="",K715=""),"",IF(OR(L715="Sent",L715="Picked up"),"Done",IF(L715="Cancelled","Cancelled",IF(K715&lt;TODAY(),"Late by "&amp;(TODAY()-K715)&amp;IF((TODAY()-K715)=1," day"," days"),IF(K715=TODAY(),"Due today","Due in "&amp;(K715-TODAY())&amp;IF((K715-TODAY())=1," day"," days"))))))</f>
        <v/>
      </c>
      <c r="S715" s="33" t="n"/>
      <c r="T715" s="1">
        <f>IF(AND(B715&lt;&gt;"",K715&lt;&gt;"",L715&lt;&gt;"Sent",L715&lt;&gt;"Picked up",L715&lt;&gt;"Cancelled"),K715+ROW()/10000000,"")</f>
        <v/>
      </c>
      <c r="U715">
        <f>IF(OR(B715="",C715=""),"",B715+ROW()/10000000)</f>
        <v/>
      </c>
      <c r="V715">
        <f>IF(U715="","",IF(COUNTIFS(Orders!$C$6:$C$1005,C715,Orders!$U$6:$U$1005,"&gt;"&amp;U715)=0,1,0))</f>
        <v/>
      </c>
      <c r="W715">
        <f>IF(AND(B715&lt;&gt;"",K715&lt;&gt;"",L715&lt;&gt;"Sent",L715&lt;&gt;"Picked up",L715&lt;&gt;"Cancelled"),IF(N(E715)=0,1,E715),0)</f>
        <v/>
      </c>
      <c r="X715">
        <f>IF(OR(B715="",D715=""),"",IF(N(E715)=0,1,E715))</f>
        <v/>
      </c>
    </row>
    <row r="716">
      <c r="A716" s="1" t="n"/>
      <c r="B716" s="31" t="n"/>
      <c r="C716" s="32" t="n"/>
      <c r="D716" s="33" t="n"/>
      <c r="E716" s="34" t="n"/>
      <c r="F716" s="35" t="n"/>
      <c r="G716" s="35" t="n"/>
      <c r="H716" s="30">
        <f>IF(OR(B716="",D716=""),"",IF(N(E716)=0,1,E716)*IFERROR(INDEX(Products!$C$6:$C$105,MATCH(D716,Products!$B$6:$B$105,0)),0)+N(F716)+N(G716))</f>
        <v/>
      </c>
      <c r="I716" s="35" t="n"/>
      <c r="J716" s="30">
        <f>IF(OR(H716="",L716="Cancelled"),"",IF(H716-N(I716)&gt;0.005,H716-N(I716),""))</f>
        <v/>
      </c>
      <c r="K716" s="31" t="n"/>
      <c r="L716" s="36" t="n"/>
      <c r="M716" s="33" t="n"/>
      <c r="N716" s="22">
        <f>IF(OR(H716="",L716="Cancelled"),"",IF(N(E716)=0,1,E716)*IFERROR(INDEX(Products!$E$6:$E$105,MATCH(D716,Products!$B$6:$B$105,0)),0))</f>
        <v/>
      </c>
      <c r="O716" s="35" t="n"/>
      <c r="P716" s="22">
        <f>IF(OR(H716="",L716="Cancelled"),"",ROUND(IFERROR(H716*INDEX(Settings!$C$6:$C$15,MATCH(M716,Settings!$B$6:$B$15,0))+INDEX(Settings!$D$6:$D$15,MATCH(M716,Settings!$B$6:$B$15,0)),0),2))</f>
        <v/>
      </c>
      <c r="Q716" s="28">
        <f>IF(OR(H716="",L716="Cancelled"),"",H716-N(N716)-N(O716)-N(P716))</f>
        <v/>
      </c>
      <c r="R716" s="19">
        <f>IF(OR(B716="",K716=""),"",IF(OR(L716="Sent",L716="Picked up"),"Done",IF(L716="Cancelled","Cancelled",IF(K716&lt;TODAY(),"Late by "&amp;(TODAY()-K716)&amp;IF((TODAY()-K716)=1," day"," days"),IF(K716=TODAY(),"Due today","Due in "&amp;(K716-TODAY())&amp;IF((K716-TODAY())=1," day"," days"))))))</f>
        <v/>
      </c>
      <c r="S716" s="33" t="n"/>
      <c r="T716" s="1">
        <f>IF(AND(B716&lt;&gt;"",K716&lt;&gt;"",L716&lt;&gt;"Sent",L716&lt;&gt;"Picked up",L716&lt;&gt;"Cancelled"),K716+ROW()/10000000,"")</f>
        <v/>
      </c>
      <c r="U716">
        <f>IF(OR(B716="",C716=""),"",B716+ROW()/10000000)</f>
        <v/>
      </c>
      <c r="V716">
        <f>IF(U716="","",IF(COUNTIFS(Orders!$C$6:$C$1005,C716,Orders!$U$6:$U$1005,"&gt;"&amp;U716)=0,1,0))</f>
        <v/>
      </c>
      <c r="W716">
        <f>IF(AND(B716&lt;&gt;"",K716&lt;&gt;"",L716&lt;&gt;"Sent",L716&lt;&gt;"Picked up",L716&lt;&gt;"Cancelled"),IF(N(E716)=0,1,E716),0)</f>
        <v/>
      </c>
      <c r="X716">
        <f>IF(OR(B716="",D716=""),"",IF(N(E716)=0,1,E716))</f>
        <v/>
      </c>
    </row>
    <row r="717">
      <c r="A717" s="1" t="n"/>
      <c r="B717" s="31" t="n"/>
      <c r="C717" s="32" t="n"/>
      <c r="D717" s="33" t="n"/>
      <c r="E717" s="34" t="n"/>
      <c r="F717" s="35" t="n"/>
      <c r="G717" s="35" t="n"/>
      <c r="H717" s="30">
        <f>IF(OR(B717="",D717=""),"",IF(N(E717)=0,1,E717)*IFERROR(INDEX(Products!$C$6:$C$105,MATCH(D717,Products!$B$6:$B$105,0)),0)+N(F717)+N(G717))</f>
        <v/>
      </c>
      <c r="I717" s="35" t="n"/>
      <c r="J717" s="30">
        <f>IF(OR(H717="",L717="Cancelled"),"",IF(H717-N(I717)&gt;0.005,H717-N(I717),""))</f>
        <v/>
      </c>
      <c r="K717" s="31" t="n"/>
      <c r="L717" s="36" t="n"/>
      <c r="M717" s="33" t="n"/>
      <c r="N717" s="22">
        <f>IF(OR(H717="",L717="Cancelled"),"",IF(N(E717)=0,1,E717)*IFERROR(INDEX(Products!$E$6:$E$105,MATCH(D717,Products!$B$6:$B$105,0)),0))</f>
        <v/>
      </c>
      <c r="O717" s="35" t="n"/>
      <c r="P717" s="22">
        <f>IF(OR(H717="",L717="Cancelled"),"",ROUND(IFERROR(H717*INDEX(Settings!$C$6:$C$15,MATCH(M717,Settings!$B$6:$B$15,0))+INDEX(Settings!$D$6:$D$15,MATCH(M717,Settings!$B$6:$B$15,0)),0),2))</f>
        <v/>
      </c>
      <c r="Q717" s="28">
        <f>IF(OR(H717="",L717="Cancelled"),"",H717-N(N717)-N(O717)-N(P717))</f>
        <v/>
      </c>
      <c r="R717" s="19">
        <f>IF(OR(B717="",K717=""),"",IF(OR(L717="Sent",L717="Picked up"),"Done",IF(L717="Cancelled","Cancelled",IF(K717&lt;TODAY(),"Late by "&amp;(TODAY()-K717)&amp;IF((TODAY()-K717)=1," day"," days"),IF(K717=TODAY(),"Due today","Due in "&amp;(K717-TODAY())&amp;IF((K717-TODAY())=1," day"," days"))))))</f>
        <v/>
      </c>
      <c r="S717" s="33" t="n"/>
      <c r="T717" s="1">
        <f>IF(AND(B717&lt;&gt;"",K717&lt;&gt;"",L717&lt;&gt;"Sent",L717&lt;&gt;"Picked up",L717&lt;&gt;"Cancelled"),K717+ROW()/10000000,"")</f>
        <v/>
      </c>
      <c r="U717">
        <f>IF(OR(B717="",C717=""),"",B717+ROW()/10000000)</f>
        <v/>
      </c>
      <c r="V717">
        <f>IF(U717="","",IF(COUNTIFS(Orders!$C$6:$C$1005,C717,Orders!$U$6:$U$1005,"&gt;"&amp;U717)=0,1,0))</f>
        <v/>
      </c>
      <c r="W717">
        <f>IF(AND(B717&lt;&gt;"",K717&lt;&gt;"",L717&lt;&gt;"Sent",L717&lt;&gt;"Picked up",L717&lt;&gt;"Cancelled"),IF(N(E717)=0,1,E717),0)</f>
        <v/>
      </c>
      <c r="X717">
        <f>IF(OR(B717="",D717=""),"",IF(N(E717)=0,1,E717))</f>
        <v/>
      </c>
    </row>
    <row r="718">
      <c r="A718" s="1" t="n"/>
      <c r="B718" s="31" t="n"/>
      <c r="C718" s="32" t="n"/>
      <c r="D718" s="33" t="n"/>
      <c r="E718" s="34" t="n"/>
      <c r="F718" s="35" t="n"/>
      <c r="G718" s="35" t="n"/>
      <c r="H718" s="30">
        <f>IF(OR(B718="",D718=""),"",IF(N(E718)=0,1,E718)*IFERROR(INDEX(Products!$C$6:$C$105,MATCH(D718,Products!$B$6:$B$105,0)),0)+N(F718)+N(G718))</f>
        <v/>
      </c>
      <c r="I718" s="35" t="n"/>
      <c r="J718" s="30">
        <f>IF(OR(H718="",L718="Cancelled"),"",IF(H718-N(I718)&gt;0.005,H718-N(I718),""))</f>
        <v/>
      </c>
      <c r="K718" s="31" t="n"/>
      <c r="L718" s="36" t="n"/>
      <c r="M718" s="33" t="n"/>
      <c r="N718" s="22">
        <f>IF(OR(H718="",L718="Cancelled"),"",IF(N(E718)=0,1,E718)*IFERROR(INDEX(Products!$E$6:$E$105,MATCH(D718,Products!$B$6:$B$105,0)),0))</f>
        <v/>
      </c>
      <c r="O718" s="35" t="n"/>
      <c r="P718" s="22">
        <f>IF(OR(H718="",L718="Cancelled"),"",ROUND(IFERROR(H718*INDEX(Settings!$C$6:$C$15,MATCH(M718,Settings!$B$6:$B$15,0))+INDEX(Settings!$D$6:$D$15,MATCH(M718,Settings!$B$6:$B$15,0)),0),2))</f>
        <v/>
      </c>
      <c r="Q718" s="28">
        <f>IF(OR(H718="",L718="Cancelled"),"",H718-N(N718)-N(O718)-N(P718))</f>
        <v/>
      </c>
      <c r="R718" s="19">
        <f>IF(OR(B718="",K718=""),"",IF(OR(L718="Sent",L718="Picked up"),"Done",IF(L718="Cancelled","Cancelled",IF(K718&lt;TODAY(),"Late by "&amp;(TODAY()-K718)&amp;IF((TODAY()-K718)=1," day"," days"),IF(K718=TODAY(),"Due today","Due in "&amp;(K718-TODAY())&amp;IF((K718-TODAY())=1," day"," days"))))))</f>
        <v/>
      </c>
      <c r="S718" s="33" t="n"/>
      <c r="T718" s="1">
        <f>IF(AND(B718&lt;&gt;"",K718&lt;&gt;"",L718&lt;&gt;"Sent",L718&lt;&gt;"Picked up",L718&lt;&gt;"Cancelled"),K718+ROW()/10000000,"")</f>
        <v/>
      </c>
      <c r="U718">
        <f>IF(OR(B718="",C718=""),"",B718+ROW()/10000000)</f>
        <v/>
      </c>
      <c r="V718">
        <f>IF(U718="","",IF(COUNTIFS(Orders!$C$6:$C$1005,C718,Orders!$U$6:$U$1005,"&gt;"&amp;U718)=0,1,0))</f>
        <v/>
      </c>
      <c r="W718">
        <f>IF(AND(B718&lt;&gt;"",K718&lt;&gt;"",L718&lt;&gt;"Sent",L718&lt;&gt;"Picked up",L718&lt;&gt;"Cancelled"),IF(N(E718)=0,1,E718),0)</f>
        <v/>
      </c>
      <c r="X718">
        <f>IF(OR(B718="",D718=""),"",IF(N(E718)=0,1,E718))</f>
        <v/>
      </c>
    </row>
    <row r="719">
      <c r="A719" s="1" t="n"/>
      <c r="B719" s="31" t="n"/>
      <c r="C719" s="32" t="n"/>
      <c r="D719" s="33" t="n"/>
      <c r="E719" s="34" t="n"/>
      <c r="F719" s="35" t="n"/>
      <c r="G719" s="35" t="n"/>
      <c r="H719" s="30">
        <f>IF(OR(B719="",D719=""),"",IF(N(E719)=0,1,E719)*IFERROR(INDEX(Products!$C$6:$C$105,MATCH(D719,Products!$B$6:$B$105,0)),0)+N(F719)+N(G719))</f>
        <v/>
      </c>
      <c r="I719" s="35" t="n"/>
      <c r="J719" s="30">
        <f>IF(OR(H719="",L719="Cancelled"),"",IF(H719-N(I719)&gt;0.005,H719-N(I719),""))</f>
        <v/>
      </c>
      <c r="K719" s="31" t="n"/>
      <c r="L719" s="36" t="n"/>
      <c r="M719" s="33" t="n"/>
      <c r="N719" s="22">
        <f>IF(OR(H719="",L719="Cancelled"),"",IF(N(E719)=0,1,E719)*IFERROR(INDEX(Products!$E$6:$E$105,MATCH(D719,Products!$B$6:$B$105,0)),0))</f>
        <v/>
      </c>
      <c r="O719" s="35" t="n"/>
      <c r="P719" s="22">
        <f>IF(OR(H719="",L719="Cancelled"),"",ROUND(IFERROR(H719*INDEX(Settings!$C$6:$C$15,MATCH(M719,Settings!$B$6:$B$15,0))+INDEX(Settings!$D$6:$D$15,MATCH(M719,Settings!$B$6:$B$15,0)),0),2))</f>
        <v/>
      </c>
      <c r="Q719" s="28">
        <f>IF(OR(H719="",L719="Cancelled"),"",H719-N(N719)-N(O719)-N(P719))</f>
        <v/>
      </c>
      <c r="R719" s="19">
        <f>IF(OR(B719="",K719=""),"",IF(OR(L719="Sent",L719="Picked up"),"Done",IF(L719="Cancelled","Cancelled",IF(K719&lt;TODAY(),"Late by "&amp;(TODAY()-K719)&amp;IF((TODAY()-K719)=1," day"," days"),IF(K719=TODAY(),"Due today","Due in "&amp;(K719-TODAY())&amp;IF((K719-TODAY())=1," day"," days"))))))</f>
        <v/>
      </c>
      <c r="S719" s="33" t="n"/>
      <c r="T719" s="1">
        <f>IF(AND(B719&lt;&gt;"",K719&lt;&gt;"",L719&lt;&gt;"Sent",L719&lt;&gt;"Picked up",L719&lt;&gt;"Cancelled"),K719+ROW()/10000000,"")</f>
        <v/>
      </c>
      <c r="U719">
        <f>IF(OR(B719="",C719=""),"",B719+ROW()/10000000)</f>
        <v/>
      </c>
      <c r="V719">
        <f>IF(U719="","",IF(COUNTIFS(Orders!$C$6:$C$1005,C719,Orders!$U$6:$U$1005,"&gt;"&amp;U719)=0,1,0))</f>
        <v/>
      </c>
      <c r="W719">
        <f>IF(AND(B719&lt;&gt;"",K719&lt;&gt;"",L719&lt;&gt;"Sent",L719&lt;&gt;"Picked up",L719&lt;&gt;"Cancelled"),IF(N(E719)=0,1,E719),0)</f>
        <v/>
      </c>
      <c r="X719">
        <f>IF(OR(B719="",D719=""),"",IF(N(E719)=0,1,E719))</f>
        <v/>
      </c>
    </row>
    <row r="720">
      <c r="A720" s="1" t="n"/>
      <c r="B720" s="31" t="n"/>
      <c r="C720" s="32" t="n"/>
      <c r="D720" s="33" t="n"/>
      <c r="E720" s="34" t="n"/>
      <c r="F720" s="35" t="n"/>
      <c r="G720" s="35" t="n"/>
      <c r="H720" s="30">
        <f>IF(OR(B720="",D720=""),"",IF(N(E720)=0,1,E720)*IFERROR(INDEX(Products!$C$6:$C$105,MATCH(D720,Products!$B$6:$B$105,0)),0)+N(F720)+N(G720))</f>
        <v/>
      </c>
      <c r="I720" s="35" t="n"/>
      <c r="J720" s="30">
        <f>IF(OR(H720="",L720="Cancelled"),"",IF(H720-N(I720)&gt;0.005,H720-N(I720),""))</f>
        <v/>
      </c>
      <c r="K720" s="31" t="n"/>
      <c r="L720" s="36" t="n"/>
      <c r="M720" s="33" t="n"/>
      <c r="N720" s="22">
        <f>IF(OR(H720="",L720="Cancelled"),"",IF(N(E720)=0,1,E720)*IFERROR(INDEX(Products!$E$6:$E$105,MATCH(D720,Products!$B$6:$B$105,0)),0))</f>
        <v/>
      </c>
      <c r="O720" s="35" t="n"/>
      <c r="P720" s="22">
        <f>IF(OR(H720="",L720="Cancelled"),"",ROUND(IFERROR(H720*INDEX(Settings!$C$6:$C$15,MATCH(M720,Settings!$B$6:$B$15,0))+INDEX(Settings!$D$6:$D$15,MATCH(M720,Settings!$B$6:$B$15,0)),0),2))</f>
        <v/>
      </c>
      <c r="Q720" s="28">
        <f>IF(OR(H720="",L720="Cancelled"),"",H720-N(N720)-N(O720)-N(P720))</f>
        <v/>
      </c>
      <c r="R720" s="19">
        <f>IF(OR(B720="",K720=""),"",IF(OR(L720="Sent",L720="Picked up"),"Done",IF(L720="Cancelled","Cancelled",IF(K720&lt;TODAY(),"Late by "&amp;(TODAY()-K720)&amp;IF((TODAY()-K720)=1," day"," days"),IF(K720=TODAY(),"Due today","Due in "&amp;(K720-TODAY())&amp;IF((K720-TODAY())=1," day"," days"))))))</f>
        <v/>
      </c>
      <c r="S720" s="33" t="n"/>
      <c r="T720" s="1">
        <f>IF(AND(B720&lt;&gt;"",K720&lt;&gt;"",L720&lt;&gt;"Sent",L720&lt;&gt;"Picked up",L720&lt;&gt;"Cancelled"),K720+ROW()/10000000,"")</f>
        <v/>
      </c>
      <c r="U720">
        <f>IF(OR(B720="",C720=""),"",B720+ROW()/10000000)</f>
        <v/>
      </c>
      <c r="V720">
        <f>IF(U720="","",IF(COUNTIFS(Orders!$C$6:$C$1005,C720,Orders!$U$6:$U$1005,"&gt;"&amp;U720)=0,1,0))</f>
        <v/>
      </c>
      <c r="W720">
        <f>IF(AND(B720&lt;&gt;"",K720&lt;&gt;"",L720&lt;&gt;"Sent",L720&lt;&gt;"Picked up",L720&lt;&gt;"Cancelled"),IF(N(E720)=0,1,E720),0)</f>
        <v/>
      </c>
      <c r="X720">
        <f>IF(OR(B720="",D720=""),"",IF(N(E720)=0,1,E720))</f>
        <v/>
      </c>
    </row>
    <row r="721">
      <c r="A721" s="1" t="n"/>
      <c r="B721" s="31" t="n"/>
      <c r="C721" s="32" t="n"/>
      <c r="D721" s="33" t="n"/>
      <c r="E721" s="34" t="n"/>
      <c r="F721" s="35" t="n"/>
      <c r="G721" s="35" t="n"/>
      <c r="H721" s="30">
        <f>IF(OR(B721="",D721=""),"",IF(N(E721)=0,1,E721)*IFERROR(INDEX(Products!$C$6:$C$105,MATCH(D721,Products!$B$6:$B$105,0)),0)+N(F721)+N(G721))</f>
        <v/>
      </c>
      <c r="I721" s="35" t="n"/>
      <c r="J721" s="30">
        <f>IF(OR(H721="",L721="Cancelled"),"",IF(H721-N(I721)&gt;0.005,H721-N(I721),""))</f>
        <v/>
      </c>
      <c r="K721" s="31" t="n"/>
      <c r="L721" s="36" t="n"/>
      <c r="M721" s="33" t="n"/>
      <c r="N721" s="22">
        <f>IF(OR(H721="",L721="Cancelled"),"",IF(N(E721)=0,1,E721)*IFERROR(INDEX(Products!$E$6:$E$105,MATCH(D721,Products!$B$6:$B$105,0)),0))</f>
        <v/>
      </c>
      <c r="O721" s="35" t="n"/>
      <c r="P721" s="22">
        <f>IF(OR(H721="",L721="Cancelled"),"",ROUND(IFERROR(H721*INDEX(Settings!$C$6:$C$15,MATCH(M721,Settings!$B$6:$B$15,0))+INDEX(Settings!$D$6:$D$15,MATCH(M721,Settings!$B$6:$B$15,0)),0),2))</f>
        <v/>
      </c>
      <c r="Q721" s="28">
        <f>IF(OR(H721="",L721="Cancelled"),"",H721-N(N721)-N(O721)-N(P721))</f>
        <v/>
      </c>
      <c r="R721" s="19">
        <f>IF(OR(B721="",K721=""),"",IF(OR(L721="Sent",L721="Picked up"),"Done",IF(L721="Cancelled","Cancelled",IF(K721&lt;TODAY(),"Late by "&amp;(TODAY()-K721)&amp;IF((TODAY()-K721)=1," day"," days"),IF(K721=TODAY(),"Due today","Due in "&amp;(K721-TODAY())&amp;IF((K721-TODAY())=1," day"," days"))))))</f>
        <v/>
      </c>
      <c r="S721" s="33" t="n"/>
      <c r="T721" s="1">
        <f>IF(AND(B721&lt;&gt;"",K721&lt;&gt;"",L721&lt;&gt;"Sent",L721&lt;&gt;"Picked up",L721&lt;&gt;"Cancelled"),K721+ROW()/10000000,"")</f>
        <v/>
      </c>
      <c r="U721">
        <f>IF(OR(B721="",C721=""),"",B721+ROW()/10000000)</f>
        <v/>
      </c>
      <c r="V721">
        <f>IF(U721="","",IF(COUNTIFS(Orders!$C$6:$C$1005,C721,Orders!$U$6:$U$1005,"&gt;"&amp;U721)=0,1,0))</f>
        <v/>
      </c>
      <c r="W721">
        <f>IF(AND(B721&lt;&gt;"",K721&lt;&gt;"",L721&lt;&gt;"Sent",L721&lt;&gt;"Picked up",L721&lt;&gt;"Cancelled"),IF(N(E721)=0,1,E721),0)</f>
        <v/>
      </c>
      <c r="X721">
        <f>IF(OR(B721="",D721=""),"",IF(N(E721)=0,1,E721))</f>
        <v/>
      </c>
    </row>
    <row r="722">
      <c r="A722" s="1" t="n"/>
      <c r="B722" s="31" t="n"/>
      <c r="C722" s="32" t="n"/>
      <c r="D722" s="33" t="n"/>
      <c r="E722" s="34" t="n"/>
      <c r="F722" s="35" t="n"/>
      <c r="G722" s="35" t="n"/>
      <c r="H722" s="30">
        <f>IF(OR(B722="",D722=""),"",IF(N(E722)=0,1,E722)*IFERROR(INDEX(Products!$C$6:$C$105,MATCH(D722,Products!$B$6:$B$105,0)),0)+N(F722)+N(G722))</f>
        <v/>
      </c>
      <c r="I722" s="35" t="n"/>
      <c r="J722" s="30">
        <f>IF(OR(H722="",L722="Cancelled"),"",IF(H722-N(I722)&gt;0.005,H722-N(I722),""))</f>
        <v/>
      </c>
      <c r="K722" s="31" t="n"/>
      <c r="L722" s="36" t="n"/>
      <c r="M722" s="33" t="n"/>
      <c r="N722" s="22">
        <f>IF(OR(H722="",L722="Cancelled"),"",IF(N(E722)=0,1,E722)*IFERROR(INDEX(Products!$E$6:$E$105,MATCH(D722,Products!$B$6:$B$105,0)),0))</f>
        <v/>
      </c>
      <c r="O722" s="35" t="n"/>
      <c r="P722" s="22">
        <f>IF(OR(H722="",L722="Cancelled"),"",ROUND(IFERROR(H722*INDEX(Settings!$C$6:$C$15,MATCH(M722,Settings!$B$6:$B$15,0))+INDEX(Settings!$D$6:$D$15,MATCH(M722,Settings!$B$6:$B$15,0)),0),2))</f>
        <v/>
      </c>
      <c r="Q722" s="28">
        <f>IF(OR(H722="",L722="Cancelled"),"",H722-N(N722)-N(O722)-N(P722))</f>
        <v/>
      </c>
      <c r="R722" s="19">
        <f>IF(OR(B722="",K722=""),"",IF(OR(L722="Sent",L722="Picked up"),"Done",IF(L722="Cancelled","Cancelled",IF(K722&lt;TODAY(),"Late by "&amp;(TODAY()-K722)&amp;IF((TODAY()-K722)=1," day"," days"),IF(K722=TODAY(),"Due today","Due in "&amp;(K722-TODAY())&amp;IF((K722-TODAY())=1," day"," days"))))))</f>
        <v/>
      </c>
      <c r="S722" s="33" t="n"/>
      <c r="T722" s="1">
        <f>IF(AND(B722&lt;&gt;"",K722&lt;&gt;"",L722&lt;&gt;"Sent",L722&lt;&gt;"Picked up",L722&lt;&gt;"Cancelled"),K722+ROW()/10000000,"")</f>
        <v/>
      </c>
      <c r="U722">
        <f>IF(OR(B722="",C722=""),"",B722+ROW()/10000000)</f>
        <v/>
      </c>
      <c r="V722">
        <f>IF(U722="","",IF(COUNTIFS(Orders!$C$6:$C$1005,C722,Orders!$U$6:$U$1005,"&gt;"&amp;U722)=0,1,0))</f>
        <v/>
      </c>
      <c r="W722">
        <f>IF(AND(B722&lt;&gt;"",K722&lt;&gt;"",L722&lt;&gt;"Sent",L722&lt;&gt;"Picked up",L722&lt;&gt;"Cancelled"),IF(N(E722)=0,1,E722),0)</f>
        <v/>
      </c>
      <c r="X722">
        <f>IF(OR(B722="",D722=""),"",IF(N(E722)=0,1,E722))</f>
        <v/>
      </c>
    </row>
    <row r="723">
      <c r="A723" s="1" t="n"/>
      <c r="B723" s="31" t="n"/>
      <c r="C723" s="32" t="n"/>
      <c r="D723" s="33" t="n"/>
      <c r="E723" s="34" t="n"/>
      <c r="F723" s="35" t="n"/>
      <c r="G723" s="35" t="n"/>
      <c r="H723" s="30">
        <f>IF(OR(B723="",D723=""),"",IF(N(E723)=0,1,E723)*IFERROR(INDEX(Products!$C$6:$C$105,MATCH(D723,Products!$B$6:$B$105,0)),0)+N(F723)+N(G723))</f>
        <v/>
      </c>
      <c r="I723" s="35" t="n"/>
      <c r="J723" s="30">
        <f>IF(OR(H723="",L723="Cancelled"),"",IF(H723-N(I723)&gt;0.005,H723-N(I723),""))</f>
        <v/>
      </c>
      <c r="K723" s="31" t="n"/>
      <c r="L723" s="36" t="n"/>
      <c r="M723" s="33" t="n"/>
      <c r="N723" s="22">
        <f>IF(OR(H723="",L723="Cancelled"),"",IF(N(E723)=0,1,E723)*IFERROR(INDEX(Products!$E$6:$E$105,MATCH(D723,Products!$B$6:$B$105,0)),0))</f>
        <v/>
      </c>
      <c r="O723" s="35" t="n"/>
      <c r="P723" s="22">
        <f>IF(OR(H723="",L723="Cancelled"),"",ROUND(IFERROR(H723*INDEX(Settings!$C$6:$C$15,MATCH(M723,Settings!$B$6:$B$15,0))+INDEX(Settings!$D$6:$D$15,MATCH(M723,Settings!$B$6:$B$15,0)),0),2))</f>
        <v/>
      </c>
      <c r="Q723" s="28">
        <f>IF(OR(H723="",L723="Cancelled"),"",H723-N(N723)-N(O723)-N(P723))</f>
        <v/>
      </c>
      <c r="R723" s="19">
        <f>IF(OR(B723="",K723=""),"",IF(OR(L723="Sent",L723="Picked up"),"Done",IF(L723="Cancelled","Cancelled",IF(K723&lt;TODAY(),"Late by "&amp;(TODAY()-K723)&amp;IF((TODAY()-K723)=1," day"," days"),IF(K723=TODAY(),"Due today","Due in "&amp;(K723-TODAY())&amp;IF((K723-TODAY())=1," day"," days"))))))</f>
        <v/>
      </c>
      <c r="S723" s="33" t="n"/>
      <c r="T723" s="1">
        <f>IF(AND(B723&lt;&gt;"",K723&lt;&gt;"",L723&lt;&gt;"Sent",L723&lt;&gt;"Picked up",L723&lt;&gt;"Cancelled"),K723+ROW()/10000000,"")</f>
        <v/>
      </c>
      <c r="U723">
        <f>IF(OR(B723="",C723=""),"",B723+ROW()/10000000)</f>
        <v/>
      </c>
      <c r="V723">
        <f>IF(U723="","",IF(COUNTIFS(Orders!$C$6:$C$1005,C723,Orders!$U$6:$U$1005,"&gt;"&amp;U723)=0,1,0))</f>
        <v/>
      </c>
      <c r="W723">
        <f>IF(AND(B723&lt;&gt;"",K723&lt;&gt;"",L723&lt;&gt;"Sent",L723&lt;&gt;"Picked up",L723&lt;&gt;"Cancelled"),IF(N(E723)=0,1,E723),0)</f>
        <v/>
      </c>
      <c r="X723">
        <f>IF(OR(B723="",D723=""),"",IF(N(E723)=0,1,E723))</f>
        <v/>
      </c>
    </row>
    <row r="724">
      <c r="A724" s="1" t="n"/>
      <c r="B724" s="31" t="n"/>
      <c r="C724" s="32" t="n"/>
      <c r="D724" s="33" t="n"/>
      <c r="E724" s="34" t="n"/>
      <c r="F724" s="35" t="n"/>
      <c r="G724" s="35" t="n"/>
      <c r="H724" s="30">
        <f>IF(OR(B724="",D724=""),"",IF(N(E724)=0,1,E724)*IFERROR(INDEX(Products!$C$6:$C$105,MATCH(D724,Products!$B$6:$B$105,0)),0)+N(F724)+N(G724))</f>
        <v/>
      </c>
      <c r="I724" s="35" t="n"/>
      <c r="J724" s="30">
        <f>IF(OR(H724="",L724="Cancelled"),"",IF(H724-N(I724)&gt;0.005,H724-N(I724),""))</f>
        <v/>
      </c>
      <c r="K724" s="31" t="n"/>
      <c r="L724" s="36" t="n"/>
      <c r="M724" s="33" t="n"/>
      <c r="N724" s="22">
        <f>IF(OR(H724="",L724="Cancelled"),"",IF(N(E724)=0,1,E724)*IFERROR(INDEX(Products!$E$6:$E$105,MATCH(D724,Products!$B$6:$B$105,0)),0))</f>
        <v/>
      </c>
      <c r="O724" s="35" t="n"/>
      <c r="P724" s="22">
        <f>IF(OR(H724="",L724="Cancelled"),"",ROUND(IFERROR(H724*INDEX(Settings!$C$6:$C$15,MATCH(M724,Settings!$B$6:$B$15,0))+INDEX(Settings!$D$6:$D$15,MATCH(M724,Settings!$B$6:$B$15,0)),0),2))</f>
        <v/>
      </c>
      <c r="Q724" s="28">
        <f>IF(OR(H724="",L724="Cancelled"),"",H724-N(N724)-N(O724)-N(P724))</f>
        <v/>
      </c>
      <c r="R724" s="19">
        <f>IF(OR(B724="",K724=""),"",IF(OR(L724="Sent",L724="Picked up"),"Done",IF(L724="Cancelled","Cancelled",IF(K724&lt;TODAY(),"Late by "&amp;(TODAY()-K724)&amp;IF((TODAY()-K724)=1," day"," days"),IF(K724=TODAY(),"Due today","Due in "&amp;(K724-TODAY())&amp;IF((K724-TODAY())=1," day"," days"))))))</f>
        <v/>
      </c>
      <c r="S724" s="33" t="n"/>
      <c r="T724" s="1">
        <f>IF(AND(B724&lt;&gt;"",K724&lt;&gt;"",L724&lt;&gt;"Sent",L724&lt;&gt;"Picked up",L724&lt;&gt;"Cancelled"),K724+ROW()/10000000,"")</f>
        <v/>
      </c>
      <c r="U724">
        <f>IF(OR(B724="",C724=""),"",B724+ROW()/10000000)</f>
        <v/>
      </c>
      <c r="V724">
        <f>IF(U724="","",IF(COUNTIFS(Orders!$C$6:$C$1005,C724,Orders!$U$6:$U$1005,"&gt;"&amp;U724)=0,1,0))</f>
        <v/>
      </c>
      <c r="W724">
        <f>IF(AND(B724&lt;&gt;"",K724&lt;&gt;"",L724&lt;&gt;"Sent",L724&lt;&gt;"Picked up",L724&lt;&gt;"Cancelled"),IF(N(E724)=0,1,E724),0)</f>
        <v/>
      </c>
      <c r="X724">
        <f>IF(OR(B724="",D724=""),"",IF(N(E724)=0,1,E724))</f>
        <v/>
      </c>
    </row>
    <row r="725">
      <c r="A725" s="1" t="n"/>
      <c r="B725" s="31" t="n"/>
      <c r="C725" s="32" t="n"/>
      <c r="D725" s="33" t="n"/>
      <c r="E725" s="34" t="n"/>
      <c r="F725" s="35" t="n"/>
      <c r="G725" s="35" t="n"/>
      <c r="H725" s="30">
        <f>IF(OR(B725="",D725=""),"",IF(N(E725)=0,1,E725)*IFERROR(INDEX(Products!$C$6:$C$105,MATCH(D725,Products!$B$6:$B$105,0)),0)+N(F725)+N(G725))</f>
        <v/>
      </c>
      <c r="I725" s="35" t="n"/>
      <c r="J725" s="30">
        <f>IF(OR(H725="",L725="Cancelled"),"",IF(H725-N(I725)&gt;0.005,H725-N(I725),""))</f>
        <v/>
      </c>
      <c r="K725" s="31" t="n"/>
      <c r="L725" s="36" t="n"/>
      <c r="M725" s="33" t="n"/>
      <c r="N725" s="22">
        <f>IF(OR(H725="",L725="Cancelled"),"",IF(N(E725)=0,1,E725)*IFERROR(INDEX(Products!$E$6:$E$105,MATCH(D725,Products!$B$6:$B$105,0)),0))</f>
        <v/>
      </c>
      <c r="O725" s="35" t="n"/>
      <c r="P725" s="22">
        <f>IF(OR(H725="",L725="Cancelled"),"",ROUND(IFERROR(H725*INDEX(Settings!$C$6:$C$15,MATCH(M725,Settings!$B$6:$B$15,0))+INDEX(Settings!$D$6:$D$15,MATCH(M725,Settings!$B$6:$B$15,0)),0),2))</f>
        <v/>
      </c>
      <c r="Q725" s="28">
        <f>IF(OR(H725="",L725="Cancelled"),"",H725-N(N725)-N(O725)-N(P725))</f>
        <v/>
      </c>
      <c r="R725" s="19">
        <f>IF(OR(B725="",K725=""),"",IF(OR(L725="Sent",L725="Picked up"),"Done",IF(L725="Cancelled","Cancelled",IF(K725&lt;TODAY(),"Late by "&amp;(TODAY()-K725)&amp;IF((TODAY()-K725)=1," day"," days"),IF(K725=TODAY(),"Due today","Due in "&amp;(K725-TODAY())&amp;IF((K725-TODAY())=1," day"," days"))))))</f>
        <v/>
      </c>
      <c r="S725" s="33" t="n"/>
      <c r="T725" s="1">
        <f>IF(AND(B725&lt;&gt;"",K725&lt;&gt;"",L725&lt;&gt;"Sent",L725&lt;&gt;"Picked up",L725&lt;&gt;"Cancelled"),K725+ROW()/10000000,"")</f>
        <v/>
      </c>
      <c r="U725">
        <f>IF(OR(B725="",C725=""),"",B725+ROW()/10000000)</f>
        <v/>
      </c>
      <c r="V725">
        <f>IF(U725="","",IF(COUNTIFS(Orders!$C$6:$C$1005,C725,Orders!$U$6:$U$1005,"&gt;"&amp;U725)=0,1,0))</f>
        <v/>
      </c>
      <c r="W725">
        <f>IF(AND(B725&lt;&gt;"",K725&lt;&gt;"",L725&lt;&gt;"Sent",L725&lt;&gt;"Picked up",L725&lt;&gt;"Cancelled"),IF(N(E725)=0,1,E725),0)</f>
        <v/>
      </c>
      <c r="X725">
        <f>IF(OR(B725="",D725=""),"",IF(N(E725)=0,1,E725))</f>
        <v/>
      </c>
    </row>
    <row r="726">
      <c r="A726" s="1" t="n"/>
      <c r="B726" s="31" t="n"/>
      <c r="C726" s="32" t="n"/>
      <c r="D726" s="33" t="n"/>
      <c r="E726" s="34" t="n"/>
      <c r="F726" s="35" t="n"/>
      <c r="G726" s="35" t="n"/>
      <c r="H726" s="30">
        <f>IF(OR(B726="",D726=""),"",IF(N(E726)=0,1,E726)*IFERROR(INDEX(Products!$C$6:$C$105,MATCH(D726,Products!$B$6:$B$105,0)),0)+N(F726)+N(G726))</f>
        <v/>
      </c>
      <c r="I726" s="35" t="n"/>
      <c r="J726" s="30">
        <f>IF(OR(H726="",L726="Cancelled"),"",IF(H726-N(I726)&gt;0.005,H726-N(I726),""))</f>
        <v/>
      </c>
      <c r="K726" s="31" t="n"/>
      <c r="L726" s="36" t="n"/>
      <c r="M726" s="33" t="n"/>
      <c r="N726" s="22">
        <f>IF(OR(H726="",L726="Cancelled"),"",IF(N(E726)=0,1,E726)*IFERROR(INDEX(Products!$E$6:$E$105,MATCH(D726,Products!$B$6:$B$105,0)),0))</f>
        <v/>
      </c>
      <c r="O726" s="35" t="n"/>
      <c r="P726" s="22">
        <f>IF(OR(H726="",L726="Cancelled"),"",ROUND(IFERROR(H726*INDEX(Settings!$C$6:$C$15,MATCH(M726,Settings!$B$6:$B$15,0))+INDEX(Settings!$D$6:$D$15,MATCH(M726,Settings!$B$6:$B$15,0)),0),2))</f>
        <v/>
      </c>
      <c r="Q726" s="28">
        <f>IF(OR(H726="",L726="Cancelled"),"",H726-N(N726)-N(O726)-N(P726))</f>
        <v/>
      </c>
      <c r="R726" s="19">
        <f>IF(OR(B726="",K726=""),"",IF(OR(L726="Sent",L726="Picked up"),"Done",IF(L726="Cancelled","Cancelled",IF(K726&lt;TODAY(),"Late by "&amp;(TODAY()-K726)&amp;IF((TODAY()-K726)=1," day"," days"),IF(K726=TODAY(),"Due today","Due in "&amp;(K726-TODAY())&amp;IF((K726-TODAY())=1," day"," days"))))))</f>
        <v/>
      </c>
      <c r="S726" s="33" t="n"/>
      <c r="T726" s="1">
        <f>IF(AND(B726&lt;&gt;"",K726&lt;&gt;"",L726&lt;&gt;"Sent",L726&lt;&gt;"Picked up",L726&lt;&gt;"Cancelled"),K726+ROW()/10000000,"")</f>
        <v/>
      </c>
      <c r="U726">
        <f>IF(OR(B726="",C726=""),"",B726+ROW()/10000000)</f>
        <v/>
      </c>
      <c r="V726">
        <f>IF(U726="","",IF(COUNTIFS(Orders!$C$6:$C$1005,C726,Orders!$U$6:$U$1005,"&gt;"&amp;U726)=0,1,0))</f>
        <v/>
      </c>
      <c r="W726">
        <f>IF(AND(B726&lt;&gt;"",K726&lt;&gt;"",L726&lt;&gt;"Sent",L726&lt;&gt;"Picked up",L726&lt;&gt;"Cancelled"),IF(N(E726)=0,1,E726),0)</f>
        <v/>
      </c>
      <c r="X726">
        <f>IF(OR(B726="",D726=""),"",IF(N(E726)=0,1,E726))</f>
        <v/>
      </c>
    </row>
    <row r="727">
      <c r="A727" s="1" t="n"/>
      <c r="B727" s="31" t="n"/>
      <c r="C727" s="32" t="n"/>
      <c r="D727" s="33" t="n"/>
      <c r="E727" s="34" t="n"/>
      <c r="F727" s="35" t="n"/>
      <c r="G727" s="35" t="n"/>
      <c r="H727" s="30">
        <f>IF(OR(B727="",D727=""),"",IF(N(E727)=0,1,E727)*IFERROR(INDEX(Products!$C$6:$C$105,MATCH(D727,Products!$B$6:$B$105,0)),0)+N(F727)+N(G727))</f>
        <v/>
      </c>
      <c r="I727" s="35" t="n"/>
      <c r="J727" s="30">
        <f>IF(OR(H727="",L727="Cancelled"),"",IF(H727-N(I727)&gt;0.005,H727-N(I727),""))</f>
        <v/>
      </c>
      <c r="K727" s="31" t="n"/>
      <c r="L727" s="36" t="n"/>
      <c r="M727" s="33" t="n"/>
      <c r="N727" s="22">
        <f>IF(OR(H727="",L727="Cancelled"),"",IF(N(E727)=0,1,E727)*IFERROR(INDEX(Products!$E$6:$E$105,MATCH(D727,Products!$B$6:$B$105,0)),0))</f>
        <v/>
      </c>
      <c r="O727" s="35" t="n"/>
      <c r="P727" s="22">
        <f>IF(OR(H727="",L727="Cancelled"),"",ROUND(IFERROR(H727*INDEX(Settings!$C$6:$C$15,MATCH(M727,Settings!$B$6:$B$15,0))+INDEX(Settings!$D$6:$D$15,MATCH(M727,Settings!$B$6:$B$15,0)),0),2))</f>
        <v/>
      </c>
      <c r="Q727" s="28">
        <f>IF(OR(H727="",L727="Cancelled"),"",H727-N(N727)-N(O727)-N(P727))</f>
        <v/>
      </c>
      <c r="R727" s="19">
        <f>IF(OR(B727="",K727=""),"",IF(OR(L727="Sent",L727="Picked up"),"Done",IF(L727="Cancelled","Cancelled",IF(K727&lt;TODAY(),"Late by "&amp;(TODAY()-K727)&amp;IF((TODAY()-K727)=1," day"," days"),IF(K727=TODAY(),"Due today","Due in "&amp;(K727-TODAY())&amp;IF((K727-TODAY())=1," day"," days"))))))</f>
        <v/>
      </c>
      <c r="S727" s="33" t="n"/>
      <c r="T727" s="1">
        <f>IF(AND(B727&lt;&gt;"",K727&lt;&gt;"",L727&lt;&gt;"Sent",L727&lt;&gt;"Picked up",L727&lt;&gt;"Cancelled"),K727+ROW()/10000000,"")</f>
        <v/>
      </c>
      <c r="U727">
        <f>IF(OR(B727="",C727=""),"",B727+ROW()/10000000)</f>
        <v/>
      </c>
      <c r="V727">
        <f>IF(U727="","",IF(COUNTIFS(Orders!$C$6:$C$1005,C727,Orders!$U$6:$U$1005,"&gt;"&amp;U727)=0,1,0))</f>
        <v/>
      </c>
      <c r="W727">
        <f>IF(AND(B727&lt;&gt;"",K727&lt;&gt;"",L727&lt;&gt;"Sent",L727&lt;&gt;"Picked up",L727&lt;&gt;"Cancelled"),IF(N(E727)=0,1,E727),0)</f>
        <v/>
      </c>
      <c r="X727">
        <f>IF(OR(B727="",D727=""),"",IF(N(E727)=0,1,E727))</f>
        <v/>
      </c>
    </row>
    <row r="728">
      <c r="A728" s="1" t="n"/>
      <c r="B728" s="31" t="n"/>
      <c r="C728" s="32" t="n"/>
      <c r="D728" s="33" t="n"/>
      <c r="E728" s="34" t="n"/>
      <c r="F728" s="35" t="n"/>
      <c r="G728" s="35" t="n"/>
      <c r="H728" s="30">
        <f>IF(OR(B728="",D728=""),"",IF(N(E728)=0,1,E728)*IFERROR(INDEX(Products!$C$6:$C$105,MATCH(D728,Products!$B$6:$B$105,0)),0)+N(F728)+N(G728))</f>
        <v/>
      </c>
      <c r="I728" s="35" t="n"/>
      <c r="J728" s="30">
        <f>IF(OR(H728="",L728="Cancelled"),"",IF(H728-N(I728)&gt;0.005,H728-N(I728),""))</f>
        <v/>
      </c>
      <c r="K728" s="31" t="n"/>
      <c r="L728" s="36" t="n"/>
      <c r="M728" s="33" t="n"/>
      <c r="N728" s="22">
        <f>IF(OR(H728="",L728="Cancelled"),"",IF(N(E728)=0,1,E728)*IFERROR(INDEX(Products!$E$6:$E$105,MATCH(D728,Products!$B$6:$B$105,0)),0))</f>
        <v/>
      </c>
      <c r="O728" s="35" t="n"/>
      <c r="P728" s="22">
        <f>IF(OR(H728="",L728="Cancelled"),"",ROUND(IFERROR(H728*INDEX(Settings!$C$6:$C$15,MATCH(M728,Settings!$B$6:$B$15,0))+INDEX(Settings!$D$6:$D$15,MATCH(M728,Settings!$B$6:$B$15,0)),0),2))</f>
        <v/>
      </c>
      <c r="Q728" s="28">
        <f>IF(OR(H728="",L728="Cancelled"),"",H728-N(N728)-N(O728)-N(P728))</f>
        <v/>
      </c>
      <c r="R728" s="19">
        <f>IF(OR(B728="",K728=""),"",IF(OR(L728="Sent",L728="Picked up"),"Done",IF(L728="Cancelled","Cancelled",IF(K728&lt;TODAY(),"Late by "&amp;(TODAY()-K728)&amp;IF((TODAY()-K728)=1," day"," days"),IF(K728=TODAY(),"Due today","Due in "&amp;(K728-TODAY())&amp;IF((K728-TODAY())=1," day"," days"))))))</f>
        <v/>
      </c>
      <c r="S728" s="33" t="n"/>
      <c r="T728" s="1">
        <f>IF(AND(B728&lt;&gt;"",K728&lt;&gt;"",L728&lt;&gt;"Sent",L728&lt;&gt;"Picked up",L728&lt;&gt;"Cancelled"),K728+ROW()/10000000,"")</f>
        <v/>
      </c>
      <c r="U728">
        <f>IF(OR(B728="",C728=""),"",B728+ROW()/10000000)</f>
        <v/>
      </c>
      <c r="V728">
        <f>IF(U728="","",IF(COUNTIFS(Orders!$C$6:$C$1005,C728,Orders!$U$6:$U$1005,"&gt;"&amp;U728)=0,1,0))</f>
        <v/>
      </c>
      <c r="W728">
        <f>IF(AND(B728&lt;&gt;"",K728&lt;&gt;"",L728&lt;&gt;"Sent",L728&lt;&gt;"Picked up",L728&lt;&gt;"Cancelled"),IF(N(E728)=0,1,E728),0)</f>
        <v/>
      </c>
      <c r="X728">
        <f>IF(OR(B728="",D728=""),"",IF(N(E728)=0,1,E728))</f>
        <v/>
      </c>
    </row>
    <row r="729">
      <c r="A729" s="1" t="n"/>
      <c r="B729" s="31" t="n"/>
      <c r="C729" s="32" t="n"/>
      <c r="D729" s="33" t="n"/>
      <c r="E729" s="34" t="n"/>
      <c r="F729" s="35" t="n"/>
      <c r="G729" s="35" t="n"/>
      <c r="H729" s="30">
        <f>IF(OR(B729="",D729=""),"",IF(N(E729)=0,1,E729)*IFERROR(INDEX(Products!$C$6:$C$105,MATCH(D729,Products!$B$6:$B$105,0)),0)+N(F729)+N(G729))</f>
        <v/>
      </c>
      <c r="I729" s="35" t="n"/>
      <c r="J729" s="30">
        <f>IF(OR(H729="",L729="Cancelled"),"",IF(H729-N(I729)&gt;0.005,H729-N(I729),""))</f>
        <v/>
      </c>
      <c r="K729" s="31" t="n"/>
      <c r="L729" s="36" t="n"/>
      <c r="M729" s="33" t="n"/>
      <c r="N729" s="22">
        <f>IF(OR(H729="",L729="Cancelled"),"",IF(N(E729)=0,1,E729)*IFERROR(INDEX(Products!$E$6:$E$105,MATCH(D729,Products!$B$6:$B$105,0)),0))</f>
        <v/>
      </c>
      <c r="O729" s="35" t="n"/>
      <c r="P729" s="22">
        <f>IF(OR(H729="",L729="Cancelled"),"",ROUND(IFERROR(H729*INDEX(Settings!$C$6:$C$15,MATCH(M729,Settings!$B$6:$B$15,0))+INDEX(Settings!$D$6:$D$15,MATCH(M729,Settings!$B$6:$B$15,0)),0),2))</f>
        <v/>
      </c>
      <c r="Q729" s="28">
        <f>IF(OR(H729="",L729="Cancelled"),"",H729-N(N729)-N(O729)-N(P729))</f>
        <v/>
      </c>
      <c r="R729" s="19">
        <f>IF(OR(B729="",K729=""),"",IF(OR(L729="Sent",L729="Picked up"),"Done",IF(L729="Cancelled","Cancelled",IF(K729&lt;TODAY(),"Late by "&amp;(TODAY()-K729)&amp;IF((TODAY()-K729)=1," day"," days"),IF(K729=TODAY(),"Due today","Due in "&amp;(K729-TODAY())&amp;IF((K729-TODAY())=1," day"," days"))))))</f>
        <v/>
      </c>
      <c r="S729" s="33" t="n"/>
      <c r="T729" s="1">
        <f>IF(AND(B729&lt;&gt;"",K729&lt;&gt;"",L729&lt;&gt;"Sent",L729&lt;&gt;"Picked up",L729&lt;&gt;"Cancelled"),K729+ROW()/10000000,"")</f>
        <v/>
      </c>
      <c r="U729">
        <f>IF(OR(B729="",C729=""),"",B729+ROW()/10000000)</f>
        <v/>
      </c>
      <c r="V729">
        <f>IF(U729="","",IF(COUNTIFS(Orders!$C$6:$C$1005,C729,Orders!$U$6:$U$1005,"&gt;"&amp;U729)=0,1,0))</f>
        <v/>
      </c>
      <c r="W729">
        <f>IF(AND(B729&lt;&gt;"",K729&lt;&gt;"",L729&lt;&gt;"Sent",L729&lt;&gt;"Picked up",L729&lt;&gt;"Cancelled"),IF(N(E729)=0,1,E729),0)</f>
        <v/>
      </c>
      <c r="X729">
        <f>IF(OR(B729="",D729=""),"",IF(N(E729)=0,1,E729))</f>
        <v/>
      </c>
    </row>
    <row r="730">
      <c r="A730" s="1" t="n"/>
      <c r="B730" s="31" t="n"/>
      <c r="C730" s="32" t="n"/>
      <c r="D730" s="33" t="n"/>
      <c r="E730" s="34" t="n"/>
      <c r="F730" s="35" t="n"/>
      <c r="G730" s="35" t="n"/>
      <c r="H730" s="30">
        <f>IF(OR(B730="",D730=""),"",IF(N(E730)=0,1,E730)*IFERROR(INDEX(Products!$C$6:$C$105,MATCH(D730,Products!$B$6:$B$105,0)),0)+N(F730)+N(G730))</f>
        <v/>
      </c>
      <c r="I730" s="35" t="n"/>
      <c r="J730" s="30">
        <f>IF(OR(H730="",L730="Cancelled"),"",IF(H730-N(I730)&gt;0.005,H730-N(I730),""))</f>
        <v/>
      </c>
      <c r="K730" s="31" t="n"/>
      <c r="L730" s="36" t="n"/>
      <c r="M730" s="33" t="n"/>
      <c r="N730" s="22">
        <f>IF(OR(H730="",L730="Cancelled"),"",IF(N(E730)=0,1,E730)*IFERROR(INDEX(Products!$E$6:$E$105,MATCH(D730,Products!$B$6:$B$105,0)),0))</f>
        <v/>
      </c>
      <c r="O730" s="35" t="n"/>
      <c r="P730" s="22">
        <f>IF(OR(H730="",L730="Cancelled"),"",ROUND(IFERROR(H730*INDEX(Settings!$C$6:$C$15,MATCH(M730,Settings!$B$6:$B$15,0))+INDEX(Settings!$D$6:$D$15,MATCH(M730,Settings!$B$6:$B$15,0)),0),2))</f>
        <v/>
      </c>
      <c r="Q730" s="28">
        <f>IF(OR(H730="",L730="Cancelled"),"",H730-N(N730)-N(O730)-N(P730))</f>
        <v/>
      </c>
      <c r="R730" s="19">
        <f>IF(OR(B730="",K730=""),"",IF(OR(L730="Sent",L730="Picked up"),"Done",IF(L730="Cancelled","Cancelled",IF(K730&lt;TODAY(),"Late by "&amp;(TODAY()-K730)&amp;IF((TODAY()-K730)=1," day"," days"),IF(K730=TODAY(),"Due today","Due in "&amp;(K730-TODAY())&amp;IF((K730-TODAY())=1," day"," days"))))))</f>
        <v/>
      </c>
      <c r="S730" s="33" t="n"/>
      <c r="T730" s="1">
        <f>IF(AND(B730&lt;&gt;"",K730&lt;&gt;"",L730&lt;&gt;"Sent",L730&lt;&gt;"Picked up",L730&lt;&gt;"Cancelled"),K730+ROW()/10000000,"")</f>
        <v/>
      </c>
      <c r="U730">
        <f>IF(OR(B730="",C730=""),"",B730+ROW()/10000000)</f>
        <v/>
      </c>
      <c r="V730">
        <f>IF(U730="","",IF(COUNTIFS(Orders!$C$6:$C$1005,C730,Orders!$U$6:$U$1005,"&gt;"&amp;U730)=0,1,0))</f>
        <v/>
      </c>
      <c r="W730">
        <f>IF(AND(B730&lt;&gt;"",K730&lt;&gt;"",L730&lt;&gt;"Sent",L730&lt;&gt;"Picked up",L730&lt;&gt;"Cancelled"),IF(N(E730)=0,1,E730),0)</f>
        <v/>
      </c>
      <c r="X730">
        <f>IF(OR(B730="",D730=""),"",IF(N(E730)=0,1,E730))</f>
        <v/>
      </c>
    </row>
    <row r="731">
      <c r="A731" s="1" t="n"/>
      <c r="B731" s="31" t="n"/>
      <c r="C731" s="32" t="n"/>
      <c r="D731" s="33" t="n"/>
      <c r="E731" s="34" t="n"/>
      <c r="F731" s="35" t="n"/>
      <c r="G731" s="35" t="n"/>
      <c r="H731" s="30">
        <f>IF(OR(B731="",D731=""),"",IF(N(E731)=0,1,E731)*IFERROR(INDEX(Products!$C$6:$C$105,MATCH(D731,Products!$B$6:$B$105,0)),0)+N(F731)+N(G731))</f>
        <v/>
      </c>
      <c r="I731" s="35" t="n"/>
      <c r="J731" s="30">
        <f>IF(OR(H731="",L731="Cancelled"),"",IF(H731-N(I731)&gt;0.005,H731-N(I731),""))</f>
        <v/>
      </c>
      <c r="K731" s="31" t="n"/>
      <c r="L731" s="36" t="n"/>
      <c r="M731" s="33" t="n"/>
      <c r="N731" s="22">
        <f>IF(OR(H731="",L731="Cancelled"),"",IF(N(E731)=0,1,E731)*IFERROR(INDEX(Products!$E$6:$E$105,MATCH(D731,Products!$B$6:$B$105,0)),0))</f>
        <v/>
      </c>
      <c r="O731" s="35" t="n"/>
      <c r="P731" s="22">
        <f>IF(OR(H731="",L731="Cancelled"),"",ROUND(IFERROR(H731*INDEX(Settings!$C$6:$C$15,MATCH(M731,Settings!$B$6:$B$15,0))+INDEX(Settings!$D$6:$D$15,MATCH(M731,Settings!$B$6:$B$15,0)),0),2))</f>
        <v/>
      </c>
      <c r="Q731" s="28">
        <f>IF(OR(H731="",L731="Cancelled"),"",H731-N(N731)-N(O731)-N(P731))</f>
        <v/>
      </c>
      <c r="R731" s="19">
        <f>IF(OR(B731="",K731=""),"",IF(OR(L731="Sent",L731="Picked up"),"Done",IF(L731="Cancelled","Cancelled",IF(K731&lt;TODAY(),"Late by "&amp;(TODAY()-K731)&amp;IF((TODAY()-K731)=1," day"," days"),IF(K731=TODAY(),"Due today","Due in "&amp;(K731-TODAY())&amp;IF((K731-TODAY())=1," day"," days"))))))</f>
        <v/>
      </c>
      <c r="S731" s="33" t="n"/>
      <c r="T731" s="1">
        <f>IF(AND(B731&lt;&gt;"",K731&lt;&gt;"",L731&lt;&gt;"Sent",L731&lt;&gt;"Picked up",L731&lt;&gt;"Cancelled"),K731+ROW()/10000000,"")</f>
        <v/>
      </c>
      <c r="U731">
        <f>IF(OR(B731="",C731=""),"",B731+ROW()/10000000)</f>
        <v/>
      </c>
      <c r="V731">
        <f>IF(U731="","",IF(COUNTIFS(Orders!$C$6:$C$1005,C731,Orders!$U$6:$U$1005,"&gt;"&amp;U731)=0,1,0))</f>
        <v/>
      </c>
      <c r="W731">
        <f>IF(AND(B731&lt;&gt;"",K731&lt;&gt;"",L731&lt;&gt;"Sent",L731&lt;&gt;"Picked up",L731&lt;&gt;"Cancelled"),IF(N(E731)=0,1,E731),0)</f>
        <v/>
      </c>
      <c r="X731">
        <f>IF(OR(B731="",D731=""),"",IF(N(E731)=0,1,E731))</f>
        <v/>
      </c>
    </row>
    <row r="732">
      <c r="A732" s="1" t="n"/>
      <c r="B732" s="31" t="n"/>
      <c r="C732" s="32" t="n"/>
      <c r="D732" s="33" t="n"/>
      <c r="E732" s="34" t="n"/>
      <c r="F732" s="35" t="n"/>
      <c r="G732" s="35" t="n"/>
      <c r="H732" s="30">
        <f>IF(OR(B732="",D732=""),"",IF(N(E732)=0,1,E732)*IFERROR(INDEX(Products!$C$6:$C$105,MATCH(D732,Products!$B$6:$B$105,0)),0)+N(F732)+N(G732))</f>
        <v/>
      </c>
      <c r="I732" s="35" t="n"/>
      <c r="J732" s="30">
        <f>IF(OR(H732="",L732="Cancelled"),"",IF(H732-N(I732)&gt;0.005,H732-N(I732),""))</f>
        <v/>
      </c>
      <c r="K732" s="31" t="n"/>
      <c r="L732" s="36" t="n"/>
      <c r="M732" s="33" t="n"/>
      <c r="N732" s="22">
        <f>IF(OR(H732="",L732="Cancelled"),"",IF(N(E732)=0,1,E732)*IFERROR(INDEX(Products!$E$6:$E$105,MATCH(D732,Products!$B$6:$B$105,0)),0))</f>
        <v/>
      </c>
      <c r="O732" s="35" t="n"/>
      <c r="P732" s="22">
        <f>IF(OR(H732="",L732="Cancelled"),"",ROUND(IFERROR(H732*INDEX(Settings!$C$6:$C$15,MATCH(M732,Settings!$B$6:$B$15,0))+INDEX(Settings!$D$6:$D$15,MATCH(M732,Settings!$B$6:$B$15,0)),0),2))</f>
        <v/>
      </c>
      <c r="Q732" s="28">
        <f>IF(OR(H732="",L732="Cancelled"),"",H732-N(N732)-N(O732)-N(P732))</f>
        <v/>
      </c>
      <c r="R732" s="19">
        <f>IF(OR(B732="",K732=""),"",IF(OR(L732="Sent",L732="Picked up"),"Done",IF(L732="Cancelled","Cancelled",IF(K732&lt;TODAY(),"Late by "&amp;(TODAY()-K732)&amp;IF((TODAY()-K732)=1," day"," days"),IF(K732=TODAY(),"Due today","Due in "&amp;(K732-TODAY())&amp;IF((K732-TODAY())=1," day"," days"))))))</f>
        <v/>
      </c>
      <c r="S732" s="33" t="n"/>
      <c r="T732" s="1">
        <f>IF(AND(B732&lt;&gt;"",K732&lt;&gt;"",L732&lt;&gt;"Sent",L732&lt;&gt;"Picked up",L732&lt;&gt;"Cancelled"),K732+ROW()/10000000,"")</f>
        <v/>
      </c>
      <c r="U732">
        <f>IF(OR(B732="",C732=""),"",B732+ROW()/10000000)</f>
        <v/>
      </c>
      <c r="V732">
        <f>IF(U732="","",IF(COUNTIFS(Orders!$C$6:$C$1005,C732,Orders!$U$6:$U$1005,"&gt;"&amp;U732)=0,1,0))</f>
        <v/>
      </c>
      <c r="W732">
        <f>IF(AND(B732&lt;&gt;"",K732&lt;&gt;"",L732&lt;&gt;"Sent",L732&lt;&gt;"Picked up",L732&lt;&gt;"Cancelled"),IF(N(E732)=0,1,E732),0)</f>
        <v/>
      </c>
      <c r="X732">
        <f>IF(OR(B732="",D732=""),"",IF(N(E732)=0,1,E732))</f>
        <v/>
      </c>
    </row>
    <row r="733">
      <c r="A733" s="1" t="n"/>
      <c r="B733" s="31" t="n"/>
      <c r="C733" s="32" t="n"/>
      <c r="D733" s="33" t="n"/>
      <c r="E733" s="34" t="n"/>
      <c r="F733" s="35" t="n"/>
      <c r="G733" s="35" t="n"/>
      <c r="H733" s="30">
        <f>IF(OR(B733="",D733=""),"",IF(N(E733)=0,1,E733)*IFERROR(INDEX(Products!$C$6:$C$105,MATCH(D733,Products!$B$6:$B$105,0)),0)+N(F733)+N(G733))</f>
        <v/>
      </c>
      <c r="I733" s="35" t="n"/>
      <c r="J733" s="30">
        <f>IF(OR(H733="",L733="Cancelled"),"",IF(H733-N(I733)&gt;0.005,H733-N(I733),""))</f>
        <v/>
      </c>
      <c r="K733" s="31" t="n"/>
      <c r="L733" s="36" t="n"/>
      <c r="M733" s="33" t="n"/>
      <c r="N733" s="22">
        <f>IF(OR(H733="",L733="Cancelled"),"",IF(N(E733)=0,1,E733)*IFERROR(INDEX(Products!$E$6:$E$105,MATCH(D733,Products!$B$6:$B$105,0)),0))</f>
        <v/>
      </c>
      <c r="O733" s="35" t="n"/>
      <c r="P733" s="22">
        <f>IF(OR(H733="",L733="Cancelled"),"",ROUND(IFERROR(H733*INDEX(Settings!$C$6:$C$15,MATCH(M733,Settings!$B$6:$B$15,0))+INDEX(Settings!$D$6:$D$15,MATCH(M733,Settings!$B$6:$B$15,0)),0),2))</f>
        <v/>
      </c>
      <c r="Q733" s="28">
        <f>IF(OR(H733="",L733="Cancelled"),"",H733-N(N733)-N(O733)-N(P733))</f>
        <v/>
      </c>
      <c r="R733" s="19">
        <f>IF(OR(B733="",K733=""),"",IF(OR(L733="Sent",L733="Picked up"),"Done",IF(L733="Cancelled","Cancelled",IF(K733&lt;TODAY(),"Late by "&amp;(TODAY()-K733)&amp;IF((TODAY()-K733)=1," day"," days"),IF(K733=TODAY(),"Due today","Due in "&amp;(K733-TODAY())&amp;IF((K733-TODAY())=1," day"," days"))))))</f>
        <v/>
      </c>
      <c r="S733" s="33" t="n"/>
      <c r="T733" s="1">
        <f>IF(AND(B733&lt;&gt;"",K733&lt;&gt;"",L733&lt;&gt;"Sent",L733&lt;&gt;"Picked up",L733&lt;&gt;"Cancelled"),K733+ROW()/10000000,"")</f>
        <v/>
      </c>
      <c r="U733">
        <f>IF(OR(B733="",C733=""),"",B733+ROW()/10000000)</f>
        <v/>
      </c>
      <c r="V733">
        <f>IF(U733="","",IF(COUNTIFS(Orders!$C$6:$C$1005,C733,Orders!$U$6:$U$1005,"&gt;"&amp;U733)=0,1,0))</f>
        <v/>
      </c>
      <c r="W733">
        <f>IF(AND(B733&lt;&gt;"",K733&lt;&gt;"",L733&lt;&gt;"Sent",L733&lt;&gt;"Picked up",L733&lt;&gt;"Cancelled"),IF(N(E733)=0,1,E733),0)</f>
        <v/>
      </c>
      <c r="X733">
        <f>IF(OR(B733="",D733=""),"",IF(N(E733)=0,1,E733))</f>
        <v/>
      </c>
    </row>
    <row r="734">
      <c r="A734" s="1" t="n"/>
      <c r="B734" s="31" t="n"/>
      <c r="C734" s="32" t="n"/>
      <c r="D734" s="33" t="n"/>
      <c r="E734" s="34" t="n"/>
      <c r="F734" s="35" t="n"/>
      <c r="G734" s="35" t="n"/>
      <c r="H734" s="30">
        <f>IF(OR(B734="",D734=""),"",IF(N(E734)=0,1,E734)*IFERROR(INDEX(Products!$C$6:$C$105,MATCH(D734,Products!$B$6:$B$105,0)),0)+N(F734)+N(G734))</f>
        <v/>
      </c>
      <c r="I734" s="35" t="n"/>
      <c r="J734" s="30">
        <f>IF(OR(H734="",L734="Cancelled"),"",IF(H734-N(I734)&gt;0.005,H734-N(I734),""))</f>
        <v/>
      </c>
      <c r="K734" s="31" t="n"/>
      <c r="L734" s="36" t="n"/>
      <c r="M734" s="33" t="n"/>
      <c r="N734" s="22">
        <f>IF(OR(H734="",L734="Cancelled"),"",IF(N(E734)=0,1,E734)*IFERROR(INDEX(Products!$E$6:$E$105,MATCH(D734,Products!$B$6:$B$105,0)),0))</f>
        <v/>
      </c>
      <c r="O734" s="35" t="n"/>
      <c r="P734" s="22">
        <f>IF(OR(H734="",L734="Cancelled"),"",ROUND(IFERROR(H734*INDEX(Settings!$C$6:$C$15,MATCH(M734,Settings!$B$6:$B$15,0))+INDEX(Settings!$D$6:$D$15,MATCH(M734,Settings!$B$6:$B$15,0)),0),2))</f>
        <v/>
      </c>
      <c r="Q734" s="28">
        <f>IF(OR(H734="",L734="Cancelled"),"",H734-N(N734)-N(O734)-N(P734))</f>
        <v/>
      </c>
      <c r="R734" s="19">
        <f>IF(OR(B734="",K734=""),"",IF(OR(L734="Sent",L734="Picked up"),"Done",IF(L734="Cancelled","Cancelled",IF(K734&lt;TODAY(),"Late by "&amp;(TODAY()-K734)&amp;IF((TODAY()-K734)=1," day"," days"),IF(K734=TODAY(),"Due today","Due in "&amp;(K734-TODAY())&amp;IF((K734-TODAY())=1," day"," days"))))))</f>
        <v/>
      </c>
      <c r="S734" s="33" t="n"/>
      <c r="T734" s="1">
        <f>IF(AND(B734&lt;&gt;"",K734&lt;&gt;"",L734&lt;&gt;"Sent",L734&lt;&gt;"Picked up",L734&lt;&gt;"Cancelled"),K734+ROW()/10000000,"")</f>
        <v/>
      </c>
      <c r="U734">
        <f>IF(OR(B734="",C734=""),"",B734+ROW()/10000000)</f>
        <v/>
      </c>
      <c r="V734">
        <f>IF(U734="","",IF(COUNTIFS(Orders!$C$6:$C$1005,C734,Orders!$U$6:$U$1005,"&gt;"&amp;U734)=0,1,0))</f>
        <v/>
      </c>
      <c r="W734">
        <f>IF(AND(B734&lt;&gt;"",K734&lt;&gt;"",L734&lt;&gt;"Sent",L734&lt;&gt;"Picked up",L734&lt;&gt;"Cancelled"),IF(N(E734)=0,1,E734),0)</f>
        <v/>
      </c>
      <c r="X734">
        <f>IF(OR(B734="",D734=""),"",IF(N(E734)=0,1,E734))</f>
        <v/>
      </c>
    </row>
    <row r="735">
      <c r="A735" s="1" t="n"/>
      <c r="B735" s="31" t="n"/>
      <c r="C735" s="32" t="n"/>
      <c r="D735" s="33" t="n"/>
      <c r="E735" s="34" t="n"/>
      <c r="F735" s="35" t="n"/>
      <c r="G735" s="35" t="n"/>
      <c r="H735" s="30">
        <f>IF(OR(B735="",D735=""),"",IF(N(E735)=0,1,E735)*IFERROR(INDEX(Products!$C$6:$C$105,MATCH(D735,Products!$B$6:$B$105,0)),0)+N(F735)+N(G735))</f>
        <v/>
      </c>
      <c r="I735" s="35" t="n"/>
      <c r="J735" s="30">
        <f>IF(OR(H735="",L735="Cancelled"),"",IF(H735-N(I735)&gt;0.005,H735-N(I735),""))</f>
        <v/>
      </c>
      <c r="K735" s="31" t="n"/>
      <c r="L735" s="36" t="n"/>
      <c r="M735" s="33" t="n"/>
      <c r="N735" s="22">
        <f>IF(OR(H735="",L735="Cancelled"),"",IF(N(E735)=0,1,E735)*IFERROR(INDEX(Products!$E$6:$E$105,MATCH(D735,Products!$B$6:$B$105,0)),0))</f>
        <v/>
      </c>
      <c r="O735" s="35" t="n"/>
      <c r="P735" s="22">
        <f>IF(OR(H735="",L735="Cancelled"),"",ROUND(IFERROR(H735*INDEX(Settings!$C$6:$C$15,MATCH(M735,Settings!$B$6:$B$15,0))+INDEX(Settings!$D$6:$D$15,MATCH(M735,Settings!$B$6:$B$15,0)),0),2))</f>
        <v/>
      </c>
      <c r="Q735" s="28">
        <f>IF(OR(H735="",L735="Cancelled"),"",H735-N(N735)-N(O735)-N(P735))</f>
        <v/>
      </c>
      <c r="R735" s="19">
        <f>IF(OR(B735="",K735=""),"",IF(OR(L735="Sent",L735="Picked up"),"Done",IF(L735="Cancelled","Cancelled",IF(K735&lt;TODAY(),"Late by "&amp;(TODAY()-K735)&amp;IF((TODAY()-K735)=1," day"," days"),IF(K735=TODAY(),"Due today","Due in "&amp;(K735-TODAY())&amp;IF((K735-TODAY())=1," day"," days"))))))</f>
        <v/>
      </c>
      <c r="S735" s="33" t="n"/>
      <c r="T735" s="1">
        <f>IF(AND(B735&lt;&gt;"",K735&lt;&gt;"",L735&lt;&gt;"Sent",L735&lt;&gt;"Picked up",L735&lt;&gt;"Cancelled"),K735+ROW()/10000000,"")</f>
        <v/>
      </c>
      <c r="U735">
        <f>IF(OR(B735="",C735=""),"",B735+ROW()/10000000)</f>
        <v/>
      </c>
      <c r="V735">
        <f>IF(U735="","",IF(COUNTIFS(Orders!$C$6:$C$1005,C735,Orders!$U$6:$U$1005,"&gt;"&amp;U735)=0,1,0))</f>
        <v/>
      </c>
      <c r="W735">
        <f>IF(AND(B735&lt;&gt;"",K735&lt;&gt;"",L735&lt;&gt;"Sent",L735&lt;&gt;"Picked up",L735&lt;&gt;"Cancelled"),IF(N(E735)=0,1,E735),0)</f>
        <v/>
      </c>
      <c r="X735">
        <f>IF(OR(B735="",D735=""),"",IF(N(E735)=0,1,E735))</f>
        <v/>
      </c>
    </row>
    <row r="736">
      <c r="A736" s="1" t="n"/>
      <c r="B736" s="31" t="n"/>
      <c r="C736" s="32" t="n"/>
      <c r="D736" s="33" t="n"/>
      <c r="E736" s="34" t="n"/>
      <c r="F736" s="35" t="n"/>
      <c r="G736" s="35" t="n"/>
      <c r="H736" s="30">
        <f>IF(OR(B736="",D736=""),"",IF(N(E736)=0,1,E736)*IFERROR(INDEX(Products!$C$6:$C$105,MATCH(D736,Products!$B$6:$B$105,0)),0)+N(F736)+N(G736))</f>
        <v/>
      </c>
      <c r="I736" s="35" t="n"/>
      <c r="J736" s="30">
        <f>IF(OR(H736="",L736="Cancelled"),"",IF(H736-N(I736)&gt;0.005,H736-N(I736),""))</f>
        <v/>
      </c>
      <c r="K736" s="31" t="n"/>
      <c r="L736" s="36" t="n"/>
      <c r="M736" s="33" t="n"/>
      <c r="N736" s="22">
        <f>IF(OR(H736="",L736="Cancelled"),"",IF(N(E736)=0,1,E736)*IFERROR(INDEX(Products!$E$6:$E$105,MATCH(D736,Products!$B$6:$B$105,0)),0))</f>
        <v/>
      </c>
      <c r="O736" s="35" t="n"/>
      <c r="P736" s="22">
        <f>IF(OR(H736="",L736="Cancelled"),"",ROUND(IFERROR(H736*INDEX(Settings!$C$6:$C$15,MATCH(M736,Settings!$B$6:$B$15,0))+INDEX(Settings!$D$6:$D$15,MATCH(M736,Settings!$B$6:$B$15,0)),0),2))</f>
        <v/>
      </c>
      <c r="Q736" s="28">
        <f>IF(OR(H736="",L736="Cancelled"),"",H736-N(N736)-N(O736)-N(P736))</f>
        <v/>
      </c>
      <c r="R736" s="19">
        <f>IF(OR(B736="",K736=""),"",IF(OR(L736="Sent",L736="Picked up"),"Done",IF(L736="Cancelled","Cancelled",IF(K736&lt;TODAY(),"Late by "&amp;(TODAY()-K736)&amp;IF((TODAY()-K736)=1," day"," days"),IF(K736=TODAY(),"Due today","Due in "&amp;(K736-TODAY())&amp;IF((K736-TODAY())=1," day"," days"))))))</f>
        <v/>
      </c>
      <c r="S736" s="33" t="n"/>
      <c r="T736" s="1">
        <f>IF(AND(B736&lt;&gt;"",K736&lt;&gt;"",L736&lt;&gt;"Sent",L736&lt;&gt;"Picked up",L736&lt;&gt;"Cancelled"),K736+ROW()/10000000,"")</f>
        <v/>
      </c>
      <c r="U736">
        <f>IF(OR(B736="",C736=""),"",B736+ROW()/10000000)</f>
        <v/>
      </c>
      <c r="V736">
        <f>IF(U736="","",IF(COUNTIFS(Orders!$C$6:$C$1005,C736,Orders!$U$6:$U$1005,"&gt;"&amp;U736)=0,1,0))</f>
        <v/>
      </c>
      <c r="W736">
        <f>IF(AND(B736&lt;&gt;"",K736&lt;&gt;"",L736&lt;&gt;"Sent",L736&lt;&gt;"Picked up",L736&lt;&gt;"Cancelled"),IF(N(E736)=0,1,E736),0)</f>
        <v/>
      </c>
      <c r="X736">
        <f>IF(OR(B736="",D736=""),"",IF(N(E736)=0,1,E736))</f>
        <v/>
      </c>
    </row>
    <row r="737">
      <c r="A737" s="1" t="n"/>
      <c r="B737" s="31" t="n"/>
      <c r="C737" s="32" t="n"/>
      <c r="D737" s="33" t="n"/>
      <c r="E737" s="34" t="n"/>
      <c r="F737" s="35" t="n"/>
      <c r="G737" s="35" t="n"/>
      <c r="H737" s="30">
        <f>IF(OR(B737="",D737=""),"",IF(N(E737)=0,1,E737)*IFERROR(INDEX(Products!$C$6:$C$105,MATCH(D737,Products!$B$6:$B$105,0)),0)+N(F737)+N(G737))</f>
        <v/>
      </c>
      <c r="I737" s="35" t="n"/>
      <c r="J737" s="30">
        <f>IF(OR(H737="",L737="Cancelled"),"",IF(H737-N(I737)&gt;0.005,H737-N(I737),""))</f>
        <v/>
      </c>
      <c r="K737" s="31" t="n"/>
      <c r="L737" s="36" t="n"/>
      <c r="M737" s="33" t="n"/>
      <c r="N737" s="22">
        <f>IF(OR(H737="",L737="Cancelled"),"",IF(N(E737)=0,1,E737)*IFERROR(INDEX(Products!$E$6:$E$105,MATCH(D737,Products!$B$6:$B$105,0)),0))</f>
        <v/>
      </c>
      <c r="O737" s="35" t="n"/>
      <c r="P737" s="22">
        <f>IF(OR(H737="",L737="Cancelled"),"",ROUND(IFERROR(H737*INDEX(Settings!$C$6:$C$15,MATCH(M737,Settings!$B$6:$B$15,0))+INDEX(Settings!$D$6:$D$15,MATCH(M737,Settings!$B$6:$B$15,0)),0),2))</f>
        <v/>
      </c>
      <c r="Q737" s="28">
        <f>IF(OR(H737="",L737="Cancelled"),"",H737-N(N737)-N(O737)-N(P737))</f>
        <v/>
      </c>
      <c r="R737" s="19">
        <f>IF(OR(B737="",K737=""),"",IF(OR(L737="Sent",L737="Picked up"),"Done",IF(L737="Cancelled","Cancelled",IF(K737&lt;TODAY(),"Late by "&amp;(TODAY()-K737)&amp;IF((TODAY()-K737)=1," day"," days"),IF(K737=TODAY(),"Due today","Due in "&amp;(K737-TODAY())&amp;IF((K737-TODAY())=1," day"," days"))))))</f>
        <v/>
      </c>
      <c r="S737" s="33" t="n"/>
      <c r="T737" s="1">
        <f>IF(AND(B737&lt;&gt;"",K737&lt;&gt;"",L737&lt;&gt;"Sent",L737&lt;&gt;"Picked up",L737&lt;&gt;"Cancelled"),K737+ROW()/10000000,"")</f>
        <v/>
      </c>
      <c r="U737">
        <f>IF(OR(B737="",C737=""),"",B737+ROW()/10000000)</f>
        <v/>
      </c>
      <c r="V737">
        <f>IF(U737="","",IF(COUNTIFS(Orders!$C$6:$C$1005,C737,Orders!$U$6:$U$1005,"&gt;"&amp;U737)=0,1,0))</f>
        <v/>
      </c>
      <c r="W737">
        <f>IF(AND(B737&lt;&gt;"",K737&lt;&gt;"",L737&lt;&gt;"Sent",L737&lt;&gt;"Picked up",L737&lt;&gt;"Cancelled"),IF(N(E737)=0,1,E737),0)</f>
        <v/>
      </c>
      <c r="X737">
        <f>IF(OR(B737="",D737=""),"",IF(N(E737)=0,1,E737))</f>
        <v/>
      </c>
    </row>
    <row r="738">
      <c r="A738" s="1" t="n"/>
      <c r="B738" s="31" t="n"/>
      <c r="C738" s="32" t="n"/>
      <c r="D738" s="33" t="n"/>
      <c r="E738" s="34" t="n"/>
      <c r="F738" s="35" t="n"/>
      <c r="G738" s="35" t="n"/>
      <c r="H738" s="30">
        <f>IF(OR(B738="",D738=""),"",IF(N(E738)=0,1,E738)*IFERROR(INDEX(Products!$C$6:$C$105,MATCH(D738,Products!$B$6:$B$105,0)),0)+N(F738)+N(G738))</f>
        <v/>
      </c>
      <c r="I738" s="35" t="n"/>
      <c r="J738" s="30">
        <f>IF(OR(H738="",L738="Cancelled"),"",IF(H738-N(I738)&gt;0.005,H738-N(I738),""))</f>
        <v/>
      </c>
      <c r="K738" s="31" t="n"/>
      <c r="L738" s="36" t="n"/>
      <c r="M738" s="33" t="n"/>
      <c r="N738" s="22">
        <f>IF(OR(H738="",L738="Cancelled"),"",IF(N(E738)=0,1,E738)*IFERROR(INDEX(Products!$E$6:$E$105,MATCH(D738,Products!$B$6:$B$105,0)),0))</f>
        <v/>
      </c>
      <c r="O738" s="35" t="n"/>
      <c r="P738" s="22">
        <f>IF(OR(H738="",L738="Cancelled"),"",ROUND(IFERROR(H738*INDEX(Settings!$C$6:$C$15,MATCH(M738,Settings!$B$6:$B$15,0))+INDEX(Settings!$D$6:$D$15,MATCH(M738,Settings!$B$6:$B$15,0)),0),2))</f>
        <v/>
      </c>
      <c r="Q738" s="28">
        <f>IF(OR(H738="",L738="Cancelled"),"",H738-N(N738)-N(O738)-N(P738))</f>
        <v/>
      </c>
      <c r="R738" s="19">
        <f>IF(OR(B738="",K738=""),"",IF(OR(L738="Sent",L738="Picked up"),"Done",IF(L738="Cancelled","Cancelled",IF(K738&lt;TODAY(),"Late by "&amp;(TODAY()-K738)&amp;IF((TODAY()-K738)=1," day"," days"),IF(K738=TODAY(),"Due today","Due in "&amp;(K738-TODAY())&amp;IF((K738-TODAY())=1," day"," days"))))))</f>
        <v/>
      </c>
      <c r="S738" s="33" t="n"/>
      <c r="T738" s="1">
        <f>IF(AND(B738&lt;&gt;"",K738&lt;&gt;"",L738&lt;&gt;"Sent",L738&lt;&gt;"Picked up",L738&lt;&gt;"Cancelled"),K738+ROW()/10000000,"")</f>
        <v/>
      </c>
      <c r="U738">
        <f>IF(OR(B738="",C738=""),"",B738+ROW()/10000000)</f>
        <v/>
      </c>
      <c r="V738">
        <f>IF(U738="","",IF(COUNTIFS(Orders!$C$6:$C$1005,C738,Orders!$U$6:$U$1005,"&gt;"&amp;U738)=0,1,0))</f>
        <v/>
      </c>
      <c r="W738">
        <f>IF(AND(B738&lt;&gt;"",K738&lt;&gt;"",L738&lt;&gt;"Sent",L738&lt;&gt;"Picked up",L738&lt;&gt;"Cancelled"),IF(N(E738)=0,1,E738),0)</f>
        <v/>
      </c>
      <c r="X738">
        <f>IF(OR(B738="",D738=""),"",IF(N(E738)=0,1,E738))</f>
        <v/>
      </c>
    </row>
    <row r="739">
      <c r="A739" s="1" t="n"/>
      <c r="B739" s="31" t="n"/>
      <c r="C739" s="32" t="n"/>
      <c r="D739" s="33" t="n"/>
      <c r="E739" s="34" t="n"/>
      <c r="F739" s="35" t="n"/>
      <c r="G739" s="35" t="n"/>
      <c r="H739" s="30">
        <f>IF(OR(B739="",D739=""),"",IF(N(E739)=0,1,E739)*IFERROR(INDEX(Products!$C$6:$C$105,MATCH(D739,Products!$B$6:$B$105,0)),0)+N(F739)+N(G739))</f>
        <v/>
      </c>
      <c r="I739" s="35" t="n"/>
      <c r="J739" s="30">
        <f>IF(OR(H739="",L739="Cancelled"),"",IF(H739-N(I739)&gt;0.005,H739-N(I739),""))</f>
        <v/>
      </c>
      <c r="K739" s="31" t="n"/>
      <c r="L739" s="36" t="n"/>
      <c r="M739" s="33" t="n"/>
      <c r="N739" s="22">
        <f>IF(OR(H739="",L739="Cancelled"),"",IF(N(E739)=0,1,E739)*IFERROR(INDEX(Products!$E$6:$E$105,MATCH(D739,Products!$B$6:$B$105,0)),0))</f>
        <v/>
      </c>
      <c r="O739" s="35" t="n"/>
      <c r="P739" s="22">
        <f>IF(OR(H739="",L739="Cancelled"),"",ROUND(IFERROR(H739*INDEX(Settings!$C$6:$C$15,MATCH(M739,Settings!$B$6:$B$15,0))+INDEX(Settings!$D$6:$D$15,MATCH(M739,Settings!$B$6:$B$15,0)),0),2))</f>
        <v/>
      </c>
      <c r="Q739" s="28">
        <f>IF(OR(H739="",L739="Cancelled"),"",H739-N(N739)-N(O739)-N(P739))</f>
        <v/>
      </c>
      <c r="R739" s="19">
        <f>IF(OR(B739="",K739=""),"",IF(OR(L739="Sent",L739="Picked up"),"Done",IF(L739="Cancelled","Cancelled",IF(K739&lt;TODAY(),"Late by "&amp;(TODAY()-K739)&amp;IF((TODAY()-K739)=1," day"," days"),IF(K739=TODAY(),"Due today","Due in "&amp;(K739-TODAY())&amp;IF((K739-TODAY())=1," day"," days"))))))</f>
        <v/>
      </c>
      <c r="S739" s="33" t="n"/>
      <c r="T739" s="1">
        <f>IF(AND(B739&lt;&gt;"",K739&lt;&gt;"",L739&lt;&gt;"Sent",L739&lt;&gt;"Picked up",L739&lt;&gt;"Cancelled"),K739+ROW()/10000000,"")</f>
        <v/>
      </c>
      <c r="U739">
        <f>IF(OR(B739="",C739=""),"",B739+ROW()/10000000)</f>
        <v/>
      </c>
      <c r="V739">
        <f>IF(U739="","",IF(COUNTIFS(Orders!$C$6:$C$1005,C739,Orders!$U$6:$U$1005,"&gt;"&amp;U739)=0,1,0))</f>
        <v/>
      </c>
      <c r="W739">
        <f>IF(AND(B739&lt;&gt;"",K739&lt;&gt;"",L739&lt;&gt;"Sent",L739&lt;&gt;"Picked up",L739&lt;&gt;"Cancelled"),IF(N(E739)=0,1,E739),0)</f>
        <v/>
      </c>
      <c r="X739">
        <f>IF(OR(B739="",D739=""),"",IF(N(E739)=0,1,E739))</f>
        <v/>
      </c>
    </row>
    <row r="740">
      <c r="A740" s="1" t="n"/>
      <c r="B740" s="31" t="n"/>
      <c r="C740" s="32" t="n"/>
      <c r="D740" s="33" t="n"/>
      <c r="E740" s="34" t="n"/>
      <c r="F740" s="35" t="n"/>
      <c r="G740" s="35" t="n"/>
      <c r="H740" s="30">
        <f>IF(OR(B740="",D740=""),"",IF(N(E740)=0,1,E740)*IFERROR(INDEX(Products!$C$6:$C$105,MATCH(D740,Products!$B$6:$B$105,0)),0)+N(F740)+N(G740))</f>
        <v/>
      </c>
      <c r="I740" s="35" t="n"/>
      <c r="J740" s="30">
        <f>IF(OR(H740="",L740="Cancelled"),"",IF(H740-N(I740)&gt;0.005,H740-N(I740),""))</f>
        <v/>
      </c>
      <c r="K740" s="31" t="n"/>
      <c r="L740" s="36" t="n"/>
      <c r="M740" s="33" t="n"/>
      <c r="N740" s="22">
        <f>IF(OR(H740="",L740="Cancelled"),"",IF(N(E740)=0,1,E740)*IFERROR(INDEX(Products!$E$6:$E$105,MATCH(D740,Products!$B$6:$B$105,0)),0))</f>
        <v/>
      </c>
      <c r="O740" s="35" t="n"/>
      <c r="P740" s="22">
        <f>IF(OR(H740="",L740="Cancelled"),"",ROUND(IFERROR(H740*INDEX(Settings!$C$6:$C$15,MATCH(M740,Settings!$B$6:$B$15,0))+INDEX(Settings!$D$6:$D$15,MATCH(M740,Settings!$B$6:$B$15,0)),0),2))</f>
        <v/>
      </c>
      <c r="Q740" s="28">
        <f>IF(OR(H740="",L740="Cancelled"),"",H740-N(N740)-N(O740)-N(P740))</f>
        <v/>
      </c>
      <c r="R740" s="19">
        <f>IF(OR(B740="",K740=""),"",IF(OR(L740="Sent",L740="Picked up"),"Done",IF(L740="Cancelled","Cancelled",IF(K740&lt;TODAY(),"Late by "&amp;(TODAY()-K740)&amp;IF((TODAY()-K740)=1," day"," days"),IF(K740=TODAY(),"Due today","Due in "&amp;(K740-TODAY())&amp;IF((K740-TODAY())=1," day"," days"))))))</f>
        <v/>
      </c>
      <c r="S740" s="33" t="n"/>
      <c r="T740" s="1">
        <f>IF(AND(B740&lt;&gt;"",K740&lt;&gt;"",L740&lt;&gt;"Sent",L740&lt;&gt;"Picked up",L740&lt;&gt;"Cancelled"),K740+ROW()/10000000,"")</f>
        <v/>
      </c>
      <c r="U740">
        <f>IF(OR(B740="",C740=""),"",B740+ROW()/10000000)</f>
        <v/>
      </c>
      <c r="V740">
        <f>IF(U740="","",IF(COUNTIFS(Orders!$C$6:$C$1005,C740,Orders!$U$6:$U$1005,"&gt;"&amp;U740)=0,1,0))</f>
        <v/>
      </c>
      <c r="W740">
        <f>IF(AND(B740&lt;&gt;"",K740&lt;&gt;"",L740&lt;&gt;"Sent",L740&lt;&gt;"Picked up",L740&lt;&gt;"Cancelled"),IF(N(E740)=0,1,E740),0)</f>
        <v/>
      </c>
      <c r="X740">
        <f>IF(OR(B740="",D740=""),"",IF(N(E740)=0,1,E740))</f>
        <v/>
      </c>
    </row>
    <row r="741">
      <c r="A741" s="1" t="n"/>
      <c r="B741" s="31" t="n"/>
      <c r="C741" s="32" t="n"/>
      <c r="D741" s="33" t="n"/>
      <c r="E741" s="34" t="n"/>
      <c r="F741" s="35" t="n"/>
      <c r="G741" s="35" t="n"/>
      <c r="H741" s="30">
        <f>IF(OR(B741="",D741=""),"",IF(N(E741)=0,1,E741)*IFERROR(INDEX(Products!$C$6:$C$105,MATCH(D741,Products!$B$6:$B$105,0)),0)+N(F741)+N(G741))</f>
        <v/>
      </c>
      <c r="I741" s="35" t="n"/>
      <c r="J741" s="30">
        <f>IF(OR(H741="",L741="Cancelled"),"",IF(H741-N(I741)&gt;0.005,H741-N(I741),""))</f>
        <v/>
      </c>
      <c r="K741" s="31" t="n"/>
      <c r="L741" s="36" t="n"/>
      <c r="M741" s="33" t="n"/>
      <c r="N741" s="22">
        <f>IF(OR(H741="",L741="Cancelled"),"",IF(N(E741)=0,1,E741)*IFERROR(INDEX(Products!$E$6:$E$105,MATCH(D741,Products!$B$6:$B$105,0)),0))</f>
        <v/>
      </c>
      <c r="O741" s="35" t="n"/>
      <c r="P741" s="22">
        <f>IF(OR(H741="",L741="Cancelled"),"",ROUND(IFERROR(H741*INDEX(Settings!$C$6:$C$15,MATCH(M741,Settings!$B$6:$B$15,0))+INDEX(Settings!$D$6:$D$15,MATCH(M741,Settings!$B$6:$B$15,0)),0),2))</f>
        <v/>
      </c>
      <c r="Q741" s="28">
        <f>IF(OR(H741="",L741="Cancelled"),"",H741-N(N741)-N(O741)-N(P741))</f>
        <v/>
      </c>
      <c r="R741" s="19">
        <f>IF(OR(B741="",K741=""),"",IF(OR(L741="Sent",L741="Picked up"),"Done",IF(L741="Cancelled","Cancelled",IF(K741&lt;TODAY(),"Late by "&amp;(TODAY()-K741)&amp;IF((TODAY()-K741)=1," day"," days"),IF(K741=TODAY(),"Due today","Due in "&amp;(K741-TODAY())&amp;IF((K741-TODAY())=1," day"," days"))))))</f>
        <v/>
      </c>
      <c r="S741" s="33" t="n"/>
      <c r="T741" s="1">
        <f>IF(AND(B741&lt;&gt;"",K741&lt;&gt;"",L741&lt;&gt;"Sent",L741&lt;&gt;"Picked up",L741&lt;&gt;"Cancelled"),K741+ROW()/10000000,"")</f>
        <v/>
      </c>
      <c r="U741">
        <f>IF(OR(B741="",C741=""),"",B741+ROW()/10000000)</f>
        <v/>
      </c>
      <c r="V741">
        <f>IF(U741="","",IF(COUNTIFS(Orders!$C$6:$C$1005,C741,Orders!$U$6:$U$1005,"&gt;"&amp;U741)=0,1,0))</f>
        <v/>
      </c>
      <c r="W741">
        <f>IF(AND(B741&lt;&gt;"",K741&lt;&gt;"",L741&lt;&gt;"Sent",L741&lt;&gt;"Picked up",L741&lt;&gt;"Cancelled"),IF(N(E741)=0,1,E741),0)</f>
        <v/>
      </c>
      <c r="X741">
        <f>IF(OR(B741="",D741=""),"",IF(N(E741)=0,1,E741))</f>
        <v/>
      </c>
    </row>
    <row r="742">
      <c r="A742" s="1" t="n"/>
      <c r="B742" s="31" t="n"/>
      <c r="C742" s="32" t="n"/>
      <c r="D742" s="33" t="n"/>
      <c r="E742" s="34" t="n"/>
      <c r="F742" s="35" t="n"/>
      <c r="G742" s="35" t="n"/>
      <c r="H742" s="30">
        <f>IF(OR(B742="",D742=""),"",IF(N(E742)=0,1,E742)*IFERROR(INDEX(Products!$C$6:$C$105,MATCH(D742,Products!$B$6:$B$105,0)),0)+N(F742)+N(G742))</f>
        <v/>
      </c>
      <c r="I742" s="35" t="n"/>
      <c r="J742" s="30">
        <f>IF(OR(H742="",L742="Cancelled"),"",IF(H742-N(I742)&gt;0.005,H742-N(I742),""))</f>
        <v/>
      </c>
      <c r="K742" s="31" t="n"/>
      <c r="L742" s="36" t="n"/>
      <c r="M742" s="33" t="n"/>
      <c r="N742" s="22">
        <f>IF(OR(H742="",L742="Cancelled"),"",IF(N(E742)=0,1,E742)*IFERROR(INDEX(Products!$E$6:$E$105,MATCH(D742,Products!$B$6:$B$105,0)),0))</f>
        <v/>
      </c>
      <c r="O742" s="35" t="n"/>
      <c r="P742" s="22">
        <f>IF(OR(H742="",L742="Cancelled"),"",ROUND(IFERROR(H742*INDEX(Settings!$C$6:$C$15,MATCH(M742,Settings!$B$6:$B$15,0))+INDEX(Settings!$D$6:$D$15,MATCH(M742,Settings!$B$6:$B$15,0)),0),2))</f>
        <v/>
      </c>
      <c r="Q742" s="28">
        <f>IF(OR(H742="",L742="Cancelled"),"",H742-N(N742)-N(O742)-N(P742))</f>
        <v/>
      </c>
      <c r="R742" s="19">
        <f>IF(OR(B742="",K742=""),"",IF(OR(L742="Sent",L742="Picked up"),"Done",IF(L742="Cancelled","Cancelled",IF(K742&lt;TODAY(),"Late by "&amp;(TODAY()-K742)&amp;IF((TODAY()-K742)=1," day"," days"),IF(K742=TODAY(),"Due today","Due in "&amp;(K742-TODAY())&amp;IF((K742-TODAY())=1," day"," days"))))))</f>
        <v/>
      </c>
      <c r="S742" s="33" t="n"/>
      <c r="T742" s="1">
        <f>IF(AND(B742&lt;&gt;"",K742&lt;&gt;"",L742&lt;&gt;"Sent",L742&lt;&gt;"Picked up",L742&lt;&gt;"Cancelled"),K742+ROW()/10000000,"")</f>
        <v/>
      </c>
      <c r="U742">
        <f>IF(OR(B742="",C742=""),"",B742+ROW()/10000000)</f>
        <v/>
      </c>
      <c r="V742">
        <f>IF(U742="","",IF(COUNTIFS(Orders!$C$6:$C$1005,C742,Orders!$U$6:$U$1005,"&gt;"&amp;U742)=0,1,0))</f>
        <v/>
      </c>
      <c r="W742">
        <f>IF(AND(B742&lt;&gt;"",K742&lt;&gt;"",L742&lt;&gt;"Sent",L742&lt;&gt;"Picked up",L742&lt;&gt;"Cancelled"),IF(N(E742)=0,1,E742),0)</f>
        <v/>
      </c>
      <c r="X742">
        <f>IF(OR(B742="",D742=""),"",IF(N(E742)=0,1,E742))</f>
        <v/>
      </c>
    </row>
    <row r="743">
      <c r="A743" s="1" t="n"/>
      <c r="B743" s="31" t="n"/>
      <c r="C743" s="32" t="n"/>
      <c r="D743" s="33" t="n"/>
      <c r="E743" s="34" t="n"/>
      <c r="F743" s="35" t="n"/>
      <c r="G743" s="35" t="n"/>
      <c r="H743" s="30">
        <f>IF(OR(B743="",D743=""),"",IF(N(E743)=0,1,E743)*IFERROR(INDEX(Products!$C$6:$C$105,MATCH(D743,Products!$B$6:$B$105,0)),0)+N(F743)+N(G743))</f>
        <v/>
      </c>
      <c r="I743" s="35" t="n"/>
      <c r="J743" s="30">
        <f>IF(OR(H743="",L743="Cancelled"),"",IF(H743-N(I743)&gt;0.005,H743-N(I743),""))</f>
        <v/>
      </c>
      <c r="K743" s="31" t="n"/>
      <c r="L743" s="36" t="n"/>
      <c r="M743" s="33" t="n"/>
      <c r="N743" s="22">
        <f>IF(OR(H743="",L743="Cancelled"),"",IF(N(E743)=0,1,E743)*IFERROR(INDEX(Products!$E$6:$E$105,MATCH(D743,Products!$B$6:$B$105,0)),0))</f>
        <v/>
      </c>
      <c r="O743" s="35" t="n"/>
      <c r="P743" s="22">
        <f>IF(OR(H743="",L743="Cancelled"),"",ROUND(IFERROR(H743*INDEX(Settings!$C$6:$C$15,MATCH(M743,Settings!$B$6:$B$15,0))+INDEX(Settings!$D$6:$D$15,MATCH(M743,Settings!$B$6:$B$15,0)),0),2))</f>
        <v/>
      </c>
      <c r="Q743" s="28">
        <f>IF(OR(H743="",L743="Cancelled"),"",H743-N(N743)-N(O743)-N(P743))</f>
        <v/>
      </c>
      <c r="R743" s="19">
        <f>IF(OR(B743="",K743=""),"",IF(OR(L743="Sent",L743="Picked up"),"Done",IF(L743="Cancelled","Cancelled",IF(K743&lt;TODAY(),"Late by "&amp;(TODAY()-K743)&amp;IF((TODAY()-K743)=1," day"," days"),IF(K743=TODAY(),"Due today","Due in "&amp;(K743-TODAY())&amp;IF((K743-TODAY())=1," day"," days"))))))</f>
        <v/>
      </c>
      <c r="S743" s="33" t="n"/>
      <c r="T743" s="1">
        <f>IF(AND(B743&lt;&gt;"",K743&lt;&gt;"",L743&lt;&gt;"Sent",L743&lt;&gt;"Picked up",L743&lt;&gt;"Cancelled"),K743+ROW()/10000000,"")</f>
        <v/>
      </c>
      <c r="U743">
        <f>IF(OR(B743="",C743=""),"",B743+ROW()/10000000)</f>
        <v/>
      </c>
      <c r="V743">
        <f>IF(U743="","",IF(COUNTIFS(Orders!$C$6:$C$1005,C743,Orders!$U$6:$U$1005,"&gt;"&amp;U743)=0,1,0))</f>
        <v/>
      </c>
      <c r="W743">
        <f>IF(AND(B743&lt;&gt;"",K743&lt;&gt;"",L743&lt;&gt;"Sent",L743&lt;&gt;"Picked up",L743&lt;&gt;"Cancelled"),IF(N(E743)=0,1,E743),0)</f>
        <v/>
      </c>
      <c r="X743">
        <f>IF(OR(B743="",D743=""),"",IF(N(E743)=0,1,E743))</f>
        <v/>
      </c>
    </row>
    <row r="744">
      <c r="A744" s="1" t="n"/>
      <c r="B744" s="31" t="n"/>
      <c r="C744" s="32" t="n"/>
      <c r="D744" s="33" t="n"/>
      <c r="E744" s="34" t="n"/>
      <c r="F744" s="35" t="n"/>
      <c r="G744" s="35" t="n"/>
      <c r="H744" s="30">
        <f>IF(OR(B744="",D744=""),"",IF(N(E744)=0,1,E744)*IFERROR(INDEX(Products!$C$6:$C$105,MATCH(D744,Products!$B$6:$B$105,0)),0)+N(F744)+N(G744))</f>
        <v/>
      </c>
      <c r="I744" s="35" t="n"/>
      <c r="J744" s="30">
        <f>IF(OR(H744="",L744="Cancelled"),"",IF(H744-N(I744)&gt;0.005,H744-N(I744),""))</f>
        <v/>
      </c>
      <c r="K744" s="31" t="n"/>
      <c r="L744" s="36" t="n"/>
      <c r="M744" s="33" t="n"/>
      <c r="N744" s="22">
        <f>IF(OR(H744="",L744="Cancelled"),"",IF(N(E744)=0,1,E744)*IFERROR(INDEX(Products!$E$6:$E$105,MATCH(D744,Products!$B$6:$B$105,0)),0))</f>
        <v/>
      </c>
      <c r="O744" s="35" t="n"/>
      <c r="P744" s="22">
        <f>IF(OR(H744="",L744="Cancelled"),"",ROUND(IFERROR(H744*INDEX(Settings!$C$6:$C$15,MATCH(M744,Settings!$B$6:$B$15,0))+INDEX(Settings!$D$6:$D$15,MATCH(M744,Settings!$B$6:$B$15,0)),0),2))</f>
        <v/>
      </c>
      <c r="Q744" s="28">
        <f>IF(OR(H744="",L744="Cancelled"),"",H744-N(N744)-N(O744)-N(P744))</f>
        <v/>
      </c>
      <c r="R744" s="19">
        <f>IF(OR(B744="",K744=""),"",IF(OR(L744="Sent",L744="Picked up"),"Done",IF(L744="Cancelled","Cancelled",IF(K744&lt;TODAY(),"Late by "&amp;(TODAY()-K744)&amp;IF((TODAY()-K744)=1," day"," days"),IF(K744=TODAY(),"Due today","Due in "&amp;(K744-TODAY())&amp;IF((K744-TODAY())=1," day"," days"))))))</f>
        <v/>
      </c>
      <c r="S744" s="33" t="n"/>
      <c r="T744" s="1">
        <f>IF(AND(B744&lt;&gt;"",K744&lt;&gt;"",L744&lt;&gt;"Sent",L744&lt;&gt;"Picked up",L744&lt;&gt;"Cancelled"),K744+ROW()/10000000,"")</f>
        <v/>
      </c>
      <c r="U744">
        <f>IF(OR(B744="",C744=""),"",B744+ROW()/10000000)</f>
        <v/>
      </c>
      <c r="V744">
        <f>IF(U744="","",IF(COUNTIFS(Orders!$C$6:$C$1005,C744,Orders!$U$6:$U$1005,"&gt;"&amp;U744)=0,1,0))</f>
        <v/>
      </c>
      <c r="W744">
        <f>IF(AND(B744&lt;&gt;"",K744&lt;&gt;"",L744&lt;&gt;"Sent",L744&lt;&gt;"Picked up",L744&lt;&gt;"Cancelled"),IF(N(E744)=0,1,E744),0)</f>
        <v/>
      </c>
      <c r="X744">
        <f>IF(OR(B744="",D744=""),"",IF(N(E744)=0,1,E744))</f>
        <v/>
      </c>
    </row>
    <row r="745">
      <c r="A745" s="1" t="n"/>
      <c r="B745" s="31" t="n"/>
      <c r="C745" s="32" t="n"/>
      <c r="D745" s="33" t="n"/>
      <c r="E745" s="34" t="n"/>
      <c r="F745" s="35" t="n"/>
      <c r="G745" s="35" t="n"/>
      <c r="H745" s="30">
        <f>IF(OR(B745="",D745=""),"",IF(N(E745)=0,1,E745)*IFERROR(INDEX(Products!$C$6:$C$105,MATCH(D745,Products!$B$6:$B$105,0)),0)+N(F745)+N(G745))</f>
        <v/>
      </c>
      <c r="I745" s="35" t="n"/>
      <c r="J745" s="30">
        <f>IF(OR(H745="",L745="Cancelled"),"",IF(H745-N(I745)&gt;0.005,H745-N(I745),""))</f>
        <v/>
      </c>
      <c r="K745" s="31" t="n"/>
      <c r="L745" s="36" t="n"/>
      <c r="M745" s="33" t="n"/>
      <c r="N745" s="22">
        <f>IF(OR(H745="",L745="Cancelled"),"",IF(N(E745)=0,1,E745)*IFERROR(INDEX(Products!$E$6:$E$105,MATCH(D745,Products!$B$6:$B$105,0)),0))</f>
        <v/>
      </c>
      <c r="O745" s="35" t="n"/>
      <c r="P745" s="22">
        <f>IF(OR(H745="",L745="Cancelled"),"",ROUND(IFERROR(H745*INDEX(Settings!$C$6:$C$15,MATCH(M745,Settings!$B$6:$B$15,0))+INDEX(Settings!$D$6:$D$15,MATCH(M745,Settings!$B$6:$B$15,0)),0),2))</f>
        <v/>
      </c>
      <c r="Q745" s="28">
        <f>IF(OR(H745="",L745="Cancelled"),"",H745-N(N745)-N(O745)-N(P745))</f>
        <v/>
      </c>
      <c r="R745" s="19">
        <f>IF(OR(B745="",K745=""),"",IF(OR(L745="Sent",L745="Picked up"),"Done",IF(L745="Cancelled","Cancelled",IF(K745&lt;TODAY(),"Late by "&amp;(TODAY()-K745)&amp;IF((TODAY()-K745)=1," day"," days"),IF(K745=TODAY(),"Due today","Due in "&amp;(K745-TODAY())&amp;IF((K745-TODAY())=1," day"," days"))))))</f>
        <v/>
      </c>
      <c r="S745" s="33" t="n"/>
      <c r="T745" s="1">
        <f>IF(AND(B745&lt;&gt;"",K745&lt;&gt;"",L745&lt;&gt;"Sent",L745&lt;&gt;"Picked up",L745&lt;&gt;"Cancelled"),K745+ROW()/10000000,"")</f>
        <v/>
      </c>
      <c r="U745">
        <f>IF(OR(B745="",C745=""),"",B745+ROW()/10000000)</f>
        <v/>
      </c>
      <c r="V745">
        <f>IF(U745="","",IF(COUNTIFS(Orders!$C$6:$C$1005,C745,Orders!$U$6:$U$1005,"&gt;"&amp;U745)=0,1,0))</f>
        <v/>
      </c>
      <c r="W745">
        <f>IF(AND(B745&lt;&gt;"",K745&lt;&gt;"",L745&lt;&gt;"Sent",L745&lt;&gt;"Picked up",L745&lt;&gt;"Cancelled"),IF(N(E745)=0,1,E745),0)</f>
        <v/>
      </c>
      <c r="X745">
        <f>IF(OR(B745="",D745=""),"",IF(N(E745)=0,1,E745))</f>
        <v/>
      </c>
    </row>
    <row r="746">
      <c r="A746" s="1" t="n"/>
      <c r="B746" s="31" t="n"/>
      <c r="C746" s="32" t="n"/>
      <c r="D746" s="33" t="n"/>
      <c r="E746" s="34" t="n"/>
      <c r="F746" s="35" t="n"/>
      <c r="G746" s="35" t="n"/>
      <c r="H746" s="30">
        <f>IF(OR(B746="",D746=""),"",IF(N(E746)=0,1,E746)*IFERROR(INDEX(Products!$C$6:$C$105,MATCH(D746,Products!$B$6:$B$105,0)),0)+N(F746)+N(G746))</f>
        <v/>
      </c>
      <c r="I746" s="35" t="n"/>
      <c r="J746" s="30">
        <f>IF(OR(H746="",L746="Cancelled"),"",IF(H746-N(I746)&gt;0.005,H746-N(I746),""))</f>
        <v/>
      </c>
      <c r="K746" s="31" t="n"/>
      <c r="L746" s="36" t="n"/>
      <c r="M746" s="33" t="n"/>
      <c r="N746" s="22">
        <f>IF(OR(H746="",L746="Cancelled"),"",IF(N(E746)=0,1,E746)*IFERROR(INDEX(Products!$E$6:$E$105,MATCH(D746,Products!$B$6:$B$105,0)),0))</f>
        <v/>
      </c>
      <c r="O746" s="35" t="n"/>
      <c r="P746" s="22">
        <f>IF(OR(H746="",L746="Cancelled"),"",ROUND(IFERROR(H746*INDEX(Settings!$C$6:$C$15,MATCH(M746,Settings!$B$6:$B$15,0))+INDEX(Settings!$D$6:$D$15,MATCH(M746,Settings!$B$6:$B$15,0)),0),2))</f>
        <v/>
      </c>
      <c r="Q746" s="28">
        <f>IF(OR(H746="",L746="Cancelled"),"",H746-N(N746)-N(O746)-N(P746))</f>
        <v/>
      </c>
      <c r="R746" s="19">
        <f>IF(OR(B746="",K746=""),"",IF(OR(L746="Sent",L746="Picked up"),"Done",IF(L746="Cancelled","Cancelled",IF(K746&lt;TODAY(),"Late by "&amp;(TODAY()-K746)&amp;IF((TODAY()-K746)=1," day"," days"),IF(K746=TODAY(),"Due today","Due in "&amp;(K746-TODAY())&amp;IF((K746-TODAY())=1," day"," days"))))))</f>
        <v/>
      </c>
      <c r="S746" s="33" t="n"/>
      <c r="T746" s="1">
        <f>IF(AND(B746&lt;&gt;"",K746&lt;&gt;"",L746&lt;&gt;"Sent",L746&lt;&gt;"Picked up",L746&lt;&gt;"Cancelled"),K746+ROW()/10000000,"")</f>
        <v/>
      </c>
      <c r="U746">
        <f>IF(OR(B746="",C746=""),"",B746+ROW()/10000000)</f>
        <v/>
      </c>
      <c r="V746">
        <f>IF(U746="","",IF(COUNTIFS(Orders!$C$6:$C$1005,C746,Orders!$U$6:$U$1005,"&gt;"&amp;U746)=0,1,0))</f>
        <v/>
      </c>
      <c r="W746">
        <f>IF(AND(B746&lt;&gt;"",K746&lt;&gt;"",L746&lt;&gt;"Sent",L746&lt;&gt;"Picked up",L746&lt;&gt;"Cancelled"),IF(N(E746)=0,1,E746),0)</f>
        <v/>
      </c>
      <c r="X746">
        <f>IF(OR(B746="",D746=""),"",IF(N(E746)=0,1,E746))</f>
        <v/>
      </c>
    </row>
    <row r="747">
      <c r="A747" s="1" t="n"/>
      <c r="B747" s="31" t="n"/>
      <c r="C747" s="32" t="n"/>
      <c r="D747" s="33" t="n"/>
      <c r="E747" s="34" t="n"/>
      <c r="F747" s="35" t="n"/>
      <c r="G747" s="35" t="n"/>
      <c r="H747" s="30">
        <f>IF(OR(B747="",D747=""),"",IF(N(E747)=0,1,E747)*IFERROR(INDEX(Products!$C$6:$C$105,MATCH(D747,Products!$B$6:$B$105,0)),0)+N(F747)+N(G747))</f>
        <v/>
      </c>
      <c r="I747" s="35" t="n"/>
      <c r="J747" s="30">
        <f>IF(OR(H747="",L747="Cancelled"),"",IF(H747-N(I747)&gt;0.005,H747-N(I747),""))</f>
        <v/>
      </c>
      <c r="K747" s="31" t="n"/>
      <c r="L747" s="36" t="n"/>
      <c r="M747" s="33" t="n"/>
      <c r="N747" s="22">
        <f>IF(OR(H747="",L747="Cancelled"),"",IF(N(E747)=0,1,E747)*IFERROR(INDEX(Products!$E$6:$E$105,MATCH(D747,Products!$B$6:$B$105,0)),0))</f>
        <v/>
      </c>
      <c r="O747" s="35" t="n"/>
      <c r="P747" s="22">
        <f>IF(OR(H747="",L747="Cancelled"),"",ROUND(IFERROR(H747*INDEX(Settings!$C$6:$C$15,MATCH(M747,Settings!$B$6:$B$15,0))+INDEX(Settings!$D$6:$D$15,MATCH(M747,Settings!$B$6:$B$15,0)),0),2))</f>
        <v/>
      </c>
      <c r="Q747" s="28">
        <f>IF(OR(H747="",L747="Cancelled"),"",H747-N(N747)-N(O747)-N(P747))</f>
        <v/>
      </c>
      <c r="R747" s="19">
        <f>IF(OR(B747="",K747=""),"",IF(OR(L747="Sent",L747="Picked up"),"Done",IF(L747="Cancelled","Cancelled",IF(K747&lt;TODAY(),"Late by "&amp;(TODAY()-K747)&amp;IF((TODAY()-K747)=1," day"," days"),IF(K747=TODAY(),"Due today","Due in "&amp;(K747-TODAY())&amp;IF((K747-TODAY())=1," day"," days"))))))</f>
        <v/>
      </c>
      <c r="S747" s="33" t="n"/>
      <c r="T747" s="1">
        <f>IF(AND(B747&lt;&gt;"",K747&lt;&gt;"",L747&lt;&gt;"Sent",L747&lt;&gt;"Picked up",L747&lt;&gt;"Cancelled"),K747+ROW()/10000000,"")</f>
        <v/>
      </c>
      <c r="U747">
        <f>IF(OR(B747="",C747=""),"",B747+ROW()/10000000)</f>
        <v/>
      </c>
      <c r="V747">
        <f>IF(U747="","",IF(COUNTIFS(Orders!$C$6:$C$1005,C747,Orders!$U$6:$U$1005,"&gt;"&amp;U747)=0,1,0))</f>
        <v/>
      </c>
      <c r="W747">
        <f>IF(AND(B747&lt;&gt;"",K747&lt;&gt;"",L747&lt;&gt;"Sent",L747&lt;&gt;"Picked up",L747&lt;&gt;"Cancelled"),IF(N(E747)=0,1,E747),0)</f>
        <v/>
      </c>
      <c r="X747">
        <f>IF(OR(B747="",D747=""),"",IF(N(E747)=0,1,E747))</f>
        <v/>
      </c>
    </row>
    <row r="748">
      <c r="A748" s="1" t="n"/>
      <c r="B748" s="31" t="n"/>
      <c r="C748" s="32" t="n"/>
      <c r="D748" s="33" t="n"/>
      <c r="E748" s="34" t="n"/>
      <c r="F748" s="35" t="n"/>
      <c r="G748" s="35" t="n"/>
      <c r="H748" s="30">
        <f>IF(OR(B748="",D748=""),"",IF(N(E748)=0,1,E748)*IFERROR(INDEX(Products!$C$6:$C$105,MATCH(D748,Products!$B$6:$B$105,0)),0)+N(F748)+N(G748))</f>
        <v/>
      </c>
      <c r="I748" s="35" t="n"/>
      <c r="J748" s="30">
        <f>IF(OR(H748="",L748="Cancelled"),"",IF(H748-N(I748)&gt;0.005,H748-N(I748),""))</f>
        <v/>
      </c>
      <c r="K748" s="31" t="n"/>
      <c r="L748" s="36" t="n"/>
      <c r="M748" s="33" t="n"/>
      <c r="N748" s="22">
        <f>IF(OR(H748="",L748="Cancelled"),"",IF(N(E748)=0,1,E748)*IFERROR(INDEX(Products!$E$6:$E$105,MATCH(D748,Products!$B$6:$B$105,0)),0))</f>
        <v/>
      </c>
      <c r="O748" s="35" t="n"/>
      <c r="P748" s="22">
        <f>IF(OR(H748="",L748="Cancelled"),"",ROUND(IFERROR(H748*INDEX(Settings!$C$6:$C$15,MATCH(M748,Settings!$B$6:$B$15,0))+INDEX(Settings!$D$6:$D$15,MATCH(M748,Settings!$B$6:$B$15,0)),0),2))</f>
        <v/>
      </c>
      <c r="Q748" s="28">
        <f>IF(OR(H748="",L748="Cancelled"),"",H748-N(N748)-N(O748)-N(P748))</f>
        <v/>
      </c>
      <c r="R748" s="19">
        <f>IF(OR(B748="",K748=""),"",IF(OR(L748="Sent",L748="Picked up"),"Done",IF(L748="Cancelled","Cancelled",IF(K748&lt;TODAY(),"Late by "&amp;(TODAY()-K748)&amp;IF((TODAY()-K748)=1," day"," days"),IF(K748=TODAY(),"Due today","Due in "&amp;(K748-TODAY())&amp;IF((K748-TODAY())=1," day"," days"))))))</f>
        <v/>
      </c>
      <c r="S748" s="33" t="n"/>
      <c r="T748" s="1">
        <f>IF(AND(B748&lt;&gt;"",K748&lt;&gt;"",L748&lt;&gt;"Sent",L748&lt;&gt;"Picked up",L748&lt;&gt;"Cancelled"),K748+ROW()/10000000,"")</f>
        <v/>
      </c>
      <c r="U748">
        <f>IF(OR(B748="",C748=""),"",B748+ROW()/10000000)</f>
        <v/>
      </c>
      <c r="V748">
        <f>IF(U748="","",IF(COUNTIFS(Orders!$C$6:$C$1005,C748,Orders!$U$6:$U$1005,"&gt;"&amp;U748)=0,1,0))</f>
        <v/>
      </c>
      <c r="W748">
        <f>IF(AND(B748&lt;&gt;"",K748&lt;&gt;"",L748&lt;&gt;"Sent",L748&lt;&gt;"Picked up",L748&lt;&gt;"Cancelled"),IF(N(E748)=0,1,E748),0)</f>
        <v/>
      </c>
      <c r="X748">
        <f>IF(OR(B748="",D748=""),"",IF(N(E748)=0,1,E748))</f>
        <v/>
      </c>
    </row>
    <row r="749">
      <c r="A749" s="1" t="n"/>
      <c r="B749" s="31" t="n"/>
      <c r="C749" s="32" t="n"/>
      <c r="D749" s="33" t="n"/>
      <c r="E749" s="34" t="n"/>
      <c r="F749" s="35" t="n"/>
      <c r="G749" s="35" t="n"/>
      <c r="H749" s="30">
        <f>IF(OR(B749="",D749=""),"",IF(N(E749)=0,1,E749)*IFERROR(INDEX(Products!$C$6:$C$105,MATCH(D749,Products!$B$6:$B$105,0)),0)+N(F749)+N(G749))</f>
        <v/>
      </c>
      <c r="I749" s="35" t="n"/>
      <c r="J749" s="30">
        <f>IF(OR(H749="",L749="Cancelled"),"",IF(H749-N(I749)&gt;0.005,H749-N(I749),""))</f>
        <v/>
      </c>
      <c r="K749" s="31" t="n"/>
      <c r="L749" s="36" t="n"/>
      <c r="M749" s="33" t="n"/>
      <c r="N749" s="22">
        <f>IF(OR(H749="",L749="Cancelled"),"",IF(N(E749)=0,1,E749)*IFERROR(INDEX(Products!$E$6:$E$105,MATCH(D749,Products!$B$6:$B$105,0)),0))</f>
        <v/>
      </c>
      <c r="O749" s="35" t="n"/>
      <c r="P749" s="22">
        <f>IF(OR(H749="",L749="Cancelled"),"",ROUND(IFERROR(H749*INDEX(Settings!$C$6:$C$15,MATCH(M749,Settings!$B$6:$B$15,0))+INDEX(Settings!$D$6:$D$15,MATCH(M749,Settings!$B$6:$B$15,0)),0),2))</f>
        <v/>
      </c>
      <c r="Q749" s="28">
        <f>IF(OR(H749="",L749="Cancelled"),"",H749-N(N749)-N(O749)-N(P749))</f>
        <v/>
      </c>
      <c r="R749" s="19">
        <f>IF(OR(B749="",K749=""),"",IF(OR(L749="Sent",L749="Picked up"),"Done",IF(L749="Cancelled","Cancelled",IF(K749&lt;TODAY(),"Late by "&amp;(TODAY()-K749)&amp;IF((TODAY()-K749)=1," day"," days"),IF(K749=TODAY(),"Due today","Due in "&amp;(K749-TODAY())&amp;IF((K749-TODAY())=1," day"," days"))))))</f>
        <v/>
      </c>
      <c r="S749" s="33" t="n"/>
      <c r="T749" s="1">
        <f>IF(AND(B749&lt;&gt;"",K749&lt;&gt;"",L749&lt;&gt;"Sent",L749&lt;&gt;"Picked up",L749&lt;&gt;"Cancelled"),K749+ROW()/10000000,"")</f>
        <v/>
      </c>
      <c r="U749">
        <f>IF(OR(B749="",C749=""),"",B749+ROW()/10000000)</f>
        <v/>
      </c>
      <c r="V749">
        <f>IF(U749="","",IF(COUNTIFS(Orders!$C$6:$C$1005,C749,Orders!$U$6:$U$1005,"&gt;"&amp;U749)=0,1,0))</f>
        <v/>
      </c>
      <c r="W749">
        <f>IF(AND(B749&lt;&gt;"",K749&lt;&gt;"",L749&lt;&gt;"Sent",L749&lt;&gt;"Picked up",L749&lt;&gt;"Cancelled"),IF(N(E749)=0,1,E749),0)</f>
        <v/>
      </c>
      <c r="X749">
        <f>IF(OR(B749="",D749=""),"",IF(N(E749)=0,1,E749))</f>
        <v/>
      </c>
    </row>
    <row r="750">
      <c r="A750" s="1" t="n"/>
      <c r="B750" s="31" t="n"/>
      <c r="C750" s="32" t="n"/>
      <c r="D750" s="33" t="n"/>
      <c r="E750" s="34" t="n"/>
      <c r="F750" s="35" t="n"/>
      <c r="G750" s="35" t="n"/>
      <c r="H750" s="30">
        <f>IF(OR(B750="",D750=""),"",IF(N(E750)=0,1,E750)*IFERROR(INDEX(Products!$C$6:$C$105,MATCH(D750,Products!$B$6:$B$105,0)),0)+N(F750)+N(G750))</f>
        <v/>
      </c>
      <c r="I750" s="35" t="n"/>
      <c r="J750" s="30">
        <f>IF(OR(H750="",L750="Cancelled"),"",IF(H750-N(I750)&gt;0.005,H750-N(I750),""))</f>
        <v/>
      </c>
      <c r="K750" s="31" t="n"/>
      <c r="L750" s="36" t="n"/>
      <c r="M750" s="33" t="n"/>
      <c r="N750" s="22">
        <f>IF(OR(H750="",L750="Cancelled"),"",IF(N(E750)=0,1,E750)*IFERROR(INDEX(Products!$E$6:$E$105,MATCH(D750,Products!$B$6:$B$105,0)),0))</f>
        <v/>
      </c>
      <c r="O750" s="35" t="n"/>
      <c r="P750" s="22">
        <f>IF(OR(H750="",L750="Cancelled"),"",ROUND(IFERROR(H750*INDEX(Settings!$C$6:$C$15,MATCH(M750,Settings!$B$6:$B$15,0))+INDEX(Settings!$D$6:$D$15,MATCH(M750,Settings!$B$6:$B$15,0)),0),2))</f>
        <v/>
      </c>
      <c r="Q750" s="28">
        <f>IF(OR(H750="",L750="Cancelled"),"",H750-N(N750)-N(O750)-N(P750))</f>
        <v/>
      </c>
      <c r="R750" s="19">
        <f>IF(OR(B750="",K750=""),"",IF(OR(L750="Sent",L750="Picked up"),"Done",IF(L750="Cancelled","Cancelled",IF(K750&lt;TODAY(),"Late by "&amp;(TODAY()-K750)&amp;IF((TODAY()-K750)=1," day"," days"),IF(K750=TODAY(),"Due today","Due in "&amp;(K750-TODAY())&amp;IF((K750-TODAY())=1," day"," days"))))))</f>
        <v/>
      </c>
      <c r="S750" s="33" t="n"/>
      <c r="T750" s="1">
        <f>IF(AND(B750&lt;&gt;"",K750&lt;&gt;"",L750&lt;&gt;"Sent",L750&lt;&gt;"Picked up",L750&lt;&gt;"Cancelled"),K750+ROW()/10000000,"")</f>
        <v/>
      </c>
      <c r="U750">
        <f>IF(OR(B750="",C750=""),"",B750+ROW()/10000000)</f>
        <v/>
      </c>
      <c r="V750">
        <f>IF(U750="","",IF(COUNTIFS(Orders!$C$6:$C$1005,C750,Orders!$U$6:$U$1005,"&gt;"&amp;U750)=0,1,0))</f>
        <v/>
      </c>
      <c r="W750">
        <f>IF(AND(B750&lt;&gt;"",K750&lt;&gt;"",L750&lt;&gt;"Sent",L750&lt;&gt;"Picked up",L750&lt;&gt;"Cancelled"),IF(N(E750)=0,1,E750),0)</f>
        <v/>
      </c>
      <c r="X750">
        <f>IF(OR(B750="",D750=""),"",IF(N(E750)=0,1,E750))</f>
        <v/>
      </c>
    </row>
    <row r="751">
      <c r="A751" s="1" t="n"/>
      <c r="B751" s="31" t="n"/>
      <c r="C751" s="32" t="n"/>
      <c r="D751" s="33" t="n"/>
      <c r="E751" s="34" t="n"/>
      <c r="F751" s="35" t="n"/>
      <c r="G751" s="35" t="n"/>
      <c r="H751" s="30">
        <f>IF(OR(B751="",D751=""),"",IF(N(E751)=0,1,E751)*IFERROR(INDEX(Products!$C$6:$C$105,MATCH(D751,Products!$B$6:$B$105,0)),0)+N(F751)+N(G751))</f>
        <v/>
      </c>
      <c r="I751" s="35" t="n"/>
      <c r="J751" s="30">
        <f>IF(OR(H751="",L751="Cancelled"),"",IF(H751-N(I751)&gt;0.005,H751-N(I751),""))</f>
        <v/>
      </c>
      <c r="K751" s="31" t="n"/>
      <c r="L751" s="36" t="n"/>
      <c r="M751" s="33" t="n"/>
      <c r="N751" s="22">
        <f>IF(OR(H751="",L751="Cancelled"),"",IF(N(E751)=0,1,E751)*IFERROR(INDEX(Products!$E$6:$E$105,MATCH(D751,Products!$B$6:$B$105,0)),0))</f>
        <v/>
      </c>
      <c r="O751" s="35" t="n"/>
      <c r="P751" s="22">
        <f>IF(OR(H751="",L751="Cancelled"),"",ROUND(IFERROR(H751*INDEX(Settings!$C$6:$C$15,MATCH(M751,Settings!$B$6:$B$15,0))+INDEX(Settings!$D$6:$D$15,MATCH(M751,Settings!$B$6:$B$15,0)),0),2))</f>
        <v/>
      </c>
      <c r="Q751" s="28">
        <f>IF(OR(H751="",L751="Cancelled"),"",H751-N(N751)-N(O751)-N(P751))</f>
        <v/>
      </c>
      <c r="R751" s="19">
        <f>IF(OR(B751="",K751=""),"",IF(OR(L751="Sent",L751="Picked up"),"Done",IF(L751="Cancelled","Cancelled",IF(K751&lt;TODAY(),"Late by "&amp;(TODAY()-K751)&amp;IF((TODAY()-K751)=1," day"," days"),IF(K751=TODAY(),"Due today","Due in "&amp;(K751-TODAY())&amp;IF((K751-TODAY())=1," day"," days"))))))</f>
        <v/>
      </c>
      <c r="S751" s="33" t="n"/>
      <c r="T751" s="1">
        <f>IF(AND(B751&lt;&gt;"",K751&lt;&gt;"",L751&lt;&gt;"Sent",L751&lt;&gt;"Picked up",L751&lt;&gt;"Cancelled"),K751+ROW()/10000000,"")</f>
        <v/>
      </c>
      <c r="U751">
        <f>IF(OR(B751="",C751=""),"",B751+ROW()/10000000)</f>
        <v/>
      </c>
      <c r="V751">
        <f>IF(U751="","",IF(COUNTIFS(Orders!$C$6:$C$1005,C751,Orders!$U$6:$U$1005,"&gt;"&amp;U751)=0,1,0))</f>
        <v/>
      </c>
      <c r="W751">
        <f>IF(AND(B751&lt;&gt;"",K751&lt;&gt;"",L751&lt;&gt;"Sent",L751&lt;&gt;"Picked up",L751&lt;&gt;"Cancelled"),IF(N(E751)=0,1,E751),0)</f>
        <v/>
      </c>
      <c r="X751">
        <f>IF(OR(B751="",D751=""),"",IF(N(E751)=0,1,E751))</f>
        <v/>
      </c>
    </row>
    <row r="752">
      <c r="A752" s="1" t="n"/>
      <c r="B752" s="31" t="n"/>
      <c r="C752" s="32" t="n"/>
      <c r="D752" s="33" t="n"/>
      <c r="E752" s="34" t="n"/>
      <c r="F752" s="35" t="n"/>
      <c r="G752" s="35" t="n"/>
      <c r="H752" s="30">
        <f>IF(OR(B752="",D752=""),"",IF(N(E752)=0,1,E752)*IFERROR(INDEX(Products!$C$6:$C$105,MATCH(D752,Products!$B$6:$B$105,0)),0)+N(F752)+N(G752))</f>
        <v/>
      </c>
      <c r="I752" s="35" t="n"/>
      <c r="J752" s="30">
        <f>IF(OR(H752="",L752="Cancelled"),"",IF(H752-N(I752)&gt;0.005,H752-N(I752),""))</f>
        <v/>
      </c>
      <c r="K752" s="31" t="n"/>
      <c r="L752" s="36" t="n"/>
      <c r="M752" s="33" t="n"/>
      <c r="N752" s="22">
        <f>IF(OR(H752="",L752="Cancelled"),"",IF(N(E752)=0,1,E752)*IFERROR(INDEX(Products!$E$6:$E$105,MATCH(D752,Products!$B$6:$B$105,0)),0))</f>
        <v/>
      </c>
      <c r="O752" s="35" t="n"/>
      <c r="P752" s="22">
        <f>IF(OR(H752="",L752="Cancelled"),"",ROUND(IFERROR(H752*INDEX(Settings!$C$6:$C$15,MATCH(M752,Settings!$B$6:$B$15,0))+INDEX(Settings!$D$6:$D$15,MATCH(M752,Settings!$B$6:$B$15,0)),0),2))</f>
        <v/>
      </c>
      <c r="Q752" s="28">
        <f>IF(OR(H752="",L752="Cancelled"),"",H752-N(N752)-N(O752)-N(P752))</f>
        <v/>
      </c>
      <c r="R752" s="19">
        <f>IF(OR(B752="",K752=""),"",IF(OR(L752="Sent",L752="Picked up"),"Done",IF(L752="Cancelled","Cancelled",IF(K752&lt;TODAY(),"Late by "&amp;(TODAY()-K752)&amp;IF((TODAY()-K752)=1," day"," days"),IF(K752=TODAY(),"Due today","Due in "&amp;(K752-TODAY())&amp;IF((K752-TODAY())=1," day"," days"))))))</f>
        <v/>
      </c>
      <c r="S752" s="33" t="n"/>
      <c r="T752" s="1">
        <f>IF(AND(B752&lt;&gt;"",K752&lt;&gt;"",L752&lt;&gt;"Sent",L752&lt;&gt;"Picked up",L752&lt;&gt;"Cancelled"),K752+ROW()/10000000,"")</f>
        <v/>
      </c>
      <c r="U752">
        <f>IF(OR(B752="",C752=""),"",B752+ROW()/10000000)</f>
        <v/>
      </c>
      <c r="V752">
        <f>IF(U752="","",IF(COUNTIFS(Orders!$C$6:$C$1005,C752,Orders!$U$6:$U$1005,"&gt;"&amp;U752)=0,1,0))</f>
        <v/>
      </c>
      <c r="W752">
        <f>IF(AND(B752&lt;&gt;"",K752&lt;&gt;"",L752&lt;&gt;"Sent",L752&lt;&gt;"Picked up",L752&lt;&gt;"Cancelled"),IF(N(E752)=0,1,E752),0)</f>
        <v/>
      </c>
      <c r="X752">
        <f>IF(OR(B752="",D752=""),"",IF(N(E752)=0,1,E752))</f>
        <v/>
      </c>
    </row>
    <row r="753">
      <c r="A753" s="1" t="n"/>
      <c r="B753" s="31" t="n"/>
      <c r="C753" s="32" t="n"/>
      <c r="D753" s="33" t="n"/>
      <c r="E753" s="34" t="n"/>
      <c r="F753" s="35" t="n"/>
      <c r="G753" s="35" t="n"/>
      <c r="H753" s="30">
        <f>IF(OR(B753="",D753=""),"",IF(N(E753)=0,1,E753)*IFERROR(INDEX(Products!$C$6:$C$105,MATCH(D753,Products!$B$6:$B$105,0)),0)+N(F753)+N(G753))</f>
        <v/>
      </c>
      <c r="I753" s="35" t="n"/>
      <c r="J753" s="30">
        <f>IF(OR(H753="",L753="Cancelled"),"",IF(H753-N(I753)&gt;0.005,H753-N(I753),""))</f>
        <v/>
      </c>
      <c r="K753" s="31" t="n"/>
      <c r="L753" s="36" t="n"/>
      <c r="M753" s="33" t="n"/>
      <c r="N753" s="22">
        <f>IF(OR(H753="",L753="Cancelled"),"",IF(N(E753)=0,1,E753)*IFERROR(INDEX(Products!$E$6:$E$105,MATCH(D753,Products!$B$6:$B$105,0)),0))</f>
        <v/>
      </c>
      <c r="O753" s="35" t="n"/>
      <c r="P753" s="22">
        <f>IF(OR(H753="",L753="Cancelled"),"",ROUND(IFERROR(H753*INDEX(Settings!$C$6:$C$15,MATCH(M753,Settings!$B$6:$B$15,0))+INDEX(Settings!$D$6:$D$15,MATCH(M753,Settings!$B$6:$B$15,0)),0),2))</f>
        <v/>
      </c>
      <c r="Q753" s="28">
        <f>IF(OR(H753="",L753="Cancelled"),"",H753-N(N753)-N(O753)-N(P753))</f>
        <v/>
      </c>
      <c r="R753" s="19">
        <f>IF(OR(B753="",K753=""),"",IF(OR(L753="Sent",L753="Picked up"),"Done",IF(L753="Cancelled","Cancelled",IF(K753&lt;TODAY(),"Late by "&amp;(TODAY()-K753)&amp;IF((TODAY()-K753)=1," day"," days"),IF(K753=TODAY(),"Due today","Due in "&amp;(K753-TODAY())&amp;IF((K753-TODAY())=1," day"," days"))))))</f>
        <v/>
      </c>
      <c r="S753" s="33" t="n"/>
      <c r="T753" s="1">
        <f>IF(AND(B753&lt;&gt;"",K753&lt;&gt;"",L753&lt;&gt;"Sent",L753&lt;&gt;"Picked up",L753&lt;&gt;"Cancelled"),K753+ROW()/10000000,"")</f>
        <v/>
      </c>
      <c r="U753">
        <f>IF(OR(B753="",C753=""),"",B753+ROW()/10000000)</f>
        <v/>
      </c>
      <c r="V753">
        <f>IF(U753="","",IF(COUNTIFS(Orders!$C$6:$C$1005,C753,Orders!$U$6:$U$1005,"&gt;"&amp;U753)=0,1,0))</f>
        <v/>
      </c>
      <c r="W753">
        <f>IF(AND(B753&lt;&gt;"",K753&lt;&gt;"",L753&lt;&gt;"Sent",L753&lt;&gt;"Picked up",L753&lt;&gt;"Cancelled"),IF(N(E753)=0,1,E753),0)</f>
        <v/>
      </c>
      <c r="X753">
        <f>IF(OR(B753="",D753=""),"",IF(N(E753)=0,1,E753))</f>
        <v/>
      </c>
    </row>
    <row r="754">
      <c r="A754" s="1" t="n"/>
      <c r="B754" s="31" t="n"/>
      <c r="C754" s="32" t="n"/>
      <c r="D754" s="33" t="n"/>
      <c r="E754" s="34" t="n"/>
      <c r="F754" s="35" t="n"/>
      <c r="G754" s="35" t="n"/>
      <c r="H754" s="30">
        <f>IF(OR(B754="",D754=""),"",IF(N(E754)=0,1,E754)*IFERROR(INDEX(Products!$C$6:$C$105,MATCH(D754,Products!$B$6:$B$105,0)),0)+N(F754)+N(G754))</f>
        <v/>
      </c>
      <c r="I754" s="35" t="n"/>
      <c r="J754" s="30">
        <f>IF(OR(H754="",L754="Cancelled"),"",IF(H754-N(I754)&gt;0.005,H754-N(I754),""))</f>
        <v/>
      </c>
      <c r="K754" s="31" t="n"/>
      <c r="L754" s="36" t="n"/>
      <c r="M754" s="33" t="n"/>
      <c r="N754" s="22">
        <f>IF(OR(H754="",L754="Cancelled"),"",IF(N(E754)=0,1,E754)*IFERROR(INDEX(Products!$E$6:$E$105,MATCH(D754,Products!$B$6:$B$105,0)),0))</f>
        <v/>
      </c>
      <c r="O754" s="35" t="n"/>
      <c r="P754" s="22">
        <f>IF(OR(H754="",L754="Cancelled"),"",ROUND(IFERROR(H754*INDEX(Settings!$C$6:$C$15,MATCH(M754,Settings!$B$6:$B$15,0))+INDEX(Settings!$D$6:$D$15,MATCH(M754,Settings!$B$6:$B$15,0)),0),2))</f>
        <v/>
      </c>
      <c r="Q754" s="28">
        <f>IF(OR(H754="",L754="Cancelled"),"",H754-N(N754)-N(O754)-N(P754))</f>
        <v/>
      </c>
      <c r="R754" s="19">
        <f>IF(OR(B754="",K754=""),"",IF(OR(L754="Sent",L754="Picked up"),"Done",IF(L754="Cancelled","Cancelled",IF(K754&lt;TODAY(),"Late by "&amp;(TODAY()-K754)&amp;IF((TODAY()-K754)=1," day"," days"),IF(K754=TODAY(),"Due today","Due in "&amp;(K754-TODAY())&amp;IF((K754-TODAY())=1," day"," days"))))))</f>
        <v/>
      </c>
      <c r="S754" s="33" t="n"/>
      <c r="T754" s="1">
        <f>IF(AND(B754&lt;&gt;"",K754&lt;&gt;"",L754&lt;&gt;"Sent",L754&lt;&gt;"Picked up",L754&lt;&gt;"Cancelled"),K754+ROW()/10000000,"")</f>
        <v/>
      </c>
      <c r="U754">
        <f>IF(OR(B754="",C754=""),"",B754+ROW()/10000000)</f>
        <v/>
      </c>
      <c r="V754">
        <f>IF(U754="","",IF(COUNTIFS(Orders!$C$6:$C$1005,C754,Orders!$U$6:$U$1005,"&gt;"&amp;U754)=0,1,0))</f>
        <v/>
      </c>
      <c r="W754">
        <f>IF(AND(B754&lt;&gt;"",K754&lt;&gt;"",L754&lt;&gt;"Sent",L754&lt;&gt;"Picked up",L754&lt;&gt;"Cancelled"),IF(N(E754)=0,1,E754),0)</f>
        <v/>
      </c>
      <c r="X754">
        <f>IF(OR(B754="",D754=""),"",IF(N(E754)=0,1,E754))</f>
        <v/>
      </c>
    </row>
    <row r="755">
      <c r="A755" s="1" t="n"/>
      <c r="B755" s="31" t="n"/>
      <c r="C755" s="32" t="n"/>
      <c r="D755" s="33" t="n"/>
      <c r="E755" s="34" t="n"/>
      <c r="F755" s="35" t="n"/>
      <c r="G755" s="35" t="n"/>
      <c r="H755" s="30">
        <f>IF(OR(B755="",D755=""),"",IF(N(E755)=0,1,E755)*IFERROR(INDEX(Products!$C$6:$C$105,MATCH(D755,Products!$B$6:$B$105,0)),0)+N(F755)+N(G755))</f>
        <v/>
      </c>
      <c r="I755" s="35" t="n"/>
      <c r="J755" s="30">
        <f>IF(OR(H755="",L755="Cancelled"),"",IF(H755-N(I755)&gt;0.005,H755-N(I755),""))</f>
        <v/>
      </c>
      <c r="K755" s="31" t="n"/>
      <c r="L755" s="36" t="n"/>
      <c r="M755" s="33" t="n"/>
      <c r="N755" s="22">
        <f>IF(OR(H755="",L755="Cancelled"),"",IF(N(E755)=0,1,E755)*IFERROR(INDEX(Products!$E$6:$E$105,MATCH(D755,Products!$B$6:$B$105,0)),0))</f>
        <v/>
      </c>
      <c r="O755" s="35" t="n"/>
      <c r="P755" s="22">
        <f>IF(OR(H755="",L755="Cancelled"),"",ROUND(IFERROR(H755*INDEX(Settings!$C$6:$C$15,MATCH(M755,Settings!$B$6:$B$15,0))+INDEX(Settings!$D$6:$D$15,MATCH(M755,Settings!$B$6:$B$15,0)),0),2))</f>
        <v/>
      </c>
      <c r="Q755" s="28">
        <f>IF(OR(H755="",L755="Cancelled"),"",H755-N(N755)-N(O755)-N(P755))</f>
        <v/>
      </c>
      <c r="R755" s="19">
        <f>IF(OR(B755="",K755=""),"",IF(OR(L755="Sent",L755="Picked up"),"Done",IF(L755="Cancelled","Cancelled",IF(K755&lt;TODAY(),"Late by "&amp;(TODAY()-K755)&amp;IF((TODAY()-K755)=1," day"," days"),IF(K755=TODAY(),"Due today","Due in "&amp;(K755-TODAY())&amp;IF((K755-TODAY())=1," day"," days"))))))</f>
        <v/>
      </c>
      <c r="S755" s="33" t="n"/>
      <c r="T755" s="1">
        <f>IF(AND(B755&lt;&gt;"",K755&lt;&gt;"",L755&lt;&gt;"Sent",L755&lt;&gt;"Picked up",L755&lt;&gt;"Cancelled"),K755+ROW()/10000000,"")</f>
        <v/>
      </c>
      <c r="U755">
        <f>IF(OR(B755="",C755=""),"",B755+ROW()/10000000)</f>
        <v/>
      </c>
      <c r="V755">
        <f>IF(U755="","",IF(COUNTIFS(Orders!$C$6:$C$1005,C755,Orders!$U$6:$U$1005,"&gt;"&amp;U755)=0,1,0))</f>
        <v/>
      </c>
      <c r="W755">
        <f>IF(AND(B755&lt;&gt;"",K755&lt;&gt;"",L755&lt;&gt;"Sent",L755&lt;&gt;"Picked up",L755&lt;&gt;"Cancelled"),IF(N(E755)=0,1,E755),0)</f>
        <v/>
      </c>
      <c r="X755">
        <f>IF(OR(B755="",D755=""),"",IF(N(E755)=0,1,E755))</f>
        <v/>
      </c>
    </row>
    <row r="756">
      <c r="A756" s="1" t="n"/>
      <c r="B756" s="31" t="n"/>
      <c r="C756" s="32" t="n"/>
      <c r="D756" s="33" t="n"/>
      <c r="E756" s="34" t="n"/>
      <c r="F756" s="35" t="n"/>
      <c r="G756" s="35" t="n"/>
      <c r="H756" s="30">
        <f>IF(OR(B756="",D756=""),"",IF(N(E756)=0,1,E756)*IFERROR(INDEX(Products!$C$6:$C$105,MATCH(D756,Products!$B$6:$B$105,0)),0)+N(F756)+N(G756))</f>
        <v/>
      </c>
      <c r="I756" s="35" t="n"/>
      <c r="J756" s="30">
        <f>IF(OR(H756="",L756="Cancelled"),"",IF(H756-N(I756)&gt;0.005,H756-N(I756),""))</f>
        <v/>
      </c>
      <c r="K756" s="31" t="n"/>
      <c r="L756" s="36" t="n"/>
      <c r="M756" s="33" t="n"/>
      <c r="N756" s="22">
        <f>IF(OR(H756="",L756="Cancelled"),"",IF(N(E756)=0,1,E756)*IFERROR(INDEX(Products!$E$6:$E$105,MATCH(D756,Products!$B$6:$B$105,0)),0))</f>
        <v/>
      </c>
      <c r="O756" s="35" t="n"/>
      <c r="P756" s="22">
        <f>IF(OR(H756="",L756="Cancelled"),"",ROUND(IFERROR(H756*INDEX(Settings!$C$6:$C$15,MATCH(M756,Settings!$B$6:$B$15,0))+INDEX(Settings!$D$6:$D$15,MATCH(M756,Settings!$B$6:$B$15,0)),0),2))</f>
        <v/>
      </c>
      <c r="Q756" s="28">
        <f>IF(OR(H756="",L756="Cancelled"),"",H756-N(N756)-N(O756)-N(P756))</f>
        <v/>
      </c>
      <c r="R756" s="19">
        <f>IF(OR(B756="",K756=""),"",IF(OR(L756="Sent",L756="Picked up"),"Done",IF(L756="Cancelled","Cancelled",IF(K756&lt;TODAY(),"Late by "&amp;(TODAY()-K756)&amp;IF((TODAY()-K756)=1," day"," days"),IF(K756=TODAY(),"Due today","Due in "&amp;(K756-TODAY())&amp;IF((K756-TODAY())=1," day"," days"))))))</f>
        <v/>
      </c>
      <c r="S756" s="33" t="n"/>
      <c r="T756" s="1">
        <f>IF(AND(B756&lt;&gt;"",K756&lt;&gt;"",L756&lt;&gt;"Sent",L756&lt;&gt;"Picked up",L756&lt;&gt;"Cancelled"),K756+ROW()/10000000,"")</f>
        <v/>
      </c>
      <c r="U756">
        <f>IF(OR(B756="",C756=""),"",B756+ROW()/10000000)</f>
        <v/>
      </c>
      <c r="V756">
        <f>IF(U756="","",IF(COUNTIFS(Orders!$C$6:$C$1005,C756,Orders!$U$6:$U$1005,"&gt;"&amp;U756)=0,1,0))</f>
        <v/>
      </c>
      <c r="W756">
        <f>IF(AND(B756&lt;&gt;"",K756&lt;&gt;"",L756&lt;&gt;"Sent",L756&lt;&gt;"Picked up",L756&lt;&gt;"Cancelled"),IF(N(E756)=0,1,E756),0)</f>
        <v/>
      </c>
      <c r="X756">
        <f>IF(OR(B756="",D756=""),"",IF(N(E756)=0,1,E756))</f>
        <v/>
      </c>
    </row>
    <row r="757">
      <c r="A757" s="1" t="n"/>
      <c r="B757" s="31" t="n"/>
      <c r="C757" s="32" t="n"/>
      <c r="D757" s="33" t="n"/>
      <c r="E757" s="34" t="n"/>
      <c r="F757" s="35" t="n"/>
      <c r="G757" s="35" t="n"/>
      <c r="H757" s="30">
        <f>IF(OR(B757="",D757=""),"",IF(N(E757)=0,1,E757)*IFERROR(INDEX(Products!$C$6:$C$105,MATCH(D757,Products!$B$6:$B$105,0)),0)+N(F757)+N(G757))</f>
        <v/>
      </c>
      <c r="I757" s="35" t="n"/>
      <c r="J757" s="30">
        <f>IF(OR(H757="",L757="Cancelled"),"",IF(H757-N(I757)&gt;0.005,H757-N(I757),""))</f>
        <v/>
      </c>
      <c r="K757" s="31" t="n"/>
      <c r="L757" s="36" t="n"/>
      <c r="M757" s="33" t="n"/>
      <c r="N757" s="22">
        <f>IF(OR(H757="",L757="Cancelled"),"",IF(N(E757)=0,1,E757)*IFERROR(INDEX(Products!$E$6:$E$105,MATCH(D757,Products!$B$6:$B$105,0)),0))</f>
        <v/>
      </c>
      <c r="O757" s="35" t="n"/>
      <c r="P757" s="22">
        <f>IF(OR(H757="",L757="Cancelled"),"",ROUND(IFERROR(H757*INDEX(Settings!$C$6:$C$15,MATCH(M757,Settings!$B$6:$B$15,0))+INDEX(Settings!$D$6:$D$15,MATCH(M757,Settings!$B$6:$B$15,0)),0),2))</f>
        <v/>
      </c>
      <c r="Q757" s="28">
        <f>IF(OR(H757="",L757="Cancelled"),"",H757-N(N757)-N(O757)-N(P757))</f>
        <v/>
      </c>
      <c r="R757" s="19">
        <f>IF(OR(B757="",K757=""),"",IF(OR(L757="Sent",L757="Picked up"),"Done",IF(L757="Cancelled","Cancelled",IF(K757&lt;TODAY(),"Late by "&amp;(TODAY()-K757)&amp;IF((TODAY()-K757)=1," day"," days"),IF(K757=TODAY(),"Due today","Due in "&amp;(K757-TODAY())&amp;IF((K757-TODAY())=1," day"," days"))))))</f>
        <v/>
      </c>
      <c r="S757" s="33" t="n"/>
      <c r="T757" s="1">
        <f>IF(AND(B757&lt;&gt;"",K757&lt;&gt;"",L757&lt;&gt;"Sent",L757&lt;&gt;"Picked up",L757&lt;&gt;"Cancelled"),K757+ROW()/10000000,"")</f>
        <v/>
      </c>
      <c r="U757">
        <f>IF(OR(B757="",C757=""),"",B757+ROW()/10000000)</f>
        <v/>
      </c>
      <c r="V757">
        <f>IF(U757="","",IF(COUNTIFS(Orders!$C$6:$C$1005,C757,Orders!$U$6:$U$1005,"&gt;"&amp;U757)=0,1,0))</f>
        <v/>
      </c>
      <c r="W757">
        <f>IF(AND(B757&lt;&gt;"",K757&lt;&gt;"",L757&lt;&gt;"Sent",L757&lt;&gt;"Picked up",L757&lt;&gt;"Cancelled"),IF(N(E757)=0,1,E757),0)</f>
        <v/>
      </c>
      <c r="X757">
        <f>IF(OR(B757="",D757=""),"",IF(N(E757)=0,1,E757))</f>
        <v/>
      </c>
    </row>
    <row r="758">
      <c r="A758" s="1" t="n"/>
      <c r="B758" s="31" t="n"/>
      <c r="C758" s="32" t="n"/>
      <c r="D758" s="33" t="n"/>
      <c r="E758" s="34" t="n"/>
      <c r="F758" s="35" t="n"/>
      <c r="G758" s="35" t="n"/>
      <c r="H758" s="30">
        <f>IF(OR(B758="",D758=""),"",IF(N(E758)=0,1,E758)*IFERROR(INDEX(Products!$C$6:$C$105,MATCH(D758,Products!$B$6:$B$105,0)),0)+N(F758)+N(G758))</f>
        <v/>
      </c>
      <c r="I758" s="35" t="n"/>
      <c r="J758" s="30">
        <f>IF(OR(H758="",L758="Cancelled"),"",IF(H758-N(I758)&gt;0.005,H758-N(I758),""))</f>
        <v/>
      </c>
      <c r="K758" s="31" t="n"/>
      <c r="L758" s="36" t="n"/>
      <c r="M758" s="33" t="n"/>
      <c r="N758" s="22">
        <f>IF(OR(H758="",L758="Cancelled"),"",IF(N(E758)=0,1,E758)*IFERROR(INDEX(Products!$E$6:$E$105,MATCH(D758,Products!$B$6:$B$105,0)),0))</f>
        <v/>
      </c>
      <c r="O758" s="35" t="n"/>
      <c r="P758" s="22">
        <f>IF(OR(H758="",L758="Cancelled"),"",ROUND(IFERROR(H758*INDEX(Settings!$C$6:$C$15,MATCH(M758,Settings!$B$6:$B$15,0))+INDEX(Settings!$D$6:$D$15,MATCH(M758,Settings!$B$6:$B$15,0)),0),2))</f>
        <v/>
      </c>
      <c r="Q758" s="28">
        <f>IF(OR(H758="",L758="Cancelled"),"",H758-N(N758)-N(O758)-N(P758))</f>
        <v/>
      </c>
      <c r="R758" s="19">
        <f>IF(OR(B758="",K758=""),"",IF(OR(L758="Sent",L758="Picked up"),"Done",IF(L758="Cancelled","Cancelled",IF(K758&lt;TODAY(),"Late by "&amp;(TODAY()-K758)&amp;IF((TODAY()-K758)=1," day"," days"),IF(K758=TODAY(),"Due today","Due in "&amp;(K758-TODAY())&amp;IF((K758-TODAY())=1," day"," days"))))))</f>
        <v/>
      </c>
      <c r="S758" s="33" t="n"/>
      <c r="T758" s="1">
        <f>IF(AND(B758&lt;&gt;"",K758&lt;&gt;"",L758&lt;&gt;"Sent",L758&lt;&gt;"Picked up",L758&lt;&gt;"Cancelled"),K758+ROW()/10000000,"")</f>
        <v/>
      </c>
      <c r="U758">
        <f>IF(OR(B758="",C758=""),"",B758+ROW()/10000000)</f>
        <v/>
      </c>
      <c r="V758">
        <f>IF(U758="","",IF(COUNTIFS(Orders!$C$6:$C$1005,C758,Orders!$U$6:$U$1005,"&gt;"&amp;U758)=0,1,0))</f>
        <v/>
      </c>
      <c r="W758">
        <f>IF(AND(B758&lt;&gt;"",K758&lt;&gt;"",L758&lt;&gt;"Sent",L758&lt;&gt;"Picked up",L758&lt;&gt;"Cancelled"),IF(N(E758)=0,1,E758),0)</f>
        <v/>
      </c>
      <c r="X758">
        <f>IF(OR(B758="",D758=""),"",IF(N(E758)=0,1,E758))</f>
        <v/>
      </c>
    </row>
    <row r="759">
      <c r="A759" s="1" t="n"/>
      <c r="B759" s="31" t="n"/>
      <c r="C759" s="32" t="n"/>
      <c r="D759" s="33" t="n"/>
      <c r="E759" s="34" t="n"/>
      <c r="F759" s="35" t="n"/>
      <c r="G759" s="35" t="n"/>
      <c r="H759" s="30">
        <f>IF(OR(B759="",D759=""),"",IF(N(E759)=0,1,E759)*IFERROR(INDEX(Products!$C$6:$C$105,MATCH(D759,Products!$B$6:$B$105,0)),0)+N(F759)+N(G759))</f>
        <v/>
      </c>
      <c r="I759" s="35" t="n"/>
      <c r="J759" s="30">
        <f>IF(OR(H759="",L759="Cancelled"),"",IF(H759-N(I759)&gt;0.005,H759-N(I759),""))</f>
        <v/>
      </c>
      <c r="K759" s="31" t="n"/>
      <c r="L759" s="36" t="n"/>
      <c r="M759" s="33" t="n"/>
      <c r="N759" s="22">
        <f>IF(OR(H759="",L759="Cancelled"),"",IF(N(E759)=0,1,E759)*IFERROR(INDEX(Products!$E$6:$E$105,MATCH(D759,Products!$B$6:$B$105,0)),0))</f>
        <v/>
      </c>
      <c r="O759" s="35" t="n"/>
      <c r="P759" s="22">
        <f>IF(OR(H759="",L759="Cancelled"),"",ROUND(IFERROR(H759*INDEX(Settings!$C$6:$C$15,MATCH(M759,Settings!$B$6:$B$15,0))+INDEX(Settings!$D$6:$D$15,MATCH(M759,Settings!$B$6:$B$15,0)),0),2))</f>
        <v/>
      </c>
      <c r="Q759" s="28">
        <f>IF(OR(H759="",L759="Cancelled"),"",H759-N(N759)-N(O759)-N(P759))</f>
        <v/>
      </c>
      <c r="R759" s="19">
        <f>IF(OR(B759="",K759=""),"",IF(OR(L759="Sent",L759="Picked up"),"Done",IF(L759="Cancelled","Cancelled",IF(K759&lt;TODAY(),"Late by "&amp;(TODAY()-K759)&amp;IF((TODAY()-K759)=1," day"," days"),IF(K759=TODAY(),"Due today","Due in "&amp;(K759-TODAY())&amp;IF((K759-TODAY())=1," day"," days"))))))</f>
        <v/>
      </c>
      <c r="S759" s="33" t="n"/>
      <c r="T759" s="1">
        <f>IF(AND(B759&lt;&gt;"",K759&lt;&gt;"",L759&lt;&gt;"Sent",L759&lt;&gt;"Picked up",L759&lt;&gt;"Cancelled"),K759+ROW()/10000000,"")</f>
        <v/>
      </c>
      <c r="U759">
        <f>IF(OR(B759="",C759=""),"",B759+ROW()/10000000)</f>
        <v/>
      </c>
      <c r="V759">
        <f>IF(U759="","",IF(COUNTIFS(Orders!$C$6:$C$1005,C759,Orders!$U$6:$U$1005,"&gt;"&amp;U759)=0,1,0))</f>
        <v/>
      </c>
      <c r="W759">
        <f>IF(AND(B759&lt;&gt;"",K759&lt;&gt;"",L759&lt;&gt;"Sent",L759&lt;&gt;"Picked up",L759&lt;&gt;"Cancelled"),IF(N(E759)=0,1,E759),0)</f>
        <v/>
      </c>
      <c r="X759">
        <f>IF(OR(B759="",D759=""),"",IF(N(E759)=0,1,E759))</f>
        <v/>
      </c>
    </row>
    <row r="760">
      <c r="A760" s="1" t="n"/>
      <c r="B760" s="31" t="n"/>
      <c r="C760" s="32" t="n"/>
      <c r="D760" s="33" t="n"/>
      <c r="E760" s="34" t="n"/>
      <c r="F760" s="35" t="n"/>
      <c r="G760" s="35" t="n"/>
      <c r="H760" s="30">
        <f>IF(OR(B760="",D760=""),"",IF(N(E760)=0,1,E760)*IFERROR(INDEX(Products!$C$6:$C$105,MATCH(D760,Products!$B$6:$B$105,0)),0)+N(F760)+N(G760))</f>
        <v/>
      </c>
      <c r="I760" s="35" t="n"/>
      <c r="J760" s="30">
        <f>IF(OR(H760="",L760="Cancelled"),"",IF(H760-N(I760)&gt;0.005,H760-N(I760),""))</f>
        <v/>
      </c>
      <c r="K760" s="31" t="n"/>
      <c r="L760" s="36" t="n"/>
      <c r="M760" s="33" t="n"/>
      <c r="N760" s="22">
        <f>IF(OR(H760="",L760="Cancelled"),"",IF(N(E760)=0,1,E760)*IFERROR(INDEX(Products!$E$6:$E$105,MATCH(D760,Products!$B$6:$B$105,0)),0))</f>
        <v/>
      </c>
      <c r="O760" s="35" t="n"/>
      <c r="P760" s="22">
        <f>IF(OR(H760="",L760="Cancelled"),"",ROUND(IFERROR(H760*INDEX(Settings!$C$6:$C$15,MATCH(M760,Settings!$B$6:$B$15,0))+INDEX(Settings!$D$6:$D$15,MATCH(M760,Settings!$B$6:$B$15,0)),0),2))</f>
        <v/>
      </c>
      <c r="Q760" s="28">
        <f>IF(OR(H760="",L760="Cancelled"),"",H760-N(N760)-N(O760)-N(P760))</f>
        <v/>
      </c>
      <c r="R760" s="19">
        <f>IF(OR(B760="",K760=""),"",IF(OR(L760="Sent",L760="Picked up"),"Done",IF(L760="Cancelled","Cancelled",IF(K760&lt;TODAY(),"Late by "&amp;(TODAY()-K760)&amp;IF((TODAY()-K760)=1," day"," days"),IF(K760=TODAY(),"Due today","Due in "&amp;(K760-TODAY())&amp;IF((K760-TODAY())=1," day"," days"))))))</f>
        <v/>
      </c>
      <c r="S760" s="33" t="n"/>
      <c r="T760" s="1">
        <f>IF(AND(B760&lt;&gt;"",K760&lt;&gt;"",L760&lt;&gt;"Sent",L760&lt;&gt;"Picked up",L760&lt;&gt;"Cancelled"),K760+ROW()/10000000,"")</f>
        <v/>
      </c>
      <c r="U760">
        <f>IF(OR(B760="",C760=""),"",B760+ROW()/10000000)</f>
        <v/>
      </c>
      <c r="V760">
        <f>IF(U760="","",IF(COUNTIFS(Orders!$C$6:$C$1005,C760,Orders!$U$6:$U$1005,"&gt;"&amp;U760)=0,1,0))</f>
        <v/>
      </c>
      <c r="W760">
        <f>IF(AND(B760&lt;&gt;"",K760&lt;&gt;"",L760&lt;&gt;"Sent",L760&lt;&gt;"Picked up",L760&lt;&gt;"Cancelled"),IF(N(E760)=0,1,E760),0)</f>
        <v/>
      </c>
      <c r="X760">
        <f>IF(OR(B760="",D760=""),"",IF(N(E760)=0,1,E760))</f>
        <v/>
      </c>
    </row>
    <row r="761">
      <c r="A761" s="1" t="n"/>
      <c r="B761" s="31" t="n"/>
      <c r="C761" s="32" t="n"/>
      <c r="D761" s="33" t="n"/>
      <c r="E761" s="34" t="n"/>
      <c r="F761" s="35" t="n"/>
      <c r="G761" s="35" t="n"/>
      <c r="H761" s="30">
        <f>IF(OR(B761="",D761=""),"",IF(N(E761)=0,1,E761)*IFERROR(INDEX(Products!$C$6:$C$105,MATCH(D761,Products!$B$6:$B$105,0)),0)+N(F761)+N(G761))</f>
        <v/>
      </c>
      <c r="I761" s="35" t="n"/>
      <c r="J761" s="30">
        <f>IF(OR(H761="",L761="Cancelled"),"",IF(H761-N(I761)&gt;0.005,H761-N(I761),""))</f>
        <v/>
      </c>
      <c r="K761" s="31" t="n"/>
      <c r="L761" s="36" t="n"/>
      <c r="M761" s="33" t="n"/>
      <c r="N761" s="22">
        <f>IF(OR(H761="",L761="Cancelled"),"",IF(N(E761)=0,1,E761)*IFERROR(INDEX(Products!$E$6:$E$105,MATCH(D761,Products!$B$6:$B$105,0)),0))</f>
        <v/>
      </c>
      <c r="O761" s="35" t="n"/>
      <c r="P761" s="22">
        <f>IF(OR(H761="",L761="Cancelled"),"",ROUND(IFERROR(H761*INDEX(Settings!$C$6:$C$15,MATCH(M761,Settings!$B$6:$B$15,0))+INDEX(Settings!$D$6:$D$15,MATCH(M761,Settings!$B$6:$B$15,0)),0),2))</f>
        <v/>
      </c>
      <c r="Q761" s="28">
        <f>IF(OR(H761="",L761="Cancelled"),"",H761-N(N761)-N(O761)-N(P761))</f>
        <v/>
      </c>
      <c r="R761" s="19">
        <f>IF(OR(B761="",K761=""),"",IF(OR(L761="Sent",L761="Picked up"),"Done",IF(L761="Cancelled","Cancelled",IF(K761&lt;TODAY(),"Late by "&amp;(TODAY()-K761)&amp;IF((TODAY()-K761)=1," day"," days"),IF(K761=TODAY(),"Due today","Due in "&amp;(K761-TODAY())&amp;IF((K761-TODAY())=1," day"," days"))))))</f>
        <v/>
      </c>
      <c r="S761" s="33" t="n"/>
      <c r="T761" s="1">
        <f>IF(AND(B761&lt;&gt;"",K761&lt;&gt;"",L761&lt;&gt;"Sent",L761&lt;&gt;"Picked up",L761&lt;&gt;"Cancelled"),K761+ROW()/10000000,"")</f>
        <v/>
      </c>
      <c r="U761">
        <f>IF(OR(B761="",C761=""),"",B761+ROW()/10000000)</f>
        <v/>
      </c>
      <c r="V761">
        <f>IF(U761="","",IF(COUNTIFS(Orders!$C$6:$C$1005,C761,Orders!$U$6:$U$1005,"&gt;"&amp;U761)=0,1,0))</f>
        <v/>
      </c>
      <c r="W761">
        <f>IF(AND(B761&lt;&gt;"",K761&lt;&gt;"",L761&lt;&gt;"Sent",L761&lt;&gt;"Picked up",L761&lt;&gt;"Cancelled"),IF(N(E761)=0,1,E761),0)</f>
        <v/>
      </c>
      <c r="X761">
        <f>IF(OR(B761="",D761=""),"",IF(N(E761)=0,1,E761))</f>
        <v/>
      </c>
    </row>
    <row r="762">
      <c r="A762" s="1" t="n"/>
      <c r="B762" s="31" t="n"/>
      <c r="C762" s="32" t="n"/>
      <c r="D762" s="33" t="n"/>
      <c r="E762" s="34" t="n"/>
      <c r="F762" s="35" t="n"/>
      <c r="G762" s="35" t="n"/>
      <c r="H762" s="30">
        <f>IF(OR(B762="",D762=""),"",IF(N(E762)=0,1,E762)*IFERROR(INDEX(Products!$C$6:$C$105,MATCH(D762,Products!$B$6:$B$105,0)),0)+N(F762)+N(G762))</f>
        <v/>
      </c>
      <c r="I762" s="35" t="n"/>
      <c r="J762" s="30">
        <f>IF(OR(H762="",L762="Cancelled"),"",IF(H762-N(I762)&gt;0.005,H762-N(I762),""))</f>
        <v/>
      </c>
      <c r="K762" s="31" t="n"/>
      <c r="L762" s="36" t="n"/>
      <c r="M762" s="33" t="n"/>
      <c r="N762" s="22">
        <f>IF(OR(H762="",L762="Cancelled"),"",IF(N(E762)=0,1,E762)*IFERROR(INDEX(Products!$E$6:$E$105,MATCH(D762,Products!$B$6:$B$105,0)),0))</f>
        <v/>
      </c>
      <c r="O762" s="35" t="n"/>
      <c r="P762" s="22">
        <f>IF(OR(H762="",L762="Cancelled"),"",ROUND(IFERROR(H762*INDEX(Settings!$C$6:$C$15,MATCH(M762,Settings!$B$6:$B$15,0))+INDEX(Settings!$D$6:$D$15,MATCH(M762,Settings!$B$6:$B$15,0)),0),2))</f>
        <v/>
      </c>
      <c r="Q762" s="28">
        <f>IF(OR(H762="",L762="Cancelled"),"",H762-N(N762)-N(O762)-N(P762))</f>
        <v/>
      </c>
      <c r="R762" s="19">
        <f>IF(OR(B762="",K762=""),"",IF(OR(L762="Sent",L762="Picked up"),"Done",IF(L762="Cancelled","Cancelled",IF(K762&lt;TODAY(),"Late by "&amp;(TODAY()-K762)&amp;IF((TODAY()-K762)=1," day"," days"),IF(K762=TODAY(),"Due today","Due in "&amp;(K762-TODAY())&amp;IF((K762-TODAY())=1," day"," days"))))))</f>
        <v/>
      </c>
      <c r="S762" s="33" t="n"/>
      <c r="T762" s="1">
        <f>IF(AND(B762&lt;&gt;"",K762&lt;&gt;"",L762&lt;&gt;"Sent",L762&lt;&gt;"Picked up",L762&lt;&gt;"Cancelled"),K762+ROW()/10000000,"")</f>
        <v/>
      </c>
      <c r="U762">
        <f>IF(OR(B762="",C762=""),"",B762+ROW()/10000000)</f>
        <v/>
      </c>
      <c r="V762">
        <f>IF(U762="","",IF(COUNTIFS(Orders!$C$6:$C$1005,C762,Orders!$U$6:$U$1005,"&gt;"&amp;U762)=0,1,0))</f>
        <v/>
      </c>
      <c r="W762">
        <f>IF(AND(B762&lt;&gt;"",K762&lt;&gt;"",L762&lt;&gt;"Sent",L762&lt;&gt;"Picked up",L762&lt;&gt;"Cancelled"),IF(N(E762)=0,1,E762),0)</f>
        <v/>
      </c>
      <c r="X762">
        <f>IF(OR(B762="",D762=""),"",IF(N(E762)=0,1,E762))</f>
        <v/>
      </c>
    </row>
    <row r="763">
      <c r="A763" s="1" t="n"/>
      <c r="B763" s="31" t="n"/>
      <c r="C763" s="32" t="n"/>
      <c r="D763" s="33" t="n"/>
      <c r="E763" s="34" t="n"/>
      <c r="F763" s="35" t="n"/>
      <c r="G763" s="35" t="n"/>
      <c r="H763" s="30">
        <f>IF(OR(B763="",D763=""),"",IF(N(E763)=0,1,E763)*IFERROR(INDEX(Products!$C$6:$C$105,MATCH(D763,Products!$B$6:$B$105,0)),0)+N(F763)+N(G763))</f>
        <v/>
      </c>
      <c r="I763" s="35" t="n"/>
      <c r="J763" s="30">
        <f>IF(OR(H763="",L763="Cancelled"),"",IF(H763-N(I763)&gt;0.005,H763-N(I763),""))</f>
        <v/>
      </c>
      <c r="K763" s="31" t="n"/>
      <c r="L763" s="36" t="n"/>
      <c r="M763" s="33" t="n"/>
      <c r="N763" s="22">
        <f>IF(OR(H763="",L763="Cancelled"),"",IF(N(E763)=0,1,E763)*IFERROR(INDEX(Products!$E$6:$E$105,MATCH(D763,Products!$B$6:$B$105,0)),0))</f>
        <v/>
      </c>
      <c r="O763" s="35" t="n"/>
      <c r="P763" s="22">
        <f>IF(OR(H763="",L763="Cancelled"),"",ROUND(IFERROR(H763*INDEX(Settings!$C$6:$C$15,MATCH(M763,Settings!$B$6:$B$15,0))+INDEX(Settings!$D$6:$D$15,MATCH(M763,Settings!$B$6:$B$15,0)),0),2))</f>
        <v/>
      </c>
      <c r="Q763" s="28">
        <f>IF(OR(H763="",L763="Cancelled"),"",H763-N(N763)-N(O763)-N(P763))</f>
        <v/>
      </c>
      <c r="R763" s="19">
        <f>IF(OR(B763="",K763=""),"",IF(OR(L763="Sent",L763="Picked up"),"Done",IF(L763="Cancelled","Cancelled",IF(K763&lt;TODAY(),"Late by "&amp;(TODAY()-K763)&amp;IF((TODAY()-K763)=1," day"," days"),IF(K763=TODAY(),"Due today","Due in "&amp;(K763-TODAY())&amp;IF((K763-TODAY())=1," day"," days"))))))</f>
        <v/>
      </c>
      <c r="S763" s="33" t="n"/>
      <c r="T763" s="1">
        <f>IF(AND(B763&lt;&gt;"",K763&lt;&gt;"",L763&lt;&gt;"Sent",L763&lt;&gt;"Picked up",L763&lt;&gt;"Cancelled"),K763+ROW()/10000000,"")</f>
        <v/>
      </c>
      <c r="U763">
        <f>IF(OR(B763="",C763=""),"",B763+ROW()/10000000)</f>
        <v/>
      </c>
      <c r="V763">
        <f>IF(U763="","",IF(COUNTIFS(Orders!$C$6:$C$1005,C763,Orders!$U$6:$U$1005,"&gt;"&amp;U763)=0,1,0))</f>
        <v/>
      </c>
      <c r="W763">
        <f>IF(AND(B763&lt;&gt;"",K763&lt;&gt;"",L763&lt;&gt;"Sent",L763&lt;&gt;"Picked up",L763&lt;&gt;"Cancelled"),IF(N(E763)=0,1,E763),0)</f>
        <v/>
      </c>
      <c r="X763">
        <f>IF(OR(B763="",D763=""),"",IF(N(E763)=0,1,E763))</f>
        <v/>
      </c>
    </row>
    <row r="764">
      <c r="A764" s="1" t="n"/>
      <c r="B764" s="31" t="n"/>
      <c r="C764" s="32" t="n"/>
      <c r="D764" s="33" t="n"/>
      <c r="E764" s="34" t="n"/>
      <c r="F764" s="35" t="n"/>
      <c r="G764" s="35" t="n"/>
      <c r="H764" s="30">
        <f>IF(OR(B764="",D764=""),"",IF(N(E764)=0,1,E764)*IFERROR(INDEX(Products!$C$6:$C$105,MATCH(D764,Products!$B$6:$B$105,0)),0)+N(F764)+N(G764))</f>
        <v/>
      </c>
      <c r="I764" s="35" t="n"/>
      <c r="J764" s="30">
        <f>IF(OR(H764="",L764="Cancelled"),"",IF(H764-N(I764)&gt;0.005,H764-N(I764),""))</f>
        <v/>
      </c>
      <c r="K764" s="31" t="n"/>
      <c r="L764" s="36" t="n"/>
      <c r="M764" s="33" t="n"/>
      <c r="N764" s="22">
        <f>IF(OR(H764="",L764="Cancelled"),"",IF(N(E764)=0,1,E764)*IFERROR(INDEX(Products!$E$6:$E$105,MATCH(D764,Products!$B$6:$B$105,0)),0))</f>
        <v/>
      </c>
      <c r="O764" s="35" t="n"/>
      <c r="P764" s="22">
        <f>IF(OR(H764="",L764="Cancelled"),"",ROUND(IFERROR(H764*INDEX(Settings!$C$6:$C$15,MATCH(M764,Settings!$B$6:$B$15,0))+INDEX(Settings!$D$6:$D$15,MATCH(M764,Settings!$B$6:$B$15,0)),0),2))</f>
        <v/>
      </c>
      <c r="Q764" s="28">
        <f>IF(OR(H764="",L764="Cancelled"),"",H764-N(N764)-N(O764)-N(P764))</f>
        <v/>
      </c>
      <c r="R764" s="19">
        <f>IF(OR(B764="",K764=""),"",IF(OR(L764="Sent",L764="Picked up"),"Done",IF(L764="Cancelled","Cancelled",IF(K764&lt;TODAY(),"Late by "&amp;(TODAY()-K764)&amp;IF((TODAY()-K764)=1," day"," days"),IF(K764=TODAY(),"Due today","Due in "&amp;(K764-TODAY())&amp;IF((K764-TODAY())=1," day"," days"))))))</f>
        <v/>
      </c>
      <c r="S764" s="33" t="n"/>
      <c r="T764" s="1">
        <f>IF(AND(B764&lt;&gt;"",K764&lt;&gt;"",L764&lt;&gt;"Sent",L764&lt;&gt;"Picked up",L764&lt;&gt;"Cancelled"),K764+ROW()/10000000,"")</f>
        <v/>
      </c>
      <c r="U764">
        <f>IF(OR(B764="",C764=""),"",B764+ROW()/10000000)</f>
        <v/>
      </c>
      <c r="V764">
        <f>IF(U764="","",IF(COUNTIFS(Orders!$C$6:$C$1005,C764,Orders!$U$6:$U$1005,"&gt;"&amp;U764)=0,1,0))</f>
        <v/>
      </c>
      <c r="W764">
        <f>IF(AND(B764&lt;&gt;"",K764&lt;&gt;"",L764&lt;&gt;"Sent",L764&lt;&gt;"Picked up",L764&lt;&gt;"Cancelled"),IF(N(E764)=0,1,E764),0)</f>
        <v/>
      </c>
      <c r="X764">
        <f>IF(OR(B764="",D764=""),"",IF(N(E764)=0,1,E764))</f>
        <v/>
      </c>
    </row>
    <row r="765">
      <c r="A765" s="1" t="n"/>
      <c r="B765" s="31" t="n"/>
      <c r="C765" s="32" t="n"/>
      <c r="D765" s="33" t="n"/>
      <c r="E765" s="34" t="n"/>
      <c r="F765" s="35" t="n"/>
      <c r="G765" s="35" t="n"/>
      <c r="H765" s="30">
        <f>IF(OR(B765="",D765=""),"",IF(N(E765)=0,1,E765)*IFERROR(INDEX(Products!$C$6:$C$105,MATCH(D765,Products!$B$6:$B$105,0)),0)+N(F765)+N(G765))</f>
        <v/>
      </c>
      <c r="I765" s="35" t="n"/>
      <c r="J765" s="30">
        <f>IF(OR(H765="",L765="Cancelled"),"",IF(H765-N(I765)&gt;0.005,H765-N(I765),""))</f>
        <v/>
      </c>
      <c r="K765" s="31" t="n"/>
      <c r="L765" s="36" t="n"/>
      <c r="M765" s="33" t="n"/>
      <c r="N765" s="22">
        <f>IF(OR(H765="",L765="Cancelled"),"",IF(N(E765)=0,1,E765)*IFERROR(INDEX(Products!$E$6:$E$105,MATCH(D765,Products!$B$6:$B$105,0)),0))</f>
        <v/>
      </c>
      <c r="O765" s="35" t="n"/>
      <c r="P765" s="22">
        <f>IF(OR(H765="",L765="Cancelled"),"",ROUND(IFERROR(H765*INDEX(Settings!$C$6:$C$15,MATCH(M765,Settings!$B$6:$B$15,0))+INDEX(Settings!$D$6:$D$15,MATCH(M765,Settings!$B$6:$B$15,0)),0),2))</f>
        <v/>
      </c>
      <c r="Q765" s="28">
        <f>IF(OR(H765="",L765="Cancelled"),"",H765-N(N765)-N(O765)-N(P765))</f>
        <v/>
      </c>
      <c r="R765" s="19">
        <f>IF(OR(B765="",K765=""),"",IF(OR(L765="Sent",L765="Picked up"),"Done",IF(L765="Cancelled","Cancelled",IF(K765&lt;TODAY(),"Late by "&amp;(TODAY()-K765)&amp;IF((TODAY()-K765)=1," day"," days"),IF(K765=TODAY(),"Due today","Due in "&amp;(K765-TODAY())&amp;IF((K765-TODAY())=1," day"," days"))))))</f>
        <v/>
      </c>
      <c r="S765" s="33" t="n"/>
      <c r="T765" s="1">
        <f>IF(AND(B765&lt;&gt;"",K765&lt;&gt;"",L765&lt;&gt;"Sent",L765&lt;&gt;"Picked up",L765&lt;&gt;"Cancelled"),K765+ROW()/10000000,"")</f>
        <v/>
      </c>
      <c r="U765">
        <f>IF(OR(B765="",C765=""),"",B765+ROW()/10000000)</f>
        <v/>
      </c>
      <c r="V765">
        <f>IF(U765="","",IF(COUNTIFS(Orders!$C$6:$C$1005,C765,Orders!$U$6:$U$1005,"&gt;"&amp;U765)=0,1,0))</f>
        <v/>
      </c>
      <c r="W765">
        <f>IF(AND(B765&lt;&gt;"",K765&lt;&gt;"",L765&lt;&gt;"Sent",L765&lt;&gt;"Picked up",L765&lt;&gt;"Cancelled"),IF(N(E765)=0,1,E765),0)</f>
        <v/>
      </c>
      <c r="X765">
        <f>IF(OR(B765="",D765=""),"",IF(N(E765)=0,1,E765))</f>
        <v/>
      </c>
    </row>
    <row r="766">
      <c r="A766" s="1" t="n"/>
      <c r="B766" s="31" t="n"/>
      <c r="C766" s="32" t="n"/>
      <c r="D766" s="33" t="n"/>
      <c r="E766" s="34" t="n"/>
      <c r="F766" s="35" t="n"/>
      <c r="G766" s="35" t="n"/>
      <c r="H766" s="30">
        <f>IF(OR(B766="",D766=""),"",IF(N(E766)=0,1,E766)*IFERROR(INDEX(Products!$C$6:$C$105,MATCH(D766,Products!$B$6:$B$105,0)),0)+N(F766)+N(G766))</f>
        <v/>
      </c>
      <c r="I766" s="35" t="n"/>
      <c r="J766" s="30">
        <f>IF(OR(H766="",L766="Cancelled"),"",IF(H766-N(I766)&gt;0.005,H766-N(I766),""))</f>
        <v/>
      </c>
      <c r="K766" s="31" t="n"/>
      <c r="L766" s="36" t="n"/>
      <c r="M766" s="33" t="n"/>
      <c r="N766" s="22">
        <f>IF(OR(H766="",L766="Cancelled"),"",IF(N(E766)=0,1,E766)*IFERROR(INDEX(Products!$E$6:$E$105,MATCH(D766,Products!$B$6:$B$105,0)),0))</f>
        <v/>
      </c>
      <c r="O766" s="35" t="n"/>
      <c r="P766" s="22">
        <f>IF(OR(H766="",L766="Cancelled"),"",ROUND(IFERROR(H766*INDEX(Settings!$C$6:$C$15,MATCH(M766,Settings!$B$6:$B$15,0))+INDEX(Settings!$D$6:$D$15,MATCH(M766,Settings!$B$6:$B$15,0)),0),2))</f>
        <v/>
      </c>
      <c r="Q766" s="28">
        <f>IF(OR(H766="",L766="Cancelled"),"",H766-N(N766)-N(O766)-N(P766))</f>
        <v/>
      </c>
      <c r="R766" s="19">
        <f>IF(OR(B766="",K766=""),"",IF(OR(L766="Sent",L766="Picked up"),"Done",IF(L766="Cancelled","Cancelled",IF(K766&lt;TODAY(),"Late by "&amp;(TODAY()-K766)&amp;IF((TODAY()-K766)=1," day"," days"),IF(K766=TODAY(),"Due today","Due in "&amp;(K766-TODAY())&amp;IF((K766-TODAY())=1," day"," days"))))))</f>
        <v/>
      </c>
      <c r="S766" s="33" t="n"/>
      <c r="T766" s="1">
        <f>IF(AND(B766&lt;&gt;"",K766&lt;&gt;"",L766&lt;&gt;"Sent",L766&lt;&gt;"Picked up",L766&lt;&gt;"Cancelled"),K766+ROW()/10000000,"")</f>
        <v/>
      </c>
      <c r="U766">
        <f>IF(OR(B766="",C766=""),"",B766+ROW()/10000000)</f>
        <v/>
      </c>
      <c r="V766">
        <f>IF(U766="","",IF(COUNTIFS(Orders!$C$6:$C$1005,C766,Orders!$U$6:$U$1005,"&gt;"&amp;U766)=0,1,0))</f>
        <v/>
      </c>
      <c r="W766">
        <f>IF(AND(B766&lt;&gt;"",K766&lt;&gt;"",L766&lt;&gt;"Sent",L766&lt;&gt;"Picked up",L766&lt;&gt;"Cancelled"),IF(N(E766)=0,1,E766),0)</f>
        <v/>
      </c>
      <c r="X766">
        <f>IF(OR(B766="",D766=""),"",IF(N(E766)=0,1,E766))</f>
        <v/>
      </c>
    </row>
    <row r="767">
      <c r="A767" s="1" t="n"/>
      <c r="B767" s="31" t="n"/>
      <c r="C767" s="32" t="n"/>
      <c r="D767" s="33" t="n"/>
      <c r="E767" s="34" t="n"/>
      <c r="F767" s="35" t="n"/>
      <c r="G767" s="35" t="n"/>
      <c r="H767" s="30">
        <f>IF(OR(B767="",D767=""),"",IF(N(E767)=0,1,E767)*IFERROR(INDEX(Products!$C$6:$C$105,MATCH(D767,Products!$B$6:$B$105,0)),0)+N(F767)+N(G767))</f>
        <v/>
      </c>
      <c r="I767" s="35" t="n"/>
      <c r="J767" s="30">
        <f>IF(OR(H767="",L767="Cancelled"),"",IF(H767-N(I767)&gt;0.005,H767-N(I767),""))</f>
        <v/>
      </c>
      <c r="K767" s="31" t="n"/>
      <c r="L767" s="36" t="n"/>
      <c r="M767" s="33" t="n"/>
      <c r="N767" s="22">
        <f>IF(OR(H767="",L767="Cancelled"),"",IF(N(E767)=0,1,E767)*IFERROR(INDEX(Products!$E$6:$E$105,MATCH(D767,Products!$B$6:$B$105,0)),0))</f>
        <v/>
      </c>
      <c r="O767" s="35" t="n"/>
      <c r="P767" s="22">
        <f>IF(OR(H767="",L767="Cancelled"),"",ROUND(IFERROR(H767*INDEX(Settings!$C$6:$C$15,MATCH(M767,Settings!$B$6:$B$15,0))+INDEX(Settings!$D$6:$D$15,MATCH(M767,Settings!$B$6:$B$15,0)),0),2))</f>
        <v/>
      </c>
      <c r="Q767" s="28">
        <f>IF(OR(H767="",L767="Cancelled"),"",H767-N(N767)-N(O767)-N(P767))</f>
        <v/>
      </c>
      <c r="R767" s="19">
        <f>IF(OR(B767="",K767=""),"",IF(OR(L767="Sent",L767="Picked up"),"Done",IF(L767="Cancelled","Cancelled",IF(K767&lt;TODAY(),"Late by "&amp;(TODAY()-K767)&amp;IF((TODAY()-K767)=1," day"," days"),IF(K767=TODAY(),"Due today","Due in "&amp;(K767-TODAY())&amp;IF((K767-TODAY())=1," day"," days"))))))</f>
        <v/>
      </c>
      <c r="S767" s="33" t="n"/>
      <c r="T767" s="1">
        <f>IF(AND(B767&lt;&gt;"",K767&lt;&gt;"",L767&lt;&gt;"Sent",L767&lt;&gt;"Picked up",L767&lt;&gt;"Cancelled"),K767+ROW()/10000000,"")</f>
        <v/>
      </c>
      <c r="U767">
        <f>IF(OR(B767="",C767=""),"",B767+ROW()/10000000)</f>
        <v/>
      </c>
      <c r="V767">
        <f>IF(U767="","",IF(COUNTIFS(Orders!$C$6:$C$1005,C767,Orders!$U$6:$U$1005,"&gt;"&amp;U767)=0,1,0))</f>
        <v/>
      </c>
      <c r="W767">
        <f>IF(AND(B767&lt;&gt;"",K767&lt;&gt;"",L767&lt;&gt;"Sent",L767&lt;&gt;"Picked up",L767&lt;&gt;"Cancelled"),IF(N(E767)=0,1,E767),0)</f>
        <v/>
      </c>
      <c r="X767">
        <f>IF(OR(B767="",D767=""),"",IF(N(E767)=0,1,E767))</f>
        <v/>
      </c>
    </row>
    <row r="768">
      <c r="A768" s="1" t="n"/>
      <c r="B768" s="31" t="n"/>
      <c r="C768" s="32" t="n"/>
      <c r="D768" s="33" t="n"/>
      <c r="E768" s="34" t="n"/>
      <c r="F768" s="35" t="n"/>
      <c r="G768" s="35" t="n"/>
      <c r="H768" s="30">
        <f>IF(OR(B768="",D768=""),"",IF(N(E768)=0,1,E768)*IFERROR(INDEX(Products!$C$6:$C$105,MATCH(D768,Products!$B$6:$B$105,0)),0)+N(F768)+N(G768))</f>
        <v/>
      </c>
      <c r="I768" s="35" t="n"/>
      <c r="J768" s="30">
        <f>IF(OR(H768="",L768="Cancelled"),"",IF(H768-N(I768)&gt;0.005,H768-N(I768),""))</f>
        <v/>
      </c>
      <c r="K768" s="31" t="n"/>
      <c r="L768" s="36" t="n"/>
      <c r="M768" s="33" t="n"/>
      <c r="N768" s="22">
        <f>IF(OR(H768="",L768="Cancelled"),"",IF(N(E768)=0,1,E768)*IFERROR(INDEX(Products!$E$6:$E$105,MATCH(D768,Products!$B$6:$B$105,0)),0))</f>
        <v/>
      </c>
      <c r="O768" s="35" t="n"/>
      <c r="P768" s="22">
        <f>IF(OR(H768="",L768="Cancelled"),"",ROUND(IFERROR(H768*INDEX(Settings!$C$6:$C$15,MATCH(M768,Settings!$B$6:$B$15,0))+INDEX(Settings!$D$6:$D$15,MATCH(M768,Settings!$B$6:$B$15,0)),0),2))</f>
        <v/>
      </c>
      <c r="Q768" s="28">
        <f>IF(OR(H768="",L768="Cancelled"),"",H768-N(N768)-N(O768)-N(P768))</f>
        <v/>
      </c>
      <c r="R768" s="19">
        <f>IF(OR(B768="",K768=""),"",IF(OR(L768="Sent",L768="Picked up"),"Done",IF(L768="Cancelled","Cancelled",IF(K768&lt;TODAY(),"Late by "&amp;(TODAY()-K768)&amp;IF((TODAY()-K768)=1," day"," days"),IF(K768=TODAY(),"Due today","Due in "&amp;(K768-TODAY())&amp;IF((K768-TODAY())=1," day"," days"))))))</f>
        <v/>
      </c>
      <c r="S768" s="33" t="n"/>
      <c r="T768" s="1">
        <f>IF(AND(B768&lt;&gt;"",K768&lt;&gt;"",L768&lt;&gt;"Sent",L768&lt;&gt;"Picked up",L768&lt;&gt;"Cancelled"),K768+ROW()/10000000,"")</f>
        <v/>
      </c>
      <c r="U768">
        <f>IF(OR(B768="",C768=""),"",B768+ROW()/10000000)</f>
        <v/>
      </c>
      <c r="V768">
        <f>IF(U768="","",IF(COUNTIFS(Orders!$C$6:$C$1005,C768,Orders!$U$6:$U$1005,"&gt;"&amp;U768)=0,1,0))</f>
        <v/>
      </c>
      <c r="W768">
        <f>IF(AND(B768&lt;&gt;"",K768&lt;&gt;"",L768&lt;&gt;"Sent",L768&lt;&gt;"Picked up",L768&lt;&gt;"Cancelled"),IF(N(E768)=0,1,E768),0)</f>
        <v/>
      </c>
      <c r="X768">
        <f>IF(OR(B768="",D768=""),"",IF(N(E768)=0,1,E768))</f>
        <v/>
      </c>
    </row>
    <row r="769">
      <c r="A769" s="1" t="n"/>
      <c r="B769" s="31" t="n"/>
      <c r="C769" s="32" t="n"/>
      <c r="D769" s="33" t="n"/>
      <c r="E769" s="34" t="n"/>
      <c r="F769" s="35" t="n"/>
      <c r="G769" s="35" t="n"/>
      <c r="H769" s="30">
        <f>IF(OR(B769="",D769=""),"",IF(N(E769)=0,1,E769)*IFERROR(INDEX(Products!$C$6:$C$105,MATCH(D769,Products!$B$6:$B$105,0)),0)+N(F769)+N(G769))</f>
        <v/>
      </c>
      <c r="I769" s="35" t="n"/>
      <c r="J769" s="30">
        <f>IF(OR(H769="",L769="Cancelled"),"",IF(H769-N(I769)&gt;0.005,H769-N(I769),""))</f>
        <v/>
      </c>
      <c r="K769" s="31" t="n"/>
      <c r="L769" s="36" t="n"/>
      <c r="M769" s="33" t="n"/>
      <c r="N769" s="22">
        <f>IF(OR(H769="",L769="Cancelled"),"",IF(N(E769)=0,1,E769)*IFERROR(INDEX(Products!$E$6:$E$105,MATCH(D769,Products!$B$6:$B$105,0)),0))</f>
        <v/>
      </c>
      <c r="O769" s="35" t="n"/>
      <c r="P769" s="22">
        <f>IF(OR(H769="",L769="Cancelled"),"",ROUND(IFERROR(H769*INDEX(Settings!$C$6:$C$15,MATCH(M769,Settings!$B$6:$B$15,0))+INDEX(Settings!$D$6:$D$15,MATCH(M769,Settings!$B$6:$B$15,0)),0),2))</f>
        <v/>
      </c>
      <c r="Q769" s="28">
        <f>IF(OR(H769="",L769="Cancelled"),"",H769-N(N769)-N(O769)-N(P769))</f>
        <v/>
      </c>
      <c r="R769" s="19">
        <f>IF(OR(B769="",K769=""),"",IF(OR(L769="Sent",L769="Picked up"),"Done",IF(L769="Cancelled","Cancelled",IF(K769&lt;TODAY(),"Late by "&amp;(TODAY()-K769)&amp;IF((TODAY()-K769)=1," day"," days"),IF(K769=TODAY(),"Due today","Due in "&amp;(K769-TODAY())&amp;IF((K769-TODAY())=1," day"," days"))))))</f>
        <v/>
      </c>
      <c r="S769" s="33" t="n"/>
      <c r="T769" s="1">
        <f>IF(AND(B769&lt;&gt;"",K769&lt;&gt;"",L769&lt;&gt;"Sent",L769&lt;&gt;"Picked up",L769&lt;&gt;"Cancelled"),K769+ROW()/10000000,"")</f>
        <v/>
      </c>
      <c r="U769">
        <f>IF(OR(B769="",C769=""),"",B769+ROW()/10000000)</f>
        <v/>
      </c>
      <c r="V769">
        <f>IF(U769="","",IF(COUNTIFS(Orders!$C$6:$C$1005,C769,Orders!$U$6:$U$1005,"&gt;"&amp;U769)=0,1,0))</f>
        <v/>
      </c>
      <c r="W769">
        <f>IF(AND(B769&lt;&gt;"",K769&lt;&gt;"",L769&lt;&gt;"Sent",L769&lt;&gt;"Picked up",L769&lt;&gt;"Cancelled"),IF(N(E769)=0,1,E769),0)</f>
        <v/>
      </c>
      <c r="X769">
        <f>IF(OR(B769="",D769=""),"",IF(N(E769)=0,1,E769))</f>
        <v/>
      </c>
    </row>
    <row r="770">
      <c r="A770" s="1" t="n"/>
      <c r="B770" s="31" t="n"/>
      <c r="C770" s="32" t="n"/>
      <c r="D770" s="33" t="n"/>
      <c r="E770" s="34" t="n"/>
      <c r="F770" s="35" t="n"/>
      <c r="G770" s="35" t="n"/>
      <c r="H770" s="30">
        <f>IF(OR(B770="",D770=""),"",IF(N(E770)=0,1,E770)*IFERROR(INDEX(Products!$C$6:$C$105,MATCH(D770,Products!$B$6:$B$105,0)),0)+N(F770)+N(G770))</f>
        <v/>
      </c>
      <c r="I770" s="35" t="n"/>
      <c r="J770" s="30">
        <f>IF(OR(H770="",L770="Cancelled"),"",IF(H770-N(I770)&gt;0.005,H770-N(I770),""))</f>
        <v/>
      </c>
      <c r="K770" s="31" t="n"/>
      <c r="L770" s="36" t="n"/>
      <c r="M770" s="33" t="n"/>
      <c r="N770" s="22">
        <f>IF(OR(H770="",L770="Cancelled"),"",IF(N(E770)=0,1,E770)*IFERROR(INDEX(Products!$E$6:$E$105,MATCH(D770,Products!$B$6:$B$105,0)),0))</f>
        <v/>
      </c>
      <c r="O770" s="35" t="n"/>
      <c r="P770" s="22">
        <f>IF(OR(H770="",L770="Cancelled"),"",ROUND(IFERROR(H770*INDEX(Settings!$C$6:$C$15,MATCH(M770,Settings!$B$6:$B$15,0))+INDEX(Settings!$D$6:$D$15,MATCH(M770,Settings!$B$6:$B$15,0)),0),2))</f>
        <v/>
      </c>
      <c r="Q770" s="28">
        <f>IF(OR(H770="",L770="Cancelled"),"",H770-N(N770)-N(O770)-N(P770))</f>
        <v/>
      </c>
      <c r="R770" s="19">
        <f>IF(OR(B770="",K770=""),"",IF(OR(L770="Sent",L770="Picked up"),"Done",IF(L770="Cancelled","Cancelled",IF(K770&lt;TODAY(),"Late by "&amp;(TODAY()-K770)&amp;IF((TODAY()-K770)=1," day"," days"),IF(K770=TODAY(),"Due today","Due in "&amp;(K770-TODAY())&amp;IF((K770-TODAY())=1," day"," days"))))))</f>
        <v/>
      </c>
      <c r="S770" s="33" t="n"/>
      <c r="T770" s="1">
        <f>IF(AND(B770&lt;&gt;"",K770&lt;&gt;"",L770&lt;&gt;"Sent",L770&lt;&gt;"Picked up",L770&lt;&gt;"Cancelled"),K770+ROW()/10000000,"")</f>
        <v/>
      </c>
      <c r="U770">
        <f>IF(OR(B770="",C770=""),"",B770+ROW()/10000000)</f>
        <v/>
      </c>
      <c r="V770">
        <f>IF(U770="","",IF(COUNTIFS(Orders!$C$6:$C$1005,C770,Orders!$U$6:$U$1005,"&gt;"&amp;U770)=0,1,0))</f>
        <v/>
      </c>
      <c r="W770">
        <f>IF(AND(B770&lt;&gt;"",K770&lt;&gt;"",L770&lt;&gt;"Sent",L770&lt;&gt;"Picked up",L770&lt;&gt;"Cancelled"),IF(N(E770)=0,1,E770),0)</f>
        <v/>
      </c>
      <c r="X770">
        <f>IF(OR(B770="",D770=""),"",IF(N(E770)=0,1,E770))</f>
        <v/>
      </c>
    </row>
    <row r="771">
      <c r="A771" s="1" t="n"/>
      <c r="B771" s="31" t="n"/>
      <c r="C771" s="32" t="n"/>
      <c r="D771" s="33" t="n"/>
      <c r="E771" s="34" t="n"/>
      <c r="F771" s="35" t="n"/>
      <c r="G771" s="35" t="n"/>
      <c r="H771" s="30">
        <f>IF(OR(B771="",D771=""),"",IF(N(E771)=0,1,E771)*IFERROR(INDEX(Products!$C$6:$C$105,MATCH(D771,Products!$B$6:$B$105,0)),0)+N(F771)+N(G771))</f>
        <v/>
      </c>
      <c r="I771" s="35" t="n"/>
      <c r="J771" s="30">
        <f>IF(OR(H771="",L771="Cancelled"),"",IF(H771-N(I771)&gt;0.005,H771-N(I771),""))</f>
        <v/>
      </c>
      <c r="K771" s="31" t="n"/>
      <c r="L771" s="36" t="n"/>
      <c r="M771" s="33" t="n"/>
      <c r="N771" s="22">
        <f>IF(OR(H771="",L771="Cancelled"),"",IF(N(E771)=0,1,E771)*IFERROR(INDEX(Products!$E$6:$E$105,MATCH(D771,Products!$B$6:$B$105,0)),0))</f>
        <v/>
      </c>
      <c r="O771" s="35" t="n"/>
      <c r="P771" s="22">
        <f>IF(OR(H771="",L771="Cancelled"),"",ROUND(IFERROR(H771*INDEX(Settings!$C$6:$C$15,MATCH(M771,Settings!$B$6:$B$15,0))+INDEX(Settings!$D$6:$D$15,MATCH(M771,Settings!$B$6:$B$15,0)),0),2))</f>
        <v/>
      </c>
      <c r="Q771" s="28">
        <f>IF(OR(H771="",L771="Cancelled"),"",H771-N(N771)-N(O771)-N(P771))</f>
        <v/>
      </c>
      <c r="R771" s="19">
        <f>IF(OR(B771="",K771=""),"",IF(OR(L771="Sent",L771="Picked up"),"Done",IF(L771="Cancelled","Cancelled",IF(K771&lt;TODAY(),"Late by "&amp;(TODAY()-K771)&amp;IF((TODAY()-K771)=1," day"," days"),IF(K771=TODAY(),"Due today","Due in "&amp;(K771-TODAY())&amp;IF((K771-TODAY())=1," day"," days"))))))</f>
        <v/>
      </c>
      <c r="S771" s="33" t="n"/>
      <c r="T771" s="1">
        <f>IF(AND(B771&lt;&gt;"",K771&lt;&gt;"",L771&lt;&gt;"Sent",L771&lt;&gt;"Picked up",L771&lt;&gt;"Cancelled"),K771+ROW()/10000000,"")</f>
        <v/>
      </c>
      <c r="U771">
        <f>IF(OR(B771="",C771=""),"",B771+ROW()/10000000)</f>
        <v/>
      </c>
      <c r="V771">
        <f>IF(U771="","",IF(COUNTIFS(Orders!$C$6:$C$1005,C771,Orders!$U$6:$U$1005,"&gt;"&amp;U771)=0,1,0))</f>
        <v/>
      </c>
      <c r="W771">
        <f>IF(AND(B771&lt;&gt;"",K771&lt;&gt;"",L771&lt;&gt;"Sent",L771&lt;&gt;"Picked up",L771&lt;&gt;"Cancelled"),IF(N(E771)=0,1,E771),0)</f>
        <v/>
      </c>
      <c r="X771">
        <f>IF(OR(B771="",D771=""),"",IF(N(E771)=0,1,E771))</f>
        <v/>
      </c>
    </row>
    <row r="772">
      <c r="A772" s="1" t="n"/>
      <c r="B772" s="31" t="n"/>
      <c r="C772" s="32" t="n"/>
      <c r="D772" s="33" t="n"/>
      <c r="E772" s="34" t="n"/>
      <c r="F772" s="35" t="n"/>
      <c r="G772" s="35" t="n"/>
      <c r="H772" s="30">
        <f>IF(OR(B772="",D772=""),"",IF(N(E772)=0,1,E772)*IFERROR(INDEX(Products!$C$6:$C$105,MATCH(D772,Products!$B$6:$B$105,0)),0)+N(F772)+N(G772))</f>
        <v/>
      </c>
      <c r="I772" s="35" t="n"/>
      <c r="J772" s="30">
        <f>IF(OR(H772="",L772="Cancelled"),"",IF(H772-N(I772)&gt;0.005,H772-N(I772),""))</f>
        <v/>
      </c>
      <c r="K772" s="31" t="n"/>
      <c r="L772" s="36" t="n"/>
      <c r="M772" s="33" t="n"/>
      <c r="N772" s="22">
        <f>IF(OR(H772="",L772="Cancelled"),"",IF(N(E772)=0,1,E772)*IFERROR(INDEX(Products!$E$6:$E$105,MATCH(D772,Products!$B$6:$B$105,0)),0))</f>
        <v/>
      </c>
      <c r="O772" s="35" t="n"/>
      <c r="P772" s="22">
        <f>IF(OR(H772="",L772="Cancelled"),"",ROUND(IFERROR(H772*INDEX(Settings!$C$6:$C$15,MATCH(M772,Settings!$B$6:$B$15,0))+INDEX(Settings!$D$6:$D$15,MATCH(M772,Settings!$B$6:$B$15,0)),0),2))</f>
        <v/>
      </c>
      <c r="Q772" s="28">
        <f>IF(OR(H772="",L772="Cancelled"),"",H772-N(N772)-N(O772)-N(P772))</f>
        <v/>
      </c>
      <c r="R772" s="19">
        <f>IF(OR(B772="",K772=""),"",IF(OR(L772="Sent",L772="Picked up"),"Done",IF(L772="Cancelled","Cancelled",IF(K772&lt;TODAY(),"Late by "&amp;(TODAY()-K772)&amp;IF((TODAY()-K772)=1," day"," days"),IF(K772=TODAY(),"Due today","Due in "&amp;(K772-TODAY())&amp;IF((K772-TODAY())=1," day"," days"))))))</f>
        <v/>
      </c>
      <c r="S772" s="33" t="n"/>
      <c r="T772" s="1">
        <f>IF(AND(B772&lt;&gt;"",K772&lt;&gt;"",L772&lt;&gt;"Sent",L772&lt;&gt;"Picked up",L772&lt;&gt;"Cancelled"),K772+ROW()/10000000,"")</f>
        <v/>
      </c>
      <c r="U772">
        <f>IF(OR(B772="",C772=""),"",B772+ROW()/10000000)</f>
        <v/>
      </c>
      <c r="V772">
        <f>IF(U772="","",IF(COUNTIFS(Orders!$C$6:$C$1005,C772,Orders!$U$6:$U$1005,"&gt;"&amp;U772)=0,1,0))</f>
        <v/>
      </c>
      <c r="W772">
        <f>IF(AND(B772&lt;&gt;"",K772&lt;&gt;"",L772&lt;&gt;"Sent",L772&lt;&gt;"Picked up",L772&lt;&gt;"Cancelled"),IF(N(E772)=0,1,E772),0)</f>
        <v/>
      </c>
      <c r="X772">
        <f>IF(OR(B772="",D772=""),"",IF(N(E772)=0,1,E772))</f>
        <v/>
      </c>
    </row>
    <row r="773">
      <c r="A773" s="1" t="n"/>
      <c r="B773" s="31" t="n"/>
      <c r="C773" s="32" t="n"/>
      <c r="D773" s="33" t="n"/>
      <c r="E773" s="34" t="n"/>
      <c r="F773" s="35" t="n"/>
      <c r="G773" s="35" t="n"/>
      <c r="H773" s="30">
        <f>IF(OR(B773="",D773=""),"",IF(N(E773)=0,1,E773)*IFERROR(INDEX(Products!$C$6:$C$105,MATCH(D773,Products!$B$6:$B$105,0)),0)+N(F773)+N(G773))</f>
        <v/>
      </c>
      <c r="I773" s="35" t="n"/>
      <c r="J773" s="30">
        <f>IF(OR(H773="",L773="Cancelled"),"",IF(H773-N(I773)&gt;0.005,H773-N(I773),""))</f>
        <v/>
      </c>
      <c r="K773" s="31" t="n"/>
      <c r="L773" s="36" t="n"/>
      <c r="M773" s="33" t="n"/>
      <c r="N773" s="22">
        <f>IF(OR(H773="",L773="Cancelled"),"",IF(N(E773)=0,1,E773)*IFERROR(INDEX(Products!$E$6:$E$105,MATCH(D773,Products!$B$6:$B$105,0)),0))</f>
        <v/>
      </c>
      <c r="O773" s="35" t="n"/>
      <c r="P773" s="22">
        <f>IF(OR(H773="",L773="Cancelled"),"",ROUND(IFERROR(H773*INDEX(Settings!$C$6:$C$15,MATCH(M773,Settings!$B$6:$B$15,0))+INDEX(Settings!$D$6:$D$15,MATCH(M773,Settings!$B$6:$B$15,0)),0),2))</f>
        <v/>
      </c>
      <c r="Q773" s="28">
        <f>IF(OR(H773="",L773="Cancelled"),"",H773-N(N773)-N(O773)-N(P773))</f>
        <v/>
      </c>
      <c r="R773" s="19">
        <f>IF(OR(B773="",K773=""),"",IF(OR(L773="Sent",L773="Picked up"),"Done",IF(L773="Cancelled","Cancelled",IF(K773&lt;TODAY(),"Late by "&amp;(TODAY()-K773)&amp;IF((TODAY()-K773)=1," day"," days"),IF(K773=TODAY(),"Due today","Due in "&amp;(K773-TODAY())&amp;IF((K773-TODAY())=1," day"," days"))))))</f>
        <v/>
      </c>
      <c r="S773" s="33" t="n"/>
      <c r="T773" s="1">
        <f>IF(AND(B773&lt;&gt;"",K773&lt;&gt;"",L773&lt;&gt;"Sent",L773&lt;&gt;"Picked up",L773&lt;&gt;"Cancelled"),K773+ROW()/10000000,"")</f>
        <v/>
      </c>
      <c r="U773">
        <f>IF(OR(B773="",C773=""),"",B773+ROW()/10000000)</f>
        <v/>
      </c>
      <c r="V773">
        <f>IF(U773="","",IF(COUNTIFS(Orders!$C$6:$C$1005,C773,Orders!$U$6:$U$1005,"&gt;"&amp;U773)=0,1,0))</f>
        <v/>
      </c>
      <c r="W773">
        <f>IF(AND(B773&lt;&gt;"",K773&lt;&gt;"",L773&lt;&gt;"Sent",L773&lt;&gt;"Picked up",L773&lt;&gt;"Cancelled"),IF(N(E773)=0,1,E773),0)</f>
        <v/>
      </c>
      <c r="X773">
        <f>IF(OR(B773="",D773=""),"",IF(N(E773)=0,1,E773))</f>
        <v/>
      </c>
    </row>
    <row r="774">
      <c r="A774" s="1" t="n"/>
      <c r="B774" s="31" t="n"/>
      <c r="C774" s="32" t="n"/>
      <c r="D774" s="33" t="n"/>
      <c r="E774" s="34" t="n"/>
      <c r="F774" s="35" t="n"/>
      <c r="G774" s="35" t="n"/>
      <c r="H774" s="30">
        <f>IF(OR(B774="",D774=""),"",IF(N(E774)=0,1,E774)*IFERROR(INDEX(Products!$C$6:$C$105,MATCH(D774,Products!$B$6:$B$105,0)),0)+N(F774)+N(G774))</f>
        <v/>
      </c>
      <c r="I774" s="35" t="n"/>
      <c r="J774" s="30">
        <f>IF(OR(H774="",L774="Cancelled"),"",IF(H774-N(I774)&gt;0.005,H774-N(I774),""))</f>
        <v/>
      </c>
      <c r="K774" s="31" t="n"/>
      <c r="L774" s="36" t="n"/>
      <c r="M774" s="33" t="n"/>
      <c r="N774" s="22">
        <f>IF(OR(H774="",L774="Cancelled"),"",IF(N(E774)=0,1,E774)*IFERROR(INDEX(Products!$E$6:$E$105,MATCH(D774,Products!$B$6:$B$105,0)),0))</f>
        <v/>
      </c>
      <c r="O774" s="35" t="n"/>
      <c r="P774" s="22">
        <f>IF(OR(H774="",L774="Cancelled"),"",ROUND(IFERROR(H774*INDEX(Settings!$C$6:$C$15,MATCH(M774,Settings!$B$6:$B$15,0))+INDEX(Settings!$D$6:$D$15,MATCH(M774,Settings!$B$6:$B$15,0)),0),2))</f>
        <v/>
      </c>
      <c r="Q774" s="28">
        <f>IF(OR(H774="",L774="Cancelled"),"",H774-N(N774)-N(O774)-N(P774))</f>
        <v/>
      </c>
      <c r="R774" s="19">
        <f>IF(OR(B774="",K774=""),"",IF(OR(L774="Sent",L774="Picked up"),"Done",IF(L774="Cancelled","Cancelled",IF(K774&lt;TODAY(),"Late by "&amp;(TODAY()-K774)&amp;IF((TODAY()-K774)=1," day"," days"),IF(K774=TODAY(),"Due today","Due in "&amp;(K774-TODAY())&amp;IF((K774-TODAY())=1," day"," days"))))))</f>
        <v/>
      </c>
      <c r="S774" s="33" t="n"/>
      <c r="T774" s="1">
        <f>IF(AND(B774&lt;&gt;"",K774&lt;&gt;"",L774&lt;&gt;"Sent",L774&lt;&gt;"Picked up",L774&lt;&gt;"Cancelled"),K774+ROW()/10000000,"")</f>
        <v/>
      </c>
      <c r="U774">
        <f>IF(OR(B774="",C774=""),"",B774+ROW()/10000000)</f>
        <v/>
      </c>
      <c r="V774">
        <f>IF(U774="","",IF(COUNTIFS(Orders!$C$6:$C$1005,C774,Orders!$U$6:$U$1005,"&gt;"&amp;U774)=0,1,0))</f>
        <v/>
      </c>
      <c r="W774">
        <f>IF(AND(B774&lt;&gt;"",K774&lt;&gt;"",L774&lt;&gt;"Sent",L774&lt;&gt;"Picked up",L774&lt;&gt;"Cancelled"),IF(N(E774)=0,1,E774),0)</f>
        <v/>
      </c>
      <c r="X774">
        <f>IF(OR(B774="",D774=""),"",IF(N(E774)=0,1,E774))</f>
        <v/>
      </c>
    </row>
    <row r="775">
      <c r="A775" s="1" t="n"/>
      <c r="B775" s="31" t="n"/>
      <c r="C775" s="32" t="n"/>
      <c r="D775" s="33" t="n"/>
      <c r="E775" s="34" t="n"/>
      <c r="F775" s="35" t="n"/>
      <c r="G775" s="35" t="n"/>
      <c r="H775" s="30">
        <f>IF(OR(B775="",D775=""),"",IF(N(E775)=0,1,E775)*IFERROR(INDEX(Products!$C$6:$C$105,MATCH(D775,Products!$B$6:$B$105,0)),0)+N(F775)+N(G775))</f>
        <v/>
      </c>
      <c r="I775" s="35" t="n"/>
      <c r="J775" s="30">
        <f>IF(OR(H775="",L775="Cancelled"),"",IF(H775-N(I775)&gt;0.005,H775-N(I775),""))</f>
        <v/>
      </c>
      <c r="K775" s="31" t="n"/>
      <c r="L775" s="36" t="n"/>
      <c r="M775" s="33" t="n"/>
      <c r="N775" s="22">
        <f>IF(OR(H775="",L775="Cancelled"),"",IF(N(E775)=0,1,E775)*IFERROR(INDEX(Products!$E$6:$E$105,MATCH(D775,Products!$B$6:$B$105,0)),0))</f>
        <v/>
      </c>
      <c r="O775" s="35" t="n"/>
      <c r="P775" s="22">
        <f>IF(OR(H775="",L775="Cancelled"),"",ROUND(IFERROR(H775*INDEX(Settings!$C$6:$C$15,MATCH(M775,Settings!$B$6:$B$15,0))+INDEX(Settings!$D$6:$D$15,MATCH(M775,Settings!$B$6:$B$15,0)),0),2))</f>
        <v/>
      </c>
      <c r="Q775" s="28">
        <f>IF(OR(H775="",L775="Cancelled"),"",H775-N(N775)-N(O775)-N(P775))</f>
        <v/>
      </c>
      <c r="R775" s="19">
        <f>IF(OR(B775="",K775=""),"",IF(OR(L775="Sent",L775="Picked up"),"Done",IF(L775="Cancelled","Cancelled",IF(K775&lt;TODAY(),"Late by "&amp;(TODAY()-K775)&amp;IF((TODAY()-K775)=1," day"," days"),IF(K775=TODAY(),"Due today","Due in "&amp;(K775-TODAY())&amp;IF((K775-TODAY())=1," day"," days"))))))</f>
        <v/>
      </c>
      <c r="S775" s="33" t="n"/>
      <c r="T775" s="1">
        <f>IF(AND(B775&lt;&gt;"",K775&lt;&gt;"",L775&lt;&gt;"Sent",L775&lt;&gt;"Picked up",L775&lt;&gt;"Cancelled"),K775+ROW()/10000000,"")</f>
        <v/>
      </c>
      <c r="U775">
        <f>IF(OR(B775="",C775=""),"",B775+ROW()/10000000)</f>
        <v/>
      </c>
      <c r="V775">
        <f>IF(U775="","",IF(COUNTIFS(Orders!$C$6:$C$1005,C775,Orders!$U$6:$U$1005,"&gt;"&amp;U775)=0,1,0))</f>
        <v/>
      </c>
      <c r="W775">
        <f>IF(AND(B775&lt;&gt;"",K775&lt;&gt;"",L775&lt;&gt;"Sent",L775&lt;&gt;"Picked up",L775&lt;&gt;"Cancelled"),IF(N(E775)=0,1,E775),0)</f>
        <v/>
      </c>
      <c r="X775">
        <f>IF(OR(B775="",D775=""),"",IF(N(E775)=0,1,E775))</f>
        <v/>
      </c>
    </row>
    <row r="776">
      <c r="A776" s="1" t="n"/>
      <c r="B776" s="31" t="n"/>
      <c r="C776" s="32" t="n"/>
      <c r="D776" s="33" t="n"/>
      <c r="E776" s="34" t="n"/>
      <c r="F776" s="35" t="n"/>
      <c r="G776" s="35" t="n"/>
      <c r="H776" s="30">
        <f>IF(OR(B776="",D776=""),"",IF(N(E776)=0,1,E776)*IFERROR(INDEX(Products!$C$6:$C$105,MATCH(D776,Products!$B$6:$B$105,0)),0)+N(F776)+N(G776))</f>
        <v/>
      </c>
      <c r="I776" s="35" t="n"/>
      <c r="J776" s="30">
        <f>IF(OR(H776="",L776="Cancelled"),"",IF(H776-N(I776)&gt;0.005,H776-N(I776),""))</f>
        <v/>
      </c>
      <c r="K776" s="31" t="n"/>
      <c r="L776" s="36" t="n"/>
      <c r="M776" s="33" t="n"/>
      <c r="N776" s="22">
        <f>IF(OR(H776="",L776="Cancelled"),"",IF(N(E776)=0,1,E776)*IFERROR(INDEX(Products!$E$6:$E$105,MATCH(D776,Products!$B$6:$B$105,0)),0))</f>
        <v/>
      </c>
      <c r="O776" s="35" t="n"/>
      <c r="P776" s="22">
        <f>IF(OR(H776="",L776="Cancelled"),"",ROUND(IFERROR(H776*INDEX(Settings!$C$6:$C$15,MATCH(M776,Settings!$B$6:$B$15,0))+INDEX(Settings!$D$6:$D$15,MATCH(M776,Settings!$B$6:$B$15,0)),0),2))</f>
        <v/>
      </c>
      <c r="Q776" s="28">
        <f>IF(OR(H776="",L776="Cancelled"),"",H776-N(N776)-N(O776)-N(P776))</f>
        <v/>
      </c>
      <c r="R776" s="19">
        <f>IF(OR(B776="",K776=""),"",IF(OR(L776="Sent",L776="Picked up"),"Done",IF(L776="Cancelled","Cancelled",IF(K776&lt;TODAY(),"Late by "&amp;(TODAY()-K776)&amp;IF((TODAY()-K776)=1," day"," days"),IF(K776=TODAY(),"Due today","Due in "&amp;(K776-TODAY())&amp;IF((K776-TODAY())=1," day"," days"))))))</f>
        <v/>
      </c>
      <c r="S776" s="33" t="n"/>
      <c r="T776" s="1">
        <f>IF(AND(B776&lt;&gt;"",K776&lt;&gt;"",L776&lt;&gt;"Sent",L776&lt;&gt;"Picked up",L776&lt;&gt;"Cancelled"),K776+ROW()/10000000,"")</f>
        <v/>
      </c>
      <c r="U776">
        <f>IF(OR(B776="",C776=""),"",B776+ROW()/10000000)</f>
        <v/>
      </c>
      <c r="V776">
        <f>IF(U776="","",IF(COUNTIFS(Orders!$C$6:$C$1005,C776,Orders!$U$6:$U$1005,"&gt;"&amp;U776)=0,1,0))</f>
        <v/>
      </c>
      <c r="W776">
        <f>IF(AND(B776&lt;&gt;"",K776&lt;&gt;"",L776&lt;&gt;"Sent",L776&lt;&gt;"Picked up",L776&lt;&gt;"Cancelled"),IF(N(E776)=0,1,E776),0)</f>
        <v/>
      </c>
      <c r="X776">
        <f>IF(OR(B776="",D776=""),"",IF(N(E776)=0,1,E776))</f>
        <v/>
      </c>
    </row>
    <row r="777">
      <c r="A777" s="1" t="n"/>
      <c r="B777" s="31" t="n"/>
      <c r="C777" s="32" t="n"/>
      <c r="D777" s="33" t="n"/>
      <c r="E777" s="34" t="n"/>
      <c r="F777" s="35" t="n"/>
      <c r="G777" s="35" t="n"/>
      <c r="H777" s="30">
        <f>IF(OR(B777="",D777=""),"",IF(N(E777)=0,1,E777)*IFERROR(INDEX(Products!$C$6:$C$105,MATCH(D777,Products!$B$6:$B$105,0)),0)+N(F777)+N(G777))</f>
        <v/>
      </c>
      <c r="I777" s="35" t="n"/>
      <c r="J777" s="30">
        <f>IF(OR(H777="",L777="Cancelled"),"",IF(H777-N(I777)&gt;0.005,H777-N(I777),""))</f>
        <v/>
      </c>
      <c r="K777" s="31" t="n"/>
      <c r="L777" s="36" t="n"/>
      <c r="M777" s="33" t="n"/>
      <c r="N777" s="22">
        <f>IF(OR(H777="",L777="Cancelled"),"",IF(N(E777)=0,1,E777)*IFERROR(INDEX(Products!$E$6:$E$105,MATCH(D777,Products!$B$6:$B$105,0)),0))</f>
        <v/>
      </c>
      <c r="O777" s="35" t="n"/>
      <c r="P777" s="22">
        <f>IF(OR(H777="",L777="Cancelled"),"",ROUND(IFERROR(H777*INDEX(Settings!$C$6:$C$15,MATCH(M777,Settings!$B$6:$B$15,0))+INDEX(Settings!$D$6:$D$15,MATCH(M777,Settings!$B$6:$B$15,0)),0),2))</f>
        <v/>
      </c>
      <c r="Q777" s="28">
        <f>IF(OR(H777="",L777="Cancelled"),"",H777-N(N777)-N(O777)-N(P777))</f>
        <v/>
      </c>
      <c r="R777" s="19">
        <f>IF(OR(B777="",K777=""),"",IF(OR(L777="Sent",L777="Picked up"),"Done",IF(L777="Cancelled","Cancelled",IF(K777&lt;TODAY(),"Late by "&amp;(TODAY()-K777)&amp;IF((TODAY()-K777)=1," day"," days"),IF(K777=TODAY(),"Due today","Due in "&amp;(K777-TODAY())&amp;IF((K777-TODAY())=1," day"," days"))))))</f>
        <v/>
      </c>
      <c r="S777" s="33" t="n"/>
      <c r="T777" s="1">
        <f>IF(AND(B777&lt;&gt;"",K777&lt;&gt;"",L777&lt;&gt;"Sent",L777&lt;&gt;"Picked up",L777&lt;&gt;"Cancelled"),K777+ROW()/10000000,"")</f>
        <v/>
      </c>
      <c r="U777">
        <f>IF(OR(B777="",C777=""),"",B777+ROW()/10000000)</f>
        <v/>
      </c>
      <c r="V777">
        <f>IF(U777="","",IF(COUNTIFS(Orders!$C$6:$C$1005,C777,Orders!$U$6:$U$1005,"&gt;"&amp;U777)=0,1,0))</f>
        <v/>
      </c>
      <c r="W777">
        <f>IF(AND(B777&lt;&gt;"",K777&lt;&gt;"",L777&lt;&gt;"Sent",L777&lt;&gt;"Picked up",L777&lt;&gt;"Cancelled"),IF(N(E777)=0,1,E777),0)</f>
        <v/>
      </c>
      <c r="X777">
        <f>IF(OR(B777="",D777=""),"",IF(N(E777)=0,1,E777))</f>
        <v/>
      </c>
    </row>
    <row r="778">
      <c r="A778" s="1" t="n"/>
      <c r="B778" s="31" t="n"/>
      <c r="C778" s="32" t="n"/>
      <c r="D778" s="33" t="n"/>
      <c r="E778" s="34" t="n"/>
      <c r="F778" s="35" t="n"/>
      <c r="G778" s="35" t="n"/>
      <c r="H778" s="30">
        <f>IF(OR(B778="",D778=""),"",IF(N(E778)=0,1,E778)*IFERROR(INDEX(Products!$C$6:$C$105,MATCH(D778,Products!$B$6:$B$105,0)),0)+N(F778)+N(G778))</f>
        <v/>
      </c>
      <c r="I778" s="35" t="n"/>
      <c r="J778" s="30">
        <f>IF(OR(H778="",L778="Cancelled"),"",IF(H778-N(I778)&gt;0.005,H778-N(I778),""))</f>
        <v/>
      </c>
      <c r="K778" s="31" t="n"/>
      <c r="L778" s="36" t="n"/>
      <c r="M778" s="33" t="n"/>
      <c r="N778" s="22">
        <f>IF(OR(H778="",L778="Cancelled"),"",IF(N(E778)=0,1,E778)*IFERROR(INDEX(Products!$E$6:$E$105,MATCH(D778,Products!$B$6:$B$105,0)),0))</f>
        <v/>
      </c>
      <c r="O778" s="35" t="n"/>
      <c r="P778" s="22">
        <f>IF(OR(H778="",L778="Cancelled"),"",ROUND(IFERROR(H778*INDEX(Settings!$C$6:$C$15,MATCH(M778,Settings!$B$6:$B$15,0))+INDEX(Settings!$D$6:$D$15,MATCH(M778,Settings!$B$6:$B$15,0)),0),2))</f>
        <v/>
      </c>
      <c r="Q778" s="28">
        <f>IF(OR(H778="",L778="Cancelled"),"",H778-N(N778)-N(O778)-N(P778))</f>
        <v/>
      </c>
      <c r="R778" s="19">
        <f>IF(OR(B778="",K778=""),"",IF(OR(L778="Sent",L778="Picked up"),"Done",IF(L778="Cancelled","Cancelled",IF(K778&lt;TODAY(),"Late by "&amp;(TODAY()-K778)&amp;IF((TODAY()-K778)=1," day"," days"),IF(K778=TODAY(),"Due today","Due in "&amp;(K778-TODAY())&amp;IF((K778-TODAY())=1," day"," days"))))))</f>
        <v/>
      </c>
      <c r="S778" s="33" t="n"/>
      <c r="T778" s="1">
        <f>IF(AND(B778&lt;&gt;"",K778&lt;&gt;"",L778&lt;&gt;"Sent",L778&lt;&gt;"Picked up",L778&lt;&gt;"Cancelled"),K778+ROW()/10000000,"")</f>
        <v/>
      </c>
      <c r="U778">
        <f>IF(OR(B778="",C778=""),"",B778+ROW()/10000000)</f>
        <v/>
      </c>
      <c r="V778">
        <f>IF(U778="","",IF(COUNTIFS(Orders!$C$6:$C$1005,C778,Orders!$U$6:$U$1005,"&gt;"&amp;U778)=0,1,0))</f>
        <v/>
      </c>
      <c r="W778">
        <f>IF(AND(B778&lt;&gt;"",K778&lt;&gt;"",L778&lt;&gt;"Sent",L778&lt;&gt;"Picked up",L778&lt;&gt;"Cancelled"),IF(N(E778)=0,1,E778),0)</f>
        <v/>
      </c>
      <c r="X778">
        <f>IF(OR(B778="",D778=""),"",IF(N(E778)=0,1,E778))</f>
        <v/>
      </c>
    </row>
    <row r="779">
      <c r="A779" s="1" t="n"/>
      <c r="B779" s="31" t="n"/>
      <c r="C779" s="32" t="n"/>
      <c r="D779" s="33" t="n"/>
      <c r="E779" s="34" t="n"/>
      <c r="F779" s="35" t="n"/>
      <c r="G779" s="35" t="n"/>
      <c r="H779" s="30">
        <f>IF(OR(B779="",D779=""),"",IF(N(E779)=0,1,E779)*IFERROR(INDEX(Products!$C$6:$C$105,MATCH(D779,Products!$B$6:$B$105,0)),0)+N(F779)+N(G779))</f>
        <v/>
      </c>
      <c r="I779" s="35" t="n"/>
      <c r="J779" s="30">
        <f>IF(OR(H779="",L779="Cancelled"),"",IF(H779-N(I779)&gt;0.005,H779-N(I779),""))</f>
        <v/>
      </c>
      <c r="K779" s="31" t="n"/>
      <c r="L779" s="36" t="n"/>
      <c r="M779" s="33" t="n"/>
      <c r="N779" s="22">
        <f>IF(OR(H779="",L779="Cancelled"),"",IF(N(E779)=0,1,E779)*IFERROR(INDEX(Products!$E$6:$E$105,MATCH(D779,Products!$B$6:$B$105,0)),0))</f>
        <v/>
      </c>
      <c r="O779" s="35" t="n"/>
      <c r="P779" s="22">
        <f>IF(OR(H779="",L779="Cancelled"),"",ROUND(IFERROR(H779*INDEX(Settings!$C$6:$C$15,MATCH(M779,Settings!$B$6:$B$15,0))+INDEX(Settings!$D$6:$D$15,MATCH(M779,Settings!$B$6:$B$15,0)),0),2))</f>
        <v/>
      </c>
      <c r="Q779" s="28">
        <f>IF(OR(H779="",L779="Cancelled"),"",H779-N(N779)-N(O779)-N(P779))</f>
        <v/>
      </c>
      <c r="R779" s="19">
        <f>IF(OR(B779="",K779=""),"",IF(OR(L779="Sent",L779="Picked up"),"Done",IF(L779="Cancelled","Cancelled",IF(K779&lt;TODAY(),"Late by "&amp;(TODAY()-K779)&amp;IF((TODAY()-K779)=1," day"," days"),IF(K779=TODAY(),"Due today","Due in "&amp;(K779-TODAY())&amp;IF((K779-TODAY())=1," day"," days"))))))</f>
        <v/>
      </c>
      <c r="S779" s="33" t="n"/>
      <c r="T779" s="1">
        <f>IF(AND(B779&lt;&gt;"",K779&lt;&gt;"",L779&lt;&gt;"Sent",L779&lt;&gt;"Picked up",L779&lt;&gt;"Cancelled"),K779+ROW()/10000000,"")</f>
        <v/>
      </c>
      <c r="U779">
        <f>IF(OR(B779="",C779=""),"",B779+ROW()/10000000)</f>
        <v/>
      </c>
      <c r="V779">
        <f>IF(U779="","",IF(COUNTIFS(Orders!$C$6:$C$1005,C779,Orders!$U$6:$U$1005,"&gt;"&amp;U779)=0,1,0))</f>
        <v/>
      </c>
      <c r="W779">
        <f>IF(AND(B779&lt;&gt;"",K779&lt;&gt;"",L779&lt;&gt;"Sent",L779&lt;&gt;"Picked up",L779&lt;&gt;"Cancelled"),IF(N(E779)=0,1,E779),0)</f>
        <v/>
      </c>
      <c r="X779">
        <f>IF(OR(B779="",D779=""),"",IF(N(E779)=0,1,E779))</f>
        <v/>
      </c>
    </row>
    <row r="780">
      <c r="A780" s="1" t="n"/>
      <c r="B780" s="31" t="n"/>
      <c r="C780" s="32" t="n"/>
      <c r="D780" s="33" t="n"/>
      <c r="E780" s="34" t="n"/>
      <c r="F780" s="35" t="n"/>
      <c r="G780" s="35" t="n"/>
      <c r="H780" s="30">
        <f>IF(OR(B780="",D780=""),"",IF(N(E780)=0,1,E780)*IFERROR(INDEX(Products!$C$6:$C$105,MATCH(D780,Products!$B$6:$B$105,0)),0)+N(F780)+N(G780))</f>
        <v/>
      </c>
      <c r="I780" s="35" t="n"/>
      <c r="J780" s="30">
        <f>IF(OR(H780="",L780="Cancelled"),"",IF(H780-N(I780)&gt;0.005,H780-N(I780),""))</f>
        <v/>
      </c>
      <c r="K780" s="31" t="n"/>
      <c r="L780" s="36" t="n"/>
      <c r="M780" s="33" t="n"/>
      <c r="N780" s="22">
        <f>IF(OR(H780="",L780="Cancelled"),"",IF(N(E780)=0,1,E780)*IFERROR(INDEX(Products!$E$6:$E$105,MATCH(D780,Products!$B$6:$B$105,0)),0))</f>
        <v/>
      </c>
      <c r="O780" s="35" t="n"/>
      <c r="P780" s="22">
        <f>IF(OR(H780="",L780="Cancelled"),"",ROUND(IFERROR(H780*INDEX(Settings!$C$6:$C$15,MATCH(M780,Settings!$B$6:$B$15,0))+INDEX(Settings!$D$6:$D$15,MATCH(M780,Settings!$B$6:$B$15,0)),0),2))</f>
        <v/>
      </c>
      <c r="Q780" s="28">
        <f>IF(OR(H780="",L780="Cancelled"),"",H780-N(N780)-N(O780)-N(P780))</f>
        <v/>
      </c>
      <c r="R780" s="19">
        <f>IF(OR(B780="",K780=""),"",IF(OR(L780="Sent",L780="Picked up"),"Done",IF(L780="Cancelled","Cancelled",IF(K780&lt;TODAY(),"Late by "&amp;(TODAY()-K780)&amp;IF((TODAY()-K780)=1," day"," days"),IF(K780=TODAY(),"Due today","Due in "&amp;(K780-TODAY())&amp;IF((K780-TODAY())=1," day"," days"))))))</f>
        <v/>
      </c>
      <c r="S780" s="33" t="n"/>
      <c r="T780" s="1">
        <f>IF(AND(B780&lt;&gt;"",K780&lt;&gt;"",L780&lt;&gt;"Sent",L780&lt;&gt;"Picked up",L780&lt;&gt;"Cancelled"),K780+ROW()/10000000,"")</f>
        <v/>
      </c>
      <c r="U780">
        <f>IF(OR(B780="",C780=""),"",B780+ROW()/10000000)</f>
        <v/>
      </c>
      <c r="V780">
        <f>IF(U780="","",IF(COUNTIFS(Orders!$C$6:$C$1005,C780,Orders!$U$6:$U$1005,"&gt;"&amp;U780)=0,1,0))</f>
        <v/>
      </c>
      <c r="W780">
        <f>IF(AND(B780&lt;&gt;"",K780&lt;&gt;"",L780&lt;&gt;"Sent",L780&lt;&gt;"Picked up",L780&lt;&gt;"Cancelled"),IF(N(E780)=0,1,E780),0)</f>
        <v/>
      </c>
      <c r="X780">
        <f>IF(OR(B780="",D780=""),"",IF(N(E780)=0,1,E780))</f>
        <v/>
      </c>
    </row>
    <row r="781">
      <c r="A781" s="1" t="n"/>
      <c r="B781" s="31" t="n"/>
      <c r="C781" s="32" t="n"/>
      <c r="D781" s="33" t="n"/>
      <c r="E781" s="34" t="n"/>
      <c r="F781" s="35" t="n"/>
      <c r="G781" s="35" t="n"/>
      <c r="H781" s="30">
        <f>IF(OR(B781="",D781=""),"",IF(N(E781)=0,1,E781)*IFERROR(INDEX(Products!$C$6:$C$105,MATCH(D781,Products!$B$6:$B$105,0)),0)+N(F781)+N(G781))</f>
        <v/>
      </c>
      <c r="I781" s="35" t="n"/>
      <c r="J781" s="30">
        <f>IF(OR(H781="",L781="Cancelled"),"",IF(H781-N(I781)&gt;0.005,H781-N(I781),""))</f>
        <v/>
      </c>
      <c r="K781" s="31" t="n"/>
      <c r="L781" s="36" t="n"/>
      <c r="M781" s="33" t="n"/>
      <c r="N781" s="22">
        <f>IF(OR(H781="",L781="Cancelled"),"",IF(N(E781)=0,1,E781)*IFERROR(INDEX(Products!$E$6:$E$105,MATCH(D781,Products!$B$6:$B$105,0)),0))</f>
        <v/>
      </c>
      <c r="O781" s="35" t="n"/>
      <c r="P781" s="22">
        <f>IF(OR(H781="",L781="Cancelled"),"",ROUND(IFERROR(H781*INDEX(Settings!$C$6:$C$15,MATCH(M781,Settings!$B$6:$B$15,0))+INDEX(Settings!$D$6:$D$15,MATCH(M781,Settings!$B$6:$B$15,0)),0),2))</f>
        <v/>
      </c>
      <c r="Q781" s="28">
        <f>IF(OR(H781="",L781="Cancelled"),"",H781-N(N781)-N(O781)-N(P781))</f>
        <v/>
      </c>
      <c r="R781" s="19">
        <f>IF(OR(B781="",K781=""),"",IF(OR(L781="Sent",L781="Picked up"),"Done",IF(L781="Cancelled","Cancelled",IF(K781&lt;TODAY(),"Late by "&amp;(TODAY()-K781)&amp;IF((TODAY()-K781)=1," day"," days"),IF(K781=TODAY(),"Due today","Due in "&amp;(K781-TODAY())&amp;IF((K781-TODAY())=1," day"," days"))))))</f>
        <v/>
      </c>
      <c r="S781" s="33" t="n"/>
      <c r="T781" s="1">
        <f>IF(AND(B781&lt;&gt;"",K781&lt;&gt;"",L781&lt;&gt;"Sent",L781&lt;&gt;"Picked up",L781&lt;&gt;"Cancelled"),K781+ROW()/10000000,"")</f>
        <v/>
      </c>
      <c r="U781">
        <f>IF(OR(B781="",C781=""),"",B781+ROW()/10000000)</f>
        <v/>
      </c>
      <c r="V781">
        <f>IF(U781="","",IF(COUNTIFS(Orders!$C$6:$C$1005,C781,Orders!$U$6:$U$1005,"&gt;"&amp;U781)=0,1,0))</f>
        <v/>
      </c>
      <c r="W781">
        <f>IF(AND(B781&lt;&gt;"",K781&lt;&gt;"",L781&lt;&gt;"Sent",L781&lt;&gt;"Picked up",L781&lt;&gt;"Cancelled"),IF(N(E781)=0,1,E781),0)</f>
        <v/>
      </c>
      <c r="X781">
        <f>IF(OR(B781="",D781=""),"",IF(N(E781)=0,1,E781))</f>
        <v/>
      </c>
    </row>
    <row r="782">
      <c r="A782" s="1" t="n"/>
      <c r="B782" s="31" t="n"/>
      <c r="C782" s="32" t="n"/>
      <c r="D782" s="33" t="n"/>
      <c r="E782" s="34" t="n"/>
      <c r="F782" s="35" t="n"/>
      <c r="G782" s="35" t="n"/>
      <c r="H782" s="30">
        <f>IF(OR(B782="",D782=""),"",IF(N(E782)=0,1,E782)*IFERROR(INDEX(Products!$C$6:$C$105,MATCH(D782,Products!$B$6:$B$105,0)),0)+N(F782)+N(G782))</f>
        <v/>
      </c>
      <c r="I782" s="35" t="n"/>
      <c r="J782" s="30">
        <f>IF(OR(H782="",L782="Cancelled"),"",IF(H782-N(I782)&gt;0.005,H782-N(I782),""))</f>
        <v/>
      </c>
      <c r="K782" s="31" t="n"/>
      <c r="L782" s="36" t="n"/>
      <c r="M782" s="33" t="n"/>
      <c r="N782" s="22">
        <f>IF(OR(H782="",L782="Cancelled"),"",IF(N(E782)=0,1,E782)*IFERROR(INDEX(Products!$E$6:$E$105,MATCH(D782,Products!$B$6:$B$105,0)),0))</f>
        <v/>
      </c>
      <c r="O782" s="35" t="n"/>
      <c r="P782" s="22">
        <f>IF(OR(H782="",L782="Cancelled"),"",ROUND(IFERROR(H782*INDEX(Settings!$C$6:$C$15,MATCH(M782,Settings!$B$6:$B$15,0))+INDEX(Settings!$D$6:$D$15,MATCH(M782,Settings!$B$6:$B$15,0)),0),2))</f>
        <v/>
      </c>
      <c r="Q782" s="28">
        <f>IF(OR(H782="",L782="Cancelled"),"",H782-N(N782)-N(O782)-N(P782))</f>
        <v/>
      </c>
      <c r="R782" s="19">
        <f>IF(OR(B782="",K782=""),"",IF(OR(L782="Sent",L782="Picked up"),"Done",IF(L782="Cancelled","Cancelled",IF(K782&lt;TODAY(),"Late by "&amp;(TODAY()-K782)&amp;IF((TODAY()-K782)=1," day"," days"),IF(K782=TODAY(),"Due today","Due in "&amp;(K782-TODAY())&amp;IF((K782-TODAY())=1," day"," days"))))))</f>
        <v/>
      </c>
      <c r="S782" s="33" t="n"/>
      <c r="T782" s="1">
        <f>IF(AND(B782&lt;&gt;"",K782&lt;&gt;"",L782&lt;&gt;"Sent",L782&lt;&gt;"Picked up",L782&lt;&gt;"Cancelled"),K782+ROW()/10000000,"")</f>
        <v/>
      </c>
      <c r="U782">
        <f>IF(OR(B782="",C782=""),"",B782+ROW()/10000000)</f>
        <v/>
      </c>
      <c r="V782">
        <f>IF(U782="","",IF(COUNTIFS(Orders!$C$6:$C$1005,C782,Orders!$U$6:$U$1005,"&gt;"&amp;U782)=0,1,0))</f>
        <v/>
      </c>
      <c r="W782">
        <f>IF(AND(B782&lt;&gt;"",K782&lt;&gt;"",L782&lt;&gt;"Sent",L782&lt;&gt;"Picked up",L782&lt;&gt;"Cancelled"),IF(N(E782)=0,1,E782),0)</f>
        <v/>
      </c>
      <c r="X782">
        <f>IF(OR(B782="",D782=""),"",IF(N(E782)=0,1,E782))</f>
        <v/>
      </c>
    </row>
    <row r="783">
      <c r="A783" s="1" t="n"/>
      <c r="B783" s="31" t="n"/>
      <c r="C783" s="32" t="n"/>
      <c r="D783" s="33" t="n"/>
      <c r="E783" s="34" t="n"/>
      <c r="F783" s="35" t="n"/>
      <c r="G783" s="35" t="n"/>
      <c r="H783" s="30">
        <f>IF(OR(B783="",D783=""),"",IF(N(E783)=0,1,E783)*IFERROR(INDEX(Products!$C$6:$C$105,MATCH(D783,Products!$B$6:$B$105,0)),0)+N(F783)+N(G783))</f>
        <v/>
      </c>
      <c r="I783" s="35" t="n"/>
      <c r="J783" s="30">
        <f>IF(OR(H783="",L783="Cancelled"),"",IF(H783-N(I783)&gt;0.005,H783-N(I783),""))</f>
        <v/>
      </c>
      <c r="K783" s="31" t="n"/>
      <c r="L783" s="36" t="n"/>
      <c r="M783" s="33" t="n"/>
      <c r="N783" s="22">
        <f>IF(OR(H783="",L783="Cancelled"),"",IF(N(E783)=0,1,E783)*IFERROR(INDEX(Products!$E$6:$E$105,MATCH(D783,Products!$B$6:$B$105,0)),0))</f>
        <v/>
      </c>
      <c r="O783" s="35" t="n"/>
      <c r="P783" s="22">
        <f>IF(OR(H783="",L783="Cancelled"),"",ROUND(IFERROR(H783*INDEX(Settings!$C$6:$C$15,MATCH(M783,Settings!$B$6:$B$15,0))+INDEX(Settings!$D$6:$D$15,MATCH(M783,Settings!$B$6:$B$15,0)),0),2))</f>
        <v/>
      </c>
      <c r="Q783" s="28">
        <f>IF(OR(H783="",L783="Cancelled"),"",H783-N(N783)-N(O783)-N(P783))</f>
        <v/>
      </c>
      <c r="R783" s="19">
        <f>IF(OR(B783="",K783=""),"",IF(OR(L783="Sent",L783="Picked up"),"Done",IF(L783="Cancelled","Cancelled",IF(K783&lt;TODAY(),"Late by "&amp;(TODAY()-K783)&amp;IF((TODAY()-K783)=1," day"," days"),IF(K783=TODAY(),"Due today","Due in "&amp;(K783-TODAY())&amp;IF((K783-TODAY())=1," day"," days"))))))</f>
        <v/>
      </c>
      <c r="S783" s="33" t="n"/>
      <c r="T783" s="1">
        <f>IF(AND(B783&lt;&gt;"",K783&lt;&gt;"",L783&lt;&gt;"Sent",L783&lt;&gt;"Picked up",L783&lt;&gt;"Cancelled"),K783+ROW()/10000000,"")</f>
        <v/>
      </c>
      <c r="U783">
        <f>IF(OR(B783="",C783=""),"",B783+ROW()/10000000)</f>
        <v/>
      </c>
      <c r="V783">
        <f>IF(U783="","",IF(COUNTIFS(Orders!$C$6:$C$1005,C783,Orders!$U$6:$U$1005,"&gt;"&amp;U783)=0,1,0))</f>
        <v/>
      </c>
      <c r="W783">
        <f>IF(AND(B783&lt;&gt;"",K783&lt;&gt;"",L783&lt;&gt;"Sent",L783&lt;&gt;"Picked up",L783&lt;&gt;"Cancelled"),IF(N(E783)=0,1,E783),0)</f>
        <v/>
      </c>
      <c r="X783">
        <f>IF(OR(B783="",D783=""),"",IF(N(E783)=0,1,E783))</f>
        <v/>
      </c>
    </row>
    <row r="784">
      <c r="A784" s="1" t="n"/>
      <c r="B784" s="31" t="n"/>
      <c r="C784" s="32" t="n"/>
      <c r="D784" s="33" t="n"/>
      <c r="E784" s="34" t="n"/>
      <c r="F784" s="35" t="n"/>
      <c r="G784" s="35" t="n"/>
      <c r="H784" s="30">
        <f>IF(OR(B784="",D784=""),"",IF(N(E784)=0,1,E784)*IFERROR(INDEX(Products!$C$6:$C$105,MATCH(D784,Products!$B$6:$B$105,0)),0)+N(F784)+N(G784))</f>
        <v/>
      </c>
      <c r="I784" s="35" t="n"/>
      <c r="J784" s="30">
        <f>IF(OR(H784="",L784="Cancelled"),"",IF(H784-N(I784)&gt;0.005,H784-N(I784),""))</f>
        <v/>
      </c>
      <c r="K784" s="31" t="n"/>
      <c r="L784" s="36" t="n"/>
      <c r="M784" s="33" t="n"/>
      <c r="N784" s="22">
        <f>IF(OR(H784="",L784="Cancelled"),"",IF(N(E784)=0,1,E784)*IFERROR(INDEX(Products!$E$6:$E$105,MATCH(D784,Products!$B$6:$B$105,0)),0))</f>
        <v/>
      </c>
      <c r="O784" s="35" t="n"/>
      <c r="P784" s="22">
        <f>IF(OR(H784="",L784="Cancelled"),"",ROUND(IFERROR(H784*INDEX(Settings!$C$6:$C$15,MATCH(M784,Settings!$B$6:$B$15,0))+INDEX(Settings!$D$6:$D$15,MATCH(M784,Settings!$B$6:$B$15,0)),0),2))</f>
        <v/>
      </c>
      <c r="Q784" s="28">
        <f>IF(OR(H784="",L784="Cancelled"),"",H784-N(N784)-N(O784)-N(P784))</f>
        <v/>
      </c>
      <c r="R784" s="19">
        <f>IF(OR(B784="",K784=""),"",IF(OR(L784="Sent",L784="Picked up"),"Done",IF(L784="Cancelled","Cancelled",IF(K784&lt;TODAY(),"Late by "&amp;(TODAY()-K784)&amp;IF((TODAY()-K784)=1," day"," days"),IF(K784=TODAY(),"Due today","Due in "&amp;(K784-TODAY())&amp;IF((K784-TODAY())=1," day"," days"))))))</f>
        <v/>
      </c>
      <c r="S784" s="33" t="n"/>
      <c r="T784" s="1">
        <f>IF(AND(B784&lt;&gt;"",K784&lt;&gt;"",L784&lt;&gt;"Sent",L784&lt;&gt;"Picked up",L784&lt;&gt;"Cancelled"),K784+ROW()/10000000,"")</f>
        <v/>
      </c>
      <c r="U784">
        <f>IF(OR(B784="",C784=""),"",B784+ROW()/10000000)</f>
        <v/>
      </c>
      <c r="V784">
        <f>IF(U784="","",IF(COUNTIFS(Orders!$C$6:$C$1005,C784,Orders!$U$6:$U$1005,"&gt;"&amp;U784)=0,1,0))</f>
        <v/>
      </c>
      <c r="W784">
        <f>IF(AND(B784&lt;&gt;"",K784&lt;&gt;"",L784&lt;&gt;"Sent",L784&lt;&gt;"Picked up",L784&lt;&gt;"Cancelled"),IF(N(E784)=0,1,E784),0)</f>
        <v/>
      </c>
      <c r="X784">
        <f>IF(OR(B784="",D784=""),"",IF(N(E784)=0,1,E784))</f>
        <v/>
      </c>
    </row>
    <row r="785">
      <c r="A785" s="1" t="n"/>
      <c r="B785" s="31" t="n"/>
      <c r="C785" s="32" t="n"/>
      <c r="D785" s="33" t="n"/>
      <c r="E785" s="34" t="n"/>
      <c r="F785" s="35" t="n"/>
      <c r="G785" s="35" t="n"/>
      <c r="H785" s="30">
        <f>IF(OR(B785="",D785=""),"",IF(N(E785)=0,1,E785)*IFERROR(INDEX(Products!$C$6:$C$105,MATCH(D785,Products!$B$6:$B$105,0)),0)+N(F785)+N(G785))</f>
        <v/>
      </c>
      <c r="I785" s="35" t="n"/>
      <c r="J785" s="30">
        <f>IF(OR(H785="",L785="Cancelled"),"",IF(H785-N(I785)&gt;0.005,H785-N(I785),""))</f>
        <v/>
      </c>
      <c r="K785" s="31" t="n"/>
      <c r="L785" s="36" t="n"/>
      <c r="M785" s="33" t="n"/>
      <c r="N785" s="22">
        <f>IF(OR(H785="",L785="Cancelled"),"",IF(N(E785)=0,1,E785)*IFERROR(INDEX(Products!$E$6:$E$105,MATCH(D785,Products!$B$6:$B$105,0)),0))</f>
        <v/>
      </c>
      <c r="O785" s="35" t="n"/>
      <c r="P785" s="22">
        <f>IF(OR(H785="",L785="Cancelled"),"",ROUND(IFERROR(H785*INDEX(Settings!$C$6:$C$15,MATCH(M785,Settings!$B$6:$B$15,0))+INDEX(Settings!$D$6:$D$15,MATCH(M785,Settings!$B$6:$B$15,0)),0),2))</f>
        <v/>
      </c>
      <c r="Q785" s="28">
        <f>IF(OR(H785="",L785="Cancelled"),"",H785-N(N785)-N(O785)-N(P785))</f>
        <v/>
      </c>
      <c r="R785" s="19">
        <f>IF(OR(B785="",K785=""),"",IF(OR(L785="Sent",L785="Picked up"),"Done",IF(L785="Cancelled","Cancelled",IF(K785&lt;TODAY(),"Late by "&amp;(TODAY()-K785)&amp;IF((TODAY()-K785)=1," day"," days"),IF(K785=TODAY(),"Due today","Due in "&amp;(K785-TODAY())&amp;IF((K785-TODAY())=1," day"," days"))))))</f>
        <v/>
      </c>
      <c r="S785" s="33" t="n"/>
      <c r="T785" s="1">
        <f>IF(AND(B785&lt;&gt;"",K785&lt;&gt;"",L785&lt;&gt;"Sent",L785&lt;&gt;"Picked up",L785&lt;&gt;"Cancelled"),K785+ROW()/10000000,"")</f>
        <v/>
      </c>
      <c r="U785">
        <f>IF(OR(B785="",C785=""),"",B785+ROW()/10000000)</f>
        <v/>
      </c>
      <c r="V785">
        <f>IF(U785="","",IF(COUNTIFS(Orders!$C$6:$C$1005,C785,Orders!$U$6:$U$1005,"&gt;"&amp;U785)=0,1,0))</f>
        <v/>
      </c>
      <c r="W785">
        <f>IF(AND(B785&lt;&gt;"",K785&lt;&gt;"",L785&lt;&gt;"Sent",L785&lt;&gt;"Picked up",L785&lt;&gt;"Cancelled"),IF(N(E785)=0,1,E785),0)</f>
        <v/>
      </c>
      <c r="X785">
        <f>IF(OR(B785="",D785=""),"",IF(N(E785)=0,1,E785))</f>
        <v/>
      </c>
    </row>
    <row r="786">
      <c r="A786" s="1" t="n"/>
      <c r="B786" s="31" t="n"/>
      <c r="C786" s="32" t="n"/>
      <c r="D786" s="33" t="n"/>
      <c r="E786" s="34" t="n"/>
      <c r="F786" s="35" t="n"/>
      <c r="G786" s="35" t="n"/>
      <c r="H786" s="30">
        <f>IF(OR(B786="",D786=""),"",IF(N(E786)=0,1,E786)*IFERROR(INDEX(Products!$C$6:$C$105,MATCH(D786,Products!$B$6:$B$105,0)),0)+N(F786)+N(G786))</f>
        <v/>
      </c>
      <c r="I786" s="35" t="n"/>
      <c r="J786" s="30">
        <f>IF(OR(H786="",L786="Cancelled"),"",IF(H786-N(I786)&gt;0.005,H786-N(I786),""))</f>
        <v/>
      </c>
      <c r="K786" s="31" t="n"/>
      <c r="L786" s="36" t="n"/>
      <c r="M786" s="33" t="n"/>
      <c r="N786" s="22">
        <f>IF(OR(H786="",L786="Cancelled"),"",IF(N(E786)=0,1,E786)*IFERROR(INDEX(Products!$E$6:$E$105,MATCH(D786,Products!$B$6:$B$105,0)),0))</f>
        <v/>
      </c>
      <c r="O786" s="35" t="n"/>
      <c r="P786" s="22">
        <f>IF(OR(H786="",L786="Cancelled"),"",ROUND(IFERROR(H786*INDEX(Settings!$C$6:$C$15,MATCH(M786,Settings!$B$6:$B$15,0))+INDEX(Settings!$D$6:$D$15,MATCH(M786,Settings!$B$6:$B$15,0)),0),2))</f>
        <v/>
      </c>
      <c r="Q786" s="28">
        <f>IF(OR(H786="",L786="Cancelled"),"",H786-N(N786)-N(O786)-N(P786))</f>
        <v/>
      </c>
      <c r="R786" s="19">
        <f>IF(OR(B786="",K786=""),"",IF(OR(L786="Sent",L786="Picked up"),"Done",IF(L786="Cancelled","Cancelled",IF(K786&lt;TODAY(),"Late by "&amp;(TODAY()-K786)&amp;IF((TODAY()-K786)=1," day"," days"),IF(K786=TODAY(),"Due today","Due in "&amp;(K786-TODAY())&amp;IF((K786-TODAY())=1," day"," days"))))))</f>
        <v/>
      </c>
      <c r="S786" s="33" t="n"/>
      <c r="T786" s="1">
        <f>IF(AND(B786&lt;&gt;"",K786&lt;&gt;"",L786&lt;&gt;"Sent",L786&lt;&gt;"Picked up",L786&lt;&gt;"Cancelled"),K786+ROW()/10000000,"")</f>
        <v/>
      </c>
      <c r="U786">
        <f>IF(OR(B786="",C786=""),"",B786+ROW()/10000000)</f>
        <v/>
      </c>
      <c r="V786">
        <f>IF(U786="","",IF(COUNTIFS(Orders!$C$6:$C$1005,C786,Orders!$U$6:$U$1005,"&gt;"&amp;U786)=0,1,0))</f>
        <v/>
      </c>
      <c r="W786">
        <f>IF(AND(B786&lt;&gt;"",K786&lt;&gt;"",L786&lt;&gt;"Sent",L786&lt;&gt;"Picked up",L786&lt;&gt;"Cancelled"),IF(N(E786)=0,1,E786),0)</f>
        <v/>
      </c>
      <c r="X786">
        <f>IF(OR(B786="",D786=""),"",IF(N(E786)=0,1,E786))</f>
        <v/>
      </c>
    </row>
    <row r="787">
      <c r="A787" s="1" t="n"/>
      <c r="B787" s="31" t="n"/>
      <c r="C787" s="32" t="n"/>
      <c r="D787" s="33" t="n"/>
      <c r="E787" s="34" t="n"/>
      <c r="F787" s="35" t="n"/>
      <c r="G787" s="35" t="n"/>
      <c r="H787" s="30">
        <f>IF(OR(B787="",D787=""),"",IF(N(E787)=0,1,E787)*IFERROR(INDEX(Products!$C$6:$C$105,MATCH(D787,Products!$B$6:$B$105,0)),0)+N(F787)+N(G787))</f>
        <v/>
      </c>
      <c r="I787" s="35" t="n"/>
      <c r="J787" s="30">
        <f>IF(OR(H787="",L787="Cancelled"),"",IF(H787-N(I787)&gt;0.005,H787-N(I787),""))</f>
        <v/>
      </c>
      <c r="K787" s="31" t="n"/>
      <c r="L787" s="36" t="n"/>
      <c r="M787" s="33" t="n"/>
      <c r="N787" s="22">
        <f>IF(OR(H787="",L787="Cancelled"),"",IF(N(E787)=0,1,E787)*IFERROR(INDEX(Products!$E$6:$E$105,MATCH(D787,Products!$B$6:$B$105,0)),0))</f>
        <v/>
      </c>
      <c r="O787" s="35" t="n"/>
      <c r="P787" s="22">
        <f>IF(OR(H787="",L787="Cancelled"),"",ROUND(IFERROR(H787*INDEX(Settings!$C$6:$C$15,MATCH(M787,Settings!$B$6:$B$15,0))+INDEX(Settings!$D$6:$D$15,MATCH(M787,Settings!$B$6:$B$15,0)),0),2))</f>
        <v/>
      </c>
      <c r="Q787" s="28">
        <f>IF(OR(H787="",L787="Cancelled"),"",H787-N(N787)-N(O787)-N(P787))</f>
        <v/>
      </c>
      <c r="R787" s="19">
        <f>IF(OR(B787="",K787=""),"",IF(OR(L787="Sent",L787="Picked up"),"Done",IF(L787="Cancelled","Cancelled",IF(K787&lt;TODAY(),"Late by "&amp;(TODAY()-K787)&amp;IF((TODAY()-K787)=1," day"," days"),IF(K787=TODAY(),"Due today","Due in "&amp;(K787-TODAY())&amp;IF((K787-TODAY())=1," day"," days"))))))</f>
        <v/>
      </c>
      <c r="S787" s="33" t="n"/>
      <c r="T787" s="1">
        <f>IF(AND(B787&lt;&gt;"",K787&lt;&gt;"",L787&lt;&gt;"Sent",L787&lt;&gt;"Picked up",L787&lt;&gt;"Cancelled"),K787+ROW()/10000000,"")</f>
        <v/>
      </c>
      <c r="U787">
        <f>IF(OR(B787="",C787=""),"",B787+ROW()/10000000)</f>
        <v/>
      </c>
      <c r="V787">
        <f>IF(U787="","",IF(COUNTIFS(Orders!$C$6:$C$1005,C787,Orders!$U$6:$U$1005,"&gt;"&amp;U787)=0,1,0))</f>
        <v/>
      </c>
      <c r="W787">
        <f>IF(AND(B787&lt;&gt;"",K787&lt;&gt;"",L787&lt;&gt;"Sent",L787&lt;&gt;"Picked up",L787&lt;&gt;"Cancelled"),IF(N(E787)=0,1,E787),0)</f>
        <v/>
      </c>
      <c r="X787">
        <f>IF(OR(B787="",D787=""),"",IF(N(E787)=0,1,E787))</f>
        <v/>
      </c>
    </row>
    <row r="788">
      <c r="A788" s="1" t="n"/>
      <c r="B788" s="31" t="n"/>
      <c r="C788" s="32" t="n"/>
      <c r="D788" s="33" t="n"/>
      <c r="E788" s="34" t="n"/>
      <c r="F788" s="35" t="n"/>
      <c r="G788" s="35" t="n"/>
      <c r="H788" s="30">
        <f>IF(OR(B788="",D788=""),"",IF(N(E788)=0,1,E788)*IFERROR(INDEX(Products!$C$6:$C$105,MATCH(D788,Products!$B$6:$B$105,0)),0)+N(F788)+N(G788))</f>
        <v/>
      </c>
      <c r="I788" s="35" t="n"/>
      <c r="J788" s="30">
        <f>IF(OR(H788="",L788="Cancelled"),"",IF(H788-N(I788)&gt;0.005,H788-N(I788),""))</f>
        <v/>
      </c>
      <c r="K788" s="31" t="n"/>
      <c r="L788" s="36" t="n"/>
      <c r="M788" s="33" t="n"/>
      <c r="N788" s="22">
        <f>IF(OR(H788="",L788="Cancelled"),"",IF(N(E788)=0,1,E788)*IFERROR(INDEX(Products!$E$6:$E$105,MATCH(D788,Products!$B$6:$B$105,0)),0))</f>
        <v/>
      </c>
      <c r="O788" s="35" t="n"/>
      <c r="P788" s="22">
        <f>IF(OR(H788="",L788="Cancelled"),"",ROUND(IFERROR(H788*INDEX(Settings!$C$6:$C$15,MATCH(M788,Settings!$B$6:$B$15,0))+INDEX(Settings!$D$6:$D$15,MATCH(M788,Settings!$B$6:$B$15,0)),0),2))</f>
        <v/>
      </c>
      <c r="Q788" s="28">
        <f>IF(OR(H788="",L788="Cancelled"),"",H788-N(N788)-N(O788)-N(P788))</f>
        <v/>
      </c>
      <c r="R788" s="19">
        <f>IF(OR(B788="",K788=""),"",IF(OR(L788="Sent",L788="Picked up"),"Done",IF(L788="Cancelled","Cancelled",IF(K788&lt;TODAY(),"Late by "&amp;(TODAY()-K788)&amp;IF((TODAY()-K788)=1," day"," days"),IF(K788=TODAY(),"Due today","Due in "&amp;(K788-TODAY())&amp;IF((K788-TODAY())=1," day"," days"))))))</f>
        <v/>
      </c>
      <c r="S788" s="33" t="n"/>
      <c r="T788" s="1">
        <f>IF(AND(B788&lt;&gt;"",K788&lt;&gt;"",L788&lt;&gt;"Sent",L788&lt;&gt;"Picked up",L788&lt;&gt;"Cancelled"),K788+ROW()/10000000,"")</f>
        <v/>
      </c>
      <c r="U788">
        <f>IF(OR(B788="",C788=""),"",B788+ROW()/10000000)</f>
        <v/>
      </c>
      <c r="V788">
        <f>IF(U788="","",IF(COUNTIFS(Orders!$C$6:$C$1005,C788,Orders!$U$6:$U$1005,"&gt;"&amp;U788)=0,1,0))</f>
        <v/>
      </c>
      <c r="W788">
        <f>IF(AND(B788&lt;&gt;"",K788&lt;&gt;"",L788&lt;&gt;"Sent",L788&lt;&gt;"Picked up",L788&lt;&gt;"Cancelled"),IF(N(E788)=0,1,E788),0)</f>
        <v/>
      </c>
      <c r="X788">
        <f>IF(OR(B788="",D788=""),"",IF(N(E788)=0,1,E788))</f>
        <v/>
      </c>
    </row>
    <row r="789">
      <c r="A789" s="1" t="n"/>
      <c r="B789" s="31" t="n"/>
      <c r="C789" s="32" t="n"/>
      <c r="D789" s="33" t="n"/>
      <c r="E789" s="34" t="n"/>
      <c r="F789" s="35" t="n"/>
      <c r="G789" s="35" t="n"/>
      <c r="H789" s="30">
        <f>IF(OR(B789="",D789=""),"",IF(N(E789)=0,1,E789)*IFERROR(INDEX(Products!$C$6:$C$105,MATCH(D789,Products!$B$6:$B$105,0)),0)+N(F789)+N(G789))</f>
        <v/>
      </c>
      <c r="I789" s="35" t="n"/>
      <c r="J789" s="30">
        <f>IF(OR(H789="",L789="Cancelled"),"",IF(H789-N(I789)&gt;0.005,H789-N(I789),""))</f>
        <v/>
      </c>
      <c r="K789" s="31" t="n"/>
      <c r="L789" s="36" t="n"/>
      <c r="M789" s="33" t="n"/>
      <c r="N789" s="22">
        <f>IF(OR(H789="",L789="Cancelled"),"",IF(N(E789)=0,1,E789)*IFERROR(INDEX(Products!$E$6:$E$105,MATCH(D789,Products!$B$6:$B$105,0)),0))</f>
        <v/>
      </c>
      <c r="O789" s="35" t="n"/>
      <c r="P789" s="22">
        <f>IF(OR(H789="",L789="Cancelled"),"",ROUND(IFERROR(H789*INDEX(Settings!$C$6:$C$15,MATCH(M789,Settings!$B$6:$B$15,0))+INDEX(Settings!$D$6:$D$15,MATCH(M789,Settings!$B$6:$B$15,0)),0),2))</f>
        <v/>
      </c>
      <c r="Q789" s="28">
        <f>IF(OR(H789="",L789="Cancelled"),"",H789-N(N789)-N(O789)-N(P789))</f>
        <v/>
      </c>
      <c r="R789" s="19">
        <f>IF(OR(B789="",K789=""),"",IF(OR(L789="Sent",L789="Picked up"),"Done",IF(L789="Cancelled","Cancelled",IF(K789&lt;TODAY(),"Late by "&amp;(TODAY()-K789)&amp;IF((TODAY()-K789)=1," day"," days"),IF(K789=TODAY(),"Due today","Due in "&amp;(K789-TODAY())&amp;IF((K789-TODAY())=1," day"," days"))))))</f>
        <v/>
      </c>
      <c r="S789" s="33" t="n"/>
      <c r="T789" s="1">
        <f>IF(AND(B789&lt;&gt;"",K789&lt;&gt;"",L789&lt;&gt;"Sent",L789&lt;&gt;"Picked up",L789&lt;&gt;"Cancelled"),K789+ROW()/10000000,"")</f>
        <v/>
      </c>
      <c r="U789">
        <f>IF(OR(B789="",C789=""),"",B789+ROW()/10000000)</f>
        <v/>
      </c>
      <c r="V789">
        <f>IF(U789="","",IF(COUNTIFS(Orders!$C$6:$C$1005,C789,Orders!$U$6:$U$1005,"&gt;"&amp;U789)=0,1,0))</f>
        <v/>
      </c>
      <c r="W789">
        <f>IF(AND(B789&lt;&gt;"",K789&lt;&gt;"",L789&lt;&gt;"Sent",L789&lt;&gt;"Picked up",L789&lt;&gt;"Cancelled"),IF(N(E789)=0,1,E789),0)</f>
        <v/>
      </c>
      <c r="X789">
        <f>IF(OR(B789="",D789=""),"",IF(N(E789)=0,1,E789))</f>
        <v/>
      </c>
    </row>
    <row r="790">
      <c r="A790" s="1" t="n"/>
      <c r="B790" s="31" t="n"/>
      <c r="C790" s="32" t="n"/>
      <c r="D790" s="33" t="n"/>
      <c r="E790" s="34" t="n"/>
      <c r="F790" s="35" t="n"/>
      <c r="G790" s="35" t="n"/>
      <c r="H790" s="30">
        <f>IF(OR(B790="",D790=""),"",IF(N(E790)=0,1,E790)*IFERROR(INDEX(Products!$C$6:$C$105,MATCH(D790,Products!$B$6:$B$105,0)),0)+N(F790)+N(G790))</f>
        <v/>
      </c>
      <c r="I790" s="35" t="n"/>
      <c r="J790" s="30">
        <f>IF(OR(H790="",L790="Cancelled"),"",IF(H790-N(I790)&gt;0.005,H790-N(I790),""))</f>
        <v/>
      </c>
      <c r="K790" s="31" t="n"/>
      <c r="L790" s="36" t="n"/>
      <c r="M790" s="33" t="n"/>
      <c r="N790" s="22">
        <f>IF(OR(H790="",L790="Cancelled"),"",IF(N(E790)=0,1,E790)*IFERROR(INDEX(Products!$E$6:$E$105,MATCH(D790,Products!$B$6:$B$105,0)),0))</f>
        <v/>
      </c>
      <c r="O790" s="35" t="n"/>
      <c r="P790" s="22">
        <f>IF(OR(H790="",L790="Cancelled"),"",ROUND(IFERROR(H790*INDEX(Settings!$C$6:$C$15,MATCH(M790,Settings!$B$6:$B$15,0))+INDEX(Settings!$D$6:$D$15,MATCH(M790,Settings!$B$6:$B$15,0)),0),2))</f>
        <v/>
      </c>
      <c r="Q790" s="28">
        <f>IF(OR(H790="",L790="Cancelled"),"",H790-N(N790)-N(O790)-N(P790))</f>
        <v/>
      </c>
      <c r="R790" s="19">
        <f>IF(OR(B790="",K790=""),"",IF(OR(L790="Sent",L790="Picked up"),"Done",IF(L790="Cancelled","Cancelled",IF(K790&lt;TODAY(),"Late by "&amp;(TODAY()-K790)&amp;IF((TODAY()-K790)=1," day"," days"),IF(K790=TODAY(),"Due today","Due in "&amp;(K790-TODAY())&amp;IF((K790-TODAY())=1," day"," days"))))))</f>
        <v/>
      </c>
      <c r="S790" s="33" t="n"/>
      <c r="T790" s="1">
        <f>IF(AND(B790&lt;&gt;"",K790&lt;&gt;"",L790&lt;&gt;"Sent",L790&lt;&gt;"Picked up",L790&lt;&gt;"Cancelled"),K790+ROW()/10000000,"")</f>
        <v/>
      </c>
      <c r="U790">
        <f>IF(OR(B790="",C790=""),"",B790+ROW()/10000000)</f>
        <v/>
      </c>
      <c r="V790">
        <f>IF(U790="","",IF(COUNTIFS(Orders!$C$6:$C$1005,C790,Orders!$U$6:$U$1005,"&gt;"&amp;U790)=0,1,0))</f>
        <v/>
      </c>
      <c r="W790">
        <f>IF(AND(B790&lt;&gt;"",K790&lt;&gt;"",L790&lt;&gt;"Sent",L790&lt;&gt;"Picked up",L790&lt;&gt;"Cancelled"),IF(N(E790)=0,1,E790),0)</f>
        <v/>
      </c>
      <c r="X790">
        <f>IF(OR(B790="",D790=""),"",IF(N(E790)=0,1,E790))</f>
        <v/>
      </c>
    </row>
    <row r="791">
      <c r="A791" s="1" t="n"/>
      <c r="B791" s="31" t="n"/>
      <c r="C791" s="32" t="n"/>
      <c r="D791" s="33" t="n"/>
      <c r="E791" s="34" t="n"/>
      <c r="F791" s="35" t="n"/>
      <c r="G791" s="35" t="n"/>
      <c r="H791" s="30">
        <f>IF(OR(B791="",D791=""),"",IF(N(E791)=0,1,E791)*IFERROR(INDEX(Products!$C$6:$C$105,MATCH(D791,Products!$B$6:$B$105,0)),0)+N(F791)+N(G791))</f>
        <v/>
      </c>
      <c r="I791" s="35" t="n"/>
      <c r="J791" s="30">
        <f>IF(OR(H791="",L791="Cancelled"),"",IF(H791-N(I791)&gt;0.005,H791-N(I791),""))</f>
        <v/>
      </c>
      <c r="K791" s="31" t="n"/>
      <c r="L791" s="36" t="n"/>
      <c r="M791" s="33" t="n"/>
      <c r="N791" s="22">
        <f>IF(OR(H791="",L791="Cancelled"),"",IF(N(E791)=0,1,E791)*IFERROR(INDEX(Products!$E$6:$E$105,MATCH(D791,Products!$B$6:$B$105,0)),0))</f>
        <v/>
      </c>
      <c r="O791" s="35" t="n"/>
      <c r="P791" s="22">
        <f>IF(OR(H791="",L791="Cancelled"),"",ROUND(IFERROR(H791*INDEX(Settings!$C$6:$C$15,MATCH(M791,Settings!$B$6:$B$15,0))+INDEX(Settings!$D$6:$D$15,MATCH(M791,Settings!$B$6:$B$15,0)),0),2))</f>
        <v/>
      </c>
      <c r="Q791" s="28">
        <f>IF(OR(H791="",L791="Cancelled"),"",H791-N(N791)-N(O791)-N(P791))</f>
        <v/>
      </c>
      <c r="R791" s="19">
        <f>IF(OR(B791="",K791=""),"",IF(OR(L791="Sent",L791="Picked up"),"Done",IF(L791="Cancelled","Cancelled",IF(K791&lt;TODAY(),"Late by "&amp;(TODAY()-K791)&amp;IF((TODAY()-K791)=1," day"," days"),IF(K791=TODAY(),"Due today","Due in "&amp;(K791-TODAY())&amp;IF((K791-TODAY())=1," day"," days"))))))</f>
        <v/>
      </c>
      <c r="S791" s="33" t="n"/>
      <c r="T791" s="1">
        <f>IF(AND(B791&lt;&gt;"",K791&lt;&gt;"",L791&lt;&gt;"Sent",L791&lt;&gt;"Picked up",L791&lt;&gt;"Cancelled"),K791+ROW()/10000000,"")</f>
        <v/>
      </c>
      <c r="U791">
        <f>IF(OR(B791="",C791=""),"",B791+ROW()/10000000)</f>
        <v/>
      </c>
      <c r="V791">
        <f>IF(U791="","",IF(COUNTIFS(Orders!$C$6:$C$1005,C791,Orders!$U$6:$U$1005,"&gt;"&amp;U791)=0,1,0))</f>
        <v/>
      </c>
      <c r="W791">
        <f>IF(AND(B791&lt;&gt;"",K791&lt;&gt;"",L791&lt;&gt;"Sent",L791&lt;&gt;"Picked up",L791&lt;&gt;"Cancelled"),IF(N(E791)=0,1,E791),0)</f>
        <v/>
      </c>
      <c r="X791">
        <f>IF(OR(B791="",D791=""),"",IF(N(E791)=0,1,E791))</f>
        <v/>
      </c>
    </row>
    <row r="792">
      <c r="A792" s="1" t="n"/>
      <c r="B792" s="31" t="n"/>
      <c r="C792" s="32" t="n"/>
      <c r="D792" s="33" t="n"/>
      <c r="E792" s="34" t="n"/>
      <c r="F792" s="35" t="n"/>
      <c r="G792" s="35" t="n"/>
      <c r="H792" s="30">
        <f>IF(OR(B792="",D792=""),"",IF(N(E792)=0,1,E792)*IFERROR(INDEX(Products!$C$6:$C$105,MATCH(D792,Products!$B$6:$B$105,0)),0)+N(F792)+N(G792))</f>
        <v/>
      </c>
      <c r="I792" s="35" t="n"/>
      <c r="J792" s="30">
        <f>IF(OR(H792="",L792="Cancelled"),"",IF(H792-N(I792)&gt;0.005,H792-N(I792),""))</f>
        <v/>
      </c>
      <c r="K792" s="31" t="n"/>
      <c r="L792" s="36" t="n"/>
      <c r="M792" s="33" t="n"/>
      <c r="N792" s="22">
        <f>IF(OR(H792="",L792="Cancelled"),"",IF(N(E792)=0,1,E792)*IFERROR(INDEX(Products!$E$6:$E$105,MATCH(D792,Products!$B$6:$B$105,0)),0))</f>
        <v/>
      </c>
      <c r="O792" s="35" t="n"/>
      <c r="P792" s="22">
        <f>IF(OR(H792="",L792="Cancelled"),"",ROUND(IFERROR(H792*INDEX(Settings!$C$6:$C$15,MATCH(M792,Settings!$B$6:$B$15,0))+INDEX(Settings!$D$6:$D$15,MATCH(M792,Settings!$B$6:$B$15,0)),0),2))</f>
        <v/>
      </c>
      <c r="Q792" s="28">
        <f>IF(OR(H792="",L792="Cancelled"),"",H792-N(N792)-N(O792)-N(P792))</f>
        <v/>
      </c>
      <c r="R792" s="19">
        <f>IF(OR(B792="",K792=""),"",IF(OR(L792="Sent",L792="Picked up"),"Done",IF(L792="Cancelled","Cancelled",IF(K792&lt;TODAY(),"Late by "&amp;(TODAY()-K792)&amp;IF((TODAY()-K792)=1," day"," days"),IF(K792=TODAY(),"Due today","Due in "&amp;(K792-TODAY())&amp;IF((K792-TODAY())=1," day"," days"))))))</f>
        <v/>
      </c>
      <c r="S792" s="33" t="n"/>
      <c r="T792" s="1">
        <f>IF(AND(B792&lt;&gt;"",K792&lt;&gt;"",L792&lt;&gt;"Sent",L792&lt;&gt;"Picked up",L792&lt;&gt;"Cancelled"),K792+ROW()/10000000,"")</f>
        <v/>
      </c>
      <c r="U792">
        <f>IF(OR(B792="",C792=""),"",B792+ROW()/10000000)</f>
        <v/>
      </c>
      <c r="V792">
        <f>IF(U792="","",IF(COUNTIFS(Orders!$C$6:$C$1005,C792,Orders!$U$6:$U$1005,"&gt;"&amp;U792)=0,1,0))</f>
        <v/>
      </c>
      <c r="W792">
        <f>IF(AND(B792&lt;&gt;"",K792&lt;&gt;"",L792&lt;&gt;"Sent",L792&lt;&gt;"Picked up",L792&lt;&gt;"Cancelled"),IF(N(E792)=0,1,E792),0)</f>
        <v/>
      </c>
      <c r="X792">
        <f>IF(OR(B792="",D792=""),"",IF(N(E792)=0,1,E792))</f>
        <v/>
      </c>
    </row>
    <row r="793">
      <c r="A793" s="1" t="n"/>
      <c r="B793" s="31" t="n"/>
      <c r="C793" s="32" t="n"/>
      <c r="D793" s="33" t="n"/>
      <c r="E793" s="34" t="n"/>
      <c r="F793" s="35" t="n"/>
      <c r="G793" s="35" t="n"/>
      <c r="H793" s="30">
        <f>IF(OR(B793="",D793=""),"",IF(N(E793)=0,1,E793)*IFERROR(INDEX(Products!$C$6:$C$105,MATCH(D793,Products!$B$6:$B$105,0)),0)+N(F793)+N(G793))</f>
        <v/>
      </c>
      <c r="I793" s="35" t="n"/>
      <c r="J793" s="30">
        <f>IF(OR(H793="",L793="Cancelled"),"",IF(H793-N(I793)&gt;0.005,H793-N(I793),""))</f>
        <v/>
      </c>
      <c r="K793" s="31" t="n"/>
      <c r="L793" s="36" t="n"/>
      <c r="M793" s="33" t="n"/>
      <c r="N793" s="22">
        <f>IF(OR(H793="",L793="Cancelled"),"",IF(N(E793)=0,1,E793)*IFERROR(INDEX(Products!$E$6:$E$105,MATCH(D793,Products!$B$6:$B$105,0)),0))</f>
        <v/>
      </c>
      <c r="O793" s="35" t="n"/>
      <c r="P793" s="22">
        <f>IF(OR(H793="",L793="Cancelled"),"",ROUND(IFERROR(H793*INDEX(Settings!$C$6:$C$15,MATCH(M793,Settings!$B$6:$B$15,0))+INDEX(Settings!$D$6:$D$15,MATCH(M793,Settings!$B$6:$B$15,0)),0),2))</f>
        <v/>
      </c>
      <c r="Q793" s="28">
        <f>IF(OR(H793="",L793="Cancelled"),"",H793-N(N793)-N(O793)-N(P793))</f>
        <v/>
      </c>
      <c r="R793" s="19">
        <f>IF(OR(B793="",K793=""),"",IF(OR(L793="Sent",L793="Picked up"),"Done",IF(L793="Cancelled","Cancelled",IF(K793&lt;TODAY(),"Late by "&amp;(TODAY()-K793)&amp;IF((TODAY()-K793)=1," day"," days"),IF(K793=TODAY(),"Due today","Due in "&amp;(K793-TODAY())&amp;IF((K793-TODAY())=1," day"," days"))))))</f>
        <v/>
      </c>
      <c r="S793" s="33" t="n"/>
      <c r="T793" s="1">
        <f>IF(AND(B793&lt;&gt;"",K793&lt;&gt;"",L793&lt;&gt;"Sent",L793&lt;&gt;"Picked up",L793&lt;&gt;"Cancelled"),K793+ROW()/10000000,"")</f>
        <v/>
      </c>
      <c r="U793">
        <f>IF(OR(B793="",C793=""),"",B793+ROW()/10000000)</f>
        <v/>
      </c>
      <c r="V793">
        <f>IF(U793="","",IF(COUNTIFS(Orders!$C$6:$C$1005,C793,Orders!$U$6:$U$1005,"&gt;"&amp;U793)=0,1,0))</f>
        <v/>
      </c>
      <c r="W793">
        <f>IF(AND(B793&lt;&gt;"",K793&lt;&gt;"",L793&lt;&gt;"Sent",L793&lt;&gt;"Picked up",L793&lt;&gt;"Cancelled"),IF(N(E793)=0,1,E793),0)</f>
        <v/>
      </c>
      <c r="X793">
        <f>IF(OR(B793="",D793=""),"",IF(N(E793)=0,1,E793))</f>
        <v/>
      </c>
    </row>
    <row r="794">
      <c r="A794" s="1" t="n"/>
      <c r="B794" s="31" t="n"/>
      <c r="C794" s="32" t="n"/>
      <c r="D794" s="33" t="n"/>
      <c r="E794" s="34" t="n"/>
      <c r="F794" s="35" t="n"/>
      <c r="G794" s="35" t="n"/>
      <c r="H794" s="30">
        <f>IF(OR(B794="",D794=""),"",IF(N(E794)=0,1,E794)*IFERROR(INDEX(Products!$C$6:$C$105,MATCH(D794,Products!$B$6:$B$105,0)),0)+N(F794)+N(G794))</f>
        <v/>
      </c>
      <c r="I794" s="35" t="n"/>
      <c r="J794" s="30">
        <f>IF(OR(H794="",L794="Cancelled"),"",IF(H794-N(I794)&gt;0.005,H794-N(I794),""))</f>
        <v/>
      </c>
      <c r="K794" s="31" t="n"/>
      <c r="L794" s="36" t="n"/>
      <c r="M794" s="33" t="n"/>
      <c r="N794" s="22">
        <f>IF(OR(H794="",L794="Cancelled"),"",IF(N(E794)=0,1,E794)*IFERROR(INDEX(Products!$E$6:$E$105,MATCH(D794,Products!$B$6:$B$105,0)),0))</f>
        <v/>
      </c>
      <c r="O794" s="35" t="n"/>
      <c r="P794" s="22">
        <f>IF(OR(H794="",L794="Cancelled"),"",ROUND(IFERROR(H794*INDEX(Settings!$C$6:$C$15,MATCH(M794,Settings!$B$6:$B$15,0))+INDEX(Settings!$D$6:$D$15,MATCH(M794,Settings!$B$6:$B$15,0)),0),2))</f>
        <v/>
      </c>
      <c r="Q794" s="28">
        <f>IF(OR(H794="",L794="Cancelled"),"",H794-N(N794)-N(O794)-N(P794))</f>
        <v/>
      </c>
      <c r="R794" s="19">
        <f>IF(OR(B794="",K794=""),"",IF(OR(L794="Sent",L794="Picked up"),"Done",IF(L794="Cancelled","Cancelled",IF(K794&lt;TODAY(),"Late by "&amp;(TODAY()-K794)&amp;IF((TODAY()-K794)=1," day"," days"),IF(K794=TODAY(),"Due today","Due in "&amp;(K794-TODAY())&amp;IF((K794-TODAY())=1," day"," days"))))))</f>
        <v/>
      </c>
      <c r="S794" s="33" t="n"/>
      <c r="T794" s="1">
        <f>IF(AND(B794&lt;&gt;"",K794&lt;&gt;"",L794&lt;&gt;"Sent",L794&lt;&gt;"Picked up",L794&lt;&gt;"Cancelled"),K794+ROW()/10000000,"")</f>
        <v/>
      </c>
      <c r="U794">
        <f>IF(OR(B794="",C794=""),"",B794+ROW()/10000000)</f>
        <v/>
      </c>
      <c r="V794">
        <f>IF(U794="","",IF(COUNTIFS(Orders!$C$6:$C$1005,C794,Orders!$U$6:$U$1005,"&gt;"&amp;U794)=0,1,0))</f>
        <v/>
      </c>
      <c r="W794">
        <f>IF(AND(B794&lt;&gt;"",K794&lt;&gt;"",L794&lt;&gt;"Sent",L794&lt;&gt;"Picked up",L794&lt;&gt;"Cancelled"),IF(N(E794)=0,1,E794),0)</f>
        <v/>
      </c>
      <c r="X794">
        <f>IF(OR(B794="",D794=""),"",IF(N(E794)=0,1,E794))</f>
        <v/>
      </c>
    </row>
    <row r="795">
      <c r="A795" s="1" t="n"/>
      <c r="B795" s="31" t="n"/>
      <c r="C795" s="32" t="n"/>
      <c r="D795" s="33" t="n"/>
      <c r="E795" s="34" t="n"/>
      <c r="F795" s="35" t="n"/>
      <c r="G795" s="35" t="n"/>
      <c r="H795" s="30">
        <f>IF(OR(B795="",D795=""),"",IF(N(E795)=0,1,E795)*IFERROR(INDEX(Products!$C$6:$C$105,MATCH(D795,Products!$B$6:$B$105,0)),0)+N(F795)+N(G795))</f>
        <v/>
      </c>
      <c r="I795" s="35" t="n"/>
      <c r="J795" s="30">
        <f>IF(OR(H795="",L795="Cancelled"),"",IF(H795-N(I795)&gt;0.005,H795-N(I795),""))</f>
        <v/>
      </c>
      <c r="K795" s="31" t="n"/>
      <c r="L795" s="36" t="n"/>
      <c r="M795" s="33" t="n"/>
      <c r="N795" s="22">
        <f>IF(OR(H795="",L795="Cancelled"),"",IF(N(E795)=0,1,E795)*IFERROR(INDEX(Products!$E$6:$E$105,MATCH(D795,Products!$B$6:$B$105,0)),0))</f>
        <v/>
      </c>
      <c r="O795" s="35" t="n"/>
      <c r="P795" s="22">
        <f>IF(OR(H795="",L795="Cancelled"),"",ROUND(IFERROR(H795*INDEX(Settings!$C$6:$C$15,MATCH(M795,Settings!$B$6:$B$15,0))+INDEX(Settings!$D$6:$D$15,MATCH(M795,Settings!$B$6:$B$15,0)),0),2))</f>
        <v/>
      </c>
      <c r="Q795" s="28">
        <f>IF(OR(H795="",L795="Cancelled"),"",H795-N(N795)-N(O795)-N(P795))</f>
        <v/>
      </c>
      <c r="R795" s="19">
        <f>IF(OR(B795="",K795=""),"",IF(OR(L795="Sent",L795="Picked up"),"Done",IF(L795="Cancelled","Cancelled",IF(K795&lt;TODAY(),"Late by "&amp;(TODAY()-K795)&amp;IF((TODAY()-K795)=1," day"," days"),IF(K795=TODAY(),"Due today","Due in "&amp;(K795-TODAY())&amp;IF((K795-TODAY())=1," day"," days"))))))</f>
        <v/>
      </c>
      <c r="S795" s="33" t="n"/>
      <c r="T795" s="1">
        <f>IF(AND(B795&lt;&gt;"",K795&lt;&gt;"",L795&lt;&gt;"Sent",L795&lt;&gt;"Picked up",L795&lt;&gt;"Cancelled"),K795+ROW()/10000000,"")</f>
        <v/>
      </c>
      <c r="U795">
        <f>IF(OR(B795="",C795=""),"",B795+ROW()/10000000)</f>
        <v/>
      </c>
      <c r="V795">
        <f>IF(U795="","",IF(COUNTIFS(Orders!$C$6:$C$1005,C795,Orders!$U$6:$U$1005,"&gt;"&amp;U795)=0,1,0))</f>
        <v/>
      </c>
      <c r="W795">
        <f>IF(AND(B795&lt;&gt;"",K795&lt;&gt;"",L795&lt;&gt;"Sent",L795&lt;&gt;"Picked up",L795&lt;&gt;"Cancelled"),IF(N(E795)=0,1,E795),0)</f>
        <v/>
      </c>
      <c r="X795">
        <f>IF(OR(B795="",D795=""),"",IF(N(E795)=0,1,E795))</f>
        <v/>
      </c>
    </row>
    <row r="796">
      <c r="A796" s="1" t="n"/>
      <c r="B796" s="31" t="n"/>
      <c r="C796" s="32" t="n"/>
      <c r="D796" s="33" t="n"/>
      <c r="E796" s="34" t="n"/>
      <c r="F796" s="35" t="n"/>
      <c r="G796" s="35" t="n"/>
      <c r="H796" s="30">
        <f>IF(OR(B796="",D796=""),"",IF(N(E796)=0,1,E796)*IFERROR(INDEX(Products!$C$6:$C$105,MATCH(D796,Products!$B$6:$B$105,0)),0)+N(F796)+N(G796))</f>
        <v/>
      </c>
      <c r="I796" s="35" t="n"/>
      <c r="J796" s="30">
        <f>IF(OR(H796="",L796="Cancelled"),"",IF(H796-N(I796)&gt;0.005,H796-N(I796),""))</f>
        <v/>
      </c>
      <c r="K796" s="31" t="n"/>
      <c r="L796" s="36" t="n"/>
      <c r="M796" s="33" t="n"/>
      <c r="N796" s="22">
        <f>IF(OR(H796="",L796="Cancelled"),"",IF(N(E796)=0,1,E796)*IFERROR(INDEX(Products!$E$6:$E$105,MATCH(D796,Products!$B$6:$B$105,0)),0))</f>
        <v/>
      </c>
      <c r="O796" s="35" t="n"/>
      <c r="P796" s="22">
        <f>IF(OR(H796="",L796="Cancelled"),"",ROUND(IFERROR(H796*INDEX(Settings!$C$6:$C$15,MATCH(M796,Settings!$B$6:$B$15,0))+INDEX(Settings!$D$6:$D$15,MATCH(M796,Settings!$B$6:$B$15,0)),0),2))</f>
        <v/>
      </c>
      <c r="Q796" s="28">
        <f>IF(OR(H796="",L796="Cancelled"),"",H796-N(N796)-N(O796)-N(P796))</f>
        <v/>
      </c>
      <c r="R796" s="19">
        <f>IF(OR(B796="",K796=""),"",IF(OR(L796="Sent",L796="Picked up"),"Done",IF(L796="Cancelled","Cancelled",IF(K796&lt;TODAY(),"Late by "&amp;(TODAY()-K796)&amp;IF((TODAY()-K796)=1," day"," days"),IF(K796=TODAY(),"Due today","Due in "&amp;(K796-TODAY())&amp;IF((K796-TODAY())=1," day"," days"))))))</f>
        <v/>
      </c>
      <c r="S796" s="33" t="n"/>
      <c r="T796" s="1">
        <f>IF(AND(B796&lt;&gt;"",K796&lt;&gt;"",L796&lt;&gt;"Sent",L796&lt;&gt;"Picked up",L796&lt;&gt;"Cancelled"),K796+ROW()/10000000,"")</f>
        <v/>
      </c>
      <c r="U796">
        <f>IF(OR(B796="",C796=""),"",B796+ROW()/10000000)</f>
        <v/>
      </c>
      <c r="V796">
        <f>IF(U796="","",IF(COUNTIFS(Orders!$C$6:$C$1005,C796,Orders!$U$6:$U$1005,"&gt;"&amp;U796)=0,1,0))</f>
        <v/>
      </c>
      <c r="W796">
        <f>IF(AND(B796&lt;&gt;"",K796&lt;&gt;"",L796&lt;&gt;"Sent",L796&lt;&gt;"Picked up",L796&lt;&gt;"Cancelled"),IF(N(E796)=0,1,E796),0)</f>
        <v/>
      </c>
      <c r="X796">
        <f>IF(OR(B796="",D796=""),"",IF(N(E796)=0,1,E796))</f>
        <v/>
      </c>
    </row>
    <row r="797">
      <c r="A797" s="1" t="n"/>
      <c r="B797" s="31" t="n"/>
      <c r="C797" s="32" t="n"/>
      <c r="D797" s="33" t="n"/>
      <c r="E797" s="34" t="n"/>
      <c r="F797" s="35" t="n"/>
      <c r="G797" s="35" t="n"/>
      <c r="H797" s="30">
        <f>IF(OR(B797="",D797=""),"",IF(N(E797)=0,1,E797)*IFERROR(INDEX(Products!$C$6:$C$105,MATCH(D797,Products!$B$6:$B$105,0)),0)+N(F797)+N(G797))</f>
        <v/>
      </c>
      <c r="I797" s="35" t="n"/>
      <c r="J797" s="30">
        <f>IF(OR(H797="",L797="Cancelled"),"",IF(H797-N(I797)&gt;0.005,H797-N(I797),""))</f>
        <v/>
      </c>
      <c r="K797" s="31" t="n"/>
      <c r="L797" s="36" t="n"/>
      <c r="M797" s="33" t="n"/>
      <c r="N797" s="22">
        <f>IF(OR(H797="",L797="Cancelled"),"",IF(N(E797)=0,1,E797)*IFERROR(INDEX(Products!$E$6:$E$105,MATCH(D797,Products!$B$6:$B$105,0)),0))</f>
        <v/>
      </c>
      <c r="O797" s="35" t="n"/>
      <c r="P797" s="22">
        <f>IF(OR(H797="",L797="Cancelled"),"",ROUND(IFERROR(H797*INDEX(Settings!$C$6:$C$15,MATCH(M797,Settings!$B$6:$B$15,0))+INDEX(Settings!$D$6:$D$15,MATCH(M797,Settings!$B$6:$B$15,0)),0),2))</f>
        <v/>
      </c>
      <c r="Q797" s="28">
        <f>IF(OR(H797="",L797="Cancelled"),"",H797-N(N797)-N(O797)-N(P797))</f>
        <v/>
      </c>
      <c r="R797" s="19">
        <f>IF(OR(B797="",K797=""),"",IF(OR(L797="Sent",L797="Picked up"),"Done",IF(L797="Cancelled","Cancelled",IF(K797&lt;TODAY(),"Late by "&amp;(TODAY()-K797)&amp;IF((TODAY()-K797)=1," day"," days"),IF(K797=TODAY(),"Due today","Due in "&amp;(K797-TODAY())&amp;IF((K797-TODAY())=1," day"," days"))))))</f>
        <v/>
      </c>
      <c r="S797" s="33" t="n"/>
      <c r="T797" s="1">
        <f>IF(AND(B797&lt;&gt;"",K797&lt;&gt;"",L797&lt;&gt;"Sent",L797&lt;&gt;"Picked up",L797&lt;&gt;"Cancelled"),K797+ROW()/10000000,"")</f>
        <v/>
      </c>
      <c r="U797">
        <f>IF(OR(B797="",C797=""),"",B797+ROW()/10000000)</f>
        <v/>
      </c>
      <c r="V797">
        <f>IF(U797="","",IF(COUNTIFS(Orders!$C$6:$C$1005,C797,Orders!$U$6:$U$1005,"&gt;"&amp;U797)=0,1,0))</f>
        <v/>
      </c>
      <c r="W797">
        <f>IF(AND(B797&lt;&gt;"",K797&lt;&gt;"",L797&lt;&gt;"Sent",L797&lt;&gt;"Picked up",L797&lt;&gt;"Cancelled"),IF(N(E797)=0,1,E797),0)</f>
        <v/>
      </c>
      <c r="X797">
        <f>IF(OR(B797="",D797=""),"",IF(N(E797)=0,1,E797))</f>
        <v/>
      </c>
    </row>
    <row r="798">
      <c r="A798" s="1" t="n"/>
      <c r="B798" s="31" t="n"/>
      <c r="C798" s="32" t="n"/>
      <c r="D798" s="33" t="n"/>
      <c r="E798" s="34" t="n"/>
      <c r="F798" s="35" t="n"/>
      <c r="G798" s="35" t="n"/>
      <c r="H798" s="30">
        <f>IF(OR(B798="",D798=""),"",IF(N(E798)=0,1,E798)*IFERROR(INDEX(Products!$C$6:$C$105,MATCH(D798,Products!$B$6:$B$105,0)),0)+N(F798)+N(G798))</f>
        <v/>
      </c>
      <c r="I798" s="35" t="n"/>
      <c r="J798" s="30">
        <f>IF(OR(H798="",L798="Cancelled"),"",IF(H798-N(I798)&gt;0.005,H798-N(I798),""))</f>
        <v/>
      </c>
      <c r="K798" s="31" t="n"/>
      <c r="L798" s="36" t="n"/>
      <c r="M798" s="33" t="n"/>
      <c r="N798" s="22">
        <f>IF(OR(H798="",L798="Cancelled"),"",IF(N(E798)=0,1,E798)*IFERROR(INDEX(Products!$E$6:$E$105,MATCH(D798,Products!$B$6:$B$105,0)),0))</f>
        <v/>
      </c>
      <c r="O798" s="35" t="n"/>
      <c r="P798" s="22">
        <f>IF(OR(H798="",L798="Cancelled"),"",ROUND(IFERROR(H798*INDEX(Settings!$C$6:$C$15,MATCH(M798,Settings!$B$6:$B$15,0))+INDEX(Settings!$D$6:$D$15,MATCH(M798,Settings!$B$6:$B$15,0)),0),2))</f>
        <v/>
      </c>
      <c r="Q798" s="28">
        <f>IF(OR(H798="",L798="Cancelled"),"",H798-N(N798)-N(O798)-N(P798))</f>
        <v/>
      </c>
      <c r="R798" s="19">
        <f>IF(OR(B798="",K798=""),"",IF(OR(L798="Sent",L798="Picked up"),"Done",IF(L798="Cancelled","Cancelled",IF(K798&lt;TODAY(),"Late by "&amp;(TODAY()-K798)&amp;IF((TODAY()-K798)=1," day"," days"),IF(K798=TODAY(),"Due today","Due in "&amp;(K798-TODAY())&amp;IF((K798-TODAY())=1," day"," days"))))))</f>
        <v/>
      </c>
      <c r="S798" s="33" t="n"/>
      <c r="T798" s="1">
        <f>IF(AND(B798&lt;&gt;"",K798&lt;&gt;"",L798&lt;&gt;"Sent",L798&lt;&gt;"Picked up",L798&lt;&gt;"Cancelled"),K798+ROW()/10000000,"")</f>
        <v/>
      </c>
      <c r="U798">
        <f>IF(OR(B798="",C798=""),"",B798+ROW()/10000000)</f>
        <v/>
      </c>
      <c r="V798">
        <f>IF(U798="","",IF(COUNTIFS(Orders!$C$6:$C$1005,C798,Orders!$U$6:$U$1005,"&gt;"&amp;U798)=0,1,0))</f>
        <v/>
      </c>
      <c r="W798">
        <f>IF(AND(B798&lt;&gt;"",K798&lt;&gt;"",L798&lt;&gt;"Sent",L798&lt;&gt;"Picked up",L798&lt;&gt;"Cancelled"),IF(N(E798)=0,1,E798),0)</f>
        <v/>
      </c>
      <c r="X798">
        <f>IF(OR(B798="",D798=""),"",IF(N(E798)=0,1,E798))</f>
        <v/>
      </c>
    </row>
    <row r="799">
      <c r="A799" s="1" t="n"/>
      <c r="B799" s="31" t="n"/>
      <c r="C799" s="32" t="n"/>
      <c r="D799" s="33" t="n"/>
      <c r="E799" s="34" t="n"/>
      <c r="F799" s="35" t="n"/>
      <c r="G799" s="35" t="n"/>
      <c r="H799" s="30">
        <f>IF(OR(B799="",D799=""),"",IF(N(E799)=0,1,E799)*IFERROR(INDEX(Products!$C$6:$C$105,MATCH(D799,Products!$B$6:$B$105,0)),0)+N(F799)+N(G799))</f>
        <v/>
      </c>
      <c r="I799" s="35" t="n"/>
      <c r="J799" s="30">
        <f>IF(OR(H799="",L799="Cancelled"),"",IF(H799-N(I799)&gt;0.005,H799-N(I799),""))</f>
        <v/>
      </c>
      <c r="K799" s="31" t="n"/>
      <c r="L799" s="36" t="n"/>
      <c r="M799" s="33" t="n"/>
      <c r="N799" s="22">
        <f>IF(OR(H799="",L799="Cancelled"),"",IF(N(E799)=0,1,E799)*IFERROR(INDEX(Products!$E$6:$E$105,MATCH(D799,Products!$B$6:$B$105,0)),0))</f>
        <v/>
      </c>
      <c r="O799" s="35" t="n"/>
      <c r="P799" s="22">
        <f>IF(OR(H799="",L799="Cancelled"),"",ROUND(IFERROR(H799*INDEX(Settings!$C$6:$C$15,MATCH(M799,Settings!$B$6:$B$15,0))+INDEX(Settings!$D$6:$D$15,MATCH(M799,Settings!$B$6:$B$15,0)),0),2))</f>
        <v/>
      </c>
      <c r="Q799" s="28">
        <f>IF(OR(H799="",L799="Cancelled"),"",H799-N(N799)-N(O799)-N(P799))</f>
        <v/>
      </c>
      <c r="R799" s="19">
        <f>IF(OR(B799="",K799=""),"",IF(OR(L799="Sent",L799="Picked up"),"Done",IF(L799="Cancelled","Cancelled",IF(K799&lt;TODAY(),"Late by "&amp;(TODAY()-K799)&amp;IF((TODAY()-K799)=1," day"," days"),IF(K799=TODAY(),"Due today","Due in "&amp;(K799-TODAY())&amp;IF((K799-TODAY())=1," day"," days"))))))</f>
        <v/>
      </c>
      <c r="S799" s="33" t="n"/>
      <c r="T799" s="1">
        <f>IF(AND(B799&lt;&gt;"",K799&lt;&gt;"",L799&lt;&gt;"Sent",L799&lt;&gt;"Picked up",L799&lt;&gt;"Cancelled"),K799+ROW()/10000000,"")</f>
        <v/>
      </c>
      <c r="U799">
        <f>IF(OR(B799="",C799=""),"",B799+ROW()/10000000)</f>
        <v/>
      </c>
      <c r="V799">
        <f>IF(U799="","",IF(COUNTIFS(Orders!$C$6:$C$1005,C799,Orders!$U$6:$U$1005,"&gt;"&amp;U799)=0,1,0))</f>
        <v/>
      </c>
      <c r="W799">
        <f>IF(AND(B799&lt;&gt;"",K799&lt;&gt;"",L799&lt;&gt;"Sent",L799&lt;&gt;"Picked up",L799&lt;&gt;"Cancelled"),IF(N(E799)=0,1,E799),0)</f>
        <v/>
      </c>
      <c r="X799">
        <f>IF(OR(B799="",D799=""),"",IF(N(E799)=0,1,E799))</f>
        <v/>
      </c>
    </row>
    <row r="800">
      <c r="A800" s="1" t="n"/>
      <c r="B800" s="31" t="n"/>
      <c r="C800" s="32" t="n"/>
      <c r="D800" s="33" t="n"/>
      <c r="E800" s="34" t="n"/>
      <c r="F800" s="35" t="n"/>
      <c r="G800" s="35" t="n"/>
      <c r="H800" s="30">
        <f>IF(OR(B800="",D800=""),"",IF(N(E800)=0,1,E800)*IFERROR(INDEX(Products!$C$6:$C$105,MATCH(D800,Products!$B$6:$B$105,0)),0)+N(F800)+N(G800))</f>
        <v/>
      </c>
      <c r="I800" s="35" t="n"/>
      <c r="J800" s="30">
        <f>IF(OR(H800="",L800="Cancelled"),"",IF(H800-N(I800)&gt;0.005,H800-N(I800),""))</f>
        <v/>
      </c>
      <c r="K800" s="31" t="n"/>
      <c r="L800" s="36" t="n"/>
      <c r="M800" s="33" t="n"/>
      <c r="N800" s="22">
        <f>IF(OR(H800="",L800="Cancelled"),"",IF(N(E800)=0,1,E800)*IFERROR(INDEX(Products!$E$6:$E$105,MATCH(D800,Products!$B$6:$B$105,0)),0))</f>
        <v/>
      </c>
      <c r="O800" s="35" t="n"/>
      <c r="P800" s="22">
        <f>IF(OR(H800="",L800="Cancelled"),"",ROUND(IFERROR(H800*INDEX(Settings!$C$6:$C$15,MATCH(M800,Settings!$B$6:$B$15,0))+INDEX(Settings!$D$6:$D$15,MATCH(M800,Settings!$B$6:$B$15,0)),0),2))</f>
        <v/>
      </c>
      <c r="Q800" s="28">
        <f>IF(OR(H800="",L800="Cancelled"),"",H800-N(N800)-N(O800)-N(P800))</f>
        <v/>
      </c>
      <c r="R800" s="19">
        <f>IF(OR(B800="",K800=""),"",IF(OR(L800="Sent",L800="Picked up"),"Done",IF(L800="Cancelled","Cancelled",IF(K800&lt;TODAY(),"Late by "&amp;(TODAY()-K800)&amp;IF((TODAY()-K800)=1," day"," days"),IF(K800=TODAY(),"Due today","Due in "&amp;(K800-TODAY())&amp;IF((K800-TODAY())=1," day"," days"))))))</f>
        <v/>
      </c>
      <c r="S800" s="33" t="n"/>
      <c r="T800" s="1">
        <f>IF(AND(B800&lt;&gt;"",K800&lt;&gt;"",L800&lt;&gt;"Sent",L800&lt;&gt;"Picked up",L800&lt;&gt;"Cancelled"),K800+ROW()/10000000,"")</f>
        <v/>
      </c>
      <c r="U800">
        <f>IF(OR(B800="",C800=""),"",B800+ROW()/10000000)</f>
        <v/>
      </c>
      <c r="V800">
        <f>IF(U800="","",IF(COUNTIFS(Orders!$C$6:$C$1005,C800,Orders!$U$6:$U$1005,"&gt;"&amp;U800)=0,1,0))</f>
        <v/>
      </c>
      <c r="W800">
        <f>IF(AND(B800&lt;&gt;"",K800&lt;&gt;"",L800&lt;&gt;"Sent",L800&lt;&gt;"Picked up",L800&lt;&gt;"Cancelled"),IF(N(E800)=0,1,E800),0)</f>
        <v/>
      </c>
      <c r="X800">
        <f>IF(OR(B800="",D800=""),"",IF(N(E800)=0,1,E800))</f>
        <v/>
      </c>
    </row>
    <row r="801">
      <c r="A801" s="1" t="n"/>
      <c r="B801" s="31" t="n"/>
      <c r="C801" s="32" t="n"/>
      <c r="D801" s="33" t="n"/>
      <c r="E801" s="34" t="n"/>
      <c r="F801" s="35" t="n"/>
      <c r="G801" s="35" t="n"/>
      <c r="H801" s="30">
        <f>IF(OR(B801="",D801=""),"",IF(N(E801)=0,1,E801)*IFERROR(INDEX(Products!$C$6:$C$105,MATCH(D801,Products!$B$6:$B$105,0)),0)+N(F801)+N(G801))</f>
        <v/>
      </c>
      <c r="I801" s="35" t="n"/>
      <c r="J801" s="30">
        <f>IF(OR(H801="",L801="Cancelled"),"",IF(H801-N(I801)&gt;0.005,H801-N(I801),""))</f>
        <v/>
      </c>
      <c r="K801" s="31" t="n"/>
      <c r="L801" s="36" t="n"/>
      <c r="M801" s="33" t="n"/>
      <c r="N801" s="22">
        <f>IF(OR(H801="",L801="Cancelled"),"",IF(N(E801)=0,1,E801)*IFERROR(INDEX(Products!$E$6:$E$105,MATCH(D801,Products!$B$6:$B$105,0)),0))</f>
        <v/>
      </c>
      <c r="O801" s="35" t="n"/>
      <c r="P801" s="22">
        <f>IF(OR(H801="",L801="Cancelled"),"",ROUND(IFERROR(H801*INDEX(Settings!$C$6:$C$15,MATCH(M801,Settings!$B$6:$B$15,0))+INDEX(Settings!$D$6:$D$15,MATCH(M801,Settings!$B$6:$B$15,0)),0),2))</f>
        <v/>
      </c>
      <c r="Q801" s="28">
        <f>IF(OR(H801="",L801="Cancelled"),"",H801-N(N801)-N(O801)-N(P801))</f>
        <v/>
      </c>
      <c r="R801" s="19">
        <f>IF(OR(B801="",K801=""),"",IF(OR(L801="Sent",L801="Picked up"),"Done",IF(L801="Cancelled","Cancelled",IF(K801&lt;TODAY(),"Late by "&amp;(TODAY()-K801)&amp;IF((TODAY()-K801)=1," day"," days"),IF(K801=TODAY(),"Due today","Due in "&amp;(K801-TODAY())&amp;IF((K801-TODAY())=1," day"," days"))))))</f>
        <v/>
      </c>
      <c r="S801" s="33" t="n"/>
      <c r="T801" s="1">
        <f>IF(AND(B801&lt;&gt;"",K801&lt;&gt;"",L801&lt;&gt;"Sent",L801&lt;&gt;"Picked up",L801&lt;&gt;"Cancelled"),K801+ROW()/10000000,"")</f>
        <v/>
      </c>
      <c r="U801">
        <f>IF(OR(B801="",C801=""),"",B801+ROW()/10000000)</f>
        <v/>
      </c>
      <c r="V801">
        <f>IF(U801="","",IF(COUNTIFS(Orders!$C$6:$C$1005,C801,Orders!$U$6:$U$1005,"&gt;"&amp;U801)=0,1,0))</f>
        <v/>
      </c>
      <c r="W801">
        <f>IF(AND(B801&lt;&gt;"",K801&lt;&gt;"",L801&lt;&gt;"Sent",L801&lt;&gt;"Picked up",L801&lt;&gt;"Cancelled"),IF(N(E801)=0,1,E801),0)</f>
        <v/>
      </c>
      <c r="X801">
        <f>IF(OR(B801="",D801=""),"",IF(N(E801)=0,1,E801))</f>
        <v/>
      </c>
    </row>
    <row r="802">
      <c r="A802" s="1" t="n"/>
      <c r="B802" s="31" t="n"/>
      <c r="C802" s="32" t="n"/>
      <c r="D802" s="33" t="n"/>
      <c r="E802" s="34" t="n"/>
      <c r="F802" s="35" t="n"/>
      <c r="G802" s="35" t="n"/>
      <c r="H802" s="30">
        <f>IF(OR(B802="",D802=""),"",IF(N(E802)=0,1,E802)*IFERROR(INDEX(Products!$C$6:$C$105,MATCH(D802,Products!$B$6:$B$105,0)),0)+N(F802)+N(G802))</f>
        <v/>
      </c>
      <c r="I802" s="35" t="n"/>
      <c r="J802" s="30">
        <f>IF(OR(H802="",L802="Cancelled"),"",IF(H802-N(I802)&gt;0.005,H802-N(I802),""))</f>
        <v/>
      </c>
      <c r="K802" s="31" t="n"/>
      <c r="L802" s="36" t="n"/>
      <c r="M802" s="33" t="n"/>
      <c r="N802" s="22">
        <f>IF(OR(H802="",L802="Cancelled"),"",IF(N(E802)=0,1,E802)*IFERROR(INDEX(Products!$E$6:$E$105,MATCH(D802,Products!$B$6:$B$105,0)),0))</f>
        <v/>
      </c>
      <c r="O802" s="35" t="n"/>
      <c r="P802" s="22">
        <f>IF(OR(H802="",L802="Cancelled"),"",ROUND(IFERROR(H802*INDEX(Settings!$C$6:$C$15,MATCH(M802,Settings!$B$6:$B$15,0))+INDEX(Settings!$D$6:$D$15,MATCH(M802,Settings!$B$6:$B$15,0)),0),2))</f>
        <v/>
      </c>
      <c r="Q802" s="28">
        <f>IF(OR(H802="",L802="Cancelled"),"",H802-N(N802)-N(O802)-N(P802))</f>
        <v/>
      </c>
      <c r="R802" s="19">
        <f>IF(OR(B802="",K802=""),"",IF(OR(L802="Sent",L802="Picked up"),"Done",IF(L802="Cancelled","Cancelled",IF(K802&lt;TODAY(),"Late by "&amp;(TODAY()-K802)&amp;IF((TODAY()-K802)=1," day"," days"),IF(K802=TODAY(),"Due today","Due in "&amp;(K802-TODAY())&amp;IF((K802-TODAY())=1," day"," days"))))))</f>
        <v/>
      </c>
      <c r="S802" s="33" t="n"/>
      <c r="T802" s="1">
        <f>IF(AND(B802&lt;&gt;"",K802&lt;&gt;"",L802&lt;&gt;"Sent",L802&lt;&gt;"Picked up",L802&lt;&gt;"Cancelled"),K802+ROW()/10000000,"")</f>
        <v/>
      </c>
      <c r="U802">
        <f>IF(OR(B802="",C802=""),"",B802+ROW()/10000000)</f>
        <v/>
      </c>
      <c r="V802">
        <f>IF(U802="","",IF(COUNTIFS(Orders!$C$6:$C$1005,C802,Orders!$U$6:$U$1005,"&gt;"&amp;U802)=0,1,0))</f>
        <v/>
      </c>
      <c r="W802">
        <f>IF(AND(B802&lt;&gt;"",K802&lt;&gt;"",L802&lt;&gt;"Sent",L802&lt;&gt;"Picked up",L802&lt;&gt;"Cancelled"),IF(N(E802)=0,1,E802),0)</f>
        <v/>
      </c>
      <c r="X802">
        <f>IF(OR(B802="",D802=""),"",IF(N(E802)=0,1,E802))</f>
        <v/>
      </c>
    </row>
    <row r="803">
      <c r="A803" s="1" t="n"/>
      <c r="B803" s="31" t="n"/>
      <c r="C803" s="32" t="n"/>
      <c r="D803" s="33" t="n"/>
      <c r="E803" s="34" t="n"/>
      <c r="F803" s="35" t="n"/>
      <c r="G803" s="35" t="n"/>
      <c r="H803" s="30">
        <f>IF(OR(B803="",D803=""),"",IF(N(E803)=0,1,E803)*IFERROR(INDEX(Products!$C$6:$C$105,MATCH(D803,Products!$B$6:$B$105,0)),0)+N(F803)+N(G803))</f>
        <v/>
      </c>
      <c r="I803" s="35" t="n"/>
      <c r="J803" s="30">
        <f>IF(OR(H803="",L803="Cancelled"),"",IF(H803-N(I803)&gt;0.005,H803-N(I803),""))</f>
        <v/>
      </c>
      <c r="K803" s="31" t="n"/>
      <c r="L803" s="36" t="n"/>
      <c r="M803" s="33" t="n"/>
      <c r="N803" s="22">
        <f>IF(OR(H803="",L803="Cancelled"),"",IF(N(E803)=0,1,E803)*IFERROR(INDEX(Products!$E$6:$E$105,MATCH(D803,Products!$B$6:$B$105,0)),0))</f>
        <v/>
      </c>
      <c r="O803" s="35" t="n"/>
      <c r="P803" s="22">
        <f>IF(OR(H803="",L803="Cancelled"),"",ROUND(IFERROR(H803*INDEX(Settings!$C$6:$C$15,MATCH(M803,Settings!$B$6:$B$15,0))+INDEX(Settings!$D$6:$D$15,MATCH(M803,Settings!$B$6:$B$15,0)),0),2))</f>
        <v/>
      </c>
      <c r="Q803" s="28">
        <f>IF(OR(H803="",L803="Cancelled"),"",H803-N(N803)-N(O803)-N(P803))</f>
        <v/>
      </c>
      <c r="R803" s="19">
        <f>IF(OR(B803="",K803=""),"",IF(OR(L803="Sent",L803="Picked up"),"Done",IF(L803="Cancelled","Cancelled",IF(K803&lt;TODAY(),"Late by "&amp;(TODAY()-K803)&amp;IF((TODAY()-K803)=1," day"," days"),IF(K803=TODAY(),"Due today","Due in "&amp;(K803-TODAY())&amp;IF((K803-TODAY())=1," day"," days"))))))</f>
        <v/>
      </c>
      <c r="S803" s="33" t="n"/>
      <c r="T803" s="1">
        <f>IF(AND(B803&lt;&gt;"",K803&lt;&gt;"",L803&lt;&gt;"Sent",L803&lt;&gt;"Picked up",L803&lt;&gt;"Cancelled"),K803+ROW()/10000000,"")</f>
        <v/>
      </c>
      <c r="U803">
        <f>IF(OR(B803="",C803=""),"",B803+ROW()/10000000)</f>
        <v/>
      </c>
      <c r="V803">
        <f>IF(U803="","",IF(COUNTIFS(Orders!$C$6:$C$1005,C803,Orders!$U$6:$U$1005,"&gt;"&amp;U803)=0,1,0))</f>
        <v/>
      </c>
      <c r="W803">
        <f>IF(AND(B803&lt;&gt;"",K803&lt;&gt;"",L803&lt;&gt;"Sent",L803&lt;&gt;"Picked up",L803&lt;&gt;"Cancelled"),IF(N(E803)=0,1,E803),0)</f>
        <v/>
      </c>
      <c r="X803">
        <f>IF(OR(B803="",D803=""),"",IF(N(E803)=0,1,E803))</f>
        <v/>
      </c>
    </row>
    <row r="804">
      <c r="A804" s="1" t="n"/>
      <c r="B804" s="31" t="n"/>
      <c r="C804" s="32" t="n"/>
      <c r="D804" s="33" t="n"/>
      <c r="E804" s="34" t="n"/>
      <c r="F804" s="35" t="n"/>
      <c r="G804" s="35" t="n"/>
      <c r="H804" s="30">
        <f>IF(OR(B804="",D804=""),"",IF(N(E804)=0,1,E804)*IFERROR(INDEX(Products!$C$6:$C$105,MATCH(D804,Products!$B$6:$B$105,0)),0)+N(F804)+N(G804))</f>
        <v/>
      </c>
      <c r="I804" s="35" t="n"/>
      <c r="J804" s="30">
        <f>IF(OR(H804="",L804="Cancelled"),"",IF(H804-N(I804)&gt;0.005,H804-N(I804),""))</f>
        <v/>
      </c>
      <c r="K804" s="31" t="n"/>
      <c r="L804" s="36" t="n"/>
      <c r="M804" s="33" t="n"/>
      <c r="N804" s="22">
        <f>IF(OR(H804="",L804="Cancelled"),"",IF(N(E804)=0,1,E804)*IFERROR(INDEX(Products!$E$6:$E$105,MATCH(D804,Products!$B$6:$B$105,0)),0))</f>
        <v/>
      </c>
      <c r="O804" s="35" t="n"/>
      <c r="P804" s="22">
        <f>IF(OR(H804="",L804="Cancelled"),"",ROUND(IFERROR(H804*INDEX(Settings!$C$6:$C$15,MATCH(M804,Settings!$B$6:$B$15,0))+INDEX(Settings!$D$6:$D$15,MATCH(M804,Settings!$B$6:$B$15,0)),0),2))</f>
        <v/>
      </c>
      <c r="Q804" s="28">
        <f>IF(OR(H804="",L804="Cancelled"),"",H804-N(N804)-N(O804)-N(P804))</f>
        <v/>
      </c>
      <c r="R804" s="19">
        <f>IF(OR(B804="",K804=""),"",IF(OR(L804="Sent",L804="Picked up"),"Done",IF(L804="Cancelled","Cancelled",IF(K804&lt;TODAY(),"Late by "&amp;(TODAY()-K804)&amp;IF((TODAY()-K804)=1," day"," days"),IF(K804=TODAY(),"Due today","Due in "&amp;(K804-TODAY())&amp;IF((K804-TODAY())=1," day"," days"))))))</f>
        <v/>
      </c>
      <c r="S804" s="33" t="n"/>
      <c r="T804" s="1">
        <f>IF(AND(B804&lt;&gt;"",K804&lt;&gt;"",L804&lt;&gt;"Sent",L804&lt;&gt;"Picked up",L804&lt;&gt;"Cancelled"),K804+ROW()/10000000,"")</f>
        <v/>
      </c>
      <c r="U804">
        <f>IF(OR(B804="",C804=""),"",B804+ROW()/10000000)</f>
        <v/>
      </c>
      <c r="V804">
        <f>IF(U804="","",IF(COUNTIFS(Orders!$C$6:$C$1005,C804,Orders!$U$6:$U$1005,"&gt;"&amp;U804)=0,1,0))</f>
        <v/>
      </c>
      <c r="W804">
        <f>IF(AND(B804&lt;&gt;"",K804&lt;&gt;"",L804&lt;&gt;"Sent",L804&lt;&gt;"Picked up",L804&lt;&gt;"Cancelled"),IF(N(E804)=0,1,E804),0)</f>
        <v/>
      </c>
      <c r="X804">
        <f>IF(OR(B804="",D804=""),"",IF(N(E804)=0,1,E804))</f>
        <v/>
      </c>
    </row>
    <row r="805">
      <c r="A805" s="1" t="n"/>
      <c r="B805" s="31" t="n"/>
      <c r="C805" s="32" t="n"/>
      <c r="D805" s="33" t="n"/>
      <c r="E805" s="34" t="n"/>
      <c r="F805" s="35" t="n"/>
      <c r="G805" s="35" t="n"/>
      <c r="H805" s="30">
        <f>IF(OR(B805="",D805=""),"",IF(N(E805)=0,1,E805)*IFERROR(INDEX(Products!$C$6:$C$105,MATCH(D805,Products!$B$6:$B$105,0)),0)+N(F805)+N(G805))</f>
        <v/>
      </c>
      <c r="I805" s="35" t="n"/>
      <c r="J805" s="30">
        <f>IF(OR(H805="",L805="Cancelled"),"",IF(H805-N(I805)&gt;0.005,H805-N(I805),""))</f>
        <v/>
      </c>
      <c r="K805" s="31" t="n"/>
      <c r="L805" s="36" t="n"/>
      <c r="M805" s="33" t="n"/>
      <c r="N805" s="22">
        <f>IF(OR(H805="",L805="Cancelled"),"",IF(N(E805)=0,1,E805)*IFERROR(INDEX(Products!$E$6:$E$105,MATCH(D805,Products!$B$6:$B$105,0)),0))</f>
        <v/>
      </c>
      <c r="O805" s="35" t="n"/>
      <c r="P805" s="22">
        <f>IF(OR(H805="",L805="Cancelled"),"",ROUND(IFERROR(H805*INDEX(Settings!$C$6:$C$15,MATCH(M805,Settings!$B$6:$B$15,0))+INDEX(Settings!$D$6:$D$15,MATCH(M805,Settings!$B$6:$B$15,0)),0),2))</f>
        <v/>
      </c>
      <c r="Q805" s="28">
        <f>IF(OR(H805="",L805="Cancelled"),"",H805-N(N805)-N(O805)-N(P805))</f>
        <v/>
      </c>
      <c r="R805" s="19">
        <f>IF(OR(B805="",K805=""),"",IF(OR(L805="Sent",L805="Picked up"),"Done",IF(L805="Cancelled","Cancelled",IF(K805&lt;TODAY(),"Late by "&amp;(TODAY()-K805)&amp;IF((TODAY()-K805)=1," day"," days"),IF(K805=TODAY(),"Due today","Due in "&amp;(K805-TODAY())&amp;IF((K805-TODAY())=1," day"," days"))))))</f>
        <v/>
      </c>
      <c r="S805" s="33" t="n"/>
      <c r="T805" s="1">
        <f>IF(AND(B805&lt;&gt;"",K805&lt;&gt;"",L805&lt;&gt;"Sent",L805&lt;&gt;"Picked up",L805&lt;&gt;"Cancelled"),K805+ROW()/10000000,"")</f>
        <v/>
      </c>
      <c r="U805">
        <f>IF(OR(B805="",C805=""),"",B805+ROW()/10000000)</f>
        <v/>
      </c>
      <c r="V805">
        <f>IF(U805="","",IF(COUNTIFS(Orders!$C$6:$C$1005,C805,Orders!$U$6:$U$1005,"&gt;"&amp;U805)=0,1,0))</f>
        <v/>
      </c>
      <c r="W805">
        <f>IF(AND(B805&lt;&gt;"",K805&lt;&gt;"",L805&lt;&gt;"Sent",L805&lt;&gt;"Picked up",L805&lt;&gt;"Cancelled"),IF(N(E805)=0,1,E805),0)</f>
        <v/>
      </c>
      <c r="X805">
        <f>IF(OR(B805="",D805=""),"",IF(N(E805)=0,1,E805))</f>
        <v/>
      </c>
    </row>
    <row r="806">
      <c r="A806" s="1" t="n"/>
      <c r="B806" s="31" t="n"/>
      <c r="C806" s="32" t="n"/>
      <c r="D806" s="33" t="n"/>
      <c r="E806" s="34" t="n"/>
      <c r="F806" s="35" t="n"/>
      <c r="G806" s="35" t="n"/>
      <c r="H806" s="30">
        <f>IF(OR(B806="",D806=""),"",IF(N(E806)=0,1,E806)*IFERROR(INDEX(Products!$C$6:$C$105,MATCH(D806,Products!$B$6:$B$105,0)),0)+N(F806)+N(G806))</f>
        <v/>
      </c>
      <c r="I806" s="35" t="n"/>
      <c r="J806" s="30">
        <f>IF(OR(H806="",L806="Cancelled"),"",IF(H806-N(I806)&gt;0.005,H806-N(I806),""))</f>
        <v/>
      </c>
      <c r="K806" s="31" t="n"/>
      <c r="L806" s="36" t="n"/>
      <c r="M806" s="33" t="n"/>
      <c r="N806" s="22">
        <f>IF(OR(H806="",L806="Cancelled"),"",IF(N(E806)=0,1,E806)*IFERROR(INDEX(Products!$E$6:$E$105,MATCH(D806,Products!$B$6:$B$105,0)),0))</f>
        <v/>
      </c>
      <c r="O806" s="35" t="n"/>
      <c r="P806" s="22">
        <f>IF(OR(H806="",L806="Cancelled"),"",ROUND(IFERROR(H806*INDEX(Settings!$C$6:$C$15,MATCH(M806,Settings!$B$6:$B$15,0))+INDEX(Settings!$D$6:$D$15,MATCH(M806,Settings!$B$6:$B$15,0)),0),2))</f>
        <v/>
      </c>
      <c r="Q806" s="28">
        <f>IF(OR(H806="",L806="Cancelled"),"",H806-N(N806)-N(O806)-N(P806))</f>
        <v/>
      </c>
      <c r="R806" s="19">
        <f>IF(OR(B806="",K806=""),"",IF(OR(L806="Sent",L806="Picked up"),"Done",IF(L806="Cancelled","Cancelled",IF(K806&lt;TODAY(),"Late by "&amp;(TODAY()-K806)&amp;IF((TODAY()-K806)=1," day"," days"),IF(K806=TODAY(),"Due today","Due in "&amp;(K806-TODAY())&amp;IF((K806-TODAY())=1," day"," days"))))))</f>
        <v/>
      </c>
      <c r="S806" s="33" t="n"/>
      <c r="T806" s="1">
        <f>IF(AND(B806&lt;&gt;"",K806&lt;&gt;"",L806&lt;&gt;"Sent",L806&lt;&gt;"Picked up",L806&lt;&gt;"Cancelled"),K806+ROW()/10000000,"")</f>
        <v/>
      </c>
      <c r="U806">
        <f>IF(OR(B806="",C806=""),"",B806+ROW()/10000000)</f>
        <v/>
      </c>
      <c r="V806">
        <f>IF(U806="","",IF(COUNTIFS(Orders!$C$6:$C$1005,C806,Orders!$U$6:$U$1005,"&gt;"&amp;U806)=0,1,0))</f>
        <v/>
      </c>
      <c r="W806">
        <f>IF(AND(B806&lt;&gt;"",K806&lt;&gt;"",L806&lt;&gt;"Sent",L806&lt;&gt;"Picked up",L806&lt;&gt;"Cancelled"),IF(N(E806)=0,1,E806),0)</f>
        <v/>
      </c>
      <c r="X806">
        <f>IF(OR(B806="",D806=""),"",IF(N(E806)=0,1,E806))</f>
        <v/>
      </c>
    </row>
    <row r="807">
      <c r="A807" s="1" t="n"/>
      <c r="B807" s="31" t="n"/>
      <c r="C807" s="32" t="n"/>
      <c r="D807" s="33" t="n"/>
      <c r="E807" s="34" t="n"/>
      <c r="F807" s="35" t="n"/>
      <c r="G807" s="35" t="n"/>
      <c r="H807" s="30">
        <f>IF(OR(B807="",D807=""),"",IF(N(E807)=0,1,E807)*IFERROR(INDEX(Products!$C$6:$C$105,MATCH(D807,Products!$B$6:$B$105,0)),0)+N(F807)+N(G807))</f>
        <v/>
      </c>
      <c r="I807" s="35" t="n"/>
      <c r="J807" s="30">
        <f>IF(OR(H807="",L807="Cancelled"),"",IF(H807-N(I807)&gt;0.005,H807-N(I807),""))</f>
        <v/>
      </c>
      <c r="K807" s="31" t="n"/>
      <c r="L807" s="36" t="n"/>
      <c r="M807" s="33" t="n"/>
      <c r="N807" s="22">
        <f>IF(OR(H807="",L807="Cancelled"),"",IF(N(E807)=0,1,E807)*IFERROR(INDEX(Products!$E$6:$E$105,MATCH(D807,Products!$B$6:$B$105,0)),0))</f>
        <v/>
      </c>
      <c r="O807" s="35" t="n"/>
      <c r="P807" s="22">
        <f>IF(OR(H807="",L807="Cancelled"),"",ROUND(IFERROR(H807*INDEX(Settings!$C$6:$C$15,MATCH(M807,Settings!$B$6:$B$15,0))+INDEX(Settings!$D$6:$D$15,MATCH(M807,Settings!$B$6:$B$15,0)),0),2))</f>
        <v/>
      </c>
      <c r="Q807" s="28">
        <f>IF(OR(H807="",L807="Cancelled"),"",H807-N(N807)-N(O807)-N(P807))</f>
        <v/>
      </c>
      <c r="R807" s="19">
        <f>IF(OR(B807="",K807=""),"",IF(OR(L807="Sent",L807="Picked up"),"Done",IF(L807="Cancelled","Cancelled",IF(K807&lt;TODAY(),"Late by "&amp;(TODAY()-K807)&amp;IF((TODAY()-K807)=1," day"," days"),IF(K807=TODAY(),"Due today","Due in "&amp;(K807-TODAY())&amp;IF((K807-TODAY())=1," day"," days"))))))</f>
        <v/>
      </c>
      <c r="S807" s="33" t="n"/>
      <c r="T807" s="1">
        <f>IF(AND(B807&lt;&gt;"",K807&lt;&gt;"",L807&lt;&gt;"Sent",L807&lt;&gt;"Picked up",L807&lt;&gt;"Cancelled"),K807+ROW()/10000000,"")</f>
        <v/>
      </c>
      <c r="U807">
        <f>IF(OR(B807="",C807=""),"",B807+ROW()/10000000)</f>
        <v/>
      </c>
      <c r="V807">
        <f>IF(U807="","",IF(COUNTIFS(Orders!$C$6:$C$1005,C807,Orders!$U$6:$U$1005,"&gt;"&amp;U807)=0,1,0))</f>
        <v/>
      </c>
      <c r="W807">
        <f>IF(AND(B807&lt;&gt;"",K807&lt;&gt;"",L807&lt;&gt;"Sent",L807&lt;&gt;"Picked up",L807&lt;&gt;"Cancelled"),IF(N(E807)=0,1,E807),0)</f>
        <v/>
      </c>
      <c r="X807">
        <f>IF(OR(B807="",D807=""),"",IF(N(E807)=0,1,E807))</f>
        <v/>
      </c>
    </row>
    <row r="808">
      <c r="A808" s="1" t="n"/>
      <c r="B808" s="31" t="n"/>
      <c r="C808" s="32" t="n"/>
      <c r="D808" s="33" t="n"/>
      <c r="E808" s="34" t="n"/>
      <c r="F808" s="35" t="n"/>
      <c r="G808" s="35" t="n"/>
      <c r="H808" s="30">
        <f>IF(OR(B808="",D808=""),"",IF(N(E808)=0,1,E808)*IFERROR(INDEX(Products!$C$6:$C$105,MATCH(D808,Products!$B$6:$B$105,0)),0)+N(F808)+N(G808))</f>
        <v/>
      </c>
      <c r="I808" s="35" t="n"/>
      <c r="J808" s="30">
        <f>IF(OR(H808="",L808="Cancelled"),"",IF(H808-N(I808)&gt;0.005,H808-N(I808),""))</f>
        <v/>
      </c>
      <c r="K808" s="31" t="n"/>
      <c r="L808" s="36" t="n"/>
      <c r="M808" s="33" t="n"/>
      <c r="N808" s="22">
        <f>IF(OR(H808="",L808="Cancelled"),"",IF(N(E808)=0,1,E808)*IFERROR(INDEX(Products!$E$6:$E$105,MATCH(D808,Products!$B$6:$B$105,0)),0))</f>
        <v/>
      </c>
      <c r="O808" s="35" t="n"/>
      <c r="P808" s="22">
        <f>IF(OR(H808="",L808="Cancelled"),"",ROUND(IFERROR(H808*INDEX(Settings!$C$6:$C$15,MATCH(M808,Settings!$B$6:$B$15,0))+INDEX(Settings!$D$6:$D$15,MATCH(M808,Settings!$B$6:$B$15,0)),0),2))</f>
        <v/>
      </c>
      <c r="Q808" s="28">
        <f>IF(OR(H808="",L808="Cancelled"),"",H808-N(N808)-N(O808)-N(P808))</f>
        <v/>
      </c>
      <c r="R808" s="19">
        <f>IF(OR(B808="",K808=""),"",IF(OR(L808="Sent",L808="Picked up"),"Done",IF(L808="Cancelled","Cancelled",IF(K808&lt;TODAY(),"Late by "&amp;(TODAY()-K808)&amp;IF((TODAY()-K808)=1," day"," days"),IF(K808=TODAY(),"Due today","Due in "&amp;(K808-TODAY())&amp;IF((K808-TODAY())=1," day"," days"))))))</f>
        <v/>
      </c>
      <c r="S808" s="33" t="n"/>
      <c r="T808" s="1">
        <f>IF(AND(B808&lt;&gt;"",K808&lt;&gt;"",L808&lt;&gt;"Sent",L808&lt;&gt;"Picked up",L808&lt;&gt;"Cancelled"),K808+ROW()/10000000,"")</f>
        <v/>
      </c>
      <c r="U808">
        <f>IF(OR(B808="",C808=""),"",B808+ROW()/10000000)</f>
        <v/>
      </c>
      <c r="V808">
        <f>IF(U808="","",IF(COUNTIFS(Orders!$C$6:$C$1005,C808,Orders!$U$6:$U$1005,"&gt;"&amp;U808)=0,1,0))</f>
        <v/>
      </c>
      <c r="W808">
        <f>IF(AND(B808&lt;&gt;"",K808&lt;&gt;"",L808&lt;&gt;"Sent",L808&lt;&gt;"Picked up",L808&lt;&gt;"Cancelled"),IF(N(E808)=0,1,E808),0)</f>
        <v/>
      </c>
      <c r="X808">
        <f>IF(OR(B808="",D808=""),"",IF(N(E808)=0,1,E808))</f>
        <v/>
      </c>
    </row>
    <row r="809">
      <c r="A809" s="1" t="n"/>
      <c r="B809" s="31" t="n"/>
      <c r="C809" s="32" t="n"/>
      <c r="D809" s="33" t="n"/>
      <c r="E809" s="34" t="n"/>
      <c r="F809" s="35" t="n"/>
      <c r="G809" s="35" t="n"/>
      <c r="H809" s="30">
        <f>IF(OR(B809="",D809=""),"",IF(N(E809)=0,1,E809)*IFERROR(INDEX(Products!$C$6:$C$105,MATCH(D809,Products!$B$6:$B$105,0)),0)+N(F809)+N(G809))</f>
        <v/>
      </c>
      <c r="I809" s="35" t="n"/>
      <c r="J809" s="30">
        <f>IF(OR(H809="",L809="Cancelled"),"",IF(H809-N(I809)&gt;0.005,H809-N(I809),""))</f>
        <v/>
      </c>
      <c r="K809" s="31" t="n"/>
      <c r="L809" s="36" t="n"/>
      <c r="M809" s="33" t="n"/>
      <c r="N809" s="22">
        <f>IF(OR(H809="",L809="Cancelled"),"",IF(N(E809)=0,1,E809)*IFERROR(INDEX(Products!$E$6:$E$105,MATCH(D809,Products!$B$6:$B$105,0)),0))</f>
        <v/>
      </c>
      <c r="O809" s="35" t="n"/>
      <c r="P809" s="22">
        <f>IF(OR(H809="",L809="Cancelled"),"",ROUND(IFERROR(H809*INDEX(Settings!$C$6:$C$15,MATCH(M809,Settings!$B$6:$B$15,0))+INDEX(Settings!$D$6:$D$15,MATCH(M809,Settings!$B$6:$B$15,0)),0),2))</f>
        <v/>
      </c>
      <c r="Q809" s="28">
        <f>IF(OR(H809="",L809="Cancelled"),"",H809-N(N809)-N(O809)-N(P809))</f>
        <v/>
      </c>
      <c r="R809" s="19">
        <f>IF(OR(B809="",K809=""),"",IF(OR(L809="Sent",L809="Picked up"),"Done",IF(L809="Cancelled","Cancelled",IF(K809&lt;TODAY(),"Late by "&amp;(TODAY()-K809)&amp;IF((TODAY()-K809)=1," day"," days"),IF(K809=TODAY(),"Due today","Due in "&amp;(K809-TODAY())&amp;IF((K809-TODAY())=1," day"," days"))))))</f>
        <v/>
      </c>
      <c r="S809" s="33" t="n"/>
      <c r="T809" s="1">
        <f>IF(AND(B809&lt;&gt;"",K809&lt;&gt;"",L809&lt;&gt;"Sent",L809&lt;&gt;"Picked up",L809&lt;&gt;"Cancelled"),K809+ROW()/10000000,"")</f>
        <v/>
      </c>
      <c r="U809">
        <f>IF(OR(B809="",C809=""),"",B809+ROW()/10000000)</f>
        <v/>
      </c>
      <c r="V809">
        <f>IF(U809="","",IF(COUNTIFS(Orders!$C$6:$C$1005,C809,Orders!$U$6:$U$1005,"&gt;"&amp;U809)=0,1,0))</f>
        <v/>
      </c>
      <c r="W809">
        <f>IF(AND(B809&lt;&gt;"",K809&lt;&gt;"",L809&lt;&gt;"Sent",L809&lt;&gt;"Picked up",L809&lt;&gt;"Cancelled"),IF(N(E809)=0,1,E809),0)</f>
        <v/>
      </c>
      <c r="X809">
        <f>IF(OR(B809="",D809=""),"",IF(N(E809)=0,1,E809))</f>
        <v/>
      </c>
    </row>
    <row r="810">
      <c r="A810" s="1" t="n"/>
      <c r="B810" s="31" t="n"/>
      <c r="C810" s="32" t="n"/>
      <c r="D810" s="33" t="n"/>
      <c r="E810" s="34" t="n"/>
      <c r="F810" s="35" t="n"/>
      <c r="G810" s="35" t="n"/>
      <c r="H810" s="30">
        <f>IF(OR(B810="",D810=""),"",IF(N(E810)=0,1,E810)*IFERROR(INDEX(Products!$C$6:$C$105,MATCH(D810,Products!$B$6:$B$105,0)),0)+N(F810)+N(G810))</f>
        <v/>
      </c>
      <c r="I810" s="35" t="n"/>
      <c r="J810" s="30">
        <f>IF(OR(H810="",L810="Cancelled"),"",IF(H810-N(I810)&gt;0.005,H810-N(I810),""))</f>
        <v/>
      </c>
      <c r="K810" s="31" t="n"/>
      <c r="L810" s="36" t="n"/>
      <c r="M810" s="33" t="n"/>
      <c r="N810" s="22">
        <f>IF(OR(H810="",L810="Cancelled"),"",IF(N(E810)=0,1,E810)*IFERROR(INDEX(Products!$E$6:$E$105,MATCH(D810,Products!$B$6:$B$105,0)),0))</f>
        <v/>
      </c>
      <c r="O810" s="35" t="n"/>
      <c r="P810" s="22">
        <f>IF(OR(H810="",L810="Cancelled"),"",ROUND(IFERROR(H810*INDEX(Settings!$C$6:$C$15,MATCH(M810,Settings!$B$6:$B$15,0))+INDEX(Settings!$D$6:$D$15,MATCH(M810,Settings!$B$6:$B$15,0)),0),2))</f>
        <v/>
      </c>
      <c r="Q810" s="28">
        <f>IF(OR(H810="",L810="Cancelled"),"",H810-N(N810)-N(O810)-N(P810))</f>
        <v/>
      </c>
      <c r="R810" s="19">
        <f>IF(OR(B810="",K810=""),"",IF(OR(L810="Sent",L810="Picked up"),"Done",IF(L810="Cancelled","Cancelled",IF(K810&lt;TODAY(),"Late by "&amp;(TODAY()-K810)&amp;IF((TODAY()-K810)=1," day"," days"),IF(K810=TODAY(),"Due today","Due in "&amp;(K810-TODAY())&amp;IF((K810-TODAY())=1," day"," days"))))))</f>
        <v/>
      </c>
      <c r="S810" s="33" t="n"/>
      <c r="T810" s="1">
        <f>IF(AND(B810&lt;&gt;"",K810&lt;&gt;"",L810&lt;&gt;"Sent",L810&lt;&gt;"Picked up",L810&lt;&gt;"Cancelled"),K810+ROW()/10000000,"")</f>
        <v/>
      </c>
      <c r="U810">
        <f>IF(OR(B810="",C810=""),"",B810+ROW()/10000000)</f>
        <v/>
      </c>
      <c r="V810">
        <f>IF(U810="","",IF(COUNTIFS(Orders!$C$6:$C$1005,C810,Orders!$U$6:$U$1005,"&gt;"&amp;U810)=0,1,0))</f>
        <v/>
      </c>
      <c r="W810">
        <f>IF(AND(B810&lt;&gt;"",K810&lt;&gt;"",L810&lt;&gt;"Sent",L810&lt;&gt;"Picked up",L810&lt;&gt;"Cancelled"),IF(N(E810)=0,1,E810),0)</f>
        <v/>
      </c>
      <c r="X810">
        <f>IF(OR(B810="",D810=""),"",IF(N(E810)=0,1,E810))</f>
        <v/>
      </c>
    </row>
    <row r="811">
      <c r="A811" s="1" t="n"/>
      <c r="B811" s="31" t="n"/>
      <c r="C811" s="32" t="n"/>
      <c r="D811" s="33" t="n"/>
      <c r="E811" s="34" t="n"/>
      <c r="F811" s="35" t="n"/>
      <c r="G811" s="35" t="n"/>
      <c r="H811" s="30">
        <f>IF(OR(B811="",D811=""),"",IF(N(E811)=0,1,E811)*IFERROR(INDEX(Products!$C$6:$C$105,MATCH(D811,Products!$B$6:$B$105,0)),0)+N(F811)+N(G811))</f>
        <v/>
      </c>
      <c r="I811" s="35" t="n"/>
      <c r="J811" s="30">
        <f>IF(OR(H811="",L811="Cancelled"),"",IF(H811-N(I811)&gt;0.005,H811-N(I811),""))</f>
        <v/>
      </c>
      <c r="K811" s="31" t="n"/>
      <c r="L811" s="36" t="n"/>
      <c r="M811" s="33" t="n"/>
      <c r="N811" s="22">
        <f>IF(OR(H811="",L811="Cancelled"),"",IF(N(E811)=0,1,E811)*IFERROR(INDEX(Products!$E$6:$E$105,MATCH(D811,Products!$B$6:$B$105,0)),0))</f>
        <v/>
      </c>
      <c r="O811" s="35" t="n"/>
      <c r="P811" s="22">
        <f>IF(OR(H811="",L811="Cancelled"),"",ROUND(IFERROR(H811*INDEX(Settings!$C$6:$C$15,MATCH(M811,Settings!$B$6:$B$15,0))+INDEX(Settings!$D$6:$D$15,MATCH(M811,Settings!$B$6:$B$15,0)),0),2))</f>
        <v/>
      </c>
      <c r="Q811" s="28">
        <f>IF(OR(H811="",L811="Cancelled"),"",H811-N(N811)-N(O811)-N(P811))</f>
        <v/>
      </c>
      <c r="R811" s="19">
        <f>IF(OR(B811="",K811=""),"",IF(OR(L811="Sent",L811="Picked up"),"Done",IF(L811="Cancelled","Cancelled",IF(K811&lt;TODAY(),"Late by "&amp;(TODAY()-K811)&amp;IF((TODAY()-K811)=1," day"," days"),IF(K811=TODAY(),"Due today","Due in "&amp;(K811-TODAY())&amp;IF((K811-TODAY())=1," day"," days"))))))</f>
        <v/>
      </c>
      <c r="S811" s="33" t="n"/>
      <c r="T811" s="1">
        <f>IF(AND(B811&lt;&gt;"",K811&lt;&gt;"",L811&lt;&gt;"Sent",L811&lt;&gt;"Picked up",L811&lt;&gt;"Cancelled"),K811+ROW()/10000000,"")</f>
        <v/>
      </c>
      <c r="U811">
        <f>IF(OR(B811="",C811=""),"",B811+ROW()/10000000)</f>
        <v/>
      </c>
      <c r="V811">
        <f>IF(U811="","",IF(COUNTIFS(Orders!$C$6:$C$1005,C811,Orders!$U$6:$U$1005,"&gt;"&amp;U811)=0,1,0))</f>
        <v/>
      </c>
      <c r="W811">
        <f>IF(AND(B811&lt;&gt;"",K811&lt;&gt;"",L811&lt;&gt;"Sent",L811&lt;&gt;"Picked up",L811&lt;&gt;"Cancelled"),IF(N(E811)=0,1,E811),0)</f>
        <v/>
      </c>
      <c r="X811">
        <f>IF(OR(B811="",D811=""),"",IF(N(E811)=0,1,E811))</f>
        <v/>
      </c>
    </row>
    <row r="812">
      <c r="A812" s="1" t="n"/>
      <c r="B812" s="31" t="n"/>
      <c r="C812" s="32" t="n"/>
      <c r="D812" s="33" t="n"/>
      <c r="E812" s="34" t="n"/>
      <c r="F812" s="35" t="n"/>
      <c r="G812" s="35" t="n"/>
      <c r="H812" s="30">
        <f>IF(OR(B812="",D812=""),"",IF(N(E812)=0,1,E812)*IFERROR(INDEX(Products!$C$6:$C$105,MATCH(D812,Products!$B$6:$B$105,0)),0)+N(F812)+N(G812))</f>
        <v/>
      </c>
      <c r="I812" s="35" t="n"/>
      <c r="J812" s="30">
        <f>IF(OR(H812="",L812="Cancelled"),"",IF(H812-N(I812)&gt;0.005,H812-N(I812),""))</f>
        <v/>
      </c>
      <c r="K812" s="31" t="n"/>
      <c r="L812" s="36" t="n"/>
      <c r="M812" s="33" t="n"/>
      <c r="N812" s="22">
        <f>IF(OR(H812="",L812="Cancelled"),"",IF(N(E812)=0,1,E812)*IFERROR(INDEX(Products!$E$6:$E$105,MATCH(D812,Products!$B$6:$B$105,0)),0))</f>
        <v/>
      </c>
      <c r="O812" s="35" t="n"/>
      <c r="P812" s="22">
        <f>IF(OR(H812="",L812="Cancelled"),"",ROUND(IFERROR(H812*INDEX(Settings!$C$6:$C$15,MATCH(M812,Settings!$B$6:$B$15,0))+INDEX(Settings!$D$6:$D$15,MATCH(M812,Settings!$B$6:$B$15,0)),0),2))</f>
        <v/>
      </c>
      <c r="Q812" s="28">
        <f>IF(OR(H812="",L812="Cancelled"),"",H812-N(N812)-N(O812)-N(P812))</f>
        <v/>
      </c>
      <c r="R812" s="19">
        <f>IF(OR(B812="",K812=""),"",IF(OR(L812="Sent",L812="Picked up"),"Done",IF(L812="Cancelled","Cancelled",IF(K812&lt;TODAY(),"Late by "&amp;(TODAY()-K812)&amp;IF((TODAY()-K812)=1," day"," days"),IF(K812=TODAY(),"Due today","Due in "&amp;(K812-TODAY())&amp;IF((K812-TODAY())=1," day"," days"))))))</f>
        <v/>
      </c>
      <c r="S812" s="33" t="n"/>
      <c r="T812" s="1">
        <f>IF(AND(B812&lt;&gt;"",K812&lt;&gt;"",L812&lt;&gt;"Sent",L812&lt;&gt;"Picked up",L812&lt;&gt;"Cancelled"),K812+ROW()/10000000,"")</f>
        <v/>
      </c>
      <c r="U812">
        <f>IF(OR(B812="",C812=""),"",B812+ROW()/10000000)</f>
        <v/>
      </c>
      <c r="V812">
        <f>IF(U812="","",IF(COUNTIFS(Orders!$C$6:$C$1005,C812,Orders!$U$6:$U$1005,"&gt;"&amp;U812)=0,1,0))</f>
        <v/>
      </c>
      <c r="W812">
        <f>IF(AND(B812&lt;&gt;"",K812&lt;&gt;"",L812&lt;&gt;"Sent",L812&lt;&gt;"Picked up",L812&lt;&gt;"Cancelled"),IF(N(E812)=0,1,E812),0)</f>
        <v/>
      </c>
      <c r="X812">
        <f>IF(OR(B812="",D812=""),"",IF(N(E812)=0,1,E812))</f>
        <v/>
      </c>
    </row>
    <row r="813">
      <c r="A813" s="1" t="n"/>
      <c r="B813" s="31" t="n"/>
      <c r="C813" s="32" t="n"/>
      <c r="D813" s="33" t="n"/>
      <c r="E813" s="34" t="n"/>
      <c r="F813" s="35" t="n"/>
      <c r="G813" s="35" t="n"/>
      <c r="H813" s="30">
        <f>IF(OR(B813="",D813=""),"",IF(N(E813)=0,1,E813)*IFERROR(INDEX(Products!$C$6:$C$105,MATCH(D813,Products!$B$6:$B$105,0)),0)+N(F813)+N(G813))</f>
        <v/>
      </c>
      <c r="I813" s="35" t="n"/>
      <c r="J813" s="30">
        <f>IF(OR(H813="",L813="Cancelled"),"",IF(H813-N(I813)&gt;0.005,H813-N(I813),""))</f>
        <v/>
      </c>
      <c r="K813" s="31" t="n"/>
      <c r="L813" s="36" t="n"/>
      <c r="M813" s="33" t="n"/>
      <c r="N813" s="22">
        <f>IF(OR(H813="",L813="Cancelled"),"",IF(N(E813)=0,1,E813)*IFERROR(INDEX(Products!$E$6:$E$105,MATCH(D813,Products!$B$6:$B$105,0)),0))</f>
        <v/>
      </c>
      <c r="O813" s="35" t="n"/>
      <c r="P813" s="22">
        <f>IF(OR(H813="",L813="Cancelled"),"",ROUND(IFERROR(H813*INDEX(Settings!$C$6:$C$15,MATCH(M813,Settings!$B$6:$B$15,0))+INDEX(Settings!$D$6:$D$15,MATCH(M813,Settings!$B$6:$B$15,0)),0),2))</f>
        <v/>
      </c>
      <c r="Q813" s="28">
        <f>IF(OR(H813="",L813="Cancelled"),"",H813-N(N813)-N(O813)-N(P813))</f>
        <v/>
      </c>
      <c r="R813" s="19">
        <f>IF(OR(B813="",K813=""),"",IF(OR(L813="Sent",L813="Picked up"),"Done",IF(L813="Cancelled","Cancelled",IF(K813&lt;TODAY(),"Late by "&amp;(TODAY()-K813)&amp;IF((TODAY()-K813)=1," day"," days"),IF(K813=TODAY(),"Due today","Due in "&amp;(K813-TODAY())&amp;IF((K813-TODAY())=1," day"," days"))))))</f>
        <v/>
      </c>
      <c r="S813" s="33" t="n"/>
      <c r="T813" s="1">
        <f>IF(AND(B813&lt;&gt;"",K813&lt;&gt;"",L813&lt;&gt;"Sent",L813&lt;&gt;"Picked up",L813&lt;&gt;"Cancelled"),K813+ROW()/10000000,"")</f>
        <v/>
      </c>
      <c r="U813">
        <f>IF(OR(B813="",C813=""),"",B813+ROW()/10000000)</f>
        <v/>
      </c>
      <c r="V813">
        <f>IF(U813="","",IF(COUNTIFS(Orders!$C$6:$C$1005,C813,Orders!$U$6:$U$1005,"&gt;"&amp;U813)=0,1,0))</f>
        <v/>
      </c>
      <c r="W813">
        <f>IF(AND(B813&lt;&gt;"",K813&lt;&gt;"",L813&lt;&gt;"Sent",L813&lt;&gt;"Picked up",L813&lt;&gt;"Cancelled"),IF(N(E813)=0,1,E813),0)</f>
        <v/>
      </c>
      <c r="X813">
        <f>IF(OR(B813="",D813=""),"",IF(N(E813)=0,1,E813))</f>
        <v/>
      </c>
    </row>
    <row r="814">
      <c r="A814" s="1" t="n"/>
      <c r="B814" s="31" t="n"/>
      <c r="C814" s="32" t="n"/>
      <c r="D814" s="33" t="n"/>
      <c r="E814" s="34" t="n"/>
      <c r="F814" s="35" t="n"/>
      <c r="G814" s="35" t="n"/>
      <c r="H814" s="30">
        <f>IF(OR(B814="",D814=""),"",IF(N(E814)=0,1,E814)*IFERROR(INDEX(Products!$C$6:$C$105,MATCH(D814,Products!$B$6:$B$105,0)),0)+N(F814)+N(G814))</f>
        <v/>
      </c>
      <c r="I814" s="35" t="n"/>
      <c r="J814" s="30">
        <f>IF(OR(H814="",L814="Cancelled"),"",IF(H814-N(I814)&gt;0.005,H814-N(I814),""))</f>
        <v/>
      </c>
      <c r="K814" s="31" t="n"/>
      <c r="L814" s="36" t="n"/>
      <c r="M814" s="33" t="n"/>
      <c r="N814" s="22">
        <f>IF(OR(H814="",L814="Cancelled"),"",IF(N(E814)=0,1,E814)*IFERROR(INDEX(Products!$E$6:$E$105,MATCH(D814,Products!$B$6:$B$105,0)),0))</f>
        <v/>
      </c>
      <c r="O814" s="35" t="n"/>
      <c r="P814" s="22">
        <f>IF(OR(H814="",L814="Cancelled"),"",ROUND(IFERROR(H814*INDEX(Settings!$C$6:$C$15,MATCH(M814,Settings!$B$6:$B$15,0))+INDEX(Settings!$D$6:$D$15,MATCH(M814,Settings!$B$6:$B$15,0)),0),2))</f>
        <v/>
      </c>
      <c r="Q814" s="28">
        <f>IF(OR(H814="",L814="Cancelled"),"",H814-N(N814)-N(O814)-N(P814))</f>
        <v/>
      </c>
      <c r="R814" s="19">
        <f>IF(OR(B814="",K814=""),"",IF(OR(L814="Sent",L814="Picked up"),"Done",IF(L814="Cancelled","Cancelled",IF(K814&lt;TODAY(),"Late by "&amp;(TODAY()-K814)&amp;IF((TODAY()-K814)=1," day"," days"),IF(K814=TODAY(),"Due today","Due in "&amp;(K814-TODAY())&amp;IF((K814-TODAY())=1," day"," days"))))))</f>
        <v/>
      </c>
      <c r="S814" s="33" t="n"/>
      <c r="T814" s="1">
        <f>IF(AND(B814&lt;&gt;"",K814&lt;&gt;"",L814&lt;&gt;"Sent",L814&lt;&gt;"Picked up",L814&lt;&gt;"Cancelled"),K814+ROW()/10000000,"")</f>
        <v/>
      </c>
      <c r="U814">
        <f>IF(OR(B814="",C814=""),"",B814+ROW()/10000000)</f>
        <v/>
      </c>
      <c r="V814">
        <f>IF(U814="","",IF(COUNTIFS(Orders!$C$6:$C$1005,C814,Orders!$U$6:$U$1005,"&gt;"&amp;U814)=0,1,0))</f>
        <v/>
      </c>
      <c r="W814">
        <f>IF(AND(B814&lt;&gt;"",K814&lt;&gt;"",L814&lt;&gt;"Sent",L814&lt;&gt;"Picked up",L814&lt;&gt;"Cancelled"),IF(N(E814)=0,1,E814),0)</f>
        <v/>
      </c>
      <c r="X814">
        <f>IF(OR(B814="",D814=""),"",IF(N(E814)=0,1,E814))</f>
        <v/>
      </c>
    </row>
    <row r="815">
      <c r="A815" s="1" t="n"/>
      <c r="B815" s="31" t="n"/>
      <c r="C815" s="32" t="n"/>
      <c r="D815" s="33" t="n"/>
      <c r="E815" s="34" t="n"/>
      <c r="F815" s="35" t="n"/>
      <c r="G815" s="35" t="n"/>
      <c r="H815" s="30">
        <f>IF(OR(B815="",D815=""),"",IF(N(E815)=0,1,E815)*IFERROR(INDEX(Products!$C$6:$C$105,MATCH(D815,Products!$B$6:$B$105,0)),0)+N(F815)+N(G815))</f>
        <v/>
      </c>
      <c r="I815" s="35" t="n"/>
      <c r="J815" s="30">
        <f>IF(OR(H815="",L815="Cancelled"),"",IF(H815-N(I815)&gt;0.005,H815-N(I815),""))</f>
        <v/>
      </c>
      <c r="K815" s="31" t="n"/>
      <c r="L815" s="36" t="n"/>
      <c r="M815" s="33" t="n"/>
      <c r="N815" s="22">
        <f>IF(OR(H815="",L815="Cancelled"),"",IF(N(E815)=0,1,E815)*IFERROR(INDEX(Products!$E$6:$E$105,MATCH(D815,Products!$B$6:$B$105,0)),0))</f>
        <v/>
      </c>
      <c r="O815" s="35" t="n"/>
      <c r="P815" s="22">
        <f>IF(OR(H815="",L815="Cancelled"),"",ROUND(IFERROR(H815*INDEX(Settings!$C$6:$C$15,MATCH(M815,Settings!$B$6:$B$15,0))+INDEX(Settings!$D$6:$D$15,MATCH(M815,Settings!$B$6:$B$15,0)),0),2))</f>
        <v/>
      </c>
      <c r="Q815" s="28">
        <f>IF(OR(H815="",L815="Cancelled"),"",H815-N(N815)-N(O815)-N(P815))</f>
        <v/>
      </c>
      <c r="R815" s="19">
        <f>IF(OR(B815="",K815=""),"",IF(OR(L815="Sent",L815="Picked up"),"Done",IF(L815="Cancelled","Cancelled",IF(K815&lt;TODAY(),"Late by "&amp;(TODAY()-K815)&amp;IF((TODAY()-K815)=1," day"," days"),IF(K815=TODAY(),"Due today","Due in "&amp;(K815-TODAY())&amp;IF((K815-TODAY())=1," day"," days"))))))</f>
        <v/>
      </c>
      <c r="S815" s="33" t="n"/>
      <c r="T815" s="1">
        <f>IF(AND(B815&lt;&gt;"",K815&lt;&gt;"",L815&lt;&gt;"Sent",L815&lt;&gt;"Picked up",L815&lt;&gt;"Cancelled"),K815+ROW()/10000000,"")</f>
        <v/>
      </c>
      <c r="U815">
        <f>IF(OR(B815="",C815=""),"",B815+ROW()/10000000)</f>
        <v/>
      </c>
      <c r="V815">
        <f>IF(U815="","",IF(COUNTIFS(Orders!$C$6:$C$1005,C815,Orders!$U$6:$U$1005,"&gt;"&amp;U815)=0,1,0))</f>
        <v/>
      </c>
      <c r="W815">
        <f>IF(AND(B815&lt;&gt;"",K815&lt;&gt;"",L815&lt;&gt;"Sent",L815&lt;&gt;"Picked up",L815&lt;&gt;"Cancelled"),IF(N(E815)=0,1,E815),0)</f>
        <v/>
      </c>
      <c r="X815">
        <f>IF(OR(B815="",D815=""),"",IF(N(E815)=0,1,E815))</f>
        <v/>
      </c>
    </row>
    <row r="816">
      <c r="A816" s="1" t="n"/>
      <c r="B816" s="31" t="n"/>
      <c r="C816" s="32" t="n"/>
      <c r="D816" s="33" t="n"/>
      <c r="E816" s="34" t="n"/>
      <c r="F816" s="35" t="n"/>
      <c r="G816" s="35" t="n"/>
      <c r="H816" s="30">
        <f>IF(OR(B816="",D816=""),"",IF(N(E816)=0,1,E816)*IFERROR(INDEX(Products!$C$6:$C$105,MATCH(D816,Products!$B$6:$B$105,0)),0)+N(F816)+N(G816))</f>
        <v/>
      </c>
      <c r="I816" s="35" t="n"/>
      <c r="J816" s="30">
        <f>IF(OR(H816="",L816="Cancelled"),"",IF(H816-N(I816)&gt;0.005,H816-N(I816),""))</f>
        <v/>
      </c>
      <c r="K816" s="31" t="n"/>
      <c r="L816" s="36" t="n"/>
      <c r="M816" s="33" t="n"/>
      <c r="N816" s="22">
        <f>IF(OR(H816="",L816="Cancelled"),"",IF(N(E816)=0,1,E816)*IFERROR(INDEX(Products!$E$6:$E$105,MATCH(D816,Products!$B$6:$B$105,0)),0))</f>
        <v/>
      </c>
      <c r="O816" s="35" t="n"/>
      <c r="P816" s="22">
        <f>IF(OR(H816="",L816="Cancelled"),"",ROUND(IFERROR(H816*INDEX(Settings!$C$6:$C$15,MATCH(M816,Settings!$B$6:$B$15,0))+INDEX(Settings!$D$6:$D$15,MATCH(M816,Settings!$B$6:$B$15,0)),0),2))</f>
        <v/>
      </c>
      <c r="Q816" s="28">
        <f>IF(OR(H816="",L816="Cancelled"),"",H816-N(N816)-N(O816)-N(P816))</f>
        <v/>
      </c>
      <c r="R816" s="19">
        <f>IF(OR(B816="",K816=""),"",IF(OR(L816="Sent",L816="Picked up"),"Done",IF(L816="Cancelled","Cancelled",IF(K816&lt;TODAY(),"Late by "&amp;(TODAY()-K816)&amp;IF((TODAY()-K816)=1," day"," days"),IF(K816=TODAY(),"Due today","Due in "&amp;(K816-TODAY())&amp;IF((K816-TODAY())=1," day"," days"))))))</f>
        <v/>
      </c>
      <c r="S816" s="33" t="n"/>
      <c r="T816" s="1">
        <f>IF(AND(B816&lt;&gt;"",K816&lt;&gt;"",L816&lt;&gt;"Sent",L816&lt;&gt;"Picked up",L816&lt;&gt;"Cancelled"),K816+ROW()/10000000,"")</f>
        <v/>
      </c>
      <c r="U816">
        <f>IF(OR(B816="",C816=""),"",B816+ROW()/10000000)</f>
        <v/>
      </c>
      <c r="V816">
        <f>IF(U816="","",IF(COUNTIFS(Orders!$C$6:$C$1005,C816,Orders!$U$6:$U$1005,"&gt;"&amp;U816)=0,1,0))</f>
        <v/>
      </c>
      <c r="W816">
        <f>IF(AND(B816&lt;&gt;"",K816&lt;&gt;"",L816&lt;&gt;"Sent",L816&lt;&gt;"Picked up",L816&lt;&gt;"Cancelled"),IF(N(E816)=0,1,E816),0)</f>
        <v/>
      </c>
      <c r="X816">
        <f>IF(OR(B816="",D816=""),"",IF(N(E816)=0,1,E816))</f>
        <v/>
      </c>
    </row>
    <row r="817">
      <c r="A817" s="1" t="n"/>
      <c r="B817" s="31" t="n"/>
      <c r="C817" s="32" t="n"/>
      <c r="D817" s="33" t="n"/>
      <c r="E817" s="34" t="n"/>
      <c r="F817" s="35" t="n"/>
      <c r="G817" s="35" t="n"/>
      <c r="H817" s="30">
        <f>IF(OR(B817="",D817=""),"",IF(N(E817)=0,1,E817)*IFERROR(INDEX(Products!$C$6:$C$105,MATCH(D817,Products!$B$6:$B$105,0)),0)+N(F817)+N(G817))</f>
        <v/>
      </c>
      <c r="I817" s="35" t="n"/>
      <c r="J817" s="30">
        <f>IF(OR(H817="",L817="Cancelled"),"",IF(H817-N(I817)&gt;0.005,H817-N(I817),""))</f>
        <v/>
      </c>
      <c r="K817" s="31" t="n"/>
      <c r="L817" s="36" t="n"/>
      <c r="M817" s="33" t="n"/>
      <c r="N817" s="22">
        <f>IF(OR(H817="",L817="Cancelled"),"",IF(N(E817)=0,1,E817)*IFERROR(INDEX(Products!$E$6:$E$105,MATCH(D817,Products!$B$6:$B$105,0)),0))</f>
        <v/>
      </c>
      <c r="O817" s="35" t="n"/>
      <c r="P817" s="22">
        <f>IF(OR(H817="",L817="Cancelled"),"",ROUND(IFERROR(H817*INDEX(Settings!$C$6:$C$15,MATCH(M817,Settings!$B$6:$B$15,0))+INDEX(Settings!$D$6:$D$15,MATCH(M817,Settings!$B$6:$B$15,0)),0),2))</f>
        <v/>
      </c>
      <c r="Q817" s="28">
        <f>IF(OR(H817="",L817="Cancelled"),"",H817-N(N817)-N(O817)-N(P817))</f>
        <v/>
      </c>
      <c r="R817" s="19">
        <f>IF(OR(B817="",K817=""),"",IF(OR(L817="Sent",L817="Picked up"),"Done",IF(L817="Cancelled","Cancelled",IF(K817&lt;TODAY(),"Late by "&amp;(TODAY()-K817)&amp;IF((TODAY()-K817)=1," day"," days"),IF(K817=TODAY(),"Due today","Due in "&amp;(K817-TODAY())&amp;IF((K817-TODAY())=1," day"," days"))))))</f>
        <v/>
      </c>
      <c r="S817" s="33" t="n"/>
      <c r="T817" s="1">
        <f>IF(AND(B817&lt;&gt;"",K817&lt;&gt;"",L817&lt;&gt;"Sent",L817&lt;&gt;"Picked up",L817&lt;&gt;"Cancelled"),K817+ROW()/10000000,"")</f>
        <v/>
      </c>
      <c r="U817">
        <f>IF(OR(B817="",C817=""),"",B817+ROW()/10000000)</f>
        <v/>
      </c>
      <c r="V817">
        <f>IF(U817="","",IF(COUNTIFS(Orders!$C$6:$C$1005,C817,Orders!$U$6:$U$1005,"&gt;"&amp;U817)=0,1,0))</f>
        <v/>
      </c>
      <c r="W817">
        <f>IF(AND(B817&lt;&gt;"",K817&lt;&gt;"",L817&lt;&gt;"Sent",L817&lt;&gt;"Picked up",L817&lt;&gt;"Cancelled"),IF(N(E817)=0,1,E817),0)</f>
        <v/>
      </c>
      <c r="X817">
        <f>IF(OR(B817="",D817=""),"",IF(N(E817)=0,1,E817))</f>
        <v/>
      </c>
    </row>
    <row r="818">
      <c r="A818" s="1" t="n"/>
      <c r="B818" s="31" t="n"/>
      <c r="C818" s="32" t="n"/>
      <c r="D818" s="33" t="n"/>
      <c r="E818" s="34" t="n"/>
      <c r="F818" s="35" t="n"/>
      <c r="G818" s="35" t="n"/>
      <c r="H818" s="30">
        <f>IF(OR(B818="",D818=""),"",IF(N(E818)=0,1,E818)*IFERROR(INDEX(Products!$C$6:$C$105,MATCH(D818,Products!$B$6:$B$105,0)),0)+N(F818)+N(G818))</f>
        <v/>
      </c>
      <c r="I818" s="35" t="n"/>
      <c r="J818" s="30">
        <f>IF(OR(H818="",L818="Cancelled"),"",IF(H818-N(I818)&gt;0.005,H818-N(I818),""))</f>
        <v/>
      </c>
      <c r="K818" s="31" t="n"/>
      <c r="L818" s="36" t="n"/>
      <c r="M818" s="33" t="n"/>
      <c r="N818" s="22">
        <f>IF(OR(H818="",L818="Cancelled"),"",IF(N(E818)=0,1,E818)*IFERROR(INDEX(Products!$E$6:$E$105,MATCH(D818,Products!$B$6:$B$105,0)),0))</f>
        <v/>
      </c>
      <c r="O818" s="35" t="n"/>
      <c r="P818" s="22">
        <f>IF(OR(H818="",L818="Cancelled"),"",ROUND(IFERROR(H818*INDEX(Settings!$C$6:$C$15,MATCH(M818,Settings!$B$6:$B$15,0))+INDEX(Settings!$D$6:$D$15,MATCH(M818,Settings!$B$6:$B$15,0)),0),2))</f>
        <v/>
      </c>
      <c r="Q818" s="28">
        <f>IF(OR(H818="",L818="Cancelled"),"",H818-N(N818)-N(O818)-N(P818))</f>
        <v/>
      </c>
      <c r="R818" s="19">
        <f>IF(OR(B818="",K818=""),"",IF(OR(L818="Sent",L818="Picked up"),"Done",IF(L818="Cancelled","Cancelled",IF(K818&lt;TODAY(),"Late by "&amp;(TODAY()-K818)&amp;IF((TODAY()-K818)=1," day"," days"),IF(K818=TODAY(),"Due today","Due in "&amp;(K818-TODAY())&amp;IF((K818-TODAY())=1," day"," days"))))))</f>
        <v/>
      </c>
      <c r="S818" s="33" t="n"/>
      <c r="T818" s="1">
        <f>IF(AND(B818&lt;&gt;"",K818&lt;&gt;"",L818&lt;&gt;"Sent",L818&lt;&gt;"Picked up",L818&lt;&gt;"Cancelled"),K818+ROW()/10000000,"")</f>
        <v/>
      </c>
      <c r="U818">
        <f>IF(OR(B818="",C818=""),"",B818+ROW()/10000000)</f>
        <v/>
      </c>
      <c r="V818">
        <f>IF(U818="","",IF(COUNTIFS(Orders!$C$6:$C$1005,C818,Orders!$U$6:$U$1005,"&gt;"&amp;U818)=0,1,0))</f>
        <v/>
      </c>
      <c r="W818">
        <f>IF(AND(B818&lt;&gt;"",K818&lt;&gt;"",L818&lt;&gt;"Sent",L818&lt;&gt;"Picked up",L818&lt;&gt;"Cancelled"),IF(N(E818)=0,1,E818),0)</f>
        <v/>
      </c>
      <c r="X818">
        <f>IF(OR(B818="",D818=""),"",IF(N(E818)=0,1,E818))</f>
        <v/>
      </c>
    </row>
    <row r="819">
      <c r="A819" s="1" t="n"/>
      <c r="B819" s="31" t="n"/>
      <c r="C819" s="32" t="n"/>
      <c r="D819" s="33" t="n"/>
      <c r="E819" s="34" t="n"/>
      <c r="F819" s="35" t="n"/>
      <c r="G819" s="35" t="n"/>
      <c r="H819" s="30">
        <f>IF(OR(B819="",D819=""),"",IF(N(E819)=0,1,E819)*IFERROR(INDEX(Products!$C$6:$C$105,MATCH(D819,Products!$B$6:$B$105,0)),0)+N(F819)+N(G819))</f>
        <v/>
      </c>
      <c r="I819" s="35" t="n"/>
      <c r="J819" s="30">
        <f>IF(OR(H819="",L819="Cancelled"),"",IF(H819-N(I819)&gt;0.005,H819-N(I819),""))</f>
        <v/>
      </c>
      <c r="K819" s="31" t="n"/>
      <c r="L819" s="36" t="n"/>
      <c r="M819" s="33" t="n"/>
      <c r="N819" s="22">
        <f>IF(OR(H819="",L819="Cancelled"),"",IF(N(E819)=0,1,E819)*IFERROR(INDEX(Products!$E$6:$E$105,MATCH(D819,Products!$B$6:$B$105,0)),0))</f>
        <v/>
      </c>
      <c r="O819" s="35" t="n"/>
      <c r="P819" s="22">
        <f>IF(OR(H819="",L819="Cancelled"),"",ROUND(IFERROR(H819*INDEX(Settings!$C$6:$C$15,MATCH(M819,Settings!$B$6:$B$15,0))+INDEX(Settings!$D$6:$D$15,MATCH(M819,Settings!$B$6:$B$15,0)),0),2))</f>
        <v/>
      </c>
      <c r="Q819" s="28">
        <f>IF(OR(H819="",L819="Cancelled"),"",H819-N(N819)-N(O819)-N(P819))</f>
        <v/>
      </c>
      <c r="R819" s="19">
        <f>IF(OR(B819="",K819=""),"",IF(OR(L819="Sent",L819="Picked up"),"Done",IF(L819="Cancelled","Cancelled",IF(K819&lt;TODAY(),"Late by "&amp;(TODAY()-K819)&amp;IF((TODAY()-K819)=1," day"," days"),IF(K819=TODAY(),"Due today","Due in "&amp;(K819-TODAY())&amp;IF((K819-TODAY())=1," day"," days"))))))</f>
        <v/>
      </c>
      <c r="S819" s="33" t="n"/>
      <c r="T819" s="1">
        <f>IF(AND(B819&lt;&gt;"",K819&lt;&gt;"",L819&lt;&gt;"Sent",L819&lt;&gt;"Picked up",L819&lt;&gt;"Cancelled"),K819+ROW()/10000000,"")</f>
        <v/>
      </c>
      <c r="U819">
        <f>IF(OR(B819="",C819=""),"",B819+ROW()/10000000)</f>
        <v/>
      </c>
      <c r="V819">
        <f>IF(U819="","",IF(COUNTIFS(Orders!$C$6:$C$1005,C819,Orders!$U$6:$U$1005,"&gt;"&amp;U819)=0,1,0))</f>
        <v/>
      </c>
      <c r="W819">
        <f>IF(AND(B819&lt;&gt;"",K819&lt;&gt;"",L819&lt;&gt;"Sent",L819&lt;&gt;"Picked up",L819&lt;&gt;"Cancelled"),IF(N(E819)=0,1,E819),0)</f>
        <v/>
      </c>
      <c r="X819">
        <f>IF(OR(B819="",D819=""),"",IF(N(E819)=0,1,E819))</f>
        <v/>
      </c>
    </row>
    <row r="820">
      <c r="A820" s="1" t="n"/>
      <c r="B820" s="31" t="n"/>
      <c r="C820" s="32" t="n"/>
      <c r="D820" s="33" t="n"/>
      <c r="E820" s="34" t="n"/>
      <c r="F820" s="35" t="n"/>
      <c r="G820" s="35" t="n"/>
      <c r="H820" s="30">
        <f>IF(OR(B820="",D820=""),"",IF(N(E820)=0,1,E820)*IFERROR(INDEX(Products!$C$6:$C$105,MATCH(D820,Products!$B$6:$B$105,0)),0)+N(F820)+N(G820))</f>
        <v/>
      </c>
      <c r="I820" s="35" t="n"/>
      <c r="J820" s="30">
        <f>IF(OR(H820="",L820="Cancelled"),"",IF(H820-N(I820)&gt;0.005,H820-N(I820),""))</f>
        <v/>
      </c>
      <c r="K820" s="31" t="n"/>
      <c r="L820" s="36" t="n"/>
      <c r="M820" s="33" t="n"/>
      <c r="N820" s="22">
        <f>IF(OR(H820="",L820="Cancelled"),"",IF(N(E820)=0,1,E820)*IFERROR(INDEX(Products!$E$6:$E$105,MATCH(D820,Products!$B$6:$B$105,0)),0))</f>
        <v/>
      </c>
      <c r="O820" s="35" t="n"/>
      <c r="P820" s="22">
        <f>IF(OR(H820="",L820="Cancelled"),"",ROUND(IFERROR(H820*INDEX(Settings!$C$6:$C$15,MATCH(M820,Settings!$B$6:$B$15,0))+INDEX(Settings!$D$6:$D$15,MATCH(M820,Settings!$B$6:$B$15,0)),0),2))</f>
        <v/>
      </c>
      <c r="Q820" s="28">
        <f>IF(OR(H820="",L820="Cancelled"),"",H820-N(N820)-N(O820)-N(P820))</f>
        <v/>
      </c>
      <c r="R820" s="19">
        <f>IF(OR(B820="",K820=""),"",IF(OR(L820="Sent",L820="Picked up"),"Done",IF(L820="Cancelled","Cancelled",IF(K820&lt;TODAY(),"Late by "&amp;(TODAY()-K820)&amp;IF((TODAY()-K820)=1," day"," days"),IF(K820=TODAY(),"Due today","Due in "&amp;(K820-TODAY())&amp;IF((K820-TODAY())=1," day"," days"))))))</f>
        <v/>
      </c>
      <c r="S820" s="33" t="n"/>
      <c r="T820" s="1">
        <f>IF(AND(B820&lt;&gt;"",K820&lt;&gt;"",L820&lt;&gt;"Sent",L820&lt;&gt;"Picked up",L820&lt;&gt;"Cancelled"),K820+ROW()/10000000,"")</f>
        <v/>
      </c>
      <c r="U820">
        <f>IF(OR(B820="",C820=""),"",B820+ROW()/10000000)</f>
        <v/>
      </c>
      <c r="V820">
        <f>IF(U820="","",IF(COUNTIFS(Orders!$C$6:$C$1005,C820,Orders!$U$6:$U$1005,"&gt;"&amp;U820)=0,1,0))</f>
        <v/>
      </c>
      <c r="W820">
        <f>IF(AND(B820&lt;&gt;"",K820&lt;&gt;"",L820&lt;&gt;"Sent",L820&lt;&gt;"Picked up",L820&lt;&gt;"Cancelled"),IF(N(E820)=0,1,E820),0)</f>
        <v/>
      </c>
      <c r="X820">
        <f>IF(OR(B820="",D820=""),"",IF(N(E820)=0,1,E820))</f>
        <v/>
      </c>
    </row>
    <row r="821">
      <c r="A821" s="1" t="n"/>
      <c r="B821" s="31" t="n"/>
      <c r="C821" s="32" t="n"/>
      <c r="D821" s="33" t="n"/>
      <c r="E821" s="34" t="n"/>
      <c r="F821" s="35" t="n"/>
      <c r="G821" s="35" t="n"/>
      <c r="H821" s="30">
        <f>IF(OR(B821="",D821=""),"",IF(N(E821)=0,1,E821)*IFERROR(INDEX(Products!$C$6:$C$105,MATCH(D821,Products!$B$6:$B$105,0)),0)+N(F821)+N(G821))</f>
        <v/>
      </c>
      <c r="I821" s="35" t="n"/>
      <c r="J821" s="30">
        <f>IF(OR(H821="",L821="Cancelled"),"",IF(H821-N(I821)&gt;0.005,H821-N(I821),""))</f>
        <v/>
      </c>
      <c r="K821" s="31" t="n"/>
      <c r="L821" s="36" t="n"/>
      <c r="M821" s="33" t="n"/>
      <c r="N821" s="22">
        <f>IF(OR(H821="",L821="Cancelled"),"",IF(N(E821)=0,1,E821)*IFERROR(INDEX(Products!$E$6:$E$105,MATCH(D821,Products!$B$6:$B$105,0)),0))</f>
        <v/>
      </c>
      <c r="O821" s="35" t="n"/>
      <c r="P821" s="22">
        <f>IF(OR(H821="",L821="Cancelled"),"",ROUND(IFERROR(H821*INDEX(Settings!$C$6:$C$15,MATCH(M821,Settings!$B$6:$B$15,0))+INDEX(Settings!$D$6:$D$15,MATCH(M821,Settings!$B$6:$B$15,0)),0),2))</f>
        <v/>
      </c>
      <c r="Q821" s="28">
        <f>IF(OR(H821="",L821="Cancelled"),"",H821-N(N821)-N(O821)-N(P821))</f>
        <v/>
      </c>
      <c r="R821" s="19">
        <f>IF(OR(B821="",K821=""),"",IF(OR(L821="Sent",L821="Picked up"),"Done",IF(L821="Cancelled","Cancelled",IF(K821&lt;TODAY(),"Late by "&amp;(TODAY()-K821)&amp;IF((TODAY()-K821)=1," day"," days"),IF(K821=TODAY(),"Due today","Due in "&amp;(K821-TODAY())&amp;IF((K821-TODAY())=1," day"," days"))))))</f>
        <v/>
      </c>
      <c r="S821" s="33" t="n"/>
      <c r="T821" s="1">
        <f>IF(AND(B821&lt;&gt;"",K821&lt;&gt;"",L821&lt;&gt;"Sent",L821&lt;&gt;"Picked up",L821&lt;&gt;"Cancelled"),K821+ROW()/10000000,"")</f>
        <v/>
      </c>
      <c r="U821">
        <f>IF(OR(B821="",C821=""),"",B821+ROW()/10000000)</f>
        <v/>
      </c>
      <c r="V821">
        <f>IF(U821="","",IF(COUNTIFS(Orders!$C$6:$C$1005,C821,Orders!$U$6:$U$1005,"&gt;"&amp;U821)=0,1,0))</f>
        <v/>
      </c>
      <c r="W821">
        <f>IF(AND(B821&lt;&gt;"",K821&lt;&gt;"",L821&lt;&gt;"Sent",L821&lt;&gt;"Picked up",L821&lt;&gt;"Cancelled"),IF(N(E821)=0,1,E821),0)</f>
        <v/>
      </c>
      <c r="X821">
        <f>IF(OR(B821="",D821=""),"",IF(N(E821)=0,1,E821))</f>
        <v/>
      </c>
    </row>
    <row r="822">
      <c r="A822" s="1" t="n"/>
      <c r="B822" s="31" t="n"/>
      <c r="C822" s="32" t="n"/>
      <c r="D822" s="33" t="n"/>
      <c r="E822" s="34" t="n"/>
      <c r="F822" s="35" t="n"/>
      <c r="G822" s="35" t="n"/>
      <c r="H822" s="30">
        <f>IF(OR(B822="",D822=""),"",IF(N(E822)=0,1,E822)*IFERROR(INDEX(Products!$C$6:$C$105,MATCH(D822,Products!$B$6:$B$105,0)),0)+N(F822)+N(G822))</f>
        <v/>
      </c>
      <c r="I822" s="35" t="n"/>
      <c r="J822" s="30">
        <f>IF(OR(H822="",L822="Cancelled"),"",IF(H822-N(I822)&gt;0.005,H822-N(I822),""))</f>
        <v/>
      </c>
      <c r="K822" s="31" t="n"/>
      <c r="L822" s="36" t="n"/>
      <c r="M822" s="33" t="n"/>
      <c r="N822" s="22">
        <f>IF(OR(H822="",L822="Cancelled"),"",IF(N(E822)=0,1,E822)*IFERROR(INDEX(Products!$E$6:$E$105,MATCH(D822,Products!$B$6:$B$105,0)),0))</f>
        <v/>
      </c>
      <c r="O822" s="35" t="n"/>
      <c r="P822" s="22">
        <f>IF(OR(H822="",L822="Cancelled"),"",ROUND(IFERROR(H822*INDEX(Settings!$C$6:$C$15,MATCH(M822,Settings!$B$6:$B$15,0))+INDEX(Settings!$D$6:$D$15,MATCH(M822,Settings!$B$6:$B$15,0)),0),2))</f>
        <v/>
      </c>
      <c r="Q822" s="28">
        <f>IF(OR(H822="",L822="Cancelled"),"",H822-N(N822)-N(O822)-N(P822))</f>
        <v/>
      </c>
      <c r="R822" s="19">
        <f>IF(OR(B822="",K822=""),"",IF(OR(L822="Sent",L822="Picked up"),"Done",IF(L822="Cancelled","Cancelled",IF(K822&lt;TODAY(),"Late by "&amp;(TODAY()-K822)&amp;IF((TODAY()-K822)=1," day"," days"),IF(K822=TODAY(),"Due today","Due in "&amp;(K822-TODAY())&amp;IF((K822-TODAY())=1," day"," days"))))))</f>
        <v/>
      </c>
      <c r="S822" s="33" t="n"/>
      <c r="T822" s="1">
        <f>IF(AND(B822&lt;&gt;"",K822&lt;&gt;"",L822&lt;&gt;"Sent",L822&lt;&gt;"Picked up",L822&lt;&gt;"Cancelled"),K822+ROW()/10000000,"")</f>
        <v/>
      </c>
      <c r="U822">
        <f>IF(OR(B822="",C822=""),"",B822+ROW()/10000000)</f>
        <v/>
      </c>
      <c r="V822">
        <f>IF(U822="","",IF(COUNTIFS(Orders!$C$6:$C$1005,C822,Orders!$U$6:$U$1005,"&gt;"&amp;U822)=0,1,0))</f>
        <v/>
      </c>
      <c r="W822">
        <f>IF(AND(B822&lt;&gt;"",K822&lt;&gt;"",L822&lt;&gt;"Sent",L822&lt;&gt;"Picked up",L822&lt;&gt;"Cancelled"),IF(N(E822)=0,1,E822),0)</f>
        <v/>
      </c>
      <c r="X822">
        <f>IF(OR(B822="",D822=""),"",IF(N(E822)=0,1,E822))</f>
        <v/>
      </c>
    </row>
    <row r="823">
      <c r="A823" s="1" t="n"/>
      <c r="B823" s="31" t="n"/>
      <c r="C823" s="32" t="n"/>
      <c r="D823" s="33" t="n"/>
      <c r="E823" s="34" t="n"/>
      <c r="F823" s="35" t="n"/>
      <c r="G823" s="35" t="n"/>
      <c r="H823" s="30">
        <f>IF(OR(B823="",D823=""),"",IF(N(E823)=0,1,E823)*IFERROR(INDEX(Products!$C$6:$C$105,MATCH(D823,Products!$B$6:$B$105,0)),0)+N(F823)+N(G823))</f>
        <v/>
      </c>
      <c r="I823" s="35" t="n"/>
      <c r="J823" s="30">
        <f>IF(OR(H823="",L823="Cancelled"),"",IF(H823-N(I823)&gt;0.005,H823-N(I823),""))</f>
        <v/>
      </c>
      <c r="K823" s="31" t="n"/>
      <c r="L823" s="36" t="n"/>
      <c r="M823" s="33" t="n"/>
      <c r="N823" s="22">
        <f>IF(OR(H823="",L823="Cancelled"),"",IF(N(E823)=0,1,E823)*IFERROR(INDEX(Products!$E$6:$E$105,MATCH(D823,Products!$B$6:$B$105,0)),0))</f>
        <v/>
      </c>
      <c r="O823" s="35" t="n"/>
      <c r="P823" s="22">
        <f>IF(OR(H823="",L823="Cancelled"),"",ROUND(IFERROR(H823*INDEX(Settings!$C$6:$C$15,MATCH(M823,Settings!$B$6:$B$15,0))+INDEX(Settings!$D$6:$D$15,MATCH(M823,Settings!$B$6:$B$15,0)),0),2))</f>
        <v/>
      </c>
      <c r="Q823" s="28">
        <f>IF(OR(H823="",L823="Cancelled"),"",H823-N(N823)-N(O823)-N(P823))</f>
        <v/>
      </c>
      <c r="R823" s="19">
        <f>IF(OR(B823="",K823=""),"",IF(OR(L823="Sent",L823="Picked up"),"Done",IF(L823="Cancelled","Cancelled",IF(K823&lt;TODAY(),"Late by "&amp;(TODAY()-K823)&amp;IF((TODAY()-K823)=1," day"," days"),IF(K823=TODAY(),"Due today","Due in "&amp;(K823-TODAY())&amp;IF((K823-TODAY())=1," day"," days"))))))</f>
        <v/>
      </c>
      <c r="S823" s="33" t="n"/>
      <c r="T823" s="1">
        <f>IF(AND(B823&lt;&gt;"",K823&lt;&gt;"",L823&lt;&gt;"Sent",L823&lt;&gt;"Picked up",L823&lt;&gt;"Cancelled"),K823+ROW()/10000000,"")</f>
        <v/>
      </c>
      <c r="U823">
        <f>IF(OR(B823="",C823=""),"",B823+ROW()/10000000)</f>
        <v/>
      </c>
      <c r="V823">
        <f>IF(U823="","",IF(COUNTIFS(Orders!$C$6:$C$1005,C823,Orders!$U$6:$U$1005,"&gt;"&amp;U823)=0,1,0))</f>
        <v/>
      </c>
      <c r="W823">
        <f>IF(AND(B823&lt;&gt;"",K823&lt;&gt;"",L823&lt;&gt;"Sent",L823&lt;&gt;"Picked up",L823&lt;&gt;"Cancelled"),IF(N(E823)=0,1,E823),0)</f>
        <v/>
      </c>
      <c r="X823">
        <f>IF(OR(B823="",D823=""),"",IF(N(E823)=0,1,E823))</f>
        <v/>
      </c>
    </row>
    <row r="824">
      <c r="A824" s="1" t="n"/>
      <c r="B824" s="31" t="n"/>
      <c r="C824" s="32" t="n"/>
      <c r="D824" s="33" t="n"/>
      <c r="E824" s="34" t="n"/>
      <c r="F824" s="35" t="n"/>
      <c r="G824" s="35" t="n"/>
      <c r="H824" s="30">
        <f>IF(OR(B824="",D824=""),"",IF(N(E824)=0,1,E824)*IFERROR(INDEX(Products!$C$6:$C$105,MATCH(D824,Products!$B$6:$B$105,0)),0)+N(F824)+N(G824))</f>
        <v/>
      </c>
      <c r="I824" s="35" t="n"/>
      <c r="J824" s="30">
        <f>IF(OR(H824="",L824="Cancelled"),"",IF(H824-N(I824)&gt;0.005,H824-N(I824),""))</f>
        <v/>
      </c>
      <c r="K824" s="31" t="n"/>
      <c r="L824" s="36" t="n"/>
      <c r="M824" s="33" t="n"/>
      <c r="N824" s="22">
        <f>IF(OR(H824="",L824="Cancelled"),"",IF(N(E824)=0,1,E824)*IFERROR(INDEX(Products!$E$6:$E$105,MATCH(D824,Products!$B$6:$B$105,0)),0))</f>
        <v/>
      </c>
      <c r="O824" s="35" t="n"/>
      <c r="P824" s="22">
        <f>IF(OR(H824="",L824="Cancelled"),"",ROUND(IFERROR(H824*INDEX(Settings!$C$6:$C$15,MATCH(M824,Settings!$B$6:$B$15,0))+INDEX(Settings!$D$6:$D$15,MATCH(M824,Settings!$B$6:$B$15,0)),0),2))</f>
        <v/>
      </c>
      <c r="Q824" s="28">
        <f>IF(OR(H824="",L824="Cancelled"),"",H824-N(N824)-N(O824)-N(P824))</f>
        <v/>
      </c>
      <c r="R824" s="19">
        <f>IF(OR(B824="",K824=""),"",IF(OR(L824="Sent",L824="Picked up"),"Done",IF(L824="Cancelled","Cancelled",IF(K824&lt;TODAY(),"Late by "&amp;(TODAY()-K824)&amp;IF((TODAY()-K824)=1," day"," days"),IF(K824=TODAY(),"Due today","Due in "&amp;(K824-TODAY())&amp;IF((K824-TODAY())=1," day"," days"))))))</f>
        <v/>
      </c>
      <c r="S824" s="33" t="n"/>
      <c r="T824" s="1">
        <f>IF(AND(B824&lt;&gt;"",K824&lt;&gt;"",L824&lt;&gt;"Sent",L824&lt;&gt;"Picked up",L824&lt;&gt;"Cancelled"),K824+ROW()/10000000,"")</f>
        <v/>
      </c>
      <c r="U824">
        <f>IF(OR(B824="",C824=""),"",B824+ROW()/10000000)</f>
        <v/>
      </c>
      <c r="V824">
        <f>IF(U824="","",IF(COUNTIFS(Orders!$C$6:$C$1005,C824,Orders!$U$6:$U$1005,"&gt;"&amp;U824)=0,1,0))</f>
        <v/>
      </c>
      <c r="W824">
        <f>IF(AND(B824&lt;&gt;"",K824&lt;&gt;"",L824&lt;&gt;"Sent",L824&lt;&gt;"Picked up",L824&lt;&gt;"Cancelled"),IF(N(E824)=0,1,E824),0)</f>
        <v/>
      </c>
      <c r="X824">
        <f>IF(OR(B824="",D824=""),"",IF(N(E824)=0,1,E824))</f>
        <v/>
      </c>
    </row>
    <row r="825">
      <c r="A825" s="1" t="n"/>
      <c r="B825" s="31" t="n"/>
      <c r="C825" s="32" t="n"/>
      <c r="D825" s="33" t="n"/>
      <c r="E825" s="34" t="n"/>
      <c r="F825" s="35" t="n"/>
      <c r="G825" s="35" t="n"/>
      <c r="H825" s="30">
        <f>IF(OR(B825="",D825=""),"",IF(N(E825)=0,1,E825)*IFERROR(INDEX(Products!$C$6:$C$105,MATCH(D825,Products!$B$6:$B$105,0)),0)+N(F825)+N(G825))</f>
        <v/>
      </c>
      <c r="I825" s="35" t="n"/>
      <c r="J825" s="30">
        <f>IF(OR(H825="",L825="Cancelled"),"",IF(H825-N(I825)&gt;0.005,H825-N(I825),""))</f>
        <v/>
      </c>
      <c r="K825" s="31" t="n"/>
      <c r="L825" s="36" t="n"/>
      <c r="M825" s="33" t="n"/>
      <c r="N825" s="22">
        <f>IF(OR(H825="",L825="Cancelled"),"",IF(N(E825)=0,1,E825)*IFERROR(INDEX(Products!$E$6:$E$105,MATCH(D825,Products!$B$6:$B$105,0)),0))</f>
        <v/>
      </c>
      <c r="O825" s="35" t="n"/>
      <c r="P825" s="22">
        <f>IF(OR(H825="",L825="Cancelled"),"",ROUND(IFERROR(H825*INDEX(Settings!$C$6:$C$15,MATCH(M825,Settings!$B$6:$B$15,0))+INDEX(Settings!$D$6:$D$15,MATCH(M825,Settings!$B$6:$B$15,0)),0),2))</f>
        <v/>
      </c>
      <c r="Q825" s="28">
        <f>IF(OR(H825="",L825="Cancelled"),"",H825-N(N825)-N(O825)-N(P825))</f>
        <v/>
      </c>
      <c r="R825" s="19">
        <f>IF(OR(B825="",K825=""),"",IF(OR(L825="Sent",L825="Picked up"),"Done",IF(L825="Cancelled","Cancelled",IF(K825&lt;TODAY(),"Late by "&amp;(TODAY()-K825)&amp;IF((TODAY()-K825)=1," day"," days"),IF(K825=TODAY(),"Due today","Due in "&amp;(K825-TODAY())&amp;IF((K825-TODAY())=1," day"," days"))))))</f>
        <v/>
      </c>
      <c r="S825" s="33" t="n"/>
      <c r="T825" s="1">
        <f>IF(AND(B825&lt;&gt;"",K825&lt;&gt;"",L825&lt;&gt;"Sent",L825&lt;&gt;"Picked up",L825&lt;&gt;"Cancelled"),K825+ROW()/10000000,"")</f>
        <v/>
      </c>
      <c r="U825">
        <f>IF(OR(B825="",C825=""),"",B825+ROW()/10000000)</f>
        <v/>
      </c>
      <c r="V825">
        <f>IF(U825="","",IF(COUNTIFS(Orders!$C$6:$C$1005,C825,Orders!$U$6:$U$1005,"&gt;"&amp;U825)=0,1,0))</f>
        <v/>
      </c>
      <c r="W825">
        <f>IF(AND(B825&lt;&gt;"",K825&lt;&gt;"",L825&lt;&gt;"Sent",L825&lt;&gt;"Picked up",L825&lt;&gt;"Cancelled"),IF(N(E825)=0,1,E825),0)</f>
        <v/>
      </c>
      <c r="X825">
        <f>IF(OR(B825="",D825=""),"",IF(N(E825)=0,1,E825))</f>
        <v/>
      </c>
    </row>
    <row r="826">
      <c r="A826" s="1" t="n"/>
      <c r="B826" s="31" t="n"/>
      <c r="C826" s="32" t="n"/>
      <c r="D826" s="33" t="n"/>
      <c r="E826" s="34" t="n"/>
      <c r="F826" s="35" t="n"/>
      <c r="G826" s="35" t="n"/>
      <c r="H826" s="30">
        <f>IF(OR(B826="",D826=""),"",IF(N(E826)=0,1,E826)*IFERROR(INDEX(Products!$C$6:$C$105,MATCH(D826,Products!$B$6:$B$105,0)),0)+N(F826)+N(G826))</f>
        <v/>
      </c>
      <c r="I826" s="35" t="n"/>
      <c r="J826" s="30">
        <f>IF(OR(H826="",L826="Cancelled"),"",IF(H826-N(I826)&gt;0.005,H826-N(I826),""))</f>
        <v/>
      </c>
      <c r="K826" s="31" t="n"/>
      <c r="L826" s="36" t="n"/>
      <c r="M826" s="33" t="n"/>
      <c r="N826" s="22">
        <f>IF(OR(H826="",L826="Cancelled"),"",IF(N(E826)=0,1,E826)*IFERROR(INDEX(Products!$E$6:$E$105,MATCH(D826,Products!$B$6:$B$105,0)),0))</f>
        <v/>
      </c>
      <c r="O826" s="35" t="n"/>
      <c r="P826" s="22">
        <f>IF(OR(H826="",L826="Cancelled"),"",ROUND(IFERROR(H826*INDEX(Settings!$C$6:$C$15,MATCH(M826,Settings!$B$6:$B$15,0))+INDEX(Settings!$D$6:$D$15,MATCH(M826,Settings!$B$6:$B$15,0)),0),2))</f>
        <v/>
      </c>
      <c r="Q826" s="28">
        <f>IF(OR(H826="",L826="Cancelled"),"",H826-N(N826)-N(O826)-N(P826))</f>
        <v/>
      </c>
      <c r="R826" s="19">
        <f>IF(OR(B826="",K826=""),"",IF(OR(L826="Sent",L826="Picked up"),"Done",IF(L826="Cancelled","Cancelled",IF(K826&lt;TODAY(),"Late by "&amp;(TODAY()-K826)&amp;IF((TODAY()-K826)=1," day"," days"),IF(K826=TODAY(),"Due today","Due in "&amp;(K826-TODAY())&amp;IF((K826-TODAY())=1," day"," days"))))))</f>
        <v/>
      </c>
      <c r="S826" s="33" t="n"/>
      <c r="T826" s="1">
        <f>IF(AND(B826&lt;&gt;"",K826&lt;&gt;"",L826&lt;&gt;"Sent",L826&lt;&gt;"Picked up",L826&lt;&gt;"Cancelled"),K826+ROW()/10000000,"")</f>
        <v/>
      </c>
      <c r="U826">
        <f>IF(OR(B826="",C826=""),"",B826+ROW()/10000000)</f>
        <v/>
      </c>
      <c r="V826">
        <f>IF(U826="","",IF(COUNTIFS(Orders!$C$6:$C$1005,C826,Orders!$U$6:$U$1005,"&gt;"&amp;U826)=0,1,0))</f>
        <v/>
      </c>
      <c r="W826">
        <f>IF(AND(B826&lt;&gt;"",K826&lt;&gt;"",L826&lt;&gt;"Sent",L826&lt;&gt;"Picked up",L826&lt;&gt;"Cancelled"),IF(N(E826)=0,1,E826),0)</f>
        <v/>
      </c>
      <c r="X826">
        <f>IF(OR(B826="",D826=""),"",IF(N(E826)=0,1,E826))</f>
        <v/>
      </c>
    </row>
    <row r="827">
      <c r="A827" s="1" t="n"/>
      <c r="B827" s="31" t="n"/>
      <c r="C827" s="32" t="n"/>
      <c r="D827" s="33" t="n"/>
      <c r="E827" s="34" t="n"/>
      <c r="F827" s="35" t="n"/>
      <c r="G827" s="35" t="n"/>
      <c r="H827" s="30">
        <f>IF(OR(B827="",D827=""),"",IF(N(E827)=0,1,E827)*IFERROR(INDEX(Products!$C$6:$C$105,MATCH(D827,Products!$B$6:$B$105,0)),0)+N(F827)+N(G827))</f>
        <v/>
      </c>
      <c r="I827" s="35" t="n"/>
      <c r="J827" s="30">
        <f>IF(OR(H827="",L827="Cancelled"),"",IF(H827-N(I827)&gt;0.005,H827-N(I827),""))</f>
        <v/>
      </c>
      <c r="K827" s="31" t="n"/>
      <c r="L827" s="36" t="n"/>
      <c r="M827" s="33" t="n"/>
      <c r="N827" s="22">
        <f>IF(OR(H827="",L827="Cancelled"),"",IF(N(E827)=0,1,E827)*IFERROR(INDEX(Products!$E$6:$E$105,MATCH(D827,Products!$B$6:$B$105,0)),0))</f>
        <v/>
      </c>
      <c r="O827" s="35" t="n"/>
      <c r="P827" s="22">
        <f>IF(OR(H827="",L827="Cancelled"),"",ROUND(IFERROR(H827*INDEX(Settings!$C$6:$C$15,MATCH(M827,Settings!$B$6:$B$15,0))+INDEX(Settings!$D$6:$D$15,MATCH(M827,Settings!$B$6:$B$15,0)),0),2))</f>
        <v/>
      </c>
      <c r="Q827" s="28">
        <f>IF(OR(H827="",L827="Cancelled"),"",H827-N(N827)-N(O827)-N(P827))</f>
        <v/>
      </c>
      <c r="R827" s="19">
        <f>IF(OR(B827="",K827=""),"",IF(OR(L827="Sent",L827="Picked up"),"Done",IF(L827="Cancelled","Cancelled",IF(K827&lt;TODAY(),"Late by "&amp;(TODAY()-K827)&amp;IF((TODAY()-K827)=1," day"," days"),IF(K827=TODAY(),"Due today","Due in "&amp;(K827-TODAY())&amp;IF((K827-TODAY())=1," day"," days"))))))</f>
        <v/>
      </c>
      <c r="S827" s="33" t="n"/>
      <c r="T827" s="1">
        <f>IF(AND(B827&lt;&gt;"",K827&lt;&gt;"",L827&lt;&gt;"Sent",L827&lt;&gt;"Picked up",L827&lt;&gt;"Cancelled"),K827+ROW()/10000000,"")</f>
        <v/>
      </c>
      <c r="U827">
        <f>IF(OR(B827="",C827=""),"",B827+ROW()/10000000)</f>
        <v/>
      </c>
      <c r="V827">
        <f>IF(U827="","",IF(COUNTIFS(Orders!$C$6:$C$1005,C827,Orders!$U$6:$U$1005,"&gt;"&amp;U827)=0,1,0))</f>
        <v/>
      </c>
      <c r="W827">
        <f>IF(AND(B827&lt;&gt;"",K827&lt;&gt;"",L827&lt;&gt;"Sent",L827&lt;&gt;"Picked up",L827&lt;&gt;"Cancelled"),IF(N(E827)=0,1,E827),0)</f>
        <v/>
      </c>
      <c r="X827">
        <f>IF(OR(B827="",D827=""),"",IF(N(E827)=0,1,E827))</f>
        <v/>
      </c>
    </row>
    <row r="828">
      <c r="A828" s="1" t="n"/>
      <c r="B828" s="31" t="n"/>
      <c r="C828" s="32" t="n"/>
      <c r="D828" s="33" t="n"/>
      <c r="E828" s="34" t="n"/>
      <c r="F828" s="35" t="n"/>
      <c r="G828" s="35" t="n"/>
      <c r="H828" s="30">
        <f>IF(OR(B828="",D828=""),"",IF(N(E828)=0,1,E828)*IFERROR(INDEX(Products!$C$6:$C$105,MATCH(D828,Products!$B$6:$B$105,0)),0)+N(F828)+N(G828))</f>
        <v/>
      </c>
      <c r="I828" s="35" t="n"/>
      <c r="J828" s="30">
        <f>IF(OR(H828="",L828="Cancelled"),"",IF(H828-N(I828)&gt;0.005,H828-N(I828),""))</f>
        <v/>
      </c>
      <c r="K828" s="31" t="n"/>
      <c r="L828" s="36" t="n"/>
      <c r="M828" s="33" t="n"/>
      <c r="N828" s="22">
        <f>IF(OR(H828="",L828="Cancelled"),"",IF(N(E828)=0,1,E828)*IFERROR(INDEX(Products!$E$6:$E$105,MATCH(D828,Products!$B$6:$B$105,0)),0))</f>
        <v/>
      </c>
      <c r="O828" s="35" t="n"/>
      <c r="P828" s="22">
        <f>IF(OR(H828="",L828="Cancelled"),"",ROUND(IFERROR(H828*INDEX(Settings!$C$6:$C$15,MATCH(M828,Settings!$B$6:$B$15,0))+INDEX(Settings!$D$6:$D$15,MATCH(M828,Settings!$B$6:$B$15,0)),0),2))</f>
        <v/>
      </c>
      <c r="Q828" s="28">
        <f>IF(OR(H828="",L828="Cancelled"),"",H828-N(N828)-N(O828)-N(P828))</f>
        <v/>
      </c>
      <c r="R828" s="19">
        <f>IF(OR(B828="",K828=""),"",IF(OR(L828="Sent",L828="Picked up"),"Done",IF(L828="Cancelled","Cancelled",IF(K828&lt;TODAY(),"Late by "&amp;(TODAY()-K828)&amp;IF((TODAY()-K828)=1," day"," days"),IF(K828=TODAY(),"Due today","Due in "&amp;(K828-TODAY())&amp;IF((K828-TODAY())=1," day"," days"))))))</f>
        <v/>
      </c>
      <c r="S828" s="33" t="n"/>
      <c r="T828" s="1">
        <f>IF(AND(B828&lt;&gt;"",K828&lt;&gt;"",L828&lt;&gt;"Sent",L828&lt;&gt;"Picked up",L828&lt;&gt;"Cancelled"),K828+ROW()/10000000,"")</f>
        <v/>
      </c>
      <c r="U828">
        <f>IF(OR(B828="",C828=""),"",B828+ROW()/10000000)</f>
        <v/>
      </c>
      <c r="V828">
        <f>IF(U828="","",IF(COUNTIFS(Orders!$C$6:$C$1005,C828,Orders!$U$6:$U$1005,"&gt;"&amp;U828)=0,1,0))</f>
        <v/>
      </c>
      <c r="W828">
        <f>IF(AND(B828&lt;&gt;"",K828&lt;&gt;"",L828&lt;&gt;"Sent",L828&lt;&gt;"Picked up",L828&lt;&gt;"Cancelled"),IF(N(E828)=0,1,E828),0)</f>
        <v/>
      </c>
      <c r="X828">
        <f>IF(OR(B828="",D828=""),"",IF(N(E828)=0,1,E828))</f>
        <v/>
      </c>
    </row>
    <row r="829">
      <c r="A829" s="1" t="n"/>
      <c r="B829" s="31" t="n"/>
      <c r="C829" s="32" t="n"/>
      <c r="D829" s="33" t="n"/>
      <c r="E829" s="34" t="n"/>
      <c r="F829" s="35" t="n"/>
      <c r="G829" s="35" t="n"/>
      <c r="H829" s="30">
        <f>IF(OR(B829="",D829=""),"",IF(N(E829)=0,1,E829)*IFERROR(INDEX(Products!$C$6:$C$105,MATCH(D829,Products!$B$6:$B$105,0)),0)+N(F829)+N(G829))</f>
        <v/>
      </c>
      <c r="I829" s="35" t="n"/>
      <c r="J829" s="30">
        <f>IF(OR(H829="",L829="Cancelled"),"",IF(H829-N(I829)&gt;0.005,H829-N(I829),""))</f>
        <v/>
      </c>
      <c r="K829" s="31" t="n"/>
      <c r="L829" s="36" t="n"/>
      <c r="M829" s="33" t="n"/>
      <c r="N829" s="22">
        <f>IF(OR(H829="",L829="Cancelled"),"",IF(N(E829)=0,1,E829)*IFERROR(INDEX(Products!$E$6:$E$105,MATCH(D829,Products!$B$6:$B$105,0)),0))</f>
        <v/>
      </c>
      <c r="O829" s="35" t="n"/>
      <c r="P829" s="22">
        <f>IF(OR(H829="",L829="Cancelled"),"",ROUND(IFERROR(H829*INDEX(Settings!$C$6:$C$15,MATCH(M829,Settings!$B$6:$B$15,0))+INDEX(Settings!$D$6:$D$15,MATCH(M829,Settings!$B$6:$B$15,0)),0),2))</f>
        <v/>
      </c>
      <c r="Q829" s="28">
        <f>IF(OR(H829="",L829="Cancelled"),"",H829-N(N829)-N(O829)-N(P829))</f>
        <v/>
      </c>
      <c r="R829" s="19">
        <f>IF(OR(B829="",K829=""),"",IF(OR(L829="Sent",L829="Picked up"),"Done",IF(L829="Cancelled","Cancelled",IF(K829&lt;TODAY(),"Late by "&amp;(TODAY()-K829)&amp;IF((TODAY()-K829)=1," day"," days"),IF(K829=TODAY(),"Due today","Due in "&amp;(K829-TODAY())&amp;IF((K829-TODAY())=1," day"," days"))))))</f>
        <v/>
      </c>
      <c r="S829" s="33" t="n"/>
      <c r="T829" s="1">
        <f>IF(AND(B829&lt;&gt;"",K829&lt;&gt;"",L829&lt;&gt;"Sent",L829&lt;&gt;"Picked up",L829&lt;&gt;"Cancelled"),K829+ROW()/10000000,"")</f>
        <v/>
      </c>
      <c r="U829">
        <f>IF(OR(B829="",C829=""),"",B829+ROW()/10000000)</f>
        <v/>
      </c>
      <c r="V829">
        <f>IF(U829="","",IF(COUNTIFS(Orders!$C$6:$C$1005,C829,Orders!$U$6:$U$1005,"&gt;"&amp;U829)=0,1,0))</f>
        <v/>
      </c>
      <c r="W829">
        <f>IF(AND(B829&lt;&gt;"",K829&lt;&gt;"",L829&lt;&gt;"Sent",L829&lt;&gt;"Picked up",L829&lt;&gt;"Cancelled"),IF(N(E829)=0,1,E829),0)</f>
        <v/>
      </c>
      <c r="X829">
        <f>IF(OR(B829="",D829=""),"",IF(N(E829)=0,1,E829))</f>
        <v/>
      </c>
    </row>
    <row r="830">
      <c r="A830" s="1" t="n"/>
      <c r="B830" s="31" t="n"/>
      <c r="C830" s="32" t="n"/>
      <c r="D830" s="33" t="n"/>
      <c r="E830" s="34" t="n"/>
      <c r="F830" s="35" t="n"/>
      <c r="G830" s="35" t="n"/>
      <c r="H830" s="30">
        <f>IF(OR(B830="",D830=""),"",IF(N(E830)=0,1,E830)*IFERROR(INDEX(Products!$C$6:$C$105,MATCH(D830,Products!$B$6:$B$105,0)),0)+N(F830)+N(G830))</f>
        <v/>
      </c>
      <c r="I830" s="35" t="n"/>
      <c r="J830" s="30">
        <f>IF(OR(H830="",L830="Cancelled"),"",IF(H830-N(I830)&gt;0.005,H830-N(I830),""))</f>
        <v/>
      </c>
      <c r="K830" s="31" t="n"/>
      <c r="L830" s="36" t="n"/>
      <c r="M830" s="33" t="n"/>
      <c r="N830" s="22">
        <f>IF(OR(H830="",L830="Cancelled"),"",IF(N(E830)=0,1,E830)*IFERROR(INDEX(Products!$E$6:$E$105,MATCH(D830,Products!$B$6:$B$105,0)),0))</f>
        <v/>
      </c>
      <c r="O830" s="35" t="n"/>
      <c r="P830" s="22">
        <f>IF(OR(H830="",L830="Cancelled"),"",ROUND(IFERROR(H830*INDEX(Settings!$C$6:$C$15,MATCH(M830,Settings!$B$6:$B$15,0))+INDEX(Settings!$D$6:$D$15,MATCH(M830,Settings!$B$6:$B$15,0)),0),2))</f>
        <v/>
      </c>
      <c r="Q830" s="28">
        <f>IF(OR(H830="",L830="Cancelled"),"",H830-N(N830)-N(O830)-N(P830))</f>
        <v/>
      </c>
      <c r="R830" s="19">
        <f>IF(OR(B830="",K830=""),"",IF(OR(L830="Sent",L830="Picked up"),"Done",IF(L830="Cancelled","Cancelled",IF(K830&lt;TODAY(),"Late by "&amp;(TODAY()-K830)&amp;IF((TODAY()-K830)=1," day"," days"),IF(K830=TODAY(),"Due today","Due in "&amp;(K830-TODAY())&amp;IF((K830-TODAY())=1," day"," days"))))))</f>
        <v/>
      </c>
      <c r="S830" s="33" t="n"/>
      <c r="T830" s="1">
        <f>IF(AND(B830&lt;&gt;"",K830&lt;&gt;"",L830&lt;&gt;"Sent",L830&lt;&gt;"Picked up",L830&lt;&gt;"Cancelled"),K830+ROW()/10000000,"")</f>
        <v/>
      </c>
      <c r="U830">
        <f>IF(OR(B830="",C830=""),"",B830+ROW()/10000000)</f>
        <v/>
      </c>
      <c r="V830">
        <f>IF(U830="","",IF(COUNTIFS(Orders!$C$6:$C$1005,C830,Orders!$U$6:$U$1005,"&gt;"&amp;U830)=0,1,0))</f>
        <v/>
      </c>
      <c r="W830">
        <f>IF(AND(B830&lt;&gt;"",K830&lt;&gt;"",L830&lt;&gt;"Sent",L830&lt;&gt;"Picked up",L830&lt;&gt;"Cancelled"),IF(N(E830)=0,1,E830),0)</f>
        <v/>
      </c>
      <c r="X830">
        <f>IF(OR(B830="",D830=""),"",IF(N(E830)=0,1,E830))</f>
        <v/>
      </c>
    </row>
    <row r="831">
      <c r="A831" s="1" t="n"/>
      <c r="B831" s="31" t="n"/>
      <c r="C831" s="32" t="n"/>
      <c r="D831" s="33" t="n"/>
      <c r="E831" s="34" t="n"/>
      <c r="F831" s="35" t="n"/>
      <c r="G831" s="35" t="n"/>
      <c r="H831" s="30">
        <f>IF(OR(B831="",D831=""),"",IF(N(E831)=0,1,E831)*IFERROR(INDEX(Products!$C$6:$C$105,MATCH(D831,Products!$B$6:$B$105,0)),0)+N(F831)+N(G831))</f>
        <v/>
      </c>
      <c r="I831" s="35" t="n"/>
      <c r="J831" s="30">
        <f>IF(OR(H831="",L831="Cancelled"),"",IF(H831-N(I831)&gt;0.005,H831-N(I831),""))</f>
        <v/>
      </c>
      <c r="K831" s="31" t="n"/>
      <c r="L831" s="36" t="n"/>
      <c r="M831" s="33" t="n"/>
      <c r="N831" s="22">
        <f>IF(OR(H831="",L831="Cancelled"),"",IF(N(E831)=0,1,E831)*IFERROR(INDEX(Products!$E$6:$E$105,MATCH(D831,Products!$B$6:$B$105,0)),0))</f>
        <v/>
      </c>
      <c r="O831" s="35" t="n"/>
      <c r="P831" s="22">
        <f>IF(OR(H831="",L831="Cancelled"),"",ROUND(IFERROR(H831*INDEX(Settings!$C$6:$C$15,MATCH(M831,Settings!$B$6:$B$15,0))+INDEX(Settings!$D$6:$D$15,MATCH(M831,Settings!$B$6:$B$15,0)),0),2))</f>
        <v/>
      </c>
      <c r="Q831" s="28">
        <f>IF(OR(H831="",L831="Cancelled"),"",H831-N(N831)-N(O831)-N(P831))</f>
        <v/>
      </c>
      <c r="R831" s="19">
        <f>IF(OR(B831="",K831=""),"",IF(OR(L831="Sent",L831="Picked up"),"Done",IF(L831="Cancelled","Cancelled",IF(K831&lt;TODAY(),"Late by "&amp;(TODAY()-K831)&amp;IF((TODAY()-K831)=1," day"," days"),IF(K831=TODAY(),"Due today","Due in "&amp;(K831-TODAY())&amp;IF((K831-TODAY())=1," day"," days"))))))</f>
        <v/>
      </c>
      <c r="S831" s="33" t="n"/>
      <c r="T831" s="1">
        <f>IF(AND(B831&lt;&gt;"",K831&lt;&gt;"",L831&lt;&gt;"Sent",L831&lt;&gt;"Picked up",L831&lt;&gt;"Cancelled"),K831+ROW()/10000000,"")</f>
        <v/>
      </c>
      <c r="U831">
        <f>IF(OR(B831="",C831=""),"",B831+ROW()/10000000)</f>
        <v/>
      </c>
      <c r="V831">
        <f>IF(U831="","",IF(COUNTIFS(Orders!$C$6:$C$1005,C831,Orders!$U$6:$U$1005,"&gt;"&amp;U831)=0,1,0))</f>
        <v/>
      </c>
      <c r="W831">
        <f>IF(AND(B831&lt;&gt;"",K831&lt;&gt;"",L831&lt;&gt;"Sent",L831&lt;&gt;"Picked up",L831&lt;&gt;"Cancelled"),IF(N(E831)=0,1,E831),0)</f>
        <v/>
      </c>
      <c r="X831">
        <f>IF(OR(B831="",D831=""),"",IF(N(E831)=0,1,E831))</f>
        <v/>
      </c>
    </row>
    <row r="832">
      <c r="A832" s="1" t="n"/>
      <c r="B832" s="31" t="n"/>
      <c r="C832" s="32" t="n"/>
      <c r="D832" s="33" t="n"/>
      <c r="E832" s="34" t="n"/>
      <c r="F832" s="35" t="n"/>
      <c r="G832" s="35" t="n"/>
      <c r="H832" s="30">
        <f>IF(OR(B832="",D832=""),"",IF(N(E832)=0,1,E832)*IFERROR(INDEX(Products!$C$6:$C$105,MATCH(D832,Products!$B$6:$B$105,0)),0)+N(F832)+N(G832))</f>
        <v/>
      </c>
      <c r="I832" s="35" t="n"/>
      <c r="J832" s="30">
        <f>IF(OR(H832="",L832="Cancelled"),"",IF(H832-N(I832)&gt;0.005,H832-N(I832),""))</f>
        <v/>
      </c>
      <c r="K832" s="31" t="n"/>
      <c r="L832" s="36" t="n"/>
      <c r="M832" s="33" t="n"/>
      <c r="N832" s="22">
        <f>IF(OR(H832="",L832="Cancelled"),"",IF(N(E832)=0,1,E832)*IFERROR(INDEX(Products!$E$6:$E$105,MATCH(D832,Products!$B$6:$B$105,0)),0))</f>
        <v/>
      </c>
      <c r="O832" s="35" t="n"/>
      <c r="P832" s="22">
        <f>IF(OR(H832="",L832="Cancelled"),"",ROUND(IFERROR(H832*INDEX(Settings!$C$6:$C$15,MATCH(M832,Settings!$B$6:$B$15,0))+INDEX(Settings!$D$6:$D$15,MATCH(M832,Settings!$B$6:$B$15,0)),0),2))</f>
        <v/>
      </c>
      <c r="Q832" s="28">
        <f>IF(OR(H832="",L832="Cancelled"),"",H832-N(N832)-N(O832)-N(P832))</f>
        <v/>
      </c>
      <c r="R832" s="19">
        <f>IF(OR(B832="",K832=""),"",IF(OR(L832="Sent",L832="Picked up"),"Done",IF(L832="Cancelled","Cancelled",IF(K832&lt;TODAY(),"Late by "&amp;(TODAY()-K832)&amp;IF((TODAY()-K832)=1," day"," days"),IF(K832=TODAY(),"Due today","Due in "&amp;(K832-TODAY())&amp;IF((K832-TODAY())=1," day"," days"))))))</f>
        <v/>
      </c>
      <c r="S832" s="33" t="n"/>
      <c r="T832" s="1">
        <f>IF(AND(B832&lt;&gt;"",K832&lt;&gt;"",L832&lt;&gt;"Sent",L832&lt;&gt;"Picked up",L832&lt;&gt;"Cancelled"),K832+ROW()/10000000,"")</f>
        <v/>
      </c>
      <c r="U832">
        <f>IF(OR(B832="",C832=""),"",B832+ROW()/10000000)</f>
        <v/>
      </c>
      <c r="V832">
        <f>IF(U832="","",IF(COUNTIFS(Orders!$C$6:$C$1005,C832,Orders!$U$6:$U$1005,"&gt;"&amp;U832)=0,1,0))</f>
        <v/>
      </c>
      <c r="W832">
        <f>IF(AND(B832&lt;&gt;"",K832&lt;&gt;"",L832&lt;&gt;"Sent",L832&lt;&gt;"Picked up",L832&lt;&gt;"Cancelled"),IF(N(E832)=0,1,E832),0)</f>
        <v/>
      </c>
      <c r="X832">
        <f>IF(OR(B832="",D832=""),"",IF(N(E832)=0,1,E832))</f>
        <v/>
      </c>
    </row>
    <row r="833">
      <c r="A833" s="1" t="n"/>
      <c r="B833" s="31" t="n"/>
      <c r="C833" s="32" t="n"/>
      <c r="D833" s="33" t="n"/>
      <c r="E833" s="34" t="n"/>
      <c r="F833" s="35" t="n"/>
      <c r="G833" s="35" t="n"/>
      <c r="H833" s="30">
        <f>IF(OR(B833="",D833=""),"",IF(N(E833)=0,1,E833)*IFERROR(INDEX(Products!$C$6:$C$105,MATCH(D833,Products!$B$6:$B$105,0)),0)+N(F833)+N(G833))</f>
        <v/>
      </c>
      <c r="I833" s="35" t="n"/>
      <c r="J833" s="30">
        <f>IF(OR(H833="",L833="Cancelled"),"",IF(H833-N(I833)&gt;0.005,H833-N(I833),""))</f>
        <v/>
      </c>
      <c r="K833" s="31" t="n"/>
      <c r="L833" s="36" t="n"/>
      <c r="M833" s="33" t="n"/>
      <c r="N833" s="22">
        <f>IF(OR(H833="",L833="Cancelled"),"",IF(N(E833)=0,1,E833)*IFERROR(INDEX(Products!$E$6:$E$105,MATCH(D833,Products!$B$6:$B$105,0)),0))</f>
        <v/>
      </c>
      <c r="O833" s="35" t="n"/>
      <c r="P833" s="22">
        <f>IF(OR(H833="",L833="Cancelled"),"",ROUND(IFERROR(H833*INDEX(Settings!$C$6:$C$15,MATCH(M833,Settings!$B$6:$B$15,0))+INDEX(Settings!$D$6:$D$15,MATCH(M833,Settings!$B$6:$B$15,0)),0),2))</f>
        <v/>
      </c>
      <c r="Q833" s="28">
        <f>IF(OR(H833="",L833="Cancelled"),"",H833-N(N833)-N(O833)-N(P833))</f>
        <v/>
      </c>
      <c r="R833" s="19">
        <f>IF(OR(B833="",K833=""),"",IF(OR(L833="Sent",L833="Picked up"),"Done",IF(L833="Cancelled","Cancelled",IF(K833&lt;TODAY(),"Late by "&amp;(TODAY()-K833)&amp;IF((TODAY()-K833)=1," day"," days"),IF(K833=TODAY(),"Due today","Due in "&amp;(K833-TODAY())&amp;IF((K833-TODAY())=1," day"," days"))))))</f>
        <v/>
      </c>
      <c r="S833" s="33" t="n"/>
      <c r="T833" s="1">
        <f>IF(AND(B833&lt;&gt;"",K833&lt;&gt;"",L833&lt;&gt;"Sent",L833&lt;&gt;"Picked up",L833&lt;&gt;"Cancelled"),K833+ROW()/10000000,"")</f>
        <v/>
      </c>
      <c r="U833">
        <f>IF(OR(B833="",C833=""),"",B833+ROW()/10000000)</f>
        <v/>
      </c>
      <c r="V833">
        <f>IF(U833="","",IF(COUNTIFS(Orders!$C$6:$C$1005,C833,Orders!$U$6:$U$1005,"&gt;"&amp;U833)=0,1,0))</f>
        <v/>
      </c>
      <c r="W833">
        <f>IF(AND(B833&lt;&gt;"",K833&lt;&gt;"",L833&lt;&gt;"Sent",L833&lt;&gt;"Picked up",L833&lt;&gt;"Cancelled"),IF(N(E833)=0,1,E833),0)</f>
        <v/>
      </c>
      <c r="X833">
        <f>IF(OR(B833="",D833=""),"",IF(N(E833)=0,1,E833))</f>
        <v/>
      </c>
    </row>
    <row r="834">
      <c r="A834" s="1" t="n"/>
      <c r="B834" s="31" t="n"/>
      <c r="C834" s="32" t="n"/>
      <c r="D834" s="33" t="n"/>
      <c r="E834" s="34" t="n"/>
      <c r="F834" s="35" t="n"/>
      <c r="G834" s="35" t="n"/>
      <c r="H834" s="30">
        <f>IF(OR(B834="",D834=""),"",IF(N(E834)=0,1,E834)*IFERROR(INDEX(Products!$C$6:$C$105,MATCH(D834,Products!$B$6:$B$105,0)),0)+N(F834)+N(G834))</f>
        <v/>
      </c>
      <c r="I834" s="35" t="n"/>
      <c r="J834" s="30">
        <f>IF(OR(H834="",L834="Cancelled"),"",IF(H834-N(I834)&gt;0.005,H834-N(I834),""))</f>
        <v/>
      </c>
      <c r="K834" s="31" t="n"/>
      <c r="L834" s="36" t="n"/>
      <c r="M834" s="33" t="n"/>
      <c r="N834" s="22">
        <f>IF(OR(H834="",L834="Cancelled"),"",IF(N(E834)=0,1,E834)*IFERROR(INDEX(Products!$E$6:$E$105,MATCH(D834,Products!$B$6:$B$105,0)),0))</f>
        <v/>
      </c>
      <c r="O834" s="35" t="n"/>
      <c r="P834" s="22">
        <f>IF(OR(H834="",L834="Cancelled"),"",ROUND(IFERROR(H834*INDEX(Settings!$C$6:$C$15,MATCH(M834,Settings!$B$6:$B$15,0))+INDEX(Settings!$D$6:$D$15,MATCH(M834,Settings!$B$6:$B$15,0)),0),2))</f>
        <v/>
      </c>
      <c r="Q834" s="28">
        <f>IF(OR(H834="",L834="Cancelled"),"",H834-N(N834)-N(O834)-N(P834))</f>
        <v/>
      </c>
      <c r="R834" s="19">
        <f>IF(OR(B834="",K834=""),"",IF(OR(L834="Sent",L834="Picked up"),"Done",IF(L834="Cancelled","Cancelled",IF(K834&lt;TODAY(),"Late by "&amp;(TODAY()-K834)&amp;IF((TODAY()-K834)=1," day"," days"),IF(K834=TODAY(),"Due today","Due in "&amp;(K834-TODAY())&amp;IF((K834-TODAY())=1," day"," days"))))))</f>
        <v/>
      </c>
      <c r="S834" s="33" t="n"/>
      <c r="T834" s="1">
        <f>IF(AND(B834&lt;&gt;"",K834&lt;&gt;"",L834&lt;&gt;"Sent",L834&lt;&gt;"Picked up",L834&lt;&gt;"Cancelled"),K834+ROW()/10000000,"")</f>
        <v/>
      </c>
      <c r="U834">
        <f>IF(OR(B834="",C834=""),"",B834+ROW()/10000000)</f>
        <v/>
      </c>
      <c r="V834">
        <f>IF(U834="","",IF(COUNTIFS(Orders!$C$6:$C$1005,C834,Orders!$U$6:$U$1005,"&gt;"&amp;U834)=0,1,0))</f>
        <v/>
      </c>
      <c r="W834">
        <f>IF(AND(B834&lt;&gt;"",K834&lt;&gt;"",L834&lt;&gt;"Sent",L834&lt;&gt;"Picked up",L834&lt;&gt;"Cancelled"),IF(N(E834)=0,1,E834),0)</f>
        <v/>
      </c>
      <c r="X834">
        <f>IF(OR(B834="",D834=""),"",IF(N(E834)=0,1,E834))</f>
        <v/>
      </c>
    </row>
    <row r="835">
      <c r="A835" s="1" t="n"/>
      <c r="B835" s="31" t="n"/>
      <c r="C835" s="32" t="n"/>
      <c r="D835" s="33" t="n"/>
      <c r="E835" s="34" t="n"/>
      <c r="F835" s="35" t="n"/>
      <c r="G835" s="35" t="n"/>
      <c r="H835" s="30">
        <f>IF(OR(B835="",D835=""),"",IF(N(E835)=0,1,E835)*IFERROR(INDEX(Products!$C$6:$C$105,MATCH(D835,Products!$B$6:$B$105,0)),0)+N(F835)+N(G835))</f>
        <v/>
      </c>
      <c r="I835" s="35" t="n"/>
      <c r="J835" s="30">
        <f>IF(OR(H835="",L835="Cancelled"),"",IF(H835-N(I835)&gt;0.005,H835-N(I835),""))</f>
        <v/>
      </c>
      <c r="K835" s="31" t="n"/>
      <c r="L835" s="36" t="n"/>
      <c r="M835" s="33" t="n"/>
      <c r="N835" s="22">
        <f>IF(OR(H835="",L835="Cancelled"),"",IF(N(E835)=0,1,E835)*IFERROR(INDEX(Products!$E$6:$E$105,MATCH(D835,Products!$B$6:$B$105,0)),0))</f>
        <v/>
      </c>
      <c r="O835" s="35" t="n"/>
      <c r="P835" s="22">
        <f>IF(OR(H835="",L835="Cancelled"),"",ROUND(IFERROR(H835*INDEX(Settings!$C$6:$C$15,MATCH(M835,Settings!$B$6:$B$15,0))+INDEX(Settings!$D$6:$D$15,MATCH(M835,Settings!$B$6:$B$15,0)),0),2))</f>
        <v/>
      </c>
      <c r="Q835" s="28">
        <f>IF(OR(H835="",L835="Cancelled"),"",H835-N(N835)-N(O835)-N(P835))</f>
        <v/>
      </c>
      <c r="R835" s="19">
        <f>IF(OR(B835="",K835=""),"",IF(OR(L835="Sent",L835="Picked up"),"Done",IF(L835="Cancelled","Cancelled",IF(K835&lt;TODAY(),"Late by "&amp;(TODAY()-K835)&amp;IF((TODAY()-K835)=1," day"," days"),IF(K835=TODAY(),"Due today","Due in "&amp;(K835-TODAY())&amp;IF((K835-TODAY())=1," day"," days"))))))</f>
        <v/>
      </c>
      <c r="S835" s="33" t="n"/>
      <c r="T835" s="1">
        <f>IF(AND(B835&lt;&gt;"",K835&lt;&gt;"",L835&lt;&gt;"Sent",L835&lt;&gt;"Picked up",L835&lt;&gt;"Cancelled"),K835+ROW()/10000000,"")</f>
        <v/>
      </c>
      <c r="U835">
        <f>IF(OR(B835="",C835=""),"",B835+ROW()/10000000)</f>
        <v/>
      </c>
      <c r="V835">
        <f>IF(U835="","",IF(COUNTIFS(Orders!$C$6:$C$1005,C835,Orders!$U$6:$U$1005,"&gt;"&amp;U835)=0,1,0))</f>
        <v/>
      </c>
      <c r="W835">
        <f>IF(AND(B835&lt;&gt;"",K835&lt;&gt;"",L835&lt;&gt;"Sent",L835&lt;&gt;"Picked up",L835&lt;&gt;"Cancelled"),IF(N(E835)=0,1,E835),0)</f>
        <v/>
      </c>
      <c r="X835">
        <f>IF(OR(B835="",D835=""),"",IF(N(E835)=0,1,E835))</f>
        <v/>
      </c>
    </row>
    <row r="836">
      <c r="A836" s="1" t="n"/>
      <c r="B836" s="31" t="n"/>
      <c r="C836" s="32" t="n"/>
      <c r="D836" s="33" t="n"/>
      <c r="E836" s="34" t="n"/>
      <c r="F836" s="35" t="n"/>
      <c r="G836" s="35" t="n"/>
      <c r="H836" s="30">
        <f>IF(OR(B836="",D836=""),"",IF(N(E836)=0,1,E836)*IFERROR(INDEX(Products!$C$6:$C$105,MATCH(D836,Products!$B$6:$B$105,0)),0)+N(F836)+N(G836))</f>
        <v/>
      </c>
      <c r="I836" s="35" t="n"/>
      <c r="J836" s="30">
        <f>IF(OR(H836="",L836="Cancelled"),"",IF(H836-N(I836)&gt;0.005,H836-N(I836),""))</f>
        <v/>
      </c>
      <c r="K836" s="31" t="n"/>
      <c r="L836" s="36" t="n"/>
      <c r="M836" s="33" t="n"/>
      <c r="N836" s="22">
        <f>IF(OR(H836="",L836="Cancelled"),"",IF(N(E836)=0,1,E836)*IFERROR(INDEX(Products!$E$6:$E$105,MATCH(D836,Products!$B$6:$B$105,0)),0))</f>
        <v/>
      </c>
      <c r="O836" s="35" t="n"/>
      <c r="P836" s="22">
        <f>IF(OR(H836="",L836="Cancelled"),"",ROUND(IFERROR(H836*INDEX(Settings!$C$6:$C$15,MATCH(M836,Settings!$B$6:$B$15,0))+INDEX(Settings!$D$6:$D$15,MATCH(M836,Settings!$B$6:$B$15,0)),0),2))</f>
        <v/>
      </c>
      <c r="Q836" s="28">
        <f>IF(OR(H836="",L836="Cancelled"),"",H836-N(N836)-N(O836)-N(P836))</f>
        <v/>
      </c>
      <c r="R836" s="19">
        <f>IF(OR(B836="",K836=""),"",IF(OR(L836="Sent",L836="Picked up"),"Done",IF(L836="Cancelled","Cancelled",IF(K836&lt;TODAY(),"Late by "&amp;(TODAY()-K836)&amp;IF((TODAY()-K836)=1," day"," days"),IF(K836=TODAY(),"Due today","Due in "&amp;(K836-TODAY())&amp;IF((K836-TODAY())=1," day"," days"))))))</f>
        <v/>
      </c>
      <c r="S836" s="33" t="n"/>
      <c r="T836" s="1">
        <f>IF(AND(B836&lt;&gt;"",K836&lt;&gt;"",L836&lt;&gt;"Sent",L836&lt;&gt;"Picked up",L836&lt;&gt;"Cancelled"),K836+ROW()/10000000,"")</f>
        <v/>
      </c>
      <c r="U836">
        <f>IF(OR(B836="",C836=""),"",B836+ROW()/10000000)</f>
        <v/>
      </c>
      <c r="V836">
        <f>IF(U836="","",IF(COUNTIFS(Orders!$C$6:$C$1005,C836,Orders!$U$6:$U$1005,"&gt;"&amp;U836)=0,1,0))</f>
        <v/>
      </c>
      <c r="W836">
        <f>IF(AND(B836&lt;&gt;"",K836&lt;&gt;"",L836&lt;&gt;"Sent",L836&lt;&gt;"Picked up",L836&lt;&gt;"Cancelled"),IF(N(E836)=0,1,E836),0)</f>
        <v/>
      </c>
      <c r="X836">
        <f>IF(OR(B836="",D836=""),"",IF(N(E836)=0,1,E836))</f>
        <v/>
      </c>
    </row>
    <row r="837">
      <c r="A837" s="1" t="n"/>
      <c r="B837" s="31" t="n"/>
      <c r="C837" s="32" t="n"/>
      <c r="D837" s="33" t="n"/>
      <c r="E837" s="34" t="n"/>
      <c r="F837" s="35" t="n"/>
      <c r="G837" s="35" t="n"/>
      <c r="H837" s="30">
        <f>IF(OR(B837="",D837=""),"",IF(N(E837)=0,1,E837)*IFERROR(INDEX(Products!$C$6:$C$105,MATCH(D837,Products!$B$6:$B$105,0)),0)+N(F837)+N(G837))</f>
        <v/>
      </c>
      <c r="I837" s="35" t="n"/>
      <c r="J837" s="30">
        <f>IF(OR(H837="",L837="Cancelled"),"",IF(H837-N(I837)&gt;0.005,H837-N(I837),""))</f>
        <v/>
      </c>
      <c r="K837" s="31" t="n"/>
      <c r="L837" s="36" t="n"/>
      <c r="M837" s="33" t="n"/>
      <c r="N837" s="22">
        <f>IF(OR(H837="",L837="Cancelled"),"",IF(N(E837)=0,1,E837)*IFERROR(INDEX(Products!$E$6:$E$105,MATCH(D837,Products!$B$6:$B$105,0)),0))</f>
        <v/>
      </c>
      <c r="O837" s="35" t="n"/>
      <c r="P837" s="22">
        <f>IF(OR(H837="",L837="Cancelled"),"",ROUND(IFERROR(H837*INDEX(Settings!$C$6:$C$15,MATCH(M837,Settings!$B$6:$B$15,0))+INDEX(Settings!$D$6:$D$15,MATCH(M837,Settings!$B$6:$B$15,0)),0),2))</f>
        <v/>
      </c>
      <c r="Q837" s="28">
        <f>IF(OR(H837="",L837="Cancelled"),"",H837-N(N837)-N(O837)-N(P837))</f>
        <v/>
      </c>
      <c r="R837" s="19">
        <f>IF(OR(B837="",K837=""),"",IF(OR(L837="Sent",L837="Picked up"),"Done",IF(L837="Cancelled","Cancelled",IF(K837&lt;TODAY(),"Late by "&amp;(TODAY()-K837)&amp;IF((TODAY()-K837)=1," day"," days"),IF(K837=TODAY(),"Due today","Due in "&amp;(K837-TODAY())&amp;IF((K837-TODAY())=1," day"," days"))))))</f>
        <v/>
      </c>
      <c r="S837" s="33" t="n"/>
      <c r="T837" s="1">
        <f>IF(AND(B837&lt;&gt;"",K837&lt;&gt;"",L837&lt;&gt;"Sent",L837&lt;&gt;"Picked up",L837&lt;&gt;"Cancelled"),K837+ROW()/10000000,"")</f>
        <v/>
      </c>
      <c r="U837">
        <f>IF(OR(B837="",C837=""),"",B837+ROW()/10000000)</f>
        <v/>
      </c>
      <c r="V837">
        <f>IF(U837="","",IF(COUNTIFS(Orders!$C$6:$C$1005,C837,Orders!$U$6:$U$1005,"&gt;"&amp;U837)=0,1,0))</f>
        <v/>
      </c>
      <c r="W837">
        <f>IF(AND(B837&lt;&gt;"",K837&lt;&gt;"",L837&lt;&gt;"Sent",L837&lt;&gt;"Picked up",L837&lt;&gt;"Cancelled"),IF(N(E837)=0,1,E837),0)</f>
        <v/>
      </c>
      <c r="X837">
        <f>IF(OR(B837="",D837=""),"",IF(N(E837)=0,1,E837))</f>
        <v/>
      </c>
    </row>
    <row r="838">
      <c r="A838" s="1" t="n"/>
      <c r="B838" s="31" t="n"/>
      <c r="C838" s="32" t="n"/>
      <c r="D838" s="33" t="n"/>
      <c r="E838" s="34" t="n"/>
      <c r="F838" s="35" t="n"/>
      <c r="G838" s="35" t="n"/>
      <c r="H838" s="30">
        <f>IF(OR(B838="",D838=""),"",IF(N(E838)=0,1,E838)*IFERROR(INDEX(Products!$C$6:$C$105,MATCH(D838,Products!$B$6:$B$105,0)),0)+N(F838)+N(G838))</f>
        <v/>
      </c>
      <c r="I838" s="35" t="n"/>
      <c r="J838" s="30">
        <f>IF(OR(H838="",L838="Cancelled"),"",IF(H838-N(I838)&gt;0.005,H838-N(I838),""))</f>
        <v/>
      </c>
      <c r="K838" s="31" t="n"/>
      <c r="L838" s="36" t="n"/>
      <c r="M838" s="33" t="n"/>
      <c r="N838" s="22">
        <f>IF(OR(H838="",L838="Cancelled"),"",IF(N(E838)=0,1,E838)*IFERROR(INDEX(Products!$E$6:$E$105,MATCH(D838,Products!$B$6:$B$105,0)),0))</f>
        <v/>
      </c>
      <c r="O838" s="35" t="n"/>
      <c r="P838" s="22">
        <f>IF(OR(H838="",L838="Cancelled"),"",ROUND(IFERROR(H838*INDEX(Settings!$C$6:$C$15,MATCH(M838,Settings!$B$6:$B$15,0))+INDEX(Settings!$D$6:$D$15,MATCH(M838,Settings!$B$6:$B$15,0)),0),2))</f>
        <v/>
      </c>
      <c r="Q838" s="28">
        <f>IF(OR(H838="",L838="Cancelled"),"",H838-N(N838)-N(O838)-N(P838))</f>
        <v/>
      </c>
      <c r="R838" s="19">
        <f>IF(OR(B838="",K838=""),"",IF(OR(L838="Sent",L838="Picked up"),"Done",IF(L838="Cancelled","Cancelled",IF(K838&lt;TODAY(),"Late by "&amp;(TODAY()-K838)&amp;IF((TODAY()-K838)=1," day"," days"),IF(K838=TODAY(),"Due today","Due in "&amp;(K838-TODAY())&amp;IF((K838-TODAY())=1," day"," days"))))))</f>
        <v/>
      </c>
      <c r="S838" s="33" t="n"/>
      <c r="T838" s="1">
        <f>IF(AND(B838&lt;&gt;"",K838&lt;&gt;"",L838&lt;&gt;"Sent",L838&lt;&gt;"Picked up",L838&lt;&gt;"Cancelled"),K838+ROW()/10000000,"")</f>
        <v/>
      </c>
      <c r="U838">
        <f>IF(OR(B838="",C838=""),"",B838+ROW()/10000000)</f>
        <v/>
      </c>
      <c r="V838">
        <f>IF(U838="","",IF(COUNTIFS(Orders!$C$6:$C$1005,C838,Orders!$U$6:$U$1005,"&gt;"&amp;U838)=0,1,0))</f>
        <v/>
      </c>
      <c r="W838">
        <f>IF(AND(B838&lt;&gt;"",K838&lt;&gt;"",L838&lt;&gt;"Sent",L838&lt;&gt;"Picked up",L838&lt;&gt;"Cancelled"),IF(N(E838)=0,1,E838),0)</f>
        <v/>
      </c>
      <c r="X838">
        <f>IF(OR(B838="",D838=""),"",IF(N(E838)=0,1,E838))</f>
        <v/>
      </c>
    </row>
    <row r="839">
      <c r="A839" s="1" t="n"/>
      <c r="B839" s="31" t="n"/>
      <c r="C839" s="32" t="n"/>
      <c r="D839" s="33" t="n"/>
      <c r="E839" s="34" t="n"/>
      <c r="F839" s="35" t="n"/>
      <c r="G839" s="35" t="n"/>
      <c r="H839" s="30">
        <f>IF(OR(B839="",D839=""),"",IF(N(E839)=0,1,E839)*IFERROR(INDEX(Products!$C$6:$C$105,MATCH(D839,Products!$B$6:$B$105,0)),0)+N(F839)+N(G839))</f>
        <v/>
      </c>
      <c r="I839" s="35" t="n"/>
      <c r="J839" s="30">
        <f>IF(OR(H839="",L839="Cancelled"),"",IF(H839-N(I839)&gt;0.005,H839-N(I839),""))</f>
        <v/>
      </c>
      <c r="K839" s="31" t="n"/>
      <c r="L839" s="36" t="n"/>
      <c r="M839" s="33" t="n"/>
      <c r="N839" s="22">
        <f>IF(OR(H839="",L839="Cancelled"),"",IF(N(E839)=0,1,E839)*IFERROR(INDEX(Products!$E$6:$E$105,MATCH(D839,Products!$B$6:$B$105,0)),0))</f>
        <v/>
      </c>
      <c r="O839" s="35" t="n"/>
      <c r="P839" s="22">
        <f>IF(OR(H839="",L839="Cancelled"),"",ROUND(IFERROR(H839*INDEX(Settings!$C$6:$C$15,MATCH(M839,Settings!$B$6:$B$15,0))+INDEX(Settings!$D$6:$D$15,MATCH(M839,Settings!$B$6:$B$15,0)),0),2))</f>
        <v/>
      </c>
      <c r="Q839" s="28">
        <f>IF(OR(H839="",L839="Cancelled"),"",H839-N(N839)-N(O839)-N(P839))</f>
        <v/>
      </c>
      <c r="R839" s="19">
        <f>IF(OR(B839="",K839=""),"",IF(OR(L839="Sent",L839="Picked up"),"Done",IF(L839="Cancelled","Cancelled",IF(K839&lt;TODAY(),"Late by "&amp;(TODAY()-K839)&amp;IF((TODAY()-K839)=1," day"," days"),IF(K839=TODAY(),"Due today","Due in "&amp;(K839-TODAY())&amp;IF((K839-TODAY())=1," day"," days"))))))</f>
        <v/>
      </c>
      <c r="S839" s="33" t="n"/>
      <c r="T839" s="1">
        <f>IF(AND(B839&lt;&gt;"",K839&lt;&gt;"",L839&lt;&gt;"Sent",L839&lt;&gt;"Picked up",L839&lt;&gt;"Cancelled"),K839+ROW()/10000000,"")</f>
        <v/>
      </c>
      <c r="U839">
        <f>IF(OR(B839="",C839=""),"",B839+ROW()/10000000)</f>
        <v/>
      </c>
      <c r="V839">
        <f>IF(U839="","",IF(COUNTIFS(Orders!$C$6:$C$1005,C839,Orders!$U$6:$U$1005,"&gt;"&amp;U839)=0,1,0))</f>
        <v/>
      </c>
      <c r="W839">
        <f>IF(AND(B839&lt;&gt;"",K839&lt;&gt;"",L839&lt;&gt;"Sent",L839&lt;&gt;"Picked up",L839&lt;&gt;"Cancelled"),IF(N(E839)=0,1,E839),0)</f>
        <v/>
      </c>
      <c r="X839">
        <f>IF(OR(B839="",D839=""),"",IF(N(E839)=0,1,E839))</f>
        <v/>
      </c>
    </row>
    <row r="840">
      <c r="A840" s="1" t="n"/>
      <c r="B840" s="31" t="n"/>
      <c r="C840" s="32" t="n"/>
      <c r="D840" s="33" t="n"/>
      <c r="E840" s="34" t="n"/>
      <c r="F840" s="35" t="n"/>
      <c r="G840" s="35" t="n"/>
      <c r="H840" s="30">
        <f>IF(OR(B840="",D840=""),"",IF(N(E840)=0,1,E840)*IFERROR(INDEX(Products!$C$6:$C$105,MATCH(D840,Products!$B$6:$B$105,0)),0)+N(F840)+N(G840))</f>
        <v/>
      </c>
      <c r="I840" s="35" t="n"/>
      <c r="J840" s="30">
        <f>IF(OR(H840="",L840="Cancelled"),"",IF(H840-N(I840)&gt;0.005,H840-N(I840),""))</f>
        <v/>
      </c>
      <c r="K840" s="31" t="n"/>
      <c r="L840" s="36" t="n"/>
      <c r="M840" s="33" t="n"/>
      <c r="N840" s="22">
        <f>IF(OR(H840="",L840="Cancelled"),"",IF(N(E840)=0,1,E840)*IFERROR(INDEX(Products!$E$6:$E$105,MATCH(D840,Products!$B$6:$B$105,0)),0))</f>
        <v/>
      </c>
      <c r="O840" s="35" t="n"/>
      <c r="P840" s="22">
        <f>IF(OR(H840="",L840="Cancelled"),"",ROUND(IFERROR(H840*INDEX(Settings!$C$6:$C$15,MATCH(M840,Settings!$B$6:$B$15,0))+INDEX(Settings!$D$6:$D$15,MATCH(M840,Settings!$B$6:$B$15,0)),0),2))</f>
        <v/>
      </c>
      <c r="Q840" s="28">
        <f>IF(OR(H840="",L840="Cancelled"),"",H840-N(N840)-N(O840)-N(P840))</f>
        <v/>
      </c>
      <c r="R840" s="19">
        <f>IF(OR(B840="",K840=""),"",IF(OR(L840="Sent",L840="Picked up"),"Done",IF(L840="Cancelled","Cancelled",IF(K840&lt;TODAY(),"Late by "&amp;(TODAY()-K840)&amp;IF((TODAY()-K840)=1," day"," days"),IF(K840=TODAY(),"Due today","Due in "&amp;(K840-TODAY())&amp;IF((K840-TODAY())=1," day"," days"))))))</f>
        <v/>
      </c>
      <c r="S840" s="33" t="n"/>
      <c r="T840" s="1">
        <f>IF(AND(B840&lt;&gt;"",K840&lt;&gt;"",L840&lt;&gt;"Sent",L840&lt;&gt;"Picked up",L840&lt;&gt;"Cancelled"),K840+ROW()/10000000,"")</f>
        <v/>
      </c>
      <c r="U840">
        <f>IF(OR(B840="",C840=""),"",B840+ROW()/10000000)</f>
        <v/>
      </c>
      <c r="V840">
        <f>IF(U840="","",IF(COUNTIFS(Orders!$C$6:$C$1005,C840,Orders!$U$6:$U$1005,"&gt;"&amp;U840)=0,1,0))</f>
        <v/>
      </c>
      <c r="W840">
        <f>IF(AND(B840&lt;&gt;"",K840&lt;&gt;"",L840&lt;&gt;"Sent",L840&lt;&gt;"Picked up",L840&lt;&gt;"Cancelled"),IF(N(E840)=0,1,E840),0)</f>
        <v/>
      </c>
      <c r="X840">
        <f>IF(OR(B840="",D840=""),"",IF(N(E840)=0,1,E840))</f>
        <v/>
      </c>
    </row>
    <row r="841">
      <c r="A841" s="1" t="n"/>
      <c r="B841" s="31" t="n"/>
      <c r="C841" s="32" t="n"/>
      <c r="D841" s="33" t="n"/>
      <c r="E841" s="34" t="n"/>
      <c r="F841" s="35" t="n"/>
      <c r="G841" s="35" t="n"/>
      <c r="H841" s="30">
        <f>IF(OR(B841="",D841=""),"",IF(N(E841)=0,1,E841)*IFERROR(INDEX(Products!$C$6:$C$105,MATCH(D841,Products!$B$6:$B$105,0)),0)+N(F841)+N(G841))</f>
        <v/>
      </c>
      <c r="I841" s="35" t="n"/>
      <c r="J841" s="30">
        <f>IF(OR(H841="",L841="Cancelled"),"",IF(H841-N(I841)&gt;0.005,H841-N(I841),""))</f>
        <v/>
      </c>
      <c r="K841" s="31" t="n"/>
      <c r="L841" s="36" t="n"/>
      <c r="M841" s="33" t="n"/>
      <c r="N841" s="22">
        <f>IF(OR(H841="",L841="Cancelled"),"",IF(N(E841)=0,1,E841)*IFERROR(INDEX(Products!$E$6:$E$105,MATCH(D841,Products!$B$6:$B$105,0)),0))</f>
        <v/>
      </c>
      <c r="O841" s="35" t="n"/>
      <c r="P841" s="22">
        <f>IF(OR(H841="",L841="Cancelled"),"",ROUND(IFERROR(H841*INDEX(Settings!$C$6:$C$15,MATCH(M841,Settings!$B$6:$B$15,0))+INDEX(Settings!$D$6:$D$15,MATCH(M841,Settings!$B$6:$B$15,0)),0),2))</f>
        <v/>
      </c>
      <c r="Q841" s="28">
        <f>IF(OR(H841="",L841="Cancelled"),"",H841-N(N841)-N(O841)-N(P841))</f>
        <v/>
      </c>
      <c r="R841" s="19">
        <f>IF(OR(B841="",K841=""),"",IF(OR(L841="Sent",L841="Picked up"),"Done",IF(L841="Cancelled","Cancelled",IF(K841&lt;TODAY(),"Late by "&amp;(TODAY()-K841)&amp;IF((TODAY()-K841)=1," day"," days"),IF(K841=TODAY(),"Due today","Due in "&amp;(K841-TODAY())&amp;IF((K841-TODAY())=1," day"," days"))))))</f>
        <v/>
      </c>
      <c r="S841" s="33" t="n"/>
      <c r="T841" s="1">
        <f>IF(AND(B841&lt;&gt;"",K841&lt;&gt;"",L841&lt;&gt;"Sent",L841&lt;&gt;"Picked up",L841&lt;&gt;"Cancelled"),K841+ROW()/10000000,"")</f>
        <v/>
      </c>
      <c r="U841">
        <f>IF(OR(B841="",C841=""),"",B841+ROW()/10000000)</f>
        <v/>
      </c>
      <c r="V841">
        <f>IF(U841="","",IF(COUNTIFS(Orders!$C$6:$C$1005,C841,Orders!$U$6:$U$1005,"&gt;"&amp;U841)=0,1,0))</f>
        <v/>
      </c>
      <c r="W841">
        <f>IF(AND(B841&lt;&gt;"",K841&lt;&gt;"",L841&lt;&gt;"Sent",L841&lt;&gt;"Picked up",L841&lt;&gt;"Cancelled"),IF(N(E841)=0,1,E841),0)</f>
        <v/>
      </c>
      <c r="X841">
        <f>IF(OR(B841="",D841=""),"",IF(N(E841)=0,1,E841))</f>
        <v/>
      </c>
    </row>
    <row r="842">
      <c r="A842" s="1" t="n"/>
      <c r="B842" s="31" t="n"/>
      <c r="C842" s="32" t="n"/>
      <c r="D842" s="33" t="n"/>
      <c r="E842" s="34" t="n"/>
      <c r="F842" s="35" t="n"/>
      <c r="G842" s="35" t="n"/>
      <c r="H842" s="30">
        <f>IF(OR(B842="",D842=""),"",IF(N(E842)=0,1,E842)*IFERROR(INDEX(Products!$C$6:$C$105,MATCH(D842,Products!$B$6:$B$105,0)),0)+N(F842)+N(G842))</f>
        <v/>
      </c>
      <c r="I842" s="35" t="n"/>
      <c r="J842" s="30">
        <f>IF(OR(H842="",L842="Cancelled"),"",IF(H842-N(I842)&gt;0.005,H842-N(I842),""))</f>
        <v/>
      </c>
      <c r="K842" s="31" t="n"/>
      <c r="L842" s="36" t="n"/>
      <c r="M842" s="33" t="n"/>
      <c r="N842" s="22">
        <f>IF(OR(H842="",L842="Cancelled"),"",IF(N(E842)=0,1,E842)*IFERROR(INDEX(Products!$E$6:$E$105,MATCH(D842,Products!$B$6:$B$105,0)),0))</f>
        <v/>
      </c>
      <c r="O842" s="35" t="n"/>
      <c r="P842" s="22">
        <f>IF(OR(H842="",L842="Cancelled"),"",ROUND(IFERROR(H842*INDEX(Settings!$C$6:$C$15,MATCH(M842,Settings!$B$6:$B$15,0))+INDEX(Settings!$D$6:$D$15,MATCH(M842,Settings!$B$6:$B$15,0)),0),2))</f>
        <v/>
      </c>
      <c r="Q842" s="28">
        <f>IF(OR(H842="",L842="Cancelled"),"",H842-N(N842)-N(O842)-N(P842))</f>
        <v/>
      </c>
      <c r="R842" s="19">
        <f>IF(OR(B842="",K842=""),"",IF(OR(L842="Sent",L842="Picked up"),"Done",IF(L842="Cancelled","Cancelled",IF(K842&lt;TODAY(),"Late by "&amp;(TODAY()-K842)&amp;IF((TODAY()-K842)=1," day"," days"),IF(K842=TODAY(),"Due today","Due in "&amp;(K842-TODAY())&amp;IF((K842-TODAY())=1," day"," days"))))))</f>
        <v/>
      </c>
      <c r="S842" s="33" t="n"/>
      <c r="T842" s="1">
        <f>IF(AND(B842&lt;&gt;"",K842&lt;&gt;"",L842&lt;&gt;"Sent",L842&lt;&gt;"Picked up",L842&lt;&gt;"Cancelled"),K842+ROW()/10000000,"")</f>
        <v/>
      </c>
      <c r="U842">
        <f>IF(OR(B842="",C842=""),"",B842+ROW()/10000000)</f>
        <v/>
      </c>
      <c r="V842">
        <f>IF(U842="","",IF(COUNTIFS(Orders!$C$6:$C$1005,C842,Orders!$U$6:$U$1005,"&gt;"&amp;U842)=0,1,0))</f>
        <v/>
      </c>
      <c r="W842">
        <f>IF(AND(B842&lt;&gt;"",K842&lt;&gt;"",L842&lt;&gt;"Sent",L842&lt;&gt;"Picked up",L842&lt;&gt;"Cancelled"),IF(N(E842)=0,1,E842),0)</f>
        <v/>
      </c>
      <c r="X842">
        <f>IF(OR(B842="",D842=""),"",IF(N(E842)=0,1,E842))</f>
        <v/>
      </c>
    </row>
    <row r="843">
      <c r="A843" s="1" t="n"/>
      <c r="B843" s="31" t="n"/>
      <c r="C843" s="32" t="n"/>
      <c r="D843" s="33" t="n"/>
      <c r="E843" s="34" t="n"/>
      <c r="F843" s="35" t="n"/>
      <c r="G843" s="35" t="n"/>
      <c r="H843" s="30">
        <f>IF(OR(B843="",D843=""),"",IF(N(E843)=0,1,E843)*IFERROR(INDEX(Products!$C$6:$C$105,MATCH(D843,Products!$B$6:$B$105,0)),0)+N(F843)+N(G843))</f>
        <v/>
      </c>
      <c r="I843" s="35" t="n"/>
      <c r="J843" s="30">
        <f>IF(OR(H843="",L843="Cancelled"),"",IF(H843-N(I843)&gt;0.005,H843-N(I843),""))</f>
        <v/>
      </c>
      <c r="K843" s="31" t="n"/>
      <c r="L843" s="36" t="n"/>
      <c r="M843" s="33" t="n"/>
      <c r="N843" s="22">
        <f>IF(OR(H843="",L843="Cancelled"),"",IF(N(E843)=0,1,E843)*IFERROR(INDEX(Products!$E$6:$E$105,MATCH(D843,Products!$B$6:$B$105,0)),0))</f>
        <v/>
      </c>
      <c r="O843" s="35" t="n"/>
      <c r="P843" s="22">
        <f>IF(OR(H843="",L843="Cancelled"),"",ROUND(IFERROR(H843*INDEX(Settings!$C$6:$C$15,MATCH(M843,Settings!$B$6:$B$15,0))+INDEX(Settings!$D$6:$D$15,MATCH(M843,Settings!$B$6:$B$15,0)),0),2))</f>
        <v/>
      </c>
      <c r="Q843" s="28">
        <f>IF(OR(H843="",L843="Cancelled"),"",H843-N(N843)-N(O843)-N(P843))</f>
        <v/>
      </c>
      <c r="R843" s="19">
        <f>IF(OR(B843="",K843=""),"",IF(OR(L843="Sent",L843="Picked up"),"Done",IF(L843="Cancelled","Cancelled",IF(K843&lt;TODAY(),"Late by "&amp;(TODAY()-K843)&amp;IF((TODAY()-K843)=1," day"," days"),IF(K843=TODAY(),"Due today","Due in "&amp;(K843-TODAY())&amp;IF((K843-TODAY())=1," day"," days"))))))</f>
        <v/>
      </c>
      <c r="S843" s="33" t="n"/>
      <c r="T843" s="1">
        <f>IF(AND(B843&lt;&gt;"",K843&lt;&gt;"",L843&lt;&gt;"Sent",L843&lt;&gt;"Picked up",L843&lt;&gt;"Cancelled"),K843+ROW()/10000000,"")</f>
        <v/>
      </c>
      <c r="U843">
        <f>IF(OR(B843="",C843=""),"",B843+ROW()/10000000)</f>
        <v/>
      </c>
      <c r="V843">
        <f>IF(U843="","",IF(COUNTIFS(Orders!$C$6:$C$1005,C843,Orders!$U$6:$U$1005,"&gt;"&amp;U843)=0,1,0))</f>
        <v/>
      </c>
      <c r="W843">
        <f>IF(AND(B843&lt;&gt;"",K843&lt;&gt;"",L843&lt;&gt;"Sent",L843&lt;&gt;"Picked up",L843&lt;&gt;"Cancelled"),IF(N(E843)=0,1,E843),0)</f>
        <v/>
      </c>
      <c r="X843">
        <f>IF(OR(B843="",D843=""),"",IF(N(E843)=0,1,E843))</f>
        <v/>
      </c>
    </row>
    <row r="844">
      <c r="A844" s="1" t="n"/>
      <c r="B844" s="31" t="n"/>
      <c r="C844" s="32" t="n"/>
      <c r="D844" s="33" t="n"/>
      <c r="E844" s="34" t="n"/>
      <c r="F844" s="35" t="n"/>
      <c r="G844" s="35" t="n"/>
      <c r="H844" s="30">
        <f>IF(OR(B844="",D844=""),"",IF(N(E844)=0,1,E844)*IFERROR(INDEX(Products!$C$6:$C$105,MATCH(D844,Products!$B$6:$B$105,0)),0)+N(F844)+N(G844))</f>
        <v/>
      </c>
      <c r="I844" s="35" t="n"/>
      <c r="J844" s="30">
        <f>IF(OR(H844="",L844="Cancelled"),"",IF(H844-N(I844)&gt;0.005,H844-N(I844),""))</f>
        <v/>
      </c>
      <c r="K844" s="31" t="n"/>
      <c r="L844" s="36" t="n"/>
      <c r="M844" s="33" t="n"/>
      <c r="N844" s="22">
        <f>IF(OR(H844="",L844="Cancelled"),"",IF(N(E844)=0,1,E844)*IFERROR(INDEX(Products!$E$6:$E$105,MATCH(D844,Products!$B$6:$B$105,0)),0))</f>
        <v/>
      </c>
      <c r="O844" s="35" t="n"/>
      <c r="P844" s="22">
        <f>IF(OR(H844="",L844="Cancelled"),"",ROUND(IFERROR(H844*INDEX(Settings!$C$6:$C$15,MATCH(M844,Settings!$B$6:$B$15,0))+INDEX(Settings!$D$6:$D$15,MATCH(M844,Settings!$B$6:$B$15,0)),0),2))</f>
        <v/>
      </c>
      <c r="Q844" s="28">
        <f>IF(OR(H844="",L844="Cancelled"),"",H844-N(N844)-N(O844)-N(P844))</f>
        <v/>
      </c>
      <c r="R844" s="19">
        <f>IF(OR(B844="",K844=""),"",IF(OR(L844="Sent",L844="Picked up"),"Done",IF(L844="Cancelled","Cancelled",IF(K844&lt;TODAY(),"Late by "&amp;(TODAY()-K844)&amp;IF((TODAY()-K844)=1," day"," days"),IF(K844=TODAY(),"Due today","Due in "&amp;(K844-TODAY())&amp;IF((K844-TODAY())=1," day"," days"))))))</f>
        <v/>
      </c>
      <c r="S844" s="33" t="n"/>
      <c r="T844" s="1">
        <f>IF(AND(B844&lt;&gt;"",K844&lt;&gt;"",L844&lt;&gt;"Sent",L844&lt;&gt;"Picked up",L844&lt;&gt;"Cancelled"),K844+ROW()/10000000,"")</f>
        <v/>
      </c>
      <c r="U844">
        <f>IF(OR(B844="",C844=""),"",B844+ROW()/10000000)</f>
        <v/>
      </c>
      <c r="V844">
        <f>IF(U844="","",IF(COUNTIFS(Orders!$C$6:$C$1005,C844,Orders!$U$6:$U$1005,"&gt;"&amp;U844)=0,1,0))</f>
        <v/>
      </c>
      <c r="W844">
        <f>IF(AND(B844&lt;&gt;"",K844&lt;&gt;"",L844&lt;&gt;"Sent",L844&lt;&gt;"Picked up",L844&lt;&gt;"Cancelled"),IF(N(E844)=0,1,E844),0)</f>
        <v/>
      </c>
      <c r="X844">
        <f>IF(OR(B844="",D844=""),"",IF(N(E844)=0,1,E844))</f>
        <v/>
      </c>
    </row>
    <row r="845">
      <c r="A845" s="1" t="n"/>
      <c r="B845" s="31" t="n"/>
      <c r="C845" s="32" t="n"/>
      <c r="D845" s="33" t="n"/>
      <c r="E845" s="34" t="n"/>
      <c r="F845" s="35" t="n"/>
      <c r="G845" s="35" t="n"/>
      <c r="H845" s="30">
        <f>IF(OR(B845="",D845=""),"",IF(N(E845)=0,1,E845)*IFERROR(INDEX(Products!$C$6:$C$105,MATCH(D845,Products!$B$6:$B$105,0)),0)+N(F845)+N(G845))</f>
        <v/>
      </c>
      <c r="I845" s="35" t="n"/>
      <c r="J845" s="30">
        <f>IF(OR(H845="",L845="Cancelled"),"",IF(H845-N(I845)&gt;0.005,H845-N(I845),""))</f>
        <v/>
      </c>
      <c r="K845" s="31" t="n"/>
      <c r="L845" s="36" t="n"/>
      <c r="M845" s="33" t="n"/>
      <c r="N845" s="22">
        <f>IF(OR(H845="",L845="Cancelled"),"",IF(N(E845)=0,1,E845)*IFERROR(INDEX(Products!$E$6:$E$105,MATCH(D845,Products!$B$6:$B$105,0)),0))</f>
        <v/>
      </c>
      <c r="O845" s="35" t="n"/>
      <c r="P845" s="22">
        <f>IF(OR(H845="",L845="Cancelled"),"",ROUND(IFERROR(H845*INDEX(Settings!$C$6:$C$15,MATCH(M845,Settings!$B$6:$B$15,0))+INDEX(Settings!$D$6:$D$15,MATCH(M845,Settings!$B$6:$B$15,0)),0),2))</f>
        <v/>
      </c>
      <c r="Q845" s="28">
        <f>IF(OR(H845="",L845="Cancelled"),"",H845-N(N845)-N(O845)-N(P845))</f>
        <v/>
      </c>
      <c r="R845" s="19">
        <f>IF(OR(B845="",K845=""),"",IF(OR(L845="Sent",L845="Picked up"),"Done",IF(L845="Cancelled","Cancelled",IF(K845&lt;TODAY(),"Late by "&amp;(TODAY()-K845)&amp;IF((TODAY()-K845)=1," day"," days"),IF(K845=TODAY(),"Due today","Due in "&amp;(K845-TODAY())&amp;IF((K845-TODAY())=1," day"," days"))))))</f>
        <v/>
      </c>
      <c r="S845" s="33" t="n"/>
      <c r="T845" s="1">
        <f>IF(AND(B845&lt;&gt;"",K845&lt;&gt;"",L845&lt;&gt;"Sent",L845&lt;&gt;"Picked up",L845&lt;&gt;"Cancelled"),K845+ROW()/10000000,"")</f>
        <v/>
      </c>
      <c r="U845">
        <f>IF(OR(B845="",C845=""),"",B845+ROW()/10000000)</f>
        <v/>
      </c>
      <c r="V845">
        <f>IF(U845="","",IF(COUNTIFS(Orders!$C$6:$C$1005,C845,Orders!$U$6:$U$1005,"&gt;"&amp;U845)=0,1,0))</f>
        <v/>
      </c>
      <c r="W845">
        <f>IF(AND(B845&lt;&gt;"",K845&lt;&gt;"",L845&lt;&gt;"Sent",L845&lt;&gt;"Picked up",L845&lt;&gt;"Cancelled"),IF(N(E845)=0,1,E845),0)</f>
        <v/>
      </c>
      <c r="X845">
        <f>IF(OR(B845="",D845=""),"",IF(N(E845)=0,1,E845))</f>
        <v/>
      </c>
    </row>
    <row r="846">
      <c r="A846" s="1" t="n"/>
      <c r="B846" s="31" t="n"/>
      <c r="C846" s="32" t="n"/>
      <c r="D846" s="33" t="n"/>
      <c r="E846" s="34" t="n"/>
      <c r="F846" s="35" t="n"/>
      <c r="G846" s="35" t="n"/>
      <c r="H846" s="30">
        <f>IF(OR(B846="",D846=""),"",IF(N(E846)=0,1,E846)*IFERROR(INDEX(Products!$C$6:$C$105,MATCH(D846,Products!$B$6:$B$105,0)),0)+N(F846)+N(G846))</f>
        <v/>
      </c>
      <c r="I846" s="35" t="n"/>
      <c r="J846" s="30">
        <f>IF(OR(H846="",L846="Cancelled"),"",IF(H846-N(I846)&gt;0.005,H846-N(I846),""))</f>
        <v/>
      </c>
      <c r="K846" s="31" t="n"/>
      <c r="L846" s="36" t="n"/>
      <c r="M846" s="33" t="n"/>
      <c r="N846" s="22">
        <f>IF(OR(H846="",L846="Cancelled"),"",IF(N(E846)=0,1,E846)*IFERROR(INDEX(Products!$E$6:$E$105,MATCH(D846,Products!$B$6:$B$105,0)),0))</f>
        <v/>
      </c>
      <c r="O846" s="35" t="n"/>
      <c r="P846" s="22">
        <f>IF(OR(H846="",L846="Cancelled"),"",ROUND(IFERROR(H846*INDEX(Settings!$C$6:$C$15,MATCH(M846,Settings!$B$6:$B$15,0))+INDEX(Settings!$D$6:$D$15,MATCH(M846,Settings!$B$6:$B$15,0)),0),2))</f>
        <v/>
      </c>
      <c r="Q846" s="28">
        <f>IF(OR(H846="",L846="Cancelled"),"",H846-N(N846)-N(O846)-N(P846))</f>
        <v/>
      </c>
      <c r="R846" s="19">
        <f>IF(OR(B846="",K846=""),"",IF(OR(L846="Sent",L846="Picked up"),"Done",IF(L846="Cancelled","Cancelled",IF(K846&lt;TODAY(),"Late by "&amp;(TODAY()-K846)&amp;IF((TODAY()-K846)=1," day"," days"),IF(K846=TODAY(),"Due today","Due in "&amp;(K846-TODAY())&amp;IF((K846-TODAY())=1," day"," days"))))))</f>
        <v/>
      </c>
      <c r="S846" s="33" t="n"/>
      <c r="T846" s="1">
        <f>IF(AND(B846&lt;&gt;"",K846&lt;&gt;"",L846&lt;&gt;"Sent",L846&lt;&gt;"Picked up",L846&lt;&gt;"Cancelled"),K846+ROW()/10000000,"")</f>
        <v/>
      </c>
      <c r="U846">
        <f>IF(OR(B846="",C846=""),"",B846+ROW()/10000000)</f>
        <v/>
      </c>
      <c r="V846">
        <f>IF(U846="","",IF(COUNTIFS(Orders!$C$6:$C$1005,C846,Orders!$U$6:$U$1005,"&gt;"&amp;U846)=0,1,0))</f>
        <v/>
      </c>
      <c r="W846">
        <f>IF(AND(B846&lt;&gt;"",K846&lt;&gt;"",L846&lt;&gt;"Sent",L846&lt;&gt;"Picked up",L846&lt;&gt;"Cancelled"),IF(N(E846)=0,1,E846),0)</f>
        <v/>
      </c>
      <c r="X846">
        <f>IF(OR(B846="",D846=""),"",IF(N(E846)=0,1,E846))</f>
        <v/>
      </c>
    </row>
    <row r="847">
      <c r="A847" s="1" t="n"/>
      <c r="B847" s="31" t="n"/>
      <c r="C847" s="32" t="n"/>
      <c r="D847" s="33" t="n"/>
      <c r="E847" s="34" t="n"/>
      <c r="F847" s="35" t="n"/>
      <c r="G847" s="35" t="n"/>
      <c r="H847" s="30">
        <f>IF(OR(B847="",D847=""),"",IF(N(E847)=0,1,E847)*IFERROR(INDEX(Products!$C$6:$C$105,MATCH(D847,Products!$B$6:$B$105,0)),0)+N(F847)+N(G847))</f>
        <v/>
      </c>
      <c r="I847" s="35" t="n"/>
      <c r="J847" s="30">
        <f>IF(OR(H847="",L847="Cancelled"),"",IF(H847-N(I847)&gt;0.005,H847-N(I847),""))</f>
        <v/>
      </c>
      <c r="K847" s="31" t="n"/>
      <c r="L847" s="36" t="n"/>
      <c r="M847" s="33" t="n"/>
      <c r="N847" s="22">
        <f>IF(OR(H847="",L847="Cancelled"),"",IF(N(E847)=0,1,E847)*IFERROR(INDEX(Products!$E$6:$E$105,MATCH(D847,Products!$B$6:$B$105,0)),0))</f>
        <v/>
      </c>
      <c r="O847" s="35" t="n"/>
      <c r="P847" s="22">
        <f>IF(OR(H847="",L847="Cancelled"),"",ROUND(IFERROR(H847*INDEX(Settings!$C$6:$C$15,MATCH(M847,Settings!$B$6:$B$15,0))+INDEX(Settings!$D$6:$D$15,MATCH(M847,Settings!$B$6:$B$15,0)),0),2))</f>
        <v/>
      </c>
      <c r="Q847" s="28">
        <f>IF(OR(H847="",L847="Cancelled"),"",H847-N(N847)-N(O847)-N(P847))</f>
        <v/>
      </c>
      <c r="R847" s="19">
        <f>IF(OR(B847="",K847=""),"",IF(OR(L847="Sent",L847="Picked up"),"Done",IF(L847="Cancelled","Cancelled",IF(K847&lt;TODAY(),"Late by "&amp;(TODAY()-K847)&amp;IF((TODAY()-K847)=1," day"," days"),IF(K847=TODAY(),"Due today","Due in "&amp;(K847-TODAY())&amp;IF((K847-TODAY())=1," day"," days"))))))</f>
        <v/>
      </c>
      <c r="S847" s="33" t="n"/>
      <c r="T847" s="1">
        <f>IF(AND(B847&lt;&gt;"",K847&lt;&gt;"",L847&lt;&gt;"Sent",L847&lt;&gt;"Picked up",L847&lt;&gt;"Cancelled"),K847+ROW()/10000000,"")</f>
        <v/>
      </c>
      <c r="U847">
        <f>IF(OR(B847="",C847=""),"",B847+ROW()/10000000)</f>
        <v/>
      </c>
      <c r="V847">
        <f>IF(U847="","",IF(COUNTIFS(Orders!$C$6:$C$1005,C847,Orders!$U$6:$U$1005,"&gt;"&amp;U847)=0,1,0))</f>
        <v/>
      </c>
      <c r="W847">
        <f>IF(AND(B847&lt;&gt;"",K847&lt;&gt;"",L847&lt;&gt;"Sent",L847&lt;&gt;"Picked up",L847&lt;&gt;"Cancelled"),IF(N(E847)=0,1,E847),0)</f>
        <v/>
      </c>
      <c r="X847">
        <f>IF(OR(B847="",D847=""),"",IF(N(E847)=0,1,E847))</f>
        <v/>
      </c>
    </row>
    <row r="848">
      <c r="A848" s="1" t="n"/>
      <c r="B848" s="31" t="n"/>
      <c r="C848" s="32" t="n"/>
      <c r="D848" s="33" t="n"/>
      <c r="E848" s="34" t="n"/>
      <c r="F848" s="35" t="n"/>
      <c r="G848" s="35" t="n"/>
      <c r="H848" s="30">
        <f>IF(OR(B848="",D848=""),"",IF(N(E848)=0,1,E848)*IFERROR(INDEX(Products!$C$6:$C$105,MATCH(D848,Products!$B$6:$B$105,0)),0)+N(F848)+N(G848))</f>
        <v/>
      </c>
      <c r="I848" s="35" t="n"/>
      <c r="J848" s="30">
        <f>IF(OR(H848="",L848="Cancelled"),"",IF(H848-N(I848)&gt;0.005,H848-N(I848),""))</f>
        <v/>
      </c>
      <c r="K848" s="31" t="n"/>
      <c r="L848" s="36" t="n"/>
      <c r="M848" s="33" t="n"/>
      <c r="N848" s="22">
        <f>IF(OR(H848="",L848="Cancelled"),"",IF(N(E848)=0,1,E848)*IFERROR(INDEX(Products!$E$6:$E$105,MATCH(D848,Products!$B$6:$B$105,0)),0))</f>
        <v/>
      </c>
      <c r="O848" s="35" t="n"/>
      <c r="P848" s="22">
        <f>IF(OR(H848="",L848="Cancelled"),"",ROUND(IFERROR(H848*INDEX(Settings!$C$6:$C$15,MATCH(M848,Settings!$B$6:$B$15,0))+INDEX(Settings!$D$6:$D$15,MATCH(M848,Settings!$B$6:$B$15,0)),0),2))</f>
        <v/>
      </c>
      <c r="Q848" s="28">
        <f>IF(OR(H848="",L848="Cancelled"),"",H848-N(N848)-N(O848)-N(P848))</f>
        <v/>
      </c>
      <c r="R848" s="19">
        <f>IF(OR(B848="",K848=""),"",IF(OR(L848="Sent",L848="Picked up"),"Done",IF(L848="Cancelled","Cancelled",IF(K848&lt;TODAY(),"Late by "&amp;(TODAY()-K848)&amp;IF((TODAY()-K848)=1," day"," days"),IF(K848=TODAY(),"Due today","Due in "&amp;(K848-TODAY())&amp;IF((K848-TODAY())=1," day"," days"))))))</f>
        <v/>
      </c>
      <c r="S848" s="33" t="n"/>
      <c r="T848" s="1">
        <f>IF(AND(B848&lt;&gt;"",K848&lt;&gt;"",L848&lt;&gt;"Sent",L848&lt;&gt;"Picked up",L848&lt;&gt;"Cancelled"),K848+ROW()/10000000,"")</f>
        <v/>
      </c>
      <c r="U848">
        <f>IF(OR(B848="",C848=""),"",B848+ROW()/10000000)</f>
        <v/>
      </c>
      <c r="V848">
        <f>IF(U848="","",IF(COUNTIFS(Orders!$C$6:$C$1005,C848,Orders!$U$6:$U$1005,"&gt;"&amp;U848)=0,1,0))</f>
        <v/>
      </c>
      <c r="W848">
        <f>IF(AND(B848&lt;&gt;"",K848&lt;&gt;"",L848&lt;&gt;"Sent",L848&lt;&gt;"Picked up",L848&lt;&gt;"Cancelled"),IF(N(E848)=0,1,E848),0)</f>
        <v/>
      </c>
      <c r="X848">
        <f>IF(OR(B848="",D848=""),"",IF(N(E848)=0,1,E848))</f>
        <v/>
      </c>
    </row>
    <row r="849">
      <c r="A849" s="1" t="n"/>
      <c r="B849" s="31" t="n"/>
      <c r="C849" s="32" t="n"/>
      <c r="D849" s="33" t="n"/>
      <c r="E849" s="34" t="n"/>
      <c r="F849" s="35" t="n"/>
      <c r="G849" s="35" t="n"/>
      <c r="H849" s="30">
        <f>IF(OR(B849="",D849=""),"",IF(N(E849)=0,1,E849)*IFERROR(INDEX(Products!$C$6:$C$105,MATCH(D849,Products!$B$6:$B$105,0)),0)+N(F849)+N(G849))</f>
        <v/>
      </c>
      <c r="I849" s="35" t="n"/>
      <c r="J849" s="30">
        <f>IF(OR(H849="",L849="Cancelled"),"",IF(H849-N(I849)&gt;0.005,H849-N(I849),""))</f>
        <v/>
      </c>
      <c r="K849" s="31" t="n"/>
      <c r="L849" s="36" t="n"/>
      <c r="M849" s="33" t="n"/>
      <c r="N849" s="22">
        <f>IF(OR(H849="",L849="Cancelled"),"",IF(N(E849)=0,1,E849)*IFERROR(INDEX(Products!$E$6:$E$105,MATCH(D849,Products!$B$6:$B$105,0)),0))</f>
        <v/>
      </c>
      <c r="O849" s="35" t="n"/>
      <c r="P849" s="22">
        <f>IF(OR(H849="",L849="Cancelled"),"",ROUND(IFERROR(H849*INDEX(Settings!$C$6:$C$15,MATCH(M849,Settings!$B$6:$B$15,0))+INDEX(Settings!$D$6:$D$15,MATCH(M849,Settings!$B$6:$B$15,0)),0),2))</f>
        <v/>
      </c>
      <c r="Q849" s="28">
        <f>IF(OR(H849="",L849="Cancelled"),"",H849-N(N849)-N(O849)-N(P849))</f>
        <v/>
      </c>
      <c r="R849" s="19">
        <f>IF(OR(B849="",K849=""),"",IF(OR(L849="Sent",L849="Picked up"),"Done",IF(L849="Cancelled","Cancelled",IF(K849&lt;TODAY(),"Late by "&amp;(TODAY()-K849)&amp;IF((TODAY()-K849)=1," day"," days"),IF(K849=TODAY(),"Due today","Due in "&amp;(K849-TODAY())&amp;IF((K849-TODAY())=1," day"," days"))))))</f>
        <v/>
      </c>
      <c r="S849" s="33" t="n"/>
      <c r="T849" s="1">
        <f>IF(AND(B849&lt;&gt;"",K849&lt;&gt;"",L849&lt;&gt;"Sent",L849&lt;&gt;"Picked up",L849&lt;&gt;"Cancelled"),K849+ROW()/10000000,"")</f>
        <v/>
      </c>
      <c r="U849">
        <f>IF(OR(B849="",C849=""),"",B849+ROW()/10000000)</f>
        <v/>
      </c>
      <c r="V849">
        <f>IF(U849="","",IF(COUNTIFS(Orders!$C$6:$C$1005,C849,Orders!$U$6:$U$1005,"&gt;"&amp;U849)=0,1,0))</f>
        <v/>
      </c>
      <c r="W849">
        <f>IF(AND(B849&lt;&gt;"",K849&lt;&gt;"",L849&lt;&gt;"Sent",L849&lt;&gt;"Picked up",L849&lt;&gt;"Cancelled"),IF(N(E849)=0,1,E849),0)</f>
        <v/>
      </c>
      <c r="X849">
        <f>IF(OR(B849="",D849=""),"",IF(N(E849)=0,1,E849))</f>
        <v/>
      </c>
    </row>
    <row r="850">
      <c r="A850" s="1" t="n"/>
      <c r="B850" s="31" t="n"/>
      <c r="C850" s="32" t="n"/>
      <c r="D850" s="33" t="n"/>
      <c r="E850" s="34" t="n"/>
      <c r="F850" s="35" t="n"/>
      <c r="G850" s="35" t="n"/>
      <c r="H850" s="30">
        <f>IF(OR(B850="",D850=""),"",IF(N(E850)=0,1,E850)*IFERROR(INDEX(Products!$C$6:$C$105,MATCH(D850,Products!$B$6:$B$105,0)),0)+N(F850)+N(G850))</f>
        <v/>
      </c>
      <c r="I850" s="35" t="n"/>
      <c r="J850" s="30">
        <f>IF(OR(H850="",L850="Cancelled"),"",IF(H850-N(I850)&gt;0.005,H850-N(I850),""))</f>
        <v/>
      </c>
      <c r="K850" s="31" t="n"/>
      <c r="L850" s="36" t="n"/>
      <c r="M850" s="33" t="n"/>
      <c r="N850" s="22">
        <f>IF(OR(H850="",L850="Cancelled"),"",IF(N(E850)=0,1,E850)*IFERROR(INDEX(Products!$E$6:$E$105,MATCH(D850,Products!$B$6:$B$105,0)),0))</f>
        <v/>
      </c>
      <c r="O850" s="35" t="n"/>
      <c r="P850" s="22">
        <f>IF(OR(H850="",L850="Cancelled"),"",ROUND(IFERROR(H850*INDEX(Settings!$C$6:$C$15,MATCH(M850,Settings!$B$6:$B$15,0))+INDEX(Settings!$D$6:$D$15,MATCH(M850,Settings!$B$6:$B$15,0)),0),2))</f>
        <v/>
      </c>
      <c r="Q850" s="28">
        <f>IF(OR(H850="",L850="Cancelled"),"",H850-N(N850)-N(O850)-N(P850))</f>
        <v/>
      </c>
      <c r="R850" s="19">
        <f>IF(OR(B850="",K850=""),"",IF(OR(L850="Sent",L850="Picked up"),"Done",IF(L850="Cancelled","Cancelled",IF(K850&lt;TODAY(),"Late by "&amp;(TODAY()-K850)&amp;IF((TODAY()-K850)=1," day"," days"),IF(K850=TODAY(),"Due today","Due in "&amp;(K850-TODAY())&amp;IF((K850-TODAY())=1," day"," days"))))))</f>
        <v/>
      </c>
      <c r="S850" s="33" t="n"/>
      <c r="T850" s="1">
        <f>IF(AND(B850&lt;&gt;"",K850&lt;&gt;"",L850&lt;&gt;"Sent",L850&lt;&gt;"Picked up",L850&lt;&gt;"Cancelled"),K850+ROW()/10000000,"")</f>
        <v/>
      </c>
      <c r="U850">
        <f>IF(OR(B850="",C850=""),"",B850+ROW()/10000000)</f>
        <v/>
      </c>
      <c r="V850">
        <f>IF(U850="","",IF(COUNTIFS(Orders!$C$6:$C$1005,C850,Orders!$U$6:$U$1005,"&gt;"&amp;U850)=0,1,0))</f>
        <v/>
      </c>
      <c r="W850">
        <f>IF(AND(B850&lt;&gt;"",K850&lt;&gt;"",L850&lt;&gt;"Sent",L850&lt;&gt;"Picked up",L850&lt;&gt;"Cancelled"),IF(N(E850)=0,1,E850),0)</f>
        <v/>
      </c>
      <c r="X850">
        <f>IF(OR(B850="",D850=""),"",IF(N(E850)=0,1,E850))</f>
        <v/>
      </c>
    </row>
    <row r="851">
      <c r="A851" s="1" t="n"/>
      <c r="B851" s="31" t="n"/>
      <c r="C851" s="32" t="n"/>
      <c r="D851" s="33" t="n"/>
      <c r="E851" s="34" t="n"/>
      <c r="F851" s="35" t="n"/>
      <c r="G851" s="35" t="n"/>
      <c r="H851" s="30">
        <f>IF(OR(B851="",D851=""),"",IF(N(E851)=0,1,E851)*IFERROR(INDEX(Products!$C$6:$C$105,MATCH(D851,Products!$B$6:$B$105,0)),0)+N(F851)+N(G851))</f>
        <v/>
      </c>
      <c r="I851" s="35" t="n"/>
      <c r="J851" s="30">
        <f>IF(OR(H851="",L851="Cancelled"),"",IF(H851-N(I851)&gt;0.005,H851-N(I851),""))</f>
        <v/>
      </c>
      <c r="K851" s="31" t="n"/>
      <c r="L851" s="36" t="n"/>
      <c r="M851" s="33" t="n"/>
      <c r="N851" s="22">
        <f>IF(OR(H851="",L851="Cancelled"),"",IF(N(E851)=0,1,E851)*IFERROR(INDEX(Products!$E$6:$E$105,MATCH(D851,Products!$B$6:$B$105,0)),0))</f>
        <v/>
      </c>
      <c r="O851" s="35" t="n"/>
      <c r="P851" s="22">
        <f>IF(OR(H851="",L851="Cancelled"),"",ROUND(IFERROR(H851*INDEX(Settings!$C$6:$C$15,MATCH(M851,Settings!$B$6:$B$15,0))+INDEX(Settings!$D$6:$D$15,MATCH(M851,Settings!$B$6:$B$15,0)),0),2))</f>
        <v/>
      </c>
      <c r="Q851" s="28">
        <f>IF(OR(H851="",L851="Cancelled"),"",H851-N(N851)-N(O851)-N(P851))</f>
        <v/>
      </c>
      <c r="R851" s="19">
        <f>IF(OR(B851="",K851=""),"",IF(OR(L851="Sent",L851="Picked up"),"Done",IF(L851="Cancelled","Cancelled",IF(K851&lt;TODAY(),"Late by "&amp;(TODAY()-K851)&amp;IF((TODAY()-K851)=1," day"," days"),IF(K851=TODAY(),"Due today","Due in "&amp;(K851-TODAY())&amp;IF((K851-TODAY())=1," day"," days"))))))</f>
        <v/>
      </c>
      <c r="S851" s="33" t="n"/>
      <c r="T851" s="1">
        <f>IF(AND(B851&lt;&gt;"",K851&lt;&gt;"",L851&lt;&gt;"Sent",L851&lt;&gt;"Picked up",L851&lt;&gt;"Cancelled"),K851+ROW()/10000000,"")</f>
        <v/>
      </c>
      <c r="U851">
        <f>IF(OR(B851="",C851=""),"",B851+ROW()/10000000)</f>
        <v/>
      </c>
      <c r="V851">
        <f>IF(U851="","",IF(COUNTIFS(Orders!$C$6:$C$1005,C851,Orders!$U$6:$U$1005,"&gt;"&amp;U851)=0,1,0))</f>
        <v/>
      </c>
      <c r="W851">
        <f>IF(AND(B851&lt;&gt;"",K851&lt;&gt;"",L851&lt;&gt;"Sent",L851&lt;&gt;"Picked up",L851&lt;&gt;"Cancelled"),IF(N(E851)=0,1,E851),0)</f>
        <v/>
      </c>
      <c r="X851">
        <f>IF(OR(B851="",D851=""),"",IF(N(E851)=0,1,E851))</f>
        <v/>
      </c>
    </row>
    <row r="852">
      <c r="A852" s="1" t="n"/>
      <c r="B852" s="31" t="n"/>
      <c r="C852" s="32" t="n"/>
      <c r="D852" s="33" t="n"/>
      <c r="E852" s="34" t="n"/>
      <c r="F852" s="35" t="n"/>
      <c r="G852" s="35" t="n"/>
      <c r="H852" s="30">
        <f>IF(OR(B852="",D852=""),"",IF(N(E852)=0,1,E852)*IFERROR(INDEX(Products!$C$6:$C$105,MATCH(D852,Products!$B$6:$B$105,0)),0)+N(F852)+N(G852))</f>
        <v/>
      </c>
      <c r="I852" s="35" t="n"/>
      <c r="J852" s="30">
        <f>IF(OR(H852="",L852="Cancelled"),"",IF(H852-N(I852)&gt;0.005,H852-N(I852),""))</f>
        <v/>
      </c>
      <c r="K852" s="31" t="n"/>
      <c r="L852" s="36" t="n"/>
      <c r="M852" s="33" t="n"/>
      <c r="N852" s="22">
        <f>IF(OR(H852="",L852="Cancelled"),"",IF(N(E852)=0,1,E852)*IFERROR(INDEX(Products!$E$6:$E$105,MATCH(D852,Products!$B$6:$B$105,0)),0))</f>
        <v/>
      </c>
      <c r="O852" s="35" t="n"/>
      <c r="P852" s="22">
        <f>IF(OR(H852="",L852="Cancelled"),"",ROUND(IFERROR(H852*INDEX(Settings!$C$6:$C$15,MATCH(M852,Settings!$B$6:$B$15,0))+INDEX(Settings!$D$6:$D$15,MATCH(M852,Settings!$B$6:$B$15,0)),0),2))</f>
        <v/>
      </c>
      <c r="Q852" s="28">
        <f>IF(OR(H852="",L852="Cancelled"),"",H852-N(N852)-N(O852)-N(P852))</f>
        <v/>
      </c>
      <c r="R852" s="19">
        <f>IF(OR(B852="",K852=""),"",IF(OR(L852="Sent",L852="Picked up"),"Done",IF(L852="Cancelled","Cancelled",IF(K852&lt;TODAY(),"Late by "&amp;(TODAY()-K852)&amp;IF((TODAY()-K852)=1," day"," days"),IF(K852=TODAY(),"Due today","Due in "&amp;(K852-TODAY())&amp;IF((K852-TODAY())=1," day"," days"))))))</f>
        <v/>
      </c>
      <c r="S852" s="33" t="n"/>
      <c r="T852" s="1">
        <f>IF(AND(B852&lt;&gt;"",K852&lt;&gt;"",L852&lt;&gt;"Sent",L852&lt;&gt;"Picked up",L852&lt;&gt;"Cancelled"),K852+ROW()/10000000,"")</f>
        <v/>
      </c>
      <c r="U852">
        <f>IF(OR(B852="",C852=""),"",B852+ROW()/10000000)</f>
        <v/>
      </c>
      <c r="V852">
        <f>IF(U852="","",IF(COUNTIFS(Orders!$C$6:$C$1005,C852,Orders!$U$6:$U$1005,"&gt;"&amp;U852)=0,1,0))</f>
        <v/>
      </c>
      <c r="W852">
        <f>IF(AND(B852&lt;&gt;"",K852&lt;&gt;"",L852&lt;&gt;"Sent",L852&lt;&gt;"Picked up",L852&lt;&gt;"Cancelled"),IF(N(E852)=0,1,E852),0)</f>
        <v/>
      </c>
      <c r="X852">
        <f>IF(OR(B852="",D852=""),"",IF(N(E852)=0,1,E852))</f>
        <v/>
      </c>
    </row>
    <row r="853">
      <c r="A853" s="1" t="n"/>
      <c r="B853" s="31" t="n"/>
      <c r="C853" s="32" t="n"/>
      <c r="D853" s="33" t="n"/>
      <c r="E853" s="34" t="n"/>
      <c r="F853" s="35" t="n"/>
      <c r="G853" s="35" t="n"/>
      <c r="H853" s="30">
        <f>IF(OR(B853="",D853=""),"",IF(N(E853)=0,1,E853)*IFERROR(INDEX(Products!$C$6:$C$105,MATCH(D853,Products!$B$6:$B$105,0)),0)+N(F853)+N(G853))</f>
        <v/>
      </c>
      <c r="I853" s="35" t="n"/>
      <c r="J853" s="30">
        <f>IF(OR(H853="",L853="Cancelled"),"",IF(H853-N(I853)&gt;0.005,H853-N(I853),""))</f>
        <v/>
      </c>
      <c r="K853" s="31" t="n"/>
      <c r="L853" s="36" t="n"/>
      <c r="M853" s="33" t="n"/>
      <c r="N853" s="22">
        <f>IF(OR(H853="",L853="Cancelled"),"",IF(N(E853)=0,1,E853)*IFERROR(INDEX(Products!$E$6:$E$105,MATCH(D853,Products!$B$6:$B$105,0)),0))</f>
        <v/>
      </c>
      <c r="O853" s="35" t="n"/>
      <c r="P853" s="22">
        <f>IF(OR(H853="",L853="Cancelled"),"",ROUND(IFERROR(H853*INDEX(Settings!$C$6:$C$15,MATCH(M853,Settings!$B$6:$B$15,0))+INDEX(Settings!$D$6:$D$15,MATCH(M853,Settings!$B$6:$B$15,0)),0),2))</f>
        <v/>
      </c>
      <c r="Q853" s="28">
        <f>IF(OR(H853="",L853="Cancelled"),"",H853-N(N853)-N(O853)-N(P853))</f>
        <v/>
      </c>
      <c r="R853" s="19">
        <f>IF(OR(B853="",K853=""),"",IF(OR(L853="Sent",L853="Picked up"),"Done",IF(L853="Cancelled","Cancelled",IF(K853&lt;TODAY(),"Late by "&amp;(TODAY()-K853)&amp;IF((TODAY()-K853)=1," day"," days"),IF(K853=TODAY(),"Due today","Due in "&amp;(K853-TODAY())&amp;IF((K853-TODAY())=1," day"," days"))))))</f>
        <v/>
      </c>
      <c r="S853" s="33" t="n"/>
      <c r="T853" s="1">
        <f>IF(AND(B853&lt;&gt;"",K853&lt;&gt;"",L853&lt;&gt;"Sent",L853&lt;&gt;"Picked up",L853&lt;&gt;"Cancelled"),K853+ROW()/10000000,"")</f>
        <v/>
      </c>
      <c r="U853">
        <f>IF(OR(B853="",C853=""),"",B853+ROW()/10000000)</f>
        <v/>
      </c>
      <c r="V853">
        <f>IF(U853="","",IF(COUNTIFS(Orders!$C$6:$C$1005,C853,Orders!$U$6:$U$1005,"&gt;"&amp;U853)=0,1,0))</f>
        <v/>
      </c>
      <c r="W853">
        <f>IF(AND(B853&lt;&gt;"",K853&lt;&gt;"",L853&lt;&gt;"Sent",L853&lt;&gt;"Picked up",L853&lt;&gt;"Cancelled"),IF(N(E853)=0,1,E853),0)</f>
        <v/>
      </c>
      <c r="X853">
        <f>IF(OR(B853="",D853=""),"",IF(N(E853)=0,1,E853))</f>
        <v/>
      </c>
    </row>
    <row r="854">
      <c r="A854" s="1" t="n"/>
      <c r="B854" s="31" t="n"/>
      <c r="C854" s="32" t="n"/>
      <c r="D854" s="33" t="n"/>
      <c r="E854" s="34" t="n"/>
      <c r="F854" s="35" t="n"/>
      <c r="G854" s="35" t="n"/>
      <c r="H854" s="30">
        <f>IF(OR(B854="",D854=""),"",IF(N(E854)=0,1,E854)*IFERROR(INDEX(Products!$C$6:$C$105,MATCH(D854,Products!$B$6:$B$105,0)),0)+N(F854)+N(G854))</f>
        <v/>
      </c>
      <c r="I854" s="35" t="n"/>
      <c r="J854" s="30">
        <f>IF(OR(H854="",L854="Cancelled"),"",IF(H854-N(I854)&gt;0.005,H854-N(I854),""))</f>
        <v/>
      </c>
      <c r="K854" s="31" t="n"/>
      <c r="L854" s="36" t="n"/>
      <c r="M854" s="33" t="n"/>
      <c r="N854" s="22">
        <f>IF(OR(H854="",L854="Cancelled"),"",IF(N(E854)=0,1,E854)*IFERROR(INDEX(Products!$E$6:$E$105,MATCH(D854,Products!$B$6:$B$105,0)),0))</f>
        <v/>
      </c>
      <c r="O854" s="35" t="n"/>
      <c r="P854" s="22">
        <f>IF(OR(H854="",L854="Cancelled"),"",ROUND(IFERROR(H854*INDEX(Settings!$C$6:$C$15,MATCH(M854,Settings!$B$6:$B$15,0))+INDEX(Settings!$D$6:$D$15,MATCH(M854,Settings!$B$6:$B$15,0)),0),2))</f>
        <v/>
      </c>
      <c r="Q854" s="28">
        <f>IF(OR(H854="",L854="Cancelled"),"",H854-N(N854)-N(O854)-N(P854))</f>
        <v/>
      </c>
      <c r="R854" s="19">
        <f>IF(OR(B854="",K854=""),"",IF(OR(L854="Sent",L854="Picked up"),"Done",IF(L854="Cancelled","Cancelled",IF(K854&lt;TODAY(),"Late by "&amp;(TODAY()-K854)&amp;IF((TODAY()-K854)=1," day"," days"),IF(K854=TODAY(),"Due today","Due in "&amp;(K854-TODAY())&amp;IF((K854-TODAY())=1," day"," days"))))))</f>
        <v/>
      </c>
      <c r="S854" s="33" t="n"/>
      <c r="T854" s="1">
        <f>IF(AND(B854&lt;&gt;"",K854&lt;&gt;"",L854&lt;&gt;"Sent",L854&lt;&gt;"Picked up",L854&lt;&gt;"Cancelled"),K854+ROW()/10000000,"")</f>
        <v/>
      </c>
      <c r="U854">
        <f>IF(OR(B854="",C854=""),"",B854+ROW()/10000000)</f>
        <v/>
      </c>
      <c r="V854">
        <f>IF(U854="","",IF(COUNTIFS(Orders!$C$6:$C$1005,C854,Orders!$U$6:$U$1005,"&gt;"&amp;U854)=0,1,0))</f>
        <v/>
      </c>
      <c r="W854">
        <f>IF(AND(B854&lt;&gt;"",K854&lt;&gt;"",L854&lt;&gt;"Sent",L854&lt;&gt;"Picked up",L854&lt;&gt;"Cancelled"),IF(N(E854)=0,1,E854),0)</f>
        <v/>
      </c>
      <c r="X854">
        <f>IF(OR(B854="",D854=""),"",IF(N(E854)=0,1,E854))</f>
        <v/>
      </c>
    </row>
    <row r="855">
      <c r="A855" s="1" t="n"/>
      <c r="B855" s="31" t="n"/>
      <c r="C855" s="32" t="n"/>
      <c r="D855" s="33" t="n"/>
      <c r="E855" s="34" t="n"/>
      <c r="F855" s="35" t="n"/>
      <c r="G855" s="35" t="n"/>
      <c r="H855" s="30">
        <f>IF(OR(B855="",D855=""),"",IF(N(E855)=0,1,E855)*IFERROR(INDEX(Products!$C$6:$C$105,MATCH(D855,Products!$B$6:$B$105,0)),0)+N(F855)+N(G855))</f>
        <v/>
      </c>
      <c r="I855" s="35" t="n"/>
      <c r="J855" s="30">
        <f>IF(OR(H855="",L855="Cancelled"),"",IF(H855-N(I855)&gt;0.005,H855-N(I855),""))</f>
        <v/>
      </c>
      <c r="K855" s="31" t="n"/>
      <c r="L855" s="36" t="n"/>
      <c r="M855" s="33" t="n"/>
      <c r="N855" s="22">
        <f>IF(OR(H855="",L855="Cancelled"),"",IF(N(E855)=0,1,E855)*IFERROR(INDEX(Products!$E$6:$E$105,MATCH(D855,Products!$B$6:$B$105,0)),0))</f>
        <v/>
      </c>
      <c r="O855" s="35" t="n"/>
      <c r="P855" s="22">
        <f>IF(OR(H855="",L855="Cancelled"),"",ROUND(IFERROR(H855*INDEX(Settings!$C$6:$C$15,MATCH(M855,Settings!$B$6:$B$15,0))+INDEX(Settings!$D$6:$D$15,MATCH(M855,Settings!$B$6:$B$15,0)),0),2))</f>
        <v/>
      </c>
      <c r="Q855" s="28">
        <f>IF(OR(H855="",L855="Cancelled"),"",H855-N(N855)-N(O855)-N(P855))</f>
        <v/>
      </c>
      <c r="R855" s="19">
        <f>IF(OR(B855="",K855=""),"",IF(OR(L855="Sent",L855="Picked up"),"Done",IF(L855="Cancelled","Cancelled",IF(K855&lt;TODAY(),"Late by "&amp;(TODAY()-K855)&amp;IF((TODAY()-K855)=1," day"," days"),IF(K855=TODAY(),"Due today","Due in "&amp;(K855-TODAY())&amp;IF((K855-TODAY())=1," day"," days"))))))</f>
        <v/>
      </c>
      <c r="S855" s="33" t="n"/>
      <c r="T855" s="1">
        <f>IF(AND(B855&lt;&gt;"",K855&lt;&gt;"",L855&lt;&gt;"Sent",L855&lt;&gt;"Picked up",L855&lt;&gt;"Cancelled"),K855+ROW()/10000000,"")</f>
        <v/>
      </c>
      <c r="U855">
        <f>IF(OR(B855="",C855=""),"",B855+ROW()/10000000)</f>
        <v/>
      </c>
      <c r="V855">
        <f>IF(U855="","",IF(COUNTIFS(Orders!$C$6:$C$1005,C855,Orders!$U$6:$U$1005,"&gt;"&amp;U855)=0,1,0))</f>
        <v/>
      </c>
      <c r="W855">
        <f>IF(AND(B855&lt;&gt;"",K855&lt;&gt;"",L855&lt;&gt;"Sent",L855&lt;&gt;"Picked up",L855&lt;&gt;"Cancelled"),IF(N(E855)=0,1,E855),0)</f>
        <v/>
      </c>
      <c r="X855">
        <f>IF(OR(B855="",D855=""),"",IF(N(E855)=0,1,E855))</f>
        <v/>
      </c>
    </row>
    <row r="856">
      <c r="A856" s="1" t="n"/>
      <c r="B856" s="31" t="n"/>
      <c r="C856" s="32" t="n"/>
      <c r="D856" s="33" t="n"/>
      <c r="E856" s="34" t="n"/>
      <c r="F856" s="35" t="n"/>
      <c r="G856" s="35" t="n"/>
      <c r="H856" s="30">
        <f>IF(OR(B856="",D856=""),"",IF(N(E856)=0,1,E856)*IFERROR(INDEX(Products!$C$6:$C$105,MATCH(D856,Products!$B$6:$B$105,0)),0)+N(F856)+N(G856))</f>
        <v/>
      </c>
      <c r="I856" s="35" t="n"/>
      <c r="J856" s="30">
        <f>IF(OR(H856="",L856="Cancelled"),"",IF(H856-N(I856)&gt;0.005,H856-N(I856),""))</f>
        <v/>
      </c>
      <c r="K856" s="31" t="n"/>
      <c r="L856" s="36" t="n"/>
      <c r="M856" s="33" t="n"/>
      <c r="N856" s="22">
        <f>IF(OR(H856="",L856="Cancelled"),"",IF(N(E856)=0,1,E856)*IFERROR(INDEX(Products!$E$6:$E$105,MATCH(D856,Products!$B$6:$B$105,0)),0))</f>
        <v/>
      </c>
      <c r="O856" s="35" t="n"/>
      <c r="P856" s="22">
        <f>IF(OR(H856="",L856="Cancelled"),"",ROUND(IFERROR(H856*INDEX(Settings!$C$6:$C$15,MATCH(M856,Settings!$B$6:$B$15,0))+INDEX(Settings!$D$6:$D$15,MATCH(M856,Settings!$B$6:$B$15,0)),0),2))</f>
        <v/>
      </c>
      <c r="Q856" s="28">
        <f>IF(OR(H856="",L856="Cancelled"),"",H856-N(N856)-N(O856)-N(P856))</f>
        <v/>
      </c>
      <c r="R856" s="19">
        <f>IF(OR(B856="",K856=""),"",IF(OR(L856="Sent",L856="Picked up"),"Done",IF(L856="Cancelled","Cancelled",IF(K856&lt;TODAY(),"Late by "&amp;(TODAY()-K856)&amp;IF((TODAY()-K856)=1," day"," days"),IF(K856=TODAY(),"Due today","Due in "&amp;(K856-TODAY())&amp;IF((K856-TODAY())=1," day"," days"))))))</f>
        <v/>
      </c>
      <c r="S856" s="33" t="n"/>
      <c r="T856" s="1">
        <f>IF(AND(B856&lt;&gt;"",K856&lt;&gt;"",L856&lt;&gt;"Sent",L856&lt;&gt;"Picked up",L856&lt;&gt;"Cancelled"),K856+ROW()/10000000,"")</f>
        <v/>
      </c>
      <c r="U856">
        <f>IF(OR(B856="",C856=""),"",B856+ROW()/10000000)</f>
        <v/>
      </c>
      <c r="V856">
        <f>IF(U856="","",IF(COUNTIFS(Orders!$C$6:$C$1005,C856,Orders!$U$6:$U$1005,"&gt;"&amp;U856)=0,1,0))</f>
        <v/>
      </c>
      <c r="W856">
        <f>IF(AND(B856&lt;&gt;"",K856&lt;&gt;"",L856&lt;&gt;"Sent",L856&lt;&gt;"Picked up",L856&lt;&gt;"Cancelled"),IF(N(E856)=0,1,E856),0)</f>
        <v/>
      </c>
      <c r="X856">
        <f>IF(OR(B856="",D856=""),"",IF(N(E856)=0,1,E856))</f>
        <v/>
      </c>
    </row>
    <row r="857">
      <c r="A857" s="1" t="n"/>
      <c r="B857" s="31" t="n"/>
      <c r="C857" s="32" t="n"/>
      <c r="D857" s="33" t="n"/>
      <c r="E857" s="34" t="n"/>
      <c r="F857" s="35" t="n"/>
      <c r="G857" s="35" t="n"/>
      <c r="H857" s="30">
        <f>IF(OR(B857="",D857=""),"",IF(N(E857)=0,1,E857)*IFERROR(INDEX(Products!$C$6:$C$105,MATCH(D857,Products!$B$6:$B$105,0)),0)+N(F857)+N(G857))</f>
        <v/>
      </c>
      <c r="I857" s="35" t="n"/>
      <c r="J857" s="30">
        <f>IF(OR(H857="",L857="Cancelled"),"",IF(H857-N(I857)&gt;0.005,H857-N(I857),""))</f>
        <v/>
      </c>
      <c r="K857" s="31" t="n"/>
      <c r="L857" s="36" t="n"/>
      <c r="M857" s="33" t="n"/>
      <c r="N857" s="22">
        <f>IF(OR(H857="",L857="Cancelled"),"",IF(N(E857)=0,1,E857)*IFERROR(INDEX(Products!$E$6:$E$105,MATCH(D857,Products!$B$6:$B$105,0)),0))</f>
        <v/>
      </c>
      <c r="O857" s="35" t="n"/>
      <c r="P857" s="22">
        <f>IF(OR(H857="",L857="Cancelled"),"",ROUND(IFERROR(H857*INDEX(Settings!$C$6:$C$15,MATCH(M857,Settings!$B$6:$B$15,0))+INDEX(Settings!$D$6:$D$15,MATCH(M857,Settings!$B$6:$B$15,0)),0),2))</f>
        <v/>
      </c>
      <c r="Q857" s="28">
        <f>IF(OR(H857="",L857="Cancelled"),"",H857-N(N857)-N(O857)-N(P857))</f>
        <v/>
      </c>
      <c r="R857" s="19">
        <f>IF(OR(B857="",K857=""),"",IF(OR(L857="Sent",L857="Picked up"),"Done",IF(L857="Cancelled","Cancelled",IF(K857&lt;TODAY(),"Late by "&amp;(TODAY()-K857)&amp;IF((TODAY()-K857)=1," day"," days"),IF(K857=TODAY(),"Due today","Due in "&amp;(K857-TODAY())&amp;IF((K857-TODAY())=1," day"," days"))))))</f>
        <v/>
      </c>
      <c r="S857" s="33" t="n"/>
      <c r="T857" s="1">
        <f>IF(AND(B857&lt;&gt;"",K857&lt;&gt;"",L857&lt;&gt;"Sent",L857&lt;&gt;"Picked up",L857&lt;&gt;"Cancelled"),K857+ROW()/10000000,"")</f>
        <v/>
      </c>
      <c r="U857">
        <f>IF(OR(B857="",C857=""),"",B857+ROW()/10000000)</f>
        <v/>
      </c>
      <c r="V857">
        <f>IF(U857="","",IF(COUNTIFS(Orders!$C$6:$C$1005,C857,Orders!$U$6:$U$1005,"&gt;"&amp;U857)=0,1,0))</f>
        <v/>
      </c>
      <c r="W857">
        <f>IF(AND(B857&lt;&gt;"",K857&lt;&gt;"",L857&lt;&gt;"Sent",L857&lt;&gt;"Picked up",L857&lt;&gt;"Cancelled"),IF(N(E857)=0,1,E857),0)</f>
        <v/>
      </c>
      <c r="X857">
        <f>IF(OR(B857="",D857=""),"",IF(N(E857)=0,1,E857))</f>
        <v/>
      </c>
    </row>
    <row r="858">
      <c r="A858" s="1" t="n"/>
      <c r="B858" s="31" t="n"/>
      <c r="C858" s="32" t="n"/>
      <c r="D858" s="33" t="n"/>
      <c r="E858" s="34" t="n"/>
      <c r="F858" s="35" t="n"/>
      <c r="G858" s="35" t="n"/>
      <c r="H858" s="30">
        <f>IF(OR(B858="",D858=""),"",IF(N(E858)=0,1,E858)*IFERROR(INDEX(Products!$C$6:$C$105,MATCH(D858,Products!$B$6:$B$105,0)),0)+N(F858)+N(G858))</f>
        <v/>
      </c>
      <c r="I858" s="35" t="n"/>
      <c r="J858" s="30">
        <f>IF(OR(H858="",L858="Cancelled"),"",IF(H858-N(I858)&gt;0.005,H858-N(I858),""))</f>
        <v/>
      </c>
      <c r="K858" s="31" t="n"/>
      <c r="L858" s="36" t="n"/>
      <c r="M858" s="33" t="n"/>
      <c r="N858" s="22">
        <f>IF(OR(H858="",L858="Cancelled"),"",IF(N(E858)=0,1,E858)*IFERROR(INDEX(Products!$E$6:$E$105,MATCH(D858,Products!$B$6:$B$105,0)),0))</f>
        <v/>
      </c>
      <c r="O858" s="35" t="n"/>
      <c r="P858" s="22">
        <f>IF(OR(H858="",L858="Cancelled"),"",ROUND(IFERROR(H858*INDEX(Settings!$C$6:$C$15,MATCH(M858,Settings!$B$6:$B$15,0))+INDEX(Settings!$D$6:$D$15,MATCH(M858,Settings!$B$6:$B$15,0)),0),2))</f>
        <v/>
      </c>
      <c r="Q858" s="28">
        <f>IF(OR(H858="",L858="Cancelled"),"",H858-N(N858)-N(O858)-N(P858))</f>
        <v/>
      </c>
      <c r="R858" s="19">
        <f>IF(OR(B858="",K858=""),"",IF(OR(L858="Sent",L858="Picked up"),"Done",IF(L858="Cancelled","Cancelled",IF(K858&lt;TODAY(),"Late by "&amp;(TODAY()-K858)&amp;IF((TODAY()-K858)=1," day"," days"),IF(K858=TODAY(),"Due today","Due in "&amp;(K858-TODAY())&amp;IF((K858-TODAY())=1," day"," days"))))))</f>
        <v/>
      </c>
      <c r="S858" s="33" t="n"/>
      <c r="T858" s="1">
        <f>IF(AND(B858&lt;&gt;"",K858&lt;&gt;"",L858&lt;&gt;"Sent",L858&lt;&gt;"Picked up",L858&lt;&gt;"Cancelled"),K858+ROW()/10000000,"")</f>
        <v/>
      </c>
      <c r="U858">
        <f>IF(OR(B858="",C858=""),"",B858+ROW()/10000000)</f>
        <v/>
      </c>
      <c r="V858">
        <f>IF(U858="","",IF(COUNTIFS(Orders!$C$6:$C$1005,C858,Orders!$U$6:$U$1005,"&gt;"&amp;U858)=0,1,0))</f>
        <v/>
      </c>
      <c r="W858">
        <f>IF(AND(B858&lt;&gt;"",K858&lt;&gt;"",L858&lt;&gt;"Sent",L858&lt;&gt;"Picked up",L858&lt;&gt;"Cancelled"),IF(N(E858)=0,1,E858),0)</f>
        <v/>
      </c>
      <c r="X858">
        <f>IF(OR(B858="",D858=""),"",IF(N(E858)=0,1,E858))</f>
        <v/>
      </c>
    </row>
    <row r="859">
      <c r="A859" s="1" t="n"/>
      <c r="B859" s="31" t="n"/>
      <c r="C859" s="32" t="n"/>
      <c r="D859" s="33" t="n"/>
      <c r="E859" s="34" t="n"/>
      <c r="F859" s="35" t="n"/>
      <c r="G859" s="35" t="n"/>
      <c r="H859" s="30">
        <f>IF(OR(B859="",D859=""),"",IF(N(E859)=0,1,E859)*IFERROR(INDEX(Products!$C$6:$C$105,MATCH(D859,Products!$B$6:$B$105,0)),0)+N(F859)+N(G859))</f>
        <v/>
      </c>
      <c r="I859" s="35" t="n"/>
      <c r="J859" s="30">
        <f>IF(OR(H859="",L859="Cancelled"),"",IF(H859-N(I859)&gt;0.005,H859-N(I859),""))</f>
        <v/>
      </c>
      <c r="K859" s="31" t="n"/>
      <c r="L859" s="36" t="n"/>
      <c r="M859" s="33" t="n"/>
      <c r="N859" s="22">
        <f>IF(OR(H859="",L859="Cancelled"),"",IF(N(E859)=0,1,E859)*IFERROR(INDEX(Products!$E$6:$E$105,MATCH(D859,Products!$B$6:$B$105,0)),0))</f>
        <v/>
      </c>
      <c r="O859" s="35" t="n"/>
      <c r="P859" s="22">
        <f>IF(OR(H859="",L859="Cancelled"),"",ROUND(IFERROR(H859*INDEX(Settings!$C$6:$C$15,MATCH(M859,Settings!$B$6:$B$15,0))+INDEX(Settings!$D$6:$D$15,MATCH(M859,Settings!$B$6:$B$15,0)),0),2))</f>
        <v/>
      </c>
      <c r="Q859" s="28">
        <f>IF(OR(H859="",L859="Cancelled"),"",H859-N(N859)-N(O859)-N(P859))</f>
        <v/>
      </c>
      <c r="R859" s="19">
        <f>IF(OR(B859="",K859=""),"",IF(OR(L859="Sent",L859="Picked up"),"Done",IF(L859="Cancelled","Cancelled",IF(K859&lt;TODAY(),"Late by "&amp;(TODAY()-K859)&amp;IF((TODAY()-K859)=1," day"," days"),IF(K859=TODAY(),"Due today","Due in "&amp;(K859-TODAY())&amp;IF((K859-TODAY())=1," day"," days"))))))</f>
        <v/>
      </c>
      <c r="S859" s="33" t="n"/>
      <c r="T859" s="1">
        <f>IF(AND(B859&lt;&gt;"",K859&lt;&gt;"",L859&lt;&gt;"Sent",L859&lt;&gt;"Picked up",L859&lt;&gt;"Cancelled"),K859+ROW()/10000000,"")</f>
        <v/>
      </c>
      <c r="U859">
        <f>IF(OR(B859="",C859=""),"",B859+ROW()/10000000)</f>
        <v/>
      </c>
      <c r="V859">
        <f>IF(U859="","",IF(COUNTIFS(Orders!$C$6:$C$1005,C859,Orders!$U$6:$U$1005,"&gt;"&amp;U859)=0,1,0))</f>
        <v/>
      </c>
      <c r="W859">
        <f>IF(AND(B859&lt;&gt;"",K859&lt;&gt;"",L859&lt;&gt;"Sent",L859&lt;&gt;"Picked up",L859&lt;&gt;"Cancelled"),IF(N(E859)=0,1,E859),0)</f>
        <v/>
      </c>
      <c r="X859">
        <f>IF(OR(B859="",D859=""),"",IF(N(E859)=0,1,E859))</f>
        <v/>
      </c>
    </row>
    <row r="860">
      <c r="A860" s="1" t="n"/>
      <c r="B860" s="31" t="n"/>
      <c r="C860" s="32" t="n"/>
      <c r="D860" s="33" t="n"/>
      <c r="E860" s="34" t="n"/>
      <c r="F860" s="35" t="n"/>
      <c r="G860" s="35" t="n"/>
      <c r="H860" s="30">
        <f>IF(OR(B860="",D860=""),"",IF(N(E860)=0,1,E860)*IFERROR(INDEX(Products!$C$6:$C$105,MATCH(D860,Products!$B$6:$B$105,0)),0)+N(F860)+N(G860))</f>
        <v/>
      </c>
      <c r="I860" s="35" t="n"/>
      <c r="J860" s="30">
        <f>IF(OR(H860="",L860="Cancelled"),"",IF(H860-N(I860)&gt;0.005,H860-N(I860),""))</f>
        <v/>
      </c>
      <c r="K860" s="31" t="n"/>
      <c r="L860" s="36" t="n"/>
      <c r="M860" s="33" t="n"/>
      <c r="N860" s="22">
        <f>IF(OR(H860="",L860="Cancelled"),"",IF(N(E860)=0,1,E860)*IFERROR(INDEX(Products!$E$6:$E$105,MATCH(D860,Products!$B$6:$B$105,0)),0))</f>
        <v/>
      </c>
      <c r="O860" s="35" t="n"/>
      <c r="P860" s="22">
        <f>IF(OR(H860="",L860="Cancelled"),"",ROUND(IFERROR(H860*INDEX(Settings!$C$6:$C$15,MATCH(M860,Settings!$B$6:$B$15,0))+INDEX(Settings!$D$6:$D$15,MATCH(M860,Settings!$B$6:$B$15,0)),0),2))</f>
        <v/>
      </c>
      <c r="Q860" s="28">
        <f>IF(OR(H860="",L860="Cancelled"),"",H860-N(N860)-N(O860)-N(P860))</f>
        <v/>
      </c>
      <c r="R860" s="19">
        <f>IF(OR(B860="",K860=""),"",IF(OR(L860="Sent",L860="Picked up"),"Done",IF(L860="Cancelled","Cancelled",IF(K860&lt;TODAY(),"Late by "&amp;(TODAY()-K860)&amp;IF((TODAY()-K860)=1," day"," days"),IF(K860=TODAY(),"Due today","Due in "&amp;(K860-TODAY())&amp;IF((K860-TODAY())=1," day"," days"))))))</f>
        <v/>
      </c>
      <c r="S860" s="33" t="n"/>
      <c r="T860" s="1">
        <f>IF(AND(B860&lt;&gt;"",K860&lt;&gt;"",L860&lt;&gt;"Sent",L860&lt;&gt;"Picked up",L860&lt;&gt;"Cancelled"),K860+ROW()/10000000,"")</f>
        <v/>
      </c>
      <c r="U860">
        <f>IF(OR(B860="",C860=""),"",B860+ROW()/10000000)</f>
        <v/>
      </c>
      <c r="V860">
        <f>IF(U860="","",IF(COUNTIFS(Orders!$C$6:$C$1005,C860,Orders!$U$6:$U$1005,"&gt;"&amp;U860)=0,1,0))</f>
        <v/>
      </c>
      <c r="W860">
        <f>IF(AND(B860&lt;&gt;"",K860&lt;&gt;"",L860&lt;&gt;"Sent",L860&lt;&gt;"Picked up",L860&lt;&gt;"Cancelled"),IF(N(E860)=0,1,E860),0)</f>
        <v/>
      </c>
      <c r="X860">
        <f>IF(OR(B860="",D860=""),"",IF(N(E860)=0,1,E860))</f>
        <v/>
      </c>
    </row>
    <row r="861">
      <c r="A861" s="1" t="n"/>
      <c r="B861" s="31" t="n"/>
      <c r="C861" s="32" t="n"/>
      <c r="D861" s="33" t="n"/>
      <c r="E861" s="34" t="n"/>
      <c r="F861" s="35" t="n"/>
      <c r="G861" s="35" t="n"/>
      <c r="H861" s="30">
        <f>IF(OR(B861="",D861=""),"",IF(N(E861)=0,1,E861)*IFERROR(INDEX(Products!$C$6:$C$105,MATCH(D861,Products!$B$6:$B$105,0)),0)+N(F861)+N(G861))</f>
        <v/>
      </c>
      <c r="I861" s="35" t="n"/>
      <c r="J861" s="30">
        <f>IF(OR(H861="",L861="Cancelled"),"",IF(H861-N(I861)&gt;0.005,H861-N(I861),""))</f>
        <v/>
      </c>
      <c r="K861" s="31" t="n"/>
      <c r="L861" s="36" t="n"/>
      <c r="M861" s="33" t="n"/>
      <c r="N861" s="22">
        <f>IF(OR(H861="",L861="Cancelled"),"",IF(N(E861)=0,1,E861)*IFERROR(INDEX(Products!$E$6:$E$105,MATCH(D861,Products!$B$6:$B$105,0)),0))</f>
        <v/>
      </c>
      <c r="O861" s="35" t="n"/>
      <c r="P861" s="22">
        <f>IF(OR(H861="",L861="Cancelled"),"",ROUND(IFERROR(H861*INDEX(Settings!$C$6:$C$15,MATCH(M861,Settings!$B$6:$B$15,0))+INDEX(Settings!$D$6:$D$15,MATCH(M861,Settings!$B$6:$B$15,0)),0),2))</f>
        <v/>
      </c>
      <c r="Q861" s="28">
        <f>IF(OR(H861="",L861="Cancelled"),"",H861-N(N861)-N(O861)-N(P861))</f>
        <v/>
      </c>
      <c r="R861" s="19">
        <f>IF(OR(B861="",K861=""),"",IF(OR(L861="Sent",L861="Picked up"),"Done",IF(L861="Cancelled","Cancelled",IF(K861&lt;TODAY(),"Late by "&amp;(TODAY()-K861)&amp;IF((TODAY()-K861)=1," day"," days"),IF(K861=TODAY(),"Due today","Due in "&amp;(K861-TODAY())&amp;IF((K861-TODAY())=1," day"," days"))))))</f>
        <v/>
      </c>
      <c r="S861" s="33" t="n"/>
      <c r="T861" s="1">
        <f>IF(AND(B861&lt;&gt;"",K861&lt;&gt;"",L861&lt;&gt;"Sent",L861&lt;&gt;"Picked up",L861&lt;&gt;"Cancelled"),K861+ROW()/10000000,"")</f>
        <v/>
      </c>
      <c r="U861">
        <f>IF(OR(B861="",C861=""),"",B861+ROW()/10000000)</f>
        <v/>
      </c>
      <c r="V861">
        <f>IF(U861="","",IF(COUNTIFS(Orders!$C$6:$C$1005,C861,Orders!$U$6:$U$1005,"&gt;"&amp;U861)=0,1,0))</f>
        <v/>
      </c>
      <c r="W861">
        <f>IF(AND(B861&lt;&gt;"",K861&lt;&gt;"",L861&lt;&gt;"Sent",L861&lt;&gt;"Picked up",L861&lt;&gt;"Cancelled"),IF(N(E861)=0,1,E861),0)</f>
        <v/>
      </c>
      <c r="X861">
        <f>IF(OR(B861="",D861=""),"",IF(N(E861)=0,1,E861))</f>
        <v/>
      </c>
    </row>
    <row r="862">
      <c r="A862" s="1" t="n"/>
      <c r="B862" s="31" t="n"/>
      <c r="C862" s="32" t="n"/>
      <c r="D862" s="33" t="n"/>
      <c r="E862" s="34" t="n"/>
      <c r="F862" s="35" t="n"/>
      <c r="G862" s="35" t="n"/>
      <c r="H862" s="30">
        <f>IF(OR(B862="",D862=""),"",IF(N(E862)=0,1,E862)*IFERROR(INDEX(Products!$C$6:$C$105,MATCH(D862,Products!$B$6:$B$105,0)),0)+N(F862)+N(G862))</f>
        <v/>
      </c>
      <c r="I862" s="35" t="n"/>
      <c r="J862" s="30">
        <f>IF(OR(H862="",L862="Cancelled"),"",IF(H862-N(I862)&gt;0.005,H862-N(I862),""))</f>
        <v/>
      </c>
      <c r="K862" s="31" t="n"/>
      <c r="L862" s="36" t="n"/>
      <c r="M862" s="33" t="n"/>
      <c r="N862" s="22">
        <f>IF(OR(H862="",L862="Cancelled"),"",IF(N(E862)=0,1,E862)*IFERROR(INDEX(Products!$E$6:$E$105,MATCH(D862,Products!$B$6:$B$105,0)),0))</f>
        <v/>
      </c>
      <c r="O862" s="35" t="n"/>
      <c r="P862" s="22">
        <f>IF(OR(H862="",L862="Cancelled"),"",ROUND(IFERROR(H862*INDEX(Settings!$C$6:$C$15,MATCH(M862,Settings!$B$6:$B$15,0))+INDEX(Settings!$D$6:$D$15,MATCH(M862,Settings!$B$6:$B$15,0)),0),2))</f>
        <v/>
      </c>
      <c r="Q862" s="28">
        <f>IF(OR(H862="",L862="Cancelled"),"",H862-N(N862)-N(O862)-N(P862))</f>
        <v/>
      </c>
      <c r="R862" s="19">
        <f>IF(OR(B862="",K862=""),"",IF(OR(L862="Sent",L862="Picked up"),"Done",IF(L862="Cancelled","Cancelled",IF(K862&lt;TODAY(),"Late by "&amp;(TODAY()-K862)&amp;IF((TODAY()-K862)=1," day"," days"),IF(K862=TODAY(),"Due today","Due in "&amp;(K862-TODAY())&amp;IF((K862-TODAY())=1," day"," days"))))))</f>
        <v/>
      </c>
      <c r="S862" s="33" t="n"/>
      <c r="T862" s="1">
        <f>IF(AND(B862&lt;&gt;"",K862&lt;&gt;"",L862&lt;&gt;"Sent",L862&lt;&gt;"Picked up",L862&lt;&gt;"Cancelled"),K862+ROW()/10000000,"")</f>
        <v/>
      </c>
      <c r="U862">
        <f>IF(OR(B862="",C862=""),"",B862+ROW()/10000000)</f>
        <v/>
      </c>
      <c r="V862">
        <f>IF(U862="","",IF(COUNTIFS(Orders!$C$6:$C$1005,C862,Orders!$U$6:$U$1005,"&gt;"&amp;U862)=0,1,0))</f>
        <v/>
      </c>
      <c r="W862">
        <f>IF(AND(B862&lt;&gt;"",K862&lt;&gt;"",L862&lt;&gt;"Sent",L862&lt;&gt;"Picked up",L862&lt;&gt;"Cancelled"),IF(N(E862)=0,1,E862),0)</f>
        <v/>
      </c>
      <c r="X862">
        <f>IF(OR(B862="",D862=""),"",IF(N(E862)=0,1,E862))</f>
        <v/>
      </c>
    </row>
    <row r="863">
      <c r="A863" s="1" t="n"/>
      <c r="B863" s="31" t="n"/>
      <c r="C863" s="32" t="n"/>
      <c r="D863" s="33" t="n"/>
      <c r="E863" s="34" t="n"/>
      <c r="F863" s="35" t="n"/>
      <c r="G863" s="35" t="n"/>
      <c r="H863" s="30">
        <f>IF(OR(B863="",D863=""),"",IF(N(E863)=0,1,E863)*IFERROR(INDEX(Products!$C$6:$C$105,MATCH(D863,Products!$B$6:$B$105,0)),0)+N(F863)+N(G863))</f>
        <v/>
      </c>
      <c r="I863" s="35" t="n"/>
      <c r="J863" s="30">
        <f>IF(OR(H863="",L863="Cancelled"),"",IF(H863-N(I863)&gt;0.005,H863-N(I863),""))</f>
        <v/>
      </c>
      <c r="K863" s="31" t="n"/>
      <c r="L863" s="36" t="n"/>
      <c r="M863" s="33" t="n"/>
      <c r="N863" s="22">
        <f>IF(OR(H863="",L863="Cancelled"),"",IF(N(E863)=0,1,E863)*IFERROR(INDEX(Products!$E$6:$E$105,MATCH(D863,Products!$B$6:$B$105,0)),0))</f>
        <v/>
      </c>
      <c r="O863" s="35" t="n"/>
      <c r="P863" s="22">
        <f>IF(OR(H863="",L863="Cancelled"),"",ROUND(IFERROR(H863*INDEX(Settings!$C$6:$C$15,MATCH(M863,Settings!$B$6:$B$15,0))+INDEX(Settings!$D$6:$D$15,MATCH(M863,Settings!$B$6:$B$15,0)),0),2))</f>
        <v/>
      </c>
      <c r="Q863" s="28">
        <f>IF(OR(H863="",L863="Cancelled"),"",H863-N(N863)-N(O863)-N(P863))</f>
        <v/>
      </c>
      <c r="R863" s="19">
        <f>IF(OR(B863="",K863=""),"",IF(OR(L863="Sent",L863="Picked up"),"Done",IF(L863="Cancelled","Cancelled",IF(K863&lt;TODAY(),"Late by "&amp;(TODAY()-K863)&amp;IF((TODAY()-K863)=1," day"," days"),IF(K863=TODAY(),"Due today","Due in "&amp;(K863-TODAY())&amp;IF((K863-TODAY())=1," day"," days"))))))</f>
        <v/>
      </c>
      <c r="S863" s="33" t="n"/>
      <c r="T863" s="1">
        <f>IF(AND(B863&lt;&gt;"",K863&lt;&gt;"",L863&lt;&gt;"Sent",L863&lt;&gt;"Picked up",L863&lt;&gt;"Cancelled"),K863+ROW()/10000000,"")</f>
        <v/>
      </c>
      <c r="U863">
        <f>IF(OR(B863="",C863=""),"",B863+ROW()/10000000)</f>
        <v/>
      </c>
      <c r="V863">
        <f>IF(U863="","",IF(COUNTIFS(Orders!$C$6:$C$1005,C863,Orders!$U$6:$U$1005,"&gt;"&amp;U863)=0,1,0))</f>
        <v/>
      </c>
      <c r="W863">
        <f>IF(AND(B863&lt;&gt;"",K863&lt;&gt;"",L863&lt;&gt;"Sent",L863&lt;&gt;"Picked up",L863&lt;&gt;"Cancelled"),IF(N(E863)=0,1,E863),0)</f>
        <v/>
      </c>
      <c r="X863">
        <f>IF(OR(B863="",D863=""),"",IF(N(E863)=0,1,E863))</f>
        <v/>
      </c>
    </row>
    <row r="864">
      <c r="A864" s="1" t="n"/>
      <c r="B864" s="31" t="n"/>
      <c r="C864" s="32" t="n"/>
      <c r="D864" s="33" t="n"/>
      <c r="E864" s="34" t="n"/>
      <c r="F864" s="35" t="n"/>
      <c r="G864" s="35" t="n"/>
      <c r="H864" s="30">
        <f>IF(OR(B864="",D864=""),"",IF(N(E864)=0,1,E864)*IFERROR(INDEX(Products!$C$6:$C$105,MATCH(D864,Products!$B$6:$B$105,0)),0)+N(F864)+N(G864))</f>
        <v/>
      </c>
      <c r="I864" s="35" t="n"/>
      <c r="J864" s="30">
        <f>IF(OR(H864="",L864="Cancelled"),"",IF(H864-N(I864)&gt;0.005,H864-N(I864),""))</f>
        <v/>
      </c>
      <c r="K864" s="31" t="n"/>
      <c r="L864" s="36" t="n"/>
      <c r="M864" s="33" t="n"/>
      <c r="N864" s="22">
        <f>IF(OR(H864="",L864="Cancelled"),"",IF(N(E864)=0,1,E864)*IFERROR(INDEX(Products!$E$6:$E$105,MATCH(D864,Products!$B$6:$B$105,0)),0))</f>
        <v/>
      </c>
      <c r="O864" s="35" t="n"/>
      <c r="P864" s="22">
        <f>IF(OR(H864="",L864="Cancelled"),"",ROUND(IFERROR(H864*INDEX(Settings!$C$6:$C$15,MATCH(M864,Settings!$B$6:$B$15,0))+INDEX(Settings!$D$6:$D$15,MATCH(M864,Settings!$B$6:$B$15,0)),0),2))</f>
        <v/>
      </c>
      <c r="Q864" s="28">
        <f>IF(OR(H864="",L864="Cancelled"),"",H864-N(N864)-N(O864)-N(P864))</f>
        <v/>
      </c>
      <c r="R864" s="19">
        <f>IF(OR(B864="",K864=""),"",IF(OR(L864="Sent",L864="Picked up"),"Done",IF(L864="Cancelled","Cancelled",IF(K864&lt;TODAY(),"Late by "&amp;(TODAY()-K864)&amp;IF((TODAY()-K864)=1," day"," days"),IF(K864=TODAY(),"Due today","Due in "&amp;(K864-TODAY())&amp;IF((K864-TODAY())=1," day"," days"))))))</f>
        <v/>
      </c>
      <c r="S864" s="33" t="n"/>
      <c r="T864" s="1">
        <f>IF(AND(B864&lt;&gt;"",K864&lt;&gt;"",L864&lt;&gt;"Sent",L864&lt;&gt;"Picked up",L864&lt;&gt;"Cancelled"),K864+ROW()/10000000,"")</f>
        <v/>
      </c>
      <c r="U864">
        <f>IF(OR(B864="",C864=""),"",B864+ROW()/10000000)</f>
        <v/>
      </c>
      <c r="V864">
        <f>IF(U864="","",IF(COUNTIFS(Orders!$C$6:$C$1005,C864,Orders!$U$6:$U$1005,"&gt;"&amp;U864)=0,1,0))</f>
        <v/>
      </c>
      <c r="W864">
        <f>IF(AND(B864&lt;&gt;"",K864&lt;&gt;"",L864&lt;&gt;"Sent",L864&lt;&gt;"Picked up",L864&lt;&gt;"Cancelled"),IF(N(E864)=0,1,E864),0)</f>
        <v/>
      </c>
      <c r="X864">
        <f>IF(OR(B864="",D864=""),"",IF(N(E864)=0,1,E864))</f>
        <v/>
      </c>
    </row>
    <row r="865">
      <c r="A865" s="1" t="n"/>
      <c r="B865" s="31" t="n"/>
      <c r="C865" s="32" t="n"/>
      <c r="D865" s="33" t="n"/>
      <c r="E865" s="34" t="n"/>
      <c r="F865" s="35" t="n"/>
      <c r="G865" s="35" t="n"/>
      <c r="H865" s="30">
        <f>IF(OR(B865="",D865=""),"",IF(N(E865)=0,1,E865)*IFERROR(INDEX(Products!$C$6:$C$105,MATCH(D865,Products!$B$6:$B$105,0)),0)+N(F865)+N(G865))</f>
        <v/>
      </c>
      <c r="I865" s="35" t="n"/>
      <c r="J865" s="30">
        <f>IF(OR(H865="",L865="Cancelled"),"",IF(H865-N(I865)&gt;0.005,H865-N(I865),""))</f>
        <v/>
      </c>
      <c r="K865" s="31" t="n"/>
      <c r="L865" s="36" t="n"/>
      <c r="M865" s="33" t="n"/>
      <c r="N865" s="22">
        <f>IF(OR(H865="",L865="Cancelled"),"",IF(N(E865)=0,1,E865)*IFERROR(INDEX(Products!$E$6:$E$105,MATCH(D865,Products!$B$6:$B$105,0)),0))</f>
        <v/>
      </c>
      <c r="O865" s="35" t="n"/>
      <c r="P865" s="22">
        <f>IF(OR(H865="",L865="Cancelled"),"",ROUND(IFERROR(H865*INDEX(Settings!$C$6:$C$15,MATCH(M865,Settings!$B$6:$B$15,0))+INDEX(Settings!$D$6:$D$15,MATCH(M865,Settings!$B$6:$B$15,0)),0),2))</f>
        <v/>
      </c>
      <c r="Q865" s="28">
        <f>IF(OR(H865="",L865="Cancelled"),"",H865-N(N865)-N(O865)-N(P865))</f>
        <v/>
      </c>
      <c r="R865" s="19">
        <f>IF(OR(B865="",K865=""),"",IF(OR(L865="Sent",L865="Picked up"),"Done",IF(L865="Cancelled","Cancelled",IF(K865&lt;TODAY(),"Late by "&amp;(TODAY()-K865)&amp;IF((TODAY()-K865)=1," day"," days"),IF(K865=TODAY(),"Due today","Due in "&amp;(K865-TODAY())&amp;IF((K865-TODAY())=1," day"," days"))))))</f>
        <v/>
      </c>
      <c r="S865" s="33" t="n"/>
      <c r="T865" s="1">
        <f>IF(AND(B865&lt;&gt;"",K865&lt;&gt;"",L865&lt;&gt;"Sent",L865&lt;&gt;"Picked up",L865&lt;&gt;"Cancelled"),K865+ROW()/10000000,"")</f>
        <v/>
      </c>
      <c r="U865">
        <f>IF(OR(B865="",C865=""),"",B865+ROW()/10000000)</f>
        <v/>
      </c>
      <c r="V865">
        <f>IF(U865="","",IF(COUNTIFS(Orders!$C$6:$C$1005,C865,Orders!$U$6:$U$1005,"&gt;"&amp;U865)=0,1,0))</f>
        <v/>
      </c>
      <c r="W865">
        <f>IF(AND(B865&lt;&gt;"",K865&lt;&gt;"",L865&lt;&gt;"Sent",L865&lt;&gt;"Picked up",L865&lt;&gt;"Cancelled"),IF(N(E865)=0,1,E865),0)</f>
        <v/>
      </c>
      <c r="X865">
        <f>IF(OR(B865="",D865=""),"",IF(N(E865)=0,1,E865))</f>
        <v/>
      </c>
    </row>
    <row r="866">
      <c r="A866" s="1" t="n"/>
      <c r="B866" s="31" t="n"/>
      <c r="C866" s="32" t="n"/>
      <c r="D866" s="33" t="n"/>
      <c r="E866" s="34" t="n"/>
      <c r="F866" s="35" t="n"/>
      <c r="G866" s="35" t="n"/>
      <c r="H866" s="30">
        <f>IF(OR(B866="",D866=""),"",IF(N(E866)=0,1,E866)*IFERROR(INDEX(Products!$C$6:$C$105,MATCH(D866,Products!$B$6:$B$105,0)),0)+N(F866)+N(G866))</f>
        <v/>
      </c>
      <c r="I866" s="35" t="n"/>
      <c r="J866" s="30">
        <f>IF(OR(H866="",L866="Cancelled"),"",IF(H866-N(I866)&gt;0.005,H866-N(I866),""))</f>
        <v/>
      </c>
      <c r="K866" s="31" t="n"/>
      <c r="L866" s="36" t="n"/>
      <c r="M866" s="33" t="n"/>
      <c r="N866" s="22">
        <f>IF(OR(H866="",L866="Cancelled"),"",IF(N(E866)=0,1,E866)*IFERROR(INDEX(Products!$E$6:$E$105,MATCH(D866,Products!$B$6:$B$105,0)),0))</f>
        <v/>
      </c>
      <c r="O866" s="35" t="n"/>
      <c r="P866" s="22">
        <f>IF(OR(H866="",L866="Cancelled"),"",ROUND(IFERROR(H866*INDEX(Settings!$C$6:$C$15,MATCH(M866,Settings!$B$6:$B$15,0))+INDEX(Settings!$D$6:$D$15,MATCH(M866,Settings!$B$6:$B$15,0)),0),2))</f>
        <v/>
      </c>
      <c r="Q866" s="28">
        <f>IF(OR(H866="",L866="Cancelled"),"",H866-N(N866)-N(O866)-N(P866))</f>
        <v/>
      </c>
      <c r="R866" s="19">
        <f>IF(OR(B866="",K866=""),"",IF(OR(L866="Sent",L866="Picked up"),"Done",IF(L866="Cancelled","Cancelled",IF(K866&lt;TODAY(),"Late by "&amp;(TODAY()-K866)&amp;IF((TODAY()-K866)=1," day"," days"),IF(K866=TODAY(),"Due today","Due in "&amp;(K866-TODAY())&amp;IF((K866-TODAY())=1," day"," days"))))))</f>
        <v/>
      </c>
      <c r="S866" s="33" t="n"/>
      <c r="T866" s="1">
        <f>IF(AND(B866&lt;&gt;"",K866&lt;&gt;"",L866&lt;&gt;"Sent",L866&lt;&gt;"Picked up",L866&lt;&gt;"Cancelled"),K866+ROW()/10000000,"")</f>
        <v/>
      </c>
      <c r="U866">
        <f>IF(OR(B866="",C866=""),"",B866+ROW()/10000000)</f>
        <v/>
      </c>
      <c r="V866">
        <f>IF(U866="","",IF(COUNTIFS(Orders!$C$6:$C$1005,C866,Orders!$U$6:$U$1005,"&gt;"&amp;U866)=0,1,0))</f>
        <v/>
      </c>
      <c r="W866">
        <f>IF(AND(B866&lt;&gt;"",K866&lt;&gt;"",L866&lt;&gt;"Sent",L866&lt;&gt;"Picked up",L866&lt;&gt;"Cancelled"),IF(N(E866)=0,1,E866),0)</f>
        <v/>
      </c>
      <c r="X866">
        <f>IF(OR(B866="",D866=""),"",IF(N(E866)=0,1,E866))</f>
        <v/>
      </c>
    </row>
    <row r="867">
      <c r="A867" s="1" t="n"/>
      <c r="B867" s="31" t="n"/>
      <c r="C867" s="32" t="n"/>
      <c r="D867" s="33" t="n"/>
      <c r="E867" s="34" t="n"/>
      <c r="F867" s="35" t="n"/>
      <c r="G867" s="35" t="n"/>
      <c r="H867" s="30">
        <f>IF(OR(B867="",D867=""),"",IF(N(E867)=0,1,E867)*IFERROR(INDEX(Products!$C$6:$C$105,MATCH(D867,Products!$B$6:$B$105,0)),0)+N(F867)+N(G867))</f>
        <v/>
      </c>
      <c r="I867" s="35" t="n"/>
      <c r="J867" s="30">
        <f>IF(OR(H867="",L867="Cancelled"),"",IF(H867-N(I867)&gt;0.005,H867-N(I867),""))</f>
        <v/>
      </c>
      <c r="K867" s="31" t="n"/>
      <c r="L867" s="36" t="n"/>
      <c r="M867" s="33" t="n"/>
      <c r="N867" s="22">
        <f>IF(OR(H867="",L867="Cancelled"),"",IF(N(E867)=0,1,E867)*IFERROR(INDEX(Products!$E$6:$E$105,MATCH(D867,Products!$B$6:$B$105,0)),0))</f>
        <v/>
      </c>
      <c r="O867" s="35" t="n"/>
      <c r="P867" s="22">
        <f>IF(OR(H867="",L867="Cancelled"),"",ROUND(IFERROR(H867*INDEX(Settings!$C$6:$C$15,MATCH(M867,Settings!$B$6:$B$15,0))+INDEX(Settings!$D$6:$D$15,MATCH(M867,Settings!$B$6:$B$15,0)),0),2))</f>
        <v/>
      </c>
      <c r="Q867" s="28">
        <f>IF(OR(H867="",L867="Cancelled"),"",H867-N(N867)-N(O867)-N(P867))</f>
        <v/>
      </c>
      <c r="R867" s="19">
        <f>IF(OR(B867="",K867=""),"",IF(OR(L867="Sent",L867="Picked up"),"Done",IF(L867="Cancelled","Cancelled",IF(K867&lt;TODAY(),"Late by "&amp;(TODAY()-K867)&amp;IF((TODAY()-K867)=1," day"," days"),IF(K867=TODAY(),"Due today","Due in "&amp;(K867-TODAY())&amp;IF((K867-TODAY())=1," day"," days"))))))</f>
        <v/>
      </c>
      <c r="S867" s="33" t="n"/>
      <c r="T867" s="1">
        <f>IF(AND(B867&lt;&gt;"",K867&lt;&gt;"",L867&lt;&gt;"Sent",L867&lt;&gt;"Picked up",L867&lt;&gt;"Cancelled"),K867+ROW()/10000000,"")</f>
        <v/>
      </c>
      <c r="U867">
        <f>IF(OR(B867="",C867=""),"",B867+ROW()/10000000)</f>
        <v/>
      </c>
      <c r="V867">
        <f>IF(U867="","",IF(COUNTIFS(Orders!$C$6:$C$1005,C867,Orders!$U$6:$U$1005,"&gt;"&amp;U867)=0,1,0))</f>
        <v/>
      </c>
      <c r="W867">
        <f>IF(AND(B867&lt;&gt;"",K867&lt;&gt;"",L867&lt;&gt;"Sent",L867&lt;&gt;"Picked up",L867&lt;&gt;"Cancelled"),IF(N(E867)=0,1,E867),0)</f>
        <v/>
      </c>
      <c r="X867">
        <f>IF(OR(B867="",D867=""),"",IF(N(E867)=0,1,E867))</f>
        <v/>
      </c>
    </row>
    <row r="868">
      <c r="A868" s="1" t="n"/>
      <c r="B868" s="31" t="n"/>
      <c r="C868" s="32" t="n"/>
      <c r="D868" s="33" t="n"/>
      <c r="E868" s="34" t="n"/>
      <c r="F868" s="35" t="n"/>
      <c r="G868" s="35" t="n"/>
      <c r="H868" s="30">
        <f>IF(OR(B868="",D868=""),"",IF(N(E868)=0,1,E868)*IFERROR(INDEX(Products!$C$6:$C$105,MATCH(D868,Products!$B$6:$B$105,0)),0)+N(F868)+N(G868))</f>
        <v/>
      </c>
      <c r="I868" s="35" t="n"/>
      <c r="J868" s="30">
        <f>IF(OR(H868="",L868="Cancelled"),"",IF(H868-N(I868)&gt;0.005,H868-N(I868),""))</f>
        <v/>
      </c>
      <c r="K868" s="31" t="n"/>
      <c r="L868" s="36" t="n"/>
      <c r="M868" s="33" t="n"/>
      <c r="N868" s="22">
        <f>IF(OR(H868="",L868="Cancelled"),"",IF(N(E868)=0,1,E868)*IFERROR(INDEX(Products!$E$6:$E$105,MATCH(D868,Products!$B$6:$B$105,0)),0))</f>
        <v/>
      </c>
      <c r="O868" s="35" t="n"/>
      <c r="P868" s="22">
        <f>IF(OR(H868="",L868="Cancelled"),"",ROUND(IFERROR(H868*INDEX(Settings!$C$6:$C$15,MATCH(M868,Settings!$B$6:$B$15,0))+INDEX(Settings!$D$6:$D$15,MATCH(M868,Settings!$B$6:$B$15,0)),0),2))</f>
        <v/>
      </c>
      <c r="Q868" s="28">
        <f>IF(OR(H868="",L868="Cancelled"),"",H868-N(N868)-N(O868)-N(P868))</f>
        <v/>
      </c>
      <c r="R868" s="19">
        <f>IF(OR(B868="",K868=""),"",IF(OR(L868="Sent",L868="Picked up"),"Done",IF(L868="Cancelled","Cancelled",IF(K868&lt;TODAY(),"Late by "&amp;(TODAY()-K868)&amp;IF((TODAY()-K868)=1," day"," days"),IF(K868=TODAY(),"Due today","Due in "&amp;(K868-TODAY())&amp;IF((K868-TODAY())=1," day"," days"))))))</f>
        <v/>
      </c>
      <c r="S868" s="33" t="n"/>
      <c r="T868" s="1">
        <f>IF(AND(B868&lt;&gt;"",K868&lt;&gt;"",L868&lt;&gt;"Sent",L868&lt;&gt;"Picked up",L868&lt;&gt;"Cancelled"),K868+ROW()/10000000,"")</f>
        <v/>
      </c>
      <c r="U868">
        <f>IF(OR(B868="",C868=""),"",B868+ROW()/10000000)</f>
        <v/>
      </c>
      <c r="V868">
        <f>IF(U868="","",IF(COUNTIFS(Orders!$C$6:$C$1005,C868,Orders!$U$6:$U$1005,"&gt;"&amp;U868)=0,1,0))</f>
        <v/>
      </c>
      <c r="W868">
        <f>IF(AND(B868&lt;&gt;"",K868&lt;&gt;"",L868&lt;&gt;"Sent",L868&lt;&gt;"Picked up",L868&lt;&gt;"Cancelled"),IF(N(E868)=0,1,E868),0)</f>
        <v/>
      </c>
      <c r="X868">
        <f>IF(OR(B868="",D868=""),"",IF(N(E868)=0,1,E868))</f>
        <v/>
      </c>
    </row>
    <row r="869">
      <c r="A869" s="1" t="n"/>
      <c r="B869" s="31" t="n"/>
      <c r="C869" s="32" t="n"/>
      <c r="D869" s="33" t="n"/>
      <c r="E869" s="34" t="n"/>
      <c r="F869" s="35" t="n"/>
      <c r="G869" s="35" t="n"/>
      <c r="H869" s="30">
        <f>IF(OR(B869="",D869=""),"",IF(N(E869)=0,1,E869)*IFERROR(INDEX(Products!$C$6:$C$105,MATCH(D869,Products!$B$6:$B$105,0)),0)+N(F869)+N(G869))</f>
        <v/>
      </c>
      <c r="I869" s="35" t="n"/>
      <c r="J869" s="30">
        <f>IF(OR(H869="",L869="Cancelled"),"",IF(H869-N(I869)&gt;0.005,H869-N(I869),""))</f>
        <v/>
      </c>
      <c r="K869" s="31" t="n"/>
      <c r="L869" s="36" t="n"/>
      <c r="M869" s="33" t="n"/>
      <c r="N869" s="22">
        <f>IF(OR(H869="",L869="Cancelled"),"",IF(N(E869)=0,1,E869)*IFERROR(INDEX(Products!$E$6:$E$105,MATCH(D869,Products!$B$6:$B$105,0)),0))</f>
        <v/>
      </c>
      <c r="O869" s="35" t="n"/>
      <c r="P869" s="22">
        <f>IF(OR(H869="",L869="Cancelled"),"",ROUND(IFERROR(H869*INDEX(Settings!$C$6:$C$15,MATCH(M869,Settings!$B$6:$B$15,0))+INDEX(Settings!$D$6:$D$15,MATCH(M869,Settings!$B$6:$B$15,0)),0),2))</f>
        <v/>
      </c>
      <c r="Q869" s="28">
        <f>IF(OR(H869="",L869="Cancelled"),"",H869-N(N869)-N(O869)-N(P869))</f>
        <v/>
      </c>
      <c r="R869" s="19">
        <f>IF(OR(B869="",K869=""),"",IF(OR(L869="Sent",L869="Picked up"),"Done",IF(L869="Cancelled","Cancelled",IF(K869&lt;TODAY(),"Late by "&amp;(TODAY()-K869)&amp;IF((TODAY()-K869)=1," day"," days"),IF(K869=TODAY(),"Due today","Due in "&amp;(K869-TODAY())&amp;IF((K869-TODAY())=1," day"," days"))))))</f>
        <v/>
      </c>
      <c r="S869" s="33" t="n"/>
      <c r="T869" s="1">
        <f>IF(AND(B869&lt;&gt;"",K869&lt;&gt;"",L869&lt;&gt;"Sent",L869&lt;&gt;"Picked up",L869&lt;&gt;"Cancelled"),K869+ROW()/10000000,"")</f>
        <v/>
      </c>
      <c r="U869">
        <f>IF(OR(B869="",C869=""),"",B869+ROW()/10000000)</f>
        <v/>
      </c>
      <c r="V869">
        <f>IF(U869="","",IF(COUNTIFS(Orders!$C$6:$C$1005,C869,Orders!$U$6:$U$1005,"&gt;"&amp;U869)=0,1,0))</f>
        <v/>
      </c>
      <c r="W869">
        <f>IF(AND(B869&lt;&gt;"",K869&lt;&gt;"",L869&lt;&gt;"Sent",L869&lt;&gt;"Picked up",L869&lt;&gt;"Cancelled"),IF(N(E869)=0,1,E869),0)</f>
        <v/>
      </c>
      <c r="X869">
        <f>IF(OR(B869="",D869=""),"",IF(N(E869)=0,1,E869))</f>
        <v/>
      </c>
    </row>
    <row r="870">
      <c r="A870" s="1" t="n"/>
      <c r="B870" s="31" t="n"/>
      <c r="C870" s="32" t="n"/>
      <c r="D870" s="33" t="n"/>
      <c r="E870" s="34" t="n"/>
      <c r="F870" s="35" t="n"/>
      <c r="G870" s="35" t="n"/>
      <c r="H870" s="30">
        <f>IF(OR(B870="",D870=""),"",IF(N(E870)=0,1,E870)*IFERROR(INDEX(Products!$C$6:$C$105,MATCH(D870,Products!$B$6:$B$105,0)),0)+N(F870)+N(G870))</f>
        <v/>
      </c>
      <c r="I870" s="35" t="n"/>
      <c r="J870" s="30">
        <f>IF(OR(H870="",L870="Cancelled"),"",IF(H870-N(I870)&gt;0.005,H870-N(I870),""))</f>
        <v/>
      </c>
      <c r="K870" s="31" t="n"/>
      <c r="L870" s="36" t="n"/>
      <c r="M870" s="33" t="n"/>
      <c r="N870" s="22">
        <f>IF(OR(H870="",L870="Cancelled"),"",IF(N(E870)=0,1,E870)*IFERROR(INDEX(Products!$E$6:$E$105,MATCH(D870,Products!$B$6:$B$105,0)),0))</f>
        <v/>
      </c>
      <c r="O870" s="35" t="n"/>
      <c r="P870" s="22">
        <f>IF(OR(H870="",L870="Cancelled"),"",ROUND(IFERROR(H870*INDEX(Settings!$C$6:$C$15,MATCH(M870,Settings!$B$6:$B$15,0))+INDEX(Settings!$D$6:$D$15,MATCH(M870,Settings!$B$6:$B$15,0)),0),2))</f>
        <v/>
      </c>
      <c r="Q870" s="28">
        <f>IF(OR(H870="",L870="Cancelled"),"",H870-N(N870)-N(O870)-N(P870))</f>
        <v/>
      </c>
      <c r="R870" s="19">
        <f>IF(OR(B870="",K870=""),"",IF(OR(L870="Sent",L870="Picked up"),"Done",IF(L870="Cancelled","Cancelled",IF(K870&lt;TODAY(),"Late by "&amp;(TODAY()-K870)&amp;IF((TODAY()-K870)=1," day"," days"),IF(K870=TODAY(),"Due today","Due in "&amp;(K870-TODAY())&amp;IF((K870-TODAY())=1," day"," days"))))))</f>
        <v/>
      </c>
      <c r="S870" s="33" t="n"/>
      <c r="T870" s="1">
        <f>IF(AND(B870&lt;&gt;"",K870&lt;&gt;"",L870&lt;&gt;"Sent",L870&lt;&gt;"Picked up",L870&lt;&gt;"Cancelled"),K870+ROW()/10000000,"")</f>
        <v/>
      </c>
      <c r="U870">
        <f>IF(OR(B870="",C870=""),"",B870+ROW()/10000000)</f>
        <v/>
      </c>
      <c r="V870">
        <f>IF(U870="","",IF(COUNTIFS(Orders!$C$6:$C$1005,C870,Orders!$U$6:$U$1005,"&gt;"&amp;U870)=0,1,0))</f>
        <v/>
      </c>
      <c r="W870">
        <f>IF(AND(B870&lt;&gt;"",K870&lt;&gt;"",L870&lt;&gt;"Sent",L870&lt;&gt;"Picked up",L870&lt;&gt;"Cancelled"),IF(N(E870)=0,1,E870),0)</f>
        <v/>
      </c>
      <c r="X870">
        <f>IF(OR(B870="",D870=""),"",IF(N(E870)=0,1,E870))</f>
        <v/>
      </c>
    </row>
    <row r="871">
      <c r="A871" s="1" t="n"/>
      <c r="B871" s="31" t="n"/>
      <c r="C871" s="32" t="n"/>
      <c r="D871" s="33" t="n"/>
      <c r="E871" s="34" t="n"/>
      <c r="F871" s="35" t="n"/>
      <c r="G871" s="35" t="n"/>
      <c r="H871" s="30">
        <f>IF(OR(B871="",D871=""),"",IF(N(E871)=0,1,E871)*IFERROR(INDEX(Products!$C$6:$C$105,MATCH(D871,Products!$B$6:$B$105,0)),0)+N(F871)+N(G871))</f>
        <v/>
      </c>
      <c r="I871" s="35" t="n"/>
      <c r="J871" s="30">
        <f>IF(OR(H871="",L871="Cancelled"),"",IF(H871-N(I871)&gt;0.005,H871-N(I871),""))</f>
        <v/>
      </c>
      <c r="K871" s="31" t="n"/>
      <c r="L871" s="36" t="n"/>
      <c r="M871" s="33" t="n"/>
      <c r="N871" s="22">
        <f>IF(OR(H871="",L871="Cancelled"),"",IF(N(E871)=0,1,E871)*IFERROR(INDEX(Products!$E$6:$E$105,MATCH(D871,Products!$B$6:$B$105,0)),0))</f>
        <v/>
      </c>
      <c r="O871" s="35" t="n"/>
      <c r="P871" s="22">
        <f>IF(OR(H871="",L871="Cancelled"),"",ROUND(IFERROR(H871*INDEX(Settings!$C$6:$C$15,MATCH(M871,Settings!$B$6:$B$15,0))+INDEX(Settings!$D$6:$D$15,MATCH(M871,Settings!$B$6:$B$15,0)),0),2))</f>
        <v/>
      </c>
      <c r="Q871" s="28">
        <f>IF(OR(H871="",L871="Cancelled"),"",H871-N(N871)-N(O871)-N(P871))</f>
        <v/>
      </c>
      <c r="R871" s="19">
        <f>IF(OR(B871="",K871=""),"",IF(OR(L871="Sent",L871="Picked up"),"Done",IF(L871="Cancelled","Cancelled",IF(K871&lt;TODAY(),"Late by "&amp;(TODAY()-K871)&amp;IF((TODAY()-K871)=1," day"," days"),IF(K871=TODAY(),"Due today","Due in "&amp;(K871-TODAY())&amp;IF((K871-TODAY())=1," day"," days"))))))</f>
        <v/>
      </c>
      <c r="S871" s="33" t="n"/>
      <c r="T871" s="1">
        <f>IF(AND(B871&lt;&gt;"",K871&lt;&gt;"",L871&lt;&gt;"Sent",L871&lt;&gt;"Picked up",L871&lt;&gt;"Cancelled"),K871+ROW()/10000000,"")</f>
        <v/>
      </c>
      <c r="U871">
        <f>IF(OR(B871="",C871=""),"",B871+ROW()/10000000)</f>
        <v/>
      </c>
      <c r="V871">
        <f>IF(U871="","",IF(COUNTIFS(Orders!$C$6:$C$1005,C871,Orders!$U$6:$U$1005,"&gt;"&amp;U871)=0,1,0))</f>
        <v/>
      </c>
      <c r="W871">
        <f>IF(AND(B871&lt;&gt;"",K871&lt;&gt;"",L871&lt;&gt;"Sent",L871&lt;&gt;"Picked up",L871&lt;&gt;"Cancelled"),IF(N(E871)=0,1,E871),0)</f>
        <v/>
      </c>
      <c r="X871">
        <f>IF(OR(B871="",D871=""),"",IF(N(E871)=0,1,E871))</f>
        <v/>
      </c>
    </row>
    <row r="872">
      <c r="A872" s="1" t="n"/>
      <c r="B872" s="31" t="n"/>
      <c r="C872" s="32" t="n"/>
      <c r="D872" s="33" t="n"/>
      <c r="E872" s="34" t="n"/>
      <c r="F872" s="35" t="n"/>
      <c r="G872" s="35" t="n"/>
      <c r="H872" s="30">
        <f>IF(OR(B872="",D872=""),"",IF(N(E872)=0,1,E872)*IFERROR(INDEX(Products!$C$6:$C$105,MATCH(D872,Products!$B$6:$B$105,0)),0)+N(F872)+N(G872))</f>
        <v/>
      </c>
      <c r="I872" s="35" t="n"/>
      <c r="J872" s="30">
        <f>IF(OR(H872="",L872="Cancelled"),"",IF(H872-N(I872)&gt;0.005,H872-N(I872),""))</f>
        <v/>
      </c>
      <c r="K872" s="31" t="n"/>
      <c r="L872" s="36" t="n"/>
      <c r="M872" s="33" t="n"/>
      <c r="N872" s="22">
        <f>IF(OR(H872="",L872="Cancelled"),"",IF(N(E872)=0,1,E872)*IFERROR(INDEX(Products!$E$6:$E$105,MATCH(D872,Products!$B$6:$B$105,0)),0))</f>
        <v/>
      </c>
      <c r="O872" s="35" t="n"/>
      <c r="P872" s="22">
        <f>IF(OR(H872="",L872="Cancelled"),"",ROUND(IFERROR(H872*INDEX(Settings!$C$6:$C$15,MATCH(M872,Settings!$B$6:$B$15,0))+INDEX(Settings!$D$6:$D$15,MATCH(M872,Settings!$B$6:$B$15,0)),0),2))</f>
        <v/>
      </c>
      <c r="Q872" s="28">
        <f>IF(OR(H872="",L872="Cancelled"),"",H872-N(N872)-N(O872)-N(P872))</f>
        <v/>
      </c>
      <c r="R872" s="19">
        <f>IF(OR(B872="",K872=""),"",IF(OR(L872="Sent",L872="Picked up"),"Done",IF(L872="Cancelled","Cancelled",IF(K872&lt;TODAY(),"Late by "&amp;(TODAY()-K872)&amp;IF((TODAY()-K872)=1," day"," days"),IF(K872=TODAY(),"Due today","Due in "&amp;(K872-TODAY())&amp;IF((K872-TODAY())=1," day"," days"))))))</f>
        <v/>
      </c>
      <c r="S872" s="33" t="n"/>
      <c r="T872" s="1">
        <f>IF(AND(B872&lt;&gt;"",K872&lt;&gt;"",L872&lt;&gt;"Sent",L872&lt;&gt;"Picked up",L872&lt;&gt;"Cancelled"),K872+ROW()/10000000,"")</f>
        <v/>
      </c>
      <c r="U872">
        <f>IF(OR(B872="",C872=""),"",B872+ROW()/10000000)</f>
        <v/>
      </c>
      <c r="V872">
        <f>IF(U872="","",IF(COUNTIFS(Orders!$C$6:$C$1005,C872,Orders!$U$6:$U$1005,"&gt;"&amp;U872)=0,1,0))</f>
        <v/>
      </c>
      <c r="W872">
        <f>IF(AND(B872&lt;&gt;"",K872&lt;&gt;"",L872&lt;&gt;"Sent",L872&lt;&gt;"Picked up",L872&lt;&gt;"Cancelled"),IF(N(E872)=0,1,E872),0)</f>
        <v/>
      </c>
      <c r="X872">
        <f>IF(OR(B872="",D872=""),"",IF(N(E872)=0,1,E872))</f>
        <v/>
      </c>
    </row>
    <row r="873">
      <c r="A873" s="1" t="n"/>
      <c r="B873" s="31" t="n"/>
      <c r="C873" s="32" t="n"/>
      <c r="D873" s="33" t="n"/>
      <c r="E873" s="34" t="n"/>
      <c r="F873" s="35" t="n"/>
      <c r="G873" s="35" t="n"/>
      <c r="H873" s="30">
        <f>IF(OR(B873="",D873=""),"",IF(N(E873)=0,1,E873)*IFERROR(INDEX(Products!$C$6:$C$105,MATCH(D873,Products!$B$6:$B$105,0)),0)+N(F873)+N(G873))</f>
        <v/>
      </c>
      <c r="I873" s="35" t="n"/>
      <c r="J873" s="30">
        <f>IF(OR(H873="",L873="Cancelled"),"",IF(H873-N(I873)&gt;0.005,H873-N(I873),""))</f>
        <v/>
      </c>
      <c r="K873" s="31" t="n"/>
      <c r="L873" s="36" t="n"/>
      <c r="M873" s="33" t="n"/>
      <c r="N873" s="22">
        <f>IF(OR(H873="",L873="Cancelled"),"",IF(N(E873)=0,1,E873)*IFERROR(INDEX(Products!$E$6:$E$105,MATCH(D873,Products!$B$6:$B$105,0)),0))</f>
        <v/>
      </c>
      <c r="O873" s="35" t="n"/>
      <c r="P873" s="22">
        <f>IF(OR(H873="",L873="Cancelled"),"",ROUND(IFERROR(H873*INDEX(Settings!$C$6:$C$15,MATCH(M873,Settings!$B$6:$B$15,0))+INDEX(Settings!$D$6:$D$15,MATCH(M873,Settings!$B$6:$B$15,0)),0),2))</f>
        <v/>
      </c>
      <c r="Q873" s="28">
        <f>IF(OR(H873="",L873="Cancelled"),"",H873-N(N873)-N(O873)-N(P873))</f>
        <v/>
      </c>
      <c r="R873" s="19">
        <f>IF(OR(B873="",K873=""),"",IF(OR(L873="Sent",L873="Picked up"),"Done",IF(L873="Cancelled","Cancelled",IF(K873&lt;TODAY(),"Late by "&amp;(TODAY()-K873)&amp;IF((TODAY()-K873)=1," day"," days"),IF(K873=TODAY(),"Due today","Due in "&amp;(K873-TODAY())&amp;IF((K873-TODAY())=1," day"," days"))))))</f>
        <v/>
      </c>
      <c r="S873" s="33" t="n"/>
      <c r="T873" s="1">
        <f>IF(AND(B873&lt;&gt;"",K873&lt;&gt;"",L873&lt;&gt;"Sent",L873&lt;&gt;"Picked up",L873&lt;&gt;"Cancelled"),K873+ROW()/10000000,"")</f>
        <v/>
      </c>
      <c r="U873">
        <f>IF(OR(B873="",C873=""),"",B873+ROW()/10000000)</f>
        <v/>
      </c>
      <c r="V873">
        <f>IF(U873="","",IF(COUNTIFS(Orders!$C$6:$C$1005,C873,Orders!$U$6:$U$1005,"&gt;"&amp;U873)=0,1,0))</f>
        <v/>
      </c>
      <c r="W873">
        <f>IF(AND(B873&lt;&gt;"",K873&lt;&gt;"",L873&lt;&gt;"Sent",L873&lt;&gt;"Picked up",L873&lt;&gt;"Cancelled"),IF(N(E873)=0,1,E873),0)</f>
        <v/>
      </c>
      <c r="X873">
        <f>IF(OR(B873="",D873=""),"",IF(N(E873)=0,1,E873))</f>
        <v/>
      </c>
    </row>
    <row r="874">
      <c r="A874" s="1" t="n"/>
      <c r="B874" s="31" t="n"/>
      <c r="C874" s="32" t="n"/>
      <c r="D874" s="33" t="n"/>
      <c r="E874" s="34" t="n"/>
      <c r="F874" s="35" t="n"/>
      <c r="G874" s="35" t="n"/>
      <c r="H874" s="30">
        <f>IF(OR(B874="",D874=""),"",IF(N(E874)=0,1,E874)*IFERROR(INDEX(Products!$C$6:$C$105,MATCH(D874,Products!$B$6:$B$105,0)),0)+N(F874)+N(G874))</f>
        <v/>
      </c>
      <c r="I874" s="35" t="n"/>
      <c r="J874" s="30">
        <f>IF(OR(H874="",L874="Cancelled"),"",IF(H874-N(I874)&gt;0.005,H874-N(I874),""))</f>
        <v/>
      </c>
      <c r="K874" s="31" t="n"/>
      <c r="L874" s="36" t="n"/>
      <c r="M874" s="33" t="n"/>
      <c r="N874" s="22">
        <f>IF(OR(H874="",L874="Cancelled"),"",IF(N(E874)=0,1,E874)*IFERROR(INDEX(Products!$E$6:$E$105,MATCH(D874,Products!$B$6:$B$105,0)),0))</f>
        <v/>
      </c>
      <c r="O874" s="35" t="n"/>
      <c r="P874" s="22">
        <f>IF(OR(H874="",L874="Cancelled"),"",ROUND(IFERROR(H874*INDEX(Settings!$C$6:$C$15,MATCH(M874,Settings!$B$6:$B$15,0))+INDEX(Settings!$D$6:$D$15,MATCH(M874,Settings!$B$6:$B$15,0)),0),2))</f>
        <v/>
      </c>
      <c r="Q874" s="28">
        <f>IF(OR(H874="",L874="Cancelled"),"",H874-N(N874)-N(O874)-N(P874))</f>
        <v/>
      </c>
      <c r="R874" s="19">
        <f>IF(OR(B874="",K874=""),"",IF(OR(L874="Sent",L874="Picked up"),"Done",IF(L874="Cancelled","Cancelled",IF(K874&lt;TODAY(),"Late by "&amp;(TODAY()-K874)&amp;IF((TODAY()-K874)=1," day"," days"),IF(K874=TODAY(),"Due today","Due in "&amp;(K874-TODAY())&amp;IF((K874-TODAY())=1," day"," days"))))))</f>
        <v/>
      </c>
      <c r="S874" s="33" t="n"/>
      <c r="T874" s="1">
        <f>IF(AND(B874&lt;&gt;"",K874&lt;&gt;"",L874&lt;&gt;"Sent",L874&lt;&gt;"Picked up",L874&lt;&gt;"Cancelled"),K874+ROW()/10000000,"")</f>
        <v/>
      </c>
      <c r="U874">
        <f>IF(OR(B874="",C874=""),"",B874+ROW()/10000000)</f>
        <v/>
      </c>
      <c r="V874">
        <f>IF(U874="","",IF(COUNTIFS(Orders!$C$6:$C$1005,C874,Orders!$U$6:$U$1005,"&gt;"&amp;U874)=0,1,0))</f>
        <v/>
      </c>
      <c r="W874">
        <f>IF(AND(B874&lt;&gt;"",K874&lt;&gt;"",L874&lt;&gt;"Sent",L874&lt;&gt;"Picked up",L874&lt;&gt;"Cancelled"),IF(N(E874)=0,1,E874),0)</f>
        <v/>
      </c>
      <c r="X874">
        <f>IF(OR(B874="",D874=""),"",IF(N(E874)=0,1,E874))</f>
        <v/>
      </c>
    </row>
    <row r="875">
      <c r="A875" s="1" t="n"/>
      <c r="B875" s="31" t="n"/>
      <c r="C875" s="32" t="n"/>
      <c r="D875" s="33" t="n"/>
      <c r="E875" s="34" t="n"/>
      <c r="F875" s="35" t="n"/>
      <c r="G875" s="35" t="n"/>
      <c r="H875" s="30">
        <f>IF(OR(B875="",D875=""),"",IF(N(E875)=0,1,E875)*IFERROR(INDEX(Products!$C$6:$C$105,MATCH(D875,Products!$B$6:$B$105,0)),0)+N(F875)+N(G875))</f>
        <v/>
      </c>
      <c r="I875" s="35" t="n"/>
      <c r="J875" s="30">
        <f>IF(OR(H875="",L875="Cancelled"),"",IF(H875-N(I875)&gt;0.005,H875-N(I875),""))</f>
        <v/>
      </c>
      <c r="K875" s="31" t="n"/>
      <c r="L875" s="36" t="n"/>
      <c r="M875" s="33" t="n"/>
      <c r="N875" s="22">
        <f>IF(OR(H875="",L875="Cancelled"),"",IF(N(E875)=0,1,E875)*IFERROR(INDEX(Products!$E$6:$E$105,MATCH(D875,Products!$B$6:$B$105,0)),0))</f>
        <v/>
      </c>
      <c r="O875" s="35" t="n"/>
      <c r="P875" s="22">
        <f>IF(OR(H875="",L875="Cancelled"),"",ROUND(IFERROR(H875*INDEX(Settings!$C$6:$C$15,MATCH(M875,Settings!$B$6:$B$15,0))+INDEX(Settings!$D$6:$D$15,MATCH(M875,Settings!$B$6:$B$15,0)),0),2))</f>
        <v/>
      </c>
      <c r="Q875" s="28">
        <f>IF(OR(H875="",L875="Cancelled"),"",H875-N(N875)-N(O875)-N(P875))</f>
        <v/>
      </c>
      <c r="R875" s="19">
        <f>IF(OR(B875="",K875=""),"",IF(OR(L875="Sent",L875="Picked up"),"Done",IF(L875="Cancelled","Cancelled",IF(K875&lt;TODAY(),"Late by "&amp;(TODAY()-K875)&amp;IF((TODAY()-K875)=1," day"," days"),IF(K875=TODAY(),"Due today","Due in "&amp;(K875-TODAY())&amp;IF((K875-TODAY())=1," day"," days"))))))</f>
        <v/>
      </c>
      <c r="S875" s="33" t="n"/>
      <c r="T875" s="1">
        <f>IF(AND(B875&lt;&gt;"",K875&lt;&gt;"",L875&lt;&gt;"Sent",L875&lt;&gt;"Picked up",L875&lt;&gt;"Cancelled"),K875+ROW()/10000000,"")</f>
        <v/>
      </c>
      <c r="U875">
        <f>IF(OR(B875="",C875=""),"",B875+ROW()/10000000)</f>
        <v/>
      </c>
      <c r="V875">
        <f>IF(U875="","",IF(COUNTIFS(Orders!$C$6:$C$1005,C875,Orders!$U$6:$U$1005,"&gt;"&amp;U875)=0,1,0))</f>
        <v/>
      </c>
      <c r="W875">
        <f>IF(AND(B875&lt;&gt;"",K875&lt;&gt;"",L875&lt;&gt;"Sent",L875&lt;&gt;"Picked up",L875&lt;&gt;"Cancelled"),IF(N(E875)=0,1,E875),0)</f>
        <v/>
      </c>
      <c r="X875">
        <f>IF(OR(B875="",D875=""),"",IF(N(E875)=0,1,E875))</f>
        <v/>
      </c>
    </row>
    <row r="876">
      <c r="A876" s="1" t="n"/>
      <c r="B876" s="31" t="n"/>
      <c r="C876" s="32" t="n"/>
      <c r="D876" s="33" t="n"/>
      <c r="E876" s="34" t="n"/>
      <c r="F876" s="35" t="n"/>
      <c r="G876" s="35" t="n"/>
      <c r="H876" s="30">
        <f>IF(OR(B876="",D876=""),"",IF(N(E876)=0,1,E876)*IFERROR(INDEX(Products!$C$6:$C$105,MATCH(D876,Products!$B$6:$B$105,0)),0)+N(F876)+N(G876))</f>
        <v/>
      </c>
      <c r="I876" s="35" t="n"/>
      <c r="J876" s="30">
        <f>IF(OR(H876="",L876="Cancelled"),"",IF(H876-N(I876)&gt;0.005,H876-N(I876),""))</f>
        <v/>
      </c>
      <c r="K876" s="31" t="n"/>
      <c r="L876" s="36" t="n"/>
      <c r="M876" s="33" t="n"/>
      <c r="N876" s="22">
        <f>IF(OR(H876="",L876="Cancelled"),"",IF(N(E876)=0,1,E876)*IFERROR(INDEX(Products!$E$6:$E$105,MATCH(D876,Products!$B$6:$B$105,0)),0))</f>
        <v/>
      </c>
      <c r="O876" s="35" t="n"/>
      <c r="P876" s="22">
        <f>IF(OR(H876="",L876="Cancelled"),"",ROUND(IFERROR(H876*INDEX(Settings!$C$6:$C$15,MATCH(M876,Settings!$B$6:$B$15,0))+INDEX(Settings!$D$6:$D$15,MATCH(M876,Settings!$B$6:$B$15,0)),0),2))</f>
        <v/>
      </c>
      <c r="Q876" s="28">
        <f>IF(OR(H876="",L876="Cancelled"),"",H876-N(N876)-N(O876)-N(P876))</f>
        <v/>
      </c>
      <c r="R876" s="19">
        <f>IF(OR(B876="",K876=""),"",IF(OR(L876="Sent",L876="Picked up"),"Done",IF(L876="Cancelled","Cancelled",IF(K876&lt;TODAY(),"Late by "&amp;(TODAY()-K876)&amp;IF((TODAY()-K876)=1," day"," days"),IF(K876=TODAY(),"Due today","Due in "&amp;(K876-TODAY())&amp;IF((K876-TODAY())=1," day"," days"))))))</f>
        <v/>
      </c>
      <c r="S876" s="33" t="n"/>
      <c r="T876" s="1">
        <f>IF(AND(B876&lt;&gt;"",K876&lt;&gt;"",L876&lt;&gt;"Sent",L876&lt;&gt;"Picked up",L876&lt;&gt;"Cancelled"),K876+ROW()/10000000,"")</f>
        <v/>
      </c>
      <c r="U876">
        <f>IF(OR(B876="",C876=""),"",B876+ROW()/10000000)</f>
        <v/>
      </c>
      <c r="V876">
        <f>IF(U876="","",IF(COUNTIFS(Orders!$C$6:$C$1005,C876,Orders!$U$6:$U$1005,"&gt;"&amp;U876)=0,1,0))</f>
        <v/>
      </c>
      <c r="W876">
        <f>IF(AND(B876&lt;&gt;"",K876&lt;&gt;"",L876&lt;&gt;"Sent",L876&lt;&gt;"Picked up",L876&lt;&gt;"Cancelled"),IF(N(E876)=0,1,E876),0)</f>
        <v/>
      </c>
      <c r="X876">
        <f>IF(OR(B876="",D876=""),"",IF(N(E876)=0,1,E876))</f>
        <v/>
      </c>
    </row>
    <row r="877">
      <c r="A877" s="1" t="n"/>
      <c r="B877" s="31" t="n"/>
      <c r="C877" s="32" t="n"/>
      <c r="D877" s="33" t="n"/>
      <c r="E877" s="34" t="n"/>
      <c r="F877" s="35" t="n"/>
      <c r="G877" s="35" t="n"/>
      <c r="H877" s="30">
        <f>IF(OR(B877="",D877=""),"",IF(N(E877)=0,1,E877)*IFERROR(INDEX(Products!$C$6:$C$105,MATCH(D877,Products!$B$6:$B$105,0)),0)+N(F877)+N(G877))</f>
        <v/>
      </c>
      <c r="I877" s="35" t="n"/>
      <c r="J877" s="30">
        <f>IF(OR(H877="",L877="Cancelled"),"",IF(H877-N(I877)&gt;0.005,H877-N(I877),""))</f>
        <v/>
      </c>
      <c r="K877" s="31" t="n"/>
      <c r="L877" s="36" t="n"/>
      <c r="M877" s="33" t="n"/>
      <c r="N877" s="22">
        <f>IF(OR(H877="",L877="Cancelled"),"",IF(N(E877)=0,1,E877)*IFERROR(INDEX(Products!$E$6:$E$105,MATCH(D877,Products!$B$6:$B$105,0)),0))</f>
        <v/>
      </c>
      <c r="O877" s="35" t="n"/>
      <c r="P877" s="22">
        <f>IF(OR(H877="",L877="Cancelled"),"",ROUND(IFERROR(H877*INDEX(Settings!$C$6:$C$15,MATCH(M877,Settings!$B$6:$B$15,0))+INDEX(Settings!$D$6:$D$15,MATCH(M877,Settings!$B$6:$B$15,0)),0),2))</f>
        <v/>
      </c>
      <c r="Q877" s="28">
        <f>IF(OR(H877="",L877="Cancelled"),"",H877-N(N877)-N(O877)-N(P877))</f>
        <v/>
      </c>
      <c r="R877" s="19">
        <f>IF(OR(B877="",K877=""),"",IF(OR(L877="Sent",L877="Picked up"),"Done",IF(L877="Cancelled","Cancelled",IF(K877&lt;TODAY(),"Late by "&amp;(TODAY()-K877)&amp;IF((TODAY()-K877)=1," day"," days"),IF(K877=TODAY(),"Due today","Due in "&amp;(K877-TODAY())&amp;IF((K877-TODAY())=1," day"," days"))))))</f>
        <v/>
      </c>
      <c r="S877" s="33" t="n"/>
      <c r="T877" s="1">
        <f>IF(AND(B877&lt;&gt;"",K877&lt;&gt;"",L877&lt;&gt;"Sent",L877&lt;&gt;"Picked up",L877&lt;&gt;"Cancelled"),K877+ROW()/10000000,"")</f>
        <v/>
      </c>
      <c r="U877">
        <f>IF(OR(B877="",C877=""),"",B877+ROW()/10000000)</f>
        <v/>
      </c>
      <c r="V877">
        <f>IF(U877="","",IF(COUNTIFS(Orders!$C$6:$C$1005,C877,Orders!$U$6:$U$1005,"&gt;"&amp;U877)=0,1,0))</f>
        <v/>
      </c>
      <c r="W877">
        <f>IF(AND(B877&lt;&gt;"",K877&lt;&gt;"",L877&lt;&gt;"Sent",L877&lt;&gt;"Picked up",L877&lt;&gt;"Cancelled"),IF(N(E877)=0,1,E877),0)</f>
        <v/>
      </c>
      <c r="X877">
        <f>IF(OR(B877="",D877=""),"",IF(N(E877)=0,1,E877))</f>
        <v/>
      </c>
    </row>
    <row r="878">
      <c r="A878" s="1" t="n"/>
      <c r="B878" s="31" t="n"/>
      <c r="C878" s="32" t="n"/>
      <c r="D878" s="33" t="n"/>
      <c r="E878" s="34" t="n"/>
      <c r="F878" s="35" t="n"/>
      <c r="G878" s="35" t="n"/>
      <c r="H878" s="30">
        <f>IF(OR(B878="",D878=""),"",IF(N(E878)=0,1,E878)*IFERROR(INDEX(Products!$C$6:$C$105,MATCH(D878,Products!$B$6:$B$105,0)),0)+N(F878)+N(G878))</f>
        <v/>
      </c>
      <c r="I878" s="35" t="n"/>
      <c r="J878" s="30">
        <f>IF(OR(H878="",L878="Cancelled"),"",IF(H878-N(I878)&gt;0.005,H878-N(I878),""))</f>
        <v/>
      </c>
      <c r="K878" s="31" t="n"/>
      <c r="L878" s="36" t="n"/>
      <c r="M878" s="33" t="n"/>
      <c r="N878" s="22">
        <f>IF(OR(H878="",L878="Cancelled"),"",IF(N(E878)=0,1,E878)*IFERROR(INDEX(Products!$E$6:$E$105,MATCH(D878,Products!$B$6:$B$105,0)),0))</f>
        <v/>
      </c>
      <c r="O878" s="35" t="n"/>
      <c r="P878" s="22">
        <f>IF(OR(H878="",L878="Cancelled"),"",ROUND(IFERROR(H878*INDEX(Settings!$C$6:$C$15,MATCH(M878,Settings!$B$6:$B$15,0))+INDEX(Settings!$D$6:$D$15,MATCH(M878,Settings!$B$6:$B$15,0)),0),2))</f>
        <v/>
      </c>
      <c r="Q878" s="28">
        <f>IF(OR(H878="",L878="Cancelled"),"",H878-N(N878)-N(O878)-N(P878))</f>
        <v/>
      </c>
      <c r="R878" s="19">
        <f>IF(OR(B878="",K878=""),"",IF(OR(L878="Sent",L878="Picked up"),"Done",IF(L878="Cancelled","Cancelled",IF(K878&lt;TODAY(),"Late by "&amp;(TODAY()-K878)&amp;IF((TODAY()-K878)=1," day"," days"),IF(K878=TODAY(),"Due today","Due in "&amp;(K878-TODAY())&amp;IF((K878-TODAY())=1," day"," days"))))))</f>
        <v/>
      </c>
      <c r="S878" s="33" t="n"/>
      <c r="T878" s="1">
        <f>IF(AND(B878&lt;&gt;"",K878&lt;&gt;"",L878&lt;&gt;"Sent",L878&lt;&gt;"Picked up",L878&lt;&gt;"Cancelled"),K878+ROW()/10000000,"")</f>
        <v/>
      </c>
      <c r="U878">
        <f>IF(OR(B878="",C878=""),"",B878+ROW()/10000000)</f>
        <v/>
      </c>
      <c r="V878">
        <f>IF(U878="","",IF(COUNTIFS(Orders!$C$6:$C$1005,C878,Orders!$U$6:$U$1005,"&gt;"&amp;U878)=0,1,0))</f>
        <v/>
      </c>
      <c r="W878">
        <f>IF(AND(B878&lt;&gt;"",K878&lt;&gt;"",L878&lt;&gt;"Sent",L878&lt;&gt;"Picked up",L878&lt;&gt;"Cancelled"),IF(N(E878)=0,1,E878),0)</f>
        <v/>
      </c>
      <c r="X878">
        <f>IF(OR(B878="",D878=""),"",IF(N(E878)=0,1,E878))</f>
        <v/>
      </c>
    </row>
    <row r="879">
      <c r="A879" s="1" t="n"/>
      <c r="B879" s="31" t="n"/>
      <c r="C879" s="32" t="n"/>
      <c r="D879" s="33" t="n"/>
      <c r="E879" s="34" t="n"/>
      <c r="F879" s="35" t="n"/>
      <c r="G879" s="35" t="n"/>
      <c r="H879" s="30">
        <f>IF(OR(B879="",D879=""),"",IF(N(E879)=0,1,E879)*IFERROR(INDEX(Products!$C$6:$C$105,MATCH(D879,Products!$B$6:$B$105,0)),0)+N(F879)+N(G879))</f>
        <v/>
      </c>
      <c r="I879" s="35" t="n"/>
      <c r="J879" s="30">
        <f>IF(OR(H879="",L879="Cancelled"),"",IF(H879-N(I879)&gt;0.005,H879-N(I879),""))</f>
        <v/>
      </c>
      <c r="K879" s="31" t="n"/>
      <c r="L879" s="36" t="n"/>
      <c r="M879" s="33" t="n"/>
      <c r="N879" s="22">
        <f>IF(OR(H879="",L879="Cancelled"),"",IF(N(E879)=0,1,E879)*IFERROR(INDEX(Products!$E$6:$E$105,MATCH(D879,Products!$B$6:$B$105,0)),0))</f>
        <v/>
      </c>
      <c r="O879" s="35" t="n"/>
      <c r="P879" s="22">
        <f>IF(OR(H879="",L879="Cancelled"),"",ROUND(IFERROR(H879*INDEX(Settings!$C$6:$C$15,MATCH(M879,Settings!$B$6:$B$15,0))+INDEX(Settings!$D$6:$D$15,MATCH(M879,Settings!$B$6:$B$15,0)),0),2))</f>
        <v/>
      </c>
      <c r="Q879" s="28">
        <f>IF(OR(H879="",L879="Cancelled"),"",H879-N(N879)-N(O879)-N(P879))</f>
        <v/>
      </c>
      <c r="R879" s="19">
        <f>IF(OR(B879="",K879=""),"",IF(OR(L879="Sent",L879="Picked up"),"Done",IF(L879="Cancelled","Cancelled",IF(K879&lt;TODAY(),"Late by "&amp;(TODAY()-K879)&amp;IF((TODAY()-K879)=1," day"," days"),IF(K879=TODAY(),"Due today","Due in "&amp;(K879-TODAY())&amp;IF((K879-TODAY())=1," day"," days"))))))</f>
        <v/>
      </c>
      <c r="S879" s="33" t="n"/>
      <c r="T879" s="1">
        <f>IF(AND(B879&lt;&gt;"",K879&lt;&gt;"",L879&lt;&gt;"Sent",L879&lt;&gt;"Picked up",L879&lt;&gt;"Cancelled"),K879+ROW()/10000000,"")</f>
        <v/>
      </c>
      <c r="U879">
        <f>IF(OR(B879="",C879=""),"",B879+ROW()/10000000)</f>
        <v/>
      </c>
      <c r="V879">
        <f>IF(U879="","",IF(COUNTIFS(Orders!$C$6:$C$1005,C879,Orders!$U$6:$U$1005,"&gt;"&amp;U879)=0,1,0))</f>
        <v/>
      </c>
      <c r="W879">
        <f>IF(AND(B879&lt;&gt;"",K879&lt;&gt;"",L879&lt;&gt;"Sent",L879&lt;&gt;"Picked up",L879&lt;&gt;"Cancelled"),IF(N(E879)=0,1,E879),0)</f>
        <v/>
      </c>
      <c r="X879">
        <f>IF(OR(B879="",D879=""),"",IF(N(E879)=0,1,E879))</f>
        <v/>
      </c>
    </row>
    <row r="880">
      <c r="A880" s="1" t="n"/>
      <c r="B880" s="31" t="n"/>
      <c r="C880" s="32" t="n"/>
      <c r="D880" s="33" t="n"/>
      <c r="E880" s="34" t="n"/>
      <c r="F880" s="35" t="n"/>
      <c r="G880" s="35" t="n"/>
      <c r="H880" s="30">
        <f>IF(OR(B880="",D880=""),"",IF(N(E880)=0,1,E880)*IFERROR(INDEX(Products!$C$6:$C$105,MATCH(D880,Products!$B$6:$B$105,0)),0)+N(F880)+N(G880))</f>
        <v/>
      </c>
      <c r="I880" s="35" t="n"/>
      <c r="J880" s="30">
        <f>IF(OR(H880="",L880="Cancelled"),"",IF(H880-N(I880)&gt;0.005,H880-N(I880),""))</f>
        <v/>
      </c>
      <c r="K880" s="31" t="n"/>
      <c r="L880" s="36" t="n"/>
      <c r="M880" s="33" t="n"/>
      <c r="N880" s="22">
        <f>IF(OR(H880="",L880="Cancelled"),"",IF(N(E880)=0,1,E880)*IFERROR(INDEX(Products!$E$6:$E$105,MATCH(D880,Products!$B$6:$B$105,0)),0))</f>
        <v/>
      </c>
      <c r="O880" s="35" t="n"/>
      <c r="P880" s="22">
        <f>IF(OR(H880="",L880="Cancelled"),"",ROUND(IFERROR(H880*INDEX(Settings!$C$6:$C$15,MATCH(M880,Settings!$B$6:$B$15,0))+INDEX(Settings!$D$6:$D$15,MATCH(M880,Settings!$B$6:$B$15,0)),0),2))</f>
        <v/>
      </c>
      <c r="Q880" s="28">
        <f>IF(OR(H880="",L880="Cancelled"),"",H880-N(N880)-N(O880)-N(P880))</f>
        <v/>
      </c>
      <c r="R880" s="19">
        <f>IF(OR(B880="",K880=""),"",IF(OR(L880="Sent",L880="Picked up"),"Done",IF(L880="Cancelled","Cancelled",IF(K880&lt;TODAY(),"Late by "&amp;(TODAY()-K880)&amp;IF((TODAY()-K880)=1," day"," days"),IF(K880=TODAY(),"Due today","Due in "&amp;(K880-TODAY())&amp;IF((K880-TODAY())=1," day"," days"))))))</f>
        <v/>
      </c>
      <c r="S880" s="33" t="n"/>
      <c r="T880" s="1">
        <f>IF(AND(B880&lt;&gt;"",K880&lt;&gt;"",L880&lt;&gt;"Sent",L880&lt;&gt;"Picked up",L880&lt;&gt;"Cancelled"),K880+ROW()/10000000,"")</f>
        <v/>
      </c>
      <c r="U880">
        <f>IF(OR(B880="",C880=""),"",B880+ROW()/10000000)</f>
        <v/>
      </c>
      <c r="V880">
        <f>IF(U880="","",IF(COUNTIFS(Orders!$C$6:$C$1005,C880,Orders!$U$6:$U$1005,"&gt;"&amp;U880)=0,1,0))</f>
        <v/>
      </c>
      <c r="W880">
        <f>IF(AND(B880&lt;&gt;"",K880&lt;&gt;"",L880&lt;&gt;"Sent",L880&lt;&gt;"Picked up",L880&lt;&gt;"Cancelled"),IF(N(E880)=0,1,E880),0)</f>
        <v/>
      </c>
      <c r="X880">
        <f>IF(OR(B880="",D880=""),"",IF(N(E880)=0,1,E880))</f>
        <v/>
      </c>
    </row>
    <row r="881">
      <c r="A881" s="1" t="n"/>
      <c r="B881" s="31" t="n"/>
      <c r="C881" s="32" t="n"/>
      <c r="D881" s="33" t="n"/>
      <c r="E881" s="34" t="n"/>
      <c r="F881" s="35" t="n"/>
      <c r="G881" s="35" t="n"/>
      <c r="H881" s="30">
        <f>IF(OR(B881="",D881=""),"",IF(N(E881)=0,1,E881)*IFERROR(INDEX(Products!$C$6:$C$105,MATCH(D881,Products!$B$6:$B$105,0)),0)+N(F881)+N(G881))</f>
        <v/>
      </c>
      <c r="I881" s="35" t="n"/>
      <c r="J881" s="30">
        <f>IF(OR(H881="",L881="Cancelled"),"",IF(H881-N(I881)&gt;0.005,H881-N(I881),""))</f>
        <v/>
      </c>
      <c r="K881" s="31" t="n"/>
      <c r="L881" s="36" t="n"/>
      <c r="M881" s="33" t="n"/>
      <c r="N881" s="22">
        <f>IF(OR(H881="",L881="Cancelled"),"",IF(N(E881)=0,1,E881)*IFERROR(INDEX(Products!$E$6:$E$105,MATCH(D881,Products!$B$6:$B$105,0)),0))</f>
        <v/>
      </c>
      <c r="O881" s="35" t="n"/>
      <c r="P881" s="22">
        <f>IF(OR(H881="",L881="Cancelled"),"",ROUND(IFERROR(H881*INDEX(Settings!$C$6:$C$15,MATCH(M881,Settings!$B$6:$B$15,0))+INDEX(Settings!$D$6:$D$15,MATCH(M881,Settings!$B$6:$B$15,0)),0),2))</f>
        <v/>
      </c>
      <c r="Q881" s="28">
        <f>IF(OR(H881="",L881="Cancelled"),"",H881-N(N881)-N(O881)-N(P881))</f>
        <v/>
      </c>
      <c r="R881" s="19">
        <f>IF(OR(B881="",K881=""),"",IF(OR(L881="Sent",L881="Picked up"),"Done",IF(L881="Cancelled","Cancelled",IF(K881&lt;TODAY(),"Late by "&amp;(TODAY()-K881)&amp;IF((TODAY()-K881)=1," day"," days"),IF(K881=TODAY(),"Due today","Due in "&amp;(K881-TODAY())&amp;IF((K881-TODAY())=1," day"," days"))))))</f>
        <v/>
      </c>
      <c r="S881" s="33" t="n"/>
      <c r="T881" s="1">
        <f>IF(AND(B881&lt;&gt;"",K881&lt;&gt;"",L881&lt;&gt;"Sent",L881&lt;&gt;"Picked up",L881&lt;&gt;"Cancelled"),K881+ROW()/10000000,"")</f>
        <v/>
      </c>
      <c r="U881">
        <f>IF(OR(B881="",C881=""),"",B881+ROW()/10000000)</f>
        <v/>
      </c>
      <c r="V881">
        <f>IF(U881="","",IF(COUNTIFS(Orders!$C$6:$C$1005,C881,Orders!$U$6:$U$1005,"&gt;"&amp;U881)=0,1,0))</f>
        <v/>
      </c>
      <c r="W881">
        <f>IF(AND(B881&lt;&gt;"",K881&lt;&gt;"",L881&lt;&gt;"Sent",L881&lt;&gt;"Picked up",L881&lt;&gt;"Cancelled"),IF(N(E881)=0,1,E881),0)</f>
        <v/>
      </c>
      <c r="X881">
        <f>IF(OR(B881="",D881=""),"",IF(N(E881)=0,1,E881))</f>
        <v/>
      </c>
    </row>
    <row r="882">
      <c r="A882" s="1" t="n"/>
      <c r="B882" s="31" t="n"/>
      <c r="C882" s="32" t="n"/>
      <c r="D882" s="33" t="n"/>
      <c r="E882" s="34" t="n"/>
      <c r="F882" s="35" t="n"/>
      <c r="G882" s="35" t="n"/>
      <c r="H882" s="30">
        <f>IF(OR(B882="",D882=""),"",IF(N(E882)=0,1,E882)*IFERROR(INDEX(Products!$C$6:$C$105,MATCH(D882,Products!$B$6:$B$105,0)),0)+N(F882)+N(G882))</f>
        <v/>
      </c>
      <c r="I882" s="35" t="n"/>
      <c r="J882" s="30">
        <f>IF(OR(H882="",L882="Cancelled"),"",IF(H882-N(I882)&gt;0.005,H882-N(I882),""))</f>
        <v/>
      </c>
      <c r="K882" s="31" t="n"/>
      <c r="L882" s="36" t="n"/>
      <c r="M882" s="33" t="n"/>
      <c r="N882" s="22">
        <f>IF(OR(H882="",L882="Cancelled"),"",IF(N(E882)=0,1,E882)*IFERROR(INDEX(Products!$E$6:$E$105,MATCH(D882,Products!$B$6:$B$105,0)),0))</f>
        <v/>
      </c>
      <c r="O882" s="35" t="n"/>
      <c r="P882" s="22">
        <f>IF(OR(H882="",L882="Cancelled"),"",ROUND(IFERROR(H882*INDEX(Settings!$C$6:$C$15,MATCH(M882,Settings!$B$6:$B$15,0))+INDEX(Settings!$D$6:$D$15,MATCH(M882,Settings!$B$6:$B$15,0)),0),2))</f>
        <v/>
      </c>
      <c r="Q882" s="28">
        <f>IF(OR(H882="",L882="Cancelled"),"",H882-N(N882)-N(O882)-N(P882))</f>
        <v/>
      </c>
      <c r="R882" s="19">
        <f>IF(OR(B882="",K882=""),"",IF(OR(L882="Sent",L882="Picked up"),"Done",IF(L882="Cancelled","Cancelled",IF(K882&lt;TODAY(),"Late by "&amp;(TODAY()-K882)&amp;IF((TODAY()-K882)=1," day"," days"),IF(K882=TODAY(),"Due today","Due in "&amp;(K882-TODAY())&amp;IF((K882-TODAY())=1," day"," days"))))))</f>
        <v/>
      </c>
      <c r="S882" s="33" t="n"/>
      <c r="T882" s="1">
        <f>IF(AND(B882&lt;&gt;"",K882&lt;&gt;"",L882&lt;&gt;"Sent",L882&lt;&gt;"Picked up",L882&lt;&gt;"Cancelled"),K882+ROW()/10000000,"")</f>
        <v/>
      </c>
      <c r="U882">
        <f>IF(OR(B882="",C882=""),"",B882+ROW()/10000000)</f>
        <v/>
      </c>
      <c r="V882">
        <f>IF(U882="","",IF(COUNTIFS(Orders!$C$6:$C$1005,C882,Orders!$U$6:$U$1005,"&gt;"&amp;U882)=0,1,0))</f>
        <v/>
      </c>
      <c r="W882">
        <f>IF(AND(B882&lt;&gt;"",K882&lt;&gt;"",L882&lt;&gt;"Sent",L882&lt;&gt;"Picked up",L882&lt;&gt;"Cancelled"),IF(N(E882)=0,1,E882),0)</f>
        <v/>
      </c>
      <c r="X882">
        <f>IF(OR(B882="",D882=""),"",IF(N(E882)=0,1,E882))</f>
        <v/>
      </c>
    </row>
    <row r="883">
      <c r="A883" s="1" t="n"/>
      <c r="B883" s="31" t="n"/>
      <c r="C883" s="32" t="n"/>
      <c r="D883" s="33" t="n"/>
      <c r="E883" s="34" t="n"/>
      <c r="F883" s="35" t="n"/>
      <c r="G883" s="35" t="n"/>
      <c r="H883" s="30">
        <f>IF(OR(B883="",D883=""),"",IF(N(E883)=0,1,E883)*IFERROR(INDEX(Products!$C$6:$C$105,MATCH(D883,Products!$B$6:$B$105,0)),0)+N(F883)+N(G883))</f>
        <v/>
      </c>
      <c r="I883" s="35" t="n"/>
      <c r="J883" s="30">
        <f>IF(OR(H883="",L883="Cancelled"),"",IF(H883-N(I883)&gt;0.005,H883-N(I883),""))</f>
        <v/>
      </c>
      <c r="K883" s="31" t="n"/>
      <c r="L883" s="36" t="n"/>
      <c r="M883" s="33" t="n"/>
      <c r="N883" s="22">
        <f>IF(OR(H883="",L883="Cancelled"),"",IF(N(E883)=0,1,E883)*IFERROR(INDEX(Products!$E$6:$E$105,MATCH(D883,Products!$B$6:$B$105,0)),0))</f>
        <v/>
      </c>
      <c r="O883" s="35" t="n"/>
      <c r="P883" s="22">
        <f>IF(OR(H883="",L883="Cancelled"),"",ROUND(IFERROR(H883*INDEX(Settings!$C$6:$C$15,MATCH(M883,Settings!$B$6:$B$15,0))+INDEX(Settings!$D$6:$D$15,MATCH(M883,Settings!$B$6:$B$15,0)),0),2))</f>
        <v/>
      </c>
      <c r="Q883" s="28">
        <f>IF(OR(H883="",L883="Cancelled"),"",H883-N(N883)-N(O883)-N(P883))</f>
        <v/>
      </c>
      <c r="R883" s="19">
        <f>IF(OR(B883="",K883=""),"",IF(OR(L883="Sent",L883="Picked up"),"Done",IF(L883="Cancelled","Cancelled",IF(K883&lt;TODAY(),"Late by "&amp;(TODAY()-K883)&amp;IF((TODAY()-K883)=1," day"," days"),IF(K883=TODAY(),"Due today","Due in "&amp;(K883-TODAY())&amp;IF((K883-TODAY())=1," day"," days"))))))</f>
        <v/>
      </c>
      <c r="S883" s="33" t="n"/>
      <c r="T883" s="1">
        <f>IF(AND(B883&lt;&gt;"",K883&lt;&gt;"",L883&lt;&gt;"Sent",L883&lt;&gt;"Picked up",L883&lt;&gt;"Cancelled"),K883+ROW()/10000000,"")</f>
        <v/>
      </c>
      <c r="U883">
        <f>IF(OR(B883="",C883=""),"",B883+ROW()/10000000)</f>
        <v/>
      </c>
      <c r="V883">
        <f>IF(U883="","",IF(COUNTIFS(Orders!$C$6:$C$1005,C883,Orders!$U$6:$U$1005,"&gt;"&amp;U883)=0,1,0))</f>
        <v/>
      </c>
      <c r="W883">
        <f>IF(AND(B883&lt;&gt;"",K883&lt;&gt;"",L883&lt;&gt;"Sent",L883&lt;&gt;"Picked up",L883&lt;&gt;"Cancelled"),IF(N(E883)=0,1,E883),0)</f>
        <v/>
      </c>
      <c r="X883">
        <f>IF(OR(B883="",D883=""),"",IF(N(E883)=0,1,E883))</f>
        <v/>
      </c>
    </row>
    <row r="884">
      <c r="A884" s="1" t="n"/>
      <c r="B884" s="31" t="n"/>
      <c r="C884" s="32" t="n"/>
      <c r="D884" s="33" t="n"/>
      <c r="E884" s="34" t="n"/>
      <c r="F884" s="35" t="n"/>
      <c r="G884" s="35" t="n"/>
      <c r="H884" s="30">
        <f>IF(OR(B884="",D884=""),"",IF(N(E884)=0,1,E884)*IFERROR(INDEX(Products!$C$6:$C$105,MATCH(D884,Products!$B$6:$B$105,0)),0)+N(F884)+N(G884))</f>
        <v/>
      </c>
      <c r="I884" s="35" t="n"/>
      <c r="J884" s="30">
        <f>IF(OR(H884="",L884="Cancelled"),"",IF(H884-N(I884)&gt;0.005,H884-N(I884),""))</f>
        <v/>
      </c>
      <c r="K884" s="31" t="n"/>
      <c r="L884" s="36" t="n"/>
      <c r="M884" s="33" t="n"/>
      <c r="N884" s="22">
        <f>IF(OR(H884="",L884="Cancelled"),"",IF(N(E884)=0,1,E884)*IFERROR(INDEX(Products!$E$6:$E$105,MATCH(D884,Products!$B$6:$B$105,0)),0))</f>
        <v/>
      </c>
      <c r="O884" s="35" t="n"/>
      <c r="P884" s="22">
        <f>IF(OR(H884="",L884="Cancelled"),"",ROUND(IFERROR(H884*INDEX(Settings!$C$6:$C$15,MATCH(M884,Settings!$B$6:$B$15,0))+INDEX(Settings!$D$6:$D$15,MATCH(M884,Settings!$B$6:$B$15,0)),0),2))</f>
        <v/>
      </c>
      <c r="Q884" s="28">
        <f>IF(OR(H884="",L884="Cancelled"),"",H884-N(N884)-N(O884)-N(P884))</f>
        <v/>
      </c>
      <c r="R884" s="19">
        <f>IF(OR(B884="",K884=""),"",IF(OR(L884="Sent",L884="Picked up"),"Done",IF(L884="Cancelled","Cancelled",IF(K884&lt;TODAY(),"Late by "&amp;(TODAY()-K884)&amp;IF((TODAY()-K884)=1," day"," days"),IF(K884=TODAY(),"Due today","Due in "&amp;(K884-TODAY())&amp;IF((K884-TODAY())=1," day"," days"))))))</f>
        <v/>
      </c>
      <c r="S884" s="33" t="n"/>
      <c r="T884" s="1">
        <f>IF(AND(B884&lt;&gt;"",K884&lt;&gt;"",L884&lt;&gt;"Sent",L884&lt;&gt;"Picked up",L884&lt;&gt;"Cancelled"),K884+ROW()/10000000,"")</f>
        <v/>
      </c>
      <c r="U884">
        <f>IF(OR(B884="",C884=""),"",B884+ROW()/10000000)</f>
        <v/>
      </c>
      <c r="V884">
        <f>IF(U884="","",IF(COUNTIFS(Orders!$C$6:$C$1005,C884,Orders!$U$6:$U$1005,"&gt;"&amp;U884)=0,1,0))</f>
        <v/>
      </c>
      <c r="W884">
        <f>IF(AND(B884&lt;&gt;"",K884&lt;&gt;"",L884&lt;&gt;"Sent",L884&lt;&gt;"Picked up",L884&lt;&gt;"Cancelled"),IF(N(E884)=0,1,E884),0)</f>
        <v/>
      </c>
      <c r="X884">
        <f>IF(OR(B884="",D884=""),"",IF(N(E884)=0,1,E884))</f>
        <v/>
      </c>
    </row>
    <row r="885">
      <c r="A885" s="1" t="n"/>
      <c r="B885" s="31" t="n"/>
      <c r="C885" s="32" t="n"/>
      <c r="D885" s="33" t="n"/>
      <c r="E885" s="34" t="n"/>
      <c r="F885" s="35" t="n"/>
      <c r="G885" s="35" t="n"/>
      <c r="H885" s="30">
        <f>IF(OR(B885="",D885=""),"",IF(N(E885)=0,1,E885)*IFERROR(INDEX(Products!$C$6:$C$105,MATCH(D885,Products!$B$6:$B$105,0)),0)+N(F885)+N(G885))</f>
        <v/>
      </c>
      <c r="I885" s="35" t="n"/>
      <c r="J885" s="30">
        <f>IF(OR(H885="",L885="Cancelled"),"",IF(H885-N(I885)&gt;0.005,H885-N(I885),""))</f>
        <v/>
      </c>
      <c r="K885" s="31" t="n"/>
      <c r="L885" s="36" t="n"/>
      <c r="M885" s="33" t="n"/>
      <c r="N885" s="22">
        <f>IF(OR(H885="",L885="Cancelled"),"",IF(N(E885)=0,1,E885)*IFERROR(INDEX(Products!$E$6:$E$105,MATCH(D885,Products!$B$6:$B$105,0)),0))</f>
        <v/>
      </c>
      <c r="O885" s="35" t="n"/>
      <c r="P885" s="22">
        <f>IF(OR(H885="",L885="Cancelled"),"",ROUND(IFERROR(H885*INDEX(Settings!$C$6:$C$15,MATCH(M885,Settings!$B$6:$B$15,0))+INDEX(Settings!$D$6:$D$15,MATCH(M885,Settings!$B$6:$B$15,0)),0),2))</f>
        <v/>
      </c>
      <c r="Q885" s="28">
        <f>IF(OR(H885="",L885="Cancelled"),"",H885-N(N885)-N(O885)-N(P885))</f>
        <v/>
      </c>
      <c r="R885" s="19">
        <f>IF(OR(B885="",K885=""),"",IF(OR(L885="Sent",L885="Picked up"),"Done",IF(L885="Cancelled","Cancelled",IF(K885&lt;TODAY(),"Late by "&amp;(TODAY()-K885)&amp;IF((TODAY()-K885)=1," day"," days"),IF(K885=TODAY(),"Due today","Due in "&amp;(K885-TODAY())&amp;IF((K885-TODAY())=1," day"," days"))))))</f>
        <v/>
      </c>
      <c r="S885" s="33" t="n"/>
      <c r="T885" s="1">
        <f>IF(AND(B885&lt;&gt;"",K885&lt;&gt;"",L885&lt;&gt;"Sent",L885&lt;&gt;"Picked up",L885&lt;&gt;"Cancelled"),K885+ROW()/10000000,"")</f>
        <v/>
      </c>
      <c r="U885">
        <f>IF(OR(B885="",C885=""),"",B885+ROW()/10000000)</f>
        <v/>
      </c>
      <c r="V885">
        <f>IF(U885="","",IF(COUNTIFS(Orders!$C$6:$C$1005,C885,Orders!$U$6:$U$1005,"&gt;"&amp;U885)=0,1,0))</f>
        <v/>
      </c>
      <c r="W885">
        <f>IF(AND(B885&lt;&gt;"",K885&lt;&gt;"",L885&lt;&gt;"Sent",L885&lt;&gt;"Picked up",L885&lt;&gt;"Cancelled"),IF(N(E885)=0,1,E885),0)</f>
        <v/>
      </c>
      <c r="X885">
        <f>IF(OR(B885="",D885=""),"",IF(N(E885)=0,1,E885))</f>
        <v/>
      </c>
    </row>
    <row r="886">
      <c r="A886" s="1" t="n"/>
      <c r="B886" s="31" t="n"/>
      <c r="C886" s="32" t="n"/>
      <c r="D886" s="33" t="n"/>
      <c r="E886" s="34" t="n"/>
      <c r="F886" s="35" t="n"/>
      <c r="G886" s="35" t="n"/>
      <c r="H886" s="30">
        <f>IF(OR(B886="",D886=""),"",IF(N(E886)=0,1,E886)*IFERROR(INDEX(Products!$C$6:$C$105,MATCH(D886,Products!$B$6:$B$105,0)),0)+N(F886)+N(G886))</f>
        <v/>
      </c>
      <c r="I886" s="35" t="n"/>
      <c r="J886" s="30">
        <f>IF(OR(H886="",L886="Cancelled"),"",IF(H886-N(I886)&gt;0.005,H886-N(I886),""))</f>
        <v/>
      </c>
      <c r="K886" s="31" t="n"/>
      <c r="L886" s="36" t="n"/>
      <c r="M886" s="33" t="n"/>
      <c r="N886" s="22">
        <f>IF(OR(H886="",L886="Cancelled"),"",IF(N(E886)=0,1,E886)*IFERROR(INDEX(Products!$E$6:$E$105,MATCH(D886,Products!$B$6:$B$105,0)),0))</f>
        <v/>
      </c>
      <c r="O886" s="35" t="n"/>
      <c r="P886" s="22">
        <f>IF(OR(H886="",L886="Cancelled"),"",ROUND(IFERROR(H886*INDEX(Settings!$C$6:$C$15,MATCH(M886,Settings!$B$6:$B$15,0))+INDEX(Settings!$D$6:$D$15,MATCH(M886,Settings!$B$6:$B$15,0)),0),2))</f>
        <v/>
      </c>
      <c r="Q886" s="28">
        <f>IF(OR(H886="",L886="Cancelled"),"",H886-N(N886)-N(O886)-N(P886))</f>
        <v/>
      </c>
      <c r="R886" s="19">
        <f>IF(OR(B886="",K886=""),"",IF(OR(L886="Sent",L886="Picked up"),"Done",IF(L886="Cancelled","Cancelled",IF(K886&lt;TODAY(),"Late by "&amp;(TODAY()-K886)&amp;IF((TODAY()-K886)=1," day"," days"),IF(K886=TODAY(),"Due today","Due in "&amp;(K886-TODAY())&amp;IF((K886-TODAY())=1," day"," days"))))))</f>
        <v/>
      </c>
      <c r="S886" s="33" t="n"/>
      <c r="T886" s="1">
        <f>IF(AND(B886&lt;&gt;"",K886&lt;&gt;"",L886&lt;&gt;"Sent",L886&lt;&gt;"Picked up",L886&lt;&gt;"Cancelled"),K886+ROW()/10000000,"")</f>
        <v/>
      </c>
      <c r="U886">
        <f>IF(OR(B886="",C886=""),"",B886+ROW()/10000000)</f>
        <v/>
      </c>
      <c r="V886">
        <f>IF(U886="","",IF(COUNTIFS(Orders!$C$6:$C$1005,C886,Orders!$U$6:$U$1005,"&gt;"&amp;U886)=0,1,0))</f>
        <v/>
      </c>
      <c r="W886">
        <f>IF(AND(B886&lt;&gt;"",K886&lt;&gt;"",L886&lt;&gt;"Sent",L886&lt;&gt;"Picked up",L886&lt;&gt;"Cancelled"),IF(N(E886)=0,1,E886),0)</f>
        <v/>
      </c>
      <c r="X886">
        <f>IF(OR(B886="",D886=""),"",IF(N(E886)=0,1,E886))</f>
        <v/>
      </c>
    </row>
    <row r="887">
      <c r="A887" s="1" t="n"/>
      <c r="B887" s="31" t="n"/>
      <c r="C887" s="32" t="n"/>
      <c r="D887" s="33" t="n"/>
      <c r="E887" s="34" t="n"/>
      <c r="F887" s="35" t="n"/>
      <c r="G887" s="35" t="n"/>
      <c r="H887" s="30">
        <f>IF(OR(B887="",D887=""),"",IF(N(E887)=0,1,E887)*IFERROR(INDEX(Products!$C$6:$C$105,MATCH(D887,Products!$B$6:$B$105,0)),0)+N(F887)+N(G887))</f>
        <v/>
      </c>
      <c r="I887" s="35" t="n"/>
      <c r="J887" s="30">
        <f>IF(OR(H887="",L887="Cancelled"),"",IF(H887-N(I887)&gt;0.005,H887-N(I887),""))</f>
        <v/>
      </c>
      <c r="K887" s="31" t="n"/>
      <c r="L887" s="36" t="n"/>
      <c r="M887" s="33" t="n"/>
      <c r="N887" s="22">
        <f>IF(OR(H887="",L887="Cancelled"),"",IF(N(E887)=0,1,E887)*IFERROR(INDEX(Products!$E$6:$E$105,MATCH(D887,Products!$B$6:$B$105,0)),0))</f>
        <v/>
      </c>
      <c r="O887" s="35" t="n"/>
      <c r="P887" s="22">
        <f>IF(OR(H887="",L887="Cancelled"),"",ROUND(IFERROR(H887*INDEX(Settings!$C$6:$C$15,MATCH(M887,Settings!$B$6:$B$15,0))+INDEX(Settings!$D$6:$D$15,MATCH(M887,Settings!$B$6:$B$15,0)),0),2))</f>
        <v/>
      </c>
      <c r="Q887" s="28">
        <f>IF(OR(H887="",L887="Cancelled"),"",H887-N(N887)-N(O887)-N(P887))</f>
        <v/>
      </c>
      <c r="R887" s="19">
        <f>IF(OR(B887="",K887=""),"",IF(OR(L887="Sent",L887="Picked up"),"Done",IF(L887="Cancelled","Cancelled",IF(K887&lt;TODAY(),"Late by "&amp;(TODAY()-K887)&amp;IF((TODAY()-K887)=1," day"," days"),IF(K887=TODAY(),"Due today","Due in "&amp;(K887-TODAY())&amp;IF((K887-TODAY())=1," day"," days"))))))</f>
        <v/>
      </c>
      <c r="S887" s="33" t="n"/>
      <c r="T887" s="1">
        <f>IF(AND(B887&lt;&gt;"",K887&lt;&gt;"",L887&lt;&gt;"Sent",L887&lt;&gt;"Picked up",L887&lt;&gt;"Cancelled"),K887+ROW()/10000000,"")</f>
        <v/>
      </c>
      <c r="U887">
        <f>IF(OR(B887="",C887=""),"",B887+ROW()/10000000)</f>
        <v/>
      </c>
      <c r="V887">
        <f>IF(U887="","",IF(COUNTIFS(Orders!$C$6:$C$1005,C887,Orders!$U$6:$U$1005,"&gt;"&amp;U887)=0,1,0))</f>
        <v/>
      </c>
      <c r="W887">
        <f>IF(AND(B887&lt;&gt;"",K887&lt;&gt;"",L887&lt;&gt;"Sent",L887&lt;&gt;"Picked up",L887&lt;&gt;"Cancelled"),IF(N(E887)=0,1,E887),0)</f>
        <v/>
      </c>
      <c r="X887">
        <f>IF(OR(B887="",D887=""),"",IF(N(E887)=0,1,E887))</f>
        <v/>
      </c>
    </row>
    <row r="888">
      <c r="A888" s="1" t="n"/>
      <c r="B888" s="31" t="n"/>
      <c r="C888" s="32" t="n"/>
      <c r="D888" s="33" t="n"/>
      <c r="E888" s="34" t="n"/>
      <c r="F888" s="35" t="n"/>
      <c r="G888" s="35" t="n"/>
      <c r="H888" s="30">
        <f>IF(OR(B888="",D888=""),"",IF(N(E888)=0,1,E888)*IFERROR(INDEX(Products!$C$6:$C$105,MATCH(D888,Products!$B$6:$B$105,0)),0)+N(F888)+N(G888))</f>
        <v/>
      </c>
      <c r="I888" s="35" t="n"/>
      <c r="J888" s="30">
        <f>IF(OR(H888="",L888="Cancelled"),"",IF(H888-N(I888)&gt;0.005,H888-N(I888),""))</f>
        <v/>
      </c>
      <c r="K888" s="31" t="n"/>
      <c r="L888" s="36" t="n"/>
      <c r="M888" s="33" t="n"/>
      <c r="N888" s="22">
        <f>IF(OR(H888="",L888="Cancelled"),"",IF(N(E888)=0,1,E888)*IFERROR(INDEX(Products!$E$6:$E$105,MATCH(D888,Products!$B$6:$B$105,0)),0))</f>
        <v/>
      </c>
      <c r="O888" s="35" t="n"/>
      <c r="P888" s="22">
        <f>IF(OR(H888="",L888="Cancelled"),"",ROUND(IFERROR(H888*INDEX(Settings!$C$6:$C$15,MATCH(M888,Settings!$B$6:$B$15,0))+INDEX(Settings!$D$6:$D$15,MATCH(M888,Settings!$B$6:$B$15,0)),0),2))</f>
        <v/>
      </c>
      <c r="Q888" s="28">
        <f>IF(OR(H888="",L888="Cancelled"),"",H888-N(N888)-N(O888)-N(P888))</f>
        <v/>
      </c>
      <c r="R888" s="19">
        <f>IF(OR(B888="",K888=""),"",IF(OR(L888="Sent",L888="Picked up"),"Done",IF(L888="Cancelled","Cancelled",IF(K888&lt;TODAY(),"Late by "&amp;(TODAY()-K888)&amp;IF((TODAY()-K888)=1," day"," days"),IF(K888=TODAY(),"Due today","Due in "&amp;(K888-TODAY())&amp;IF((K888-TODAY())=1," day"," days"))))))</f>
        <v/>
      </c>
      <c r="S888" s="33" t="n"/>
      <c r="T888" s="1">
        <f>IF(AND(B888&lt;&gt;"",K888&lt;&gt;"",L888&lt;&gt;"Sent",L888&lt;&gt;"Picked up",L888&lt;&gt;"Cancelled"),K888+ROW()/10000000,"")</f>
        <v/>
      </c>
      <c r="U888">
        <f>IF(OR(B888="",C888=""),"",B888+ROW()/10000000)</f>
        <v/>
      </c>
      <c r="V888">
        <f>IF(U888="","",IF(COUNTIFS(Orders!$C$6:$C$1005,C888,Orders!$U$6:$U$1005,"&gt;"&amp;U888)=0,1,0))</f>
        <v/>
      </c>
      <c r="W888">
        <f>IF(AND(B888&lt;&gt;"",K888&lt;&gt;"",L888&lt;&gt;"Sent",L888&lt;&gt;"Picked up",L888&lt;&gt;"Cancelled"),IF(N(E888)=0,1,E888),0)</f>
        <v/>
      </c>
      <c r="X888">
        <f>IF(OR(B888="",D888=""),"",IF(N(E888)=0,1,E888))</f>
        <v/>
      </c>
    </row>
    <row r="889">
      <c r="A889" s="1" t="n"/>
      <c r="B889" s="31" t="n"/>
      <c r="C889" s="32" t="n"/>
      <c r="D889" s="33" t="n"/>
      <c r="E889" s="34" t="n"/>
      <c r="F889" s="35" t="n"/>
      <c r="G889" s="35" t="n"/>
      <c r="H889" s="30">
        <f>IF(OR(B889="",D889=""),"",IF(N(E889)=0,1,E889)*IFERROR(INDEX(Products!$C$6:$C$105,MATCH(D889,Products!$B$6:$B$105,0)),0)+N(F889)+N(G889))</f>
        <v/>
      </c>
      <c r="I889" s="35" t="n"/>
      <c r="J889" s="30">
        <f>IF(OR(H889="",L889="Cancelled"),"",IF(H889-N(I889)&gt;0.005,H889-N(I889),""))</f>
        <v/>
      </c>
      <c r="K889" s="31" t="n"/>
      <c r="L889" s="36" t="n"/>
      <c r="M889" s="33" t="n"/>
      <c r="N889" s="22">
        <f>IF(OR(H889="",L889="Cancelled"),"",IF(N(E889)=0,1,E889)*IFERROR(INDEX(Products!$E$6:$E$105,MATCH(D889,Products!$B$6:$B$105,0)),0))</f>
        <v/>
      </c>
      <c r="O889" s="35" t="n"/>
      <c r="P889" s="22">
        <f>IF(OR(H889="",L889="Cancelled"),"",ROUND(IFERROR(H889*INDEX(Settings!$C$6:$C$15,MATCH(M889,Settings!$B$6:$B$15,0))+INDEX(Settings!$D$6:$D$15,MATCH(M889,Settings!$B$6:$B$15,0)),0),2))</f>
        <v/>
      </c>
      <c r="Q889" s="28">
        <f>IF(OR(H889="",L889="Cancelled"),"",H889-N(N889)-N(O889)-N(P889))</f>
        <v/>
      </c>
      <c r="R889" s="19">
        <f>IF(OR(B889="",K889=""),"",IF(OR(L889="Sent",L889="Picked up"),"Done",IF(L889="Cancelled","Cancelled",IF(K889&lt;TODAY(),"Late by "&amp;(TODAY()-K889)&amp;IF((TODAY()-K889)=1," day"," days"),IF(K889=TODAY(),"Due today","Due in "&amp;(K889-TODAY())&amp;IF((K889-TODAY())=1," day"," days"))))))</f>
        <v/>
      </c>
      <c r="S889" s="33" t="n"/>
      <c r="T889" s="1">
        <f>IF(AND(B889&lt;&gt;"",K889&lt;&gt;"",L889&lt;&gt;"Sent",L889&lt;&gt;"Picked up",L889&lt;&gt;"Cancelled"),K889+ROW()/10000000,"")</f>
        <v/>
      </c>
      <c r="U889">
        <f>IF(OR(B889="",C889=""),"",B889+ROW()/10000000)</f>
        <v/>
      </c>
      <c r="V889">
        <f>IF(U889="","",IF(COUNTIFS(Orders!$C$6:$C$1005,C889,Orders!$U$6:$U$1005,"&gt;"&amp;U889)=0,1,0))</f>
        <v/>
      </c>
      <c r="W889">
        <f>IF(AND(B889&lt;&gt;"",K889&lt;&gt;"",L889&lt;&gt;"Sent",L889&lt;&gt;"Picked up",L889&lt;&gt;"Cancelled"),IF(N(E889)=0,1,E889),0)</f>
        <v/>
      </c>
      <c r="X889">
        <f>IF(OR(B889="",D889=""),"",IF(N(E889)=0,1,E889))</f>
        <v/>
      </c>
    </row>
    <row r="890">
      <c r="A890" s="1" t="n"/>
      <c r="B890" s="31" t="n"/>
      <c r="C890" s="32" t="n"/>
      <c r="D890" s="33" t="n"/>
      <c r="E890" s="34" t="n"/>
      <c r="F890" s="35" t="n"/>
      <c r="G890" s="35" t="n"/>
      <c r="H890" s="30">
        <f>IF(OR(B890="",D890=""),"",IF(N(E890)=0,1,E890)*IFERROR(INDEX(Products!$C$6:$C$105,MATCH(D890,Products!$B$6:$B$105,0)),0)+N(F890)+N(G890))</f>
        <v/>
      </c>
      <c r="I890" s="35" t="n"/>
      <c r="J890" s="30">
        <f>IF(OR(H890="",L890="Cancelled"),"",IF(H890-N(I890)&gt;0.005,H890-N(I890),""))</f>
        <v/>
      </c>
      <c r="K890" s="31" t="n"/>
      <c r="L890" s="36" t="n"/>
      <c r="M890" s="33" t="n"/>
      <c r="N890" s="22">
        <f>IF(OR(H890="",L890="Cancelled"),"",IF(N(E890)=0,1,E890)*IFERROR(INDEX(Products!$E$6:$E$105,MATCH(D890,Products!$B$6:$B$105,0)),0))</f>
        <v/>
      </c>
      <c r="O890" s="35" t="n"/>
      <c r="P890" s="22">
        <f>IF(OR(H890="",L890="Cancelled"),"",ROUND(IFERROR(H890*INDEX(Settings!$C$6:$C$15,MATCH(M890,Settings!$B$6:$B$15,0))+INDEX(Settings!$D$6:$D$15,MATCH(M890,Settings!$B$6:$B$15,0)),0),2))</f>
        <v/>
      </c>
      <c r="Q890" s="28">
        <f>IF(OR(H890="",L890="Cancelled"),"",H890-N(N890)-N(O890)-N(P890))</f>
        <v/>
      </c>
      <c r="R890" s="19">
        <f>IF(OR(B890="",K890=""),"",IF(OR(L890="Sent",L890="Picked up"),"Done",IF(L890="Cancelled","Cancelled",IF(K890&lt;TODAY(),"Late by "&amp;(TODAY()-K890)&amp;IF((TODAY()-K890)=1," day"," days"),IF(K890=TODAY(),"Due today","Due in "&amp;(K890-TODAY())&amp;IF((K890-TODAY())=1," day"," days"))))))</f>
        <v/>
      </c>
      <c r="S890" s="33" t="n"/>
      <c r="T890" s="1">
        <f>IF(AND(B890&lt;&gt;"",K890&lt;&gt;"",L890&lt;&gt;"Sent",L890&lt;&gt;"Picked up",L890&lt;&gt;"Cancelled"),K890+ROW()/10000000,"")</f>
        <v/>
      </c>
      <c r="U890">
        <f>IF(OR(B890="",C890=""),"",B890+ROW()/10000000)</f>
        <v/>
      </c>
      <c r="V890">
        <f>IF(U890="","",IF(COUNTIFS(Orders!$C$6:$C$1005,C890,Orders!$U$6:$U$1005,"&gt;"&amp;U890)=0,1,0))</f>
        <v/>
      </c>
      <c r="W890">
        <f>IF(AND(B890&lt;&gt;"",K890&lt;&gt;"",L890&lt;&gt;"Sent",L890&lt;&gt;"Picked up",L890&lt;&gt;"Cancelled"),IF(N(E890)=0,1,E890),0)</f>
        <v/>
      </c>
      <c r="X890">
        <f>IF(OR(B890="",D890=""),"",IF(N(E890)=0,1,E890))</f>
        <v/>
      </c>
    </row>
    <row r="891">
      <c r="A891" s="1" t="n"/>
      <c r="B891" s="31" t="n"/>
      <c r="C891" s="32" t="n"/>
      <c r="D891" s="33" t="n"/>
      <c r="E891" s="34" t="n"/>
      <c r="F891" s="35" t="n"/>
      <c r="G891" s="35" t="n"/>
      <c r="H891" s="30">
        <f>IF(OR(B891="",D891=""),"",IF(N(E891)=0,1,E891)*IFERROR(INDEX(Products!$C$6:$C$105,MATCH(D891,Products!$B$6:$B$105,0)),0)+N(F891)+N(G891))</f>
        <v/>
      </c>
      <c r="I891" s="35" t="n"/>
      <c r="J891" s="30">
        <f>IF(OR(H891="",L891="Cancelled"),"",IF(H891-N(I891)&gt;0.005,H891-N(I891),""))</f>
        <v/>
      </c>
      <c r="K891" s="31" t="n"/>
      <c r="L891" s="36" t="n"/>
      <c r="M891" s="33" t="n"/>
      <c r="N891" s="22">
        <f>IF(OR(H891="",L891="Cancelled"),"",IF(N(E891)=0,1,E891)*IFERROR(INDEX(Products!$E$6:$E$105,MATCH(D891,Products!$B$6:$B$105,0)),0))</f>
        <v/>
      </c>
      <c r="O891" s="35" t="n"/>
      <c r="P891" s="22">
        <f>IF(OR(H891="",L891="Cancelled"),"",ROUND(IFERROR(H891*INDEX(Settings!$C$6:$C$15,MATCH(M891,Settings!$B$6:$B$15,0))+INDEX(Settings!$D$6:$D$15,MATCH(M891,Settings!$B$6:$B$15,0)),0),2))</f>
        <v/>
      </c>
      <c r="Q891" s="28">
        <f>IF(OR(H891="",L891="Cancelled"),"",H891-N(N891)-N(O891)-N(P891))</f>
        <v/>
      </c>
      <c r="R891" s="19">
        <f>IF(OR(B891="",K891=""),"",IF(OR(L891="Sent",L891="Picked up"),"Done",IF(L891="Cancelled","Cancelled",IF(K891&lt;TODAY(),"Late by "&amp;(TODAY()-K891)&amp;IF((TODAY()-K891)=1," day"," days"),IF(K891=TODAY(),"Due today","Due in "&amp;(K891-TODAY())&amp;IF((K891-TODAY())=1," day"," days"))))))</f>
        <v/>
      </c>
      <c r="S891" s="33" t="n"/>
      <c r="T891" s="1">
        <f>IF(AND(B891&lt;&gt;"",K891&lt;&gt;"",L891&lt;&gt;"Sent",L891&lt;&gt;"Picked up",L891&lt;&gt;"Cancelled"),K891+ROW()/10000000,"")</f>
        <v/>
      </c>
      <c r="U891">
        <f>IF(OR(B891="",C891=""),"",B891+ROW()/10000000)</f>
        <v/>
      </c>
      <c r="V891">
        <f>IF(U891="","",IF(COUNTIFS(Orders!$C$6:$C$1005,C891,Orders!$U$6:$U$1005,"&gt;"&amp;U891)=0,1,0))</f>
        <v/>
      </c>
      <c r="W891">
        <f>IF(AND(B891&lt;&gt;"",K891&lt;&gt;"",L891&lt;&gt;"Sent",L891&lt;&gt;"Picked up",L891&lt;&gt;"Cancelled"),IF(N(E891)=0,1,E891),0)</f>
        <v/>
      </c>
      <c r="X891">
        <f>IF(OR(B891="",D891=""),"",IF(N(E891)=0,1,E891))</f>
        <v/>
      </c>
    </row>
    <row r="892">
      <c r="A892" s="1" t="n"/>
      <c r="B892" s="31" t="n"/>
      <c r="C892" s="32" t="n"/>
      <c r="D892" s="33" t="n"/>
      <c r="E892" s="34" t="n"/>
      <c r="F892" s="35" t="n"/>
      <c r="G892" s="35" t="n"/>
      <c r="H892" s="30">
        <f>IF(OR(B892="",D892=""),"",IF(N(E892)=0,1,E892)*IFERROR(INDEX(Products!$C$6:$C$105,MATCH(D892,Products!$B$6:$B$105,0)),0)+N(F892)+N(G892))</f>
        <v/>
      </c>
      <c r="I892" s="35" t="n"/>
      <c r="J892" s="30">
        <f>IF(OR(H892="",L892="Cancelled"),"",IF(H892-N(I892)&gt;0.005,H892-N(I892),""))</f>
        <v/>
      </c>
      <c r="K892" s="31" t="n"/>
      <c r="L892" s="36" t="n"/>
      <c r="M892" s="33" t="n"/>
      <c r="N892" s="22">
        <f>IF(OR(H892="",L892="Cancelled"),"",IF(N(E892)=0,1,E892)*IFERROR(INDEX(Products!$E$6:$E$105,MATCH(D892,Products!$B$6:$B$105,0)),0))</f>
        <v/>
      </c>
      <c r="O892" s="35" t="n"/>
      <c r="P892" s="22">
        <f>IF(OR(H892="",L892="Cancelled"),"",ROUND(IFERROR(H892*INDEX(Settings!$C$6:$C$15,MATCH(M892,Settings!$B$6:$B$15,0))+INDEX(Settings!$D$6:$D$15,MATCH(M892,Settings!$B$6:$B$15,0)),0),2))</f>
        <v/>
      </c>
      <c r="Q892" s="28">
        <f>IF(OR(H892="",L892="Cancelled"),"",H892-N(N892)-N(O892)-N(P892))</f>
        <v/>
      </c>
      <c r="R892" s="19">
        <f>IF(OR(B892="",K892=""),"",IF(OR(L892="Sent",L892="Picked up"),"Done",IF(L892="Cancelled","Cancelled",IF(K892&lt;TODAY(),"Late by "&amp;(TODAY()-K892)&amp;IF((TODAY()-K892)=1," day"," days"),IF(K892=TODAY(),"Due today","Due in "&amp;(K892-TODAY())&amp;IF((K892-TODAY())=1," day"," days"))))))</f>
        <v/>
      </c>
      <c r="S892" s="33" t="n"/>
      <c r="T892" s="1">
        <f>IF(AND(B892&lt;&gt;"",K892&lt;&gt;"",L892&lt;&gt;"Sent",L892&lt;&gt;"Picked up",L892&lt;&gt;"Cancelled"),K892+ROW()/10000000,"")</f>
        <v/>
      </c>
      <c r="U892">
        <f>IF(OR(B892="",C892=""),"",B892+ROW()/10000000)</f>
        <v/>
      </c>
      <c r="V892">
        <f>IF(U892="","",IF(COUNTIFS(Orders!$C$6:$C$1005,C892,Orders!$U$6:$U$1005,"&gt;"&amp;U892)=0,1,0))</f>
        <v/>
      </c>
      <c r="W892">
        <f>IF(AND(B892&lt;&gt;"",K892&lt;&gt;"",L892&lt;&gt;"Sent",L892&lt;&gt;"Picked up",L892&lt;&gt;"Cancelled"),IF(N(E892)=0,1,E892),0)</f>
        <v/>
      </c>
      <c r="X892">
        <f>IF(OR(B892="",D892=""),"",IF(N(E892)=0,1,E892))</f>
        <v/>
      </c>
    </row>
    <row r="893">
      <c r="A893" s="1" t="n"/>
      <c r="B893" s="31" t="n"/>
      <c r="C893" s="32" t="n"/>
      <c r="D893" s="33" t="n"/>
      <c r="E893" s="34" t="n"/>
      <c r="F893" s="35" t="n"/>
      <c r="G893" s="35" t="n"/>
      <c r="H893" s="30">
        <f>IF(OR(B893="",D893=""),"",IF(N(E893)=0,1,E893)*IFERROR(INDEX(Products!$C$6:$C$105,MATCH(D893,Products!$B$6:$B$105,0)),0)+N(F893)+N(G893))</f>
        <v/>
      </c>
      <c r="I893" s="35" t="n"/>
      <c r="J893" s="30">
        <f>IF(OR(H893="",L893="Cancelled"),"",IF(H893-N(I893)&gt;0.005,H893-N(I893),""))</f>
        <v/>
      </c>
      <c r="K893" s="31" t="n"/>
      <c r="L893" s="36" t="n"/>
      <c r="M893" s="33" t="n"/>
      <c r="N893" s="22">
        <f>IF(OR(H893="",L893="Cancelled"),"",IF(N(E893)=0,1,E893)*IFERROR(INDEX(Products!$E$6:$E$105,MATCH(D893,Products!$B$6:$B$105,0)),0))</f>
        <v/>
      </c>
      <c r="O893" s="35" t="n"/>
      <c r="P893" s="22">
        <f>IF(OR(H893="",L893="Cancelled"),"",ROUND(IFERROR(H893*INDEX(Settings!$C$6:$C$15,MATCH(M893,Settings!$B$6:$B$15,0))+INDEX(Settings!$D$6:$D$15,MATCH(M893,Settings!$B$6:$B$15,0)),0),2))</f>
        <v/>
      </c>
      <c r="Q893" s="28">
        <f>IF(OR(H893="",L893="Cancelled"),"",H893-N(N893)-N(O893)-N(P893))</f>
        <v/>
      </c>
      <c r="R893" s="19">
        <f>IF(OR(B893="",K893=""),"",IF(OR(L893="Sent",L893="Picked up"),"Done",IF(L893="Cancelled","Cancelled",IF(K893&lt;TODAY(),"Late by "&amp;(TODAY()-K893)&amp;IF((TODAY()-K893)=1," day"," days"),IF(K893=TODAY(),"Due today","Due in "&amp;(K893-TODAY())&amp;IF((K893-TODAY())=1," day"," days"))))))</f>
        <v/>
      </c>
      <c r="S893" s="33" t="n"/>
      <c r="T893" s="1">
        <f>IF(AND(B893&lt;&gt;"",K893&lt;&gt;"",L893&lt;&gt;"Sent",L893&lt;&gt;"Picked up",L893&lt;&gt;"Cancelled"),K893+ROW()/10000000,"")</f>
        <v/>
      </c>
      <c r="U893">
        <f>IF(OR(B893="",C893=""),"",B893+ROW()/10000000)</f>
        <v/>
      </c>
      <c r="V893">
        <f>IF(U893="","",IF(COUNTIFS(Orders!$C$6:$C$1005,C893,Orders!$U$6:$U$1005,"&gt;"&amp;U893)=0,1,0))</f>
        <v/>
      </c>
      <c r="W893">
        <f>IF(AND(B893&lt;&gt;"",K893&lt;&gt;"",L893&lt;&gt;"Sent",L893&lt;&gt;"Picked up",L893&lt;&gt;"Cancelled"),IF(N(E893)=0,1,E893),0)</f>
        <v/>
      </c>
      <c r="X893">
        <f>IF(OR(B893="",D893=""),"",IF(N(E893)=0,1,E893))</f>
        <v/>
      </c>
    </row>
    <row r="894">
      <c r="A894" s="1" t="n"/>
      <c r="B894" s="31" t="n"/>
      <c r="C894" s="32" t="n"/>
      <c r="D894" s="33" t="n"/>
      <c r="E894" s="34" t="n"/>
      <c r="F894" s="35" t="n"/>
      <c r="G894" s="35" t="n"/>
      <c r="H894" s="30">
        <f>IF(OR(B894="",D894=""),"",IF(N(E894)=0,1,E894)*IFERROR(INDEX(Products!$C$6:$C$105,MATCH(D894,Products!$B$6:$B$105,0)),0)+N(F894)+N(G894))</f>
        <v/>
      </c>
      <c r="I894" s="35" t="n"/>
      <c r="J894" s="30">
        <f>IF(OR(H894="",L894="Cancelled"),"",IF(H894-N(I894)&gt;0.005,H894-N(I894),""))</f>
        <v/>
      </c>
      <c r="K894" s="31" t="n"/>
      <c r="L894" s="36" t="n"/>
      <c r="M894" s="33" t="n"/>
      <c r="N894" s="22">
        <f>IF(OR(H894="",L894="Cancelled"),"",IF(N(E894)=0,1,E894)*IFERROR(INDEX(Products!$E$6:$E$105,MATCH(D894,Products!$B$6:$B$105,0)),0))</f>
        <v/>
      </c>
      <c r="O894" s="35" t="n"/>
      <c r="P894" s="22">
        <f>IF(OR(H894="",L894="Cancelled"),"",ROUND(IFERROR(H894*INDEX(Settings!$C$6:$C$15,MATCH(M894,Settings!$B$6:$B$15,0))+INDEX(Settings!$D$6:$D$15,MATCH(M894,Settings!$B$6:$B$15,0)),0),2))</f>
        <v/>
      </c>
      <c r="Q894" s="28">
        <f>IF(OR(H894="",L894="Cancelled"),"",H894-N(N894)-N(O894)-N(P894))</f>
        <v/>
      </c>
      <c r="R894" s="19">
        <f>IF(OR(B894="",K894=""),"",IF(OR(L894="Sent",L894="Picked up"),"Done",IF(L894="Cancelled","Cancelled",IF(K894&lt;TODAY(),"Late by "&amp;(TODAY()-K894)&amp;IF((TODAY()-K894)=1," day"," days"),IF(K894=TODAY(),"Due today","Due in "&amp;(K894-TODAY())&amp;IF((K894-TODAY())=1," day"," days"))))))</f>
        <v/>
      </c>
      <c r="S894" s="33" t="n"/>
      <c r="T894" s="1">
        <f>IF(AND(B894&lt;&gt;"",K894&lt;&gt;"",L894&lt;&gt;"Sent",L894&lt;&gt;"Picked up",L894&lt;&gt;"Cancelled"),K894+ROW()/10000000,"")</f>
        <v/>
      </c>
      <c r="U894">
        <f>IF(OR(B894="",C894=""),"",B894+ROW()/10000000)</f>
        <v/>
      </c>
      <c r="V894">
        <f>IF(U894="","",IF(COUNTIFS(Orders!$C$6:$C$1005,C894,Orders!$U$6:$U$1005,"&gt;"&amp;U894)=0,1,0))</f>
        <v/>
      </c>
      <c r="W894">
        <f>IF(AND(B894&lt;&gt;"",K894&lt;&gt;"",L894&lt;&gt;"Sent",L894&lt;&gt;"Picked up",L894&lt;&gt;"Cancelled"),IF(N(E894)=0,1,E894),0)</f>
        <v/>
      </c>
      <c r="X894">
        <f>IF(OR(B894="",D894=""),"",IF(N(E894)=0,1,E894))</f>
        <v/>
      </c>
    </row>
    <row r="895">
      <c r="A895" s="1" t="n"/>
      <c r="B895" s="31" t="n"/>
      <c r="C895" s="32" t="n"/>
      <c r="D895" s="33" t="n"/>
      <c r="E895" s="34" t="n"/>
      <c r="F895" s="35" t="n"/>
      <c r="G895" s="35" t="n"/>
      <c r="H895" s="30">
        <f>IF(OR(B895="",D895=""),"",IF(N(E895)=0,1,E895)*IFERROR(INDEX(Products!$C$6:$C$105,MATCH(D895,Products!$B$6:$B$105,0)),0)+N(F895)+N(G895))</f>
        <v/>
      </c>
      <c r="I895" s="35" t="n"/>
      <c r="J895" s="30">
        <f>IF(OR(H895="",L895="Cancelled"),"",IF(H895-N(I895)&gt;0.005,H895-N(I895),""))</f>
        <v/>
      </c>
      <c r="K895" s="31" t="n"/>
      <c r="L895" s="36" t="n"/>
      <c r="M895" s="33" t="n"/>
      <c r="N895" s="22">
        <f>IF(OR(H895="",L895="Cancelled"),"",IF(N(E895)=0,1,E895)*IFERROR(INDEX(Products!$E$6:$E$105,MATCH(D895,Products!$B$6:$B$105,0)),0))</f>
        <v/>
      </c>
      <c r="O895" s="35" t="n"/>
      <c r="P895" s="22">
        <f>IF(OR(H895="",L895="Cancelled"),"",ROUND(IFERROR(H895*INDEX(Settings!$C$6:$C$15,MATCH(M895,Settings!$B$6:$B$15,0))+INDEX(Settings!$D$6:$D$15,MATCH(M895,Settings!$B$6:$B$15,0)),0),2))</f>
        <v/>
      </c>
      <c r="Q895" s="28">
        <f>IF(OR(H895="",L895="Cancelled"),"",H895-N(N895)-N(O895)-N(P895))</f>
        <v/>
      </c>
      <c r="R895" s="19">
        <f>IF(OR(B895="",K895=""),"",IF(OR(L895="Sent",L895="Picked up"),"Done",IF(L895="Cancelled","Cancelled",IF(K895&lt;TODAY(),"Late by "&amp;(TODAY()-K895)&amp;IF((TODAY()-K895)=1," day"," days"),IF(K895=TODAY(),"Due today","Due in "&amp;(K895-TODAY())&amp;IF((K895-TODAY())=1," day"," days"))))))</f>
        <v/>
      </c>
      <c r="S895" s="33" t="n"/>
      <c r="T895" s="1">
        <f>IF(AND(B895&lt;&gt;"",K895&lt;&gt;"",L895&lt;&gt;"Sent",L895&lt;&gt;"Picked up",L895&lt;&gt;"Cancelled"),K895+ROW()/10000000,"")</f>
        <v/>
      </c>
      <c r="U895">
        <f>IF(OR(B895="",C895=""),"",B895+ROW()/10000000)</f>
        <v/>
      </c>
      <c r="V895">
        <f>IF(U895="","",IF(COUNTIFS(Orders!$C$6:$C$1005,C895,Orders!$U$6:$U$1005,"&gt;"&amp;U895)=0,1,0))</f>
        <v/>
      </c>
      <c r="W895">
        <f>IF(AND(B895&lt;&gt;"",K895&lt;&gt;"",L895&lt;&gt;"Sent",L895&lt;&gt;"Picked up",L895&lt;&gt;"Cancelled"),IF(N(E895)=0,1,E895),0)</f>
        <v/>
      </c>
      <c r="X895">
        <f>IF(OR(B895="",D895=""),"",IF(N(E895)=0,1,E895))</f>
        <v/>
      </c>
    </row>
    <row r="896">
      <c r="A896" s="1" t="n"/>
      <c r="B896" s="31" t="n"/>
      <c r="C896" s="32" t="n"/>
      <c r="D896" s="33" t="n"/>
      <c r="E896" s="34" t="n"/>
      <c r="F896" s="35" t="n"/>
      <c r="G896" s="35" t="n"/>
      <c r="H896" s="30">
        <f>IF(OR(B896="",D896=""),"",IF(N(E896)=0,1,E896)*IFERROR(INDEX(Products!$C$6:$C$105,MATCH(D896,Products!$B$6:$B$105,0)),0)+N(F896)+N(G896))</f>
        <v/>
      </c>
      <c r="I896" s="35" t="n"/>
      <c r="J896" s="30">
        <f>IF(OR(H896="",L896="Cancelled"),"",IF(H896-N(I896)&gt;0.005,H896-N(I896),""))</f>
        <v/>
      </c>
      <c r="K896" s="31" t="n"/>
      <c r="L896" s="36" t="n"/>
      <c r="M896" s="33" t="n"/>
      <c r="N896" s="22">
        <f>IF(OR(H896="",L896="Cancelled"),"",IF(N(E896)=0,1,E896)*IFERROR(INDEX(Products!$E$6:$E$105,MATCH(D896,Products!$B$6:$B$105,0)),0))</f>
        <v/>
      </c>
      <c r="O896" s="35" t="n"/>
      <c r="P896" s="22">
        <f>IF(OR(H896="",L896="Cancelled"),"",ROUND(IFERROR(H896*INDEX(Settings!$C$6:$C$15,MATCH(M896,Settings!$B$6:$B$15,0))+INDEX(Settings!$D$6:$D$15,MATCH(M896,Settings!$B$6:$B$15,0)),0),2))</f>
        <v/>
      </c>
      <c r="Q896" s="28">
        <f>IF(OR(H896="",L896="Cancelled"),"",H896-N(N896)-N(O896)-N(P896))</f>
        <v/>
      </c>
      <c r="R896" s="19">
        <f>IF(OR(B896="",K896=""),"",IF(OR(L896="Sent",L896="Picked up"),"Done",IF(L896="Cancelled","Cancelled",IF(K896&lt;TODAY(),"Late by "&amp;(TODAY()-K896)&amp;IF((TODAY()-K896)=1," day"," days"),IF(K896=TODAY(),"Due today","Due in "&amp;(K896-TODAY())&amp;IF((K896-TODAY())=1," day"," days"))))))</f>
        <v/>
      </c>
      <c r="S896" s="33" t="n"/>
      <c r="T896" s="1">
        <f>IF(AND(B896&lt;&gt;"",K896&lt;&gt;"",L896&lt;&gt;"Sent",L896&lt;&gt;"Picked up",L896&lt;&gt;"Cancelled"),K896+ROW()/10000000,"")</f>
        <v/>
      </c>
      <c r="U896">
        <f>IF(OR(B896="",C896=""),"",B896+ROW()/10000000)</f>
        <v/>
      </c>
      <c r="V896">
        <f>IF(U896="","",IF(COUNTIFS(Orders!$C$6:$C$1005,C896,Orders!$U$6:$U$1005,"&gt;"&amp;U896)=0,1,0))</f>
        <v/>
      </c>
      <c r="W896">
        <f>IF(AND(B896&lt;&gt;"",K896&lt;&gt;"",L896&lt;&gt;"Sent",L896&lt;&gt;"Picked up",L896&lt;&gt;"Cancelled"),IF(N(E896)=0,1,E896),0)</f>
        <v/>
      </c>
      <c r="X896">
        <f>IF(OR(B896="",D896=""),"",IF(N(E896)=0,1,E896))</f>
        <v/>
      </c>
    </row>
    <row r="897">
      <c r="A897" s="1" t="n"/>
      <c r="B897" s="31" t="n"/>
      <c r="C897" s="32" t="n"/>
      <c r="D897" s="33" t="n"/>
      <c r="E897" s="34" t="n"/>
      <c r="F897" s="35" t="n"/>
      <c r="G897" s="35" t="n"/>
      <c r="H897" s="30">
        <f>IF(OR(B897="",D897=""),"",IF(N(E897)=0,1,E897)*IFERROR(INDEX(Products!$C$6:$C$105,MATCH(D897,Products!$B$6:$B$105,0)),0)+N(F897)+N(G897))</f>
        <v/>
      </c>
      <c r="I897" s="35" t="n"/>
      <c r="J897" s="30">
        <f>IF(OR(H897="",L897="Cancelled"),"",IF(H897-N(I897)&gt;0.005,H897-N(I897),""))</f>
        <v/>
      </c>
      <c r="K897" s="31" t="n"/>
      <c r="L897" s="36" t="n"/>
      <c r="M897" s="33" t="n"/>
      <c r="N897" s="22">
        <f>IF(OR(H897="",L897="Cancelled"),"",IF(N(E897)=0,1,E897)*IFERROR(INDEX(Products!$E$6:$E$105,MATCH(D897,Products!$B$6:$B$105,0)),0))</f>
        <v/>
      </c>
      <c r="O897" s="35" t="n"/>
      <c r="P897" s="22">
        <f>IF(OR(H897="",L897="Cancelled"),"",ROUND(IFERROR(H897*INDEX(Settings!$C$6:$C$15,MATCH(M897,Settings!$B$6:$B$15,0))+INDEX(Settings!$D$6:$D$15,MATCH(M897,Settings!$B$6:$B$15,0)),0),2))</f>
        <v/>
      </c>
      <c r="Q897" s="28">
        <f>IF(OR(H897="",L897="Cancelled"),"",H897-N(N897)-N(O897)-N(P897))</f>
        <v/>
      </c>
      <c r="R897" s="19">
        <f>IF(OR(B897="",K897=""),"",IF(OR(L897="Sent",L897="Picked up"),"Done",IF(L897="Cancelled","Cancelled",IF(K897&lt;TODAY(),"Late by "&amp;(TODAY()-K897)&amp;IF((TODAY()-K897)=1," day"," days"),IF(K897=TODAY(),"Due today","Due in "&amp;(K897-TODAY())&amp;IF((K897-TODAY())=1," day"," days"))))))</f>
        <v/>
      </c>
      <c r="S897" s="33" t="n"/>
      <c r="T897" s="1">
        <f>IF(AND(B897&lt;&gt;"",K897&lt;&gt;"",L897&lt;&gt;"Sent",L897&lt;&gt;"Picked up",L897&lt;&gt;"Cancelled"),K897+ROW()/10000000,"")</f>
        <v/>
      </c>
      <c r="U897">
        <f>IF(OR(B897="",C897=""),"",B897+ROW()/10000000)</f>
        <v/>
      </c>
      <c r="V897">
        <f>IF(U897="","",IF(COUNTIFS(Orders!$C$6:$C$1005,C897,Orders!$U$6:$U$1005,"&gt;"&amp;U897)=0,1,0))</f>
        <v/>
      </c>
      <c r="W897">
        <f>IF(AND(B897&lt;&gt;"",K897&lt;&gt;"",L897&lt;&gt;"Sent",L897&lt;&gt;"Picked up",L897&lt;&gt;"Cancelled"),IF(N(E897)=0,1,E897),0)</f>
        <v/>
      </c>
      <c r="X897">
        <f>IF(OR(B897="",D897=""),"",IF(N(E897)=0,1,E897))</f>
        <v/>
      </c>
    </row>
    <row r="898">
      <c r="A898" s="1" t="n"/>
      <c r="B898" s="31" t="n"/>
      <c r="C898" s="32" t="n"/>
      <c r="D898" s="33" t="n"/>
      <c r="E898" s="34" t="n"/>
      <c r="F898" s="35" t="n"/>
      <c r="G898" s="35" t="n"/>
      <c r="H898" s="30">
        <f>IF(OR(B898="",D898=""),"",IF(N(E898)=0,1,E898)*IFERROR(INDEX(Products!$C$6:$C$105,MATCH(D898,Products!$B$6:$B$105,0)),0)+N(F898)+N(G898))</f>
        <v/>
      </c>
      <c r="I898" s="35" t="n"/>
      <c r="J898" s="30">
        <f>IF(OR(H898="",L898="Cancelled"),"",IF(H898-N(I898)&gt;0.005,H898-N(I898),""))</f>
        <v/>
      </c>
      <c r="K898" s="31" t="n"/>
      <c r="L898" s="36" t="n"/>
      <c r="M898" s="33" t="n"/>
      <c r="N898" s="22">
        <f>IF(OR(H898="",L898="Cancelled"),"",IF(N(E898)=0,1,E898)*IFERROR(INDEX(Products!$E$6:$E$105,MATCH(D898,Products!$B$6:$B$105,0)),0))</f>
        <v/>
      </c>
      <c r="O898" s="35" t="n"/>
      <c r="P898" s="22">
        <f>IF(OR(H898="",L898="Cancelled"),"",ROUND(IFERROR(H898*INDEX(Settings!$C$6:$C$15,MATCH(M898,Settings!$B$6:$B$15,0))+INDEX(Settings!$D$6:$D$15,MATCH(M898,Settings!$B$6:$B$15,0)),0),2))</f>
        <v/>
      </c>
      <c r="Q898" s="28">
        <f>IF(OR(H898="",L898="Cancelled"),"",H898-N(N898)-N(O898)-N(P898))</f>
        <v/>
      </c>
      <c r="R898" s="19">
        <f>IF(OR(B898="",K898=""),"",IF(OR(L898="Sent",L898="Picked up"),"Done",IF(L898="Cancelled","Cancelled",IF(K898&lt;TODAY(),"Late by "&amp;(TODAY()-K898)&amp;IF((TODAY()-K898)=1," day"," days"),IF(K898=TODAY(),"Due today","Due in "&amp;(K898-TODAY())&amp;IF((K898-TODAY())=1," day"," days"))))))</f>
        <v/>
      </c>
      <c r="S898" s="33" t="n"/>
      <c r="T898" s="1">
        <f>IF(AND(B898&lt;&gt;"",K898&lt;&gt;"",L898&lt;&gt;"Sent",L898&lt;&gt;"Picked up",L898&lt;&gt;"Cancelled"),K898+ROW()/10000000,"")</f>
        <v/>
      </c>
      <c r="U898">
        <f>IF(OR(B898="",C898=""),"",B898+ROW()/10000000)</f>
        <v/>
      </c>
      <c r="V898">
        <f>IF(U898="","",IF(COUNTIFS(Orders!$C$6:$C$1005,C898,Orders!$U$6:$U$1005,"&gt;"&amp;U898)=0,1,0))</f>
        <v/>
      </c>
      <c r="W898">
        <f>IF(AND(B898&lt;&gt;"",K898&lt;&gt;"",L898&lt;&gt;"Sent",L898&lt;&gt;"Picked up",L898&lt;&gt;"Cancelled"),IF(N(E898)=0,1,E898),0)</f>
        <v/>
      </c>
      <c r="X898">
        <f>IF(OR(B898="",D898=""),"",IF(N(E898)=0,1,E898))</f>
        <v/>
      </c>
    </row>
    <row r="899">
      <c r="A899" s="1" t="n"/>
      <c r="B899" s="31" t="n"/>
      <c r="C899" s="32" t="n"/>
      <c r="D899" s="33" t="n"/>
      <c r="E899" s="34" t="n"/>
      <c r="F899" s="35" t="n"/>
      <c r="G899" s="35" t="n"/>
      <c r="H899" s="30">
        <f>IF(OR(B899="",D899=""),"",IF(N(E899)=0,1,E899)*IFERROR(INDEX(Products!$C$6:$C$105,MATCH(D899,Products!$B$6:$B$105,0)),0)+N(F899)+N(G899))</f>
        <v/>
      </c>
      <c r="I899" s="35" t="n"/>
      <c r="J899" s="30">
        <f>IF(OR(H899="",L899="Cancelled"),"",IF(H899-N(I899)&gt;0.005,H899-N(I899),""))</f>
        <v/>
      </c>
      <c r="K899" s="31" t="n"/>
      <c r="L899" s="36" t="n"/>
      <c r="M899" s="33" t="n"/>
      <c r="N899" s="22">
        <f>IF(OR(H899="",L899="Cancelled"),"",IF(N(E899)=0,1,E899)*IFERROR(INDEX(Products!$E$6:$E$105,MATCH(D899,Products!$B$6:$B$105,0)),0))</f>
        <v/>
      </c>
      <c r="O899" s="35" t="n"/>
      <c r="P899" s="22">
        <f>IF(OR(H899="",L899="Cancelled"),"",ROUND(IFERROR(H899*INDEX(Settings!$C$6:$C$15,MATCH(M899,Settings!$B$6:$B$15,0))+INDEX(Settings!$D$6:$D$15,MATCH(M899,Settings!$B$6:$B$15,0)),0),2))</f>
        <v/>
      </c>
      <c r="Q899" s="28">
        <f>IF(OR(H899="",L899="Cancelled"),"",H899-N(N899)-N(O899)-N(P899))</f>
        <v/>
      </c>
      <c r="R899" s="19">
        <f>IF(OR(B899="",K899=""),"",IF(OR(L899="Sent",L899="Picked up"),"Done",IF(L899="Cancelled","Cancelled",IF(K899&lt;TODAY(),"Late by "&amp;(TODAY()-K899)&amp;IF((TODAY()-K899)=1," day"," days"),IF(K899=TODAY(),"Due today","Due in "&amp;(K899-TODAY())&amp;IF((K899-TODAY())=1," day"," days"))))))</f>
        <v/>
      </c>
      <c r="S899" s="33" t="n"/>
      <c r="T899" s="1">
        <f>IF(AND(B899&lt;&gt;"",K899&lt;&gt;"",L899&lt;&gt;"Sent",L899&lt;&gt;"Picked up",L899&lt;&gt;"Cancelled"),K899+ROW()/10000000,"")</f>
        <v/>
      </c>
      <c r="U899">
        <f>IF(OR(B899="",C899=""),"",B899+ROW()/10000000)</f>
        <v/>
      </c>
      <c r="V899">
        <f>IF(U899="","",IF(COUNTIFS(Orders!$C$6:$C$1005,C899,Orders!$U$6:$U$1005,"&gt;"&amp;U899)=0,1,0))</f>
        <v/>
      </c>
      <c r="W899">
        <f>IF(AND(B899&lt;&gt;"",K899&lt;&gt;"",L899&lt;&gt;"Sent",L899&lt;&gt;"Picked up",L899&lt;&gt;"Cancelled"),IF(N(E899)=0,1,E899),0)</f>
        <v/>
      </c>
      <c r="X899">
        <f>IF(OR(B899="",D899=""),"",IF(N(E899)=0,1,E899))</f>
        <v/>
      </c>
    </row>
    <row r="900">
      <c r="A900" s="1" t="n"/>
      <c r="B900" s="31" t="n"/>
      <c r="C900" s="32" t="n"/>
      <c r="D900" s="33" t="n"/>
      <c r="E900" s="34" t="n"/>
      <c r="F900" s="35" t="n"/>
      <c r="G900" s="35" t="n"/>
      <c r="H900" s="30">
        <f>IF(OR(B900="",D900=""),"",IF(N(E900)=0,1,E900)*IFERROR(INDEX(Products!$C$6:$C$105,MATCH(D900,Products!$B$6:$B$105,0)),0)+N(F900)+N(G900))</f>
        <v/>
      </c>
      <c r="I900" s="35" t="n"/>
      <c r="J900" s="30">
        <f>IF(OR(H900="",L900="Cancelled"),"",IF(H900-N(I900)&gt;0.005,H900-N(I900),""))</f>
        <v/>
      </c>
      <c r="K900" s="31" t="n"/>
      <c r="L900" s="36" t="n"/>
      <c r="M900" s="33" t="n"/>
      <c r="N900" s="22">
        <f>IF(OR(H900="",L900="Cancelled"),"",IF(N(E900)=0,1,E900)*IFERROR(INDEX(Products!$E$6:$E$105,MATCH(D900,Products!$B$6:$B$105,0)),0))</f>
        <v/>
      </c>
      <c r="O900" s="35" t="n"/>
      <c r="P900" s="22">
        <f>IF(OR(H900="",L900="Cancelled"),"",ROUND(IFERROR(H900*INDEX(Settings!$C$6:$C$15,MATCH(M900,Settings!$B$6:$B$15,0))+INDEX(Settings!$D$6:$D$15,MATCH(M900,Settings!$B$6:$B$15,0)),0),2))</f>
        <v/>
      </c>
      <c r="Q900" s="28">
        <f>IF(OR(H900="",L900="Cancelled"),"",H900-N(N900)-N(O900)-N(P900))</f>
        <v/>
      </c>
      <c r="R900" s="19">
        <f>IF(OR(B900="",K900=""),"",IF(OR(L900="Sent",L900="Picked up"),"Done",IF(L900="Cancelled","Cancelled",IF(K900&lt;TODAY(),"Late by "&amp;(TODAY()-K900)&amp;IF((TODAY()-K900)=1," day"," days"),IF(K900=TODAY(),"Due today","Due in "&amp;(K900-TODAY())&amp;IF((K900-TODAY())=1," day"," days"))))))</f>
        <v/>
      </c>
      <c r="S900" s="33" t="n"/>
      <c r="T900" s="1">
        <f>IF(AND(B900&lt;&gt;"",K900&lt;&gt;"",L900&lt;&gt;"Sent",L900&lt;&gt;"Picked up",L900&lt;&gt;"Cancelled"),K900+ROW()/10000000,"")</f>
        <v/>
      </c>
      <c r="U900">
        <f>IF(OR(B900="",C900=""),"",B900+ROW()/10000000)</f>
        <v/>
      </c>
      <c r="V900">
        <f>IF(U900="","",IF(COUNTIFS(Orders!$C$6:$C$1005,C900,Orders!$U$6:$U$1005,"&gt;"&amp;U900)=0,1,0))</f>
        <v/>
      </c>
      <c r="W900">
        <f>IF(AND(B900&lt;&gt;"",K900&lt;&gt;"",L900&lt;&gt;"Sent",L900&lt;&gt;"Picked up",L900&lt;&gt;"Cancelled"),IF(N(E900)=0,1,E900),0)</f>
        <v/>
      </c>
      <c r="X900">
        <f>IF(OR(B900="",D900=""),"",IF(N(E900)=0,1,E900))</f>
        <v/>
      </c>
    </row>
    <row r="901">
      <c r="A901" s="1" t="n"/>
      <c r="B901" s="31" t="n"/>
      <c r="C901" s="32" t="n"/>
      <c r="D901" s="33" t="n"/>
      <c r="E901" s="34" t="n"/>
      <c r="F901" s="35" t="n"/>
      <c r="G901" s="35" t="n"/>
      <c r="H901" s="30">
        <f>IF(OR(B901="",D901=""),"",IF(N(E901)=0,1,E901)*IFERROR(INDEX(Products!$C$6:$C$105,MATCH(D901,Products!$B$6:$B$105,0)),0)+N(F901)+N(G901))</f>
        <v/>
      </c>
      <c r="I901" s="35" t="n"/>
      <c r="J901" s="30">
        <f>IF(OR(H901="",L901="Cancelled"),"",IF(H901-N(I901)&gt;0.005,H901-N(I901),""))</f>
        <v/>
      </c>
      <c r="K901" s="31" t="n"/>
      <c r="L901" s="36" t="n"/>
      <c r="M901" s="33" t="n"/>
      <c r="N901" s="22">
        <f>IF(OR(H901="",L901="Cancelled"),"",IF(N(E901)=0,1,E901)*IFERROR(INDEX(Products!$E$6:$E$105,MATCH(D901,Products!$B$6:$B$105,0)),0))</f>
        <v/>
      </c>
      <c r="O901" s="35" t="n"/>
      <c r="P901" s="22">
        <f>IF(OR(H901="",L901="Cancelled"),"",ROUND(IFERROR(H901*INDEX(Settings!$C$6:$C$15,MATCH(M901,Settings!$B$6:$B$15,0))+INDEX(Settings!$D$6:$D$15,MATCH(M901,Settings!$B$6:$B$15,0)),0),2))</f>
        <v/>
      </c>
      <c r="Q901" s="28">
        <f>IF(OR(H901="",L901="Cancelled"),"",H901-N(N901)-N(O901)-N(P901))</f>
        <v/>
      </c>
      <c r="R901" s="19">
        <f>IF(OR(B901="",K901=""),"",IF(OR(L901="Sent",L901="Picked up"),"Done",IF(L901="Cancelled","Cancelled",IF(K901&lt;TODAY(),"Late by "&amp;(TODAY()-K901)&amp;IF((TODAY()-K901)=1," day"," days"),IF(K901=TODAY(),"Due today","Due in "&amp;(K901-TODAY())&amp;IF((K901-TODAY())=1," day"," days"))))))</f>
        <v/>
      </c>
      <c r="S901" s="33" t="n"/>
      <c r="T901" s="1">
        <f>IF(AND(B901&lt;&gt;"",K901&lt;&gt;"",L901&lt;&gt;"Sent",L901&lt;&gt;"Picked up",L901&lt;&gt;"Cancelled"),K901+ROW()/10000000,"")</f>
        <v/>
      </c>
      <c r="U901">
        <f>IF(OR(B901="",C901=""),"",B901+ROW()/10000000)</f>
        <v/>
      </c>
      <c r="V901">
        <f>IF(U901="","",IF(COUNTIFS(Orders!$C$6:$C$1005,C901,Orders!$U$6:$U$1005,"&gt;"&amp;U901)=0,1,0))</f>
        <v/>
      </c>
      <c r="W901">
        <f>IF(AND(B901&lt;&gt;"",K901&lt;&gt;"",L901&lt;&gt;"Sent",L901&lt;&gt;"Picked up",L901&lt;&gt;"Cancelled"),IF(N(E901)=0,1,E901),0)</f>
        <v/>
      </c>
      <c r="X901">
        <f>IF(OR(B901="",D901=""),"",IF(N(E901)=0,1,E901))</f>
        <v/>
      </c>
    </row>
    <row r="902">
      <c r="A902" s="1" t="n"/>
      <c r="B902" s="31" t="n"/>
      <c r="C902" s="32" t="n"/>
      <c r="D902" s="33" t="n"/>
      <c r="E902" s="34" t="n"/>
      <c r="F902" s="35" t="n"/>
      <c r="G902" s="35" t="n"/>
      <c r="H902" s="30">
        <f>IF(OR(B902="",D902=""),"",IF(N(E902)=0,1,E902)*IFERROR(INDEX(Products!$C$6:$C$105,MATCH(D902,Products!$B$6:$B$105,0)),0)+N(F902)+N(G902))</f>
        <v/>
      </c>
      <c r="I902" s="35" t="n"/>
      <c r="J902" s="30">
        <f>IF(OR(H902="",L902="Cancelled"),"",IF(H902-N(I902)&gt;0.005,H902-N(I902),""))</f>
        <v/>
      </c>
      <c r="K902" s="31" t="n"/>
      <c r="L902" s="36" t="n"/>
      <c r="M902" s="33" t="n"/>
      <c r="N902" s="22">
        <f>IF(OR(H902="",L902="Cancelled"),"",IF(N(E902)=0,1,E902)*IFERROR(INDEX(Products!$E$6:$E$105,MATCH(D902,Products!$B$6:$B$105,0)),0))</f>
        <v/>
      </c>
      <c r="O902" s="35" t="n"/>
      <c r="P902" s="22">
        <f>IF(OR(H902="",L902="Cancelled"),"",ROUND(IFERROR(H902*INDEX(Settings!$C$6:$C$15,MATCH(M902,Settings!$B$6:$B$15,0))+INDEX(Settings!$D$6:$D$15,MATCH(M902,Settings!$B$6:$B$15,0)),0),2))</f>
        <v/>
      </c>
      <c r="Q902" s="28">
        <f>IF(OR(H902="",L902="Cancelled"),"",H902-N(N902)-N(O902)-N(P902))</f>
        <v/>
      </c>
      <c r="R902" s="19">
        <f>IF(OR(B902="",K902=""),"",IF(OR(L902="Sent",L902="Picked up"),"Done",IF(L902="Cancelled","Cancelled",IF(K902&lt;TODAY(),"Late by "&amp;(TODAY()-K902)&amp;IF((TODAY()-K902)=1," day"," days"),IF(K902=TODAY(),"Due today","Due in "&amp;(K902-TODAY())&amp;IF((K902-TODAY())=1," day"," days"))))))</f>
        <v/>
      </c>
      <c r="S902" s="33" t="n"/>
      <c r="T902" s="1">
        <f>IF(AND(B902&lt;&gt;"",K902&lt;&gt;"",L902&lt;&gt;"Sent",L902&lt;&gt;"Picked up",L902&lt;&gt;"Cancelled"),K902+ROW()/10000000,"")</f>
        <v/>
      </c>
      <c r="U902">
        <f>IF(OR(B902="",C902=""),"",B902+ROW()/10000000)</f>
        <v/>
      </c>
      <c r="V902">
        <f>IF(U902="","",IF(COUNTIFS(Orders!$C$6:$C$1005,C902,Orders!$U$6:$U$1005,"&gt;"&amp;U902)=0,1,0))</f>
        <v/>
      </c>
      <c r="W902">
        <f>IF(AND(B902&lt;&gt;"",K902&lt;&gt;"",L902&lt;&gt;"Sent",L902&lt;&gt;"Picked up",L902&lt;&gt;"Cancelled"),IF(N(E902)=0,1,E902),0)</f>
        <v/>
      </c>
      <c r="X902">
        <f>IF(OR(B902="",D902=""),"",IF(N(E902)=0,1,E902))</f>
        <v/>
      </c>
    </row>
    <row r="903">
      <c r="A903" s="1" t="n"/>
      <c r="B903" s="31" t="n"/>
      <c r="C903" s="32" t="n"/>
      <c r="D903" s="33" t="n"/>
      <c r="E903" s="34" t="n"/>
      <c r="F903" s="35" t="n"/>
      <c r="G903" s="35" t="n"/>
      <c r="H903" s="30">
        <f>IF(OR(B903="",D903=""),"",IF(N(E903)=0,1,E903)*IFERROR(INDEX(Products!$C$6:$C$105,MATCH(D903,Products!$B$6:$B$105,0)),0)+N(F903)+N(G903))</f>
        <v/>
      </c>
      <c r="I903" s="35" t="n"/>
      <c r="J903" s="30">
        <f>IF(OR(H903="",L903="Cancelled"),"",IF(H903-N(I903)&gt;0.005,H903-N(I903),""))</f>
        <v/>
      </c>
      <c r="K903" s="31" t="n"/>
      <c r="L903" s="36" t="n"/>
      <c r="M903" s="33" t="n"/>
      <c r="N903" s="22">
        <f>IF(OR(H903="",L903="Cancelled"),"",IF(N(E903)=0,1,E903)*IFERROR(INDEX(Products!$E$6:$E$105,MATCH(D903,Products!$B$6:$B$105,0)),0))</f>
        <v/>
      </c>
      <c r="O903" s="35" t="n"/>
      <c r="P903" s="22">
        <f>IF(OR(H903="",L903="Cancelled"),"",ROUND(IFERROR(H903*INDEX(Settings!$C$6:$C$15,MATCH(M903,Settings!$B$6:$B$15,0))+INDEX(Settings!$D$6:$D$15,MATCH(M903,Settings!$B$6:$B$15,0)),0),2))</f>
        <v/>
      </c>
      <c r="Q903" s="28">
        <f>IF(OR(H903="",L903="Cancelled"),"",H903-N(N903)-N(O903)-N(P903))</f>
        <v/>
      </c>
      <c r="R903" s="19">
        <f>IF(OR(B903="",K903=""),"",IF(OR(L903="Sent",L903="Picked up"),"Done",IF(L903="Cancelled","Cancelled",IF(K903&lt;TODAY(),"Late by "&amp;(TODAY()-K903)&amp;IF((TODAY()-K903)=1," day"," days"),IF(K903=TODAY(),"Due today","Due in "&amp;(K903-TODAY())&amp;IF((K903-TODAY())=1," day"," days"))))))</f>
        <v/>
      </c>
      <c r="S903" s="33" t="n"/>
      <c r="T903" s="1">
        <f>IF(AND(B903&lt;&gt;"",K903&lt;&gt;"",L903&lt;&gt;"Sent",L903&lt;&gt;"Picked up",L903&lt;&gt;"Cancelled"),K903+ROW()/10000000,"")</f>
        <v/>
      </c>
      <c r="U903">
        <f>IF(OR(B903="",C903=""),"",B903+ROW()/10000000)</f>
        <v/>
      </c>
      <c r="V903">
        <f>IF(U903="","",IF(COUNTIFS(Orders!$C$6:$C$1005,C903,Orders!$U$6:$U$1005,"&gt;"&amp;U903)=0,1,0))</f>
        <v/>
      </c>
      <c r="W903">
        <f>IF(AND(B903&lt;&gt;"",K903&lt;&gt;"",L903&lt;&gt;"Sent",L903&lt;&gt;"Picked up",L903&lt;&gt;"Cancelled"),IF(N(E903)=0,1,E903),0)</f>
        <v/>
      </c>
      <c r="X903">
        <f>IF(OR(B903="",D903=""),"",IF(N(E903)=0,1,E903))</f>
        <v/>
      </c>
    </row>
    <row r="904">
      <c r="A904" s="1" t="n"/>
      <c r="B904" s="31" t="n"/>
      <c r="C904" s="32" t="n"/>
      <c r="D904" s="33" t="n"/>
      <c r="E904" s="34" t="n"/>
      <c r="F904" s="35" t="n"/>
      <c r="G904" s="35" t="n"/>
      <c r="H904" s="30">
        <f>IF(OR(B904="",D904=""),"",IF(N(E904)=0,1,E904)*IFERROR(INDEX(Products!$C$6:$C$105,MATCH(D904,Products!$B$6:$B$105,0)),0)+N(F904)+N(G904))</f>
        <v/>
      </c>
      <c r="I904" s="35" t="n"/>
      <c r="J904" s="30">
        <f>IF(OR(H904="",L904="Cancelled"),"",IF(H904-N(I904)&gt;0.005,H904-N(I904),""))</f>
        <v/>
      </c>
      <c r="K904" s="31" t="n"/>
      <c r="L904" s="36" t="n"/>
      <c r="M904" s="33" t="n"/>
      <c r="N904" s="22">
        <f>IF(OR(H904="",L904="Cancelled"),"",IF(N(E904)=0,1,E904)*IFERROR(INDEX(Products!$E$6:$E$105,MATCH(D904,Products!$B$6:$B$105,0)),0))</f>
        <v/>
      </c>
      <c r="O904" s="35" t="n"/>
      <c r="P904" s="22">
        <f>IF(OR(H904="",L904="Cancelled"),"",ROUND(IFERROR(H904*INDEX(Settings!$C$6:$C$15,MATCH(M904,Settings!$B$6:$B$15,0))+INDEX(Settings!$D$6:$D$15,MATCH(M904,Settings!$B$6:$B$15,0)),0),2))</f>
        <v/>
      </c>
      <c r="Q904" s="28">
        <f>IF(OR(H904="",L904="Cancelled"),"",H904-N(N904)-N(O904)-N(P904))</f>
        <v/>
      </c>
      <c r="R904" s="19">
        <f>IF(OR(B904="",K904=""),"",IF(OR(L904="Sent",L904="Picked up"),"Done",IF(L904="Cancelled","Cancelled",IF(K904&lt;TODAY(),"Late by "&amp;(TODAY()-K904)&amp;IF((TODAY()-K904)=1," day"," days"),IF(K904=TODAY(),"Due today","Due in "&amp;(K904-TODAY())&amp;IF((K904-TODAY())=1," day"," days"))))))</f>
        <v/>
      </c>
      <c r="S904" s="33" t="n"/>
      <c r="T904" s="1">
        <f>IF(AND(B904&lt;&gt;"",K904&lt;&gt;"",L904&lt;&gt;"Sent",L904&lt;&gt;"Picked up",L904&lt;&gt;"Cancelled"),K904+ROW()/10000000,"")</f>
        <v/>
      </c>
      <c r="U904">
        <f>IF(OR(B904="",C904=""),"",B904+ROW()/10000000)</f>
        <v/>
      </c>
      <c r="V904">
        <f>IF(U904="","",IF(COUNTIFS(Orders!$C$6:$C$1005,C904,Orders!$U$6:$U$1005,"&gt;"&amp;U904)=0,1,0))</f>
        <v/>
      </c>
      <c r="W904">
        <f>IF(AND(B904&lt;&gt;"",K904&lt;&gt;"",L904&lt;&gt;"Sent",L904&lt;&gt;"Picked up",L904&lt;&gt;"Cancelled"),IF(N(E904)=0,1,E904),0)</f>
        <v/>
      </c>
      <c r="X904">
        <f>IF(OR(B904="",D904=""),"",IF(N(E904)=0,1,E904))</f>
        <v/>
      </c>
    </row>
    <row r="905">
      <c r="A905" s="1" t="n"/>
      <c r="B905" s="31" t="n"/>
      <c r="C905" s="32" t="n"/>
      <c r="D905" s="33" t="n"/>
      <c r="E905" s="34" t="n"/>
      <c r="F905" s="35" t="n"/>
      <c r="G905" s="35" t="n"/>
      <c r="H905" s="30">
        <f>IF(OR(B905="",D905=""),"",IF(N(E905)=0,1,E905)*IFERROR(INDEX(Products!$C$6:$C$105,MATCH(D905,Products!$B$6:$B$105,0)),0)+N(F905)+N(G905))</f>
        <v/>
      </c>
      <c r="I905" s="35" t="n"/>
      <c r="J905" s="30">
        <f>IF(OR(H905="",L905="Cancelled"),"",IF(H905-N(I905)&gt;0.005,H905-N(I905),""))</f>
        <v/>
      </c>
      <c r="K905" s="31" t="n"/>
      <c r="L905" s="36" t="n"/>
      <c r="M905" s="33" t="n"/>
      <c r="N905" s="22">
        <f>IF(OR(H905="",L905="Cancelled"),"",IF(N(E905)=0,1,E905)*IFERROR(INDEX(Products!$E$6:$E$105,MATCH(D905,Products!$B$6:$B$105,0)),0))</f>
        <v/>
      </c>
      <c r="O905" s="35" t="n"/>
      <c r="P905" s="22">
        <f>IF(OR(H905="",L905="Cancelled"),"",ROUND(IFERROR(H905*INDEX(Settings!$C$6:$C$15,MATCH(M905,Settings!$B$6:$B$15,0))+INDEX(Settings!$D$6:$D$15,MATCH(M905,Settings!$B$6:$B$15,0)),0),2))</f>
        <v/>
      </c>
      <c r="Q905" s="28">
        <f>IF(OR(H905="",L905="Cancelled"),"",H905-N(N905)-N(O905)-N(P905))</f>
        <v/>
      </c>
      <c r="R905" s="19">
        <f>IF(OR(B905="",K905=""),"",IF(OR(L905="Sent",L905="Picked up"),"Done",IF(L905="Cancelled","Cancelled",IF(K905&lt;TODAY(),"Late by "&amp;(TODAY()-K905)&amp;IF((TODAY()-K905)=1," day"," days"),IF(K905=TODAY(),"Due today","Due in "&amp;(K905-TODAY())&amp;IF((K905-TODAY())=1," day"," days"))))))</f>
        <v/>
      </c>
      <c r="S905" s="33" t="n"/>
      <c r="T905" s="1">
        <f>IF(AND(B905&lt;&gt;"",K905&lt;&gt;"",L905&lt;&gt;"Sent",L905&lt;&gt;"Picked up",L905&lt;&gt;"Cancelled"),K905+ROW()/10000000,"")</f>
        <v/>
      </c>
      <c r="U905">
        <f>IF(OR(B905="",C905=""),"",B905+ROW()/10000000)</f>
        <v/>
      </c>
      <c r="V905">
        <f>IF(U905="","",IF(COUNTIFS(Orders!$C$6:$C$1005,C905,Orders!$U$6:$U$1005,"&gt;"&amp;U905)=0,1,0))</f>
        <v/>
      </c>
      <c r="W905">
        <f>IF(AND(B905&lt;&gt;"",K905&lt;&gt;"",L905&lt;&gt;"Sent",L905&lt;&gt;"Picked up",L905&lt;&gt;"Cancelled"),IF(N(E905)=0,1,E905),0)</f>
        <v/>
      </c>
      <c r="X905">
        <f>IF(OR(B905="",D905=""),"",IF(N(E905)=0,1,E905))</f>
        <v/>
      </c>
    </row>
    <row r="906">
      <c r="A906" s="1" t="n"/>
      <c r="B906" s="31" t="n"/>
      <c r="C906" s="32" t="n"/>
      <c r="D906" s="33" t="n"/>
      <c r="E906" s="34" t="n"/>
      <c r="F906" s="35" t="n"/>
      <c r="G906" s="35" t="n"/>
      <c r="H906" s="30">
        <f>IF(OR(B906="",D906=""),"",IF(N(E906)=0,1,E906)*IFERROR(INDEX(Products!$C$6:$C$105,MATCH(D906,Products!$B$6:$B$105,0)),0)+N(F906)+N(G906))</f>
        <v/>
      </c>
      <c r="I906" s="35" t="n"/>
      <c r="J906" s="30">
        <f>IF(OR(H906="",L906="Cancelled"),"",IF(H906-N(I906)&gt;0.005,H906-N(I906),""))</f>
        <v/>
      </c>
      <c r="K906" s="31" t="n"/>
      <c r="L906" s="36" t="n"/>
      <c r="M906" s="33" t="n"/>
      <c r="N906" s="22">
        <f>IF(OR(H906="",L906="Cancelled"),"",IF(N(E906)=0,1,E906)*IFERROR(INDEX(Products!$E$6:$E$105,MATCH(D906,Products!$B$6:$B$105,0)),0))</f>
        <v/>
      </c>
      <c r="O906" s="35" t="n"/>
      <c r="P906" s="22">
        <f>IF(OR(H906="",L906="Cancelled"),"",ROUND(IFERROR(H906*INDEX(Settings!$C$6:$C$15,MATCH(M906,Settings!$B$6:$B$15,0))+INDEX(Settings!$D$6:$D$15,MATCH(M906,Settings!$B$6:$B$15,0)),0),2))</f>
        <v/>
      </c>
      <c r="Q906" s="28">
        <f>IF(OR(H906="",L906="Cancelled"),"",H906-N(N906)-N(O906)-N(P906))</f>
        <v/>
      </c>
      <c r="R906" s="19">
        <f>IF(OR(B906="",K906=""),"",IF(OR(L906="Sent",L906="Picked up"),"Done",IF(L906="Cancelled","Cancelled",IF(K906&lt;TODAY(),"Late by "&amp;(TODAY()-K906)&amp;IF((TODAY()-K906)=1," day"," days"),IF(K906=TODAY(),"Due today","Due in "&amp;(K906-TODAY())&amp;IF((K906-TODAY())=1," day"," days"))))))</f>
        <v/>
      </c>
      <c r="S906" s="33" t="n"/>
      <c r="T906" s="1">
        <f>IF(AND(B906&lt;&gt;"",K906&lt;&gt;"",L906&lt;&gt;"Sent",L906&lt;&gt;"Picked up",L906&lt;&gt;"Cancelled"),K906+ROW()/10000000,"")</f>
        <v/>
      </c>
      <c r="U906">
        <f>IF(OR(B906="",C906=""),"",B906+ROW()/10000000)</f>
        <v/>
      </c>
      <c r="V906">
        <f>IF(U906="","",IF(COUNTIFS(Orders!$C$6:$C$1005,C906,Orders!$U$6:$U$1005,"&gt;"&amp;U906)=0,1,0))</f>
        <v/>
      </c>
      <c r="W906">
        <f>IF(AND(B906&lt;&gt;"",K906&lt;&gt;"",L906&lt;&gt;"Sent",L906&lt;&gt;"Picked up",L906&lt;&gt;"Cancelled"),IF(N(E906)=0,1,E906),0)</f>
        <v/>
      </c>
      <c r="X906">
        <f>IF(OR(B906="",D906=""),"",IF(N(E906)=0,1,E906))</f>
        <v/>
      </c>
    </row>
    <row r="907">
      <c r="A907" s="1" t="n"/>
      <c r="B907" s="31" t="n"/>
      <c r="C907" s="32" t="n"/>
      <c r="D907" s="33" t="n"/>
      <c r="E907" s="34" t="n"/>
      <c r="F907" s="35" t="n"/>
      <c r="G907" s="35" t="n"/>
      <c r="H907" s="30">
        <f>IF(OR(B907="",D907=""),"",IF(N(E907)=0,1,E907)*IFERROR(INDEX(Products!$C$6:$C$105,MATCH(D907,Products!$B$6:$B$105,0)),0)+N(F907)+N(G907))</f>
        <v/>
      </c>
      <c r="I907" s="35" t="n"/>
      <c r="J907" s="30">
        <f>IF(OR(H907="",L907="Cancelled"),"",IF(H907-N(I907)&gt;0.005,H907-N(I907),""))</f>
        <v/>
      </c>
      <c r="K907" s="31" t="n"/>
      <c r="L907" s="36" t="n"/>
      <c r="M907" s="33" t="n"/>
      <c r="N907" s="22">
        <f>IF(OR(H907="",L907="Cancelled"),"",IF(N(E907)=0,1,E907)*IFERROR(INDEX(Products!$E$6:$E$105,MATCH(D907,Products!$B$6:$B$105,0)),0))</f>
        <v/>
      </c>
      <c r="O907" s="35" t="n"/>
      <c r="P907" s="22">
        <f>IF(OR(H907="",L907="Cancelled"),"",ROUND(IFERROR(H907*INDEX(Settings!$C$6:$C$15,MATCH(M907,Settings!$B$6:$B$15,0))+INDEX(Settings!$D$6:$D$15,MATCH(M907,Settings!$B$6:$B$15,0)),0),2))</f>
        <v/>
      </c>
      <c r="Q907" s="28">
        <f>IF(OR(H907="",L907="Cancelled"),"",H907-N(N907)-N(O907)-N(P907))</f>
        <v/>
      </c>
      <c r="R907" s="19">
        <f>IF(OR(B907="",K907=""),"",IF(OR(L907="Sent",L907="Picked up"),"Done",IF(L907="Cancelled","Cancelled",IF(K907&lt;TODAY(),"Late by "&amp;(TODAY()-K907)&amp;IF((TODAY()-K907)=1," day"," days"),IF(K907=TODAY(),"Due today","Due in "&amp;(K907-TODAY())&amp;IF((K907-TODAY())=1," day"," days"))))))</f>
        <v/>
      </c>
      <c r="S907" s="33" t="n"/>
      <c r="T907" s="1">
        <f>IF(AND(B907&lt;&gt;"",K907&lt;&gt;"",L907&lt;&gt;"Sent",L907&lt;&gt;"Picked up",L907&lt;&gt;"Cancelled"),K907+ROW()/10000000,"")</f>
        <v/>
      </c>
      <c r="U907">
        <f>IF(OR(B907="",C907=""),"",B907+ROW()/10000000)</f>
        <v/>
      </c>
      <c r="V907">
        <f>IF(U907="","",IF(COUNTIFS(Orders!$C$6:$C$1005,C907,Orders!$U$6:$U$1005,"&gt;"&amp;U907)=0,1,0))</f>
        <v/>
      </c>
      <c r="W907">
        <f>IF(AND(B907&lt;&gt;"",K907&lt;&gt;"",L907&lt;&gt;"Sent",L907&lt;&gt;"Picked up",L907&lt;&gt;"Cancelled"),IF(N(E907)=0,1,E907),0)</f>
        <v/>
      </c>
      <c r="X907">
        <f>IF(OR(B907="",D907=""),"",IF(N(E907)=0,1,E907))</f>
        <v/>
      </c>
    </row>
    <row r="908">
      <c r="A908" s="1" t="n"/>
      <c r="B908" s="31" t="n"/>
      <c r="C908" s="32" t="n"/>
      <c r="D908" s="33" t="n"/>
      <c r="E908" s="34" t="n"/>
      <c r="F908" s="35" t="n"/>
      <c r="G908" s="35" t="n"/>
      <c r="H908" s="30">
        <f>IF(OR(B908="",D908=""),"",IF(N(E908)=0,1,E908)*IFERROR(INDEX(Products!$C$6:$C$105,MATCH(D908,Products!$B$6:$B$105,0)),0)+N(F908)+N(G908))</f>
        <v/>
      </c>
      <c r="I908" s="35" t="n"/>
      <c r="J908" s="30">
        <f>IF(OR(H908="",L908="Cancelled"),"",IF(H908-N(I908)&gt;0.005,H908-N(I908),""))</f>
        <v/>
      </c>
      <c r="K908" s="31" t="n"/>
      <c r="L908" s="36" t="n"/>
      <c r="M908" s="33" t="n"/>
      <c r="N908" s="22">
        <f>IF(OR(H908="",L908="Cancelled"),"",IF(N(E908)=0,1,E908)*IFERROR(INDEX(Products!$E$6:$E$105,MATCH(D908,Products!$B$6:$B$105,0)),0))</f>
        <v/>
      </c>
      <c r="O908" s="35" t="n"/>
      <c r="P908" s="22">
        <f>IF(OR(H908="",L908="Cancelled"),"",ROUND(IFERROR(H908*INDEX(Settings!$C$6:$C$15,MATCH(M908,Settings!$B$6:$B$15,0))+INDEX(Settings!$D$6:$D$15,MATCH(M908,Settings!$B$6:$B$15,0)),0),2))</f>
        <v/>
      </c>
      <c r="Q908" s="28">
        <f>IF(OR(H908="",L908="Cancelled"),"",H908-N(N908)-N(O908)-N(P908))</f>
        <v/>
      </c>
      <c r="R908" s="19">
        <f>IF(OR(B908="",K908=""),"",IF(OR(L908="Sent",L908="Picked up"),"Done",IF(L908="Cancelled","Cancelled",IF(K908&lt;TODAY(),"Late by "&amp;(TODAY()-K908)&amp;IF((TODAY()-K908)=1," day"," days"),IF(K908=TODAY(),"Due today","Due in "&amp;(K908-TODAY())&amp;IF((K908-TODAY())=1," day"," days"))))))</f>
        <v/>
      </c>
      <c r="S908" s="33" t="n"/>
      <c r="T908" s="1">
        <f>IF(AND(B908&lt;&gt;"",K908&lt;&gt;"",L908&lt;&gt;"Sent",L908&lt;&gt;"Picked up",L908&lt;&gt;"Cancelled"),K908+ROW()/10000000,"")</f>
        <v/>
      </c>
      <c r="U908">
        <f>IF(OR(B908="",C908=""),"",B908+ROW()/10000000)</f>
        <v/>
      </c>
      <c r="V908">
        <f>IF(U908="","",IF(COUNTIFS(Orders!$C$6:$C$1005,C908,Orders!$U$6:$U$1005,"&gt;"&amp;U908)=0,1,0))</f>
        <v/>
      </c>
      <c r="W908">
        <f>IF(AND(B908&lt;&gt;"",K908&lt;&gt;"",L908&lt;&gt;"Sent",L908&lt;&gt;"Picked up",L908&lt;&gt;"Cancelled"),IF(N(E908)=0,1,E908),0)</f>
        <v/>
      </c>
      <c r="X908">
        <f>IF(OR(B908="",D908=""),"",IF(N(E908)=0,1,E908))</f>
        <v/>
      </c>
    </row>
    <row r="909">
      <c r="A909" s="1" t="n"/>
      <c r="B909" s="31" t="n"/>
      <c r="C909" s="32" t="n"/>
      <c r="D909" s="33" t="n"/>
      <c r="E909" s="34" t="n"/>
      <c r="F909" s="35" t="n"/>
      <c r="G909" s="35" t="n"/>
      <c r="H909" s="30">
        <f>IF(OR(B909="",D909=""),"",IF(N(E909)=0,1,E909)*IFERROR(INDEX(Products!$C$6:$C$105,MATCH(D909,Products!$B$6:$B$105,0)),0)+N(F909)+N(G909))</f>
        <v/>
      </c>
      <c r="I909" s="35" t="n"/>
      <c r="J909" s="30">
        <f>IF(OR(H909="",L909="Cancelled"),"",IF(H909-N(I909)&gt;0.005,H909-N(I909),""))</f>
        <v/>
      </c>
      <c r="K909" s="31" t="n"/>
      <c r="L909" s="36" t="n"/>
      <c r="M909" s="33" t="n"/>
      <c r="N909" s="22">
        <f>IF(OR(H909="",L909="Cancelled"),"",IF(N(E909)=0,1,E909)*IFERROR(INDEX(Products!$E$6:$E$105,MATCH(D909,Products!$B$6:$B$105,0)),0))</f>
        <v/>
      </c>
      <c r="O909" s="35" t="n"/>
      <c r="P909" s="22">
        <f>IF(OR(H909="",L909="Cancelled"),"",ROUND(IFERROR(H909*INDEX(Settings!$C$6:$C$15,MATCH(M909,Settings!$B$6:$B$15,0))+INDEX(Settings!$D$6:$D$15,MATCH(M909,Settings!$B$6:$B$15,0)),0),2))</f>
        <v/>
      </c>
      <c r="Q909" s="28">
        <f>IF(OR(H909="",L909="Cancelled"),"",H909-N(N909)-N(O909)-N(P909))</f>
        <v/>
      </c>
      <c r="R909" s="19">
        <f>IF(OR(B909="",K909=""),"",IF(OR(L909="Sent",L909="Picked up"),"Done",IF(L909="Cancelled","Cancelled",IF(K909&lt;TODAY(),"Late by "&amp;(TODAY()-K909)&amp;IF((TODAY()-K909)=1," day"," days"),IF(K909=TODAY(),"Due today","Due in "&amp;(K909-TODAY())&amp;IF((K909-TODAY())=1," day"," days"))))))</f>
        <v/>
      </c>
      <c r="S909" s="33" t="n"/>
      <c r="T909" s="1">
        <f>IF(AND(B909&lt;&gt;"",K909&lt;&gt;"",L909&lt;&gt;"Sent",L909&lt;&gt;"Picked up",L909&lt;&gt;"Cancelled"),K909+ROW()/10000000,"")</f>
        <v/>
      </c>
      <c r="U909">
        <f>IF(OR(B909="",C909=""),"",B909+ROW()/10000000)</f>
        <v/>
      </c>
      <c r="V909">
        <f>IF(U909="","",IF(COUNTIFS(Orders!$C$6:$C$1005,C909,Orders!$U$6:$U$1005,"&gt;"&amp;U909)=0,1,0))</f>
        <v/>
      </c>
      <c r="W909">
        <f>IF(AND(B909&lt;&gt;"",K909&lt;&gt;"",L909&lt;&gt;"Sent",L909&lt;&gt;"Picked up",L909&lt;&gt;"Cancelled"),IF(N(E909)=0,1,E909),0)</f>
        <v/>
      </c>
      <c r="X909">
        <f>IF(OR(B909="",D909=""),"",IF(N(E909)=0,1,E909))</f>
        <v/>
      </c>
    </row>
    <row r="910">
      <c r="A910" s="1" t="n"/>
      <c r="B910" s="31" t="n"/>
      <c r="C910" s="32" t="n"/>
      <c r="D910" s="33" t="n"/>
      <c r="E910" s="34" t="n"/>
      <c r="F910" s="35" t="n"/>
      <c r="G910" s="35" t="n"/>
      <c r="H910" s="30">
        <f>IF(OR(B910="",D910=""),"",IF(N(E910)=0,1,E910)*IFERROR(INDEX(Products!$C$6:$C$105,MATCH(D910,Products!$B$6:$B$105,0)),0)+N(F910)+N(G910))</f>
        <v/>
      </c>
      <c r="I910" s="35" t="n"/>
      <c r="J910" s="30">
        <f>IF(OR(H910="",L910="Cancelled"),"",IF(H910-N(I910)&gt;0.005,H910-N(I910),""))</f>
        <v/>
      </c>
      <c r="K910" s="31" t="n"/>
      <c r="L910" s="36" t="n"/>
      <c r="M910" s="33" t="n"/>
      <c r="N910" s="22">
        <f>IF(OR(H910="",L910="Cancelled"),"",IF(N(E910)=0,1,E910)*IFERROR(INDEX(Products!$E$6:$E$105,MATCH(D910,Products!$B$6:$B$105,0)),0))</f>
        <v/>
      </c>
      <c r="O910" s="35" t="n"/>
      <c r="P910" s="22">
        <f>IF(OR(H910="",L910="Cancelled"),"",ROUND(IFERROR(H910*INDEX(Settings!$C$6:$C$15,MATCH(M910,Settings!$B$6:$B$15,0))+INDEX(Settings!$D$6:$D$15,MATCH(M910,Settings!$B$6:$B$15,0)),0),2))</f>
        <v/>
      </c>
      <c r="Q910" s="28">
        <f>IF(OR(H910="",L910="Cancelled"),"",H910-N(N910)-N(O910)-N(P910))</f>
        <v/>
      </c>
      <c r="R910" s="19">
        <f>IF(OR(B910="",K910=""),"",IF(OR(L910="Sent",L910="Picked up"),"Done",IF(L910="Cancelled","Cancelled",IF(K910&lt;TODAY(),"Late by "&amp;(TODAY()-K910)&amp;IF((TODAY()-K910)=1," day"," days"),IF(K910=TODAY(),"Due today","Due in "&amp;(K910-TODAY())&amp;IF((K910-TODAY())=1," day"," days"))))))</f>
        <v/>
      </c>
      <c r="S910" s="33" t="n"/>
      <c r="T910" s="1">
        <f>IF(AND(B910&lt;&gt;"",K910&lt;&gt;"",L910&lt;&gt;"Sent",L910&lt;&gt;"Picked up",L910&lt;&gt;"Cancelled"),K910+ROW()/10000000,"")</f>
        <v/>
      </c>
      <c r="U910">
        <f>IF(OR(B910="",C910=""),"",B910+ROW()/10000000)</f>
        <v/>
      </c>
      <c r="V910">
        <f>IF(U910="","",IF(COUNTIFS(Orders!$C$6:$C$1005,C910,Orders!$U$6:$U$1005,"&gt;"&amp;U910)=0,1,0))</f>
        <v/>
      </c>
      <c r="W910">
        <f>IF(AND(B910&lt;&gt;"",K910&lt;&gt;"",L910&lt;&gt;"Sent",L910&lt;&gt;"Picked up",L910&lt;&gt;"Cancelled"),IF(N(E910)=0,1,E910),0)</f>
        <v/>
      </c>
      <c r="X910">
        <f>IF(OR(B910="",D910=""),"",IF(N(E910)=0,1,E910))</f>
        <v/>
      </c>
    </row>
    <row r="911">
      <c r="A911" s="1" t="n"/>
      <c r="B911" s="31" t="n"/>
      <c r="C911" s="32" t="n"/>
      <c r="D911" s="33" t="n"/>
      <c r="E911" s="34" t="n"/>
      <c r="F911" s="35" t="n"/>
      <c r="G911" s="35" t="n"/>
      <c r="H911" s="30">
        <f>IF(OR(B911="",D911=""),"",IF(N(E911)=0,1,E911)*IFERROR(INDEX(Products!$C$6:$C$105,MATCH(D911,Products!$B$6:$B$105,0)),0)+N(F911)+N(G911))</f>
        <v/>
      </c>
      <c r="I911" s="35" t="n"/>
      <c r="J911" s="30">
        <f>IF(OR(H911="",L911="Cancelled"),"",IF(H911-N(I911)&gt;0.005,H911-N(I911),""))</f>
        <v/>
      </c>
      <c r="K911" s="31" t="n"/>
      <c r="L911" s="36" t="n"/>
      <c r="M911" s="33" t="n"/>
      <c r="N911" s="22">
        <f>IF(OR(H911="",L911="Cancelled"),"",IF(N(E911)=0,1,E911)*IFERROR(INDEX(Products!$E$6:$E$105,MATCH(D911,Products!$B$6:$B$105,0)),0))</f>
        <v/>
      </c>
      <c r="O911" s="35" t="n"/>
      <c r="P911" s="22">
        <f>IF(OR(H911="",L911="Cancelled"),"",ROUND(IFERROR(H911*INDEX(Settings!$C$6:$C$15,MATCH(M911,Settings!$B$6:$B$15,0))+INDEX(Settings!$D$6:$D$15,MATCH(M911,Settings!$B$6:$B$15,0)),0),2))</f>
        <v/>
      </c>
      <c r="Q911" s="28">
        <f>IF(OR(H911="",L911="Cancelled"),"",H911-N(N911)-N(O911)-N(P911))</f>
        <v/>
      </c>
      <c r="R911" s="19">
        <f>IF(OR(B911="",K911=""),"",IF(OR(L911="Sent",L911="Picked up"),"Done",IF(L911="Cancelled","Cancelled",IF(K911&lt;TODAY(),"Late by "&amp;(TODAY()-K911)&amp;IF((TODAY()-K911)=1," day"," days"),IF(K911=TODAY(),"Due today","Due in "&amp;(K911-TODAY())&amp;IF((K911-TODAY())=1," day"," days"))))))</f>
        <v/>
      </c>
      <c r="S911" s="33" t="n"/>
      <c r="T911" s="1">
        <f>IF(AND(B911&lt;&gt;"",K911&lt;&gt;"",L911&lt;&gt;"Sent",L911&lt;&gt;"Picked up",L911&lt;&gt;"Cancelled"),K911+ROW()/10000000,"")</f>
        <v/>
      </c>
      <c r="U911">
        <f>IF(OR(B911="",C911=""),"",B911+ROW()/10000000)</f>
        <v/>
      </c>
      <c r="V911">
        <f>IF(U911="","",IF(COUNTIFS(Orders!$C$6:$C$1005,C911,Orders!$U$6:$U$1005,"&gt;"&amp;U911)=0,1,0))</f>
        <v/>
      </c>
      <c r="W911">
        <f>IF(AND(B911&lt;&gt;"",K911&lt;&gt;"",L911&lt;&gt;"Sent",L911&lt;&gt;"Picked up",L911&lt;&gt;"Cancelled"),IF(N(E911)=0,1,E911),0)</f>
        <v/>
      </c>
      <c r="X911">
        <f>IF(OR(B911="",D911=""),"",IF(N(E911)=0,1,E911))</f>
        <v/>
      </c>
    </row>
    <row r="912">
      <c r="A912" s="1" t="n"/>
      <c r="B912" s="31" t="n"/>
      <c r="C912" s="32" t="n"/>
      <c r="D912" s="33" t="n"/>
      <c r="E912" s="34" t="n"/>
      <c r="F912" s="35" t="n"/>
      <c r="G912" s="35" t="n"/>
      <c r="H912" s="30">
        <f>IF(OR(B912="",D912=""),"",IF(N(E912)=0,1,E912)*IFERROR(INDEX(Products!$C$6:$C$105,MATCH(D912,Products!$B$6:$B$105,0)),0)+N(F912)+N(G912))</f>
        <v/>
      </c>
      <c r="I912" s="35" t="n"/>
      <c r="J912" s="30">
        <f>IF(OR(H912="",L912="Cancelled"),"",IF(H912-N(I912)&gt;0.005,H912-N(I912),""))</f>
        <v/>
      </c>
      <c r="K912" s="31" t="n"/>
      <c r="L912" s="36" t="n"/>
      <c r="M912" s="33" t="n"/>
      <c r="N912" s="22">
        <f>IF(OR(H912="",L912="Cancelled"),"",IF(N(E912)=0,1,E912)*IFERROR(INDEX(Products!$E$6:$E$105,MATCH(D912,Products!$B$6:$B$105,0)),0))</f>
        <v/>
      </c>
      <c r="O912" s="35" t="n"/>
      <c r="P912" s="22">
        <f>IF(OR(H912="",L912="Cancelled"),"",ROUND(IFERROR(H912*INDEX(Settings!$C$6:$C$15,MATCH(M912,Settings!$B$6:$B$15,0))+INDEX(Settings!$D$6:$D$15,MATCH(M912,Settings!$B$6:$B$15,0)),0),2))</f>
        <v/>
      </c>
      <c r="Q912" s="28">
        <f>IF(OR(H912="",L912="Cancelled"),"",H912-N(N912)-N(O912)-N(P912))</f>
        <v/>
      </c>
      <c r="R912" s="19">
        <f>IF(OR(B912="",K912=""),"",IF(OR(L912="Sent",L912="Picked up"),"Done",IF(L912="Cancelled","Cancelled",IF(K912&lt;TODAY(),"Late by "&amp;(TODAY()-K912)&amp;IF((TODAY()-K912)=1," day"," days"),IF(K912=TODAY(),"Due today","Due in "&amp;(K912-TODAY())&amp;IF((K912-TODAY())=1," day"," days"))))))</f>
        <v/>
      </c>
      <c r="S912" s="33" t="n"/>
      <c r="T912" s="1">
        <f>IF(AND(B912&lt;&gt;"",K912&lt;&gt;"",L912&lt;&gt;"Sent",L912&lt;&gt;"Picked up",L912&lt;&gt;"Cancelled"),K912+ROW()/10000000,"")</f>
        <v/>
      </c>
      <c r="U912">
        <f>IF(OR(B912="",C912=""),"",B912+ROW()/10000000)</f>
        <v/>
      </c>
      <c r="V912">
        <f>IF(U912="","",IF(COUNTIFS(Orders!$C$6:$C$1005,C912,Orders!$U$6:$U$1005,"&gt;"&amp;U912)=0,1,0))</f>
        <v/>
      </c>
      <c r="W912">
        <f>IF(AND(B912&lt;&gt;"",K912&lt;&gt;"",L912&lt;&gt;"Sent",L912&lt;&gt;"Picked up",L912&lt;&gt;"Cancelled"),IF(N(E912)=0,1,E912),0)</f>
        <v/>
      </c>
      <c r="X912">
        <f>IF(OR(B912="",D912=""),"",IF(N(E912)=0,1,E912))</f>
        <v/>
      </c>
    </row>
    <row r="913">
      <c r="A913" s="1" t="n"/>
      <c r="B913" s="31" t="n"/>
      <c r="C913" s="32" t="n"/>
      <c r="D913" s="33" t="n"/>
      <c r="E913" s="34" t="n"/>
      <c r="F913" s="35" t="n"/>
      <c r="G913" s="35" t="n"/>
      <c r="H913" s="30">
        <f>IF(OR(B913="",D913=""),"",IF(N(E913)=0,1,E913)*IFERROR(INDEX(Products!$C$6:$C$105,MATCH(D913,Products!$B$6:$B$105,0)),0)+N(F913)+N(G913))</f>
        <v/>
      </c>
      <c r="I913" s="35" t="n"/>
      <c r="J913" s="30">
        <f>IF(OR(H913="",L913="Cancelled"),"",IF(H913-N(I913)&gt;0.005,H913-N(I913),""))</f>
        <v/>
      </c>
      <c r="K913" s="31" t="n"/>
      <c r="L913" s="36" t="n"/>
      <c r="M913" s="33" t="n"/>
      <c r="N913" s="22">
        <f>IF(OR(H913="",L913="Cancelled"),"",IF(N(E913)=0,1,E913)*IFERROR(INDEX(Products!$E$6:$E$105,MATCH(D913,Products!$B$6:$B$105,0)),0))</f>
        <v/>
      </c>
      <c r="O913" s="35" t="n"/>
      <c r="P913" s="22">
        <f>IF(OR(H913="",L913="Cancelled"),"",ROUND(IFERROR(H913*INDEX(Settings!$C$6:$C$15,MATCH(M913,Settings!$B$6:$B$15,0))+INDEX(Settings!$D$6:$D$15,MATCH(M913,Settings!$B$6:$B$15,0)),0),2))</f>
        <v/>
      </c>
      <c r="Q913" s="28">
        <f>IF(OR(H913="",L913="Cancelled"),"",H913-N(N913)-N(O913)-N(P913))</f>
        <v/>
      </c>
      <c r="R913" s="19">
        <f>IF(OR(B913="",K913=""),"",IF(OR(L913="Sent",L913="Picked up"),"Done",IF(L913="Cancelled","Cancelled",IF(K913&lt;TODAY(),"Late by "&amp;(TODAY()-K913)&amp;IF((TODAY()-K913)=1," day"," days"),IF(K913=TODAY(),"Due today","Due in "&amp;(K913-TODAY())&amp;IF((K913-TODAY())=1," day"," days"))))))</f>
        <v/>
      </c>
      <c r="S913" s="33" t="n"/>
      <c r="T913" s="1">
        <f>IF(AND(B913&lt;&gt;"",K913&lt;&gt;"",L913&lt;&gt;"Sent",L913&lt;&gt;"Picked up",L913&lt;&gt;"Cancelled"),K913+ROW()/10000000,"")</f>
        <v/>
      </c>
      <c r="U913">
        <f>IF(OR(B913="",C913=""),"",B913+ROW()/10000000)</f>
        <v/>
      </c>
      <c r="V913">
        <f>IF(U913="","",IF(COUNTIFS(Orders!$C$6:$C$1005,C913,Orders!$U$6:$U$1005,"&gt;"&amp;U913)=0,1,0))</f>
        <v/>
      </c>
      <c r="W913">
        <f>IF(AND(B913&lt;&gt;"",K913&lt;&gt;"",L913&lt;&gt;"Sent",L913&lt;&gt;"Picked up",L913&lt;&gt;"Cancelled"),IF(N(E913)=0,1,E913),0)</f>
        <v/>
      </c>
      <c r="X913">
        <f>IF(OR(B913="",D913=""),"",IF(N(E913)=0,1,E913))</f>
        <v/>
      </c>
    </row>
    <row r="914">
      <c r="A914" s="1" t="n"/>
      <c r="B914" s="31" t="n"/>
      <c r="C914" s="32" t="n"/>
      <c r="D914" s="33" t="n"/>
      <c r="E914" s="34" t="n"/>
      <c r="F914" s="35" t="n"/>
      <c r="G914" s="35" t="n"/>
      <c r="H914" s="30">
        <f>IF(OR(B914="",D914=""),"",IF(N(E914)=0,1,E914)*IFERROR(INDEX(Products!$C$6:$C$105,MATCH(D914,Products!$B$6:$B$105,0)),0)+N(F914)+N(G914))</f>
        <v/>
      </c>
      <c r="I914" s="35" t="n"/>
      <c r="J914" s="30">
        <f>IF(OR(H914="",L914="Cancelled"),"",IF(H914-N(I914)&gt;0.005,H914-N(I914),""))</f>
        <v/>
      </c>
      <c r="K914" s="31" t="n"/>
      <c r="L914" s="36" t="n"/>
      <c r="M914" s="33" t="n"/>
      <c r="N914" s="22">
        <f>IF(OR(H914="",L914="Cancelled"),"",IF(N(E914)=0,1,E914)*IFERROR(INDEX(Products!$E$6:$E$105,MATCH(D914,Products!$B$6:$B$105,0)),0))</f>
        <v/>
      </c>
      <c r="O914" s="35" t="n"/>
      <c r="P914" s="22">
        <f>IF(OR(H914="",L914="Cancelled"),"",ROUND(IFERROR(H914*INDEX(Settings!$C$6:$C$15,MATCH(M914,Settings!$B$6:$B$15,0))+INDEX(Settings!$D$6:$D$15,MATCH(M914,Settings!$B$6:$B$15,0)),0),2))</f>
        <v/>
      </c>
      <c r="Q914" s="28">
        <f>IF(OR(H914="",L914="Cancelled"),"",H914-N(N914)-N(O914)-N(P914))</f>
        <v/>
      </c>
      <c r="R914" s="19">
        <f>IF(OR(B914="",K914=""),"",IF(OR(L914="Sent",L914="Picked up"),"Done",IF(L914="Cancelled","Cancelled",IF(K914&lt;TODAY(),"Late by "&amp;(TODAY()-K914)&amp;IF((TODAY()-K914)=1," day"," days"),IF(K914=TODAY(),"Due today","Due in "&amp;(K914-TODAY())&amp;IF((K914-TODAY())=1," day"," days"))))))</f>
        <v/>
      </c>
      <c r="S914" s="33" t="n"/>
      <c r="T914" s="1">
        <f>IF(AND(B914&lt;&gt;"",K914&lt;&gt;"",L914&lt;&gt;"Sent",L914&lt;&gt;"Picked up",L914&lt;&gt;"Cancelled"),K914+ROW()/10000000,"")</f>
        <v/>
      </c>
      <c r="U914">
        <f>IF(OR(B914="",C914=""),"",B914+ROW()/10000000)</f>
        <v/>
      </c>
      <c r="V914">
        <f>IF(U914="","",IF(COUNTIFS(Orders!$C$6:$C$1005,C914,Orders!$U$6:$U$1005,"&gt;"&amp;U914)=0,1,0))</f>
        <v/>
      </c>
      <c r="W914">
        <f>IF(AND(B914&lt;&gt;"",K914&lt;&gt;"",L914&lt;&gt;"Sent",L914&lt;&gt;"Picked up",L914&lt;&gt;"Cancelled"),IF(N(E914)=0,1,E914),0)</f>
        <v/>
      </c>
      <c r="X914">
        <f>IF(OR(B914="",D914=""),"",IF(N(E914)=0,1,E914))</f>
        <v/>
      </c>
    </row>
    <row r="915">
      <c r="A915" s="1" t="n"/>
      <c r="B915" s="31" t="n"/>
      <c r="C915" s="32" t="n"/>
      <c r="D915" s="33" t="n"/>
      <c r="E915" s="34" t="n"/>
      <c r="F915" s="35" t="n"/>
      <c r="G915" s="35" t="n"/>
      <c r="H915" s="30">
        <f>IF(OR(B915="",D915=""),"",IF(N(E915)=0,1,E915)*IFERROR(INDEX(Products!$C$6:$C$105,MATCH(D915,Products!$B$6:$B$105,0)),0)+N(F915)+N(G915))</f>
        <v/>
      </c>
      <c r="I915" s="35" t="n"/>
      <c r="J915" s="30">
        <f>IF(OR(H915="",L915="Cancelled"),"",IF(H915-N(I915)&gt;0.005,H915-N(I915),""))</f>
        <v/>
      </c>
      <c r="K915" s="31" t="n"/>
      <c r="L915" s="36" t="n"/>
      <c r="M915" s="33" t="n"/>
      <c r="N915" s="22">
        <f>IF(OR(H915="",L915="Cancelled"),"",IF(N(E915)=0,1,E915)*IFERROR(INDEX(Products!$E$6:$E$105,MATCH(D915,Products!$B$6:$B$105,0)),0))</f>
        <v/>
      </c>
      <c r="O915" s="35" t="n"/>
      <c r="P915" s="22">
        <f>IF(OR(H915="",L915="Cancelled"),"",ROUND(IFERROR(H915*INDEX(Settings!$C$6:$C$15,MATCH(M915,Settings!$B$6:$B$15,0))+INDEX(Settings!$D$6:$D$15,MATCH(M915,Settings!$B$6:$B$15,0)),0),2))</f>
        <v/>
      </c>
      <c r="Q915" s="28">
        <f>IF(OR(H915="",L915="Cancelled"),"",H915-N(N915)-N(O915)-N(P915))</f>
        <v/>
      </c>
      <c r="R915" s="19">
        <f>IF(OR(B915="",K915=""),"",IF(OR(L915="Sent",L915="Picked up"),"Done",IF(L915="Cancelled","Cancelled",IF(K915&lt;TODAY(),"Late by "&amp;(TODAY()-K915)&amp;IF((TODAY()-K915)=1," day"," days"),IF(K915=TODAY(),"Due today","Due in "&amp;(K915-TODAY())&amp;IF((K915-TODAY())=1," day"," days"))))))</f>
        <v/>
      </c>
      <c r="S915" s="33" t="n"/>
      <c r="T915" s="1">
        <f>IF(AND(B915&lt;&gt;"",K915&lt;&gt;"",L915&lt;&gt;"Sent",L915&lt;&gt;"Picked up",L915&lt;&gt;"Cancelled"),K915+ROW()/10000000,"")</f>
        <v/>
      </c>
      <c r="U915">
        <f>IF(OR(B915="",C915=""),"",B915+ROW()/10000000)</f>
        <v/>
      </c>
      <c r="V915">
        <f>IF(U915="","",IF(COUNTIFS(Orders!$C$6:$C$1005,C915,Orders!$U$6:$U$1005,"&gt;"&amp;U915)=0,1,0))</f>
        <v/>
      </c>
      <c r="W915">
        <f>IF(AND(B915&lt;&gt;"",K915&lt;&gt;"",L915&lt;&gt;"Sent",L915&lt;&gt;"Picked up",L915&lt;&gt;"Cancelled"),IF(N(E915)=0,1,E915),0)</f>
        <v/>
      </c>
      <c r="X915">
        <f>IF(OR(B915="",D915=""),"",IF(N(E915)=0,1,E915))</f>
        <v/>
      </c>
    </row>
    <row r="916">
      <c r="A916" s="1" t="n"/>
      <c r="B916" s="31" t="n"/>
      <c r="C916" s="32" t="n"/>
      <c r="D916" s="33" t="n"/>
      <c r="E916" s="34" t="n"/>
      <c r="F916" s="35" t="n"/>
      <c r="G916" s="35" t="n"/>
      <c r="H916" s="30">
        <f>IF(OR(B916="",D916=""),"",IF(N(E916)=0,1,E916)*IFERROR(INDEX(Products!$C$6:$C$105,MATCH(D916,Products!$B$6:$B$105,0)),0)+N(F916)+N(G916))</f>
        <v/>
      </c>
      <c r="I916" s="35" t="n"/>
      <c r="J916" s="30">
        <f>IF(OR(H916="",L916="Cancelled"),"",IF(H916-N(I916)&gt;0.005,H916-N(I916),""))</f>
        <v/>
      </c>
      <c r="K916" s="31" t="n"/>
      <c r="L916" s="36" t="n"/>
      <c r="M916" s="33" t="n"/>
      <c r="N916" s="22">
        <f>IF(OR(H916="",L916="Cancelled"),"",IF(N(E916)=0,1,E916)*IFERROR(INDEX(Products!$E$6:$E$105,MATCH(D916,Products!$B$6:$B$105,0)),0))</f>
        <v/>
      </c>
      <c r="O916" s="35" t="n"/>
      <c r="P916" s="22">
        <f>IF(OR(H916="",L916="Cancelled"),"",ROUND(IFERROR(H916*INDEX(Settings!$C$6:$C$15,MATCH(M916,Settings!$B$6:$B$15,0))+INDEX(Settings!$D$6:$D$15,MATCH(M916,Settings!$B$6:$B$15,0)),0),2))</f>
        <v/>
      </c>
      <c r="Q916" s="28">
        <f>IF(OR(H916="",L916="Cancelled"),"",H916-N(N916)-N(O916)-N(P916))</f>
        <v/>
      </c>
      <c r="R916" s="19">
        <f>IF(OR(B916="",K916=""),"",IF(OR(L916="Sent",L916="Picked up"),"Done",IF(L916="Cancelled","Cancelled",IF(K916&lt;TODAY(),"Late by "&amp;(TODAY()-K916)&amp;IF((TODAY()-K916)=1," day"," days"),IF(K916=TODAY(),"Due today","Due in "&amp;(K916-TODAY())&amp;IF((K916-TODAY())=1," day"," days"))))))</f>
        <v/>
      </c>
      <c r="S916" s="33" t="n"/>
      <c r="T916" s="1">
        <f>IF(AND(B916&lt;&gt;"",K916&lt;&gt;"",L916&lt;&gt;"Sent",L916&lt;&gt;"Picked up",L916&lt;&gt;"Cancelled"),K916+ROW()/10000000,"")</f>
        <v/>
      </c>
      <c r="U916">
        <f>IF(OR(B916="",C916=""),"",B916+ROW()/10000000)</f>
        <v/>
      </c>
      <c r="V916">
        <f>IF(U916="","",IF(COUNTIFS(Orders!$C$6:$C$1005,C916,Orders!$U$6:$U$1005,"&gt;"&amp;U916)=0,1,0))</f>
        <v/>
      </c>
      <c r="W916">
        <f>IF(AND(B916&lt;&gt;"",K916&lt;&gt;"",L916&lt;&gt;"Sent",L916&lt;&gt;"Picked up",L916&lt;&gt;"Cancelled"),IF(N(E916)=0,1,E916),0)</f>
        <v/>
      </c>
      <c r="X916">
        <f>IF(OR(B916="",D916=""),"",IF(N(E916)=0,1,E916))</f>
        <v/>
      </c>
    </row>
    <row r="917">
      <c r="A917" s="1" t="n"/>
      <c r="B917" s="31" t="n"/>
      <c r="C917" s="32" t="n"/>
      <c r="D917" s="33" t="n"/>
      <c r="E917" s="34" t="n"/>
      <c r="F917" s="35" t="n"/>
      <c r="G917" s="35" t="n"/>
      <c r="H917" s="30">
        <f>IF(OR(B917="",D917=""),"",IF(N(E917)=0,1,E917)*IFERROR(INDEX(Products!$C$6:$C$105,MATCH(D917,Products!$B$6:$B$105,0)),0)+N(F917)+N(G917))</f>
        <v/>
      </c>
      <c r="I917" s="35" t="n"/>
      <c r="J917" s="30">
        <f>IF(OR(H917="",L917="Cancelled"),"",IF(H917-N(I917)&gt;0.005,H917-N(I917),""))</f>
        <v/>
      </c>
      <c r="K917" s="31" t="n"/>
      <c r="L917" s="36" t="n"/>
      <c r="M917" s="33" t="n"/>
      <c r="N917" s="22">
        <f>IF(OR(H917="",L917="Cancelled"),"",IF(N(E917)=0,1,E917)*IFERROR(INDEX(Products!$E$6:$E$105,MATCH(D917,Products!$B$6:$B$105,0)),0))</f>
        <v/>
      </c>
      <c r="O917" s="35" t="n"/>
      <c r="P917" s="22">
        <f>IF(OR(H917="",L917="Cancelled"),"",ROUND(IFERROR(H917*INDEX(Settings!$C$6:$C$15,MATCH(M917,Settings!$B$6:$B$15,0))+INDEX(Settings!$D$6:$D$15,MATCH(M917,Settings!$B$6:$B$15,0)),0),2))</f>
        <v/>
      </c>
      <c r="Q917" s="28">
        <f>IF(OR(H917="",L917="Cancelled"),"",H917-N(N917)-N(O917)-N(P917))</f>
        <v/>
      </c>
      <c r="R917" s="19">
        <f>IF(OR(B917="",K917=""),"",IF(OR(L917="Sent",L917="Picked up"),"Done",IF(L917="Cancelled","Cancelled",IF(K917&lt;TODAY(),"Late by "&amp;(TODAY()-K917)&amp;IF((TODAY()-K917)=1," day"," days"),IF(K917=TODAY(),"Due today","Due in "&amp;(K917-TODAY())&amp;IF((K917-TODAY())=1," day"," days"))))))</f>
        <v/>
      </c>
      <c r="S917" s="33" t="n"/>
      <c r="T917" s="1">
        <f>IF(AND(B917&lt;&gt;"",K917&lt;&gt;"",L917&lt;&gt;"Sent",L917&lt;&gt;"Picked up",L917&lt;&gt;"Cancelled"),K917+ROW()/10000000,"")</f>
        <v/>
      </c>
      <c r="U917">
        <f>IF(OR(B917="",C917=""),"",B917+ROW()/10000000)</f>
        <v/>
      </c>
      <c r="V917">
        <f>IF(U917="","",IF(COUNTIFS(Orders!$C$6:$C$1005,C917,Orders!$U$6:$U$1005,"&gt;"&amp;U917)=0,1,0))</f>
        <v/>
      </c>
      <c r="W917">
        <f>IF(AND(B917&lt;&gt;"",K917&lt;&gt;"",L917&lt;&gt;"Sent",L917&lt;&gt;"Picked up",L917&lt;&gt;"Cancelled"),IF(N(E917)=0,1,E917),0)</f>
        <v/>
      </c>
      <c r="X917">
        <f>IF(OR(B917="",D917=""),"",IF(N(E917)=0,1,E917))</f>
        <v/>
      </c>
    </row>
    <row r="918">
      <c r="A918" s="1" t="n"/>
      <c r="B918" s="31" t="n"/>
      <c r="C918" s="32" t="n"/>
      <c r="D918" s="33" t="n"/>
      <c r="E918" s="34" t="n"/>
      <c r="F918" s="35" t="n"/>
      <c r="G918" s="35" t="n"/>
      <c r="H918" s="30">
        <f>IF(OR(B918="",D918=""),"",IF(N(E918)=0,1,E918)*IFERROR(INDEX(Products!$C$6:$C$105,MATCH(D918,Products!$B$6:$B$105,0)),0)+N(F918)+N(G918))</f>
        <v/>
      </c>
      <c r="I918" s="35" t="n"/>
      <c r="J918" s="30">
        <f>IF(OR(H918="",L918="Cancelled"),"",IF(H918-N(I918)&gt;0.005,H918-N(I918),""))</f>
        <v/>
      </c>
      <c r="K918" s="31" t="n"/>
      <c r="L918" s="36" t="n"/>
      <c r="M918" s="33" t="n"/>
      <c r="N918" s="22">
        <f>IF(OR(H918="",L918="Cancelled"),"",IF(N(E918)=0,1,E918)*IFERROR(INDEX(Products!$E$6:$E$105,MATCH(D918,Products!$B$6:$B$105,0)),0))</f>
        <v/>
      </c>
      <c r="O918" s="35" t="n"/>
      <c r="P918" s="22">
        <f>IF(OR(H918="",L918="Cancelled"),"",ROUND(IFERROR(H918*INDEX(Settings!$C$6:$C$15,MATCH(M918,Settings!$B$6:$B$15,0))+INDEX(Settings!$D$6:$D$15,MATCH(M918,Settings!$B$6:$B$15,0)),0),2))</f>
        <v/>
      </c>
      <c r="Q918" s="28">
        <f>IF(OR(H918="",L918="Cancelled"),"",H918-N(N918)-N(O918)-N(P918))</f>
        <v/>
      </c>
      <c r="R918" s="19">
        <f>IF(OR(B918="",K918=""),"",IF(OR(L918="Sent",L918="Picked up"),"Done",IF(L918="Cancelled","Cancelled",IF(K918&lt;TODAY(),"Late by "&amp;(TODAY()-K918)&amp;IF((TODAY()-K918)=1," day"," days"),IF(K918=TODAY(),"Due today","Due in "&amp;(K918-TODAY())&amp;IF((K918-TODAY())=1," day"," days"))))))</f>
        <v/>
      </c>
      <c r="S918" s="33" t="n"/>
      <c r="T918" s="1">
        <f>IF(AND(B918&lt;&gt;"",K918&lt;&gt;"",L918&lt;&gt;"Sent",L918&lt;&gt;"Picked up",L918&lt;&gt;"Cancelled"),K918+ROW()/10000000,"")</f>
        <v/>
      </c>
      <c r="U918">
        <f>IF(OR(B918="",C918=""),"",B918+ROW()/10000000)</f>
        <v/>
      </c>
      <c r="V918">
        <f>IF(U918="","",IF(COUNTIFS(Orders!$C$6:$C$1005,C918,Orders!$U$6:$U$1005,"&gt;"&amp;U918)=0,1,0))</f>
        <v/>
      </c>
      <c r="W918">
        <f>IF(AND(B918&lt;&gt;"",K918&lt;&gt;"",L918&lt;&gt;"Sent",L918&lt;&gt;"Picked up",L918&lt;&gt;"Cancelled"),IF(N(E918)=0,1,E918),0)</f>
        <v/>
      </c>
      <c r="X918">
        <f>IF(OR(B918="",D918=""),"",IF(N(E918)=0,1,E918))</f>
        <v/>
      </c>
    </row>
    <row r="919">
      <c r="A919" s="1" t="n"/>
      <c r="B919" s="31" t="n"/>
      <c r="C919" s="32" t="n"/>
      <c r="D919" s="33" t="n"/>
      <c r="E919" s="34" t="n"/>
      <c r="F919" s="35" t="n"/>
      <c r="G919" s="35" t="n"/>
      <c r="H919" s="30">
        <f>IF(OR(B919="",D919=""),"",IF(N(E919)=0,1,E919)*IFERROR(INDEX(Products!$C$6:$C$105,MATCH(D919,Products!$B$6:$B$105,0)),0)+N(F919)+N(G919))</f>
        <v/>
      </c>
      <c r="I919" s="35" t="n"/>
      <c r="J919" s="30">
        <f>IF(OR(H919="",L919="Cancelled"),"",IF(H919-N(I919)&gt;0.005,H919-N(I919),""))</f>
        <v/>
      </c>
      <c r="K919" s="31" t="n"/>
      <c r="L919" s="36" t="n"/>
      <c r="M919" s="33" t="n"/>
      <c r="N919" s="22">
        <f>IF(OR(H919="",L919="Cancelled"),"",IF(N(E919)=0,1,E919)*IFERROR(INDEX(Products!$E$6:$E$105,MATCH(D919,Products!$B$6:$B$105,0)),0))</f>
        <v/>
      </c>
      <c r="O919" s="35" t="n"/>
      <c r="P919" s="22">
        <f>IF(OR(H919="",L919="Cancelled"),"",ROUND(IFERROR(H919*INDEX(Settings!$C$6:$C$15,MATCH(M919,Settings!$B$6:$B$15,0))+INDEX(Settings!$D$6:$D$15,MATCH(M919,Settings!$B$6:$B$15,0)),0),2))</f>
        <v/>
      </c>
      <c r="Q919" s="28">
        <f>IF(OR(H919="",L919="Cancelled"),"",H919-N(N919)-N(O919)-N(P919))</f>
        <v/>
      </c>
      <c r="R919" s="19">
        <f>IF(OR(B919="",K919=""),"",IF(OR(L919="Sent",L919="Picked up"),"Done",IF(L919="Cancelled","Cancelled",IF(K919&lt;TODAY(),"Late by "&amp;(TODAY()-K919)&amp;IF((TODAY()-K919)=1," day"," days"),IF(K919=TODAY(),"Due today","Due in "&amp;(K919-TODAY())&amp;IF((K919-TODAY())=1," day"," days"))))))</f>
        <v/>
      </c>
      <c r="S919" s="33" t="n"/>
      <c r="T919" s="1">
        <f>IF(AND(B919&lt;&gt;"",K919&lt;&gt;"",L919&lt;&gt;"Sent",L919&lt;&gt;"Picked up",L919&lt;&gt;"Cancelled"),K919+ROW()/10000000,"")</f>
        <v/>
      </c>
      <c r="U919">
        <f>IF(OR(B919="",C919=""),"",B919+ROW()/10000000)</f>
        <v/>
      </c>
      <c r="V919">
        <f>IF(U919="","",IF(COUNTIFS(Orders!$C$6:$C$1005,C919,Orders!$U$6:$U$1005,"&gt;"&amp;U919)=0,1,0))</f>
        <v/>
      </c>
      <c r="W919">
        <f>IF(AND(B919&lt;&gt;"",K919&lt;&gt;"",L919&lt;&gt;"Sent",L919&lt;&gt;"Picked up",L919&lt;&gt;"Cancelled"),IF(N(E919)=0,1,E919),0)</f>
        <v/>
      </c>
      <c r="X919">
        <f>IF(OR(B919="",D919=""),"",IF(N(E919)=0,1,E919))</f>
        <v/>
      </c>
    </row>
    <row r="920">
      <c r="A920" s="1" t="n"/>
      <c r="B920" s="31" t="n"/>
      <c r="C920" s="32" t="n"/>
      <c r="D920" s="33" t="n"/>
      <c r="E920" s="34" t="n"/>
      <c r="F920" s="35" t="n"/>
      <c r="G920" s="35" t="n"/>
      <c r="H920" s="30">
        <f>IF(OR(B920="",D920=""),"",IF(N(E920)=0,1,E920)*IFERROR(INDEX(Products!$C$6:$C$105,MATCH(D920,Products!$B$6:$B$105,0)),0)+N(F920)+N(G920))</f>
        <v/>
      </c>
      <c r="I920" s="35" t="n"/>
      <c r="J920" s="30">
        <f>IF(OR(H920="",L920="Cancelled"),"",IF(H920-N(I920)&gt;0.005,H920-N(I920),""))</f>
        <v/>
      </c>
      <c r="K920" s="31" t="n"/>
      <c r="L920" s="36" t="n"/>
      <c r="M920" s="33" t="n"/>
      <c r="N920" s="22">
        <f>IF(OR(H920="",L920="Cancelled"),"",IF(N(E920)=0,1,E920)*IFERROR(INDEX(Products!$E$6:$E$105,MATCH(D920,Products!$B$6:$B$105,0)),0))</f>
        <v/>
      </c>
      <c r="O920" s="35" t="n"/>
      <c r="P920" s="22">
        <f>IF(OR(H920="",L920="Cancelled"),"",ROUND(IFERROR(H920*INDEX(Settings!$C$6:$C$15,MATCH(M920,Settings!$B$6:$B$15,0))+INDEX(Settings!$D$6:$D$15,MATCH(M920,Settings!$B$6:$B$15,0)),0),2))</f>
        <v/>
      </c>
      <c r="Q920" s="28">
        <f>IF(OR(H920="",L920="Cancelled"),"",H920-N(N920)-N(O920)-N(P920))</f>
        <v/>
      </c>
      <c r="R920" s="19">
        <f>IF(OR(B920="",K920=""),"",IF(OR(L920="Sent",L920="Picked up"),"Done",IF(L920="Cancelled","Cancelled",IF(K920&lt;TODAY(),"Late by "&amp;(TODAY()-K920)&amp;IF((TODAY()-K920)=1," day"," days"),IF(K920=TODAY(),"Due today","Due in "&amp;(K920-TODAY())&amp;IF((K920-TODAY())=1," day"," days"))))))</f>
        <v/>
      </c>
      <c r="S920" s="33" t="n"/>
      <c r="T920" s="1">
        <f>IF(AND(B920&lt;&gt;"",K920&lt;&gt;"",L920&lt;&gt;"Sent",L920&lt;&gt;"Picked up",L920&lt;&gt;"Cancelled"),K920+ROW()/10000000,"")</f>
        <v/>
      </c>
      <c r="U920">
        <f>IF(OR(B920="",C920=""),"",B920+ROW()/10000000)</f>
        <v/>
      </c>
      <c r="V920">
        <f>IF(U920="","",IF(COUNTIFS(Orders!$C$6:$C$1005,C920,Orders!$U$6:$U$1005,"&gt;"&amp;U920)=0,1,0))</f>
        <v/>
      </c>
      <c r="W920">
        <f>IF(AND(B920&lt;&gt;"",K920&lt;&gt;"",L920&lt;&gt;"Sent",L920&lt;&gt;"Picked up",L920&lt;&gt;"Cancelled"),IF(N(E920)=0,1,E920),0)</f>
        <v/>
      </c>
      <c r="X920">
        <f>IF(OR(B920="",D920=""),"",IF(N(E920)=0,1,E920))</f>
        <v/>
      </c>
    </row>
    <row r="921">
      <c r="A921" s="1" t="n"/>
      <c r="B921" s="31" t="n"/>
      <c r="C921" s="32" t="n"/>
      <c r="D921" s="33" t="n"/>
      <c r="E921" s="34" t="n"/>
      <c r="F921" s="35" t="n"/>
      <c r="G921" s="35" t="n"/>
      <c r="H921" s="30">
        <f>IF(OR(B921="",D921=""),"",IF(N(E921)=0,1,E921)*IFERROR(INDEX(Products!$C$6:$C$105,MATCH(D921,Products!$B$6:$B$105,0)),0)+N(F921)+N(G921))</f>
        <v/>
      </c>
      <c r="I921" s="35" t="n"/>
      <c r="J921" s="30">
        <f>IF(OR(H921="",L921="Cancelled"),"",IF(H921-N(I921)&gt;0.005,H921-N(I921),""))</f>
        <v/>
      </c>
      <c r="K921" s="31" t="n"/>
      <c r="L921" s="36" t="n"/>
      <c r="M921" s="33" t="n"/>
      <c r="N921" s="22">
        <f>IF(OR(H921="",L921="Cancelled"),"",IF(N(E921)=0,1,E921)*IFERROR(INDEX(Products!$E$6:$E$105,MATCH(D921,Products!$B$6:$B$105,0)),0))</f>
        <v/>
      </c>
      <c r="O921" s="35" t="n"/>
      <c r="P921" s="22">
        <f>IF(OR(H921="",L921="Cancelled"),"",ROUND(IFERROR(H921*INDEX(Settings!$C$6:$C$15,MATCH(M921,Settings!$B$6:$B$15,0))+INDEX(Settings!$D$6:$D$15,MATCH(M921,Settings!$B$6:$B$15,0)),0),2))</f>
        <v/>
      </c>
      <c r="Q921" s="28">
        <f>IF(OR(H921="",L921="Cancelled"),"",H921-N(N921)-N(O921)-N(P921))</f>
        <v/>
      </c>
      <c r="R921" s="19">
        <f>IF(OR(B921="",K921=""),"",IF(OR(L921="Sent",L921="Picked up"),"Done",IF(L921="Cancelled","Cancelled",IF(K921&lt;TODAY(),"Late by "&amp;(TODAY()-K921)&amp;IF((TODAY()-K921)=1," day"," days"),IF(K921=TODAY(),"Due today","Due in "&amp;(K921-TODAY())&amp;IF((K921-TODAY())=1," day"," days"))))))</f>
        <v/>
      </c>
      <c r="S921" s="33" t="n"/>
      <c r="T921" s="1">
        <f>IF(AND(B921&lt;&gt;"",K921&lt;&gt;"",L921&lt;&gt;"Sent",L921&lt;&gt;"Picked up",L921&lt;&gt;"Cancelled"),K921+ROW()/10000000,"")</f>
        <v/>
      </c>
      <c r="U921">
        <f>IF(OR(B921="",C921=""),"",B921+ROW()/10000000)</f>
        <v/>
      </c>
      <c r="V921">
        <f>IF(U921="","",IF(COUNTIFS(Orders!$C$6:$C$1005,C921,Orders!$U$6:$U$1005,"&gt;"&amp;U921)=0,1,0))</f>
        <v/>
      </c>
      <c r="W921">
        <f>IF(AND(B921&lt;&gt;"",K921&lt;&gt;"",L921&lt;&gt;"Sent",L921&lt;&gt;"Picked up",L921&lt;&gt;"Cancelled"),IF(N(E921)=0,1,E921),0)</f>
        <v/>
      </c>
      <c r="X921">
        <f>IF(OR(B921="",D921=""),"",IF(N(E921)=0,1,E921))</f>
        <v/>
      </c>
    </row>
    <row r="922">
      <c r="A922" s="1" t="n"/>
      <c r="B922" s="31" t="n"/>
      <c r="C922" s="32" t="n"/>
      <c r="D922" s="33" t="n"/>
      <c r="E922" s="34" t="n"/>
      <c r="F922" s="35" t="n"/>
      <c r="G922" s="35" t="n"/>
      <c r="H922" s="30">
        <f>IF(OR(B922="",D922=""),"",IF(N(E922)=0,1,E922)*IFERROR(INDEX(Products!$C$6:$C$105,MATCH(D922,Products!$B$6:$B$105,0)),0)+N(F922)+N(G922))</f>
        <v/>
      </c>
      <c r="I922" s="35" t="n"/>
      <c r="J922" s="30">
        <f>IF(OR(H922="",L922="Cancelled"),"",IF(H922-N(I922)&gt;0.005,H922-N(I922),""))</f>
        <v/>
      </c>
      <c r="K922" s="31" t="n"/>
      <c r="L922" s="36" t="n"/>
      <c r="M922" s="33" t="n"/>
      <c r="N922" s="22">
        <f>IF(OR(H922="",L922="Cancelled"),"",IF(N(E922)=0,1,E922)*IFERROR(INDEX(Products!$E$6:$E$105,MATCH(D922,Products!$B$6:$B$105,0)),0))</f>
        <v/>
      </c>
      <c r="O922" s="35" t="n"/>
      <c r="P922" s="22">
        <f>IF(OR(H922="",L922="Cancelled"),"",ROUND(IFERROR(H922*INDEX(Settings!$C$6:$C$15,MATCH(M922,Settings!$B$6:$B$15,0))+INDEX(Settings!$D$6:$D$15,MATCH(M922,Settings!$B$6:$B$15,0)),0),2))</f>
        <v/>
      </c>
      <c r="Q922" s="28">
        <f>IF(OR(H922="",L922="Cancelled"),"",H922-N(N922)-N(O922)-N(P922))</f>
        <v/>
      </c>
      <c r="R922" s="19">
        <f>IF(OR(B922="",K922=""),"",IF(OR(L922="Sent",L922="Picked up"),"Done",IF(L922="Cancelled","Cancelled",IF(K922&lt;TODAY(),"Late by "&amp;(TODAY()-K922)&amp;IF((TODAY()-K922)=1," day"," days"),IF(K922=TODAY(),"Due today","Due in "&amp;(K922-TODAY())&amp;IF((K922-TODAY())=1," day"," days"))))))</f>
        <v/>
      </c>
      <c r="S922" s="33" t="n"/>
      <c r="T922" s="1">
        <f>IF(AND(B922&lt;&gt;"",K922&lt;&gt;"",L922&lt;&gt;"Sent",L922&lt;&gt;"Picked up",L922&lt;&gt;"Cancelled"),K922+ROW()/10000000,"")</f>
        <v/>
      </c>
      <c r="U922">
        <f>IF(OR(B922="",C922=""),"",B922+ROW()/10000000)</f>
        <v/>
      </c>
      <c r="V922">
        <f>IF(U922="","",IF(COUNTIFS(Orders!$C$6:$C$1005,C922,Orders!$U$6:$U$1005,"&gt;"&amp;U922)=0,1,0))</f>
        <v/>
      </c>
      <c r="W922">
        <f>IF(AND(B922&lt;&gt;"",K922&lt;&gt;"",L922&lt;&gt;"Sent",L922&lt;&gt;"Picked up",L922&lt;&gt;"Cancelled"),IF(N(E922)=0,1,E922),0)</f>
        <v/>
      </c>
      <c r="X922">
        <f>IF(OR(B922="",D922=""),"",IF(N(E922)=0,1,E922))</f>
        <v/>
      </c>
    </row>
    <row r="923">
      <c r="A923" s="1" t="n"/>
      <c r="B923" s="31" t="n"/>
      <c r="C923" s="32" t="n"/>
      <c r="D923" s="33" t="n"/>
      <c r="E923" s="34" t="n"/>
      <c r="F923" s="35" t="n"/>
      <c r="G923" s="35" t="n"/>
      <c r="H923" s="30">
        <f>IF(OR(B923="",D923=""),"",IF(N(E923)=0,1,E923)*IFERROR(INDEX(Products!$C$6:$C$105,MATCH(D923,Products!$B$6:$B$105,0)),0)+N(F923)+N(G923))</f>
        <v/>
      </c>
      <c r="I923" s="35" t="n"/>
      <c r="J923" s="30">
        <f>IF(OR(H923="",L923="Cancelled"),"",IF(H923-N(I923)&gt;0.005,H923-N(I923),""))</f>
        <v/>
      </c>
      <c r="K923" s="31" t="n"/>
      <c r="L923" s="36" t="n"/>
      <c r="M923" s="33" t="n"/>
      <c r="N923" s="22">
        <f>IF(OR(H923="",L923="Cancelled"),"",IF(N(E923)=0,1,E923)*IFERROR(INDEX(Products!$E$6:$E$105,MATCH(D923,Products!$B$6:$B$105,0)),0))</f>
        <v/>
      </c>
      <c r="O923" s="35" t="n"/>
      <c r="P923" s="22">
        <f>IF(OR(H923="",L923="Cancelled"),"",ROUND(IFERROR(H923*INDEX(Settings!$C$6:$C$15,MATCH(M923,Settings!$B$6:$B$15,0))+INDEX(Settings!$D$6:$D$15,MATCH(M923,Settings!$B$6:$B$15,0)),0),2))</f>
        <v/>
      </c>
      <c r="Q923" s="28">
        <f>IF(OR(H923="",L923="Cancelled"),"",H923-N(N923)-N(O923)-N(P923))</f>
        <v/>
      </c>
      <c r="R923" s="19">
        <f>IF(OR(B923="",K923=""),"",IF(OR(L923="Sent",L923="Picked up"),"Done",IF(L923="Cancelled","Cancelled",IF(K923&lt;TODAY(),"Late by "&amp;(TODAY()-K923)&amp;IF((TODAY()-K923)=1," day"," days"),IF(K923=TODAY(),"Due today","Due in "&amp;(K923-TODAY())&amp;IF((K923-TODAY())=1," day"," days"))))))</f>
        <v/>
      </c>
      <c r="S923" s="33" t="n"/>
      <c r="T923" s="1">
        <f>IF(AND(B923&lt;&gt;"",K923&lt;&gt;"",L923&lt;&gt;"Sent",L923&lt;&gt;"Picked up",L923&lt;&gt;"Cancelled"),K923+ROW()/10000000,"")</f>
        <v/>
      </c>
      <c r="U923">
        <f>IF(OR(B923="",C923=""),"",B923+ROW()/10000000)</f>
        <v/>
      </c>
      <c r="V923">
        <f>IF(U923="","",IF(COUNTIFS(Orders!$C$6:$C$1005,C923,Orders!$U$6:$U$1005,"&gt;"&amp;U923)=0,1,0))</f>
        <v/>
      </c>
      <c r="W923">
        <f>IF(AND(B923&lt;&gt;"",K923&lt;&gt;"",L923&lt;&gt;"Sent",L923&lt;&gt;"Picked up",L923&lt;&gt;"Cancelled"),IF(N(E923)=0,1,E923),0)</f>
        <v/>
      </c>
      <c r="X923">
        <f>IF(OR(B923="",D923=""),"",IF(N(E923)=0,1,E923))</f>
        <v/>
      </c>
    </row>
    <row r="924">
      <c r="A924" s="1" t="n"/>
      <c r="B924" s="31" t="n"/>
      <c r="C924" s="32" t="n"/>
      <c r="D924" s="33" t="n"/>
      <c r="E924" s="34" t="n"/>
      <c r="F924" s="35" t="n"/>
      <c r="G924" s="35" t="n"/>
      <c r="H924" s="30">
        <f>IF(OR(B924="",D924=""),"",IF(N(E924)=0,1,E924)*IFERROR(INDEX(Products!$C$6:$C$105,MATCH(D924,Products!$B$6:$B$105,0)),0)+N(F924)+N(G924))</f>
        <v/>
      </c>
      <c r="I924" s="35" t="n"/>
      <c r="J924" s="30">
        <f>IF(OR(H924="",L924="Cancelled"),"",IF(H924-N(I924)&gt;0.005,H924-N(I924),""))</f>
        <v/>
      </c>
      <c r="K924" s="31" t="n"/>
      <c r="L924" s="36" t="n"/>
      <c r="M924" s="33" t="n"/>
      <c r="N924" s="22">
        <f>IF(OR(H924="",L924="Cancelled"),"",IF(N(E924)=0,1,E924)*IFERROR(INDEX(Products!$E$6:$E$105,MATCH(D924,Products!$B$6:$B$105,0)),0))</f>
        <v/>
      </c>
      <c r="O924" s="35" t="n"/>
      <c r="P924" s="22">
        <f>IF(OR(H924="",L924="Cancelled"),"",ROUND(IFERROR(H924*INDEX(Settings!$C$6:$C$15,MATCH(M924,Settings!$B$6:$B$15,0))+INDEX(Settings!$D$6:$D$15,MATCH(M924,Settings!$B$6:$B$15,0)),0),2))</f>
        <v/>
      </c>
      <c r="Q924" s="28">
        <f>IF(OR(H924="",L924="Cancelled"),"",H924-N(N924)-N(O924)-N(P924))</f>
        <v/>
      </c>
      <c r="R924" s="19">
        <f>IF(OR(B924="",K924=""),"",IF(OR(L924="Sent",L924="Picked up"),"Done",IF(L924="Cancelled","Cancelled",IF(K924&lt;TODAY(),"Late by "&amp;(TODAY()-K924)&amp;IF((TODAY()-K924)=1," day"," days"),IF(K924=TODAY(),"Due today","Due in "&amp;(K924-TODAY())&amp;IF((K924-TODAY())=1," day"," days"))))))</f>
        <v/>
      </c>
      <c r="S924" s="33" t="n"/>
      <c r="T924" s="1">
        <f>IF(AND(B924&lt;&gt;"",K924&lt;&gt;"",L924&lt;&gt;"Sent",L924&lt;&gt;"Picked up",L924&lt;&gt;"Cancelled"),K924+ROW()/10000000,"")</f>
        <v/>
      </c>
      <c r="U924">
        <f>IF(OR(B924="",C924=""),"",B924+ROW()/10000000)</f>
        <v/>
      </c>
      <c r="V924">
        <f>IF(U924="","",IF(COUNTIFS(Orders!$C$6:$C$1005,C924,Orders!$U$6:$U$1005,"&gt;"&amp;U924)=0,1,0))</f>
        <v/>
      </c>
      <c r="W924">
        <f>IF(AND(B924&lt;&gt;"",K924&lt;&gt;"",L924&lt;&gt;"Sent",L924&lt;&gt;"Picked up",L924&lt;&gt;"Cancelled"),IF(N(E924)=0,1,E924),0)</f>
        <v/>
      </c>
      <c r="X924">
        <f>IF(OR(B924="",D924=""),"",IF(N(E924)=0,1,E924))</f>
        <v/>
      </c>
    </row>
    <row r="925">
      <c r="A925" s="1" t="n"/>
      <c r="B925" s="31" t="n"/>
      <c r="C925" s="32" t="n"/>
      <c r="D925" s="33" t="n"/>
      <c r="E925" s="34" t="n"/>
      <c r="F925" s="35" t="n"/>
      <c r="G925" s="35" t="n"/>
      <c r="H925" s="30">
        <f>IF(OR(B925="",D925=""),"",IF(N(E925)=0,1,E925)*IFERROR(INDEX(Products!$C$6:$C$105,MATCH(D925,Products!$B$6:$B$105,0)),0)+N(F925)+N(G925))</f>
        <v/>
      </c>
      <c r="I925" s="35" t="n"/>
      <c r="J925" s="30">
        <f>IF(OR(H925="",L925="Cancelled"),"",IF(H925-N(I925)&gt;0.005,H925-N(I925),""))</f>
        <v/>
      </c>
      <c r="K925" s="31" t="n"/>
      <c r="L925" s="36" t="n"/>
      <c r="M925" s="33" t="n"/>
      <c r="N925" s="22">
        <f>IF(OR(H925="",L925="Cancelled"),"",IF(N(E925)=0,1,E925)*IFERROR(INDEX(Products!$E$6:$E$105,MATCH(D925,Products!$B$6:$B$105,0)),0))</f>
        <v/>
      </c>
      <c r="O925" s="35" t="n"/>
      <c r="P925" s="22">
        <f>IF(OR(H925="",L925="Cancelled"),"",ROUND(IFERROR(H925*INDEX(Settings!$C$6:$C$15,MATCH(M925,Settings!$B$6:$B$15,0))+INDEX(Settings!$D$6:$D$15,MATCH(M925,Settings!$B$6:$B$15,0)),0),2))</f>
        <v/>
      </c>
      <c r="Q925" s="28">
        <f>IF(OR(H925="",L925="Cancelled"),"",H925-N(N925)-N(O925)-N(P925))</f>
        <v/>
      </c>
      <c r="R925" s="19">
        <f>IF(OR(B925="",K925=""),"",IF(OR(L925="Sent",L925="Picked up"),"Done",IF(L925="Cancelled","Cancelled",IF(K925&lt;TODAY(),"Late by "&amp;(TODAY()-K925)&amp;IF((TODAY()-K925)=1," day"," days"),IF(K925=TODAY(),"Due today","Due in "&amp;(K925-TODAY())&amp;IF((K925-TODAY())=1," day"," days"))))))</f>
        <v/>
      </c>
      <c r="S925" s="33" t="n"/>
      <c r="T925" s="1">
        <f>IF(AND(B925&lt;&gt;"",K925&lt;&gt;"",L925&lt;&gt;"Sent",L925&lt;&gt;"Picked up",L925&lt;&gt;"Cancelled"),K925+ROW()/10000000,"")</f>
        <v/>
      </c>
      <c r="U925">
        <f>IF(OR(B925="",C925=""),"",B925+ROW()/10000000)</f>
        <v/>
      </c>
      <c r="V925">
        <f>IF(U925="","",IF(COUNTIFS(Orders!$C$6:$C$1005,C925,Orders!$U$6:$U$1005,"&gt;"&amp;U925)=0,1,0))</f>
        <v/>
      </c>
      <c r="W925">
        <f>IF(AND(B925&lt;&gt;"",K925&lt;&gt;"",L925&lt;&gt;"Sent",L925&lt;&gt;"Picked up",L925&lt;&gt;"Cancelled"),IF(N(E925)=0,1,E925),0)</f>
        <v/>
      </c>
      <c r="X925">
        <f>IF(OR(B925="",D925=""),"",IF(N(E925)=0,1,E925))</f>
        <v/>
      </c>
    </row>
    <row r="926">
      <c r="A926" s="1" t="n"/>
      <c r="B926" s="31" t="n"/>
      <c r="C926" s="32" t="n"/>
      <c r="D926" s="33" t="n"/>
      <c r="E926" s="34" t="n"/>
      <c r="F926" s="35" t="n"/>
      <c r="G926" s="35" t="n"/>
      <c r="H926" s="30">
        <f>IF(OR(B926="",D926=""),"",IF(N(E926)=0,1,E926)*IFERROR(INDEX(Products!$C$6:$C$105,MATCH(D926,Products!$B$6:$B$105,0)),0)+N(F926)+N(G926))</f>
        <v/>
      </c>
      <c r="I926" s="35" t="n"/>
      <c r="J926" s="30">
        <f>IF(OR(H926="",L926="Cancelled"),"",IF(H926-N(I926)&gt;0.005,H926-N(I926),""))</f>
        <v/>
      </c>
      <c r="K926" s="31" t="n"/>
      <c r="L926" s="36" t="n"/>
      <c r="M926" s="33" t="n"/>
      <c r="N926" s="22">
        <f>IF(OR(H926="",L926="Cancelled"),"",IF(N(E926)=0,1,E926)*IFERROR(INDEX(Products!$E$6:$E$105,MATCH(D926,Products!$B$6:$B$105,0)),0))</f>
        <v/>
      </c>
      <c r="O926" s="35" t="n"/>
      <c r="P926" s="22">
        <f>IF(OR(H926="",L926="Cancelled"),"",ROUND(IFERROR(H926*INDEX(Settings!$C$6:$C$15,MATCH(M926,Settings!$B$6:$B$15,0))+INDEX(Settings!$D$6:$D$15,MATCH(M926,Settings!$B$6:$B$15,0)),0),2))</f>
        <v/>
      </c>
      <c r="Q926" s="28">
        <f>IF(OR(H926="",L926="Cancelled"),"",H926-N(N926)-N(O926)-N(P926))</f>
        <v/>
      </c>
      <c r="R926" s="19">
        <f>IF(OR(B926="",K926=""),"",IF(OR(L926="Sent",L926="Picked up"),"Done",IF(L926="Cancelled","Cancelled",IF(K926&lt;TODAY(),"Late by "&amp;(TODAY()-K926)&amp;IF((TODAY()-K926)=1," day"," days"),IF(K926=TODAY(),"Due today","Due in "&amp;(K926-TODAY())&amp;IF((K926-TODAY())=1," day"," days"))))))</f>
        <v/>
      </c>
      <c r="S926" s="33" t="n"/>
      <c r="T926" s="1">
        <f>IF(AND(B926&lt;&gt;"",K926&lt;&gt;"",L926&lt;&gt;"Sent",L926&lt;&gt;"Picked up",L926&lt;&gt;"Cancelled"),K926+ROW()/10000000,"")</f>
        <v/>
      </c>
      <c r="U926">
        <f>IF(OR(B926="",C926=""),"",B926+ROW()/10000000)</f>
        <v/>
      </c>
      <c r="V926">
        <f>IF(U926="","",IF(COUNTIFS(Orders!$C$6:$C$1005,C926,Orders!$U$6:$U$1005,"&gt;"&amp;U926)=0,1,0))</f>
        <v/>
      </c>
      <c r="W926">
        <f>IF(AND(B926&lt;&gt;"",K926&lt;&gt;"",L926&lt;&gt;"Sent",L926&lt;&gt;"Picked up",L926&lt;&gt;"Cancelled"),IF(N(E926)=0,1,E926),0)</f>
        <v/>
      </c>
      <c r="X926">
        <f>IF(OR(B926="",D926=""),"",IF(N(E926)=0,1,E926))</f>
        <v/>
      </c>
    </row>
    <row r="927">
      <c r="A927" s="1" t="n"/>
      <c r="B927" s="31" t="n"/>
      <c r="C927" s="32" t="n"/>
      <c r="D927" s="33" t="n"/>
      <c r="E927" s="34" t="n"/>
      <c r="F927" s="35" t="n"/>
      <c r="G927" s="35" t="n"/>
      <c r="H927" s="30">
        <f>IF(OR(B927="",D927=""),"",IF(N(E927)=0,1,E927)*IFERROR(INDEX(Products!$C$6:$C$105,MATCH(D927,Products!$B$6:$B$105,0)),0)+N(F927)+N(G927))</f>
        <v/>
      </c>
      <c r="I927" s="35" t="n"/>
      <c r="J927" s="30">
        <f>IF(OR(H927="",L927="Cancelled"),"",IF(H927-N(I927)&gt;0.005,H927-N(I927),""))</f>
        <v/>
      </c>
      <c r="K927" s="31" t="n"/>
      <c r="L927" s="36" t="n"/>
      <c r="M927" s="33" t="n"/>
      <c r="N927" s="22">
        <f>IF(OR(H927="",L927="Cancelled"),"",IF(N(E927)=0,1,E927)*IFERROR(INDEX(Products!$E$6:$E$105,MATCH(D927,Products!$B$6:$B$105,0)),0))</f>
        <v/>
      </c>
      <c r="O927" s="35" t="n"/>
      <c r="P927" s="22">
        <f>IF(OR(H927="",L927="Cancelled"),"",ROUND(IFERROR(H927*INDEX(Settings!$C$6:$C$15,MATCH(M927,Settings!$B$6:$B$15,0))+INDEX(Settings!$D$6:$D$15,MATCH(M927,Settings!$B$6:$B$15,0)),0),2))</f>
        <v/>
      </c>
      <c r="Q927" s="28">
        <f>IF(OR(H927="",L927="Cancelled"),"",H927-N(N927)-N(O927)-N(P927))</f>
        <v/>
      </c>
      <c r="R927" s="19">
        <f>IF(OR(B927="",K927=""),"",IF(OR(L927="Sent",L927="Picked up"),"Done",IF(L927="Cancelled","Cancelled",IF(K927&lt;TODAY(),"Late by "&amp;(TODAY()-K927)&amp;IF((TODAY()-K927)=1," day"," days"),IF(K927=TODAY(),"Due today","Due in "&amp;(K927-TODAY())&amp;IF((K927-TODAY())=1," day"," days"))))))</f>
        <v/>
      </c>
      <c r="S927" s="33" t="n"/>
      <c r="T927" s="1">
        <f>IF(AND(B927&lt;&gt;"",K927&lt;&gt;"",L927&lt;&gt;"Sent",L927&lt;&gt;"Picked up",L927&lt;&gt;"Cancelled"),K927+ROW()/10000000,"")</f>
        <v/>
      </c>
      <c r="U927">
        <f>IF(OR(B927="",C927=""),"",B927+ROW()/10000000)</f>
        <v/>
      </c>
      <c r="V927">
        <f>IF(U927="","",IF(COUNTIFS(Orders!$C$6:$C$1005,C927,Orders!$U$6:$U$1005,"&gt;"&amp;U927)=0,1,0))</f>
        <v/>
      </c>
      <c r="W927">
        <f>IF(AND(B927&lt;&gt;"",K927&lt;&gt;"",L927&lt;&gt;"Sent",L927&lt;&gt;"Picked up",L927&lt;&gt;"Cancelled"),IF(N(E927)=0,1,E927),0)</f>
        <v/>
      </c>
      <c r="X927">
        <f>IF(OR(B927="",D927=""),"",IF(N(E927)=0,1,E927))</f>
        <v/>
      </c>
    </row>
    <row r="928">
      <c r="A928" s="1" t="n"/>
      <c r="B928" s="31" t="n"/>
      <c r="C928" s="32" t="n"/>
      <c r="D928" s="33" t="n"/>
      <c r="E928" s="34" t="n"/>
      <c r="F928" s="35" t="n"/>
      <c r="G928" s="35" t="n"/>
      <c r="H928" s="30">
        <f>IF(OR(B928="",D928=""),"",IF(N(E928)=0,1,E928)*IFERROR(INDEX(Products!$C$6:$C$105,MATCH(D928,Products!$B$6:$B$105,0)),0)+N(F928)+N(G928))</f>
        <v/>
      </c>
      <c r="I928" s="35" t="n"/>
      <c r="J928" s="30">
        <f>IF(OR(H928="",L928="Cancelled"),"",IF(H928-N(I928)&gt;0.005,H928-N(I928),""))</f>
        <v/>
      </c>
      <c r="K928" s="31" t="n"/>
      <c r="L928" s="36" t="n"/>
      <c r="M928" s="33" t="n"/>
      <c r="N928" s="22">
        <f>IF(OR(H928="",L928="Cancelled"),"",IF(N(E928)=0,1,E928)*IFERROR(INDEX(Products!$E$6:$E$105,MATCH(D928,Products!$B$6:$B$105,0)),0))</f>
        <v/>
      </c>
      <c r="O928" s="35" t="n"/>
      <c r="P928" s="22">
        <f>IF(OR(H928="",L928="Cancelled"),"",ROUND(IFERROR(H928*INDEX(Settings!$C$6:$C$15,MATCH(M928,Settings!$B$6:$B$15,0))+INDEX(Settings!$D$6:$D$15,MATCH(M928,Settings!$B$6:$B$15,0)),0),2))</f>
        <v/>
      </c>
      <c r="Q928" s="28">
        <f>IF(OR(H928="",L928="Cancelled"),"",H928-N(N928)-N(O928)-N(P928))</f>
        <v/>
      </c>
      <c r="R928" s="19">
        <f>IF(OR(B928="",K928=""),"",IF(OR(L928="Sent",L928="Picked up"),"Done",IF(L928="Cancelled","Cancelled",IF(K928&lt;TODAY(),"Late by "&amp;(TODAY()-K928)&amp;IF((TODAY()-K928)=1," day"," days"),IF(K928=TODAY(),"Due today","Due in "&amp;(K928-TODAY())&amp;IF((K928-TODAY())=1," day"," days"))))))</f>
        <v/>
      </c>
      <c r="S928" s="33" t="n"/>
      <c r="T928" s="1">
        <f>IF(AND(B928&lt;&gt;"",K928&lt;&gt;"",L928&lt;&gt;"Sent",L928&lt;&gt;"Picked up",L928&lt;&gt;"Cancelled"),K928+ROW()/10000000,"")</f>
        <v/>
      </c>
      <c r="U928">
        <f>IF(OR(B928="",C928=""),"",B928+ROW()/10000000)</f>
        <v/>
      </c>
      <c r="V928">
        <f>IF(U928="","",IF(COUNTIFS(Orders!$C$6:$C$1005,C928,Orders!$U$6:$U$1005,"&gt;"&amp;U928)=0,1,0))</f>
        <v/>
      </c>
      <c r="W928">
        <f>IF(AND(B928&lt;&gt;"",K928&lt;&gt;"",L928&lt;&gt;"Sent",L928&lt;&gt;"Picked up",L928&lt;&gt;"Cancelled"),IF(N(E928)=0,1,E928),0)</f>
        <v/>
      </c>
      <c r="X928">
        <f>IF(OR(B928="",D928=""),"",IF(N(E928)=0,1,E928))</f>
        <v/>
      </c>
    </row>
    <row r="929">
      <c r="A929" s="1" t="n"/>
      <c r="B929" s="31" t="n"/>
      <c r="C929" s="32" t="n"/>
      <c r="D929" s="33" t="n"/>
      <c r="E929" s="34" t="n"/>
      <c r="F929" s="35" t="n"/>
      <c r="G929" s="35" t="n"/>
      <c r="H929" s="30">
        <f>IF(OR(B929="",D929=""),"",IF(N(E929)=0,1,E929)*IFERROR(INDEX(Products!$C$6:$C$105,MATCH(D929,Products!$B$6:$B$105,0)),0)+N(F929)+N(G929))</f>
        <v/>
      </c>
      <c r="I929" s="35" t="n"/>
      <c r="J929" s="30">
        <f>IF(OR(H929="",L929="Cancelled"),"",IF(H929-N(I929)&gt;0.005,H929-N(I929),""))</f>
        <v/>
      </c>
      <c r="K929" s="31" t="n"/>
      <c r="L929" s="36" t="n"/>
      <c r="M929" s="33" t="n"/>
      <c r="N929" s="22">
        <f>IF(OR(H929="",L929="Cancelled"),"",IF(N(E929)=0,1,E929)*IFERROR(INDEX(Products!$E$6:$E$105,MATCH(D929,Products!$B$6:$B$105,0)),0))</f>
        <v/>
      </c>
      <c r="O929" s="35" t="n"/>
      <c r="P929" s="22">
        <f>IF(OR(H929="",L929="Cancelled"),"",ROUND(IFERROR(H929*INDEX(Settings!$C$6:$C$15,MATCH(M929,Settings!$B$6:$B$15,0))+INDEX(Settings!$D$6:$D$15,MATCH(M929,Settings!$B$6:$B$15,0)),0),2))</f>
        <v/>
      </c>
      <c r="Q929" s="28">
        <f>IF(OR(H929="",L929="Cancelled"),"",H929-N(N929)-N(O929)-N(P929))</f>
        <v/>
      </c>
      <c r="R929" s="19">
        <f>IF(OR(B929="",K929=""),"",IF(OR(L929="Sent",L929="Picked up"),"Done",IF(L929="Cancelled","Cancelled",IF(K929&lt;TODAY(),"Late by "&amp;(TODAY()-K929)&amp;IF((TODAY()-K929)=1," day"," days"),IF(K929=TODAY(),"Due today","Due in "&amp;(K929-TODAY())&amp;IF((K929-TODAY())=1," day"," days"))))))</f>
        <v/>
      </c>
      <c r="S929" s="33" t="n"/>
      <c r="T929" s="1">
        <f>IF(AND(B929&lt;&gt;"",K929&lt;&gt;"",L929&lt;&gt;"Sent",L929&lt;&gt;"Picked up",L929&lt;&gt;"Cancelled"),K929+ROW()/10000000,"")</f>
        <v/>
      </c>
      <c r="U929">
        <f>IF(OR(B929="",C929=""),"",B929+ROW()/10000000)</f>
        <v/>
      </c>
      <c r="V929">
        <f>IF(U929="","",IF(COUNTIFS(Orders!$C$6:$C$1005,C929,Orders!$U$6:$U$1005,"&gt;"&amp;U929)=0,1,0))</f>
        <v/>
      </c>
      <c r="W929">
        <f>IF(AND(B929&lt;&gt;"",K929&lt;&gt;"",L929&lt;&gt;"Sent",L929&lt;&gt;"Picked up",L929&lt;&gt;"Cancelled"),IF(N(E929)=0,1,E929),0)</f>
        <v/>
      </c>
      <c r="X929">
        <f>IF(OR(B929="",D929=""),"",IF(N(E929)=0,1,E929))</f>
        <v/>
      </c>
    </row>
    <row r="930">
      <c r="A930" s="1" t="n"/>
      <c r="B930" s="31" t="n"/>
      <c r="C930" s="32" t="n"/>
      <c r="D930" s="33" t="n"/>
      <c r="E930" s="34" t="n"/>
      <c r="F930" s="35" t="n"/>
      <c r="G930" s="35" t="n"/>
      <c r="H930" s="30">
        <f>IF(OR(B930="",D930=""),"",IF(N(E930)=0,1,E930)*IFERROR(INDEX(Products!$C$6:$C$105,MATCH(D930,Products!$B$6:$B$105,0)),0)+N(F930)+N(G930))</f>
        <v/>
      </c>
      <c r="I930" s="35" t="n"/>
      <c r="J930" s="30">
        <f>IF(OR(H930="",L930="Cancelled"),"",IF(H930-N(I930)&gt;0.005,H930-N(I930),""))</f>
        <v/>
      </c>
      <c r="K930" s="31" t="n"/>
      <c r="L930" s="36" t="n"/>
      <c r="M930" s="33" t="n"/>
      <c r="N930" s="22">
        <f>IF(OR(H930="",L930="Cancelled"),"",IF(N(E930)=0,1,E930)*IFERROR(INDEX(Products!$E$6:$E$105,MATCH(D930,Products!$B$6:$B$105,0)),0))</f>
        <v/>
      </c>
      <c r="O930" s="35" t="n"/>
      <c r="P930" s="22">
        <f>IF(OR(H930="",L930="Cancelled"),"",ROUND(IFERROR(H930*INDEX(Settings!$C$6:$C$15,MATCH(M930,Settings!$B$6:$B$15,0))+INDEX(Settings!$D$6:$D$15,MATCH(M930,Settings!$B$6:$B$15,0)),0),2))</f>
        <v/>
      </c>
      <c r="Q930" s="28">
        <f>IF(OR(H930="",L930="Cancelled"),"",H930-N(N930)-N(O930)-N(P930))</f>
        <v/>
      </c>
      <c r="R930" s="19">
        <f>IF(OR(B930="",K930=""),"",IF(OR(L930="Sent",L930="Picked up"),"Done",IF(L930="Cancelled","Cancelled",IF(K930&lt;TODAY(),"Late by "&amp;(TODAY()-K930)&amp;IF((TODAY()-K930)=1," day"," days"),IF(K930=TODAY(),"Due today","Due in "&amp;(K930-TODAY())&amp;IF((K930-TODAY())=1," day"," days"))))))</f>
        <v/>
      </c>
      <c r="S930" s="33" t="n"/>
      <c r="T930" s="1">
        <f>IF(AND(B930&lt;&gt;"",K930&lt;&gt;"",L930&lt;&gt;"Sent",L930&lt;&gt;"Picked up",L930&lt;&gt;"Cancelled"),K930+ROW()/10000000,"")</f>
        <v/>
      </c>
      <c r="U930">
        <f>IF(OR(B930="",C930=""),"",B930+ROW()/10000000)</f>
        <v/>
      </c>
      <c r="V930">
        <f>IF(U930="","",IF(COUNTIFS(Orders!$C$6:$C$1005,C930,Orders!$U$6:$U$1005,"&gt;"&amp;U930)=0,1,0))</f>
        <v/>
      </c>
      <c r="W930">
        <f>IF(AND(B930&lt;&gt;"",K930&lt;&gt;"",L930&lt;&gt;"Sent",L930&lt;&gt;"Picked up",L930&lt;&gt;"Cancelled"),IF(N(E930)=0,1,E930),0)</f>
        <v/>
      </c>
      <c r="X930">
        <f>IF(OR(B930="",D930=""),"",IF(N(E930)=0,1,E930))</f>
        <v/>
      </c>
    </row>
    <row r="931">
      <c r="A931" s="1" t="n"/>
      <c r="B931" s="31" t="n"/>
      <c r="C931" s="32" t="n"/>
      <c r="D931" s="33" t="n"/>
      <c r="E931" s="34" t="n"/>
      <c r="F931" s="35" t="n"/>
      <c r="G931" s="35" t="n"/>
      <c r="H931" s="30">
        <f>IF(OR(B931="",D931=""),"",IF(N(E931)=0,1,E931)*IFERROR(INDEX(Products!$C$6:$C$105,MATCH(D931,Products!$B$6:$B$105,0)),0)+N(F931)+N(G931))</f>
        <v/>
      </c>
      <c r="I931" s="35" t="n"/>
      <c r="J931" s="30">
        <f>IF(OR(H931="",L931="Cancelled"),"",IF(H931-N(I931)&gt;0.005,H931-N(I931),""))</f>
        <v/>
      </c>
      <c r="K931" s="31" t="n"/>
      <c r="L931" s="36" t="n"/>
      <c r="M931" s="33" t="n"/>
      <c r="N931" s="22">
        <f>IF(OR(H931="",L931="Cancelled"),"",IF(N(E931)=0,1,E931)*IFERROR(INDEX(Products!$E$6:$E$105,MATCH(D931,Products!$B$6:$B$105,0)),0))</f>
        <v/>
      </c>
      <c r="O931" s="35" t="n"/>
      <c r="P931" s="22">
        <f>IF(OR(H931="",L931="Cancelled"),"",ROUND(IFERROR(H931*INDEX(Settings!$C$6:$C$15,MATCH(M931,Settings!$B$6:$B$15,0))+INDEX(Settings!$D$6:$D$15,MATCH(M931,Settings!$B$6:$B$15,0)),0),2))</f>
        <v/>
      </c>
      <c r="Q931" s="28">
        <f>IF(OR(H931="",L931="Cancelled"),"",H931-N(N931)-N(O931)-N(P931))</f>
        <v/>
      </c>
      <c r="R931" s="19">
        <f>IF(OR(B931="",K931=""),"",IF(OR(L931="Sent",L931="Picked up"),"Done",IF(L931="Cancelled","Cancelled",IF(K931&lt;TODAY(),"Late by "&amp;(TODAY()-K931)&amp;IF((TODAY()-K931)=1," day"," days"),IF(K931=TODAY(),"Due today","Due in "&amp;(K931-TODAY())&amp;IF((K931-TODAY())=1," day"," days"))))))</f>
        <v/>
      </c>
      <c r="S931" s="33" t="n"/>
      <c r="T931" s="1">
        <f>IF(AND(B931&lt;&gt;"",K931&lt;&gt;"",L931&lt;&gt;"Sent",L931&lt;&gt;"Picked up",L931&lt;&gt;"Cancelled"),K931+ROW()/10000000,"")</f>
        <v/>
      </c>
      <c r="U931">
        <f>IF(OR(B931="",C931=""),"",B931+ROW()/10000000)</f>
        <v/>
      </c>
      <c r="V931">
        <f>IF(U931="","",IF(COUNTIFS(Orders!$C$6:$C$1005,C931,Orders!$U$6:$U$1005,"&gt;"&amp;U931)=0,1,0))</f>
        <v/>
      </c>
      <c r="W931">
        <f>IF(AND(B931&lt;&gt;"",K931&lt;&gt;"",L931&lt;&gt;"Sent",L931&lt;&gt;"Picked up",L931&lt;&gt;"Cancelled"),IF(N(E931)=0,1,E931),0)</f>
        <v/>
      </c>
      <c r="X931">
        <f>IF(OR(B931="",D931=""),"",IF(N(E931)=0,1,E931))</f>
        <v/>
      </c>
    </row>
    <row r="932">
      <c r="A932" s="1" t="n"/>
      <c r="B932" s="31" t="n"/>
      <c r="C932" s="32" t="n"/>
      <c r="D932" s="33" t="n"/>
      <c r="E932" s="34" t="n"/>
      <c r="F932" s="35" t="n"/>
      <c r="G932" s="35" t="n"/>
      <c r="H932" s="30">
        <f>IF(OR(B932="",D932=""),"",IF(N(E932)=0,1,E932)*IFERROR(INDEX(Products!$C$6:$C$105,MATCH(D932,Products!$B$6:$B$105,0)),0)+N(F932)+N(G932))</f>
        <v/>
      </c>
      <c r="I932" s="35" t="n"/>
      <c r="J932" s="30">
        <f>IF(OR(H932="",L932="Cancelled"),"",IF(H932-N(I932)&gt;0.005,H932-N(I932),""))</f>
        <v/>
      </c>
      <c r="K932" s="31" t="n"/>
      <c r="L932" s="36" t="n"/>
      <c r="M932" s="33" t="n"/>
      <c r="N932" s="22">
        <f>IF(OR(H932="",L932="Cancelled"),"",IF(N(E932)=0,1,E932)*IFERROR(INDEX(Products!$E$6:$E$105,MATCH(D932,Products!$B$6:$B$105,0)),0))</f>
        <v/>
      </c>
      <c r="O932" s="35" t="n"/>
      <c r="P932" s="22">
        <f>IF(OR(H932="",L932="Cancelled"),"",ROUND(IFERROR(H932*INDEX(Settings!$C$6:$C$15,MATCH(M932,Settings!$B$6:$B$15,0))+INDEX(Settings!$D$6:$D$15,MATCH(M932,Settings!$B$6:$B$15,0)),0),2))</f>
        <v/>
      </c>
      <c r="Q932" s="28">
        <f>IF(OR(H932="",L932="Cancelled"),"",H932-N(N932)-N(O932)-N(P932))</f>
        <v/>
      </c>
      <c r="R932" s="19">
        <f>IF(OR(B932="",K932=""),"",IF(OR(L932="Sent",L932="Picked up"),"Done",IF(L932="Cancelled","Cancelled",IF(K932&lt;TODAY(),"Late by "&amp;(TODAY()-K932)&amp;IF((TODAY()-K932)=1," day"," days"),IF(K932=TODAY(),"Due today","Due in "&amp;(K932-TODAY())&amp;IF((K932-TODAY())=1," day"," days"))))))</f>
        <v/>
      </c>
      <c r="S932" s="33" t="n"/>
      <c r="T932" s="1">
        <f>IF(AND(B932&lt;&gt;"",K932&lt;&gt;"",L932&lt;&gt;"Sent",L932&lt;&gt;"Picked up",L932&lt;&gt;"Cancelled"),K932+ROW()/10000000,"")</f>
        <v/>
      </c>
      <c r="U932">
        <f>IF(OR(B932="",C932=""),"",B932+ROW()/10000000)</f>
        <v/>
      </c>
      <c r="V932">
        <f>IF(U932="","",IF(COUNTIFS(Orders!$C$6:$C$1005,C932,Orders!$U$6:$U$1005,"&gt;"&amp;U932)=0,1,0))</f>
        <v/>
      </c>
      <c r="W932">
        <f>IF(AND(B932&lt;&gt;"",K932&lt;&gt;"",L932&lt;&gt;"Sent",L932&lt;&gt;"Picked up",L932&lt;&gt;"Cancelled"),IF(N(E932)=0,1,E932),0)</f>
        <v/>
      </c>
      <c r="X932">
        <f>IF(OR(B932="",D932=""),"",IF(N(E932)=0,1,E932))</f>
        <v/>
      </c>
    </row>
    <row r="933">
      <c r="A933" s="1" t="n"/>
      <c r="B933" s="31" t="n"/>
      <c r="C933" s="32" t="n"/>
      <c r="D933" s="33" t="n"/>
      <c r="E933" s="34" t="n"/>
      <c r="F933" s="35" t="n"/>
      <c r="G933" s="35" t="n"/>
      <c r="H933" s="30">
        <f>IF(OR(B933="",D933=""),"",IF(N(E933)=0,1,E933)*IFERROR(INDEX(Products!$C$6:$C$105,MATCH(D933,Products!$B$6:$B$105,0)),0)+N(F933)+N(G933))</f>
        <v/>
      </c>
      <c r="I933" s="35" t="n"/>
      <c r="J933" s="30">
        <f>IF(OR(H933="",L933="Cancelled"),"",IF(H933-N(I933)&gt;0.005,H933-N(I933),""))</f>
        <v/>
      </c>
      <c r="K933" s="31" t="n"/>
      <c r="L933" s="36" t="n"/>
      <c r="M933" s="33" t="n"/>
      <c r="N933" s="22">
        <f>IF(OR(H933="",L933="Cancelled"),"",IF(N(E933)=0,1,E933)*IFERROR(INDEX(Products!$E$6:$E$105,MATCH(D933,Products!$B$6:$B$105,0)),0))</f>
        <v/>
      </c>
      <c r="O933" s="35" t="n"/>
      <c r="P933" s="22">
        <f>IF(OR(H933="",L933="Cancelled"),"",ROUND(IFERROR(H933*INDEX(Settings!$C$6:$C$15,MATCH(M933,Settings!$B$6:$B$15,0))+INDEX(Settings!$D$6:$D$15,MATCH(M933,Settings!$B$6:$B$15,0)),0),2))</f>
        <v/>
      </c>
      <c r="Q933" s="28">
        <f>IF(OR(H933="",L933="Cancelled"),"",H933-N(N933)-N(O933)-N(P933))</f>
        <v/>
      </c>
      <c r="R933" s="19">
        <f>IF(OR(B933="",K933=""),"",IF(OR(L933="Sent",L933="Picked up"),"Done",IF(L933="Cancelled","Cancelled",IF(K933&lt;TODAY(),"Late by "&amp;(TODAY()-K933)&amp;IF((TODAY()-K933)=1," day"," days"),IF(K933=TODAY(),"Due today","Due in "&amp;(K933-TODAY())&amp;IF((K933-TODAY())=1," day"," days"))))))</f>
        <v/>
      </c>
      <c r="S933" s="33" t="n"/>
      <c r="T933" s="1">
        <f>IF(AND(B933&lt;&gt;"",K933&lt;&gt;"",L933&lt;&gt;"Sent",L933&lt;&gt;"Picked up",L933&lt;&gt;"Cancelled"),K933+ROW()/10000000,"")</f>
        <v/>
      </c>
      <c r="U933">
        <f>IF(OR(B933="",C933=""),"",B933+ROW()/10000000)</f>
        <v/>
      </c>
      <c r="V933">
        <f>IF(U933="","",IF(COUNTIFS(Orders!$C$6:$C$1005,C933,Orders!$U$6:$U$1005,"&gt;"&amp;U933)=0,1,0))</f>
        <v/>
      </c>
      <c r="W933">
        <f>IF(AND(B933&lt;&gt;"",K933&lt;&gt;"",L933&lt;&gt;"Sent",L933&lt;&gt;"Picked up",L933&lt;&gt;"Cancelled"),IF(N(E933)=0,1,E933),0)</f>
        <v/>
      </c>
      <c r="X933">
        <f>IF(OR(B933="",D933=""),"",IF(N(E933)=0,1,E933))</f>
        <v/>
      </c>
    </row>
    <row r="934">
      <c r="A934" s="1" t="n"/>
      <c r="B934" s="31" t="n"/>
      <c r="C934" s="32" t="n"/>
      <c r="D934" s="33" t="n"/>
      <c r="E934" s="34" t="n"/>
      <c r="F934" s="35" t="n"/>
      <c r="G934" s="35" t="n"/>
      <c r="H934" s="30">
        <f>IF(OR(B934="",D934=""),"",IF(N(E934)=0,1,E934)*IFERROR(INDEX(Products!$C$6:$C$105,MATCH(D934,Products!$B$6:$B$105,0)),0)+N(F934)+N(G934))</f>
        <v/>
      </c>
      <c r="I934" s="35" t="n"/>
      <c r="J934" s="30">
        <f>IF(OR(H934="",L934="Cancelled"),"",IF(H934-N(I934)&gt;0.005,H934-N(I934),""))</f>
        <v/>
      </c>
      <c r="K934" s="31" t="n"/>
      <c r="L934" s="36" t="n"/>
      <c r="M934" s="33" t="n"/>
      <c r="N934" s="22">
        <f>IF(OR(H934="",L934="Cancelled"),"",IF(N(E934)=0,1,E934)*IFERROR(INDEX(Products!$E$6:$E$105,MATCH(D934,Products!$B$6:$B$105,0)),0))</f>
        <v/>
      </c>
      <c r="O934" s="35" t="n"/>
      <c r="P934" s="22">
        <f>IF(OR(H934="",L934="Cancelled"),"",ROUND(IFERROR(H934*INDEX(Settings!$C$6:$C$15,MATCH(M934,Settings!$B$6:$B$15,0))+INDEX(Settings!$D$6:$D$15,MATCH(M934,Settings!$B$6:$B$15,0)),0),2))</f>
        <v/>
      </c>
      <c r="Q934" s="28">
        <f>IF(OR(H934="",L934="Cancelled"),"",H934-N(N934)-N(O934)-N(P934))</f>
        <v/>
      </c>
      <c r="R934" s="19">
        <f>IF(OR(B934="",K934=""),"",IF(OR(L934="Sent",L934="Picked up"),"Done",IF(L934="Cancelled","Cancelled",IF(K934&lt;TODAY(),"Late by "&amp;(TODAY()-K934)&amp;IF((TODAY()-K934)=1," day"," days"),IF(K934=TODAY(),"Due today","Due in "&amp;(K934-TODAY())&amp;IF((K934-TODAY())=1," day"," days"))))))</f>
        <v/>
      </c>
      <c r="S934" s="33" t="n"/>
      <c r="T934" s="1">
        <f>IF(AND(B934&lt;&gt;"",K934&lt;&gt;"",L934&lt;&gt;"Sent",L934&lt;&gt;"Picked up",L934&lt;&gt;"Cancelled"),K934+ROW()/10000000,"")</f>
        <v/>
      </c>
      <c r="U934">
        <f>IF(OR(B934="",C934=""),"",B934+ROW()/10000000)</f>
        <v/>
      </c>
      <c r="V934">
        <f>IF(U934="","",IF(COUNTIFS(Orders!$C$6:$C$1005,C934,Orders!$U$6:$U$1005,"&gt;"&amp;U934)=0,1,0))</f>
        <v/>
      </c>
      <c r="W934">
        <f>IF(AND(B934&lt;&gt;"",K934&lt;&gt;"",L934&lt;&gt;"Sent",L934&lt;&gt;"Picked up",L934&lt;&gt;"Cancelled"),IF(N(E934)=0,1,E934),0)</f>
        <v/>
      </c>
      <c r="X934">
        <f>IF(OR(B934="",D934=""),"",IF(N(E934)=0,1,E934))</f>
        <v/>
      </c>
    </row>
    <row r="935">
      <c r="A935" s="1" t="n"/>
      <c r="B935" s="31" t="n"/>
      <c r="C935" s="32" t="n"/>
      <c r="D935" s="33" t="n"/>
      <c r="E935" s="34" t="n"/>
      <c r="F935" s="35" t="n"/>
      <c r="G935" s="35" t="n"/>
      <c r="H935" s="30">
        <f>IF(OR(B935="",D935=""),"",IF(N(E935)=0,1,E935)*IFERROR(INDEX(Products!$C$6:$C$105,MATCH(D935,Products!$B$6:$B$105,0)),0)+N(F935)+N(G935))</f>
        <v/>
      </c>
      <c r="I935" s="35" t="n"/>
      <c r="J935" s="30">
        <f>IF(OR(H935="",L935="Cancelled"),"",IF(H935-N(I935)&gt;0.005,H935-N(I935),""))</f>
        <v/>
      </c>
      <c r="K935" s="31" t="n"/>
      <c r="L935" s="36" t="n"/>
      <c r="M935" s="33" t="n"/>
      <c r="N935" s="22">
        <f>IF(OR(H935="",L935="Cancelled"),"",IF(N(E935)=0,1,E935)*IFERROR(INDEX(Products!$E$6:$E$105,MATCH(D935,Products!$B$6:$B$105,0)),0))</f>
        <v/>
      </c>
      <c r="O935" s="35" t="n"/>
      <c r="P935" s="22">
        <f>IF(OR(H935="",L935="Cancelled"),"",ROUND(IFERROR(H935*INDEX(Settings!$C$6:$C$15,MATCH(M935,Settings!$B$6:$B$15,0))+INDEX(Settings!$D$6:$D$15,MATCH(M935,Settings!$B$6:$B$15,0)),0),2))</f>
        <v/>
      </c>
      <c r="Q935" s="28">
        <f>IF(OR(H935="",L935="Cancelled"),"",H935-N(N935)-N(O935)-N(P935))</f>
        <v/>
      </c>
      <c r="R935" s="19">
        <f>IF(OR(B935="",K935=""),"",IF(OR(L935="Sent",L935="Picked up"),"Done",IF(L935="Cancelled","Cancelled",IF(K935&lt;TODAY(),"Late by "&amp;(TODAY()-K935)&amp;IF((TODAY()-K935)=1," day"," days"),IF(K935=TODAY(),"Due today","Due in "&amp;(K935-TODAY())&amp;IF((K935-TODAY())=1," day"," days"))))))</f>
        <v/>
      </c>
      <c r="S935" s="33" t="n"/>
      <c r="T935" s="1">
        <f>IF(AND(B935&lt;&gt;"",K935&lt;&gt;"",L935&lt;&gt;"Sent",L935&lt;&gt;"Picked up",L935&lt;&gt;"Cancelled"),K935+ROW()/10000000,"")</f>
        <v/>
      </c>
      <c r="U935">
        <f>IF(OR(B935="",C935=""),"",B935+ROW()/10000000)</f>
        <v/>
      </c>
      <c r="V935">
        <f>IF(U935="","",IF(COUNTIFS(Orders!$C$6:$C$1005,C935,Orders!$U$6:$U$1005,"&gt;"&amp;U935)=0,1,0))</f>
        <v/>
      </c>
      <c r="W935">
        <f>IF(AND(B935&lt;&gt;"",K935&lt;&gt;"",L935&lt;&gt;"Sent",L935&lt;&gt;"Picked up",L935&lt;&gt;"Cancelled"),IF(N(E935)=0,1,E935),0)</f>
        <v/>
      </c>
      <c r="X935">
        <f>IF(OR(B935="",D935=""),"",IF(N(E935)=0,1,E935))</f>
        <v/>
      </c>
    </row>
    <row r="936">
      <c r="A936" s="1" t="n"/>
      <c r="B936" s="31" t="n"/>
      <c r="C936" s="32" t="n"/>
      <c r="D936" s="33" t="n"/>
      <c r="E936" s="34" t="n"/>
      <c r="F936" s="35" t="n"/>
      <c r="G936" s="35" t="n"/>
      <c r="H936" s="30">
        <f>IF(OR(B936="",D936=""),"",IF(N(E936)=0,1,E936)*IFERROR(INDEX(Products!$C$6:$C$105,MATCH(D936,Products!$B$6:$B$105,0)),0)+N(F936)+N(G936))</f>
        <v/>
      </c>
      <c r="I936" s="35" t="n"/>
      <c r="J936" s="30">
        <f>IF(OR(H936="",L936="Cancelled"),"",IF(H936-N(I936)&gt;0.005,H936-N(I936),""))</f>
        <v/>
      </c>
      <c r="K936" s="31" t="n"/>
      <c r="L936" s="36" t="n"/>
      <c r="M936" s="33" t="n"/>
      <c r="N936" s="22">
        <f>IF(OR(H936="",L936="Cancelled"),"",IF(N(E936)=0,1,E936)*IFERROR(INDEX(Products!$E$6:$E$105,MATCH(D936,Products!$B$6:$B$105,0)),0))</f>
        <v/>
      </c>
      <c r="O936" s="35" t="n"/>
      <c r="P936" s="22">
        <f>IF(OR(H936="",L936="Cancelled"),"",ROUND(IFERROR(H936*INDEX(Settings!$C$6:$C$15,MATCH(M936,Settings!$B$6:$B$15,0))+INDEX(Settings!$D$6:$D$15,MATCH(M936,Settings!$B$6:$B$15,0)),0),2))</f>
        <v/>
      </c>
      <c r="Q936" s="28">
        <f>IF(OR(H936="",L936="Cancelled"),"",H936-N(N936)-N(O936)-N(P936))</f>
        <v/>
      </c>
      <c r="R936" s="19">
        <f>IF(OR(B936="",K936=""),"",IF(OR(L936="Sent",L936="Picked up"),"Done",IF(L936="Cancelled","Cancelled",IF(K936&lt;TODAY(),"Late by "&amp;(TODAY()-K936)&amp;IF((TODAY()-K936)=1," day"," days"),IF(K936=TODAY(),"Due today","Due in "&amp;(K936-TODAY())&amp;IF((K936-TODAY())=1," day"," days"))))))</f>
        <v/>
      </c>
      <c r="S936" s="33" t="n"/>
      <c r="T936" s="1">
        <f>IF(AND(B936&lt;&gt;"",K936&lt;&gt;"",L936&lt;&gt;"Sent",L936&lt;&gt;"Picked up",L936&lt;&gt;"Cancelled"),K936+ROW()/10000000,"")</f>
        <v/>
      </c>
      <c r="U936">
        <f>IF(OR(B936="",C936=""),"",B936+ROW()/10000000)</f>
        <v/>
      </c>
      <c r="V936">
        <f>IF(U936="","",IF(COUNTIFS(Orders!$C$6:$C$1005,C936,Orders!$U$6:$U$1005,"&gt;"&amp;U936)=0,1,0))</f>
        <v/>
      </c>
      <c r="W936">
        <f>IF(AND(B936&lt;&gt;"",K936&lt;&gt;"",L936&lt;&gt;"Sent",L936&lt;&gt;"Picked up",L936&lt;&gt;"Cancelled"),IF(N(E936)=0,1,E936),0)</f>
        <v/>
      </c>
      <c r="X936">
        <f>IF(OR(B936="",D936=""),"",IF(N(E936)=0,1,E936))</f>
        <v/>
      </c>
    </row>
    <row r="937">
      <c r="A937" s="1" t="n"/>
      <c r="B937" s="31" t="n"/>
      <c r="C937" s="32" t="n"/>
      <c r="D937" s="33" t="n"/>
      <c r="E937" s="34" t="n"/>
      <c r="F937" s="35" t="n"/>
      <c r="G937" s="35" t="n"/>
      <c r="H937" s="30">
        <f>IF(OR(B937="",D937=""),"",IF(N(E937)=0,1,E937)*IFERROR(INDEX(Products!$C$6:$C$105,MATCH(D937,Products!$B$6:$B$105,0)),0)+N(F937)+N(G937))</f>
        <v/>
      </c>
      <c r="I937" s="35" t="n"/>
      <c r="J937" s="30">
        <f>IF(OR(H937="",L937="Cancelled"),"",IF(H937-N(I937)&gt;0.005,H937-N(I937),""))</f>
        <v/>
      </c>
      <c r="K937" s="31" t="n"/>
      <c r="L937" s="36" t="n"/>
      <c r="M937" s="33" t="n"/>
      <c r="N937" s="22">
        <f>IF(OR(H937="",L937="Cancelled"),"",IF(N(E937)=0,1,E937)*IFERROR(INDEX(Products!$E$6:$E$105,MATCH(D937,Products!$B$6:$B$105,0)),0))</f>
        <v/>
      </c>
      <c r="O937" s="35" t="n"/>
      <c r="P937" s="22">
        <f>IF(OR(H937="",L937="Cancelled"),"",ROUND(IFERROR(H937*INDEX(Settings!$C$6:$C$15,MATCH(M937,Settings!$B$6:$B$15,0))+INDEX(Settings!$D$6:$D$15,MATCH(M937,Settings!$B$6:$B$15,0)),0),2))</f>
        <v/>
      </c>
      <c r="Q937" s="28">
        <f>IF(OR(H937="",L937="Cancelled"),"",H937-N(N937)-N(O937)-N(P937))</f>
        <v/>
      </c>
      <c r="R937" s="19">
        <f>IF(OR(B937="",K937=""),"",IF(OR(L937="Sent",L937="Picked up"),"Done",IF(L937="Cancelled","Cancelled",IF(K937&lt;TODAY(),"Late by "&amp;(TODAY()-K937)&amp;IF((TODAY()-K937)=1," day"," days"),IF(K937=TODAY(),"Due today","Due in "&amp;(K937-TODAY())&amp;IF((K937-TODAY())=1," day"," days"))))))</f>
        <v/>
      </c>
      <c r="S937" s="33" t="n"/>
      <c r="T937" s="1">
        <f>IF(AND(B937&lt;&gt;"",K937&lt;&gt;"",L937&lt;&gt;"Sent",L937&lt;&gt;"Picked up",L937&lt;&gt;"Cancelled"),K937+ROW()/10000000,"")</f>
        <v/>
      </c>
      <c r="U937">
        <f>IF(OR(B937="",C937=""),"",B937+ROW()/10000000)</f>
        <v/>
      </c>
      <c r="V937">
        <f>IF(U937="","",IF(COUNTIFS(Orders!$C$6:$C$1005,C937,Orders!$U$6:$U$1005,"&gt;"&amp;U937)=0,1,0))</f>
        <v/>
      </c>
      <c r="W937">
        <f>IF(AND(B937&lt;&gt;"",K937&lt;&gt;"",L937&lt;&gt;"Sent",L937&lt;&gt;"Picked up",L937&lt;&gt;"Cancelled"),IF(N(E937)=0,1,E937),0)</f>
        <v/>
      </c>
      <c r="X937">
        <f>IF(OR(B937="",D937=""),"",IF(N(E937)=0,1,E937))</f>
        <v/>
      </c>
    </row>
    <row r="938">
      <c r="A938" s="1" t="n"/>
      <c r="B938" s="31" t="n"/>
      <c r="C938" s="32" t="n"/>
      <c r="D938" s="33" t="n"/>
      <c r="E938" s="34" t="n"/>
      <c r="F938" s="35" t="n"/>
      <c r="G938" s="35" t="n"/>
      <c r="H938" s="30">
        <f>IF(OR(B938="",D938=""),"",IF(N(E938)=0,1,E938)*IFERROR(INDEX(Products!$C$6:$C$105,MATCH(D938,Products!$B$6:$B$105,0)),0)+N(F938)+N(G938))</f>
        <v/>
      </c>
      <c r="I938" s="35" t="n"/>
      <c r="J938" s="30">
        <f>IF(OR(H938="",L938="Cancelled"),"",IF(H938-N(I938)&gt;0.005,H938-N(I938),""))</f>
        <v/>
      </c>
      <c r="K938" s="31" t="n"/>
      <c r="L938" s="36" t="n"/>
      <c r="M938" s="33" t="n"/>
      <c r="N938" s="22">
        <f>IF(OR(H938="",L938="Cancelled"),"",IF(N(E938)=0,1,E938)*IFERROR(INDEX(Products!$E$6:$E$105,MATCH(D938,Products!$B$6:$B$105,0)),0))</f>
        <v/>
      </c>
      <c r="O938" s="35" t="n"/>
      <c r="P938" s="22">
        <f>IF(OR(H938="",L938="Cancelled"),"",ROUND(IFERROR(H938*INDEX(Settings!$C$6:$C$15,MATCH(M938,Settings!$B$6:$B$15,0))+INDEX(Settings!$D$6:$D$15,MATCH(M938,Settings!$B$6:$B$15,0)),0),2))</f>
        <v/>
      </c>
      <c r="Q938" s="28">
        <f>IF(OR(H938="",L938="Cancelled"),"",H938-N(N938)-N(O938)-N(P938))</f>
        <v/>
      </c>
      <c r="R938" s="19">
        <f>IF(OR(B938="",K938=""),"",IF(OR(L938="Sent",L938="Picked up"),"Done",IF(L938="Cancelled","Cancelled",IF(K938&lt;TODAY(),"Late by "&amp;(TODAY()-K938)&amp;IF((TODAY()-K938)=1," day"," days"),IF(K938=TODAY(),"Due today","Due in "&amp;(K938-TODAY())&amp;IF((K938-TODAY())=1," day"," days"))))))</f>
        <v/>
      </c>
      <c r="S938" s="33" t="n"/>
      <c r="T938" s="1">
        <f>IF(AND(B938&lt;&gt;"",K938&lt;&gt;"",L938&lt;&gt;"Sent",L938&lt;&gt;"Picked up",L938&lt;&gt;"Cancelled"),K938+ROW()/10000000,"")</f>
        <v/>
      </c>
      <c r="U938">
        <f>IF(OR(B938="",C938=""),"",B938+ROW()/10000000)</f>
        <v/>
      </c>
      <c r="V938">
        <f>IF(U938="","",IF(COUNTIFS(Orders!$C$6:$C$1005,C938,Orders!$U$6:$U$1005,"&gt;"&amp;U938)=0,1,0))</f>
        <v/>
      </c>
      <c r="W938">
        <f>IF(AND(B938&lt;&gt;"",K938&lt;&gt;"",L938&lt;&gt;"Sent",L938&lt;&gt;"Picked up",L938&lt;&gt;"Cancelled"),IF(N(E938)=0,1,E938),0)</f>
        <v/>
      </c>
      <c r="X938">
        <f>IF(OR(B938="",D938=""),"",IF(N(E938)=0,1,E938))</f>
        <v/>
      </c>
    </row>
    <row r="939">
      <c r="A939" s="1" t="n"/>
      <c r="B939" s="31" t="n"/>
      <c r="C939" s="32" t="n"/>
      <c r="D939" s="33" t="n"/>
      <c r="E939" s="34" t="n"/>
      <c r="F939" s="35" t="n"/>
      <c r="G939" s="35" t="n"/>
      <c r="H939" s="30">
        <f>IF(OR(B939="",D939=""),"",IF(N(E939)=0,1,E939)*IFERROR(INDEX(Products!$C$6:$C$105,MATCH(D939,Products!$B$6:$B$105,0)),0)+N(F939)+N(G939))</f>
        <v/>
      </c>
      <c r="I939" s="35" t="n"/>
      <c r="J939" s="30">
        <f>IF(OR(H939="",L939="Cancelled"),"",IF(H939-N(I939)&gt;0.005,H939-N(I939),""))</f>
        <v/>
      </c>
      <c r="K939" s="31" t="n"/>
      <c r="L939" s="36" t="n"/>
      <c r="M939" s="33" t="n"/>
      <c r="N939" s="22">
        <f>IF(OR(H939="",L939="Cancelled"),"",IF(N(E939)=0,1,E939)*IFERROR(INDEX(Products!$E$6:$E$105,MATCH(D939,Products!$B$6:$B$105,0)),0))</f>
        <v/>
      </c>
      <c r="O939" s="35" t="n"/>
      <c r="P939" s="22">
        <f>IF(OR(H939="",L939="Cancelled"),"",ROUND(IFERROR(H939*INDEX(Settings!$C$6:$C$15,MATCH(M939,Settings!$B$6:$B$15,0))+INDEX(Settings!$D$6:$D$15,MATCH(M939,Settings!$B$6:$B$15,0)),0),2))</f>
        <v/>
      </c>
      <c r="Q939" s="28">
        <f>IF(OR(H939="",L939="Cancelled"),"",H939-N(N939)-N(O939)-N(P939))</f>
        <v/>
      </c>
      <c r="R939" s="19">
        <f>IF(OR(B939="",K939=""),"",IF(OR(L939="Sent",L939="Picked up"),"Done",IF(L939="Cancelled","Cancelled",IF(K939&lt;TODAY(),"Late by "&amp;(TODAY()-K939)&amp;IF((TODAY()-K939)=1," day"," days"),IF(K939=TODAY(),"Due today","Due in "&amp;(K939-TODAY())&amp;IF((K939-TODAY())=1," day"," days"))))))</f>
        <v/>
      </c>
      <c r="S939" s="33" t="n"/>
      <c r="T939" s="1">
        <f>IF(AND(B939&lt;&gt;"",K939&lt;&gt;"",L939&lt;&gt;"Sent",L939&lt;&gt;"Picked up",L939&lt;&gt;"Cancelled"),K939+ROW()/10000000,"")</f>
        <v/>
      </c>
      <c r="U939">
        <f>IF(OR(B939="",C939=""),"",B939+ROW()/10000000)</f>
        <v/>
      </c>
      <c r="V939">
        <f>IF(U939="","",IF(COUNTIFS(Orders!$C$6:$C$1005,C939,Orders!$U$6:$U$1005,"&gt;"&amp;U939)=0,1,0))</f>
        <v/>
      </c>
      <c r="W939">
        <f>IF(AND(B939&lt;&gt;"",K939&lt;&gt;"",L939&lt;&gt;"Sent",L939&lt;&gt;"Picked up",L939&lt;&gt;"Cancelled"),IF(N(E939)=0,1,E939),0)</f>
        <v/>
      </c>
      <c r="X939">
        <f>IF(OR(B939="",D939=""),"",IF(N(E939)=0,1,E939))</f>
        <v/>
      </c>
    </row>
    <row r="940">
      <c r="A940" s="1" t="n"/>
      <c r="B940" s="31" t="n"/>
      <c r="C940" s="32" t="n"/>
      <c r="D940" s="33" t="n"/>
      <c r="E940" s="34" t="n"/>
      <c r="F940" s="35" t="n"/>
      <c r="G940" s="35" t="n"/>
      <c r="H940" s="30">
        <f>IF(OR(B940="",D940=""),"",IF(N(E940)=0,1,E940)*IFERROR(INDEX(Products!$C$6:$C$105,MATCH(D940,Products!$B$6:$B$105,0)),0)+N(F940)+N(G940))</f>
        <v/>
      </c>
      <c r="I940" s="35" t="n"/>
      <c r="J940" s="30">
        <f>IF(OR(H940="",L940="Cancelled"),"",IF(H940-N(I940)&gt;0.005,H940-N(I940),""))</f>
        <v/>
      </c>
      <c r="K940" s="31" t="n"/>
      <c r="L940" s="36" t="n"/>
      <c r="M940" s="33" t="n"/>
      <c r="N940" s="22">
        <f>IF(OR(H940="",L940="Cancelled"),"",IF(N(E940)=0,1,E940)*IFERROR(INDEX(Products!$E$6:$E$105,MATCH(D940,Products!$B$6:$B$105,0)),0))</f>
        <v/>
      </c>
      <c r="O940" s="35" t="n"/>
      <c r="P940" s="22">
        <f>IF(OR(H940="",L940="Cancelled"),"",ROUND(IFERROR(H940*INDEX(Settings!$C$6:$C$15,MATCH(M940,Settings!$B$6:$B$15,0))+INDEX(Settings!$D$6:$D$15,MATCH(M940,Settings!$B$6:$B$15,0)),0),2))</f>
        <v/>
      </c>
      <c r="Q940" s="28">
        <f>IF(OR(H940="",L940="Cancelled"),"",H940-N(N940)-N(O940)-N(P940))</f>
        <v/>
      </c>
      <c r="R940" s="19">
        <f>IF(OR(B940="",K940=""),"",IF(OR(L940="Sent",L940="Picked up"),"Done",IF(L940="Cancelled","Cancelled",IF(K940&lt;TODAY(),"Late by "&amp;(TODAY()-K940)&amp;IF((TODAY()-K940)=1," day"," days"),IF(K940=TODAY(),"Due today","Due in "&amp;(K940-TODAY())&amp;IF((K940-TODAY())=1," day"," days"))))))</f>
        <v/>
      </c>
      <c r="S940" s="33" t="n"/>
      <c r="T940" s="1">
        <f>IF(AND(B940&lt;&gt;"",K940&lt;&gt;"",L940&lt;&gt;"Sent",L940&lt;&gt;"Picked up",L940&lt;&gt;"Cancelled"),K940+ROW()/10000000,"")</f>
        <v/>
      </c>
      <c r="U940">
        <f>IF(OR(B940="",C940=""),"",B940+ROW()/10000000)</f>
        <v/>
      </c>
      <c r="V940">
        <f>IF(U940="","",IF(COUNTIFS(Orders!$C$6:$C$1005,C940,Orders!$U$6:$U$1005,"&gt;"&amp;U940)=0,1,0))</f>
        <v/>
      </c>
      <c r="W940">
        <f>IF(AND(B940&lt;&gt;"",K940&lt;&gt;"",L940&lt;&gt;"Sent",L940&lt;&gt;"Picked up",L940&lt;&gt;"Cancelled"),IF(N(E940)=0,1,E940),0)</f>
        <v/>
      </c>
      <c r="X940">
        <f>IF(OR(B940="",D940=""),"",IF(N(E940)=0,1,E940))</f>
        <v/>
      </c>
    </row>
    <row r="941">
      <c r="A941" s="1" t="n"/>
      <c r="B941" s="31" t="n"/>
      <c r="C941" s="32" t="n"/>
      <c r="D941" s="33" t="n"/>
      <c r="E941" s="34" t="n"/>
      <c r="F941" s="35" t="n"/>
      <c r="G941" s="35" t="n"/>
      <c r="H941" s="30">
        <f>IF(OR(B941="",D941=""),"",IF(N(E941)=0,1,E941)*IFERROR(INDEX(Products!$C$6:$C$105,MATCH(D941,Products!$B$6:$B$105,0)),0)+N(F941)+N(G941))</f>
        <v/>
      </c>
      <c r="I941" s="35" t="n"/>
      <c r="J941" s="30">
        <f>IF(OR(H941="",L941="Cancelled"),"",IF(H941-N(I941)&gt;0.005,H941-N(I941),""))</f>
        <v/>
      </c>
      <c r="K941" s="31" t="n"/>
      <c r="L941" s="36" t="n"/>
      <c r="M941" s="33" t="n"/>
      <c r="N941" s="22">
        <f>IF(OR(H941="",L941="Cancelled"),"",IF(N(E941)=0,1,E941)*IFERROR(INDEX(Products!$E$6:$E$105,MATCH(D941,Products!$B$6:$B$105,0)),0))</f>
        <v/>
      </c>
      <c r="O941" s="35" t="n"/>
      <c r="P941" s="22">
        <f>IF(OR(H941="",L941="Cancelled"),"",ROUND(IFERROR(H941*INDEX(Settings!$C$6:$C$15,MATCH(M941,Settings!$B$6:$B$15,0))+INDEX(Settings!$D$6:$D$15,MATCH(M941,Settings!$B$6:$B$15,0)),0),2))</f>
        <v/>
      </c>
      <c r="Q941" s="28">
        <f>IF(OR(H941="",L941="Cancelled"),"",H941-N(N941)-N(O941)-N(P941))</f>
        <v/>
      </c>
      <c r="R941" s="19">
        <f>IF(OR(B941="",K941=""),"",IF(OR(L941="Sent",L941="Picked up"),"Done",IF(L941="Cancelled","Cancelled",IF(K941&lt;TODAY(),"Late by "&amp;(TODAY()-K941)&amp;IF((TODAY()-K941)=1," day"," days"),IF(K941=TODAY(),"Due today","Due in "&amp;(K941-TODAY())&amp;IF((K941-TODAY())=1," day"," days"))))))</f>
        <v/>
      </c>
      <c r="S941" s="33" t="n"/>
      <c r="T941" s="1">
        <f>IF(AND(B941&lt;&gt;"",K941&lt;&gt;"",L941&lt;&gt;"Sent",L941&lt;&gt;"Picked up",L941&lt;&gt;"Cancelled"),K941+ROW()/10000000,"")</f>
        <v/>
      </c>
      <c r="U941">
        <f>IF(OR(B941="",C941=""),"",B941+ROW()/10000000)</f>
        <v/>
      </c>
      <c r="V941">
        <f>IF(U941="","",IF(COUNTIFS(Orders!$C$6:$C$1005,C941,Orders!$U$6:$U$1005,"&gt;"&amp;U941)=0,1,0))</f>
        <v/>
      </c>
      <c r="W941">
        <f>IF(AND(B941&lt;&gt;"",K941&lt;&gt;"",L941&lt;&gt;"Sent",L941&lt;&gt;"Picked up",L941&lt;&gt;"Cancelled"),IF(N(E941)=0,1,E941),0)</f>
        <v/>
      </c>
      <c r="X941">
        <f>IF(OR(B941="",D941=""),"",IF(N(E941)=0,1,E941))</f>
        <v/>
      </c>
    </row>
    <row r="942">
      <c r="A942" s="1" t="n"/>
      <c r="B942" s="31" t="n"/>
      <c r="C942" s="32" t="n"/>
      <c r="D942" s="33" t="n"/>
      <c r="E942" s="34" t="n"/>
      <c r="F942" s="35" t="n"/>
      <c r="G942" s="35" t="n"/>
      <c r="H942" s="30">
        <f>IF(OR(B942="",D942=""),"",IF(N(E942)=0,1,E942)*IFERROR(INDEX(Products!$C$6:$C$105,MATCH(D942,Products!$B$6:$B$105,0)),0)+N(F942)+N(G942))</f>
        <v/>
      </c>
      <c r="I942" s="35" t="n"/>
      <c r="J942" s="30">
        <f>IF(OR(H942="",L942="Cancelled"),"",IF(H942-N(I942)&gt;0.005,H942-N(I942),""))</f>
        <v/>
      </c>
      <c r="K942" s="31" t="n"/>
      <c r="L942" s="36" t="n"/>
      <c r="M942" s="33" t="n"/>
      <c r="N942" s="22">
        <f>IF(OR(H942="",L942="Cancelled"),"",IF(N(E942)=0,1,E942)*IFERROR(INDEX(Products!$E$6:$E$105,MATCH(D942,Products!$B$6:$B$105,0)),0))</f>
        <v/>
      </c>
      <c r="O942" s="35" t="n"/>
      <c r="P942" s="22">
        <f>IF(OR(H942="",L942="Cancelled"),"",ROUND(IFERROR(H942*INDEX(Settings!$C$6:$C$15,MATCH(M942,Settings!$B$6:$B$15,0))+INDEX(Settings!$D$6:$D$15,MATCH(M942,Settings!$B$6:$B$15,0)),0),2))</f>
        <v/>
      </c>
      <c r="Q942" s="28">
        <f>IF(OR(H942="",L942="Cancelled"),"",H942-N(N942)-N(O942)-N(P942))</f>
        <v/>
      </c>
      <c r="R942" s="19">
        <f>IF(OR(B942="",K942=""),"",IF(OR(L942="Sent",L942="Picked up"),"Done",IF(L942="Cancelled","Cancelled",IF(K942&lt;TODAY(),"Late by "&amp;(TODAY()-K942)&amp;IF((TODAY()-K942)=1," day"," days"),IF(K942=TODAY(),"Due today","Due in "&amp;(K942-TODAY())&amp;IF((K942-TODAY())=1," day"," days"))))))</f>
        <v/>
      </c>
      <c r="S942" s="33" t="n"/>
      <c r="T942" s="1">
        <f>IF(AND(B942&lt;&gt;"",K942&lt;&gt;"",L942&lt;&gt;"Sent",L942&lt;&gt;"Picked up",L942&lt;&gt;"Cancelled"),K942+ROW()/10000000,"")</f>
        <v/>
      </c>
      <c r="U942">
        <f>IF(OR(B942="",C942=""),"",B942+ROW()/10000000)</f>
        <v/>
      </c>
      <c r="V942">
        <f>IF(U942="","",IF(COUNTIFS(Orders!$C$6:$C$1005,C942,Orders!$U$6:$U$1005,"&gt;"&amp;U942)=0,1,0))</f>
        <v/>
      </c>
      <c r="W942">
        <f>IF(AND(B942&lt;&gt;"",K942&lt;&gt;"",L942&lt;&gt;"Sent",L942&lt;&gt;"Picked up",L942&lt;&gt;"Cancelled"),IF(N(E942)=0,1,E942),0)</f>
        <v/>
      </c>
      <c r="X942">
        <f>IF(OR(B942="",D942=""),"",IF(N(E942)=0,1,E942))</f>
        <v/>
      </c>
    </row>
    <row r="943">
      <c r="A943" s="1" t="n"/>
      <c r="B943" s="31" t="n"/>
      <c r="C943" s="32" t="n"/>
      <c r="D943" s="33" t="n"/>
      <c r="E943" s="34" t="n"/>
      <c r="F943" s="35" t="n"/>
      <c r="G943" s="35" t="n"/>
      <c r="H943" s="30">
        <f>IF(OR(B943="",D943=""),"",IF(N(E943)=0,1,E943)*IFERROR(INDEX(Products!$C$6:$C$105,MATCH(D943,Products!$B$6:$B$105,0)),0)+N(F943)+N(G943))</f>
        <v/>
      </c>
      <c r="I943" s="35" t="n"/>
      <c r="J943" s="30">
        <f>IF(OR(H943="",L943="Cancelled"),"",IF(H943-N(I943)&gt;0.005,H943-N(I943),""))</f>
        <v/>
      </c>
      <c r="K943" s="31" t="n"/>
      <c r="L943" s="36" t="n"/>
      <c r="M943" s="33" t="n"/>
      <c r="N943" s="22">
        <f>IF(OR(H943="",L943="Cancelled"),"",IF(N(E943)=0,1,E943)*IFERROR(INDEX(Products!$E$6:$E$105,MATCH(D943,Products!$B$6:$B$105,0)),0))</f>
        <v/>
      </c>
      <c r="O943" s="35" t="n"/>
      <c r="P943" s="22">
        <f>IF(OR(H943="",L943="Cancelled"),"",ROUND(IFERROR(H943*INDEX(Settings!$C$6:$C$15,MATCH(M943,Settings!$B$6:$B$15,0))+INDEX(Settings!$D$6:$D$15,MATCH(M943,Settings!$B$6:$B$15,0)),0),2))</f>
        <v/>
      </c>
      <c r="Q943" s="28">
        <f>IF(OR(H943="",L943="Cancelled"),"",H943-N(N943)-N(O943)-N(P943))</f>
        <v/>
      </c>
      <c r="R943" s="19">
        <f>IF(OR(B943="",K943=""),"",IF(OR(L943="Sent",L943="Picked up"),"Done",IF(L943="Cancelled","Cancelled",IF(K943&lt;TODAY(),"Late by "&amp;(TODAY()-K943)&amp;IF((TODAY()-K943)=1," day"," days"),IF(K943=TODAY(),"Due today","Due in "&amp;(K943-TODAY())&amp;IF((K943-TODAY())=1," day"," days"))))))</f>
        <v/>
      </c>
      <c r="S943" s="33" t="n"/>
      <c r="T943" s="1">
        <f>IF(AND(B943&lt;&gt;"",K943&lt;&gt;"",L943&lt;&gt;"Sent",L943&lt;&gt;"Picked up",L943&lt;&gt;"Cancelled"),K943+ROW()/10000000,"")</f>
        <v/>
      </c>
      <c r="U943">
        <f>IF(OR(B943="",C943=""),"",B943+ROW()/10000000)</f>
        <v/>
      </c>
      <c r="V943">
        <f>IF(U943="","",IF(COUNTIFS(Orders!$C$6:$C$1005,C943,Orders!$U$6:$U$1005,"&gt;"&amp;U943)=0,1,0))</f>
        <v/>
      </c>
      <c r="W943">
        <f>IF(AND(B943&lt;&gt;"",K943&lt;&gt;"",L943&lt;&gt;"Sent",L943&lt;&gt;"Picked up",L943&lt;&gt;"Cancelled"),IF(N(E943)=0,1,E943),0)</f>
        <v/>
      </c>
      <c r="X943">
        <f>IF(OR(B943="",D943=""),"",IF(N(E943)=0,1,E943))</f>
        <v/>
      </c>
    </row>
    <row r="944">
      <c r="A944" s="1" t="n"/>
      <c r="B944" s="31" t="n"/>
      <c r="C944" s="32" t="n"/>
      <c r="D944" s="33" t="n"/>
      <c r="E944" s="34" t="n"/>
      <c r="F944" s="35" t="n"/>
      <c r="G944" s="35" t="n"/>
      <c r="H944" s="30">
        <f>IF(OR(B944="",D944=""),"",IF(N(E944)=0,1,E944)*IFERROR(INDEX(Products!$C$6:$C$105,MATCH(D944,Products!$B$6:$B$105,0)),0)+N(F944)+N(G944))</f>
        <v/>
      </c>
      <c r="I944" s="35" t="n"/>
      <c r="J944" s="30">
        <f>IF(OR(H944="",L944="Cancelled"),"",IF(H944-N(I944)&gt;0.005,H944-N(I944),""))</f>
        <v/>
      </c>
      <c r="K944" s="31" t="n"/>
      <c r="L944" s="36" t="n"/>
      <c r="M944" s="33" t="n"/>
      <c r="N944" s="22">
        <f>IF(OR(H944="",L944="Cancelled"),"",IF(N(E944)=0,1,E944)*IFERROR(INDEX(Products!$E$6:$E$105,MATCH(D944,Products!$B$6:$B$105,0)),0))</f>
        <v/>
      </c>
      <c r="O944" s="35" t="n"/>
      <c r="P944" s="22">
        <f>IF(OR(H944="",L944="Cancelled"),"",ROUND(IFERROR(H944*INDEX(Settings!$C$6:$C$15,MATCH(M944,Settings!$B$6:$B$15,0))+INDEX(Settings!$D$6:$D$15,MATCH(M944,Settings!$B$6:$B$15,0)),0),2))</f>
        <v/>
      </c>
      <c r="Q944" s="28">
        <f>IF(OR(H944="",L944="Cancelled"),"",H944-N(N944)-N(O944)-N(P944))</f>
        <v/>
      </c>
      <c r="R944" s="19">
        <f>IF(OR(B944="",K944=""),"",IF(OR(L944="Sent",L944="Picked up"),"Done",IF(L944="Cancelled","Cancelled",IF(K944&lt;TODAY(),"Late by "&amp;(TODAY()-K944)&amp;IF((TODAY()-K944)=1," day"," days"),IF(K944=TODAY(),"Due today","Due in "&amp;(K944-TODAY())&amp;IF((K944-TODAY())=1," day"," days"))))))</f>
        <v/>
      </c>
      <c r="S944" s="33" t="n"/>
      <c r="T944" s="1">
        <f>IF(AND(B944&lt;&gt;"",K944&lt;&gt;"",L944&lt;&gt;"Sent",L944&lt;&gt;"Picked up",L944&lt;&gt;"Cancelled"),K944+ROW()/10000000,"")</f>
        <v/>
      </c>
      <c r="U944">
        <f>IF(OR(B944="",C944=""),"",B944+ROW()/10000000)</f>
        <v/>
      </c>
      <c r="V944">
        <f>IF(U944="","",IF(COUNTIFS(Orders!$C$6:$C$1005,C944,Orders!$U$6:$U$1005,"&gt;"&amp;U944)=0,1,0))</f>
        <v/>
      </c>
      <c r="W944">
        <f>IF(AND(B944&lt;&gt;"",K944&lt;&gt;"",L944&lt;&gt;"Sent",L944&lt;&gt;"Picked up",L944&lt;&gt;"Cancelled"),IF(N(E944)=0,1,E944),0)</f>
        <v/>
      </c>
      <c r="X944">
        <f>IF(OR(B944="",D944=""),"",IF(N(E944)=0,1,E944))</f>
        <v/>
      </c>
    </row>
    <row r="945">
      <c r="A945" s="1" t="n"/>
      <c r="B945" s="31" t="n"/>
      <c r="C945" s="32" t="n"/>
      <c r="D945" s="33" t="n"/>
      <c r="E945" s="34" t="n"/>
      <c r="F945" s="35" t="n"/>
      <c r="G945" s="35" t="n"/>
      <c r="H945" s="30">
        <f>IF(OR(B945="",D945=""),"",IF(N(E945)=0,1,E945)*IFERROR(INDEX(Products!$C$6:$C$105,MATCH(D945,Products!$B$6:$B$105,0)),0)+N(F945)+N(G945))</f>
        <v/>
      </c>
      <c r="I945" s="35" t="n"/>
      <c r="J945" s="30">
        <f>IF(OR(H945="",L945="Cancelled"),"",IF(H945-N(I945)&gt;0.005,H945-N(I945),""))</f>
        <v/>
      </c>
      <c r="K945" s="31" t="n"/>
      <c r="L945" s="36" t="n"/>
      <c r="M945" s="33" t="n"/>
      <c r="N945" s="22">
        <f>IF(OR(H945="",L945="Cancelled"),"",IF(N(E945)=0,1,E945)*IFERROR(INDEX(Products!$E$6:$E$105,MATCH(D945,Products!$B$6:$B$105,0)),0))</f>
        <v/>
      </c>
      <c r="O945" s="35" t="n"/>
      <c r="P945" s="22">
        <f>IF(OR(H945="",L945="Cancelled"),"",ROUND(IFERROR(H945*INDEX(Settings!$C$6:$C$15,MATCH(M945,Settings!$B$6:$B$15,0))+INDEX(Settings!$D$6:$D$15,MATCH(M945,Settings!$B$6:$B$15,0)),0),2))</f>
        <v/>
      </c>
      <c r="Q945" s="28">
        <f>IF(OR(H945="",L945="Cancelled"),"",H945-N(N945)-N(O945)-N(P945))</f>
        <v/>
      </c>
      <c r="R945" s="19">
        <f>IF(OR(B945="",K945=""),"",IF(OR(L945="Sent",L945="Picked up"),"Done",IF(L945="Cancelled","Cancelled",IF(K945&lt;TODAY(),"Late by "&amp;(TODAY()-K945)&amp;IF((TODAY()-K945)=1," day"," days"),IF(K945=TODAY(),"Due today","Due in "&amp;(K945-TODAY())&amp;IF((K945-TODAY())=1," day"," days"))))))</f>
        <v/>
      </c>
      <c r="S945" s="33" t="n"/>
      <c r="T945" s="1">
        <f>IF(AND(B945&lt;&gt;"",K945&lt;&gt;"",L945&lt;&gt;"Sent",L945&lt;&gt;"Picked up",L945&lt;&gt;"Cancelled"),K945+ROW()/10000000,"")</f>
        <v/>
      </c>
      <c r="U945">
        <f>IF(OR(B945="",C945=""),"",B945+ROW()/10000000)</f>
        <v/>
      </c>
      <c r="V945">
        <f>IF(U945="","",IF(COUNTIFS(Orders!$C$6:$C$1005,C945,Orders!$U$6:$U$1005,"&gt;"&amp;U945)=0,1,0))</f>
        <v/>
      </c>
      <c r="W945">
        <f>IF(AND(B945&lt;&gt;"",K945&lt;&gt;"",L945&lt;&gt;"Sent",L945&lt;&gt;"Picked up",L945&lt;&gt;"Cancelled"),IF(N(E945)=0,1,E945),0)</f>
        <v/>
      </c>
      <c r="X945">
        <f>IF(OR(B945="",D945=""),"",IF(N(E945)=0,1,E945))</f>
        <v/>
      </c>
    </row>
    <row r="946">
      <c r="A946" s="1" t="n"/>
      <c r="B946" s="31" t="n"/>
      <c r="C946" s="32" t="n"/>
      <c r="D946" s="33" t="n"/>
      <c r="E946" s="34" t="n"/>
      <c r="F946" s="35" t="n"/>
      <c r="G946" s="35" t="n"/>
      <c r="H946" s="30">
        <f>IF(OR(B946="",D946=""),"",IF(N(E946)=0,1,E946)*IFERROR(INDEX(Products!$C$6:$C$105,MATCH(D946,Products!$B$6:$B$105,0)),0)+N(F946)+N(G946))</f>
        <v/>
      </c>
      <c r="I946" s="35" t="n"/>
      <c r="J946" s="30">
        <f>IF(OR(H946="",L946="Cancelled"),"",IF(H946-N(I946)&gt;0.005,H946-N(I946),""))</f>
        <v/>
      </c>
      <c r="K946" s="31" t="n"/>
      <c r="L946" s="36" t="n"/>
      <c r="M946" s="33" t="n"/>
      <c r="N946" s="22">
        <f>IF(OR(H946="",L946="Cancelled"),"",IF(N(E946)=0,1,E946)*IFERROR(INDEX(Products!$E$6:$E$105,MATCH(D946,Products!$B$6:$B$105,0)),0))</f>
        <v/>
      </c>
      <c r="O946" s="35" t="n"/>
      <c r="P946" s="22">
        <f>IF(OR(H946="",L946="Cancelled"),"",ROUND(IFERROR(H946*INDEX(Settings!$C$6:$C$15,MATCH(M946,Settings!$B$6:$B$15,0))+INDEX(Settings!$D$6:$D$15,MATCH(M946,Settings!$B$6:$B$15,0)),0),2))</f>
        <v/>
      </c>
      <c r="Q946" s="28">
        <f>IF(OR(H946="",L946="Cancelled"),"",H946-N(N946)-N(O946)-N(P946))</f>
        <v/>
      </c>
      <c r="R946" s="19">
        <f>IF(OR(B946="",K946=""),"",IF(OR(L946="Sent",L946="Picked up"),"Done",IF(L946="Cancelled","Cancelled",IF(K946&lt;TODAY(),"Late by "&amp;(TODAY()-K946)&amp;IF((TODAY()-K946)=1," day"," days"),IF(K946=TODAY(),"Due today","Due in "&amp;(K946-TODAY())&amp;IF((K946-TODAY())=1," day"," days"))))))</f>
        <v/>
      </c>
      <c r="S946" s="33" t="n"/>
      <c r="T946" s="1">
        <f>IF(AND(B946&lt;&gt;"",K946&lt;&gt;"",L946&lt;&gt;"Sent",L946&lt;&gt;"Picked up",L946&lt;&gt;"Cancelled"),K946+ROW()/10000000,"")</f>
        <v/>
      </c>
      <c r="U946">
        <f>IF(OR(B946="",C946=""),"",B946+ROW()/10000000)</f>
        <v/>
      </c>
      <c r="V946">
        <f>IF(U946="","",IF(COUNTIFS(Orders!$C$6:$C$1005,C946,Orders!$U$6:$U$1005,"&gt;"&amp;U946)=0,1,0))</f>
        <v/>
      </c>
      <c r="W946">
        <f>IF(AND(B946&lt;&gt;"",K946&lt;&gt;"",L946&lt;&gt;"Sent",L946&lt;&gt;"Picked up",L946&lt;&gt;"Cancelled"),IF(N(E946)=0,1,E946),0)</f>
        <v/>
      </c>
      <c r="X946">
        <f>IF(OR(B946="",D946=""),"",IF(N(E946)=0,1,E946))</f>
        <v/>
      </c>
    </row>
    <row r="947">
      <c r="A947" s="1" t="n"/>
      <c r="B947" s="31" t="n"/>
      <c r="C947" s="32" t="n"/>
      <c r="D947" s="33" t="n"/>
      <c r="E947" s="34" t="n"/>
      <c r="F947" s="35" t="n"/>
      <c r="G947" s="35" t="n"/>
      <c r="H947" s="30">
        <f>IF(OR(B947="",D947=""),"",IF(N(E947)=0,1,E947)*IFERROR(INDEX(Products!$C$6:$C$105,MATCH(D947,Products!$B$6:$B$105,0)),0)+N(F947)+N(G947))</f>
        <v/>
      </c>
      <c r="I947" s="35" t="n"/>
      <c r="J947" s="30">
        <f>IF(OR(H947="",L947="Cancelled"),"",IF(H947-N(I947)&gt;0.005,H947-N(I947),""))</f>
        <v/>
      </c>
      <c r="K947" s="31" t="n"/>
      <c r="L947" s="36" t="n"/>
      <c r="M947" s="33" t="n"/>
      <c r="N947" s="22">
        <f>IF(OR(H947="",L947="Cancelled"),"",IF(N(E947)=0,1,E947)*IFERROR(INDEX(Products!$E$6:$E$105,MATCH(D947,Products!$B$6:$B$105,0)),0))</f>
        <v/>
      </c>
      <c r="O947" s="35" t="n"/>
      <c r="P947" s="22">
        <f>IF(OR(H947="",L947="Cancelled"),"",ROUND(IFERROR(H947*INDEX(Settings!$C$6:$C$15,MATCH(M947,Settings!$B$6:$B$15,0))+INDEX(Settings!$D$6:$D$15,MATCH(M947,Settings!$B$6:$B$15,0)),0),2))</f>
        <v/>
      </c>
      <c r="Q947" s="28">
        <f>IF(OR(H947="",L947="Cancelled"),"",H947-N(N947)-N(O947)-N(P947))</f>
        <v/>
      </c>
      <c r="R947" s="19">
        <f>IF(OR(B947="",K947=""),"",IF(OR(L947="Sent",L947="Picked up"),"Done",IF(L947="Cancelled","Cancelled",IF(K947&lt;TODAY(),"Late by "&amp;(TODAY()-K947)&amp;IF((TODAY()-K947)=1," day"," days"),IF(K947=TODAY(),"Due today","Due in "&amp;(K947-TODAY())&amp;IF((K947-TODAY())=1," day"," days"))))))</f>
        <v/>
      </c>
      <c r="S947" s="33" t="n"/>
      <c r="T947" s="1">
        <f>IF(AND(B947&lt;&gt;"",K947&lt;&gt;"",L947&lt;&gt;"Sent",L947&lt;&gt;"Picked up",L947&lt;&gt;"Cancelled"),K947+ROW()/10000000,"")</f>
        <v/>
      </c>
      <c r="U947">
        <f>IF(OR(B947="",C947=""),"",B947+ROW()/10000000)</f>
        <v/>
      </c>
      <c r="V947">
        <f>IF(U947="","",IF(COUNTIFS(Orders!$C$6:$C$1005,C947,Orders!$U$6:$U$1005,"&gt;"&amp;U947)=0,1,0))</f>
        <v/>
      </c>
      <c r="W947">
        <f>IF(AND(B947&lt;&gt;"",K947&lt;&gt;"",L947&lt;&gt;"Sent",L947&lt;&gt;"Picked up",L947&lt;&gt;"Cancelled"),IF(N(E947)=0,1,E947),0)</f>
        <v/>
      </c>
      <c r="X947">
        <f>IF(OR(B947="",D947=""),"",IF(N(E947)=0,1,E947))</f>
        <v/>
      </c>
    </row>
    <row r="948">
      <c r="A948" s="1" t="n"/>
      <c r="B948" s="31" t="n"/>
      <c r="C948" s="32" t="n"/>
      <c r="D948" s="33" t="n"/>
      <c r="E948" s="34" t="n"/>
      <c r="F948" s="35" t="n"/>
      <c r="G948" s="35" t="n"/>
      <c r="H948" s="30">
        <f>IF(OR(B948="",D948=""),"",IF(N(E948)=0,1,E948)*IFERROR(INDEX(Products!$C$6:$C$105,MATCH(D948,Products!$B$6:$B$105,0)),0)+N(F948)+N(G948))</f>
        <v/>
      </c>
      <c r="I948" s="35" t="n"/>
      <c r="J948" s="30">
        <f>IF(OR(H948="",L948="Cancelled"),"",IF(H948-N(I948)&gt;0.005,H948-N(I948),""))</f>
        <v/>
      </c>
      <c r="K948" s="31" t="n"/>
      <c r="L948" s="36" t="n"/>
      <c r="M948" s="33" t="n"/>
      <c r="N948" s="22">
        <f>IF(OR(H948="",L948="Cancelled"),"",IF(N(E948)=0,1,E948)*IFERROR(INDEX(Products!$E$6:$E$105,MATCH(D948,Products!$B$6:$B$105,0)),0))</f>
        <v/>
      </c>
      <c r="O948" s="35" t="n"/>
      <c r="P948" s="22">
        <f>IF(OR(H948="",L948="Cancelled"),"",ROUND(IFERROR(H948*INDEX(Settings!$C$6:$C$15,MATCH(M948,Settings!$B$6:$B$15,0))+INDEX(Settings!$D$6:$D$15,MATCH(M948,Settings!$B$6:$B$15,0)),0),2))</f>
        <v/>
      </c>
      <c r="Q948" s="28">
        <f>IF(OR(H948="",L948="Cancelled"),"",H948-N(N948)-N(O948)-N(P948))</f>
        <v/>
      </c>
      <c r="R948" s="19">
        <f>IF(OR(B948="",K948=""),"",IF(OR(L948="Sent",L948="Picked up"),"Done",IF(L948="Cancelled","Cancelled",IF(K948&lt;TODAY(),"Late by "&amp;(TODAY()-K948)&amp;IF((TODAY()-K948)=1," day"," days"),IF(K948=TODAY(),"Due today","Due in "&amp;(K948-TODAY())&amp;IF((K948-TODAY())=1," day"," days"))))))</f>
        <v/>
      </c>
      <c r="S948" s="33" t="n"/>
      <c r="T948" s="1">
        <f>IF(AND(B948&lt;&gt;"",K948&lt;&gt;"",L948&lt;&gt;"Sent",L948&lt;&gt;"Picked up",L948&lt;&gt;"Cancelled"),K948+ROW()/10000000,"")</f>
        <v/>
      </c>
      <c r="U948">
        <f>IF(OR(B948="",C948=""),"",B948+ROW()/10000000)</f>
        <v/>
      </c>
      <c r="V948">
        <f>IF(U948="","",IF(COUNTIFS(Orders!$C$6:$C$1005,C948,Orders!$U$6:$U$1005,"&gt;"&amp;U948)=0,1,0))</f>
        <v/>
      </c>
      <c r="W948">
        <f>IF(AND(B948&lt;&gt;"",K948&lt;&gt;"",L948&lt;&gt;"Sent",L948&lt;&gt;"Picked up",L948&lt;&gt;"Cancelled"),IF(N(E948)=0,1,E948),0)</f>
        <v/>
      </c>
      <c r="X948">
        <f>IF(OR(B948="",D948=""),"",IF(N(E948)=0,1,E948))</f>
        <v/>
      </c>
    </row>
    <row r="949">
      <c r="A949" s="1" t="n"/>
      <c r="B949" s="31" t="n"/>
      <c r="C949" s="32" t="n"/>
      <c r="D949" s="33" t="n"/>
      <c r="E949" s="34" t="n"/>
      <c r="F949" s="35" t="n"/>
      <c r="G949" s="35" t="n"/>
      <c r="H949" s="30">
        <f>IF(OR(B949="",D949=""),"",IF(N(E949)=0,1,E949)*IFERROR(INDEX(Products!$C$6:$C$105,MATCH(D949,Products!$B$6:$B$105,0)),0)+N(F949)+N(G949))</f>
        <v/>
      </c>
      <c r="I949" s="35" t="n"/>
      <c r="J949" s="30">
        <f>IF(OR(H949="",L949="Cancelled"),"",IF(H949-N(I949)&gt;0.005,H949-N(I949),""))</f>
        <v/>
      </c>
      <c r="K949" s="31" t="n"/>
      <c r="L949" s="36" t="n"/>
      <c r="M949" s="33" t="n"/>
      <c r="N949" s="22">
        <f>IF(OR(H949="",L949="Cancelled"),"",IF(N(E949)=0,1,E949)*IFERROR(INDEX(Products!$E$6:$E$105,MATCH(D949,Products!$B$6:$B$105,0)),0))</f>
        <v/>
      </c>
      <c r="O949" s="35" t="n"/>
      <c r="P949" s="22">
        <f>IF(OR(H949="",L949="Cancelled"),"",ROUND(IFERROR(H949*INDEX(Settings!$C$6:$C$15,MATCH(M949,Settings!$B$6:$B$15,0))+INDEX(Settings!$D$6:$D$15,MATCH(M949,Settings!$B$6:$B$15,0)),0),2))</f>
        <v/>
      </c>
      <c r="Q949" s="28">
        <f>IF(OR(H949="",L949="Cancelled"),"",H949-N(N949)-N(O949)-N(P949))</f>
        <v/>
      </c>
      <c r="R949" s="19">
        <f>IF(OR(B949="",K949=""),"",IF(OR(L949="Sent",L949="Picked up"),"Done",IF(L949="Cancelled","Cancelled",IF(K949&lt;TODAY(),"Late by "&amp;(TODAY()-K949)&amp;IF((TODAY()-K949)=1," day"," days"),IF(K949=TODAY(),"Due today","Due in "&amp;(K949-TODAY())&amp;IF((K949-TODAY())=1," day"," days"))))))</f>
        <v/>
      </c>
      <c r="S949" s="33" t="n"/>
      <c r="T949" s="1">
        <f>IF(AND(B949&lt;&gt;"",K949&lt;&gt;"",L949&lt;&gt;"Sent",L949&lt;&gt;"Picked up",L949&lt;&gt;"Cancelled"),K949+ROW()/10000000,"")</f>
        <v/>
      </c>
      <c r="U949">
        <f>IF(OR(B949="",C949=""),"",B949+ROW()/10000000)</f>
        <v/>
      </c>
      <c r="V949">
        <f>IF(U949="","",IF(COUNTIFS(Orders!$C$6:$C$1005,C949,Orders!$U$6:$U$1005,"&gt;"&amp;U949)=0,1,0))</f>
        <v/>
      </c>
      <c r="W949">
        <f>IF(AND(B949&lt;&gt;"",K949&lt;&gt;"",L949&lt;&gt;"Sent",L949&lt;&gt;"Picked up",L949&lt;&gt;"Cancelled"),IF(N(E949)=0,1,E949),0)</f>
        <v/>
      </c>
      <c r="X949">
        <f>IF(OR(B949="",D949=""),"",IF(N(E949)=0,1,E949))</f>
        <v/>
      </c>
    </row>
    <row r="950">
      <c r="A950" s="1" t="n"/>
      <c r="B950" s="31" t="n"/>
      <c r="C950" s="32" t="n"/>
      <c r="D950" s="33" t="n"/>
      <c r="E950" s="34" t="n"/>
      <c r="F950" s="35" t="n"/>
      <c r="G950" s="35" t="n"/>
      <c r="H950" s="30">
        <f>IF(OR(B950="",D950=""),"",IF(N(E950)=0,1,E950)*IFERROR(INDEX(Products!$C$6:$C$105,MATCH(D950,Products!$B$6:$B$105,0)),0)+N(F950)+N(G950))</f>
        <v/>
      </c>
      <c r="I950" s="35" t="n"/>
      <c r="J950" s="30">
        <f>IF(OR(H950="",L950="Cancelled"),"",IF(H950-N(I950)&gt;0.005,H950-N(I950),""))</f>
        <v/>
      </c>
      <c r="K950" s="31" t="n"/>
      <c r="L950" s="36" t="n"/>
      <c r="M950" s="33" t="n"/>
      <c r="N950" s="22">
        <f>IF(OR(H950="",L950="Cancelled"),"",IF(N(E950)=0,1,E950)*IFERROR(INDEX(Products!$E$6:$E$105,MATCH(D950,Products!$B$6:$B$105,0)),0))</f>
        <v/>
      </c>
      <c r="O950" s="35" t="n"/>
      <c r="P950" s="22">
        <f>IF(OR(H950="",L950="Cancelled"),"",ROUND(IFERROR(H950*INDEX(Settings!$C$6:$C$15,MATCH(M950,Settings!$B$6:$B$15,0))+INDEX(Settings!$D$6:$D$15,MATCH(M950,Settings!$B$6:$B$15,0)),0),2))</f>
        <v/>
      </c>
      <c r="Q950" s="28">
        <f>IF(OR(H950="",L950="Cancelled"),"",H950-N(N950)-N(O950)-N(P950))</f>
        <v/>
      </c>
      <c r="R950" s="19">
        <f>IF(OR(B950="",K950=""),"",IF(OR(L950="Sent",L950="Picked up"),"Done",IF(L950="Cancelled","Cancelled",IF(K950&lt;TODAY(),"Late by "&amp;(TODAY()-K950)&amp;IF((TODAY()-K950)=1," day"," days"),IF(K950=TODAY(),"Due today","Due in "&amp;(K950-TODAY())&amp;IF((K950-TODAY())=1," day"," days"))))))</f>
        <v/>
      </c>
      <c r="S950" s="33" t="n"/>
      <c r="T950" s="1">
        <f>IF(AND(B950&lt;&gt;"",K950&lt;&gt;"",L950&lt;&gt;"Sent",L950&lt;&gt;"Picked up",L950&lt;&gt;"Cancelled"),K950+ROW()/10000000,"")</f>
        <v/>
      </c>
      <c r="U950">
        <f>IF(OR(B950="",C950=""),"",B950+ROW()/10000000)</f>
        <v/>
      </c>
      <c r="V950">
        <f>IF(U950="","",IF(COUNTIFS(Orders!$C$6:$C$1005,C950,Orders!$U$6:$U$1005,"&gt;"&amp;U950)=0,1,0))</f>
        <v/>
      </c>
      <c r="W950">
        <f>IF(AND(B950&lt;&gt;"",K950&lt;&gt;"",L950&lt;&gt;"Sent",L950&lt;&gt;"Picked up",L950&lt;&gt;"Cancelled"),IF(N(E950)=0,1,E950),0)</f>
        <v/>
      </c>
      <c r="X950">
        <f>IF(OR(B950="",D950=""),"",IF(N(E950)=0,1,E950))</f>
        <v/>
      </c>
    </row>
    <row r="951">
      <c r="A951" s="1" t="n"/>
      <c r="B951" s="31" t="n"/>
      <c r="C951" s="32" t="n"/>
      <c r="D951" s="33" t="n"/>
      <c r="E951" s="34" t="n"/>
      <c r="F951" s="35" t="n"/>
      <c r="G951" s="35" t="n"/>
      <c r="H951" s="30">
        <f>IF(OR(B951="",D951=""),"",IF(N(E951)=0,1,E951)*IFERROR(INDEX(Products!$C$6:$C$105,MATCH(D951,Products!$B$6:$B$105,0)),0)+N(F951)+N(G951))</f>
        <v/>
      </c>
      <c r="I951" s="35" t="n"/>
      <c r="J951" s="30">
        <f>IF(OR(H951="",L951="Cancelled"),"",IF(H951-N(I951)&gt;0.005,H951-N(I951),""))</f>
        <v/>
      </c>
      <c r="K951" s="31" t="n"/>
      <c r="L951" s="36" t="n"/>
      <c r="M951" s="33" t="n"/>
      <c r="N951" s="22">
        <f>IF(OR(H951="",L951="Cancelled"),"",IF(N(E951)=0,1,E951)*IFERROR(INDEX(Products!$E$6:$E$105,MATCH(D951,Products!$B$6:$B$105,0)),0))</f>
        <v/>
      </c>
      <c r="O951" s="35" t="n"/>
      <c r="P951" s="22">
        <f>IF(OR(H951="",L951="Cancelled"),"",ROUND(IFERROR(H951*INDEX(Settings!$C$6:$C$15,MATCH(M951,Settings!$B$6:$B$15,0))+INDEX(Settings!$D$6:$D$15,MATCH(M951,Settings!$B$6:$B$15,0)),0),2))</f>
        <v/>
      </c>
      <c r="Q951" s="28">
        <f>IF(OR(H951="",L951="Cancelled"),"",H951-N(N951)-N(O951)-N(P951))</f>
        <v/>
      </c>
      <c r="R951" s="19">
        <f>IF(OR(B951="",K951=""),"",IF(OR(L951="Sent",L951="Picked up"),"Done",IF(L951="Cancelled","Cancelled",IF(K951&lt;TODAY(),"Late by "&amp;(TODAY()-K951)&amp;IF((TODAY()-K951)=1," day"," days"),IF(K951=TODAY(),"Due today","Due in "&amp;(K951-TODAY())&amp;IF((K951-TODAY())=1," day"," days"))))))</f>
        <v/>
      </c>
      <c r="S951" s="33" t="n"/>
      <c r="T951" s="1">
        <f>IF(AND(B951&lt;&gt;"",K951&lt;&gt;"",L951&lt;&gt;"Sent",L951&lt;&gt;"Picked up",L951&lt;&gt;"Cancelled"),K951+ROW()/10000000,"")</f>
        <v/>
      </c>
      <c r="U951">
        <f>IF(OR(B951="",C951=""),"",B951+ROW()/10000000)</f>
        <v/>
      </c>
      <c r="V951">
        <f>IF(U951="","",IF(COUNTIFS(Orders!$C$6:$C$1005,C951,Orders!$U$6:$U$1005,"&gt;"&amp;U951)=0,1,0))</f>
        <v/>
      </c>
      <c r="W951">
        <f>IF(AND(B951&lt;&gt;"",K951&lt;&gt;"",L951&lt;&gt;"Sent",L951&lt;&gt;"Picked up",L951&lt;&gt;"Cancelled"),IF(N(E951)=0,1,E951),0)</f>
        <v/>
      </c>
      <c r="X951">
        <f>IF(OR(B951="",D951=""),"",IF(N(E951)=0,1,E951))</f>
        <v/>
      </c>
    </row>
    <row r="952">
      <c r="A952" s="1" t="n"/>
      <c r="B952" s="31" t="n"/>
      <c r="C952" s="32" t="n"/>
      <c r="D952" s="33" t="n"/>
      <c r="E952" s="34" t="n"/>
      <c r="F952" s="35" t="n"/>
      <c r="G952" s="35" t="n"/>
      <c r="H952" s="30">
        <f>IF(OR(B952="",D952=""),"",IF(N(E952)=0,1,E952)*IFERROR(INDEX(Products!$C$6:$C$105,MATCH(D952,Products!$B$6:$B$105,0)),0)+N(F952)+N(G952))</f>
        <v/>
      </c>
      <c r="I952" s="35" t="n"/>
      <c r="J952" s="30">
        <f>IF(OR(H952="",L952="Cancelled"),"",IF(H952-N(I952)&gt;0.005,H952-N(I952),""))</f>
        <v/>
      </c>
      <c r="K952" s="31" t="n"/>
      <c r="L952" s="36" t="n"/>
      <c r="M952" s="33" t="n"/>
      <c r="N952" s="22">
        <f>IF(OR(H952="",L952="Cancelled"),"",IF(N(E952)=0,1,E952)*IFERROR(INDEX(Products!$E$6:$E$105,MATCH(D952,Products!$B$6:$B$105,0)),0))</f>
        <v/>
      </c>
      <c r="O952" s="35" t="n"/>
      <c r="P952" s="22">
        <f>IF(OR(H952="",L952="Cancelled"),"",ROUND(IFERROR(H952*INDEX(Settings!$C$6:$C$15,MATCH(M952,Settings!$B$6:$B$15,0))+INDEX(Settings!$D$6:$D$15,MATCH(M952,Settings!$B$6:$B$15,0)),0),2))</f>
        <v/>
      </c>
      <c r="Q952" s="28">
        <f>IF(OR(H952="",L952="Cancelled"),"",H952-N(N952)-N(O952)-N(P952))</f>
        <v/>
      </c>
      <c r="R952" s="19">
        <f>IF(OR(B952="",K952=""),"",IF(OR(L952="Sent",L952="Picked up"),"Done",IF(L952="Cancelled","Cancelled",IF(K952&lt;TODAY(),"Late by "&amp;(TODAY()-K952)&amp;IF((TODAY()-K952)=1," day"," days"),IF(K952=TODAY(),"Due today","Due in "&amp;(K952-TODAY())&amp;IF((K952-TODAY())=1," day"," days"))))))</f>
        <v/>
      </c>
      <c r="S952" s="33" t="n"/>
      <c r="T952" s="1">
        <f>IF(AND(B952&lt;&gt;"",K952&lt;&gt;"",L952&lt;&gt;"Sent",L952&lt;&gt;"Picked up",L952&lt;&gt;"Cancelled"),K952+ROW()/10000000,"")</f>
        <v/>
      </c>
      <c r="U952">
        <f>IF(OR(B952="",C952=""),"",B952+ROW()/10000000)</f>
        <v/>
      </c>
      <c r="V952">
        <f>IF(U952="","",IF(COUNTIFS(Orders!$C$6:$C$1005,C952,Orders!$U$6:$U$1005,"&gt;"&amp;U952)=0,1,0))</f>
        <v/>
      </c>
      <c r="W952">
        <f>IF(AND(B952&lt;&gt;"",K952&lt;&gt;"",L952&lt;&gt;"Sent",L952&lt;&gt;"Picked up",L952&lt;&gt;"Cancelled"),IF(N(E952)=0,1,E952),0)</f>
        <v/>
      </c>
      <c r="X952">
        <f>IF(OR(B952="",D952=""),"",IF(N(E952)=0,1,E952))</f>
        <v/>
      </c>
    </row>
    <row r="953">
      <c r="A953" s="1" t="n"/>
      <c r="B953" s="31" t="n"/>
      <c r="C953" s="32" t="n"/>
      <c r="D953" s="33" t="n"/>
      <c r="E953" s="34" t="n"/>
      <c r="F953" s="35" t="n"/>
      <c r="G953" s="35" t="n"/>
      <c r="H953" s="30">
        <f>IF(OR(B953="",D953=""),"",IF(N(E953)=0,1,E953)*IFERROR(INDEX(Products!$C$6:$C$105,MATCH(D953,Products!$B$6:$B$105,0)),0)+N(F953)+N(G953))</f>
        <v/>
      </c>
      <c r="I953" s="35" t="n"/>
      <c r="J953" s="30">
        <f>IF(OR(H953="",L953="Cancelled"),"",IF(H953-N(I953)&gt;0.005,H953-N(I953),""))</f>
        <v/>
      </c>
      <c r="K953" s="31" t="n"/>
      <c r="L953" s="36" t="n"/>
      <c r="M953" s="33" t="n"/>
      <c r="N953" s="22">
        <f>IF(OR(H953="",L953="Cancelled"),"",IF(N(E953)=0,1,E953)*IFERROR(INDEX(Products!$E$6:$E$105,MATCH(D953,Products!$B$6:$B$105,0)),0))</f>
        <v/>
      </c>
      <c r="O953" s="35" t="n"/>
      <c r="P953" s="22">
        <f>IF(OR(H953="",L953="Cancelled"),"",ROUND(IFERROR(H953*INDEX(Settings!$C$6:$C$15,MATCH(M953,Settings!$B$6:$B$15,0))+INDEX(Settings!$D$6:$D$15,MATCH(M953,Settings!$B$6:$B$15,0)),0),2))</f>
        <v/>
      </c>
      <c r="Q953" s="28">
        <f>IF(OR(H953="",L953="Cancelled"),"",H953-N(N953)-N(O953)-N(P953))</f>
        <v/>
      </c>
      <c r="R953" s="19">
        <f>IF(OR(B953="",K953=""),"",IF(OR(L953="Sent",L953="Picked up"),"Done",IF(L953="Cancelled","Cancelled",IF(K953&lt;TODAY(),"Late by "&amp;(TODAY()-K953)&amp;IF((TODAY()-K953)=1," day"," days"),IF(K953=TODAY(),"Due today","Due in "&amp;(K953-TODAY())&amp;IF((K953-TODAY())=1," day"," days"))))))</f>
        <v/>
      </c>
      <c r="S953" s="33" t="n"/>
      <c r="T953" s="1">
        <f>IF(AND(B953&lt;&gt;"",K953&lt;&gt;"",L953&lt;&gt;"Sent",L953&lt;&gt;"Picked up",L953&lt;&gt;"Cancelled"),K953+ROW()/10000000,"")</f>
        <v/>
      </c>
      <c r="U953">
        <f>IF(OR(B953="",C953=""),"",B953+ROW()/10000000)</f>
        <v/>
      </c>
      <c r="V953">
        <f>IF(U953="","",IF(COUNTIFS(Orders!$C$6:$C$1005,C953,Orders!$U$6:$U$1005,"&gt;"&amp;U953)=0,1,0))</f>
        <v/>
      </c>
      <c r="W953">
        <f>IF(AND(B953&lt;&gt;"",K953&lt;&gt;"",L953&lt;&gt;"Sent",L953&lt;&gt;"Picked up",L953&lt;&gt;"Cancelled"),IF(N(E953)=0,1,E953),0)</f>
        <v/>
      </c>
      <c r="X953">
        <f>IF(OR(B953="",D953=""),"",IF(N(E953)=0,1,E953))</f>
        <v/>
      </c>
    </row>
    <row r="954">
      <c r="A954" s="1" t="n"/>
      <c r="B954" s="31" t="n"/>
      <c r="C954" s="32" t="n"/>
      <c r="D954" s="33" t="n"/>
      <c r="E954" s="34" t="n"/>
      <c r="F954" s="35" t="n"/>
      <c r="G954" s="35" t="n"/>
      <c r="H954" s="30">
        <f>IF(OR(B954="",D954=""),"",IF(N(E954)=0,1,E954)*IFERROR(INDEX(Products!$C$6:$C$105,MATCH(D954,Products!$B$6:$B$105,0)),0)+N(F954)+N(G954))</f>
        <v/>
      </c>
      <c r="I954" s="35" t="n"/>
      <c r="J954" s="30">
        <f>IF(OR(H954="",L954="Cancelled"),"",IF(H954-N(I954)&gt;0.005,H954-N(I954),""))</f>
        <v/>
      </c>
      <c r="K954" s="31" t="n"/>
      <c r="L954" s="36" t="n"/>
      <c r="M954" s="33" t="n"/>
      <c r="N954" s="22">
        <f>IF(OR(H954="",L954="Cancelled"),"",IF(N(E954)=0,1,E954)*IFERROR(INDEX(Products!$E$6:$E$105,MATCH(D954,Products!$B$6:$B$105,0)),0))</f>
        <v/>
      </c>
      <c r="O954" s="35" t="n"/>
      <c r="P954" s="22">
        <f>IF(OR(H954="",L954="Cancelled"),"",ROUND(IFERROR(H954*INDEX(Settings!$C$6:$C$15,MATCH(M954,Settings!$B$6:$B$15,0))+INDEX(Settings!$D$6:$D$15,MATCH(M954,Settings!$B$6:$B$15,0)),0),2))</f>
        <v/>
      </c>
      <c r="Q954" s="28">
        <f>IF(OR(H954="",L954="Cancelled"),"",H954-N(N954)-N(O954)-N(P954))</f>
        <v/>
      </c>
      <c r="R954" s="19">
        <f>IF(OR(B954="",K954=""),"",IF(OR(L954="Sent",L954="Picked up"),"Done",IF(L954="Cancelled","Cancelled",IF(K954&lt;TODAY(),"Late by "&amp;(TODAY()-K954)&amp;IF((TODAY()-K954)=1," day"," days"),IF(K954=TODAY(),"Due today","Due in "&amp;(K954-TODAY())&amp;IF((K954-TODAY())=1," day"," days"))))))</f>
        <v/>
      </c>
      <c r="S954" s="33" t="n"/>
      <c r="T954" s="1">
        <f>IF(AND(B954&lt;&gt;"",K954&lt;&gt;"",L954&lt;&gt;"Sent",L954&lt;&gt;"Picked up",L954&lt;&gt;"Cancelled"),K954+ROW()/10000000,"")</f>
        <v/>
      </c>
      <c r="U954">
        <f>IF(OR(B954="",C954=""),"",B954+ROW()/10000000)</f>
        <v/>
      </c>
      <c r="V954">
        <f>IF(U954="","",IF(COUNTIFS(Orders!$C$6:$C$1005,C954,Orders!$U$6:$U$1005,"&gt;"&amp;U954)=0,1,0))</f>
        <v/>
      </c>
      <c r="W954">
        <f>IF(AND(B954&lt;&gt;"",K954&lt;&gt;"",L954&lt;&gt;"Sent",L954&lt;&gt;"Picked up",L954&lt;&gt;"Cancelled"),IF(N(E954)=0,1,E954),0)</f>
        <v/>
      </c>
      <c r="X954">
        <f>IF(OR(B954="",D954=""),"",IF(N(E954)=0,1,E954))</f>
        <v/>
      </c>
    </row>
    <row r="955">
      <c r="A955" s="1" t="n"/>
      <c r="B955" s="31" t="n"/>
      <c r="C955" s="32" t="n"/>
      <c r="D955" s="33" t="n"/>
      <c r="E955" s="34" t="n"/>
      <c r="F955" s="35" t="n"/>
      <c r="G955" s="35" t="n"/>
      <c r="H955" s="30">
        <f>IF(OR(B955="",D955=""),"",IF(N(E955)=0,1,E955)*IFERROR(INDEX(Products!$C$6:$C$105,MATCH(D955,Products!$B$6:$B$105,0)),0)+N(F955)+N(G955))</f>
        <v/>
      </c>
      <c r="I955" s="35" t="n"/>
      <c r="J955" s="30">
        <f>IF(OR(H955="",L955="Cancelled"),"",IF(H955-N(I955)&gt;0.005,H955-N(I955),""))</f>
        <v/>
      </c>
      <c r="K955" s="31" t="n"/>
      <c r="L955" s="36" t="n"/>
      <c r="M955" s="33" t="n"/>
      <c r="N955" s="22">
        <f>IF(OR(H955="",L955="Cancelled"),"",IF(N(E955)=0,1,E955)*IFERROR(INDEX(Products!$E$6:$E$105,MATCH(D955,Products!$B$6:$B$105,0)),0))</f>
        <v/>
      </c>
      <c r="O955" s="35" t="n"/>
      <c r="P955" s="22">
        <f>IF(OR(H955="",L955="Cancelled"),"",ROUND(IFERROR(H955*INDEX(Settings!$C$6:$C$15,MATCH(M955,Settings!$B$6:$B$15,0))+INDEX(Settings!$D$6:$D$15,MATCH(M955,Settings!$B$6:$B$15,0)),0),2))</f>
        <v/>
      </c>
      <c r="Q955" s="28">
        <f>IF(OR(H955="",L955="Cancelled"),"",H955-N(N955)-N(O955)-N(P955))</f>
        <v/>
      </c>
      <c r="R955" s="19">
        <f>IF(OR(B955="",K955=""),"",IF(OR(L955="Sent",L955="Picked up"),"Done",IF(L955="Cancelled","Cancelled",IF(K955&lt;TODAY(),"Late by "&amp;(TODAY()-K955)&amp;IF((TODAY()-K955)=1," day"," days"),IF(K955=TODAY(),"Due today","Due in "&amp;(K955-TODAY())&amp;IF((K955-TODAY())=1," day"," days"))))))</f>
        <v/>
      </c>
      <c r="S955" s="33" t="n"/>
      <c r="T955" s="1">
        <f>IF(AND(B955&lt;&gt;"",K955&lt;&gt;"",L955&lt;&gt;"Sent",L955&lt;&gt;"Picked up",L955&lt;&gt;"Cancelled"),K955+ROW()/10000000,"")</f>
        <v/>
      </c>
      <c r="U955">
        <f>IF(OR(B955="",C955=""),"",B955+ROW()/10000000)</f>
        <v/>
      </c>
      <c r="V955">
        <f>IF(U955="","",IF(COUNTIFS(Orders!$C$6:$C$1005,C955,Orders!$U$6:$U$1005,"&gt;"&amp;U955)=0,1,0))</f>
        <v/>
      </c>
      <c r="W955">
        <f>IF(AND(B955&lt;&gt;"",K955&lt;&gt;"",L955&lt;&gt;"Sent",L955&lt;&gt;"Picked up",L955&lt;&gt;"Cancelled"),IF(N(E955)=0,1,E955),0)</f>
        <v/>
      </c>
      <c r="X955">
        <f>IF(OR(B955="",D955=""),"",IF(N(E955)=0,1,E955))</f>
        <v/>
      </c>
    </row>
    <row r="956">
      <c r="A956" s="1" t="n"/>
      <c r="B956" s="31" t="n"/>
      <c r="C956" s="32" t="n"/>
      <c r="D956" s="33" t="n"/>
      <c r="E956" s="34" t="n"/>
      <c r="F956" s="35" t="n"/>
      <c r="G956" s="35" t="n"/>
      <c r="H956" s="30">
        <f>IF(OR(B956="",D956=""),"",IF(N(E956)=0,1,E956)*IFERROR(INDEX(Products!$C$6:$C$105,MATCH(D956,Products!$B$6:$B$105,0)),0)+N(F956)+N(G956))</f>
        <v/>
      </c>
      <c r="I956" s="35" t="n"/>
      <c r="J956" s="30">
        <f>IF(OR(H956="",L956="Cancelled"),"",IF(H956-N(I956)&gt;0.005,H956-N(I956),""))</f>
        <v/>
      </c>
      <c r="K956" s="31" t="n"/>
      <c r="L956" s="36" t="n"/>
      <c r="M956" s="33" t="n"/>
      <c r="N956" s="22">
        <f>IF(OR(H956="",L956="Cancelled"),"",IF(N(E956)=0,1,E956)*IFERROR(INDEX(Products!$E$6:$E$105,MATCH(D956,Products!$B$6:$B$105,0)),0))</f>
        <v/>
      </c>
      <c r="O956" s="35" t="n"/>
      <c r="P956" s="22">
        <f>IF(OR(H956="",L956="Cancelled"),"",ROUND(IFERROR(H956*INDEX(Settings!$C$6:$C$15,MATCH(M956,Settings!$B$6:$B$15,0))+INDEX(Settings!$D$6:$D$15,MATCH(M956,Settings!$B$6:$B$15,0)),0),2))</f>
        <v/>
      </c>
      <c r="Q956" s="28">
        <f>IF(OR(H956="",L956="Cancelled"),"",H956-N(N956)-N(O956)-N(P956))</f>
        <v/>
      </c>
      <c r="R956" s="19">
        <f>IF(OR(B956="",K956=""),"",IF(OR(L956="Sent",L956="Picked up"),"Done",IF(L956="Cancelled","Cancelled",IF(K956&lt;TODAY(),"Late by "&amp;(TODAY()-K956)&amp;IF((TODAY()-K956)=1," day"," days"),IF(K956=TODAY(),"Due today","Due in "&amp;(K956-TODAY())&amp;IF((K956-TODAY())=1," day"," days"))))))</f>
        <v/>
      </c>
      <c r="S956" s="33" t="n"/>
      <c r="T956" s="1">
        <f>IF(AND(B956&lt;&gt;"",K956&lt;&gt;"",L956&lt;&gt;"Sent",L956&lt;&gt;"Picked up",L956&lt;&gt;"Cancelled"),K956+ROW()/10000000,"")</f>
        <v/>
      </c>
      <c r="U956">
        <f>IF(OR(B956="",C956=""),"",B956+ROW()/10000000)</f>
        <v/>
      </c>
      <c r="V956">
        <f>IF(U956="","",IF(COUNTIFS(Orders!$C$6:$C$1005,C956,Orders!$U$6:$U$1005,"&gt;"&amp;U956)=0,1,0))</f>
        <v/>
      </c>
      <c r="W956">
        <f>IF(AND(B956&lt;&gt;"",K956&lt;&gt;"",L956&lt;&gt;"Sent",L956&lt;&gt;"Picked up",L956&lt;&gt;"Cancelled"),IF(N(E956)=0,1,E956),0)</f>
        <v/>
      </c>
      <c r="X956">
        <f>IF(OR(B956="",D956=""),"",IF(N(E956)=0,1,E956))</f>
        <v/>
      </c>
    </row>
    <row r="957">
      <c r="A957" s="1" t="n"/>
      <c r="B957" s="31" t="n"/>
      <c r="C957" s="32" t="n"/>
      <c r="D957" s="33" t="n"/>
      <c r="E957" s="34" t="n"/>
      <c r="F957" s="35" t="n"/>
      <c r="G957" s="35" t="n"/>
      <c r="H957" s="30">
        <f>IF(OR(B957="",D957=""),"",IF(N(E957)=0,1,E957)*IFERROR(INDEX(Products!$C$6:$C$105,MATCH(D957,Products!$B$6:$B$105,0)),0)+N(F957)+N(G957))</f>
        <v/>
      </c>
      <c r="I957" s="35" t="n"/>
      <c r="J957" s="30">
        <f>IF(OR(H957="",L957="Cancelled"),"",IF(H957-N(I957)&gt;0.005,H957-N(I957),""))</f>
        <v/>
      </c>
      <c r="K957" s="31" t="n"/>
      <c r="L957" s="36" t="n"/>
      <c r="M957" s="33" t="n"/>
      <c r="N957" s="22">
        <f>IF(OR(H957="",L957="Cancelled"),"",IF(N(E957)=0,1,E957)*IFERROR(INDEX(Products!$E$6:$E$105,MATCH(D957,Products!$B$6:$B$105,0)),0))</f>
        <v/>
      </c>
      <c r="O957" s="35" t="n"/>
      <c r="P957" s="22">
        <f>IF(OR(H957="",L957="Cancelled"),"",ROUND(IFERROR(H957*INDEX(Settings!$C$6:$C$15,MATCH(M957,Settings!$B$6:$B$15,0))+INDEX(Settings!$D$6:$D$15,MATCH(M957,Settings!$B$6:$B$15,0)),0),2))</f>
        <v/>
      </c>
      <c r="Q957" s="28">
        <f>IF(OR(H957="",L957="Cancelled"),"",H957-N(N957)-N(O957)-N(P957))</f>
        <v/>
      </c>
      <c r="R957" s="19">
        <f>IF(OR(B957="",K957=""),"",IF(OR(L957="Sent",L957="Picked up"),"Done",IF(L957="Cancelled","Cancelled",IF(K957&lt;TODAY(),"Late by "&amp;(TODAY()-K957)&amp;IF((TODAY()-K957)=1," day"," days"),IF(K957=TODAY(),"Due today","Due in "&amp;(K957-TODAY())&amp;IF((K957-TODAY())=1," day"," days"))))))</f>
        <v/>
      </c>
      <c r="S957" s="33" t="n"/>
      <c r="T957" s="1">
        <f>IF(AND(B957&lt;&gt;"",K957&lt;&gt;"",L957&lt;&gt;"Sent",L957&lt;&gt;"Picked up",L957&lt;&gt;"Cancelled"),K957+ROW()/10000000,"")</f>
        <v/>
      </c>
      <c r="U957">
        <f>IF(OR(B957="",C957=""),"",B957+ROW()/10000000)</f>
        <v/>
      </c>
      <c r="V957">
        <f>IF(U957="","",IF(COUNTIFS(Orders!$C$6:$C$1005,C957,Orders!$U$6:$U$1005,"&gt;"&amp;U957)=0,1,0))</f>
        <v/>
      </c>
      <c r="W957">
        <f>IF(AND(B957&lt;&gt;"",K957&lt;&gt;"",L957&lt;&gt;"Sent",L957&lt;&gt;"Picked up",L957&lt;&gt;"Cancelled"),IF(N(E957)=0,1,E957),0)</f>
        <v/>
      </c>
      <c r="X957">
        <f>IF(OR(B957="",D957=""),"",IF(N(E957)=0,1,E957))</f>
        <v/>
      </c>
    </row>
    <row r="958">
      <c r="A958" s="1" t="n"/>
      <c r="B958" s="31" t="n"/>
      <c r="C958" s="32" t="n"/>
      <c r="D958" s="33" t="n"/>
      <c r="E958" s="34" t="n"/>
      <c r="F958" s="35" t="n"/>
      <c r="G958" s="35" t="n"/>
      <c r="H958" s="30">
        <f>IF(OR(B958="",D958=""),"",IF(N(E958)=0,1,E958)*IFERROR(INDEX(Products!$C$6:$C$105,MATCH(D958,Products!$B$6:$B$105,0)),0)+N(F958)+N(G958))</f>
        <v/>
      </c>
      <c r="I958" s="35" t="n"/>
      <c r="J958" s="30">
        <f>IF(OR(H958="",L958="Cancelled"),"",IF(H958-N(I958)&gt;0.005,H958-N(I958),""))</f>
        <v/>
      </c>
      <c r="K958" s="31" t="n"/>
      <c r="L958" s="36" t="n"/>
      <c r="M958" s="33" t="n"/>
      <c r="N958" s="22">
        <f>IF(OR(H958="",L958="Cancelled"),"",IF(N(E958)=0,1,E958)*IFERROR(INDEX(Products!$E$6:$E$105,MATCH(D958,Products!$B$6:$B$105,0)),0))</f>
        <v/>
      </c>
      <c r="O958" s="35" t="n"/>
      <c r="P958" s="22">
        <f>IF(OR(H958="",L958="Cancelled"),"",ROUND(IFERROR(H958*INDEX(Settings!$C$6:$C$15,MATCH(M958,Settings!$B$6:$B$15,0))+INDEX(Settings!$D$6:$D$15,MATCH(M958,Settings!$B$6:$B$15,0)),0),2))</f>
        <v/>
      </c>
      <c r="Q958" s="28">
        <f>IF(OR(H958="",L958="Cancelled"),"",H958-N(N958)-N(O958)-N(P958))</f>
        <v/>
      </c>
      <c r="R958" s="19">
        <f>IF(OR(B958="",K958=""),"",IF(OR(L958="Sent",L958="Picked up"),"Done",IF(L958="Cancelled","Cancelled",IF(K958&lt;TODAY(),"Late by "&amp;(TODAY()-K958)&amp;IF((TODAY()-K958)=1," day"," days"),IF(K958=TODAY(),"Due today","Due in "&amp;(K958-TODAY())&amp;IF((K958-TODAY())=1," day"," days"))))))</f>
        <v/>
      </c>
      <c r="S958" s="33" t="n"/>
      <c r="T958" s="1">
        <f>IF(AND(B958&lt;&gt;"",K958&lt;&gt;"",L958&lt;&gt;"Sent",L958&lt;&gt;"Picked up",L958&lt;&gt;"Cancelled"),K958+ROW()/10000000,"")</f>
        <v/>
      </c>
      <c r="U958">
        <f>IF(OR(B958="",C958=""),"",B958+ROW()/10000000)</f>
        <v/>
      </c>
      <c r="V958">
        <f>IF(U958="","",IF(COUNTIFS(Orders!$C$6:$C$1005,C958,Orders!$U$6:$U$1005,"&gt;"&amp;U958)=0,1,0))</f>
        <v/>
      </c>
      <c r="W958">
        <f>IF(AND(B958&lt;&gt;"",K958&lt;&gt;"",L958&lt;&gt;"Sent",L958&lt;&gt;"Picked up",L958&lt;&gt;"Cancelled"),IF(N(E958)=0,1,E958),0)</f>
        <v/>
      </c>
      <c r="X958">
        <f>IF(OR(B958="",D958=""),"",IF(N(E958)=0,1,E958))</f>
        <v/>
      </c>
    </row>
    <row r="959">
      <c r="A959" s="1" t="n"/>
      <c r="B959" s="31" t="n"/>
      <c r="C959" s="32" t="n"/>
      <c r="D959" s="33" t="n"/>
      <c r="E959" s="34" t="n"/>
      <c r="F959" s="35" t="n"/>
      <c r="G959" s="35" t="n"/>
      <c r="H959" s="30">
        <f>IF(OR(B959="",D959=""),"",IF(N(E959)=0,1,E959)*IFERROR(INDEX(Products!$C$6:$C$105,MATCH(D959,Products!$B$6:$B$105,0)),0)+N(F959)+N(G959))</f>
        <v/>
      </c>
      <c r="I959" s="35" t="n"/>
      <c r="J959" s="30">
        <f>IF(OR(H959="",L959="Cancelled"),"",IF(H959-N(I959)&gt;0.005,H959-N(I959),""))</f>
        <v/>
      </c>
      <c r="K959" s="31" t="n"/>
      <c r="L959" s="36" t="n"/>
      <c r="M959" s="33" t="n"/>
      <c r="N959" s="22">
        <f>IF(OR(H959="",L959="Cancelled"),"",IF(N(E959)=0,1,E959)*IFERROR(INDEX(Products!$E$6:$E$105,MATCH(D959,Products!$B$6:$B$105,0)),0))</f>
        <v/>
      </c>
      <c r="O959" s="35" t="n"/>
      <c r="P959" s="22">
        <f>IF(OR(H959="",L959="Cancelled"),"",ROUND(IFERROR(H959*INDEX(Settings!$C$6:$C$15,MATCH(M959,Settings!$B$6:$B$15,0))+INDEX(Settings!$D$6:$D$15,MATCH(M959,Settings!$B$6:$B$15,0)),0),2))</f>
        <v/>
      </c>
      <c r="Q959" s="28">
        <f>IF(OR(H959="",L959="Cancelled"),"",H959-N(N959)-N(O959)-N(P959))</f>
        <v/>
      </c>
      <c r="R959" s="19">
        <f>IF(OR(B959="",K959=""),"",IF(OR(L959="Sent",L959="Picked up"),"Done",IF(L959="Cancelled","Cancelled",IF(K959&lt;TODAY(),"Late by "&amp;(TODAY()-K959)&amp;IF((TODAY()-K959)=1," day"," days"),IF(K959=TODAY(),"Due today","Due in "&amp;(K959-TODAY())&amp;IF((K959-TODAY())=1," day"," days"))))))</f>
        <v/>
      </c>
      <c r="S959" s="33" t="n"/>
      <c r="T959" s="1">
        <f>IF(AND(B959&lt;&gt;"",K959&lt;&gt;"",L959&lt;&gt;"Sent",L959&lt;&gt;"Picked up",L959&lt;&gt;"Cancelled"),K959+ROW()/10000000,"")</f>
        <v/>
      </c>
      <c r="U959">
        <f>IF(OR(B959="",C959=""),"",B959+ROW()/10000000)</f>
        <v/>
      </c>
      <c r="V959">
        <f>IF(U959="","",IF(COUNTIFS(Orders!$C$6:$C$1005,C959,Orders!$U$6:$U$1005,"&gt;"&amp;U959)=0,1,0))</f>
        <v/>
      </c>
      <c r="W959">
        <f>IF(AND(B959&lt;&gt;"",K959&lt;&gt;"",L959&lt;&gt;"Sent",L959&lt;&gt;"Picked up",L959&lt;&gt;"Cancelled"),IF(N(E959)=0,1,E959),0)</f>
        <v/>
      </c>
      <c r="X959">
        <f>IF(OR(B959="",D959=""),"",IF(N(E959)=0,1,E959))</f>
        <v/>
      </c>
    </row>
    <row r="960">
      <c r="A960" s="1" t="n"/>
      <c r="B960" s="31" t="n"/>
      <c r="C960" s="32" t="n"/>
      <c r="D960" s="33" t="n"/>
      <c r="E960" s="34" t="n"/>
      <c r="F960" s="35" t="n"/>
      <c r="G960" s="35" t="n"/>
      <c r="H960" s="30">
        <f>IF(OR(B960="",D960=""),"",IF(N(E960)=0,1,E960)*IFERROR(INDEX(Products!$C$6:$C$105,MATCH(D960,Products!$B$6:$B$105,0)),0)+N(F960)+N(G960))</f>
        <v/>
      </c>
      <c r="I960" s="35" t="n"/>
      <c r="J960" s="30">
        <f>IF(OR(H960="",L960="Cancelled"),"",IF(H960-N(I960)&gt;0.005,H960-N(I960),""))</f>
        <v/>
      </c>
      <c r="K960" s="31" t="n"/>
      <c r="L960" s="36" t="n"/>
      <c r="M960" s="33" t="n"/>
      <c r="N960" s="22">
        <f>IF(OR(H960="",L960="Cancelled"),"",IF(N(E960)=0,1,E960)*IFERROR(INDEX(Products!$E$6:$E$105,MATCH(D960,Products!$B$6:$B$105,0)),0))</f>
        <v/>
      </c>
      <c r="O960" s="35" t="n"/>
      <c r="P960" s="22">
        <f>IF(OR(H960="",L960="Cancelled"),"",ROUND(IFERROR(H960*INDEX(Settings!$C$6:$C$15,MATCH(M960,Settings!$B$6:$B$15,0))+INDEX(Settings!$D$6:$D$15,MATCH(M960,Settings!$B$6:$B$15,0)),0),2))</f>
        <v/>
      </c>
      <c r="Q960" s="28">
        <f>IF(OR(H960="",L960="Cancelled"),"",H960-N(N960)-N(O960)-N(P960))</f>
        <v/>
      </c>
      <c r="R960" s="19">
        <f>IF(OR(B960="",K960=""),"",IF(OR(L960="Sent",L960="Picked up"),"Done",IF(L960="Cancelled","Cancelled",IF(K960&lt;TODAY(),"Late by "&amp;(TODAY()-K960)&amp;IF((TODAY()-K960)=1," day"," days"),IF(K960=TODAY(),"Due today","Due in "&amp;(K960-TODAY())&amp;IF((K960-TODAY())=1," day"," days"))))))</f>
        <v/>
      </c>
      <c r="S960" s="33" t="n"/>
      <c r="T960" s="1">
        <f>IF(AND(B960&lt;&gt;"",K960&lt;&gt;"",L960&lt;&gt;"Sent",L960&lt;&gt;"Picked up",L960&lt;&gt;"Cancelled"),K960+ROW()/10000000,"")</f>
        <v/>
      </c>
      <c r="U960">
        <f>IF(OR(B960="",C960=""),"",B960+ROW()/10000000)</f>
        <v/>
      </c>
      <c r="V960">
        <f>IF(U960="","",IF(COUNTIFS(Orders!$C$6:$C$1005,C960,Orders!$U$6:$U$1005,"&gt;"&amp;U960)=0,1,0))</f>
        <v/>
      </c>
      <c r="W960">
        <f>IF(AND(B960&lt;&gt;"",K960&lt;&gt;"",L960&lt;&gt;"Sent",L960&lt;&gt;"Picked up",L960&lt;&gt;"Cancelled"),IF(N(E960)=0,1,E960),0)</f>
        <v/>
      </c>
      <c r="X960">
        <f>IF(OR(B960="",D960=""),"",IF(N(E960)=0,1,E960))</f>
        <v/>
      </c>
    </row>
    <row r="961">
      <c r="A961" s="1" t="n"/>
      <c r="B961" s="31" t="n"/>
      <c r="C961" s="32" t="n"/>
      <c r="D961" s="33" t="n"/>
      <c r="E961" s="34" t="n"/>
      <c r="F961" s="35" t="n"/>
      <c r="G961" s="35" t="n"/>
      <c r="H961" s="30">
        <f>IF(OR(B961="",D961=""),"",IF(N(E961)=0,1,E961)*IFERROR(INDEX(Products!$C$6:$C$105,MATCH(D961,Products!$B$6:$B$105,0)),0)+N(F961)+N(G961))</f>
        <v/>
      </c>
      <c r="I961" s="35" t="n"/>
      <c r="J961" s="30">
        <f>IF(OR(H961="",L961="Cancelled"),"",IF(H961-N(I961)&gt;0.005,H961-N(I961),""))</f>
        <v/>
      </c>
      <c r="K961" s="31" t="n"/>
      <c r="L961" s="36" t="n"/>
      <c r="M961" s="33" t="n"/>
      <c r="N961" s="22">
        <f>IF(OR(H961="",L961="Cancelled"),"",IF(N(E961)=0,1,E961)*IFERROR(INDEX(Products!$E$6:$E$105,MATCH(D961,Products!$B$6:$B$105,0)),0))</f>
        <v/>
      </c>
      <c r="O961" s="35" t="n"/>
      <c r="P961" s="22">
        <f>IF(OR(H961="",L961="Cancelled"),"",ROUND(IFERROR(H961*INDEX(Settings!$C$6:$C$15,MATCH(M961,Settings!$B$6:$B$15,0))+INDEX(Settings!$D$6:$D$15,MATCH(M961,Settings!$B$6:$B$15,0)),0),2))</f>
        <v/>
      </c>
      <c r="Q961" s="28">
        <f>IF(OR(H961="",L961="Cancelled"),"",H961-N(N961)-N(O961)-N(P961))</f>
        <v/>
      </c>
      <c r="R961" s="19">
        <f>IF(OR(B961="",K961=""),"",IF(OR(L961="Sent",L961="Picked up"),"Done",IF(L961="Cancelled","Cancelled",IF(K961&lt;TODAY(),"Late by "&amp;(TODAY()-K961)&amp;IF((TODAY()-K961)=1," day"," days"),IF(K961=TODAY(),"Due today","Due in "&amp;(K961-TODAY())&amp;IF((K961-TODAY())=1," day"," days"))))))</f>
        <v/>
      </c>
      <c r="S961" s="33" t="n"/>
      <c r="T961" s="1">
        <f>IF(AND(B961&lt;&gt;"",K961&lt;&gt;"",L961&lt;&gt;"Sent",L961&lt;&gt;"Picked up",L961&lt;&gt;"Cancelled"),K961+ROW()/10000000,"")</f>
        <v/>
      </c>
      <c r="U961">
        <f>IF(OR(B961="",C961=""),"",B961+ROW()/10000000)</f>
        <v/>
      </c>
      <c r="V961">
        <f>IF(U961="","",IF(COUNTIFS(Orders!$C$6:$C$1005,C961,Orders!$U$6:$U$1005,"&gt;"&amp;U961)=0,1,0))</f>
        <v/>
      </c>
      <c r="W961">
        <f>IF(AND(B961&lt;&gt;"",K961&lt;&gt;"",L961&lt;&gt;"Sent",L961&lt;&gt;"Picked up",L961&lt;&gt;"Cancelled"),IF(N(E961)=0,1,E961),0)</f>
        <v/>
      </c>
      <c r="X961">
        <f>IF(OR(B961="",D961=""),"",IF(N(E961)=0,1,E961))</f>
        <v/>
      </c>
    </row>
    <row r="962">
      <c r="A962" s="1" t="n"/>
      <c r="B962" s="31" t="n"/>
      <c r="C962" s="32" t="n"/>
      <c r="D962" s="33" t="n"/>
      <c r="E962" s="34" t="n"/>
      <c r="F962" s="35" t="n"/>
      <c r="G962" s="35" t="n"/>
      <c r="H962" s="30">
        <f>IF(OR(B962="",D962=""),"",IF(N(E962)=0,1,E962)*IFERROR(INDEX(Products!$C$6:$C$105,MATCH(D962,Products!$B$6:$B$105,0)),0)+N(F962)+N(G962))</f>
        <v/>
      </c>
      <c r="I962" s="35" t="n"/>
      <c r="J962" s="30">
        <f>IF(OR(H962="",L962="Cancelled"),"",IF(H962-N(I962)&gt;0.005,H962-N(I962),""))</f>
        <v/>
      </c>
      <c r="K962" s="31" t="n"/>
      <c r="L962" s="36" t="n"/>
      <c r="M962" s="33" t="n"/>
      <c r="N962" s="22">
        <f>IF(OR(H962="",L962="Cancelled"),"",IF(N(E962)=0,1,E962)*IFERROR(INDEX(Products!$E$6:$E$105,MATCH(D962,Products!$B$6:$B$105,0)),0))</f>
        <v/>
      </c>
      <c r="O962" s="35" t="n"/>
      <c r="P962" s="22">
        <f>IF(OR(H962="",L962="Cancelled"),"",ROUND(IFERROR(H962*INDEX(Settings!$C$6:$C$15,MATCH(M962,Settings!$B$6:$B$15,0))+INDEX(Settings!$D$6:$D$15,MATCH(M962,Settings!$B$6:$B$15,0)),0),2))</f>
        <v/>
      </c>
      <c r="Q962" s="28">
        <f>IF(OR(H962="",L962="Cancelled"),"",H962-N(N962)-N(O962)-N(P962))</f>
        <v/>
      </c>
      <c r="R962" s="19">
        <f>IF(OR(B962="",K962=""),"",IF(OR(L962="Sent",L962="Picked up"),"Done",IF(L962="Cancelled","Cancelled",IF(K962&lt;TODAY(),"Late by "&amp;(TODAY()-K962)&amp;IF((TODAY()-K962)=1," day"," days"),IF(K962=TODAY(),"Due today","Due in "&amp;(K962-TODAY())&amp;IF((K962-TODAY())=1," day"," days"))))))</f>
        <v/>
      </c>
      <c r="S962" s="33" t="n"/>
      <c r="T962" s="1">
        <f>IF(AND(B962&lt;&gt;"",K962&lt;&gt;"",L962&lt;&gt;"Sent",L962&lt;&gt;"Picked up",L962&lt;&gt;"Cancelled"),K962+ROW()/10000000,"")</f>
        <v/>
      </c>
      <c r="U962">
        <f>IF(OR(B962="",C962=""),"",B962+ROW()/10000000)</f>
        <v/>
      </c>
      <c r="V962">
        <f>IF(U962="","",IF(COUNTIFS(Orders!$C$6:$C$1005,C962,Orders!$U$6:$U$1005,"&gt;"&amp;U962)=0,1,0))</f>
        <v/>
      </c>
      <c r="W962">
        <f>IF(AND(B962&lt;&gt;"",K962&lt;&gt;"",L962&lt;&gt;"Sent",L962&lt;&gt;"Picked up",L962&lt;&gt;"Cancelled"),IF(N(E962)=0,1,E962),0)</f>
        <v/>
      </c>
      <c r="X962">
        <f>IF(OR(B962="",D962=""),"",IF(N(E962)=0,1,E962))</f>
        <v/>
      </c>
    </row>
    <row r="963">
      <c r="A963" s="1" t="n"/>
      <c r="B963" s="31" t="n"/>
      <c r="C963" s="32" t="n"/>
      <c r="D963" s="33" t="n"/>
      <c r="E963" s="34" t="n"/>
      <c r="F963" s="35" t="n"/>
      <c r="G963" s="35" t="n"/>
      <c r="H963" s="30">
        <f>IF(OR(B963="",D963=""),"",IF(N(E963)=0,1,E963)*IFERROR(INDEX(Products!$C$6:$C$105,MATCH(D963,Products!$B$6:$B$105,0)),0)+N(F963)+N(G963))</f>
        <v/>
      </c>
      <c r="I963" s="35" t="n"/>
      <c r="J963" s="30">
        <f>IF(OR(H963="",L963="Cancelled"),"",IF(H963-N(I963)&gt;0.005,H963-N(I963),""))</f>
        <v/>
      </c>
      <c r="K963" s="31" t="n"/>
      <c r="L963" s="36" t="n"/>
      <c r="M963" s="33" t="n"/>
      <c r="N963" s="22">
        <f>IF(OR(H963="",L963="Cancelled"),"",IF(N(E963)=0,1,E963)*IFERROR(INDEX(Products!$E$6:$E$105,MATCH(D963,Products!$B$6:$B$105,0)),0))</f>
        <v/>
      </c>
      <c r="O963" s="35" t="n"/>
      <c r="P963" s="22">
        <f>IF(OR(H963="",L963="Cancelled"),"",ROUND(IFERROR(H963*INDEX(Settings!$C$6:$C$15,MATCH(M963,Settings!$B$6:$B$15,0))+INDEX(Settings!$D$6:$D$15,MATCH(M963,Settings!$B$6:$B$15,0)),0),2))</f>
        <v/>
      </c>
      <c r="Q963" s="28">
        <f>IF(OR(H963="",L963="Cancelled"),"",H963-N(N963)-N(O963)-N(P963))</f>
        <v/>
      </c>
      <c r="R963" s="19">
        <f>IF(OR(B963="",K963=""),"",IF(OR(L963="Sent",L963="Picked up"),"Done",IF(L963="Cancelled","Cancelled",IF(K963&lt;TODAY(),"Late by "&amp;(TODAY()-K963)&amp;IF((TODAY()-K963)=1," day"," days"),IF(K963=TODAY(),"Due today","Due in "&amp;(K963-TODAY())&amp;IF((K963-TODAY())=1," day"," days"))))))</f>
        <v/>
      </c>
      <c r="S963" s="33" t="n"/>
      <c r="T963" s="1">
        <f>IF(AND(B963&lt;&gt;"",K963&lt;&gt;"",L963&lt;&gt;"Sent",L963&lt;&gt;"Picked up",L963&lt;&gt;"Cancelled"),K963+ROW()/10000000,"")</f>
        <v/>
      </c>
      <c r="U963">
        <f>IF(OR(B963="",C963=""),"",B963+ROW()/10000000)</f>
        <v/>
      </c>
      <c r="V963">
        <f>IF(U963="","",IF(COUNTIFS(Orders!$C$6:$C$1005,C963,Orders!$U$6:$U$1005,"&gt;"&amp;U963)=0,1,0))</f>
        <v/>
      </c>
      <c r="W963">
        <f>IF(AND(B963&lt;&gt;"",K963&lt;&gt;"",L963&lt;&gt;"Sent",L963&lt;&gt;"Picked up",L963&lt;&gt;"Cancelled"),IF(N(E963)=0,1,E963),0)</f>
        <v/>
      </c>
      <c r="X963">
        <f>IF(OR(B963="",D963=""),"",IF(N(E963)=0,1,E963))</f>
        <v/>
      </c>
    </row>
    <row r="964">
      <c r="A964" s="1" t="n"/>
      <c r="B964" s="31" t="n"/>
      <c r="C964" s="32" t="n"/>
      <c r="D964" s="33" t="n"/>
      <c r="E964" s="34" t="n"/>
      <c r="F964" s="35" t="n"/>
      <c r="G964" s="35" t="n"/>
      <c r="H964" s="30">
        <f>IF(OR(B964="",D964=""),"",IF(N(E964)=0,1,E964)*IFERROR(INDEX(Products!$C$6:$C$105,MATCH(D964,Products!$B$6:$B$105,0)),0)+N(F964)+N(G964))</f>
        <v/>
      </c>
      <c r="I964" s="35" t="n"/>
      <c r="J964" s="30">
        <f>IF(OR(H964="",L964="Cancelled"),"",IF(H964-N(I964)&gt;0.005,H964-N(I964),""))</f>
        <v/>
      </c>
      <c r="K964" s="31" t="n"/>
      <c r="L964" s="36" t="n"/>
      <c r="M964" s="33" t="n"/>
      <c r="N964" s="22">
        <f>IF(OR(H964="",L964="Cancelled"),"",IF(N(E964)=0,1,E964)*IFERROR(INDEX(Products!$E$6:$E$105,MATCH(D964,Products!$B$6:$B$105,0)),0))</f>
        <v/>
      </c>
      <c r="O964" s="35" t="n"/>
      <c r="P964" s="22">
        <f>IF(OR(H964="",L964="Cancelled"),"",ROUND(IFERROR(H964*INDEX(Settings!$C$6:$C$15,MATCH(M964,Settings!$B$6:$B$15,0))+INDEX(Settings!$D$6:$D$15,MATCH(M964,Settings!$B$6:$B$15,0)),0),2))</f>
        <v/>
      </c>
      <c r="Q964" s="28">
        <f>IF(OR(H964="",L964="Cancelled"),"",H964-N(N964)-N(O964)-N(P964))</f>
        <v/>
      </c>
      <c r="R964" s="19">
        <f>IF(OR(B964="",K964=""),"",IF(OR(L964="Sent",L964="Picked up"),"Done",IF(L964="Cancelled","Cancelled",IF(K964&lt;TODAY(),"Late by "&amp;(TODAY()-K964)&amp;IF((TODAY()-K964)=1," day"," days"),IF(K964=TODAY(),"Due today","Due in "&amp;(K964-TODAY())&amp;IF((K964-TODAY())=1," day"," days"))))))</f>
        <v/>
      </c>
      <c r="S964" s="33" t="n"/>
      <c r="T964" s="1">
        <f>IF(AND(B964&lt;&gt;"",K964&lt;&gt;"",L964&lt;&gt;"Sent",L964&lt;&gt;"Picked up",L964&lt;&gt;"Cancelled"),K964+ROW()/10000000,"")</f>
        <v/>
      </c>
      <c r="U964">
        <f>IF(OR(B964="",C964=""),"",B964+ROW()/10000000)</f>
        <v/>
      </c>
      <c r="V964">
        <f>IF(U964="","",IF(COUNTIFS(Orders!$C$6:$C$1005,C964,Orders!$U$6:$U$1005,"&gt;"&amp;U964)=0,1,0))</f>
        <v/>
      </c>
      <c r="W964">
        <f>IF(AND(B964&lt;&gt;"",K964&lt;&gt;"",L964&lt;&gt;"Sent",L964&lt;&gt;"Picked up",L964&lt;&gt;"Cancelled"),IF(N(E964)=0,1,E964),0)</f>
        <v/>
      </c>
      <c r="X964">
        <f>IF(OR(B964="",D964=""),"",IF(N(E964)=0,1,E964))</f>
        <v/>
      </c>
    </row>
    <row r="965">
      <c r="A965" s="1" t="n"/>
      <c r="B965" s="31" t="n"/>
      <c r="C965" s="32" t="n"/>
      <c r="D965" s="33" t="n"/>
      <c r="E965" s="34" t="n"/>
      <c r="F965" s="35" t="n"/>
      <c r="G965" s="35" t="n"/>
      <c r="H965" s="30">
        <f>IF(OR(B965="",D965=""),"",IF(N(E965)=0,1,E965)*IFERROR(INDEX(Products!$C$6:$C$105,MATCH(D965,Products!$B$6:$B$105,0)),0)+N(F965)+N(G965))</f>
        <v/>
      </c>
      <c r="I965" s="35" t="n"/>
      <c r="J965" s="30">
        <f>IF(OR(H965="",L965="Cancelled"),"",IF(H965-N(I965)&gt;0.005,H965-N(I965),""))</f>
        <v/>
      </c>
      <c r="K965" s="31" t="n"/>
      <c r="L965" s="36" t="n"/>
      <c r="M965" s="33" t="n"/>
      <c r="N965" s="22">
        <f>IF(OR(H965="",L965="Cancelled"),"",IF(N(E965)=0,1,E965)*IFERROR(INDEX(Products!$E$6:$E$105,MATCH(D965,Products!$B$6:$B$105,0)),0))</f>
        <v/>
      </c>
      <c r="O965" s="35" t="n"/>
      <c r="P965" s="22">
        <f>IF(OR(H965="",L965="Cancelled"),"",ROUND(IFERROR(H965*INDEX(Settings!$C$6:$C$15,MATCH(M965,Settings!$B$6:$B$15,0))+INDEX(Settings!$D$6:$D$15,MATCH(M965,Settings!$B$6:$B$15,0)),0),2))</f>
        <v/>
      </c>
      <c r="Q965" s="28">
        <f>IF(OR(H965="",L965="Cancelled"),"",H965-N(N965)-N(O965)-N(P965))</f>
        <v/>
      </c>
      <c r="R965" s="19">
        <f>IF(OR(B965="",K965=""),"",IF(OR(L965="Sent",L965="Picked up"),"Done",IF(L965="Cancelled","Cancelled",IF(K965&lt;TODAY(),"Late by "&amp;(TODAY()-K965)&amp;IF((TODAY()-K965)=1," day"," days"),IF(K965=TODAY(),"Due today","Due in "&amp;(K965-TODAY())&amp;IF((K965-TODAY())=1," day"," days"))))))</f>
        <v/>
      </c>
      <c r="S965" s="33" t="n"/>
      <c r="T965" s="1">
        <f>IF(AND(B965&lt;&gt;"",K965&lt;&gt;"",L965&lt;&gt;"Sent",L965&lt;&gt;"Picked up",L965&lt;&gt;"Cancelled"),K965+ROW()/10000000,"")</f>
        <v/>
      </c>
      <c r="U965">
        <f>IF(OR(B965="",C965=""),"",B965+ROW()/10000000)</f>
        <v/>
      </c>
      <c r="V965">
        <f>IF(U965="","",IF(COUNTIFS(Orders!$C$6:$C$1005,C965,Orders!$U$6:$U$1005,"&gt;"&amp;U965)=0,1,0))</f>
        <v/>
      </c>
      <c r="W965">
        <f>IF(AND(B965&lt;&gt;"",K965&lt;&gt;"",L965&lt;&gt;"Sent",L965&lt;&gt;"Picked up",L965&lt;&gt;"Cancelled"),IF(N(E965)=0,1,E965),0)</f>
        <v/>
      </c>
      <c r="X965">
        <f>IF(OR(B965="",D965=""),"",IF(N(E965)=0,1,E965))</f>
        <v/>
      </c>
    </row>
    <row r="966">
      <c r="A966" s="1" t="n"/>
      <c r="B966" s="31" t="n"/>
      <c r="C966" s="32" t="n"/>
      <c r="D966" s="33" t="n"/>
      <c r="E966" s="34" t="n"/>
      <c r="F966" s="35" t="n"/>
      <c r="G966" s="35" t="n"/>
      <c r="H966" s="30">
        <f>IF(OR(B966="",D966=""),"",IF(N(E966)=0,1,E966)*IFERROR(INDEX(Products!$C$6:$C$105,MATCH(D966,Products!$B$6:$B$105,0)),0)+N(F966)+N(G966))</f>
        <v/>
      </c>
      <c r="I966" s="35" t="n"/>
      <c r="J966" s="30">
        <f>IF(OR(H966="",L966="Cancelled"),"",IF(H966-N(I966)&gt;0.005,H966-N(I966),""))</f>
        <v/>
      </c>
      <c r="K966" s="31" t="n"/>
      <c r="L966" s="36" t="n"/>
      <c r="M966" s="33" t="n"/>
      <c r="N966" s="22">
        <f>IF(OR(H966="",L966="Cancelled"),"",IF(N(E966)=0,1,E966)*IFERROR(INDEX(Products!$E$6:$E$105,MATCH(D966,Products!$B$6:$B$105,0)),0))</f>
        <v/>
      </c>
      <c r="O966" s="35" t="n"/>
      <c r="P966" s="22">
        <f>IF(OR(H966="",L966="Cancelled"),"",ROUND(IFERROR(H966*INDEX(Settings!$C$6:$C$15,MATCH(M966,Settings!$B$6:$B$15,0))+INDEX(Settings!$D$6:$D$15,MATCH(M966,Settings!$B$6:$B$15,0)),0),2))</f>
        <v/>
      </c>
      <c r="Q966" s="28">
        <f>IF(OR(H966="",L966="Cancelled"),"",H966-N(N966)-N(O966)-N(P966))</f>
        <v/>
      </c>
      <c r="R966" s="19">
        <f>IF(OR(B966="",K966=""),"",IF(OR(L966="Sent",L966="Picked up"),"Done",IF(L966="Cancelled","Cancelled",IF(K966&lt;TODAY(),"Late by "&amp;(TODAY()-K966)&amp;IF((TODAY()-K966)=1," day"," days"),IF(K966=TODAY(),"Due today","Due in "&amp;(K966-TODAY())&amp;IF((K966-TODAY())=1," day"," days"))))))</f>
        <v/>
      </c>
      <c r="S966" s="33" t="n"/>
      <c r="T966" s="1">
        <f>IF(AND(B966&lt;&gt;"",K966&lt;&gt;"",L966&lt;&gt;"Sent",L966&lt;&gt;"Picked up",L966&lt;&gt;"Cancelled"),K966+ROW()/10000000,"")</f>
        <v/>
      </c>
      <c r="U966">
        <f>IF(OR(B966="",C966=""),"",B966+ROW()/10000000)</f>
        <v/>
      </c>
      <c r="V966">
        <f>IF(U966="","",IF(COUNTIFS(Orders!$C$6:$C$1005,C966,Orders!$U$6:$U$1005,"&gt;"&amp;U966)=0,1,0))</f>
        <v/>
      </c>
      <c r="W966">
        <f>IF(AND(B966&lt;&gt;"",K966&lt;&gt;"",L966&lt;&gt;"Sent",L966&lt;&gt;"Picked up",L966&lt;&gt;"Cancelled"),IF(N(E966)=0,1,E966),0)</f>
        <v/>
      </c>
      <c r="X966">
        <f>IF(OR(B966="",D966=""),"",IF(N(E966)=0,1,E966))</f>
        <v/>
      </c>
    </row>
    <row r="967">
      <c r="A967" s="1" t="n"/>
      <c r="B967" s="31" t="n"/>
      <c r="C967" s="32" t="n"/>
      <c r="D967" s="33" t="n"/>
      <c r="E967" s="34" t="n"/>
      <c r="F967" s="35" t="n"/>
      <c r="G967" s="35" t="n"/>
      <c r="H967" s="30">
        <f>IF(OR(B967="",D967=""),"",IF(N(E967)=0,1,E967)*IFERROR(INDEX(Products!$C$6:$C$105,MATCH(D967,Products!$B$6:$B$105,0)),0)+N(F967)+N(G967))</f>
        <v/>
      </c>
      <c r="I967" s="35" t="n"/>
      <c r="J967" s="30">
        <f>IF(OR(H967="",L967="Cancelled"),"",IF(H967-N(I967)&gt;0.005,H967-N(I967),""))</f>
        <v/>
      </c>
      <c r="K967" s="31" t="n"/>
      <c r="L967" s="36" t="n"/>
      <c r="M967" s="33" t="n"/>
      <c r="N967" s="22">
        <f>IF(OR(H967="",L967="Cancelled"),"",IF(N(E967)=0,1,E967)*IFERROR(INDEX(Products!$E$6:$E$105,MATCH(D967,Products!$B$6:$B$105,0)),0))</f>
        <v/>
      </c>
      <c r="O967" s="35" t="n"/>
      <c r="P967" s="22">
        <f>IF(OR(H967="",L967="Cancelled"),"",ROUND(IFERROR(H967*INDEX(Settings!$C$6:$C$15,MATCH(M967,Settings!$B$6:$B$15,0))+INDEX(Settings!$D$6:$D$15,MATCH(M967,Settings!$B$6:$B$15,0)),0),2))</f>
        <v/>
      </c>
      <c r="Q967" s="28">
        <f>IF(OR(H967="",L967="Cancelled"),"",H967-N(N967)-N(O967)-N(P967))</f>
        <v/>
      </c>
      <c r="R967" s="19">
        <f>IF(OR(B967="",K967=""),"",IF(OR(L967="Sent",L967="Picked up"),"Done",IF(L967="Cancelled","Cancelled",IF(K967&lt;TODAY(),"Late by "&amp;(TODAY()-K967)&amp;IF((TODAY()-K967)=1," day"," days"),IF(K967=TODAY(),"Due today","Due in "&amp;(K967-TODAY())&amp;IF((K967-TODAY())=1," day"," days"))))))</f>
        <v/>
      </c>
      <c r="S967" s="33" t="n"/>
      <c r="T967" s="1">
        <f>IF(AND(B967&lt;&gt;"",K967&lt;&gt;"",L967&lt;&gt;"Sent",L967&lt;&gt;"Picked up",L967&lt;&gt;"Cancelled"),K967+ROW()/10000000,"")</f>
        <v/>
      </c>
      <c r="U967">
        <f>IF(OR(B967="",C967=""),"",B967+ROW()/10000000)</f>
        <v/>
      </c>
      <c r="V967">
        <f>IF(U967="","",IF(COUNTIFS(Orders!$C$6:$C$1005,C967,Orders!$U$6:$U$1005,"&gt;"&amp;U967)=0,1,0))</f>
        <v/>
      </c>
      <c r="W967">
        <f>IF(AND(B967&lt;&gt;"",K967&lt;&gt;"",L967&lt;&gt;"Sent",L967&lt;&gt;"Picked up",L967&lt;&gt;"Cancelled"),IF(N(E967)=0,1,E967),0)</f>
        <v/>
      </c>
      <c r="X967">
        <f>IF(OR(B967="",D967=""),"",IF(N(E967)=0,1,E967))</f>
        <v/>
      </c>
    </row>
    <row r="968">
      <c r="A968" s="1" t="n"/>
      <c r="B968" s="31" t="n"/>
      <c r="C968" s="32" t="n"/>
      <c r="D968" s="33" t="n"/>
      <c r="E968" s="34" t="n"/>
      <c r="F968" s="35" t="n"/>
      <c r="G968" s="35" t="n"/>
      <c r="H968" s="30">
        <f>IF(OR(B968="",D968=""),"",IF(N(E968)=0,1,E968)*IFERROR(INDEX(Products!$C$6:$C$105,MATCH(D968,Products!$B$6:$B$105,0)),0)+N(F968)+N(G968))</f>
        <v/>
      </c>
      <c r="I968" s="35" t="n"/>
      <c r="J968" s="30">
        <f>IF(OR(H968="",L968="Cancelled"),"",IF(H968-N(I968)&gt;0.005,H968-N(I968),""))</f>
        <v/>
      </c>
      <c r="K968" s="31" t="n"/>
      <c r="L968" s="36" t="n"/>
      <c r="M968" s="33" t="n"/>
      <c r="N968" s="22">
        <f>IF(OR(H968="",L968="Cancelled"),"",IF(N(E968)=0,1,E968)*IFERROR(INDEX(Products!$E$6:$E$105,MATCH(D968,Products!$B$6:$B$105,0)),0))</f>
        <v/>
      </c>
      <c r="O968" s="35" t="n"/>
      <c r="P968" s="22">
        <f>IF(OR(H968="",L968="Cancelled"),"",ROUND(IFERROR(H968*INDEX(Settings!$C$6:$C$15,MATCH(M968,Settings!$B$6:$B$15,0))+INDEX(Settings!$D$6:$D$15,MATCH(M968,Settings!$B$6:$B$15,0)),0),2))</f>
        <v/>
      </c>
      <c r="Q968" s="28">
        <f>IF(OR(H968="",L968="Cancelled"),"",H968-N(N968)-N(O968)-N(P968))</f>
        <v/>
      </c>
      <c r="R968" s="19">
        <f>IF(OR(B968="",K968=""),"",IF(OR(L968="Sent",L968="Picked up"),"Done",IF(L968="Cancelled","Cancelled",IF(K968&lt;TODAY(),"Late by "&amp;(TODAY()-K968)&amp;IF((TODAY()-K968)=1," day"," days"),IF(K968=TODAY(),"Due today","Due in "&amp;(K968-TODAY())&amp;IF((K968-TODAY())=1," day"," days"))))))</f>
        <v/>
      </c>
      <c r="S968" s="33" t="n"/>
      <c r="T968" s="1">
        <f>IF(AND(B968&lt;&gt;"",K968&lt;&gt;"",L968&lt;&gt;"Sent",L968&lt;&gt;"Picked up",L968&lt;&gt;"Cancelled"),K968+ROW()/10000000,"")</f>
        <v/>
      </c>
      <c r="U968">
        <f>IF(OR(B968="",C968=""),"",B968+ROW()/10000000)</f>
        <v/>
      </c>
      <c r="V968">
        <f>IF(U968="","",IF(COUNTIFS(Orders!$C$6:$C$1005,C968,Orders!$U$6:$U$1005,"&gt;"&amp;U968)=0,1,0))</f>
        <v/>
      </c>
      <c r="W968">
        <f>IF(AND(B968&lt;&gt;"",K968&lt;&gt;"",L968&lt;&gt;"Sent",L968&lt;&gt;"Picked up",L968&lt;&gt;"Cancelled"),IF(N(E968)=0,1,E968),0)</f>
        <v/>
      </c>
      <c r="X968">
        <f>IF(OR(B968="",D968=""),"",IF(N(E968)=0,1,E968))</f>
        <v/>
      </c>
    </row>
    <row r="969">
      <c r="A969" s="1" t="n"/>
      <c r="B969" s="31" t="n"/>
      <c r="C969" s="32" t="n"/>
      <c r="D969" s="33" t="n"/>
      <c r="E969" s="34" t="n"/>
      <c r="F969" s="35" t="n"/>
      <c r="G969" s="35" t="n"/>
      <c r="H969" s="30">
        <f>IF(OR(B969="",D969=""),"",IF(N(E969)=0,1,E969)*IFERROR(INDEX(Products!$C$6:$C$105,MATCH(D969,Products!$B$6:$B$105,0)),0)+N(F969)+N(G969))</f>
        <v/>
      </c>
      <c r="I969" s="35" t="n"/>
      <c r="J969" s="30">
        <f>IF(OR(H969="",L969="Cancelled"),"",IF(H969-N(I969)&gt;0.005,H969-N(I969),""))</f>
        <v/>
      </c>
      <c r="K969" s="31" t="n"/>
      <c r="L969" s="36" t="n"/>
      <c r="M969" s="33" t="n"/>
      <c r="N969" s="22">
        <f>IF(OR(H969="",L969="Cancelled"),"",IF(N(E969)=0,1,E969)*IFERROR(INDEX(Products!$E$6:$E$105,MATCH(D969,Products!$B$6:$B$105,0)),0))</f>
        <v/>
      </c>
      <c r="O969" s="35" t="n"/>
      <c r="P969" s="22">
        <f>IF(OR(H969="",L969="Cancelled"),"",ROUND(IFERROR(H969*INDEX(Settings!$C$6:$C$15,MATCH(M969,Settings!$B$6:$B$15,0))+INDEX(Settings!$D$6:$D$15,MATCH(M969,Settings!$B$6:$B$15,0)),0),2))</f>
        <v/>
      </c>
      <c r="Q969" s="28">
        <f>IF(OR(H969="",L969="Cancelled"),"",H969-N(N969)-N(O969)-N(P969))</f>
        <v/>
      </c>
      <c r="R969" s="19">
        <f>IF(OR(B969="",K969=""),"",IF(OR(L969="Sent",L969="Picked up"),"Done",IF(L969="Cancelled","Cancelled",IF(K969&lt;TODAY(),"Late by "&amp;(TODAY()-K969)&amp;IF((TODAY()-K969)=1," day"," days"),IF(K969=TODAY(),"Due today","Due in "&amp;(K969-TODAY())&amp;IF((K969-TODAY())=1," day"," days"))))))</f>
        <v/>
      </c>
      <c r="S969" s="33" t="n"/>
      <c r="T969" s="1">
        <f>IF(AND(B969&lt;&gt;"",K969&lt;&gt;"",L969&lt;&gt;"Sent",L969&lt;&gt;"Picked up",L969&lt;&gt;"Cancelled"),K969+ROW()/10000000,"")</f>
        <v/>
      </c>
      <c r="U969">
        <f>IF(OR(B969="",C969=""),"",B969+ROW()/10000000)</f>
        <v/>
      </c>
      <c r="V969">
        <f>IF(U969="","",IF(COUNTIFS(Orders!$C$6:$C$1005,C969,Orders!$U$6:$U$1005,"&gt;"&amp;U969)=0,1,0))</f>
        <v/>
      </c>
      <c r="W969">
        <f>IF(AND(B969&lt;&gt;"",K969&lt;&gt;"",L969&lt;&gt;"Sent",L969&lt;&gt;"Picked up",L969&lt;&gt;"Cancelled"),IF(N(E969)=0,1,E969),0)</f>
        <v/>
      </c>
      <c r="X969">
        <f>IF(OR(B969="",D969=""),"",IF(N(E969)=0,1,E969))</f>
        <v/>
      </c>
    </row>
    <row r="970">
      <c r="A970" s="1" t="n"/>
      <c r="B970" s="31" t="n"/>
      <c r="C970" s="32" t="n"/>
      <c r="D970" s="33" t="n"/>
      <c r="E970" s="34" t="n"/>
      <c r="F970" s="35" t="n"/>
      <c r="G970" s="35" t="n"/>
      <c r="H970" s="30">
        <f>IF(OR(B970="",D970=""),"",IF(N(E970)=0,1,E970)*IFERROR(INDEX(Products!$C$6:$C$105,MATCH(D970,Products!$B$6:$B$105,0)),0)+N(F970)+N(G970))</f>
        <v/>
      </c>
      <c r="I970" s="35" t="n"/>
      <c r="J970" s="30">
        <f>IF(OR(H970="",L970="Cancelled"),"",IF(H970-N(I970)&gt;0.005,H970-N(I970),""))</f>
        <v/>
      </c>
      <c r="K970" s="31" t="n"/>
      <c r="L970" s="36" t="n"/>
      <c r="M970" s="33" t="n"/>
      <c r="N970" s="22">
        <f>IF(OR(H970="",L970="Cancelled"),"",IF(N(E970)=0,1,E970)*IFERROR(INDEX(Products!$E$6:$E$105,MATCH(D970,Products!$B$6:$B$105,0)),0))</f>
        <v/>
      </c>
      <c r="O970" s="35" t="n"/>
      <c r="P970" s="22">
        <f>IF(OR(H970="",L970="Cancelled"),"",ROUND(IFERROR(H970*INDEX(Settings!$C$6:$C$15,MATCH(M970,Settings!$B$6:$B$15,0))+INDEX(Settings!$D$6:$D$15,MATCH(M970,Settings!$B$6:$B$15,0)),0),2))</f>
        <v/>
      </c>
      <c r="Q970" s="28">
        <f>IF(OR(H970="",L970="Cancelled"),"",H970-N(N970)-N(O970)-N(P970))</f>
        <v/>
      </c>
      <c r="R970" s="19">
        <f>IF(OR(B970="",K970=""),"",IF(OR(L970="Sent",L970="Picked up"),"Done",IF(L970="Cancelled","Cancelled",IF(K970&lt;TODAY(),"Late by "&amp;(TODAY()-K970)&amp;IF((TODAY()-K970)=1," day"," days"),IF(K970=TODAY(),"Due today","Due in "&amp;(K970-TODAY())&amp;IF((K970-TODAY())=1," day"," days"))))))</f>
        <v/>
      </c>
      <c r="S970" s="33" t="n"/>
      <c r="T970" s="1">
        <f>IF(AND(B970&lt;&gt;"",K970&lt;&gt;"",L970&lt;&gt;"Sent",L970&lt;&gt;"Picked up",L970&lt;&gt;"Cancelled"),K970+ROW()/10000000,"")</f>
        <v/>
      </c>
      <c r="U970">
        <f>IF(OR(B970="",C970=""),"",B970+ROW()/10000000)</f>
        <v/>
      </c>
      <c r="V970">
        <f>IF(U970="","",IF(COUNTIFS(Orders!$C$6:$C$1005,C970,Orders!$U$6:$U$1005,"&gt;"&amp;U970)=0,1,0))</f>
        <v/>
      </c>
      <c r="W970">
        <f>IF(AND(B970&lt;&gt;"",K970&lt;&gt;"",L970&lt;&gt;"Sent",L970&lt;&gt;"Picked up",L970&lt;&gt;"Cancelled"),IF(N(E970)=0,1,E970),0)</f>
        <v/>
      </c>
      <c r="X970">
        <f>IF(OR(B970="",D970=""),"",IF(N(E970)=0,1,E970))</f>
        <v/>
      </c>
    </row>
    <row r="971">
      <c r="A971" s="1" t="n"/>
      <c r="B971" s="31" t="n"/>
      <c r="C971" s="32" t="n"/>
      <c r="D971" s="33" t="n"/>
      <c r="E971" s="34" t="n"/>
      <c r="F971" s="35" t="n"/>
      <c r="G971" s="35" t="n"/>
      <c r="H971" s="30">
        <f>IF(OR(B971="",D971=""),"",IF(N(E971)=0,1,E971)*IFERROR(INDEX(Products!$C$6:$C$105,MATCH(D971,Products!$B$6:$B$105,0)),0)+N(F971)+N(G971))</f>
        <v/>
      </c>
      <c r="I971" s="35" t="n"/>
      <c r="J971" s="30">
        <f>IF(OR(H971="",L971="Cancelled"),"",IF(H971-N(I971)&gt;0.005,H971-N(I971),""))</f>
        <v/>
      </c>
      <c r="K971" s="31" t="n"/>
      <c r="L971" s="36" t="n"/>
      <c r="M971" s="33" t="n"/>
      <c r="N971" s="22">
        <f>IF(OR(H971="",L971="Cancelled"),"",IF(N(E971)=0,1,E971)*IFERROR(INDEX(Products!$E$6:$E$105,MATCH(D971,Products!$B$6:$B$105,0)),0))</f>
        <v/>
      </c>
      <c r="O971" s="35" t="n"/>
      <c r="P971" s="22">
        <f>IF(OR(H971="",L971="Cancelled"),"",ROUND(IFERROR(H971*INDEX(Settings!$C$6:$C$15,MATCH(M971,Settings!$B$6:$B$15,0))+INDEX(Settings!$D$6:$D$15,MATCH(M971,Settings!$B$6:$B$15,0)),0),2))</f>
        <v/>
      </c>
      <c r="Q971" s="28">
        <f>IF(OR(H971="",L971="Cancelled"),"",H971-N(N971)-N(O971)-N(P971))</f>
        <v/>
      </c>
      <c r="R971" s="19">
        <f>IF(OR(B971="",K971=""),"",IF(OR(L971="Sent",L971="Picked up"),"Done",IF(L971="Cancelled","Cancelled",IF(K971&lt;TODAY(),"Late by "&amp;(TODAY()-K971)&amp;IF((TODAY()-K971)=1," day"," days"),IF(K971=TODAY(),"Due today","Due in "&amp;(K971-TODAY())&amp;IF((K971-TODAY())=1," day"," days"))))))</f>
        <v/>
      </c>
      <c r="S971" s="33" t="n"/>
      <c r="T971" s="1">
        <f>IF(AND(B971&lt;&gt;"",K971&lt;&gt;"",L971&lt;&gt;"Sent",L971&lt;&gt;"Picked up",L971&lt;&gt;"Cancelled"),K971+ROW()/10000000,"")</f>
        <v/>
      </c>
      <c r="U971">
        <f>IF(OR(B971="",C971=""),"",B971+ROW()/10000000)</f>
        <v/>
      </c>
      <c r="V971">
        <f>IF(U971="","",IF(COUNTIFS(Orders!$C$6:$C$1005,C971,Orders!$U$6:$U$1005,"&gt;"&amp;U971)=0,1,0))</f>
        <v/>
      </c>
      <c r="W971">
        <f>IF(AND(B971&lt;&gt;"",K971&lt;&gt;"",L971&lt;&gt;"Sent",L971&lt;&gt;"Picked up",L971&lt;&gt;"Cancelled"),IF(N(E971)=0,1,E971),0)</f>
        <v/>
      </c>
      <c r="X971">
        <f>IF(OR(B971="",D971=""),"",IF(N(E971)=0,1,E971))</f>
        <v/>
      </c>
    </row>
    <row r="972">
      <c r="A972" s="1" t="n"/>
      <c r="B972" s="31" t="n"/>
      <c r="C972" s="32" t="n"/>
      <c r="D972" s="33" t="n"/>
      <c r="E972" s="34" t="n"/>
      <c r="F972" s="35" t="n"/>
      <c r="G972" s="35" t="n"/>
      <c r="H972" s="30">
        <f>IF(OR(B972="",D972=""),"",IF(N(E972)=0,1,E972)*IFERROR(INDEX(Products!$C$6:$C$105,MATCH(D972,Products!$B$6:$B$105,0)),0)+N(F972)+N(G972))</f>
        <v/>
      </c>
      <c r="I972" s="35" t="n"/>
      <c r="J972" s="30">
        <f>IF(OR(H972="",L972="Cancelled"),"",IF(H972-N(I972)&gt;0.005,H972-N(I972),""))</f>
        <v/>
      </c>
      <c r="K972" s="31" t="n"/>
      <c r="L972" s="36" t="n"/>
      <c r="M972" s="33" t="n"/>
      <c r="N972" s="22">
        <f>IF(OR(H972="",L972="Cancelled"),"",IF(N(E972)=0,1,E972)*IFERROR(INDEX(Products!$E$6:$E$105,MATCH(D972,Products!$B$6:$B$105,0)),0))</f>
        <v/>
      </c>
      <c r="O972" s="35" t="n"/>
      <c r="P972" s="22">
        <f>IF(OR(H972="",L972="Cancelled"),"",ROUND(IFERROR(H972*INDEX(Settings!$C$6:$C$15,MATCH(M972,Settings!$B$6:$B$15,0))+INDEX(Settings!$D$6:$D$15,MATCH(M972,Settings!$B$6:$B$15,0)),0),2))</f>
        <v/>
      </c>
      <c r="Q972" s="28">
        <f>IF(OR(H972="",L972="Cancelled"),"",H972-N(N972)-N(O972)-N(P972))</f>
        <v/>
      </c>
      <c r="R972" s="19">
        <f>IF(OR(B972="",K972=""),"",IF(OR(L972="Sent",L972="Picked up"),"Done",IF(L972="Cancelled","Cancelled",IF(K972&lt;TODAY(),"Late by "&amp;(TODAY()-K972)&amp;IF((TODAY()-K972)=1," day"," days"),IF(K972=TODAY(),"Due today","Due in "&amp;(K972-TODAY())&amp;IF((K972-TODAY())=1," day"," days"))))))</f>
        <v/>
      </c>
      <c r="S972" s="33" t="n"/>
      <c r="T972" s="1">
        <f>IF(AND(B972&lt;&gt;"",K972&lt;&gt;"",L972&lt;&gt;"Sent",L972&lt;&gt;"Picked up",L972&lt;&gt;"Cancelled"),K972+ROW()/10000000,"")</f>
        <v/>
      </c>
      <c r="U972">
        <f>IF(OR(B972="",C972=""),"",B972+ROW()/10000000)</f>
        <v/>
      </c>
      <c r="V972">
        <f>IF(U972="","",IF(COUNTIFS(Orders!$C$6:$C$1005,C972,Orders!$U$6:$U$1005,"&gt;"&amp;U972)=0,1,0))</f>
        <v/>
      </c>
      <c r="W972">
        <f>IF(AND(B972&lt;&gt;"",K972&lt;&gt;"",L972&lt;&gt;"Sent",L972&lt;&gt;"Picked up",L972&lt;&gt;"Cancelled"),IF(N(E972)=0,1,E972),0)</f>
        <v/>
      </c>
      <c r="X972">
        <f>IF(OR(B972="",D972=""),"",IF(N(E972)=0,1,E972))</f>
        <v/>
      </c>
    </row>
    <row r="973">
      <c r="A973" s="1" t="n"/>
      <c r="B973" s="31" t="n"/>
      <c r="C973" s="32" t="n"/>
      <c r="D973" s="33" t="n"/>
      <c r="E973" s="34" t="n"/>
      <c r="F973" s="35" t="n"/>
      <c r="G973" s="35" t="n"/>
      <c r="H973" s="30">
        <f>IF(OR(B973="",D973=""),"",IF(N(E973)=0,1,E973)*IFERROR(INDEX(Products!$C$6:$C$105,MATCH(D973,Products!$B$6:$B$105,0)),0)+N(F973)+N(G973))</f>
        <v/>
      </c>
      <c r="I973" s="35" t="n"/>
      <c r="J973" s="30">
        <f>IF(OR(H973="",L973="Cancelled"),"",IF(H973-N(I973)&gt;0.005,H973-N(I973),""))</f>
        <v/>
      </c>
      <c r="K973" s="31" t="n"/>
      <c r="L973" s="36" t="n"/>
      <c r="M973" s="33" t="n"/>
      <c r="N973" s="22">
        <f>IF(OR(H973="",L973="Cancelled"),"",IF(N(E973)=0,1,E973)*IFERROR(INDEX(Products!$E$6:$E$105,MATCH(D973,Products!$B$6:$B$105,0)),0))</f>
        <v/>
      </c>
      <c r="O973" s="35" t="n"/>
      <c r="P973" s="22">
        <f>IF(OR(H973="",L973="Cancelled"),"",ROUND(IFERROR(H973*INDEX(Settings!$C$6:$C$15,MATCH(M973,Settings!$B$6:$B$15,0))+INDEX(Settings!$D$6:$D$15,MATCH(M973,Settings!$B$6:$B$15,0)),0),2))</f>
        <v/>
      </c>
      <c r="Q973" s="28">
        <f>IF(OR(H973="",L973="Cancelled"),"",H973-N(N973)-N(O973)-N(P973))</f>
        <v/>
      </c>
      <c r="R973" s="19">
        <f>IF(OR(B973="",K973=""),"",IF(OR(L973="Sent",L973="Picked up"),"Done",IF(L973="Cancelled","Cancelled",IF(K973&lt;TODAY(),"Late by "&amp;(TODAY()-K973)&amp;IF((TODAY()-K973)=1," day"," days"),IF(K973=TODAY(),"Due today","Due in "&amp;(K973-TODAY())&amp;IF((K973-TODAY())=1," day"," days"))))))</f>
        <v/>
      </c>
      <c r="S973" s="33" t="n"/>
      <c r="T973" s="1">
        <f>IF(AND(B973&lt;&gt;"",K973&lt;&gt;"",L973&lt;&gt;"Sent",L973&lt;&gt;"Picked up",L973&lt;&gt;"Cancelled"),K973+ROW()/10000000,"")</f>
        <v/>
      </c>
      <c r="U973">
        <f>IF(OR(B973="",C973=""),"",B973+ROW()/10000000)</f>
        <v/>
      </c>
      <c r="V973">
        <f>IF(U973="","",IF(COUNTIFS(Orders!$C$6:$C$1005,C973,Orders!$U$6:$U$1005,"&gt;"&amp;U973)=0,1,0))</f>
        <v/>
      </c>
      <c r="W973">
        <f>IF(AND(B973&lt;&gt;"",K973&lt;&gt;"",L973&lt;&gt;"Sent",L973&lt;&gt;"Picked up",L973&lt;&gt;"Cancelled"),IF(N(E973)=0,1,E973),0)</f>
        <v/>
      </c>
      <c r="X973">
        <f>IF(OR(B973="",D973=""),"",IF(N(E973)=0,1,E973))</f>
        <v/>
      </c>
    </row>
    <row r="974">
      <c r="A974" s="1" t="n"/>
      <c r="B974" s="31" t="n"/>
      <c r="C974" s="32" t="n"/>
      <c r="D974" s="33" t="n"/>
      <c r="E974" s="34" t="n"/>
      <c r="F974" s="35" t="n"/>
      <c r="G974" s="35" t="n"/>
      <c r="H974" s="30">
        <f>IF(OR(B974="",D974=""),"",IF(N(E974)=0,1,E974)*IFERROR(INDEX(Products!$C$6:$C$105,MATCH(D974,Products!$B$6:$B$105,0)),0)+N(F974)+N(G974))</f>
        <v/>
      </c>
      <c r="I974" s="35" t="n"/>
      <c r="J974" s="30">
        <f>IF(OR(H974="",L974="Cancelled"),"",IF(H974-N(I974)&gt;0.005,H974-N(I974),""))</f>
        <v/>
      </c>
      <c r="K974" s="31" t="n"/>
      <c r="L974" s="36" t="n"/>
      <c r="M974" s="33" t="n"/>
      <c r="N974" s="22">
        <f>IF(OR(H974="",L974="Cancelled"),"",IF(N(E974)=0,1,E974)*IFERROR(INDEX(Products!$E$6:$E$105,MATCH(D974,Products!$B$6:$B$105,0)),0))</f>
        <v/>
      </c>
      <c r="O974" s="35" t="n"/>
      <c r="P974" s="22">
        <f>IF(OR(H974="",L974="Cancelled"),"",ROUND(IFERROR(H974*INDEX(Settings!$C$6:$C$15,MATCH(M974,Settings!$B$6:$B$15,0))+INDEX(Settings!$D$6:$D$15,MATCH(M974,Settings!$B$6:$B$15,0)),0),2))</f>
        <v/>
      </c>
      <c r="Q974" s="28">
        <f>IF(OR(H974="",L974="Cancelled"),"",H974-N(N974)-N(O974)-N(P974))</f>
        <v/>
      </c>
      <c r="R974" s="19">
        <f>IF(OR(B974="",K974=""),"",IF(OR(L974="Sent",L974="Picked up"),"Done",IF(L974="Cancelled","Cancelled",IF(K974&lt;TODAY(),"Late by "&amp;(TODAY()-K974)&amp;IF((TODAY()-K974)=1," day"," days"),IF(K974=TODAY(),"Due today","Due in "&amp;(K974-TODAY())&amp;IF((K974-TODAY())=1," day"," days"))))))</f>
        <v/>
      </c>
      <c r="S974" s="33" t="n"/>
      <c r="T974" s="1">
        <f>IF(AND(B974&lt;&gt;"",K974&lt;&gt;"",L974&lt;&gt;"Sent",L974&lt;&gt;"Picked up",L974&lt;&gt;"Cancelled"),K974+ROW()/10000000,"")</f>
        <v/>
      </c>
      <c r="U974">
        <f>IF(OR(B974="",C974=""),"",B974+ROW()/10000000)</f>
        <v/>
      </c>
      <c r="V974">
        <f>IF(U974="","",IF(COUNTIFS(Orders!$C$6:$C$1005,C974,Orders!$U$6:$U$1005,"&gt;"&amp;U974)=0,1,0))</f>
        <v/>
      </c>
      <c r="W974">
        <f>IF(AND(B974&lt;&gt;"",K974&lt;&gt;"",L974&lt;&gt;"Sent",L974&lt;&gt;"Picked up",L974&lt;&gt;"Cancelled"),IF(N(E974)=0,1,E974),0)</f>
        <v/>
      </c>
      <c r="X974">
        <f>IF(OR(B974="",D974=""),"",IF(N(E974)=0,1,E974))</f>
        <v/>
      </c>
    </row>
    <row r="975">
      <c r="A975" s="1" t="n"/>
      <c r="B975" s="31" t="n"/>
      <c r="C975" s="32" t="n"/>
      <c r="D975" s="33" t="n"/>
      <c r="E975" s="34" t="n"/>
      <c r="F975" s="35" t="n"/>
      <c r="G975" s="35" t="n"/>
      <c r="H975" s="30">
        <f>IF(OR(B975="",D975=""),"",IF(N(E975)=0,1,E975)*IFERROR(INDEX(Products!$C$6:$C$105,MATCH(D975,Products!$B$6:$B$105,0)),0)+N(F975)+N(G975))</f>
        <v/>
      </c>
      <c r="I975" s="35" t="n"/>
      <c r="J975" s="30">
        <f>IF(OR(H975="",L975="Cancelled"),"",IF(H975-N(I975)&gt;0.005,H975-N(I975),""))</f>
        <v/>
      </c>
      <c r="K975" s="31" t="n"/>
      <c r="L975" s="36" t="n"/>
      <c r="M975" s="33" t="n"/>
      <c r="N975" s="22">
        <f>IF(OR(H975="",L975="Cancelled"),"",IF(N(E975)=0,1,E975)*IFERROR(INDEX(Products!$E$6:$E$105,MATCH(D975,Products!$B$6:$B$105,0)),0))</f>
        <v/>
      </c>
      <c r="O975" s="35" t="n"/>
      <c r="P975" s="22">
        <f>IF(OR(H975="",L975="Cancelled"),"",ROUND(IFERROR(H975*INDEX(Settings!$C$6:$C$15,MATCH(M975,Settings!$B$6:$B$15,0))+INDEX(Settings!$D$6:$D$15,MATCH(M975,Settings!$B$6:$B$15,0)),0),2))</f>
        <v/>
      </c>
      <c r="Q975" s="28">
        <f>IF(OR(H975="",L975="Cancelled"),"",H975-N(N975)-N(O975)-N(P975))</f>
        <v/>
      </c>
      <c r="R975" s="19">
        <f>IF(OR(B975="",K975=""),"",IF(OR(L975="Sent",L975="Picked up"),"Done",IF(L975="Cancelled","Cancelled",IF(K975&lt;TODAY(),"Late by "&amp;(TODAY()-K975)&amp;IF((TODAY()-K975)=1," day"," days"),IF(K975=TODAY(),"Due today","Due in "&amp;(K975-TODAY())&amp;IF((K975-TODAY())=1," day"," days"))))))</f>
        <v/>
      </c>
      <c r="S975" s="33" t="n"/>
      <c r="T975" s="1">
        <f>IF(AND(B975&lt;&gt;"",K975&lt;&gt;"",L975&lt;&gt;"Sent",L975&lt;&gt;"Picked up",L975&lt;&gt;"Cancelled"),K975+ROW()/10000000,"")</f>
        <v/>
      </c>
      <c r="U975">
        <f>IF(OR(B975="",C975=""),"",B975+ROW()/10000000)</f>
        <v/>
      </c>
      <c r="V975">
        <f>IF(U975="","",IF(COUNTIFS(Orders!$C$6:$C$1005,C975,Orders!$U$6:$U$1005,"&gt;"&amp;U975)=0,1,0))</f>
        <v/>
      </c>
      <c r="W975">
        <f>IF(AND(B975&lt;&gt;"",K975&lt;&gt;"",L975&lt;&gt;"Sent",L975&lt;&gt;"Picked up",L975&lt;&gt;"Cancelled"),IF(N(E975)=0,1,E975),0)</f>
        <v/>
      </c>
      <c r="X975">
        <f>IF(OR(B975="",D975=""),"",IF(N(E975)=0,1,E975))</f>
        <v/>
      </c>
    </row>
    <row r="976">
      <c r="A976" s="1" t="n"/>
      <c r="B976" s="31" t="n"/>
      <c r="C976" s="32" t="n"/>
      <c r="D976" s="33" t="n"/>
      <c r="E976" s="34" t="n"/>
      <c r="F976" s="35" t="n"/>
      <c r="G976" s="35" t="n"/>
      <c r="H976" s="30">
        <f>IF(OR(B976="",D976=""),"",IF(N(E976)=0,1,E976)*IFERROR(INDEX(Products!$C$6:$C$105,MATCH(D976,Products!$B$6:$B$105,0)),0)+N(F976)+N(G976))</f>
        <v/>
      </c>
      <c r="I976" s="35" t="n"/>
      <c r="J976" s="30">
        <f>IF(OR(H976="",L976="Cancelled"),"",IF(H976-N(I976)&gt;0.005,H976-N(I976),""))</f>
        <v/>
      </c>
      <c r="K976" s="31" t="n"/>
      <c r="L976" s="36" t="n"/>
      <c r="M976" s="33" t="n"/>
      <c r="N976" s="22">
        <f>IF(OR(H976="",L976="Cancelled"),"",IF(N(E976)=0,1,E976)*IFERROR(INDEX(Products!$E$6:$E$105,MATCH(D976,Products!$B$6:$B$105,0)),0))</f>
        <v/>
      </c>
      <c r="O976" s="35" t="n"/>
      <c r="P976" s="22">
        <f>IF(OR(H976="",L976="Cancelled"),"",ROUND(IFERROR(H976*INDEX(Settings!$C$6:$C$15,MATCH(M976,Settings!$B$6:$B$15,0))+INDEX(Settings!$D$6:$D$15,MATCH(M976,Settings!$B$6:$B$15,0)),0),2))</f>
        <v/>
      </c>
      <c r="Q976" s="28">
        <f>IF(OR(H976="",L976="Cancelled"),"",H976-N(N976)-N(O976)-N(P976))</f>
        <v/>
      </c>
      <c r="R976" s="19">
        <f>IF(OR(B976="",K976=""),"",IF(OR(L976="Sent",L976="Picked up"),"Done",IF(L976="Cancelled","Cancelled",IF(K976&lt;TODAY(),"Late by "&amp;(TODAY()-K976)&amp;IF((TODAY()-K976)=1," day"," days"),IF(K976=TODAY(),"Due today","Due in "&amp;(K976-TODAY())&amp;IF((K976-TODAY())=1," day"," days"))))))</f>
        <v/>
      </c>
      <c r="S976" s="33" t="n"/>
      <c r="T976" s="1">
        <f>IF(AND(B976&lt;&gt;"",K976&lt;&gt;"",L976&lt;&gt;"Sent",L976&lt;&gt;"Picked up",L976&lt;&gt;"Cancelled"),K976+ROW()/10000000,"")</f>
        <v/>
      </c>
      <c r="U976">
        <f>IF(OR(B976="",C976=""),"",B976+ROW()/10000000)</f>
        <v/>
      </c>
      <c r="V976">
        <f>IF(U976="","",IF(COUNTIFS(Orders!$C$6:$C$1005,C976,Orders!$U$6:$U$1005,"&gt;"&amp;U976)=0,1,0))</f>
        <v/>
      </c>
      <c r="W976">
        <f>IF(AND(B976&lt;&gt;"",K976&lt;&gt;"",L976&lt;&gt;"Sent",L976&lt;&gt;"Picked up",L976&lt;&gt;"Cancelled"),IF(N(E976)=0,1,E976),0)</f>
        <v/>
      </c>
      <c r="X976">
        <f>IF(OR(B976="",D976=""),"",IF(N(E976)=0,1,E976))</f>
        <v/>
      </c>
    </row>
    <row r="977">
      <c r="A977" s="1" t="n"/>
      <c r="B977" s="31" t="n"/>
      <c r="C977" s="32" t="n"/>
      <c r="D977" s="33" t="n"/>
      <c r="E977" s="34" t="n"/>
      <c r="F977" s="35" t="n"/>
      <c r="G977" s="35" t="n"/>
      <c r="H977" s="30">
        <f>IF(OR(B977="",D977=""),"",IF(N(E977)=0,1,E977)*IFERROR(INDEX(Products!$C$6:$C$105,MATCH(D977,Products!$B$6:$B$105,0)),0)+N(F977)+N(G977))</f>
        <v/>
      </c>
      <c r="I977" s="35" t="n"/>
      <c r="J977" s="30">
        <f>IF(OR(H977="",L977="Cancelled"),"",IF(H977-N(I977)&gt;0.005,H977-N(I977),""))</f>
        <v/>
      </c>
      <c r="K977" s="31" t="n"/>
      <c r="L977" s="36" t="n"/>
      <c r="M977" s="33" t="n"/>
      <c r="N977" s="22">
        <f>IF(OR(H977="",L977="Cancelled"),"",IF(N(E977)=0,1,E977)*IFERROR(INDEX(Products!$E$6:$E$105,MATCH(D977,Products!$B$6:$B$105,0)),0))</f>
        <v/>
      </c>
      <c r="O977" s="35" t="n"/>
      <c r="P977" s="22">
        <f>IF(OR(H977="",L977="Cancelled"),"",ROUND(IFERROR(H977*INDEX(Settings!$C$6:$C$15,MATCH(M977,Settings!$B$6:$B$15,0))+INDEX(Settings!$D$6:$D$15,MATCH(M977,Settings!$B$6:$B$15,0)),0),2))</f>
        <v/>
      </c>
      <c r="Q977" s="28">
        <f>IF(OR(H977="",L977="Cancelled"),"",H977-N(N977)-N(O977)-N(P977))</f>
        <v/>
      </c>
      <c r="R977" s="19">
        <f>IF(OR(B977="",K977=""),"",IF(OR(L977="Sent",L977="Picked up"),"Done",IF(L977="Cancelled","Cancelled",IF(K977&lt;TODAY(),"Late by "&amp;(TODAY()-K977)&amp;IF((TODAY()-K977)=1," day"," days"),IF(K977=TODAY(),"Due today","Due in "&amp;(K977-TODAY())&amp;IF((K977-TODAY())=1," day"," days"))))))</f>
        <v/>
      </c>
      <c r="S977" s="33" t="n"/>
      <c r="T977" s="1">
        <f>IF(AND(B977&lt;&gt;"",K977&lt;&gt;"",L977&lt;&gt;"Sent",L977&lt;&gt;"Picked up",L977&lt;&gt;"Cancelled"),K977+ROW()/10000000,"")</f>
        <v/>
      </c>
      <c r="U977">
        <f>IF(OR(B977="",C977=""),"",B977+ROW()/10000000)</f>
        <v/>
      </c>
      <c r="V977">
        <f>IF(U977="","",IF(COUNTIFS(Orders!$C$6:$C$1005,C977,Orders!$U$6:$U$1005,"&gt;"&amp;U977)=0,1,0))</f>
        <v/>
      </c>
      <c r="W977">
        <f>IF(AND(B977&lt;&gt;"",K977&lt;&gt;"",L977&lt;&gt;"Sent",L977&lt;&gt;"Picked up",L977&lt;&gt;"Cancelled"),IF(N(E977)=0,1,E977),0)</f>
        <v/>
      </c>
      <c r="X977">
        <f>IF(OR(B977="",D977=""),"",IF(N(E977)=0,1,E977))</f>
        <v/>
      </c>
    </row>
    <row r="978">
      <c r="A978" s="1" t="n"/>
      <c r="B978" s="31" t="n"/>
      <c r="C978" s="32" t="n"/>
      <c r="D978" s="33" t="n"/>
      <c r="E978" s="34" t="n"/>
      <c r="F978" s="35" t="n"/>
      <c r="G978" s="35" t="n"/>
      <c r="H978" s="30">
        <f>IF(OR(B978="",D978=""),"",IF(N(E978)=0,1,E978)*IFERROR(INDEX(Products!$C$6:$C$105,MATCH(D978,Products!$B$6:$B$105,0)),0)+N(F978)+N(G978))</f>
        <v/>
      </c>
      <c r="I978" s="35" t="n"/>
      <c r="J978" s="30">
        <f>IF(OR(H978="",L978="Cancelled"),"",IF(H978-N(I978)&gt;0.005,H978-N(I978),""))</f>
        <v/>
      </c>
      <c r="K978" s="31" t="n"/>
      <c r="L978" s="36" t="n"/>
      <c r="M978" s="33" t="n"/>
      <c r="N978" s="22">
        <f>IF(OR(H978="",L978="Cancelled"),"",IF(N(E978)=0,1,E978)*IFERROR(INDEX(Products!$E$6:$E$105,MATCH(D978,Products!$B$6:$B$105,0)),0))</f>
        <v/>
      </c>
      <c r="O978" s="35" t="n"/>
      <c r="P978" s="22">
        <f>IF(OR(H978="",L978="Cancelled"),"",ROUND(IFERROR(H978*INDEX(Settings!$C$6:$C$15,MATCH(M978,Settings!$B$6:$B$15,0))+INDEX(Settings!$D$6:$D$15,MATCH(M978,Settings!$B$6:$B$15,0)),0),2))</f>
        <v/>
      </c>
      <c r="Q978" s="28">
        <f>IF(OR(H978="",L978="Cancelled"),"",H978-N(N978)-N(O978)-N(P978))</f>
        <v/>
      </c>
      <c r="R978" s="19">
        <f>IF(OR(B978="",K978=""),"",IF(OR(L978="Sent",L978="Picked up"),"Done",IF(L978="Cancelled","Cancelled",IF(K978&lt;TODAY(),"Late by "&amp;(TODAY()-K978)&amp;IF((TODAY()-K978)=1," day"," days"),IF(K978=TODAY(),"Due today","Due in "&amp;(K978-TODAY())&amp;IF((K978-TODAY())=1," day"," days"))))))</f>
        <v/>
      </c>
      <c r="S978" s="33" t="n"/>
      <c r="T978" s="1">
        <f>IF(AND(B978&lt;&gt;"",K978&lt;&gt;"",L978&lt;&gt;"Sent",L978&lt;&gt;"Picked up",L978&lt;&gt;"Cancelled"),K978+ROW()/10000000,"")</f>
        <v/>
      </c>
      <c r="U978">
        <f>IF(OR(B978="",C978=""),"",B978+ROW()/10000000)</f>
        <v/>
      </c>
      <c r="V978">
        <f>IF(U978="","",IF(COUNTIFS(Orders!$C$6:$C$1005,C978,Orders!$U$6:$U$1005,"&gt;"&amp;U978)=0,1,0))</f>
        <v/>
      </c>
      <c r="W978">
        <f>IF(AND(B978&lt;&gt;"",K978&lt;&gt;"",L978&lt;&gt;"Sent",L978&lt;&gt;"Picked up",L978&lt;&gt;"Cancelled"),IF(N(E978)=0,1,E978),0)</f>
        <v/>
      </c>
      <c r="X978">
        <f>IF(OR(B978="",D978=""),"",IF(N(E978)=0,1,E978))</f>
        <v/>
      </c>
    </row>
    <row r="979">
      <c r="A979" s="1" t="n"/>
      <c r="B979" s="31" t="n"/>
      <c r="C979" s="32" t="n"/>
      <c r="D979" s="33" t="n"/>
      <c r="E979" s="34" t="n"/>
      <c r="F979" s="35" t="n"/>
      <c r="G979" s="35" t="n"/>
      <c r="H979" s="30">
        <f>IF(OR(B979="",D979=""),"",IF(N(E979)=0,1,E979)*IFERROR(INDEX(Products!$C$6:$C$105,MATCH(D979,Products!$B$6:$B$105,0)),0)+N(F979)+N(G979))</f>
        <v/>
      </c>
      <c r="I979" s="35" t="n"/>
      <c r="J979" s="30">
        <f>IF(OR(H979="",L979="Cancelled"),"",IF(H979-N(I979)&gt;0.005,H979-N(I979),""))</f>
        <v/>
      </c>
      <c r="K979" s="31" t="n"/>
      <c r="L979" s="36" t="n"/>
      <c r="M979" s="33" t="n"/>
      <c r="N979" s="22">
        <f>IF(OR(H979="",L979="Cancelled"),"",IF(N(E979)=0,1,E979)*IFERROR(INDEX(Products!$E$6:$E$105,MATCH(D979,Products!$B$6:$B$105,0)),0))</f>
        <v/>
      </c>
      <c r="O979" s="35" t="n"/>
      <c r="P979" s="22">
        <f>IF(OR(H979="",L979="Cancelled"),"",ROUND(IFERROR(H979*INDEX(Settings!$C$6:$C$15,MATCH(M979,Settings!$B$6:$B$15,0))+INDEX(Settings!$D$6:$D$15,MATCH(M979,Settings!$B$6:$B$15,0)),0),2))</f>
        <v/>
      </c>
      <c r="Q979" s="28">
        <f>IF(OR(H979="",L979="Cancelled"),"",H979-N(N979)-N(O979)-N(P979))</f>
        <v/>
      </c>
      <c r="R979" s="19">
        <f>IF(OR(B979="",K979=""),"",IF(OR(L979="Sent",L979="Picked up"),"Done",IF(L979="Cancelled","Cancelled",IF(K979&lt;TODAY(),"Late by "&amp;(TODAY()-K979)&amp;IF((TODAY()-K979)=1," day"," days"),IF(K979=TODAY(),"Due today","Due in "&amp;(K979-TODAY())&amp;IF((K979-TODAY())=1," day"," days"))))))</f>
        <v/>
      </c>
      <c r="S979" s="33" t="n"/>
      <c r="T979" s="1">
        <f>IF(AND(B979&lt;&gt;"",K979&lt;&gt;"",L979&lt;&gt;"Sent",L979&lt;&gt;"Picked up",L979&lt;&gt;"Cancelled"),K979+ROW()/10000000,"")</f>
        <v/>
      </c>
      <c r="U979">
        <f>IF(OR(B979="",C979=""),"",B979+ROW()/10000000)</f>
        <v/>
      </c>
      <c r="V979">
        <f>IF(U979="","",IF(COUNTIFS(Orders!$C$6:$C$1005,C979,Orders!$U$6:$U$1005,"&gt;"&amp;U979)=0,1,0))</f>
        <v/>
      </c>
      <c r="W979">
        <f>IF(AND(B979&lt;&gt;"",K979&lt;&gt;"",L979&lt;&gt;"Sent",L979&lt;&gt;"Picked up",L979&lt;&gt;"Cancelled"),IF(N(E979)=0,1,E979),0)</f>
        <v/>
      </c>
      <c r="X979">
        <f>IF(OR(B979="",D979=""),"",IF(N(E979)=0,1,E979))</f>
        <v/>
      </c>
    </row>
    <row r="980">
      <c r="A980" s="1" t="n"/>
      <c r="B980" s="31" t="n"/>
      <c r="C980" s="32" t="n"/>
      <c r="D980" s="33" t="n"/>
      <c r="E980" s="34" t="n"/>
      <c r="F980" s="35" t="n"/>
      <c r="G980" s="35" t="n"/>
      <c r="H980" s="30">
        <f>IF(OR(B980="",D980=""),"",IF(N(E980)=0,1,E980)*IFERROR(INDEX(Products!$C$6:$C$105,MATCH(D980,Products!$B$6:$B$105,0)),0)+N(F980)+N(G980))</f>
        <v/>
      </c>
      <c r="I980" s="35" t="n"/>
      <c r="J980" s="30">
        <f>IF(OR(H980="",L980="Cancelled"),"",IF(H980-N(I980)&gt;0.005,H980-N(I980),""))</f>
        <v/>
      </c>
      <c r="K980" s="31" t="n"/>
      <c r="L980" s="36" t="n"/>
      <c r="M980" s="33" t="n"/>
      <c r="N980" s="22">
        <f>IF(OR(H980="",L980="Cancelled"),"",IF(N(E980)=0,1,E980)*IFERROR(INDEX(Products!$E$6:$E$105,MATCH(D980,Products!$B$6:$B$105,0)),0))</f>
        <v/>
      </c>
      <c r="O980" s="35" t="n"/>
      <c r="P980" s="22">
        <f>IF(OR(H980="",L980="Cancelled"),"",ROUND(IFERROR(H980*INDEX(Settings!$C$6:$C$15,MATCH(M980,Settings!$B$6:$B$15,0))+INDEX(Settings!$D$6:$D$15,MATCH(M980,Settings!$B$6:$B$15,0)),0),2))</f>
        <v/>
      </c>
      <c r="Q980" s="28">
        <f>IF(OR(H980="",L980="Cancelled"),"",H980-N(N980)-N(O980)-N(P980))</f>
        <v/>
      </c>
      <c r="R980" s="19">
        <f>IF(OR(B980="",K980=""),"",IF(OR(L980="Sent",L980="Picked up"),"Done",IF(L980="Cancelled","Cancelled",IF(K980&lt;TODAY(),"Late by "&amp;(TODAY()-K980)&amp;IF((TODAY()-K980)=1," day"," days"),IF(K980=TODAY(),"Due today","Due in "&amp;(K980-TODAY())&amp;IF((K980-TODAY())=1," day"," days"))))))</f>
        <v/>
      </c>
      <c r="S980" s="33" t="n"/>
      <c r="T980" s="1">
        <f>IF(AND(B980&lt;&gt;"",K980&lt;&gt;"",L980&lt;&gt;"Sent",L980&lt;&gt;"Picked up",L980&lt;&gt;"Cancelled"),K980+ROW()/10000000,"")</f>
        <v/>
      </c>
      <c r="U980">
        <f>IF(OR(B980="",C980=""),"",B980+ROW()/10000000)</f>
        <v/>
      </c>
      <c r="V980">
        <f>IF(U980="","",IF(COUNTIFS(Orders!$C$6:$C$1005,C980,Orders!$U$6:$U$1005,"&gt;"&amp;U980)=0,1,0))</f>
        <v/>
      </c>
      <c r="W980">
        <f>IF(AND(B980&lt;&gt;"",K980&lt;&gt;"",L980&lt;&gt;"Sent",L980&lt;&gt;"Picked up",L980&lt;&gt;"Cancelled"),IF(N(E980)=0,1,E980),0)</f>
        <v/>
      </c>
      <c r="X980">
        <f>IF(OR(B980="",D980=""),"",IF(N(E980)=0,1,E980))</f>
        <v/>
      </c>
    </row>
    <row r="981">
      <c r="A981" s="1" t="n"/>
      <c r="B981" s="31" t="n"/>
      <c r="C981" s="32" t="n"/>
      <c r="D981" s="33" t="n"/>
      <c r="E981" s="34" t="n"/>
      <c r="F981" s="35" t="n"/>
      <c r="G981" s="35" t="n"/>
      <c r="H981" s="30">
        <f>IF(OR(B981="",D981=""),"",IF(N(E981)=0,1,E981)*IFERROR(INDEX(Products!$C$6:$C$105,MATCH(D981,Products!$B$6:$B$105,0)),0)+N(F981)+N(G981))</f>
        <v/>
      </c>
      <c r="I981" s="35" t="n"/>
      <c r="J981" s="30">
        <f>IF(OR(H981="",L981="Cancelled"),"",IF(H981-N(I981)&gt;0.005,H981-N(I981),""))</f>
        <v/>
      </c>
      <c r="K981" s="31" t="n"/>
      <c r="L981" s="36" t="n"/>
      <c r="M981" s="33" t="n"/>
      <c r="N981" s="22">
        <f>IF(OR(H981="",L981="Cancelled"),"",IF(N(E981)=0,1,E981)*IFERROR(INDEX(Products!$E$6:$E$105,MATCH(D981,Products!$B$6:$B$105,0)),0))</f>
        <v/>
      </c>
      <c r="O981" s="35" t="n"/>
      <c r="P981" s="22">
        <f>IF(OR(H981="",L981="Cancelled"),"",ROUND(IFERROR(H981*INDEX(Settings!$C$6:$C$15,MATCH(M981,Settings!$B$6:$B$15,0))+INDEX(Settings!$D$6:$D$15,MATCH(M981,Settings!$B$6:$B$15,0)),0),2))</f>
        <v/>
      </c>
      <c r="Q981" s="28">
        <f>IF(OR(H981="",L981="Cancelled"),"",H981-N(N981)-N(O981)-N(P981))</f>
        <v/>
      </c>
      <c r="R981" s="19">
        <f>IF(OR(B981="",K981=""),"",IF(OR(L981="Sent",L981="Picked up"),"Done",IF(L981="Cancelled","Cancelled",IF(K981&lt;TODAY(),"Late by "&amp;(TODAY()-K981)&amp;IF((TODAY()-K981)=1," day"," days"),IF(K981=TODAY(),"Due today","Due in "&amp;(K981-TODAY())&amp;IF((K981-TODAY())=1," day"," days"))))))</f>
        <v/>
      </c>
      <c r="S981" s="33" t="n"/>
      <c r="T981" s="1">
        <f>IF(AND(B981&lt;&gt;"",K981&lt;&gt;"",L981&lt;&gt;"Sent",L981&lt;&gt;"Picked up",L981&lt;&gt;"Cancelled"),K981+ROW()/10000000,"")</f>
        <v/>
      </c>
      <c r="U981">
        <f>IF(OR(B981="",C981=""),"",B981+ROW()/10000000)</f>
        <v/>
      </c>
      <c r="V981">
        <f>IF(U981="","",IF(COUNTIFS(Orders!$C$6:$C$1005,C981,Orders!$U$6:$U$1005,"&gt;"&amp;U981)=0,1,0))</f>
        <v/>
      </c>
      <c r="W981">
        <f>IF(AND(B981&lt;&gt;"",K981&lt;&gt;"",L981&lt;&gt;"Sent",L981&lt;&gt;"Picked up",L981&lt;&gt;"Cancelled"),IF(N(E981)=0,1,E981),0)</f>
        <v/>
      </c>
      <c r="X981">
        <f>IF(OR(B981="",D981=""),"",IF(N(E981)=0,1,E981))</f>
        <v/>
      </c>
    </row>
    <row r="982">
      <c r="A982" s="1" t="n"/>
      <c r="B982" s="31" t="n"/>
      <c r="C982" s="32" t="n"/>
      <c r="D982" s="33" t="n"/>
      <c r="E982" s="34" t="n"/>
      <c r="F982" s="35" t="n"/>
      <c r="G982" s="35" t="n"/>
      <c r="H982" s="30">
        <f>IF(OR(B982="",D982=""),"",IF(N(E982)=0,1,E982)*IFERROR(INDEX(Products!$C$6:$C$105,MATCH(D982,Products!$B$6:$B$105,0)),0)+N(F982)+N(G982))</f>
        <v/>
      </c>
      <c r="I982" s="35" t="n"/>
      <c r="J982" s="30">
        <f>IF(OR(H982="",L982="Cancelled"),"",IF(H982-N(I982)&gt;0.005,H982-N(I982),""))</f>
        <v/>
      </c>
      <c r="K982" s="31" t="n"/>
      <c r="L982" s="36" t="n"/>
      <c r="M982" s="33" t="n"/>
      <c r="N982" s="22">
        <f>IF(OR(H982="",L982="Cancelled"),"",IF(N(E982)=0,1,E982)*IFERROR(INDEX(Products!$E$6:$E$105,MATCH(D982,Products!$B$6:$B$105,0)),0))</f>
        <v/>
      </c>
      <c r="O982" s="35" t="n"/>
      <c r="P982" s="22">
        <f>IF(OR(H982="",L982="Cancelled"),"",ROUND(IFERROR(H982*INDEX(Settings!$C$6:$C$15,MATCH(M982,Settings!$B$6:$B$15,0))+INDEX(Settings!$D$6:$D$15,MATCH(M982,Settings!$B$6:$B$15,0)),0),2))</f>
        <v/>
      </c>
      <c r="Q982" s="28">
        <f>IF(OR(H982="",L982="Cancelled"),"",H982-N(N982)-N(O982)-N(P982))</f>
        <v/>
      </c>
      <c r="R982" s="19">
        <f>IF(OR(B982="",K982=""),"",IF(OR(L982="Sent",L982="Picked up"),"Done",IF(L982="Cancelled","Cancelled",IF(K982&lt;TODAY(),"Late by "&amp;(TODAY()-K982)&amp;IF((TODAY()-K982)=1," day"," days"),IF(K982=TODAY(),"Due today","Due in "&amp;(K982-TODAY())&amp;IF((K982-TODAY())=1," day"," days"))))))</f>
        <v/>
      </c>
      <c r="S982" s="33" t="n"/>
      <c r="T982" s="1">
        <f>IF(AND(B982&lt;&gt;"",K982&lt;&gt;"",L982&lt;&gt;"Sent",L982&lt;&gt;"Picked up",L982&lt;&gt;"Cancelled"),K982+ROW()/10000000,"")</f>
        <v/>
      </c>
      <c r="U982">
        <f>IF(OR(B982="",C982=""),"",B982+ROW()/10000000)</f>
        <v/>
      </c>
      <c r="V982">
        <f>IF(U982="","",IF(COUNTIFS(Orders!$C$6:$C$1005,C982,Orders!$U$6:$U$1005,"&gt;"&amp;U982)=0,1,0))</f>
        <v/>
      </c>
      <c r="W982">
        <f>IF(AND(B982&lt;&gt;"",K982&lt;&gt;"",L982&lt;&gt;"Sent",L982&lt;&gt;"Picked up",L982&lt;&gt;"Cancelled"),IF(N(E982)=0,1,E982),0)</f>
        <v/>
      </c>
      <c r="X982">
        <f>IF(OR(B982="",D982=""),"",IF(N(E982)=0,1,E982))</f>
        <v/>
      </c>
    </row>
    <row r="983">
      <c r="A983" s="1" t="n"/>
      <c r="B983" s="31" t="n"/>
      <c r="C983" s="32" t="n"/>
      <c r="D983" s="33" t="n"/>
      <c r="E983" s="34" t="n"/>
      <c r="F983" s="35" t="n"/>
      <c r="G983" s="35" t="n"/>
      <c r="H983" s="30">
        <f>IF(OR(B983="",D983=""),"",IF(N(E983)=0,1,E983)*IFERROR(INDEX(Products!$C$6:$C$105,MATCH(D983,Products!$B$6:$B$105,0)),0)+N(F983)+N(G983))</f>
        <v/>
      </c>
      <c r="I983" s="35" t="n"/>
      <c r="J983" s="30">
        <f>IF(OR(H983="",L983="Cancelled"),"",IF(H983-N(I983)&gt;0.005,H983-N(I983),""))</f>
        <v/>
      </c>
      <c r="K983" s="31" t="n"/>
      <c r="L983" s="36" t="n"/>
      <c r="M983" s="33" t="n"/>
      <c r="N983" s="22">
        <f>IF(OR(H983="",L983="Cancelled"),"",IF(N(E983)=0,1,E983)*IFERROR(INDEX(Products!$E$6:$E$105,MATCH(D983,Products!$B$6:$B$105,0)),0))</f>
        <v/>
      </c>
      <c r="O983" s="35" t="n"/>
      <c r="P983" s="22">
        <f>IF(OR(H983="",L983="Cancelled"),"",ROUND(IFERROR(H983*INDEX(Settings!$C$6:$C$15,MATCH(M983,Settings!$B$6:$B$15,0))+INDEX(Settings!$D$6:$D$15,MATCH(M983,Settings!$B$6:$B$15,0)),0),2))</f>
        <v/>
      </c>
      <c r="Q983" s="28">
        <f>IF(OR(H983="",L983="Cancelled"),"",H983-N(N983)-N(O983)-N(P983))</f>
        <v/>
      </c>
      <c r="R983" s="19">
        <f>IF(OR(B983="",K983=""),"",IF(OR(L983="Sent",L983="Picked up"),"Done",IF(L983="Cancelled","Cancelled",IF(K983&lt;TODAY(),"Late by "&amp;(TODAY()-K983)&amp;IF((TODAY()-K983)=1," day"," days"),IF(K983=TODAY(),"Due today","Due in "&amp;(K983-TODAY())&amp;IF((K983-TODAY())=1," day"," days"))))))</f>
        <v/>
      </c>
      <c r="S983" s="33" t="n"/>
      <c r="T983" s="1">
        <f>IF(AND(B983&lt;&gt;"",K983&lt;&gt;"",L983&lt;&gt;"Sent",L983&lt;&gt;"Picked up",L983&lt;&gt;"Cancelled"),K983+ROW()/10000000,"")</f>
        <v/>
      </c>
      <c r="U983">
        <f>IF(OR(B983="",C983=""),"",B983+ROW()/10000000)</f>
        <v/>
      </c>
      <c r="V983">
        <f>IF(U983="","",IF(COUNTIFS(Orders!$C$6:$C$1005,C983,Orders!$U$6:$U$1005,"&gt;"&amp;U983)=0,1,0))</f>
        <v/>
      </c>
      <c r="W983">
        <f>IF(AND(B983&lt;&gt;"",K983&lt;&gt;"",L983&lt;&gt;"Sent",L983&lt;&gt;"Picked up",L983&lt;&gt;"Cancelled"),IF(N(E983)=0,1,E983),0)</f>
        <v/>
      </c>
      <c r="X983">
        <f>IF(OR(B983="",D983=""),"",IF(N(E983)=0,1,E983))</f>
        <v/>
      </c>
    </row>
    <row r="984">
      <c r="A984" s="1" t="n"/>
      <c r="B984" s="31" t="n"/>
      <c r="C984" s="32" t="n"/>
      <c r="D984" s="33" t="n"/>
      <c r="E984" s="34" t="n"/>
      <c r="F984" s="35" t="n"/>
      <c r="G984" s="35" t="n"/>
      <c r="H984" s="30">
        <f>IF(OR(B984="",D984=""),"",IF(N(E984)=0,1,E984)*IFERROR(INDEX(Products!$C$6:$C$105,MATCH(D984,Products!$B$6:$B$105,0)),0)+N(F984)+N(G984))</f>
        <v/>
      </c>
      <c r="I984" s="35" t="n"/>
      <c r="J984" s="30">
        <f>IF(OR(H984="",L984="Cancelled"),"",IF(H984-N(I984)&gt;0.005,H984-N(I984),""))</f>
        <v/>
      </c>
      <c r="K984" s="31" t="n"/>
      <c r="L984" s="36" t="n"/>
      <c r="M984" s="33" t="n"/>
      <c r="N984" s="22">
        <f>IF(OR(H984="",L984="Cancelled"),"",IF(N(E984)=0,1,E984)*IFERROR(INDEX(Products!$E$6:$E$105,MATCH(D984,Products!$B$6:$B$105,0)),0))</f>
        <v/>
      </c>
      <c r="O984" s="35" t="n"/>
      <c r="P984" s="22">
        <f>IF(OR(H984="",L984="Cancelled"),"",ROUND(IFERROR(H984*INDEX(Settings!$C$6:$C$15,MATCH(M984,Settings!$B$6:$B$15,0))+INDEX(Settings!$D$6:$D$15,MATCH(M984,Settings!$B$6:$B$15,0)),0),2))</f>
        <v/>
      </c>
      <c r="Q984" s="28">
        <f>IF(OR(H984="",L984="Cancelled"),"",H984-N(N984)-N(O984)-N(P984))</f>
        <v/>
      </c>
      <c r="R984" s="19">
        <f>IF(OR(B984="",K984=""),"",IF(OR(L984="Sent",L984="Picked up"),"Done",IF(L984="Cancelled","Cancelled",IF(K984&lt;TODAY(),"Late by "&amp;(TODAY()-K984)&amp;IF((TODAY()-K984)=1," day"," days"),IF(K984=TODAY(),"Due today","Due in "&amp;(K984-TODAY())&amp;IF((K984-TODAY())=1," day"," days"))))))</f>
        <v/>
      </c>
      <c r="S984" s="33" t="n"/>
      <c r="T984" s="1">
        <f>IF(AND(B984&lt;&gt;"",K984&lt;&gt;"",L984&lt;&gt;"Sent",L984&lt;&gt;"Picked up",L984&lt;&gt;"Cancelled"),K984+ROW()/10000000,"")</f>
        <v/>
      </c>
      <c r="U984">
        <f>IF(OR(B984="",C984=""),"",B984+ROW()/10000000)</f>
        <v/>
      </c>
      <c r="V984">
        <f>IF(U984="","",IF(COUNTIFS(Orders!$C$6:$C$1005,C984,Orders!$U$6:$U$1005,"&gt;"&amp;U984)=0,1,0))</f>
        <v/>
      </c>
      <c r="W984">
        <f>IF(AND(B984&lt;&gt;"",K984&lt;&gt;"",L984&lt;&gt;"Sent",L984&lt;&gt;"Picked up",L984&lt;&gt;"Cancelled"),IF(N(E984)=0,1,E984),0)</f>
        <v/>
      </c>
      <c r="X984">
        <f>IF(OR(B984="",D984=""),"",IF(N(E984)=0,1,E984))</f>
        <v/>
      </c>
    </row>
    <row r="985">
      <c r="A985" s="1" t="n"/>
      <c r="B985" s="31" t="n"/>
      <c r="C985" s="32" t="n"/>
      <c r="D985" s="33" t="n"/>
      <c r="E985" s="34" t="n"/>
      <c r="F985" s="35" t="n"/>
      <c r="G985" s="35" t="n"/>
      <c r="H985" s="30">
        <f>IF(OR(B985="",D985=""),"",IF(N(E985)=0,1,E985)*IFERROR(INDEX(Products!$C$6:$C$105,MATCH(D985,Products!$B$6:$B$105,0)),0)+N(F985)+N(G985))</f>
        <v/>
      </c>
      <c r="I985" s="35" t="n"/>
      <c r="J985" s="30">
        <f>IF(OR(H985="",L985="Cancelled"),"",IF(H985-N(I985)&gt;0.005,H985-N(I985),""))</f>
        <v/>
      </c>
      <c r="K985" s="31" t="n"/>
      <c r="L985" s="36" t="n"/>
      <c r="M985" s="33" t="n"/>
      <c r="N985" s="22">
        <f>IF(OR(H985="",L985="Cancelled"),"",IF(N(E985)=0,1,E985)*IFERROR(INDEX(Products!$E$6:$E$105,MATCH(D985,Products!$B$6:$B$105,0)),0))</f>
        <v/>
      </c>
      <c r="O985" s="35" t="n"/>
      <c r="P985" s="22">
        <f>IF(OR(H985="",L985="Cancelled"),"",ROUND(IFERROR(H985*INDEX(Settings!$C$6:$C$15,MATCH(M985,Settings!$B$6:$B$15,0))+INDEX(Settings!$D$6:$D$15,MATCH(M985,Settings!$B$6:$B$15,0)),0),2))</f>
        <v/>
      </c>
      <c r="Q985" s="28">
        <f>IF(OR(H985="",L985="Cancelled"),"",H985-N(N985)-N(O985)-N(P985))</f>
        <v/>
      </c>
      <c r="R985" s="19">
        <f>IF(OR(B985="",K985=""),"",IF(OR(L985="Sent",L985="Picked up"),"Done",IF(L985="Cancelled","Cancelled",IF(K985&lt;TODAY(),"Late by "&amp;(TODAY()-K985)&amp;IF((TODAY()-K985)=1," day"," days"),IF(K985=TODAY(),"Due today","Due in "&amp;(K985-TODAY())&amp;IF((K985-TODAY())=1," day"," days"))))))</f>
        <v/>
      </c>
      <c r="S985" s="33" t="n"/>
      <c r="T985" s="1">
        <f>IF(AND(B985&lt;&gt;"",K985&lt;&gt;"",L985&lt;&gt;"Sent",L985&lt;&gt;"Picked up",L985&lt;&gt;"Cancelled"),K985+ROW()/10000000,"")</f>
        <v/>
      </c>
      <c r="U985">
        <f>IF(OR(B985="",C985=""),"",B985+ROW()/10000000)</f>
        <v/>
      </c>
      <c r="V985">
        <f>IF(U985="","",IF(COUNTIFS(Orders!$C$6:$C$1005,C985,Orders!$U$6:$U$1005,"&gt;"&amp;U985)=0,1,0))</f>
        <v/>
      </c>
      <c r="W985">
        <f>IF(AND(B985&lt;&gt;"",K985&lt;&gt;"",L985&lt;&gt;"Sent",L985&lt;&gt;"Picked up",L985&lt;&gt;"Cancelled"),IF(N(E985)=0,1,E985),0)</f>
        <v/>
      </c>
      <c r="X985">
        <f>IF(OR(B985="",D985=""),"",IF(N(E985)=0,1,E985))</f>
        <v/>
      </c>
    </row>
    <row r="986">
      <c r="A986" s="1" t="n"/>
      <c r="B986" s="31" t="n"/>
      <c r="C986" s="32" t="n"/>
      <c r="D986" s="33" t="n"/>
      <c r="E986" s="34" t="n"/>
      <c r="F986" s="35" t="n"/>
      <c r="G986" s="35" t="n"/>
      <c r="H986" s="30">
        <f>IF(OR(B986="",D986=""),"",IF(N(E986)=0,1,E986)*IFERROR(INDEX(Products!$C$6:$C$105,MATCH(D986,Products!$B$6:$B$105,0)),0)+N(F986)+N(G986))</f>
        <v/>
      </c>
      <c r="I986" s="35" t="n"/>
      <c r="J986" s="30">
        <f>IF(OR(H986="",L986="Cancelled"),"",IF(H986-N(I986)&gt;0.005,H986-N(I986),""))</f>
        <v/>
      </c>
      <c r="K986" s="31" t="n"/>
      <c r="L986" s="36" t="n"/>
      <c r="M986" s="33" t="n"/>
      <c r="N986" s="22">
        <f>IF(OR(H986="",L986="Cancelled"),"",IF(N(E986)=0,1,E986)*IFERROR(INDEX(Products!$E$6:$E$105,MATCH(D986,Products!$B$6:$B$105,0)),0))</f>
        <v/>
      </c>
      <c r="O986" s="35" t="n"/>
      <c r="P986" s="22">
        <f>IF(OR(H986="",L986="Cancelled"),"",ROUND(IFERROR(H986*INDEX(Settings!$C$6:$C$15,MATCH(M986,Settings!$B$6:$B$15,0))+INDEX(Settings!$D$6:$D$15,MATCH(M986,Settings!$B$6:$B$15,0)),0),2))</f>
        <v/>
      </c>
      <c r="Q986" s="28">
        <f>IF(OR(H986="",L986="Cancelled"),"",H986-N(N986)-N(O986)-N(P986))</f>
        <v/>
      </c>
      <c r="R986" s="19">
        <f>IF(OR(B986="",K986=""),"",IF(OR(L986="Sent",L986="Picked up"),"Done",IF(L986="Cancelled","Cancelled",IF(K986&lt;TODAY(),"Late by "&amp;(TODAY()-K986)&amp;IF((TODAY()-K986)=1," day"," days"),IF(K986=TODAY(),"Due today","Due in "&amp;(K986-TODAY())&amp;IF((K986-TODAY())=1," day"," days"))))))</f>
        <v/>
      </c>
      <c r="S986" s="33" t="n"/>
      <c r="T986" s="1">
        <f>IF(AND(B986&lt;&gt;"",K986&lt;&gt;"",L986&lt;&gt;"Sent",L986&lt;&gt;"Picked up",L986&lt;&gt;"Cancelled"),K986+ROW()/10000000,"")</f>
        <v/>
      </c>
      <c r="U986">
        <f>IF(OR(B986="",C986=""),"",B986+ROW()/10000000)</f>
        <v/>
      </c>
      <c r="V986">
        <f>IF(U986="","",IF(COUNTIFS(Orders!$C$6:$C$1005,C986,Orders!$U$6:$U$1005,"&gt;"&amp;U986)=0,1,0))</f>
        <v/>
      </c>
      <c r="W986">
        <f>IF(AND(B986&lt;&gt;"",K986&lt;&gt;"",L986&lt;&gt;"Sent",L986&lt;&gt;"Picked up",L986&lt;&gt;"Cancelled"),IF(N(E986)=0,1,E986),0)</f>
        <v/>
      </c>
      <c r="X986">
        <f>IF(OR(B986="",D986=""),"",IF(N(E986)=0,1,E986))</f>
        <v/>
      </c>
    </row>
    <row r="987">
      <c r="A987" s="1" t="n"/>
      <c r="B987" s="31" t="n"/>
      <c r="C987" s="32" t="n"/>
      <c r="D987" s="33" t="n"/>
      <c r="E987" s="34" t="n"/>
      <c r="F987" s="35" t="n"/>
      <c r="G987" s="35" t="n"/>
      <c r="H987" s="30">
        <f>IF(OR(B987="",D987=""),"",IF(N(E987)=0,1,E987)*IFERROR(INDEX(Products!$C$6:$C$105,MATCH(D987,Products!$B$6:$B$105,0)),0)+N(F987)+N(G987))</f>
        <v/>
      </c>
      <c r="I987" s="35" t="n"/>
      <c r="J987" s="30">
        <f>IF(OR(H987="",L987="Cancelled"),"",IF(H987-N(I987)&gt;0.005,H987-N(I987),""))</f>
        <v/>
      </c>
      <c r="K987" s="31" t="n"/>
      <c r="L987" s="36" t="n"/>
      <c r="M987" s="33" t="n"/>
      <c r="N987" s="22">
        <f>IF(OR(H987="",L987="Cancelled"),"",IF(N(E987)=0,1,E987)*IFERROR(INDEX(Products!$E$6:$E$105,MATCH(D987,Products!$B$6:$B$105,0)),0))</f>
        <v/>
      </c>
      <c r="O987" s="35" t="n"/>
      <c r="P987" s="22">
        <f>IF(OR(H987="",L987="Cancelled"),"",ROUND(IFERROR(H987*INDEX(Settings!$C$6:$C$15,MATCH(M987,Settings!$B$6:$B$15,0))+INDEX(Settings!$D$6:$D$15,MATCH(M987,Settings!$B$6:$B$15,0)),0),2))</f>
        <v/>
      </c>
      <c r="Q987" s="28">
        <f>IF(OR(H987="",L987="Cancelled"),"",H987-N(N987)-N(O987)-N(P987))</f>
        <v/>
      </c>
      <c r="R987" s="19">
        <f>IF(OR(B987="",K987=""),"",IF(OR(L987="Sent",L987="Picked up"),"Done",IF(L987="Cancelled","Cancelled",IF(K987&lt;TODAY(),"Late by "&amp;(TODAY()-K987)&amp;IF((TODAY()-K987)=1," day"," days"),IF(K987=TODAY(),"Due today","Due in "&amp;(K987-TODAY())&amp;IF((K987-TODAY())=1," day"," days"))))))</f>
        <v/>
      </c>
      <c r="S987" s="33" t="n"/>
      <c r="T987" s="1">
        <f>IF(AND(B987&lt;&gt;"",K987&lt;&gt;"",L987&lt;&gt;"Sent",L987&lt;&gt;"Picked up",L987&lt;&gt;"Cancelled"),K987+ROW()/10000000,"")</f>
        <v/>
      </c>
      <c r="U987">
        <f>IF(OR(B987="",C987=""),"",B987+ROW()/10000000)</f>
        <v/>
      </c>
      <c r="V987">
        <f>IF(U987="","",IF(COUNTIFS(Orders!$C$6:$C$1005,C987,Orders!$U$6:$U$1005,"&gt;"&amp;U987)=0,1,0))</f>
        <v/>
      </c>
      <c r="W987">
        <f>IF(AND(B987&lt;&gt;"",K987&lt;&gt;"",L987&lt;&gt;"Sent",L987&lt;&gt;"Picked up",L987&lt;&gt;"Cancelled"),IF(N(E987)=0,1,E987),0)</f>
        <v/>
      </c>
      <c r="X987">
        <f>IF(OR(B987="",D987=""),"",IF(N(E987)=0,1,E987))</f>
        <v/>
      </c>
    </row>
    <row r="988">
      <c r="A988" s="1" t="n"/>
      <c r="B988" s="31" t="n"/>
      <c r="C988" s="32" t="n"/>
      <c r="D988" s="33" t="n"/>
      <c r="E988" s="34" t="n"/>
      <c r="F988" s="35" t="n"/>
      <c r="G988" s="35" t="n"/>
      <c r="H988" s="30">
        <f>IF(OR(B988="",D988=""),"",IF(N(E988)=0,1,E988)*IFERROR(INDEX(Products!$C$6:$C$105,MATCH(D988,Products!$B$6:$B$105,0)),0)+N(F988)+N(G988))</f>
        <v/>
      </c>
      <c r="I988" s="35" t="n"/>
      <c r="J988" s="30">
        <f>IF(OR(H988="",L988="Cancelled"),"",IF(H988-N(I988)&gt;0.005,H988-N(I988),""))</f>
        <v/>
      </c>
      <c r="K988" s="31" t="n"/>
      <c r="L988" s="36" t="n"/>
      <c r="M988" s="33" t="n"/>
      <c r="N988" s="22">
        <f>IF(OR(H988="",L988="Cancelled"),"",IF(N(E988)=0,1,E988)*IFERROR(INDEX(Products!$E$6:$E$105,MATCH(D988,Products!$B$6:$B$105,0)),0))</f>
        <v/>
      </c>
      <c r="O988" s="35" t="n"/>
      <c r="P988" s="22">
        <f>IF(OR(H988="",L988="Cancelled"),"",ROUND(IFERROR(H988*INDEX(Settings!$C$6:$C$15,MATCH(M988,Settings!$B$6:$B$15,0))+INDEX(Settings!$D$6:$D$15,MATCH(M988,Settings!$B$6:$B$15,0)),0),2))</f>
        <v/>
      </c>
      <c r="Q988" s="28">
        <f>IF(OR(H988="",L988="Cancelled"),"",H988-N(N988)-N(O988)-N(P988))</f>
        <v/>
      </c>
      <c r="R988" s="19">
        <f>IF(OR(B988="",K988=""),"",IF(OR(L988="Sent",L988="Picked up"),"Done",IF(L988="Cancelled","Cancelled",IF(K988&lt;TODAY(),"Late by "&amp;(TODAY()-K988)&amp;IF((TODAY()-K988)=1," day"," days"),IF(K988=TODAY(),"Due today","Due in "&amp;(K988-TODAY())&amp;IF((K988-TODAY())=1," day"," days"))))))</f>
        <v/>
      </c>
      <c r="S988" s="33" t="n"/>
      <c r="T988" s="1">
        <f>IF(AND(B988&lt;&gt;"",K988&lt;&gt;"",L988&lt;&gt;"Sent",L988&lt;&gt;"Picked up",L988&lt;&gt;"Cancelled"),K988+ROW()/10000000,"")</f>
        <v/>
      </c>
      <c r="U988">
        <f>IF(OR(B988="",C988=""),"",B988+ROW()/10000000)</f>
        <v/>
      </c>
      <c r="V988">
        <f>IF(U988="","",IF(COUNTIFS(Orders!$C$6:$C$1005,C988,Orders!$U$6:$U$1005,"&gt;"&amp;U988)=0,1,0))</f>
        <v/>
      </c>
      <c r="W988">
        <f>IF(AND(B988&lt;&gt;"",K988&lt;&gt;"",L988&lt;&gt;"Sent",L988&lt;&gt;"Picked up",L988&lt;&gt;"Cancelled"),IF(N(E988)=0,1,E988),0)</f>
        <v/>
      </c>
      <c r="X988">
        <f>IF(OR(B988="",D988=""),"",IF(N(E988)=0,1,E988))</f>
        <v/>
      </c>
    </row>
    <row r="989">
      <c r="A989" s="1" t="n"/>
      <c r="B989" s="31" t="n"/>
      <c r="C989" s="32" t="n"/>
      <c r="D989" s="33" t="n"/>
      <c r="E989" s="34" t="n"/>
      <c r="F989" s="35" t="n"/>
      <c r="G989" s="35" t="n"/>
      <c r="H989" s="30">
        <f>IF(OR(B989="",D989=""),"",IF(N(E989)=0,1,E989)*IFERROR(INDEX(Products!$C$6:$C$105,MATCH(D989,Products!$B$6:$B$105,0)),0)+N(F989)+N(G989))</f>
        <v/>
      </c>
      <c r="I989" s="35" t="n"/>
      <c r="J989" s="30">
        <f>IF(OR(H989="",L989="Cancelled"),"",IF(H989-N(I989)&gt;0.005,H989-N(I989),""))</f>
        <v/>
      </c>
      <c r="K989" s="31" t="n"/>
      <c r="L989" s="36" t="n"/>
      <c r="M989" s="33" t="n"/>
      <c r="N989" s="22">
        <f>IF(OR(H989="",L989="Cancelled"),"",IF(N(E989)=0,1,E989)*IFERROR(INDEX(Products!$E$6:$E$105,MATCH(D989,Products!$B$6:$B$105,0)),0))</f>
        <v/>
      </c>
      <c r="O989" s="35" t="n"/>
      <c r="P989" s="22">
        <f>IF(OR(H989="",L989="Cancelled"),"",ROUND(IFERROR(H989*INDEX(Settings!$C$6:$C$15,MATCH(M989,Settings!$B$6:$B$15,0))+INDEX(Settings!$D$6:$D$15,MATCH(M989,Settings!$B$6:$B$15,0)),0),2))</f>
        <v/>
      </c>
      <c r="Q989" s="28">
        <f>IF(OR(H989="",L989="Cancelled"),"",H989-N(N989)-N(O989)-N(P989))</f>
        <v/>
      </c>
      <c r="R989" s="19">
        <f>IF(OR(B989="",K989=""),"",IF(OR(L989="Sent",L989="Picked up"),"Done",IF(L989="Cancelled","Cancelled",IF(K989&lt;TODAY(),"Late by "&amp;(TODAY()-K989)&amp;IF((TODAY()-K989)=1," day"," days"),IF(K989=TODAY(),"Due today","Due in "&amp;(K989-TODAY())&amp;IF((K989-TODAY())=1," day"," days"))))))</f>
        <v/>
      </c>
      <c r="S989" s="33" t="n"/>
      <c r="T989" s="1">
        <f>IF(AND(B989&lt;&gt;"",K989&lt;&gt;"",L989&lt;&gt;"Sent",L989&lt;&gt;"Picked up",L989&lt;&gt;"Cancelled"),K989+ROW()/10000000,"")</f>
        <v/>
      </c>
      <c r="U989">
        <f>IF(OR(B989="",C989=""),"",B989+ROW()/10000000)</f>
        <v/>
      </c>
      <c r="V989">
        <f>IF(U989="","",IF(COUNTIFS(Orders!$C$6:$C$1005,C989,Orders!$U$6:$U$1005,"&gt;"&amp;U989)=0,1,0))</f>
        <v/>
      </c>
      <c r="W989">
        <f>IF(AND(B989&lt;&gt;"",K989&lt;&gt;"",L989&lt;&gt;"Sent",L989&lt;&gt;"Picked up",L989&lt;&gt;"Cancelled"),IF(N(E989)=0,1,E989),0)</f>
        <v/>
      </c>
      <c r="X989">
        <f>IF(OR(B989="",D989=""),"",IF(N(E989)=0,1,E989))</f>
        <v/>
      </c>
    </row>
    <row r="990">
      <c r="A990" s="1" t="n"/>
      <c r="B990" s="31" t="n"/>
      <c r="C990" s="32" t="n"/>
      <c r="D990" s="33" t="n"/>
      <c r="E990" s="34" t="n"/>
      <c r="F990" s="35" t="n"/>
      <c r="G990" s="35" t="n"/>
      <c r="H990" s="30">
        <f>IF(OR(B990="",D990=""),"",IF(N(E990)=0,1,E990)*IFERROR(INDEX(Products!$C$6:$C$105,MATCH(D990,Products!$B$6:$B$105,0)),0)+N(F990)+N(G990))</f>
        <v/>
      </c>
      <c r="I990" s="35" t="n"/>
      <c r="J990" s="30">
        <f>IF(OR(H990="",L990="Cancelled"),"",IF(H990-N(I990)&gt;0.005,H990-N(I990),""))</f>
        <v/>
      </c>
      <c r="K990" s="31" t="n"/>
      <c r="L990" s="36" t="n"/>
      <c r="M990" s="33" t="n"/>
      <c r="N990" s="22">
        <f>IF(OR(H990="",L990="Cancelled"),"",IF(N(E990)=0,1,E990)*IFERROR(INDEX(Products!$E$6:$E$105,MATCH(D990,Products!$B$6:$B$105,0)),0))</f>
        <v/>
      </c>
      <c r="O990" s="35" t="n"/>
      <c r="P990" s="22">
        <f>IF(OR(H990="",L990="Cancelled"),"",ROUND(IFERROR(H990*INDEX(Settings!$C$6:$C$15,MATCH(M990,Settings!$B$6:$B$15,0))+INDEX(Settings!$D$6:$D$15,MATCH(M990,Settings!$B$6:$B$15,0)),0),2))</f>
        <v/>
      </c>
      <c r="Q990" s="28">
        <f>IF(OR(H990="",L990="Cancelled"),"",H990-N(N990)-N(O990)-N(P990))</f>
        <v/>
      </c>
      <c r="R990" s="19">
        <f>IF(OR(B990="",K990=""),"",IF(OR(L990="Sent",L990="Picked up"),"Done",IF(L990="Cancelled","Cancelled",IF(K990&lt;TODAY(),"Late by "&amp;(TODAY()-K990)&amp;IF((TODAY()-K990)=1," day"," days"),IF(K990=TODAY(),"Due today","Due in "&amp;(K990-TODAY())&amp;IF((K990-TODAY())=1," day"," days"))))))</f>
        <v/>
      </c>
      <c r="S990" s="33" t="n"/>
      <c r="T990" s="1">
        <f>IF(AND(B990&lt;&gt;"",K990&lt;&gt;"",L990&lt;&gt;"Sent",L990&lt;&gt;"Picked up",L990&lt;&gt;"Cancelled"),K990+ROW()/10000000,"")</f>
        <v/>
      </c>
      <c r="U990">
        <f>IF(OR(B990="",C990=""),"",B990+ROW()/10000000)</f>
        <v/>
      </c>
      <c r="V990">
        <f>IF(U990="","",IF(COUNTIFS(Orders!$C$6:$C$1005,C990,Orders!$U$6:$U$1005,"&gt;"&amp;U990)=0,1,0))</f>
        <v/>
      </c>
      <c r="W990">
        <f>IF(AND(B990&lt;&gt;"",K990&lt;&gt;"",L990&lt;&gt;"Sent",L990&lt;&gt;"Picked up",L990&lt;&gt;"Cancelled"),IF(N(E990)=0,1,E990),0)</f>
        <v/>
      </c>
      <c r="X990">
        <f>IF(OR(B990="",D990=""),"",IF(N(E990)=0,1,E990))</f>
        <v/>
      </c>
    </row>
    <row r="991">
      <c r="A991" s="1" t="n"/>
      <c r="B991" s="31" t="n"/>
      <c r="C991" s="32" t="n"/>
      <c r="D991" s="33" t="n"/>
      <c r="E991" s="34" t="n"/>
      <c r="F991" s="35" t="n"/>
      <c r="G991" s="35" t="n"/>
      <c r="H991" s="30">
        <f>IF(OR(B991="",D991=""),"",IF(N(E991)=0,1,E991)*IFERROR(INDEX(Products!$C$6:$C$105,MATCH(D991,Products!$B$6:$B$105,0)),0)+N(F991)+N(G991))</f>
        <v/>
      </c>
      <c r="I991" s="35" t="n"/>
      <c r="J991" s="30">
        <f>IF(OR(H991="",L991="Cancelled"),"",IF(H991-N(I991)&gt;0.005,H991-N(I991),""))</f>
        <v/>
      </c>
      <c r="K991" s="31" t="n"/>
      <c r="L991" s="36" t="n"/>
      <c r="M991" s="33" t="n"/>
      <c r="N991" s="22">
        <f>IF(OR(H991="",L991="Cancelled"),"",IF(N(E991)=0,1,E991)*IFERROR(INDEX(Products!$E$6:$E$105,MATCH(D991,Products!$B$6:$B$105,0)),0))</f>
        <v/>
      </c>
      <c r="O991" s="35" t="n"/>
      <c r="P991" s="22">
        <f>IF(OR(H991="",L991="Cancelled"),"",ROUND(IFERROR(H991*INDEX(Settings!$C$6:$C$15,MATCH(M991,Settings!$B$6:$B$15,0))+INDEX(Settings!$D$6:$D$15,MATCH(M991,Settings!$B$6:$B$15,0)),0),2))</f>
        <v/>
      </c>
      <c r="Q991" s="28">
        <f>IF(OR(H991="",L991="Cancelled"),"",H991-N(N991)-N(O991)-N(P991))</f>
        <v/>
      </c>
      <c r="R991" s="19">
        <f>IF(OR(B991="",K991=""),"",IF(OR(L991="Sent",L991="Picked up"),"Done",IF(L991="Cancelled","Cancelled",IF(K991&lt;TODAY(),"Late by "&amp;(TODAY()-K991)&amp;IF((TODAY()-K991)=1," day"," days"),IF(K991=TODAY(),"Due today","Due in "&amp;(K991-TODAY())&amp;IF((K991-TODAY())=1," day"," days"))))))</f>
        <v/>
      </c>
      <c r="S991" s="33" t="n"/>
      <c r="T991" s="1">
        <f>IF(AND(B991&lt;&gt;"",K991&lt;&gt;"",L991&lt;&gt;"Sent",L991&lt;&gt;"Picked up",L991&lt;&gt;"Cancelled"),K991+ROW()/10000000,"")</f>
        <v/>
      </c>
      <c r="U991">
        <f>IF(OR(B991="",C991=""),"",B991+ROW()/10000000)</f>
        <v/>
      </c>
      <c r="V991">
        <f>IF(U991="","",IF(COUNTIFS(Orders!$C$6:$C$1005,C991,Orders!$U$6:$U$1005,"&gt;"&amp;U991)=0,1,0))</f>
        <v/>
      </c>
      <c r="W991">
        <f>IF(AND(B991&lt;&gt;"",K991&lt;&gt;"",L991&lt;&gt;"Sent",L991&lt;&gt;"Picked up",L991&lt;&gt;"Cancelled"),IF(N(E991)=0,1,E991),0)</f>
        <v/>
      </c>
      <c r="X991">
        <f>IF(OR(B991="",D991=""),"",IF(N(E991)=0,1,E991))</f>
        <v/>
      </c>
    </row>
    <row r="992">
      <c r="A992" s="1" t="n"/>
      <c r="B992" s="31" t="n"/>
      <c r="C992" s="32" t="n"/>
      <c r="D992" s="33" t="n"/>
      <c r="E992" s="34" t="n"/>
      <c r="F992" s="35" t="n"/>
      <c r="G992" s="35" t="n"/>
      <c r="H992" s="30">
        <f>IF(OR(B992="",D992=""),"",IF(N(E992)=0,1,E992)*IFERROR(INDEX(Products!$C$6:$C$105,MATCH(D992,Products!$B$6:$B$105,0)),0)+N(F992)+N(G992))</f>
        <v/>
      </c>
      <c r="I992" s="35" t="n"/>
      <c r="J992" s="30">
        <f>IF(OR(H992="",L992="Cancelled"),"",IF(H992-N(I992)&gt;0.005,H992-N(I992),""))</f>
        <v/>
      </c>
      <c r="K992" s="31" t="n"/>
      <c r="L992" s="36" t="n"/>
      <c r="M992" s="33" t="n"/>
      <c r="N992" s="22">
        <f>IF(OR(H992="",L992="Cancelled"),"",IF(N(E992)=0,1,E992)*IFERROR(INDEX(Products!$E$6:$E$105,MATCH(D992,Products!$B$6:$B$105,0)),0))</f>
        <v/>
      </c>
      <c r="O992" s="35" t="n"/>
      <c r="P992" s="22">
        <f>IF(OR(H992="",L992="Cancelled"),"",ROUND(IFERROR(H992*INDEX(Settings!$C$6:$C$15,MATCH(M992,Settings!$B$6:$B$15,0))+INDEX(Settings!$D$6:$D$15,MATCH(M992,Settings!$B$6:$B$15,0)),0),2))</f>
        <v/>
      </c>
      <c r="Q992" s="28">
        <f>IF(OR(H992="",L992="Cancelled"),"",H992-N(N992)-N(O992)-N(P992))</f>
        <v/>
      </c>
      <c r="R992" s="19">
        <f>IF(OR(B992="",K992=""),"",IF(OR(L992="Sent",L992="Picked up"),"Done",IF(L992="Cancelled","Cancelled",IF(K992&lt;TODAY(),"Late by "&amp;(TODAY()-K992)&amp;IF((TODAY()-K992)=1," day"," days"),IF(K992=TODAY(),"Due today","Due in "&amp;(K992-TODAY())&amp;IF((K992-TODAY())=1," day"," days"))))))</f>
        <v/>
      </c>
      <c r="S992" s="33" t="n"/>
      <c r="T992" s="1">
        <f>IF(AND(B992&lt;&gt;"",K992&lt;&gt;"",L992&lt;&gt;"Sent",L992&lt;&gt;"Picked up",L992&lt;&gt;"Cancelled"),K992+ROW()/10000000,"")</f>
        <v/>
      </c>
      <c r="U992">
        <f>IF(OR(B992="",C992=""),"",B992+ROW()/10000000)</f>
        <v/>
      </c>
      <c r="V992">
        <f>IF(U992="","",IF(COUNTIFS(Orders!$C$6:$C$1005,C992,Orders!$U$6:$U$1005,"&gt;"&amp;U992)=0,1,0))</f>
        <v/>
      </c>
      <c r="W992">
        <f>IF(AND(B992&lt;&gt;"",K992&lt;&gt;"",L992&lt;&gt;"Sent",L992&lt;&gt;"Picked up",L992&lt;&gt;"Cancelled"),IF(N(E992)=0,1,E992),0)</f>
        <v/>
      </c>
      <c r="X992">
        <f>IF(OR(B992="",D992=""),"",IF(N(E992)=0,1,E992))</f>
        <v/>
      </c>
    </row>
    <row r="993">
      <c r="A993" s="1" t="n"/>
      <c r="B993" s="31" t="n"/>
      <c r="C993" s="32" t="n"/>
      <c r="D993" s="33" t="n"/>
      <c r="E993" s="34" t="n"/>
      <c r="F993" s="35" t="n"/>
      <c r="G993" s="35" t="n"/>
      <c r="H993" s="30">
        <f>IF(OR(B993="",D993=""),"",IF(N(E993)=0,1,E993)*IFERROR(INDEX(Products!$C$6:$C$105,MATCH(D993,Products!$B$6:$B$105,0)),0)+N(F993)+N(G993))</f>
        <v/>
      </c>
      <c r="I993" s="35" t="n"/>
      <c r="J993" s="30">
        <f>IF(OR(H993="",L993="Cancelled"),"",IF(H993-N(I993)&gt;0.005,H993-N(I993),""))</f>
        <v/>
      </c>
      <c r="K993" s="31" t="n"/>
      <c r="L993" s="36" t="n"/>
      <c r="M993" s="33" t="n"/>
      <c r="N993" s="22">
        <f>IF(OR(H993="",L993="Cancelled"),"",IF(N(E993)=0,1,E993)*IFERROR(INDEX(Products!$E$6:$E$105,MATCH(D993,Products!$B$6:$B$105,0)),0))</f>
        <v/>
      </c>
      <c r="O993" s="35" t="n"/>
      <c r="P993" s="22">
        <f>IF(OR(H993="",L993="Cancelled"),"",ROUND(IFERROR(H993*INDEX(Settings!$C$6:$C$15,MATCH(M993,Settings!$B$6:$B$15,0))+INDEX(Settings!$D$6:$D$15,MATCH(M993,Settings!$B$6:$B$15,0)),0),2))</f>
        <v/>
      </c>
      <c r="Q993" s="28">
        <f>IF(OR(H993="",L993="Cancelled"),"",H993-N(N993)-N(O993)-N(P993))</f>
        <v/>
      </c>
      <c r="R993" s="19">
        <f>IF(OR(B993="",K993=""),"",IF(OR(L993="Sent",L993="Picked up"),"Done",IF(L993="Cancelled","Cancelled",IF(K993&lt;TODAY(),"Late by "&amp;(TODAY()-K993)&amp;IF((TODAY()-K993)=1," day"," days"),IF(K993=TODAY(),"Due today","Due in "&amp;(K993-TODAY())&amp;IF((K993-TODAY())=1," day"," days"))))))</f>
        <v/>
      </c>
      <c r="S993" s="33" t="n"/>
      <c r="T993" s="1">
        <f>IF(AND(B993&lt;&gt;"",K993&lt;&gt;"",L993&lt;&gt;"Sent",L993&lt;&gt;"Picked up",L993&lt;&gt;"Cancelled"),K993+ROW()/10000000,"")</f>
        <v/>
      </c>
      <c r="U993">
        <f>IF(OR(B993="",C993=""),"",B993+ROW()/10000000)</f>
        <v/>
      </c>
      <c r="V993">
        <f>IF(U993="","",IF(COUNTIFS(Orders!$C$6:$C$1005,C993,Orders!$U$6:$U$1005,"&gt;"&amp;U993)=0,1,0))</f>
        <v/>
      </c>
      <c r="W993">
        <f>IF(AND(B993&lt;&gt;"",K993&lt;&gt;"",L993&lt;&gt;"Sent",L993&lt;&gt;"Picked up",L993&lt;&gt;"Cancelled"),IF(N(E993)=0,1,E993),0)</f>
        <v/>
      </c>
      <c r="X993">
        <f>IF(OR(B993="",D993=""),"",IF(N(E993)=0,1,E993))</f>
        <v/>
      </c>
    </row>
    <row r="994">
      <c r="A994" s="1" t="n"/>
      <c r="B994" s="31" t="n"/>
      <c r="C994" s="32" t="n"/>
      <c r="D994" s="33" t="n"/>
      <c r="E994" s="34" t="n"/>
      <c r="F994" s="35" t="n"/>
      <c r="G994" s="35" t="n"/>
      <c r="H994" s="30">
        <f>IF(OR(B994="",D994=""),"",IF(N(E994)=0,1,E994)*IFERROR(INDEX(Products!$C$6:$C$105,MATCH(D994,Products!$B$6:$B$105,0)),0)+N(F994)+N(G994))</f>
        <v/>
      </c>
      <c r="I994" s="35" t="n"/>
      <c r="J994" s="30">
        <f>IF(OR(H994="",L994="Cancelled"),"",IF(H994-N(I994)&gt;0.005,H994-N(I994),""))</f>
        <v/>
      </c>
      <c r="K994" s="31" t="n"/>
      <c r="L994" s="36" t="n"/>
      <c r="M994" s="33" t="n"/>
      <c r="N994" s="22">
        <f>IF(OR(H994="",L994="Cancelled"),"",IF(N(E994)=0,1,E994)*IFERROR(INDEX(Products!$E$6:$E$105,MATCH(D994,Products!$B$6:$B$105,0)),0))</f>
        <v/>
      </c>
      <c r="O994" s="35" t="n"/>
      <c r="P994" s="22">
        <f>IF(OR(H994="",L994="Cancelled"),"",ROUND(IFERROR(H994*INDEX(Settings!$C$6:$C$15,MATCH(M994,Settings!$B$6:$B$15,0))+INDEX(Settings!$D$6:$D$15,MATCH(M994,Settings!$B$6:$B$15,0)),0),2))</f>
        <v/>
      </c>
      <c r="Q994" s="28">
        <f>IF(OR(H994="",L994="Cancelled"),"",H994-N(N994)-N(O994)-N(P994))</f>
        <v/>
      </c>
      <c r="R994" s="19">
        <f>IF(OR(B994="",K994=""),"",IF(OR(L994="Sent",L994="Picked up"),"Done",IF(L994="Cancelled","Cancelled",IF(K994&lt;TODAY(),"Late by "&amp;(TODAY()-K994)&amp;IF((TODAY()-K994)=1," day"," days"),IF(K994=TODAY(),"Due today","Due in "&amp;(K994-TODAY())&amp;IF((K994-TODAY())=1," day"," days"))))))</f>
        <v/>
      </c>
      <c r="S994" s="33" t="n"/>
      <c r="T994" s="1">
        <f>IF(AND(B994&lt;&gt;"",K994&lt;&gt;"",L994&lt;&gt;"Sent",L994&lt;&gt;"Picked up",L994&lt;&gt;"Cancelled"),K994+ROW()/10000000,"")</f>
        <v/>
      </c>
      <c r="U994">
        <f>IF(OR(B994="",C994=""),"",B994+ROW()/10000000)</f>
        <v/>
      </c>
      <c r="V994">
        <f>IF(U994="","",IF(COUNTIFS(Orders!$C$6:$C$1005,C994,Orders!$U$6:$U$1005,"&gt;"&amp;U994)=0,1,0))</f>
        <v/>
      </c>
      <c r="W994">
        <f>IF(AND(B994&lt;&gt;"",K994&lt;&gt;"",L994&lt;&gt;"Sent",L994&lt;&gt;"Picked up",L994&lt;&gt;"Cancelled"),IF(N(E994)=0,1,E994),0)</f>
        <v/>
      </c>
      <c r="X994">
        <f>IF(OR(B994="",D994=""),"",IF(N(E994)=0,1,E994))</f>
        <v/>
      </c>
    </row>
    <row r="995">
      <c r="A995" s="1" t="n"/>
      <c r="B995" s="31" t="n"/>
      <c r="C995" s="32" t="n"/>
      <c r="D995" s="33" t="n"/>
      <c r="E995" s="34" t="n"/>
      <c r="F995" s="35" t="n"/>
      <c r="G995" s="35" t="n"/>
      <c r="H995" s="30">
        <f>IF(OR(B995="",D995=""),"",IF(N(E995)=0,1,E995)*IFERROR(INDEX(Products!$C$6:$C$105,MATCH(D995,Products!$B$6:$B$105,0)),0)+N(F995)+N(G995))</f>
        <v/>
      </c>
      <c r="I995" s="35" t="n"/>
      <c r="J995" s="30">
        <f>IF(OR(H995="",L995="Cancelled"),"",IF(H995-N(I995)&gt;0.005,H995-N(I995),""))</f>
        <v/>
      </c>
      <c r="K995" s="31" t="n"/>
      <c r="L995" s="36" t="n"/>
      <c r="M995" s="33" t="n"/>
      <c r="N995" s="22">
        <f>IF(OR(H995="",L995="Cancelled"),"",IF(N(E995)=0,1,E995)*IFERROR(INDEX(Products!$E$6:$E$105,MATCH(D995,Products!$B$6:$B$105,0)),0))</f>
        <v/>
      </c>
      <c r="O995" s="35" t="n"/>
      <c r="P995" s="22">
        <f>IF(OR(H995="",L995="Cancelled"),"",ROUND(IFERROR(H995*INDEX(Settings!$C$6:$C$15,MATCH(M995,Settings!$B$6:$B$15,0))+INDEX(Settings!$D$6:$D$15,MATCH(M995,Settings!$B$6:$B$15,0)),0),2))</f>
        <v/>
      </c>
      <c r="Q995" s="28">
        <f>IF(OR(H995="",L995="Cancelled"),"",H995-N(N995)-N(O995)-N(P995))</f>
        <v/>
      </c>
      <c r="R995" s="19">
        <f>IF(OR(B995="",K995=""),"",IF(OR(L995="Sent",L995="Picked up"),"Done",IF(L995="Cancelled","Cancelled",IF(K995&lt;TODAY(),"Late by "&amp;(TODAY()-K995)&amp;IF((TODAY()-K995)=1," day"," days"),IF(K995=TODAY(),"Due today","Due in "&amp;(K995-TODAY())&amp;IF((K995-TODAY())=1," day"," days"))))))</f>
        <v/>
      </c>
      <c r="S995" s="33" t="n"/>
      <c r="T995" s="1">
        <f>IF(AND(B995&lt;&gt;"",K995&lt;&gt;"",L995&lt;&gt;"Sent",L995&lt;&gt;"Picked up",L995&lt;&gt;"Cancelled"),K995+ROW()/10000000,"")</f>
        <v/>
      </c>
      <c r="U995">
        <f>IF(OR(B995="",C995=""),"",B995+ROW()/10000000)</f>
        <v/>
      </c>
      <c r="V995">
        <f>IF(U995="","",IF(COUNTIFS(Orders!$C$6:$C$1005,C995,Orders!$U$6:$U$1005,"&gt;"&amp;U995)=0,1,0))</f>
        <v/>
      </c>
      <c r="W995">
        <f>IF(AND(B995&lt;&gt;"",K995&lt;&gt;"",L995&lt;&gt;"Sent",L995&lt;&gt;"Picked up",L995&lt;&gt;"Cancelled"),IF(N(E995)=0,1,E995),0)</f>
        <v/>
      </c>
      <c r="X995">
        <f>IF(OR(B995="",D995=""),"",IF(N(E995)=0,1,E995))</f>
        <v/>
      </c>
    </row>
    <row r="996">
      <c r="A996" s="1" t="n"/>
      <c r="B996" s="31" t="n"/>
      <c r="C996" s="32" t="n"/>
      <c r="D996" s="33" t="n"/>
      <c r="E996" s="34" t="n"/>
      <c r="F996" s="35" t="n"/>
      <c r="G996" s="35" t="n"/>
      <c r="H996" s="30">
        <f>IF(OR(B996="",D996=""),"",IF(N(E996)=0,1,E996)*IFERROR(INDEX(Products!$C$6:$C$105,MATCH(D996,Products!$B$6:$B$105,0)),0)+N(F996)+N(G996))</f>
        <v/>
      </c>
      <c r="I996" s="35" t="n"/>
      <c r="J996" s="30">
        <f>IF(OR(H996="",L996="Cancelled"),"",IF(H996-N(I996)&gt;0.005,H996-N(I996),""))</f>
        <v/>
      </c>
      <c r="K996" s="31" t="n"/>
      <c r="L996" s="36" t="n"/>
      <c r="M996" s="33" t="n"/>
      <c r="N996" s="22">
        <f>IF(OR(H996="",L996="Cancelled"),"",IF(N(E996)=0,1,E996)*IFERROR(INDEX(Products!$E$6:$E$105,MATCH(D996,Products!$B$6:$B$105,0)),0))</f>
        <v/>
      </c>
      <c r="O996" s="35" t="n"/>
      <c r="P996" s="22">
        <f>IF(OR(H996="",L996="Cancelled"),"",ROUND(IFERROR(H996*INDEX(Settings!$C$6:$C$15,MATCH(M996,Settings!$B$6:$B$15,0))+INDEX(Settings!$D$6:$D$15,MATCH(M996,Settings!$B$6:$B$15,0)),0),2))</f>
        <v/>
      </c>
      <c r="Q996" s="28">
        <f>IF(OR(H996="",L996="Cancelled"),"",H996-N(N996)-N(O996)-N(P996))</f>
        <v/>
      </c>
      <c r="R996" s="19">
        <f>IF(OR(B996="",K996=""),"",IF(OR(L996="Sent",L996="Picked up"),"Done",IF(L996="Cancelled","Cancelled",IF(K996&lt;TODAY(),"Late by "&amp;(TODAY()-K996)&amp;IF((TODAY()-K996)=1," day"," days"),IF(K996=TODAY(),"Due today","Due in "&amp;(K996-TODAY())&amp;IF((K996-TODAY())=1," day"," days"))))))</f>
        <v/>
      </c>
      <c r="S996" s="33" t="n"/>
      <c r="T996" s="1">
        <f>IF(AND(B996&lt;&gt;"",K996&lt;&gt;"",L996&lt;&gt;"Sent",L996&lt;&gt;"Picked up",L996&lt;&gt;"Cancelled"),K996+ROW()/10000000,"")</f>
        <v/>
      </c>
      <c r="U996">
        <f>IF(OR(B996="",C996=""),"",B996+ROW()/10000000)</f>
        <v/>
      </c>
      <c r="V996">
        <f>IF(U996="","",IF(COUNTIFS(Orders!$C$6:$C$1005,C996,Orders!$U$6:$U$1005,"&gt;"&amp;U996)=0,1,0))</f>
        <v/>
      </c>
      <c r="W996">
        <f>IF(AND(B996&lt;&gt;"",K996&lt;&gt;"",L996&lt;&gt;"Sent",L996&lt;&gt;"Picked up",L996&lt;&gt;"Cancelled"),IF(N(E996)=0,1,E996),0)</f>
        <v/>
      </c>
      <c r="X996">
        <f>IF(OR(B996="",D996=""),"",IF(N(E996)=0,1,E996))</f>
        <v/>
      </c>
    </row>
    <row r="997">
      <c r="A997" s="1" t="n"/>
      <c r="B997" s="31" t="n"/>
      <c r="C997" s="32" t="n"/>
      <c r="D997" s="33" t="n"/>
      <c r="E997" s="34" t="n"/>
      <c r="F997" s="35" t="n"/>
      <c r="G997" s="35" t="n"/>
      <c r="H997" s="30">
        <f>IF(OR(B997="",D997=""),"",IF(N(E997)=0,1,E997)*IFERROR(INDEX(Products!$C$6:$C$105,MATCH(D997,Products!$B$6:$B$105,0)),0)+N(F997)+N(G997))</f>
        <v/>
      </c>
      <c r="I997" s="35" t="n"/>
      <c r="J997" s="30">
        <f>IF(OR(H997="",L997="Cancelled"),"",IF(H997-N(I997)&gt;0.005,H997-N(I997),""))</f>
        <v/>
      </c>
      <c r="K997" s="31" t="n"/>
      <c r="L997" s="36" t="n"/>
      <c r="M997" s="33" t="n"/>
      <c r="N997" s="22">
        <f>IF(OR(H997="",L997="Cancelled"),"",IF(N(E997)=0,1,E997)*IFERROR(INDEX(Products!$E$6:$E$105,MATCH(D997,Products!$B$6:$B$105,0)),0))</f>
        <v/>
      </c>
      <c r="O997" s="35" t="n"/>
      <c r="P997" s="22">
        <f>IF(OR(H997="",L997="Cancelled"),"",ROUND(IFERROR(H997*INDEX(Settings!$C$6:$C$15,MATCH(M997,Settings!$B$6:$B$15,0))+INDEX(Settings!$D$6:$D$15,MATCH(M997,Settings!$B$6:$B$15,0)),0),2))</f>
        <v/>
      </c>
      <c r="Q997" s="28">
        <f>IF(OR(H997="",L997="Cancelled"),"",H997-N(N997)-N(O997)-N(P997))</f>
        <v/>
      </c>
      <c r="R997" s="19">
        <f>IF(OR(B997="",K997=""),"",IF(OR(L997="Sent",L997="Picked up"),"Done",IF(L997="Cancelled","Cancelled",IF(K997&lt;TODAY(),"Late by "&amp;(TODAY()-K997)&amp;IF((TODAY()-K997)=1," day"," days"),IF(K997=TODAY(),"Due today","Due in "&amp;(K997-TODAY())&amp;IF((K997-TODAY())=1," day"," days"))))))</f>
        <v/>
      </c>
      <c r="S997" s="33" t="n"/>
      <c r="T997" s="1">
        <f>IF(AND(B997&lt;&gt;"",K997&lt;&gt;"",L997&lt;&gt;"Sent",L997&lt;&gt;"Picked up",L997&lt;&gt;"Cancelled"),K997+ROW()/10000000,"")</f>
        <v/>
      </c>
      <c r="U997">
        <f>IF(OR(B997="",C997=""),"",B997+ROW()/10000000)</f>
        <v/>
      </c>
      <c r="V997">
        <f>IF(U997="","",IF(COUNTIFS(Orders!$C$6:$C$1005,C997,Orders!$U$6:$U$1005,"&gt;"&amp;U997)=0,1,0))</f>
        <v/>
      </c>
      <c r="W997">
        <f>IF(AND(B997&lt;&gt;"",K997&lt;&gt;"",L997&lt;&gt;"Sent",L997&lt;&gt;"Picked up",L997&lt;&gt;"Cancelled"),IF(N(E997)=0,1,E997),0)</f>
        <v/>
      </c>
      <c r="X997">
        <f>IF(OR(B997="",D997=""),"",IF(N(E997)=0,1,E997))</f>
        <v/>
      </c>
    </row>
    <row r="998">
      <c r="A998" s="1" t="n"/>
      <c r="B998" s="31" t="n"/>
      <c r="C998" s="32" t="n"/>
      <c r="D998" s="33" t="n"/>
      <c r="E998" s="34" t="n"/>
      <c r="F998" s="35" t="n"/>
      <c r="G998" s="35" t="n"/>
      <c r="H998" s="30">
        <f>IF(OR(B998="",D998=""),"",IF(N(E998)=0,1,E998)*IFERROR(INDEX(Products!$C$6:$C$105,MATCH(D998,Products!$B$6:$B$105,0)),0)+N(F998)+N(G998))</f>
        <v/>
      </c>
      <c r="I998" s="35" t="n"/>
      <c r="J998" s="30">
        <f>IF(OR(H998="",L998="Cancelled"),"",IF(H998-N(I998)&gt;0.005,H998-N(I998),""))</f>
        <v/>
      </c>
      <c r="K998" s="31" t="n"/>
      <c r="L998" s="36" t="n"/>
      <c r="M998" s="33" t="n"/>
      <c r="N998" s="22">
        <f>IF(OR(H998="",L998="Cancelled"),"",IF(N(E998)=0,1,E998)*IFERROR(INDEX(Products!$E$6:$E$105,MATCH(D998,Products!$B$6:$B$105,0)),0))</f>
        <v/>
      </c>
      <c r="O998" s="35" t="n"/>
      <c r="P998" s="22">
        <f>IF(OR(H998="",L998="Cancelled"),"",ROUND(IFERROR(H998*INDEX(Settings!$C$6:$C$15,MATCH(M998,Settings!$B$6:$B$15,0))+INDEX(Settings!$D$6:$D$15,MATCH(M998,Settings!$B$6:$B$15,0)),0),2))</f>
        <v/>
      </c>
      <c r="Q998" s="28">
        <f>IF(OR(H998="",L998="Cancelled"),"",H998-N(N998)-N(O998)-N(P998))</f>
        <v/>
      </c>
      <c r="R998" s="19">
        <f>IF(OR(B998="",K998=""),"",IF(OR(L998="Sent",L998="Picked up"),"Done",IF(L998="Cancelled","Cancelled",IF(K998&lt;TODAY(),"Late by "&amp;(TODAY()-K998)&amp;IF((TODAY()-K998)=1," day"," days"),IF(K998=TODAY(),"Due today","Due in "&amp;(K998-TODAY())&amp;IF((K998-TODAY())=1," day"," days"))))))</f>
        <v/>
      </c>
      <c r="S998" s="33" t="n"/>
      <c r="T998" s="1">
        <f>IF(AND(B998&lt;&gt;"",K998&lt;&gt;"",L998&lt;&gt;"Sent",L998&lt;&gt;"Picked up",L998&lt;&gt;"Cancelled"),K998+ROW()/10000000,"")</f>
        <v/>
      </c>
      <c r="U998">
        <f>IF(OR(B998="",C998=""),"",B998+ROW()/10000000)</f>
        <v/>
      </c>
      <c r="V998">
        <f>IF(U998="","",IF(COUNTIFS(Orders!$C$6:$C$1005,C998,Orders!$U$6:$U$1005,"&gt;"&amp;U998)=0,1,0))</f>
        <v/>
      </c>
      <c r="W998">
        <f>IF(AND(B998&lt;&gt;"",K998&lt;&gt;"",L998&lt;&gt;"Sent",L998&lt;&gt;"Picked up",L998&lt;&gt;"Cancelled"),IF(N(E998)=0,1,E998),0)</f>
        <v/>
      </c>
      <c r="X998">
        <f>IF(OR(B998="",D998=""),"",IF(N(E998)=0,1,E998))</f>
        <v/>
      </c>
    </row>
    <row r="999">
      <c r="A999" s="1" t="n"/>
      <c r="B999" s="31" t="n"/>
      <c r="C999" s="32" t="n"/>
      <c r="D999" s="33" t="n"/>
      <c r="E999" s="34" t="n"/>
      <c r="F999" s="35" t="n"/>
      <c r="G999" s="35" t="n"/>
      <c r="H999" s="30">
        <f>IF(OR(B999="",D999=""),"",IF(N(E999)=0,1,E999)*IFERROR(INDEX(Products!$C$6:$C$105,MATCH(D999,Products!$B$6:$B$105,0)),0)+N(F999)+N(G999))</f>
        <v/>
      </c>
      <c r="I999" s="35" t="n"/>
      <c r="J999" s="30">
        <f>IF(OR(H999="",L999="Cancelled"),"",IF(H999-N(I999)&gt;0.005,H999-N(I999),""))</f>
        <v/>
      </c>
      <c r="K999" s="31" t="n"/>
      <c r="L999" s="36" t="n"/>
      <c r="M999" s="33" t="n"/>
      <c r="N999" s="22">
        <f>IF(OR(H999="",L999="Cancelled"),"",IF(N(E999)=0,1,E999)*IFERROR(INDEX(Products!$E$6:$E$105,MATCH(D999,Products!$B$6:$B$105,0)),0))</f>
        <v/>
      </c>
      <c r="O999" s="35" t="n"/>
      <c r="P999" s="22">
        <f>IF(OR(H999="",L999="Cancelled"),"",ROUND(IFERROR(H999*INDEX(Settings!$C$6:$C$15,MATCH(M999,Settings!$B$6:$B$15,0))+INDEX(Settings!$D$6:$D$15,MATCH(M999,Settings!$B$6:$B$15,0)),0),2))</f>
        <v/>
      </c>
      <c r="Q999" s="28">
        <f>IF(OR(H999="",L999="Cancelled"),"",H999-N(N999)-N(O999)-N(P999))</f>
        <v/>
      </c>
      <c r="R999" s="19">
        <f>IF(OR(B999="",K999=""),"",IF(OR(L999="Sent",L999="Picked up"),"Done",IF(L999="Cancelled","Cancelled",IF(K999&lt;TODAY(),"Late by "&amp;(TODAY()-K999)&amp;IF((TODAY()-K999)=1," day"," days"),IF(K999=TODAY(),"Due today","Due in "&amp;(K999-TODAY())&amp;IF((K999-TODAY())=1," day"," days"))))))</f>
        <v/>
      </c>
      <c r="S999" s="33" t="n"/>
      <c r="T999" s="1">
        <f>IF(AND(B999&lt;&gt;"",K999&lt;&gt;"",L999&lt;&gt;"Sent",L999&lt;&gt;"Picked up",L999&lt;&gt;"Cancelled"),K999+ROW()/10000000,"")</f>
        <v/>
      </c>
      <c r="U999">
        <f>IF(OR(B999="",C999=""),"",B999+ROW()/10000000)</f>
        <v/>
      </c>
      <c r="V999">
        <f>IF(U999="","",IF(COUNTIFS(Orders!$C$6:$C$1005,C999,Orders!$U$6:$U$1005,"&gt;"&amp;U999)=0,1,0))</f>
        <v/>
      </c>
      <c r="W999">
        <f>IF(AND(B999&lt;&gt;"",K999&lt;&gt;"",L999&lt;&gt;"Sent",L999&lt;&gt;"Picked up",L999&lt;&gt;"Cancelled"),IF(N(E999)=0,1,E999),0)</f>
        <v/>
      </c>
      <c r="X999">
        <f>IF(OR(B999="",D999=""),"",IF(N(E999)=0,1,E999))</f>
        <v/>
      </c>
    </row>
    <row r="1000">
      <c r="A1000" s="1" t="n"/>
      <c r="B1000" s="31" t="n"/>
      <c r="C1000" s="32" t="n"/>
      <c r="D1000" s="33" t="n"/>
      <c r="E1000" s="34" t="n"/>
      <c r="F1000" s="35" t="n"/>
      <c r="G1000" s="35" t="n"/>
      <c r="H1000" s="30">
        <f>IF(OR(B1000="",D1000=""),"",IF(N(E1000)=0,1,E1000)*IFERROR(INDEX(Products!$C$6:$C$105,MATCH(D1000,Products!$B$6:$B$105,0)),0)+N(F1000)+N(G1000))</f>
        <v/>
      </c>
      <c r="I1000" s="35" t="n"/>
      <c r="J1000" s="30">
        <f>IF(OR(H1000="",L1000="Cancelled"),"",IF(H1000-N(I1000)&gt;0.005,H1000-N(I1000),""))</f>
        <v/>
      </c>
      <c r="K1000" s="31" t="n"/>
      <c r="L1000" s="36" t="n"/>
      <c r="M1000" s="33" t="n"/>
      <c r="N1000" s="22">
        <f>IF(OR(H1000="",L1000="Cancelled"),"",IF(N(E1000)=0,1,E1000)*IFERROR(INDEX(Products!$E$6:$E$105,MATCH(D1000,Products!$B$6:$B$105,0)),0))</f>
        <v/>
      </c>
      <c r="O1000" s="35" t="n"/>
      <c r="P1000" s="22">
        <f>IF(OR(H1000="",L1000="Cancelled"),"",ROUND(IFERROR(H1000*INDEX(Settings!$C$6:$C$15,MATCH(M1000,Settings!$B$6:$B$15,0))+INDEX(Settings!$D$6:$D$15,MATCH(M1000,Settings!$B$6:$B$15,0)),0),2))</f>
        <v/>
      </c>
      <c r="Q1000" s="28">
        <f>IF(OR(H1000="",L1000="Cancelled"),"",H1000-N(N1000)-N(O1000)-N(P1000))</f>
        <v/>
      </c>
      <c r="R1000" s="19">
        <f>IF(OR(B1000="",K1000=""),"",IF(OR(L1000="Sent",L1000="Picked up"),"Done",IF(L1000="Cancelled","Cancelled",IF(K1000&lt;TODAY(),"Late by "&amp;(TODAY()-K1000)&amp;IF((TODAY()-K1000)=1," day"," days"),IF(K1000=TODAY(),"Due today","Due in "&amp;(K1000-TODAY())&amp;IF((K1000-TODAY())=1," day"," days"))))))</f>
        <v/>
      </c>
      <c r="S1000" s="33" t="n"/>
      <c r="T1000" s="1">
        <f>IF(AND(B1000&lt;&gt;"",K1000&lt;&gt;"",L1000&lt;&gt;"Sent",L1000&lt;&gt;"Picked up",L1000&lt;&gt;"Cancelled"),K1000+ROW()/10000000,"")</f>
        <v/>
      </c>
      <c r="U1000">
        <f>IF(OR(B1000="",C1000=""),"",B1000+ROW()/10000000)</f>
        <v/>
      </c>
      <c r="V1000">
        <f>IF(U1000="","",IF(COUNTIFS(Orders!$C$6:$C$1005,C1000,Orders!$U$6:$U$1005,"&gt;"&amp;U1000)=0,1,0))</f>
        <v/>
      </c>
      <c r="W1000">
        <f>IF(AND(B1000&lt;&gt;"",K1000&lt;&gt;"",L1000&lt;&gt;"Sent",L1000&lt;&gt;"Picked up",L1000&lt;&gt;"Cancelled"),IF(N(E1000)=0,1,E1000),0)</f>
        <v/>
      </c>
      <c r="X1000">
        <f>IF(OR(B1000="",D1000=""),"",IF(N(E1000)=0,1,E1000))</f>
        <v/>
      </c>
    </row>
    <row r="1001">
      <c r="A1001" s="1" t="n"/>
      <c r="B1001" s="31" t="n"/>
      <c r="C1001" s="32" t="n"/>
      <c r="D1001" s="33" t="n"/>
      <c r="E1001" s="34" t="n"/>
      <c r="F1001" s="35" t="n"/>
      <c r="G1001" s="35" t="n"/>
      <c r="H1001" s="30">
        <f>IF(OR(B1001="",D1001=""),"",IF(N(E1001)=0,1,E1001)*IFERROR(INDEX(Products!$C$6:$C$105,MATCH(D1001,Products!$B$6:$B$105,0)),0)+N(F1001)+N(G1001))</f>
        <v/>
      </c>
      <c r="I1001" s="35" t="n"/>
      <c r="J1001" s="30">
        <f>IF(OR(H1001="",L1001="Cancelled"),"",IF(H1001-N(I1001)&gt;0.005,H1001-N(I1001),""))</f>
        <v/>
      </c>
      <c r="K1001" s="31" t="n"/>
      <c r="L1001" s="36" t="n"/>
      <c r="M1001" s="33" t="n"/>
      <c r="N1001" s="22">
        <f>IF(OR(H1001="",L1001="Cancelled"),"",IF(N(E1001)=0,1,E1001)*IFERROR(INDEX(Products!$E$6:$E$105,MATCH(D1001,Products!$B$6:$B$105,0)),0))</f>
        <v/>
      </c>
      <c r="O1001" s="35" t="n"/>
      <c r="P1001" s="22">
        <f>IF(OR(H1001="",L1001="Cancelled"),"",ROUND(IFERROR(H1001*INDEX(Settings!$C$6:$C$15,MATCH(M1001,Settings!$B$6:$B$15,0))+INDEX(Settings!$D$6:$D$15,MATCH(M1001,Settings!$B$6:$B$15,0)),0),2))</f>
        <v/>
      </c>
      <c r="Q1001" s="28">
        <f>IF(OR(H1001="",L1001="Cancelled"),"",H1001-N(N1001)-N(O1001)-N(P1001))</f>
        <v/>
      </c>
      <c r="R1001" s="19">
        <f>IF(OR(B1001="",K1001=""),"",IF(OR(L1001="Sent",L1001="Picked up"),"Done",IF(L1001="Cancelled","Cancelled",IF(K1001&lt;TODAY(),"Late by "&amp;(TODAY()-K1001)&amp;IF((TODAY()-K1001)=1," day"," days"),IF(K1001=TODAY(),"Due today","Due in "&amp;(K1001-TODAY())&amp;IF((K1001-TODAY())=1," day"," days"))))))</f>
        <v/>
      </c>
      <c r="S1001" s="33" t="n"/>
      <c r="T1001" s="1">
        <f>IF(AND(B1001&lt;&gt;"",K1001&lt;&gt;"",L1001&lt;&gt;"Sent",L1001&lt;&gt;"Picked up",L1001&lt;&gt;"Cancelled"),K1001+ROW()/10000000,"")</f>
        <v/>
      </c>
      <c r="U1001">
        <f>IF(OR(B1001="",C1001=""),"",B1001+ROW()/10000000)</f>
        <v/>
      </c>
      <c r="V1001">
        <f>IF(U1001="","",IF(COUNTIFS(Orders!$C$6:$C$1005,C1001,Orders!$U$6:$U$1005,"&gt;"&amp;U1001)=0,1,0))</f>
        <v/>
      </c>
      <c r="W1001">
        <f>IF(AND(B1001&lt;&gt;"",K1001&lt;&gt;"",L1001&lt;&gt;"Sent",L1001&lt;&gt;"Picked up",L1001&lt;&gt;"Cancelled"),IF(N(E1001)=0,1,E1001),0)</f>
        <v/>
      </c>
      <c r="X1001">
        <f>IF(OR(B1001="",D1001=""),"",IF(N(E1001)=0,1,E1001))</f>
        <v/>
      </c>
    </row>
    <row r="1002">
      <c r="A1002" s="1" t="n"/>
      <c r="B1002" s="31" t="n"/>
      <c r="C1002" s="32" t="n"/>
      <c r="D1002" s="33" t="n"/>
      <c r="E1002" s="34" t="n"/>
      <c r="F1002" s="35" t="n"/>
      <c r="G1002" s="35" t="n"/>
      <c r="H1002" s="30">
        <f>IF(OR(B1002="",D1002=""),"",IF(N(E1002)=0,1,E1002)*IFERROR(INDEX(Products!$C$6:$C$105,MATCH(D1002,Products!$B$6:$B$105,0)),0)+N(F1002)+N(G1002))</f>
        <v/>
      </c>
      <c r="I1002" s="35" t="n"/>
      <c r="J1002" s="30">
        <f>IF(OR(H1002="",L1002="Cancelled"),"",IF(H1002-N(I1002)&gt;0.005,H1002-N(I1002),""))</f>
        <v/>
      </c>
      <c r="K1002" s="31" t="n"/>
      <c r="L1002" s="36" t="n"/>
      <c r="M1002" s="33" t="n"/>
      <c r="N1002" s="22">
        <f>IF(OR(H1002="",L1002="Cancelled"),"",IF(N(E1002)=0,1,E1002)*IFERROR(INDEX(Products!$E$6:$E$105,MATCH(D1002,Products!$B$6:$B$105,0)),0))</f>
        <v/>
      </c>
      <c r="O1002" s="35" t="n"/>
      <c r="P1002" s="22">
        <f>IF(OR(H1002="",L1002="Cancelled"),"",ROUND(IFERROR(H1002*INDEX(Settings!$C$6:$C$15,MATCH(M1002,Settings!$B$6:$B$15,0))+INDEX(Settings!$D$6:$D$15,MATCH(M1002,Settings!$B$6:$B$15,0)),0),2))</f>
        <v/>
      </c>
      <c r="Q1002" s="28">
        <f>IF(OR(H1002="",L1002="Cancelled"),"",H1002-N(N1002)-N(O1002)-N(P1002))</f>
        <v/>
      </c>
      <c r="R1002" s="19">
        <f>IF(OR(B1002="",K1002=""),"",IF(OR(L1002="Sent",L1002="Picked up"),"Done",IF(L1002="Cancelled","Cancelled",IF(K1002&lt;TODAY(),"Late by "&amp;(TODAY()-K1002)&amp;IF((TODAY()-K1002)=1," day"," days"),IF(K1002=TODAY(),"Due today","Due in "&amp;(K1002-TODAY())&amp;IF((K1002-TODAY())=1," day"," days"))))))</f>
        <v/>
      </c>
      <c r="S1002" s="33" t="n"/>
      <c r="T1002" s="1">
        <f>IF(AND(B1002&lt;&gt;"",K1002&lt;&gt;"",L1002&lt;&gt;"Sent",L1002&lt;&gt;"Picked up",L1002&lt;&gt;"Cancelled"),K1002+ROW()/10000000,"")</f>
        <v/>
      </c>
      <c r="U1002">
        <f>IF(OR(B1002="",C1002=""),"",B1002+ROW()/10000000)</f>
        <v/>
      </c>
      <c r="V1002">
        <f>IF(U1002="","",IF(COUNTIFS(Orders!$C$6:$C$1005,C1002,Orders!$U$6:$U$1005,"&gt;"&amp;U1002)=0,1,0))</f>
        <v/>
      </c>
      <c r="W1002">
        <f>IF(AND(B1002&lt;&gt;"",K1002&lt;&gt;"",L1002&lt;&gt;"Sent",L1002&lt;&gt;"Picked up",L1002&lt;&gt;"Cancelled"),IF(N(E1002)=0,1,E1002),0)</f>
        <v/>
      </c>
      <c r="X1002">
        <f>IF(OR(B1002="",D1002=""),"",IF(N(E1002)=0,1,E1002))</f>
        <v/>
      </c>
    </row>
    <row r="1003">
      <c r="A1003" s="1" t="n"/>
      <c r="B1003" s="31" t="n"/>
      <c r="C1003" s="32" t="n"/>
      <c r="D1003" s="33" t="n"/>
      <c r="E1003" s="34" t="n"/>
      <c r="F1003" s="35" t="n"/>
      <c r="G1003" s="35" t="n"/>
      <c r="H1003" s="30">
        <f>IF(OR(B1003="",D1003=""),"",IF(N(E1003)=0,1,E1003)*IFERROR(INDEX(Products!$C$6:$C$105,MATCH(D1003,Products!$B$6:$B$105,0)),0)+N(F1003)+N(G1003))</f>
        <v/>
      </c>
      <c r="I1003" s="35" t="n"/>
      <c r="J1003" s="30">
        <f>IF(OR(H1003="",L1003="Cancelled"),"",IF(H1003-N(I1003)&gt;0.005,H1003-N(I1003),""))</f>
        <v/>
      </c>
      <c r="K1003" s="31" t="n"/>
      <c r="L1003" s="36" t="n"/>
      <c r="M1003" s="33" t="n"/>
      <c r="N1003" s="22">
        <f>IF(OR(H1003="",L1003="Cancelled"),"",IF(N(E1003)=0,1,E1003)*IFERROR(INDEX(Products!$E$6:$E$105,MATCH(D1003,Products!$B$6:$B$105,0)),0))</f>
        <v/>
      </c>
      <c r="O1003" s="35" t="n"/>
      <c r="P1003" s="22">
        <f>IF(OR(H1003="",L1003="Cancelled"),"",ROUND(IFERROR(H1003*INDEX(Settings!$C$6:$C$15,MATCH(M1003,Settings!$B$6:$B$15,0))+INDEX(Settings!$D$6:$D$15,MATCH(M1003,Settings!$B$6:$B$15,0)),0),2))</f>
        <v/>
      </c>
      <c r="Q1003" s="28">
        <f>IF(OR(H1003="",L1003="Cancelled"),"",H1003-N(N1003)-N(O1003)-N(P1003))</f>
        <v/>
      </c>
      <c r="R1003" s="19">
        <f>IF(OR(B1003="",K1003=""),"",IF(OR(L1003="Sent",L1003="Picked up"),"Done",IF(L1003="Cancelled","Cancelled",IF(K1003&lt;TODAY(),"Late by "&amp;(TODAY()-K1003)&amp;IF((TODAY()-K1003)=1," day"," days"),IF(K1003=TODAY(),"Due today","Due in "&amp;(K1003-TODAY())&amp;IF((K1003-TODAY())=1," day"," days"))))))</f>
        <v/>
      </c>
      <c r="S1003" s="33" t="n"/>
      <c r="T1003" s="1">
        <f>IF(AND(B1003&lt;&gt;"",K1003&lt;&gt;"",L1003&lt;&gt;"Sent",L1003&lt;&gt;"Picked up",L1003&lt;&gt;"Cancelled"),K1003+ROW()/10000000,"")</f>
        <v/>
      </c>
      <c r="U1003">
        <f>IF(OR(B1003="",C1003=""),"",B1003+ROW()/10000000)</f>
        <v/>
      </c>
      <c r="V1003">
        <f>IF(U1003="","",IF(COUNTIFS(Orders!$C$6:$C$1005,C1003,Orders!$U$6:$U$1005,"&gt;"&amp;U1003)=0,1,0))</f>
        <v/>
      </c>
      <c r="W1003">
        <f>IF(AND(B1003&lt;&gt;"",K1003&lt;&gt;"",L1003&lt;&gt;"Sent",L1003&lt;&gt;"Picked up",L1003&lt;&gt;"Cancelled"),IF(N(E1003)=0,1,E1003),0)</f>
        <v/>
      </c>
      <c r="X1003">
        <f>IF(OR(B1003="",D1003=""),"",IF(N(E1003)=0,1,E1003))</f>
        <v/>
      </c>
    </row>
    <row r="1004">
      <c r="A1004" s="1" t="n"/>
      <c r="B1004" s="31" t="n"/>
      <c r="C1004" s="32" t="n"/>
      <c r="D1004" s="33" t="n"/>
      <c r="E1004" s="34" t="n"/>
      <c r="F1004" s="35" t="n"/>
      <c r="G1004" s="35" t="n"/>
      <c r="H1004" s="30">
        <f>IF(OR(B1004="",D1004=""),"",IF(N(E1004)=0,1,E1004)*IFERROR(INDEX(Products!$C$6:$C$105,MATCH(D1004,Products!$B$6:$B$105,0)),0)+N(F1004)+N(G1004))</f>
        <v/>
      </c>
      <c r="I1004" s="35" t="n"/>
      <c r="J1004" s="30">
        <f>IF(OR(H1004="",L1004="Cancelled"),"",IF(H1004-N(I1004)&gt;0.005,H1004-N(I1004),""))</f>
        <v/>
      </c>
      <c r="K1004" s="31" t="n"/>
      <c r="L1004" s="36" t="n"/>
      <c r="M1004" s="33" t="n"/>
      <c r="N1004" s="22">
        <f>IF(OR(H1004="",L1004="Cancelled"),"",IF(N(E1004)=0,1,E1004)*IFERROR(INDEX(Products!$E$6:$E$105,MATCH(D1004,Products!$B$6:$B$105,0)),0))</f>
        <v/>
      </c>
      <c r="O1004" s="35" t="n"/>
      <c r="P1004" s="22">
        <f>IF(OR(H1004="",L1004="Cancelled"),"",ROUND(IFERROR(H1004*INDEX(Settings!$C$6:$C$15,MATCH(M1004,Settings!$B$6:$B$15,0))+INDEX(Settings!$D$6:$D$15,MATCH(M1004,Settings!$B$6:$B$15,0)),0),2))</f>
        <v/>
      </c>
      <c r="Q1004" s="28">
        <f>IF(OR(H1004="",L1004="Cancelled"),"",H1004-N(N1004)-N(O1004)-N(P1004))</f>
        <v/>
      </c>
      <c r="R1004" s="19">
        <f>IF(OR(B1004="",K1004=""),"",IF(OR(L1004="Sent",L1004="Picked up"),"Done",IF(L1004="Cancelled","Cancelled",IF(K1004&lt;TODAY(),"Late by "&amp;(TODAY()-K1004)&amp;IF((TODAY()-K1004)=1," day"," days"),IF(K1004=TODAY(),"Due today","Due in "&amp;(K1004-TODAY())&amp;IF((K1004-TODAY())=1," day"," days"))))))</f>
        <v/>
      </c>
      <c r="S1004" s="33" t="n"/>
      <c r="T1004" s="1">
        <f>IF(AND(B1004&lt;&gt;"",K1004&lt;&gt;"",L1004&lt;&gt;"Sent",L1004&lt;&gt;"Picked up",L1004&lt;&gt;"Cancelled"),K1004+ROW()/10000000,"")</f>
        <v/>
      </c>
      <c r="U1004">
        <f>IF(OR(B1004="",C1004=""),"",B1004+ROW()/10000000)</f>
        <v/>
      </c>
      <c r="V1004">
        <f>IF(U1004="","",IF(COUNTIFS(Orders!$C$6:$C$1005,C1004,Orders!$U$6:$U$1005,"&gt;"&amp;U1004)=0,1,0))</f>
        <v/>
      </c>
      <c r="W1004">
        <f>IF(AND(B1004&lt;&gt;"",K1004&lt;&gt;"",L1004&lt;&gt;"Sent",L1004&lt;&gt;"Picked up",L1004&lt;&gt;"Cancelled"),IF(N(E1004)=0,1,E1004),0)</f>
        <v/>
      </c>
      <c r="X1004">
        <f>IF(OR(B1004="",D1004=""),"",IF(N(E1004)=0,1,E1004))</f>
        <v/>
      </c>
    </row>
    <row r="1005">
      <c r="A1005" s="1" t="n"/>
      <c r="B1005" s="31" t="n"/>
      <c r="C1005" s="32" t="n"/>
      <c r="D1005" s="33" t="n"/>
      <c r="E1005" s="34" t="n"/>
      <c r="F1005" s="35" t="n"/>
      <c r="G1005" s="35" t="n"/>
      <c r="H1005" s="30">
        <f>IF(OR(B1005="",D1005=""),"",IF(N(E1005)=0,1,E1005)*IFERROR(INDEX(Products!$C$6:$C$105,MATCH(D1005,Products!$B$6:$B$105,0)),0)+N(F1005)+N(G1005))</f>
        <v/>
      </c>
      <c r="I1005" s="35" t="n"/>
      <c r="J1005" s="30">
        <f>IF(OR(H1005="",L1005="Cancelled"),"",IF(H1005-N(I1005)&gt;0.005,H1005-N(I1005),""))</f>
        <v/>
      </c>
      <c r="K1005" s="31" t="n"/>
      <c r="L1005" s="36" t="n"/>
      <c r="M1005" s="33" t="n"/>
      <c r="N1005" s="22">
        <f>IF(OR(H1005="",L1005="Cancelled"),"",IF(N(E1005)=0,1,E1005)*IFERROR(INDEX(Products!$E$6:$E$105,MATCH(D1005,Products!$B$6:$B$105,0)),0))</f>
        <v/>
      </c>
      <c r="O1005" s="35" t="n"/>
      <c r="P1005" s="22">
        <f>IF(OR(H1005="",L1005="Cancelled"),"",ROUND(IFERROR(H1005*INDEX(Settings!$C$6:$C$15,MATCH(M1005,Settings!$B$6:$B$15,0))+INDEX(Settings!$D$6:$D$15,MATCH(M1005,Settings!$B$6:$B$15,0)),0),2))</f>
        <v/>
      </c>
      <c r="Q1005" s="28">
        <f>IF(OR(H1005="",L1005="Cancelled"),"",H1005-N(N1005)-N(O1005)-N(P1005))</f>
        <v/>
      </c>
      <c r="R1005" s="19">
        <f>IF(OR(B1005="",K1005=""),"",IF(OR(L1005="Sent",L1005="Picked up"),"Done",IF(L1005="Cancelled","Cancelled",IF(K1005&lt;TODAY(),"Late by "&amp;(TODAY()-K1005)&amp;IF((TODAY()-K1005)=1," day"," days"),IF(K1005=TODAY(),"Due today","Due in "&amp;(K1005-TODAY())&amp;IF((K1005-TODAY())=1," day"," days"))))))</f>
        <v/>
      </c>
      <c r="S1005" s="33" t="n"/>
      <c r="T1005" s="1">
        <f>IF(AND(B1005&lt;&gt;"",K1005&lt;&gt;"",L1005&lt;&gt;"Sent",L1005&lt;&gt;"Picked up",L1005&lt;&gt;"Cancelled"),K1005+ROW()/10000000,"")</f>
        <v/>
      </c>
      <c r="U1005">
        <f>IF(OR(B1005="",C1005=""),"",B1005+ROW()/10000000)</f>
        <v/>
      </c>
      <c r="V1005">
        <f>IF(U1005="","",IF(COUNTIFS(Orders!$C$6:$C$1005,C1005,Orders!$U$6:$U$1005,"&gt;"&amp;U1005)=0,1,0))</f>
        <v/>
      </c>
      <c r="W1005">
        <f>IF(AND(B1005&lt;&gt;"",K1005&lt;&gt;"",L1005&lt;&gt;"Sent",L1005&lt;&gt;"Picked up",L1005&lt;&gt;"Cancelled"),IF(N(E1005)=0,1,E1005),0)</f>
        <v/>
      </c>
      <c r="X1005">
        <f>IF(OR(B1005="",D1005=""),"",IF(N(E1005)=0,1,E1005))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</row>
  </sheetData>
  <conditionalFormatting sqref="R6:R1005">
    <cfRule type="expression" priority="1" dxfId="0">
      <formula>LEFT($R6,4)="Late"</formula>
    </cfRule>
    <cfRule type="expression" priority="2" dxfId="1">
      <formula>OR($R6="Due today",LEFT($R6,6)="Due in")</formula>
    </cfRule>
    <cfRule type="expression" priority="3" dxfId="2">
      <formula>$R6="Done"</formula>
    </cfRule>
    <cfRule type="expression" priority="4" dxfId="3">
      <formula>$R6="Cancelled"</formula>
    </cfRule>
  </conditionalFormatting>
  <conditionalFormatting sqref="J6:J1005">
    <cfRule type="expression" priority="5" dxfId="1">
      <formula>N($J6)&gt;0</formula>
    </cfRule>
  </conditionalFormatting>
  <dataValidations count="4">
    <dataValidation sqref="C6:C1005" showDropDown="0" showInputMessage="0" showErrorMessage="1" allowBlank="1" type="list">
      <formula1>=Customers!$B$6:$B$505</formula1>
    </dataValidation>
    <dataValidation sqref="D6:D1005" showDropDown="0" showInputMessage="0" showErrorMessage="1" allowBlank="1" type="list">
      <formula1>=Products!$B$6:$B$105</formula1>
    </dataValidation>
    <dataValidation sqref="L6:L1005" showDropDown="0" showInputMessage="0" showErrorMessage="1" allowBlank="1" type="list">
      <formula1>"New,Making,Ready,Sent,Picked up,Cancelled"</formula1>
    </dataValidation>
    <dataValidation sqref="M6:M1005" showDropDown="0" showInputMessage="0" showErrorMessage="1" allowBlank="1" type="list">
      <formula1>=Settings!$B$6:$B$15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3" customWidth="1" min="9" max="9"/>
    <col width="1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Products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What you sell and its price. The cost comes from the Product materials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12" t="inlineStr">
        <is>
          <t>Product</t>
        </is>
      </c>
      <c r="C5" s="12" t="inlineStr">
        <is>
          <t>Price</t>
        </is>
      </c>
      <c r="D5" s="12" t="inlineStr">
        <is>
          <t>Minutes to make</t>
        </is>
      </c>
      <c r="E5" s="12" t="inlineStr">
        <is>
          <t>Materials cost</t>
        </is>
      </c>
      <c r="F5" s="12" t="inlineStr">
        <is>
          <t>Profit per item</t>
        </is>
      </c>
      <c r="G5" s="12" t="inlineStr">
        <is>
          <t>Margin</t>
        </is>
      </c>
      <c r="H5" s="12" t="inlineStr">
        <is>
          <t>Sold this year</t>
        </is>
      </c>
      <c r="I5" s="12" t="inlineStr">
        <is>
          <t>Sales this year</t>
        </is>
      </c>
      <c r="J5" s="12" t="inlineStr">
        <is>
          <t>In open orders</t>
        </is>
      </c>
      <c r="K5" s="1" t="n"/>
    </row>
    <row r="6">
      <c r="A6" s="1" t="n"/>
      <c r="B6" s="32" t="inlineStr">
        <is>
          <t>Soy candle 8 oz</t>
        </is>
      </c>
      <c r="C6" s="35" t="n">
        <v>22</v>
      </c>
      <c r="D6" s="34" t="n">
        <v>20</v>
      </c>
      <c r="E6" s="22">
        <f>IF(B6="","",SUMIFS('Product materials'!$F$6:$F$505,'Product materials'!$B$6:$B$505,B6))</f>
        <v/>
      </c>
      <c r="F6" s="28">
        <f>IF(B6="","",N(C6)-E6)</f>
        <v/>
      </c>
      <c r="G6" s="37">
        <f>IF(OR(B6="",N(C6)=0),"",F6/C6)</f>
        <v/>
      </c>
      <c r="H6" s="18">
        <f>IF(B6="","",SUMIFS(Orders!$X$6:$X$1005,Orders!$D$6:$D$1005,B6,Orders!$L$6:$L$1005,"Sent",Orders!$B$6:$B$1005,"&gt;="&amp;DATE(YEAR(TODAY()),1,1))+SUMIFS(Orders!$X$6:$X$1005,Orders!$D$6:$D$1005,B6,Orders!$L$6:$L$1005,"Picked up",Orders!$B$6:$B$1005,"&gt;="&amp;DATE(YEAR(TODAY()),1,1)))</f>
        <v/>
      </c>
      <c r="I6" s="22">
        <f>IF(B6="","",SUMIFS(Orders!$H$6:$H$1005,Orders!$D$6:$D$1005,B6,Orders!$L$6:$L$1005,"&lt;&gt;Cancelled",Orders!$B$6:$B$1005,"&gt;="&amp;DATE(YEAR(TODAY()),1,1)))</f>
        <v/>
      </c>
      <c r="J6" s="18">
        <f>IF(B6="","",SUMIFS(Orders!$W$6:$W$1005,Orders!$D$6:$D$1005,B6))</f>
        <v/>
      </c>
      <c r="K6" s="1" t="n"/>
    </row>
    <row r="7">
      <c r="A7" s="1" t="n"/>
      <c r="B7" s="32" t="inlineStr">
        <is>
          <t>Soy candle 16 oz</t>
        </is>
      </c>
      <c r="C7" s="35" t="n">
        <v>34</v>
      </c>
      <c r="D7" s="34" t="n">
        <v>25</v>
      </c>
      <c r="E7" s="22">
        <f>IF(B7="","",SUMIFS('Product materials'!$F$6:$F$505,'Product materials'!$B$6:$B$505,B7))</f>
        <v/>
      </c>
      <c r="F7" s="28">
        <f>IF(B7="","",N(C7)-E7)</f>
        <v/>
      </c>
      <c r="G7" s="37">
        <f>IF(OR(B7="",N(C7)=0),"",F7/C7)</f>
        <v/>
      </c>
      <c r="H7" s="18">
        <f>IF(B7="","",SUMIFS(Orders!$X$6:$X$1005,Orders!$D$6:$D$1005,B7,Orders!$L$6:$L$1005,"Sent",Orders!$B$6:$B$1005,"&gt;="&amp;DATE(YEAR(TODAY()),1,1))+SUMIFS(Orders!$X$6:$X$1005,Orders!$D$6:$D$1005,B7,Orders!$L$6:$L$1005,"Picked up",Orders!$B$6:$B$1005,"&gt;="&amp;DATE(YEAR(TODAY()),1,1)))</f>
        <v/>
      </c>
      <c r="I7" s="22">
        <f>IF(B7="","",SUMIFS(Orders!$H$6:$H$1005,Orders!$D$6:$D$1005,B7,Orders!$L$6:$L$1005,"&lt;&gt;Cancelled",Orders!$B$6:$B$1005,"&gt;="&amp;DATE(YEAR(TODAY()),1,1)))</f>
        <v/>
      </c>
      <c r="J7" s="18">
        <f>IF(B7="","",SUMIFS(Orders!$W$6:$W$1005,Orders!$D$6:$D$1005,B7))</f>
        <v/>
      </c>
      <c r="K7" s="1" t="n"/>
    </row>
    <row r="8">
      <c r="A8" s="1" t="n"/>
      <c r="B8" s="32" t="inlineStr">
        <is>
          <t>Wax melts, 6 pack</t>
        </is>
      </c>
      <c r="C8" s="35" t="n">
        <v>9</v>
      </c>
      <c r="D8" s="34" t="n">
        <v>10</v>
      </c>
      <c r="E8" s="22">
        <f>IF(B8="","",SUMIFS('Product materials'!$F$6:$F$505,'Product materials'!$B$6:$B$505,B8))</f>
        <v/>
      </c>
      <c r="F8" s="28">
        <f>IF(B8="","",N(C8)-E8)</f>
        <v/>
      </c>
      <c r="G8" s="37">
        <f>IF(OR(B8="",N(C8)=0),"",F8/C8)</f>
        <v/>
      </c>
      <c r="H8" s="18">
        <f>IF(B8="","",SUMIFS(Orders!$X$6:$X$1005,Orders!$D$6:$D$1005,B8,Orders!$L$6:$L$1005,"Sent",Orders!$B$6:$B$1005,"&gt;="&amp;DATE(YEAR(TODAY()),1,1))+SUMIFS(Orders!$X$6:$X$1005,Orders!$D$6:$D$1005,B8,Orders!$L$6:$L$1005,"Picked up",Orders!$B$6:$B$1005,"&gt;="&amp;DATE(YEAR(TODAY()),1,1)))</f>
        <v/>
      </c>
      <c r="I8" s="22">
        <f>IF(B8="","",SUMIFS(Orders!$H$6:$H$1005,Orders!$D$6:$D$1005,B8,Orders!$L$6:$L$1005,"&lt;&gt;Cancelled",Orders!$B$6:$B$1005,"&gt;="&amp;DATE(YEAR(TODAY()),1,1)))</f>
        <v/>
      </c>
      <c r="J8" s="18">
        <f>IF(B8="","",SUMIFS(Orders!$W$6:$W$1005,Orders!$D$6:$D$1005,B8))</f>
        <v/>
      </c>
      <c r="K8" s="1" t="n"/>
    </row>
    <row r="9">
      <c r="A9" s="1" t="n"/>
      <c r="B9" s="32" t="inlineStr">
        <is>
          <t>Soap bar</t>
        </is>
      </c>
      <c r="C9" s="35" t="n">
        <v>8</v>
      </c>
      <c r="D9" s="34" t="n">
        <v>10</v>
      </c>
      <c r="E9" s="22">
        <f>IF(B9="","",SUMIFS('Product materials'!$F$6:$F$505,'Product materials'!$B$6:$B$505,B9))</f>
        <v/>
      </c>
      <c r="F9" s="28">
        <f>IF(B9="","",N(C9)-E9)</f>
        <v/>
      </c>
      <c r="G9" s="37">
        <f>IF(OR(B9="",N(C9)=0),"",F9/C9)</f>
        <v/>
      </c>
      <c r="H9" s="18">
        <f>IF(B9="","",SUMIFS(Orders!$X$6:$X$1005,Orders!$D$6:$D$1005,B9,Orders!$L$6:$L$1005,"Sent",Orders!$B$6:$B$1005,"&gt;="&amp;DATE(YEAR(TODAY()),1,1))+SUMIFS(Orders!$X$6:$X$1005,Orders!$D$6:$D$1005,B9,Orders!$L$6:$L$1005,"Picked up",Orders!$B$6:$B$1005,"&gt;="&amp;DATE(YEAR(TODAY()),1,1)))</f>
        <v/>
      </c>
      <c r="I9" s="22">
        <f>IF(B9="","",SUMIFS(Orders!$H$6:$H$1005,Orders!$D$6:$D$1005,B9,Orders!$L$6:$L$1005,"&lt;&gt;Cancelled",Orders!$B$6:$B$1005,"&gt;="&amp;DATE(YEAR(TODAY()),1,1)))</f>
        <v/>
      </c>
      <c r="J9" s="18">
        <f>IF(B9="","",SUMIFS(Orders!$W$6:$W$1005,Orders!$D$6:$D$1005,B9))</f>
        <v/>
      </c>
      <c r="K9" s="1" t="n"/>
    </row>
    <row r="10">
      <c r="A10" s="1" t="n"/>
      <c r="B10" s="32" t="inlineStr">
        <is>
          <t>Gift box</t>
        </is>
      </c>
      <c r="C10" s="35" t="n">
        <v>45</v>
      </c>
      <c r="D10" s="34" t="n">
        <v>35</v>
      </c>
      <c r="E10" s="22">
        <f>IF(B10="","",SUMIFS('Product materials'!$F$6:$F$505,'Product materials'!$B$6:$B$505,B10))</f>
        <v/>
      </c>
      <c r="F10" s="28">
        <f>IF(B10="","",N(C10)-E10)</f>
        <v/>
      </c>
      <c r="G10" s="37">
        <f>IF(OR(B10="",N(C10)=0),"",F10/C10)</f>
        <v/>
      </c>
      <c r="H10" s="18">
        <f>IF(B10="","",SUMIFS(Orders!$X$6:$X$1005,Orders!$D$6:$D$1005,B10,Orders!$L$6:$L$1005,"Sent",Orders!$B$6:$B$1005,"&gt;="&amp;DATE(YEAR(TODAY()),1,1))+SUMIFS(Orders!$X$6:$X$1005,Orders!$D$6:$D$1005,B10,Orders!$L$6:$L$1005,"Picked up",Orders!$B$6:$B$1005,"&gt;="&amp;DATE(YEAR(TODAY()),1,1)))</f>
        <v/>
      </c>
      <c r="I10" s="22">
        <f>IF(B10="","",SUMIFS(Orders!$H$6:$H$1005,Orders!$D$6:$D$1005,B10,Orders!$L$6:$L$1005,"&lt;&gt;Cancelled",Orders!$B$6:$B$1005,"&gt;="&amp;DATE(YEAR(TODAY()),1,1)))</f>
        <v/>
      </c>
      <c r="J10" s="18">
        <f>IF(B10="","",SUMIFS(Orders!$W$6:$W$1005,Orders!$D$6:$D$1005,B10))</f>
        <v/>
      </c>
      <c r="K10" s="1" t="n"/>
    </row>
    <row r="11">
      <c r="A11" s="1" t="n"/>
      <c r="B11" s="32" t="inlineStr">
        <is>
          <t>Wedding favours, 10 tins</t>
        </is>
      </c>
      <c r="C11" s="35" t="n">
        <v>60</v>
      </c>
      <c r="D11" s="34" t="n">
        <v>60</v>
      </c>
      <c r="E11" s="22">
        <f>IF(B11="","",SUMIFS('Product materials'!$F$6:$F$505,'Product materials'!$B$6:$B$505,B11))</f>
        <v/>
      </c>
      <c r="F11" s="28">
        <f>IF(B11="","",N(C11)-E11)</f>
        <v/>
      </c>
      <c r="G11" s="37">
        <f>IF(OR(B11="",N(C11)=0),"",F11/C11)</f>
        <v/>
      </c>
      <c r="H11" s="18">
        <f>IF(B11="","",SUMIFS(Orders!$X$6:$X$1005,Orders!$D$6:$D$1005,B11,Orders!$L$6:$L$1005,"Sent",Orders!$B$6:$B$1005,"&gt;="&amp;DATE(YEAR(TODAY()),1,1))+SUMIFS(Orders!$X$6:$X$1005,Orders!$D$6:$D$1005,B11,Orders!$L$6:$L$1005,"Picked up",Orders!$B$6:$B$1005,"&gt;="&amp;DATE(YEAR(TODAY()),1,1)))</f>
        <v/>
      </c>
      <c r="I11" s="22">
        <f>IF(B11="","",SUMIFS(Orders!$H$6:$H$1005,Orders!$D$6:$D$1005,B11,Orders!$L$6:$L$1005,"&lt;&gt;Cancelled",Orders!$B$6:$B$1005,"&gt;="&amp;DATE(YEAR(TODAY()),1,1)))</f>
        <v/>
      </c>
      <c r="J11" s="18">
        <f>IF(B11="","",SUMIFS(Orders!$W$6:$W$1005,Orders!$D$6:$D$1005,B11))</f>
        <v/>
      </c>
      <c r="K11" s="1" t="n"/>
    </row>
    <row r="12">
      <c r="A12" s="1" t="n"/>
      <c r="B12" s="32" t="n"/>
      <c r="C12" s="35" t="n"/>
      <c r="D12" s="34" t="n"/>
      <c r="E12" s="22">
        <f>IF(B12="","",SUMIFS('Product materials'!$F$6:$F$505,'Product materials'!$B$6:$B$505,B12))</f>
        <v/>
      </c>
      <c r="F12" s="28">
        <f>IF(B12="","",N(C12)-E12)</f>
        <v/>
      </c>
      <c r="G12" s="37">
        <f>IF(OR(B12="",N(C12)=0),"",F12/C12)</f>
        <v/>
      </c>
      <c r="H12" s="18">
        <f>IF(B12="","",SUMIFS(Orders!$X$6:$X$1005,Orders!$D$6:$D$1005,B12,Orders!$L$6:$L$1005,"Sent",Orders!$B$6:$B$1005,"&gt;="&amp;DATE(YEAR(TODAY()),1,1))+SUMIFS(Orders!$X$6:$X$1005,Orders!$D$6:$D$1005,B12,Orders!$L$6:$L$1005,"Picked up",Orders!$B$6:$B$1005,"&gt;="&amp;DATE(YEAR(TODAY()),1,1)))</f>
        <v/>
      </c>
      <c r="I12" s="22">
        <f>IF(B12="","",SUMIFS(Orders!$H$6:$H$1005,Orders!$D$6:$D$1005,B12,Orders!$L$6:$L$1005,"&lt;&gt;Cancelled",Orders!$B$6:$B$1005,"&gt;="&amp;DATE(YEAR(TODAY()),1,1)))</f>
        <v/>
      </c>
      <c r="J12" s="18">
        <f>IF(B12="","",SUMIFS(Orders!$W$6:$W$1005,Orders!$D$6:$D$1005,B12))</f>
        <v/>
      </c>
      <c r="K12" s="1" t="n"/>
    </row>
    <row r="13">
      <c r="A13" s="1" t="n"/>
      <c r="B13" s="32" t="n"/>
      <c r="C13" s="35" t="n"/>
      <c r="D13" s="34" t="n"/>
      <c r="E13" s="22">
        <f>IF(B13="","",SUMIFS('Product materials'!$F$6:$F$505,'Product materials'!$B$6:$B$505,B13))</f>
        <v/>
      </c>
      <c r="F13" s="28">
        <f>IF(B13="","",N(C13)-E13)</f>
        <v/>
      </c>
      <c r="G13" s="37">
        <f>IF(OR(B13="",N(C13)=0),"",F13/C13)</f>
        <v/>
      </c>
      <c r="H13" s="18">
        <f>IF(B13="","",SUMIFS(Orders!$X$6:$X$1005,Orders!$D$6:$D$1005,B13,Orders!$L$6:$L$1005,"Sent",Orders!$B$6:$B$1005,"&gt;="&amp;DATE(YEAR(TODAY()),1,1))+SUMIFS(Orders!$X$6:$X$1005,Orders!$D$6:$D$1005,B13,Orders!$L$6:$L$1005,"Picked up",Orders!$B$6:$B$1005,"&gt;="&amp;DATE(YEAR(TODAY()),1,1)))</f>
        <v/>
      </c>
      <c r="I13" s="22">
        <f>IF(B13="","",SUMIFS(Orders!$H$6:$H$1005,Orders!$D$6:$D$1005,B13,Orders!$L$6:$L$1005,"&lt;&gt;Cancelled",Orders!$B$6:$B$1005,"&gt;="&amp;DATE(YEAR(TODAY()),1,1)))</f>
        <v/>
      </c>
      <c r="J13" s="18">
        <f>IF(B13="","",SUMIFS(Orders!$W$6:$W$1005,Orders!$D$6:$D$1005,B13))</f>
        <v/>
      </c>
      <c r="K13" s="1" t="n"/>
    </row>
    <row r="14">
      <c r="A14" s="1" t="n"/>
      <c r="B14" s="32" t="n"/>
      <c r="C14" s="35" t="n"/>
      <c r="D14" s="34" t="n"/>
      <c r="E14" s="22">
        <f>IF(B14="","",SUMIFS('Product materials'!$F$6:$F$505,'Product materials'!$B$6:$B$505,B14))</f>
        <v/>
      </c>
      <c r="F14" s="28">
        <f>IF(B14="","",N(C14)-E14)</f>
        <v/>
      </c>
      <c r="G14" s="37">
        <f>IF(OR(B14="",N(C14)=0),"",F14/C14)</f>
        <v/>
      </c>
      <c r="H14" s="18">
        <f>IF(B14="","",SUMIFS(Orders!$X$6:$X$1005,Orders!$D$6:$D$1005,B14,Orders!$L$6:$L$1005,"Sent",Orders!$B$6:$B$1005,"&gt;="&amp;DATE(YEAR(TODAY()),1,1))+SUMIFS(Orders!$X$6:$X$1005,Orders!$D$6:$D$1005,B14,Orders!$L$6:$L$1005,"Picked up",Orders!$B$6:$B$1005,"&gt;="&amp;DATE(YEAR(TODAY()),1,1)))</f>
        <v/>
      </c>
      <c r="I14" s="22">
        <f>IF(B14="","",SUMIFS(Orders!$H$6:$H$1005,Orders!$D$6:$D$1005,B14,Orders!$L$6:$L$1005,"&lt;&gt;Cancelled",Orders!$B$6:$B$1005,"&gt;="&amp;DATE(YEAR(TODAY()),1,1)))</f>
        <v/>
      </c>
      <c r="J14" s="18">
        <f>IF(B14="","",SUMIFS(Orders!$W$6:$W$1005,Orders!$D$6:$D$1005,B14))</f>
        <v/>
      </c>
      <c r="K14" s="1" t="n"/>
    </row>
    <row r="15">
      <c r="A15" s="1" t="n"/>
      <c r="B15" s="32" t="n"/>
      <c r="C15" s="35" t="n"/>
      <c r="D15" s="34" t="n"/>
      <c r="E15" s="22">
        <f>IF(B15="","",SUMIFS('Product materials'!$F$6:$F$505,'Product materials'!$B$6:$B$505,B15))</f>
        <v/>
      </c>
      <c r="F15" s="28">
        <f>IF(B15="","",N(C15)-E15)</f>
        <v/>
      </c>
      <c r="G15" s="37">
        <f>IF(OR(B15="",N(C15)=0),"",F15/C15)</f>
        <v/>
      </c>
      <c r="H15" s="18">
        <f>IF(B15="","",SUMIFS(Orders!$X$6:$X$1005,Orders!$D$6:$D$1005,B15,Orders!$L$6:$L$1005,"Sent",Orders!$B$6:$B$1005,"&gt;="&amp;DATE(YEAR(TODAY()),1,1))+SUMIFS(Orders!$X$6:$X$1005,Orders!$D$6:$D$1005,B15,Orders!$L$6:$L$1005,"Picked up",Orders!$B$6:$B$1005,"&gt;="&amp;DATE(YEAR(TODAY()),1,1)))</f>
        <v/>
      </c>
      <c r="I15" s="22">
        <f>IF(B15="","",SUMIFS(Orders!$H$6:$H$1005,Orders!$D$6:$D$1005,B15,Orders!$L$6:$L$1005,"&lt;&gt;Cancelled",Orders!$B$6:$B$1005,"&gt;="&amp;DATE(YEAR(TODAY()),1,1)))</f>
        <v/>
      </c>
      <c r="J15" s="18">
        <f>IF(B15="","",SUMIFS(Orders!$W$6:$W$1005,Orders!$D$6:$D$1005,B15))</f>
        <v/>
      </c>
      <c r="K15" s="1" t="n"/>
    </row>
    <row r="16">
      <c r="A16" s="1" t="n"/>
      <c r="B16" s="32" t="n"/>
      <c r="C16" s="35" t="n"/>
      <c r="D16" s="34" t="n"/>
      <c r="E16" s="22">
        <f>IF(B16="","",SUMIFS('Product materials'!$F$6:$F$505,'Product materials'!$B$6:$B$505,B16))</f>
        <v/>
      </c>
      <c r="F16" s="28">
        <f>IF(B16="","",N(C16)-E16)</f>
        <v/>
      </c>
      <c r="G16" s="37">
        <f>IF(OR(B16="",N(C16)=0),"",F16/C16)</f>
        <v/>
      </c>
      <c r="H16" s="18">
        <f>IF(B16="","",SUMIFS(Orders!$X$6:$X$1005,Orders!$D$6:$D$1005,B16,Orders!$L$6:$L$1005,"Sent",Orders!$B$6:$B$1005,"&gt;="&amp;DATE(YEAR(TODAY()),1,1))+SUMIFS(Orders!$X$6:$X$1005,Orders!$D$6:$D$1005,B16,Orders!$L$6:$L$1005,"Picked up",Orders!$B$6:$B$1005,"&gt;="&amp;DATE(YEAR(TODAY()),1,1)))</f>
        <v/>
      </c>
      <c r="I16" s="22">
        <f>IF(B16="","",SUMIFS(Orders!$H$6:$H$1005,Orders!$D$6:$D$1005,B16,Orders!$L$6:$L$1005,"&lt;&gt;Cancelled",Orders!$B$6:$B$1005,"&gt;="&amp;DATE(YEAR(TODAY()),1,1)))</f>
        <v/>
      </c>
      <c r="J16" s="18">
        <f>IF(B16="","",SUMIFS(Orders!$W$6:$W$1005,Orders!$D$6:$D$1005,B16))</f>
        <v/>
      </c>
      <c r="K16" s="1" t="n"/>
    </row>
    <row r="17">
      <c r="A17" s="1" t="n"/>
      <c r="B17" s="32" t="n"/>
      <c r="C17" s="35" t="n"/>
      <c r="D17" s="34" t="n"/>
      <c r="E17" s="22">
        <f>IF(B17="","",SUMIFS('Product materials'!$F$6:$F$505,'Product materials'!$B$6:$B$505,B17))</f>
        <v/>
      </c>
      <c r="F17" s="28">
        <f>IF(B17="","",N(C17)-E17)</f>
        <v/>
      </c>
      <c r="G17" s="37">
        <f>IF(OR(B17="",N(C17)=0),"",F17/C17)</f>
        <v/>
      </c>
      <c r="H17" s="18">
        <f>IF(B17="","",SUMIFS(Orders!$X$6:$X$1005,Orders!$D$6:$D$1005,B17,Orders!$L$6:$L$1005,"Sent",Orders!$B$6:$B$1005,"&gt;="&amp;DATE(YEAR(TODAY()),1,1))+SUMIFS(Orders!$X$6:$X$1005,Orders!$D$6:$D$1005,B17,Orders!$L$6:$L$1005,"Picked up",Orders!$B$6:$B$1005,"&gt;="&amp;DATE(YEAR(TODAY()),1,1)))</f>
        <v/>
      </c>
      <c r="I17" s="22">
        <f>IF(B17="","",SUMIFS(Orders!$H$6:$H$1005,Orders!$D$6:$D$1005,B17,Orders!$L$6:$L$1005,"&lt;&gt;Cancelled",Orders!$B$6:$B$1005,"&gt;="&amp;DATE(YEAR(TODAY()),1,1)))</f>
        <v/>
      </c>
      <c r="J17" s="18">
        <f>IF(B17="","",SUMIFS(Orders!$W$6:$W$1005,Orders!$D$6:$D$1005,B17))</f>
        <v/>
      </c>
      <c r="K17" s="1" t="n"/>
    </row>
    <row r="18">
      <c r="A18" s="1" t="n"/>
      <c r="B18" s="32" t="n"/>
      <c r="C18" s="35" t="n"/>
      <c r="D18" s="34" t="n"/>
      <c r="E18" s="22">
        <f>IF(B18="","",SUMIFS('Product materials'!$F$6:$F$505,'Product materials'!$B$6:$B$505,B18))</f>
        <v/>
      </c>
      <c r="F18" s="28">
        <f>IF(B18="","",N(C18)-E18)</f>
        <v/>
      </c>
      <c r="G18" s="37">
        <f>IF(OR(B18="",N(C18)=0),"",F18/C18)</f>
        <v/>
      </c>
      <c r="H18" s="18">
        <f>IF(B18="","",SUMIFS(Orders!$X$6:$X$1005,Orders!$D$6:$D$1005,B18,Orders!$L$6:$L$1005,"Sent",Orders!$B$6:$B$1005,"&gt;="&amp;DATE(YEAR(TODAY()),1,1))+SUMIFS(Orders!$X$6:$X$1005,Orders!$D$6:$D$1005,B18,Orders!$L$6:$L$1005,"Picked up",Orders!$B$6:$B$1005,"&gt;="&amp;DATE(YEAR(TODAY()),1,1)))</f>
        <v/>
      </c>
      <c r="I18" s="22">
        <f>IF(B18="","",SUMIFS(Orders!$H$6:$H$1005,Orders!$D$6:$D$1005,B18,Orders!$L$6:$L$1005,"&lt;&gt;Cancelled",Orders!$B$6:$B$1005,"&gt;="&amp;DATE(YEAR(TODAY()),1,1)))</f>
        <v/>
      </c>
      <c r="J18" s="18">
        <f>IF(B18="","",SUMIFS(Orders!$W$6:$W$1005,Orders!$D$6:$D$1005,B18))</f>
        <v/>
      </c>
      <c r="K18" s="1" t="n"/>
    </row>
    <row r="19">
      <c r="A19" s="1" t="n"/>
      <c r="B19" s="32" t="n"/>
      <c r="C19" s="35" t="n"/>
      <c r="D19" s="34" t="n"/>
      <c r="E19" s="22">
        <f>IF(B19="","",SUMIFS('Product materials'!$F$6:$F$505,'Product materials'!$B$6:$B$505,B19))</f>
        <v/>
      </c>
      <c r="F19" s="28">
        <f>IF(B19="","",N(C19)-E19)</f>
        <v/>
      </c>
      <c r="G19" s="37">
        <f>IF(OR(B19="",N(C19)=0),"",F19/C19)</f>
        <v/>
      </c>
      <c r="H19" s="18">
        <f>IF(B19="","",SUMIFS(Orders!$X$6:$X$1005,Orders!$D$6:$D$1005,B19,Orders!$L$6:$L$1005,"Sent",Orders!$B$6:$B$1005,"&gt;="&amp;DATE(YEAR(TODAY()),1,1))+SUMIFS(Orders!$X$6:$X$1005,Orders!$D$6:$D$1005,B19,Orders!$L$6:$L$1005,"Picked up",Orders!$B$6:$B$1005,"&gt;="&amp;DATE(YEAR(TODAY()),1,1)))</f>
        <v/>
      </c>
      <c r="I19" s="22">
        <f>IF(B19="","",SUMIFS(Orders!$H$6:$H$1005,Orders!$D$6:$D$1005,B19,Orders!$L$6:$L$1005,"&lt;&gt;Cancelled",Orders!$B$6:$B$1005,"&gt;="&amp;DATE(YEAR(TODAY()),1,1)))</f>
        <v/>
      </c>
      <c r="J19" s="18">
        <f>IF(B19="","",SUMIFS(Orders!$W$6:$W$1005,Orders!$D$6:$D$1005,B19))</f>
        <v/>
      </c>
      <c r="K19" s="1" t="n"/>
    </row>
    <row r="20">
      <c r="A20" s="1" t="n"/>
      <c r="B20" s="32" t="n"/>
      <c r="C20" s="35" t="n"/>
      <c r="D20" s="34" t="n"/>
      <c r="E20" s="22">
        <f>IF(B20="","",SUMIFS('Product materials'!$F$6:$F$505,'Product materials'!$B$6:$B$505,B20))</f>
        <v/>
      </c>
      <c r="F20" s="28">
        <f>IF(B20="","",N(C20)-E20)</f>
        <v/>
      </c>
      <c r="G20" s="37">
        <f>IF(OR(B20="",N(C20)=0),"",F20/C20)</f>
        <v/>
      </c>
      <c r="H20" s="18">
        <f>IF(B20="","",SUMIFS(Orders!$X$6:$X$1005,Orders!$D$6:$D$1005,B20,Orders!$L$6:$L$1005,"Sent",Orders!$B$6:$B$1005,"&gt;="&amp;DATE(YEAR(TODAY()),1,1))+SUMIFS(Orders!$X$6:$X$1005,Orders!$D$6:$D$1005,B20,Orders!$L$6:$L$1005,"Picked up",Orders!$B$6:$B$1005,"&gt;="&amp;DATE(YEAR(TODAY()),1,1)))</f>
        <v/>
      </c>
      <c r="I20" s="22">
        <f>IF(B20="","",SUMIFS(Orders!$H$6:$H$1005,Orders!$D$6:$D$1005,B20,Orders!$L$6:$L$1005,"&lt;&gt;Cancelled",Orders!$B$6:$B$1005,"&gt;="&amp;DATE(YEAR(TODAY()),1,1)))</f>
        <v/>
      </c>
      <c r="J20" s="18">
        <f>IF(B20="","",SUMIFS(Orders!$W$6:$W$1005,Orders!$D$6:$D$1005,B20))</f>
        <v/>
      </c>
      <c r="K20" s="1" t="n"/>
    </row>
    <row r="21">
      <c r="A21" s="1" t="n"/>
      <c r="B21" s="32" t="n"/>
      <c r="C21" s="35" t="n"/>
      <c r="D21" s="34" t="n"/>
      <c r="E21" s="22">
        <f>IF(B21="","",SUMIFS('Product materials'!$F$6:$F$505,'Product materials'!$B$6:$B$505,B21))</f>
        <v/>
      </c>
      <c r="F21" s="28">
        <f>IF(B21="","",N(C21)-E21)</f>
        <v/>
      </c>
      <c r="G21" s="37">
        <f>IF(OR(B21="",N(C21)=0),"",F21/C21)</f>
        <v/>
      </c>
      <c r="H21" s="18">
        <f>IF(B21="","",SUMIFS(Orders!$X$6:$X$1005,Orders!$D$6:$D$1005,B21,Orders!$L$6:$L$1005,"Sent",Orders!$B$6:$B$1005,"&gt;="&amp;DATE(YEAR(TODAY()),1,1))+SUMIFS(Orders!$X$6:$X$1005,Orders!$D$6:$D$1005,B21,Orders!$L$6:$L$1005,"Picked up",Orders!$B$6:$B$1005,"&gt;="&amp;DATE(YEAR(TODAY()),1,1)))</f>
        <v/>
      </c>
      <c r="I21" s="22">
        <f>IF(B21="","",SUMIFS(Orders!$H$6:$H$1005,Orders!$D$6:$D$1005,B21,Orders!$L$6:$L$1005,"&lt;&gt;Cancelled",Orders!$B$6:$B$1005,"&gt;="&amp;DATE(YEAR(TODAY()),1,1)))</f>
        <v/>
      </c>
      <c r="J21" s="18">
        <f>IF(B21="","",SUMIFS(Orders!$W$6:$W$1005,Orders!$D$6:$D$1005,B21))</f>
        <v/>
      </c>
      <c r="K21" s="1" t="n"/>
    </row>
    <row r="22">
      <c r="A22" s="1" t="n"/>
      <c r="B22" s="32" t="n"/>
      <c r="C22" s="35" t="n"/>
      <c r="D22" s="34" t="n"/>
      <c r="E22" s="22">
        <f>IF(B22="","",SUMIFS('Product materials'!$F$6:$F$505,'Product materials'!$B$6:$B$505,B22))</f>
        <v/>
      </c>
      <c r="F22" s="28">
        <f>IF(B22="","",N(C22)-E22)</f>
        <v/>
      </c>
      <c r="G22" s="37">
        <f>IF(OR(B22="",N(C22)=0),"",F22/C22)</f>
        <v/>
      </c>
      <c r="H22" s="18">
        <f>IF(B22="","",SUMIFS(Orders!$X$6:$X$1005,Orders!$D$6:$D$1005,B22,Orders!$L$6:$L$1005,"Sent",Orders!$B$6:$B$1005,"&gt;="&amp;DATE(YEAR(TODAY()),1,1))+SUMIFS(Orders!$X$6:$X$1005,Orders!$D$6:$D$1005,B22,Orders!$L$6:$L$1005,"Picked up",Orders!$B$6:$B$1005,"&gt;="&amp;DATE(YEAR(TODAY()),1,1)))</f>
        <v/>
      </c>
      <c r="I22" s="22">
        <f>IF(B22="","",SUMIFS(Orders!$H$6:$H$1005,Orders!$D$6:$D$1005,B22,Orders!$L$6:$L$1005,"&lt;&gt;Cancelled",Orders!$B$6:$B$1005,"&gt;="&amp;DATE(YEAR(TODAY()),1,1)))</f>
        <v/>
      </c>
      <c r="J22" s="18">
        <f>IF(B22="","",SUMIFS(Orders!$W$6:$W$1005,Orders!$D$6:$D$1005,B22))</f>
        <v/>
      </c>
      <c r="K22" s="1" t="n"/>
    </row>
    <row r="23">
      <c r="A23" s="1" t="n"/>
      <c r="B23" s="32" t="n"/>
      <c r="C23" s="35" t="n"/>
      <c r="D23" s="34" t="n"/>
      <c r="E23" s="22">
        <f>IF(B23="","",SUMIFS('Product materials'!$F$6:$F$505,'Product materials'!$B$6:$B$505,B23))</f>
        <v/>
      </c>
      <c r="F23" s="28">
        <f>IF(B23="","",N(C23)-E23)</f>
        <v/>
      </c>
      <c r="G23" s="37">
        <f>IF(OR(B23="",N(C23)=0),"",F23/C23)</f>
        <v/>
      </c>
      <c r="H23" s="18">
        <f>IF(B23="","",SUMIFS(Orders!$X$6:$X$1005,Orders!$D$6:$D$1005,B23,Orders!$L$6:$L$1005,"Sent",Orders!$B$6:$B$1005,"&gt;="&amp;DATE(YEAR(TODAY()),1,1))+SUMIFS(Orders!$X$6:$X$1005,Orders!$D$6:$D$1005,B23,Orders!$L$6:$L$1005,"Picked up",Orders!$B$6:$B$1005,"&gt;="&amp;DATE(YEAR(TODAY()),1,1)))</f>
        <v/>
      </c>
      <c r="I23" s="22">
        <f>IF(B23="","",SUMIFS(Orders!$H$6:$H$1005,Orders!$D$6:$D$1005,B23,Orders!$L$6:$L$1005,"&lt;&gt;Cancelled",Orders!$B$6:$B$1005,"&gt;="&amp;DATE(YEAR(TODAY()),1,1)))</f>
        <v/>
      </c>
      <c r="J23" s="18">
        <f>IF(B23="","",SUMIFS(Orders!$W$6:$W$1005,Orders!$D$6:$D$1005,B23))</f>
        <v/>
      </c>
      <c r="K23" s="1" t="n"/>
    </row>
    <row r="24">
      <c r="A24" s="1" t="n"/>
      <c r="B24" s="32" t="n"/>
      <c r="C24" s="35" t="n"/>
      <c r="D24" s="34" t="n"/>
      <c r="E24" s="22">
        <f>IF(B24="","",SUMIFS('Product materials'!$F$6:$F$505,'Product materials'!$B$6:$B$505,B24))</f>
        <v/>
      </c>
      <c r="F24" s="28">
        <f>IF(B24="","",N(C24)-E24)</f>
        <v/>
      </c>
      <c r="G24" s="37">
        <f>IF(OR(B24="",N(C24)=0),"",F24/C24)</f>
        <v/>
      </c>
      <c r="H24" s="18">
        <f>IF(B24="","",SUMIFS(Orders!$X$6:$X$1005,Orders!$D$6:$D$1005,B24,Orders!$L$6:$L$1005,"Sent",Orders!$B$6:$B$1005,"&gt;="&amp;DATE(YEAR(TODAY()),1,1))+SUMIFS(Orders!$X$6:$X$1005,Orders!$D$6:$D$1005,B24,Orders!$L$6:$L$1005,"Picked up",Orders!$B$6:$B$1005,"&gt;="&amp;DATE(YEAR(TODAY()),1,1)))</f>
        <v/>
      </c>
      <c r="I24" s="22">
        <f>IF(B24="","",SUMIFS(Orders!$H$6:$H$1005,Orders!$D$6:$D$1005,B24,Orders!$L$6:$L$1005,"&lt;&gt;Cancelled",Orders!$B$6:$B$1005,"&gt;="&amp;DATE(YEAR(TODAY()),1,1)))</f>
        <v/>
      </c>
      <c r="J24" s="18">
        <f>IF(B24="","",SUMIFS(Orders!$W$6:$W$1005,Orders!$D$6:$D$1005,B24))</f>
        <v/>
      </c>
      <c r="K24" s="1" t="n"/>
    </row>
    <row r="25">
      <c r="A25" s="1" t="n"/>
      <c r="B25" s="32" t="n"/>
      <c r="C25" s="35" t="n"/>
      <c r="D25" s="34" t="n"/>
      <c r="E25" s="22">
        <f>IF(B25="","",SUMIFS('Product materials'!$F$6:$F$505,'Product materials'!$B$6:$B$505,B25))</f>
        <v/>
      </c>
      <c r="F25" s="28">
        <f>IF(B25="","",N(C25)-E25)</f>
        <v/>
      </c>
      <c r="G25" s="37">
        <f>IF(OR(B25="",N(C25)=0),"",F25/C25)</f>
        <v/>
      </c>
      <c r="H25" s="18">
        <f>IF(B25="","",SUMIFS(Orders!$X$6:$X$1005,Orders!$D$6:$D$1005,B25,Orders!$L$6:$L$1005,"Sent",Orders!$B$6:$B$1005,"&gt;="&amp;DATE(YEAR(TODAY()),1,1))+SUMIFS(Orders!$X$6:$X$1005,Orders!$D$6:$D$1005,B25,Orders!$L$6:$L$1005,"Picked up",Orders!$B$6:$B$1005,"&gt;="&amp;DATE(YEAR(TODAY()),1,1)))</f>
        <v/>
      </c>
      <c r="I25" s="22">
        <f>IF(B25="","",SUMIFS(Orders!$H$6:$H$1005,Orders!$D$6:$D$1005,B25,Orders!$L$6:$L$1005,"&lt;&gt;Cancelled",Orders!$B$6:$B$1005,"&gt;="&amp;DATE(YEAR(TODAY()),1,1)))</f>
        <v/>
      </c>
      <c r="J25" s="18">
        <f>IF(B25="","",SUMIFS(Orders!$W$6:$W$1005,Orders!$D$6:$D$1005,B25))</f>
        <v/>
      </c>
      <c r="K25" s="1" t="n"/>
    </row>
    <row r="26">
      <c r="A26" s="1" t="n"/>
      <c r="B26" s="32" t="n"/>
      <c r="C26" s="35" t="n"/>
      <c r="D26" s="34" t="n"/>
      <c r="E26" s="22">
        <f>IF(B26="","",SUMIFS('Product materials'!$F$6:$F$505,'Product materials'!$B$6:$B$505,B26))</f>
        <v/>
      </c>
      <c r="F26" s="28">
        <f>IF(B26="","",N(C26)-E26)</f>
        <v/>
      </c>
      <c r="G26" s="37">
        <f>IF(OR(B26="",N(C26)=0),"",F26/C26)</f>
        <v/>
      </c>
      <c r="H26" s="18">
        <f>IF(B26="","",SUMIFS(Orders!$X$6:$X$1005,Orders!$D$6:$D$1005,B26,Orders!$L$6:$L$1005,"Sent",Orders!$B$6:$B$1005,"&gt;="&amp;DATE(YEAR(TODAY()),1,1))+SUMIFS(Orders!$X$6:$X$1005,Orders!$D$6:$D$1005,B26,Orders!$L$6:$L$1005,"Picked up",Orders!$B$6:$B$1005,"&gt;="&amp;DATE(YEAR(TODAY()),1,1)))</f>
        <v/>
      </c>
      <c r="I26" s="22">
        <f>IF(B26="","",SUMIFS(Orders!$H$6:$H$1005,Orders!$D$6:$D$1005,B26,Orders!$L$6:$L$1005,"&lt;&gt;Cancelled",Orders!$B$6:$B$1005,"&gt;="&amp;DATE(YEAR(TODAY()),1,1)))</f>
        <v/>
      </c>
      <c r="J26" s="18">
        <f>IF(B26="","",SUMIFS(Orders!$W$6:$W$1005,Orders!$D$6:$D$1005,B26))</f>
        <v/>
      </c>
      <c r="K26" s="1" t="n"/>
    </row>
    <row r="27">
      <c r="A27" s="1" t="n"/>
      <c r="B27" s="32" t="n"/>
      <c r="C27" s="35" t="n"/>
      <c r="D27" s="34" t="n"/>
      <c r="E27" s="22">
        <f>IF(B27="","",SUMIFS('Product materials'!$F$6:$F$505,'Product materials'!$B$6:$B$505,B27))</f>
        <v/>
      </c>
      <c r="F27" s="28">
        <f>IF(B27="","",N(C27)-E27)</f>
        <v/>
      </c>
      <c r="G27" s="37">
        <f>IF(OR(B27="",N(C27)=0),"",F27/C27)</f>
        <v/>
      </c>
      <c r="H27" s="18">
        <f>IF(B27="","",SUMIFS(Orders!$X$6:$X$1005,Orders!$D$6:$D$1005,B27,Orders!$L$6:$L$1005,"Sent",Orders!$B$6:$B$1005,"&gt;="&amp;DATE(YEAR(TODAY()),1,1))+SUMIFS(Orders!$X$6:$X$1005,Orders!$D$6:$D$1005,B27,Orders!$L$6:$L$1005,"Picked up",Orders!$B$6:$B$1005,"&gt;="&amp;DATE(YEAR(TODAY()),1,1)))</f>
        <v/>
      </c>
      <c r="I27" s="22">
        <f>IF(B27="","",SUMIFS(Orders!$H$6:$H$1005,Orders!$D$6:$D$1005,B27,Orders!$L$6:$L$1005,"&lt;&gt;Cancelled",Orders!$B$6:$B$1005,"&gt;="&amp;DATE(YEAR(TODAY()),1,1)))</f>
        <v/>
      </c>
      <c r="J27" s="18">
        <f>IF(B27="","",SUMIFS(Orders!$W$6:$W$1005,Orders!$D$6:$D$1005,B27))</f>
        <v/>
      </c>
      <c r="K27" s="1" t="n"/>
    </row>
    <row r="28">
      <c r="A28" s="1" t="n"/>
      <c r="B28" s="32" t="n"/>
      <c r="C28" s="35" t="n"/>
      <c r="D28" s="34" t="n"/>
      <c r="E28" s="22">
        <f>IF(B28="","",SUMIFS('Product materials'!$F$6:$F$505,'Product materials'!$B$6:$B$505,B28))</f>
        <v/>
      </c>
      <c r="F28" s="28">
        <f>IF(B28="","",N(C28)-E28)</f>
        <v/>
      </c>
      <c r="G28" s="37">
        <f>IF(OR(B28="",N(C28)=0),"",F28/C28)</f>
        <v/>
      </c>
      <c r="H28" s="18">
        <f>IF(B28="","",SUMIFS(Orders!$X$6:$X$1005,Orders!$D$6:$D$1005,B28,Orders!$L$6:$L$1005,"Sent",Orders!$B$6:$B$1005,"&gt;="&amp;DATE(YEAR(TODAY()),1,1))+SUMIFS(Orders!$X$6:$X$1005,Orders!$D$6:$D$1005,B28,Orders!$L$6:$L$1005,"Picked up",Orders!$B$6:$B$1005,"&gt;="&amp;DATE(YEAR(TODAY()),1,1)))</f>
        <v/>
      </c>
      <c r="I28" s="22">
        <f>IF(B28="","",SUMIFS(Orders!$H$6:$H$1005,Orders!$D$6:$D$1005,B28,Orders!$L$6:$L$1005,"&lt;&gt;Cancelled",Orders!$B$6:$B$1005,"&gt;="&amp;DATE(YEAR(TODAY()),1,1)))</f>
        <v/>
      </c>
      <c r="J28" s="18">
        <f>IF(B28="","",SUMIFS(Orders!$W$6:$W$1005,Orders!$D$6:$D$1005,B28))</f>
        <v/>
      </c>
      <c r="K28" s="1" t="n"/>
    </row>
    <row r="29">
      <c r="A29" s="1" t="n"/>
      <c r="B29" s="32" t="n"/>
      <c r="C29" s="35" t="n"/>
      <c r="D29" s="34" t="n"/>
      <c r="E29" s="22">
        <f>IF(B29="","",SUMIFS('Product materials'!$F$6:$F$505,'Product materials'!$B$6:$B$505,B29))</f>
        <v/>
      </c>
      <c r="F29" s="28">
        <f>IF(B29="","",N(C29)-E29)</f>
        <v/>
      </c>
      <c r="G29" s="37">
        <f>IF(OR(B29="",N(C29)=0),"",F29/C29)</f>
        <v/>
      </c>
      <c r="H29" s="18">
        <f>IF(B29="","",SUMIFS(Orders!$X$6:$X$1005,Orders!$D$6:$D$1005,B29,Orders!$L$6:$L$1005,"Sent",Orders!$B$6:$B$1005,"&gt;="&amp;DATE(YEAR(TODAY()),1,1))+SUMIFS(Orders!$X$6:$X$1005,Orders!$D$6:$D$1005,B29,Orders!$L$6:$L$1005,"Picked up",Orders!$B$6:$B$1005,"&gt;="&amp;DATE(YEAR(TODAY()),1,1)))</f>
        <v/>
      </c>
      <c r="I29" s="22">
        <f>IF(B29="","",SUMIFS(Orders!$H$6:$H$1005,Orders!$D$6:$D$1005,B29,Orders!$L$6:$L$1005,"&lt;&gt;Cancelled",Orders!$B$6:$B$1005,"&gt;="&amp;DATE(YEAR(TODAY()),1,1)))</f>
        <v/>
      </c>
      <c r="J29" s="18">
        <f>IF(B29="","",SUMIFS(Orders!$W$6:$W$1005,Orders!$D$6:$D$1005,B29))</f>
        <v/>
      </c>
      <c r="K29" s="1" t="n"/>
    </row>
    <row r="30">
      <c r="A30" s="1" t="n"/>
      <c r="B30" s="32" t="n"/>
      <c r="C30" s="35" t="n"/>
      <c r="D30" s="34" t="n"/>
      <c r="E30" s="22">
        <f>IF(B30="","",SUMIFS('Product materials'!$F$6:$F$505,'Product materials'!$B$6:$B$505,B30))</f>
        <v/>
      </c>
      <c r="F30" s="28">
        <f>IF(B30="","",N(C30)-E30)</f>
        <v/>
      </c>
      <c r="G30" s="37">
        <f>IF(OR(B30="",N(C30)=0),"",F30/C30)</f>
        <v/>
      </c>
      <c r="H30" s="18">
        <f>IF(B30="","",SUMIFS(Orders!$X$6:$X$1005,Orders!$D$6:$D$1005,B30,Orders!$L$6:$L$1005,"Sent",Orders!$B$6:$B$1005,"&gt;="&amp;DATE(YEAR(TODAY()),1,1))+SUMIFS(Orders!$X$6:$X$1005,Orders!$D$6:$D$1005,B30,Orders!$L$6:$L$1005,"Picked up",Orders!$B$6:$B$1005,"&gt;="&amp;DATE(YEAR(TODAY()),1,1)))</f>
        <v/>
      </c>
      <c r="I30" s="22">
        <f>IF(B30="","",SUMIFS(Orders!$H$6:$H$1005,Orders!$D$6:$D$1005,B30,Orders!$L$6:$L$1005,"&lt;&gt;Cancelled",Orders!$B$6:$B$1005,"&gt;="&amp;DATE(YEAR(TODAY()),1,1)))</f>
        <v/>
      </c>
      <c r="J30" s="18">
        <f>IF(B30="","",SUMIFS(Orders!$W$6:$W$1005,Orders!$D$6:$D$1005,B30))</f>
        <v/>
      </c>
      <c r="K30" s="1" t="n"/>
    </row>
    <row r="31">
      <c r="A31" s="1" t="n"/>
      <c r="B31" s="32" t="n"/>
      <c r="C31" s="35" t="n"/>
      <c r="D31" s="34" t="n"/>
      <c r="E31" s="22">
        <f>IF(B31="","",SUMIFS('Product materials'!$F$6:$F$505,'Product materials'!$B$6:$B$505,B31))</f>
        <v/>
      </c>
      <c r="F31" s="28">
        <f>IF(B31="","",N(C31)-E31)</f>
        <v/>
      </c>
      <c r="G31" s="37">
        <f>IF(OR(B31="",N(C31)=0),"",F31/C31)</f>
        <v/>
      </c>
      <c r="H31" s="18">
        <f>IF(B31="","",SUMIFS(Orders!$X$6:$X$1005,Orders!$D$6:$D$1005,B31,Orders!$L$6:$L$1005,"Sent",Orders!$B$6:$B$1005,"&gt;="&amp;DATE(YEAR(TODAY()),1,1))+SUMIFS(Orders!$X$6:$X$1005,Orders!$D$6:$D$1005,B31,Orders!$L$6:$L$1005,"Picked up",Orders!$B$6:$B$1005,"&gt;="&amp;DATE(YEAR(TODAY()),1,1)))</f>
        <v/>
      </c>
      <c r="I31" s="22">
        <f>IF(B31="","",SUMIFS(Orders!$H$6:$H$1005,Orders!$D$6:$D$1005,B31,Orders!$L$6:$L$1005,"&lt;&gt;Cancelled",Orders!$B$6:$B$1005,"&gt;="&amp;DATE(YEAR(TODAY()),1,1)))</f>
        <v/>
      </c>
      <c r="J31" s="18">
        <f>IF(B31="","",SUMIFS(Orders!$W$6:$W$1005,Orders!$D$6:$D$1005,B31))</f>
        <v/>
      </c>
      <c r="K31" s="1" t="n"/>
    </row>
    <row r="32">
      <c r="A32" s="1" t="n"/>
      <c r="B32" s="32" t="n"/>
      <c r="C32" s="35" t="n"/>
      <c r="D32" s="34" t="n"/>
      <c r="E32" s="22">
        <f>IF(B32="","",SUMIFS('Product materials'!$F$6:$F$505,'Product materials'!$B$6:$B$505,B32))</f>
        <v/>
      </c>
      <c r="F32" s="28">
        <f>IF(B32="","",N(C32)-E32)</f>
        <v/>
      </c>
      <c r="G32" s="37">
        <f>IF(OR(B32="",N(C32)=0),"",F32/C32)</f>
        <v/>
      </c>
      <c r="H32" s="18">
        <f>IF(B32="","",SUMIFS(Orders!$X$6:$X$1005,Orders!$D$6:$D$1005,B32,Orders!$L$6:$L$1005,"Sent",Orders!$B$6:$B$1005,"&gt;="&amp;DATE(YEAR(TODAY()),1,1))+SUMIFS(Orders!$X$6:$X$1005,Orders!$D$6:$D$1005,B32,Orders!$L$6:$L$1005,"Picked up",Orders!$B$6:$B$1005,"&gt;="&amp;DATE(YEAR(TODAY()),1,1)))</f>
        <v/>
      </c>
      <c r="I32" s="22">
        <f>IF(B32="","",SUMIFS(Orders!$H$6:$H$1005,Orders!$D$6:$D$1005,B32,Orders!$L$6:$L$1005,"&lt;&gt;Cancelled",Orders!$B$6:$B$1005,"&gt;="&amp;DATE(YEAR(TODAY()),1,1)))</f>
        <v/>
      </c>
      <c r="J32" s="18">
        <f>IF(B32="","",SUMIFS(Orders!$W$6:$W$1005,Orders!$D$6:$D$1005,B32))</f>
        <v/>
      </c>
      <c r="K32" s="1" t="n"/>
    </row>
    <row r="33">
      <c r="A33" s="1" t="n"/>
      <c r="B33" s="32" t="n"/>
      <c r="C33" s="35" t="n"/>
      <c r="D33" s="34" t="n"/>
      <c r="E33" s="22">
        <f>IF(B33="","",SUMIFS('Product materials'!$F$6:$F$505,'Product materials'!$B$6:$B$505,B33))</f>
        <v/>
      </c>
      <c r="F33" s="28">
        <f>IF(B33="","",N(C33)-E33)</f>
        <v/>
      </c>
      <c r="G33" s="37">
        <f>IF(OR(B33="",N(C33)=0),"",F33/C33)</f>
        <v/>
      </c>
      <c r="H33" s="18">
        <f>IF(B33="","",SUMIFS(Orders!$X$6:$X$1005,Orders!$D$6:$D$1005,B33,Orders!$L$6:$L$1005,"Sent",Orders!$B$6:$B$1005,"&gt;="&amp;DATE(YEAR(TODAY()),1,1))+SUMIFS(Orders!$X$6:$X$1005,Orders!$D$6:$D$1005,B33,Orders!$L$6:$L$1005,"Picked up",Orders!$B$6:$B$1005,"&gt;="&amp;DATE(YEAR(TODAY()),1,1)))</f>
        <v/>
      </c>
      <c r="I33" s="22">
        <f>IF(B33="","",SUMIFS(Orders!$H$6:$H$1005,Orders!$D$6:$D$1005,B33,Orders!$L$6:$L$1005,"&lt;&gt;Cancelled",Orders!$B$6:$B$1005,"&gt;="&amp;DATE(YEAR(TODAY()),1,1)))</f>
        <v/>
      </c>
      <c r="J33" s="18">
        <f>IF(B33="","",SUMIFS(Orders!$W$6:$W$1005,Orders!$D$6:$D$1005,B33))</f>
        <v/>
      </c>
      <c r="K33" s="1" t="n"/>
    </row>
    <row r="34">
      <c r="A34" s="1" t="n"/>
      <c r="B34" s="32" t="n"/>
      <c r="C34" s="35" t="n"/>
      <c r="D34" s="34" t="n"/>
      <c r="E34" s="22">
        <f>IF(B34="","",SUMIFS('Product materials'!$F$6:$F$505,'Product materials'!$B$6:$B$505,B34))</f>
        <v/>
      </c>
      <c r="F34" s="28">
        <f>IF(B34="","",N(C34)-E34)</f>
        <v/>
      </c>
      <c r="G34" s="37">
        <f>IF(OR(B34="",N(C34)=0),"",F34/C34)</f>
        <v/>
      </c>
      <c r="H34" s="18">
        <f>IF(B34="","",SUMIFS(Orders!$X$6:$X$1005,Orders!$D$6:$D$1005,B34,Orders!$L$6:$L$1005,"Sent",Orders!$B$6:$B$1005,"&gt;="&amp;DATE(YEAR(TODAY()),1,1))+SUMIFS(Orders!$X$6:$X$1005,Orders!$D$6:$D$1005,B34,Orders!$L$6:$L$1005,"Picked up",Orders!$B$6:$B$1005,"&gt;="&amp;DATE(YEAR(TODAY()),1,1)))</f>
        <v/>
      </c>
      <c r="I34" s="22">
        <f>IF(B34="","",SUMIFS(Orders!$H$6:$H$1005,Orders!$D$6:$D$1005,B34,Orders!$L$6:$L$1005,"&lt;&gt;Cancelled",Orders!$B$6:$B$1005,"&gt;="&amp;DATE(YEAR(TODAY()),1,1)))</f>
        <v/>
      </c>
      <c r="J34" s="18">
        <f>IF(B34="","",SUMIFS(Orders!$W$6:$W$1005,Orders!$D$6:$D$1005,B34))</f>
        <v/>
      </c>
      <c r="K34" s="1" t="n"/>
    </row>
    <row r="35">
      <c r="A35" s="1" t="n"/>
      <c r="B35" s="32" t="n"/>
      <c r="C35" s="35" t="n"/>
      <c r="D35" s="34" t="n"/>
      <c r="E35" s="22">
        <f>IF(B35="","",SUMIFS('Product materials'!$F$6:$F$505,'Product materials'!$B$6:$B$505,B35))</f>
        <v/>
      </c>
      <c r="F35" s="28">
        <f>IF(B35="","",N(C35)-E35)</f>
        <v/>
      </c>
      <c r="G35" s="37">
        <f>IF(OR(B35="",N(C35)=0),"",F35/C35)</f>
        <v/>
      </c>
      <c r="H35" s="18">
        <f>IF(B35="","",SUMIFS(Orders!$X$6:$X$1005,Orders!$D$6:$D$1005,B35,Orders!$L$6:$L$1005,"Sent",Orders!$B$6:$B$1005,"&gt;="&amp;DATE(YEAR(TODAY()),1,1))+SUMIFS(Orders!$X$6:$X$1005,Orders!$D$6:$D$1005,B35,Orders!$L$6:$L$1005,"Picked up",Orders!$B$6:$B$1005,"&gt;="&amp;DATE(YEAR(TODAY()),1,1)))</f>
        <v/>
      </c>
      <c r="I35" s="22">
        <f>IF(B35="","",SUMIFS(Orders!$H$6:$H$1005,Orders!$D$6:$D$1005,B35,Orders!$L$6:$L$1005,"&lt;&gt;Cancelled",Orders!$B$6:$B$1005,"&gt;="&amp;DATE(YEAR(TODAY()),1,1)))</f>
        <v/>
      </c>
      <c r="J35" s="18">
        <f>IF(B35="","",SUMIFS(Orders!$W$6:$W$1005,Orders!$D$6:$D$1005,B35))</f>
        <v/>
      </c>
      <c r="K35" s="1" t="n"/>
    </row>
    <row r="36">
      <c r="A36" s="1" t="n"/>
      <c r="B36" s="32" t="n"/>
      <c r="C36" s="35" t="n"/>
      <c r="D36" s="34" t="n"/>
      <c r="E36" s="22">
        <f>IF(B36="","",SUMIFS('Product materials'!$F$6:$F$505,'Product materials'!$B$6:$B$505,B36))</f>
        <v/>
      </c>
      <c r="F36" s="28">
        <f>IF(B36="","",N(C36)-E36)</f>
        <v/>
      </c>
      <c r="G36" s="37">
        <f>IF(OR(B36="",N(C36)=0),"",F36/C36)</f>
        <v/>
      </c>
      <c r="H36" s="18">
        <f>IF(B36="","",SUMIFS(Orders!$X$6:$X$1005,Orders!$D$6:$D$1005,B36,Orders!$L$6:$L$1005,"Sent",Orders!$B$6:$B$1005,"&gt;="&amp;DATE(YEAR(TODAY()),1,1))+SUMIFS(Orders!$X$6:$X$1005,Orders!$D$6:$D$1005,B36,Orders!$L$6:$L$1005,"Picked up",Orders!$B$6:$B$1005,"&gt;="&amp;DATE(YEAR(TODAY()),1,1)))</f>
        <v/>
      </c>
      <c r="I36" s="22">
        <f>IF(B36="","",SUMIFS(Orders!$H$6:$H$1005,Orders!$D$6:$D$1005,B36,Orders!$L$6:$L$1005,"&lt;&gt;Cancelled",Orders!$B$6:$B$1005,"&gt;="&amp;DATE(YEAR(TODAY()),1,1)))</f>
        <v/>
      </c>
      <c r="J36" s="18">
        <f>IF(B36="","",SUMIFS(Orders!$W$6:$W$1005,Orders!$D$6:$D$1005,B36))</f>
        <v/>
      </c>
      <c r="K36" s="1" t="n"/>
    </row>
    <row r="37">
      <c r="A37" s="1" t="n"/>
      <c r="B37" s="32" t="n"/>
      <c r="C37" s="35" t="n"/>
      <c r="D37" s="34" t="n"/>
      <c r="E37" s="22">
        <f>IF(B37="","",SUMIFS('Product materials'!$F$6:$F$505,'Product materials'!$B$6:$B$505,B37))</f>
        <v/>
      </c>
      <c r="F37" s="28">
        <f>IF(B37="","",N(C37)-E37)</f>
        <v/>
      </c>
      <c r="G37" s="37">
        <f>IF(OR(B37="",N(C37)=0),"",F37/C37)</f>
        <v/>
      </c>
      <c r="H37" s="18">
        <f>IF(B37="","",SUMIFS(Orders!$X$6:$X$1005,Orders!$D$6:$D$1005,B37,Orders!$L$6:$L$1005,"Sent",Orders!$B$6:$B$1005,"&gt;="&amp;DATE(YEAR(TODAY()),1,1))+SUMIFS(Orders!$X$6:$X$1005,Orders!$D$6:$D$1005,B37,Orders!$L$6:$L$1005,"Picked up",Orders!$B$6:$B$1005,"&gt;="&amp;DATE(YEAR(TODAY()),1,1)))</f>
        <v/>
      </c>
      <c r="I37" s="22">
        <f>IF(B37="","",SUMIFS(Orders!$H$6:$H$1005,Orders!$D$6:$D$1005,B37,Orders!$L$6:$L$1005,"&lt;&gt;Cancelled",Orders!$B$6:$B$1005,"&gt;="&amp;DATE(YEAR(TODAY()),1,1)))</f>
        <v/>
      </c>
      <c r="J37" s="18">
        <f>IF(B37="","",SUMIFS(Orders!$W$6:$W$1005,Orders!$D$6:$D$1005,B37))</f>
        <v/>
      </c>
      <c r="K37" s="1" t="n"/>
    </row>
    <row r="38">
      <c r="A38" s="1" t="n"/>
      <c r="B38" s="32" t="n"/>
      <c r="C38" s="35" t="n"/>
      <c r="D38" s="34" t="n"/>
      <c r="E38" s="22">
        <f>IF(B38="","",SUMIFS('Product materials'!$F$6:$F$505,'Product materials'!$B$6:$B$505,B38))</f>
        <v/>
      </c>
      <c r="F38" s="28">
        <f>IF(B38="","",N(C38)-E38)</f>
        <v/>
      </c>
      <c r="G38" s="37">
        <f>IF(OR(B38="",N(C38)=0),"",F38/C38)</f>
        <v/>
      </c>
      <c r="H38" s="18">
        <f>IF(B38="","",SUMIFS(Orders!$X$6:$X$1005,Orders!$D$6:$D$1005,B38,Orders!$L$6:$L$1005,"Sent",Orders!$B$6:$B$1005,"&gt;="&amp;DATE(YEAR(TODAY()),1,1))+SUMIFS(Orders!$X$6:$X$1005,Orders!$D$6:$D$1005,B38,Orders!$L$6:$L$1005,"Picked up",Orders!$B$6:$B$1005,"&gt;="&amp;DATE(YEAR(TODAY()),1,1)))</f>
        <v/>
      </c>
      <c r="I38" s="22">
        <f>IF(B38="","",SUMIFS(Orders!$H$6:$H$1005,Orders!$D$6:$D$1005,B38,Orders!$L$6:$L$1005,"&lt;&gt;Cancelled",Orders!$B$6:$B$1005,"&gt;="&amp;DATE(YEAR(TODAY()),1,1)))</f>
        <v/>
      </c>
      <c r="J38" s="18">
        <f>IF(B38="","",SUMIFS(Orders!$W$6:$W$1005,Orders!$D$6:$D$1005,B38))</f>
        <v/>
      </c>
      <c r="K38" s="1" t="n"/>
    </row>
    <row r="39">
      <c r="A39" s="1" t="n"/>
      <c r="B39" s="32" t="n"/>
      <c r="C39" s="35" t="n"/>
      <c r="D39" s="34" t="n"/>
      <c r="E39" s="22">
        <f>IF(B39="","",SUMIFS('Product materials'!$F$6:$F$505,'Product materials'!$B$6:$B$505,B39))</f>
        <v/>
      </c>
      <c r="F39" s="28">
        <f>IF(B39="","",N(C39)-E39)</f>
        <v/>
      </c>
      <c r="G39" s="37">
        <f>IF(OR(B39="",N(C39)=0),"",F39/C39)</f>
        <v/>
      </c>
      <c r="H39" s="18">
        <f>IF(B39="","",SUMIFS(Orders!$X$6:$X$1005,Orders!$D$6:$D$1005,B39,Orders!$L$6:$L$1005,"Sent",Orders!$B$6:$B$1005,"&gt;="&amp;DATE(YEAR(TODAY()),1,1))+SUMIFS(Orders!$X$6:$X$1005,Orders!$D$6:$D$1005,B39,Orders!$L$6:$L$1005,"Picked up",Orders!$B$6:$B$1005,"&gt;="&amp;DATE(YEAR(TODAY()),1,1)))</f>
        <v/>
      </c>
      <c r="I39" s="22">
        <f>IF(B39="","",SUMIFS(Orders!$H$6:$H$1005,Orders!$D$6:$D$1005,B39,Orders!$L$6:$L$1005,"&lt;&gt;Cancelled",Orders!$B$6:$B$1005,"&gt;="&amp;DATE(YEAR(TODAY()),1,1)))</f>
        <v/>
      </c>
      <c r="J39" s="18">
        <f>IF(B39="","",SUMIFS(Orders!$W$6:$W$1005,Orders!$D$6:$D$1005,B39))</f>
        <v/>
      </c>
      <c r="K39" s="1" t="n"/>
    </row>
    <row r="40">
      <c r="A40" s="1" t="n"/>
      <c r="B40" s="32" t="n"/>
      <c r="C40" s="35" t="n"/>
      <c r="D40" s="34" t="n"/>
      <c r="E40" s="22">
        <f>IF(B40="","",SUMIFS('Product materials'!$F$6:$F$505,'Product materials'!$B$6:$B$505,B40))</f>
        <v/>
      </c>
      <c r="F40" s="28">
        <f>IF(B40="","",N(C40)-E40)</f>
        <v/>
      </c>
      <c r="G40" s="37">
        <f>IF(OR(B40="",N(C40)=0),"",F40/C40)</f>
        <v/>
      </c>
      <c r="H40" s="18">
        <f>IF(B40="","",SUMIFS(Orders!$X$6:$X$1005,Orders!$D$6:$D$1005,B40,Orders!$L$6:$L$1005,"Sent",Orders!$B$6:$B$1005,"&gt;="&amp;DATE(YEAR(TODAY()),1,1))+SUMIFS(Orders!$X$6:$X$1005,Orders!$D$6:$D$1005,B40,Orders!$L$6:$L$1005,"Picked up",Orders!$B$6:$B$1005,"&gt;="&amp;DATE(YEAR(TODAY()),1,1)))</f>
        <v/>
      </c>
      <c r="I40" s="22">
        <f>IF(B40="","",SUMIFS(Orders!$H$6:$H$1005,Orders!$D$6:$D$1005,B40,Orders!$L$6:$L$1005,"&lt;&gt;Cancelled",Orders!$B$6:$B$1005,"&gt;="&amp;DATE(YEAR(TODAY()),1,1)))</f>
        <v/>
      </c>
      <c r="J40" s="18">
        <f>IF(B40="","",SUMIFS(Orders!$W$6:$W$1005,Orders!$D$6:$D$1005,B40))</f>
        <v/>
      </c>
      <c r="K40" s="1" t="n"/>
    </row>
    <row r="41">
      <c r="A41" s="1" t="n"/>
      <c r="B41" s="32" t="n"/>
      <c r="C41" s="35" t="n"/>
      <c r="D41" s="34" t="n"/>
      <c r="E41" s="22">
        <f>IF(B41="","",SUMIFS('Product materials'!$F$6:$F$505,'Product materials'!$B$6:$B$505,B41))</f>
        <v/>
      </c>
      <c r="F41" s="28">
        <f>IF(B41="","",N(C41)-E41)</f>
        <v/>
      </c>
      <c r="G41" s="37">
        <f>IF(OR(B41="",N(C41)=0),"",F41/C41)</f>
        <v/>
      </c>
      <c r="H41" s="18">
        <f>IF(B41="","",SUMIFS(Orders!$X$6:$X$1005,Orders!$D$6:$D$1005,B41,Orders!$L$6:$L$1005,"Sent",Orders!$B$6:$B$1005,"&gt;="&amp;DATE(YEAR(TODAY()),1,1))+SUMIFS(Orders!$X$6:$X$1005,Orders!$D$6:$D$1005,B41,Orders!$L$6:$L$1005,"Picked up",Orders!$B$6:$B$1005,"&gt;="&amp;DATE(YEAR(TODAY()),1,1)))</f>
        <v/>
      </c>
      <c r="I41" s="22">
        <f>IF(B41="","",SUMIFS(Orders!$H$6:$H$1005,Orders!$D$6:$D$1005,B41,Orders!$L$6:$L$1005,"&lt;&gt;Cancelled",Orders!$B$6:$B$1005,"&gt;="&amp;DATE(YEAR(TODAY()),1,1)))</f>
        <v/>
      </c>
      <c r="J41" s="18">
        <f>IF(B41="","",SUMIFS(Orders!$W$6:$W$1005,Orders!$D$6:$D$1005,B41))</f>
        <v/>
      </c>
      <c r="K41" s="1" t="n"/>
    </row>
    <row r="42">
      <c r="A42" s="1" t="n"/>
      <c r="B42" s="32" t="n"/>
      <c r="C42" s="35" t="n"/>
      <c r="D42" s="34" t="n"/>
      <c r="E42" s="22">
        <f>IF(B42="","",SUMIFS('Product materials'!$F$6:$F$505,'Product materials'!$B$6:$B$505,B42))</f>
        <v/>
      </c>
      <c r="F42" s="28">
        <f>IF(B42="","",N(C42)-E42)</f>
        <v/>
      </c>
      <c r="G42" s="37">
        <f>IF(OR(B42="",N(C42)=0),"",F42/C42)</f>
        <v/>
      </c>
      <c r="H42" s="18">
        <f>IF(B42="","",SUMIFS(Orders!$X$6:$X$1005,Orders!$D$6:$D$1005,B42,Orders!$L$6:$L$1005,"Sent",Orders!$B$6:$B$1005,"&gt;="&amp;DATE(YEAR(TODAY()),1,1))+SUMIFS(Orders!$X$6:$X$1005,Orders!$D$6:$D$1005,B42,Orders!$L$6:$L$1005,"Picked up",Orders!$B$6:$B$1005,"&gt;="&amp;DATE(YEAR(TODAY()),1,1)))</f>
        <v/>
      </c>
      <c r="I42" s="22">
        <f>IF(B42="","",SUMIFS(Orders!$H$6:$H$1005,Orders!$D$6:$D$1005,B42,Orders!$L$6:$L$1005,"&lt;&gt;Cancelled",Orders!$B$6:$B$1005,"&gt;="&amp;DATE(YEAR(TODAY()),1,1)))</f>
        <v/>
      </c>
      <c r="J42" s="18">
        <f>IF(B42="","",SUMIFS(Orders!$W$6:$W$1005,Orders!$D$6:$D$1005,B42))</f>
        <v/>
      </c>
      <c r="K42" s="1" t="n"/>
    </row>
    <row r="43">
      <c r="A43" s="1" t="n"/>
      <c r="B43" s="32" t="n"/>
      <c r="C43" s="35" t="n"/>
      <c r="D43" s="34" t="n"/>
      <c r="E43" s="22">
        <f>IF(B43="","",SUMIFS('Product materials'!$F$6:$F$505,'Product materials'!$B$6:$B$505,B43))</f>
        <v/>
      </c>
      <c r="F43" s="28">
        <f>IF(B43="","",N(C43)-E43)</f>
        <v/>
      </c>
      <c r="G43" s="37">
        <f>IF(OR(B43="",N(C43)=0),"",F43/C43)</f>
        <v/>
      </c>
      <c r="H43" s="18">
        <f>IF(B43="","",SUMIFS(Orders!$X$6:$X$1005,Orders!$D$6:$D$1005,B43,Orders!$L$6:$L$1005,"Sent",Orders!$B$6:$B$1005,"&gt;="&amp;DATE(YEAR(TODAY()),1,1))+SUMIFS(Orders!$X$6:$X$1005,Orders!$D$6:$D$1005,B43,Orders!$L$6:$L$1005,"Picked up",Orders!$B$6:$B$1005,"&gt;="&amp;DATE(YEAR(TODAY()),1,1)))</f>
        <v/>
      </c>
      <c r="I43" s="22">
        <f>IF(B43="","",SUMIFS(Orders!$H$6:$H$1005,Orders!$D$6:$D$1005,B43,Orders!$L$6:$L$1005,"&lt;&gt;Cancelled",Orders!$B$6:$B$1005,"&gt;="&amp;DATE(YEAR(TODAY()),1,1)))</f>
        <v/>
      </c>
      <c r="J43" s="18">
        <f>IF(B43="","",SUMIFS(Orders!$W$6:$W$1005,Orders!$D$6:$D$1005,B43))</f>
        <v/>
      </c>
      <c r="K43" s="1" t="n"/>
    </row>
    <row r="44">
      <c r="A44" s="1" t="n"/>
      <c r="B44" s="32" t="n"/>
      <c r="C44" s="35" t="n"/>
      <c r="D44" s="34" t="n"/>
      <c r="E44" s="22">
        <f>IF(B44="","",SUMIFS('Product materials'!$F$6:$F$505,'Product materials'!$B$6:$B$505,B44))</f>
        <v/>
      </c>
      <c r="F44" s="28">
        <f>IF(B44="","",N(C44)-E44)</f>
        <v/>
      </c>
      <c r="G44" s="37">
        <f>IF(OR(B44="",N(C44)=0),"",F44/C44)</f>
        <v/>
      </c>
      <c r="H44" s="18">
        <f>IF(B44="","",SUMIFS(Orders!$X$6:$X$1005,Orders!$D$6:$D$1005,B44,Orders!$L$6:$L$1005,"Sent",Orders!$B$6:$B$1005,"&gt;="&amp;DATE(YEAR(TODAY()),1,1))+SUMIFS(Orders!$X$6:$X$1005,Orders!$D$6:$D$1005,B44,Orders!$L$6:$L$1005,"Picked up",Orders!$B$6:$B$1005,"&gt;="&amp;DATE(YEAR(TODAY()),1,1)))</f>
        <v/>
      </c>
      <c r="I44" s="22">
        <f>IF(B44="","",SUMIFS(Orders!$H$6:$H$1005,Orders!$D$6:$D$1005,B44,Orders!$L$6:$L$1005,"&lt;&gt;Cancelled",Orders!$B$6:$B$1005,"&gt;="&amp;DATE(YEAR(TODAY()),1,1)))</f>
        <v/>
      </c>
      <c r="J44" s="18">
        <f>IF(B44="","",SUMIFS(Orders!$W$6:$W$1005,Orders!$D$6:$D$1005,B44))</f>
        <v/>
      </c>
      <c r="K44" s="1" t="n"/>
    </row>
    <row r="45">
      <c r="A45" s="1" t="n"/>
      <c r="B45" s="32" t="n"/>
      <c r="C45" s="35" t="n"/>
      <c r="D45" s="34" t="n"/>
      <c r="E45" s="22">
        <f>IF(B45="","",SUMIFS('Product materials'!$F$6:$F$505,'Product materials'!$B$6:$B$505,B45))</f>
        <v/>
      </c>
      <c r="F45" s="28">
        <f>IF(B45="","",N(C45)-E45)</f>
        <v/>
      </c>
      <c r="G45" s="37">
        <f>IF(OR(B45="",N(C45)=0),"",F45/C45)</f>
        <v/>
      </c>
      <c r="H45" s="18">
        <f>IF(B45="","",SUMIFS(Orders!$X$6:$X$1005,Orders!$D$6:$D$1005,B45,Orders!$L$6:$L$1005,"Sent",Orders!$B$6:$B$1005,"&gt;="&amp;DATE(YEAR(TODAY()),1,1))+SUMIFS(Orders!$X$6:$X$1005,Orders!$D$6:$D$1005,B45,Orders!$L$6:$L$1005,"Picked up",Orders!$B$6:$B$1005,"&gt;="&amp;DATE(YEAR(TODAY()),1,1)))</f>
        <v/>
      </c>
      <c r="I45" s="22">
        <f>IF(B45="","",SUMIFS(Orders!$H$6:$H$1005,Orders!$D$6:$D$1005,B45,Orders!$L$6:$L$1005,"&lt;&gt;Cancelled",Orders!$B$6:$B$1005,"&gt;="&amp;DATE(YEAR(TODAY()),1,1)))</f>
        <v/>
      </c>
      <c r="J45" s="18">
        <f>IF(B45="","",SUMIFS(Orders!$W$6:$W$1005,Orders!$D$6:$D$1005,B45))</f>
        <v/>
      </c>
      <c r="K45" s="1" t="n"/>
    </row>
    <row r="46">
      <c r="A46" s="1" t="n"/>
      <c r="B46" s="32" t="n"/>
      <c r="C46" s="35" t="n"/>
      <c r="D46" s="34" t="n"/>
      <c r="E46" s="22">
        <f>IF(B46="","",SUMIFS('Product materials'!$F$6:$F$505,'Product materials'!$B$6:$B$505,B46))</f>
        <v/>
      </c>
      <c r="F46" s="28">
        <f>IF(B46="","",N(C46)-E46)</f>
        <v/>
      </c>
      <c r="G46" s="37">
        <f>IF(OR(B46="",N(C46)=0),"",F46/C46)</f>
        <v/>
      </c>
      <c r="H46" s="18">
        <f>IF(B46="","",SUMIFS(Orders!$X$6:$X$1005,Orders!$D$6:$D$1005,B46,Orders!$L$6:$L$1005,"Sent",Orders!$B$6:$B$1005,"&gt;="&amp;DATE(YEAR(TODAY()),1,1))+SUMIFS(Orders!$X$6:$X$1005,Orders!$D$6:$D$1005,B46,Orders!$L$6:$L$1005,"Picked up",Orders!$B$6:$B$1005,"&gt;="&amp;DATE(YEAR(TODAY()),1,1)))</f>
        <v/>
      </c>
      <c r="I46" s="22">
        <f>IF(B46="","",SUMIFS(Orders!$H$6:$H$1005,Orders!$D$6:$D$1005,B46,Orders!$L$6:$L$1005,"&lt;&gt;Cancelled",Orders!$B$6:$B$1005,"&gt;="&amp;DATE(YEAR(TODAY()),1,1)))</f>
        <v/>
      </c>
      <c r="J46" s="18">
        <f>IF(B46="","",SUMIFS(Orders!$W$6:$W$1005,Orders!$D$6:$D$1005,B46))</f>
        <v/>
      </c>
      <c r="K46" s="1" t="n"/>
    </row>
    <row r="47">
      <c r="A47" s="1" t="n"/>
      <c r="B47" s="32" t="n"/>
      <c r="C47" s="35" t="n"/>
      <c r="D47" s="34" t="n"/>
      <c r="E47" s="22">
        <f>IF(B47="","",SUMIFS('Product materials'!$F$6:$F$505,'Product materials'!$B$6:$B$505,B47))</f>
        <v/>
      </c>
      <c r="F47" s="28">
        <f>IF(B47="","",N(C47)-E47)</f>
        <v/>
      </c>
      <c r="G47" s="37">
        <f>IF(OR(B47="",N(C47)=0),"",F47/C47)</f>
        <v/>
      </c>
      <c r="H47" s="18">
        <f>IF(B47="","",SUMIFS(Orders!$X$6:$X$1005,Orders!$D$6:$D$1005,B47,Orders!$L$6:$L$1005,"Sent",Orders!$B$6:$B$1005,"&gt;="&amp;DATE(YEAR(TODAY()),1,1))+SUMIFS(Orders!$X$6:$X$1005,Orders!$D$6:$D$1005,B47,Orders!$L$6:$L$1005,"Picked up",Orders!$B$6:$B$1005,"&gt;="&amp;DATE(YEAR(TODAY()),1,1)))</f>
        <v/>
      </c>
      <c r="I47" s="22">
        <f>IF(B47="","",SUMIFS(Orders!$H$6:$H$1005,Orders!$D$6:$D$1005,B47,Orders!$L$6:$L$1005,"&lt;&gt;Cancelled",Orders!$B$6:$B$1005,"&gt;="&amp;DATE(YEAR(TODAY()),1,1)))</f>
        <v/>
      </c>
      <c r="J47" s="18">
        <f>IF(B47="","",SUMIFS(Orders!$W$6:$W$1005,Orders!$D$6:$D$1005,B47))</f>
        <v/>
      </c>
      <c r="K47" s="1" t="n"/>
    </row>
    <row r="48">
      <c r="A48" s="1" t="n"/>
      <c r="B48" s="32" t="n"/>
      <c r="C48" s="35" t="n"/>
      <c r="D48" s="34" t="n"/>
      <c r="E48" s="22">
        <f>IF(B48="","",SUMIFS('Product materials'!$F$6:$F$505,'Product materials'!$B$6:$B$505,B48))</f>
        <v/>
      </c>
      <c r="F48" s="28">
        <f>IF(B48="","",N(C48)-E48)</f>
        <v/>
      </c>
      <c r="G48" s="37">
        <f>IF(OR(B48="",N(C48)=0),"",F48/C48)</f>
        <v/>
      </c>
      <c r="H48" s="18">
        <f>IF(B48="","",SUMIFS(Orders!$X$6:$X$1005,Orders!$D$6:$D$1005,B48,Orders!$L$6:$L$1005,"Sent",Orders!$B$6:$B$1005,"&gt;="&amp;DATE(YEAR(TODAY()),1,1))+SUMIFS(Orders!$X$6:$X$1005,Orders!$D$6:$D$1005,B48,Orders!$L$6:$L$1005,"Picked up",Orders!$B$6:$B$1005,"&gt;="&amp;DATE(YEAR(TODAY()),1,1)))</f>
        <v/>
      </c>
      <c r="I48" s="22">
        <f>IF(B48="","",SUMIFS(Orders!$H$6:$H$1005,Orders!$D$6:$D$1005,B48,Orders!$L$6:$L$1005,"&lt;&gt;Cancelled",Orders!$B$6:$B$1005,"&gt;="&amp;DATE(YEAR(TODAY()),1,1)))</f>
        <v/>
      </c>
      <c r="J48" s="18">
        <f>IF(B48="","",SUMIFS(Orders!$W$6:$W$1005,Orders!$D$6:$D$1005,B48))</f>
        <v/>
      </c>
      <c r="K48" s="1" t="n"/>
    </row>
    <row r="49">
      <c r="A49" s="1" t="n"/>
      <c r="B49" s="32" t="n"/>
      <c r="C49" s="35" t="n"/>
      <c r="D49" s="34" t="n"/>
      <c r="E49" s="22">
        <f>IF(B49="","",SUMIFS('Product materials'!$F$6:$F$505,'Product materials'!$B$6:$B$505,B49))</f>
        <v/>
      </c>
      <c r="F49" s="28">
        <f>IF(B49="","",N(C49)-E49)</f>
        <v/>
      </c>
      <c r="G49" s="37">
        <f>IF(OR(B49="",N(C49)=0),"",F49/C49)</f>
        <v/>
      </c>
      <c r="H49" s="18">
        <f>IF(B49="","",SUMIFS(Orders!$X$6:$X$1005,Orders!$D$6:$D$1005,B49,Orders!$L$6:$L$1005,"Sent",Orders!$B$6:$B$1005,"&gt;="&amp;DATE(YEAR(TODAY()),1,1))+SUMIFS(Orders!$X$6:$X$1005,Orders!$D$6:$D$1005,B49,Orders!$L$6:$L$1005,"Picked up",Orders!$B$6:$B$1005,"&gt;="&amp;DATE(YEAR(TODAY()),1,1)))</f>
        <v/>
      </c>
      <c r="I49" s="22">
        <f>IF(B49="","",SUMIFS(Orders!$H$6:$H$1005,Orders!$D$6:$D$1005,B49,Orders!$L$6:$L$1005,"&lt;&gt;Cancelled",Orders!$B$6:$B$1005,"&gt;="&amp;DATE(YEAR(TODAY()),1,1)))</f>
        <v/>
      </c>
      <c r="J49" s="18">
        <f>IF(B49="","",SUMIFS(Orders!$W$6:$W$1005,Orders!$D$6:$D$1005,B49))</f>
        <v/>
      </c>
      <c r="K49" s="1" t="n"/>
    </row>
    <row r="50">
      <c r="A50" s="1" t="n"/>
      <c r="B50" s="32" t="n"/>
      <c r="C50" s="35" t="n"/>
      <c r="D50" s="34" t="n"/>
      <c r="E50" s="22">
        <f>IF(B50="","",SUMIFS('Product materials'!$F$6:$F$505,'Product materials'!$B$6:$B$505,B50))</f>
        <v/>
      </c>
      <c r="F50" s="28">
        <f>IF(B50="","",N(C50)-E50)</f>
        <v/>
      </c>
      <c r="G50" s="37">
        <f>IF(OR(B50="",N(C50)=0),"",F50/C50)</f>
        <v/>
      </c>
      <c r="H50" s="18">
        <f>IF(B50="","",SUMIFS(Orders!$X$6:$X$1005,Orders!$D$6:$D$1005,B50,Orders!$L$6:$L$1005,"Sent",Orders!$B$6:$B$1005,"&gt;="&amp;DATE(YEAR(TODAY()),1,1))+SUMIFS(Orders!$X$6:$X$1005,Orders!$D$6:$D$1005,B50,Orders!$L$6:$L$1005,"Picked up",Orders!$B$6:$B$1005,"&gt;="&amp;DATE(YEAR(TODAY()),1,1)))</f>
        <v/>
      </c>
      <c r="I50" s="22">
        <f>IF(B50="","",SUMIFS(Orders!$H$6:$H$1005,Orders!$D$6:$D$1005,B50,Orders!$L$6:$L$1005,"&lt;&gt;Cancelled",Orders!$B$6:$B$1005,"&gt;="&amp;DATE(YEAR(TODAY()),1,1)))</f>
        <v/>
      </c>
      <c r="J50" s="18">
        <f>IF(B50="","",SUMIFS(Orders!$W$6:$W$1005,Orders!$D$6:$D$1005,B50))</f>
        <v/>
      </c>
      <c r="K50" s="1" t="n"/>
    </row>
    <row r="51">
      <c r="A51" s="1" t="n"/>
      <c r="B51" s="32" t="n"/>
      <c r="C51" s="35" t="n"/>
      <c r="D51" s="34" t="n"/>
      <c r="E51" s="22">
        <f>IF(B51="","",SUMIFS('Product materials'!$F$6:$F$505,'Product materials'!$B$6:$B$505,B51))</f>
        <v/>
      </c>
      <c r="F51" s="28">
        <f>IF(B51="","",N(C51)-E51)</f>
        <v/>
      </c>
      <c r="G51" s="37">
        <f>IF(OR(B51="",N(C51)=0),"",F51/C51)</f>
        <v/>
      </c>
      <c r="H51" s="18">
        <f>IF(B51="","",SUMIFS(Orders!$X$6:$X$1005,Orders!$D$6:$D$1005,B51,Orders!$L$6:$L$1005,"Sent",Orders!$B$6:$B$1005,"&gt;="&amp;DATE(YEAR(TODAY()),1,1))+SUMIFS(Orders!$X$6:$X$1005,Orders!$D$6:$D$1005,B51,Orders!$L$6:$L$1005,"Picked up",Orders!$B$6:$B$1005,"&gt;="&amp;DATE(YEAR(TODAY()),1,1)))</f>
        <v/>
      </c>
      <c r="I51" s="22">
        <f>IF(B51="","",SUMIFS(Orders!$H$6:$H$1005,Orders!$D$6:$D$1005,B51,Orders!$L$6:$L$1005,"&lt;&gt;Cancelled",Orders!$B$6:$B$1005,"&gt;="&amp;DATE(YEAR(TODAY()),1,1)))</f>
        <v/>
      </c>
      <c r="J51" s="18">
        <f>IF(B51="","",SUMIFS(Orders!$W$6:$W$1005,Orders!$D$6:$D$1005,B51))</f>
        <v/>
      </c>
      <c r="K51" s="1" t="n"/>
    </row>
    <row r="52">
      <c r="A52" s="1" t="n"/>
      <c r="B52" s="32" t="n"/>
      <c r="C52" s="35" t="n"/>
      <c r="D52" s="34" t="n"/>
      <c r="E52" s="22">
        <f>IF(B52="","",SUMIFS('Product materials'!$F$6:$F$505,'Product materials'!$B$6:$B$505,B52))</f>
        <v/>
      </c>
      <c r="F52" s="28">
        <f>IF(B52="","",N(C52)-E52)</f>
        <v/>
      </c>
      <c r="G52" s="37">
        <f>IF(OR(B52="",N(C52)=0),"",F52/C52)</f>
        <v/>
      </c>
      <c r="H52" s="18">
        <f>IF(B52="","",SUMIFS(Orders!$X$6:$X$1005,Orders!$D$6:$D$1005,B52,Orders!$L$6:$L$1005,"Sent",Orders!$B$6:$B$1005,"&gt;="&amp;DATE(YEAR(TODAY()),1,1))+SUMIFS(Orders!$X$6:$X$1005,Orders!$D$6:$D$1005,B52,Orders!$L$6:$L$1005,"Picked up",Orders!$B$6:$B$1005,"&gt;="&amp;DATE(YEAR(TODAY()),1,1)))</f>
        <v/>
      </c>
      <c r="I52" s="22">
        <f>IF(B52="","",SUMIFS(Orders!$H$6:$H$1005,Orders!$D$6:$D$1005,B52,Orders!$L$6:$L$1005,"&lt;&gt;Cancelled",Orders!$B$6:$B$1005,"&gt;="&amp;DATE(YEAR(TODAY()),1,1)))</f>
        <v/>
      </c>
      <c r="J52" s="18">
        <f>IF(B52="","",SUMIFS(Orders!$W$6:$W$1005,Orders!$D$6:$D$1005,B52))</f>
        <v/>
      </c>
      <c r="K52" s="1" t="n"/>
    </row>
    <row r="53">
      <c r="A53" s="1" t="n"/>
      <c r="B53" s="32" t="n"/>
      <c r="C53" s="35" t="n"/>
      <c r="D53" s="34" t="n"/>
      <c r="E53" s="22">
        <f>IF(B53="","",SUMIFS('Product materials'!$F$6:$F$505,'Product materials'!$B$6:$B$505,B53))</f>
        <v/>
      </c>
      <c r="F53" s="28">
        <f>IF(B53="","",N(C53)-E53)</f>
        <v/>
      </c>
      <c r="G53" s="37">
        <f>IF(OR(B53="",N(C53)=0),"",F53/C53)</f>
        <v/>
      </c>
      <c r="H53" s="18">
        <f>IF(B53="","",SUMIFS(Orders!$X$6:$X$1005,Orders!$D$6:$D$1005,B53,Orders!$L$6:$L$1005,"Sent",Orders!$B$6:$B$1005,"&gt;="&amp;DATE(YEAR(TODAY()),1,1))+SUMIFS(Orders!$X$6:$X$1005,Orders!$D$6:$D$1005,B53,Orders!$L$6:$L$1005,"Picked up",Orders!$B$6:$B$1005,"&gt;="&amp;DATE(YEAR(TODAY()),1,1)))</f>
        <v/>
      </c>
      <c r="I53" s="22">
        <f>IF(B53="","",SUMIFS(Orders!$H$6:$H$1005,Orders!$D$6:$D$1005,B53,Orders!$L$6:$L$1005,"&lt;&gt;Cancelled",Orders!$B$6:$B$1005,"&gt;="&amp;DATE(YEAR(TODAY()),1,1)))</f>
        <v/>
      </c>
      <c r="J53" s="18">
        <f>IF(B53="","",SUMIFS(Orders!$W$6:$W$1005,Orders!$D$6:$D$1005,B53))</f>
        <v/>
      </c>
      <c r="K53" s="1" t="n"/>
    </row>
    <row r="54">
      <c r="A54" s="1" t="n"/>
      <c r="B54" s="32" t="n"/>
      <c r="C54" s="35" t="n"/>
      <c r="D54" s="34" t="n"/>
      <c r="E54" s="22">
        <f>IF(B54="","",SUMIFS('Product materials'!$F$6:$F$505,'Product materials'!$B$6:$B$505,B54))</f>
        <v/>
      </c>
      <c r="F54" s="28">
        <f>IF(B54="","",N(C54)-E54)</f>
        <v/>
      </c>
      <c r="G54" s="37">
        <f>IF(OR(B54="",N(C54)=0),"",F54/C54)</f>
        <v/>
      </c>
      <c r="H54" s="18">
        <f>IF(B54="","",SUMIFS(Orders!$X$6:$X$1005,Orders!$D$6:$D$1005,B54,Orders!$L$6:$L$1005,"Sent",Orders!$B$6:$B$1005,"&gt;="&amp;DATE(YEAR(TODAY()),1,1))+SUMIFS(Orders!$X$6:$X$1005,Orders!$D$6:$D$1005,B54,Orders!$L$6:$L$1005,"Picked up",Orders!$B$6:$B$1005,"&gt;="&amp;DATE(YEAR(TODAY()),1,1)))</f>
        <v/>
      </c>
      <c r="I54" s="22">
        <f>IF(B54="","",SUMIFS(Orders!$H$6:$H$1005,Orders!$D$6:$D$1005,B54,Orders!$L$6:$L$1005,"&lt;&gt;Cancelled",Orders!$B$6:$B$1005,"&gt;="&amp;DATE(YEAR(TODAY()),1,1)))</f>
        <v/>
      </c>
      <c r="J54" s="18">
        <f>IF(B54="","",SUMIFS(Orders!$W$6:$W$1005,Orders!$D$6:$D$1005,B54))</f>
        <v/>
      </c>
      <c r="K54" s="1" t="n"/>
    </row>
    <row r="55">
      <c r="A55" s="1" t="n"/>
      <c r="B55" s="32" t="n"/>
      <c r="C55" s="35" t="n"/>
      <c r="D55" s="34" t="n"/>
      <c r="E55" s="22">
        <f>IF(B55="","",SUMIFS('Product materials'!$F$6:$F$505,'Product materials'!$B$6:$B$505,B55))</f>
        <v/>
      </c>
      <c r="F55" s="28">
        <f>IF(B55="","",N(C55)-E55)</f>
        <v/>
      </c>
      <c r="G55" s="37">
        <f>IF(OR(B55="",N(C55)=0),"",F55/C55)</f>
        <v/>
      </c>
      <c r="H55" s="18">
        <f>IF(B55="","",SUMIFS(Orders!$X$6:$X$1005,Orders!$D$6:$D$1005,B55,Orders!$L$6:$L$1005,"Sent",Orders!$B$6:$B$1005,"&gt;="&amp;DATE(YEAR(TODAY()),1,1))+SUMIFS(Orders!$X$6:$X$1005,Orders!$D$6:$D$1005,B55,Orders!$L$6:$L$1005,"Picked up",Orders!$B$6:$B$1005,"&gt;="&amp;DATE(YEAR(TODAY()),1,1)))</f>
        <v/>
      </c>
      <c r="I55" s="22">
        <f>IF(B55="","",SUMIFS(Orders!$H$6:$H$1005,Orders!$D$6:$D$1005,B55,Orders!$L$6:$L$1005,"&lt;&gt;Cancelled",Orders!$B$6:$B$1005,"&gt;="&amp;DATE(YEAR(TODAY()),1,1)))</f>
        <v/>
      </c>
      <c r="J55" s="18">
        <f>IF(B55="","",SUMIFS(Orders!$W$6:$W$1005,Orders!$D$6:$D$1005,B55))</f>
        <v/>
      </c>
      <c r="K55" s="1" t="n"/>
    </row>
    <row r="56">
      <c r="A56" s="1" t="n"/>
      <c r="B56" s="32" t="n"/>
      <c r="C56" s="35" t="n"/>
      <c r="D56" s="34" t="n"/>
      <c r="E56" s="22">
        <f>IF(B56="","",SUMIFS('Product materials'!$F$6:$F$505,'Product materials'!$B$6:$B$505,B56))</f>
        <v/>
      </c>
      <c r="F56" s="28">
        <f>IF(B56="","",N(C56)-E56)</f>
        <v/>
      </c>
      <c r="G56" s="37">
        <f>IF(OR(B56="",N(C56)=0),"",F56/C56)</f>
        <v/>
      </c>
      <c r="H56" s="18">
        <f>IF(B56="","",SUMIFS(Orders!$X$6:$X$1005,Orders!$D$6:$D$1005,B56,Orders!$L$6:$L$1005,"Sent",Orders!$B$6:$B$1005,"&gt;="&amp;DATE(YEAR(TODAY()),1,1))+SUMIFS(Orders!$X$6:$X$1005,Orders!$D$6:$D$1005,B56,Orders!$L$6:$L$1005,"Picked up",Orders!$B$6:$B$1005,"&gt;="&amp;DATE(YEAR(TODAY()),1,1)))</f>
        <v/>
      </c>
      <c r="I56" s="22">
        <f>IF(B56="","",SUMIFS(Orders!$H$6:$H$1005,Orders!$D$6:$D$1005,B56,Orders!$L$6:$L$1005,"&lt;&gt;Cancelled",Orders!$B$6:$B$1005,"&gt;="&amp;DATE(YEAR(TODAY()),1,1)))</f>
        <v/>
      </c>
      <c r="J56" s="18">
        <f>IF(B56="","",SUMIFS(Orders!$W$6:$W$1005,Orders!$D$6:$D$1005,B56))</f>
        <v/>
      </c>
      <c r="K56" s="1" t="n"/>
    </row>
    <row r="57">
      <c r="A57" s="1" t="n"/>
      <c r="B57" s="32" t="n"/>
      <c r="C57" s="35" t="n"/>
      <c r="D57" s="34" t="n"/>
      <c r="E57" s="22">
        <f>IF(B57="","",SUMIFS('Product materials'!$F$6:$F$505,'Product materials'!$B$6:$B$505,B57))</f>
        <v/>
      </c>
      <c r="F57" s="28">
        <f>IF(B57="","",N(C57)-E57)</f>
        <v/>
      </c>
      <c r="G57" s="37">
        <f>IF(OR(B57="",N(C57)=0),"",F57/C57)</f>
        <v/>
      </c>
      <c r="H57" s="18">
        <f>IF(B57="","",SUMIFS(Orders!$X$6:$X$1005,Orders!$D$6:$D$1005,B57,Orders!$L$6:$L$1005,"Sent",Orders!$B$6:$B$1005,"&gt;="&amp;DATE(YEAR(TODAY()),1,1))+SUMIFS(Orders!$X$6:$X$1005,Orders!$D$6:$D$1005,B57,Orders!$L$6:$L$1005,"Picked up",Orders!$B$6:$B$1005,"&gt;="&amp;DATE(YEAR(TODAY()),1,1)))</f>
        <v/>
      </c>
      <c r="I57" s="22">
        <f>IF(B57="","",SUMIFS(Orders!$H$6:$H$1005,Orders!$D$6:$D$1005,B57,Orders!$L$6:$L$1005,"&lt;&gt;Cancelled",Orders!$B$6:$B$1005,"&gt;="&amp;DATE(YEAR(TODAY()),1,1)))</f>
        <v/>
      </c>
      <c r="J57" s="18">
        <f>IF(B57="","",SUMIFS(Orders!$W$6:$W$1005,Orders!$D$6:$D$1005,B57))</f>
        <v/>
      </c>
      <c r="K57" s="1" t="n"/>
    </row>
    <row r="58">
      <c r="A58" s="1" t="n"/>
      <c r="B58" s="32" t="n"/>
      <c r="C58" s="35" t="n"/>
      <c r="D58" s="34" t="n"/>
      <c r="E58" s="22">
        <f>IF(B58="","",SUMIFS('Product materials'!$F$6:$F$505,'Product materials'!$B$6:$B$505,B58))</f>
        <v/>
      </c>
      <c r="F58" s="28">
        <f>IF(B58="","",N(C58)-E58)</f>
        <v/>
      </c>
      <c r="G58" s="37">
        <f>IF(OR(B58="",N(C58)=0),"",F58/C58)</f>
        <v/>
      </c>
      <c r="H58" s="18">
        <f>IF(B58="","",SUMIFS(Orders!$X$6:$X$1005,Orders!$D$6:$D$1005,B58,Orders!$L$6:$L$1005,"Sent",Orders!$B$6:$B$1005,"&gt;="&amp;DATE(YEAR(TODAY()),1,1))+SUMIFS(Orders!$X$6:$X$1005,Orders!$D$6:$D$1005,B58,Orders!$L$6:$L$1005,"Picked up",Orders!$B$6:$B$1005,"&gt;="&amp;DATE(YEAR(TODAY()),1,1)))</f>
        <v/>
      </c>
      <c r="I58" s="22">
        <f>IF(B58="","",SUMIFS(Orders!$H$6:$H$1005,Orders!$D$6:$D$1005,B58,Orders!$L$6:$L$1005,"&lt;&gt;Cancelled",Orders!$B$6:$B$1005,"&gt;="&amp;DATE(YEAR(TODAY()),1,1)))</f>
        <v/>
      </c>
      <c r="J58" s="18">
        <f>IF(B58="","",SUMIFS(Orders!$W$6:$W$1005,Orders!$D$6:$D$1005,B58))</f>
        <v/>
      </c>
      <c r="K58" s="1" t="n"/>
    </row>
    <row r="59">
      <c r="A59" s="1" t="n"/>
      <c r="B59" s="32" t="n"/>
      <c r="C59" s="35" t="n"/>
      <c r="D59" s="34" t="n"/>
      <c r="E59" s="22">
        <f>IF(B59="","",SUMIFS('Product materials'!$F$6:$F$505,'Product materials'!$B$6:$B$505,B59))</f>
        <v/>
      </c>
      <c r="F59" s="28">
        <f>IF(B59="","",N(C59)-E59)</f>
        <v/>
      </c>
      <c r="G59" s="37">
        <f>IF(OR(B59="",N(C59)=0),"",F59/C59)</f>
        <v/>
      </c>
      <c r="H59" s="18">
        <f>IF(B59="","",SUMIFS(Orders!$X$6:$X$1005,Orders!$D$6:$D$1005,B59,Orders!$L$6:$L$1005,"Sent",Orders!$B$6:$B$1005,"&gt;="&amp;DATE(YEAR(TODAY()),1,1))+SUMIFS(Orders!$X$6:$X$1005,Orders!$D$6:$D$1005,B59,Orders!$L$6:$L$1005,"Picked up",Orders!$B$6:$B$1005,"&gt;="&amp;DATE(YEAR(TODAY()),1,1)))</f>
        <v/>
      </c>
      <c r="I59" s="22">
        <f>IF(B59="","",SUMIFS(Orders!$H$6:$H$1005,Orders!$D$6:$D$1005,B59,Orders!$L$6:$L$1005,"&lt;&gt;Cancelled",Orders!$B$6:$B$1005,"&gt;="&amp;DATE(YEAR(TODAY()),1,1)))</f>
        <v/>
      </c>
      <c r="J59" s="18">
        <f>IF(B59="","",SUMIFS(Orders!$W$6:$W$1005,Orders!$D$6:$D$1005,B59))</f>
        <v/>
      </c>
      <c r="K59" s="1" t="n"/>
    </row>
    <row r="60">
      <c r="A60" s="1" t="n"/>
      <c r="B60" s="32" t="n"/>
      <c r="C60" s="35" t="n"/>
      <c r="D60" s="34" t="n"/>
      <c r="E60" s="22">
        <f>IF(B60="","",SUMIFS('Product materials'!$F$6:$F$505,'Product materials'!$B$6:$B$505,B60))</f>
        <v/>
      </c>
      <c r="F60" s="28">
        <f>IF(B60="","",N(C60)-E60)</f>
        <v/>
      </c>
      <c r="G60" s="37">
        <f>IF(OR(B60="",N(C60)=0),"",F60/C60)</f>
        <v/>
      </c>
      <c r="H60" s="18">
        <f>IF(B60="","",SUMIFS(Orders!$X$6:$X$1005,Orders!$D$6:$D$1005,B60,Orders!$L$6:$L$1005,"Sent",Orders!$B$6:$B$1005,"&gt;="&amp;DATE(YEAR(TODAY()),1,1))+SUMIFS(Orders!$X$6:$X$1005,Orders!$D$6:$D$1005,B60,Orders!$L$6:$L$1005,"Picked up",Orders!$B$6:$B$1005,"&gt;="&amp;DATE(YEAR(TODAY()),1,1)))</f>
        <v/>
      </c>
      <c r="I60" s="22">
        <f>IF(B60="","",SUMIFS(Orders!$H$6:$H$1005,Orders!$D$6:$D$1005,B60,Orders!$L$6:$L$1005,"&lt;&gt;Cancelled",Orders!$B$6:$B$1005,"&gt;="&amp;DATE(YEAR(TODAY()),1,1)))</f>
        <v/>
      </c>
      <c r="J60" s="18">
        <f>IF(B60="","",SUMIFS(Orders!$W$6:$W$1005,Orders!$D$6:$D$1005,B60))</f>
        <v/>
      </c>
      <c r="K60" s="1" t="n"/>
    </row>
    <row r="61">
      <c r="A61" s="1" t="n"/>
      <c r="B61" s="32" t="n"/>
      <c r="C61" s="35" t="n"/>
      <c r="D61" s="34" t="n"/>
      <c r="E61" s="22">
        <f>IF(B61="","",SUMIFS('Product materials'!$F$6:$F$505,'Product materials'!$B$6:$B$505,B61))</f>
        <v/>
      </c>
      <c r="F61" s="28">
        <f>IF(B61="","",N(C61)-E61)</f>
        <v/>
      </c>
      <c r="G61" s="37">
        <f>IF(OR(B61="",N(C61)=0),"",F61/C61)</f>
        <v/>
      </c>
      <c r="H61" s="18">
        <f>IF(B61="","",SUMIFS(Orders!$X$6:$X$1005,Orders!$D$6:$D$1005,B61,Orders!$L$6:$L$1005,"Sent",Orders!$B$6:$B$1005,"&gt;="&amp;DATE(YEAR(TODAY()),1,1))+SUMIFS(Orders!$X$6:$X$1005,Orders!$D$6:$D$1005,B61,Orders!$L$6:$L$1005,"Picked up",Orders!$B$6:$B$1005,"&gt;="&amp;DATE(YEAR(TODAY()),1,1)))</f>
        <v/>
      </c>
      <c r="I61" s="22">
        <f>IF(B61="","",SUMIFS(Orders!$H$6:$H$1005,Orders!$D$6:$D$1005,B61,Orders!$L$6:$L$1005,"&lt;&gt;Cancelled",Orders!$B$6:$B$1005,"&gt;="&amp;DATE(YEAR(TODAY()),1,1)))</f>
        <v/>
      </c>
      <c r="J61" s="18">
        <f>IF(B61="","",SUMIFS(Orders!$W$6:$W$1005,Orders!$D$6:$D$1005,B61))</f>
        <v/>
      </c>
      <c r="K61" s="1" t="n"/>
    </row>
    <row r="62">
      <c r="A62" s="1" t="n"/>
      <c r="B62" s="32" t="n"/>
      <c r="C62" s="35" t="n"/>
      <c r="D62" s="34" t="n"/>
      <c r="E62" s="22">
        <f>IF(B62="","",SUMIFS('Product materials'!$F$6:$F$505,'Product materials'!$B$6:$B$505,B62))</f>
        <v/>
      </c>
      <c r="F62" s="28">
        <f>IF(B62="","",N(C62)-E62)</f>
        <v/>
      </c>
      <c r="G62" s="37">
        <f>IF(OR(B62="",N(C62)=0),"",F62/C62)</f>
        <v/>
      </c>
      <c r="H62" s="18">
        <f>IF(B62="","",SUMIFS(Orders!$X$6:$X$1005,Orders!$D$6:$D$1005,B62,Orders!$L$6:$L$1005,"Sent",Orders!$B$6:$B$1005,"&gt;="&amp;DATE(YEAR(TODAY()),1,1))+SUMIFS(Orders!$X$6:$X$1005,Orders!$D$6:$D$1005,B62,Orders!$L$6:$L$1005,"Picked up",Orders!$B$6:$B$1005,"&gt;="&amp;DATE(YEAR(TODAY()),1,1)))</f>
        <v/>
      </c>
      <c r="I62" s="22">
        <f>IF(B62="","",SUMIFS(Orders!$H$6:$H$1005,Orders!$D$6:$D$1005,B62,Orders!$L$6:$L$1005,"&lt;&gt;Cancelled",Orders!$B$6:$B$1005,"&gt;="&amp;DATE(YEAR(TODAY()),1,1)))</f>
        <v/>
      </c>
      <c r="J62" s="18">
        <f>IF(B62="","",SUMIFS(Orders!$W$6:$W$1005,Orders!$D$6:$D$1005,B62))</f>
        <v/>
      </c>
      <c r="K62" s="1" t="n"/>
    </row>
    <row r="63">
      <c r="A63" s="1" t="n"/>
      <c r="B63" s="32" t="n"/>
      <c r="C63" s="35" t="n"/>
      <c r="D63" s="34" t="n"/>
      <c r="E63" s="22">
        <f>IF(B63="","",SUMIFS('Product materials'!$F$6:$F$505,'Product materials'!$B$6:$B$505,B63))</f>
        <v/>
      </c>
      <c r="F63" s="28">
        <f>IF(B63="","",N(C63)-E63)</f>
        <v/>
      </c>
      <c r="G63" s="37">
        <f>IF(OR(B63="",N(C63)=0),"",F63/C63)</f>
        <v/>
      </c>
      <c r="H63" s="18">
        <f>IF(B63="","",SUMIFS(Orders!$X$6:$X$1005,Orders!$D$6:$D$1005,B63,Orders!$L$6:$L$1005,"Sent",Orders!$B$6:$B$1005,"&gt;="&amp;DATE(YEAR(TODAY()),1,1))+SUMIFS(Orders!$X$6:$X$1005,Orders!$D$6:$D$1005,B63,Orders!$L$6:$L$1005,"Picked up",Orders!$B$6:$B$1005,"&gt;="&amp;DATE(YEAR(TODAY()),1,1)))</f>
        <v/>
      </c>
      <c r="I63" s="22">
        <f>IF(B63="","",SUMIFS(Orders!$H$6:$H$1005,Orders!$D$6:$D$1005,B63,Orders!$L$6:$L$1005,"&lt;&gt;Cancelled",Orders!$B$6:$B$1005,"&gt;="&amp;DATE(YEAR(TODAY()),1,1)))</f>
        <v/>
      </c>
      <c r="J63" s="18">
        <f>IF(B63="","",SUMIFS(Orders!$W$6:$W$1005,Orders!$D$6:$D$1005,B63))</f>
        <v/>
      </c>
      <c r="K63" s="1" t="n"/>
    </row>
    <row r="64">
      <c r="A64" s="1" t="n"/>
      <c r="B64" s="32" t="n"/>
      <c r="C64" s="35" t="n"/>
      <c r="D64" s="34" t="n"/>
      <c r="E64" s="22">
        <f>IF(B64="","",SUMIFS('Product materials'!$F$6:$F$505,'Product materials'!$B$6:$B$505,B64))</f>
        <v/>
      </c>
      <c r="F64" s="28">
        <f>IF(B64="","",N(C64)-E64)</f>
        <v/>
      </c>
      <c r="G64" s="37">
        <f>IF(OR(B64="",N(C64)=0),"",F64/C64)</f>
        <v/>
      </c>
      <c r="H64" s="18">
        <f>IF(B64="","",SUMIFS(Orders!$X$6:$X$1005,Orders!$D$6:$D$1005,B64,Orders!$L$6:$L$1005,"Sent",Orders!$B$6:$B$1005,"&gt;="&amp;DATE(YEAR(TODAY()),1,1))+SUMIFS(Orders!$X$6:$X$1005,Orders!$D$6:$D$1005,B64,Orders!$L$6:$L$1005,"Picked up",Orders!$B$6:$B$1005,"&gt;="&amp;DATE(YEAR(TODAY()),1,1)))</f>
        <v/>
      </c>
      <c r="I64" s="22">
        <f>IF(B64="","",SUMIFS(Orders!$H$6:$H$1005,Orders!$D$6:$D$1005,B64,Orders!$L$6:$L$1005,"&lt;&gt;Cancelled",Orders!$B$6:$B$1005,"&gt;="&amp;DATE(YEAR(TODAY()),1,1)))</f>
        <v/>
      </c>
      <c r="J64" s="18">
        <f>IF(B64="","",SUMIFS(Orders!$W$6:$W$1005,Orders!$D$6:$D$1005,B64))</f>
        <v/>
      </c>
      <c r="K64" s="1" t="n"/>
    </row>
    <row r="65">
      <c r="A65" s="1" t="n"/>
      <c r="B65" s="32" t="n"/>
      <c r="C65" s="35" t="n"/>
      <c r="D65" s="34" t="n"/>
      <c r="E65" s="22">
        <f>IF(B65="","",SUMIFS('Product materials'!$F$6:$F$505,'Product materials'!$B$6:$B$505,B65))</f>
        <v/>
      </c>
      <c r="F65" s="28">
        <f>IF(B65="","",N(C65)-E65)</f>
        <v/>
      </c>
      <c r="G65" s="37">
        <f>IF(OR(B65="",N(C65)=0),"",F65/C65)</f>
        <v/>
      </c>
      <c r="H65" s="18">
        <f>IF(B65="","",SUMIFS(Orders!$X$6:$X$1005,Orders!$D$6:$D$1005,B65,Orders!$L$6:$L$1005,"Sent",Orders!$B$6:$B$1005,"&gt;="&amp;DATE(YEAR(TODAY()),1,1))+SUMIFS(Orders!$X$6:$X$1005,Orders!$D$6:$D$1005,B65,Orders!$L$6:$L$1005,"Picked up",Orders!$B$6:$B$1005,"&gt;="&amp;DATE(YEAR(TODAY()),1,1)))</f>
        <v/>
      </c>
      <c r="I65" s="22">
        <f>IF(B65="","",SUMIFS(Orders!$H$6:$H$1005,Orders!$D$6:$D$1005,B65,Orders!$L$6:$L$1005,"&lt;&gt;Cancelled",Orders!$B$6:$B$1005,"&gt;="&amp;DATE(YEAR(TODAY()),1,1)))</f>
        <v/>
      </c>
      <c r="J65" s="18">
        <f>IF(B65="","",SUMIFS(Orders!$W$6:$W$1005,Orders!$D$6:$D$1005,B65))</f>
        <v/>
      </c>
      <c r="K65" s="1" t="n"/>
    </row>
    <row r="66">
      <c r="A66" s="1" t="n"/>
      <c r="B66" s="32" t="n"/>
      <c r="C66" s="35" t="n"/>
      <c r="D66" s="34" t="n"/>
      <c r="E66" s="22">
        <f>IF(B66="","",SUMIFS('Product materials'!$F$6:$F$505,'Product materials'!$B$6:$B$505,B66))</f>
        <v/>
      </c>
      <c r="F66" s="28">
        <f>IF(B66="","",N(C66)-E66)</f>
        <v/>
      </c>
      <c r="G66" s="37">
        <f>IF(OR(B66="",N(C66)=0),"",F66/C66)</f>
        <v/>
      </c>
      <c r="H66" s="18">
        <f>IF(B66="","",SUMIFS(Orders!$X$6:$X$1005,Orders!$D$6:$D$1005,B66,Orders!$L$6:$L$1005,"Sent",Orders!$B$6:$B$1005,"&gt;="&amp;DATE(YEAR(TODAY()),1,1))+SUMIFS(Orders!$X$6:$X$1005,Orders!$D$6:$D$1005,B66,Orders!$L$6:$L$1005,"Picked up",Orders!$B$6:$B$1005,"&gt;="&amp;DATE(YEAR(TODAY()),1,1)))</f>
        <v/>
      </c>
      <c r="I66" s="22">
        <f>IF(B66="","",SUMIFS(Orders!$H$6:$H$1005,Orders!$D$6:$D$1005,B66,Orders!$L$6:$L$1005,"&lt;&gt;Cancelled",Orders!$B$6:$B$1005,"&gt;="&amp;DATE(YEAR(TODAY()),1,1)))</f>
        <v/>
      </c>
      <c r="J66" s="18">
        <f>IF(B66="","",SUMIFS(Orders!$W$6:$W$1005,Orders!$D$6:$D$1005,B66))</f>
        <v/>
      </c>
      <c r="K66" s="1" t="n"/>
    </row>
    <row r="67">
      <c r="A67" s="1" t="n"/>
      <c r="B67" s="32" t="n"/>
      <c r="C67" s="35" t="n"/>
      <c r="D67" s="34" t="n"/>
      <c r="E67" s="22">
        <f>IF(B67="","",SUMIFS('Product materials'!$F$6:$F$505,'Product materials'!$B$6:$B$505,B67))</f>
        <v/>
      </c>
      <c r="F67" s="28">
        <f>IF(B67="","",N(C67)-E67)</f>
        <v/>
      </c>
      <c r="G67" s="37">
        <f>IF(OR(B67="",N(C67)=0),"",F67/C67)</f>
        <v/>
      </c>
      <c r="H67" s="18">
        <f>IF(B67="","",SUMIFS(Orders!$X$6:$X$1005,Orders!$D$6:$D$1005,B67,Orders!$L$6:$L$1005,"Sent",Orders!$B$6:$B$1005,"&gt;="&amp;DATE(YEAR(TODAY()),1,1))+SUMIFS(Orders!$X$6:$X$1005,Orders!$D$6:$D$1005,B67,Orders!$L$6:$L$1005,"Picked up",Orders!$B$6:$B$1005,"&gt;="&amp;DATE(YEAR(TODAY()),1,1)))</f>
        <v/>
      </c>
      <c r="I67" s="22">
        <f>IF(B67="","",SUMIFS(Orders!$H$6:$H$1005,Orders!$D$6:$D$1005,B67,Orders!$L$6:$L$1005,"&lt;&gt;Cancelled",Orders!$B$6:$B$1005,"&gt;="&amp;DATE(YEAR(TODAY()),1,1)))</f>
        <v/>
      </c>
      <c r="J67" s="18">
        <f>IF(B67="","",SUMIFS(Orders!$W$6:$W$1005,Orders!$D$6:$D$1005,B67))</f>
        <v/>
      </c>
      <c r="K67" s="1" t="n"/>
    </row>
    <row r="68">
      <c r="A68" s="1" t="n"/>
      <c r="B68" s="32" t="n"/>
      <c r="C68" s="35" t="n"/>
      <c r="D68" s="34" t="n"/>
      <c r="E68" s="22">
        <f>IF(B68="","",SUMIFS('Product materials'!$F$6:$F$505,'Product materials'!$B$6:$B$505,B68))</f>
        <v/>
      </c>
      <c r="F68" s="28">
        <f>IF(B68="","",N(C68)-E68)</f>
        <v/>
      </c>
      <c r="G68" s="37">
        <f>IF(OR(B68="",N(C68)=0),"",F68/C68)</f>
        <v/>
      </c>
      <c r="H68" s="18">
        <f>IF(B68="","",SUMIFS(Orders!$X$6:$X$1005,Orders!$D$6:$D$1005,B68,Orders!$L$6:$L$1005,"Sent",Orders!$B$6:$B$1005,"&gt;="&amp;DATE(YEAR(TODAY()),1,1))+SUMIFS(Orders!$X$6:$X$1005,Orders!$D$6:$D$1005,B68,Orders!$L$6:$L$1005,"Picked up",Orders!$B$6:$B$1005,"&gt;="&amp;DATE(YEAR(TODAY()),1,1)))</f>
        <v/>
      </c>
      <c r="I68" s="22">
        <f>IF(B68="","",SUMIFS(Orders!$H$6:$H$1005,Orders!$D$6:$D$1005,B68,Orders!$L$6:$L$1005,"&lt;&gt;Cancelled",Orders!$B$6:$B$1005,"&gt;="&amp;DATE(YEAR(TODAY()),1,1)))</f>
        <v/>
      </c>
      <c r="J68" s="18">
        <f>IF(B68="","",SUMIFS(Orders!$W$6:$W$1005,Orders!$D$6:$D$1005,B68))</f>
        <v/>
      </c>
      <c r="K68" s="1" t="n"/>
    </row>
    <row r="69">
      <c r="A69" s="1" t="n"/>
      <c r="B69" s="32" t="n"/>
      <c r="C69" s="35" t="n"/>
      <c r="D69" s="34" t="n"/>
      <c r="E69" s="22">
        <f>IF(B69="","",SUMIFS('Product materials'!$F$6:$F$505,'Product materials'!$B$6:$B$505,B69))</f>
        <v/>
      </c>
      <c r="F69" s="28">
        <f>IF(B69="","",N(C69)-E69)</f>
        <v/>
      </c>
      <c r="G69" s="37">
        <f>IF(OR(B69="",N(C69)=0),"",F69/C69)</f>
        <v/>
      </c>
      <c r="H69" s="18">
        <f>IF(B69="","",SUMIFS(Orders!$X$6:$X$1005,Orders!$D$6:$D$1005,B69,Orders!$L$6:$L$1005,"Sent",Orders!$B$6:$B$1005,"&gt;="&amp;DATE(YEAR(TODAY()),1,1))+SUMIFS(Orders!$X$6:$X$1005,Orders!$D$6:$D$1005,B69,Orders!$L$6:$L$1005,"Picked up",Orders!$B$6:$B$1005,"&gt;="&amp;DATE(YEAR(TODAY()),1,1)))</f>
        <v/>
      </c>
      <c r="I69" s="22">
        <f>IF(B69="","",SUMIFS(Orders!$H$6:$H$1005,Orders!$D$6:$D$1005,B69,Orders!$L$6:$L$1005,"&lt;&gt;Cancelled",Orders!$B$6:$B$1005,"&gt;="&amp;DATE(YEAR(TODAY()),1,1)))</f>
        <v/>
      </c>
      <c r="J69" s="18">
        <f>IF(B69="","",SUMIFS(Orders!$W$6:$W$1005,Orders!$D$6:$D$1005,B69))</f>
        <v/>
      </c>
      <c r="K69" s="1" t="n"/>
    </row>
    <row r="70">
      <c r="A70" s="1" t="n"/>
      <c r="B70" s="32" t="n"/>
      <c r="C70" s="35" t="n"/>
      <c r="D70" s="34" t="n"/>
      <c r="E70" s="22">
        <f>IF(B70="","",SUMIFS('Product materials'!$F$6:$F$505,'Product materials'!$B$6:$B$505,B70))</f>
        <v/>
      </c>
      <c r="F70" s="28">
        <f>IF(B70="","",N(C70)-E70)</f>
        <v/>
      </c>
      <c r="G70" s="37">
        <f>IF(OR(B70="",N(C70)=0),"",F70/C70)</f>
        <v/>
      </c>
      <c r="H70" s="18">
        <f>IF(B70="","",SUMIFS(Orders!$X$6:$X$1005,Orders!$D$6:$D$1005,B70,Orders!$L$6:$L$1005,"Sent",Orders!$B$6:$B$1005,"&gt;="&amp;DATE(YEAR(TODAY()),1,1))+SUMIFS(Orders!$X$6:$X$1005,Orders!$D$6:$D$1005,B70,Orders!$L$6:$L$1005,"Picked up",Orders!$B$6:$B$1005,"&gt;="&amp;DATE(YEAR(TODAY()),1,1)))</f>
        <v/>
      </c>
      <c r="I70" s="22">
        <f>IF(B70="","",SUMIFS(Orders!$H$6:$H$1005,Orders!$D$6:$D$1005,B70,Orders!$L$6:$L$1005,"&lt;&gt;Cancelled",Orders!$B$6:$B$1005,"&gt;="&amp;DATE(YEAR(TODAY()),1,1)))</f>
        <v/>
      </c>
      <c r="J70" s="18">
        <f>IF(B70="","",SUMIFS(Orders!$W$6:$W$1005,Orders!$D$6:$D$1005,B70))</f>
        <v/>
      </c>
      <c r="K70" s="1" t="n"/>
    </row>
    <row r="71">
      <c r="A71" s="1" t="n"/>
      <c r="B71" s="32" t="n"/>
      <c r="C71" s="35" t="n"/>
      <c r="D71" s="34" t="n"/>
      <c r="E71" s="22">
        <f>IF(B71="","",SUMIFS('Product materials'!$F$6:$F$505,'Product materials'!$B$6:$B$505,B71))</f>
        <v/>
      </c>
      <c r="F71" s="28">
        <f>IF(B71="","",N(C71)-E71)</f>
        <v/>
      </c>
      <c r="G71" s="37">
        <f>IF(OR(B71="",N(C71)=0),"",F71/C71)</f>
        <v/>
      </c>
      <c r="H71" s="18">
        <f>IF(B71="","",SUMIFS(Orders!$X$6:$X$1005,Orders!$D$6:$D$1005,B71,Orders!$L$6:$L$1005,"Sent",Orders!$B$6:$B$1005,"&gt;="&amp;DATE(YEAR(TODAY()),1,1))+SUMIFS(Orders!$X$6:$X$1005,Orders!$D$6:$D$1005,B71,Orders!$L$6:$L$1005,"Picked up",Orders!$B$6:$B$1005,"&gt;="&amp;DATE(YEAR(TODAY()),1,1)))</f>
        <v/>
      </c>
      <c r="I71" s="22">
        <f>IF(B71="","",SUMIFS(Orders!$H$6:$H$1005,Orders!$D$6:$D$1005,B71,Orders!$L$6:$L$1005,"&lt;&gt;Cancelled",Orders!$B$6:$B$1005,"&gt;="&amp;DATE(YEAR(TODAY()),1,1)))</f>
        <v/>
      </c>
      <c r="J71" s="18">
        <f>IF(B71="","",SUMIFS(Orders!$W$6:$W$1005,Orders!$D$6:$D$1005,B71))</f>
        <v/>
      </c>
      <c r="K71" s="1" t="n"/>
    </row>
    <row r="72">
      <c r="A72" s="1" t="n"/>
      <c r="B72" s="32" t="n"/>
      <c r="C72" s="35" t="n"/>
      <c r="D72" s="34" t="n"/>
      <c r="E72" s="22">
        <f>IF(B72="","",SUMIFS('Product materials'!$F$6:$F$505,'Product materials'!$B$6:$B$505,B72))</f>
        <v/>
      </c>
      <c r="F72" s="28">
        <f>IF(B72="","",N(C72)-E72)</f>
        <v/>
      </c>
      <c r="G72" s="37">
        <f>IF(OR(B72="",N(C72)=0),"",F72/C72)</f>
        <v/>
      </c>
      <c r="H72" s="18">
        <f>IF(B72="","",SUMIFS(Orders!$X$6:$X$1005,Orders!$D$6:$D$1005,B72,Orders!$L$6:$L$1005,"Sent",Orders!$B$6:$B$1005,"&gt;="&amp;DATE(YEAR(TODAY()),1,1))+SUMIFS(Orders!$X$6:$X$1005,Orders!$D$6:$D$1005,B72,Orders!$L$6:$L$1005,"Picked up",Orders!$B$6:$B$1005,"&gt;="&amp;DATE(YEAR(TODAY()),1,1)))</f>
        <v/>
      </c>
      <c r="I72" s="22">
        <f>IF(B72="","",SUMIFS(Orders!$H$6:$H$1005,Orders!$D$6:$D$1005,B72,Orders!$L$6:$L$1005,"&lt;&gt;Cancelled",Orders!$B$6:$B$1005,"&gt;="&amp;DATE(YEAR(TODAY()),1,1)))</f>
        <v/>
      </c>
      <c r="J72" s="18">
        <f>IF(B72="","",SUMIFS(Orders!$W$6:$W$1005,Orders!$D$6:$D$1005,B72))</f>
        <v/>
      </c>
      <c r="K72" s="1" t="n"/>
    </row>
    <row r="73">
      <c r="A73" s="1" t="n"/>
      <c r="B73" s="32" t="n"/>
      <c r="C73" s="35" t="n"/>
      <c r="D73" s="34" t="n"/>
      <c r="E73" s="22">
        <f>IF(B73="","",SUMIFS('Product materials'!$F$6:$F$505,'Product materials'!$B$6:$B$505,B73))</f>
        <v/>
      </c>
      <c r="F73" s="28">
        <f>IF(B73="","",N(C73)-E73)</f>
        <v/>
      </c>
      <c r="G73" s="37">
        <f>IF(OR(B73="",N(C73)=0),"",F73/C73)</f>
        <v/>
      </c>
      <c r="H73" s="18">
        <f>IF(B73="","",SUMIFS(Orders!$X$6:$X$1005,Orders!$D$6:$D$1005,B73,Orders!$L$6:$L$1005,"Sent",Orders!$B$6:$B$1005,"&gt;="&amp;DATE(YEAR(TODAY()),1,1))+SUMIFS(Orders!$X$6:$X$1005,Orders!$D$6:$D$1005,B73,Orders!$L$6:$L$1005,"Picked up",Orders!$B$6:$B$1005,"&gt;="&amp;DATE(YEAR(TODAY()),1,1)))</f>
        <v/>
      </c>
      <c r="I73" s="22">
        <f>IF(B73="","",SUMIFS(Orders!$H$6:$H$1005,Orders!$D$6:$D$1005,B73,Orders!$L$6:$L$1005,"&lt;&gt;Cancelled",Orders!$B$6:$B$1005,"&gt;="&amp;DATE(YEAR(TODAY()),1,1)))</f>
        <v/>
      </c>
      <c r="J73" s="18">
        <f>IF(B73="","",SUMIFS(Orders!$W$6:$W$1005,Orders!$D$6:$D$1005,B73))</f>
        <v/>
      </c>
      <c r="K73" s="1" t="n"/>
    </row>
    <row r="74">
      <c r="A74" s="1" t="n"/>
      <c r="B74" s="32" t="n"/>
      <c r="C74" s="35" t="n"/>
      <c r="D74" s="34" t="n"/>
      <c r="E74" s="22">
        <f>IF(B74="","",SUMIFS('Product materials'!$F$6:$F$505,'Product materials'!$B$6:$B$505,B74))</f>
        <v/>
      </c>
      <c r="F74" s="28">
        <f>IF(B74="","",N(C74)-E74)</f>
        <v/>
      </c>
      <c r="G74" s="37">
        <f>IF(OR(B74="",N(C74)=0),"",F74/C74)</f>
        <v/>
      </c>
      <c r="H74" s="18">
        <f>IF(B74="","",SUMIFS(Orders!$X$6:$X$1005,Orders!$D$6:$D$1005,B74,Orders!$L$6:$L$1005,"Sent",Orders!$B$6:$B$1005,"&gt;="&amp;DATE(YEAR(TODAY()),1,1))+SUMIFS(Orders!$X$6:$X$1005,Orders!$D$6:$D$1005,B74,Orders!$L$6:$L$1005,"Picked up",Orders!$B$6:$B$1005,"&gt;="&amp;DATE(YEAR(TODAY()),1,1)))</f>
        <v/>
      </c>
      <c r="I74" s="22">
        <f>IF(B74="","",SUMIFS(Orders!$H$6:$H$1005,Orders!$D$6:$D$1005,B74,Orders!$L$6:$L$1005,"&lt;&gt;Cancelled",Orders!$B$6:$B$1005,"&gt;="&amp;DATE(YEAR(TODAY()),1,1)))</f>
        <v/>
      </c>
      <c r="J74" s="18">
        <f>IF(B74="","",SUMIFS(Orders!$W$6:$W$1005,Orders!$D$6:$D$1005,B74))</f>
        <v/>
      </c>
      <c r="K74" s="1" t="n"/>
    </row>
    <row r="75">
      <c r="A75" s="1" t="n"/>
      <c r="B75" s="32" t="n"/>
      <c r="C75" s="35" t="n"/>
      <c r="D75" s="34" t="n"/>
      <c r="E75" s="22">
        <f>IF(B75="","",SUMIFS('Product materials'!$F$6:$F$505,'Product materials'!$B$6:$B$505,B75))</f>
        <v/>
      </c>
      <c r="F75" s="28">
        <f>IF(B75="","",N(C75)-E75)</f>
        <v/>
      </c>
      <c r="G75" s="37">
        <f>IF(OR(B75="",N(C75)=0),"",F75/C75)</f>
        <v/>
      </c>
      <c r="H75" s="18">
        <f>IF(B75="","",SUMIFS(Orders!$X$6:$X$1005,Orders!$D$6:$D$1005,B75,Orders!$L$6:$L$1005,"Sent",Orders!$B$6:$B$1005,"&gt;="&amp;DATE(YEAR(TODAY()),1,1))+SUMIFS(Orders!$X$6:$X$1005,Orders!$D$6:$D$1005,B75,Orders!$L$6:$L$1005,"Picked up",Orders!$B$6:$B$1005,"&gt;="&amp;DATE(YEAR(TODAY()),1,1)))</f>
        <v/>
      </c>
      <c r="I75" s="22">
        <f>IF(B75="","",SUMIFS(Orders!$H$6:$H$1005,Orders!$D$6:$D$1005,B75,Orders!$L$6:$L$1005,"&lt;&gt;Cancelled",Orders!$B$6:$B$1005,"&gt;="&amp;DATE(YEAR(TODAY()),1,1)))</f>
        <v/>
      </c>
      <c r="J75" s="18">
        <f>IF(B75="","",SUMIFS(Orders!$W$6:$W$1005,Orders!$D$6:$D$1005,B75))</f>
        <v/>
      </c>
      <c r="K75" s="1" t="n"/>
    </row>
    <row r="76">
      <c r="A76" s="1" t="n"/>
      <c r="B76" s="32" t="n"/>
      <c r="C76" s="35" t="n"/>
      <c r="D76" s="34" t="n"/>
      <c r="E76" s="22">
        <f>IF(B76="","",SUMIFS('Product materials'!$F$6:$F$505,'Product materials'!$B$6:$B$505,B76))</f>
        <v/>
      </c>
      <c r="F76" s="28">
        <f>IF(B76="","",N(C76)-E76)</f>
        <v/>
      </c>
      <c r="G76" s="37">
        <f>IF(OR(B76="",N(C76)=0),"",F76/C76)</f>
        <v/>
      </c>
      <c r="H76" s="18">
        <f>IF(B76="","",SUMIFS(Orders!$X$6:$X$1005,Orders!$D$6:$D$1005,B76,Orders!$L$6:$L$1005,"Sent",Orders!$B$6:$B$1005,"&gt;="&amp;DATE(YEAR(TODAY()),1,1))+SUMIFS(Orders!$X$6:$X$1005,Orders!$D$6:$D$1005,B76,Orders!$L$6:$L$1005,"Picked up",Orders!$B$6:$B$1005,"&gt;="&amp;DATE(YEAR(TODAY()),1,1)))</f>
        <v/>
      </c>
      <c r="I76" s="22">
        <f>IF(B76="","",SUMIFS(Orders!$H$6:$H$1005,Orders!$D$6:$D$1005,B76,Orders!$L$6:$L$1005,"&lt;&gt;Cancelled",Orders!$B$6:$B$1005,"&gt;="&amp;DATE(YEAR(TODAY()),1,1)))</f>
        <v/>
      </c>
      <c r="J76" s="18">
        <f>IF(B76="","",SUMIFS(Orders!$W$6:$W$1005,Orders!$D$6:$D$1005,B76))</f>
        <v/>
      </c>
      <c r="K76" s="1" t="n"/>
    </row>
    <row r="77">
      <c r="A77" s="1" t="n"/>
      <c r="B77" s="32" t="n"/>
      <c r="C77" s="35" t="n"/>
      <c r="D77" s="34" t="n"/>
      <c r="E77" s="22">
        <f>IF(B77="","",SUMIFS('Product materials'!$F$6:$F$505,'Product materials'!$B$6:$B$505,B77))</f>
        <v/>
      </c>
      <c r="F77" s="28">
        <f>IF(B77="","",N(C77)-E77)</f>
        <v/>
      </c>
      <c r="G77" s="37">
        <f>IF(OR(B77="",N(C77)=0),"",F77/C77)</f>
        <v/>
      </c>
      <c r="H77" s="18">
        <f>IF(B77="","",SUMIFS(Orders!$X$6:$X$1005,Orders!$D$6:$D$1005,B77,Orders!$L$6:$L$1005,"Sent",Orders!$B$6:$B$1005,"&gt;="&amp;DATE(YEAR(TODAY()),1,1))+SUMIFS(Orders!$X$6:$X$1005,Orders!$D$6:$D$1005,B77,Orders!$L$6:$L$1005,"Picked up",Orders!$B$6:$B$1005,"&gt;="&amp;DATE(YEAR(TODAY()),1,1)))</f>
        <v/>
      </c>
      <c r="I77" s="22">
        <f>IF(B77="","",SUMIFS(Orders!$H$6:$H$1005,Orders!$D$6:$D$1005,B77,Orders!$L$6:$L$1005,"&lt;&gt;Cancelled",Orders!$B$6:$B$1005,"&gt;="&amp;DATE(YEAR(TODAY()),1,1)))</f>
        <v/>
      </c>
      <c r="J77" s="18">
        <f>IF(B77="","",SUMIFS(Orders!$W$6:$W$1005,Orders!$D$6:$D$1005,B77))</f>
        <v/>
      </c>
      <c r="K77" s="1" t="n"/>
    </row>
    <row r="78">
      <c r="A78" s="1" t="n"/>
      <c r="B78" s="32" t="n"/>
      <c r="C78" s="35" t="n"/>
      <c r="D78" s="34" t="n"/>
      <c r="E78" s="22">
        <f>IF(B78="","",SUMIFS('Product materials'!$F$6:$F$505,'Product materials'!$B$6:$B$505,B78))</f>
        <v/>
      </c>
      <c r="F78" s="28">
        <f>IF(B78="","",N(C78)-E78)</f>
        <v/>
      </c>
      <c r="G78" s="37">
        <f>IF(OR(B78="",N(C78)=0),"",F78/C78)</f>
        <v/>
      </c>
      <c r="H78" s="18">
        <f>IF(B78="","",SUMIFS(Orders!$X$6:$X$1005,Orders!$D$6:$D$1005,B78,Orders!$L$6:$L$1005,"Sent",Orders!$B$6:$B$1005,"&gt;="&amp;DATE(YEAR(TODAY()),1,1))+SUMIFS(Orders!$X$6:$X$1005,Orders!$D$6:$D$1005,B78,Orders!$L$6:$L$1005,"Picked up",Orders!$B$6:$B$1005,"&gt;="&amp;DATE(YEAR(TODAY()),1,1)))</f>
        <v/>
      </c>
      <c r="I78" s="22">
        <f>IF(B78="","",SUMIFS(Orders!$H$6:$H$1005,Orders!$D$6:$D$1005,B78,Orders!$L$6:$L$1005,"&lt;&gt;Cancelled",Orders!$B$6:$B$1005,"&gt;="&amp;DATE(YEAR(TODAY()),1,1)))</f>
        <v/>
      </c>
      <c r="J78" s="18">
        <f>IF(B78="","",SUMIFS(Orders!$W$6:$W$1005,Orders!$D$6:$D$1005,B78))</f>
        <v/>
      </c>
      <c r="K78" s="1" t="n"/>
    </row>
    <row r="79">
      <c r="A79" s="1" t="n"/>
      <c r="B79" s="32" t="n"/>
      <c r="C79" s="35" t="n"/>
      <c r="D79" s="34" t="n"/>
      <c r="E79" s="22">
        <f>IF(B79="","",SUMIFS('Product materials'!$F$6:$F$505,'Product materials'!$B$6:$B$505,B79))</f>
        <v/>
      </c>
      <c r="F79" s="28">
        <f>IF(B79="","",N(C79)-E79)</f>
        <v/>
      </c>
      <c r="G79" s="37">
        <f>IF(OR(B79="",N(C79)=0),"",F79/C79)</f>
        <v/>
      </c>
      <c r="H79" s="18">
        <f>IF(B79="","",SUMIFS(Orders!$X$6:$X$1005,Orders!$D$6:$D$1005,B79,Orders!$L$6:$L$1005,"Sent",Orders!$B$6:$B$1005,"&gt;="&amp;DATE(YEAR(TODAY()),1,1))+SUMIFS(Orders!$X$6:$X$1005,Orders!$D$6:$D$1005,B79,Orders!$L$6:$L$1005,"Picked up",Orders!$B$6:$B$1005,"&gt;="&amp;DATE(YEAR(TODAY()),1,1)))</f>
        <v/>
      </c>
      <c r="I79" s="22">
        <f>IF(B79="","",SUMIFS(Orders!$H$6:$H$1005,Orders!$D$6:$D$1005,B79,Orders!$L$6:$L$1005,"&lt;&gt;Cancelled",Orders!$B$6:$B$1005,"&gt;="&amp;DATE(YEAR(TODAY()),1,1)))</f>
        <v/>
      </c>
      <c r="J79" s="18">
        <f>IF(B79="","",SUMIFS(Orders!$W$6:$W$1005,Orders!$D$6:$D$1005,B79))</f>
        <v/>
      </c>
      <c r="K79" s="1" t="n"/>
    </row>
    <row r="80">
      <c r="A80" s="1" t="n"/>
      <c r="B80" s="32" t="n"/>
      <c r="C80" s="35" t="n"/>
      <c r="D80" s="34" t="n"/>
      <c r="E80" s="22">
        <f>IF(B80="","",SUMIFS('Product materials'!$F$6:$F$505,'Product materials'!$B$6:$B$505,B80))</f>
        <v/>
      </c>
      <c r="F80" s="28">
        <f>IF(B80="","",N(C80)-E80)</f>
        <v/>
      </c>
      <c r="G80" s="37">
        <f>IF(OR(B80="",N(C80)=0),"",F80/C80)</f>
        <v/>
      </c>
      <c r="H80" s="18">
        <f>IF(B80="","",SUMIFS(Orders!$X$6:$X$1005,Orders!$D$6:$D$1005,B80,Orders!$L$6:$L$1005,"Sent",Orders!$B$6:$B$1005,"&gt;="&amp;DATE(YEAR(TODAY()),1,1))+SUMIFS(Orders!$X$6:$X$1005,Orders!$D$6:$D$1005,B80,Orders!$L$6:$L$1005,"Picked up",Orders!$B$6:$B$1005,"&gt;="&amp;DATE(YEAR(TODAY()),1,1)))</f>
        <v/>
      </c>
      <c r="I80" s="22">
        <f>IF(B80="","",SUMIFS(Orders!$H$6:$H$1005,Orders!$D$6:$D$1005,B80,Orders!$L$6:$L$1005,"&lt;&gt;Cancelled",Orders!$B$6:$B$1005,"&gt;="&amp;DATE(YEAR(TODAY()),1,1)))</f>
        <v/>
      </c>
      <c r="J80" s="18">
        <f>IF(B80="","",SUMIFS(Orders!$W$6:$W$1005,Orders!$D$6:$D$1005,B80))</f>
        <v/>
      </c>
      <c r="K80" s="1" t="n"/>
    </row>
    <row r="81">
      <c r="A81" s="1" t="n"/>
      <c r="B81" s="32" t="n"/>
      <c r="C81" s="35" t="n"/>
      <c r="D81" s="34" t="n"/>
      <c r="E81" s="22">
        <f>IF(B81="","",SUMIFS('Product materials'!$F$6:$F$505,'Product materials'!$B$6:$B$505,B81))</f>
        <v/>
      </c>
      <c r="F81" s="28">
        <f>IF(B81="","",N(C81)-E81)</f>
        <v/>
      </c>
      <c r="G81" s="37">
        <f>IF(OR(B81="",N(C81)=0),"",F81/C81)</f>
        <v/>
      </c>
      <c r="H81" s="18">
        <f>IF(B81="","",SUMIFS(Orders!$X$6:$X$1005,Orders!$D$6:$D$1005,B81,Orders!$L$6:$L$1005,"Sent",Orders!$B$6:$B$1005,"&gt;="&amp;DATE(YEAR(TODAY()),1,1))+SUMIFS(Orders!$X$6:$X$1005,Orders!$D$6:$D$1005,B81,Orders!$L$6:$L$1005,"Picked up",Orders!$B$6:$B$1005,"&gt;="&amp;DATE(YEAR(TODAY()),1,1)))</f>
        <v/>
      </c>
      <c r="I81" s="22">
        <f>IF(B81="","",SUMIFS(Orders!$H$6:$H$1005,Orders!$D$6:$D$1005,B81,Orders!$L$6:$L$1005,"&lt;&gt;Cancelled",Orders!$B$6:$B$1005,"&gt;="&amp;DATE(YEAR(TODAY()),1,1)))</f>
        <v/>
      </c>
      <c r="J81" s="18">
        <f>IF(B81="","",SUMIFS(Orders!$W$6:$W$1005,Orders!$D$6:$D$1005,B81))</f>
        <v/>
      </c>
      <c r="K81" s="1" t="n"/>
    </row>
    <row r="82">
      <c r="A82" s="1" t="n"/>
      <c r="B82" s="32" t="n"/>
      <c r="C82" s="35" t="n"/>
      <c r="D82" s="34" t="n"/>
      <c r="E82" s="22">
        <f>IF(B82="","",SUMIFS('Product materials'!$F$6:$F$505,'Product materials'!$B$6:$B$505,B82))</f>
        <v/>
      </c>
      <c r="F82" s="28">
        <f>IF(B82="","",N(C82)-E82)</f>
        <v/>
      </c>
      <c r="G82" s="37">
        <f>IF(OR(B82="",N(C82)=0),"",F82/C82)</f>
        <v/>
      </c>
      <c r="H82" s="18">
        <f>IF(B82="","",SUMIFS(Orders!$X$6:$X$1005,Orders!$D$6:$D$1005,B82,Orders!$L$6:$L$1005,"Sent",Orders!$B$6:$B$1005,"&gt;="&amp;DATE(YEAR(TODAY()),1,1))+SUMIFS(Orders!$X$6:$X$1005,Orders!$D$6:$D$1005,B82,Orders!$L$6:$L$1005,"Picked up",Orders!$B$6:$B$1005,"&gt;="&amp;DATE(YEAR(TODAY()),1,1)))</f>
        <v/>
      </c>
      <c r="I82" s="22">
        <f>IF(B82="","",SUMIFS(Orders!$H$6:$H$1005,Orders!$D$6:$D$1005,B82,Orders!$L$6:$L$1005,"&lt;&gt;Cancelled",Orders!$B$6:$B$1005,"&gt;="&amp;DATE(YEAR(TODAY()),1,1)))</f>
        <v/>
      </c>
      <c r="J82" s="18">
        <f>IF(B82="","",SUMIFS(Orders!$W$6:$W$1005,Orders!$D$6:$D$1005,B82))</f>
        <v/>
      </c>
      <c r="K82" s="1" t="n"/>
    </row>
    <row r="83">
      <c r="A83" s="1" t="n"/>
      <c r="B83" s="32" t="n"/>
      <c r="C83" s="35" t="n"/>
      <c r="D83" s="34" t="n"/>
      <c r="E83" s="22">
        <f>IF(B83="","",SUMIFS('Product materials'!$F$6:$F$505,'Product materials'!$B$6:$B$505,B83))</f>
        <v/>
      </c>
      <c r="F83" s="28">
        <f>IF(B83="","",N(C83)-E83)</f>
        <v/>
      </c>
      <c r="G83" s="37">
        <f>IF(OR(B83="",N(C83)=0),"",F83/C83)</f>
        <v/>
      </c>
      <c r="H83" s="18">
        <f>IF(B83="","",SUMIFS(Orders!$X$6:$X$1005,Orders!$D$6:$D$1005,B83,Orders!$L$6:$L$1005,"Sent",Orders!$B$6:$B$1005,"&gt;="&amp;DATE(YEAR(TODAY()),1,1))+SUMIFS(Orders!$X$6:$X$1005,Orders!$D$6:$D$1005,B83,Orders!$L$6:$L$1005,"Picked up",Orders!$B$6:$B$1005,"&gt;="&amp;DATE(YEAR(TODAY()),1,1)))</f>
        <v/>
      </c>
      <c r="I83" s="22">
        <f>IF(B83="","",SUMIFS(Orders!$H$6:$H$1005,Orders!$D$6:$D$1005,B83,Orders!$L$6:$L$1005,"&lt;&gt;Cancelled",Orders!$B$6:$B$1005,"&gt;="&amp;DATE(YEAR(TODAY()),1,1)))</f>
        <v/>
      </c>
      <c r="J83" s="18">
        <f>IF(B83="","",SUMIFS(Orders!$W$6:$W$1005,Orders!$D$6:$D$1005,B83))</f>
        <v/>
      </c>
      <c r="K83" s="1" t="n"/>
    </row>
    <row r="84">
      <c r="A84" s="1" t="n"/>
      <c r="B84" s="32" t="n"/>
      <c r="C84" s="35" t="n"/>
      <c r="D84" s="34" t="n"/>
      <c r="E84" s="22">
        <f>IF(B84="","",SUMIFS('Product materials'!$F$6:$F$505,'Product materials'!$B$6:$B$505,B84))</f>
        <v/>
      </c>
      <c r="F84" s="28">
        <f>IF(B84="","",N(C84)-E84)</f>
        <v/>
      </c>
      <c r="G84" s="37">
        <f>IF(OR(B84="",N(C84)=0),"",F84/C84)</f>
        <v/>
      </c>
      <c r="H84" s="18">
        <f>IF(B84="","",SUMIFS(Orders!$X$6:$X$1005,Orders!$D$6:$D$1005,B84,Orders!$L$6:$L$1005,"Sent",Orders!$B$6:$B$1005,"&gt;="&amp;DATE(YEAR(TODAY()),1,1))+SUMIFS(Orders!$X$6:$X$1005,Orders!$D$6:$D$1005,B84,Orders!$L$6:$L$1005,"Picked up",Orders!$B$6:$B$1005,"&gt;="&amp;DATE(YEAR(TODAY()),1,1)))</f>
        <v/>
      </c>
      <c r="I84" s="22">
        <f>IF(B84="","",SUMIFS(Orders!$H$6:$H$1005,Orders!$D$6:$D$1005,B84,Orders!$L$6:$L$1005,"&lt;&gt;Cancelled",Orders!$B$6:$B$1005,"&gt;="&amp;DATE(YEAR(TODAY()),1,1)))</f>
        <v/>
      </c>
      <c r="J84" s="18">
        <f>IF(B84="","",SUMIFS(Orders!$W$6:$W$1005,Orders!$D$6:$D$1005,B84))</f>
        <v/>
      </c>
      <c r="K84" s="1" t="n"/>
    </row>
    <row r="85">
      <c r="A85" s="1" t="n"/>
      <c r="B85" s="32" t="n"/>
      <c r="C85" s="35" t="n"/>
      <c r="D85" s="34" t="n"/>
      <c r="E85" s="22">
        <f>IF(B85="","",SUMIFS('Product materials'!$F$6:$F$505,'Product materials'!$B$6:$B$505,B85))</f>
        <v/>
      </c>
      <c r="F85" s="28">
        <f>IF(B85="","",N(C85)-E85)</f>
        <v/>
      </c>
      <c r="G85" s="37">
        <f>IF(OR(B85="",N(C85)=0),"",F85/C85)</f>
        <v/>
      </c>
      <c r="H85" s="18">
        <f>IF(B85="","",SUMIFS(Orders!$X$6:$X$1005,Orders!$D$6:$D$1005,B85,Orders!$L$6:$L$1005,"Sent",Orders!$B$6:$B$1005,"&gt;="&amp;DATE(YEAR(TODAY()),1,1))+SUMIFS(Orders!$X$6:$X$1005,Orders!$D$6:$D$1005,B85,Orders!$L$6:$L$1005,"Picked up",Orders!$B$6:$B$1005,"&gt;="&amp;DATE(YEAR(TODAY()),1,1)))</f>
        <v/>
      </c>
      <c r="I85" s="22">
        <f>IF(B85="","",SUMIFS(Orders!$H$6:$H$1005,Orders!$D$6:$D$1005,B85,Orders!$L$6:$L$1005,"&lt;&gt;Cancelled",Orders!$B$6:$B$1005,"&gt;="&amp;DATE(YEAR(TODAY()),1,1)))</f>
        <v/>
      </c>
      <c r="J85" s="18">
        <f>IF(B85="","",SUMIFS(Orders!$W$6:$W$1005,Orders!$D$6:$D$1005,B85))</f>
        <v/>
      </c>
      <c r="K85" s="1" t="n"/>
    </row>
    <row r="86">
      <c r="A86" s="1" t="n"/>
      <c r="B86" s="32" t="n"/>
      <c r="C86" s="35" t="n"/>
      <c r="D86" s="34" t="n"/>
      <c r="E86" s="22">
        <f>IF(B86="","",SUMIFS('Product materials'!$F$6:$F$505,'Product materials'!$B$6:$B$505,B86))</f>
        <v/>
      </c>
      <c r="F86" s="28">
        <f>IF(B86="","",N(C86)-E86)</f>
        <v/>
      </c>
      <c r="G86" s="37">
        <f>IF(OR(B86="",N(C86)=0),"",F86/C86)</f>
        <v/>
      </c>
      <c r="H86" s="18">
        <f>IF(B86="","",SUMIFS(Orders!$X$6:$X$1005,Orders!$D$6:$D$1005,B86,Orders!$L$6:$L$1005,"Sent",Orders!$B$6:$B$1005,"&gt;="&amp;DATE(YEAR(TODAY()),1,1))+SUMIFS(Orders!$X$6:$X$1005,Orders!$D$6:$D$1005,B86,Orders!$L$6:$L$1005,"Picked up",Orders!$B$6:$B$1005,"&gt;="&amp;DATE(YEAR(TODAY()),1,1)))</f>
        <v/>
      </c>
      <c r="I86" s="22">
        <f>IF(B86="","",SUMIFS(Orders!$H$6:$H$1005,Orders!$D$6:$D$1005,B86,Orders!$L$6:$L$1005,"&lt;&gt;Cancelled",Orders!$B$6:$B$1005,"&gt;="&amp;DATE(YEAR(TODAY()),1,1)))</f>
        <v/>
      </c>
      <c r="J86" s="18">
        <f>IF(B86="","",SUMIFS(Orders!$W$6:$W$1005,Orders!$D$6:$D$1005,B86))</f>
        <v/>
      </c>
      <c r="K86" s="1" t="n"/>
    </row>
    <row r="87">
      <c r="A87" s="1" t="n"/>
      <c r="B87" s="32" t="n"/>
      <c r="C87" s="35" t="n"/>
      <c r="D87" s="34" t="n"/>
      <c r="E87" s="22">
        <f>IF(B87="","",SUMIFS('Product materials'!$F$6:$F$505,'Product materials'!$B$6:$B$505,B87))</f>
        <v/>
      </c>
      <c r="F87" s="28">
        <f>IF(B87="","",N(C87)-E87)</f>
        <v/>
      </c>
      <c r="G87" s="37">
        <f>IF(OR(B87="",N(C87)=0),"",F87/C87)</f>
        <v/>
      </c>
      <c r="H87" s="18">
        <f>IF(B87="","",SUMIFS(Orders!$X$6:$X$1005,Orders!$D$6:$D$1005,B87,Orders!$L$6:$L$1005,"Sent",Orders!$B$6:$B$1005,"&gt;="&amp;DATE(YEAR(TODAY()),1,1))+SUMIFS(Orders!$X$6:$X$1005,Orders!$D$6:$D$1005,B87,Orders!$L$6:$L$1005,"Picked up",Orders!$B$6:$B$1005,"&gt;="&amp;DATE(YEAR(TODAY()),1,1)))</f>
        <v/>
      </c>
      <c r="I87" s="22">
        <f>IF(B87="","",SUMIFS(Orders!$H$6:$H$1005,Orders!$D$6:$D$1005,B87,Orders!$L$6:$L$1005,"&lt;&gt;Cancelled",Orders!$B$6:$B$1005,"&gt;="&amp;DATE(YEAR(TODAY()),1,1)))</f>
        <v/>
      </c>
      <c r="J87" s="18">
        <f>IF(B87="","",SUMIFS(Orders!$W$6:$W$1005,Orders!$D$6:$D$1005,B87))</f>
        <v/>
      </c>
      <c r="K87" s="1" t="n"/>
    </row>
    <row r="88">
      <c r="A88" s="1" t="n"/>
      <c r="B88" s="32" t="n"/>
      <c r="C88" s="35" t="n"/>
      <c r="D88" s="34" t="n"/>
      <c r="E88" s="22">
        <f>IF(B88="","",SUMIFS('Product materials'!$F$6:$F$505,'Product materials'!$B$6:$B$505,B88))</f>
        <v/>
      </c>
      <c r="F88" s="28">
        <f>IF(B88="","",N(C88)-E88)</f>
        <v/>
      </c>
      <c r="G88" s="37">
        <f>IF(OR(B88="",N(C88)=0),"",F88/C88)</f>
        <v/>
      </c>
      <c r="H88" s="18">
        <f>IF(B88="","",SUMIFS(Orders!$X$6:$X$1005,Orders!$D$6:$D$1005,B88,Orders!$L$6:$L$1005,"Sent",Orders!$B$6:$B$1005,"&gt;="&amp;DATE(YEAR(TODAY()),1,1))+SUMIFS(Orders!$X$6:$X$1005,Orders!$D$6:$D$1005,B88,Orders!$L$6:$L$1005,"Picked up",Orders!$B$6:$B$1005,"&gt;="&amp;DATE(YEAR(TODAY()),1,1)))</f>
        <v/>
      </c>
      <c r="I88" s="22">
        <f>IF(B88="","",SUMIFS(Orders!$H$6:$H$1005,Orders!$D$6:$D$1005,B88,Orders!$L$6:$L$1005,"&lt;&gt;Cancelled",Orders!$B$6:$B$1005,"&gt;="&amp;DATE(YEAR(TODAY()),1,1)))</f>
        <v/>
      </c>
      <c r="J88" s="18">
        <f>IF(B88="","",SUMIFS(Orders!$W$6:$W$1005,Orders!$D$6:$D$1005,B88))</f>
        <v/>
      </c>
      <c r="K88" s="1" t="n"/>
    </row>
    <row r="89">
      <c r="A89" s="1" t="n"/>
      <c r="B89" s="32" t="n"/>
      <c r="C89" s="35" t="n"/>
      <c r="D89" s="34" t="n"/>
      <c r="E89" s="22">
        <f>IF(B89="","",SUMIFS('Product materials'!$F$6:$F$505,'Product materials'!$B$6:$B$505,B89))</f>
        <v/>
      </c>
      <c r="F89" s="28">
        <f>IF(B89="","",N(C89)-E89)</f>
        <v/>
      </c>
      <c r="G89" s="37">
        <f>IF(OR(B89="",N(C89)=0),"",F89/C89)</f>
        <v/>
      </c>
      <c r="H89" s="18">
        <f>IF(B89="","",SUMIFS(Orders!$X$6:$X$1005,Orders!$D$6:$D$1005,B89,Orders!$L$6:$L$1005,"Sent",Orders!$B$6:$B$1005,"&gt;="&amp;DATE(YEAR(TODAY()),1,1))+SUMIFS(Orders!$X$6:$X$1005,Orders!$D$6:$D$1005,B89,Orders!$L$6:$L$1005,"Picked up",Orders!$B$6:$B$1005,"&gt;="&amp;DATE(YEAR(TODAY()),1,1)))</f>
        <v/>
      </c>
      <c r="I89" s="22">
        <f>IF(B89="","",SUMIFS(Orders!$H$6:$H$1005,Orders!$D$6:$D$1005,B89,Orders!$L$6:$L$1005,"&lt;&gt;Cancelled",Orders!$B$6:$B$1005,"&gt;="&amp;DATE(YEAR(TODAY()),1,1)))</f>
        <v/>
      </c>
      <c r="J89" s="18">
        <f>IF(B89="","",SUMIFS(Orders!$W$6:$W$1005,Orders!$D$6:$D$1005,B89))</f>
        <v/>
      </c>
      <c r="K89" s="1" t="n"/>
    </row>
    <row r="90">
      <c r="A90" s="1" t="n"/>
      <c r="B90" s="32" t="n"/>
      <c r="C90" s="35" t="n"/>
      <c r="D90" s="34" t="n"/>
      <c r="E90" s="22">
        <f>IF(B90="","",SUMIFS('Product materials'!$F$6:$F$505,'Product materials'!$B$6:$B$505,B90))</f>
        <v/>
      </c>
      <c r="F90" s="28">
        <f>IF(B90="","",N(C90)-E90)</f>
        <v/>
      </c>
      <c r="G90" s="37">
        <f>IF(OR(B90="",N(C90)=0),"",F90/C90)</f>
        <v/>
      </c>
      <c r="H90" s="18">
        <f>IF(B90="","",SUMIFS(Orders!$X$6:$X$1005,Orders!$D$6:$D$1005,B90,Orders!$L$6:$L$1005,"Sent",Orders!$B$6:$B$1005,"&gt;="&amp;DATE(YEAR(TODAY()),1,1))+SUMIFS(Orders!$X$6:$X$1005,Orders!$D$6:$D$1005,B90,Orders!$L$6:$L$1005,"Picked up",Orders!$B$6:$B$1005,"&gt;="&amp;DATE(YEAR(TODAY()),1,1)))</f>
        <v/>
      </c>
      <c r="I90" s="22">
        <f>IF(B90="","",SUMIFS(Orders!$H$6:$H$1005,Orders!$D$6:$D$1005,B90,Orders!$L$6:$L$1005,"&lt;&gt;Cancelled",Orders!$B$6:$B$1005,"&gt;="&amp;DATE(YEAR(TODAY()),1,1)))</f>
        <v/>
      </c>
      <c r="J90" s="18">
        <f>IF(B90="","",SUMIFS(Orders!$W$6:$W$1005,Orders!$D$6:$D$1005,B90))</f>
        <v/>
      </c>
      <c r="K90" s="1" t="n"/>
    </row>
    <row r="91">
      <c r="A91" s="1" t="n"/>
      <c r="B91" s="32" t="n"/>
      <c r="C91" s="35" t="n"/>
      <c r="D91" s="34" t="n"/>
      <c r="E91" s="22">
        <f>IF(B91="","",SUMIFS('Product materials'!$F$6:$F$505,'Product materials'!$B$6:$B$505,B91))</f>
        <v/>
      </c>
      <c r="F91" s="28">
        <f>IF(B91="","",N(C91)-E91)</f>
        <v/>
      </c>
      <c r="G91" s="37">
        <f>IF(OR(B91="",N(C91)=0),"",F91/C91)</f>
        <v/>
      </c>
      <c r="H91" s="18">
        <f>IF(B91="","",SUMIFS(Orders!$X$6:$X$1005,Orders!$D$6:$D$1005,B91,Orders!$L$6:$L$1005,"Sent",Orders!$B$6:$B$1005,"&gt;="&amp;DATE(YEAR(TODAY()),1,1))+SUMIFS(Orders!$X$6:$X$1005,Orders!$D$6:$D$1005,B91,Orders!$L$6:$L$1005,"Picked up",Orders!$B$6:$B$1005,"&gt;="&amp;DATE(YEAR(TODAY()),1,1)))</f>
        <v/>
      </c>
      <c r="I91" s="22">
        <f>IF(B91="","",SUMIFS(Orders!$H$6:$H$1005,Orders!$D$6:$D$1005,B91,Orders!$L$6:$L$1005,"&lt;&gt;Cancelled",Orders!$B$6:$B$1005,"&gt;="&amp;DATE(YEAR(TODAY()),1,1)))</f>
        <v/>
      </c>
      <c r="J91" s="18">
        <f>IF(B91="","",SUMIFS(Orders!$W$6:$W$1005,Orders!$D$6:$D$1005,B91))</f>
        <v/>
      </c>
      <c r="K91" s="1" t="n"/>
    </row>
    <row r="92">
      <c r="A92" s="1" t="n"/>
      <c r="B92" s="32" t="n"/>
      <c r="C92" s="35" t="n"/>
      <c r="D92" s="34" t="n"/>
      <c r="E92" s="22">
        <f>IF(B92="","",SUMIFS('Product materials'!$F$6:$F$505,'Product materials'!$B$6:$B$505,B92))</f>
        <v/>
      </c>
      <c r="F92" s="28">
        <f>IF(B92="","",N(C92)-E92)</f>
        <v/>
      </c>
      <c r="G92" s="37">
        <f>IF(OR(B92="",N(C92)=0),"",F92/C92)</f>
        <v/>
      </c>
      <c r="H92" s="18">
        <f>IF(B92="","",SUMIFS(Orders!$X$6:$X$1005,Orders!$D$6:$D$1005,B92,Orders!$L$6:$L$1005,"Sent",Orders!$B$6:$B$1005,"&gt;="&amp;DATE(YEAR(TODAY()),1,1))+SUMIFS(Orders!$X$6:$X$1005,Orders!$D$6:$D$1005,B92,Orders!$L$6:$L$1005,"Picked up",Orders!$B$6:$B$1005,"&gt;="&amp;DATE(YEAR(TODAY()),1,1)))</f>
        <v/>
      </c>
      <c r="I92" s="22">
        <f>IF(B92="","",SUMIFS(Orders!$H$6:$H$1005,Orders!$D$6:$D$1005,B92,Orders!$L$6:$L$1005,"&lt;&gt;Cancelled",Orders!$B$6:$B$1005,"&gt;="&amp;DATE(YEAR(TODAY()),1,1)))</f>
        <v/>
      </c>
      <c r="J92" s="18">
        <f>IF(B92="","",SUMIFS(Orders!$W$6:$W$1005,Orders!$D$6:$D$1005,B92))</f>
        <v/>
      </c>
      <c r="K92" s="1" t="n"/>
    </row>
    <row r="93">
      <c r="A93" s="1" t="n"/>
      <c r="B93" s="32" t="n"/>
      <c r="C93" s="35" t="n"/>
      <c r="D93" s="34" t="n"/>
      <c r="E93" s="22">
        <f>IF(B93="","",SUMIFS('Product materials'!$F$6:$F$505,'Product materials'!$B$6:$B$505,B93))</f>
        <v/>
      </c>
      <c r="F93" s="28">
        <f>IF(B93="","",N(C93)-E93)</f>
        <v/>
      </c>
      <c r="G93" s="37">
        <f>IF(OR(B93="",N(C93)=0),"",F93/C93)</f>
        <v/>
      </c>
      <c r="H93" s="18">
        <f>IF(B93="","",SUMIFS(Orders!$X$6:$X$1005,Orders!$D$6:$D$1005,B93,Orders!$L$6:$L$1005,"Sent",Orders!$B$6:$B$1005,"&gt;="&amp;DATE(YEAR(TODAY()),1,1))+SUMIFS(Orders!$X$6:$X$1005,Orders!$D$6:$D$1005,B93,Orders!$L$6:$L$1005,"Picked up",Orders!$B$6:$B$1005,"&gt;="&amp;DATE(YEAR(TODAY()),1,1)))</f>
        <v/>
      </c>
      <c r="I93" s="22">
        <f>IF(B93="","",SUMIFS(Orders!$H$6:$H$1005,Orders!$D$6:$D$1005,B93,Orders!$L$6:$L$1005,"&lt;&gt;Cancelled",Orders!$B$6:$B$1005,"&gt;="&amp;DATE(YEAR(TODAY()),1,1)))</f>
        <v/>
      </c>
      <c r="J93" s="18">
        <f>IF(B93="","",SUMIFS(Orders!$W$6:$W$1005,Orders!$D$6:$D$1005,B93))</f>
        <v/>
      </c>
      <c r="K93" s="1" t="n"/>
    </row>
    <row r="94">
      <c r="A94" s="1" t="n"/>
      <c r="B94" s="32" t="n"/>
      <c r="C94" s="35" t="n"/>
      <c r="D94" s="34" t="n"/>
      <c r="E94" s="22">
        <f>IF(B94="","",SUMIFS('Product materials'!$F$6:$F$505,'Product materials'!$B$6:$B$505,B94))</f>
        <v/>
      </c>
      <c r="F94" s="28">
        <f>IF(B94="","",N(C94)-E94)</f>
        <v/>
      </c>
      <c r="G94" s="37">
        <f>IF(OR(B94="",N(C94)=0),"",F94/C94)</f>
        <v/>
      </c>
      <c r="H94" s="18">
        <f>IF(B94="","",SUMIFS(Orders!$X$6:$X$1005,Orders!$D$6:$D$1005,B94,Orders!$L$6:$L$1005,"Sent",Orders!$B$6:$B$1005,"&gt;="&amp;DATE(YEAR(TODAY()),1,1))+SUMIFS(Orders!$X$6:$X$1005,Orders!$D$6:$D$1005,B94,Orders!$L$6:$L$1005,"Picked up",Orders!$B$6:$B$1005,"&gt;="&amp;DATE(YEAR(TODAY()),1,1)))</f>
        <v/>
      </c>
      <c r="I94" s="22">
        <f>IF(B94="","",SUMIFS(Orders!$H$6:$H$1005,Orders!$D$6:$D$1005,B94,Orders!$L$6:$L$1005,"&lt;&gt;Cancelled",Orders!$B$6:$B$1005,"&gt;="&amp;DATE(YEAR(TODAY()),1,1)))</f>
        <v/>
      </c>
      <c r="J94" s="18">
        <f>IF(B94="","",SUMIFS(Orders!$W$6:$W$1005,Orders!$D$6:$D$1005,B94))</f>
        <v/>
      </c>
      <c r="K94" s="1" t="n"/>
    </row>
    <row r="95">
      <c r="A95" s="1" t="n"/>
      <c r="B95" s="32" t="n"/>
      <c r="C95" s="35" t="n"/>
      <c r="D95" s="34" t="n"/>
      <c r="E95" s="22">
        <f>IF(B95="","",SUMIFS('Product materials'!$F$6:$F$505,'Product materials'!$B$6:$B$505,B95))</f>
        <v/>
      </c>
      <c r="F95" s="28">
        <f>IF(B95="","",N(C95)-E95)</f>
        <v/>
      </c>
      <c r="G95" s="37">
        <f>IF(OR(B95="",N(C95)=0),"",F95/C95)</f>
        <v/>
      </c>
      <c r="H95" s="18">
        <f>IF(B95="","",SUMIFS(Orders!$X$6:$X$1005,Orders!$D$6:$D$1005,B95,Orders!$L$6:$L$1005,"Sent",Orders!$B$6:$B$1005,"&gt;="&amp;DATE(YEAR(TODAY()),1,1))+SUMIFS(Orders!$X$6:$X$1005,Orders!$D$6:$D$1005,B95,Orders!$L$6:$L$1005,"Picked up",Orders!$B$6:$B$1005,"&gt;="&amp;DATE(YEAR(TODAY()),1,1)))</f>
        <v/>
      </c>
      <c r="I95" s="22">
        <f>IF(B95="","",SUMIFS(Orders!$H$6:$H$1005,Orders!$D$6:$D$1005,B95,Orders!$L$6:$L$1005,"&lt;&gt;Cancelled",Orders!$B$6:$B$1005,"&gt;="&amp;DATE(YEAR(TODAY()),1,1)))</f>
        <v/>
      </c>
      <c r="J95" s="18">
        <f>IF(B95="","",SUMIFS(Orders!$W$6:$W$1005,Orders!$D$6:$D$1005,B95))</f>
        <v/>
      </c>
      <c r="K95" s="1" t="n"/>
    </row>
    <row r="96">
      <c r="A96" s="1" t="n"/>
      <c r="B96" s="32" t="n"/>
      <c r="C96" s="35" t="n"/>
      <c r="D96" s="34" t="n"/>
      <c r="E96" s="22">
        <f>IF(B96="","",SUMIFS('Product materials'!$F$6:$F$505,'Product materials'!$B$6:$B$505,B96))</f>
        <v/>
      </c>
      <c r="F96" s="28">
        <f>IF(B96="","",N(C96)-E96)</f>
        <v/>
      </c>
      <c r="G96" s="37">
        <f>IF(OR(B96="",N(C96)=0),"",F96/C96)</f>
        <v/>
      </c>
      <c r="H96" s="18">
        <f>IF(B96="","",SUMIFS(Orders!$X$6:$X$1005,Orders!$D$6:$D$1005,B96,Orders!$L$6:$L$1005,"Sent",Orders!$B$6:$B$1005,"&gt;="&amp;DATE(YEAR(TODAY()),1,1))+SUMIFS(Orders!$X$6:$X$1005,Orders!$D$6:$D$1005,B96,Orders!$L$6:$L$1005,"Picked up",Orders!$B$6:$B$1005,"&gt;="&amp;DATE(YEAR(TODAY()),1,1)))</f>
        <v/>
      </c>
      <c r="I96" s="22">
        <f>IF(B96="","",SUMIFS(Orders!$H$6:$H$1005,Orders!$D$6:$D$1005,B96,Orders!$L$6:$L$1005,"&lt;&gt;Cancelled",Orders!$B$6:$B$1005,"&gt;="&amp;DATE(YEAR(TODAY()),1,1)))</f>
        <v/>
      </c>
      <c r="J96" s="18">
        <f>IF(B96="","",SUMIFS(Orders!$W$6:$W$1005,Orders!$D$6:$D$1005,B96))</f>
        <v/>
      </c>
      <c r="K96" s="1" t="n"/>
    </row>
    <row r="97">
      <c r="A97" s="1" t="n"/>
      <c r="B97" s="32" t="n"/>
      <c r="C97" s="35" t="n"/>
      <c r="D97" s="34" t="n"/>
      <c r="E97" s="22">
        <f>IF(B97="","",SUMIFS('Product materials'!$F$6:$F$505,'Product materials'!$B$6:$B$505,B97))</f>
        <v/>
      </c>
      <c r="F97" s="28">
        <f>IF(B97="","",N(C97)-E97)</f>
        <v/>
      </c>
      <c r="G97" s="37">
        <f>IF(OR(B97="",N(C97)=0),"",F97/C97)</f>
        <v/>
      </c>
      <c r="H97" s="18">
        <f>IF(B97="","",SUMIFS(Orders!$X$6:$X$1005,Orders!$D$6:$D$1005,B97,Orders!$L$6:$L$1005,"Sent",Orders!$B$6:$B$1005,"&gt;="&amp;DATE(YEAR(TODAY()),1,1))+SUMIFS(Orders!$X$6:$X$1005,Orders!$D$6:$D$1005,B97,Orders!$L$6:$L$1005,"Picked up",Orders!$B$6:$B$1005,"&gt;="&amp;DATE(YEAR(TODAY()),1,1)))</f>
        <v/>
      </c>
      <c r="I97" s="22">
        <f>IF(B97="","",SUMIFS(Orders!$H$6:$H$1005,Orders!$D$6:$D$1005,B97,Orders!$L$6:$L$1005,"&lt;&gt;Cancelled",Orders!$B$6:$B$1005,"&gt;="&amp;DATE(YEAR(TODAY()),1,1)))</f>
        <v/>
      </c>
      <c r="J97" s="18">
        <f>IF(B97="","",SUMIFS(Orders!$W$6:$W$1005,Orders!$D$6:$D$1005,B97))</f>
        <v/>
      </c>
      <c r="K97" s="1" t="n"/>
    </row>
    <row r="98">
      <c r="A98" s="1" t="n"/>
      <c r="B98" s="32" t="n"/>
      <c r="C98" s="35" t="n"/>
      <c r="D98" s="34" t="n"/>
      <c r="E98" s="22">
        <f>IF(B98="","",SUMIFS('Product materials'!$F$6:$F$505,'Product materials'!$B$6:$B$505,B98))</f>
        <v/>
      </c>
      <c r="F98" s="28">
        <f>IF(B98="","",N(C98)-E98)</f>
        <v/>
      </c>
      <c r="G98" s="37">
        <f>IF(OR(B98="",N(C98)=0),"",F98/C98)</f>
        <v/>
      </c>
      <c r="H98" s="18">
        <f>IF(B98="","",SUMIFS(Orders!$X$6:$X$1005,Orders!$D$6:$D$1005,B98,Orders!$L$6:$L$1005,"Sent",Orders!$B$6:$B$1005,"&gt;="&amp;DATE(YEAR(TODAY()),1,1))+SUMIFS(Orders!$X$6:$X$1005,Orders!$D$6:$D$1005,B98,Orders!$L$6:$L$1005,"Picked up",Orders!$B$6:$B$1005,"&gt;="&amp;DATE(YEAR(TODAY()),1,1)))</f>
        <v/>
      </c>
      <c r="I98" s="22">
        <f>IF(B98="","",SUMIFS(Orders!$H$6:$H$1005,Orders!$D$6:$D$1005,B98,Orders!$L$6:$L$1005,"&lt;&gt;Cancelled",Orders!$B$6:$B$1005,"&gt;="&amp;DATE(YEAR(TODAY()),1,1)))</f>
        <v/>
      </c>
      <c r="J98" s="18">
        <f>IF(B98="","",SUMIFS(Orders!$W$6:$W$1005,Orders!$D$6:$D$1005,B98))</f>
        <v/>
      </c>
      <c r="K98" s="1" t="n"/>
    </row>
    <row r="99">
      <c r="A99" s="1" t="n"/>
      <c r="B99" s="32" t="n"/>
      <c r="C99" s="35" t="n"/>
      <c r="D99" s="34" t="n"/>
      <c r="E99" s="22">
        <f>IF(B99="","",SUMIFS('Product materials'!$F$6:$F$505,'Product materials'!$B$6:$B$505,B99))</f>
        <v/>
      </c>
      <c r="F99" s="28">
        <f>IF(B99="","",N(C99)-E99)</f>
        <v/>
      </c>
      <c r="G99" s="37">
        <f>IF(OR(B99="",N(C99)=0),"",F99/C99)</f>
        <v/>
      </c>
      <c r="H99" s="18">
        <f>IF(B99="","",SUMIFS(Orders!$X$6:$X$1005,Orders!$D$6:$D$1005,B99,Orders!$L$6:$L$1005,"Sent",Orders!$B$6:$B$1005,"&gt;="&amp;DATE(YEAR(TODAY()),1,1))+SUMIFS(Orders!$X$6:$X$1005,Orders!$D$6:$D$1005,B99,Orders!$L$6:$L$1005,"Picked up",Orders!$B$6:$B$1005,"&gt;="&amp;DATE(YEAR(TODAY()),1,1)))</f>
        <v/>
      </c>
      <c r="I99" s="22">
        <f>IF(B99="","",SUMIFS(Orders!$H$6:$H$1005,Orders!$D$6:$D$1005,B99,Orders!$L$6:$L$1005,"&lt;&gt;Cancelled",Orders!$B$6:$B$1005,"&gt;="&amp;DATE(YEAR(TODAY()),1,1)))</f>
        <v/>
      </c>
      <c r="J99" s="18">
        <f>IF(B99="","",SUMIFS(Orders!$W$6:$W$1005,Orders!$D$6:$D$1005,B99))</f>
        <v/>
      </c>
      <c r="K99" s="1" t="n"/>
    </row>
    <row r="100">
      <c r="A100" s="1" t="n"/>
      <c r="B100" s="32" t="n"/>
      <c r="C100" s="35" t="n"/>
      <c r="D100" s="34" t="n"/>
      <c r="E100" s="22">
        <f>IF(B100="","",SUMIFS('Product materials'!$F$6:$F$505,'Product materials'!$B$6:$B$505,B100))</f>
        <v/>
      </c>
      <c r="F100" s="28">
        <f>IF(B100="","",N(C100)-E100)</f>
        <v/>
      </c>
      <c r="G100" s="37">
        <f>IF(OR(B100="",N(C100)=0),"",F100/C100)</f>
        <v/>
      </c>
      <c r="H100" s="18">
        <f>IF(B100="","",SUMIFS(Orders!$X$6:$X$1005,Orders!$D$6:$D$1005,B100,Orders!$L$6:$L$1005,"Sent",Orders!$B$6:$B$1005,"&gt;="&amp;DATE(YEAR(TODAY()),1,1))+SUMIFS(Orders!$X$6:$X$1005,Orders!$D$6:$D$1005,B100,Orders!$L$6:$L$1005,"Picked up",Orders!$B$6:$B$1005,"&gt;="&amp;DATE(YEAR(TODAY()),1,1)))</f>
        <v/>
      </c>
      <c r="I100" s="22">
        <f>IF(B100="","",SUMIFS(Orders!$H$6:$H$1005,Orders!$D$6:$D$1005,B100,Orders!$L$6:$L$1005,"&lt;&gt;Cancelled",Orders!$B$6:$B$1005,"&gt;="&amp;DATE(YEAR(TODAY()),1,1)))</f>
        <v/>
      </c>
      <c r="J100" s="18">
        <f>IF(B100="","",SUMIFS(Orders!$W$6:$W$1005,Orders!$D$6:$D$1005,B100))</f>
        <v/>
      </c>
      <c r="K100" s="1" t="n"/>
    </row>
    <row r="101">
      <c r="A101" s="1" t="n"/>
      <c r="B101" s="32" t="n"/>
      <c r="C101" s="35" t="n"/>
      <c r="D101" s="34" t="n"/>
      <c r="E101" s="22">
        <f>IF(B101="","",SUMIFS('Product materials'!$F$6:$F$505,'Product materials'!$B$6:$B$505,B101))</f>
        <v/>
      </c>
      <c r="F101" s="28">
        <f>IF(B101="","",N(C101)-E101)</f>
        <v/>
      </c>
      <c r="G101" s="37">
        <f>IF(OR(B101="",N(C101)=0),"",F101/C101)</f>
        <v/>
      </c>
      <c r="H101" s="18">
        <f>IF(B101="","",SUMIFS(Orders!$X$6:$X$1005,Orders!$D$6:$D$1005,B101,Orders!$L$6:$L$1005,"Sent",Orders!$B$6:$B$1005,"&gt;="&amp;DATE(YEAR(TODAY()),1,1))+SUMIFS(Orders!$X$6:$X$1005,Orders!$D$6:$D$1005,B101,Orders!$L$6:$L$1005,"Picked up",Orders!$B$6:$B$1005,"&gt;="&amp;DATE(YEAR(TODAY()),1,1)))</f>
        <v/>
      </c>
      <c r="I101" s="22">
        <f>IF(B101="","",SUMIFS(Orders!$H$6:$H$1005,Orders!$D$6:$D$1005,B101,Orders!$L$6:$L$1005,"&lt;&gt;Cancelled",Orders!$B$6:$B$1005,"&gt;="&amp;DATE(YEAR(TODAY()),1,1)))</f>
        <v/>
      </c>
      <c r="J101" s="18">
        <f>IF(B101="","",SUMIFS(Orders!$W$6:$W$1005,Orders!$D$6:$D$1005,B101))</f>
        <v/>
      </c>
      <c r="K101" s="1" t="n"/>
    </row>
    <row r="102">
      <c r="A102" s="1" t="n"/>
      <c r="B102" s="32" t="n"/>
      <c r="C102" s="35" t="n"/>
      <c r="D102" s="34" t="n"/>
      <c r="E102" s="22">
        <f>IF(B102="","",SUMIFS('Product materials'!$F$6:$F$505,'Product materials'!$B$6:$B$505,B102))</f>
        <v/>
      </c>
      <c r="F102" s="28">
        <f>IF(B102="","",N(C102)-E102)</f>
        <v/>
      </c>
      <c r="G102" s="37">
        <f>IF(OR(B102="",N(C102)=0),"",F102/C102)</f>
        <v/>
      </c>
      <c r="H102" s="18">
        <f>IF(B102="","",SUMIFS(Orders!$X$6:$X$1005,Orders!$D$6:$D$1005,B102,Orders!$L$6:$L$1005,"Sent",Orders!$B$6:$B$1005,"&gt;="&amp;DATE(YEAR(TODAY()),1,1))+SUMIFS(Orders!$X$6:$X$1005,Orders!$D$6:$D$1005,B102,Orders!$L$6:$L$1005,"Picked up",Orders!$B$6:$B$1005,"&gt;="&amp;DATE(YEAR(TODAY()),1,1)))</f>
        <v/>
      </c>
      <c r="I102" s="22">
        <f>IF(B102="","",SUMIFS(Orders!$H$6:$H$1005,Orders!$D$6:$D$1005,B102,Orders!$L$6:$L$1005,"&lt;&gt;Cancelled",Orders!$B$6:$B$1005,"&gt;="&amp;DATE(YEAR(TODAY()),1,1)))</f>
        <v/>
      </c>
      <c r="J102" s="18">
        <f>IF(B102="","",SUMIFS(Orders!$W$6:$W$1005,Orders!$D$6:$D$1005,B102))</f>
        <v/>
      </c>
      <c r="K102" s="1" t="n"/>
    </row>
    <row r="103">
      <c r="A103" s="1" t="n"/>
      <c r="B103" s="32" t="n"/>
      <c r="C103" s="35" t="n"/>
      <c r="D103" s="34" t="n"/>
      <c r="E103" s="22">
        <f>IF(B103="","",SUMIFS('Product materials'!$F$6:$F$505,'Product materials'!$B$6:$B$505,B103))</f>
        <v/>
      </c>
      <c r="F103" s="28">
        <f>IF(B103="","",N(C103)-E103)</f>
        <v/>
      </c>
      <c r="G103" s="37">
        <f>IF(OR(B103="",N(C103)=0),"",F103/C103)</f>
        <v/>
      </c>
      <c r="H103" s="18">
        <f>IF(B103="","",SUMIFS(Orders!$X$6:$X$1005,Orders!$D$6:$D$1005,B103,Orders!$L$6:$L$1005,"Sent",Orders!$B$6:$B$1005,"&gt;="&amp;DATE(YEAR(TODAY()),1,1))+SUMIFS(Orders!$X$6:$X$1005,Orders!$D$6:$D$1005,B103,Orders!$L$6:$L$1005,"Picked up",Orders!$B$6:$B$1005,"&gt;="&amp;DATE(YEAR(TODAY()),1,1)))</f>
        <v/>
      </c>
      <c r="I103" s="22">
        <f>IF(B103="","",SUMIFS(Orders!$H$6:$H$1005,Orders!$D$6:$D$1005,B103,Orders!$L$6:$L$1005,"&lt;&gt;Cancelled",Orders!$B$6:$B$1005,"&gt;="&amp;DATE(YEAR(TODAY()),1,1)))</f>
        <v/>
      </c>
      <c r="J103" s="18">
        <f>IF(B103="","",SUMIFS(Orders!$W$6:$W$1005,Orders!$D$6:$D$1005,B103))</f>
        <v/>
      </c>
      <c r="K103" s="1" t="n"/>
    </row>
    <row r="104">
      <c r="A104" s="1" t="n"/>
      <c r="B104" s="32" t="n"/>
      <c r="C104" s="35" t="n"/>
      <c r="D104" s="34" t="n"/>
      <c r="E104" s="22">
        <f>IF(B104="","",SUMIFS('Product materials'!$F$6:$F$505,'Product materials'!$B$6:$B$505,B104))</f>
        <v/>
      </c>
      <c r="F104" s="28">
        <f>IF(B104="","",N(C104)-E104)</f>
        <v/>
      </c>
      <c r="G104" s="37">
        <f>IF(OR(B104="",N(C104)=0),"",F104/C104)</f>
        <v/>
      </c>
      <c r="H104" s="18">
        <f>IF(B104="","",SUMIFS(Orders!$X$6:$X$1005,Orders!$D$6:$D$1005,B104,Orders!$L$6:$L$1005,"Sent",Orders!$B$6:$B$1005,"&gt;="&amp;DATE(YEAR(TODAY()),1,1))+SUMIFS(Orders!$X$6:$X$1005,Orders!$D$6:$D$1005,B104,Orders!$L$6:$L$1005,"Picked up",Orders!$B$6:$B$1005,"&gt;="&amp;DATE(YEAR(TODAY()),1,1)))</f>
        <v/>
      </c>
      <c r="I104" s="22">
        <f>IF(B104="","",SUMIFS(Orders!$H$6:$H$1005,Orders!$D$6:$D$1005,B104,Orders!$L$6:$L$1005,"&lt;&gt;Cancelled",Orders!$B$6:$B$1005,"&gt;="&amp;DATE(YEAR(TODAY()),1,1)))</f>
        <v/>
      </c>
      <c r="J104" s="18">
        <f>IF(B104="","",SUMIFS(Orders!$W$6:$W$1005,Orders!$D$6:$D$1005,B104))</f>
        <v/>
      </c>
      <c r="K104" s="1" t="n"/>
    </row>
    <row r="105">
      <c r="A105" s="1" t="n"/>
      <c r="B105" s="32" t="n"/>
      <c r="C105" s="35" t="n"/>
      <c r="D105" s="34" t="n"/>
      <c r="E105" s="22">
        <f>IF(B105="","",SUMIFS('Product materials'!$F$6:$F$505,'Product materials'!$B$6:$B$505,B105))</f>
        <v/>
      </c>
      <c r="F105" s="28">
        <f>IF(B105="","",N(C105)-E105)</f>
        <v/>
      </c>
      <c r="G105" s="37">
        <f>IF(OR(B105="",N(C105)=0),"",F105/C105)</f>
        <v/>
      </c>
      <c r="H105" s="18">
        <f>IF(B105="","",SUMIFS(Orders!$X$6:$X$1005,Orders!$D$6:$D$1005,B105,Orders!$L$6:$L$1005,"Sent",Orders!$B$6:$B$1005,"&gt;="&amp;DATE(YEAR(TODAY()),1,1))+SUMIFS(Orders!$X$6:$X$1005,Orders!$D$6:$D$1005,B105,Orders!$L$6:$L$1005,"Picked up",Orders!$B$6:$B$1005,"&gt;="&amp;DATE(YEAR(TODAY()),1,1)))</f>
        <v/>
      </c>
      <c r="I105" s="22">
        <f>IF(B105="","",SUMIFS(Orders!$H$6:$H$1005,Orders!$D$6:$D$1005,B105,Orders!$L$6:$L$1005,"&lt;&gt;Cancelled",Orders!$B$6:$B$1005,"&gt;="&amp;DATE(YEAR(TODAY()),1,1)))</f>
        <v/>
      </c>
      <c r="J105" s="18">
        <f>IF(B105="","",SUMIFS(Orders!$W$6:$W$1005,Orders!$D$6:$D$1005,B105))</f>
        <v/>
      </c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B107" s="38" t="inlineStr">
        <is>
          <t>Margin is the profit per item before fees and postage, as a share of the price.</t>
        </is>
      </c>
    </row>
  </sheetData>
  <conditionalFormatting sqref="G6:G105">
    <cfRule type="expression" priority="1" dxfId="1">
      <formula>AND(G6&lt;&gt;"",G6&lt;0.5)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10" customWidth="1" min="4" max="4"/>
    <col width="8" customWidth="1" min="5" max="5"/>
    <col width="11" customWidth="1" min="6" max="6"/>
    <col width="1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Product materials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line per material in each product, with the amount one item uses.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2" t="inlineStr">
        <is>
          <t>Product</t>
        </is>
      </c>
      <c r="C5" s="12" t="inlineStr">
        <is>
          <t>Material</t>
        </is>
      </c>
      <c r="D5" s="12" t="inlineStr">
        <is>
          <t>Amount per item</t>
        </is>
      </c>
      <c r="E5" s="12" t="inlineStr">
        <is>
          <t>Unit</t>
        </is>
      </c>
      <c r="F5" s="12" t="inlineStr">
        <is>
          <t>Cost per item</t>
        </is>
      </c>
      <c r="G5" s="12" t="inlineStr">
        <is>
          <t>For open orders</t>
        </is>
      </c>
      <c r="H5" s="1" t="n"/>
    </row>
    <row r="6">
      <c r="A6" s="1" t="n"/>
      <c r="B6" s="33" t="inlineStr">
        <is>
          <t>Soy candle 8 oz</t>
        </is>
      </c>
      <c r="C6" s="33" t="inlineStr">
        <is>
          <t>Soy wax</t>
        </is>
      </c>
      <c r="D6" s="36" t="n">
        <v>0.5</v>
      </c>
      <c r="E6" s="19">
        <f>IF(C6="","",IFERROR(INDEX(Materials!$C$6:$C$205,MATCH(C6,Materials!$B$6:$B$205,0))&amp;"","Add it to Materials"))</f>
        <v/>
      </c>
      <c r="F6" s="22">
        <f>IF(OR(C6="",E6="Add it to Materials"),"",N(D6)*INDEX(Materials!$F$6:$F$205,MATCH(C6,Materials!$B$6:$B$205,0)))</f>
        <v/>
      </c>
      <c r="G6" s="39">
        <f>IF(OR(B6="",C6=""),"",N(D6)*SUMIFS(Orders!$W$6:$W$1005,Orders!$D$6:$D$1005,B6))</f>
        <v/>
      </c>
      <c r="H6" s="1" t="n"/>
    </row>
    <row r="7">
      <c r="A7" s="1" t="n"/>
      <c r="B7" s="33" t="inlineStr">
        <is>
          <t>Soy candle 8 oz</t>
        </is>
      </c>
      <c r="C7" s="33" t="inlineStr">
        <is>
          <t>Cotton wick</t>
        </is>
      </c>
      <c r="D7" s="36" t="n">
        <v>1</v>
      </c>
      <c r="E7" s="19">
        <f>IF(C7="","",IFERROR(INDEX(Materials!$C$6:$C$205,MATCH(C7,Materials!$B$6:$B$205,0))&amp;"","Add it to Materials"))</f>
        <v/>
      </c>
      <c r="F7" s="22">
        <f>IF(OR(C7="",E7="Add it to Materials"),"",N(D7)*INDEX(Materials!$F$6:$F$205,MATCH(C7,Materials!$B$6:$B$205,0)))</f>
        <v/>
      </c>
      <c r="G7" s="39">
        <f>IF(OR(B7="",C7=""),"",N(D7)*SUMIFS(Orders!$W$6:$W$1005,Orders!$D$6:$D$1005,B7))</f>
        <v/>
      </c>
      <c r="H7" s="1" t="n"/>
    </row>
    <row r="8">
      <c r="A8" s="1" t="n"/>
      <c r="B8" s="33" t="inlineStr">
        <is>
          <t>Soy candle 8 oz</t>
        </is>
      </c>
      <c r="C8" s="33" t="inlineStr">
        <is>
          <t>Jar 8 oz</t>
        </is>
      </c>
      <c r="D8" s="36" t="n">
        <v>1</v>
      </c>
      <c r="E8" s="19">
        <f>IF(C8="","",IFERROR(INDEX(Materials!$C$6:$C$205,MATCH(C8,Materials!$B$6:$B$205,0))&amp;"","Add it to Materials"))</f>
        <v/>
      </c>
      <c r="F8" s="22">
        <f>IF(OR(C8="",E8="Add it to Materials"),"",N(D8)*INDEX(Materials!$F$6:$F$205,MATCH(C8,Materials!$B$6:$B$205,0)))</f>
        <v/>
      </c>
      <c r="G8" s="39">
        <f>IF(OR(B8="",C8=""),"",N(D8)*SUMIFS(Orders!$W$6:$W$1005,Orders!$D$6:$D$1005,B8))</f>
        <v/>
      </c>
      <c r="H8" s="1" t="n"/>
    </row>
    <row r="9">
      <c r="A9" s="1" t="n"/>
      <c r="B9" s="33" t="inlineStr">
        <is>
          <t>Soy candle 8 oz</t>
        </is>
      </c>
      <c r="C9" s="33" t="inlineStr">
        <is>
          <t>Fragrance oil</t>
        </is>
      </c>
      <c r="D9" s="36" t="n">
        <v>0.5</v>
      </c>
      <c r="E9" s="19">
        <f>IF(C9="","",IFERROR(INDEX(Materials!$C$6:$C$205,MATCH(C9,Materials!$B$6:$B$205,0))&amp;"","Add it to Materials"))</f>
        <v/>
      </c>
      <c r="F9" s="22">
        <f>IF(OR(C9="",E9="Add it to Materials"),"",N(D9)*INDEX(Materials!$F$6:$F$205,MATCH(C9,Materials!$B$6:$B$205,0)))</f>
        <v/>
      </c>
      <c r="G9" s="39">
        <f>IF(OR(B9="",C9=""),"",N(D9)*SUMIFS(Orders!$W$6:$W$1005,Orders!$D$6:$D$1005,B9))</f>
        <v/>
      </c>
      <c r="H9" s="1" t="n"/>
    </row>
    <row r="10">
      <c r="A10" s="1" t="n"/>
      <c r="B10" s="33" t="inlineStr">
        <is>
          <t>Soy candle 8 oz</t>
        </is>
      </c>
      <c r="C10" s="33" t="inlineStr">
        <is>
          <t>Label</t>
        </is>
      </c>
      <c r="D10" s="36" t="n">
        <v>1</v>
      </c>
      <c r="E10" s="19">
        <f>IF(C10="","",IFERROR(INDEX(Materials!$C$6:$C$205,MATCH(C10,Materials!$B$6:$B$205,0))&amp;"","Add it to Materials"))</f>
        <v/>
      </c>
      <c r="F10" s="22">
        <f>IF(OR(C10="",E10="Add it to Materials"),"",N(D10)*INDEX(Materials!$F$6:$F$205,MATCH(C10,Materials!$B$6:$B$205,0)))</f>
        <v/>
      </c>
      <c r="G10" s="39">
        <f>IF(OR(B10="",C10=""),"",N(D10)*SUMIFS(Orders!$W$6:$W$1005,Orders!$D$6:$D$1005,B10))</f>
        <v/>
      </c>
      <c r="H10" s="1" t="n"/>
    </row>
    <row r="11">
      <c r="A11" s="1" t="n"/>
      <c r="B11" s="33" t="inlineStr">
        <is>
          <t>Soy candle 16 oz</t>
        </is>
      </c>
      <c r="C11" s="33" t="inlineStr">
        <is>
          <t>Soy wax</t>
        </is>
      </c>
      <c r="D11" s="36" t="n">
        <v>1</v>
      </c>
      <c r="E11" s="19">
        <f>IF(C11="","",IFERROR(INDEX(Materials!$C$6:$C$205,MATCH(C11,Materials!$B$6:$B$205,0))&amp;"","Add it to Materials"))</f>
        <v/>
      </c>
      <c r="F11" s="22">
        <f>IF(OR(C11="",E11="Add it to Materials"),"",N(D11)*INDEX(Materials!$F$6:$F$205,MATCH(C11,Materials!$B$6:$B$205,0)))</f>
        <v/>
      </c>
      <c r="G11" s="39">
        <f>IF(OR(B11="",C11=""),"",N(D11)*SUMIFS(Orders!$W$6:$W$1005,Orders!$D$6:$D$1005,B11))</f>
        <v/>
      </c>
      <c r="H11" s="1" t="n"/>
    </row>
    <row r="12">
      <c r="A12" s="1" t="n"/>
      <c r="B12" s="33" t="inlineStr">
        <is>
          <t>Soy candle 16 oz</t>
        </is>
      </c>
      <c r="C12" s="33" t="inlineStr">
        <is>
          <t>Cotton wick</t>
        </is>
      </c>
      <c r="D12" s="36" t="n">
        <v>2</v>
      </c>
      <c r="E12" s="19">
        <f>IF(C12="","",IFERROR(INDEX(Materials!$C$6:$C$205,MATCH(C12,Materials!$B$6:$B$205,0))&amp;"","Add it to Materials"))</f>
        <v/>
      </c>
      <c r="F12" s="22">
        <f>IF(OR(C12="",E12="Add it to Materials"),"",N(D12)*INDEX(Materials!$F$6:$F$205,MATCH(C12,Materials!$B$6:$B$205,0)))</f>
        <v/>
      </c>
      <c r="G12" s="39">
        <f>IF(OR(B12="",C12=""),"",N(D12)*SUMIFS(Orders!$W$6:$W$1005,Orders!$D$6:$D$1005,B12))</f>
        <v/>
      </c>
      <c r="H12" s="1" t="n"/>
    </row>
    <row r="13">
      <c r="A13" s="1" t="n"/>
      <c r="B13" s="33" t="inlineStr">
        <is>
          <t>Soy candle 16 oz</t>
        </is>
      </c>
      <c r="C13" s="33" t="inlineStr">
        <is>
          <t>Jar 16 oz</t>
        </is>
      </c>
      <c r="D13" s="36" t="n">
        <v>1</v>
      </c>
      <c r="E13" s="19">
        <f>IF(C13="","",IFERROR(INDEX(Materials!$C$6:$C$205,MATCH(C13,Materials!$B$6:$B$205,0))&amp;"","Add it to Materials"))</f>
        <v/>
      </c>
      <c r="F13" s="22">
        <f>IF(OR(C13="",E13="Add it to Materials"),"",N(D13)*INDEX(Materials!$F$6:$F$205,MATCH(C13,Materials!$B$6:$B$205,0)))</f>
        <v/>
      </c>
      <c r="G13" s="39">
        <f>IF(OR(B13="",C13=""),"",N(D13)*SUMIFS(Orders!$W$6:$W$1005,Orders!$D$6:$D$1005,B13))</f>
        <v/>
      </c>
      <c r="H13" s="1" t="n"/>
    </row>
    <row r="14">
      <c r="A14" s="1" t="n"/>
      <c r="B14" s="33" t="inlineStr">
        <is>
          <t>Soy candle 16 oz</t>
        </is>
      </c>
      <c r="C14" s="33" t="inlineStr">
        <is>
          <t>Fragrance oil</t>
        </is>
      </c>
      <c r="D14" s="36" t="n">
        <v>1</v>
      </c>
      <c r="E14" s="19">
        <f>IF(C14="","",IFERROR(INDEX(Materials!$C$6:$C$205,MATCH(C14,Materials!$B$6:$B$205,0))&amp;"","Add it to Materials"))</f>
        <v/>
      </c>
      <c r="F14" s="22">
        <f>IF(OR(C14="",E14="Add it to Materials"),"",N(D14)*INDEX(Materials!$F$6:$F$205,MATCH(C14,Materials!$B$6:$B$205,0)))</f>
        <v/>
      </c>
      <c r="G14" s="39">
        <f>IF(OR(B14="",C14=""),"",N(D14)*SUMIFS(Orders!$W$6:$W$1005,Orders!$D$6:$D$1005,B14))</f>
        <v/>
      </c>
      <c r="H14" s="1" t="n"/>
    </row>
    <row r="15">
      <c r="A15" s="1" t="n"/>
      <c r="B15" s="33" t="inlineStr">
        <is>
          <t>Soy candle 16 oz</t>
        </is>
      </c>
      <c r="C15" s="33" t="inlineStr">
        <is>
          <t>Label</t>
        </is>
      </c>
      <c r="D15" s="36" t="n">
        <v>1</v>
      </c>
      <c r="E15" s="19">
        <f>IF(C15="","",IFERROR(INDEX(Materials!$C$6:$C$205,MATCH(C15,Materials!$B$6:$B$205,0))&amp;"","Add it to Materials"))</f>
        <v/>
      </c>
      <c r="F15" s="22">
        <f>IF(OR(C15="",E15="Add it to Materials"),"",N(D15)*INDEX(Materials!$F$6:$F$205,MATCH(C15,Materials!$B$6:$B$205,0)))</f>
        <v/>
      </c>
      <c r="G15" s="39">
        <f>IF(OR(B15="",C15=""),"",N(D15)*SUMIFS(Orders!$W$6:$W$1005,Orders!$D$6:$D$1005,B15))</f>
        <v/>
      </c>
      <c r="H15" s="1" t="n"/>
    </row>
    <row r="16">
      <c r="A16" s="1" t="n"/>
      <c r="B16" s="33" t="inlineStr">
        <is>
          <t>Wax melts, 6 pack</t>
        </is>
      </c>
      <c r="C16" s="33" t="inlineStr">
        <is>
          <t>Soy wax</t>
        </is>
      </c>
      <c r="D16" s="36" t="n">
        <v>0.4</v>
      </c>
      <c r="E16" s="19">
        <f>IF(C16="","",IFERROR(INDEX(Materials!$C$6:$C$205,MATCH(C16,Materials!$B$6:$B$205,0))&amp;"","Add it to Materials"))</f>
        <v/>
      </c>
      <c r="F16" s="22">
        <f>IF(OR(C16="",E16="Add it to Materials"),"",N(D16)*INDEX(Materials!$F$6:$F$205,MATCH(C16,Materials!$B$6:$B$205,0)))</f>
        <v/>
      </c>
      <c r="G16" s="39">
        <f>IF(OR(B16="",C16=""),"",N(D16)*SUMIFS(Orders!$W$6:$W$1005,Orders!$D$6:$D$1005,B16))</f>
        <v/>
      </c>
      <c r="H16" s="1" t="n"/>
    </row>
    <row r="17">
      <c r="A17" s="1" t="n"/>
      <c r="B17" s="33" t="inlineStr">
        <is>
          <t>Wax melts, 6 pack</t>
        </is>
      </c>
      <c r="C17" s="33" t="inlineStr">
        <is>
          <t>Fragrance oil</t>
        </is>
      </c>
      <c r="D17" s="36" t="n">
        <v>0.4</v>
      </c>
      <c r="E17" s="19">
        <f>IF(C17="","",IFERROR(INDEX(Materials!$C$6:$C$205,MATCH(C17,Materials!$B$6:$B$205,0))&amp;"","Add it to Materials"))</f>
        <v/>
      </c>
      <c r="F17" s="22">
        <f>IF(OR(C17="",E17="Add it to Materials"),"",N(D17)*INDEX(Materials!$F$6:$F$205,MATCH(C17,Materials!$B$6:$B$205,0)))</f>
        <v/>
      </c>
      <c r="G17" s="39">
        <f>IF(OR(B17="",C17=""),"",N(D17)*SUMIFS(Orders!$W$6:$W$1005,Orders!$D$6:$D$1005,B17))</f>
        <v/>
      </c>
      <c r="H17" s="1" t="n"/>
    </row>
    <row r="18">
      <c r="A18" s="1" t="n"/>
      <c r="B18" s="33" t="inlineStr">
        <is>
          <t>Wax melts, 6 pack</t>
        </is>
      </c>
      <c r="C18" s="33" t="inlineStr">
        <is>
          <t>Clamshell</t>
        </is>
      </c>
      <c r="D18" s="36" t="n">
        <v>1</v>
      </c>
      <c r="E18" s="19">
        <f>IF(C18="","",IFERROR(INDEX(Materials!$C$6:$C$205,MATCH(C18,Materials!$B$6:$B$205,0))&amp;"","Add it to Materials"))</f>
        <v/>
      </c>
      <c r="F18" s="22">
        <f>IF(OR(C18="",E18="Add it to Materials"),"",N(D18)*INDEX(Materials!$F$6:$F$205,MATCH(C18,Materials!$B$6:$B$205,0)))</f>
        <v/>
      </c>
      <c r="G18" s="39">
        <f>IF(OR(B18="",C18=""),"",N(D18)*SUMIFS(Orders!$W$6:$W$1005,Orders!$D$6:$D$1005,B18))</f>
        <v/>
      </c>
      <c r="H18" s="1" t="n"/>
    </row>
    <row r="19">
      <c r="A19" s="1" t="n"/>
      <c r="B19" s="33" t="inlineStr">
        <is>
          <t>Wax melts, 6 pack</t>
        </is>
      </c>
      <c r="C19" s="33" t="inlineStr">
        <is>
          <t>Label</t>
        </is>
      </c>
      <c r="D19" s="36" t="n">
        <v>1</v>
      </c>
      <c r="E19" s="19">
        <f>IF(C19="","",IFERROR(INDEX(Materials!$C$6:$C$205,MATCH(C19,Materials!$B$6:$B$205,0))&amp;"","Add it to Materials"))</f>
        <v/>
      </c>
      <c r="F19" s="22">
        <f>IF(OR(C19="",E19="Add it to Materials"),"",N(D19)*INDEX(Materials!$F$6:$F$205,MATCH(C19,Materials!$B$6:$B$205,0)))</f>
        <v/>
      </c>
      <c r="G19" s="39">
        <f>IF(OR(B19="",C19=""),"",N(D19)*SUMIFS(Orders!$W$6:$W$1005,Orders!$D$6:$D$1005,B19))</f>
        <v/>
      </c>
      <c r="H19" s="1" t="n"/>
    </row>
    <row r="20">
      <c r="A20" s="1" t="n"/>
      <c r="B20" s="33" t="inlineStr">
        <is>
          <t>Soap bar</t>
        </is>
      </c>
      <c r="C20" s="33" t="inlineStr">
        <is>
          <t>Soap base</t>
        </is>
      </c>
      <c r="D20" s="36" t="n">
        <v>0.3</v>
      </c>
      <c r="E20" s="19">
        <f>IF(C20="","",IFERROR(INDEX(Materials!$C$6:$C$205,MATCH(C20,Materials!$B$6:$B$205,0))&amp;"","Add it to Materials"))</f>
        <v/>
      </c>
      <c r="F20" s="22">
        <f>IF(OR(C20="",E20="Add it to Materials"),"",N(D20)*INDEX(Materials!$F$6:$F$205,MATCH(C20,Materials!$B$6:$B$205,0)))</f>
        <v/>
      </c>
      <c r="G20" s="39">
        <f>IF(OR(B20="",C20=""),"",N(D20)*SUMIFS(Orders!$W$6:$W$1005,Orders!$D$6:$D$1005,B20))</f>
        <v/>
      </c>
      <c r="H20" s="1" t="n"/>
    </row>
    <row r="21">
      <c r="A21" s="1" t="n"/>
      <c r="B21" s="33" t="inlineStr">
        <is>
          <t>Soap bar</t>
        </is>
      </c>
      <c r="C21" s="33" t="inlineStr">
        <is>
          <t>Fragrance oil</t>
        </is>
      </c>
      <c r="D21" s="36" t="n">
        <v>0.1</v>
      </c>
      <c r="E21" s="19">
        <f>IF(C21="","",IFERROR(INDEX(Materials!$C$6:$C$205,MATCH(C21,Materials!$B$6:$B$205,0))&amp;"","Add it to Materials"))</f>
        <v/>
      </c>
      <c r="F21" s="22">
        <f>IF(OR(C21="",E21="Add it to Materials"),"",N(D21)*INDEX(Materials!$F$6:$F$205,MATCH(C21,Materials!$B$6:$B$205,0)))</f>
        <v/>
      </c>
      <c r="G21" s="39">
        <f>IF(OR(B21="",C21=""),"",N(D21)*SUMIFS(Orders!$W$6:$W$1005,Orders!$D$6:$D$1005,B21))</f>
        <v/>
      </c>
      <c r="H21" s="1" t="n"/>
    </row>
    <row r="22">
      <c r="A22" s="1" t="n"/>
      <c r="B22" s="33" t="inlineStr">
        <is>
          <t>Soap bar</t>
        </is>
      </c>
      <c r="C22" s="33" t="inlineStr">
        <is>
          <t>Label</t>
        </is>
      </c>
      <c r="D22" s="36" t="n">
        <v>1</v>
      </c>
      <c r="E22" s="19">
        <f>IF(C22="","",IFERROR(INDEX(Materials!$C$6:$C$205,MATCH(C22,Materials!$B$6:$B$205,0))&amp;"","Add it to Materials"))</f>
        <v/>
      </c>
      <c r="F22" s="22">
        <f>IF(OR(C22="",E22="Add it to Materials"),"",N(D22)*INDEX(Materials!$F$6:$F$205,MATCH(C22,Materials!$B$6:$B$205,0)))</f>
        <v/>
      </c>
      <c r="G22" s="39">
        <f>IF(OR(B22="",C22=""),"",N(D22)*SUMIFS(Orders!$W$6:$W$1005,Orders!$D$6:$D$1005,B22))</f>
        <v/>
      </c>
      <c r="H22" s="1" t="n"/>
    </row>
    <row r="23">
      <c r="A23" s="1" t="n"/>
      <c r="B23" s="33" t="inlineStr">
        <is>
          <t>Soap bar</t>
        </is>
      </c>
      <c r="C23" s="33" t="inlineStr">
        <is>
          <t>Kraft wrap</t>
        </is>
      </c>
      <c r="D23" s="36" t="n">
        <v>1</v>
      </c>
      <c r="E23" s="19">
        <f>IF(C23="","",IFERROR(INDEX(Materials!$C$6:$C$205,MATCH(C23,Materials!$B$6:$B$205,0))&amp;"","Add it to Materials"))</f>
        <v/>
      </c>
      <c r="F23" s="22">
        <f>IF(OR(C23="",E23="Add it to Materials"),"",N(D23)*INDEX(Materials!$F$6:$F$205,MATCH(C23,Materials!$B$6:$B$205,0)))</f>
        <v/>
      </c>
      <c r="G23" s="39">
        <f>IF(OR(B23="",C23=""),"",N(D23)*SUMIFS(Orders!$W$6:$W$1005,Orders!$D$6:$D$1005,B23))</f>
        <v/>
      </c>
      <c r="H23" s="1" t="n"/>
    </row>
    <row r="24">
      <c r="A24" s="1" t="n"/>
      <c r="B24" s="33" t="inlineStr">
        <is>
          <t>Gift box</t>
        </is>
      </c>
      <c r="C24" s="33" t="inlineStr">
        <is>
          <t>Soy wax</t>
        </is>
      </c>
      <c r="D24" s="36" t="n">
        <v>0.5</v>
      </c>
      <c r="E24" s="19">
        <f>IF(C24="","",IFERROR(INDEX(Materials!$C$6:$C$205,MATCH(C24,Materials!$B$6:$B$205,0))&amp;"","Add it to Materials"))</f>
        <v/>
      </c>
      <c r="F24" s="22">
        <f>IF(OR(C24="",E24="Add it to Materials"),"",N(D24)*INDEX(Materials!$F$6:$F$205,MATCH(C24,Materials!$B$6:$B$205,0)))</f>
        <v/>
      </c>
      <c r="G24" s="39">
        <f>IF(OR(B24="",C24=""),"",N(D24)*SUMIFS(Orders!$W$6:$W$1005,Orders!$D$6:$D$1005,B24))</f>
        <v/>
      </c>
      <c r="H24" s="1" t="n"/>
    </row>
    <row r="25">
      <c r="A25" s="1" t="n"/>
      <c r="B25" s="33" t="inlineStr">
        <is>
          <t>Gift box</t>
        </is>
      </c>
      <c r="C25" s="33" t="inlineStr">
        <is>
          <t>Cotton wick</t>
        </is>
      </c>
      <c r="D25" s="36" t="n">
        <v>1</v>
      </c>
      <c r="E25" s="19">
        <f>IF(C25="","",IFERROR(INDEX(Materials!$C$6:$C$205,MATCH(C25,Materials!$B$6:$B$205,0))&amp;"","Add it to Materials"))</f>
        <v/>
      </c>
      <c r="F25" s="22">
        <f>IF(OR(C25="",E25="Add it to Materials"),"",N(D25)*INDEX(Materials!$F$6:$F$205,MATCH(C25,Materials!$B$6:$B$205,0)))</f>
        <v/>
      </c>
      <c r="G25" s="39">
        <f>IF(OR(B25="",C25=""),"",N(D25)*SUMIFS(Orders!$W$6:$W$1005,Orders!$D$6:$D$1005,B25))</f>
        <v/>
      </c>
      <c r="H25" s="1" t="n"/>
    </row>
    <row r="26">
      <c r="A26" s="1" t="n"/>
      <c r="B26" s="33" t="inlineStr">
        <is>
          <t>Gift box</t>
        </is>
      </c>
      <c r="C26" s="33" t="inlineStr">
        <is>
          <t>Jar 8 oz</t>
        </is>
      </c>
      <c r="D26" s="36" t="n">
        <v>1</v>
      </c>
      <c r="E26" s="19">
        <f>IF(C26="","",IFERROR(INDEX(Materials!$C$6:$C$205,MATCH(C26,Materials!$B$6:$B$205,0))&amp;"","Add it to Materials"))</f>
        <v/>
      </c>
      <c r="F26" s="22">
        <f>IF(OR(C26="",E26="Add it to Materials"),"",N(D26)*INDEX(Materials!$F$6:$F$205,MATCH(C26,Materials!$B$6:$B$205,0)))</f>
        <v/>
      </c>
      <c r="G26" s="39">
        <f>IF(OR(B26="",C26=""),"",N(D26)*SUMIFS(Orders!$W$6:$W$1005,Orders!$D$6:$D$1005,B26))</f>
        <v/>
      </c>
      <c r="H26" s="1" t="n"/>
    </row>
    <row r="27">
      <c r="A27" s="1" t="n"/>
      <c r="B27" s="33" t="inlineStr">
        <is>
          <t>Gift box</t>
        </is>
      </c>
      <c r="C27" s="33" t="inlineStr">
        <is>
          <t>Fragrance oil</t>
        </is>
      </c>
      <c r="D27" s="36" t="n">
        <v>0.7</v>
      </c>
      <c r="E27" s="19">
        <f>IF(C27="","",IFERROR(INDEX(Materials!$C$6:$C$205,MATCH(C27,Materials!$B$6:$B$205,0))&amp;"","Add it to Materials"))</f>
        <v/>
      </c>
      <c r="F27" s="22">
        <f>IF(OR(C27="",E27="Add it to Materials"),"",N(D27)*INDEX(Materials!$F$6:$F$205,MATCH(C27,Materials!$B$6:$B$205,0)))</f>
        <v/>
      </c>
      <c r="G27" s="39">
        <f>IF(OR(B27="",C27=""),"",N(D27)*SUMIFS(Orders!$W$6:$W$1005,Orders!$D$6:$D$1005,B27))</f>
        <v/>
      </c>
      <c r="H27" s="1" t="n"/>
    </row>
    <row r="28">
      <c r="A28" s="1" t="n"/>
      <c r="B28" s="33" t="inlineStr">
        <is>
          <t>Gift box</t>
        </is>
      </c>
      <c r="C28" s="33" t="inlineStr">
        <is>
          <t>Soap base</t>
        </is>
      </c>
      <c r="D28" s="36" t="n">
        <v>0.6</v>
      </c>
      <c r="E28" s="19">
        <f>IF(C28="","",IFERROR(INDEX(Materials!$C$6:$C$205,MATCH(C28,Materials!$B$6:$B$205,0))&amp;"","Add it to Materials"))</f>
        <v/>
      </c>
      <c r="F28" s="22">
        <f>IF(OR(C28="",E28="Add it to Materials"),"",N(D28)*INDEX(Materials!$F$6:$F$205,MATCH(C28,Materials!$B$6:$B$205,0)))</f>
        <v/>
      </c>
      <c r="G28" s="39">
        <f>IF(OR(B28="",C28=""),"",N(D28)*SUMIFS(Orders!$W$6:$W$1005,Orders!$D$6:$D$1005,B28))</f>
        <v/>
      </c>
      <c r="H28" s="1" t="n"/>
    </row>
    <row r="29">
      <c r="A29" s="1" t="n"/>
      <c r="B29" s="33" t="inlineStr">
        <is>
          <t>Gift box</t>
        </is>
      </c>
      <c r="C29" s="33" t="inlineStr">
        <is>
          <t>Label</t>
        </is>
      </c>
      <c r="D29" s="36" t="n">
        <v>3</v>
      </c>
      <c r="E29" s="19">
        <f>IF(C29="","",IFERROR(INDEX(Materials!$C$6:$C$205,MATCH(C29,Materials!$B$6:$B$205,0))&amp;"","Add it to Materials"))</f>
        <v/>
      </c>
      <c r="F29" s="22">
        <f>IF(OR(C29="",E29="Add it to Materials"),"",N(D29)*INDEX(Materials!$F$6:$F$205,MATCH(C29,Materials!$B$6:$B$205,0)))</f>
        <v/>
      </c>
      <c r="G29" s="39">
        <f>IF(OR(B29="",C29=""),"",N(D29)*SUMIFS(Orders!$W$6:$W$1005,Orders!$D$6:$D$1005,B29))</f>
        <v/>
      </c>
      <c r="H29" s="1" t="n"/>
    </row>
    <row r="30">
      <c r="A30" s="1" t="n"/>
      <c r="B30" s="33" t="inlineStr">
        <is>
          <t>Gift box</t>
        </is>
      </c>
      <c r="C30" s="33" t="inlineStr">
        <is>
          <t>Gift box</t>
        </is>
      </c>
      <c r="D30" s="36" t="n">
        <v>1</v>
      </c>
      <c r="E30" s="19">
        <f>IF(C30="","",IFERROR(INDEX(Materials!$C$6:$C$205,MATCH(C30,Materials!$B$6:$B$205,0))&amp;"","Add it to Materials"))</f>
        <v/>
      </c>
      <c r="F30" s="22">
        <f>IF(OR(C30="",E30="Add it to Materials"),"",N(D30)*INDEX(Materials!$F$6:$F$205,MATCH(C30,Materials!$B$6:$B$205,0)))</f>
        <v/>
      </c>
      <c r="G30" s="39">
        <f>IF(OR(B30="",C30=""),"",N(D30)*SUMIFS(Orders!$W$6:$W$1005,Orders!$D$6:$D$1005,B30))</f>
        <v/>
      </c>
      <c r="H30" s="1" t="n"/>
    </row>
    <row r="31">
      <c r="A31" s="1" t="n"/>
      <c r="B31" s="33" t="inlineStr">
        <is>
          <t>Gift box</t>
        </is>
      </c>
      <c r="C31" s="33" t="inlineStr">
        <is>
          <t>Tissue paper</t>
        </is>
      </c>
      <c r="D31" s="36" t="n">
        <v>2</v>
      </c>
      <c r="E31" s="19">
        <f>IF(C31="","",IFERROR(INDEX(Materials!$C$6:$C$205,MATCH(C31,Materials!$B$6:$B$205,0))&amp;"","Add it to Materials"))</f>
        <v/>
      </c>
      <c r="F31" s="22">
        <f>IF(OR(C31="",E31="Add it to Materials"),"",N(D31)*INDEX(Materials!$F$6:$F$205,MATCH(C31,Materials!$B$6:$B$205,0)))</f>
        <v/>
      </c>
      <c r="G31" s="39">
        <f>IF(OR(B31="",C31=""),"",N(D31)*SUMIFS(Orders!$W$6:$W$1005,Orders!$D$6:$D$1005,B31))</f>
        <v/>
      </c>
      <c r="H31" s="1" t="n"/>
    </row>
    <row r="32">
      <c r="A32" s="1" t="n"/>
      <c r="B32" s="33" t="inlineStr">
        <is>
          <t>Wedding favours, 10 tins</t>
        </is>
      </c>
      <c r="C32" s="33" t="inlineStr">
        <is>
          <t>Soy wax</t>
        </is>
      </c>
      <c r="D32" s="36" t="n">
        <v>1.5</v>
      </c>
      <c r="E32" s="19">
        <f>IF(C32="","",IFERROR(INDEX(Materials!$C$6:$C$205,MATCH(C32,Materials!$B$6:$B$205,0))&amp;"","Add it to Materials"))</f>
        <v/>
      </c>
      <c r="F32" s="22">
        <f>IF(OR(C32="",E32="Add it to Materials"),"",N(D32)*INDEX(Materials!$F$6:$F$205,MATCH(C32,Materials!$B$6:$B$205,0)))</f>
        <v/>
      </c>
      <c r="G32" s="39">
        <f>IF(OR(B32="",C32=""),"",N(D32)*SUMIFS(Orders!$W$6:$W$1005,Orders!$D$6:$D$1005,B32))</f>
        <v/>
      </c>
      <c r="H32" s="1" t="n"/>
    </row>
    <row r="33">
      <c r="A33" s="1" t="n"/>
      <c r="B33" s="33" t="inlineStr">
        <is>
          <t>Wedding favours, 10 tins</t>
        </is>
      </c>
      <c r="C33" s="33" t="inlineStr">
        <is>
          <t>Cotton wick</t>
        </is>
      </c>
      <c r="D33" s="36" t="n">
        <v>10</v>
      </c>
      <c r="E33" s="19">
        <f>IF(C33="","",IFERROR(INDEX(Materials!$C$6:$C$205,MATCH(C33,Materials!$B$6:$B$205,0))&amp;"","Add it to Materials"))</f>
        <v/>
      </c>
      <c r="F33" s="22">
        <f>IF(OR(C33="",E33="Add it to Materials"),"",N(D33)*INDEX(Materials!$F$6:$F$205,MATCH(C33,Materials!$B$6:$B$205,0)))</f>
        <v/>
      </c>
      <c r="G33" s="39">
        <f>IF(OR(B33="",C33=""),"",N(D33)*SUMIFS(Orders!$W$6:$W$1005,Orders!$D$6:$D$1005,B33))</f>
        <v/>
      </c>
      <c r="H33" s="1" t="n"/>
    </row>
    <row r="34">
      <c r="A34" s="1" t="n"/>
      <c r="B34" s="33" t="inlineStr">
        <is>
          <t>Wedding favours, 10 tins</t>
        </is>
      </c>
      <c r="C34" s="33" t="inlineStr">
        <is>
          <t>Tin 4 oz</t>
        </is>
      </c>
      <c r="D34" s="36" t="n">
        <v>10</v>
      </c>
      <c r="E34" s="19">
        <f>IF(C34="","",IFERROR(INDEX(Materials!$C$6:$C$205,MATCH(C34,Materials!$B$6:$B$205,0))&amp;"","Add it to Materials"))</f>
        <v/>
      </c>
      <c r="F34" s="22">
        <f>IF(OR(C34="",E34="Add it to Materials"),"",N(D34)*INDEX(Materials!$F$6:$F$205,MATCH(C34,Materials!$B$6:$B$205,0)))</f>
        <v/>
      </c>
      <c r="G34" s="39">
        <f>IF(OR(B34="",C34=""),"",N(D34)*SUMIFS(Orders!$W$6:$W$1005,Orders!$D$6:$D$1005,B34))</f>
        <v/>
      </c>
      <c r="H34" s="1" t="n"/>
    </row>
    <row r="35">
      <c r="A35" s="1" t="n"/>
      <c r="B35" s="33" t="inlineStr">
        <is>
          <t>Wedding favours, 10 tins</t>
        </is>
      </c>
      <c r="C35" s="33" t="inlineStr">
        <is>
          <t>Fragrance oil</t>
        </is>
      </c>
      <c r="D35" s="36" t="n">
        <v>1.5</v>
      </c>
      <c r="E35" s="19">
        <f>IF(C35="","",IFERROR(INDEX(Materials!$C$6:$C$205,MATCH(C35,Materials!$B$6:$B$205,0))&amp;"","Add it to Materials"))</f>
        <v/>
      </c>
      <c r="F35" s="22">
        <f>IF(OR(C35="",E35="Add it to Materials"),"",N(D35)*INDEX(Materials!$F$6:$F$205,MATCH(C35,Materials!$B$6:$B$205,0)))</f>
        <v/>
      </c>
      <c r="G35" s="39">
        <f>IF(OR(B35="",C35=""),"",N(D35)*SUMIFS(Orders!$W$6:$W$1005,Orders!$D$6:$D$1005,B35))</f>
        <v/>
      </c>
      <c r="H35" s="1" t="n"/>
    </row>
    <row r="36">
      <c r="A36" s="1" t="n"/>
      <c r="B36" s="33" t="inlineStr">
        <is>
          <t>Wedding favours, 10 tins</t>
        </is>
      </c>
      <c r="C36" s="33" t="inlineStr">
        <is>
          <t>Label</t>
        </is>
      </c>
      <c r="D36" s="36" t="n">
        <v>10</v>
      </c>
      <c r="E36" s="19">
        <f>IF(C36="","",IFERROR(INDEX(Materials!$C$6:$C$205,MATCH(C36,Materials!$B$6:$B$205,0))&amp;"","Add it to Materials"))</f>
        <v/>
      </c>
      <c r="F36" s="22">
        <f>IF(OR(C36="",E36="Add it to Materials"),"",N(D36)*INDEX(Materials!$F$6:$F$205,MATCH(C36,Materials!$B$6:$B$205,0)))</f>
        <v/>
      </c>
      <c r="G36" s="39">
        <f>IF(OR(B36="",C36=""),"",N(D36)*SUMIFS(Orders!$W$6:$W$1005,Orders!$D$6:$D$1005,B36))</f>
        <v/>
      </c>
      <c r="H36" s="1" t="n"/>
    </row>
    <row r="37">
      <c r="A37" s="1" t="n"/>
      <c r="B37" s="33" t="n"/>
      <c r="C37" s="33" t="n"/>
      <c r="D37" s="36" t="n"/>
      <c r="E37" s="19">
        <f>IF(C37="","",IFERROR(INDEX(Materials!$C$6:$C$205,MATCH(C37,Materials!$B$6:$B$205,0))&amp;"","Add it to Materials"))</f>
        <v/>
      </c>
      <c r="F37" s="22">
        <f>IF(OR(C37="",E37="Add it to Materials"),"",N(D37)*INDEX(Materials!$F$6:$F$205,MATCH(C37,Materials!$B$6:$B$205,0)))</f>
        <v/>
      </c>
      <c r="G37" s="39">
        <f>IF(OR(B37="",C37=""),"",N(D37)*SUMIFS(Orders!$W$6:$W$1005,Orders!$D$6:$D$1005,B37))</f>
        <v/>
      </c>
      <c r="H37" s="1" t="n"/>
    </row>
    <row r="38">
      <c r="A38" s="1" t="n"/>
      <c r="B38" s="33" t="n"/>
      <c r="C38" s="33" t="n"/>
      <c r="D38" s="36" t="n"/>
      <c r="E38" s="19">
        <f>IF(C38="","",IFERROR(INDEX(Materials!$C$6:$C$205,MATCH(C38,Materials!$B$6:$B$205,0))&amp;"","Add it to Materials"))</f>
        <v/>
      </c>
      <c r="F38" s="22">
        <f>IF(OR(C38="",E38="Add it to Materials"),"",N(D38)*INDEX(Materials!$F$6:$F$205,MATCH(C38,Materials!$B$6:$B$205,0)))</f>
        <v/>
      </c>
      <c r="G38" s="39">
        <f>IF(OR(B38="",C38=""),"",N(D38)*SUMIFS(Orders!$W$6:$W$1005,Orders!$D$6:$D$1005,B38))</f>
        <v/>
      </c>
      <c r="H38" s="1" t="n"/>
    </row>
    <row r="39">
      <c r="A39" s="1" t="n"/>
      <c r="B39" s="33" t="n"/>
      <c r="C39" s="33" t="n"/>
      <c r="D39" s="36" t="n"/>
      <c r="E39" s="19">
        <f>IF(C39="","",IFERROR(INDEX(Materials!$C$6:$C$205,MATCH(C39,Materials!$B$6:$B$205,0))&amp;"","Add it to Materials"))</f>
        <v/>
      </c>
      <c r="F39" s="22">
        <f>IF(OR(C39="",E39="Add it to Materials"),"",N(D39)*INDEX(Materials!$F$6:$F$205,MATCH(C39,Materials!$B$6:$B$205,0)))</f>
        <v/>
      </c>
      <c r="G39" s="39">
        <f>IF(OR(B39="",C39=""),"",N(D39)*SUMIFS(Orders!$W$6:$W$1005,Orders!$D$6:$D$1005,B39))</f>
        <v/>
      </c>
      <c r="H39" s="1" t="n"/>
    </row>
    <row r="40">
      <c r="A40" s="1" t="n"/>
      <c r="B40" s="33" t="n"/>
      <c r="C40" s="33" t="n"/>
      <c r="D40" s="36" t="n"/>
      <c r="E40" s="19">
        <f>IF(C40="","",IFERROR(INDEX(Materials!$C$6:$C$205,MATCH(C40,Materials!$B$6:$B$205,0))&amp;"","Add it to Materials"))</f>
        <v/>
      </c>
      <c r="F40" s="22">
        <f>IF(OR(C40="",E40="Add it to Materials"),"",N(D40)*INDEX(Materials!$F$6:$F$205,MATCH(C40,Materials!$B$6:$B$205,0)))</f>
        <v/>
      </c>
      <c r="G40" s="39">
        <f>IF(OR(B40="",C40=""),"",N(D40)*SUMIFS(Orders!$W$6:$W$1005,Orders!$D$6:$D$1005,B40))</f>
        <v/>
      </c>
      <c r="H40" s="1" t="n"/>
    </row>
    <row r="41">
      <c r="A41" s="1" t="n"/>
      <c r="B41" s="33" t="n"/>
      <c r="C41" s="33" t="n"/>
      <c r="D41" s="36" t="n"/>
      <c r="E41" s="19">
        <f>IF(C41="","",IFERROR(INDEX(Materials!$C$6:$C$205,MATCH(C41,Materials!$B$6:$B$205,0))&amp;"","Add it to Materials"))</f>
        <v/>
      </c>
      <c r="F41" s="22">
        <f>IF(OR(C41="",E41="Add it to Materials"),"",N(D41)*INDEX(Materials!$F$6:$F$205,MATCH(C41,Materials!$B$6:$B$205,0)))</f>
        <v/>
      </c>
      <c r="G41" s="39">
        <f>IF(OR(B41="",C41=""),"",N(D41)*SUMIFS(Orders!$W$6:$W$1005,Orders!$D$6:$D$1005,B41))</f>
        <v/>
      </c>
      <c r="H41" s="1" t="n"/>
    </row>
    <row r="42">
      <c r="A42" s="1" t="n"/>
      <c r="B42" s="33" t="n"/>
      <c r="C42" s="33" t="n"/>
      <c r="D42" s="36" t="n"/>
      <c r="E42" s="19">
        <f>IF(C42="","",IFERROR(INDEX(Materials!$C$6:$C$205,MATCH(C42,Materials!$B$6:$B$205,0))&amp;"","Add it to Materials"))</f>
        <v/>
      </c>
      <c r="F42" s="22">
        <f>IF(OR(C42="",E42="Add it to Materials"),"",N(D42)*INDEX(Materials!$F$6:$F$205,MATCH(C42,Materials!$B$6:$B$205,0)))</f>
        <v/>
      </c>
      <c r="G42" s="39">
        <f>IF(OR(B42="",C42=""),"",N(D42)*SUMIFS(Orders!$W$6:$W$1005,Orders!$D$6:$D$1005,B42))</f>
        <v/>
      </c>
      <c r="H42" s="1" t="n"/>
    </row>
    <row r="43">
      <c r="A43" s="1" t="n"/>
      <c r="B43" s="33" t="n"/>
      <c r="C43" s="33" t="n"/>
      <c r="D43" s="36" t="n"/>
      <c r="E43" s="19">
        <f>IF(C43="","",IFERROR(INDEX(Materials!$C$6:$C$205,MATCH(C43,Materials!$B$6:$B$205,0))&amp;"","Add it to Materials"))</f>
        <v/>
      </c>
      <c r="F43" s="22">
        <f>IF(OR(C43="",E43="Add it to Materials"),"",N(D43)*INDEX(Materials!$F$6:$F$205,MATCH(C43,Materials!$B$6:$B$205,0)))</f>
        <v/>
      </c>
      <c r="G43" s="39">
        <f>IF(OR(B43="",C43=""),"",N(D43)*SUMIFS(Orders!$W$6:$W$1005,Orders!$D$6:$D$1005,B43))</f>
        <v/>
      </c>
      <c r="H43" s="1" t="n"/>
    </row>
    <row r="44">
      <c r="A44" s="1" t="n"/>
      <c r="B44" s="33" t="n"/>
      <c r="C44" s="33" t="n"/>
      <c r="D44" s="36" t="n"/>
      <c r="E44" s="19">
        <f>IF(C44="","",IFERROR(INDEX(Materials!$C$6:$C$205,MATCH(C44,Materials!$B$6:$B$205,0))&amp;"","Add it to Materials"))</f>
        <v/>
      </c>
      <c r="F44" s="22">
        <f>IF(OR(C44="",E44="Add it to Materials"),"",N(D44)*INDEX(Materials!$F$6:$F$205,MATCH(C44,Materials!$B$6:$B$205,0)))</f>
        <v/>
      </c>
      <c r="G44" s="39">
        <f>IF(OR(B44="",C44=""),"",N(D44)*SUMIFS(Orders!$W$6:$W$1005,Orders!$D$6:$D$1005,B44))</f>
        <v/>
      </c>
      <c r="H44" s="1" t="n"/>
    </row>
    <row r="45">
      <c r="A45" s="1" t="n"/>
      <c r="B45" s="33" t="n"/>
      <c r="C45" s="33" t="n"/>
      <c r="D45" s="36" t="n"/>
      <c r="E45" s="19">
        <f>IF(C45="","",IFERROR(INDEX(Materials!$C$6:$C$205,MATCH(C45,Materials!$B$6:$B$205,0))&amp;"","Add it to Materials"))</f>
        <v/>
      </c>
      <c r="F45" s="22">
        <f>IF(OR(C45="",E45="Add it to Materials"),"",N(D45)*INDEX(Materials!$F$6:$F$205,MATCH(C45,Materials!$B$6:$B$205,0)))</f>
        <v/>
      </c>
      <c r="G45" s="39">
        <f>IF(OR(B45="",C45=""),"",N(D45)*SUMIFS(Orders!$W$6:$W$1005,Orders!$D$6:$D$1005,B45))</f>
        <v/>
      </c>
      <c r="H45" s="1" t="n"/>
    </row>
    <row r="46">
      <c r="A46" s="1" t="n"/>
      <c r="B46" s="33" t="n"/>
      <c r="C46" s="33" t="n"/>
      <c r="D46" s="36" t="n"/>
      <c r="E46" s="19">
        <f>IF(C46="","",IFERROR(INDEX(Materials!$C$6:$C$205,MATCH(C46,Materials!$B$6:$B$205,0))&amp;"","Add it to Materials"))</f>
        <v/>
      </c>
      <c r="F46" s="22">
        <f>IF(OR(C46="",E46="Add it to Materials"),"",N(D46)*INDEX(Materials!$F$6:$F$205,MATCH(C46,Materials!$B$6:$B$205,0)))</f>
        <v/>
      </c>
      <c r="G46" s="39">
        <f>IF(OR(B46="",C46=""),"",N(D46)*SUMIFS(Orders!$W$6:$W$1005,Orders!$D$6:$D$1005,B46))</f>
        <v/>
      </c>
      <c r="H46" s="1" t="n"/>
    </row>
    <row r="47">
      <c r="A47" s="1" t="n"/>
      <c r="B47" s="33" t="n"/>
      <c r="C47" s="33" t="n"/>
      <c r="D47" s="36" t="n"/>
      <c r="E47" s="19">
        <f>IF(C47="","",IFERROR(INDEX(Materials!$C$6:$C$205,MATCH(C47,Materials!$B$6:$B$205,0))&amp;"","Add it to Materials"))</f>
        <v/>
      </c>
      <c r="F47" s="22">
        <f>IF(OR(C47="",E47="Add it to Materials"),"",N(D47)*INDEX(Materials!$F$6:$F$205,MATCH(C47,Materials!$B$6:$B$205,0)))</f>
        <v/>
      </c>
      <c r="G47" s="39">
        <f>IF(OR(B47="",C47=""),"",N(D47)*SUMIFS(Orders!$W$6:$W$1005,Orders!$D$6:$D$1005,B47))</f>
        <v/>
      </c>
      <c r="H47" s="1" t="n"/>
    </row>
    <row r="48">
      <c r="A48" s="1" t="n"/>
      <c r="B48" s="33" t="n"/>
      <c r="C48" s="33" t="n"/>
      <c r="D48" s="36" t="n"/>
      <c r="E48" s="19">
        <f>IF(C48="","",IFERROR(INDEX(Materials!$C$6:$C$205,MATCH(C48,Materials!$B$6:$B$205,0))&amp;"","Add it to Materials"))</f>
        <v/>
      </c>
      <c r="F48" s="22">
        <f>IF(OR(C48="",E48="Add it to Materials"),"",N(D48)*INDEX(Materials!$F$6:$F$205,MATCH(C48,Materials!$B$6:$B$205,0)))</f>
        <v/>
      </c>
      <c r="G48" s="39">
        <f>IF(OR(B48="",C48=""),"",N(D48)*SUMIFS(Orders!$W$6:$W$1005,Orders!$D$6:$D$1005,B48))</f>
        <v/>
      </c>
      <c r="H48" s="1" t="n"/>
    </row>
    <row r="49">
      <c r="A49" s="1" t="n"/>
      <c r="B49" s="33" t="n"/>
      <c r="C49" s="33" t="n"/>
      <c r="D49" s="36" t="n"/>
      <c r="E49" s="19">
        <f>IF(C49="","",IFERROR(INDEX(Materials!$C$6:$C$205,MATCH(C49,Materials!$B$6:$B$205,0))&amp;"","Add it to Materials"))</f>
        <v/>
      </c>
      <c r="F49" s="22">
        <f>IF(OR(C49="",E49="Add it to Materials"),"",N(D49)*INDEX(Materials!$F$6:$F$205,MATCH(C49,Materials!$B$6:$B$205,0)))</f>
        <v/>
      </c>
      <c r="G49" s="39">
        <f>IF(OR(B49="",C49=""),"",N(D49)*SUMIFS(Orders!$W$6:$W$1005,Orders!$D$6:$D$1005,B49))</f>
        <v/>
      </c>
      <c r="H49" s="1" t="n"/>
    </row>
    <row r="50">
      <c r="A50" s="1" t="n"/>
      <c r="B50" s="33" t="n"/>
      <c r="C50" s="33" t="n"/>
      <c r="D50" s="36" t="n"/>
      <c r="E50" s="19">
        <f>IF(C50="","",IFERROR(INDEX(Materials!$C$6:$C$205,MATCH(C50,Materials!$B$6:$B$205,0))&amp;"","Add it to Materials"))</f>
        <v/>
      </c>
      <c r="F50" s="22">
        <f>IF(OR(C50="",E50="Add it to Materials"),"",N(D50)*INDEX(Materials!$F$6:$F$205,MATCH(C50,Materials!$B$6:$B$205,0)))</f>
        <v/>
      </c>
      <c r="G50" s="39">
        <f>IF(OR(B50="",C50=""),"",N(D50)*SUMIFS(Orders!$W$6:$W$1005,Orders!$D$6:$D$1005,B50))</f>
        <v/>
      </c>
      <c r="H50" s="1" t="n"/>
    </row>
    <row r="51">
      <c r="A51" s="1" t="n"/>
      <c r="B51" s="33" t="n"/>
      <c r="C51" s="33" t="n"/>
      <c r="D51" s="36" t="n"/>
      <c r="E51" s="19">
        <f>IF(C51="","",IFERROR(INDEX(Materials!$C$6:$C$205,MATCH(C51,Materials!$B$6:$B$205,0))&amp;"","Add it to Materials"))</f>
        <v/>
      </c>
      <c r="F51" s="22">
        <f>IF(OR(C51="",E51="Add it to Materials"),"",N(D51)*INDEX(Materials!$F$6:$F$205,MATCH(C51,Materials!$B$6:$B$205,0)))</f>
        <v/>
      </c>
      <c r="G51" s="39">
        <f>IF(OR(B51="",C51=""),"",N(D51)*SUMIFS(Orders!$W$6:$W$1005,Orders!$D$6:$D$1005,B51))</f>
        <v/>
      </c>
      <c r="H51" s="1" t="n"/>
    </row>
    <row r="52">
      <c r="A52" s="1" t="n"/>
      <c r="B52" s="33" t="n"/>
      <c r="C52" s="33" t="n"/>
      <c r="D52" s="36" t="n"/>
      <c r="E52" s="19">
        <f>IF(C52="","",IFERROR(INDEX(Materials!$C$6:$C$205,MATCH(C52,Materials!$B$6:$B$205,0))&amp;"","Add it to Materials"))</f>
        <v/>
      </c>
      <c r="F52" s="22">
        <f>IF(OR(C52="",E52="Add it to Materials"),"",N(D52)*INDEX(Materials!$F$6:$F$205,MATCH(C52,Materials!$B$6:$B$205,0)))</f>
        <v/>
      </c>
      <c r="G52" s="39">
        <f>IF(OR(B52="",C52=""),"",N(D52)*SUMIFS(Orders!$W$6:$W$1005,Orders!$D$6:$D$1005,B52))</f>
        <v/>
      </c>
      <c r="H52" s="1" t="n"/>
    </row>
    <row r="53">
      <c r="A53" s="1" t="n"/>
      <c r="B53" s="33" t="n"/>
      <c r="C53" s="33" t="n"/>
      <c r="D53" s="36" t="n"/>
      <c r="E53" s="19">
        <f>IF(C53="","",IFERROR(INDEX(Materials!$C$6:$C$205,MATCH(C53,Materials!$B$6:$B$205,0))&amp;"","Add it to Materials"))</f>
        <v/>
      </c>
      <c r="F53" s="22">
        <f>IF(OR(C53="",E53="Add it to Materials"),"",N(D53)*INDEX(Materials!$F$6:$F$205,MATCH(C53,Materials!$B$6:$B$205,0)))</f>
        <v/>
      </c>
      <c r="G53" s="39">
        <f>IF(OR(B53="",C53=""),"",N(D53)*SUMIFS(Orders!$W$6:$W$1005,Orders!$D$6:$D$1005,B53))</f>
        <v/>
      </c>
      <c r="H53" s="1" t="n"/>
    </row>
    <row r="54">
      <c r="A54" s="1" t="n"/>
      <c r="B54" s="33" t="n"/>
      <c r="C54" s="33" t="n"/>
      <c r="D54" s="36" t="n"/>
      <c r="E54" s="19">
        <f>IF(C54="","",IFERROR(INDEX(Materials!$C$6:$C$205,MATCH(C54,Materials!$B$6:$B$205,0))&amp;"","Add it to Materials"))</f>
        <v/>
      </c>
      <c r="F54" s="22">
        <f>IF(OR(C54="",E54="Add it to Materials"),"",N(D54)*INDEX(Materials!$F$6:$F$205,MATCH(C54,Materials!$B$6:$B$205,0)))</f>
        <v/>
      </c>
      <c r="G54" s="39">
        <f>IF(OR(B54="",C54=""),"",N(D54)*SUMIFS(Orders!$W$6:$W$1005,Orders!$D$6:$D$1005,B54))</f>
        <v/>
      </c>
      <c r="H54" s="1" t="n"/>
    </row>
    <row r="55">
      <c r="A55" s="1" t="n"/>
      <c r="B55" s="33" t="n"/>
      <c r="C55" s="33" t="n"/>
      <c r="D55" s="36" t="n"/>
      <c r="E55" s="19">
        <f>IF(C55="","",IFERROR(INDEX(Materials!$C$6:$C$205,MATCH(C55,Materials!$B$6:$B$205,0))&amp;"","Add it to Materials"))</f>
        <v/>
      </c>
      <c r="F55" s="22">
        <f>IF(OR(C55="",E55="Add it to Materials"),"",N(D55)*INDEX(Materials!$F$6:$F$205,MATCH(C55,Materials!$B$6:$B$205,0)))</f>
        <v/>
      </c>
      <c r="G55" s="39">
        <f>IF(OR(B55="",C55=""),"",N(D55)*SUMIFS(Orders!$W$6:$W$1005,Orders!$D$6:$D$1005,B55))</f>
        <v/>
      </c>
      <c r="H55" s="1" t="n"/>
    </row>
    <row r="56">
      <c r="A56" s="1" t="n"/>
      <c r="B56" s="33" t="n"/>
      <c r="C56" s="33" t="n"/>
      <c r="D56" s="36" t="n"/>
      <c r="E56" s="19">
        <f>IF(C56="","",IFERROR(INDEX(Materials!$C$6:$C$205,MATCH(C56,Materials!$B$6:$B$205,0))&amp;"","Add it to Materials"))</f>
        <v/>
      </c>
      <c r="F56" s="22">
        <f>IF(OR(C56="",E56="Add it to Materials"),"",N(D56)*INDEX(Materials!$F$6:$F$205,MATCH(C56,Materials!$B$6:$B$205,0)))</f>
        <v/>
      </c>
      <c r="G56" s="39">
        <f>IF(OR(B56="",C56=""),"",N(D56)*SUMIFS(Orders!$W$6:$W$1005,Orders!$D$6:$D$1005,B56))</f>
        <v/>
      </c>
      <c r="H56" s="1" t="n"/>
    </row>
    <row r="57">
      <c r="A57" s="1" t="n"/>
      <c r="B57" s="33" t="n"/>
      <c r="C57" s="33" t="n"/>
      <c r="D57" s="36" t="n"/>
      <c r="E57" s="19">
        <f>IF(C57="","",IFERROR(INDEX(Materials!$C$6:$C$205,MATCH(C57,Materials!$B$6:$B$205,0))&amp;"","Add it to Materials"))</f>
        <v/>
      </c>
      <c r="F57" s="22">
        <f>IF(OR(C57="",E57="Add it to Materials"),"",N(D57)*INDEX(Materials!$F$6:$F$205,MATCH(C57,Materials!$B$6:$B$205,0)))</f>
        <v/>
      </c>
      <c r="G57" s="39">
        <f>IF(OR(B57="",C57=""),"",N(D57)*SUMIFS(Orders!$W$6:$W$1005,Orders!$D$6:$D$1005,B57))</f>
        <v/>
      </c>
      <c r="H57" s="1" t="n"/>
    </row>
    <row r="58">
      <c r="A58" s="1" t="n"/>
      <c r="B58" s="33" t="n"/>
      <c r="C58" s="33" t="n"/>
      <c r="D58" s="36" t="n"/>
      <c r="E58" s="19">
        <f>IF(C58="","",IFERROR(INDEX(Materials!$C$6:$C$205,MATCH(C58,Materials!$B$6:$B$205,0))&amp;"","Add it to Materials"))</f>
        <v/>
      </c>
      <c r="F58" s="22">
        <f>IF(OR(C58="",E58="Add it to Materials"),"",N(D58)*INDEX(Materials!$F$6:$F$205,MATCH(C58,Materials!$B$6:$B$205,0)))</f>
        <v/>
      </c>
      <c r="G58" s="39">
        <f>IF(OR(B58="",C58=""),"",N(D58)*SUMIFS(Orders!$W$6:$W$1005,Orders!$D$6:$D$1005,B58))</f>
        <v/>
      </c>
      <c r="H58" s="1" t="n"/>
    </row>
    <row r="59">
      <c r="A59" s="1" t="n"/>
      <c r="B59" s="33" t="n"/>
      <c r="C59" s="33" t="n"/>
      <c r="D59" s="36" t="n"/>
      <c r="E59" s="19">
        <f>IF(C59="","",IFERROR(INDEX(Materials!$C$6:$C$205,MATCH(C59,Materials!$B$6:$B$205,0))&amp;"","Add it to Materials"))</f>
        <v/>
      </c>
      <c r="F59" s="22">
        <f>IF(OR(C59="",E59="Add it to Materials"),"",N(D59)*INDEX(Materials!$F$6:$F$205,MATCH(C59,Materials!$B$6:$B$205,0)))</f>
        <v/>
      </c>
      <c r="G59" s="39">
        <f>IF(OR(B59="",C59=""),"",N(D59)*SUMIFS(Orders!$W$6:$W$1005,Orders!$D$6:$D$1005,B59))</f>
        <v/>
      </c>
      <c r="H59" s="1" t="n"/>
    </row>
    <row r="60">
      <c r="A60" s="1" t="n"/>
      <c r="B60" s="33" t="n"/>
      <c r="C60" s="33" t="n"/>
      <c r="D60" s="36" t="n"/>
      <c r="E60" s="19">
        <f>IF(C60="","",IFERROR(INDEX(Materials!$C$6:$C$205,MATCH(C60,Materials!$B$6:$B$205,0))&amp;"","Add it to Materials"))</f>
        <v/>
      </c>
      <c r="F60" s="22">
        <f>IF(OR(C60="",E60="Add it to Materials"),"",N(D60)*INDEX(Materials!$F$6:$F$205,MATCH(C60,Materials!$B$6:$B$205,0)))</f>
        <v/>
      </c>
      <c r="G60" s="39">
        <f>IF(OR(B60="",C60=""),"",N(D60)*SUMIFS(Orders!$W$6:$W$1005,Orders!$D$6:$D$1005,B60))</f>
        <v/>
      </c>
      <c r="H60" s="1" t="n"/>
    </row>
    <row r="61">
      <c r="A61" s="1" t="n"/>
      <c r="B61" s="33" t="n"/>
      <c r="C61" s="33" t="n"/>
      <c r="D61" s="36" t="n"/>
      <c r="E61" s="19">
        <f>IF(C61="","",IFERROR(INDEX(Materials!$C$6:$C$205,MATCH(C61,Materials!$B$6:$B$205,0))&amp;"","Add it to Materials"))</f>
        <v/>
      </c>
      <c r="F61" s="22">
        <f>IF(OR(C61="",E61="Add it to Materials"),"",N(D61)*INDEX(Materials!$F$6:$F$205,MATCH(C61,Materials!$B$6:$B$205,0)))</f>
        <v/>
      </c>
      <c r="G61" s="39">
        <f>IF(OR(B61="",C61=""),"",N(D61)*SUMIFS(Orders!$W$6:$W$1005,Orders!$D$6:$D$1005,B61))</f>
        <v/>
      </c>
      <c r="H61" s="1" t="n"/>
    </row>
    <row r="62">
      <c r="A62" s="1" t="n"/>
      <c r="B62" s="33" t="n"/>
      <c r="C62" s="33" t="n"/>
      <c r="D62" s="36" t="n"/>
      <c r="E62" s="19">
        <f>IF(C62="","",IFERROR(INDEX(Materials!$C$6:$C$205,MATCH(C62,Materials!$B$6:$B$205,0))&amp;"","Add it to Materials"))</f>
        <v/>
      </c>
      <c r="F62" s="22">
        <f>IF(OR(C62="",E62="Add it to Materials"),"",N(D62)*INDEX(Materials!$F$6:$F$205,MATCH(C62,Materials!$B$6:$B$205,0)))</f>
        <v/>
      </c>
      <c r="G62" s="39">
        <f>IF(OR(B62="",C62=""),"",N(D62)*SUMIFS(Orders!$W$6:$W$1005,Orders!$D$6:$D$1005,B62))</f>
        <v/>
      </c>
      <c r="H62" s="1" t="n"/>
    </row>
    <row r="63">
      <c r="A63" s="1" t="n"/>
      <c r="B63" s="33" t="n"/>
      <c r="C63" s="33" t="n"/>
      <c r="D63" s="36" t="n"/>
      <c r="E63" s="19">
        <f>IF(C63="","",IFERROR(INDEX(Materials!$C$6:$C$205,MATCH(C63,Materials!$B$6:$B$205,0))&amp;"","Add it to Materials"))</f>
        <v/>
      </c>
      <c r="F63" s="22">
        <f>IF(OR(C63="",E63="Add it to Materials"),"",N(D63)*INDEX(Materials!$F$6:$F$205,MATCH(C63,Materials!$B$6:$B$205,0)))</f>
        <v/>
      </c>
      <c r="G63" s="39">
        <f>IF(OR(B63="",C63=""),"",N(D63)*SUMIFS(Orders!$W$6:$W$1005,Orders!$D$6:$D$1005,B63))</f>
        <v/>
      </c>
      <c r="H63" s="1" t="n"/>
    </row>
    <row r="64">
      <c r="A64" s="1" t="n"/>
      <c r="B64" s="33" t="n"/>
      <c r="C64" s="33" t="n"/>
      <c r="D64" s="36" t="n"/>
      <c r="E64" s="19">
        <f>IF(C64="","",IFERROR(INDEX(Materials!$C$6:$C$205,MATCH(C64,Materials!$B$6:$B$205,0))&amp;"","Add it to Materials"))</f>
        <v/>
      </c>
      <c r="F64" s="22">
        <f>IF(OR(C64="",E64="Add it to Materials"),"",N(D64)*INDEX(Materials!$F$6:$F$205,MATCH(C64,Materials!$B$6:$B$205,0)))</f>
        <v/>
      </c>
      <c r="G64" s="39">
        <f>IF(OR(B64="",C64=""),"",N(D64)*SUMIFS(Orders!$W$6:$W$1005,Orders!$D$6:$D$1005,B64))</f>
        <v/>
      </c>
      <c r="H64" s="1" t="n"/>
    </row>
    <row r="65">
      <c r="A65" s="1" t="n"/>
      <c r="B65" s="33" t="n"/>
      <c r="C65" s="33" t="n"/>
      <c r="D65" s="36" t="n"/>
      <c r="E65" s="19">
        <f>IF(C65="","",IFERROR(INDEX(Materials!$C$6:$C$205,MATCH(C65,Materials!$B$6:$B$205,0))&amp;"","Add it to Materials"))</f>
        <v/>
      </c>
      <c r="F65" s="22">
        <f>IF(OR(C65="",E65="Add it to Materials"),"",N(D65)*INDEX(Materials!$F$6:$F$205,MATCH(C65,Materials!$B$6:$B$205,0)))</f>
        <v/>
      </c>
      <c r="G65" s="39">
        <f>IF(OR(B65="",C65=""),"",N(D65)*SUMIFS(Orders!$W$6:$W$1005,Orders!$D$6:$D$1005,B65))</f>
        <v/>
      </c>
      <c r="H65" s="1" t="n"/>
    </row>
    <row r="66">
      <c r="A66" s="1" t="n"/>
      <c r="B66" s="33" t="n"/>
      <c r="C66" s="33" t="n"/>
      <c r="D66" s="36" t="n"/>
      <c r="E66" s="19">
        <f>IF(C66="","",IFERROR(INDEX(Materials!$C$6:$C$205,MATCH(C66,Materials!$B$6:$B$205,0))&amp;"","Add it to Materials"))</f>
        <v/>
      </c>
      <c r="F66" s="22">
        <f>IF(OR(C66="",E66="Add it to Materials"),"",N(D66)*INDEX(Materials!$F$6:$F$205,MATCH(C66,Materials!$B$6:$B$205,0)))</f>
        <v/>
      </c>
      <c r="G66" s="39">
        <f>IF(OR(B66="",C66=""),"",N(D66)*SUMIFS(Orders!$W$6:$W$1005,Orders!$D$6:$D$1005,B66))</f>
        <v/>
      </c>
      <c r="H66" s="1" t="n"/>
    </row>
    <row r="67">
      <c r="A67" s="1" t="n"/>
      <c r="B67" s="33" t="n"/>
      <c r="C67" s="33" t="n"/>
      <c r="D67" s="36" t="n"/>
      <c r="E67" s="19">
        <f>IF(C67="","",IFERROR(INDEX(Materials!$C$6:$C$205,MATCH(C67,Materials!$B$6:$B$205,0))&amp;"","Add it to Materials"))</f>
        <v/>
      </c>
      <c r="F67" s="22">
        <f>IF(OR(C67="",E67="Add it to Materials"),"",N(D67)*INDEX(Materials!$F$6:$F$205,MATCH(C67,Materials!$B$6:$B$205,0)))</f>
        <v/>
      </c>
      <c r="G67" s="39">
        <f>IF(OR(B67="",C67=""),"",N(D67)*SUMIFS(Orders!$W$6:$W$1005,Orders!$D$6:$D$1005,B67))</f>
        <v/>
      </c>
      <c r="H67" s="1" t="n"/>
    </row>
    <row r="68">
      <c r="A68" s="1" t="n"/>
      <c r="B68" s="33" t="n"/>
      <c r="C68" s="33" t="n"/>
      <c r="D68" s="36" t="n"/>
      <c r="E68" s="19">
        <f>IF(C68="","",IFERROR(INDEX(Materials!$C$6:$C$205,MATCH(C68,Materials!$B$6:$B$205,0))&amp;"","Add it to Materials"))</f>
        <v/>
      </c>
      <c r="F68" s="22">
        <f>IF(OR(C68="",E68="Add it to Materials"),"",N(D68)*INDEX(Materials!$F$6:$F$205,MATCH(C68,Materials!$B$6:$B$205,0)))</f>
        <v/>
      </c>
      <c r="G68" s="39">
        <f>IF(OR(B68="",C68=""),"",N(D68)*SUMIFS(Orders!$W$6:$W$1005,Orders!$D$6:$D$1005,B68))</f>
        <v/>
      </c>
      <c r="H68" s="1" t="n"/>
    </row>
    <row r="69">
      <c r="A69" s="1" t="n"/>
      <c r="B69" s="33" t="n"/>
      <c r="C69" s="33" t="n"/>
      <c r="D69" s="36" t="n"/>
      <c r="E69" s="19">
        <f>IF(C69="","",IFERROR(INDEX(Materials!$C$6:$C$205,MATCH(C69,Materials!$B$6:$B$205,0))&amp;"","Add it to Materials"))</f>
        <v/>
      </c>
      <c r="F69" s="22">
        <f>IF(OR(C69="",E69="Add it to Materials"),"",N(D69)*INDEX(Materials!$F$6:$F$205,MATCH(C69,Materials!$B$6:$B$205,0)))</f>
        <v/>
      </c>
      <c r="G69" s="39">
        <f>IF(OR(B69="",C69=""),"",N(D69)*SUMIFS(Orders!$W$6:$W$1005,Orders!$D$6:$D$1005,B69))</f>
        <v/>
      </c>
      <c r="H69" s="1" t="n"/>
    </row>
    <row r="70">
      <c r="A70" s="1" t="n"/>
      <c r="B70" s="33" t="n"/>
      <c r="C70" s="33" t="n"/>
      <c r="D70" s="36" t="n"/>
      <c r="E70" s="19">
        <f>IF(C70="","",IFERROR(INDEX(Materials!$C$6:$C$205,MATCH(C70,Materials!$B$6:$B$205,0))&amp;"","Add it to Materials"))</f>
        <v/>
      </c>
      <c r="F70" s="22">
        <f>IF(OR(C70="",E70="Add it to Materials"),"",N(D70)*INDEX(Materials!$F$6:$F$205,MATCH(C70,Materials!$B$6:$B$205,0)))</f>
        <v/>
      </c>
      <c r="G70" s="39">
        <f>IF(OR(B70="",C70=""),"",N(D70)*SUMIFS(Orders!$W$6:$W$1005,Orders!$D$6:$D$1005,B70))</f>
        <v/>
      </c>
      <c r="H70" s="1" t="n"/>
    </row>
    <row r="71">
      <c r="A71" s="1" t="n"/>
      <c r="B71" s="33" t="n"/>
      <c r="C71" s="33" t="n"/>
      <c r="D71" s="36" t="n"/>
      <c r="E71" s="19">
        <f>IF(C71="","",IFERROR(INDEX(Materials!$C$6:$C$205,MATCH(C71,Materials!$B$6:$B$205,0))&amp;"","Add it to Materials"))</f>
        <v/>
      </c>
      <c r="F71" s="22">
        <f>IF(OR(C71="",E71="Add it to Materials"),"",N(D71)*INDEX(Materials!$F$6:$F$205,MATCH(C71,Materials!$B$6:$B$205,0)))</f>
        <v/>
      </c>
      <c r="G71" s="39">
        <f>IF(OR(B71="",C71=""),"",N(D71)*SUMIFS(Orders!$W$6:$W$1005,Orders!$D$6:$D$1005,B71))</f>
        <v/>
      </c>
      <c r="H71" s="1" t="n"/>
    </row>
    <row r="72">
      <c r="A72" s="1" t="n"/>
      <c r="B72" s="33" t="n"/>
      <c r="C72" s="33" t="n"/>
      <c r="D72" s="36" t="n"/>
      <c r="E72" s="19">
        <f>IF(C72="","",IFERROR(INDEX(Materials!$C$6:$C$205,MATCH(C72,Materials!$B$6:$B$205,0))&amp;"","Add it to Materials"))</f>
        <v/>
      </c>
      <c r="F72" s="22">
        <f>IF(OR(C72="",E72="Add it to Materials"),"",N(D72)*INDEX(Materials!$F$6:$F$205,MATCH(C72,Materials!$B$6:$B$205,0)))</f>
        <v/>
      </c>
      <c r="G72" s="39">
        <f>IF(OR(B72="",C72=""),"",N(D72)*SUMIFS(Orders!$W$6:$W$1005,Orders!$D$6:$D$1005,B72))</f>
        <v/>
      </c>
      <c r="H72" s="1" t="n"/>
    </row>
    <row r="73">
      <c r="A73" s="1" t="n"/>
      <c r="B73" s="33" t="n"/>
      <c r="C73" s="33" t="n"/>
      <c r="D73" s="36" t="n"/>
      <c r="E73" s="19">
        <f>IF(C73="","",IFERROR(INDEX(Materials!$C$6:$C$205,MATCH(C73,Materials!$B$6:$B$205,0))&amp;"","Add it to Materials"))</f>
        <v/>
      </c>
      <c r="F73" s="22">
        <f>IF(OR(C73="",E73="Add it to Materials"),"",N(D73)*INDEX(Materials!$F$6:$F$205,MATCH(C73,Materials!$B$6:$B$205,0)))</f>
        <v/>
      </c>
      <c r="G73" s="39">
        <f>IF(OR(B73="",C73=""),"",N(D73)*SUMIFS(Orders!$W$6:$W$1005,Orders!$D$6:$D$1005,B73))</f>
        <v/>
      </c>
      <c r="H73" s="1" t="n"/>
    </row>
    <row r="74">
      <c r="A74" s="1" t="n"/>
      <c r="B74" s="33" t="n"/>
      <c r="C74" s="33" t="n"/>
      <c r="D74" s="36" t="n"/>
      <c r="E74" s="19">
        <f>IF(C74="","",IFERROR(INDEX(Materials!$C$6:$C$205,MATCH(C74,Materials!$B$6:$B$205,0))&amp;"","Add it to Materials"))</f>
        <v/>
      </c>
      <c r="F74" s="22">
        <f>IF(OR(C74="",E74="Add it to Materials"),"",N(D74)*INDEX(Materials!$F$6:$F$205,MATCH(C74,Materials!$B$6:$B$205,0)))</f>
        <v/>
      </c>
      <c r="G74" s="39">
        <f>IF(OR(B74="",C74=""),"",N(D74)*SUMIFS(Orders!$W$6:$W$1005,Orders!$D$6:$D$1005,B74))</f>
        <v/>
      </c>
      <c r="H74" s="1" t="n"/>
    </row>
    <row r="75">
      <c r="A75" s="1" t="n"/>
      <c r="B75" s="33" t="n"/>
      <c r="C75" s="33" t="n"/>
      <c r="D75" s="36" t="n"/>
      <c r="E75" s="19">
        <f>IF(C75="","",IFERROR(INDEX(Materials!$C$6:$C$205,MATCH(C75,Materials!$B$6:$B$205,0))&amp;"","Add it to Materials"))</f>
        <v/>
      </c>
      <c r="F75" s="22">
        <f>IF(OR(C75="",E75="Add it to Materials"),"",N(D75)*INDEX(Materials!$F$6:$F$205,MATCH(C75,Materials!$B$6:$B$205,0)))</f>
        <v/>
      </c>
      <c r="G75" s="39">
        <f>IF(OR(B75="",C75=""),"",N(D75)*SUMIFS(Orders!$W$6:$W$1005,Orders!$D$6:$D$1005,B75))</f>
        <v/>
      </c>
      <c r="H75" s="1" t="n"/>
    </row>
    <row r="76">
      <c r="A76" s="1" t="n"/>
      <c r="B76" s="33" t="n"/>
      <c r="C76" s="33" t="n"/>
      <c r="D76" s="36" t="n"/>
      <c r="E76" s="19">
        <f>IF(C76="","",IFERROR(INDEX(Materials!$C$6:$C$205,MATCH(C76,Materials!$B$6:$B$205,0))&amp;"","Add it to Materials"))</f>
        <v/>
      </c>
      <c r="F76" s="22">
        <f>IF(OR(C76="",E76="Add it to Materials"),"",N(D76)*INDEX(Materials!$F$6:$F$205,MATCH(C76,Materials!$B$6:$B$205,0)))</f>
        <v/>
      </c>
      <c r="G76" s="39">
        <f>IF(OR(B76="",C76=""),"",N(D76)*SUMIFS(Orders!$W$6:$W$1005,Orders!$D$6:$D$1005,B76))</f>
        <v/>
      </c>
      <c r="H76" s="1" t="n"/>
    </row>
    <row r="77">
      <c r="A77" s="1" t="n"/>
      <c r="B77" s="33" t="n"/>
      <c r="C77" s="33" t="n"/>
      <c r="D77" s="36" t="n"/>
      <c r="E77" s="19">
        <f>IF(C77="","",IFERROR(INDEX(Materials!$C$6:$C$205,MATCH(C77,Materials!$B$6:$B$205,0))&amp;"","Add it to Materials"))</f>
        <v/>
      </c>
      <c r="F77" s="22">
        <f>IF(OR(C77="",E77="Add it to Materials"),"",N(D77)*INDEX(Materials!$F$6:$F$205,MATCH(C77,Materials!$B$6:$B$205,0)))</f>
        <v/>
      </c>
      <c r="G77" s="39">
        <f>IF(OR(B77="",C77=""),"",N(D77)*SUMIFS(Orders!$W$6:$W$1005,Orders!$D$6:$D$1005,B77))</f>
        <v/>
      </c>
      <c r="H77" s="1" t="n"/>
    </row>
    <row r="78">
      <c r="A78" s="1" t="n"/>
      <c r="B78" s="33" t="n"/>
      <c r="C78" s="33" t="n"/>
      <c r="D78" s="36" t="n"/>
      <c r="E78" s="19">
        <f>IF(C78="","",IFERROR(INDEX(Materials!$C$6:$C$205,MATCH(C78,Materials!$B$6:$B$205,0))&amp;"","Add it to Materials"))</f>
        <v/>
      </c>
      <c r="F78" s="22">
        <f>IF(OR(C78="",E78="Add it to Materials"),"",N(D78)*INDEX(Materials!$F$6:$F$205,MATCH(C78,Materials!$B$6:$B$205,0)))</f>
        <v/>
      </c>
      <c r="G78" s="39">
        <f>IF(OR(B78="",C78=""),"",N(D78)*SUMIFS(Orders!$W$6:$W$1005,Orders!$D$6:$D$1005,B78))</f>
        <v/>
      </c>
      <c r="H78" s="1" t="n"/>
    </row>
    <row r="79">
      <c r="A79" s="1" t="n"/>
      <c r="B79" s="33" t="n"/>
      <c r="C79" s="33" t="n"/>
      <c r="D79" s="36" t="n"/>
      <c r="E79" s="19">
        <f>IF(C79="","",IFERROR(INDEX(Materials!$C$6:$C$205,MATCH(C79,Materials!$B$6:$B$205,0))&amp;"","Add it to Materials"))</f>
        <v/>
      </c>
      <c r="F79" s="22">
        <f>IF(OR(C79="",E79="Add it to Materials"),"",N(D79)*INDEX(Materials!$F$6:$F$205,MATCH(C79,Materials!$B$6:$B$205,0)))</f>
        <v/>
      </c>
      <c r="G79" s="39">
        <f>IF(OR(B79="",C79=""),"",N(D79)*SUMIFS(Orders!$W$6:$W$1005,Orders!$D$6:$D$1005,B79))</f>
        <v/>
      </c>
      <c r="H79" s="1" t="n"/>
    </row>
    <row r="80">
      <c r="A80" s="1" t="n"/>
      <c r="B80" s="33" t="n"/>
      <c r="C80" s="33" t="n"/>
      <c r="D80" s="36" t="n"/>
      <c r="E80" s="19">
        <f>IF(C80="","",IFERROR(INDEX(Materials!$C$6:$C$205,MATCH(C80,Materials!$B$6:$B$205,0))&amp;"","Add it to Materials"))</f>
        <v/>
      </c>
      <c r="F80" s="22">
        <f>IF(OR(C80="",E80="Add it to Materials"),"",N(D80)*INDEX(Materials!$F$6:$F$205,MATCH(C80,Materials!$B$6:$B$205,0)))</f>
        <v/>
      </c>
      <c r="G80" s="39">
        <f>IF(OR(B80="",C80=""),"",N(D80)*SUMIFS(Orders!$W$6:$W$1005,Orders!$D$6:$D$1005,B80))</f>
        <v/>
      </c>
      <c r="H80" s="1" t="n"/>
    </row>
    <row r="81">
      <c r="A81" s="1" t="n"/>
      <c r="B81" s="33" t="n"/>
      <c r="C81" s="33" t="n"/>
      <c r="D81" s="36" t="n"/>
      <c r="E81" s="19">
        <f>IF(C81="","",IFERROR(INDEX(Materials!$C$6:$C$205,MATCH(C81,Materials!$B$6:$B$205,0))&amp;"","Add it to Materials"))</f>
        <v/>
      </c>
      <c r="F81" s="22">
        <f>IF(OR(C81="",E81="Add it to Materials"),"",N(D81)*INDEX(Materials!$F$6:$F$205,MATCH(C81,Materials!$B$6:$B$205,0)))</f>
        <v/>
      </c>
      <c r="G81" s="39">
        <f>IF(OR(B81="",C81=""),"",N(D81)*SUMIFS(Orders!$W$6:$W$1005,Orders!$D$6:$D$1005,B81))</f>
        <v/>
      </c>
      <c r="H81" s="1" t="n"/>
    </row>
    <row r="82">
      <c r="A82" s="1" t="n"/>
      <c r="B82" s="33" t="n"/>
      <c r="C82" s="33" t="n"/>
      <c r="D82" s="36" t="n"/>
      <c r="E82" s="19">
        <f>IF(C82="","",IFERROR(INDEX(Materials!$C$6:$C$205,MATCH(C82,Materials!$B$6:$B$205,0))&amp;"","Add it to Materials"))</f>
        <v/>
      </c>
      <c r="F82" s="22">
        <f>IF(OR(C82="",E82="Add it to Materials"),"",N(D82)*INDEX(Materials!$F$6:$F$205,MATCH(C82,Materials!$B$6:$B$205,0)))</f>
        <v/>
      </c>
      <c r="G82" s="39">
        <f>IF(OR(B82="",C82=""),"",N(D82)*SUMIFS(Orders!$W$6:$W$1005,Orders!$D$6:$D$1005,B82))</f>
        <v/>
      </c>
      <c r="H82" s="1" t="n"/>
    </row>
    <row r="83">
      <c r="A83" s="1" t="n"/>
      <c r="B83" s="33" t="n"/>
      <c r="C83" s="33" t="n"/>
      <c r="D83" s="36" t="n"/>
      <c r="E83" s="19">
        <f>IF(C83="","",IFERROR(INDEX(Materials!$C$6:$C$205,MATCH(C83,Materials!$B$6:$B$205,0))&amp;"","Add it to Materials"))</f>
        <v/>
      </c>
      <c r="F83" s="22">
        <f>IF(OR(C83="",E83="Add it to Materials"),"",N(D83)*INDEX(Materials!$F$6:$F$205,MATCH(C83,Materials!$B$6:$B$205,0)))</f>
        <v/>
      </c>
      <c r="G83" s="39">
        <f>IF(OR(B83="",C83=""),"",N(D83)*SUMIFS(Orders!$W$6:$W$1005,Orders!$D$6:$D$1005,B83))</f>
        <v/>
      </c>
      <c r="H83" s="1" t="n"/>
    </row>
    <row r="84">
      <c r="A84" s="1" t="n"/>
      <c r="B84" s="33" t="n"/>
      <c r="C84" s="33" t="n"/>
      <c r="D84" s="36" t="n"/>
      <c r="E84" s="19">
        <f>IF(C84="","",IFERROR(INDEX(Materials!$C$6:$C$205,MATCH(C84,Materials!$B$6:$B$205,0))&amp;"","Add it to Materials"))</f>
        <v/>
      </c>
      <c r="F84" s="22">
        <f>IF(OR(C84="",E84="Add it to Materials"),"",N(D84)*INDEX(Materials!$F$6:$F$205,MATCH(C84,Materials!$B$6:$B$205,0)))</f>
        <v/>
      </c>
      <c r="G84" s="39">
        <f>IF(OR(B84="",C84=""),"",N(D84)*SUMIFS(Orders!$W$6:$W$1005,Orders!$D$6:$D$1005,B84))</f>
        <v/>
      </c>
      <c r="H84" s="1" t="n"/>
    </row>
    <row r="85">
      <c r="A85" s="1" t="n"/>
      <c r="B85" s="33" t="n"/>
      <c r="C85" s="33" t="n"/>
      <c r="D85" s="36" t="n"/>
      <c r="E85" s="19">
        <f>IF(C85="","",IFERROR(INDEX(Materials!$C$6:$C$205,MATCH(C85,Materials!$B$6:$B$205,0))&amp;"","Add it to Materials"))</f>
        <v/>
      </c>
      <c r="F85" s="22">
        <f>IF(OR(C85="",E85="Add it to Materials"),"",N(D85)*INDEX(Materials!$F$6:$F$205,MATCH(C85,Materials!$B$6:$B$205,0)))</f>
        <v/>
      </c>
      <c r="G85" s="39">
        <f>IF(OR(B85="",C85=""),"",N(D85)*SUMIFS(Orders!$W$6:$W$1005,Orders!$D$6:$D$1005,B85))</f>
        <v/>
      </c>
      <c r="H85" s="1" t="n"/>
    </row>
    <row r="86">
      <c r="A86" s="1" t="n"/>
      <c r="B86" s="33" t="n"/>
      <c r="C86" s="33" t="n"/>
      <c r="D86" s="36" t="n"/>
      <c r="E86" s="19">
        <f>IF(C86="","",IFERROR(INDEX(Materials!$C$6:$C$205,MATCH(C86,Materials!$B$6:$B$205,0))&amp;"","Add it to Materials"))</f>
        <v/>
      </c>
      <c r="F86" s="22">
        <f>IF(OR(C86="",E86="Add it to Materials"),"",N(D86)*INDEX(Materials!$F$6:$F$205,MATCH(C86,Materials!$B$6:$B$205,0)))</f>
        <v/>
      </c>
      <c r="G86" s="39">
        <f>IF(OR(B86="",C86=""),"",N(D86)*SUMIFS(Orders!$W$6:$W$1005,Orders!$D$6:$D$1005,B86))</f>
        <v/>
      </c>
      <c r="H86" s="1" t="n"/>
    </row>
    <row r="87">
      <c r="A87" s="1" t="n"/>
      <c r="B87" s="33" t="n"/>
      <c r="C87" s="33" t="n"/>
      <c r="D87" s="36" t="n"/>
      <c r="E87" s="19">
        <f>IF(C87="","",IFERROR(INDEX(Materials!$C$6:$C$205,MATCH(C87,Materials!$B$6:$B$205,0))&amp;"","Add it to Materials"))</f>
        <v/>
      </c>
      <c r="F87" s="22">
        <f>IF(OR(C87="",E87="Add it to Materials"),"",N(D87)*INDEX(Materials!$F$6:$F$205,MATCH(C87,Materials!$B$6:$B$205,0)))</f>
        <v/>
      </c>
      <c r="G87" s="39">
        <f>IF(OR(B87="",C87=""),"",N(D87)*SUMIFS(Orders!$W$6:$W$1005,Orders!$D$6:$D$1005,B87))</f>
        <v/>
      </c>
      <c r="H87" s="1" t="n"/>
    </row>
    <row r="88">
      <c r="A88" s="1" t="n"/>
      <c r="B88" s="33" t="n"/>
      <c r="C88" s="33" t="n"/>
      <c r="D88" s="36" t="n"/>
      <c r="E88" s="19">
        <f>IF(C88="","",IFERROR(INDEX(Materials!$C$6:$C$205,MATCH(C88,Materials!$B$6:$B$205,0))&amp;"","Add it to Materials"))</f>
        <v/>
      </c>
      <c r="F88" s="22">
        <f>IF(OR(C88="",E88="Add it to Materials"),"",N(D88)*INDEX(Materials!$F$6:$F$205,MATCH(C88,Materials!$B$6:$B$205,0)))</f>
        <v/>
      </c>
      <c r="G88" s="39">
        <f>IF(OR(B88="",C88=""),"",N(D88)*SUMIFS(Orders!$W$6:$W$1005,Orders!$D$6:$D$1005,B88))</f>
        <v/>
      </c>
      <c r="H88" s="1" t="n"/>
    </row>
    <row r="89">
      <c r="A89" s="1" t="n"/>
      <c r="B89" s="33" t="n"/>
      <c r="C89" s="33" t="n"/>
      <c r="D89" s="36" t="n"/>
      <c r="E89" s="19">
        <f>IF(C89="","",IFERROR(INDEX(Materials!$C$6:$C$205,MATCH(C89,Materials!$B$6:$B$205,0))&amp;"","Add it to Materials"))</f>
        <v/>
      </c>
      <c r="F89" s="22">
        <f>IF(OR(C89="",E89="Add it to Materials"),"",N(D89)*INDEX(Materials!$F$6:$F$205,MATCH(C89,Materials!$B$6:$B$205,0)))</f>
        <v/>
      </c>
      <c r="G89" s="39">
        <f>IF(OR(B89="",C89=""),"",N(D89)*SUMIFS(Orders!$W$6:$W$1005,Orders!$D$6:$D$1005,B89))</f>
        <v/>
      </c>
      <c r="H89" s="1" t="n"/>
    </row>
    <row r="90">
      <c r="A90" s="1" t="n"/>
      <c r="B90" s="33" t="n"/>
      <c r="C90" s="33" t="n"/>
      <c r="D90" s="36" t="n"/>
      <c r="E90" s="19">
        <f>IF(C90="","",IFERROR(INDEX(Materials!$C$6:$C$205,MATCH(C90,Materials!$B$6:$B$205,0))&amp;"","Add it to Materials"))</f>
        <v/>
      </c>
      <c r="F90" s="22">
        <f>IF(OR(C90="",E90="Add it to Materials"),"",N(D90)*INDEX(Materials!$F$6:$F$205,MATCH(C90,Materials!$B$6:$B$205,0)))</f>
        <v/>
      </c>
      <c r="G90" s="39">
        <f>IF(OR(B90="",C90=""),"",N(D90)*SUMIFS(Orders!$W$6:$W$1005,Orders!$D$6:$D$1005,B90))</f>
        <v/>
      </c>
      <c r="H90" s="1" t="n"/>
    </row>
    <row r="91">
      <c r="A91" s="1" t="n"/>
      <c r="B91" s="33" t="n"/>
      <c r="C91" s="33" t="n"/>
      <c r="D91" s="36" t="n"/>
      <c r="E91" s="19">
        <f>IF(C91="","",IFERROR(INDEX(Materials!$C$6:$C$205,MATCH(C91,Materials!$B$6:$B$205,0))&amp;"","Add it to Materials"))</f>
        <v/>
      </c>
      <c r="F91" s="22">
        <f>IF(OR(C91="",E91="Add it to Materials"),"",N(D91)*INDEX(Materials!$F$6:$F$205,MATCH(C91,Materials!$B$6:$B$205,0)))</f>
        <v/>
      </c>
      <c r="G91" s="39">
        <f>IF(OR(B91="",C91=""),"",N(D91)*SUMIFS(Orders!$W$6:$W$1005,Orders!$D$6:$D$1005,B91))</f>
        <v/>
      </c>
      <c r="H91" s="1" t="n"/>
    </row>
    <row r="92">
      <c r="A92" s="1" t="n"/>
      <c r="B92" s="33" t="n"/>
      <c r="C92" s="33" t="n"/>
      <c r="D92" s="36" t="n"/>
      <c r="E92" s="19">
        <f>IF(C92="","",IFERROR(INDEX(Materials!$C$6:$C$205,MATCH(C92,Materials!$B$6:$B$205,0))&amp;"","Add it to Materials"))</f>
        <v/>
      </c>
      <c r="F92" s="22">
        <f>IF(OR(C92="",E92="Add it to Materials"),"",N(D92)*INDEX(Materials!$F$6:$F$205,MATCH(C92,Materials!$B$6:$B$205,0)))</f>
        <v/>
      </c>
      <c r="G92" s="39">
        <f>IF(OR(B92="",C92=""),"",N(D92)*SUMIFS(Orders!$W$6:$W$1005,Orders!$D$6:$D$1005,B92))</f>
        <v/>
      </c>
      <c r="H92" s="1" t="n"/>
    </row>
    <row r="93">
      <c r="A93" s="1" t="n"/>
      <c r="B93" s="33" t="n"/>
      <c r="C93" s="33" t="n"/>
      <c r="D93" s="36" t="n"/>
      <c r="E93" s="19">
        <f>IF(C93="","",IFERROR(INDEX(Materials!$C$6:$C$205,MATCH(C93,Materials!$B$6:$B$205,0))&amp;"","Add it to Materials"))</f>
        <v/>
      </c>
      <c r="F93" s="22">
        <f>IF(OR(C93="",E93="Add it to Materials"),"",N(D93)*INDEX(Materials!$F$6:$F$205,MATCH(C93,Materials!$B$6:$B$205,0)))</f>
        <v/>
      </c>
      <c r="G93" s="39">
        <f>IF(OR(B93="",C93=""),"",N(D93)*SUMIFS(Orders!$W$6:$W$1005,Orders!$D$6:$D$1005,B93))</f>
        <v/>
      </c>
      <c r="H93" s="1" t="n"/>
    </row>
    <row r="94">
      <c r="A94" s="1" t="n"/>
      <c r="B94" s="33" t="n"/>
      <c r="C94" s="33" t="n"/>
      <c r="D94" s="36" t="n"/>
      <c r="E94" s="19">
        <f>IF(C94="","",IFERROR(INDEX(Materials!$C$6:$C$205,MATCH(C94,Materials!$B$6:$B$205,0))&amp;"","Add it to Materials"))</f>
        <v/>
      </c>
      <c r="F94" s="22">
        <f>IF(OR(C94="",E94="Add it to Materials"),"",N(D94)*INDEX(Materials!$F$6:$F$205,MATCH(C94,Materials!$B$6:$B$205,0)))</f>
        <v/>
      </c>
      <c r="G94" s="39">
        <f>IF(OR(B94="",C94=""),"",N(D94)*SUMIFS(Orders!$W$6:$W$1005,Orders!$D$6:$D$1005,B94))</f>
        <v/>
      </c>
      <c r="H94" s="1" t="n"/>
    </row>
    <row r="95">
      <c r="A95" s="1" t="n"/>
      <c r="B95" s="33" t="n"/>
      <c r="C95" s="33" t="n"/>
      <c r="D95" s="36" t="n"/>
      <c r="E95" s="19">
        <f>IF(C95="","",IFERROR(INDEX(Materials!$C$6:$C$205,MATCH(C95,Materials!$B$6:$B$205,0))&amp;"","Add it to Materials"))</f>
        <v/>
      </c>
      <c r="F95" s="22">
        <f>IF(OR(C95="",E95="Add it to Materials"),"",N(D95)*INDEX(Materials!$F$6:$F$205,MATCH(C95,Materials!$B$6:$B$205,0)))</f>
        <v/>
      </c>
      <c r="G95" s="39">
        <f>IF(OR(B95="",C95=""),"",N(D95)*SUMIFS(Orders!$W$6:$W$1005,Orders!$D$6:$D$1005,B95))</f>
        <v/>
      </c>
      <c r="H95" s="1" t="n"/>
    </row>
    <row r="96">
      <c r="A96" s="1" t="n"/>
      <c r="B96" s="33" t="n"/>
      <c r="C96" s="33" t="n"/>
      <c r="D96" s="36" t="n"/>
      <c r="E96" s="19">
        <f>IF(C96="","",IFERROR(INDEX(Materials!$C$6:$C$205,MATCH(C96,Materials!$B$6:$B$205,0))&amp;"","Add it to Materials"))</f>
        <v/>
      </c>
      <c r="F96" s="22">
        <f>IF(OR(C96="",E96="Add it to Materials"),"",N(D96)*INDEX(Materials!$F$6:$F$205,MATCH(C96,Materials!$B$6:$B$205,0)))</f>
        <v/>
      </c>
      <c r="G96" s="39">
        <f>IF(OR(B96="",C96=""),"",N(D96)*SUMIFS(Orders!$W$6:$W$1005,Orders!$D$6:$D$1005,B96))</f>
        <v/>
      </c>
      <c r="H96" s="1" t="n"/>
    </row>
    <row r="97">
      <c r="A97" s="1" t="n"/>
      <c r="B97" s="33" t="n"/>
      <c r="C97" s="33" t="n"/>
      <c r="D97" s="36" t="n"/>
      <c r="E97" s="19">
        <f>IF(C97="","",IFERROR(INDEX(Materials!$C$6:$C$205,MATCH(C97,Materials!$B$6:$B$205,0))&amp;"","Add it to Materials"))</f>
        <v/>
      </c>
      <c r="F97" s="22">
        <f>IF(OR(C97="",E97="Add it to Materials"),"",N(D97)*INDEX(Materials!$F$6:$F$205,MATCH(C97,Materials!$B$6:$B$205,0)))</f>
        <v/>
      </c>
      <c r="G97" s="39">
        <f>IF(OR(B97="",C97=""),"",N(D97)*SUMIFS(Orders!$W$6:$W$1005,Orders!$D$6:$D$1005,B97))</f>
        <v/>
      </c>
      <c r="H97" s="1" t="n"/>
    </row>
    <row r="98">
      <c r="A98" s="1" t="n"/>
      <c r="B98" s="33" t="n"/>
      <c r="C98" s="33" t="n"/>
      <c r="D98" s="36" t="n"/>
      <c r="E98" s="19">
        <f>IF(C98="","",IFERROR(INDEX(Materials!$C$6:$C$205,MATCH(C98,Materials!$B$6:$B$205,0))&amp;"","Add it to Materials"))</f>
        <v/>
      </c>
      <c r="F98" s="22">
        <f>IF(OR(C98="",E98="Add it to Materials"),"",N(D98)*INDEX(Materials!$F$6:$F$205,MATCH(C98,Materials!$B$6:$B$205,0)))</f>
        <v/>
      </c>
      <c r="G98" s="39">
        <f>IF(OR(B98="",C98=""),"",N(D98)*SUMIFS(Orders!$W$6:$W$1005,Orders!$D$6:$D$1005,B98))</f>
        <v/>
      </c>
      <c r="H98" s="1" t="n"/>
    </row>
    <row r="99">
      <c r="A99" s="1" t="n"/>
      <c r="B99" s="33" t="n"/>
      <c r="C99" s="33" t="n"/>
      <c r="D99" s="36" t="n"/>
      <c r="E99" s="19">
        <f>IF(C99="","",IFERROR(INDEX(Materials!$C$6:$C$205,MATCH(C99,Materials!$B$6:$B$205,0))&amp;"","Add it to Materials"))</f>
        <v/>
      </c>
      <c r="F99" s="22">
        <f>IF(OR(C99="",E99="Add it to Materials"),"",N(D99)*INDEX(Materials!$F$6:$F$205,MATCH(C99,Materials!$B$6:$B$205,0)))</f>
        <v/>
      </c>
      <c r="G99" s="39">
        <f>IF(OR(B99="",C99=""),"",N(D99)*SUMIFS(Orders!$W$6:$W$1005,Orders!$D$6:$D$1005,B99))</f>
        <v/>
      </c>
      <c r="H99" s="1" t="n"/>
    </row>
    <row r="100">
      <c r="A100" s="1" t="n"/>
      <c r="B100" s="33" t="n"/>
      <c r="C100" s="33" t="n"/>
      <c r="D100" s="36" t="n"/>
      <c r="E100" s="19">
        <f>IF(C100="","",IFERROR(INDEX(Materials!$C$6:$C$205,MATCH(C100,Materials!$B$6:$B$205,0))&amp;"","Add it to Materials"))</f>
        <v/>
      </c>
      <c r="F100" s="22">
        <f>IF(OR(C100="",E100="Add it to Materials"),"",N(D100)*INDEX(Materials!$F$6:$F$205,MATCH(C100,Materials!$B$6:$B$205,0)))</f>
        <v/>
      </c>
      <c r="G100" s="39">
        <f>IF(OR(B100="",C100=""),"",N(D100)*SUMIFS(Orders!$W$6:$W$1005,Orders!$D$6:$D$1005,B100))</f>
        <v/>
      </c>
      <c r="H100" s="1" t="n"/>
    </row>
    <row r="101">
      <c r="A101" s="1" t="n"/>
      <c r="B101" s="33" t="n"/>
      <c r="C101" s="33" t="n"/>
      <c r="D101" s="36" t="n"/>
      <c r="E101" s="19">
        <f>IF(C101="","",IFERROR(INDEX(Materials!$C$6:$C$205,MATCH(C101,Materials!$B$6:$B$205,0))&amp;"","Add it to Materials"))</f>
        <v/>
      </c>
      <c r="F101" s="22">
        <f>IF(OR(C101="",E101="Add it to Materials"),"",N(D101)*INDEX(Materials!$F$6:$F$205,MATCH(C101,Materials!$B$6:$B$205,0)))</f>
        <v/>
      </c>
      <c r="G101" s="39">
        <f>IF(OR(B101="",C101=""),"",N(D101)*SUMIFS(Orders!$W$6:$W$1005,Orders!$D$6:$D$1005,B101))</f>
        <v/>
      </c>
      <c r="H101" s="1" t="n"/>
    </row>
    <row r="102">
      <c r="A102" s="1" t="n"/>
      <c r="B102" s="33" t="n"/>
      <c r="C102" s="33" t="n"/>
      <c r="D102" s="36" t="n"/>
      <c r="E102" s="19">
        <f>IF(C102="","",IFERROR(INDEX(Materials!$C$6:$C$205,MATCH(C102,Materials!$B$6:$B$205,0))&amp;"","Add it to Materials"))</f>
        <v/>
      </c>
      <c r="F102" s="22">
        <f>IF(OR(C102="",E102="Add it to Materials"),"",N(D102)*INDEX(Materials!$F$6:$F$205,MATCH(C102,Materials!$B$6:$B$205,0)))</f>
        <v/>
      </c>
      <c r="G102" s="39">
        <f>IF(OR(B102="",C102=""),"",N(D102)*SUMIFS(Orders!$W$6:$W$1005,Orders!$D$6:$D$1005,B102))</f>
        <v/>
      </c>
      <c r="H102" s="1" t="n"/>
    </row>
    <row r="103">
      <c r="A103" s="1" t="n"/>
      <c r="B103" s="33" t="n"/>
      <c r="C103" s="33" t="n"/>
      <c r="D103" s="36" t="n"/>
      <c r="E103" s="19">
        <f>IF(C103="","",IFERROR(INDEX(Materials!$C$6:$C$205,MATCH(C103,Materials!$B$6:$B$205,0))&amp;"","Add it to Materials"))</f>
        <v/>
      </c>
      <c r="F103" s="22">
        <f>IF(OR(C103="",E103="Add it to Materials"),"",N(D103)*INDEX(Materials!$F$6:$F$205,MATCH(C103,Materials!$B$6:$B$205,0)))</f>
        <v/>
      </c>
      <c r="G103" s="39">
        <f>IF(OR(B103="",C103=""),"",N(D103)*SUMIFS(Orders!$W$6:$W$1005,Orders!$D$6:$D$1005,B103))</f>
        <v/>
      </c>
      <c r="H103" s="1" t="n"/>
    </row>
    <row r="104">
      <c r="A104" s="1" t="n"/>
      <c r="B104" s="33" t="n"/>
      <c r="C104" s="33" t="n"/>
      <c r="D104" s="36" t="n"/>
      <c r="E104" s="19">
        <f>IF(C104="","",IFERROR(INDEX(Materials!$C$6:$C$205,MATCH(C104,Materials!$B$6:$B$205,0))&amp;"","Add it to Materials"))</f>
        <v/>
      </c>
      <c r="F104" s="22">
        <f>IF(OR(C104="",E104="Add it to Materials"),"",N(D104)*INDEX(Materials!$F$6:$F$205,MATCH(C104,Materials!$B$6:$B$205,0)))</f>
        <v/>
      </c>
      <c r="G104" s="39">
        <f>IF(OR(B104="",C104=""),"",N(D104)*SUMIFS(Orders!$W$6:$W$1005,Orders!$D$6:$D$1005,B104))</f>
        <v/>
      </c>
      <c r="H104" s="1" t="n"/>
    </row>
    <row r="105">
      <c r="A105" s="1" t="n"/>
      <c r="B105" s="33" t="n"/>
      <c r="C105" s="33" t="n"/>
      <c r="D105" s="36" t="n"/>
      <c r="E105" s="19">
        <f>IF(C105="","",IFERROR(INDEX(Materials!$C$6:$C$205,MATCH(C105,Materials!$B$6:$B$205,0))&amp;"","Add it to Materials"))</f>
        <v/>
      </c>
      <c r="F105" s="22">
        <f>IF(OR(C105="",E105="Add it to Materials"),"",N(D105)*INDEX(Materials!$F$6:$F$205,MATCH(C105,Materials!$B$6:$B$205,0)))</f>
        <v/>
      </c>
      <c r="G105" s="39">
        <f>IF(OR(B105="",C105=""),"",N(D105)*SUMIFS(Orders!$W$6:$W$1005,Orders!$D$6:$D$1005,B105))</f>
        <v/>
      </c>
      <c r="H105" s="1" t="n"/>
    </row>
    <row r="106">
      <c r="A106" s="1" t="n"/>
      <c r="B106" s="33" t="n"/>
      <c r="C106" s="33" t="n"/>
      <c r="D106" s="36" t="n"/>
      <c r="E106" s="19">
        <f>IF(C106="","",IFERROR(INDEX(Materials!$C$6:$C$205,MATCH(C106,Materials!$B$6:$B$205,0))&amp;"","Add it to Materials"))</f>
        <v/>
      </c>
      <c r="F106" s="22">
        <f>IF(OR(C106="",E106="Add it to Materials"),"",N(D106)*INDEX(Materials!$F$6:$F$205,MATCH(C106,Materials!$B$6:$B$205,0)))</f>
        <v/>
      </c>
      <c r="G106" s="39">
        <f>IF(OR(B106="",C106=""),"",N(D106)*SUMIFS(Orders!$W$6:$W$1005,Orders!$D$6:$D$1005,B106))</f>
        <v/>
      </c>
      <c r="H106" s="1" t="n"/>
    </row>
    <row r="107">
      <c r="A107" s="1" t="n"/>
      <c r="B107" s="33" t="n"/>
      <c r="C107" s="33" t="n"/>
      <c r="D107" s="36" t="n"/>
      <c r="E107" s="19">
        <f>IF(C107="","",IFERROR(INDEX(Materials!$C$6:$C$205,MATCH(C107,Materials!$B$6:$B$205,0))&amp;"","Add it to Materials"))</f>
        <v/>
      </c>
      <c r="F107" s="22">
        <f>IF(OR(C107="",E107="Add it to Materials"),"",N(D107)*INDEX(Materials!$F$6:$F$205,MATCH(C107,Materials!$B$6:$B$205,0)))</f>
        <v/>
      </c>
      <c r="G107" s="39">
        <f>IF(OR(B107="",C107=""),"",N(D107)*SUMIFS(Orders!$W$6:$W$1005,Orders!$D$6:$D$1005,B107))</f>
        <v/>
      </c>
      <c r="H107" s="1" t="n"/>
    </row>
    <row r="108">
      <c r="A108" s="1" t="n"/>
      <c r="B108" s="33" t="n"/>
      <c r="C108" s="33" t="n"/>
      <c r="D108" s="36" t="n"/>
      <c r="E108" s="19">
        <f>IF(C108="","",IFERROR(INDEX(Materials!$C$6:$C$205,MATCH(C108,Materials!$B$6:$B$205,0))&amp;"","Add it to Materials"))</f>
        <v/>
      </c>
      <c r="F108" s="22">
        <f>IF(OR(C108="",E108="Add it to Materials"),"",N(D108)*INDEX(Materials!$F$6:$F$205,MATCH(C108,Materials!$B$6:$B$205,0)))</f>
        <v/>
      </c>
      <c r="G108" s="39">
        <f>IF(OR(B108="",C108=""),"",N(D108)*SUMIFS(Orders!$W$6:$W$1005,Orders!$D$6:$D$1005,B108))</f>
        <v/>
      </c>
      <c r="H108" s="1" t="n"/>
    </row>
    <row r="109">
      <c r="A109" s="1" t="n"/>
      <c r="B109" s="33" t="n"/>
      <c r="C109" s="33" t="n"/>
      <c r="D109" s="36" t="n"/>
      <c r="E109" s="19">
        <f>IF(C109="","",IFERROR(INDEX(Materials!$C$6:$C$205,MATCH(C109,Materials!$B$6:$B$205,0))&amp;"","Add it to Materials"))</f>
        <v/>
      </c>
      <c r="F109" s="22">
        <f>IF(OR(C109="",E109="Add it to Materials"),"",N(D109)*INDEX(Materials!$F$6:$F$205,MATCH(C109,Materials!$B$6:$B$205,0)))</f>
        <v/>
      </c>
      <c r="G109" s="39">
        <f>IF(OR(B109="",C109=""),"",N(D109)*SUMIFS(Orders!$W$6:$W$1005,Orders!$D$6:$D$1005,B109))</f>
        <v/>
      </c>
      <c r="H109" s="1" t="n"/>
    </row>
    <row r="110">
      <c r="A110" s="1" t="n"/>
      <c r="B110" s="33" t="n"/>
      <c r="C110" s="33" t="n"/>
      <c r="D110" s="36" t="n"/>
      <c r="E110" s="19">
        <f>IF(C110="","",IFERROR(INDEX(Materials!$C$6:$C$205,MATCH(C110,Materials!$B$6:$B$205,0))&amp;"","Add it to Materials"))</f>
        <v/>
      </c>
      <c r="F110" s="22">
        <f>IF(OR(C110="",E110="Add it to Materials"),"",N(D110)*INDEX(Materials!$F$6:$F$205,MATCH(C110,Materials!$B$6:$B$205,0)))</f>
        <v/>
      </c>
      <c r="G110" s="39">
        <f>IF(OR(B110="",C110=""),"",N(D110)*SUMIFS(Orders!$W$6:$W$1005,Orders!$D$6:$D$1005,B110))</f>
        <v/>
      </c>
      <c r="H110" s="1" t="n"/>
    </row>
    <row r="111">
      <c r="A111" s="1" t="n"/>
      <c r="B111" s="33" t="n"/>
      <c r="C111" s="33" t="n"/>
      <c r="D111" s="36" t="n"/>
      <c r="E111" s="19">
        <f>IF(C111="","",IFERROR(INDEX(Materials!$C$6:$C$205,MATCH(C111,Materials!$B$6:$B$205,0))&amp;"","Add it to Materials"))</f>
        <v/>
      </c>
      <c r="F111" s="22">
        <f>IF(OR(C111="",E111="Add it to Materials"),"",N(D111)*INDEX(Materials!$F$6:$F$205,MATCH(C111,Materials!$B$6:$B$205,0)))</f>
        <v/>
      </c>
      <c r="G111" s="39">
        <f>IF(OR(B111="",C111=""),"",N(D111)*SUMIFS(Orders!$W$6:$W$1005,Orders!$D$6:$D$1005,B111))</f>
        <v/>
      </c>
      <c r="H111" s="1" t="n"/>
    </row>
    <row r="112">
      <c r="A112" s="1" t="n"/>
      <c r="B112" s="33" t="n"/>
      <c r="C112" s="33" t="n"/>
      <c r="D112" s="36" t="n"/>
      <c r="E112" s="19">
        <f>IF(C112="","",IFERROR(INDEX(Materials!$C$6:$C$205,MATCH(C112,Materials!$B$6:$B$205,0))&amp;"","Add it to Materials"))</f>
        <v/>
      </c>
      <c r="F112" s="22">
        <f>IF(OR(C112="",E112="Add it to Materials"),"",N(D112)*INDEX(Materials!$F$6:$F$205,MATCH(C112,Materials!$B$6:$B$205,0)))</f>
        <v/>
      </c>
      <c r="G112" s="39">
        <f>IF(OR(B112="",C112=""),"",N(D112)*SUMIFS(Orders!$W$6:$W$1005,Orders!$D$6:$D$1005,B112))</f>
        <v/>
      </c>
      <c r="H112" s="1" t="n"/>
    </row>
    <row r="113">
      <c r="A113" s="1" t="n"/>
      <c r="B113" s="33" t="n"/>
      <c r="C113" s="33" t="n"/>
      <c r="D113" s="36" t="n"/>
      <c r="E113" s="19">
        <f>IF(C113="","",IFERROR(INDEX(Materials!$C$6:$C$205,MATCH(C113,Materials!$B$6:$B$205,0))&amp;"","Add it to Materials"))</f>
        <v/>
      </c>
      <c r="F113" s="22">
        <f>IF(OR(C113="",E113="Add it to Materials"),"",N(D113)*INDEX(Materials!$F$6:$F$205,MATCH(C113,Materials!$B$6:$B$205,0)))</f>
        <v/>
      </c>
      <c r="G113" s="39">
        <f>IF(OR(B113="",C113=""),"",N(D113)*SUMIFS(Orders!$W$6:$W$1005,Orders!$D$6:$D$1005,B113))</f>
        <v/>
      </c>
      <c r="H113" s="1" t="n"/>
    </row>
    <row r="114">
      <c r="A114" s="1" t="n"/>
      <c r="B114" s="33" t="n"/>
      <c r="C114" s="33" t="n"/>
      <c r="D114" s="36" t="n"/>
      <c r="E114" s="19">
        <f>IF(C114="","",IFERROR(INDEX(Materials!$C$6:$C$205,MATCH(C114,Materials!$B$6:$B$205,0))&amp;"","Add it to Materials"))</f>
        <v/>
      </c>
      <c r="F114" s="22">
        <f>IF(OR(C114="",E114="Add it to Materials"),"",N(D114)*INDEX(Materials!$F$6:$F$205,MATCH(C114,Materials!$B$6:$B$205,0)))</f>
        <v/>
      </c>
      <c r="G114" s="39">
        <f>IF(OR(B114="",C114=""),"",N(D114)*SUMIFS(Orders!$W$6:$W$1005,Orders!$D$6:$D$1005,B114))</f>
        <v/>
      </c>
      <c r="H114" s="1" t="n"/>
    </row>
    <row r="115">
      <c r="A115" s="1" t="n"/>
      <c r="B115" s="33" t="n"/>
      <c r="C115" s="33" t="n"/>
      <c r="D115" s="36" t="n"/>
      <c r="E115" s="19">
        <f>IF(C115="","",IFERROR(INDEX(Materials!$C$6:$C$205,MATCH(C115,Materials!$B$6:$B$205,0))&amp;"","Add it to Materials"))</f>
        <v/>
      </c>
      <c r="F115" s="22">
        <f>IF(OR(C115="",E115="Add it to Materials"),"",N(D115)*INDEX(Materials!$F$6:$F$205,MATCH(C115,Materials!$B$6:$B$205,0)))</f>
        <v/>
      </c>
      <c r="G115" s="39">
        <f>IF(OR(B115="",C115=""),"",N(D115)*SUMIFS(Orders!$W$6:$W$1005,Orders!$D$6:$D$1005,B115))</f>
        <v/>
      </c>
      <c r="H115" s="1" t="n"/>
    </row>
    <row r="116">
      <c r="A116" s="1" t="n"/>
      <c r="B116" s="33" t="n"/>
      <c r="C116" s="33" t="n"/>
      <c r="D116" s="36" t="n"/>
      <c r="E116" s="19">
        <f>IF(C116="","",IFERROR(INDEX(Materials!$C$6:$C$205,MATCH(C116,Materials!$B$6:$B$205,0))&amp;"","Add it to Materials"))</f>
        <v/>
      </c>
      <c r="F116" s="22">
        <f>IF(OR(C116="",E116="Add it to Materials"),"",N(D116)*INDEX(Materials!$F$6:$F$205,MATCH(C116,Materials!$B$6:$B$205,0)))</f>
        <v/>
      </c>
      <c r="G116" s="39">
        <f>IF(OR(B116="",C116=""),"",N(D116)*SUMIFS(Orders!$W$6:$W$1005,Orders!$D$6:$D$1005,B116))</f>
        <v/>
      </c>
      <c r="H116" s="1" t="n"/>
    </row>
    <row r="117">
      <c r="A117" s="1" t="n"/>
      <c r="B117" s="33" t="n"/>
      <c r="C117" s="33" t="n"/>
      <c r="D117" s="36" t="n"/>
      <c r="E117" s="19">
        <f>IF(C117="","",IFERROR(INDEX(Materials!$C$6:$C$205,MATCH(C117,Materials!$B$6:$B$205,0))&amp;"","Add it to Materials"))</f>
        <v/>
      </c>
      <c r="F117" s="22">
        <f>IF(OR(C117="",E117="Add it to Materials"),"",N(D117)*INDEX(Materials!$F$6:$F$205,MATCH(C117,Materials!$B$6:$B$205,0)))</f>
        <v/>
      </c>
      <c r="G117" s="39">
        <f>IF(OR(B117="",C117=""),"",N(D117)*SUMIFS(Orders!$W$6:$W$1005,Orders!$D$6:$D$1005,B117))</f>
        <v/>
      </c>
      <c r="H117" s="1" t="n"/>
    </row>
    <row r="118">
      <c r="A118" s="1" t="n"/>
      <c r="B118" s="33" t="n"/>
      <c r="C118" s="33" t="n"/>
      <c r="D118" s="36" t="n"/>
      <c r="E118" s="19">
        <f>IF(C118="","",IFERROR(INDEX(Materials!$C$6:$C$205,MATCH(C118,Materials!$B$6:$B$205,0))&amp;"","Add it to Materials"))</f>
        <v/>
      </c>
      <c r="F118" s="22">
        <f>IF(OR(C118="",E118="Add it to Materials"),"",N(D118)*INDEX(Materials!$F$6:$F$205,MATCH(C118,Materials!$B$6:$B$205,0)))</f>
        <v/>
      </c>
      <c r="G118" s="39">
        <f>IF(OR(B118="",C118=""),"",N(D118)*SUMIFS(Orders!$W$6:$W$1005,Orders!$D$6:$D$1005,B118))</f>
        <v/>
      </c>
      <c r="H118" s="1" t="n"/>
    </row>
    <row r="119">
      <c r="A119" s="1" t="n"/>
      <c r="B119" s="33" t="n"/>
      <c r="C119" s="33" t="n"/>
      <c r="D119" s="36" t="n"/>
      <c r="E119" s="19">
        <f>IF(C119="","",IFERROR(INDEX(Materials!$C$6:$C$205,MATCH(C119,Materials!$B$6:$B$205,0))&amp;"","Add it to Materials"))</f>
        <v/>
      </c>
      <c r="F119" s="22">
        <f>IF(OR(C119="",E119="Add it to Materials"),"",N(D119)*INDEX(Materials!$F$6:$F$205,MATCH(C119,Materials!$B$6:$B$205,0)))</f>
        <v/>
      </c>
      <c r="G119" s="39">
        <f>IF(OR(B119="",C119=""),"",N(D119)*SUMIFS(Orders!$W$6:$W$1005,Orders!$D$6:$D$1005,B119))</f>
        <v/>
      </c>
      <c r="H119" s="1" t="n"/>
    </row>
    <row r="120">
      <c r="A120" s="1" t="n"/>
      <c r="B120" s="33" t="n"/>
      <c r="C120" s="33" t="n"/>
      <c r="D120" s="36" t="n"/>
      <c r="E120" s="19">
        <f>IF(C120="","",IFERROR(INDEX(Materials!$C$6:$C$205,MATCH(C120,Materials!$B$6:$B$205,0))&amp;"","Add it to Materials"))</f>
        <v/>
      </c>
      <c r="F120" s="22">
        <f>IF(OR(C120="",E120="Add it to Materials"),"",N(D120)*INDEX(Materials!$F$6:$F$205,MATCH(C120,Materials!$B$6:$B$205,0)))</f>
        <v/>
      </c>
      <c r="G120" s="39">
        <f>IF(OR(B120="",C120=""),"",N(D120)*SUMIFS(Orders!$W$6:$W$1005,Orders!$D$6:$D$1005,B120))</f>
        <v/>
      </c>
      <c r="H120" s="1" t="n"/>
    </row>
    <row r="121">
      <c r="A121" s="1" t="n"/>
      <c r="B121" s="33" t="n"/>
      <c r="C121" s="33" t="n"/>
      <c r="D121" s="36" t="n"/>
      <c r="E121" s="19">
        <f>IF(C121="","",IFERROR(INDEX(Materials!$C$6:$C$205,MATCH(C121,Materials!$B$6:$B$205,0))&amp;"","Add it to Materials"))</f>
        <v/>
      </c>
      <c r="F121" s="22">
        <f>IF(OR(C121="",E121="Add it to Materials"),"",N(D121)*INDEX(Materials!$F$6:$F$205,MATCH(C121,Materials!$B$6:$B$205,0)))</f>
        <v/>
      </c>
      <c r="G121" s="39">
        <f>IF(OR(B121="",C121=""),"",N(D121)*SUMIFS(Orders!$W$6:$W$1005,Orders!$D$6:$D$1005,B121))</f>
        <v/>
      </c>
      <c r="H121" s="1" t="n"/>
    </row>
    <row r="122">
      <c r="A122" s="1" t="n"/>
      <c r="B122" s="33" t="n"/>
      <c r="C122" s="33" t="n"/>
      <c r="D122" s="36" t="n"/>
      <c r="E122" s="19">
        <f>IF(C122="","",IFERROR(INDEX(Materials!$C$6:$C$205,MATCH(C122,Materials!$B$6:$B$205,0))&amp;"","Add it to Materials"))</f>
        <v/>
      </c>
      <c r="F122" s="22">
        <f>IF(OR(C122="",E122="Add it to Materials"),"",N(D122)*INDEX(Materials!$F$6:$F$205,MATCH(C122,Materials!$B$6:$B$205,0)))</f>
        <v/>
      </c>
      <c r="G122" s="39">
        <f>IF(OR(B122="",C122=""),"",N(D122)*SUMIFS(Orders!$W$6:$W$1005,Orders!$D$6:$D$1005,B122))</f>
        <v/>
      </c>
      <c r="H122" s="1" t="n"/>
    </row>
    <row r="123">
      <c r="A123" s="1" t="n"/>
      <c r="B123" s="33" t="n"/>
      <c r="C123" s="33" t="n"/>
      <c r="D123" s="36" t="n"/>
      <c r="E123" s="19">
        <f>IF(C123="","",IFERROR(INDEX(Materials!$C$6:$C$205,MATCH(C123,Materials!$B$6:$B$205,0))&amp;"","Add it to Materials"))</f>
        <v/>
      </c>
      <c r="F123" s="22">
        <f>IF(OR(C123="",E123="Add it to Materials"),"",N(D123)*INDEX(Materials!$F$6:$F$205,MATCH(C123,Materials!$B$6:$B$205,0)))</f>
        <v/>
      </c>
      <c r="G123" s="39">
        <f>IF(OR(B123="",C123=""),"",N(D123)*SUMIFS(Orders!$W$6:$W$1005,Orders!$D$6:$D$1005,B123))</f>
        <v/>
      </c>
      <c r="H123" s="1" t="n"/>
    </row>
    <row r="124">
      <c r="A124" s="1" t="n"/>
      <c r="B124" s="33" t="n"/>
      <c r="C124" s="33" t="n"/>
      <c r="D124" s="36" t="n"/>
      <c r="E124" s="19">
        <f>IF(C124="","",IFERROR(INDEX(Materials!$C$6:$C$205,MATCH(C124,Materials!$B$6:$B$205,0))&amp;"","Add it to Materials"))</f>
        <v/>
      </c>
      <c r="F124" s="22">
        <f>IF(OR(C124="",E124="Add it to Materials"),"",N(D124)*INDEX(Materials!$F$6:$F$205,MATCH(C124,Materials!$B$6:$B$205,0)))</f>
        <v/>
      </c>
      <c r="G124" s="39">
        <f>IF(OR(B124="",C124=""),"",N(D124)*SUMIFS(Orders!$W$6:$W$1005,Orders!$D$6:$D$1005,B124))</f>
        <v/>
      </c>
      <c r="H124" s="1" t="n"/>
    </row>
    <row r="125">
      <c r="A125" s="1" t="n"/>
      <c r="B125" s="33" t="n"/>
      <c r="C125" s="33" t="n"/>
      <c r="D125" s="36" t="n"/>
      <c r="E125" s="19">
        <f>IF(C125="","",IFERROR(INDEX(Materials!$C$6:$C$205,MATCH(C125,Materials!$B$6:$B$205,0))&amp;"","Add it to Materials"))</f>
        <v/>
      </c>
      <c r="F125" s="22">
        <f>IF(OR(C125="",E125="Add it to Materials"),"",N(D125)*INDEX(Materials!$F$6:$F$205,MATCH(C125,Materials!$B$6:$B$205,0)))</f>
        <v/>
      </c>
      <c r="G125" s="39">
        <f>IF(OR(B125="",C125=""),"",N(D125)*SUMIFS(Orders!$W$6:$W$1005,Orders!$D$6:$D$1005,B125))</f>
        <v/>
      </c>
      <c r="H125" s="1" t="n"/>
    </row>
    <row r="126">
      <c r="A126" s="1" t="n"/>
      <c r="B126" s="33" t="n"/>
      <c r="C126" s="33" t="n"/>
      <c r="D126" s="36" t="n"/>
      <c r="E126" s="19">
        <f>IF(C126="","",IFERROR(INDEX(Materials!$C$6:$C$205,MATCH(C126,Materials!$B$6:$B$205,0))&amp;"","Add it to Materials"))</f>
        <v/>
      </c>
      <c r="F126" s="22">
        <f>IF(OR(C126="",E126="Add it to Materials"),"",N(D126)*INDEX(Materials!$F$6:$F$205,MATCH(C126,Materials!$B$6:$B$205,0)))</f>
        <v/>
      </c>
      <c r="G126" s="39">
        <f>IF(OR(B126="",C126=""),"",N(D126)*SUMIFS(Orders!$W$6:$W$1005,Orders!$D$6:$D$1005,B126))</f>
        <v/>
      </c>
      <c r="H126" s="1" t="n"/>
    </row>
    <row r="127">
      <c r="A127" s="1" t="n"/>
      <c r="B127" s="33" t="n"/>
      <c r="C127" s="33" t="n"/>
      <c r="D127" s="36" t="n"/>
      <c r="E127" s="19">
        <f>IF(C127="","",IFERROR(INDEX(Materials!$C$6:$C$205,MATCH(C127,Materials!$B$6:$B$205,0))&amp;"","Add it to Materials"))</f>
        <v/>
      </c>
      <c r="F127" s="22">
        <f>IF(OR(C127="",E127="Add it to Materials"),"",N(D127)*INDEX(Materials!$F$6:$F$205,MATCH(C127,Materials!$B$6:$B$205,0)))</f>
        <v/>
      </c>
      <c r="G127" s="39">
        <f>IF(OR(B127="",C127=""),"",N(D127)*SUMIFS(Orders!$W$6:$W$1005,Orders!$D$6:$D$1005,B127))</f>
        <v/>
      </c>
      <c r="H127" s="1" t="n"/>
    </row>
    <row r="128">
      <c r="A128" s="1" t="n"/>
      <c r="B128" s="33" t="n"/>
      <c r="C128" s="33" t="n"/>
      <c r="D128" s="36" t="n"/>
      <c r="E128" s="19">
        <f>IF(C128="","",IFERROR(INDEX(Materials!$C$6:$C$205,MATCH(C128,Materials!$B$6:$B$205,0))&amp;"","Add it to Materials"))</f>
        <v/>
      </c>
      <c r="F128" s="22">
        <f>IF(OR(C128="",E128="Add it to Materials"),"",N(D128)*INDEX(Materials!$F$6:$F$205,MATCH(C128,Materials!$B$6:$B$205,0)))</f>
        <v/>
      </c>
      <c r="G128" s="39">
        <f>IF(OR(B128="",C128=""),"",N(D128)*SUMIFS(Orders!$W$6:$W$1005,Orders!$D$6:$D$1005,B128))</f>
        <v/>
      </c>
      <c r="H128" s="1" t="n"/>
    </row>
    <row r="129">
      <c r="A129" s="1" t="n"/>
      <c r="B129" s="33" t="n"/>
      <c r="C129" s="33" t="n"/>
      <c r="D129" s="36" t="n"/>
      <c r="E129" s="19">
        <f>IF(C129="","",IFERROR(INDEX(Materials!$C$6:$C$205,MATCH(C129,Materials!$B$6:$B$205,0))&amp;"","Add it to Materials"))</f>
        <v/>
      </c>
      <c r="F129" s="22">
        <f>IF(OR(C129="",E129="Add it to Materials"),"",N(D129)*INDEX(Materials!$F$6:$F$205,MATCH(C129,Materials!$B$6:$B$205,0)))</f>
        <v/>
      </c>
      <c r="G129" s="39">
        <f>IF(OR(B129="",C129=""),"",N(D129)*SUMIFS(Orders!$W$6:$W$1005,Orders!$D$6:$D$1005,B129))</f>
        <v/>
      </c>
      <c r="H129" s="1" t="n"/>
    </row>
    <row r="130">
      <c r="A130" s="1" t="n"/>
      <c r="B130" s="33" t="n"/>
      <c r="C130" s="33" t="n"/>
      <c r="D130" s="36" t="n"/>
      <c r="E130" s="19">
        <f>IF(C130="","",IFERROR(INDEX(Materials!$C$6:$C$205,MATCH(C130,Materials!$B$6:$B$205,0))&amp;"","Add it to Materials"))</f>
        <v/>
      </c>
      <c r="F130" s="22">
        <f>IF(OR(C130="",E130="Add it to Materials"),"",N(D130)*INDEX(Materials!$F$6:$F$205,MATCH(C130,Materials!$B$6:$B$205,0)))</f>
        <v/>
      </c>
      <c r="G130" s="39">
        <f>IF(OR(B130="",C130=""),"",N(D130)*SUMIFS(Orders!$W$6:$W$1005,Orders!$D$6:$D$1005,B130))</f>
        <v/>
      </c>
      <c r="H130" s="1" t="n"/>
    </row>
    <row r="131">
      <c r="A131" s="1" t="n"/>
      <c r="B131" s="33" t="n"/>
      <c r="C131" s="33" t="n"/>
      <c r="D131" s="36" t="n"/>
      <c r="E131" s="19">
        <f>IF(C131="","",IFERROR(INDEX(Materials!$C$6:$C$205,MATCH(C131,Materials!$B$6:$B$205,0))&amp;"","Add it to Materials"))</f>
        <v/>
      </c>
      <c r="F131" s="22">
        <f>IF(OR(C131="",E131="Add it to Materials"),"",N(D131)*INDEX(Materials!$F$6:$F$205,MATCH(C131,Materials!$B$6:$B$205,0)))</f>
        <v/>
      </c>
      <c r="G131" s="39">
        <f>IF(OR(B131="",C131=""),"",N(D131)*SUMIFS(Orders!$W$6:$W$1005,Orders!$D$6:$D$1005,B131))</f>
        <v/>
      </c>
      <c r="H131" s="1" t="n"/>
    </row>
    <row r="132">
      <c r="A132" s="1" t="n"/>
      <c r="B132" s="33" t="n"/>
      <c r="C132" s="33" t="n"/>
      <c r="D132" s="36" t="n"/>
      <c r="E132" s="19">
        <f>IF(C132="","",IFERROR(INDEX(Materials!$C$6:$C$205,MATCH(C132,Materials!$B$6:$B$205,0))&amp;"","Add it to Materials"))</f>
        <v/>
      </c>
      <c r="F132" s="22">
        <f>IF(OR(C132="",E132="Add it to Materials"),"",N(D132)*INDEX(Materials!$F$6:$F$205,MATCH(C132,Materials!$B$6:$B$205,0)))</f>
        <v/>
      </c>
      <c r="G132" s="39">
        <f>IF(OR(B132="",C132=""),"",N(D132)*SUMIFS(Orders!$W$6:$W$1005,Orders!$D$6:$D$1005,B132))</f>
        <v/>
      </c>
      <c r="H132" s="1" t="n"/>
    </row>
    <row r="133">
      <c r="A133" s="1" t="n"/>
      <c r="B133" s="33" t="n"/>
      <c r="C133" s="33" t="n"/>
      <c r="D133" s="36" t="n"/>
      <c r="E133" s="19">
        <f>IF(C133="","",IFERROR(INDEX(Materials!$C$6:$C$205,MATCH(C133,Materials!$B$6:$B$205,0))&amp;"","Add it to Materials"))</f>
        <v/>
      </c>
      <c r="F133" s="22">
        <f>IF(OR(C133="",E133="Add it to Materials"),"",N(D133)*INDEX(Materials!$F$6:$F$205,MATCH(C133,Materials!$B$6:$B$205,0)))</f>
        <v/>
      </c>
      <c r="G133" s="39">
        <f>IF(OR(B133="",C133=""),"",N(D133)*SUMIFS(Orders!$W$6:$W$1005,Orders!$D$6:$D$1005,B133))</f>
        <v/>
      </c>
      <c r="H133" s="1" t="n"/>
    </row>
    <row r="134">
      <c r="A134" s="1" t="n"/>
      <c r="B134" s="33" t="n"/>
      <c r="C134" s="33" t="n"/>
      <c r="D134" s="36" t="n"/>
      <c r="E134" s="19">
        <f>IF(C134="","",IFERROR(INDEX(Materials!$C$6:$C$205,MATCH(C134,Materials!$B$6:$B$205,0))&amp;"","Add it to Materials"))</f>
        <v/>
      </c>
      <c r="F134" s="22">
        <f>IF(OR(C134="",E134="Add it to Materials"),"",N(D134)*INDEX(Materials!$F$6:$F$205,MATCH(C134,Materials!$B$6:$B$205,0)))</f>
        <v/>
      </c>
      <c r="G134" s="39">
        <f>IF(OR(B134="",C134=""),"",N(D134)*SUMIFS(Orders!$W$6:$W$1005,Orders!$D$6:$D$1005,B134))</f>
        <v/>
      </c>
      <c r="H134" s="1" t="n"/>
    </row>
    <row r="135">
      <c r="A135" s="1" t="n"/>
      <c r="B135" s="33" t="n"/>
      <c r="C135" s="33" t="n"/>
      <c r="D135" s="36" t="n"/>
      <c r="E135" s="19">
        <f>IF(C135="","",IFERROR(INDEX(Materials!$C$6:$C$205,MATCH(C135,Materials!$B$6:$B$205,0))&amp;"","Add it to Materials"))</f>
        <v/>
      </c>
      <c r="F135" s="22">
        <f>IF(OR(C135="",E135="Add it to Materials"),"",N(D135)*INDEX(Materials!$F$6:$F$205,MATCH(C135,Materials!$B$6:$B$205,0)))</f>
        <v/>
      </c>
      <c r="G135" s="39">
        <f>IF(OR(B135="",C135=""),"",N(D135)*SUMIFS(Orders!$W$6:$W$1005,Orders!$D$6:$D$1005,B135))</f>
        <v/>
      </c>
      <c r="H135" s="1" t="n"/>
    </row>
    <row r="136">
      <c r="A136" s="1" t="n"/>
      <c r="B136" s="33" t="n"/>
      <c r="C136" s="33" t="n"/>
      <c r="D136" s="36" t="n"/>
      <c r="E136" s="19">
        <f>IF(C136="","",IFERROR(INDEX(Materials!$C$6:$C$205,MATCH(C136,Materials!$B$6:$B$205,0))&amp;"","Add it to Materials"))</f>
        <v/>
      </c>
      <c r="F136" s="22">
        <f>IF(OR(C136="",E136="Add it to Materials"),"",N(D136)*INDEX(Materials!$F$6:$F$205,MATCH(C136,Materials!$B$6:$B$205,0)))</f>
        <v/>
      </c>
      <c r="G136" s="39">
        <f>IF(OR(B136="",C136=""),"",N(D136)*SUMIFS(Orders!$W$6:$W$1005,Orders!$D$6:$D$1005,B136))</f>
        <v/>
      </c>
      <c r="H136" s="1" t="n"/>
    </row>
    <row r="137">
      <c r="A137" s="1" t="n"/>
      <c r="B137" s="33" t="n"/>
      <c r="C137" s="33" t="n"/>
      <c r="D137" s="36" t="n"/>
      <c r="E137" s="19">
        <f>IF(C137="","",IFERROR(INDEX(Materials!$C$6:$C$205,MATCH(C137,Materials!$B$6:$B$205,0))&amp;"","Add it to Materials"))</f>
        <v/>
      </c>
      <c r="F137" s="22">
        <f>IF(OR(C137="",E137="Add it to Materials"),"",N(D137)*INDEX(Materials!$F$6:$F$205,MATCH(C137,Materials!$B$6:$B$205,0)))</f>
        <v/>
      </c>
      <c r="G137" s="39">
        <f>IF(OR(B137="",C137=""),"",N(D137)*SUMIFS(Orders!$W$6:$W$1005,Orders!$D$6:$D$1005,B137))</f>
        <v/>
      </c>
      <c r="H137" s="1" t="n"/>
    </row>
    <row r="138">
      <c r="A138" s="1" t="n"/>
      <c r="B138" s="33" t="n"/>
      <c r="C138" s="33" t="n"/>
      <c r="D138" s="36" t="n"/>
      <c r="E138" s="19">
        <f>IF(C138="","",IFERROR(INDEX(Materials!$C$6:$C$205,MATCH(C138,Materials!$B$6:$B$205,0))&amp;"","Add it to Materials"))</f>
        <v/>
      </c>
      <c r="F138" s="22">
        <f>IF(OR(C138="",E138="Add it to Materials"),"",N(D138)*INDEX(Materials!$F$6:$F$205,MATCH(C138,Materials!$B$6:$B$205,0)))</f>
        <v/>
      </c>
      <c r="G138" s="39">
        <f>IF(OR(B138="",C138=""),"",N(D138)*SUMIFS(Orders!$W$6:$W$1005,Orders!$D$6:$D$1005,B138))</f>
        <v/>
      </c>
      <c r="H138" s="1" t="n"/>
    </row>
    <row r="139">
      <c r="A139" s="1" t="n"/>
      <c r="B139" s="33" t="n"/>
      <c r="C139" s="33" t="n"/>
      <c r="D139" s="36" t="n"/>
      <c r="E139" s="19">
        <f>IF(C139="","",IFERROR(INDEX(Materials!$C$6:$C$205,MATCH(C139,Materials!$B$6:$B$205,0))&amp;"","Add it to Materials"))</f>
        <v/>
      </c>
      <c r="F139" s="22">
        <f>IF(OR(C139="",E139="Add it to Materials"),"",N(D139)*INDEX(Materials!$F$6:$F$205,MATCH(C139,Materials!$B$6:$B$205,0)))</f>
        <v/>
      </c>
      <c r="G139" s="39">
        <f>IF(OR(B139="",C139=""),"",N(D139)*SUMIFS(Orders!$W$6:$W$1005,Orders!$D$6:$D$1005,B139))</f>
        <v/>
      </c>
      <c r="H139" s="1" t="n"/>
    </row>
    <row r="140">
      <c r="A140" s="1" t="n"/>
      <c r="B140" s="33" t="n"/>
      <c r="C140" s="33" t="n"/>
      <c r="D140" s="36" t="n"/>
      <c r="E140" s="19">
        <f>IF(C140="","",IFERROR(INDEX(Materials!$C$6:$C$205,MATCH(C140,Materials!$B$6:$B$205,0))&amp;"","Add it to Materials"))</f>
        <v/>
      </c>
      <c r="F140" s="22">
        <f>IF(OR(C140="",E140="Add it to Materials"),"",N(D140)*INDEX(Materials!$F$6:$F$205,MATCH(C140,Materials!$B$6:$B$205,0)))</f>
        <v/>
      </c>
      <c r="G140" s="39">
        <f>IF(OR(B140="",C140=""),"",N(D140)*SUMIFS(Orders!$W$6:$W$1005,Orders!$D$6:$D$1005,B140))</f>
        <v/>
      </c>
      <c r="H140" s="1" t="n"/>
    </row>
    <row r="141">
      <c r="A141" s="1" t="n"/>
      <c r="B141" s="33" t="n"/>
      <c r="C141" s="33" t="n"/>
      <c r="D141" s="36" t="n"/>
      <c r="E141" s="19">
        <f>IF(C141="","",IFERROR(INDEX(Materials!$C$6:$C$205,MATCH(C141,Materials!$B$6:$B$205,0))&amp;"","Add it to Materials"))</f>
        <v/>
      </c>
      <c r="F141" s="22">
        <f>IF(OR(C141="",E141="Add it to Materials"),"",N(D141)*INDEX(Materials!$F$6:$F$205,MATCH(C141,Materials!$B$6:$B$205,0)))</f>
        <v/>
      </c>
      <c r="G141" s="39">
        <f>IF(OR(B141="",C141=""),"",N(D141)*SUMIFS(Orders!$W$6:$W$1005,Orders!$D$6:$D$1005,B141))</f>
        <v/>
      </c>
      <c r="H141" s="1" t="n"/>
    </row>
    <row r="142">
      <c r="A142" s="1" t="n"/>
      <c r="B142" s="33" t="n"/>
      <c r="C142" s="33" t="n"/>
      <c r="D142" s="36" t="n"/>
      <c r="E142" s="19">
        <f>IF(C142="","",IFERROR(INDEX(Materials!$C$6:$C$205,MATCH(C142,Materials!$B$6:$B$205,0))&amp;"","Add it to Materials"))</f>
        <v/>
      </c>
      <c r="F142" s="22">
        <f>IF(OR(C142="",E142="Add it to Materials"),"",N(D142)*INDEX(Materials!$F$6:$F$205,MATCH(C142,Materials!$B$6:$B$205,0)))</f>
        <v/>
      </c>
      <c r="G142" s="39">
        <f>IF(OR(B142="",C142=""),"",N(D142)*SUMIFS(Orders!$W$6:$W$1005,Orders!$D$6:$D$1005,B142))</f>
        <v/>
      </c>
      <c r="H142" s="1" t="n"/>
    </row>
    <row r="143">
      <c r="A143" s="1" t="n"/>
      <c r="B143" s="33" t="n"/>
      <c r="C143" s="33" t="n"/>
      <c r="D143" s="36" t="n"/>
      <c r="E143" s="19">
        <f>IF(C143="","",IFERROR(INDEX(Materials!$C$6:$C$205,MATCH(C143,Materials!$B$6:$B$205,0))&amp;"","Add it to Materials"))</f>
        <v/>
      </c>
      <c r="F143" s="22">
        <f>IF(OR(C143="",E143="Add it to Materials"),"",N(D143)*INDEX(Materials!$F$6:$F$205,MATCH(C143,Materials!$B$6:$B$205,0)))</f>
        <v/>
      </c>
      <c r="G143" s="39">
        <f>IF(OR(B143="",C143=""),"",N(D143)*SUMIFS(Orders!$W$6:$W$1005,Orders!$D$6:$D$1005,B143))</f>
        <v/>
      </c>
      <c r="H143" s="1" t="n"/>
    </row>
    <row r="144">
      <c r="A144" s="1" t="n"/>
      <c r="B144" s="33" t="n"/>
      <c r="C144" s="33" t="n"/>
      <c r="D144" s="36" t="n"/>
      <c r="E144" s="19">
        <f>IF(C144="","",IFERROR(INDEX(Materials!$C$6:$C$205,MATCH(C144,Materials!$B$6:$B$205,0))&amp;"","Add it to Materials"))</f>
        <v/>
      </c>
      <c r="F144" s="22">
        <f>IF(OR(C144="",E144="Add it to Materials"),"",N(D144)*INDEX(Materials!$F$6:$F$205,MATCH(C144,Materials!$B$6:$B$205,0)))</f>
        <v/>
      </c>
      <c r="G144" s="39">
        <f>IF(OR(B144="",C144=""),"",N(D144)*SUMIFS(Orders!$W$6:$W$1005,Orders!$D$6:$D$1005,B144))</f>
        <v/>
      </c>
      <c r="H144" s="1" t="n"/>
    </row>
    <row r="145">
      <c r="A145" s="1" t="n"/>
      <c r="B145" s="33" t="n"/>
      <c r="C145" s="33" t="n"/>
      <c r="D145" s="36" t="n"/>
      <c r="E145" s="19">
        <f>IF(C145="","",IFERROR(INDEX(Materials!$C$6:$C$205,MATCH(C145,Materials!$B$6:$B$205,0))&amp;"","Add it to Materials"))</f>
        <v/>
      </c>
      <c r="F145" s="22">
        <f>IF(OR(C145="",E145="Add it to Materials"),"",N(D145)*INDEX(Materials!$F$6:$F$205,MATCH(C145,Materials!$B$6:$B$205,0)))</f>
        <v/>
      </c>
      <c r="G145" s="39">
        <f>IF(OR(B145="",C145=""),"",N(D145)*SUMIFS(Orders!$W$6:$W$1005,Orders!$D$6:$D$1005,B145))</f>
        <v/>
      </c>
      <c r="H145" s="1" t="n"/>
    </row>
    <row r="146">
      <c r="A146" s="1" t="n"/>
      <c r="B146" s="33" t="n"/>
      <c r="C146" s="33" t="n"/>
      <c r="D146" s="36" t="n"/>
      <c r="E146" s="19">
        <f>IF(C146="","",IFERROR(INDEX(Materials!$C$6:$C$205,MATCH(C146,Materials!$B$6:$B$205,0))&amp;"","Add it to Materials"))</f>
        <v/>
      </c>
      <c r="F146" s="22">
        <f>IF(OR(C146="",E146="Add it to Materials"),"",N(D146)*INDEX(Materials!$F$6:$F$205,MATCH(C146,Materials!$B$6:$B$205,0)))</f>
        <v/>
      </c>
      <c r="G146" s="39">
        <f>IF(OR(B146="",C146=""),"",N(D146)*SUMIFS(Orders!$W$6:$W$1005,Orders!$D$6:$D$1005,B146))</f>
        <v/>
      </c>
      <c r="H146" s="1" t="n"/>
    </row>
    <row r="147">
      <c r="A147" s="1" t="n"/>
      <c r="B147" s="33" t="n"/>
      <c r="C147" s="33" t="n"/>
      <c r="D147" s="36" t="n"/>
      <c r="E147" s="19">
        <f>IF(C147="","",IFERROR(INDEX(Materials!$C$6:$C$205,MATCH(C147,Materials!$B$6:$B$205,0))&amp;"","Add it to Materials"))</f>
        <v/>
      </c>
      <c r="F147" s="22">
        <f>IF(OR(C147="",E147="Add it to Materials"),"",N(D147)*INDEX(Materials!$F$6:$F$205,MATCH(C147,Materials!$B$6:$B$205,0)))</f>
        <v/>
      </c>
      <c r="G147" s="39">
        <f>IF(OR(B147="",C147=""),"",N(D147)*SUMIFS(Orders!$W$6:$W$1005,Orders!$D$6:$D$1005,B147))</f>
        <v/>
      </c>
      <c r="H147" s="1" t="n"/>
    </row>
    <row r="148">
      <c r="A148" s="1" t="n"/>
      <c r="B148" s="33" t="n"/>
      <c r="C148" s="33" t="n"/>
      <c r="D148" s="36" t="n"/>
      <c r="E148" s="19">
        <f>IF(C148="","",IFERROR(INDEX(Materials!$C$6:$C$205,MATCH(C148,Materials!$B$6:$B$205,0))&amp;"","Add it to Materials"))</f>
        <v/>
      </c>
      <c r="F148" s="22">
        <f>IF(OR(C148="",E148="Add it to Materials"),"",N(D148)*INDEX(Materials!$F$6:$F$205,MATCH(C148,Materials!$B$6:$B$205,0)))</f>
        <v/>
      </c>
      <c r="G148" s="39">
        <f>IF(OR(B148="",C148=""),"",N(D148)*SUMIFS(Orders!$W$6:$W$1005,Orders!$D$6:$D$1005,B148))</f>
        <v/>
      </c>
      <c r="H148" s="1" t="n"/>
    </row>
    <row r="149">
      <c r="A149" s="1" t="n"/>
      <c r="B149" s="33" t="n"/>
      <c r="C149" s="33" t="n"/>
      <c r="D149" s="36" t="n"/>
      <c r="E149" s="19">
        <f>IF(C149="","",IFERROR(INDEX(Materials!$C$6:$C$205,MATCH(C149,Materials!$B$6:$B$205,0))&amp;"","Add it to Materials"))</f>
        <v/>
      </c>
      <c r="F149" s="22">
        <f>IF(OR(C149="",E149="Add it to Materials"),"",N(D149)*INDEX(Materials!$F$6:$F$205,MATCH(C149,Materials!$B$6:$B$205,0)))</f>
        <v/>
      </c>
      <c r="G149" s="39">
        <f>IF(OR(B149="",C149=""),"",N(D149)*SUMIFS(Orders!$W$6:$W$1005,Orders!$D$6:$D$1005,B149))</f>
        <v/>
      </c>
      <c r="H149" s="1" t="n"/>
    </row>
    <row r="150">
      <c r="A150" s="1" t="n"/>
      <c r="B150" s="33" t="n"/>
      <c r="C150" s="33" t="n"/>
      <c r="D150" s="36" t="n"/>
      <c r="E150" s="19">
        <f>IF(C150="","",IFERROR(INDEX(Materials!$C$6:$C$205,MATCH(C150,Materials!$B$6:$B$205,0))&amp;"","Add it to Materials"))</f>
        <v/>
      </c>
      <c r="F150" s="22">
        <f>IF(OR(C150="",E150="Add it to Materials"),"",N(D150)*INDEX(Materials!$F$6:$F$205,MATCH(C150,Materials!$B$6:$B$205,0)))</f>
        <v/>
      </c>
      <c r="G150" s="39">
        <f>IF(OR(B150="",C150=""),"",N(D150)*SUMIFS(Orders!$W$6:$W$1005,Orders!$D$6:$D$1005,B150))</f>
        <v/>
      </c>
      <c r="H150" s="1" t="n"/>
    </row>
    <row r="151">
      <c r="A151" s="1" t="n"/>
      <c r="B151" s="33" t="n"/>
      <c r="C151" s="33" t="n"/>
      <c r="D151" s="36" t="n"/>
      <c r="E151" s="19">
        <f>IF(C151="","",IFERROR(INDEX(Materials!$C$6:$C$205,MATCH(C151,Materials!$B$6:$B$205,0))&amp;"","Add it to Materials"))</f>
        <v/>
      </c>
      <c r="F151" s="22">
        <f>IF(OR(C151="",E151="Add it to Materials"),"",N(D151)*INDEX(Materials!$F$6:$F$205,MATCH(C151,Materials!$B$6:$B$205,0)))</f>
        <v/>
      </c>
      <c r="G151" s="39">
        <f>IF(OR(B151="",C151=""),"",N(D151)*SUMIFS(Orders!$W$6:$W$1005,Orders!$D$6:$D$1005,B151))</f>
        <v/>
      </c>
      <c r="H151" s="1" t="n"/>
    </row>
    <row r="152">
      <c r="A152" s="1" t="n"/>
      <c r="B152" s="33" t="n"/>
      <c r="C152" s="33" t="n"/>
      <c r="D152" s="36" t="n"/>
      <c r="E152" s="19">
        <f>IF(C152="","",IFERROR(INDEX(Materials!$C$6:$C$205,MATCH(C152,Materials!$B$6:$B$205,0))&amp;"","Add it to Materials"))</f>
        <v/>
      </c>
      <c r="F152" s="22">
        <f>IF(OR(C152="",E152="Add it to Materials"),"",N(D152)*INDEX(Materials!$F$6:$F$205,MATCH(C152,Materials!$B$6:$B$205,0)))</f>
        <v/>
      </c>
      <c r="G152" s="39">
        <f>IF(OR(B152="",C152=""),"",N(D152)*SUMIFS(Orders!$W$6:$W$1005,Orders!$D$6:$D$1005,B152))</f>
        <v/>
      </c>
      <c r="H152" s="1" t="n"/>
    </row>
    <row r="153">
      <c r="A153" s="1" t="n"/>
      <c r="B153" s="33" t="n"/>
      <c r="C153" s="33" t="n"/>
      <c r="D153" s="36" t="n"/>
      <c r="E153" s="19">
        <f>IF(C153="","",IFERROR(INDEX(Materials!$C$6:$C$205,MATCH(C153,Materials!$B$6:$B$205,0))&amp;"","Add it to Materials"))</f>
        <v/>
      </c>
      <c r="F153" s="22">
        <f>IF(OR(C153="",E153="Add it to Materials"),"",N(D153)*INDEX(Materials!$F$6:$F$205,MATCH(C153,Materials!$B$6:$B$205,0)))</f>
        <v/>
      </c>
      <c r="G153" s="39">
        <f>IF(OR(B153="",C153=""),"",N(D153)*SUMIFS(Orders!$W$6:$W$1005,Orders!$D$6:$D$1005,B153))</f>
        <v/>
      </c>
      <c r="H153" s="1" t="n"/>
    </row>
    <row r="154">
      <c r="A154" s="1" t="n"/>
      <c r="B154" s="33" t="n"/>
      <c r="C154" s="33" t="n"/>
      <c r="D154" s="36" t="n"/>
      <c r="E154" s="19">
        <f>IF(C154="","",IFERROR(INDEX(Materials!$C$6:$C$205,MATCH(C154,Materials!$B$6:$B$205,0))&amp;"","Add it to Materials"))</f>
        <v/>
      </c>
      <c r="F154" s="22">
        <f>IF(OR(C154="",E154="Add it to Materials"),"",N(D154)*INDEX(Materials!$F$6:$F$205,MATCH(C154,Materials!$B$6:$B$205,0)))</f>
        <v/>
      </c>
      <c r="G154" s="39">
        <f>IF(OR(B154="",C154=""),"",N(D154)*SUMIFS(Orders!$W$6:$W$1005,Orders!$D$6:$D$1005,B154))</f>
        <v/>
      </c>
      <c r="H154" s="1" t="n"/>
    </row>
    <row r="155">
      <c r="A155" s="1" t="n"/>
      <c r="B155" s="33" t="n"/>
      <c r="C155" s="33" t="n"/>
      <c r="D155" s="36" t="n"/>
      <c r="E155" s="19">
        <f>IF(C155="","",IFERROR(INDEX(Materials!$C$6:$C$205,MATCH(C155,Materials!$B$6:$B$205,0))&amp;"","Add it to Materials"))</f>
        <v/>
      </c>
      <c r="F155" s="22">
        <f>IF(OR(C155="",E155="Add it to Materials"),"",N(D155)*INDEX(Materials!$F$6:$F$205,MATCH(C155,Materials!$B$6:$B$205,0)))</f>
        <v/>
      </c>
      <c r="G155" s="39">
        <f>IF(OR(B155="",C155=""),"",N(D155)*SUMIFS(Orders!$W$6:$W$1005,Orders!$D$6:$D$1005,B155))</f>
        <v/>
      </c>
      <c r="H155" s="1" t="n"/>
    </row>
    <row r="156">
      <c r="A156" s="1" t="n"/>
      <c r="B156" s="33" t="n"/>
      <c r="C156" s="33" t="n"/>
      <c r="D156" s="36" t="n"/>
      <c r="E156" s="19">
        <f>IF(C156="","",IFERROR(INDEX(Materials!$C$6:$C$205,MATCH(C156,Materials!$B$6:$B$205,0))&amp;"","Add it to Materials"))</f>
        <v/>
      </c>
      <c r="F156" s="22">
        <f>IF(OR(C156="",E156="Add it to Materials"),"",N(D156)*INDEX(Materials!$F$6:$F$205,MATCH(C156,Materials!$B$6:$B$205,0)))</f>
        <v/>
      </c>
      <c r="G156" s="39">
        <f>IF(OR(B156="",C156=""),"",N(D156)*SUMIFS(Orders!$W$6:$W$1005,Orders!$D$6:$D$1005,B156))</f>
        <v/>
      </c>
      <c r="H156" s="1" t="n"/>
    </row>
    <row r="157">
      <c r="A157" s="1" t="n"/>
      <c r="B157" s="33" t="n"/>
      <c r="C157" s="33" t="n"/>
      <c r="D157" s="36" t="n"/>
      <c r="E157" s="19">
        <f>IF(C157="","",IFERROR(INDEX(Materials!$C$6:$C$205,MATCH(C157,Materials!$B$6:$B$205,0))&amp;"","Add it to Materials"))</f>
        <v/>
      </c>
      <c r="F157" s="22">
        <f>IF(OR(C157="",E157="Add it to Materials"),"",N(D157)*INDEX(Materials!$F$6:$F$205,MATCH(C157,Materials!$B$6:$B$205,0)))</f>
        <v/>
      </c>
      <c r="G157" s="39">
        <f>IF(OR(B157="",C157=""),"",N(D157)*SUMIFS(Orders!$W$6:$W$1005,Orders!$D$6:$D$1005,B157))</f>
        <v/>
      </c>
      <c r="H157" s="1" t="n"/>
    </row>
    <row r="158">
      <c r="A158" s="1" t="n"/>
      <c r="B158" s="33" t="n"/>
      <c r="C158" s="33" t="n"/>
      <c r="D158" s="36" t="n"/>
      <c r="E158" s="19">
        <f>IF(C158="","",IFERROR(INDEX(Materials!$C$6:$C$205,MATCH(C158,Materials!$B$6:$B$205,0))&amp;"","Add it to Materials"))</f>
        <v/>
      </c>
      <c r="F158" s="22">
        <f>IF(OR(C158="",E158="Add it to Materials"),"",N(D158)*INDEX(Materials!$F$6:$F$205,MATCH(C158,Materials!$B$6:$B$205,0)))</f>
        <v/>
      </c>
      <c r="G158" s="39">
        <f>IF(OR(B158="",C158=""),"",N(D158)*SUMIFS(Orders!$W$6:$W$1005,Orders!$D$6:$D$1005,B158))</f>
        <v/>
      </c>
      <c r="H158" s="1" t="n"/>
    </row>
    <row r="159">
      <c r="A159" s="1" t="n"/>
      <c r="B159" s="33" t="n"/>
      <c r="C159" s="33" t="n"/>
      <c r="D159" s="36" t="n"/>
      <c r="E159" s="19">
        <f>IF(C159="","",IFERROR(INDEX(Materials!$C$6:$C$205,MATCH(C159,Materials!$B$6:$B$205,0))&amp;"","Add it to Materials"))</f>
        <v/>
      </c>
      <c r="F159" s="22">
        <f>IF(OR(C159="",E159="Add it to Materials"),"",N(D159)*INDEX(Materials!$F$6:$F$205,MATCH(C159,Materials!$B$6:$B$205,0)))</f>
        <v/>
      </c>
      <c r="G159" s="39">
        <f>IF(OR(B159="",C159=""),"",N(D159)*SUMIFS(Orders!$W$6:$W$1005,Orders!$D$6:$D$1005,B159))</f>
        <v/>
      </c>
      <c r="H159" s="1" t="n"/>
    </row>
    <row r="160">
      <c r="A160" s="1" t="n"/>
      <c r="B160" s="33" t="n"/>
      <c r="C160" s="33" t="n"/>
      <c r="D160" s="36" t="n"/>
      <c r="E160" s="19">
        <f>IF(C160="","",IFERROR(INDEX(Materials!$C$6:$C$205,MATCH(C160,Materials!$B$6:$B$205,0))&amp;"","Add it to Materials"))</f>
        <v/>
      </c>
      <c r="F160" s="22">
        <f>IF(OR(C160="",E160="Add it to Materials"),"",N(D160)*INDEX(Materials!$F$6:$F$205,MATCH(C160,Materials!$B$6:$B$205,0)))</f>
        <v/>
      </c>
      <c r="G160" s="39">
        <f>IF(OR(B160="",C160=""),"",N(D160)*SUMIFS(Orders!$W$6:$W$1005,Orders!$D$6:$D$1005,B160))</f>
        <v/>
      </c>
      <c r="H160" s="1" t="n"/>
    </row>
    <row r="161">
      <c r="A161" s="1" t="n"/>
      <c r="B161" s="33" t="n"/>
      <c r="C161" s="33" t="n"/>
      <c r="D161" s="36" t="n"/>
      <c r="E161" s="19">
        <f>IF(C161="","",IFERROR(INDEX(Materials!$C$6:$C$205,MATCH(C161,Materials!$B$6:$B$205,0))&amp;"","Add it to Materials"))</f>
        <v/>
      </c>
      <c r="F161" s="22">
        <f>IF(OR(C161="",E161="Add it to Materials"),"",N(D161)*INDEX(Materials!$F$6:$F$205,MATCH(C161,Materials!$B$6:$B$205,0)))</f>
        <v/>
      </c>
      <c r="G161" s="39">
        <f>IF(OR(B161="",C161=""),"",N(D161)*SUMIFS(Orders!$W$6:$W$1005,Orders!$D$6:$D$1005,B161))</f>
        <v/>
      </c>
      <c r="H161" s="1" t="n"/>
    </row>
    <row r="162">
      <c r="A162" s="1" t="n"/>
      <c r="B162" s="33" t="n"/>
      <c r="C162" s="33" t="n"/>
      <c r="D162" s="36" t="n"/>
      <c r="E162" s="19">
        <f>IF(C162="","",IFERROR(INDEX(Materials!$C$6:$C$205,MATCH(C162,Materials!$B$6:$B$205,0))&amp;"","Add it to Materials"))</f>
        <v/>
      </c>
      <c r="F162" s="22">
        <f>IF(OR(C162="",E162="Add it to Materials"),"",N(D162)*INDEX(Materials!$F$6:$F$205,MATCH(C162,Materials!$B$6:$B$205,0)))</f>
        <v/>
      </c>
      <c r="G162" s="39">
        <f>IF(OR(B162="",C162=""),"",N(D162)*SUMIFS(Orders!$W$6:$W$1005,Orders!$D$6:$D$1005,B162))</f>
        <v/>
      </c>
      <c r="H162" s="1" t="n"/>
    </row>
    <row r="163">
      <c r="A163" s="1" t="n"/>
      <c r="B163" s="33" t="n"/>
      <c r="C163" s="33" t="n"/>
      <c r="D163" s="36" t="n"/>
      <c r="E163" s="19">
        <f>IF(C163="","",IFERROR(INDEX(Materials!$C$6:$C$205,MATCH(C163,Materials!$B$6:$B$205,0))&amp;"","Add it to Materials"))</f>
        <v/>
      </c>
      <c r="F163" s="22">
        <f>IF(OR(C163="",E163="Add it to Materials"),"",N(D163)*INDEX(Materials!$F$6:$F$205,MATCH(C163,Materials!$B$6:$B$205,0)))</f>
        <v/>
      </c>
      <c r="G163" s="39">
        <f>IF(OR(B163="",C163=""),"",N(D163)*SUMIFS(Orders!$W$6:$W$1005,Orders!$D$6:$D$1005,B163))</f>
        <v/>
      </c>
      <c r="H163" s="1" t="n"/>
    </row>
    <row r="164">
      <c r="A164" s="1" t="n"/>
      <c r="B164" s="33" t="n"/>
      <c r="C164" s="33" t="n"/>
      <c r="D164" s="36" t="n"/>
      <c r="E164" s="19">
        <f>IF(C164="","",IFERROR(INDEX(Materials!$C$6:$C$205,MATCH(C164,Materials!$B$6:$B$205,0))&amp;"","Add it to Materials"))</f>
        <v/>
      </c>
      <c r="F164" s="22">
        <f>IF(OR(C164="",E164="Add it to Materials"),"",N(D164)*INDEX(Materials!$F$6:$F$205,MATCH(C164,Materials!$B$6:$B$205,0)))</f>
        <v/>
      </c>
      <c r="G164" s="39">
        <f>IF(OR(B164="",C164=""),"",N(D164)*SUMIFS(Orders!$W$6:$W$1005,Orders!$D$6:$D$1005,B164))</f>
        <v/>
      </c>
      <c r="H164" s="1" t="n"/>
    </row>
    <row r="165">
      <c r="A165" s="1" t="n"/>
      <c r="B165" s="33" t="n"/>
      <c r="C165" s="33" t="n"/>
      <c r="D165" s="36" t="n"/>
      <c r="E165" s="19">
        <f>IF(C165="","",IFERROR(INDEX(Materials!$C$6:$C$205,MATCH(C165,Materials!$B$6:$B$205,0))&amp;"","Add it to Materials"))</f>
        <v/>
      </c>
      <c r="F165" s="22">
        <f>IF(OR(C165="",E165="Add it to Materials"),"",N(D165)*INDEX(Materials!$F$6:$F$205,MATCH(C165,Materials!$B$6:$B$205,0)))</f>
        <v/>
      </c>
      <c r="G165" s="39">
        <f>IF(OR(B165="",C165=""),"",N(D165)*SUMIFS(Orders!$W$6:$W$1005,Orders!$D$6:$D$1005,B165))</f>
        <v/>
      </c>
      <c r="H165" s="1" t="n"/>
    </row>
    <row r="166">
      <c r="A166" s="1" t="n"/>
      <c r="B166" s="33" t="n"/>
      <c r="C166" s="33" t="n"/>
      <c r="D166" s="36" t="n"/>
      <c r="E166" s="19">
        <f>IF(C166="","",IFERROR(INDEX(Materials!$C$6:$C$205,MATCH(C166,Materials!$B$6:$B$205,0))&amp;"","Add it to Materials"))</f>
        <v/>
      </c>
      <c r="F166" s="22">
        <f>IF(OR(C166="",E166="Add it to Materials"),"",N(D166)*INDEX(Materials!$F$6:$F$205,MATCH(C166,Materials!$B$6:$B$205,0)))</f>
        <v/>
      </c>
      <c r="G166" s="39">
        <f>IF(OR(B166="",C166=""),"",N(D166)*SUMIFS(Orders!$W$6:$W$1005,Orders!$D$6:$D$1005,B166))</f>
        <v/>
      </c>
      <c r="H166" s="1" t="n"/>
    </row>
    <row r="167">
      <c r="A167" s="1" t="n"/>
      <c r="B167" s="33" t="n"/>
      <c r="C167" s="33" t="n"/>
      <c r="D167" s="36" t="n"/>
      <c r="E167" s="19">
        <f>IF(C167="","",IFERROR(INDEX(Materials!$C$6:$C$205,MATCH(C167,Materials!$B$6:$B$205,0))&amp;"","Add it to Materials"))</f>
        <v/>
      </c>
      <c r="F167" s="22">
        <f>IF(OR(C167="",E167="Add it to Materials"),"",N(D167)*INDEX(Materials!$F$6:$F$205,MATCH(C167,Materials!$B$6:$B$205,0)))</f>
        <v/>
      </c>
      <c r="G167" s="39">
        <f>IF(OR(B167="",C167=""),"",N(D167)*SUMIFS(Orders!$W$6:$W$1005,Orders!$D$6:$D$1005,B167))</f>
        <v/>
      </c>
      <c r="H167" s="1" t="n"/>
    </row>
    <row r="168">
      <c r="A168" s="1" t="n"/>
      <c r="B168" s="33" t="n"/>
      <c r="C168" s="33" t="n"/>
      <c r="D168" s="36" t="n"/>
      <c r="E168" s="19">
        <f>IF(C168="","",IFERROR(INDEX(Materials!$C$6:$C$205,MATCH(C168,Materials!$B$6:$B$205,0))&amp;"","Add it to Materials"))</f>
        <v/>
      </c>
      <c r="F168" s="22">
        <f>IF(OR(C168="",E168="Add it to Materials"),"",N(D168)*INDEX(Materials!$F$6:$F$205,MATCH(C168,Materials!$B$6:$B$205,0)))</f>
        <v/>
      </c>
      <c r="G168" s="39">
        <f>IF(OR(B168="",C168=""),"",N(D168)*SUMIFS(Orders!$W$6:$W$1005,Orders!$D$6:$D$1005,B168))</f>
        <v/>
      </c>
      <c r="H168" s="1" t="n"/>
    </row>
    <row r="169">
      <c r="A169" s="1" t="n"/>
      <c r="B169" s="33" t="n"/>
      <c r="C169" s="33" t="n"/>
      <c r="D169" s="36" t="n"/>
      <c r="E169" s="19">
        <f>IF(C169="","",IFERROR(INDEX(Materials!$C$6:$C$205,MATCH(C169,Materials!$B$6:$B$205,0))&amp;"","Add it to Materials"))</f>
        <v/>
      </c>
      <c r="F169" s="22">
        <f>IF(OR(C169="",E169="Add it to Materials"),"",N(D169)*INDEX(Materials!$F$6:$F$205,MATCH(C169,Materials!$B$6:$B$205,0)))</f>
        <v/>
      </c>
      <c r="G169" s="39">
        <f>IF(OR(B169="",C169=""),"",N(D169)*SUMIFS(Orders!$W$6:$W$1005,Orders!$D$6:$D$1005,B169))</f>
        <v/>
      </c>
      <c r="H169" s="1" t="n"/>
    </row>
    <row r="170">
      <c r="A170" s="1" t="n"/>
      <c r="B170" s="33" t="n"/>
      <c r="C170" s="33" t="n"/>
      <c r="D170" s="36" t="n"/>
      <c r="E170" s="19">
        <f>IF(C170="","",IFERROR(INDEX(Materials!$C$6:$C$205,MATCH(C170,Materials!$B$6:$B$205,0))&amp;"","Add it to Materials"))</f>
        <v/>
      </c>
      <c r="F170" s="22">
        <f>IF(OR(C170="",E170="Add it to Materials"),"",N(D170)*INDEX(Materials!$F$6:$F$205,MATCH(C170,Materials!$B$6:$B$205,0)))</f>
        <v/>
      </c>
      <c r="G170" s="39">
        <f>IF(OR(B170="",C170=""),"",N(D170)*SUMIFS(Orders!$W$6:$W$1005,Orders!$D$6:$D$1005,B170))</f>
        <v/>
      </c>
      <c r="H170" s="1" t="n"/>
    </row>
    <row r="171">
      <c r="A171" s="1" t="n"/>
      <c r="B171" s="33" t="n"/>
      <c r="C171" s="33" t="n"/>
      <c r="D171" s="36" t="n"/>
      <c r="E171" s="19">
        <f>IF(C171="","",IFERROR(INDEX(Materials!$C$6:$C$205,MATCH(C171,Materials!$B$6:$B$205,0))&amp;"","Add it to Materials"))</f>
        <v/>
      </c>
      <c r="F171" s="22">
        <f>IF(OR(C171="",E171="Add it to Materials"),"",N(D171)*INDEX(Materials!$F$6:$F$205,MATCH(C171,Materials!$B$6:$B$205,0)))</f>
        <v/>
      </c>
      <c r="G171" s="39">
        <f>IF(OR(B171="",C171=""),"",N(D171)*SUMIFS(Orders!$W$6:$W$1005,Orders!$D$6:$D$1005,B171))</f>
        <v/>
      </c>
      <c r="H171" s="1" t="n"/>
    </row>
    <row r="172">
      <c r="A172" s="1" t="n"/>
      <c r="B172" s="33" t="n"/>
      <c r="C172" s="33" t="n"/>
      <c r="D172" s="36" t="n"/>
      <c r="E172" s="19">
        <f>IF(C172="","",IFERROR(INDEX(Materials!$C$6:$C$205,MATCH(C172,Materials!$B$6:$B$205,0))&amp;"","Add it to Materials"))</f>
        <v/>
      </c>
      <c r="F172" s="22">
        <f>IF(OR(C172="",E172="Add it to Materials"),"",N(D172)*INDEX(Materials!$F$6:$F$205,MATCH(C172,Materials!$B$6:$B$205,0)))</f>
        <v/>
      </c>
      <c r="G172" s="39">
        <f>IF(OR(B172="",C172=""),"",N(D172)*SUMIFS(Orders!$W$6:$W$1005,Orders!$D$6:$D$1005,B172))</f>
        <v/>
      </c>
      <c r="H172" s="1" t="n"/>
    </row>
    <row r="173">
      <c r="A173" s="1" t="n"/>
      <c r="B173" s="33" t="n"/>
      <c r="C173" s="33" t="n"/>
      <c r="D173" s="36" t="n"/>
      <c r="E173" s="19">
        <f>IF(C173="","",IFERROR(INDEX(Materials!$C$6:$C$205,MATCH(C173,Materials!$B$6:$B$205,0))&amp;"","Add it to Materials"))</f>
        <v/>
      </c>
      <c r="F173" s="22">
        <f>IF(OR(C173="",E173="Add it to Materials"),"",N(D173)*INDEX(Materials!$F$6:$F$205,MATCH(C173,Materials!$B$6:$B$205,0)))</f>
        <v/>
      </c>
      <c r="G173" s="39">
        <f>IF(OR(B173="",C173=""),"",N(D173)*SUMIFS(Orders!$W$6:$W$1005,Orders!$D$6:$D$1005,B173))</f>
        <v/>
      </c>
      <c r="H173" s="1" t="n"/>
    </row>
    <row r="174">
      <c r="A174" s="1" t="n"/>
      <c r="B174" s="33" t="n"/>
      <c r="C174" s="33" t="n"/>
      <c r="D174" s="36" t="n"/>
      <c r="E174" s="19">
        <f>IF(C174="","",IFERROR(INDEX(Materials!$C$6:$C$205,MATCH(C174,Materials!$B$6:$B$205,0))&amp;"","Add it to Materials"))</f>
        <v/>
      </c>
      <c r="F174" s="22">
        <f>IF(OR(C174="",E174="Add it to Materials"),"",N(D174)*INDEX(Materials!$F$6:$F$205,MATCH(C174,Materials!$B$6:$B$205,0)))</f>
        <v/>
      </c>
      <c r="G174" s="39">
        <f>IF(OR(B174="",C174=""),"",N(D174)*SUMIFS(Orders!$W$6:$W$1005,Orders!$D$6:$D$1005,B174))</f>
        <v/>
      </c>
      <c r="H174" s="1" t="n"/>
    </row>
    <row r="175">
      <c r="A175" s="1" t="n"/>
      <c r="B175" s="33" t="n"/>
      <c r="C175" s="33" t="n"/>
      <c r="D175" s="36" t="n"/>
      <c r="E175" s="19">
        <f>IF(C175="","",IFERROR(INDEX(Materials!$C$6:$C$205,MATCH(C175,Materials!$B$6:$B$205,0))&amp;"","Add it to Materials"))</f>
        <v/>
      </c>
      <c r="F175" s="22">
        <f>IF(OR(C175="",E175="Add it to Materials"),"",N(D175)*INDEX(Materials!$F$6:$F$205,MATCH(C175,Materials!$B$6:$B$205,0)))</f>
        <v/>
      </c>
      <c r="G175" s="39">
        <f>IF(OR(B175="",C175=""),"",N(D175)*SUMIFS(Orders!$W$6:$W$1005,Orders!$D$6:$D$1005,B175))</f>
        <v/>
      </c>
      <c r="H175" s="1" t="n"/>
    </row>
    <row r="176">
      <c r="A176" s="1" t="n"/>
      <c r="B176" s="33" t="n"/>
      <c r="C176" s="33" t="n"/>
      <c r="D176" s="36" t="n"/>
      <c r="E176" s="19">
        <f>IF(C176="","",IFERROR(INDEX(Materials!$C$6:$C$205,MATCH(C176,Materials!$B$6:$B$205,0))&amp;"","Add it to Materials"))</f>
        <v/>
      </c>
      <c r="F176" s="22">
        <f>IF(OR(C176="",E176="Add it to Materials"),"",N(D176)*INDEX(Materials!$F$6:$F$205,MATCH(C176,Materials!$B$6:$B$205,0)))</f>
        <v/>
      </c>
      <c r="G176" s="39">
        <f>IF(OR(B176="",C176=""),"",N(D176)*SUMIFS(Orders!$W$6:$W$1005,Orders!$D$6:$D$1005,B176))</f>
        <v/>
      </c>
      <c r="H176" s="1" t="n"/>
    </row>
    <row r="177">
      <c r="A177" s="1" t="n"/>
      <c r="B177" s="33" t="n"/>
      <c r="C177" s="33" t="n"/>
      <c r="D177" s="36" t="n"/>
      <c r="E177" s="19">
        <f>IF(C177="","",IFERROR(INDEX(Materials!$C$6:$C$205,MATCH(C177,Materials!$B$6:$B$205,0))&amp;"","Add it to Materials"))</f>
        <v/>
      </c>
      <c r="F177" s="22">
        <f>IF(OR(C177="",E177="Add it to Materials"),"",N(D177)*INDEX(Materials!$F$6:$F$205,MATCH(C177,Materials!$B$6:$B$205,0)))</f>
        <v/>
      </c>
      <c r="G177" s="39">
        <f>IF(OR(B177="",C177=""),"",N(D177)*SUMIFS(Orders!$W$6:$W$1005,Orders!$D$6:$D$1005,B177))</f>
        <v/>
      </c>
      <c r="H177" s="1" t="n"/>
    </row>
    <row r="178">
      <c r="A178" s="1" t="n"/>
      <c r="B178" s="33" t="n"/>
      <c r="C178" s="33" t="n"/>
      <c r="D178" s="36" t="n"/>
      <c r="E178" s="19">
        <f>IF(C178="","",IFERROR(INDEX(Materials!$C$6:$C$205,MATCH(C178,Materials!$B$6:$B$205,0))&amp;"","Add it to Materials"))</f>
        <v/>
      </c>
      <c r="F178" s="22">
        <f>IF(OR(C178="",E178="Add it to Materials"),"",N(D178)*INDEX(Materials!$F$6:$F$205,MATCH(C178,Materials!$B$6:$B$205,0)))</f>
        <v/>
      </c>
      <c r="G178" s="39">
        <f>IF(OR(B178="",C178=""),"",N(D178)*SUMIFS(Orders!$W$6:$W$1005,Orders!$D$6:$D$1005,B178))</f>
        <v/>
      </c>
      <c r="H178" s="1" t="n"/>
    </row>
    <row r="179">
      <c r="A179" s="1" t="n"/>
      <c r="B179" s="33" t="n"/>
      <c r="C179" s="33" t="n"/>
      <c r="D179" s="36" t="n"/>
      <c r="E179" s="19">
        <f>IF(C179="","",IFERROR(INDEX(Materials!$C$6:$C$205,MATCH(C179,Materials!$B$6:$B$205,0))&amp;"","Add it to Materials"))</f>
        <v/>
      </c>
      <c r="F179" s="22">
        <f>IF(OR(C179="",E179="Add it to Materials"),"",N(D179)*INDEX(Materials!$F$6:$F$205,MATCH(C179,Materials!$B$6:$B$205,0)))</f>
        <v/>
      </c>
      <c r="G179" s="39">
        <f>IF(OR(B179="",C179=""),"",N(D179)*SUMIFS(Orders!$W$6:$W$1005,Orders!$D$6:$D$1005,B179))</f>
        <v/>
      </c>
      <c r="H179" s="1" t="n"/>
    </row>
    <row r="180">
      <c r="A180" s="1" t="n"/>
      <c r="B180" s="33" t="n"/>
      <c r="C180" s="33" t="n"/>
      <c r="D180" s="36" t="n"/>
      <c r="E180" s="19">
        <f>IF(C180="","",IFERROR(INDEX(Materials!$C$6:$C$205,MATCH(C180,Materials!$B$6:$B$205,0))&amp;"","Add it to Materials"))</f>
        <v/>
      </c>
      <c r="F180" s="22">
        <f>IF(OR(C180="",E180="Add it to Materials"),"",N(D180)*INDEX(Materials!$F$6:$F$205,MATCH(C180,Materials!$B$6:$B$205,0)))</f>
        <v/>
      </c>
      <c r="G180" s="39">
        <f>IF(OR(B180="",C180=""),"",N(D180)*SUMIFS(Orders!$W$6:$W$1005,Orders!$D$6:$D$1005,B180))</f>
        <v/>
      </c>
      <c r="H180" s="1" t="n"/>
    </row>
    <row r="181">
      <c r="A181" s="1" t="n"/>
      <c r="B181" s="33" t="n"/>
      <c r="C181" s="33" t="n"/>
      <c r="D181" s="36" t="n"/>
      <c r="E181" s="19">
        <f>IF(C181="","",IFERROR(INDEX(Materials!$C$6:$C$205,MATCH(C181,Materials!$B$6:$B$205,0))&amp;"","Add it to Materials"))</f>
        <v/>
      </c>
      <c r="F181" s="22">
        <f>IF(OR(C181="",E181="Add it to Materials"),"",N(D181)*INDEX(Materials!$F$6:$F$205,MATCH(C181,Materials!$B$6:$B$205,0)))</f>
        <v/>
      </c>
      <c r="G181" s="39">
        <f>IF(OR(B181="",C181=""),"",N(D181)*SUMIFS(Orders!$W$6:$W$1005,Orders!$D$6:$D$1005,B181))</f>
        <v/>
      </c>
      <c r="H181" s="1" t="n"/>
    </row>
    <row r="182">
      <c r="A182" s="1" t="n"/>
      <c r="B182" s="33" t="n"/>
      <c r="C182" s="33" t="n"/>
      <c r="D182" s="36" t="n"/>
      <c r="E182" s="19">
        <f>IF(C182="","",IFERROR(INDEX(Materials!$C$6:$C$205,MATCH(C182,Materials!$B$6:$B$205,0))&amp;"","Add it to Materials"))</f>
        <v/>
      </c>
      <c r="F182" s="22">
        <f>IF(OR(C182="",E182="Add it to Materials"),"",N(D182)*INDEX(Materials!$F$6:$F$205,MATCH(C182,Materials!$B$6:$B$205,0)))</f>
        <v/>
      </c>
      <c r="G182" s="39">
        <f>IF(OR(B182="",C182=""),"",N(D182)*SUMIFS(Orders!$W$6:$W$1005,Orders!$D$6:$D$1005,B182))</f>
        <v/>
      </c>
      <c r="H182" s="1" t="n"/>
    </row>
    <row r="183">
      <c r="A183" s="1" t="n"/>
      <c r="B183" s="33" t="n"/>
      <c r="C183" s="33" t="n"/>
      <c r="D183" s="36" t="n"/>
      <c r="E183" s="19">
        <f>IF(C183="","",IFERROR(INDEX(Materials!$C$6:$C$205,MATCH(C183,Materials!$B$6:$B$205,0))&amp;"","Add it to Materials"))</f>
        <v/>
      </c>
      <c r="F183" s="22">
        <f>IF(OR(C183="",E183="Add it to Materials"),"",N(D183)*INDEX(Materials!$F$6:$F$205,MATCH(C183,Materials!$B$6:$B$205,0)))</f>
        <v/>
      </c>
      <c r="G183" s="39">
        <f>IF(OR(B183="",C183=""),"",N(D183)*SUMIFS(Orders!$W$6:$W$1005,Orders!$D$6:$D$1005,B183))</f>
        <v/>
      </c>
      <c r="H183" s="1" t="n"/>
    </row>
    <row r="184">
      <c r="A184" s="1" t="n"/>
      <c r="B184" s="33" t="n"/>
      <c r="C184" s="33" t="n"/>
      <c r="D184" s="36" t="n"/>
      <c r="E184" s="19">
        <f>IF(C184="","",IFERROR(INDEX(Materials!$C$6:$C$205,MATCH(C184,Materials!$B$6:$B$205,0))&amp;"","Add it to Materials"))</f>
        <v/>
      </c>
      <c r="F184" s="22">
        <f>IF(OR(C184="",E184="Add it to Materials"),"",N(D184)*INDEX(Materials!$F$6:$F$205,MATCH(C184,Materials!$B$6:$B$205,0)))</f>
        <v/>
      </c>
      <c r="G184" s="39">
        <f>IF(OR(B184="",C184=""),"",N(D184)*SUMIFS(Orders!$W$6:$W$1005,Orders!$D$6:$D$1005,B184))</f>
        <v/>
      </c>
      <c r="H184" s="1" t="n"/>
    </row>
    <row r="185">
      <c r="A185" s="1" t="n"/>
      <c r="B185" s="33" t="n"/>
      <c r="C185" s="33" t="n"/>
      <c r="D185" s="36" t="n"/>
      <c r="E185" s="19">
        <f>IF(C185="","",IFERROR(INDEX(Materials!$C$6:$C$205,MATCH(C185,Materials!$B$6:$B$205,0))&amp;"","Add it to Materials"))</f>
        <v/>
      </c>
      <c r="F185" s="22">
        <f>IF(OR(C185="",E185="Add it to Materials"),"",N(D185)*INDEX(Materials!$F$6:$F$205,MATCH(C185,Materials!$B$6:$B$205,0)))</f>
        <v/>
      </c>
      <c r="G185" s="39">
        <f>IF(OR(B185="",C185=""),"",N(D185)*SUMIFS(Orders!$W$6:$W$1005,Orders!$D$6:$D$1005,B185))</f>
        <v/>
      </c>
      <c r="H185" s="1" t="n"/>
    </row>
    <row r="186">
      <c r="A186" s="1" t="n"/>
      <c r="B186" s="33" t="n"/>
      <c r="C186" s="33" t="n"/>
      <c r="D186" s="36" t="n"/>
      <c r="E186" s="19">
        <f>IF(C186="","",IFERROR(INDEX(Materials!$C$6:$C$205,MATCH(C186,Materials!$B$6:$B$205,0))&amp;"","Add it to Materials"))</f>
        <v/>
      </c>
      <c r="F186" s="22">
        <f>IF(OR(C186="",E186="Add it to Materials"),"",N(D186)*INDEX(Materials!$F$6:$F$205,MATCH(C186,Materials!$B$6:$B$205,0)))</f>
        <v/>
      </c>
      <c r="G186" s="39">
        <f>IF(OR(B186="",C186=""),"",N(D186)*SUMIFS(Orders!$W$6:$W$1005,Orders!$D$6:$D$1005,B186))</f>
        <v/>
      </c>
      <c r="H186" s="1" t="n"/>
    </row>
    <row r="187">
      <c r="A187" s="1" t="n"/>
      <c r="B187" s="33" t="n"/>
      <c r="C187" s="33" t="n"/>
      <c r="D187" s="36" t="n"/>
      <c r="E187" s="19">
        <f>IF(C187="","",IFERROR(INDEX(Materials!$C$6:$C$205,MATCH(C187,Materials!$B$6:$B$205,0))&amp;"","Add it to Materials"))</f>
        <v/>
      </c>
      <c r="F187" s="22">
        <f>IF(OR(C187="",E187="Add it to Materials"),"",N(D187)*INDEX(Materials!$F$6:$F$205,MATCH(C187,Materials!$B$6:$B$205,0)))</f>
        <v/>
      </c>
      <c r="G187" s="39">
        <f>IF(OR(B187="",C187=""),"",N(D187)*SUMIFS(Orders!$W$6:$W$1005,Orders!$D$6:$D$1005,B187))</f>
        <v/>
      </c>
      <c r="H187" s="1" t="n"/>
    </row>
    <row r="188">
      <c r="A188" s="1" t="n"/>
      <c r="B188" s="33" t="n"/>
      <c r="C188" s="33" t="n"/>
      <c r="D188" s="36" t="n"/>
      <c r="E188" s="19">
        <f>IF(C188="","",IFERROR(INDEX(Materials!$C$6:$C$205,MATCH(C188,Materials!$B$6:$B$205,0))&amp;"","Add it to Materials"))</f>
        <v/>
      </c>
      <c r="F188" s="22">
        <f>IF(OR(C188="",E188="Add it to Materials"),"",N(D188)*INDEX(Materials!$F$6:$F$205,MATCH(C188,Materials!$B$6:$B$205,0)))</f>
        <v/>
      </c>
      <c r="G188" s="39">
        <f>IF(OR(B188="",C188=""),"",N(D188)*SUMIFS(Orders!$W$6:$W$1005,Orders!$D$6:$D$1005,B188))</f>
        <v/>
      </c>
      <c r="H188" s="1" t="n"/>
    </row>
    <row r="189">
      <c r="A189" s="1" t="n"/>
      <c r="B189" s="33" t="n"/>
      <c r="C189" s="33" t="n"/>
      <c r="D189" s="36" t="n"/>
      <c r="E189" s="19">
        <f>IF(C189="","",IFERROR(INDEX(Materials!$C$6:$C$205,MATCH(C189,Materials!$B$6:$B$205,0))&amp;"","Add it to Materials"))</f>
        <v/>
      </c>
      <c r="F189" s="22">
        <f>IF(OR(C189="",E189="Add it to Materials"),"",N(D189)*INDEX(Materials!$F$6:$F$205,MATCH(C189,Materials!$B$6:$B$205,0)))</f>
        <v/>
      </c>
      <c r="G189" s="39">
        <f>IF(OR(B189="",C189=""),"",N(D189)*SUMIFS(Orders!$W$6:$W$1005,Orders!$D$6:$D$1005,B189))</f>
        <v/>
      </c>
      <c r="H189" s="1" t="n"/>
    </row>
    <row r="190">
      <c r="A190" s="1" t="n"/>
      <c r="B190" s="33" t="n"/>
      <c r="C190" s="33" t="n"/>
      <c r="D190" s="36" t="n"/>
      <c r="E190" s="19">
        <f>IF(C190="","",IFERROR(INDEX(Materials!$C$6:$C$205,MATCH(C190,Materials!$B$6:$B$205,0))&amp;"","Add it to Materials"))</f>
        <v/>
      </c>
      <c r="F190" s="22">
        <f>IF(OR(C190="",E190="Add it to Materials"),"",N(D190)*INDEX(Materials!$F$6:$F$205,MATCH(C190,Materials!$B$6:$B$205,0)))</f>
        <v/>
      </c>
      <c r="G190" s="39">
        <f>IF(OR(B190="",C190=""),"",N(D190)*SUMIFS(Orders!$W$6:$W$1005,Orders!$D$6:$D$1005,B190))</f>
        <v/>
      </c>
      <c r="H190" s="1" t="n"/>
    </row>
    <row r="191">
      <c r="A191" s="1" t="n"/>
      <c r="B191" s="33" t="n"/>
      <c r="C191" s="33" t="n"/>
      <c r="D191" s="36" t="n"/>
      <c r="E191" s="19">
        <f>IF(C191="","",IFERROR(INDEX(Materials!$C$6:$C$205,MATCH(C191,Materials!$B$6:$B$205,0))&amp;"","Add it to Materials"))</f>
        <v/>
      </c>
      <c r="F191" s="22">
        <f>IF(OR(C191="",E191="Add it to Materials"),"",N(D191)*INDEX(Materials!$F$6:$F$205,MATCH(C191,Materials!$B$6:$B$205,0)))</f>
        <v/>
      </c>
      <c r="G191" s="39">
        <f>IF(OR(B191="",C191=""),"",N(D191)*SUMIFS(Orders!$W$6:$W$1005,Orders!$D$6:$D$1005,B191))</f>
        <v/>
      </c>
      <c r="H191" s="1" t="n"/>
    </row>
    <row r="192">
      <c r="A192" s="1" t="n"/>
      <c r="B192" s="33" t="n"/>
      <c r="C192" s="33" t="n"/>
      <c r="D192" s="36" t="n"/>
      <c r="E192" s="19">
        <f>IF(C192="","",IFERROR(INDEX(Materials!$C$6:$C$205,MATCH(C192,Materials!$B$6:$B$205,0))&amp;"","Add it to Materials"))</f>
        <v/>
      </c>
      <c r="F192" s="22">
        <f>IF(OR(C192="",E192="Add it to Materials"),"",N(D192)*INDEX(Materials!$F$6:$F$205,MATCH(C192,Materials!$B$6:$B$205,0)))</f>
        <v/>
      </c>
      <c r="G192" s="39">
        <f>IF(OR(B192="",C192=""),"",N(D192)*SUMIFS(Orders!$W$6:$W$1005,Orders!$D$6:$D$1005,B192))</f>
        <v/>
      </c>
      <c r="H192" s="1" t="n"/>
    </row>
    <row r="193">
      <c r="A193" s="1" t="n"/>
      <c r="B193" s="33" t="n"/>
      <c r="C193" s="33" t="n"/>
      <c r="D193" s="36" t="n"/>
      <c r="E193" s="19">
        <f>IF(C193="","",IFERROR(INDEX(Materials!$C$6:$C$205,MATCH(C193,Materials!$B$6:$B$205,0))&amp;"","Add it to Materials"))</f>
        <v/>
      </c>
      <c r="F193" s="22">
        <f>IF(OR(C193="",E193="Add it to Materials"),"",N(D193)*INDEX(Materials!$F$6:$F$205,MATCH(C193,Materials!$B$6:$B$205,0)))</f>
        <v/>
      </c>
      <c r="G193" s="39">
        <f>IF(OR(B193="",C193=""),"",N(D193)*SUMIFS(Orders!$W$6:$W$1005,Orders!$D$6:$D$1005,B193))</f>
        <v/>
      </c>
      <c r="H193" s="1" t="n"/>
    </row>
    <row r="194">
      <c r="A194" s="1" t="n"/>
      <c r="B194" s="33" t="n"/>
      <c r="C194" s="33" t="n"/>
      <c r="D194" s="36" t="n"/>
      <c r="E194" s="19">
        <f>IF(C194="","",IFERROR(INDEX(Materials!$C$6:$C$205,MATCH(C194,Materials!$B$6:$B$205,0))&amp;"","Add it to Materials"))</f>
        <v/>
      </c>
      <c r="F194" s="22">
        <f>IF(OR(C194="",E194="Add it to Materials"),"",N(D194)*INDEX(Materials!$F$6:$F$205,MATCH(C194,Materials!$B$6:$B$205,0)))</f>
        <v/>
      </c>
      <c r="G194" s="39">
        <f>IF(OR(B194="",C194=""),"",N(D194)*SUMIFS(Orders!$W$6:$W$1005,Orders!$D$6:$D$1005,B194))</f>
        <v/>
      </c>
      <c r="H194" s="1" t="n"/>
    </row>
    <row r="195">
      <c r="A195" s="1" t="n"/>
      <c r="B195" s="33" t="n"/>
      <c r="C195" s="33" t="n"/>
      <c r="D195" s="36" t="n"/>
      <c r="E195" s="19">
        <f>IF(C195="","",IFERROR(INDEX(Materials!$C$6:$C$205,MATCH(C195,Materials!$B$6:$B$205,0))&amp;"","Add it to Materials"))</f>
        <v/>
      </c>
      <c r="F195" s="22">
        <f>IF(OR(C195="",E195="Add it to Materials"),"",N(D195)*INDEX(Materials!$F$6:$F$205,MATCH(C195,Materials!$B$6:$B$205,0)))</f>
        <v/>
      </c>
      <c r="G195" s="39">
        <f>IF(OR(B195="",C195=""),"",N(D195)*SUMIFS(Orders!$W$6:$W$1005,Orders!$D$6:$D$1005,B195))</f>
        <v/>
      </c>
      <c r="H195" s="1" t="n"/>
    </row>
    <row r="196">
      <c r="A196" s="1" t="n"/>
      <c r="B196" s="33" t="n"/>
      <c r="C196" s="33" t="n"/>
      <c r="D196" s="36" t="n"/>
      <c r="E196" s="19">
        <f>IF(C196="","",IFERROR(INDEX(Materials!$C$6:$C$205,MATCH(C196,Materials!$B$6:$B$205,0))&amp;"","Add it to Materials"))</f>
        <v/>
      </c>
      <c r="F196" s="22">
        <f>IF(OR(C196="",E196="Add it to Materials"),"",N(D196)*INDEX(Materials!$F$6:$F$205,MATCH(C196,Materials!$B$6:$B$205,0)))</f>
        <v/>
      </c>
      <c r="G196" s="39">
        <f>IF(OR(B196="",C196=""),"",N(D196)*SUMIFS(Orders!$W$6:$W$1005,Orders!$D$6:$D$1005,B196))</f>
        <v/>
      </c>
      <c r="H196" s="1" t="n"/>
    </row>
    <row r="197">
      <c r="A197" s="1" t="n"/>
      <c r="B197" s="33" t="n"/>
      <c r="C197" s="33" t="n"/>
      <c r="D197" s="36" t="n"/>
      <c r="E197" s="19">
        <f>IF(C197="","",IFERROR(INDEX(Materials!$C$6:$C$205,MATCH(C197,Materials!$B$6:$B$205,0))&amp;"","Add it to Materials"))</f>
        <v/>
      </c>
      <c r="F197" s="22">
        <f>IF(OR(C197="",E197="Add it to Materials"),"",N(D197)*INDEX(Materials!$F$6:$F$205,MATCH(C197,Materials!$B$6:$B$205,0)))</f>
        <v/>
      </c>
      <c r="G197" s="39">
        <f>IF(OR(B197="",C197=""),"",N(D197)*SUMIFS(Orders!$W$6:$W$1005,Orders!$D$6:$D$1005,B197))</f>
        <v/>
      </c>
      <c r="H197" s="1" t="n"/>
    </row>
    <row r="198">
      <c r="A198" s="1" t="n"/>
      <c r="B198" s="33" t="n"/>
      <c r="C198" s="33" t="n"/>
      <c r="D198" s="36" t="n"/>
      <c r="E198" s="19">
        <f>IF(C198="","",IFERROR(INDEX(Materials!$C$6:$C$205,MATCH(C198,Materials!$B$6:$B$205,0))&amp;"","Add it to Materials"))</f>
        <v/>
      </c>
      <c r="F198" s="22">
        <f>IF(OR(C198="",E198="Add it to Materials"),"",N(D198)*INDEX(Materials!$F$6:$F$205,MATCH(C198,Materials!$B$6:$B$205,0)))</f>
        <v/>
      </c>
      <c r="G198" s="39">
        <f>IF(OR(B198="",C198=""),"",N(D198)*SUMIFS(Orders!$W$6:$W$1005,Orders!$D$6:$D$1005,B198))</f>
        <v/>
      </c>
      <c r="H198" s="1" t="n"/>
    </row>
    <row r="199">
      <c r="A199" s="1" t="n"/>
      <c r="B199" s="33" t="n"/>
      <c r="C199" s="33" t="n"/>
      <c r="D199" s="36" t="n"/>
      <c r="E199" s="19">
        <f>IF(C199="","",IFERROR(INDEX(Materials!$C$6:$C$205,MATCH(C199,Materials!$B$6:$B$205,0))&amp;"","Add it to Materials"))</f>
        <v/>
      </c>
      <c r="F199" s="22">
        <f>IF(OR(C199="",E199="Add it to Materials"),"",N(D199)*INDEX(Materials!$F$6:$F$205,MATCH(C199,Materials!$B$6:$B$205,0)))</f>
        <v/>
      </c>
      <c r="G199" s="39">
        <f>IF(OR(B199="",C199=""),"",N(D199)*SUMIFS(Orders!$W$6:$W$1005,Orders!$D$6:$D$1005,B199))</f>
        <v/>
      </c>
      <c r="H199" s="1" t="n"/>
    </row>
    <row r="200">
      <c r="A200" s="1" t="n"/>
      <c r="B200" s="33" t="n"/>
      <c r="C200" s="33" t="n"/>
      <c r="D200" s="36" t="n"/>
      <c r="E200" s="19">
        <f>IF(C200="","",IFERROR(INDEX(Materials!$C$6:$C$205,MATCH(C200,Materials!$B$6:$B$205,0))&amp;"","Add it to Materials"))</f>
        <v/>
      </c>
      <c r="F200" s="22">
        <f>IF(OR(C200="",E200="Add it to Materials"),"",N(D200)*INDEX(Materials!$F$6:$F$205,MATCH(C200,Materials!$B$6:$B$205,0)))</f>
        <v/>
      </c>
      <c r="G200" s="39">
        <f>IF(OR(B200="",C200=""),"",N(D200)*SUMIFS(Orders!$W$6:$W$1005,Orders!$D$6:$D$1005,B200))</f>
        <v/>
      </c>
      <c r="H200" s="1" t="n"/>
    </row>
    <row r="201">
      <c r="A201" s="1" t="n"/>
      <c r="B201" s="33" t="n"/>
      <c r="C201" s="33" t="n"/>
      <c r="D201" s="36" t="n"/>
      <c r="E201" s="19">
        <f>IF(C201="","",IFERROR(INDEX(Materials!$C$6:$C$205,MATCH(C201,Materials!$B$6:$B$205,0))&amp;"","Add it to Materials"))</f>
        <v/>
      </c>
      <c r="F201" s="22">
        <f>IF(OR(C201="",E201="Add it to Materials"),"",N(D201)*INDEX(Materials!$F$6:$F$205,MATCH(C201,Materials!$B$6:$B$205,0)))</f>
        <v/>
      </c>
      <c r="G201" s="39">
        <f>IF(OR(B201="",C201=""),"",N(D201)*SUMIFS(Orders!$W$6:$W$1005,Orders!$D$6:$D$1005,B201))</f>
        <v/>
      </c>
      <c r="H201" s="1" t="n"/>
    </row>
    <row r="202">
      <c r="A202" s="1" t="n"/>
      <c r="B202" s="33" t="n"/>
      <c r="C202" s="33" t="n"/>
      <c r="D202" s="36" t="n"/>
      <c r="E202" s="19">
        <f>IF(C202="","",IFERROR(INDEX(Materials!$C$6:$C$205,MATCH(C202,Materials!$B$6:$B$205,0))&amp;"","Add it to Materials"))</f>
        <v/>
      </c>
      <c r="F202" s="22">
        <f>IF(OR(C202="",E202="Add it to Materials"),"",N(D202)*INDEX(Materials!$F$6:$F$205,MATCH(C202,Materials!$B$6:$B$205,0)))</f>
        <v/>
      </c>
      <c r="G202" s="39">
        <f>IF(OR(B202="",C202=""),"",N(D202)*SUMIFS(Orders!$W$6:$W$1005,Orders!$D$6:$D$1005,B202))</f>
        <v/>
      </c>
      <c r="H202" s="1" t="n"/>
    </row>
    <row r="203">
      <c r="A203" s="1" t="n"/>
      <c r="B203" s="33" t="n"/>
      <c r="C203" s="33" t="n"/>
      <c r="D203" s="36" t="n"/>
      <c r="E203" s="19">
        <f>IF(C203="","",IFERROR(INDEX(Materials!$C$6:$C$205,MATCH(C203,Materials!$B$6:$B$205,0))&amp;"","Add it to Materials"))</f>
        <v/>
      </c>
      <c r="F203" s="22">
        <f>IF(OR(C203="",E203="Add it to Materials"),"",N(D203)*INDEX(Materials!$F$6:$F$205,MATCH(C203,Materials!$B$6:$B$205,0)))</f>
        <v/>
      </c>
      <c r="G203" s="39">
        <f>IF(OR(B203="",C203=""),"",N(D203)*SUMIFS(Orders!$W$6:$W$1005,Orders!$D$6:$D$1005,B203))</f>
        <v/>
      </c>
      <c r="H203" s="1" t="n"/>
    </row>
    <row r="204">
      <c r="A204" s="1" t="n"/>
      <c r="B204" s="33" t="n"/>
      <c r="C204" s="33" t="n"/>
      <c r="D204" s="36" t="n"/>
      <c r="E204" s="19">
        <f>IF(C204="","",IFERROR(INDEX(Materials!$C$6:$C$205,MATCH(C204,Materials!$B$6:$B$205,0))&amp;"","Add it to Materials"))</f>
        <v/>
      </c>
      <c r="F204" s="22">
        <f>IF(OR(C204="",E204="Add it to Materials"),"",N(D204)*INDEX(Materials!$F$6:$F$205,MATCH(C204,Materials!$B$6:$B$205,0)))</f>
        <v/>
      </c>
      <c r="G204" s="39">
        <f>IF(OR(B204="",C204=""),"",N(D204)*SUMIFS(Orders!$W$6:$W$1005,Orders!$D$6:$D$1005,B204))</f>
        <v/>
      </c>
      <c r="H204" s="1" t="n"/>
    </row>
    <row r="205">
      <c r="A205" s="1" t="n"/>
      <c r="B205" s="33" t="n"/>
      <c r="C205" s="33" t="n"/>
      <c r="D205" s="36" t="n"/>
      <c r="E205" s="19">
        <f>IF(C205="","",IFERROR(INDEX(Materials!$C$6:$C$205,MATCH(C205,Materials!$B$6:$B$205,0))&amp;"","Add it to Materials"))</f>
        <v/>
      </c>
      <c r="F205" s="22">
        <f>IF(OR(C205="",E205="Add it to Materials"),"",N(D205)*INDEX(Materials!$F$6:$F$205,MATCH(C205,Materials!$B$6:$B$205,0)))</f>
        <v/>
      </c>
      <c r="G205" s="39">
        <f>IF(OR(B205="",C205=""),"",N(D205)*SUMIFS(Orders!$W$6:$W$1005,Orders!$D$6:$D$1005,B205))</f>
        <v/>
      </c>
      <c r="H205" s="1" t="n"/>
    </row>
    <row r="206">
      <c r="A206" s="1" t="n"/>
      <c r="B206" s="33" t="n"/>
      <c r="C206" s="33" t="n"/>
      <c r="D206" s="36" t="n"/>
      <c r="E206" s="19">
        <f>IF(C206="","",IFERROR(INDEX(Materials!$C$6:$C$205,MATCH(C206,Materials!$B$6:$B$205,0))&amp;"","Add it to Materials"))</f>
        <v/>
      </c>
      <c r="F206" s="22">
        <f>IF(OR(C206="",E206="Add it to Materials"),"",N(D206)*INDEX(Materials!$F$6:$F$205,MATCH(C206,Materials!$B$6:$B$205,0)))</f>
        <v/>
      </c>
      <c r="G206" s="39">
        <f>IF(OR(B206="",C206=""),"",N(D206)*SUMIFS(Orders!$W$6:$W$1005,Orders!$D$6:$D$1005,B206))</f>
        <v/>
      </c>
      <c r="H206" s="1" t="n"/>
    </row>
    <row r="207">
      <c r="A207" s="1" t="n"/>
      <c r="B207" s="33" t="n"/>
      <c r="C207" s="33" t="n"/>
      <c r="D207" s="36" t="n"/>
      <c r="E207" s="19">
        <f>IF(C207="","",IFERROR(INDEX(Materials!$C$6:$C$205,MATCH(C207,Materials!$B$6:$B$205,0))&amp;"","Add it to Materials"))</f>
        <v/>
      </c>
      <c r="F207" s="22">
        <f>IF(OR(C207="",E207="Add it to Materials"),"",N(D207)*INDEX(Materials!$F$6:$F$205,MATCH(C207,Materials!$B$6:$B$205,0)))</f>
        <v/>
      </c>
      <c r="G207" s="39">
        <f>IF(OR(B207="",C207=""),"",N(D207)*SUMIFS(Orders!$W$6:$W$1005,Orders!$D$6:$D$1005,B207))</f>
        <v/>
      </c>
      <c r="H207" s="1" t="n"/>
    </row>
    <row r="208">
      <c r="A208" s="1" t="n"/>
      <c r="B208" s="33" t="n"/>
      <c r="C208" s="33" t="n"/>
      <c r="D208" s="36" t="n"/>
      <c r="E208" s="19">
        <f>IF(C208="","",IFERROR(INDEX(Materials!$C$6:$C$205,MATCH(C208,Materials!$B$6:$B$205,0))&amp;"","Add it to Materials"))</f>
        <v/>
      </c>
      <c r="F208" s="22">
        <f>IF(OR(C208="",E208="Add it to Materials"),"",N(D208)*INDEX(Materials!$F$6:$F$205,MATCH(C208,Materials!$B$6:$B$205,0)))</f>
        <v/>
      </c>
      <c r="G208" s="39">
        <f>IF(OR(B208="",C208=""),"",N(D208)*SUMIFS(Orders!$W$6:$W$1005,Orders!$D$6:$D$1005,B208))</f>
        <v/>
      </c>
      <c r="H208" s="1" t="n"/>
    </row>
    <row r="209">
      <c r="A209" s="1" t="n"/>
      <c r="B209" s="33" t="n"/>
      <c r="C209" s="33" t="n"/>
      <c r="D209" s="36" t="n"/>
      <c r="E209" s="19">
        <f>IF(C209="","",IFERROR(INDEX(Materials!$C$6:$C$205,MATCH(C209,Materials!$B$6:$B$205,0))&amp;"","Add it to Materials"))</f>
        <v/>
      </c>
      <c r="F209" s="22">
        <f>IF(OR(C209="",E209="Add it to Materials"),"",N(D209)*INDEX(Materials!$F$6:$F$205,MATCH(C209,Materials!$B$6:$B$205,0)))</f>
        <v/>
      </c>
      <c r="G209" s="39">
        <f>IF(OR(B209="",C209=""),"",N(D209)*SUMIFS(Orders!$W$6:$W$1005,Orders!$D$6:$D$1005,B209))</f>
        <v/>
      </c>
      <c r="H209" s="1" t="n"/>
    </row>
    <row r="210">
      <c r="A210" s="1" t="n"/>
      <c r="B210" s="33" t="n"/>
      <c r="C210" s="33" t="n"/>
      <c r="D210" s="36" t="n"/>
      <c r="E210" s="19">
        <f>IF(C210="","",IFERROR(INDEX(Materials!$C$6:$C$205,MATCH(C210,Materials!$B$6:$B$205,0))&amp;"","Add it to Materials"))</f>
        <v/>
      </c>
      <c r="F210" s="22">
        <f>IF(OR(C210="",E210="Add it to Materials"),"",N(D210)*INDEX(Materials!$F$6:$F$205,MATCH(C210,Materials!$B$6:$B$205,0)))</f>
        <v/>
      </c>
      <c r="G210" s="39">
        <f>IF(OR(B210="",C210=""),"",N(D210)*SUMIFS(Orders!$W$6:$W$1005,Orders!$D$6:$D$1005,B210))</f>
        <v/>
      </c>
      <c r="H210" s="1" t="n"/>
    </row>
    <row r="211">
      <c r="A211" s="1" t="n"/>
      <c r="B211" s="33" t="n"/>
      <c r="C211" s="33" t="n"/>
      <c r="D211" s="36" t="n"/>
      <c r="E211" s="19">
        <f>IF(C211="","",IFERROR(INDEX(Materials!$C$6:$C$205,MATCH(C211,Materials!$B$6:$B$205,0))&amp;"","Add it to Materials"))</f>
        <v/>
      </c>
      <c r="F211" s="22">
        <f>IF(OR(C211="",E211="Add it to Materials"),"",N(D211)*INDEX(Materials!$F$6:$F$205,MATCH(C211,Materials!$B$6:$B$205,0)))</f>
        <v/>
      </c>
      <c r="G211" s="39">
        <f>IF(OR(B211="",C211=""),"",N(D211)*SUMIFS(Orders!$W$6:$W$1005,Orders!$D$6:$D$1005,B211))</f>
        <v/>
      </c>
      <c r="H211" s="1" t="n"/>
    </row>
    <row r="212">
      <c r="A212" s="1" t="n"/>
      <c r="B212" s="33" t="n"/>
      <c r="C212" s="33" t="n"/>
      <c r="D212" s="36" t="n"/>
      <c r="E212" s="19">
        <f>IF(C212="","",IFERROR(INDEX(Materials!$C$6:$C$205,MATCH(C212,Materials!$B$6:$B$205,0))&amp;"","Add it to Materials"))</f>
        <v/>
      </c>
      <c r="F212" s="22">
        <f>IF(OR(C212="",E212="Add it to Materials"),"",N(D212)*INDEX(Materials!$F$6:$F$205,MATCH(C212,Materials!$B$6:$B$205,0)))</f>
        <v/>
      </c>
      <c r="G212" s="39">
        <f>IF(OR(B212="",C212=""),"",N(D212)*SUMIFS(Orders!$W$6:$W$1005,Orders!$D$6:$D$1005,B212))</f>
        <v/>
      </c>
      <c r="H212" s="1" t="n"/>
    </row>
    <row r="213">
      <c r="A213" s="1" t="n"/>
      <c r="B213" s="33" t="n"/>
      <c r="C213" s="33" t="n"/>
      <c r="D213" s="36" t="n"/>
      <c r="E213" s="19">
        <f>IF(C213="","",IFERROR(INDEX(Materials!$C$6:$C$205,MATCH(C213,Materials!$B$6:$B$205,0))&amp;"","Add it to Materials"))</f>
        <v/>
      </c>
      <c r="F213" s="22">
        <f>IF(OR(C213="",E213="Add it to Materials"),"",N(D213)*INDEX(Materials!$F$6:$F$205,MATCH(C213,Materials!$B$6:$B$205,0)))</f>
        <v/>
      </c>
      <c r="G213" s="39">
        <f>IF(OR(B213="",C213=""),"",N(D213)*SUMIFS(Orders!$W$6:$W$1005,Orders!$D$6:$D$1005,B213))</f>
        <v/>
      </c>
      <c r="H213" s="1" t="n"/>
    </row>
    <row r="214">
      <c r="A214" s="1" t="n"/>
      <c r="B214" s="33" t="n"/>
      <c r="C214" s="33" t="n"/>
      <c r="D214" s="36" t="n"/>
      <c r="E214" s="19">
        <f>IF(C214="","",IFERROR(INDEX(Materials!$C$6:$C$205,MATCH(C214,Materials!$B$6:$B$205,0))&amp;"","Add it to Materials"))</f>
        <v/>
      </c>
      <c r="F214" s="22">
        <f>IF(OR(C214="",E214="Add it to Materials"),"",N(D214)*INDEX(Materials!$F$6:$F$205,MATCH(C214,Materials!$B$6:$B$205,0)))</f>
        <v/>
      </c>
      <c r="G214" s="39">
        <f>IF(OR(B214="",C214=""),"",N(D214)*SUMIFS(Orders!$W$6:$W$1005,Orders!$D$6:$D$1005,B214))</f>
        <v/>
      </c>
      <c r="H214" s="1" t="n"/>
    </row>
    <row r="215">
      <c r="A215" s="1" t="n"/>
      <c r="B215" s="33" t="n"/>
      <c r="C215" s="33" t="n"/>
      <c r="D215" s="36" t="n"/>
      <c r="E215" s="19">
        <f>IF(C215="","",IFERROR(INDEX(Materials!$C$6:$C$205,MATCH(C215,Materials!$B$6:$B$205,0))&amp;"","Add it to Materials"))</f>
        <v/>
      </c>
      <c r="F215" s="22">
        <f>IF(OR(C215="",E215="Add it to Materials"),"",N(D215)*INDEX(Materials!$F$6:$F$205,MATCH(C215,Materials!$B$6:$B$205,0)))</f>
        <v/>
      </c>
      <c r="G215" s="39">
        <f>IF(OR(B215="",C215=""),"",N(D215)*SUMIFS(Orders!$W$6:$W$1005,Orders!$D$6:$D$1005,B215))</f>
        <v/>
      </c>
      <c r="H215" s="1" t="n"/>
    </row>
    <row r="216">
      <c r="A216" s="1" t="n"/>
      <c r="B216" s="33" t="n"/>
      <c r="C216" s="33" t="n"/>
      <c r="D216" s="36" t="n"/>
      <c r="E216" s="19">
        <f>IF(C216="","",IFERROR(INDEX(Materials!$C$6:$C$205,MATCH(C216,Materials!$B$6:$B$205,0))&amp;"","Add it to Materials"))</f>
        <v/>
      </c>
      <c r="F216" s="22">
        <f>IF(OR(C216="",E216="Add it to Materials"),"",N(D216)*INDEX(Materials!$F$6:$F$205,MATCH(C216,Materials!$B$6:$B$205,0)))</f>
        <v/>
      </c>
      <c r="G216" s="39">
        <f>IF(OR(B216="",C216=""),"",N(D216)*SUMIFS(Orders!$W$6:$W$1005,Orders!$D$6:$D$1005,B216))</f>
        <v/>
      </c>
      <c r="H216" s="1" t="n"/>
    </row>
    <row r="217">
      <c r="A217" s="1" t="n"/>
      <c r="B217" s="33" t="n"/>
      <c r="C217" s="33" t="n"/>
      <c r="D217" s="36" t="n"/>
      <c r="E217" s="19">
        <f>IF(C217="","",IFERROR(INDEX(Materials!$C$6:$C$205,MATCH(C217,Materials!$B$6:$B$205,0))&amp;"","Add it to Materials"))</f>
        <v/>
      </c>
      <c r="F217" s="22">
        <f>IF(OR(C217="",E217="Add it to Materials"),"",N(D217)*INDEX(Materials!$F$6:$F$205,MATCH(C217,Materials!$B$6:$B$205,0)))</f>
        <v/>
      </c>
      <c r="G217" s="39">
        <f>IF(OR(B217="",C217=""),"",N(D217)*SUMIFS(Orders!$W$6:$W$1005,Orders!$D$6:$D$1005,B217))</f>
        <v/>
      </c>
      <c r="H217" s="1" t="n"/>
    </row>
    <row r="218">
      <c r="A218" s="1" t="n"/>
      <c r="B218" s="33" t="n"/>
      <c r="C218" s="33" t="n"/>
      <c r="D218" s="36" t="n"/>
      <c r="E218" s="19">
        <f>IF(C218="","",IFERROR(INDEX(Materials!$C$6:$C$205,MATCH(C218,Materials!$B$6:$B$205,0))&amp;"","Add it to Materials"))</f>
        <v/>
      </c>
      <c r="F218" s="22">
        <f>IF(OR(C218="",E218="Add it to Materials"),"",N(D218)*INDEX(Materials!$F$6:$F$205,MATCH(C218,Materials!$B$6:$B$205,0)))</f>
        <v/>
      </c>
      <c r="G218" s="39">
        <f>IF(OR(B218="",C218=""),"",N(D218)*SUMIFS(Orders!$W$6:$W$1005,Orders!$D$6:$D$1005,B218))</f>
        <v/>
      </c>
      <c r="H218" s="1" t="n"/>
    </row>
    <row r="219">
      <c r="A219" s="1" t="n"/>
      <c r="B219" s="33" t="n"/>
      <c r="C219" s="33" t="n"/>
      <c r="D219" s="36" t="n"/>
      <c r="E219" s="19">
        <f>IF(C219="","",IFERROR(INDEX(Materials!$C$6:$C$205,MATCH(C219,Materials!$B$6:$B$205,0))&amp;"","Add it to Materials"))</f>
        <v/>
      </c>
      <c r="F219" s="22">
        <f>IF(OR(C219="",E219="Add it to Materials"),"",N(D219)*INDEX(Materials!$F$6:$F$205,MATCH(C219,Materials!$B$6:$B$205,0)))</f>
        <v/>
      </c>
      <c r="G219" s="39">
        <f>IF(OR(B219="",C219=""),"",N(D219)*SUMIFS(Orders!$W$6:$W$1005,Orders!$D$6:$D$1005,B219))</f>
        <v/>
      </c>
      <c r="H219" s="1" t="n"/>
    </row>
    <row r="220">
      <c r="A220" s="1" t="n"/>
      <c r="B220" s="33" t="n"/>
      <c r="C220" s="33" t="n"/>
      <c r="D220" s="36" t="n"/>
      <c r="E220" s="19">
        <f>IF(C220="","",IFERROR(INDEX(Materials!$C$6:$C$205,MATCH(C220,Materials!$B$6:$B$205,0))&amp;"","Add it to Materials"))</f>
        <v/>
      </c>
      <c r="F220" s="22">
        <f>IF(OR(C220="",E220="Add it to Materials"),"",N(D220)*INDEX(Materials!$F$6:$F$205,MATCH(C220,Materials!$B$6:$B$205,0)))</f>
        <v/>
      </c>
      <c r="G220" s="39">
        <f>IF(OR(B220="",C220=""),"",N(D220)*SUMIFS(Orders!$W$6:$W$1005,Orders!$D$6:$D$1005,B220))</f>
        <v/>
      </c>
      <c r="H220" s="1" t="n"/>
    </row>
    <row r="221">
      <c r="A221" s="1" t="n"/>
      <c r="B221" s="33" t="n"/>
      <c r="C221" s="33" t="n"/>
      <c r="D221" s="36" t="n"/>
      <c r="E221" s="19">
        <f>IF(C221="","",IFERROR(INDEX(Materials!$C$6:$C$205,MATCH(C221,Materials!$B$6:$B$205,0))&amp;"","Add it to Materials"))</f>
        <v/>
      </c>
      <c r="F221" s="22">
        <f>IF(OR(C221="",E221="Add it to Materials"),"",N(D221)*INDEX(Materials!$F$6:$F$205,MATCH(C221,Materials!$B$6:$B$205,0)))</f>
        <v/>
      </c>
      <c r="G221" s="39">
        <f>IF(OR(B221="",C221=""),"",N(D221)*SUMIFS(Orders!$W$6:$W$1005,Orders!$D$6:$D$1005,B221))</f>
        <v/>
      </c>
      <c r="H221" s="1" t="n"/>
    </row>
    <row r="222">
      <c r="A222" s="1" t="n"/>
      <c r="B222" s="33" t="n"/>
      <c r="C222" s="33" t="n"/>
      <c r="D222" s="36" t="n"/>
      <c r="E222" s="19">
        <f>IF(C222="","",IFERROR(INDEX(Materials!$C$6:$C$205,MATCH(C222,Materials!$B$6:$B$205,0))&amp;"","Add it to Materials"))</f>
        <v/>
      </c>
      <c r="F222" s="22">
        <f>IF(OR(C222="",E222="Add it to Materials"),"",N(D222)*INDEX(Materials!$F$6:$F$205,MATCH(C222,Materials!$B$6:$B$205,0)))</f>
        <v/>
      </c>
      <c r="G222" s="39">
        <f>IF(OR(B222="",C222=""),"",N(D222)*SUMIFS(Orders!$W$6:$W$1005,Orders!$D$6:$D$1005,B222))</f>
        <v/>
      </c>
      <c r="H222" s="1" t="n"/>
    </row>
    <row r="223">
      <c r="A223" s="1" t="n"/>
      <c r="B223" s="33" t="n"/>
      <c r="C223" s="33" t="n"/>
      <c r="D223" s="36" t="n"/>
      <c r="E223" s="19">
        <f>IF(C223="","",IFERROR(INDEX(Materials!$C$6:$C$205,MATCH(C223,Materials!$B$6:$B$205,0))&amp;"","Add it to Materials"))</f>
        <v/>
      </c>
      <c r="F223" s="22">
        <f>IF(OR(C223="",E223="Add it to Materials"),"",N(D223)*INDEX(Materials!$F$6:$F$205,MATCH(C223,Materials!$B$6:$B$205,0)))</f>
        <v/>
      </c>
      <c r="G223" s="39">
        <f>IF(OR(B223="",C223=""),"",N(D223)*SUMIFS(Orders!$W$6:$W$1005,Orders!$D$6:$D$1005,B223))</f>
        <v/>
      </c>
      <c r="H223" s="1" t="n"/>
    </row>
    <row r="224">
      <c r="A224" s="1" t="n"/>
      <c r="B224" s="33" t="n"/>
      <c r="C224" s="33" t="n"/>
      <c r="D224" s="36" t="n"/>
      <c r="E224" s="19">
        <f>IF(C224="","",IFERROR(INDEX(Materials!$C$6:$C$205,MATCH(C224,Materials!$B$6:$B$205,0))&amp;"","Add it to Materials"))</f>
        <v/>
      </c>
      <c r="F224" s="22">
        <f>IF(OR(C224="",E224="Add it to Materials"),"",N(D224)*INDEX(Materials!$F$6:$F$205,MATCH(C224,Materials!$B$6:$B$205,0)))</f>
        <v/>
      </c>
      <c r="G224" s="39">
        <f>IF(OR(B224="",C224=""),"",N(D224)*SUMIFS(Orders!$W$6:$W$1005,Orders!$D$6:$D$1005,B224))</f>
        <v/>
      </c>
      <c r="H224" s="1" t="n"/>
    </row>
    <row r="225">
      <c r="A225" s="1" t="n"/>
      <c r="B225" s="33" t="n"/>
      <c r="C225" s="33" t="n"/>
      <c r="D225" s="36" t="n"/>
      <c r="E225" s="19">
        <f>IF(C225="","",IFERROR(INDEX(Materials!$C$6:$C$205,MATCH(C225,Materials!$B$6:$B$205,0))&amp;"","Add it to Materials"))</f>
        <v/>
      </c>
      <c r="F225" s="22">
        <f>IF(OR(C225="",E225="Add it to Materials"),"",N(D225)*INDEX(Materials!$F$6:$F$205,MATCH(C225,Materials!$B$6:$B$205,0)))</f>
        <v/>
      </c>
      <c r="G225" s="39">
        <f>IF(OR(B225="",C225=""),"",N(D225)*SUMIFS(Orders!$W$6:$W$1005,Orders!$D$6:$D$1005,B225))</f>
        <v/>
      </c>
      <c r="H225" s="1" t="n"/>
    </row>
    <row r="226">
      <c r="A226" s="1" t="n"/>
      <c r="B226" s="33" t="n"/>
      <c r="C226" s="33" t="n"/>
      <c r="D226" s="36" t="n"/>
      <c r="E226" s="19">
        <f>IF(C226="","",IFERROR(INDEX(Materials!$C$6:$C$205,MATCH(C226,Materials!$B$6:$B$205,0))&amp;"","Add it to Materials"))</f>
        <v/>
      </c>
      <c r="F226" s="22">
        <f>IF(OR(C226="",E226="Add it to Materials"),"",N(D226)*INDEX(Materials!$F$6:$F$205,MATCH(C226,Materials!$B$6:$B$205,0)))</f>
        <v/>
      </c>
      <c r="G226" s="39">
        <f>IF(OR(B226="",C226=""),"",N(D226)*SUMIFS(Orders!$W$6:$W$1005,Orders!$D$6:$D$1005,B226))</f>
        <v/>
      </c>
      <c r="H226" s="1" t="n"/>
    </row>
    <row r="227">
      <c r="A227" s="1" t="n"/>
      <c r="B227" s="33" t="n"/>
      <c r="C227" s="33" t="n"/>
      <c r="D227" s="36" t="n"/>
      <c r="E227" s="19">
        <f>IF(C227="","",IFERROR(INDEX(Materials!$C$6:$C$205,MATCH(C227,Materials!$B$6:$B$205,0))&amp;"","Add it to Materials"))</f>
        <v/>
      </c>
      <c r="F227" s="22">
        <f>IF(OR(C227="",E227="Add it to Materials"),"",N(D227)*INDEX(Materials!$F$6:$F$205,MATCH(C227,Materials!$B$6:$B$205,0)))</f>
        <v/>
      </c>
      <c r="G227" s="39">
        <f>IF(OR(B227="",C227=""),"",N(D227)*SUMIFS(Orders!$W$6:$W$1005,Orders!$D$6:$D$1005,B227))</f>
        <v/>
      </c>
      <c r="H227" s="1" t="n"/>
    </row>
    <row r="228">
      <c r="A228" s="1" t="n"/>
      <c r="B228" s="33" t="n"/>
      <c r="C228" s="33" t="n"/>
      <c r="D228" s="36" t="n"/>
      <c r="E228" s="19">
        <f>IF(C228="","",IFERROR(INDEX(Materials!$C$6:$C$205,MATCH(C228,Materials!$B$6:$B$205,0))&amp;"","Add it to Materials"))</f>
        <v/>
      </c>
      <c r="F228" s="22">
        <f>IF(OR(C228="",E228="Add it to Materials"),"",N(D228)*INDEX(Materials!$F$6:$F$205,MATCH(C228,Materials!$B$6:$B$205,0)))</f>
        <v/>
      </c>
      <c r="G228" s="39">
        <f>IF(OR(B228="",C228=""),"",N(D228)*SUMIFS(Orders!$W$6:$W$1005,Orders!$D$6:$D$1005,B228))</f>
        <v/>
      </c>
      <c r="H228" s="1" t="n"/>
    </row>
    <row r="229">
      <c r="A229" s="1" t="n"/>
      <c r="B229" s="33" t="n"/>
      <c r="C229" s="33" t="n"/>
      <c r="D229" s="36" t="n"/>
      <c r="E229" s="19">
        <f>IF(C229="","",IFERROR(INDEX(Materials!$C$6:$C$205,MATCH(C229,Materials!$B$6:$B$205,0))&amp;"","Add it to Materials"))</f>
        <v/>
      </c>
      <c r="F229" s="22">
        <f>IF(OR(C229="",E229="Add it to Materials"),"",N(D229)*INDEX(Materials!$F$6:$F$205,MATCH(C229,Materials!$B$6:$B$205,0)))</f>
        <v/>
      </c>
      <c r="G229" s="39">
        <f>IF(OR(B229="",C229=""),"",N(D229)*SUMIFS(Orders!$W$6:$W$1005,Orders!$D$6:$D$1005,B229))</f>
        <v/>
      </c>
      <c r="H229" s="1" t="n"/>
    </row>
    <row r="230">
      <c r="A230" s="1" t="n"/>
      <c r="B230" s="33" t="n"/>
      <c r="C230" s="33" t="n"/>
      <c r="D230" s="36" t="n"/>
      <c r="E230" s="19">
        <f>IF(C230="","",IFERROR(INDEX(Materials!$C$6:$C$205,MATCH(C230,Materials!$B$6:$B$205,0))&amp;"","Add it to Materials"))</f>
        <v/>
      </c>
      <c r="F230" s="22">
        <f>IF(OR(C230="",E230="Add it to Materials"),"",N(D230)*INDEX(Materials!$F$6:$F$205,MATCH(C230,Materials!$B$6:$B$205,0)))</f>
        <v/>
      </c>
      <c r="G230" s="39">
        <f>IF(OR(B230="",C230=""),"",N(D230)*SUMIFS(Orders!$W$6:$W$1005,Orders!$D$6:$D$1005,B230))</f>
        <v/>
      </c>
      <c r="H230" s="1" t="n"/>
    </row>
    <row r="231">
      <c r="A231" s="1" t="n"/>
      <c r="B231" s="33" t="n"/>
      <c r="C231" s="33" t="n"/>
      <c r="D231" s="36" t="n"/>
      <c r="E231" s="19">
        <f>IF(C231="","",IFERROR(INDEX(Materials!$C$6:$C$205,MATCH(C231,Materials!$B$6:$B$205,0))&amp;"","Add it to Materials"))</f>
        <v/>
      </c>
      <c r="F231" s="22">
        <f>IF(OR(C231="",E231="Add it to Materials"),"",N(D231)*INDEX(Materials!$F$6:$F$205,MATCH(C231,Materials!$B$6:$B$205,0)))</f>
        <v/>
      </c>
      <c r="G231" s="39">
        <f>IF(OR(B231="",C231=""),"",N(D231)*SUMIFS(Orders!$W$6:$W$1005,Orders!$D$6:$D$1005,B231))</f>
        <v/>
      </c>
      <c r="H231" s="1" t="n"/>
    </row>
    <row r="232">
      <c r="A232" s="1" t="n"/>
      <c r="B232" s="33" t="n"/>
      <c r="C232" s="33" t="n"/>
      <c r="D232" s="36" t="n"/>
      <c r="E232" s="19">
        <f>IF(C232="","",IFERROR(INDEX(Materials!$C$6:$C$205,MATCH(C232,Materials!$B$6:$B$205,0))&amp;"","Add it to Materials"))</f>
        <v/>
      </c>
      <c r="F232" s="22">
        <f>IF(OR(C232="",E232="Add it to Materials"),"",N(D232)*INDEX(Materials!$F$6:$F$205,MATCH(C232,Materials!$B$6:$B$205,0)))</f>
        <v/>
      </c>
      <c r="G232" s="39">
        <f>IF(OR(B232="",C232=""),"",N(D232)*SUMIFS(Orders!$W$6:$W$1005,Orders!$D$6:$D$1005,B232))</f>
        <v/>
      </c>
      <c r="H232" s="1" t="n"/>
    </row>
    <row r="233">
      <c r="A233" s="1" t="n"/>
      <c r="B233" s="33" t="n"/>
      <c r="C233" s="33" t="n"/>
      <c r="D233" s="36" t="n"/>
      <c r="E233" s="19">
        <f>IF(C233="","",IFERROR(INDEX(Materials!$C$6:$C$205,MATCH(C233,Materials!$B$6:$B$205,0))&amp;"","Add it to Materials"))</f>
        <v/>
      </c>
      <c r="F233" s="22">
        <f>IF(OR(C233="",E233="Add it to Materials"),"",N(D233)*INDEX(Materials!$F$6:$F$205,MATCH(C233,Materials!$B$6:$B$205,0)))</f>
        <v/>
      </c>
      <c r="G233" s="39">
        <f>IF(OR(B233="",C233=""),"",N(D233)*SUMIFS(Orders!$W$6:$W$1005,Orders!$D$6:$D$1005,B233))</f>
        <v/>
      </c>
      <c r="H233" s="1" t="n"/>
    </row>
    <row r="234">
      <c r="A234" s="1" t="n"/>
      <c r="B234" s="33" t="n"/>
      <c r="C234" s="33" t="n"/>
      <c r="D234" s="36" t="n"/>
      <c r="E234" s="19">
        <f>IF(C234="","",IFERROR(INDEX(Materials!$C$6:$C$205,MATCH(C234,Materials!$B$6:$B$205,0))&amp;"","Add it to Materials"))</f>
        <v/>
      </c>
      <c r="F234" s="22">
        <f>IF(OR(C234="",E234="Add it to Materials"),"",N(D234)*INDEX(Materials!$F$6:$F$205,MATCH(C234,Materials!$B$6:$B$205,0)))</f>
        <v/>
      </c>
      <c r="G234" s="39">
        <f>IF(OR(B234="",C234=""),"",N(D234)*SUMIFS(Orders!$W$6:$W$1005,Orders!$D$6:$D$1005,B234))</f>
        <v/>
      </c>
      <c r="H234" s="1" t="n"/>
    </row>
    <row r="235">
      <c r="A235" s="1" t="n"/>
      <c r="B235" s="33" t="n"/>
      <c r="C235" s="33" t="n"/>
      <c r="D235" s="36" t="n"/>
      <c r="E235" s="19">
        <f>IF(C235="","",IFERROR(INDEX(Materials!$C$6:$C$205,MATCH(C235,Materials!$B$6:$B$205,0))&amp;"","Add it to Materials"))</f>
        <v/>
      </c>
      <c r="F235" s="22">
        <f>IF(OR(C235="",E235="Add it to Materials"),"",N(D235)*INDEX(Materials!$F$6:$F$205,MATCH(C235,Materials!$B$6:$B$205,0)))</f>
        <v/>
      </c>
      <c r="G235" s="39">
        <f>IF(OR(B235="",C235=""),"",N(D235)*SUMIFS(Orders!$W$6:$W$1005,Orders!$D$6:$D$1005,B235))</f>
        <v/>
      </c>
      <c r="H235" s="1" t="n"/>
    </row>
    <row r="236">
      <c r="A236" s="1" t="n"/>
      <c r="B236" s="33" t="n"/>
      <c r="C236" s="33" t="n"/>
      <c r="D236" s="36" t="n"/>
      <c r="E236" s="19">
        <f>IF(C236="","",IFERROR(INDEX(Materials!$C$6:$C$205,MATCH(C236,Materials!$B$6:$B$205,0))&amp;"","Add it to Materials"))</f>
        <v/>
      </c>
      <c r="F236" s="22">
        <f>IF(OR(C236="",E236="Add it to Materials"),"",N(D236)*INDEX(Materials!$F$6:$F$205,MATCH(C236,Materials!$B$6:$B$205,0)))</f>
        <v/>
      </c>
      <c r="G236" s="39">
        <f>IF(OR(B236="",C236=""),"",N(D236)*SUMIFS(Orders!$W$6:$W$1005,Orders!$D$6:$D$1005,B236))</f>
        <v/>
      </c>
      <c r="H236" s="1" t="n"/>
    </row>
    <row r="237">
      <c r="A237" s="1" t="n"/>
      <c r="B237" s="33" t="n"/>
      <c r="C237" s="33" t="n"/>
      <c r="D237" s="36" t="n"/>
      <c r="E237" s="19">
        <f>IF(C237="","",IFERROR(INDEX(Materials!$C$6:$C$205,MATCH(C237,Materials!$B$6:$B$205,0))&amp;"","Add it to Materials"))</f>
        <v/>
      </c>
      <c r="F237" s="22">
        <f>IF(OR(C237="",E237="Add it to Materials"),"",N(D237)*INDEX(Materials!$F$6:$F$205,MATCH(C237,Materials!$B$6:$B$205,0)))</f>
        <v/>
      </c>
      <c r="G237" s="39">
        <f>IF(OR(B237="",C237=""),"",N(D237)*SUMIFS(Orders!$W$6:$W$1005,Orders!$D$6:$D$1005,B237))</f>
        <v/>
      </c>
      <c r="H237" s="1" t="n"/>
    </row>
    <row r="238">
      <c r="A238" s="1" t="n"/>
      <c r="B238" s="33" t="n"/>
      <c r="C238" s="33" t="n"/>
      <c r="D238" s="36" t="n"/>
      <c r="E238" s="19">
        <f>IF(C238="","",IFERROR(INDEX(Materials!$C$6:$C$205,MATCH(C238,Materials!$B$6:$B$205,0))&amp;"","Add it to Materials"))</f>
        <v/>
      </c>
      <c r="F238" s="22">
        <f>IF(OR(C238="",E238="Add it to Materials"),"",N(D238)*INDEX(Materials!$F$6:$F$205,MATCH(C238,Materials!$B$6:$B$205,0)))</f>
        <v/>
      </c>
      <c r="G238" s="39">
        <f>IF(OR(B238="",C238=""),"",N(D238)*SUMIFS(Orders!$W$6:$W$1005,Orders!$D$6:$D$1005,B238))</f>
        <v/>
      </c>
      <c r="H238" s="1" t="n"/>
    </row>
    <row r="239">
      <c r="A239" s="1" t="n"/>
      <c r="B239" s="33" t="n"/>
      <c r="C239" s="33" t="n"/>
      <c r="D239" s="36" t="n"/>
      <c r="E239" s="19">
        <f>IF(C239="","",IFERROR(INDEX(Materials!$C$6:$C$205,MATCH(C239,Materials!$B$6:$B$205,0))&amp;"","Add it to Materials"))</f>
        <v/>
      </c>
      <c r="F239" s="22">
        <f>IF(OR(C239="",E239="Add it to Materials"),"",N(D239)*INDEX(Materials!$F$6:$F$205,MATCH(C239,Materials!$B$6:$B$205,0)))</f>
        <v/>
      </c>
      <c r="G239" s="39">
        <f>IF(OR(B239="",C239=""),"",N(D239)*SUMIFS(Orders!$W$6:$W$1005,Orders!$D$6:$D$1005,B239))</f>
        <v/>
      </c>
      <c r="H239" s="1" t="n"/>
    </row>
    <row r="240">
      <c r="A240" s="1" t="n"/>
      <c r="B240" s="33" t="n"/>
      <c r="C240" s="33" t="n"/>
      <c r="D240" s="36" t="n"/>
      <c r="E240" s="19">
        <f>IF(C240="","",IFERROR(INDEX(Materials!$C$6:$C$205,MATCH(C240,Materials!$B$6:$B$205,0))&amp;"","Add it to Materials"))</f>
        <v/>
      </c>
      <c r="F240" s="22">
        <f>IF(OR(C240="",E240="Add it to Materials"),"",N(D240)*INDEX(Materials!$F$6:$F$205,MATCH(C240,Materials!$B$6:$B$205,0)))</f>
        <v/>
      </c>
      <c r="G240" s="39">
        <f>IF(OR(B240="",C240=""),"",N(D240)*SUMIFS(Orders!$W$6:$W$1005,Orders!$D$6:$D$1005,B240))</f>
        <v/>
      </c>
      <c r="H240" s="1" t="n"/>
    </row>
    <row r="241">
      <c r="A241" s="1" t="n"/>
      <c r="B241" s="33" t="n"/>
      <c r="C241" s="33" t="n"/>
      <c r="D241" s="36" t="n"/>
      <c r="E241" s="19">
        <f>IF(C241="","",IFERROR(INDEX(Materials!$C$6:$C$205,MATCH(C241,Materials!$B$6:$B$205,0))&amp;"","Add it to Materials"))</f>
        <v/>
      </c>
      <c r="F241" s="22">
        <f>IF(OR(C241="",E241="Add it to Materials"),"",N(D241)*INDEX(Materials!$F$6:$F$205,MATCH(C241,Materials!$B$6:$B$205,0)))</f>
        <v/>
      </c>
      <c r="G241" s="39">
        <f>IF(OR(B241="",C241=""),"",N(D241)*SUMIFS(Orders!$W$6:$W$1005,Orders!$D$6:$D$1005,B241))</f>
        <v/>
      </c>
      <c r="H241" s="1" t="n"/>
    </row>
    <row r="242">
      <c r="A242" s="1" t="n"/>
      <c r="B242" s="33" t="n"/>
      <c r="C242" s="33" t="n"/>
      <c r="D242" s="36" t="n"/>
      <c r="E242" s="19">
        <f>IF(C242="","",IFERROR(INDEX(Materials!$C$6:$C$205,MATCH(C242,Materials!$B$6:$B$205,0))&amp;"","Add it to Materials"))</f>
        <v/>
      </c>
      <c r="F242" s="22">
        <f>IF(OR(C242="",E242="Add it to Materials"),"",N(D242)*INDEX(Materials!$F$6:$F$205,MATCH(C242,Materials!$B$6:$B$205,0)))</f>
        <v/>
      </c>
      <c r="G242" s="39">
        <f>IF(OR(B242="",C242=""),"",N(D242)*SUMIFS(Orders!$W$6:$W$1005,Orders!$D$6:$D$1005,B242))</f>
        <v/>
      </c>
      <c r="H242" s="1" t="n"/>
    </row>
    <row r="243">
      <c r="A243" s="1" t="n"/>
      <c r="B243" s="33" t="n"/>
      <c r="C243" s="33" t="n"/>
      <c r="D243" s="36" t="n"/>
      <c r="E243" s="19">
        <f>IF(C243="","",IFERROR(INDEX(Materials!$C$6:$C$205,MATCH(C243,Materials!$B$6:$B$205,0))&amp;"","Add it to Materials"))</f>
        <v/>
      </c>
      <c r="F243" s="22">
        <f>IF(OR(C243="",E243="Add it to Materials"),"",N(D243)*INDEX(Materials!$F$6:$F$205,MATCH(C243,Materials!$B$6:$B$205,0)))</f>
        <v/>
      </c>
      <c r="G243" s="39">
        <f>IF(OR(B243="",C243=""),"",N(D243)*SUMIFS(Orders!$W$6:$W$1005,Orders!$D$6:$D$1005,B243))</f>
        <v/>
      </c>
      <c r="H243" s="1" t="n"/>
    </row>
    <row r="244">
      <c r="A244" s="1" t="n"/>
      <c r="B244" s="33" t="n"/>
      <c r="C244" s="33" t="n"/>
      <c r="D244" s="36" t="n"/>
      <c r="E244" s="19">
        <f>IF(C244="","",IFERROR(INDEX(Materials!$C$6:$C$205,MATCH(C244,Materials!$B$6:$B$205,0))&amp;"","Add it to Materials"))</f>
        <v/>
      </c>
      <c r="F244" s="22">
        <f>IF(OR(C244="",E244="Add it to Materials"),"",N(D244)*INDEX(Materials!$F$6:$F$205,MATCH(C244,Materials!$B$6:$B$205,0)))</f>
        <v/>
      </c>
      <c r="G244" s="39">
        <f>IF(OR(B244="",C244=""),"",N(D244)*SUMIFS(Orders!$W$6:$W$1005,Orders!$D$6:$D$1005,B244))</f>
        <v/>
      </c>
      <c r="H244" s="1" t="n"/>
    </row>
    <row r="245">
      <c r="A245" s="1" t="n"/>
      <c r="B245" s="33" t="n"/>
      <c r="C245" s="33" t="n"/>
      <c r="D245" s="36" t="n"/>
      <c r="E245" s="19">
        <f>IF(C245="","",IFERROR(INDEX(Materials!$C$6:$C$205,MATCH(C245,Materials!$B$6:$B$205,0))&amp;"","Add it to Materials"))</f>
        <v/>
      </c>
      <c r="F245" s="22">
        <f>IF(OR(C245="",E245="Add it to Materials"),"",N(D245)*INDEX(Materials!$F$6:$F$205,MATCH(C245,Materials!$B$6:$B$205,0)))</f>
        <v/>
      </c>
      <c r="G245" s="39">
        <f>IF(OR(B245="",C245=""),"",N(D245)*SUMIFS(Orders!$W$6:$W$1005,Orders!$D$6:$D$1005,B245))</f>
        <v/>
      </c>
      <c r="H245" s="1" t="n"/>
    </row>
    <row r="246">
      <c r="A246" s="1" t="n"/>
      <c r="B246" s="33" t="n"/>
      <c r="C246" s="33" t="n"/>
      <c r="D246" s="36" t="n"/>
      <c r="E246" s="19">
        <f>IF(C246="","",IFERROR(INDEX(Materials!$C$6:$C$205,MATCH(C246,Materials!$B$6:$B$205,0))&amp;"","Add it to Materials"))</f>
        <v/>
      </c>
      <c r="F246" s="22">
        <f>IF(OR(C246="",E246="Add it to Materials"),"",N(D246)*INDEX(Materials!$F$6:$F$205,MATCH(C246,Materials!$B$6:$B$205,0)))</f>
        <v/>
      </c>
      <c r="G246" s="39">
        <f>IF(OR(B246="",C246=""),"",N(D246)*SUMIFS(Orders!$W$6:$W$1005,Orders!$D$6:$D$1005,B246))</f>
        <v/>
      </c>
      <c r="H246" s="1" t="n"/>
    </row>
    <row r="247">
      <c r="A247" s="1" t="n"/>
      <c r="B247" s="33" t="n"/>
      <c r="C247" s="33" t="n"/>
      <c r="D247" s="36" t="n"/>
      <c r="E247" s="19">
        <f>IF(C247="","",IFERROR(INDEX(Materials!$C$6:$C$205,MATCH(C247,Materials!$B$6:$B$205,0))&amp;"","Add it to Materials"))</f>
        <v/>
      </c>
      <c r="F247" s="22">
        <f>IF(OR(C247="",E247="Add it to Materials"),"",N(D247)*INDEX(Materials!$F$6:$F$205,MATCH(C247,Materials!$B$6:$B$205,0)))</f>
        <v/>
      </c>
      <c r="G247" s="39">
        <f>IF(OR(B247="",C247=""),"",N(D247)*SUMIFS(Orders!$W$6:$W$1005,Orders!$D$6:$D$1005,B247))</f>
        <v/>
      </c>
      <c r="H247" s="1" t="n"/>
    </row>
    <row r="248">
      <c r="A248" s="1" t="n"/>
      <c r="B248" s="33" t="n"/>
      <c r="C248" s="33" t="n"/>
      <c r="D248" s="36" t="n"/>
      <c r="E248" s="19">
        <f>IF(C248="","",IFERROR(INDEX(Materials!$C$6:$C$205,MATCH(C248,Materials!$B$6:$B$205,0))&amp;"","Add it to Materials"))</f>
        <v/>
      </c>
      <c r="F248" s="22">
        <f>IF(OR(C248="",E248="Add it to Materials"),"",N(D248)*INDEX(Materials!$F$6:$F$205,MATCH(C248,Materials!$B$6:$B$205,0)))</f>
        <v/>
      </c>
      <c r="G248" s="39">
        <f>IF(OR(B248="",C248=""),"",N(D248)*SUMIFS(Orders!$W$6:$W$1005,Orders!$D$6:$D$1005,B248))</f>
        <v/>
      </c>
      <c r="H248" s="1" t="n"/>
    </row>
    <row r="249">
      <c r="A249" s="1" t="n"/>
      <c r="B249" s="33" t="n"/>
      <c r="C249" s="33" t="n"/>
      <c r="D249" s="36" t="n"/>
      <c r="E249" s="19">
        <f>IF(C249="","",IFERROR(INDEX(Materials!$C$6:$C$205,MATCH(C249,Materials!$B$6:$B$205,0))&amp;"","Add it to Materials"))</f>
        <v/>
      </c>
      <c r="F249" s="22">
        <f>IF(OR(C249="",E249="Add it to Materials"),"",N(D249)*INDEX(Materials!$F$6:$F$205,MATCH(C249,Materials!$B$6:$B$205,0)))</f>
        <v/>
      </c>
      <c r="G249" s="39">
        <f>IF(OR(B249="",C249=""),"",N(D249)*SUMIFS(Orders!$W$6:$W$1005,Orders!$D$6:$D$1005,B249))</f>
        <v/>
      </c>
      <c r="H249" s="1" t="n"/>
    </row>
    <row r="250">
      <c r="A250" s="1" t="n"/>
      <c r="B250" s="33" t="n"/>
      <c r="C250" s="33" t="n"/>
      <c r="D250" s="36" t="n"/>
      <c r="E250" s="19">
        <f>IF(C250="","",IFERROR(INDEX(Materials!$C$6:$C$205,MATCH(C250,Materials!$B$6:$B$205,0))&amp;"","Add it to Materials"))</f>
        <v/>
      </c>
      <c r="F250" s="22">
        <f>IF(OR(C250="",E250="Add it to Materials"),"",N(D250)*INDEX(Materials!$F$6:$F$205,MATCH(C250,Materials!$B$6:$B$205,0)))</f>
        <v/>
      </c>
      <c r="G250" s="39">
        <f>IF(OR(B250="",C250=""),"",N(D250)*SUMIFS(Orders!$W$6:$W$1005,Orders!$D$6:$D$1005,B250))</f>
        <v/>
      </c>
      <c r="H250" s="1" t="n"/>
    </row>
    <row r="251">
      <c r="A251" s="1" t="n"/>
      <c r="B251" s="33" t="n"/>
      <c r="C251" s="33" t="n"/>
      <c r="D251" s="36" t="n"/>
      <c r="E251" s="19">
        <f>IF(C251="","",IFERROR(INDEX(Materials!$C$6:$C$205,MATCH(C251,Materials!$B$6:$B$205,0))&amp;"","Add it to Materials"))</f>
        <v/>
      </c>
      <c r="F251" s="22">
        <f>IF(OR(C251="",E251="Add it to Materials"),"",N(D251)*INDEX(Materials!$F$6:$F$205,MATCH(C251,Materials!$B$6:$B$205,0)))</f>
        <v/>
      </c>
      <c r="G251" s="39">
        <f>IF(OR(B251="",C251=""),"",N(D251)*SUMIFS(Orders!$W$6:$W$1005,Orders!$D$6:$D$1005,B251))</f>
        <v/>
      </c>
      <c r="H251" s="1" t="n"/>
    </row>
    <row r="252">
      <c r="A252" s="1" t="n"/>
      <c r="B252" s="33" t="n"/>
      <c r="C252" s="33" t="n"/>
      <c r="D252" s="36" t="n"/>
      <c r="E252" s="19">
        <f>IF(C252="","",IFERROR(INDEX(Materials!$C$6:$C$205,MATCH(C252,Materials!$B$6:$B$205,0))&amp;"","Add it to Materials"))</f>
        <v/>
      </c>
      <c r="F252" s="22">
        <f>IF(OR(C252="",E252="Add it to Materials"),"",N(D252)*INDEX(Materials!$F$6:$F$205,MATCH(C252,Materials!$B$6:$B$205,0)))</f>
        <v/>
      </c>
      <c r="G252" s="39">
        <f>IF(OR(B252="",C252=""),"",N(D252)*SUMIFS(Orders!$W$6:$W$1005,Orders!$D$6:$D$1005,B252))</f>
        <v/>
      </c>
      <c r="H252" s="1" t="n"/>
    </row>
    <row r="253">
      <c r="A253" s="1" t="n"/>
      <c r="B253" s="33" t="n"/>
      <c r="C253" s="33" t="n"/>
      <c r="D253" s="36" t="n"/>
      <c r="E253" s="19">
        <f>IF(C253="","",IFERROR(INDEX(Materials!$C$6:$C$205,MATCH(C253,Materials!$B$6:$B$205,0))&amp;"","Add it to Materials"))</f>
        <v/>
      </c>
      <c r="F253" s="22">
        <f>IF(OR(C253="",E253="Add it to Materials"),"",N(D253)*INDEX(Materials!$F$6:$F$205,MATCH(C253,Materials!$B$6:$B$205,0)))</f>
        <v/>
      </c>
      <c r="G253" s="39">
        <f>IF(OR(B253="",C253=""),"",N(D253)*SUMIFS(Orders!$W$6:$W$1005,Orders!$D$6:$D$1005,B253))</f>
        <v/>
      </c>
      <c r="H253" s="1" t="n"/>
    </row>
    <row r="254">
      <c r="A254" s="1" t="n"/>
      <c r="B254" s="33" t="n"/>
      <c r="C254" s="33" t="n"/>
      <c r="D254" s="36" t="n"/>
      <c r="E254" s="19">
        <f>IF(C254="","",IFERROR(INDEX(Materials!$C$6:$C$205,MATCH(C254,Materials!$B$6:$B$205,0))&amp;"","Add it to Materials"))</f>
        <v/>
      </c>
      <c r="F254" s="22">
        <f>IF(OR(C254="",E254="Add it to Materials"),"",N(D254)*INDEX(Materials!$F$6:$F$205,MATCH(C254,Materials!$B$6:$B$205,0)))</f>
        <v/>
      </c>
      <c r="G254" s="39">
        <f>IF(OR(B254="",C254=""),"",N(D254)*SUMIFS(Orders!$W$6:$W$1005,Orders!$D$6:$D$1005,B254))</f>
        <v/>
      </c>
      <c r="H254" s="1" t="n"/>
    </row>
    <row r="255">
      <c r="A255" s="1" t="n"/>
      <c r="B255" s="33" t="n"/>
      <c r="C255" s="33" t="n"/>
      <c r="D255" s="36" t="n"/>
      <c r="E255" s="19">
        <f>IF(C255="","",IFERROR(INDEX(Materials!$C$6:$C$205,MATCH(C255,Materials!$B$6:$B$205,0))&amp;"","Add it to Materials"))</f>
        <v/>
      </c>
      <c r="F255" s="22">
        <f>IF(OR(C255="",E255="Add it to Materials"),"",N(D255)*INDEX(Materials!$F$6:$F$205,MATCH(C255,Materials!$B$6:$B$205,0)))</f>
        <v/>
      </c>
      <c r="G255" s="39">
        <f>IF(OR(B255="",C255=""),"",N(D255)*SUMIFS(Orders!$W$6:$W$1005,Orders!$D$6:$D$1005,B255))</f>
        <v/>
      </c>
      <c r="H255" s="1" t="n"/>
    </row>
    <row r="256">
      <c r="A256" s="1" t="n"/>
      <c r="B256" s="33" t="n"/>
      <c r="C256" s="33" t="n"/>
      <c r="D256" s="36" t="n"/>
      <c r="E256" s="19">
        <f>IF(C256="","",IFERROR(INDEX(Materials!$C$6:$C$205,MATCH(C256,Materials!$B$6:$B$205,0))&amp;"","Add it to Materials"))</f>
        <v/>
      </c>
      <c r="F256" s="22">
        <f>IF(OR(C256="",E256="Add it to Materials"),"",N(D256)*INDEX(Materials!$F$6:$F$205,MATCH(C256,Materials!$B$6:$B$205,0)))</f>
        <v/>
      </c>
      <c r="G256" s="39">
        <f>IF(OR(B256="",C256=""),"",N(D256)*SUMIFS(Orders!$W$6:$W$1005,Orders!$D$6:$D$1005,B256))</f>
        <v/>
      </c>
      <c r="H256" s="1" t="n"/>
    </row>
    <row r="257">
      <c r="A257" s="1" t="n"/>
      <c r="B257" s="33" t="n"/>
      <c r="C257" s="33" t="n"/>
      <c r="D257" s="36" t="n"/>
      <c r="E257" s="19">
        <f>IF(C257="","",IFERROR(INDEX(Materials!$C$6:$C$205,MATCH(C257,Materials!$B$6:$B$205,0))&amp;"","Add it to Materials"))</f>
        <v/>
      </c>
      <c r="F257" s="22">
        <f>IF(OR(C257="",E257="Add it to Materials"),"",N(D257)*INDEX(Materials!$F$6:$F$205,MATCH(C257,Materials!$B$6:$B$205,0)))</f>
        <v/>
      </c>
      <c r="G257" s="39">
        <f>IF(OR(B257="",C257=""),"",N(D257)*SUMIFS(Orders!$W$6:$W$1005,Orders!$D$6:$D$1005,B257))</f>
        <v/>
      </c>
      <c r="H257" s="1" t="n"/>
    </row>
    <row r="258">
      <c r="A258" s="1" t="n"/>
      <c r="B258" s="33" t="n"/>
      <c r="C258" s="33" t="n"/>
      <c r="D258" s="36" t="n"/>
      <c r="E258" s="19">
        <f>IF(C258="","",IFERROR(INDEX(Materials!$C$6:$C$205,MATCH(C258,Materials!$B$6:$B$205,0))&amp;"","Add it to Materials"))</f>
        <v/>
      </c>
      <c r="F258" s="22">
        <f>IF(OR(C258="",E258="Add it to Materials"),"",N(D258)*INDEX(Materials!$F$6:$F$205,MATCH(C258,Materials!$B$6:$B$205,0)))</f>
        <v/>
      </c>
      <c r="G258" s="39">
        <f>IF(OR(B258="",C258=""),"",N(D258)*SUMIFS(Orders!$W$6:$W$1005,Orders!$D$6:$D$1005,B258))</f>
        <v/>
      </c>
      <c r="H258" s="1" t="n"/>
    </row>
    <row r="259">
      <c r="A259" s="1" t="n"/>
      <c r="B259" s="33" t="n"/>
      <c r="C259" s="33" t="n"/>
      <c r="D259" s="36" t="n"/>
      <c r="E259" s="19">
        <f>IF(C259="","",IFERROR(INDEX(Materials!$C$6:$C$205,MATCH(C259,Materials!$B$6:$B$205,0))&amp;"","Add it to Materials"))</f>
        <v/>
      </c>
      <c r="F259" s="22">
        <f>IF(OR(C259="",E259="Add it to Materials"),"",N(D259)*INDEX(Materials!$F$6:$F$205,MATCH(C259,Materials!$B$6:$B$205,0)))</f>
        <v/>
      </c>
      <c r="G259" s="39">
        <f>IF(OR(B259="",C259=""),"",N(D259)*SUMIFS(Orders!$W$6:$W$1005,Orders!$D$6:$D$1005,B259))</f>
        <v/>
      </c>
      <c r="H259" s="1" t="n"/>
    </row>
    <row r="260">
      <c r="A260" s="1" t="n"/>
      <c r="B260" s="33" t="n"/>
      <c r="C260" s="33" t="n"/>
      <c r="D260" s="36" t="n"/>
      <c r="E260" s="19">
        <f>IF(C260="","",IFERROR(INDEX(Materials!$C$6:$C$205,MATCH(C260,Materials!$B$6:$B$205,0))&amp;"","Add it to Materials"))</f>
        <v/>
      </c>
      <c r="F260" s="22">
        <f>IF(OR(C260="",E260="Add it to Materials"),"",N(D260)*INDEX(Materials!$F$6:$F$205,MATCH(C260,Materials!$B$6:$B$205,0)))</f>
        <v/>
      </c>
      <c r="G260" s="39">
        <f>IF(OR(B260="",C260=""),"",N(D260)*SUMIFS(Orders!$W$6:$W$1005,Orders!$D$6:$D$1005,B260))</f>
        <v/>
      </c>
      <c r="H260" s="1" t="n"/>
    </row>
    <row r="261">
      <c r="A261" s="1" t="n"/>
      <c r="B261" s="33" t="n"/>
      <c r="C261" s="33" t="n"/>
      <c r="D261" s="36" t="n"/>
      <c r="E261" s="19">
        <f>IF(C261="","",IFERROR(INDEX(Materials!$C$6:$C$205,MATCH(C261,Materials!$B$6:$B$205,0))&amp;"","Add it to Materials"))</f>
        <v/>
      </c>
      <c r="F261" s="22">
        <f>IF(OR(C261="",E261="Add it to Materials"),"",N(D261)*INDEX(Materials!$F$6:$F$205,MATCH(C261,Materials!$B$6:$B$205,0)))</f>
        <v/>
      </c>
      <c r="G261" s="39">
        <f>IF(OR(B261="",C261=""),"",N(D261)*SUMIFS(Orders!$W$6:$W$1005,Orders!$D$6:$D$1005,B261))</f>
        <v/>
      </c>
      <c r="H261" s="1" t="n"/>
    </row>
    <row r="262">
      <c r="A262" s="1" t="n"/>
      <c r="B262" s="33" t="n"/>
      <c r="C262" s="33" t="n"/>
      <c r="D262" s="36" t="n"/>
      <c r="E262" s="19">
        <f>IF(C262="","",IFERROR(INDEX(Materials!$C$6:$C$205,MATCH(C262,Materials!$B$6:$B$205,0))&amp;"","Add it to Materials"))</f>
        <v/>
      </c>
      <c r="F262" s="22">
        <f>IF(OR(C262="",E262="Add it to Materials"),"",N(D262)*INDEX(Materials!$F$6:$F$205,MATCH(C262,Materials!$B$6:$B$205,0)))</f>
        <v/>
      </c>
      <c r="G262" s="39">
        <f>IF(OR(B262="",C262=""),"",N(D262)*SUMIFS(Orders!$W$6:$W$1005,Orders!$D$6:$D$1005,B262))</f>
        <v/>
      </c>
      <c r="H262" s="1" t="n"/>
    </row>
    <row r="263">
      <c r="A263" s="1" t="n"/>
      <c r="B263" s="33" t="n"/>
      <c r="C263" s="33" t="n"/>
      <c r="D263" s="36" t="n"/>
      <c r="E263" s="19">
        <f>IF(C263="","",IFERROR(INDEX(Materials!$C$6:$C$205,MATCH(C263,Materials!$B$6:$B$205,0))&amp;"","Add it to Materials"))</f>
        <v/>
      </c>
      <c r="F263" s="22">
        <f>IF(OR(C263="",E263="Add it to Materials"),"",N(D263)*INDEX(Materials!$F$6:$F$205,MATCH(C263,Materials!$B$6:$B$205,0)))</f>
        <v/>
      </c>
      <c r="G263" s="39">
        <f>IF(OR(B263="",C263=""),"",N(D263)*SUMIFS(Orders!$W$6:$W$1005,Orders!$D$6:$D$1005,B263))</f>
        <v/>
      </c>
      <c r="H263" s="1" t="n"/>
    </row>
    <row r="264">
      <c r="A264" s="1" t="n"/>
      <c r="B264" s="33" t="n"/>
      <c r="C264" s="33" t="n"/>
      <c r="D264" s="36" t="n"/>
      <c r="E264" s="19">
        <f>IF(C264="","",IFERROR(INDEX(Materials!$C$6:$C$205,MATCH(C264,Materials!$B$6:$B$205,0))&amp;"","Add it to Materials"))</f>
        <v/>
      </c>
      <c r="F264" s="22">
        <f>IF(OR(C264="",E264="Add it to Materials"),"",N(D264)*INDEX(Materials!$F$6:$F$205,MATCH(C264,Materials!$B$6:$B$205,0)))</f>
        <v/>
      </c>
      <c r="G264" s="39">
        <f>IF(OR(B264="",C264=""),"",N(D264)*SUMIFS(Orders!$W$6:$W$1005,Orders!$D$6:$D$1005,B264))</f>
        <v/>
      </c>
      <c r="H264" s="1" t="n"/>
    </row>
    <row r="265">
      <c r="A265" s="1" t="n"/>
      <c r="B265" s="33" t="n"/>
      <c r="C265" s="33" t="n"/>
      <c r="D265" s="36" t="n"/>
      <c r="E265" s="19">
        <f>IF(C265="","",IFERROR(INDEX(Materials!$C$6:$C$205,MATCH(C265,Materials!$B$6:$B$205,0))&amp;"","Add it to Materials"))</f>
        <v/>
      </c>
      <c r="F265" s="22">
        <f>IF(OR(C265="",E265="Add it to Materials"),"",N(D265)*INDEX(Materials!$F$6:$F$205,MATCH(C265,Materials!$B$6:$B$205,0)))</f>
        <v/>
      </c>
      <c r="G265" s="39">
        <f>IF(OR(B265="",C265=""),"",N(D265)*SUMIFS(Orders!$W$6:$W$1005,Orders!$D$6:$D$1005,B265))</f>
        <v/>
      </c>
      <c r="H265" s="1" t="n"/>
    </row>
    <row r="266">
      <c r="A266" s="1" t="n"/>
      <c r="B266" s="33" t="n"/>
      <c r="C266" s="33" t="n"/>
      <c r="D266" s="36" t="n"/>
      <c r="E266" s="19">
        <f>IF(C266="","",IFERROR(INDEX(Materials!$C$6:$C$205,MATCH(C266,Materials!$B$6:$B$205,0))&amp;"","Add it to Materials"))</f>
        <v/>
      </c>
      <c r="F266" s="22">
        <f>IF(OR(C266="",E266="Add it to Materials"),"",N(D266)*INDEX(Materials!$F$6:$F$205,MATCH(C266,Materials!$B$6:$B$205,0)))</f>
        <v/>
      </c>
      <c r="G266" s="39">
        <f>IF(OR(B266="",C266=""),"",N(D266)*SUMIFS(Orders!$W$6:$W$1005,Orders!$D$6:$D$1005,B266))</f>
        <v/>
      </c>
      <c r="H266" s="1" t="n"/>
    </row>
    <row r="267">
      <c r="A267" s="1" t="n"/>
      <c r="B267" s="33" t="n"/>
      <c r="C267" s="33" t="n"/>
      <c r="D267" s="36" t="n"/>
      <c r="E267" s="19">
        <f>IF(C267="","",IFERROR(INDEX(Materials!$C$6:$C$205,MATCH(C267,Materials!$B$6:$B$205,0))&amp;"","Add it to Materials"))</f>
        <v/>
      </c>
      <c r="F267" s="22">
        <f>IF(OR(C267="",E267="Add it to Materials"),"",N(D267)*INDEX(Materials!$F$6:$F$205,MATCH(C267,Materials!$B$6:$B$205,0)))</f>
        <v/>
      </c>
      <c r="G267" s="39">
        <f>IF(OR(B267="",C267=""),"",N(D267)*SUMIFS(Orders!$W$6:$W$1005,Orders!$D$6:$D$1005,B267))</f>
        <v/>
      </c>
      <c r="H267" s="1" t="n"/>
    </row>
    <row r="268">
      <c r="A268" s="1" t="n"/>
      <c r="B268" s="33" t="n"/>
      <c r="C268" s="33" t="n"/>
      <c r="D268" s="36" t="n"/>
      <c r="E268" s="19">
        <f>IF(C268="","",IFERROR(INDEX(Materials!$C$6:$C$205,MATCH(C268,Materials!$B$6:$B$205,0))&amp;"","Add it to Materials"))</f>
        <v/>
      </c>
      <c r="F268" s="22">
        <f>IF(OR(C268="",E268="Add it to Materials"),"",N(D268)*INDEX(Materials!$F$6:$F$205,MATCH(C268,Materials!$B$6:$B$205,0)))</f>
        <v/>
      </c>
      <c r="G268" s="39">
        <f>IF(OR(B268="",C268=""),"",N(D268)*SUMIFS(Orders!$W$6:$W$1005,Orders!$D$6:$D$1005,B268))</f>
        <v/>
      </c>
      <c r="H268" s="1" t="n"/>
    </row>
    <row r="269">
      <c r="A269" s="1" t="n"/>
      <c r="B269" s="33" t="n"/>
      <c r="C269" s="33" t="n"/>
      <c r="D269" s="36" t="n"/>
      <c r="E269" s="19">
        <f>IF(C269="","",IFERROR(INDEX(Materials!$C$6:$C$205,MATCH(C269,Materials!$B$6:$B$205,0))&amp;"","Add it to Materials"))</f>
        <v/>
      </c>
      <c r="F269" s="22">
        <f>IF(OR(C269="",E269="Add it to Materials"),"",N(D269)*INDEX(Materials!$F$6:$F$205,MATCH(C269,Materials!$B$6:$B$205,0)))</f>
        <v/>
      </c>
      <c r="G269" s="39">
        <f>IF(OR(B269="",C269=""),"",N(D269)*SUMIFS(Orders!$W$6:$W$1005,Orders!$D$6:$D$1005,B269))</f>
        <v/>
      </c>
      <c r="H269" s="1" t="n"/>
    </row>
    <row r="270">
      <c r="A270" s="1" t="n"/>
      <c r="B270" s="33" t="n"/>
      <c r="C270" s="33" t="n"/>
      <c r="D270" s="36" t="n"/>
      <c r="E270" s="19">
        <f>IF(C270="","",IFERROR(INDEX(Materials!$C$6:$C$205,MATCH(C270,Materials!$B$6:$B$205,0))&amp;"","Add it to Materials"))</f>
        <v/>
      </c>
      <c r="F270" s="22">
        <f>IF(OR(C270="",E270="Add it to Materials"),"",N(D270)*INDEX(Materials!$F$6:$F$205,MATCH(C270,Materials!$B$6:$B$205,0)))</f>
        <v/>
      </c>
      <c r="G270" s="39">
        <f>IF(OR(B270="",C270=""),"",N(D270)*SUMIFS(Orders!$W$6:$W$1005,Orders!$D$6:$D$1005,B270))</f>
        <v/>
      </c>
      <c r="H270" s="1" t="n"/>
    </row>
    <row r="271">
      <c r="A271" s="1" t="n"/>
      <c r="B271" s="33" t="n"/>
      <c r="C271" s="33" t="n"/>
      <c r="D271" s="36" t="n"/>
      <c r="E271" s="19">
        <f>IF(C271="","",IFERROR(INDEX(Materials!$C$6:$C$205,MATCH(C271,Materials!$B$6:$B$205,0))&amp;"","Add it to Materials"))</f>
        <v/>
      </c>
      <c r="F271" s="22">
        <f>IF(OR(C271="",E271="Add it to Materials"),"",N(D271)*INDEX(Materials!$F$6:$F$205,MATCH(C271,Materials!$B$6:$B$205,0)))</f>
        <v/>
      </c>
      <c r="G271" s="39">
        <f>IF(OR(B271="",C271=""),"",N(D271)*SUMIFS(Orders!$W$6:$W$1005,Orders!$D$6:$D$1005,B271))</f>
        <v/>
      </c>
      <c r="H271" s="1" t="n"/>
    </row>
    <row r="272">
      <c r="A272" s="1" t="n"/>
      <c r="B272" s="33" t="n"/>
      <c r="C272" s="33" t="n"/>
      <c r="D272" s="36" t="n"/>
      <c r="E272" s="19">
        <f>IF(C272="","",IFERROR(INDEX(Materials!$C$6:$C$205,MATCH(C272,Materials!$B$6:$B$205,0))&amp;"","Add it to Materials"))</f>
        <v/>
      </c>
      <c r="F272" s="22">
        <f>IF(OR(C272="",E272="Add it to Materials"),"",N(D272)*INDEX(Materials!$F$6:$F$205,MATCH(C272,Materials!$B$6:$B$205,0)))</f>
        <v/>
      </c>
      <c r="G272" s="39">
        <f>IF(OR(B272="",C272=""),"",N(D272)*SUMIFS(Orders!$W$6:$W$1005,Orders!$D$6:$D$1005,B272))</f>
        <v/>
      </c>
      <c r="H272" s="1" t="n"/>
    </row>
    <row r="273">
      <c r="A273" s="1" t="n"/>
      <c r="B273" s="33" t="n"/>
      <c r="C273" s="33" t="n"/>
      <c r="D273" s="36" t="n"/>
      <c r="E273" s="19">
        <f>IF(C273="","",IFERROR(INDEX(Materials!$C$6:$C$205,MATCH(C273,Materials!$B$6:$B$205,0))&amp;"","Add it to Materials"))</f>
        <v/>
      </c>
      <c r="F273" s="22">
        <f>IF(OR(C273="",E273="Add it to Materials"),"",N(D273)*INDEX(Materials!$F$6:$F$205,MATCH(C273,Materials!$B$6:$B$205,0)))</f>
        <v/>
      </c>
      <c r="G273" s="39">
        <f>IF(OR(B273="",C273=""),"",N(D273)*SUMIFS(Orders!$W$6:$W$1005,Orders!$D$6:$D$1005,B273))</f>
        <v/>
      </c>
      <c r="H273" s="1" t="n"/>
    </row>
    <row r="274">
      <c r="A274" s="1" t="n"/>
      <c r="B274" s="33" t="n"/>
      <c r="C274" s="33" t="n"/>
      <c r="D274" s="36" t="n"/>
      <c r="E274" s="19">
        <f>IF(C274="","",IFERROR(INDEX(Materials!$C$6:$C$205,MATCH(C274,Materials!$B$6:$B$205,0))&amp;"","Add it to Materials"))</f>
        <v/>
      </c>
      <c r="F274" s="22">
        <f>IF(OR(C274="",E274="Add it to Materials"),"",N(D274)*INDEX(Materials!$F$6:$F$205,MATCH(C274,Materials!$B$6:$B$205,0)))</f>
        <v/>
      </c>
      <c r="G274" s="39">
        <f>IF(OR(B274="",C274=""),"",N(D274)*SUMIFS(Orders!$W$6:$W$1005,Orders!$D$6:$D$1005,B274))</f>
        <v/>
      </c>
      <c r="H274" s="1" t="n"/>
    </row>
    <row r="275">
      <c r="A275" s="1" t="n"/>
      <c r="B275" s="33" t="n"/>
      <c r="C275" s="33" t="n"/>
      <c r="D275" s="36" t="n"/>
      <c r="E275" s="19">
        <f>IF(C275="","",IFERROR(INDEX(Materials!$C$6:$C$205,MATCH(C275,Materials!$B$6:$B$205,0))&amp;"","Add it to Materials"))</f>
        <v/>
      </c>
      <c r="F275" s="22">
        <f>IF(OR(C275="",E275="Add it to Materials"),"",N(D275)*INDEX(Materials!$F$6:$F$205,MATCH(C275,Materials!$B$6:$B$205,0)))</f>
        <v/>
      </c>
      <c r="G275" s="39">
        <f>IF(OR(B275="",C275=""),"",N(D275)*SUMIFS(Orders!$W$6:$W$1005,Orders!$D$6:$D$1005,B275))</f>
        <v/>
      </c>
      <c r="H275" s="1" t="n"/>
    </row>
    <row r="276">
      <c r="A276" s="1" t="n"/>
      <c r="B276" s="33" t="n"/>
      <c r="C276" s="33" t="n"/>
      <c r="D276" s="36" t="n"/>
      <c r="E276" s="19">
        <f>IF(C276="","",IFERROR(INDEX(Materials!$C$6:$C$205,MATCH(C276,Materials!$B$6:$B$205,0))&amp;"","Add it to Materials"))</f>
        <v/>
      </c>
      <c r="F276" s="22">
        <f>IF(OR(C276="",E276="Add it to Materials"),"",N(D276)*INDEX(Materials!$F$6:$F$205,MATCH(C276,Materials!$B$6:$B$205,0)))</f>
        <v/>
      </c>
      <c r="G276" s="39">
        <f>IF(OR(B276="",C276=""),"",N(D276)*SUMIFS(Orders!$W$6:$W$1005,Orders!$D$6:$D$1005,B276))</f>
        <v/>
      </c>
      <c r="H276" s="1" t="n"/>
    </row>
    <row r="277">
      <c r="A277" s="1" t="n"/>
      <c r="B277" s="33" t="n"/>
      <c r="C277" s="33" t="n"/>
      <c r="D277" s="36" t="n"/>
      <c r="E277" s="19">
        <f>IF(C277="","",IFERROR(INDEX(Materials!$C$6:$C$205,MATCH(C277,Materials!$B$6:$B$205,0))&amp;"","Add it to Materials"))</f>
        <v/>
      </c>
      <c r="F277" s="22">
        <f>IF(OR(C277="",E277="Add it to Materials"),"",N(D277)*INDEX(Materials!$F$6:$F$205,MATCH(C277,Materials!$B$6:$B$205,0)))</f>
        <v/>
      </c>
      <c r="G277" s="39">
        <f>IF(OR(B277="",C277=""),"",N(D277)*SUMIFS(Orders!$W$6:$W$1005,Orders!$D$6:$D$1005,B277))</f>
        <v/>
      </c>
      <c r="H277" s="1" t="n"/>
    </row>
    <row r="278">
      <c r="A278" s="1" t="n"/>
      <c r="B278" s="33" t="n"/>
      <c r="C278" s="33" t="n"/>
      <c r="D278" s="36" t="n"/>
      <c r="E278" s="19">
        <f>IF(C278="","",IFERROR(INDEX(Materials!$C$6:$C$205,MATCH(C278,Materials!$B$6:$B$205,0))&amp;"","Add it to Materials"))</f>
        <v/>
      </c>
      <c r="F278" s="22">
        <f>IF(OR(C278="",E278="Add it to Materials"),"",N(D278)*INDEX(Materials!$F$6:$F$205,MATCH(C278,Materials!$B$6:$B$205,0)))</f>
        <v/>
      </c>
      <c r="G278" s="39">
        <f>IF(OR(B278="",C278=""),"",N(D278)*SUMIFS(Orders!$W$6:$W$1005,Orders!$D$6:$D$1005,B278))</f>
        <v/>
      </c>
      <c r="H278" s="1" t="n"/>
    </row>
    <row r="279">
      <c r="A279" s="1" t="n"/>
      <c r="B279" s="33" t="n"/>
      <c r="C279" s="33" t="n"/>
      <c r="D279" s="36" t="n"/>
      <c r="E279" s="19">
        <f>IF(C279="","",IFERROR(INDEX(Materials!$C$6:$C$205,MATCH(C279,Materials!$B$6:$B$205,0))&amp;"","Add it to Materials"))</f>
        <v/>
      </c>
      <c r="F279" s="22">
        <f>IF(OR(C279="",E279="Add it to Materials"),"",N(D279)*INDEX(Materials!$F$6:$F$205,MATCH(C279,Materials!$B$6:$B$205,0)))</f>
        <v/>
      </c>
      <c r="G279" s="39">
        <f>IF(OR(B279="",C279=""),"",N(D279)*SUMIFS(Orders!$W$6:$W$1005,Orders!$D$6:$D$1005,B279))</f>
        <v/>
      </c>
      <c r="H279" s="1" t="n"/>
    </row>
    <row r="280">
      <c r="A280" s="1" t="n"/>
      <c r="B280" s="33" t="n"/>
      <c r="C280" s="33" t="n"/>
      <c r="D280" s="36" t="n"/>
      <c r="E280" s="19">
        <f>IF(C280="","",IFERROR(INDEX(Materials!$C$6:$C$205,MATCH(C280,Materials!$B$6:$B$205,0))&amp;"","Add it to Materials"))</f>
        <v/>
      </c>
      <c r="F280" s="22">
        <f>IF(OR(C280="",E280="Add it to Materials"),"",N(D280)*INDEX(Materials!$F$6:$F$205,MATCH(C280,Materials!$B$6:$B$205,0)))</f>
        <v/>
      </c>
      <c r="G280" s="39">
        <f>IF(OR(B280="",C280=""),"",N(D280)*SUMIFS(Orders!$W$6:$W$1005,Orders!$D$6:$D$1005,B280))</f>
        <v/>
      </c>
      <c r="H280" s="1" t="n"/>
    </row>
    <row r="281">
      <c r="A281" s="1" t="n"/>
      <c r="B281" s="33" t="n"/>
      <c r="C281" s="33" t="n"/>
      <c r="D281" s="36" t="n"/>
      <c r="E281" s="19">
        <f>IF(C281="","",IFERROR(INDEX(Materials!$C$6:$C$205,MATCH(C281,Materials!$B$6:$B$205,0))&amp;"","Add it to Materials"))</f>
        <v/>
      </c>
      <c r="F281" s="22">
        <f>IF(OR(C281="",E281="Add it to Materials"),"",N(D281)*INDEX(Materials!$F$6:$F$205,MATCH(C281,Materials!$B$6:$B$205,0)))</f>
        <v/>
      </c>
      <c r="G281" s="39">
        <f>IF(OR(B281="",C281=""),"",N(D281)*SUMIFS(Orders!$W$6:$W$1005,Orders!$D$6:$D$1005,B281))</f>
        <v/>
      </c>
      <c r="H281" s="1" t="n"/>
    </row>
    <row r="282">
      <c r="A282" s="1" t="n"/>
      <c r="B282" s="33" t="n"/>
      <c r="C282" s="33" t="n"/>
      <c r="D282" s="36" t="n"/>
      <c r="E282" s="19">
        <f>IF(C282="","",IFERROR(INDEX(Materials!$C$6:$C$205,MATCH(C282,Materials!$B$6:$B$205,0))&amp;"","Add it to Materials"))</f>
        <v/>
      </c>
      <c r="F282" s="22">
        <f>IF(OR(C282="",E282="Add it to Materials"),"",N(D282)*INDEX(Materials!$F$6:$F$205,MATCH(C282,Materials!$B$6:$B$205,0)))</f>
        <v/>
      </c>
      <c r="G282" s="39">
        <f>IF(OR(B282="",C282=""),"",N(D282)*SUMIFS(Orders!$W$6:$W$1005,Orders!$D$6:$D$1005,B282))</f>
        <v/>
      </c>
      <c r="H282" s="1" t="n"/>
    </row>
    <row r="283">
      <c r="A283" s="1" t="n"/>
      <c r="B283" s="33" t="n"/>
      <c r="C283" s="33" t="n"/>
      <c r="D283" s="36" t="n"/>
      <c r="E283" s="19">
        <f>IF(C283="","",IFERROR(INDEX(Materials!$C$6:$C$205,MATCH(C283,Materials!$B$6:$B$205,0))&amp;"","Add it to Materials"))</f>
        <v/>
      </c>
      <c r="F283" s="22">
        <f>IF(OR(C283="",E283="Add it to Materials"),"",N(D283)*INDEX(Materials!$F$6:$F$205,MATCH(C283,Materials!$B$6:$B$205,0)))</f>
        <v/>
      </c>
      <c r="G283" s="39">
        <f>IF(OR(B283="",C283=""),"",N(D283)*SUMIFS(Orders!$W$6:$W$1005,Orders!$D$6:$D$1005,B283))</f>
        <v/>
      </c>
      <c r="H283" s="1" t="n"/>
    </row>
    <row r="284">
      <c r="A284" s="1" t="n"/>
      <c r="B284" s="33" t="n"/>
      <c r="C284" s="33" t="n"/>
      <c r="D284" s="36" t="n"/>
      <c r="E284" s="19">
        <f>IF(C284="","",IFERROR(INDEX(Materials!$C$6:$C$205,MATCH(C284,Materials!$B$6:$B$205,0))&amp;"","Add it to Materials"))</f>
        <v/>
      </c>
      <c r="F284" s="22">
        <f>IF(OR(C284="",E284="Add it to Materials"),"",N(D284)*INDEX(Materials!$F$6:$F$205,MATCH(C284,Materials!$B$6:$B$205,0)))</f>
        <v/>
      </c>
      <c r="G284" s="39">
        <f>IF(OR(B284="",C284=""),"",N(D284)*SUMIFS(Orders!$W$6:$W$1005,Orders!$D$6:$D$1005,B284))</f>
        <v/>
      </c>
      <c r="H284" s="1" t="n"/>
    </row>
    <row r="285">
      <c r="A285" s="1" t="n"/>
      <c r="B285" s="33" t="n"/>
      <c r="C285" s="33" t="n"/>
      <c r="D285" s="36" t="n"/>
      <c r="E285" s="19">
        <f>IF(C285="","",IFERROR(INDEX(Materials!$C$6:$C$205,MATCH(C285,Materials!$B$6:$B$205,0))&amp;"","Add it to Materials"))</f>
        <v/>
      </c>
      <c r="F285" s="22">
        <f>IF(OR(C285="",E285="Add it to Materials"),"",N(D285)*INDEX(Materials!$F$6:$F$205,MATCH(C285,Materials!$B$6:$B$205,0)))</f>
        <v/>
      </c>
      <c r="G285" s="39">
        <f>IF(OR(B285="",C285=""),"",N(D285)*SUMIFS(Orders!$W$6:$W$1005,Orders!$D$6:$D$1005,B285))</f>
        <v/>
      </c>
      <c r="H285" s="1" t="n"/>
    </row>
    <row r="286">
      <c r="A286" s="1" t="n"/>
      <c r="B286" s="33" t="n"/>
      <c r="C286" s="33" t="n"/>
      <c r="D286" s="36" t="n"/>
      <c r="E286" s="19">
        <f>IF(C286="","",IFERROR(INDEX(Materials!$C$6:$C$205,MATCH(C286,Materials!$B$6:$B$205,0))&amp;"","Add it to Materials"))</f>
        <v/>
      </c>
      <c r="F286" s="22">
        <f>IF(OR(C286="",E286="Add it to Materials"),"",N(D286)*INDEX(Materials!$F$6:$F$205,MATCH(C286,Materials!$B$6:$B$205,0)))</f>
        <v/>
      </c>
      <c r="G286" s="39">
        <f>IF(OR(B286="",C286=""),"",N(D286)*SUMIFS(Orders!$W$6:$W$1005,Orders!$D$6:$D$1005,B286))</f>
        <v/>
      </c>
      <c r="H286" s="1" t="n"/>
    </row>
    <row r="287">
      <c r="A287" s="1" t="n"/>
      <c r="B287" s="33" t="n"/>
      <c r="C287" s="33" t="n"/>
      <c r="D287" s="36" t="n"/>
      <c r="E287" s="19">
        <f>IF(C287="","",IFERROR(INDEX(Materials!$C$6:$C$205,MATCH(C287,Materials!$B$6:$B$205,0))&amp;"","Add it to Materials"))</f>
        <v/>
      </c>
      <c r="F287" s="22">
        <f>IF(OR(C287="",E287="Add it to Materials"),"",N(D287)*INDEX(Materials!$F$6:$F$205,MATCH(C287,Materials!$B$6:$B$205,0)))</f>
        <v/>
      </c>
      <c r="G287" s="39">
        <f>IF(OR(B287="",C287=""),"",N(D287)*SUMIFS(Orders!$W$6:$W$1005,Orders!$D$6:$D$1005,B287))</f>
        <v/>
      </c>
      <c r="H287" s="1" t="n"/>
    </row>
    <row r="288">
      <c r="A288" s="1" t="n"/>
      <c r="B288" s="33" t="n"/>
      <c r="C288" s="33" t="n"/>
      <c r="D288" s="36" t="n"/>
      <c r="E288" s="19">
        <f>IF(C288="","",IFERROR(INDEX(Materials!$C$6:$C$205,MATCH(C288,Materials!$B$6:$B$205,0))&amp;"","Add it to Materials"))</f>
        <v/>
      </c>
      <c r="F288" s="22">
        <f>IF(OR(C288="",E288="Add it to Materials"),"",N(D288)*INDEX(Materials!$F$6:$F$205,MATCH(C288,Materials!$B$6:$B$205,0)))</f>
        <v/>
      </c>
      <c r="G288" s="39">
        <f>IF(OR(B288="",C288=""),"",N(D288)*SUMIFS(Orders!$W$6:$W$1005,Orders!$D$6:$D$1005,B288))</f>
        <v/>
      </c>
      <c r="H288" s="1" t="n"/>
    </row>
    <row r="289">
      <c r="A289" s="1" t="n"/>
      <c r="B289" s="33" t="n"/>
      <c r="C289" s="33" t="n"/>
      <c r="D289" s="36" t="n"/>
      <c r="E289" s="19">
        <f>IF(C289="","",IFERROR(INDEX(Materials!$C$6:$C$205,MATCH(C289,Materials!$B$6:$B$205,0))&amp;"","Add it to Materials"))</f>
        <v/>
      </c>
      <c r="F289" s="22">
        <f>IF(OR(C289="",E289="Add it to Materials"),"",N(D289)*INDEX(Materials!$F$6:$F$205,MATCH(C289,Materials!$B$6:$B$205,0)))</f>
        <v/>
      </c>
      <c r="G289" s="39">
        <f>IF(OR(B289="",C289=""),"",N(D289)*SUMIFS(Orders!$W$6:$W$1005,Orders!$D$6:$D$1005,B289))</f>
        <v/>
      </c>
      <c r="H289" s="1" t="n"/>
    </row>
    <row r="290">
      <c r="A290" s="1" t="n"/>
      <c r="B290" s="33" t="n"/>
      <c r="C290" s="33" t="n"/>
      <c r="D290" s="36" t="n"/>
      <c r="E290" s="19">
        <f>IF(C290="","",IFERROR(INDEX(Materials!$C$6:$C$205,MATCH(C290,Materials!$B$6:$B$205,0))&amp;"","Add it to Materials"))</f>
        <v/>
      </c>
      <c r="F290" s="22">
        <f>IF(OR(C290="",E290="Add it to Materials"),"",N(D290)*INDEX(Materials!$F$6:$F$205,MATCH(C290,Materials!$B$6:$B$205,0)))</f>
        <v/>
      </c>
      <c r="G290" s="39">
        <f>IF(OR(B290="",C290=""),"",N(D290)*SUMIFS(Orders!$W$6:$W$1005,Orders!$D$6:$D$1005,B290))</f>
        <v/>
      </c>
      <c r="H290" s="1" t="n"/>
    </row>
    <row r="291">
      <c r="A291" s="1" t="n"/>
      <c r="B291" s="33" t="n"/>
      <c r="C291" s="33" t="n"/>
      <c r="D291" s="36" t="n"/>
      <c r="E291" s="19">
        <f>IF(C291="","",IFERROR(INDEX(Materials!$C$6:$C$205,MATCH(C291,Materials!$B$6:$B$205,0))&amp;"","Add it to Materials"))</f>
        <v/>
      </c>
      <c r="F291" s="22">
        <f>IF(OR(C291="",E291="Add it to Materials"),"",N(D291)*INDEX(Materials!$F$6:$F$205,MATCH(C291,Materials!$B$6:$B$205,0)))</f>
        <v/>
      </c>
      <c r="G291" s="39">
        <f>IF(OR(B291="",C291=""),"",N(D291)*SUMIFS(Orders!$W$6:$W$1005,Orders!$D$6:$D$1005,B291))</f>
        <v/>
      </c>
      <c r="H291" s="1" t="n"/>
    </row>
    <row r="292">
      <c r="A292" s="1" t="n"/>
      <c r="B292" s="33" t="n"/>
      <c r="C292" s="33" t="n"/>
      <c r="D292" s="36" t="n"/>
      <c r="E292" s="19">
        <f>IF(C292="","",IFERROR(INDEX(Materials!$C$6:$C$205,MATCH(C292,Materials!$B$6:$B$205,0))&amp;"","Add it to Materials"))</f>
        <v/>
      </c>
      <c r="F292" s="22">
        <f>IF(OR(C292="",E292="Add it to Materials"),"",N(D292)*INDEX(Materials!$F$6:$F$205,MATCH(C292,Materials!$B$6:$B$205,0)))</f>
        <v/>
      </c>
      <c r="G292" s="39">
        <f>IF(OR(B292="",C292=""),"",N(D292)*SUMIFS(Orders!$W$6:$W$1005,Orders!$D$6:$D$1005,B292))</f>
        <v/>
      </c>
      <c r="H292" s="1" t="n"/>
    </row>
    <row r="293">
      <c r="A293" s="1" t="n"/>
      <c r="B293" s="33" t="n"/>
      <c r="C293" s="33" t="n"/>
      <c r="D293" s="36" t="n"/>
      <c r="E293" s="19">
        <f>IF(C293="","",IFERROR(INDEX(Materials!$C$6:$C$205,MATCH(C293,Materials!$B$6:$B$205,0))&amp;"","Add it to Materials"))</f>
        <v/>
      </c>
      <c r="F293" s="22">
        <f>IF(OR(C293="",E293="Add it to Materials"),"",N(D293)*INDEX(Materials!$F$6:$F$205,MATCH(C293,Materials!$B$6:$B$205,0)))</f>
        <v/>
      </c>
      <c r="G293" s="39">
        <f>IF(OR(B293="",C293=""),"",N(D293)*SUMIFS(Orders!$W$6:$W$1005,Orders!$D$6:$D$1005,B293))</f>
        <v/>
      </c>
      <c r="H293" s="1" t="n"/>
    </row>
    <row r="294">
      <c r="A294" s="1" t="n"/>
      <c r="B294" s="33" t="n"/>
      <c r="C294" s="33" t="n"/>
      <c r="D294" s="36" t="n"/>
      <c r="E294" s="19">
        <f>IF(C294="","",IFERROR(INDEX(Materials!$C$6:$C$205,MATCH(C294,Materials!$B$6:$B$205,0))&amp;"","Add it to Materials"))</f>
        <v/>
      </c>
      <c r="F294" s="22">
        <f>IF(OR(C294="",E294="Add it to Materials"),"",N(D294)*INDEX(Materials!$F$6:$F$205,MATCH(C294,Materials!$B$6:$B$205,0)))</f>
        <v/>
      </c>
      <c r="G294" s="39">
        <f>IF(OR(B294="",C294=""),"",N(D294)*SUMIFS(Orders!$W$6:$W$1005,Orders!$D$6:$D$1005,B294))</f>
        <v/>
      </c>
      <c r="H294" s="1" t="n"/>
    </row>
    <row r="295">
      <c r="A295" s="1" t="n"/>
      <c r="B295" s="33" t="n"/>
      <c r="C295" s="33" t="n"/>
      <c r="D295" s="36" t="n"/>
      <c r="E295" s="19">
        <f>IF(C295="","",IFERROR(INDEX(Materials!$C$6:$C$205,MATCH(C295,Materials!$B$6:$B$205,0))&amp;"","Add it to Materials"))</f>
        <v/>
      </c>
      <c r="F295" s="22">
        <f>IF(OR(C295="",E295="Add it to Materials"),"",N(D295)*INDEX(Materials!$F$6:$F$205,MATCH(C295,Materials!$B$6:$B$205,0)))</f>
        <v/>
      </c>
      <c r="G295" s="39">
        <f>IF(OR(B295="",C295=""),"",N(D295)*SUMIFS(Orders!$W$6:$W$1005,Orders!$D$6:$D$1005,B295))</f>
        <v/>
      </c>
      <c r="H295" s="1" t="n"/>
    </row>
    <row r="296">
      <c r="A296" s="1" t="n"/>
      <c r="B296" s="33" t="n"/>
      <c r="C296" s="33" t="n"/>
      <c r="D296" s="36" t="n"/>
      <c r="E296" s="19">
        <f>IF(C296="","",IFERROR(INDEX(Materials!$C$6:$C$205,MATCH(C296,Materials!$B$6:$B$205,0))&amp;"","Add it to Materials"))</f>
        <v/>
      </c>
      <c r="F296" s="22">
        <f>IF(OR(C296="",E296="Add it to Materials"),"",N(D296)*INDEX(Materials!$F$6:$F$205,MATCH(C296,Materials!$B$6:$B$205,0)))</f>
        <v/>
      </c>
      <c r="G296" s="39">
        <f>IF(OR(B296="",C296=""),"",N(D296)*SUMIFS(Orders!$W$6:$W$1005,Orders!$D$6:$D$1005,B296))</f>
        <v/>
      </c>
      <c r="H296" s="1" t="n"/>
    </row>
    <row r="297">
      <c r="A297" s="1" t="n"/>
      <c r="B297" s="33" t="n"/>
      <c r="C297" s="33" t="n"/>
      <c r="D297" s="36" t="n"/>
      <c r="E297" s="19">
        <f>IF(C297="","",IFERROR(INDEX(Materials!$C$6:$C$205,MATCH(C297,Materials!$B$6:$B$205,0))&amp;"","Add it to Materials"))</f>
        <v/>
      </c>
      <c r="F297" s="22">
        <f>IF(OR(C297="",E297="Add it to Materials"),"",N(D297)*INDEX(Materials!$F$6:$F$205,MATCH(C297,Materials!$B$6:$B$205,0)))</f>
        <v/>
      </c>
      <c r="G297" s="39">
        <f>IF(OR(B297="",C297=""),"",N(D297)*SUMIFS(Orders!$W$6:$W$1005,Orders!$D$6:$D$1005,B297))</f>
        <v/>
      </c>
      <c r="H297" s="1" t="n"/>
    </row>
    <row r="298">
      <c r="A298" s="1" t="n"/>
      <c r="B298" s="33" t="n"/>
      <c r="C298" s="33" t="n"/>
      <c r="D298" s="36" t="n"/>
      <c r="E298" s="19">
        <f>IF(C298="","",IFERROR(INDEX(Materials!$C$6:$C$205,MATCH(C298,Materials!$B$6:$B$205,0))&amp;"","Add it to Materials"))</f>
        <v/>
      </c>
      <c r="F298" s="22">
        <f>IF(OR(C298="",E298="Add it to Materials"),"",N(D298)*INDEX(Materials!$F$6:$F$205,MATCH(C298,Materials!$B$6:$B$205,0)))</f>
        <v/>
      </c>
      <c r="G298" s="39">
        <f>IF(OR(B298="",C298=""),"",N(D298)*SUMIFS(Orders!$W$6:$W$1005,Orders!$D$6:$D$1005,B298))</f>
        <v/>
      </c>
      <c r="H298" s="1" t="n"/>
    </row>
    <row r="299">
      <c r="A299" s="1" t="n"/>
      <c r="B299" s="33" t="n"/>
      <c r="C299" s="33" t="n"/>
      <c r="D299" s="36" t="n"/>
      <c r="E299" s="19">
        <f>IF(C299="","",IFERROR(INDEX(Materials!$C$6:$C$205,MATCH(C299,Materials!$B$6:$B$205,0))&amp;"","Add it to Materials"))</f>
        <v/>
      </c>
      <c r="F299" s="22">
        <f>IF(OR(C299="",E299="Add it to Materials"),"",N(D299)*INDEX(Materials!$F$6:$F$205,MATCH(C299,Materials!$B$6:$B$205,0)))</f>
        <v/>
      </c>
      <c r="G299" s="39">
        <f>IF(OR(B299="",C299=""),"",N(D299)*SUMIFS(Orders!$W$6:$W$1005,Orders!$D$6:$D$1005,B299))</f>
        <v/>
      </c>
      <c r="H299" s="1" t="n"/>
    </row>
    <row r="300">
      <c r="A300" s="1" t="n"/>
      <c r="B300" s="33" t="n"/>
      <c r="C300" s="33" t="n"/>
      <c r="D300" s="36" t="n"/>
      <c r="E300" s="19">
        <f>IF(C300="","",IFERROR(INDEX(Materials!$C$6:$C$205,MATCH(C300,Materials!$B$6:$B$205,0))&amp;"","Add it to Materials"))</f>
        <v/>
      </c>
      <c r="F300" s="22">
        <f>IF(OR(C300="",E300="Add it to Materials"),"",N(D300)*INDEX(Materials!$F$6:$F$205,MATCH(C300,Materials!$B$6:$B$205,0)))</f>
        <v/>
      </c>
      <c r="G300" s="39">
        <f>IF(OR(B300="",C300=""),"",N(D300)*SUMIFS(Orders!$W$6:$W$1005,Orders!$D$6:$D$1005,B300))</f>
        <v/>
      </c>
      <c r="H300" s="1" t="n"/>
    </row>
    <row r="301">
      <c r="A301" s="1" t="n"/>
      <c r="B301" s="33" t="n"/>
      <c r="C301" s="33" t="n"/>
      <c r="D301" s="36" t="n"/>
      <c r="E301" s="19">
        <f>IF(C301="","",IFERROR(INDEX(Materials!$C$6:$C$205,MATCH(C301,Materials!$B$6:$B$205,0))&amp;"","Add it to Materials"))</f>
        <v/>
      </c>
      <c r="F301" s="22">
        <f>IF(OR(C301="",E301="Add it to Materials"),"",N(D301)*INDEX(Materials!$F$6:$F$205,MATCH(C301,Materials!$B$6:$B$205,0)))</f>
        <v/>
      </c>
      <c r="G301" s="39">
        <f>IF(OR(B301="",C301=""),"",N(D301)*SUMIFS(Orders!$W$6:$W$1005,Orders!$D$6:$D$1005,B301))</f>
        <v/>
      </c>
      <c r="H301" s="1" t="n"/>
    </row>
    <row r="302">
      <c r="A302" s="1" t="n"/>
      <c r="B302" s="33" t="n"/>
      <c r="C302" s="33" t="n"/>
      <c r="D302" s="36" t="n"/>
      <c r="E302" s="19">
        <f>IF(C302="","",IFERROR(INDEX(Materials!$C$6:$C$205,MATCH(C302,Materials!$B$6:$B$205,0))&amp;"","Add it to Materials"))</f>
        <v/>
      </c>
      <c r="F302" s="22">
        <f>IF(OR(C302="",E302="Add it to Materials"),"",N(D302)*INDEX(Materials!$F$6:$F$205,MATCH(C302,Materials!$B$6:$B$205,0)))</f>
        <v/>
      </c>
      <c r="G302" s="39">
        <f>IF(OR(B302="",C302=""),"",N(D302)*SUMIFS(Orders!$W$6:$W$1005,Orders!$D$6:$D$1005,B302))</f>
        <v/>
      </c>
      <c r="H302" s="1" t="n"/>
    </row>
    <row r="303">
      <c r="A303" s="1" t="n"/>
      <c r="B303" s="33" t="n"/>
      <c r="C303" s="33" t="n"/>
      <c r="D303" s="36" t="n"/>
      <c r="E303" s="19">
        <f>IF(C303="","",IFERROR(INDEX(Materials!$C$6:$C$205,MATCH(C303,Materials!$B$6:$B$205,0))&amp;"","Add it to Materials"))</f>
        <v/>
      </c>
      <c r="F303" s="22">
        <f>IF(OR(C303="",E303="Add it to Materials"),"",N(D303)*INDEX(Materials!$F$6:$F$205,MATCH(C303,Materials!$B$6:$B$205,0)))</f>
        <v/>
      </c>
      <c r="G303" s="39">
        <f>IF(OR(B303="",C303=""),"",N(D303)*SUMIFS(Orders!$W$6:$W$1005,Orders!$D$6:$D$1005,B303))</f>
        <v/>
      </c>
      <c r="H303" s="1" t="n"/>
    </row>
    <row r="304">
      <c r="A304" s="1" t="n"/>
      <c r="B304" s="33" t="n"/>
      <c r="C304" s="33" t="n"/>
      <c r="D304" s="36" t="n"/>
      <c r="E304" s="19">
        <f>IF(C304="","",IFERROR(INDEX(Materials!$C$6:$C$205,MATCH(C304,Materials!$B$6:$B$205,0))&amp;"","Add it to Materials"))</f>
        <v/>
      </c>
      <c r="F304" s="22">
        <f>IF(OR(C304="",E304="Add it to Materials"),"",N(D304)*INDEX(Materials!$F$6:$F$205,MATCH(C304,Materials!$B$6:$B$205,0)))</f>
        <v/>
      </c>
      <c r="G304" s="39">
        <f>IF(OR(B304="",C304=""),"",N(D304)*SUMIFS(Orders!$W$6:$W$1005,Orders!$D$6:$D$1005,B304))</f>
        <v/>
      </c>
      <c r="H304" s="1" t="n"/>
    </row>
    <row r="305">
      <c r="A305" s="1" t="n"/>
      <c r="B305" s="33" t="n"/>
      <c r="C305" s="33" t="n"/>
      <c r="D305" s="36" t="n"/>
      <c r="E305" s="19">
        <f>IF(C305="","",IFERROR(INDEX(Materials!$C$6:$C$205,MATCH(C305,Materials!$B$6:$B$205,0))&amp;"","Add it to Materials"))</f>
        <v/>
      </c>
      <c r="F305" s="22">
        <f>IF(OR(C305="",E305="Add it to Materials"),"",N(D305)*INDEX(Materials!$F$6:$F$205,MATCH(C305,Materials!$B$6:$B$205,0)))</f>
        <v/>
      </c>
      <c r="G305" s="39">
        <f>IF(OR(B305="",C305=""),"",N(D305)*SUMIFS(Orders!$W$6:$W$1005,Orders!$D$6:$D$1005,B305))</f>
        <v/>
      </c>
      <c r="H305" s="1" t="n"/>
    </row>
    <row r="306">
      <c r="A306" s="1" t="n"/>
      <c r="B306" s="33" t="n"/>
      <c r="C306" s="33" t="n"/>
      <c r="D306" s="36" t="n"/>
      <c r="E306" s="19">
        <f>IF(C306="","",IFERROR(INDEX(Materials!$C$6:$C$205,MATCH(C306,Materials!$B$6:$B$205,0))&amp;"","Add it to Materials"))</f>
        <v/>
      </c>
      <c r="F306" s="22">
        <f>IF(OR(C306="",E306="Add it to Materials"),"",N(D306)*INDEX(Materials!$F$6:$F$205,MATCH(C306,Materials!$B$6:$B$205,0)))</f>
        <v/>
      </c>
      <c r="G306" s="39">
        <f>IF(OR(B306="",C306=""),"",N(D306)*SUMIFS(Orders!$W$6:$W$1005,Orders!$D$6:$D$1005,B306))</f>
        <v/>
      </c>
      <c r="H306" s="1" t="n"/>
    </row>
    <row r="307">
      <c r="A307" s="1" t="n"/>
      <c r="B307" s="33" t="n"/>
      <c r="C307" s="33" t="n"/>
      <c r="D307" s="36" t="n"/>
      <c r="E307" s="19">
        <f>IF(C307="","",IFERROR(INDEX(Materials!$C$6:$C$205,MATCH(C307,Materials!$B$6:$B$205,0))&amp;"","Add it to Materials"))</f>
        <v/>
      </c>
      <c r="F307" s="22">
        <f>IF(OR(C307="",E307="Add it to Materials"),"",N(D307)*INDEX(Materials!$F$6:$F$205,MATCH(C307,Materials!$B$6:$B$205,0)))</f>
        <v/>
      </c>
      <c r="G307" s="39">
        <f>IF(OR(B307="",C307=""),"",N(D307)*SUMIFS(Orders!$W$6:$W$1005,Orders!$D$6:$D$1005,B307))</f>
        <v/>
      </c>
      <c r="H307" s="1" t="n"/>
    </row>
    <row r="308">
      <c r="A308" s="1" t="n"/>
      <c r="B308" s="33" t="n"/>
      <c r="C308" s="33" t="n"/>
      <c r="D308" s="36" t="n"/>
      <c r="E308" s="19">
        <f>IF(C308="","",IFERROR(INDEX(Materials!$C$6:$C$205,MATCH(C308,Materials!$B$6:$B$205,0))&amp;"","Add it to Materials"))</f>
        <v/>
      </c>
      <c r="F308" s="22">
        <f>IF(OR(C308="",E308="Add it to Materials"),"",N(D308)*INDEX(Materials!$F$6:$F$205,MATCH(C308,Materials!$B$6:$B$205,0)))</f>
        <v/>
      </c>
      <c r="G308" s="39">
        <f>IF(OR(B308="",C308=""),"",N(D308)*SUMIFS(Orders!$W$6:$W$1005,Orders!$D$6:$D$1005,B308))</f>
        <v/>
      </c>
      <c r="H308" s="1" t="n"/>
    </row>
    <row r="309">
      <c r="A309" s="1" t="n"/>
      <c r="B309" s="33" t="n"/>
      <c r="C309" s="33" t="n"/>
      <c r="D309" s="36" t="n"/>
      <c r="E309" s="19">
        <f>IF(C309="","",IFERROR(INDEX(Materials!$C$6:$C$205,MATCH(C309,Materials!$B$6:$B$205,0))&amp;"","Add it to Materials"))</f>
        <v/>
      </c>
      <c r="F309" s="22">
        <f>IF(OR(C309="",E309="Add it to Materials"),"",N(D309)*INDEX(Materials!$F$6:$F$205,MATCH(C309,Materials!$B$6:$B$205,0)))</f>
        <v/>
      </c>
      <c r="G309" s="39">
        <f>IF(OR(B309="",C309=""),"",N(D309)*SUMIFS(Orders!$W$6:$W$1005,Orders!$D$6:$D$1005,B309))</f>
        <v/>
      </c>
      <c r="H309" s="1" t="n"/>
    </row>
    <row r="310">
      <c r="A310" s="1" t="n"/>
      <c r="B310" s="33" t="n"/>
      <c r="C310" s="33" t="n"/>
      <c r="D310" s="36" t="n"/>
      <c r="E310" s="19">
        <f>IF(C310="","",IFERROR(INDEX(Materials!$C$6:$C$205,MATCH(C310,Materials!$B$6:$B$205,0))&amp;"","Add it to Materials"))</f>
        <v/>
      </c>
      <c r="F310" s="22">
        <f>IF(OR(C310="",E310="Add it to Materials"),"",N(D310)*INDEX(Materials!$F$6:$F$205,MATCH(C310,Materials!$B$6:$B$205,0)))</f>
        <v/>
      </c>
      <c r="G310" s="39">
        <f>IF(OR(B310="",C310=""),"",N(D310)*SUMIFS(Orders!$W$6:$W$1005,Orders!$D$6:$D$1005,B310))</f>
        <v/>
      </c>
      <c r="H310" s="1" t="n"/>
    </row>
    <row r="311">
      <c r="A311" s="1" t="n"/>
      <c r="B311" s="33" t="n"/>
      <c r="C311" s="33" t="n"/>
      <c r="D311" s="36" t="n"/>
      <c r="E311" s="19">
        <f>IF(C311="","",IFERROR(INDEX(Materials!$C$6:$C$205,MATCH(C311,Materials!$B$6:$B$205,0))&amp;"","Add it to Materials"))</f>
        <v/>
      </c>
      <c r="F311" s="22">
        <f>IF(OR(C311="",E311="Add it to Materials"),"",N(D311)*INDEX(Materials!$F$6:$F$205,MATCH(C311,Materials!$B$6:$B$205,0)))</f>
        <v/>
      </c>
      <c r="G311" s="39">
        <f>IF(OR(B311="",C311=""),"",N(D311)*SUMIFS(Orders!$W$6:$W$1005,Orders!$D$6:$D$1005,B311))</f>
        <v/>
      </c>
      <c r="H311" s="1" t="n"/>
    </row>
    <row r="312">
      <c r="A312" s="1" t="n"/>
      <c r="B312" s="33" t="n"/>
      <c r="C312" s="33" t="n"/>
      <c r="D312" s="36" t="n"/>
      <c r="E312" s="19">
        <f>IF(C312="","",IFERROR(INDEX(Materials!$C$6:$C$205,MATCH(C312,Materials!$B$6:$B$205,0))&amp;"","Add it to Materials"))</f>
        <v/>
      </c>
      <c r="F312" s="22">
        <f>IF(OR(C312="",E312="Add it to Materials"),"",N(D312)*INDEX(Materials!$F$6:$F$205,MATCH(C312,Materials!$B$6:$B$205,0)))</f>
        <v/>
      </c>
      <c r="G312" s="39">
        <f>IF(OR(B312="",C312=""),"",N(D312)*SUMIFS(Orders!$W$6:$W$1005,Orders!$D$6:$D$1005,B312))</f>
        <v/>
      </c>
      <c r="H312" s="1" t="n"/>
    </row>
    <row r="313">
      <c r="A313" s="1" t="n"/>
      <c r="B313" s="33" t="n"/>
      <c r="C313" s="33" t="n"/>
      <c r="D313" s="36" t="n"/>
      <c r="E313" s="19">
        <f>IF(C313="","",IFERROR(INDEX(Materials!$C$6:$C$205,MATCH(C313,Materials!$B$6:$B$205,0))&amp;"","Add it to Materials"))</f>
        <v/>
      </c>
      <c r="F313" s="22">
        <f>IF(OR(C313="",E313="Add it to Materials"),"",N(D313)*INDEX(Materials!$F$6:$F$205,MATCH(C313,Materials!$B$6:$B$205,0)))</f>
        <v/>
      </c>
      <c r="G313" s="39">
        <f>IF(OR(B313="",C313=""),"",N(D313)*SUMIFS(Orders!$W$6:$W$1005,Orders!$D$6:$D$1005,B313))</f>
        <v/>
      </c>
      <c r="H313" s="1" t="n"/>
    </row>
    <row r="314">
      <c r="A314" s="1" t="n"/>
      <c r="B314" s="33" t="n"/>
      <c r="C314" s="33" t="n"/>
      <c r="D314" s="36" t="n"/>
      <c r="E314" s="19">
        <f>IF(C314="","",IFERROR(INDEX(Materials!$C$6:$C$205,MATCH(C314,Materials!$B$6:$B$205,0))&amp;"","Add it to Materials"))</f>
        <v/>
      </c>
      <c r="F314" s="22">
        <f>IF(OR(C314="",E314="Add it to Materials"),"",N(D314)*INDEX(Materials!$F$6:$F$205,MATCH(C314,Materials!$B$6:$B$205,0)))</f>
        <v/>
      </c>
      <c r="G314" s="39">
        <f>IF(OR(B314="",C314=""),"",N(D314)*SUMIFS(Orders!$W$6:$W$1005,Orders!$D$6:$D$1005,B314))</f>
        <v/>
      </c>
      <c r="H314" s="1" t="n"/>
    </row>
    <row r="315">
      <c r="A315" s="1" t="n"/>
      <c r="B315" s="33" t="n"/>
      <c r="C315" s="33" t="n"/>
      <c r="D315" s="36" t="n"/>
      <c r="E315" s="19">
        <f>IF(C315="","",IFERROR(INDEX(Materials!$C$6:$C$205,MATCH(C315,Materials!$B$6:$B$205,0))&amp;"","Add it to Materials"))</f>
        <v/>
      </c>
      <c r="F315" s="22">
        <f>IF(OR(C315="",E315="Add it to Materials"),"",N(D315)*INDEX(Materials!$F$6:$F$205,MATCH(C315,Materials!$B$6:$B$205,0)))</f>
        <v/>
      </c>
      <c r="G315" s="39">
        <f>IF(OR(B315="",C315=""),"",N(D315)*SUMIFS(Orders!$W$6:$W$1005,Orders!$D$6:$D$1005,B315))</f>
        <v/>
      </c>
      <c r="H315" s="1" t="n"/>
    </row>
    <row r="316">
      <c r="A316" s="1" t="n"/>
      <c r="B316" s="33" t="n"/>
      <c r="C316" s="33" t="n"/>
      <c r="D316" s="36" t="n"/>
      <c r="E316" s="19">
        <f>IF(C316="","",IFERROR(INDEX(Materials!$C$6:$C$205,MATCH(C316,Materials!$B$6:$B$205,0))&amp;"","Add it to Materials"))</f>
        <v/>
      </c>
      <c r="F316" s="22">
        <f>IF(OR(C316="",E316="Add it to Materials"),"",N(D316)*INDEX(Materials!$F$6:$F$205,MATCH(C316,Materials!$B$6:$B$205,0)))</f>
        <v/>
      </c>
      <c r="G316" s="39">
        <f>IF(OR(B316="",C316=""),"",N(D316)*SUMIFS(Orders!$W$6:$W$1005,Orders!$D$6:$D$1005,B316))</f>
        <v/>
      </c>
      <c r="H316" s="1" t="n"/>
    </row>
    <row r="317">
      <c r="A317" s="1" t="n"/>
      <c r="B317" s="33" t="n"/>
      <c r="C317" s="33" t="n"/>
      <c r="D317" s="36" t="n"/>
      <c r="E317" s="19">
        <f>IF(C317="","",IFERROR(INDEX(Materials!$C$6:$C$205,MATCH(C317,Materials!$B$6:$B$205,0))&amp;"","Add it to Materials"))</f>
        <v/>
      </c>
      <c r="F317" s="22">
        <f>IF(OR(C317="",E317="Add it to Materials"),"",N(D317)*INDEX(Materials!$F$6:$F$205,MATCH(C317,Materials!$B$6:$B$205,0)))</f>
        <v/>
      </c>
      <c r="G317" s="39">
        <f>IF(OR(B317="",C317=""),"",N(D317)*SUMIFS(Orders!$W$6:$W$1005,Orders!$D$6:$D$1005,B317))</f>
        <v/>
      </c>
      <c r="H317" s="1" t="n"/>
    </row>
    <row r="318">
      <c r="A318" s="1" t="n"/>
      <c r="B318" s="33" t="n"/>
      <c r="C318" s="33" t="n"/>
      <c r="D318" s="36" t="n"/>
      <c r="E318" s="19">
        <f>IF(C318="","",IFERROR(INDEX(Materials!$C$6:$C$205,MATCH(C318,Materials!$B$6:$B$205,0))&amp;"","Add it to Materials"))</f>
        <v/>
      </c>
      <c r="F318" s="22">
        <f>IF(OR(C318="",E318="Add it to Materials"),"",N(D318)*INDEX(Materials!$F$6:$F$205,MATCH(C318,Materials!$B$6:$B$205,0)))</f>
        <v/>
      </c>
      <c r="G318" s="39">
        <f>IF(OR(B318="",C318=""),"",N(D318)*SUMIFS(Orders!$W$6:$W$1005,Orders!$D$6:$D$1005,B318))</f>
        <v/>
      </c>
      <c r="H318" s="1" t="n"/>
    </row>
    <row r="319">
      <c r="A319" s="1" t="n"/>
      <c r="B319" s="33" t="n"/>
      <c r="C319" s="33" t="n"/>
      <c r="D319" s="36" t="n"/>
      <c r="E319" s="19">
        <f>IF(C319="","",IFERROR(INDEX(Materials!$C$6:$C$205,MATCH(C319,Materials!$B$6:$B$205,0))&amp;"","Add it to Materials"))</f>
        <v/>
      </c>
      <c r="F319" s="22">
        <f>IF(OR(C319="",E319="Add it to Materials"),"",N(D319)*INDEX(Materials!$F$6:$F$205,MATCH(C319,Materials!$B$6:$B$205,0)))</f>
        <v/>
      </c>
      <c r="G319" s="39">
        <f>IF(OR(B319="",C319=""),"",N(D319)*SUMIFS(Orders!$W$6:$W$1005,Orders!$D$6:$D$1005,B319))</f>
        <v/>
      </c>
      <c r="H319" s="1" t="n"/>
    </row>
    <row r="320">
      <c r="A320" s="1" t="n"/>
      <c r="B320" s="33" t="n"/>
      <c r="C320" s="33" t="n"/>
      <c r="D320" s="36" t="n"/>
      <c r="E320" s="19">
        <f>IF(C320="","",IFERROR(INDEX(Materials!$C$6:$C$205,MATCH(C320,Materials!$B$6:$B$205,0))&amp;"","Add it to Materials"))</f>
        <v/>
      </c>
      <c r="F320" s="22">
        <f>IF(OR(C320="",E320="Add it to Materials"),"",N(D320)*INDEX(Materials!$F$6:$F$205,MATCH(C320,Materials!$B$6:$B$205,0)))</f>
        <v/>
      </c>
      <c r="G320" s="39">
        <f>IF(OR(B320="",C320=""),"",N(D320)*SUMIFS(Orders!$W$6:$W$1005,Orders!$D$6:$D$1005,B320))</f>
        <v/>
      </c>
      <c r="H320" s="1" t="n"/>
    </row>
    <row r="321">
      <c r="A321" s="1" t="n"/>
      <c r="B321" s="33" t="n"/>
      <c r="C321" s="33" t="n"/>
      <c r="D321" s="36" t="n"/>
      <c r="E321" s="19">
        <f>IF(C321="","",IFERROR(INDEX(Materials!$C$6:$C$205,MATCH(C321,Materials!$B$6:$B$205,0))&amp;"","Add it to Materials"))</f>
        <v/>
      </c>
      <c r="F321" s="22">
        <f>IF(OR(C321="",E321="Add it to Materials"),"",N(D321)*INDEX(Materials!$F$6:$F$205,MATCH(C321,Materials!$B$6:$B$205,0)))</f>
        <v/>
      </c>
      <c r="G321" s="39">
        <f>IF(OR(B321="",C321=""),"",N(D321)*SUMIFS(Orders!$W$6:$W$1005,Orders!$D$6:$D$1005,B321))</f>
        <v/>
      </c>
      <c r="H321" s="1" t="n"/>
    </row>
    <row r="322">
      <c r="A322" s="1" t="n"/>
      <c r="B322" s="33" t="n"/>
      <c r="C322" s="33" t="n"/>
      <c r="D322" s="36" t="n"/>
      <c r="E322" s="19">
        <f>IF(C322="","",IFERROR(INDEX(Materials!$C$6:$C$205,MATCH(C322,Materials!$B$6:$B$205,0))&amp;"","Add it to Materials"))</f>
        <v/>
      </c>
      <c r="F322" s="22">
        <f>IF(OR(C322="",E322="Add it to Materials"),"",N(D322)*INDEX(Materials!$F$6:$F$205,MATCH(C322,Materials!$B$6:$B$205,0)))</f>
        <v/>
      </c>
      <c r="G322" s="39">
        <f>IF(OR(B322="",C322=""),"",N(D322)*SUMIFS(Orders!$W$6:$W$1005,Orders!$D$6:$D$1005,B322))</f>
        <v/>
      </c>
      <c r="H322" s="1" t="n"/>
    </row>
    <row r="323">
      <c r="A323" s="1" t="n"/>
      <c r="B323" s="33" t="n"/>
      <c r="C323" s="33" t="n"/>
      <c r="D323" s="36" t="n"/>
      <c r="E323" s="19">
        <f>IF(C323="","",IFERROR(INDEX(Materials!$C$6:$C$205,MATCH(C323,Materials!$B$6:$B$205,0))&amp;"","Add it to Materials"))</f>
        <v/>
      </c>
      <c r="F323" s="22">
        <f>IF(OR(C323="",E323="Add it to Materials"),"",N(D323)*INDEX(Materials!$F$6:$F$205,MATCH(C323,Materials!$B$6:$B$205,0)))</f>
        <v/>
      </c>
      <c r="G323" s="39">
        <f>IF(OR(B323="",C323=""),"",N(D323)*SUMIFS(Orders!$W$6:$W$1005,Orders!$D$6:$D$1005,B323))</f>
        <v/>
      </c>
      <c r="H323" s="1" t="n"/>
    </row>
    <row r="324">
      <c r="A324" s="1" t="n"/>
      <c r="B324" s="33" t="n"/>
      <c r="C324" s="33" t="n"/>
      <c r="D324" s="36" t="n"/>
      <c r="E324" s="19">
        <f>IF(C324="","",IFERROR(INDEX(Materials!$C$6:$C$205,MATCH(C324,Materials!$B$6:$B$205,0))&amp;"","Add it to Materials"))</f>
        <v/>
      </c>
      <c r="F324" s="22">
        <f>IF(OR(C324="",E324="Add it to Materials"),"",N(D324)*INDEX(Materials!$F$6:$F$205,MATCH(C324,Materials!$B$6:$B$205,0)))</f>
        <v/>
      </c>
      <c r="G324" s="39">
        <f>IF(OR(B324="",C324=""),"",N(D324)*SUMIFS(Orders!$W$6:$W$1005,Orders!$D$6:$D$1005,B324))</f>
        <v/>
      </c>
      <c r="H324" s="1" t="n"/>
    </row>
    <row r="325">
      <c r="A325" s="1" t="n"/>
      <c r="B325" s="33" t="n"/>
      <c r="C325" s="33" t="n"/>
      <c r="D325" s="36" t="n"/>
      <c r="E325" s="19">
        <f>IF(C325="","",IFERROR(INDEX(Materials!$C$6:$C$205,MATCH(C325,Materials!$B$6:$B$205,0))&amp;"","Add it to Materials"))</f>
        <v/>
      </c>
      <c r="F325" s="22">
        <f>IF(OR(C325="",E325="Add it to Materials"),"",N(D325)*INDEX(Materials!$F$6:$F$205,MATCH(C325,Materials!$B$6:$B$205,0)))</f>
        <v/>
      </c>
      <c r="G325" s="39">
        <f>IF(OR(B325="",C325=""),"",N(D325)*SUMIFS(Orders!$W$6:$W$1005,Orders!$D$6:$D$1005,B325))</f>
        <v/>
      </c>
      <c r="H325" s="1" t="n"/>
    </row>
    <row r="326">
      <c r="A326" s="1" t="n"/>
      <c r="B326" s="33" t="n"/>
      <c r="C326" s="33" t="n"/>
      <c r="D326" s="36" t="n"/>
      <c r="E326" s="19">
        <f>IF(C326="","",IFERROR(INDEX(Materials!$C$6:$C$205,MATCH(C326,Materials!$B$6:$B$205,0))&amp;"","Add it to Materials"))</f>
        <v/>
      </c>
      <c r="F326" s="22">
        <f>IF(OR(C326="",E326="Add it to Materials"),"",N(D326)*INDEX(Materials!$F$6:$F$205,MATCH(C326,Materials!$B$6:$B$205,0)))</f>
        <v/>
      </c>
      <c r="G326" s="39">
        <f>IF(OR(B326="",C326=""),"",N(D326)*SUMIFS(Orders!$W$6:$W$1005,Orders!$D$6:$D$1005,B326))</f>
        <v/>
      </c>
      <c r="H326" s="1" t="n"/>
    </row>
    <row r="327">
      <c r="A327" s="1" t="n"/>
      <c r="B327" s="33" t="n"/>
      <c r="C327" s="33" t="n"/>
      <c r="D327" s="36" t="n"/>
      <c r="E327" s="19">
        <f>IF(C327="","",IFERROR(INDEX(Materials!$C$6:$C$205,MATCH(C327,Materials!$B$6:$B$205,0))&amp;"","Add it to Materials"))</f>
        <v/>
      </c>
      <c r="F327" s="22">
        <f>IF(OR(C327="",E327="Add it to Materials"),"",N(D327)*INDEX(Materials!$F$6:$F$205,MATCH(C327,Materials!$B$6:$B$205,0)))</f>
        <v/>
      </c>
      <c r="G327" s="39">
        <f>IF(OR(B327="",C327=""),"",N(D327)*SUMIFS(Orders!$W$6:$W$1005,Orders!$D$6:$D$1005,B327))</f>
        <v/>
      </c>
      <c r="H327" s="1" t="n"/>
    </row>
    <row r="328">
      <c r="A328" s="1" t="n"/>
      <c r="B328" s="33" t="n"/>
      <c r="C328" s="33" t="n"/>
      <c r="D328" s="36" t="n"/>
      <c r="E328" s="19">
        <f>IF(C328="","",IFERROR(INDEX(Materials!$C$6:$C$205,MATCH(C328,Materials!$B$6:$B$205,0))&amp;"","Add it to Materials"))</f>
        <v/>
      </c>
      <c r="F328" s="22">
        <f>IF(OR(C328="",E328="Add it to Materials"),"",N(D328)*INDEX(Materials!$F$6:$F$205,MATCH(C328,Materials!$B$6:$B$205,0)))</f>
        <v/>
      </c>
      <c r="G328" s="39">
        <f>IF(OR(B328="",C328=""),"",N(D328)*SUMIFS(Orders!$W$6:$W$1005,Orders!$D$6:$D$1005,B328))</f>
        <v/>
      </c>
      <c r="H328" s="1" t="n"/>
    </row>
    <row r="329">
      <c r="A329" s="1" t="n"/>
      <c r="B329" s="33" t="n"/>
      <c r="C329" s="33" t="n"/>
      <c r="D329" s="36" t="n"/>
      <c r="E329" s="19">
        <f>IF(C329="","",IFERROR(INDEX(Materials!$C$6:$C$205,MATCH(C329,Materials!$B$6:$B$205,0))&amp;"","Add it to Materials"))</f>
        <v/>
      </c>
      <c r="F329" s="22">
        <f>IF(OR(C329="",E329="Add it to Materials"),"",N(D329)*INDEX(Materials!$F$6:$F$205,MATCH(C329,Materials!$B$6:$B$205,0)))</f>
        <v/>
      </c>
      <c r="G329" s="39">
        <f>IF(OR(B329="",C329=""),"",N(D329)*SUMIFS(Orders!$W$6:$W$1005,Orders!$D$6:$D$1005,B329))</f>
        <v/>
      </c>
      <c r="H329" s="1" t="n"/>
    </row>
    <row r="330">
      <c r="A330" s="1" t="n"/>
      <c r="B330" s="33" t="n"/>
      <c r="C330" s="33" t="n"/>
      <c r="D330" s="36" t="n"/>
      <c r="E330" s="19">
        <f>IF(C330="","",IFERROR(INDEX(Materials!$C$6:$C$205,MATCH(C330,Materials!$B$6:$B$205,0))&amp;"","Add it to Materials"))</f>
        <v/>
      </c>
      <c r="F330" s="22">
        <f>IF(OR(C330="",E330="Add it to Materials"),"",N(D330)*INDEX(Materials!$F$6:$F$205,MATCH(C330,Materials!$B$6:$B$205,0)))</f>
        <v/>
      </c>
      <c r="G330" s="39">
        <f>IF(OR(B330="",C330=""),"",N(D330)*SUMIFS(Orders!$W$6:$W$1005,Orders!$D$6:$D$1005,B330))</f>
        <v/>
      </c>
      <c r="H330" s="1" t="n"/>
    </row>
    <row r="331">
      <c r="A331" s="1" t="n"/>
      <c r="B331" s="33" t="n"/>
      <c r="C331" s="33" t="n"/>
      <c r="D331" s="36" t="n"/>
      <c r="E331" s="19">
        <f>IF(C331="","",IFERROR(INDEX(Materials!$C$6:$C$205,MATCH(C331,Materials!$B$6:$B$205,0))&amp;"","Add it to Materials"))</f>
        <v/>
      </c>
      <c r="F331" s="22">
        <f>IF(OR(C331="",E331="Add it to Materials"),"",N(D331)*INDEX(Materials!$F$6:$F$205,MATCH(C331,Materials!$B$6:$B$205,0)))</f>
        <v/>
      </c>
      <c r="G331" s="39">
        <f>IF(OR(B331="",C331=""),"",N(D331)*SUMIFS(Orders!$W$6:$W$1005,Orders!$D$6:$D$1005,B331))</f>
        <v/>
      </c>
      <c r="H331" s="1" t="n"/>
    </row>
    <row r="332">
      <c r="A332" s="1" t="n"/>
      <c r="B332" s="33" t="n"/>
      <c r="C332" s="33" t="n"/>
      <c r="D332" s="36" t="n"/>
      <c r="E332" s="19">
        <f>IF(C332="","",IFERROR(INDEX(Materials!$C$6:$C$205,MATCH(C332,Materials!$B$6:$B$205,0))&amp;"","Add it to Materials"))</f>
        <v/>
      </c>
      <c r="F332" s="22">
        <f>IF(OR(C332="",E332="Add it to Materials"),"",N(D332)*INDEX(Materials!$F$6:$F$205,MATCH(C332,Materials!$B$6:$B$205,0)))</f>
        <v/>
      </c>
      <c r="G332" s="39">
        <f>IF(OR(B332="",C332=""),"",N(D332)*SUMIFS(Orders!$W$6:$W$1005,Orders!$D$6:$D$1005,B332))</f>
        <v/>
      </c>
      <c r="H332" s="1" t="n"/>
    </row>
    <row r="333">
      <c r="A333" s="1" t="n"/>
      <c r="B333" s="33" t="n"/>
      <c r="C333" s="33" t="n"/>
      <c r="D333" s="36" t="n"/>
      <c r="E333" s="19">
        <f>IF(C333="","",IFERROR(INDEX(Materials!$C$6:$C$205,MATCH(C333,Materials!$B$6:$B$205,0))&amp;"","Add it to Materials"))</f>
        <v/>
      </c>
      <c r="F333" s="22">
        <f>IF(OR(C333="",E333="Add it to Materials"),"",N(D333)*INDEX(Materials!$F$6:$F$205,MATCH(C333,Materials!$B$6:$B$205,0)))</f>
        <v/>
      </c>
      <c r="G333" s="39">
        <f>IF(OR(B333="",C333=""),"",N(D333)*SUMIFS(Orders!$W$6:$W$1005,Orders!$D$6:$D$1005,B333))</f>
        <v/>
      </c>
      <c r="H333" s="1" t="n"/>
    </row>
    <row r="334">
      <c r="A334" s="1" t="n"/>
      <c r="B334" s="33" t="n"/>
      <c r="C334" s="33" t="n"/>
      <c r="D334" s="36" t="n"/>
      <c r="E334" s="19">
        <f>IF(C334="","",IFERROR(INDEX(Materials!$C$6:$C$205,MATCH(C334,Materials!$B$6:$B$205,0))&amp;"","Add it to Materials"))</f>
        <v/>
      </c>
      <c r="F334" s="22">
        <f>IF(OR(C334="",E334="Add it to Materials"),"",N(D334)*INDEX(Materials!$F$6:$F$205,MATCH(C334,Materials!$B$6:$B$205,0)))</f>
        <v/>
      </c>
      <c r="G334" s="39">
        <f>IF(OR(B334="",C334=""),"",N(D334)*SUMIFS(Orders!$W$6:$W$1005,Orders!$D$6:$D$1005,B334))</f>
        <v/>
      </c>
      <c r="H334" s="1" t="n"/>
    </row>
    <row r="335">
      <c r="A335" s="1" t="n"/>
      <c r="B335" s="33" t="n"/>
      <c r="C335" s="33" t="n"/>
      <c r="D335" s="36" t="n"/>
      <c r="E335" s="19">
        <f>IF(C335="","",IFERROR(INDEX(Materials!$C$6:$C$205,MATCH(C335,Materials!$B$6:$B$205,0))&amp;"","Add it to Materials"))</f>
        <v/>
      </c>
      <c r="F335" s="22">
        <f>IF(OR(C335="",E335="Add it to Materials"),"",N(D335)*INDEX(Materials!$F$6:$F$205,MATCH(C335,Materials!$B$6:$B$205,0)))</f>
        <v/>
      </c>
      <c r="G335" s="39">
        <f>IF(OR(B335="",C335=""),"",N(D335)*SUMIFS(Orders!$W$6:$W$1005,Orders!$D$6:$D$1005,B335))</f>
        <v/>
      </c>
      <c r="H335" s="1" t="n"/>
    </row>
    <row r="336">
      <c r="A336" s="1" t="n"/>
      <c r="B336" s="33" t="n"/>
      <c r="C336" s="33" t="n"/>
      <c r="D336" s="36" t="n"/>
      <c r="E336" s="19">
        <f>IF(C336="","",IFERROR(INDEX(Materials!$C$6:$C$205,MATCH(C336,Materials!$B$6:$B$205,0))&amp;"","Add it to Materials"))</f>
        <v/>
      </c>
      <c r="F336" s="22">
        <f>IF(OR(C336="",E336="Add it to Materials"),"",N(D336)*INDEX(Materials!$F$6:$F$205,MATCH(C336,Materials!$B$6:$B$205,0)))</f>
        <v/>
      </c>
      <c r="G336" s="39">
        <f>IF(OR(B336="",C336=""),"",N(D336)*SUMIFS(Orders!$W$6:$W$1005,Orders!$D$6:$D$1005,B336))</f>
        <v/>
      </c>
      <c r="H336" s="1" t="n"/>
    </row>
    <row r="337">
      <c r="A337" s="1" t="n"/>
      <c r="B337" s="33" t="n"/>
      <c r="C337" s="33" t="n"/>
      <c r="D337" s="36" t="n"/>
      <c r="E337" s="19">
        <f>IF(C337="","",IFERROR(INDEX(Materials!$C$6:$C$205,MATCH(C337,Materials!$B$6:$B$205,0))&amp;"","Add it to Materials"))</f>
        <v/>
      </c>
      <c r="F337" s="22">
        <f>IF(OR(C337="",E337="Add it to Materials"),"",N(D337)*INDEX(Materials!$F$6:$F$205,MATCH(C337,Materials!$B$6:$B$205,0)))</f>
        <v/>
      </c>
      <c r="G337" s="39">
        <f>IF(OR(B337="",C337=""),"",N(D337)*SUMIFS(Orders!$W$6:$W$1005,Orders!$D$6:$D$1005,B337))</f>
        <v/>
      </c>
      <c r="H337" s="1" t="n"/>
    </row>
    <row r="338">
      <c r="A338" s="1" t="n"/>
      <c r="B338" s="33" t="n"/>
      <c r="C338" s="33" t="n"/>
      <c r="D338" s="36" t="n"/>
      <c r="E338" s="19">
        <f>IF(C338="","",IFERROR(INDEX(Materials!$C$6:$C$205,MATCH(C338,Materials!$B$6:$B$205,0))&amp;"","Add it to Materials"))</f>
        <v/>
      </c>
      <c r="F338" s="22">
        <f>IF(OR(C338="",E338="Add it to Materials"),"",N(D338)*INDEX(Materials!$F$6:$F$205,MATCH(C338,Materials!$B$6:$B$205,0)))</f>
        <v/>
      </c>
      <c r="G338" s="39">
        <f>IF(OR(B338="",C338=""),"",N(D338)*SUMIFS(Orders!$W$6:$W$1005,Orders!$D$6:$D$1005,B338))</f>
        <v/>
      </c>
      <c r="H338" s="1" t="n"/>
    </row>
    <row r="339">
      <c r="A339" s="1" t="n"/>
      <c r="B339" s="33" t="n"/>
      <c r="C339" s="33" t="n"/>
      <c r="D339" s="36" t="n"/>
      <c r="E339" s="19">
        <f>IF(C339="","",IFERROR(INDEX(Materials!$C$6:$C$205,MATCH(C339,Materials!$B$6:$B$205,0))&amp;"","Add it to Materials"))</f>
        <v/>
      </c>
      <c r="F339" s="22">
        <f>IF(OR(C339="",E339="Add it to Materials"),"",N(D339)*INDEX(Materials!$F$6:$F$205,MATCH(C339,Materials!$B$6:$B$205,0)))</f>
        <v/>
      </c>
      <c r="G339" s="39">
        <f>IF(OR(B339="",C339=""),"",N(D339)*SUMIFS(Orders!$W$6:$W$1005,Orders!$D$6:$D$1005,B339))</f>
        <v/>
      </c>
      <c r="H339" s="1" t="n"/>
    </row>
    <row r="340">
      <c r="A340" s="1" t="n"/>
      <c r="B340" s="33" t="n"/>
      <c r="C340" s="33" t="n"/>
      <c r="D340" s="36" t="n"/>
      <c r="E340" s="19">
        <f>IF(C340="","",IFERROR(INDEX(Materials!$C$6:$C$205,MATCH(C340,Materials!$B$6:$B$205,0))&amp;"","Add it to Materials"))</f>
        <v/>
      </c>
      <c r="F340" s="22">
        <f>IF(OR(C340="",E340="Add it to Materials"),"",N(D340)*INDEX(Materials!$F$6:$F$205,MATCH(C340,Materials!$B$6:$B$205,0)))</f>
        <v/>
      </c>
      <c r="G340" s="39">
        <f>IF(OR(B340="",C340=""),"",N(D340)*SUMIFS(Orders!$W$6:$W$1005,Orders!$D$6:$D$1005,B340))</f>
        <v/>
      </c>
      <c r="H340" s="1" t="n"/>
    </row>
    <row r="341">
      <c r="A341" s="1" t="n"/>
      <c r="B341" s="33" t="n"/>
      <c r="C341" s="33" t="n"/>
      <c r="D341" s="36" t="n"/>
      <c r="E341" s="19">
        <f>IF(C341="","",IFERROR(INDEX(Materials!$C$6:$C$205,MATCH(C341,Materials!$B$6:$B$205,0))&amp;"","Add it to Materials"))</f>
        <v/>
      </c>
      <c r="F341" s="22">
        <f>IF(OR(C341="",E341="Add it to Materials"),"",N(D341)*INDEX(Materials!$F$6:$F$205,MATCH(C341,Materials!$B$6:$B$205,0)))</f>
        <v/>
      </c>
      <c r="G341" s="39">
        <f>IF(OR(B341="",C341=""),"",N(D341)*SUMIFS(Orders!$W$6:$W$1005,Orders!$D$6:$D$1005,B341))</f>
        <v/>
      </c>
      <c r="H341" s="1" t="n"/>
    </row>
    <row r="342">
      <c r="A342" s="1" t="n"/>
      <c r="B342" s="33" t="n"/>
      <c r="C342" s="33" t="n"/>
      <c r="D342" s="36" t="n"/>
      <c r="E342" s="19">
        <f>IF(C342="","",IFERROR(INDEX(Materials!$C$6:$C$205,MATCH(C342,Materials!$B$6:$B$205,0))&amp;"","Add it to Materials"))</f>
        <v/>
      </c>
      <c r="F342" s="22">
        <f>IF(OR(C342="",E342="Add it to Materials"),"",N(D342)*INDEX(Materials!$F$6:$F$205,MATCH(C342,Materials!$B$6:$B$205,0)))</f>
        <v/>
      </c>
      <c r="G342" s="39">
        <f>IF(OR(B342="",C342=""),"",N(D342)*SUMIFS(Orders!$W$6:$W$1005,Orders!$D$6:$D$1005,B342))</f>
        <v/>
      </c>
      <c r="H342" s="1" t="n"/>
    </row>
    <row r="343">
      <c r="A343" s="1" t="n"/>
      <c r="B343" s="33" t="n"/>
      <c r="C343" s="33" t="n"/>
      <c r="D343" s="36" t="n"/>
      <c r="E343" s="19">
        <f>IF(C343="","",IFERROR(INDEX(Materials!$C$6:$C$205,MATCH(C343,Materials!$B$6:$B$205,0))&amp;"","Add it to Materials"))</f>
        <v/>
      </c>
      <c r="F343" s="22">
        <f>IF(OR(C343="",E343="Add it to Materials"),"",N(D343)*INDEX(Materials!$F$6:$F$205,MATCH(C343,Materials!$B$6:$B$205,0)))</f>
        <v/>
      </c>
      <c r="G343" s="39">
        <f>IF(OR(B343="",C343=""),"",N(D343)*SUMIFS(Orders!$W$6:$W$1005,Orders!$D$6:$D$1005,B343))</f>
        <v/>
      </c>
      <c r="H343" s="1" t="n"/>
    </row>
    <row r="344">
      <c r="A344" s="1" t="n"/>
      <c r="B344" s="33" t="n"/>
      <c r="C344" s="33" t="n"/>
      <c r="D344" s="36" t="n"/>
      <c r="E344" s="19">
        <f>IF(C344="","",IFERROR(INDEX(Materials!$C$6:$C$205,MATCH(C344,Materials!$B$6:$B$205,0))&amp;"","Add it to Materials"))</f>
        <v/>
      </c>
      <c r="F344" s="22">
        <f>IF(OR(C344="",E344="Add it to Materials"),"",N(D344)*INDEX(Materials!$F$6:$F$205,MATCH(C344,Materials!$B$6:$B$205,0)))</f>
        <v/>
      </c>
      <c r="G344" s="39">
        <f>IF(OR(B344="",C344=""),"",N(D344)*SUMIFS(Orders!$W$6:$W$1005,Orders!$D$6:$D$1005,B344))</f>
        <v/>
      </c>
      <c r="H344" s="1" t="n"/>
    </row>
    <row r="345">
      <c r="A345" s="1" t="n"/>
      <c r="B345" s="33" t="n"/>
      <c r="C345" s="33" t="n"/>
      <c r="D345" s="36" t="n"/>
      <c r="E345" s="19">
        <f>IF(C345="","",IFERROR(INDEX(Materials!$C$6:$C$205,MATCH(C345,Materials!$B$6:$B$205,0))&amp;"","Add it to Materials"))</f>
        <v/>
      </c>
      <c r="F345" s="22">
        <f>IF(OR(C345="",E345="Add it to Materials"),"",N(D345)*INDEX(Materials!$F$6:$F$205,MATCH(C345,Materials!$B$6:$B$205,0)))</f>
        <v/>
      </c>
      <c r="G345" s="39">
        <f>IF(OR(B345="",C345=""),"",N(D345)*SUMIFS(Orders!$W$6:$W$1005,Orders!$D$6:$D$1005,B345))</f>
        <v/>
      </c>
      <c r="H345" s="1" t="n"/>
    </row>
    <row r="346">
      <c r="A346" s="1" t="n"/>
      <c r="B346" s="33" t="n"/>
      <c r="C346" s="33" t="n"/>
      <c r="D346" s="36" t="n"/>
      <c r="E346" s="19">
        <f>IF(C346="","",IFERROR(INDEX(Materials!$C$6:$C$205,MATCH(C346,Materials!$B$6:$B$205,0))&amp;"","Add it to Materials"))</f>
        <v/>
      </c>
      <c r="F346" s="22">
        <f>IF(OR(C346="",E346="Add it to Materials"),"",N(D346)*INDEX(Materials!$F$6:$F$205,MATCH(C346,Materials!$B$6:$B$205,0)))</f>
        <v/>
      </c>
      <c r="G346" s="39">
        <f>IF(OR(B346="",C346=""),"",N(D346)*SUMIFS(Orders!$W$6:$W$1005,Orders!$D$6:$D$1005,B346))</f>
        <v/>
      </c>
      <c r="H346" s="1" t="n"/>
    </row>
    <row r="347">
      <c r="A347" s="1" t="n"/>
      <c r="B347" s="33" t="n"/>
      <c r="C347" s="33" t="n"/>
      <c r="D347" s="36" t="n"/>
      <c r="E347" s="19">
        <f>IF(C347="","",IFERROR(INDEX(Materials!$C$6:$C$205,MATCH(C347,Materials!$B$6:$B$205,0))&amp;"","Add it to Materials"))</f>
        <v/>
      </c>
      <c r="F347" s="22">
        <f>IF(OR(C347="",E347="Add it to Materials"),"",N(D347)*INDEX(Materials!$F$6:$F$205,MATCH(C347,Materials!$B$6:$B$205,0)))</f>
        <v/>
      </c>
      <c r="G347" s="39">
        <f>IF(OR(B347="",C347=""),"",N(D347)*SUMIFS(Orders!$W$6:$W$1005,Orders!$D$6:$D$1005,B347))</f>
        <v/>
      </c>
      <c r="H347" s="1" t="n"/>
    </row>
    <row r="348">
      <c r="A348" s="1" t="n"/>
      <c r="B348" s="33" t="n"/>
      <c r="C348" s="33" t="n"/>
      <c r="D348" s="36" t="n"/>
      <c r="E348" s="19">
        <f>IF(C348="","",IFERROR(INDEX(Materials!$C$6:$C$205,MATCH(C348,Materials!$B$6:$B$205,0))&amp;"","Add it to Materials"))</f>
        <v/>
      </c>
      <c r="F348" s="22">
        <f>IF(OR(C348="",E348="Add it to Materials"),"",N(D348)*INDEX(Materials!$F$6:$F$205,MATCH(C348,Materials!$B$6:$B$205,0)))</f>
        <v/>
      </c>
      <c r="G348" s="39">
        <f>IF(OR(B348="",C348=""),"",N(D348)*SUMIFS(Orders!$W$6:$W$1005,Orders!$D$6:$D$1005,B348))</f>
        <v/>
      </c>
      <c r="H348" s="1" t="n"/>
    </row>
    <row r="349">
      <c r="A349" s="1" t="n"/>
      <c r="B349" s="33" t="n"/>
      <c r="C349" s="33" t="n"/>
      <c r="D349" s="36" t="n"/>
      <c r="E349" s="19">
        <f>IF(C349="","",IFERROR(INDEX(Materials!$C$6:$C$205,MATCH(C349,Materials!$B$6:$B$205,0))&amp;"","Add it to Materials"))</f>
        <v/>
      </c>
      <c r="F349" s="22">
        <f>IF(OR(C349="",E349="Add it to Materials"),"",N(D349)*INDEX(Materials!$F$6:$F$205,MATCH(C349,Materials!$B$6:$B$205,0)))</f>
        <v/>
      </c>
      <c r="G349" s="39">
        <f>IF(OR(B349="",C349=""),"",N(D349)*SUMIFS(Orders!$W$6:$W$1005,Orders!$D$6:$D$1005,B349))</f>
        <v/>
      </c>
      <c r="H349" s="1" t="n"/>
    </row>
    <row r="350">
      <c r="A350" s="1" t="n"/>
      <c r="B350" s="33" t="n"/>
      <c r="C350" s="33" t="n"/>
      <c r="D350" s="36" t="n"/>
      <c r="E350" s="19">
        <f>IF(C350="","",IFERROR(INDEX(Materials!$C$6:$C$205,MATCH(C350,Materials!$B$6:$B$205,0))&amp;"","Add it to Materials"))</f>
        <v/>
      </c>
      <c r="F350" s="22">
        <f>IF(OR(C350="",E350="Add it to Materials"),"",N(D350)*INDEX(Materials!$F$6:$F$205,MATCH(C350,Materials!$B$6:$B$205,0)))</f>
        <v/>
      </c>
      <c r="G350" s="39">
        <f>IF(OR(B350="",C350=""),"",N(D350)*SUMIFS(Orders!$W$6:$W$1005,Orders!$D$6:$D$1005,B350))</f>
        <v/>
      </c>
      <c r="H350" s="1" t="n"/>
    </row>
    <row r="351">
      <c r="A351" s="1" t="n"/>
      <c r="B351" s="33" t="n"/>
      <c r="C351" s="33" t="n"/>
      <c r="D351" s="36" t="n"/>
      <c r="E351" s="19">
        <f>IF(C351="","",IFERROR(INDEX(Materials!$C$6:$C$205,MATCH(C351,Materials!$B$6:$B$205,0))&amp;"","Add it to Materials"))</f>
        <v/>
      </c>
      <c r="F351" s="22">
        <f>IF(OR(C351="",E351="Add it to Materials"),"",N(D351)*INDEX(Materials!$F$6:$F$205,MATCH(C351,Materials!$B$6:$B$205,0)))</f>
        <v/>
      </c>
      <c r="G351" s="39">
        <f>IF(OR(B351="",C351=""),"",N(D351)*SUMIFS(Orders!$W$6:$W$1005,Orders!$D$6:$D$1005,B351))</f>
        <v/>
      </c>
      <c r="H351" s="1" t="n"/>
    </row>
    <row r="352">
      <c r="A352" s="1" t="n"/>
      <c r="B352" s="33" t="n"/>
      <c r="C352" s="33" t="n"/>
      <c r="D352" s="36" t="n"/>
      <c r="E352" s="19">
        <f>IF(C352="","",IFERROR(INDEX(Materials!$C$6:$C$205,MATCH(C352,Materials!$B$6:$B$205,0))&amp;"","Add it to Materials"))</f>
        <v/>
      </c>
      <c r="F352" s="22">
        <f>IF(OR(C352="",E352="Add it to Materials"),"",N(D352)*INDEX(Materials!$F$6:$F$205,MATCH(C352,Materials!$B$6:$B$205,0)))</f>
        <v/>
      </c>
      <c r="G352" s="39">
        <f>IF(OR(B352="",C352=""),"",N(D352)*SUMIFS(Orders!$W$6:$W$1005,Orders!$D$6:$D$1005,B352))</f>
        <v/>
      </c>
      <c r="H352" s="1" t="n"/>
    </row>
    <row r="353">
      <c r="A353" s="1" t="n"/>
      <c r="B353" s="33" t="n"/>
      <c r="C353" s="33" t="n"/>
      <c r="D353" s="36" t="n"/>
      <c r="E353" s="19">
        <f>IF(C353="","",IFERROR(INDEX(Materials!$C$6:$C$205,MATCH(C353,Materials!$B$6:$B$205,0))&amp;"","Add it to Materials"))</f>
        <v/>
      </c>
      <c r="F353" s="22">
        <f>IF(OR(C353="",E353="Add it to Materials"),"",N(D353)*INDEX(Materials!$F$6:$F$205,MATCH(C353,Materials!$B$6:$B$205,0)))</f>
        <v/>
      </c>
      <c r="G353" s="39">
        <f>IF(OR(B353="",C353=""),"",N(D353)*SUMIFS(Orders!$W$6:$W$1005,Orders!$D$6:$D$1005,B353))</f>
        <v/>
      </c>
      <c r="H353" s="1" t="n"/>
    </row>
    <row r="354">
      <c r="A354" s="1" t="n"/>
      <c r="B354" s="33" t="n"/>
      <c r="C354" s="33" t="n"/>
      <c r="D354" s="36" t="n"/>
      <c r="E354" s="19">
        <f>IF(C354="","",IFERROR(INDEX(Materials!$C$6:$C$205,MATCH(C354,Materials!$B$6:$B$205,0))&amp;"","Add it to Materials"))</f>
        <v/>
      </c>
      <c r="F354" s="22">
        <f>IF(OR(C354="",E354="Add it to Materials"),"",N(D354)*INDEX(Materials!$F$6:$F$205,MATCH(C354,Materials!$B$6:$B$205,0)))</f>
        <v/>
      </c>
      <c r="G354" s="39">
        <f>IF(OR(B354="",C354=""),"",N(D354)*SUMIFS(Orders!$W$6:$W$1005,Orders!$D$6:$D$1005,B354))</f>
        <v/>
      </c>
      <c r="H354" s="1" t="n"/>
    </row>
    <row r="355">
      <c r="A355" s="1" t="n"/>
      <c r="B355" s="33" t="n"/>
      <c r="C355" s="33" t="n"/>
      <c r="D355" s="36" t="n"/>
      <c r="E355" s="19">
        <f>IF(C355="","",IFERROR(INDEX(Materials!$C$6:$C$205,MATCH(C355,Materials!$B$6:$B$205,0))&amp;"","Add it to Materials"))</f>
        <v/>
      </c>
      <c r="F355" s="22">
        <f>IF(OR(C355="",E355="Add it to Materials"),"",N(D355)*INDEX(Materials!$F$6:$F$205,MATCH(C355,Materials!$B$6:$B$205,0)))</f>
        <v/>
      </c>
      <c r="G355" s="39">
        <f>IF(OR(B355="",C355=""),"",N(D355)*SUMIFS(Orders!$W$6:$W$1005,Orders!$D$6:$D$1005,B355))</f>
        <v/>
      </c>
      <c r="H355" s="1" t="n"/>
    </row>
    <row r="356">
      <c r="A356" s="1" t="n"/>
      <c r="B356" s="33" t="n"/>
      <c r="C356" s="33" t="n"/>
      <c r="D356" s="36" t="n"/>
      <c r="E356" s="19">
        <f>IF(C356="","",IFERROR(INDEX(Materials!$C$6:$C$205,MATCH(C356,Materials!$B$6:$B$205,0))&amp;"","Add it to Materials"))</f>
        <v/>
      </c>
      <c r="F356" s="22">
        <f>IF(OR(C356="",E356="Add it to Materials"),"",N(D356)*INDEX(Materials!$F$6:$F$205,MATCH(C356,Materials!$B$6:$B$205,0)))</f>
        <v/>
      </c>
      <c r="G356" s="39">
        <f>IF(OR(B356="",C356=""),"",N(D356)*SUMIFS(Orders!$W$6:$W$1005,Orders!$D$6:$D$1005,B356))</f>
        <v/>
      </c>
      <c r="H356" s="1" t="n"/>
    </row>
    <row r="357">
      <c r="A357" s="1" t="n"/>
      <c r="B357" s="33" t="n"/>
      <c r="C357" s="33" t="n"/>
      <c r="D357" s="36" t="n"/>
      <c r="E357" s="19">
        <f>IF(C357="","",IFERROR(INDEX(Materials!$C$6:$C$205,MATCH(C357,Materials!$B$6:$B$205,0))&amp;"","Add it to Materials"))</f>
        <v/>
      </c>
      <c r="F357" s="22">
        <f>IF(OR(C357="",E357="Add it to Materials"),"",N(D357)*INDEX(Materials!$F$6:$F$205,MATCH(C357,Materials!$B$6:$B$205,0)))</f>
        <v/>
      </c>
      <c r="G357" s="39">
        <f>IF(OR(B357="",C357=""),"",N(D357)*SUMIFS(Orders!$W$6:$W$1005,Orders!$D$6:$D$1005,B357))</f>
        <v/>
      </c>
      <c r="H357" s="1" t="n"/>
    </row>
    <row r="358">
      <c r="A358" s="1" t="n"/>
      <c r="B358" s="33" t="n"/>
      <c r="C358" s="33" t="n"/>
      <c r="D358" s="36" t="n"/>
      <c r="E358" s="19">
        <f>IF(C358="","",IFERROR(INDEX(Materials!$C$6:$C$205,MATCH(C358,Materials!$B$6:$B$205,0))&amp;"","Add it to Materials"))</f>
        <v/>
      </c>
      <c r="F358" s="22">
        <f>IF(OR(C358="",E358="Add it to Materials"),"",N(D358)*INDEX(Materials!$F$6:$F$205,MATCH(C358,Materials!$B$6:$B$205,0)))</f>
        <v/>
      </c>
      <c r="G358" s="39">
        <f>IF(OR(B358="",C358=""),"",N(D358)*SUMIFS(Orders!$W$6:$W$1005,Orders!$D$6:$D$1005,B358))</f>
        <v/>
      </c>
      <c r="H358" s="1" t="n"/>
    </row>
    <row r="359">
      <c r="A359" s="1" t="n"/>
      <c r="B359" s="33" t="n"/>
      <c r="C359" s="33" t="n"/>
      <c r="D359" s="36" t="n"/>
      <c r="E359" s="19">
        <f>IF(C359="","",IFERROR(INDEX(Materials!$C$6:$C$205,MATCH(C359,Materials!$B$6:$B$205,0))&amp;"","Add it to Materials"))</f>
        <v/>
      </c>
      <c r="F359" s="22">
        <f>IF(OR(C359="",E359="Add it to Materials"),"",N(D359)*INDEX(Materials!$F$6:$F$205,MATCH(C359,Materials!$B$6:$B$205,0)))</f>
        <v/>
      </c>
      <c r="G359" s="39">
        <f>IF(OR(B359="",C359=""),"",N(D359)*SUMIFS(Orders!$W$6:$W$1005,Orders!$D$6:$D$1005,B359))</f>
        <v/>
      </c>
      <c r="H359" s="1" t="n"/>
    </row>
    <row r="360">
      <c r="A360" s="1" t="n"/>
      <c r="B360" s="33" t="n"/>
      <c r="C360" s="33" t="n"/>
      <c r="D360" s="36" t="n"/>
      <c r="E360" s="19">
        <f>IF(C360="","",IFERROR(INDEX(Materials!$C$6:$C$205,MATCH(C360,Materials!$B$6:$B$205,0))&amp;"","Add it to Materials"))</f>
        <v/>
      </c>
      <c r="F360" s="22">
        <f>IF(OR(C360="",E360="Add it to Materials"),"",N(D360)*INDEX(Materials!$F$6:$F$205,MATCH(C360,Materials!$B$6:$B$205,0)))</f>
        <v/>
      </c>
      <c r="G360" s="39">
        <f>IF(OR(B360="",C360=""),"",N(D360)*SUMIFS(Orders!$W$6:$W$1005,Orders!$D$6:$D$1005,B360))</f>
        <v/>
      </c>
      <c r="H360" s="1" t="n"/>
    </row>
    <row r="361">
      <c r="A361" s="1" t="n"/>
      <c r="B361" s="33" t="n"/>
      <c r="C361" s="33" t="n"/>
      <c r="D361" s="36" t="n"/>
      <c r="E361" s="19">
        <f>IF(C361="","",IFERROR(INDEX(Materials!$C$6:$C$205,MATCH(C361,Materials!$B$6:$B$205,0))&amp;"","Add it to Materials"))</f>
        <v/>
      </c>
      <c r="F361" s="22">
        <f>IF(OR(C361="",E361="Add it to Materials"),"",N(D361)*INDEX(Materials!$F$6:$F$205,MATCH(C361,Materials!$B$6:$B$205,0)))</f>
        <v/>
      </c>
      <c r="G361" s="39">
        <f>IF(OR(B361="",C361=""),"",N(D361)*SUMIFS(Orders!$W$6:$W$1005,Orders!$D$6:$D$1005,B361))</f>
        <v/>
      </c>
      <c r="H361" s="1" t="n"/>
    </row>
    <row r="362">
      <c r="A362" s="1" t="n"/>
      <c r="B362" s="33" t="n"/>
      <c r="C362" s="33" t="n"/>
      <c r="D362" s="36" t="n"/>
      <c r="E362" s="19">
        <f>IF(C362="","",IFERROR(INDEX(Materials!$C$6:$C$205,MATCH(C362,Materials!$B$6:$B$205,0))&amp;"","Add it to Materials"))</f>
        <v/>
      </c>
      <c r="F362" s="22">
        <f>IF(OR(C362="",E362="Add it to Materials"),"",N(D362)*INDEX(Materials!$F$6:$F$205,MATCH(C362,Materials!$B$6:$B$205,0)))</f>
        <v/>
      </c>
      <c r="G362" s="39">
        <f>IF(OR(B362="",C362=""),"",N(D362)*SUMIFS(Orders!$W$6:$W$1005,Orders!$D$6:$D$1005,B362))</f>
        <v/>
      </c>
      <c r="H362" s="1" t="n"/>
    </row>
    <row r="363">
      <c r="A363" s="1" t="n"/>
      <c r="B363" s="33" t="n"/>
      <c r="C363" s="33" t="n"/>
      <c r="D363" s="36" t="n"/>
      <c r="E363" s="19">
        <f>IF(C363="","",IFERROR(INDEX(Materials!$C$6:$C$205,MATCH(C363,Materials!$B$6:$B$205,0))&amp;"","Add it to Materials"))</f>
        <v/>
      </c>
      <c r="F363" s="22">
        <f>IF(OR(C363="",E363="Add it to Materials"),"",N(D363)*INDEX(Materials!$F$6:$F$205,MATCH(C363,Materials!$B$6:$B$205,0)))</f>
        <v/>
      </c>
      <c r="G363" s="39">
        <f>IF(OR(B363="",C363=""),"",N(D363)*SUMIFS(Orders!$W$6:$W$1005,Orders!$D$6:$D$1005,B363))</f>
        <v/>
      </c>
      <c r="H363" s="1" t="n"/>
    </row>
    <row r="364">
      <c r="A364" s="1" t="n"/>
      <c r="B364" s="33" t="n"/>
      <c r="C364" s="33" t="n"/>
      <c r="D364" s="36" t="n"/>
      <c r="E364" s="19">
        <f>IF(C364="","",IFERROR(INDEX(Materials!$C$6:$C$205,MATCH(C364,Materials!$B$6:$B$205,0))&amp;"","Add it to Materials"))</f>
        <v/>
      </c>
      <c r="F364" s="22">
        <f>IF(OR(C364="",E364="Add it to Materials"),"",N(D364)*INDEX(Materials!$F$6:$F$205,MATCH(C364,Materials!$B$6:$B$205,0)))</f>
        <v/>
      </c>
      <c r="G364" s="39">
        <f>IF(OR(B364="",C364=""),"",N(D364)*SUMIFS(Orders!$W$6:$W$1005,Orders!$D$6:$D$1005,B364))</f>
        <v/>
      </c>
      <c r="H364" s="1" t="n"/>
    </row>
    <row r="365">
      <c r="A365" s="1" t="n"/>
      <c r="B365" s="33" t="n"/>
      <c r="C365" s="33" t="n"/>
      <c r="D365" s="36" t="n"/>
      <c r="E365" s="19">
        <f>IF(C365="","",IFERROR(INDEX(Materials!$C$6:$C$205,MATCH(C365,Materials!$B$6:$B$205,0))&amp;"","Add it to Materials"))</f>
        <v/>
      </c>
      <c r="F365" s="22">
        <f>IF(OR(C365="",E365="Add it to Materials"),"",N(D365)*INDEX(Materials!$F$6:$F$205,MATCH(C365,Materials!$B$6:$B$205,0)))</f>
        <v/>
      </c>
      <c r="G365" s="39">
        <f>IF(OR(B365="",C365=""),"",N(D365)*SUMIFS(Orders!$W$6:$W$1005,Orders!$D$6:$D$1005,B365))</f>
        <v/>
      </c>
      <c r="H365" s="1" t="n"/>
    </row>
    <row r="366">
      <c r="A366" s="1" t="n"/>
      <c r="B366" s="33" t="n"/>
      <c r="C366" s="33" t="n"/>
      <c r="D366" s="36" t="n"/>
      <c r="E366" s="19">
        <f>IF(C366="","",IFERROR(INDEX(Materials!$C$6:$C$205,MATCH(C366,Materials!$B$6:$B$205,0))&amp;"","Add it to Materials"))</f>
        <v/>
      </c>
      <c r="F366" s="22">
        <f>IF(OR(C366="",E366="Add it to Materials"),"",N(D366)*INDEX(Materials!$F$6:$F$205,MATCH(C366,Materials!$B$6:$B$205,0)))</f>
        <v/>
      </c>
      <c r="G366" s="39">
        <f>IF(OR(B366="",C366=""),"",N(D366)*SUMIFS(Orders!$W$6:$W$1005,Orders!$D$6:$D$1005,B366))</f>
        <v/>
      </c>
      <c r="H366" s="1" t="n"/>
    </row>
    <row r="367">
      <c r="A367" s="1" t="n"/>
      <c r="B367" s="33" t="n"/>
      <c r="C367" s="33" t="n"/>
      <c r="D367" s="36" t="n"/>
      <c r="E367" s="19">
        <f>IF(C367="","",IFERROR(INDEX(Materials!$C$6:$C$205,MATCH(C367,Materials!$B$6:$B$205,0))&amp;"","Add it to Materials"))</f>
        <v/>
      </c>
      <c r="F367" s="22">
        <f>IF(OR(C367="",E367="Add it to Materials"),"",N(D367)*INDEX(Materials!$F$6:$F$205,MATCH(C367,Materials!$B$6:$B$205,0)))</f>
        <v/>
      </c>
      <c r="G367" s="39">
        <f>IF(OR(B367="",C367=""),"",N(D367)*SUMIFS(Orders!$W$6:$W$1005,Orders!$D$6:$D$1005,B367))</f>
        <v/>
      </c>
      <c r="H367" s="1" t="n"/>
    </row>
    <row r="368">
      <c r="A368" s="1" t="n"/>
      <c r="B368" s="33" t="n"/>
      <c r="C368" s="33" t="n"/>
      <c r="D368" s="36" t="n"/>
      <c r="E368" s="19">
        <f>IF(C368="","",IFERROR(INDEX(Materials!$C$6:$C$205,MATCH(C368,Materials!$B$6:$B$205,0))&amp;"","Add it to Materials"))</f>
        <v/>
      </c>
      <c r="F368" s="22">
        <f>IF(OR(C368="",E368="Add it to Materials"),"",N(D368)*INDEX(Materials!$F$6:$F$205,MATCH(C368,Materials!$B$6:$B$205,0)))</f>
        <v/>
      </c>
      <c r="G368" s="39">
        <f>IF(OR(B368="",C368=""),"",N(D368)*SUMIFS(Orders!$W$6:$W$1005,Orders!$D$6:$D$1005,B368))</f>
        <v/>
      </c>
      <c r="H368" s="1" t="n"/>
    </row>
    <row r="369">
      <c r="A369" s="1" t="n"/>
      <c r="B369" s="33" t="n"/>
      <c r="C369" s="33" t="n"/>
      <c r="D369" s="36" t="n"/>
      <c r="E369" s="19">
        <f>IF(C369="","",IFERROR(INDEX(Materials!$C$6:$C$205,MATCH(C369,Materials!$B$6:$B$205,0))&amp;"","Add it to Materials"))</f>
        <v/>
      </c>
      <c r="F369" s="22">
        <f>IF(OR(C369="",E369="Add it to Materials"),"",N(D369)*INDEX(Materials!$F$6:$F$205,MATCH(C369,Materials!$B$6:$B$205,0)))</f>
        <v/>
      </c>
      <c r="G369" s="39">
        <f>IF(OR(B369="",C369=""),"",N(D369)*SUMIFS(Orders!$W$6:$W$1005,Orders!$D$6:$D$1005,B369))</f>
        <v/>
      </c>
      <c r="H369" s="1" t="n"/>
    </row>
    <row r="370">
      <c r="A370" s="1" t="n"/>
      <c r="B370" s="33" t="n"/>
      <c r="C370" s="33" t="n"/>
      <c r="D370" s="36" t="n"/>
      <c r="E370" s="19">
        <f>IF(C370="","",IFERROR(INDEX(Materials!$C$6:$C$205,MATCH(C370,Materials!$B$6:$B$205,0))&amp;"","Add it to Materials"))</f>
        <v/>
      </c>
      <c r="F370" s="22">
        <f>IF(OR(C370="",E370="Add it to Materials"),"",N(D370)*INDEX(Materials!$F$6:$F$205,MATCH(C370,Materials!$B$6:$B$205,0)))</f>
        <v/>
      </c>
      <c r="G370" s="39">
        <f>IF(OR(B370="",C370=""),"",N(D370)*SUMIFS(Orders!$W$6:$W$1005,Orders!$D$6:$D$1005,B370))</f>
        <v/>
      </c>
      <c r="H370" s="1" t="n"/>
    </row>
    <row r="371">
      <c r="A371" s="1" t="n"/>
      <c r="B371" s="33" t="n"/>
      <c r="C371" s="33" t="n"/>
      <c r="D371" s="36" t="n"/>
      <c r="E371" s="19">
        <f>IF(C371="","",IFERROR(INDEX(Materials!$C$6:$C$205,MATCH(C371,Materials!$B$6:$B$205,0))&amp;"","Add it to Materials"))</f>
        <v/>
      </c>
      <c r="F371" s="22">
        <f>IF(OR(C371="",E371="Add it to Materials"),"",N(D371)*INDEX(Materials!$F$6:$F$205,MATCH(C371,Materials!$B$6:$B$205,0)))</f>
        <v/>
      </c>
      <c r="G371" s="39">
        <f>IF(OR(B371="",C371=""),"",N(D371)*SUMIFS(Orders!$W$6:$W$1005,Orders!$D$6:$D$1005,B371))</f>
        <v/>
      </c>
      <c r="H371" s="1" t="n"/>
    </row>
    <row r="372">
      <c r="A372" s="1" t="n"/>
      <c r="B372" s="33" t="n"/>
      <c r="C372" s="33" t="n"/>
      <c r="D372" s="36" t="n"/>
      <c r="E372" s="19">
        <f>IF(C372="","",IFERROR(INDEX(Materials!$C$6:$C$205,MATCH(C372,Materials!$B$6:$B$205,0))&amp;"","Add it to Materials"))</f>
        <v/>
      </c>
      <c r="F372" s="22">
        <f>IF(OR(C372="",E372="Add it to Materials"),"",N(D372)*INDEX(Materials!$F$6:$F$205,MATCH(C372,Materials!$B$6:$B$205,0)))</f>
        <v/>
      </c>
      <c r="G372" s="39">
        <f>IF(OR(B372="",C372=""),"",N(D372)*SUMIFS(Orders!$W$6:$W$1005,Orders!$D$6:$D$1005,B372))</f>
        <v/>
      </c>
      <c r="H372" s="1" t="n"/>
    </row>
    <row r="373">
      <c r="A373" s="1" t="n"/>
      <c r="B373" s="33" t="n"/>
      <c r="C373" s="33" t="n"/>
      <c r="D373" s="36" t="n"/>
      <c r="E373" s="19">
        <f>IF(C373="","",IFERROR(INDEX(Materials!$C$6:$C$205,MATCH(C373,Materials!$B$6:$B$205,0))&amp;"","Add it to Materials"))</f>
        <v/>
      </c>
      <c r="F373" s="22">
        <f>IF(OR(C373="",E373="Add it to Materials"),"",N(D373)*INDEX(Materials!$F$6:$F$205,MATCH(C373,Materials!$B$6:$B$205,0)))</f>
        <v/>
      </c>
      <c r="G373" s="39">
        <f>IF(OR(B373="",C373=""),"",N(D373)*SUMIFS(Orders!$W$6:$W$1005,Orders!$D$6:$D$1005,B373))</f>
        <v/>
      </c>
      <c r="H373" s="1" t="n"/>
    </row>
    <row r="374">
      <c r="A374" s="1" t="n"/>
      <c r="B374" s="33" t="n"/>
      <c r="C374" s="33" t="n"/>
      <c r="D374" s="36" t="n"/>
      <c r="E374" s="19">
        <f>IF(C374="","",IFERROR(INDEX(Materials!$C$6:$C$205,MATCH(C374,Materials!$B$6:$B$205,0))&amp;"","Add it to Materials"))</f>
        <v/>
      </c>
      <c r="F374" s="22">
        <f>IF(OR(C374="",E374="Add it to Materials"),"",N(D374)*INDEX(Materials!$F$6:$F$205,MATCH(C374,Materials!$B$6:$B$205,0)))</f>
        <v/>
      </c>
      <c r="G374" s="39">
        <f>IF(OR(B374="",C374=""),"",N(D374)*SUMIFS(Orders!$W$6:$W$1005,Orders!$D$6:$D$1005,B374))</f>
        <v/>
      </c>
      <c r="H374" s="1" t="n"/>
    </row>
    <row r="375">
      <c r="A375" s="1" t="n"/>
      <c r="B375" s="33" t="n"/>
      <c r="C375" s="33" t="n"/>
      <c r="D375" s="36" t="n"/>
      <c r="E375" s="19">
        <f>IF(C375="","",IFERROR(INDEX(Materials!$C$6:$C$205,MATCH(C375,Materials!$B$6:$B$205,0))&amp;"","Add it to Materials"))</f>
        <v/>
      </c>
      <c r="F375" s="22">
        <f>IF(OR(C375="",E375="Add it to Materials"),"",N(D375)*INDEX(Materials!$F$6:$F$205,MATCH(C375,Materials!$B$6:$B$205,0)))</f>
        <v/>
      </c>
      <c r="G375" s="39">
        <f>IF(OR(B375="",C375=""),"",N(D375)*SUMIFS(Orders!$W$6:$W$1005,Orders!$D$6:$D$1005,B375))</f>
        <v/>
      </c>
      <c r="H375" s="1" t="n"/>
    </row>
    <row r="376">
      <c r="A376" s="1" t="n"/>
      <c r="B376" s="33" t="n"/>
      <c r="C376" s="33" t="n"/>
      <c r="D376" s="36" t="n"/>
      <c r="E376" s="19">
        <f>IF(C376="","",IFERROR(INDEX(Materials!$C$6:$C$205,MATCH(C376,Materials!$B$6:$B$205,0))&amp;"","Add it to Materials"))</f>
        <v/>
      </c>
      <c r="F376" s="22">
        <f>IF(OR(C376="",E376="Add it to Materials"),"",N(D376)*INDEX(Materials!$F$6:$F$205,MATCH(C376,Materials!$B$6:$B$205,0)))</f>
        <v/>
      </c>
      <c r="G376" s="39">
        <f>IF(OR(B376="",C376=""),"",N(D376)*SUMIFS(Orders!$W$6:$W$1005,Orders!$D$6:$D$1005,B376))</f>
        <v/>
      </c>
      <c r="H376" s="1" t="n"/>
    </row>
    <row r="377">
      <c r="A377" s="1" t="n"/>
      <c r="B377" s="33" t="n"/>
      <c r="C377" s="33" t="n"/>
      <c r="D377" s="36" t="n"/>
      <c r="E377" s="19">
        <f>IF(C377="","",IFERROR(INDEX(Materials!$C$6:$C$205,MATCH(C377,Materials!$B$6:$B$205,0))&amp;"","Add it to Materials"))</f>
        <v/>
      </c>
      <c r="F377" s="22">
        <f>IF(OR(C377="",E377="Add it to Materials"),"",N(D377)*INDEX(Materials!$F$6:$F$205,MATCH(C377,Materials!$B$6:$B$205,0)))</f>
        <v/>
      </c>
      <c r="G377" s="39">
        <f>IF(OR(B377="",C377=""),"",N(D377)*SUMIFS(Orders!$W$6:$W$1005,Orders!$D$6:$D$1005,B377))</f>
        <v/>
      </c>
      <c r="H377" s="1" t="n"/>
    </row>
    <row r="378">
      <c r="A378" s="1" t="n"/>
      <c r="B378" s="33" t="n"/>
      <c r="C378" s="33" t="n"/>
      <c r="D378" s="36" t="n"/>
      <c r="E378" s="19">
        <f>IF(C378="","",IFERROR(INDEX(Materials!$C$6:$C$205,MATCH(C378,Materials!$B$6:$B$205,0))&amp;"","Add it to Materials"))</f>
        <v/>
      </c>
      <c r="F378" s="22">
        <f>IF(OR(C378="",E378="Add it to Materials"),"",N(D378)*INDEX(Materials!$F$6:$F$205,MATCH(C378,Materials!$B$6:$B$205,0)))</f>
        <v/>
      </c>
      <c r="G378" s="39">
        <f>IF(OR(B378="",C378=""),"",N(D378)*SUMIFS(Orders!$W$6:$W$1005,Orders!$D$6:$D$1005,B378))</f>
        <v/>
      </c>
      <c r="H378" s="1" t="n"/>
    </row>
    <row r="379">
      <c r="A379" s="1" t="n"/>
      <c r="B379" s="33" t="n"/>
      <c r="C379" s="33" t="n"/>
      <c r="D379" s="36" t="n"/>
      <c r="E379" s="19">
        <f>IF(C379="","",IFERROR(INDEX(Materials!$C$6:$C$205,MATCH(C379,Materials!$B$6:$B$205,0))&amp;"","Add it to Materials"))</f>
        <v/>
      </c>
      <c r="F379" s="22">
        <f>IF(OR(C379="",E379="Add it to Materials"),"",N(D379)*INDEX(Materials!$F$6:$F$205,MATCH(C379,Materials!$B$6:$B$205,0)))</f>
        <v/>
      </c>
      <c r="G379" s="39">
        <f>IF(OR(B379="",C379=""),"",N(D379)*SUMIFS(Orders!$W$6:$W$1005,Orders!$D$6:$D$1005,B379))</f>
        <v/>
      </c>
      <c r="H379" s="1" t="n"/>
    </row>
    <row r="380">
      <c r="A380" s="1" t="n"/>
      <c r="B380" s="33" t="n"/>
      <c r="C380" s="33" t="n"/>
      <c r="D380" s="36" t="n"/>
      <c r="E380" s="19">
        <f>IF(C380="","",IFERROR(INDEX(Materials!$C$6:$C$205,MATCH(C380,Materials!$B$6:$B$205,0))&amp;"","Add it to Materials"))</f>
        <v/>
      </c>
      <c r="F380" s="22">
        <f>IF(OR(C380="",E380="Add it to Materials"),"",N(D380)*INDEX(Materials!$F$6:$F$205,MATCH(C380,Materials!$B$6:$B$205,0)))</f>
        <v/>
      </c>
      <c r="G380" s="39">
        <f>IF(OR(B380="",C380=""),"",N(D380)*SUMIFS(Orders!$W$6:$W$1005,Orders!$D$6:$D$1005,B380))</f>
        <v/>
      </c>
      <c r="H380" s="1" t="n"/>
    </row>
    <row r="381">
      <c r="A381" s="1" t="n"/>
      <c r="B381" s="33" t="n"/>
      <c r="C381" s="33" t="n"/>
      <c r="D381" s="36" t="n"/>
      <c r="E381" s="19">
        <f>IF(C381="","",IFERROR(INDEX(Materials!$C$6:$C$205,MATCH(C381,Materials!$B$6:$B$205,0))&amp;"","Add it to Materials"))</f>
        <v/>
      </c>
      <c r="F381" s="22">
        <f>IF(OR(C381="",E381="Add it to Materials"),"",N(D381)*INDEX(Materials!$F$6:$F$205,MATCH(C381,Materials!$B$6:$B$205,0)))</f>
        <v/>
      </c>
      <c r="G381" s="39">
        <f>IF(OR(B381="",C381=""),"",N(D381)*SUMIFS(Orders!$W$6:$W$1005,Orders!$D$6:$D$1005,B381))</f>
        <v/>
      </c>
      <c r="H381" s="1" t="n"/>
    </row>
    <row r="382">
      <c r="A382" s="1" t="n"/>
      <c r="B382" s="33" t="n"/>
      <c r="C382" s="33" t="n"/>
      <c r="D382" s="36" t="n"/>
      <c r="E382" s="19">
        <f>IF(C382="","",IFERROR(INDEX(Materials!$C$6:$C$205,MATCH(C382,Materials!$B$6:$B$205,0))&amp;"","Add it to Materials"))</f>
        <v/>
      </c>
      <c r="F382" s="22">
        <f>IF(OR(C382="",E382="Add it to Materials"),"",N(D382)*INDEX(Materials!$F$6:$F$205,MATCH(C382,Materials!$B$6:$B$205,0)))</f>
        <v/>
      </c>
      <c r="G382" s="39">
        <f>IF(OR(B382="",C382=""),"",N(D382)*SUMIFS(Orders!$W$6:$W$1005,Orders!$D$6:$D$1005,B382))</f>
        <v/>
      </c>
      <c r="H382" s="1" t="n"/>
    </row>
    <row r="383">
      <c r="A383" s="1" t="n"/>
      <c r="B383" s="33" t="n"/>
      <c r="C383" s="33" t="n"/>
      <c r="D383" s="36" t="n"/>
      <c r="E383" s="19">
        <f>IF(C383="","",IFERROR(INDEX(Materials!$C$6:$C$205,MATCH(C383,Materials!$B$6:$B$205,0))&amp;"","Add it to Materials"))</f>
        <v/>
      </c>
      <c r="F383" s="22">
        <f>IF(OR(C383="",E383="Add it to Materials"),"",N(D383)*INDEX(Materials!$F$6:$F$205,MATCH(C383,Materials!$B$6:$B$205,0)))</f>
        <v/>
      </c>
      <c r="G383" s="39">
        <f>IF(OR(B383="",C383=""),"",N(D383)*SUMIFS(Orders!$W$6:$W$1005,Orders!$D$6:$D$1005,B383))</f>
        <v/>
      </c>
      <c r="H383" s="1" t="n"/>
    </row>
    <row r="384">
      <c r="A384" s="1" t="n"/>
      <c r="B384" s="33" t="n"/>
      <c r="C384" s="33" t="n"/>
      <c r="D384" s="36" t="n"/>
      <c r="E384" s="19">
        <f>IF(C384="","",IFERROR(INDEX(Materials!$C$6:$C$205,MATCH(C384,Materials!$B$6:$B$205,0))&amp;"","Add it to Materials"))</f>
        <v/>
      </c>
      <c r="F384" s="22">
        <f>IF(OR(C384="",E384="Add it to Materials"),"",N(D384)*INDEX(Materials!$F$6:$F$205,MATCH(C384,Materials!$B$6:$B$205,0)))</f>
        <v/>
      </c>
      <c r="G384" s="39">
        <f>IF(OR(B384="",C384=""),"",N(D384)*SUMIFS(Orders!$W$6:$W$1005,Orders!$D$6:$D$1005,B384))</f>
        <v/>
      </c>
      <c r="H384" s="1" t="n"/>
    </row>
    <row r="385">
      <c r="A385" s="1" t="n"/>
      <c r="B385" s="33" t="n"/>
      <c r="C385" s="33" t="n"/>
      <c r="D385" s="36" t="n"/>
      <c r="E385" s="19">
        <f>IF(C385="","",IFERROR(INDEX(Materials!$C$6:$C$205,MATCH(C385,Materials!$B$6:$B$205,0))&amp;"","Add it to Materials"))</f>
        <v/>
      </c>
      <c r="F385" s="22">
        <f>IF(OR(C385="",E385="Add it to Materials"),"",N(D385)*INDEX(Materials!$F$6:$F$205,MATCH(C385,Materials!$B$6:$B$205,0)))</f>
        <v/>
      </c>
      <c r="G385" s="39">
        <f>IF(OR(B385="",C385=""),"",N(D385)*SUMIFS(Orders!$W$6:$W$1005,Orders!$D$6:$D$1005,B385))</f>
        <v/>
      </c>
      <c r="H385" s="1" t="n"/>
    </row>
    <row r="386">
      <c r="A386" s="1" t="n"/>
      <c r="B386" s="33" t="n"/>
      <c r="C386" s="33" t="n"/>
      <c r="D386" s="36" t="n"/>
      <c r="E386" s="19">
        <f>IF(C386="","",IFERROR(INDEX(Materials!$C$6:$C$205,MATCH(C386,Materials!$B$6:$B$205,0))&amp;"","Add it to Materials"))</f>
        <v/>
      </c>
      <c r="F386" s="22">
        <f>IF(OR(C386="",E386="Add it to Materials"),"",N(D386)*INDEX(Materials!$F$6:$F$205,MATCH(C386,Materials!$B$6:$B$205,0)))</f>
        <v/>
      </c>
      <c r="G386" s="39">
        <f>IF(OR(B386="",C386=""),"",N(D386)*SUMIFS(Orders!$W$6:$W$1005,Orders!$D$6:$D$1005,B386))</f>
        <v/>
      </c>
      <c r="H386" s="1" t="n"/>
    </row>
    <row r="387">
      <c r="A387" s="1" t="n"/>
      <c r="B387" s="33" t="n"/>
      <c r="C387" s="33" t="n"/>
      <c r="D387" s="36" t="n"/>
      <c r="E387" s="19">
        <f>IF(C387="","",IFERROR(INDEX(Materials!$C$6:$C$205,MATCH(C387,Materials!$B$6:$B$205,0))&amp;"","Add it to Materials"))</f>
        <v/>
      </c>
      <c r="F387" s="22">
        <f>IF(OR(C387="",E387="Add it to Materials"),"",N(D387)*INDEX(Materials!$F$6:$F$205,MATCH(C387,Materials!$B$6:$B$205,0)))</f>
        <v/>
      </c>
      <c r="G387" s="39">
        <f>IF(OR(B387="",C387=""),"",N(D387)*SUMIFS(Orders!$W$6:$W$1005,Orders!$D$6:$D$1005,B387))</f>
        <v/>
      </c>
      <c r="H387" s="1" t="n"/>
    </row>
    <row r="388">
      <c r="A388" s="1" t="n"/>
      <c r="B388" s="33" t="n"/>
      <c r="C388" s="33" t="n"/>
      <c r="D388" s="36" t="n"/>
      <c r="E388" s="19">
        <f>IF(C388="","",IFERROR(INDEX(Materials!$C$6:$C$205,MATCH(C388,Materials!$B$6:$B$205,0))&amp;"","Add it to Materials"))</f>
        <v/>
      </c>
      <c r="F388" s="22">
        <f>IF(OR(C388="",E388="Add it to Materials"),"",N(D388)*INDEX(Materials!$F$6:$F$205,MATCH(C388,Materials!$B$6:$B$205,0)))</f>
        <v/>
      </c>
      <c r="G388" s="39">
        <f>IF(OR(B388="",C388=""),"",N(D388)*SUMIFS(Orders!$W$6:$W$1005,Orders!$D$6:$D$1005,B388))</f>
        <v/>
      </c>
      <c r="H388" s="1" t="n"/>
    </row>
    <row r="389">
      <c r="A389" s="1" t="n"/>
      <c r="B389" s="33" t="n"/>
      <c r="C389" s="33" t="n"/>
      <c r="D389" s="36" t="n"/>
      <c r="E389" s="19">
        <f>IF(C389="","",IFERROR(INDEX(Materials!$C$6:$C$205,MATCH(C389,Materials!$B$6:$B$205,0))&amp;"","Add it to Materials"))</f>
        <v/>
      </c>
      <c r="F389" s="22">
        <f>IF(OR(C389="",E389="Add it to Materials"),"",N(D389)*INDEX(Materials!$F$6:$F$205,MATCH(C389,Materials!$B$6:$B$205,0)))</f>
        <v/>
      </c>
      <c r="G389" s="39">
        <f>IF(OR(B389="",C389=""),"",N(D389)*SUMIFS(Orders!$W$6:$W$1005,Orders!$D$6:$D$1005,B389))</f>
        <v/>
      </c>
      <c r="H389" s="1" t="n"/>
    </row>
    <row r="390">
      <c r="A390" s="1" t="n"/>
      <c r="B390" s="33" t="n"/>
      <c r="C390" s="33" t="n"/>
      <c r="D390" s="36" t="n"/>
      <c r="E390" s="19">
        <f>IF(C390="","",IFERROR(INDEX(Materials!$C$6:$C$205,MATCH(C390,Materials!$B$6:$B$205,0))&amp;"","Add it to Materials"))</f>
        <v/>
      </c>
      <c r="F390" s="22">
        <f>IF(OR(C390="",E390="Add it to Materials"),"",N(D390)*INDEX(Materials!$F$6:$F$205,MATCH(C390,Materials!$B$6:$B$205,0)))</f>
        <v/>
      </c>
      <c r="G390" s="39">
        <f>IF(OR(B390="",C390=""),"",N(D390)*SUMIFS(Orders!$W$6:$W$1005,Orders!$D$6:$D$1005,B390))</f>
        <v/>
      </c>
      <c r="H390" s="1" t="n"/>
    </row>
    <row r="391">
      <c r="A391" s="1" t="n"/>
      <c r="B391" s="33" t="n"/>
      <c r="C391" s="33" t="n"/>
      <c r="D391" s="36" t="n"/>
      <c r="E391" s="19">
        <f>IF(C391="","",IFERROR(INDEX(Materials!$C$6:$C$205,MATCH(C391,Materials!$B$6:$B$205,0))&amp;"","Add it to Materials"))</f>
        <v/>
      </c>
      <c r="F391" s="22">
        <f>IF(OR(C391="",E391="Add it to Materials"),"",N(D391)*INDEX(Materials!$F$6:$F$205,MATCH(C391,Materials!$B$6:$B$205,0)))</f>
        <v/>
      </c>
      <c r="G391" s="39">
        <f>IF(OR(B391="",C391=""),"",N(D391)*SUMIFS(Orders!$W$6:$W$1005,Orders!$D$6:$D$1005,B391))</f>
        <v/>
      </c>
      <c r="H391" s="1" t="n"/>
    </row>
    <row r="392">
      <c r="A392" s="1" t="n"/>
      <c r="B392" s="33" t="n"/>
      <c r="C392" s="33" t="n"/>
      <c r="D392" s="36" t="n"/>
      <c r="E392" s="19">
        <f>IF(C392="","",IFERROR(INDEX(Materials!$C$6:$C$205,MATCH(C392,Materials!$B$6:$B$205,0))&amp;"","Add it to Materials"))</f>
        <v/>
      </c>
      <c r="F392" s="22">
        <f>IF(OR(C392="",E392="Add it to Materials"),"",N(D392)*INDEX(Materials!$F$6:$F$205,MATCH(C392,Materials!$B$6:$B$205,0)))</f>
        <v/>
      </c>
      <c r="G392" s="39">
        <f>IF(OR(B392="",C392=""),"",N(D392)*SUMIFS(Orders!$W$6:$W$1005,Orders!$D$6:$D$1005,B392))</f>
        <v/>
      </c>
      <c r="H392" s="1" t="n"/>
    </row>
    <row r="393">
      <c r="A393" s="1" t="n"/>
      <c r="B393" s="33" t="n"/>
      <c r="C393" s="33" t="n"/>
      <c r="D393" s="36" t="n"/>
      <c r="E393" s="19">
        <f>IF(C393="","",IFERROR(INDEX(Materials!$C$6:$C$205,MATCH(C393,Materials!$B$6:$B$205,0))&amp;"","Add it to Materials"))</f>
        <v/>
      </c>
      <c r="F393" s="22">
        <f>IF(OR(C393="",E393="Add it to Materials"),"",N(D393)*INDEX(Materials!$F$6:$F$205,MATCH(C393,Materials!$B$6:$B$205,0)))</f>
        <v/>
      </c>
      <c r="G393" s="39">
        <f>IF(OR(B393="",C393=""),"",N(D393)*SUMIFS(Orders!$W$6:$W$1005,Orders!$D$6:$D$1005,B393))</f>
        <v/>
      </c>
      <c r="H393" s="1" t="n"/>
    </row>
    <row r="394">
      <c r="A394" s="1" t="n"/>
      <c r="B394" s="33" t="n"/>
      <c r="C394" s="33" t="n"/>
      <c r="D394" s="36" t="n"/>
      <c r="E394" s="19">
        <f>IF(C394="","",IFERROR(INDEX(Materials!$C$6:$C$205,MATCH(C394,Materials!$B$6:$B$205,0))&amp;"","Add it to Materials"))</f>
        <v/>
      </c>
      <c r="F394" s="22">
        <f>IF(OR(C394="",E394="Add it to Materials"),"",N(D394)*INDEX(Materials!$F$6:$F$205,MATCH(C394,Materials!$B$6:$B$205,0)))</f>
        <v/>
      </c>
      <c r="G394" s="39">
        <f>IF(OR(B394="",C394=""),"",N(D394)*SUMIFS(Orders!$W$6:$W$1005,Orders!$D$6:$D$1005,B394))</f>
        <v/>
      </c>
      <c r="H394" s="1" t="n"/>
    </row>
    <row r="395">
      <c r="A395" s="1" t="n"/>
      <c r="B395" s="33" t="n"/>
      <c r="C395" s="33" t="n"/>
      <c r="D395" s="36" t="n"/>
      <c r="E395" s="19">
        <f>IF(C395="","",IFERROR(INDEX(Materials!$C$6:$C$205,MATCH(C395,Materials!$B$6:$B$205,0))&amp;"","Add it to Materials"))</f>
        <v/>
      </c>
      <c r="F395" s="22">
        <f>IF(OR(C395="",E395="Add it to Materials"),"",N(D395)*INDEX(Materials!$F$6:$F$205,MATCH(C395,Materials!$B$6:$B$205,0)))</f>
        <v/>
      </c>
      <c r="G395" s="39">
        <f>IF(OR(B395="",C395=""),"",N(D395)*SUMIFS(Orders!$W$6:$W$1005,Orders!$D$6:$D$1005,B395))</f>
        <v/>
      </c>
      <c r="H395" s="1" t="n"/>
    </row>
    <row r="396">
      <c r="A396" s="1" t="n"/>
      <c r="B396" s="33" t="n"/>
      <c r="C396" s="33" t="n"/>
      <c r="D396" s="36" t="n"/>
      <c r="E396" s="19">
        <f>IF(C396="","",IFERROR(INDEX(Materials!$C$6:$C$205,MATCH(C396,Materials!$B$6:$B$205,0))&amp;"","Add it to Materials"))</f>
        <v/>
      </c>
      <c r="F396" s="22">
        <f>IF(OR(C396="",E396="Add it to Materials"),"",N(D396)*INDEX(Materials!$F$6:$F$205,MATCH(C396,Materials!$B$6:$B$205,0)))</f>
        <v/>
      </c>
      <c r="G396" s="39">
        <f>IF(OR(B396="",C396=""),"",N(D396)*SUMIFS(Orders!$W$6:$W$1005,Orders!$D$6:$D$1005,B396))</f>
        <v/>
      </c>
      <c r="H396" s="1" t="n"/>
    </row>
    <row r="397">
      <c r="A397" s="1" t="n"/>
      <c r="B397" s="33" t="n"/>
      <c r="C397" s="33" t="n"/>
      <c r="D397" s="36" t="n"/>
      <c r="E397" s="19">
        <f>IF(C397="","",IFERROR(INDEX(Materials!$C$6:$C$205,MATCH(C397,Materials!$B$6:$B$205,0))&amp;"","Add it to Materials"))</f>
        <v/>
      </c>
      <c r="F397" s="22">
        <f>IF(OR(C397="",E397="Add it to Materials"),"",N(D397)*INDEX(Materials!$F$6:$F$205,MATCH(C397,Materials!$B$6:$B$205,0)))</f>
        <v/>
      </c>
      <c r="G397" s="39">
        <f>IF(OR(B397="",C397=""),"",N(D397)*SUMIFS(Orders!$W$6:$W$1005,Orders!$D$6:$D$1005,B397))</f>
        <v/>
      </c>
      <c r="H397" s="1" t="n"/>
    </row>
    <row r="398">
      <c r="A398" s="1" t="n"/>
      <c r="B398" s="33" t="n"/>
      <c r="C398" s="33" t="n"/>
      <c r="D398" s="36" t="n"/>
      <c r="E398" s="19">
        <f>IF(C398="","",IFERROR(INDEX(Materials!$C$6:$C$205,MATCH(C398,Materials!$B$6:$B$205,0))&amp;"","Add it to Materials"))</f>
        <v/>
      </c>
      <c r="F398" s="22">
        <f>IF(OR(C398="",E398="Add it to Materials"),"",N(D398)*INDEX(Materials!$F$6:$F$205,MATCH(C398,Materials!$B$6:$B$205,0)))</f>
        <v/>
      </c>
      <c r="G398" s="39">
        <f>IF(OR(B398="",C398=""),"",N(D398)*SUMIFS(Orders!$W$6:$W$1005,Orders!$D$6:$D$1005,B398))</f>
        <v/>
      </c>
      <c r="H398" s="1" t="n"/>
    </row>
    <row r="399">
      <c r="A399" s="1" t="n"/>
      <c r="B399" s="33" t="n"/>
      <c r="C399" s="33" t="n"/>
      <c r="D399" s="36" t="n"/>
      <c r="E399" s="19">
        <f>IF(C399="","",IFERROR(INDEX(Materials!$C$6:$C$205,MATCH(C399,Materials!$B$6:$B$205,0))&amp;"","Add it to Materials"))</f>
        <v/>
      </c>
      <c r="F399" s="22">
        <f>IF(OR(C399="",E399="Add it to Materials"),"",N(D399)*INDEX(Materials!$F$6:$F$205,MATCH(C399,Materials!$B$6:$B$205,0)))</f>
        <v/>
      </c>
      <c r="G399" s="39">
        <f>IF(OR(B399="",C399=""),"",N(D399)*SUMIFS(Orders!$W$6:$W$1005,Orders!$D$6:$D$1005,B399))</f>
        <v/>
      </c>
      <c r="H399" s="1" t="n"/>
    </row>
    <row r="400">
      <c r="A400" s="1" t="n"/>
      <c r="B400" s="33" t="n"/>
      <c r="C400" s="33" t="n"/>
      <c r="D400" s="36" t="n"/>
      <c r="E400" s="19">
        <f>IF(C400="","",IFERROR(INDEX(Materials!$C$6:$C$205,MATCH(C400,Materials!$B$6:$B$205,0))&amp;"","Add it to Materials"))</f>
        <v/>
      </c>
      <c r="F400" s="22">
        <f>IF(OR(C400="",E400="Add it to Materials"),"",N(D400)*INDEX(Materials!$F$6:$F$205,MATCH(C400,Materials!$B$6:$B$205,0)))</f>
        <v/>
      </c>
      <c r="G400" s="39">
        <f>IF(OR(B400="",C400=""),"",N(D400)*SUMIFS(Orders!$W$6:$W$1005,Orders!$D$6:$D$1005,B400))</f>
        <v/>
      </c>
      <c r="H400" s="1" t="n"/>
    </row>
    <row r="401">
      <c r="A401" s="1" t="n"/>
      <c r="B401" s="33" t="n"/>
      <c r="C401" s="33" t="n"/>
      <c r="D401" s="36" t="n"/>
      <c r="E401" s="19">
        <f>IF(C401="","",IFERROR(INDEX(Materials!$C$6:$C$205,MATCH(C401,Materials!$B$6:$B$205,0))&amp;"","Add it to Materials"))</f>
        <v/>
      </c>
      <c r="F401" s="22">
        <f>IF(OR(C401="",E401="Add it to Materials"),"",N(D401)*INDEX(Materials!$F$6:$F$205,MATCH(C401,Materials!$B$6:$B$205,0)))</f>
        <v/>
      </c>
      <c r="G401" s="39">
        <f>IF(OR(B401="",C401=""),"",N(D401)*SUMIFS(Orders!$W$6:$W$1005,Orders!$D$6:$D$1005,B401))</f>
        <v/>
      </c>
      <c r="H401" s="1" t="n"/>
    </row>
    <row r="402">
      <c r="A402" s="1" t="n"/>
      <c r="B402" s="33" t="n"/>
      <c r="C402" s="33" t="n"/>
      <c r="D402" s="36" t="n"/>
      <c r="E402" s="19">
        <f>IF(C402="","",IFERROR(INDEX(Materials!$C$6:$C$205,MATCH(C402,Materials!$B$6:$B$205,0))&amp;"","Add it to Materials"))</f>
        <v/>
      </c>
      <c r="F402" s="22">
        <f>IF(OR(C402="",E402="Add it to Materials"),"",N(D402)*INDEX(Materials!$F$6:$F$205,MATCH(C402,Materials!$B$6:$B$205,0)))</f>
        <v/>
      </c>
      <c r="G402" s="39">
        <f>IF(OR(B402="",C402=""),"",N(D402)*SUMIFS(Orders!$W$6:$W$1005,Orders!$D$6:$D$1005,B402))</f>
        <v/>
      </c>
      <c r="H402" s="1" t="n"/>
    </row>
    <row r="403">
      <c r="A403" s="1" t="n"/>
      <c r="B403" s="33" t="n"/>
      <c r="C403" s="33" t="n"/>
      <c r="D403" s="36" t="n"/>
      <c r="E403" s="19">
        <f>IF(C403="","",IFERROR(INDEX(Materials!$C$6:$C$205,MATCH(C403,Materials!$B$6:$B$205,0))&amp;"","Add it to Materials"))</f>
        <v/>
      </c>
      <c r="F403" s="22">
        <f>IF(OR(C403="",E403="Add it to Materials"),"",N(D403)*INDEX(Materials!$F$6:$F$205,MATCH(C403,Materials!$B$6:$B$205,0)))</f>
        <v/>
      </c>
      <c r="G403" s="39">
        <f>IF(OR(B403="",C403=""),"",N(D403)*SUMIFS(Orders!$W$6:$W$1005,Orders!$D$6:$D$1005,B403))</f>
        <v/>
      </c>
      <c r="H403" s="1" t="n"/>
    </row>
    <row r="404">
      <c r="A404" s="1" t="n"/>
      <c r="B404" s="33" t="n"/>
      <c r="C404" s="33" t="n"/>
      <c r="D404" s="36" t="n"/>
      <c r="E404" s="19">
        <f>IF(C404="","",IFERROR(INDEX(Materials!$C$6:$C$205,MATCH(C404,Materials!$B$6:$B$205,0))&amp;"","Add it to Materials"))</f>
        <v/>
      </c>
      <c r="F404" s="22">
        <f>IF(OR(C404="",E404="Add it to Materials"),"",N(D404)*INDEX(Materials!$F$6:$F$205,MATCH(C404,Materials!$B$6:$B$205,0)))</f>
        <v/>
      </c>
      <c r="G404" s="39">
        <f>IF(OR(B404="",C404=""),"",N(D404)*SUMIFS(Orders!$W$6:$W$1005,Orders!$D$6:$D$1005,B404))</f>
        <v/>
      </c>
      <c r="H404" s="1" t="n"/>
    </row>
    <row r="405">
      <c r="A405" s="1" t="n"/>
      <c r="B405" s="33" t="n"/>
      <c r="C405" s="33" t="n"/>
      <c r="D405" s="36" t="n"/>
      <c r="E405" s="19">
        <f>IF(C405="","",IFERROR(INDEX(Materials!$C$6:$C$205,MATCH(C405,Materials!$B$6:$B$205,0))&amp;"","Add it to Materials"))</f>
        <v/>
      </c>
      <c r="F405" s="22">
        <f>IF(OR(C405="",E405="Add it to Materials"),"",N(D405)*INDEX(Materials!$F$6:$F$205,MATCH(C405,Materials!$B$6:$B$205,0)))</f>
        <v/>
      </c>
      <c r="G405" s="39">
        <f>IF(OR(B405="",C405=""),"",N(D405)*SUMIFS(Orders!$W$6:$W$1005,Orders!$D$6:$D$1005,B405))</f>
        <v/>
      </c>
      <c r="H405" s="1" t="n"/>
    </row>
    <row r="406">
      <c r="A406" s="1" t="n"/>
      <c r="B406" s="33" t="n"/>
      <c r="C406" s="33" t="n"/>
      <c r="D406" s="36" t="n"/>
      <c r="E406" s="19">
        <f>IF(C406="","",IFERROR(INDEX(Materials!$C$6:$C$205,MATCH(C406,Materials!$B$6:$B$205,0))&amp;"","Add it to Materials"))</f>
        <v/>
      </c>
      <c r="F406" s="22">
        <f>IF(OR(C406="",E406="Add it to Materials"),"",N(D406)*INDEX(Materials!$F$6:$F$205,MATCH(C406,Materials!$B$6:$B$205,0)))</f>
        <v/>
      </c>
      <c r="G406" s="39">
        <f>IF(OR(B406="",C406=""),"",N(D406)*SUMIFS(Orders!$W$6:$W$1005,Orders!$D$6:$D$1005,B406))</f>
        <v/>
      </c>
      <c r="H406" s="1" t="n"/>
    </row>
    <row r="407">
      <c r="A407" s="1" t="n"/>
      <c r="B407" s="33" t="n"/>
      <c r="C407" s="33" t="n"/>
      <c r="D407" s="36" t="n"/>
      <c r="E407" s="19">
        <f>IF(C407="","",IFERROR(INDEX(Materials!$C$6:$C$205,MATCH(C407,Materials!$B$6:$B$205,0))&amp;"","Add it to Materials"))</f>
        <v/>
      </c>
      <c r="F407" s="22">
        <f>IF(OR(C407="",E407="Add it to Materials"),"",N(D407)*INDEX(Materials!$F$6:$F$205,MATCH(C407,Materials!$B$6:$B$205,0)))</f>
        <v/>
      </c>
      <c r="G407" s="39">
        <f>IF(OR(B407="",C407=""),"",N(D407)*SUMIFS(Orders!$W$6:$W$1005,Orders!$D$6:$D$1005,B407))</f>
        <v/>
      </c>
      <c r="H407" s="1" t="n"/>
    </row>
    <row r="408">
      <c r="A408" s="1" t="n"/>
      <c r="B408" s="33" t="n"/>
      <c r="C408" s="33" t="n"/>
      <c r="D408" s="36" t="n"/>
      <c r="E408" s="19">
        <f>IF(C408="","",IFERROR(INDEX(Materials!$C$6:$C$205,MATCH(C408,Materials!$B$6:$B$205,0))&amp;"","Add it to Materials"))</f>
        <v/>
      </c>
      <c r="F408" s="22">
        <f>IF(OR(C408="",E408="Add it to Materials"),"",N(D408)*INDEX(Materials!$F$6:$F$205,MATCH(C408,Materials!$B$6:$B$205,0)))</f>
        <v/>
      </c>
      <c r="G408" s="39">
        <f>IF(OR(B408="",C408=""),"",N(D408)*SUMIFS(Orders!$W$6:$W$1005,Orders!$D$6:$D$1005,B408))</f>
        <v/>
      </c>
      <c r="H408" s="1" t="n"/>
    </row>
    <row r="409">
      <c r="A409" s="1" t="n"/>
      <c r="B409" s="33" t="n"/>
      <c r="C409" s="33" t="n"/>
      <c r="D409" s="36" t="n"/>
      <c r="E409" s="19">
        <f>IF(C409="","",IFERROR(INDEX(Materials!$C$6:$C$205,MATCH(C409,Materials!$B$6:$B$205,0))&amp;"","Add it to Materials"))</f>
        <v/>
      </c>
      <c r="F409" s="22">
        <f>IF(OR(C409="",E409="Add it to Materials"),"",N(D409)*INDEX(Materials!$F$6:$F$205,MATCH(C409,Materials!$B$6:$B$205,0)))</f>
        <v/>
      </c>
      <c r="G409" s="39">
        <f>IF(OR(B409="",C409=""),"",N(D409)*SUMIFS(Orders!$W$6:$W$1005,Orders!$D$6:$D$1005,B409))</f>
        <v/>
      </c>
      <c r="H409" s="1" t="n"/>
    </row>
    <row r="410">
      <c r="A410" s="1" t="n"/>
      <c r="B410" s="33" t="n"/>
      <c r="C410" s="33" t="n"/>
      <c r="D410" s="36" t="n"/>
      <c r="E410" s="19">
        <f>IF(C410="","",IFERROR(INDEX(Materials!$C$6:$C$205,MATCH(C410,Materials!$B$6:$B$205,0))&amp;"","Add it to Materials"))</f>
        <v/>
      </c>
      <c r="F410" s="22">
        <f>IF(OR(C410="",E410="Add it to Materials"),"",N(D410)*INDEX(Materials!$F$6:$F$205,MATCH(C410,Materials!$B$6:$B$205,0)))</f>
        <v/>
      </c>
      <c r="G410" s="39">
        <f>IF(OR(B410="",C410=""),"",N(D410)*SUMIFS(Orders!$W$6:$W$1005,Orders!$D$6:$D$1005,B410))</f>
        <v/>
      </c>
      <c r="H410" s="1" t="n"/>
    </row>
    <row r="411">
      <c r="A411" s="1" t="n"/>
      <c r="B411" s="33" t="n"/>
      <c r="C411" s="33" t="n"/>
      <c r="D411" s="36" t="n"/>
      <c r="E411" s="19">
        <f>IF(C411="","",IFERROR(INDEX(Materials!$C$6:$C$205,MATCH(C411,Materials!$B$6:$B$205,0))&amp;"","Add it to Materials"))</f>
        <v/>
      </c>
      <c r="F411" s="22">
        <f>IF(OR(C411="",E411="Add it to Materials"),"",N(D411)*INDEX(Materials!$F$6:$F$205,MATCH(C411,Materials!$B$6:$B$205,0)))</f>
        <v/>
      </c>
      <c r="G411" s="39">
        <f>IF(OR(B411="",C411=""),"",N(D411)*SUMIFS(Orders!$W$6:$W$1005,Orders!$D$6:$D$1005,B411))</f>
        <v/>
      </c>
      <c r="H411" s="1" t="n"/>
    </row>
    <row r="412">
      <c r="A412" s="1" t="n"/>
      <c r="B412" s="33" t="n"/>
      <c r="C412" s="33" t="n"/>
      <c r="D412" s="36" t="n"/>
      <c r="E412" s="19">
        <f>IF(C412="","",IFERROR(INDEX(Materials!$C$6:$C$205,MATCH(C412,Materials!$B$6:$B$205,0))&amp;"","Add it to Materials"))</f>
        <v/>
      </c>
      <c r="F412" s="22">
        <f>IF(OR(C412="",E412="Add it to Materials"),"",N(D412)*INDEX(Materials!$F$6:$F$205,MATCH(C412,Materials!$B$6:$B$205,0)))</f>
        <v/>
      </c>
      <c r="G412" s="39">
        <f>IF(OR(B412="",C412=""),"",N(D412)*SUMIFS(Orders!$W$6:$W$1005,Orders!$D$6:$D$1005,B412))</f>
        <v/>
      </c>
      <c r="H412" s="1" t="n"/>
    </row>
    <row r="413">
      <c r="A413" s="1" t="n"/>
      <c r="B413" s="33" t="n"/>
      <c r="C413" s="33" t="n"/>
      <c r="D413" s="36" t="n"/>
      <c r="E413" s="19">
        <f>IF(C413="","",IFERROR(INDEX(Materials!$C$6:$C$205,MATCH(C413,Materials!$B$6:$B$205,0))&amp;"","Add it to Materials"))</f>
        <v/>
      </c>
      <c r="F413" s="22">
        <f>IF(OR(C413="",E413="Add it to Materials"),"",N(D413)*INDEX(Materials!$F$6:$F$205,MATCH(C413,Materials!$B$6:$B$205,0)))</f>
        <v/>
      </c>
      <c r="G413" s="39">
        <f>IF(OR(B413="",C413=""),"",N(D413)*SUMIFS(Orders!$W$6:$W$1005,Orders!$D$6:$D$1005,B413))</f>
        <v/>
      </c>
      <c r="H413" s="1" t="n"/>
    </row>
    <row r="414">
      <c r="A414" s="1" t="n"/>
      <c r="B414" s="33" t="n"/>
      <c r="C414" s="33" t="n"/>
      <c r="D414" s="36" t="n"/>
      <c r="E414" s="19">
        <f>IF(C414="","",IFERROR(INDEX(Materials!$C$6:$C$205,MATCH(C414,Materials!$B$6:$B$205,0))&amp;"","Add it to Materials"))</f>
        <v/>
      </c>
      <c r="F414" s="22">
        <f>IF(OR(C414="",E414="Add it to Materials"),"",N(D414)*INDEX(Materials!$F$6:$F$205,MATCH(C414,Materials!$B$6:$B$205,0)))</f>
        <v/>
      </c>
      <c r="G414" s="39">
        <f>IF(OR(B414="",C414=""),"",N(D414)*SUMIFS(Orders!$W$6:$W$1005,Orders!$D$6:$D$1005,B414))</f>
        <v/>
      </c>
      <c r="H414" s="1" t="n"/>
    </row>
    <row r="415">
      <c r="A415" s="1" t="n"/>
      <c r="B415" s="33" t="n"/>
      <c r="C415" s="33" t="n"/>
      <c r="D415" s="36" t="n"/>
      <c r="E415" s="19">
        <f>IF(C415="","",IFERROR(INDEX(Materials!$C$6:$C$205,MATCH(C415,Materials!$B$6:$B$205,0))&amp;"","Add it to Materials"))</f>
        <v/>
      </c>
      <c r="F415" s="22">
        <f>IF(OR(C415="",E415="Add it to Materials"),"",N(D415)*INDEX(Materials!$F$6:$F$205,MATCH(C415,Materials!$B$6:$B$205,0)))</f>
        <v/>
      </c>
      <c r="G415" s="39">
        <f>IF(OR(B415="",C415=""),"",N(D415)*SUMIFS(Orders!$W$6:$W$1005,Orders!$D$6:$D$1005,B415))</f>
        <v/>
      </c>
      <c r="H415" s="1" t="n"/>
    </row>
    <row r="416">
      <c r="A416" s="1" t="n"/>
      <c r="B416" s="33" t="n"/>
      <c r="C416" s="33" t="n"/>
      <c r="D416" s="36" t="n"/>
      <c r="E416" s="19">
        <f>IF(C416="","",IFERROR(INDEX(Materials!$C$6:$C$205,MATCH(C416,Materials!$B$6:$B$205,0))&amp;"","Add it to Materials"))</f>
        <v/>
      </c>
      <c r="F416" s="22">
        <f>IF(OR(C416="",E416="Add it to Materials"),"",N(D416)*INDEX(Materials!$F$6:$F$205,MATCH(C416,Materials!$B$6:$B$205,0)))</f>
        <v/>
      </c>
      <c r="G416" s="39">
        <f>IF(OR(B416="",C416=""),"",N(D416)*SUMIFS(Orders!$W$6:$W$1005,Orders!$D$6:$D$1005,B416))</f>
        <v/>
      </c>
      <c r="H416" s="1" t="n"/>
    </row>
    <row r="417">
      <c r="A417" s="1" t="n"/>
      <c r="B417" s="33" t="n"/>
      <c r="C417" s="33" t="n"/>
      <c r="D417" s="36" t="n"/>
      <c r="E417" s="19">
        <f>IF(C417="","",IFERROR(INDEX(Materials!$C$6:$C$205,MATCH(C417,Materials!$B$6:$B$205,0))&amp;"","Add it to Materials"))</f>
        <v/>
      </c>
      <c r="F417" s="22">
        <f>IF(OR(C417="",E417="Add it to Materials"),"",N(D417)*INDEX(Materials!$F$6:$F$205,MATCH(C417,Materials!$B$6:$B$205,0)))</f>
        <v/>
      </c>
      <c r="G417" s="39">
        <f>IF(OR(B417="",C417=""),"",N(D417)*SUMIFS(Orders!$W$6:$W$1005,Orders!$D$6:$D$1005,B417))</f>
        <v/>
      </c>
      <c r="H417" s="1" t="n"/>
    </row>
    <row r="418">
      <c r="A418" s="1" t="n"/>
      <c r="B418" s="33" t="n"/>
      <c r="C418" s="33" t="n"/>
      <c r="D418" s="36" t="n"/>
      <c r="E418" s="19">
        <f>IF(C418="","",IFERROR(INDEX(Materials!$C$6:$C$205,MATCH(C418,Materials!$B$6:$B$205,0))&amp;"","Add it to Materials"))</f>
        <v/>
      </c>
      <c r="F418" s="22">
        <f>IF(OR(C418="",E418="Add it to Materials"),"",N(D418)*INDEX(Materials!$F$6:$F$205,MATCH(C418,Materials!$B$6:$B$205,0)))</f>
        <v/>
      </c>
      <c r="G418" s="39">
        <f>IF(OR(B418="",C418=""),"",N(D418)*SUMIFS(Orders!$W$6:$W$1005,Orders!$D$6:$D$1005,B418))</f>
        <v/>
      </c>
      <c r="H418" s="1" t="n"/>
    </row>
    <row r="419">
      <c r="A419" s="1" t="n"/>
      <c r="B419" s="33" t="n"/>
      <c r="C419" s="33" t="n"/>
      <c r="D419" s="36" t="n"/>
      <c r="E419" s="19">
        <f>IF(C419="","",IFERROR(INDEX(Materials!$C$6:$C$205,MATCH(C419,Materials!$B$6:$B$205,0))&amp;"","Add it to Materials"))</f>
        <v/>
      </c>
      <c r="F419" s="22">
        <f>IF(OR(C419="",E419="Add it to Materials"),"",N(D419)*INDEX(Materials!$F$6:$F$205,MATCH(C419,Materials!$B$6:$B$205,0)))</f>
        <v/>
      </c>
      <c r="G419" s="39">
        <f>IF(OR(B419="",C419=""),"",N(D419)*SUMIFS(Orders!$W$6:$W$1005,Orders!$D$6:$D$1005,B419))</f>
        <v/>
      </c>
      <c r="H419" s="1" t="n"/>
    </row>
    <row r="420">
      <c r="A420" s="1" t="n"/>
      <c r="B420" s="33" t="n"/>
      <c r="C420" s="33" t="n"/>
      <c r="D420" s="36" t="n"/>
      <c r="E420" s="19">
        <f>IF(C420="","",IFERROR(INDEX(Materials!$C$6:$C$205,MATCH(C420,Materials!$B$6:$B$205,0))&amp;"","Add it to Materials"))</f>
        <v/>
      </c>
      <c r="F420" s="22">
        <f>IF(OR(C420="",E420="Add it to Materials"),"",N(D420)*INDEX(Materials!$F$6:$F$205,MATCH(C420,Materials!$B$6:$B$205,0)))</f>
        <v/>
      </c>
      <c r="G420" s="39">
        <f>IF(OR(B420="",C420=""),"",N(D420)*SUMIFS(Orders!$W$6:$W$1005,Orders!$D$6:$D$1005,B420))</f>
        <v/>
      </c>
      <c r="H420" s="1" t="n"/>
    </row>
    <row r="421">
      <c r="A421" s="1" t="n"/>
      <c r="B421" s="33" t="n"/>
      <c r="C421" s="33" t="n"/>
      <c r="D421" s="36" t="n"/>
      <c r="E421" s="19">
        <f>IF(C421="","",IFERROR(INDEX(Materials!$C$6:$C$205,MATCH(C421,Materials!$B$6:$B$205,0))&amp;"","Add it to Materials"))</f>
        <v/>
      </c>
      <c r="F421" s="22">
        <f>IF(OR(C421="",E421="Add it to Materials"),"",N(D421)*INDEX(Materials!$F$6:$F$205,MATCH(C421,Materials!$B$6:$B$205,0)))</f>
        <v/>
      </c>
      <c r="G421" s="39">
        <f>IF(OR(B421="",C421=""),"",N(D421)*SUMIFS(Orders!$W$6:$W$1005,Orders!$D$6:$D$1005,B421))</f>
        <v/>
      </c>
      <c r="H421" s="1" t="n"/>
    </row>
    <row r="422">
      <c r="A422" s="1" t="n"/>
      <c r="B422" s="33" t="n"/>
      <c r="C422" s="33" t="n"/>
      <c r="D422" s="36" t="n"/>
      <c r="E422" s="19">
        <f>IF(C422="","",IFERROR(INDEX(Materials!$C$6:$C$205,MATCH(C422,Materials!$B$6:$B$205,0))&amp;"","Add it to Materials"))</f>
        <v/>
      </c>
      <c r="F422" s="22">
        <f>IF(OR(C422="",E422="Add it to Materials"),"",N(D422)*INDEX(Materials!$F$6:$F$205,MATCH(C422,Materials!$B$6:$B$205,0)))</f>
        <v/>
      </c>
      <c r="G422" s="39">
        <f>IF(OR(B422="",C422=""),"",N(D422)*SUMIFS(Orders!$W$6:$W$1005,Orders!$D$6:$D$1005,B422))</f>
        <v/>
      </c>
      <c r="H422" s="1" t="n"/>
    </row>
    <row r="423">
      <c r="A423" s="1" t="n"/>
      <c r="B423" s="33" t="n"/>
      <c r="C423" s="33" t="n"/>
      <c r="D423" s="36" t="n"/>
      <c r="E423" s="19">
        <f>IF(C423="","",IFERROR(INDEX(Materials!$C$6:$C$205,MATCH(C423,Materials!$B$6:$B$205,0))&amp;"","Add it to Materials"))</f>
        <v/>
      </c>
      <c r="F423" s="22">
        <f>IF(OR(C423="",E423="Add it to Materials"),"",N(D423)*INDEX(Materials!$F$6:$F$205,MATCH(C423,Materials!$B$6:$B$205,0)))</f>
        <v/>
      </c>
      <c r="G423" s="39">
        <f>IF(OR(B423="",C423=""),"",N(D423)*SUMIFS(Orders!$W$6:$W$1005,Orders!$D$6:$D$1005,B423))</f>
        <v/>
      </c>
      <c r="H423" s="1" t="n"/>
    </row>
    <row r="424">
      <c r="A424" s="1" t="n"/>
      <c r="B424" s="33" t="n"/>
      <c r="C424" s="33" t="n"/>
      <c r="D424" s="36" t="n"/>
      <c r="E424" s="19">
        <f>IF(C424="","",IFERROR(INDEX(Materials!$C$6:$C$205,MATCH(C424,Materials!$B$6:$B$205,0))&amp;"","Add it to Materials"))</f>
        <v/>
      </c>
      <c r="F424" s="22">
        <f>IF(OR(C424="",E424="Add it to Materials"),"",N(D424)*INDEX(Materials!$F$6:$F$205,MATCH(C424,Materials!$B$6:$B$205,0)))</f>
        <v/>
      </c>
      <c r="G424" s="39">
        <f>IF(OR(B424="",C424=""),"",N(D424)*SUMIFS(Orders!$W$6:$W$1005,Orders!$D$6:$D$1005,B424))</f>
        <v/>
      </c>
      <c r="H424" s="1" t="n"/>
    </row>
    <row r="425">
      <c r="A425" s="1" t="n"/>
      <c r="B425" s="33" t="n"/>
      <c r="C425" s="33" t="n"/>
      <c r="D425" s="36" t="n"/>
      <c r="E425" s="19">
        <f>IF(C425="","",IFERROR(INDEX(Materials!$C$6:$C$205,MATCH(C425,Materials!$B$6:$B$205,0))&amp;"","Add it to Materials"))</f>
        <v/>
      </c>
      <c r="F425" s="22">
        <f>IF(OR(C425="",E425="Add it to Materials"),"",N(D425)*INDEX(Materials!$F$6:$F$205,MATCH(C425,Materials!$B$6:$B$205,0)))</f>
        <v/>
      </c>
      <c r="G425" s="39">
        <f>IF(OR(B425="",C425=""),"",N(D425)*SUMIFS(Orders!$W$6:$W$1005,Orders!$D$6:$D$1005,B425))</f>
        <v/>
      </c>
      <c r="H425" s="1" t="n"/>
    </row>
    <row r="426">
      <c r="A426" s="1" t="n"/>
      <c r="B426" s="33" t="n"/>
      <c r="C426" s="33" t="n"/>
      <c r="D426" s="36" t="n"/>
      <c r="E426" s="19">
        <f>IF(C426="","",IFERROR(INDEX(Materials!$C$6:$C$205,MATCH(C426,Materials!$B$6:$B$205,0))&amp;"","Add it to Materials"))</f>
        <v/>
      </c>
      <c r="F426" s="22">
        <f>IF(OR(C426="",E426="Add it to Materials"),"",N(D426)*INDEX(Materials!$F$6:$F$205,MATCH(C426,Materials!$B$6:$B$205,0)))</f>
        <v/>
      </c>
      <c r="G426" s="39">
        <f>IF(OR(B426="",C426=""),"",N(D426)*SUMIFS(Orders!$W$6:$W$1005,Orders!$D$6:$D$1005,B426))</f>
        <v/>
      </c>
      <c r="H426" s="1" t="n"/>
    </row>
    <row r="427">
      <c r="A427" s="1" t="n"/>
      <c r="B427" s="33" t="n"/>
      <c r="C427" s="33" t="n"/>
      <c r="D427" s="36" t="n"/>
      <c r="E427" s="19">
        <f>IF(C427="","",IFERROR(INDEX(Materials!$C$6:$C$205,MATCH(C427,Materials!$B$6:$B$205,0))&amp;"","Add it to Materials"))</f>
        <v/>
      </c>
      <c r="F427" s="22">
        <f>IF(OR(C427="",E427="Add it to Materials"),"",N(D427)*INDEX(Materials!$F$6:$F$205,MATCH(C427,Materials!$B$6:$B$205,0)))</f>
        <v/>
      </c>
      <c r="G427" s="39">
        <f>IF(OR(B427="",C427=""),"",N(D427)*SUMIFS(Orders!$W$6:$W$1005,Orders!$D$6:$D$1005,B427))</f>
        <v/>
      </c>
      <c r="H427" s="1" t="n"/>
    </row>
    <row r="428">
      <c r="A428" s="1" t="n"/>
      <c r="B428" s="33" t="n"/>
      <c r="C428" s="33" t="n"/>
      <c r="D428" s="36" t="n"/>
      <c r="E428" s="19">
        <f>IF(C428="","",IFERROR(INDEX(Materials!$C$6:$C$205,MATCH(C428,Materials!$B$6:$B$205,0))&amp;"","Add it to Materials"))</f>
        <v/>
      </c>
      <c r="F428" s="22">
        <f>IF(OR(C428="",E428="Add it to Materials"),"",N(D428)*INDEX(Materials!$F$6:$F$205,MATCH(C428,Materials!$B$6:$B$205,0)))</f>
        <v/>
      </c>
      <c r="G428" s="39">
        <f>IF(OR(B428="",C428=""),"",N(D428)*SUMIFS(Orders!$W$6:$W$1005,Orders!$D$6:$D$1005,B428))</f>
        <v/>
      </c>
      <c r="H428" s="1" t="n"/>
    </row>
    <row r="429">
      <c r="A429" s="1" t="n"/>
      <c r="B429" s="33" t="n"/>
      <c r="C429" s="33" t="n"/>
      <c r="D429" s="36" t="n"/>
      <c r="E429" s="19">
        <f>IF(C429="","",IFERROR(INDEX(Materials!$C$6:$C$205,MATCH(C429,Materials!$B$6:$B$205,0))&amp;"","Add it to Materials"))</f>
        <v/>
      </c>
      <c r="F429" s="22">
        <f>IF(OR(C429="",E429="Add it to Materials"),"",N(D429)*INDEX(Materials!$F$6:$F$205,MATCH(C429,Materials!$B$6:$B$205,0)))</f>
        <v/>
      </c>
      <c r="G429" s="39">
        <f>IF(OR(B429="",C429=""),"",N(D429)*SUMIFS(Orders!$W$6:$W$1005,Orders!$D$6:$D$1005,B429))</f>
        <v/>
      </c>
      <c r="H429" s="1" t="n"/>
    </row>
    <row r="430">
      <c r="A430" s="1" t="n"/>
      <c r="B430" s="33" t="n"/>
      <c r="C430" s="33" t="n"/>
      <c r="D430" s="36" t="n"/>
      <c r="E430" s="19">
        <f>IF(C430="","",IFERROR(INDEX(Materials!$C$6:$C$205,MATCH(C430,Materials!$B$6:$B$205,0))&amp;"","Add it to Materials"))</f>
        <v/>
      </c>
      <c r="F430" s="22">
        <f>IF(OR(C430="",E430="Add it to Materials"),"",N(D430)*INDEX(Materials!$F$6:$F$205,MATCH(C430,Materials!$B$6:$B$205,0)))</f>
        <v/>
      </c>
      <c r="G430" s="39">
        <f>IF(OR(B430="",C430=""),"",N(D430)*SUMIFS(Orders!$W$6:$W$1005,Orders!$D$6:$D$1005,B430))</f>
        <v/>
      </c>
      <c r="H430" s="1" t="n"/>
    </row>
    <row r="431">
      <c r="A431" s="1" t="n"/>
      <c r="B431" s="33" t="n"/>
      <c r="C431" s="33" t="n"/>
      <c r="D431" s="36" t="n"/>
      <c r="E431" s="19">
        <f>IF(C431="","",IFERROR(INDEX(Materials!$C$6:$C$205,MATCH(C431,Materials!$B$6:$B$205,0))&amp;"","Add it to Materials"))</f>
        <v/>
      </c>
      <c r="F431" s="22">
        <f>IF(OR(C431="",E431="Add it to Materials"),"",N(D431)*INDEX(Materials!$F$6:$F$205,MATCH(C431,Materials!$B$6:$B$205,0)))</f>
        <v/>
      </c>
      <c r="G431" s="39">
        <f>IF(OR(B431="",C431=""),"",N(D431)*SUMIFS(Orders!$W$6:$W$1005,Orders!$D$6:$D$1005,B431))</f>
        <v/>
      </c>
      <c r="H431" s="1" t="n"/>
    </row>
    <row r="432">
      <c r="A432" s="1" t="n"/>
      <c r="B432" s="33" t="n"/>
      <c r="C432" s="33" t="n"/>
      <c r="D432" s="36" t="n"/>
      <c r="E432" s="19">
        <f>IF(C432="","",IFERROR(INDEX(Materials!$C$6:$C$205,MATCH(C432,Materials!$B$6:$B$205,0))&amp;"","Add it to Materials"))</f>
        <v/>
      </c>
      <c r="F432" s="22">
        <f>IF(OR(C432="",E432="Add it to Materials"),"",N(D432)*INDEX(Materials!$F$6:$F$205,MATCH(C432,Materials!$B$6:$B$205,0)))</f>
        <v/>
      </c>
      <c r="G432" s="39">
        <f>IF(OR(B432="",C432=""),"",N(D432)*SUMIFS(Orders!$W$6:$W$1005,Orders!$D$6:$D$1005,B432))</f>
        <v/>
      </c>
      <c r="H432" s="1" t="n"/>
    </row>
    <row r="433">
      <c r="A433" s="1" t="n"/>
      <c r="B433" s="33" t="n"/>
      <c r="C433" s="33" t="n"/>
      <c r="D433" s="36" t="n"/>
      <c r="E433" s="19">
        <f>IF(C433="","",IFERROR(INDEX(Materials!$C$6:$C$205,MATCH(C433,Materials!$B$6:$B$205,0))&amp;"","Add it to Materials"))</f>
        <v/>
      </c>
      <c r="F433" s="22">
        <f>IF(OR(C433="",E433="Add it to Materials"),"",N(D433)*INDEX(Materials!$F$6:$F$205,MATCH(C433,Materials!$B$6:$B$205,0)))</f>
        <v/>
      </c>
      <c r="G433" s="39">
        <f>IF(OR(B433="",C433=""),"",N(D433)*SUMIFS(Orders!$W$6:$W$1005,Orders!$D$6:$D$1005,B433))</f>
        <v/>
      </c>
      <c r="H433" s="1" t="n"/>
    </row>
    <row r="434">
      <c r="A434" s="1" t="n"/>
      <c r="B434" s="33" t="n"/>
      <c r="C434" s="33" t="n"/>
      <c r="D434" s="36" t="n"/>
      <c r="E434" s="19">
        <f>IF(C434="","",IFERROR(INDEX(Materials!$C$6:$C$205,MATCH(C434,Materials!$B$6:$B$205,0))&amp;"","Add it to Materials"))</f>
        <v/>
      </c>
      <c r="F434" s="22">
        <f>IF(OR(C434="",E434="Add it to Materials"),"",N(D434)*INDEX(Materials!$F$6:$F$205,MATCH(C434,Materials!$B$6:$B$205,0)))</f>
        <v/>
      </c>
      <c r="G434" s="39">
        <f>IF(OR(B434="",C434=""),"",N(D434)*SUMIFS(Orders!$W$6:$W$1005,Orders!$D$6:$D$1005,B434))</f>
        <v/>
      </c>
      <c r="H434" s="1" t="n"/>
    </row>
    <row r="435">
      <c r="A435" s="1" t="n"/>
      <c r="B435" s="33" t="n"/>
      <c r="C435" s="33" t="n"/>
      <c r="D435" s="36" t="n"/>
      <c r="E435" s="19">
        <f>IF(C435="","",IFERROR(INDEX(Materials!$C$6:$C$205,MATCH(C435,Materials!$B$6:$B$205,0))&amp;"","Add it to Materials"))</f>
        <v/>
      </c>
      <c r="F435" s="22">
        <f>IF(OR(C435="",E435="Add it to Materials"),"",N(D435)*INDEX(Materials!$F$6:$F$205,MATCH(C435,Materials!$B$6:$B$205,0)))</f>
        <v/>
      </c>
      <c r="G435" s="39">
        <f>IF(OR(B435="",C435=""),"",N(D435)*SUMIFS(Orders!$W$6:$W$1005,Orders!$D$6:$D$1005,B435))</f>
        <v/>
      </c>
      <c r="H435" s="1" t="n"/>
    </row>
    <row r="436">
      <c r="A436" s="1" t="n"/>
      <c r="B436" s="33" t="n"/>
      <c r="C436" s="33" t="n"/>
      <c r="D436" s="36" t="n"/>
      <c r="E436" s="19">
        <f>IF(C436="","",IFERROR(INDEX(Materials!$C$6:$C$205,MATCH(C436,Materials!$B$6:$B$205,0))&amp;"","Add it to Materials"))</f>
        <v/>
      </c>
      <c r="F436" s="22">
        <f>IF(OR(C436="",E436="Add it to Materials"),"",N(D436)*INDEX(Materials!$F$6:$F$205,MATCH(C436,Materials!$B$6:$B$205,0)))</f>
        <v/>
      </c>
      <c r="G436" s="39">
        <f>IF(OR(B436="",C436=""),"",N(D436)*SUMIFS(Orders!$W$6:$W$1005,Orders!$D$6:$D$1005,B436))</f>
        <v/>
      </c>
      <c r="H436" s="1" t="n"/>
    </row>
    <row r="437">
      <c r="A437" s="1" t="n"/>
      <c r="B437" s="33" t="n"/>
      <c r="C437" s="33" t="n"/>
      <c r="D437" s="36" t="n"/>
      <c r="E437" s="19">
        <f>IF(C437="","",IFERROR(INDEX(Materials!$C$6:$C$205,MATCH(C437,Materials!$B$6:$B$205,0))&amp;"","Add it to Materials"))</f>
        <v/>
      </c>
      <c r="F437" s="22">
        <f>IF(OR(C437="",E437="Add it to Materials"),"",N(D437)*INDEX(Materials!$F$6:$F$205,MATCH(C437,Materials!$B$6:$B$205,0)))</f>
        <v/>
      </c>
      <c r="G437" s="39">
        <f>IF(OR(B437="",C437=""),"",N(D437)*SUMIFS(Orders!$W$6:$W$1005,Orders!$D$6:$D$1005,B437))</f>
        <v/>
      </c>
      <c r="H437" s="1" t="n"/>
    </row>
    <row r="438">
      <c r="A438" s="1" t="n"/>
      <c r="B438" s="33" t="n"/>
      <c r="C438" s="33" t="n"/>
      <c r="D438" s="36" t="n"/>
      <c r="E438" s="19">
        <f>IF(C438="","",IFERROR(INDEX(Materials!$C$6:$C$205,MATCH(C438,Materials!$B$6:$B$205,0))&amp;"","Add it to Materials"))</f>
        <v/>
      </c>
      <c r="F438" s="22">
        <f>IF(OR(C438="",E438="Add it to Materials"),"",N(D438)*INDEX(Materials!$F$6:$F$205,MATCH(C438,Materials!$B$6:$B$205,0)))</f>
        <v/>
      </c>
      <c r="G438" s="39">
        <f>IF(OR(B438="",C438=""),"",N(D438)*SUMIFS(Orders!$W$6:$W$1005,Orders!$D$6:$D$1005,B438))</f>
        <v/>
      </c>
      <c r="H438" s="1" t="n"/>
    </row>
    <row r="439">
      <c r="A439" s="1" t="n"/>
      <c r="B439" s="33" t="n"/>
      <c r="C439" s="33" t="n"/>
      <c r="D439" s="36" t="n"/>
      <c r="E439" s="19">
        <f>IF(C439="","",IFERROR(INDEX(Materials!$C$6:$C$205,MATCH(C439,Materials!$B$6:$B$205,0))&amp;"","Add it to Materials"))</f>
        <v/>
      </c>
      <c r="F439" s="22">
        <f>IF(OR(C439="",E439="Add it to Materials"),"",N(D439)*INDEX(Materials!$F$6:$F$205,MATCH(C439,Materials!$B$6:$B$205,0)))</f>
        <v/>
      </c>
      <c r="G439" s="39">
        <f>IF(OR(B439="",C439=""),"",N(D439)*SUMIFS(Orders!$W$6:$W$1005,Orders!$D$6:$D$1005,B439))</f>
        <v/>
      </c>
      <c r="H439" s="1" t="n"/>
    </row>
    <row r="440">
      <c r="A440" s="1" t="n"/>
      <c r="B440" s="33" t="n"/>
      <c r="C440" s="33" t="n"/>
      <c r="D440" s="36" t="n"/>
      <c r="E440" s="19">
        <f>IF(C440="","",IFERROR(INDEX(Materials!$C$6:$C$205,MATCH(C440,Materials!$B$6:$B$205,0))&amp;"","Add it to Materials"))</f>
        <v/>
      </c>
      <c r="F440" s="22">
        <f>IF(OR(C440="",E440="Add it to Materials"),"",N(D440)*INDEX(Materials!$F$6:$F$205,MATCH(C440,Materials!$B$6:$B$205,0)))</f>
        <v/>
      </c>
      <c r="G440" s="39">
        <f>IF(OR(B440="",C440=""),"",N(D440)*SUMIFS(Orders!$W$6:$W$1005,Orders!$D$6:$D$1005,B440))</f>
        <v/>
      </c>
      <c r="H440" s="1" t="n"/>
    </row>
    <row r="441">
      <c r="A441" s="1" t="n"/>
      <c r="B441" s="33" t="n"/>
      <c r="C441" s="33" t="n"/>
      <c r="D441" s="36" t="n"/>
      <c r="E441" s="19">
        <f>IF(C441="","",IFERROR(INDEX(Materials!$C$6:$C$205,MATCH(C441,Materials!$B$6:$B$205,0))&amp;"","Add it to Materials"))</f>
        <v/>
      </c>
      <c r="F441" s="22">
        <f>IF(OR(C441="",E441="Add it to Materials"),"",N(D441)*INDEX(Materials!$F$6:$F$205,MATCH(C441,Materials!$B$6:$B$205,0)))</f>
        <v/>
      </c>
      <c r="G441" s="39">
        <f>IF(OR(B441="",C441=""),"",N(D441)*SUMIFS(Orders!$W$6:$W$1005,Orders!$D$6:$D$1005,B441))</f>
        <v/>
      </c>
      <c r="H441" s="1" t="n"/>
    </row>
    <row r="442">
      <c r="A442" s="1" t="n"/>
      <c r="B442" s="33" t="n"/>
      <c r="C442" s="33" t="n"/>
      <c r="D442" s="36" t="n"/>
      <c r="E442" s="19">
        <f>IF(C442="","",IFERROR(INDEX(Materials!$C$6:$C$205,MATCH(C442,Materials!$B$6:$B$205,0))&amp;"","Add it to Materials"))</f>
        <v/>
      </c>
      <c r="F442" s="22">
        <f>IF(OR(C442="",E442="Add it to Materials"),"",N(D442)*INDEX(Materials!$F$6:$F$205,MATCH(C442,Materials!$B$6:$B$205,0)))</f>
        <v/>
      </c>
      <c r="G442" s="39">
        <f>IF(OR(B442="",C442=""),"",N(D442)*SUMIFS(Orders!$W$6:$W$1005,Orders!$D$6:$D$1005,B442))</f>
        <v/>
      </c>
      <c r="H442" s="1" t="n"/>
    </row>
    <row r="443">
      <c r="A443" s="1" t="n"/>
      <c r="B443" s="33" t="n"/>
      <c r="C443" s="33" t="n"/>
      <c r="D443" s="36" t="n"/>
      <c r="E443" s="19">
        <f>IF(C443="","",IFERROR(INDEX(Materials!$C$6:$C$205,MATCH(C443,Materials!$B$6:$B$205,0))&amp;"","Add it to Materials"))</f>
        <v/>
      </c>
      <c r="F443" s="22">
        <f>IF(OR(C443="",E443="Add it to Materials"),"",N(D443)*INDEX(Materials!$F$6:$F$205,MATCH(C443,Materials!$B$6:$B$205,0)))</f>
        <v/>
      </c>
      <c r="G443" s="39">
        <f>IF(OR(B443="",C443=""),"",N(D443)*SUMIFS(Orders!$W$6:$W$1005,Orders!$D$6:$D$1005,B443))</f>
        <v/>
      </c>
      <c r="H443" s="1" t="n"/>
    </row>
    <row r="444">
      <c r="A444" s="1" t="n"/>
      <c r="B444" s="33" t="n"/>
      <c r="C444" s="33" t="n"/>
      <c r="D444" s="36" t="n"/>
      <c r="E444" s="19">
        <f>IF(C444="","",IFERROR(INDEX(Materials!$C$6:$C$205,MATCH(C444,Materials!$B$6:$B$205,0))&amp;"","Add it to Materials"))</f>
        <v/>
      </c>
      <c r="F444" s="22">
        <f>IF(OR(C444="",E444="Add it to Materials"),"",N(D444)*INDEX(Materials!$F$6:$F$205,MATCH(C444,Materials!$B$6:$B$205,0)))</f>
        <v/>
      </c>
      <c r="G444" s="39">
        <f>IF(OR(B444="",C444=""),"",N(D444)*SUMIFS(Orders!$W$6:$W$1005,Orders!$D$6:$D$1005,B444))</f>
        <v/>
      </c>
      <c r="H444" s="1" t="n"/>
    </row>
    <row r="445">
      <c r="A445" s="1" t="n"/>
      <c r="B445" s="33" t="n"/>
      <c r="C445" s="33" t="n"/>
      <c r="D445" s="36" t="n"/>
      <c r="E445" s="19">
        <f>IF(C445="","",IFERROR(INDEX(Materials!$C$6:$C$205,MATCH(C445,Materials!$B$6:$B$205,0))&amp;"","Add it to Materials"))</f>
        <v/>
      </c>
      <c r="F445" s="22">
        <f>IF(OR(C445="",E445="Add it to Materials"),"",N(D445)*INDEX(Materials!$F$6:$F$205,MATCH(C445,Materials!$B$6:$B$205,0)))</f>
        <v/>
      </c>
      <c r="G445" s="39">
        <f>IF(OR(B445="",C445=""),"",N(D445)*SUMIFS(Orders!$W$6:$W$1005,Orders!$D$6:$D$1005,B445))</f>
        <v/>
      </c>
      <c r="H445" s="1" t="n"/>
    </row>
    <row r="446">
      <c r="A446" s="1" t="n"/>
      <c r="B446" s="33" t="n"/>
      <c r="C446" s="33" t="n"/>
      <c r="D446" s="36" t="n"/>
      <c r="E446" s="19">
        <f>IF(C446="","",IFERROR(INDEX(Materials!$C$6:$C$205,MATCH(C446,Materials!$B$6:$B$205,0))&amp;"","Add it to Materials"))</f>
        <v/>
      </c>
      <c r="F446" s="22">
        <f>IF(OR(C446="",E446="Add it to Materials"),"",N(D446)*INDEX(Materials!$F$6:$F$205,MATCH(C446,Materials!$B$6:$B$205,0)))</f>
        <v/>
      </c>
      <c r="G446" s="39">
        <f>IF(OR(B446="",C446=""),"",N(D446)*SUMIFS(Orders!$W$6:$W$1005,Orders!$D$6:$D$1005,B446))</f>
        <v/>
      </c>
      <c r="H446" s="1" t="n"/>
    </row>
    <row r="447">
      <c r="A447" s="1" t="n"/>
      <c r="B447" s="33" t="n"/>
      <c r="C447" s="33" t="n"/>
      <c r="D447" s="36" t="n"/>
      <c r="E447" s="19">
        <f>IF(C447="","",IFERROR(INDEX(Materials!$C$6:$C$205,MATCH(C447,Materials!$B$6:$B$205,0))&amp;"","Add it to Materials"))</f>
        <v/>
      </c>
      <c r="F447" s="22">
        <f>IF(OR(C447="",E447="Add it to Materials"),"",N(D447)*INDEX(Materials!$F$6:$F$205,MATCH(C447,Materials!$B$6:$B$205,0)))</f>
        <v/>
      </c>
      <c r="G447" s="39">
        <f>IF(OR(B447="",C447=""),"",N(D447)*SUMIFS(Orders!$W$6:$W$1005,Orders!$D$6:$D$1005,B447))</f>
        <v/>
      </c>
      <c r="H447" s="1" t="n"/>
    </row>
    <row r="448">
      <c r="A448" s="1" t="n"/>
      <c r="B448" s="33" t="n"/>
      <c r="C448" s="33" t="n"/>
      <c r="D448" s="36" t="n"/>
      <c r="E448" s="19">
        <f>IF(C448="","",IFERROR(INDEX(Materials!$C$6:$C$205,MATCH(C448,Materials!$B$6:$B$205,0))&amp;"","Add it to Materials"))</f>
        <v/>
      </c>
      <c r="F448" s="22">
        <f>IF(OR(C448="",E448="Add it to Materials"),"",N(D448)*INDEX(Materials!$F$6:$F$205,MATCH(C448,Materials!$B$6:$B$205,0)))</f>
        <v/>
      </c>
      <c r="G448" s="39">
        <f>IF(OR(B448="",C448=""),"",N(D448)*SUMIFS(Orders!$W$6:$W$1005,Orders!$D$6:$D$1005,B448))</f>
        <v/>
      </c>
      <c r="H448" s="1" t="n"/>
    </row>
    <row r="449">
      <c r="A449" s="1" t="n"/>
      <c r="B449" s="33" t="n"/>
      <c r="C449" s="33" t="n"/>
      <c r="D449" s="36" t="n"/>
      <c r="E449" s="19">
        <f>IF(C449="","",IFERROR(INDEX(Materials!$C$6:$C$205,MATCH(C449,Materials!$B$6:$B$205,0))&amp;"","Add it to Materials"))</f>
        <v/>
      </c>
      <c r="F449" s="22">
        <f>IF(OR(C449="",E449="Add it to Materials"),"",N(D449)*INDEX(Materials!$F$6:$F$205,MATCH(C449,Materials!$B$6:$B$205,0)))</f>
        <v/>
      </c>
      <c r="G449" s="39">
        <f>IF(OR(B449="",C449=""),"",N(D449)*SUMIFS(Orders!$W$6:$W$1005,Orders!$D$6:$D$1005,B449))</f>
        <v/>
      </c>
      <c r="H449" s="1" t="n"/>
    </row>
    <row r="450">
      <c r="A450" s="1" t="n"/>
      <c r="B450" s="33" t="n"/>
      <c r="C450" s="33" t="n"/>
      <c r="D450" s="36" t="n"/>
      <c r="E450" s="19">
        <f>IF(C450="","",IFERROR(INDEX(Materials!$C$6:$C$205,MATCH(C450,Materials!$B$6:$B$205,0))&amp;"","Add it to Materials"))</f>
        <v/>
      </c>
      <c r="F450" s="22">
        <f>IF(OR(C450="",E450="Add it to Materials"),"",N(D450)*INDEX(Materials!$F$6:$F$205,MATCH(C450,Materials!$B$6:$B$205,0)))</f>
        <v/>
      </c>
      <c r="G450" s="39">
        <f>IF(OR(B450="",C450=""),"",N(D450)*SUMIFS(Orders!$W$6:$W$1005,Orders!$D$6:$D$1005,B450))</f>
        <v/>
      </c>
      <c r="H450" s="1" t="n"/>
    </row>
    <row r="451">
      <c r="A451" s="1" t="n"/>
      <c r="B451" s="33" t="n"/>
      <c r="C451" s="33" t="n"/>
      <c r="D451" s="36" t="n"/>
      <c r="E451" s="19">
        <f>IF(C451="","",IFERROR(INDEX(Materials!$C$6:$C$205,MATCH(C451,Materials!$B$6:$B$205,0))&amp;"","Add it to Materials"))</f>
        <v/>
      </c>
      <c r="F451" s="22">
        <f>IF(OR(C451="",E451="Add it to Materials"),"",N(D451)*INDEX(Materials!$F$6:$F$205,MATCH(C451,Materials!$B$6:$B$205,0)))</f>
        <v/>
      </c>
      <c r="G451" s="39">
        <f>IF(OR(B451="",C451=""),"",N(D451)*SUMIFS(Orders!$W$6:$W$1005,Orders!$D$6:$D$1005,B451))</f>
        <v/>
      </c>
      <c r="H451" s="1" t="n"/>
    </row>
    <row r="452">
      <c r="A452" s="1" t="n"/>
      <c r="B452" s="33" t="n"/>
      <c r="C452" s="33" t="n"/>
      <c r="D452" s="36" t="n"/>
      <c r="E452" s="19">
        <f>IF(C452="","",IFERROR(INDEX(Materials!$C$6:$C$205,MATCH(C452,Materials!$B$6:$B$205,0))&amp;"","Add it to Materials"))</f>
        <v/>
      </c>
      <c r="F452" s="22">
        <f>IF(OR(C452="",E452="Add it to Materials"),"",N(D452)*INDEX(Materials!$F$6:$F$205,MATCH(C452,Materials!$B$6:$B$205,0)))</f>
        <v/>
      </c>
      <c r="G452" s="39">
        <f>IF(OR(B452="",C452=""),"",N(D452)*SUMIFS(Orders!$W$6:$W$1005,Orders!$D$6:$D$1005,B452))</f>
        <v/>
      </c>
      <c r="H452" s="1" t="n"/>
    </row>
    <row r="453">
      <c r="A453" s="1" t="n"/>
      <c r="B453" s="33" t="n"/>
      <c r="C453" s="33" t="n"/>
      <c r="D453" s="36" t="n"/>
      <c r="E453" s="19">
        <f>IF(C453="","",IFERROR(INDEX(Materials!$C$6:$C$205,MATCH(C453,Materials!$B$6:$B$205,0))&amp;"","Add it to Materials"))</f>
        <v/>
      </c>
      <c r="F453" s="22">
        <f>IF(OR(C453="",E453="Add it to Materials"),"",N(D453)*INDEX(Materials!$F$6:$F$205,MATCH(C453,Materials!$B$6:$B$205,0)))</f>
        <v/>
      </c>
      <c r="G453" s="39">
        <f>IF(OR(B453="",C453=""),"",N(D453)*SUMIFS(Orders!$W$6:$W$1005,Orders!$D$6:$D$1005,B453))</f>
        <v/>
      </c>
      <c r="H453" s="1" t="n"/>
    </row>
    <row r="454">
      <c r="A454" s="1" t="n"/>
      <c r="B454" s="33" t="n"/>
      <c r="C454" s="33" t="n"/>
      <c r="D454" s="36" t="n"/>
      <c r="E454" s="19">
        <f>IF(C454="","",IFERROR(INDEX(Materials!$C$6:$C$205,MATCH(C454,Materials!$B$6:$B$205,0))&amp;"","Add it to Materials"))</f>
        <v/>
      </c>
      <c r="F454" s="22">
        <f>IF(OR(C454="",E454="Add it to Materials"),"",N(D454)*INDEX(Materials!$F$6:$F$205,MATCH(C454,Materials!$B$6:$B$205,0)))</f>
        <v/>
      </c>
      <c r="G454" s="39">
        <f>IF(OR(B454="",C454=""),"",N(D454)*SUMIFS(Orders!$W$6:$W$1005,Orders!$D$6:$D$1005,B454))</f>
        <v/>
      </c>
      <c r="H454" s="1" t="n"/>
    </row>
    <row r="455">
      <c r="A455" s="1" t="n"/>
      <c r="B455" s="33" t="n"/>
      <c r="C455" s="33" t="n"/>
      <c r="D455" s="36" t="n"/>
      <c r="E455" s="19">
        <f>IF(C455="","",IFERROR(INDEX(Materials!$C$6:$C$205,MATCH(C455,Materials!$B$6:$B$205,0))&amp;"","Add it to Materials"))</f>
        <v/>
      </c>
      <c r="F455" s="22">
        <f>IF(OR(C455="",E455="Add it to Materials"),"",N(D455)*INDEX(Materials!$F$6:$F$205,MATCH(C455,Materials!$B$6:$B$205,0)))</f>
        <v/>
      </c>
      <c r="G455" s="39">
        <f>IF(OR(B455="",C455=""),"",N(D455)*SUMIFS(Orders!$W$6:$W$1005,Orders!$D$6:$D$1005,B455))</f>
        <v/>
      </c>
      <c r="H455" s="1" t="n"/>
    </row>
    <row r="456">
      <c r="A456" s="1" t="n"/>
      <c r="B456" s="33" t="n"/>
      <c r="C456" s="33" t="n"/>
      <c r="D456" s="36" t="n"/>
      <c r="E456" s="19">
        <f>IF(C456="","",IFERROR(INDEX(Materials!$C$6:$C$205,MATCH(C456,Materials!$B$6:$B$205,0))&amp;"","Add it to Materials"))</f>
        <v/>
      </c>
      <c r="F456" s="22">
        <f>IF(OR(C456="",E456="Add it to Materials"),"",N(D456)*INDEX(Materials!$F$6:$F$205,MATCH(C456,Materials!$B$6:$B$205,0)))</f>
        <v/>
      </c>
      <c r="G456" s="39">
        <f>IF(OR(B456="",C456=""),"",N(D456)*SUMIFS(Orders!$W$6:$W$1005,Orders!$D$6:$D$1005,B456))</f>
        <v/>
      </c>
      <c r="H456" s="1" t="n"/>
    </row>
    <row r="457">
      <c r="A457" s="1" t="n"/>
      <c r="B457" s="33" t="n"/>
      <c r="C457" s="33" t="n"/>
      <c r="D457" s="36" t="n"/>
      <c r="E457" s="19">
        <f>IF(C457="","",IFERROR(INDEX(Materials!$C$6:$C$205,MATCH(C457,Materials!$B$6:$B$205,0))&amp;"","Add it to Materials"))</f>
        <v/>
      </c>
      <c r="F457" s="22">
        <f>IF(OR(C457="",E457="Add it to Materials"),"",N(D457)*INDEX(Materials!$F$6:$F$205,MATCH(C457,Materials!$B$6:$B$205,0)))</f>
        <v/>
      </c>
      <c r="G457" s="39">
        <f>IF(OR(B457="",C457=""),"",N(D457)*SUMIFS(Orders!$W$6:$W$1005,Orders!$D$6:$D$1005,B457))</f>
        <v/>
      </c>
      <c r="H457" s="1" t="n"/>
    </row>
    <row r="458">
      <c r="A458" s="1" t="n"/>
      <c r="B458" s="33" t="n"/>
      <c r="C458" s="33" t="n"/>
      <c r="D458" s="36" t="n"/>
      <c r="E458" s="19">
        <f>IF(C458="","",IFERROR(INDEX(Materials!$C$6:$C$205,MATCH(C458,Materials!$B$6:$B$205,0))&amp;"","Add it to Materials"))</f>
        <v/>
      </c>
      <c r="F458" s="22">
        <f>IF(OR(C458="",E458="Add it to Materials"),"",N(D458)*INDEX(Materials!$F$6:$F$205,MATCH(C458,Materials!$B$6:$B$205,0)))</f>
        <v/>
      </c>
      <c r="G458" s="39">
        <f>IF(OR(B458="",C458=""),"",N(D458)*SUMIFS(Orders!$W$6:$W$1005,Orders!$D$6:$D$1005,B458))</f>
        <v/>
      </c>
      <c r="H458" s="1" t="n"/>
    </row>
    <row r="459">
      <c r="A459" s="1" t="n"/>
      <c r="B459" s="33" t="n"/>
      <c r="C459" s="33" t="n"/>
      <c r="D459" s="36" t="n"/>
      <c r="E459" s="19">
        <f>IF(C459="","",IFERROR(INDEX(Materials!$C$6:$C$205,MATCH(C459,Materials!$B$6:$B$205,0))&amp;"","Add it to Materials"))</f>
        <v/>
      </c>
      <c r="F459" s="22">
        <f>IF(OR(C459="",E459="Add it to Materials"),"",N(D459)*INDEX(Materials!$F$6:$F$205,MATCH(C459,Materials!$B$6:$B$205,0)))</f>
        <v/>
      </c>
      <c r="G459" s="39">
        <f>IF(OR(B459="",C459=""),"",N(D459)*SUMIFS(Orders!$W$6:$W$1005,Orders!$D$6:$D$1005,B459))</f>
        <v/>
      </c>
      <c r="H459" s="1" t="n"/>
    </row>
    <row r="460">
      <c r="A460" s="1" t="n"/>
      <c r="B460" s="33" t="n"/>
      <c r="C460" s="33" t="n"/>
      <c r="D460" s="36" t="n"/>
      <c r="E460" s="19">
        <f>IF(C460="","",IFERROR(INDEX(Materials!$C$6:$C$205,MATCH(C460,Materials!$B$6:$B$205,0))&amp;"","Add it to Materials"))</f>
        <v/>
      </c>
      <c r="F460" s="22">
        <f>IF(OR(C460="",E460="Add it to Materials"),"",N(D460)*INDEX(Materials!$F$6:$F$205,MATCH(C460,Materials!$B$6:$B$205,0)))</f>
        <v/>
      </c>
      <c r="G460" s="39">
        <f>IF(OR(B460="",C460=""),"",N(D460)*SUMIFS(Orders!$W$6:$W$1005,Orders!$D$6:$D$1005,B460))</f>
        <v/>
      </c>
      <c r="H460" s="1" t="n"/>
    </row>
    <row r="461">
      <c r="A461" s="1" t="n"/>
      <c r="B461" s="33" t="n"/>
      <c r="C461" s="33" t="n"/>
      <c r="D461" s="36" t="n"/>
      <c r="E461" s="19">
        <f>IF(C461="","",IFERROR(INDEX(Materials!$C$6:$C$205,MATCH(C461,Materials!$B$6:$B$205,0))&amp;"","Add it to Materials"))</f>
        <v/>
      </c>
      <c r="F461" s="22">
        <f>IF(OR(C461="",E461="Add it to Materials"),"",N(D461)*INDEX(Materials!$F$6:$F$205,MATCH(C461,Materials!$B$6:$B$205,0)))</f>
        <v/>
      </c>
      <c r="G461" s="39">
        <f>IF(OR(B461="",C461=""),"",N(D461)*SUMIFS(Orders!$W$6:$W$1005,Orders!$D$6:$D$1005,B461))</f>
        <v/>
      </c>
      <c r="H461" s="1" t="n"/>
    </row>
    <row r="462">
      <c r="A462" s="1" t="n"/>
      <c r="B462" s="33" t="n"/>
      <c r="C462" s="33" t="n"/>
      <c r="D462" s="36" t="n"/>
      <c r="E462" s="19">
        <f>IF(C462="","",IFERROR(INDEX(Materials!$C$6:$C$205,MATCH(C462,Materials!$B$6:$B$205,0))&amp;"","Add it to Materials"))</f>
        <v/>
      </c>
      <c r="F462" s="22">
        <f>IF(OR(C462="",E462="Add it to Materials"),"",N(D462)*INDEX(Materials!$F$6:$F$205,MATCH(C462,Materials!$B$6:$B$205,0)))</f>
        <v/>
      </c>
      <c r="G462" s="39">
        <f>IF(OR(B462="",C462=""),"",N(D462)*SUMIFS(Orders!$W$6:$W$1005,Orders!$D$6:$D$1005,B462))</f>
        <v/>
      </c>
      <c r="H462" s="1" t="n"/>
    </row>
    <row r="463">
      <c r="A463" s="1" t="n"/>
      <c r="B463" s="33" t="n"/>
      <c r="C463" s="33" t="n"/>
      <c r="D463" s="36" t="n"/>
      <c r="E463" s="19">
        <f>IF(C463="","",IFERROR(INDEX(Materials!$C$6:$C$205,MATCH(C463,Materials!$B$6:$B$205,0))&amp;"","Add it to Materials"))</f>
        <v/>
      </c>
      <c r="F463" s="22">
        <f>IF(OR(C463="",E463="Add it to Materials"),"",N(D463)*INDEX(Materials!$F$6:$F$205,MATCH(C463,Materials!$B$6:$B$205,0)))</f>
        <v/>
      </c>
      <c r="G463" s="39">
        <f>IF(OR(B463="",C463=""),"",N(D463)*SUMIFS(Orders!$W$6:$W$1005,Orders!$D$6:$D$1005,B463))</f>
        <v/>
      </c>
      <c r="H463" s="1" t="n"/>
    </row>
    <row r="464">
      <c r="A464" s="1" t="n"/>
      <c r="B464" s="33" t="n"/>
      <c r="C464" s="33" t="n"/>
      <c r="D464" s="36" t="n"/>
      <c r="E464" s="19">
        <f>IF(C464="","",IFERROR(INDEX(Materials!$C$6:$C$205,MATCH(C464,Materials!$B$6:$B$205,0))&amp;"","Add it to Materials"))</f>
        <v/>
      </c>
      <c r="F464" s="22">
        <f>IF(OR(C464="",E464="Add it to Materials"),"",N(D464)*INDEX(Materials!$F$6:$F$205,MATCH(C464,Materials!$B$6:$B$205,0)))</f>
        <v/>
      </c>
      <c r="G464" s="39">
        <f>IF(OR(B464="",C464=""),"",N(D464)*SUMIFS(Orders!$W$6:$W$1005,Orders!$D$6:$D$1005,B464))</f>
        <v/>
      </c>
      <c r="H464" s="1" t="n"/>
    </row>
    <row r="465">
      <c r="A465" s="1" t="n"/>
      <c r="B465" s="33" t="n"/>
      <c r="C465" s="33" t="n"/>
      <c r="D465" s="36" t="n"/>
      <c r="E465" s="19">
        <f>IF(C465="","",IFERROR(INDEX(Materials!$C$6:$C$205,MATCH(C465,Materials!$B$6:$B$205,0))&amp;"","Add it to Materials"))</f>
        <v/>
      </c>
      <c r="F465" s="22">
        <f>IF(OR(C465="",E465="Add it to Materials"),"",N(D465)*INDEX(Materials!$F$6:$F$205,MATCH(C465,Materials!$B$6:$B$205,0)))</f>
        <v/>
      </c>
      <c r="G465" s="39">
        <f>IF(OR(B465="",C465=""),"",N(D465)*SUMIFS(Orders!$W$6:$W$1005,Orders!$D$6:$D$1005,B465))</f>
        <v/>
      </c>
      <c r="H465" s="1" t="n"/>
    </row>
    <row r="466">
      <c r="A466" s="1" t="n"/>
      <c r="B466" s="33" t="n"/>
      <c r="C466" s="33" t="n"/>
      <c r="D466" s="36" t="n"/>
      <c r="E466" s="19">
        <f>IF(C466="","",IFERROR(INDEX(Materials!$C$6:$C$205,MATCH(C466,Materials!$B$6:$B$205,0))&amp;"","Add it to Materials"))</f>
        <v/>
      </c>
      <c r="F466" s="22">
        <f>IF(OR(C466="",E466="Add it to Materials"),"",N(D466)*INDEX(Materials!$F$6:$F$205,MATCH(C466,Materials!$B$6:$B$205,0)))</f>
        <v/>
      </c>
      <c r="G466" s="39">
        <f>IF(OR(B466="",C466=""),"",N(D466)*SUMIFS(Orders!$W$6:$W$1005,Orders!$D$6:$D$1005,B466))</f>
        <v/>
      </c>
      <c r="H466" s="1" t="n"/>
    </row>
    <row r="467">
      <c r="A467" s="1" t="n"/>
      <c r="B467" s="33" t="n"/>
      <c r="C467" s="33" t="n"/>
      <c r="D467" s="36" t="n"/>
      <c r="E467" s="19">
        <f>IF(C467="","",IFERROR(INDEX(Materials!$C$6:$C$205,MATCH(C467,Materials!$B$6:$B$205,0))&amp;"","Add it to Materials"))</f>
        <v/>
      </c>
      <c r="F467" s="22">
        <f>IF(OR(C467="",E467="Add it to Materials"),"",N(D467)*INDEX(Materials!$F$6:$F$205,MATCH(C467,Materials!$B$6:$B$205,0)))</f>
        <v/>
      </c>
      <c r="G467" s="39">
        <f>IF(OR(B467="",C467=""),"",N(D467)*SUMIFS(Orders!$W$6:$W$1005,Orders!$D$6:$D$1005,B467))</f>
        <v/>
      </c>
      <c r="H467" s="1" t="n"/>
    </row>
    <row r="468">
      <c r="A468" s="1" t="n"/>
      <c r="B468" s="33" t="n"/>
      <c r="C468" s="33" t="n"/>
      <c r="D468" s="36" t="n"/>
      <c r="E468" s="19">
        <f>IF(C468="","",IFERROR(INDEX(Materials!$C$6:$C$205,MATCH(C468,Materials!$B$6:$B$205,0))&amp;"","Add it to Materials"))</f>
        <v/>
      </c>
      <c r="F468" s="22">
        <f>IF(OR(C468="",E468="Add it to Materials"),"",N(D468)*INDEX(Materials!$F$6:$F$205,MATCH(C468,Materials!$B$6:$B$205,0)))</f>
        <v/>
      </c>
      <c r="G468" s="39">
        <f>IF(OR(B468="",C468=""),"",N(D468)*SUMIFS(Orders!$W$6:$W$1005,Orders!$D$6:$D$1005,B468))</f>
        <v/>
      </c>
      <c r="H468" s="1" t="n"/>
    </row>
    <row r="469">
      <c r="A469" s="1" t="n"/>
      <c r="B469" s="33" t="n"/>
      <c r="C469" s="33" t="n"/>
      <c r="D469" s="36" t="n"/>
      <c r="E469" s="19">
        <f>IF(C469="","",IFERROR(INDEX(Materials!$C$6:$C$205,MATCH(C469,Materials!$B$6:$B$205,0))&amp;"","Add it to Materials"))</f>
        <v/>
      </c>
      <c r="F469" s="22">
        <f>IF(OR(C469="",E469="Add it to Materials"),"",N(D469)*INDEX(Materials!$F$6:$F$205,MATCH(C469,Materials!$B$6:$B$205,0)))</f>
        <v/>
      </c>
      <c r="G469" s="39">
        <f>IF(OR(B469="",C469=""),"",N(D469)*SUMIFS(Orders!$W$6:$W$1005,Orders!$D$6:$D$1005,B469))</f>
        <v/>
      </c>
      <c r="H469" s="1" t="n"/>
    </row>
    <row r="470">
      <c r="A470" s="1" t="n"/>
      <c r="B470" s="33" t="n"/>
      <c r="C470" s="33" t="n"/>
      <c r="D470" s="36" t="n"/>
      <c r="E470" s="19">
        <f>IF(C470="","",IFERROR(INDEX(Materials!$C$6:$C$205,MATCH(C470,Materials!$B$6:$B$205,0))&amp;"","Add it to Materials"))</f>
        <v/>
      </c>
      <c r="F470" s="22">
        <f>IF(OR(C470="",E470="Add it to Materials"),"",N(D470)*INDEX(Materials!$F$6:$F$205,MATCH(C470,Materials!$B$6:$B$205,0)))</f>
        <v/>
      </c>
      <c r="G470" s="39">
        <f>IF(OR(B470="",C470=""),"",N(D470)*SUMIFS(Orders!$W$6:$W$1005,Orders!$D$6:$D$1005,B470))</f>
        <v/>
      </c>
      <c r="H470" s="1" t="n"/>
    </row>
    <row r="471">
      <c r="A471" s="1" t="n"/>
      <c r="B471" s="33" t="n"/>
      <c r="C471" s="33" t="n"/>
      <c r="D471" s="36" t="n"/>
      <c r="E471" s="19">
        <f>IF(C471="","",IFERROR(INDEX(Materials!$C$6:$C$205,MATCH(C471,Materials!$B$6:$B$205,0))&amp;"","Add it to Materials"))</f>
        <v/>
      </c>
      <c r="F471" s="22">
        <f>IF(OR(C471="",E471="Add it to Materials"),"",N(D471)*INDEX(Materials!$F$6:$F$205,MATCH(C471,Materials!$B$6:$B$205,0)))</f>
        <v/>
      </c>
      <c r="G471" s="39">
        <f>IF(OR(B471="",C471=""),"",N(D471)*SUMIFS(Orders!$W$6:$W$1005,Orders!$D$6:$D$1005,B471))</f>
        <v/>
      </c>
      <c r="H471" s="1" t="n"/>
    </row>
    <row r="472">
      <c r="A472" s="1" t="n"/>
      <c r="B472" s="33" t="n"/>
      <c r="C472" s="33" t="n"/>
      <c r="D472" s="36" t="n"/>
      <c r="E472" s="19">
        <f>IF(C472="","",IFERROR(INDEX(Materials!$C$6:$C$205,MATCH(C472,Materials!$B$6:$B$205,0))&amp;"","Add it to Materials"))</f>
        <v/>
      </c>
      <c r="F472" s="22">
        <f>IF(OR(C472="",E472="Add it to Materials"),"",N(D472)*INDEX(Materials!$F$6:$F$205,MATCH(C472,Materials!$B$6:$B$205,0)))</f>
        <v/>
      </c>
      <c r="G472" s="39">
        <f>IF(OR(B472="",C472=""),"",N(D472)*SUMIFS(Orders!$W$6:$W$1005,Orders!$D$6:$D$1005,B472))</f>
        <v/>
      </c>
      <c r="H472" s="1" t="n"/>
    </row>
    <row r="473">
      <c r="A473" s="1" t="n"/>
      <c r="B473" s="33" t="n"/>
      <c r="C473" s="33" t="n"/>
      <c r="D473" s="36" t="n"/>
      <c r="E473" s="19">
        <f>IF(C473="","",IFERROR(INDEX(Materials!$C$6:$C$205,MATCH(C473,Materials!$B$6:$B$205,0))&amp;"","Add it to Materials"))</f>
        <v/>
      </c>
      <c r="F473" s="22">
        <f>IF(OR(C473="",E473="Add it to Materials"),"",N(D473)*INDEX(Materials!$F$6:$F$205,MATCH(C473,Materials!$B$6:$B$205,0)))</f>
        <v/>
      </c>
      <c r="G473" s="39">
        <f>IF(OR(B473="",C473=""),"",N(D473)*SUMIFS(Orders!$W$6:$W$1005,Orders!$D$6:$D$1005,B473))</f>
        <v/>
      </c>
      <c r="H473" s="1" t="n"/>
    </row>
    <row r="474">
      <c r="A474" s="1" t="n"/>
      <c r="B474" s="33" t="n"/>
      <c r="C474" s="33" t="n"/>
      <c r="D474" s="36" t="n"/>
      <c r="E474" s="19">
        <f>IF(C474="","",IFERROR(INDEX(Materials!$C$6:$C$205,MATCH(C474,Materials!$B$6:$B$205,0))&amp;"","Add it to Materials"))</f>
        <v/>
      </c>
      <c r="F474" s="22">
        <f>IF(OR(C474="",E474="Add it to Materials"),"",N(D474)*INDEX(Materials!$F$6:$F$205,MATCH(C474,Materials!$B$6:$B$205,0)))</f>
        <v/>
      </c>
      <c r="G474" s="39">
        <f>IF(OR(B474="",C474=""),"",N(D474)*SUMIFS(Orders!$W$6:$W$1005,Orders!$D$6:$D$1005,B474))</f>
        <v/>
      </c>
      <c r="H474" s="1" t="n"/>
    </row>
    <row r="475">
      <c r="A475" s="1" t="n"/>
      <c r="B475" s="33" t="n"/>
      <c r="C475" s="33" t="n"/>
      <c r="D475" s="36" t="n"/>
      <c r="E475" s="19">
        <f>IF(C475="","",IFERROR(INDEX(Materials!$C$6:$C$205,MATCH(C475,Materials!$B$6:$B$205,0))&amp;"","Add it to Materials"))</f>
        <v/>
      </c>
      <c r="F475" s="22">
        <f>IF(OR(C475="",E475="Add it to Materials"),"",N(D475)*INDEX(Materials!$F$6:$F$205,MATCH(C475,Materials!$B$6:$B$205,0)))</f>
        <v/>
      </c>
      <c r="G475" s="39">
        <f>IF(OR(B475="",C475=""),"",N(D475)*SUMIFS(Orders!$W$6:$W$1005,Orders!$D$6:$D$1005,B475))</f>
        <v/>
      </c>
      <c r="H475" s="1" t="n"/>
    </row>
    <row r="476">
      <c r="A476" s="1" t="n"/>
      <c r="B476" s="33" t="n"/>
      <c r="C476" s="33" t="n"/>
      <c r="D476" s="36" t="n"/>
      <c r="E476" s="19">
        <f>IF(C476="","",IFERROR(INDEX(Materials!$C$6:$C$205,MATCH(C476,Materials!$B$6:$B$205,0))&amp;"","Add it to Materials"))</f>
        <v/>
      </c>
      <c r="F476" s="22">
        <f>IF(OR(C476="",E476="Add it to Materials"),"",N(D476)*INDEX(Materials!$F$6:$F$205,MATCH(C476,Materials!$B$6:$B$205,0)))</f>
        <v/>
      </c>
      <c r="G476" s="39">
        <f>IF(OR(B476="",C476=""),"",N(D476)*SUMIFS(Orders!$W$6:$W$1005,Orders!$D$6:$D$1005,B476))</f>
        <v/>
      </c>
      <c r="H476" s="1" t="n"/>
    </row>
    <row r="477">
      <c r="A477" s="1" t="n"/>
      <c r="B477" s="33" t="n"/>
      <c r="C477" s="33" t="n"/>
      <c r="D477" s="36" t="n"/>
      <c r="E477" s="19">
        <f>IF(C477="","",IFERROR(INDEX(Materials!$C$6:$C$205,MATCH(C477,Materials!$B$6:$B$205,0))&amp;"","Add it to Materials"))</f>
        <v/>
      </c>
      <c r="F477" s="22">
        <f>IF(OR(C477="",E477="Add it to Materials"),"",N(D477)*INDEX(Materials!$F$6:$F$205,MATCH(C477,Materials!$B$6:$B$205,0)))</f>
        <v/>
      </c>
      <c r="G477" s="39">
        <f>IF(OR(B477="",C477=""),"",N(D477)*SUMIFS(Orders!$W$6:$W$1005,Orders!$D$6:$D$1005,B477))</f>
        <v/>
      </c>
      <c r="H477" s="1" t="n"/>
    </row>
    <row r="478">
      <c r="A478" s="1" t="n"/>
      <c r="B478" s="33" t="n"/>
      <c r="C478" s="33" t="n"/>
      <c r="D478" s="36" t="n"/>
      <c r="E478" s="19">
        <f>IF(C478="","",IFERROR(INDEX(Materials!$C$6:$C$205,MATCH(C478,Materials!$B$6:$B$205,0))&amp;"","Add it to Materials"))</f>
        <v/>
      </c>
      <c r="F478" s="22">
        <f>IF(OR(C478="",E478="Add it to Materials"),"",N(D478)*INDEX(Materials!$F$6:$F$205,MATCH(C478,Materials!$B$6:$B$205,0)))</f>
        <v/>
      </c>
      <c r="G478" s="39">
        <f>IF(OR(B478="",C478=""),"",N(D478)*SUMIFS(Orders!$W$6:$W$1005,Orders!$D$6:$D$1005,B478))</f>
        <v/>
      </c>
      <c r="H478" s="1" t="n"/>
    </row>
    <row r="479">
      <c r="A479" s="1" t="n"/>
      <c r="B479" s="33" t="n"/>
      <c r="C479" s="33" t="n"/>
      <c r="D479" s="36" t="n"/>
      <c r="E479" s="19">
        <f>IF(C479="","",IFERROR(INDEX(Materials!$C$6:$C$205,MATCH(C479,Materials!$B$6:$B$205,0))&amp;"","Add it to Materials"))</f>
        <v/>
      </c>
      <c r="F479" s="22">
        <f>IF(OR(C479="",E479="Add it to Materials"),"",N(D479)*INDEX(Materials!$F$6:$F$205,MATCH(C479,Materials!$B$6:$B$205,0)))</f>
        <v/>
      </c>
      <c r="G479" s="39">
        <f>IF(OR(B479="",C479=""),"",N(D479)*SUMIFS(Orders!$W$6:$W$1005,Orders!$D$6:$D$1005,B479))</f>
        <v/>
      </c>
      <c r="H479" s="1" t="n"/>
    </row>
    <row r="480">
      <c r="A480" s="1" t="n"/>
      <c r="B480" s="33" t="n"/>
      <c r="C480" s="33" t="n"/>
      <c r="D480" s="36" t="n"/>
      <c r="E480" s="19">
        <f>IF(C480="","",IFERROR(INDEX(Materials!$C$6:$C$205,MATCH(C480,Materials!$B$6:$B$205,0))&amp;"","Add it to Materials"))</f>
        <v/>
      </c>
      <c r="F480" s="22">
        <f>IF(OR(C480="",E480="Add it to Materials"),"",N(D480)*INDEX(Materials!$F$6:$F$205,MATCH(C480,Materials!$B$6:$B$205,0)))</f>
        <v/>
      </c>
      <c r="G480" s="39">
        <f>IF(OR(B480="",C480=""),"",N(D480)*SUMIFS(Orders!$W$6:$W$1005,Orders!$D$6:$D$1005,B480))</f>
        <v/>
      </c>
      <c r="H480" s="1" t="n"/>
    </row>
    <row r="481">
      <c r="A481" s="1" t="n"/>
      <c r="B481" s="33" t="n"/>
      <c r="C481" s="33" t="n"/>
      <c r="D481" s="36" t="n"/>
      <c r="E481" s="19">
        <f>IF(C481="","",IFERROR(INDEX(Materials!$C$6:$C$205,MATCH(C481,Materials!$B$6:$B$205,0))&amp;"","Add it to Materials"))</f>
        <v/>
      </c>
      <c r="F481" s="22">
        <f>IF(OR(C481="",E481="Add it to Materials"),"",N(D481)*INDEX(Materials!$F$6:$F$205,MATCH(C481,Materials!$B$6:$B$205,0)))</f>
        <v/>
      </c>
      <c r="G481" s="39">
        <f>IF(OR(B481="",C481=""),"",N(D481)*SUMIFS(Orders!$W$6:$W$1005,Orders!$D$6:$D$1005,B481))</f>
        <v/>
      </c>
      <c r="H481" s="1" t="n"/>
    </row>
    <row r="482">
      <c r="A482" s="1" t="n"/>
      <c r="B482" s="33" t="n"/>
      <c r="C482" s="33" t="n"/>
      <c r="D482" s="36" t="n"/>
      <c r="E482" s="19">
        <f>IF(C482="","",IFERROR(INDEX(Materials!$C$6:$C$205,MATCH(C482,Materials!$B$6:$B$205,0))&amp;"","Add it to Materials"))</f>
        <v/>
      </c>
      <c r="F482" s="22">
        <f>IF(OR(C482="",E482="Add it to Materials"),"",N(D482)*INDEX(Materials!$F$6:$F$205,MATCH(C482,Materials!$B$6:$B$205,0)))</f>
        <v/>
      </c>
      <c r="G482" s="39">
        <f>IF(OR(B482="",C482=""),"",N(D482)*SUMIFS(Orders!$W$6:$W$1005,Orders!$D$6:$D$1005,B482))</f>
        <v/>
      </c>
      <c r="H482" s="1" t="n"/>
    </row>
    <row r="483">
      <c r="A483" s="1" t="n"/>
      <c r="B483" s="33" t="n"/>
      <c r="C483" s="33" t="n"/>
      <c r="D483" s="36" t="n"/>
      <c r="E483" s="19">
        <f>IF(C483="","",IFERROR(INDEX(Materials!$C$6:$C$205,MATCH(C483,Materials!$B$6:$B$205,0))&amp;"","Add it to Materials"))</f>
        <v/>
      </c>
      <c r="F483" s="22">
        <f>IF(OR(C483="",E483="Add it to Materials"),"",N(D483)*INDEX(Materials!$F$6:$F$205,MATCH(C483,Materials!$B$6:$B$205,0)))</f>
        <v/>
      </c>
      <c r="G483" s="39">
        <f>IF(OR(B483="",C483=""),"",N(D483)*SUMIFS(Orders!$W$6:$W$1005,Orders!$D$6:$D$1005,B483))</f>
        <v/>
      </c>
      <c r="H483" s="1" t="n"/>
    </row>
    <row r="484">
      <c r="A484" s="1" t="n"/>
      <c r="B484" s="33" t="n"/>
      <c r="C484" s="33" t="n"/>
      <c r="D484" s="36" t="n"/>
      <c r="E484" s="19">
        <f>IF(C484="","",IFERROR(INDEX(Materials!$C$6:$C$205,MATCH(C484,Materials!$B$6:$B$205,0))&amp;"","Add it to Materials"))</f>
        <v/>
      </c>
      <c r="F484" s="22">
        <f>IF(OR(C484="",E484="Add it to Materials"),"",N(D484)*INDEX(Materials!$F$6:$F$205,MATCH(C484,Materials!$B$6:$B$205,0)))</f>
        <v/>
      </c>
      <c r="G484" s="39">
        <f>IF(OR(B484="",C484=""),"",N(D484)*SUMIFS(Orders!$W$6:$W$1005,Orders!$D$6:$D$1005,B484))</f>
        <v/>
      </c>
      <c r="H484" s="1" t="n"/>
    </row>
    <row r="485">
      <c r="A485" s="1" t="n"/>
      <c r="B485" s="33" t="n"/>
      <c r="C485" s="33" t="n"/>
      <c r="D485" s="36" t="n"/>
      <c r="E485" s="19">
        <f>IF(C485="","",IFERROR(INDEX(Materials!$C$6:$C$205,MATCH(C485,Materials!$B$6:$B$205,0))&amp;"","Add it to Materials"))</f>
        <v/>
      </c>
      <c r="F485" s="22">
        <f>IF(OR(C485="",E485="Add it to Materials"),"",N(D485)*INDEX(Materials!$F$6:$F$205,MATCH(C485,Materials!$B$6:$B$205,0)))</f>
        <v/>
      </c>
      <c r="G485" s="39">
        <f>IF(OR(B485="",C485=""),"",N(D485)*SUMIFS(Orders!$W$6:$W$1005,Orders!$D$6:$D$1005,B485))</f>
        <v/>
      </c>
      <c r="H485" s="1" t="n"/>
    </row>
    <row r="486">
      <c r="A486" s="1" t="n"/>
      <c r="B486" s="33" t="n"/>
      <c r="C486" s="33" t="n"/>
      <c r="D486" s="36" t="n"/>
      <c r="E486" s="19">
        <f>IF(C486="","",IFERROR(INDEX(Materials!$C$6:$C$205,MATCH(C486,Materials!$B$6:$B$205,0))&amp;"","Add it to Materials"))</f>
        <v/>
      </c>
      <c r="F486" s="22">
        <f>IF(OR(C486="",E486="Add it to Materials"),"",N(D486)*INDEX(Materials!$F$6:$F$205,MATCH(C486,Materials!$B$6:$B$205,0)))</f>
        <v/>
      </c>
      <c r="G486" s="39">
        <f>IF(OR(B486="",C486=""),"",N(D486)*SUMIFS(Orders!$W$6:$W$1005,Orders!$D$6:$D$1005,B486))</f>
        <v/>
      </c>
      <c r="H486" s="1" t="n"/>
    </row>
    <row r="487">
      <c r="A487" s="1" t="n"/>
      <c r="B487" s="33" t="n"/>
      <c r="C487" s="33" t="n"/>
      <c r="D487" s="36" t="n"/>
      <c r="E487" s="19">
        <f>IF(C487="","",IFERROR(INDEX(Materials!$C$6:$C$205,MATCH(C487,Materials!$B$6:$B$205,0))&amp;"","Add it to Materials"))</f>
        <v/>
      </c>
      <c r="F487" s="22">
        <f>IF(OR(C487="",E487="Add it to Materials"),"",N(D487)*INDEX(Materials!$F$6:$F$205,MATCH(C487,Materials!$B$6:$B$205,0)))</f>
        <v/>
      </c>
      <c r="G487" s="39">
        <f>IF(OR(B487="",C487=""),"",N(D487)*SUMIFS(Orders!$W$6:$W$1005,Orders!$D$6:$D$1005,B487))</f>
        <v/>
      </c>
      <c r="H487" s="1" t="n"/>
    </row>
    <row r="488">
      <c r="A488" s="1" t="n"/>
      <c r="B488" s="33" t="n"/>
      <c r="C488" s="33" t="n"/>
      <c r="D488" s="36" t="n"/>
      <c r="E488" s="19">
        <f>IF(C488="","",IFERROR(INDEX(Materials!$C$6:$C$205,MATCH(C488,Materials!$B$6:$B$205,0))&amp;"","Add it to Materials"))</f>
        <v/>
      </c>
      <c r="F488" s="22">
        <f>IF(OR(C488="",E488="Add it to Materials"),"",N(D488)*INDEX(Materials!$F$6:$F$205,MATCH(C488,Materials!$B$6:$B$205,0)))</f>
        <v/>
      </c>
      <c r="G488" s="39">
        <f>IF(OR(B488="",C488=""),"",N(D488)*SUMIFS(Orders!$W$6:$W$1005,Orders!$D$6:$D$1005,B488))</f>
        <v/>
      </c>
      <c r="H488" s="1" t="n"/>
    </row>
    <row r="489">
      <c r="A489" s="1" t="n"/>
      <c r="B489" s="33" t="n"/>
      <c r="C489" s="33" t="n"/>
      <c r="D489" s="36" t="n"/>
      <c r="E489" s="19">
        <f>IF(C489="","",IFERROR(INDEX(Materials!$C$6:$C$205,MATCH(C489,Materials!$B$6:$B$205,0))&amp;"","Add it to Materials"))</f>
        <v/>
      </c>
      <c r="F489" s="22">
        <f>IF(OR(C489="",E489="Add it to Materials"),"",N(D489)*INDEX(Materials!$F$6:$F$205,MATCH(C489,Materials!$B$6:$B$205,0)))</f>
        <v/>
      </c>
      <c r="G489" s="39">
        <f>IF(OR(B489="",C489=""),"",N(D489)*SUMIFS(Orders!$W$6:$W$1005,Orders!$D$6:$D$1005,B489))</f>
        <v/>
      </c>
      <c r="H489" s="1" t="n"/>
    </row>
    <row r="490">
      <c r="A490" s="1" t="n"/>
      <c r="B490" s="33" t="n"/>
      <c r="C490" s="33" t="n"/>
      <c r="D490" s="36" t="n"/>
      <c r="E490" s="19">
        <f>IF(C490="","",IFERROR(INDEX(Materials!$C$6:$C$205,MATCH(C490,Materials!$B$6:$B$205,0))&amp;"","Add it to Materials"))</f>
        <v/>
      </c>
      <c r="F490" s="22">
        <f>IF(OR(C490="",E490="Add it to Materials"),"",N(D490)*INDEX(Materials!$F$6:$F$205,MATCH(C490,Materials!$B$6:$B$205,0)))</f>
        <v/>
      </c>
      <c r="G490" s="39">
        <f>IF(OR(B490="",C490=""),"",N(D490)*SUMIFS(Orders!$W$6:$W$1005,Orders!$D$6:$D$1005,B490))</f>
        <v/>
      </c>
      <c r="H490" s="1" t="n"/>
    </row>
    <row r="491">
      <c r="A491" s="1" t="n"/>
      <c r="B491" s="33" t="n"/>
      <c r="C491" s="33" t="n"/>
      <c r="D491" s="36" t="n"/>
      <c r="E491" s="19">
        <f>IF(C491="","",IFERROR(INDEX(Materials!$C$6:$C$205,MATCH(C491,Materials!$B$6:$B$205,0))&amp;"","Add it to Materials"))</f>
        <v/>
      </c>
      <c r="F491" s="22">
        <f>IF(OR(C491="",E491="Add it to Materials"),"",N(D491)*INDEX(Materials!$F$6:$F$205,MATCH(C491,Materials!$B$6:$B$205,0)))</f>
        <v/>
      </c>
      <c r="G491" s="39">
        <f>IF(OR(B491="",C491=""),"",N(D491)*SUMIFS(Orders!$W$6:$W$1005,Orders!$D$6:$D$1005,B491))</f>
        <v/>
      </c>
      <c r="H491" s="1" t="n"/>
    </row>
    <row r="492">
      <c r="A492" s="1" t="n"/>
      <c r="B492" s="33" t="n"/>
      <c r="C492" s="33" t="n"/>
      <c r="D492" s="36" t="n"/>
      <c r="E492" s="19">
        <f>IF(C492="","",IFERROR(INDEX(Materials!$C$6:$C$205,MATCH(C492,Materials!$B$6:$B$205,0))&amp;"","Add it to Materials"))</f>
        <v/>
      </c>
      <c r="F492" s="22">
        <f>IF(OR(C492="",E492="Add it to Materials"),"",N(D492)*INDEX(Materials!$F$6:$F$205,MATCH(C492,Materials!$B$6:$B$205,0)))</f>
        <v/>
      </c>
      <c r="G492" s="39">
        <f>IF(OR(B492="",C492=""),"",N(D492)*SUMIFS(Orders!$W$6:$W$1005,Orders!$D$6:$D$1005,B492))</f>
        <v/>
      </c>
      <c r="H492" s="1" t="n"/>
    </row>
    <row r="493">
      <c r="A493" s="1" t="n"/>
      <c r="B493" s="33" t="n"/>
      <c r="C493" s="33" t="n"/>
      <c r="D493" s="36" t="n"/>
      <c r="E493" s="19">
        <f>IF(C493="","",IFERROR(INDEX(Materials!$C$6:$C$205,MATCH(C493,Materials!$B$6:$B$205,0))&amp;"","Add it to Materials"))</f>
        <v/>
      </c>
      <c r="F493" s="22">
        <f>IF(OR(C493="",E493="Add it to Materials"),"",N(D493)*INDEX(Materials!$F$6:$F$205,MATCH(C493,Materials!$B$6:$B$205,0)))</f>
        <v/>
      </c>
      <c r="G493" s="39">
        <f>IF(OR(B493="",C493=""),"",N(D493)*SUMIFS(Orders!$W$6:$W$1005,Orders!$D$6:$D$1005,B493))</f>
        <v/>
      </c>
      <c r="H493" s="1" t="n"/>
    </row>
    <row r="494">
      <c r="A494" s="1" t="n"/>
      <c r="B494" s="33" t="n"/>
      <c r="C494" s="33" t="n"/>
      <c r="D494" s="36" t="n"/>
      <c r="E494" s="19">
        <f>IF(C494="","",IFERROR(INDEX(Materials!$C$6:$C$205,MATCH(C494,Materials!$B$6:$B$205,0))&amp;"","Add it to Materials"))</f>
        <v/>
      </c>
      <c r="F494" s="22">
        <f>IF(OR(C494="",E494="Add it to Materials"),"",N(D494)*INDEX(Materials!$F$6:$F$205,MATCH(C494,Materials!$B$6:$B$205,0)))</f>
        <v/>
      </c>
      <c r="G494" s="39">
        <f>IF(OR(B494="",C494=""),"",N(D494)*SUMIFS(Orders!$W$6:$W$1005,Orders!$D$6:$D$1005,B494))</f>
        <v/>
      </c>
      <c r="H494" s="1" t="n"/>
    </row>
    <row r="495">
      <c r="A495" s="1" t="n"/>
      <c r="B495" s="33" t="n"/>
      <c r="C495" s="33" t="n"/>
      <c r="D495" s="36" t="n"/>
      <c r="E495" s="19">
        <f>IF(C495="","",IFERROR(INDEX(Materials!$C$6:$C$205,MATCH(C495,Materials!$B$6:$B$205,0))&amp;"","Add it to Materials"))</f>
        <v/>
      </c>
      <c r="F495" s="22">
        <f>IF(OR(C495="",E495="Add it to Materials"),"",N(D495)*INDEX(Materials!$F$6:$F$205,MATCH(C495,Materials!$B$6:$B$205,0)))</f>
        <v/>
      </c>
      <c r="G495" s="39">
        <f>IF(OR(B495="",C495=""),"",N(D495)*SUMIFS(Orders!$W$6:$W$1005,Orders!$D$6:$D$1005,B495))</f>
        <v/>
      </c>
      <c r="H495" s="1" t="n"/>
    </row>
    <row r="496">
      <c r="A496" s="1" t="n"/>
      <c r="B496" s="33" t="n"/>
      <c r="C496" s="33" t="n"/>
      <c r="D496" s="36" t="n"/>
      <c r="E496" s="19">
        <f>IF(C496="","",IFERROR(INDEX(Materials!$C$6:$C$205,MATCH(C496,Materials!$B$6:$B$205,0))&amp;"","Add it to Materials"))</f>
        <v/>
      </c>
      <c r="F496" s="22">
        <f>IF(OR(C496="",E496="Add it to Materials"),"",N(D496)*INDEX(Materials!$F$6:$F$205,MATCH(C496,Materials!$B$6:$B$205,0)))</f>
        <v/>
      </c>
      <c r="G496" s="39">
        <f>IF(OR(B496="",C496=""),"",N(D496)*SUMIFS(Orders!$W$6:$W$1005,Orders!$D$6:$D$1005,B496))</f>
        <v/>
      </c>
      <c r="H496" s="1" t="n"/>
    </row>
    <row r="497">
      <c r="A497" s="1" t="n"/>
      <c r="B497" s="33" t="n"/>
      <c r="C497" s="33" t="n"/>
      <c r="D497" s="36" t="n"/>
      <c r="E497" s="19">
        <f>IF(C497="","",IFERROR(INDEX(Materials!$C$6:$C$205,MATCH(C497,Materials!$B$6:$B$205,0))&amp;"","Add it to Materials"))</f>
        <v/>
      </c>
      <c r="F497" s="22">
        <f>IF(OR(C497="",E497="Add it to Materials"),"",N(D497)*INDEX(Materials!$F$6:$F$205,MATCH(C497,Materials!$B$6:$B$205,0)))</f>
        <v/>
      </c>
      <c r="G497" s="39">
        <f>IF(OR(B497="",C497=""),"",N(D497)*SUMIFS(Orders!$W$6:$W$1005,Orders!$D$6:$D$1005,B497))</f>
        <v/>
      </c>
      <c r="H497" s="1" t="n"/>
    </row>
    <row r="498">
      <c r="A498" s="1" t="n"/>
      <c r="B498" s="33" t="n"/>
      <c r="C498" s="33" t="n"/>
      <c r="D498" s="36" t="n"/>
      <c r="E498" s="19">
        <f>IF(C498="","",IFERROR(INDEX(Materials!$C$6:$C$205,MATCH(C498,Materials!$B$6:$B$205,0))&amp;"","Add it to Materials"))</f>
        <v/>
      </c>
      <c r="F498" s="22">
        <f>IF(OR(C498="",E498="Add it to Materials"),"",N(D498)*INDEX(Materials!$F$6:$F$205,MATCH(C498,Materials!$B$6:$B$205,0)))</f>
        <v/>
      </c>
      <c r="G498" s="39">
        <f>IF(OR(B498="",C498=""),"",N(D498)*SUMIFS(Orders!$W$6:$W$1005,Orders!$D$6:$D$1005,B498))</f>
        <v/>
      </c>
      <c r="H498" s="1" t="n"/>
    </row>
    <row r="499">
      <c r="A499" s="1" t="n"/>
      <c r="B499" s="33" t="n"/>
      <c r="C499" s="33" t="n"/>
      <c r="D499" s="36" t="n"/>
      <c r="E499" s="19">
        <f>IF(C499="","",IFERROR(INDEX(Materials!$C$6:$C$205,MATCH(C499,Materials!$B$6:$B$205,0))&amp;"","Add it to Materials"))</f>
        <v/>
      </c>
      <c r="F499" s="22">
        <f>IF(OR(C499="",E499="Add it to Materials"),"",N(D499)*INDEX(Materials!$F$6:$F$205,MATCH(C499,Materials!$B$6:$B$205,0)))</f>
        <v/>
      </c>
      <c r="G499" s="39">
        <f>IF(OR(B499="",C499=""),"",N(D499)*SUMIFS(Orders!$W$6:$W$1005,Orders!$D$6:$D$1005,B499))</f>
        <v/>
      </c>
      <c r="H499" s="1" t="n"/>
    </row>
    <row r="500">
      <c r="A500" s="1" t="n"/>
      <c r="B500" s="33" t="n"/>
      <c r="C500" s="33" t="n"/>
      <c r="D500" s="36" t="n"/>
      <c r="E500" s="19">
        <f>IF(C500="","",IFERROR(INDEX(Materials!$C$6:$C$205,MATCH(C500,Materials!$B$6:$B$205,0))&amp;"","Add it to Materials"))</f>
        <v/>
      </c>
      <c r="F500" s="22">
        <f>IF(OR(C500="",E500="Add it to Materials"),"",N(D500)*INDEX(Materials!$F$6:$F$205,MATCH(C500,Materials!$B$6:$B$205,0)))</f>
        <v/>
      </c>
      <c r="G500" s="39">
        <f>IF(OR(B500="",C500=""),"",N(D500)*SUMIFS(Orders!$W$6:$W$1005,Orders!$D$6:$D$1005,B500))</f>
        <v/>
      </c>
      <c r="H500" s="1" t="n"/>
    </row>
    <row r="501">
      <c r="A501" s="1" t="n"/>
      <c r="B501" s="33" t="n"/>
      <c r="C501" s="33" t="n"/>
      <c r="D501" s="36" t="n"/>
      <c r="E501" s="19">
        <f>IF(C501="","",IFERROR(INDEX(Materials!$C$6:$C$205,MATCH(C501,Materials!$B$6:$B$205,0))&amp;"","Add it to Materials"))</f>
        <v/>
      </c>
      <c r="F501" s="22">
        <f>IF(OR(C501="",E501="Add it to Materials"),"",N(D501)*INDEX(Materials!$F$6:$F$205,MATCH(C501,Materials!$B$6:$B$205,0)))</f>
        <v/>
      </c>
      <c r="G501" s="39">
        <f>IF(OR(B501="",C501=""),"",N(D501)*SUMIFS(Orders!$W$6:$W$1005,Orders!$D$6:$D$1005,B501))</f>
        <v/>
      </c>
      <c r="H501" s="1" t="n"/>
    </row>
    <row r="502">
      <c r="A502" s="1" t="n"/>
      <c r="B502" s="33" t="n"/>
      <c r="C502" s="33" t="n"/>
      <c r="D502" s="36" t="n"/>
      <c r="E502" s="19">
        <f>IF(C502="","",IFERROR(INDEX(Materials!$C$6:$C$205,MATCH(C502,Materials!$B$6:$B$205,0))&amp;"","Add it to Materials"))</f>
        <v/>
      </c>
      <c r="F502" s="22">
        <f>IF(OR(C502="",E502="Add it to Materials"),"",N(D502)*INDEX(Materials!$F$6:$F$205,MATCH(C502,Materials!$B$6:$B$205,0)))</f>
        <v/>
      </c>
      <c r="G502" s="39">
        <f>IF(OR(B502="",C502=""),"",N(D502)*SUMIFS(Orders!$W$6:$W$1005,Orders!$D$6:$D$1005,B502))</f>
        <v/>
      </c>
      <c r="H502" s="1" t="n"/>
    </row>
    <row r="503">
      <c r="A503" s="1" t="n"/>
      <c r="B503" s="33" t="n"/>
      <c r="C503" s="33" t="n"/>
      <c r="D503" s="36" t="n"/>
      <c r="E503" s="19">
        <f>IF(C503="","",IFERROR(INDEX(Materials!$C$6:$C$205,MATCH(C503,Materials!$B$6:$B$205,0))&amp;"","Add it to Materials"))</f>
        <v/>
      </c>
      <c r="F503" s="22">
        <f>IF(OR(C503="",E503="Add it to Materials"),"",N(D503)*INDEX(Materials!$F$6:$F$205,MATCH(C503,Materials!$B$6:$B$205,0)))</f>
        <v/>
      </c>
      <c r="G503" s="39">
        <f>IF(OR(B503="",C503=""),"",N(D503)*SUMIFS(Orders!$W$6:$W$1005,Orders!$D$6:$D$1005,B503))</f>
        <v/>
      </c>
      <c r="H503" s="1" t="n"/>
    </row>
    <row r="504">
      <c r="A504" s="1" t="n"/>
      <c r="B504" s="33" t="n"/>
      <c r="C504" s="33" t="n"/>
      <c r="D504" s="36" t="n"/>
      <c r="E504" s="19">
        <f>IF(C504="","",IFERROR(INDEX(Materials!$C$6:$C$205,MATCH(C504,Materials!$B$6:$B$205,0))&amp;"","Add it to Materials"))</f>
        <v/>
      </c>
      <c r="F504" s="22">
        <f>IF(OR(C504="",E504="Add it to Materials"),"",N(D504)*INDEX(Materials!$F$6:$F$205,MATCH(C504,Materials!$B$6:$B$205,0)))</f>
        <v/>
      </c>
      <c r="G504" s="39">
        <f>IF(OR(B504="",C504=""),"",N(D504)*SUMIFS(Orders!$W$6:$W$1005,Orders!$D$6:$D$1005,B504))</f>
        <v/>
      </c>
      <c r="H504" s="1" t="n"/>
    </row>
    <row r="505">
      <c r="A505" s="1" t="n"/>
      <c r="B505" s="33" t="n"/>
      <c r="C505" s="33" t="n"/>
      <c r="D505" s="36" t="n"/>
      <c r="E505" s="19">
        <f>IF(C505="","",IFERROR(INDEX(Materials!$C$6:$C$205,MATCH(C505,Materials!$B$6:$B$205,0))&amp;"","Add it to Materials"))</f>
        <v/>
      </c>
      <c r="F505" s="22">
        <f>IF(OR(C505="",E505="Add it to Materials"),"",N(D505)*INDEX(Materials!$F$6:$F$205,MATCH(C505,Materials!$B$6:$B$205,0)))</f>
        <v/>
      </c>
      <c r="G505" s="39">
        <f>IF(OR(B505="",C505=""),"",N(D505)*SUMIFS(Orders!$W$6:$W$1005,Orders!$D$6:$D$1005,B505))</f>
        <v/>
      </c>
      <c r="H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</row>
  </sheetData>
  <conditionalFormatting sqref="B6:B505">
    <cfRule type="expression" priority="1" dxfId="5">
      <formula>AND($B6&lt;&gt;"",$B6=$B5)</formula>
    </cfRule>
  </conditionalFormatting>
  <conditionalFormatting sqref="E6:E505">
    <cfRule type="expression" priority="2" dxfId="1">
      <formula>$E6="Add it to Materials"</formula>
    </cfRule>
  </conditionalFormatting>
  <dataValidations count="2">
    <dataValidation sqref="B6:B505" showDropDown="0" showInputMessage="0" showErrorMessage="1" allowBlank="1" type="list">
      <formula1>=Products!$B$6:$B$105</formula1>
    </dataValidation>
    <dataValidation sqref="C6:C505" showDropDown="0" showInputMessage="0" showErrorMessage="1" allowBlank="1" type="list">
      <formula1>=Materials!$B$6:$B$205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8" customWidth="1" min="3" max="3"/>
    <col width="10" customWidth="1" min="4" max="4"/>
    <col width="11" customWidth="1" min="5" max="5"/>
    <col width="11" customWidth="1" min="6" max="6"/>
    <col width="10" customWidth="1" min="7" max="7"/>
    <col width="13" customWidth="1" min="8" max="8"/>
    <col width="11" customWidth="1" min="9" max="9"/>
    <col width="2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Materials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What you buy to make your products, what you have, and what the open orders still need.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12" t="inlineStr">
        <is>
          <t>Material</t>
        </is>
      </c>
      <c r="C5" s="12" t="inlineStr">
        <is>
          <t>Unit</t>
        </is>
      </c>
      <c r="D5" s="12" t="inlineStr">
        <is>
          <t>Pack size</t>
        </is>
      </c>
      <c r="E5" s="12" t="inlineStr">
        <is>
          <t>Pack price</t>
        </is>
      </c>
      <c r="F5" s="12" t="inlineStr">
        <is>
          <t>Cost per unit</t>
        </is>
      </c>
      <c r="G5" s="12" t="inlineStr">
        <is>
          <t>In stock</t>
        </is>
      </c>
      <c r="H5" s="12" t="inlineStr">
        <is>
          <t>For open orders</t>
        </is>
      </c>
      <c r="I5" s="12" t="inlineStr">
        <is>
          <t>Short by</t>
        </is>
      </c>
      <c r="J5" s="12" t="inlineStr">
        <is>
          <t>Note</t>
        </is>
      </c>
      <c r="K5" s="1" t="n"/>
    </row>
    <row r="6">
      <c r="A6" s="1" t="n"/>
      <c r="B6" s="32" t="inlineStr">
        <is>
          <t>Soy wax</t>
        </is>
      </c>
      <c r="C6" s="36" t="inlineStr">
        <is>
          <t>lb</t>
        </is>
      </c>
      <c r="D6" s="40" t="n">
        <v>10</v>
      </c>
      <c r="E6" s="35" t="n">
        <v>32</v>
      </c>
      <c r="F6" s="41">
        <f>IF(B6="","",N(E6)/IF(N(D6)&gt;0,D6,1))</f>
        <v/>
      </c>
      <c r="G6" s="40" t="n">
        <v>45</v>
      </c>
      <c r="H6" s="39">
        <f>IF(B6="","",SUMIFS('Product materials'!$G$6:$G$505,'Product materials'!$C$6:$C$505,B6))</f>
        <v/>
      </c>
      <c r="I6" s="42">
        <f>IF(B6="","",IF(H6-N(G6)&gt;0,H6-N(G6),""))</f>
        <v/>
      </c>
      <c r="J6" s="33" t="n"/>
      <c r="K6" s="1" t="n"/>
    </row>
    <row r="7">
      <c r="A7" s="1" t="n"/>
      <c r="B7" s="32" t="inlineStr">
        <is>
          <t>Cotton wick</t>
        </is>
      </c>
      <c r="C7" s="36" t="inlineStr">
        <is>
          <t>each</t>
        </is>
      </c>
      <c r="D7" s="40" t="n">
        <v>100</v>
      </c>
      <c r="E7" s="35" t="n">
        <v>9.5</v>
      </c>
      <c r="F7" s="41">
        <f>IF(B7="","",N(E7)/IF(N(D7)&gt;0,D7,1))</f>
        <v/>
      </c>
      <c r="G7" s="40" t="n">
        <v>200</v>
      </c>
      <c r="H7" s="39">
        <f>IF(B7="","",SUMIFS('Product materials'!$G$6:$G$505,'Product materials'!$C$6:$C$505,B7))</f>
        <v/>
      </c>
      <c r="I7" s="42">
        <f>IF(B7="","",IF(H7-N(G7)&gt;0,H7-N(G7),""))</f>
        <v/>
      </c>
      <c r="J7" s="33" t="n"/>
      <c r="K7" s="1" t="n"/>
    </row>
    <row r="8">
      <c r="A8" s="1" t="n"/>
      <c r="B8" s="32" t="inlineStr">
        <is>
          <t>Jar 8 oz</t>
        </is>
      </c>
      <c r="C8" s="36" t="inlineStr">
        <is>
          <t>each</t>
        </is>
      </c>
      <c r="D8" s="40" t="n">
        <v>12</v>
      </c>
      <c r="E8" s="35" t="n">
        <v>18</v>
      </c>
      <c r="F8" s="41">
        <f>IF(B8="","",N(E8)/IF(N(D8)&gt;0,D8,1))</f>
        <v/>
      </c>
      <c r="G8" s="40" t="n">
        <v>24</v>
      </c>
      <c r="H8" s="39">
        <f>IF(B8="","",SUMIFS('Product materials'!$G$6:$G$505,'Product materials'!$C$6:$C$505,B8))</f>
        <v/>
      </c>
      <c r="I8" s="42">
        <f>IF(B8="","",IF(H8-N(G8)&gt;0,H8-N(G8),""))</f>
        <v/>
      </c>
      <c r="J8" s="33" t="n"/>
      <c r="K8" s="1" t="n"/>
    </row>
    <row r="9">
      <c r="A9" s="1" t="n"/>
      <c r="B9" s="32" t="inlineStr">
        <is>
          <t>Jar 16 oz</t>
        </is>
      </c>
      <c r="C9" s="36" t="inlineStr">
        <is>
          <t>each</t>
        </is>
      </c>
      <c r="D9" s="40" t="n">
        <v>12</v>
      </c>
      <c r="E9" s="35" t="n">
        <v>26</v>
      </c>
      <c r="F9" s="41">
        <f>IF(B9="","",N(E9)/IF(N(D9)&gt;0,D9,1))</f>
        <v/>
      </c>
      <c r="G9" s="40" t="n">
        <v>4</v>
      </c>
      <c r="H9" s="39">
        <f>IF(B9="","",SUMIFS('Product materials'!$G$6:$G$505,'Product materials'!$C$6:$C$505,B9))</f>
        <v/>
      </c>
      <c r="I9" s="42">
        <f>IF(B9="","",IF(H9-N(G9)&gt;0,H9-N(G9),""))</f>
        <v/>
      </c>
      <c r="J9" s="33" t="n"/>
      <c r="K9" s="1" t="n"/>
    </row>
    <row r="10">
      <c r="A10" s="1" t="n"/>
      <c r="B10" s="32" t="inlineStr">
        <is>
          <t>Fragrance oil</t>
        </is>
      </c>
      <c r="C10" s="36" t="inlineStr">
        <is>
          <t>oz</t>
        </is>
      </c>
      <c r="D10" s="40" t="n">
        <v>16</v>
      </c>
      <c r="E10" s="35" t="n">
        <v>21</v>
      </c>
      <c r="F10" s="41">
        <f>IF(B10="","",N(E10)/IF(N(D10)&gt;0,D10,1))</f>
        <v/>
      </c>
      <c r="G10" s="40" t="n">
        <v>48</v>
      </c>
      <c r="H10" s="39">
        <f>IF(B10="","",SUMIFS('Product materials'!$G$6:$G$505,'Product materials'!$C$6:$C$505,B10))</f>
        <v/>
      </c>
      <c r="I10" s="42">
        <f>IF(B10="","",IF(H10-N(G10)&gt;0,H10-N(G10),""))</f>
        <v/>
      </c>
      <c r="J10" s="33" t="n"/>
      <c r="K10" s="1" t="n"/>
    </row>
    <row r="11">
      <c r="A11" s="1" t="n"/>
      <c r="B11" s="32" t="inlineStr">
        <is>
          <t>Label</t>
        </is>
      </c>
      <c r="C11" s="36" t="inlineStr">
        <is>
          <t>each</t>
        </is>
      </c>
      <c r="D11" s="40" t="n">
        <v>250</v>
      </c>
      <c r="E11" s="35" t="n">
        <v>25</v>
      </c>
      <c r="F11" s="41">
        <f>IF(B11="","",N(E11)/IF(N(D11)&gt;0,D11,1))</f>
        <v/>
      </c>
      <c r="G11" s="40" t="n">
        <v>250</v>
      </c>
      <c r="H11" s="39">
        <f>IF(B11="","",SUMIFS('Product materials'!$G$6:$G$505,'Product materials'!$C$6:$C$505,B11))</f>
        <v/>
      </c>
      <c r="I11" s="42">
        <f>IF(B11="","",IF(H11-N(G11)&gt;0,H11-N(G11),""))</f>
        <v/>
      </c>
      <c r="J11" s="33" t="n"/>
      <c r="K11" s="1" t="n"/>
    </row>
    <row r="12">
      <c r="A12" s="1" t="n"/>
      <c r="B12" s="32" t="inlineStr">
        <is>
          <t>Clamshell</t>
        </is>
      </c>
      <c r="C12" s="36" t="inlineStr">
        <is>
          <t>each</t>
        </is>
      </c>
      <c r="D12" s="40" t="n">
        <v>50</v>
      </c>
      <c r="E12" s="35" t="n">
        <v>12</v>
      </c>
      <c r="F12" s="41">
        <f>IF(B12="","",N(E12)/IF(N(D12)&gt;0,D12,1))</f>
        <v/>
      </c>
      <c r="G12" s="40" t="n">
        <v>30</v>
      </c>
      <c r="H12" s="39">
        <f>IF(B12="","",SUMIFS('Product materials'!$G$6:$G$505,'Product materials'!$C$6:$C$505,B12))</f>
        <v/>
      </c>
      <c r="I12" s="42">
        <f>IF(B12="","",IF(H12-N(G12)&gt;0,H12-N(G12),""))</f>
        <v/>
      </c>
      <c r="J12" s="33" t="n"/>
      <c r="K12" s="1" t="n"/>
    </row>
    <row r="13">
      <c r="A13" s="1" t="n"/>
      <c r="B13" s="32" t="inlineStr">
        <is>
          <t>Soap base</t>
        </is>
      </c>
      <c r="C13" s="36" t="inlineStr">
        <is>
          <t>lb</t>
        </is>
      </c>
      <c r="D13" s="40" t="n">
        <v>5</v>
      </c>
      <c r="E13" s="35" t="n">
        <v>22.5</v>
      </c>
      <c r="F13" s="41">
        <f>IF(B13="","",N(E13)/IF(N(D13)&gt;0,D13,1))</f>
        <v/>
      </c>
      <c r="G13" s="40" t="n">
        <v>6</v>
      </c>
      <c r="H13" s="39">
        <f>IF(B13="","",SUMIFS('Product materials'!$G$6:$G$505,'Product materials'!$C$6:$C$505,B13))</f>
        <v/>
      </c>
      <c r="I13" s="42">
        <f>IF(B13="","",IF(H13-N(G13)&gt;0,H13-N(G13),""))</f>
        <v/>
      </c>
      <c r="J13" s="33" t="n"/>
      <c r="K13" s="1" t="n"/>
    </row>
    <row r="14">
      <c r="A14" s="1" t="n"/>
      <c r="B14" s="32" t="inlineStr">
        <is>
          <t>Kraft wrap</t>
        </is>
      </c>
      <c r="C14" s="36" t="inlineStr">
        <is>
          <t>each</t>
        </is>
      </c>
      <c r="D14" s="40" t="n">
        <v>100</v>
      </c>
      <c r="E14" s="35" t="n">
        <v>8</v>
      </c>
      <c r="F14" s="41">
        <f>IF(B14="","",N(E14)/IF(N(D14)&gt;0,D14,1))</f>
        <v/>
      </c>
      <c r="G14" s="40" t="n">
        <v>70</v>
      </c>
      <c r="H14" s="39">
        <f>IF(B14="","",SUMIFS('Product materials'!$G$6:$G$505,'Product materials'!$C$6:$C$505,B14))</f>
        <v/>
      </c>
      <c r="I14" s="42">
        <f>IF(B14="","",IF(H14-N(G14)&gt;0,H14-N(G14),""))</f>
        <v/>
      </c>
      <c r="J14" s="33" t="n"/>
      <c r="K14" s="1" t="n"/>
    </row>
    <row r="15">
      <c r="A15" s="1" t="n"/>
      <c r="B15" s="32" t="inlineStr">
        <is>
          <t>Gift box</t>
        </is>
      </c>
      <c r="C15" s="36" t="inlineStr">
        <is>
          <t>each</t>
        </is>
      </c>
      <c r="D15" s="40" t="n">
        <v>25</v>
      </c>
      <c r="E15" s="35" t="n">
        <v>30</v>
      </c>
      <c r="F15" s="41">
        <f>IF(B15="","",N(E15)/IF(N(D15)&gt;0,D15,1))</f>
        <v/>
      </c>
      <c r="G15" s="40" t="n">
        <v>3</v>
      </c>
      <c r="H15" s="39">
        <f>IF(B15="","",SUMIFS('Product materials'!$G$6:$G$505,'Product materials'!$C$6:$C$505,B15))</f>
        <v/>
      </c>
      <c r="I15" s="42">
        <f>IF(B15="","",IF(H15-N(G15)&gt;0,H15-N(G15),""))</f>
        <v/>
      </c>
      <c r="J15" s="33" t="n"/>
      <c r="K15" s="1" t="n"/>
    </row>
    <row r="16">
      <c r="A16" s="1" t="n"/>
      <c r="B16" s="32" t="inlineStr">
        <is>
          <t>Tissue paper</t>
        </is>
      </c>
      <c r="C16" s="36" t="inlineStr">
        <is>
          <t>sheet</t>
        </is>
      </c>
      <c r="D16" s="40" t="n">
        <v>100</v>
      </c>
      <c r="E16" s="35" t="n">
        <v>7</v>
      </c>
      <c r="F16" s="41">
        <f>IF(B16="","",N(E16)/IF(N(D16)&gt;0,D16,1))</f>
        <v/>
      </c>
      <c r="G16" s="40" t="n">
        <v>40</v>
      </c>
      <c r="H16" s="39">
        <f>IF(B16="","",SUMIFS('Product materials'!$G$6:$G$505,'Product materials'!$C$6:$C$505,B16))</f>
        <v/>
      </c>
      <c r="I16" s="42">
        <f>IF(B16="","",IF(H16-N(G16)&gt;0,H16-N(G16),""))</f>
        <v/>
      </c>
      <c r="J16" s="33" t="n"/>
      <c r="K16" s="1" t="n"/>
    </row>
    <row r="17">
      <c r="A17" s="1" t="n"/>
      <c r="B17" s="32" t="inlineStr">
        <is>
          <t>Tin 4 oz</t>
        </is>
      </c>
      <c r="C17" s="36" t="inlineStr">
        <is>
          <t>each</t>
        </is>
      </c>
      <c r="D17" s="40" t="n">
        <v>24</v>
      </c>
      <c r="E17" s="35" t="n">
        <v>19</v>
      </c>
      <c r="F17" s="41">
        <f>IF(B17="","",N(E17)/IF(N(D17)&gt;0,D17,1))</f>
        <v/>
      </c>
      <c r="G17" s="40" t="n">
        <v>12</v>
      </c>
      <c r="H17" s="39">
        <f>IF(B17="","",SUMIFS('Product materials'!$G$6:$G$505,'Product materials'!$C$6:$C$505,B17))</f>
        <v/>
      </c>
      <c r="I17" s="42">
        <f>IF(B17="","",IF(H17-N(G17)&gt;0,H17-N(G17),""))</f>
        <v/>
      </c>
      <c r="J17" s="33" t="n"/>
      <c r="K17" s="1" t="n"/>
    </row>
    <row r="18">
      <c r="A18" s="1" t="n"/>
      <c r="B18" s="32" t="n"/>
      <c r="C18" s="36" t="n"/>
      <c r="D18" s="40" t="n"/>
      <c r="E18" s="35" t="n"/>
      <c r="F18" s="41">
        <f>IF(B18="","",N(E18)/IF(N(D18)&gt;0,D18,1))</f>
        <v/>
      </c>
      <c r="G18" s="40" t="n"/>
      <c r="H18" s="39">
        <f>IF(B18="","",SUMIFS('Product materials'!$G$6:$G$505,'Product materials'!$C$6:$C$505,B18))</f>
        <v/>
      </c>
      <c r="I18" s="42">
        <f>IF(B18="","",IF(H18-N(G18)&gt;0,H18-N(G18),""))</f>
        <v/>
      </c>
      <c r="J18" s="33" t="n"/>
      <c r="K18" s="1" t="n"/>
    </row>
    <row r="19">
      <c r="A19" s="1" t="n"/>
      <c r="B19" s="32" t="n"/>
      <c r="C19" s="36" t="n"/>
      <c r="D19" s="40" t="n"/>
      <c r="E19" s="35" t="n"/>
      <c r="F19" s="41">
        <f>IF(B19="","",N(E19)/IF(N(D19)&gt;0,D19,1))</f>
        <v/>
      </c>
      <c r="G19" s="40" t="n"/>
      <c r="H19" s="39">
        <f>IF(B19="","",SUMIFS('Product materials'!$G$6:$G$505,'Product materials'!$C$6:$C$505,B19))</f>
        <v/>
      </c>
      <c r="I19" s="42">
        <f>IF(B19="","",IF(H19-N(G19)&gt;0,H19-N(G19),""))</f>
        <v/>
      </c>
      <c r="J19" s="33" t="n"/>
      <c r="K19" s="1" t="n"/>
    </row>
    <row r="20">
      <c r="A20" s="1" t="n"/>
      <c r="B20" s="32" t="n"/>
      <c r="C20" s="36" t="n"/>
      <c r="D20" s="40" t="n"/>
      <c r="E20" s="35" t="n"/>
      <c r="F20" s="41">
        <f>IF(B20="","",N(E20)/IF(N(D20)&gt;0,D20,1))</f>
        <v/>
      </c>
      <c r="G20" s="40" t="n"/>
      <c r="H20" s="39">
        <f>IF(B20="","",SUMIFS('Product materials'!$G$6:$G$505,'Product materials'!$C$6:$C$505,B20))</f>
        <v/>
      </c>
      <c r="I20" s="42">
        <f>IF(B20="","",IF(H20-N(G20)&gt;0,H20-N(G20),""))</f>
        <v/>
      </c>
      <c r="J20" s="33" t="n"/>
      <c r="K20" s="1" t="n"/>
    </row>
    <row r="21">
      <c r="A21" s="1" t="n"/>
      <c r="B21" s="32" t="n"/>
      <c r="C21" s="36" t="n"/>
      <c r="D21" s="40" t="n"/>
      <c r="E21" s="35" t="n"/>
      <c r="F21" s="41">
        <f>IF(B21="","",N(E21)/IF(N(D21)&gt;0,D21,1))</f>
        <v/>
      </c>
      <c r="G21" s="40" t="n"/>
      <c r="H21" s="39">
        <f>IF(B21="","",SUMIFS('Product materials'!$G$6:$G$505,'Product materials'!$C$6:$C$505,B21))</f>
        <v/>
      </c>
      <c r="I21" s="42">
        <f>IF(B21="","",IF(H21-N(G21)&gt;0,H21-N(G21),""))</f>
        <v/>
      </c>
      <c r="J21" s="33" t="n"/>
      <c r="K21" s="1" t="n"/>
    </row>
    <row r="22">
      <c r="A22" s="1" t="n"/>
      <c r="B22" s="32" t="n"/>
      <c r="C22" s="36" t="n"/>
      <c r="D22" s="40" t="n"/>
      <c r="E22" s="35" t="n"/>
      <c r="F22" s="41">
        <f>IF(B22="","",N(E22)/IF(N(D22)&gt;0,D22,1))</f>
        <v/>
      </c>
      <c r="G22" s="40" t="n"/>
      <c r="H22" s="39">
        <f>IF(B22="","",SUMIFS('Product materials'!$G$6:$G$505,'Product materials'!$C$6:$C$505,B22))</f>
        <v/>
      </c>
      <c r="I22" s="42">
        <f>IF(B22="","",IF(H22-N(G22)&gt;0,H22-N(G22),""))</f>
        <v/>
      </c>
      <c r="J22" s="33" t="n"/>
      <c r="K22" s="1" t="n"/>
    </row>
    <row r="23">
      <c r="A23" s="1" t="n"/>
      <c r="B23" s="32" t="n"/>
      <c r="C23" s="36" t="n"/>
      <c r="D23" s="40" t="n"/>
      <c r="E23" s="35" t="n"/>
      <c r="F23" s="41">
        <f>IF(B23="","",N(E23)/IF(N(D23)&gt;0,D23,1))</f>
        <v/>
      </c>
      <c r="G23" s="40" t="n"/>
      <c r="H23" s="39">
        <f>IF(B23="","",SUMIFS('Product materials'!$G$6:$G$505,'Product materials'!$C$6:$C$505,B23))</f>
        <v/>
      </c>
      <c r="I23" s="42">
        <f>IF(B23="","",IF(H23-N(G23)&gt;0,H23-N(G23),""))</f>
        <v/>
      </c>
      <c r="J23" s="33" t="n"/>
      <c r="K23" s="1" t="n"/>
    </row>
    <row r="24">
      <c r="A24" s="1" t="n"/>
      <c r="B24" s="32" t="n"/>
      <c r="C24" s="36" t="n"/>
      <c r="D24" s="40" t="n"/>
      <c r="E24" s="35" t="n"/>
      <c r="F24" s="41">
        <f>IF(B24="","",N(E24)/IF(N(D24)&gt;0,D24,1))</f>
        <v/>
      </c>
      <c r="G24" s="40" t="n"/>
      <c r="H24" s="39">
        <f>IF(B24="","",SUMIFS('Product materials'!$G$6:$G$505,'Product materials'!$C$6:$C$505,B24))</f>
        <v/>
      </c>
      <c r="I24" s="42">
        <f>IF(B24="","",IF(H24-N(G24)&gt;0,H24-N(G24),""))</f>
        <v/>
      </c>
      <c r="J24" s="33" t="n"/>
      <c r="K24" s="1" t="n"/>
    </row>
    <row r="25">
      <c r="A25" s="1" t="n"/>
      <c r="B25" s="32" t="n"/>
      <c r="C25" s="36" t="n"/>
      <c r="D25" s="40" t="n"/>
      <c r="E25" s="35" t="n"/>
      <c r="F25" s="41">
        <f>IF(B25="","",N(E25)/IF(N(D25)&gt;0,D25,1))</f>
        <v/>
      </c>
      <c r="G25" s="40" t="n"/>
      <c r="H25" s="39">
        <f>IF(B25="","",SUMIFS('Product materials'!$G$6:$G$505,'Product materials'!$C$6:$C$505,B25))</f>
        <v/>
      </c>
      <c r="I25" s="42">
        <f>IF(B25="","",IF(H25-N(G25)&gt;0,H25-N(G25),""))</f>
        <v/>
      </c>
      <c r="J25" s="33" t="n"/>
      <c r="K25" s="1" t="n"/>
    </row>
    <row r="26">
      <c r="A26" s="1" t="n"/>
      <c r="B26" s="32" t="n"/>
      <c r="C26" s="36" t="n"/>
      <c r="D26" s="40" t="n"/>
      <c r="E26" s="35" t="n"/>
      <c r="F26" s="41">
        <f>IF(B26="","",N(E26)/IF(N(D26)&gt;0,D26,1))</f>
        <v/>
      </c>
      <c r="G26" s="40" t="n"/>
      <c r="H26" s="39">
        <f>IF(B26="","",SUMIFS('Product materials'!$G$6:$G$505,'Product materials'!$C$6:$C$505,B26))</f>
        <v/>
      </c>
      <c r="I26" s="42">
        <f>IF(B26="","",IF(H26-N(G26)&gt;0,H26-N(G26),""))</f>
        <v/>
      </c>
      <c r="J26" s="33" t="n"/>
      <c r="K26" s="1" t="n"/>
    </row>
    <row r="27">
      <c r="A27" s="1" t="n"/>
      <c r="B27" s="32" t="n"/>
      <c r="C27" s="36" t="n"/>
      <c r="D27" s="40" t="n"/>
      <c r="E27" s="35" t="n"/>
      <c r="F27" s="41">
        <f>IF(B27="","",N(E27)/IF(N(D27)&gt;0,D27,1))</f>
        <v/>
      </c>
      <c r="G27" s="40" t="n"/>
      <c r="H27" s="39">
        <f>IF(B27="","",SUMIFS('Product materials'!$G$6:$G$505,'Product materials'!$C$6:$C$505,B27))</f>
        <v/>
      </c>
      <c r="I27" s="42">
        <f>IF(B27="","",IF(H27-N(G27)&gt;0,H27-N(G27),""))</f>
        <v/>
      </c>
      <c r="J27" s="33" t="n"/>
      <c r="K27" s="1" t="n"/>
    </row>
    <row r="28">
      <c r="A28" s="1" t="n"/>
      <c r="B28" s="32" t="n"/>
      <c r="C28" s="36" t="n"/>
      <c r="D28" s="40" t="n"/>
      <c r="E28" s="35" t="n"/>
      <c r="F28" s="41">
        <f>IF(B28="","",N(E28)/IF(N(D28)&gt;0,D28,1))</f>
        <v/>
      </c>
      <c r="G28" s="40" t="n"/>
      <c r="H28" s="39">
        <f>IF(B28="","",SUMIFS('Product materials'!$G$6:$G$505,'Product materials'!$C$6:$C$505,B28))</f>
        <v/>
      </c>
      <c r="I28" s="42">
        <f>IF(B28="","",IF(H28-N(G28)&gt;0,H28-N(G28),""))</f>
        <v/>
      </c>
      <c r="J28" s="33" t="n"/>
      <c r="K28" s="1" t="n"/>
    </row>
    <row r="29">
      <c r="A29" s="1" t="n"/>
      <c r="B29" s="32" t="n"/>
      <c r="C29" s="36" t="n"/>
      <c r="D29" s="40" t="n"/>
      <c r="E29" s="35" t="n"/>
      <c r="F29" s="41">
        <f>IF(B29="","",N(E29)/IF(N(D29)&gt;0,D29,1))</f>
        <v/>
      </c>
      <c r="G29" s="40" t="n"/>
      <c r="H29" s="39">
        <f>IF(B29="","",SUMIFS('Product materials'!$G$6:$G$505,'Product materials'!$C$6:$C$505,B29))</f>
        <v/>
      </c>
      <c r="I29" s="42">
        <f>IF(B29="","",IF(H29-N(G29)&gt;0,H29-N(G29),""))</f>
        <v/>
      </c>
      <c r="J29" s="33" t="n"/>
      <c r="K29" s="1" t="n"/>
    </row>
    <row r="30">
      <c r="A30" s="1" t="n"/>
      <c r="B30" s="32" t="n"/>
      <c r="C30" s="36" t="n"/>
      <c r="D30" s="40" t="n"/>
      <c r="E30" s="35" t="n"/>
      <c r="F30" s="41">
        <f>IF(B30="","",N(E30)/IF(N(D30)&gt;0,D30,1))</f>
        <v/>
      </c>
      <c r="G30" s="40" t="n"/>
      <c r="H30" s="39">
        <f>IF(B30="","",SUMIFS('Product materials'!$G$6:$G$505,'Product materials'!$C$6:$C$505,B30))</f>
        <v/>
      </c>
      <c r="I30" s="42">
        <f>IF(B30="","",IF(H30-N(G30)&gt;0,H30-N(G30),""))</f>
        <v/>
      </c>
      <c r="J30" s="33" t="n"/>
      <c r="K30" s="1" t="n"/>
    </row>
    <row r="31">
      <c r="A31" s="1" t="n"/>
      <c r="B31" s="32" t="n"/>
      <c r="C31" s="36" t="n"/>
      <c r="D31" s="40" t="n"/>
      <c r="E31" s="35" t="n"/>
      <c r="F31" s="41">
        <f>IF(B31="","",N(E31)/IF(N(D31)&gt;0,D31,1))</f>
        <v/>
      </c>
      <c r="G31" s="40" t="n"/>
      <c r="H31" s="39">
        <f>IF(B31="","",SUMIFS('Product materials'!$G$6:$G$505,'Product materials'!$C$6:$C$505,B31))</f>
        <v/>
      </c>
      <c r="I31" s="42">
        <f>IF(B31="","",IF(H31-N(G31)&gt;0,H31-N(G31),""))</f>
        <v/>
      </c>
      <c r="J31" s="33" t="n"/>
      <c r="K31" s="1" t="n"/>
    </row>
    <row r="32">
      <c r="A32" s="1" t="n"/>
      <c r="B32" s="32" t="n"/>
      <c r="C32" s="36" t="n"/>
      <c r="D32" s="40" t="n"/>
      <c r="E32" s="35" t="n"/>
      <c r="F32" s="41">
        <f>IF(B32="","",N(E32)/IF(N(D32)&gt;0,D32,1))</f>
        <v/>
      </c>
      <c r="G32" s="40" t="n"/>
      <c r="H32" s="39">
        <f>IF(B32="","",SUMIFS('Product materials'!$G$6:$G$505,'Product materials'!$C$6:$C$505,B32))</f>
        <v/>
      </c>
      <c r="I32" s="42">
        <f>IF(B32="","",IF(H32-N(G32)&gt;0,H32-N(G32),""))</f>
        <v/>
      </c>
      <c r="J32" s="33" t="n"/>
      <c r="K32" s="1" t="n"/>
    </row>
    <row r="33">
      <c r="A33" s="1" t="n"/>
      <c r="B33" s="32" t="n"/>
      <c r="C33" s="36" t="n"/>
      <c r="D33" s="40" t="n"/>
      <c r="E33" s="35" t="n"/>
      <c r="F33" s="41">
        <f>IF(B33="","",N(E33)/IF(N(D33)&gt;0,D33,1))</f>
        <v/>
      </c>
      <c r="G33" s="40" t="n"/>
      <c r="H33" s="39">
        <f>IF(B33="","",SUMIFS('Product materials'!$G$6:$G$505,'Product materials'!$C$6:$C$505,B33))</f>
        <v/>
      </c>
      <c r="I33" s="42">
        <f>IF(B33="","",IF(H33-N(G33)&gt;0,H33-N(G33),""))</f>
        <v/>
      </c>
      <c r="J33" s="33" t="n"/>
      <c r="K33" s="1" t="n"/>
    </row>
    <row r="34">
      <c r="A34" s="1" t="n"/>
      <c r="B34" s="32" t="n"/>
      <c r="C34" s="36" t="n"/>
      <c r="D34" s="40" t="n"/>
      <c r="E34" s="35" t="n"/>
      <c r="F34" s="41">
        <f>IF(B34="","",N(E34)/IF(N(D34)&gt;0,D34,1))</f>
        <v/>
      </c>
      <c r="G34" s="40" t="n"/>
      <c r="H34" s="39">
        <f>IF(B34="","",SUMIFS('Product materials'!$G$6:$G$505,'Product materials'!$C$6:$C$505,B34))</f>
        <v/>
      </c>
      <c r="I34" s="42">
        <f>IF(B34="","",IF(H34-N(G34)&gt;0,H34-N(G34),""))</f>
        <v/>
      </c>
      <c r="J34" s="33" t="n"/>
      <c r="K34" s="1" t="n"/>
    </row>
    <row r="35">
      <c r="A35" s="1" t="n"/>
      <c r="B35" s="32" t="n"/>
      <c r="C35" s="36" t="n"/>
      <c r="D35" s="40" t="n"/>
      <c r="E35" s="35" t="n"/>
      <c r="F35" s="41">
        <f>IF(B35="","",N(E35)/IF(N(D35)&gt;0,D35,1))</f>
        <v/>
      </c>
      <c r="G35" s="40" t="n"/>
      <c r="H35" s="39">
        <f>IF(B35="","",SUMIFS('Product materials'!$G$6:$G$505,'Product materials'!$C$6:$C$505,B35))</f>
        <v/>
      </c>
      <c r="I35" s="42">
        <f>IF(B35="","",IF(H35-N(G35)&gt;0,H35-N(G35),""))</f>
        <v/>
      </c>
      <c r="J35" s="33" t="n"/>
      <c r="K35" s="1" t="n"/>
    </row>
    <row r="36">
      <c r="A36" s="1" t="n"/>
      <c r="B36" s="32" t="n"/>
      <c r="C36" s="36" t="n"/>
      <c r="D36" s="40" t="n"/>
      <c r="E36" s="35" t="n"/>
      <c r="F36" s="41">
        <f>IF(B36="","",N(E36)/IF(N(D36)&gt;0,D36,1))</f>
        <v/>
      </c>
      <c r="G36" s="40" t="n"/>
      <c r="H36" s="39">
        <f>IF(B36="","",SUMIFS('Product materials'!$G$6:$G$505,'Product materials'!$C$6:$C$505,B36))</f>
        <v/>
      </c>
      <c r="I36" s="42">
        <f>IF(B36="","",IF(H36-N(G36)&gt;0,H36-N(G36),""))</f>
        <v/>
      </c>
      <c r="J36" s="33" t="n"/>
      <c r="K36" s="1" t="n"/>
    </row>
    <row r="37">
      <c r="A37" s="1" t="n"/>
      <c r="B37" s="32" t="n"/>
      <c r="C37" s="36" t="n"/>
      <c r="D37" s="40" t="n"/>
      <c r="E37" s="35" t="n"/>
      <c r="F37" s="41">
        <f>IF(B37="","",N(E37)/IF(N(D37)&gt;0,D37,1))</f>
        <v/>
      </c>
      <c r="G37" s="40" t="n"/>
      <c r="H37" s="39">
        <f>IF(B37="","",SUMIFS('Product materials'!$G$6:$G$505,'Product materials'!$C$6:$C$505,B37))</f>
        <v/>
      </c>
      <c r="I37" s="42">
        <f>IF(B37="","",IF(H37-N(G37)&gt;0,H37-N(G37),""))</f>
        <v/>
      </c>
      <c r="J37" s="33" t="n"/>
      <c r="K37" s="1" t="n"/>
    </row>
    <row r="38">
      <c r="A38" s="1" t="n"/>
      <c r="B38" s="32" t="n"/>
      <c r="C38" s="36" t="n"/>
      <c r="D38" s="40" t="n"/>
      <c r="E38" s="35" t="n"/>
      <c r="F38" s="41">
        <f>IF(B38="","",N(E38)/IF(N(D38)&gt;0,D38,1))</f>
        <v/>
      </c>
      <c r="G38" s="40" t="n"/>
      <c r="H38" s="39">
        <f>IF(B38="","",SUMIFS('Product materials'!$G$6:$G$505,'Product materials'!$C$6:$C$505,B38))</f>
        <v/>
      </c>
      <c r="I38" s="42">
        <f>IF(B38="","",IF(H38-N(G38)&gt;0,H38-N(G38),""))</f>
        <v/>
      </c>
      <c r="J38" s="33" t="n"/>
      <c r="K38" s="1" t="n"/>
    </row>
    <row r="39">
      <c r="A39" s="1" t="n"/>
      <c r="B39" s="32" t="n"/>
      <c r="C39" s="36" t="n"/>
      <c r="D39" s="40" t="n"/>
      <c r="E39" s="35" t="n"/>
      <c r="F39" s="41">
        <f>IF(B39="","",N(E39)/IF(N(D39)&gt;0,D39,1))</f>
        <v/>
      </c>
      <c r="G39" s="40" t="n"/>
      <c r="H39" s="39">
        <f>IF(B39="","",SUMIFS('Product materials'!$G$6:$G$505,'Product materials'!$C$6:$C$505,B39))</f>
        <v/>
      </c>
      <c r="I39" s="42">
        <f>IF(B39="","",IF(H39-N(G39)&gt;0,H39-N(G39),""))</f>
        <v/>
      </c>
      <c r="J39" s="33" t="n"/>
      <c r="K39" s="1" t="n"/>
    </row>
    <row r="40">
      <c r="A40" s="1" t="n"/>
      <c r="B40" s="32" t="n"/>
      <c r="C40" s="36" t="n"/>
      <c r="D40" s="40" t="n"/>
      <c r="E40" s="35" t="n"/>
      <c r="F40" s="41">
        <f>IF(B40="","",N(E40)/IF(N(D40)&gt;0,D40,1))</f>
        <v/>
      </c>
      <c r="G40" s="40" t="n"/>
      <c r="H40" s="39">
        <f>IF(B40="","",SUMIFS('Product materials'!$G$6:$G$505,'Product materials'!$C$6:$C$505,B40))</f>
        <v/>
      </c>
      <c r="I40" s="42">
        <f>IF(B40="","",IF(H40-N(G40)&gt;0,H40-N(G40),""))</f>
        <v/>
      </c>
      <c r="J40" s="33" t="n"/>
      <c r="K40" s="1" t="n"/>
    </row>
    <row r="41">
      <c r="A41" s="1" t="n"/>
      <c r="B41" s="32" t="n"/>
      <c r="C41" s="36" t="n"/>
      <c r="D41" s="40" t="n"/>
      <c r="E41" s="35" t="n"/>
      <c r="F41" s="41">
        <f>IF(B41="","",N(E41)/IF(N(D41)&gt;0,D41,1))</f>
        <v/>
      </c>
      <c r="G41" s="40" t="n"/>
      <c r="H41" s="39">
        <f>IF(B41="","",SUMIFS('Product materials'!$G$6:$G$505,'Product materials'!$C$6:$C$505,B41))</f>
        <v/>
      </c>
      <c r="I41" s="42">
        <f>IF(B41="","",IF(H41-N(G41)&gt;0,H41-N(G41),""))</f>
        <v/>
      </c>
      <c r="J41" s="33" t="n"/>
      <c r="K41" s="1" t="n"/>
    </row>
    <row r="42">
      <c r="A42" s="1" t="n"/>
      <c r="B42" s="32" t="n"/>
      <c r="C42" s="36" t="n"/>
      <c r="D42" s="40" t="n"/>
      <c r="E42" s="35" t="n"/>
      <c r="F42" s="41">
        <f>IF(B42="","",N(E42)/IF(N(D42)&gt;0,D42,1))</f>
        <v/>
      </c>
      <c r="G42" s="40" t="n"/>
      <c r="H42" s="39">
        <f>IF(B42="","",SUMIFS('Product materials'!$G$6:$G$505,'Product materials'!$C$6:$C$505,B42))</f>
        <v/>
      </c>
      <c r="I42" s="42">
        <f>IF(B42="","",IF(H42-N(G42)&gt;0,H42-N(G42),""))</f>
        <v/>
      </c>
      <c r="J42" s="33" t="n"/>
      <c r="K42" s="1" t="n"/>
    </row>
    <row r="43">
      <c r="A43" s="1" t="n"/>
      <c r="B43" s="32" t="n"/>
      <c r="C43" s="36" t="n"/>
      <c r="D43" s="40" t="n"/>
      <c r="E43" s="35" t="n"/>
      <c r="F43" s="41">
        <f>IF(B43="","",N(E43)/IF(N(D43)&gt;0,D43,1))</f>
        <v/>
      </c>
      <c r="G43" s="40" t="n"/>
      <c r="H43" s="39">
        <f>IF(B43="","",SUMIFS('Product materials'!$G$6:$G$505,'Product materials'!$C$6:$C$505,B43))</f>
        <v/>
      </c>
      <c r="I43" s="42">
        <f>IF(B43="","",IF(H43-N(G43)&gt;0,H43-N(G43),""))</f>
        <v/>
      </c>
      <c r="J43" s="33" t="n"/>
      <c r="K43" s="1" t="n"/>
    </row>
    <row r="44">
      <c r="A44" s="1" t="n"/>
      <c r="B44" s="32" t="n"/>
      <c r="C44" s="36" t="n"/>
      <c r="D44" s="40" t="n"/>
      <c r="E44" s="35" t="n"/>
      <c r="F44" s="41">
        <f>IF(B44="","",N(E44)/IF(N(D44)&gt;0,D44,1))</f>
        <v/>
      </c>
      <c r="G44" s="40" t="n"/>
      <c r="H44" s="39">
        <f>IF(B44="","",SUMIFS('Product materials'!$G$6:$G$505,'Product materials'!$C$6:$C$505,B44))</f>
        <v/>
      </c>
      <c r="I44" s="42">
        <f>IF(B44="","",IF(H44-N(G44)&gt;0,H44-N(G44),""))</f>
        <v/>
      </c>
      <c r="J44" s="33" t="n"/>
      <c r="K44" s="1" t="n"/>
    </row>
    <row r="45">
      <c r="A45" s="1" t="n"/>
      <c r="B45" s="32" t="n"/>
      <c r="C45" s="36" t="n"/>
      <c r="D45" s="40" t="n"/>
      <c r="E45" s="35" t="n"/>
      <c r="F45" s="41">
        <f>IF(B45="","",N(E45)/IF(N(D45)&gt;0,D45,1))</f>
        <v/>
      </c>
      <c r="G45" s="40" t="n"/>
      <c r="H45" s="39">
        <f>IF(B45="","",SUMIFS('Product materials'!$G$6:$G$505,'Product materials'!$C$6:$C$505,B45))</f>
        <v/>
      </c>
      <c r="I45" s="42">
        <f>IF(B45="","",IF(H45-N(G45)&gt;0,H45-N(G45),""))</f>
        <v/>
      </c>
      <c r="J45" s="33" t="n"/>
      <c r="K45" s="1" t="n"/>
    </row>
    <row r="46">
      <c r="A46" s="1" t="n"/>
      <c r="B46" s="32" t="n"/>
      <c r="C46" s="36" t="n"/>
      <c r="D46" s="40" t="n"/>
      <c r="E46" s="35" t="n"/>
      <c r="F46" s="41">
        <f>IF(B46="","",N(E46)/IF(N(D46)&gt;0,D46,1))</f>
        <v/>
      </c>
      <c r="G46" s="40" t="n"/>
      <c r="H46" s="39">
        <f>IF(B46="","",SUMIFS('Product materials'!$G$6:$G$505,'Product materials'!$C$6:$C$505,B46))</f>
        <v/>
      </c>
      <c r="I46" s="42">
        <f>IF(B46="","",IF(H46-N(G46)&gt;0,H46-N(G46),""))</f>
        <v/>
      </c>
      <c r="J46" s="33" t="n"/>
      <c r="K46" s="1" t="n"/>
    </row>
    <row r="47">
      <c r="A47" s="1" t="n"/>
      <c r="B47" s="32" t="n"/>
      <c r="C47" s="36" t="n"/>
      <c r="D47" s="40" t="n"/>
      <c r="E47" s="35" t="n"/>
      <c r="F47" s="41">
        <f>IF(B47="","",N(E47)/IF(N(D47)&gt;0,D47,1))</f>
        <v/>
      </c>
      <c r="G47" s="40" t="n"/>
      <c r="H47" s="39">
        <f>IF(B47="","",SUMIFS('Product materials'!$G$6:$G$505,'Product materials'!$C$6:$C$505,B47))</f>
        <v/>
      </c>
      <c r="I47" s="42">
        <f>IF(B47="","",IF(H47-N(G47)&gt;0,H47-N(G47),""))</f>
        <v/>
      </c>
      <c r="J47" s="33" t="n"/>
      <c r="K47" s="1" t="n"/>
    </row>
    <row r="48">
      <c r="A48" s="1" t="n"/>
      <c r="B48" s="32" t="n"/>
      <c r="C48" s="36" t="n"/>
      <c r="D48" s="40" t="n"/>
      <c r="E48" s="35" t="n"/>
      <c r="F48" s="41">
        <f>IF(B48="","",N(E48)/IF(N(D48)&gt;0,D48,1))</f>
        <v/>
      </c>
      <c r="G48" s="40" t="n"/>
      <c r="H48" s="39">
        <f>IF(B48="","",SUMIFS('Product materials'!$G$6:$G$505,'Product materials'!$C$6:$C$505,B48))</f>
        <v/>
      </c>
      <c r="I48" s="42">
        <f>IF(B48="","",IF(H48-N(G48)&gt;0,H48-N(G48),""))</f>
        <v/>
      </c>
      <c r="J48" s="33" t="n"/>
      <c r="K48" s="1" t="n"/>
    </row>
    <row r="49">
      <c r="A49" s="1" t="n"/>
      <c r="B49" s="32" t="n"/>
      <c r="C49" s="36" t="n"/>
      <c r="D49" s="40" t="n"/>
      <c r="E49" s="35" t="n"/>
      <c r="F49" s="41">
        <f>IF(B49="","",N(E49)/IF(N(D49)&gt;0,D49,1))</f>
        <v/>
      </c>
      <c r="G49" s="40" t="n"/>
      <c r="H49" s="39">
        <f>IF(B49="","",SUMIFS('Product materials'!$G$6:$G$505,'Product materials'!$C$6:$C$505,B49))</f>
        <v/>
      </c>
      <c r="I49" s="42">
        <f>IF(B49="","",IF(H49-N(G49)&gt;0,H49-N(G49),""))</f>
        <v/>
      </c>
      <c r="J49" s="33" t="n"/>
      <c r="K49" s="1" t="n"/>
    </row>
    <row r="50">
      <c r="A50" s="1" t="n"/>
      <c r="B50" s="32" t="n"/>
      <c r="C50" s="36" t="n"/>
      <c r="D50" s="40" t="n"/>
      <c r="E50" s="35" t="n"/>
      <c r="F50" s="41">
        <f>IF(B50="","",N(E50)/IF(N(D50)&gt;0,D50,1))</f>
        <v/>
      </c>
      <c r="G50" s="40" t="n"/>
      <c r="H50" s="39">
        <f>IF(B50="","",SUMIFS('Product materials'!$G$6:$G$505,'Product materials'!$C$6:$C$505,B50))</f>
        <v/>
      </c>
      <c r="I50" s="42">
        <f>IF(B50="","",IF(H50-N(G50)&gt;0,H50-N(G50),""))</f>
        <v/>
      </c>
      <c r="J50" s="33" t="n"/>
      <c r="K50" s="1" t="n"/>
    </row>
    <row r="51">
      <c r="A51" s="1" t="n"/>
      <c r="B51" s="32" t="n"/>
      <c r="C51" s="36" t="n"/>
      <c r="D51" s="40" t="n"/>
      <c r="E51" s="35" t="n"/>
      <c r="F51" s="41">
        <f>IF(B51="","",N(E51)/IF(N(D51)&gt;0,D51,1))</f>
        <v/>
      </c>
      <c r="G51" s="40" t="n"/>
      <c r="H51" s="39">
        <f>IF(B51="","",SUMIFS('Product materials'!$G$6:$G$505,'Product materials'!$C$6:$C$505,B51))</f>
        <v/>
      </c>
      <c r="I51" s="42">
        <f>IF(B51="","",IF(H51-N(G51)&gt;0,H51-N(G51),""))</f>
        <v/>
      </c>
      <c r="J51" s="33" t="n"/>
      <c r="K51" s="1" t="n"/>
    </row>
    <row r="52">
      <c r="A52" s="1" t="n"/>
      <c r="B52" s="32" t="n"/>
      <c r="C52" s="36" t="n"/>
      <c r="D52" s="40" t="n"/>
      <c r="E52" s="35" t="n"/>
      <c r="F52" s="41">
        <f>IF(B52="","",N(E52)/IF(N(D52)&gt;0,D52,1))</f>
        <v/>
      </c>
      <c r="G52" s="40" t="n"/>
      <c r="H52" s="39">
        <f>IF(B52="","",SUMIFS('Product materials'!$G$6:$G$505,'Product materials'!$C$6:$C$505,B52))</f>
        <v/>
      </c>
      <c r="I52" s="42">
        <f>IF(B52="","",IF(H52-N(G52)&gt;0,H52-N(G52),""))</f>
        <v/>
      </c>
      <c r="J52" s="33" t="n"/>
      <c r="K52" s="1" t="n"/>
    </row>
    <row r="53">
      <c r="A53" s="1" t="n"/>
      <c r="B53" s="32" t="n"/>
      <c r="C53" s="36" t="n"/>
      <c r="D53" s="40" t="n"/>
      <c r="E53" s="35" t="n"/>
      <c r="F53" s="41">
        <f>IF(B53="","",N(E53)/IF(N(D53)&gt;0,D53,1))</f>
        <v/>
      </c>
      <c r="G53" s="40" t="n"/>
      <c r="H53" s="39">
        <f>IF(B53="","",SUMIFS('Product materials'!$G$6:$G$505,'Product materials'!$C$6:$C$505,B53))</f>
        <v/>
      </c>
      <c r="I53" s="42">
        <f>IF(B53="","",IF(H53-N(G53)&gt;0,H53-N(G53),""))</f>
        <v/>
      </c>
      <c r="J53" s="33" t="n"/>
      <c r="K53" s="1" t="n"/>
    </row>
    <row r="54">
      <c r="A54" s="1" t="n"/>
      <c r="B54" s="32" t="n"/>
      <c r="C54" s="36" t="n"/>
      <c r="D54" s="40" t="n"/>
      <c r="E54" s="35" t="n"/>
      <c r="F54" s="41">
        <f>IF(B54="","",N(E54)/IF(N(D54)&gt;0,D54,1))</f>
        <v/>
      </c>
      <c r="G54" s="40" t="n"/>
      <c r="H54" s="39">
        <f>IF(B54="","",SUMIFS('Product materials'!$G$6:$G$505,'Product materials'!$C$6:$C$505,B54))</f>
        <v/>
      </c>
      <c r="I54" s="42">
        <f>IF(B54="","",IF(H54-N(G54)&gt;0,H54-N(G54),""))</f>
        <v/>
      </c>
      <c r="J54" s="33" t="n"/>
      <c r="K54" s="1" t="n"/>
    </row>
    <row r="55">
      <c r="A55" s="1" t="n"/>
      <c r="B55" s="32" t="n"/>
      <c r="C55" s="36" t="n"/>
      <c r="D55" s="40" t="n"/>
      <c r="E55" s="35" t="n"/>
      <c r="F55" s="41">
        <f>IF(B55="","",N(E55)/IF(N(D55)&gt;0,D55,1))</f>
        <v/>
      </c>
      <c r="G55" s="40" t="n"/>
      <c r="H55" s="39">
        <f>IF(B55="","",SUMIFS('Product materials'!$G$6:$G$505,'Product materials'!$C$6:$C$505,B55))</f>
        <v/>
      </c>
      <c r="I55" s="42">
        <f>IF(B55="","",IF(H55-N(G55)&gt;0,H55-N(G55),""))</f>
        <v/>
      </c>
      <c r="J55" s="33" t="n"/>
      <c r="K55" s="1" t="n"/>
    </row>
    <row r="56">
      <c r="A56" s="1" t="n"/>
      <c r="B56" s="32" t="n"/>
      <c r="C56" s="36" t="n"/>
      <c r="D56" s="40" t="n"/>
      <c r="E56" s="35" t="n"/>
      <c r="F56" s="41">
        <f>IF(B56="","",N(E56)/IF(N(D56)&gt;0,D56,1))</f>
        <v/>
      </c>
      <c r="G56" s="40" t="n"/>
      <c r="H56" s="39">
        <f>IF(B56="","",SUMIFS('Product materials'!$G$6:$G$505,'Product materials'!$C$6:$C$505,B56))</f>
        <v/>
      </c>
      <c r="I56" s="42">
        <f>IF(B56="","",IF(H56-N(G56)&gt;0,H56-N(G56),""))</f>
        <v/>
      </c>
      <c r="J56" s="33" t="n"/>
      <c r="K56" s="1" t="n"/>
    </row>
    <row r="57">
      <c r="A57" s="1" t="n"/>
      <c r="B57" s="32" t="n"/>
      <c r="C57" s="36" t="n"/>
      <c r="D57" s="40" t="n"/>
      <c r="E57" s="35" t="n"/>
      <c r="F57" s="41">
        <f>IF(B57="","",N(E57)/IF(N(D57)&gt;0,D57,1))</f>
        <v/>
      </c>
      <c r="G57" s="40" t="n"/>
      <c r="H57" s="39">
        <f>IF(B57="","",SUMIFS('Product materials'!$G$6:$G$505,'Product materials'!$C$6:$C$505,B57))</f>
        <v/>
      </c>
      <c r="I57" s="42">
        <f>IF(B57="","",IF(H57-N(G57)&gt;0,H57-N(G57),""))</f>
        <v/>
      </c>
      <c r="J57" s="33" t="n"/>
      <c r="K57" s="1" t="n"/>
    </row>
    <row r="58">
      <c r="A58" s="1" t="n"/>
      <c r="B58" s="32" t="n"/>
      <c r="C58" s="36" t="n"/>
      <c r="D58" s="40" t="n"/>
      <c r="E58" s="35" t="n"/>
      <c r="F58" s="41">
        <f>IF(B58="","",N(E58)/IF(N(D58)&gt;0,D58,1))</f>
        <v/>
      </c>
      <c r="G58" s="40" t="n"/>
      <c r="H58" s="39">
        <f>IF(B58="","",SUMIFS('Product materials'!$G$6:$G$505,'Product materials'!$C$6:$C$505,B58))</f>
        <v/>
      </c>
      <c r="I58" s="42">
        <f>IF(B58="","",IF(H58-N(G58)&gt;0,H58-N(G58),""))</f>
        <v/>
      </c>
      <c r="J58" s="33" t="n"/>
      <c r="K58" s="1" t="n"/>
    </row>
    <row r="59">
      <c r="A59" s="1" t="n"/>
      <c r="B59" s="32" t="n"/>
      <c r="C59" s="36" t="n"/>
      <c r="D59" s="40" t="n"/>
      <c r="E59" s="35" t="n"/>
      <c r="F59" s="41">
        <f>IF(B59="","",N(E59)/IF(N(D59)&gt;0,D59,1))</f>
        <v/>
      </c>
      <c r="G59" s="40" t="n"/>
      <c r="H59" s="39">
        <f>IF(B59="","",SUMIFS('Product materials'!$G$6:$G$505,'Product materials'!$C$6:$C$505,B59))</f>
        <v/>
      </c>
      <c r="I59" s="42">
        <f>IF(B59="","",IF(H59-N(G59)&gt;0,H59-N(G59),""))</f>
        <v/>
      </c>
      <c r="J59" s="33" t="n"/>
      <c r="K59" s="1" t="n"/>
    </row>
    <row r="60">
      <c r="A60" s="1" t="n"/>
      <c r="B60" s="32" t="n"/>
      <c r="C60" s="36" t="n"/>
      <c r="D60" s="40" t="n"/>
      <c r="E60" s="35" t="n"/>
      <c r="F60" s="41">
        <f>IF(B60="","",N(E60)/IF(N(D60)&gt;0,D60,1))</f>
        <v/>
      </c>
      <c r="G60" s="40" t="n"/>
      <c r="H60" s="39">
        <f>IF(B60="","",SUMIFS('Product materials'!$G$6:$G$505,'Product materials'!$C$6:$C$505,B60))</f>
        <v/>
      </c>
      <c r="I60" s="42">
        <f>IF(B60="","",IF(H60-N(G60)&gt;0,H60-N(G60),""))</f>
        <v/>
      </c>
      <c r="J60" s="33" t="n"/>
      <c r="K60" s="1" t="n"/>
    </row>
    <row r="61">
      <c r="A61" s="1" t="n"/>
      <c r="B61" s="32" t="n"/>
      <c r="C61" s="36" t="n"/>
      <c r="D61" s="40" t="n"/>
      <c r="E61" s="35" t="n"/>
      <c r="F61" s="41">
        <f>IF(B61="","",N(E61)/IF(N(D61)&gt;0,D61,1))</f>
        <v/>
      </c>
      <c r="G61" s="40" t="n"/>
      <c r="H61" s="39">
        <f>IF(B61="","",SUMIFS('Product materials'!$G$6:$G$505,'Product materials'!$C$6:$C$505,B61))</f>
        <v/>
      </c>
      <c r="I61" s="42">
        <f>IF(B61="","",IF(H61-N(G61)&gt;0,H61-N(G61),""))</f>
        <v/>
      </c>
      <c r="J61" s="33" t="n"/>
      <c r="K61" s="1" t="n"/>
    </row>
    <row r="62">
      <c r="A62" s="1" t="n"/>
      <c r="B62" s="32" t="n"/>
      <c r="C62" s="36" t="n"/>
      <c r="D62" s="40" t="n"/>
      <c r="E62" s="35" t="n"/>
      <c r="F62" s="41">
        <f>IF(B62="","",N(E62)/IF(N(D62)&gt;0,D62,1))</f>
        <v/>
      </c>
      <c r="G62" s="40" t="n"/>
      <c r="H62" s="39">
        <f>IF(B62="","",SUMIFS('Product materials'!$G$6:$G$505,'Product materials'!$C$6:$C$505,B62))</f>
        <v/>
      </c>
      <c r="I62" s="42">
        <f>IF(B62="","",IF(H62-N(G62)&gt;0,H62-N(G62),""))</f>
        <v/>
      </c>
      <c r="J62" s="33" t="n"/>
      <c r="K62" s="1" t="n"/>
    </row>
    <row r="63">
      <c r="A63" s="1" t="n"/>
      <c r="B63" s="32" t="n"/>
      <c r="C63" s="36" t="n"/>
      <c r="D63" s="40" t="n"/>
      <c r="E63" s="35" t="n"/>
      <c r="F63" s="41">
        <f>IF(B63="","",N(E63)/IF(N(D63)&gt;0,D63,1))</f>
        <v/>
      </c>
      <c r="G63" s="40" t="n"/>
      <c r="H63" s="39">
        <f>IF(B63="","",SUMIFS('Product materials'!$G$6:$G$505,'Product materials'!$C$6:$C$505,B63))</f>
        <v/>
      </c>
      <c r="I63" s="42">
        <f>IF(B63="","",IF(H63-N(G63)&gt;0,H63-N(G63),""))</f>
        <v/>
      </c>
      <c r="J63" s="33" t="n"/>
      <c r="K63" s="1" t="n"/>
    </row>
    <row r="64">
      <c r="A64" s="1" t="n"/>
      <c r="B64" s="32" t="n"/>
      <c r="C64" s="36" t="n"/>
      <c r="D64" s="40" t="n"/>
      <c r="E64" s="35" t="n"/>
      <c r="F64" s="41">
        <f>IF(B64="","",N(E64)/IF(N(D64)&gt;0,D64,1))</f>
        <v/>
      </c>
      <c r="G64" s="40" t="n"/>
      <c r="H64" s="39">
        <f>IF(B64="","",SUMIFS('Product materials'!$G$6:$G$505,'Product materials'!$C$6:$C$505,B64))</f>
        <v/>
      </c>
      <c r="I64" s="42">
        <f>IF(B64="","",IF(H64-N(G64)&gt;0,H64-N(G64),""))</f>
        <v/>
      </c>
      <c r="J64" s="33" t="n"/>
      <c r="K64" s="1" t="n"/>
    </row>
    <row r="65">
      <c r="A65" s="1" t="n"/>
      <c r="B65" s="32" t="n"/>
      <c r="C65" s="36" t="n"/>
      <c r="D65" s="40" t="n"/>
      <c r="E65" s="35" t="n"/>
      <c r="F65" s="41">
        <f>IF(B65="","",N(E65)/IF(N(D65)&gt;0,D65,1))</f>
        <v/>
      </c>
      <c r="G65" s="40" t="n"/>
      <c r="H65" s="39">
        <f>IF(B65="","",SUMIFS('Product materials'!$G$6:$G$505,'Product materials'!$C$6:$C$505,B65))</f>
        <v/>
      </c>
      <c r="I65" s="42">
        <f>IF(B65="","",IF(H65-N(G65)&gt;0,H65-N(G65),""))</f>
        <v/>
      </c>
      <c r="J65" s="33" t="n"/>
      <c r="K65" s="1" t="n"/>
    </row>
    <row r="66">
      <c r="A66" s="1" t="n"/>
      <c r="B66" s="32" t="n"/>
      <c r="C66" s="36" t="n"/>
      <c r="D66" s="40" t="n"/>
      <c r="E66" s="35" t="n"/>
      <c r="F66" s="41">
        <f>IF(B66="","",N(E66)/IF(N(D66)&gt;0,D66,1))</f>
        <v/>
      </c>
      <c r="G66" s="40" t="n"/>
      <c r="H66" s="39">
        <f>IF(B66="","",SUMIFS('Product materials'!$G$6:$G$505,'Product materials'!$C$6:$C$505,B66))</f>
        <v/>
      </c>
      <c r="I66" s="42">
        <f>IF(B66="","",IF(H66-N(G66)&gt;0,H66-N(G66),""))</f>
        <v/>
      </c>
      <c r="J66" s="33" t="n"/>
      <c r="K66" s="1" t="n"/>
    </row>
    <row r="67">
      <c r="A67" s="1" t="n"/>
      <c r="B67" s="32" t="n"/>
      <c r="C67" s="36" t="n"/>
      <c r="D67" s="40" t="n"/>
      <c r="E67" s="35" t="n"/>
      <c r="F67" s="41">
        <f>IF(B67="","",N(E67)/IF(N(D67)&gt;0,D67,1))</f>
        <v/>
      </c>
      <c r="G67" s="40" t="n"/>
      <c r="H67" s="39">
        <f>IF(B67="","",SUMIFS('Product materials'!$G$6:$G$505,'Product materials'!$C$6:$C$505,B67))</f>
        <v/>
      </c>
      <c r="I67" s="42">
        <f>IF(B67="","",IF(H67-N(G67)&gt;0,H67-N(G67),""))</f>
        <v/>
      </c>
      <c r="J67" s="33" t="n"/>
      <c r="K67" s="1" t="n"/>
    </row>
    <row r="68">
      <c r="A68" s="1" t="n"/>
      <c r="B68" s="32" t="n"/>
      <c r="C68" s="36" t="n"/>
      <c r="D68" s="40" t="n"/>
      <c r="E68" s="35" t="n"/>
      <c r="F68" s="41">
        <f>IF(B68="","",N(E68)/IF(N(D68)&gt;0,D68,1))</f>
        <v/>
      </c>
      <c r="G68" s="40" t="n"/>
      <c r="H68" s="39">
        <f>IF(B68="","",SUMIFS('Product materials'!$G$6:$G$505,'Product materials'!$C$6:$C$505,B68))</f>
        <v/>
      </c>
      <c r="I68" s="42">
        <f>IF(B68="","",IF(H68-N(G68)&gt;0,H68-N(G68),""))</f>
        <v/>
      </c>
      <c r="J68" s="33" t="n"/>
      <c r="K68" s="1" t="n"/>
    </row>
    <row r="69">
      <c r="A69" s="1" t="n"/>
      <c r="B69" s="32" t="n"/>
      <c r="C69" s="36" t="n"/>
      <c r="D69" s="40" t="n"/>
      <c r="E69" s="35" t="n"/>
      <c r="F69" s="41">
        <f>IF(B69="","",N(E69)/IF(N(D69)&gt;0,D69,1))</f>
        <v/>
      </c>
      <c r="G69" s="40" t="n"/>
      <c r="H69" s="39">
        <f>IF(B69="","",SUMIFS('Product materials'!$G$6:$G$505,'Product materials'!$C$6:$C$505,B69))</f>
        <v/>
      </c>
      <c r="I69" s="42">
        <f>IF(B69="","",IF(H69-N(G69)&gt;0,H69-N(G69),""))</f>
        <v/>
      </c>
      <c r="J69" s="33" t="n"/>
      <c r="K69" s="1" t="n"/>
    </row>
    <row r="70">
      <c r="A70" s="1" t="n"/>
      <c r="B70" s="32" t="n"/>
      <c r="C70" s="36" t="n"/>
      <c r="D70" s="40" t="n"/>
      <c r="E70" s="35" t="n"/>
      <c r="F70" s="41">
        <f>IF(B70="","",N(E70)/IF(N(D70)&gt;0,D70,1))</f>
        <v/>
      </c>
      <c r="G70" s="40" t="n"/>
      <c r="H70" s="39">
        <f>IF(B70="","",SUMIFS('Product materials'!$G$6:$G$505,'Product materials'!$C$6:$C$505,B70))</f>
        <v/>
      </c>
      <c r="I70" s="42">
        <f>IF(B70="","",IF(H70-N(G70)&gt;0,H70-N(G70),""))</f>
        <v/>
      </c>
      <c r="J70" s="33" t="n"/>
      <c r="K70" s="1" t="n"/>
    </row>
    <row r="71">
      <c r="A71" s="1" t="n"/>
      <c r="B71" s="32" t="n"/>
      <c r="C71" s="36" t="n"/>
      <c r="D71" s="40" t="n"/>
      <c r="E71" s="35" t="n"/>
      <c r="F71" s="41">
        <f>IF(B71="","",N(E71)/IF(N(D71)&gt;0,D71,1))</f>
        <v/>
      </c>
      <c r="G71" s="40" t="n"/>
      <c r="H71" s="39">
        <f>IF(B71="","",SUMIFS('Product materials'!$G$6:$G$505,'Product materials'!$C$6:$C$505,B71))</f>
        <v/>
      </c>
      <c r="I71" s="42">
        <f>IF(B71="","",IF(H71-N(G71)&gt;0,H71-N(G71),""))</f>
        <v/>
      </c>
      <c r="J71" s="33" t="n"/>
      <c r="K71" s="1" t="n"/>
    </row>
    <row r="72">
      <c r="A72" s="1" t="n"/>
      <c r="B72" s="32" t="n"/>
      <c r="C72" s="36" t="n"/>
      <c r="D72" s="40" t="n"/>
      <c r="E72" s="35" t="n"/>
      <c r="F72" s="41">
        <f>IF(B72="","",N(E72)/IF(N(D72)&gt;0,D72,1))</f>
        <v/>
      </c>
      <c r="G72" s="40" t="n"/>
      <c r="H72" s="39">
        <f>IF(B72="","",SUMIFS('Product materials'!$G$6:$G$505,'Product materials'!$C$6:$C$505,B72))</f>
        <v/>
      </c>
      <c r="I72" s="42">
        <f>IF(B72="","",IF(H72-N(G72)&gt;0,H72-N(G72),""))</f>
        <v/>
      </c>
      <c r="J72" s="33" t="n"/>
      <c r="K72" s="1" t="n"/>
    </row>
    <row r="73">
      <c r="A73" s="1" t="n"/>
      <c r="B73" s="32" t="n"/>
      <c r="C73" s="36" t="n"/>
      <c r="D73" s="40" t="n"/>
      <c r="E73" s="35" t="n"/>
      <c r="F73" s="41">
        <f>IF(B73="","",N(E73)/IF(N(D73)&gt;0,D73,1))</f>
        <v/>
      </c>
      <c r="G73" s="40" t="n"/>
      <c r="H73" s="39">
        <f>IF(B73="","",SUMIFS('Product materials'!$G$6:$G$505,'Product materials'!$C$6:$C$505,B73))</f>
        <v/>
      </c>
      <c r="I73" s="42">
        <f>IF(B73="","",IF(H73-N(G73)&gt;0,H73-N(G73),""))</f>
        <v/>
      </c>
      <c r="J73" s="33" t="n"/>
      <c r="K73" s="1" t="n"/>
    </row>
    <row r="74">
      <c r="A74" s="1" t="n"/>
      <c r="B74" s="32" t="n"/>
      <c r="C74" s="36" t="n"/>
      <c r="D74" s="40" t="n"/>
      <c r="E74" s="35" t="n"/>
      <c r="F74" s="41">
        <f>IF(B74="","",N(E74)/IF(N(D74)&gt;0,D74,1))</f>
        <v/>
      </c>
      <c r="G74" s="40" t="n"/>
      <c r="H74" s="39">
        <f>IF(B74="","",SUMIFS('Product materials'!$G$6:$G$505,'Product materials'!$C$6:$C$505,B74))</f>
        <v/>
      </c>
      <c r="I74" s="42">
        <f>IF(B74="","",IF(H74-N(G74)&gt;0,H74-N(G74),""))</f>
        <v/>
      </c>
      <c r="J74" s="33" t="n"/>
      <c r="K74" s="1" t="n"/>
    </row>
    <row r="75">
      <c r="A75" s="1" t="n"/>
      <c r="B75" s="32" t="n"/>
      <c r="C75" s="36" t="n"/>
      <c r="D75" s="40" t="n"/>
      <c r="E75" s="35" t="n"/>
      <c r="F75" s="41">
        <f>IF(B75="","",N(E75)/IF(N(D75)&gt;0,D75,1))</f>
        <v/>
      </c>
      <c r="G75" s="40" t="n"/>
      <c r="H75" s="39">
        <f>IF(B75="","",SUMIFS('Product materials'!$G$6:$G$505,'Product materials'!$C$6:$C$505,B75))</f>
        <v/>
      </c>
      <c r="I75" s="42">
        <f>IF(B75="","",IF(H75-N(G75)&gt;0,H75-N(G75),""))</f>
        <v/>
      </c>
      <c r="J75" s="33" t="n"/>
      <c r="K75" s="1" t="n"/>
    </row>
    <row r="76">
      <c r="A76" s="1" t="n"/>
      <c r="B76" s="32" t="n"/>
      <c r="C76" s="36" t="n"/>
      <c r="D76" s="40" t="n"/>
      <c r="E76" s="35" t="n"/>
      <c r="F76" s="41">
        <f>IF(B76="","",N(E76)/IF(N(D76)&gt;0,D76,1))</f>
        <v/>
      </c>
      <c r="G76" s="40" t="n"/>
      <c r="H76" s="39">
        <f>IF(B76="","",SUMIFS('Product materials'!$G$6:$G$505,'Product materials'!$C$6:$C$505,B76))</f>
        <v/>
      </c>
      <c r="I76" s="42">
        <f>IF(B76="","",IF(H76-N(G76)&gt;0,H76-N(G76),""))</f>
        <v/>
      </c>
      <c r="J76" s="33" t="n"/>
      <c r="K76" s="1" t="n"/>
    </row>
    <row r="77">
      <c r="A77" s="1" t="n"/>
      <c r="B77" s="32" t="n"/>
      <c r="C77" s="36" t="n"/>
      <c r="D77" s="40" t="n"/>
      <c r="E77" s="35" t="n"/>
      <c r="F77" s="41">
        <f>IF(B77="","",N(E77)/IF(N(D77)&gt;0,D77,1))</f>
        <v/>
      </c>
      <c r="G77" s="40" t="n"/>
      <c r="H77" s="39">
        <f>IF(B77="","",SUMIFS('Product materials'!$G$6:$G$505,'Product materials'!$C$6:$C$505,B77))</f>
        <v/>
      </c>
      <c r="I77" s="42">
        <f>IF(B77="","",IF(H77-N(G77)&gt;0,H77-N(G77),""))</f>
        <v/>
      </c>
      <c r="J77" s="33" t="n"/>
      <c r="K77" s="1" t="n"/>
    </row>
    <row r="78">
      <c r="A78" s="1" t="n"/>
      <c r="B78" s="32" t="n"/>
      <c r="C78" s="36" t="n"/>
      <c r="D78" s="40" t="n"/>
      <c r="E78" s="35" t="n"/>
      <c r="F78" s="41">
        <f>IF(B78="","",N(E78)/IF(N(D78)&gt;0,D78,1))</f>
        <v/>
      </c>
      <c r="G78" s="40" t="n"/>
      <c r="H78" s="39">
        <f>IF(B78="","",SUMIFS('Product materials'!$G$6:$G$505,'Product materials'!$C$6:$C$505,B78))</f>
        <v/>
      </c>
      <c r="I78" s="42">
        <f>IF(B78="","",IF(H78-N(G78)&gt;0,H78-N(G78),""))</f>
        <v/>
      </c>
      <c r="J78" s="33" t="n"/>
      <c r="K78" s="1" t="n"/>
    </row>
    <row r="79">
      <c r="A79" s="1" t="n"/>
      <c r="B79" s="32" t="n"/>
      <c r="C79" s="36" t="n"/>
      <c r="D79" s="40" t="n"/>
      <c r="E79" s="35" t="n"/>
      <c r="F79" s="41">
        <f>IF(B79="","",N(E79)/IF(N(D79)&gt;0,D79,1))</f>
        <v/>
      </c>
      <c r="G79" s="40" t="n"/>
      <c r="H79" s="39">
        <f>IF(B79="","",SUMIFS('Product materials'!$G$6:$G$505,'Product materials'!$C$6:$C$505,B79))</f>
        <v/>
      </c>
      <c r="I79" s="42">
        <f>IF(B79="","",IF(H79-N(G79)&gt;0,H79-N(G79),""))</f>
        <v/>
      </c>
      <c r="J79" s="33" t="n"/>
      <c r="K79" s="1" t="n"/>
    </row>
    <row r="80">
      <c r="A80" s="1" t="n"/>
      <c r="B80" s="32" t="n"/>
      <c r="C80" s="36" t="n"/>
      <c r="D80" s="40" t="n"/>
      <c r="E80" s="35" t="n"/>
      <c r="F80" s="41">
        <f>IF(B80="","",N(E80)/IF(N(D80)&gt;0,D80,1))</f>
        <v/>
      </c>
      <c r="G80" s="40" t="n"/>
      <c r="H80" s="39">
        <f>IF(B80="","",SUMIFS('Product materials'!$G$6:$G$505,'Product materials'!$C$6:$C$505,B80))</f>
        <v/>
      </c>
      <c r="I80" s="42">
        <f>IF(B80="","",IF(H80-N(G80)&gt;0,H80-N(G80),""))</f>
        <v/>
      </c>
      <c r="J80" s="33" t="n"/>
      <c r="K80" s="1" t="n"/>
    </row>
    <row r="81">
      <c r="A81" s="1" t="n"/>
      <c r="B81" s="32" t="n"/>
      <c r="C81" s="36" t="n"/>
      <c r="D81" s="40" t="n"/>
      <c r="E81" s="35" t="n"/>
      <c r="F81" s="41">
        <f>IF(B81="","",N(E81)/IF(N(D81)&gt;0,D81,1))</f>
        <v/>
      </c>
      <c r="G81" s="40" t="n"/>
      <c r="H81" s="39">
        <f>IF(B81="","",SUMIFS('Product materials'!$G$6:$G$505,'Product materials'!$C$6:$C$505,B81))</f>
        <v/>
      </c>
      <c r="I81" s="42">
        <f>IF(B81="","",IF(H81-N(G81)&gt;0,H81-N(G81),""))</f>
        <v/>
      </c>
      <c r="J81" s="33" t="n"/>
      <c r="K81" s="1" t="n"/>
    </row>
    <row r="82">
      <c r="A82" s="1" t="n"/>
      <c r="B82" s="32" t="n"/>
      <c r="C82" s="36" t="n"/>
      <c r="D82" s="40" t="n"/>
      <c r="E82" s="35" t="n"/>
      <c r="F82" s="41">
        <f>IF(B82="","",N(E82)/IF(N(D82)&gt;0,D82,1))</f>
        <v/>
      </c>
      <c r="G82" s="40" t="n"/>
      <c r="H82" s="39">
        <f>IF(B82="","",SUMIFS('Product materials'!$G$6:$G$505,'Product materials'!$C$6:$C$505,B82))</f>
        <v/>
      </c>
      <c r="I82" s="42">
        <f>IF(B82="","",IF(H82-N(G82)&gt;0,H82-N(G82),""))</f>
        <v/>
      </c>
      <c r="J82" s="33" t="n"/>
      <c r="K82" s="1" t="n"/>
    </row>
    <row r="83">
      <c r="A83" s="1" t="n"/>
      <c r="B83" s="32" t="n"/>
      <c r="C83" s="36" t="n"/>
      <c r="D83" s="40" t="n"/>
      <c r="E83" s="35" t="n"/>
      <c r="F83" s="41">
        <f>IF(B83="","",N(E83)/IF(N(D83)&gt;0,D83,1))</f>
        <v/>
      </c>
      <c r="G83" s="40" t="n"/>
      <c r="H83" s="39">
        <f>IF(B83="","",SUMIFS('Product materials'!$G$6:$G$505,'Product materials'!$C$6:$C$505,B83))</f>
        <v/>
      </c>
      <c r="I83" s="42">
        <f>IF(B83="","",IF(H83-N(G83)&gt;0,H83-N(G83),""))</f>
        <v/>
      </c>
      <c r="J83" s="33" t="n"/>
      <c r="K83" s="1" t="n"/>
    </row>
    <row r="84">
      <c r="A84" s="1" t="n"/>
      <c r="B84" s="32" t="n"/>
      <c r="C84" s="36" t="n"/>
      <c r="D84" s="40" t="n"/>
      <c r="E84" s="35" t="n"/>
      <c r="F84" s="41">
        <f>IF(B84="","",N(E84)/IF(N(D84)&gt;0,D84,1))</f>
        <v/>
      </c>
      <c r="G84" s="40" t="n"/>
      <c r="H84" s="39">
        <f>IF(B84="","",SUMIFS('Product materials'!$G$6:$G$505,'Product materials'!$C$6:$C$505,B84))</f>
        <v/>
      </c>
      <c r="I84" s="42">
        <f>IF(B84="","",IF(H84-N(G84)&gt;0,H84-N(G84),""))</f>
        <v/>
      </c>
      <c r="J84" s="33" t="n"/>
      <c r="K84" s="1" t="n"/>
    </row>
    <row r="85">
      <c r="A85" s="1" t="n"/>
      <c r="B85" s="32" t="n"/>
      <c r="C85" s="36" t="n"/>
      <c r="D85" s="40" t="n"/>
      <c r="E85" s="35" t="n"/>
      <c r="F85" s="41">
        <f>IF(B85="","",N(E85)/IF(N(D85)&gt;0,D85,1))</f>
        <v/>
      </c>
      <c r="G85" s="40" t="n"/>
      <c r="H85" s="39">
        <f>IF(B85="","",SUMIFS('Product materials'!$G$6:$G$505,'Product materials'!$C$6:$C$505,B85))</f>
        <v/>
      </c>
      <c r="I85" s="42">
        <f>IF(B85="","",IF(H85-N(G85)&gt;0,H85-N(G85),""))</f>
        <v/>
      </c>
      <c r="J85" s="33" t="n"/>
      <c r="K85" s="1" t="n"/>
    </row>
    <row r="86">
      <c r="A86" s="1" t="n"/>
      <c r="B86" s="32" t="n"/>
      <c r="C86" s="36" t="n"/>
      <c r="D86" s="40" t="n"/>
      <c r="E86" s="35" t="n"/>
      <c r="F86" s="41">
        <f>IF(B86="","",N(E86)/IF(N(D86)&gt;0,D86,1))</f>
        <v/>
      </c>
      <c r="G86" s="40" t="n"/>
      <c r="H86" s="39">
        <f>IF(B86="","",SUMIFS('Product materials'!$G$6:$G$505,'Product materials'!$C$6:$C$505,B86))</f>
        <v/>
      </c>
      <c r="I86" s="42">
        <f>IF(B86="","",IF(H86-N(G86)&gt;0,H86-N(G86),""))</f>
        <v/>
      </c>
      <c r="J86" s="33" t="n"/>
      <c r="K86" s="1" t="n"/>
    </row>
    <row r="87">
      <c r="A87" s="1" t="n"/>
      <c r="B87" s="32" t="n"/>
      <c r="C87" s="36" t="n"/>
      <c r="D87" s="40" t="n"/>
      <c r="E87" s="35" t="n"/>
      <c r="F87" s="41">
        <f>IF(B87="","",N(E87)/IF(N(D87)&gt;0,D87,1))</f>
        <v/>
      </c>
      <c r="G87" s="40" t="n"/>
      <c r="H87" s="39">
        <f>IF(B87="","",SUMIFS('Product materials'!$G$6:$G$505,'Product materials'!$C$6:$C$505,B87))</f>
        <v/>
      </c>
      <c r="I87" s="42">
        <f>IF(B87="","",IF(H87-N(G87)&gt;0,H87-N(G87),""))</f>
        <v/>
      </c>
      <c r="J87" s="33" t="n"/>
      <c r="K87" s="1" t="n"/>
    </row>
    <row r="88">
      <c r="A88" s="1" t="n"/>
      <c r="B88" s="32" t="n"/>
      <c r="C88" s="36" t="n"/>
      <c r="D88" s="40" t="n"/>
      <c r="E88" s="35" t="n"/>
      <c r="F88" s="41">
        <f>IF(B88="","",N(E88)/IF(N(D88)&gt;0,D88,1))</f>
        <v/>
      </c>
      <c r="G88" s="40" t="n"/>
      <c r="H88" s="39">
        <f>IF(B88="","",SUMIFS('Product materials'!$G$6:$G$505,'Product materials'!$C$6:$C$505,B88))</f>
        <v/>
      </c>
      <c r="I88" s="42">
        <f>IF(B88="","",IF(H88-N(G88)&gt;0,H88-N(G88),""))</f>
        <v/>
      </c>
      <c r="J88" s="33" t="n"/>
      <c r="K88" s="1" t="n"/>
    </row>
    <row r="89">
      <c r="A89" s="1" t="n"/>
      <c r="B89" s="32" t="n"/>
      <c r="C89" s="36" t="n"/>
      <c r="D89" s="40" t="n"/>
      <c r="E89" s="35" t="n"/>
      <c r="F89" s="41">
        <f>IF(B89="","",N(E89)/IF(N(D89)&gt;0,D89,1))</f>
        <v/>
      </c>
      <c r="G89" s="40" t="n"/>
      <c r="H89" s="39">
        <f>IF(B89="","",SUMIFS('Product materials'!$G$6:$G$505,'Product materials'!$C$6:$C$505,B89))</f>
        <v/>
      </c>
      <c r="I89" s="42">
        <f>IF(B89="","",IF(H89-N(G89)&gt;0,H89-N(G89),""))</f>
        <v/>
      </c>
      <c r="J89" s="33" t="n"/>
      <c r="K89" s="1" t="n"/>
    </row>
    <row r="90">
      <c r="A90" s="1" t="n"/>
      <c r="B90" s="32" t="n"/>
      <c r="C90" s="36" t="n"/>
      <c r="D90" s="40" t="n"/>
      <c r="E90" s="35" t="n"/>
      <c r="F90" s="41">
        <f>IF(B90="","",N(E90)/IF(N(D90)&gt;0,D90,1))</f>
        <v/>
      </c>
      <c r="G90" s="40" t="n"/>
      <c r="H90" s="39">
        <f>IF(B90="","",SUMIFS('Product materials'!$G$6:$G$505,'Product materials'!$C$6:$C$505,B90))</f>
        <v/>
      </c>
      <c r="I90" s="42">
        <f>IF(B90="","",IF(H90-N(G90)&gt;0,H90-N(G90),""))</f>
        <v/>
      </c>
      <c r="J90" s="33" t="n"/>
      <c r="K90" s="1" t="n"/>
    </row>
    <row r="91">
      <c r="A91" s="1" t="n"/>
      <c r="B91" s="32" t="n"/>
      <c r="C91" s="36" t="n"/>
      <c r="D91" s="40" t="n"/>
      <c r="E91" s="35" t="n"/>
      <c r="F91" s="41">
        <f>IF(B91="","",N(E91)/IF(N(D91)&gt;0,D91,1))</f>
        <v/>
      </c>
      <c r="G91" s="40" t="n"/>
      <c r="H91" s="39">
        <f>IF(B91="","",SUMIFS('Product materials'!$G$6:$G$505,'Product materials'!$C$6:$C$505,B91))</f>
        <v/>
      </c>
      <c r="I91" s="42">
        <f>IF(B91="","",IF(H91-N(G91)&gt;0,H91-N(G91),""))</f>
        <v/>
      </c>
      <c r="J91" s="33" t="n"/>
      <c r="K91" s="1" t="n"/>
    </row>
    <row r="92">
      <c r="A92" s="1" t="n"/>
      <c r="B92" s="32" t="n"/>
      <c r="C92" s="36" t="n"/>
      <c r="D92" s="40" t="n"/>
      <c r="E92" s="35" t="n"/>
      <c r="F92" s="41">
        <f>IF(B92="","",N(E92)/IF(N(D92)&gt;0,D92,1))</f>
        <v/>
      </c>
      <c r="G92" s="40" t="n"/>
      <c r="H92" s="39">
        <f>IF(B92="","",SUMIFS('Product materials'!$G$6:$G$505,'Product materials'!$C$6:$C$505,B92))</f>
        <v/>
      </c>
      <c r="I92" s="42">
        <f>IF(B92="","",IF(H92-N(G92)&gt;0,H92-N(G92),""))</f>
        <v/>
      </c>
      <c r="J92" s="33" t="n"/>
      <c r="K92" s="1" t="n"/>
    </row>
    <row r="93">
      <c r="A93" s="1" t="n"/>
      <c r="B93" s="32" t="n"/>
      <c r="C93" s="36" t="n"/>
      <c r="D93" s="40" t="n"/>
      <c r="E93" s="35" t="n"/>
      <c r="F93" s="41">
        <f>IF(B93="","",N(E93)/IF(N(D93)&gt;0,D93,1))</f>
        <v/>
      </c>
      <c r="G93" s="40" t="n"/>
      <c r="H93" s="39">
        <f>IF(B93="","",SUMIFS('Product materials'!$G$6:$G$505,'Product materials'!$C$6:$C$505,B93))</f>
        <v/>
      </c>
      <c r="I93" s="42">
        <f>IF(B93="","",IF(H93-N(G93)&gt;0,H93-N(G93),""))</f>
        <v/>
      </c>
      <c r="J93" s="33" t="n"/>
      <c r="K93" s="1" t="n"/>
    </row>
    <row r="94">
      <c r="A94" s="1" t="n"/>
      <c r="B94" s="32" t="n"/>
      <c r="C94" s="36" t="n"/>
      <c r="D94" s="40" t="n"/>
      <c r="E94" s="35" t="n"/>
      <c r="F94" s="41">
        <f>IF(B94="","",N(E94)/IF(N(D94)&gt;0,D94,1))</f>
        <v/>
      </c>
      <c r="G94" s="40" t="n"/>
      <c r="H94" s="39">
        <f>IF(B94="","",SUMIFS('Product materials'!$G$6:$G$505,'Product materials'!$C$6:$C$505,B94))</f>
        <v/>
      </c>
      <c r="I94" s="42">
        <f>IF(B94="","",IF(H94-N(G94)&gt;0,H94-N(G94),""))</f>
        <v/>
      </c>
      <c r="J94" s="33" t="n"/>
      <c r="K94" s="1" t="n"/>
    </row>
    <row r="95">
      <c r="A95" s="1" t="n"/>
      <c r="B95" s="32" t="n"/>
      <c r="C95" s="36" t="n"/>
      <c r="D95" s="40" t="n"/>
      <c r="E95" s="35" t="n"/>
      <c r="F95" s="41">
        <f>IF(B95="","",N(E95)/IF(N(D95)&gt;0,D95,1))</f>
        <v/>
      </c>
      <c r="G95" s="40" t="n"/>
      <c r="H95" s="39">
        <f>IF(B95="","",SUMIFS('Product materials'!$G$6:$G$505,'Product materials'!$C$6:$C$505,B95))</f>
        <v/>
      </c>
      <c r="I95" s="42">
        <f>IF(B95="","",IF(H95-N(G95)&gt;0,H95-N(G95),""))</f>
        <v/>
      </c>
      <c r="J95" s="33" t="n"/>
      <c r="K95" s="1" t="n"/>
    </row>
    <row r="96">
      <c r="A96" s="1" t="n"/>
      <c r="B96" s="32" t="n"/>
      <c r="C96" s="36" t="n"/>
      <c r="D96" s="40" t="n"/>
      <c r="E96" s="35" t="n"/>
      <c r="F96" s="41">
        <f>IF(B96="","",N(E96)/IF(N(D96)&gt;0,D96,1))</f>
        <v/>
      </c>
      <c r="G96" s="40" t="n"/>
      <c r="H96" s="39">
        <f>IF(B96="","",SUMIFS('Product materials'!$G$6:$G$505,'Product materials'!$C$6:$C$505,B96))</f>
        <v/>
      </c>
      <c r="I96" s="42">
        <f>IF(B96="","",IF(H96-N(G96)&gt;0,H96-N(G96),""))</f>
        <v/>
      </c>
      <c r="J96" s="33" t="n"/>
      <c r="K96" s="1" t="n"/>
    </row>
    <row r="97">
      <c r="A97" s="1" t="n"/>
      <c r="B97" s="32" t="n"/>
      <c r="C97" s="36" t="n"/>
      <c r="D97" s="40" t="n"/>
      <c r="E97" s="35" t="n"/>
      <c r="F97" s="41">
        <f>IF(B97="","",N(E97)/IF(N(D97)&gt;0,D97,1))</f>
        <v/>
      </c>
      <c r="G97" s="40" t="n"/>
      <c r="H97" s="39">
        <f>IF(B97="","",SUMIFS('Product materials'!$G$6:$G$505,'Product materials'!$C$6:$C$505,B97))</f>
        <v/>
      </c>
      <c r="I97" s="42">
        <f>IF(B97="","",IF(H97-N(G97)&gt;0,H97-N(G97),""))</f>
        <v/>
      </c>
      <c r="J97" s="33" t="n"/>
      <c r="K97" s="1" t="n"/>
    </row>
    <row r="98">
      <c r="A98" s="1" t="n"/>
      <c r="B98" s="32" t="n"/>
      <c r="C98" s="36" t="n"/>
      <c r="D98" s="40" t="n"/>
      <c r="E98" s="35" t="n"/>
      <c r="F98" s="41">
        <f>IF(B98="","",N(E98)/IF(N(D98)&gt;0,D98,1))</f>
        <v/>
      </c>
      <c r="G98" s="40" t="n"/>
      <c r="H98" s="39">
        <f>IF(B98="","",SUMIFS('Product materials'!$G$6:$G$505,'Product materials'!$C$6:$C$505,B98))</f>
        <v/>
      </c>
      <c r="I98" s="42">
        <f>IF(B98="","",IF(H98-N(G98)&gt;0,H98-N(G98),""))</f>
        <v/>
      </c>
      <c r="J98" s="33" t="n"/>
      <c r="K98" s="1" t="n"/>
    </row>
    <row r="99">
      <c r="A99" s="1" t="n"/>
      <c r="B99" s="32" t="n"/>
      <c r="C99" s="36" t="n"/>
      <c r="D99" s="40" t="n"/>
      <c r="E99" s="35" t="n"/>
      <c r="F99" s="41">
        <f>IF(B99="","",N(E99)/IF(N(D99)&gt;0,D99,1))</f>
        <v/>
      </c>
      <c r="G99" s="40" t="n"/>
      <c r="H99" s="39">
        <f>IF(B99="","",SUMIFS('Product materials'!$G$6:$G$505,'Product materials'!$C$6:$C$505,B99))</f>
        <v/>
      </c>
      <c r="I99" s="42">
        <f>IF(B99="","",IF(H99-N(G99)&gt;0,H99-N(G99),""))</f>
        <v/>
      </c>
      <c r="J99" s="33" t="n"/>
      <c r="K99" s="1" t="n"/>
    </row>
    <row r="100">
      <c r="A100" s="1" t="n"/>
      <c r="B100" s="32" t="n"/>
      <c r="C100" s="36" t="n"/>
      <c r="D100" s="40" t="n"/>
      <c r="E100" s="35" t="n"/>
      <c r="F100" s="41">
        <f>IF(B100="","",N(E100)/IF(N(D100)&gt;0,D100,1))</f>
        <v/>
      </c>
      <c r="G100" s="40" t="n"/>
      <c r="H100" s="39">
        <f>IF(B100="","",SUMIFS('Product materials'!$G$6:$G$505,'Product materials'!$C$6:$C$505,B100))</f>
        <v/>
      </c>
      <c r="I100" s="42">
        <f>IF(B100="","",IF(H100-N(G100)&gt;0,H100-N(G100),""))</f>
        <v/>
      </c>
      <c r="J100" s="33" t="n"/>
      <c r="K100" s="1" t="n"/>
    </row>
    <row r="101">
      <c r="A101" s="1" t="n"/>
      <c r="B101" s="32" t="n"/>
      <c r="C101" s="36" t="n"/>
      <c r="D101" s="40" t="n"/>
      <c r="E101" s="35" t="n"/>
      <c r="F101" s="41">
        <f>IF(B101="","",N(E101)/IF(N(D101)&gt;0,D101,1))</f>
        <v/>
      </c>
      <c r="G101" s="40" t="n"/>
      <c r="H101" s="39">
        <f>IF(B101="","",SUMIFS('Product materials'!$G$6:$G$505,'Product materials'!$C$6:$C$505,B101))</f>
        <v/>
      </c>
      <c r="I101" s="42">
        <f>IF(B101="","",IF(H101-N(G101)&gt;0,H101-N(G101),""))</f>
        <v/>
      </c>
      <c r="J101" s="33" t="n"/>
      <c r="K101" s="1" t="n"/>
    </row>
    <row r="102">
      <c r="A102" s="1" t="n"/>
      <c r="B102" s="32" t="n"/>
      <c r="C102" s="36" t="n"/>
      <c r="D102" s="40" t="n"/>
      <c r="E102" s="35" t="n"/>
      <c r="F102" s="41">
        <f>IF(B102="","",N(E102)/IF(N(D102)&gt;0,D102,1))</f>
        <v/>
      </c>
      <c r="G102" s="40" t="n"/>
      <c r="H102" s="39">
        <f>IF(B102="","",SUMIFS('Product materials'!$G$6:$G$505,'Product materials'!$C$6:$C$505,B102))</f>
        <v/>
      </c>
      <c r="I102" s="42">
        <f>IF(B102="","",IF(H102-N(G102)&gt;0,H102-N(G102),""))</f>
        <v/>
      </c>
      <c r="J102" s="33" t="n"/>
      <c r="K102" s="1" t="n"/>
    </row>
    <row r="103">
      <c r="A103" s="1" t="n"/>
      <c r="B103" s="32" t="n"/>
      <c r="C103" s="36" t="n"/>
      <c r="D103" s="40" t="n"/>
      <c r="E103" s="35" t="n"/>
      <c r="F103" s="41">
        <f>IF(B103="","",N(E103)/IF(N(D103)&gt;0,D103,1))</f>
        <v/>
      </c>
      <c r="G103" s="40" t="n"/>
      <c r="H103" s="39">
        <f>IF(B103="","",SUMIFS('Product materials'!$G$6:$G$505,'Product materials'!$C$6:$C$505,B103))</f>
        <v/>
      </c>
      <c r="I103" s="42">
        <f>IF(B103="","",IF(H103-N(G103)&gt;0,H103-N(G103),""))</f>
        <v/>
      </c>
      <c r="J103" s="33" t="n"/>
      <c r="K103" s="1" t="n"/>
    </row>
    <row r="104">
      <c r="A104" s="1" t="n"/>
      <c r="B104" s="32" t="n"/>
      <c r="C104" s="36" t="n"/>
      <c r="D104" s="40" t="n"/>
      <c r="E104" s="35" t="n"/>
      <c r="F104" s="41">
        <f>IF(B104="","",N(E104)/IF(N(D104)&gt;0,D104,1))</f>
        <v/>
      </c>
      <c r="G104" s="40" t="n"/>
      <c r="H104" s="39">
        <f>IF(B104="","",SUMIFS('Product materials'!$G$6:$G$505,'Product materials'!$C$6:$C$505,B104))</f>
        <v/>
      </c>
      <c r="I104" s="42">
        <f>IF(B104="","",IF(H104-N(G104)&gt;0,H104-N(G104),""))</f>
        <v/>
      </c>
      <c r="J104" s="33" t="n"/>
      <c r="K104" s="1" t="n"/>
    </row>
    <row r="105">
      <c r="A105" s="1" t="n"/>
      <c r="B105" s="32" t="n"/>
      <c r="C105" s="36" t="n"/>
      <c r="D105" s="40" t="n"/>
      <c r="E105" s="35" t="n"/>
      <c r="F105" s="41">
        <f>IF(B105="","",N(E105)/IF(N(D105)&gt;0,D105,1))</f>
        <v/>
      </c>
      <c r="G105" s="40" t="n"/>
      <c r="H105" s="39">
        <f>IF(B105="","",SUMIFS('Product materials'!$G$6:$G$505,'Product materials'!$C$6:$C$505,B105))</f>
        <v/>
      </c>
      <c r="I105" s="42">
        <f>IF(B105="","",IF(H105-N(G105)&gt;0,H105-N(G105),""))</f>
        <v/>
      </c>
      <c r="J105" s="33" t="n"/>
      <c r="K105" s="1" t="n"/>
    </row>
    <row r="106">
      <c r="A106" s="1" t="n"/>
      <c r="B106" s="32" t="n"/>
      <c r="C106" s="36" t="n"/>
      <c r="D106" s="40" t="n"/>
      <c r="E106" s="35" t="n"/>
      <c r="F106" s="41">
        <f>IF(B106="","",N(E106)/IF(N(D106)&gt;0,D106,1))</f>
        <v/>
      </c>
      <c r="G106" s="40" t="n"/>
      <c r="H106" s="39">
        <f>IF(B106="","",SUMIFS('Product materials'!$G$6:$G$505,'Product materials'!$C$6:$C$505,B106))</f>
        <v/>
      </c>
      <c r="I106" s="42">
        <f>IF(B106="","",IF(H106-N(G106)&gt;0,H106-N(G106),""))</f>
        <v/>
      </c>
      <c r="J106" s="33" t="n"/>
      <c r="K106" s="1" t="n"/>
    </row>
    <row r="107">
      <c r="A107" s="1" t="n"/>
      <c r="B107" s="32" t="n"/>
      <c r="C107" s="36" t="n"/>
      <c r="D107" s="40" t="n"/>
      <c r="E107" s="35" t="n"/>
      <c r="F107" s="41">
        <f>IF(B107="","",N(E107)/IF(N(D107)&gt;0,D107,1))</f>
        <v/>
      </c>
      <c r="G107" s="40" t="n"/>
      <c r="H107" s="39">
        <f>IF(B107="","",SUMIFS('Product materials'!$G$6:$G$505,'Product materials'!$C$6:$C$505,B107))</f>
        <v/>
      </c>
      <c r="I107" s="42">
        <f>IF(B107="","",IF(H107-N(G107)&gt;0,H107-N(G107),""))</f>
        <v/>
      </c>
      <c r="J107" s="33" t="n"/>
      <c r="K107" s="1" t="n"/>
    </row>
    <row r="108">
      <c r="A108" s="1" t="n"/>
      <c r="B108" s="32" t="n"/>
      <c r="C108" s="36" t="n"/>
      <c r="D108" s="40" t="n"/>
      <c r="E108" s="35" t="n"/>
      <c r="F108" s="41">
        <f>IF(B108="","",N(E108)/IF(N(D108)&gt;0,D108,1))</f>
        <v/>
      </c>
      <c r="G108" s="40" t="n"/>
      <c r="H108" s="39">
        <f>IF(B108="","",SUMIFS('Product materials'!$G$6:$G$505,'Product materials'!$C$6:$C$505,B108))</f>
        <v/>
      </c>
      <c r="I108" s="42">
        <f>IF(B108="","",IF(H108-N(G108)&gt;0,H108-N(G108),""))</f>
        <v/>
      </c>
      <c r="J108" s="33" t="n"/>
      <c r="K108" s="1" t="n"/>
    </row>
    <row r="109">
      <c r="A109" s="1" t="n"/>
      <c r="B109" s="32" t="n"/>
      <c r="C109" s="36" t="n"/>
      <c r="D109" s="40" t="n"/>
      <c r="E109" s="35" t="n"/>
      <c r="F109" s="41">
        <f>IF(B109="","",N(E109)/IF(N(D109)&gt;0,D109,1))</f>
        <v/>
      </c>
      <c r="G109" s="40" t="n"/>
      <c r="H109" s="39">
        <f>IF(B109="","",SUMIFS('Product materials'!$G$6:$G$505,'Product materials'!$C$6:$C$505,B109))</f>
        <v/>
      </c>
      <c r="I109" s="42">
        <f>IF(B109="","",IF(H109-N(G109)&gt;0,H109-N(G109),""))</f>
        <v/>
      </c>
      <c r="J109" s="33" t="n"/>
      <c r="K109" s="1" t="n"/>
    </row>
    <row r="110">
      <c r="A110" s="1" t="n"/>
      <c r="B110" s="32" t="n"/>
      <c r="C110" s="36" t="n"/>
      <c r="D110" s="40" t="n"/>
      <c r="E110" s="35" t="n"/>
      <c r="F110" s="41">
        <f>IF(B110="","",N(E110)/IF(N(D110)&gt;0,D110,1))</f>
        <v/>
      </c>
      <c r="G110" s="40" t="n"/>
      <c r="H110" s="39">
        <f>IF(B110="","",SUMIFS('Product materials'!$G$6:$G$505,'Product materials'!$C$6:$C$505,B110))</f>
        <v/>
      </c>
      <c r="I110" s="42">
        <f>IF(B110="","",IF(H110-N(G110)&gt;0,H110-N(G110),""))</f>
        <v/>
      </c>
      <c r="J110" s="33" t="n"/>
      <c r="K110" s="1" t="n"/>
    </row>
    <row r="111">
      <c r="A111" s="1" t="n"/>
      <c r="B111" s="32" t="n"/>
      <c r="C111" s="36" t="n"/>
      <c r="D111" s="40" t="n"/>
      <c r="E111" s="35" t="n"/>
      <c r="F111" s="41">
        <f>IF(B111="","",N(E111)/IF(N(D111)&gt;0,D111,1))</f>
        <v/>
      </c>
      <c r="G111" s="40" t="n"/>
      <c r="H111" s="39">
        <f>IF(B111="","",SUMIFS('Product materials'!$G$6:$G$505,'Product materials'!$C$6:$C$505,B111))</f>
        <v/>
      </c>
      <c r="I111" s="42">
        <f>IF(B111="","",IF(H111-N(G111)&gt;0,H111-N(G111),""))</f>
        <v/>
      </c>
      <c r="J111" s="33" t="n"/>
      <c r="K111" s="1" t="n"/>
    </row>
    <row r="112">
      <c r="A112" s="1" t="n"/>
      <c r="B112" s="32" t="n"/>
      <c r="C112" s="36" t="n"/>
      <c r="D112" s="40" t="n"/>
      <c r="E112" s="35" t="n"/>
      <c r="F112" s="41">
        <f>IF(B112="","",N(E112)/IF(N(D112)&gt;0,D112,1))</f>
        <v/>
      </c>
      <c r="G112" s="40" t="n"/>
      <c r="H112" s="39">
        <f>IF(B112="","",SUMIFS('Product materials'!$G$6:$G$505,'Product materials'!$C$6:$C$505,B112))</f>
        <v/>
      </c>
      <c r="I112" s="42">
        <f>IF(B112="","",IF(H112-N(G112)&gt;0,H112-N(G112),""))</f>
        <v/>
      </c>
      <c r="J112" s="33" t="n"/>
      <c r="K112" s="1" t="n"/>
    </row>
    <row r="113">
      <c r="A113" s="1" t="n"/>
      <c r="B113" s="32" t="n"/>
      <c r="C113" s="36" t="n"/>
      <c r="D113" s="40" t="n"/>
      <c r="E113" s="35" t="n"/>
      <c r="F113" s="41">
        <f>IF(B113="","",N(E113)/IF(N(D113)&gt;0,D113,1))</f>
        <v/>
      </c>
      <c r="G113" s="40" t="n"/>
      <c r="H113" s="39">
        <f>IF(B113="","",SUMIFS('Product materials'!$G$6:$G$505,'Product materials'!$C$6:$C$505,B113))</f>
        <v/>
      </c>
      <c r="I113" s="42">
        <f>IF(B113="","",IF(H113-N(G113)&gt;0,H113-N(G113),""))</f>
        <v/>
      </c>
      <c r="J113" s="33" t="n"/>
      <c r="K113" s="1" t="n"/>
    </row>
    <row r="114">
      <c r="A114" s="1" t="n"/>
      <c r="B114" s="32" t="n"/>
      <c r="C114" s="36" t="n"/>
      <c r="D114" s="40" t="n"/>
      <c r="E114" s="35" t="n"/>
      <c r="F114" s="41">
        <f>IF(B114="","",N(E114)/IF(N(D114)&gt;0,D114,1))</f>
        <v/>
      </c>
      <c r="G114" s="40" t="n"/>
      <c r="H114" s="39">
        <f>IF(B114="","",SUMIFS('Product materials'!$G$6:$G$505,'Product materials'!$C$6:$C$505,B114))</f>
        <v/>
      </c>
      <c r="I114" s="42">
        <f>IF(B114="","",IF(H114-N(G114)&gt;0,H114-N(G114),""))</f>
        <v/>
      </c>
      <c r="J114" s="33" t="n"/>
      <c r="K114" s="1" t="n"/>
    </row>
    <row r="115">
      <c r="A115" s="1" t="n"/>
      <c r="B115" s="32" t="n"/>
      <c r="C115" s="36" t="n"/>
      <c r="D115" s="40" t="n"/>
      <c r="E115" s="35" t="n"/>
      <c r="F115" s="41">
        <f>IF(B115="","",N(E115)/IF(N(D115)&gt;0,D115,1))</f>
        <v/>
      </c>
      <c r="G115" s="40" t="n"/>
      <c r="H115" s="39">
        <f>IF(B115="","",SUMIFS('Product materials'!$G$6:$G$505,'Product materials'!$C$6:$C$505,B115))</f>
        <v/>
      </c>
      <c r="I115" s="42">
        <f>IF(B115="","",IF(H115-N(G115)&gt;0,H115-N(G115),""))</f>
        <v/>
      </c>
      <c r="J115" s="33" t="n"/>
      <c r="K115" s="1" t="n"/>
    </row>
    <row r="116">
      <c r="A116" s="1" t="n"/>
      <c r="B116" s="32" t="n"/>
      <c r="C116" s="36" t="n"/>
      <c r="D116" s="40" t="n"/>
      <c r="E116" s="35" t="n"/>
      <c r="F116" s="41">
        <f>IF(B116="","",N(E116)/IF(N(D116)&gt;0,D116,1))</f>
        <v/>
      </c>
      <c r="G116" s="40" t="n"/>
      <c r="H116" s="39">
        <f>IF(B116="","",SUMIFS('Product materials'!$G$6:$G$505,'Product materials'!$C$6:$C$505,B116))</f>
        <v/>
      </c>
      <c r="I116" s="42">
        <f>IF(B116="","",IF(H116-N(G116)&gt;0,H116-N(G116),""))</f>
        <v/>
      </c>
      <c r="J116" s="33" t="n"/>
      <c r="K116" s="1" t="n"/>
    </row>
    <row r="117">
      <c r="A117" s="1" t="n"/>
      <c r="B117" s="32" t="n"/>
      <c r="C117" s="36" t="n"/>
      <c r="D117" s="40" t="n"/>
      <c r="E117" s="35" t="n"/>
      <c r="F117" s="41">
        <f>IF(B117="","",N(E117)/IF(N(D117)&gt;0,D117,1))</f>
        <v/>
      </c>
      <c r="G117" s="40" t="n"/>
      <c r="H117" s="39">
        <f>IF(B117="","",SUMIFS('Product materials'!$G$6:$G$505,'Product materials'!$C$6:$C$505,B117))</f>
        <v/>
      </c>
      <c r="I117" s="42">
        <f>IF(B117="","",IF(H117-N(G117)&gt;0,H117-N(G117),""))</f>
        <v/>
      </c>
      <c r="J117" s="33" t="n"/>
      <c r="K117" s="1" t="n"/>
    </row>
    <row r="118">
      <c r="A118" s="1" t="n"/>
      <c r="B118" s="32" t="n"/>
      <c r="C118" s="36" t="n"/>
      <c r="D118" s="40" t="n"/>
      <c r="E118" s="35" t="n"/>
      <c r="F118" s="41">
        <f>IF(B118="","",N(E118)/IF(N(D118)&gt;0,D118,1))</f>
        <v/>
      </c>
      <c r="G118" s="40" t="n"/>
      <c r="H118" s="39">
        <f>IF(B118="","",SUMIFS('Product materials'!$G$6:$G$505,'Product materials'!$C$6:$C$505,B118))</f>
        <v/>
      </c>
      <c r="I118" s="42">
        <f>IF(B118="","",IF(H118-N(G118)&gt;0,H118-N(G118),""))</f>
        <v/>
      </c>
      <c r="J118" s="33" t="n"/>
      <c r="K118" s="1" t="n"/>
    </row>
    <row r="119">
      <c r="A119" s="1" t="n"/>
      <c r="B119" s="32" t="n"/>
      <c r="C119" s="36" t="n"/>
      <c r="D119" s="40" t="n"/>
      <c r="E119" s="35" t="n"/>
      <c r="F119" s="41">
        <f>IF(B119="","",N(E119)/IF(N(D119)&gt;0,D119,1))</f>
        <v/>
      </c>
      <c r="G119" s="40" t="n"/>
      <c r="H119" s="39">
        <f>IF(B119="","",SUMIFS('Product materials'!$G$6:$G$505,'Product materials'!$C$6:$C$505,B119))</f>
        <v/>
      </c>
      <c r="I119" s="42">
        <f>IF(B119="","",IF(H119-N(G119)&gt;0,H119-N(G119),""))</f>
        <v/>
      </c>
      <c r="J119" s="33" t="n"/>
      <c r="K119" s="1" t="n"/>
    </row>
    <row r="120">
      <c r="A120" s="1" t="n"/>
      <c r="B120" s="32" t="n"/>
      <c r="C120" s="36" t="n"/>
      <c r="D120" s="40" t="n"/>
      <c r="E120" s="35" t="n"/>
      <c r="F120" s="41">
        <f>IF(B120="","",N(E120)/IF(N(D120)&gt;0,D120,1))</f>
        <v/>
      </c>
      <c r="G120" s="40" t="n"/>
      <c r="H120" s="39">
        <f>IF(B120="","",SUMIFS('Product materials'!$G$6:$G$505,'Product materials'!$C$6:$C$505,B120))</f>
        <v/>
      </c>
      <c r="I120" s="42">
        <f>IF(B120="","",IF(H120-N(G120)&gt;0,H120-N(G120),""))</f>
        <v/>
      </c>
      <c r="J120" s="33" t="n"/>
      <c r="K120" s="1" t="n"/>
    </row>
    <row r="121">
      <c r="A121" s="1" t="n"/>
      <c r="B121" s="32" t="n"/>
      <c r="C121" s="36" t="n"/>
      <c r="D121" s="40" t="n"/>
      <c r="E121" s="35" t="n"/>
      <c r="F121" s="41">
        <f>IF(B121="","",N(E121)/IF(N(D121)&gt;0,D121,1))</f>
        <v/>
      </c>
      <c r="G121" s="40" t="n"/>
      <c r="H121" s="39">
        <f>IF(B121="","",SUMIFS('Product materials'!$G$6:$G$505,'Product materials'!$C$6:$C$505,B121))</f>
        <v/>
      </c>
      <c r="I121" s="42">
        <f>IF(B121="","",IF(H121-N(G121)&gt;0,H121-N(G121),""))</f>
        <v/>
      </c>
      <c r="J121" s="33" t="n"/>
      <c r="K121" s="1" t="n"/>
    </row>
    <row r="122">
      <c r="A122" s="1" t="n"/>
      <c r="B122" s="32" t="n"/>
      <c r="C122" s="36" t="n"/>
      <c r="D122" s="40" t="n"/>
      <c r="E122" s="35" t="n"/>
      <c r="F122" s="41">
        <f>IF(B122="","",N(E122)/IF(N(D122)&gt;0,D122,1))</f>
        <v/>
      </c>
      <c r="G122" s="40" t="n"/>
      <c r="H122" s="39">
        <f>IF(B122="","",SUMIFS('Product materials'!$G$6:$G$505,'Product materials'!$C$6:$C$505,B122))</f>
        <v/>
      </c>
      <c r="I122" s="42">
        <f>IF(B122="","",IF(H122-N(G122)&gt;0,H122-N(G122),""))</f>
        <v/>
      </c>
      <c r="J122" s="33" t="n"/>
      <c r="K122" s="1" t="n"/>
    </row>
    <row r="123">
      <c r="A123" s="1" t="n"/>
      <c r="B123" s="32" t="n"/>
      <c r="C123" s="36" t="n"/>
      <c r="D123" s="40" t="n"/>
      <c r="E123" s="35" t="n"/>
      <c r="F123" s="41">
        <f>IF(B123="","",N(E123)/IF(N(D123)&gt;0,D123,1))</f>
        <v/>
      </c>
      <c r="G123" s="40" t="n"/>
      <c r="H123" s="39">
        <f>IF(B123="","",SUMIFS('Product materials'!$G$6:$G$505,'Product materials'!$C$6:$C$505,B123))</f>
        <v/>
      </c>
      <c r="I123" s="42">
        <f>IF(B123="","",IF(H123-N(G123)&gt;0,H123-N(G123),""))</f>
        <v/>
      </c>
      <c r="J123" s="33" t="n"/>
      <c r="K123" s="1" t="n"/>
    </row>
    <row r="124">
      <c r="A124" s="1" t="n"/>
      <c r="B124" s="32" t="n"/>
      <c r="C124" s="36" t="n"/>
      <c r="D124" s="40" t="n"/>
      <c r="E124" s="35" t="n"/>
      <c r="F124" s="41">
        <f>IF(B124="","",N(E124)/IF(N(D124)&gt;0,D124,1))</f>
        <v/>
      </c>
      <c r="G124" s="40" t="n"/>
      <c r="H124" s="39">
        <f>IF(B124="","",SUMIFS('Product materials'!$G$6:$G$505,'Product materials'!$C$6:$C$505,B124))</f>
        <v/>
      </c>
      <c r="I124" s="42">
        <f>IF(B124="","",IF(H124-N(G124)&gt;0,H124-N(G124),""))</f>
        <v/>
      </c>
      <c r="J124" s="33" t="n"/>
      <c r="K124" s="1" t="n"/>
    </row>
    <row r="125">
      <c r="A125" s="1" t="n"/>
      <c r="B125" s="32" t="n"/>
      <c r="C125" s="36" t="n"/>
      <c r="D125" s="40" t="n"/>
      <c r="E125" s="35" t="n"/>
      <c r="F125" s="41">
        <f>IF(B125="","",N(E125)/IF(N(D125)&gt;0,D125,1))</f>
        <v/>
      </c>
      <c r="G125" s="40" t="n"/>
      <c r="H125" s="39">
        <f>IF(B125="","",SUMIFS('Product materials'!$G$6:$G$505,'Product materials'!$C$6:$C$505,B125))</f>
        <v/>
      </c>
      <c r="I125" s="42">
        <f>IF(B125="","",IF(H125-N(G125)&gt;0,H125-N(G125),""))</f>
        <v/>
      </c>
      <c r="J125" s="33" t="n"/>
      <c r="K125" s="1" t="n"/>
    </row>
    <row r="126">
      <c r="A126" s="1" t="n"/>
      <c r="B126" s="32" t="n"/>
      <c r="C126" s="36" t="n"/>
      <c r="D126" s="40" t="n"/>
      <c r="E126" s="35" t="n"/>
      <c r="F126" s="41">
        <f>IF(B126="","",N(E126)/IF(N(D126)&gt;0,D126,1))</f>
        <v/>
      </c>
      <c r="G126" s="40" t="n"/>
      <c r="H126" s="39">
        <f>IF(B126="","",SUMIFS('Product materials'!$G$6:$G$505,'Product materials'!$C$6:$C$505,B126))</f>
        <v/>
      </c>
      <c r="I126" s="42">
        <f>IF(B126="","",IF(H126-N(G126)&gt;0,H126-N(G126),""))</f>
        <v/>
      </c>
      <c r="J126" s="33" t="n"/>
      <c r="K126" s="1" t="n"/>
    </row>
    <row r="127">
      <c r="A127" s="1" t="n"/>
      <c r="B127" s="32" t="n"/>
      <c r="C127" s="36" t="n"/>
      <c r="D127" s="40" t="n"/>
      <c r="E127" s="35" t="n"/>
      <c r="F127" s="41">
        <f>IF(B127="","",N(E127)/IF(N(D127)&gt;0,D127,1))</f>
        <v/>
      </c>
      <c r="G127" s="40" t="n"/>
      <c r="H127" s="39">
        <f>IF(B127="","",SUMIFS('Product materials'!$G$6:$G$505,'Product materials'!$C$6:$C$505,B127))</f>
        <v/>
      </c>
      <c r="I127" s="42">
        <f>IF(B127="","",IF(H127-N(G127)&gt;0,H127-N(G127),""))</f>
        <v/>
      </c>
      <c r="J127" s="33" t="n"/>
      <c r="K127" s="1" t="n"/>
    </row>
    <row r="128">
      <c r="A128" s="1" t="n"/>
      <c r="B128" s="32" t="n"/>
      <c r="C128" s="36" t="n"/>
      <c r="D128" s="40" t="n"/>
      <c r="E128" s="35" t="n"/>
      <c r="F128" s="41">
        <f>IF(B128="","",N(E128)/IF(N(D128)&gt;0,D128,1))</f>
        <v/>
      </c>
      <c r="G128" s="40" t="n"/>
      <c r="H128" s="39">
        <f>IF(B128="","",SUMIFS('Product materials'!$G$6:$G$505,'Product materials'!$C$6:$C$505,B128))</f>
        <v/>
      </c>
      <c r="I128" s="42">
        <f>IF(B128="","",IF(H128-N(G128)&gt;0,H128-N(G128),""))</f>
        <v/>
      </c>
      <c r="J128" s="33" t="n"/>
      <c r="K128" s="1" t="n"/>
    </row>
    <row r="129">
      <c r="A129" s="1" t="n"/>
      <c r="B129" s="32" t="n"/>
      <c r="C129" s="36" t="n"/>
      <c r="D129" s="40" t="n"/>
      <c r="E129" s="35" t="n"/>
      <c r="F129" s="41">
        <f>IF(B129="","",N(E129)/IF(N(D129)&gt;0,D129,1))</f>
        <v/>
      </c>
      <c r="G129" s="40" t="n"/>
      <c r="H129" s="39">
        <f>IF(B129="","",SUMIFS('Product materials'!$G$6:$G$505,'Product materials'!$C$6:$C$505,B129))</f>
        <v/>
      </c>
      <c r="I129" s="42">
        <f>IF(B129="","",IF(H129-N(G129)&gt;0,H129-N(G129),""))</f>
        <v/>
      </c>
      <c r="J129" s="33" t="n"/>
      <c r="K129" s="1" t="n"/>
    </row>
    <row r="130">
      <c r="A130" s="1" t="n"/>
      <c r="B130" s="32" t="n"/>
      <c r="C130" s="36" t="n"/>
      <c r="D130" s="40" t="n"/>
      <c r="E130" s="35" t="n"/>
      <c r="F130" s="41">
        <f>IF(B130="","",N(E130)/IF(N(D130)&gt;0,D130,1))</f>
        <v/>
      </c>
      <c r="G130" s="40" t="n"/>
      <c r="H130" s="39">
        <f>IF(B130="","",SUMIFS('Product materials'!$G$6:$G$505,'Product materials'!$C$6:$C$505,B130))</f>
        <v/>
      </c>
      <c r="I130" s="42">
        <f>IF(B130="","",IF(H130-N(G130)&gt;0,H130-N(G130),""))</f>
        <v/>
      </c>
      <c r="J130" s="33" t="n"/>
      <c r="K130" s="1" t="n"/>
    </row>
    <row r="131">
      <c r="A131" s="1" t="n"/>
      <c r="B131" s="32" t="n"/>
      <c r="C131" s="36" t="n"/>
      <c r="D131" s="40" t="n"/>
      <c r="E131" s="35" t="n"/>
      <c r="F131" s="41">
        <f>IF(B131="","",N(E131)/IF(N(D131)&gt;0,D131,1))</f>
        <v/>
      </c>
      <c r="G131" s="40" t="n"/>
      <c r="H131" s="39">
        <f>IF(B131="","",SUMIFS('Product materials'!$G$6:$G$505,'Product materials'!$C$6:$C$505,B131))</f>
        <v/>
      </c>
      <c r="I131" s="42">
        <f>IF(B131="","",IF(H131-N(G131)&gt;0,H131-N(G131),""))</f>
        <v/>
      </c>
      <c r="J131" s="33" t="n"/>
      <c r="K131" s="1" t="n"/>
    </row>
    <row r="132">
      <c r="A132" s="1" t="n"/>
      <c r="B132" s="32" t="n"/>
      <c r="C132" s="36" t="n"/>
      <c r="D132" s="40" t="n"/>
      <c r="E132" s="35" t="n"/>
      <c r="F132" s="41">
        <f>IF(B132="","",N(E132)/IF(N(D132)&gt;0,D132,1))</f>
        <v/>
      </c>
      <c r="G132" s="40" t="n"/>
      <c r="H132" s="39">
        <f>IF(B132="","",SUMIFS('Product materials'!$G$6:$G$505,'Product materials'!$C$6:$C$505,B132))</f>
        <v/>
      </c>
      <c r="I132" s="42">
        <f>IF(B132="","",IF(H132-N(G132)&gt;0,H132-N(G132),""))</f>
        <v/>
      </c>
      <c r="J132" s="33" t="n"/>
      <c r="K132" s="1" t="n"/>
    </row>
    <row r="133">
      <c r="A133" s="1" t="n"/>
      <c r="B133" s="32" t="n"/>
      <c r="C133" s="36" t="n"/>
      <c r="D133" s="40" t="n"/>
      <c r="E133" s="35" t="n"/>
      <c r="F133" s="41">
        <f>IF(B133="","",N(E133)/IF(N(D133)&gt;0,D133,1))</f>
        <v/>
      </c>
      <c r="G133" s="40" t="n"/>
      <c r="H133" s="39">
        <f>IF(B133="","",SUMIFS('Product materials'!$G$6:$G$505,'Product materials'!$C$6:$C$505,B133))</f>
        <v/>
      </c>
      <c r="I133" s="42">
        <f>IF(B133="","",IF(H133-N(G133)&gt;0,H133-N(G133),""))</f>
        <v/>
      </c>
      <c r="J133" s="33" t="n"/>
      <c r="K133" s="1" t="n"/>
    </row>
    <row r="134">
      <c r="A134" s="1" t="n"/>
      <c r="B134" s="32" t="n"/>
      <c r="C134" s="36" t="n"/>
      <c r="D134" s="40" t="n"/>
      <c r="E134" s="35" t="n"/>
      <c r="F134" s="41">
        <f>IF(B134="","",N(E134)/IF(N(D134)&gt;0,D134,1))</f>
        <v/>
      </c>
      <c r="G134" s="40" t="n"/>
      <c r="H134" s="39">
        <f>IF(B134="","",SUMIFS('Product materials'!$G$6:$G$505,'Product materials'!$C$6:$C$505,B134))</f>
        <v/>
      </c>
      <c r="I134" s="42">
        <f>IF(B134="","",IF(H134-N(G134)&gt;0,H134-N(G134),""))</f>
        <v/>
      </c>
      <c r="J134" s="33" t="n"/>
      <c r="K134" s="1" t="n"/>
    </row>
    <row r="135">
      <c r="A135" s="1" t="n"/>
      <c r="B135" s="32" t="n"/>
      <c r="C135" s="36" t="n"/>
      <c r="D135" s="40" t="n"/>
      <c r="E135" s="35" t="n"/>
      <c r="F135" s="41">
        <f>IF(B135="","",N(E135)/IF(N(D135)&gt;0,D135,1))</f>
        <v/>
      </c>
      <c r="G135" s="40" t="n"/>
      <c r="H135" s="39">
        <f>IF(B135="","",SUMIFS('Product materials'!$G$6:$G$505,'Product materials'!$C$6:$C$505,B135))</f>
        <v/>
      </c>
      <c r="I135" s="42">
        <f>IF(B135="","",IF(H135-N(G135)&gt;0,H135-N(G135),""))</f>
        <v/>
      </c>
      <c r="J135" s="33" t="n"/>
      <c r="K135" s="1" t="n"/>
    </row>
    <row r="136">
      <c r="A136" s="1" t="n"/>
      <c r="B136" s="32" t="n"/>
      <c r="C136" s="36" t="n"/>
      <c r="D136" s="40" t="n"/>
      <c r="E136" s="35" t="n"/>
      <c r="F136" s="41">
        <f>IF(B136="","",N(E136)/IF(N(D136)&gt;0,D136,1))</f>
        <v/>
      </c>
      <c r="G136" s="40" t="n"/>
      <c r="H136" s="39">
        <f>IF(B136="","",SUMIFS('Product materials'!$G$6:$G$505,'Product materials'!$C$6:$C$505,B136))</f>
        <v/>
      </c>
      <c r="I136" s="42">
        <f>IF(B136="","",IF(H136-N(G136)&gt;0,H136-N(G136),""))</f>
        <v/>
      </c>
      <c r="J136" s="33" t="n"/>
      <c r="K136" s="1" t="n"/>
    </row>
    <row r="137">
      <c r="A137" s="1" t="n"/>
      <c r="B137" s="32" t="n"/>
      <c r="C137" s="36" t="n"/>
      <c r="D137" s="40" t="n"/>
      <c r="E137" s="35" t="n"/>
      <c r="F137" s="41">
        <f>IF(B137="","",N(E137)/IF(N(D137)&gt;0,D137,1))</f>
        <v/>
      </c>
      <c r="G137" s="40" t="n"/>
      <c r="H137" s="39">
        <f>IF(B137="","",SUMIFS('Product materials'!$G$6:$G$505,'Product materials'!$C$6:$C$505,B137))</f>
        <v/>
      </c>
      <c r="I137" s="42">
        <f>IF(B137="","",IF(H137-N(G137)&gt;0,H137-N(G137),""))</f>
        <v/>
      </c>
      <c r="J137" s="33" t="n"/>
      <c r="K137" s="1" t="n"/>
    </row>
    <row r="138">
      <c r="A138" s="1" t="n"/>
      <c r="B138" s="32" t="n"/>
      <c r="C138" s="36" t="n"/>
      <c r="D138" s="40" t="n"/>
      <c r="E138" s="35" t="n"/>
      <c r="F138" s="41">
        <f>IF(B138="","",N(E138)/IF(N(D138)&gt;0,D138,1))</f>
        <v/>
      </c>
      <c r="G138" s="40" t="n"/>
      <c r="H138" s="39">
        <f>IF(B138="","",SUMIFS('Product materials'!$G$6:$G$505,'Product materials'!$C$6:$C$505,B138))</f>
        <v/>
      </c>
      <c r="I138" s="42">
        <f>IF(B138="","",IF(H138-N(G138)&gt;0,H138-N(G138),""))</f>
        <v/>
      </c>
      <c r="J138" s="33" t="n"/>
      <c r="K138" s="1" t="n"/>
    </row>
    <row r="139">
      <c r="A139" s="1" t="n"/>
      <c r="B139" s="32" t="n"/>
      <c r="C139" s="36" t="n"/>
      <c r="D139" s="40" t="n"/>
      <c r="E139" s="35" t="n"/>
      <c r="F139" s="41">
        <f>IF(B139="","",N(E139)/IF(N(D139)&gt;0,D139,1))</f>
        <v/>
      </c>
      <c r="G139" s="40" t="n"/>
      <c r="H139" s="39">
        <f>IF(B139="","",SUMIFS('Product materials'!$G$6:$G$505,'Product materials'!$C$6:$C$505,B139))</f>
        <v/>
      </c>
      <c r="I139" s="42">
        <f>IF(B139="","",IF(H139-N(G139)&gt;0,H139-N(G139),""))</f>
        <v/>
      </c>
      <c r="J139" s="33" t="n"/>
      <c r="K139" s="1" t="n"/>
    </row>
    <row r="140">
      <c r="A140" s="1" t="n"/>
      <c r="B140" s="32" t="n"/>
      <c r="C140" s="36" t="n"/>
      <c r="D140" s="40" t="n"/>
      <c r="E140" s="35" t="n"/>
      <c r="F140" s="41">
        <f>IF(B140="","",N(E140)/IF(N(D140)&gt;0,D140,1))</f>
        <v/>
      </c>
      <c r="G140" s="40" t="n"/>
      <c r="H140" s="39">
        <f>IF(B140="","",SUMIFS('Product materials'!$G$6:$G$505,'Product materials'!$C$6:$C$505,B140))</f>
        <v/>
      </c>
      <c r="I140" s="42">
        <f>IF(B140="","",IF(H140-N(G140)&gt;0,H140-N(G140),""))</f>
        <v/>
      </c>
      <c r="J140" s="33" t="n"/>
      <c r="K140" s="1" t="n"/>
    </row>
    <row r="141">
      <c r="A141" s="1" t="n"/>
      <c r="B141" s="32" t="n"/>
      <c r="C141" s="36" t="n"/>
      <c r="D141" s="40" t="n"/>
      <c r="E141" s="35" t="n"/>
      <c r="F141" s="41">
        <f>IF(B141="","",N(E141)/IF(N(D141)&gt;0,D141,1))</f>
        <v/>
      </c>
      <c r="G141" s="40" t="n"/>
      <c r="H141" s="39">
        <f>IF(B141="","",SUMIFS('Product materials'!$G$6:$G$505,'Product materials'!$C$6:$C$505,B141))</f>
        <v/>
      </c>
      <c r="I141" s="42">
        <f>IF(B141="","",IF(H141-N(G141)&gt;0,H141-N(G141),""))</f>
        <v/>
      </c>
      <c r="J141" s="33" t="n"/>
      <c r="K141" s="1" t="n"/>
    </row>
    <row r="142">
      <c r="A142" s="1" t="n"/>
      <c r="B142" s="32" t="n"/>
      <c r="C142" s="36" t="n"/>
      <c r="D142" s="40" t="n"/>
      <c r="E142" s="35" t="n"/>
      <c r="F142" s="41">
        <f>IF(B142="","",N(E142)/IF(N(D142)&gt;0,D142,1))</f>
        <v/>
      </c>
      <c r="G142" s="40" t="n"/>
      <c r="H142" s="39">
        <f>IF(B142="","",SUMIFS('Product materials'!$G$6:$G$505,'Product materials'!$C$6:$C$505,B142))</f>
        <v/>
      </c>
      <c r="I142" s="42">
        <f>IF(B142="","",IF(H142-N(G142)&gt;0,H142-N(G142),""))</f>
        <v/>
      </c>
      <c r="J142" s="33" t="n"/>
      <c r="K142" s="1" t="n"/>
    </row>
    <row r="143">
      <c r="A143" s="1" t="n"/>
      <c r="B143" s="32" t="n"/>
      <c r="C143" s="36" t="n"/>
      <c r="D143" s="40" t="n"/>
      <c r="E143" s="35" t="n"/>
      <c r="F143" s="41">
        <f>IF(B143="","",N(E143)/IF(N(D143)&gt;0,D143,1))</f>
        <v/>
      </c>
      <c r="G143" s="40" t="n"/>
      <c r="H143" s="39">
        <f>IF(B143="","",SUMIFS('Product materials'!$G$6:$G$505,'Product materials'!$C$6:$C$505,B143))</f>
        <v/>
      </c>
      <c r="I143" s="42">
        <f>IF(B143="","",IF(H143-N(G143)&gt;0,H143-N(G143),""))</f>
        <v/>
      </c>
      <c r="J143" s="33" t="n"/>
      <c r="K143" s="1" t="n"/>
    </row>
    <row r="144">
      <c r="A144" s="1" t="n"/>
      <c r="B144" s="32" t="n"/>
      <c r="C144" s="36" t="n"/>
      <c r="D144" s="40" t="n"/>
      <c r="E144" s="35" t="n"/>
      <c r="F144" s="41">
        <f>IF(B144="","",N(E144)/IF(N(D144)&gt;0,D144,1))</f>
        <v/>
      </c>
      <c r="G144" s="40" t="n"/>
      <c r="H144" s="39">
        <f>IF(B144="","",SUMIFS('Product materials'!$G$6:$G$505,'Product materials'!$C$6:$C$505,B144))</f>
        <v/>
      </c>
      <c r="I144" s="42">
        <f>IF(B144="","",IF(H144-N(G144)&gt;0,H144-N(G144),""))</f>
        <v/>
      </c>
      <c r="J144" s="33" t="n"/>
      <c r="K144" s="1" t="n"/>
    </row>
    <row r="145">
      <c r="A145" s="1" t="n"/>
      <c r="B145" s="32" t="n"/>
      <c r="C145" s="36" t="n"/>
      <c r="D145" s="40" t="n"/>
      <c r="E145" s="35" t="n"/>
      <c r="F145" s="41">
        <f>IF(B145="","",N(E145)/IF(N(D145)&gt;0,D145,1))</f>
        <v/>
      </c>
      <c r="G145" s="40" t="n"/>
      <c r="H145" s="39">
        <f>IF(B145="","",SUMIFS('Product materials'!$G$6:$G$505,'Product materials'!$C$6:$C$505,B145))</f>
        <v/>
      </c>
      <c r="I145" s="42">
        <f>IF(B145="","",IF(H145-N(G145)&gt;0,H145-N(G145),""))</f>
        <v/>
      </c>
      <c r="J145" s="33" t="n"/>
      <c r="K145" s="1" t="n"/>
    </row>
    <row r="146">
      <c r="A146" s="1" t="n"/>
      <c r="B146" s="32" t="n"/>
      <c r="C146" s="36" t="n"/>
      <c r="D146" s="40" t="n"/>
      <c r="E146" s="35" t="n"/>
      <c r="F146" s="41">
        <f>IF(B146="","",N(E146)/IF(N(D146)&gt;0,D146,1))</f>
        <v/>
      </c>
      <c r="G146" s="40" t="n"/>
      <c r="H146" s="39">
        <f>IF(B146="","",SUMIFS('Product materials'!$G$6:$G$505,'Product materials'!$C$6:$C$505,B146))</f>
        <v/>
      </c>
      <c r="I146" s="42">
        <f>IF(B146="","",IF(H146-N(G146)&gt;0,H146-N(G146),""))</f>
        <v/>
      </c>
      <c r="J146" s="33" t="n"/>
      <c r="K146" s="1" t="n"/>
    </row>
    <row r="147">
      <c r="A147" s="1" t="n"/>
      <c r="B147" s="32" t="n"/>
      <c r="C147" s="36" t="n"/>
      <c r="D147" s="40" t="n"/>
      <c r="E147" s="35" t="n"/>
      <c r="F147" s="41">
        <f>IF(B147="","",N(E147)/IF(N(D147)&gt;0,D147,1))</f>
        <v/>
      </c>
      <c r="G147" s="40" t="n"/>
      <c r="H147" s="39">
        <f>IF(B147="","",SUMIFS('Product materials'!$G$6:$G$505,'Product materials'!$C$6:$C$505,B147))</f>
        <v/>
      </c>
      <c r="I147" s="42">
        <f>IF(B147="","",IF(H147-N(G147)&gt;0,H147-N(G147),""))</f>
        <v/>
      </c>
      <c r="J147" s="33" t="n"/>
      <c r="K147" s="1" t="n"/>
    </row>
    <row r="148">
      <c r="A148" s="1" t="n"/>
      <c r="B148" s="32" t="n"/>
      <c r="C148" s="36" t="n"/>
      <c r="D148" s="40" t="n"/>
      <c r="E148" s="35" t="n"/>
      <c r="F148" s="41">
        <f>IF(B148="","",N(E148)/IF(N(D148)&gt;0,D148,1))</f>
        <v/>
      </c>
      <c r="G148" s="40" t="n"/>
      <c r="H148" s="39">
        <f>IF(B148="","",SUMIFS('Product materials'!$G$6:$G$505,'Product materials'!$C$6:$C$505,B148))</f>
        <v/>
      </c>
      <c r="I148" s="42">
        <f>IF(B148="","",IF(H148-N(G148)&gt;0,H148-N(G148),""))</f>
        <v/>
      </c>
      <c r="J148" s="33" t="n"/>
      <c r="K148" s="1" t="n"/>
    </row>
    <row r="149">
      <c r="A149" s="1" t="n"/>
      <c r="B149" s="32" t="n"/>
      <c r="C149" s="36" t="n"/>
      <c r="D149" s="40" t="n"/>
      <c r="E149" s="35" t="n"/>
      <c r="F149" s="41">
        <f>IF(B149="","",N(E149)/IF(N(D149)&gt;0,D149,1))</f>
        <v/>
      </c>
      <c r="G149" s="40" t="n"/>
      <c r="H149" s="39">
        <f>IF(B149="","",SUMIFS('Product materials'!$G$6:$G$505,'Product materials'!$C$6:$C$505,B149))</f>
        <v/>
      </c>
      <c r="I149" s="42">
        <f>IF(B149="","",IF(H149-N(G149)&gt;0,H149-N(G149),""))</f>
        <v/>
      </c>
      <c r="J149" s="33" t="n"/>
      <c r="K149" s="1" t="n"/>
    </row>
    <row r="150">
      <c r="A150" s="1" t="n"/>
      <c r="B150" s="32" t="n"/>
      <c r="C150" s="36" t="n"/>
      <c r="D150" s="40" t="n"/>
      <c r="E150" s="35" t="n"/>
      <c r="F150" s="41">
        <f>IF(B150="","",N(E150)/IF(N(D150)&gt;0,D150,1))</f>
        <v/>
      </c>
      <c r="G150" s="40" t="n"/>
      <c r="H150" s="39">
        <f>IF(B150="","",SUMIFS('Product materials'!$G$6:$G$505,'Product materials'!$C$6:$C$505,B150))</f>
        <v/>
      </c>
      <c r="I150" s="42">
        <f>IF(B150="","",IF(H150-N(G150)&gt;0,H150-N(G150),""))</f>
        <v/>
      </c>
      <c r="J150" s="33" t="n"/>
      <c r="K150" s="1" t="n"/>
    </row>
    <row r="151">
      <c r="A151" s="1" t="n"/>
      <c r="B151" s="32" t="n"/>
      <c r="C151" s="36" t="n"/>
      <c r="D151" s="40" t="n"/>
      <c r="E151" s="35" t="n"/>
      <c r="F151" s="41">
        <f>IF(B151="","",N(E151)/IF(N(D151)&gt;0,D151,1))</f>
        <v/>
      </c>
      <c r="G151" s="40" t="n"/>
      <c r="H151" s="39">
        <f>IF(B151="","",SUMIFS('Product materials'!$G$6:$G$505,'Product materials'!$C$6:$C$505,B151))</f>
        <v/>
      </c>
      <c r="I151" s="42">
        <f>IF(B151="","",IF(H151-N(G151)&gt;0,H151-N(G151),""))</f>
        <v/>
      </c>
      <c r="J151" s="33" t="n"/>
      <c r="K151" s="1" t="n"/>
    </row>
    <row r="152">
      <c r="A152" s="1" t="n"/>
      <c r="B152" s="32" t="n"/>
      <c r="C152" s="36" t="n"/>
      <c r="D152" s="40" t="n"/>
      <c r="E152" s="35" t="n"/>
      <c r="F152" s="41">
        <f>IF(B152="","",N(E152)/IF(N(D152)&gt;0,D152,1))</f>
        <v/>
      </c>
      <c r="G152" s="40" t="n"/>
      <c r="H152" s="39">
        <f>IF(B152="","",SUMIFS('Product materials'!$G$6:$G$505,'Product materials'!$C$6:$C$505,B152))</f>
        <v/>
      </c>
      <c r="I152" s="42">
        <f>IF(B152="","",IF(H152-N(G152)&gt;0,H152-N(G152),""))</f>
        <v/>
      </c>
      <c r="J152" s="33" t="n"/>
      <c r="K152" s="1" t="n"/>
    </row>
    <row r="153">
      <c r="A153" s="1" t="n"/>
      <c r="B153" s="32" t="n"/>
      <c r="C153" s="36" t="n"/>
      <c r="D153" s="40" t="n"/>
      <c r="E153" s="35" t="n"/>
      <c r="F153" s="41">
        <f>IF(B153="","",N(E153)/IF(N(D153)&gt;0,D153,1))</f>
        <v/>
      </c>
      <c r="G153" s="40" t="n"/>
      <c r="H153" s="39">
        <f>IF(B153="","",SUMIFS('Product materials'!$G$6:$G$505,'Product materials'!$C$6:$C$505,B153))</f>
        <v/>
      </c>
      <c r="I153" s="42">
        <f>IF(B153="","",IF(H153-N(G153)&gt;0,H153-N(G153),""))</f>
        <v/>
      </c>
      <c r="J153" s="33" t="n"/>
      <c r="K153" s="1" t="n"/>
    </row>
    <row r="154">
      <c r="A154" s="1" t="n"/>
      <c r="B154" s="32" t="n"/>
      <c r="C154" s="36" t="n"/>
      <c r="D154" s="40" t="n"/>
      <c r="E154" s="35" t="n"/>
      <c r="F154" s="41">
        <f>IF(B154="","",N(E154)/IF(N(D154)&gt;0,D154,1))</f>
        <v/>
      </c>
      <c r="G154" s="40" t="n"/>
      <c r="H154" s="39">
        <f>IF(B154="","",SUMIFS('Product materials'!$G$6:$G$505,'Product materials'!$C$6:$C$505,B154))</f>
        <v/>
      </c>
      <c r="I154" s="42">
        <f>IF(B154="","",IF(H154-N(G154)&gt;0,H154-N(G154),""))</f>
        <v/>
      </c>
      <c r="J154" s="33" t="n"/>
      <c r="K154" s="1" t="n"/>
    </row>
    <row r="155">
      <c r="A155" s="1" t="n"/>
      <c r="B155" s="32" t="n"/>
      <c r="C155" s="36" t="n"/>
      <c r="D155" s="40" t="n"/>
      <c r="E155" s="35" t="n"/>
      <c r="F155" s="41">
        <f>IF(B155="","",N(E155)/IF(N(D155)&gt;0,D155,1))</f>
        <v/>
      </c>
      <c r="G155" s="40" t="n"/>
      <c r="H155" s="39">
        <f>IF(B155="","",SUMIFS('Product materials'!$G$6:$G$505,'Product materials'!$C$6:$C$505,B155))</f>
        <v/>
      </c>
      <c r="I155" s="42">
        <f>IF(B155="","",IF(H155-N(G155)&gt;0,H155-N(G155),""))</f>
        <v/>
      </c>
      <c r="J155" s="33" t="n"/>
      <c r="K155" s="1" t="n"/>
    </row>
    <row r="156">
      <c r="A156" s="1" t="n"/>
      <c r="B156" s="32" t="n"/>
      <c r="C156" s="36" t="n"/>
      <c r="D156" s="40" t="n"/>
      <c r="E156" s="35" t="n"/>
      <c r="F156" s="41">
        <f>IF(B156="","",N(E156)/IF(N(D156)&gt;0,D156,1))</f>
        <v/>
      </c>
      <c r="G156" s="40" t="n"/>
      <c r="H156" s="39">
        <f>IF(B156="","",SUMIFS('Product materials'!$G$6:$G$505,'Product materials'!$C$6:$C$505,B156))</f>
        <v/>
      </c>
      <c r="I156" s="42">
        <f>IF(B156="","",IF(H156-N(G156)&gt;0,H156-N(G156),""))</f>
        <v/>
      </c>
      <c r="J156" s="33" t="n"/>
      <c r="K156" s="1" t="n"/>
    </row>
    <row r="157">
      <c r="A157" s="1" t="n"/>
      <c r="B157" s="32" t="n"/>
      <c r="C157" s="36" t="n"/>
      <c r="D157" s="40" t="n"/>
      <c r="E157" s="35" t="n"/>
      <c r="F157" s="41">
        <f>IF(B157="","",N(E157)/IF(N(D157)&gt;0,D157,1))</f>
        <v/>
      </c>
      <c r="G157" s="40" t="n"/>
      <c r="H157" s="39">
        <f>IF(B157="","",SUMIFS('Product materials'!$G$6:$G$505,'Product materials'!$C$6:$C$505,B157))</f>
        <v/>
      </c>
      <c r="I157" s="42">
        <f>IF(B157="","",IF(H157-N(G157)&gt;0,H157-N(G157),""))</f>
        <v/>
      </c>
      <c r="J157" s="33" t="n"/>
      <c r="K157" s="1" t="n"/>
    </row>
    <row r="158">
      <c r="A158" s="1" t="n"/>
      <c r="B158" s="32" t="n"/>
      <c r="C158" s="36" t="n"/>
      <c r="D158" s="40" t="n"/>
      <c r="E158" s="35" t="n"/>
      <c r="F158" s="41">
        <f>IF(B158="","",N(E158)/IF(N(D158)&gt;0,D158,1))</f>
        <v/>
      </c>
      <c r="G158" s="40" t="n"/>
      <c r="H158" s="39">
        <f>IF(B158="","",SUMIFS('Product materials'!$G$6:$G$505,'Product materials'!$C$6:$C$505,B158))</f>
        <v/>
      </c>
      <c r="I158" s="42">
        <f>IF(B158="","",IF(H158-N(G158)&gt;0,H158-N(G158),""))</f>
        <v/>
      </c>
      <c r="J158" s="33" t="n"/>
      <c r="K158" s="1" t="n"/>
    </row>
    <row r="159">
      <c r="A159" s="1" t="n"/>
      <c r="B159" s="32" t="n"/>
      <c r="C159" s="36" t="n"/>
      <c r="D159" s="40" t="n"/>
      <c r="E159" s="35" t="n"/>
      <c r="F159" s="41">
        <f>IF(B159="","",N(E159)/IF(N(D159)&gt;0,D159,1))</f>
        <v/>
      </c>
      <c r="G159" s="40" t="n"/>
      <c r="H159" s="39">
        <f>IF(B159="","",SUMIFS('Product materials'!$G$6:$G$505,'Product materials'!$C$6:$C$505,B159))</f>
        <v/>
      </c>
      <c r="I159" s="42">
        <f>IF(B159="","",IF(H159-N(G159)&gt;0,H159-N(G159),""))</f>
        <v/>
      </c>
      <c r="J159" s="33" t="n"/>
      <c r="K159" s="1" t="n"/>
    </row>
    <row r="160">
      <c r="A160" s="1" t="n"/>
      <c r="B160" s="32" t="n"/>
      <c r="C160" s="36" t="n"/>
      <c r="D160" s="40" t="n"/>
      <c r="E160" s="35" t="n"/>
      <c r="F160" s="41">
        <f>IF(B160="","",N(E160)/IF(N(D160)&gt;0,D160,1))</f>
        <v/>
      </c>
      <c r="G160" s="40" t="n"/>
      <c r="H160" s="39">
        <f>IF(B160="","",SUMIFS('Product materials'!$G$6:$G$505,'Product materials'!$C$6:$C$505,B160))</f>
        <v/>
      </c>
      <c r="I160" s="42">
        <f>IF(B160="","",IF(H160-N(G160)&gt;0,H160-N(G160),""))</f>
        <v/>
      </c>
      <c r="J160" s="33" t="n"/>
      <c r="K160" s="1" t="n"/>
    </row>
    <row r="161">
      <c r="A161" s="1" t="n"/>
      <c r="B161" s="32" t="n"/>
      <c r="C161" s="36" t="n"/>
      <c r="D161" s="40" t="n"/>
      <c r="E161" s="35" t="n"/>
      <c r="F161" s="41">
        <f>IF(B161="","",N(E161)/IF(N(D161)&gt;0,D161,1))</f>
        <v/>
      </c>
      <c r="G161" s="40" t="n"/>
      <c r="H161" s="39">
        <f>IF(B161="","",SUMIFS('Product materials'!$G$6:$G$505,'Product materials'!$C$6:$C$505,B161))</f>
        <v/>
      </c>
      <c r="I161" s="42">
        <f>IF(B161="","",IF(H161-N(G161)&gt;0,H161-N(G161),""))</f>
        <v/>
      </c>
      <c r="J161" s="33" t="n"/>
      <c r="K161" s="1" t="n"/>
    </row>
    <row r="162">
      <c r="A162" s="1" t="n"/>
      <c r="B162" s="32" t="n"/>
      <c r="C162" s="36" t="n"/>
      <c r="D162" s="40" t="n"/>
      <c r="E162" s="35" t="n"/>
      <c r="F162" s="41">
        <f>IF(B162="","",N(E162)/IF(N(D162)&gt;0,D162,1))</f>
        <v/>
      </c>
      <c r="G162" s="40" t="n"/>
      <c r="H162" s="39">
        <f>IF(B162="","",SUMIFS('Product materials'!$G$6:$G$505,'Product materials'!$C$6:$C$505,B162))</f>
        <v/>
      </c>
      <c r="I162" s="42">
        <f>IF(B162="","",IF(H162-N(G162)&gt;0,H162-N(G162),""))</f>
        <v/>
      </c>
      <c r="J162" s="33" t="n"/>
      <c r="K162" s="1" t="n"/>
    </row>
    <row r="163">
      <c r="A163" s="1" t="n"/>
      <c r="B163" s="32" t="n"/>
      <c r="C163" s="36" t="n"/>
      <c r="D163" s="40" t="n"/>
      <c r="E163" s="35" t="n"/>
      <c r="F163" s="41">
        <f>IF(B163="","",N(E163)/IF(N(D163)&gt;0,D163,1))</f>
        <v/>
      </c>
      <c r="G163" s="40" t="n"/>
      <c r="H163" s="39">
        <f>IF(B163="","",SUMIFS('Product materials'!$G$6:$G$505,'Product materials'!$C$6:$C$505,B163))</f>
        <v/>
      </c>
      <c r="I163" s="42">
        <f>IF(B163="","",IF(H163-N(G163)&gt;0,H163-N(G163),""))</f>
        <v/>
      </c>
      <c r="J163" s="33" t="n"/>
      <c r="K163" s="1" t="n"/>
    </row>
    <row r="164">
      <c r="A164" s="1" t="n"/>
      <c r="B164" s="32" t="n"/>
      <c r="C164" s="36" t="n"/>
      <c r="D164" s="40" t="n"/>
      <c r="E164" s="35" t="n"/>
      <c r="F164" s="41">
        <f>IF(B164="","",N(E164)/IF(N(D164)&gt;0,D164,1))</f>
        <v/>
      </c>
      <c r="G164" s="40" t="n"/>
      <c r="H164" s="39">
        <f>IF(B164="","",SUMIFS('Product materials'!$G$6:$G$505,'Product materials'!$C$6:$C$505,B164))</f>
        <v/>
      </c>
      <c r="I164" s="42">
        <f>IF(B164="","",IF(H164-N(G164)&gt;0,H164-N(G164),""))</f>
        <v/>
      </c>
      <c r="J164" s="33" t="n"/>
      <c r="K164" s="1" t="n"/>
    </row>
    <row r="165">
      <c r="A165" s="1" t="n"/>
      <c r="B165" s="32" t="n"/>
      <c r="C165" s="36" t="n"/>
      <c r="D165" s="40" t="n"/>
      <c r="E165" s="35" t="n"/>
      <c r="F165" s="41">
        <f>IF(B165="","",N(E165)/IF(N(D165)&gt;0,D165,1))</f>
        <v/>
      </c>
      <c r="G165" s="40" t="n"/>
      <c r="H165" s="39">
        <f>IF(B165="","",SUMIFS('Product materials'!$G$6:$G$505,'Product materials'!$C$6:$C$505,B165))</f>
        <v/>
      </c>
      <c r="I165" s="42">
        <f>IF(B165="","",IF(H165-N(G165)&gt;0,H165-N(G165),""))</f>
        <v/>
      </c>
      <c r="J165" s="33" t="n"/>
      <c r="K165" s="1" t="n"/>
    </row>
    <row r="166">
      <c r="A166" s="1" t="n"/>
      <c r="B166" s="32" t="n"/>
      <c r="C166" s="36" t="n"/>
      <c r="D166" s="40" t="n"/>
      <c r="E166" s="35" t="n"/>
      <c r="F166" s="41">
        <f>IF(B166="","",N(E166)/IF(N(D166)&gt;0,D166,1))</f>
        <v/>
      </c>
      <c r="G166" s="40" t="n"/>
      <c r="H166" s="39">
        <f>IF(B166="","",SUMIFS('Product materials'!$G$6:$G$505,'Product materials'!$C$6:$C$505,B166))</f>
        <v/>
      </c>
      <c r="I166" s="42">
        <f>IF(B166="","",IF(H166-N(G166)&gt;0,H166-N(G166),""))</f>
        <v/>
      </c>
      <c r="J166" s="33" t="n"/>
      <c r="K166" s="1" t="n"/>
    </row>
    <row r="167">
      <c r="A167" s="1" t="n"/>
      <c r="B167" s="32" t="n"/>
      <c r="C167" s="36" t="n"/>
      <c r="D167" s="40" t="n"/>
      <c r="E167" s="35" t="n"/>
      <c r="F167" s="41">
        <f>IF(B167="","",N(E167)/IF(N(D167)&gt;0,D167,1))</f>
        <v/>
      </c>
      <c r="G167" s="40" t="n"/>
      <c r="H167" s="39">
        <f>IF(B167="","",SUMIFS('Product materials'!$G$6:$G$505,'Product materials'!$C$6:$C$505,B167))</f>
        <v/>
      </c>
      <c r="I167" s="42">
        <f>IF(B167="","",IF(H167-N(G167)&gt;0,H167-N(G167),""))</f>
        <v/>
      </c>
      <c r="J167" s="33" t="n"/>
      <c r="K167" s="1" t="n"/>
    </row>
    <row r="168">
      <c r="A168" s="1" t="n"/>
      <c r="B168" s="32" t="n"/>
      <c r="C168" s="36" t="n"/>
      <c r="D168" s="40" t="n"/>
      <c r="E168" s="35" t="n"/>
      <c r="F168" s="41">
        <f>IF(B168="","",N(E168)/IF(N(D168)&gt;0,D168,1))</f>
        <v/>
      </c>
      <c r="G168" s="40" t="n"/>
      <c r="H168" s="39">
        <f>IF(B168="","",SUMIFS('Product materials'!$G$6:$G$505,'Product materials'!$C$6:$C$505,B168))</f>
        <v/>
      </c>
      <c r="I168" s="42">
        <f>IF(B168="","",IF(H168-N(G168)&gt;0,H168-N(G168),""))</f>
        <v/>
      </c>
      <c r="J168" s="33" t="n"/>
      <c r="K168" s="1" t="n"/>
    </row>
    <row r="169">
      <c r="A169" s="1" t="n"/>
      <c r="B169" s="32" t="n"/>
      <c r="C169" s="36" t="n"/>
      <c r="D169" s="40" t="n"/>
      <c r="E169" s="35" t="n"/>
      <c r="F169" s="41">
        <f>IF(B169="","",N(E169)/IF(N(D169)&gt;0,D169,1))</f>
        <v/>
      </c>
      <c r="G169" s="40" t="n"/>
      <c r="H169" s="39">
        <f>IF(B169="","",SUMIFS('Product materials'!$G$6:$G$505,'Product materials'!$C$6:$C$505,B169))</f>
        <v/>
      </c>
      <c r="I169" s="42">
        <f>IF(B169="","",IF(H169-N(G169)&gt;0,H169-N(G169),""))</f>
        <v/>
      </c>
      <c r="J169" s="33" t="n"/>
      <c r="K169" s="1" t="n"/>
    </row>
    <row r="170">
      <c r="A170" s="1" t="n"/>
      <c r="B170" s="32" t="n"/>
      <c r="C170" s="36" t="n"/>
      <c r="D170" s="40" t="n"/>
      <c r="E170" s="35" t="n"/>
      <c r="F170" s="41">
        <f>IF(B170="","",N(E170)/IF(N(D170)&gt;0,D170,1))</f>
        <v/>
      </c>
      <c r="G170" s="40" t="n"/>
      <c r="H170" s="39">
        <f>IF(B170="","",SUMIFS('Product materials'!$G$6:$G$505,'Product materials'!$C$6:$C$505,B170))</f>
        <v/>
      </c>
      <c r="I170" s="42">
        <f>IF(B170="","",IF(H170-N(G170)&gt;0,H170-N(G170),""))</f>
        <v/>
      </c>
      <c r="J170" s="33" t="n"/>
      <c r="K170" s="1" t="n"/>
    </row>
    <row r="171">
      <c r="A171" s="1" t="n"/>
      <c r="B171" s="32" t="n"/>
      <c r="C171" s="36" t="n"/>
      <c r="D171" s="40" t="n"/>
      <c r="E171" s="35" t="n"/>
      <c r="F171" s="41">
        <f>IF(B171="","",N(E171)/IF(N(D171)&gt;0,D171,1))</f>
        <v/>
      </c>
      <c r="G171" s="40" t="n"/>
      <c r="H171" s="39">
        <f>IF(B171="","",SUMIFS('Product materials'!$G$6:$G$505,'Product materials'!$C$6:$C$505,B171))</f>
        <v/>
      </c>
      <c r="I171" s="42">
        <f>IF(B171="","",IF(H171-N(G171)&gt;0,H171-N(G171),""))</f>
        <v/>
      </c>
      <c r="J171" s="33" t="n"/>
      <c r="K171" s="1" t="n"/>
    </row>
    <row r="172">
      <c r="A172" s="1" t="n"/>
      <c r="B172" s="32" t="n"/>
      <c r="C172" s="36" t="n"/>
      <c r="D172" s="40" t="n"/>
      <c r="E172" s="35" t="n"/>
      <c r="F172" s="41">
        <f>IF(B172="","",N(E172)/IF(N(D172)&gt;0,D172,1))</f>
        <v/>
      </c>
      <c r="G172" s="40" t="n"/>
      <c r="H172" s="39">
        <f>IF(B172="","",SUMIFS('Product materials'!$G$6:$G$505,'Product materials'!$C$6:$C$505,B172))</f>
        <v/>
      </c>
      <c r="I172" s="42">
        <f>IF(B172="","",IF(H172-N(G172)&gt;0,H172-N(G172),""))</f>
        <v/>
      </c>
      <c r="J172" s="33" t="n"/>
      <c r="K172" s="1" t="n"/>
    </row>
    <row r="173">
      <c r="A173" s="1" t="n"/>
      <c r="B173" s="32" t="n"/>
      <c r="C173" s="36" t="n"/>
      <c r="D173" s="40" t="n"/>
      <c r="E173" s="35" t="n"/>
      <c r="F173" s="41">
        <f>IF(B173="","",N(E173)/IF(N(D173)&gt;0,D173,1))</f>
        <v/>
      </c>
      <c r="G173" s="40" t="n"/>
      <c r="H173" s="39">
        <f>IF(B173="","",SUMIFS('Product materials'!$G$6:$G$505,'Product materials'!$C$6:$C$505,B173))</f>
        <v/>
      </c>
      <c r="I173" s="42">
        <f>IF(B173="","",IF(H173-N(G173)&gt;0,H173-N(G173),""))</f>
        <v/>
      </c>
      <c r="J173" s="33" t="n"/>
      <c r="K173" s="1" t="n"/>
    </row>
    <row r="174">
      <c r="A174" s="1" t="n"/>
      <c r="B174" s="32" t="n"/>
      <c r="C174" s="36" t="n"/>
      <c r="D174" s="40" t="n"/>
      <c r="E174" s="35" t="n"/>
      <c r="F174" s="41">
        <f>IF(B174="","",N(E174)/IF(N(D174)&gt;0,D174,1))</f>
        <v/>
      </c>
      <c r="G174" s="40" t="n"/>
      <c r="H174" s="39">
        <f>IF(B174="","",SUMIFS('Product materials'!$G$6:$G$505,'Product materials'!$C$6:$C$505,B174))</f>
        <v/>
      </c>
      <c r="I174" s="42">
        <f>IF(B174="","",IF(H174-N(G174)&gt;0,H174-N(G174),""))</f>
        <v/>
      </c>
      <c r="J174" s="33" t="n"/>
      <c r="K174" s="1" t="n"/>
    </row>
    <row r="175">
      <c r="A175" s="1" t="n"/>
      <c r="B175" s="32" t="n"/>
      <c r="C175" s="36" t="n"/>
      <c r="D175" s="40" t="n"/>
      <c r="E175" s="35" t="n"/>
      <c r="F175" s="41">
        <f>IF(B175="","",N(E175)/IF(N(D175)&gt;0,D175,1))</f>
        <v/>
      </c>
      <c r="G175" s="40" t="n"/>
      <c r="H175" s="39">
        <f>IF(B175="","",SUMIFS('Product materials'!$G$6:$G$505,'Product materials'!$C$6:$C$505,B175))</f>
        <v/>
      </c>
      <c r="I175" s="42">
        <f>IF(B175="","",IF(H175-N(G175)&gt;0,H175-N(G175),""))</f>
        <v/>
      </c>
      <c r="J175" s="33" t="n"/>
      <c r="K175" s="1" t="n"/>
    </row>
    <row r="176">
      <c r="A176" s="1" t="n"/>
      <c r="B176" s="32" t="n"/>
      <c r="C176" s="36" t="n"/>
      <c r="D176" s="40" t="n"/>
      <c r="E176" s="35" t="n"/>
      <c r="F176" s="41">
        <f>IF(B176="","",N(E176)/IF(N(D176)&gt;0,D176,1))</f>
        <v/>
      </c>
      <c r="G176" s="40" t="n"/>
      <c r="H176" s="39">
        <f>IF(B176="","",SUMIFS('Product materials'!$G$6:$G$505,'Product materials'!$C$6:$C$505,B176))</f>
        <v/>
      </c>
      <c r="I176" s="42">
        <f>IF(B176="","",IF(H176-N(G176)&gt;0,H176-N(G176),""))</f>
        <v/>
      </c>
      <c r="J176" s="33" t="n"/>
      <c r="K176" s="1" t="n"/>
    </row>
    <row r="177">
      <c r="A177" s="1" t="n"/>
      <c r="B177" s="32" t="n"/>
      <c r="C177" s="36" t="n"/>
      <c r="D177" s="40" t="n"/>
      <c r="E177" s="35" t="n"/>
      <c r="F177" s="41">
        <f>IF(B177="","",N(E177)/IF(N(D177)&gt;0,D177,1))</f>
        <v/>
      </c>
      <c r="G177" s="40" t="n"/>
      <c r="H177" s="39">
        <f>IF(B177="","",SUMIFS('Product materials'!$G$6:$G$505,'Product materials'!$C$6:$C$505,B177))</f>
        <v/>
      </c>
      <c r="I177" s="42">
        <f>IF(B177="","",IF(H177-N(G177)&gt;0,H177-N(G177),""))</f>
        <v/>
      </c>
      <c r="J177" s="33" t="n"/>
      <c r="K177" s="1" t="n"/>
    </row>
    <row r="178">
      <c r="A178" s="1" t="n"/>
      <c r="B178" s="32" t="n"/>
      <c r="C178" s="36" t="n"/>
      <c r="D178" s="40" t="n"/>
      <c r="E178" s="35" t="n"/>
      <c r="F178" s="41">
        <f>IF(B178="","",N(E178)/IF(N(D178)&gt;0,D178,1))</f>
        <v/>
      </c>
      <c r="G178" s="40" t="n"/>
      <c r="H178" s="39">
        <f>IF(B178="","",SUMIFS('Product materials'!$G$6:$G$505,'Product materials'!$C$6:$C$505,B178))</f>
        <v/>
      </c>
      <c r="I178" s="42">
        <f>IF(B178="","",IF(H178-N(G178)&gt;0,H178-N(G178),""))</f>
        <v/>
      </c>
      <c r="J178" s="33" t="n"/>
      <c r="K178" s="1" t="n"/>
    </row>
    <row r="179">
      <c r="A179" s="1" t="n"/>
      <c r="B179" s="32" t="n"/>
      <c r="C179" s="36" t="n"/>
      <c r="D179" s="40" t="n"/>
      <c r="E179" s="35" t="n"/>
      <c r="F179" s="41">
        <f>IF(B179="","",N(E179)/IF(N(D179)&gt;0,D179,1))</f>
        <v/>
      </c>
      <c r="G179" s="40" t="n"/>
      <c r="H179" s="39">
        <f>IF(B179="","",SUMIFS('Product materials'!$G$6:$G$505,'Product materials'!$C$6:$C$505,B179))</f>
        <v/>
      </c>
      <c r="I179" s="42">
        <f>IF(B179="","",IF(H179-N(G179)&gt;0,H179-N(G179),""))</f>
        <v/>
      </c>
      <c r="J179" s="33" t="n"/>
      <c r="K179" s="1" t="n"/>
    </row>
    <row r="180">
      <c r="A180" s="1" t="n"/>
      <c r="B180" s="32" t="n"/>
      <c r="C180" s="36" t="n"/>
      <c r="D180" s="40" t="n"/>
      <c r="E180" s="35" t="n"/>
      <c r="F180" s="41">
        <f>IF(B180="","",N(E180)/IF(N(D180)&gt;0,D180,1))</f>
        <v/>
      </c>
      <c r="G180" s="40" t="n"/>
      <c r="H180" s="39">
        <f>IF(B180="","",SUMIFS('Product materials'!$G$6:$G$505,'Product materials'!$C$6:$C$505,B180))</f>
        <v/>
      </c>
      <c r="I180" s="42">
        <f>IF(B180="","",IF(H180-N(G180)&gt;0,H180-N(G180),""))</f>
        <v/>
      </c>
      <c r="J180" s="33" t="n"/>
      <c r="K180" s="1" t="n"/>
    </row>
    <row r="181">
      <c r="A181" s="1" t="n"/>
      <c r="B181" s="32" t="n"/>
      <c r="C181" s="36" t="n"/>
      <c r="D181" s="40" t="n"/>
      <c r="E181" s="35" t="n"/>
      <c r="F181" s="41">
        <f>IF(B181="","",N(E181)/IF(N(D181)&gt;0,D181,1))</f>
        <v/>
      </c>
      <c r="G181" s="40" t="n"/>
      <c r="H181" s="39">
        <f>IF(B181="","",SUMIFS('Product materials'!$G$6:$G$505,'Product materials'!$C$6:$C$505,B181))</f>
        <v/>
      </c>
      <c r="I181" s="42">
        <f>IF(B181="","",IF(H181-N(G181)&gt;0,H181-N(G181),""))</f>
        <v/>
      </c>
      <c r="J181" s="33" t="n"/>
      <c r="K181" s="1" t="n"/>
    </row>
    <row r="182">
      <c r="A182" s="1" t="n"/>
      <c r="B182" s="32" t="n"/>
      <c r="C182" s="36" t="n"/>
      <c r="D182" s="40" t="n"/>
      <c r="E182" s="35" t="n"/>
      <c r="F182" s="41">
        <f>IF(B182="","",N(E182)/IF(N(D182)&gt;0,D182,1))</f>
        <v/>
      </c>
      <c r="G182" s="40" t="n"/>
      <c r="H182" s="39">
        <f>IF(B182="","",SUMIFS('Product materials'!$G$6:$G$505,'Product materials'!$C$6:$C$505,B182))</f>
        <v/>
      </c>
      <c r="I182" s="42">
        <f>IF(B182="","",IF(H182-N(G182)&gt;0,H182-N(G182),""))</f>
        <v/>
      </c>
      <c r="J182" s="33" t="n"/>
      <c r="K182" s="1" t="n"/>
    </row>
    <row r="183">
      <c r="A183" s="1" t="n"/>
      <c r="B183" s="32" t="n"/>
      <c r="C183" s="36" t="n"/>
      <c r="D183" s="40" t="n"/>
      <c r="E183" s="35" t="n"/>
      <c r="F183" s="41">
        <f>IF(B183="","",N(E183)/IF(N(D183)&gt;0,D183,1))</f>
        <v/>
      </c>
      <c r="G183" s="40" t="n"/>
      <c r="H183" s="39">
        <f>IF(B183="","",SUMIFS('Product materials'!$G$6:$G$505,'Product materials'!$C$6:$C$505,B183))</f>
        <v/>
      </c>
      <c r="I183" s="42">
        <f>IF(B183="","",IF(H183-N(G183)&gt;0,H183-N(G183),""))</f>
        <v/>
      </c>
      <c r="J183" s="33" t="n"/>
      <c r="K183" s="1" t="n"/>
    </row>
    <row r="184">
      <c r="A184" s="1" t="n"/>
      <c r="B184" s="32" t="n"/>
      <c r="C184" s="36" t="n"/>
      <c r="D184" s="40" t="n"/>
      <c r="E184" s="35" t="n"/>
      <c r="F184" s="41">
        <f>IF(B184="","",N(E184)/IF(N(D184)&gt;0,D184,1))</f>
        <v/>
      </c>
      <c r="G184" s="40" t="n"/>
      <c r="H184" s="39">
        <f>IF(B184="","",SUMIFS('Product materials'!$G$6:$G$505,'Product materials'!$C$6:$C$505,B184))</f>
        <v/>
      </c>
      <c r="I184" s="42">
        <f>IF(B184="","",IF(H184-N(G184)&gt;0,H184-N(G184),""))</f>
        <v/>
      </c>
      <c r="J184" s="33" t="n"/>
      <c r="K184" s="1" t="n"/>
    </row>
    <row r="185">
      <c r="A185" s="1" t="n"/>
      <c r="B185" s="32" t="n"/>
      <c r="C185" s="36" t="n"/>
      <c r="D185" s="40" t="n"/>
      <c r="E185" s="35" t="n"/>
      <c r="F185" s="41">
        <f>IF(B185="","",N(E185)/IF(N(D185)&gt;0,D185,1))</f>
        <v/>
      </c>
      <c r="G185" s="40" t="n"/>
      <c r="H185" s="39">
        <f>IF(B185="","",SUMIFS('Product materials'!$G$6:$G$505,'Product materials'!$C$6:$C$505,B185))</f>
        <v/>
      </c>
      <c r="I185" s="42">
        <f>IF(B185="","",IF(H185-N(G185)&gt;0,H185-N(G185),""))</f>
        <v/>
      </c>
      <c r="J185" s="33" t="n"/>
      <c r="K185" s="1" t="n"/>
    </row>
    <row r="186">
      <c r="A186" s="1" t="n"/>
      <c r="B186" s="32" t="n"/>
      <c r="C186" s="36" t="n"/>
      <c r="D186" s="40" t="n"/>
      <c r="E186" s="35" t="n"/>
      <c r="F186" s="41">
        <f>IF(B186="","",N(E186)/IF(N(D186)&gt;0,D186,1))</f>
        <v/>
      </c>
      <c r="G186" s="40" t="n"/>
      <c r="H186" s="39">
        <f>IF(B186="","",SUMIFS('Product materials'!$G$6:$G$505,'Product materials'!$C$6:$C$505,B186))</f>
        <v/>
      </c>
      <c r="I186" s="42">
        <f>IF(B186="","",IF(H186-N(G186)&gt;0,H186-N(G186),""))</f>
        <v/>
      </c>
      <c r="J186" s="33" t="n"/>
      <c r="K186" s="1" t="n"/>
    </row>
    <row r="187">
      <c r="A187" s="1" t="n"/>
      <c r="B187" s="32" t="n"/>
      <c r="C187" s="36" t="n"/>
      <c r="D187" s="40" t="n"/>
      <c r="E187" s="35" t="n"/>
      <c r="F187" s="41">
        <f>IF(B187="","",N(E187)/IF(N(D187)&gt;0,D187,1))</f>
        <v/>
      </c>
      <c r="G187" s="40" t="n"/>
      <c r="H187" s="39">
        <f>IF(B187="","",SUMIFS('Product materials'!$G$6:$G$505,'Product materials'!$C$6:$C$505,B187))</f>
        <v/>
      </c>
      <c r="I187" s="42">
        <f>IF(B187="","",IF(H187-N(G187)&gt;0,H187-N(G187),""))</f>
        <v/>
      </c>
      <c r="J187" s="33" t="n"/>
      <c r="K187" s="1" t="n"/>
    </row>
    <row r="188">
      <c r="A188" s="1" t="n"/>
      <c r="B188" s="32" t="n"/>
      <c r="C188" s="36" t="n"/>
      <c r="D188" s="40" t="n"/>
      <c r="E188" s="35" t="n"/>
      <c r="F188" s="41">
        <f>IF(B188="","",N(E188)/IF(N(D188)&gt;0,D188,1))</f>
        <v/>
      </c>
      <c r="G188" s="40" t="n"/>
      <c r="H188" s="39">
        <f>IF(B188="","",SUMIFS('Product materials'!$G$6:$G$505,'Product materials'!$C$6:$C$505,B188))</f>
        <v/>
      </c>
      <c r="I188" s="42">
        <f>IF(B188="","",IF(H188-N(G188)&gt;0,H188-N(G188),""))</f>
        <v/>
      </c>
      <c r="J188" s="33" t="n"/>
      <c r="K188" s="1" t="n"/>
    </row>
    <row r="189">
      <c r="A189" s="1" t="n"/>
      <c r="B189" s="32" t="n"/>
      <c r="C189" s="36" t="n"/>
      <c r="D189" s="40" t="n"/>
      <c r="E189" s="35" t="n"/>
      <c r="F189" s="41">
        <f>IF(B189="","",N(E189)/IF(N(D189)&gt;0,D189,1))</f>
        <v/>
      </c>
      <c r="G189" s="40" t="n"/>
      <c r="H189" s="39">
        <f>IF(B189="","",SUMIFS('Product materials'!$G$6:$G$505,'Product materials'!$C$6:$C$505,B189))</f>
        <v/>
      </c>
      <c r="I189" s="42">
        <f>IF(B189="","",IF(H189-N(G189)&gt;0,H189-N(G189),""))</f>
        <v/>
      </c>
      <c r="J189" s="33" t="n"/>
      <c r="K189" s="1" t="n"/>
    </row>
    <row r="190">
      <c r="A190" s="1" t="n"/>
      <c r="B190" s="32" t="n"/>
      <c r="C190" s="36" t="n"/>
      <c r="D190" s="40" t="n"/>
      <c r="E190" s="35" t="n"/>
      <c r="F190" s="41">
        <f>IF(B190="","",N(E190)/IF(N(D190)&gt;0,D190,1))</f>
        <v/>
      </c>
      <c r="G190" s="40" t="n"/>
      <c r="H190" s="39">
        <f>IF(B190="","",SUMIFS('Product materials'!$G$6:$G$505,'Product materials'!$C$6:$C$505,B190))</f>
        <v/>
      </c>
      <c r="I190" s="42">
        <f>IF(B190="","",IF(H190-N(G190)&gt;0,H190-N(G190),""))</f>
        <v/>
      </c>
      <c r="J190" s="33" t="n"/>
      <c r="K190" s="1" t="n"/>
    </row>
    <row r="191">
      <c r="A191" s="1" t="n"/>
      <c r="B191" s="32" t="n"/>
      <c r="C191" s="36" t="n"/>
      <c r="D191" s="40" t="n"/>
      <c r="E191" s="35" t="n"/>
      <c r="F191" s="41">
        <f>IF(B191="","",N(E191)/IF(N(D191)&gt;0,D191,1))</f>
        <v/>
      </c>
      <c r="G191" s="40" t="n"/>
      <c r="H191" s="39">
        <f>IF(B191="","",SUMIFS('Product materials'!$G$6:$G$505,'Product materials'!$C$6:$C$505,B191))</f>
        <v/>
      </c>
      <c r="I191" s="42">
        <f>IF(B191="","",IF(H191-N(G191)&gt;0,H191-N(G191),""))</f>
        <v/>
      </c>
      <c r="J191" s="33" t="n"/>
      <c r="K191" s="1" t="n"/>
    </row>
    <row r="192">
      <c r="A192" s="1" t="n"/>
      <c r="B192" s="32" t="n"/>
      <c r="C192" s="36" t="n"/>
      <c r="D192" s="40" t="n"/>
      <c r="E192" s="35" t="n"/>
      <c r="F192" s="41">
        <f>IF(B192="","",N(E192)/IF(N(D192)&gt;0,D192,1))</f>
        <v/>
      </c>
      <c r="G192" s="40" t="n"/>
      <c r="H192" s="39">
        <f>IF(B192="","",SUMIFS('Product materials'!$G$6:$G$505,'Product materials'!$C$6:$C$505,B192))</f>
        <v/>
      </c>
      <c r="I192" s="42">
        <f>IF(B192="","",IF(H192-N(G192)&gt;0,H192-N(G192),""))</f>
        <v/>
      </c>
      <c r="J192" s="33" t="n"/>
      <c r="K192" s="1" t="n"/>
    </row>
    <row r="193">
      <c r="A193" s="1" t="n"/>
      <c r="B193" s="32" t="n"/>
      <c r="C193" s="36" t="n"/>
      <c r="D193" s="40" t="n"/>
      <c r="E193" s="35" t="n"/>
      <c r="F193" s="41">
        <f>IF(B193="","",N(E193)/IF(N(D193)&gt;0,D193,1))</f>
        <v/>
      </c>
      <c r="G193" s="40" t="n"/>
      <c r="H193" s="39">
        <f>IF(B193="","",SUMIFS('Product materials'!$G$6:$G$505,'Product materials'!$C$6:$C$505,B193))</f>
        <v/>
      </c>
      <c r="I193" s="42">
        <f>IF(B193="","",IF(H193-N(G193)&gt;0,H193-N(G193),""))</f>
        <v/>
      </c>
      <c r="J193" s="33" t="n"/>
      <c r="K193" s="1" t="n"/>
    </row>
    <row r="194">
      <c r="A194" s="1" t="n"/>
      <c r="B194" s="32" t="n"/>
      <c r="C194" s="36" t="n"/>
      <c r="D194" s="40" t="n"/>
      <c r="E194" s="35" t="n"/>
      <c r="F194" s="41">
        <f>IF(B194="","",N(E194)/IF(N(D194)&gt;0,D194,1))</f>
        <v/>
      </c>
      <c r="G194" s="40" t="n"/>
      <c r="H194" s="39">
        <f>IF(B194="","",SUMIFS('Product materials'!$G$6:$G$505,'Product materials'!$C$6:$C$505,B194))</f>
        <v/>
      </c>
      <c r="I194" s="42">
        <f>IF(B194="","",IF(H194-N(G194)&gt;0,H194-N(G194),""))</f>
        <v/>
      </c>
      <c r="J194" s="33" t="n"/>
      <c r="K194" s="1" t="n"/>
    </row>
    <row r="195">
      <c r="A195" s="1" t="n"/>
      <c r="B195" s="32" t="n"/>
      <c r="C195" s="36" t="n"/>
      <c r="D195" s="40" t="n"/>
      <c r="E195" s="35" t="n"/>
      <c r="F195" s="41">
        <f>IF(B195="","",N(E195)/IF(N(D195)&gt;0,D195,1))</f>
        <v/>
      </c>
      <c r="G195" s="40" t="n"/>
      <c r="H195" s="39">
        <f>IF(B195="","",SUMIFS('Product materials'!$G$6:$G$505,'Product materials'!$C$6:$C$505,B195))</f>
        <v/>
      </c>
      <c r="I195" s="42">
        <f>IF(B195="","",IF(H195-N(G195)&gt;0,H195-N(G195),""))</f>
        <v/>
      </c>
      <c r="J195" s="33" t="n"/>
      <c r="K195" s="1" t="n"/>
    </row>
    <row r="196">
      <c r="A196" s="1" t="n"/>
      <c r="B196" s="32" t="n"/>
      <c r="C196" s="36" t="n"/>
      <c r="D196" s="40" t="n"/>
      <c r="E196" s="35" t="n"/>
      <c r="F196" s="41">
        <f>IF(B196="","",N(E196)/IF(N(D196)&gt;0,D196,1))</f>
        <v/>
      </c>
      <c r="G196" s="40" t="n"/>
      <c r="H196" s="39">
        <f>IF(B196="","",SUMIFS('Product materials'!$G$6:$G$505,'Product materials'!$C$6:$C$505,B196))</f>
        <v/>
      </c>
      <c r="I196" s="42">
        <f>IF(B196="","",IF(H196-N(G196)&gt;0,H196-N(G196),""))</f>
        <v/>
      </c>
      <c r="J196" s="33" t="n"/>
      <c r="K196" s="1" t="n"/>
    </row>
    <row r="197">
      <c r="A197" s="1" t="n"/>
      <c r="B197" s="32" t="n"/>
      <c r="C197" s="36" t="n"/>
      <c r="D197" s="40" t="n"/>
      <c r="E197" s="35" t="n"/>
      <c r="F197" s="41">
        <f>IF(B197="","",N(E197)/IF(N(D197)&gt;0,D197,1))</f>
        <v/>
      </c>
      <c r="G197" s="40" t="n"/>
      <c r="H197" s="39">
        <f>IF(B197="","",SUMIFS('Product materials'!$G$6:$G$505,'Product materials'!$C$6:$C$505,B197))</f>
        <v/>
      </c>
      <c r="I197" s="42">
        <f>IF(B197="","",IF(H197-N(G197)&gt;0,H197-N(G197),""))</f>
        <v/>
      </c>
      <c r="J197" s="33" t="n"/>
      <c r="K197" s="1" t="n"/>
    </row>
    <row r="198">
      <c r="A198" s="1" t="n"/>
      <c r="B198" s="32" t="n"/>
      <c r="C198" s="36" t="n"/>
      <c r="D198" s="40" t="n"/>
      <c r="E198" s="35" t="n"/>
      <c r="F198" s="41">
        <f>IF(B198="","",N(E198)/IF(N(D198)&gt;0,D198,1))</f>
        <v/>
      </c>
      <c r="G198" s="40" t="n"/>
      <c r="H198" s="39">
        <f>IF(B198="","",SUMIFS('Product materials'!$G$6:$G$505,'Product materials'!$C$6:$C$505,B198))</f>
        <v/>
      </c>
      <c r="I198" s="42">
        <f>IF(B198="","",IF(H198-N(G198)&gt;0,H198-N(G198),""))</f>
        <v/>
      </c>
      <c r="J198" s="33" t="n"/>
      <c r="K198" s="1" t="n"/>
    </row>
    <row r="199">
      <c r="A199" s="1" t="n"/>
      <c r="B199" s="32" t="n"/>
      <c r="C199" s="36" t="n"/>
      <c r="D199" s="40" t="n"/>
      <c r="E199" s="35" t="n"/>
      <c r="F199" s="41">
        <f>IF(B199="","",N(E199)/IF(N(D199)&gt;0,D199,1))</f>
        <v/>
      </c>
      <c r="G199" s="40" t="n"/>
      <c r="H199" s="39">
        <f>IF(B199="","",SUMIFS('Product materials'!$G$6:$G$505,'Product materials'!$C$6:$C$505,B199))</f>
        <v/>
      </c>
      <c r="I199" s="42">
        <f>IF(B199="","",IF(H199-N(G199)&gt;0,H199-N(G199),""))</f>
        <v/>
      </c>
      <c r="J199" s="33" t="n"/>
      <c r="K199" s="1" t="n"/>
    </row>
    <row r="200">
      <c r="A200" s="1" t="n"/>
      <c r="B200" s="32" t="n"/>
      <c r="C200" s="36" t="n"/>
      <c r="D200" s="40" t="n"/>
      <c r="E200" s="35" t="n"/>
      <c r="F200" s="41">
        <f>IF(B200="","",N(E200)/IF(N(D200)&gt;0,D200,1))</f>
        <v/>
      </c>
      <c r="G200" s="40" t="n"/>
      <c r="H200" s="39">
        <f>IF(B200="","",SUMIFS('Product materials'!$G$6:$G$505,'Product materials'!$C$6:$C$505,B200))</f>
        <v/>
      </c>
      <c r="I200" s="42">
        <f>IF(B200="","",IF(H200-N(G200)&gt;0,H200-N(G200),""))</f>
        <v/>
      </c>
      <c r="J200" s="33" t="n"/>
      <c r="K200" s="1" t="n"/>
    </row>
    <row r="201">
      <c r="A201" s="1" t="n"/>
      <c r="B201" s="32" t="n"/>
      <c r="C201" s="36" t="n"/>
      <c r="D201" s="40" t="n"/>
      <c r="E201" s="35" t="n"/>
      <c r="F201" s="41">
        <f>IF(B201="","",N(E201)/IF(N(D201)&gt;0,D201,1))</f>
        <v/>
      </c>
      <c r="G201" s="40" t="n"/>
      <c r="H201" s="39">
        <f>IF(B201="","",SUMIFS('Product materials'!$G$6:$G$505,'Product materials'!$C$6:$C$505,B201))</f>
        <v/>
      </c>
      <c r="I201" s="42">
        <f>IF(B201="","",IF(H201-N(G201)&gt;0,H201-N(G201),""))</f>
        <v/>
      </c>
      <c r="J201" s="33" t="n"/>
      <c r="K201" s="1" t="n"/>
    </row>
    <row r="202">
      <c r="A202" s="1" t="n"/>
      <c r="B202" s="32" t="n"/>
      <c r="C202" s="36" t="n"/>
      <c r="D202" s="40" t="n"/>
      <c r="E202" s="35" t="n"/>
      <c r="F202" s="41">
        <f>IF(B202="","",N(E202)/IF(N(D202)&gt;0,D202,1))</f>
        <v/>
      </c>
      <c r="G202" s="40" t="n"/>
      <c r="H202" s="39">
        <f>IF(B202="","",SUMIFS('Product materials'!$G$6:$G$505,'Product materials'!$C$6:$C$505,B202))</f>
        <v/>
      </c>
      <c r="I202" s="42">
        <f>IF(B202="","",IF(H202-N(G202)&gt;0,H202-N(G202),""))</f>
        <v/>
      </c>
      <c r="J202" s="33" t="n"/>
      <c r="K202" s="1" t="n"/>
    </row>
    <row r="203">
      <c r="A203" s="1" t="n"/>
      <c r="B203" s="32" t="n"/>
      <c r="C203" s="36" t="n"/>
      <c r="D203" s="40" t="n"/>
      <c r="E203" s="35" t="n"/>
      <c r="F203" s="41">
        <f>IF(B203="","",N(E203)/IF(N(D203)&gt;0,D203,1))</f>
        <v/>
      </c>
      <c r="G203" s="40" t="n"/>
      <c r="H203" s="39">
        <f>IF(B203="","",SUMIFS('Product materials'!$G$6:$G$505,'Product materials'!$C$6:$C$505,B203))</f>
        <v/>
      </c>
      <c r="I203" s="42">
        <f>IF(B203="","",IF(H203-N(G203)&gt;0,H203-N(G203),""))</f>
        <v/>
      </c>
      <c r="J203" s="33" t="n"/>
      <c r="K203" s="1" t="n"/>
    </row>
    <row r="204">
      <c r="A204" s="1" t="n"/>
      <c r="B204" s="32" t="n"/>
      <c r="C204" s="36" t="n"/>
      <c r="D204" s="40" t="n"/>
      <c r="E204" s="35" t="n"/>
      <c r="F204" s="41">
        <f>IF(B204="","",N(E204)/IF(N(D204)&gt;0,D204,1))</f>
        <v/>
      </c>
      <c r="G204" s="40" t="n"/>
      <c r="H204" s="39">
        <f>IF(B204="","",SUMIFS('Product materials'!$G$6:$G$505,'Product materials'!$C$6:$C$505,B204))</f>
        <v/>
      </c>
      <c r="I204" s="42">
        <f>IF(B204="","",IF(H204-N(G204)&gt;0,H204-N(G204),""))</f>
        <v/>
      </c>
      <c r="J204" s="33" t="n"/>
      <c r="K204" s="1" t="n"/>
    </row>
    <row r="205">
      <c r="A205" s="1" t="n"/>
      <c r="B205" s="32" t="n"/>
      <c r="C205" s="36" t="n"/>
      <c r="D205" s="40" t="n"/>
      <c r="E205" s="35" t="n"/>
      <c r="F205" s="41">
        <f>IF(B205="","",N(E205)/IF(N(D205)&gt;0,D205,1))</f>
        <v/>
      </c>
      <c r="G205" s="40" t="n"/>
      <c r="H205" s="39">
        <f>IF(B205="","",SUMIFS('Product materials'!$G$6:$G$505,'Product materials'!$C$6:$C$505,B205))</f>
        <v/>
      </c>
      <c r="I205" s="42">
        <f>IF(B205="","",IF(H205-N(G205)&gt;0,H205-N(G205),""))</f>
        <v/>
      </c>
      <c r="J205" s="33" t="n"/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</sheetData>
  <conditionalFormatting sqref="I6:I205">
    <cfRule type="expression" priority="1" dxfId="0">
      <formula>N($I6)&gt;0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14" customWidth="1" min="4" max="4"/>
    <col width="28" customWidth="1" min="5" max="5"/>
    <col width="8" customWidth="1" min="6" max="6"/>
    <col width="12" customWidth="1" min="7" max="7"/>
    <col width="12" customWidth="1" min="8" max="8"/>
    <col width="11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Customers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One line per customer. Orders, spending and what they owe come from the Orders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2" t="inlineStr">
        <is>
          <t>Customer</t>
        </is>
      </c>
      <c r="C5" s="12" t="inlineStr">
        <is>
          <t>Email or phone</t>
        </is>
      </c>
      <c r="D5" s="12" t="inlineStr">
        <is>
          <t>City</t>
        </is>
      </c>
      <c r="E5" s="12" t="inlineStr">
        <is>
          <t>Notes</t>
        </is>
      </c>
      <c r="F5" s="12" t="inlineStr">
        <is>
          <t>Orders</t>
        </is>
      </c>
      <c r="G5" s="12" t="inlineStr">
        <is>
          <t>Spent</t>
        </is>
      </c>
      <c r="H5" s="12" t="inlineStr">
        <is>
          <t>Last order</t>
        </is>
      </c>
      <c r="I5" s="12" t="inlineStr">
        <is>
          <t>Owes</t>
        </is>
      </c>
      <c r="J5" s="1" t="n"/>
    </row>
    <row r="6">
      <c r="A6" s="1" t="n"/>
      <c r="B6" s="32" t="inlineStr">
        <is>
          <t>Leah Hughes</t>
        </is>
      </c>
      <c r="C6" s="33" t="inlineStr">
        <is>
          <t>leah.h@example.com</t>
        </is>
      </c>
      <c r="D6" s="33" t="inlineStr">
        <is>
          <t>Local</t>
        </is>
      </c>
      <c r="E6" s="33" t="inlineStr">
        <is>
          <t>Wedding in October, 80 guests</t>
        </is>
      </c>
      <c r="F6" s="18">
        <f>IF(B6="","",COUNTIFS(Orders!$C$6:$C$1005,B6,Orders!$L$6:$L$1005,"&lt;&gt;Cancelled"))</f>
        <v/>
      </c>
      <c r="G6" s="22">
        <f>IF(B6="","",SUMIFS(Orders!$H$6:$H$1005,Orders!$C$6:$C$1005,B6,Orders!$L$6:$L$1005,"&lt;&gt;Cancelled"))</f>
        <v/>
      </c>
      <c r="H6" s="43">
        <f>IF(B6="","",IF(SUMIFS(Orders!$U$6:$U$1005,Orders!$C$6:$C$1005,B6,Orders!$V$6:$V$1005,1)=0,"",INT(SUMIFS(Orders!$U$6:$U$1005,Orders!$C$6:$C$1005,B6,Orders!$V$6:$V$1005,1))))</f>
        <v/>
      </c>
      <c r="I6" s="30">
        <f>IF(B6="","",IF(SUMIFS(Orders!$J$6:$J$1005,Orders!$C$6:$C$1005,B6)=0,"",SUMIFS(Orders!$J$6:$J$1005,Orders!$C$6:$C$1005,B6)))</f>
        <v/>
      </c>
      <c r="J6" s="1" t="n"/>
    </row>
    <row r="7">
      <c r="A7" s="1" t="n"/>
      <c r="B7" s="32" t="inlineStr">
        <is>
          <t>Paula Morgan</t>
        </is>
      </c>
      <c r="C7" s="33" t="inlineStr">
        <is>
          <t>paula.m@example.com</t>
        </is>
      </c>
      <c r="D7" s="33" t="inlineStr">
        <is>
          <t>Denver</t>
        </is>
      </c>
      <c r="E7" s="33" t="n"/>
      <c r="F7" s="18">
        <f>IF(B7="","",COUNTIFS(Orders!$C$6:$C$1005,B7,Orders!$L$6:$L$1005,"&lt;&gt;Cancelled"))</f>
        <v/>
      </c>
      <c r="G7" s="22">
        <f>IF(B7="","",SUMIFS(Orders!$H$6:$H$1005,Orders!$C$6:$C$1005,B7,Orders!$L$6:$L$1005,"&lt;&gt;Cancelled"))</f>
        <v/>
      </c>
      <c r="H7" s="43">
        <f>IF(B7="","",IF(SUMIFS(Orders!$U$6:$U$1005,Orders!$C$6:$C$1005,B7,Orders!$V$6:$V$1005,1)=0,"",INT(SUMIFS(Orders!$U$6:$U$1005,Orders!$C$6:$C$1005,B7,Orders!$V$6:$V$1005,1))))</f>
        <v/>
      </c>
      <c r="I7" s="30">
        <f>IF(B7="","",IF(SUMIFS(Orders!$J$6:$J$1005,Orders!$C$6:$C$1005,B7)=0,"",SUMIFS(Orders!$J$6:$J$1005,Orders!$C$6:$C$1005,B7)))</f>
        <v/>
      </c>
      <c r="J7" s="1" t="n"/>
    </row>
    <row r="8">
      <c r="A8" s="1" t="n"/>
      <c r="B8" s="32" t="inlineStr">
        <is>
          <t>Adam Cox</t>
        </is>
      </c>
      <c r="C8" s="33" t="inlineStr">
        <is>
          <t>adam.c@example.com</t>
        </is>
      </c>
      <c r="D8" s="33" t="inlineStr">
        <is>
          <t>Local</t>
        </is>
      </c>
      <c r="E8" s="33" t="n"/>
      <c r="F8" s="18">
        <f>IF(B8="","",COUNTIFS(Orders!$C$6:$C$1005,B8,Orders!$L$6:$L$1005,"&lt;&gt;Cancelled"))</f>
        <v/>
      </c>
      <c r="G8" s="22">
        <f>IF(B8="","",SUMIFS(Orders!$H$6:$H$1005,Orders!$C$6:$C$1005,B8,Orders!$L$6:$L$1005,"&lt;&gt;Cancelled"))</f>
        <v/>
      </c>
      <c r="H8" s="43">
        <f>IF(B8="","",IF(SUMIFS(Orders!$U$6:$U$1005,Orders!$C$6:$C$1005,B8,Orders!$V$6:$V$1005,1)=0,"",INT(SUMIFS(Orders!$U$6:$U$1005,Orders!$C$6:$C$1005,B8,Orders!$V$6:$V$1005,1))))</f>
        <v/>
      </c>
      <c r="I8" s="30">
        <f>IF(B8="","",IF(SUMIFS(Orders!$J$6:$J$1005,Orders!$C$6:$C$1005,B8)=0,"",SUMIFS(Orders!$J$6:$J$1005,Orders!$C$6:$C$1005,B8)))</f>
        <v/>
      </c>
      <c r="J8" s="1" t="n"/>
    </row>
    <row r="9">
      <c r="A9" s="1" t="n"/>
      <c r="B9" s="32" t="inlineStr">
        <is>
          <t>Adam King</t>
        </is>
      </c>
      <c r="C9" s="33" t="inlineStr">
        <is>
          <t>adam.k@example.com</t>
        </is>
      </c>
      <c r="D9" s="33" t="inlineStr">
        <is>
          <t>Seattle</t>
        </is>
      </c>
      <c r="E9" s="33" t="n"/>
      <c r="F9" s="18">
        <f>IF(B9="","",COUNTIFS(Orders!$C$6:$C$1005,B9,Orders!$L$6:$L$1005,"&lt;&gt;Cancelled"))</f>
        <v/>
      </c>
      <c r="G9" s="22">
        <f>IF(B9="","",SUMIFS(Orders!$H$6:$H$1005,Orders!$C$6:$C$1005,B9,Orders!$L$6:$L$1005,"&lt;&gt;Cancelled"))</f>
        <v/>
      </c>
      <c r="H9" s="43">
        <f>IF(B9="","",IF(SUMIFS(Orders!$U$6:$U$1005,Orders!$C$6:$C$1005,B9,Orders!$V$6:$V$1005,1)=0,"",INT(SUMIFS(Orders!$U$6:$U$1005,Orders!$C$6:$C$1005,B9,Orders!$V$6:$V$1005,1))))</f>
        <v/>
      </c>
      <c r="I9" s="30">
        <f>IF(B9="","",IF(SUMIFS(Orders!$J$6:$J$1005,Orders!$C$6:$C$1005,B9)=0,"",SUMIFS(Orders!$J$6:$J$1005,Orders!$C$6:$C$1005,B9)))</f>
        <v/>
      </c>
      <c r="J9" s="1" t="n"/>
    </row>
    <row r="10">
      <c r="A10" s="1" t="n"/>
      <c r="B10" s="32" t="inlineStr">
        <is>
          <t>Dan King</t>
        </is>
      </c>
      <c r="C10" s="33" t="inlineStr">
        <is>
          <t>dan.k@example.com</t>
        </is>
      </c>
      <c r="D10" s="33" t="inlineStr">
        <is>
          <t>Seattle</t>
        </is>
      </c>
      <c r="E10" s="33" t="n"/>
      <c r="F10" s="18">
        <f>IF(B10="","",COUNTIFS(Orders!$C$6:$C$1005,B10,Orders!$L$6:$L$1005,"&lt;&gt;Cancelled"))</f>
        <v/>
      </c>
      <c r="G10" s="22">
        <f>IF(B10="","",SUMIFS(Orders!$H$6:$H$1005,Orders!$C$6:$C$1005,B10,Orders!$L$6:$L$1005,"&lt;&gt;Cancelled"))</f>
        <v/>
      </c>
      <c r="H10" s="43">
        <f>IF(B10="","",IF(SUMIFS(Orders!$U$6:$U$1005,Orders!$C$6:$C$1005,B10,Orders!$V$6:$V$1005,1)=0,"",INT(SUMIFS(Orders!$U$6:$U$1005,Orders!$C$6:$C$1005,B10,Orders!$V$6:$V$1005,1))))</f>
        <v/>
      </c>
      <c r="I10" s="30">
        <f>IF(B10="","",IF(SUMIFS(Orders!$J$6:$J$1005,Orders!$C$6:$C$1005,B10)=0,"",SUMIFS(Orders!$J$6:$J$1005,Orders!$C$6:$C$1005,B10)))</f>
        <v/>
      </c>
      <c r="J10" s="1" t="n"/>
    </row>
    <row r="11">
      <c r="A11" s="1" t="n"/>
      <c r="B11" s="32" t="inlineStr">
        <is>
          <t>Ava Adams</t>
        </is>
      </c>
      <c r="C11" s="33" t="inlineStr">
        <is>
          <t>ava.a@example.com</t>
        </is>
      </c>
      <c r="D11" s="33" t="inlineStr">
        <is>
          <t>Denver</t>
        </is>
      </c>
      <c r="E11" s="33" t="n"/>
      <c r="F11" s="18">
        <f>IF(B11="","",COUNTIFS(Orders!$C$6:$C$1005,B11,Orders!$L$6:$L$1005,"&lt;&gt;Cancelled"))</f>
        <v/>
      </c>
      <c r="G11" s="22">
        <f>IF(B11="","",SUMIFS(Orders!$H$6:$H$1005,Orders!$C$6:$C$1005,B11,Orders!$L$6:$L$1005,"&lt;&gt;Cancelled"))</f>
        <v/>
      </c>
      <c r="H11" s="43">
        <f>IF(B11="","",IF(SUMIFS(Orders!$U$6:$U$1005,Orders!$C$6:$C$1005,B11,Orders!$V$6:$V$1005,1)=0,"",INT(SUMIFS(Orders!$U$6:$U$1005,Orders!$C$6:$C$1005,B11,Orders!$V$6:$V$1005,1))))</f>
        <v/>
      </c>
      <c r="I11" s="30">
        <f>IF(B11="","",IF(SUMIFS(Orders!$J$6:$J$1005,Orders!$C$6:$C$1005,B11)=0,"",SUMIFS(Orders!$J$6:$J$1005,Orders!$C$6:$C$1005,B11)))</f>
        <v/>
      </c>
      <c r="J11" s="1" t="n"/>
    </row>
    <row r="12">
      <c r="A12" s="1" t="n"/>
      <c r="B12" s="32" t="inlineStr">
        <is>
          <t>Ian Hughes</t>
        </is>
      </c>
      <c r="C12" s="33" t="inlineStr">
        <is>
          <t>ian.h@example.com</t>
        </is>
      </c>
      <c r="D12" s="33" t="inlineStr">
        <is>
          <t>Portland</t>
        </is>
      </c>
      <c r="E12" s="33" t="n"/>
      <c r="F12" s="18">
        <f>IF(B12="","",COUNTIFS(Orders!$C$6:$C$1005,B12,Orders!$L$6:$L$1005,"&lt;&gt;Cancelled"))</f>
        <v/>
      </c>
      <c r="G12" s="22">
        <f>IF(B12="","",SUMIFS(Orders!$H$6:$H$1005,Orders!$C$6:$C$1005,B12,Orders!$L$6:$L$1005,"&lt;&gt;Cancelled"))</f>
        <v/>
      </c>
      <c r="H12" s="43">
        <f>IF(B12="","",IF(SUMIFS(Orders!$U$6:$U$1005,Orders!$C$6:$C$1005,B12,Orders!$V$6:$V$1005,1)=0,"",INT(SUMIFS(Orders!$U$6:$U$1005,Orders!$C$6:$C$1005,B12,Orders!$V$6:$V$1005,1))))</f>
        <v/>
      </c>
      <c r="I12" s="30">
        <f>IF(B12="","",IF(SUMIFS(Orders!$J$6:$J$1005,Orders!$C$6:$C$1005,B12)=0,"",SUMIFS(Orders!$J$6:$J$1005,Orders!$C$6:$C$1005,B12)))</f>
        <v/>
      </c>
      <c r="J12" s="1" t="n"/>
    </row>
    <row r="13">
      <c r="A13" s="1" t="n"/>
      <c r="B13" s="32" t="inlineStr">
        <is>
          <t>Jade Reed</t>
        </is>
      </c>
      <c r="C13" s="33" t="inlineStr">
        <is>
          <t>jade.r@example.com</t>
        </is>
      </c>
      <c r="D13" s="33" t="inlineStr">
        <is>
          <t>Seattle</t>
        </is>
      </c>
      <c r="E13" s="33" t="n"/>
      <c r="F13" s="18">
        <f>IF(B13="","",COUNTIFS(Orders!$C$6:$C$1005,B13,Orders!$L$6:$L$1005,"&lt;&gt;Cancelled"))</f>
        <v/>
      </c>
      <c r="G13" s="22">
        <f>IF(B13="","",SUMIFS(Orders!$H$6:$H$1005,Orders!$C$6:$C$1005,B13,Orders!$L$6:$L$1005,"&lt;&gt;Cancelled"))</f>
        <v/>
      </c>
      <c r="H13" s="43">
        <f>IF(B13="","",IF(SUMIFS(Orders!$U$6:$U$1005,Orders!$C$6:$C$1005,B13,Orders!$V$6:$V$1005,1)=0,"",INT(SUMIFS(Orders!$U$6:$U$1005,Orders!$C$6:$C$1005,B13,Orders!$V$6:$V$1005,1))))</f>
        <v/>
      </c>
      <c r="I13" s="30">
        <f>IF(B13="","",IF(SUMIFS(Orders!$J$6:$J$1005,Orders!$C$6:$C$1005,B13)=0,"",SUMIFS(Orders!$J$6:$J$1005,Orders!$C$6:$C$1005,B13)))</f>
        <v/>
      </c>
      <c r="J13" s="1" t="n"/>
    </row>
    <row r="14">
      <c r="A14" s="1" t="n"/>
      <c r="B14" s="32" t="inlineStr">
        <is>
          <t>Beth Owens</t>
        </is>
      </c>
      <c r="C14" s="33" t="inlineStr">
        <is>
          <t>beth.o@example.com</t>
        </is>
      </c>
      <c r="D14" s="33" t="inlineStr">
        <is>
          <t>Portland</t>
        </is>
      </c>
      <c r="E14" s="33" t="n"/>
      <c r="F14" s="18">
        <f>IF(B14="","",COUNTIFS(Orders!$C$6:$C$1005,B14,Orders!$L$6:$L$1005,"&lt;&gt;Cancelled"))</f>
        <v/>
      </c>
      <c r="G14" s="22">
        <f>IF(B14="","",SUMIFS(Orders!$H$6:$H$1005,Orders!$C$6:$C$1005,B14,Orders!$L$6:$L$1005,"&lt;&gt;Cancelled"))</f>
        <v/>
      </c>
      <c r="H14" s="43">
        <f>IF(B14="","",IF(SUMIFS(Orders!$U$6:$U$1005,Orders!$C$6:$C$1005,B14,Orders!$V$6:$V$1005,1)=0,"",INT(SUMIFS(Orders!$U$6:$U$1005,Orders!$C$6:$C$1005,B14,Orders!$V$6:$V$1005,1))))</f>
        <v/>
      </c>
      <c r="I14" s="30">
        <f>IF(B14="","",IF(SUMIFS(Orders!$J$6:$J$1005,Orders!$C$6:$C$1005,B14)=0,"",SUMIFS(Orders!$J$6:$J$1005,Orders!$C$6:$C$1005,B14)))</f>
        <v/>
      </c>
      <c r="J14" s="1" t="n"/>
    </row>
    <row r="15">
      <c r="A15" s="1" t="n"/>
      <c r="B15" s="32" t="inlineStr">
        <is>
          <t>Rita Price</t>
        </is>
      </c>
      <c r="C15" s="33" t="inlineStr">
        <is>
          <t>rita.p@example.com</t>
        </is>
      </c>
      <c r="D15" s="33" t="inlineStr">
        <is>
          <t>Local</t>
        </is>
      </c>
      <c r="E15" s="33" t="n"/>
      <c r="F15" s="18">
        <f>IF(B15="","",COUNTIFS(Orders!$C$6:$C$1005,B15,Orders!$L$6:$L$1005,"&lt;&gt;Cancelled"))</f>
        <v/>
      </c>
      <c r="G15" s="22">
        <f>IF(B15="","",SUMIFS(Orders!$H$6:$H$1005,Orders!$C$6:$C$1005,B15,Orders!$L$6:$L$1005,"&lt;&gt;Cancelled"))</f>
        <v/>
      </c>
      <c r="H15" s="43">
        <f>IF(B15="","",IF(SUMIFS(Orders!$U$6:$U$1005,Orders!$C$6:$C$1005,B15,Orders!$V$6:$V$1005,1)=0,"",INT(SUMIFS(Orders!$U$6:$U$1005,Orders!$C$6:$C$1005,B15,Orders!$V$6:$V$1005,1))))</f>
        <v/>
      </c>
      <c r="I15" s="30">
        <f>IF(B15="","",IF(SUMIFS(Orders!$J$6:$J$1005,Orders!$C$6:$C$1005,B15)=0,"",SUMIFS(Orders!$J$6:$J$1005,Orders!$C$6:$C$1005,B15)))</f>
        <v/>
      </c>
      <c r="J15" s="1" t="n"/>
    </row>
    <row r="16">
      <c r="A16" s="1" t="n"/>
      <c r="B16" s="32" t="inlineStr">
        <is>
          <t>Paula Mills</t>
        </is>
      </c>
      <c r="C16" s="33" t="inlineStr">
        <is>
          <t>paula.m@example.com</t>
        </is>
      </c>
      <c r="D16" s="33" t="inlineStr">
        <is>
          <t>Austin</t>
        </is>
      </c>
      <c r="E16" s="33" t="n"/>
      <c r="F16" s="18">
        <f>IF(B16="","",COUNTIFS(Orders!$C$6:$C$1005,B16,Orders!$L$6:$L$1005,"&lt;&gt;Cancelled"))</f>
        <v/>
      </c>
      <c r="G16" s="22">
        <f>IF(B16="","",SUMIFS(Orders!$H$6:$H$1005,Orders!$C$6:$C$1005,B16,Orders!$L$6:$L$1005,"&lt;&gt;Cancelled"))</f>
        <v/>
      </c>
      <c r="H16" s="43">
        <f>IF(B16="","",IF(SUMIFS(Orders!$U$6:$U$1005,Orders!$C$6:$C$1005,B16,Orders!$V$6:$V$1005,1)=0,"",INT(SUMIFS(Orders!$U$6:$U$1005,Orders!$C$6:$C$1005,B16,Orders!$V$6:$V$1005,1))))</f>
        <v/>
      </c>
      <c r="I16" s="30">
        <f>IF(B16="","",IF(SUMIFS(Orders!$J$6:$J$1005,Orders!$C$6:$C$1005,B16)=0,"",SUMIFS(Orders!$J$6:$J$1005,Orders!$C$6:$C$1005,B16)))</f>
        <v/>
      </c>
      <c r="J16" s="1" t="n"/>
    </row>
    <row r="17">
      <c r="A17" s="1" t="n"/>
      <c r="B17" s="32" t="inlineStr">
        <is>
          <t>Lily Gray</t>
        </is>
      </c>
      <c r="C17" s="33" t="inlineStr">
        <is>
          <t>lily.g@example.com</t>
        </is>
      </c>
      <c r="D17" s="33" t="inlineStr">
        <is>
          <t>Boston</t>
        </is>
      </c>
      <c r="E17" s="33" t="n"/>
      <c r="F17" s="18">
        <f>IF(B17="","",COUNTIFS(Orders!$C$6:$C$1005,B17,Orders!$L$6:$L$1005,"&lt;&gt;Cancelled"))</f>
        <v/>
      </c>
      <c r="G17" s="22">
        <f>IF(B17="","",SUMIFS(Orders!$H$6:$H$1005,Orders!$C$6:$C$1005,B17,Orders!$L$6:$L$1005,"&lt;&gt;Cancelled"))</f>
        <v/>
      </c>
      <c r="H17" s="43">
        <f>IF(B17="","",IF(SUMIFS(Orders!$U$6:$U$1005,Orders!$C$6:$C$1005,B17,Orders!$V$6:$V$1005,1)=0,"",INT(SUMIFS(Orders!$U$6:$U$1005,Orders!$C$6:$C$1005,B17,Orders!$V$6:$V$1005,1))))</f>
        <v/>
      </c>
      <c r="I17" s="30">
        <f>IF(B17="","",IF(SUMIFS(Orders!$J$6:$J$1005,Orders!$C$6:$C$1005,B17)=0,"",SUMIFS(Orders!$J$6:$J$1005,Orders!$C$6:$C$1005,B17)))</f>
        <v/>
      </c>
      <c r="J17" s="1" t="n"/>
    </row>
    <row r="18">
      <c r="A18" s="1" t="n"/>
      <c r="B18" s="32" t="inlineStr">
        <is>
          <t>Chris Owens</t>
        </is>
      </c>
      <c r="C18" s="33" t="inlineStr">
        <is>
          <t>chris.o@example.com</t>
        </is>
      </c>
      <c r="D18" s="33" t="inlineStr">
        <is>
          <t>Portland</t>
        </is>
      </c>
      <c r="E18" s="33" t="n"/>
      <c r="F18" s="18">
        <f>IF(B18="","",COUNTIFS(Orders!$C$6:$C$1005,B18,Orders!$L$6:$L$1005,"&lt;&gt;Cancelled"))</f>
        <v/>
      </c>
      <c r="G18" s="22">
        <f>IF(B18="","",SUMIFS(Orders!$H$6:$H$1005,Orders!$C$6:$C$1005,B18,Orders!$L$6:$L$1005,"&lt;&gt;Cancelled"))</f>
        <v/>
      </c>
      <c r="H18" s="43">
        <f>IF(B18="","",IF(SUMIFS(Orders!$U$6:$U$1005,Orders!$C$6:$C$1005,B18,Orders!$V$6:$V$1005,1)=0,"",INT(SUMIFS(Orders!$U$6:$U$1005,Orders!$C$6:$C$1005,B18,Orders!$V$6:$V$1005,1))))</f>
        <v/>
      </c>
      <c r="I18" s="30">
        <f>IF(B18="","",IF(SUMIFS(Orders!$J$6:$J$1005,Orders!$C$6:$C$1005,B18)=0,"",SUMIFS(Orders!$J$6:$J$1005,Orders!$C$6:$C$1005,B18)))</f>
        <v/>
      </c>
      <c r="J18" s="1" t="n"/>
    </row>
    <row r="19">
      <c r="A19" s="1" t="n"/>
      <c r="B19" s="32" t="inlineStr">
        <is>
          <t>Kara Adams</t>
        </is>
      </c>
      <c r="C19" s="33" t="inlineStr">
        <is>
          <t>kara.a@example.com</t>
        </is>
      </c>
      <c r="D19" s="33" t="inlineStr">
        <is>
          <t>Seattle</t>
        </is>
      </c>
      <c r="E19" s="33" t="n"/>
      <c r="F19" s="18">
        <f>IF(B19="","",COUNTIFS(Orders!$C$6:$C$1005,B19,Orders!$L$6:$L$1005,"&lt;&gt;Cancelled"))</f>
        <v/>
      </c>
      <c r="G19" s="22">
        <f>IF(B19="","",SUMIFS(Orders!$H$6:$H$1005,Orders!$C$6:$C$1005,B19,Orders!$L$6:$L$1005,"&lt;&gt;Cancelled"))</f>
        <v/>
      </c>
      <c r="H19" s="43">
        <f>IF(B19="","",IF(SUMIFS(Orders!$U$6:$U$1005,Orders!$C$6:$C$1005,B19,Orders!$V$6:$V$1005,1)=0,"",INT(SUMIFS(Orders!$U$6:$U$1005,Orders!$C$6:$C$1005,B19,Orders!$V$6:$V$1005,1))))</f>
        <v/>
      </c>
      <c r="I19" s="30">
        <f>IF(B19="","",IF(SUMIFS(Orders!$J$6:$J$1005,Orders!$C$6:$C$1005,B19)=0,"",SUMIFS(Orders!$J$6:$J$1005,Orders!$C$6:$C$1005,B19)))</f>
        <v/>
      </c>
      <c r="J19" s="1" t="n"/>
    </row>
    <row r="20">
      <c r="A20" s="1" t="n"/>
      <c r="B20" s="32" t="inlineStr">
        <is>
          <t>Ruby Brooks</t>
        </is>
      </c>
      <c r="C20" s="33" t="inlineStr">
        <is>
          <t>ruby.b@example.com</t>
        </is>
      </c>
      <c r="D20" s="33" t="inlineStr">
        <is>
          <t>Local</t>
        </is>
      </c>
      <c r="E20" s="33" t="n"/>
      <c r="F20" s="18">
        <f>IF(B20="","",COUNTIFS(Orders!$C$6:$C$1005,B20,Orders!$L$6:$L$1005,"&lt;&gt;Cancelled"))</f>
        <v/>
      </c>
      <c r="G20" s="22">
        <f>IF(B20="","",SUMIFS(Orders!$H$6:$H$1005,Orders!$C$6:$C$1005,B20,Orders!$L$6:$L$1005,"&lt;&gt;Cancelled"))</f>
        <v/>
      </c>
      <c r="H20" s="43">
        <f>IF(B20="","",IF(SUMIFS(Orders!$U$6:$U$1005,Orders!$C$6:$C$1005,B20,Orders!$V$6:$V$1005,1)=0,"",INT(SUMIFS(Orders!$U$6:$U$1005,Orders!$C$6:$C$1005,B20,Orders!$V$6:$V$1005,1))))</f>
        <v/>
      </c>
      <c r="I20" s="30">
        <f>IF(B20="","",IF(SUMIFS(Orders!$J$6:$J$1005,Orders!$C$6:$C$1005,B20)=0,"",SUMIFS(Orders!$J$6:$J$1005,Orders!$C$6:$C$1005,B20)))</f>
        <v/>
      </c>
      <c r="J20" s="1" t="n"/>
    </row>
    <row r="21">
      <c r="A21" s="1" t="n"/>
      <c r="B21" s="32" t="inlineStr">
        <is>
          <t>Mia James</t>
        </is>
      </c>
      <c r="C21" s="33" t="inlineStr">
        <is>
          <t>mia.j@example.com</t>
        </is>
      </c>
      <c r="D21" s="33" t="inlineStr">
        <is>
          <t>Seattle</t>
        </is>
      </c>
      <c r="E21" s="33" t="n"/>
      <c r="F21" s="18">
        <f>IF(B21="","",COUNTIFS(Orders!$C$6:$C$1005,B21,Orders!$L$6:$L$1005,"&lt;&gt;Cancelled"))</f>
        <v/>
      </c>
      <c r="G21" s="22">
        <f>IF(B21="","",SUMIFS(Orders!$H$6:$H$1005,Orders!$C$6:$C$1005,B21,Orders!$L$6:$L$1005,"&lt;&gt;Cancelled"))</f>
        <v/>
      </c>
      <c r="H21" s="43">
        <f>IF(B21="","",IF(SUMIFS(Orders!$U$6:$U$1005,Orders!$C$6:$C$1005,B21,Orders!$V$6:$V$1005,1)=0,"",INT(SUMIFS(Orders!$U$6:$U$1005,Orders!$C$6:$C$1005,B21,Orders!$V$6:$V$1005,1))))</f>
        <v/>
      </c>
      <c r="I21" s="30">
        <f>IF(B21="","",IF(SUMIFS(Orders!$J$6:$J$1005,Orders!$C$6:$C$1005,B21)=0,"",SUMIFS(Orders!$J$6:$J$1005,Orders!$C$6:$C$1005,B21)))</f>
        <v/>
      </c>
      <c r="J21" s="1" t="n"/>
    </row>
    <row r="22">
      <c r="A22" s="1" t="n"/>
      <c r="B22" s="32" t="inlineStr">
        <is>
          <t>George Price</t>
        </is>
      </c>
      <c r="C22" s="33" t="inlineStr">
        <is>
          <t>george.p@example.com</t>
        </is>
      </c>
      <c r="D22" s="33" t="inlineStr">
        <is>
          <t>Denver</t>
        </is>
      </c>
      <c r="E22" s="33" t="n"/>
      <c r="F22" s="18">
        <f>IF(B22="","",COUNTIFS(Orders!$C$6:$C$1005,B22,Orders!$L$6:$L$1005,"&lt;&gt;Cancelled"))</f>
        <v/>
      </c>
      <c r="G22" s="22">
        <f>IF(B22="","",SUMIFS(Orders!$H$6:$H$1005,Orders!$C$6:$C$1005,B22,Orders!$L$6:$L$1005,"&lt;&gt;Cancelled"))</f>
        <v/>
      </c>
      <c r="H22" s="43">
        <f>IF(B22="","",IF(SUMIFS(Orders!$U$6:$U$1005,Orders!$C$6:$C$1005,B22,Orders!$V$6:$V$1005,1)=0,"",INT(SUMIFS(Orders!$U$6:$U$1005,Orders!$C$6:$C$1005,B22,Orders!$V$6:$V$1005,1))))</f>
        <v/>
      </c>
      <c r="I22" s="30">
        <f>IF(B22="","",IF(SUMIFS(Orders!$J$6:$J$1005,Orders!$C$6:$C$1005,B22)=0,"",SUMIFS(Orders!$J$6:$J$1005,Orders!$C$6:$C$1005,B22)))</f>
        <v/>
      </c>
      <c r="J22" s="1" t="n"/>
    </row>
    <row r="23">
      <c r="A23" s="1" t="n"/>
      <c r="B23" s="32" t="inlineStr">
        <is>
          <t>Nina Kelly</t>
        </is>
      </c>
      <c r="C23" s="33" t="inlineStr">
        <is>
          <t>nina.k@example.com</t>
        </is>
      </c>
      <c r="D23" s="33" t="inlineStr">
        <is>
          <t>Seattle</t>
        </is>
      </c>
      <c r="E23" s="33" t="n"/>
      <c r="F23" s="18">
        <f>IF(B23="","",COUNTIFS(Orders!$C$6:$C$1005,B23,Orders!$L$6:$L$1005,"&lt;&gt;Cancelled"))</f>
        <v/>
      </c>
      <c r="G23" s="22">
        <f>IF(B23="","",SUMIFS(Orders!$H$6:$H$1005,Orders!$C$6:$C$1005,B23,Orders!$L$6:$L$1005,"&lt;&gt;Cancelled"))</f>
        <v/>
      </c>
      <c r="H23" s="43">
        <f>IF(B23="","",IF(SUMIFS(Orders!$U$6:$U$1005,Orders!$C$6:$C$1005,B23,Orders!$V$6:$V$1005,1)=0,"",INT(SUMIFS(Orders!$U$6:$U$1005,Orders!$C$6:$C$1005,B23,Orders!$V$6:$V$1005,1))))</f>
        <v/>
      </c>
      <c r="I23" s="30">
        <f>IF(B23="","",IF(SUMIFS(Orders!$J$6:$J$1005,Orders!$C$6:$C$1005,B23)=0,"",SUMIFS(Orders!$J$6:$J$1005,Orders!$C$6:$C$1005,B23)))</f>
        <v/>
      </c>
      <c r="J23" s="1" t="n"/>
    </row>
    <row r="24">
      <c r="A24" s="1" t="n"/>
      <c r="B24" s="32" t="inlineStr">
        <is>
          <t>Megan Murphy</t>
        </is>
      </c>
      <c r="C24" s="33" t="inlineStr">
        <is>
          <t>megan.m@example.com</t>
        </is>
      </c>
      <c r="D24" s="33" t="inlineStr">
        <is>
          <t>Portland</t>
        </is>
      </c>
      <c r="E24" s="33" t="n"/>
      <c r="F24" s="18">
        <f>IF(B24="","",COUNTIFS(Orders!$C$6:$C$1005,B24,Orders!$L$6:$L$1005,"&lt;&gt;Cancelled"))</f>
        <v/>
      </c>
      <c r="G24" s="22">
        <f>IF(B24="","",SUMIFS(Orders!$H$6:$H$1005,Orders!$C$6:$C$1005,B24,Orders!$L$6:$L$1005,"&lt;&gt;Cancelled"))</f>
        <v/>
      </c>
      <c r="H24" s="43">
        <f>IF(B24="","",IF(SUMIFS(Orders!$U$6:$U$1005,Orders!$C$6:$C$1005,B24,Orders!$V$6:$V$1005,1)=0,"",INT(SUMIFS(Orders!$U$6:$U$1005,Orders!$C$6:$C$1005,B24,Orders!$V$6:$V$1005,1))))</f>
        <v/>
      </c>
      <c r="I24" s="30">
        <f>IF(B24="","",IF(SUMIFS(Orders!$J$6:$J$1005,Orders!$C$6:$C$1005,B24)=0,"",SUMIFS(Orders!$J$6:$J$1005,Orders!$C$6:$C$1005,B24)))</f>
        <v/>
      </c>
      <c r="J24" s="1" t="n"/>
    </row>
    <row r="25">
      <c r="A25" s="1" t="n"/>
      <c r="B25" s="32" t="inlineStr">
        <is>
          <t>Adam Davies</t>
        </is>
      </c>
      <c r="C25" s="33" t="inlineStr">
        <is>
          <t>adam.d@example.com</t>
        </is>
      </c>
      <c r="D25" s="33" t="inlineStr">
        <is>
          <t>Portland</t>
        </is>
      </c>
      <c r="E25" s="33" t="n"/>
      <c r="F25" s="18">
        <f>IF(B25="","",COUNTIFS(Orders!$C$6:$C$1005,B25,Orders!$L$6:$L$1005,"&lt;&gt;Cancelled"))</f>
        <v/>
      </c>
      <c r="G25" s="22">
        <f>IF(B25="","",SUMIFS(Orders!$H$6:$H$1005,Orders!$C$6:$C$1005,B25,Orders!$L$6:$L$1005,"&lt;&gt;Cancelled"))</f>
        <v/>
      </c>
      <c r="H25" s="43">
        <f>IF(B25="","",IF(SUMIFS(Orders!$U$6:$U$1005,Orders!$C$6:$C$1005,B25,Orders!$V$6:$V$1005,1)=0,"",INT(SUMIFS(Orders!$U$6:$U$1005,Orders!$C$6:$C$1005,B25,Orders!$V$6:$V$1005,1))))</f>
        <v/>
      </c>
      <c r="I25" s="30">
        <f>IF(B25="","",IF(SUMIFS(Orders!$J$6:$J$1005,Orders!$C$6:$C$1005,B25)=0,"",SUMIFS(Orders!$J$6:$J$1005,Orders!$C$6:$C$1005,B25)))</f>
        <v/>
      </c>
      <c r="J25" s="1" t="n"/>
    </row>
    <row r="26">
      <c r="A26" s="1" t="n"/>
      <c r="B26" s="32" t="inlineStr">
        <is>
          <t>Holly Cox</t>
        </is>
      </c>
      <c r="C26" s="33" t="inlineStr">
        <is>
          <t>holly.c@example.com</t>
        </is>
      </c>
      <c r="D26" s="33" t="inlineStr">
        <is>
          <t>Chicago</t>
        </is>
      </c>
      <c r="E26" s="33" t="n"/>
      <c r="F26" s="18">
        <f>IF(B26="","",COUNTIFS(Orders!$C$6:$C$1005,B26,Orders!$L$6:$L$1005,"&lt;&gt;Cancelled"))</f>
        <v/>
      </c>
      <c r="G26" s="22">
        <f>IF(B26="","",SUMIFS(Orders!$H$6:$H$1005,Orders!$C$6:$C$1005,B26,Orders!$L$6:$L$1005,"&lt;&gt;Cancelled"))</f>
        <v/>
      </c>
      <c r="H26" s="43">
        <f>IF(B26="","",IF(SUMIFS(Orders!$U$6:$U$1005,Orders!$C$6:$C$1005,B26,Orders!$V$6:$V$1005,1)=0,"",INT(SUMIFS(Orders!$U$6:$U$1005,Orders!$C$6:$C$1005,B26,Orders!$V$6:$V$1005,1))))</f>
        <v/>
      </c>
      <c r="I26" s="30">
        <f>IF(B26="","",IF(SUMIFS(Orders!$J$6:$J$1005,Orders!$C$6:$C$1005,B26)=0,"",SUMIFS(Orders!$J$6:$J$1005,Orders!$C$6:$C$1005,B26)))</f>
        <v/>
      </c>
      <c r="J26" s="1" t="n"/>
    </row>
    <row r="27">
      <c r="A27" s="1" t="n"/>
      <c r="B27" s="32" t="inlineStr">
        <is>
          <t>Ian Price</t>
        </is>
      </c>
      <c r="C27" s="33" t="inlineStr">
        <is>
          <t>ian.p@example.com</t>
        </is>
      </c>
      <c r="D27" s="33" t="inlineStr">
        <is>
          <t>Portland</t>
        </is>
      </c>
      <c r="E27" s="33" t="n"/>
      <c r="F27" s="18">
        <f>IF(B27="","",COUNTIFS(Orders!$C$6:$C$1005,B27,Orders!$L$6:$L$1005,"&lt;&gt;Cancelled"))</f>
        <v/>
      </c>
      <c r="G27" s="22">
        <f>IF(B27="","",SUMIFS(Orders!$H$6:$H$1005,Orders!$C$6:$C$1005,B27,Orders!$L$6:$L$1005,"&lt;&gt;Cancelled"))</f>
        <v/>
      </c>
      <c r="H27" s="43">
        <f>IF(B27="","",IF(SUMIFS(Orders!$U$6:$U$1005,Orders!$C$6:$C$1005,B27,Orders!$V$6:$V$1005,1)=0,"",INT(SUMIFS(Orders!$U$6:$U$1005,Orders!$C$6:$C$1005,B27,Orders!$V$6:$V$1005,1))))</f>
        <v/>
      </c>
      <c r="I27" s="30">
        <f>IF(B27="","",IF(SUMIFS(Orders!$J$6:$J$1005,Orders!$C$6:$C$1005,B27)=0,"",SUMIFS(Orders!$J$6:$J$1005,Orders!$C$6:$C$1005,B27)))</f>
        <v/>
      </c>
      <c r="J27" s="1" t="n"/>
    </row>
    <row r="28">
      <c r="A28" s="1" t="n"/>
      <c r="B28" s="32" t="inlineStr">
        <is>
          <t>Nora Lewis</t>
        </is>
      </c>
      <c r="C28" s="33" t="inlineStr">
        <is>
          <t>nora.l@example.com</t>
        </is>
      </c>
      <c r="D28" s="33" t="inlineStr">
        <is>
          <t>Austin</t>
        </is>
      </c>
      <c r="E28" s="33" t="n"/>
      <c r="F28" s="18">
        <f>IF(B28="","",COUNTIFS(Orders!$C$6:$C$1005,B28,Orders!$L$6:$L$1005,"&lt;&gt;Cancelled"))</f>
        <v/>
      </c>
      <c r="G28" s="22">
        <f>IF(B28="","",SUMIFS(Orders!$H$6:$H$1005,Orders!$C$6:$C$1005,B28,Orders!$L$6:$L$1005,"&lt;&gt;Cancelled"))</f>
        <v/>
      </c>
      <c r="H28" s="43">
        <f>IF(B28="","",IF(SUMIFS(Orders!$U$6:$U$1005,Orders!$C$6:$C$1005,B28,Orders!$V$6:$V$1005,1)=0,"",INT(SUMIFS(Orders!$U$6:$U$1005,Orders!$C$6:$C$1005,B28,Orders!$V$6:$V$1005,1))))</f>
        <v/>
      </c>
      <c r="I28" s="30">
        <f>IF(B28="","",IF(SUMIFS(Orders!$J$6:$J$1005,Orders!$C$6:$C$1005,B28)=0,"",SUMIFS(Orders!$J$6:$J$1005,Orders!$C$6:$C$1005,B28)))</f>
        <v/>
      </c>
      <c r="J28" s="1" t="n"/>
    </row>
    <row r="29">
      <c r="A29" s="1" t="n"/>
      <c r="B29" s="32" t="inlineStr">
        <is>
          <t>George Hill</t>
        </is>
      </c>
      <c r="C29" s="33" t="inlineStr">
        <is>
          <t>george.h@example.com</t>
        </is>
      </c>
      <c r="D29" s="33" t="inlineStr">
        <is>
          <t>Seattle</t>
        </is>
      </c>
      <c r="E29" s="33" t="n"/>
      <c r="F29" s="18">
        <f>IF(B29="","",COUNTIFS(Orders!$C$6:$C$1005,B29,Orders!$L$6:$L$1005,"&lt;&gt;Cancelled"))</f>
        <v/>
      </c>
      <c r="G29" s="22">
        <f>IF(B29="","",SUMIFS(Orders!$H$6:$H$1005,Orders!$C$6:$C$1005,B29,Orders!$L$6:$L$1005,"&lt;&gt;Cancelled"))</f>
        <v/>
      </c>
      <c r="H29" s="43">
        <f>IF(B29="","",IF(SUMIFS(Orders!$U$6:$U$1005,Orders!$C$6:$C$1005,B29,Orders!$V$6:$V$1005,1)=0,"",INT(SUMIFS(Orders!$U$6:$U$1005,Orders!$C$6:$C$1005,B29,Orders!$V$6:$V$1005,1))))</f>
        <v/>
      </c>
      <c r="I29" s="30">
        <f>IF(B29="","",IF(SUMIFS(Orders!$J$6:$J$1005,Orders!$C$6:$C$1005,B29)=0,"",SUMIFS(Orders!$J$6:$J$1005,Orders!$C$6:$C$1005,B29)))</f>
        <v/>
      </c>
      <c r="J29" s="1" t="n"/>
    </row>
    <row r="30">
      <c r="A30" s="1" t="n"/>
      <c r="B30" s="32" t="inlineStr">
        <is>
          <t>Iris Cole</t>
        </is>
      </c>
      <c r="C30" s="33" t="inlineStr">
        <is>
          <t>iris.c@example.com</t>
        </is>
      </c>
      <c r="D30" s="33" t="inlineStr">
        <is>
          <t>Boston</t>
        </is>
      </c>
      <c r="E30" s="33" t="n"/>
      <c r="F30" s="18">
        <f>IF(B30="","",COUNTIFS(Orders!$C$6:$C$1005,B30,Orders!$L$6:$L$1005,"&lt;&gt;Cancelled"))</f>
        <v/>
      </c>
      <c r="G30" s="22">
        <f>IF(B30="","",SUMIFS(Orders!$H$6:$H$1005,Orders!$C$6:$C$1005,B30,Orders!$L$6:$L$1005,"&lt;&gt;Cancelled"))</f>
        <v/>
      </c>
      <c r="H30" s="43">
        <f>IF(B30="","",IF(SUMIFS(Orders!$U$6:$U$1005,Orders!$C$6:$C$1005,B30,Orders!$V$6:$V$1005,1)=0,"",INT(SUMIFS(Orders!$U$6:$U$1005,Orders!$C$6:$C$1005,B30,Orders!$V$6:$V$1005,1))))</f>
        <v/>
      </c>
      <c r="I30" s="30">
        <f>IF(B30="","",IF(SUMIFS(Orders!$J$6:$J$1005,Orders!$C$6:$C$1005,B30)=0,"",SUMIFS(Orders!$J$6:$J$1005,Orders!$C$6:$C$1005,B30)))</f>
        <v/>
      </c>
      <c r="J30" s="1" t="n"/>
    </row>
    <row r="31">
      <c r="A31" s="1" t="n"/>
      <c r="B31" s="32" t="inlineStr">
        <is>
          <t>Paula Fox</t>
        </is>
      </c>
      <c r="C31" s="33" t="inlineStr">
        <is>
          <t>paula.f@example.com</t>
        </is>
      </c>
      <c r="D31" s="33" t="inlineStr">
        <is>
          <t>Denver</t>
        </is>
      </c>
      <c r="E31" s="33" t="n"/>
      <c r="F31" s="18">
        <f>IF(B31="","",COUNTIFS(Orders!$C$6:$C$1005,B31,Orders!$L$6:$L$1005,"&lt;&gt;Cancelled"))</f>
        <v/>
      </c>
      <c r="G31" s="22">
        <f>IF(B31="","",SUMIFS(Orders!$H$6:$H$1005,Orders!$C$6:$C$1005,B31,Orders!$L$6:$L$1005,"&lt;&gt;Cancelled"))</f>
        <v/>
      </c>
      <c r="H31" s="43">
        <f>IF(B31="","",IF(SUMIFS(Orders!$U$6:$U$1005,Orders!$C$6:$C$1005,B31,Orders!$V$6:$V$1005,1)=0,"",INT(SUMIFS(Orders!$U$6:$U$1005,Orders!$C$6:$C$1005,B31,Orders!$V$6:$V$1005,1))))</f>
        <v/>
      </c>
      <c r="I31" s="30">
        <f>IF(B31="","",IF(SUMIFS(Orders!$J$6:$J$1005,Orders!$C$6:$C$1005,B31)=0,"",SUMIFS(Orders!$J$6:$J$1005,Orders!$C$6:$C$1005,B31)))</f>
        <v/>
      </c>
      <c r="J31" s="1" t="n"/>
    </row>
    <row r="32">
      <c r="A32" s="1" t="n"/>
      <c r="B32" s="32" t="inlineStr">
        <is>
          <t>Sara King</t>
        </is>
      </c>
      <c r="C32" s="33" t="inlineStr">
        <is>
          <t>sara.k@example.com</t>
        </is>
      </c>
      <c r="D32" s="33" t="inlineStr">
        <is>
          <t>Austin</t>
        </is>
      </c>
      <c r="E32" s="33" t="n"/>
      <c r="F32" s="18">
        <f>IF(B32="","",COUNTIFS(Orders!$C$6:$C$1005,B32,Orders!$L$6:$L$1005,"&lt;&gt;Cancelled"))</f>
        <v/>
      </c>
      <c r="G32" s="22">
        <f>IF(B32="","",SUMIFS(Orders!$H$6:$H$1005,Orders!$C$6:$C$1005,B32,Orders!$L$6:$L$1005,"&lt;&gt;Cancelled"))</f>
        <v/>
      </c>
      <c r="H32" s="43">
        <f>IF(B32="","",IF(SUMIFS(Orders!$U$6:$U$1005,Orders!$C$6:$C$1005,B32,Orders!$V$6:$V$1005,1)=0,"",INT(SUMIFS(Orders!$U$6:$U$1005,Orders!$C$6:$C$1005,B32,Orders!$V$6:$V$1005,1))))</f>
        <v/>
      </c>
      <c r="I32" s="30">
        <f>IF(B32="","",IF(SUMIFS(Orders!$J$6:$J$1005,Orders!$C$6:$C$1005,B32)=0,"",SUMIFS(Orders!$J$6:$J$1005,Orders!$C$6:$C$1005,B32)))</f>
        <v/>
      </c>
      <c r="J32" s="1" t="n"/>
    </row>
    <row r="33">
      <c r="A33" s="1" t="n"/>
      <c r="B33" s="32" t="inlineStr">
        <is>
          <t>Helen Kelly</t>
        </is>
      </c>
      <c r="C33" s="33" t="inlineStr">
        <is>
          <t>helen.k@example.com</t>
        </is>
      </c>
      <c r="D33" s="33" t="inlineStr">
        <is>
          <t>Austin</t>
        </is>
      </c>
      <c r="E33" s="33" t="n"/>
      <c r="F33" s="18">
        <f>IF(B33="","",COUNTIFS(Orders!$C$6:$C$1005,B33,Orders!$L$6:$L$1005,"&lt;&gt;Cancelled"))</f>
        <v/>
      </c>
      <c r="G33" s="22">
        <f>IF(B33="","",SUMIFS(Orders!$H$6:$H$1005,Orders!$C$6:$C$1005,B33,Orders!$L$6:$L$1005,"&lt;&gt;Cancelled"))</f>
        <v/>
      </c>
      <c r="H33" s="43">
        <f>IF(B33="","",IF(SUMIFS(Orders!$U$6:$U$1005,Orders!$C$6:$C$1005,B33,Orders!$V$6:$V$1005,1)=0,"",INT(SUMIFS(Orders!$U$6:$U$1005,Orders!$C$6:$C$1005,B33,Orders!$V$6:$V$1005,1))))</f>
        <v/>
      </c>
      <c r="I33" s="30">
        <f>IF(B33="","",IF(SUMIFS(Orders!$J$6:$J$1005,Orders!$C$6:$C$1005,B33)=0,"",SUMIFS(Orders!$J$6:$J$1005,Orders!$C$6:$C$1005,B33)))</f>
        <v/>
      </c>
      <c r="J33" s="1" t="n"/>
    </row>
    <row r="34">
      <c r="A34" s="1" t="n"/>
      <c r="B34" s="32" t="inlineStr">
        <is>
          <t>Eva Adams</t>
        </is>
      </c>
      <c r="C34" s="33" t="inlineStr">
        <is>
          <t>eva.a@example.com</t>
        </is>
      </c>
      <c r="D34" s="33" t="inlineStr">
        <is>
          <t>Local</t>
        </is>
      </c>
      <c r="E34" s="33" t="n"/>
      <c r="F34" s="18">
        <f>IF(B34="","",COUNTIFS(Orders!$C$6:$C$1005,B34,Orders!$L$6:$L$1005,"&lt;&gt;Cancelled"))</f>
        <v/>
      </c>
      <c r="G34" s="22">
        <f>IF(B34="","",SUMIFS(Orders!$H$6:$H$1005,Orders!$C$6:$C$1005,B34,Orders!$L$6:$L$1005,"&lt;&gt;Cancelled"))</f>
        <v/>
      </c>
      <c r="H34" s="43">
        <f>IF(B34="","",IF(SUMIFS(Orders!$U$6:$U$1005,Orders!$C$6:$C$1005,B34,Orders!$V$6:$V$1005,1)=0,"",INT(SUMIFS(Orders!$U$6:$U$1005,Orders!$C$6:$C$1005,B34,Orders!$V$6:$V$1005,1))))</f>
        <v/>
      </c>
      <c r="I34" s="30">
        <f>IF(B34="","",IF(SUMIFS(Orders!$J$6:$J$1005,Orders!$C$6:$C$1005,B34)=0,"",SUMIFS(Orders!$J$6:$J$1005,Orders!$C$6:$C$1005,B34)))</f>
        <v/>
      </c>
      <c r="J34" s="1" t="n"/>
    </row>
    <row r="35">
      <c r="A35" s="1" t="n"/>
      <c r="B35" s="32" t="inlineStr">
        <is>
          <t>Ruby Cook</t>
        </is>
      </c>
      <c r="C35" s="33" t="inlineStr">
        <is>
          <t>ruby.c@example.com</t>
        </is>
      </c>
      <c r="D35" s="33" t="inlineStr">
        <is>
          <t>Chicago</t>
        </is>
      </c>
      <c r="E35" s="33" t="n"/>
      <c r="F35" s="18">
        <f>IF(B35="","",COUNTIFS(Orders!$C$6:$C$1005,B35,Orders!$L$6:$L$1005,"&lt;&gt;Cancelled"))</f>
        <v/>
      </c>
      <c r="G35" s="22">
        <f>IF(B35="","",SUMIFS(Orders!$H$6:$H$1005,Orders!$C$6:$C$1005,B35,Orders!$L$6:$L$1005,"&lt;&gt;Cancelled"))</f>
        <v/>
      </c>
      <c r="H35" s="43">
        <f>IF(B35="","",IF(SUMIFS(Orders!$U$6:$U$1005,Orders!$C$6:$C$1005,B35,Orders!$V$6:$V$1005,1)=0,"",INT(SUMIFS(Orders!$U$6:$U$1005,Orders!$C$6:$C$1005,B35,Orders!$V$6:$V$1005,1))))</f>
        <v/>
      </c>
      <c r="I35" s="30">
        <f>IF(B35="","",IF(SUMIFS(Orders!$J$6:$J$1005,Orders!$C$6:$C$1005,B35)=0,"",SUMIFS(Orders!$J$6:$J$1005,Orders!$C$6:$C$1005,B35)))</f>
        <v/>
      </c>
      <c r="J35" s="1" t="n"/>
    </row>
    <row r="36">
      <c r="A36" s="1" t="n"/>
      <c r="B36" s="32" t="inlineStr">
        <is>
          <t>Chris Adams</t>
        </is>
      </c>
      <c r="C36" s="33" t="inlineStr">
        <is>
          <t>chris.a@example.com</t>
        </is>
      </c>
      <c r="D36" s="33" t="inlineStr">
        <is>
          <t>Austin</t>
        </is>
      </c>
      <c r="E36" s="33" t="n"/>
      <c r="F36" s="18">
        <f>IF(B36="","",COUNTIFS(Orders!$C$6:$C$1005,B36,Orders!$L$6:$L$1005,"&lt;&gt;Cancelled"))</f>
        <v/>
      </c>
      <c r="G36" s="22">
        <f>IF(B36="","",SUMIFS(Orders!$H$6:$H$1005,Orders!$C$6:$C$1005,B36,Orders!$L$6:$L$1005,"&lt;&gt;Cancelled"))</f>
        <v/>
      </c>
      <c r="H36" s="43">
        <f>IF(B36="","",IF(SUMIFS(Orders!$U$6:$U$1005,Orders!$C$6:$C$1005,B36,Orders!$V$6:$V$1005,1)=0,"",INT(SUMIFS(Orders!$U$6:$U$1005,Orders!$C$6:$C$1005,B36,Orders!$V$6:$V$1005,1))))</f>
        <v/>
      </c>
      <c r="I36" s="30">
        <f>IF(B36="","",IF(SUMIFS(Orders!$J$6:$J$1005,Orders!$C$6:$C$1005,B36)=0,"",SUMIFS(Orders!$J$6:$J$1005,Orders!$C$6:$C$1005,B36)))</f>
        <v/>
      </c>
      <c r="J36" s="1" t="n"/>
    </row>
    <row r="37">
      <c r="A37" s="1" t="n"/>
      <c r="B37" s="32" t="inlineStr">
        <is>
          <t>Sophie Lewis</t>
        </is>
      </c>
      <c r="C37" s="33" t="inlineStr">
        <is>
          <t>sophie.l@example.com</t>
        </is>
      </c>
      <c r="D37" s="33" t="inlineStr">
        <is>
          <t>Boston</t>
        </is>
      </c>
      <c r="E37" s="33" t="n"/>
      <c r="F37" s="18">
        <f>IF(B37="","",COUNTIFS(Orders!$C$6:$C$1005,B37,Orders!$L$6:$L$1005,"&lt;&gt;Cancelled"))</f>
        <v/>
      </c>
      <c r="G37" s="22">
        <f>IF(B37="","",SUMIFS(Orders!$H$6:$H$1005,Orders!$C$6:$C$1005,B37,Orders!$L$6:$L$1005,"&lt;&gt;Cancelled"))</f>
        <v/>
      </c>
      <c r="H37" s="43">
        <f>IF(B37="","",IF(SUMIFS(Orders!$U$6:$U$1005,Orders!$C$6:$C$1005,B37,Orders!$V$6:$V$1005,1)=0,"",INT(SUMIFS(Orders!$U$6:$U$1005,Orders!$C$6:$C$1005,B37,Orders!$V$6:$V$1005,1))))</f>
        <v/>
      </c>
      <c r="I37" s="30">
        <f>IF(B37="","",IF(SUMIFS(Orders!$J$6:$J$1005,Orders!$C$6:$C$1005,B37)=0,"",SUMIFS(Orders!$J$6:$J$1005,Orders!$C$6:$C$1005,B37)))</f>
        <v/>
      </c>
      <c r="J37" s="1" t="n"/>
    </row>
    <row r="38">
      <c r="A38" s="1" t="n"/>
      <c r="B38" s="32" t="inlineStr">
        <is>
          <t>Eli Davies</t>
        </is>
      </c>
      <c r="C38" s="33" t="inlineStr">
        <is>
          <t>eli.d@example.com</t>
        </is>
      </c>
      <c r="D38" s="33" t="inlineStr">
        <is>
          <t>Boston</t>
        </is>
      </c>
      <c r="E38" s="33" t="n"/>
      <c r="F38" s="18">
        <f>IF(B38="","",COUNTIFS(Orders!$C$6:$C$1005,B38,Orders!$L$6:$L$1005,"&lt;&gt;Cancelled"))</f>
        <v/>
      </c>
      <c r="G38" s="22">
        <f>IF(B38="","",SUMIFS(Orders!$H$6:$H$1005,Orders!$C$6:$C$1005,B38,Orders!$L$6:$L$1005,"&lt;&gt;Cancelled"))</f>
        <v/>
      </c>
      <c r="H38" s="43">
        <f>IF(B38="","",IF(SUMIFS(Orders!$U$6:$U$1005,Orders!$C$6:$C$1005,B38,Orders!$V$6:$V$1005,1)=0,"",INT(SUMIFS(Orders!$U$6:$U$1005,Orders!$C$6:$C$1005,B38,Orders!$V$6:$V$1005,1))))</f>
        <v/>
      </c>
      <c r="I38" s="30">
        <f>IF(B38="","",IF(SUMIFS(Orders!$J$6:$J$1005,Orders!$C$6:$C$1005,B38)=0,"",SUMIFS(Orders!$J$6:$J$1005,Orders!$C$6:$C$1005,B38)))</f>
        <v/>
      </c>
      <c r="J38" s="1" t="n"/>
    </row>
    <row r="39">
      <c r="A39" s="1" t="n"/>
      <c r="B39" s="32" t="inlineStr">
        <is>
          <t>Jon Gray</t>
        </is>
      </c>
      <c r="C39" s="33" t="inlineStr">
        <is>
          <t>jon.g@example.com</t>
        </is>
      </c>
      <c r="D39" s="33" t="inlineStr">
        <is>
          <t>Boston</t>
        </is>
      </c>
      <c r="E39" s="33" t="n"/>
      <c r="F39" s="18">
        <f>IF(B39="","",COUNTIFS(Orders!$C$6:$C$1005,B39,Orders!$L$6:$L$1005,"&lt;&gt;Cancelled"))</f>
        <v/>
      </c>
      <c r="G39" s="22">
        <f>IF(B39="","",SUMIFS(Orders!$H$6:$H$1005,Orders!$C$6:$C$1005,B39,Orders!$L$6:$L$1005,"&lt;&gt;Cancelled"))</f>
        <v/>
      </c>
      <c r="H39" s="43">
        <f>IF(B39="","",IF(SUMIFS(Orders!$U$6:$U$1005,Orders!$C$6:$C$1005,B39,Orders!$V$6:$V$1005,1)=0,"",INT(SUMIFS(Orders!$U$6:$U$1005,Orders!$C$6:$C$1005,B39,Orders!$V$6:$V$1005,1))))</f>
        <v/>
      </c>
      <c r="I39" s="30">
        <f>IF(B39="","",IF(SUMIFS(Orders!$J$6:$J$1005,Orders!$C$6:$C$1005,B39)=0,"",SUMIFS(Orders!$J$6:$J$1005,Orders!$C$6:$C$1005,B39)))</f>
        <v/>
      </c>
      <c r="J39" s="1" t="n"/>
    </row>
    <row r="40">
      <c r="A40" s="1" t="n"/>
      <c r="B40" s="32" t="inlineStr">
        <is>
          <t>Kyle Brooks</t>
        </is>
      </c>
      <c r="C40" s="33" t="inlineStr">
        <is>
          <t>kyle.b@example.com</t>
        </is>
      </c>
      <c r="D40" s="33" t="inlineStr">
        <is>
          <t>Seattle</t>
        </is>
      </c>
      <c r="E40" s="33" t="n"/>
      <c r="F40" s="18">
        <f>IF(B40="","",COUNTIFS(Orders!$C$6:$C$1005,B40,Orders!$L$6:$L$1005,"&lt;&gt;Cancelled"))</f>
        <v/>
      </c>
      <c r="G40" s="22">
        <f>IF(B40="","",SUMIFS(Orders!$H$6:$H$1005,Orders!$C$6:$C$1005,B40,Orders!$L$6:$L$1005,"&lt;&gt;Cancelled"))</f>
        <v/>
      </c>
      <c r="H40" s="43">
        <f>IF(B40="","",IF(SUMIFS(Orders!$U$6:$U$1005,Orders!$C$6:$C$1005,B40,Orders!$V$6:$V$1005,1)=0,"",INT(SUMIFS(Orders!$U$6:$U$1005,Orders!$C$6:$C$1005,B40,Orders!$V$6:$V$1005,1))))</f>
        <v/>
      </c>
      <c r="I40" s="30">
        <f>IF(B40="","",IF(SUMIFS(Orders!$J$6:$J$1005,Orders!$C$6:$C$1005,B40)=0,"",SUMIFS(Orders!$J$6:$J$1005,Orders!$C$6:$C$1005,B40)))</f>
        <v/>
      </c>
      <c r="J40" s="1" t="n"/>
    </row>
    <row r="41">
      <c r="A41" s="1" t="n"/>
      <c r="B41" s="32" t="inlineStr">
        <is>
          <t>Leah Morgan</t>
        </is>
      </c>
      <c r="C41" s="33" t="inlineStr">
        <is>
          <t>leah.m@example.com</t>
        </is>
      </c>
      <c r="D41" s="33" t="inlineStr">
        <is>
          <t>Denver</t>
        </is>
      </c>
      <c r="E41" s="33" t="n"/>
      <c r="F41" s="18">
        <f>IF(B41="","",COUNTIFS(Orders!$C$6:$C$1005,B41,Orders!$L$6:$L$1005,"&lt;&gt;Cancelled"))</f>
        <v/>
      </c>
      <c r="G41" s="22">
        <f>IF(B41="","",SUMIFS(Orders!$H$6:$H$1005,Orders!$C$6:$C$1005,B41,Orders!$L$6:$L$1005,"&lt;&gt;Cancelled"))</f>
        <v/>
      </c>
      <c r="H41" s="43">
        <f>IF(B41="","",IF(SUMIFS(Orders!$U$6:$U$1005,Orders!$C$6:$C$1005,B41,Orders!$V$6:$V$1005,1)=0,"",INT(SUMIFS(Orders!$U$6:$U$1005,Orders!$C$6:$C$1005,B41,Orders!$V$6:$V$1005,1))))</f>
        <v/>
      </c>
      <c r="I41" s="30">
        <f>IF(B41="","",IF(SUMIFS(Orders!$J$6:$J$1005,Orders!$C$6:$C$1005,B41)=0,"",SUMIFS(Orders!$J$6:$J$1005,Orders!$C$6:$C$1005,B41)))</f>
        <v/>
      </c>
      <c r="J41" s="1" t="n"/>
    </row>
    <row r="42">
      <c r="A42" s="1" t="n"/>
      <c r="B42" s="32" t="inlineStr">
        <is>
          <t>Iris Hall</t>
        </is>
      </c>
      <c r="C42" s="33" t="inlineStr">
        <is>
          <t>iris.h@example.com</t>
        </is>
      </c>
      <c r="D42" s="33" t="inlineStr">
        <is>
          <t>Local</t>
        </is>
      </c>
      <c r="E42" s="33" t="n"/>
      <c r="F42" s="18">
        <f>IF(B42="","",COUNTIFS(Orders!$C$6:$C$1005,B42,Orders!$L$6:$L$1005,"&lt;&gt;Cancelled"))</f>
        <v/>
      </c>
      <c r="G42" s="22">
        <f>IF(B42="","",SUMIFS(Orders!$H$6:$H$1005,Orders!$C$6:$C$1005,B42,Orders!$L$6:$L$1005,"&lt;&gt;Cancelled"))</f>
        <v/>
      </c>
      <c r="H42" s="43">
        <f>IF(B42="","",IF(SUMIFS(Orders!$U$6:$U$1005,Orders!$C$6:$C$1005,B42,Orders!$V$6:$V$1005,1)=0,"",INT(SUMIFS(Orders!$U$6:$U$1005,Orders!$C$6:$C$1005,B42,Orders!$V$6:$V$1005,1))))</f>
        <v/>
      </c>
      <c r="I42" s="30">
        <f>IF(B42="","",IF(SUMIFS(Orders!$J$6:$J$1005,Orders!$C$6:$C$1005,B42)=0,"",SUMIFS(Orders!$J$6:$J$1005,Orders!$C$6:$C$1005,B42)))</f>
        <v/>
      </c>
      <c r="J42" s="1" t="n"/>
    </row>
    <row r="43">
      <c r="A43" s="1" t="n"/>
      <c r="B43" s="32" t="inlineStr">
        <is>
          <t>Jon Fox</t>
        </is>
      </c>
      <c r="C43" s="33" t="inlineStr">
        <is>
          <t>jon.f@example.com</t>
        </is>
      </c>
      <c r="D43" s="33" t="inlineStr">
        <is>
          <t>Seattle</t>
        </is>
      </c>
      <c r="E43" s="33" t="n"/>
      <c r="F43" s="18">
        <f>IF(B43="","",COUNTIFS(Orders!$C$6:$C$1005,B43,Orders!$L$6:$L$1005,"&lt;&gt;Cancelled"))</f>
        <v/>
      </c>
      <c r="G43" s="22">
        <f>IF(B43="","",SUMIFS(Orders!$H$6:$H$1005,Orders!$C$6:$C$1005,B43,Orders!$L$6:$L$1005,"&lt;&gt;Cancelled"))</f>
        <v/>
      </c>
      <c r="H43" s="43">
        <f>IF(B43="","",IF(SUMIFS(Orders!$U$6:$U$1005,Orders!$C$6:$C$1005,B43,Orders!$V$6:$V$1005,1)=0,"",INT(SUMIFS(Orders!$U$6:$U$1005,Orders!$C$6:$C$1005,B43,Orders!$V$6:$V$1005,1))))</f>
        <v/>
      </c>
      <c r="I43" s="30">
        <f>IF(B43="","",IF(SUMIFS(Orders!$J$6:$J$1005,Orders!$C$6:$C$1005,B43)=0,"",SUMIFS(Orders!$J$6:$J$1005,Orders!$C$6:$C$1005,B43)))</f>
        <v/>
      </c>
      <c r="J43" s="1" t="n"/>
    </row>
    <row r="44">
      <c r="A44" s="1" t="n"/>
      <c r="B44" s="32" t="inlineStr">
        <is>
          <t>Alice Cook</t>
        </is>
      </c>
      <c r="C44" s="33" t="inlineStr">
        <is>
          <t>alice.c@example.com</t>
        </is>
      </c>
      <c r="D44" s="33" t="inlineStr">
        <is>
          <t>Portland</t>
        </is>
      </c>
      <c r="E44" s="33" t="n"/>
      <c r="F44" s="18">
        <f>IF(B44="","",COUNTIFS(Orders!$C$6:$C$1005,B44,Orders!$L$6:$L$1005,"&lt;&gt;Cancelled"))</f>
        <v/>
      </c>
      <c r="G44" s="22">
        <f>IF(B44="","",SUMIFS(Orders!$H$6:$H$1005,Orders!$C$6:$C$1005,B44,Orders!$L$6:$L$1005,"&lt;&gt;Cancelled"))</f>
        <v/>
      </c>
      <c r="H44" s="43">
        <f>IF(B44="","",IF(SUMIFS(Orders!$U$6:$U$1005,Orders!$C$6:$C$1005,B44,Orders!$V$6:$V$1005,1)=0,"",INT(SUMIFS(Orders!$U$6:$U$1005,Orders!$C$6:$C$1005,B44,Orders!$V$6:$V$1005,1))))</f>
        <v/>
      </c>
      <c r="I44" s="30">
        <f>IF(B44="","",IF(SUMIFS(Orders!$J$6:$J$1005,Orders!$C$6:$C$1005,B44)=0,"",SUMIFS(Orders!$J$6:$J$1005,Orders!$C$6:$C$1005,B44)))</f>
        <v/>
      </c>
      <c r="J44" s="1" t="n"/>
    </row>
    <row r="45">
      <c r="A45" s="1" t="n"/>
      <c r="B45" s="32" t="inlineStr">
        <is>
          <t>Megan Reed</t>
        </is>
      </c>
      <c r="C45" s="33" t="inlineStr">
        <is>
          <t>megan.r@example.com</t>
        </is>
      </c>
      <c r="D45" s="33" t="inlineStr">
        <is>
          <t>Austin</t>
        </is>
      </c>
      <c r="E45" s="33" t="n"/>
      <c r="F45" s="18">
        <f>IF(B45="","",COUNTIFS(Orders!$C$6:$C$1005,B45,Orders!$L$6:$L$1005,"&lt;&gt;Cancelled"))</f>
        <v/>
      </c>
      <c r="G45" s="22">
        <f>IF(B45="","",SUMIFS(Orders!$H$6:$H$1005,Orders!$C$6:$C$1005,B45,Orders!$L$6:$L$1005,"&lt;&gt;Cancelled"))</f>
        <v/>
      </c>
      <c r="H45" s="43">
        <f>IF(B45="","",IF(SUMIFS(Orders!$U$6:$U$1005,Orders!$C$6:$C$1005,B45,Orders!$V$6:$V$1005,1)=0,"",INT(SUMIFS(Orders!$U$6:$U$1005,Orders!$C$6:$C$1005,B45,Orders!$V$6:$V$1005,1))))</f>
        <v/>
      </c>
      <c r="I45" s="30">
        <f>IF(B45="","",IF(SUMIFS(Orders!$J$6:$J$1005,Orders!$C$6:$C$1005,B45)=0,"",SUMIFS(Orders!$J$6:$J$1005,Orders!$C$6:$C$1005,B45)))</f>
        <v/>
      </c>
      <c r="J45" s="1" t="n"/>
    </row>
    <row r="46">
      <c r="A46" s="1" t="n"/>
      <c r="B46" s="32" t="inlineStr">
        <is>
          <t>Kara Cook</t>
        </is>
      </c>
      <c r="C46" s="33" t="inlineStr">
        <is>
          <t>kara.c@example.com</t>
        </is>
      </c>
      <c r="D46" s="33" t="inlineStr">
        <is>
          <t>Chicago</t>
        </is>
      </c>
      <c r="E46" s="33" t="n"/>
      <c r="F46" s="18">
        <f>IF(B46="","",COUNTIFS(Orders!$C$6:$C$1005,B46,Orders!$L$6:$L$1005,"&lt;&gt;Cancelled"))</f>
        <v/>
      </c>
      <c r="G46" s="22">
        <f>IF(B46="","",SUMIFS(Orders!$H$6:$H$1005,Orders!$C$6:$C$1005,B46,Orders!$L$6:$L$1005,"&lt;&gt;Cancelled"))</f>
        <v/>
      </c>
      <c r="H46" s="43">
        <f>IF(B46="","",IF(SUMIFS(Orders!$U$6:$U$1005,Orders!$C$6:$C$1005,B46,Orders!$V$6:$V$1005,1)=0,"",INT(SUMIFS(Orders!$U$6:$U$1005,Orders!$C$6:$C$1005,B46,Orders!$V$6:$V$1005,1))))</f>
        <v/>
      </c>
      <c r="I46" s="30">
        <f>IF(B46="","",IF(SUMIFS(Orders!$J$6:$J$1005,Orders!$C$6:$C$1005,B46)=0,"",SUMIFS(Orders!$J$6:$J$1005,Orders!$C$6:$C$1005,B46)))</f>
        <v/>
      </c>
      <c r="J46" s="1" t="n"/>
    </row>
    <row r="47">
      <c r="A47" s="1" t="n"/>
      <c r="B47" s="32" t="inlineStr">
        <is>
          <t>Lily Murphy</t>
        </is>
      </c>
      <c r="C47" s="33" t="inlineStr">
        <is>
          <t>lily.m@example.com</t>
        </is>
      </c>
      <c r="D47" s="33" t="inlineStr">
        <is>
          <t>Boston</t>
        </is>
      </c>
      <c r="E47" s="33" t="n"/>
      <c r="F47" s="18">
        <f>IF(B47="","",COUNTIFS(Orders!$C$6:$C$1005,B47,Orders!$L$6:$L$1005,"&lt;&gt;Cancelled"))</f>
        <v/>
      </c>
      <c r="G47" s="22">
        <f>IF(B47="","",SUMIFS(Orders!$H$6:$H$1005,Orders!$C$6:$C$1005,B47,Orders!$L$6:$L$1005,"&lt;&gt;Cancelled"))</f>
        <v/>
      </c>
      <c r="H47" s="43">
        <f>IF(B47="","",IF(SUMIFS(Orders!$U$6:$U$1005,Orders!$C$6:$C$1005,B47,Orders!$V$6:$V$1005,1)=0,"",INT(SUMIFS(Orders!$U$6:$U$1005,Orders!$C$6:$C$1005,B47,Orders!$V$6:$V$1005,1))))</f>
        <v/>
      </c>
      <c r="I47" s="30">
        <f>IF(B47="","",IF(SUMIFS(Orders!$J$6:$J$1005,Orders!$C$6:$C$1005,B47)=0,"",SUMIFS(Orders!$J$6:$J$1005,Orders!$C$6:$C$1005,B47)))</f>
        <v/>
      </c>
      <c r="J47" s="1" t="n"/>
    </row>
    <row r="48">
      <c r="A48" s="1" t="n"/>
      <c r="B48" s="32" t="inlineStr">
        <is>
          <t>Clara Hughes</t>
        </is>
      </c>
      <c r="C48" s="33" t="inlineStr">
        <is>
          <t>clara.h@example.com</t>
        </is>
      </c>
      <c r="D48" s="33" t="inlineStr">
        <is>
          <t>Seattle</t>
        </is>
      </c>
      <c r="E48" s="33" t="n"/>
      <c r="F48" s="18">
        <f>IF(B48="","",COUNTIFS(Orders!$C$6:$C$1005,B48,Orders!$L$6:$L$1005,"&lt;&gt;Cancelled"))</f>
        <v/>
      </c>
      <c r="G48" s="22">
        <f>IF(B48="","",SUMIFS(Orders!$H$6:$H$1005,Orders!$C$6:$C$1005,B48,Orders!$L$6:$L$1005,"&lt;&gt;Cancelled"))</f>
        <v/>
      </c>
      <c r="H48" s="43">
        <f>IF(B48="","",IF(SUMIFS(Orders!$U$6:$U$1005,Orders!$C$6:$C$1005,B48,Orders!$V$6:$V$1005,1)=0,"",INT(SUMIFS(Orders!$U$6:$U$1005,Orders!$C$6:$C$1005,B48,Orders!$V$6:$V$1005,1))))</f>
        <v/>
      </c>
      <c r="I48" s="30">
        <f>IF(B48="","",IF(SUMIFS(Orders!$J$6:$J$1005,Orders!$C$6:$C$1005,B48)=0,"",SUMIFS(Orders!$J$6:$J$1005,Orders!$C$6:$C$1005,B48)))</f>
        <v/>
      </c>
      <c r="J48" s="1" t="n"/>
    </row>
    <row r="49">
      <c r="A49" s="1" t="n"/>
      <c r="B49" s="32" t="inlineStr">
        <is>
          <t>Ian Adams</t>
        </is>
      </c>
      <c r="C49" s="33" t="inlineStr">
        <is>
          <t>ian.a@example.com</t>
        </is>
      </c>
      <c r="D49" s="33" t="inlineStr">
        <is>
          <t>Denver</t>
        </is>
      </c>
      <c r="E49" s="33" t="n"/>
      <c r="F49" s="18">
        <f>IF(B49="","",COUNTIFS(Orders!$C$6:$C$1005,B49,Orders!$L$6:$L$1005,"&lt;&gt;Cancelled"))</f>
        <v/>
      </c>
      <c r="G49" s="22">
        <f>IF(B49="","",SUMIFS(Orders!$H$6:$H$1005,Orders!$C$6:$C$1005,B49,Orders!$L$6:$L$1005,"&lt;&gt;Cancelled"))</f>
        <v/>
      </c>
      <c r="H49" s="43">
        <f>IF(B49="","",IF(SUMIFS(Orders!$U$6:$U$1005,Orders!$C$6:$C$1005,B49,Orders!$V$6:$V$1005,1)=0,"",INT(SUMIFS(Orders!$U$6:$U$1005,Orders!$C$6:$C$1005,B49,Orders!$V$6:$V$1005,1))))</f>
        <v/>
      </c>
      <c r="I49" s="30">
        <f>IF(B49="","",IF(SUMIFS(Orders!$J$6:$J$1005,Orders!$C$6:$C$1005,B49)=0,"",SUMIFS(Orders!$J$6:$J$1005,Orders!$C$6:$C$1005,B49)))</f>
        <v/>
      </c>
      <c r="J49" s="1" t="n"/>
    </row>
    <row r="50">
      <c r="A50" s="1" t="n"/>
      <c r="B50" s="32" t="inlineStr">
        <is>
          <t>Chris King</t>
        </is>
      </c>
      <c r="C50" s="33" t="inlineStr">
        <is>
          <t>chris.k@example.com</t>
        </is>
      </c>
      <c r="D50" s="33" t="inlineStr">
        <is>
          <t>Austin</t>
        </is>
      </c>
      <c r="E50" s="33" t="n"/>
      <c r="F50" s="18">
        <f>IF(B50="","",COUNTIFS(Orders!$C$6:$C$1005,B50,Orders!$L$6:$L$1005,"&lt;&gt;Cancelled"))</f>
        <v/>
      </c>
      <c r="G50" s="22">
        <f>IF(B50="","",SUMIFS(Orders!$H$6:$H$1005,Orders!$C$6:$C$1005,B50,Orders!$L$6:$L$1005,"&lt;&gt;Cancelled"))</f>
        <v/>
      </c>
      <c r="H50" s="43">
        <f>IF(B50="","",IF(SUMIFS(Orders!$U$6:$U$1005,Orders!$C$6:$C$1005,B50,Orders!$V$6:$V$1005,1)=0,"",INT(SUMIFS(Orders!$U$6:$U$1005,Orders!$C$6:$C$1005,B50,Orders!$V$6:$V$1005,1))))</f>
        <v/>
      </c>
      <c r="I50" s="30">
        <f>IF(B50="","",IF(SUMIFS(Orders!$J$6:$J$1005,Orders!$C$6:$C$1005,B50)=0,"",SUMIFS(Orders!$J$6:$J$1005,Orders!$C$6:$C$1005,B50)))</f>
        <v/>
      </c>
      <c r="J50" s="1" t="n"/>
    </row>
    <row r="51">
      <c r="A51" s="1" t="n"/>
      <c r="B51" s="32" t="inlineStr">
        <is>
          <t>Clara Davies</t>
        </is>
      </c>
      <c r="C51" s="33" t="inlineStr">
        <is>
          <t>clara.d@example.com</t>
        </is>
      </c>
      <c r="D51" s="33" t="inlineStr">
        <is>
          <t>Seattle</t>
        </is>
      </c>
      <c r="E51" s="33" t="n"/>
      <c r="F51" s="18">
        <f>IF(B51="","",COUNTIFS(Orders!$C$6:$C$1005,B51,Orders!$L$6:$L$1005,"&lt;&gt;Cancelled"))</f>
        <v/>
      </c>
      <c r="G51" s="22">
        <f>IF(B51="","",SUMIFS(Orders!$H$6:$H$1005,Orders!$C$6:$C$1005,B51,Orders!$L$6:$L$1005,"&lt;&gt;Cancelled"))</f>
        <v/>
      </c>
      <c r="H51" s="43">
        <f>IF(B51="","",IF(SUMIFS(Orders!$U$6:$U$1005,Orders!$C$6:$C$1005,B51,Orders!$V$6:$V$1005,1)=0,"",INT(SUMIFS(Orders!$U$6:$U$1005,Orders!$C$6:$C$1005,B51,Orders!$V$6:$V$1005,1))))</f>
        <v/>
      </c>
      <c r="I51" s="30">
        <f>IF(B51="","",IF(SUMIFS(Orders!$J$6:$J$1005,Orders!$C$6:$C$1005,B51)=0,"",SUMIFS(Orders!$J$6:$J$1005,Orders!$C$6:$C$1005,B51)))</f>
        <v/>
      </c>
      <c r="J51" s="1" t="n"/>
    </row>
    <row r="52">
      <c r="A52" s="1" t="n"/>
      <c r="B52" s="32" t="inlineStr">
        <is>
          <t>George Bell</t>
        </is>
      </c>
      <c r="C52" s="33" t="inlineStr">
        <is>
          <t>george.b@example.com</t>
        </is>
      </c>
      <c r="D52" s="33" t="inlineStr">
        <is>
          <t>Austin</t>
        </is>
      </c>
      <c r="E52" s="33" t="n"/>
      <c r="F52" s="18">
        <f>IF(B52="","",COUNTIFS(Orders!$C$6:$C$1005,B52,Orders!$L$6:$L$1005,"&lt;&gt;Cancelled"))</f>
        <v/>
      </c>
      <c r="G52" s="22">
        <f>IF(B52="","",SUMIFS(Orders!$H$6:$H$1005,Orders!$C$6:$C$1005,B52,Orders!$L$6:$L$1005,"&lt;&gt;Cancelled"))</f>
        <v/>
      </c>
      <c r="H52" s="43">
        <f>IF(B52="","",IF(SUMIFS(Orders!$U$6:$U$1005,Orders!$C$6:$C$1005,B52,Orders!$V$6:$V$1005,1)=0,"",INT(SUMIFS(Orders!$U$6:$U$1005,Orders!$C$6:$C$1005,B52,Orders!$V$6:$V$1005,1))))</f>
        <v/>
      </c>
      <c r="I52" s="30">
        <f>IF(B52="","",IF(SUMIFS(Orders!$J$6:$J$1005,Orders!$C$6:$C$1005,B52)=0,"",SUMIFS(Orders!$J$6:$J$1005,Orders!$C$6:$C$1005,B52)))</f>
        <v/>
      </c>
      <c r="J52" s="1" t="n"/>
    </row>
    <row r="53">
      <c r="A53" s="1" t="n"/>
      <c r="B53" s="32" t="inlineStr">
        <is>
          <t>Paula Reed</t>
        </is>
      </c>
      <c r="C53" s="33" t="inlineStr">
        <is>
          <t>paula.r@example.com</t>
        </is>
      </c>
      <c r="D53" s="33" t="inlineStr">
        <is>
          <t>Chicago</t>
        </is>
      </c>
      <c r="E53" s="33" t="n"/>
      <c r="F53" s="18">
        <f>IF(B53="","",COUNTIFS(Orders!$C$6:$C$1005,B53,Orders!$L$6:$L$1005,"&lt;&gt;Cancelled"))</f>
        <v/>
      </c>
      <c r="G53" s="22">
        <f>IF(B53="","",SUMIFS(Orders!$H$6:$H$1005,Orders!$C$6:$C$1005,B53,Orders!$L$6:$L$1005,"&lt;&gt;Cancelled"))</f>
        <v/>
      </c>
      <c r="H53" s="43">
        <f>IF(B53="","",IF(SUMIFS(Orders!$U$6:$U$1005,Orders!$C$6:$C$1005,B53,Orders!$V$6:$V$1005,1)=0,"",INT(SUMIFS(Orders!$U$6:$U$1005,Orders!$C$6:$C$1005,B53,Orders!$V$6:$V$1005,1))))</f>
        <v/>
      </c>
      <c r="I53" s="30">
        <f>IF(B53="","",IF(SUMIFS(Orders!$J$6:$J$1005,Orders!$C$6:$C$1005,B53)=0,"",SUMIFS(Orders!$J$6:$J$1005,Orders!$C$6:$C$1005,B53)))</f>
        <v/>
      </c>
      <c r="J53" s="1" t="n"/>
    </row>
    <row r="54">
      <c r="A54" s="1" t="n"/>
      <c r="B54" s="32" t="inlineStr">
        <is>
          <t>Adam Baker</t>
        </is>
      </c>
      <c r="C54" s="33" t="inlineStr">
        <is>
          <t>adam.b@example.com</t>
        </is>
      </c>
      <c r="D54" s="33" t="inlineStr">
        <is>
          <t>Local</t>
        </is>
      </c>
      <c r="E54" s="33" t="n"/>
      <c r="F54" s="18">
        <f>IF(B54="","",COUNTIFS(Orders!$C$6:$C$1005,B54,Orders!$L$6:$L$1005,"&lt;&gt;Cancelled"))</f>
        <v/>
      </c>
      <c r="G54" s="22">
        <f>IF(B54="","",SUMIFS(Orders!$H$6:$H$1005,Orders!$C$6:$C$1005,B54,Orders!$L$6:$L$1005,"&lt;&gt;Cancelled"))</f>
        <v/>
      </c>
      <c r="H54" s="43">
        <f>IF(B54="","",IF(SUMIFS(Orders!$U$6:$U$1005,Orders!$C$6:$C$1005,B54,Orders!$V$6:$V$1005,1)=0,"",INT(SUMIFS(Orders!$U$6:$U$1005,Orders!$C$6:$C$1005,B54,Orders!$V$6:$V$1005,1))))</f>
        <v/>
      </c>
      <c r="I54" s="30">
        <f>IF(B54="","",IF(SUMIFS(Orders!$J$6:$J$1005,Orders!$C$6:$C$1005,B54)=0,"",SUMIFS(Orders!$J$6:$J$1005,Orders!$C$6:$C$1005,B54)))</f>
        <v/>
      </c>
      <c r="J54" s="1" t="n"/>
    </row>
    <row r="55">
      <c r="A55" s="1" t="n"/>
      <c r="B55" s="32" t="inlineStr">
        <is>
          <t>Fiona Baker</t>
        </is>
      </c>
      <c r="C55" s="33" t="inlineStr">
        <is>
          <t>fiona.b@example.com</t>
        </is>
      </c>
      <c r="D55" s="33" t="inlineStr">
        <is>
          <t>Local</t>
        </is>
      </c>
      <c r="E55" s="33" t="n"/>
      <c r="F55" s="18">
        <f>IF(B55="","",COUNTIFS(Orders!$C$6:$C$1005,B55,Orders!$L$6:$L$1005,"&lt;&gt;Cancelled"))</f>
        <v/>
      </c>
      <c r="G55" s="22">
        <f>IF(B55="","",SUMIFS(Orders!$H$6:$H$1005,Orders!$C$6:$C$1005,B55,Orders!$L$6:$L$1005,"&lt;&gt;Cancelled"))</f>
        <v/>
      </c>
      <c r="H55" s="43">
        <f>IF(B55="","",IF(SUMIFS(Orders!$U$6:$U$1005,Orders!$C$6:$C$1005,B55,Orders!$V$6:$V$1005,1)=0,"",INT(SUMIFS(Orders!$U$6:$U$1005,Orders!$C$6:$C$1005,B55,Orders!$V$6:$V$1005,1))))</f>
        <v/>
      </c>
      <c r="I55" s="30">
        <f>IF(B55="","",IF(SUMIFS(Orders!$J$6:$J$1005,Orders!$C$6:$C$1005,B55)=0,"",SUMIFS(Orders!$J$6:$J$1005,Orders!$C$6:$C$1005,B55)))</f>
        <v/>
      </c>
      <c r="J55" s="1" t="n"/>
    </row>
    <row r="56">
      <c r="A56" s="1" t="n"/>
      <c r="B56" s="32" t="inlineStr">
        <is>
          <t>Dina Murphy</t>
        </is>
      </c>
      <c r="C56" s="33" t="inlineStr">
        <is>
          <t>dina.m@example.com</t>
        </is>
      </c>
      <c r="D56" s="33" t="inlineStr">
        <is>
          <t>Denver</t>
        </is>
      </c>
      <c r="E56" s="33" t="n"/>
      <c r="F56" s="18">
        <f>IF(B56="","",COUNTIFS(Orders!$C$6:$C$1005,B56,Orders!$L$6:$L$1005,"&lt;&gt;Cancelled"))</f>
        <v/>
      </c>
      <c r="G56" s="22">
        <f>IF(B56="","",SUMIFS(Orders!$H$6:$H$1005,Orders!$C$6:$C$1005,B56,Orders!$L$6:$L$1005,"&lt;&gt;Cancelled"))</f>
        <v/>
      </c>
      <c r="H56" s="43">
        <f>IF(B56="","",IF(SUMIFS(Orders!$U$6:$U$1005,Orders!$C$6:$C$1005,B56,Orders!$V$6:$V$1005,1)=0,"",INT(SUMIFS(Orders!$U$6:$U$1005,Orders!$C$6:$C$1005,B56,Orders!$V$6:$V$1005,1))))</f>
        <v/>
      </c>
      <c r="I56" s="30">
        <f>IF(B56="","",IF(SUMIFS(Orders!$J$6:$J$1005,Orders!$C$6:$C$1005,B56)=0,"",SUMIFS(Orders!$J$6:$J$1005,Orders!$C$6:$C$1005,B56)))</f>
        <v/>
      </c>
      <c r="J56" s="1" t="n"/>
    </row>
    <row r="57">
      <c r="A57" s="1" t="n"/>
      <c r="B57" s="32" t="inlineStr">
        <is>
          <t>Lily Hughes</t>
        </is>
      </c>
      <c r="C57" s="33" t="inlineStr">
        <is>
          <t>lily.h@example.com</t>
        </is>
      </c>
      <c r="D57" s="33" t="inlineStr">
        <is>
          <t>Seattle</t>
        </is>
      </c>
      <c r="E57" s="33" t="n"/>
      <c r="F57" s="18">
        <f>IF(B57="","",COUNTIFS(Orders!$C$6:$C$1005,B57,Orders!$L$6:$L$1005,"&lt;&gt;Cancelled"))</f>
        <v/>
      </c>
      <c r="G57" s="22">
        <f>IF(B57="","",SUMIFS(Orders!$H$6:$H$1005,Orders!$C$6:$C$1005,B57,Orders!$L$6:$L$1005,"&lt;&gt;Cancelled"))</f>
        <v/>
      </c>
      <c r="H57" s="43">
        <f>IF(B57="","",IF(SUMIFS(Orders!$U$6:$U$1005,Orders!$C$6:$C$1005,B57,Orders!$V$6:$V$1005,1)=0,"",INT(SUMIFS(Orders!$U$6:$U$1005,Orders!$C$6:$C$1005,B57,Orders!$V$6:$V$1005,1))))</f>
        <v/>
      </c>
      <c r="I57" s="30">
        <f>IF(B57="","",IF(SUMIFS(Orders!$J$6:$J$1005,Orders!$C$6:$C$1005,B57)=0,"",SUMIFS(Orders!$J$6:$J$1005,Orders!$C$6:$C$1005,B57)))</f>
        <v/>
      </c>
      <c r="J57" s="1" t="n"/>
    </row>
    <row r="58">
      <c r="A58" s="1" t="n"/>
      <c r="B58" s="32" t="inlineStr">
        <is>
          <t>Leah Hill</t>
        </is>
      </c>
      <c r="C58" s="33" t="inlineStr">
        <is>
          <t>leah.h@example.com</t>
        </is>
      </c>
      <c r="D58" s="33" t="inlineStr">
        <is>
          <t>Portland</t>
        </is>
      </c>
      <c r="E58" s="33" t="n"/>
      <c r="F58" s="18">
        <f>IF(B58="","",COUNTIFS(Orders!$C$6:$C$1005,B58,Orders!$L$6:$L$1005,"&lt;&gt;Cancelled"))</f>
        <v/>
      </c>
      <c r="G58" s="22">
        <f>IF(B58="","",SUMIFS(Orders!$H$6:$H$1005,Orders!$C$6:$C$1005,B58,Orders!$L$6:$L$1005,"&lt;&gt;Cancelled"))</f>
        <v/>
      </c>
      <c r="H58" s="43">
        <f>IF(B58="","",IF(SUMIFS(Orders!$U$6:$U$1005,Orders!$C$6:$C$1005,B58,Orders!$V$6:$V$1005,1)=0,"",INT(SUMIFS(Orders!$U$6:$U$1005,Orders!$C$6:$C$1005,B58,Orders!$V$6:$V$1005,1))))</f>
        <v/>
      </c>
      <c r="I58" s="30">
        <f>IF(B58="","",IF(SUMIFS(Orders!$J$6:$J$1005,Orders!$C$6:$C$1005,B58)=0,"",SUMIFS(Orders!$J$6:$J$1005,Orders!$C$6:$C$1005,B58)))</f>
        <v/>
      </c>
      <c r="J58" s="1" t="n"/>
    </row>
    <row r="59">
      <c r="A59" s="1" t="n"/>
      <c r="B59" s="32" t="inlineStr">
        <is>
          <t>Iris Morgan</t>
        </is>
      </c>
      <c r="C59" s="33" t="inlineStr">
        <is>
          <t>iris.m@example.com</t>
        </is>
      </c>
      <c r="D59" s="33" t="inlineStr">
        <is>
          <t>Seattle</t>
        </is>
      </c>
      <c r="E59" s="33" t="n"/>
      <c r="F59" s="18">
        <f>IF(B59="","",COUNTIFS(Orders!$C$6:$C$1005,B59,Orders!$L$6:$L$1005,"&lt;&gt;Cancelled"))</f>
        <v/>
      </c>
      <c r="G59" s="22">
        <f>IF(B59="","",SUMIFS(Orders!$H$6:$H$1005,Orders!$C$6:$C$1005,B59,Orders!$L$6:$L$1005,"&lt;&gt;Cancelled"))</f>
        <v/>
      </c>
      <c r="H59" s="43">
        <f>IF(B59="","",IF(SUMIFS(Orders!$U$6:$U$1005,Orders!$C$6:$C$1005,B59,Orders!$V$6:$V$1005,1)=0,"",INT(SUMIFS(Orders!$U$6:$U$1005,Orders!$C$6:$C$1005,B59,Orders!$V$6:$V$1005,1))))</f>
        <v/>
      </c>
      <c r="I59" s="30">
        <f>IF(B59="","",IF(SUMIFS(Orders!$J$6:$J$1005,Orders!$C$6:$C$1005,B59)=0,"",SUMIFS(Orders!$J$6:$J$1005,Orders!$C$6:$C$1005,B59)))</f>
        <v/>
      </c>
      <c r="J59" s="1" t="n"/>
    </row>
    <row r="60">
      <c r="A60" s="1" t="n"/>
      <c r="B60" s="32" t="inlineStr">
        <is>
          <t>Jade Price</t>
        </is>
      </c>
      <c r="C60" s="33" t="inlineStr">
        <is>
          <t>jade.p@example.com</t>
        </is>
      </c>
      <c r="D60" s="33" t="inlineStr">
        <is>
          <t>Chicago</t>
        </is>
      </c>
      <c r="E60" s="33" t="n"/>
      <c r="F60" s="18">
        <f>IF(B60="","",COUNTIFS(Orders!$C$6:$C$1005,B60,Orders!$L$6:$L$1005,"&lt;&gt;Cancelled"))</f>
        <v/>
      </c>
      <c r="G60" s="22">
        <f>IF(B60="","",SUMIFS(Orders!$H$6:$H$1005,Orders!$C$6:$C$1005,B60,Orders!$L$6:$L$1005,"&lt;&gt;Cancelled"))</f>
        <v/>
      </c>
      <c r="H60" s="43">
        <f>IF(B60="","",IF(SUMIFS(Orders!$U$6:$U$1005,Orders!$C$6:$C$1005,B60,Orders!$V$6:$V$1005,1)=0,"",INT(SUMIFS(Orders!$U$6:$U$1005,Orders!$C$6:$C$1005,B60,Orders!$V$6:$V$1005,1))))</f>
        <v/>
      </c>
      <c r="I60" s="30">
        <f>IF(B60="","",IF(SUMIFS(Orders!$J$6:$J$1005,Orders!$C$6:$C$1005,B60)=0,"",SUMIFS(Orders!$J$6:$J$1005,Orders!$C$6:$C$1005,B60)))</f>
        <v/>
      </c>
      <c r="J60" s="1" t="n"/>
    </row>
    <row r="61">
      <c r="A61" s="1" t="n"/>
      <c r="B61" s="32" t="inlineStr">
        <is>
          <t>Dina Cole</t>
        </is>
      </c>
      <c r="C61" s="33" t="inlineStr">
        <is>
          <t>dina.c@example.com</t>
        </is>
      </c>
      <c r="D61" s="33" t="inlineStr">
        <is>
          <t>Chicago</t>
        </is>
      </c>
      <c r="E61" s="33" t="n"/>
      <c r="F61" s="18">
        <f>IF(B61="","",COUNTIFS(Orders!$C$6:$C$1005,B61,Orders!$L$6:$L$1005,"&lt;&gt;Cancelled"))</f>
        <v/>
      </c>
      <c r="G61" s="22">
        <f>IF(B61="","",SUMIFS(Orders!$H$6:$H$1005,Orders!$C$6:$C$1005,B61,Orders!$L$6:$L$1005,"&lt;&gt;Cancelled"))</f>
        <v/>
      </c>
      <c r="H61" s="43">
        <f>IF(B61="","",IF(SUMIFS(Orders!$U$6:$U$1005,Orders!$C$6:$C$1005,B61,Orders!$V$6:$V$1005,1)=0,"",INT(SUMIFS(Orders!$U$6:$U$1005,Orders!$C$6:$C$1005,B61,Orders!$V$6:$V$1005,1))))</f>
        <v/>
      </c>
      <c r="I61" s="30">
        <f>IF(B61="","",IF(SUMIFS(Orders!$J$6:$J$1005,Orders!$C$6:$C$1005,B61)=0,"",SUMIFS(Orders!$J$6:$J$1005,Orders!$C$6:$C$1005,B61)))</f>
        <v/>
      </c>
      <c r="J61" s="1" t="n"/>
    </row>
    <row r="62">
      <c r="A62" s="1" t="n"/>
      <c r="B62" s="32" t="inlineStr">
        <is>
          <t>Eli Price</t>
        </is>
      </c>
      <c r="C62" s="33" t="inlineStr">
        <is>
          <t>eli.p@example.com</t>
        </is>
      </c>
      <c r="D62" s="33" t="inlineStr">
        <is>
          <t>Austin</t>
        </is>
      </c>
      <c r="E62" s="33" t="n"/>
      <c r="F62" s="18">
        <f>IF(B62="","",COUNTIFS(Orders!$C$6:$C$1005,B62,Orders!$L$6:$L$1005,"&lt;&gt;Cancelled"))</f>
        <v/>
      </c>
      <c r="G62" s="22">
        <f>IF(B62="","",SUMIFS(Orders!$H$6:$H$1005,Orders!$C$6:$C$1005,B62,Orders!$L$6:$L$1005,"&lt;&gt;Cancelled"))</f>
        <v/>
      </c>
      <c r="H62" s="43">
        <f>IF(B62="","",IF(SUMIFS(Orders!$U$6:$U$1005,Orders!$C$6:$C$1005,B62,Orders!$V$6:$V$1005,1)=0,"",INT(SUMIFS(Orders!$U$6:$U$1005,Orders!$C$6:$C$1005,B62,Orders!$V$6:$V$1005,1))))</f>
        <v/>
      </c>
      <c r="I62" s="30">
        <f>IF(B62="","",IF(SUMIFS(Orders!$J$6:$J$1005,Orders!$C$6:$C$1005,B62)=0,"",SUMIFS(Orders!$J$6:$J$1005,Orders!$C$6:$C$1005,B62)))</f>
        <v/>
      </c>
      <c r="J62" s="1" t="n"/>
    </row>
    <row r="63">
      <c r="A63" s="1" t="n"/>
      <c r="B63" s="32" t="inlineStr">
        <is>
          <t>Mia Cox</t>
        </is>
      </c>
      <c r="C63" s="33" t="inlineStr">
        <is>
          <t>mia.c@example.com</t>
        </is>
      </c>
      <c r="D63" s="33" t="inlineStr">
        <is>
          <t>Local</t>
        </is>
      </c>
      <c r="E63" s="33" t="n"/>
      <c r="F63" s="18">
        <f>IF(B63="","",COUNTIFS(Orders!$C$6:$C$1005,B63,Orders!$L$6:$L$1005,"&lt;&gt;Cancelled"))</f>
        <v/>
      </c>
      <c r="G63" s="22">
        <f>IF(B63="","",SUMIFS(Orders!$H$6:$H$1005,Orders!$C$6:$C$1005,B63,Orders!$L$6:$L$1005,"&lt;&gt;Cancelled"))</f>
        <v/>
      </c>
      <c r="H63" s="43">
        <f>IF(B63="","",IF(SUMIFS(Orders!$U$6:$U$1005,Orders!$C$6:$C$1005,B63,Orders!$V$6:$V$1005,1)=0,"",INT(SUMIFS(Orders!$U$6:$U$1005,Orders!$C$6:$C$1005,B63,Orders!$V$6:$V$1005,1))))</f>
        <v/>
      </c>
      <c r="I63" s="30">
        <f>IF(B63="","",IF(SUMIFS(Orders!$J$6:$J$1005,Orders!$C$6:$C$1005,B63)=0,"",SUMIFS(Orders!$J$6:$J$1005,Orders!$C$6:$C$1005,B63)))</f>
        <v/>
      </c>
      <c r="J63" s="1" t="n"/>
    </row>
    <row r="64">
      <c r="A64" s="1" t="n"/>
      <c r="B64" s="32" t="inlineStr">
        <is>
          <t>Kara Cole</t>
        </is>
      </c>
      <c r="C64" s="33" t="inlineStr">
        <is>
          <t>kara.c@example.com</t>
        </is>
      </c>
      <c r="D64" s="33" t="inlineStr">
        <is>
          <t>Denver</t>
        </is>
      </c>
      <c r="E64" s="33" t="n"/>
      <c r="F64" s="18">
        <f>IF(B64="","",COUNTIFS(Orders!$C$6:$C$1005,B64,Orders!$L$6:$L$1005,"&lt;&gt;Cancelled"))</f>
        <v/>
      </c>
      <c r="G64" s="22">
        <f>IF(B64="","",SUMIFS(Orders!$H$6:$H$1005,Orders!$C$6:$C$1005,B64,Orders!$L$6:$L$1005,"&lt;&gt;Cancelled"))</f>
        <v/>
      </c>
      <c r="H64" s="43">
        <f>IF(B64="","",IF(SUMIFS(Orders!$U$6:$U$1005,Orders!$C$6:$C$1005,B64,Orders!$V$6:$V$1005,1)=0,"",INT(SUMIFS(Orders!$U$6:$U$1005,Orders!$C$6:$C$1005,B64,Orders!$V$6:$V$1005,1))))</f>
        <v/>
      </c>
      <c r="I64" s="30">
        <f>IF(B64="","",IF(SUMIFS(Orders!$J$6:$J$1005,Orders!$C$6:$C$1005,B64)=0,"",SUMIFS(Orders!$J$6:$J$1005,Orders!$C$6:$C$1005,B64)))</f>
        <v/>
      </c>
      <c r="J64" s="1" t="n"/>
    </row>
    <row r="65">
      <c r="A65" s="1" t="n"/>
      <c r="B65" s="32" t="inlineStr">
        <is>
          <t>Jon Reed</t>
        </is>
      </c>
      <c r="C65" s="33" t="inlineStr">
        <is>
          <t>jon.r@example.com</t>
        </is>
      </c>
      <c r="D65" s="33" t="inlineStr">
        <is>
          <t>Austin</t>
        </is>
      </c>
      <c r="E65" s="33" t="n"/>
      <c r="F65" s="18">
        <f>IF(B65="","",COUNTIFS(Orders!$C$6:$C$1005,B65,Orders!$L$6:$L$1005,"&lt;&gt;Cancelled"))</f>
        <v/>
      </c>
      <c r="G65" s="22">
        <f>IF(B65="","",SUMIFS(Orders!$H$6:$H$1005,Orders!$C$6:$C$1005,B65,Orders!$L$6:$L$1005,"&lt;&gt;Cancelled"))</f>
        <v/>
      </c>
      <c r="H65" s="43">
        <f>IF(B65="","",IF(SUMIFS(Orders!$U$6:$U$1005,Orders!$C$6:$C$1005,B65,Orders!$V$6:$V$1005,1)=0,"",INT(SUMIFS(Orders!$U$6:$U$1005,Orders!$C$6:$C$1005,B65,Orders!$V$6:$V$1005,1))))</f>
        <v/>
      </c>
      <c r="I65" s="30">
        <f>IF(B65="","",IF(SUMIFS(Orders!$J$6:$J$1005,Orders!$C$6:$C$1005,B65)=0,"",SUMIFS(Orders!$J$6:$J$1005,Orders!$C$6:$C$1005,B65)))</f>
        <v/>
      </c>
      <c r="J65" s="1" t="n"/>
    </row>
    <row r="66">
      <c r="A66" s="1" t="n"/>
      <c r="B66" s="32" t="inlineStr">
        <is>
          <t>Chris Mason</t>
        </is>
      </c>
      <c r="C66" s="33" t="inlineStr">
        <is>
          <t>chris.m@example.com</t>
        </is>
      </c>
      <c r="D66" s="33" t="inlineStr">
        <is>
          <t>Local</t>
        </is>
      </c>
      <c r="E66" s="33" t="n"/>
      <c r="F66" s="18">
        <f>IF(B66="","",COUNTIFS(Orders!$C$6:$C$1005,B66,Orders!$L$6:$L$1005,"&lt;&gt;Cancelled"))</f>
        <v/>
      </c>
      <c r="G66" s="22">
        <f>IF(B66="","",SUMIFS(Orders!$H$6:$H$1005,Orders!$C$6:$C$1005,B66,Orders!$L$6:$L$1005,"&lt;&gt;Cancelled"))</f>
        <v/>
      </c>
      <c r="H66" s="43">
        <f>IF(B66="","",IF(SUMIFS(Orders!$U$6:$U$1005,Orders!$C$6:$C$1005,B66,Orders!$V$6:$V$1005,1)=0,"",INT(SUMIFS(Orders!$U$6:$U$1005,Orders!$C$6:$C$1005,B66,Orders!$V$6:$V$1005,1))))</f>
        <v/>
      </c>
      <c r="I66" s="30">
        <f>IF(B66="","",IF(SUMIFS(Orders!$J$6:$J$1005,Orders!$C$6:$C$1005,B66)=0,"",SUMIFS(Orders!$J$6:$J$1005,Orders!$C$6:$C$1005,B66)))</f>
        <v/>
      </c>
      <c r="J66" s="1" t="n"/>
    </row>
    <row r="67">
      <c r="A67" s="1" t="n"/>
      <c r="B67" s="32" t="inlineStr">
        <is>
          <t>Adam Fox</t>
        </is>
      </c>
      <c r="C67" s="33" t="inlineStr">
        <is>
          <t>adam.f@example.com</t>
        </is>
      </c>
      <c r="D67" s="33" t="inlineStr">
        <is>
          <t>Seattle</t>
        </is>
      </c>
      <c r="E67" s="33" t="n"/>
      <c r="F67" s="18">
        <f>IF(B67="","",COUNTIFS(Orders!$C$6:$C$1005,B67,Orders!$L$6:$L$1005,"&lt;&gt;Cancelled"))</f>
        <v/>
      </c>
      <c r="G67" s="22">
        <f>IF(B67="","",SUMIFS(Orders!$H$6:$H$1005,Orders!$C$6:$C$1005,B67,Orders!$L$6:$L$1005,"&lt;&gt;Cancelled"))</f>
        <v/>
      </c>
      <c r="H67" s="43">
        <f>IF(B67="","",IF(SUMIFS(Orders!$U$6:$U$1005,Orders!$C$6:$C$1005,B67,Orders!$V$6:$V$1005,1)=0,"",INT(SUMIFS(Orders!$U$6:$U$1005,Orders!$C$6:$C$1005,B67,Orders!$V$6:$V$1005,1))))</f>
        <v/>
      </c>
      <c r="I67" s="30">
        <f>IF(B67="","",IF(SUMIFS(Orders!$J$6:$J$1005,Orders!$C$6:$C$1005,B67)=0,"",SUMIFS(Orders!$J$6:$J$1005,Orders!$C$6:$C$1005,B67)))</f>
        <v/>
      </c>
      <c r="J67" s="1" t="n"/>
    </row>
    <row r="68">
      <c r="A68" s="1" t="n"/>
      <c r="B68" s="32" t="inlineStr">
        <is>
          <t>Finn Mason</t>
        </is>
      </c>
      <c r="C68" s="33" t="inlineStr">
        <is>
          <t>finn.m@example.com</t>
        </is>
      </c>
      <c r="D68" s="33" t="inlineStr">
        <is>
          <t>Denver</t>
        </is>
      </c>
      <c r="E68" s="33" t="n"/>
      <c r="F68" s="18">
        <f>IF(B68="","",COUNTIFS(Orders!$C$6:$C$1005,B68,Orders!$L$6:$L$1005,"&lt;&gt;Cancelled"))</f>
        <v/>
      </c>
      <c r="G68" s="22">
        <f>IF(B68="","",SUMIFS(Orders!$H$6:$H$1005,Orders!$C$6:$C$1005,B68,Orders!$L$6:$L$1005,"&lt;&gt;Cancelled"))</f>
        <v/>
      </c>
      <c r="H68" s="43">
        <f>IF(B68="","",IF(SUMIFS(Orders!$U$6:$U$1005,Orders!$C$6:$C$1005,B68,Orders!$V$6:$V$1005,1)=0,"",INT(SUMIFS(Orders!$U$6:$U$1005,Orders!$C$6:$C$1005,B68,Orders!$V$6:$V$1005,1))))</f>
        <v/>
      </c>
      <c r="I68" s="30">
        <f>IF(B68="","",IF(SUMIFS(Orders!$J$6:$J$1005,Orders!$C$6:$C$1005,B68)=0,"",SUMIFS(Orders!$J$6:$J$1005,Orders!$C$6:$C$1005,B68)))</f>
        <v/>
      </c>
      <c r="J68" s="1" t="n"/>
    </row>
    <row r="69">
      <c r="A69" s="1" t="n"/>
      <c r="B69" s="32" t="inlineStr">
        <is>
          <t>Hannah Reed</t>
        </is>
      </c>
      <c r="C69" s="33" t="inlineStr">
        <is>
          <t>hannah.r@example.com</t>
        </is>
      </c>
      <c r="D69" s="33" t="inlineStr">
        <is>
          <t>Chicago</t>
        </is>
      </c>
      <c r="E69" s="33" t="n"/>
      <c r="F69" s="18">
        <f>IF(B69="","",COUNTIFS(Orders!$C$6:$C$1005,B69,Orders!$L$6:$L$1005,"&lt;&gt;Cancelled"))</f>
        <v/>
      </c>
      <c r="G69" s="22">
        <f>IF(B69="","",SUMIFS(Orders!$H$6:$H$1005,Orders!$C$6:$C$1005,B69,Orders!$L$6:$L$1005,"&lt;&gt;Cancelled"))</f>
        <v/>
      </c>
      <c r="H69" s="43">
        <f>IF(B69="","",IF(SUMIFS(Orders!$U$6:$U$1005,Orders!$C$6:$C$1005,B69,Orders!$V$6:$V$1005,1)=0,"",INT(SUMIFS(Orders!$U$6:$U$1005,Orders!$C$6:$C$1005,B69,Orders!$V$6:$V$1005,1))))</f>
        <v/>
      </c>
      <c r="I69" s="30">
        <f>IF(B69="","",IF(SUMIFS(Orders!$J$6:$J$1005,Orders!$C$6:$C$1005,B69)=0,"",SUMIFS(Orders!$J$6:$J$1005,Orders!$C$6:$C$1005,B69)))</f>
        <v/>
      </c>
      <c r="J69" s="1" t="n"/>
    </row>
    <row r="70">
      <c r="A70" s="1" t="n"/>
      <c r="B70" s="32" t="inlineStr">
        <is>
          <t>Ava Hill</t>
        </is>
      </c>
      <c r="C70" s="33" t="inlineStr">
        <is>
          <t>ava.h@example.com</t>
        </is>
      </c>
      <c r="D70" s="33" t="inlineStr">
        <is>
          <t>Chicago</t>
        </is>
      </c>
      <c r="E70" s="33" t="n"/>
      <c r="F70" s="18">
        <f>IF(B70="","",COUNTIFS(Orders!$C$6:$C$1005,B70,Orders!$L$6:$L$1005,"&lt;&gt;Cancelled"))</f>
        <v/>
      </c>
      <c r="G70" s="22">
        <f>IF(B70="","",SUMIFS(Orders!$H$6:$H$1005,Orders!$C$6:$C$1005,B70,Orders!$L$6:$L$1005,"&lt;&gt;Cancelled"))</f>
        <v/>
      </c>
      <c r="H70" s="43">
        <f>IF(B70="","",IF(SUMIFS(Orders!$U$6:$U$1005,Orders!$C$6:$C$1005,B70,Orders!$V$6:$V$1005,1)=0,"",INT(SUMIFS(Orders!$U$6:$U$1005,Orders!$C$6:$C$1005,B70,Orders!$V$6:$V$1005,1))))</f>
        <v/>
      </c>
      <c r="I70" s="30">
        <f>IF(B70="","",IF(SUMIFS(Orders!$J$6:$J$1005,Orders!$C$6:$C$1005,B70)=0,"",SUMIFS(Orders!$J$6:$J$1005,Orders!$C$6:$C$1005,B70)))</f>
        <v/>
      </c>
      <c r="J70" s="1" t="n"/>
    </row>
    <row r="71">
      <c r="A71" s="1" t="n"/>
      <c r="B71" s="32" t="inlineStr">
        <is>
          <t>Hannah Owens</t>
        </is>
      </c>
      <c r="C71" s="33" t="inlineStr">
        <is>
          <t>hannah.o@example.com</t>
        </is>
      </c>
      <c r="D71" s="33" t="inlineStr">
        <is>
          <t>Portland</t>
        </is>
      </c>
      <c r="E71" s="33" t="n"/>
      <c r="F71" s="18">
        <f>IF(B71="","",COUNTIFS(Orders!$C$6:$C$1005,B71,Orders!$L$6:$L$1005,"&lt;&gt;Cancelled"))</f>
        <v/>
      </c>
      <c r="G71" s="22">
        <f>IF(B71="","",SUMIFS(Orders!$H$6:$H$1005,Orders!$C$6:$C$1005,B71,Orders!$L$6:$L$1005,"&lt;&gt;Cancelled"))</f>
        <v/>
      </c>
      <c r="H71" s="43">
        <f>IF(B71="","",IF(SUMIFS(Orders!$U$6:$U$1005,Orders!$C$6:$C$1005,B71,Orders!$V$6:$V$1005,1)=0,"",INT(SUMIFS(Orders!$U$6:$U$1005,Orders!$C$6:$C$1005,B71,Orders!$V$6:$V$1005,1))))</f>
        <v/>
      </c>
      <c r="I71" s="30">
        <f>IF(B71="","",IF(SUMIFS(Orders!$J$6:$J$1005,Orders!$C$6:$C$1005,B71)=0,"",SUMIFS(Orders!$J$6:$J$1005,Orders!$C$6:$C$1005,B71)))</f>
        <v/>
      </c>
      <c r="J71" s="1" t="n"/>
    </row>
    <row r="72">
      <c r="A72" s="1" t="n"/>
      <c r="B72" s="32" t="inlineStr">
        <is>
          <t>Dina Mason</t>
        </is>
      </c>
      <c r="C72" s="33" t="inlineStr">
        <is>
          <t>dina.m@example.com</t>
        </is>
      </c>
      <c r="D72" s="33" t="inlineStr">
        <is>
          <t>Denver</t>
        </is>
      </c>
      <c r="E72" s="33" t="n"/>
      <c r="F72" s="18">
        <f>IF(B72="","",COUNTIFS(Orders!$C$6:$C$1005,B72,Orders!$L$6:$L$1005,"&lt;&gt;Cancelled"))</f>
        <v/>
      </c>
      <c r="G72" s="22">
        <f>IF(B72="","",SUMIFS(Orders!$H$6:$H$1005,Orders!$C$6:$C$1005,B72,Orders!$L$6:$L$1005,"&lt;&gt;Cancelled"))</f>
        <v/>
      </c>
      <c r="H72" s="43">
        <f>IF(B72="","",IF(SUMIFS(Orders!$U$6:$U$1005,Orders!$C$6:$C$1005,B72,Orders!$V$6:$V$1005,1)=0,"",INT(SUMIFS(Orders!$U$6:$U$1005,Orders!$C$6:$C$1005,B72,Orders!$V$6:$V$1005,1))))</f>
        <v/>
      </c>
      <c r="I72" s="30">
        <f>IF(B72="","",IF(SUMIFS(Orders!$J$6:$J$1005,Orders!$C$6:$C$1005,B72)=0,"",SUMIFS(Orders!$J$6:$J$1005,Orders!$C$6:$C$1005,B72)))</f>
        <v/>
      </c>
      <c r="J72" s="1" t="n"/>
    </row>
    <row r="73">
      <c r="A73" s="1" t="n"/>
      <c r="B73" s="32" t="inlineStr">
        <is>
          <t>Clara Mason</t>
        </is>
      </c>
      <c r="C73" s="33" t="inlineStr">
        <is>
          <t>clara.m@example.com</t>
        </is>
      </c>
      <c r="D73" s="33" t="inlineStr">
        <is>
          <t>Austin</t>
        </is>
      </c>
      <c r="E73" s="33" t="n"/>
      <c r="F73" s="18">
        <f>IF(B73="","",COUNTIFS(Orders!$C$6:$C$1005,B73,Orders!$L$6:$L$1005,"&lt;&gt;Cancelled"))</f>
        <v/>
      </c>
      <c r="G73" s="22">
        <f>IF(B73="","",SUMIFS(Orders!$H$6:$H$1005,Orders!$C$6:$C$1005,B73,Orders!$L$6:$L$1005,"&lt;&gt;Cancelled"))</f>
        <v/>
      </c>
      <c r="H73" s="43">
        <f>IF(B73="","",IF(SUMIFS(Orders!$U$6:$U$1005,Orders!$C$6:$C$1005,B73,Orders!$V$6:$V$1005,1)=0,"",INT(SUMIFS(Orders!$U$6:$U$1005,Orders!$C$6:$C$1005,B73,Orders!$V$6:$V$1005,1))))</f>
        <v/>
      </c>
      <c r="I73" s="30">
        <f>IF(B73="","",IF(SUMIFS(Orders!$J$6:$J$1005,Orders!$C$6:$C$1005,B73)=0,"",SUMIFS(Orders!$J$6:$J$1005,Orders!$C$6:$C$1005,B73)))</f>
        <v/>
      </c>
      <c r="J73" s="1" t="n"/>
    </row>
    <row r="74">
      <c r="A74" s="1" t="n"/>
      <c r="B74" s="32" t="inlineStr">
        <is>
          <t>Nina Reed</t>
        </is>
      </c>
      <c r="C74" s="33" t="inlineStr">
        <is>
          <t>nina.r@example.com</t>
        </is>
      </c>
      <c r="D74" s="33" t="inlineStr">
        <is>
          <t>Local</t>
        </is>
      </c>
      <c r="E74" s="33" t="n"/>
      <c r="F74" s="18">
        <f>IF(B74="","",COUNTIFS(Orders!$C$6:$C$1005,B74,Orders!$L$6:$L$1005,"&lt;&gt;Cancelled"))</f>
        <v/>
      </c>
      <c r="G74" s="22">
        <f>IF(B74="","",SUMIFS(Orders!$H$6:$H$1005,Orders!$C$6:$C$1005,B74,Orders!$L$6:$L$1005,"&lt;&gt;Cancelled"))</f>
        <v/>
      </c>
      <c r="H74" s="43">
        <f>IF(B74="","",IF(SUMIFS(Orders!$U$6:$U$1005,Orders!$C$6:$C$1005,B74,Orders!$V$6:$V$1005,1)=0,"",INT(SUMIFS(Orders!$U$6:$U$1005,Orders!$C$6:$C$1005,B74,Orders!$V$6:$V$1005,1))))</f>
        <v/>
      </c>
      <c r="I74" s="30">
        <f>IF(B74="","",IF(SUMIFS(Orders!$J$6:$J$1005,Orders!$C$6:$C$1005,B74)=0,"",SUMIFS(Orders!$J$6:$J$1005,Orders!$C$6:$C$1005,B74)))</f>
        <v/>
      </c>
      <c r="J74" s="1" t="n"/>
    </row>
    <row r="75">
      <c r="A75" s="1" t="n"/>
      <c r="B75" s="32" t="inlineStr">
        <is>
          <t>Hannah Cole</t>
        </is>
      </c>
      <c r="C75" s="33" t="inlineStr">
        <is>
          <t>hannah.c@example.com</t>
        </is>
      </c>
      <c r="D75" s="33" t="inlineStr">
        <is>
          <t>Seattle</t>
        </is>
      </c>
      <c r="E75" s="33" t="n"/>
      <c r="F75" s="18">
        <f>IF(B75="","",COUNTIFS(Orders!$C$6:$C$1005,B75,Orders!$L$6:$L$1005,"&lt;&gt;Cancelled"))</f>
        <v/>
      </c>
      <c r="G75" s="22">
        <f>IF(B75="","",SUMIFS(Orders!$H$6:$H$1005,Orders!$C$6:$C$1005,B75,Orders!$L$6:$L$1005,"&lt;&gt;Cancelled"))</f>
        <v/>
      </c>
      <c r="H75" s="43">
        <f>IF(B75="","",IF(SUMIFS(Orders!$U$6:$U$1005,Orders!$C$6:$C$1005,B75,Orders!$V$6:$V$1005,1)=0,"",INT(SUMIFS(Orders!$U$6:$U$1005,Orders!$C$6:$C$1005,B75,Orders!$V$6:$V$1005,1))))</f>
        <v/>
      </c>
      <c r="I75" s="30">
        <f>IF(B75="","",IF(SUMIFS(Orders!$J$6:$J$1005,Orders!$C$6:$C$1005,B75)=0,"",SUMIFS(Orders!$J$6:$J$1005,Orders!$C$6:$C$1005,B75)))</f>
        <v/>
      </c>
      <c r="J75" s="1" t="n"/>
    </row>
    <row r="76">
      <c r="A76" s="1" t="n"/>
      <c r="B76" s="32" t="n"/>
      <c r="C76" s="33" t="n"/>
      <c r="D76" s="33" t="n"/>
      <c r="E76" s="33" t="n"/>
      <c r="F76" s="18">
        <f>IF(B76="","",COUNTIFS(Orders!$C$6:$C$1005,B76,Orders!$L$6:$L$1005,"&lt;&gt;Cancelled"))</f>
        <v/>
      </c>
      <c r="G76" s="22">
        <f>IF(B76="","",SUMIFS(Orders!$H$6:$H$1005,Orders!$C$6:$C$1005,B76,Orders!$L$6:$L$1005,"&lt;&gt;Cancelled"))</f>
        <v/>
      </c>
      <c r="H76" s="43">
        <f>IF(B76="","",IF(SUMIFS(Orders!$U$6:$U$1005,Orders!$C$6:$C$1005,B76,Orders!$V$6:$V$1005,1)=0,"",INT(SUMIFS(Orders!$U$6:$U$1005,Orders!$C$6:$C$1005,B76,Orders!$V$6:$V$1005,1))))</f>
        <v/>
      </c>
      <c r="I76" s="30">
        <f>IF(B76="","",IF(SUMIFS(Orders!$J$6:$J$1005,Orders!$C$6:$C$1005,B76)=0,"",SUMIFS(Orders!$J$6:$J$1005,Orders!$C$6:$C$1005,B76)))</f>
        <v/>
      </c>
      <c r="J76" s="1" t="n"/>
    </row>
    <row r="77">
      <c r="A77" s="1" t="n"/>
      <c r="B77" s="32" t="n"/>
      <c r="C77" s="33" t="n"/>
      <c r="D77" s="33" t="n"/>
      <c r="E77" s="33" t="n"/>
      <c r="F77" s="18">
        <f>IF(B77="","",COUNTIFS(Orders!$C$6:$C$1005,B77,Orders!$L$6:$L$1005,"&lt;&gt;Cancelled"))</f>
        <v/>
      </c>
      <c r="G77" s="22">
        <f>IF(B77="","",SUMIFS(Orders!$H$6:$H$1005,Orders!$C$6:$C$1005,B77,Orders!$L$6:$L$1005,"&lt;&gt;Cancelled"))</f>
        <v/>
      </c>
      <c r="H77" s="43">
        <f>IF(B77="","",IF(SUMIFS(Orders!$U$6:$U$1005,Orders!$C$6:$C$1005,B77,Orders!$V$6:$V$1005,1)=0,"",INT(SUMIFS(Orders!$U$6:$U$1005,Orders!$C$6:$C$1005,B77,Orders!$V$6:$V$1005,1))))</f>
        <v/>
      </c>
      <c r="I77" s="30">
        <f>IF(B77="","",IF(SUMIFS(Orders!$J$6:$J$1005,Orders!$C$6:$C$1005,B77)=0,"",SUMIFS(Orders!$J$6:$J$1005,Orders!$C$6:$C$1005,B77)))</f>
        <v/>
      </c>
      <c r="J77" s="1" t="n"/>
    </row>
    <row r="78">
      <c r="A78" s="1" t="n"/>
      <c r="B78" s="32" t="n"/>
      <c r="C78" s="33" t="n"/>
      <c r="D78" s="33" t="n"/>
      <c r="E78" s="33" t="n"/>
      <c r="F78" s="18">
        <f>IF(B78="","",COUNTIFS(Orders!$C$6:$C$1005,B78,Orders!$L$6:$L$1005,"&lt;&gt;Cancelled"))</f>
        <v/>
      </c>
      <c r="G78" s="22">
        <f>IF(B78="","",SUMIFS(Orders!$H$6:$H$1005,Orders!$C$6:$C$1005,B78,Orders!$L$6:$L$1005,"&lt;&gt;Cancelled"))</f>
        <v/>
      </c>
      <c r="H78" s="43">
        <f>IF(B78="","",IF(SUMIFS(Orders!$U$6:$U$1005,Orders!$C$6:$C$1005,B78,Orders!$V$6:$V$1005,1)=0,"",INT(SUMIFS(Orders!$U$6:$U$1005,Orders!$C$6:$C$1005,B78,Orders!$V$6:$V$1005,1))))</f>
        <v/>
      </c>
      <c r="I78" s="30">
        <f>IF(B78="","",IF(SUMIFS(Orders!$J$6:$J$1005,Orders!$C$6:$C$1005,B78)=0,"",SUMIFS(Orders!$J$6:$J$1005,Orders!$C$6:$C$1005,B78)))</f>
        <v/>
      </c>
      <c r="J78" s="1" t="n"/>
    </row>
    <row r="79">
      <c r="A79" s="1" t="n"/>
      <c r="B79" s="32" t="n"/>
      <c r="C79" s="33" t="n"/>
      <c r="D79" s="33" t="n"/>
      <c r="E79" s="33" t="n"/>
      <c r="F79" s="18">
        <f>IF(B79="","",COUNTIFS(Orders!$C$6:$C$1005,B79,Orders!$L$6:$L$1005,"&lt;&gt;Cancelled"))</f>
        <v/>
      </c>
      <c r="G79" s="22">
        <f>IF(B79="","",SUMIFS(Orders!$H$6:$H$1005,Orders!$C$6:$C$1005,B79,Orders!$L$6:$L$1005,"&lt;&gt;Cancelled"))</f>
        <v/>
      </c>
      <c r="H79" s="43">
        <f>IF(B79="","",IF(SUMIFS(Orders!$U$6:$U$1005,Orders!$C$6:$C$1005,B79,Orders!$V$6:$V$1005,1)=0,"",INT(SUMIFS(Orders!$U$6:$U$1005,Orders!$C$6:$C$1005,B79,Orders!$V$6:$V$1005,1))))</f>
        <v/>
      </c>
      <c r="I79" s="30">
        <f>IF(B79="","",IF(SUMIFS(Orders!$J$6:$J$1005,Orders!$C$6:$C$1005,B79)=0,"",SUMIFS(Orders!$J$6:$J$1005,Orders!$C$6:$C$1005,B79)))</f>
        <v/>
      </c>
      <c r="J79" s="1" t="n"/>
    </row>
    <row r="80">
      <c r="A80" s="1" t="n"/>
      <c r="B80" s="32" t="n"/>
      <c r="C80" s="33" t="n"/>
      <c r="D80" s="33" t="n"/>
      <c r="E80" s="33" t="n"/>
      <c r="F80" s="18">
        <f>IF(B80="","",COUNTIFS(Orders!$C$6:$C$1005,B80,Orders!$L$6:$L$1005,"&lt;&gt;Cancelled"))</f>
        <v/>
      </c>
      <c r="G80" s="22">
        <f>IF(B80="","",SUMIFS(Orders!$H$6:$H$1005,Orders!$C$6:$C$1005,B80,Orders!$L$6:$L$1005,"&lt;&gt;Cancelled"))</f>
        <v/>
      </c>
      <c r="H80" s="43">
        <f>IF(B80="","",IF(SUMIFS(Orders!$U$6:$U$1005,Orders!$C$6:$C$1005,B80,Orders!$V$6:$V$1005,1)=0,"",INT(SUMIFS(Orders!$U$6:$U$1005,Orders!$C$6:$C$1005,B80,Orders!$V$6:$V$1005,1))))</f>
        <v/>
      </c>
      <c r="I80" s="30">
        <f>IF(B80="","",IF(SUMIFS(Orders!$J$6:$J$1005,Orders!$C$6:$C$1005,B80)=0,"",SUMIFS(Orders!$J$6:$J$1005,Orders!$C$6:$C$1005,B80)))</f>
        <v/>
      </c>
      <c r="J80" s="1" t="n"/>
    </row>
    <row r="81">
      <c r="A81" s="1" t="n"/>
      <c r="B81" s="32" t="n"/>
      <c r="C81" s="33" t="n"/>
      <c r="D81" s="33" t="n"/>
      <c r="E81" s="33" t="n"/>
      <c r="F81" s="18">
        <f>IF(B81="","",COUNTIFS(Orders!$C$6:$C$1005,B81,Orders!$L$6:$L$1005,"&lt;&gt;Cancelled"))</f>
        <v/>
      </c>
      <c r="G81" s="22">
        <f>IF(B81="","",SUMIFS(Orders!$H$6:$H$1005,Orders!$C$6:$C$1005,B81,Orders!$L$6:$L$1005,"&lt;&gt;Cancelled"))</f>
        <v/>
      </c>
      <c r="H81" s="43">
        <f>IF(B81="","",IF(SUMIFS(Orders!$U$6:$U$1005,Orders!$C$6:$C$1005,B81,Orders!$V$6:$V$1005,1)=0,"",INT(SUMIFS(Orders!$U$6:$U$1005,Orders!$C$6:$C$1005,B81,Orders!$V$6:$V$1005,1))))</f>
        <v/>
      </c>
      <c r="I81" s="30">
        <f>IF(B81="","",IF(SUMIFS(Orders!$J$6:$J$1005,Orders!$C$6:$C$1005,B81)=0,"",SUMIFS(Orders!$J$6:$J$1005,Orders!$C$6:$C$1005,B81)))</f>
        <v/>
      </c>
      <c r="J81" s="1" t="n"/>
    </row>
    <row r="82">
      <c r="A82" s="1" t="n"/>
      <c r="B82" s="32" t="n"/>
      <c r="C82" s="33" t="n"/>
      <c r="D82" s="33" t="n"/>
      <c r="E82" s="33" t="n"/>
      <c r="F82" s="18">
        <f>IF(B82="","",COUNTIFS(Orders!$C$6:$C$1005,B82,Orders!$L$6:$L$1005,"&lt;&gt;Cancelled"))</f>
        <v/>
      </c>
      <c r="G82" s="22">
        <f>IF(B82="","",SUMIFS(Orders!$H$6:$H$1005,Orders!$C$6:$C$1005,B82,Orders!$L$6:$L$1005,"&lt;&gt;Cancelled"))</f>
        <v/>
      </c>
      <c r="H82" s="43">
        <f>IF(B82="","",IF(SUMIFS(Orders!$U$6:$U$1005,Orders!$C$6:$C$1005,B82,Orders!$V$6:$V$1005,1)=0,"",INT(SUMIFS(Orders!$U$6:$U$1005,Orders!$C$6:$C$1005,B82,Orders!$V$6:$V$1005,1))))</f>
        <v/>
      </c>
      <c r="I82" s="30">
        <f>IF(B82="","",IF(SUMIFS(Orders!$J$6:$J$1005,Orders!$C$6:$C$1005,B82)=0,"",SUMIFS(Orders!$J$6:$J$1005,Orders!$C$6:$C$1005,B82)))</f>
        <v/>
      </c>
      <c r="J82" s="1" t="n"/>
    </row>
    <row r="83">
      <c r="A83" s="1" t="n"/>
      <c r="B83" s="32" t="n"/>
      <c r="C83" s="33" t="n"/>
      <c r="D83" s="33" t="n"/>
      <c r="E83" s="33" t="n"/>
      <c r="F83" s="18">
        <f>IF(B83="","",COUNTIFS(Orders!$C$6:$C$1005,B83,Orders!$L$6:$L$1005,"&lt;&gt;Cancelled"))</f>
        <v/>
      </c>
      <c r="G83" s="22">
        <f>IF(B83="","",SUMIFS(Orders!$H$6:$H$1005,Orders!$C$6:$C$1005,B83,Orders!$L$6:$L$1005,"&lt;&gt;Cancelled"))</f>
        <v/>
      </c>
      <c r="H83" s="43">
        <f>IF(B83="","",IF(SUMIFS(Orders!$U$6:$U$1005,Orders!$C$6:$C$1005,B83,Orders!$V$6:$V$1005,1)=0,"",INT(SUMIFS(Orders!$U$6:$U$1005,Orders!$C$6:$C$1005,B83,Orders!$V$6:$V$1005,1))))</f>
        <v/>
      </c>
      <c r="I83" s="30">
        <f>IF(B83="","",IF(SUMIFS(Orders!$J$6:$J$1005,Orders!$C$6:$C$1005,B83)=0,"",SUMIFS(Orders!$J$6:$J$1005,Orders!$C$6:$C$1005,B83)))</f>
        <v/>
      </c>
      <c r="J83" s="1" t="n"/>
    </row>
    <row r="84">
      <c r="A84" s="1" t="n"/>
      <c r="B84" s="32" t="n"/>
      <c r="C84" s="33" t="n"/>
      <c r="D84" s="33" t="n"/>
      <c r="E84" s="33" t="n"/>
      <c r="F84" s="18">
        <f>IF(B84="","",COUNTIFS(Orders!$C$6:$C$1005,B84,Orders!$L$6:$L$1005,"&lt;&gt;Cancelled"))</f>
        <v/>
      </c>
      <c r="G84" s="22">
        <f>IF(B84="","",SUMIFS(Orders!$H$6:$H$1005,Orders!$C$6:$C$1005,B84,Orders!$L$6:$L$1005,"&lt;&gt;Cancelled"))</f>
        <v/>
      </c>
      <c r="H84" s="43">
        <f>IF(B84="","",IF(SUMIFS(Orders!$U$6:$U$1005,Orders!$C$6:$C$1005,B84,Orders!$V$6:$V$1005,1)=0,"",INT(SUMIFS(Orders!$U$6:$U$1005,Orders!$C$6:$C$1005,B84,Orders!$V$6:$V$1005,1))))</f>
        <v/>
      </c>
      <c r="I84" s="30">
        <f>IF(B84="","",IF(SUMIFS(Orders!$J$6:$J$1005,Orders!$C$6:$C$1005,B84)=0,"",SUMIFS(Orders!$J$6:$J$1005,Orders!$C$6:$C$1005,B84)))</f>
        <v/>
      </c>
      <c r="J84" s="1" t="n"/>
    </row>
    <row r="85">
      <c r="A85" s="1" t="n"/>
      <c r="B85" s="32" t="n"/>
      <c r="C85" s="33" t="n"/>
      <c r="D85" s="33" t="n"/>
      <c r="E85" s="33" t="n"/>
      <c r="F85" s="18">
        <f>IF(B85="","",COUNTIFS(Orders!$C$6:$C$1005,B85,Orders!$L$6:$L$1005,"&lt;&gt;Cancelled"))</f>
        <v/>
      </c>
      <c r="G85" s="22">
        <f>IF(B85="","",SUMIFS(Orders!$H$6:$H$1005,Orders!$C$6:$C$1005,B85,Orders!$L$6:$L$1005,"&lt;&gt;Cancelled"))</f>
        <v/>
      </c>
      <c r="H85" s="43">
        <f>IF(B85="","",IF(SUMIFS(Orders!$U$6:$U$1005,Orders!$C$6:$C$1005,B85,Orders!$V$6:$V$1005,1)=0,"",INT(SUMIFS(Orders!$U$6:$U$1005,Orders!$C$6:$C$1005,B85,Orders!$V$6:$V$1005,1))))</f>
        <v/>
      </c>
      <c r="I85" s="30">
        <f>IF(B85="","",IF(SUMIFS(Orders!$J$6:$J$1005,Orders!$C$6:$C$1005,B85)=0,"",SUMIFS(Orders!$J$6:$J$1005,Orders!$C$6:$C$1005,B85)))</f>
        <v/>
      </c>
      <c r="J85" s="1" t="n"/>
    </row>
    <row r="86">
      <c r="A86" s="1" t="n"/>
      <c r="B86" s="32" t="n"/>
      <c r="C86" s="33" t="n"/>
      <c r="D86" s="33" t="n"/>
      <c r="E86" s="33" t="n"/>
      <c r="F86" s="18">
        <f>IF(B86="","",COUNTIFS(Orders!$C$6:$C$1005,B86,Orders!$L$6:$L$1005,"&lt;&gt;Cancelled"))</f>
        <v/>
      </c>
      <c r="G86" s="22">
        <f>IF(B86="","",SUMIFS(Orders!$H$6:$H$1005,Orders!$C$6:$C$1005,B86,Orders!$L$6:$L$1005,"&lt;&gt;Cancelled"))</f>
        <v/>
      </c>
      <c r="H86" s="43">
        <f>IF(B86="","",IF(SUMIFS(Orders!$U$6:$U$1005,Orders!$C$6:$C$1005,B86,Orders!$V$6:$V$1005,1)=0,"",INT(SUMIFS(Orders!$U$6:$U$1005,Orders!$C$6:$C$1005,B86,Orders!$V$6:$V$1005,1))))</f>
        <v/>
      </c>
      <c r="I86" s="30">
        <f>IF(B86="","",IF(SUMIFS(Orders!$J$6:$J$1005,Orders!$C$6:$C$1005,B86)=0,"",SUMIFS(Orders!$J$6:$J$1005,Orders!$C$6:$C$1005,B86)))</f>
        <v/>
      </c>
      <c r="J86" s="1" t="n"/>
    </row>
    <row r="87">
      <c r="A87" s="1" t="n"/>
      <c r="B87" s="32" t="n"/>
      <c r="C87" s="33" t="n"/>
      <c r="D87" s="33" t="n"/>
      <c r="E87" s="33" t="n"/>
      <c r="F87" s="18">
        <f>IF(B87="","",COUNTIFS(Orders!$C$6:$C$1005,B87,Orders!$L$6:$L$1005,"&lt;&gt;Cancelled"))</f>
        <v/>
      </c>
      <c r="G87" s="22">
        <f>IF(B87="","",SUMIFS(Orders!$H$6:$H$1005,Orders!$C$6:$C$1005,B87,Orders!$L$6:$L$1005,"&lt;&gt;Cancelled"))</f>
        <v/>
      </c>
      <c r="H87" s="43">
        <f>IF(B87="","",IF(SUMIFS(Orders!$U$6:$U$1005,Orders!$C$6:$C$1005,B87,Orders!$V$6:$V$1005,1)=0,"",INT(SUMIFS(Orders!$U$6:$U$1005,Orders!$C$6:$C$1005,B87,Orders!$V$6:$V$1005,1))))</f>
        <v/>
      </c>
      <c r="I87" s="30">
        <f>IF(B87="","",IF(SUMIFS(Orders!$J$6:$J$1005,Orders!$C$6:$C$1005,B87)=0,"",SUMIFS(Orders!$J$6:$J$1005,Orders!$C$6:$C$1005,B87)))</f>
        <v/>
      </c>
      <c r="J87" s="1" t="n"/>
    </row>
    <row r="88">
      <c r="A88" s="1" t="n"/>
      <c r="B88" s="32" t="n"/>
      <c r="C88" s="33" t="n"/>
      <c r="D88" s="33" t="n"/>
      <c r="E88" s="33" t="n"/>
      <c r="F88" s="18">
        <f>IF(B88="","",COUNTIFS(Orders!$C$6:$C$1005,B88,Orders!$L$6:$L$1005,"&lt;&gt;Cancelled"))</f>
        <v/>
      </c>
      <c r="G88" s="22">
        <f>IF(B88="","",SUMIFS(Orders!$H$6:$H$1005,Orders!$C$6:$C$1005,B88,Orders!$L$6:$L$1005,"&lt;&gt;Cancelled"))</f>
        <v/>
      </c>
      <c r="H88" s="43">
        <f>IF(B88="","",IF(SUMIFS(Orders!$U$6:$U$1005,Orders!$C$6:$C$1005,B88,Orders!$V$6:$V$1005,1)=0,"",INT(SUMIFS(Orders!$U$6:$U$1005,Orders!$C$6:$C$1005,B88,Orders!$V$6:$V$1005,1))))</f>
        <v/>
      </c>
      <c r="I88" s="30">
        <f>IF(B88="","",IF(SUMIFS(Orders!$J$6:$J$1005,Orders!$C$6:$C$1005,B88)=0,"",SUMIFS(Orders!$J$6:$J$1005,Orders!$C$6:$C$1005,B88)))</f>
        <v/>
      </c>
      <c r="J88" s="1" t="n"/>
    </row>
    <row r="89">
      <c r="A89" s="1" t="n"/>
      <c r="B89" s="32" t="n"/>
      <c r="C89" s="33" t="n"/>
      <c r="D89" s="33" t="n"/>
      <c r="E89" s="33" t="n"/>
      <c r="F89" s="18">
        <f>IF(B89="","",COUNTIFS(Orders!$C$6:$C$1005,B89,Orders!$L$6:$L$1005,"&lt;&gt;Cancelled"))</f>
        <v/>
      </c>
      <c r="G89" s="22">
        <f>IF(B89="","",SUMIFS(Orders!$H$6:$H$1005,Orders!$C$6:$C$1005,B89,Orders!$L$6:$L$1005,"&lt;&gt;Cancelled"))</f>
        <v/>
      </c>
      <c r="H89" s="43">
        <f>IF(B89="","",IF(SUMIFS(Orders!$U$6:$U$1005,Orders!$C$6:$C$1005,B89,Orders!$V$6:$V$1005,1)=0,"",INT(SUMIFS(Orders!$U$6:$U$1005,Orders!$C$6:$C$1005,B89,Orders!$V$6:$V$1005,1))))</f>
        <v/>
      </c>
      <c r="I89" s="30">
        <f>IF(B89="","",IF(SUMIFS(Orders!$J$6:$J$1005,Orders!$C$6:$C$1005,B89)=0,"",SUMIFS(Orders!$J$6:$J$1005,Orders!$C$6:$C$1005,B89)))</f>
        <v/>
      </c>
      <c r="J89" s="1" t="n"/>
    </row>
    <row r="90">
      <c r="A90" s="1" t="n"/>
      <c r="B90" s="32" t="n"/>
      <c r="C90" s="33" t="n"/>
      <c r="D90" s="33" t="n"/>
      <c r="E90" s="33" t="n"/>
      <c r="F90" s="18">
        <f>IF(B90="","",COUNTIFS(Orders!$C$6:$C$1005,B90,Orders!$L$6:$L$1005,"&lt;&gt;Cancelled"))</f>
        <v/>
      </c>
      <c r="G90" s="22">
        <f>IF(B90="","",SUMIFS(Orders!$H$6:$H$1005,Orders!$C$6:$C$1005,B90,Orders!$L$6:$L$1005,"&lt;&gt;Cancelled"))</f>
        <v/>
      </c>
      <c r="H90" s="43">
        <f>IF(B90="","",IF(SUMIFS(Orders!$U$6:$U$1005,Orders!$C$6:$C$1005,B90,Orders!$V$6:$V$1005,1)=0,"",INT(SUMIFS(Orders!$U$6:$U$1005,Orders!$C$6:$C$1005,B90,Orders!$V$6:$V$1005,1))))</f>
        <v/>
      </c>
      <c r="I90" s="30">
        <f>IF(B90="","",IF(SUMIFS(Orders!$J$6:$J$1005,Orders!$C$6:$C$1005,B90)=0,"",SUMIFS(Orders!$J$6:$J$1005,Orders!$C$6:$C$1005,B90)))</f>
        <v/>
      </c>
      <c r="J90" s="1" t="n"/>
    </row>
    <row r="91">
      <c r="A91" s="1" t="n"/>
      <c r="B91" s="32" t="n"/>
      <c r="C91" s="33" t="n"/>
      <c r="D91" s="33" t="n"/>
      <c r="E91" s="33" t="n"/>
      <c r="F91" s="18">
        <f>IF(B91="","",COUNTIFS(Orders!$C$6:$C$1005,B91,Orders!$L$6:$L$1005,"&lt;&gt;Cancelled"))</f>
        <v/>
      </c>
      <c r="G91" s="22">
        <f>IF(B91="","",SUMIFS(Orders!$H$6:$H$1005,Orders!$C$6:$C$1005,B91,Orders!$L$6:$L$1005,"&lt;&gt;Cancelled"))</f>
        <v/>
      </c>
      <c r="H91" s="43">
        <f>IF(B91="","",IF(SUMIFS(Orders!$U$6:$U$1005,Orders!$C$6:$C$1005,B91,Orders!$V$6:$V$1005,1)=0,"",INT(SUMIFS(Orders!$U$6:$U$1005,Orders!$C$6:$C$1005,B91,Orders!$V$6:$V$1005,1))))</f>
        <v/>
      </c>
      <c r="I91" s="30">
        <f>IF(B91="","",IF(SUMIFS(Orders!$J$6:$J$1005,Orders!$C$6:$C$1005,B91)=0,"",SUMIFS(Orders!$J$6:$J$1005,Orders!$C$6:$C$1005,B91)))</f>
        <v/>
      </c>
      <c r="J91" s="1" t="n"/>
    </row>
    <row r="92">
      <c r="A92" s="1" t="n"/>
      <c r="B92" s="32" t="n"/>
      <c r="C92" s="33" t="n"/>
      <c r="D92" s="33" t="n"/>
      <c r="E92" s="33" t="n"/>
      <c r="F92" s="18">
        <f>IF(B92="","",COUNTIFS(Orders!$C$6:$C$1005,B92,Orders!$L$6:$L$1005,"&lt;&gt;Cancelled"))</f>
        <v/>
      </c>
      <c r="G92" s="22">
        <f>IF(B92="","",SUMIFS(Orders!$H$6:$H$1005,Orders!$C$6:$C$1005,B92,Orders!$L$6:$L$1005,"&lt;&gt;Cancelled"))</f>
        <v/>
      </c>
      <c r="H92" s="43">
        <f>IF(B92="","",IF(SUMIFS(Orders!$U$6:$U$1005,Orders!$C$6:$C$1005,B92,Orders!$V$6:$V$1005,1)=0,"",INT(SUMIFS(Orders!$U$6:$U$1005,Orders!$C$6:$C$1005,B92,Orders!$V$6:$V$1005,1))))</f>
        <v/>
      </c>
      <c r="I92" s="30">
        <f>IF(B92="","",IF(SUMIFS(Orders!$J$6:$J$1005,Orders!$C$6:$C$1005,B92)=0,"",SUMIFS(Orders!$J$6:$J$1005,Orders!$C$6:$C$1005,B92)))</f>
        <v/>
      </c>
      <c r="J92" s="1" t="n"/>
    </row>
    <row r="93">
      <c r="A93" s="1" t="n"/>
      <c r="B93" s="32" t="n"/>
      <c r="C93" s="33" t="n"/>
      <c r="D93" s="33" t="n"/>
      <c r="E93" s="33" t="n"/>
      <c r="F93" s="18">
        <f>IF(B93="","",COUNTIFS(Orders!$C$6:$C$1005,B93,Orders!$L$6:$L$1005,"&lt;&gt;Cancelled"))</f>
        <v/>
      </c>
      <c r="G93" s="22">
        <f>IF(B93="","",SUMIFS(Orders!$H$6:$H$1005,Orders!$C$6:$C$1005,B93,Orders!$L$6:$L$1005,"&lt;&gt;Cancelled"))</f>
        <v/>
      </c>
      <c r="H93" s="43">
        <f>IF(B93="","",IF(SUMIFS(Orders!$U$6:$U$1005,Orders!$C$6:$C$1005,B93,Orders!$V$6:$V$1005,1)=0,"",INT(SUMIFS(Orders!$U$6:$U$1005,Orders!$C$6:$C$1005,B93,Orders!$V$6:$V$1005,1))))</f>
        <v/>
      </c>
      <c r="I93" s="30">
        <f>IF(B93="","",IF(SUMIFS(Orders!$J$6:$J$1005,Orders!$C$6:$C$1005,B93)=0,"",SUMIFS(Orders!$J$6:$J$1005,Orders!$C$6:$C$1005,B93)))</f>
        <v/>
      </c>
      <c r="J93" s="1" t="n"/>
    </row>
    <row r="94">
      <c r="A94" s="1" t="n"/>
      <c r="B94" s="32" t="n"/>
      <c r="C94" s="33" t="n"/>
      <c r="D94" s="33" t="n"/>
      <c r="E94" s="33" t="n"/>
      <c r="F94" s="18">
        <f>IF(B94="","",COUNTIFS(Orders!$C$6:$C$1005,B94,Orders!$L$6:$L$1005,"&lt;&gt;Cancelled"))</f>
        <v/>
      </c>
      <c r="G94" s="22">
        <f>IF(B94="","",SUMIFS(Orders!$H$6:$H$1005,Orders!$C$6:$C$1005,B94,Orders!$L$6:$L$1005,"&lt;&gt;Cancelled"))</f>
        <v/>
      </c>
      <c r="H94" s="43">
        <f>IF(B94="","",IF(SUMIFS(Orders!$U$6:$U$1005,Orders!$C$6:$C$1005,B94,Orders!$V$6:$V$1005,1)=0,"",INT(SUMIFS(Orders!$U$6:$U$1005,Orders!$C$6:$C$1005,B94,Orders!$V$6:$V$1005,1))))</f>
        <v/>
      </c>
      <c r="I94" s="30">
        <f>IF(B94="","",IF(SUMIFS(Orders!$J$6:$J$1005,Orders!$C$6:$C$1005,B94)=0,"",SUMIFS(Orders!$J$6:$J$1005,Orders!$C$6:$C$1005,B94)))</f>
        <v/>
      </c>
      <c r="J94" s="1" t="n"/>
    </row>
    <row r="95">
      <c r="A95" s="1" t="n"/>
      <c r="B95" s="32" t="n"/>
      <c r="C95" s="33" t="n"/>
      <c r="D95" s="33" t="n"/>
      <c r="E95" s="33" t="n"/>
      <c r="F95" s="18">
        <f>IF(B95="","",COUNTIFS(Orders!$C$6:$C$1005,B95,Orders!$L$6:$L$1005,"&lt;&gt;Cancelled"))</f>
        <v/>
      </c>
      <c r="G95" s="22">
        <f>IF(B95="","",SUMIFS(Orders!$H$6:$H$1005,Orders!$C$6:$C$1005,B95,Orders!$L$6:$L$1005,"&lt;&gt;Cancelled"))</f>
        <v/>
      </c>
      <c r="H95" s="43">
        <f>IF(B95="","",IF(SUMIFS(Orders!$U$6:$U$1005,Orders!$C$6:$C$1005,B95,Orders!$V$6:$V$1005,1)=0,"",INT(SUMIFS(Orders!$U$6:$U$1005,Orders!$C$6:$C$1005,B95,Orders!$V$6:$V$1005,1))))</f>
        <v/>
      </c>
      <c r="I95" s="30">
        <f>IF(B95="","",IF(SUMIFS(Orders!$J$6:$J$1005,Orders!$C$6:$C$1005,B95)=0,"",SUMIFS(Orders!$J$6:$J$1005,Orders!$C$6:$C$1005,B95)))</f>
        <v/>
      </c>
      <c r="J95" s="1" t="n"/>
    </row>
    <row r="96">
      <c r="A96" s="1" t="n"/>
      <c r="B96" s="32" t="n"/>
      <c r="C96" s="33" t="n"/>
      <c r="D96" s="33" t="n"/>
      <c r="E96" s="33" t="n"/>
      <c r="F96" s="18">
        <f>IF(B96="","",COUNTIFS(Orders!$C$6:$C$1005,B96,Orders!$L$6:$L$1005,"&lt;&gt;Cancelled"))</f>
        <v/>
      </c>
      <c r="G96" s="22">
        <f>IF(B96="","",SUMIFS(Orders!$H$6:$H$1005,Orders!$C$6:$C$1005,B96,Orders!$L$6:$L$1005,"&lt;&gt;Cancelled"))</f>
        <v/>
      </c>
      <c r="H96" s="43">
        <f>IF(B96="","",IF(SUMIFS(Orders!$U$6:$U$1005,Orders!$C$6:$C$1005,B96,Orders!$V$6:$V$1005,1)=0,"",INT(SUMIFS(Orders!$U$6:$U$1005,Orders!$C$6:$C$1005,B96,Orders!$V$6:$V$1005,1))))</f>
        <v/>
      </c>
      <c r="I96" s="30">
        <f>IF(B96="","",IF(SUMIFS(Orders!$J$6:$J$1005,Orders!$C$6:$C$1005,B96)=0,"",SUMIFS(Orders!$J$6:$J$1005,Orders!$C$6:$C$1005,B96)))</f>
        <v/>
      </c>
      <c r="J96" s="1" t="n"/>
    </row>
    <row r="97">
      <c r="A97" s="1" t="n"/>
      <c r="B97" s="32" t="n"/>
      <c r="C97" s="33" t="n"/>
      <c r="D97" s="33" t="n"/>
      <c r="E97" s="33" t="n"/>
      <c r="F97" s="18">
        <f>IF(B97="","",COUNTIFS(Orders!$C$6:$C$1005,B97,Orders!$L$6:$L$1005,"&lt;&gt;Cancelled"))</f>
        <v/>
      </c>
      <c r="G97" s="22">
        <f>IF(B97="","",SUMIFS(Orders!$H$6:$H$1005,Orders!$C$6:$C$1005,B97,Orders!$L$6:$L$1005,"&lt;&gt;Cancelled"))</f>
        <v/>
      </c>
      <c r="H97" s="43">
        <f>IF(B97="","",IF(SUMIFS(Orders!$U$6:$U$1005,Orders!$C$6:$C$1005,B97,Orders!$V$6:$V$1005,1)=0,"",INT(SUMIFS(Orders!$U$6:$U$1005,Orders!$C$6:$C$1005,B97,Orders!$V$6:$V$1005,1))))</f>
        <v/>
      </c>
      <c r="I97" s="30">
        <f>IF(B97="","",IF(SUMIFS(Orders!$J$6:$J$1005,Orders!$C$6:$C$1005,B97)=0,"",SUMIFS(Orders!$J$6:$J$1005,Orders!$C$6:$C$1005,B97)))</f>
        <v/>
      </c>
      <c r="J97" s="1" t="n"/>
    </row>
    <row r="98">
      <c r="A98" s="1" t="n"/>
      <c r="B98" s="32" t="n"/>
      <c r="C98" s="33" t="n"/>
      <c r="D98" s="33" t="n"/>
      <c r="E98" s="33" t="n"/>
      <c r="F98" s="18">
        <f>IF(B98="","",COUNTIFS(Orders!$C$6:$C$1005,B98,Orders!$L$6:$L$1005,"&lt;&gt;Cancelled"))</f>
        <v/>
      </c>
      <c r="G98" s="22">
        <f>IF(B98="","",SUMIFS(Orders!$H$6:$H$1005,Orders!$C$6:$C$1005,B98,Orders!$L$6:$L$1005,"&lt;&gt;Cancelled"))</f>
        <v/>
      </c>
      <c r="H98" s="43">
        <f>IF(B98="","",IF(SUMIFS(Orders!$U$6:$U$1005,Orders!$C$6:$C$1005,B98,Orders!$V$6:$V$1005,1)=0,"",INT(SUMIFS(Orders!$U$6:$U$1005,Orders!$C$6:$C$1005,B98,Orders!$V$6:$V$1005,1))))</f>
        <v/>
      </c>
      <c r="I98" s="30">
        <f>IF(B98="","",IF(SUMIFS(Orders!$J$6:$J$1005,Orders!$C$6:$C$1005,B98)=0,"",SUMIFS(Orders!$J$6:$J$1005,Orders!$C$6:$C$1005,B98)))</f>
        <v/>
      </c>
      <c r="J98" s="1" t="n"/>
    </row>
    <row r="99">
      <c r="A99" s="1" t="n"/>
      <c r="B99" s="32" t="n"/>
      <c r="C99" s="33" t="n"/>
      <c r="D99" s="33" t="n"/>
      <c r="E99" s="33" t="n"/>
      <c r="F99" s="18">
        <f>IF(B99="","",COUNTIFS(Orders!$C$6:$C$1005,B99,Orders!$L$6:$L$1005,"&lt;&gt;Cancelled"))</f>
        <v/>
      </c>
      <c r="G99" s="22">
        <f>IF(B99="","",SUMIFS(Orders!$H$6:$H$1005,Orders!$C$6:$C$1005,B99,Orders!$L$6:$L$1005,"&lt;&gt;Cancelled"))</f>
        <v/>
      </c>
      <c r="H99" s="43">
        <f>IF(B99="","",IF(SUMIFS(Orders!$U$6:$U$1005,Orders!$C$6:$C$1005,B99,Orders!$V$6:$V$1005,1)=0,"",INT(SUMIFS(Orders!$U$6:$U$1005,Orders!$C$6:$C$1005,B99,Orders!$V$6:$V$1005,1))))</f>
        <v/>
      </c>
      <c r="I99" s="30">
        <f>IF(B99="","",IF(SUMIFS(Orders!$J$6:$J$1005,Orders!$C$6:$C$1005,B99)=0,"",SUMIFS(Orders!$J$6:$J$1005,Orders!$C$6:$C$1005,B99)))</f>
        <v/>
      </c>
      <c r="J99" s="1" t="n"/>
    </row>
    <row r="100">
      <c r="A100" s="1" t="n"/>
      <c r="B100" s="32" t="n"/>
      <c r="C100" s="33" t="n"/>
      <c r="D100" s="33" t="n"/>
      <c r="E100" s="33" t="n"/>
      <c r="F100" s="18">
        <f>IF(B100="","",COUNTIFS(Orders!$C$6:$C$1005,B100,Orders!$L$6:$L$1005,"&lt;&gt;Cancelled"))</f>
        <v/>
      </c>
      <c r="G100" s="22">
        <f>IF(B100="","",SUMIFS(Orders!$H$6:$H$1005,Orders!$C$6:$C$1005,B100,Orders!$L$6:$L$1005,"&lt;&gt;Cancelled"))</f>
        <v/>
      </c>
      <c r="H100" s="43">
        <f>IF(B100="","",IF(SUMIFS(Orders!$U$6:$U$1005,Orders!$C$6:$C$1005,B100,Orders!$V$6:$V$1005,1)=0,"",INT(SUMIFS(Orders!$U$6:$U$1005,Orders!$C$6:$C$1005,B100,Orders!$V$6:$V$1005,1))))</f>
        <v/>
      </c>
      <c r="I100" s="30">
        <f>IF(B100="","",IF(SUMIFS(Orders!$J$6:$J$1005,Orders!$C$6:$C$1005,B100)=0,"",SUMIFS(Orders!$J$6:$J$1005,Orders!$C$6:$C$1005,B100)))</f>
        <v/>
      </c>
      <c r="J100" s="1" t="n"/>
    </row>
    <row r="101">
      <c r="A101" s="1" t="n"/>
      <c r="B101" s="32" t="n"/>
      <c r="C101" s="33" t="n"/>
      <c r="D101" s="33" t="n"/>
      <c r="E101" s="33" t="n"/>
      <c r="F101" s="18">
        <f>IF(B101="","",COUNTIFS(Orders!$C$6:$C$1005,B101,Orders!$L$6:$L$1005,"&lt;&gt;Cancelled"))</f>
        <v/>
      </c>
      <c r="G101" s="22">
        <f>IF(B101="","",SUMIFS(Orders!$H$6:$H$1005,Orders!$C$6:$C$1005,B101,Orders!$L$6:$L$1005,"&lt;&gt;Cancelled"))</f>
        <v/>
      </c>
      <c r="H101" s="43">
        <f>IF(B101="","",IF(SUMIFS(Orders!$U$6:$U$1005,Orders!$C$6:$C$1005,B101,Orders!$V$6:$V$1005,1)=0,"",INT(SUMIFS(Orders!$U$6:$U$1005,Orders!$C$6:$C$1005,B101,Orders!$V$6:$V$1005,1))))</f>
        <v/>
      </c>
      <c r="I101" s="30">
        <f>IF(B101="","",IF(SUMIFS(Orders!$J$6:$J$1005,Orders!$C$6:$C$1005,B101)=0,"",SUMIFS(Orders!$J$6:$J$1005,Orders!$C$6:$C$1005,B101)))</f>
        <v/>
      </c>
      <c r="J101" s="1" t="n"/>
    </row>
    <row r="102">
      <c r="A102" s="1" t="n"/>
      <c r="B102" s="32" t="n"/>
      <c r="C102" s="33" t="n"/>
      <c r="D102" s="33" t="n"/>
      <c r="E102" s="33" t="n"/>
      <c r="F102" s="18">
        <f>IF(B102="","",COUNTIFS(Orders!$C$6:$C$1005,B102,Orders!$L$6:$L$1005,"&lt;&gt;Cancelled"))</f>
        <v/>
      </c>
      <c r="G102" s="22">
        <f>IF(B102="","",SUMIFS(Orders!$H$6:$H$1005,Orders!$C$6:$C$1005,B102,Orders!$L$6:$L$1005,"&lt;&gt;Cancelled"))</f>
        <v/>
      </c>
      <c r="H102" s="43">
        <f>IF(B102="","",IF(SUMIFS(Orders!$U$6:$U$1005,Orders!$C$6:$C$1005,B102,Orders!$V$6:$V$1005,1)=0,"",INT(SUMIFS(Orders!$U$6:$U$1005,Orders!$C$6:$C$1005,B102,Orders!$V$6:$V$1005,1))))</f>
        <v/>
      </c>
      <c r="I102" s="30">
        <f>IF(B102="","",IF(SUMIFS(Orders!$J$6:$J$1005,Orders!$C$6:$C$1005,B102)=0,"",SUMIFS(Orders!$J$6:$J$1005,Orders!$C$6:$C$1005,B102)))</f>
        <v/>
      </c>
      <c r="J102" s="1" t="n"/>
    </row>
    <row r="103">
      <c r="A103" s="1" t="n"/>
      <c r="B103" s="32" t="n"/>
      <c r="C103" s="33" t="n"/>
      <c r="D103" s="33" t="n"/>
      <c r="E103" s="33" t="n"/>
      <c r="F103" s="18">
        <f>IF(B103="","",COUNTIFS(Orders!$C$6:$C$1005,B103,Orders!$L$6:$L$1005,"&lt;&gt;Cancelled"))</f>
        <v/>
      </c>
      <c r="G103" s="22">
        <f>IF(B103="","",SUMIFS(Orders!$H$6:$H$1005,Orders!$C$6:$C$1005,B103,Orders!$L$6:$L$1005,"&lt;&gt;Cancelled"))</f>
        <v/>
      </c>
      <c r="H103" s="43">
        <f>IF(B103="","",IF(SUMIFS(Orders!$U$6:$U$1005,Orders!$C$6:$C$1005,B103,Orders!$V$6:$V$1005,1)=0,"",INT(SUMIFS(Orders!$U$6:$U$1005,Orders!$C$6:$C$1005,B103,Orders!$V$6:$V$1005,1))))</f>
        <v/>
      </c>
      <c r="I103" s="30">
        <f>IF(B103="","",IF(SUMIFS(Orders!$J$6:$J$1005,Orders!$C$6:$C$1005,B103)=0,"",SUMIFS(Orders!$J$6:$J$1005,Orders!$C$6:$C$1005,B103)))</f>
        <v/>
      </c>
      <c r="J103" s="1" t="n"/>
    </row>
    <row r="104">
      <c r="A104" s="1" t="n"/>
      <c r="B104" s="32" t="n"/>
      <c r="C104" s="33" t="n"/>
      <c r="D104" s="33" t="n"/>
      <c r="E104" s="33" t="n"/>
      <c r="F104" s="18">
        <f>IF(B104="","",COUNTIFS(Orders!$C$6:$C$1005,B104,Orders!$L$6:$L$1005,"&lt;&gt;Cancelled"))</f>
        <v/>
      </c>
      <c r="G104" s="22">
        <f>IF(B104="","",SUMIFS(Orders!$H$6:$H$1005,Orders!$C$6:$C$1005,B104,Orders!$L$6:$L$1005,"&lt;&gt;Cancelled"))</f>
        <v/>
      </c>
      <c r="H104" s="43">
        <f>IF(B104="","",IF(SUMIFS(Orders!$U$6:$U$1005,Orders!$C$6:$C$1005,B104,Orders!$V$6:$V$1005,1)=0,"",INT(SUMIFS(Orders!$U$6:$U$1005,Orders!$C$6:$C$1005,B104,Orders!$V$6:$V$1005,1))))</f>
        <v/>
      </c>
      <c r="I104" s="30">
        <f>IF(B104="","",IF(SUMIFS(Orders!$J$6:$J$1005,Orders!$C$6:$C$1005,B104)=0,"",SUMIFS(Orders!$J$6:$J$1005,Orders!$C$6:$C$1005,B104)))</f>
        <v/>
      </c>
      <c r="J104" s="1" t="n"/>
    </row>
    <row r="105">
      <c r="A105" s="1" t="n"/>
      <c r="B105" s="32" t="n"/>
      <c r="C105" s="33" t="n"/>
      <c r="D105" s="33" t="n"/>
      <c r="E105" s="33" t="n"/>
      <c r="F105" s="18">
        <f>IF(B105="","",COUNTIFS(Orders!$C$6:$C$1005,B105,Orders!$L$6:$L$1005,"&lt;&gt;Cancelled"))</f>
        <v/>
      </c>
      <c r="G105" s="22">
        <f>IF(B105="","",SUMIFS(Orders!$H$6:$H$1005,Orders!$C$6:$C$1005,B105,Orders!$L$6:$L$1005,"&lt;&gt;Cancelled"))</f>
        <v/>
      </c>
      <c r="H105" s="43">
        <f>IF(B105="","",IF(SUMIFS(Orders!$U$6:$U$1005,Orders!$C$6:$C$1005,B105,Orders!$V$6:$V$1005,1)=0,"",INT(SUMIFS(Orders!$U$6:$U$1005,Orders!$C$6:$C$1005,B105,Orders!$V$6:$V$1005,1))))</f>
        <v/>
      </c>
      <c r="I105" s="30">
        <f>IF(B105="","",IF(SUMIFS(Orders!$J$6:$J$1005,Orders!$C$6:$C$1005,B105)=0,"",SUMIFS(Orders!$J$6:$J$1005,Orders!$C$6:$C$1005,B105)))</f>
        <v/>
      </c>
      <c r="J105" s="1" t="n"/>
    </row>
    <row r="106">
      <c r="A106" s="1" t="n"/>
      <c r="B106" s="32" t="n"/>
      <c r="C106" s="33" t="n"/>
      <c r="D106" s="33" t="n"/>
      <c r="E106" s="33" t="n"/>
      <c r="F106" s="18">
        <f>IF(B106="","",COUNTIFS(Orders!$C$6:$C$1005,B106,Orders!$L$6:$L$1005,"&lt;&gt;Cancelled"))</f>
        <v/>
      </c>
      <c r="G106" s="22">
        <f>IF(B106="","",SUMIFS(Orders!$H$6:$H$1005,Orders!$C$6:$C$1005,B106,Orders!$L$6:$L$1005,"&lt;&gt;Cancelled"))</f>
        <v/>
      </c>
      <c r="H106" s="43">
        <f>IF(B106="","",IF(SUMIFS(Orders!$U$6:$U$1005,Orders!$C$6:$C$1005,B106,Orders!$V$6:$V$1005,1)=0,"",INT(SUMIFS(Orders!$U$6:$U$1005,Orders!$C$6:$C$1005,B106,Orders!$V$6:$V$1005,1))))</f>
        <v/>
      </c>
      <c r="I106" s="30">
        <f>IF(B106="","",IF(SUMIFS(Orders!$J$6:$J$1005,Orders!$C$6:$C$1005,B106)=0,"",SUMIFS(Orders!$J$6:$J$1005,Orders!$C$6:$C$1005,B106)))</f>
        <v/>
      </c>
      <c r="J106" s="1" t="n"/>
    </row>
    <row r="107">
      <c r="A107" s="1" t="n"/>
      <c r="B107" s="32" t="n"/>
      <c r="C107" s="33" t="n"/>
      <c r="D107" s="33" t="n"/>
      <c r="E107" s="33" t="n"/>
      <c r="F107" s="18">
        <f>IF(B107="","",COUNTIFS(Orders!$C$6:$C$1005,B107,Orders!$L$6:$L$1005,"&lt;&gt;Cancelled"))</f>
        <v/>
      </c>
      <c r="G107" s="22">
        <f>IF(B107="","",SUMIFS(Orders!$H$6:$H$1005,Orders!$C$6:$C$1005,B107,Orders!$L$6:$L$1005,"&lt;&gt;Cancelled"))</f>
        <v/>
      </c>
      <c r="H107" s="43">
        <f>IF(B107="","",IF(SUMIFS(Orders!$U$6:$U$1005,Orders!$C$6:$C$1005,B107,Orders!$V$6:$V$1005,1)=0,"",INT(SUMIFS(Orders!$U$6:$U$1005,Orders!$C$6:$C$1005,B107,Orders!$V$6:$V$1005,1))))</f>
        <v/>
      </c>
      <c r="I107" s="30">
        <f>IF(B107="","",IF(SUMIFS(Orders!$J$6:$J$1005,Orders!$C$6:$C$1005,B107)=0,"",SUMIFS(Orders!$J$6:$J$1005,Orders!$C$6:$C$1005,B107)))</f>
        <v/>
      </c>
      <c r="J107" s="1" t="n"/>
    </row>
    <row r="108">
      <c r="A108" s="1" t="n"/>
      <c r="B108" s="32" t="n"/>
      <c r="C108" s="33" t="n"/>
      <c r="D108" s="33" t="n"/>
      <c r="E108" s="33" t="n"/>
      <c r="F108" s="18">
        <f>IF(B108="","",COUNTIFS(Orders!$C$6:$C$1005,B108,Orders!$L$6:$L$1005,"&lt;&gt;Cancelled"))</f>
        <v/>
      </c>
      <c r="G108" s="22">
        <f>IF(B108="","",SUMIFS(Orders!$H$6:$H$1005,Orders!$C$6:$C$1005,B108,Orders!$L$6:$L$1005,"&lt;&gt;Cancelled"))</f>
        <v/>
      </c>
      <c r="H108" s="43">
        <f>IF(B108="","",IF(SUMIFS(Orders!$U$6:$U$1005,Orders!$C$6:$C$1005,B108,Orders!$V$6:$V$1005,1)=0,"",INT(SUMIFS(Orders!$U$6:$U$1005,Orders!$C$6:$C$1005,B108,Orders!$V$6:$V$1005,1))))</f>
        <v/>
      </c>
      <c r="I108" s="30">
        <f>IF(B108="","",IF(SUMIFS(Orders!$J$6:$J$1005,Orders!$C$6:$C$1005,B108)=0,"",SUMIFS(Orders!$J$6:$J$1005,Orders!$C$6:$C$1005,B108)))</f>
        <v/>
      </c>
      <c r="J108" s="1" t="n"/>
    </row>
    <row r="109">
      <c r="A109" s="1" t="n"/>
      <c r="B109" s="32" t="n"/>
      <c r="C109" s="33" t="n"/>
      <c r="D109" s="33" t="n"/>
      <c r="E109" s="33" t="n"/>
      <c r="F109" s="18">
        <f>IF(B109="","",COUNTIFS(Orders!$C$6:$C$1005,B109,Orders!$L$6:$L$1005,"&lt;&gt;Cancelled"))</f>
        <v/>
      </c>
      <c r="G109" s="22">
        <f>IF(B109="","",SUMIFS(Orders!$H$6:$H$1005,Orders!$C$6:$C$1005,B109,Orders!$L$6:$L$1005,"&lt;&gt;Cancelled"))</f>
        <v/>
      </c>
      <c r="H109" s="43">
        <f>IF(B109="","",IF(SUMIFS(Orders!$U$6:$U$1005,Orders!$C$6:$C$1005,B109,Orders!$V$6:$V$1005,1)=0,"",INT(SUMIFS(Orders!$U$6:$U$1005,Orders!$C$6:$C$1005,B109,Orders!$V$6:$V$1005,1))))</f>
        <v/>
      </c>
      <c r="I109" s="30">
        <f>IF(B109="","",IF(SUMIFS(Orders!$J$6:$J$1005,Orders!$C$6:$C$1005,B109)=0,"",SUMIFS(Orders!$J$6:$J$1005,Orders!$C$6:$C$1005,B109)))</f>
        <v/>
      </c>
      <c r="J109" s="1" t="n"/>
    </row>
    <row r="110">
      <c r="A110" s="1" t="n"/>
      <c r="B110" s="32" t="n"/>
      <c r="C110" s="33" t="n"/>
      <c r="D110" s="33" t="n"/>
      <c r="E110" s="33" t="n"/>
      <c r="F110" s="18">
        <f>IF(B110="","",COUNTIFS(Orders!$C$6:$C$1005,B110,Orders!$L$6:$L$1005,"&lt;&gt;Cancelled"))</f>
        <v/>
      </c>
      <c r="G110" s="22">
        <f>IF(B110="","",SUMIFS(Orders!$H$6:$H$1005,Orders!$C$6:$C$1005,B110,Orders!$L$6:$L$1005,"&lt;&gt;Cancelled"))</f>
        <v/>
      </c>
      <c r="H110" s="43">
        <f>IF(B110="","",IF(SUMIFS(Orders!$U$6:$U$1005,Orders!$C$6:$C$1005,B110,Orders!$V$6:$V$1005,1)=0,"",INT(SUMIFS(Orders!$U$6:$U$1005,Orders!$C$6:$C$1005,B110,Orders!$V$6:$V$1005,1))))</f>
        <v/>
      </c>
      <c r="I110" s="30">
        <f>IF(B110="","",IF(SUMIFS(Orders!$J$6:$J$1005,Orders!$C$6:$C$1005,B110)=0,"",SUMIFS(Orders!$J$6:$J$1005,Orders!$C$6:$C$1005,B110)))</f>
        <v/>
      </c>
      <c r="J110" s="1" t="n"/>
    </row>
    <row r="111">
      <c r="A111" s="1" t="n"/>
      <c r="B111" s="32" t="n"/>
      <c r="C111" s="33" t="n"/>
      <c r="D111" s="33" t="n"/>
      <c r="E111" s="33" t="n"/>
      <c r="F111" s="18">
        <f>IF(B111="","",COUNTIFS(Orders!$C$6:$C$1005,B111,Orders!$L$6:$L$1005,"&lt;&gt;Cancelled"))</f>
        <v/>
      </c>
      <c r="G111" s="22">
        <f>IF(B111="","",SUMIFS(Orders!$H$6:$H$1005,Orders!$C$6:$C$1005,B111,Orders!$L$6:$L$1005,"&lt;&gt;Cancelled"))</f>
        <v/>
      </c>
      <c r="H111" s="43">
        <f>IF(B111="","",IF(SUMIFS(Orders!$U$6:$U$1005,Orders!$C$6:$C$1005,B111,Orders!$V$6:$V$1005,1)=0,"",INT(SUMIFS(Orders!$U$6:$U$1005,Orders!$C$6:$C$1005,B111,Orders!$V$6:$V$1005,1))))</f>
        <v/>
      </c>
      <c r="I111" s="30">
        <f>IF(B111="","",IF(SUMIFS(Orders!$J$6:$J$1005,Orders!$C$6:$C$1005,B111)=0,"",SUMIFS(Orders!$J$6:$J$1005,Orders!$C$6:$C$1005,B111)))</f>
        <v/>
      </c>
      <c r="J111" s="1" t="n"/>
    </row>
    <row r="112">
      <c r="A112" s="1" t="n"/>
      <c r="B112" s="32" t="n"/>
      <c r="C112" s="33" t="n"/>
      <c r="D112" s="33" t="n"/>
      <c r="E112" s="33" t="n"/>
      <c r="F112" s="18">
        <f>IF(B112="","",COUNTIFS(Orders!$C$6:$C$1005,B112,Orders!$L$6:$L$1005,"&lt;&gt;Cancelled"))</f>
        <v/>
      </c>
      <c r="G112" s="22">
        <f>IF(B112="","",SUMIFS(Orders!$H$6:$H$1005,Orders!$C$6:$C$1005,B112,Orders!$L$6:$L$1005,"&lt;&gt;Cancelled"))</f>
        <v/>
      </c>
      <c r="H112" s="43">
        <f>IF(B112="","",IF(SUMIFS(Orders!$U$6:$U$1005,Orders!$C$6:$C$1005,B112,Orders!$V$6:$V$1005,1)=0,"",INT(SUMIFS(Orders!$U$6:$U$1005,Orders!$C$6:$C$1005,B112,Orders!$V$6:$V$1005,1))))</f>
        <v/>
      </c>
      <c r="I112" s="30">
        <f>IF(B112="","",IF(SUMIFS(Orders!$J$6:$J$1005,Orders!$C$6:$C$1005,B112)=0,"",SUMIFS(Orders!$J$6:$J$1005,Orders!$C$6:$C$1005,B112)))</f>
        <v/>
      </c>
      <c r="J112" s="1" t="n"/>
    </row>
    <row r="113">
      <c r="A113" s="1" t="n"/>
      <c r="B113" s="32" t="n"/>
      <c r="C113" s="33" t="n"/>
      <c r="D113" s="33" t="n"/>
      <c r="E113" s="33" t="n"/>
      <c r="F113" s="18">
        <f>IF(B113="","",COUNTIFS(Orders!$C$6:$C$1005,B113,Orders!$L$6:$L$1005,"&lt;&gt;Cancelled"))</f>
        <v/>
      </c>
      <c r="G113" s="22">
        <f>IF(B113="","",SUMIFS(Orders!$H$6:$H$1005,Orders!$C$6:$C$1005,B113,Orders!$L$6:$L$1005,"&lt;&gt;Cancelled"))</f>
        <v/>
      </c>
      <c r="H113" s="43">
        <f>IF(B113="","",IF(SUMIFS(Orders!$U$6:$U$1005,Orders!$C$6:$C$1005,B113,Orders!$V$6:$V$1005,1)=0,"",INT(SUMIFS(Orders!$U$6:$U$1005,Orders!$C$6:$C$1005,B113,Orders!$V$6:$V$1005,1))))</f>
        <v/>
      </c>
      <c r="I113" s="30">
        <f>IF(B113="","",IF(SUMIFS(Orders!$J$6:$J$1005,Orders!$C$6:$C$1005,B113)=0,"",SUMIFS(Orders!$J$6:$J$1005,Orders!$C$6:$C$1005,B113)))</f>
        <v/>
      </c>
      <c r="J113" s="1" t="n"/>
    </row>
    <row r="114">
      <c r="A114" s="1" t="n"/>
      <c r="B114" s="32" t="n"/>
      <c r="C114" s="33" t="n"/>
      <c r="D114" s="33" t="n"/>
      <c r="E114" s="33" t="n"/>
      <c r="F114" s="18">
        <f>IF(B114="","",COUNTIFS(Orders!$C$6:$C$1005,B114,Orders!$L$6:$L$1005,"&lt;&gt;Cancelled"))</f>
        <v/>
      </c>
      <c r="G114" s="22">
        <f>IF(B114="","",SUMIFS(Orders!$H$6:$H$1005,Orders!$C$6:$C$1005,B114,Orders!$L$6:$L$1005,"&lt;&gt;Cancelled"))</f>
        <v/>
      </c>
      <c r="H114" s="43">
        <f>IF(B114="","",IF(SUMIFS(Orders!$U$6:$U$1005,Orders!$C$6:$C$1005,B114,Orders!$V$6:$V$1005,1)=0,"",INT(SUMIFS(Orders!$U$6:$U$1005,Orders!$C$6:$C$1005,B114,Orders!$V$6:$V$1005,1))))</f>
        <v/>
      </c>
      <c r="I114" s="30">
        <f>IF(B114="","",IF(SUMIFS(Orders!$J$6:$J$1005,Orders!$C$6:$C$1005,B114)=0,"",SUMIFS(Orders!$J$6:$J$1005,Orders!$C$6:$C$1005,B114)))</f>
        <v/>
      </c>
      <c r="J114" s="1" t="n"/>
    </row>
    <row r="115">
      <c r="A115" s="1" t="n"/>
      <c r="B115" s="32" t="n"/>
      <c r="C115" s="33" t="n"/>
      <c r="D115" s="33" t="n"/>
      <c r="E115" s="33" t="n"/>
      <c r="F115" s="18">
        <f>IF(B115="","",COUNTIFS(Orders!$C$6:$C$1005,B115,Orders!$L$6:$L$1005,"&lt;&gt;Cancelled"))</f>
        <v/>
      </c>
      <c r="G115" s="22">
        <f>IF(B115="","",SUMIFS(Orders!$H$6:$H$1005,Orders!$C$6:$C$1005,B115,Orders!$L$6:$L$1005,"&lt;&gt;Cancelled"))</f>
        <v/>
      </c>
      <c r="H115" s="43">
        <f>IF(B115="","",IF(SUMIFS(Orders!$U$6:$U$1005,Orders!$C$6:$C$1005,B115,Orders!$V$6:$V$1005,1)=0,"",INT(SUMIFS(Orders!$U$6:$U$1005,Orders!$C$6:$C$1005,B115,Orders!$V$6:$V$1005,1))))</f>
        <v/>
      </c>
      <c r="I115" s="30">
        <f>IF(B115="","",IF(SUMIFS(Orders!$J$6:$J$1005,Orders!$C$6:$C$1005,B115)=0,"",SUMIFS(Orders!$J$6:$J$1005,Orders!$C$6:$C$1005,B115)))</f>
        <v/>
      </c>
      <c r="J115" s="1" t="n"/>
    </row>
    <row r="116">
      <c r="A116" s="1" t="n"/>
      <c r="B116" s="32" t="n"/>
      <c r="C116" s="33" t="n"/>
      <c r="D116" s="33" t="n"/>
      <c r="E116" s="33" t="n"/>
      <c r="F116" s="18">
        <f>IF(B116="","",COUNTIFS(Orders!$C$6:$C$1005,B116,Orders!$L$6:$L$1005,"&lt;&gt;Cancelled"))</f>
        <v/>
      </c>
      <c r="G116" s="22">
        <f>IF(B116="","",SUMIFS(Orders!$H$6:$H$1005,Orders!$C$6:$C$1005,B116,Orders!$L$6:$L$1005,"&lt;&gt;Cancelled"))</f>
        <v/>
      </c>
      <c r="H116" s="43">
        <f>IF(B116="","",IF(SUMIFS(Orders!$U$6:$U$1005,Orders!$C$6:$C$1005,B116,Orders!$V$6:$V$1005,1)=0,"",INT(SUMIFS(Orders!$U$6:$U$1005,Orders!$C$6:$C$1005,B116,Orders!$V$6:$V$1005,1))))</f>
        <v/>
      </c>
      <c r="I116" s="30">
        <f>IF(B116="","",IF(SUMIFS(Orders!$J$6:$J$1005,Orders!$C$6:$C$1005,B116)=0,"",SUMIFS(Orders!$J$6:$J$1005,Orders!$C$6:$C$1005,B116)))</f>
        <v/>
      </c>
      <c r="J116" s="1" t="n"/>
    </row>
    <row r="117">
      <c r="A117" s="1" t="n"/>
      <c r="B117" s="32" t="n"/>
      <c r="C117" s="33" t="n"/>
      <c r="D117" s="33" t="n"/>
      <c r="E117" s="33" t="n"/>
      <c r="F117" s="18">
        <f>IF(B117="","",COUNTIFS(Orders!$C$6:$C$1005,B117,Orders!$L$6:$L$1005,"&lt;&gt;Cancelled"))</f>
        <v/>
      </c>
      <c r="G117" s="22">
        <f>IF(B117="","",SUMIFS(Orders!$H$6:$H$1005,Orders!$C$6:$C$1005,B117,Orders!$L$6:$L$1005,"&lt;&gt;Cancelled"))</f>
        <v/>
      </c>
      <c r="H117" s="43">
        <f>IF(B117="","",IF(SUMIFS(Orders!$U$6:$U$1005,Orders!$C$6:$C$1005,B117,Orders!$V$6:$V$1005,1)=0,"",INT(SUMIFS(Orders!$U$6:$U$1005,Orders!$C$6:$C$1005,B117,Orders!$V$6:$V$1005,1))))</f>
        <v/>
      </c>
      <c r="I117" s="30">
        <f>IF(B117="","",IF(SUMIFS(Orders!$J$6:$J$1005,Orders!$C$6:$C$1005,B117)=0,"",SUMIFS(Orders!$J$6:$J$1005,Orders!$C$6:$C$1005,B117)))</f>
        <v/>
      </c>
      <c r="J117" s="1" t="n"/>
    </row>
    <row r="118">
      <c r="A118" s="1" t="n"/>
      <c r="B118" s="32" t="n"/>
      <c r="C118" s="33" t="n"/>
      <c r="D118" s="33" t="n"/>
      <c r="E118" s="33" t="n"/>
      <c r="F118" s="18">
        <f>IF(B118="","",COUNTIFS(Orders!$C$6:$C$1005,B118,Orders!$L$6:$L$1005,"&lt;&gt;Cancelled"))</f>
        <v/>
      </c>
      <c r="G118" s="22">
        <f>IF(B118="","",SUMIFS(Orders!$H$6:$H$1005,Orders!$C$6:$C$1005,B118,Orders!$L$6:$L$1005,"&lt;&gt;Cancelled"))</f>
        <v/>
      </c>
      <c r="H118" s="43">
        <f>IF(B118="","",IF(SUMIFS(Orders!$U$6:$U$1005,Orders!$C$6:$C$1005,B118,Orders!$V$6:$V$1005,1)=0,"",INT(SUMIFS(Orders!$U$6:$U$1005,Orders!$C$6:$C$1005,B118,Orders!$V$6:$V$1005,1))))</f>
        <v/>
      </c>
      <c r="I118" s="30">
        <f>IF(B118="","",IF(SUMIFS(Orders!$J$6:$J$1005,Orders!$C$6:$C$1005,B118)=0,"",SUMIFS(Orders!$J$6:$J$1005,Orders!$C$6:$C$1005,B118)))</f>
        <v/>
      </c>
      <c r="J118" s="1" t="n"/>
    </row>
    <row r="119">
      <c r="A119" s="1" t="n"/>
      <c r="B119" s="32" t="n"/>
      <c r="C119" s="33" t="n"/>
      <c r="D119" s="33" t="n"/>
      <c r="E119" s="33" t="n"/>
      <c r="F119" s="18">
        <f>IF(B119="","",COUNTIFS(Orders!$C$6:$C$1005,B119,Orders!$L$6:$L$1005,"&lt;&gt;Cancelled"))</f>
        <v/>
      </c>
      <c r="G119" s="22">
        <f>IF(B119="","",SUMIFS(Orders!$H$6:$H$1005,Orders!$C$6:$C$1005,B119,Orders!$L$6:$L$1005,"&lt;&gt;Cancelled"))</f>
        <v/>
      </c>
      <c r="H119" s="43">
        <f>IF(B119="","",IF(SUMIFS(Orders!$U$6:$U$1005,Orders!$C$6:$C$1005,B119,Orders!$V$6:$V$1005,1)=0,"",INT(SUMIFS(Orders!$U$6:$U$1005,Orders!$C$6:$C$1005,B119,Orders!$V$6:$V$1005,1))))</f>
        <v/>
      </c>
      <c r="I119" s="30">
        <f>IF(B119="","",IF(SUMIFS(Orders!$J$6:$J$1005,Orders!$C$6:$C$1005,B119)=0,"",SUMIFS(Orders!$J$6:$J$1005,Orders!$C$6:$C$1005,B119)))</f>
        <v/>
      </c>
      <c r="J119" s="1" t="n"/>
    </row>
    <row r="120">
      <c r="A120" s="1" t="n"/>
      <c r="B120" s="32" t="n"/>
      <c r="C120" s="33" t="n"/>
      <c r="D120" s="33" t="n"/>
      <c r="E120" s="33" t="n"/>
      <c r="F120" s="18">
        <f>IF(B120="","",COUNTIFS(Orders!$C$6:$C$1005,B120,Orders!$L$6:$L$1005,"&lt;&gt;Cancelled"))</f>
        <v/>
      </c>
      <c r="G120" s="22">
        <f>IF(B120="","",SUMIFS(Orders!$H$6:$H$1005,Orders!$C$6:$C$1005,B120,Orders!$L$6:$L$1005,"&lt;&gt;Cancelled"))</f>
        <v/>
      </c>
      <c r="H120" s="43">
        <f>IF(B120="","",IF(SUMIFS(Orders!$U$6:$U$1005,Orders!$C$6:$C$1005,B120,Orders!$V$6:$V$1005,1)=0,"",INT(SUMIFS(Orders!$U$6:$U$1005,Orders!$C$6:$C$1005,B120,Orders!$V$6:$V$1005,1))))</f>
        <v/>
      </c>
      <c r="I120" s="30">
        <f>IF(B120="","",IF(SUMIFS(Orders!$J$6:$J$1005,Orders!$C$6:$C$1005,B120)=0,"",SUMIFS(Orders!$J$6:$J$1005,Orders!$C$6:$C$1005,B120)))</f>
        <v/>
      </c>
      <c r="J120" s="1" t="n"/>
    </row>
    <row r="121">
      <c r="A121" s="1" t="n"/>
      <c r="B121" s="32" t="n"/>
      <c r="C121" s="33" t="n"/>
      <c r="D121" s="33" t="n"/>
      <c r="E121" s="33" t="n"/>
      <c r="F121" s="18">
        <f>IF(B121="","",COUNTIFS(Orders!$C$6:$C$1005,B121,Orders!$L$6:$L$1005,"&lt;&gt;Cancelled"))</f>
        <v/>
      </c>
      <c r="G121" s="22">
        <f>IF(B121="","",SUMIFS(Orders!$H$6:$H$1005,Orders!$C$6:$C$1005,B121,Orders!$L$6:$L$1005,"&lt;&gt;Cancelled"))</f>
        <v/>
      </c>
      <c r="H121" s="43">
        <f>IF(B121="","",IF(SUMIFS(Orders!$U$6:$U$1005,Orders!$C$6:$C$1005,B121,Orders!$V$6:$V$1005,1)=0,"",INT(SUMIFS(Orders!$U$6:$U$1005,Orders!$C$6:$C$1005,B121,Orders!$V$6:$V$1005,1))))</f>
        <v/>
      </c>
      <c r="I121" s="30">
        <f>IF(B121="","",IF(SUMIFS(Orders!$J$6:$J$1005,Orders!$C$6:$C$1005,B121)=0,"",SUMIFS(Orders!$J$6:$J$1005,Orders!$C$6:$C$1005,B121)))</f>
        <v/>
      </c>
      <c r="J121" s="1" t="n"/>
    </row>
    <row r="122">
      <c r="A122" s="1" t="n"/>
      <c r="B122" s="32" t="n"/>
      <c r="C122" s="33" t="n"/>
      <c r="D122" s="33" t="n"/>
      <c r="E122" s="33" t="n"/>
      <c r="F122" s="18">
        <f>IF(B122="","",COUNTIFS(Orders!$C$6:$C$1005,B122,Orders!$L$6:$L$1005,"&lt;&gt;Cancelled"))</f>
        <v/>
      </c>
      <c r="G122" s="22">
        <f>IF(B122="","",SUMIFS(Orders!$H$6:$H$1005,Orders!$C$6:$C$1005,B122,Orders!$L$6:$L$1005,"&lt;&gt;Cancelled"))</f>
        <v/>
      </c>
      <c r="H122" s="43">
        <f>IF(B122="","",IF(SUMIFS(Orders!$U$6:$U$1005,Orders!$C$6:$C$1005,B122,Orders!$V$6:$V$1005,1)=0,"",INT(SUMIFS(Orders!$U$6:$U$1005,Orders!$C$6:$C$1005,B122,Orders!$V$6:$V$1005,1))))</f>
        <v/>
      </c>
      <c r="I122" s="30">
        <f>IF(B122="","",IF(SUMIFS(Orders!$J$6:$J$1005,Orders!$C$6:$C$1005,B122)=0,"",SUMIFS(Orders!$J$6:$J$1005,Orders!$C$6:$C$1005,B122)))</f>
        <v/>
      </c>
      <c r="J122" s="1" t="n"/>
    </row>
    <row r="123">
      <c r="A123" s="1" t="n"/>
      <c r="B123" s="32" t="n"/>
      <c r="C123" s="33" t="n"/>
      <c r="D123" s="33" t="n"/>
      <c r="E123" s="33" t="n"/>
      <c r="F123" s="18">
        <f>IF(B123="","",COUNTIFS(Orders!$C$6:$C$1005,B123,Orders!$L$6:$L$1005,"&lt;&gt;Cancelled"))</f>
        <v/>
      </c>
      <c r="G123" s="22">
        <f>IF(B123="","",SUMIFS(Orders!$H$6:$H$1005,Orders!$C$6:$C$1005,B123,Orders!$L$6:$L$1005,"&lt;&gt;Cancelled"))</f>
        <v/>
      </c>
      <c r="H123" s="43">
        <f>IF(B123="","",IF(SUMIFS(Orders!$U$6:$U$1005,Orders!$C$6:$C$1005,B123,Orders!$V$6:$V$1005,1)=0,"",INT(SUMIFS(Orders!$U$6:$U$1005,Orders!$C$6:$C$1005,B123,Orders!$V$6:$V$1005,1))))</f>
        <v/>
      </c>
      <c r="I123" s="30">
        <f>IF(B123="","",IF(SUMIFS(Orders!$J$6:$J$1005,Orders!$C$6:$C$1005,B123)=0,"",SUMIFS(Orders!$J$6:$J$1005,Orders!$C$6:$C$1005,B123)))</f>
        <v/>
      </c>
      <c r="J123" s="1" t="n"/>
    </row>
    <row r="124">
      <c r="A124" s="1" t="n"/>
      <c r="B124" s="32" t="n"/>
      <c r="C124" s="33" t="n"/>
      <c r="D124" s="33" t="n"/>
      <c r="E124" s="33" t="n"/>
      <c r="F124" s="18">
        <f>IF(B124="","",COUNTIFS(Orders!$C$6:$C$1005,B124,Orders!$L$6:$L$1005,"&lt;&gt;Cancelled"))</f>
        <v/>
      </c>
      <c r="G124" s="22">
        <f>IF(B124="","",SUMIFS(Orders!$H$6:$H$1005,Orders!$C$6:$C$1005,B124,Orders!$L$6:$L$1005,"&lt;&gt;Cancelled"))</f>
        <v/>
      </c>
      <c r="H124" s="43">
        <f>IF(B124="","",IF(SUMIFS(Orders!$U$6:$U$1005,Orders!$C$6:$C$1005,B124,Orders!$V$6:$V$1005,1)=0,"",INT(SUMIFS(Orders!$U$6:$U$1005,Orders!$C$6:$C$1005,B124,Orders!$V$6:$V$1005,1))))</f>
        <v/>
      </c>
      <c r="I124" s="30">
        <f>IF(B124="","",IF(SUMIFS(Orders!$J$6:$J$1005,Orders!$C$6:$C$1005,B124)=0,"",SUMIFS(Orders!$J$6:$J$1005,Orders!$C$6:$C$1005,B124)))</f>
        <v/>
      </c>
      <c r="J124" s="1" t="n"/>
    </row>
    <row r="125">
      <c r="A125" s="1" t="n"/>
      <c r="B125" s="32" t="n"/>
      <c r="C125" s="33" t="n"/>
      <c r="D125" s="33" t="n"/>
      <c r="E125" s="33" t="n"/>
      <c r="F125" s="18">
        <f>IF(B125="","",COUNTIFS(Orders!$C$6:$C$1005,B125,Orders!$L$6:$L$1005,"&lt;&gt;Cancelled"))</f>
        <v/>
      </c>
      <c r="G125" s="22">
        <f>IF(B125="","",SUMIFS(Orders!$H$6:$H$1005,Orders!$C$6:$C$1005,B125,Orders!$L$6:$L$1005,"&lt;&gt;Cancelled"))</f>
        <v/>
      </c>
      <c r="H125" s="43">
        <f>IF(B125="","",IF(SUMIFS(Orders!$U$6:$U$1005,Orders!$C$6:$C$1005,B125,Orders!$V$6:$V$1005,1)=0,"",INT(SUMIFS(Orders!$U$6:$U$1005,Orders!$C$6:$C$1005,B125,Orders!$V$6:$V$1005,1))))</f>
        <v/>
      </c>
      <c r="I125" s="30">
        <f>IF(B125="","",IF(SUMIFS(Orders!$J$6:$J$1005,Orders!$C$6:$C$1005,B125)=0,"",SUMIFS(Orders!$J$6:$J$1005,Orders!$C$6:$C$1005,B125)))</f>
        <v/>
      </c>
      <c r="J125" s="1" t="n"/>
    </row>
    <row r="126">
      <c r="A126" s="1" t="n"/>
      <c r="B126" s="32" t="n"/>
      <c r="C126" s="33" t="n"/>
      <c r="D126" s="33" t="n"/>
      <c r="E126" s="33" t="n"/>
      <c r="F126" s="18">
        <f>IF(B126="","",COUNTIFS(Orders!$C$6:$C$1005,B126,Orders!$L$6:$L$1005,"&lt;&gt;Cancelled"))</f>
        <v/>
      </c>
      <c r="G126" s="22">
        <f>IF(B126="","",SUMIFS(Orders!$H$6:$H$1005,Orders!$C$6:$C$1005,B126,Orders!$L$6:$L$1005,"&lt;&gt;Cancelled"))</f>
        <v/>
      </c>
      <c r="H126" s="43">
        <f>IF(B126="","",IF(SUMIFS(Orders!$U$6:$U$1005,Orders!$C$6:$C$1005,B126,Orders!$V$6:$V$1005,1)=0,"",INT(SUMIFS(Orders!$U$6:$U$1005,Orders!$C$6:$C$1005,B126,Orders!$V$6:$V$1005,1))))</f>
        <v/>
      </c>
      <c r="I126" s="30">
        <f>IF(B126="","",IF(SUMIFS(Orders!$J$6:$J$1005,Orders!$C$6:$C$1005,B126)=0,"",SUMIFS(Orders!$J$6:$J$1005,Orders!$C$6:$C$1005,B126)))</f>
        <v/>
      </c>
      <c r="J126" s="1" t="n"/>
    </row>
    <row r="127">
      <c r="A127" s="1" t="n"/>
      <c r="B127" s="32" t="n"/>
      <c r="C127" s="33" t="n"/>
      <c r="D127" s="33" t="n"/>
      <c r="E127" s="33" t="n"/>
      <c r="F127" s="18">
        <f>IF(B127="","",COUNTIFS(Orders!$C$6:$C$1005,B127,Orders!$L$6:$L$1005,"&lt;&gt;Cancelled"))</f>
        <v/>
      </c>
      <c r="G127" s="22">
        <f>IF(B127="","",SUMIFS(Orders!$H$6:$H$1005,Orders!$C$6:$C$1005,B127,Orders!$L$6:$L$1005,"&lt;&gt;Cancelled"))</f>
        <v/>
      </c>
      <c r="H127" s="43">
        <f>IF(B127="","",IF(SUMIFS(Orders!$U$6:$U$1005,Orders!$C$6:$C$1005,B127,Orders!$V$6:$V$1005,1)=0,"",INT(SUMIFS(Orders!$U$6:$U$1005,Orders!$C$6:$C$1005,B127,Orders!$V$6:$V$1005,1))))</f>
        <v/>
      </c>
      <c r="I127" s="30">
        <f>IF(B127="","",IF(SUMIFS(Orders!$J$6:$J$1005,Orders!$C$6:$C$1005,B127)=0,"",SUMIFS(Orders!$J$6:$J$1005,Orders!$C$6:$C$1005,B127)))</f>
        <v/>
      </c>
      <c r="J127" s="1" t="n"/>
    </row>
    <row r="128">
      <c r="A128" s="1" t="n"/>
      <c r="B128" s="32" t="n"/>
      <c r="C128" s="33" t="n"/>
      <c r="D128" s="33" t="n"/>
      <c r="E128" s="33" t="n"/>
      <c r="F128" s="18">
        <f>IF(B128="","",COUNTIFS(Orders!$C$6:$C$1005,B128,Orders!$L$6:$L$1005,"&lt;&gt;Cancelled"))</f>
        <v/>
      </c>
      <c r="G128" s="22">
        <f>IF(B128="","",SUMIFS(Orders!$H$6:$H$1005,Orders!$C$6:$C$1005,B128,Orders!$L$6:$L$1005,"&lt;&gt;Cancelled"))</f>
        <v/>
      </c>
      <c r="H128" s="43">
        <f>IF(B128="","",IF(SUMIFS(Orders!$U$6:$U$1005,Orders!$C$6:$C$1005,B128,Orders!$V$6:$V$1005,1)=0,"",INT(SUMIFS(Orders!$U$6:$U$1005,Orders!$C$6:$C$1005,B128,Orders!$V$6:$V$1005,1))))</f>
        <v/>
      </c>
      <c r="I128" s="30">
        <f>IF(B128="","",IF(SUMIFS(Orders!$J$6:$J$1005,Orders!$C$6:$C$1005,B128)=0,"",SUMIFS(Orders!$J$6:$J$1005,Orders!$C$6:$C$1005,B128)))</f>
        <v/>
      </c>
      <c r="J128" s="1" t="n"/>
    </row>
    <row r="129">
      <c r="A129" s="1" t="n"/>
      <c r="B129" s="32" t="n"/>
      <c r="C129" s="33" t="n"/>
      <c r="D129" s="33" t="n"/>
      <c r="E129" s="33" t="n"/>
      <c r="F129" s="18">
        <f>IF(B129="","",COUNTIFS(Orders!$C$6:$C$1005,B129,Orders!$L$6:$L$1005,"&lt;&gt;Cancelled"))</f>
        <v/>
      </c>
      <c r="G129" s="22">
        <f>IF(B129="","",SUMIFS(Orders!$H$6:$H$1005,Orders!$C$6:$C$1005,B129,Orders!$L$6:$L$1005,"&lt;&gt;Cancelled"))</f>
        <v/>
      </c>
      <c r="H129" s="43">
        <f>IF(B129="","",IF(SUMIFS(Orders!$U$6:$U$1005,Orders!$C$6:$C$1005,B129,Orders!$V$6:$V$1005,1)=0,"",INT(SUMIFS(Orders!$U$6:$U$1005,Orders!$C$6:$C$1005,B129,Orders!$V$6:$V$1005,1))))</f>
        <v/>
      </c>
      <c r="I129" s="30">
        <f>IF(B129="","",IF(SUMIFS(Orders!$J$6:$J$1005,Orders!$C$6:$C$1005,B129)=0,"",SUMIFS(Orders!$J$6:$J$1005,Orders!$C$6:$C$1005,B129)))</f>
        <v/>
      </c>
      <c r="J129" s="1" t="n"/>
    </row>
    <row r="130">
      <c r="A130" s="1" t="n"/>
      <c r="B130" s="32" t="n"/>
      <c r="C130" s="33" t="n"/>
      <c r="D130" s="33" t="n"/>
      <c r="E130" s="33" t="n"/>
      <c r="F130" s="18">
        <f>IF(B130="","",COUNTIFS(Orders!$C$6:$C$1005,B130,Orders!$L$6:$L$1005,"&lt;&gt;Cancelled"))</f>
        <v/>
      </c>
      <c r="G130" s="22">
        <f>IF(B130="","",SUMIFS(Orders!$H$6:$H$1005,Orders!$C$6:$C$1005,B130,Orders!$L$6:$L$1005,"&lt;&gt;Cancelled"))</f>
        <v/>
      </c>
      <c r="H130" s="43">
        <f>IF(B130="","",IF(SUMIFS(Orders!$U$6:$U$1005,Orders!$C$6:$C$1005,B130,Orders!$V$6:$V$1005,1)=0,"",INT(SUMIFS(Orders!$U$6:$U$1005,Orders!$C$6:$C$1005,B130,Orders!$V$6:$V$1005,1))))</f>
        <v/>
      </c>
      <c r="I130" s="30">
        <f>IF(B130="","",IF(SUMIFS(Orders!$J$6:$J$1005,Orders!$C$6:$C$1005,B130)=0,"",SUMIFS(Orders!$J$6:$J$1005,Orders!$C$6:$C$1005,B130)))</f>
        <v/>
      </c>
      <c r="J130" s="1" t="n"/>
    </row>
    <row r="131">
      <c r="A131" s="1" t="n"/>
      <c r="B131" s="32" t="n"/>
      <c r="C131" s="33" t="n"/>
      <c r="D131" s="33" t="n"/>
      <c r="E131" s="33" t="n"/>
      <c r="F131" s="18">
        <f>IF(B131="","",COUNTIFS(Orders!$C$6:$C$1005,B131,Orders!$L$6:$L$1005,"&lt;&gt;Cancelled"))</f>
        <v/>
      </c>
      <c r="G131" s="22">
        <f>IF(B131="","",SUMIFS(Orders!$H$6:$H$1005,Orders!$C$6:$C$1005,B131,Orders!$L$6:$L$1005,"&lt;&gt;Cancelled"))</f>
        <v/>
      </c>
      <c r="H131" s="43">
        <f>IF(B131="","",IF(SUMIFS(Orders!$U$6:$U$1005,Orders!$C$6:$C$1005,B131,Orders!$V$6:$V$1005,1)=0,"",INT(SUMIFS(Orders!$U$6:$U$1005,Orders!$C$6:$C$1005,B131,Orders!$V$6:$V$1005,1))))</f>
        <v/>
      </c>
      <c r="I131" s="30">
        <f>IF(B131="","",IF(SUMIFS(Orders!$J$6:$J$1005,Orders!$C$6:$C$1005,B131)=0,"",SUMIFS(Orders!$J$6:$J$1005,Orders!$C$6:$C$1005,B131)))</f>
        <v/>
      </c>
      <c r="J131" s="1" t="n"/>
    </row>
    <row r="132">
      <c r="A132" s="1" t="n"/>
      <c r="B132" s="32" t="n"/>
      <c r="C132" s="33" t="n"/>
      <c r="D132" s="33" t="n"/>
      <c r="E132" s="33" t="n"/>
      <c r="F132" s="18">
        <f>IF(B132="","",COUNTIFS(Orders!$C$6:$C$1005,B132,Orders!$L$6:$L$1005,"&lt;&gt;Cancelled"))</f>
        <v/>
      </c>
      <c r="G132" s="22">
        <f>IF(B132="","",SUMIFS(Orders!$H$6:$H$1005,Orders!$C$6:$C$1005,B132,Orders!$L$6:$L$1005,"&lt;&gt;Cancelled"))</f>
        <v/>
      </c>
      <c r="H132" s="43">
        <f>IF(B132="","",IF(SUMIFS(Orders!$U$6:$U$1005,Orders!$C$6:$C$1005,B132,Orders!$V$6:$V$1005,1)=0,"",INT(SUMIFS(Orders!$U$6:$U$1005,Orders!$C$6:$C$1005,B132,Orders!$V$6:$V$1005,1))))</f>
        <v/>
      </c>
      <c r="I132" s="30">
        <f>IF(B132="","",IF(SUMIFS(Orders!$J$6:$J$1005,Orders!$C$6:$C$1005,B132)=0,"",SUMIFS(Orders!$J$6:$J$1005,Orders!$C$6:$C$1005,B132)))</f>
        <v/>
      </c>
      <c r="J132" s="1" t="n"/>
    </row>
    <row r="133">
      <c r="A133" s="1" t="n"/>
      <c r="B133" s="32" t="n"/>
      <c r="C133" s="33" t="n"/>
      <c r="D133" s="33" t="n"/>
      <c r="E133" s="33" t="n"/>
      <c r="F133" s="18">
        <f>IF(B133="","",COUNTIFS(Orders!$C$6:$C$1005,B133,Orders!$L$6:$L$1005,"&lt;&gt;Cancelled"))</f>
        <v/>
      </c>
      <c r="G133" s="22">
        <f>IF(B133="","",SUMIFS(Orders!$H$6:$H$1005,Orders!$C$6:$C$1005,B133,Orders!$L$6:$L$1005,"&lt;&gt;Cancelled"))</f>
        <v/>
      </c>
      <c r="H133" s="43">
        <f>IF(B133="","",IF(SUMIFS(Orders!$U$6:$U$1005,Orders!$C$6:$C$1005,B133,Orders!$V$6:$V$1005,1)=0,"",INT(SUMIFS(Orders!$U$6:$U$1005,Orders!$C$6:$C$1005,B133,Orders!$V$6:$V$1005,1))))</f>
        <v/>
      </c>
      <c r="I133" s="30">
        <f>IF(B133="","",IF(SUMIFS(Orders!$J$6:$J$1005,Orders!$C$6:$C$1005,B133)=0,"",SUMIFS(Orders!$J$6:$J$1005,Orders!$C$6:$C$1005,B133)))</f>
        <v/>
      </c>
      <c r="J133" s="1" t="n"/>
    </row>
    <row r="134">
      <c r="A134" s="1" t="n"/>
      <c r="B134" s="32" t="n"/>
      <c r="C134" s="33" t="n"/>
      <c r="D134" s="33" t="n"/>
      <c r="E134" s="33" t="n"/>
      <c r="F134" s="18">
        <f>IF(B134="","",COUNTIFS(Orders!$C$6:$C$1005,B134,Orders!$L$6:$L$1005,"&lt;&gt;Cancelled"))</f>
        <v/>
      </c>
      <c r="G134" s="22">
        <f>IF(B134="","",SUMIFS(Orders!$H$6:$H$1005,Orders!$C$6:$C$1005,B134,Orders!$L$6:$L$1005,"&lt;&gt;Cancelled"))</f>
        <v/>
      </c>
      <c r="H134" s="43">
        <f>IF(B134="","",IF(SUMIFS(Orders!$U$6:$U$1005,Orders!$C$6:$C$1005,B134,Orders!$V$6:$V$1005,1)=0,"",INT(SUMIFS(Orders!$U$6:$U$1005,Orders!$C$6:$C$1005,B134,Orders!$V$6:$V$1005,1))))</f>
        <v/>
      </c>
      <c r="I134" s="30">
        <f>IF(B134="","",IF(SUMIFS(Orders!$J$6:$J$1005,Orders!$C$6:$C$1005,B134)=0,"",SUMIFS(Orders!$J$6:$J$1005,Orders!$C$6:$C$1005,B134)))</f>
        <v/>
      </c>
      <c r="J134" s="1" t="n"/>
    </row>
    <row r="135">
      <c r="A135" s="1" t="n"/>
      <c r="B135" s="32" t="n"/>
      <c r="C135" s="33" t="n"/>
      <c r="D135" s="33" t="n"/>
      <c r="E135" s="33" t="n"/>
      <c r="F135" s="18">
        <f>IF(B135="","",COUNTIFS(Orders!$C$6:$C$1005,B135,Orders!$L$6:$L$1005,"&lt;&gt;Cancelled"))</f>
        <v/>
      </c>
      <c r="G135" s="22">
        <f>IF(B135="","",SUMIFS(Orders!$H$6:$H$1005,Orders!$C$6:$C$1005,B135,Orders!$L$6:$L$1005,"&lt;&gt;Cancelled"))</f>
        <v/>
      </c>
      <c r="H135" s="43">
        <f>IF(B135="","",IF(SUMIFS(Orders!$U$6:$U$1005,Orders!$C$6:$C$1005,B135,Orders!$V$6:$V$1005,1)=0,"",INT(SUMIFS(Orders!$U$6:$U$1005,Orders!$C$6:$C$1005,B135,Orders!$V$6:$V$1005,1))))</f>
        <v/>
      </c>
      <c r="I135" s="30">
        <f>IF(B135="","",IF(SUMIFS(Orders!$J$6:$J$1005,Orders!$C$6:$C$1005,B135)=0,"",SUMIFS(Orders!$J$6:$J$1005,Orders!$C$6:$C$1005,B135)))</f>
        <v/>
      </c>
      <c r="J135" s="1" t="n"/>
    </row>
    <row r="136">
      <c r="A136" s="1" t="n"/>
      <c r="B136" s="32" t="n"/>
      <c r="C136" s="33" t="n"/>
      <c r="D136" s="33" t="n"/>
      <c r="E136" s="33" t="n"/>
      <c r="F136" s="18">
        <f>IF(B136="","",COUNTIFS(Orders!$C$6:$C$1005,B136,Orders!$L$6:$L$1005,"&lt;&gt;Cancelled"))</f>
        <v/>
      </c>
      <c r="G136" s="22">
        <f>IF(B136="","",SUMIFS(Orders!$H$6:$H$1005,Orders!$C$6:$C$1005,B136,Orders!$L$6:$L$1005,"&lt;&gt;Cancelled"))</f>
        <v/>
      </c>
      <c r="H136" s="43">
        <f>IF(B136="","",IF(SUMIFS(Orders!$U$6:$U$1005,Orders!$C$6:$C$1005,B136,Orders!$V$6:$V$1005,1)=0,"",INT(SUMIFS(Orders!$U$6:$U$1005,Orders!$C$6:$C$1005,B136,Orders!$V$6:$V$1005,1))))</f>
        <v/>
      </c>
      <c r="I136" s="30">
        <f>IF(B136="","",IF(SUMIFS(Orders!$J$6:$J$1005,Orders!$C$6:$C$1005,B136)=0,"",SUMIFS(Orders!$J$6:$J$1005,Orders!$C$6:$C$1005,B136)))</f>
        <v/>
      </c>
      <c r="J136" s="1" t="n"/>
    </row>
    <row r="137">
      <c r="A137" s="1" t="n"/>
      <c r="B137" s="32" t="n"/>
      <c r="C137" s="33" t="n"/>
      <c r="D137" s="33" t="n"/>
      <c r="E137" s="33" t="n"/>
      <c r="F137" s="18">
        <f>IF(B137="","",COUNTIFS(Orders!$C$6:$C$1005,B137,Orders!$L$6:$L$1005,"&lt;&gt;Cancelled"))</f>
        <v/>
      </c>
      <c r="G137" s="22">
        <f>IF(B137="","",SUMIFS(Orders!$H$6:$H$1005,Orders!$C$6:$C$1005,B137,Orders!$L$6:$L$1005,"&lt;&gt;Cancelled"))</f>
        <v/>
      </c>
      <c r="H137" s="43">
        <f>IF(B137="","",IF(SUMIFS(Orders!$U$6:$U$1005,Orders!$C$6:$C$1005,B137,Orders!$V$6:$V$1005,1)=0,"",INT(SUMIFS(Orders!$U$6:$U$1005,Orders!$C$6:$C$1005,B137,Orders!$V$6:$V$1005,1))))</f>
        <v/>
      </c>
      <c r="I137" s="30">
        <f>IF(B137="","",IF(SUMIFS(Orders!$J$6:$J$1005,Orders!$C$6:$C$1005,B137)=0,"",SUMIFS(Orders!$J$6:$J$1005,Orders!$C$6:$C$1005,B137)))</f>
        <v/>
      </c>
      <c r="J137" s="1" t="n"/>
    </row>
    <row r="138">
      <c r="A138" s="1" t="n"/>
      <c r="B138" s="32" t="n"/>
      <c r="C138" s="33" t="n"/>
      <c r="D138" s="33" t="n"/>
      <c r="E138" s="33" t="n"/>
      <c r="F138" s="18">
        <f>IF(B138="","",COUNTIFS(Orders!$C$6:$C$1005,B138,Orders!$L$6:$L$1005,"&lt;&gt;Cancelled"))</f>
        <v/>
      </c>
      <c r="G138" s="22">
        <f>IF(B138="","",SUMIFS(Orders!$H$6:$H$1005,Orders!$C$6:$C$1005,B138,Orders!$L$6:$L$1005,"&lt;&gt;Cancelled"))</f>
        <v/>
      </c>
      <c r="H138" s="43">
        <f>IF(B138="","",IF(SUMIFS(Orders!$U$6:$U$1005,Orders!$C$6:$C$1005,B138,Orders!$V$6:$V$1005,1)=0,"",INT(SUMIFS(Orders!$U$6:$U$1005,Orders!$C$6:$C$1005,B138,Orders!$V$6:$V$1005,1))))</f>
        <v/>
      </c>
      <c r="I138" s="30">
        <f>IF(B138="","",IF(SUMIFS(Orders!$J$6:$J$1005,Orders!$C$6:$C$1005,B138)=0,"",SUMIFS(Orders!$J$6:$J$1005,Orders!$C$6:$C$1005,B138)))</f>
        <v/>
      </c>
      <c r="J138" s="1" t="n"/>
    </row>
    <row r="139">
      <c r="A139" s="1" t="n"/>
      <c r="B139" s="32" t="n"/>
      <c r="C139" s="33" t="n"/>
      <c r="D139" s="33" t="n"/>
      <c r="E139" s="33" t="n"/>
      <c r="F139" s="18">
        <f>IF(B139="","",COUNTIFS(Orders!$C$6:$C$1005,B139,Orders!$L$6:$L$1005,"&lt;&gt;Cancelled"))</f>
        <v/>
      </c>
      <c r="G139" s="22">
        <f>IF(B139="","",SUMIFS(Orders!$H$6:$H$1005,Orders!$C$6:$C$1005,B139,Orders!$L$6:$L$1005,"&lt;&gt;Cancelled"))</f>
        <v/>
      </c>
      <c r="H139" s="43">
        <f>IF(B139="","",IF(SUMIFS(Orders!$U$6:$U$1005,Orders!$C$6:$C$1005,B139,Orders!$V$6:$V$1005,1)=0,"",INT(SUMIFS(Orders!$U$6:$U$1005,Orders!$C$6:$C$1005,B139,Orders!$V$6:$V$1005,1))))</f>
        <v/>
      </c>
      <c r="I139" s="30">
        <f>IF(B139="","",IF(SUMIFS(Orders!$J$6:$J$1005,Orders!$C$6:$C$1005,B139)=0,"",SUMIFS(Orders!$J$6:$J$1005,Orders!$C$6:$C$1005,B139)))</f>
        <v/>
      </c>
      <c r="J139" s="1" t="n"/>
    </row>
    <row r="140">
      <c r="A140" s="1" t="n"/>
      <c r="B140" s="32" t="n"/>
      <c r="C140" s="33" t="n"/>
      <c r="D140" s="33" t="n"/>
      <c r="E140" s="33" t="n"/>
      <c r="F140" s="18">
        <f>IF(B140="","",COUNTIFS(Orders!$C$6:$C$1005,B140,Orders!$L$6:$L$1005,"&lt;&gt;Cancelled"))</f>
        <v/>
      </c>
      <c r="G140" s="22">
        <f>IF(B140="","",SUMIFS(Orders!$H$6:$H$1005,Orders!$C$6:$C$1005,B140,Orders!$L$6:$L$1005,"&lt;&gt;Cancelled"))</f>
        <v/>
      </c>
      <c r="H140" s="43">
        <f>IF(B140="","",IF(SUMIFS(Orders!$U$6:$U$1005,Orders!$C$6:$C$1005,B140,Orders!$V$6:$V$1005,1)=0,"",INT(SUMIFS(Orders!$U$6:$U$1005,Orders!$C$6:$C$1005,B140,Orders!$V$6:$V$1005,1))))</f>
        <v/>
      </c>
      <c r="I140" s="30">
        <f>IF(B140="","",IF(SUMIFS(Orders!$J$6:$J$1005,Orders!$C$6:$C$1005,B140)=0,"",SUMIFS(Orders!$J$6:$J$1005,Orders!$C$6:$C$1005,B140)))</f>
        <v/>
      </c>
      <c r="J140" s="1" t="n"/>
    </row>
    <row r="141">
      <c r="A141" s="1" t="n"/>
      <c r="B141" s="32" t="n"/>
      <c r="C141" s="33" t="n"/>
      <c r="D141" s="33" t="n"/>
      <c r="E141" s="33" t="n"/>
      <c r="F141" s="18">
        <f>IF(B141="","",COUNTIFS(Orders!$C$6:$C$1005,B141,Orders!$L$6:$L$1005,"&lt;&gt;Cancelled"))</f>
        <v/>
      </c>
      <c r="G141" s="22">
        <f>IF(B141="","",SUMIFS(Orders!$H$6:$H$1005,Orders!$C$6:$C$1005,B141,Orders!$L$6:$L$1005,"&lt;&gt;Cancelled"))</f>
        <v/>
      </c>
      <c r="H141" s="43">
        <f>IF(B141="","",IF(SUMIFS(Orders!$U$6:$U$1005,Orders!$C$6:$C$1005,B141,Orders!$V$6:$V$1005,1)=0,"",INT(SUMIFS(Orders!$U$6:$U$1005,Orders!$C$6:$C$1005,B141,Orders!$V$6:$V$1005,1))))</f>
        <v/>
      </c>
      <c r="I141" s="30">
        <f>IF(B141="","",IF(SUMIFS(Orders!$J$6:$J$1005,Orders!$C$6:$C$1005,B141)=0,"",SUMIFS(Orders!$J$6:$J$1005,Orders!$C$6:$C$1005,B141)))</f>
        <v/>
      </c>
      <c r="J141" s="1" t="n"/>
    </row>
    <row r="142">
      <c r="A142" s="1" t="n"/>
      <c r="B142" s="32" t="n"/>
      <c r="C142" s="33" t="n"/>
      <c r="D142" s="33" t="n"/>
      <c r="E142" s="33" t="n"/>
      <c r="F142" s="18">
        <f>IF(B142="","",COUNTIFS(Orders!$C$6:$C$1005,B142,Orders!$L$6:$L$1005,"&lt;&gt;Cancelled"))</f>
        <v/>
      </c>
      <c r="G142" s="22">
        <f>IF(B142="","",SUMIFS(Orders!$H$6:$H$1005,Orders!$C$6:$C$1005,B142,Orders!$L$6:$L$1005,"&lt;&gt;Cancelled"))</f>
        <v/>
      </c>
      <c r="H142" s="43">
        <f>IF(B142="","",IF(SUMIFS(Orders!$U$6:$U$1005,Orders!$C$6:$C$1005,B142,Orders!$V$6:$V$1005,1)=0,"",INT(SUMIFS(Orders!$U$6:$U$1005,Orders!$C$6:$C$1005,B142,Orders!$V$6:$V$1005,1))))</f>
        <v/>
      </c>
      <c r="I142" s="30">
        <f>IF(B142="","",IF(SUMIFS(Orders!$J$6:$J$1005,Orders!$C$6:$C$1005,B142)=0,"",SUMIFS(Orders!$J$6:$J$1005,Orders!$C$6:$C$1005,B142)))</f>
        <v/>
      </c>
      <c r="J142" s="1" t="n"/>
    </row>
    <row r="143">
      <c r="A143" s="1" t="n"/>
      <c r="B143" s="32" t="n"/>
      <c r="C143" s="33" t="n"/>
      <c r="D143" s="33" t="n"/>
      <c r="E143" s="33" t="n"/>
      <c r="F143" s="18">
        <f>IF(B143="","",COUNTIFS(Orders!$C$6:$C$1005,B143,Orders!$L$6:$L$1005,"&lt;&gt;Cancelled"))</f>
        <v/>
      </c>
      <c r="G143" s="22">
        <f>IF(B143="","",SUMIFS(Orders!$H$6:$H$1005,Orders!$C$6:$C$1005,B143,Orders!$L$6:$L$1005,"&lt;&gt;Cancelled"))</f>
        <v/>
      </c>
      <c r="H143" s="43">
        <f>IF(B143="","",IF(SUMIFS(Orders!$U$6:$U$1005,Orders!$C$6:$C$1005,B143,Orders!$V$6:$V$1005,1)=0,"",INT(SUMIFS(Orders!$U$6:$U$1005,Orders!$C$6:$C$1005,B143,Orders!$V$6:$V$1005,1))))</f>
        <v/>
      </c>
      <c r="I143" s="30">
        <f>IF(B143="","",IF(SUMIFS(Orders!$J$6:$J$1005,Orders!$C$6:$C$1005,B143)=0,"",SUMIFS(Orders!$J$6:$J$1005,Orders!$C$6:$C$1005,B143)))</f>
        <v/>
      </c>
      <c r="J143" s="1" t="n"/>
    </row>
    <row r="144">
      <c r="A144" s="1" t="n"/>
      <c r="B144" s="32" t="n"/>
      <c r="C144" s="33" t="n"/>
      <c r="D144" s="33" t="n"/>
      <c r="E144" s="33" t="n"/>
      <c r="F144" s="18">
        <f>IF(B144="","",COUNTIFS(Orders!$C$6:$C$1005,B144,Orders!$L$6:$L$1005,"&lt;&gt;Cancelled"))</f>
        <v/>
      </c>
      <c r="G144" s="22">
        <f>IF(B144="","",SUMIFS(Orders!$H$6:$H$1005,Orders!$C$6:$C$1005,B144,Orders!$L$6:$L$1005,"&lt;&gt;Cancelled"))</f>
        <v/>
      </c>
      <c r="H144" s="43">
        <f>IF(B144="","",IF(SUMIFS(Orders!$U$6:$U$1005,Orders!$C$6:$C$1005,B144,Orders!$V$6:$V$1005,1)=0,"",INT(SUMIFS(Orders!$U$6:$U$1005,Orders!$C$6:$C$1005,B144,Orders!$V$6:$V$1005,1))))</f>
        <v/>
      </c>
      <c r="I144" s="30">
        <f>IF(B144="","",IF(SUMIFS(Orders!$J$6:$J$1005,Orders!$C$6:$C$1005,B144)=0,"",SUMIFS(Orders!$J$6:$J$1005,Orders!$C$6:$C$1005,B144)))</f>
        <v/>
      </c>
      <c r="J144" s="1" t="n"/>
    </row>
    <row r="145">
      <c r="A145" s="1" t="n"/>
      <c r="B145" s="32" t="n"/>
      <c r="C145" s="33" t="n"/>
      <c r="D145" s="33" t="n"/>
      <c r="E145" s="33" t="n"/>
      <c r="F145" s="18">
        <f>IF(B145="","",COUNTIFS(Orders!$C$6:$C$1005,B145,Orders!$L$6:$L$1005,"&lt;&gt;Cancelled"))</f>
        <v/>
      </c>
      <c r="G145" s="22">
        <f>IF(B145="","",SUMIFS(Orders!$H$6:$H$1005,Orders!$C$6:$C$1005,B145,Orders!$L$6:$L$1005,"&lt;&gt;Cancelled"))</f>
        <v/>
      </c>
      <c r="H145" s="43">
        <f>IF(B145="","",IF(SUMIFS(Orders!$U$6:$U$1005,Orders!$C$6:$C$1005,B145,Orders!$V$6:$V$1005,1)=0,"",INT(SUMIFS(Orders!$U$6:$U$1005,Orders!$C$6:$C$1005,B145,Orders!$V$6:$V$1005,1))))</f>
        <v/>
      </c>
      <c r="I145" s="30">
        <f>IF(B145="","",IF(SUMIFS(Orders!$J$6:$J$1005,Orders!$C$6:$C$1005,B145)=0,"",SUMIFS(Orders!$J$6:$J$1005,Orders!$C$6:$C$1005,B145)))</f>
        <v/>
      </c>
      <c r="J145" s="1" t="n"/>
    </row>
    <row r="146">
      <c r="A146" s="1" t="n"/>
      <c r="B146" s="32" t="n"/>
      <c r="C146" s="33" t="n"/>
      <c r="D146" s="33" t="n"/>
      <c r="E146" s="33" t="n"/>
      <c r="F146" s="18">
        <f>IF(B146="","",COUNTIFS(Orders!$C$6:$C$1005,B146,Orders!$L$6:$L$1005,"&lt;&gt;Cancelled"))</f>
        <v/>
      </c>
      <c r="G146" s="22">
        <f>IF(B146="","",SUMIFS(Orders!$H$6:$H$1005,Orders!$C$6:$C$1005,B146,Orders!$L$6:$L$1005,"&lt;&gt;Cancelled"))</f>
        <v/>
      </c>
      <c r="H146" s="43">
        <f>IF(B146="","",IF(SUMIFS(Orders!$U$6:$U$1005,Orders!$C$6:$C$1005,B146,Orders!$V$6:$V$1005,1)=0,"",INT(SUMIFS(Orders!$U$6:$U$1005,Orders!$C$6:$C$1005,B146,Orders!$V$6:$V$1005,1))))</f>
        <v/>
      </c>
      <c r="I146" s="30">
        <f>IF(B146="","",IF(SUMIFS(Orders!$J$6:$J$1005,Orders!$C$6:$C$1005,B146)=0,"",SUMIFS(Orders!$J$6:$J$1005,Orders!$C$6:$C$1005,B146)))</f>
        <v/>
      </c>
      <c r="J146" s="1" t="n"/>
    </row>
    <row r="147">
      <c r="A147" s="1" t="n"/>
      <c r="B147" s="32" t="n"/>
      <c r="C147" s="33" t="n"/>
      <c r="D147" s="33" t="n"/>
      <c r="E147" s="33" t="n"/>
      <c r="F147" s="18">
        <f>IF(B147="","",COUNTIFS(Orders!$C$6:$C$1005,B147,Orders!$L$6:$L$1005,"&lt;&gt;Cancelled"))</f>
        <v/>
      </c>
      <c r="G147" s="22">
        <f>IF(B147="","",SUMIFS(Orders!$H$6:$H$1005,Orders!$C$6:$C$1005,B147,Orders!$L$6:$L$1005,"&lt;&gt;Cancelled"))</f>
        <v/>
      </c>
      <c r="H147" s="43">
        <f>IF(B147="","",IF(SUMIFS(Orders!$U$6:$U$1005,Orders!$C$6:$C$1005,B147,Orders!$V$6:$V$1005,1)=0,"",INT(SUMIFS(Orders!$U$6:$U$1005,Orders!$C$6:$C$1005,B147,Orders!$V$6:$V$1005,1))))</f>
        <v/>
      </c>
      <c r="I147" s="30">
        <f>IF(B147="","",IF(SUMIFS(Orders!$J$6:$J$1005,Orders!$C$6:$C$1005,B147)=0,"",SUMIFS(Orders!$J$6:$J$1005,Orders!$C$6:$C$1005,B147)))</f>
        <v/>
      </c>
      <c r="J147" s="1" t="n"/>
    </row>
    <row r="148">
      <c r="A148" s="1" t="n"/>
      <c r="B148" s="32" t="n"/>
      <c r="C148" s="33" t="n"/>
      <c r="D148" s="33" t="n"/>
      <c r="E148" s="33" t="n"/>
      <c r="F148" s="18">
        <f>IF(B148="","",COUNTIFS(Orders!$C$6:$C$1005,B148,Orders!$L$6:$L$1005,"&lt;&gt;Cancelled"))</f>
        <v/>
      </c>
      <c r="G148" s="22">
        <f>IF(B148="","",SUMIFS(Orders!$H$6:$H$1005,Orders!$C$6:$C$1005,B148,Orders!$L$6:$L$1005,"&lt;&gt;Cancelled"))</f>
        <v/>
      </c>
      <c r="H148" s="43">
        <f>IF(B148="","",IF(SUMIFS(Orders!$U$6:$U$1005,Orders!$C$6:$C$1005,B148,Orders!$V$6:$V$1005,1)=0,"",INT(SUMIFS(Orders!$U$6:$U$1005,Orders!$C$6:$C$1005,B148,Orders!$V$6:$V$1005,1))))</f>
        <v/>
      </c>
      <c r="I148" s="30">
        <f>IF(B148="","",IF(SUMIFS(Orders!$J$6:$J$1005,Orders!$C$6:$C$1005,B148)=0,"",SUMIFS(Orders!$J$6:$J$1005,Orders!$C$6:$C$1005,B148)))</f>
        <v/>
      </c>
      <c r="J148" s="1" t="n"/>
    </row>
    <row r="149">
      <c r="A149" s="1" t="n"/>
      <c r="B149" s="32" t="n"/>
      <c r="C149" s="33" t="n"/>
      <c r="D149" s="33" t="n"/>
      <c r="E149" s="33" t="n"/>
      <c r="F149" s="18">
        <f>IF(B149="","",COUNTIFS(Orders!$C$6:$C$1005,B149,Orders!$L$6:$L$1005,"&lt;&gt;Cancelled"))</f>
        <v/>
      </c>
      <c r="G149" s="22">
        <f>IF(B149="","",SUMIFS(Orders!$H$6:$H$1005,Orders!$C$6:$C$1005,B149,Orders!$L$6:$L$1005,"&lt;&gt;Cancelled"))</f>
        <v/>
      </c>
      <c r="H149" s="43">
        <f>IF(B149="","",IF(SUMIFS(Orders!$U$6:$U$1005,Orders!$C$6:$C$1005,B149,Orders!$V$6:$V$1005,1)=0,"",INT(SUMIFS(Orders!$U$6:$U$1005,Orders!$C$6:$C$1005,B149,Orders!$V$6:$V$1005,1))))</f>
        <v/>
      </c>
      <c r="I149" s="30">
        <f>IF(B149="","",IF(SUMIFS(Orders!$J$6:$J$1005,Orders!$C$6:$C$1005,B149)=0,"",SUMIFS(Orders!$J$6:$J$1005,Orders!$C$6:$C$1005,B149)))</f>
        <v/>
      </c>
      <c r="J149" s="1" t="n"/>
    </row>
    <row r="150">
      <c r="A150" s="1" t="n"/>
      <c r="B150" s="32" t="n"/>
      <c r="C150" s="33" t="n"/>
      <c r="D150" s="33" t="n"/>
      <c r="E150" s="33" t="n"/>
      <c r="F150" s="18">
        <f>IF(B150="","",COUNTIFS(Orders!$C$6:$C$1005,B150,Orders!$L$6:$L$1005,"&lt;&gt;Cancelled"))</f>
        <v/>
      </c>
      <c r="G150" s="22">
        <f>IF(B150="","",SUMIFS(Orders!$H$6:$H$1005,Orders!$C$6:$C$1005,B150,Orders!$L$6:$L$1005,"&lt;&gt;Cancelled"))</f>
        <v/>
      </c>
      <c r="H150" s="43">
        <f>IF(B150="","",IF(SUMIFS(Orders!$U$6:$U$1005,Orders!$C$6:$C$1005,B150,Orders!$V$6:$V$1005,1)=0,"",INT(SUMIFS(Orders!$U$6:$U$1005,Orders!$C$6:$C$1005,B150,Orders!$V$6:$V$1005,1))))</f>
        <v/>
      </c>
      <c r="I150" s="30">
        <f>IF(B150="","",IF(SUMIFS(Orders!$J$6:$J$1005,Orders!$C$6:$C$1005,B150)=0,"",SUMIFS(Orders!$J$6:$J$1005,Orders!$C$6:$C$1005,B150)))</f>
        <v/>
      </c>
      <c r="J150" s="1" t="n"/>
    </row>
    <row r="151">
      <c r="A151" s="1" t="n"/>
      <c r="B151" s="32" t="n"/>
      <c r="C151" s="33" t="n"/>
      <c r="D151" s="33" t="n"/>
      <c r="E151" s="33" t="n"/>
      <c r="F151" s="18">
        <f>IF(B151="","",COUNTIFS(Orders!$C$6:$C$1005,B151,Orders!$L$6:$L$1005,"&lt;&gt;Cancelled"))</f>
        <v/>
      </c>
      <c r="G151" s="22">
        <f>IF(B151="","",SUMIFS(Orders!$H$6:$H$1005,Orders!$C$6:$C$1005,B151,Orders!$L$6:$L$1005,"&lt;&gt;Cancelled"))</f>
        <v/>
      </c>
      <c r="H151" s="43">
        <f>IF(B151="","",IF(SUMIFS(Orders!$U$6:$U$1005,Orders!$C$6:$C$1005,B151,Orders!$V$6:$V$1005,1)=0,"",INT(SUMIFS(Orders!$U$6:$U$1005,Orders!$C$6:$C$1005,B151,Orders!$V$6:$V$1005,1))))</f>
        <v/>
      </c>
      <c r="I151" s="30">
        <f>IF(B151="","",IF(SUMIFS(Orders!$J$6:$J$1005,Orders!$C$6:$C$1005,B151)=0,"",SUMIFS(Orders!$J$6:$J$1005,Orders!$C$6:$C$1005,B151)))</f>
        <v/>
      </c>
      <c r="J151" s="1" t="n"/>
    </row>
    <row r="152">
      <c r="A152" s="1" t="n"/>
      <c r="B152" s="32" t="n"/>
      <c r="C152" s="33" t="n"/>
      <c r="D152" s="33" t="n"/>
      <c r="E152" s="33" t="n"/>
      <c r="F152" s="18">
        <f>IF(B152="","",COUNTIFS(Orders!$C$6:$C$1005,B152,Orders!$L$6:$L$1005,"&lt;&gt;Cancelled"))</f>
        <v/>
      </c>
      <c r="G152" s="22">
        <f>IF(B152="","",SUMIFS(Orders!$H$6:$H$1005,Orders!$C$6:$C$1005,B152,Orders!$L$6:$L$1005,"&lt;&gt;Cancelled"))</f>
        <v/>
      </c>
      <c r="H152" s="43">
        <f>IF(B152="","",IF(SUMIFS(Orders!$U$6:$U$1005,Orders!$C$6:$C$1005,B152,Orders!$V$6:$V$1005,1)=0,"",INT(SUMIFS(Orders!$U$6:$U$1005,Orders!$C$6:$C$1005,B152,Orders!$V$6:$V$1005,1))))</f>
        <v/>
      </c>
      <c r="I152" s="30">
        <f>IF(B152="","",IF(SUMIFS(Orders!$J$6:$J$1005,Orders!$C$6:$C$1005,B152)=0,"",SUMIFS(Orders!$J$6:$J$1005,Orders!$C$6:$C$1005,B152)))</f>
        <v/>
      </c>
      <c r="J152" s="1" t="n"/>
    </row>
    <row r="153">
      <c r="A153" s="1" t="n"/>
      <c r="B153" s="32" t="n"/>
      <c r="C153" s="33" t="n"/>
      <c r="D153" s="33" t="n"/>
      <c r="E153" s="33" t="n"/>
      <c r="F153" s="18">
        <f>IF(B153="","",COUNTIFS(Orders!$C$6:$C$1005,B153,Orders!$L$6:$L$1005,"&lt;&gt;Cancelled"))</f>
        <v/>
      </c>
      <c r="G153" s="22">
        <f>IF(B153="","",SUMIFS(Orders!$H$6:$H$1005,Orders!$C$6:$C$1005,B153,Orders!$L$6:$L$1005,"&lt;&gt;Cancelled"))</f>
        <v/>
      </c>
      <c r="H153" s="43">
        <f>IF(B153="","",IF(SUMIFS(Orders!$U$6:$U$1005,Orders!$C$6:$C$1005,B153,Orders!$V$6:$V$1005,1)=0,"",INT(SUMIFS(Orders!$U$6:$U$1005,Orders!$C$6:$C$1005,B153,Orders!$V$6:$V$1005,1))))</f>
        <v/>
      </c>
      <c r="I153" s="30">
        <f>IF(B153="","",IF(SUMIFS(Orders!$J$6:$J$1005,Orders!$C$6:$C$1005,B153)=0,"",SUMIFS(Orders!$J$6:$J$1005,Orders!$C$6:$C$1005,B153)))</f>
        <v/>
      </c>
      <c r="J153" s="1" t="n"/>
    </row>
    <row r="154">
      <c r="A154" s="1" t="n"/>
      <c r="B154" s="32" t="n"/>
      <c r="C154" s="33" t="n"/>
      <c r="D154" s="33" t="n"/>
      <c r="E154" s="33" t="n"/>
      <c r="F154" s="18">
        <f>IF(B154="","",COUNTIFS(Orders!$C$6:$C$1005,B154,Orders!$L$6:$L$1005,"&lt;&gt;Cancelled"))</f>
        <v/>
      </c>
      <c r="G154" s="22">
        <f>IF(B154="","",SUMIFS(Orders!$H$6:$H$1005,Orders!$C$6:$C$1005,B154,Orders!$L$6:$L$1005,"&lt;&gt;Cancelled"))</f>
        <v/>
      </c>
      <c r="H154" s="43">
        <f>IF(B154="","",IF(SUMIFS(Orders!$U$6:$U$1005,Orders!$C$6:$C$1005,B154,Orders!$V$6:$V$1005,1)=0,"",INT(SUMIFS(Orders!$U$6:$U$1005,Orders!$C$6:$C$1005,B154,Orders!$V$6:$V$1005,1))))</f>
        <v/>
      </c>
      <c r="I154" s="30">
        <f>IF(B154="","",IF(SUMIFS(Orders!$J$6:$J$1005,Orders!$C$6:$C$1005,B154)=0,"",SUMIFS(Orders!$J$6:$J$1005,Orders!$C$6:$C$1005,B154)))</f>
        <v/>
      </c>
      <c r="J154" s="1" t="n"/>
    </row>
    <row r="155">
      <c r="A155" s="1" t="n"/>
      <c r="B155" s="32" t="n"/>
      <c r="C155" s="33" t="n"/>
      <c r="D155" s="33" t="n"/>
      <c r="E155" s="33" t="n"/>
      <c r="F155" s="18">
        <f>IF(B155="","",COUNTIFS(Orders!$C$6:$C$1005,B155,Orders!$L$6:$L$1005,"&lt;&gt;Cancelled"))</f>
        <v/>
      </c>
      <c r="G155" s="22">
        <f>IF(B155="","",SUMIFS(Orders!$H$6:$H$1005,Orders!$C$6:$C$1005,B155,Orders!$L$6:$L$1005,"&lt;&gt;Cancelled"))</f>
        <v/>
      </c>
      <c r="H155" s="43">
        <f>IF(B155="","",IF(SUMIFS(Orders!$U$6:$U$1005,Orders!$C$6:$C$1005,B155,Orders!$V$6:$V$1005,1)=0,"",INT(SUMIFS(Orders!$U$6:$U$1005,Orders!$C$6:$C$1005,B155,Orders!$V$6:$V$1005,1))))</f>
        <v/>
      </c>
      <c r="I155" s="30">
        <f>IF(B155="","",IF(SUMIFS(Orders!$J$6:$J$1005,Orders!$C$6:$C$1005,B155)=0,"",SUMIFS(Orders!$J$6:$J$1005,Orders!$C$6:$C$1005,B155)))</f>
        <v/>
      </c>
      <c r="J155" s="1" t="n"/>
    </row>
    <row r="156">
      <c r="A156" s="1" t="n"/>
      <c r="B156" s="32" t="n"/>
      <c r="C156" s="33" t="n"/>
      <c r="D156" s="33" t="n"/>
      <c r="E156" s="33" t="n"/>
      <c r="F156" s="18">
        <f>IF(B156="","",COUNTIFS(Orders!$C$6:$C$1005,B156,Orders!$L$6:$L$1005,"&lt;&gt;Cancelled"))</f>
        <v/>
      </c>
      <c r="G156" s="22">
        <f>IF(B156="","",SUMIFS(Orders!$H$6:$H$1005,Orders!$C$6:$C$1005,B156,Orders!$L$6:$L$1005,"&lt;&gt;Cancelled"))</f>
        <v/>
      </c>
      <c r="H156" s="43">
        <f>IF(B156="","",IF(SUMIFS(Orders!$U$6:$U$1005,Orders!$C$6:$C$1005,B156,Orders!$V$6:$V$1005,1)=0,"",INT(SUMIFS(Orders!$U$6:$U$1005,Orders!$C$6:$C$1005,B156,Orders!$V$6:$V$1005,1))))</f>
        <v/>
      </c>
      <c r="I156" s="30">
        <f>IF(B156="","",IF(SUMIFS(Orders!$J$6:$J$1005,Orders!$C$6:$C$1005,B156)=0,"",SUMIFS(Orders!$J$6:$J$1005,Orders!$C$6:$C$1005,B156)))</f>
        <v/>
      </c>
      <c r="J156" s="1" t="n"/>
    </row>
    <row r="157">
      <c r="A157" s="1" t="n"/>
      <c r="B157" s="32" t="n"/>
      <c r="C157" s="33" t="n"/>
      <c r="D157" s="33" t="n"/>
      <c r="E157" s="33" t="n"/>
      <c r="F157" s="18">
        <f>IF(B157="","",COUNTIFS(Orders!$C$6:$C$1005,B157,Orders!$L$6:$L$1005,"&lt;&gt;Cancelled"))</f>
        <v/>
      </c>
      <c r="G157" s="22">
        <f>IF(B157="","",SUMIFS(Orders!$H$6:$H$1005,Orders!$C$6:$C$1005,B157,Orders!$L$6:$L$1005,"&lt;&gt;Cancelled"))</f>
        <v/>
      </c>
      <c r="H157" s="43">
        <f>IF(B157="","",IF(SUMIFS(Orders!$U$6:$U$1005,Orders!$C$6:$C$1005,B157,Orders!$V$6:$V$1005,1)=0,"",INT(SUMIFS(Orders!$U$6:$U$1005,Orders!$C$6:$C$1005,B157,Orders!$V$6:$V$1005,1))))</f>
        <v/>
      </c>
      <c r="I157" s="30">
        <f>IF(B157="","",IF(SUMIFS(Orders!$J$6:$J$1005,Orders!$C$6:$C$1005,B157)=0,"",SUMIFS(Orders!$J$6:$J$1005,Orders!$C$6:$C$1005,B157)))</f>
        <v/>
      </c>
      <c r="J157" s="1" t="n"/>
    </row>
    <row r="158">
      <c r="A158" s="1" t="n"/>
      <c r="B158" s="32" t="n"/>
      <c r="C158" s="33" t="n"/>
      <c r="D158" s="33" t="n"/>
      <c r="E158" s="33" t="n"/>
      <c r="F158" s="18">
        <f>IF(B158="","",COUNTIFS(Orders!$C$6:$C$1005,B158,Orders!$L$6:$L$1005,"&lt;&gt;Cancelled"))</f>
        <v/>
      </c>
      <c r="G158" s="22">
        <f>IF(B158="","",SUMIFS(Orders!$H$6:$H$1005,Orders!$C$6:$C$1005,B158,Orders!$L$6:$L$1005,"&lt;&gt;Cancelled"))</f>
        <v/>
      </c>
      <c r="H158" s="43">
        <f>IF(B158="","",IF(SUMIFS(Orders!$U$6:$U$1005,Orders!$C$6:$C$1005,B158,Orders!$V$6:$V$1005,1)=0,"",INT(SUMIFS(Orders!$U$6:$U$1005,Orders!$C$6:$C$1005,B158,Orders!$V$6:$V$1005,1))))</f>
        <v/>
      </c>
      <c r="I158" s="30">
        <f>IF(B158="","",IF(SUMIFS(Orders!$J$6:$J$1005,Orders!$C$6:$C$1005,B158)=0,"",SUMIFS(Orders!$J$6:$J$1005,Orders!$C$6:$C$1005,B158)))</f>
        <v/>
      </c>
      <c r="J158" s="1" t="n"/>
    </row>
    <row r="159">
      <c r="A159" s="1" t="n"/>
      <c r="B159" s="32" t="n"/>
      <c r="C159" s="33" t="n"/>
      <c r="D159" s="33" t="n"/>
      <c r="E159" s="33" t="n"/>
      <c r="F159" s="18">
        <f>IF(B159="","",COUNTIFS(Orders!$C$6:$C$1005,B159,Orders!$L$6:$L$1005,"&lt;&gt;Cancelled"))</f>
        <v/>
      </c>
      <c r="G159" s="22">
        <f>IF(B159="","",SUMIFS(Orders!$H$6:$H$1005,Orders!$C$6:$C$1005,B159,Orders!$L$6:$L$1005,"&lt;&gt;Cancelled"))</f>
        <v/>
      </c>
      <c r="H159" s="43">
        <f>IF(B159="","",IF(SUMIFS(Orders!$U$6:$U$1005,Orders!$C$6:$C$1005,B159,Orders!$V$6:$V$1005,1)=0,"",INT(SUMIFS(Orders!$U$6:$U$1005,Orders!$C$6:$C$1005,B159,Orders!$V$6:$V$1005,1))))</f>
        <v/>
      </c>
      <c r="I159" s="30">
        <f>IF(B159="","",IF(SUMIFS(Orders!$J$6:$J$1005,Orders!$C$6:$C$1005,B159)=0,"",SUMIFS(Orders!$J$6:$J$1005,Orders!$C$6:$C$1005,B159)))</f>
        <v/>
      </c>
      <c r="J159" s="1" t="n"/>
    </row>
    <row r="160">
      <c r="A160" s="1" t="n"/>
      <c r="B160" s="32" t="n"/>
      <c r="C160" s="33" t="n"/>
      <c r="D160" s="33" t="n"/>
      <c r="E160" s="33" t="n"/>
      <c r="F160" s="18">
        <f>IF(B160="","",COUNTIFS(Orders!$C$6:$C$1005,B160,Orders!$L$6:$L$1005,"&lt;&gt;Cancelled"))</f>
        <v/>
      </c>
      <c r="G160" s="22">
        <f>IF(B160="","",SUMIFS(Orders!$H$6:$H$1005,Orders!$C$6:$C$1005,B160,Orders!$L$6:$L$1005,"&lt;&gt;Cancelled"))</f>
        <v/>
      </c>
      <c r="H160" s="43">
        <f>IF(B160="","",IF(SUMIFS(Orders!$U$6:$U$1005,Orders!$C$6:$C$1005,B160,Orders!$V$6:$V$1005,1)=0,"",INT(SUMIFS(Orders!$U$6:$U$1005,Orders!$C$6:$C$1005,B160,Orders!$V$6:$V$1005,1))))</f>
        <v/>
      </c>
      <c r="I160" s="30">
        <f>IF(B160="","",IF(SUMIFS(Orders!$J$6:$J$1005,Orders!$C$6:$C$1005,B160)=0,"",SUMIFS(Orders!$J$6:$J$1005,Orders!$C$6:$C$1005,B160)))</f>
        <v/>
      </c>
      <c r="J160" s="1" t="n"/>
    </row>
    <row r="161">
      <c r="A161" s="1" t="n"/>
      <c r="B161" s="32" t="n"/>
      <c r="C161" s="33" t="n"/>
      <c r="D161" s="33" t="n"/>
      <c r="E161" s="33" t="n"/>
      <c r="F161" s="18">
        <f>IF(B161="","",COUNTIFS(Orders!$C$6:$C$1005,B161,Orders!$L$6:$L$1005,"&lt;&gt;Cancelled"))</f>
        <v/>
      </c>
      <c r="G161" s="22">
        <f>IF(B161="","",SUMIFS(Orders!$H$6:$H$1005,Orders!$C$6:$C$1005,B161,Orders!$L$6:$L$1005,"&lt;&gt;Cancelled"))</f>
        <v/>
      </c>
      <c r="H161" s="43">
        <f>IF(B161="","",IF(SUMIFS(Orders!$U$6:$U$1005,Orders!$C$6:$C$1005,B161,Orders!$V$6:$V$1005,1)=0,"",INT(SUMIFS(Orders!$U$6:$U$1005,Orders!$C$6:$C$1005,B161,Orders!$V$6:$V$1005,1))))</f>
        <v/>
      </c>
      <c r="I161" s="30">
        <f>IF(B161="","",IF(SUMIFS(Orders!$J$6:$J$1005,Orders!$C$6:$C$1005,B161)=0,"",SUMIFS(Orders!$J$6:$J$1005,Orders!$C$6:$C$1005,B161)))</f>
        <v/>
      </c>
      <c r="J161" s="1" t="n"/>
    </row>
    <row r="162">
      <c r="A162" s="1" t="n"/>
      <c r="B162" s="32" t="n"/>
      <c r="C162" s="33" t="n"/>
      <c r="D162" s="33" t="n"/>
      <c r="E162" s="33" t="n"/>
      <c r="F162" s="18">
        <f>IF(B162="","",COUNTIFS(Orders!$C$6:$C$1005,B162,Orders!$L$6:$L$1005,"&lt;&gt;Cancelled"))</f>
        <v/>
      </c>
      <c r="G162" s="22">
        <f>IF(B162="","",SUMIFS(Orders!$H$6:$H$1005,Orders!$C$6:$C$1005,B162,Orders!$L$6:$L$1005,"&lt;&gt;Cancelled"))</f>
        <v/>
      </c>
      <c r="H162" s="43">
        <f>IF(B162="","",IF(SUMIFS(Orders!$U$6:$U$1005,Orders!$C$6:$C$1005,B162,Orders!$V$6:$V$1005,1)=0,"",INT(SUMIFS(Orders!$U$6:$U$1005,Orders!$C$6:$C$1005,B162,Orders!$V$6:$V$1005,1))))</f>
        <v/>
      </c>
      <c r="I162" s="30">
        <f>IF(B162="","",IF(SUMIFS(Orders!$J$6:$J$1005,Orders!$C$6:$C$1005,B162)=0,"",SUMIFS(Orders!$J$6:$J$1005,Orders!$C$6:$C$1005,B162)))</f>
        <v/>
      </c>
      <c r="J162" s="1" t="n"/>
    </row>
    <row r="163">
      <c r="A163" s="1" t="n"/>
      <c r="B163" s="32" t="n"/>
      <c r="C163" s="33" t="n"/>
      <c r="D163" s="33" t="n"/>
      <c r="E163" s="33" t="n"/>
      <c r="F163" s="18">
        <f>IF(B163="","",COUNTIFS(Orders!$C$6:$C$1005,B163,Orders!$L$6:$L$1005,"&lt;&gt;Cancelled"))</f>
        <v/>
      </c>
      <c r="G163" s="22">
        <f>IF(B163="","",SUMIFS(Orders!$H$6:$H$1005,Orders!$C$6:$C$1005,B163,Orders!$L$6:$L$1005,"&lt;&gt;Cancelled"))</f>
        <v/>
      </c>
      <c r="H163" s="43">
        <f>IF(B163="","",IF(SUMIFS(Orders!$U$6:$U$1005,Orders!$C$6:$C$1005,B163,Orders!$V$6:$V$1005,1)=0,"",INT(SUMIFS(Orders!$U$6:$U$1005,Orders!$C$6:$C$1005,B163,Orders!$V$6:$V$1005,1))))</f>
        <v/>
      </c>
      <c r="I163" s="30">
        <f>IF(B163="","",IF(SUMIFS(Orders!$J$6:$J$1005,Orders!$C$6:$C$1005,B163)=0,"",SUMIFS(Orders!$J$6:$J$1005,Orders!$C$6:$C$1005,B163)))</f>
        <v/>
      </c>
      <c r="J163" s="1" t="n"/>
    </row>
    <row r="164">
      <c r="A164" s="1" t="n"/>
      <c r="B164" s="32" t="n"/>
      <c r="C164" s="33" t="n"/>
      <c r="D164" s="33" t="n"/>
      <c r="E164" s="33" t="n"/>
      <c r="F164" s="18">
        <f>IF(B164="","",COUNTIFS(Orders!$C$6:$C$1005,B164,Orders!$L$6:$L$1005,"&lt;&gt;Cancelled"))</f>
        <v/>
      </c>
      <c r="G164" s="22">
        <f>IF(B164="","",SUMIFS(Orders!$H$6:$H$1005,Orders!$C$6:$C$1005,B164,Orders!$L$6:$L$1005,"&lt;&gt;Cancelled"))</f>
        <v/>
      </c>
      <c r="H164" s="43">
        <f>IF(B164="","",IF(SUMIFS(Orders!$U$6:$U$1005,Orders!$C$6:$C$1005,B164,Orders!$V$6:$V$1005,1)=0,"",INT(SUMIFS(Orders!$U$6:$U$1005,Orders!$C$6:$C$1005,B164,Orders!$V$6:$V$1005,1))))</f>
        <v/>
      </c>
      <c r="I164" s="30">
        <f>IF(B164="","",IF(SUMIFS(Orders!$J$6:$J$1005,Orders!$C$6:$C$1005,B164)=0,"",SUMIFS(Orders!$J$6:$J$1005,Orders!$C$6:$C$1005,B164)))</f>
        <v/>
      </c>
      <c r="J164" s="1" t="n"/>
    </row>
    <row r="165">
      <c r="A165" s="1" t="n"/>
      <c r="B165" s="32" t="n"/>
      <c r="C165" s="33" t="n"/>
      <c r="D165" s="33" t="n"/>
      <c r="E165" s="33" t="n"/>
      <c r="F165" s="18">
        <f>IF(B165="","",COUNTIFS(Orders!$C$6:$C$1005,B165,Orders!$L$6:$L$1005,"&lt;&gt;Cancelled"))</f>
        <v/>
      </c>
      <c r="G165" s="22">
        <f>IF(B165="","",SUMIFS(Orders!$H$6:$H$1005,Orders!$C$6:$C$1005,B165,Orders!$L$6:$L$1005,"&lt;&gt;Cancelled"))</f>
        <v/>
      </c>
      <c r="H165" s="43">
        <f>IF(B165="","",IF(SUMIFS(Orders!$U$6:$U$1005,Orders!$C$6:$C$1005,B165,Orders!$V$6:$V$1005,1)=0,"",INT(SUMIFS(Orders!$U$6:$U$1005,Orders!$C$6:$C$1005,B165,Orders!$V$6:$V$1005,1))))</f>
        <v/>
      </c>
      <c r="I165" s="30">
        <f>IF(B165="","",IF(SUMIFS(Orders!$J$6:$J$1005,Orders!$C$6:$C$1005,B165)=0,"",SUMIFS(Orders!$J$6:$J$1005,Orders!$C$6:$C$1005,B165)))</f>
        <v/>
      </c>
      <c r="J165" s="1" t="n"/>
    </row>
    <row r="166">
      <c r="A166" s="1" t="n"/>
      <c r="B166" s="32" t="n"/>
      <c r="C166" s="33" t="n"/>
      <c r="D166" s="33" t="n"/>
      <c r="E166" s="33" t="n"/>
      <c r="F166" s="18">
        <f>IF(B166="","",COUNTIFS(Orders!$C$6:$C$1005,B166,Orders!$L$6:$L$1005,"&lt;&gt;Cancelled"))</f>
        <v/>
      </c>
      <c r="G166" s="22">
        <f>IF(B166="","",SUMIFS(Orders!$H$6:$H$1005,Orders!$C$6:$C$1005,B166,Orders!$L$6:$L$1005,"&lt;&gt;Cancelled"))</f>
        <v/>
      </c>
      <c r="H166" s="43">
        <f>IF(B166="","",IF(SUMIFS(Orders!$U$6:$U$1005,Orders!$C$6:$C$1005,B166,Orders!$V$6:$V$1005,1)=0,"",INT(SUMIFS(Orders!$U$6:$U$1005,Orders!$C$6:$C$1005,B166,Orders!$V$6:$V$1005,1))))</f>
        <v/>
      </c>
      <c r="I166" s="30">
        <f>IF(B166="","",IF(SUMIFS(Orders!$J$6:$J$1005,Orders!$C$6:$C$1005,B166)=0,"",SUMIFS(Orders!$J$6:$J$1005,Orders!$C$6:$C$1005,B166)))</f>
        <v/>
      </c>
      <c r="J166" s="1" t="n"/>
    </row>
    <row r="167">
      <c r="A167" s="1" t="n"/>
      <c r="B167" s="32" t="n"/>
      <c r="C167" s="33" t="n"/>
      <c r="D167" s="33" t="n"/>
      <c r="E167" s="33" t="n"/>
      <c r="F167" s="18">
        <f>IF(B167="","",COUNTIFS(Orders!$C$6:$C$1005,B167,Orders!$L$6:$L$1005,"&lt;&gt;Cancelled"))</f>
        <v/>
      </c>
      <c r="G167" s="22">
        <f>IF(B167="","",SUMIFS(Orders!$H$6:$H$1005,Orders!$C$6:$C$1005,B167,Orders!$L$6:$L$1005,"&lt;&gt;Cancelled"))</f>
        <v/>
      </c>
      <c r="H167" s="43">
        <f>IF(B167="","",IF(SUMIFS(Orders!$U$6:$U$1005,Orders!$C$6:$C$1005,B167,Orders!$V$6:$V$1005,1)=0,"",INT(SUMIFS(Orders!$U$6:$U$1005,Orders!$C$6:$C$1005,B167,Orders!$V$6:$V$1005,1))))</f>
        <v/>
      </c>
      <c r="I167" s="30">
        <f>IF(B167="","",IF(SUMIFS(Orders!$J$6:$J$1005,Orders!$C$6:$C$1005,B167)=0,"",SUMIFS(Orders!$J$6:$J$1005,Orders!$C$6:$C$1005,B167)))</f>
        <v/>
      </c>
      <c r="J167" s="1" t="n"/>
    </row>
    <row r="168">
      <c r="A168" s="1" t="n"/>
      <c r="B168" s="32" t="n"/>
      <c r="C168" s="33" t="n"/>
      <c r="D168" s="33" t="n"/>
      <c r="E168" s="33" t="n"/>
      <c r="F168" s="18">
        <f>IF(B168="","",COUNTIFS(Orders!$C$6:$C$1005,B168,Orders!$L$6:$L$1005,"&lt;&gt;Cancelled"))</f>
        <v/>
      </c>
      <c r="G168" s="22">
        <f>IF(B168="","",SUMIFS(Orders!$H$6:$H$1005,Orders!$C$6:$C$1005,B168,Orders!$L$6:$L$1005,"&lt;&gt;Cancelled"))</f>
        <v/>
      </c>
      <c r="H168" s="43">
        <f>IF(B168="","",IF(SUMIFS(Orders!$U$6:$U$1005,Orders!$C$6:$C$1005,B168,Orders!$V$6:$V$1005,1)=0,"",INT(SUMIFS(Orders!$U$6:$U$1005,Orders!$C$6:$C$1005,B168,Orders!$V$6:$V$1005,1))))</f>
        <v/>
      </c>
      <c r="I168" s="30">
        <f>IF(B168="","",IF(SUMIFS(Orders!$J$6:$J$1005,Orders!$C$6:$C$1005,B168)=0,"",SUMIFS(Orders!$J$6:$J$1005,Orders!$C$6:$C$1005,B168)))</f>
        <v/>
      </c>
      <c r="J168" s="1" t="n"/>
    </row>
    <row r="169">
      <c r="A169" s="1" t="n"/>
      <c r="B169" s="32" t="n"/>
      <c r="C169" s="33" t="n"/>
      <c r="D169" s="33" t="n"/>
      <c r="E169" s="33" t="n"/>
      <c r="F169" s="18">
        <f>IF(B169="","",COUNTIFS(Orders!$C$6:$C$1005,B169,Orders!$L$6:$L$1005,"&lt;&gt;Cancelled"))</f>
        <v/>
      </c>
      <c r="G169" s="22">
        <f>IF(B169="","",SUMIFS(Orders!$H$6:$H$1005,Orders!$C$6:$C$1005,B169,Orders!$L$6:$L$1005,"&lt;&gt;Cancelled"))</f>
        <v/>
      </c>
      <c r="H169" s="43">
        <f>IF(B169="","",IF(SUMIFS(Orders!$U$6:$U$1005,Orders!$C$6:$C$1005,B169,Orders!$V$6:$V$1005,1)=0,"",INT(SUMIFS(Orders!$U$6:$U$1005,Orders!$C$6:$C$1005,B169,Orders!$V$6:$V$1005,1))))</f>
        <v/>
      </c>
      <c r="I169" s="30">
        <f>IF(B169="","",IF(SUMIFS(Orders!$J$6:$J$1005,Orders!$C$6:$C$1005,B169)=0,"",SUMIFS(Orders!$J$6:$J$1005,Orders!$C$6:$C$1005,B169)))</f>
        <v/>
      </c>
      <c r="J169" s="1" t="n"/>
    </row>
    <row r="170">
      <c r="A170" s="1" t="n"/>
      <c r="B170" s="32" t="n"/>
      <c r="C170" s="33" t="n"/>
      <c r="D170" s="33" t="n"/>
      <c r="E170" s="33" t="n"/>
      <c r="F170" s="18">
        <f>IF(B170="","",COUNTIFS(Orders!$C$6:$C$1005,B170,Orders!$L$6:$L$1005,"&lt;&gt;Cancelled"))</f>
        <v/>
      </c>
      <c r="G170" s="22">
        <f>IF(B170="","",SUMIFS(Orders!$H$6:$H$1005,Orders!$C$6:$C$1005,B170,Orders!$L$6:$L$1005,"&lt;&gt;Cancelled"))</f>
        <v/>
      </c>
      <c r="H170" s="43">
        <f>IF(B170="","",IF(SUMIFS(Orders!$U$6:$U$1005,Orders!$C$6:$C$1005,B170,Orders!$V$6:$V$1005,1)=0,"",INT(SUMIFS(Orders!$U$6:$U$1005,Orders!$C$6:$C$1005,B170,Orders!$V$6:$V$1005,1))))</f>
        <v/>
      </c>
      <c r="I170" s="30">
        <f>IF(B170="","",IF(SUMIFS(Orders!$J$6:$J$1005,Orders!$C$6:$C$1005,B170)=0,"",SUMIFS(Orders!$J$6:$J$1005,Orders!$C$6:$C$1005,B170)))</f>
        <v/>
      </c>
      <c r="J170" s="1" t="n"/>
    </row>
    <row r="171">
      <c r="A171" s="1" t="n"/>
      <c r="B171" s="32" t="n"/>
      <c r="C171" s="33" t="n"/>
      <c r="D171" s="33" t="n"/>
      <c r="E171" s="33" t="n"/>
      <c r="F171" s="18">
        <f>IF(B171="","",COUNTIFS(Orders!$C$6:$C$1005,B171,Orders!$L$6:$L$1005,"&lt;&gt;Cancelled"))</f>
        <v/>
      </c>
      <c r="G171" s="22">
        <f>IF(B171="","",SUMIFS(Orders!$H$6:$H$1005,Orders!$C$6:$C$1005,B171,Orders!$L$6:$L$1005,"&lt;&gt;Cancelled"))</f>
        <v/>
      </c>
      <c r="H171" s="43">
        <f>IF(B171="","",IF(SUMIFS(Orders!$U$6:$U$1005,Orders!$C$6:$C$1005,B171,Orders!$V$6:$V$1005,1)=0,"",INT(SUMIFS(Orders!$U$6:$U$1005,Orders!$C$6:$C$1005,B171,Orders!$V$6:$V$1005,1))))</f>
        <v/>
      </c>
      <c r="I171" s="30">
        <f>IF(B171="","",IF(SUMIFS(Orders!$J$6:$J$1005,Orders!$C$6:$C$1005,B171)=0,"",SUMIFS(Orders!$J$6:$J$1005,Orders!$C$6:$C$1005,B171)))</f>
        <v/>
      </c>
      <c r="J171" s="1" t="n"/>
    </row>
    <row r="172">
      <c r="A172" s="1" t="n"/>
      <c r="B172" s="32" t="n"/>
      <c r="C172" s="33" t="n"/>
      <c r="D172" s="33" t="n"/>
      <c r="E172" s="33" t="n"/>
      <c r="F172" s="18">
        <f>IF(B172="","",COUNTIFS(Orders!$C$6:$C$1005,B172,Orders!$L$6:$L$1005,"&lt;&gt;Cancelled"))</f>
        <v/>
      </c>
      <c r="G172" s="22">
        <f>IF(B172="","",SUMIFS(Orders!$H$6:$H$1005,Orders!$C$6:$C$1005,B172,Orders!$L$6:$L$1005,"&lt;&gt;Cancelled"))</f>
        <v/>
      </c>
      <c r="H172" s="43">
        <f>IF(B172="","",IF(SUMIFS(Orders!$U$6:$U$1005,Orders!$C$6:$C$1005,B172,Orders!$V$6:$V$1005,1)=0,"",INT(SUMIFS(Orders!$U$6:$U$1005,Orders!$C$6:$C$1005,B172,Orders!$V$6:$V$1005,1))))</f>
        <v/>
      </c>
      <c r="I172" s="30">
        <f>IF(B172="","",IF(SUMIFS(Orders!$J$6:$J$1005,Orders!$C$6:$C$1005,B172)=0,"",SUMIFS(Orders!$J$6:$J$1005,Orders!$C$6:$C$1005,B172)))</f>
        <v/>
      </c>
      <c r="J172" s="1" t="n"/>
    </row>
    <row r="173">
      <c r="A173" s="1" t="n"/>
      <c r="B173" s="32" t="n"/>
      <c r="C173" s="33" t="n"/>
      <c r="D173" s="33" t="n"/>
      <c r="E173" s="33" t="n"/>
      <c r="F173" s="18">
        <f>IF(B173="","",COUNTIFS(Orders!$C$6:$C$1005,B173,Orders!$L$6:$L$1005,"&lt;&gt;Cancelled"))</f>
        <v/>
      </c>
      <c r="G173" s="22">
        <f>IF(B173="","",SUMIFS(Orders!$H$6:$H$1005,Orders!$C$6:$C$1005,B173,Orders!$L$6:$L$1005,"&lt;&gt;Cancelled"))</f>
        <v/>
      </c>
      <c r="H173" s="43">
        <f>IF(B173="","",IF(SUMIFS(Orders!$U$6:$U$1005,Orders!$C$6:$C$1005,B173,Orders!$V$6:$V$1005,1)=0,"",INT(SUMIFS(Orders!$U$6:$U$1005,Orders!$C$6:$C$1005,B173,Orders!$V$6:$V$1005,1))))</f>
        <v/>
      </c>
      <c r="I173" s="30">
        <f>IF(B173="","",IF(SUMIFS(Orders!$J$6:$J$1005,Orders!$C$6:$C$1005,B173)=0,"",SUMIFS(Orders!$J$6:$J$1005,Orders!$C$6:$C$1005,B173)))</f>
        <v/>
      </c>
      <c r="J173" s="1" t="n"/>
    </row>
    <row r="174">
      <c r="A174" s="1" t="n"/>
      <c r="B174" s="32" t="n"/>
      <c r="C174" s="33" t="n"/>
      <c r="D174" s="33" t="n"/>
      <c r="E174" s="33" t="n"/>
      <c r="F174" s="18">
        <f>IF(B174="","",COUNTIFS(Orders!$C$6:$C$1005,B174,Orders!$L$6:$L$1005,"&lt;&gt;Cancelled"))</f>
        <v/>
      </c>
      <c r="G174" s="22">
        <f>IF(B174="","",SUMIFS(Orders!$H$6:$H$1005,Orders!$C$6:$C$1005,B174,Orders!$L$6:$L$1005,"&lt;&gt;Cancelled"))</f>
        <v/>
      </c>
      <c r="H174" s="43">
        <f>IF(B174="","",IF(SUMIFS(Orders!$U$6:$U$1005,Orders!$C$6:$C$1005,B174,Orders!$V$6:$V$1005,1)=0,"",INT(SUMIFS(Orders!$U$6:$U$1005,Orders!$C$6:$C$1005,B174,Orders!$V$6:$V$1005,1))))</f>
        <v/>
      </c>
      <c r="I174" s="30">
        <f>IF(B174="","",IF(SUMIFS(Orders!$J$6:$J$1005,Orders!$C$6:$C$1005,B174)=0,"",SUMIFS(Orders!$J$6:$J$1005,Orders!$C$6:$C$1005,B174)))</f>
        <v/>
      </c>
      <c r="J174" s="1" t="n"/>
    </row>
    <row r="175">
      <c r="A175" s="1" t="n"/>
      <c r="B175" s="32" t="n"/>
      <c r="C175" s="33" t="n"/>
      <c r="D175" s="33" t="n"/>
      <c r="E175" s="33" t="n"/>
      <c r="F175" s="18">
        <f>IF(B175="","",COUNTIFS(Orders!$C$6:$C$1005,B175,Orders!$L$6:$L$1005,"&lt;&gt;Cancelled"))</f>
        <v/>
      </c>
      <c r="G175" s="22">
        <f>IF(B175="","",SUMIFS(Orders!$H$6:$H$1005,Orders!$C$6:$C$1005,B175,Orders!$L$6:$L$1005,"&lt;&gt;Cancelled"))</f>
        <v/>
      </c>
      <c r="H175" s="43">
        <f>IF(B175="","",IF(SUMIFS(Orders!$U$6:$U$1005,Orders!$C$6:$C$1005,B175,Orders!$V$6:$V$1005,1)=0,"",INT(SUMIFS(Orders!$U$6:$U$1005,Orders!$C$6:$C$1005,B175,Orders!$V$6:$V$1005,1))))</f>
        <v/>
      </c>
      <c r="I175" s="30">
        <f>IF(B175="","",IF(SUMIFS(Orders!$J$6:$J$1005,Orders!$C$6:$C$1005,B175)=0,"",SUMIFS(Orders!$J$6:$J$1005,Orders!$C$6:$C$1005,B175)))</f>
        <v/>
      </c>
      <c r="J175" s="1" t="n"/>
    </row>
    <row r="176">
      <c r="A176" s="1" t="n"/>
      <c r="B176" s="32" t="n"/>
      <c r="C176" s="33" t="n"/>
      <c r="D176" s="33" t="n"/>
      <c r="E176" s="33" t="n"/>
      <c r="F176" s="18">
        <f>IF(B176="","",COUNTIFS(Orders!$C$6:$C$1005,B176,Orders!$L$6:$L$1005,"&lt;&gt;Cancelled"))</f>
        <v/>
      </c>
      <c r="G176" s="22">
        <f>IF(B176="","",SUMIFS(Orders!$H$6:$H$1005,Orders!$C$6:$C$1005,B176,Orders!$L$6:$L$1005,"&lt;&gt;Cancelled"))</f>
        <v/>
      </c>
      <c r="H176" s="43">
        <f>IF(B176="","",IF(SUMIFS(Orders!$U$6:$U$1005,Orders!$C$6:$C$1005,B176,Orders!$V$6:$V$1005,1)=0,"",INT(SUMIFS(Orders!$U$6:$U$1005,Orders!$C$6:$C$1005,B176,Orders!$V$6:$V$1005,1))))</f>
        <v/>
      </c>
      <c r="I176" s="30">
        <f>IF(B176="","",IF(SUMIFS(Orders!$J$6:$J$1005,Orders!$C$6:$C$1005,B176)=0,"",SUMIFS(Orders!$J$6:$J$1005,Orders!$C$6:$C$1005,B176)))</f>
        <v/>
      </c>
      <c r="J176" s="1" t="n"/>
    </row>
    <row r="177">
      <c r="A177" s="1" t="n"/>
      <c r="B177" s="32" t="n"/>
      <c r="C177" s="33" t="n"/>
      <c r="D177" s="33" t="n"/>
      <c r="E177" s="33" t="n"/>
      <c r="F177" s="18">
        <f>IF(B177="","",COUNTIFS(Orders!$C$6:$C$1005,B177,Orders!$L$6:$L$1005,"&lt;&gt;Cancelled"))</f>
        <v/>
      </c>
      <c r="G177" s="22">
        <f>IF(B177="","",SUMIFS(Orders!$H$6:$H$1005,Orders!$C$6:$C$1005,B177,Orders!$L$6:$L$1005,"&lt;&gt;Cancelled"))</f>
        <v/>
      </c>
      <c r="H177" s="43">
        <f>IF(B177="","",IF(SUMIFS(Orders!$U$6:$U$1005,Orders!$C$6:$C$1005,B177,Orders!$V$6:$V$1005,1)=0,"",INT(SUMIFS(Orders!$U$6:$U$1005,Orders!$C$6:$C$1005,B177,Orders!$V$6:$V$1005,1))))</f>
        <v/>
      </c>
      <c r="I177" s="30">
        <f>IF(B177="","",IF(SUMIFS(Orders!$J$6:$J$1005,Orders!$C$6:$C$1005,B177)=0,"",SUMIFS(Orders!$J$6:$J$1005,Orders!$C$6:$C$1005,B177)))</f>
        <v/>
      </c>
      <c r="J177" s="1" t="n"/>
    </row>
    <row r="178">
      <c r="A178" s="1" t="n"/>
      <c r="B178" s="32" t="n"/>
      <c r="C178" s="33" t="n"/>
      <c r="D178" s="33" t="n"/>
      <c r="E178" s="33" t="n"/>
      <c r="F178" s="18">
        <f>IF(B178="","",COUNTIFS(Orders!$C$6:$C$1005,B178,Orders!$L$6:$L$1005,"&lt;&gt;Cancelled"))</f>
        <v/>
      </c>
      <c r="G178" s="22">
        <f>IF(B178="","",SUMIFS(Orders!$H$6:$H$1005,Orders!$C$6:$C$1005,B178,Orders!$L$6:$L$1005,"&lt;&gt;Cancelled"))</f>
        <v/>
      </c>
      <c r="H178" s="43">
        <f>IF(B178="","",IF(SUMIFS(Orders!$U$6:$U$1005,Orders!$C$6:$C$1005,B178,Orders!$V$6:$V$1005,1)=0,"",INT(SUMIFS(Orders!$U$6:$U$1005,Orders!$C$6:$C$1005,B178,Orders!$V$6:$V$1005,1))))</f>
        <v/>
      </c>
      <c r="I178" s="30">
        <f>IF(B178="","",IF(SUMIFS(Orders!$J$6:$J$1005,Orders!$C$6:$C$1005,B178)=0,"",SUMIFS(Orders!$J$6:$J$1005,Orders!$C$6:$C$1005,B178)))</f>
        <v/>
      </c>
      <c r="J178" s="1" t="n"/>
    </row>
    <row r="179">
      <c r="A179" s="1" t="n"/>
      <c r="B179" s="32" t="n"/>
      <c r="C179" s="33" t="n"/>
      <c r="D179" s="33" t="n"/>
      <c r="E179" s="33" t="n"/>
      <c r="F179" s="18">
        <f>IF(B179="","",COUNTIFS(Orders!$C$6:$C$1005,B179,Orders!$L$6:$L$1005,"&lt;&gt;Cancelled"))</f>
        <v/>
      </c>
      <c r="G179" s="22">
        <f>IF(B179="","",SUMIFS(Orders!$H$6:$H$1005,Orders!$C$6:$C$1005,B179,Orders!$L$6:$L$1005,"&lt;&gt;Cancelled"))</f>
        <v/>
      </c>
      <c r="H179" s="43">
        <f>IF(B179="","",IF(SUMIFS(Orders!$U$6:$U$1005,Orders!$C$6:$C$1005,B179,Orders!$V$6:$V$1005,1)=0,"",INT(SUMIFS(Orders!$U$6:$U$1005,Orders!$C$6:$C$1005,B179,Orders!$V$6:$V$1005,1))))</f>
        <v/>
      </c>
      <c r="I179" s="30">
        <f>IF(B179="","",IF(SUMIFS(Orders!$J$6:$J$1005,Orders!$C$6:$C$1005,B179)=0,"",SUMIFS(Orders!$J$6:$J$1005,Orders!$C$6:$C$1005,B179)))</f>
        <v/>
      </c>
      <c r="J179" s="1" t="n"/>
    </row>
    <row r="180">
      <c r="A180" s="1" t="n"/>
      <c r="B180" s="32" t="n"/>
      <c r="C180" s="33" t="n"/>
      <c r="D180" s="33" t="n"/>
      <c r="E180" s="33" t="n"/>
      <c r="F180" s="18">
        <f>IF(B180="","",COUNTIFS(Orders!$C$6:$C$1005,B180,Orders!$L$6:$L$1005,"&lt;&gt;Cancelled"))</f>
        <v/>
      </c>
      <c r="G180" s="22">
        <f>IF(B180="","",SUMIFS(Orders!$H$6:$H$1005,Orders!$C$6:$C$1005,B180,Orders!$L$6:$L$1005,"&lt;&gt;Cancelled"))</f>
        <v/>
      </c>
      <c r="H180" s="43">
        <f>IF(B180="","",IF(SUMIFS(Orders!$U$6:$U$1005,Orders!$C$6:$C$1005,B180,Orders!$V$6:$V$1005,1)=0,"",INT(SUMIFS(Orders!$U$6:$U$1005,Orders!$C$6:$C$1005,B180,Orders!$V$6:$V$1005,1))))</f>
        <v/>
      </c>
      <c r="I180" s="30">
        <f>IF(B180="","",IF(SUMIFS(Orders!$J$6:$J$1005,Orders!$C$6:$C$1005,B180)=0,"",SUMIFS(Orders!$J$6:$J$1005,Orders!$C$6:$C$1005,B180)))</f>
        <v/>
      </c>
      <c r="J180" s="1" t="n"/>
    </row>
    <row r="181">
      <c r="A181" s="1" t="n"/>
      <c r="B181" s="32" t="n"/>
      <c r="C181" s="33" t="n"/>
      <c r="D181" s="33" t="n"/>
      <c r="E181" s="33" t="n"/>
      <c r="F181" s="18">
        <f>IF(B181="","",COUNTIFS(Orders!$C$6:$C$1005,B181,Orders!$L$6:$L$1005,"&lt;&gt;Cancelled"))</f>
        <v/>
      </c>
      <c r="G181" s="22">
        <f>IF(B181="","",SUMIFS(Orders!$H$6:$H$1005,Orders!$C$6:$C$1005,B181,Orders!$L$6:$L$1005,"&lt;&gt;Cancelled"))</f>
        <v/>
      </c>
      <c r="H181" s="43">
        <f>IF(B181="","",IF(SUMIFS(Orders!$U$6:$U$1005,Orders!$C$6:$C$1005,B181,Orders!$V$6:$V$1005,1)=0,"",INT(SUMIFS(Orders!$U$6:$U$1005,Orders!$C$6:$C$1005,B181,Orders!$V$6:$V$1005,1))))</f>
        <v/>
      </c>
      <c r="I181" s="30">
        <f>IF(B181="","",IF(SUMIFS(Orders!$J$6:$J$1005,Orders!$C$6:$C$1005,B181)=0,"",SUMIFS(Orders!$J$6:$J$1005,Orders!$C$6:$C$1005,B181)))</f>
        <v/>
      </c>
      <c r="J181" s="1" t="n"/>
    </row>
    <row r="182">
      <c r="A182" s="1" t="n"/>
      <c r="B182" s="32" t="n"/>
      <c r="C182" s="33" t="n"/>
      <c r="D182" s="33" t="n"/>
      <c r="E182" s="33" t="n"/>
      <c r="F182" s="18">
        <f>IF(B182="","",COUNTIFS(Orders!$C$6:$C$1005,B182,Orders!$L$6:$L$1005,"&lt;&gt;Cancelled"))</f>
        <v/>
      </c>
      <c r="G182" s="22">
        <f>IF(B182="","",SUMIFS(Orders!$H$6:$H$1005,Orders!$C$6:$C$1005,B182,Orders!$L$6:$L$1005,"&lt;&gt;Cancelled"))</f>
        <v/>
      </c>
      <c r="H182" s="43">
        <f>IF(B182="","",IF(SUMIFS(Orders!$U$6:$U$1005,Orders!$C$6:$C$1005,B182,Orders!$V$6:$V$1005,1)=0,"",INT(SUMIFS(Orders!$U$6:$U$1005,Orders!$C$6:$C$1005,B182,Orders!$V$6:$V$1005,1))))</f>
        <v/>
      </c>
      <c r="I182" s="30">
        <f>IF(B182="","",IF(SUMIFS(Orders!$J$6:$J$1005,Orders!$C$6:$C$1005,B182)=0,"",SUMIFS(Orders!$J$6:$J$1005,Orders!$C$6:$C$1005,B182)))</f>
        <v/>
      </c>
      <c r="J182" s="1" t="n"/>
    </row>
    <row r="183">
      <c r="A183" s="1" t="n"/>
      <c r="B183" s="32" t="n"/>
      <c r="C183" s="33" t="n"/>
      <c r="D183" s="33" t="n"/>
      <c r="E183" s="33" t="n"/>
      <c r="F183" s="18">
        <f>IF(B183="","",COUNTIFS(Orders!$C$6:$C$1005,B183,Orders!$L$6:$L$1005,"&lt;&gt;Cancelled"))</f>
        <v/>
      </c>
      <c r="G183" s="22">
        <f>IF(B183="","",SUMIFS(Orders!$H$6:$H$1005,Orders!$C$6:$C$1005,B183,Orders!$L$6:$L$1005,"&lt;&gt;Cancelled"))</f>
        <v/>
      </c>
      <c r="H183" s="43">
        <f>IF(B183="","",IF(SUMIFS(Orders!$U$6:$U$1005,Orders!$C$6:$C$1005,B183,Orders!$V$6:$V$1005,1)=0,"",INT(SUMIFS(Orders!$U$6:$U$1005,Orders!$C$6:$C$1005,B183,Orders!$V$6:$V$1005,1))))</f>
        <v/>
      </c>
      <c r="I183" s="30">
        <f>IF(B183="","",IF(SUMIFS(Orders!$J$6:$J$1005,Orders!$C$6:$C$1005,B183)=0,"",SUMIFS(Orders!$J$6:$J$1005,Orders!$C$6:$C$1005,B183)))</f>
        <v/>
      </c>
      <c r="J183" s="1" t="n"/>
    </row>
    <row r="184">
      <c r="A184" s="1" t="n"/>
      <c r="B184" s="32" t="n"/>
      <c r="C184" s="33" t="n"/>
      <c r="D184" s="33" t="n"/>
      <c r="E184" s="33" t="n"/>
      <c r="F184" s="18">
        <f>IF(B184="","",COUNTIFS(Orders!$C$6:$C$1005,B184,Orders!$L$6:$L$1005,"&lt;&gt;Cancelled"))</f>
        <v/>
      </c>
      <c r="G184" s="22">
        <f>IF(B184="","",SUMIFS(Orders!$H$6:$H$1005,Orders!$C$6:$C$1005,B184,Orders!$L$6:$L$1005,"&lt;&gt;Cancelled"))</f>
        <v/>
      </c>
      <c r="H184" s="43">
        <f>IF(B184="","",IF(SUMIFS(Orders!$U$6:$U$1005,Orders!$C$6:$C$1005,B184,Orders!$V$6:$V$1005,1)=0,"",INT(SUMIFS(Orders!$U$6:$U$1005,Orders!$C$6:$C$1005,B184,Orders!$V$6:$V$1005,1))))</f>
        <v/>
      </c>
      <c r="I184" s="30">
        <f>IF(B184="","",IF(SUMIFS(Orders!$J$6:$J$1005,Orders!$C$6:$C$1005,B184)=0,"",SUMIFS(Orders!$J$6:$J$1005,Orders!$C$6:$C$1005,B184)))</f>
        <v/>
      </c>
      <c r="J184" s="1" t="n"/>
    </row>
    <row r="185">
      <c r="A185" s="1" t="n"/>
      <c r="B185" s="32" t="n"/>
      <c r="C185" s="33" t="n"/>
      <c r="D185" s="33" t="n"/>
      <c r="E185" s="33" t="n"/>
      <c r="F185" s="18">
        <f>IF(B185="","",COUNTIFS(Orders!$C$6:$C$1005,B185,Orders!$L$6:$L$1005,"&lt;&gt;Cancelled"))</f>
        <v/>
      </c>
      <c r="G185" s="22">
        <f>IF(B185="","",SUMIFS(Orders!$H$6:$H$1005,Orders!$C$6:$C$1005,B185,Orders!$L$6:$L$1005,"&lt;&gt;Cancelled"))</f>
        <v/>
      </c>
      <c r="H185" s="43">
        <f>IF(B185="","",IF(SUMIFS(Orders!$U$6:$U$1005,Orders!$C$6:$C$1005,B185,Orders!$V$6:$V$1005,1)=0,"",INT(SUMIFS(Orders!$U$6:$U$1005,Orders!$C$6:$C$1005,B185,Orders!$V$6:$V$1005,1))))</f>
        <v/>
      </c>
      <c r="I185" s="30">
        <f>IF(B185="","",IF(SUMIFS(Orders!$J$6:$J$1005,Orders!$C$6:$C$1005,B185)=0,"",SUMIFS(Orders!$J$6:$J$1005,Orders!$C$6:$C$1005,B185)))</f>
        <v/>
      </c>
      <c r="J185" s="1" t="n"/>
    </row>
    <row r="186">
      <c r="A186" s="1" t="n"/>
      <c r="B186" s="32" t="n"/>
      <c r="C186" s="33" t="n"/>
      <c r="D186" s="33" t="n"/>
      <c r="E186" s="33" t="n"/>
      <c r="F186" s="18">
        <f>IF(B186="","",COUNTIFS(Orders!$C$6:$C$1005,B186,Orders!$L$6:$L$1005,"&lt;&gt;Cancelled"))</f>
        <v/>
      </c>
      <c r="G186" s="22">
        <f>IF(B186="","",SUMIFS(Orders!$H$6:$H$1005,Orders!$C$6:$C$1005,B186,Orders!$L$6:$L$1005,"&lt;&gt;Cancelled"))</f>
        <v/>
      </c>
      <c r="H186" s="43">
        <f>IF(B186="","",IF(SUMIFS(Orders!$U$6:$U$1005,Orders!$C$6:$C$1005,B186,Orders!$V$6:$V$1005,1)=0,"",INT(SUMIFS(Orders!$U$6:$U$1005,Orders!$C$6:$C$1005,B186,Orders!$V$6:$V$1005,1))))</f>
        <v/>
      </c>
      <c r="I186" s="30">
        <f>IF(B186="","",IF(SUMIFS(Orders!$J$6:$J$1005,Orders!$C$6:$C$1005,B186)=0,"",SUMIFS(Orders!$J$6:$J$1005,Orders!$C$6:$C$1005,B186)))</f>
        <v/>
      </c>
      <c r="J186" s="1" t="n"/>
    </row>
    <row r="187">
      <c r="A187" s="1" t="n"/>
      <c r="B187" s="32" t="n"/>
      <c r="C187" s="33" t="n"/>
      <c r="D187" s="33" t="n"/>
      <c r="E187" s="33" t="n"/>
      <c r="F187" s="18">
        <f>IF(B187="","",COUNTIFS(Orders!$C$6:$C$1005,B187,Orders!$L$6:$L$1005,"&lt;&gt;Cancelled"))</f>
        <v/>
      </c>
      <c r="G187" s="22">
        <f>IF(B187="","",SUMIFS(Orders!$H$6:$H$1005,Orders!$C$6:$C$1005,B187,Orders!$L$6:$L$1005,"&lt;&gt;Cancelled"))</f>
        <v/>
      </c>
      <c r="H187" s="43">
        <f>IF(B187="","",IF(SUMIFS(Orders!$U$6:$U$1005,Orders!$C$6:$C$1005,B187,Orders!$V$6:$V$1005,1)=0,"",INT(SUMIFS(Orders!$U$6:$U$1005,Orders!$C$6:$C$1005,B187,Orders!$V$6:$V$1005,1))))</f>
        <v/>
      </c>
      <c r="I187" s="30">
        <f>IF(B187="","",IF(SUMIFS(Orders!$J$6:$J$1005,Orders!$C$6:$C$1005,B187)=0,"",SUMIFS(Orders!$J$6:$J$1005,Orders!$C$6:$C$1005,B187)))</f>
        <v/>
      </c>
      <c r="J187" s="1" t="n"/>
    </row>
    <row r="188">
      <c r="A188" s="1" t="n"/>
      <c r="B188" s="32" t="n"/>
      <c r="C188" s="33" t="n"/>
      <c r="D188" s="33" t="n"/>
      <c r="E188" s="33" t="n"/>
      <c r="F188" s="18">
        <f>IF(B188="","",COUNTIFS(Orders!$C$6:$C$1005,B188,Orders!$L$6:$L$1005,"&lt;&gt;Cancelled"))</f>
        <v/>
      </c>
      <c r="G188" s="22">
        <f>IF(B188="","",SUMIFS(Orders!$H$6:$H$1005,Orders!$C$6:$C$1005,B188,Orders!$L$6:$L$1005,"&lt;&gt;Cancelled"))</f>
        <v/>
      </c>
      <c r="H188" s="43">
        <f>IF(B188="","",IF(SUMIFS(Orders!$U$6:$U$1005,Orders!$C$6:$C$1005,B188,Orders!$V$6:$V$1005,1)=0,"",INT(SUMIFS(Orders!$U$6:$U$1005,Orders!$C$6:$C$1005,B188,Orders!$V$6:$V$1005,1))))</f>
        <v/>
      </c>
      <c r="I188" s="30">
        <f>IF(B188="","",IF(SUMIFS(Orders!$J$6:$J$1005,Orders!$C$6:$C$1005,B188)=0,"",SUMIFS(Orders!$J$6:$J$1005,Orders!$C$6:$C$1005,B188)))</f>
        <v/>
      </c>
      <c r="J188" s="1" t="n"/>
    </row>
    <row r="189">
      <c r="A189" s="1" t="n"/>
      <c r="B189" s="32" t="n"/>
      <c r="C189" s="33" t="n"/>
      <c r="D189" s="33" t="n"/>
      <c r="E189" s="33" t="n"/>
      <c r="F189" s="18">
        <f>IF(B189="","",COUNTIFS(Orders!$C$6:$C$1005,B189,Orders!$L$6:$L$1005,"&lt;&gt;Cancelled"))</f>
        <v/>
      </c>
      <c r="G189" s="22">
        <f>IF(B189="","",SUMIFS(Orders!$H$6:$H$1005,Orders!$C$6:$C$1005,B189,Orders!$L$6:$L$1005,"&lt;&gt;Cancelled"))</f>
        <v/>
      </c>
      <c r="H189" s="43">
        <f>IF(B189="","",IF(SUMIFS(Orders!$U$6:$U$1005,Orders!$C$6:$C$1005,B189,Orders!$V$6:$V$1005,1)=0,"",INT(SUMIFS(Orders!$U$6:$U$1005,Orders!$C$6:$C$1005,B189,Orders!$V$6:$V$1005,1))))</f>
        <v/>
      </c>
      <c r="I189" s="30">
        <f>IF(B189="","",IF(SUMIFS(Orders!$J$6:$J$1005,Orders!$C$6:$C$1005,B189)=0,"",SUMIFS(Orders!$J$6:$J$1005,Orders!$C$6:$C$1005,B189)))</f>
        <v/>
      </c>
      <c r="J189" s="1" t="n"/>
    </row>
    <row r="190">
      <c r="A190" s="1" t="n"/>
      <c r="B190" s="32" t="n"/>
      <c r="C190" s="33" t="n"/>
      <c r="D190" s="33" t="n"/>
      <c r="E190" s="33" t="n"/>
      <c r="F190" s="18">
        <f>IF(B190="","",COUNTIFS(Orders!$C$6:$C$1005,B190,Orders!$L$6:$L$1005,"&lt;&gt;Cancelled"))</f>
        <v/>
      </c>
      <c r="G190" s="22">
        <f>IF(B190="","",SUMIFS(Orders!$H$6:$H$1005,Orders!$C$6:$C$1005,B190,Orders!$L$6:$L$1005,"&lt;&gt;Cancelled"))</f>
        <v/>
      </c>
      <c r="H190" s="43">
        <f>IF(B190="","",IF(SUMIFS(Orders!$U$6:$U$1005,Orders!$C$6:$C$1005,B190,Orders!$V$6:$V$1005,1)=0,"",INT(SUMIFS(Orders!$U$6:$U$1005,Orders!$C$6:$C$1005,B190,Orders!$V$6:$V$1005,1))))</f>
        <v/>
      </c>
      <c r="I190" s="30">
        <f>IF(B190="","",IF(SUMIFS(Orders!$J$6:$J$1005,Orders!$C$6:$C$1005,B190)=0,"",SUMIFS(Orders!$J$6:$J$1005,Orders!$C$6:$C$1005,B190)))</f>
        <v/>
      </c>
      <c r="J190" s="1" t="n"/>
    </row>
    <row r="191">
      <c r="A191" s="1" t="n"/>
      <c r="B191" s="32" t="n"/>
      <c r="C191" s="33" t="n"/>
      <c r="D191" s="33" t="n"/>
      <c r="E191" s="33" t="n"/>
      <c r="F191" s="18">
        <f>IF(B191="","",COUNTIFS(Orders!$C$6:$C$1005,B191,Orders!$L$6:$L$1005,"&lt;&gt;Cancelled"))</f>
        <v/>
      </c>
      <c r="G191" s="22">
        <f>IF(B191="","",SUMIFS(Orders!$H$6:$H$1005,Orders!$C$6:$C$1005,B191,Orders!$L$6:$L$1005,"&lt;&gt;Cancelled"))</f>
        <v/>
      </c>
      <c r="H191" s="43">
        <f>IF(B191="","",IF(SUMIFS(Orders!$U$6:$U$1005,Orders!$C$6:$C$1005,B191,Orders!$V$6:$V$1005,1)=0,"",INT(SUMIFS(Orders!$U$6:$U$1005,Orders!$C$6:$C$1005,B191,Orders!$V$6:$V$1005,1))))</f>
        <v/>
      </c>
      <c r="I191" s="30">
        <f>IF(B191="","",IF(SUMIFS(Orders!$J$6:$J$1005,Orders!$C$6:$C$1005,B191)=0,"",SUMIFS(Orders!$J$6:$J$1005,Orders!$C$6:$C$1005,B191)))</f>
        <v/>
      </c>
      <c r="J191" s="1" t="n"/>
    </row>
    <row r="192">
      <c r="A192" s="1" t="n"/>
      <c r="B192" s="32" t="n"/>
      <c r="C192" s="33" t="n"/>
      <c r="D192" s="33" t="n"/>
      <c r="E192" s="33" t="n"/>
      <c r="F192" s="18">
        <f>IF(B192="","",COUNTIFS(Orders!$C$6:$C$1005,B192,Orders!$L$6:$L$1005,"&lt;&gt;Cancelled"))</f>
        <v/>
      </c>
      <c r="G192" s="22">
        <f>IF(B192="","",SUMIFS(Orders!$H$6:$H$1005,Orders!$C$6:$C$1005,B192,Orders!$L$6:$L$1005,"&lt;&gt;Cancelled"))</f>
        <v/>
      </c>
      <c r="H192" s="43">
        <f>IF(B192="","",IF(SUMIFS(Orders!$U$6:$U$1005,Orders!$C$6:$C$1005,B192,Orders!$V$6:$V$1005,1)=0,"",INT(SUMIFS(Orders!$U$6:$U$1005,Orders!$C$6:$C$1005,B192,Orders!$V$6:$V$1005,1))))</f>
        <v/>
      </c>
      <c r="I192" s="30">
        <f>IF(B192="","",IF(SUMIFS(Orders!$J$6:$J$1005,Orders!$C$6:$C$1005,B192)=0,"",SUMIFS(Orders!$J$6:$J$1005,Orders!$C$6:$C$1005,B192)))</f>
        <v/>
      </c>
      <c r="J192" s="1" t="n"/>
    </row>
    <row r="193">
      <c r="A193" s="1" t="n"/>
      <c r="B193" s="32" t="n"/>
      <c r="C193" s="33" t="n"/>
      <c r="D193" s="33" t="n"/>
      <c r="E193" s="33" t="n"/>
      <c r="F193" s="18">
        <f>IF(B193="","",COUNTIFS(Orders!$C$6:$C$1005,B193,Orders!$L$6:$L$1005,"&lt;&gt;Cancelled"))</f>
        <v/>
      </c>
      <c r="G193" s="22">
        <f>IF(B193="","",SUMIFS(Orders!$H$6:$H$1005,Orders!$C$6:$C$1005,B193,Orders!$L$6:$L$1005,"&lt;&gt;Cancelled"))</f>
        <v/>
      </c>
      <c r="H193" s="43">
        <f>IF(B193="","",IF(SUMIFS(Orders!$U$6:$U$1005,Orders!$C$6:$C$1005,B193,Orders!$V$6:$V$1005,1)=0,"",INT(SUMIFS(Orders!$U$6:$U$1005,Orders!$C$6:$C$1005,B193,Orders!$V$6:$V$1005,1))))</f>
        <v/>
      </c>
      <c r="I193" s="30">
        <f>IF(B193="","",IF(SUMIFS(Orders!$J$6:$J$1005,Orders!$C$6:$C$1005,B193)=0,"",SUMIFS(Orders!$J$6:$J$1005,Orders!$C$6:$C$1005,B193)))</f>
        <v/>
      </c>
      <c r="J193" s="1" t="n"/>
    </row>
    <row r="194">
      <c r="A194" s="1" t="n"/>
      <c r="B194" s="32" t="n"/>
      <c r="C194" s="33" t="n"/>
      <c r="D194" s="33" t="n"/>
      <c r="E194" s="33" t="n"/>
      <c r="F194" s="18">
        <f>IF(B194="","",COUNTIFS(Orders!$C$6:$C$1005,B194,Orders!$L$6:$L$1005,"&lt;&gt;Cancelled"))</f>
        <v/>
      </c>
      <c r="G194" s="22">
        <f>IF(B194="","",SUMIFS(Orders!$H$6:$H$1005,Orders!$C$6:$C$1005,B194,Orders!$L$6:$L$1005,"&lt;&gt;Cancelled"))</f>
        <v/>
      </c>
      <c r="H194" s="43">
        <f>IF(B194="","",IF(SUMIFS(Orders!$U$6:$U$1005,Orders!$C$6:$C$1005,B194,Orders!$V$6:$V$1005,1)=0,"",INT(SUMIFS(Orders!$U$6:$U$1005,Orders!$C$6:$C$1005,B194,Orders!$V$6:$V$1005,1))))</f>
        <v/>
      </c>
      <c r="I194" s="30">
        <f>IF(B194="","",IF(SUMIFS(Orders!$J$6:$J$1005,Orders!$C$6:$C$1005,B194)=0,"",SUMIFS(Orders!$J$6:$J$1005,Orders!$C$6:$C$1005,B194)))</f>
        <v/>
      </c>
      <c r="J194" s="1" t="n"/>
    </row>
    <row r="195">
      <c r="A195" s="1" t="n"/>
      <c r="B195" s="32" t="n"/>
      <c r="C195" s="33" t="n"/>
      <c r="D195" s="33" t="n"/>
      <c r="E195" s="33" t="n"/>
      <c r="F195" s="18">
        <f>IF(B195="","",COUNTIFS(Orders!$C$6:$C$1005,B195,Orders!$L$6:$L$1005,"&lt;&gt;Cancelled"))</f>
        <v/>
      </c>
      <c r="G195" s="22">
        <f>IF(B195="","",SUMIFS(Orders!$H$6:$H$1005,Orders!$C$6:$C$1005,B195,Orders!$L$6:$L$1005,"&lt;&gt;Cancelled"))</f>
        <v/>
      </c>
      <c r="H195" s="43">
        <f>IF(B195="","",IF(SUMIFS(Orders!$U$6:$U$1005,Orders!$C$6:$C$1005,B195,Orders!$V$6:$V$1005,1)=0,"",INT(SUMIFS(Orders!$U$6:$U$1005,Orders!$C$6:$C$1005,B195,Orders!$V$6:$V$1005,1))))</f>
        <v/>
      </c>
      <c r="I195" s="30">
        <f>IF(B195="","",IF(SUMIFS(Orders!$J$6:$J$1005,Orders!$C$6:$C$1005,B195)=0,"",SUMIFS(Orders!$J$6:$J$1005,Orders!$C$6:$C$1005,B195)))</f>
        <v/>
      </c>
      <c r="J195" s="1" t="n"/>
    </row>
    <row r="196">
      <c r="A196" s="1" t="n"/>
      <c r="B196" s="32" t="n"/>
      <c r="C196" s="33" t="n"/>
      <c r="D196" s="33" t="n"/>
      <c r="E196" s="33" t="n"/>
      <c r="F196" s="18">
        <f>IF(B196="","",COUNTIFS(Orders!$C$6:$C$1005,B196,Orders!$L$6:$L$1005,"&lt;&gt;Cancelled"))</f>
        <v/>
      </c>
      <c r="G196" s="22">
        <f>IF(B196="","",SUMIFS(Orders!$H$6:$H$1005,Orders!$C$6:$C$1005,B196,Orders!$L$6:$L$1005,"&lt;&gt;Cancelled"))</f>
        <v/>
      </c>
      <c r="H196" s="43">
        <f>IF(B196="","",IF(SUMIFS(Orders!$U$6:$U$1005,Orders!$C$6:$C$1005,B196,Orders!$V$6:$V$1005,1)=0,"",INT(SUMIFS(Orders!$U$6:$U$1005,Orders!$C$6:$C$1005,B196,Orders!$V$6:$V$1005,1))))</f>
        <v/>
      </c>
      <c r="I196" s="30">
        <f>IF(B196="","",IF(SUMIFS(Orders!$J$6:$J$1005,Orders!$C$6:$C$1005,B196)=0,"",SUMIFS(Orders!$J$6:$J$1005,Orders!$C$6:$C$1005,B196)))</f>
        <v/>
      </c>
      <c r="J196" s="1" t="n"/>
    </row>
    <row r="197">
      <c r="A197" s="1" t="n"/>
      <c r="B197" s="32" t="n"/>
      <c r="C197" s="33" t="n"/>
      <c r="D197" s="33" t="n"/>
      <c r="E197" s="33" t="n"/>
      <c r="F197" s="18">
        <f>IF(B197="","",COUNTIFS(Orders!$C$6:$C$1005,B197,Orders!$L$6:$L$1005,"&lt;&gt;Cancelled"))</f>
        <v/>
      </c>
      <c r="G197" s="22">
        <f>IF(B197="","",SUMIFS(Orders!$H$6:$H$1005,Orders!$C$6:$C$1005,B197,Orders!$L$6:$L$1005,"&lt;&gt;Cancelled"))</f>
        <v/>
      </c>
      <c r="H197" s="43">
        <f>IF(B197="","",IF(SUMIFS(Orders!$U$6:$U$1005,Orders!$C$6:$C$1005,B197,Orders!$V$6:$V$1005,1)=0,"",INT(SUMIFS(Orders!$U$6:$U$1005,Orders!$C$6:$C$1005,B197,Orders!$V$6:$V$1005,1))))</f>
        <v/>
      </c>
      <c r="I197" s="30">
        <f>IF(B197="","",IF(SUMIFS(Orders!$J$6:$J$1005,Orders!$C$6:$C$1005,B197)=0,"",SUMIFS(Orders!$J$6:$J$1005,Orders!$C$6:$C$1005,B197)))</f>
        <v/>
      </c>
      <c r="J197" s="1" t="n"/>
    </row>
    <row r="198">
      <c r="A198" s="1" t="n"/>
      <c r="B198" s="32" t="n"/>
      <c r="C198" s="33" t="n"/>
      <c r="D198" s="33" t="n"/>
      <c r="E198" s="33" t="n"/>
      <c r="F198" s="18">
        <f>IF(B198="","",COUNTIFS(Orders!$C$6:$C$1005,B198,Orders!$L$6:$L$1005,"&lt;&gt;Cancelled"))</f>
        <v/>
      </c>
      <c r="G198" s="22">
        <f>IF(B198="","",SUMIFS(Orders!$H$6:$H$1005,Orders!$C$6:$C$1005,B198,Orders!$L$6:$L$1005,"&lt;&gt;Cancelled"))</f>
        <v/>
      </c>
      <c r="H198" s="43">
        <f>IF(B198="","",IF(SUMIFS(Orders!$U$6:$U$1005,Orders!$C$6:$C$1005,B198,Orders!$V$6:$V$1005,1)=0,"",INT(SUMIFS(Orders!$U$6:$U$1005,Orders!$C$6:$C$1005,B198,Orders!$V$6:$V$1005,1))))</f>
        <v/>
      </c>
      <c r="I198" s="30">
        <f>IF(B198="","",IF(SUMIFS(Orders!$J$6:$J$1005,Orders!$C$6:$C$1005,B198)=0,"",SUMIFS(Orders!$J$6:$J$1005,Orders!$C$6:$C$1005,B198)))</f>
        <v/>
      </c>
      <c r="J198" s="1" t="n"/>
    </row>
    <row r="199">
      <c r="A199" s="1" t="n"/>
      <c r="B199" s="32" t="n"/>
      <c r="C199" s="33" t="n"/>
      <c r="D199" s="33" t="n"/>
      <c r="E199" s="33" t="n"/>
      <c r="F199" s="18">
        <f>IF(B199="","",COUNTIFS(Orders!$C$6:$C$1005,B199,Orders!$L$6:$L$1005,"&lt;&gt;Cancelled"))</f>
        <v/>
      </c>
      <c r="G199" s="22">
        <f>IF(B199="","",SUMIFS(Orders!$H$6:$H$1005,Orders!$C$6:$C$1005,B199,Orders!$L$6:$L$1005,"&lt;&gt;Cancelled"))</f>
        <v/>
      </c>
      <c r="H199" s="43">
        <f>IF(B199="","",IF(SUMIFS(Orders!$U$6:$U$1005,Orders!$C$6:$C$1005,B199,Orders!$V$6:$V$1005,1)=0,"",INT(SUMIFS(Orders!$U$6:$U$1005,Orders!$C$6:$C$1005,B199,Orders!$V$6:$V$1005,1))))</f>
        <v/>
      </c>
      <c r="I199" s="30">
        <f>IF(B199="","",IF(SUMIFS(Orders!$J$6:$J$1005,Orders!$C$6:$C$1005,B199)=0,"",SUMIFS(Orders!$J$6:$J$1005,Orders!$C$6:$C$1005,B199)))</f>
        <v/>
      </c>
      <c r="J199" s="1" t="n"/>
    </row>
    <row r="200">
      <c r="A200" s="1" t="n"/>
      <c r="B200" s="32" t="n"/>
      <c r="C200" s="33" t="n"/>
      <c r="D200" s="33" t="n"/>
      <c r="E200" s="33" t="n"/>
      <c r="F200" s="18">
        <f>IF(B200="","",COUNTIFS(Orders!$C$6:$C$1005,B200,Orders!$L$6:$L$1005,"&lt;&gt;Cancelled"))</f>
        <v/>
      </c>
      <c r="G200" s="22">
        <f>IF(B200="","",SUMIFS(Orders!$H$6:$H$1005,Orders!$C$6:$C$1005,B200,Orders!$L$6:$L$1005,"&lt;&gt;Cancelled"))</f>
        <v/>
      </c>
      <c r="H200" s="43">
        <f>IF(B200="","",IF(SUMIFS(Orders!$U$6:$U$1005,Orders!$C$6:$C$1005,B200,Orders!$V$6:$V$1005,1)=0,"",INT(SUMIFS(Orders!$U$6:$U$1005,Orders!$C$6:$C$1005,B200,Orders!$V$6:$V$1005,1))))</f>
        <v/>
      </c>
      <c r="I200" s="30">
        <f>IF(B200="","",IF(SUMIFS(Orders!$J$6:$J$1005,Orders!$C$6:$C$1005,B200)=0,"",SUMIFS(Orders!$J$6:$J$1005,Orders!$C$6:$C$1005,B200)))</f>
        <v/>
      </c>
      <c r="J200" s="1" t="n"/>
    </row>
    <row r="201">
      <c r="A201" s="1" t="n"/>
      <c r="B201" s="32" t="n"/>
      <c r="C201" s="33" t="n"/>
      <c r="D201" s="33" t="n"/>
      <c r="E201" s="33" t="n"/>
      <c r="F201" s="18">
        <f>IF(B201="","",COUNTIFS(Orders!$C$6:$C$1005,B201,Orders!$L$6:$L$1005,"&lt;&gt;Cancelled"))</f>
        <v/>
      </c>
      <c r="G201" s="22">
        <f>IF(B201="","",SUMIFS(Orders!$H$6:$H$1005,Orders!$C$6:$C$1005,B201,Orders!$L$6:$L$1005,"&lt;&gt;Cancelled"))</f>
        <v/>
      </c>
      <c r="H201" s="43">
        <f>IF(B201="","",IF(SUMIFS(Orders!$U$6:$U$1005,Orders!$C$6:$C$1005,B201,Orders!$V$6:$V$1005,1)=0,"",INT(SUMIFS(Orders!$U$6:$U$1005,Orders!$C$6:$C$1005,B201,Orders!$V$6:$V$1005,1))))</f>
        <v/>
      </c>
      <c r="I201" s="30">
        <f>IF(B201="","",IF(SUMIFS(Orders!$J$6:$J$1005,Orders!$C$6:$C$1005,B201)=0,"",SUMIFS(Orders!$J$6:$J$1005,Orders!$C$6:$C$1005,B201)))</f>
        <v/>
      </c>
      <c r="J201" s="1" t="n"/>
    </row>
    <row r="202">
      <c r="A202" s="1" t="n"/>
      <c r="B202" s="32" t="n"/>
      <c r="C202" s="33" t="n"/>
      <c r="D202" s="33" t="n"/>
      <c r="E202" s="33" t="n"/>
      <c r="F202" s="18">
        <f>IF(B202="","",COUNTIFS(Orders!$C$6:$C$1005,B202,Orders!$L$6:$L$1005,"&lt;&gt;Cancelled"))</f>
        <v/>
      </c>
      <c r="G202" s="22">
        <f>IF(B202="","",SUMIFS(Orders!$H$6:$H$1005,Orders!$C$6:$C$1005,B202,Orders!$L$6:$L$1005,"&lt;&gt;Cancelled"))</f>
        <v/>
      </c>
      <c r="H202" s="43">
        <f>IF(B202="","",IF(SUMIFS(Orders!$U$6:$U$1005,Orders!$C$6:$C$1005,B202,Orders!$V$6:$V$1005,1)=0,"",INT(SUMIFS(Orders!$U$6:$U$1005,Orders!$C$6:$C$1005,B202,Orders!$V$6:$V$1005,1))))</f>
        <v/>
      </c>
      <c r="I202" s="30">
        <f>IF(B202="","",IF(SUMIFS(Orders!$J$6:$J$1005,Orders!$C$6:$C$1005,B202)=0,"",SUMIFS(Orders!$J$6:$J$1005,Orders!$C$6:$C$1005,B202)))</f>
        <v/>
      </c>
      <c r="J202" s="1" t="n"/>
    </row>
    <row r="203">
      <c r="A203" s="1" t="n"/>
      <c r="B203" s="32" t="n"/>
      <c r="C203" s="33" t="n"/>
      <c r="D203" s="33" t="n"/>
      <c r="E203" s="33" t="n"/>
      <c r="F203" s="18">
        <f>IF(B203="","",COUNTIFS(Orders!$C$6:$C$1005,B203,Orders!$L$6:$L$1005,"&lt;&gt;Cancelled"))</f>
        <v/>
      </c>
      <c r="G203" s="22">
        <f>IF(B203="","",SUMIFS(Orders!$H$6:$H$1005,Orders!$C$6:$C$1005,B203,Orders!$L$6:$L$1005,"&lt;&gt;Cancelled"))</f>
        <v/>
      </c>
      <c r="H203" s="43">
        <f>IF(B203="","",IF(SUMIFS(Orders!$U$6:$U$1005,Orders!$C$6:$C$1005,B203,Orders!$V$6:$V$1005,1)=0,"",INT(SUMIFS(Orders!$U$6:$U$1005,Orders!$C$6:$C$1005,B203,Orders!$V$6:$V$1005,1))))</f>
        <v/>
      </c>
      <c r="I203" s="30">
        <f>IF(B203="","",IF(SUMIFS(Orders!$J$6:$J$1005,Orders!$C$6:$C$1005,B203)=0,"",SUMIFS(Orders!$J$6:$J$1005,Orders!$C$6:$C$1005,B203)))</f>
        <v/>
      </c>
      <c r="J203" s="1" t="n"/>
    </row>
    <row r="204">
      <c r="A204" s="1" t="n"/>
      <c r="B204" s="32" t="n"/>
      <c r="C204" s="33" t="n"/>
      <c r="D204" s="33" t="n"/>
      <c r="E204" s="33" t="n"/>
      <c r="F204" s="18">
        <f>IF(B204="","",COUNTIFS(Orders!$C$6:$C$1005,B204,Orders!$L$6:$L$1005,"&lt;&gt;Cancelled"))</f>
        <v/>
      </c>
      <c r="G204" s="22">
        <f>IF(B204="","",SUMIFS(Orders!$H$6:$H$1005,Orders!$C$6:$C$1005,B204,Orders!$L$6:$L$1005,"&lt;&gt;Cancelled"))</f>
        <v/>
      </c>
      <c r="H204" s="43">
        <f>IF(B204="","",IF(SUMIFS(Orders!$U$6:$U$1005,Orders!$C$6:$C$1005,B204,Orders!$V$6:$V$1005,1)=0,"",INT(SUMIFS(Orders!$U$6:$U$1005,Orders!$C$6:$C$1005,B204,Orders!$V$6:$V$1005,1))))</f>
        <v/>
      </c>
      <c r="I204" s="30">
        <f>IF(B204="","",IF(SUMIFS(Orders!$J$6:$J$1005,Orders!$C$6:$C$1005,B204)=0,"",SUMIFS(Orders!$J$6:$J$1005,Orders!$C$6:$C$1005,B204)))</f>
        <v/>
      </c>
      <c r="J204" s="1" t="n"/>
    </row>
    <row r="205">
      <c r="A205" s="1" t="n"/>
      <c r="B205" s="32" t="n"/>
      <c r="C205" s="33" t="n"/>
      <c r="D205" s="33" t="n"/>
      <c r="E205" s="33" t="n"/>
      <c r="F205" s="18">
        <f>IF(B205="","",COUNTIFS(Orders!$C$6:$C$1005,B205,Orders!$L$6:$L$1005,"&lt;&gt;Cancelled"))</f>
        <v/>
      </c>
      <c r="G205" s="22">
        <f>IF(B205="","",SUMIFS(Orders!$H$6:$H$1005,Orders!$C$6:$C$1005,B205,Orders!$L$6:$L$1005,"&lt;&gt;Cancelled"))</f>
        <v/>
      </c>
      <c r="H205" s="43">
        <f>IF(B205="","",IF(SUMIFS(Orders!$U$6:$U$1005,Orders!$C$6:$C$1005,B205,Orders!$V$6:$V$1005,1)=0,"",INT(SUMIFS(Orders!$U$6:$U$1005,Orders!$C$6:$C$1005,B205,Orders!$V$6:$V$1005,1))))</f>
        <v/>
      </c>
      <c r="I205" s="30">
        <f>IF(B205="","",IF(SUMIFS(Orders!$J$6:$J$1005,Orders!$C$6:$C$1005,B205)=0,"",SUMIFS(Orders!$J$6:$J$1005,Orders!$C$6:$C$1005,B205)))</f>
        <v/>
      </c>
      <c r="J205" s="1" t="n"/>
    </row>
    <row r="206">
      <c r="A206" s="1" t="n"/>
      <c r="B206" s="32" t="n"/>
      <c r="C206" s="33" t="n"/>
      <c r="D206" s="33" t="n"/>
      <c r="E206" s="33" t="n"/>
      <c r="F206" s="18">
        <f>IF(B206="","",COUNTIFS(Orders!$C$6:$C$1005,B206,Orders!$L$6:$L$1005,"&lt;&gt;Cancelled"))</f>
        <v/>
      </c>
      <c r="G206" s="22">
        <f>IF(B206="","",SUMIFS(Orders!$H$6:$H$1005,Orders!$C$6:$C$1005,B206,Orders!$L$6:$L$1005,"&lt;&gt;Cancelled"))</f>
        <v/>
      </c>
      <c r="H206" s="43">
        <f>IF(B206="","",IF(SUMIFS(Orders!$U$6:$U$1005,Orders!$C$6:$C$1005,B206,Orders!$V$6:$V$1005,1)=0,"",INT(SUMIFS(Orders!$U$6:$U$1005,Orders!$C$6:$C$1005,B206,Orders!$V$6:$V$1005,1))))</f>
        <v/>
      </c>
      <c r="I206" s="30">
        <f>IF(B206="","",IF(SUMIFS(Orders!$J$6:$J$1005,Orders!$C$6:$C$1005,B206)=0,"",SUMIFS(Orders!$J$6:$J$1005,Orders!$C$6:$C$1005,B206)))</f>
        <v/>
      </c>
      <c r="J206" s="1" t="n"/>
    </row>
    <row r="207">
      <c r="A207" s="1" t="n"/>
      <c r="B207" s="32" t="n"/>
      <c r="C207" s="33" t="n"/>
      <c r="D207" s="33" t="n"/>
      <c r="E207" s="33" t="n"/>
      <c r="F207" s="18">
        <f>IF(B207="","",COUNTIFS(Orders!$C$6:$C$1005,B207,Orders!$L$6:$L$1005,"&lt;&gt;Cancelled"))</f>
        <v/>
      </c>
      <c r="G207" s="22">
        <f>IF(B207="","",SUMIFS(Orders!$H$6:$H$1005,Orders!$C$6:$C$1005,B207,Orders!$L$6:$L$1005,"&lt;&gt;Cancelled"))</f>
        <v/>
      </c>
      <c r="H207" s="43">
        <f>IF(B207="","",IF(SUMIFS(Orders!$U$6:$U$1005,Orders!$C$6:$C$1005,B207,Orders!$V$6:$V$1005,1)=0,"",INT(SUMIFS(Orders!$U$6:$U$1005,Orders!$C$6:$C$1005,B207,Orders!$V$6:$V$1005,1))))</f>
        <v/>
      </c>
      <c r="I207" s="30">
        <f>IF(B207="","",IF(SUMIFS(Orders!$J$6:$J$1005,Orders!$C$6:$C$1005,B207)=0,"",SUMIFS(Orders!$J$6:$J$1005,Orders!$C$6:$C$1005,B207)))</f>
        <v/>
      </c>
      <c r="J207" s="1" t="n"/>
    </row>
    <row r="208">
      <c r="A208" s="1" t="n"/>
      <c r="B208" s="32" t="n"/>
      <c r="C208" s="33" t="n"/>
      <c r="D208" s="33" t="n"/>
      <c r="E208" s="33" t="n"/>
      <c r="F208" s="18">
        <f>IF(B208="","",COUNTIFS(Orders!$C$6:$C$1005,B208,Orders!$L$6:$L$1005,"&lt;&gt;Cancelled"))</f>
        <v/>
      </c>
      <c r="G208" s="22">
        <f>IF(B208="","",SUMIFS(Orders!$H$6:$H$1005,Orders!$C$6:$C$1005,B208,Orders!$L$6:$L$1005,"&lt;&gt;Cancelled"))</f>
        <v/>
      </c>
      <c r="H208" s="43">
        <f>IF(B208="","",IF(SUMIFS(Orders!$U$6:$U$1005,Orders!$C$6:$C$1005,B208,Orders!$V$6:$V$1005,1)=0,"",INT(SUMIFS(Orders!$U$6:$U$1005,Orders!$C$6:$C$1005,B208,Orders!$V$6:$V$1005,1))))</f>
        <v/>
      </c>
      <c r="I208" s="30">
        <f>IF(B208="","",IF(SUMIFS(Orders!$J$6:$J$1005,Orders!$C$6:$C$1005,B208)=0,"",SUMIFS(Orders!$J$6:$J$1005,Orders!$C$6:$C$1005,B208)))</f>
        <v/>
      </c>
      <c r="J208" s="1" t="n"/>
    </row>
    <row r="209">
      <c r="A209" s="1" t="n"/>
      <c r="B209" s="32" t="n"/>
      <c r="C209" s="33" t="n"/>
      <c r="D209" s="33" t="n"/>
      <c r="E209" s="33" t="n"/>
      <c r="F209" s="18">
        <f>IF(B209="","",COUNTIFS(Orders!$C$6:$C$1005,B209,Orders!$L$6:$L$1005,"&lt;&gt;Cancelled"))</f>
        <v/>
      </c>
      <c r="G209" s="22">
        <f>IF(B209="","",SUMIFS(Orders!$H$6:$H$1005,Orders!$C$6:$C$1005,B209,Orders!$L$6:$L$1005,"&lt;&gt;Cancelled"))</f>
        <v/>
      </c>
      <c r="H209" s="43">
        <f>IF(B209="","",IF(SUMIFS(Orders!$U$6:$U$1005,Orders!$C$6:$C$1005,B209,Orders!$V$6:$V$1005,1)=0,"",INT(SUMIFS(Orders!$U$6:$U$1005,Orders!$C$6:$C$1005,B209,Orders!$V$6:$V$1005,1))))</f>
        <v/>
      </c>
      <c r="I209" s="30">
        <f>IF(B209="","",IF(SUMIFS(Orders!$J$6:$J$1005,Orders!$C$6:$C$1005,B209)=0,"",SUMIFS(Orders!$J$6:$J$1005,Orders!$C$6:$C$1005,B209)))</f>
        <v/>
      </c>
      <c r="J209" s="1" t="n"/>
    </row>
    <row r="210">
      <c r="A210" s="1" t="n"/>
      <c r="B210" s="32" t="n"/>
      <c r="C210" s="33" t="n"/>
      <c r="D210" s="33" t="n"/>
      <c r="E210" s="33" t="n"/>
      <c r="F210" s="18">
        <f>IF(B210="","",COUNTIFS(Orders!$C$6:$C$1005,B210,Orders!$L$6:$L$1005,"&lt;&gt;Cancelled"))</f>
        <v/>
      </c>
      <c r="G210" s="22">
        <f>IF(B210="","",SUMIFS(Orders!$H$6:$H$1005,Orders!$C$6:$C$1005,B210,Orders!$L$6:$L$1005,"&lt;&gt;Cancelled"))</f>
        <v/>
      </c>
      <c r="H210" s="43">
        <f>IF(B210="","",IF(SUMIFS(Orders!$U$6:$U$1005,Orders!$C$6:$C$1005,B210,Orders!$V$6:$V$1005,1)=0,"",INT(SUMIFS(Orders!$U$6:$U$1005,Orders!$C$6:$C$1005,B210,Orders!$V$6:$V$1005,1))))</f>
        <v/>
      </c>
      <c r="I210" s="30">
        <f>IF(B210="","",IF(SUMIFS(Orders!$J$6:$J$1005,Orders!$C$6:$C$1005,B210)=0,"",SUMIFS(Orders!$J$6:$J$1005,Orders!$C$6:$C$1005,B210)))</f>
        <v/>
      </c>
      <c r="J210" s="1" t="n"/>
    </row>
    <row r="211">
      <c r="A211" s="1" t="n"/>
      <c r="B211" s="32" t="n"/>
      <c r="C211" s="33" t="n"/>
      <c r="D211" s="33" t="n"/>
      <c r="E211" s="33" t="n"/>
      <c r="F211" s="18">
        <f>IF(B211="","",COUNTIFS(Orders!$C$6:$C$1005,B211,Orders!$L$6:$L$1005,"&lt;&gt;Cancelled"))</f>
        <v/>
      </c>
      <c r="G211" s="22">
        <f>IF(B211="","",SUMIFS(Orders!$H$6:$H$1005,Orders!$C$6:$C$1005,B211,Orders!$L$6:$L$1005,"&lt;&gt;Cancelled"))</f>
        <v/>
      </c>
      <c r="H211" s="43">
        <f>IF(B211="","",IF(SUMIFS(Orders!$U$6:$U$1005,Orders!$C$6:$C$1005,B211,Orders!$V$6:$V$1005,1)=0,"",INT(SUMIFS(Orders!$U$6:$U$1005,Orders!$C$6:$C$1005,B211,Orders!$V$6:$V$1005,1))))</f>
        <v/>
      </c>
      <c r="I211" s="30">
        <f>IF(B211="","",IF(SUMIFS(Orders!$J$6:$J$1005,Orders!$C$6:$C$1005,B211)=0,"",SUMIFS(Orders!$J$6:$J$1005,Orders!$C$6:$C$1005,B211)))</f>
        <v/>
      </c>
      <c r="J211" s="1" t="n"/>
    </row>
    <row r="212">
      <c r="A212" s="1" t="n"/>
      <c r="B212" s="32" t="n"/>
      <c r="C212" s="33" t="n"/>
      <c r="D212" s="33" t="n"/>
      <c r="E212" s="33" t="n"/>
      <c r="F212" s="18">
        <f>IF(B212="","",COUNTIFS(Orders!$C$6:$C$1005,B212,Orders!$L$6:$L$1005,"&lt;&gt;Cancelled"))</f>
        <v/>
      </c>
      <c r="G212" s="22">
        <f>IF(B212="","",SUMIFS(Orders!$H$6:$H$1005,Orders!$C$6:$C$1005,B212,Orders!$L$6:$L$1005,"&lt;&gt;Cancelled"))</f>
        <v/>
      </c>
      <c r="H212" s="43">
        <f>IF(B212="","",IF(SUMIFS(Orders!$U$6:$U$1005,Orders!$C$6:$C$1005,B212,Orders!$V$6:$V$1005,1)=0,"",INT(SUMIFS(Orders!$U$6:$U$1005,Orders!$C$6:$C$1005,B212,Orders!$V$6:$V$1005,1))))</f>
        <v/>
      </c>
      <c r="I212" s="30">
        <f>IF(B212="","",IF(SUMIFS(Orders!$J$6:$J$1005,Orders!$C$6:$C$1005,B212)=0,"",SUMIFS(Orders!$J$6:$J$1005,Orders!$C$6:$C$1005,B212)))</f>
        <v/>
      </c>
      <c r="J212" s="1" t="n"/>
    </row>
    <row r="213">
      <c r="A213" s="1" t="n"/>
      <c r="B213" s="32" t="n"/>
      <c r="C213" s="33" t="n"/>
      <c r="D213" s="33" t="n"/>
      <c r="E213" s="33" t="n"/>
      <c r="F213" s="18">
        <f>IF(B213="","",COUNTIFS(Orders!$C$6:$C$1005,B213,Orders!$L$6:$L$1005,"&lt;&gt;Cancelled"))</f>
        <v/>
      </c>
      <c r="G213" s="22">
        <f>IF(B213="","",SUMIFS(Orders!$H$6:$H$1005,Orders!$C$6:$C$1005,B213,Orders!$L$6:$L$1005,"&lt;&gt;Cancelled"))</f>
        <v/>
      </c>
      <c r="H213" s="43">
        <f>IF(B213="","",IF(SUMIFS(Orders!$U$6:$U$1005,Orders!$C$6:$C$1005,B213,Orders!$V$6:$V$1005,1)=0,"",INT(SUMIFS(Orders!$U$6:$U$1005,Orders!$C$6:$C$1005,B213,Orders!$V$6:$V$1005,1))))</f>
        <v/>
      </c>
      <c r="I213" s="30">
        <f>IF(B213="","",IF(SUMIFS(Orders!$J$6:$J$1005,Orders!$C$6:$C$1005,B213)=0,"",SUMIFS(Orders!$J$6:$J$1005,Orders!$C$6:$C$1005,B213)))</f>
        <v/>
      </c>
      <c r="J213" s="1" t="n"/>
    </row>
    <row r="214">
      <c r="A214" s="1" t="n"/>
      <c r="B214" s="32" t="n"/>
      <c r="C214" s="33" t="n"/>
      <c r="D214" s="33" t="n"/>
      <c r="E214" s="33" t="n"/>
      <c r="F214" s="18">
        <f>IF(B214="","",COUNTIFS(Orders!$C$6:$C$1005,B214,Orders!$L$6:$L$1005,"&lt;&gt;Cancelled"))</f>
        <v/>
      </c>
      <c r="G214" s="22">
        <f>IF(B214="","",SUMIFS(Orders!$H$6:$H$1005,Orders!$C$6:$C$1005,B214,Orders!$L$6:$L$1005,"&lt;&gt;Cancelled"))</f>
        <v/>
      </c>
      <c r="H214" s="43">
        <f>IF(B214="","",IF(SUMIFS(Orders!$U$6:$U$1005,Orders!$C$6:$C$1005,B214,Orders!$V$6:$V$1005,1)=0,"",INT(SUMIFS(Orders!$U$6:$U$1005,Orders!$C$6:$C$1005,B214,Orders!$V$6:$V$1005,1))))</f>
        <v/>
      </c>
      <c r="I214" s="30">
        <f>IF(B214="","",IF(SUMIFS(Orders!$J$6:$J$1005,Orders!$C$6:$C$1005,B214)=0,"",SUMIFS(Orders!$J$6:$J$1005,Orders!$C$6:$C$1005,B214)))</f>
        <v/>
      </c>
      <c r="J214" s="1" t="n"/>
    </row>
    <row r="215">
      <c r="A215" s="1" t="n"/>
      <c r="B215" s="32" t="n"/>
      <c r="C215" s="33" t="n"/>
      <c r="D215" s="33" t="n"/>
      <c r="E215" s="33" t="n"/>
      <c r="F215" s="18">
        <f>IF(B215="","",COUNTIFS(Orders!$C$6:$C$1005,B215,Orders!$L$6:$L$1005,"&lt;&gt;Cancelled"))</f>
        <v/>
      </c>
      <c r="G215" s="22">
        <f>IF(B215="","",SUMIFS(Orders!$H$6:$H$1005,Orders!$C$6:$C$1005,B215,Orders!$L$6:$L$1005,"&lt;&gt;Cancelled"))</f>
        <v/>
      </c>
      <c r="H215" s="43">
        <f>IF(B215="","",IF(SUMIFS(Orders!$U$6:$U$1005,Orders!$C$6:$C$1005,B215,Orders!$V$6:$V$1005,1)=0,"",INT(SUMIFS(Orders!$U$6:$U$1005,Orders!$C$6:$C$1005,B215,Orders!$V$6:$V$1005,1))))</f>
        <v/>
      </c>
      <c r="I215" s="30">
        <f>IF(B215="","",IF(SUMIFS(Orders!$J$6:$J$1005,Orders!$C$6:$C$1005,B215)=0,"",SUMIFS(Orders!$J$6:$J$1005,Orders!$C$6:$C$1005,B215)))</f>
        <v/>
      </c>
      <c r="J215" s="1" t="n"/>
    </row>
    <row r="216">
      <c r="A216" s="1" t="n"/>
      <c r="B216" s="32" t="n"/>
      <c r="C216" s="33" t="n"/>
      <c r="D216" s="33" t="n"/>
      <c r="E216" s="33" t="n"/>
      <c r="F216" s="18">
        <f>IF(B216="","",COUNTIFS(Orders!$C$6:$C$1005,B216,Orders!$L$6:$L$1005,"&lt;&gt;Cancelled"))</f>
        <v/>
      </c>
      <c r="G216" s="22">
        <f>IF(B216="","",SUMIFS(Orders!$H$6:$H$1005,Orders!$C$6:$C$1005,B216,Orders!$L$6:$L$1005,"&lt;&gt;Cancelled"))</f>
        <v/>
      </c>
      <c r="H216" s="43">
        <f>IF(B216="","",IF(SUMIFS(Orders!$U$6:$U$1005,Orders!$C$6:$C$1005,B216,Orders!$V$6:$V$1005,1)=0,"",INT(SUMIFS(Orders!$U$6:$U$1005,Orders!$C$6:$C$1005,B216,Orders!$V$6:$V$1005,1))))</f>
        <v/>
      </c>
      <c r="I216" s="30">
        <f>IF(B216="","",IF(SUMIFS(Orders!$J$6:$J$1005,Orders!$C$6:$C$1005,B216)=0,"",SUMIFS(Orders!$J$6:$J$1005,Orders!$C$6:$C$1005,B216)))</f>
        <v/>
      </c>
      <c r="J216" s="1" t="n"/>
    </row>
    <row r="217">
      <c r="A217" s="1" t="n"/>
      <c r="B217" s="32" t="n"/>
      <c r="C217" s="33" t="n"/>
      <c r="D217" s="33" t="n"/>
      <c r="E217" s="33" t="n"/>
      <c r="F217" s="18">
        <f>IF(B217="","",COUNTIFS(Orders!$C$6:$C$1005,B217,Orders!$L$6:$L$1005,"&lt;&gt;Cancelled"))</f>
        <v/>
      </c>
      <c r="G217" s="22">
        <f>IF(B217="","",SUMIFS(Orders!$H$6:$H$1005,Orders!$C$6:$C$1005,B217,Orders!$L$6:$L$1005,"&lt;&gt;Cancelled"))</f>
        <v/>
      </c>
      <c r="H217" s="43">
        <f>IF(B217="","",IF(SUMIFS(Orders!$U$6:$U$1005,Orders!$C$6:$C$1005,B217,Orders!$V$6:$V$1005,1)=0,"",INT(SUMIFS(Orders!$U$6:$U$1005,Orders!$C$6:$C$1005,B217,Orders!$V$6:$V$1005,1))))</f>
        <v/>
      </c>
      <c r="I217" s="30">
        <f>IF(B217="","",IF(SUMIFS(Orders!$J$6:$J$1005,Orders!$C$6:$C$1005,B217)=0,"",SUMIFS(Orders!$J$6:$J$1005,Orders!$C$6:$C$1005,B217)))</f>
        <v/>
      </c>
      <c r="J217" s="1" t="n"/>
    </row>
    <row r="218">
      <c r="A218" s="1" t="n"/>
      <c r="B218" s="32" t="n"/>
      <c r="C218" s="33" t="n"/>
      <c r="D218" s="33" t="n"/>
      <c r="E218" s="33" t="n"/>
      <c r="F218" s="18">
        <f>IF(B218="","",COUNTIFS(Orders!$C$6:$C$1005,B218,Orders!$L$6:$L$1005,"&lt;&gt;Cancelled"))</f>
        <v/>
      </c>
      <c r="G218" s="22">
        <f>IF(B218="","",SUMIFS(Orders!$H$6:$H$1005,Orders!$C$6:$C$1005,B218,Orders!$L$6:$L$1005,"&lt;&gt;Cancelled"))</f>
        <v/>
      </c>
      <c r="H218" s="43">
        <f>IF(B218="","",IF(SUMIFS(Orders!$U$6:$U$1005,Orders!$C$6:$C$1005,B218,Orders!$V$6:$V$1005,1)=0,"",INT(SUMIFS(Orders!$U$6:$U$1005,Orders!$C$6:$C$1005,B218,Orders!$V$6:$V$1005,1))))</f>
        <v/>
      </c>
      <c r="I218" s="30">
        <f>IF(B218="","",IF(SUMIFS(Orders!$J$6:$J$1005,Orders!$C$6:$C$1005,B218)=0,"",SUMIFS(Orders!$J$6:$J$1005,Orders!$C$6:$C$1005,B218)))</f>
        <v/>
      </c>
      <c r="J218" s="1" t="n"/>
    </row>
    <row r="219">
      <c r="A219" s="1" t="n"/>
      <c r="B219" s="32" t="n"/>
      <c r="C219" s="33" t="n"/>
      <c r="D219" s="33" t="n"/>
      <c r="E219" s="33" t="n"/>
      <c r="F219" s="18">
        <f>IF(B219="","",COUNTIFS(Orders!$C$6:$C$1005,B219,Orders!$L$6:$L$1005,"&lt;&gt;Cancelled"))</f>
        <v/>
      </c>
      <c r="G219" s="22">
        <f>IF(B219="","",SUMIFS(Orders!$H$6:$H$1005,Orders!$C$6:$C$1005,B219,Orders!$L$6:$L$1005,"&lt;&gt;Cancelled"))</f>
        <v/>
      </c>
      <c r="H219" s="43">
        <f>IF(B219="","",IF(SUMIFS(Orders!$U$6:$U$1005,Orders!$C$6:$C$1005,B219,Orders!$V$6:$V$1005,1)=0,"",INT(SUMIFS(Orders!$U$6:$U$1005,Orders!$C$6:$C$1005,B219,Orders!$V$6:$V$1005,1))))</f>
        <v/>
      </c>
      <c r="I219" s="30">
        <f>IF(B219="","",IF(SUMIFS(Orders!$J$6:$J$1005,Orders!$C$6:$C$1005,B219)=0,"",SUMIFS(Orders!$J$6:$J$1005,Orders!$C$6:$C$1005,B219)))</f>
        <v/>
      </c>
      <c r="J219" s="1" t="n"/>
    </row>
    <row r="220">
      <c r="A220" s="1" t="n"/>
      <c r="B220" s="32" t="n"/>
      <c r="C220" s="33" t="n"/>
      <c r="D220" s="33" t="n"/>
      <c r="E220" s="33" t="n"/>
      <c r="F220" s="18">
        <f>IF(B220="","",COUNTIFS(Orders!$C$6:$C$1005,B220,Orders!$L$6:$L$1005,"&lt;&gt;Cancelled"))</f>
        <v/>
      </c>
      <c r="G220" s="22">
        <f>IF(B220="","",SUMIFS(Orders!$H$6:$H$1005,Orders!$C$6:$C$1005,B220,Orders!$L$6:$L$1005,"&lt;&gt;Cancelled"))</f>
        <v/>
      </c>
      <c r="H220" s="43">
        <f>IF(B220="","",IF(SUMIFS(Orders!$U$6:$U$1005,Orders!$C$6:$C$1005,B220,Orders!$V$6:$V$1005,1)=0,"",INT(SUMIFS(Orders!$U$6:$U$1005,Orders!$C$6:$C$1005,B220,Orders!$V$6:$V$1005,1))))</f>
        <v/>
      </c>
      <c r="I220" s="30">
        <f>IF(B220="","",IF(SUMIFS(Orders!$J$6:$J$1005,Orders!$C$6:$C$1005,B220)=0,"",SUMIFS(Orders!$J$6:$J$1005,Orders!$C$6:$C$1005,B220)))</f>
        <v/>
      </c>
      <c r="J220" s="1" t="n"/>
    </row>
    <row r="221">
      <c r="A221" s="1" t="n"/>
      <c r="B221" s="32" t="n"/>
      <c r="C221" s="33" t="n"/>
      <c r="D221" s="33" t="n"/>
      <c r="E221" s="33" t="n"/>
      <c r="F221" s="18">
        <f>IF(B221="","",COUNTIFS(Orders!$C$6:$C$1005,B221,Orders!$L$6:$L$1005,"&lt;&gt;Cancelled"))</f>
        <v/>
      </c>
      <c r="G221" s="22">
        <f>IF(B221="","",SUMIFS(Orders!$H$6:$H$1005,Orders!$C$6:$C$1005,B221,Orders!$L$6:$L$1005,"&lt;&gt;Cancelled"))</f>
        <v/>
      </c>
      <c r="H221" s="43">
        <f>IF(B221="","",IF(SUMIFS(Orders!$U$6:$U$1005,Orders!$C$6:$C$1005,B221,Orders!$V$6:$V$1005,1)=0,"",INT(SUMIFS(Orders!$U$6:$U$1005,Orders!$C$6:$C$1005,B221,Orders!$V$6:$V$1005,1))))</f>
        <v/>
      </c>
      <c r="I221" s="30">
        <f>IF(B221="","",IF(SUMIFS(Orders!$J$6:$J$1005,Orders!$C$6:$C$1005,B221)=0,"",SUMIFS(Orders!$J$6:$J$1005,Orders!$C$6:$C$1005,B221)))</f>
        <v/>
      </c>
      <c r="J221" s="1" t="n"/>
    </row>
    <row r="222">
      <c r="A222" s="1" t="n"/>
      <c r="B222" s="32" t="n"/>
      <c r="C222" s="33" t="n"/>
      <c r="D222" s="33" t="n"/>
      <c r="E222" s="33" t="n"/>
      <c r="F222" s="18">
        <f>IF(B222="","",COUNTIFS(Orders!$C$6:$C$1005,B222,Orders!$L$6:$L$1005,"&lt;&gt;Cancelled"))</f>
        <v/>
      </c>
      <c r="G222" s="22">
        <f>IF(B222="","",SUMIFS(Orders!$H$6:$H$1005,Orders!$C$6:$C$1005,B222,Orders!$L$6:$L$1005,"&lt;&gt;Cancelled"))</f>
        <v/>
      </c>
      <c r="H222" s="43">
        <f>IF(B222="","",IF(SUMIFS(Orders!$U$6:$U$1005,Orders!$C$6:$C$1005,B222,Orders!$V$6:$V$1005,1)=0,"",INT(SUMIFS(Orders!$U$6:$U$1005,Orders!$C$6:$C$1005,B222,Orders!$V$6:$V$1005,1))))</f>
        <v/>
      </c>
      <c r="I222" s="30">
        <f>IF(B222="","",IF(SUMIFS(Orders!$J$6:$J$1005,Orders!$C$6:$C$1005,B222)=0,"",SUMIFS(Orders!$J$6:$J$1005,Orders!$C$6:$C$1005,B222)))</f>
        <v/>
      </c>
      <c r="J222" s="1" t="n"/>
    </row>
    <row r="223">
      <c r="A223" s="1" t="n"/>
      <c r="B223" s="32" t="n"/>
      <c r="C223" s="33" t="n"/>
      <c r="D223" s="33" t="n"/>
      <c r="E223" s="33" t="n"/>
      <c r="F223" s="18">
        <f>IF(B223="","",COUNTIFS(Orders!$C$6:$C$1005,B223,Orders!$L$6:$L$1005,"&lt;&gt;Cancelled"))</f>
        <v/>
      </c>
      <c r="G223" s="22">
        <f>IF(B223="","",SUMIFS(Orders!$H$6:$H$1005,Orders!$C$6:$C$1005,B223,Orders!$L$6:$L$1005,"&lt;&gt;Cancelled"))</f>
        <v/>
      </c>
      <c r="H223" s="43">
        <f>IF(B223="","",IF(SUMIFS(Orders!$U$6:$U$1005,Orders!$C$6:$C$1005,B223,Orders!$V$6:$V$1005,1)=0,"",INT(SUMIFS(Orders!$U$6:$U$1005,Orders!$C$6:$C$1005,B223,Orders!$V$6:$V$1005,1))))</f>
        <v/>
      </c>
      <c r="I223" s="30">
        <f>IF(B223="","",IF(SUMIFS(Orders!$J$6:$J$1005,Orders!$C$6:$C$1005,B223)=0,"",SUMIFS(Orders!$J$6:$J$1005,Orders!$C$6:$C$1005,B223)))</f>
        <v/>
      </c>
      <c r="J223" s="1" t="n"/>
    </row>
    <row r="224">
      <c r="A224" s="1" t="n"/>
      <c r="B224" s="32" t="n"/>
      <c r="C224" s="33" t="n"/>
      <c r="D224" s="33" t="n"/>
      <c r="E224" s="33" t="n"/>
      <c r="F224" s="18">
        <f>IF(B224="","",COUNTIFS(Orders!$C$6:$C$1005,B224,Orders!$L$6:$L$1005,"&lt;&gt;Cancelled"))</f>
        <v/>
      </c>
      <c r="G224" s="22">
        <f>IF(B224="","",SUMIFS(Orders!$H$6:$H$1005,Orders!$C$6:$C$1005,B224,Orders!$L$6:$L$1005,"&lt;&gt;Cancelled"))</f>
        <v/>
      </c>
      <c r="H224" s="43">
        <f>IF(B224="","",IF(SUMIFS(Orders!$U$6:$U$1005,Orders!$C$6:$C$1005,B224,Orders!$V$6:$V$1005,1)=0,"",INT(SUMIFS(Orders!$U$6:$U$1005,Orders!$C$6:$C$1005,B224,Orders!$V$6:$V$1005,1))))</f>
        <v/>
      </c>
      <c r="I224" s="30">
        <f>IF(B224="","",IF(SUMIFS(Orders!$J$6:$J$1005,Orders!$C$6:$C$1005,B224)=0,"",SUMIFS(Orders!$J$6:$J$1005,Orders!$C$6:$C$1005,B224)))</f>
        <v/>
      </c>
      <c r="J224" s="1" t="n"/>
    </row>
    <row r="225">
      <c r="A225" s="1" t="n"/>
      <c r="B225" s="32" t="n"/>
      <c r="C225" s="33" t="n"/>
      <c r="D225" s="33" t="n"/>
      <c r="E225" s="33" t="n"/>
      <c r="F225" s="18">
        <f>IF(B225="","",COUNTIFS(Orders!$C$6:$C$1005,B225,Orders!$L$6:$L$1005,"&lt;&gt;Cancelled"))</f>
        <v/>
      </c>
      <c r="G225" s="22">
        <f>IF(B225="","",SUMIFS(Orders!$H$6:$H$1005,Orders!$C$6:$C$1005,B225,Orders!$L$6:$L$1005,"&lt;&gt;Cancelled"))</f>
        <v/>
      </c>
      <c r="H225" s="43">
        <f>IF(B225="","",IF(SUMIFS(Orders!$U$6:$U$1005,Orders!$C$6:$C$1005,B225,Orders!$V$6:$V$1005,1)=0,"",INT(SUMIFS(Orders!$U$6:$U$1005,Orders!$C$6:$C$1005,B225,Orders!$V$6:$V$1005,1))))</f>
        <v/>
      </c>
      <c r="I225" s="30">
        <f>IF(B225="","",IF(SUMIFS(Orders!$J$6:$J$1005,Orders!$C$6:$C$1005,B225)=0,"",SUMIFS(Orders!$J$6:$J$1005,Orders!$C$6:$C$1005,B225)))</f>
        <v/>
      </c>
      <c r="J225" s="1" t="n"/>
    </row>
    <row r="226">
      <c r="A226" s="1" t="n"/>
      <c r="B226" s="32" t="n"/>
      <c r="C226" s="33" t="n"/>
      <c r="D226" s="33" t="n"/>
      <c r="E226" s="33" t="n"/>
      <c r="F226" s="18">
        <f>IF(B226="","",COUNTIFS(Orders!$C$6:$C$1005,B226,Orders!$L$6:$L$1005,"&lt;&gt;Cancelled"))</f>
        <v/>
      </c>
      <c r="G226" s="22">
        <f>IF(B226="","",SUMIFS(Orders!$H$6:$H$1005,Orders!$C$6:$C$1005,B226,Orders!$L$6:$L$1005,"&lt;&gt;Cancelled"))</f>
        <v/>
      </c>
      <c r="H226" s="43">
        <f>IF(B226="","",IF(SUMIFS(Orders!$U$6:$U$1005,Orders!$C$6:$C$1005,B226,Orders!$V$6:$V$1005,1)=0,"",INT(SUMIFS(Orders!$U$6:$U$1005,Orders!$C$6:$C$1005,B226,Orders!$V$6:$V$1005,1))))</f>
        <v/>
      </c>
      <c r="I226" s="30">
        <f>IF(B226="","",IF(SUMIFS(Orders!$J$6:$J$1005,Orders!$C$6:$C$1005,B226)=0,"",SUMIFS(Orders!$J$6:$J$1005,Orders!$C$6:$C$1005,B226)))</f>
        <v/>
      </c>
      <c r="J226" s="1" t="n"/>
    </row>
    <row r="227">
      <c r="A227" s="1" t="n"/>
      <c r="B227" s="32" t="n"/>
      <c r="C227" s="33" t="n"/>
      <c r="D227" s="33" t="n"/>
      <c r="E227" s="33" t="n"/>
      <c r="F227" s="18">
        <f>IF(B227="","",COUNTIFS(Orders!$C$6:$C$1005,B227,Orders!$L$6:$L$1005,"&lt;&gt;Cancelled"))</f>
        <v/>
      </c>
      <c r="G227" s="22">
        <f>IF(B227="","",SUMIFS(Orders!$H$6:$H$1005,Orders!$C$6:$C$1005,B227,Orders!$L$6:$L$1005,"&lt;&gt;Cancelled"))</f>
        <v/>
      </c>
      <c r="H227" s="43">
        <f>IF(B227="","",IF(SUMIFS(Orders!$U$6:$U$1005,Orders!$C$6:$C$1005,B227,Orders!$V$6:$V$1005,1)=0,"",INT(SUMIFS(Orders!$U$6:$U$1005,Orders!$C$6:$C$1005,B227,Orders!$V$6:$V$1005,1))))</f>
        <v/>
      </c>
      <c r="I227" s="30">
        <f>IF(B227="","",IF(SUMIFS(Orders!$J$6:$J$1005,Orders!$C$6:$C$1005,B227)=0,"",SUMIFS(Orders!$J$6:$J$1005,Orders!$C$6:$C$1005,B227)))</f>
        <v/>
      </c>
      <c r="J227" s="1" t="n"/>
    </row>
    <row r="228">
      <c r="A228" s="1" t="n"/>
      <c r="B228" s="32" t="n"/>
      <c r="C228" s="33" t="n"/>
      <c r="D228" s="33" t="n"/>
      <c r="E228" s="33" t="n"/>
      <c r="F228" s="18">
        <f>IF(B228="","",COUNTIFS(Orders!$C$6:$C$1005,B228,Orders!$L$6:$L$1005,"&lt;&gt;Cancelled"))</f>
        <v/>
      </c>
      <c r="G228" s="22">
        <f>IF(B228="","",SUMIFS(Orders!$H$6:$H$1005,Orders!$C$6:$C$1005,B228,Orders!$L$6:$L$1005,"&lt;&gt;Cancelled"))</f>
        <v/>
      </c>
      <c r="H228" s="43">
        <f>IF(B228="","",IF(SUMIFS(Orders!$U$6:$U$1005,Orders!$C$6:$C$1005,B228,Orders!$V$6:$V$1005,1)=0,"",INT(SUMIFS(Orders!$U$6:$U$1005,Orders!$C$6:$C$1005,B228,Orders!$V$6:$V$1005,1))))</f>
        <v/>
      </c>
      <c r="I228" s="30">
        <f>IF(B228="","",IF(SUMIFS(Orders!$J$6:$J$1005,Orders!$C$6:$C$1005,B228)=0,"",SUMIFS(Orders!$J$6:$J$1005,Orders!$C$6:$C$1005,B228)))</f>
        <v/>
      </c>
      <c r="J228" s="1" t="n"/>
    </row>
    <row r="229">
      <c r="A229" s="1" t="n"/>
      <c r="B229" s="32" t="n"/>
      <c r="C229" s="33" t="n"/>
      <c r="D229" s="33" t="n"/>
      <c r="E229" s="33" t="n"/>
      <c r="F229" s="18">
        <f>IF(B229="","",COUNTIFS(Orders!$C$6:$C$1005,B229,Orders!$L$6:$L$1005,"&lt;&gt;Cancelled"))</f>
        <v/>
      </c>
      <c r="G229" s="22">
        <f>IF(B229="","",SUMIFS(Orders!$H$6:$H$1005,Orders!$C$6:$C$1005,B229,Orders!$L$6:$L$1005,"&lt;&gt;Cancelled"))</f>
        <v/>
      </c>
      <c r="H229" s="43">
        <f>IF(B229="","",IF(SUMIFS(Orders!$U$6:$U$1005,Orders!$C$6:$C$1005,B229,Orders!$V$6:$V$1005,1)=0,"",INT(SUMIFS(Orders!$U$6:$U$1005,Orders!$C$6:$C$1005,B229,Orders!$V$6:$V$1005,1))))</f>
        <v/>
      </c>
      <c r="I229" s="30">
        <f>IF(B229="","",IF(SUMIFS(Orders!$J$6:$J$1005,Orders!$C$6:$C$1005,B229)=0,"",SUMIFS(Orders!$J$6:$J$1005,Orders!$C$6:$C$1005,B229)))</f>
        <v/>
      </c>
      <c r="J229" s="1" t="n"/>
    </row>
    <row r="230">
      <c r="A230" s="1" t="n"/>
      <c r="B230" s="32" t="n"/>
      <c r="C230" s="33" t="n"/>
      <c r="D230" s="33" t="n"/>
      <c r="E230" s="33" t="n"/>
      <c r="F230" s="18">
        <f>IF(B230="","",COUNTIFS(Orders!$C$6:$C$1005,B230,Orders!$L$6:$L$1005,"&lt;&gt;Cancelled"))</f>
        <v/>
      </c>
      <c r="G230" s="22">
        <f>IF(B230="","",SUMIFS(Orders!$H$6:$H$1005,Orders!$C$6:$C$1005,B230,Orders!$L$6:$L$1005,"&lt;&gt;Cancelled"))</f>
        <v/>
      </c>
      <c r="H230" s="43">
        <f>IF(B230="","",IF(SUMIFS(Orders!$U$6:$U$1005,Orders!$C$6:$C$1005,B230,Orders!$V$6:$V$1005,1)=0,"",INT(SUMIFS(Orders!$U$6:$U$1005,Orders!$C$6:$C$1005,B230,Orders!$V$6:$V$1005,1))))</f>
        <v/>
      </c>
      <c r="I230" s="30">
        <f>IF(B230="","",IF(SUMIFS(Orders!$J$6:$J$1005,Orders!$C$6:$C$1005,B230)=0,"",SUMIFS(Orders!$J$6:$J$1005,Orders!$C$6:$C$1005,B230)))</f>
        <v/>
      </c>
      <c r="J230" s="1" t="n"/>
    </row>
    <row r="231">
      <c r="A231" s="1" t="n"/>
      <c r="B231" s="32" t="n"/>
      <c r="C231" s="33" t="n"/>
      <c r="D231" s="33" t="n"/>
      <c r="E231" s="33" t="n"/>
      <c r="F231" s="18">
        <f>IF(B231="","",COUNTIFS(Orders!$C$6:$C$1005,B231,Orders!$L$6:$L$1005,"&lt;&gt;Cancelled"))</f>
        <v/>
      </c>
      <c r="G231" s="22">
        <f>IF(B231="","",SUMIFS(Orders!$H$6:$H$1005,Orders!$C$6:$C$1005,B231,Orders!$L$6:$L$1005,"&lt;&gt;Cancelled"))</f>
        <v/>
      </c>
      <c r="H231" s="43">
        <f>IF(B231="","",IF(SUMIFS(Orders!$U$6:$U$1005,Orders!$C$6:$C$1005,B231,Orders!$V$6:$V$1005,1)=0,"",INT(SUMIFS(Orders!$U$6:$U$1005,Orders!$C$6:$C$1005,B231,Orders!$V$6:$V$1005,1))))</f>
        <v/>
      </c>
      <c r="I231" s="30">
        <f>IF(B231="","",IF(SUMIFS(Orders!$J$6:$J$1005,Orders!$C$6:$C$1005,B231)=0,"",SUMIFS(Orders!$J$6:$J$1005,Orders!$C$6:$C$1005,B231)))</f>
        <v/>
      </c>
      <c r="J231" s="1" t="n"/>
    </row>
    <row r="232">
      <c r="A232" s="1" t="n"/>
      <c r="B232" s="32" t="n"/>
      <c r="C232" s="33" t="n"/>
      <c r="D232" s="33" t="n"/>
      <c r="E232" s="33" t="n"/>
      <c r="F232" s="18">
        <f>IF(B232="","",COUNTIFS(Orders!$C$6:$C$1005,B232,Orders!$L$6:$L$1005,"&lt;&gt;Cancelled"))</f>
        <v/>
      </c>
      <c r="G232" s="22">
        <f>IF(B232="","",SUMIFS(Orders!$H$6:$H$1005,Orders!$C$6:$C$1005,B232,Orders!$L$6:$L$1005,"&lt;&gt;Cancelled"))</f>
        <v/>
      </c>
      <c r="H232" s="43">
        <f>IF(B232="","",IF(SUMIFS(Orders!$U$6:$U$1005,Orders!$C$6:$C$1005,B232,Orders!$V$6:$V$1005,1)=0,"",INT(SUMIFS(Orders!$U$6:$U$1005,Orders!$C$6:$C$1005,B232,Orders!$V$6:$V$1005,1))))</f>
        <v/>
      </c>
      <c r="I232" s="30">
        <f>IF(B232="","",IF(SUMIFS(Orders!$J$6:$J$1005,Orders!$C$6:$C$1005,B232)=0,"",SUMIFS(Orders!$J$6:$J$1005,Orders!$C$6:$C$1005,B232)))</f>
        <v/>
      </c>
      <c r="J232" s="1" t="n"/>
    </row>
    <row r="233">
      <c r="A233" s="1" t="n"/>
      <c r="B233" s="32" t="n"/>
      <c r="C233" s="33" t="n"/>
      <c r="D233" s="33" t="n"/>
      <c r="E233" s="33" t="n"/>
      <c r="F233" s="18">
        <f>IF(B233="","",COUNTIFS(Orders!$C$6:$C$1005,B233,Orders!$L$6:$L$1005,"&lt;&gt;Cancelled"))</f>
        <v/>
      </c>
      <c r="G233" s="22">
        <f>IF(B233="","",SUMIFS(Orders!$H$6:$H$1005,Orders!$C$6:$C$1005,B233,Orders!$L$6:$L$1005,"&lt;&gt;Cancelled"))</f>
        <v/>
      </c>
      <c r="H233" s="43">
        <f>IF(B233="","",IF(SUMIFS(Orders!$U$6:$U$1005,Orders!$C$6:$C$1005,B233,Orders!$V$6:$V$1005,1)=0,"",INT(SUMIFS(Orders!$U$6:$U$1005,Orders!$C$6:$C$1005,B233,Orders!$V$6:$V$1005,1))))</f>
        <v/>
      </c>
      <c r="I233" s="30">
        <f>IF(B233="","",IF(SUMIFS(Orders!$J$6:$J$1005,Orders!$C$6:$C$1005,B233)=0,"",SUMIFS(Orders!$J$6:$J$1005,Orders!$C$6:$C$1005,B233)))</f>
        <v/>
      </c>
      <c r="J233" s="1" t="n"/>
    </row>
    <row r="234">
      <c r="A234" s="1" t="n"/>
      <c r="B234" s="32" t="n"/>
      <c r="C234" s="33" t="n"/>
      <c r="D234" s="33" t="n"/>
      <c r="E234" s="33" t="n"/>
      <c r="F234" s="18">
        <f>IF(B234="","",COUNTIFS(Orders!$C$6:$C$1005,B234,Orders!$L$6:$L$1005,"&lt;&gt;Cancelled"))</f>
        <v/>
      </c>
      <c r="G234" s="22">
        <f>IF(B234="","",SUMIFS(Orders!$H$6:$H$1005,Orders!$C$6:$C$1005,B234,Orders!$L$6:$L$1005,"&lt;&gt;Cancelled"))</f>
        <v/>
      </c>
      <c r="H234" s="43">
        <f>IF(B234="","",IF(SUMIFS(Orders!$U$6:$U$1005,Orders!$C$6:$C$1005,B234,Orders!$V$6:$V$1005,1)=0,"",INT(SUMIFS(Orders!$U$6:$U$1005,Orders!$C$6:$C$1005,B234,Orders!$V$6:$V$1005,1))))</f>
        <v/>
      </c>
      <c r="I234" s="30">
        <f>IF(B234="","",IF(SUMIFS(Orders!$J$6:$J$1005,Orders!$C$6:$C$1005,B234)=0,"",SUMIFS(Orders!$J$6:$J$1005,Orders!$C$6:$C$1005,B234)))</f>
        <v/>
      </c>
      <c r="J234" s="1" t="n"/>
    </row>
    <row r="235">
      <c r="A235" s="1" t="n"/>
      <c r="B235" s="32" t="n"/>
      <c r="C235" s="33" t="n"/>
      <c r="D235" s="33" t="n"/>
      <c r="E235" s="33" t="n"/>
      <c r="F235" s="18">
        <f>IF(B235="","",COUNTIFS(Orders!$C$6:$C$1005,B235,Orders!$L$6:$L$1005,"&lt;&gt;Cancelled"))</f>
        <v/>
      </c>
      <c r="G235" s="22">
        <f>IF(B235="","",SUMIFS(Orders!$H$6:$H$1005,Orders!$C$6:$C$1005,B235,Orders!$L$6:$L$1005,"&lt;&gt;Cancelled"))</f>
        <v/>
      </c>
      <c r="H235" s="43">
        <f>IF(B235="","",IF(SUMIFS(Orders!$U$6:$U$1005,Orders!$C$6:$C$1005,B235,Orders!$V$6:$V$1005,1)=0,"",INT(SUMIFS(Orders!$U$6:$U$1005,Orders!$C$6:$C$1005,B235,Orders!$V$6:$V$1005,1))))</f>
        <v/>
      </c>
      <c r="I235" s="30">
        <f>IF(B235="","",IF(SUMIFS(Orders!$J$6:$J$1005,Orders!$C$6:$C$1005,B235)=0,"",SUMIFS(Orders!$J$6:$J$1005,Orders!$C$6:$C$1005,B235)))</f>
        <v/>
      </c>
      <c r="J235" s="1" t="n"/>
    </row>
    <row r="236">
      <c r="A236" s="1" t="n"/>
      <c r="B236" s="32" t="n"/>
      <c r="C236" s="33" t="n"/>
      <c r="D236" s="33" t="n"/>
      <c r="E236" s="33" t="n"/>
      <c r="F236" s="18">
        <f>IF(B236="","",COUNTIFS(Orders!$C$6:$C$1005,B236,Orders!$L$6:$L$1005,"&lt;&gt;Cancelled"))</f>
        <v/>
      </c>
      <c r="G236" s="22">
        <f>IF(B236="","",SUMIFS(Orders!$H$6:$H$1005,Orders!$C$6:$C$1005,B236,Orders!$L$6:$L$1005,"&lt;&gt;Cancelled"))</f>
        <v/>
      </c>
      <c r="H236" s="43">
        <f>IF(B236="","",IF(SUMIFS(Orders!$U$6:$U$1005,Orders!$C$6:$C$1005,B236,Orders!$V$6:$V$1005,1)=0,"",INT(SUMIFS(Orders!$U$6:$U$1005,Orders!$C$6:$C$1005,B236,Orders!$V$6:$V$1005,1))))</f>
        <v/>
      </c>
      <c r="I236" s="30">
        <f>IF(B236="","",IF(SUMIFS(Orders!$J$6:$J$1005,Orders!$C$6:$C$1005,B236)=0,"",SUMIFS(Orders!$J$6:$J$1005,Orders!$C$6:$C$1005,B236)))</f>
        <v/>
      </c>
      <c r="J236" s="1" t="n"/>
    </row>
    <row r="237">
      <c r="A237" s="1" t="n"/>
      <c r="B237" s="32" t="n"/>
      <c r="C237" s="33" t="n"/>
      <c r="D237" s="33" t="n"/>
      <c r="E237" s="33" t="n"/>
      <c r="F237" s="18">
        <f>IF(B237="","",COUNTIFS(Orders!$C$6:$C$1005,B237,Orders!$L$6:$L$1005,"&lt;&gt;Cancelled"))</f>
        <v/>
      </c>
      <c r="G237" s="22">
        <f>IF(B237="","",SUMIFS(Orders!$H$6:$H$1005,Orders!$C$6:$C$1005,B237,Orders!$L$6:$L$1005,"&lt;&gt;Cancelled"))</f>
        <v/>
      </c>
      <c r="H237" s="43">
        <f>IF(B237="","",IF(SUMIFS(Orders!$U$6:$U$1005,Orders!$C$6:$C$1005,B237,Orders!$V$6:$V$1005,1)=0,"",INT(SUMIFS(Orders!$U$6:$U$1005,Orders!$C$6:$C$1005,B237,Orders!$V$6:$V$1005,1))))</f>
        <v/>
      </c>
      <c r="I237" s="30">
        <f>IF(B237="","",IF(SUMIFS(Orders!$J$6:$J$1005,Orders!$C$6:$C$1005,B237)=0,"",SUMIFS(Orders!$J$6:$J$1005,Orders!$C$6:$C$1005,B237)))</f>
        <v/>
      </c>
      <c r="J237" s="1" t="n"/>
    </row>
    <row r="238">
      <c r="A238" s="1" t="n"/>
      <c r="B238" s="32" t="n"/>
      <c r="C238" s="33" t="n"/>
      <c r="D238" s="33" t="n"/>
      <c r="E238" s="33" t="n"/>
      <c r="F238" s="18">
        <f>IF(B238="","",COUNTIFS(Orders!$C$6:$C$1005,B238,Orders!$L$6:$L$1005,"&lt;&gt;Cancelled"))</f>
        <v/>
      </c>
      <c r="G238" s="22">
        <f>IF(B238="","",SUMIFS(Orders!$H$6:$H$1005,Orders!$C$6:$C$1005,B238,Orders!$L$6:$L$1005,"&lt;&gt;Cancelled"))</f>
        <v/>
      </c>
      <c r="H238" s="43">
        <f>IF(B238="","",IF(SUMIFS(Orders!$U$6:$U$1005,Orders!$C$6:$C$1005,B238,Orders!$V$6:$V$1005,1)=0,"",INT(SUMIFS(Orders!$U$6:$U$1005,Orders!$C$6:$C$1005,B238,Orders!$V$6:$V$1005,1))))</f>
        <v/>
      </c>
      <c r="I238" s="30">
        <f>IF(B238="","",IF(SUMIFS(Orders!$J$6:$J$1005,Orders!$C$6:$C$1005,B238)=0,"",SUMIFS(Orders!$J$6:$J$1005,Orders!$C$6:$C$1005,B238)))</f>
        <v/>
      </c>
      <c r="J238" s="1" t="n"/>
    </row>
    <row r="239">
      <c r="A239" s="1" t="n"/>
      <c r="B239" s="32" t="n"/>
      <c r="C239" s="33" t="n"/>
      <c r="D239" s="33" t="n"/>
      <c r="E239" s="33" t="n"/>
      <c r="F239" s="18">
        <f>IF(B239="","",COUNTIFS(Orders!$C$6:$C$1005,B239,Orders!$L$6:$L$1005,"&lt;&gt;Cancelled"))</f>
        <v/>
      </c>
      <c r="G239" s="22">
        <f>IF(B239="","",SUMIFS(Orders!$H$6:$H$1005,Orders!$C$6:$C$1005,B239,Orders!$L$6:$L$1005,"&lt;&gt;Cancelled"))</f>
        <v/>
      </c>
      <c r="H239" s="43">
        <f>IF(B239="","",IF(SUMIFS(Orders!$U$6:$U$1005,Orders!$C$6:$C$1005,B239,Orders!$V$6:$V$1005,1)=0,"",INT(SUMIFS(Orders!$U$6:$U$1005,Orders!$C$6:$C$1005,B239,Orders!$V$6:$V$1005,1))))</f>
        <v/>
      </c>
      <c r="I239" s="30">
        <f>IF(B239="","",IF(SUMIFS(Orders!$J$6:$J$1005,Orders!$C$6:$C$1005,B239)=0,"",SUMIFS(Orders!$J$6:$J$1005,Orders!$C$6:$C$1005,B239)))</f>
        <v/>
      </c>
      <c r="J239" s="1" t="n"/>
    </row>
    <row r="240">
      <c r="A240" s="1" t="n"/>
      <c r="B240" s="32" t="n"/>
      <c r="C240" s="33" t="n"/>
      <c r="D240" s="33" t="n"/>
      <c r="E240" s="33" t="n"/>
      <c r="F240" s="18">
        <f>IF(B240="","",COUNTIFS(Orders!$C$6:$C$1005,B240,Orders!$L$6:$L$1005,"&lt;&gt;Cancelled"))</f>
        <v/>
      </c>
      <c r="G240" s="22">
        <f>IF(B240="","",SUMIFS(Orders!$H$6:$H$1005,Orders!$C$6:$C$1005,B240,Orders!$L$6:$L$1005,"&lt;&gt;Cancelled"))</f>
        <v/>
      </c>
      <c r="H240" s="43">
        <f>IF(B240="","",IF(SUMIFS(Orders!$U$6:$U$1005,Orders!$C$6:$C$1005,B240,Orders!$V$6:$V$1005,1)=0,"",INT(SUMIFS(Orders!$U$6:$U$1005,Orders!$C$6:$C$1005,B240,Orders!$V$6:$V$1005,1))))</f>
        <v/>
      </c>
      <c r="I240" s="30">
        <f>IF(B240="","",IF(SUMIFS(Orders!$J$6:$J$1005,Orders!$C$6:$C$1005,B240)=0,"",SUMIFS(Orders!$J$6:$J$1005,Orders!$C$6:$C$1005,B240)))</f>
        <v/>
      </c>
      <c r="J240" s="1" t="n"/>
    </row>
    <row r="241">
      <c r="A241" s="1" t="n"/>
      <c r="B241" s="32" t="n"/>
      <c r="C241" s="33" t="n"/>
      <c r="D241" s="33" t="n"/>
      <c r="E241" s="33" t="n"/>
      <c r="F241" s="18">
        <f>IF(B241="","",COUNTIFS(Orders!$C$6:$C$1005,B241,Orders!$L$6:$L$1005,"&lt;&gt;Cancelled"))</f>
        <v/>
      </c>
      <c r="G241" s="22">
        <f>IF(B241="","",SUMIFS(Orders!$H$6:$H$1005,Orders!$C$6:$C$1005,B241,Orders!$L$6:$L$1005,"&lt;&gt;Cancelled"))</f>
        <v/>
      </c>
      <c r="H241" s="43">
        <f>IF(B241="","",IF(SUMIFS(Orders!$U$6:$U$1005,Orders!$C$6:$C$1005,B241,Orders!$V$6:$V$1005,1)=0,"",INT(SUMIFS(Orders!$U$6:$U$1005,Orders!$C$6:$C$1005,B241,Orders!$V$6:$V$1005,1))))</f>
        <v/>
      </c>
      <c r="I241" s="30">
        <f>IF(B241="","",IF(SUMIFS(Orders!$J$6:$J$1005,Orders!$C$6:$C$1005,B241)=0,"",SUMIFS(Orders!$J$6:$J$1005,Orders!$C$6:$C$1005,B241)))</f>
        <v/>
      </c>
      <c r="J241" s="1" t="n"/>
    </row>
    <row r="242">
      <c r="A242" s="1" t="n"/>
      <c r="B242" s="32" t="n"/>
      <c r="C242" s="33" t="n"/>
      <c r="D242" s="33" t="n"/>
      <c r="E242" s="33" t="n"/>
      <c r="F242" s="18">
        <f>IF(B242="","",COUNTIFS(Orders!$C$6:$C$1005,B242,Orders!$L$6:$L$1005,"&lt;&gt;Cancelled"))</f>
        <v/>
      </c>
      <c r="G242" s="22">
        <f>IF(B242="","",SUMIFS(Orders!$H$6:$H$1005,Orders!$C$6:$C$1005,B242,Orders!$L$6:$L$1005,"&lt;&gt;Cancelled"))</f>
        <v/>
      </c>
      <c r="H242" s="43">
        <f>IF(B242="","",IF(SUMIFS(Orders!$U$6:$U$1005,Orders!$C$6:$C$1005,B242,Orders!$V$6:$V$1005,1)=0,"",INT(SUMIFS(Orders!$U$6:$U$1005,Orders!$C$6:$C$1005,B242,Orders!$V$6:$V$1005,1))))</f>
        <v/>
      </c>
      <c r="I242" s="30">
        <f>IF(B242="","",IF(SUMIFS(Orders!$J$6:$J$1005,Orders!$C$6:$C$1005,B242)=0,"",SUMIFS(Orders!$J$6:$J$1005,Orders!$C$6:$C$1005,B242)))</f>
        <v/>
      </c>
      <c r="J242" s="1" t="n"/>
    </row>
    <row r="243">
      <c r="A243" s="1" t="n"/>
      <c r="B243" s="32" t="n"/>
      <c r="C243" s="33" t="n"/>
      <c r="D243" s="33" t="n"/>
      <c r="E243" s="33" t="n"/>
      <c r="F243" s="18">
        <f>IF(B243="","",COUNTIFS(Orders!$C$6:$C$1005,B243,Orders!$L$6:$L$1005,"&lt;&gt;Cancelled"))</f>
        <v/>
      </c>
      <c r="G243" s="22">
        <f>IF(B243="","",SUMIFS(Orders!$H$6:$H$1005,Orders!$C$6:$C$1005,B243,Orders!$L$6:$L$1005,"&lt;&gt;Cancelled"))</f>
        <v/>
      </c>
      <c r="H243" s="43">
        <f>IF(B243="","",IF(SUMIFS(Orders!$U$6:$U$1005,Orders!$C$6:$C$1005,B243,Orders!$V$6:$V$1005,1)=0,"",INT(SUMIFS(Orders!$U$6:$U$1005,Orders!$C$6:$C$1005,B243,Orders!$V$6:$V$1005,1))))</f>
        <v/>
      </c>
      <c r="I243" s="30">
        <f>IF(B243="","",IF(SUMIFS(Orders!$J$6:$J$1005,Orders!$C$6:$C$1005,B243)=0,"",SUMIFS(Orders!$J$6:$J$1005,Orders!$C$6:$C$1005,B243)))</f>
        <v/>
      </c>
      <c r="J243" s="1" t="n"/>
    </row>
    <row r="244">
      <c r="A244" s="1" t="n"/>
      <c r="B244" s="32" t="n"/>
      <c r="C244" s="33" t="n"/>
      <c r="D244" s="33" t="n"/>
      <c r="E244" s="33" t="n"/>
      <c r="F244" s="18">
        <f>IF(B244="","",COUNTIFS(Orders!$C$6:$C$1005,B244,Orders!$L$6:$L$1005,"&lt;&gt;Cancelled"))</f>
        <v/>
      </c>
      <c r="G244" s="22">
        <f>IF(B244="","",SUMIFS(Orders!$H$6:$H$1005,Orders!$C$6:$C$1005,B244,Orders!$L$6:$L$1005,"&lt;&gt;Cancelled"))</f>
        <v/>
      </c>
      <c r="H244" s="43">
        <f>IF(B244="","",IF(SUMIFS(Orders!$U$6:$U$1005,Orders!$C$6:$C$1005,B244,Orders!$V$6:$V$1005,1)=0,"",INT(SUMIFS(Orders!$U$6:$U$1005,Orders!$C$6:$C$1005,B244,Orders!$V$6:$V$1005,1))))</f>
        <v/>
      </c>
      <c r="I244" s="30">
        <f>IF(B244="","",IF(SUMIFS(Orders!$J$6:$J$1005,Orders!$C$6:$C$1005,B244)=0,"",SUMIFS(Orders!$J$6:$J$1005,Orders!$C$6:$C$1005,B244)))</f>
        <v/>
      </c>
      <c r="J244" s="1" t="n"/>
    </row>
    <row r="245">
      <c r="A245" s="1" t="n"/>
      <c r="B245" s="32" t="n"/>
      <c r="C245" s="33" t="n"/>
      <c r="D245" s="33" t="n"/>
      <c r="E245" s="33" t="n"/>
      <c r="F245" s="18">
        <f>IF(B245="","",COUNTIFS(Orders!$C$6:$C$1005,B245,Orders!$L$6:$L$1005,"&lt;&gt;Cancelled"))</f>
        <v/>
      </c>
      <c r="G245" s="22">
        <f>IF(B245="","",SUMIFS(Orders!$H$6:$H$1005,Orders!$C$6:$C$1005,B245,Orders!$L$6:$L$1005,"&lt;&gt;Cancelled"))</f>
        <v/>
      </c>
      <c r="H245" s="43">
        <f>IF(B245="","",IF(SUMIFS(Orders!$U$6:$U$1005,Orders!$C$6:$C$1005,B245,Orders!$V$6:$V$1005,1)=0,"",INT(SUMIFS(Orders!$U$6:$U$1005,Orders!$C$6:$C$1005,B245,Orders!$V$6:$V$1005,1))))</f>
        <v/>
      </c>
      <c r="I245" s="30">
        <f>IF(B245="","",IF(SUMIFS(Orders!$J$6:$J$1005,Orders!$C$6:$C$1005,B245)=0,"",SUMIFS(Orders!$J$6:$J$1005,Orders!$C$6:$C$1005,B245)))</f>
        <v/>
      </c>
      <c r="J245" s="1" t="n"/>
    </row>
    <row r="246">
      <c r="A246" s="1" t="n"/>
      <c r="B246" s="32" t="n"/>
      <c r="C246" s="33" t="n"/>
      <c r="D246" s="33" t="n"/>
      <c r="E246" s="33" t="n"/>
      <c r="F246" s="18">
        <f>IF(B246="","",COUNTIFS(Orders!$C$6:$C$1005,B246,Orders!$L$6:$L$1005,"&lt;&gt;Cancelled"))</f>
        <v/>
      </c>
      <c r="G246" s="22">
        <f>IF(B246="","",SUMIFS(Orders!$H$6:$H$1005,Orders!$C$6:$C$1005,B246,Orders!$L$6:$L$1005,"&lt;&gt;Cancelled"))</f>
        <v/>
      </c>
      <c r="H246" s="43">
        <f>IF(B246="","",IF(SUMIFS(Orders!$U$6:$U$1005,Orders!$C$6:$C$1005,B246,Orders!$V$6:$V$1005,1)=0,"",INT(SUMIFS(Orders!$U$6:$U$1005,Orders!$C$6:$C$1005,B246,Orders!$V$6:$V$1005,1))))</f>
        <v/>
      </c>
      <c r="I246" s="30">
        <f>IF(B246="","",IF(SUMIFS(Orders!$J$6:$J$1005,Orders!$C$6:$C$1005,B246)=0,"",SUMIFS(Orders!$J$6:$J$1005,Orders!$C$6:$C$1005,B246)))</f>
        <v/>
      </c>
      <c r="J246" s="1" t="n"/>
    </row>
    <row r="247">
      <c r="A247" s="1" t="n"/>
      <c r="B247" s="32" t="n"/>
      <c r="C247" s="33" t="n"/>
      <c r="D247" s="33" t="n"/>
      <c r="E247" s="33" t="n"/>
      <c r="F247" s="18">
        <f>IF(B247="","",COUNTIFS(Orders!$C$6:$C$1005,B247,Orders!$L$6:$L$1005,"&lt;&gt;Cancelled"))</f>
        <v/>
      </c>
      <c r="G247" s="22">
        <f>IF(B247="","",SUMIFS(Orders!$H$6:$H$1005,Orders!$C$6:$C$1005,B247,Orders!$L$6:$L$1005,"&lt;&gt;Cancelled"))</f>
        <v/>
      </c>
      <c r="H247" s="43">
        <f>IF(B247="","",IF(SUMIFS(Orders!$U$6:$U$1005,Orders!$C$6:$C$1005,B247,Orders!$V$6:$V$1005,1)=0,"",INT(SUMIFS(Orders!$U$6:$U$1005,Orders!$C$6:$C$1005,B247,Orders!$V$6:$V$1005,1))))</f>
        <v/>
      </c>
      <c r="I247" s="30">
        <f>IF(B247="","",IF(SUMIFS(Orders!$J$6:$J$1005,Orders!$C$6:$C$1005,B247)=0,"",SUMIFS(Orders!$J$6:$J$1005,Orders!$C$6:$C$1005,B247)))</f>
        <v/>
      </c>
      <c r="J247" s="1" t="n"/>
    </row>
    <row r="248">
      <c r="A248" s="1" t="n"/>
      <c r="B248" s="32" t="n"/>
      <c r="C248" s="33" t="n"/>
      <c r="D248" s="33" t="n"/>
      <c r="E248" s="33" t="n"/>
      <c r="F248" s="18">
        <f>IF(B248="","",COUNTIFS(Orders!$C$6:$C$1005,B248,Orders!$L$6:$L$1005,"&lt;&gt;Cancelled"))</f>
        <v/>
      </c>
      <c r="G248" s="22">
        <f>IF(B248="","",SUMIFS(Orders!$H$6:$H$1005,Orders!$C$6:$C$1005,B248,Orders!$L$6:$L$1005,"&lt;&gt;Cancelled"))</f>
        <v/>
      </c>
      <c r="H248" s="43">
        <f>IF(B248="","",IF(SUMIFS(Orders!$U$6:$U$1005,Orders!$C$6:$C$1005,B248,Orders!$V$6:$V$1005,1)=0,"",INT(SUMIFS(Orders!$U$6:$U$1005,Orders!$C$6:$C$1005,B248,Orders!$V$6:$V$1005,1))))</f>
        <v/>
      </c>
      <c r="I248" s="30">
        <f>IF(B248="","",IF(SUMIFS(Orders!$J$6:$J$1005,Orders!$C$6:$C$1005,B248)=0,"",SUMIFS(Orders!$J$6:$J$1005,Orders!$C$6:$C$1005,B248)))</f>
        <v/>
      </c>
      <c r="J248" s="1" t="n"/>
    </row>
    <row r="249">
      <c r="A249" s="1" t="n"/>
      <c r="B249" s="32" t="n"/>
      <c r="C249" s="33" t="n"/>
      <c r="D249" s="33" t="n"/>
      <c r="E249" s="33" t="n"/>
      <c r="F249" s="18">
        <f>IF(B249="","",COUNTIFS(Orders!$C$6:$C$1005,B249,Orders!$L$6:$L$1005,"&lt;&gt;Cancelled"))</f>
        <v/>
      </c>
      <c r="G249" s="22">
        <f>IF(B249="","",SUMIFS(Orders!$H$6:$H$1005,Orders!$C$6:$C$1005,B249,Orders!$L$6:$L$1005,"&lt;&gt;Cancelled"))</f>
        <v/>
      </c>
      <c r="H249" s="43">
        <f>IF(B249="","",IF(SUMIFS(Orders!$U$6:$U$1005,Orders!$C$6:$C$1005,B249,Orders!$V$6:$V$1005,1)=0,"",INT(SUMIFS(Orders!$U$6:$U$1005,Orders!$C$6:$C$1005,B249,Orders!$V$6:$V$1005,1))))</f>
        <v/>
      </c>
      <c r="I249" s="30">
        <f>IF(B249="","",IF(SUMIFS(Orders!$J$6:$J$1005,Orders!$C$6:$C$1005,B249)=0,"",SUMIFS(Orders!$J$6:$J$1005,Orders!$C$6:$C$1005,B249)))</f>
        <v/>
      </c>
      <c r="J249" s="1" t="n"/>
    </row>
    <row r="250">
      <c r="A250" s="1" t="n"/>
      <c r="B250" s="32" t="n"/>
      <c r="C250" s="33" t="n"/>
      <c r="D250" s="33" t="n"/>
      <c r="E250" s="33" t="n"/>
      <c r="F250" s="18">
        <f>IF(B250="","",COUNTIFS(Orders!$C$6:$C$1005,B250,Orders!$L$6:$L$1005,"&lt;&gt;Cancelled"))</f>
        <v/>
      </c>
      <c r="G250" s="22">
        <f>IF(B250="","",SUMIFS(Orders!$H$6:$H$1005,Orders!$C$6:$C$1005,B250,Orders!$L$6:$L$1005,"&lt;&gt;Cancelled"))</f>
        <v/>
      </c>
      <c r="H250" s="43">
        <f>IF(B250="","",IF(SUMIFS(Orders!$U$6:$U$1005,Orders!$C$6:$C$1005,B250,Orders!$V$6:$V$1005,1)=0,"",INT(SUMIFS(Orders!$U$6:$U$1005,Orders!$C$6:$C$1005,B250,Orders!$V$6:$V$1005,1))))</f>
        <v/>
      </c>
      <c r="I250" s="30">
        <f>IF(B250="","",IF(SUMIFS(Orders!$J$6:$J$1005,Orders!$C$6:$C$1005,B250)=0,"",SUMIFS(Orders!$J$6:$J$1005,Orders!$C$6:$C$1005,B250)))</f>
        <v/>
      </c>
      <c r="J250" s="1" t="n"/>
    </row>
    <row r="251">
      <c r="A251" s="1" t="n"/>
      <c r="B251" s="32" t="n"/>
      <c r="C251" s="33" t="n"/>
      <c r="D251" s="33" t="n"/>
      <c r="E251" s="33" t="n"/>
      <c r="F251" s="18">
        <f>IF(B251="","",COUNTIFS(Orders!$C$6:$C$1005,B251,Orders!$L$6:$L$1005,"&lt;&gt;Cancelled"))</f>
        <v/>
      </c>
      <c r="G251" s="22">
        <f>IF(B251="","",SUMIFS(Orders!$H$6:$H$1005,Orders!$C$6:$C$1005,B251,Orders!$L$6:$L$1005,"&lt;&gt;Cancelled"))</f>
        <v/>
      </c>
      <c r="H251" s="43">
        <f>IF(B251="","",IF(SUMIFS(Orders!$U$6:$U$1005,Orders!$C$6:$C$1005,B251,Orders!$V$6:$V$1005,1)=0,"",INT(SUMIFS(Orders!$U$6:$U$1005,Orders!$C$6:$C$1005,B251,Orders!$V$6:$V$1005,1))))</f>
        <v/>
      </c>
      <c r="I251" s="30">
        <f>IF(B251="","",IF(SUMIFS(Orders!$J$6:$J$1005,Orders!$C$6:$C$1005,B251)=0,"",SUMIFS(Orders!$J$6:$J$1005,Orders!$C$6:$C$1005,B251)))</f>
        <v/>
      </c>
      <c r="J251" s="1" t="n"/>
    </row>
    <row r="252">
      <c r="A252" s="1" t="n"/>
      <c r="B252" s="32" t="n"/>
      <c r="C252" s="33" t="n"/>
      <c r="D252" s="33" t="n"/>
      <c r="E252" s="33" t="n"/>
      <c r="F252" s="18">
        <f>IF(B252="","",COUNTIFS(Orders!$C$6:$C$1005,B252,Orders!$L$6:$L$1005,"&lt;&gt;Cancelled"))</f>
        <v/>
      </c>
      <c r="G252" s="22">
        <f>IF(B252="","",SUMIFS(Orders!$H$6:$H$1005,Orders!$C$6:$C$1005,B252,Orders!$L$6:$L$1005,"&lt;&gt;Cancelled"))</f>
        <v/>
      </c>
      <c r="H252" s="43">
        <f>IF(B252="","",IF(SUMIFS(Orders!$U$6:$U$1005,Orders!$C$6:$C$1005,B252,Orders!$V$6:$V$1005,1)=0,"",INT(SUMIFS(Orders!$U$6:$U$1005,Orders!$C$6:$C$1005,B252,Orders!$V$6:$V$1005,1))))</f>
        <v/>
      </c>
      <c r="I252" s="30">
        <f>IF(B252="","",IF(SUMIFS(Orders!$J$6:$J$1005,Orders!$C$6:$C$1005,B252)=0,"",SUMIFS(Orders!$J$6:$J$1005,Orders!$C$6:$C$1005,B252)))</f>
        <v/>
      </c>
      <c r="J252" s="1" t="n"/>
    </row>
    <row r="253">
      <c r="A253" s="1" t="n"/>
      <c r="B253" s="32" t="n"/>
      <c r="C253" s="33" t="n"/>
      <c r="D253" s="33" t="n"/>
      <c r="E253" s="33" t="n"/>
      <c r="F253" s="18">
        <f>IF(B253="","",COUNTIFS(Orders!$C$6:$C$1005,B253,Orders!$L$6:$L$1005,"&lt;&gt;Cancelled"))</f>
        <v/>
      </c>
      <c r="G253" s="22">
        <f>IF(B253="","",SUMIFS(Orders!$H$6:$H$1005,Orders!$C$6:$C$1005,B253,Orders!$L$6:$L$1005,"&lt;&gt;Cancelled"))</f>
        <v/>
      </c>
      <c r="H253" s="43">
        <f>IF(B253="","",IF(SUMIFS(Orders!$U$6:$U$1005,Orders!$C$6:$C$1005,B253,Orders!$V$6:$V$1005,1)=0,"",INT(SUMIFS(Orders!$U$6:$U$1005,Orders!$C$6:$C$1005,B253,Orders!$V$6:$V$1005,1))))</f>
        <v/>
      </c>
      <c r="I253" s="30">
        <f>IF(B253="","",IF(SUMIFS(Orders!$J$6:$J$1005,Orders!$C$6:$C$1005,B253)=0,"",SUMIFS(Orders!$J$6:$J$1005,Orders!$C$6:$C$1005,B253)))</f>
        <v/>
      </c>
      <c r="J253" s="1" t="n"/>
    </row>
    <row r="254">
      <c r="A254" s="1" t="n"/>
      <c r="B254" s="32" t="n"/>
      <c r="C254" s="33" t="n"/>
      <c r="D254" s="33" t="n"/>
      <c r="E254" s="33" t="n"/>
      <c r="F254" s="18">
        <f>IF(B254="","",COUNTIFS(Orders!$C$6:$C$1005,B254,Orders!$L$6:$L$1005,"&lt;&gt;Cancelled"))</f>
        <v/>
      </c>
      <c r="G254" s="22">
        <f>IF(B254="","",SUMIFS(Orders!$H$6:$H$1005,Orders!$C$6:$C$1005,B254,Orders!$L$6:$L$1005,"&lt;&gt;Cancelled"))</f>
        <v/>
      </c>
      <c r="H254" s="43">
        <f>IF(B254="","",IF(SUMIFS(Orders!$U$6:$U$1005,Orders!$C$6:$C$1005,B254,Orders!$V$6:$V$1005,1)=0,"",INT(SUMIFS(Orders!$U$6:$U$1005,Orders!$C$6:$C$1005,B254,Orders!$V$6:$V$1005,1))))</f>
        <v/>
      </c>
      <c r="I254" s="30">
        <f>IF(B254="","",IF(SUMIFS(Orders!$J$6:$J$1005,Orders!$C$6:$C$1005,B254)=0,"",SUMIFS(Orders!$J$6:$J$1005,Orders!$C$6:$C$1005,B254)))</f>
        <v/>
      </c>
      <c r="J254" s="1" t="n"/>
    </row>
    <row r="255">
      <c r="A255" s="1" t="n"/>
      <c r="B255" s="32" t="n"/>
      <c r="C255" s="33" t="n"/>
      <c r="D255" s="33" t="n"/>
      <c r="E255" s="33" t="n"/>
      <c r="F255" s="18">
        <f>IF(B255="","",COUNTIFS(Orders!$C$6:$C$1005,B255,Orders!$L$6:$L$1005,"&lt;&gt;Cancelled"))</f>
        <v/>
      </c>
      <c r="G255" s="22">
        <f>IF(B255="","",SUMIFS(Orders!$H$6:$H$1005,Orders!$C$6:$C$1005,B255,Orders!$L$6:$L$1005,"&lt;&gt;Cancelled"))</f>
        <v/>
      </c>
      <c r="H255" s="43">
        <f>IF(B255="","",IF(SUMIFS(Orders!$U$6:$U$1005,Orders!$C$6:$C$1005,B255,Orders!$V$6:$V$1005,1)=0,"",INT(SUMIFS(Orders!$U$6:$U$1005,Orders!$C$6:$C$1005,B255,Orders!$V$6:$V$1005,1))))</f>
        <v/>
      </c>
      <c r="I255" s="30">
        <f>IF(B255="","",IF(SUMIFS(Orders!$J$6:$J$1005,Orders!$C$6:$C$1005,B255)=0,"",SUMIFS(Orders!$J$6:$J$1005,Orders!$C$6:$C$1005,B255)))</f>
        <v/>
      </c>
      <c r="J255" s="1" t="n"/>
    </row>
    <row r="256">
      <c r="A256" s="1" t="n"/>
      <c r="B256" s="32" t="n"/>
      <c r="C256" s="33" t="n"/>
      <c r="D256" s="33" t="n"/>
      <c r="E256" s="33" t="n"/>
      <c r="F256" s="18">
        <f>IF(B256="","",COUNTIFS(Orders!$C$6:$C$1005,B256,Orders!$L$6:$L$1005,"&lt;&gt;Cancelled"))</f>
        <v/>
      </c>
      <c r="G256" s="22">
        <f>IF(B256="","",SUMIFS(Orders!$H$6:$H$1005,Orders!$C$6:$C$1005,B256,Orders!$L$6:$L$1005,"&lt;&gt;Cancelled"))</f>
        <v/>
      </c>
      <c r="H256" s="43">
        <f>IF(B256="","",IF(SUMIFS(Orders!$U$6:$U$1005,Orders!$C$6:$C$1005,B256,Orders!$V$6:$V$1005,1)=0,"",INT(SUMIFS(Orders!$U$6:$U$1005,Orders!$C$6:$C$1005,B256,Orders!$V$6:$V$1005,1))))</f>
        <v/>
      </c>
      <c r="I256" s="30">
        <f>IF(B256="","",IF(SUMIFS(Orders!$J$6:$J$1005,Orders!$C$6:$C$1005,B256)=0,"",SUMIFS(Orders!$J$6:$J$1005,Orders!$C$6:$C$1005,B256)))</f>
        <v/>
      </c>
      <c r="J256" s="1" t="n"/>
    </row>
    <row r="257">
      <c r="A257" s="1" t="n"/>
      <c r="B257" s="32" t="n"/>
      <c r="C257" s="33" t="n"/>
      <c r="D257" s="33" t="n"/>
      <c r="E257" s="33" t="n"/>
      <c r="F257" s="18">
        <f>IF(B257="","",COUNTIFS(Orders!$C$6:$C$1005,B257,Orders!$L$6:$L$1005,"&lt;&gt;Cancelled"))</f>
        <v/>
      </c>
      <c r="G257" s="22">
        <f>IF(B257="","",SUMIFS(Orders!$H$6:$H$1005,Orders!$C$6:$C$1005,B257,Orders!$L$6:$L$1005,"&lt;&gt;Cancelled"))</f>
        <v/>
      </c>
      <c r="H257" s="43">
        <f>IF(B257="","",IF(SUMIFS(Orders!$U$6:$U$1005,Orders!$C$6:$C$1005,B257,Orders!$V$6:$V$1005,1)=0,"",INT(SUMIFS(Orders!$U$6:$U$1005,Orders!$C$6:$C$1005,B257,Orders!$V$6:$V$1005,1))))</f>
        <v/>
      </c>
      <c r="I257" s="30">
        <f>IF(B257="","",IF(SUMIFS(Orders!$J$6:$J$1005,Orders!$C$6:$C$1005,B257)=0,"",SUMIFS(Orders!$J$6:$J$1005,Orders!$C$6:$C$1005,B257)))</f>
        <v/>
      </c>
      <c r="J257" s="1" t="n"/>
    </row>
    <row r="258">
      <c r="A258" s="1" t="n"/>
      <c r="B258" s="32" t="n"/>
      <c r="C258" s="33" t="n"/>
      <c r="D258" s="33" t="n"/>
      <c r="E258" s="33" t="n"/>
      <c r="F258" s="18">
        <f>IF(B258="","",COUNTIFS(Orders!$C$6:$C$1005,B258,Orders!$L$6:$L$1005,"&lt;&gt;Cancelled"))</f>
        <v/>
      </c>
      <c r="G258" s="22">
        <f>IF(B258="","",SUMIFS(Orders!$H$6:$H$1005,Orders!$C$6:$C$1005,B258,Orders!$L$6:$L$1005,"&lt;&gt;Cancelled"))</f>
        <v/>
      </c>
      <c r="H258" s="43">
        <f>IF(B258="","",IF(SUMIFS(Orders!$U$6:$U$1005,Orders!$C$6:$C$1005,B258,Orders!$V$6:$V$1005,1)=0,"",INT(SUMIFS(Orders!$U$6:$U$1005,Orders!$C$6:$C$1005,B258,Orders!$V$6:$V$1005,1))))</f>
        <v/>
      </c>
      <c r="I258" s="30">
        <f>IF(B258="","",IF(SUMIFS(Orders!$J$6:$J$1005,Orders!$C$6:$C$1005,B258)=0,"",SUMIFS(Orders!$J$6:$J$1005,Orders!$C$6:$C$1005,B258)))</f>
        <v/>
      </c>
      <c r="J258" s="1" t="n"/>
    </row>
    <row r="259">
      <c r="A259" s="1" t="n"/>
      <c r="B259" s="32" t="n"/>
      <c r="C259" s="33" t="n"/>
      <c r="D259" s="33" t="n"/>
      <c r="E259" s="33" t="n"/>
      <c r="F259" s="18">
        <f>IF(B259="","",COUNTIFS(Orders!$C$6:$C$1005,B259,Orders!$L$6:$L$1005,"&lt;&gt;Cancelled"))</f>
        <v/>
      </c>
      <c r="G259" s="22">
        <f>IF(B259="","",SUMIFS(Orders!$H$6:$H$1005,Orders!$C$6:$C$1005,B259,Orders!$L$6:$L$1005,"&lt;&gt;Cancelled"))</f>
        <v/>
      </c>
      <c r="H259" s="43">
        <f>IF(B259="","",IF(SUMIFS(Orders!$U$6:$U$1005,Orders!$C$6:$C$1005,B259,Orders!$V$6:$V$1005,1)=0,"",INT(SUMIFS(Orders!$U$6:$U$1005,Orders!$C$6:$C$1005,B259,Orders!$V$6:$V$1005,1))))</f>
        <v/>
      </c>
      <c r="I259" s="30">
        <f>IF(B259="","",IF(SUMIFS(Orders!$J$6:$J$1005,Orders!$C$6:$C$1005,B259)=0,"",SUMIFS(Orders!$J$6:$J$1005,Orders!$C$6:$C$1005,B259)))</f>
        <v/>
      </c>
      <c r="J259" s="1" t="n"/>
    </row>
    <row r="260">
      <c r="A260" s="1" t="n"/>
      <c r="B260" s="32" t="n"/>
      <c r="C260" s="33" t="n"/>
      <c r="D260" s="33" t="n"/>
      <c r="E260" s="33" t="n"/>
      <c r="F260" s="18">
        <f>IF(B260="","",COUNTIFS(Orders!$C$6:$C$1005,B260,Orders!$L$6:$L$1005,"&lt;&gt;Cancelled"))</f>
        <v/>
      </c>
      <c r="G260" s="22">
        <f>IF(B260="","",SUMIFS(Orders!$H$6:$H$1005,Orders!$C$6:$C$1005,B260,Orders!$L$6:$L$1005,"&lt;&gt;Cancelled"))</f>
        <v/>
      </c>
      <c r="H260" s="43">
        <f>IF(B260="","",IF(SUMIFS(Orders!$U$6:$U$1005,Orders!$C$6:$C$1005,B260,Orders!$V$6:$V$1005,1)=0,"",INT(SUMIFS(Orders!$U$6:$U$1005,Orders!$C$6:$C$1005,B260,Orders!$V$6:$V$1005,1))))</f>
        <v/>
      </c>
      <c r="I260" s="30">
        <f>IF(B260="","",IF(SUMIFS(Orders!$J$6:$J$1005,Orders!$C$6:$C$1005,B260)=0,"",SUMIFS(Orders!$J$6:$J$1005,Orders!$C$6:$C$1005,B260)))</f>
        <v/>
      </c>
      <c r="J260" s="1" t="n"/>
    </row>
    <row r="261">
      <c r="A261" s="1" t="n"/>
      <c r="B261" s="32" t="n"/>
      <c r="C261" s="33" t="n"/>
      <c r="D261" s="33" t="n"/>
      <c r="E261" s="33" t="n"/>
      <c r="F261" s="18">
        <f>IF(B261="","",COUNTIFS(Orders!$C$6:$C$1005,B261,Orders!$L$6:$L$1005,"&lt;&gt;Cancelled"))</f>
        <v/>
      </c>
      <c r="G261" s="22">
        <f>IF(B261="","",SUMIFS(Orders!$H$6:$H$1005,Orders!$C$6:$C$1005,B261,Orders!$L$6:$L$1005,"&lt;&gt;Cancelled"))</f>
        <v/>
      </c>
      <c r="H261" s="43">
        <f>IF(B261="","",IF(SUMIFS(Orders!$U$6:$U$1005,Orders!$C$6:$C$1005,B261,Orders!$V$6:$V$1005,1)=0,"",INT(SUMIFS(Orders!$U$6:$U$1005,Orders!$C$6:$C$1005,B261,Orders!$V$6:$V$1005,1))))</f>
        <v/>
      </c>
      <c r="I261" s="30">
        <f>IF(B261="","",IF(SUMIFS(Orders!$J$6:$J$1005,Orders!$C$6:$C$1005,B261)=0,"",SUMIFS(Orders!$J$6:$J$1005,Orders!$C$6:$C$1005,B261)))</f>
        <v/>
      </c>
      <c r="J261" s="1" t="n"/>
    </row>
    <row r="262">
      <c r="A262" s="1" t="n"/>
      <c r="B262" s="32" t="n"/>
      <c r="C262" s="33" t="n"/>
      <c r="D262" s="33" t="n"/>
      <c r="E262" s="33" t="n"/>
      <c r="F262" s="18">
        <f>IF(B262="","",COUNTIFS(Orders!$C$6:$C$1005,B262,Orders!$L$6:$L$1005,"&lt;&gt;Cancelled"))</f>
        <v/>
      </c>
      <c r="G262" s="22">
        <f>IF(B262="","",SUMIFS(Orders!$H$6:$H$1005,Orders!$C$6:$C$1005,B262,Orders!$L$6:$L$1005,"&lt;&gt;Cancelled"))</f>
        <v/>
      </c>
      <c r="H262" s="43">
        <f>IF(B262="","",IF(SUMIFS(Orders!$U$6:$U$1005,Orders!$C$6:$C$1005,B262,Orders!$V$6:$V$1005,1)=0,"",INT(SUMIFS(Orders!$U$6:$U$1005,Orders!$C$6:$C$1005,B262,Orders!$V$6:$V$1005,1))))</f>
        <v/>
      </c>
      <c r="I262" s="30">
        <f>IF(B262="","",IF(SUMIFS(Orders!$J$6:$J$1005,Orders!$C$6:$C$1005,B262)=0,"",SUMIFS(Orders!$J$6:$J$1005,Orders!$C$6:$C$1005,B262)))</f>
        <v/>
      </c>
      <c r="J262" s="1" t="n"/>
    </row>
    <row r="263">
      <c r="A263" s="1" t="n"/>
      <c r="B263" s="32" t="n"/>
      <c r="C263" s="33" t="n"/>
      <c r="D263" s="33" t="n"/>
      <c r="E263" s="33" t="n"/>
      <c r="F263" s="18">
        <f>IF(B263="","",COUNTIFS(Orders!$C$6:$C$1005,B263,Orders!$L$6:$L$1005,"&lt;&gt;Cancelled"))</f>
        <v/>
      </c>
      <c r="G263" s="22">
        <f>IF(B263="","",SUMIFS(Orders!$H$6:$H$1005,Orders!$C$6:$C$1005,B263,Orders!$L$6:$L$1005,"&lt;&gt;Cancelled"))</f>
        <v/>
      </c>
      <c r="H263" s="43">
        <f>IF(B263="","",IF(SUMIFS(Orders!$U$6:$U$1005,Orders!$C$6:$C$1005,B263,Orders!$V$6:$V$1005,1)=0,"",INT(SUMIFS(Orders!$U$6:$U$1005,Orders!$C$6:$C$1005,B263,Orders!$V$6:$V$1005,1))))</f>
        <v/>
      </c>
      <c r="I263" s="30">
        <f>IF(B263="","",IF(SUMIFS(Orders!$J$6:$J$1005,Orders!$C$6:$C$1005,B263)=0,"",SUMIFS(Orders!$J$6:$J$1005,Orders!$C$6:$C$1005,B263)))</f>
        <v/>
      </c>
      <c r="J263" s="1" t="n"/>
    </row>
    <row r="264">
      <c r="A264" s="1" t="n"/>
      <c r="B264" s="32" t="n"/>
      <c r="C264" s="33" t="n"/>
      <c r="D264" s="33" t="n"/>
      <c r="E264" s="33" t="n"/>
      <c r="F264" s="18">
        <f>IF(B264="","",COUNTIFS(Orders!$C$6:$C$1005,B264,Orders!$L$6:$L$1005,"&lt;&gt;Cancelled"))</f>
        <v/>
      </c>
      <c r="G264" s="22">
        <f>IF(B264="","",SUMIFS(Orders!$H$6:$H$1005,Orders!$C$6:$C$1005,B264,Orders!$L$6:$L$1005,"&lt;&gt;Cancelled"))</f>
        <v/>
      </c>
      <c r="H264" s="43">
        <f>IF(B264="","",IF(SUMIFS(Orders!$U$6:$U$1005,Orders!$C$6:$C$1005,B264,Orders!$V$6:$V$1005,1)=0,"",INT(SUMIFS(Orders!$U$6:$U$1005,Orders!$C$6:$C$1005,B264,Orders!$V$6:$V$1005,1))))</f>
        <v/>
      </c>
      <c r="I264" s="30">
        <f>IF(B264="","",IF(SUMIFS(Orders!$J$6:$J$1005,Orders!$C$6:$C$1005,B264)=0,"",SUMIFS(Orders!$J$6:$J$1005,Orders!$C$6:$C$1005,B264)))</f>
        <v/>
      </c>
      <c r="J264" s="1" t="n"/>
    </row>
    <row r="265">
      <c r="A265" s="1" t="n"/>
      <c r="B265" s="32" t="n"/>
      <c r="C265" s="33" t="n"/>
      <c r="D265" s="33" t="n"/>
      <c r="E265" s="33" t="n"/>
      <c r="F265" s="18">
        <f>IF(B265="","",COUNTIFS(Orders!$C$6:$C$1005,B265,Orders!$L$6:$L$1005,"&lt;&gt;Cancelled"))</f>
        <v/>
      </c>
      <c r="G265" s="22">
        <f>IF(B265="","",SUMIFS(Orders!$H$6:$H$1005,Orders!$C$6:$C$1005,B265,Orders!$L$6:$L$1005,"&lt;&gt;Cancelled"))</f>
        <v/>
      </c>
      <c r="H265" s="43">
        <f>IF(B265="","",IF(SUMIFS(Orders!$U$6:$U$1005,Orders!$C$6:$C$1005,B265,Orders!$V$6:$V$1005,1)=0,"",INT(SUMIFS(Orders!$U$6:$U$1005,Orders!$C$6:$C$1005,B265,Orders!$V$6:$V$1005,1))))</f>
        <v/>
      </c>
      <c r="I265" s="30">
        <f>IF(B265="","",IF(SUMIFS(Orders!$J$6:$J$1005,Orders!$C$6:$C$1005,B265)=0,"",SUMIFS(Orders!$J$6:$J$1005,Orders!$C$6:$C$1005,B265)))</f>
        <v/>
      </c>
      <c r="J265" s="1" t="n"/>
    </row>
    <row r="266">
      <c r="A266" s="1" t="n"/>
      <c r="B266" s="32" t="n"/>
      <c r="C266" s="33" t="n"/>
      <c r="D266" s="33" t="n"/>
      <c r="E266" s="33" t="n"/>
      <c r="F266" s="18">
        <f>IF(B266="","",COUNTIFS(Orders!$C$6:$C$1005,B266,Orders!$L$6:$L$1005,"&lt;&gt;Cancelled"))</f>
        <v/>
      </c>
      <c r="G266" s="22">
        <f>IF(B266="","",SUMIFS(Orders!$H$6:$H$1005,Orders!$C$6:$C$1005,B266,Orders!$L$6:$L$1005,"&lt;&gt;Cancelled"))</f>
        <v/>
      </c>
      <c r="H266" s="43">
        <f>IF(B266="","",IF(SUMIFS(Orders!$U$6:$U$1005,Orders!$C$6:$C$1005,B266,Orders!$V$6:$V$1005,1)=0,"",INT(SUMIFS(Orders!$U$6:$U$1005,Orders!$C$6:$C$1005,B266,Orders!$V$6:$V$1005,1))))</f>
        <v/>
      </c>
      <c r="I266" s="30">
        <f>IF(B266="","",IF(SUMIFS(Orders!$J$6:$J$1005,Orders!$C$6:$C$1005,B266)=0,"",SUMIFS(Orders!$J$6:$J$1005,Orders!$C$6:$C$1005,B266)))</f>
        <v/>
      </c>
      <c r="J266" s="1" t="n"/>
    </row>
    <row r="267">
      <c r="A267" s="1" t="n"/>
      <c r="B267" s="32" t="n"/>
      <c r="C267" s="33" t="n"/>
      <c r="D267" s="33" t="n"/>
      <c r="E267" s="33" t="n"/>
      <c r="F267" s="18">
        <f>IF(B267="","",COUNTIFS(Orders!$C$6:$C$1005,B267,Orders!$L$6:$L$1005,"&lt;&gt;Cancelled"))</f>
        <v/>
      </c>
      <c r="G267" s="22">
        <f>IF(B267="","",SUMIFS(Orders!$H$6:$H$1005,Orders!$C$6:$C$1005,B267,Orders!$L$6:$L$1005,"&lt;&gt;Cancelled"))</f>
        <v/>
      </c>
      <c r="H267" s="43">
        <f>IF(B267="","",IF(SUMIFS(Orders!$U$6:$U$1005,Orders!$C$6:$C$1005,B267,Orders!$V$6:$V$1005,1)=0,"",INT(SUMIFS(Orders!$U$6:$U$1005,Orders!$C$6:$C$1005,B267,Orders!$V$6:$V$1005,1))))</f>
        <v/>
      </c>
      <c r="I267" s="30">
        <f>IF(B267="","",IF(SUMIFS(Orders!$J$6:$J$1005,Orders!$C$6:$C$1005,B267)=0,"",SUMIFS(Orders!$J$6:$J$1005,Orders!$C$6:$C$1005,B267)))</f>
        <v/>
      </c>
      <c r="J267" s="1" t="n"/>
    </row>
    <row r="268">
      <c r="A268" s="1" t="n"/>
      <c r="B268" s="32" t="n"/>
      <c r="C268" s="33" t="n"/>
      <c r="D268" s="33" t="n"/>
      <c r="E268" s="33" t="n"/>
      <c r="F268" s="18">
        <f>IF(B268="","",COUNTIFS(Orders!$C$6:$C$1005,B268,Orders!$L$6:$L$1005,"&lt;&gt;Cancelled"))</f>
        <v/>
      </c>
      <c r="G268" s="22">
        <f>IF(B268="","",SUMIFS(Orders!$H$6:$H$1005,Orders!$C$6:$C$1005,B268,Orders!$L$6:$L$1005,"&lt;&gt;Cancelled"))</f>
        <v/>
      </c>
      <c r="H268" s="43">
        <f>IF(B268="","",IF(SUMIFS(Orders!$U$6:$U$1005,Orders!$C$6:$C$1005,B268,Orders!$V$6:$V$1005,1)=0,"",INT(SUMIFS(Orders!$U$6:$U$1005,Orders!$C$6:$C$1005,B268,Orders!$V$6:$V$1005,1))))</f>
        <v/>
      </c>
      <c r="I268" s="30">
        <f>IF(B268="","",IF(SUMIFS(Orders!$J$6:$J$1005,Orders!$C$6:$C$1005,B268)=0,"",SUMIFS(Orders!$J$6:$J$1005,Orders!$C$6:$C$1005,B268)))</f>
        <v/>
      </c>
      <c r="J268" s="1" t="n"/>
    </row>
    <row r="269">
      <c r="A269" s="1" t="n"/>
      <c r="B269" s="32" t="n"/>
      <c r="C269" s="33" t="n"/>
      <c r="D269" s="33" t="n"/>
      <c r="E269" s="33" t="n"/>
      <c r="F269" s="18">
        <f>IF(B269="","",COUNTIFS(Orders!$C$6:$C$1005,B269,Orders!$L$6:$L$1005,"&lt;&gt;Cancelled"))</f>
        <v/>
      </c>
      <c r="G269" s="22">
        <f>IF(B269="","",SUMIFS(Orders!$H$6:$H$1005,Orders!$C$6:$C$1005,B269,Orders!$L$6:$L$1005,"&lt;&gt;Cancelled"))</f>
        <v/>
      </c>
      <c r="H269" s="43">
        <f>IF(B269="","",IF(SUMIFS(Orders!$U$6:$U$1005,Orders!$C$6:$C$1005,B269,Orders!$V$6:$V$1005,1)=0,"",INT(SUMIFS(Orders!$U$6:$U$1005,Orders!$C$6:$C$1005,B269,Orders!$V$6:$V$1005,1))))</f>
        <v/>
      </c>
      <c r="I269" s="30">
        <f>IF(B269="","",IF(SUMIFS(Orders!$J$6:$J$1005,Orders!$C$6:$C$1005,B269)=0,"",SUMIFS(Orders!$J$6:$J$1005,Orders!$C$6:$C$1005,B269)))</f>
        <v/>
      </c>
      <c r="J269" s="1" t="n"/>
    </row>
    <row r="270">
      <c r="A270" s="1" t="n"/>
      <c r="B270" s="32" t="n"/>
      <c r="C270" s="33" t="n"/>
      <c r="D270" s="33" t="n"/>
      <c r="E270" s="33" t="n"/>
      <c r="F270" s="18">
        <f>IF(B270="","",COUNTIFS(Orders!$C$6:$C$1005,B270,Orders!$L$6:$L$1005,"&lt;&gt;Cancelled"))</f>
        <v/>
      </c>
      <c r="G270" s="22">
        <f>IF(B270="","",SUMIFS(Orders!$H$6:$H$1005,Orders!$C$6:$C$1005,B270,Orders!$L$6:$L$1005,"&lt;&gt;Cancelled"))</f>
        <v/>
      </c>
      <c r="H270" s="43">
        <f>IF(B270="","",IF(SUMIFS(Orders!$U$6:$U$1005,Orders!$C$6:$C$1005,B270,Orders!$V$6:$V$1005,1)=0,"",INT(SUMIFS(Orders!$U$6:$U$1005,Orders!$C$6:$C$1005,B270,Orders!$V$6:$V$1005,1))))</f>
        <v/>
      </c>
      <c r="I270" s="30">
        <f>IF(B270="","",IF(SUMIFS(Orders!$J$6:$J$1005,Orders!$C$6:$C$1005,B270)=0,"",SUMIFS(Orders!$J$6:$J$1005,Orders!$C$6:$C$1005,B270)))</f>
        <v/>
      </c>
      <c r="J270" s="1" t="n"/>
    </row>
    <row r="271">
      <c r="A271" s="1" t="n"/>
      <c r="B271" s="32" t="n"/>
      <c r="C271" s="33" t="n"/>
      <c r="D271" s="33" t="n"/>
      <c r="E271" s="33" t="n"/>
      <c r="F271" s="18">
        <f>IF(B271="","",COUNTIFS(Orders!$C$6:$C$1005,B271,Orders!$L$6:$L$1005,"&lt;&gt;Cancelled"))</f>
        <v/>
      </c>
      <c r="G271" s="22">
        <f>IF(B271="","",SUMIFS(Orders!$H$6:$H$1005,Orders!$C$6:$C$1005,B271,Orders!$L$6:$L$1005,"&lt;&gt;Cancelled"))</f>
        <v/>
      </c>
      <c r="H271" s="43">
        <f>IF(B271="","",IF(SUMIFS(Orders!$U$6:$U$1005,Orders!$C$6:$C$1005,B271,Orders!$V$6:$V$1005,1)=0,"",INT(SUMIFS(Orders!$U$6:$U$1005,Orders!$C$6:$C$1005,B271,Orders!$V$6:$V$1005,1))))</f>
        <v/>
      </c>
      <c r="I271" s="30">
        <f>IF(B271="","",IF(SUMIFS(Orders!$J$6:$J$1005,Orders!$C$6:$C$1005,B271)=0,"",SUMIFS(Orders!$J$6:$J$1005,Orders!$C$6:$C$1005,B271)))</f>
        <v/>
      </c>
      <c r="J271" s="1" t="n"/>
    </row>
    <row r="272">
      <c r="A272" s="1" t="n"/>
      <c r="B272" s="32" t="n"/>
      <c r="C272" s="33" t="n"/>
      <c r="D272" s="33" t="n"/>
      <c r="E272" s="33" t="n"/>
      <c r="F272" s="18">
        <f>IF(B272="","",COUNTIFS(Orders!$C$6:$C$1005,B272,Orders!$L$6:$L$1005,"&lt;&gt;Cancelled"))</f>
        <v/>
      </c>
      <c r="G272" s="22">
        <f>IF(B272="","",SUMIFS(Orders!$H$6:$H$1005,Orders!$C$6:$C$1005,B272,Orders!$L$6:$L$1005,"&lt;&gt;Cancelled"))</f>
        <v/>
      </c>
      <c r="H272" s="43">
        <f>IF(B272="","",IF(SUMIFS(Orders!$U$6:$U$1005,Orders!$C$6:$C$1005,B272,Orders!$V$6:$V$1005,1)=0,"",INT(SUMIFS(Orders!$U$6:$U$1005,Orders!$C$6:$C$1005,B272,Orders!$V$6:$V$1005,1))))</f>
        <v/>
      </c>
      <c r="I272" s="30">
        <f>IF(B272="","",IF(SUMIFS(Orders!$J$6:$J$1005,Orders!$C$6:$C$1005,B272)=0,"",SUMIFS(Orders!$J$6:$J$1005,Orders!$C$6:$C$1005,B272)))</f>
        <v/>
      </c>
      <c r="J272" s="1" t="n"/>
    </row>
    <row r="273">
      <c r="A273" s="1" t="n"/>
      <c r="B273" s="32" t="n"/>
      <c r="C273" s="33" t="n"/>
      <c r="D273" s="33" t="n"/>
      <c r="E273" s="33" t="n"/>
      <c r="F273" s="18">
        <f>IF(B273="","",COUNTIFS(Orders!$C$6:$C$1005,B273,Orders!$L$6:$L$1005,"&lt;&gt;Cancelled"))</f>
        <v/>
      </c>
      <c r="G273" s="22">
        <f>IF(B273="","",SUMIFS(Orders!$H$6:$H$1005,Orders!$C$6:$C$1005,B273,Orders!$L$6:$L$1005,"&lt;&gt;Cancelled"))</f>
        <v/>
      </c>
      <c r="H273" s="43">
        <f>IF(B273="","",IF(SUMIFS(Orders!$U$6:$U$1005,Orders!$C$6:$C$1005,B273,Orders!$V$6:$V$1005,1)=0,"",INT(SUMIFS(Orders!$U$6:$U$1005,Orders!$C$6:$C$1005,B273,Orders!$V$6:$V$1005,1))))</f>
        <v/>
      </c>
      <c r="I273" s="30">
        <f>IF(B273="","",IF(SUMIFS(Orders!$J$6:$J$1005,Orders!$C$6:$C$1005,B273)=0,"",SUMIFS(Orders!$J$6:$J$1005,Orders!$C$6:$C$1005,B273)))</f>
        <v/>
      </c>
      <c r="J273" s="1" t="n"/>
    </row>
    <row r="274">
      <c r="A274" s="1" t="n"/>
      <c r="B274" s="32" t="n"/>
      <c r="C274" s="33" t="n"/>
      <c r="D274" s="33" t="n"/>
      <c r="E274" s="33" t="n"/>
      <c r="F274" s="18">
        <f>IF(B274="","",COUNTIFS(Orders!$C$6:$C$1005,B274,Orders!$L$6:$L$1005,"&lt;&gt;Cancelled"))</f>
        <v/>
      </c>
      <c r="G274" s="22">
        <f>IF(B274="","",SUMIFS(Orders!$H$6:$H$1005,Orders!$C$6:$C$1005,B274,Orders!$L$6:$L$1005,"&lt;&gt;Cancelled"))</f>
        <v/>
      </c>
      <c r="H274" s="43">
        <f>IF(B274="","",IF(SUMIFS(Orders!$U$6:$U$1005,Orders!$C$6:$C$1005,B274,Orders!$V$6:$V$1005,1)=0,"",INT(SUMIFS(Orders!$U$6:$U$1005,Orders!$C$6:$C$1005,B274,Orders!$V$6:$V$1005,1))))</f>
        <v/>
      </c>
      <c r="I274" s="30">
        <f>IF(B274="","",IF(SUMIFS(Orders!$J$6:$J$1005,Orders!$C$6:$C$1005,B274)=0,"",SUMIFS(Orders!$J$6:$J$1005,Orders!$C$6:$C$1005,B274)))</f>
        <v/>
      </c>
      <c r="J274" s="1" t="n"/>
    </row>
    <row r="275">
      <c r="A275" s="1" t="n"/>
      <c r="B275" s="32" t="n"/>
      <c r="C275" s="33" t="n"/>
      <c r="D275" s="33" t="n"/>
      <c r="E275" s="33" t="n"/>
      <c r="F275" s="18">
        <f>IF(B275="","",COUNTIFS(Orders!$C$6:$C$1005,B275,Orders!$L$6:$L$1005,"&lt;&gt;Cancelled"))</f>
        <v/>
      </c>
      <c r="G275" s="22">
        <f>IF(B275="","",SUMIFS(Orders!$H$6:$H$1005,Orders!$C$6:$C$1005,B275,Orders!$L$6:$L$1005,"&lt;&gt;Cancelled"))</f>
        <v/>
      </c>
      <c r="H275" s="43">
        <f>IF(B275="","",IF(SUMIFS(Orders!$U$6:$U$1005,Orders!$C$6:$C$1005,B275,Orders!$V$6:$V$1005,1)=0,"",INT(SUMIFS(Orders!$U$6:$U$1005,Orders!$C$6:$C$1005,B275,Orders!$V$6:$V$1005,1))))</f>
        <v/>
      </c>
      <c r="I275" s="30">
        <f>IF(B275="","",IF(SUMIFS(Orders!$J$6:$J$1005,Orders!$C$6:$C$1005,B275)=0,"",SUMIFS(Orders!$J$6:$J$1005,Orders!$C$6:$C$1005,B275)))</f>
        <v/>
      </c>
      <c r="J275" s="1" t="n"/>
    </row>
    <row r="276">
      <c r="A276" s="1" t="n"/>
      <c r="B276" s="32" t="n"/>
      <c r="C276" s="33" t="n"/>
      <c r="D276" s="33" t="n"/>
      <c r="E276" s="33" t="n"/>
      <c r="F276" s="18">
        <f>IF(B276="","",COUNTIFS(Orders!$C$6:$C$1005,B276,Orders!$L$6:$L$1005,"&lt;&gt;Cancelled"))</f>
        <v/>
      </c>
      <c r="G276" s="22">
        <f>IF(B276="","",SUMIFS(Orders!$H$6:$H$1005,Orders!$C$6:$C$1005,B276,Orders!$L$6:$L$1005,"&lt;&gt;Cancelled"))</f>
        <v/>
      </c>
      <c r="H276" s="43">
        <f>IF(B276="","",IF(SUMIFS(Orders!$U$6:$U$1005,Orders!$C$6:$C$1005,B276,Orders!$V$6:$V$1005,1)=0,"",INT(SUMIFS(Orders!$U$6:$U$1005,Orders!$C$6:$C$1005,B276,Orders!$V$6:$V$1005,1))))</f>
        <v/>
      </c>
      <c r="I276" s="30">
        <f>IF(B276="","",IF(SUMIFS(Orders!$J$6:$J$1005,Orders!$C$6:$C$1005,B276)=0,"",SUMIFS(Orders!$J$6:$J$1005,Orders!$C$6:$C$1005,B276)))</f>
        <v/>
      </c>
      <c r="J276" s="1" t="n"/>
    </row>
    <row r="277">
      <c r="A277" s="1" t="n"/>
      <c r="B277" s="32" t="n"/>
      <c r="C277" s="33" t="n"/>
      <c r="D277" s="33" t="n"/>
      <c r="E277" s="33" t="n"/>
      <c r="F277" s="18">
        <f>IF(B277="","",COUNTIFS(Orders!$C$6:$C$1005,B277,Orders!$L$6:$L$1005,"&lt;&gt;Cancelled"))</f>
        <v/>
      </c>
      <c r="G277" s="22">
        <f>IF(B277="","",SUMIFS(Orders!$H$6:$H$1005,Orders!$C$6:$C$1005,B277,Orders!$L$6:$L$1005,"&lt;&gt;Cancelled"))</f>
        <v/>
      </c>
      <c r="H277" s="43">
        <f>IF(B277="","",IF(SUMIFS(Orders!$U$6:$U$1005,Orders!$C$6:$C$1005,B277,Orders!$V$6:$V$1005,1)=0,"",INT(SUMIFS(Orders!$U$6:$U$1005,Orders!$C$6:$C$1005,B277,Orders!$V$6:$V$1005,1))))</f>
        <v/>
      </c>
      <c r="I277" s="30">
        <f>IF(B277="","",IF(SUMIFS(Orders!$J$6:$J$1005,Orders!$C$6:$C$1005,B277)=0,"",SUMIFS(Orders!$J$6:$J$1005,Orders!$C$6:$C$1005,B277)))</f>
        <v/>
      </c>
      <c r="J277" s="1" t="n"/>
    </row>
    <row r="278">
      <c r="A278" s="1" t="n"/>
      <c r="B278" s="32" t="n"/>
      <c r="C278" s="33" t="n"/>
      <c r="D278" s="33" t="n"/>
      <c r="E278" s="33" t="n"/>
      <c r="F278" s="18">
        <f>IF(B278="","",COUNTIFS(Orders!$C$6:$C$1005,B278,Orders!$L$6:$L$1005,"&lt;&gt;Cancelled"))</f>
        <v/>
      </c>
      <c r="G278" s="22">
        <f>IF(B278="","",SUMIFS(Orders!$H$6:$H$1005,Orders!$C$6:$C$1005,B278,Orders!$L$6:$L$1005,"&lt;&gt;Cancelled"))</f>
        <v/>
      </c>
      <c r="H278" s="43">
        <f>IF(B278="","",IF(SUMIFS(Orders!$U$6:$U$1005,Orders!$C$6:$C$1005,B278,Orders!$V$6:$V$1005,1)=0,"",INT(SUMIFS(Orders!$U$6:$U$1005,Orders!$C$6:$C$1005,B278,Orders!$V$6:$V$1005,1))))</f>
        <v/>
      </c>
      <c r="I278" s="30">
        <f>IF(B278="","",IF(SUMIFS(Orders!$J$6:$J$1005,Orders!$C$6:$C$1005,B278)=0,"",SUMIFS(Orders!$J$6:$J$1005,Orders!$C$6:$C$1005,B278)))</f>
        <v/>
      </c>
      <c r="J278" s="1" t="n"/>
    </row>
    <row r="279">
      <c r="A279" s="1" t="n"/>
      <c r="B279" s="32" t="n"/>
      <c r="C279" s="33" t="n"/>
      <c r="D279" s="33" t="n"/>
      <c r="E279" s="33" t="n"/>
      <c r="F279" s="18">
        <f>IF(B279="","",COUNTIFS(Orders!$C$6:$C$1005,B279,Orders!$L$6:$L$1005,"&lt;&gt;Cancelled"))</f>
        <v/>
      </c>
      <c r="G279" s="22">
        <f>IF(B279="","",SUMIFS(Orders!$H$6:$H$1005,Orders!$C$6:$C$1005,B279,Orders!$L$6:$L$1005,"&lt;&gt;Cancelled"))</f>
        <v/>
      </c>
      <c r="H279" s="43">
        <f>IF(B279="","",IF(SUMIFS(Orders!$U$6:$U$1005,Orders!$C$6:$C$1005,B279,Orders!$V$6:$V$1005,1)=0,"",INT(SUMIFS(Orders!$U$6:$U$1005,Orders!$C$6:$C$1005,B279,Orders!$V$6:$V$1005,1))))</f>
        <v/>
      </c>
      <c r="I279" s="30">
        <f>IF(B279="","",IF(SUMIFS(Orders!$J$6:$J$1005,Orders!$C$6:$C$1005,B279)=0,"",SUMIFS(Orders!$J$6:$J$1005,Orders!$C$6:$C$1005,B279)))</f>
        <v/>
      </c>
      <c r="J279" s="1" t="n"/>
    </row>
    <row r="280">
      <c r="A280" s="1" t="n"/>
      <c r="B280" s="32" t="n"/>
      <c r="C280" s="33" t="n"/>
      <c r="D280" s="33" t="n"/>
      <c r="E280" s="33" t="n"/>
      <c r="F280" s="18">
        <f>IF(B280="","",COUNTIFS(Orders!$C$6:$C$1005,B280,Orders!$L$6:$L$1005,"&lt;&gt;Cancelled"))</f>
        <v/>
      </c>
      <c r="G280" s="22">
        <f>IF(B280="","",SUMIFS(Orders!$H$6:$H$1005,Orders!$C$6:$C$1005,B280,Orders!$L$6:$L$1005,"&lt;&gt;Cancelled"))</f>
        <v/>
      </c>
      <c r="H280" s="43">
        <f>IF(B280="","",IF(SUMIFS(Orders!$U$6:$U$1005,Orders!$C$6:$C$1005,B280,Orders!$V$6:$V$1005,1)=0,"",INT(SUMIFS(Orders!$U$6:$U$1005,Orders!$C$6:$C$1005,B280,Orders!$V$6:$V$1005,1))))</f>
        <v/>
      </c>
      <c r="I280" s="30">
        <f>IF(B280="","",IF(SUMIFS(Orders!$J$6:$J$1005,Orders!$C$6:$C$1005,B280)=0,"",SUMIFS(Orders!$J$6:$J$1005,Orders!$C$6:$C$1005,B280)))</f>
        <v/>
      </c>
      <c r="J280" s="1" t="n"/>
    </row>
    <row r="281">
      <c r="A281" s="1" t="n"/>
      <c r="B281" s="32" t="n"/>
      <c r="C281" s="33" t="n"/>
      <c r="D281" s="33" t="n"/>
      <c r="E281" s="33" t="n"/>
      <c r="F281" s="18">
        <f>IF(B281="","",COUNTIFS(Orders!$C$6:$C$1005,B281,Orders!$L$6:$L$1005,"&lt;&gt;Cancelled"))</f>
        <v/>
      </c>
      <c r="G281" s="22">
        <f>IF(B281="","",SUMIFS(Orders!$H$6:$H$1005,Orders!$C$6:$C$1005,B281,Orders!$L$6:$L$1005,"&lt;&gt;Cancelled"))</f>
        <v/>
      </c>
      <c r="H281" s="43">
        <f>IF(B281="","",IF(SUMIFS(Orders!$U$6:$U$1005,Orders!$C$6:$C$1005,B281,Orders!$V$6:$V$1005,1)=0,"",INT(SUMIFS(Orders!$U$6:$U$1005,Orders!$C$6:$C$1005,B281,Orders!$V$6:$V$1005,1))))</f>
        <v/>
      </c>
      <c r="I281" s="30">
        <f>IF(B281="","",IF(SUMIFS(Orders!$J$6:$J$1005,Orders!$C$6:$C$1005,B281)=0,"",SUMIFS(Orders!$J$6:$J$1005,Orders!$C$6:$C$1005,B281)))</f>
        <v/>
      </c>
      <c r="J281" s="1" t="n"/>
    </row>
    <row r="282">
      <c r="A282" s="1" t="n"/>
      <c r="B282" s="32" t="n"/>
      <c r="C282" s="33" t="n"/>
      <c r="D282" s="33" t="n"/>
      <c r="E282" s="33" t="n"/>
      <c r="F282" s="18">
        <f>IF(B282="","",COUNTIFS(Orders!$C$6:$C$1005,B282,Orders!$L$6:$L$1005,"&lt;&gt;Cancelled"))</f>
        <v/>
      </c>
      <c r="G282" s="22">
        <f>IF(B282="","",SUMIFS(Orders!$H$6:$H$1005,Orders!$C$6:$C$1005,B282,Orders!$L$6:$L$1005,"&lt;&gt;Cancelled"))</f>
        <v/>
      </c>
      <c r="H282" s="43">
        <f>IF(B282="","",IF(SUMIFS(Orders!$U$6:$U$1005,Orders!$C$6:$C$1005,B282,Orders!$V$6:$V$1005,1)=0,"",INT(SUMIFS(Orders!$U$6:$U$1005,Orders!$C$6:$C$1005,B282,Orders!$V$6:$V$1005,1))))</f>
        <v/>
      </c>
      <c r="I282" s="30">
        <f>IF(B282="","",IF(SUMIFS(Orders!$J$6:$J$1005,Orders!$C$6:$C$1005,B282)=0,"",SUMIFS(Orders!$J$6:$J$1005,Orders!$C$6:$C$1005,B282)))</f>
        <v/>
      </c>
      <c r="J282" s="1" t="n"/>
    </row>
    <row r="283">
      <c r="A283" s="1" t="n"/>
      <c r="B283" s="32" t="n"/>
      <c r="C283" s="33" t="n"/>
      <c r="D283" s="33" t="n"/>
      <c r="E283" s="33" t="n"/>
      <c r="F283" s="18">
        <f>IF(B283="","",COUNTIFS(Orders!$C$6:$C$1005,B283,Orders!$L$6:$L$1005,"&lt;&gt;Cancelled"))</f>
        <v/>
      </c>
      <c r="G283" s="22">
        <f>IF(B283="","",SUMIFS(Orders!$H$6:$H$1005,Orders!$C$6:$C$1005,B283,Orders!$L$6:$L$1005,"&lt;&gt;Cancelled"))</f>
        <v/>
      </c>
      <c r="H283" s="43">
        <f>IF(B283="","",IF(SUMIFS(Orders!$U$6:$U$1005,Orders!$C$6:$C$1005,B283,Orders!$V$6:$V$1005,1)=0,"",INT(SUMIFS(Orders!$U$6:$U$1005,Orders!$C$6:$C$1005,B283,Orders!$V$6:$V$1005,1))))</f>
        <v/>
      </c>
      <c r="I283" s="30">
        <f>IF(B283="","",IF(SUMIFS(Orders!$J$6:$J$1005,Orders!$C$6:$C$1005,B283)=0,"",SUMIFS(Orders!$J$6:$J$1005,Orders!$C$6:$C$1005,B283)))</f>
        <v/>
      </c>
      <c r="J283" s="1" t="n"/>
    </row>
    <row r="284">
      <c r="A284" s="1" t="n"/>
      <c r="B284" s="32" t="n"/>
      <c r="C284" s="33" t="n"/>
      <c r="D284" s="33" t="n"/>
      <c r="E284" s="33" t="n"/>
      <c r="F284" s="18">
        <f>IF(B284="","",COUNTIFS(Orders!$C$6:$C$1005,B284,Orders!$L$6:$L$1005,"&lt;&gt;Cancelled"))</f>
        <v/>
      </c>
      <c r="G284" s="22">
        <f>IF(B284="","",SUMIFS(Orders!$H$6:$H$1005,Orders!$C$6:$C$1005,B284,Orders!$L$6:$L$1005,"&lt;&gt;Cancelled"))</f>
        <v/>
      </c>
      <c r="H284" s="43">
        <f>IF(B284="","",IF(SUMIFS(Orders!$U$6:$U$1005,Orders!$C$6:$C$1005,B284,Orders!$V$6:$V$1005,1)=0,"",INT(SUMIFS(Orders!$U$6:$U$1005,Orders!$C$6:$C$1005,B284,Orders!$V$6:$V$1005,1))))</f>
        <v/>
      </c>
      <c r="I284" s="30">
        <f>IF(B284="","",IF(SUMIFS(Orders!$J$6:$J$1005,Orders!$C$6:$C$1005,B284)=0,"",SUMIFS(Orders!$J$6:$J$1005,Orders!$C$6:$C$1005,B284)))</f>
        <v/>
      </c>
      <c r="J284" s="1" t="n"/>
    </row>
    <row r="285">
      <c r="A285" s="1" t="n"/>
      <c r="B285" s="32" t="n"/>
      <c r="C285" s="33" t="n"/>
      <c r="D285" s="33" t="n"/>
      <c r="E285" s="33" t="n"/>
      <c r="F285" s="18">
        <f>IF(B285="","",COUNTIFS(Orders!$C$6:$C$1005,B285,Orders!$L$6:$L$1005,"&lt;&gt;Cancelled"))</f>
        <v/>
      </c>
      <c r="G285" s="22">
        <f>IF(B285="","",SUMIFS(Orders!$H$6:$H$1005,Orders!$C$6:$C$1005,B285,Orders!$L$6:$L$1005,"&lt;&gt;Cancelled"))</f>
        <v/>
      </c>
      <c r="H285" s="43">
        <f>IF(B285="","",IF(SUMIFS(Orders!$U$6:$U$1005,Orders!$C$6:$C$1005,B285,Orders!$V$6:$V$1005,1)=0,"",INT(SUMIFS(Orders!$U$6:$U$1005,Orders!$C$6:$C$1005,B285,Orders!$V$6:$V$1005,1))))</f>
        <v/>
      </c>
      <c r="I285" s="30">
        <f>IF(B285="","",IF(SUMIFS(Orders!$J$6:$J$1005,Orders!$C$6:$C$1005,B285)=0,"",SUMIFS(Orders!$J$6:$J$1005,Orders!$C$6:$C$1005,B285)))</f>
        <v/>
      </c>
      <c r="J285" s="1" t="n"/>
    </row>
    <row r="286">
      <c r="A286" s="1" t="n"/>
      <c r="B286" s="32" t="n"/>
      <c r="C286" s="33" t="n"/>
      <c r="D286" s="33" t="n"/>
      <c r="E286" s="33" t="n"/>
      <c r="F286" s="18">
        <f>IF(B286="","",COUNTIFS(Orders!$C$6:$C$1005,B286,Orders!$L$6:$L$1005,"&lt;&gt;Cancelled"))</f>
        <v/>
      </c>
      <c r="G286" s="22">
        <f>IF(B286="","",SUMIFS(Orders!$H$6:$H$1005,Orders!$C$6:$C$1005,B286,Orders!$L$6:$L$1005,"&lt;&gt;Cancelled"))</f>
        <v/>
      </c>
      <c r="H286" s="43">
        <f>IF(B286="","",IF(SUMIFS(Orders!$U$6:$U$1005,Orders!$C$6:$C$1005,B286,Orders!$V$6:$V$1005,1)=0,"",INT(SUMIFS(Orders!$U$6:$U$1005,Orders!$C$6:$C$1005,B286,Orders!$V$6:$V$1005,1))))</f>
        <v/>
      </c>
      <c r="I286" s="30">
        <f>IF(B286="","",IF(SUMIFS(Orders!$J$6:$J$1005,Orders!$C$6:$C$1005,B286)=0,"",SUMIFS(Orders!$J$6:$J$1005,Orders!$C$6:$C$1005,B286)))</f>
        <v/>
      </c>
      <c r="J286" s="1" t="n"/>
    </row>
    <row r="287">
      <c r="A287" s="1" t="n"/>
      <c r="B287" s="32" t="n"/>
      <c r="C287" s="33" t="n"/>
      <c r="D287" s="33" t="n"/>
      <c r="E287" s="33" t="n"/>
      <c r="F287" s="18">
        <f>IF(B287="","",COUNTIFS(Orders!$C$6:$C$1005,B287,Orders!$L$6:$L$1005,"&lt;&gt;Cancelled"))</f>
        <v/>
      </c>
      <c r="G287" s="22">
        <f>IF(B287="","",SUMIFS(Orders!$H$6:$H$1005,Orders!$C$6:$C$1005,B287,Orders!$L$6:$L$1005,"&lt;&gt;Cancelled"))</f>
        <v/>
      </c>
      <c r="H287" s="43">
        <f>IF(B287="","",IF(SUMIFS(Orders!$U$6:$U$1005,Orders!$C$6:$C$1005,B287,Orders!$V$6:$V$1005,1)=0,"",INT(SUMIFS(Orders!$U$6:$U$1005,Orders!$C$6:$C$1005,B287,Orders!$V$6:$V$1005,1))))</f>
        <v/>
      </c>
      <c r="I287" s="30">
        <f>IF(B287="","",IF(SUMIFS(Orders!$J$6:$J$1005,Orders!$C$6:$C$1005,B287)=0,"",SUMIFS(Orders!$J$6:$J$1005,Orders!$C$6:$C$1005,B287)))</f>
        <v/>
      </c>
      <c r="J287" s="1" t="n"/>
    </row>
    <row r="288">
      <c r="A288" s="1" t="n"/>
      <c r="B288" s="32" t="n"/>
      <c r="C288" s="33" t="n"/>
      <c r="D288" s="33" t="n"/>
      <c r="E288" s="33" t="n"/>
      <c r="F288" s="18">
        <f>IF(B288="","",COUNTIFS(Orders!$C$6:$C$1005,B288,Orders!$L$6:$L$1005,"&lt;&gt;Cancelled"))</f>
        <v/>
      </c>
      <c r="G288" s="22">
        <f>IF(B288="","",SUMIFS(Orders!$H$6:$H$1005,Orders!$C$6:$C$1005,B288,Orders!$L$6:$L$1005,"&lt;&gt;Cancelled"))</f>
        <v/>
      </c>
      <c r="H288" s="43">
        <f>IF(B288="","",IF(SUMIFS(Orders!$U$6:$U$1005,Orders!$C$6:$C$1005,B288,Orders!$V$6:$V$1005,1)=0,"",INT(SUMIFS(Orders!$U$6:$U$1005,Orders!$C$6:$C$1005,B288,Orders!$V$6:$V$1005,1))))</f>
        <v/>
      </c>
      <c r="I288" s="30">
        <f>IF(B288="","",IF(SUMIFS(Orders!$J$6:$J$1005,Orders!$C$6:$C$1005,B288)=0,"",SUMIFS(Orders!$J$6:$J$1005,Orders!$C$6:$C$1005,B288)))</f>
        <v/>
      </c>
      <c r="J288" s="1" t="n"/>
    </row>
    <row r="289">
      <c r="A289" s="1" t="n"/>
      <c r="B289" s="32" t="n"/>
      <c r="C289" s="33" t="n"/>
      <c r="D289" s="33" t="n"/>
      <c r="E289" s="33" t="n"/>
      <c r="F289" s="18">
        <f>IF(B289="","",COUNTIFS(Orders!$C$6:$C$1005,B289,Orders!$L$6:$L$1005,"&lt;&gt;Cancelled"))</f>
        <v/>
      </c>
      <c r="G289" s="22">
        <f>IF(B289="","",SUMIFS(Orders!$H$6:$H$1005,Orders!$C$6:$C$1005,B289,Orders!$L$6:$L$1005,"&lt;&gt;Cancelled"))</f>
        <v/>
      </c>
      <c r="H289" s="43">
        <f>IF(B289="","",IF(SUMIFS(Orders!$U$6:$U$1005,Orders!$C$6:$C$1005,B289,Orders!$V$6:$V$1005,1)=0,"",INT(SUMIFS(Orders!$U$6:$U$1005,Orders!$C$6:$C$1005,B289,Orders!$V$6:$V$1005,1))))</f>
        <v/>
      </c>
      <c r="I289" s="30">
        <f>IF(B289="","",IF(SUMIFS(Orders!$J$6:$J$1005,Orders!$C$6:$C$1005,B289)=0,"",SUMIFS(Orders!$J$6:$J$1005,Orders!$C$6:$C$1005,B289)))</f>
        <v/>
      </c>
      <c r="J289" s="1" t="n"/>
    </row>
    <row r="290">
      <c r="A290" s="1" t="n"/>
      <c r="B290" s="32" t="n"/>
      <c r="C290" s="33" t="n"/>
      <c r="D290" s="33" t="n"/>
      <c r="E290" s="33" t="n"/>
      <c r="F290" s="18">
        <f>IF(B290="","",COUNTIFS(Orders!$C$6:$C$1005,B290,Orders!$L$6:$L$1005,"&lt;&gt;Cancelled"))</f>
        <v/>
      </c>
      <c r="G290" s="22">
        <f>IF(B290="","",SUMIFS(Orders!$H$6:$H$1005,Orders!$C$6:$C$1005,B290,Orders!$L$6:$L$1005,"&lt;&gt;Cancelled"))</f>
        <v/>
      </c>
      <c r="H290" s="43">
        <f>IF(B290="","",IF(SUMIFS(Orders!$U$6:$U$1005,Orders!$C$6:$C$1005,B290,Orders!$V$6:$V$1005,1)=0,"",INT(SUMIFS(Orders!$U$6:$U$1005,Orders!$C$6:$C$1005,B290,Orders!$V$6:$V$1005,1))))</f>
        <v/>
      </c>
      <c r="I290" s="30">
        <f>IF(B290="","",IF(SUMIFS(Orders!$J$6:$J$1005,Orders!$C$6:$C$1005,B290)=0,"",SUMIFS(Orders!$J$6:$J$1005,Orders!$C$6:$C$1005,B290)))</f>
        <v/>
      </c>
      <c r="J290" s="1" t="n"/>
    </row>
    <row r="291">
      <c r="A291" s="1" t="n"/>
      <c r="B291" s="32" t="n"/>
      <c r="C291" s="33" t="n"/>
      <c r="D291" s="33" t="n"/>
      <c r="E291" s="33" t="n"/>
      <c r="F291" s="18">
        <f>IF(B291="","",COUNTIFS(Orders!$C$6:$C$1005,B291,Orders!$L$6:$L$1005,"&lt;&gt;Cancelled"))</f>
        <v/>
      </c>
      <c r="G291" s="22">
        <f>IF(B291="","",SUMIFS(Orders!$H$6:$H$1005,Orders!$C$6:$C$1005,B291,Orders!$L$6:$L$1005,"&lt;&gt;Cancelled"))</f>
        <v/>
      </c>
      <c r="H291" s="43">
        <f>IF(B291="","",IF(SUMIFS(Orders!$U$6:$U$1005,Orders!$C$6:$C$1005,B291,Orders!$V$6:$V$1005,1)=0,"",INT(SUMIFS(Orders!$U$6:$U$1005,Orders!$C$6:$C$1005,B291,Orders!$V$6:$V$1005,1))))</f>
        <v/>
      </c>
      <c r="I291" s="30">
        <f>IF(B291="","",IF(SUMIFS(Orders!$J$6:$J$1005,Orders!$C$6:$C$1005,B291)=0,"",SUMIFS(Orders!$J$6:$J$1005,Orders!$C$6:$C$1005,B291)))</f>
        <v/>
      </c>
      <c r="J291" s="1" t="n"/>
    </row>
    <row r="292">
      <c r="A292" s="1" t="n"/>
      <c r="B292" s="32" t="n"/>
      <c r="C292" s="33" t="n"/>
      <c r="D292" s="33" t="n"/>
      <c r="E292" s="33" t="n"/>
      <c r="F292" s="18">
        <f>IF(B292="","",COUNTIFS(Orders!$C$6:$C$1005,B292,Orders!$L$6:$L$1005,"&lt;&gt;Cancelled"))</f>
        <v/>
      </c>
      <c r="G292" s="22">
        <f>IF(B292="","",SUMIFS(Orders!$H$6:$H$1005,Orders!$C$6:$C$1005,B292,Orders!$L$6:$L$1005,"&lt;&gt;Cancelled"))</f>
        <v/>
      </c>
      <c r="H292" s="43">
        <f>IF(B292="","",IF(SUMIFS(Orders!$U$6:$U$1005,Orders!$C$6:$C$1005,B292,Orders!$V$6:$V$1005,1)=0,"",INT(SUMIFS(Orders!$U$6:$U$1005,Orders!$C$6:$C$1005,B292,Orders!$V$6:$V$1005,1))))</f>
        <v/>
      </c>
      <c r="I292" s="30">
        <f>IF(B292="","",IF(SUMIFS(Orders!$J$6:$J$1005,Orders!$C$6:$C$1005,B292)=0,"",SUMIFS(Orders!$J$6:$J$1005,Orders!$C$6:$C$1005,B292)))</f>
        <v/>
      </c>
      <c r="J292" s="1" t="n"/>
    </row>
    <row r="293">
      <c r="A293" s="1" t="n"/>
      <c r="B293" s="32" t="n"/>
      <c r="C293" s="33" t="n"/>
      <c r="D293" s="33" t="n"/>
      <c r="E293" s="33" t="n"/>
      <c r="F293" s="18">
        <f>IF(B293="","",COUNTIFS(Orders!$C$6:$C$1005,B293,Orders!$L$6:$L$1005,"&lt;&gt;Cancelled"))</f>
        <v/>
      </c>
      <c r="G293" s="22">
        <f>IF(B293="","",SUMIFS(Orders!$H$6:$H$1005,Orders!$C$6:$C$1005,B293,Orders!$L$6:$L$1005,"&lt;&gt;Cancelled"))</f>
        <v/>
      </c>
      <c r="H293" s="43">
        <f>IF(B293="","",IF(SUMIFS(Orders!$U$6:$U$1005,Orders!$C$6:$C$1005,B293,Orders!$V$6:$V$1005,1)=0,"",INT(SUMIFS(Orders!$U$6:$U$1005,Orders!$C$6:$C$1005,B293,Orders!$V$6:$V$1005,1))))</f>
        <v/>
      </c>
      <c r="I293" s="30">
        <f>IF(B293="","",IF(SUMIFS(Orders!$J$6:$J$1005,Orders!$C$6:$C$1005,B293)=0,"",SUMIFS(Orders!$J$6:$J$1005,Orders!$C$6:$C$1005,B293)))</f>
        <v/>
      </c>
      <c r="J293" s="1" t="n"/>
    </row>
    <row r="294">
      <c r="A294" s="1" t="n"/>
      <c r="B294" s="32" t="n"/>
      <c r="C294" s="33" t="n"/>
      <c r="D294" s="33" t="n"/>
      <c r="E294" s="33" t="n"/>
      <c r="F294" s="18">
        <f>IF(B294="","",COUNTIFS(Orders!$C$6:$C$1005,B294,Orders!$L$6:$L$1005,"&lt;&gt;Cancelled"))</f>
        <v/>
      </c>
      <c r="G294" s="22">
        <f>IF(B294="","",SUMIFS(Orders!$H$6:$H$1005,Orders!$C$6:$C$1005,B294,Orders!$L$6:$L$1005,"&lt;&gt;Cancelled"))</f>
        <v/>
      </c>
      <c r="H294" s="43">
        <f>IF(B294="","",IF(SUMIFS(Orders!$U$6:$U$1005,Orders!$C$6:$C$1005,B294,Orders!$V$6:$V$1005,1)=0,"",INT(SUMIFS(Orders!$U$6:$U$1005,Orders!$C$6:$C$1005,B294,Orders!$V$6:$V$1005,1))))</f>
        <v/>
      </c>
      <c r="I294" s="30">
        <f>IF(B294="","",IF(SUMIFS(Orders!$J$6:$J$1005,Orders!$C$6:$C$1005,B294)=0,"",SUMIFS(Orders!$J$6:$J$1005,Orders!$C$6:$C$1005,B294)))</f>
        <v/>
      </c>
      <c r="J294" s="1" t="n"/>
    </row>
    <row r="295">
      <c r="A295" s="1" t="n"/>
      <c r="B295" s="32" t="n"/>
      <c r="C295" s="33" t="n"/>
      <c r="D295" s="33" t="n"/>
      <c r="E295" s="33" t="n"/>
      <c r="F295" s="18">
        <f>IF(B295="","",COUNTIFS(Orders!$C$6:$C$1005,B295,Orders!$L$6:$L$1005,"&lt;&gt;Cancelled"))</f>
        <v/>
      </c>
      <c r="G295" s="22">
        <f>IF(B295="","",SUMIFS(Orders!$H$6:$H$1005,Orders!$C$6:$C$1005,B295,Orders!$L$6:$L$1005,"&lt;&gt;Cancelled"))</f>
        <v/>
      </c>
      <c r="H295" s="43">
        <f>IF(B295="","",IF(SUMIFS(Orders!$U$6:$U$1005,Orders!$C$6:$C$1005,B295,Orders!$V$6:$V$1005,1)=0,"",INT(SUMIFS(Orders!$U$6:$U$1005,Orders!$C$6:$C$1005,B295,Orders!$V$6:$V$1005,1))))</f>
        <v/>
      </c>
      <c r="I295" s="30">
        <f>IF(B295="","",IF(SUMIFS(Orders!$J$6:$J$1005,Orders!$C$6:$C$1005,B295)=0,"",SUMIFS(Orders!$J$6:$J$1005,Orders!$C$6:$C$1005,B295)))</f>
        <v/>
      </c>
      <c r="J295" s="1" t="n"/>
    </row>
    <row r="296">
      <c r="A296" s="1" t="n"/>
      <c r="B296" s="32" t="n"/>
      <c r="C296" s="33" t="n"/>
      <c r="D296" s="33" t="n"/>
      <c r="E296" s="33" t="n"/>
      <c r="F296" s="18">
        <f>IF(B296="","",COUNTIFS(Orders!$C$6:$C$1005,B296,Orders!$L$6:$L$1005,"&lt;&gt;Cancelled"))</f>
        <v/>
      </c>
      <c r="G296" s="22">
        <f>IF(B296="","",SUMIFS(Orders!$H$6:$H$1005,Orders!$C$6:$C$1005,B296,Orders!$L$6:$L$1005,"&lt;&gt;Cancelled"))</f>
        <v/>
      </c>
      <c r="H296" s="43">
        <f>IF(B296="","",IF(SUMIFS(Orders!$U$6:$U$1005,Orders!$C$6:$C$1005,B296,Orders!$V$6:$V$1005,1)=0,"",INT(SUMIFS(Orders!$U$6:$U$1005,Orders!$C$6:$C$1005,B296,Orders!$V$6:$V$1005,1))))</f>
        <v/>
      </c>
      <c r="I296" s="30">
        <f>IF(B296="","",IF(SUMIFS(Orders!$J$6:$J$1005,Orders!$C$6:$C$1005,B296)=0,"",SUMIFS(Orders!$J$6:$J$1005,Orders!$C$6:$C$1005,B296)))</f>
        <v/>
      </c>
      <c r="J296" s="1" t="n"/>
    </row>
    <row r="297">
      <c r="A297" s="1" t="n"/>
      <c r="B297" s="32" t="n"/>
      <c r="C297" s="33" t="n"/>
      <c r="D297" s="33" t="n"/>
      <c r="E297" s="33" t="n"/>
      <c r="F297" s="18">
        <f>IF(B297="","",COUNTIFS(Orders!$C$6:$C$1005,B297,Orders!$L$6:$L$1005,"&lt;&gt;Cancelled"))</f>
        <v/>
      </c>
      <c r="G297" s="22">
        <f>IF(B297="","",SUMIFS(Orders!$H$6:$H$1005,Orders!$C$6:$C$1005,B297,Orders!$L$6:$L$1005,"&lt;&gt;Cancelled"))</f>
        <v/>
      </c>
      <c r="H297" s="43">
        <f>IF(B297="","",IF(SUMIFS(Orders!$U$6:$U$1005,Orders!$C$6:$C$1005,B297,Orders!$V$6:$V$1005,1)=0,"",INT(SUMIFS(Orders!$U$6:$U$1005,Orders!$C$6:$C$1005,B297,Orders!$V$6:$V$1005,1))))</f>
        <v/>
      </c>
      <c r="I297" s="30">
        <f>IF(B297="","",IF(SUMIFS(Orders!$J$6:$J$1005,Orders!$C$6:$C$1005,B297)=0,"",SUMIFS(Orders!$J$6:$J$1005,Orders!$C$6:$C$1005,B297)))</f>
        <v/>
      </c>
      <c r="J297" s="1" t="n"/>
    </row>
    <row r="298">
      <c r="A298" s="1" t="n"/>
      <c r="B298" s="32" t="n"/>
      <c r="C298" s="33" t="n"/>
      <c r="D298" s="33" t="n"/>
      <c r="E298" s="33" t="n"/>
      <c r="F298" s="18">
        <f>IF(B298="","",COUNTIFS(Orders!$C$6:$C$1005,B298,Orders!$L$6:$L$1005,"&lt;&gt;Cancelled"))</f>
        <v/>
      </c>
      <c r="G298" s="22">
        <f>IF(B298="","",SUMIFS(Orders!$H$6:$H$1005,Orders!$C$6:$C$1005,B298,Orders!$L$6:$L$1005,"&lt;&gt;Cancelled"))</f>
        <v/>
      </c>
      <c r="H298" s="43">
        <f>IF(B298="","",IF(SUMIFS(Orders!$U$6:$U$1005,Orders!$C$6:$C$1005,B298,Orders!$V$6:$V$1005,1)=0,"",INT(SUMIFS(Orders!$U$6:$U$1005,Orders!$C$6:$C$1005,B298,Orders!$V$6:$V$1005,1))))</f>
        <v/>
      </c>
      <c r="I298" s="30">
        <f>IF(B298="","",IF(SUMIFS(Orders!$J$6:$J$1005,Orders!$C$6:$C$1005,B298)=0,"",SUMIFS(Orders!$J$6:$J$1005,Orders!$C$6:$C$1005,B298)))</f>
        <v/>
      </c>
      <c r="J298" s="1" t="n"/>
    </row>
    <row r="299">
      <c r="A299" s="1" t="n"/>
      <c r="B299" s="32" t="n"/>
      <c r="C299" s="33" t="n"/>
      <c r="D299" s="33" t="n"/>
      <c r="E299" s="33" t="n"/>
      <c r="F299" s="18">
        <f>IF(B299="","",COUNTIFS(Orders!$C$6:$C$1005,B299,Orders!$L$6:$L$1005,"&lt;&gt;Cancelled"))</f>
        <v/>
      </c>
      <c r="G299" s="22">
        <f>IF(B299="","",SUMIFS(Orders!$H$6:$H$1005,Orders!$C$6:$C$1005,B299,Orders!$L$6:$L$1005,"&lt;&gt;Cancelled"))</f>
        <v/>
      </c>
      <c r="H299" s="43">
        <f>IF(B299="","",IF(SUMIFS(Orders!$U$6:$U$1005,Orders!$C$6:$C$1005,B299,Orders!$V$6:$V$1005,1)=0,"",INT(SUMIFS(Orders!$U$6:$U$1005,Orders!$C$6:$C$1005,B299,Orders!$V$6:$V$1005,1))))</f>
        <v/>
      </c>
      <c r="I299" s="30">
        <f>IF(B299="","",IF(SUMIFS(Orders!$J$6:$J$1005,Orders!$C$6:$C$1005,B299)=0,"",SUMIFS(Orders!$J$6:$J$1005,Orders!$C$6:$C$1005,B299)))</f>
        <v/>
      </c>
      <c r="J299" s="1" t="n"/>
    </row>
    <row r="300">
      <c r="A300" s="1" t="n"/>
      <c r="B300" s="32" t="n"/>
      <c r="C300" s="33" t="n"/>
      <c r="D300" s="33" t="n"/>
      <c r="E300" s="33" t="n"/>
      <c r="F300" s="18">
        <f>IF(B300="","",COUNTIFS(Orders!$C$6:$C$1005,B300,Orders!$L$6:$L$1005,"&lt;&gt;Cancelled"))</f>
        <v/>
      </c>
      <c r="G300" s="22">
        <f>IF(B300="","",SUMIFS(Orders!$H$6:$H$1005,Orders!$C$6:$C$1005,B300,Orders!$L$6:$L$1005,"&lt;&gt;Cancelled"))</f>
        <v/>
      </c>
      <c r="H300" s="43">
        <f>IF(B300="","",IF(SUMIFS(Orders!$U$6:$U$1005,Orders!$C$6:$C$1005,B300,Orders!$V$6:$V$1005,1)=0,"",INT(SUMIFS(Orders!$U$6:$U$1005,Orders!$C$6:$C$1005,B300,Orders!$V$6:$V$1005,1))))</f>
        <v/>
      </c>
      <c r="I300" s="30">
        <f>IF(B300="","",IF(SUMIFS(Orders!$J$6:$J$1005,Orders!$C$6:$C$1005,B300)=0,"",SUMIFS(Orders!$J$6:$J$1005,Orders!$C$6:$C$1005,B300)))</f>
        <v/>
      </c>
      <c r="J300" s="1" t="n"/>
    </row>
    <row r="301">
      <c r="A301" s="1" t="n"/>
      <c r="B301" s="32" t="n"/>
      <c r="C301" s="33" t="n"/>
      <c r="D301" s="33" t="n"/>
      <c r="E301" s="33" t="n"/>
      <c r="F301" s="18">
        <f>IF(B301="","",COUNTIFS(Orders!$C$6:$C$1005,B301,Orders!$L$6:$L$1005,"&lt;&gt;Cancelled"))</f>
        <v/>
      </c>
      <c r="G301" s="22">
        <f>IF(B301="","",SUMIFS(Orders!$H$6:$H$1005,Orders!$C$6:$C$1005,B301,Orders!$L$6:$L$1005,"&lt;&gt;Cancelled"))</f>
        <v/>
      </c>
      <c r="H301" s="43">
        <f>IF(B301="","",IF(SUMIFS(Orders!$U$6:$U$1005,Orders!$C$6:$C$1005,B301,Orders!$V$6:$V$1005,1)=0,"",INT(SUMIFS(Orders!$U$6:$U$1005,Orders!$C$6:$C$1005,B301,Orders!$V$6:$V$1005,1))))</f>
        <v/>
      </c>
      <c r="I301" s="30">
        <f>IF(B301="","",IF(SUMIFS(Orders!$J$6:$J$1005,Orders!$C$6:$C$1005,B301)=0,"",SUMIFS(Orders!$J$6:$J$1005,Orders!$C$6:$C$1005,B301)))</f>
        <v/>
      </c>
      <c r="J301" s="1" t="n"/>
    </row>
    <row r="302">
      <c r="A302" s="1" t="n"/>
      <c r="B302" s="32" t="n"/>
      <c r="C302" s="33" t="n"/>
      <c r="D302" s="33" t="n"/>
      <c r="E302" s="33" t="n"/>
      <c r="F302" s="18">
        <f>IF(B302="","",COUNTIFS(Orders!$C$6:$C$1005,B302,Orders!$L$6:$L$1005,"&lt;&gt;Cancelled"))</f>
        <v/>
      </c>
      <c r="G302" s="22">
        <f>IF(B302="","",SUMIFS(Orders!$H$6:$H$1005,Orders!$C$6:$C$1005,B302,Orders!$L$6:$L$1005,"&lt;&gt;Cancelled"))</f>
        <v/>
      </c>
      <c r="H302" s="43">
        <f>IF(B302="","",IF(SUMIFS(Orders!$U$6:$U$1005,Orders!$C$6:$C$1005,B302,Orders!$V$6:$V$1005,1)=0,"",INT(SUMIFS(Orders!$U$6:$U$1005,Orders!$C$6:$C$1005,B302,Orders!$V$6:$V$1005,1))))</f>
        <v/>
      </c>
      <c r="I302" s="30">
        <f>IF(B302="","",IF(SUMIFS(Orders!$J$6:$J$1005,Orders!$C$6:$C$1005,B302)=0,"",SUMIFS(Orders!$J$6:$J$1005,Orders!$C$6:$C$1005,B302)))</f>
        <v/>
      </c>
      <c r="J302" s="1" t="n"/>
    </row>
    <row r="303">
      <c r="A303" s="1" t="n"/>
      <c r="B303" s="32" t="n"/>
      <c r="C303" s="33" t="n"/>
      <c r="D303" s="33" t="n"/>
      <c r="E303" s="33" t="n"/>
      <c r="F303" s="18">
        <f>IF(B303="","",COUNTIFS(Orders!$C$6:$C$1005,B303,Orders!$L$6:$L$1005,"&lt;&gt;Cancelled"))</f>
        <v/>
      </c>
      <c r="G303" s="22">
        <f>IF(B303="","",SUMIFS(Orders!$H$6:$H$1005,Orders!$C$6:$C$1005,B303,Orders!$L$6:$L$1005,"&lt;&gt;Cancelled"))</f>
        <v/>
      </c>
      <c r="H303" s="43">
        <f>IF(B303="","",IF(SUMIFS(Orders!$U$6:$U$1005,Orders!$C$6:$C$1005,B303,Orders!$V$6:$V$1005,1)=0,"",INT(SUMIFS(Orders!$U$6:$U$1005,Orders!$C$6:$C$1005,B303,Orders!$V$6:$V$1005,1))))</f>
        <v/>
      </c>
      <c r="I303" s="30">
        <f>IF(B303="","",IF(SUMIFS(Orders!$J$6:$J$1005,Orders!$C$6:$C$1005,B303)=0,"",SUMIFS(Orders!$J$6:$J$1005,Orders!$C$6:$C$1005,B303)))</f>
        <v/>
      </c>
      <c r="J303" s="1" t="n"/>
    </row>
    <row r="304">
      <c r="A304" s="1" t="n"/>
      <c r="B304" s="32" t="n"/>
      <c r="C304" s="33" t="n"/>
      <c r="D304" s="33" t="n"/>
      <c r="E304" s="33" t="n"/>
      <c r="F304" s="18">
        <f>IF(B304="","",COUNTIFS(Orders!$C$6:$C$1005,B304,Orders!$L$6:$L$1005,"&lt;&gt;Cancelled"))</f>
        <v/>
      </c>
      <c r="G304" s="22">
        <f>IF(B304="","",SUMIFS(Orders!$H$6:$H$1005,Orders!$C$6:$C$1005,B304,Orders!$L$6:$L$1005,"&lt;&gt;Cancelled"))</f>
        <v/>
      </c>
      <c r="H304" s="43">
        <f>IF(B304="","",IF(SUMIFS(Orders!$U$6:$U$1005,Orders!$C$6:$C$1005,B304,Orders!$V$6:$V$1005,1)=0,"",INT(SUMIFS(Orders!$U$6:$U$1005,Orders!$C$6:$C$1005,B304,Orders!$V$6:$V$1005,1))))</f>
        <v/>
      </c>
      <c r="I304" s="30">
        <f>IF(B304="","",IF(SUMIFS(Orders!$J$6:$J$1005,Orders!$C$6:$C$1005,B304)=0,"",SUMIFS(Orders!$J$6:$J$1005,Orders!$C$6:$C$1005,B304)))</f>
        <v/>
      </c>
      <c r="J304" s="1" t="n"/>
    </row>
    <row r="305">
      <c r="A305" s="1" t="n"/>
      <c r="B305" s="32" t="n"/>
      <c r="C305" s="33" t="n"/>
      <c r="D305" s="33" t="n"/>
      <c r="E305" s="33" t="n"/>
      <c r="F305" s="18">
        <f>IF(B305="","",COUNTIFS(Orders!$C$6:$C$1005,B305,Orders!$L$6:$L$1005,"&lt;&gt;Cancelled"))</f>
        <v/>
      </c>
      <c r="G305" s="22">
        <f>IF(B305="","",SUMIFS(Orders!$H$6:$H$1005,Orders!$C$6:$C$1005,B305,Orders!$L$6:$L$1005,"&lt;&gt;Cancelled"))</f>
        <v/>
      </c>
      <c r="H305" s="43">
        <f>IF(B305="","",IF(SUMIFS(Orders!$U$6:$U$1005,Orders!$C$6:$C$1005,B305,Orders!$V$6:$V$1005,1)=0,"",INT(SUMIFS(Orders!$U$6:$U$1005,Orders!$C$6:$C$1005,B305,Orders!$V$6:$V$1005,1))))</f>
        <v/>
      </c>
      <c r="I305" s="30">
        <f>IF(B305="","",IF(SUMIFS(Orders!$J$6:$J$1005,Orders!$C$6:$C$1005,B305)=0,"",SUMIFS(Orders!$J$6:$J$1005,Orders!$C$6:$C$1005,B305)))</f>
        <v/>
      </c>
      <c r="J305" s="1" t="n"/>
    </row>
    <row r="306">
      <c r="A306" s="1" t="n"/>
      <c r="B306" s="32" t="n"/>
      <c r="C306" s="33" t="n"/>
      <c r="D306" s="33" t="n"/>
      <c r="E306" s="33" t="n"/>
      <c r="F306" s="18">
        <f>IF(B306="","",COUNTIFS(Orders!$C$6:$C$1005,B306,Orders!$L$6:$L$1005,"&lt;&gt;Cancelled"))</f>
        <v/>
      </c>
      <c r="G306" s="22">
        <f>IF(B306="","",SUMIFS(Orders!$H$6:$H$1005,Orders!$C$6:$C$1005,B306,Orders!$L$6:$L$1005,"&lt;&gt;Cancelled"))</f>
        <v/>
      </c>
      <c r="H306" s="43">
        <f>IF(B306="","",IF(SUMIFS(Orders!$U$6:$U$1005,Orders!$C$6:$C$1005,B306,Orders!$V$6:$V$1005,1)=0,"",INT(SUMIFS(Orders!$U$6:$U$1005,Orders!$C$6:$C$1005,B306,Orders!$V$6:$V$1005,1))))</f>
        <v/>
      </c>
      <c r="I306" s="30">
        <f>IF(B306="","",IF(SUMIFS(Orders!$J$6:$J$1005,Orders!$C$6:$C$1005,B306)=0,"",SUMIFS(Orders!$J$6:$J$1005,Orders!$C$6:$C$1005,B306)))</f>
        <v/>
      </c>
      <c r="J306" s="1" t="n"/>
    </row>
    <row r="307">
      <c r="A307" s="1" t="n"/>
      <c r="B307" s="32" t="n"/>
      <c r="C307" s="33" t="n"/>
      <c r="D307" s="33" t="n"/>
      <c r="E307" s="33" t="n"/>
      <c r="F307" s="18">
        <f>IF(B307="","",COUNTIFS(Orders!$C$6:$C$1005,B307,Orders!$L$6:$L$1005,"&lt;&gt;Cancelled"))</f>
        <v/>
      </c>
      <c r="G307" s="22">
        <f>IF(B307="","",SUMIFS(Orders!$H$6:$H$1005,Orders!$C$6:$C$1005,B307,Orders!$L$6:$L$1005,"&lt;&gt;Cancelled"))</f>
        <v/>
      </c>
      <c r="H307" s="43">
        <f>IF(B307="","",IF(SUMIFS(Orders!$U$6:$U$1005,Orders!$C$6:$C$1005,B307,Orders!$V$6:$V$1005,1)=0,"",INT(SUMIFS(Orders!$U$6:$U$1005,Orders!$C$6:$C$1005,B307,Orders!$V$6:$V$1005,1))))</f>
        <v/>
      </c>
      <c r="I307" s="30">
        <f>IF(B307="","",IF(SUMIFS(Orders!$J$6:$J$1005,Orders!$C$6:$C$1005,B307)=0,"",SUMIFS(Orders!$J$6:$J$1005,Orders!$C$6:$C$1005,B307)))</f>
        <v/>
      </c>
      <c r="J307" s="1" t="n"/>
    </row>
    <row r="308">
      <c r="A308" s="1" t="n"/>
      <c r="B308" s="32" t="n"/>
      <c r="C308" s="33" t="n"/>
      <c r="D308" s="33" t="n"/>
      <c r="E308" s="33" t="n"/>
      <c r="F308" s="18">
        <f>IF(B308="","",COUNTIFS(Orders!$C$6:$C$1005,B308,Orders!$L$6:$L$1005,"&lt;&gt;Cancelled"))</f>
        <v/>
      </c>
      <c r="G308" s="22">
        <f>IF(B308="","",SUMIFS(Orders!$H$6:$H$1005,Orders!$C$6:$C$1005,B308,Orders!$L$6:$L$1005,"&lt;&gt;Cancelled"))</f>
        <v/>
      </c>
      <c r="H308" s="43">
        <f>IF(B308="","",IF(SUMIFS(Orders!$U$6:$U$1005,Orders!$C$6:$C$1005,B308,Orders!$V$6:$V$1005,1)=0,"",INT(SUMIFS(Orders!$U$6:$U$1005,Orders!$C$6:$C$1005,B308,Orders!$V$6:$V$1005,1))))</f>
        <v/>
      </c>
      <c r="I308" s="30">
        <f>IF(B308="","",IF(SUMIFS(Orders!$J$6:$J$1005,Orders!$C$6:$C$1005,B308)=0,"",SUMIFS(Orders!$J$6:$J$1005,Orders!$C$6:$C$1005,B308)))</f>
        <v/>
      </c>
      <c r="J308" s="1" t="n"/>
    </row>
    <row r="309">
      <c r="A309" s="1" t="n"/>
      <c r="B309" s="32" t="n"/>
      <c r="C309" s="33" t="n"/>
      <c r="D309" s="33" t="n"/>
      <c r="E309" s="33" t="n"/>
      <c r="F309" s="18">
        <f>IF(B309="","",COUNTIFS(Orders!$C$6:$C$1005,B309,Orders!$L$6:$L$1005,"&lt;&gt;Cancelled"))</f>
        <v/>
      </c>
      <c r="G309" s="22">
        <f>IF(B309="","",SUMIFS(Orders!$H$6:$H$1005,Orders!$C$6:$C$1005,B309,Orders!$L$6:$L$1005,"&lt;&gt;Cancelled"))</f>
        <v/>
      </c>
      <c r="H309" s="43">
        <f>IF(B309="","",IF(SUMIFS(Orders!$U$6:$U$1005,Orders!$C$6:$C$1005,B309,Orders!$V$6:$V$1005,1)=0,"",INT(SUMIFS(Orders!$U$6:$U$1005,Orders!$C$6:$C$1005,B309,Orders!$V$6:$V$1005,1))))</f>
        <v/>
      </c>
      <c r="I309" s="30">
        <f>IF(B309="","",IF(SUMIFS(Orders!$J$6:$J$1005,Orders!$C$6:$C$1005,B309)=0,"",SUMIFS(Orders!$J$6:$J$1005,Orders!$C$6:$C$1005,B309)))</f>
        <v/>
      </c>
      <c r="J309" s="1" t="n"/>
    </row>
    <row r="310">
      <c r="A310" s="1" t="n"/>
      <c r="B310" s="32" t="n"/>
      <c r="C310" s="33" t="n"/>
      <c r="D310" s="33" t="n"/>
      <c r="E310" s="33" t="n"/>
      <c r="F310" s="18">
        <f>IF(B310="","",COUNTIFS(Orders!$C$6:$C$1005,B310,Orders!$L$6:$L$1005,"&lt;&gt;Cancelled"))</f>
        <v/>
      </c>
      <c r="G310" s="22">
        <f>IF(B310="","",SUMIFS(Orders!$H$6:$H$1005,Orders!$C$6:$C$1005,B310,Orders!$L$6:$L$1005,"&lt;&gt;Cancelled"))</f>
        <v/>
      </c>
      <c r="H310" s="43">
        <f>IF(B310="","",IF(SUMIFS(Orders!$U$6:$U$1005,Orders!$C$6:$C$1005,B310,Orders!$V$6:$V$1005,1)=0,"",INT(SUMIFS(Orders!$U$6:$U$1005,Orders!$C$6:$C$1005,B310,Orders!$V$6:$V$1005,1))))</f>
        <v/>
      </c>
      <c r="I310" s="30">
        <f>IF(B310="","",IF(SUMIFS(Orders!$J$6:$J$1005,Orders!$C$6:$C$1005,B310)=0,"",SUMIFS(Orders!$J$6:$J$1005,Orders!$C$6:$C$1005,B310)))</f>
        <v/>
      </c>
      <c r="J310" s="1" t="n"/>
    </row>
    <row r="311">
      <c r="A311" s="1" t="n"/>
      <c r="B311" s="32" t="n"/>
      <c r="C311" s="33" t="n"/>
      <c r="D311" s="33" t="n"/>
      <c r="E311" s="33" t="n"/>
      <c r="F311" s="18">
        <f>IF(B311="","",COUNTIFS(Orders!$C$6:$C$1005,B311,Orders!$L$6:$L$1005,"&lt;&gt;Cancelled"))</f>
        <v/>
      </c>
      <c r="G311" s="22">
        <f>IF(B311="","",SUMIFS(Orders!$H$6:$H$1005,Orders!$C$6:$C$1005,B311,Orders!$L$6:$L$1005,"&lt;&gt;Cancelled"))</f>
        <v/>
      </c>
      <c r="H311" s="43">
        <f>IF(B311="","",IF(SUMIFS(Orders!$U$6:$U$1005,Orders!$C$6:$C$1005,B311,Orders!$V$6:$V$1005,1)=0,"",INT(SUMIFS(Orders!$U$6:$U$1005,Orders!$C$6:$C$1005,B311,Orders!$V$6:$V$1005,1))))</f>
        <v/>
      </c>
      <c r="I311" s="30">
        <f>IF(B311="","",IF(SUMIFS(Orders!$J$6:$J$1005,Orders!$C$6:$C$1005,B311)=0,"",SUMIFS(Orders!$J$6:$J$1005,Orders!$C$6:$C$1005,B311)))</f>
        <v/>
      </c>
      <c r="J311" s="1" t="n"/>
    </row>
    <row r="312">
      <c r="A312" s="1" t="n"/>
      <c r="B312" s="32" t="n"/>
      <c r="C312" s="33" t="n"/>
      <c r="D312" s="33" t="n"/>
      <c r="E312" s="33" t="n"/>
      <c r="F312" s="18">
        <f>IF(B312="","",COUNTIFS(Orders!$C$6:$C$1005,B312,Orders!$L$6:$L$1005,"&lt;&gt;Cancelled"))</f>
        <v/>
      </c>
      <c r="G312" s="22">
        <f>IF(B312="","",SUMIFS(Orders!$H$6:$H$1005,Orders!$C$6:$C$1005,B312,Orders!$L$6:$L$1005,"&lt;&gt;Cancelled"))</f>
        <v/>
      </c>
      <c r="H312" s="43">
        <f>IF(B312="","",IF(SUMIFS(Orders!$U$6:$U$1005,Orders!$C$6:$C$1005,B312,Orders!$V$6:$V$1005,1)=0,"",INT(SUMIFS(Orders!$U$6:$U$1005,Orders!$C$6:$C$1005,B312,Orders!$V$6:$V$1005,1))))</f>
        <v/>
      </c>
      <c r="I312" s="30">
        <f>IF(B312="","",IF(SUMIFS(Orders!$J$6:$J$1005,Orders!$C$6:$C$1005,B312)=0,"",SUMIFS(Orders!$J$6:$J$1005,Orders!$C$6:$C$1005,B312)))</f>
        <v/>
      </c>
      <c r="J312" s="1" t="n"/>
    </row>
    <row r="313">
      <c r="A313" s="1" t="n"/>
      <c r="B313" s="32" t="n"/>
      <c r="C313" s="33" t="n"/>
      <c r="D313" s="33" t="n"/>
      <c r="E313" s="33" t="n"/>
      <c r="F313" s="18">
        <f>IF(B313="","",COUNTIFS(Orders!$C$6:$C$1005,B313,Orders!$L$6:$L$1005,"&lt;&gt;Cancelled"))</f>
        <v/>
      </c>
      <c r="G313" s="22">
        <f>IF(B313="","",SUMIFS(Orders!$H$6:$H$1005,Orders!$C$6:$C$1005,B313,Orders!$L$6:$L$1005,"&lt;&gt;Cancelled"))</f>
        <v/>
      </c>
      <c r="H313" s="43">
        <f>IF(B313="","",IF(SUMIFS(Orders!$U$6:$U$1005,Orders!$C$6:$C$1005,B313,Orders!$V$6:$V$1005,1)=0,"",INT(SUMIFS(Orders!$U$6:$U$1005,Orders!$C$6:$C$1005,B313,Orders!$V$6:$V$1005,1))))</f>
        <v/>
      </c>
      <c r="I313" s="30">
        <f>IF(B313="","",IF(SUMIFS(Orders!$J$6:$J$1005,Orders!$C$6:$C$1005,B313)=0,"",SUMIFS(Orders!$J$6:$J$1005,Orders!$C$6:$C$1005,B313)))</f>
        <v/>
      </c>
      <c r="J313" s="1" t="n"/>
    </row>
    <row r="314">
      <c r="A314" s="1" t="n"/>
      <c r="B314" s="32" t="n"/>
      <c r="C314" s="33" t="n"/>
      <c r="D314" s="33" t="n"/>
      <c r="E314" s="33" t="n"/>
      <c r="F314" s="18">
        <f>IF(B314="","",COUNTIFS(Orders!$C$6:$C$1005,B314,Orders!$L$6:$L$1005,"&lt;&gt;Cancelled"))</f>
        <v/>
      </c>
      <c r="G314" s="22">
        <f>IF(B314="","",SUMIFS(Orders!$H$6:$H$1005,Orders!$C$6:$C$1005,B314,Orders!$L$6:$L$1005,"&lt;&gt;Cancelled"))</f>
        <v/>
      </c>
      <c r="H314" s="43">
        <f>IF(B314="","",IF(SUMIFS(Orders!$U$6:$U$1005,Orders!$C$6:$C$1005,B314,Orders!$V$6:$V$1005,1)=0,"",INT(SUMIFS(Orders!$U$6:$U$1005,Orders!$C$6:$C$1005,B314,Orders!$V$6:$V$1005,1))))</f>
        <v/>
      </c>
      <c r="I314" s="30">
        <f>IF(B314="","",IF(SUMIFS(Orders!$J$6:$J$1005,Orders!$C$6:$C$1005,B314)=0,"",SUMIFS(Orders!$J$6:$J$1005,Orders!$C$6:$C$1005,B314)))</f>
        <v/>
      </c>
      <c r="J314" s="1" t="n"/>
    </row>
    <row r="315">
      <c r="A315" s="1" t="n"/>
      <c r="B315" s="32" t="n"/>
      <c r="C315" s="33" t="n"/>
      <c r="D315" s="33" t="n"/>
      <c r="E315" s="33" t="n"/>
      <c r="F315" s="18">
        <f>IF(B315="","",COUNTIFS(Orders!$C$6:$C$1005,B315,Orders!$L$6:$L$1005,"&lt;&gt;Cancelled"))</f>
        <v/>
      </c>
      <c r="G315" s="22">
        <f>IF(B315="","",SUMIFS(Orders!$H$6:$H$1005,Orders!$C$6:$C$1005,B315,Orders!$L$6:$L$1005,"&lt;&gt;Cancelled"))</f>
        <v/>
      </c>
      <c r="H315" s="43">
        <f>IF(B315="","",IF(SUMIFS(Orders!$U$6:$U$1005,Orders!$C$6:$C$1005,B315,Orders!$V$6:$V$1005,1)=0,"",INT(SUMIFS(Orders!$U$6:$U$1005,Orders!$C$6:$C$1005,B315,Orders!$V$6:$V$1005,1))))</f>
        <v/>
      </c>
      <c r="I315" s="30">
        <f>IF(B315="","",IF(SUMIFS(Orders!$J$6:$J$1005,Orders!$C$6:$C$1005,B315)=0,"",SUMIFS(Orders!$J$6:$J$1005,Orders!$C$6:$C$1005,B315)))</f>
        <v/>
      </c>
      <c r="J315" s="1" t="n"/>
    </row>
    <row r="316">
      <c r="A316" s="1" t="n"/>
      <c r="B316" s="32" t="n"/>
      <c r="C316" s="33" t="n"/>
      <c r="D316" s="33" t="n"/>
      <c r="E316" s="33" t="n"/>
      <c r="F316" s="18">
        <f>IF(B316="","",COUNTIFS(Orders!$C$6:$C$1005,B316,Orders!$L$6:$L$1005,"&lt;&gt;Cancelled"))</f>
        <v/>
      </c>
      <c r="G316" s="22">
        <f>IF(B316="","",SUMIFS(Orders!$H$6:$H$1005,Orders!$C$6:$C$1005,B316,Orders!$L$6:$L$1005,"&lt;&gt;Cancelled"))</f>
        <v/>
      </c>
      <c r="H316" s="43">
        <f>IF(B316="","",IF(SUMIFS(Orders!$U$6:$U$1005,Orders!$C$6:$C$1005,B316,Orders!$V$6:$V$1005,1)=0,"",INT(SUMIFS(Orders!$U$6:$U$1005,Orders!$C$6:$C$1005,B316,Orders!$V$6:$V$1005,1))))</f>
        <v/>
      </c>
      <c r="I316" s="30">
        <f>IF(B316="","",IF(SUMIFS(Orders!$J$6:$J$1005,Orders!$C$6:$C$1005,B316)=0,"",SUMIFS(Orders!$J$6:$J$1005,Orders!$C$6:$C$1005,B316)))</f>
        <v/>
      </c>
      <c r="J316" s="1" t="n"/>
    </row>
    <row r="317">
      <c r="A317" s="1" t="n"/>
      <c r="B317" s="32" t="n"/>
      <c r="C317" s="33" t="n"/>
      <c r="D317" s="33" t="n"/>
      <c r="E317" s="33" t="n"/>
      <c r="F317" s="18">
        <f>IF(B317="","",COUNTIFS(Orders!$C$6:$C$1005,B317,Orders!$L$6:$L$1005,"&lt;&gt;Cancelled"))</f>
        <v/>
      </c>
      <c r="G317" s="22">
        <f>IF(B317="","",SUMIFS(Orders!$H$6:$H$1005,Orders!$C$6:$C$1005,B317,Orders!$L$6:$L$1005,"&lt;&gt;Cancelled"))</f>
        <v/>
      </c>
      <c r="H317" s="43">
        <f>IF(B317="","",IF(SUMIFS(Orders!$U$6:$U$1005,Orders!$C$6:$C$1005,B317,Orders!$V$6:$V$1005,1)=0,"",INT(SUMIFS(Orders!$U$6:$U$1005,Orders!$C$6:$C$1005,B317,Orders!$V$6:$V$1005,1))))</f>
        <v/>
      </c>
      <c r="I317" s="30">
        <f>IF(B317="","",IF(SUMIFS(Orders!$J$6:$J$1005,Orders!$C$6:$C$1005,B317)=0,"",SUMIFS(Orders!$J$6:$J$1005,Orders!$C$6:$C$1005,B317)))</f>
        <v/>
      </c>
      <c r="J317" s="1" t="n"/>
    </row>
    <row r="318">
      <c r="A318" s="1" t="n"/>
      <c r="B318" s="32" t="n"/>
      <c r="C318" s="33" t="n"/>
      <c r="D318" s="33" t="n"/>
      <c r="E318" s="33" t="n"/>
      <c r="F318" s="18">
        <f>IF(B318="","",COUNTIFS(Orders!$C$6:$C$1005,B318,Orders!$L$6:$L$1005,"&lt;&gt;Cancelled"))</f>
        <v/>
      </c>
      <c r="G318" s="22">
        <f>IF(B318="","",SUMIFS(Orders!$H$6:$H$1005,Orders!$C$6:$C$1005,B318,Orders!$L$6:$L$1005,"&lt;&gt;Cancelled"))</f>
        <v/>
      </c>
      <c r="H318" s="43">
        <f>IF(B318="","",IF(SUMIFS(Orders!$U$6:$U$1005,Orders!$C$6:$C$1005,B318,Orders!$V$6:$V$1005,1)=0,"",INT(SUMIFS(Orders!$U$6:$U$1005,Orders!$C$6:$C$1005,B318,Orders!$V$6:$V$1005,1))))</f>
        <v/>
      </c>
      <c r="I318" s="30">
        <f>IF(B318="","",IF(SUMIFS(Orders!$J$6:$J$1005,Orders!$C$6:$C$1005,B318)=0,"",SUMIFS(Orders!$J$6:$J$1005,Orders!$C$6:$C$1005,B318)))</f>
        <v/>
      </c>
      <c r="J318" s="1" t="n"/>
    </row>
    <row r="319">
      <c r="A319" s="1" t="n"/>
      <c r="B319" s="32" t="n"/>
      <c r="C319" s="33" t="n"/>
      <c r="D319" s="33" t="n"/>
      <c r="E319" s="33" t="n"/>
      <c r="F319" s="18">
        <f>IF(B319="","",COUNTIFS(Orders!$C$6:$C$1005,B319,Orders!$L$6:$L$1005,"&lt;&gt;Cancelled"))</f>
        <v/>
      </c>
      <c r="G319" s="22">
        <f>IF(B319="","",SUMIFS(Orders!$H$6:$H$1005,Orders!$C$6:$C$1005,B319,Orders!$L$6:$L$1005,"&lt;&gt;Cancelled"))</f>
        <v/>
      </c>
      <c r="H319" s="43">
        <f>IF(B319="","",IF(SUMIFS(Orders!$U$6:$U$1005,Orders!$C$6:$C$1005,B319,Orders!$V$6:$V$1005,1)=0,"",INT(SUMIFS(Orders!$U$6:$U$1005,Orders!$C$6:$C$1005,B319,Orders!$V$6:$V$1005,1))))</f>
        <v/>
      </c>
      <c r="I319" s="30">
        <f>IF(B319="","",IF(SUMIFS(Orders!$J$6:$J$1005,Orders!$C$6:$C$1005,B319)=0,"",SUMIFS(Orders!$J$6:$J$1005,Orders!$C$6:$C$1005,B319)))</f>
        <v/>
      </c>
      <c r="J319" s="1" t="n"/>
    </row>
    <row r="320">
      <c r="A320" s="1" t="n"/>
      <c r="B320" s="32" t="n"/>
      <c r="C320" s="33" t="n"/>
      <c r="D320" s="33" t="n"/>
      <c r="E320" s="33" t="n"/>
      <c r="F320" s="18">
        <f>IF(B320="","",COUNTIFS(Orders!$C$6:$C$1005,B320,Orders!$L$6:$L$1005,"&lt;&gt;Cancelled"))</f>
        <v/>
      </c>
      <c r="G320" s="22">
        <f>IF(B320="","",SUMIFS(Orders!$H$6:$H$1005,Orders!$C$6:$C$1005,B320,Orders!$L$6:$L$1005,"&lt;&gt;Cancelled"))</f>
        <v/>
      </c>
      <c r="H320" s="43">
        <f>IF(B320="","",IF(SUMIFS(Orders!$U$6:$U$1005,Orders!$C$6:$C$1005,B320,Orders!$V$6:$V$1005,1)=0,"",INT(SUMIFS(Orders!$U$6:$U$1005,Orders!$C$6:$C$1005,B320,Orders!$V$6:$V$1005,1))))</f>
        <v/>
      </c>
      <c r="I320" s="30">
        <f>IF(B320="","",IF(SUMIFS(Orders!$J$6:$J$1005,Orders!$C$6:$C$1005,B320)=0,"",SUMIFS(Orders!$J$6:$J$1005,Orders!$C$6:$C$1005,B320)))</f>
        <v/>
      </c>
      <c r="J320" s="1" t="n"/>
    </row>
    <row r="321">
      <c r="A321" s="1" t="n"/>
      <c r="B321" s="32" t="n"/>
      <c r="C321" s="33" t="n"/>
      <c r="D321" s="33" t="n"/>
      <c r="E321" s="33" t="n"/>
      <c r="F321" s="18">
        <f>IF(B321="","",COUNTIFS(Orders!$C$6:$C$1005,B321,Orders!$L$6:$L$1005,"&lt;&gt;Cancelled"))</f>
        <v/>
      </c>
      <c r="G321" s="22">
        <f>IF(B321="","",SUMIFS(Orders!$H$6:$H$1005,Orders!$C$6:$C$1005,B321,Orders!$L$6:$L$1005,"&lt;&gt;Cancelled"))</f>
        <v/>
      </c>
      <c r="H321" s="43">
        <f>IF(B321="","",IF(SUMIFS(Orders!$U$6:$U$1005,Orders!$C$6:$C$1005,B321,Orders!$V$6:$V$1005,1)=0,"",INT(SUMIFS(Orders!$U$6:$U$1005,Orders!$C$6:$C$1005,B321,Orders!$V$6:$V$1005,1))))</f>
        <v/>
      </c>
      <c r="I321" s="30">
        <f>IF(B321="","",IF(SUMIFS(Orders!$J$6:$J$1005,Orders!$C$6:$C$1005,B321)=0,"",SUMIFS(Orders!$J$6:$J$1005,Orders!$C$6:$C$1005,B321)))</f>
        <v/>
      </c>
      <c r="J321" s="1" t="n"/>
    </row>
    <row r="322">
      <c r="A322" s="1" t="n"/>
      <c r="B322" s="32" t="n"/>
      <c r="C322" s="33" t="n"/>
      <c r="D322" s="33" t="n"/>
      <c r="E322" s="33" t="n"/>
      <c r="F322" s="18">
        <f>IF(B322="","",COUNTIFS(Orders!$C$6:$C$1005,B322,Orders!$L$6:$L$1005,"&lt;&gt;Cancelled"))</f>
        <v/>
      </c>
      <c r="G322" s="22">
        <f>IF(B322="","",SUMIFS(Orders!$H$6:$H$1005,Orders!$C$6:$C$1005,B322,Orders!$L$6:$L$1005,"&lt;&gt;Cancelled"))</f>
        <v/>
      </c>
      <c r="H322" s="43">
        <f>IF(B322="","",IF(SUMIFS(Orders!$U$6:$U$1005,Orders!$C$6:$C$1005,B322,Orders!$V$6:$V$1005,1)=0,"",INT(SUMIFS(Orders!$U$6:$U$1005,Orders!$C$6:$C$1005,B322,Orders!$V$6:$V$1005,1))))</f>
        <v/>
      </c>
      <c r="I322" s="30">
        <f>IF(B322="","",IF(SUMIFS(Orders!$J$6:$J$1005,Orders!$C$6:$C$1005,B322)=0,"",SUMIFS(Orders!$J$6:$J$1005,Orders!$C$6:$C$1005,B322)))</f>
        <v/>
      </c>
      <c r="J322" s="1" t="n"/>
    </row>
    <row r="323">
      <c r="A323" s="1" t="n"/>
      <c r="B323" s="32" t="n"/>
      <c r="C323" s="33" t="n"/>
      <c r="D323" s="33" t="n"/>
      <c r="E323" s="33" t="n"/>
      <c r="F323" s="18">
        <f>IF(B323="","",COUNTIFS(Orders!$C$6:$C$1005,B323,Orders!$L$6:$L$1005,"&lt;&gt;Cancelled"))</f>
        <v/>
      </c>
      <c r="G323" s="22">
        <f>IF(B323="","",SUMIFS(Orders!$H$6:$H$1005,Orders!$C$6:$C$1005,B323,Orders!$L$6:$L$1005,"&lt;&gt;Cancelled"))</f>
        <v/>
      </c>
      <c r="H323" s="43">
        <f>IF(B323="","",IF(SUMIFS(Orders!$U$6:$U$1005,Orders!$C$6:$C$1005,B323,Orders!$V$6:$V$1005,1)=0,"",INT(SUMIFS(Orders!$U$6:$U$1005,Orders!$C$6:$C$1005,B323,Orders!$V$6:$V$1005,1))))</f>
        <v/>
      </c>
      <c r="I323" s="30">
        <f>IF(B323="","",IF(SUMIFS(Orders!$J$6:$J$1005,Orders!$C$6:$C$1005,B323)=0,"",SUMIFS(Orders!$J$6:$J$1005,Orders!$C$6:$C$1005,B323)))</f>
        <v/>
      </c>
      <c r="J323" s="1" t="n"/>
    </row>
    <row r="324">
      <c r="A324" s="1" t="n"/>
      <c r="B324" s="32" t="n"/>
      <c r="C324" s="33" t="n"/>
      <c r="D324" s="33" t="n"/>
      <c r="E324" s="33" t="n"/>
      <c r="F324" s="18">
        <f>IF(B324="","",COUNTIFS(Orders!$C$6:$C$1005,B324,Orders!$L$6:$L$1005,"&lt;&gt;Cancelled"))</f>
        <v/>
      </c>
      <c r="G324" s="22">
        <f>IF(B324="","",SUMIFS(Orders!$H$6:$H$1005,Orders!$C$6:$C$1005,B324,Orders!$L$6:$L$1005,"&lt;&gt;Cancelled"))</f>
        <v/>
      </c>
      <c r="H324" s="43">
        <f>IF(B324="","",IF(SUMIFS(Orders!$U$6:$U$1005,Orders!$C$6:$C$1005,B324,Orders!$V$6:$V$1005,1)=0,"",INT(SUMIFS(Orders!$U$6:$U$1005,Orders!$C$6:$C$1005,B324,Orders!$V$6:$V$1005,1))))</f>
        <v/>
      </c>
      <c r="I324" s="30">
        <f>IF(B324="","",IF(SUMIFS(Orders!$J$6:$J$1005,Orders!$C$6:$C$1005,B324)=0,"",SUMIFS(Orders!$J$6:$J$1005,Orders!$C$6:$C$1005,B324)))</f>
        <v/>
      </c>
      <c r="J324" s="1" t="n"/>
    </row>
    <row r="325">
      <c r="A325" s="1" t="n"/>
      <c r="B325" s="32" t="n"/>
      <c r="C325" s="33" t="n"/>
      <c r="D325" s="33" t="n"/>
      <c r="E325" s="33" t="n"/>
      <c r="F325" s="18">
        <f>IF(B325="","",COUNTIFS(Orders!$C$6:$C$1005,B325,Orders!$L$6:$L$1005,"&lt;&gt;Cancelled"))</f>
        <v/>
      </c>
      <c r="G325" s="22">
        <f>IF(B325="","",SUMIFS(Orders!$H$6:$H$1005,Orders!$C$6:$C$1005,B325,Orders!$L$6:$L$1005,"&lt;&gt;Cancelled"))</f>
        <v/>
      </c>
      <c r="H325" s="43">
        <f>IF(B325="","",IF(SUMIFS(Orders!$U$6:$U$1005,Orders!$C$6:$C$1005,B325,Orders!$V$6:$V$1005,1)=0,"",INT(SUMIFS(Orders!$U$6:$U$1005,Orders!$C$6:$C$1005,B325,Orders!$V$6:$V$1005,1))))</f>
        <v/>
      </c>
      <c r="I325" s="30">
        <f>IF(B325="","",IF(SUMIFS(Orders!$J$6:$J$1005,Orders!$C$6:$C$1005,B325)=0,"",SUMIFS(Orders!$J$6:$J$1005,Orders!$C$6:$C$1005,B325)))</f>
        <v/>
      </c>
      <c r="J325" s="1" t="n"/>
    </row>
    <row r="326">
      <c r="A326" s="1" t="n"/>
      <c r="B326" s="32" t="n"/>
      <c r="C326" s="33" t="n"/>
      <c r="D326" s="33" t="n"/>
      <c r="E326" s="33" t="n"/>
      <c r="F326" s="18">
        <f>IF(B326="","",COUNTIFS(Orders!$C$6:$C$1005,B326,Orders!$L$6:$L$1005,"&lt;&gt;Cancelled"))</f>
        <v/>
      </c>
      <c r="G326" s="22">
        <f>IF(B326="","",SUMIFS(Orders!$H$6:$H$1005,Orders!$C$6:$C$1005,B326,Orders!$L$6:$L$1005,"&lt;&gt;Cancelled"))</f>
        <v/>
      </c>
      <c r="H326" s="43">
        <f>IF(B326="","",IF(SUMIFS(Orders!$U$6:$U$1005,Orders!$C$6:$C$1005,B326,Orders!$V$6:$V$1005,1)=0,"",INT(SUMIFS(Orders!$U$6:$U$1005,Orders!$C$6:$C$1005,B326,Orders!$V$6:$V$1005,1))))</f>
        <v/>
      </c>
      <c r="I326" s="30">
        <f>IF(B326="","",IF(SUMIFS(Orders!$J$6:$J$1005,Orders!$C$6:$C$1005,B326)=0,"",SUMIFS(Orders!$J$6:$J$1005,Orders!$C$6:$C$1005,B326)))</f>
        <v/>
      </c>
      <c r="J326" s="1" t="n"/>
    </row>
    <row r="327">
      <c r="A327" s="1" t="n"/>
      <c r="B327" s="32" t="n"/>
      <c r="C327" s="33" t="n"/>
      <c r="D327" s="33" t="n"/>
      <c r="E327" s="33" t="n"/>
      <c r="F327" s="18">
        <f>IF(B327="","",COUNTIFS(Orders!$C$6:$C$1005,B327,Orders!$L$6:$L$1005,"&lt;&gt;Cancelled"))</f>
        <v/>
      </c>
      <c r="G327" s="22">
        <f>IF(B327="","",SUMIFS(Orders!$H$6:$H$1005,Orders!$C$6:$C$1005,B327,Orders!$L$6:$L$1005,"&lt;&gt;Cancelled"))</f>
        <v/>
      </c>
      <c r="H327" s="43">
        <f>IF(B327="","",IF(SUMIFS(Orders!$U$6:$U$1005,Orders!$C$6:$C$1005,B327,Orders!$V$6:$V$1005,1)=0,"",INT(SUMIFS(Orders!$U$6:$U$1005,Orders!$C$6:$C$1005,B327,Orders!$V$6:$V$1005,1))))</f>
        <v/>
      </c>
      <c r="I327" s="30">
        <f>IF(B327="","",IF(SUMIFS(Orders!$J$6:$J$1005,Orders!$C$6:$C$1005,B327)=0,"",SUMIFS(Orders!$J$6:$J$1005,Orders!$C$6:$C$1005,B327)))</f>
        <v/>
      </c>
      <c r="J327" s="1" t="n"/>
    </row>
    <row r="328">
      <c r="A328" s="1" t="n"/>
      <c r="B328" s="32" t="n"/>
      <c r="C328" s="33" t="n"/>
      <c r="D328" s="33" t="n"/>
      <c r="E328" s="33" t="n"/>
      <c r="F328" s="18">
        <f>IF(B328="","",COUNTIFS(Orders!$C$6:$C$1005,B328,Orders!$L$6:$L$1005,"&lt;&gt;Cancelled"))</f>
        <v/>
      </c>
      <c r="G328" s="22">
        <f>IF(B328="","",SUMIFS(Orders!$H$6:$H$1005,Orders!$C$6:$C$1005,B328,Orders!$L$6:$L$1005,"&lt;&gt;Cancelled"))</f>
        <v/>
      </c>
      <c r="H328" s="43">
        <f>IF(B328="","",IF(SUMIFS(Orders!$U$6:$U$1005,Orders!$C$6:$C$1005,B328,Orders!$V$6:$V$1005,1)=0,"",INT(SUMIFS(Orders!$U$6:$U$1005,Orders!$C$6:$C$1005,B328,Orders!$V$6:$V$1005,1))))</f>
        <v/>
      </c>
      <c r="I328" s="30">
        <f>IF(B328="","",IF(SUMIFS(Orders!$J$6:$J$1005,Orders!$C$6:$C$1005,B328)=0,"",SUMIFS(Orders!$J$6:$J$1005,Orders!$C$6:$C$1005,B328)))</f>
        <v/>
      </c>
      <c r="J328" s="1" t="n"/>
    </row>
    <row r="329">
      <c r="A329" s="1" t="n"/>
      <c r="B329" s="32" t="n"/>
      <c r="C329" s="33" t="n"/>
      <c r="D329" s="33" t="n"/>
      <c r="E329" s="33" t="n"/>
      <c r="F329" s="18">
        <f>IF(B329="","",COUNTIFS(Orders!$C$6:$C$1005,B329,Orders!$L$6:$L$1005,"&lt;&gt;Cancelled"))</f>
        <v/>
      </c>
      <c r="G329" s="22">
        <f>IF(B329="","",SUMIFS(Orders!$H$6:$H$1005,Orders!$C$6:$C$1005,B329,Orders!$L$6:$L$1005,"&lt;&gt;Cancelled"))</f>
        <v/>
      </c>
      <c r="H329" s="43">
        <f>IF(B329="","",IF(SUMIFS(Orders!$U$6:$U$1005,Orders!$C$6:$C$1005,B329,Orders!$V$6:$V$1005,1)=0,"",INT(SUMIFS(Orders!$U$6:$U$1005,Orders!$C$6:$C$1005,B329,Orders!$V$6:$V$1005,1))))</f>
        <v/>
      </c>
      <c r="I329" s="30">
        <f>IF(B329="","",IF(SUMIFS(Orders!$J$6:$J$1005,Orders!$C$6:$C$1005,B329)=0,"",SUMIFS(Orders!$J$6:$J$1005,Orders!$C$6:$C$1005,B329)))</f>
        <v/>
      </c>
      <c r="J329" s="1" t="n"/>
    </row>
    <row r="330">
      <c r="A330" s="1" t="n"/>
      <c r="B330" s="32" t="n"/>
      <c r="C330" s="33" t="n"/>
      <c r="D330" s="33" t="n"/>
      <c r="E330" s="33" t="n"/>
      <c r="F330" s="18">
        <f>IF(B330="","",COUNTIFS(Orders!$C$6:$C$1005,B330,Orders!$L$6:$L$1005,"&lt;&gt;Cancelled"))</f>
        <v/>
      </c>
      <c r="G330" s="22">
        <f>IF(B330="","",SUMIFS(Orders!$H$6:$H$1005,Orders!$C$6:$C$1005,B330,Orders!$L$6:$L$1005,"&lt;&gt;Cancelled"))</f>
        <v/>
      </c>
      <c r="H330" s="43">
        <f>IF(B330="","",IF(SUMIFS(Orders!$U$6:$U$1005,Orders!$C$6:$C$1005,B330,Orders!$V$6:$V$1005,1)=0,"",INT(SUMIFS(Orders!$U$6:$U$1005,Orders!$C$6:$C$1005,B330,Orders!$V$6:$V$1005,1))))</f>
        <v/>
      </c>
      <c r="I330" s="30">
        <f>IF(B330="","",IF(SUMIFS(Orders!$J$6:$J$1005,Orders!$C$6:$C$1005,B330)=0,"",SUMIFS(Orders!$J$6:$J$1005,Orders!$C$6:$C$1005,B330)))</f>
        <v/>
      </c>
      <c r="J330" s="1" t="n"/>
    </row>
    <row r="331">
      <c r="A331" s="1" t="n"/>
      <c r="B331" s="32" t="n"/>
      <c r="C331" s="33" t="n"/>
      <c r="D331" s="33" t="n"/>
      <c r="E331" s="33" t="n"/>
      <c r="F331" s="18">
        <f>IF(B331="","",COUNTIFS(Orders!$C$6:$C$1005,B331,Orders!$L$6:$L$1005,"&lt;&gt;Cancelled"))</f>
        <v/>
      </c>
      <c r="G331" s="22">
        <f>IF(B331="","",SUMIFS(Orders!$H$6:$H$1005,Orders!$C$6:$C$1005,B331,Orders!$L$6:$L$1005,"&lt;&gt;Cancelled"))</f>
        <v/>
      </c>
      <c r="H331" s="43">
        <f>IF(B331="","",IF(SUMIFS(Orders!$U$6:$U$1005,Orders!$C$6:$C$1005,B331,Orders!$V$6:$V$1005,1)=0,"",INT(SUMIFS(Orders!$U$6:$U$1005,Orders!$C$6:$C$1005,B331,Orders!$V$6:$V$1005,1))))</f>
        <v/>
      </c>
      <c r="I331" s="30">
        <f>IF(B331="","",IF(SUMIFS(Orders!$J$6:$J$1005,Orders!$C$6:$C$1005,B331)=0,"",SUMIFS(Orders!$J$6:$J$1005,Orders!$C$6:$C$1005,B331)))</f>
        <v/>
      </c>
      <c r="J331" s="1" t="n"/>
    </row>
    <row r="332">
      <c r="A332" s="1" t="n"/>
      <c r="B332" s="32" t="n"/>
      <c r="C332" s="33" t="n"/>
      <c r="D332" s="33" t="n"/>
      <c r="E332" s="33" t="n"/>
      <c r="F332" s="18">
        <f>IF(B332="","",COUNTIFS(Orders!$C$6:$C$1005,B332,Orders!$L$6:$L$1005,"&lt;&gt;Cancelled"))</f>
        <v/>
      </c>
      <c r="G332" s="22">
        <f>IF(B332="","",SUMIFS(Orders!$H$6:$H$1005,Orders!$C$6:$C$1005,B332,Orders!$L$6:$L$1005,"&lt;&gt;Cancelled"))</f>
        <v/>
      </c>
      <c r="H332" s="43">
        <f>IF(B332="","",IF(SUMIFS(Orders!$U$6:$U$1005,Orders!$C$6:$C$1005,B332,Orders!$V$6:$V$1005,1)=0,"",INT(SUMIFS(Orders!$U$6:$U$1005,Orders!$C$6:$C$1005,B332,Orders!$V$6:$V$1005,1))))</f>
        <v/>
      </c>
      <c r="I332" s="30">
        <f>IF(B332="","",IF(SUMIFS(Orders!$J$6:$J$1005,Orders!$C$6:$C$1005,B332)=0,"",SUMIFS(Orders!$J$6:$J$1005,Orders!$C$6:$C$1005,B332)))</f>
        <v/>
      </c>
      <c r="J332" s="1" t="n"/>
    </row>
    <row r="333">
      <c r="A333" s="1" t="n"/>
      <c r="B333" s="32" t="n"/>
      <c r="C333" s="33" t="n"/>
      <c r="D333" s="33" t="n"/>
      <c r="E333" s="33" t="n"/>
      <c r="F333" s="18">
        <f>IF(B333="","",COUNTIFS(Orders!$C$6:$C$1005,B333,Orders!$L$6:$L$1005,"&lt;&gt;Cancelled"))</f>
        <v/>
      </c>
      <c r="G333" s="22">
        <f>IF(B333="","",SUMIFS(Orders!$H$6:$H$1005,Orders!$C$6:$C$1005,B333,Orders!$L$6:$L$1005,"&lt;&gt;Cancelled"))</f>
        <v/>
      </c>
      <c r="H333" s="43">
        <f>IF(B333="","",IF(SUMIFS(Orders!$U$6:$U$1005,Orders!$C$6:$C$1005,B333,Orders!$V$6:$V$1005,1)=0,"",INT(SUMIFS(Orders!$U$6:$U$1005,Orders!$C$6:$C$1005,B333,Orders!$V$6:$V$1005,1))))</f>
        <v/>
      </c>
      <c r="I333" s="30">
        <f>IF(B333="","",IF(SUMIFS(Orders!$J$6:$J$1005,Orders!$C$6:$C$1005,B333)=0,"",SUMIFS(Orders!$J$6:$J$1005,Orders!$C$6:$C$1005,B333)))</f>
        <v/>
      </c>
      <c r="J333" s="1" t="n"/>
    </row>
    <row r="334">
      <c r="A334" s="1" t="n"/>
      <c r="B334" s="32" t="n"/>
      <c r="C334" s="33" t="n"/>
      <c r="D334" s="33" t="n"/>
      <c r="E334" s="33" t="n"/>
      <c r="F334" s="18">
        <f>IF(B334="","",COUNTIFS(Orders!$C$6:$C$1005,B334,Orders!$L$6:$L$1005,"&lt;&gt;Cancelled"))</f>
        <v/>
      </c>
      <c r="G334" s="22">
        <f>IF(B334="","",SUMIFS(Orders!$H$6:$H$1005,Orders!$C$6:$C$1005,B334,Orders!$L$6:$L$1005,"&lt;&gt;Cancelled"))</f>
        <v/>
      </c>
      <c r="H334" s="43">
        <f>IF(B334="","",IF(SUMIFS(Orders!$U$6:$U$1005,Orders!$C$6:$C$1005,B334,Orders!$V$6:$V$1005,1)=0,"",INT(SUMIFS(Orders!$U$6:$U$1005,Orders!$C$6:$C$1005,B334,Orders!$V$6:$V$1005,1))))</f>
        <v/>
      </c>
      <c r="I334" s="30">
        <f>IF(B334="","",IF(SUMIFS(Orders!$J$6:$J$1005,Orders!$C$6:$C$1005,B334)=0,"",SUMIFS(Orders!$J$6:$J$1005,Orders!$C$6:$C$1005,B334)))</f>
        <v/>
      </c>
      <c r="J334" s="1" t="n"/>
    </row>
    <row r="335">
      <c r="A335" s="1" t="n"/>
      <c r="B335" s="32" t="n"/>
      <c r="C335" s="33" t="n"/>
      <c r="D335" s="33" t="n"/>
      <c r="E335" s="33" t="n"/>
      <c r="F335" s="18">
        <f>IF(B335="","",COUNTIFS(Orders!$C$6:$C$1005,B335,Orders!$L$6:$L$1005,"&lt;&gt;Cancelled"))</f>
        <v/>
      </c>
      <c r="G335" s="22">
        <f>IF(B335="","",SUMIFS(Orders!$H$6:$H$1005,Orders!$C$6:$C$1005,B335,Orders!$L$6:$L$1005,"&lt;&gt;Cancelled"))</f>
        <v/>
      </c>
      <c r="H335" s="43">
        <f>IF(B335="","",IF(SUMIFS(Orders!$U$6:$U$1005,Orders!$C$6:$C$1005,B335,Orders!$V$6:$V$1005,1)=0,"",INT(SUMIFS(Orders!$U$6:$U$1005,Orders!$C$6:$C$1005,B335,Orders!$V$6:$V$1005,1))))</f>
        <v/>
      </c>
      <c r="I335" s="30">
        <f>IF(B335="","",IF(SUMIFS(Orders!$J$6:$J$1005,Orders!$C$6:$C$1005,B335)=0,"",SUMIFS(Orders!$J$6:$J$1005,Orders!$C$6:$C$1005,B335)))</f>
        <v/>
      </c>
      <c r="J335" s="1" t="n"/>
    </row>
    <row r="336">
      <c r="A336" s="1" t="n"/>
      <c r="B336" s="32" t="n"/>
      <c r="C336" s="33" t="n"/>
      <c r="D336" s="33" t="n"/>
      <c r="E336" s="33" t="n"/>
      <c r="F336" s="18">
        <f>IF(B336="","",COUNTIFS(Orders!$C$6:$C$1005,B336,Orders!$L$6:$L$1005,"&lt;&gt;Cancelled"))</f>
        <v/>
      </c>
      <c r="G336" s="22">
        <f>IF(B336="","",SUMIFS(Orders!$H$6:$H$1005,Orders!$C$6:$C$1005,B336,Orders!$L$6:$L$1005,"&lt;&gt;Cancelled"))</f>
        <v/>
      </c>
      <c r="H336" s="43">
        <f>IF(B336="","",IF(SUMIFS(Orders!$U$6:$U$1005,Orders!$C$6:$C$1005,B336,Orders!$V$6:$V$1005,1)=0,"",INT(SUMIFS(Orders!$U$6:$U$1005,Orders!$C$6:$C$1005,B336,Orders!$V$6:$V$1005,1))))</f>
        <v/>
      </c>
      <c r="I336" s="30">
        <f>IF(B336="","",IF(SUMIFS(Orders!$J$6:$J$1005,Orders!$C$6:$C$1005,B336)=0,"",SUMIFS(Orders!$J$6:$J$1005,Orders!$C$6:$C$1005,B336)))</f>
        <v/>
      </c>
      <c r="J336" s="1" t="n"/>
    </row>
    <row r="337">
      <c r="A337" s="1" t="n"/>
      <c r="B337" s="32" t="n"/>
      <c r="C337" s="33" t="n"/>
      <c r="D337" s="33" t="n"/>
      <c r="E337" s="33" t="n"/>
      <c r="F337" s="18">
        <f>IF(B337="","",COUNTIFS(Orders!$C$6:$C$1005,B337,Orders!$L$6:$L$1005,"&lt;&gt;Cancelled"))</f>
        <v/>
      </c>
      <c r="G337" s="22">
        <f>IF(B337="","",SUMIFS(Orders!$H$6:$H$1005,Orders!$C$6:$C$1005,B337,Orders!$L$6:$L$1005,"&lt;&gt;Cancelled"))</f>
        <v/>
      </c>
      <c r="H337" s="43">
        <f>IF(B337="","",IF(SUMIFS(Orders!$U$6:$U$1005,Orders!$C$6:$C$1005,B337,Orders!$V$6:$V$1005,1)=0,"",INT(SUMIFS(Orders!$U$6:$U$1005,Orders!$C$6:$C$1005,B337,Orders!$V$6:$V$1005,1))))</f>
        <v/>
      </c>
      <c r="I337" s="30">
        <f>IF(B337="","",IF(SUMIFS(Orders!$J$6:$J$1005,Orders!$C$6:$C$1005,B337)=0,"",SUMIFS(Orders!$J$6:$J$1005,Orders!$C$6:$C$1005,B337)))</f>
        <v/>
      </c>
      <c r="J337" s="1" t="n"/>
    </row>
    <row r="338">
      <c r="A338" s="1" t="n"/>
      <c r="B338" s="32" t="n"/>
      <c r="C338" s="33" t="n"/>
      <c r="D338" s="33" t="n"/>
      <c r="E338" s="33" t="n"/>
      <c r="F338" s="18">
        <f>IF(B338="","",COUNTIFS(Orders!$C$6:$C$1005,B338,Orders!$L$6:$L$1005,"&lt;&gt;Cancelled"))</f>
        <v/>
      </c>
      <c r="G338" s="22">
        <f>IF(B338="","",SUMIFS(Orders!$H$6:$H$1005,Orders!$C$6:$C$1005,B338,Orders!$L$6:$L$1005,"&lt;&gt;Cancelled"))</f>
        <v/>
      </c>
      <c r="H338" s="43">
        <f>IF(B338="","",IF(SUMIFS(Orders!$U$6:$U$1005,Orders!$C$6:$C$1005,B338,Orders!$V$6:$V$1005,1)=0,"",INT(SUMIFS(Orders!$U$6:$U$1005,Orders!$C$6:$C$1005,B338,Orders!$V$6:$V$1005,1))))</f>
        <v/>
      </c>
      <c r="I338" s="30">
        <f>IF(B338="","",IF(SUMIFS(Orders!$J$6:$J$1005,Orders!$C$6:$C$1005,B338)=0,"",SUMIFS(Orders!$J$6:$J$1005,Orders!$C$6:$C$1005,B338)))</f>
        <v/>
      </c>
      <c r="J338" s="1" t="n"/>
    </row>
    <row r="339">
      <c r="A339" s="1" t="n"/>
      <c r="B339" s="32" t="n"/>
      <c r="C339" s="33" t="n"/>
      <c r="D339" s="33" t="n"/>
      <c r="E339" s="33" t="n"/>
      <c r="F339" s="18">
        <f>IF(B339="","",COUNTIFS(Orders!$C$6:$C$1005,B339,Orders!$L$6:$L$1005,"&lt;&gt;Cancelled"))</f>
        <v/>
      </c>
      <c r="G339" s="22">
        <f>IF(B339="","",SUMIFS(Orders!$H$6:$H$1005,Orders!$C$6:$C$1005,B339,Orders!$L$6:$L$1005,"&lt;&gt;Cancelled"))</f>
        <v/>
      </c>
      <c r="H339" s="43">
        <f>IF(B339="","",IF(SUMIFS(Orders!$U$6:$U$1005,Orders!$C$6:$C$1005,B339,Orders!$V$6:$V$1005,1)=0,"",INT(SUMIFS(Orders!$U$6:$U$1005,Orders!$C$6:$C$1005,B339,Orders!$V$6:$V$1005,1))))</f>
        <v/>
      </c>
      <c r="I339" s="30">
        <f>IF(B339="","",IF(SUMIFS(Orders!$J$6:$J$1005,Orders!$C$6:$C$1005,B339)=0,"",SUMIFS(Orders!$J$6:$J$1005,Orders!$C$6:$C$1005,B339)))</f>
        <v/>
      </c>
      <c r="J339" s="1" t="n"/>
    </row>
    <row r="340">
      <c r="A340" s="1" t="n"/>
      <c r="B340" s="32" t="n"/>
      <c r="C340" s="33" t="n"/>
      <c r="D340" s="33" t="n"/>
      <c r="E340" s="33" t="n"/>
      <c r="F340" s="18">
        <f>IF(B340="","",COUNTIFS(Orders!$C$6:$C$1005,B340,Orders!$L$6:$L$1005,"&lt;&gt;Cancelled"))</f>
        <v/>
      </c>
      <c r="G340" s="22">
        <f>IF(B340="","",SUMIFS(Orders!$H$6:$H$1005,Orders!$C$6:$C$1005,B340,Orders!$L$6:$L$1005,"&lt;&gt;Cancelled"))</f>
        <v/>
      </c>
      <c r="H340" s="43">
        <f>IF(B340="","",IF(SUMIFS(Orders!$U$6:$U$1005,Orders!$C$6:$C$1005,B340,Orders!$V$6:$V$1005,1)=0,"",INT(SUMIFS(Orders!$U$6:$U$1005,Orders!$C$6:$C$1005,B340,Orders!$V$6:$V$1005,1))))</f>
        <v/>
      </c>
      <c r="I340" s="30">
        <f>IF(B340="","",IF(SUMIFS(Orders!$J$6:$J$1005,Orders!$C$6:$C$1005,B340)=0,"",SUMIFS(Orders!$J$6:$J$1005,Orders!$C$6:$C$1005,B340)))</f>
        <v/>
      </c>
      <c r="J340" s="1" t="n"/>
    </row>
    <row r="341">
      <c r="A341" s="1" t="n"/>
      <c r="B341" s="32" t="n"/>
      <c r="C341" s="33" t="n"/>
      <c r="D341" s="33" t="n"/>
      <c r="E341" s="33" t="n"/>
      <c r="F341" s="18">
        <f>IF(B341="","",COUNTIFS(Orders!$C$6:$C$1005,B341,Orders!$L$6:$L$1005,"&lt;&gt;Cancelled"))</f>
        <v/>
      </c>
      <c r="G341" s="22">
        <f>IF(B341="","",SUMIFS(Orders!$H$6:$H$1005,Orders!$C$6:$C$1005,B341,Orders!$L$6:$L$1005,"&lt;&gt;Cancelled"))</f>
        <v/>
      </c>
      <c r="H341" s="43">
        <f>IF(B341="","",IF(SUMIFS(Orders!$U$6:$U$1005,Orders!$C$6:$C$1005,B341,Orders!$V$6:$V$1005,1)=0,"",INT(SUMIFS(Orders!$U$6:$U$1005,Orders!$C$6:$C$1005,B341,Orders!$V$6:$V$1005,1))))</f>
        <v/>
      </c>
      <c r="I341" s="30">
        <f>IF(B341="","",IF(SUMIFS(Orders!$J$6:$J$1005,Orders!$C$6:$C$1005,B341)=0,"",SUMIFS(Orders!$J$6:$J$1005,Orders!$C$6:$C$1005,B341)))</f>
        <v/>
      </c>
      <c r="J341" s="1" t="n"/>
    </row>
    <row r="342">
      <c r="A342" s="1" t="n"/>
      <c r="B342" s="32" t="n"/>
      <c r="C342" s="33" t="n"/>
      <c r="D342" s="33" t="n"/>
      <c r="E342" s="33" t="n"/>
      <c r="F342" s="18">
        <f>IF(B342="","",COUNTIFS(Orders!$C$6:$C$1005,B342,Orders!$L$6:$L$1005,"&lt;&gt;Cancelled"))</f>
        <v/>
      </c>
      <c r="G342" s="22">
        <f>IF(B342="","",SUMIFS(Orders!$H$6:$H$1005,Orders!$C$6:$C$1005,B342,Orders!$L$6:$L$1005,"&lt;&gt;Cancelled"))</f>
        <v/>
      </c>
      <c r="H342" s="43">
        <f>IF(B342="","",IF(SUMIFS(Orders!$U$6:$U$1005,Orders!$C$6:$C$1005,B342,Orders!$V$6:$V$1005,1)=0,"",INT(SUMIFS(Orders!$U$6:$U$1005,Orders!$C$6:$C$1005,B342,Orders!$V$6:$V$1005,1))))</f>
        <v/>
      </c>
      <c r="I342" s="30">
        <f>IF(B342="","",IF(SUMIFS(Orders!$J$6:$J$1005,Orders!$C$6:$C$1005,B342)=0,"",SUMIFS(Orders!$J$6:$J$1005,Orders!$C$6:$C$1005,B342)))</f>
        <v/>
      </c>
      <c r="J342" s="1" t="n"/>
    </row>
    <row r="343">
      <c r="A343" s="1" t="n"/>
      <c r="B343" s="32" t="n"/>
      <c r="C343" s="33" t="n"/>
      <c r="D343" s="33" t="n"/>
      <c r="E343" s="33" t="n"/>
      <c r="F343" s="18">
        <f>IF(B343="","",COUNTIFS(Orders!$C$6:$C$1005,B343,Orders!$L$6:$L$1005,"&lt;&gt;Cancelled"))</f>
        <v/>
      </c>
      <c r="G343" s="22">
        <f>IF(B343="","",SUMIFS(Orders!$H$6:$H$1005,Orders!$C$6:$C$1005,B343,Orders!$L$6:$L$1005,"&lt;&gt;Cancelled"))</f>
        <v/>
      </c>
      <c r="H343" s="43">
        <f>IF(B343="","",IF(SUMIFS(Orders!$U$6:$U$1005,Orders!$C$6:$C$1005,B343,Orders!$V$6:$V$1005,1)=0,"",INT(SUMIFS(Orders!$U$6:$U$1005,Orders!$C$6:$C$1005,B343,Orders!$V$6:$V$1005,1))))</f>
        <v/>
      </c>
      <c r="I343" s="30">
        <f>IF(B343="","",IF(SUMIFS(Orders!$J$6:$J$1005,Orders!$C$6:$C$1005,B343)=0,"",SUMIFS(Orders!$J$6:$J$1005,Orders!$C$6:$C$1005,B343)))</f>
        <v/>
      </c>
      <c r="J343" s="1" t="n"/>
    </row>
    <row r="344">
      <c r="A344" s="1" t="n"/>
      <c r="B344" s="32" t="n"/>
      <c r="C344" s="33" t="n"/>
      <c r="D344" s="33" t="n"/>
      <c r="E344" s="33" t="n"/>
      <c r="F344" s="18">
        <f>IF(B344="","",COUNTIFS(Orders!$C$6:$C$1005,B344,Orders!$L$6:$L$1005,"&lt;&gt;Cancelled"))</f>
        <v/>
      </c>
      <c r="G344" s="22">
        <f>IF(B344="","",SUMIFS(Orders!$H$6:$H$1005,Orders!$C$6:$C$1005,B344,Orders!$L$6:$L$1005,"&lt;&gt;Cancelled"))</f>
        <v/>
      </c>
      <c r="H344" s="43">
        <f>IF(B344="","",IF(SUMIFS(Orders!$U$6:$U$1005,Orders!$C$6:$C$1005,B344,Orders!$V$6:$V$1005,1)=0,"",INT(SUMIFS(Orders!$U$6:$U$1005,Orders!$C$6:$C$1005,B344,Orders!$V$6:$V$1005,1))))</f>
        <v/>
      </c>
      <c r="I344" s="30">
        <f>IF(B344="","",IF(SUMIFS(Orders!$J$6:$J$1005,Orders!$C$6:$C$1005,B344)=0,"",SUMIFS(Orders!$J$6:$J$1005,Orders!$C$6:$C$1005,B344)))</f>
        <v/>
      </c>
      <c r="J344" s="1" t="n"/>
    </row>
    <row r="345">
      <c r="A345" s="1" t="n"/>
      <c r="B345" s="32" t="n"/>
      <c r="C345" s="33" t="n"/>
      <c r="D345" s="33" t="n"/>
      <c r="E345" s="33" t="n"/>
      <c r="F345" s="18">
        <f>IF(B345="","",COUNTIFS(Orders!$C$6:$C$1005,B345,Orders!$L$6:$L$1005,"&lt;&gt;Cancelled"))</f>
        <v/>
      </c>
      <c r="G345" s="22">
        <f>IF(B345="","",SUMIFS(Orders!$H$6:$H$1005,Orders!$C$6:$C$1005,B345,Orders!$L$6:$L$1005,"&lt;&gt;Cancelled"))</f>
        <v/>
      </c>
      <c r="H345" s="43">
        <f>IF(B345="","",IF(SUMIFS(Orders!$U$6:$U$1005,Orders!$C$6:$C$1005,B345,Orders!$V$6:$V$1005,1)=0,"",INT(SUMIFS(Orders!$U$6:$U$1005,Orders!$C$6:$C$1005,B345,Orders!$V$6:$V$1005,1))))</f>
        <v/>
      </c>
      <c r="I345" s="30">
        <f>IF(B345="","",IF(SUMIFS(Orders!$J$6:$J$1005,Orders!$C$6:$C$1005,B345)=0,"",SUMIFS(Orders!$J$6:$J$1005,Orders!$C$6:$C$1005,B345)))</f>
        <v/>
      </c>
      <c r="J345" s="1" t="n"/>
    </row>
    <row r="346">
      <c r="A346" s="1" t="n"/>
      <c r="B346" s="32" t="n"/>
      <c r="C346" s="33" t="n"/>
      <c r="D346" s="33" t="n"/>
      <c r="E346" s="33" t="n"/>
      <c r="F346" s="18">
        <f>IF(B346="","",COUNTIFS(Orders!$C$6:$C$1005,B346,Orders!$L$6:$L$1005,"&lt;&gt;Cancelled"))</f>
        <v/>
      </c>
      <c r="G346" s="22">
        <f>IF(B346="","",SUMIFS(Orders!$H$6:$H$1005,Orders!$C$6:$C$1005,B346,Orders!$L$6:$L$1005,"&lt;&gt;Cancelled"))</f>
        <v/>
      </c>
      <c r="H346" s="43">
        <f>IF(B346="","",IF(SUMIFS(Orders!$U$6:$U$1005,Orders!$C$6:$C$1005,B346,Orders!$V$6:$V$1005,1)=0,"",INT(SUMIFS(Orders!$U$6:$U$1005,Orders!$C$6:$C$1005,B346,Orders!$V$6:$V$1005,1))))</f>
        <v/>
      </c>
      <c r="I346" s="30">
        <f>IF(B346="","",IF(SUMIFS(Orders!$J$6:$J$1005,Orders!$C$6:$C$1005,B346)=0,"",SUMIFS(Orders!$J$6:$J$1005,Orders!$C$6:$C$1005,B346)))</f>
        <v/>
      </c>
      <c r="J346" s="1" t="n"/>
    </row>
    <row r="347">
      <c r="A347" s="1" t="n"/>
      <c r="B347" s="32" t="n"/>
      <c r="C347" s="33" t="n"/>
      <c r="D347" s="33" t="n"/>
      <c r="E347" s="33" t="n"/>
      <c r="F347" s="18">
        <f>IF(B347="","",COUNTIFS(Orders!$C$6:$C$1005,B347,Orders!$L$6:$L$1005,"&lt;&gt;Cancelled"))</f>
        <v/>
      </c>
      <c r="G347" s="22">
        <f>IF(B347="","",SUMIFS(Orders!$H$6:$H$1005,Orders!$C$6:$C$1005,B347,Orders!$L$6:$L$1005,"&lt;&gt;Cancelled"))</f>
        <v/>
      </c>
      <c r="H347" s="43">
        <f>IF(B347="","",IF(SUMIFS(Orders!$U$6:$U$1005,Orders!$C$6:$C$1005,B347,Orders!$V$6:$V$1005,1)=0,"",INT(SUMIFS(Orders!$U$6:$U$1005,Orders!$C$6:$C$1005,B347,Orders!$V$6:$V$1005,1))))</f>
        <v/>
      </c>
      <c r="I347" s="30">
        <f>IF(B347="","",IF(SUMIFS(Orders!$J$6:$J$1005,Orders!$C$6:$C$1005,B347)=0,"",SUMIFS(Orders!$J$6:$J$1005,Orders!$C$6:$C$1005,B347)))</f>
        <v/>
      </c>
      <c r="J347" s="1" t="n"/>
    </row>
    <row r="348">
      <c r="A348" s="1" t="n"/>
      <c r="B348" s="32" t="n"/>
      <c r="C348" s="33" t="n"/>
      <c r="D348" s="33" t="n"/>
      <c r="E348" s="33" t="n"/>
      <c r="F348" s="18">
        <f>IF(B348="","",COUNTIFS(Orders!$C$6:$C$1005,B348,Orders!$L$6:$L$1005,"&lt;&gt;Cancelled"))</f>
        <v/>
      </c>
      <c r="G348" s="22">
        <f>IF(B348="","",SUMIFS(Orders!$H$6:$H$1005,Orders!$C$6:$C$1005,B348,Orders!$L$6:$L$1005,"&lt;&gt;Cancelled"))</f>
        <v/>
      </c>
      <c r="H348" s="43">
        <f>IF(B348="","",IF(SUMIFS(Orders!$U$6:$U$1005,Orders!$C$6:$C$1005,B348,Orders!$V$6:$V$1005,1)=0,"",INT(SUMIFS(Orders!$U$6:$U$1005,Orders!$C$6:$C$1005,B348,Orders!$V$6:$V$1005,1))))</f>
        <v/>
      </c>
      <c r="I348" s="30">
        <f>IF(B348="","",IF(SUMIFS(Orders!$J$6:$J$1005,Orders!$C$6:$C$1005,B348)=0,"",SUMIFS(Orders!$J$6:$J$1005,Orders!$C$6:$C$1005,B348)))</f>
        <v/>
      </c>
      <c r="J348" s="1" t="n"/>
    </row>
    <row r="349">
      <c r="A349" s="1" t="n"/>
      <c r="B349" s="32" t="n"/>
      <c r="C349" s="33" t="n"/>
      <c r="D349" s="33" t="n"/>
      <c r="E349" s="33" t="n"/>
      <c r="F349" s="18">
        <f>IF(B349="","",COUNTIFS(Orders!$C$6:$C$1005,B349,Orders!$L$6:$L$1005,"&lt;&gt;Cancelled"))</f>
        <v/>
      </c>
      <c r="G349" s="22">
        <f>IF(B349="","",SUMIFS(Orders!$H$6:$H$1005,Orders!$C$6:$C$1005,B349,Orders!$L$6:$L$1005,"&lt;&gt;Cancelled"))</f>
        <v/>
      </c>
      <c r="H349" s="43">
        <f>IF(B349="","",IF(SUMIFS(Orders!$U$6:$U$1005,Orders!$C$6:$C$1005,B349,Orders!$V$6:$V$1005,1)=0,"",INT(SUMIFS(Orders!$U$6:$U$1005,Orders!$C$6:$C$1005,B349,Orders!$V$6:$V$1005,1))))</f>
        <v/>
      </c>
      <c r="I349" s="30">
        <f>IF(B349="","",IF(SUMIFS(Orders!$J$6:$J$1005,Orders!$C$6:$C$1005,B349)=0,"",SUMIFS(Orders!$J$6:$J$1005,Orders!$C$6:$C$1005,B349)))</f>
        <v/>
      </c>
      <c r="J349" s="1" t="n"/>
    </row>
    <row r="350">
      <c r="A350" s="1" t="n"/>
      <c r="B350" s="32" t="n"/>
      <c r="C350" s="33" t="n"/>
      <c r="D350" s="33" t="n"/>
      <c r="E350" s="33" t="n"/>
      <c r="F350" s="18">
        <f>IF(B350="","",COUNTIFS(Orders!$C$6:$C$1005,B350,Orders!$L$6:$L$1005,"&lt;&gt;Cancelled"))</f>
        <v/>
      </c>
      <c r="G350" s="22">
        <f>IF(B350="","",SUMIFS(Orders!$H$6:$H$1005,Orders!$C$6:$C$1005,B350,Orders!$L$6:$L$1005,"&lt;&gt;Cancelled"))</f>
        <v/>
      </c>
      <c r="H350" s="43">
        <f>IF(B350="","",IF(SUMIFS(Orders!$U$6:$U$1005,Orders!$C$6:$C$1005,B350,Orders!$V$6:$V$1005,1)=0,"",INT(SUMIFS(Orders!$U$6:$U$1005,Orders!$C$6:$C$1005,B350,Orders!$V$6:$V$1005,1))))</f>
        <v/>
      </c>
      <c r="I350" s="30">
        <f>IF(B350="","",IF(SUMIFS(Orders!$J$6:$J$1005,Orders!$C$6:$C$1005,B350)=0,"",SUMIFS(Orders!$J$6:$J$1005,Orders!$C$6:$C$1005,B350)))</f>
        <v/>
      </c>
      <c r="J350" s="1" t="n"/>
    </row>
    <row r="351">
      <c r="A351" s="1" t="n"/>
      <c r="B351" s="32" t="n"/>
      <c r="C351" s="33" t="n"/>
      <c r="D351" s="33" t="n"/>
      <c r="E351" s="33" t="n"/>
      <c r="F351" s="18">
        <f>IF(B351="","",COUNTIFS(Orders!$C$6:$C$1005,B351,Orders!$L$6:$L$1005,"&lt;&gt;Cancelled"))</f>
        <v/>
      </c>
      <c r="G351" s="22">
        <f>IF(B351="","",SUMIFS(Orders!$H$6:$H$1005,Orders!$C$6:$C$1005,B351,Orders!$L$6:$L$1005,"&lt;&gt;Cancelled"))</f>
        <v/>
      </c>
      <c r="H351" s="43">
        <f>IF(B351="","",IF(SUMIFS(Orders!$U$6:$U$1005,Orders!$C$6:$C$1005,B351,Orders!$V$6:$V$1005,1)=0,"",INT(SUMIFS(Orders!$U$6:$U$1005,Orders!$C$6:$C$1005,B351,Orders!$V$6:$V$1005,1))))</f>
        <v/>
      </c>
      <c r="I351" s="30">
        <f>IF(B351="","",IF(SUMIFS(Orders!$J$6:$J$1005,Orders!$C$6:$C$1005,B351)=0,"",SUMIFS(Orders!$J$6:$J$1005,Orders!$C$6:$C$1005,B351)))</f>
        <v/>
      </c>
      <c r="J351" s="1" t="n"/>
    </row>
    <row r="352">
      <c r="A352" s="1" t="n"/>
      <c r="B352" s="32" t="n"/>
      <c r="C352" s="33" t="n"/>
      <c r="D352" s="33" t="n"/>
      <c r="E352" s="33" t="n"/>
      <c r="F352" s="18">
        <f>IF(B352="","",COUNTIFS(Orders!$C$6:$C$1005,B352,Orders!$L$6:$L$1005,"&lt;&gt;Cancelled"))</f>
        <v/>
      </c>
      <c r="G352" s="22">
        <f>IF(B352="","",SUMIFS(Orders!$H$6:$H$1005,Orders!$C$6:$C$1005,B352,Orders!$L$6:$L$1005,"&lt;&gt;Cancelled"))</f>
        <v/>
      </c>
      <c r="H352" s="43">
        <f>IF(B352="","",IF(SUMIFS(Orders!$U$6:$U$1005,Orders!$C$6:$C$1005,B352,Orders!$V$6:$V$1005,1)=0,"",INT(SUMIFS(Orders!$U$6:$U$1005,Orders!$C$6:$C$1005,B352,Orders!$V$6:$V$1005,1))))</f>
        <v/>
      </c>
      <c r="I352" s="30">
        <f>IF(B352="","",IF(SUMIFS(Orders!$J$6:$J$1005,Orders!$C$6:$C$1005,B352)=0,"",SUMIFS(Orders!$J$6:$J$1005,Orders!$C$6:$C$1005,B352)))</f>
        <v/>
      </c>
      <c r="J352" s="1" t="n"/>
    </row>
    <row r="353">
      <c r="A353" s="1" t="n"/>
      <c r="B353" s="32" t="n"/>
      <c r="C353" s="33" t="n"/>
      <c r="D353" s="33" t="n"/>
      <c r="E353" s="33" t="n"/>
      <c r="F353" s="18">
        <f>IF(B353="","",COUNTIFS(Orders!$C$6:$C$1005,B353,Orders!$L$6:$L$1005,"&lt;&gt;Cancelled"))</f>
        <v/>
      </c>
      <c r="G353" s="22">
        <f>IF(B353="","",SUMIFS(Orders!$H$6:$H$1005,Orders!$C$6:$C$1005,B353,Orders!$L$6:$L$1005,"&lt;&gt;Cancelled"))</f>
        <v/>
      </c>
      <c r="H353" s="43">
        <f>IF(B353="","",IF(SUMIFS(Orders!$U$6:$U$1005,Orders!$C$6:$C$1005,B353,Orders!$V$6:$V$1005,1)=0,"",INT(SUMIFS(Orders!$U$6:$U$1005,Orders!$C$6:$C$1005,B353,Orders!$V$6:$V$1005,1))))</f>
        <v/>
      </c>
      <c r="I353" s="30">
        <f>IF(B353="","",IF(SUMIFS(Orders!$J$6:$J$1005,Orders!$C$6:$C$1005,B353)=0,"",SUMIFS(Orders!$J$6:$J$1005,Orders!$C$6:$C$1005,B353)))</f>
        <v/>
      </c>
      <c r="J353" s="1" t="n"/>
    </row>
    <row r="354">
      <c r="A354" s="1" t="n"/>
      <c r="B354" s="32" t="n"/>
      <c r="C354" s="33" t="n"/>
      <c r="D354" s="33" t="n"/>
      <c r="E354" s="33" t="n"/>
      <c r="F354" s="18">
        <f>IF(B354="","",COUNTIFS(Orders!$C$6:$C$1005,B354,Orders!$L$6:$L$1005,"&lt;&gt;Cancelled"))</f>
        <v/>
      </c>
      <c r="G354" s="22">
        <f>IF(B354="","",SUMIFS(Orders!$H$6:$H$1005,Orders!$C$6:$C$1005,B354,Orders!$L$6:$L$1005,"&lt;&gt;Cancelled"))</f>
        <v/>
      </c>
      <c r="H354" s="43">
        <f>IF(B354="","",IF(SUMIFS(Orders!$U$6:$U$1005,Orders!$C$6:$C$1005,B354,Orders!$V$6:$V$1005,1)=0,"",INT(SUMIFS(Orders!$U$6:$U$1005,Orders!$C$6:$C$1005,B354,Orders!$V$6:$V$1005,1))))</f>
        <v/>
      </c>
      <c r="I354" s="30">
        <f>IF(B354="","",IF(SUMIFS(Orders!$J$6:$J$1005,Orders!$C$6:$C$1005,B354)=0,"",SUMIFS(Orders!$J$6:$J$1005,Orders!$C$6:$C$1005,B354)))</f>
        <v/>
      </c>
      <c r="J354" s="1" t="n"/>
    </row>
    <row r="355">
      <c r="A355" s="1" t="n"/>
      <c r="B355" s="32" t="n"/>
      <c r="C355" s="33" t="n"/>
      <c r="D355" s="33" t="n"/>
      <c r="E355" s="33" t="n"/>
      <c r="F355" s="18">
        <f>IF(B355="","",COUNTIFS(Orders!$C$6:$C$1005,B355,Orders!$L$6:$L$1005,"&lt;&gt;Cancelled"))</f>
        <v/>
      </c>
      <c r="G355" s="22">
        <f>IF(B355="","",SUMIFS(Orders!$H$6:$H$1005,Orders!$C$6:$C$1005,B355,Orders!$L$6:$L$1005,"&lt;&gt;Cancelled"))</f>
        <v/>
      </c>
      <c r="H355" s="43">
        <f>IF(B355="","",IF(SUMIFS(Orders!$U$6:$U$1005,Orders!$C$6:$C$1005,B355,Orders!$V$6:$V$1005,1)=0,"",INT(SUMIFS(Orders!$U$6:$U$1005,Orders!$C$6:$C$1005,B355,Orders!$V$6:$V$1005,1))))</f>
        <v/>
      </c>
      <c r="I355" s="30">
        <f>IF(B355="","",IF(SUMIFS(Orders!$J$6:$J$1005,Orders!$C$6:$C$1005,B355)=0,"",SUMIFS(Orders!$J$6:$J$1005,Orders!$C$6:$C$1005,B355)))</f>
        <v/>
      </c>
      <c r="J355" s="1" t="n"/>
    </row>
    <row r="356">
      <c r="A356" s="1" t="n"/>
      <c r="B356" s="32" t="n"/>
      <c r="C356" s="33" t="n"/>
      <c r="D356" s="33" t="n"/>
      <c r="E356" s="33" t="n"/>
      <c r="F356" s="18">
        <f>IF(B356="","",COUNTIFS(Orders!$C$6:$C$1005,B356,Orders!$L$6:$L$1005,"&lt;&gt;Cancelled"))</f>
        <v/>
      </c>
      <c r="G356" s="22">
        <f>IF(B356="","",SUMIFS(Orders!$H$6:$H$1005,Orders!$C$6:$C$1005,B356,Orders!$L$6:$L$1005,"&lt;&gt;Cancelled"))</f>
        <v/>
      </c>
      <c r="H356" s="43">
        <f>IF(B356="","",IF(SUMIFS(Orders!$U$6:$U$1005,Orders!$C$6:$C$1005,B356,Orders!$V$6:$V$1005,1)=0,"",INT(SUMIFS(Orders!$U$6:$U$1005,Orders!$C$6:$C$1005,B356,Orders!$V$6:$V$1005,1))))</f>
        <v/>
      </c>
      <c r="I356" s="30">
        <f>IF(B356="","",IF(SUMIFS(Orders!$J$6:$J$1005,Orders!$C$6:$C$1005,B356)=0,"",SUMIFS(Orders!$J$6:$J$1005,Orders!$C$6:$C$1005,B356)))</f>
        <v/>
      </c>
      <c r="J356" s="1" t="n"/>
    </row>
    <row r="357">
      <c r="A357" s="1" t="n"/>
      <c r="B357" s="32" t="n"/>
      <c r="C357" s="33" t="n"/>
      <c r="D357" s="33" t="n"/>
      <c r="E357" s="33" t="n"/>
      <c r="F357" s="18">
        <f>IF(B357="","",COUNTIFS(Orders!$C$6:$C$1005,B357,Orders!$L$6:$L$1005,"&lt;&gt;Cancelled"))</f>
        <v/>
      </c>
      <c r="G357" s="22">
        <f>IF(B357="","",SUMIFS(Orders!$H$6:$H$1005,Orders!$C$6:$C$1005,B357,Orders!$L$6:$L$1005,"&lt;&gt;Cancelled"))</f>
        <v/>
      </c>
      <c r="H357" s="43">
        <f>IF(B357="","",IF(SUMIFS(Orders!$U$6:$U$1005,Orders!$C$6:$C$1005,B357,Orders!$V$6:$V$1005,1)=0,"",INT(SUMIFS(Orders!$U$6:$U$1005,Orders!$C$6:$C$1005,B357,Orders!$V$6:$V$1005,1))))</f>
        <v/>
      </c>
      <c r="I357" s="30">
        <f>IF(B357="","",IF(SUMIFS(Orders!$J$6:$J$1005,Orders!$C$6:$C$1005,B357)=0,"",SUMIFS(Orders!$J$6:$J$1005,Orders!$C$6:$C$1005,B357)))</f>
        <v/>
      </c>
      <c r="J357" s="1" t="n"/>
    </row>
    <row r="358">
      <c r="A358" s="1" t="n"/>
      <c r="B358" s="32" t="n"/>
      <c r="C358" s="33" t="n"/>
      <c r="D358" s="33" t="n"/>
      <c r="E358" s="33" t="n"/>
      <c r="F358" s="18">
        <f>IF(B358="","",COUNTIFS(Orders!$C$6:$C$1005,B358,Orders!$L$6:$L$1005,"&lt;&gt;Cancelled"))</f>
        <v/>
      </c>
      <c r="G358" s="22">
        <f>IF(B358="","",SUMIFS(Orders!$H$6:$H$1005,Orders!$C$6:$C$1005,B358,Orders!$L$6:$L$1005,"&lt;&gt;Cancelled"))</f>
        <v/>
      </c>
      <c r="H358" s="43">
        <f>IF(B358="","",IF(SUMIFS(Orders!$U$6:$U$1005,Orders!$C$6:$C$1005,B358,Orders!$V$6:$V$1005,1)=0,"",INT(SUMIFS(Orders!$U$6:$U$1005,Orders!$C$6:$C$1005,B358,Orders!$V$6:$V$1005,1))))</f>
        <v/>
      </c>
      <c r="I358" s="30">
        <f>IF(B358="","",IF(SUMIFS(Orders!$J$6:$J$1005,Orders!$C$6:$C$1005,B358)=0,"",SUMIFS(Orders!$J$6:$J$1005,Orders!$C$6:$C$1005,B358)))</f>
        <v/>
      </c>
      <c r="J358" s="1" t="n"/>
    </row>
    <row r="359">
      <c r="A359" s="1" t="n"/>
      <c r="B359" s="32" t="n"/>
      <c r="C359" s="33" t="n"/>
      <c r="D359" s="33" t="n"/>
      <c r="E359" s="33" t="n"/>
      <c r="F359" s="18">
        <f>IF(B359="","",COUNTIFS(Orders!$C$6:$C$1005,B359,Orders!$L$6:$L$1005,"&lt;&gt;Cancelled"))</f>
        <v/>
      </c>
      <c r="G359" s="22">
        <f>IF(B359="","",SUMIFS(Orders!$H$6:$H$1005,Orders!$C$6:$C$1005,B359,Orders!$L$6:$L$1005,"&lt;&gt;Cancelled"))</f>
        <v/>
      </c>
      <c r="H359" s="43">
        <f>IF(B359="","",IF(SUMIFS(Orders!$U$6:$U$1005,Orders!$C$6:$C$1005,B359,Orders!$V$6:$V$1005,1)=0,"",INT(SUMIFS(Orders!$U$6:$U$1005,Orders!$C$6:$C$1005,B359,Orders!$V$6:$V$1005,1))))</f>
        <v/>
      </c>
      <c r="I359" s="30">
        <f>IF(B359="","",IF(SUMIFS(Orders!$J$6:$J$1005,Orders!$C$6:$C$1005,B359)=0,"",SUMIFS(Orders!$J$6:$J$1005,Orders!$C$6:$C$1005,B359)))</f>
        <v/>
      </c>
      <c r="J359" s="1" t="n"/>
    </row>
    <row r="360">
      <c r="A360" s="1" t="n"/>
      <c r="B360" s="32" t="n"/>
      <c r="C360" s="33" t="n"/>
      <c r="D360" s="33" t="n"/>
      <c r="E360" s="33" t="n"/>
      <c r="F360" s="18">
        <f>IF(B360="","",COUNTIFS(Orders!$C$6:$C$1005,B360,Orders!$L$6:$L$1005,"&lt;&gt;Cancelled"))</f>
        <v/>
      </c>
      <c r="G360" s="22">
        <f>IF(B360="","",SUMIFS(Orders!$H$6:$H$1005,Orders!$C$6:$C$1005,B360,Orders!$L$6:$L$1005,"&lt;&gt;Cancelled"))</f>
        <v/>
      </c>
      <c r="H360" s="43">
        <f>IF(B360="","",IF(SUMIFS(Orders!$U$6:$U$1005,Orders!$C$6:$C$1005,B360,Orders!$V$6:$V$1005,1)=0,"",INT(SUMIFS(Orders!$U$6:$U$1005,Orders!$C$6:$C$1005,B360,Orders!$V$6:$V$1005,1))))</f>
        <v/>
      </c>
      <c r="I360" s="30">
        <f>IF(B360="","",IF(SUMIFS(Orders!$J$6:$J$1005,Orders!$C$6:$C$1005,B360)=0,"",SUMIFS(Orders!$J$6:$J$1005,Orders!$C$6:$C$1005,B360)))</f>
        <v/>
      </c>
      <c r="J360" s="1" t="n"/>
    </row>
    <row r="361">
      <c r="A361" s="1" t="n"/>
      <c r="B361" s="32" t="n"/>
      <c r="C361" s="33" t="n"/>
      <c r="D361" s="33" t="n"/>
      <c r="E361" s="33" t="n"/>
      <c r="F361" s="18">
        <f>IF(B361="","",COUNTIFS(Orders!$C$6:$C$1005,B361,Orders!$L$6:$L$1005,"&lt;&gt;Cancelled"))</f>
        <v/>
      </c>
      <c r="G361" s="22">
        <f>IF(B361="","",SUMIFS(Orders!$H$6:$H$1005,Orders!$C$6:$C$1005,B361,Orders!$L$6:$L$1005,"&lt;&gt;Cancelled"))</f>
        <v/>
      </c>
      <c r="H361" s="43">
        <f>IF(B361="","",IF(SUMIFS(Orders!$U$6:$U$1005,Orders!$C$6:$C$1005,B361,Orders!$V$6:$V$1005,1)=0,"",INT(SUMIFS(Orders!$U$6:$U$1005,Orders!$C$6:$C$1005,B361,Orders!$V$6:$V$1005,1))))</f>
        <v/>
      </c>
      <c r="I361" s="30">
        <f>IF(B361="","",IF(SUMIFS(Orders!$J$6:$J$1005,Orders!$C$6:$C$1005,B361)=0,"",SUMIFS(Orders!$J$6:$J$1005,Orders!$C$6:$C$1005,B361)))</f>
        <v/>
      </c>
      <c r="J361" s="1" t="n"/>
    </row>
    <row r="362">
      <c r="A362" s="1" t="n"/>
      <c r="B362" s="32" t="n"/>
      <c r="C362" s="33" t="n"/>
      <c r="D362" s="33" t="n"/>
      <c r="E362" s="33" t="n"/>
      <c r="F362" s="18">
        <f>IF(B362="","",COUNTIFS(Orders!$C$6:$C$1005,B362,Orders!$L$6:$L$1005,"&lt;&gt;Cancelled"))</f>
        <v/>
      </c>
      <c r="G362" s="22">
        <f>IF(B362="","",SUMIFS(Orders!$H$6:$H$1005,Orders!$C$6:$C$1005,B362,Orders!$L$6:$L$1005,"&lt;&gt;Cancelled"))</f>
        <v/>
      </c>
      <c r="H362" s="43">
        <f>IF(B362="","",IF(SUMIFS(Orders!$U$6:$U$1005,Orders!$C$6:$C$1005,B362,Orders!$V$6:$V$1005,1)=0,"",INT(SUMIFS(Orders!$U$6:$U$1005,Orders!$C$6:$C$1005,B362,Orders!$V$6:$V$1005,1))))</f>
        <v/>
      </c>
      <c r="I362" s="30">
        <f>IF(B362="","",IF(SUMIFS(Orders!$J$6:$J$1005,Orders!$C$6:$C$1005,B362)=0,"",SUMIFS(Orders!$J$6:$J$1005,Orders!$C$6:$C$1005,B362)))</f>
        <v/>
      </c>
      <c r="J362" s="1" t="n"/>
    </row>
    <row r="363">
      <c r="A363" s="1" t="n"/>
      <c r="B363" s="32" t="n"/>
      <c r="C363" s="33" t="n"/>
      <c r="D363" s="33" t="n"/>
      <c r="E363" s="33" t="n"/>
      <c r="F363" s="18">
        <f>IF(B363="","",COUNTIFS(Orders!$C$6:$C$1005,B363,Orders!$L$6:$L$1005,"&lt;&gt;Cancelled"))</f>
        <v/>
      </c>
      <c r="G363" s="22">
        <f>IF(B363="","",SUMIFS(Orders!$H$6:$H$1005,Orders!$C$6:$C$1005,B363,Orders!$L$6:$L$1005,"&lt;&gt;Cancelled"))</f>
        <v/>
      </c>
      <c r="H363" s="43">
        <f>IF(B363="","",IF(SUMIFS(Orders!$U$6:$U$1005,Orders!$C$6:$C$1005,B363,Orders!$V$6:$V$1005,1)=0,"",INT(SUMIFS(Orders!$U$6:$U$1005,Orders!$C$6:$C$1005,B363,Orders!$V$6:$V$1005,1))))</f>
        <v/>
      </c>
      <c r="I363" s="30">
        <f>IF(B363="","",IF(SUMIFS(Orders!$J$6:$J$1005,Orders!$C$6:$C$1005,B363)=0,"",SUMIFS(Orders!$J$6:$J$1005,Orders!$C$6:$C$1005,B363)))</f>
        <v/>
      </c>
      <c r="J363" s="1" t="n"/>
    </row>
    <row r="364">
      <c r="A364" s="1" t="n"/>
      <c r="B364" s="32" t="n"/>
      <c r="C364" s="33" t="n"/>
      <c r="D364" s="33" t="n"/>
      <c r="E364" s="33" t="n"/>
      <c r="F364" s="18">
        <f>IF(B364="","",COUNTIFS(Orders!$C$6:$C$1005,B364,Orders!$L$6:$L$1005,"&lt;&gt;Cancelled"))</f>
        <v/>
      </c>
      <c r="G364" s="22">
        <f>IF(B364="","",SUMIFS(Orders!$H$6:$H$1005,Orders!$C$6:$C$1005,B364,Orders!$L$6:$L$1005,"&lt;&gt;Cancelled"))</f>
        <v/>
      </c>
      <c r="H364" s="43">
        <f>IF(B364="","",IF(SUMIFS(Orders!$U$6:$U$1005,Orders!$C$6:$C$1005,B364,Orders!$V$6:$V$1005,1)=0,"",INT(SUMIFS(Orders!$U$6:$U$1005,Orders!$C$6:$C$1005,B364,Orders!$V$6:$V$1005,1))))</f>
        <v/>
      </c>
      <c r="I364" s="30">
        <f>IF(B364="","",IF(SUMIFS(Orders!$J$6:$J$1005,Orders!$C$6:$C$1005,B364)=0,"",SUMIFS(Orders!$J$6:$J$1005,Orders!$C$6:$C$1005,B364)))</f>
        <v/>
      </c>
      <c r="J364" s="1" t="n"/>
    </row>
    <row r="365">
      <c r="A365" s="1" t="n"/>
      <c r="B365" s="32" t="n"/>
      <c r="C365" s="33" t="n"/>
      <c r="D365" s="33" t="n"/>
      <c r="E365" s="33" t="n"/>
      <c r="F365" s="18">
        <f>IF(B365="","",COUNTIFS(Orders!$C$6:$C$1005,B365,Orders!$L$6:$L$1005,"&lt;&gt;Cancelled"))</f>
        <v/>
      </c>
      <c r="G365" s="22">
        <f>IF(B365="","",SUMIFS(Orders!$H$6:$H$1005,Orders!$C$6:$C$1005,B365,Orders!$L$6:$L$1005,"&lt;&gt;Cancelled"))</f>
        <v/>
      </c>
      <c r="H365" s="43">
        <f>IF(B365="","",IF(SUMIFS(Orders!$U$6:$U$1005,Orders!$C$6:$C$1005,B365,Orders!$V$6:$V$1005,1)=0,"",INT(SUMIFS(Orders!$U$6:$U$1005,Orders!$C$6:$C$1005,B365,Orders!$V$6:$V$1005,1))))</f>
        <v/>
      </c>
      <c r="I365" s="30">
        <f>IF(B365="","",IF(SUMIFS(Orders!$J$6:$J$1005,Orders!$C$6:$C$1005,B365)=0,"",SUMIFS(Orders!$J$6:$J$1005,Orders!$C$6:$C$1005,B365)))</f>
        <v/>
      </c>
      <c r="J365" s="1" t="n"/>
    </row>
    <row r="366">
      <c r="A366" s="1" t="n"/>
      <c r="B366" s="32" t="n"/>
      <c r="C366" s="33" t="n"/>
      <c r="D366" s="33" t="n"/>
      <c r="E366" s="33" t="n"/>
      <c r="F366" s="18">
        <f>IF(B366="","",COUNTIFS(Orders!$C$6:$C$1005,B366,Orders!$L$6:$L$1005,"&lt;&gt;Cancelled"))</f>
        <v/>
      </c>
      <c r="G366" s="22">
        <f>IF(B366="","",SUMIFS(Orders!$H$6:$H$1005,Orders!$C$6:$C$1005,B366,Orders!$L$6:$L$1005,"&lt;&gt;Cancelled"))</f>
        <v/>
      </c>
      <c r="H366" s="43">
        <f>IF(B366="","",IF(SUMIFS(Orders!$U$6:$U$1005,Orders!$C$6:$C$1005,B366,Orders!$V$6:$V$1005,1)=0,"",INT(SUMIFS(Orders!$U$6:$U$1005,Orders!$C$6:$C$1005,B366,Orders!$V$6:$V$1005,1))))</f>
        <v/>
      </c>
      <c r="I366" s="30">
        <f>IF(B366="","",IF(SUMIFS(Orders!$J$6:$J$1005,Orders!$C$6:$C$1005,B366)=0,"",SUMIFS(Orders!$J$6:$J$1005,Orders!$C$6:$C$1005,B366)))</f>
        <v/>
      </c>
      <c r="J366" s="1" t="n"/>
    </row>
    <row r="367">
      <c r="A367" s="1" t="n"/>
      <c r="B367" s="32" t="n"/>
      <c r="C367" s="33" t="n"/>
      <c r="D367" s="33" t="n"/>
      <c r="E367" s="33" t="n"/>
      <c r="F367" s="18">
        <f>IF(B367="","",COUNTIFS(Orders!$C$6:$C$1005,B367,Orders!$L$6:$L$1005,"&lt;&gt;Cancelled"))</f>
        <v/>
      </c>
      <c r="G367" s="22">
        <f>IF(B367="","",SUMIFS(Orders!$H$6:$H$1005,Orders!$C$6:$C$1005,B367,Orders!$L$6:$L$1005,"&lt;&gt;Cancelled"))</f>
        <v/>
      </c>
      <c r="H367" s="43">
        <f>IF(B367="","",IF(SUMIFS(Orders!$U$6:$U$1005,Orders!$C$6:$C$1005,B367,Orders!$V$6:$V$1005,1)=0,"",INT(SUMIFS(Orders!$U$6:$U$1005,Orders!$C$6:$C$1005,B367,Orders!$V$6:$V$1005,1))))</f>
        <v/>
      </c>
      <c r="I367" s="30">
        <f>IF(B367="","",IF(SUMIFS(Orders!$J$6:$J$1005,Orders!$C$6:$C$1005,B367)=0,"",SUMIFS(Orders!$J$6:$J$1005,Orders!$C$6:$C$1005,B367)))</f>
        <v/>
      </c>
      <c r="J367" s="1" t="n"/>
    </row>
    <row r="368">
      <c r="A368" s="1" t="n"/>
      <c r="B368" s="32" t="n"/>
      <c r="C368" s="33" t="n"/>
      <c r="D368" s="33" t="n"/>
      <c r="E368" s="33" t="n"/>
      <c r="F368" s="18">
        <f>IF(B368="","",COUNTIFS(Orders!$C$6:$C$1005,B368,Orders!$L$6:$L$1005,"&lt;&gt;Cancelled"))</f>
        <v/>
      </c>
      <c r="G368" s="22">
        <f>IF(B368="","",SUMIFS(Orders!$H$6:$H$1005,Orders!$C$6:$C$1005,B368,Orders!$L$6:$L$1005,"&lt;&gt;Cancelled"))</f>
        <v/>
      </c>
      <c r="H368" s="43">
        <f>IF(B368="","",IF(SUMIFS(Orders!$U$6:$U$1005,Orders!$C$6:$C$1005,B368,Orders!$V$6:$V$1005,1)=0,"",INT(SUMIFS(Orders!$U$6:$U$1005,Orders!$C$6:$C$1005,B368,Orders!$V$6:$V$1005,1))))</f>
        <v/>
      </c>
      <c r="I368" s="30">
        <f>IF(B368="","",IF(SUMIFS(Orders!$J$6:$J$1005,Orders!$C$6:$C$1005,B368)=0,"",SUMIFS(Orders!$J$6:$J$1005,Orders!$C$6:$C$1005,B368)))</f>
        <v/>
      </c>
      <c r="J368" s="1" t="n"/>
    </row>
    <row r="369">
      <c r="A369" s="1" t="n"/>
      <c r="B369" s="32" t="n"/>
      <c r="C369" s="33" t="n"/>
      <c r="D369" s="33" t="n"/>
      <c r="E369" s="33" t="n"/>
      <c r="F369" s="18">
        <f>IF(B369="","",COUNTIFS(Orders!$C$6:$C$1005,B369,Orders!$L$6:$L$1005,"&lt;&gt;Cancelled"))</f>
        <v/>
      </c>
      <c r="G369" s="22">
        <f>IF(B369="","",SUMIFS(Orders!$H$6:$H$1005,Orders!$C$6:$C$1005,B369,Orders!$L$6:$L$1005,"&lt;&gt;Cancelled"))</f>
        <v/>
      </c>
      <c r="H369" s="43">
        <f>IF(B369="","",IF(SUMIFS(Orders!$U$6:$U$1005,Orders!$C$6:$C$1005,B369,Orders!$V$6:$V$1005,1)=0,"",INT(SUMIFS(Orders!$U$6:$U$1005,Orders!$C$6:$C$1005,B369,Orders!$V$6:$V$1005,1))))</f>
        <v/>
      </c>
      <c r="I369" s="30">
        <f>IF(B369="","",IF(SUMIFS(Orders!$J$6:$J$1005,Orders!$C$6:$C$1005,B369)=0,"",SUMIFS(Orders!$J$6:$J$1005,Orders!$C$6:$C$1005,B369)))</f>
        <v/>
      </c>
      <c r="J369" s="1" t="n"/>
    </row>
    <row r="370">
      <c r="A370" s="1" t="n"/>
      <c r="B370" s="32" t="n"/>
      <c r="C370" s="33" t="n"/>
      <c r="D370" s="33" t="n"/>
      <c r="E370" s="33" t="n"/>
      <c r="F370" s="18">
        <f>IF(B370="","",COUNTIFS(Orders!$C$6:$C$1005,B370,Orders!$L$6:$L$1005,"&lt;&gt;Cancelled"))</f>
        <v/>
      </c>
      <c r="G370" s="22">
        <f>IF(B370="","",SUMIFS(Orders!$H$6:$H$1005,Orders!$C$6:$C$1005,B370,Orders!$L$6:$L$1005,"&lt;&gt;Cancelled"))</f>
        <v/>
      </c>
      <c r="H370" s="43">
        <f>IF(B370="","",IF(SUMIFS(Orders!$U$6:$U$1005,Orders!$C$6:$C$1005,B370,Orders!$V$6:$V$1005,1)=0,"",INT(SUMIFS(Orders!$U$6:$U$1005,Orders!$C$6:$C$1005,B370,Orders!$V$6:$V$1005,1))))</f>
        <v/>
      </c>
      <c r="I370" s="30">
        <f>IF(B370="","",IF(SUMIFS(Orders!$J$6:$J$1005,Orders!$C$6:$C$1005,B370)=0,"",SUMIFS(Orders!$J$6:$J$1005,Orders!$C$6:$C$1005,B370)))</f>
        <v/>
      </c>
      <c r="J370" s="1" t="n"/>
    </row>
    <row r="371">
      <c r="A371" s="1" t="n"/>
      <c r="B371" s="32" t="n"/>
      <c r="C371" s="33" t="n"/>
      <c r="D371" s="33" t="n"/>
      <c r="E371" s="33" t="n"/>
      <c r="F371" s="18">
        <f>IF(B371="","",COUNTIFS(Orders!$C$6:$C$1005,B371,Orders!$L$6:$L$1005,"&lt;&gt;Cancelled"))</f>
        <v/>
      </c>
      <c r="G371" s="22">
        <f>IF(B371="","",SUMIFS(Orders!$H$6:$H$1005,Orders!$C$6:$C$1005,B371,Orders!$L$6:$L$1005,"&lt;&gt;Cancelled"))</f>
        <v/>
      </c>
      <c r="H371" s="43">
        <f>IF(B371="","",IF(SUMIFS(Orders!$U$6:$U$1005,Orders!$C$6:$C$1005,B371,Orders!$V$6:$V$1005,1)=0,"",INT(SUMIFS(Orders!$U$6:$U$1005,Orders!$C$6:$C$1005,B371,Orders!$V$6:$V$1005,1))))</f>
        <v/>
      </c>
      <c r="I371" s="30">
        <f>IF(B371="","",IF(SUMIFS(Orders!$J$6:$J$1005,Orders!$C$6:$C$1005,B371)=0,"",SUMIFS(Orders!$J$6:$J$1005,Orders!$C$6:$C$1005,B371)))</f>
        <v/>
      </c>
      <c r="J371" s="1" t="n"/>
    </row>
    <row r="372">
      <c r="A372" s="1" t="n"/>
      <c r="B372" s="32" t="n"/>
      <c r="C372" s="33" t="n"/>
      <c r="D372" s="33" t="n"/>
      <c r="E372" s="33" t="n"/>
      <c r="F372" s="18">
        <f>IF(B372="","",COUNTIFS(Orders!$C$6:$C$1005,B372,Orders!$L$6:$L$1005,"&lt;&gt;Cancelled"))</f>
        <v/>
      </c>
      <c r="G372" s="22">
        <f>IF(B372="","",SUMIFS(Orders!$H$6:$H$1005,Orders!$C$6:$C$1005,B372,Orders!$L$6:$L$1005,"&lt;&gt;Cancelled"))</f>
        <v/>
      </c>
      <c r="H372" s="43">
        <f>IF(B372="","",IF(SUMIFS(Orders!$U$6:$U$1005,Orders!$C$6:$C$1005,B372,Orders!$V$6:$V$1005,1)=0,"",INT(SUMIFS(Orders!$U$6:$U$1005,Orders!$C$6:$C$1005,B372,Orders!$V$6:$V$1005,1))))</f>
        <v/>
      </c>
      <c r="I372" s="30">
        <f>IF(B372="","",IF(SUMIFS(Orders!$J$6:$J$1005,Orders!$C$6:$C$1005,B372)=0,"",SUMIFS(Orders!$J$6:$J$1005,Orders!$C$6:$C$1005,B372)))</f>
        <v/>
      </c>
      <c r="J372" s="1" t="n"/>
    </row>
    <row r="373">
      <c r="A373" s="1" t="n"/>
      <c r="B373" s="32" t="n"/>
      <c r="C373" s="33" t="n"/>
      <c r="D373" s="33" t="n"/>
      <c r="E373" s="33" t="n"/>
      <c r="F373" s="18">
        <f>IF(B373="","",COUNTIFS(Orders!$C$6:$C$1005,B373,Orders!$L$6:$L$1005,"&lt;&gt;Cancelled"))</f>
        <v/>
      </c>
      <c r="G373" s="22">
        <f>IF(B373="","",SUMIFS(Orders!$H$6:$H$1005,Orders!$C$6:$C$1005,B373,Orders!$L$6:$L$1005,"&lt;&gt;Cancelled"))</f>
        <v/>
      </c>
      <c r="H373" s="43">
        <f>IF(B373="","",IF(SUMIFS(Orders!$U$6:$U$1005,Orders!$C$6:$C$1005,B373,Orders!$V$6:$V$1005,1)=0,"",INT(SUMIFS(Orders!$U$6:$U$1005,Orders!$C$6:$C$1005,B373,Orders!$V$6:$V$1005,1))))</f>
        <v/>
      </c>
      <c r="I373" s="30">
        <f>IF(B373="","",IF(SUMIFS(Orders!$J$6:$J$1005,Orders!$C$6:$C$1005,B373)=0,"",SUMIFS(Orders!$J$6:$J$1005,Orders!$C$6:$C$1005,B373)))</f>
        <v/>
      </c>
      <c r="J373" s="1" t="n"/>
    </row>
    <row r="374">
      <c r="A374" s="1" t="n"/>
      <c r="B374" s="32" t="n"/>
      <c r="C374" s="33" t="n"/>
      <c r="D374" s="33" t="n"/>
      <c r="E374" s="33" t="n"/>
      <c r="F374" s="18">
        <f>IF(B374="","",COUNTIFS(Orders!$C$6:$C$1005,B374,Orders!$L$6:$L$1005,"&lt;&gt;Cancelled"))</f>
        <v/>
      </c>
      <c r="G374" s="22">
        <f>IF(B374="","",SUMIFS(Orders!$H$6:$H$1005,Orders!$C$6:$C$1005,B374,Orders!$L$6:$L$1005,"&lt;&gt;Cancelled"))</f>
        <v/>
      </c>
      <c r="H374" s="43">
        <f>IF(B374="","",IF(SUMIFS(Orders!$U$6:$U$1005,Orders!$C$6:$C$1005,B374,Orders!$V$6:$V$1005,1)=0,"",INT(SUMIFS(Orders!$U$6:$U$1005,Orders!$C$6:$C$1005,B374,Orders!$V$6:$V$1005,1))))</f>
        <v/>
      </c>
      <c r="I374" s="30">
        <f>IF(B374="","",IF(SUMIFS(Orders!$J$6:$J$1005,Orders!$C$6:$C$1005,B374)=0,"",SUMIFS(Orders!$J$6:$J$1005,Orders!$C$6:$C$1005,B374)))</f>
        <v/>
      </c>
      <c r="J374" s="1" t="n"/>
    </row>
    <row r="375">
      <c r="A375" s="1" t="n"/>
      <c r="B375" s="32" t="n"/>
      <c r="C375" s="33" t="n"/>
      <c r="D375" s="33" t="n"/>
      <c r="E375" s="33" t="n"/>
      <c r="F375" s="18">
        <f>IF(B375="","",COUNTIFS(Orders!$C$6:$C$1005,B375,Orders!$L$6:$L$1005,"&lt;&gt;Cancelled"))</f>
        <v/>
      </c>
      <c r="G375" s="22">
        <f>IF(B375="","",SUMIFS(Orders!$H$6:$H$1005,Orders!$C$6:$C$1005,B375,Orders!$L$6:$L$1005,"&lt;&gt;Cancelled"))</f>
        <v/>
      </c>
      <c r="H375" s="43">
        <f>IF(B375="","",IF(SUMIFS(Orders!$U$6:$U$1005,Orders!$C$6:$C$1005,B375,Orders!$V$6:$V$1005,1)=0,"",INT(SUMIFS(Orders!$U$6:$U$1005,Orders!$C$6:$C$1005,B375,Orders!$V$6:$V$1005,1))))</f>
        <v/>
      </c>
      <c r="I375" s="30">
        <f>IF(B375="","",IF(SUMIFS(Orders!$J$6:$J$1005,Orders!$C$6:$C$1005,B375)=0,"",SUMIFS(Orders!$J$6:$J$1005,Orders!$C$6:$C$1005,B375)))</f>
        <v/>
      </c>
      <c r="J375" s="1" t="n"/>
    </row>
    <row r="376">
      <c r="A376" s="1" t="n"/>
      <c r="B376" s="32" t="n"/>
      <c r="C376" s="33" t="n"/>
      <c r="D376" s="33" t="n"/>
      <c r="E376" s="33" t="n"/>
      <c r="F376" s="18">
        <f>IF(B376="","",COUNTIFS(Orders!$C$6:$C$1005,B376,Orders!$L$6:$L$1005,"&lt;&gt;Cancelled"))</f>
        <v/>
      </c>
      <c r="G376" s="22">
        <f>IF(B376="","",SUMIFS(Orders!$H$6:$H$1005,Orders!$C$6:$C$1005,B376,Orders!$L$6:$L$1005,"&lt;&gt;Cancelled"))</f>
        <v/>
      </c>
      <c r="H376" s="43">
        <f>IF(B376="","",IF(SUMIFS(Orders!$U$6:$U$1005,Orders!$C$6:$C$1005,B376,Orders!$V$6:$V$1005,1)=0,"",INT(SUMIFS(Orders!$U$6:$U$1005,Orders!$C$6:$C$1005,B376,Orders!$V$6:$V$1005,1))))</f>
        <v/>
      </c>
      <c r="I376" s="30">
        <f>IF(B376="","",IF(SUMIFS(Orders!$J$6:$J$1005,Orders!$C$6:$C$1005,B376)=0,"",SUMIFS(Orders!$J$6:$J$1005,Orders!$C$6:$C$1005,B376)))</f>
        <v/>
      </c>
      <c r="J376" s="1" t="n"/>
    </row>
    <row r="377">
      <c r="A377" s="1" t="n"/>
      <c r="B377" s="32" t="n"/>
      <c r="C377" s="33" t="n"/>
      <c r="D377" s="33" t="n"/>
      <c r="E377" s="33" t="n"/>
      <c r="F377" s="18">
        <f>IF(B377="","",COUNTIFS(Orders!$C$6:$C$1005,B377,Orders!$L$6:$L$1005,"&lt;&gt;Cancelled"))</f>
        <v/>
      </c>
      <c r="G377" s="22">
        <f>IF(B377="","",SUMIFS(Orders!$H$6:$H$1005,Orders!$C$6:$C$1005,B377,Orders!$L$6:$L$1005,"&lt;&gt;Cancelled"))</f>
        <v/>
      </c>
      <c r="H377" s="43">
        <f>IF(B377="","",IF(SUMIFS(Orders!$U$6:$U$1005,Orders!$C$6:$C$1005,B377,Orders!$V$6:$V$1005,1)=0,"",INT(SUMIFS(Orders!$U$6:$U$1005,Orders!$C$6:$C$1005,B377,Orders!$V$6:$V$1005,1))))</f>
        <v/>
      </c>
      <c r="I377" s="30">
        <f>IF(B377="","",IF(SUMIFS(Orders!$J$6:$J$1005,Orders!$C$6:$C$1005,B377)=0,"",SUMIFS(Orders!$J$6:$J$1005,Orders!$C$6:$C$1005,B377)))</f>
        <v/>
      </c>
      <c r="J377" s="1" t="n"/>
    </row>
    <row r="378">
      <c r="A378" s="1" t="n"/>
      <c r="B378" s="32" t="n"/>
      <c r="C378" s="33" t="n"/>
      <c r="D378" s="33" t="n"/>
      <c r="E378" s="33" t="n"/>
      <c r="F378" s="18">
        <f>IF(B378="","",COUNTIFS(Orders!$C$6:$C$1005,B378,Orders!$L$6:$L$1005,"&lt;&gt;Cancelled"))</f>
        <v/>
      </c>
      <c r="G378" s="22">
        <f>IF(B378="","",SUMIFS(Orders!$H$6:$H$1005,Orders!$C$6:$C$1005,B378,Orders!$L$6:$L$1005,"&lt;&gt;Cancelled"))</f>
        <v/>
      </c>
      <c r="H378" s="43">
        <f>IF(B378="","",IF(SUMIFS(Orders!$U$6:$U$1005,Orders!$C$6:$C$1005,B378,Orders!$V$6:$V$1005,1)=0,"",INT(SUMIFS(Orders!$U$6:$U$1005,Orders!$C$6:$C$1005,B378,Orders!$V$6:$V$1005,1))))</f>
        <v/>
      </c>
      <c r="I378" s="30">
        <f>IF(B378="","",IF(SUMIFS(Orders!$J$6:$J$1005,Orders!$C$6:$C$1005,B378)=0,"",SUMIFS(Orders!$J$6:$J$1005,Orders!$C$6:$C$1005,B378)))</f>
        <v/>
      </c>
      <c r="J378" s="1" t="n"/>
    </row>
    <row r="379">
      <c r="A379" s="1" t="n"/>
      <c r="B379" s="32" t="n"/>
      <c r="C379" s="33" t="n"/>
      <c r="D379" s="33" t="n"/>
      <c r="E379" s="33" t="n"/>
      <c r="F379" s="18">
        <f>IF(B379="","",COUNTIFS(Orders!$C$6:$C$1005,B379,Orders!$L$6:$L$1005,"&lt;&gt;Cancelled"))</f>
        <v/>
      </c>
      <c r="G379" s="22">
        <f>IF(B379="","",SUMIFS(Orders!$H$6:$H$1005,Orders!$C$6:$C$1005,B379,Orders!$L$6:$L$1005,"&lt;&gt;Cancelled"))</f>
        <v/>
      </c>
      <c r="H379" s="43">
        <f>IF(B379="","",IF(SUMIFS(Orders!$U$6:$U$1005,Orders!$C$6:$C$1005,B379,Orders!$V$6:$V$1005,1)=0,"",INT(SUMIFS(Orders!$U$6:$U$1005,Orders!$C$6:$C$1005,B379,Orders!$V$6:$V$1005,1))))</f>
        <v/>
      </c>
      <c r="I379" s="30">
        <f>IF(B379="","",IF(SUMIFS(Orders!$J$6:$J$1005,Orders!$C$6:$C$1005,B379)=0,"",SUMIFS(Orders!$J$6:$J$1005,Orders!$C$6:$C$1005,B379)))</f>
        <v/>
      </c>
      <c r="J379" s="1" t="n"/>
    </row>
    <row r="380">
      <c r="A380" s="1" t="n"/>
      <c r="B380" s="32" t="n"/>
      <c r="C380" s="33" t="n"/>
      <c r="D380" s="33" t="n"/>
      <c r="E380" s="33" t="n"/>
      <c r="F380" s="18">
        <f>IF(B380="","",COUNTIFS(Orders!$C$6:$C$1005,B380,Orders!$L$6:$L$1005,"&lt;&gt;Cancelled"))</f>
        <v/>
      </c>
      <c r="G380" s="22">
        <f>IF(B380="","",SUMIFS(Orders!$H$6:$H$1005,Orders!$C$6:$C$1005,B380,Orders!$L$6:$L$1005,"&lt;&gt;Cancelled"))</f>
        <v/>
      </c>
      <c r="H380" s="43">
        <f>IF(B380="","",IF(SUMIFS(Orders!$U$6:$U$1005,Orders!$C$6:$C$1005,B380,Orders!$V$6:$V$1005,1)=0,"",INT(SUMIFS(Orders!$U$6:$U$1005,Orders!$C$6:$C$1005,B380,Orders!$V$6:$V$1005,1))))</f>
        <v/>
      </c>
      <c r="I380" s="30">
        <f>IF(B380="","",IF(SUMIFS(Orders!$J$6:$J$1005,Orders!$C$6:$C$1005,B380)=0,"",SUMIFS(Orders!$J$6:$J$1005,Orders!$C$6:$C$1005,B380)))</f>
        <v/>
      </c>
      <c r="J380" s="1" t="n"/>
    </row>
    <row r="381">
      <c r="A381" s="1" t="n"/>
      <c r="B381" s="32" t="n"/>
      <c r="C381" s="33" t="n"/>
      <c r="D381" s="33" t="n"/>
      <c r="E381" s="33" t="n"/>
      <c r="F381" s="18">
        <f>IF(B381="","",COUNTIFS(Orders!$C$6:$C$1005,B381,Orders!$L$6:$L$1005,"&lt;&gt;Cancelled"))</f>
        <v/>
      </c>
      <c r="G381" s="22">
        <f>IF(B381="","",SUMIFS(Orders!$H$6:$H$1005,Orders!$C$6:$C$1005,B381,Orders!$L$6:$L$1005,"&lt;&gt;Cancelled"))</f>
        <v/>
      </c>
      <c r="H381" s="43">
        <f>IF(B381="","",IF(SUMIFS(Orders!$U$6:$U$1005,Orders!$C$6:$C$1005,B381,Orders!$V$6:$V$1005,1)=0,"",INT(SUMIFS(Orders!$U$6:$U$1005,Orders!$C$6:$C$1005,B381,Orders!$V$6:$V$1005,1))))</f>
        <v/>
      </c>
      <c r="I381" s="30">
        <f>IF(B381="","",IF(SUMIFS(Orders!$J$6:$J$1005,Orders!$C$6:$C$1005,B381)=0,"",SUMIFS(Orders!$J$6:$J$1005,Orders!$C$6:$C$1005,B381)))</f>
        <v/>
      </c>
      <c r="J381" s="1" t="n"/>
    </row>
    <row r="382">
      <c r="A382" s="1" t="n"/>
      <c r="B382" s="32" t="n"/>
      <c r="C382" s="33" t="n"/>
      <c r="D382" s="33" t="n"/>
      <c r="E382" s="33" t="n"/>
      <c r="F382" s="18">
        <f>IF(B382="","",COUNTIFS(Orders!$C$6:$C$1005,B382,Orders!$L$6:$L$1005,"&lt;&gt;Cancelled"))</f>
        <v/>
      </c>
      <c r="G382" s="22">
        <f>IF(B382="","",SUMIFS(Orders!$H$6:$H$1005,Orders!$C$6:$C$1005,B382,Orders!$L$6:$L$1005,"&lt;&gt;Cancelled"))</f>
        <v/>
      </c>
      <c r="H382" s="43">
        <f>IF(B382="","",IF(SUMIFS(Orders!$U$6:$U$1005,Orders!$C$6:$C$1005,B382,Orders!$V$6:$V$1005,1)=0,"",INT(SUMIFS(Orders!$U$6:$U$1005,Orders!$C$6:$C$1005,B382,Orders!$V$6:$V$1005,1))))</f>
        <v/>
      </c>
      <c r="I382" s="30">
        <f>IF(B382="","",IF(SUMIFS(Orders!$J$6:$J$1005,Orders!$C$6:$C$1005,B382)=0,"",SUMIFS(Orders!$J$6:$J$1005,Orders!$C$6:$C$1005,B382)))</f>
        <v/>
      </c>
      <c r="J382" s="1" t="n"/>
    </row>
    <row r="383">
      <c r="A383" s="1" t="n"/>
      <c r="B383" s="32" t="n"/>
      <c r="C383" s="33" t="n"/>
      <c r="D383" s="33" t="n"/>
      <c r="E383" s="33" t="n"/>
      <c r="F383" s="18">
        <f>IF(B383="","",COUNTIFS(Orders!$C$6:$C$1005,B383,Orders!$L$6:$L$1005,"&lt;&gt;Cancelled"))</f>
        <v/>
      </c>
      <c r="G383" s="22">
        <f>IF(B383="","",SUMIFS(Orders!$H$6:$H$1005,Orders!$C$6:$C$1005,B383,Orders!$L$6:$L$1005,"&lt;&gt;Cancelled"))</f>
        <v/>
      </c>
      <c r="H383" s="43">
        <f>IF(B383="","",IF(SUMIFS(Orders!$U$6:$U$1005,Orders!$C$6:$C$1005,B383,Orders!$V$6:$V$1005,1)=0,"",INT(SUMIFS(Orders!$U$6:$U$1005,Orders!$C$6:$C$1005,B383,Orders!$V$6:$V$1005,1))))</f>
        <v/>
      </c>
      <c r="I383" s="30">
        <f>IF(B383="","",IF(SUMIFS(Orders!$J$6:$J$1005,Orders!$C$6:$C$1005,B383)=0,"",SUMIFS(Orders!$J$6:$J$1005,Orders!$C$6:$C$1005,B383)))</f>
        <v/>
      </c>
      <c r="J383" s="1" t="n"/>
    </row>
    <row r="384">
      <c r="A384" s="1" t="n"/>
      <c r="B384" s="32" t="n"/>
      <c r="C384" s="33" t="n"/>
      <c r="D384" s="33" t="n"/>
      <c r="E384" s="33" t="n"/>
      <c r="F384" s="18">
        <f>IF(B384="","",COUNTIFS(Orders!$C$6:$C$1005,B384,Orders!$L$6:$L$1005,"&lt;&gt;Cancelled"))</f>
        <v/>
      </c>
      <c r="G384" s="22">
        <f>IF(B384="","",SUMIFS(Orders!$H$6:$H$1005,Orders!$C$6:$C$1005,B384,Orders!$L$6:$L$1005,"&lt;&gt;Cancelled"))</f>
        <v/>
      </c>
      <c r="H384" s="43">
        <f>IF(B384="","",IF(SUMIFS(Orders!$U$6:$U$1005,Orders!$C$6:$C$1005,B384,Orders!$V$6:$V$1005,1)=0,"",INT(SUMIFS(Orders!$U$6:$U$1005,Orders!$C$6:$C$1005,B384,Orders!$V$6:$V$1005,1))))</f>
        <v/>
      </c>
      <c r="I384" s="30">
        <f>IF(B384="","",IF(SUMIFS(Orders!$J$6:$J$1005,Orders!$C$6:$C$1005,B384)=0,"",SUMIFS(Orders!$J$6:$J$1005,Orders!$C$6:$C$1005,B384)))</f>
        <v/>
      </c>
      <c r="J384" s="1" t="n"/>
    </row>
    <row r="385">
      <c r="A385" s="1" t="n"/>
      <c r="B385" s="32" t="n"/>
      <c r="C385" s="33" t="n"/>
      <c r="D385" s="33" t="n"/>
      <c r="E385" s="33" t="n"/>
      <c r="F385" s="18">
        <f>IF(B385="","",COUNTIFS(Orders!$C$6:$C$1005,B385,Orders!$L$6:$L$1005,"&lt;&gt;Cancelled"))</f>
        <v/>
      </c>
      <c r="G385" s="22">
        <f>IF(B385="","",SUMIFS(Orders!$H$6:$H$1005,Orders!$C$6:$C$1005,B385,Orders!$L$6:$L$1005,"&lt;&gt;Cancelled"))</f>
        <v/>
      </c>
      <c r="H385" s="43">
        <f>IF(B385="","",IF(SUMIFS(Orders!$U$6:$U$1005,Orders!$C$6:$C$1005,B385,Orders!$V$6:$V$1005,1)=0,"",INT(SUMIFS(Orders!$U$6:$U$1005,Orders!$C$6:$C$1005,B385,Orders!$V$6:$V$1005,1))))</f>
        <v/>
      </c>
      <c r="I385" s="30">
        <f>IF(B385="","",IF(SUMIFS(Orders!$J$6:$J$1005,Orders!$C$6:$C$1005,B385)=0,"",SUMIFS(Orders!$J$6:$J$1005,Orders!$C$6:$C$1005,B385)))</f>
        <v/>
      </c>
      <c r="J385" s="1" t="n"/>
    </row>
    <row r="386">
      <c r="A386" s="1" t="n"/>
      <c r="B386" s="32" t="n"/>
      <c r="C386" s="33" t="n"/>
      <c r="D386" s="33" t="n"/>
      <c r="E386" s="33" t="n"/>
      <c r="F386" s="18">
        <f>IF(B386="","",COUNTIFS(Orders!$C$6:$C$1005,B386,Orders!$L$6:$L$1005,"&lt;&gt;Cancelled"))</f>
        <v/>
      </c>
      <c r="G386" s="22">
        <f>IF(B386="","",SUMIFS(Orders!$H$6:$H$1005,Orders!$C$6:$C$1005,B386,Orders!$L$6:$L$1005,"&lt;&gt;Cancelled"))</f>
        <v/>
      </c>
      <c r="H386" s="43">
        <f>IF(B386="","",IF(SUMIFS(Orders!$U$6:$U$1005,Orders!$C$6:$C$1005,B386,Orders!$V$6:$V$1005,1)=0,"",INT(SUMIFS(Orders!$U$6:$U$1005,Orders!$C$6:$C$1005,B386,Orders!$V$6:$V$1005,1))))</f>
        <v/>
      </c>
      <c r="I386" s="30">
        <f>IF(B386="","",IF(SUMIFS(Orders!$J$6:$J$1005,Orders!$C$6:$C$1005,B386)=0,"",SUMIFS(Orders!$J$6:$J$1005,Orders!$C$6:$C$1005,B386)))</f>
        <v/>
      </c>
      <c r="J386" s="1" t="n"/>
    </row>
    <row r="387">
      <c r="A387" s="1" t="n"/>
      <c r="B387" s="32" t="n"/>
      <c r="C387" s="33" t="n"/>
      <c r="D387" s="33" t="n"/>
      <c r="E387" s="33" t="n"/>
      <c r="F387" s="18">
        <f>IF(B387="","",COUNTIFS(Orders!$C$6:$C$1005,B387,Orders!$L$6:$L$1005,"&lt;&gt;Cancelled"))</f>
        <v/>
      </c>
      <c r="G387" s="22">
        <f>IF(B387="","",SUMIFS(Orders!$H$6:$H$1005,Orders!$C$6:$C$1005,B387,Orders!$L$6:$L$1005,"&lt;&gt;Cancelled"))</f>
        <v/>
      </c>
      <c r="H387" s="43">
        <f>IF(B387="","",IF(SUMIFS(Orders!$U$6:$U$1005,Orders!$C$6:$C$1005,B387,Orders!$V$6:$V$1005,1)=0,"",INT(SUMIFS(Orders!$U$6:$U$1005,Orders!$C$6:$C$1005,B387,Orders!$V$6:$V$1005,1))))</f>
        <v/>
      </c>
      <c r="I387" s="30">
        <f>IF(B387="","",IF(SUMIFS(Orders!$J$6:$J$1005,Orders!$C$6:$C$1005,B387)=0,"",SUMIFS(Orders!$J$6:$J$1005,Orders!$C$6:$C$1005,B387)))</f>
        <v/>
      </c>
      <c r="J387" s="1" t="n"/>
    </row>
    <row r="388">
      <c r="A388" s="1" t="n"/>
      <c r="B388" s="32" t="n"/>
      <c r="C388" s="33" t="n"/>
      <c r="D388" s="33" t="n"/>
      <c r="E388" s="33" t="n"/>
      <c r="F388" s="18">
        <f>IF(B388="","",COUNTIFS(Orders!$C$6:$C$1005,B388,Orders!$L$6:$L$1005,"&lt;&gt;Cancelled"))</f>
        <v/>
      </c>
      <c r="G388" s="22">
        <f>IF(B388="","",SUMIFS(Orders!$H$6:$H$1005,Orders!$C$6:$C$1005,B388,Orders!$L$6:$L$1005,"&lt;&gt;Cancelled"))</f>
        <v/>
      </c>
      <c r="H388" s="43">
        <f>IF(B388="","",IF(SUMIFS(Orders!$U$6:$U$1005,Orders!$C$6:$C$1005,B388,Orders!$V$6:$V$1005,1)=0,"",INT(SUMIFS(Orders!$U$6:$U$1005,Orders!$C$6:$C$1005,B388,Orders!$V$6:$V$1005,1))))</f>
        <v/>
      </c>
      <c r="I388" s="30">
        <f>IF(B388="","",IF(SUMIFS(Orders!$J$6:$J$1005,Orders!$C$6:$C$1005,B388)=0,"",SUMIFS(Orders!$J$6:$J$1005,Orders!$C$6:$C$1005,B388)))</f>
        <v/>
      </c>
      <c r="J388" s="1" t="n"/>
    </row>
    <row r="389">
      <c r="A389" s="1" t="n"/>
      <c r="B389" s="32" t="n"/>
      <c r="C389" s="33" t="n"/>
      <c r="D389" s="33" t="n"/>
      <c r="E389" s="33" t="n"/>
      <c r="F389" s="18">
        <f>IF(B389="","",COUNTIFS(Orders!$C$6:$C$1005,B389,Orders!$L$6:$L$1005,"&lt;&gt;Cancelled"))</f>
        <v/>
      </c>
      <c r="G389" s="22">
        <f>IF(B389="","",SUMIFS(Orders!$H$6:$H$1005,Orders!$C$6:$C$1005,B389,Orders!$L$6:$L$1005,"&lt;&gt;Cancelled"))</f>
        <v/>
      </c>
      <c r="H389" s="43">
        <f>IF(B389="","",IF(SUMIFS(Orders!$U$6:$U$1005,Orders!$C$6:$C$1005,B389,Orders!$V$6:$V$1005,1)=0,"",INT(SUMIFS(Orders!$U$6:$U$1005,Orders!$C$6:$C$1005,B389,Orders!$V$6:$V$1005,1))))</f>
        <v/>
      </c>
      <c r="I389" s="30">
        <f>IF(B389="","",IF(SUMIFS(Orders!$J$6:$J$1005,Orders!$C$6:$C$1005,B389)=0,"",SUMIFS(Orders!$J$6:$J$1005,Orders!$C$6:$C$1005,B389)))</f>
        <v/>
      </c>
      <c r="J389" s="1" t="n"/>
    </row>
    <row r="390">
      <c r="A390" s="1" t="n"/>
      <c r="B390" s="32" t="n"/>
      <c r="C390" s="33" t="n"/>
      <c r="D390" s="33" t="n"/>
      <c r="E390" s="33" t="n"/>
      <c r="F390" s="18">
        <f>IF(B390="","",COUNTIFS(Orders!$C$6:$C$1005,B390,Orders!$L$6:$L$1005,"&lt;&gt;Cancelled"))</f>
        <v/>
      </c>
      <c r="G390" s="22">
        <f>IF(B390="","",SUMIFS(Orders!$H$6:$H$1005,Orders!$C$6:$C$1005,B390,Orders!$L$6:$L$1005,"&lt;&gt;Cancelled"))</f>
        <v/>
      </c>
      <c r="H390" s="43">
        <f>IF(B390="","",IF(SUMIFS(Orders!$U$6:$U$1005,Orders!$C$6:$C$1005,B390,Orders!$V$6:$V$1005,1)=0,"",INT(SUMIFS(Orders!$U$6:$U$1005,Orders!$C$6:$C$1005,B390,Orders!$V$6:$V$1005,1))))</f>
        <v/>
      </c>
      <c r="I390" s="30">
        <f>IF(B390="","",IF(SUMIFS(Orders!$J$6:$J$1005,Orders!$C$6:$C$1005,B390)=0,"",SUMIFS(Orders!$J$6:$J$1005,Orders!$C$6:$C$1005,B390)))</f>
        <v/>
      </c>
      <c r="J390" s="1" t="n"/>
    </row>
    <row r="391">
      <c r="A391" s="1" t="n"/>
      <c r="B391" s="32" t="n"/>
      <c r="C391" s="33" t="n"/>
      <c r="D391" s="33" t="n"/>
      <c r="E391" s="33" t="n"/>
      <c r="F391" s="18">
        <f>IF(B391="","",COUNTIFS(Orders!$C$6:$C$1005,B391,Orders!$L$6:$L$1005,"&lt;&gt;Cancelled"))</f>
        <v/>
      </c>
      <c r="G391" s="22">
        <f>IF(B391="","",SUMIFS(Orders!$H$6:$H$1005,Orders!$C$6:$C$1005,B391,Orders!$L$6:$L$1005,"&lt;&gt;Cancelled"))</f>
        <v/>
      </c>
      <c r="H391" s="43">
        <f>IF(B391="","",IF(SUMIFS(Orders!$U$6:$U$1005,Orders!$C$6:$C$1005,B391,Orders!$V$6:$V$1005,1)=0,"",INT(SUMIFS(Orders!$U$6:$U$1005,Orders!$C$6:$C$1005,B391,Orders!$V$6:$V$1005,1))))</f>
        <v/>
      </c>
      <c r="I391" s="30">
        <f>IF(B391="","",IF(SUMIFS(Orders!$J$6:$J$1005,Orders!$C$6:$C$1005,B391)=0,"",SUMIFS(Orders!$J$6:$J$1005,Orders!$C$6:$C$1005,B391)))</f>
        <v/>
      </c>
      <c r="J391" s="1" t="n"/>
    </row>
    <row r="392">
      <c r="A392" s="1" t="n"/>
      <c r="B392" s="32" t="n"/>
      <c r="C392" s="33" t="n"/>
      <c r="D392" s="33" t="n"/>
      <c r="E392" s="33" t="n"/>
      <c r="F392" s="18">
        <f>IF(B392="","",COUNTIFS(Orders!$C$6:$C$1005,B392,Orders!$L$6:$L$1005,"&lt;&gt;Cancelled"))</f>
        <v/>
      </c>
      <c r="G392" s="22">
        <f>IF(B392="","",SUMIFS(Orders!$H$6:$H$1005,Orders!$C$6:$C$1005,B392,Orders!$L$6:$L$1005,"&lt;&gt;Cancelled"))</f>
        <v/>
      </c>
      <c r="H392" s="43">
        <f>IF(B392="","",IF(SUMIFS(Orders!$U$6:$U$1005,Orders!$C$6:$C$1005,B392,Orders!$V$6:$V$1005,1)=0,"",INT(SUMIFS(Orders!$U$6:$U$1005,Orders!$C$6:$C$1005,B392,Orders!$V$6:$V$1005,1))))</f>
        <v/>
      </c>
      <c r="I392" s="30">
        <f>IF(B392="","",IF(SUMIFS(Orders!$J$6:$J$1005,Orders!$C$6:$C$1005,B392)=0,"",SUMIFS(Orders!$J$6:$J$1005,Orders!$C$6:$C$1005,B392)))</f>
        <v/>
      </c>
      <c r="J392" s="1" t="n"/>
    </row>
    <row r="393">
      <c r="A393" s="1" t="n"/>
      <c r="B393" s="32" t="n"/>
      <c r="C393" s="33" t="n"/>
      <c r="D393" s="33" t="n"/>
      <c r="E393" s="33" t="n"/>
      <c r="F393" s="18">
        <f>IF(B393="","",COUNTIFS(Orders!$C$6:$C$1005,B393,Orders!$L$6:$L$1005,"&lt;&gt;Cancelled"))</f>
        <v/>
      </c>
      <c r="G393" s="22">
        <f>IF(B393="","",SUMIFS(Orders!$H$6:$H$1005,Orders!$C$6:$C$1005,B393,Orders!$L$6:$L$1005,"&lt;&gt;Cancelled"))</f>
        <v/>
      </c>
      <c r="H393" s="43">
        <f>IF(B393="","",IF(SUMIFS(Orders!$U$6:$U$1005,Orders!$C$6:$C$1005,B393,Orders!$V$6:$V$1005,1)=0,"",INT(SUMIFS(Orders!$U$6:$U$1005,Orders!$C$6:$C$1005,B393,Orders!$V$6:$V$1005,1))))</f>
        <v/>
      </c>
      <c r="I393" s="30">
        <f>IF(B393="","",IF(SUMIFS(Orders!$J$6:$J$1005,Orders!$C$6:$C$1005,B393)=0,"",SUMIFS(Orders!$J$6:$J$1005,Orders!$C$6:$C$1005,B393)))</f>
        <v/>
      </c>
      <c r="J393" s="1" t="n"/>
    </row>
    <row r="394">
      <c r="A394" s="1" t="n"/>
      <c r="B394" s="32" t="n"/>
      <c r="C394" s="33" t="n"/>
      <c r="D394" s="33" t="n"/>
      <c r="E394" s="33" t="n"/>
      <c r="F394" s="18">
        <f>IF(B394="","",COUNTIFS(Orders!$C$6:$C$1005,B394,Orders!$L$6:$L$1005,"&lt;&gt;Cancelled"))</f>
        <v/>
      </c>
      <c r="G394" s="22">
        <f>IF(B394="","",SUMIFS(Orders!$H$6:$H$1005,Orders!$C$6:$C$1005,B394,Orders!$L$6:$L$1005,"&lt;&gt;Cancelled"))</f>
        <v/>
      </c>
      <c r="H394" s="43">
        <f>IF(B394="","",IF(SUMIFS(Orders!$U$6:$U$1005,Orders!$C$6:$C$1005,B394,Orders!$V$6:$V$1005,1)=0,"",INT(SUMIFS(Orders!$U$6:$U$1005,Orders!$C$6:$C$1005,B394,Orders!$V$6:$V$1005,1))))</f>
        <v/>
      </c>
      <c r="I394" s="30">
        <f>IF(B394="","",IF(SUMIFS(Orders!$J$6:$J$1005,Orders!$C$6:$C$1005,B394)=0,"",SUMIFS(Orders!$J$6:$J$1005,Orders!$C$6:$C$1005,B394)))</f>
        <v/>
      </c>
      <c r="J394" s="1" t="n"/>
    </row>
    <row r="395">
      <c r="A395" s="1" t="n"/>
      <c r="B395" s="32" t="n"/>
      <c r="C395" s="33" t="n"/>
      <c r="D395" s="33" t="n"/>
      <c r="E395" s="33" t="n"/>
      <c r="F395" s="18">
        <f>IF(B395="","",COUNTIFS(Orders!$C$6:$C$1005,B395,Orders!$L$6:$L$1005,"&lt;&gt;Cancelled"))</f>
        <v/>
      </c>
      <c r="G395" s="22">
        <f>IF(B395="","",SUMIFS(Orders!$H$6:$H$1005,Orders!$C$6:$C$1005,B395,Orders!$L$6:$L$1005,"&lt;&gt;Cancelled"))</f>
        <v/>
      </c>
      <c r="H395" s="43">
        <f>IF(B395="","",IF(SUMIFS(Orders!$U$6:$U$1005,Orders!$C$6:$C$1005,B395,Orders!$V$6:$V$1005,1)=0,"",INT(SUMIFS(Orders!$U$6:$U$1005,Orders!$C$6:$C$1005,B395,Orders!$V$6:$V$1005,1))))</f>
        <v/>
      </c>
      <c r="I395" s="30">
        <f>IF(B395="","",IF(SUMIFS(Orders!$J$6:$J$1005,Orders!$C$6:$C$1005,B395)=0,"",SUMIFS(Orders!$J$6:$J$1005,Orders!$C$6:$C$1005,B395)))</f>
        <v/>
      </c>
      <c r="J395" s="1" t="n"/>
    </row>
    <row r="396">
      <c r="A396" s="1" t="n"/>
      <c r="B396" s="32" t="n"/>
      <c r="C396" s="33" t="n"/>
      <c r="D396" s="33" t="n"/>
      <c r="E396" s="33" t="n"/>
      <c r="F396" s="18">
        <f>IF(B396="","",COUNTIFS(Orders!$C$6:$C$1005,B396,Orders!$L$6:$L$1005,"&lt;&gt;Cancelled"))</f>
        <v/>
      </c>
      <c r="G396" s="22">
        <f>IF(B396="","",SUMIFS(Orders!$H$6:$H$1005,Orders!$C$6:$C$1005,B396,Orders!$L$6:$L$1005,"&lt;&gt;Cancelled"))</f>
        <v/>
      </c>
      <c r="H396" s="43">
        <f>IF(B396="","",IF(SUMIFS(Orders!$U$6:$U$1005,Orders!$C$6:$C$1005,B396,Orders!$V$6:$V$1005,1)=0,"",INT(SUMIFS(Orders!$U$6:$U$1005,Orders!$C$6:$C$1005,B396,Orders!$V$6:$V$1005,1))))</f>
        <v/>
      </c>
      <c r="I396" s="30">
        <f>IF(B396="","",IF(SUMIFS(Orders!$J$6:$J$1005,Orders!$C$6:$C$1005,B396)=0,"",SUMIFS(Orders!$J$6:$J$1005,Orders!$C$6:$C$1005,B396)))</f>
        <v/>
      </c>
      <c r="J396" s="1" t="n"/>
    </row>
    <row r="397">
      <c r="A397" s="1" t="n"/>
      <c r="B397" s="32" t="n"/>
      <c r="C397" s="33" t="n"/>
      <c r="D397" s="33" t="n"/>
      <c r="E397" s="33" t="n"/>
      <c r="F397" s="18">
        <f>IF(B397="","",COUNTIFS(Orders!$C$6:$C$1005,B397,Orders!$L$6:$L$1005,"&lt;&gt;Cancelled"))</f>
        <v/>
      </c>
      <c r="G397" s="22">
        <f>IF(B397="","",SUMIFS(Orders!$H$6:$H$1005,Orders!$C$6:$C$1005,B397,Orders!$L$6:$L$1005,"&lt;&gt;Cancelled"))</f>
        <v/>
      </c>
      <c r="H397" s="43">
        <f>IF(B397="","",IF(SUMIFS(Orders!$U$6:$U$1005,Orders!$C$6:$C$1005,B397,Orders!$V$6:$V$1005,1)=0,"",INT(SUMIFS(Orders!$U$6:$U$1005,Orders!$C$6:$C$1005,B397,Orders!$V$6:$V$1005,1))))</f>
        <v/>
      </c>
      <c r="I397" s="30">
        <f>IF(B397="","",IF(SUMIFS(Orders!$J$6:$J$1005,Orders!$C$6:$C$1005,B397)=0,"",SUMIFS(Orders!$J$6:$J$1005,Orders!$C$6:$C$1005,B397)))</f>
        <v/>
      </c>
      <c r="J397" s="1" t="n"/>
    </row>
    <row r="398">
      <c r="A398" s="1" t="n"/>
      <c r="B398" s="32" t="n"/>
      <c r="C398" s="33" t="n"/>
      <c r="D398" s="33" t="n"/>
      <c r="E398" s="33" t="n"/>
      <c r="F398" s="18">
        <f>IF(B398="","",COUNTIFS(Orders!$C$6:$C$1005,B398,Orders!$L$6:$L$1005,"&lt;&gt;Cancelled"))</f>
        <v/>
      </c>
      <c r="G398" s="22">
        <f>IF(B398="","",SUMIFS(Orders!$H$6:$H$1005,Orders!$C$6:$C$1005,B398,Orders!$L$6:$L$1005,"&lt;&gt;Cancelled"))</f>
        <v/>
      </c>
      <c r="H398" s="43">
        <f>IF(B398="","",IF(SUMIFS(Orders!$U$6:$U$1005,Orders!$C$6:$C$1005,B398,Orders!$V$6:$V$1005,1)=0,"",INT(SUMIFS(Orders!$U$6:$U$1005,Orders!$C$6:$C$1005,B398,Orders!$V$6:$V$1005,1))))</f>
        <v/>
      </c>
      <c r="I398" s="30">
        <f>IF(B398="","",IF(SUMIFS(Orders!$J$6:$J$1005,Orders!$C$6:$C$1005,B398)=0,"",SUMIFS(Orders!$J$6:$J$1005,Orders!$C$6:$C$1005,B398)))</f>
        <v/>
      </c>
      <c r="J398" s="1" t="n"/>
    </row>
    <row r="399">
      <c r="A399" s="1" t="n"/>
      <c r="B399" s="32" t="n"/>
      <c r="C399" s="33" t="n"/>
      <c r="D399" s="33" t="n"/>
      <c r="E399" s="33" t="n"/>
      <c r="F399" s="18">
        <f>IF(B399="","",COUNTIFS(Orders!$C$6:$C$1005,B399,Orders!$L$6:$L$1005,"&lt;&gt;Cancelled"))</f>
        <v/>
      </c>
      <c r="G399" s="22">
        <f>IF(B399="","",SUMIFS(Orders!$H$6:$H$1005,Orders!$C$6:$C$1005,B399,Orders!$L$6:$L$1005,"&lt;&gt;Cancelled"))</f>
        <v/>
      </c>
      <c r="H399" s="43">
        <f>IF(B399="","",IF(SUMIFS(Orders!$U$6:$U$1005,Orders!$C$6:$C$1005,B399,Orders!$V$6:$V$1005,1)=0,"",INT(SUMIFS(Orders!$U$6:$U$1005,Orders!$C$6:$C$1005,B399,Orders!$V$6:$V$1005,1))))</f>
        <v/>
      </c>
      <c r="I399" s="30">
        <f>IF(B399="","",IF(SUMIFS(Orders!$J$6:$J$1005,Orders!$C$6:$C$1005,B399)=0,"",SUMIFS(Orders!$J$6:$J$1005,Orders!$C$6:$C$1005,B399)))</f>
        <v/>
      </c>
      <c r="J399" s="1" t="n"/>
    </row>
    <row r="400">
      <c r="A400" s="1" t="n"/>
      <c r="B400" s="32" t="n"/>
      <c r="C400" s="33" t="n"/>
      <c r="D400" s="33" t="n"/>
      <c r="E400" s="33" t="n"/>
      <c r="F400" s="18">
        <f>IF(B400="","",COUNTIFS(Orders!$C$6:$C$1005,B400,Orders!$L$6:$L$1005,"&lt;&gt;Cancelled"))</f>
        <v/>
      </c>
      <c r="G400" s="22">
        <f>IF(B400="","",SUMIFS(Orders!$H$6:$H$1005,Orders!$C$6:$C$1005,B400,Orders!$L$6:$L$1005,"&lt;&gt;Cancelled"))</f>
        <v/>
      </c>
      <c r="H400" s="43">
        <f>IF(B400="","",IF(SUMIFS(Orders!$U$6:$U$1005,Orders!$C$6:$C$1005,B400,Orders!$V$6:$V$1005,1)=0,"",INT(SUMIFS(Orders!$U$6:$U$1005,Orders!$C$6:$C$1005,B400,Orders!$V$6:$V$1005,1))))</f>
        <v/>
      </c>
      <c r="I400" s="30">
        <f>IF(B400="","",IF(SUMIFS(Orders!$J$6:$J$1005,Orders!$C$6:$C$1005,B400)=0,"",SUMIFS(Orders!$J$6:$J$1005,Orders!$C$6:$C$1005,B400)))</f>
        <v/>
      </c>
      <c r="J400" s="1" t="n"/>
    </row>
    <row r="401">
      <c r="A401" s="1" t="n"/>
      <c r="B401" s="32" t="n"/>
      <c r="C401" s="33" t="n"/>
      <c r="D401" s="33" t="n"/>
      <c r="E401" s="33" t="n"/>
      <c r="F401" s="18">
        <f>IF(B401="","",COUNTIFS(Orders!$C$6:$C$1005,B401,Orders!$L$6:$L$1005,"&lt;&gt;Cancelled"))</f>
        <v/>
      </c>
      <c r="G401" s="22">
        <f>IF(B401="","",SUMIFS(Orders!$H$6:$H$1005,Orders!$C$6:$C$1005,B401,Orders!$L$6:$L$1005,"&lt;&gt;Cancelled"))</f>
        <v/>
      </c>
      <c r="H401" s="43">
        <f>IF(B401="","",IF(SUMIFS(Orders!$U$6:$U$1005,Orders!$C$6:$C$1005,B401,Orders!$V$6:$V$1005,1)=0,"",INT(SUMIFS(Orders!$U$6:$U$1005,Orders!$C$6:$C$1005,B401,Orders!$V$6:$V$1005,1))))</f>
        <v/>
      </c>
      <c r="I401" s="30">
        <f>IF(B401="","",IF(SUMIFS(Orders!$J$6:$J$1005,Orders!$C$6:$C$1005,B401)=0,"",SUMIFS(Orders!$J$6:$J$1005,Orders!$C$6:$C$1005,B401)))</f>
        <v/>
      </c>
      <c r="J401" s="1" t="n"/>
    </row>
    <row r="402">
      <c r="A402" s="1" t="n"/>
      <c r="B402" s="32" t="n"/>
      <c r="C402" s="33" t="n"/>
      <c r="D402" s="33" t="n"/>
      <c r="E402" s="33" t="n"/>
      <c r="F402" s="18">
        <f>IF(B402="","",COUNTIFS(Orders!$C$6:$C$1005,B402,Orders!$L$6:$L$1005,"&lt;&gt;Cancelled"))</f>
        <v/>
      </c>
      <c r="G402" s="22">
        <f>IF(B402="","",SUMIFS(Orders!$H$6:$H$1005,Orders!$C$6:$C$1005,B402,Orders!$L$6:$L$1005,"&lt;&gt;Cancelled"))</f>
        <v/>
      </c>
      <c r="H402" s="43">
        <f>IF(B402="","",IF(SUMIFS(Orders!$U$6:$U$1005,Orders!$C$6:$C$1005,B402,Orders!$V$6:$V$1005,1)=0,"",INT(SUMIFS(Orders!$U$6:$U$1005,Orders!$C$6:$C$1005,B402,Orders!$V$6:$V$1005,1))))</f>
        <v/>
      </c>
      <c r="I402" s="30">
        <f>IF(B402="","",IF(SUMIFS(Orders!$J$6:$J$1005,Orders!$C$6:$C$1005,B402)=0,"",SUMIFS(Orders!$J$6:$J$1005,Orders!$C$6:$C$1005,B402)))</f>
        <v/>
      </c>
      <c r="J402" s="1" t="n"/>
    </row>
    <row r="403">
      <c r="A403" s="1" t="n"/>
      <c r="B403" s="32" t="n"/>
      <c r="C403" s="33" t="n"/>
      <c r="D403" s="33" t="n"/>
      <c r="E403" s="33" t="n"/>
      <c r="F403" s="18">
        <f>IF(B403="","",COUNTIFS(Orders!$C$6:$C$1005,B403,Orders!$L$6:$L$1005,"&lt;&gt;Cancelled"))</f>
        <v/>
      </c>
      <c r="G403" s="22">
        <f>IF(B403="","",SUMIFS(Orders!$H$6:$H$1005,Orders!$C$6:$C$1005,B403,Orders!$L$6:$L$1005,"&lt;&gt;Cancelled"))</f>
        <v/>
      </c>
      <c r="H403" s="43">
        <f>IF(B403="","",IF(SUMIFS(Orders!$U$6:$U$1005,Orders!$C$6:$C$1005,B403,Orders!$V$6:$V$1005,1)=0,"",INT(SUMIFS(Orders!$U$6:$U$1005,Orders!$C$6:$C$1005,B403,Orders!$V$6:$V$1005,1))))</f>
        <v/>
      </c>
      <c r="I403" s="30">
        <f>IF(B403="","",IF(SUMIFS(Orders!$J$6:$J$1005,Orders!$C$6:$C$1005,B403)=0,"",SUMIFS(Orders!$J$6:$J$1005,Orders!$C$6:$C$1005,B403)))</f>
        <v/>
      </c>
      <c r="J403" s="1" t="n"/>
    </row>
    <row r="404">
      <c r="A404" s="1" t="n"/>
      <c r="B404" s="32" t="n"/>
      <c r="C404" s="33" t="n"/>
      <c r="D404" s="33" t="n"/>
      <c r="E404" s="33" t="n"/>
      <c r="F404" s="18">
        <f>IF(B404="","",COUNTIFS(Orders!$C$6:$C$1005,B404,Orders!$L$6:$L$1005,"&lt;&gt;Cancelled"))</f>
        <v/>
      </c>
      <c r="G404" s="22">
        <f>IF(B404="","",SUMIFS(Orders!$H$6:$H$1005,Orders!$C$6:$C$1005,B404,Orders!$L$6:$L$1005,"&lt;&gt;Cancelled"))</f>
        <v/>
      </c>
      <c r="H404" s="43">
        <f>IF(B404="","",IF(SUMIFS(Orders!$U$6:$U$1005,Orders!$C$6:$C$1005,B404,Orders!$V$6:$V$1005,1)=0,"",INT(SUMIFS(Orders!$U$6:$U$1005,Orders!$C$6:$C$1005,B404,Orders!$V$6:$V$1005,1))))</f>
        <v/>
      </c>
      <c r="I404" s="30">
        <f>IF(B404="","",IF(SUMIFS(Orders!$J$6:$J$1005,Orders!$C$6:$C$1005,B404)=0,"",SUMIFS(Orders!$J$6:$J$1005,Orders!$C$6:$C$1005,B404)))</f>
        <v/>
      </c>
      <c r="J404" s="1" t="n"/>
    </row>
    <row r="405">
      <c r="A405" s="1" t="n"/>
      <c r="B405" s="32" t="n"/>
      <c r="C405" s="33" t="n"/>
      <c r="D405" s="33" t="n"/>
      <c r="E405" s="33" t="n"/>
      <c r="F405" s="18">
        <f>IF(B405="","",COUNTIFS(Orders!$C$6:$C$1005,B405,Orders!$L$6:$L$1005,"&lt;&gt;Cancelled"))</f>
        <v/>
      </c>
      <c r="G405" s="22">
        <f>IF(B405="","",SUMIFS(Orders!$H$6:$H$1005,Orders!$C$6:$C$1005,B405,Orders!$L$6:$L$1005,"&lt;&gt;Cancelled"))</f>
        <v/>
      </c>
      <c r="H405" s="43">
        <f>IF(B405="","",IF(SUMIFS(Orders!$U$6:$U$1005,Orders!$C$6:$C$1005,B405,Orders!$V$6:$V$1005,1)=0,"",INT(SUMIFS(Orders!$U$6:$U$1005,Orders!$C$6:$C$1005,B405,Orders!$V$6:$V$1005,1))))</f>
        <v/>
      </c>
      <c r="I405" s="30">
        <f>IF(B405="","",IF(SUMIFS(Orders!$J$6:$J$1005,Orders!$C$6:$C$1005,B405)=0,"",SUMIFS(Orders!$J$6:$J$1005,Orders!$C$6:$C$1005,B405)))</f>
        <v/>
      </c>
      <c r="J405" s="1" t="n"/>
    </row>
    <row r="406">
      <c r="A406" s="1" t="n"/>
      <c r="B406" s="32" t="n"/>
      <c r="C406" s="33" t="n"/>
      <c r="D406" s="33" t="n"/>
      <c r="E406" s="33" t="n"/>
      <c r="F406" s="18">
        <f>IF(B406="","",COUNTIFS(Orders!$C$6:$C$1005,B406,Orders!$L$6:$L$1005,"&lt;&gt;Cancelled"))</f>
        <v/>
      </c>
      <c r="G406" s="22">
        <f>IF(B406="","",SUMIFS(Orders!$H$6:$H$1005,Orders!$C$6:$C$1005,B406,Orders!$L$6:$L$1005,"&lt;&gt;Cancelled"))</f>
        <v/>
      </c>
      <c r="H406" s="43">
        <f>IF(B406="","",IF(SUMIFS(Orders!$U$6:$U$1005,Orders!$C$6:$C$1005,B406,Orders!$V$6:$V$1005,1)=0,"",INT(SUMIFS(Orders!$U$6:$U$1005,Orders!$C$6:$C$1005,B406,Orders!$V$6:$V$1005,1))))</f>
        <v/>
      </c>
      <c r="I406" s="30">
        <f>IF(B406="","",IF(SUMIFS(Orders!$J$6:$J$1005,Orders!$C$6:$C$1005,B406)=0,"",SUMIFS(Orders!$J$6:$J$1005,Orders!$C$6:$C$1005,B406)))</f>
        <v/>
      </c>
      <c r="J406" s="1" t="n"/>
    </row>
    <row r="407">
      <c r="A407" s="1" t="n"/>
      <c r="B407" s="32" t="n"/>
      <c r="C407" s="33" t="n"/>
      <c r="D407" s="33" t="n"/>
      <c r="E407" s="33" t="n"/>
      <c r="F407" s="18">
        <f>IF(B407="","",COUNTIFS(Orders!$C$6:$C$1005,B407,Orders!$L$6:$L$1005,"&lt;&gt;Cancelled"))</f>
        <v/>
      </c>
      <c r="G407" s="22">
        <f>IF(B407="","",SUMIFS(Orders!$H$6:$H$1005,Orders!$C$6:$C$1005,B407,Orders!$L$6:$L$1005,"&lt;&gt;Cancelled"))</f>
        <v/>
      </c>
      <c r="H407" s="43">
        <f>IF(B407="","",IF(SUMIFS(Orders!$U$6:$U$1005,Orders!$C$6:$C$1005,B407,Orders!$V$6:$V$1005,1)=0,"",INT(SUMIFS(Orders!$U$6:$U$1005,Orders!$C$6:$C$1005,B407,Orders!$V$6:$V$1005,1))))</f>
        <v/>
      </c>
      <c r="I407" s="30">
        <f>IF(B407="","",IF(SUMIFS(Orders!$J$6:$J$1005,Orders!$C$6:$C$1005,B407)=0,"",SUMIFS(Orders!$J$6:$J$1005,Orders!$C$6:$C$1005,B407)))</f>
        <v/>
      </c>
      <c r="J407" s="1" t="n"/>
    </row>
    <row r="408">
      <c r="A408" s="1" t="n"/>
      <c r="B408" s="32" t="n"/>
      <c r="C408" s="33" t="n"/>
      <c r="D408" s="33" t="n"/>
      <c r="E408" s="33" t="n"/>
      <c r="F408" s="18">
        <f>IF(B408="","",COUNTIFS(Orders!$C$6:$C$1005,B408,Orders!$L$6:$L$1005,"&lt;&gt;Cancelled"))</f>
        <v/>
      </c>
      <c r="G408" s="22">
        <f>IF(B408="","",SUMIFS(Orders!$H$6:$H$1005,Orders!$C$6:$C$1005,B408,Orders!$L$6:$L$1005,"&lt;&gt;Cancelled"))</f>
        <v/>
      </c>
      <c r="H408" s="43">
        <f>IF(B408="","",IF(SUMIFS(Orders!$U$6:$U$1005,Orders!$C$6:$C$1005,B408,Orders!$V$6:$V$1005,1)=0,"",INT(SUMIFS(Orders!$U$6:$U$1005,Orders!$C$6:$C$1005,B408,Orders!$V$6:$V$1005,1))))</f>
        <v/>
      </c>
      <c r="I408" s="30">
        <f>IF(B408="","",IF(SUMIFS(Orders!$J$6:$J$1005,Orders!$C$6:$C$1005,B408)=0,"",SUMIFS(Orders!$J$6:$J$1005,Orders!$C$6:$C$1005,B408)))</f>
        <v/>
      </c>
      <c r="J408" s="1" t="n"/>
    </row>
    <row r="409">
      <c r="A409" s="1" t="n"/>
      <c r="B409" s="32" t="n"/>
      <c r="C409" s="33" t="n"/>
      <c r="D409" s="33" t="n"/>
      <c r="E409" s="33" t="n"/>
      <c r="F409" s="18">
        <f>IF(B409="","",COUNTIFS(Orders!$C$6:$C$1005,B409,Orders!$L$6:$L$1005,"&lt;&gt;Cancelled"))</f>
        <v/>
      </c>
      <c r="G409" s="22">
        <f>IF(B409="","",SUMIFS(Orders!$H$6:$H$1005,Orders!$C$6:$C$1005,B409,Orders!$L$6:$L$1005,"&lt;&gt;Cancelled"))</f>
        <v/>
      </c>
      <c r="H409" s="43">
        <f>IF(B409="","",IF(SUMIFS(Orders!$U$6:$U$1005,Orders!$C$6:$C$1005,B409,Orders!$V$6:$V$1005,1)=0,"",INT(SUMIFS(Orders!$U$6:$U$1005,Orders!$C$6:$C$1005,B409,Orders!$V$6:$V$1005,1))))</f>
        <v/>
      </c>
      <c r="I409" s="30">
        <f>IF(B409="","",IF(SUMIFS(Orders!$J$6:$J$1005,Orders!$C$6:$C$1005,B409)=0,"",SUMIFS(Orders!$J$6:$J$1005,Orders!$C$6:$C$1005,B409)))</f>
        <v/>
      </c>
      <c r="J409" s="1" t="n"/>
    </row>
    <row r="410">
      <c r="A410" s="1" t="n"/>
      <c r="B410" s="32" t="n"/>
      <c r="C410" s="33" t="n"/>
      <c r="D410" s="33" t="n"/>
      <c r="E410" s="33" t="n"/>
      <c r="F410" s="18">
        <f>IF(B410="","",COUNTIFS(Orders!$C$6:$C$1005,B410,Orders!$L$6:$L$1005,"&lt;&gt;Cancelled"))</f>
        <v/>
      </c>
      <c r="G410" s="22">
        <f>IF(B410="","",SUMIFS(Orders!$H$6:$H$1005,Orders!$C$6:$C$1005,B410,Orders!$L$6:$L$1005,"&lt;&gt;Cancelled"))</f>
        <v/>
      </c>
      <c r="H410" s="43">
        <f>IF(B410="","",IF(SUMIFS(Orders!$U$6:$U$1005,Orders!$C$6:$C$1005,B410,Orders!$V$6:$V$1005,1)=0,"",INT(SUMIFS(Orders!$U$6:$U$1005,Orders!$C$6:$C$1005,B410,Orders!$V$6:$V$1005,1))))</f>
        <v/>
      </c>
      <c r="I410" s="30">
        <f>IF(B410="","",IF(SUMIFS(Orders!$J$6:$J$1005,Orders!$C$6:$C$1005,B410)=0,"",SUMIFS(Orders!$J$6:$J$1005,Orders!$C$6:$C$1005,B410)))</f>
        <v/>
      </c>
      <c r="J410" s="1" t="n"/>
    </row>
    <row r="411">
      <c r="A411" s="1" t="n"/>
      <c r="B411" s="32" t="n"/>
      <c r="C411" s="33" t="n"/>
      <c r="D411" s="33" t="n"/>
      <c r="E411" s="33" t="n"/>
      <c r="F411" s="18">
        <f>IF(B411="","",COUNTIFS(Orders!$C$6:$C$1005,B411,Orders!$L$6:$L$1005,"&lt;&gt;Cancelled"))</f>
        <v/>
      </c>
      <c r="G411" s="22">
        <f>IF(B411="","",SUMIFS(Orders!$H$6:$H$1005,Orders!$C$6:$C$1005,B411,Orders!$L$6:$L$1005,"&lt;&gt;Cancelled"))</f>
        <v/>
      </c>
      <c r="H411" s="43">
        <f>IF(B411="","",IF(SUMIFS(Orders!$U$6:$U$1005,Orders!$C$6:$C$1005,B411,Orders!$V$6:$V$1005,1)=0,"",INT(SUMIFS(Orders!$U$6:$U$1005,Orders!$C$6:$C$1005,B411,Orders!$V$6:$V$1005,1))))</f>
        <v/>
      </c>
      <c r="I411" s="30">
        <f>IF(B411="","",IF(SUMIFS(Orders!$J$6:$J$1005,Orders!$C$6:$C$1005,B411)=0,"",SUMIFS(Orders!$J$6:$J$1005,Orders!$C$6:$C$1005,B411)))</f>
        <v/>
      </c>
      <c r="J411" s="1" t="n"/>
    </row>
    <row r="412">
      <c r="A412" s="1" t="n"/>
      <c r="B412" s="32" t="n"/>
      <c r="C412" s="33" t="n"/>
      <c r="D412" s="33" t="n"/>
      <c r="E412" s="33" t="n"/>
      <c r="F412" s="18">
        <f>IF(B412="","",COUNTIFS(Orders!$C$6:$C$1005,B412,Orders!$L$6:$L$1005,"&lt;&gt;Cancelled"))</f>
        <v/>
      </c>
      <c r="G412" s="22">
        <f>IF(B412="","",SUMIFS(Orders!$H$6:$H$1005,Orders!$C$6:$C$1005,B412,Orders!$L$6:$L$1005,"&lt;&gt;Cancelled"))</f>
        <v/>
      </c>
      <c r="H412" s="43">
        <f>IF(B412="","",IF(SUMIFS(Orders!$U$6:$U$1005,Orders!$C$6:$C$1005,B412,Orders!$V$6:$V$1005,1)=0,"",INT(SUMIFS(Orders!$U$6:$U$1005,Orders!$C$6:$C$1005,B412,Orders!$V$6:$V$1005,1))))</f>
        <v/>
      </c>
      <c r="I412" s="30">
        <f>IF(B412="","",IF(SUMIFS(Orders!$J$6:$J$1005,Orders!$C$6:$C$1005,B412)=0,"",SUMIFS(Orders!$J$6:$J$1005,Orders!$C$6:$C$1005,B412)))</f>
        <v/>
      </c>
      <c r="J412" s="1" t="n"/>
    </row>
    <row r="413">
      <c r="A413" s="1" t="n"/>
      <c r="B413" s="32" t="n"/>
      <c r="C413" s="33" t="n"/>
      <c r="D413" s="33" t="n"/>
      <c r="E413" s="33" t="n"/>
      <c r="F413" s="18">
        <f>IF(B413="","",COUNTIFS(Orders!$C$6:$C$1005,B413,Orders!$L$6:$L$1005,"&lt;&gt;Cancelled"))</f>
        <v/>
      </c>
      <c r="G413" s="22">
        <f>IF(B413="","",SUMIFS(Orders!$H$6:$H$1005,Orders!$C$6:$C$1005,B413,Orders!$L$6:$L$1005,"&lt;&gt;Cancelled"))</f>
        <v/>
      </c>
      <c r="H413" s="43">
        <f>IF(B413="","",IF(SUMIFS(Orders!$U$6:$U$1005,Orders!$C$6:$C$1005,B413,Orders!$V$6:$V$1005,1)=0,"",INT(SUMIFS(Orders!$U$6:$U$1005,Orders!$C$6:$C$1005,B413,Orders!$V$6:$V$1005,1))))</f>
        <v/>
      </c>
      <c r="I413" s="30">
        <f>IF(B413="","",IF(SUMIFS(Orders!$J$6:$J$1005,Orders!$C$6:$C$1005,B413)=0,"",SUMIFS(Orders!$J$6:$J$1005,Orders!$C$6:$C$1005,B413)))</f>
        <v/>
      </c>
      <c r="J413" s="1" t="n"/>
    </row>
    <row r="414">
      <c r="A414" s="1" t="n"/>
      <c r="B414" s="32" t="n"/>
      <c r="C414" s="33" t="n"/>
      <c r="D414" s="33" t="n"/>
      <c r="E414" s="33" t="n"/>
      <c r="F414" s="18">
        <f>IF(B414="","",COUNTIFS(Orders!$C$6:$C$1005,B414,Orders!$L$6:$L$1005,"&lt;&gt;Cancelled"))</f>
        <v/>
      </c>
      <c r="G414" s="22">
        <f>IF(B414="","",SUMIFS(Orders!$H$6:$H$1005,Orders!$C$6:$C$1005,B414,Orders!$L$6:$L$1005,"&lt;&gt;Cancelled"))</f>
        <v/>
      </c>
      <c r="H414" s="43">
        <f>IF(B414="","",IF(SUMIFS(Orders!$U$6:$U$1005,Orders!$C$6:$C$1005,B414,Orders!$V$6:$V$1005,1)=0,"",INT(SUMIFS(Orders!$U$6:$U$1005,Orders!$C$6:$C$1005,B414,Orders!$V$6:$V$1005,1))))</f>
        <v/>
      </c>
      <c r="I414" s="30">
        <f>IF(B414="","",IF(SUMIFS(Orders!$J$6:$J$1005,Orders!$C$6:$C$1005,B414)=0,"",SUMIFS(Orders!$J$6:$J$1005,Orders!$C$6:$C$1005,B414)))</f>
        <v/>
      </c>
      <c r="J414" s="1" t="n"/>
    </row>
    <row r="415">
      <c r="A415" s="1" t="n"/>
      <c r="B415" s="32" t="n"/>
      <c r="C415" s="33" t="n"/>
      <c r="D415" s="33" t="n"/>
      <c r="E415" s="33" t="n"/>
      <c r="F415" s="18">
        <f>IF(B415="","",COUNTIFS(Orders!$C$6:$C$1005,B415,Orders!$L$6:$L$1005,"&lt;&gt;Cancelled"))</f>
        <v/>
      </c>
      <c r="G415" s="22">
        <f>IF(B415="","",SUMIFS(Orders!$H$6:$H$1005,Orders!$C$6:$C$1005,B415,Orders!$L$6:$L$1005,"&lt;&gt;Cancelled"))</f>
        <v/>
      </c>
      <c r="H415" s="43">
        <f>IF(B415="","",IF(SUMIFS(Orders!$U$6:$U$1005,Orders!$C$6:$C$1005,B415,Orders!$V$6:$V$1005,1)=0,"",INT(SUMIFS(Orders!$U$6:$U$1005,Orders!$C$6:$C$1005,B415,Orders!$V$6:$V$1005,1))))</f>
        <v/>
      </c>
      <c r="I415" s="30">
        <f>IF(B415="","",IF(SUMIFS(Orders!$J$6:$J$1005,Orders!$C$6:$C$1005,B415)=0,"",SUMIFS(Orders!$J$6:$J$1005,Orders!$C$6:$C$1005,B415)))</f>
        <v/>
      </c>
      <c r="J415" s="1" t="n"/>
    </row>
    <row r="416">
      <c r="A416" s="1" t="n"/>
      <c r="B416" s="32" t="n"/>
      <c r="C416" s="33" t="n"/>
      <c r="D416" s="33" t="n"/>
      <c r="E416" s="33" t="n"/>
      <c r="F416" s="18">
        <f>IF(B416="","",COUNTIFS(Orders!$C$6:$C$1005,B416,Orders!$L$6:$L$1005,"&lt;&gt;Cancelled"))</f>
        <v/>
      </c>
      <c r="G416" s="22">
        <f>IF(B416="","",SUMIFS(Orders!$H$6:$H$1005,Orders!$C$6:$C$1005,B416,Orders!$L$6:$L$1005,"&lt;&gt;Cancelled"))</f>
        <v/>
      </c>
      <c r="H416" s="43">
        <f>IF(B416="","",IF(SUMIFS(Orders!$U$6:$U$1005,Orders!$C$6:$C$1005,B416,Orders!$V$6:$V$1005,1)=0,"",INT(SUMIFS(Orders!$U$6:$U$1005,Orders!$C$6:$C$1005,B416,Orders!$V$6:$V$1005,1))))</f>
        <v/>
      </c>
      <c r="I416" s="30">
        <f>IF(B416="","",IF(SUMIFS(Orders!$J$6:$J$1005,Orders!$C$6:$C$1005,B416)=0,"",SUMIFS(Orders!$J$6:$J$1005,Orders!$C$6:$C$1005,B416)))</f>
        <v/>
      </c>
      <c r="J416" s="1" t="n"/>
    </row>
    <row r="417">
      <c r="A417" s="1" t="n"/>
      <c r="B417" s="32" t="n"/>
      <c r="C417" s="33" t="n"/>
      <c r="D417" s="33" t="n"/>
      <c r="E417" s="33" t="n"/>
      <c r="F417" s="18">
        <f>IF(B417="","",COUNTIFS(Orders!$C$6:$C$1005,B417,Orders!$L$6:$L$1005,"&lt;&gt;Cancelled"))</f>
        <v/>
      </c>
      <c r="G417" s="22">
        <f>IF(B417="","",SUMIFS(Orders!$H$6:$H$1005,Orders!$C$6:$C$1005,B417,Orders!$L$6:$L$1005,"&lt;&gt;Cancelled"))</f>
        <v/>
      </c>
      <c r="H417" s="43">
        <f>IF(B417="","",IF(SUMIFS(Orders!$U$6:$U$1005,Orders!$C$6:$C$1005,B417,Orders!$V$6:$V$1005,1)=0,"",INT(SUMIFS(Orders!$U$6:$U$1005,Orders!$C$6:$C$1005,B417,Orders!$V$6:$V$1005,1))))</f>
        <v/>
      </c>
      <c r="I417" s="30">
        <f>IF(B417="","",IF(SUMIFS(Orders!$J$6:$J$1005,Orders!$C$6:$C$1005,B417)=0,"",SUMIFS(Orders!$J$6:$J$1005,Orders!$C$6:$C$1005,B417)))</f>
        <v/>
      </c>
      <c r="J417" s="1" t="n"/>
    </row>
    <row r="418">
      <c r="A418" s="1" t="n"/>
      <c r="B418" s="32" t="n"/>
      <c r="C418" s="33" t="n"/>
      <c r="D418" s="33" t="n"/>
      <c r="E418" s="33" t="n"/>
      <c r="F418" s="18">
        <f>IF(B418="","",COUNTIFS(Orders!$C$6:$C$1005,B418,Orders!$L$6:$L$1005,"&lt;&gt;Cancelled"))</f>
        <v/>
      </c>
      <c r="G418" s="22">
        <f>IF(B418="","",SUMIFS(Orders!$H$6:$H$1005,Orders!$C$6:$C$1005,B418,Orders!$L$6:$L$1005,"&lt;&gt;Cancelled"))</f>
        <v/>
      </c>
      <c r="H418" s="43">
        <f>IF(B418="","",IF(SUMIFS(Orders!$U$6:$U$1005,Orders!$C$6:$C$1005,B418,Orders!$V$6:$V$1005,1)=0,"",INT(SUMIFS(Orders!$U$6:$U$1005,Orders!$C$6:$C$1005,B418,Orders!$V$6:$V$1005,1))))</f>
        <v/>
      </c>
      <c r="I418" s="30">
        <f>IF(B418="","",IF(SUMIFS(Orders!$J$6:$J$1005,Orders!$C$6:$C$1005,B418)=0,"",SUMIFS(Orders!$J$6:$J$1005,Orders!$C$6:$C$1005,B418)))</f>
        <v/>
      </c>
      <c r="J418" s="1" t="n"/>
    </row>
    <row r="419">
      <c r="A419" s="1" t="n"/>
      <c r="B419" s="32" t="n"/>
      <c r="C419" s="33" t="n"/>
      <c r="D419" s="33" t="n"/>
      <c r="E419" s="33" t="n"/>
      <c r="F419" s="18">
        <f>IF(B419="","",COUNTIFS(Orders!$C$6:$C$1005,B419,Orders!$L$6:$L$1005,"&lt;&gt;Cancelled"))</f>
        <v/>
      </c>
      <c r="G419" s="22">
        <f>IF(B419="","",SUMIFS(Orders!$H$6:$H$1005,Orders!$C$6:$C$1005,B419,Orders!$L$6:$L$1005,"&lt;&gt;Cancelled"))</f>
        <v/>
      </c>
      <c r="H419" s="43">
        <f>IF(B419="","",IF(SUMIFS(Orders!$U$6:$U$1005,Orders!$C$6:$C$1005,B419,Orders!$V$6:$V$1005,1)=0,"",INT(SUMIFS(Orders!$U$6:$U$1005,Orders!$C$6:$C$1005,B419,Orders!$V$6:$V$1005,1))))</f>
        <v/>
      </c>
      <c r="I419" s="30">
        <f>IF(B419="","",IF(SUMIFS(Orders!$J$6:$J$1005,Orders!$C$6:$C$1005,B419)=0,"",SUMIFS(Orders!$J$6:$J$1005,Orders!$C$6:$C$1005,B419)))</f>
        <v/>
      </c>
      <c r="J419" s="1" t="n"/>
    </row>
    <row r="420">
      <c r="A420" s="1" t="n"/>
      <c r="B420" s="32" t="n"/>
      <c r="C420" s="33" t="n"/>
      <c r="D420" s="33" t="n"/>
      <c r="E420" s="33" t="n"/>
      <c r="F420" s="18">
        <f>IF(B420="","",COUNTIFS(Orders!$C$6:$C$1005,B420,Orders!$L$6:$L$1005,"&lt;&gt;Cancelled"))</f>
        <v/>
      </c>
      <c r="G420" s="22">
        <f>IF(B420="","",SUMIFS(Orders!$H$6:$H$1005,Orders!$C$6:$C$1005,B420,Orders!$L$6:$L$1005,"&lt;&gt;Cancelled"))</f>
        <v/>
      </c>
      <c r="H420" s="43">
        <f>IF(B420="","",IF(SUMIFS(Orders!$U$6:$U$1005,Orders!$C$6:$C$1005,B420,Orders!$V$6:$V$1005,1)=0,"",INT(SUMIFS(Orders!$U$6:$U$1005,Orders!$C$6:$C$1005,B420,Orders!$V$6:$V$1005,1))))</f>
        <v/>
      </c>
      <c r="I420" s="30">
        <f>IF(B420="","",IF(SUMIFS(Orders!$J$6:$J$1005,Orders!$C$6:$C$1005,B420)=0,"",SUMIFS(Orders!$J$6:$J$1005,Orders!$C$6:$C$1005,B420)))</f>
        <v/>
      </c>
      <c r="J420" s="1" t="n"/>
    </row>
    <row r="421">
      <c r="A421" s="1" t="n"/>
      <c r="B421" s="32" t="n"/>
      <c r="C421" s="33" t="n"/>
      <c r="D421" s="33" t="n"/>
      <c r="E421" s="33" t="n"/>
      <c r="F421" s="18">
        <f>IF(B421="","",COUNTIFS(Orders!$C$6:$C$1005,B421,Orders!$L$6:$L$1005,"&lt;&gt;Cancelled"))</f>
        <v/>
      </c>
      <c r="G421" s="22">
        <f>IF(B421="","",SUMIFS(Orders!$H$6:$H$1005,Orders!$C$6:$C$1005,B421,Orders!$L$6:$L$1005,"&lt;&gt;Cancelled"))</f>
        <v/>
      </c>
      <c r="H421" s="43">
        <f>IF(B421="","",IF(SUMIFS(Orders!$U$6:$U$1005,Orders!$C$6:$C$1005,B421,Orders!$V$6:$V$1005,1)=0,"",INT(SUMIFS(Orders!$U$6:$U$1005,Orders!$C$6:$C$1005,B421,Orders!$V$6:$V$1005,1))))</f>
        <v/>
      </c>
      <c r="I421" s="30">
        <f>IF(B421="","",IF(SUMIFS(Orders!$J$6:$J$1005,Orders!$C$6:$C$1005,B421)=0,"",SUMIFS(Orders!$J$6:$J$1005,Orders!$C$6:$C$1005,B421)))</f>
        <v/>
      </c>
      <c r="J421" s="1" t="n"/>
    </row>
    <row r="422">
      <c r="A422" s="1" t="n"/>
      <c r="B422" s="32" t="n"/>
      <c r="C422" s="33" t="n"/>
      <c r="D422" s="33" t="n"/>
      <c r="E422" s="33" t="n"/>
      <c r="F422" s="18">
        <f>IF(B422="","",COUNTIFS(Orders!$C$6:$C$1005,B422,Orders!$L$6:$L$1005,"&lt;&gt;Cancelled"))</f>
        <v/>
      </c>
      <c r="G422" s="22">
        <f>IF(B422="","",SUMIFS(Orders!$H$6:$H$1005,Orders!$C$6:$C$1005,B422,Orders!$L$6:$L$1005,"&lt;&gt;Cancelled"))</f>
        <v/>
      </c>
      <c r="H422" s="43">
        <f>IF(B422="","",IF(SUMIFS(Orders!$U$6:$U$1005,Orders!$C$6:$C$1005,B422,Orders!$V$6:$V$1005,1)=0,"",INT(SUMIFS(Orders!$U$6:$U$1005,Orders!$C$6:$C$1005,B422,Orders!$V$6:$V$1005,1))))</f>
        <v/>
      </c>
      <c r="I422" s="30">
        <f>IF(B422="","",IF(SUMIFS(Orders!$J$6:$J$1005,Orders!$C$6:$C$1005,B422)=0,"",SUMIFS(Orders!$J$6:$J$1005,Orders!$C$6:$C$1005,B422)))</f>
        <v/>
      </c>
      <c r="J422" s="1" t="n"/>
    </row>
    <row r="423">
      <c r="A423" s="1" t="n"/>
      <c r="B423" s="32" t="n"/>
      <c r="C423" s="33" t="n"/>
      <c r="D423" s="33" t="n"/>
      <c r="E423" s="33" t="n"/>
      <c r="F423" s="18">
        <f>IF(B423="","",COUNTIFS(Orders!$C$6:$C$1005,B423,Orders!$L$6:$L$1005,"&lt;&gt;Cancelled"))</f>
        <v/>
      </c>
      <c r="G423" s="22">
        <f>IF(B423="","",SUMIFS(Orders!$H$6:$H$1005,Orders!$C$6:$C$1005,B423,Orders!$L$6:$L$1005,"&lt;&gt;Cancelled"))</f>
        <v/>
      </c>
      <c r="H423" s="43">
        <f>IF(B423="","",IF(SUMIFS(Orders!$U$6:$U$1005,Orders!$C$6:$C$1005,B423,Orders!$V$6:$V$1005,1)=0,"",INT(SUMIFS(Orders!$U$6:$U$1005,Orders!$C$6:$C$1005,B423,Orders!$V$6:$V$1005,1))))</f>
        <v/>
      </c>
      <c r="I423" s="30">
        <f>IF(B423="","",IF(SUMIFS(Orders!$J$6:$J$1005,Orders!$C$6:$C$1005,B423)=0,"",SUMIFS(Orders!$J$6:$J$1005,Orders!$C$6:$C$1005,B423)))</f>
        <v/>
      </c>
      <c r="J423" s="1" t="n"/>
    </row>
    <row r="424">
      <c r="A424" s="1" t="n"/>
      <c r="B424" s="32" t="n"/>
      <c r="C424" s="33" t="n"/>
      <c r="D424" s="33" t="n"/>
      <c r="E424" s="33" t="n"/>
      <c r="F424" s="18">
        <f>IF(B424="","",COUNTIFS(Orders!$C$6:$C$1005,B424,Orders!$L$6:$L$1005,"&lt;&gt;Cancelled"))</f>
        <v/>
      </c>
      <c r="G424" s="22">
        <f>IF(B424="","",SUMIFS(Orders!$H$6:$H$1005,Orders!$C$6:$C$1005,B424,Orders!$L$6:$L$1005,"&lt;&gt;Cancelled"))</f>
        <v/>
      </c>
      <c r="H424" s="43">
        <f>IF(B424="","",IF(SUMIFS(Orders!$U$6:$U$1005,Orders!$C$6:$C$1005,B424,Orders!$V$6:$V$1005,1)=0,"",INT(SUMIFS(Orders!$U$6:$U$1005,Orders!$C$6:$C$1005,B424,Orders!$V$6:$V$1005,1))))</f>
        <v/>
      </c>
      <c r="I424" s="30">
        <f>IF(B424="","",IF(SUMIFS(Orders!$J$6:$J$1005,Orders!$C$6:$C$1005,B424)=0,"",SUMIFS(Orders!$J$6:$J$1005,Orders!$C$6:$C$1005,B424)))</f>
        <v/>
      </c>
      <c r="J424" s="1" t="n"/>
    </row>
    <row r="425">
      <c r="A425" s="1" t="n"/>
      <c r="B425" s="32" t="n"/>
      <c r="C425" s="33" t="n"/>
      <c r="D425" s="33" t="n"/>
      <c r="E425" s="33" t="n"/>
      <c r="F425" s="18">
        <f>IF(B425="","",COUNTIFS(Orders!$C$6:$C$1005,B425,Orders!$L$6:$L$1005,"&lt;&gt;Cancelled"))</f>
        <v/>
      </c>
      <c r="G425" s="22">
        <f>IF(B425="","",SUMIFS(Orders!$H$6:$H$1005,Orders!$C$6:$C$1005,B425,Orders!$L$6:$L$1005,"&lt;&gt;Cancelled"))</f>
        <v/>
      </c>
      <c r="H425" s="43">
        <f>IF(B425="","",IF(SUMIFS(Orders!$U$6:$U$1005,Orders!$C$6:$C$1005,B425,Orders!$V$6:$V$1005,1)=0,"",INT(SUMIFS(Orders!$U$6:$U$1005,Orders!$C$6:$C$1005,B425,Orders!$V$6:$V$1005,1))))</f>
        <v/>
      </c>
      <c r="I425" s="30">
        <f>IF(B425="","",IF(SUMIFS(Orders!$J$6:$J$1005,Orders!$C$6:$C$1005,B425)=0,"",SUMIFS(Orders!$J$6:$J$1005,Orders!$C$6:$C$1005,B425)))</f>
        <v/>
      </c>
      <c r="J425" s="1" t="n"/>
    </row>
    <row r="426">
      <c r="A426" s="1" t="n"/>
      <c r="B426" s="32" t="n"/>
      <c r="C426" s="33" t="n"/>
      <c r="D426" s="33" t="n"/>
      <c r="E426" s="33" t="n"/>
      <c r="F426" s="18">
        <f>IF(B426="","",COUNTIFS(Orders!$C$6:$C$1005,B426,Orders!$L$6:$L$1005,"&lt;&gt;Cancelled"))</f>
        <v/>
      </c>
      <c r="G426" s="22">
        <f>IF(B426="","",SUMIFS(Orders!$H$6:$H$1005,Orders!$C$6:$C$1005,B426,Orders!$L$6:$L$1005,"&lt;&gt;Cancelled"))</f>
        <v/>
      </c>
      <c r="H426" s="43">
        <f>IF(B426="","",IF(SUMIFS(Orders!$U$6:$U$1005,Orders!$C$6:$C$1005,B426,Orders!$V$6:$V$1005,1)=0,"",INT(SUMIFS(Orders!$U$6:$U$1005,Orders!$C$6:$C$1005,B426,Orders!$V$6:$V$1005,1))))</f>
        <v/>
      </c>
      <c r="I426" s="30">
        <f>IF(B426="","",IF(SUMIFS(Orders!$J$6:$J$1005,Orders!$C$6:$C$1005,B426)=0,"",SUMIFS(Orders!$J$6:$J$1005,Orders!$C$6:$C$1005,B426)))</f>
        <v/>
      </c>
      <c r="J426" s="1" t="n"/>
    </row>
    <row r="427">
      <c r="A427" s="1" t="n"/>
      <c r="B427" s="32" t="n"/>
      <c r="C427" s="33" t="n"/>
      <c r="D427" s="33" t="n"/>
      <c r="E427" s="33" t="n"/>
      <c r="F427" s="18">
        <f>IF(B427="","",COUNTIFS(Orders!$C$6:$C$1005,B427,Orders!$L$6:$L$1005,"&lt;&gt;Cancelled"))</f>
        <v/>
      </c>
      <c r="G427" s="22">
        <f>IF(B427="","",SUMIFS(Orders!$H$6:$H$1005,Orders!$C$6:$C$1005,B427,Orders!$L$6:$L$1005,"&lt;&gt;Cancelled"))</f>
        <v/>
      </c>
      <c r="H427" s="43">
        <f>IF(B427="","",IF(SUMIFS(Orders!$U$6:$U$1005,Orders!$C$6:$C$1005,B427,Orders!$V$6:$V$1005,1)=0,"",INT(SUMIFS(Orders!$U$6:$U$1005,Orders!$C$6:$C$1005,B427,Orders!$V$6:$V$1005,1))))</f>
        <v/>
      </c>
      <c r="I427" s="30">
        <f>IF(B427="","",IF(SUMIFS(Orders!$J$6:$J$1005,Orders!$C$6:$C$1005,B427)=0,"",SUMIFS(Orders!$J$6:$J$1005,Orders!$C$6:$C$1005,B427)))</f>
        <v/>
      </c>
      <c r="J427" s="1" t="n"/>
    </row>
    <row r="428">
      <c r="A428" s="1" t="n"/>
      <c r="B428" s="32" t="n"/>
      <c r="C428" s="33" t="n"/>
      <c r="D428" s="33" t="n"/>
      <c r="E428" s="33" t="n"/>
      <c r="F428" s="18">
        <f>IF(B428="","",COUNTIFS(Orders!$C$6:$C$1005,B428,Orders!$L$6:$L$1005,"&lt;&gt;Cancelled"))</f>
        <v/>
      </c>
      <c r="G428" s="22">
        <f>IF(B428="","",SUMIFS(Orders!$H$6:$H$1005,Orders!$C$6:$C$1005,B428,Orders!$L$6:$L$1005,"&lt;&gt;Cancelled"))</f>
        <v/>
      </c>
      <c r="H428" s="43">
        <f>IF(B428="","",IF(SUMIFS(Orders!$U$6:$U$1005,Orders!$C$6:$C$1005,B428,Orders!$V$6:$V$1005,1)=0,"",INT(SUMIFS(Orders!$U$6:$U$1005,Orders!$C$6:$C$1005,B428,Orders!$V$6:$V$1005,1))))</f>
        <v/>
      </c>
      <c r="I428" s="30">
        <f>IF(B428="","",IF(SUMIFS(Orders!$J$6:$J$1005,Orders!$C$6:$C$1005,B428)=0,"",SUMIFS(Orders!$J$6:$J$1005,Orders!$C$6:$C$1005,B428)))</f>
        <v/>
      </c>
      <c r="J428" s="1" t="n"/>
    </row>
    <row r="429">
      <c r="A429" s="1" t="n"/>
      <c r="B429" s="32" t="n"/>
      <c r="C429" s="33" t="n"/>
      <c r="D429" s="33" t="n"/>
      <c r="E429" s="33" t="n"/>
      <c r="F429" s="18">
        <f>IF(B429="","",COUNTIFS(Orders!$C$6:$C$1005,B429,Orders!$L$6:$L$1005,"&lt;&gt;Cancelled"))</f>
        <v/>
      </c>
      <c r="G429" s="22">
        <f>IF(B429="","",SUMIFS(Orders!$H$6:$H$1005,Orders!$C$6:$C$1005,B429,Orders!$L$6:$L$1005,"&lt;&gt;Cancelled"))</f>
        <v/>
      </c>
      <c r="H429" s="43">
        <f>IF(B429="","",IF(SUMIFS(Orders!$U$6:$U$1005,Orders!$C$6:$C$1005,B429,Orders!$V$6:$V$1005,1)=0,"",INT(SUMIFS(Orders!$U$6:$U$1005,Orders!$C$6:$C$1005,B429,Orders!$V$6:$V$1005,1))))</f>
        <v/>
      </c>
      <c r="I429" s="30">
        <f>IF(B429="","",IF(SUMIFS(Orders!$J$6:$J$1005,Orders!$C$6:$C$1005,B429)=0,"",SUMIFS(Orders!$J$6:$J$1005,Orders!$C$6:$C$1005,B429)))</f>
        <v/>
      </c>
      <c r="J429" s="1" t="n"/>
    </row>
    <row r="430">
      <c r="A430" s="1" t="n"/>
      <c r="B430" s="32" t="n"/>
      <c r="C430" s="33" t="n"/>
      <c r="D430" s="33" t="n"/>
      <c r="E430" s="33" t="n"/>
      <c r="F430" s="18">
        <f>IF(B430="","",COUNTIFS(Orders!$C$6:$C$1005,B430,Orders!$L$6:$L$1005,"&lt;&gt;Cancelled"))</f>
        <v/>
      </c>
      <c r="G430" s="22">
        <f>IF(B430="","",SUMIFS(Orders!$H$6:$H$1005,Orders!$C$6:$C$1005,B430,Orders!$L$6:$L$1005,"&lt;&gt;Cancelled"))</f>
        <v/>
      </c>
      <c r="H430" s="43">
        <f>IF(B430="","",IF(SUMIFS(Orders!$U$6:$U$1005,Orders!$C$6:$C$1005,B430,Orders!$V$6:$V$1005,1)=0,"",INT(SUMIFS(Orders!$U$6:$U$1005,Orders!$C$6:$C$1005,B430,Orders!$V$6:$V$1005,1))))</f>
        <v/>
      </c>
      <c r="I430" s="30">
        <f>IF(B430="","",IF(SUMIFS(Orders!$J$6:$J$1005,Orders!$C$6:$C$1005,B430)=0,"",SUMIFS(Orders!$J$6:$J$1005,Orders!$C$6:$C$1005,B430)))</f>
        <v/>
      </c>
      <c r="J430" s="1" t="n"/>
    </row>
    <row r="431">
      <c r="A431" s="1" t="n"/>
      <c r="B431" s="32" t="n"/>
      <c r="C431" s="33" t="n"/>
      <c r="D431" s="33" t="n"/>
      <c r="E431" s="33" t="n"/>
      <c r="F431" s="18">
        <f>IF(B431="","",COUNTIFS(Orders!$C$6:$C$1005,B431,Orders!$L$6:$L$1005,"&lt;&gt;Cancelled"))</f>
        <v/>
      </c>
      <c r="G431" s="22">
        <f>IF(B431="","",SUMIFS(Orders!$H$6:$H$1005,Orders!$C$6:$C$1005,B431,Orders!$L$6:$L$1005,"&lt;&gt;Cancelled"))</f>
        <v/>
      </c>
      <c r="H431" s="43">
        <f>IF(B431="","",IF(SUMIFS(Orders!$U$6:$U$1005,Orders!$C$6:$C$1005,B431,Orders!$V$6:$V$1005,1)=0,"",INT(SUMIFS(Orders!$U$6:$U$1005,Orders!$C$6:$C$1005,B431,Orders!$V$6:$V$1005,1))))</f>
        <v/>
      </c>
      <c r="I431" s="30">
        <f>IF(B431="","",IF(SUMIFS(Orders!$J$6:$J$1005,Orders!$C$6:$C$1005,B431)=0,"",SUMIFS(Orders!$J$6:$J$1005,Orders!$C$6:$C$1005,B431)))</f>
        <v/>
      </c>
      <c r="J431" s="1" t="n"/>
    </row>
    <row r="432">
      <c r="A432" s="1" t="n"/>
      <c r="B432" s="32" t="n"/>
      <c r="C432" s="33" t="n"/>
      <c r="D432" s="33" t="n"/>
      <c r="E432" s="33" t="n"/>
      <c r="F432" s="18">
        <f>IF(B432="","",COUNTIFS(Orders!$C$6:$C$1005,B432,Orders!$L$6:$L$1005,"&lt;&gt;Cancelled"))</f>
        <v/>
      </c>
      <c r="G432" s="22">
        <f>IF(B432="","",SUMIFS(Orders!$H$6:$H$1005,Orders!$C$6:$C$1005,B432,Orders!$L$6:$L$1005,"&lt;&gt;Cancelled"))</f>
        <v/>
      </c>
      <c r="H432" s="43">
        <f>IF(B432="","",IF(SUMIFS(Orders!$U$6:$U$1005,Orders!$C$6:$C$1005,B432,Orders!$V$6:$V$1005,1)=0,"",INT(SUMIFS(Orders!$U$6:$U$1005,Orders!$C$6:$C$1005,B432,Orders!$V$6:$V$1005,1))))</f>
        <v/>
      </c>
      <c r="I432" s="30">
        <f>IF(B432="","",IF(SUMIFS(Orders!$J$6:$J$1005,Orders!$C$6:$C$1005,B432)=0,"",SUMIFS(Orders!$J$6:$J$1005,Orders!$C$6:$C$1005,B432)))</f>
        <v/>
      </c>
      <c r="J432" s="1" t="n"/>
    </row>
    <row r="433">
      <c r="A433" s="1" t="n"/>
      <c r="B433" s="32" t="n"/>
      <c r="C433" s="33" t="n"/>
      <c r="D433" s="33" t="n"/>
      <c r="E433" s="33" t="n"/>
      <c r="F433" s="18">
        <f>IF(B433="","",COUNTIFS(Orders!$C$6:$C$1005,B433,Orders!$L$6:$L$1005,"&lt;&gt;Cancelled"))</f>
        <v/>
      </c>
      <c r="G433" s="22">
        <f>IF(B433="","",SUMIFS(Orders!$H$6:$H$1005,Orders!$C$6:$C$1005,B433,Orders!$L$6:$L$1005,"&lt;&gt;Cancelled"))</f>
        <v/>
      </c>
      <c r="H433" s="43">
        <f>IF(B433="","",IF(SUMIFS(Orders!$U$6:$U$1005,Orders!$C$6:$C$1005,B433,Orders!$V$6:$V$1005,1)=0,"",INT(SUMIFS(Orders!$U$6:$U$1005,Orders!$C$6:$C$1005,B433,Orders!$V$6:$V$1005,1))))</f>
        <v/>
      </c>
      <c r="I433" s="30">
        <f>IF(B433="","",IF(SUMIFS(Orders!$J$6:$J$1005,Orders!$C$6:$C$1005,B433)=0,"",SUMIFS(Orders!$J$6:$J$1005,Orders!$C$6:$C$1005,B433)))</f>
        <v/>
      </c>
      <c r="J433" s="1" t="n"/>
    </row>
    <row r="434">
      <c r="A434" s="1" t="n"/>
      <c r="B434" s="32" t="n"/>
      <c r="C434" s="33" t="n"/>
      <c r="D434" s="33" t="n"/>
      <c r="E434" s="33" t="n"/>
      <c r="F434" s="18">
        <f>IF(B434="","",COUNTIFS(Orders!$C$6:$C$1005,B434,Orders!$L$6:$L$1005,"&lt;&gt;Cancelled"))</f>
        <v/>
      </c>
      <c r="G434" s="22">
        <f>IF(B434="","",SUMIFS(Orders!$H$6:$H$1005,Orders!$C$6:$C$1005,B434,Orders!$L$6:$L$1005,"&lt;&gt;Cancelled"))</f>
        <v/>
      </c>
      <c r="H434" s="43">
        <f>IF(B434="","",IF(SUMIFS(Orders!$U$6:$U$1005,Orders!$C$6:$C$1005,B434,Orders!$V$6:$V$1005,1)=0,"",INT(SUMIFS(Orders!$U$6:$U$1005,Orders!$C$6:$C$1005,B434,Orders!$V$6:$V$1005,1))))</f>
        <v/>
      </c>
      <c r="I434" s="30">
        <f>IF(B434="","",IF(SUMIFS(Orders!$J$6:$J$1005,Orders!$C$6:$C$1005,B434)=0,"",SUMIFS(Orders!$J$6:$J$1005,Orders!$C$6:$C$1005,B434)))</f>
        <v/>
      </c>
      <c r="J434" s="1" t="n"/>
    </row>
    <row r="435">
      <c r="A435" s="1" t="n"/>
      <c r="B435" s="32" t="n"/>
      <c r="C435" s="33" t="n"/>
      <c r="D435" s="33" t="n"/>
      <c r="E435" s="33" t="n"/>
      <c r="F435" s="18">
        <f>IF(B435="","",COUNTIFS(Orders!$C$6:$C$1005,B435,Orders!$L$6:$L$1005,"&lt;&gt;Cancelled"))</f>
        <v/>
      </c>
      <c r="G435" s="22">
        <f>IF(B435="","",SUMIFS(Orders!$H$6:$H$1005,Orders!$C$6:$C$1005,B435,Orders!$L$6:$L$1005,"&lt;&gt;Cancelled"))</f>
        <v/>
      </c>
      <c r="H435" s="43">
        <f>IF(B435="","",IF(SUMIFS(Orders!$U$6:$U$1005,Orders!$C$6:$C$1005,B435,Orders!$V$6:$V$1005,1)=0,"",INT(SUMIFS(Orders!$U$6:$U$1005,Orders!$C$6:$C$1005,B435,Orders!$V$6:$V$1005,1))))</f>
        <v/>
      </c>
      <c r="I435" s="30">
        <f>IF(B435="","",IF(SUMIFS(Orders!$J$6:$J$1005,Orders!$C$6:$C$1005,B435)=0,"",SUMIFS(Orders!$J$6:$J$1005,Orders!$C$6:$C$1005,B435)))</f>
        <v/>
      </c>
      <c r="J435" s="1" t="n"/>
    </row>
    <row r="436">
      <c r="A436" s="1" t="n"/>
      <c r="B436" s="32" t="n"/>
      <c r="C436" s="33" t="n"/>
      <c r="D436" s="33" t="n"/>
      <c r="E436" s="33" t="n"/>
      <c r="F436" s="18">
        <f>IF(B436="","",COUNTIFS(Orders!$C$6:$C$1005,B436,Orders!$L$6:$L$1005,"&lt;&gt;Cancelled"))</f>
        <v/>
      </c>
      <c r="G436" s="22">
        <f>IF(B436="","",SUMIFS(Orders!$H$6:$H$1005,Orders!$C$6:$C$1005,B436,Orders!$L$6:$L$1005,"&lt;&gt;Cancelled"))</f>
        <v/>
      </c>
      <c r="H436" s="43">
        <f>IF(B436="","",IF(SUMIFS(Orders!$U$6:$U$1005,Orders!$C$6:$C$1005,B436,Orders!$V$6:$V$1005,1)=0,"",INT(SUMIFS(Orders!$U$6:$U$1005,Orders!$C$6:$C$1005,B436,Orders!$V$6:$V$1005,1))))</f>
        <v/>
      </c>
      <c r="I436" s="30">
        <f>IF(B436="","",IF(SUMIFS(Orders!$J$6:$J$1005,Orders!$C$6:$C$1005,B436)=0,"",SUMIFS(Orders!$J$6:$J$1005,Orders!$C$6:$C$1005,B436)))</f>
        <v/>
      </c>
      <c r="J436" s="1" t="n"/>
    </row>
    <row r="437">
      <c r="A437" s="1" t="n"/>
      <c r="B437" s="32" t="n"/>
      <c r="C437" s="33" t="n"/>
      <c r="D437" s="33" t="n"/>
      <c r="E437" s="33" t="n"/>
      <c r="F437" s="18">
        <f>IF(B437="","",COUNTIFS(Orders!$C$6:$C$1005,B437,Orders!$L$6:$L$1005,"&lt;&gt;Cancelled"))</f>
        <v/>
      </c>
      <c r="G437" s="22">
        <f>IF(B437="","",SUMIFS(Orders!$H$6:$H$1005,Orders!$C$6:$C$1005,B437,Orders!$L$6:$L$1005,"&lt;&gt;Cancelled"))</f>
        <v/>
      </c>
      <c r="H437" s="43">
        <f>IF(B437="","",IF(SUMIFS(Orders!$U$6:$U$1005,Orders!$C$6:$C$1005,B437,Orders!$V$6:$V$1005,1)=0,"",INT(SUMIFS(Orders!$U$6:$U$1005,Orders!$C$6:$C$1005,B437,Orders!$V$6:$V$1005,1))))</f>
        <v/>
      </c>
      <c r="I437" s="30">
        <f>IF(B437="","",IF(SUMIFS(Orders!$J$6:$J$1005,Orders!$C$6:$C$1005,B437)=0,"",SUMIFS(Orders!$J$6:$J$1005,Orders!$C$6:$C$1005,B437)))</f>
        <v/>
      </c>
      <c r="J437" s="1" t="n"/>
    </row>
    <row r="438">
      <c r="A438" s="1" t="n"/>
      <c r="B438" s="32" t="n"/>
      <c r="C438" s="33" t="n"/>
      <c r="D438" s="33" t="n"/>
      <c r="E438" s="33" t="n"/>
      <c r="F438" s="18">
        <f>IF(B438="","",COUNTIFS(Orders!$C$6:$C$1005,B438,Orders!$L$6:$L$1005,"&lt;&gt;Cancelled"))</f>
        <v/>
      </c>
      <c r="G438" s="22">
        <f>IF(B438="","",SUMIFS(Orders!$H$6:$H$1005,Orders!$C$6:$C$1005,B438,Orders!$L$6:$L$1005,"&lt;&gt;Cancelled"))</f>
        <v/>
      </c>
      <c r="H438" s="43">
        <f>IF(B438="","",IF(SUMIFS(Orders!$U$6:$U$1005,Orders!$C$6:$C$1005,B438,Orders!$V$6:$V$1005,1)=0,"",INT(SUMIFS(Orders!$U$6:$U$1005,Orders!$C$6:$C$1005,B438,Orders!$V$6:$V$1005,1))))</f>
        <v/>
      </c>
      <c r="I438" s="30">
        <f>IF(B438="","",IF(SUMIFS(Orders!$J$6:$J$1005,Orders!$C$6:$C$1005,B438)=0,"",SUMIFS(Orders!$J$6:$J$1005,Orders!$C$6:$C$1005,B438)))</f>
        <v/>
      </c>
      <c r="J438" s="1" t="n"/>
    </row>
    <row r="439">
      <c r="A439" s="1" t="n"/>
      <c r="B439" s="32" t="n"/>
      <c r="C439" s="33" t="n"/>
      <c r="D439" s="33" t="n"/>
      <c r="E439" s="33" t="n"/>
      <c r="F439" s="18">
        <f>IF(B439="","",COUNTIFS(Orders!$C$6:$C$1005,B439,Orders!$L$6:$L$1005,"&lt;&gt;Cancelled"))</f>
        <v/>
      </c>
      <c r="G439" s="22">
        <f>IF(B439="","",SUMIFS(Orders!$H$6:$H$1005,Orders!$C$6:$C$1005,B439,Orders!$L$6:$L$1005,"&lt;&gt;Cancelled"))</f>
        <v/>
      </c>
      <c r="H439" s="43">
        <f>IF(B439="","",IF(SUMIFS(Orders!$U$6:$U$1005,Orders!$C$6:$C$1005,B439,Orders!$V$6:$V$1005,1)=0,"",INT(SUMIFS(Orders!$U$6:$U$1005,Orders!$C$6:$C$1005,B439,Orders!$V$6:$V$1005,1))))</f>
        <v/>
      </c>
      <c r="I439" s="30">
        <f>IF(B439="","",IF(SUMIFS(Orders!$J$6:$J$1005,Orders!$C$6:$C$1005,B439)=0,"",SUMIFS(Orders!$J$6:$J$1005,Orders!$C$6:$C$1005,B439)))</f>
        <v/>
      </c>
      <c r="J439" s="1" t="n"/>
    </row>
    <row r="440">
      <c r="A440" s="1" t="n"/>
      <c r="B440" s="32" t="n"/>
      <c r="C440" s="33" t="n"/>
      <c r="D440" s="33" t="n"/>
      <c r="E440" s="33" t="n"/>
      <c r="F440" s="18">
        <f>IF(B440="","",COUNTIFS(Orders!$C$6:$C$1005,B440,Orders!$L$6:$L$1005,"&lt;&gt;Cancelled"))</f>
        <v/>
      </c>
      <c r="G440" s="22">
        <f>IF(B440="","",SUMIFS(Orders!$H$6:$H$1005,Orders!$C$6:$C$1005,B440,Orders!$L$6:$L$1005,"&lt;&gt;Cancelled"))</f>
        <v/>
      </c>
      <c r="H440" s="43">
        <f>IF(B440="","",IF(SUMIFS(Orders!$U$6:$U$1005,Orders!$C$6:$C$1005,B440,Orders!$V$6:$V$1005,1)=0,"",INT(SUMIFS(Orders!$U$6:$U$1005,Orders!$C$6:$C$1005,B440,Orders!$V$6:$V$1005,1))))</f>
        <v/>
      </c>
      <c r="I440" s="30">
        <f>IF(B440="","",IF(SUMIFS(Orders!$J$6:$J$1005,Orders!$C$6:$C$1005,B440)=0,"",SUMIFS(Orders!$J$6:$J$1005,Orders!$C$6:$C$1005,B440)))</f>
        <v/>
      </c>
      <c r="J440" s="1" t="n"/>
    </row>
    <row r="441">
      <c r="A441" s="1" t="n"/>
      <c r="B441" s="32" t="n"/>
      <c r="C441" s="33" t="n"/>
      <c r="D441" s="33" t="n"/>
      <c r="E441" s="33" t="n"/>
      <c r="F441" s="18">
        <f>IF(B441="","",COUNTIFS(Orders!$C$6:$C$1005,B441,Orders!$L$6:$L$1005,"&lt;&gt;Cancelled"))</f>
        <v/>
      </c>
      <c r="G441" s="22">
        <f>IF(B441="","",SUMIFS(Orders!$H$6:$H$1005,Orders!$C$6:$C$1005,B441,Orders!$L$6:$L$1005,"&lt;&gt;Cancelled"))</f>
        <v/>
      </c>
      <c r="H441" s="43">
        <f>IF(B441="","",IF(SUMIFS(Orders!$U$6:$U$1005,Orders!$C$6:$C$1005,B441,Orders!$V$6:$V$1005,1)=0,"",INT(SUMIFS(Orders!$U$6:$U$1005,Orders!$C$6:$C$1005,B441,Orders!$V$6:$V$1005,1))))</f>
        <v/>
      </c>
      <c r="I441" s="30">
        <f>IF(B441="","",IF(SUMIFS(Orders!$J$6:$J$1005,Orders!$C$6:$C$1005,B441)=0,"",SUMIFS(Orders!$J$6:$J$1005,Orders!$C$6:$C$1005,B441)))</f>
        <v/>
      </c>
      <c r="J441" s="1" t="n"/>
    </row>
    <row r="442">
      <c r="A442" s="1" t="n"/>
      <c r="B442" s="32" t="n"/>
      <c r="C442" s="33" t="n"/>
      <c r="D442" s="33" t="n"/>
      <c r="E442" s="33" t="n"/>
      <c r="F442" s="18">
        <f>IF(B442="","",COUNTIFS(Orders!$C$6:$C$1005,B442,Orders!$L$6:$L$1005,"&lt;&gt;Cancelled"))</f>
        <v/>
      </c>
      <c r="G442" s="22">
        <f>IF(B442="","",SUMIFS(Orders!$H$6:$H$1005,Orders!$C$6:$C$1005,B442,Orders!$L$6:$L$1005,"&lt;&gt;Cancelled"))</f>
        <v/>
      </c>
      <c r="H442" s="43">
        <f>IF(B442="","",IF(SUMIFS(Orders!$U$6:$U$1005,Orders!$C$6:$C$1005,B442,Orders!$V$6:$V$1005,1)=0,"",INT(SUMIFS(Orders!$U$6:$U$1005,Orders!$C$6:$C$1005,B442,Orders!$V$6:$V$1005,1))))</f>
        <v/>
      </c>
      <c r="I442" s="30">
        <f>IF(B442="","",IF(SUMIFS(Orders!$J$6:$J$1005,Orders!$C$6:$C$1005,B442)=0,"",SUMIFS(Orders!$J$6:$J$1005,Orders!$C$6:$C$1005,B442)))</f>
        <v/>
      </c>
      <c r="J442" s="1" t="n"/>
    </row>
    <row r="443">
      <c r="A443" s="1" t="n"/>
      <c r="B443" s="32" t="n"/>
      <c r="C443" s="33" t="n"/>
      <c r="D443" s="33" t="n"/>
      <c r="E443" s="33" t="n"/>
      <c r="F443" s="18">
        <f>IF(B443="","",COUNTIFS(Orders!$C$6:$C$1005,B443,Orders!$L$6:$L$1005,"&lt;&gt;Cancelled"))</f>
        <v/>
      </c>
      <c r="G443" s="22">
        <f>IF(B443="","",SUMIFS(Orders!$H$6:$H$1005,Orders!$C$6:$C$1005,B443,Orders!$L$6:$L$1005,"&lt;&gt;Cancelled"))</f>
        <v/>
      </c>
      <c r="H443" s="43">
        <f>IF(B443="","",IF(SUMIFS(Orders!$U$6:$U$1005,Orders!$C$6:$C$1005,B443,Orders!$V$6:$V$1005,1)=0,"",INT(SUMIFS(Orders!$U$6:$U$1005,Orders!$C$6:$C$1005,B443,Orders!$V$6:$V$1005,1))))</f>
        <v/>
      </c>
      <c r="I443" s="30">
        <f>IF(B443="","",IF(SUMIFS(Orders!$J$6:$J$1005,Orders!$C$6:$C$1005,B443)=0,"",SUMIFS(Orders!$J$6:$J$1005,Orders!$C$6:$C$1005,B443)))</f>
        <v/>
      </c>
      <c r="J443" s="1" t="n"/>
    </row>
    <row r="444">
      <c r="A444" s="1" t="n"/>
      <c r="B444" s="32" t="n"/>
      <c r="C444" s="33" t="n"/>
      <c r="D444" s="33" t="n"/>
      <c r="E444" s="33" t="n"/>
      <c r="F444" s="18">
        <f>IF(B444="","",COUNTIFS(Orders!$C$6:$C$1005,B444,Orders!$L$6:$L$1005,"&lt;&gt;Cancelled"))</f>
        <v/>
      </c>
      <c r="G444" s="22">
        <f>IF(B444="","",SUMIFS(Orders!$H$6:$H$1005,Orders!$C$6:$C$1005,B444,Orders!$L$6:$L$1005,"&lt;&gt;Cancelled"))</f>
        <v/>
      </c>
      <c r="H444" s="43">
        <f>IF(B444="","",IF(SUMIFS(Orders!$U$6:$U$1005,Orders!$C$6:$C$1005,B444,Orders!$V$6:$V$1005,1)=0,"",INT(SUMIFS(Orders!$U$6:$U$1005,Orders!$C$6:$C$1005,B444,Orders!$V$6:$V$1005,1))))</f>
        <v/>
      </c>
      <c r="I444" s="30">
        <f>IF(B444="","",IF(SUMIFS(Orders!$J$6:$J$1005,Orders!$C$6:$C$1005,B444)=0,"",SUMIFS(Orders!$J$6:$J$1005,Orders!$C$6:$C$1005,B444)))</f>
        <v/>
      </c>
      <c r="J444" s="1" t="n"/>
    </row>
    <row r="445">
      <c r="A445" s="1" t="n"/>
      <c r="B445" s="32" t="n"/>
      <c r="C445" s="33" t="n"/>
      <c r="D445" s="33" t="n"/>
      <c r="E445" s="33" t="n"/>
      <c r="F445" s="18">
        <f>IF(B445="","",COUNTIFS(Orders!$C$6:$C$1005,B445,Orders!$L$6:$L$1005,"&lt;&gt;Cancelled"))</f>
        <v/>
      </c>
      <c r="G445" s="22">
        <f>IF(B445="","",SUMIFS(Orders!$H$6:$H$1005,Orders!$C$6:$C$1005,B445,Orders!$L$6:$L$1005,"&lt;&gt;Cancelled"))</f>
        <v/>
      </c>
      <c r="H445" s="43">
        <f>IF(B445="","",IF(SUMIFS(Orders!$U$6:$U$1005,Orders!$C$6:$C$1005,B445,Orders!$V$6:$V$1005,1)=0,"",INT(SUMIFS(Orders!$U$6:$U$1005,Orders!$C$6:$C$1005,B445,Orders!$V$6:$V$1005,1))))</f>
        <v/>
      </c>
      <c r="I445" s="30">
        <f>IF(B445="","",IF(SUMIFS(Orders!$J$6:$J$1005,Orders!$C$6:$C$1005,B445)=0,"",SUMIFS(Orders!$J$6:$J$1005,Orders!$C$6:$C$1005,B445)))</f>
        <v/>
      </c>
      <c r="J445" s="1" t="n"/>
    </row>
    <row r="446">
      <c r="A446" s="1" t="n"/>
      <c r="B446" s="32" t="n"/>
      <c r="C446" s="33" t="n"/>
      <c r="D446" s="33" t="n"/>
      <c r="E446" s="33" t="n"/>
      <c r="F446" s="18">
        <f>IF(B446="","",COUNTIFS(Orders!$C$6:$C$1005,B446,Orders!$L$6:$L$1005,"&lt;&gt;Cancelled"))</f>
        <v/>
      </c>
      <c r="G446" s="22">
        <f>IF(B446="","",SUMIFS(Orders!$H$6:$H$1005,Orders!$C$6:$C$1005,B446,Orders!$L$6:$L$1005,"&lt;&gt;Cancelled"))</f>
        <v/>
      </c>
      <c r="H446" s="43">
        <f>IF(B446="","",IF(SUMIFS(Orders!$U$6:$U$1005,Orders!$C$6:$C$1005,B446,Orders!$V$6:$V$1005,1)=0,"",INT(SUMIFS(Orders!$U$6:$U$1005,Orders!$C$6:$C$1005,B446,Orders!$V$6:$V$1005,1))))</f>
        <v/>
      </c>
      <c r="I446" s="30">
        <f>IF(B446="","",IF(SUMIFS(Orders!$J$6:$J$1005,Orders!$C$6:$C$1005,B446)=0,"",SUMIFS(Orders!$J$6:$J$1005,Orders!$C$6:$C$1005,B446)))</f>
        <v/>
      </c>
      <c r="J446" s="1" t="n"/>
    </row>
    <row r="447">
      <c r="A447" s="1" t="n"/>
      <c r="B447" s="32" t="n"/>
      <c r="C447" s="33" t="n"/>
      <c r="D447" s="33" t="n"/>
      <c r="E447" s="33" t="n"/>
      <c r="F447" s="18">
        <f>IF(B447="","",COUNTIFS(Orders!$C$6:$C$1005,B447,Orders!$L$6:$L$1005,"&lt;&gt;Cancelled"))</f>
        <v/>
      </c>
      <c r="G447" s="22">
        <f>IF(B447="","",SUMIFS(Orders!$H$6:$H$1005,Orders!$C$6:$C$1005,B447,Orders!$L$6:$L$1005,"&lt;&gt;Cancelled"))</f>
        <v/>
      </c>
      <c r="H447" s="43">
        <f>IF(B447="","",IF(SUMIFS(Orders!$U$6:$U$1005,Orders!$C$6:$C$1005,B447,Orders!$V$6:$V$1005,1)=0,"",INT(SUMIFS(Orders!$U$6:$U$1005,Orders!$C$6:$C$1005,B447,Orders!$V$6:$V$1005,1))))</f>
        <v/>
      </c>
      <c r="I447" s="30">
        <f>IF(B447="","",IF(SUMIFS(Orders!$J$6:$J$1005,Orders!$C$6:$C$1005,B447)=0,"",SUMIFS(Orders!$J$6:$J$1005,Orders!$C$6:$C$1005,B447)))</f>
        <v/>
      </c>
      <c r="J447" s="1" t="n"/>
    </row>
    <row r="448">
      <c r="A448" s="1" t="n"/>
      <c r="B448" s="32" t="n"/>
      <c r="C448" s="33" t="n"/>
      <c r="D448" s="33" t="n"/>
      <c r="E448" s="33" t="n"/>
      <c r="F448" s="18">
        <f>IF(B448="","",COUNTIFS(Orders!$C$6:$C$1005,B448,Orders!$L$6:$L$1005,"&lt;&gt;Cancelled"))</f>
        <v/>
      </c>
      <c r="G448" s="22">
        <f>IF(B448="","",SUMIFS(Orders!$H$6:$H$1005,Orders!$C$6:$C$1005,B448,Orders!$L$6:$L$1005,"&lt;&gt;Cancelled"))</f>
        <v/>
      </c>
      <c r="H448" s="43">
        <f>IF(B448="","",IF(SUMIFS(Orders!$U$6:$U$1005,Orders!$C$6:$C$1005,B448,Orders!$V$6:$V$1005,1)=0,"",INT(SUMIFS(Orders!$U$6:$U$1005,Orders!$C$6:$C$1005,B448,Orders!$V$6:$V$1005,1))))</f>
        <v/>
      </c>
      <c r="I448" s="30">
        <f>IF(B448="","",IF(SUMIFS(Orders!$J$6:$J$1005,Orders!$C$6:$C$1005,B448)=0,"",SUMIFS(Orders!$J$6:$J$1005,Orders!$C$6:$C$1005,B448)))</f>
        <v/>
      </c>
      <c r="J448" s="1" t="n"/>
    </row>
    <row r="449">
      <c r="A449" s="1" t="n"/>
      <c r="B449" s="32" t="n"/>
      <c r="C449" s="33" t="n"/>
      <c r="D449" s="33" t="n"/>
      <c r="E449" s="33" t="n"/>
      <c r="F449" s="18">
        <f>IF(B449="","",COUNTIFS(Orders!$C$6:$C$1005,B449,Orders!$L$6:$L$1005,"&lt;&gt;Cancelled"))</f>
        <v/>
      </c>
      <c r="G449" s="22">
        <f>IF(B449="","",SUMIFS(Orders!$H$6:$H$1005,Orders!$C$6:$C$1005,B449,Orders!$L$6:$L$1005,"&lt;&gt;Cancelled"))</f>
        <v/>
      </c>
      <c r="H449" s="43">
        <f>IF(B449="","",IF(SUMIFS(Orders!$U$6:$U$1005,Orders!$C$6:$C$1005,B449,Orders!$V$6:$V$1005,1)=0,"",INT(SUMIFS(Orders!$U$6:$U$1005,Orders!$C$6:$C$1005,B449,Orders!$V$6:$V$1005,1))))</f>
        <v/>
      </c>
      <c r="I449" s="30">
        <f>IF(B449="","",IF(SUMIFS(Orders!$J$6:$J$1005,Orders!$C$6:$C$1005,B449)=0,"",SUMIFS(Orders!$J$6:$J$1005,Orders!$C$6:$C$1005,B449)))</f>
        <v/>
      </c>
      <c r="J449" s="1" t="n"/>
    </row>
    <row r="450">
      <c r="A450" s="1" t="n"/>
      <c r="B450" s="32" t="n"/>
      <c r="C450" s="33" t="n"/>
      <c r="D450" s="33" t="n"/>
      <c r="E450" s="33" t="n"/>
      <c r="F450" s="18">
        <f>IF(B450="","",COUNTIFS(Orders!$C$6:$C$1005,B450,Orders!$L$6:$L$1005,"&lt;&gt;Cancelled"))</f>
        <v/>
      </c>
      <c r="G450" s="22">
        <f>IF(B450="","",SUMIFS(Orders!$H$6:$H$1005,Orders!$C$6:$C$1005,B450,Orders!$L$6:$L$1005,"&lt;&gt;Cancelled"))</f>
        <v/>
      </c>
      <c r="H450" s="43">
        <f>IF(B450="","",IF(SUMIFS(Orders!$U$6:$U$1005,Orders!$C$6:$C$1005,B450,Orders!$V$6:$V$1005,1)=0,"",INT(SUMIFS(Orders!$U$6:$U$1005,Orders!$C$6:$C$1005,B450,Orders!$V$6:$V$1005,1))))</f>
        <v/>
      </c>
      <c r="I450" s="30">
        <f>IF(B450="","",IF(SUMIFS(Orders!$J$6:$J$1005,Orders!$C$6:$C$1005,B450)=0,"",SUMIFS(Orders!$J$6:$J$1005,Orders!$C$6:$C$1005,B450)))</f>
        <v/>
      </c>
      <c r="J450" s="1" t="n"/>
    </row>
    <row r="451">
      <c r="A451" s="1" t="n"/>
      <c r="B451" s="32" t="n"/>
      <c r="C451" s="33" t="n"/>
      <c r="D451" s="33" t="n"/>
      <c r="E451" s="33" t="n"/>
      <c r="F451" s="18">
        <f>IF(B451="","",COUNTIFS(Orders!$C$6:$C$1005,B451,Orders!$L$6:$L$1005,"&lt;&gt;Cancelled"))</f>
        <v/>
      </c>
      <c r="G451" s="22">
        <f>IF(B451="","",SUMIFS(Orders!$H$6:$H$1005,Orders!$C$6:$C$1005,B451,Orders!$L$6:$L$1005,"&lt;&gt;Cancelled"))</f>
        <v/>
      </c>
      <c r="H451" s="43">
        <f>IF(B451="","",IF(SUMIFS(Orders!$U$6:$U$1005,Orders!$C$6:$C$1005,B451,Orders!$V$6:$V$1005,1)=0,"",INT(SUMIFS(Orders!$U$6:$U$1005,Orders!$C$6:$C$1005,B451,Orders!$V$6:$V$1005,1))))</f>
        <v/>
      </c>
      <c r="I451" s="30">
        <f>IF(B451="","",IF(SUMIFS(Orders!$J$6:$J$1005,Orders!$C$6:$C$1005,B451)=0,"",SUMIFS(Orders!$J$6:$J$1005,Orders!$C$6:$C$1005,B451)))</f>
        <v/>
      </c>
      <c r="J451" s="1" t="n"/>
    </row>
    <row r="452">
      <c r="A452" s="1" t="n"/>
      <c r="B452" s="32" t="n"/>
      <c r="C452" s="33" t="n"/>
      <c r="D452" s="33" t="n"/>
      <c r="E452" s="33" t="n"/>
      <c r="F452" s="18">
        <f>IF(B452="","",COUNTIFS(Orders!$C$6:$C$1005,B452,Orders!$L$6:$L$1005,"&lt;&gt;Cancelled"))</f>
        <v/>
      </c>
      <c r="G452" s="22">
        <f>IF(B452="","",SUMIFS(Orders!$H$6:$H$1005,Orders!$C$6:$C$1005,B452,Orders!$L$6:$L$1005,"&lt;&gt;Cancelled"))</f>
        <v/>
      </c>
      <c r="H452" s="43">
        <f>IF(B452="","",IF(SUMIFS(Orders!$U$6:$U$1005,Orders!$C$6:$C$1005,B452,Orders!$V$6:$V$1005,1)=0,"",INT(SUMIFS(Orders!$U$6:$U$1005,Orders!$C$6:$C$1005,B452,Orders!$V$6:$V$1005,1))))</f>
        <v/>
      </c>
      <c r="I452" s="30">
        <f>IF(B452="","",IF(SUMIFS(Orders!$J$6:$J$1005,Orders!$C$6:$C$1005,B452)=0,"",SUMIFS(Orders!$J$6:$J$1005,Orders!$C$6:$C$1005,B452)))</f>
        <v/>
      </c>
      <c r="J452" s="1" t="n"/>
    </row>
    <row r="453">
      <c r="A453" s="1" t="n"/>
      <c r="B453" s="32" t="n"/>
      <c r="C453" s="33" t="n"/>
      <c r="D453" s="33" t="n"/>
      <c r="E453" s="33" t="n"/>
      <c r="F453" s="18">
        <f>IF(B453="","",COUNTIFS(Orders!$C$6:$C$1005,B453,Orders!$L$6:$L$1005,"&lt;&gt;Cancelled"))</f>
        <v/>
      </c>
      <c r="G453" s="22">
        <f>IF(B453="","",SUMIFS(Orders!$H$6:$H$1005,Orders!$C$6:$C$1005,B453,Orders!$L$6:$L$1005,"&lt;&gt;Cancelled"))</f>
        <v/>
      </c>
      <c r="H453" s="43">
        <f>IF(B453="","",IF(SUMIFS(Orders!$U$6:$U$1005,Orders!$C$6:$C$1005,B453,Orders!$V$6:$V$1005,1)=0,"",INT(SUMIFS(Orders!$U$6:$U$1005,Orders!$C$6:$C$1005,B453,Orders!$V$6:$V$1005,1))))</f>
        <v/>
      </c>
      <c r="I453" s="30">
        <f>IF(B453="","",IF(SUMIFS(Orders!$J$6:$J$1005,Orders!$C$6:$C$1005,B453)=0,"",SUMIFS(Orders!$J$6:$J$1005,Orders!$C$6:$C$1005,B453)))</f>
        <v/>
      </c>
      <c r="J453" s="1" t="n"/>
    </row>
    <row r="454">
      <c r="A454" s="1" t="n"/>
      <c r="B454" s="32" t="n"/>
      <c r="C454" s="33" t="n"/>
      <c r="D454" s="33" t="n"/>
      <c r="E454" s="33" t="n"/>
      <c r="F454" s="18">
        <f>IF(B454="","",COUNTIFS(Orders!$C$6:$C$1005,B454,Orders!$L$6:$L$1005,"&lt;&gt;Cancelled"))</f>
        <v/>
      </c>
      <c r="G454" s="22">
        <f>IF(B454="","",SUMIFS(Orders!$H$6:$H$1005,Orders!$C$6:$C$1005,B454,Orders!$L$6:$L$1005,"&lt;&gt;Cancelled"))</f>
        <v/>
      </c>
      <c r="H454" s="43">
        <f>IF(B454="","",IF(SUMIFS(Orders!$U$6:$U$1005,Orders!$C$6:$C$1005,B454,Orders!$V$6:$V$1005,1)=0,"",INT(SUMIFS(Orders!$U$6:$U$1005,Orders!$C$6:$C$1005,B454,Orders!$V$6:$V$1005,1))))</f>
        <v/>
      </c>
      <c r="I454" s="30">
        <f>IF(B454="","",IF(SUMIFS(Orders!$J$6:$J$1005,Orders!$C$6:$C$1005,B454)=0,"",SUMIFS(Orders!$J$6:$J$1005,Orders!$C$6:$C$1005,B454)))</f>
        <v/>
      </c>
      <c r="J454" s="1" t="n"/>
    </row>
    <row r="455">
      <c r="A455" s="1" t="n"/>
      <c r="B455" s="32" t="n"/>
      <c r="C455" s="33" t="n"/>
      <c r="D455" s="33" t="n"/>
      <c r="E455" s="33" t="n"/>
      <c r="F455" s="18">
        <f>IF(B455="","",COUNTIFS(Orders!$C$6:$C$1005,B455,Orders!$L$6:$L$1005,"&lt;&gt;Cancelled"))</f>
        <v/>
      </c>
      <c r="G455" s="22">
        <f>IF(B455="","",SUMIFS(Orders!$H$6:$H$1005,Orders!$C$6:$C$1005,B455,Orders!$L$6:$L$1005,"&lt;&gt;Cancelled"))</f>
        <v/>
      </c>
      <c r="H455" s="43">
        <f>IF(B455="","",IF(SUMIFS(Orders!$U$6:$U$1005,Orders!$C$6:$C$1005,B455,Orders!$V$6:$V$1005,1)=0,"",INT(SUMIFS(Orders!$U$6:$U$1005,Orders!$C$6:$C$1005,B455,Orders!$V$6:$V$1005,1))))</f>
        <v/>
      </c>
      <c r="I455" s="30">
        <f>IF(B455="","",IF(SUMIFS(Orders!$J$6:$J$1005,Orders!$C$6:$C$1005,B455)=0,"",SUMIFS(Orders!$J$6:$J$1005,Orders!$C$6:$C$1005,B455)))</f>
        <v/>
      </c>
      <c r="J455" s="1" t="n"/>
    </row>
    <row r="456">
      <c r="A456" s="1" t="n"/>
      <c r="B456" s="32" t="n"/>
      <c r="C456" s="33" t="n"/>
      <c r="D456" s="33" t="n"/>
      <c r="E456" s="33" t="n"/>
      <c r="F456" s="18">
        <f>IF(B456="","",COUNTIFS(Orders!$C$6:$C$1005,B456,Orders!$L$6:$L$1005,"&lt;&gt;Cancelled"))</f>
        <v/>
      </c>
      <c r="G456" s="22">
        <f>IF(B456="","",SUMIFS(Orders!$H$6:$H$1005,Orders!$C$6:$C$1005,B456,Orders!$L$6:$L$1005,"&lt;&gt;Cancelled"))</f>
        <v/>
      </c>
      <c r="H456" s="43">
        <f>IF(B456="","",IF(SUMIFS(Orders!$U$6:$U$1005,Orders!$C$6:$C$1005,B456,Orders!$V$6:$V$1005,1)=0,"",INT(SUMIFS(Orders!$U$6:$U$1005,Orders!$C$6:$C$1005,B456,Orders!$V$6:$V$1005,1))))</f>
        <v/>
      </c>
      <c r="I456" s="30">
        <f>IF(B456="","",IF(SUMIFS(Orders!$J$6:$J$1005,Orders!$C$6:$C$1005,B456)=0,"",SUMIFS(Orders!$J$6:$J$1005,Orders!$C$6:$C$1005,B456)))</f>
        <v/>
      </c>
      <c r="J456" s="1" t="n"/>
    </row>
    <row r="457">
      <c r="A457" s="1" t="n"/>
      <c r="B457" s="32" t="n"/>
      <c r="C457" s="33" t="n"/>
      <c r="D457" s="33" t="n"/>
      <c r="E457" s="33" t="n"/>
      <c r="F457" s="18">
        <f>IF(B457="","",COUNTIFS(Orders!$C$6:$C$1005,B457,Orders!$L$6:$L$1005,"&lt;&gt;Cancelled"))</f>
        <v/>
      </c>
      <c r="G457" s="22">
        <f>IF(B457="","",SUMIFS(Orders!$H$6:$H$1005,Orders!$C$6:$C$1005,B457,Orders!$L$6:$L$1005,"&lt;&gt;Cancelled"))</f>
        <v/>
      </c>
      <c r="H457" s="43">
        <f>IF(B457="","",IF(SUMIFS(Orders!$U$6:$U$1005,Orders!$C$6:$C$1005,B457,Orders!$V$6:$V$1005,1)=0,"",INT(SUMIFS(Orders!$U$6:$U$1005,Orders!$C$6:$C$1005,B457,Orders!$V$6:$V$1005,1))))</f>
        <v/>
      </c>
      <c r="I457" s="30">
        <f>IF(B457="","",IF(SUMIFS(Orders!$J$6:$J$1005,Orders!$C$6:$C$1005,B457)=0,"",SUMIFS(Orders!$J$6:$J$1005,Orders!$C$6:$C$1005,B457)))</f>
        <v/>
      </c>
      <c r="J457" s="1" t="n"/>
    </row>
    <row r="458">
      <c r="A458" s="1" t="n"/>
      <c r="B458" s="32" t="n"/>
      <c r="C458" s="33" t="n"/>
      <c r="D458" s="33" t="n"/>
      <c r="E458" s="33" t="n"/>
      <c r="F458" s="18">
        <f>IF(B458="","",COUNTIFS(Orders!$C$6:$C$1005,B458,Orders!$L$6:$L$1005,"&lt;&gt;Cancelled"))</f>
        <v/>
      </c>
      <c r="G458" s="22">
        <f>IF(B458="","",SUMIFS(Orders!$H$6:$H$1005,Orders!$C$6:$C$1005,B458,Orders!$L$6:$L$1005,"&lt;&gt;Cancelled"))</f>
        <v/>
      </c>
      <c r="H458" s="43">
        <f>IF(B458="","",IF(SUMIFS(Orders!$U$6:$U$1005,Orders!$C$6:$C$1005,B458,Orders!$V$6:$V$1005,1)=0,"",INT(SUMIFS(Orders!$U$6:$U$1005,Orders!$C$6:$C$1005,B458,Orders!$V$6:$V$1005,1))))</f>
        <v/>
      </c>
      <c r="I458" s="30">
        <f>IF(B458="","",IF(SUMIFS(Orders!$J$6:$J$1005,Orders!$C$6:$C$1005,B458)=0,"",SUMIFS(Orders!$J$6:$J$1005,Orders!$C$6:$C$1005,B458)))</f>
        <v/>
      </c>
      <c r="J458" s="1" t="n"/>
    </row>
    <row r="459">
      <c r="A459" s="1" t="n"/>
      <c r="B459" s="32" t="n"/>
      <c r="C459" s="33" t="n"/>
      <c r="D459" s="33" t="n"/>
      <c r="E459" s="33" t="n"/>
      <c r="F459" s="18">
        <f>IF(B459="","",COUNTIFS(Orders!$C$6:$C$1005,B459,Orders!$L$6:$L$1005,"&lt;&gt;Cancelled"))</f>
        <v/>
      </c>
      <c r="G459" s="22">
        <f>IF(B459="","",SUMIFS(Orders!$H$6:$H$1005,Orders!$C$6:$C$1005,B459,Orders!$L$6:$L$1005,"&lt;&gt;Cancelled"))</f>
        <v/>
      </c>
      <c r="H459" s="43">
        <f>IF(B459="","",IF(SUMIFS(Orders!$U$6:$U$1005,Orders!$C$6:$C$1005,B459,Orders!$V$6:$V$1005,1)=0,"",INT(SUMIFS(Orders!$U$6:$U$1005,Orders!$C$6:$C$1005,B459,Orders!$V$6:$V$1005,1))))</f>
        <v/>
      </c>
      <c r="I459" s="30">
        <f>IF(B459="","",IF(SUMIFS(Orders!$J$6:$J$1005,Orders!$C$6:$C$1005,B459)=0,"",SUMIFS(Orders!$J$6:$J$1005,Orders!$C$6:$C$1005,B459)))</f>
        <v/>
      </c>
      <c r="J459" s="1" t="n"/>
    </row>
    <row r="460">
      <c r="A460" s="1" t="n"/>
      <c r="B460" s="32" t="n"/>
      <c r="C460" s="33" t="n"/>
      <c r="D460" s="33" t="n"/>
      <c r="E460" s="33" t="n"/>
      <c r="F460" s="18">
        <f>IF(B460="","",COUNTIFS(Orders!$C$6:$C$1005,B460,Orders!$L$6:$L$1005,"&lt;&gt;Cancelled"))</f>
        <v/>
      </c>
      <c r="G460" s="22">
        <f>IF(B460="","",SUMIFS(Orders!$H$6:$H$1005,Orders!$C$6:$C$1005,B460,Orders!$L$6:$L$1005,"&lt;&gt;Cancelled"))</f>
        <v/>
      </c>
      <c r="H460" s="43">
        <f>IF(B460="","",IF(SUMIFS(Orders!$U$6:$U$1005,Orders!$C$6:$C$1005,B460,Orders!$V$6:$V$1005,1)=0,"",INT(SUMIFS(Orders!$U$6:$U$1005,Orders!$C$6:$C$1005,B460,Orders!$V$6:$V$1005,1))))</f>
        <v/>
      </c>
      <c r="I460" s="30">
        <f>IF(B460="","",IF(SUMIFS(Orders!$J$6:$J$1005,Orders!$C$6:$C$1005,B460)=0,"",SUMIFS(Orders!$J$6:$J$1005,Orders!$C$6:$C$1005,B460)))</f>
        <v/>
      </c>
      <c r="J460" s="1" t="n"/>
    </row>
    <row r="461">
      <c r="A461" s="1" t="n"/>
      <c r="B461" s="32" t="n"/>
      <c r="C461" s="33" t="n"/>
      <c r="D461" s="33" t="n"/>
      <c r="E461" s="33" t="n"/>
      <c r="F461" s="18">
        <f>IF(B461="","",COUNTIFS(Orders!$C$6:$C$1005,B461,Orders!$L$6:$L$1005,"&lt;&gt;Cancelled"))</f>
        <v/>
      </c>
      <c r="G461" s="22">
        <f>IF(B461="","",SUMIFS(Orders!$H$6:$H$1005,Orders!$C$6:$C$1005,B461,Orders!$L$6:$L$1005,"&lt;&gt;Cancelled"))</f>
        <v/>
      </c>
      <c r="H461" s="43">
        <f>IF(B461="","",IF(SUMIFS(Orders!$U$6:$U$1005,Orders!$C$6:$C$1005,B461,Orders!$V$6:$V$1005,1)=0,"",INT(SUMIFS(Orders!$U$6:$U$1005,Orders!$C$6:$C$1005,B461,Orders!$V$6:$V$1005,1))))</f>
        <v/>
      </c>
      <c r="I461" s="30">
        <f>IF(B461="","",IF(SUMIFS(Orders!$J$6:$J$1005,Orders!$C$6:$C$1005,B461)=0,"",SUMIFS(Orders!$J$6:$J$1005,Orders!$C$6:$C$1005,B461)))</f>
        <v/>
      </c>
      <c r="J461" s="1" t="n"/>
    </row>
    <row r="462">
      <c r="A462" s="1" t="n"/>
      <c r="B462" s="32" t="n"/>
      <c r="C462" s="33" t="n"/>
      <c r="D462" s="33" t="n"/>
      <c r="E462" s="33" t="n"/>
      <c r="F462" s="18">
        <f>IF(B462="","",COUNTIFS(Orders!$C$6:$C$1005,B462,Orders!$L$6:$L$1005,"&lt;&gt;Cancelled"))</f>
        <v/>
      </c>
      <c r="G462" s="22">
        <f>IF(B462="","",SUMIFS(Orders!$H$6:$H$1005,Orders!$C$6:$C$1005,B462,Orders!$L$6:$L$1005,"&lt;&gt;Cancelled"))</f>
        <v/>
      </c>
      <c r="H462" s="43">
        <f>IF(B462="","",IF(SUMIFS(Orders!$U$6:$U$1005,Orders!$C$6:$C$1005,B462,Orders!$V$6:$V$1005,1)=0,"",INT(SUMIFS(Orders!$U$6:$U$1005,Orders!$C$6:$C$1005,B462,Orders!$V$6:$V$1005,1))))</f>
        <v/>
      </c>
      <c r="I462" s="30">
        <f>IF(B462="","",IF(SUMIFS(Orders!$J$6:$J$1005,Orders!$C$6:$C$1005,B462)=0,"",SUMIFS(Orders!$J$6:$J$1005,Orders!$C$6:$C$1005,B462)))</f>
        <v/>
      </c>
      <c r="J462" s="1" t="n"/>
    </row>
    <row r="463">
      <c r="A463" s="1" t="n"/>
      <c r="B463" s="32" t="n"/>
      <c r="C463" s="33" t="n"/>
      <c r="D463" s="33" t="n"/>
      <c r="E463" s="33" t="n"/>
      <c r="F463" s="18">
        <f>IF(B463="","",COUNTIFS(Orders!$C$6:$C$1005,B463,Orders!$L$6:$L$1005,"&lt;&gt;Cancelled"))</f>
        <v/>
      </c>
      <c r="G463" s="22">
        <f>IF(B463="","",SUMIFS(Orders!$H$6:$H$1005,Orders!$C$6:$C$1005,B463,Orders!$L$6:$L$1005,"&lt;&gt;Cancelled"))</f>
        <v/>
      </c>
      <c r="H463" s="43">
        <f>IF(B463="","",IF(SUMIFS(Orders!$U$6:$U$1005,Orders!$C$6:$C$1005,B463,Orders!$V$6:$V$1005,1)=0,"",INT(SUMIFS(Orders!$U$6:$U$1005,Orders!$C$6:$C$1005,B463,Orders!$V$6:$V$1005,1))))</f>
        <v/>
      </c>
      <c r="I463" s="30">
        <f>IF(B463="","",IF(SUMIFS(Orders!$J$6:$J$1005,Orders!$C$6:$C$1005,B463)=0,"",SUMIFS(Orders!$J$6:$J$1005,Orders!$C$6:$C$1005,B463)))</f>
        <v/>
      </c>
      <c r="J463" s="1" t="n"/>
    </row>
    <row r="464">
      <c r="A464" s="1" t="n"/>
      <c r="B464" s="32" t="n"/>
      <c r="C464" s="33" t="n"/>
      <c r="D464" s="33" t="n"/>
      <c r="E464" s="33" t="n"/>
      <c r="F464" s="18">
        <f>IF(B464="","",COUNTIFS(Orders!$C$6:$C$1005,B464,Orders!$L$6:$L$1005,"&lt;&gt;Cancelled"))</f>
        <v/>
      </c>
      <c r="G464" s="22">
        <f>IF(B464="","",SUMIFS(Orders!$H$6:$H$1005,Orders!$C$6:$C$1005,B464,Orders!$L$6:$L$1005,"&lt;&gt;Cancelled"))</f>
        <v/>
      </c>
      <c r="H464" s="43">
        <f>IF(B464="","",IF(SUMIFS(Orders!$U$6:$U$1005,Orders!$C$6:$C$1005,B464,Orders!$V$6:$V$1005,1)=0,"",INT(SUMIFS(Orders!$U$6:$U$1005,Orders!$C$6:$C$1005,B464,Orders!$V$6:$V$1005,1))))</f>
        <v/>
      </c>
      <c r="I464" s="30">
        <f>IF(B464="","",IF(SUMIFS(Orders!$J$6:$J$1005,Orders!$C$6:$C$1005,B464)=0,"",SUMIFS(Orders!$J$6:$J$1005,Orders!$C$6:$C$1005,B464)))</f>
        <v/>
      </c>
      <c r="J464" s="1" t="n"/>
    </row>
    <row r="465">
      <c r="A465" s="1" t="n"/>
      <c r="B465" s="32" t="n"/>
      <c r="C465" s="33" t="n"/>
      <c r="D465" s="33" t="n"/>
      <c r="E465" s="33" t="n"/>
      <c r="F465" s="18">
        <f>IF(B465="","",COUNTIFS(Orders!$C$6:$C$1005,B465,Orders!$L$6:$L$1005,"&lt;&gt;Cancelled"))</f>
        <v/>
      </c>
      <c r="G465" s="22">
        <f>IF(B465="","",SUMIFS(Orders!$H$6:$H$1005,Orders!$C$6:$C$1005,B465,Orders!$L$6:$L$1005,"&lt;&gt;Cancelled"))</f>
        <v/>
      </c>
      <c r="H465" s="43">
        <f>IF(B465="","",IF(SUMIFS(Orders!$U$6:$U$1005,Orders!$C$6:$C$1005,B465,Orders!$V$6:$V$1005,1)=0,"",INT(SUMIFS(Orders!$U$6:$U$1005,Orders!$C$6:$C$1005,B465,Orders!$V$6:$V$1005,1))))</f>
        <v/>
      </c>
      <c r="I465" s="30">
        <f>IF(B465="","",IF(SUMIFS(Orders!$J$6:$J$1005,Orders!$C$6:$C$1005,B465)=0,"",SUMIFS(Orders!$J$6:$J$1005,Orders!$C$6:$C$1005,B465)))</f>
        <v/>
      </c>
      <c r="J465" s="1" t="n"/>
    </row>
    <row r="466">
      <c r="A466" s="1" t="n"/>
      <c r="B466" s="32" t="n"/>
      <c r="C466" s="33" t="n"/>
      <c r="D466" s="33" t="n"/>
      <c r="E466" s="33" t="n"/>
      <c r="F466" s="18">
        <f>IF(B466="","",COUNTIFS(Orders!$C$6:$C$1005,B466,Orders!$L$6:$L$1005,"&lt;&gt;Cancelled"))</f>
        <v/>
      </c>
      <c r="G466" s="22">
        <f>IF(B466="","",SUMIFS(Orders!$H$6:$H$1005,Orders!$C$6:$C$1005,B466,Orders!$L$6:$L$1005,"&lt;&gt;Cancelled"))</f>
        <v/>
      </c>
      <c r="H466" s="43">
        <f>IF(B466="","",IF(SUMIFS(Orders!$U$6:$U$1005,Orders!$C$6:$C$1005,B466,Orders!$V$6:$V$1005,1)=0,"",INT(SUMIFS(Orders!$U$6:$U$1005,Orders!$C$6:$C$1005,B466,Orders!$V$6:$V$1005,1))))</f>
        <v/>
      </c>
      <c r="I466" s="30">
        <f>IF(B466="","",IF(SUMIFS(Orders!$J$6:$J$1005,Orders!$C$6:$C$1005,B466)=0,"",SUMIFS(Orders!$J$6:$J$1005,Orders!$C$6:$C$1005,B466)))</f>
        <v/>
      </c>
      <c r="J466" s="1" t="n"/>
    </row>
    <row r="467">
      <c r="A467" s="1" t="n"/>
      <c r="B467" s="32" t="n"/>
      <c r="C467" s="33" t="n"/>
      <c r="D467" s="33" t="n"/>
      <c r="E467" s="33" t="n"/>
      <c r="F467" s="18">
        <f>IF(B467="","",COUNTIFS(Orders!$C$6:$C$1005,B467,Orders!$L$6:$L$1005,"&lt;&gt;Cancelled"))</f>
        <v/>
      </c>
      <c r="G467" s="22">
        <f>IF(B467="","",SUMIFS(Orders!$H$6:$H$1005,Orders!$C$6:$C$1005,B467,Orders!$L$6:$L$1005,"&lt;&gt;Cancelled"))</f>
        <v/>
      </c>
      <c r="H467" s="43">
        <f>IF(B467="","",IF(SUMIFS(Orders!$U$6:$U$1005,Orders!$C$6:$C$1005,B467,Orders!$V$6:$V$1005,1)=0,"",INT(SUMIFS(Orders!$U$6:$U$1005,Orders!$C$6:$C$1005,B467,Orders!$V$6:$V$1005,1))))</f>
        <v/>
      </c>
      <c r="I467" s="30">
        <f>IF(B467="","",IF(SUMIFS(Orders!$J$6:$J$1005,Orders!$C$6:$C$1005,B467)=0,"",SUMIFS(Orders!$J$6:$J$1005,Orders!$C$6:$C$1005,B467)))</f>
        <v/>
      </c>
      <c r="J467" s="1" t="n"/>
    </row>
    <row r="468">
      <c r="A468" s="1" t="n"/>
      <c r="B468" s="32" t="n"/>
      <c r="C468" s="33" t="n"/>
      <c r="D468" s="33" t="n"/>
      <c r="E468" s="33" t="n"/>
      <c r="F468" s="18">
        <f>IF(B468="","",COUNTIFS(Orders!$C$6:$C$1005,B468,Orders!$L$6:$L$1005,"&lt;&gt;Cancelled"))</f>
        <v/>
      </c>
      <c r="G468" s="22">
        <f>IF(B468="","",SUMIFS(Orders!$H$6:$H$1005,Orders!$C$6:$C$1005,B468,Orders!$L$6:$L$1005,"&lt;&gt;Cancelled"))</f>
        <v/>
      </c>
      <c r="H468" s="43">
        <f>IF(B468="","",IF(SUMIFS(Orders!$U$6:$U$1005,Orders!$C$6:$C$1005,B468,Orders!$V$6:$V$1005,1)=0,"",INT(SUMIFS(Orders!$U$6:$U$1005,Orders!$C$6:$C$1005,B468,Orders!$V$6:$V$1005,1))))</f>
        <v/>
      </c>
      <c r="I468" s="30">
        <f>IF(B468="","",IF(SUMIFS(Orders!$J$6:$J$1005,Orders!$C$6:$C$1005,B468)=0,"",SUMIFS(Orders!$J$6:$J$1005,Orders!$C$6:$C$1005,B468)))</f>
        <v/>
      </c>
      <c r="J468" s="1" t="n"/>
    </row>
    <row r="469">
      <c r="A469" s="1" t="n"/>
      <c r="B469" s="32" t="n"/>
      <c r="C469" s="33" t="n"/>
      <c r="D469" s="33" t="n"/>
      <c r="E469" s="33" t="n"/>
      <c r="F469" s="18">
        <f>IF(B469="","",COUNTIFS(Orders!$C$6:$C$1005,B469,Orders!$L$6:$L$1005,"&lt;&gt;Cancelled"))</f>
        <v/>
      </c>
      <c r="G469" s="22">
        <f>IF(B469="","",SUMIFS(Orders!$H$6:$H$1005,Orders!$C$6:$C$1005,B469,Orders!$L$6:$L$1005,"&lt;&gt;Cancelled"))</f>
        <v/>
      </c>
      <c r="H469" s="43">
        <f>IF(B469="","",IF(SUMIFS(Orders!$U$6:$U$1005,Orders!$C$6:$C$1005,B469,Orders!$V$6:$V$1005,1)=0,"",INT(SUMIFS(Orders!$U$6:$U$1005,Orders!$C$6:$C$1005,B469,Orders!$V$6:$V$1005,1))))</f>
        <v/>
      </c>
      <c r="I469" s="30">
        <f>IF(B469="","",IF(SUMIFS(Orders!$J$6:$J$1005,Orders!$C$6:$C$1005,B469)=0,"",SUMIFS(Orders!$J$6:$J$1005,Orders!$C$6:$C$1005,B469)))</f>
        <v/>
      </c>
      <c r="J469" s="1" t="n"/>
    </row>
    <row r="470">
      <c r="A470" s="1" t="n"/>
      <c r="B470" s="32" t="n"/>
      <c r="C470" s="33" t="n"/>
      <c r="D470" s="33" t="n"/>
      <c r="E470" s="33" t="n"/>
      <c r="F470" s="18">
        <f>IF(B470="","",COUNTIFS(Orders!$C$6:$C$1005,B470,Orders!$L$6:$L$1005,"&lt;&gt;Cancelled"))</f>
        <v/>
      </c>
      <c r="G470" s="22">
        <f>IF(B470="","",SUMIFS(Orders!$H$6:$H$1005,Orders!$C$6:$C$1005,B470,Orders!$L$6:$L$1005,"&lt;&gt;Cancelled"))</f>
        <v/>
      </c>
      <c r="H470" s="43">
        <f>IF(B470="","",IF(SUMIFS(Orders!$U$6:$U$1005,Orders!$C$6:$C$1005,B470,Orders!$V$6:$V$1005,1)=0,"",INT(SUMIFS(Orders!$U$6:$U$1005,Orders!$C$6:$C$1005,B470,Orders!$V$6:$V$1005,1))))</f>
        <v/>
      </c>
      <c r="I470" s="30">
        <f>IF(B470="","",IF(SUMIFS(Orders!$J$6:$J$1005,Orders!$C$6:$C$1005,B470)=0,"",SUMIFS(Orders!$J$6:$J$1005,Orders!$C$6:$C$1005,B470)))</f>
        <v/>
      </c>
      <c r="J470" s="1" t="n"/>
    </row>
    <row r="471">
      <c r="A471" s="1" t="n"/>
      <c r="B471" s="32" t="n"/>
      <c r="C471" s="33" t="n"/>
      <c r="D471" s="33" t="n"/>
      <c r="E471" s="33" t="n"/>
      <c r="F471" s="18">
        <f>IF(B471="","",COUNTIFS(Orders!$C$6:$C$1005,B471,Orders!$L$6:$L$1005,"&lt;&gt;Cancelled"))</f>
        <v/>
      </c>
      <c r="G471" s="22">
        <f>IF(B471="","",SUMIFS(Orders!$H$6:$H$1005,Orders!$C$6:$C$1005,B471,Orders!$L$6:$L$1005,"&lt;&gt;Cancelled"))</f>
        <v/>
      </c>
      <c r="H471" s="43">
        <f>IF(B471="","",IF(SUMIFS(Orders!$U$6:$U$1005,Orders!$C$6:$C$1005,B471,Orders!$V$6:$V$1005,1)=0,"",INT(SUMIFS(Orders!$U$6:$U$1005,Orders!$C$6:$C$1005,B471,Orders!$V$6:$V$1005,1))))</f>
        <v/>
      </c>
      <c r="I471" s="30">
        <f>IF(B471="","",IF(SUMIFS(Orders!$J$6:$J$1005,Orders!$C$6:$C$1005,B471)=0,"",SUMIFS(Orders!$J$6:$J$1005,Orders!$C$6:$C$1005,B471)))</f>
        <v/>
      </c>
      <c r="J471" s="1" t="n"/>
    </row>
    <row r="472">
      <c r="A472" s="1" t="n"/>
      <c r="B472" s="32" t="n"/>
      <c r="C472" s="33" t="n"/>
      <c r="D472" s="33" t="n"/>
      <c r="E472" s="33" t="n"/>
      <c r="F472" s="18">
        <f>IF(B472="","",COUNTIFS(Orders!$C$6:$C$1005,B472,Orders!$L$6:$L$1005,"&lt;&gt;Cancelled"))</f>
        <v/>
      </c>
      <c r="G472" s="22">
        <f>IF(B472="","",SUMIFS(Orders!$H$6:$H$1005,Orders!$C$6:$C$1005,B472,Orders!$L$6:$L$1005,"&lt;&gt;Cancelled"))</f>
        <v/>
      </c>
      <c r="H472" s="43">
        <f>IF(B472="","",IF(SUMIFS(Orders!$U$6:$U$1005,Orders!$C$6:$C$1005,B472,Orders!$V$6:$V$1005,1)=0,"",INT(SUMIFS(Orders!$U$6:$U$1005,Orders!$C$6:$C$1005,B472,Orders!$V$6:$V$1005,1))))</f>
        <v/>
      </c>
      <c r="I472" s="30">
        <f>IF(B472="","",IF(SUMIFS(Orders!$J$6:$J$1005,Orders!$C$6:$C$1005,B472)=0,"",SUMIFS(Orders!$J$6:$J$1005,Orders!$C$6:$C$1005,B472)))</f>
        <v/>
      </c>
      <c r="J472" s="1" t="n"/>
    </row>
    <row r="473">
      <c r="A473" s="1" t="n"/>
      <c r="B473" s="32" t="n"/>
      <c r="C473" s="33" t="n"/>
      <c r="D473" s="33" t="n"/>
      <c r="E473" s="33" t="n"/>
      <c r="F473" s="18">
        <f>IF(B473="","",COUNTIFS(Orders!$C$6:$C$1005,B473,Orders!$L$6:$L$1005,"&lt;&gt;Cancelled"))</f>
        <v/>
      </c>
      <c r="G473" s="22">
        <f>IF(B473="","",SUMIFS(Orders!$H$6:$H$1005,Orders!$C$6:$C$1005,B473,Orders!$L$6:$L$1005,"&lt;&gt;Cancelled"))</f>
        <v/>
      </c>
      <c r="H473" s="43">
        <f>IF(B473="","",IF(SUMIFS(Orders!$U$6:$U$1005,Orders!$C$6:$C$1005,B473,Orders!$V$6:$V$1005,1)=0,"",INT(SUMIFS(Orders!$U$6:$U$1005,Orders!$C$6:$C$1005,B473,Orders!$V$6:$V$1005,1))))</f>
        <v/>
      </c>
      <c r="I473" s="30">
        <f>IF(B473="","",IF(SUMIFS(Orders!$J$6:$J$1005,Orders!$C$6:$C$1005,B473)=0,"",SUMIFS(Orders!$J$6:$J$1005,Orders!$C$6:$C$1005,B473)))</f>
        <v/>
      </c>
      <c r="J473" s="1" t="n"/>
    </row>
    <row r="474">
      <c r="A474" s="1" t="n"/>
      <c r="B474" s="32" t="n"/>
      <c r="C474" s="33" t="n"/>
      <c r="D474" s="33" t="n"/>
      <c r="E474" s="33" t="n"/>
      <c r="F474" s="18">
        <f>IF(B474="","",COUNTIFS(Orders!$C$6:$C$1005,B474,Orders!$L$6:$L$1005,"&lt;&gt;Cancelled"))</f>
        <v/>
      </c>
      <c r="G474" s="22">
        <f>IF(B474="","",SUMIFS(Orders!$H$6:$H$1005,Orders!$C$6:$C$1005,B474,Orders!$L$6:$L$1005,"&lt;&gt;Cancelled"))</f>
        <v/>
      </c>
      <c r="H474" s="43">
        <f>IF(B474="","",IF(SUMIFS(Orders!$U$6:$U$1005,Orders!$C$6:$C$1005,B474,Orders!$V$6:$V$1005,1)=0,"",INT(SUMIFS(Orders!$U$6:$U$1005,Orders!$C$6:$C$1005,B474,Orders!$V$6:$V$1005,1))))</f>
        <v/>
      </c>
      <c r="I474" s="30">
        <f>IF(B474="","",IF(SUMIFS(Orders!$J$6:$J$1005,Orders!$C$6:$C$1005,B474)=0,"",SUMIFS(Orders!$J$6:$J$1005,Orders!$C$6:$C$1005,B474)))</f>
        <v/>
      </c>
      <c r="J474" s="1" t="n"/>
    </row>
    <row r="475">
      <c r="A475" s="1" t="n"/>
      <c r="B475" s="32" t="n"/>
      <c r="C475" s="33" t="n"/>
      <c r="D475" s="33" t="n"/>
      <c r="E475" s="33" t="n"/>
      <c r="F475" s="18">
        <f>IF(B475="","",COUNTIFS(Orders!$C$6:$C$1005,B475,Orders!$L$6:$L$1005,"&lt;&gt;Cancelled"))</f>
        <v/>
      </c>
      <c r="G475" s="22">
        <f>IF(B475="","",SUMIFS(Orders!$H$6:$H$1005,Orders!$C$6:$C$1005,B475,Orders!$L$6:$L$1005,"&lt;&gt;Cancelled"))</f>
        <v/>
      </c>
      <c r="H475" s="43">
        <f>IF(B475="","",IF(SUMIFS(Orders!$U$6:$U$1005,Orders!$C$6:$C$1005,B475,Orders!$V$6:$V$1005,1)=0,"",INT(SUMIFS(Orders!$U$6:$U$1005,Orders!$C$6:$C$1005,B475,Orders!$V$6:$V$1005,1))))</f>
        <v/>
      </c>
      <c r="I475" s="30">
        <f>IF(B475="","",IF(SUMIFS(Orders!$J$6:$J$1005,Orders!$C$6:$C$1005,B475)=0,"",SUMIFS(Orders!$J$6:$J$1005,Orders!$C$6:$C$1005,B475)))</f>
        <v/>
      </c>
      <c r="J475" s="1" t="n"/>
    </row>
    <row r="476">
      <c r="A476" s="1" t="n"/>
      <c r="B476" s="32" t="n"/>
      <c r="C476" s="33" t="n"/>
      <c r="D476" s="33" t="n"/>
      <c r="E476" s="33" t="n"/>
      <c r="F476" s="18">
        <f>IF(B476="","",COUNTIFS(Orders!$C$6:$C$1005,B476,Orders!$L$6:$L$1005,"&lt;&gt;Cancelled"))</f>
        <v/>
      </c>
      <c r="G476" s="22">
        <f>IF(B476="","",SUMIFS(Orders!$H$6:$H$1005,Orders!$C$6:$C$1005,B476,Orders!$L$6:$L$1005,"&lt;&gt;Cancelled"))</f>
        <v/>
      </c>
      <c r="H476" s="43">
        <f>IF(B476="","",IF(SUMIFS(Orders!$U$6:$U$1005,Orders!$C$6:$C$1005,B476,Orders!$V$6:$V$1005,1)=0,"",INT(SUMIFS(Orders!$U$6:$U$1005,Orders!$C$6:$C$1005,B476,Orders!$V$6:$V$1005,1))))</f>
        <v/>
      </c>
      <c r="I476" s="30">
        <f>IF(B476="","",IF(SUMIFS(Orders!$J$6:$J$1005,Orders!$C$6:$C$1005,B476)=0,"",SUMIFS(Orders!$J$6:$J$1005,Orders!$C$6:$C$1005,B476)))</f>
        <v/>
      </c>
      <c r="J476" s="1" t="n"/>
    </row>
    <row r="477">
      <c r="A477" s="1" t="n"/>
      <c r="B477" s="32" t="n"/>
      <c r="C477" s="33" t="n"/>
      <c r="D477" s="33" t="n"/>
      <c r="E477" s="33" t="n"/>
      <c r="F477" s="18">
        <f>IF(B477="","",COUNTIFS(Orders!$C$6:$C$1005,B477,Orders!$L$6:$L$1005,"&lt;&gt;Cancelled"))</f>
        <v/>
      </c>
      <c r="G477" s="22">
        <f>IF(B477="","",SUMIFS(Orders!$H$6:$H$1005,Orders!$C$6:$C$1005,B477,Orders!$L$6:$L$1005,"&lt;&gt;Cancelled"))</f>
        <v/>
      </c>
      <c r="H477" s="43">
        <f>IF(B477="","",IF(SUMIFS(Orders!$U$6:$U$1005,Orders!$C$6:$C$1005,B477,Orders!$V$6:$V$1005,1)=0,"",INT(SUMIFS(Orders!$U$6:$U$1005,Orders!$C$6:$C$1005,B477,Orders!$V$6:$V$1005,1))))</f>
        <v/>
      </c>
      <c r="I477" s="30">
        <f>IF(B477="","",IF(SUMIFS(Orders!$J$6:$J$1005,Orders!$C$6:$C$1005,B477)=0,"",SUMIFS(Orders!$J$6:$J$1005,Orders!$C$6:$C$1005,B477)))</f>
        <v/>
      </c>
      <c r="J477" s="1" t="n"/>
    </row>
    <row r="478">
      <c r="A478" s="1" t="n"/>
      <c r="B478" s="32" t="n"/>
      <c r="C478" s="33" t="n"/>
      <c r="D478" s="33" t="n"/>
      <c r="E478" s="33" t="n"/>
      <c r="F478" s="18">
        <f>IF(B478="","",COUNTIFS(Orders!$C$6:$C$1005,B478,Orders!$L$6:$L$1005,"&lt;&gt;Cancelled"))</f>
        <v/>
      </c>
      <c r="G478" s="22">
        <f>IF(B478="","",SUMIFS(Orders!$H$6:$H$1005,Orders!$C$6:$C$1005,B478,Orders!$L$6:$L$1005,"&lt;&gt;Cancelled"))</f>
        <v/>
      </c>
      <c r="H478" s="43">
        <f>IF(B478="","",IF(SUMIFS(Orders!$U$6:$U$1005,Orders!$C$6:$C$1005,B478,Orders!$V$6:$V$1005,1)=0,"",INT(SUMIFS(Orders!$U$6:$U$1005,Orders!$C$6:$C$1005,B478,Orders!$V$6:$V$1005,1))))</f>
        <v/>
      </c>
      <c r="I478" s="30">
        <f>IF(B478="","",IF(SUMIFS(Orders!$J$6:$J$1005,Orders!$C$6:$C$1005,B478)=0,"",SUMIFS(Orders!$J$6:$J$1005,Orders!$C$6:$C$1005,B478)))</f>
        <v/>
      </c>
      <c r="J478" s="1" t="n"/>
    </row>
    <row r="479">
      <c r="A479" s="1" t="n"/>
      <c r="B479" s="32" t="n"/>
      <c r="C479" s="33" t="n"/>
      <c r="D479" s="33" t="n"/>
      <c r="E479" s="33" t="n"/>
      <c r="F479" s="18">
        <f>IF(B479="","",COUNTIFS(Orders!$C$6:$C$1005,B479,Orders!$L$6:$L$1005,"&lt;&gt;Cancelled"))</f>
        <v/>
      </c>
      <c r="G479" s="22">
        <f>IF(B479="","",SUMIFS(Orders!$H$6:$H$1005,Orders!$C$6:$C$1005,B479,Orders!$L$6:$L$1005,"&lt;&gt;Cancelled"))</f>
        <v/>
      </c>
      <c r="H479" s="43">
        <f>IF(B479="","",IF(SUMIFS(Orders!$U$6:$U$1005,Orders!$C$6:$C$1005,B479,Orders!$V$6:$V$1005,1)=0,"",INT(SUMIFS(Orders!$U$6:$U$1005,Orders!$C$6:$C$1005,B479,Orders!$V$6:$V$1005,1))))</f>
        <v/>
      </c>
      <c r="I479" s="30">
        <f>IF(B479="","",IF(SUMIFS(Orders!$J$6:$J$1005,Orders!$C$6:$C$1005,B479)=0,"",SUMIFS(Orders!$J$6:$J$1005,Orders!$C$6:$C$1005,B479)))</f>
        <v/>
      </c>
      <c r="J479" s="1" t="n"/>
    </row>
    <row r="480">
      <c r="A480" s="1" t="n"/>
      <c r="B480" s="32" t="n"/>
      <c r="C480" s="33" t="n"/>
      <c r="D480" s="33" t="n"/>
      <c r="E480" s="33" t="n"/>
      <c r="F480" s="18">
        <f>IF(B480="","",COUNTIFS(Orders!$C$6:$C$1005,B480,Orders!$L$6:$L$1005,"&lt;&gt;Cancelled"))</f>
        <v/>
      </c>
      <c r="G480" s="22">
        <f>IF(B480="","",SUMIFS(Orders!$H$6:$H$1005,Orders!$C$6:$C$1005,B480,Orders!$L$6:$L$1005,"&lt;&gt;Cancelled"))</f>
        <v/>
      </c>
      <c r="H480" s="43">
        <f>IF(B480="","",IF(SUMIFS(Orders!$U$6:$U$1005,Orders!$C$6:$C$1005,B480,Orders!$V$6:$V$1005,1)=0,"",INT(SUMIFS(Orders!$U$6:$U$1005,Orders!$C$6:$C$1005,B480,Orders!$V$6:$V$1005,1))))</f>
        <v/>
      </c>
      <c r="I480" s="30">
        <f>IF(B480="","",IF(SUMIFS(Orders!$J$6:$J$1005,Orders!$C$6:$C$1005,B480)=0,"",SUMIFS(Orders!$J$6:$J$1005,Orders!$C$6:$C$1005,B480)))</f>
        <v/>
      </c>
      <c r="J480" s="1" t="n"/>
    </row>
    <row r="481">
      <c r="A481" s="1" t="n"/>
      <c r="B481" s="32" t="n"/>
      <c r="C481" s="33" t="n"/>
      <c r="D481" s="33" t="n"/>
      <c r="E481" s="33" t="n"/>
      <c r="F481" s="18">
        <f>IF(B481="","",COUNTIFS(Orders!$C$6:$C$1005,B481,Orders!$L$6:$L$1005,"&lt;&gt;Cancelled"))</f>
        <v/>
      </c>
      <c r="G481" s="22">
        <f>IF(B481="","",SUMIFS(Orders!$H$6:$H$1005,Orders!$C$6:$C$1005,B481,Orders!$L$6:$L$1005,"&lt;&gt;Cancelled"))</f>
        <v/>
      </c>
      <c r="H481" s="43">
        <f>IF(B481="","",IF(SUMIFS(Orders!$U$6:$U$1005,Orders!$C$6:$C$1005,B481,Orders!$V$6:$V$1005,1)=0,"",INT(SUMIFS(Orders!$U$6:$U$1005,Orders!$C$6:$C$1005,B481,Orders!$V$6:$V$1005,1))))</f>
        <v/>
      </c>
      <c r="I481" s="30">
        <f>IF(B481="","",IF(SUMIFS(Orders!$J$6:$J$1005,Orders!$C$6:$C$1005,B481)=0,"",SUMIFS(Orders!$J$6:$J$1005,Orders!$C$6:$C$1005,B481)))</f>
        <v/>
      </c>
      <c r="J481" s="1" t="n"/>
    </row>
    <row r="482">
      <c r="A482" s="1" t="n"/>
      <c r="B482" s="32" t="n"/>
      <c r="C482" s="33" t="n"/>
      <c r="D482" s="33" t="n"/>
      <c r="E482" s="33" t="n"/>
      <c r="F482" s="18">
        <f>IF(B482="","",COUNTIFS(Orders!$C$6:$C$1005,B482,Orders!$L$6:$L$1005,"&lt;&gt;Cancelled"))</f>
        <v/>
      </c>
      <c r="G482" s="22">
        <f>IF(B482="","",SUMIFS(Orders!$H$6:$H$1005,Orders!$C$6:$C$1005,B482,Orders!$L$6:$L$1005,"&lt;&gt;Cancelled"))</f>
        <v/>
      </c>
      <c r="H482" s="43">
        <f>IF(B482="","",IF(SUMIFS(Orders!$U$6:$U$1005,Orders!$C$6:$C$1005,B482,Orders!$V$6:$V$1005,1)=0,"",INT(SUMIFS(Orders!$U$6:$U$1005,Orders!$C$6:$C$1005,B482,Orders!$V$6:$V$1005,1))))</f>
        <v/>
      </c>
      <c r="I482" s="30">
        <f>IF(B482="","",IF(SUMIFS(Orders!$J$6:$J$1005,Orders!$C$6:$C$1005,B482)=0,"",SUMIFS(Orders!$J$6:$J$1005,Orders!$C$6:$C$1005,B482)))</f>
        <v/>
      </c>
      <c r="J482" s="1" t="n"/>
    </row>
    <row r="483">
      <c r="A483" s="1" t="n"/>
      <c r="B483" s="32" t="n"/>
      <c r="C483" s="33" t="n"/>
      <c r="D483" s="33" t="n"/>
      <c r="E483" s="33" t="n"/>
      <c r="F483" s="18">
        <f>IF(B483="","",COUNTIFS(Orders!$C$6:$C$1005,B483,Orders!$L$6:$L$1005,"&lt;&gt;Cancelled"))</f>
        <v/>
      </c>
      <c r="G483" s="22">
        <f>IF(B483="","",SUMIFS(Orders!$H$6:$H$1005,Orders!$C$6:$C$1005,B483,Orders!$L$6:$L$1005,"&lt;&gt;Cancelled"))</f>
        <v/>
      </c>
      <c r="H483" s="43">
        <f>IF(B483="","",IF(SUMIFS(Orders!$U$6:$U$1005,Orders!$C$6:$C$1005,B483,Orders!$V$6:$V$1005,1)=0,"",INT(SUMIFS(Orders!$U$6:$U$1005,Orders!$C$6:$C$1005,B483,Orders!$V$6:$V$1005,1))))</f>
        <v/>
      </c>
      <c r="I483" s="30">
        <f>IF(B483="","",IF(SUMIFS(Orders!$J$6:$J$1005,Orders!$C$6:$C$1005,B483)=0,"",SUMIFS(Orders!$J$6:$J$1005,Orders!$C$6:$C$1005,B483)))</f>
        <v/>
      </c>
      <c r="J483" s="1" t="n"/>
    </row>
    <row r="484">
      <c r="A484" s="1" t="n"/>
      <c r="B484" s="32" t="n"/>
      <c r="C484" s="33" t="n"/>
      <c r="D484" s="33" t="n"/>
      <c r="E484" s="33" t="n"/>
      <c r="F484" s="18">
        <f>IF(B484="","",COUNTIFS(Orders!$C$6:$C$1005,B484,Orders!$L$6:$L$1005,"&lt;&gt;Cancelled"))</f>
        <v/>
      </c>
      <c r="G484" s="22">
        <f>IF(B484="","",SUMIFS(Orders!$H$6:$H$1005,Orders!$C$6:$C$1005,B484,Orders!$L$6:$L$1005,"&lt;&gt;Cancelled"))</f>
        <v/>
      </c>
      <c r="H484" s="43">
        <f>IF(B484="","",IF(SUMIFS(Orders!$U$6:$U$1005,Orders!$C$6:$C$1005,B484,Orders!$V$6:$V$1005,1)=0,"",INT(SUMIFS(Orders!$U$6:$U$1005,Orders!$C$6:$C$1005,B484,Orders!$V$6:$V$1005,1))))</f>
        <v/>
      </c>
      <c r="I484" s="30">
        <f>IF(B484="","",IF(SUMIFS(Orders!$J$6:$J$1005,Orders!$C$6:$C$1005,B484)=0,"",SUMIFS(Orders!$J$6:$J$1005,Orders!$C$6:$C$1005,B484)))</f>
        <v/>
      </c>
      <c r="J484" s="1" t="n"/>
    </row>
    <row r="485">
      <c r="A485" s="1" t="n"/>
      <c r="B485" s="32" t="n"/>
      <c r="C485" s="33" t="n"/>
      <c r="D485" s="33" t="n"/>
      <c r="E485" s="33" t="n"/>
      <c r="F485" s="18">
        <f>IF(B485="","",COUNTIFS(Orders!$C$6:$C$1005,B485,Orders!$L$6:$L$1005,"&lt;&gt;Cancelled"))</f>
        <v/>
      </c>
      <c r="G485" s="22">
        <f>IF(B485="","",SUMIFS(Orders!$H$6:$H$1005,Orders!$C$6:$C$1005,B485,Orders!$L$6:$L$1005,"&lt;&gt;Cancelled"))</f>
        <v/>
      </c>
      <c r="H485" s="43">
        <f>IF(B485="","",IF(SUMIFS(Orders!$U$6:$U$1005,Orders!$C$6:$C$1005,B485,Orders!$V$6:$V$1005,1)=0,"",INT(SUMIFS(Orders!$U$6:$U$1005,Orders!$C$6:$C$1005,B485,Orders!$V$6:$V$1005,1))))</f>
        <v/>
      </c>
      <c r="I485" s="30">
        <f>IF(B485="","",IF(SUMIFS(Orders!$J$6:$J$1005,Orders!$C$6:$C$1005,B485)=0,"",SUMIFS(Orders!$J$6:$J$1005,Orders!$C$6:$C$1005,B485)))</f>
        <v/>
      </c>
      <c r="J485" s="1" t="n"/>
    </row>
    <row r="486">
      <c r="A486" s="1" t="n"/>
      <c r="B486" s="32" t="n"/>
      <c r="C486" s="33" t="n"/>
      <c r="D486" s="33" t="n"/>
      <c r="E486" s="33" t="n"/>
      <c r="F486" s="18">
        <f>IF(B486="","",COUNTIFS(Orders!$C$6:$C$1005,B486,Orders!$L$6:$L$1005,"&lt;&gt;Cancelled"))</f>
        <v/>
      </c>
      <c r="G486" s="22">
        <f>IF(B486="","",SUMIFS(Orders!$H$6:$H$1005,Orders!$C$6:$C$1005,B486,Orders!$L$6:$L$1005,"&lt;&gt;Cancelled"))</f>
        <v/>
      </c>
      <c r="H486" s="43">
        <f>IF(B486="","",IF(SUMIFS(Orders!$U$6:$U$1005,Orders!$C$6:$C$1005,B486,Orders!$V$6:$V$1005,1)=0,"",INT(SUMIFS(Orders!$U$6:$U$1005,Orders!$C$6:$C$1005,B486,Orders!$V$6:$V$1005,1))))</f>
        <v/>
      </c>
      <c r="I486" s="30">
        <f>IF(B486="","",IF(SUMIFS(Orders!$J$6:$J$1005,Orders!$C$6:$C$1005,B486)=0,"",SUMIFS(Orders!$J$6:$J$1005,Orders!$C$6:$C$1005,B486)))</f>
        <v/>
      </c>
      <c r="J486" s="1" t="n"/>
    </row>
    <row r="487">
      <c r="A487" s="1" t="n"/>
      <c r="B487" s="32" t="n"/>
      <c r="C487" s="33" t="n"/>
      <c r="D487" s="33" t="n"/>
      <c r="E487" s="33" t="n"/>
      <c r="F487" s="18">
        <f>IF(B487="","",COUNTIFS(Orders!$C$6:$C$1005,B487,Orders!$L$6:$L$1005,"&lt;&gt;Cancelled"))</f>
        <v/>
      </c>
      <c r="G487" s="22">
        <f>IF(B487="","",SUMIFS(Orders!$H$6:$H$1005,Orders!$C$6:$C$1005,B487,Orders!$L$6:$L$1005,"&lt;&gt;Cancelled"))</f>
        <v/>
      </c>
      <c r="H487" s="43">
        <f>IF(B487="","",IF(SUMIFS(Orders!$U$6:$U$1005,Orders!$C$6:$C$1005,B487,Orders!$V$6:$V$1005,1)=0,"",INT(SUMIFS(Orders!$U$6:$U$1005,Orders!$C$6:$C$1005,B487,Orders!$V$6:$V$1005,1))))</f>
        <v/>
      </c>
      <c r="I487" s="30">
        <f>IF(B487="","",IF(SUMIFS(Orders!$J$6:$J$1005,Orders!$C$6:$C$1005,B487)=0,"",SUMIFS(Orders!$J$6:$J$1005,Orders!$C$6:$C$1005,B487)))</f>
        <v/>
      </c>
      <c r="J487" s="1" t="n"/>
    </row>
    <row r="488">
      <c r="A488" s="1" t="n"/>
      <c r="B488" s="32" t="n"/>
      <c r="C488" s="33" t="n"/>
      <c r="D488" s="33" t="n"/>
      <c r="E488" s="33" t="n"/>
      <c r="F488" s="18">
        <f>IF(B488="","",COUNTIFS(Orders!$C$6:$C$1005,B488,Orders!$L$6:$L$1005,"&lt;&gt;Cancelled"))</f>
        <v/>
      </c>
      <c r="G488" s="22">
        <f>IF(B488="","",SUMIFS(Orders!$H$6:$H$1005,Orders!$C$6:$C$1005,B488,Orders!$L$6:$L$1005,"&lt;&gt;Cancelled"))</f>
        <v/>
      </c>
      <c r="H488" s="43">
        <f>IF(B488="","",IF(SUMIFS(Orders!$U$6:$U$1005,Orders!$C$6:$C$1005,B488,Orders!$V$6:$V$1005,1)=0,"",INT(SUMIFS(Orders!$U$6:$U$1005,Orders!$C$6:$C$1005,B488,Orders!$V$6:$V$1005,1))))</f>
        <v/>
      </c>
      <c r="I488" s="30">
        <f>IF(B488="","",IF(SUMIFS(Orders!$J$6:$J$1005,Orders!$C$6:$C$1005,B488)=0,"",SUMIFS(Orders!$J$6:$J$1005,Orders!$C$6:$C$1005,B488)))</f>
        <v/>
      </c>
      <c r="J488" s="1" t="n"/>
    </row>
    <row r="489">
      <c r="A489" s="1" t="n"/>
      <c r="B489" s="32" t="n"/>
      <c r="C489" s="33" t="n"/>
      <c r="D489" s="33" t="n"/>
      <c r="E489" s="33" t="n"/>
      <c r="F489" s="18">
        <f>IF(B489="","",COUNTIFS(Orders!$C$6:$C$1005,B489,Orders!$L$6:$L$1005,"&lt;&gt;Cancelled"))</f>
        <v/>
      </c>
      <c r="G489" s="22">
        <f>IF(B489="","",SUMIFS(Orders!$H$6:$H$1005,Orders!$C$6:$C$1005,B489,Orders!$L$6:$L$1005,"&lt;&gt;Cancelled"))</f>
        <v/>
      </c>
      <c r="H489" s="43">
        <f>IF(B489="","",IF(SUMIFS(Orders!$U$6:$U$1005,Orders!$C$6:$C$1005,B489,Orders!$V$6:$V$1005,1)=0,"",INT(SUMIFS(Orders!$U$6:$U$1005,Orders!$C$6:$C$1005,B489,Orders!$V$6:$V$1005,1))))</f>
        <v/>
      </c>
      <c r="I489" s="30">
        <f>IF(B489="","",IF(SUMIFS(Orders!$J$6:$J$1005,Orders!$C$6:$C$1005,B489)=0,"",SUMIFS(Orders!$J$6:$J$1005,Orders!$C$6:$C$1005,B489)))</f>
        <v/>
      </c>
      <c r="J489" s="1" t="n"/>
    </row>
    <row r="490">
      <c r="A490" s="1" t="n"/>
      <c r="B490" s="32" t="n"/>
      <c r="C490" s="33" t="n"/>
      <c r="D490" s="33" t="n"/>
      <c r="E490" s="33" t="n"/>
      <c r="F490" s="18">
        <f>IF(B490="","",COUNTIFS(Orders!$C$6:$C$1005,B490,Orders!$L$6:$L$1005,"&lt;&gt;Cancelled"))</f>
        <v/>
      </c>
      <c r="G490" s="22">
        <f>IF(B490="","",SUMIFS(Orders!$H$6:$H$1005,Orders!$C$6:$C$1005,B490,Orders!$L$6:$L$1005,"&lt;&gt;Cancelled"))</f>
        <v/>
      </c>
      <c r="H490" s="43">
        <f>IF(B490="","",IF(SUMIFS(Orders!$U$6:$U$1005,Orders!$C$6:$C$1005,B490,Orders!$V$6:$V$1005,1)=0,"",INT(SUMIFS(Orders!$U$6:$U$1005,Orders!$C$6:$C$1005,B490,Orders!$V$6:$V$1005,1))))</f>
        <v/>
      </c>
      <c r="I490" s="30">
        <f>IF(B490="","",IF(SUMIFS(Orders!$J$6:$J$1005,Orders!$C$6:$C$1005,B490)=0,"",SUMIFS(Orders!$J$6:$J$1005,Orders!$C$6:$C$1005,B490)))</f>
        <v/>
      </c>
      <c r="J490" s="1" t="n"/>
    </row>
    <row r="491">
      <c r="A491" s="1" t="n"/>
      <c r="B491" s="32" t="n"/>
      <c r="C491" s="33" t="n"/>
      <c r="D491" s="33" t="n"/>
      <c r="E491" s="33" t="n"/>
      <c r="F491" s="18">
        <f>IF(B491="","",COUNTIFS(Orders!$C$6:$C$1005,B491,Orders!$L$6:$L$1005,"&lt;&gt;Cancelled"))</f>
        <v/>
      </c>
      <c r="G491" s="22">
        <f>IF(B491="","",SUMIFS(Orders!$H$6:$H$1005,Orders!$C$6:$C$1005,B491,Orders!$L$6:$L$1005,"&lt;&gt;Cancelled"))</f>
        <v/>
      </c>
      <c r="H491" s="43">
        <f>IF(B491="","",IF(SUMIFS(Orders!$U$6:$U$1005,Orders!$C$6:$C$1005,B491,Orders!$V$6:$V$1005,1)=0,"",INT(SUMIFS(Orders!$U$6:$U$1005,Orders!$C$6:$C$1005,B491,Orders!$V$6:$V$1005,1))))</f>
        <v/>
      </c>
      <c r="I491" s="30">
        <f>IF(B491="","",IF(SUMIFS(Orders!$J$6:$J$1005,Orders!$C$6:$C$1005,B491)=0,"",SUMIFS(Orders!$J$6:$J$1005,Orders!$C$6:$C$1005,B491)))</f>
        <v/>
      </c>
      <c r="J491" s="1" t="n"/>
    </row>
    <row r="492">
      <c r="A492" s="1" t="n"/>
      <c r="B492" s="32" t="n"/>
      <c r="C492" s="33" t="n"/>
      <c r="D492" s="33" t="n"/>
      <c r="E492" s="33" t="n"/>
      <c r="F492" s="18">
        <f>IF(B492="","",COUNTIFS(Orders!$C$6:$C$1005,B492,Orders!$L$6:$L$1005,"&lt;&gt;Cancelled"))</f>
        <v/>
      </c>
      <c r="G492" s="22">
        <f>IF(B492="","",SUMIFS(Orders!$H$6:$H$1005,Orders!$C$6:$C$1005,B492,Orders!$L$6:$L$1005,"&lt;&gt;Cancelled"))</f>
        <v/>
      </c>
      <c r="H492" s="43">
        <f>IF(B492="","",IF(SUMIFS(Orders!$U$6:$U$1005,Orders!$C$6:$C$1005,B492,Orders!$V$6:$V$1005,1)=0,"",INT(SUMIFS(Orders!$U$6:$U$1005,Orders!$C$6:$C$1005,B492,Orders!$V$6:$V$1005,1))))</f>
        <v/>
      </c>
      <c r="I492" s="30">
        <f>IF(B492="","",IF(SUMIFS(Orders!$J$6:$J$1005,Orders!$C$6:$C$1005,B492)=0,"",SUMIFS(Orders!$J$6:$J$1005,Orders!$C$6:$C$1005,B492)))</f>
        <v/>
      </c>
      <c r="J492" s="1" t="n"/>
    </row>
    <row r="493">
      <c r="A493" s="1" t="n"/>
      <c r="B493" s="32" t="n"/>
      <c r="C493" s="33" t="n"/>
      <c r="D493" s="33" t="n"/>
      <c r="E493" s="33" t="n"/>
      <c r="F493" s="18">
        <f>IF(B493="","",COUNTIFS(Orders!$C$6:$C$1005,B493,Orders!$L$6:$L$1005,"&lt;&gt;Cancelled"))</f>
        <v/>
      </c>
      <c r="G493" s="22">
        <f>IF(B493="","",SUMIFS(Orders!$H$6:$H$1005,Orders!$C$6:$C$1005,B493,Orders!$L$6:$L$1005,"&lt;&gt;Cancelled"))</f>
        <v/>
      </c>
      <c r="H493" s="43">
        <f>IF(B493="","",IF(SUMIFS(Orders!$U$6:$U$1005,Orders!$C$6:$C$1005,B493,Orders!$V$6:$V$1005,1)=0,"",INT(SUMIFS(Orders!$U$6:$U$1005,Orders!$C$6:$C$1005,B493,Orders!$V$6:$V$1005,1))))</f>
        <v/>
      </c>
      <c r="I493" s="30">
        <f>IF(B493="","",IF(SUMIFS(Orders!$J$6:$J$1005,Orders!$C$6:$C$1005,B493)=0,"",SUMIFS(Orders!$J$6:$J$1005,Orders!$C$6:$C$1005,B493)))</f>
        <v/>
      </c>
      <c r="J493" s="1" t="n"/>
    </row>
    <row r="494">
      <c r="A494" s="1" t="n"/>
      <c r="B494" s="32" t="n"/>
      <c r="C494" s="33" t="n"/>
      <c r="D494" s="33" t="n"/>
      <c r="E494" s="33" t="n"/>
      <c r="F494" s="18">
        <f>IF(B494="","",COUNTIFS(Orders!$C$6:$C$1005,B494,Orders!$L$6:$L$1005,"&lt;&gt;Cancelled"))</f>
        <v/>
      </c>
      <c r="G494" s="22">
        <f>IF(B494="","",SUMIFS(Orders!$H$6:$H$1005,Orders!$C$6:$C$1005,B494,Orders!$L$6:$L$1005,"&lt;&gt;Cancelled"))</f>
        <v/>
      </c>
      <c r="H494" s="43">
        <f>IF(B494="","",IF(SUMIFS(Orders!$U$6:$U$1005,Orders!$C$6:$C$1005,B494,Orders!$V$6:$V$1005,1)=0,"",INT(SUMIFS(Orders!$U$6:$U$1005,Orders!$C$6:$C$1005,B494,Orders!$V$6:$V$1005,1))))</f>
        <v/>
      </c>
      <c r="I494" s="30">
        <f>IF(B494="","",IF(SUMIFS(Orders!$J$6:$J$1005,Orders!$C$6:$C$1005,B494)=0,"",SUMIFS(Orders!$J$6:$J$1005,Orders!$C$6:$C$1005,B494)))</f>
        <v/>
      </c>
      <c r="J494" s="1" t="n"/>
    </row>
    <row r="495">
      <c r="A495" s="1" t="n"/>
      <c r="B495" s="32" t="n"/>
      <c r="C495" s="33" t="n"/>
      <c r="D495" s="33" t="n"/>
      <c r="E495" s="33" t="n"/>
      <c r="F495" s="18">
        <f>IF(B495="","",COUNTIFS(Orders!$C$6:$C$1005,B495,Orders!$L$6:$L$1005,"&lt;&gt;Cancelled"))</f>
        <v/>
      </c>
      <c r="G495" s="22">
        <f>IF(B495="","",SUMIFS(Orders!$H$6:$H$1005,Orders!$C$6:$C$1005,B495,Orders!$L$6:$L$1005,"&lt;&gt;Cancelled"))</f>
        <v/>
      </c>
      <c r="H495" s="43">
        <f>IF(B495="","",IF(SUMIFS(Orders!$U$6:$U$1005,Orders!$C$6:$C$1005,B495,Orders!$V$6:$V$1005,1)=0,"",INT(SUMIFS(Orders!$U$6:$U$1005,Orders!$C$6:$C$1005,B495,Orders!$V$6:$V$1005,1))))</f>
        <v/>
      </c>
      <c r="I495" s="30">
        <f>IF(B495="","",IF(SUMIFS(Orders!$J$6:$J$1005,Orders!$C$6:$C$1005,B495)=0,"",SUMIFS(Orders!$J$6:$J$1005,Orders!$C$6:$C$1005,B495)))</f>
        <v/>
      </c>
      <c r="J495" s="1" t="n"/>
    </row>
    <row r="496">
      <c r="A496" s="1" t="n"/>
      <c r="B496" s="32" t="n"/>
      <c r="C496" s="33" t="n"/>
      <c r="D496" s="33" t="n"/>
      <c r="E496" s="33" t="n"/>
      <c r="F496" s="18">
        <f>IF(B496="","",COUNTIFS(Orders!$C$6:$C$1005,B496,Orders!$L$6:$L$1005,"&lt;&gt;Cancelled"))</f>
        <v/>
      </c>
      <c r="G496" s="22">
        <f>IF(B496="","",SUMIFS(Orders!$H$6:$H$1005,Orders!$C$6:$C$1005,B496,Orders!$L$6:$L$1005,"&lt;&gt;Cancelled"))</f>
        <v/>
      </c>
      <c r="H496" s="43">
        <f>IF(B496="","",IF(SUMIFS(Orders!$U$6:$U$1005,Orders!$C$6:$C$1005,B496,Orders!$V$6:$V$1005,1)=0,"",INT(SUMIFS(Orders!$U$6:$U$1005,Orders!$C$6:$C$1005,B496,Orders!$V$6:$V$1005,1))))</f>
        <v/>
      </c>
      <c r="I496" s="30">
        <f>IF(B496="","",IF(SUMIFS(Orders!$J$6:$J$1005,Orders!$C$6:$C$1005,B496)=0,"",SUMIFS(Orders!$J$6:$J$1005,Orders!$C$6:$C$1005,B496)))</f>
        <v/>
      </c>
      <c r="J496" s="1" t="n"/>
    </row>
    <row r="497">
      <c r="A497" s="1" t="n"/>
      <c r="B497" s="32" t="n"/>
      <c r="C497" s="33" t="n"/>
      <c r="D497" s="33" t="n"/>
      <c r="E497" s="33" t="n"/>
      <c r="F497" s="18">
        <f>IF(B497="","",COUNTIFS(Orders!$C$6:$C$1005,B497,Orders!$L$6:$L$1005,"&lt;&gt;Cancelled"))</f>
        <v/>
      </c>
      <c r="G497" s="22">
        <f>IF(B497="","",SUMIFS(Orders!$H$6:$H$1005,Orders!$C$6:$C$1005,B497,Orders!$L$6:$L$1005,"&lt;&gt;Cancelled"))</f>
        <v/>
      </c>
      <c r="H497" s="43">
        <f>IF(B497="","",IF(SUMIFS(Orders!$U$6:$U$1005,Orders!$C$6:$C$1005,B497,Orders!$V$6:$V$1005,1)=0,"",INT(SUMIFS(Orders!$U$6:$U$1005,Orders!$C$6:$C$1005,B497,Orders!$V$6:$V$1005,1))))</f>
        <v/>
      </c>
      <c r="I497" s="30">
        <f>IF(B497="","",IF(SUMIFS(Orders!$J$6:$J$1005,Orders!$C$6:$C$1005,B497)=0,"",SUMIFS(Orders!$J$6:$J$1005,Orders!$C$6:$C$1005,B497)))</f>
        <v/>
      </c>
      <c r="J497" s="1" t="n"/>
    </row>
    <row r="498">
      <c r="A498" s="1" t="n"/>
      <c r="B498" s="32" t="n"/>
      <c r="C498" s="33" t="n"/>
      <c r="D498" s="33" t="n"/>
      <c r="E498" s="33" t="n"/>
      <c r="F498" s="18">
        <f>IF(B498="","",COUNTIFS(Orders!$C$6:$C$1005,B498,Orders!$L$6:$L$1005,"&lt;&gt;Cancelled"))</f>
        <v/>
      </c>
      <c r="G498" s="22">
        <f>IF(B498="","",SUMIFS(Orders!$H$6:$H$1005,Orders!$C$6:$C$1005,B498,Orders!$L$6:$L$1005,"&lt;&gt;Cancelled"))</f>
        <v/>
      </c>
      <c r="H498" s="43">
        <f>IF(B498="","",IF(SUMIFS(Orders!$U$6:$U$1005,Orders!$C$6:$C$1005,B498,Orders!$V$6:$V$1005,1)=0,"",INT(SUMIFS(Orders!$U$6:$U$1005,Orders!$C$6:$C$1005,B498,Orders!$V$6:$V$1005,1))))</f>
        <v/>
      </c>
      <c r="I498" s="30">
        <f>IF(B498="","",IF(SUMIFS(Orders!$J$6:$J$1005,Orders!$C$6:$C$1005,B498)=0,"",SUMIFS(Orders!$J$6:$J$1005,Orders!$C$6:$C$1005,B498)))</f>
        <v/>
      </c>
      <c r="J498" s="1" t="n"/>
    </row>
    <row r="499">
      <c r="A499" s="1" t="n"/>
      <c r="B499" s="32" t="n"/>
      <c r="C499" s="33" t="n"/>
      <c r="D499" s="33" t="n"/>
      <c r="E499" s="33" t="n"/>
      <c r="F499" s="18">
        <f>IF(B499="","",COUNTIFS(Orders!$C$6:$C$1005,B499,Orders!$L$6:$L$1005,"&lt;&gt;Cancelled"))</f>
        <v/>
      </c>
      <c r="G499" s="22">
        <f>IF(B499="","",SUMIFS(Orders!$H$6:$H$1005,Orders!$C$6:$C$1005,B499,Orders!$L$6:$L$1005,"&lt;&gt;Cancelled"))</f>
        <v/>
      </c>
      <c r="H499" s="43">
        <f>IF(B499="","",IF(SUMIFS(Orders!$U$6:$U$1005,Orders!$C$6:$C$1005,B499,Orders!$V$6:$V$1005,1)=0,"",INT(SUMIFS(Orders!$U$6:$U$1005,Orders!$C$6:$C$1005,B499,Orders!$V$6:$V$1005,1))))</f>
        <v/>
      </c>
      <c r="I499" s="30">
        <f>IF(B499="","",IF(SUMIFS(Orders!$J$6:$J$1005,Orders!$C$6:$C$1005,B499)=0,"",SUMIFS(Orders!$J$6:$J$1005,Orders!$C$6:$C$1005,B499)))</f>
        <v/>
      </c>
      <c r="J499" s="1" t="n"/>
    </row>
    <row r="500">
      <c r="A500" s="1" t="n"/>
      <c r="B500" s="32" t="n"/>
      <c r="C500" s="33" t="n"/>
      <c r="D500" s="33" t="n"/>
      <c r="E500" s="33" t="n"/>
      <c r="F500" s="18">
        <f>IF(B500="","",COUNTIFS(Orders!$C$6:$C$1005,B500,Orders!$L$6:$L$1005,"&lt;&gt;Cancelled"))</f>
        <v/>
      </c>
      <c r="G500" s="22">
        <f>IF(B500="","",SUMIFS(Orders!$H$6:$H$1005,Orders!$C$6:$C$1005,B500,Orders!$L$6:$L$1005,"&lt;&gt;Cancelled"))</f>
        <v/>
      </c>
      <c r="H500" s="43">
        <f>IF(B500="","",IF(SUMIFS(Orders!$U$6:$U$1005,Orders!$C$6:$C$1005,B500,Orders!$V$6:$V$1005,1)=0,"",INT(SUMIFS(Orders!$U$6:$U$1005,Orders!$C$6:$C$1005,B500,Orders!$V$6:$V$1005,1))))</f>
        <v/>
      </c>
      <c r="I500" s="30">
        <f>IF(B500="","",IF(SUMIFS(Orders!$J$6:$J$1005,Orders!$C$6:$C$1005,B500)=0,"",SUMIFS(Orders!$J$6:$J$1005,Orders!$C$6:$C$1005,B500)))</f>
        <v/>
      </c>
      <c r="J500" s="1" t="n"/>
    </row>
    <row r="501">
      <c r="A501" s="1" t="n"/>
      <c r="B501" s="32" t="n"/>
      <c r="C501" s="33" t="n"/>
      <c r="D501" s="33" t="n"/>
      <c r="E501" s="33" t="n"/>
      <c r="F501" s="18">
        <f>IF(B501="","",COUNTIFS(Orders!$C$6:$C$1005,B501,Orders!$L$6:$L$1005,"&lt;&gt;Cancelled"))</f>
        <v/>
      </c>
      <c r="G501" s="22">
        <f>IF(B501="","",SUMIFS(Orders!$H$6:$H$1005,Orders!$C$6:$C$1005,B501,Orders!$L$6:$L$1005,"&lt;&gt;Cancelled"))</f>
        <v/>
      </c>
      <c r="H501" s="43">
        <f>IF(B501="","",IF(SUMIFS(Orders!$U$6:$U$1005,Orders!$C$6:$C$1005,B501,Orders!$V$6:$V$1005,1)=0,"",INT(SUMIFS(Orders!$U$6:$U$1005,Orders!$C$6:$C$1005,B501,Orders!$V$6:$V$1005,1))))</f>
        <v/>
      </c>
      <c r="I501" s="30">
        <f>IF(B501="","",IF(SUMIFS(Orders!$J$6:$J$1005,Orders!$C$6:$C$1005,B501)=0,"",SUMIFS(Orders!$J$6:$J$1005,Orders!$C$6:$C$1005,B501)))</f>
        <v/>
      </c>
      <c r="J501" s="1" t="n"/>
    </row>
    <row r="502">
      <c r="A502" s="1" t="n"/>
      <c r="B502" s="32" t="n"/>
      <c r="C502" s="33" t="n"/>
      <c r="D502" s="33" t="n"/>
      <c r="E502" s="33" t="n"/>
      <c r="F502" s="18">
        <f>IF(B502="","",COUNTIFS(Orders!$C$6:$C$1005,B502,Orders!$L$6:$L$1005,"&lt;&gt;Cancelled"))</f>
        <v/>
      </c>
      <c r="G502" s="22">
        <f>IF(B502="","",SUMIFS(Orders!$H$6:$H$1005,Orders!$C$6:$C$1005,B502,Orders!$L$6:$L$1005,"&lt;&gt;Cancelled"))</f>
        <v/>
      </c>
      <c r="H502" s="43">
        <f>IF(B502="","",IF(SUMIFS(Orders!$U$6:$U$1005,Orders!$C$6:$C$1005,B502,Orders!$V$6:$V$1005,1)=0,"",INT(SUMIFS(Orders!$U$6:$U$1005,Orders!$C$6:$C$1005,B502,Orders!$V$6:$V$1005,1))))</f>
        <v/>
      </c>
      <c r="I502" s="30">
        <f>IF(B502="","",IF(SUMIFS(Orders!$J$6:$J$1005,Orders!$C$6:$C$1005,B502)=0,"",SUMIFS(Orders!$J$6:$J$1005,Orders!$C$6:$C$1005,B502)))</f>
        <v/>
      </c>
      <c r="J502" s="1" t="n"/>
    </row>
    <row r="503">
      <c r="A503" s="1" t="n"/>
      <c r="B503" s="32" t="n"/>
      <c r="C503" s="33" t="n"/>
      <c r="D503" s="33" t="n"/>
      <c r="E503" s="33" t="n"/>
      <c r="F503" s="18">
        <f>IF(B503="","",COUNTIFS(Orders!$C$6:$C$1005,B503,Orders!$L$6:$L$1005,"&lt;&gt;Cancelled"))</f>
        <v/>
      </c>
      <c r="G503" s="22">
        <f>IF(B503="","",SUMIFS(Orders!$H$6:$H$1005,Orders!$C$6:$C$1005,B503,Orders!$L$6:$L$1005,"&lt;&gt;Cancelled"))</f>
        <v/>
      </c>
      <c r="H503" s="43">
        <f>IF(B503="","",IF(SUMIFS(Orders!$U$6:$U$1005,Orders!$C$6:$C$1005,B503,Orders!$V$6:$V$1005,1)=0,"",INT(SUMIFS(Orders!$U$6:$U$1005,Orders!$C$6:$C$1005,B503,Orders!$V$6:$V$1005,1))))</f>
        <v/>
      </c>
      <c r="I503" s="30">
        <f>IF(B503="","",IF(SUMIFS(Orders!$J$6:$J$1005,Orders!$C$6:$C$1005,B503)=0,"",SUMIFS(Orders!$J$6:$J$1005,Orders!$C$6:$C$1005,B503)))</f>
        <v/>
      </c>
      <c r="J503" s="1" t="n"/>
    </row>
    <row r="504">
      <c r="A504" s="1" t="n"/>
      <c r="B504" s="32" t="n"/>
      <c r="C504" s="33" t="n"/>
      <c r="D504" s="33" t="n"/>
      <c r="E504" s="33" t="n"/>
      <c r="F504" s="18">
        <f>IF(B504="","",COUNTIFS(Orders!$C$6:$C$1005,B504,Orders!$L$6:$L$1005,"&lt;&gt;Cancelled"))</f>
        <v/>
      </c>
      <c r="G504" s="22">
        <f>IF(B504="","",SUMIFS(Orders!$H$6:$H$1005,Orders!$C$6:$C$1005,B504,Orders!$L$6:$L$1005,"&lt;&gt;Cancelled"))</f>
        <v/>
      </c>
      <c r="H504" s="43">
        <f>IF(B504="","",IF(SUMIFS(Orders!$U$6:$U$1005,Orders!$C$6:$C$1005,B504,Orders!$V$6:$V$1005,1)=0,"",INT(SUMIFS(Orders!$U$6:$U$1005,Orders!$C$6:$C$1005,B504,Orders!$V$6:$V$1005,1))))</f>
        <v/>
      </c>
      <c r="I504" s="30">
        <f>IF(B504="","",IF(SUMIFS(Orders!$J$6:$J$1005,Orders!$C$6:$C$1005,B504)=0,"",SUMIFS(Orders!$J$6:$J$1005,Orders!$C$6:$C$1005,B504)))</f>
        <v/>
      </c>
      <c r="J504" s="1" t="n"/>
    </row>
    <row r="505">
      <c r="A505" s="1" t="n"/>
      <c r="B505" s="32" t="n"/>
      <c r="C505" s="33" t="n"/>
      <c r="D505" s="33" t="n"/>
      <c r="E505" s="33" t="n"/>
      <c r="F505" s="18">
        <f>IF(B505="","",COUNTIFS(Orders!$C$6:$C$1005,B505,Orders!$L$6:$L$1005,"&lt;&gt;Cancelled"))</f>
        <v/>
      </c>
      <c r="G505" s="22">
        <f>IF(B505="","",SUMIFS(Orders!$H$6:$H$1005,Orders!$C$6:$C$1005,B505,Orders!$L$6:$L$1005,"&lt;&gt;Cancelled"))</f>
        <v/>
      </c>
      <c r="H505" s="43">
        <f>IF(B505="","",IF(SUMIFS(Orders!$U$6:$U$1005,Orders!$C$6:$C$1005,B505,Orders!$V$6:$V$1005,1)=0,"",INT(SUMIFS(Orders!$U$6:$U$1005,Orders!$C$6:$C$1005,B505,Orders!$V$6:$V$1005,1))))</f>
        <v/>
      </c>
      <c r="I505" s="30">
        <f>IF(B505="","",IF(SUMIFS(Orders!$J$6:$J$1005,Orders!$C$6:$C$1005,B505)=0,"",SUMIFS(Orders!$J$6:$J$1005,Orders!$C$6:$C$1005,B505)))</f>
        <v/>
      </c>
      <c r="J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</sheetData>
  <conditionalFormatting sqref="I6:I505">
    <cfRule type="expression" priority="1" dxfId="1">
      <formula>N($I6)&gt;0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4" customWidth="1" min="4" max="4"/>
    <col width="4" customWidth="1" min="5" max="5"/>
    <col width="6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Where you sell, and what each place takes from an order. Change the fees to match your own.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2" t="inlineStr">
        <is>
          <t>Sales channel</t>
        </is>
      </c>
      <c r="C5" s="12" t="inlineStr">
        <is>
          <t>Fee (share)</t>
        </is>
      </c>
      <c r="D5" s="12" t="inlineStr">
        <is>
          <t>Fixed fee per order</t>
        </is>
      </c>
      <c r="E5" s="1" t="n"/>
      <c r="F5" s="1" t="n"/>
      <c r="G5" s="1" t="n"/>
    </row>
    <row r="6">
      <c r="A6" s="1" t="n"/>
      <c r="B6" s="32" t="inlineStr">
        <is>
          <t>Etsy</t>
        </is>
      </c>
      <c r="C6" s="44" t="n">
        <v>0.095</v>
      </c>
      <c r="D6" s="45" t="n">
        <v>0.45</v>
      </c>
      <c r="E6" s="1" t="n"/>
      <c r="F6" s="46" t="inlineStr">
        <is>
          <t>The fee share is taken from the order total, then the fixed fee is added.</t>
        </is>
      </c>
      <c r="G6" s="1" t="n"/>
    </row>
    <row r="7">
      <c r="A7" s="1" t="n"/>
      <c r="B7" s="32" t="inlineStr">
        <is>
          <t>Own website</t>
        </is>
      </c>
      <c r="C7" s="44" t="n">
        <v>0.035</v>
      </c>
      <c r="D7" s="45" t="n">
        <v>0.3</v>
      </c>
      <c r="E7" s="1" t="n"/>
      <c r="F7" s="46" t="inlineStr">
        <is>
          <t>Example: an Etsy order of 30.00 pays 9.5% of 30.00 plus 0.45, so 3.30.</t>
        </is>
      </c>
      <c r="G7" s="1" t="n"/>
    </row>
    <row r="8">
      <c r="A8" s="1" t="n"/>
      <c r="B8" s="32" t="inlineStr">
        <is>
          <t>Instagram</t>
        </is>
      </c>
      <c r="C8" s="44" t="n">
        <v>0.03</v>
      </c>
      <c r="D8" s="45" t="n">
        <v>0</v>
      </c>
      <c r="E8" s="1" t="n"/>
      <c r="F8" s="46" t="inlineStr">
        <is>
          <t>The example fees are rough. Check what your own platforms and card readers charge.</t>
        </is>
      </c>
      <c r="G8" s="1" t="n"/>
    </row>
    <row r="9">
      <c r="A9" s="1" t="n"/>
      <c r="B9" s="32" t="inlineStr">
        <is>
          <t>Craft market</t>
        </is>
      </c>
      <c r="C9" s="44" t="n">
        <v>0.026</v>
      </c>
      <c r="D9" s="45" t="n">
        <v>0</v>
      </c>
      <c r="E9" s="1" t="n"/>
      <c r="F9" s="1" t="n"/>
      <c r="G9" s="1" t="n"/>
    </row>
    <row r="10">
      <c r="A10" s="1" t="n"/>
      <c r="B10" s="32" t="inlineStr">
        <is>
          <t>Friends and family</t>
        </is>
      </c>
      <c r="C10" s="44" t="n">
        <v>0</v>
      </c>
      <c r="D10" s="45" t="n">
        <v>0</v>
      </c>
      <c r="E10" s="1" t="n"/>
      <c r="F10" s="1" t="n"/>
      <c r="G10" s="1" t="n"/>
    </row>
    <row r="11">
      <c r="A11" s="1" t="n"/>
      <c r="B11" s="32" t="n"/>
      <c r="C11" s="44" t="n"/>
      <c r="D11" s="45" t="n"/>
      <c r="E11" s="1" t="n"/>
      <c r="F11" s="1" t="n"/>
      <c r="G11" s="1" t="n"/>
    </row>
    <row r="12">
      <c r="A12" s="1" t="n"/>
      <c r="B12" s="32" t="n"/>
      <c r="C12" s="44" t="n"/>
      <c r="D12" s="45" t="n"/>
      <c r="E12" s="1" t="n"/>
      <c r="F12" s="1" t="n"/>
      <c r="G12" s="1" t="n"/>
    </row>
    <row r="13">
      <c r="A13" s="1" t="n"/>
      <c r="B13" s="32" t="n"/>
      <c r="C13" s="44" t="n"/>
      <c r="D13" s="45" t="n"/>
      <c r="E13" s="1" t="n"/>
      <c r="F13" s="1" t="n"/>
      <c r="G13" s="1" t="n"/>
    </row>
    <row r="14">
      <c r="A14" s="1" t="n"/>
      <c r="B14" s="32" t="n"/>
      <c r="C14" s="44" t="n"/>
      <c r="D14" s="45" t="n"/>
      <c r="E14" s="1" t="n"/>
      <c r="F14" s="1" t="n"/>
      <c r="G14" s="1" t="n"/>
    </row>
    <row r="15">
      <c r="A15" s="1" t="n"/>
      <c r="B15" s="32" t="n"/>
      <c r="C15" s="44" t="n"/>
      <c r="D15" s="45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Due dates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What is due each day of the month you pick.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25" t="inlineStr">
        <is>
          <t>Month</t>
        </is>
      </c>
      <c r="C4" s="26">
        <f>MONTH(TODAY())</f>
        <v/>
      </c>
      <c r="D4" s="47" t="inlineStr">
        <is>
          <t>Year</t>
        </is>
      </c>
      <c r="E4" s="26">
        <f>YEAR(TODAY())</f>
        <v/>
      </c>
      <c r="F4" s="46" t="inlineStr">
        <is>
          <t>Shows this month until you type another month and year.</t>
        </is>
      </c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30" customHeight="1">
      <c r="A6" s="1" t="n"/>
      <c r="B6" s="12" t="inlineStr">
        <is>
          <t>Monday</t>
        </is>
      </c>
      <c r="C6" s="12" t="inlineStr">
        <is>
          <t>Tuesday</t>
        </is>
      </c>
      <c r="D6" s="12" t="inlineStr">
        <is>
          <t>Wednesday</t>
        </is>
      </c>
      <c r="E6" s="12" t="inlineStr">
        <is>
          <t>Thursday</t>
        </is>
      </c>
      <c r="F6" s="12" t="inlineStr">
        <is>
          <t>Friday</t>
        </is>
      </c>
      <c r="G6" s="12" t="inlineStr">
        <is>
          <t>Saturday</t>
        </is>
      </c>
      <c r="H6" s="12" t="inlineStr">
        <is>
          <t>Sunday</t>
        </is>
      </c>
      <c r="I6" s="1" t="n"/>
    </row>
    <row r="7">
      <c r="A7" s="1" t="n"/>
      <c r="B7" s="48">
        <f>IF(MONTH((DATE($E$4,$C$4,1)-WEEKDAY(DATE($E$4,$C$4,1),3)+0))=$C$4,DAY((DATE($E$4,$C$4,1)-WEEKDAY(DATE($E$4,$C$4,1),3)+0)),"")</f>
        <v/>
      </c>
      <c r="C7" s="48">
        <f>IF(MONTH((DATE($E$4,$C$4,1)-WEEKDAY(DATE($E$4,$C$4,1),3)+1))=$C$4,DAY((DATE($E$4,$C$4,1)-WEEKDAY(DATE($E$4,$C$4,1),3)+1)),"")</f>
        <v/>
      </c>
      <c r="D7" s="48">
        <f>IF(MONTH((DATE($E$4,$C$4,1)-WEEKDAY(DATE($E$4,$C$4,1),3)+2))=$C$4,DAY((DATE($E$4,$C$4,1)-WEEKDAY(DATE($E$4,$C$4,1),3)+2)),"")</f>
        <v/>
      </c>
      <c r="E7" s="48">
        <f>IF(MONTH((DATE($E$4,$C$4,1)-WEEKDAY(DATE($E$4,$C$4,1),3)+3))=$C$4,DAY((DATE($E$4,$C$4,1)-WEEKDAY(DATE($E$4,$C$4,1),3)+3)),"")</f>
        <v/>
      </c>
      <c r="F7" s="48">
        <f>IF(MONTH((DATE($E$4,$C$4,1)-WEEKDAY(DATE($E$4,$C$4,1),3)+4))=$C$4,DAY((DATE($E$4,$C$4,1)-WEEKDAY(DATE($E$4,$C$4,1),3)+4)),"")</f>
        <v/>
      </c>
      <c r="G7" s="48">
        <f>IF(MONTH((DATE($E$4,$C$4,1)-WEEKDAY(DATE($E$4,$C$4,1),3)+5))=$C$4,DAY((DATE($E$4,$C$4,1)-WEEKDAY(DATE($E$4,$C$4,1),3)+5)),"")</f>
        <v/>
      </c>
      <c r="H7" s="48">
        <f>IF(MONTH((DATE($E$4,$C$4,1)-WEEKDAY(DATE($E$4,$C$4,1),3)+6))=$C$4,DAY((DATE($E$4,$C$4,1)-WEEKDAY(DATE($E$4,$C$4,1),3)+6)),"")</f>
        <v/>
      </c>
      <c r="I7" s="1" t="n"/>
    </row>
    <row r="8" ht="32" customHeight="1">
      <c r="A8" s="1" t="n"/>
      <c r="B8" s="49">
        <f>IF(OR(MONTH((DATE($E$4,$C$4,1)-WEEKDAY(DATE($E$4,$C$4,1),3)+0))&lt;&gt;$C$4,COUNTIFS(Orders!$K$6:$K$1005,(DATE($E$4,$C$4,1)-WEEKDAY(DATE($E$4,$C$4,1),3)+0),Orders!$L$6:$L$1005,"&lt;&gt;Cancelled")=0),"",COUNTIFS(Orders!$K$6:$K$1005,(DATE($E$4,$C$4,1)-WEEKDAY(DATE($E$4,$C$4,1),3)+0),Orders!$L$6:$L$1005,"&lt;&gt;Cancelled")&amp;IF(COUNTIFS(Orders!$K$6:$K$1005,(DATE($E$4,$C$4,1)-WEEKDAY(DATE($E$4,$C$4,1),3)+0),Orders!$L$6:$L$1005,"&lt;&gt;Cancelled")=1," order"," orders")&amp;IF(COUNTIFS(Orders!$T$6:$T$1005,"&gt;="&amp;(DATE($E$4,$C$4,1)-WEEKDAY(DATE($E$4,$C$4,1),3)+0),Orders!$T$6:$T$1005,"&lt;"&amp;((DATE($E$4,$C$4,1)-WEEKDAY(DATE($E$4,$C$4,1),3)+0)+1))=0,""," ("&amp;COUNTIFS(Orders!$T$6:$T$1005,"&gt;="&amp;(DATE($E$4,$C$4,1)-WEEKDAY(DATE($E$4,$C$4,1),3)+0),Orders!$T$6:$T$1005,"&lt;"&amp;((DATE($E$4,$C$4,1)-WEEKDAY(DATE($E$4,$C$4,1),3)+0)+1))&amp;" open)"))</f>
        <v/>
      </c>
      <c r="C8" s="49">
        <f>IF(OR(MONTH((DATE($E$4,$C$4,1)-WEEKDAY(DATE($E$4,$C$4,1),3)+1))&lt;&gt;$C$4,COUNTIFS(Orders!$K$6:$K$1005,(DATE($E$4,$C$4,1)-WEEKDAY(DATE($E$4,$C$4,1),3)+1),Orders!$L$6:$L$1005,"&lt;&gt;Cancelled")=0),"",COUNTIFS(Orders!$K$6:$K$1005,(DATE($E$4,$C$4,1)-WEEKDAY(DATE($E$4,$C$4,1),3)+1),Orders!$L$6:$L$1005,"&lt;&gt;Cancelled")&amp;IF(COUNTIFS(Orders!$K$6:$K$1005,(DATE($E$4,$C$4,1)-WEEKDAY(DATE($E$4,$C$4,1),3)+1),Orders!$L$6:$L$1005,"&lt;&gt;Cancelled")=1," order"," orders")&amp;IF(COUNTIFS(Orders!$T$6:$T$1005,"&gt;="&amp;(DATE($E$4,$C$4,1)-WEEKDAY(DATE($E$4,$C$4,1),3)+1),Orders!$T$6:$T$1005,"&lt;"&amp;((DATE($E$4,$C$4,1)-WEEKDAY(DATE($E$4,$C$4,1),3)+1)+1))=0,""," ("&amp;COUNTIFS(Orders!$T$6:$T$1005,"&gt;="&amp;(DATE($E$4,$C$4,1)-WEEKDAY(DATE($E$4,$C$4,1),3)+1),Orders!$T$6:$T$1005,"&lt;"&amp;((DATE($E$4,$C$4,1)-WEEKDAY(DATE($E$4,$C$4,1),3)+1)+1))&amp;" open)"))</f>
        <v/>
      </c>
      <c r="D8" s="49">
        <f>IF(OR(MONTH((DATE($E$4,$C$4,1)-WEEKDAY(DATE($E$4,$C$4,1),3)+2))&lt;&gt;$C$4,COUNTIFS(Orders!$K$6:$K$1005,(DATE($E$4,$C$4,1)-WEEKDAY(DATE($E$4,$C$4,1),3)+2),Orders!$L$6:$L$1005,"&lt;&gt;Cancelled")=0),"",COUNTIFS(Orders!$K$6:$K$1005,(DATE($E$4,$C$4,1)-WEEKDAY(DATE($E$4,$C$4,1),3)+2),Orders!$L$6:$L$1005,"&lt;&gt;Cancelled")&amp;IF(COUNTIFS(Orders!$K$6:$K$1005,(DATE($E$4,$C$4,1)-WEEKDAY(DATE($E$4,$C$4,1),3)+2),Orders!$L$6:$L$1005,"&lt;&gt;Cancelled")=1," order"," orders")&amp;IF(COUNTIFS(Orders!$T$6:$T$1005,"&gt;="&amp;(DATE($E$4,$C$4,1)-WEEKDAY(DATE($E$4,$C$4,1),3)+2),Orders!$T$6:$T$1005,"&lt;"&amp;((DATE($E$4,$C$4,1)-WEEKDAY(DATE($E$4,$C$4,1),3)+2)+1))=0,""," ("&amp;COUNTIFS(Orders!$T$6:$T$1005,"&gt;="&amp;(DATE($E$4,$C$4,1)-WEEKDAY(DATE($E$4,$C$4,1),3)+2),Orders!$T$6:$T$1005,"&lt;"&amp;((DATE($E$4,$C$4,1)-WEEKDAY(DATE($E$4,$C$4,1),3)+2)+1))&amp;" open)"))</f>
        <v/>
      </c>
      <c r="E8" s="49">
        <f>IF(OR(MONTH((DATE($E$4,$C$4,1)-WEEKDAY(DATE($E$4,$C$4,1),3)+3))&lt;&gt;$C$4,COUNTIFS(Orders!$K$6:$K$1005,(DATE($E$4,$C$4,1)-WEEKDAY(DATE($E$4,$C$4,1),3)+3),Orders!$L$6:$L$1005,"&lt;&gt;Cancelled")=0),"",COUNTIFS(Orders!$K$6:$K$1005,(DATE($E$4,$C$4,1)-WEEKDAY(DATE($E$4,$C$4,1),3)+3),Orders!$L$6:$L$1005,"&lt;&gt;Cancelled")&amp;IF(COUNTIFS(Orders!$K$6:$K$1005,(DATE($E$4,$C$4,1)-WEEKDAY(DATE($E$4,$C$4,1),3)+3),Orders!$L$6:$L$1005,"&lt;&gt;Cancelled")=1," order"," orders")&amp;IF(COUNTIFS(Orders!$T$6:$T$1005,"&gt;="&amp;(DATE($E$4,$C$4,1)-WEEKDAY(DATE($E$4,$C$4,1),3)+3),Orders!$T$6:$T$1005,"&lt;"&amp;((DATE($E$4,$C$4,1)-WEEKDAY(DATE($E$4,$C$4,1),3)+3)+1))=0,""," ("&amp;COUNTIFS(Orders!$T$6:$T$1005,"&gt;="&amp;(DATE($E$4,$C$4,1)-WEEKDAY(DATE($E$4,$C$4,1),3)+3),Orders!$T$6:$T$1005,"&lt;"&amp;((DATE($E$4,$C$4,1)-WEEKDAY(DATE($E$4,$C$4,1),3)+3)+1))&amp;" open)"))</f>
        <v/>
      </c>
      <c r="F8" s="49">
        <f>IF(OR(MONTH((DATE($E$4,$C$4,1)-WEEKDAY(DATE($E$4,$C$4,1),3)+4))&lt;&gt;$C$4,COUNTIFS(Orders!$K$6:$K$1005,(DATE($E$4,$C$4,1)-WEEKDAY(DATE($E$4,$C$4,1),3)+4),Orders!$L$6:$L$1005,"&lt;&gt;Cancelled")=0),"",COUNTIFS(Orders!$K$6:$K$1005,(DATE($E$4,$C$4,1)-WEEKDAY(DATE($E$4,$C$4,1),3)+4),Orders!$L$6:$L$1005,"&lt;&gt;Cancelled")&amp;IF(COUNTIFS(Orders!$K$6:$K$1005,(DATE($E$4,$C$4,1)-WEEKDAY(DATE($E$4,$C$4,1),3)+4),Orders!$L$6:$L$1005,"&lt;&gt;Cancelled")=1," order"," orders")&amp;IF(COUNTIFS(Orders!$T$6:$T$1005,"&gt;="&amp;(DATE($E$4,$C$4,1)-WEEKDAY(DATE($E$4,$C$4,1),3)+4),Orders!$T$6:$T$1005,"&lt;"&amp;((DATE($E$4,$C$4,1)-WEEKDAY(DATE($E$4,$C$4,1),3)+4)+1))=0,""," ("&amp;COUNTIFS(Orders!$T$6:$T$1005,"&gt;="&amp;(DATE($E$4,$C$4,1)-WEEKDAY(DATE($E$4,$C$4,1),3)+4),Orders!$T$6:$T$1005,"&lt;"&amp;((DATE($E$4,$C$4,1)-WEEKDAY(DATE($E$4,$C$4,1),3)+4)+1))&amp;" open)"))</f>
        <v/>
      </c>
      <c r="G8" s="49">
        <f>IF(OR(MONTH((DATE($E$4,$C$4,1)-WEEKDAY(DATE($E$4,$C$4,1),3)+5))&lt;&gt;$C$4,COUNTIFS(Orders!$K$6:$K$1005,(DATE($E$4,$C$4,1)-WEEKDAY(DATE($E$4,$C$4,1),3)+5),Orders!$L$6:$L$1005,"&lt;&gt;Cancelled")=0),"",COUNTIFS(Orders!$K$6:$K$1005,(DATE($E$4,$C$4,1)-WEEKDAY(DATE($E$4,$C$4,1),3)+5),Orders!$L$6:$L$1005,"&lt;&gt;Cancelled")&amp;IF(COUNTIFS(Orders!$K$6:$K$1005,(DATE($E$4,$C$4,1)-WEEKDAY(DATE($E$4,$C$4,1),3)+5),Orders!$L$6:$L$1005,"&lt;&gt;Cancelled")=1," order"," orders")&amp;IF(COUNTIFS(Orders!$T$6:$T$1005,"&gt;="&amp;(DATE($E$4,$C$4,1)-WEEKDAY(DATE($E$4,$C$4,1),3)+5),Orders!$T$6:$T$1005,"&lt;"&amp;((DATE($E$4,$C$4,1)-WEEKDAY(DATE($E$4,$C$4,1),3)+5)+1))=0,""," ("&amp;COUNTIFS(Orders!$T$6:$T$1005,"&gt;="&amp;(DATE($E$4,$C$4,1)-WEEKDAY(DATE($E$4,$C$4,1),3)+5),Orders!$T$6:$T$1005,"&lt;"&amp;((DATE($E$4,$C$4,1)-WEEKDAY(DATE($E$4,$C$4,1),3)+5)+1))&amp;" open)"))</f>
        <v/>
      </c>
      <c r="H8" s="49">
        <f>IF(OR(MONTH((DATE($E$4,$C$4,1)-WEEKDAY(DATE($E$4,$C$4,1),3)+6))&lt;&gt;$C$4,COUNTIFS(Orders!$K$6:$K$1005,(DATE($E$4,$C$4,1)-WEEKDAY(DATE($E$4,$C$4,1),3)+6),Orders!$L$6:$L$1005,"&lt;&gt;Cancelled")=0),"",COUNTIFS(Orders!$K$6:$K$1005,(DATE($E$4,$C$4,1)-WEEKDAY(DATE($E$4,$C$4,1),3)+6),Orders!$L$6:$L$1005,"&lt;&gt;Cancelled")&amp;IF(COUNTIFS(Orders!$K$6:$K$1005,(DATE($E$4,$C$4,1)-WEEKDAY(DATE($E$4,$C$4,1),3)+6),Orders!$L$6:$L$1005,"&lt;&gt;Cancelled")=1," order"," orders")&amp;IF(COUNTIFS(Orders!$T$6:$T$1005,"&gt;="&amp;(DATE($E$4,$C$4,1)-WEEKDAY(DATE($E$4,$C$4,1),3)+6),Orders!$T$6:$T$1005,"&lt;"&amp;((DATE($E$4,$C$4,1)-WEEKDAY(DATE($E$4,$C$4,1),3)+6)+1))=0,""," ("&amp;COUNTIFS(Orders!$T$6:$T$1005,"&gt;="&amp;(DATE($E$4,$C$4,1)-WEEKDAY(DATE($E$4,$C$4,1),3)+6),Orders!$T$6:$T$1005,"&lt;"&amp;((DATE($E$4,$C$4,1)-WEEKDAY(DATE($E$4,$C$4,1),3)+6)+1))&amp;" open)"))</f>
        <v/>
      </c>
      <c r="I8" s="1" t="n"/>
      <c r="K8">
        <f>IF(MONTH((DATE($E$4,$C$4,1)-WEEKDAY(DATE($E$4,$C$4,1),3)+0))&lt;&gt;$C$4,"",IF(COUNTIFS(Orders!$T$6:$T$1005,"&gt;="&amp;(DATE($E$4,$C$4,1)-WEEKDAY(DATE($E$4,$C$4,1),3)+0),Orders!$T$6:$T$1005,"&lt;"&amp;((DATE($E$4,$C$4,1)-WEEKDAY(DATE($E$4,$C$4,1),3)+0)+1))&gt;0,IF((DATE($E$4,$C$4,1)-WEEKDAY(DATE($E$4,$C$4,1),3)+0)&lt;TODAY(),"late","open"),IF(COUNTIFS(Orders!$K$6:$K$1005,(DATE($E$4,$C$4,1)-WEEKDAY(DATE($E$4,$C$4,1),3)+0),Orders!$L$6:$L$1005,"&lt;&gt;Cancelled")&gt;0,"done","")))</f>
        <v/>
      </c>
      <c r="L8">
        <f>IF(MONTH((DATE($E$4,$C$4,1)-WEEKDAY(DATE($E$4,$C$4,1),3)+1))&lt;&gt;$C$4,"",IF(COUNTIFS(Orders!$T$6:$T$1005,"&gt;="&amp;(DATE($E$4,$C$4,1)-WEEKDAY(DATE($E$4,$C$4,1),3)+1),Orders!$T$6:$T$1005,"&lt;"&amp;((DATE($E$4,$C$4,1)-WEEKDAY(DATE($E$4,$C$4,1),3)+1)+1))&gt;0,IF((DATE($E$4,$C$4,1)-WEEKDAY(DATE($E$4,$C$4,1),3)+1)&lt;TODAY(),"late","open"),IF(COUNTIFS(Orders!$K$6:$K$1005,(DATE($E$4,$C$4,1)-WEEKDAY(DATE($E$4,$C$4,1),3)+1),Orders!$L$6:$L$1005,"&lt;&gt;Cancelled")&gt;0,"done","")))</f>
        <v/>
      </c>
      <c r="M8">
        <f>IF(MONTH((DATE($E$4,$C$4,1)-WEEKDAY(DATE($E$4,$C$4,1),3)+2))&lt;&gt;$C$4,"",IF(COUNTIFS(Orders!$T$6:$T$1005,"&gt;="&amp;(DATE($E$4,$C$4,1)-WEEKDAY(DATE($E$4,$C$4,1),3)+2),Orders!$T$6:$T$1005,"&lt;"&amp;((DATE($E$4,$C$4,1)-WEEKDAY(DATE($E$4,$C$4,1),3)+2)+1))&gt;0,IF((DATE($E$4,$C$4,1)-WEEKDAY(DATE($E$4,$C$4,1),3)+2)&lt;TODAY(),"late","open"),IF(COUNTIFS(Orders!$K$6:$K$1005,(DATE($E$4,$C$4,1)-WEEKDAY(DATE($E$4,$C$4,1),3)+2),Orders!$L$6:$L$1005,"&lt;&gt;Cancelled")&gt;0,"done","")))</f>
        <v/>
      </c>
      <c r="N8">
        <f>IF(MONTH((DATE($E$4,$C$4,1)-WEEKDAY(DATE($E$4,$C$4,1),3)+3))&lt;&gt;$C$4,"",IF(COUNTIFS(Orders!$T$6:$T$1005,"&gt;="&amp;(DATE($E$4,$C$4,1)-WEEKDAY(DATE($E$4,$C$4,1),3)+3),Orders!$T$6:$T$1005,"&lt;"&amp;((DATE($E$4,$C$4,1)-WEEKDAY(DATE($E$4,$C$4,1),3)+3)+1))&gt;0,IF((DATE($E$4,$C$4,1)-WEEKDAY(DATE($E$4,$C$4,1),3)+3)&lt;TODAY(),"late","open"),IF(COUNTIFS(Orders!$K$6:$K$1005,(DATE($E$4,$C$4,1)-WEEKDAY(DATE($E$4,$C$4,1),3)+3),Orders!$L$6:$L$1005,"&lt;&gt;Cancelled")&gt;0,"done","")))</f>
        <v/>
      </c>
      <c r="O8">
        <f>IF(MONTH((DATE($E$4,$C$4,1)-WEEKDAY(DATE($E$4,$C$4,1),3)+4))&lt;&gt;$C$4,"",IF(COUNTIFS(Orders!$T$6:$T$1005,"&gt;="&amp;(DATE($E$4,$C$4,1)-WEEKDAY(DATE($E$4,$C$4,1),3)+4),Orders!$T$6:$T$1005,"&lt;"&amp;((DATE($E$4,$C$4,1)-WEEKDAY(DATE($E$4,$C$4,1),3)+4)+1))&gt;0,IF((DATE($E$4,$C$4,1)-WEEKDAY(DATE($E$4,$C$4,1),3)+4)&lt;TODAY(),"late","open"),IF(COUNTIFS(Orders!$K$6:$K$1005,(DATE($E$4,$C$4,1)-WEEKDAY(DATE($E$4,$C$4,1),3)+4),Orders!$L$6:$L$1005,"&lt;&gt;Cancelled")&gt;0,"done","")))</f>
        <v/>
      </c>
      <c r="P8">
        <f>IF(MONTH((DATE($E$4,$C$4,1)-WEEKDAY(DATE($E$4,$C$4,1),3)+5))&lt;&gt;$C$4,"",IF(COUNTIFS(Orders!$T$6:$T$1005,"&gt;="&amp;(DATE($E$4,$C$4,1)-WEEKDAY(DATE($E$4,$C$4,1),3)+5),Orders!$T$6:$T$1005,"&lt;"&amp;((DATE($E$4,$C$4,1)-WEEKDAY(DATE($E$4,$C$4,1),3)+5)+1))&gt;0,IF((DATE($E$4,$C$4,1)-WEEKDAY(DATE($E$4,$C$4,1),3)+5)&lt;TODAY(),"late","open"),IF(COUNTIFS(Orders!$K$6:$K$1005,(DATE($E$4,$C$4,1)-WEEKDAY(DATE($E$4,$C$4,1),3)+5),Orders!$L$6:$L$1005,"&lt;&gt;Cancelled")&gt;0,"done","")))</f>
        <v/>
      </c>
      <c r="Q8">
        <f>IF(MONTH((DATE($E$4,$C$4,1)-WEEKDAY(DATE($E$4,$C$4,1),3)+6))&lt;&gt;$C$4,"",IF(COUNTIFS(Orders!$T$6:$T$1005,"&gt;="&amp;(DATE($E$4,$C$4,1)-WEEKDAY(DATE($E$4,$C$4,1),3)+6),Orders!$T$6:$T$1005,"&lt;"&amp;((DATE($E$4,$C$4,1)-WEEKDAY(DATE($E$4,$C$4,1),3)+6)+1))&gt;0,IF((DATE($E$4,$C$4,1)-WEEKDAY(DATE($E$4,$C$4,1),3)+6)&lt;TODAY(),"late","open"),IF(COUNTIFS(Orders!$K$6:$K$1005,(DATE($E$4,$C$4,1)-WEEKDAY(DATE($E$4,$C$4,1),3)+6),Orders!$L$6:$L$1005,"&lt;&gt;Cancelled")&gt;0,"done","")))</f>
        <v/>
      </c>
    </row>
    <row r="9">
      <c r="A9" s="1" t="n"/>
      <c r="B9" s="48">
        <f>IF(MONTH((DATE($E$4,$C$4,1)-WEEKDAY(DATE($E$4,$C$4,1),3)+7))=$C$4,DAY((DATE($E$4,$C$4,1)-WEEKDAY(DATE($E$4,$C$4,1),3)+7)),"")</f>
        <v/>
      </c>
      <c r="C9" s="48">
        <f>IF(MONTH((DATE($E$4,$C$4,1)-WEEKDAY(DATE($E$4,$C$4,1),3)+8))=$C$4,DAY((DATE($E$4,$C$4,1)-WEEKDAY(DATE($E$4,$C$4,1),3)+8)),"")</f>
        <v/>
      </c>
      <c r="D9" s="48">
        <f>IF(MONTH((DATE($E$4,$C$4,1)-WEEKDAY(DATE($E$4,$C$4,1),3)+9))=$C$4,DAY((DATE($E$4,$C$4,1)-WEEKDAY(DATE($E$4,$C$4,1),3)+9)),"")</f>
        <v/>
      </c>
      <c r="E9" s="48">
        <f>IF(MONTH((DATE($E$4,$C$4,1)-WEEKDAY(DATE($E$4,$C$4,1),3)+10))=$C$4,DAY((DATE($E$4,$C$4,1)-WEEKDAY(DATE($E$4,$C$4,1),3)+10)),"")</f>
        <v/>
      </c>
      <c r="F9" s="48">
        <f>IF(MONTH((DATE($E$4,$C$4,1)-WEEKDAY(DATE($E$4,$C$4,1),3)+11))=$C$4,DAY((DATE($E$4,$C$4,1)-WEEKDAY(DATE($E$4,$C$4,1),3)+11)),"")</f>
        <v/>
      </c>
      <c r="G9" s="48">
        <f>IF(MONTH((DATE($E$4,$C$4,1)-WEEKDAY(DATE($E$4,$C$4,1),3)+12))=$C$4,DAY((DATE($E$4,$C$4,1)-WEEKDAY(DATE($E$4,$C$4,1),3)+12)),"")</f>
        <v/>
      </c>
      <c r="H9" s="48">
        <f>IF(MONTH((DATE($E$4,$C$4,1)-WEEKDAY(DATE($E$4,$C$4,1),3)+13))=$C$4,DAY((DATE($E$4,$C$4,1)-WEEKDAY(DATE($E$4,$C$4,1),3)+13)),"")</f>
        <v/>
      </c>
      <c r="I9" s="1" t="n"/>
    </row>
    <row r="10" ht="32" customHeight="1">
      <c r="A10" s="1" t="n"/>
      <c r="B10" s="49">
        <f>IF(OR(MONTH((DATE($E$4,$C$4,1)-WEEKDAY(DATE($E$4,$C$4,1),3)+7))&lt;&gt;$C$4,COUNTIFS(Orders!$K$6:$K$1005,(DATE($E$4,$C$4,1)-WEEKDAY(DATE($E$4,$C$4,1),3)+7),Orders!$L$6:$L$1005,"&lt;&gt;Cancelled")=0),"",COUNTIFS(Orders!$K$6:$K$1005,(DATE($E$4,$C$4,1)-WEEKDAY(DATE($E$4,$C$4,1),3)+7),Orders!$L$6:$L$1005,"&lt;&gt;Cancelled")&amp;IF(COUNTIFS(Orders!$K$6:$K$1005,(DATE($E$4,$C$4,1)-WEEKDAY(DATE($E$4,$C$4,1),3)+7),Orders!$L$6:$L$1005,"&lt;&gt;Cancelled")=1," order"," orders")&amp;IF(COUNTIFS(Orders!$T$6:$T$1005,"&gt;="&amp;(DATE($E$4,$C$4,1)-WEEKDAY(DATE($E$4,$C$4,1),3)+7),Orders!$T$6:$T$1005,"&lt;"&amp;((DATE($E$4,$C$4,1)-WEEKDAY(DATE($E$4,$C$4,1),3)+7)+1))=0,""," ("&amp;COUNTIFS(Orders!$T$6:$T$1005,"&gt;="&amp;(DATE($E$4,$C$4,1)-WEEKDAY(DATE($E$4,$C$4,1),3)+7),Orders!$T$6:$T$1005,"&lt;"&amp;((DATE($E$4,$C$4,1)-WEEKDAY(DATE($E$4,$C$4,1),3)+7)+1))&amp;" open)"))</f>
        <v/>
      </c>
      <c r="C10" s="49">
        <f>IF(OR(MONTH((DATE($E$4,$C$4,1)-WEEKDAY(DATE($E$4,$C$4,1),3)+8))&lt;&gt;$C$4,COUNTIFS(Orders!$K$6:$K$1005,(DATE($E$4,$C$4,1)-WEEKDAY(DATE($E$4,$C$4,1),3)+8),Orders!$L$6:$L$1005,"&lt;&gt;Cancelled")=0),"",COUNTIFS(Orders!$K$6:$K$1005,(DATE($E$4,$C$4,1)-WEEKDAY(DATE($E$4,$C$4,1),3)+8),Orders!$L$6:$L$1005,"&lt;&gt;Cancelled")&amp;IF(COUNTIFS(Orders!$K$6:$K$1005,(DATE($E$4,$C$4,1)-WEEKDAY(DATE($E$4,$C$4,1),3)+8),Orders!$L$6:$L$1005,"&lt;&gt;Cancelled")=1," order"," orders")&amp;IF(COUNTIFS(Orders!$T$6:$T$1005,"&gt;="&amp;(DATE($E$4,$C$4,1)-WEEKDAY(DATE($E$4,$C$4,1),3)+8),Orders!$T$6:$T$1005,"&lt;"&amp;((DATE($E$4,$C$4,1)-WEEKDAY(DATE($E$4,$C$4,1),3)+8)+1))=0,""," ("&amp;COUNTIFS(Orders!$T$6:$T$1005,"&gt;="&amp;(DATE($E$4,$C$4,1)-WEEKDAY(DATE($E$4,$C$4,1),3)+8),Orders!$T$6:$T$1005,"&lt;"&amp;((DATE($E$4,$C$4,1)-WEEKDAY(DATE($E$4,$C$4,1),3)+8)+1))&amp;" open)"))</f>
        <v/>
      </c>
      <c r="D10" s="49">
        <f>IF(OR(MONTH((DATE($E$4,$C$4,1)-WEEKDAY(DATE($E$4,$C$4,1),3)+9))&lt;&gt;$C$4,COUNTIFS(Orders!$K$6:$K$1005,(DATE($E$4,$C$4,1)-WEEKDAY(DATE($E$4,$C$4,1),3)+9),Orders!$L$6:$L$1005,"&lt;&gt;Cancelled")=0),"",COUNTIFS(Orders!$K$6:$K$1005,(DATE($E$4,$C$4,1)-WEEKDAY(DATE($E$4,$C$4,1),3)+9),Orders!$L$6:$L$1005,"&lt;&gt;Cancelled")&amp;IF(COUNTIFS(Orders!$K$6:$K$1005,(DATE($E$4,$C$4,1)-WEEKDAY(DATE($E$4,$C$4,1),3)+9),Orders!$L$6:$L$1005,"&lt;&gt;Cancelled")=1," order"," orders")&amp;IF(COUNTIFS(Orders!$T$6:$T$1005,"&gt;="&amp;(DATE($E$4,$C$4,1)-WEEKDAY(DATE($E$4,$C$4,1),3)+9),Orders!$T$6:$T$1005,"&lt;"&amp;((DATE($E$4,$C$4,1)-WEEKDAY(DATE($E$4,$C$4,1),3)+9)+1))=0,""," ("&amp;COUNTIFS(Orders!$T$6:$T$1005,"&gt;="&amp;(DATE($E$4,$C$4,1)-WEEKDAY(DATE($E$4,$C$4,1),3)+9),Orders!$T$6:$T$1005,"&lt;"&amp;((DATE($E$4,$C$4,1)-WEEKDAY(DATE($E$4,$C$4,1),3)+9)+1))&amp;" open)"))</f>
        <v/>
      </c>
      <c r="E10" s="49">
        <f>IF(OR(MONTH((DATE($E$4,$C$4,1)-WEEKDAY(DATE($E$4,$C$4,1),3)+10))&lt;&gt;$C$4,COUNTIFS(Orders!$K$6:$K$1005,(DATE($E$4,$C$4,1)-WEEKDAY(DATE($E$4,$C$4,1),3)+10),Orders!$L$6:$L$1005,"&lt;&gt;Cancelled")=0),"",COUNTIFS(Orders!$K$6:$K$1005,(DATE($E$4,$C$4,1)-WEEKDAY(DATE($E$4,$C$4,1),3)+10),Orders!$L$6:$L$1005,"&lt;&gt;Cancelled")&amp;IF(COUNTIFS(Orders!$K$6:$K$1005,(DATE($E$4,$C$4,1)-WEEKDAY(DATE($E$4,$C$4,1),3)+10),Orders!$L$6:$L$1005,"&lt;&gt;Cancelled")=1," order"," orders")&amp;IF(COUNTIFS(Orders!$T$6:$T$1005,"&gt;="&amp;(DATE($E$4,$C$4,1)-WEEKDAY(DATE($E$4,$C$4,1),3)+10),Orders!$T$6:$T$1005,"&lt;"&amp;((DATE($E$4,$C$4,1)-WEEKDAY(DATE($E$4,$C$4,1),3)+10)+1))=0,""," ("&amp;COUNTIFS(Orders!$T$6:$T$1005,"&gt;="&amp;(DATE($E$4,$C$4,1)-WEEKDAY(DATE($E$4,$C$4,1),3)+10),Orders!$T$6:$T$1005,"&lt;"&amp;((DATE($E$4,$C$4,1)-WEEKDAY(DATE($E$4,$C$4,1),3)+10)+1))&amp;" open)"))</f>
        <v/>
      </c>
      <c r="F10" s="49">
        <f>IF(OR(MONTH((DATE($E$4,$C$4,1)-WEEKDAY(DATE($E$4,$C$4,1),3)+11))&lt;&gt;$C$4,COUNTIFS(Orders!$K$6:$K$1005,(DATE($E$4,$C$4,1)-WEEKDAY(DATE($E$4,$C$4,1),3)+11),Orders!$L$6:$L$1005,"&lt;&gt;Cancelled")=0),"",COUNTIFS(Orders!$K$6:$K$1005,(DATE($E$4,$C$4,1)-WEEKDAY(DATE($E$4,$C$4,1),3)+11),Orders!$L$6:$L$1005,"&lt;&gt;Cancelled")&amp;IF(COUNTIFS(Orders!$K$6:$K$1005,(DATE($E$4,$C$4,1)-WEEKDAY(DATE($E$4,$C$4,1),3)+11),Orders!$L$6:$L$1005,"&lt;&gt;Cancelled")=1," order"," orders")&amp;IF(COUNTIFS(Orders!$T$6:$T$1005,"&gt;="&amp;(DATE($E$4,$C$4,1)-WEEKDAY(DATE($E$4,$C$4,1),3)+11),Orders!$T$6:$T$1005,"&lt;"&amp;((DATE($E$4,$C$4,1)-WEEKDAY(DATE($E$4,$C$4,1),3)+11)+1))=0,""," ("&amp;COUNTIFS(Orders!$T$6:$T$1005,"&gt;="&amp;(DATE($E$4,$C$4,1)-WEEKDAY(DATE($E$4,$C$4,1),3)+11),Orders!$T$6:$T$1005,"&lt;"&amp;((DATE($E$4,$C$4,1)-WEEKDAY(DATE($E$4,$C$4,1),3)+11)+1))&amp;" open)"))</f>
        <v/>
      </c>
      <c r="G10" s="49">
        <f>IF(OR(MONTH((DATE($E$4,$C$4,1)-WEEKDAY(DATE($E$4,$C$4,1),3)+12))&lt;&gt;$C$4,COUNTIFS(Orders!$K$6:$K$1005,(DATE($E$4,$C$4,1)-WEEKDAY(DATE($E$4,$C$4,1),3)+12),Orders!$L$6:$L$1005,"&lt;&gt;Cancelled")=0),"",COUNTIFS(Orders!$K$6:$K$1005,(DATE($E$4,$C$4,1)-WEEKDAY(DATE($E$4,$C$4,1),3)+12),Orders!$L$6:$L$1005,"&lt;&gt;Cancelled")&amp;IF(COUNTIFS(Orders!$K$6:$K$1005,(DATE($E$4,$C$4,1)-WEEKDAY(DATE($E$4,$C$4,1),3)+12),Orders!$L$6:$L$1005,"&lt;&gt;Cancelled")=1," order"," orders")&amp;IF(COUNTIFS(Orders!$T$6:$T$1005,"&gt;="&amp;(DATE($E$4,$C$4,1)-WEEKDAY(DATE($E$4,$C$4,1),3)+12),Orders!$T$6:$T$1005,"&lt;"&amp;((DATE($E$4,$C$4,1)-WEEKDAY(DATE($E$4,$C$4,1),3)+12)+1))=0,""," ("&amp;COUNTIFS(Orders!$T$6:$T$1005,"&gt;="&amp;(DATE($E$4,$C$4,1)-WEEKDAY(DATE($E$4,$C$4,1),3)+12),Orders!$T$6:$T$1005,"&lt;"&amp;((DATE($E$4,$C$4,1)-WEEKDAY(DATE($E$4,$C$4,1),3)+12)+1))&amp;" open)"))</f>
        <v/>
      </c>
      <c r="H10" s="49">
        <f>IF(OR(MONTH((DATE($E$4,$C$4,1)-WEEKDAY(DATE($E$4,$C$4,1),3)+13))&lt;&gt;$C$4,COUNTIFS(Orders!$K$6:$K$1005,(DATE($E$4,$C$4,1)-WEEKDAY(DATE($E$4,$C$4,1),3)+13),Orders!$L$6:$L$1005,"&lt;&gt;Cancelled")=0),"",COUNTIFS(Orders!$K$6:$K$1005,(DATE($E$4,$C$4,1)-WEEKDAY(DATE($E$4,$C$4,1),3)+13),Orders!$L$6:$L$1005,"&lt;&gt;Cancelled")&amp;IF(COUNTIFS(Orders!$K$6:$K$1005,(DATE($E$4,$C$4,1)-WEEKDAY(DATE($E$4,$C$4,1),3)+13),Orders!$L$6:$L$1005,"&lt;&gt;Cancelled")=1," order"," orders")&amp;IF(COUNTIFS(Orders!$T$6:$T$1005,"&gt;="&amp;(DATE($E$4,$C$4,1)-WEEKDAY(DATE($E$4,$C$4,1),3)+13),Orders!$T$6:$T$1005,"&lt;"&amp;((DATE($E$4,$C$4,1)-WEEKDAY(DATE($E$4,$C$4,1),3)+13)+1))=0,""," ("&amp;COUNTIFS(Orders!$T$6:$T$1005,"&gt;="&amp;(DATE($E$4,$C$4,1)-WEEKDAY(DATE($E$4,$C$4,1),3)+13),Orders!$T$6:$T$1005,"&lt;"&amp;((DATE($E$4,$C$4,1)-WEEKDAY(DATE($E$4,$C$4,1),3)+13)+1))&amp;" open)"))</f>
        <v/>
      </c>
      <c r="I10" s="1" t="n"/>
      <c r="K10">
        <f>IF(MONTH((DATE($E$4,$C$4,1)-WEEKDAY(DATE($E$4,$C$4,1),3)+7))&lt;&gt;$C$4,"",IF(COUNTIFS(Orders!$T$6:$T$1005,"&gt;="&amp;(DATE($E$4,$C$4,1)-WEEKDAY(DATE($E$4,$C$4,1),3)+7),Orders!$T$6:$T$1005,"&lt;"&amp;((DATE($E$4,$C$4,1)-WEEKDAY(DATE($E$4,$C$4,1),3)+7)+1))&gt;0,IF((DATE($E$4,$C$4,1)-WEEKDAY(DATE($E$4,$C$4,1),3)+7)&lt;TODAY(),"late","open"),IF(COUNTIFS(Orders!$K$6:$K$1005,(DATE($E$4,$C$4,1)-WEEKDAY(DATE($E$4,$C$4,1),3)+7),Orders!$L$6:$L$1005,"&lt;&gt;Cancelled")&gt;0,"done","")))</f>
        <v/>
      </c>
      <c r="L10">
        <f>IF(MONTH((DATE($E$4,$C$4,1)-WEEKDAY(DATE($E$4,$C$4,1),3)+8))&lt;&gt;$C$4,"",IF(COUNTIFS(Orders!$T$6:$T$1005,"&gt;="&amp;(DATE($E$4,$C$4,1)-WEEKDAY(DATE($E$4,$C$4,1),3)+8),Orders!$T$6:$T$1005,"&lt;"&amp;((DATE($E$4,$C$4,1)-WEEKDAY(DATE($E$4,$C$4,1),3)+8)+1))&gt;0,IF((DATE($E$4,$C$4,1)-WEEKDAY(DATE($E$4,$C$4,1),3)+8)&lt;TODAY(),"late","open"),IF(COUNTIFS(Orders!$K$6:$K$1005,(DATE($E$4,$C$4,1)-WEEKDAY(DATE($E$4,$C$4,1),3)+8),Orders!$L$6:$L$1005,"&lt;&gt;Cancelled")&gt;0,"done","")))</f>
        <v/>
      </c>
      <c r="M10">
        <f>IF(MONTH((DATE($E$4,$C$4,1)-WEEKDAY(DATE($E$4,$C$4,1),3)+9))&lt;&gt;$C$4,"",IF(COUNTIFS(Orders!$T$6:$T$1005,"&gt;="&amp;(DATE($E$4,$C$4,1)-WEEKDAY(DATE($E$4,$C$4,1),3)+9),Orders!$T$6:$T$1005,"&lt;"&amp;((DATE($E$4,$C$4,1)-WEEKDAY(DATE($E$4,$C$4,1),3)+9)+1))&gt;0,IF((DATE($E$4,$C$4,1)-WEEKDAY(DATE($E$4,$C$4,1),3)+9)&lt;TODAY(),"late","open"),IF(COUNTIFS(Orders!$K$6:$K$1005,(DATE($E$4,$C$4,1)-WEEKDAY(DATE($E$4,$C$4,1),3)+9),Orders!$L$6:$L$1005,"&lt;&gt;Cancelled")&gt;0,"done","")))</f>
        <v/>
      </c>
      <c r="N10">
        <f>IF(MONTH((DATE($E$4,$C$4,1)-WEEKDAY(DATE($E$4,$C$4,1),3)+10))&lt;&gt;$C$4,"",IF(COUNTIFS(Orders!$T$6:$T$1005,"&gt;="&amp;(DATE($E$4,$C$4,1)-WEEKDAY(DATE($E$4,$C$4,1),3)+10),Orders!$T$6:$T$1005,"&lt;"&amp;((DATE($E$4,$C$4,1)-WEEKDAY(DATE($E$4,$C$4,1),3)+10)+1))&gt;0,IF((DATE($E$4,$C$4,1)-WEEKDAY(DATE($E$4,$C$4,1),3)+10)&lt;TODAY(),"late","open"),IF(COUNTIFS(Orders!$K$6:$K$1005,(DATE($E$4,$C$4,1)-WEEKDAY(DATE($E$4,$C$4,1),3)+10),Orders!$L$6:$L$1005,"&lt;&gt;Cancelled")&gt;0,"done","")))</f>
        <v/>
      </c>
      <c r="O10">
        <f>IF(MONTH((DATE($E$4,$C$4,1)-WEEKDAY(DATE($E$4,$C$4,1),3)+11))&lt;&gt;$C$4,"",IF(COUNTIFS(Orders!$T$6:$T$1005,"&gt;="&amp;(DATE($E$4,$C$4,1)-WEEKDAY(DATE($E$4,$C$4,1),3)+11),Orders!$T$6:$T$1005,"&lt;"&amp;((DATE($E$4,$C$4,1)-WEEKDAY(DATE($E$4,$C$4,1),3)+11)+1))&gt;0,IF((DATE($E$4,$C$4,1)-WEEKDAY(DATE($E$4,$C$4,1),3)+11)&lt;TODAY(),"late","open"),IF(COUNTIFS(Orders!$K$6:$K$1005,(DATE($E$4,$C$4,1)-WEEKDAY(DATE($E$4,$C$4,1),3)+11),Orders!$L$6:$L$1005,"&lt;&gt;Cancelled")&gt;0,"done","")))</f>
        <v/>
      </c>
      <c r="P10">
        <f>IF(MONTH((DATE($E$4,$C$4,1)-WEEKDAY(DATE($E$4,$C$4,1),3)+12))&lt;&gt;$C$4,"",IF(COUNTIFS(Orders!$T$6:$T$1005,"&gt;="&amp;(DATE($E$4,$C$4,1)-WEEKDAY(DATE($E$4,$C$4,1),3)+12),Orders!$T$6:$T$1005,"&lt;"&amp;((DATE($E$4,$C$4,1)-WEEKDAY(DATE($E$4,$C$4,1),3)+12)+1))&gt;0,IF((DATE($E$4,$C$4,1)-WEEKDAY(DATE($E$4,$C$4,1),3)+12)&lt;TODAY(),"late","open"),IF(COUNTIFS(Orders!$K$6:$K$1005,(DATE($E$4,$C$4,1)-WEEKDAY(DATE($E$4,$C$4,1),3)+12),Orders!$L$6:$L$1005,"&lt;&gt;Cancelled")&gt;0,"done","")))</f>
        <v/>
      </c>
      <c r="Q10">
        <f>IF(MONTH((DATE($E$4,$C$4,1)-WEEKDAY(DATE($E$4,$C$4,1),3)+13))&lt;&gt;$C$4,"",IF(COUNTIFS(Orders!$T$6:$T$1005,"&gt;="&amp;(DATE($E$4,$C$4,1)-WEEKDAY(DATE($E$4,$C$4,1),3)+13),Orders!$T$6:$T$1005,"&lt;"&amp;((DATE($E$4,$C$4,1)-WEEKDAY(DATE($E$4,$C$4,1),3)+13)+1))&gt;0,IF((DATE($E$4,$C$4,1)-WEEKDAY(DATE($E$4,$C$4,1),3)+13)&lt;TODAY(),"late","open"),IF(COUNTIFS(Orders!$K$6:$K$1005,(DATE($E$4,$C$4,1)-WEEKDAY(DATE($E$4,$C$4,1),3)+13),Orders!$L$6:$L$1005,"&lt;&gt;Cancelled")&gt;0,"done","")))</f>
        <v/>
      </c>
    </row>
    <row r="11">
      <c r="A11" s="1" t="n"/>
      <c r="B11" s="48">
        <f>IF(MONTH((DATE($E$4,$C$4,1)-WEEKDAY(DATE($E$4,$C$4,1),3)+14))=$C$4,DAY((DATE($E$4,$C$4,1)-WEEKDAY(DATE($E$4,$C$4,1),3)+14)),"")</f>
        <v/>
      </c>
      <c r="C11" s="48">
        <f>IF(MONTH((DATE($E$4,$C$4,1)-WEEKDAY(DATE($E$4,$C$4,1),3)+15))=$C$4,DAY((DATE($E$4,$C$4,1)-WEEKDAY(DATE($E$4,$C$4,1),3)+15)),"")</f>
        <v/>
      </c>
      <c r="D11" s="48">
        <f>IF(MONTH((DATE($E$4,$C$4,1)-WEEKDAY(DATE($E$4,$C$4,1),3)+16))=$C$4,DAY((DATE($E$4,$C$4,1)-WEEKDAY(DATE($E$4,$C$4,1),3)+16)),"")</f>
        <v/>
      </c>
      <c r="E11" s="48">
        <f>IF(MONTH((DATE($E$4,$C$4,1)-WEEKDAY(DATE($E$4,$C$4,1),3)+17))=$C$4,DAY((DATE($E$4,$C$4,1)-WEEKDAY(DATE($E$4,$C$4,1),3)+17)),"")</f>
        <v/>
      </c>
      <c r="F11" s="48">
        <f>IF(MONTH((DATE($E$4,$C$4,1)-WEEKDAY(DATE($E$4,$C$4,1),3)+18))=$C$4,DAY((DATE($E$4,$C$4,1)-WEEKDAY(DATE($E$4,$C$4,1),3)+18)),"")</f>
        <v/>
      </c>
      <c r="G11" s="48">
        <f>IF(MONTH((DATE($E$4,$C$4,1)-WEEKDAY(DATE($E$4,$C$4,1),3)+19))=$C$4,DAY((DATE($E$4,$C$4,1)-WEEKDAY(DATE($E$4,$C$4,1),3)+19)),"")</f>
        <v/>
      </c>
      <c r="H11" s="48">
        <f>IF(MONTH((DATE($E$4,$C$4,1)-WEEKDAY(DATE($E$4,$C$4,1),3)+20))=$C$4,DAY((DATE($E$4,$C$4,1)-WEEKDAY(DATE($E$4,$C$4,1),3)+20)),"")</f>
        <v/>
      </c>
      <c r="I11" s="1" t="n"/>
    </row>
    <row r="12" ht="32" customHeight="1">
      <c r="A12" s="1" t="n"/>
      <c r="B12" s="49">
        <f>IF(OR(MONTH((DATE($E$4,$C$4,1)-WEEKDAY(DATE($E$4,$C$4,1),3)+14))&lt;&gt;$C$4,COUNTIFS(Orders!$K$6:$K$1005,(DATE($E$4,$C$4,1)-WEEKDAY(DATE($E$4,$C$4,1),3)+14),Orders!$L$6:$L$1005,"&lt;&gt;Cancelled")=0),"",COUNTIFS(Orders!$K$6:$K$1005,(DATE($E$4,$C$4,1)-WEEKDAY(DATE($E$4,$C$4,1),3)+14),Orders!$L$6:$L$1005,"&lt;&gt;Cancelled")&amp;IF(COUNTIFS(Orders!$K$6:$K$1005,(DATE($E$4,$C$4,1)-WEEKDAY(DATE($E$4,$C$4,1),3)+14),Orders!$L$6:$L$1005,"&lt;&gt;Cancelled")=1," order"," orders")&amp;IF(COUNTIFS(Orders!$T$6:$T$1005,"&gt;="&amp;(DATE($E$4,$C$4,1)-WEEKDAY(DATE($E$4,$C$4,1),3)+14),Orders!$T$6:$T$1005,"&lt;"&amp;((DATE($E$4,$C$4,1)-WEEKDAY(DATE($E$4,$C$4,1),3)+14)+1))=0,""," ("&amp;COUNTIFS(Orders!$T$6:$T$1005,"&gt;="&amp;(DATE($E$4,$C$4,1)-WEEKDAY(DATE($E$4,$C$4,1),3)+14),Orders!$T$6:$T$1005,"&lt;"&amp;((DATE($E$4,$C$4,1)-WEEKDAY(DATE($E$4,$C$4,1),3)+14)+1))&amp;" open)"))</f>
        <v/>
      </c>
      <c r="C12" s="49">
        <f>IF(OR(MONTH((DATE($E$4,$C$4,1)-WEEKDAY(DATE($E$4,$C$4,1),3)+15))&lt;&gt;$C$4,COUNTIFS(Orders!$K$6:$K$1005,(DATE($E$4,$C$4,1)-WEEKDAY(DATE($E$4,$C$4,1),3)+15),Orders!$L$6:$L$1005,"&lt;&gt;Cancelled")=0),"",COUNTIFS(Orders!$K$6:$K$1005,(DATE($E$4,$C$4,1)-WEEKDAY(DATE($E$4,$C$4,1),3)+15),Orders!$L$6:$L$1005,"&lt;&gt;Cancelled")&amp;IF(COUNTIFS(Orders!$K$6:$K$1005,(DATE($E$4,$C$4,1)-WEEKDAY(DATE($E$4,$C$4,1),3)+15),Orders!$L$6:$L$1005,"&lt;&gt;Cancelled")=1," order"," orders")&amp;IF(COUNTIFS(Orders!$T$6:$T$1005,"&gt;="&amp;(DATE($E$4,$C$4,1)-WEEKDAY(DATE($E$4,$C$4,1),3)+15),Orders!$T$6:$T$1005,"&lt;"&amp;((DATE($E$4,$C$4,1)-WEEKDAY(DATE($E$4,$C$4,1),3)+15)+1))=0,""," ("&amp;COUNTIFS(Orders!$T$6:$T$1005,"&gt;="&amp;(DATE($E$4,$C$4,1)-WEEKDAY(DATE($E$4,$C$4,1),3)+15),Orders!$T$6:$T$1005,"&lt;"&amp;((DATE($E$4,$C$4,1)-WEEKDAY(DATE($E$4,$C$4,1),3)+15)+1))&amp;" open)"))</f>
        <v/>
      </c>
      <c r="D12" s="49">
        <f>IF(OR(MONTH((DATE($E$4,$C$4,1)-WEEKDAY(DATE($E$4,$C$4,1),3)+16))&lt;&gt;$C$4,COUNTIFS(Orders!$K$6:$K$1005,(DATE($E$4,$C$4,1)-WEEKDAY(DATE($E$4,$C$4,1),3)+16),Orders!$L$6:$L$1005,"&lt;&gt;Cancelled")=0),"",COUNTIFS(Orders!$K$6:$K$1005,(DATE($E$4,$C$4,1)-WEEKDAY(DATE($E$4,$C$4,1),3)+16),Orders!$L$6:$L$1005,"&lt;&gt;Cancelled")&amp;IF(COUNTIFS(Orders!$K$6:$K$1005,(DATE($E$4,$C$4,1)-WEEKDAY(DATE($E$4,$C$4,1),3)+16),Orders!$L$6:$L$1005,"&lt;&gt;Cancelled")=1," order"," orders")&amp;IF(COUNTIFS(Orders!$T$6:$T$1005,"&gt;="&amp;(DATE($E$4,$C$4,1)-WEEKDAY(DATE($E$4,$C$4,1),3)+16),Orders!$T$6:$T$1005,"&lt;"&amp;((DATE($E$4,$C$4,1)-WEEKDAY(DATE($E$4,$C$4,1),3)+16)+1))=0,""," ("&amp;COUNTIFS(Orders!$T$6:$T$1005,"&gt;="&amp;(DATE($E$4,$C$4,1)-WEEKDAY(DATE($E$4,$C$4,1),3)+16),Orders!$T$6:$T$1005,"&lt;"&amp;((DATE($E$4,$C$4,1)-WEEKDAY(DATE($E$4,$C$4,1),3)+16)+1))&amp;" open)"))</f>
        <v/>
      </c>
      <c r="E12" s="49">
        <f>IF(OR(MONTH((DATE($E$4,$C$4,1)-WEEKDAY(DATE($E$4,$C$4,1),3)+17))&lt;&gt;$C$4,COUNTIFS(Orders!$K$6:$K$1005,(DATE($E$4,$C$4,1)-WEEKDAY(DATE($E$4,$C$4,1),3)+17),Orders!$L$6:$L$1005,"&lt;&gt;Cancelled")=0),"",COUNTIFS(Orders!$K$6:$K$1005,(DATE($E$4,$C$4,1)-WEEKDAY(DATE($E$4,$C$4,1),3)+17),Orders!$L$6:$L$1005,"&lt;&gt;Cancelled")&amp;IF(COUNTIFS(Orders!$K$6:$K$1005,(DATE($E$4,$C$4,1)-WEEKDAY(DATE($E$4,$C$4,1),3)+17),Orders!$L$6:$L$1005,"&lt;&gt;Cancelled")=1," order"," orders")&amp;IF(COUNTIFS(Orders!$T$6:$T$1005,"&gt;="&amp;(DATE($E$4,$C$4,1)-WEEKDAY(DATE($E$4,$C$4,1),3)+17),Orders!$T$6:$T$1005,"&lt;"&amp;((DATE($E$4,$C$4,1)-WEEKDAY(DATE($E$4,$C$4,1),3)+17)+1))=0,""," ("&amp;COUNTIFS(Orders!$T$6:$T$1005,"&gt;="&amp;(DATE($E$4,$C$4,1)-WEEKDAY(DATE($E$4,$C$4,1),3)+17),Orders!$T$6:$T$1005,"&lt;"&amp;((DATE($E$4,$C$4,1)-WEEKDAY(DATE($E$4,$C$4,1),3)+17)+1))&amp;" open)"))</f>
        <v/>
      </c>
      <c r="F12" s="49">
        <f>IF(OR(MONTH((DATE($E$4,$C$4,1)-WEEKDAY(DATE($E$4,$C$4,1),3)+18))&lt;&gt;$C$4,COUNTIFS(Orders!$K$6:$K$1005,(DATE($E$4,$C$4,1)-WEEKDAY(DATE($E$4,$C$4,1),3)+18),Orders!$L$6:$L$1005,"&lt;&gt;Cancelled")=0),"",COUNTIFS(Orders!$K$6:$K$1005,(DATE($E$4,$C$4,1)-WEEKDAY(DATE($E$4,$C$4,1),3)+18),Orders!$L$6:$L$1005,"&lt;&gt;Cancelled")&amp;IF(COUNTIFS(Orders!$K$6:$K$1005,(DATE($E$4,$C$4,1)-WEEKDAY(DATE($E$4,$C$4,1),3)+18),Orders!$L$6:$L$1005,"&lt;&gt;Cancelled")=1," order"," orders")&amp;IF(COUNTIFS(Orders!$T$6:$T$1005,"&gt;="&amp;(DATE($E$4,$C$4,1)-WEEKDAY(DATE($E$4,$C$4,1),3)+18),Orders!$T$6:$T$1005,"&lt;"&amp;((DATE($E$4,$C$4,1)-WEEKDAY(DATE($E$4,$C$4,1),3)+18)+1))=0,""," ("&amp;COUNTIFS(Orders!$T$6:$T$1005,"&gt;="&amp;(DATE($E$4,$C$4,1)-WEEKDAY(DATE($E$4,$C$4,1),3)+18),Orders!$T$6:$T$1005,"&lt;"&amp;((DATE($E$4,$C$4,1)-WEEKDAY(DATE($E$4,$C$4,1),3)+18)+1))&amp;" open)"))</f>
        <v/>
      </c>
      <c r="G12" s="49">
        <f>IF(OR(MONTH((DATE($E$4,$C$4,1)-WEEKDAY(DATE($E$4,$C$4,1),3)+19))&lt;&gt;$C$4,COUNTIFS(Orders!$K$6:$K$1005,(DATE($E$4,$C$4,1)-WEEKDAY(DATE($E$4,$C$4,1),3)+19),Orders!$L$6:$L$1005,"&lt;&gt;Cancelled")=0),"",COUNTIFS(Orders!$K$6:$K$1005,(DATE($E$4,$C$4,1)-WEEKDAY(DATE($E$4,$C$4,1),3)+19),Orders!$L$6:$L$1005,"&lt;&gt;Cancelled")&amp;IF(COUNTIFS(Orders!$K$6:$K$1005,(DATE($E$4,$C$4,1)-WEEKDAY(DATE($E$4,$C$4,1),3)+19),Orders!$L$6:$L$1005,"&lt;&gt;Cancelled")=1," order"," orders")&amp;IF(COUNTIFS(Orders!$T$6:$T$1005,"&gt;="&amp;(DATE($E$4,$C$4,1)-WEEKDAY(DATE($E$4,$C$4,1),3)+19),Orders!$T$6:$T$1005,"&lt;"&amp;((DATE($E$4,$C$4,1)-WEEKDAY(DATE($E$4,$C$4,1),3)+19)+1))=0,""," ("&amp;COUNTIFS(Orders!$T$6:$T$1005,"&gt;="&amp;(DATE($E$4,$C$4,1)-WEEKDAY(DATE($E$4,$C$4,1),3)+19),Orders!$T$6:$T$1005,"&lt;"&amp;((DATE($E$4,$C$4,1)-WEEKDAY(DATE($E$4,$C$4,1),3)+19)+1))&amp;" open)"))</f>
        <v/>
      </c>
      <c r="H12" s="49">
        <f>IF(OR(MONTH((DATE($E$4,$C$4,1)-WEEKDAY(DATE($E$4,$C$4,1),3)+20))&lt;&gt;$C$4,COUNTIFS(Orders!$K$6:$K$1005,(DATE($E$4,$C$4,1)-WEEKDAY(DATE($E$4,$C$4,1),3)+20),Orders!$L$6:$L$1005,"&lt;&gt;Cancelled")=0),"",COUNTIFS(Orders!$K$6:$K$1005,(DATE($E$4,$C$4,1)-WEEKDAY(DATE($E$4,$C$4,1),3)+20),Orders!$L$6:$L$1005,"&lt;&gt;Cancelled")&amp;IF(COUNTIFS(Orders!$K$6:$K$1005,(DATE($E$4,$C$4,1)-WEEKDAY(DATE($E$4,$C$4,1),3)+20),Orders!$L$6:$L$1005,"&lt;&gt;Cancelled")=1," order"," orders")&amp;IF(COUNTIFS(Orders!$T$6:$T$1005,"&gt;="&amp;(DATE($E$4,$C$4,1)-WEEKDAY(DATE($E$4,$C$4,1),3)+20),Orders!$T$6:$T$1005,"&lt;"&amp;((DATE($E$4,$C$4,1)-WEEKDAY(DATE($E$4,$C$4,1),3)+20)+1))=0,""," ("&amp;COUNTIFS(Orders!$T$6:$T$1005,"&gt;="&amp;(DATE($E$4,$C$4,1)-WEEKDAY(DATE($E$4,$C$4,1),3)+20),Orders!$T$6:$T$1005,"&lt;"&amp;((DATE($E$4,$C$4,1)-WEEKDAY(DATE($E$4,$C$4,1),3)+20)+1))&amp;" open)"))</f>
        <v/>
      </c>
      <c r="I12" s="1" t="n"/>
      <c r="K12">
        <f>IF(MONTH((DATE($E$4,$C$4,1)-WEEKDAY(DATE($E$4,$C$4,1),3)+14))&lt;&gt;$C$4,"",IF(COUNTIFS(Orders!$T$6:$T$1005,"&gt;="&amp;(DATE($E$4,$C$4,1)-WEEKDAY(DATE($E$4,$C$4,1),3)+14),Orders!$T$6:$T$1005,"&lt;"&amp;((DATE($E$4,$C$4,1)-WEEKDAY(DATE($E$4,$C$4,1),3)+14)+1))&gt;0,IF((DATE($E$4,$C$4,1)-WEEKDAY(DATE($E$4,$C$4,1),3)+14)&lt;TODAY(),"late","open"),IF(COUNTIFS(Orders!$K$6:$K$1005,(DATE($E$4,$C$4,1)-WEEKDAY(DATE($E$4,$C$4,1),3)+14),Orders!$L$6:$L$1005,"&lt;&gt;Cancelled")&gt;0,"done","")))</f>
        <v/>
      </c>
      <c r="L12">
        <f>IF(MONTH((DATE($E$4,$C$4,1)-WEEKDAY(DATE($E$4,$C$4,1),3)+15))&lt;&gt;$C$4,"",IF(COUNTIFS(Orders!$T$6:$T$1005,"&gt;="&amp;(DATE($E$4,$C$4,1)-WEEKDAY(DATE($E$4,$C$4,1),3)+15),Orders!$T$6:$T$1005,"&lt;"&amp;((DATE($E$4,$C$4,1)-WEEKDAY(DATE($E$4,$C$4,1),3)+15)+1))&gt;0,IF((DATE($E$4,$C$4,1)-WEEKDAY(DATE($E$4,$C$4,1),3)+15)&lt;TODAY(),"late","open"),IF(COUNTIFS(Orders!$K$6:$K$1005,(DATE($E$4,$C$4,1)-WEEKDAY(DATE($E$4,$C$4,1),3)+15),Orders!$L$6:$L$1005,"&lt;&gt;Cancelled")&gt;0,"done","")))</f>
        <v/>
      </c>
      <c r="M12">
        <f>IF(MONTH((DATE($E$4,$C$4,1)-WEEKDAY(DATE($E$4,$C$4,1),3)+16))&lt;&gt;$C$4,"",IF(COUNTIFS(Orders!$T$6:$T$1005,"&gt;="&amp;(DATE($E$4,$C$4,1)-WEEKDAY(DATE($E$4,$C$4,1),3)+16),Orders!$T$6:$T$1005,"&lt;"&amp;((DATE($E$4,$C$4,1)-WEEKDAY(DATE($E$4,$C$4,1),3)+16)+1))&gt;0,IF((DATE($E$4,$C$4,1)-WEEKDAY(DATE($E$4,$C$4,1),3)+16)&lt;TODAY(),"late","open"),IF(COUNTIFS(Orders!$K$6:$K$1005,(DATE($E$4,$C$4,1)-WEEKDAY(DATE($E$4,$C$4,1),3)+16),Orders!$L$6:$L$1005,"&lt;&gt;Cancelled")&gt;0,"done","")))</f>
        <v/>
      </c>
      <c r="N12">
        <f>IF(MONTH((DATE($E$4,$C$4,1)-WEEKDAY(DATE($E$4,$C$4,1),3)+17))&lt;&gt;$C$4,"",IF(COUNTIFS(Orders!$T$6:$T$1005,"&gt;="&amp;(DATE($E$4,$C$4,1)-WEEKDAY(DATE($E$4,$C$4,1),3)+17),Orders!$T$6:$T$1005,"&lt;"&amp;((DATE($E$4,$C$4,1)-WEEKDAY(DATE($E$4,$C$4,1),3)+17)+1))&gt;0,IF((DATE($E$4,$C$4,1)-WEEKDAY(DATE($E$4,$C$4,1),3)+17)&lt;TODAY(),"late","open"),IF(COUNTIFS(Orders!$K$6:$K$1005,(DATE($E$4,$C$4,1)-WEEKDAY(DATE($E$4,$C$4,1),3)+17),Orders!$L$6:$L$1005,"&lt;&gt;Cancelled")&gt;0,"done","")))</f>
        <v/>
      </c>
      <c r="O12">
        <f>IF(MONTH((DATE($E$4,$C$4,1)-WEEKDAY(DATE($E$4,$C$4,1),3)+18))&lt;&gt;$C$4,"",IF(COUNTIFS(Orders!$T$6:$T$1005,"&gt;="&amp;(DATE($E$4,$C$4,1)-WEEKDAY(DATE($E$4,$C$4,1),3)+18),Orders!$T$6:$T$1005,"&lt;"&amp;((DATE($E$4,$C$4,1)-WEEKDAY(DATE($E$4,$C$4,1),3)+18)+1))&gt;0,IF((DATE($E$4,$C$4,1)-WEEKDAY(DATE($E$4,$C$4,1),3)+18)&lt;TODAY(),"late","open"),IF(COUNTIFS(Orders!$K$6:$K$1005,(DATE($E$4,$C$4,1)-WEEKDAY(DATE($E$4,$C$4,1),3)+18),Orders!$L$6:$L$1005,"&lt;&gt;Cancelled")&gt;0,"done","")))</f>
        <v/>
      </c>
      <c r="P12">
        <f>IF(MONTH((DATE($E$4,$C$4,1)-WEEKDAY(DATE($E$4,$C$4,1),3)+19))&lt;&gt;$C$4,"",IF(COUNTIFS(Orders!$T$6:$T$1005,"&gt;="&amp;(DATE($E$4,$C$4,1)-WEEKDAY(DATE($E$4,$C$4,1),3)+19),Orders!$T$6:$T$1005,"&lt;"&amp;((DATE($E$4,$C$4,1)-WEEKDAY(DATE($E$4,$C$4,1),3)+19)+1))&gt;0,IF((DATE($E$4,$C$4,1)-WEEKDAY(DATE($E$4,$C$4,1),3)+19)&lt;TODAY(),"late","open"),IF(COUNTIFS(Orders!$K$6:$K$1005,(DATE($E$4,$C$4,1)-WEEKDAY(DATE($E$4,$C$4,1),3)+19),Orders!$L$6:$L$1005,"&lt;&gt;Cancelled")&gt;0,"done","")))</f>
        <v/>
      </c>
      <c r="Q12">
        <f>IF(MONTH((DATE($E$4,$C$4,1)-WEEKDAY(DATE($E$4,$C$4,1),3)+20))&lt;&gt;$C$4,"",IF(COUNTIFS(Orders!$T$6:$T$1005,"&gt;="&amp;(DATE($E$4,$C$4,1)-WEEKDAY(DATE($E$4,$C$4,1),3)+20),Orders!$T$6:$T$1005,"&lt;"&amp;((DATE($E$4,$C$4,1)-WEEKDAY(DATE($E$4,$C$4,1),3)+20)+1))&gt;0,IF((DATE($E$4,$C$4,1)-WEEKDAY(DATE($E$4,$C$4,1),3)+20)&lt;TODAY(),"late","open"),IF(COUNTIFS(Orders!$K$6:$K$1005,(DATE($E$4,$C$4,1)-WEEKDAY(DATE($E$4,$C$4,1),3)+20),Orders!$L$6:$L$1005,"&lt;&gt;Cancelled")&gt;0,"done","")))</f>
        <v/>
      </c>
    </row>
    <row r="13">
      <c r="A13" s="1" t="n"/>
      <c r="B13" s="48">
        <f>IF(MONTH((DATE($E$4,$C$4,1)-WEEKDAY(DATE($E$4,$C$4,1),3)+21))=$C$4,DAY((DATE($E$4,$C$4,1)-WEEKDAY(DATE($E$4,$C$4,1),3)+21)),"")</f>
        <v/>
      </c>
      <c r="C13" s="48">
        <f>IF(MONTH((DATE($E$4,$C$4,1)-WEEKDAY(DATE($E$4,$C$4,1),3)+22))=$C$4,DAY((DATE($E$4,$C$4,1)-WEEKDAY(DATE($E$4,$C$4,1),3)+22)),"")</f>
        <v/>
      </c>
      <c r="D13" s="48">
        <f>IF(MONTH((DATE($E$4,$C$4,1)-WEEKDAY(DATE($E$4,$C$4,1),3)+23))=$C$4,DAY((DATE($E$4,$C$4,1)-WEEKDAY(DATE($E$4,$C$4,1),3)+23)),"")</f>
        <v/>
      </c>
      <c r="E13" s="48">
        <f>IF(MONTH((DATE($E$4,$C$4,1)-WEEKDAY(DATE($E$4,$C$4,1),3)+24))=$C$4,DAY((DATE($E$4,$C$4,1)-WEEKDAY(DATE($E$4,$C$4,1),3)+24)),"")</f>
        <v/>
      </c>
      <c r="F13" s="48">
        <f>IF(MONTH((DATE($E$4,$C$4,1)-WEEKDAY(DATE($E$4,$C$4,1),3)+25))=$C$4,DAY((DATE($E$4,$C$4,1)-WEEKDAY(DATE($E$4,$C$4,1),3)+25)),"")</f>
        <v/>
      </c>
      <c r="G13" s="48">
        <f>IF(MONTH((DATE($E$4,$C$4,1)-WEEKDAY(DATE($E$4,$C$4,1),3)+26))=$C$4,DAY((DATE($E$4,$C$4,1)-WEEKDAY(DATE($E$4,$C$4,1),3)+26)),"")</f>
        <v/>
      </c>
      <c r="H13" s="48">
        <f>IF(MONTH((DATE($E$4,$C$4,1)-WEEKDAY(DATE($E$4,$C$4,1),3)+27))=$C$4,DAY((DATE($E$4,$C$4,1)-WEEKDAY(DATE($E$4,$C$4,1),3)+27)),"")</f>
        <v/>
      </c>
      <c r="I13" s="1" t="n"/>
    </row>
    <row r="14" ht="32" customHeight="1">
      <c r="A14" s="1" t="n"/>
      <c r="B14" s="49">
        <f>IF(OR(MONTH((DATE($E$4,$C$4,1)-WEEKDAY(DATE($E$4,$C$4,1),3)+21))&lt;&gt;$C$4,COUNTIFS(Orders!$K$6:$K$1005,(DATE($E$4,$C$4,1)-WEEKDAY(DATE($E$4,$C$4,1),3)+21),Orders!$L$6:$L$1005,"&lt;&gt;Cancelled")=0),"",COUNTIFS(Orders!$K$6:$K$1005,(DATE($E$4,$C$4,1)-WEEKDAY(DATE($E$4,$C$4,1),3)+21),Orders!$L$6:$L$1005,"&lt;&gt;Cancelled")&amp;IF(COUNTIFS(Orders!$K$6:$K$1005,(DATE($E$4,$C$4,1)-WEEKDAY(DATE($E$4,$C$4,1),3)+21),Orders!$L$6:$L$1005,"&lt;&gt;Cancelled")=1," order"," orders")&amp;IF(COUNTIFS(Orders!$T$6:$T$1005,"&gt;="&amp;(DATE($E$4,$C$4,1)-WEEKDAY(DATE($E$4,$C$4,1),3)+21),Orders!$T$6:$T$1005,"&lt;"&amp;((DATE($E$4,$C$4,1)-WEEKDAY(DATE($E$4,$C$4,1),3)+21)+1))=0,""," ("&amp;COUNTIFS(Orders!$T$6:$T$1005,"&gt;="&amp;(DATE($E$4,$C$4,1)-WEEKDAY(DATE($E$4,$C$4,1),3)+21),Orders!$T$6:$T$1005,"&lt;"&amp;((DATE($E$4,$C$4,1)-WEEKDAY(DATE($E$4,$C$4,1),3)+21)+1))&amp;" open)"))</f>
        <v/>
      </c>
      <c r="C14" s="49">
        <f>IF(OR(MONTH((DATE($E$4,$C$4,1)-WEEKDAY(DATE($E$4,$C$4,1),3)+22))&lt;&gt;$C$4,COUNTIFS(Orders!$K$6:$K$1005,(DATE($E$4,$C$4,1)-WEEKDAY(DATE($E$4,$C$4,1),3)+22),Orders!$L$6:$L$1005,"&lt;&gt;Cancelled")=0),"",COUNTIFS(Orders!$K$6:$K$1005,(DATE($E$4,$C$4,1)-WEEKDAY(DATE($E$4,$C$4,1),3)+22),Orders!$L$6:$L$1005,"&lt;&gt;Cancelled")&amp;IF(COUNTIFS(Orders!$K$6:$K$1005,(DATE($E$4,$C$4,1)-WEEKDAY(DATE($E$4,$C$4,1),3)+22),Orders!$L$6:$L$1005,"&lt;&gt;Cancelled")=1," order"," orders")&amp;IF(COUNTIFS(Orders!$T$6:$T$1005,"&gt;="&amp;(DATE($E$4,$C$4,1)-WEEKDAY(DATE($E$4,$C$4,1),3)+22),Orders!$T$6:$T$1005,"&lt;"&amp;((DATE($E$4,$C$4,1)-WEEKDAY(DATE($E$4,$C$4,1),3)+22)+1))=0,""," ("&amp;COUNTIFS(Orders!$T$6:$T$1005,"&gt;="&amp;(DATE($E$4,$C$4,1)-WEEKDAY(DATE($E$4,$C$4,1),3)+22),Orders!$T$6:$T$1005,"&lt;"&amp;((DATE($E$4,$C$4,1)-WEEKDAY(DATE($E$4,$C$4,1),3)+22)+1))&amp;" open)"))</f>
        <v/>
      </c>
      <c r="D14" s="49">
        <f>IF(OR(MONTH((DATE($E$4,$C$4,1)-WEEKDAY(DATE($E$4,$C$4,1),3)+23))&lt;&gt;$C$4,COUNTIFS(Orders!$K$6:$K$1005,(DATE($E$4,$C$4,1)-WEEKDAY(DATE($E$4,$C$4,1),3)+23),Orders!$L$6:$L$1005,"&lt;&gt;Cancelled")=0),"",COUNTIFS(Orders!$K$6:$K$1005,(DATE($E$4,$C$4,1)-WEEKDAY(DATE($E$4,$C$4,1),3)+23),Orders!$L$6:$L$1005,"&lt;&gt;Cancelled")&amp;IF(COUNTIFS(Orders!$K$6:$K$1005,(DATE($E$4,$C$4,1)-WEEKDAY(DATE($E$4,$C$4,1),3)+23),Orders!$L$6:$L$1005,"&lt;&gt;Cancelled")=1," order"," orders")&amp;IF(COUNTIFS(Orders!$T$6:$T$1005,"&gt;="&amp;(DATE($E$4,$C$4,1)-WEEKDAY(DATE($E$4,$C$4,1),3)+23),Orders!$T$6:$T$1005,"&lt;"&amp;((DATE($E$4,$C$4,1)-WEEKDAY(DATE($E$4,$C$4,1),3)+23)+1))=0,""," ("&amp;COUNTIFS(Orders!$T$6:$T$1005,"&gt;="&amp;(DATE($E$4,$C$4,1)-WEEKDAY(DATE($E$4,$C$4,1),3)+23),Orders!$T$6:$T$1005,"&lt;"&amp;((DATE($E$4,$C$4,1)-WEEKDAY(DATE($E$4,$C$4,1),3)+23)+1))&amp;" open)"))</f>
        <v/>
      </c>
      <c r="E14" s="49">
        <f>IF(OR(MONTH((DATE($E$4,$C$4,1)-WEEKDAY(DATE($E$4,$C$4,1),3)+24))&lt;&gt;$C$4,COUNTIFS(Orders!$K$6:$K$1005,(DATE($E$4,$C$4,1)-WEEKDAY(DATE($E$4,$C$4,1),3)+24),Orders!$L$6:$L$1005,"&lt;&gt;Cancelled")=0),"",COUNTIFS(Orders!$K$6:$K$1005,(DATE($E$4,$C$4,1)-WEEKDAY(DATE($E$4,$C$4,1),3)+24),Orders!$L$6:$L$1005,"&lt;&gt;Cancelled")&amp;IF(COUNTIFS(Orders!$K$6:$K$1005,(DATE($E$4,$C$4,1)-WEEKDAY(DATE($E$4,$C$4,1),3)+24),Orders!$L$6:$L$1005,"&lt;&gt;Cancelled")=1," order"," orders")&amp;IF(COUNTIFS(Orders!$T$6:$T$1005,"&gt;="&amp;(DATE($E$4,$C$4,1)-WEEKDAY(DATE($E$4,$C$4,1),3)+24),Orders!$T$6:$T$1005,"&lt;"&amp;((DATE($E$4,$C$4,1)-WEEKDAY(DATE($E$4,$C$4,1),3)+24)+1))=0,""," ("&amp;COUNTIFS(Orders!$T$6:$T$1005,"&gt;="&amp;(DATE($E$4,$C$4,1)-WEEKDAY(DATE($E$4,$C$4,1),3)+24),Orders!$T$6:$T$1005,"&lt;"&amp;((DATE($E$4,$C$4,1)-WEEKDAY(DATE($E$4,$C$4,1),3)+24)+1))&amp;" open)"))</f>
        <v/>
      </c>
      <c r="F14" s="49">
        <f>IF(OR(MONTH((DATE($E$4,$C$4,1)-WEEKDAY(DATE($E$4,$C$4,1),3)+25))&lt;&gt;$C$4,COUNTIFS(Orders!$K$6:$K$1005,(DATE($E$4,$C$4,1)-WEEKDAY(DATE($E$4,$C$4,1),3)+25),Orders!$L$6:$L$1005,"&lt;&gt;Cancelled")=0),"",COUNTIFS(Orders!$K$6:$K$1005,(DATE($E$4,$C$4,1)-WEEKDAY(DATE($E$4,$C$4,1),3)+25),Orders!$L$6:$L$1005,"&lt;&gt;Cancelled")&amp;IF(COUNTIFS(Orders!$K$6:$K$1005,(DATE($E$4,$C$4,1)-WEEKDAY(DATE($E$4,$C$4,1),3)+25),Orders!$L$6:$L$1005,"&lt;&gt;Cancelled")=1," order"," orders")&amp;IF(COUNTIFS(Orders!$T$6:$T$1005,"&gt;="&amp;(DATE($E$4,$C$4,1)-WEEKDAY(DATE($E$4,$C$4,1),3)+25),Orders!$T$6:$T$1005,"&lt;"&amp;((DATE($E$4,$C$4,1)-WEEKDAY(DATE($E$4,$C$4,1),3)+25)+1))=0,""," ("&amp;COUNTIFS(Orders!$T$6:$T$1005,"&gt;="&amp;(DATE($E$4,$C$4,1)-WEEKDAY(DATE($E$4,$C$4,1),3)+25),Orders!$T$6:$T$1005,"&lt;"&amp;((DATE($E$4,$C$4,1)-WEEKDAY(DATE($E$4,$C$4,1),3)+25)+1))&amp;" open)"))</f>
        <v/>
      </c>
      <c r="G14" s="49">
        <f>IF(OR(MONTH((DATE($E$4,$C$4,1)-WEEKDAY(DATE($E$4,$C$4,1),3)+26))&lt;&gt;$C$4,COUNTIFS(Orders!$K$6:$K$1005,(DATE($E$4,$C$4,1)-WEEKDAY(DATE($E$4,$C$4,1),3)+26),Orders!$L$6:$L$1005,"&lt;&gt;Cancelled")=0),"",COUNTIFS(Orders!$K$6:$K$1005,(DATE($E$4,$C$4,1)-WEEKDAY(DATE($E$4,$C$4,1),3)+26),Orders!$L$6:$L$1005,"&lt;&gt;Cancelled")&amp;IF(COUNTIFS(Orders!$K$6:$K$1005,(DATE($E$4,$C$4,1)-WEEKDAY(DATE($E$4,$C$4,1),3)+26),Orders!$L$6:$L$1005,"&lt;&gt;Cancelled")=1," order"," orders")&amp;IF(COUNTIFS(Orders!$T$6:$T$1005,"&gt;="&amp;(DATE($E$4,$C$4,1)-WEEKDAY(DATE($E$4,$C$4,1),3)+26),Orders!$T$6:$T$1005,"&lt;"&amp;((DATE($E$4,$C$4,1)-WEEKDAY(DATE($E$4,$C$4,1),3)+26)+1))=0,""," ("&amp;COUNTIFS(Orders!$T$6:$T$1005,"&gt;="&amp;(DATE($E$4,$C$4,1)-WEEKDAY(DATE($E$4,$C$4,1),3)+26),Orders!$T$6:$T$1005,"&lt;"&amp;((DATE($E$4,$C$4,1)-WEEKDAY(DATE($E$4,$C$4,1),3)+26)+1))&amp;" open)"))</f>
        <v/>
      </c>
      <c r="H14" s="49">
        <f>IF(OR(MONTH((DATE($E$4,$C$4,1)-WEEKDAY(DATE($E$4,$C$4,1),3)+27))&lt;&gt;$C$4,COUNTIFS(Orders!$K$6:$K$1005,(DATE($E$4,$C$4,1)-WEEKDAY(DATE($E$4,$C$4,1),3)+27),Orders!$L$6:$L$1005,"&lt;&gt;Cancelled")=0),"",COUNTIFS(Orders!$K$6:$K$1005,(DATE($E$4,$C$4,1)-WEEKDAY(DATE($E$4,$C$4,1),3)+27),Orders!$L$6:$L$1005,"&lt;&gt;Cancelled")&amp;IF(COUNTIFS(Orders!$K$6:$K$1005,(DATE($E$4,$C$4,1)-WEEKDAY(DATE($E$4,$C$4,1),3)+27),Orders!$L$6:$L$1005,"&lt;&gt;Cancelled")=1," order"," orders")&amp;IF(COUNTIFS(Orders!$T$6:$T$1005,"&gt;="&amp;(DATE($E$4,$C$4,1)-WEEKDAY(DATE($E$4,$C$4,1),3)+27),Orders!$T$6:$T$1005,"&lt;"&amp;((DATE($E$4,$C$4,1)-WEEKDAY(DATE($E$4,$C$4,1),3)+27)+1))=0,""," ("&amp;COUNTIFS(Orders!$T$6:$T$1005,"&gt;="&amp;(DATE($E$4,$C$4,1)-WEEKDAY(DATE($E$4,$C$4,1),3)+27),Orders!$T$6:$T$1005,"&lt;"&amp;((DATE($E$4,$C$4,1)-WEEKDAY(DATE($E$4,$C$4,1),3)+27)+1))&amp;" open)"))</f>
        <v/>
      </c>
      <c r="I14" s="1" t="n"/>
      <c r="K14">
        <f>IF(MONTH((DATE($E$4,$C$4,1)-WEEKDAY(DATE($E$4,$C$4,1),3)+21))&lt;&gt;$C$4,"",IF(COUNTIFS(Orders!$T$6:$T$1005,"&gt;="&amp;(DATE($E$4,$C$4,1)-WEEKDAY(DATE($E$4,$C$4,1),3)+21),Orders!$T$6:$T$1005,"&lt;"&amp;((DATE($E$4,$C$4,1)-WEEKDAY(DATE($E$4,$C$4,1),3)+21)+1))&gt;0,IF((DATE($E$4,$C$4,1)-WEEKDAY(DATE($E$4,$C$4,1),3)+21)&lt;TODAY(),"late","open"),IF(COUNTIFS(Orders!$K$6:$K$1005,(DATE($E$4,$C$4,1)-WEEKDAY(DATE($E$4,$C$4,1),3)+21),Orders!$L$6:$L$1005,"&lt;&gt;Cancelled")&gt;0,"done","")))</f>
        <v/>
      </c>
      <c r="L14">
        <f>IF(MONTH((DATE($E$4,$C$4,1)-WEEKDAY(DATE($E$4,$C$4,1),3)+22))&lt;&gt;$C$4,"",IF(COUNTIFS(Orders!$T$6:$T$1005,"&gt;="&amp;(DATE($E$4,$C$4,1)-WEEKDAY(DATE($E$4,$C$4,1),3)+22),Orders!$T$6:$T$1005,"&lt;"&amp;((DATE($E$4,$C$4,1)-WEEKDAY(DATE($E$4,$C$4,1),3)+22)+1))&gt;0,IF((DATE($E$4,$C$4,1)-WEEKDAY(DATE($E$4,$C$4,1),3)+22)&lt;TODAY(),"late","open"),IF(COUNTIFS(Orders!$K$6:$K$1005,(DATE($E$4,$C$4,1)-WEEKDAY(DATE($E$4,$C$4,1),3)+22),Orders!$L$6:$L$1005,"&lt;&gt;Cancelled")&gt;0,"done","")))</f>
        <v/>
      </c>
      <c r="M14">
        <f>IF(MONTH((DATE($E$4,$C$4,1)-WEEKDAY(DATE($E$4,$C$4,1),3)+23))&lt;&gt;$C$4,"",IF(COUNTIFS(Orders!$T$6:$T$1005,"&gt;="&amp;(DATE($E$4,$C$4,1)-WEEKDAY(DATE($E$4,$C$4,1),3)+23),Orders!$T$6:$T$1005,"&lt;"&amp;((DATE($E$4,$C$4,1)-WEEKDAY(DATE($E$4,$C$4,1),3)+23)+1))&gt;0,IF((DATE($E$4,$C$4,1)-WEEKDAY(DATE($E$4,$C$4,1),3)+23)&lt;TODAY(),"late","open"),IF(COUNTIFS(Orders!$K$6:$K$1005,(DATE($E$4,$C$4,1)-WEEKDAY(DATE($E$4,$C$4,1),3)+23),Orders!$L$6:$L$1005,"&lt;&gt;Cancelled")&gt;0,"done","")))</f>
        <v/>
      </c>
      <c r="N14">
        <f>IF(MONTH((DATE($E$4,$C$4,1)-WEEKDAY(DATE($E$4,$C$4,1),3)+24))&lt;&gt;$C$4,"",IF(COUNTIFS(Orders!$T$6:$T$1005,"&gt;="&amp;(DATE($E$4,$C$4,1)-WEEKDAY(DATE($E$4,$C$4,1),3)+24),Orders!$T$6:$T$1005,"&lt;"&amp;((DATE($E$4,$C$4,1)-WEEKDAY(DATE($E$4,$C$4,1),3)+24)+1))&gt;0,IF((DATE($E$4,$C$4,1)-WEEKDAY(DATE($E$4,$C$4,1),3)+24)&lt;TODAY(),"late","open"),IF(COUNTIFS(Orders!$K$6:$K$1005,(DATE($E$4,$C$4,1)-WEEKDAY(DATE($E$4,$C$4,1),3)+24),Orders!$L$6:$L$1005,"&lt;&gt;Cancelled")&gt;0,"done","")))</f>
        <v/>
      </c>
      <c r="O14">
        <f>IF(MONTH((DATE($E$4,$C$4,1)-WEEKDAY(DATE($E$4,$C$4,1),3)+25))&lt;&gt;$C$4,"",IF(COUNTIFS(Orders!$T$6:$T$1005,"&gt;="&amp;(DATE($E$4,$C$4,1)-WEEKDAY(DATE($E$4,$C$4,1),3)+25),Orders!$T$6:$T$1005,"&lt;"&amp;((DATE($E$4,$C$4,1)-WEEKDAY(DATE($E$4,$C$4,1),3)+25)+1))&gt;0,IF((DATE($E$4,$C$4,1)-WEEKDAY(DATE($E$4,$C$4,1),3)+25)&lt;TODAY(),"late","open"),IF(COUNTIFS(Orders!$K$6:$K$1005,(DATE($E$4,$C$4,1)-WEEKDAY(DATE($E$4,$C$4,1),3)+25),Orders!$L$6:$L$1005,"&lt;&gt;Cancelled")&gt;0,"done","")))</f>
        <v/>
      </c>
      <c r="P14">
        <f>IF(MONTH((DATE($E$4,$C$4,1)-WEEKDAY(DATE($E$4,$C$4,1),3)+26))&lt;&gt;$C$4,"",IF(COUNTIFS(Orders!$T$6:$T$1005,"&gt;="&amp;(DATE($E$4,$C$4,1)-WEEKDAY(DATE($E$4,$C$4,1),3)+26),Orders!$T$6:$T$1005,"&lt;"&amp;((DATE($E$4,$C$4,1)-WEEKDAY(DATE($E$4,$C$4,1),3)+26)+1))&gt;0,IF((DATE($E$4,$C$4,1)-WEEKDAY(DATE($E$4,$C$4,1),3)+26)&lt;TODAY(),"late","open"),IF(COUNTIFS(Orders!$K$6:$K$1005,(DATE($E$4,$C$4,1)-WEEKDAY(DATE($E$4,$C$4,1),3)+26),Orders!$L$6:$L$1005,"&lt;&gt;Cancelled")&gt;0,"done","")))</f>
        <v/>
      </c>
      <c r="Q14">
        <f>IF(MONTH((DATE($E$4,$C$4,1)-WEEKDAY(DATE($E$4,$C$4,1),3)+27))&lt;&gt;$C$4,"",IF(COUNTIFS(Orders!$T$6:$T$1005,"&gt;="&amp;(DATE($E$4,$C$4,1)-WEEKDAY(DATE($E$4,$C$4,1),3)+27),Orders!$T$6:$T$1005,"&lt;"&amp;((DATE($E$4,$C$4,1)-WEEKDAY(DATE($E$4,$C$4,1),3)+27)+1))&gt;0,IF((DATE($E$4,$C$4,1)-WEEKDAY(DATE($E$4,$C$4,1),3)+27)&lt;TODAY(),"late","open"),IF(COUNTIFS(Orders!$K$6:$K$1005,(DATE($E$4,$C$4,1)-WEEKDAY(DATE($E$4,$C$4,1),3)+27),Orders!$L$6:$L$1005,"&lt;&gt;Cancelled")&gt;0,"done","")))</f>
        <v/>
      </c>
    </row>
    <row r="15">
      <c r="A15" s="1" t="n"/>
      <c r="B15" s="48">
        <f>IF(MONTH((DATE($E$4,$C$4,1)-WEEKDAY(DATE($E$4,$C$4,1),3)+28))=$C$4,DAY((DATE($E$4,$C$4,1)-WEEKDAY(DATE($E$4,$C$4,1),3)+28)),"")</f>
        <v/>
      </c>
      <c r="C15" s="48">
        <f>IF(MONTH((DATE($E$4,$C$4,1)-WEEKDAY(DATE($E$4,$C$4,1),3)+29))=$C$4,DAY((DATE($E$4,$C$4,1)-WEEKDAY(DATE($E$4,$C$4,1),3)+29)),"")</f>
        <v/>
      </c>
      <c r="D15" s="48">
        <f>IF(MONTH((DATE($E$4,$C$4,1)-WEEKDAY(DATE($E$4,$C$4,1),3)+30))=$C$4,DAY((DATE($E$4,$C$4,1)-WEEKDAY(DATE($E$4,$C$4,1),3)+30)),"")</f>
        <v/>
      </c>
      <c r="E15" s="48">
        <f>IF(MONTH((DATE($E$4,$C$4,1)-WEEKDAY(DATE($E$4,$C$4,1),3)+31))=$C$4,DAY((DATE($E$4,$C$4,1)-WEEKDAY(DATE($E$4,$C$4,1),3)+31)),"")</f>
        <v/>
      </c>
      <c r="F15" s="48">
        <f>IF(MONTH((DATE($E$4,$C$4,1)-WEEKDAY(DATE($E$4,$C$4,1),3)+32))=$C$4,DAY((DATE($E$4,$C$4,1)-WEEKDAY(DATE($E$4,$C$4,1),3)+32)),"")</f>
        <v/>
      </c>
      <c r="G15" s="48">
        <f>IF(MONTH((DATE($E$4,$C$4,1)-WEEKDAY(DATE($E$4,$C$4,1),3)+33))=$C$4,DAY((DATE($E$4,$C$4,1)-WEEKDAY(DATE($E$4,$C$4,1),3)+33)),"")</f>
        <v/>
      </c>
      <c r="H15" s="48">
        <f>IF(MONTH((DATE($E$4,$C$4,1)-WEEKDAY(DATE($E$4,$C$4,1),3)+34))=$C$4,DAY((DATE($E$4,$C$4,1)-WEEKDAY(DATE($E$4,$C$4,1),3)+34)),"")</f>
        <v/>
      </c>
      <c r="I15" s="1" t="n"/>
    </row>
    <row r="16" ht="32" customHeight="1">
      <c r="A16" s="1" t="n"/>
      <c r="B16" s="49">
        <f>IF(OR(MONTH((DATE($E$4,$C$4,1)-WEEKDAY(DATE($E$4,$C$4,1),3)+28))&lt;&gt;$C$4,COUNTIFS(Orders!$K$6:$K$1005,(DATE($E$4,$C$4,1)-WEEKDAY(DATE($E$4,$C$4,1),3)+28),Orders!$L$6:$L$1005,"&lt;&gt;Cancelled")=0),"",COUNTIFS(Orders!$K$6:$K$1005,(DATE($E$4,$C$4,1)-WEEKDAY(DATE($E$4,$C$4,1),3)+28),Orders!$L$6:$L$1005,"&lt;&gt;Cancelled")&amp;IF(COUNTIFS(Orders!$K$6:$K$1005,(DATE($E$4,$C$4,1)-WEEKDAY(DATE($E$4,$C$4,1),3)+28),Orders!$L$6:$L$1005,"&lt;&gt;Cancelled")=1," order"," orders")&amp;IF(COUNTIFS(Orders!$T$6:$T$1005,"&gt;="&amp;(DATE($E$4,$C$4,1)-WEEKDAY(DATE($E$4,$C$4,1),3)+28),Orders!$T$6:$T$1005,"&lt;"&amp;((DATE($E$4,$C$4,1)-WEEKDAY(DATE($E$4,$C$4,1),3)+28)+1))=0,""," ("&amp;COUNTIFS(Orders!$T$6:$T$1005,"&gt;="&amp;(DATE($E$4,$C$4,1)-WEEKDAY(DATE($E$4,$C$4,1),3)+28),Orders!$T$6:$T$1005,"&lt;"&amp;((DATE($E$4,$C$4,1)-WEEKDAY(DATE($E$4,$C$4,1),3)+28)+1))&amp;" open)"))</f>
        <v/>
      </c>
      <c r="C16" s="49">
        <f>IF(OR(MONTH((DATE($E$4,$C$4,1)-WEEKDAY(DATE($E$4,$C$4,1),3)+29))&lt;&gt;$C$4,COUNTIFS(Orders!$K$6:$K$1005,(DATE($E$4,$C$4,1)-WEEKDAY(DATE($E$4,$C$4,1),3)+29),Orders!$L$6:$L$1005,"&lt;&gt;Cancelled")=0),"",COUNTIFS(Orders!$K$6:$K$1005,(DATE($E$4,$C$4,1)-WEEKDAY(DATE($E$4,$C$4,1),3)+29),Orders!$L$6:$L$1005,"&lt;&gt;Cancelled")&amp;IF(COUNTIFS(Orders!$K$6:$K$1005,(DATE($E$4,$C$4,1)-WEEKDAY(DATE($E$4,$C$4,1),3)+29),Orders!$L$6:$L$1005,"&lt;&gt;Cancelled")=1," order"," orders")&amp;IF(COUNTIFS(Orders!$T$6:$T$1005,"&gt;="&amp;(DATE($E$4,$C$4,1)-WEEKDAY(DATE($E$4,$C$4,1),3)+29),Orders!$T$6:$T$1005,"&lt;"&amp;((DATE($E$4,$C$4,1)-WEEKDAY(DATE($E$4,$C$4,1),3)+29)+1))=0,""," ("&amp;COUNTIFS(Orders!$T$6:$T$1005,"&gt;="&amp;(DATE($E$4,$C$4,1)-WEEKDAY(DATE($E$4,$C$4,1),3)+29),Orders!$T$6:$T$1005,"&lt;"&amp;((DATE($E$4,$C$4,1)-WEEKDAY(DATE($E$4,$C$4,1),3)+29)+1))&amp;" open)"))</f>
        <v/>
      </c>
      <c r="D16" s="49">
        <f>IF(OR(MONTH((DATE($E$4,$C$4,1)-WEEKDAY(DATE($E$4,$C$4,1),3)+30))&lt;&gt;$C$4,COUNTIFS(Orders!$K$6:$K$1005,(DATE($E$4,$C$4,1)-WEEKDAY(DATE($E$4,$C$4,1),3)+30),Orders!$L$6:$L$1005,"&lt;&gt;Cancelled")=0),"",COUNTIFS(Orders!$K$6:$K$1005,(DATE($E$4,$C$4,1)-WEEKDAY(DATE($E$4,$C$4,1),3)+30),Orders!$L$6:$L$1005,"&lt;&gt;Cancelled")&amp;IF(COUNTIFS(Orders!$K$6:$K$1005,(DATE($E$4,$C$4,1)-WEEKDAY(DATE($E$4,$C$4,1),3)+30),Orders!$L$6:$L$1005,"&lt;&gt;Cancelled")=1," order"," orders")&amp;IF(COUNTIFS(Orders!$T$6:$T$1005,"&gt;="&amp;(DATE($E$4,$C$4,1)-WEEKDAY(DATE($E$4,$C$4,1),3)+30),Orders!$T$6:$T$1005,"&lt;"&amp;((DATE($E$4,$C$4,1)-WEEKDAY(DATE($E$4,$C$4,1),3)+30)+1))=0,""," ("&amp;COUNTIFS(Orders!$T$6:$T$1005,"&gt;="&amp;(DATE($E$4,$C$4,1)-WEEKDAY(DATE($E$4,$C$4,1),3)+30),Orders!$T$6:$T$1005,"&lt;"&amp;((DATE($E$4,$C$4,1)-WEEKDAY(DATE($E$4,$C$4,1),3)+30)+1))&amp;" open)"))</f>
        <v/>
      </c>
      <c r="E16" s="49">
        <f>IF(OR(MONTH((DATE($E$4,$C$4,1)-WEEKDAY(DATE($E$4,$C$4,1),3)+31))&lt;&gt;$C$4,COUNTIFS(Orders!$K$6:$K$1005,(DATE($E$4,$C$4,1)-WEEKDAY(DATE($E$4,$C$4,1),3)+31),Orders!$L$6:$L$1005,"&lt;&gt;Cancelled")=0),"",COUNTIFS(Orders!$K$6:$K$1005,(DATE($E$4,$C$4,1)-WEEKDAY(DATE($E$4,$C$4,1),3)+31),Orders!$L$6:$L$1005,"&lt;&gt;Cancelled")&amp;IF(COUNTIFS(Orders!$K$6:$K$1005,(DATE($E$4,$C$4,1)-WEEKDAY(DATE($E$4,$C$4,1),3)+31),Orders!$L$6:$L$1005,"&lt;&gt;Cancelled")=1," order"," orders")&amp;IF(COUNTIFS(Orders!$T$6:$T$1005,"&gt;="&amp;(DATE($E$4,$C$4,1)-WEEKDAY(DATE($E$4,$C$4,1),3)+31),Orders!$T$6:$T$1005,"&lt;"&amp;((DATE($E$4,$C$4,1)-WEEKDAY(DATE($E$4,$C$4,1),3)+31)+1))=0,""," ("&amp;COUNTIFS(Orders!$T$6:$T$1005,"&gt;="&amp;(DATE($E$4,$C$4,1)-WEEKDAY(DATE($E$4,$C$4,1),3)+31),Orders!$T$6:$T$1005,"&lt;"&amp;((DATE($E$4,$C$4,1)-WEEKDAY(DATE($E$4,$C$4,1),3)+31)+1))&amp;" open)"))</f>
        <v/>
      </c>
      <c r="F16" s="49">
        <f>IF(OR(MONTH((DATE($E$4,$C$4,1)-WEEKDAY(DATE($E$4,$C$4,1),3)+32))&lt;&gt;$C$4,COUNTIFS(Orders!$K$6:$K$1005,(DATE($E$4,$C$4,1)-WEEKDAY(DATE($E$4,$C$4,1),3)+32),Orders!$L$6:$L$1005,"&lt;&gt;Cancelled")=0),"",COUNTIFS(Orders!$K$6:$K$1005,(DATE($E$4,$C$4,1)-WEEKDAY(DATE($E$4,$C$4,1),3)+32),Orders!$L$6:$L$1005,"&lt;&gt;Cancelled")&amp;IF(COUNTIFS(Orders!$K$6:$K$1005,(DATE($E$4,$C$4,1)-WEEKDAY(DATE($E$4,$C$4,1),3)+32),Orders!$L$6:$L$1005,"&lt;&gt;Cancelled")=1," order"," orders")&amp;IF(COUNTIFS(Orders!$T$6:$T$1005,"&gt;="&amp;(DATE($E$4,$C$4,1)-WEEKDAY(DATE($E$4,$C$4,1),3)+32),Orders!$T$6:$T$1005,"&lt;"&amp;((DATE($E$4,$C$4,1)-WEEKDAY(DATE($E$4,$C$4,1),3)+32)+1))=0,""," ("&amp;COUNTIFS(Orders!$T$6:$T$1005,"&gt;="&amp;(DATE($E$4,$C$4,1)-WEEKDAY(DATE($E$4,$C$4,1),3)+32),Orders!$T$6:$T$1005,"&lt;"&amp;((DATE($E$4,$C$4,1)-WEEKDAY(DATE($E$4,$C$4,1),3)+32)+1))&amp;" open)"))</f>
        <v/>
      </c>
      <c r="G16" s="49">
        <f>IF(OR(MONTH((DATE($E$4,$C$4,1)-WEEKDAY(DATE($E$4,$C$4,1),3)+33))&lt;&gt;$C$4,COUNTIFS(Orders!$K$6:$K$1005,(DATE($E$4,$C$4,1)-WEEKDAY(DATE($E$4,$C$4,1),3)+33),Orders!$L$6:$L$1005,"&lt;&gt;Cancelled")=0),"",COUNTIFS(Orders!$K$6:$K$1005,(DATE($E$4,$C$4,1)-WEEKDAY(DATE($E$4,$C$4,1),3)+33),Orders!$L$6:$L$1005,"&lt;&gt;Cancelled")&amp;IF(COUNTIFS(Orders!$K$6:$K$1005,(DATE($E$4,$C$4,1)-WEEKDAY(DATE($E$4,$C$4,1),3)+33),Orders!$L$6:$L$1005,"&lt;&gt;Cancelled")=1," order"," orders")&amp;IF(COUNTIFS(Orders!$T$6:$T$1005,"&gt;="&amp;(DATE($E$4,$C$4,1)-WEEKDAY(DATE($E$4,$C$4,1),3)+33),Orders!$T$6:$T$1005,"&lt;"&amp;((DATE($E$4,$C$4,1)-WEEKDAY(DATE($E$4,$C$4,1),3)+33)+1))=0,""," ("&amp;COUNTIFS(Orders!$T$6:$T$1005,"&gt;="&amp;(DATE($E$4,$C$4,1)-WEEKDAY(DATE($E$4,$C$4,1),3)+33),Orders!$T$6:$T$1005,"&lt;"&amp;((DATE($E$4,$C$4,1)-WEEKDAY(DATE($E$4,$C$4,1),3)+33)+1))&amp;" open)"))</f>
        <v/>
      </c>
      <c r="H16" s="49">
        <f>IF(OR(MONTH((DATE($E$4,$C$4,1)-WEEKDAY(DATE($E$4,$C$4,1),3)+34))&lt;&gt;$C$4,COUNTIFS(Orders!$K$6:$K$1005,(DATE($E$4,$C$4,1)-WEEKDAY(DATE($E$4,$C$4,1),3)+34),Orders!$L$6:$L$1005,"&lt;&gt;Cancelled")=0),"",COUNTIFS(Orders!$K$6:$K$1005,(DATE($E$4,$C$4,1)-WEEKDAY(DATE($E$4,$C$4,1),3)+34),Orders!$L$6:$L$1005,"&lt;&gt;Cancelled")&amp;IF(COUNTIFS(Orders!$K$6:$K$1005,(DATE($E$4,$C$4,1)-WEEKDAY(DATE($E$4,$C$4,1),3)+34),Orders!$L$6:$L$1005,"&lt;&gt;Cancelled")=1," order"," orders")&amp;IF(COUNTIFS(Orders!$T$6:$T$1005,"&gt;="&amp;(DATE($E$4,$C$4,1)-WEEKDAY(DATE($E$4,$C$4,1),3)+34),Orders!$T$6:$T$1005,"&lt;"&amp;((DATE($E$4,$C$4,1)-WEEKDAY(DATE($E$4,$C$4,1),3)+34)+1))=0,""," ("&amp;COUNTIFS(Orders!$T$6:$T$1005,"&gt;="&amp;(DATE($E$4,$C$4,1)-WEEKDAY(DATE($E$4,$C$4,1),3)+34),Orders!$T$6:$T$1005,"&lt;"&amp;((DATE($E$4,$C$4,1)-WEEKDAY(DATE($E$4,$C$4,1),3)+34)+1))&amp;" open)"))</f>
        <v/>
      </c>
      <c r="I16" s="1" t="n"/>
      <c r="K16">
        <f>IF(MONTH((DATE($E$4,$C$4,1)-WEEKDAY(DATE($E$4,$C$4,1),3)+28))&lt;&gt;$C$4,"",IF(COUNTIFS(Orders!$T$6:$T$1005,"&gt;="&amp;(DATE($E$4,$C$4,1)-WEEKDAY(DATE($E$4,$C$4,1),3)+28),Orders!$T$6:$T$1005,"&lt;"&amp;((DATE($E$4,$C$4,1)-WEEKDAY(DATE($E$4,$C$4,1),3)+28)+1))&gt;0,IF((DATE($E$4,$C$4,1)-WEEKDAY(DATE($E$4,$C$4,1),3)+28)&lt;TODAY(),"late","open"),IF(COUNTIFS(Orders!$K$6:$K$1005,(DATE($E$4,$C$4,1)-WEEKDAY(DATE($E$4,$C$4,1),3)+28),Orders!$L$6:$L$1005,"&lt;&gt;Cancelled")&gt;0,"done","")))</f>
        <v/>
      </c>
      <c r="L16">
        <f>IF(MONTH((DATE($E$4,$C$4,1)-WEEKDAY(DATE($E$4,$C$4,1),3)+29))&lt;&gt;$C$4,"",IF(COUNTIFS(Orders!$T$6:$T$1005,"&gt;="&amp;(DATE($E$4,$C$4,1)-WEEKDAY(DATE($E$4,$C$4,1),3)+29),Orders!$T$6:$T$1005,"&lt;"&amp;((DATE($E$4,$C$4,1)-WEEKDAY(DATE($E$4,$C$4,1),3)+29)+1))&gt;0,IF((DATE($E$4,$C$4,1)-WEEKDAY(DATE($E$4,$C$4,1),3)+29)&lt;TODAY(),"late","open"),IF(COUNTIFS(Orders!$K$6:$K$1005,(DATE($E$4,$C$4,1)-WEEKDAY(DATE($E$4,$C$4,1),3)+29),Orders!$L$6:$L$1005,"&lt;&gt;Cancelled")&gt;0,"done","")))</f>
        <v/>
      </c>
      <c r="M16">
        <f>IF(MONTH((DATE($E$4,$C$4,1)-WEEKDAY(DATE($E$4,$C$4,1),3)+30))&lt;&gt;$C$4,"",IF(COUNTIFS(Orders!$T$6:$T$1005,"&gt;="&amp;(DATE($E$4,$C$4,1)-WEEKDAY(DATE($E$4,$C$4,1),3)+30),Orders!$T$6:$T$1005,"&lt;"&amp;((DATE($E$4,$C$4,1)-WEEKDAY(DATE($E$4,$C$4,1),3)+30)+1))&gt;0,IF((DATE($E$4,$C$4,1)-WEEKDAY(DATE($E$4,$C$4,1),3)+30)&lt;TODAY(),"late","open"),IF(COUNTIFS(Orders!$K$6:$K$1005,(DATE($E$4,$C$4,1)-WEEKDAY(DATE($E$4,$C$4,1),3)+30),Orders!$L$6:$L$1005,"&lt;&gt;Cancelled")&gt;0,"done","")))</f>
        <v/>
      </c>
      <c r="N16">
        <f>IF(MONTH((DATE($E$4,$C$4,1)-WEEKDAY(DATE($E$4,$C$4,1),3)+31))&lt;&gt;$C$4,"",IF(COUNTIFS(Orders!$T$6:$T$1005,"&gt;="&amp;(DATE($E$4,$C$4,1)-WEEKDAY(DATE($E$4,$C$4,1),3)+31),Orders!$T$6:$T$1005,"&lt;"&amp;((DATE($E$4,$C$4,1)-WEEKDAY(DATE($E$4,$C$4,1),3)+31)+1))&gt;0,IF((DATE($E$4,$C$4,1)-WEEKDAY(DATE($E$4,$C$4,1),3)+31)&lt;TODAY(),"late","open"),IF(COUNTIFS(Orders!$K$6:$K$1005,(DATE($E$4,$C$4,1)-WEEKDAY(DATE($E$4,$C$4,1),3)+31),Orders!$L$6:$L$1005,"&lt;&gt;Cancelled")&gt;0,"done","")))</f>
        <v/>
      </c>
      <c r="O16">
        <f>IF(MONTH((DATE($E$4,$C$4,1)-WEEKDAY(DATE($E$4,$C$4,1),3)+32))&lt;&gt;$C$4,"",IF(COUNTIFS(Orders!$T$6:$T$1005,"&gt;="&amp;(DATE($E$4,$C$4,1)-WEEKDAY(DATE($E$4,$C$4,1),3)+32),Orders!$T$6:$T$1005,"&lt;"&amp;((DATE($E$4,$C$4,1)-WEEKDAY(DATE($E$4,$C$4,1),3)+32)+1))&gt;0,IF((DATE($E$4,$C$4,1)-WEEKDAY(DATE($E$4,$C$4,1),3)+32)&lt;TODAY(),"late","open"),IF(COUNTIFS(Orders!$K$6:$K$1005,(DATE($E$4,$C$4,1)-WEEKDAY(DATE($E$4,$C$4,1),3)+32),Orders!$L$6:$L$1005,"&lt;&gt;Cancelled")&gt;0,"done","")))</f>
        <v/>
      </c>
      <c r="P16">
        <f>IF(MONTH((DATE($E$4,$C$4,1)-WEEKDAY(DATE($E$4,$C$4,1),3)+33))&lt;&gt;$C$4,"",IF(COUNTIFS(Orders!$T$6:$T$1005,"&gt;="&amp;(DATE($E$4,$C$4,1)-WEEKDAY(DATE($E$4,$C$4,1),3)+33),Orders!$T$6:$T$1005,"&lt;"&amp;((DATE($E$4,$C$4,1)-WEEKDAY(DATE($E$4,$C$4,1),3)+33)+1))&gt;0,IF((DATE($E$4,$C$4,1)-WEEKDAY(DATE($E$4,$C$4,1),3)+33)&lt;TODAY(),"late","open"),IF(COUNTIFS(Orders!$K$6:$K$1005,(DATE($E$4,$C$4,1)-WEEKDAY(DATE($E$4,$C$4,1),3)+33),Orders!$L$6:$L$1005,"&lt;&gt;Cancelled")&gt;0,"done","")))</f>
        <v/>
      </c>
      <c r="Q16">
        <f>IF(MONTH((DATE($E$4,$C$4,1)-WEEKDAY(DATE($E$4,$C$4,1),3)+34))&lt;&gt;$C$4,"",IF(COUNTIFS(Orders!$T$6:$T$1005,"&gt;="&amp;(DATE($E$4,$C$4,1)-WEEKDAY(DATE($E$4,$C$4,1),3)+34),Orders!$T$6:$T$1005,"&lt;"&amp;((DATE($E$4,$C$4,1)-WEEKDAY(DATE($E$4,$C$4,1),3)+34)+1))&gt;0,IF((DATE($E$4,$C$4,1)-WEEKDAY(DATE($E$4,$C$4,1),3)+34)&lt;TODAY(),"late","open"),IF(COUNTIFS(Orders!$K$6:$K$1005,(DATE($E$4,$C$4,1)-WEEKDAY(DATE($E$4,$C$4,1),3)+34),Orders!$L$6:$L$1005,"&lt;&gt;Cancelled")&gt;0,"done","")))</f>
        <v/>
      </c>
    </row>
    <row r="17">
      <c r="A17" s="1" t="n"/>
      <c r="B17" s="48">
        <f>IF(MONTH((DATE($E$4,$C$4,1)-WEEKDAY(DATE($E$4,$C$4,1),3)+35))=$C$4,DAY((DATE($E$4,$C$4,1)-WEEKDAY(DATE($E$4,$C$4,1),3)+35)),"")</f>
        <v/>
      </c>
      <c r="C17" s="48">
        <f>IF(MONTH((DATE($E$4,$C$4,1)-WEEKDAY(DATE($E$4,$C$4,1),3)+36))=$C$4,DAY((DATE($E$4,$C$4,1)-WEEKDAY(DATE($E$4,$C$4,1),3)+36)),"")</f>
        <v/>
      </c>
      <c r="D17" s="48">
        <f>IF(MONTH((DATE($E$4,$C$4,1)-WEEKDAY(DATE($E$4,$C$4,1),3)+37))=$C$4,DAY((DATE($E$4,$C$4,1)-WEEKDAY(DATE($E$4,$C$4,1),3)+37)),"")</f>
        <v/>
      </c>
      <c r="E17" s="48">
        <f>IF(MONTH((DATE($E$4,$C$4,1)-WEEKDAY(DATE($E$4,$C$4,1),3)+38))=$C$4,DAY((DATE($E$4,$C$4,1)-WEEKDAY(DATE($E$4,$C$4,1),3)+38)),"")</f>
        <v/>
      </c>
      <c r="F17" s="48">
        <f>IF(MONTH((DATE($E$4,$C$4,1)-WEEKDAY(DATE($E$4,$C$4,1),3)+39))=$C$4,DAY((DATE($E$4,$C$4,1)-WEEKDAY(DATE($E$4,$C$4,1),3)+39)),"")</f>
        <v/>
      </c>
      <c r="G17" s="48">
        <f>IF(MONTH((DATE($E$4,$C$4,1)-WEEKDAY(DATE($E$4,$C$4,1),3)+40))=$C$4,DAY((DATE($E$4,$C$4,1)-WEEKDAY(DATE($E$4,$C$4,1),3)+40)),"")</f>
        <v/>
      </c>
      <c r="H17" s="48">
        <f>IF(MONTH((DATE($E$4,$C$4,1)-WEEKDAY(DATE($E$4,$C$4,1),3)+41))=$C$4,DAY((DATE($E$4,$C$4,1)-WEEKDAY(DATE($E$4,$C$4,1),3)+41)),"")</f>
        <v/>
      </c>
      <c r="I17" s="1" t="n"/>
    </row>
    <row r="18" ht="32" customHeight="1">
      <c r="A18" s="1" t="n"/>
      <c r="B18" s="49">
        <f>IF(OR(MONTH((DATE($E$4,$C$4,1)-WEEKDAY(DATE($E$4,$C$4,1),3)+35))&lt;&gt;$C$4,COUNTIFS(Orders!$K$6:$K$1005,(DATE($E$4,$C$4,1)-WEEKDAY(DATE($E$4,$C$4,1),3)+35),Orders!$L$6:$L$1005,"&lt;&gt;Cancelled")=0),"",COUNTIFS(Orders!$K$6:$K$1005,(DATE($E$4,$C$4,1)-WEEKDAY(DATE($E$4,$C$4,1),3)+35),Orders!$L$6:$L$1005,"&lt;&gt;Cancelled")&amp;IF(COUNTIFS(Orders!$K$6:$K$1005,(DATE($E$4,$C$4,1)-WEEKDAY(DATE($E$4,$C$4,1),3)+35),Orders!$L$6:$L$1005,"&lt;&gt;Cancelled")=1," order"," orders")&amp;IF(COUNTIFS(Orders!$T$6:$T$1005,"&gt;="&amp;(DATE($E$4,$C$4,1)-WEEKDAY(DATE($E$4,$C$4,1),3)+35),Orders!$T$6:$T$1005,"&lt;"&amp;((DATE($E$4,$C$4,1)-WEEKDAY(DATE($E$4,$C$4,1),3)+35)+1))=0,""," ("&amp;COUNTIFS(Orders!$T$6:$T$1005,"&gt;="&amp;(DATE($E$4,$C$4,1)-WEEKDAY(DATE($E$4,$C$4,1),3)+35),Orders!$T$6:$T$1005,"&lt;"&amp;((DATE($E$4,$C$4,1)-WEEKDAY(DATE($E$4,$C$4,1),3)+35)+1))&amp;" open)"))</f>
        <v/>
      </c>
      <c r="C18" s="49">
        <f>IF(OR(MONTH((DATE($E$4,$C$4,1)-WEEKDAY(DATE($E$4,$C$4,1),3)+36))&lt;&gt;$C$4,COUNTIFS(Orders!$K$6:$K$1005,(DATE($E$4,$C$4,1)-WEEKDAY(DATE($E$4,$C$4,1),3)+36),Orders!$L$6:$L$1005,"&lt;&gt;Cancelled")=0),"",COUNTIFS(Orders!$K$6:$K$1005,(DATE($E$4,$C$4,1)-WEEKDAY(DATE($E$4,$C$4,1),3)+36),Orders!$L$6:$L$1005,"&lt;&gt;Cancelled")&amp;IF(COUNTIFS(Orders!$K$6:$K$1005,(DATE($E$4,$C$4,1)-WEEKDAY(DATE($E$4,$C$4,1),3)+36),Orders!$L$6:$L$1005,"&lt;&gt;Cancelled")=1," order"," orders")&amp;IF(COUNTIFS(Orders!$T$6:$T$1005,"&gt;="&amp;(DATE($E$4,$C$4,1)-WEEKDAY(DATE($E$4,$C$4,1),3)+36),Orders!$T$6:$T$1005,"&lt;"&amp;((DATE($E$4,$C$4,1)-WEEKDAY(DATE($E$4,$C$4,1),3)+36)+1))=0,""," ("&amp;COUNTIFS(Orders!$T$6:$T$1005,"&gt;="&amp;(DATE($E$4,$C$4,1)-WEEKDAY(DATE($E$4,$C$4,1),3)+36),Orders!$T$6:$T$1005,"&lt;"&amp;((DATE($E$4,$C$4,1)-WEEKDAY(DATE($E$4,$C$4,1),3)+36)+1))&amp;" open)"))</f>
        <v/>
      </c>
      <c r="D18" s="49">
        <f>IF(OR(MONTH((DATE($E$4,$C$4,1)-WEEKDAY(DATE($E$4,$C$4,1),3)+37))&lt;&gt;$C$4,COUNTIFS(Orders!$K$6:$K$1005,(DATE($E$4,$C$4,1)-WEEKDAY(DATE($E$4,$C$4,1),3)+37),Orders!$L$6:$L$1005,"&lt;&gt;Cancelled")=0),"",COUNTIFS(Orders!$K$6:$K$1005,(DATE($E$4,$C$4,1)-WEEKDAY(DATE($E$4,$C$4,1),3)+37),Orders!$L$6:$L$1005,"&lt;&gt;Cancelled")&amp;IF(COUNTIFS(Orders!$K$6:$K$1005,(DATE($E$4,$C$4,1)-WEEKDAY(DATE($E$4,$C$4,1),3)+37),Orders!$L$6:$L$1005,"&lt;&gt;Cancelled")=1," order"," orders")&amp;IF(COUNTIFS(Orders!$T$6:$T$1005,"&gt;="&amp;(DATE($E$4,$C$4,1)-WEEKDAY(DATE($E$4,$C$4,1),3)+37),Orders!$T$6:$T$1005,"&lt;"&amp;((DATE($E$4,$C$4,1)-WEEKDAY(DATE($E$4,$C$4,1),3)+37)+1))=0,""," ("&amp;COUNTIFS(Orders!$T$6:$T$1005,"&gt;="&amp;(DATE($E$4,$C$4,1)-WEEKDAY(DATE($E$4,$C$4,1),3)+37),Orders!$T$6:$T$1005,"&lt;"&amp;((DATE($E$4,$C$4,1)-WEEKDAY(DATE($E$4,$C$4,1),3)+37)+1))&amp;" open)"))</f>
        <v/>
      </c>
      <c r="E18" s="49">
        <f>IF(OR(MONTH((DATE($E$4,$C$4,1)-WEEKDAY(DATE($E$4,$C$4,1),3)+38))&lt;&gt;$C$4,COUNTIFS(Orders!$K$6:$K$1005,(DATE($E$4,$C$4,1)-WEEKDAY(DATE($E$4,$C$4,1),3)+38),Orders!$L$6:$L$1005,"&lt;&gt;Cancelled")=0),"",COUNTIFS(Orders!$K$6:$K$1005,(DATE($E$4,$C$4,1)-WEEKDAY(DATE($E$4,$C$4,1),3)+38),Orders!$L$6:$L$1005,"&lt;&gt;Cancelled")&amp;IF(COUNTIFS(Orders!$K$6:$K$1005,(DATE($E$4,$C$4,1)-WEEKDAY(DATE($E$4,$C$4,1),3)+38),Orders!$L$6:$L$1005,"&lt;&gt;Cancelled")=1," order"," orders")&amp;IF(COUNTIFS(Orders!$T$6:$T$1005,"&gt;="&amp;(DATE($E$4,$C$4,1)-WEEKDAY(DATE($E$4,$C$4,1),3)+38),Orders!$T$6:$T$1005,"&lt;"&amp;((DATE($E$4,$C$4,1)-WEEKDAY(DATE($E$4,$C$4,1),3)+38)+1))=0,""," ("&amp;COUNTIFS(Orders!$T$6:$T$1005,"&gt;="&amp;(DATE($E$4,$C$4,1)-WEEKDAY(DATE($E$4,$C$4,1),3)+38),Orders!$T$6:$T$1005,"&lt;"&amp;((DATE($E$4,$C$4,1)-WEEKDAY(DATE($E$4,$C$4,1),3)+38)+1))&amp;" open)"))</f>
        <v/>
      </c>
      <c r="F18" s="49">
        <f>IF(OR(MONTH((DATE($E$4,$C$4,1)-WEEKDAY(DATE($E$4,$C$4,1),3)+39))&lt;&gt;$C$4,COUNTIFS(Orders!$K$6:$K$1005,(DATE($E$4,$C$4,1)-WEEKDAY(DATE($E$4,$C$4,1),3)+39),Orders!$L$6:$L$1005,"&lt;&gt;Cancelled")=0),"",COUNTIFS(Orders!$K$6:$K$1005,(DATE($E$4,$C$4,1)-WEEKDAY(DATE($E$4,$C$4,1),3)+39),Orders!$L$6:$L$1005,"&lt;&gt;Cancelled")&amp;IF(COUNTIFS(Orders!$K$6:$K$1005,(DATE($E$4,$C$4,1)-WEEKDAY(DATE($E$4,$C$4,1),3)+39),Orders!$L$6:$L$1005,"&lt;&gt;Cancelled")=1," order"," orders")&amp;IF(COUNTIFS(Orders!$T$6:$T$1005,"&gt;="&amp;(DATE($E$4,$C$4,1)-WEEKDAY(DATE($E$4,$C$4,1),3)+39),Orders!$T$6:$T$1005,"&lt;"&amp;((DATE($E$4,$C$4,1)-WEEKDAY(DATE($E$4,$C$4,1),3)+39)+1))=0,""," ("&amp;COUNTIFS(Orders!$T$6:$T$1005,"&gt;="&amp;(DATE($E$4,$C$4,1)-WEEKDAY(DATE($E$4,$C$4,1),3)+39),Orders!$T$6:$T$1005,"&lt;"&amp;((DATE($E$4,$C$4,1)-WEEKDAY(DATE($E$4,$C$4,1),3)+39)+1))&amp;" open)"))</f>
        <v/>
      </c>
      <c r="G18" s="49">
        <f>IF(OR(MONTH((DATE($E$4,$C$4,1)-WEEKDAY(DATE($E$4,$C$4,1),3)+40))&lt;&gt;$C$4,COUNTIFS(Orders!$K$6:$K$1005,(DATE($E$4,$C$4,1)-WEEKDAY(DATE($E$4,$C$4,1),3)+40),Orders!$L$6:$L$1005,"&lt;&gt;Cancelled")=0),"",COUNTIFS(Orders!$K$6:$K$1005,(DATE($E$4,$C$4,1)-WEEKDAY(DATE($E$4,$C$4,1),3)+40),Orders!$L$6:$L$1005,"&lt;&gt;Cancelled")&amp;IF(COUNTIFS(Orders!$K$6:$K$1005,(DATE($E$4,$C$4,1)-WEEKDAY(DATE($E$4,$C$4,1),3)+40),Orders!$L$6:$L$1005,"&lt;&gt;Cancelled")=1," order"," orders")&amp;IF(COUNTIFS(Orders!$T$6:$T$1005,"&gt;="&amp;(DATE($E$4,$C$4,1)-WEEKDAY(DATE($E$4,$C$4,1),3)+40),Orders!$T$6:$T$1005,"&lt;"&amp;((DATE($E$4,$C$4,1)-WEEKDAY(DATE($E$4,$C$4,1),3)+40)+1))=0,""," ("&amp;COUNTIFS(Orders!$T$6:$T$1005,"&gt;="&amp;(DATE($E$4,$C$4,1)-WEEKDAY(DATE($E$4,$C$4,1),3)+40),Orders!$T$6:$T$1005,"&lt;"&amp;((DATE($E$4,$C$4,1)-WEEKDAY(DATE($E$4,$C$4,1),3)+40)+1))&amp;" open)"))</f>
        <v/>
      </c>
      <c r="H18" s="49">
        <f>IF(OR(MONTH((DATE($E$4,$C$4,1)-WEEKDAY(DATE($E$4,$C$4,1),3)+41))&lt;&gt;$C$4,COUNTIFS(Orders!$K$6:$K$1005,(DATE($E$4,$C$4,1)-WEEKDAY(DATE($E$4,$C$4,1),3)+41),Orders!$L$6:$L$1005,"&lt;&gt;Cancelled")=0),"",COUNTIFS(Orders!$K$6:$K$1005,(DATE($E$4,$C$4,1)-WEEKDAY(DATE($E$4,$C$4,1),3)+41),Orders!$L$6:$L$1005,"&lt;&gt;Cancelled")&amp;IF(COUNTIFS(Orders!$K$6:$K$1005,(DATE($E$4,$C$4,1)-WEEKDAY(DATE($E$4,$C$4,1),3)+41),Orders!$L$6:$L$1005,"&lt;&gt;Cancelled")=1," order"," orders")&amp;IF(COUNTIFS(Orders!$T$6:$T$1005,"&gt;="&amp;(DATE($E$4,$C$4,1)-WEEKDAY(DATE($E$4,$C$4,1),3)+41),Orders!$T$6:$T$1005,"&lt;"&amp;((DATE($E$4,$C$4,1)-WEEKDAY(DATE($E$4,$C$4,1),3)+41)+1))=0,""," ("&amp;COUNTIFS(Orders!$T$6:$T$1005,"&gt;="&amp;(DATE($E$4,$C$4,1)-WEEKDAY(DATE($E$4,$C$4,1),3)+41),Orders!$T$6:$T$1005,"&lt;"&amp;((DATE($E$4,$C$4,1)-WEEKDAY(DATE($E$4,$C$4,1),3)+41)+1))&amp;" open)"))</f>
        <v/>
      </c>
      <c r="I18" s="1" t="n"/>
      <c r="K18">
        <f>IF(MONTH((DATE($E$4,$C$4,1)-WEEKDAY(DATE($E$4,$C$4,1),3)+35))&lt;&gt;$C$4,"",IF(COUNTIFS(Orders!$T$6:$T$1005,"&gt;="&amp;(DATE($E$4,$C$4,1)-WEEKDAY(DATE($E$4,$C$4,1),3)+35),Orders!$T$6:$T$1005,"&lt;"&amp;((DATE($E$4,$C$4,1)-WEEKDAY(DATE($E$4,$C$4,1),3)+35)+1))&gt;0,IF((DATE($E$4,$C$4,1)-WEEKDAY(DATE($E$4,$C$4,1),3)+35)&lt;TODAY(),"late","open"),IF(COUNTIFS(Orders!$K$6:$K$1005,(DATE($E$4,$C$4,1)-WEEKDAY(DATE($E$4,$C$4,1),3)+35),Orders!$L$6:$L$1005,"&lt;&gt;Cancelled")&gt;0,"done","")))</f>
        <v/>
      </c>
      <c r="L18">
        <f>IF(MONTH((DATE($E$4,$C$4,1)-WEEKDAY(DATE($E$4,$C$4,1),3)+36))&lt;&gt;$C$4,"",IF(COUNTIFS(Orders!$T$6:$T$1005,"&gt;="&amp;(DATE($E$4,$C$4,1)-WEEKDAY(DATE($E$4,$C$4,1),3)+36),Orders!$T$6:$T$1005,"&lt;"&amp;((DATE($E$4,$C$4,1)-WEEKDAY(DATE($E$4,$C$4,1),3)+36)+1))&gt;0,IF((DATE($E$4,$C$4,1)-WEEKDAY(DATE($E$4,$C$4,1),3)+36)&lt;TODAY(),"late","open"),IF(COUNTIFS(Orders!$K$6:$K$1005,(DATE($E$4,$C$4,1)-WEEKDAY(DATE($E$4,$C$4,1),3)+36),Orders!$L$6:$L$1005,"&lt;&gt;Cancelled")&gt;0,"done","")))</f>
        <v/>
      </c>
      <c r="M18">
        <f>IF(MONTH((DATE($E$4,$C$4,1)-WEEKDAY(DATE($E$4,$C$4,1),3)+37))&lt;&gt;$C$4,"",IF(COUNTIFS(Orders!$T$6:$T$1005,"&gt;="&amp;(DATE($E$4,$C$4,1)-WEEKDAY(DATE($E$4,$C$4,1),3)+37),Orders!$T$6:$T$1005,"&lt;"&amp;((DATE($E$4,$C$4,1)-WEEKDAY(DATE($E$4,$C$4,1),3)+37)+1))&gt;0,IF((DATE($E$4,$C$4,1)-WEEKDAY(DATE($E$4,$C$4,1),3)+37)&lt;TODAY(),"late","open"),IF(COUNTIFS(Orders!$K$6:$K$1005,(DATE($E$4,$C$4,1)-WEEKDAY(DATE($E$4,$C$4,1),3)+37),Orders!$L$6:$L$1005,"&lt;&gt;Cancelled")&gt;0,"done","")))</f>
        <v/>
      </c>
      <c r="N18">
        <f>IF(MONTH((DATE($E$4,$C$4,1)-WEEKDAY(DATE($E$4,$C$4,1),3)+38))&lt;&gt;$C$4,"",IF(COUNTIFS(Orders!$T$6:$T$1005,"&gt;="&amp;(DATE($E$4,$C$4,1)-WEEKDAY(DATE($E$4,$C$4,1),3)+38),Orders!$T$6:$T$1005,"&lt;"&amp;((DATE($E$4,$C$4,1)-WEEKDAY(DATE($E$4,$C$4,1),3)+38)+1))&gt;0,IF((DATE($E$4,$C$4,1)-WEEKDAY(DATE($E$4,$C$4,1),3)+38)&lt;TODAY(),"late","open"),IF(COUNTIFS(Orders!$K$6:$K$1005,(DATE($E$4,$C$4,1)-WEEKDAY(DATE($E$4,$C$4,1),3)+38),Orders!$L$6:$L$1005,"&lt;&gt;Cancelled")&gt;0,"done","")))</f>
        <v/>
      </c>
      <c r="O18">
        <f>IF(MONTH((DATE($E$4,$C$4,1)-WEEKDAY(DATE($E$4,$C$4,1),3)+39))&lt;&gt;$C$4,"",IF(COUNTIFS(Orders!$T$6:$T$1005,"&gt;="&amp;(DATE($E$4,$C$4,1)-WEEKDAY(DATE($E$4,$C$4,1),3)+39),Orders!$T$6:$T$1005,"&lt;"&amp;((DATE($E$4,$C$4,1)-WEEKDAY(DATE($E$4,$C$4,1),3)+39)+1))&gt;0,IF((DATE($E$4,$C$4,1)-WEEKDAY(DATE($E$4,$C$4,1),3)+39)&lt;TODAY(),"late","open"),IF(COUNTIFS(Orders!$K$6:$K$1005,(DATE($E$4,$C$4,1)-WEEKDAY(DATE($E$4,$C$4,1),3)+39),Orders!$L$6:$L$1005,"&lt;&gt;Cancelled")&gt;0,"done","")))</f>
        <v/>
      </c>
      <c r="P18">
        <f>IF(MONTH((DATE($E$4,$C$4,1)-WEEKDAY(DATE($E$4,$C$4,1),3)+40))&lt;&gt;$C$4,"",IF(COUNTIFS(Orders!$T$6:$T$1005,"&gt;="&amp;(DATE($E$4,$C$4,1)-WEEKDAY(DATE($E$4,$C$4,1),3)+40),Orders!$T$6:$T$1005,"&lt;"&amp;((DATE($E$4,$C$4,1)-WEEKDAY(DATE($E$4,$C$4,1),3)+40)+1))&gt;0,IF((DATE($E$4,$C$4,1)-WEEKDAY(DATE($E$4,$C$4,1),3)+40)&lt;TODAY(),"late","open"),IF(COUNTIFS(Orders!$K$6:$K$1005,(DATE($E$4,$C$4,1)-WEEKDAY(DATE($E$4,$C$4,1),3)+40),Orders!$L$6:$L$1005,"&lt;&gt;Cancelled")&gt;0,"done","")))</f>
        <v/>
      </c>
      <c r="Q18">
        <f>IF(MONTH((DATE($E$4,$C$4,1)-WEEKDAY(DATE($E$4,$C$4,1),3)+41))&lt;&gt;$C$4,"",IF(COUNTIFS(Orders!$T$6:$T$1005,"&gt;="&amp;(DATE($E$4,$C$4,1)-WEEKDAY(DATE($E$4,$C$4,1),3)+41),Orders!$T$6:$T$1005,"&lt;"&amp;((DATE($E$4,$C$4,1)-WEEKDAY(DATE($E$4,$C$4,1),3)+41)+1))&gt;0,IF((DATE($E$4,$C$4,1)-WEEKDAY(DATE($E$4,$C$4,1),3)+41)&lt;TODAY(),"late","open"),IF(COUNTIFS(Orders!$K$6:$K$1005,(DATE($E$4,$C$4,1)-WEEKDAY(DATE($E$4,$C$4,1),3)+41),Orders!$L$6:$L$1005,"&lt;&gt;Cancelled")&gt;0,"done",""))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50" t="inlineStr">
        <is>
          <t>Colours:</t>
        </is>
      </c>
      <c r="C20" s="51" t="inlineStr">
        <is>
          <t>All sent or picked up</t>
        </is>
      </c>
      <c r="D20" s="52" t="inlineStr">
        <is>
          <t>Still to make or send</t>
        </is>
      </c>
      <c r="E20" s="53" t="inlineStr">
        <is>
          <t>Late</t>
        </is>
      </c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</sheetData>
  <conditionalFormatting sqref="B7:H8">
    <cfRule type="expression" priority="1" dxfId="6">
      <formula>K$8="late"</formula>
    </cfRule>
    <cfRule type="expression" priority="2" dxfId="1">
      <formula>K$8="open"</formula>
    </cfRule>
    <cfRule type="expression" priority="3" dxfId="2">
      <formula>K$8="done"</formula>
    </cfRule>
  </conditionalFormatting>
  <conditionalFormatting sqref="B9:H10">
    <cfRule type="expression" priority="4" dxfId="6">
      <formula>K$10="late"</formula>
    </cfRule>
    <cfRule type="expression" priority="5" dxfId="1">
      <formula>K$10="open"</formula>
    </cfRule>
    <cfRule type="expression" priority="6" dxfId="2">
      <formula>K$10="done"</formula>
    </cfRule>
  </conditionalFormatting>
  <conditionalFormatting sqref="B11:H12">
    <cfRule type="expression" priority="7" dxfId="6">
      <formula>K$12="late"</formula>
    </cfRule>
    <cfRule type="expression" priority="8" dxfId="1">
      <formula>K$12="open"</formula>
    </cfRule>
    <cfRule type="expression" priority="9" dxfId="2">
      <formula>K$12="done"</formula>
    </cfRule>
  </conditionalFormatting>
  <conditionalFormatting sqref="B13:H14">
    <cfRule type="expression" priority="10" dxfId="6">
      <formula>K$14="late"</formula>
    </cfRule>
    <cfRule type="expression" priority="11" dxfId="1">
      <formula>K$14="open"</formula>
    </cfRule>
    <cfRule type="expression" priority="12" dxfId="2">
      <formula>K$14="done"</formula>
    </cfRule>
  </conditionalFormatting>
  <conditionalFormatting sqref="B15:H16">
    <cfRule type="expression" priority="13" dxfId="6">
      <formula>K$16="late"</formula>
    </cfRule>
    <cfRule type="expression" priority="14" dxfId="1">
      <formula>K$16="open"</formula>
    </cfRule>
    <cfRule type="expression" priority="15" dxfId="2">
      <formula>K$16="done"</formula>
    </cfRule>
  </conditionalFormatting>
  <conditionalFormatting sqref="B17:H18">
    <cfRule type="expression" priority="16" dxfId="6">
      <formula>K$18="late"</formula>
    </cfRule>
    <cfRule type="expression" priority="17" dxfId="1">
      <formula>K$18="open"</formula>
    </cfRule>
    <cfRule type="expression" priority="18" dxfId="2">
      <formula>K$18="done"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54" t="inlineStr">
        <is>
          <t>1</t>
        </is>
      </c>
      <c r="C5" s="55" t="inlineStr">
        <is>
          <t>Settings: where you sell, and the fee each place takes from an order.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54" t="inlineStr">
        <is>
          <t>2</t>
        </is>
      </c>
      <c r="C7" s="55" t="inlineStr">
        <is>
          <t>Materials: what you buy, with the pack size and price, and how much you have in stock.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54" t="inlineStr">
        <is>
          <t>3</t>
        </is>
      </c>
      <c r="C9" s="55" t="inlineStr">
        <is>
          <t>Products and Product materials: your prices, and how much of each material one item uses.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54" t="inlineStr">
        <is>
          <t>4</t>
        </is>
      </c>
      <c r="C11" s="55" t="inlineStr">
        <is>
          <t>Orders: one line per order, with the customer, product, quantity, due date and what was paid.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54" t="inlineStr">
        <is>
          <t>5</t>
        </is>
      </c>
      <c r="C13" s="55" t="inlineStr">
        <is>
          <t>Dashboard and Due dates: what to make next, what is late, what you are owed and what you earned.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An order is open until its status is Sent, Picked up or Cancelled.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Profit is the total minus the materials, the postage you paid and the channel fees.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orders show how it works. Delete them and add your own.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currency. It does not give tax advice.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2026-09-28T13:33:47Z</dcterms:created>
  <dcterms:modified xsi:type="dcterms:W3CDTF">2026-09-28T13:33:51Z</dcterms:modified>
</cp:coreProperties>
</file>